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Raw Data" sheetId="2" state="visible" r:id="rId4"/>
    <sheet name="Analysis Data" sheetId="3" state="visible" r:id="rId5"/>
    <sheet name="Data Audit" sheetId="4" state="visible" r:id="rId6"/>
    <sheet name="Descriptive Stats" sheetId="5" state="visible" r:id="rId7"/>
    <sheet name="Correlations" sheetId="6" state="visible" r:id="rId8"/>
    <sheet name="Baseline Models" sheetId="7" state="visible" r:id="rId9"/>
    <sheet name="Full MLR" sheetId="8" state="visible" r:id="rId10"/>
    <sheet name="Variable Selection" sheetId="9" state="visible" r:id="rId11"/>
    <sheet name="Interaction Analysis" sheetId="10" state="visible" r:id="rId12"/>
    <sheet name="Final Model" sheetId="11" state="visible" r:id="rId13"/>
    <sheet name="Demo Analysis" sheetId="12" state="visible" r:id="rId14"/>
    <sheet name="Endcap Analysis" sheetId="13" state="visible" r:id="rId15"/>
    <sheet name="Residual Diagnostics" sheetId="14" state="visible" r:id="rId16"/>
    <sheet name="VIF" sheetId="15" state="visible" r:id="rId17"/>
    <sheet name="Outliers" sheetId="16" state="visible" r:id="rId18"/>
    <sheet name="Influence" sheetId="17" state="visible" r:id="rId19"/>
    <sheet name="Model Comparison" sheetId="18" state="visible" r:id="rId20"/>
    <sheet name="Excel vs JASP" sheetId="19" state="visible" r:id="rId21"/>
    <sheet name="Final Results"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<sst xmlns="http://schemas.openxmlformats.org/spreadsheetml/2006/main" count="3879" uniqueCount="573">
  <si>
    <t xml:space="preserve">GoodBelly - Decision Sciences II - Excel Analysis Workbook</t>
  </si>
  <si>
    <t xml:space="preserve">Purpose</t>
  </si>
  <si>
    <t xml:space="preserve">Reproducible Excel analysis supporting GoodBelly_Final_Report. Every regression is run with LINEST on the Analysis Data sheet; p-values, CIs, diagnostics, VIFs and influence measures are Excel formulas.</t>
  </si>
  <si>
    <t xml:space="preserve">Source data</t>
  </si>
  <si>
    <t xml:space="preserve">"Real Data" sheet of Case_Study_Dataset.xlsx copied unchanged to Raw Data (1386 rows). The Explanation sheet (variable dictionary) is not used for numbers. No answer/solution sheets exist in the supplied workbook; none were used.</t>
  </si>
  <si>
    <t xml:space="preserve">Colour code</t>
  </si>
  <si>
    <t xml:space="preserve">Blue font = input/typed value; black = formula/calculation; yellow fill, bold = key output.</t>
  </si>
  <si>
    <t xml:space="preserve">Sheet order</t>
  </si>
  <si>
    <t xml:space="preserve">Raw Data -&gt; Analysis Data (renamed variables, EndRep, model blocks) -&gt; Data Audit -&gt; Descriptive Stats -&gt; Correlations -&gt; Baseline Models -&gt; Full MLR -&gt; Variable Selection -&gt; Interaction Analysis -&gt; Final Model -&gt; Demo Analysis -&gt; Endcap Analysis -&gt; Residual Diagnostics -&gt; VIF -&gt; Outliers -&gt; Influence -&gt; Model Comparison -&gt; Excel vs JASP -&gt; Final Results.</t>
  </si>
  <si>
    <t xml:space="preserve">Derived variables</t>
  </si>
  <si>
    <t xml:space="preserve">Variable -&gt; Formula -&gt; Reason: EndRep -&gt; Endcap × Sales Rep (=Endcap*Rep, Analysis Data col L) -&gt; tests whether the Endcap effect depends on regional-rep presence. All other variables are the original columns renamed (Units Sold=Sales, Average Retail Price=Price, Sales Rep=Rep, Demo1-3=D13, Demo4-5=D45, Natural Retailers=Natural, Fitness Centers=Fitness).</t>
  </si>
  <si>
    <t xml:space="preserve">Dummy coding</t>
  </si>
  <si>
    <t xml:space="preserve">Rep, Endcap, Demo, D13, D45 are 0/1 as supplied; reference category = 0 for each. Intercept = predicted sales with all dummies 0 and Price = 0.</t>
  </si>
  <si>
    <t xml:space="preserve">Items computed outside Excel</t>
  </si>
  <si>
    <t xml:space="preserve">Stepwise logs (Variable Selection), other interaction candidates, sensitivity re-fits (region/week/store dummies, outlier exclusion), cluster-robust SEs and the Python reference column are static values from analysis.py (statsmodels), labelled "static". Everything else is formula-driven.</t>
  </si>
  <si>
    <t xml:space="preserve">JASP</t>
  </si>
  <si>
    <t xml:space="preserve">NOT RUN. See Excel vs JASP sheet. A JASP-ready dataset and model specification are supplied separately.</t>
  </si>
  <si>
    <t xml:space="preserve">Data discrepancy</t>
  </si>
  <si>
    <t xml:space="preserve">Case text: 10 weeks. Dataset: 11 weekly dates (4 May-13 Jul 2010) x 126 stores = 1,386 rows. The dataset was used as supplied. Region "NA" is a real code, not missing.</t>
  </si>
  <si>
    <t xml:space="preserve">Recalculation</t>
  </si>
  <si>
    <t xml:space="preserve">Open in Excel; formulas recalculate automatically. LINEST/MMULT/MINVERSE cells are array formulas - do not edit partially.</t>
  </si>
  <si>
    <t xml:space="preserve">Date</t>
  </si>
  <si>
    <t xml:space="preserve">Region</t>
  </si>
  <si>
    <t xml:space="preserve">Store</t>
  </si>
  <si>
    <t xml:space="preserve">Units Sold</t>
  </si>
  <si>
    <t xml:space="preserve">Average Retail Price</t>
  </si>
  <si>
    <t xml:space="preserve">Sales Rep</t>
  </si>
  <si>
    <t xml:space="preserve">Endcap</t>
  </si>
  <si>
    <t xml:space="preserve">Demo</t>
  </si>
  <si>
    <t xml:space="preserve">Demo1-3</t>
  </si>
  <si>
    <t xml:space="preserve">Demo4-5</t>
  </si>
  <si>
    <t xml:space="preserve">Natural</t>
  </si>
  <si>
    <t xml:space="preserve">Fitness</t>
  </si>
  <si>
    <t xml:space="preserve">FL</t>
  </si>
  <si>
    <t xml:space="preserve">Biscayne (aka Aventura)</t>
  </si>
  <si>
    <t xml:space="preserve">Boca Raton</t>
  </si>
  <si>
    <t xml:space="preserve">Coral Gables</t>
  </si>
  <si>
    <t xml:space="preserve">Coral Springs</t>
  </si>
  <si>
    <t xml:space="preserve">Fort Lauderdale</t>
  </si>
  <si>
    <t xml:space="preserve">Palm Beach Gardens</t>
  </si>
  <si>
    <t xml:space="preserve">Plantation</t>
  </si>
  <si>
    <t xml:space="preserve">Sarasota</t>
  </si>
  <si>
    <t xml:space="preserve">MA</t>
  </si>
  <si>
    <t xml:space="preserve">Annapolis</t>
  </si>
  <si>
    <t xml:space="preserve">Bethesda</t>
  </si>
  <si>
    <t xml:space="preserve">Cedar Center</t>
  </si>
  <si>
    <t xml:space="preserve">Columbus</t>
  </si>
  <si>
    <t xml:space="preserve">Fair Lakes</t>
  </si>
  <si>
    <t xml:space="preserve">Georgetown</t>
  </si>
  <si>
    <t xml:space="preserve">Jenkintown</t>
  </si>
  <si>
    <t xml:space="preserve">Kentlands</t>
  </si>
  <si>
    <t xml:space="preserve">Louisville</t>
  </si>
  <si>
    <t xml:space="preserve">Marlton</t>
  </si>
  <si>
    <t xml:space="preserve">Mount Washington</t>
  </si>
  <si>
    <t xml:space="preserve">Old Town</t>
  </si>
  <si>
    <t xml:space="preserve">P Street</t>
  </si>
  <si>
    <t xml:space="preserve">Philadelphia</t>
  </si>
  <si>
    <t xml:space="preserve">Princeton</t>
  </si>
  <si>
    <t xml:space="preserve">Rockville</t>
  </si>
  <si>
    <t xml:space="preserve">Short Pump</t>
  </si>
  <si>
    <t xml:space="preserve">Tysons</t>
  </si>
  <si>
    <t xml:space="preserve">Vienna</t>
  </si>
  <si>
    <t xml:space="preserve">MW</t>
  </si>
  <si>
    <t xml:space="preserve">Ann Arbor</t>
  </si>
  <si>
    <t xml:space="preserve">Deerfield</t>
  </si>
  <si>
    <t xml:space="preserve">Galleria</t>
  </si>
  <si>
    <t xml:space="preserve">Gold Coast</t>
  </si>
  <si>
    <t xml:space="preserve">Lake Calhoun (aka Minneapolis)</t>
  </si>
  <si>
    <t xml:space="preserve">Lakeview</t>
  </si>
  <si>
    <t xml:space="preserve">Milwaukee</t>
  </si>
  <si>
    <t xml:space="preserve">New Lincoln Park (aka Lincoln Park)</t>
  </si>
  <si>
    <t xml:space="preserve">Northbrook</t>
  </si>
  <si>
    <t xml:space="preserve">Palatine</t>
  </si>
  <si>
    <t xml:space="preserve">Regency (aka Omaha)</t>
  </si>
  <si>
    <t xml:space="preserve">Sauganash</t>
  </si>
  <si>
    <t xml:space="preserve">South Loop</t>
  </si>
  <si>
    <t xml:space="preserve">West Bloomfield</t>
  </si>
  <si>
    <t xml:space="preserve">Wheaton</t>
  </si>
  <si>
    <t xml:space="preserve">Willowbrook</t>
  </si>
  <si>
    <t xml:space="preserve">NA</t>
  </si>
  <si>
    <t xml:space="preserve">Bedford</t>
  </si>
  <si>
    <t xml:space="preserve">Bellingham</t>
  </si>
  <si>
    <t xml:space="preserve">Cranston (aka Garden City Center)</t>
  </si>
  <si>
    <t xml:space="preserve">Framingham</t>
  </si>
  <si>
    <t xml:space="preserve">Fresh Pond</t>
  </si>
  <si>
    <t xml:space="preserve">Hadley</t>
  </si>
  <si>
    <t xml:space="preserve">Hingham</t>
  </si>
  <si>
    <t xml:space="preserve">Newtonville</t>
  </si>
  <si>
    <t xml:space="preserve">Portland ME (aka Portland)</t>
  </si>
  <si>
    <t xml:space="preserve">River Street</t>
  </si>
  <si>
    <t xml:space="preserve">University</t>
  </si>
  <si>
    <t xml:space="preserve">West Hartford</t>
  </si>
  <si>
    <t xml:space="preserve">Woburn</t>
  </si>
  <si>
    <t xml:space="preserve">NC</t>
  </si>
  <si>
    <t xml:space="preserve">Fresno</t>
  </si>
  <si>
    <t xml:space="preserve">Los Altos</t>
  </si>
  <si>
    <t xml:space="preserve">Napa</t>
  </si>
  <si>
    <t xml:space="preserve">Petaluma</t>
  </si>
  <si>
    <t xml:space="preserve">Redwood City</t>
  </si>
  <si>
    <t xml:space="preserve">Roseville</t>
  </si>
  <si>
    <t xml:space="preserve">Sacramento</t>
  </si>
  <si>
    <t xml:space="preserve">San Mateo</t>
  </si>
  <si>
    <t xml:space="preserve">San Rafael</t>
  </si>
  <si>
    <t xml:space="preserve">San Ramon</t>
  </si>
  <si>
    <t xml:space="preserve">Santa Cruz</t>
  </si>
  <si>
    <t xml:space="preserve">Santa Rosa</t>
  </si>
  <si>
    <t xml:space="preserve">SoMa</t>
  </si>
  <si>
    <t xml:space="preserve">Stevens Creek (aka Cupertino)</t>
  </si>
  <si>
    <t xml:space="preserve">Walnut Creek</t>
  </si>
  <si>
    <t xml:space="preserve">NE</t>
  </si>
  <si>
    <t xml:space="preserve">Bowery</t>
  </si>
  <si>
    <t xml:space="preserve">Chelsea</t>
  </si>
  <si>
    <t xml:space="preserve">Columbus Circle</t>
  </si>
  <si>
    <t xml:space="preserve">Edgewater</t>
  </si>
  <si>
    <t xml:space="preserve">Jericho</t>
  </si>
  <si>
    <t xml:space="preserve">Middletown</t>
  </si>
  <si>
    <t xml:space="preserve">Rose City</t>
  </si>
  <si>
    <t xml:space="preserve">Union Square</t>
  </si>
  <si>
    <t xml:space="preserve">West Orange</t>
  </si>
  <si>
    <t xml:space="preserve">White Plains</t>
  </si>
  <si>
    <t xml:space="preserve">PN</t>
  </si>
  <si>
    <t xml:space="preserve">Bellevue</t>
  </si>
  <si>
    <t xml:space="preserve">Bend</t>
  </si>
  <si>
    <t xml:space="preserve">Bridgeport</t>
  </si>
  <si>
    <t xml:space="preserve">Fremont</t>
  </si>
  <si>
    <t xml:space="preserve">Mill Plain</t>
  </si>
  <si>
    <t xml:space="preserve">Redmond</t>
  </si>
  <si>
    <t xml:space="preserve">Roosevelt Square</t>
  </si>
  <si>
    <t xml:space="preserve">Tanasbourne</t>
  </si>
  <si>
    <t xml:space="preserve">Westlake</t>
  </si>
  <si>
    <t xml:space="preserve">RM</t>
  </si>
  <si>
    <t xml:space="preserve">Academy</t>
  </si>
  <si>
    <t xml:space="preserve">Belmar</t>
  </si>
  <si>
    <t xml:space="preserve">Cerrillos (aka Santa Fe)</t>
  </si>
  <si>
    <t xml:space="preserve">Fort Collins</t>
  </si>
  <si>
    <t xml:space="preserve">Highlands Ranch</t>
  </si>
  <si>
    <t xml:space="preserve">Metcalf</t>
  </si>
  <si>
    <t xml:space="preserve">Pearl</t>
  </si>
  <si>
    <t xml:space="preserve">Pike's Peak</t>
  </si>
  <si>
    <t xml:space="preserve">Superior</t>
  </si>
  <si>
    <t xml:space="preserve">Tamarac</t>
  </si>
  <si>
    <t xml:space="preserve">SO</t>
  </si>
  <si>
    <t xml:space="preserve">Alpharetta (aka Alpharetta Harry's)</t>
  </si>
  <si>
    <t xml:space="preserve">Cobb (aka Cobb Harry's)</t>
  </si>
  <si>
    <t xml:space="preserve">Duluth</t>
  </si>
  <si>
    <t xml:space="preserve">Green Hills</t>
  </si>
  <si>
    <t xml:space="preserve">Mountain Brook</t>
  </si>
  <si>
    <t xml:space="preserve">Ponce de Lyon</t>
  </si>
  <si>
    <t xml:space="preserve">West Paces Ferry</t>
  </si>
  <si>
    <t xml:space="preserve">SP</t>
  </si>
  <si>
    <t xml:space="preserve">Arroyo</t>
  </si>
  <si>
    <t xml:space="preserve">Fairfax</t>
  </si>
  <si>
    <t xml:space="preserve">Fort Apache</t>
  </si>
  <si>
    <t xml:space="preserve">Glendale</t>
  </si>
  <si>
    <t xml:space="preserve">Henderson</t>
  </si>
  <si>
    <t xml:space="preserve">Jamboree</t>
  </si>
  <si>
    <t xml:space="preserve">Las Vegas Blvd</t>
  </si>
  <si>
    <t xml:space="preserve">Pacific Coast Highway (aka El Segundo)</t>
  </si>
  <si>
    <t xml:space="preserve">Pasadena</t>
  </si>
  <si>
    <t xml:space="preserve">Thousand Oaks</t>
  </si>
  <si>
    <t xml:space="preserve">Valencia</t>
  </si>
  <si>
    <t xml:space="preserve">Woodland Hills</t>
  </si>
  <si>
    <t xml:space="preserve">SW</t>
  </si>
  <si>
    <t xml:space="preserve">Alamo Quarry</t>
  </si>
  <si>
    <t xml:space="preserve">Bellaire</t>
  </si>
  <si>
    <t xml:space="preserve">Forest</t>
  </si>
  <si>
    <t xml:space="preserve">Lamar</t>
  </si>
  <si>
    <t xml:space="preserve">Parkway (aka Arlington)</t>
  </si>
  <si>
    <t xml:space="preserve">Plano</t>
  </si>
  <si>
    <t xml:space="preserve">Veterans</t>
  </si>
  <si>
    <t xml:space="preserve">Sales</t>
  </si>
  <si>
    <t xml:space="preserve">Price</t>
  </si>
  <si>
    <t xml:space="preserve">Rep</t>
  </si>
  <si>
    <t xml:space="preserve">D13</t>
  </si>
  <si>
    <t xml:space="preserve">D45</t>
  </si>
  <si>
    <t xml:space="preserve">EndRep</t>
  </si>
  <si>
    <t xml:space="preserve">const</t>
  </si>
  <si>
    <t xml:space="preserve">Block guide (all columns are formulas linked to Raw Data):</t>
  </si>
  <si>
    <t xml:space="preserve">A:K  = analysis variables (renamed). L = Endcap x Sales Rep (=Endcap*Sales Rep).</t>
  </si>
  <si>
    <t xml:space="preserve">D:K = predictors of Model 1 (Full MLR); D:L adds the interaction (Model 3).</t>
  </si>
  <si>
    <t xml:space="preserve">N:U = [constant + final-model predictors] used by Final Model, diagnostics, leverage.</t>
  </si>
  <si>
    <t xml:space="preserve">W:AA = Price, Rep, Endcap, Endcap x Rep, Demo (restricted model for partial-F tests).</t>
  </si>
  <si>
    <t xml:space="preserve">AC:AH = final model WITHOUT the Endcap main effect (restricted model).</t>
  </si>
  <si>
    <t xml:space="preserve">DATA AUDIT</t>
  </si>
  <si>
    <t xml:space="preserve">Structure checks</t>
  </si>
  <si>
    <t xml:space="preserve">Value</t>
  </si>
  <si>
    <t xml:space="preserve">Comment</t>
  </si>
  <si>
    <t xml:space="preserve">Rows (observations)</t>
  </si>
  <si>
    <t xml:space="preserve">Matches case: 1,386 store-week observations</t>
  </si>
  <si>
    <t xml:space="preserve">Columns</t>
  </si>
  <si>
    <t xml:space="preserve">12 columns in Real Data sheet</t>
  </si>
  <si>
    <t xml:space="preserve">Distinct stores</t>
  </si>
  <si>
    <t xml:space="preserve">Matches case: 126 stores</t>
  </si>
  <si>
    <t xml:space="preserve">Distinct dates (weeks)</t>
  </si>
  <si>
    <t xml:space="preserve">DISCREPANCY: dataset has 11 weekly dates (4 May - 13 Jul 2010); case Exhibit 1 says 10 weeks. 126 x 11 = 1,386 confirms 11 weeks. Dataset used as supplied.</t>
  </si>
  <si>
    <t xml:space="preserve">Observations per store (min)</t>
  </si>
  <si>
    <t xml:space="preserve">Balanced panel: every store has 11 weekly records (array calc)</t>
  </si>
  <si>
    <t xml:space="preserve">First date</t>
  </si>
  <si>
    <t xml:space="preserve">Last date</t>
  </si>
  <si>
    <t xml:space="preserve">Blank cells in numeric/dummy columns D:L</t>
  </si>
  <si>
    <t xml:space="preserve">None</t>
  </si>
  <si>
    <t xml:space="preserve">Blank cells in Region</t>
  </si>
  <si>
    <t xml:space="preserve">None. Region code "NA" (143 rows, 13 stores) is a genuine region code, not a missing value; software that reads "NA" as missing would silently drop these rows</t>
  </si>
  <si>
    <t xml:space="preserve">Rows with Region = "NA"</t>
  </si>
  <si>
    <t xml:space="preserve">Kept in analysis (Region is not a model predictor)</t>
  </si>
  <si>
    <t xml:space="preserve">Exact duplicate rows</t>
  </si>
  <si>
    <t xml:space="preserve">Checked in Python (all 12 fields identical): none</t>
  </si>
  <si>
    <t xml:space="preserve">Sales &lt;= 0</t>
  </si>
  <si>
    <t xml:space="preserve">None; minimum 47.6 units</t>
  </si>
  <si>
    <t xml:space="preserve">Stores whose Sales Rep flag changes during the window</t>
  </si>
  <si>
    <t xml:space="preserve">Sales Rep is not constant within 10 stores (Python check). Treated as an observation-level indicator, as defined in the case.</t>
  </si>
  <si>
    <t xml:space="preserve">Stores whose Natural Retailers count changes</t>
  </si>
  <si>
    <t xml:space="preserve">3 stores (Python check)</t>
  </si>
  <si>
    <t xml:space="preserve">Variable summary</t>
  </si>
  <si>
    <t xml:space="preserve">Variable</t>
  </si>
  <si>
    <t xml:space="preserve">Count</t>
  </si>
  <si>
    <t xml:space="preserve">Distinct values</t>
  </si>
  <si>
    <t xml:space="preserve">Mean</t>
  </si>
  <si>
    <t xml:space="preserve">Median</t>
  </si>
  <si>
    <t xml:space="preserve">Std dev</t>
  </si>
  <si>
    <t xml:space="preserve">Min</t>
  </si>
  <si>
    <t xml:space="preserve">Max</t>
  </si>
  <si>
    <t xml:space="preserve">Type / coding</t>
  </si>
  <si>
    <t xml:space="preserve">Sales (Units Sold)</t>
  </si>
  <si>
    <t xml:space="preserve">Continuous - dependent variable</t>
  </si>
  <si>
    <t xml:space="preserve">Price (Avg Retail Price)</t>
  </si>
  <si>
    <t xml:space="preserve">Continuous, $</t>
  </si>
  <si>
    <t xml:space="preserve">Rep (Sales Rep)</t>
  </si>
  <si>
    <t xml:space="preserve">Dummy 1 = regional rep, 0 = national only</t>
  </si>
  <si>
    <t xml:space="preserve">Dummy 1 = endcap promotion</t>
  </si>
  <si>
    <t xml:space="preserve">Dummy: demo this week</t>
  </si>
  <si>
    <t xml:space="preserve">D13 (Demo1-3)</t>
  </si>
  <si>
    <t xml:space="preserve">Dummy: demo 1-3 weeks ago</t>
  </si>
  <si>
    <t xml:space="preserve">D45 (Demo4-5)</t>
  </si>
  <si>
    <t xml:space="preserve">Dummy: demo 4-5+ weeks ago</t>
  </si>
  <si>
    <t xml:space="preserve">Count within 5 miles</t>
  </si>
  <si>
    <t xml:space="preserve">Dummy-variable counts (rows equal to 1)</t>
  </si>
  <si>
    <t xml:space="preserve">Endcap x Rep</t>
  </si>
  <si>
    <t xml:space="preserve">Outlier note: no data-entry errors found; max Sales 1,041 units (store with endcap + rep) is plausible given the Endcap x Rep effect; see Outliers sheet.</t>
  </si>
  <si>
    <t xml:space="preserve">DESCRIPTIVE STATISTICS &amp; UNADJUSTED PROMOTION COMPARISONS</t>
  </si>
  <si>
    <t xml:space="preserve">Unadjusted comparisons are descriptive; they do not control for other variables and are not causal estimates.</t>
  </si>
  <si>
    <t xml:space="preserve">N</t>
  </si>
  <si>
    <t xml:space="preserve">Unadjusted mean Sales: promotion = 1 vs 0 (Welch two-sample t-test)</t>
  </si>
  <si>
    <t xml:space="preserve">Promotion</t>
  </si>
  <si>
    <t xml:space="preserve">Mean (=1)</t>
  </si>
  <si>
    <t xml:space="preserve">Mean (=0)</t>
  </si>
  <si>
    <t xml:space="preserve">Difference</t>
  </si>
  <si>
    <t xml:space="preserve">N (=1)</t>
  </si>
  <si>
    <t xml:space="preserve">N (=0)</t>
  </si>
  <si>
    <t xml:space="preserve">SD (=1)</t>
  </si>
  <si>
    <t xml:space="preserve">SD (=0)</t>
  </si>
  <si>
    <t xml:space="preserve">Welch t</t>
  </si>
  <si>
    <t xml:space="preserve">Welch df</t>
  </si>
  <si>
    <t xml:space="preserve">p-value</t>
  </si>
  <si>
    <t xml:space="preserve">Demo (current week)</t>
  </si>
  <si>
    <t xml:space="preserve">Mean Sales by Sales Rep x Endcap cell</t>
  </si>
  <si>
    <t xml:space="preserve">Cell</t>
  </si>
  <si>
    <t xml:space="preserve">Mean Sales</t>
  </si>
  <si>
    <t xml:space="preserve">No rep, no endcap</t>
  </si>
  <si>
    <t xml:space="preserve">No rep, endcap</t>
  </si>
  <si>
    <t xml:space="preserve">Rep, no endcap</t>
  </si>
  <si>
    <t xml:space="preserve">Rep, endcap</t>
  </si>
  <si>
    <t xml:space="preserve">PAIRWISE CORRELATION MATRIX (Pearson, CORREL formulas)</t>
  </si>
  <si>
    <t xml:space="preserve">Reading: Sales correlates most with Endcap x Rep (0.74) and Endcap (0.59); Price has ~0 pairwise correlation with Sales, but a strongly negative partial effect once Sales Rep (r=0.33 with Price) is controlled. Predictors are only weakly correlated with each other (see VIF sheet).</t>
  </si>
  <si>
    <t xml:space="preserve">BASELINE MODELS (0A, 0B, 0C) - single-predictor OLS using LINEST</t>
  </si>
  <si>
    <t xml:space="preserve">Unadjusted single-variable relationships. Price alone explains ~0% of variation; Endcap alone ~35%; Demo alone ~11%.</t>
  </si>
  <si>
    <t xml:space="preserve">Model 0A: Sales ~ Price</t>
  </si>
  <si>
    <t xml:space="preserve">INPUTS</t>
  </si>
  <si>
    <t xml:space="preserve">Dependent (Y) range</t>
  </si>
  <si>
    <t xml:space="preserve">'Analysis Data'!C2:C1387</t>
  </si>
  <si>
    <t xml:space="preserve">Predictor (X) range</t>
  </si>
  <si>
    <t xml:space="preserve">'Analysis Data'!D2:D1387</t>
  </si>
  <si>
    <t xml:space="preserve">CALCULATION: LINEST(Y,X,TRUE,TRUE) raw array (coefficients appear in REVERSE variable order; last column = intercept)</t>
  </si>
  <si>
    <t xml:space="preserve">Intercept</t>
  </si>
  <si>
    <t xml:space="preserve">Coefficient</t>
  </si>
  <si>
    <t xml:space="preserve">Std error</t>
  </si>
  <si>
    <t xml:space="preserve">R² | SE(y)</t>
  </si>
  <si>
    <t xml:space="preserve">F | df</t>
  </si>
  <si>
    <t xml:space="preserve">SSreg | SSres</t>
  </si>
  <si>
    <t xml:space="preserve">OUTPUT: Regression statistics</t>
  </si>
  <si>
    <t xml:space="preserve">Multiple R</t>
  </si>
  <si>
    <t xml:space="preserve">R²</t>
  </si>
  <si>
    <t xml:space="preserve">Adjusted R²</t>
  </si>
  <si>
    <t xml:space="preserve">Standard error</t>
  </si>
  <si>
    <t xml:space="preserve">Observations</t>
  </si>
  <si>
    <t xml:space="preserve">k (predictors)</t>
  </si>
  <si>
    <t xml:space="preserve">df residual</t>
  </si>
  <si>
    <t xml:space="preserve">F-statistic</t>
  </si>
  <si>
    <t xml:space="preserve">Significance F (model p-value)</t>
  </si>
  <si>
    <t xml:space="preserve">SS regression</t>
  </si>
  <si>
    <t xml:space="preserve">SS residual</t>
  </si>
  <si>
    <t xml:space="preserve">SS total</t>
  </si>
  <si>
    <t xml:space="preserve">OUTPUT: Coefficient table (t = b/SE; p = two-tailed T.DIST.2T; 95% CI = b ± T.INV.2T(0.05,df)·SE)</t>
  </si>
  <si>
    <t xml:space="preserve">t-stat</t>
  </si>
  <si>
    <t xml:space="preserve">Lower 95%</t>
  </si>
  <si>
    <t xml:space="preserve">Upper 95%</t>
  </si>
  <si>
    <t xml:space="preserve">Model 0B: Sales ~ Demo</t>
  </si>
  <si>
    <t xml:space="preserve">'Analysis Data'!G2:G1387</t>
  </si>
  <si>
    <t xml:space="preserve">Model 0C: Sales ~ Endcap</t>
  </si>
  <si>
    <t xml:space="preserve">'Analysis Data'!F2:F1387</t>
  </si>
  <si>
    <t xml:space="preserve">Model 1: Full business-driven MLR (no interaction)</t>
  </si>
  <si>
    <t xml:space="preserve">Sales = b0 + b1 Price + b2 Rep + b3 Endcap + b4 Demo + b5 Demo1-3 + b6 Demo4-5 + b7 Natural + b8 Fitness</t>
  </si>
  <si>
    <t xml:space="preserve">'Analysis Data'!D2:K1387</t>
  </si>
  <si>
    <t xml:space="preserve">Model 2: after variable selection (Natural, Fitness removed), no interaction</t>
  </si>
  <si>
    <t xml:space="preserve">Predictors retained by forward stepwise (p-in 0.05 / p-out 0.10) and by backward elimination on the no-interaction pool.</t>
  </si>
  <si>
    <t xml:space="preserve">'Analysis Data'!D2:I1387</t>
  </si>
  <si>
    <t xml:space="preserve">PARTIAL F-TEST: are Natural Retailers and Fitness Centers jointly needed? (Model 1 vs Model 2)</t>
  </si>
  <si>
    <t xml:space="preserve">Partial F = [(R²full - R²reduced)/q] / [(1 - R²full)/df_full]</t>
  </si>
  <si>
    <t xml:space="preserve">q (variables dropped)</t>
  </si>
  <si>
    <t xml:space="preserve">Partial F</t>
  </si>
  <si>
    <t xml:space="preserve">Decision (p-out = 0.10)</t>
  </si>
  <si>
    <t xml:space="preserve">STEPWISE / BACKWARD LOG (computed in Python/statsmodels with partial F-tests; course rule p-in 0.05, p-out 0.10). Static values.</t>
  </si>
  <si>
    <t xml:space="preserve">A. Forward stepwise - pool of 8 predictors (no interaction)</t>
  </si>
  <si>
    <t xml:space="preserve">Step</t>
  </si>
  <si>
    <t xml:space="preserve">Action</t>
  </si>
  <si>
    <t xml:space="preserve">Adj R²</t>
  </si>
  <si>
    <t xml:space="preserve">Enter</t>
  </si>
  <si>
    <t xml:space="preserve">Final set: Endcap, Rep, D13, Demo, D45, Price</t>
  </si>
  <si>
    <t xml:space="preserve">B. Forward stepwise - pool of 8 predictors + Endcap x Rep</t>
  </si>
  <si>
    <t xml:space="preserve">Final set: EndRep, Rep, D13, Demo, D45, Price</t>
  </si>
  <si>
    <t xml:space="preserve">C. Backward elimination (p-out 0.10) - 9 candidates incl. interaction</t>
  </si>
  <si>
    <t xml:space="preserve">Remove</t>
  </si>
  <si>
    <t xml:space="preserve">Final set: Price, Rep, Demo, D13, D45, EndRep</t>
  </si>
  <si>
    <t xml:space="preserve">Judgement: stepwise B and backward elimination drop the Endcap MAIN effect (p=0.96) once the interaction is present. The final model keeps the main effect because (i) the course keeps main effects alongside an interaction, (ii) the Endcap coefficient is then directly interpretable as the Endcap effect where Sales Rep = 0, and (iii) dropping it changes nothing material (see Model Comparison and Interaction Analysis).</t>
  </si>
  <si>
    <t xml:space="preserve">Model 3: Full MLR + Endcap x Sales Rep</t>
  </si>
  <si>
    <t xml:space="preserve">Interaction variable EndRep = Endcap x Sales Rep (Analysis Data column L).</t>
  </si>
  <si>
    <t xml:space="preserve">'Analysis Data'!D2:L1387</t>
  </si>
  <si>
    <t xml:space="preserve">Restricted model: final model WITHOUT Endcap main effect</t>
  </si>
  <si>
    <t xml:space="preserve">Price, Rep, Demo, Demo1-3, Demo4-5, EndRep (Analysis Data AC:AH)</t>
  </si>
  <si>
    <t xml:space="preserve">'Analysis Data'!AC2:AH1387</t>
  </si>
  <si>
    <t xml:space="preserve">PARTIAL F-TEST FOR Endcap x Sales Rep</t>
  </si>
  <si>
    <t xml:space="preserve">Comparison</t>
  </si>
  <si>
    <t xml:space="preserve">R² restricted</t>
  </si>
  <si>
    <t xml:space="preserve">R² full</t>
  </si>
  <si>
    <t xml:space="preserve">q</t>
  </si>
  <si>
    <t xml:space="preserve">df full</t>
  </si>
  <si>
    <t xml:space="preserve">Decision</t>
  </si>
  <si>
    <t xml:space="preserve">Model 1 -&gt; Model 3 (add Endcap x Rep to full model)</t>
  </si>
  <si>
    <t xml:space="preserve">Model 2 -&gt; Final (add Endcap x Rep to reduced model)</t>
  </si>
  <si>
    <t xml:space="preserve">Final without Endcap main -&gt; Final (is Endcap main effect needed?)</t>
  </si>
  <si>
    <t xml:space="preserve">Final -&gt; Model 3 (are Natural &amp; Fitness needed given interaction?)</t>
  </si>
  <si>
    <t xml:space="preserve">OTHER CANDIDATE INTERACTIONS (each added one at a time to the final model; Python partial F, static)</t>
  </si>
  <si>
    <t xml:space="preserve">Interaction</t>
  </si>
  <si>
    <t xml:space="preserve">Partial F (1 df)</t>
  </si>
  <si>
    <t xml:space="preserve">Adj R² with term</t>
  </si>
  <si>
    <t xml:space="preserve">Price x Sales Rep</t>
  </si>
  <si>
    <t xml:space="preserve">Demo x Sales Rep</t>
  </si>
  <si>
    <t xml:space="preserve">Demo1-3 x Sales Rep</t>
  </si>
  <si>
    <t xml:space="preserve">Demo4-5 x Sales Rep</t>
  </si>
  <si>
    <t xml:space="preserve">Price x Endcap</t>
  </si>
  <si>
    <t xml:space="preserve">Demo x Endcap</t>
  </si>
  <si>
    <t xml:space="preserve">INTERPRETATION TABLE (final model; price held at sample mean, no demo)</t>
  </si>
  <si>
    <t xml:space="preserve">Quantity</t>
  </si>
  <si>
    <t xml:space="preserve">Estimate</t>
  </si>
  <si>
    <t xml:space="preserve">Meaning</t>
  </si>
  <si>
    <t xml:space="preserve">Endcap coefficient (Sales Rep = 0)</t>
  </si>
  <si>
    <t xml:space="preserve">Endcap effect in stores WITHOUT a regional rep (only 17 such observations)</t>
  </si>
  <si>
    <t xml:space="preserve">Interaction coefficient</t>
  </si>
  <si>
    <t xml:space="preserve">Additional endcap effect when Sales Rep = 1</t>
  </si>
  <si>
    <t xml:space="preserve">Combined Endcap effect (Sales Rep = 1)</t>
  </si>
  <si>
    <t xml:space="preserve">Endcap effect in stores WITH a regional rep (36 observations)</t>
  </si>
  <si>
    <t xml:space="preserve">Predicted weekly units (price at mean, no demo):</t>
  </si>
  <si>
    <t xml:space="preserve">Predicted units</t>
  </si>
  <si>
    <t xml:space="preserve">PREFERRED FINAL MODEL</t>
  </si>
  <si>
    <t xml:space="preserve">Sales = b0 + b1 Price + b2 Sales Rep + b3 Endcap + b4 Demo + b5 Demo1-3 + b6 Demo4-5 + b7 (Endcap x Sales Rep)</t>
  </si>
  <si>
    <t xml:space="preserve">'Analysis Data'!O2:U1387</t>
  </si>
  <si>
    <t xml:space="preserve">CALCULATION: coefficient row (constant first) used for fitted values</t>
  </si>
  <si>
    <t xml:space="preserve">Coefficients (forward order)</t>
  </si>
  <si>
    <t xml:space="preserve">CALCULATION: X'X (design matrix incl. constant)</t>
  </si>
  <si>
    <t xml:space="preserve">CALCULATION: (X'X)^-1  (rows/cols: const, Price, Rep, Endcap, Demo, D13, D45, EndRep)</t>
  </si>
  <si>
    <t xml:space="preserve">Final equation (Excel): see coefficient table. Interaction term is Endcap*SalesRep.</t>
  </si>
  <si>
    <t xml:space="preserve">DEMO ANALYSIS (Questions 3 and 6): effect of in-store demos on weekly sales, from the final model</t>
  </si>
  <si>
    <t xml:space="preserve">Summary (rows 4-9) is formula-linked to the Final Model sheet; restricted models used for partial F-tests are further down this sheet.</t>
  </si>
  <si>
    <t xml:space="preserve">Coefficient (units)</t>
  </si>
  <si>
    <t xml:space="preserve">t</t>
  </si>
  <si>
    <t xml:space="preserve">Significant at 5%?</t>
  </si>
  <si>
    <t xml:space="preserve">Demo1-3 (1-3 weeks ago)</t>
  </si>
  <si>
    <t xml:space="preserve">Demo4-5 (4-5 weeks ago)</t>
  </si>
  <si>
    <t xml:space="preserve">JOINT AND COMPARISON TESTS</t>
  </si>
  <si>
    <t xml:space="preserve">Test</t>
  </si>
  <si>
    <t xml:space="preserve">Statistic</t>
  </si>
  <si>
    <t xml:space="preserve">Interpretation</t>
  </si>
  <si>
    <t xml:space="preserve">Joint F: Demo1-3 = Demo4-5 = 0 (lags, q=2)</t>
  </si>
  <si>
    <t xml:space="preserve">Lagged demo effects are jointly significant</t>
  </si>
  <si>
    <t xml:space="preserve">Joint F: all three demo variables = 0 (q=3)</t>
  </si>
  <si>
    <t xml:space="preserve">Demo program has a significant effect overall</t>
  </si>
  <si>
    <t xml:space="preserve">Demo4-5 minus Demo1-3 (units): difference</t>
  </si>
  <si>
    <t xml:space="preserve">Standard error → t → p below</t>
  </si>
  <si>
    <t xml:space="preserve">  Std error of difference</t>
  </si>
  <si>
    <t xml:space="preserve">  t-stat / p-value (H0: no decay between weeks 1-3 and 4-5)</t>
  </si>
  <si>
    <t xml:space="preserve">No evidence the lift decays between 1-3 and 4-5 weeks</t>
  </si>
  <si>
    <t xml:space="preserve">Current-week Demo minus Demo1-3 (units)</t>
  </si>
  <si>
    <t xml:space="preserve">Current-week lift is larger than the later-week lift</t>
  </si>
  <si>
    <t xml:space="preserve">ILLUSTRATIVE CUMULATIVE UNITS PER DEMOED STORE (assumes a store stays in each flag for the full window; no cost data available)</t>
  </si>
  <si>
    <t xml:space="preserve">Demo week + 3 weeks of Demo1-3</t>
  </si>
  <si>
    <t xml:space="preserve">... + 2 further weeks of Demo4-5 (observable window)</t>
  </si>
  <si>
    <t xml:space="preserve">ROI cannot be computed: demo cost and unit margin are not in the data supplied.</t>
  </si>
  <si>
    <t xml:space="preserve">Duration finding: Demo4-5 is defined as "at least 4-5 weeks ago" and the data end 11 weeks in, so the dataset shows the lift persists AT LEAST 4-5 weeks after a demo with no measurable decay; it cannot show when it ends.</t>
  </si>
  <si>
    <t xml:space="preserve">Restricted model for partial F: final model WITHOUT Demo1-3 and Demo4-5</t>
  </si>
  <si>
    <t xml:space="preserve">Price, Rep, Endcap, EndRep, Demo (Analysis Data W:AA)</t>
  </si>
  <si>
    <t xml:space="preserve">'Analysis Data'!W2:AA1387</t>
  </si>
  <si>
    <t xml:space="preserve">Restricted model for partial F: final model WITHOUT any demo variable</t>
  </si>
  <si>
    <t xml:space="preserve">Price, Rep, Endcap, EndRep (Analysis Data W:Z)</t>
  </si>
  <si>
    <t xml:space="preserve">'Analysis Data'!W2:Z1387</t>
  </si>
  <si>
    <t xml:space="preserve">ENDCAP ANALYSIS (Question 4)</t>
  </si>
  <si>
    <t xml:space="preserve">Step 1 - Unadjusted comparison (see Descriptive Stats)</t>
  </si>
  <si>
    <t xml:space="preserve">Group</t>
  </si>
  <si>
    <t xml:space="preserve">No endcap</t>
  </si>
  <si>
    <t xml:space="preserve">Unadjusted difference</t>
  </si>
  <si>
    <t xml:space="preserve">Step 2 - Single-predictor regression (Model 0C) coefficient</t>
  </si>
  <si>
    <t xml:space="preserve">Step 3 - Regression-adjusted effects from final model</t>
  </si>
  <si>
    <t xml:space="preserve">Effect</t>
  </si>
  <si>
    <t xml:space="preserve">Endcap when Sales Rep = 0 (Endcap coefficient)</t>
  </si>
  <si>
    <t xml:space="preserve">Interaction (extra effect when Sales Rep = 1)</t>
  </si>
  <si>
    <t xml:space="preserve">Combined Endcap effect when Sales Rep = 1</t>
  </si>
  <si>
    <t xml:space="preserve">Step 4 - Predicted weekly units (price at mean, no demo): see Interaction Analysis sheet</t>
  </si>
  <si>
    <t xml:space="preserve">Cell counts</t>
  </si>
  <si>
    <t xml:space="preserve">Reading: raw endcap gap (~343 units) mixes two groups. Adjusted for the others, endcaps in stores WITHOUT a regional rep show no detectable lift (+0.6 units; CI roughly -23 to +24, based on only 17 obs); in stores WITH a regional rep the lift is ≈ +454 units per store-week. Endcap is a conditional association: targeting of endcaps to strong stores cannot be ruled out (see report Limitations).</t>
  </si>
  <si>
    <t xml:space="preserve">Obs</t>
  </si>
  <si>
    <t xml:space="preserve">Fitted</t>
  </si>
  <si>
    <t xml:space="preserve">Residual</t>
  </si>
  <si>
    <t xml:space="preserve">Standardized resid (e/SE)</t>
  </si>
  <si>
    <t xml:space="preserve">Residual²</t>
  </si>
  <si>
    <t xml:space="preserve">Rank</t>
  </si>
  <si>
    <t xml:space="preserve">Sorted std resid</t>
  </si>
  <si>
    <t xml:space="preserve">Observed cum prob</t>
  </si>
  <si>
    <t xml:space="preserve">Expected cum prob (Normal)</t>
  </si>
  <si>
    <t xml:space="preserve">SUMMARY (final model)</t>
  </si>
  <si>
    <t xml:space="preserve">Mean residual (should be ~0)</t>
  </si>
  <si>
    <t xml:space="preserve">Std dev of residuals</t>
  </si>
  <si>
    <t xml:space="preserve">Skewness</t>
  </si>
  <si>
    <t xml:space="preserve">Excess kurtosis</t>
  </si>
  <si>
    <t xml:space="preserve">Durbin-Watson d</t>
  </si>
  <si>
    <t xml:space="preserve">Min std resid</t>
  </si>
  <si>
    <t xml:space="preserve">Max std resid</t>
  </si>
  <si>
    <t xml:space="preserve">Breusch-Pagan: R² of e² on X</t>
  </si>
  <si>
    <t xml:space="preserve">Breusch-Pagan LM = n·R²</t>
  </si>
  <si>
    <t xml:space="preserve">Breusch-Pagan p-value (chi-sq, k df)</t>
  </si>
  <si>
    <t xml:space="preserve">Corr(Fitted, Residual) (should be ~0)</t>
  </si>
  <si>
    <t xml:space="preserve">Aux regression LINEST (e² on predictors) - Breusch-Pagan</t>
  </si>
  <si>
    <t xml:space="preserve">Python reference values (statsmodels)</t>
  </si>
  <si>
    <t xml:space="preserve">Durbin-Watson</t>
  </si>
  <si>
    <t xml:space="preserve">BP LM / p</t>
  </si>
  <si>
    <t xml:space="preserve">Lag-1 residual corr within store (Python)</t>
  </si>
  <si>
    <t xml:space="preserve">Course DW decision: d near 2 and between dU and 4-dU =&gt; no first-order autocorrelation; d well below 2 =&gt; positive autocorrelation. Note rows are ordered store, then week.</t>
  </si>
  <si>
    <t xml:space="preserve">MULTICOLLINEARITY: correlation-matrix inverse method (VIF_j = j-th diagonal of inverse correlation matrix; Tolerance = 1/VIF). Course rule of thumb: VIF &gt; 4 (some authors 10) signals concern.</t>
  </si>
  <si>
    <t xml:space="preserve">Final model predictors</t>
  </si>
  <si>
    <t xml:space="preserve">Inverse of correlation matrix</t>
  </si>
  <si>
    <t xml:space="preserve">VIF</t>
  </si>
  <si>
    <t xml:space="preserve">Tolerance</t>
  </si>
  <si>
    <t xml:space="preserve">Flag (VIF&gt;4)</t>
  </si>
  <si>
    <t xml:space="preserve">Model 1 (Full MLR) predictors</t>
  </si>
  <si>
    <t xml:space="preserve">Reading: all VIFs &lt;1.4 except Endcap (3.1) and Endcap x Rep (3.2), whose overlap is structural (interaction with its own component) and below the course threshold of 4. No multicollinearity concern.</t>
  </si>
  <si>
    <t xml:space="preserve">OUTLIER ANALYSIS: largest studentized residuals (formula-driven from Influence sheet)</t>
  </si>
  <si>
    <t xml:space="preserve">Counts</t>
  </si>
  <si>
    <t xml:space="preserve">|studentized resid| &gt; 2</t>
  </si>
  <si>
    <t xml:space="preserve">|studentized resid| &gt; 3</t>
  </si>
  <si>
    <t xml:space="preserve">Expected beyond ±2 if normal (≈4.55% of n)</t>
  </si>
  <si>
    <t xml:space="preserve">Expected beyond ±3 if normal (≈0.27% of n)</t>
  </si>
  <si>
    <t xml:space="preserve">|Stud resid|</t>
  </si>
  <si>
    <t xml:space="preserve">Obs #</t>
  </si>
  <si>
    <t xml:space="preserve">Reading: the largest studentized residual is ≈3.7; only 5 of 1,386 observations exceed 3 (≈3.7 expected under normality). No pattern of data-entry error; no observation is removed. Sensitivity: dropping flagged points leaves all key coefficients essentially unchanged (Influence / Model Comparison).</t>
  </si>
  <si>
    <t xml:space="preserve">Leverage h</t>
  </si>
  <si>
    <t xml:space="preserve">Studentized resid (internal)</t>
  </si>
  <si>
    <t xml:space="preserve">Studentized resid (deleted)</t>
  </si>
  <si>
    <t xml:space="preserve">Cook's D</t>
  </si>
  <si>
    <t xml:space="preserve">Mahalanobis D²</t>
  </si>
  <si>
    <t xml:space="preserve">DFFITS (standardized)</t>
  </si>
  <si>
    <t xml:space="preserve">|Stud. resid|</t>
  </si>
  <si>
    <t xml:space="preserve">Lev &gt; 2(k+1)/n</t>
  </si>
  <si>
    <t xml:space="preserve">Cook &gt; 4/(n-k-1)</t>
  </si>
  <si>
    <t xml:space="preserve">Mahal &gt; 10</t>
  </si>
  <si>
    <t xml:space="preserve">|DFFITS| &gt; 2√((k+1)/n)</t>
  </si>
  <si>
    <t xml:space="preserve">THRESHOLDS (course notes)</t>
  </si>
  <si>
    <t xml:space="preserve">n</t>
  </si>
  <si>
    <t xml:space="preserve">k</t>
  </si>
  <si>
    <t xml:space="preserve">Leverage 2(k+1)/n</t>
  </si>
  <si>
    <t xml:space="preserve">Leverage 3(k+1)/n</t>
  </si>
  <si>
    <t xml:space="preserve">Cook 4/(n-k-1)</t>
  </si>
  <si>
    <t xml:space="preserve">Cook 1</t>
  </si>
  <si>
    <t xml:space="preserve">DFFITS 2*sqrt((k+1)/n)</t>
  </si>
  <si>
    <t xml:space="preserve">Mahalanobis</t>
  </si>
  <si>
    <t xml:space="preserve">FLAG COUNTS</t>
  </si>
  <si>
    <t xml:space="preserve">Leverage &gt; 2(k+1)/n</t>
  </si>
  <si>
    <t xml:space="preserve">Leverage &gt; 3(k+1)/n</t>
  </si>
  <si>
    <t xml:space="preserve">Cook's D &gt; 4/(n-k-1)</t>
  </si>
  <si>
    <t xml:space="preserve">Cook's D &gt; 1</t>
  </si>
  <si>
    <t xml:space="preserve">Mahalanobis &gt; 10</t>
  </si>
  <si>
    <t xml:space="preserve">|DFFITS| &gt; threshold</t>
  </si>
  <si>
    <t xml:space="preserve">Max Cook D</t>
  </si>
  <si>
    <t xml:space="preserve">Max leverage</t>
  </si>
  <si>
    <t xml:space="preserve">Reading: no observation has Cook D near 1 (max 0.023). The flagged leverage / Mahalanobis points are structural: all 36 Endcap-with-Rep rows (a rare cell) exceed 3(k+1)/n. They are legitimate observations that define the interaction. See Outliers sheet and report Section 5 for the sensitivity analysis.</t>
  </si>
  <si>
    <t xml:space="preserve">MODEL COMPARISON (all values formula-linked to the model sheets)</t>
  </si>
  <si>
    <t xml:space="preserve">Model</t>
  </si>
  <si>
    <t xml:space="preserve">Variables</t>
  </si>
  <si>
    <t xml:space="preserve">F</t>
  </si>
  <si>
    <t xml:space="preserve">Model p-value</t>
  </si>
  <si>
    <t xml:space="preserve">DW (Python)</t>
  </si>
  <si>
    <t xml:space="preserve">Key finding</t>
  </si>
  <si>
    <t xml:space="preserve">0A</t>
  </si>
  <si>
    <t xml:space="preserve">Sales ~ Price</t>
  </si>
  <si>
    <t xml:space="preserve">Price alone explains nothing (R² ≈ 0)</t>
  </si>
  <si>
    <t xml:space="preserve">0B</t>
  </si>
  <si>
    <t xml:space="preserve">Sales ~ Demo</t>
  </si>
  <si>
    <t xml:space="preserve">Current demo alone: R² 0.11</t>
  </si>
  <si>
    <t xml:space="preserve">0C</t>
  </si>
  <si>
    <t xml:space="preserve">Sales ~ Endcap</t>
  </si>
  <si>
    <t xml:space="preserve">Endcap alone: R² 0.35 (unadjusted)</t>
  </si>
  <si>
    <t xml:space="preserve">Model 1 (Full MLR)</t>
  </si>
  <si>
    <t xml:space="preserve">Price, Rep, Endcap, Demo, D13, D45, Natural, Fitness</t>
  </si>
  <si>
    <t xml:space="preserve">Full MLR: Natural &amp; Fitness insignificant; DW 1.38 and strong heteroscedasticity (missing interaction)</t>
  </si>
  <si>
    <t xml:space="preserve">Model 2 (selected, no interaction)</t>
  </si>
  <si>
    <t xml:space="preserve">Price, Rep, Endcap, Demo, D13, D45</t>
  </si>
  <si>
    <t xml:space="preserve">Natural &amp; Fitness dropped (partial F p=0.46); same fit as Model 1</t>
  </si>
  <si>
    <t xml:space="preserve">Model 3 (Full + interaction)</t>
  </si>
  <si>
    <t xml:space="preserve">Model 1 + Endcap x Rep</t>
  </si>
  <si>
    <t xml:space="preserve">Interaction adds ~13.3 pts of R²; DW 2.09</t>
  </si>
  <si>
    <t xml:space="preserve">FINAL MODEL</t>
  </si>
  <si>
    <t xml:space="preserve">Price, Rep, Endcap, Demo, D13, D45, Endcap x Rep</t>
  </si>
  <si>
    <t xml:space="preserve">PREFERRED FINAL MODEL: best adj R² among models that keep hierarchy; all retained terms significant except Endcap main (kept for interpretation)</t>
  </si>
  <si>
    <t xml:space="preserve">Final w/o Endcap main</t>
  </si>
  <si>
    <t xml:space="preserve">Price, Rep, Demo, D13, D45, Endcap x Rep</t>
  </si>
  <si>
    <t xml:space="preserve">Endcap main effect dropped: identical fit; alternative parsimonious form</t>
  </si>
  <si>
    <t xml:space="preserve">Models are compared on adjusted R², partial F-tests, diagnostics (autocorrelation and heteroscedasticity disappear once the interaction is included), parsimony and business logic - not on R² alone.</t>
  </si>
  <si>
    <t xml:space="preserve">Sensitivity of key coefficients (Python / statsmodels, static values)</t>
  </si>
  <si>
    <t xml:space="preserve">Specification</t>
  </si>
  <si>
    <t xml:space="preserve">Final (baseline)</t>
  </si>
  <si>
    <t xml:space="preserve">Excl. Cook&gt;4/(n-k-1) or |t|&gt;3</t>
  </si>
  <si>
    <t xml:space="preserve">Excl. |stud. resid|&gt;3</t>
  </si>
  <si>
    <t xml:space="preserve">Restricted: no Endcap main effect</t>
  </si>
  <si>
    <t xml:space="preserve">-</t>
  </si>
  <si>
    <t xml:space="preserve">+ Region dummies</t>
  </si>
  <si>
    <t xml:space="preserve">+ Week dummies</t>
  </si>
  <si>
    <t xml:space="preserve">+ Store dummies (126)</t>
  </si>
  <si>
    <t xml:space="preserve">Cluster-robust (by store) standard errors for the final model (Python, static): coefficients unchanged; SEs of Price, Demo4-5, Endcap, Endcap x Rep fall or stay similar; no conclusion changes.</t>
  </si>
  <si>
    <t xml:space="preserve">Coef</t>
  </si>
  <si>
    <t xml:space="preserve">Cluster SE</t>
  </si>
  <si>
    <t xml:space="preserve">EXCEL vs JASP vs INDEPENDENT CHECK (final model)</t>
  </si>
  <si>
    <t xml:space="preserve">JASP WAS NOT EXECUTED: no JASP installation or integration was available in the environment used to build this workbook, so no JASP output exists and none is claimed. A JASP-ready CSV and click-by-click specification are provided in the Supplementary folder. Fill column C after running the model in JASP. The independent check (column D) is a separate statsmodels (Python) OLS fit of the same model on the same data.</t>
  </si>
  <si>
    <t xml:space="preserve">Excel (this workbook)</t>
  </si>
  <si>
    <t xml:space="preserve">JASP (to be filled after running JASP)</t>
  </si>
  <si>
    <t xml:space="preserve">Independent check: Python statsmodels</t>
  </si>
  <si>
    <t xml:space="preserve">Difference Excel - Python</t>
  </si>
  <si>
    <t xml:space="preserve">Match (|diff| &lt; 1e-6)?</t>
  </si>
  <si>
    <t xml:space="preserve">Excel - JASP (auto once C filled)</t>
  </si>
  <si>
    <t xml:space="preserve">Price coefficient</t>
  </si>
  <si>
    <t xml:space="preserve">Sales Rep coefficient</t>
  </si>
  <si>
    <t xml:space="preserve">Endcap coefficient</t>
  </si>
  <si>
    <t xml:space="preserve">Demo coefficient</t>
  </si>
  <si>
    <t xml:space="preserve">Demo1-3 coefficient</t>
  </si>
  <si>
    <t xml:space="preserve">Demo4-5 coefficient</t>
  </si>
  <si>
    <t xml:space="preserve">Endcap x Sales Rep coefficient</t>
  </si>
  <si>
    <t xml:space="preserve">Price SE</t>
  </si>
  <si>
    <t xml:space="preserve">Endcap x Rep SE</t>
  </si>
  <si>
    <t xml:space="preserve">Endcap x Rep p-value</t>
  </si>
  <si>
    <t xml:space="preserve">VIF Endcap</t>
  </si>
  <si>
    <t xml:space="preserve">Checklist when running in JASP: same CSV (GoodBelly_JASP_Data.csv), 1,386 rows, Sales Rep/Endcap/Demo variables as scale (0/1), interaction column EndRep supplied, Method = Enter, include intercept, report R², adj R², ANOVA, coefficients with 95% CI, collinearity statistics, Durbin-Watson, residual plots, P-P plot, Cook's distance.</t>
  </si>
  <si>
    <t xml:space="preserve">FINAL RESULTS - PREFERRED MODEL (all linked to Final Model sheet)</t>
  </si>
  <si>
    <t xml:space="preserve">Equation: Sales = b0 + b1·Price + b2·SalesRep + b3·Endcap + b4·Demo + b5·Demo1-3 + b6·Demo4-5 + b7·(Endcap×SalesRep) + e</t>
  </si>
  <si>
    <t xml:space="preserve">Endcap x Sales Rep</t>
  </si>
  <si>
    <t xml:space="preserve">Key answers</t>
  </si>
  <si>
    <t xml:space="preserve">Q1</t>
  </si>
  <si>
    <t xml:space="preserve">Final model explains ≈80.6% of variation in weekly sales (adj R² 0.805). Endcap works only together with a regional Sales Rep; demos, Sales Rep and lower price all lift sales.</t>
  </si>
  <si>
    <t xml:space="preserve">Q2</t>
  </si>
  <si>
    <t xml:space="preserve">Assumptions broadly satisfied after adding the interaction (DW 2.09, no heteroscedasticity at 5%, near-normal residuals, VIF&lt;3.2, no influential points). The initial model without the interaction violated independence and constant variance.</t>
  </si>
  <si>
    <t xml:space="preserve">Q3</t>
  </si>
  <si>
    <t xml:space="preserve">Yes. +107 units in demo week, +73 in weeks 1-3, +75 in weeks 4-5 (all p&lt;0.001); lift persists at least 4-5 weeks with no measurable decay.</t>
  </si>
  <si>
    <t xml:space="preserve">Q4</t>
  </si>
  <si>
    <t xml:space="preserve">Yes, conditionally: ≈ +454 units/store-week with a regional rep; no detectable effect without one.</t>
  </si>
  <si>
    <t xml:space="preserve">Q5</t>
  </si>
  <si>
    <t xml:space="preserve">Added Endcap x Rep, removed Natural/Fitness; further: store/time effects, clustered SEs, experimental testing, cost data.</t>
  </si>
  <si>
    <t xml:space="preserve">Q6</t>
  </si>
  <si>
    <t xml:space="preserve">Keep the demo program and run it with an eye on cost per lift; place endcaps where regional reps support them; collect cost/margin data; test targeting experimentally. ROI cannot be computed from supplied data.</t>
  </si>
</sst>
</file>

<file path=xl/styles.xml><?xml version="1.0" encoding="utf-8"?>
<styleSheet xmlns="http://schemas.openxmlformats.org/spreadsheetml/2006/main">
  <numFmts count="10">
    <numFmt numFmtId="164" formatCode="General"/>
    <numFmt numFmtId="165" formatCode="yyyy\-mm\-dd"/>
    <numFmt numFmtId="166" formatCode="0"/>
    <numFmt numFmtId="167" formatCode="0.000"/>
    <numFmt numFmtId="168" formatCode="0.00"/>
    <numFmt numFmtId="169" formatCode="0.00E+00"/>
    <numFmt numFmtId="170" formatCode="0.0000"/>
    <numFmt numFmtId="171" formatCode="0.000000"/>
    <numFmt numFmtId="172" formatCode="0.00000"/>
    <numFmt numFmtId="173" formatCode="0.0000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2"/>
      <charset val="1"/>
    </font>
    <font>
      <b val="true"/>
      <sz val="10"/>
      <color theme="1"/>
      <name val="Calibri"/>
      <family val="2"/>
      <charset val="1"/>
    </font>
    <font>
      <sz val="10"/>
      <color theme="1"/>
      <name val="Calibri"/>
      <family val="2"/>
      <charset val="1"/>
    </font>
    <font>
      <b val="true"/>
      <sz val="10"/>
      <color rgb="FFFFFFFF"/>
      <name val="Calibri"/>
      <family val="2"/>
      <charset val="1"/>
    </font>
    <font>
      <sz val="10"/>
      <color rgb="FF0000FF"/>
      <name val="Calibri"/>
      <family val="2"/>
      <charset val="1"/>
    </font>
    <font>
      <i val="true"/>
      <sz val="10"/>
      <color rgb="FF7F1D1D"/>
      <name val="Calibri"/>
      <family val="2"/>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9"/>
        <bgColor rgb="FF003366"/>
      </patternFill>
    </fill>
    <fill>
      <patternFill patternType="solid">
        <fgColor rgb="FFDBE8F5"/>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5"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DBE8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F1D1D"/>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Residuals vs fitted (final model)</a:t>
            </a:r>
          </a:p>
        </c:rich>
      </c:tx>
      <c:overlay val="0"/>
      <c:spPr>
        <a:noFill/>
        <a:ln w="0">
          <a:noFill/>
        </a:ln>
      </c:spPr>
    </c:title>
    <c:autoTitleDeleted val="0"/>
    <c:plotArea>
      <c:scatterChart>
        <c:scatterStyle val="lineMarker"/>
        <c:varyColors val="0"/>
        <c:ser>
          <c:idx val="0"/>
          <c:order val="0"/>
          <c:spPr>
            <a:solidFill>
              <a:srgbClr val="1f4e79"/>
            </a:solidFill>
            <a:ln w="28440">
              <a:noFill/>
            </a:ln>
          </c:spPr>
          <c:marker>
            <c:symbol val="circle"/>
            <c:size val="3"/>
            <c:spPr>
              <a:solidFill>
                <a:srgbClr val="1f4e7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'Residual Diagnostics'!$E$2:$E$1387</c:f>
              <c:numCache>
                <c:formatCode>0.00</c:formatCode>
                <c:ptCount val="1386"/>
                <c:pt idx="0">
                  <c:v>179.702211226144</c:v>
                </c:pt>
                <c:pt idx="1">
                  <c:v>188.359010651003</c:v>
                </c:pt>
                <c:pt idx="2">
                  <c:v>192.517669213383</c:v>
                </c:pt>
                <c:pt idx="3">
                  <c:v>191.949036304448</c:v>
                </c:pt>
                <c:pt idx="4">
                  <c:v>190.459557578708</c:v>
                </c:pt>
                <c:pt idx="5">
                  <c:v>177.325834904784</c:v>
                </c:pt>
                <c:pt idx="6">
                  <c:v>185.733680626722</c:v>
                </c:pt>
                <c:pt idx="7">
                  <c:v>185.733680626722</c:v>
                </c:pt>
                <c:pt idx="8">
                  <c:v>185.733680626722</c:v>
                </c:pt>
                <c:pt idx="9">
                  <c:v>193.88351979264</c:v>
                </c:pt>
                <c:pt idx="10">
                  <c:v>188.03225891454</c:v>
                </c:pt>
                <c:pt idx="11">
                  <c:v>179.702211226144</c:v>
                </c:pt>
                <c:pt idx="12">
                  <c:v>183.112465557733</c:v>
                </c:pt>
                <c:pt idx="13">
                  <c:v>192.517669213383</c:v>
                </c:pt>
                <c:pt idx="14">
                  <c:v>192.517669213383</c:v>
                </c:pt>
                <c:pt idx="15">
                  <c:v>187.080647506428</c:v>
                </c:pt>
                <c:pt idx="16">
                  <c:v>179.849320243449</c:v>
                </c:pt>
                <c:pt idx="17">
                  <c:v>180.391784710282</c:v>
                </c:pt>
                <c:pt idx="18">
                  <c:v>180.391784710282</c:v>
                </c:pt>
                <c:pt idx="19">
                  <c:v>180.391784710282</c:v>
                </c:pt>
                <c:pt idx="20">
                  <c:v>188.03225891454</c:v>
                </c:pt>
                <c:pt idx="21">
                  <c:v>188.03225891454</c:v>
                </c:pt>
                <c:pt idx="22">
                  <c:v>176.865108881944</c:v>
                </c:pt>
                <c:pt idx="23">
                  <c:v>194.486666726078</c:v>
                </c:pt>
                <c:pt idx="24">
                  <c:v>192.861780835429</c:v>
                </c:pt>
                <c:pt idx="25">
                  <c:v>190.426458051469</c:v>
                </c:pt>
                <c:pt idx="26">
                  <c:v>187.351879750878</c:v>
                </c:pt>
                <c:pt idx="27">
                  <c:v>179.954821463722</c:v>
                </c:pt>
                <c:pt idx="28">
                  <c:v>181.01216748009</c:v>
                </c:pt>
                <c:pt idx="29">
                  <c:v>180.322593995951</c:v>
                </c:pt>
                <c:pt idx="30">
                  <c:v>177.436994180309</c:v>
                </c:pt>
                <c:pt idx="31">
                  <c:v>191.101157983997</c:v>
                </c:pt>
                <c:pt idx="32">
                  <c:v>184.036673116987</c:v>
                </c:pt>
                <c:pt idx="33">
                  <c:v>252.04753988226</c:v>
                </c:pt>
                <c:pt idx="34">
                  <c:v>254.008993350706</c:v>
                </c:pt>
                <c:pt idx="35">
                  <c:v>192.517669213383</c:v>
                </c:pt>
                <c:pt idx="36">
                  <c:v>186.895841812679</c:v>
                </c:pt>
                <c:pt idx="37">
                  <c:v>189.238027403653</c:v>
                </c:pt>
                <c:pt idx="38">
                  <c:v>195.148657270851</c:v>
                </c:pt>
                <c:pt idx="39">
                  <c:v>174.100752766976</c:v>
                </c:pt>
                <c:pt idx="40">
                  <c:v>180.253870013455</c:v>
                </c:pt>
                <c:pt idx="41">
                  <c:v>174.100752766976</c:v>
                </c:pt>
                <c:pt idx="42">
                  <c:v>190.480775214189</c:v>
                </c:pt>
                <c:pt idx="43">
                  <c:v>186.064675899108</c:v>
                </c:pt>
                <c:pt idx="44">
                  <c:v>180.069983758373</c:v>
                </c:pt>
                <c:pt idx="45">
                  <c:v>187.498988746117</c:v>
                </c:pt>
                <c:pt idx="46">
                  <c:v>191.759896139341</c:v>
                </c:pt>
                <c:pt idx="47">
                  <c:v>187.085951926332</c:v>
                </c:pt>
                <c:pt idx="48">
                  <c:v>191.759896139341</c:v>
                </c:pt>
                <c:pt idx="49">
                  <c:v>186.006883087431</c:v>
                </c:pt>
                <c:pt idx="50">
                  <c:v>185.733680626722</c:v>
                </c:pt>
                <c:pt idx="51">
                  <c:v>186.006883087431</c:v>
                </c:pt>
                <c:pt idx="52">
                  <c:v>185.733680626722</c:v>
                </c:pt>
                <c:pt idx="53">
                  <c:v>194.73885359082</c:v>
                </c:pt>
                <c:pt idx="54">
                  <c:v>194.73885359082</c:v>
                </c:pt>
                <c:pt idx="55">
                  <c:v>175.967905594054</c:v>
                </c:pt>
                <c:pt idx="56">
                  <c:v>183.701737434148</c:v>
                </c:pt>
                <c:pt idx="57">
                  <c:v>187.080647506428</c:v>
                </c:pt>
                <c:pt idx="58">
                  <c:v>187.080647506428</c:v>
                </c:pt>
                <c:pt idx="59">
                  <c:v>187.080647506428</c:v>
                </c:pt>
                <c:pt idx="60">
                  <c:v>179.849320243449</c:v>
                </c:pt>
                <c:pt idx="61">
                  <c:v>177.936903106749</c:v>
                </c:pt>
                <c:pt idx="62">
                  <c:v>177.936903106749</c:v>
                </c:pt>
                <c:pt idx="63">
                  <c:v>186.138230418794</c:v>
                </c:pt>
                <c:pt idx="64">
                  <c:v>184.036673116987</c:v>
                </c:pt>
                <c:pt idx="65">
                  <c:v>180.112014906175</c:v>
                </c:pt>
                <c:pt idx="66">
                  <c:v>179.702211226144</c:v>
                </c:pt>
                <c:pt idx="67">
                  <c:v>179.702211226144</c:v>
                </c:pt>
                <c:pt idx="68">
                  <c:v>188.027243828637</c:v>
                </c:pt>
                <c:pt idx="69">
                  <c:v>192.517669213383</c:v>
                </c:pt>
                <c:pt idx="70">
                  <c:v>185.071690081948</c:v>
                </c:pt>
                <c:pt idx="71">
                  <c:v>180.391784710282</c:v>
                </c:pt>
                <c:pt idx="72">
                  <c:v>180.391784710282</c:v>
                </c:pt>
                <c:pt idx="73">
                  <c:v>185.733680626722</c:v>
                </c:pt>
                <c:pt idx="74">
                  <c:v>180.890399386824</c:v>
                </c:pt>
                <c:pt idx="75">
                  <c:v>186.254220209442</c:v>
                </c:pt>
                <c:pt idx="76">
                  <c:v>186.254220209442</c:v>
                </c:pt>
                <c:pt idx="77">
                  <c:v>179.702211226144</c:v>
                </c:pt>
                <c:pt idx="78">
                  <c:v>179.702211226144</c:v>
                </c:pt>
                <c:pt idx="79">
                  <c:v>185.108467341791</c:v>
                </c:pt>
                <c:pt idx="80">
                  <c:v>184.147428247286</c:v>
                </c:pt>
                <c:pt idx="81">
                  <c:v>189.85841017346</c:v>
                </c:pt>
                <c:pt idx="82">
                  <c:v>186.354063396529</c:v>
                </c:pt>
                <c:pt idx="83">
                  <c:v>184.105397099484</c:v>
                </c:pt>
                <c:pt idx="84">
                  <c:v>175.751706904241</c:v>
                </c:pt>
                <c:pt idx="85">
                  <c:v>186.627265857239</c:v>
                </c:pt>
                <c:pt idx="86">
                  <c:v>190.341344978275</c:v>
                </c:pt>
                <c:pt idx="87">
                  <c:v>188.44048641715</c:v>
                </c:pt>
                <c:pt idx="88">
                  <c:v>190.420153385919</c:v>
                </c:pt>
                <c:pt idx="89">
                  <c:v>198.458609994717</c:v>
                </c:pt>
                <c:pt idx="90">
                  <c:v>199.762530762719</c:v>
                </c:pt>
                <c:pt idx="91">
                  <c:v>197.171406165014</c:v>
                </c:pt>
                <c:pt idx="92">
                  <c:v>199.762530762719</c:v>
                </c:pt>
                <c:pt idx="93">
                  <c:v>293.810358124067</c:v>
                </c:pt>
                <c:pt idx="94">
                  <c:v>260.427453978867</c:v>
                </c:pt>
                <c:pt idx="95">
                  <c:v>267.976820895878</c:v>
                </c:pt>
                <c:pt idx="96">
                  <c:v>260.795226511096</c:v>
                </c:pt>
                <c:pt idx="97">
                  <c:v>269.22251678652</c:v>
                </c:pt>
                <c:pt idx="98">
                  <c:v>269.22251678652</c:v>
                </c:pt>
                <c:pt idx="99">
                  <c:v>189.632069397741</c:v>
                </c:pt>
                <c:pt idx="100">
                  <c:v>198.826382526947</c:v>
                </c:pt>
                <c:pt idx="101">
                  <c:v>198.300993201495</c:v>
                </c:pt>
                <c:pt idx="102">
                  <c:v>200.665245143961</c:v>
                </c:pt>
                <c:pt idx="103">
                  <c:v>198.300993201495</c:v>
                </c:pt>
                <c:pt idx="104">
                  <c:v>306.199461704554</c:v>
                </c:pt>
                <c:pt idx="105">
                  <c:v>270.517979271535</c:v>
                </c:pt>
                <c:pt idx="106">
                  <c:v>270.517979271535</c:v>
                </c:pt>
                <c:pt idx="107">
                  <c:v>272.816557559353</c:v>
                </c:pt>
                <c:pt idx="108">
                  <c:v>281.216264895411</c:v>
                </c:pt>
                <c:pt idx="109">
                  <c:v>281.216264895411</c:v>
                </c:pt>
                <c:pt idx="110">
                  <c:v>190.420153385919</c:v>
                </c:pt>
                <c:pt idx="111">
                  <c:v>190.420153385919</c:v>
                </c:pt>
                <c:pt idx="112">
                  <c:v>196.72482522514</c:v>
                </c:pt>
                <c:pt idx="113">
                  <c:v>193.217851515263</c:v>
                </c:pt>
                <c:pt idx="114">
                  <c:v>193.217851515263</c:v>
                </c:pt>
                <c:pt idx="115">
                  <c:v>193.769510302574</c:v>
                </c:pt>
                <c:pt idx="116">
                  <c:v>189.533996734249</c:v>
                </c:pt>
                <c:pt idx="117">
                  <c:v>191.470932014756</c:v>
                </c:pt>
                <c:pt idx="118">
                  <c:v>189.019115184715</c:v>
                </c:pt>
                <c:pt idx="119">
                  <c:v>199.929700101569</c:v>
                </c:pt>
                <c:pt idx="120">
                  <c:v>199.929700101569</c:v>
                </c:pt>
                <c:pt idx="121">
                  <c:v>260.24361328428</c:v>
                </c:pt>
                <c:pt idx="122">
                  <c:v>260.046592298269</c:v>
                </c:pt>
                <c:pt idx="123">
                  <c:v>196.72482522514</c:v>
                </c:pt>
                <c:pt idx="124">
                  <c:v>193.686761484477</c:v>
                </c:pt>
                <c:pt idx="125">
                  <c:v>193.217851515263</c:v>
                </c:pt>
                <c:pt idx="126">
                  <c:v>196.374565696905</c:v>
                </c:pt>
                <c:pt idx="127">
                  <c:v>193.769510302574</c:v>
                </c:pt>
                <c:pt idx="128">
                  <c:v>300.898337711752</c:v>
                </c:pt>
                <c:pt idx="129">
                  <c:v>267.515433566551</c:v>
                </c:pt>
                <c:pt idx="130">
                  <c:v>272.821388074476</c:v>
                </c:pt>
                <c:pt idx="131">
                  <c:v>272.821388074476</c:v>
                </c:pt>
                <c:pt idx="132">
                  <c:v>190.420153385919</c:v>
                </c:pt>
                <c:pt idx="133">
                  <c:v>198.458609994717</c:v>
                </c:pt>
                <c:pt idx="134">
                  <c:v>202.871880293205</c:v>
                </c:pt>
                <c:pt idx="135">
                  <c:v>202.871880293205</c:v>
                </c:pt>
                <c:pt idx="136">
                  <c:v>202.871880293205</c:v>
                </c:pt>
                <c:pt idx="137">
                  <c:v>198.458609994717</c:v>
                </c:pt>
                <c:pt idx="138">
                  <c:v>198.458609994717</c:v>
                </c:pt>
                <c:pt idx="139">
                  <c:v>196.374565696905</c:v>
                </c:pt>
                <c:pt idx="140">
                  <c:v>193.769510302574</c:v>
                </c:pt>
                <c:pt idx="141">
                  <c:v>204.833333761652</c:v>
                </c:pt>
                <c:pt idx="142">
                  <c:v>207.594079512587</c:v>
                </c:pt>
                <c:pt idx="143">
                  <c:v>196.72482522514</c:v>
                </c:pt>
                <c:pt idx="144">
                  <c:v>196.72482522514</c:v>
                </c:pt>
                <c:pt idx="145">
                  <c:v>202.871880293205</c:v>
                </c:pt>
                <c:pt idx="146">
                  <c:v>202.504107760976</c:v>
                </c:pt>
                <c:pt idx="147">
                  <c:v>202.871880293205</c:v>
                </c:pt>
                <c:pt idx="148">
                  <c:v>305.211306402516</c:v>
                </c:pt>
                <c:pt idx="149">
                  <c:v>271.828402257316</c:v>
                </c:pt>
                <c:pt idx="150">
                  <c:v>272.196174789545</c:v>
                </c:pt>
                <c:pt idx="151">
                  <c:v>269.744357959504</c:v>
                </c:pt>
                <c:pt idx="152">
                  <c:v>282.146043317947</c:v>
                </c:pt>
                <c:pt idx="153">
                  <c:v>280.595882125603</c:v>
                </c:pt>
                <c:pt idx="154">
                  <c:v>190.420153385919</c:v>
                </c:pt>
                <c:pt idx="155">
                  <c:v>190.420153385919</c:v>
                </c:pt>
                <c:pt idx="156">
                  <c:v>196.72482522514</c:v>
                </c:pt>
                <c:pt idx="157">
                  <c:v>196.72482522514</c:v>
                </c:pt>
                <c:pt idx="158">
                  <c:v>196.72482522514</c:v>
                </c:pt>
                <c:pt idx="159">
                  <c:v>190.420153385919</c:v>
                </c:pt>
                <c:pt idx="160">
                  <c:v>190.420153385919</c:v>
                </c:pt>
                <c:pt idx="161">
                  <c:v>198.458609994717</c:v>
                </c:pt>
                <c:pt idx="162">
                  <c:v>305.211306402516</c:v>
                </c:pt>
                <c:pt idx="163">
                  <c:v>280.963871775186</c:v>
                </c:pt>
                <c:pt idx="164">
                  <c:v>278.20312602425</c:v>
                </c:pt>
                <c:pt idx="165">
                  <c:v>190.420153385919</c:v>
                </c:pt>
                <c:pt idx="166">
                  <c:v>198.458609994717</c:v>
                </c:pt>
                <c:pt idx="167">
                  <c:v>202.871880293205</c:v>
                </c:pt>
                <c:pt idx="168">
                  <c:v>199.286098175684</c:v>
                </c:pt>
                <c:pt idx="169">
                  <c:v>202.871880293205</c:v>
                </c:pt>
                <c:pt idx="170">
                  <c:v>198.458609994717</c:v>
                </c:pt>
                <c:pt idx="171">
                  <c:v>305.211306402516</c:v>
                </c:pt>
                <c:pt idx="172">
                  <c:v>271.828402257316</c:v>
                </c:pt>
                <c:pt idx="173">
                  <c:v>269.744357959504</c:v>
                </c:pt>
                <c:pt idx="174">
                  <c:v>280.963871775186</c:v>
                </c:pt>
                <c:pt idx="175">
                  <c:v>283.528868018829</c:v>
                </c:pt>
                <c:pt idx="176">
                  <c:v>189.019115184715</c:v>
                </c:pt>
                <c:pt idx="177">
                  <c:v>187.057661716268</c:v>
                </c:pt>
                <c:pt idx="178">
                  <c:v>197.171406165014</c:v>
                </c:pt>
                <c:pt idx="179">
                  <c:v>197.171406165014</c:v>
                </c:pt>
                <c:pt idx="180">
                  <c:v>197.171406165014</c:v>
                </c:pt>
                <c:pt idx="181">
                  <c:v>187.057661716268</c:v>
                </c:pt>
                <c:pt idx="182">
                  <c:v>187.057661716268</c:v>
                </c:pt>
                <c:pt idx="183">
                  <c:v>194.145641303952</c:v>
                </c:pt>
                <c:pt idx="184">
                  <c:v>187.057661716268</c:v>
                </c:pt>
                <c:pt idx="185">
                  <c:v>194.67055298116</c:v>
                </c:pt>
                <c:pt idx="186">
                  <c:v>194.67055298116</c:v>
                </c:pt>
                <c:pt idx="187">
                  <c:v>193.572489316563</c:v>
                </c:pt>
                <c:pt idx="188">
                  <c:v>198.826382526947</c:v>
                </c:pt>
                <c:pt idx="189">
                  <c:v>202.504107760976</c:v>
                </c:pt>
                <c:pt idx="190">
                  <c:v>202.871880293205</c:v>
                </c:pt>
                <c:pt idx="191">
                  <c:v>200.665245143961</c:v>
                </c:pt>
                <c:pt idx="192">
                  <c:v>305.848778781416</c:v>
                </c:pt>
                <c:pt idx="193">
                  <c:v>272.196174789545</c:v>
                </c:pt>
                <c:pt idx="194">
                  <c:v>272.196174789545</c:v>
                </c:pt>
                <c:pt idx="195">
                  <c:v>272.196174789545</c:v>
                </c:pt>
                <c:pt idx="196">
                  <c:v>283.528868018829</c:v>
                </c:pt>
                <c:pt idx="197">
                  <c:v>283.528868018829</c:v>
                </c:pt>
                <c:pt idx="198">
                  <c:v>190.420153385919</c:v>
                </c:pt>
                <c:pt idx="199">
                  <c:v>190.420153385919</c:v>
                </c:pt>
                <c:pt idx="200">
                  <c:v>196.72482522514</c:v>
                </c:pt>
                <c:pt idx="201">
                  <c:v>196.72482522514</c:v>
                </c:pt>
                <c:pt idx="202">
                  <c:v>196.72482522514</c:v>
                </c:pt>
                <c:pt idx="203">
                  <c:v>297.172849793718</c:v>
                </c:pt>
                <c:pt idx="204">
                  <c:v>263.789945648518</c:v>
                </c:pt>
                <c:pt idx="205">
                  <c:v>263.789945648518</c:v>
                </c:pt>
                <c:pt idx="206">
                  <c:v>263.789945648518</c:v>
                </c:pt>
                <c:pt idx="207">
                  <c:v>271.497452545424</c:v>
                </c:pt>
                <c:pt idx="208">
                  <c:v>271.497452545424</c:v>
                </c:pt>
                <c:pt idx="209">
                  <c:v>190.420153385919</c:v>
                </c:pt>
                <c:pt idx="210">
                  <c:v>198.458609994717</c:v>
                </c:pt>
                <c:pt idx="211">
                  <c:v>202.871880293205</c:v>
                </c:pt>
                <c:pt idx="212">
                  <c:v>201.278199356988</c:v>
                </c:pt>
                <c:pt idx="213">
                  <c:v>202.871880293205</c:v>
                </c:pt>
                <c:pt idx="214">
                  <c:v>196.374565696905</c:v>
                </c:pt>
                <c:pt idx="215">
                  <c:v>198.458609994717</c:v>
                </c:pt>
                <c:pt idx="216">
                  <c:v>198.458609994717</c:v>
                </c:pt>
                <c:pt idx="217">
                  <c:v>198.458609994717</c:v>
                </c:pt>
                <c:pt idx="218">
                  <c:v>207.594079512587</c:v>
                </c:pt>
                <c:pt idx="219">
                  <c:v>207.594079512587</c:v>
                </c:pt>
                <c:pt idx="220">
                  <c:v>185.494628492909</c:v>
                </c:pt>
                <c:pt idx="221">
                  <c:v>198.458609994717</c:v>
                </c:pt>
                <c:pt idx="222">
                  <c:v>197.171406165014</c:v>
                </c:pt>
                <c:pt idx="223">
                  <c:v>197.171406165014</c:v>
                </c:pt>
                <c:pt idx="224">
                  <c:v>197.171406165014</c:v>
                </c:pt>
                <c:pt idx="225">
                  <c:v>187.057661716268</c:v>
                </c:pt>
                <c:pt idx="226">
                  <c:v>187.057661716268</c:v>
                </c:pt>
                <c:pt idx="227">
                  <c:v>293.810358124067</c:v>
                </c:pt>
                <c:pt idx="228">
                  <c:v>260.427453978867</c:v>
                </c:pt>
                <c:pt idx="229">
                  <c:v>268.040345243758</c:v>
                </c:pt>
                <c:pt idx="230">
                  <c:v>268.040345243758</c:v>
                </c:pt>
                <c:pt idx="231">
                  <c:v>190.420153385919</c:v>
                </c:pt>
                <c:pt idx="232">
                  <c:v>196.374565696905</c:v>
                </c:pt>
                <c:pt idx="233">
                  <c:v>202.871880293205</c:v>
                </c:pt>
                <c:pt idx="234">
                  <c:v>201.278199356988</c:v>
                </c:pt>
                <c:pt idx="235">
                  <c:v>201.453329132139</c:v>
                </c:pt>
                <c:pt idx="236">
                  <c:v>190.420153385919</c:v>
                </c:pt>
                <c:pt idx="237">
                  <c:v>190.420153385919</c:v>
                </c:pt>
                <c:pt idx="238">
                  <c:v>190.420153385919</c:v>
                </c:pt>
                <c:pt idx="239">
                  <c:v>190.420153385919</c:v>
                </c:pt>
                <c:pt idx="240">
                  <c:v>196.945488740064</c:v>
                </c:pt>
                <c:pt idx="241">
                  <c:v>196.945488740064</c:v>
                </c:pt>
                <c:pt idx="242">
                  <c:v>185.281845820956</c:v>
                </c:pt>
                <c:pt idx="243">
                  <c:v>194.045339696229</c:v>
                </c:pt>
                <c:pt idx="244">
                  <c:v>195.884202313244</c:v>
                </c:pt>
                <c:pt idx="245">
                  <c:v>202.871880293205</c:v>
                </c:pt>
                <c:pt idx="246">
                  <c:v>199.762530762719</c:v>
                </c:pt>
                <c:pt idx="247">
                  <c:v>194.145641303952</c:v>
                </c:pt>
                <c:pt idx="248">
                  <c:v>194.145641303952</c:v>
                </c:pt>
                <c:pt idx="249">
                  <c:v>300.898337711752</c:v>
                </c:pt>
                <c:pt idx="250">
                  <c:v>265.451226676001</c:v>
                </c:pt>
                <c:pt idx="251">
                  <c:v>275.8204058475</c:v>
                </c:pt>
                <c:pt idx="252">
                  <c:v>275.8204058475</c:v>
                </c:pt>
                <c:pt idx="253">
                  <c:v>190.420153385919</c:v>
                </c:pt>
                <c:pt idx="254">
                  <c:v>190.420153385919</c:v>
                </c:pt>
                <c:pt idx="255">
                  <c:v>202.871880293205</c:v>
                </c:pt>
                <c:pt idx="256">
                  <c:v>202.871880293205</c:v>
                </c:pt>
                <c:pt idx="257">
                  <c:v>202.871880293205</c:v>
                </c:pt>
                <c:pt idx="258">
                  <c:v>198.458609994717</c:v>
                </c:pt>
                <c:pt idx="259">
                  <c:v>198.458609994717</c:v>
                </c:pt>
                <c:pt idx="260">
                  <c:v>305.211306402516</c:v>
                </c:pt>
                <c:pt idx="261">
                  <c:v>271.828402257316</c:v>
                </c:pt>
                <c:pt idx="262">
                  <c:v>280.963871775186</c:v>
                </c:pt>
                <c:pt idx="263">
                  <c:v>280.963871775186</c:v>
                </c:pt>
                <c:pt idx="264">
                  <c:v>190.420153385919</c:v>
                </c:pt>
                <c:pt idx="265">
                  <c:v>190.420153385919</c:v>
                </c:pt>
                <c:pt idx="266">
                  <c:v>193.217851515263</c:v>
                </c:pt>
                <c:pt idx="267">
                  <c:v>196.72482522514</c:v>
                </c:pt>
                <c:pt idx="268">
                  <c:v>199.286098175684</c:v>
                </c:pt>
                <c:pt idx="269">
                  <c:v>189.019115184715</c:v>
                </c:pt>
                <c:pt idx="270">
                  <c:v>193.769510302574</c:v>
                </c:pt>
                <c:pt idx="271">
                  <c:v>191.838704546985</c:v>
                </c:pt>
                <c:pt idx="272">
                  <c:v>191.838704546985</c:v>
                </c:pt>
                <c:pt idx="273">
                  <c:v>202.272936470134</c:v>
                </c:pt>
                <c:pt idx="274">
                  <c:v>195.786129649751</c:v>
                </c:pt>
                <c:pt idx="275">
                  <c:v>193.769510302574</c:v>
                </c:pt>
                <c:pt idx="276">
                  <c:v>198.458609994717</c:v>
                </c:pt>
                <c:pt idx="277">
                  <c:v>202.871880293205</c:v>
                </c:pt>
                <c:pt idx="278">
                  <c:v>202.871880293205</c:v>
                </c:pt>
                <c:pt idx="279">
                  <c:v>201.278199356988</c:v>
                </c:pt>
                <c:pt idx="280">
                  <c:v>196.374565696905</c:v>
                </c:pt>
                <c:pt idx="281">
                  <c:v>300.522206710373</c:v>
                </c:pt>
                <c:pt idx="282">
                  <c:v>269.744357959504</c:v>
                </c:pt>
                <c:pt idx="283">
                  <c:v>260.427453978867</c:v>
                </c:pt>
                <c:pt idx="284">
                  <c:v>280.963871775186</c:v>
                </c:pt>
                <c:pt idx="285">
                  <c:v>273.191116671912</c:v>
                </c:pt>
                <c:pt idx="286">
                  <c:v>197.906951207406</c:v>
                </c:pt>
                <c:pt idx="287">
                  <c:v>198.458609994717</c:v>
                </c:pt>
                <c:pt idx="288">
                  <c:v>202.871880293205</c:v>
                </c:pt>
                <c:pt idx="289">
                  <c:v>201.278199356988</c:v>
                </c:pt>
                <c:pt idx="290">
                  <c:v>202.871880293205</c:v>
                </c:pt>
                <c:pt idx="291">
                  <c:v>196.374565696905</c:v>
                </c:pt>
                <c:pt idx="292">
                  <c:v>199.877161155784</c:v>
                </c:pt>
                <c:pt idx="293">
                  <c:v>198.458609994717</c:v>
                </c:pt>
                <c:pt idx="294">
                  <c:v>198.458609994717</c:v>
                </c:pt>
                <c:pt idx="295">
                  <c:v>207.594079512587</c:v>
                </c:pt>
                <c:pt idx="296">
                  <c:v>201.382401567465</c:v>
                </c:pt>
                <c:pt idx="297">
                  <c:v>243.577242025116</c:v>
                </c:pt>
                <c:pt idx="298">
                  <c:v>232.544066278896</c:v>
                </c:pt>
                <c:pt idx="299">
                  <c:v>244.404730206083</c:v>
                </c:pt>
                <c:pt idx="300">
                  <c:v>241.125425195075</c:v>
                </c:pt>
                <c:pt idx="301">
                  <c:v>255.011624158095</c:v>
                </c:pt>
                <c:pt idx="302">
                  <c:v>246.385686754499</c:v>
                </c:pt>
                <c:pt idx="303">
                  <c:v>345.916668134427</c:v>
                </c:pt>
                <c:pt idx="304">
                  <c:v>419.286460397026</c:v>
                </c:pt>
                <c:pt idx="305">
                  <c:v>326.977194067036</c:v>
                </c:pt>
                <c:pt idx="306">
                  <c:v>323.108638583973</c:v>
                </c:pt>
                <c:pt idx="307">
                  <c:v>393.227528952627</c:v>
                </c:pt>
                <c:pt idx="308">
                  <c:v>234.260338066545</c:v>
                </c:pt>
                <c:pt idx="309">
                  <c:v>234.75070142814</c:v>
                </c:pt>
                <c:pt idx="310">
                  <c:v>252.955441409403</c:v>
                </c:pt>
                <c:pt idx="311">
                  <c:v>254.101194277054</c:v>
                </c:pt>
                <c:pt idx="312">
                  <c:v>244.780861207461</c:v>
                </c:pt>
                <c:pt idx="313">
                  <c:v>352.851807168604</c:v>
                </c:pt>
                <c:pt idx="314">
                  <c:v>319.468903023403</c:v>
                </c:pt>
                <c:pt idx="315">
                  <c:v>330.186845183178</c:v>
                </c:pt>
                <c:pt idx="316">
                  <c:v>319.889214479351</c:v>
                </c:pt>
                <c:pt idx="317">
                  <c:v>336.144805646632</c:v>
                </c:pt>
                <c:pt idx="318">
                  <c:v>319.806248543901</c:v>
                </c:pt>
                <c:pt idx="319">
                  <c:v>244.067605386711</c:v>
                </c:pt>
                <c:pt idx="320">
                  <c:v>244.067605386711</c:v>
                </c:pt>
                <c:pt idx="321">
                  <c:v>257.835499909144</c:v>
                </c:pt>
                <c:pt idx="322">
                  <c:v>255.713735345958</c:v>
                </c:pt>
                <c:pt idx="323">
                  <c:v>257.835499909144</c:v>
                </c:pt>
                <c:pt idx="324">
                  <c:v>252.743264944258</c:v>
                </c:pt>
                <c:pt idx="325">
                  <c:v>251.773315427137</c:v>
                </c:pt>
                <c:pt idx="326">
                  <c:v>251.773315427137</c:v>
                </c:pt>
                <c:pt idx="327">
                  <c:v>251.773315427137</c:v>
                </c:pt>
                <c:pt idx="328">
                  <c:v>261.592841841272</c:v>
                </c:pt>
                <c:pt idx="329">
                  <c:v>261.592841841272</c:v>
                </c:pt>
                <c:pt idx="330">
                  <c:v>234.260338066545</c:v>
                </c:pt>
                <c:pt idx="331">
                  <c:v>234.260338066545</c:v>
                </c:pt>
                <c:pt idx="332">
                  <c:v>247.76984880868</c:v>
                </c:pt>
                <c:pt idx="333">
                  <c:v>251.423055898902</c:v>
                </c:pt>
                <c:pt idx="334">
                  <c:v>253.727763711638</c:v>
                </c:pt>
                <c:pt idx="335">
                  <c:v>245.636768157055</c:v>
                </c:pt>
                <c:pt idx="336">
                  <c:v>246.099110760805</c:v>
                </c:pt>
                <c:pt idx="337">
                  <c:v>245.636768157055</c:v>
                </c:pt>
                <c:pt idx="338">
                  <c:v>246.099110760805</c:v>
                </c:pt>
                <c:pt idx="339">
                  <c:v>257.975536373933</c:v>
                </c:pt>
                <c:pt idx="340">
                  <c:v>258.883265841078</c:v>
                </c:pt>
                <c:pt idx="341">
                  <c:v>235.633355487838</c:v>
                </c:pt>
                <c:pt idx="342">
                  <c:v>247.254967281212</c:v>
                </c:pt>
                <c:pt idx="343">
                  <c:v>253.727763711638</c:v>
                </c:pt>
                <c:pt idx="344">
                  <c:v>253.727763711638</c:v>
                </c:pt>
                <c:pt idx="345">
                  <c:v>250.013261217766</c:v>
                </c:pt>
                <c:pt idx="346">
                  <c:v>245.636768157055</c:v>
                </c:pt>
                <c:pt idx="347">
                  <c:v>234.120234233185</c:v>
                </c:pt>
                <c:pt idx="348">
                  <c:v>245.636768157055</c:v>
                </c:pt>
                <c:pt idx="349">
                  <c:v>347.019985709049</c:v>
                </c:pt>
                <c:pt idx="350">
                  <c:v>328.171451754224</c:v>
                </c:pt>
                <c:pt idx="351">
                  <c:v>329.288429437539</c:v>
                </c:pt>
                <c:pt idx="352">
                  <c:v>234.260338066545</c:v>
                </c:pt>
                <c:pt idx="353">
                  <c:v>234.260338066545</c:v>
                </c:pt>
                <c:pt idx="354">
                  <c:v>247.76984880868</c:v>
                </c:pt>
                <c:pt idx="355">
                  <c:v>248.726057365997</c:v>
                </c:pt>
                <c:pt idx="356">
                  <c:v>255.011624158095</c:v>
                </c:pt>
                <c:pt idx="357">
                  <c:v>246.099110760805</c:v>
                </c:pt>
                <c:pt idx="358">
                  <c:v>359.495961352057</c:v>
                </c:pt>
                <c:pt idx="359">
                  <c:v>319.468903023403</c:v>
                </c:pt>
                <c:pt idx="360">
                  <c:v>417.395058834226</c:v>
                </c:pt>
                <c:pt idx="361">
                  <c:v>328.171451754224</c:v>
                </c:pt>
                <c:pt idx="362">
                  <c:v>407.20288491255</c:v>
                </c:pt>
                <c:pt idx="363">
                  <c:v>244.067605386711</c:v>
                </c:pt>
                <c:pt idx="364">
                  <c:v>244.067605386711</c:v>
                </c:pt>
                <c:pt idx="365">
                  <c:v>252.955441409403</c:v>
                </c:pt>
                <c:pt idx="366">
                  <c:v>247.76984880868</c:v>
                </c:pt>
                <c:pt idx="367">
                  <c:v>251.423055898902</c:v>
                </c:pt>
                <c:pt idx="368">
                  <c:v>244.067605386711</c:v>
                </c:pt>
                <c:pt idx="369">
                  <c:v>349.928732046156</c:v>
                </c:pt>
                <c:pt idx="370">
                  <c:v>309.324112873084</c:v>
                </c:pt>
                <c:pt idx="371">
                  <c:v>313.269309031619</c:v>
                </c:pt>
                <c:pt idx="372">
                  <c:v>323.687301642648</c:v>
                </c:pt>
                <c:pt idx="373">
                  <c:v>324.869473185409</c:v>
                </c:pt>
                <c:pt idx="374">
                  <c:v>235.633355487838</c:v>
                </c:pt>
                <c:pt idx="375">
                  <c:v>228.732605560548</c:v>
                </c:pt>
                <c:pt idx="376">
                  <c:v>244.780861207461</c:v>
                </c:pt>
                <c:pt idx="377">
                  <c:v>244.780861207461</c:v>
                </c:pt>
                <c:pt idx="378">
                  <c:v>244.780861207461</c:v>
                </c:pt>
                <c:pt idx="379">
                  <c:v>347.019985709049</c:v>
                </c:pt>
                <c:pt idx="380">
                  <c:v>319.006560419654</c:v>
                </c:pt>
                <c:pt idx="381">
                  <c:v>425.244375299985</c:v>
                </c:pt>
                <c:pt idx="382">
                  <c:v>319.167460906641</c:v>
                </c:pt>
                <c:pt idx="383">
                  <c:v>396.781130981577</c:v>
                </c:pt>
                <c:pt idx="384">
                  <c:v>396.781130981577</c:v>
                </c:pt>
                <c:pt idx="385">
                  <c:v>258.803024554899</c:v>
                </c:pt>
                <c:pt idx="386">
                  <c:v>258.803024554899</c:v>
                </c:pt>
                <c:pt idx="387">
                  <c:v>258.633283382783</c:v>
                </c:pt>
                <c:pt idx="388">
                  <c:v>258.964844458488</c:v>
                </c:pt>
                <c:pt idx="389">
                  <c:v>255.493071831033</c:v>
                </c:pt>
                <c:pt idx="390">
                  <c:v>377.824612392495</c:v>
                </c:pt>
                <c:pt idx="391">
                  <c:v>345.427338621312</c:v>
                </c:pt>
                <c:pt idx="392">
                  <c:v>334.572532542301</c:v>
                </c:pt>
                <c:pt idx="393">
                  <c:v>341.337708130002</c:v>
                </c:pt>
                <c:pt idx="394">
                  <c:v>329.258921864475</c:v>
                </c:pt>
                <c:pt idx="395">
                  <c:v>336.385433957866</c:v>
                </c:pt>
                <c:pt idx="396">
                  <c:v>243.577242025116</c:v>
                </c:pt>
                <c:pt idx="397">
                  <c:v>244.067605386711</c:v>
                </c:pt>
                <c:pt idx="398">
                  <c:v>252.955441409403</c:v>
                </c:pt>
                <c:pt idx="399">
                  <c:v>252.955441409403</c:v>
                </c:pt>
                <c:pt idx="400">
                  <c:v>254.610417771336</c:v>
                </c:pt>
                <c:pt idx="401">
                  <c:v>252.064300299926</c:v>
                </c:pt>
                <c:pt idx="402">
                  <c:v>246.099110760805</c:v>
                </c:pt>
                <c:pt idx="403">
                  <c:v>358.526011834936</c:v>
                </c:pt>
                <c:pt idx="404">
                  <c:v>316.316567092759</c:v>
                </c:pt>
                <c:pt idx="405">
                  <c:v>326.924177495073</c:v>
                </c:pt>
                <c:pt idx="406">
                  <c:v>333.462849663795</c:v>
                </c:pt>
                <c:pt idx="407">
                  <c:v>251.521128562394</c:v>
                </c:pt>
                <c:pt idx="408">
                  <c:v>252.743264944258</c:v>
                </c:pt>
                <c:pt idx="409">
                  <c:v>256.501819334135</c:v>
                </c:pt>
                <c:pt idx="410">
                  <c:v>257.835499909144</c:v>
                </c:pt>
                <c:pt idx="411">
                  <c:v>255.713735345958</c:v>
                </c:pt>
                <c:pt idx="412">
                  <c:v>251.200163439747</c:v>
                </c:pt>
                <c:pt idx="413">
                  <c:v>252.403782622092</c:v>
                </c:pt>
                <c:pt idx="414">
                  <c:v>252.743264944258</c:v>
                </c:pt>
                <c:pt idx="415">
                  <c:v>253.874872728943</c:v>
                </c:pt>
                <c:pt idx="416">
                  <c:v>263.31813956107</c:v>
                </c:pt>
                <c:pt idx="417">
                  <c:v>263.31813956107</c:v>
                </c:pt>
                <c:pt idx="418">
                  <c:v>243.577242025116</c:v>
                </c:pt>
                <c:pt idx="419">
                  <c:v>244.067605386711</c:v>
                </c:pt>
                <c:pt idx="420">
                  <c:v>257.835499909144</c:v>
                </c:pt>
                <c:pt idx="421">
                  <c:v>253.727763711638</c:v>
                </c:pt>
                <c:pt idx="422">
                  <c:v>251.615698633914</c:v>
                </c:pt>
                <c:pt idx="423">
                  <c:v>249.3484416564</c:v>
                </c:pt>
                <c:pt idx="424">
                  <c:v>253.507100196714</c:v>
                </c:pt>
                <c:pt idx="425">
                  <c:v>253.507100196714</c:v>
                </c:pt>
                <c:pt idx="426">
                  <c:v>255.634926938314</c:v>
                </c:pt>
                <c:pt idx="427">
                  <c:v>258.405830228036</c:v>
                </c:pt>
                <c:pt idx="428">
                  <c:v>252.587668877173</c:v>
                </c:pt>
                <c:pt idx="429">
                  <c:v>244.067605386711</c:v>
                </c:pt>
                <c:pt idx="430">
                  <c:v>235.633355487838</c:v>
                </c:pt>
                <c:pt idx="431">
                  <c:v>255.968347104132</c:v>
                </c:pt>
                <c:pt idx="432">
                  <c:v>253.034249817047</c:v>
                </c:pt>
                <c:pt idx="433">
                  <c:v>254.768034564558</c:v>
                </c:pt>
                <c:pt idx="434">
                  <c:v>245.636768157055</c:v>
                </c:pt>
                <c:pt idx="435">
                  <c:v>245.636768157055</c:v>
                </c:pt>
                <c:pt idx="436">
                  <c:v>347.093540206669</c:v>
                </c:pt>
                <c:pt idx="437">
                  <c:v>441.311437480417</c:v>
                </c:pt>
                <c:pt idx="438">
                  <c:v>330.448883107151</c:v>
                </c:pt>
                <c:pt idx="439">
                  <c:v>344.3565951741</c:v>
                </c:pt>
                <c:pt idx="440">
                  <c:v>244.067605386711</c:v>
                </c:pt>
                <c:pt idx="441">
                  <c:v>244.067605386711</c:v>
                </c:pt>
                <c:pt idx="442">
                  <c:v>247.76984880868</c:v>
                </c:pt>
                <c:pt idx="443">
                  <c:v>251.423055898902</c:v>
                </c:pt>
                <c:pt idx="444">
                  <c:v>247.76984880868</c:v>
                </c:pt>
                <c:pt idx="445">
                  <c:v>235.633355487838</c:v>
                </c:pt>
                <c:pt idx="446">
                  <c:v>235.633355487838</c:v>
                </c:pt>
                <c:pt idx="447">
                  <c:v>342.386051895637</c:v>
                </c:pt>
                <c:pt idx="448">
                  <c:v>327.244664991542</c:v>
                </c:pt>
                <c:pt idx="449">
                  <c:v>330.577249870219</c:v>
                </c:pt>
                <c:pt idx="450">
                  <c:v>330.577249870219</c:v>
                </c:pt>
                <c:pt idx="451">
                  <c:v>234.260338066545</c:v>
                </c:pt>
                <c:pt idx="452">
                  <c:v>234.260338066545</c:v>
                </c:pt>
                <c:pt idx="453">
                  <c:v>246.274240535955</c:v>
                </c:pt>
                <c:pt idx="454">
                  <c:v>246.274240535955</c:v>
                </c:pt>
                <c:pt idx="455">
                  <c:v>254.27093544917</c:v>
                </c:pt>
                <c:pt idx="456">
                  <c:v>245.468643587916</c:v>
                </c:pt>
                <c:pt idx="457">
                  <c:v>345.916668134427</c:v>
                </c:pt>
                <c:pt idx="458">
                  <c:v>319.323410609075</c:v>
                </c:pt>
                <c:pt idx="459">
                  <c:v>319.889214479351</c:v>
                </c:pt>
                <c:pt idx="460">
                  <c:v>329.219320537423</c:v>
                </c:pt>
                <c:pt idx="461">
                  <c:v>329.840133807411</c:v>
                </c:pt>
                <c:pt idx="462">
                  <c:v>235.633355487838</c:v>
                </c:pt>
                <c:pt idx="463">
                  <c:v>245.636768157055</c:v>
                </c:pt>
                <c:pt idx="464">
                  <c:v>249.167384395845</c:v>
                </c:pt>
                <c:pt idx="465">
                  <c:v>251.30046504747</c:v>
                </c:pt>
                <c:pt idx="466">
                  <c:v>253.727763711638</c:v>
                </c:pt>
                <c:pt idx="467">
                  <c:v>240.26728930125</c:v>
                </c:pt>
                <c:pt idx="468">
                  <c:v>245.636768157055</c:v>
                </c:pt>
                <c:pt idx="469">
                  <c:v>352.389464564854</c:v>
                </c:pt>
                <c:pt idx="470">
                  <c:v>420.389777971648</c:v>
                </c:pt>
                <c:pt idx="471">
                  <c:v>328.171451754224</c:v>
                </c:pt>
                <c:pt idx="472">
                  <c:v>322.229167176217</c:v>
                </c:pt>
                <c:pt idx="473">
                  <c:v>183.800247938187</c:v>
                </c:pt>
                <c:pt idx="474">
                  <c:v>183.800247938187</c:v>
                </c:pt>
                <c:pt idx="475">
                  <c:v>193.677567164</c:v>
                </c:pt>
                <c:pt idx="476">
                  <c:v>191.365854167319</c:v>
                </c:pt>
                <c:pt idx="477">
                  <c:v>191.365854167319</c:v>
                </c:pt>
                <c:pt idx="478">
                  <c:v>183.800247938187</c:v>
                </c:pt>
                <c:pt idx="479">
                  <c:v>184.851026567024</c:v>
                </c:pt>
                <c:pt idx="480">
                  <c:v>185.770457886565</c:v>
                </c:pt>
                <c:pt idx="481">
                  <c:v>183.800247938187</c:v>
                </c:pt>
                <c:pt idx="482">
                  <c:v>193.162685636532</c:v>
                </c:pt>
                <c:pt idx="483">
                  <c:v>204.342970400057</c:v>
                </c:pt>
                <c:pt idx="484">
                  <c:v>183.800247938187</c:v>
                </c:pt>
                <c:pt idx="485">
                  <c:v>185.69164947892</c:v>
                </c:pt>
                <c:pt idx="486">
                  <c:v>191.365854167319</c:v>
                </c:pt>
                <c:pt idx="487">
                  <c:v>191.365854167319</c:v>
                </c:pt>
                <c:pt idx="488">
                  <c:v>193.677567164</c:v>
                </c:pt>
                <c:pt idx="489">
                  <c:v>183.800247938187</c:v>
                </c:pt>
                <c:pt idx="490">
                  <c:v>183.800247938187</c:v>
                </c:pt>
                <c:pt idx="491">
                  <c:v>183.800247938187</c:v>
                </c:pt>
                <c:pt idx="492">
                  <c:v>192.206477079215</c:v>
                </c:pt>
                <c:pt idx="493">
                  <c:v>208.25607005736</c:v>
                </c:pt>
                <c:pt idx="494">
                  <c:v>208.25607005736</c:v>
                </c:pt>
                <c:pt idx="495">
                  <c:v>183.800247938187</c:v>
                </c:pt>
                <c:pt idx="496">
                  <c:v>185.124229027733</c:v>
                </c:pt>
                <c:pt idx="497">
                  <c:v>191.365854167319</c:v>
                </c:pt>
                <c:pt idx="498">
                  <c:v>191.365854167319</c:v>
                </c:pt>
                <c:pt idx="499">
                  <c:v>191.365854167319</c:v>
                </c:pt>
                <c:pt idx="500">
                  <c:v>183.800247938187</c:v>
                </c:pt>
                <c:pt idx="501">
                  <c:v>183.800247938187</c:v>
                </c:pt>
                <c:pt idx="502">
                  <c:v>183.800247938187</c:v>
                </c:pt>
                <c:pt idx="503">
                  <c:v>183.800247938187</c:v>
                </c:pt>
                <c:pt idx="504">
                  <c:v>193.162685636532</c:v>
                </c:pt>
                <c:pt idx="505">
                  <c:v>201.01200210229</c:v>
                </c:pt>
                <c:pt idx="506">
                  <c:v>183.800247938187</c:v>
                </c:pt>
                <c:pt idx="507">
                  <c:v>183.800247938187</c:v>
                </c:pt>
                <c:pt idx="508">
                  <c:v>191.365854167319</c:v>
                </c:pt>
                <c:pt idx="509">
                  <c:v>191.365854167319</c:v>
                </c:pt>
                <c:pt idx="510">
                  <c:v>191.365854167319</c:v>
                </c:pt>
                <c:pt idx="511">
                  <c:v>183.800247938187</c:v>
                </c:pt>
                <c:pt idx="512">
                  <c:v>183.800247938187</c:v>
                </c:pt>
                <c:pt idx="513">
                  <c:v>183.800247938187</c:v>
                </c:pt>
                <c:pt idx="514">
                  <c:v>183.800247938187</c:v>
                </c:pt>
                <c:pt idx="515">
                  <c:v>193.162685636532</c:v>
                </c:pt>
                <c:pt idx="516">
                  <c:v>193.162685636532</c:v>
                </c:pt>
                <c:pt idx="517">
                  <c:v>174.461452746689</c:v>
                </c:pt>
                <c:pt idx="518">
                  <c:v>183.800247938187</c:v>
                </c:pt>
                <c:pt idx="519">
                  <c:v>191.365854167319</c:v>
                </c:pt>
                <c:pt idx="520">
                  <c:v>186.873775461186</c:v>
                </c:pt>
                <c:pt idx="521">
                  <c:v>191.365854167319</c:v>
                </c:pt>
                <c:pt idx="522">
                  <c:v>183.800247938187</c:v>
                </c:pt>
                <c:pt idx="523">
                  <c:v>174.461452746689</c:v>
                </c:pt>
                <c:pt idx="524">
                  <c:v>183.800247938187</c:v>
                </c:pt>
                <c:pt idx="525">
                  <c:v>187.325132640774</c:v>
                </c:pt>
                <c:pt idx="526">
                  <c:v>199.240962446692</c:v>
                </c:pt>
                <c:pt idx="527">
                  <c:v>199.240962446692</c:v>
                </c:pt>
                <c:pt idx="528">
                  <c:v>174.028006559812</c:v>
                </c:pt>
                <c:pt idx="529">
                  <c:v>174.461452746689</c:v>
                </c:pt>
                <c:pt idx="530">
                  <c:v>188.213518236675</c:v>
                </c:pt>
                <c:pt idx="531">
                  <c:v>191.365854167319</c:v>
                </c:pt>
                <c:pt idx="532">
                  <c:v>191.365854167319</c:v>
                </c:pt>
                <c:pt idx="533">
                  <c:v>174.461452746689</c:v>
                </c:pt>
                <c:pt idx="534">
                  <c:v>169.772353054546</c:v>
                </c:pt>
                <c:pt idx="535">
                  <c:v>174.461452746689</c:v>
                </c:pt>
                <c:pt idx="536">
                  <c:v>174.461452746689</c:v>
                </c:pt>
                <c:pt idx="537">
                  <c:v>182.653585738257</c:v>
                </c:pt>
                <c:pt idx="538">
                  <c:v>189.411405882817</c:v>
                </c:pt>
                <c:pt idx="539">
                  <c:v>174.461452746689</c:v>
                </c:pt>
                <c:pt idx="540">
                  <c:v>183.800247938187</c:v>
                </c:pt>
                <c:pt idx="541">
                  <c:v>186.873775461186</c:v>
                </c:pt>
                <c:pt idx="542">
                  <c:v>178.126043271855</c:v>
                </c:pt>
                <c:pt idx="543">
                  <c:v>191.365854167319</c:v>
                </c:pt>
                <c:pt idx="544">
                  <c:v>174.461452746689</c:v>
                </c:pt>
                <c:pt idx="545">
                  <c:v>174.461452746689</c:v>
                </c:pt>
                <c:pt idx="546">
                  <c:v>183.800247938187</c:v>
                </c:pt>
                <c:pt idx="547">
                  <c:v>174.461452746689</c:v>
                </c:pt>
                <c:pt idx="548">
                  <c:v>193.935007938767</c:v>
                </c:pt>
                <c:pt idx="549">
                  <c:v>199.240962446692</c:v>
                </c:pt>
                <c:pt idx="550">
                  <c:v>183.01216395001</c:v>
                </c:pt>
                <c:pt idx="551">
                  <c:v>183.01216395001</c:v>
                </c:pt>
                <c:pt idx="552">
                  <c:v>186.873775461186</c:v>
                </c:pt>
                <c:pt idx="553">
                  <c:v>191.365854167319</c:v>
                </c:pt>
                <c:pt idx="554">
                  <c:v>186.873775461186</c:v>
                </c:pt>
                <c:pt idx="555">
                  <c:v>172.451838583457</c:v>
                </c:pt>
                <c:pt idx="556">
                  <c:v>169.772353054546</c:v>
                </c:pt>
                <c:pt idx="557">
                  <c:v>172.451838583457</c:v>
                </c:pt>
                <c:pt idx="558">
                  <c:v>172.451838583457</c:v>
                </c:pt>
                <c:pt idx="559">
                  <c:v>181.814276303868</c:v>
                </c:pt>
                <c:pt idx="560">
                  <c:v>201.01200210229</c:v>
                </c:pt>
                <c:pt idx="561">
                  <c:v>174.461452746689</c:v>
                </c:pt>
                <c:pt idx="562">
                  <c:v>174.461452746689</c:v>
                </c:pt>
                <c:pt idx="563">
                  <c:v>186.873775461186</c:v>
                </c:pt>
                <c:pt idx="564">
                  <c:v>186.873775461186</c:v>
                </c:pt>
                <c:pt idx="565">
                  <c:v>186.873775461186</c:v>
                </c:pt>
                <c:pt idx="566">
                  <c:v>174.461452746689</c:v>
                </c:pt>
                <c:pt idx="567">
                  <c:v>174.461452746689</c:v>
                </c:pt>
                <c:pt idx="568">
                  <c:v>174.461452746689</c:v>
                </c:pt>
                <c:pt idx="569">
                  <c:v>174.461452746689</c:v>
                </c:pt>
                <c:pt idx="570">
                  <c:v>182.653585738257</c:v>
                </c:pt>
                <c:pt idx="571">
                  <c:v>193.162685636532</c:v>
                </c:pt>
                <c:pt idx="572">
                  <c:v>184.745948719587</c:v>
                </c:pt>
                <c:pt idx="573">
                  <c:v>185.723172850804</c:v>
                </c:pt>
                <c:pt idx="574">
                  <c:v>192.311554926652</c:v>
                </c:pt>
                <c:pt idx="575">
                  <c:v>192.311554926652</c:v>
                </c:pt>
                <c:pt idx="576">
                  <c:v>192.311554926652</c:v>
                </c:pt>
                <c:pt idx="577">
                  <c:v>184.745948719587</c:v>
                </c:pt>
                <c:pt idx="578">
                  <c:v>184.745948719587</c:v>
                </c:pt>
                <c:pt idx="579">
                  <c:v>184.745948719587</c:v>
                </c:pt>
                <c:pt idx="580">
                  <c:v>184.745948719587</c:v>
                </c:pt>
                <c:pt idx="581">
                  <c:v>193.162685636532</c:v>
                </c:pt>
                <c:pt idx="582">
                  <c:v>193.162685636532</c:v>
                </c:pt>
                <c:pt idx="583">
                  <c:v>183.800247938187</c:v>
                </c:pt>
                <c:pt idx="584">
                  <c:v>184.998135584329</c:v>
                </c:pt>
                <c:pt idx="585">
                  <c:v>186.873775461186</c:v>
                </c:pt>
                <c:pt idx="586">
                  <c:v>188.213518236675</c:v>
                </c:pt>
                <c:pt idx="587">
                  <c:v>186.873775461186</c:v>
                </c:pt>
                <c:pt idx="588">
                  <c:v>174.461452746689</c:v>
                </c:pt>
                <c:pt idx="589">
                  <c:v>183.800247938187</c:v>
                </c:pt>
                <c:pt idx="590">
                  <c:v>174.461452746689</c:v>
                </c:pt>
                <c:pt idx="591">
                  <c:v>184.851026567024</c:v>
                </c:pt>
                <c:pt idx="592">
                  <c:v>193.162685636532</c:v>
                </c:pt>
                <c:pt idx="593">
                  <c:v>196.720884814688</c:v>
                </c:pt>
                <c:pt idx="594">
                  <c:v>172.451838583457</c:v>
                </c:pt>
                <c:pt idx="595">
                  <c:v>172.451838583457</c:v>
                </c:pt>
                <c:pt idx="596">
                  <c:v>186.873775461186</c:v>
                </c:pt>
                <c:pt idx="597">
                  <c:v>184.745948719587</c:v>
                </c:pt>
                <c:pt idx="598">
                  <c:v>184.745948719587</c:v>
                </c:pt>
                <c:pt idx="599">
                  <c:v>172.451838583457</c:v>
                </c:pt>
                <c:pt idx="600">
                  <c:v>172.451838583457</c:v>
                </c:pt>
                <c:pt idx="601">
                  <c:v>172.451838583457</c:v>
                </c:pt>
                <c:pt idx="602">
                  <c:v>172.451838583457</c:v>
                </c:pt>
                <c:pt idx="603">
                  <c:v>180.695197043303</c:v>
                </c:pt>
                <c:pt idx="604">
                  <c:v>194.423620004376</c:v>
                </c:pt>
                <c:pt idx="605">
                  <c:v>183.800247938187</c:v>
                </c:pt>
                <c:pt idx="606">
                  <c:v>184.115481524632</c:v>
                </c:pt>
                <c:pt idx="607">
                  <c:v>191.365854167319</c:v>
                </c:pt>
                <c:pt idx="608">
                  <c:v>191.365854167319</c:v>
                </c:pt>
                <c:pt idx="609">
                  <c:v>191.365854167319</c:v>
                </c:pt>
                <c:pt idx="610">
                  <c:v>184.115481524632</c:v>
                </c:pt>
                <c:pt idx="611">
                  <c:v>183.800247938187</c:v>
                </c:pt>
                <c:pt idx="612">
                  <c:v>183.800247938187</c:v>
                </c:pt>
                <c:pt idx="613">
                  <c:v>183.800247938187</c:v>
                </c:pt>
                <c:pt idx="614">
                  <c:v>193.162685636532</c:v>
                </c:pt>
                <c:pt idx="615">
                  <c:v>193.935007938767</c:v>
                </c:pt>
                <c:pt idx="616">
                  <c:v>236.64210299094</c:v>
                </c:pt>
                <c:pt idx="617">
                  <c:v>234.75070142814</c:v>
                </c:pt>
                <c:pt idx="618">
                  <c:v>239.163971726628</c:v>
                </c:pt>
                <c:pt idx="619">
                  <c:v>245.048332131968</c:v>
                </c:pt>
                <c:pt idx="620">
                  <c:v>246.887194748982</c:v>
                </c:pt>
                <c:pt idx="621">
                  <c:v>228.008205128977</c:v>
                </c:pt>
                <c:pt idx="622">
                  <c:v>228.351459495333</c:v>
                </c:pt>
                <c:pt idx="623">
                  <c:v>335.284698774967</c:v>
                </c:pt>
                <c:pt idx="624">
                  <c:v>309.925922453223</c:v>
                </c:pt>
                <c:pt idx="625">
                  <c:v>313.336176762746</c:v>
                </c:pt>
                <c:pt idx="626">
                  <c:v>321.360304586203</c:v>
                </c:pt>
                <c:pt idx="627">
                  <c:v>228.866341022801</c:v>
                </c:pt>
                <c:pt idx="628">
                  <c:v>232.744669472276</c:v>
                </c:pt>
                <c:pt idx="629">
                  <c:v>234.75070142814</c:v>
                </c:pt>
                <c:pt idx="630">
                  <c:v>234.75070142814</c:v>
                </c:pt>
                <c:pt idx="631">
                  <c:v>234.75070142814</c:v>
                </c:pt>
                <c:pt idx="632">
                  <c:v>226.788426271974</c:v>
                </c:pt>
                <c:pt idx="633">
                  <c:v>337.421122809838</c:v>
                </c:pt>
                <c:pt idx="634">
                  <c:v>306.253340863661</c:v>
                </c:pt>
                <c:pt idx="635">
                  <c:v>312.349877734145</c:v>
                </c:pt>
                <c:pt idx="636">
                  <c:v>311.062673882375</c:v>
                </c:pt>
                <c:pt idx="637">
                  <c:v>312.244845425137</c:v>
                </c:pt>
                <c:pt idx="638">
                  <c:v>307.384948648346</c:v>
                </c:pt>
                <c:pt idx="639">
                  <c:v>308.567120191108</c:v>
                </c:pt>
                <c:pt idx="640">
                  <c:v>315.922570681232</c:v>
                </c:pt>
                <c:pt idx="641">
                  <c:v>241.370606875872</c:v>
                </c:pt>
                <c:pt idx="642">
                  <c:v>241.370606875872</c:v>
                </c:pt>
                <c:pt idx="643">
                  <c:v>233.996767744793</c:v>
                </c:pt>
                <c:pt idx="644">
                  <c:v>233.647383853518</c:v>
                </c:pt>
                <c:pt idx="645">
                  <c:v>233.647383853518</c:v>
                </c:pt>
                <c:pt idx="646">
                  <c:v>233.647383853518</c:v>
                </c:pt>
                <c:pt idx="647">
                  <c:v>237.398663607233</c:v>
                </c:pt>
                <c:pt idx="648">
                  <c:v>238.361558953109</c:v>
                </c:pt>
                <c:pt idx="649">
                  <c:v>232.744669472276</c:v>
                </c:pt>
                <c:pt idx="650">
                  <c:v>339.497365880075</c:v>
                </c:pt>
                <c:pt idx="651">
                  <c:v>308.120493690739</c:v>
                </c:pt>
                <c:pt idx="652">
                  <c:v>308.120493690739</c:v>
                </c:pt>
                <c:pt idx="653">
                  <c:v>308.120493690739</c:v>
                </c:pt>
                <c:pt idx="654">
                  <c:v>300.81715005865</c:v>
                </c:pt>
                <c:pt idx="655">
                  <c:v>301.763328466228</c:v>
                </c:pt>
                <c:pt idx="656">
                  <c:v>227.211364660868</c:v>
                </c:pt>
                <c:pt idx="657">
                  <c:v>226.927176798063</c:v>
                </c:pt>
                <c:pt idx="658">
                  <c:v>230.337431129652</c:v>
                </c:pt>
                <c:pt idx="659">
                  <c:v>230.337431129652</c:v>
                </c:pt>
                <c:pt idx="660">
                  <c:v>228.572123010257</c:v>
                </c:pt>
                <c:pt idx="661">
                  <c:v>230.337431129652</c:v>
                </c:pt>
                <c:pt idx="662">
                  <c:v>243.577242025116</c:v>
                </c:pt>
                <c:pt idx="663">
                  <c:v>243.577242025116</c:v>
                </c:pt>
                <c:pt idx="664">
                  <c:v>238.361558953109</c:v>
                </c:pt>
                <c:pt idx="665">
                  <c:v>227.930192787029</c:v>
                </c:pt>
                <c:pt idx="666">
                  <c:v>798.538265167172</c:v>
                </c:pt>
                <c:pt idx="667">
                  <c:v>769.347967805535</c:v>
                </c:pt>
                <c:pt idx="668">
                  <c:v>769.347967805535</c:v>
                </c:pt>
                <c:pt idx="669">
                  <c:v>759.601995911085</c:v>
                </c:pt>
                <c:pt idx="670">
                  <c:v>760.671006679791</c:v>
                </c:pt>
                <c:pt idx="671">
                  <c:v>307.384948648346</c:v>
                </c:pt>
                <c:pt idx="672">
                  <c:v>306.114461734875</c:v>
                </c:pt>
                <c:pt idx="673">
                  <c:v>319.755479017098</c:v>
                </c:pt>
                <c:pt idx="674">
                  <c:v>320.937650559859</c:v>
                </c:pt>
                <c:pt idx="675">
                  <c:v>315.922570681232</c:v>
                </c:pt>
                <c:pt idx="676">
                  <c:v>234.429736305493</c:v>
                </c:pt>
                <c:pt idx="677">
                  <c:v>240.708616331099</c:v>
                </c:pt>
                <c:pt idx="678">
                  <c:v>234.566815173059</c:v>
                </c:pt>
                <c:pt idx="679">
                  <c:v>245.302429501422</c:v>
                </c:pt>
                <c:pt idx="680">
                  <c:v>248.652502868377</c:v>
                </c:pt>
                <c:pt idx="681">
                  <c:v>248.652502868377</c:v>
                </c:pt>
                <c:pt idx="682">
                  <c:v>234.75070142814</c:v>
                </c:pt>
                <c:pt idx="683">
                  <c:v>234.75070142814</c:v>
                </c:pt>
                <c:pt idx="684">
                  <c:v>249.95196579205</c:v>
                </c:pt>
                <c:pt idx="685">
                  <c:v>243.577242025116</c:v>
                </c:pt>
                <c:pt idx="686">
                  <c:v>249.95196579205</c:v>
                </c:pt>
                <c:pt idx="687">
                  <c:v>242.866215148597</c:v>
                </c:pt>
                <c:pt idx="688">
                  <c:v>235.976609854194</c:v>
                </c:pt>
                <c:pt idx="689">
                  <c:v>235.412691972914</c:v>
                </c:pt>
                <c:pt idx="690">
                  <c:v>243.822423705914</c:v>
                </c:pt>
                <c:pt idx="691">
                  <c:v>247.990512323604</c:v>
                </c:pt>
                <c:pt idx="692">
                  <c:v>247.990512323604</c:v>
                </c:pt>
                <c:pt idx="693">
                  <c:v>301.941915272856</c:v>
                </c:pt>
                <c:pt idx="694">
                  <c:v>301.941915272856</c:v>
                </c:pt>
                <c:pt idx="695">
                  <c:v>310.185319293198</c:v>
                </c:pt>
                <c:pt idx="696">
                  <c:v>310.185319293198</c:v>
                </c:pt>
                <c:pt idx="697">
                  <c:v>235.633355487838</c:v>
                </c:pt>
                <c:pt idx="698">
                  <c:v>234.015156385748</c:v>
                </c:pt>
                <c:pt idx="699">
                  <c:v>226.927176798063</c:v>
                </c:pt>
                <c:pt idx="700">
                  <c:v>228.809760646807</c:v>
                </c:pt>
                <c:pt idx="701">
                  <c:v>228.809760646807</c:v>
                </c:pt>
                <c:pt idx="702">
                  <c:v>231.695360462449</c:v>
                </c:pt>
                <c:pt idx="703">
                  <c:v>231.695360462449</c:v>
                </c:pt>
                <c:pt idx="704">
                  <c:v>230.337431129652</c:v>
                </c:pt>
                <c:pt idx="705">
                  <c:v>230.337431129652</c:v>
                </c:pt>
                <c:pt idx="706">
                  <c:v>343.8797741573</c:v>
                </c:pt>
                <c:pt idx="707">
                  <c:v>310.496870012099</c:v>
                </c:pt>
                <c:pt idx="708">
                  <c:v>417.249566419898</c:v>
                </c:pt>
                <c:pt idx="709">
                  <c:v>408.287232894056</c:v>
                </c:pt>
                <c:pt idx="710">
                  <c:v>376.731516714765</c:v>
                </c:pt>
                <c:pt idx="711">
                  <c:v>489.241267648816</c:v>
                </c:pt>
                <c:pt idx="712">
                  <c:v>376.731516714765</c:v>
                </c:pt>
                <c:pt idx="713">
                  <c:v>379.617116530407</c:v>
                </c:pt>
                <c:pt idx="714">
                  <c:v>379.617116530407</c:v>
                </c:pt>
                <c:pt idx="715">
                  <c:v>233.647383853518</c:v>
                </c:pt>
                <c:pt idx="716">
                  <c:v>233.647383853518</c:v>
                </c:pt>
                <c:pt idx="717">
                  <c:v>241.125425195075</c:v>
                </c:pt>
                <c:pt idx="718">
                  <c:v>243.577242025116</c:v>
                </c:pt>
                <c:pt idx="719">
                  <c:v>245.048332131968</c:v>
                </c:pt>
                <c:pt idx="720">
                  <c:v>230.337431129652</c:v>
                </c:pt>
                <c:pt idx="721">
                  <c:v>230.337431129652</c:v>
                </c:pt>
                <c:pt idx="722">
                  <c:v>227.815562393964</c:v>
                </c:pt>
                <c:pt idx="723">
                  <c:v>234.015156385748</c:v>
                </c:pt>
                <c:pt idx="724">
                  <c:v>237.398663607233</c:v>
                </c:pt>
                <c:pt idx="725">
                  <c:v>238.361558953109</c:v>
                </c:pt>
                <c:pt idx="726">
                  <c:v>314.317745112127</c:v>
                </c:pt>
                <c:pt idx="727">
                  <c:v>311.950627412593</c:v>
                </c:pt>
                <c:pt idx="728">
                  <c:v>246.385686754499</c:v>
                </c:pt>
                <c:pt idx="729">
                  <c:v>246.385686754499</c:v>
                </c:pt>
                <c:pt idx="730">
                  <c:v>246.385686754499</c:v>
                </c:pt>
                <c:pt idx="731">
                  <c:v>241.767801202736</c:v>
                </c:pt>
                <c:pt idx="732">
                  <c:v>243.822423705914</c:v>
                </c:pt>
                <c:pt idx="733">
                  <c:v>256.277653227239</c:v>
                </c:pt>
                <c:pt idx="734">
                  <c:v>255.011624158095</c:v>
                </c:pt>
                <c:pt idx="735">
                  <c:v>255.011624158095</c:v>
                </c:pt>
                <c:pt idx="736">
                  <c:v>259.181304863046</c:v>
                </c:pt>
                <c:pt idx="737">
                  <c:v>233.279611321289</c:v>
                </c:pt>
                <c:pt idx="738">
                  <c:v>232.985393308745</c:v>
                </c:pt>
                <c:pt idx="739">
                  <c:v>349.12631925057</c:v>
                </c:pt>
                <c:pt idx="740">
                  <c:v>308.521700077498</c:v>
                </c:pt>
                <c:pt idx="741">
                  <c:v>308.521700077498</c:v>
                </c:pt>
                <c:pt idx="742">
                  <c:v>307.532057643585</c:v>
                </c:pt>
                <c:pt idx="743">
                  <c:v>301.763328466228</c:v>
                </c:pt>
                <c:pt idx="744">
                  <c:v>301.763328466228</c:v>
                </c:pt>
                <c:pt idx="745">
                  <c:v>226.927176798063</c:v>
                </c:pt>
                <c:pt idx="746">
                  <c:v>231.695360462449</c:v>
                </c:pt>
                <c:pt idx="747">
                  <c:v>231.808521236504</c:v>
                </c:pt>
                <c:pt idx="748">
                  <c:v>297.087317944519</c:v>
                </c:pt>
                <c:pt idx="749">
                  <c:v>297.087317944519</c:v>
                </c:pt>
                <c:pt idx="750">
                  <c:v>386.283315021068</c:v>
                </c:pt>
                <c:pt idx="751">
                  <c:v>312.913522758469</c:v>
                </c:pt>
                <c:pt idx="752">
                  <c:v>312.913522758469</c:v>
                </c:pt>
                <c:pt idx="753">
                  <c:v>228.110735658864</c:v>
                </c:pt>
                <c:pt idx="754">
                  <c:v>228.532002367168</c:v>
                </c:pt>
                <c:pt idx="755">
                  <c:v>228.532002367168</c:v>
                </c:pt>
                <c:pt idx="756">
                  <c:v>228.532002367168</c:v>
                </c:pt>
                <c:pt idx="757">
                  <c:v>231.942256698757</c:v>
                </c:pt>
                <c:pt idx="758">
                  <c:v>231.942256698757</c:v>
                </c:pt>
                <c:pt idx="759">
                  <c:v>308.120493690739</c:v>
                </c:pt>
                <c:pt idx="760">
                  <c:v>307.719287303979</c:v>
                </c:pt>
                <c:pt idx="761">
                  <c:v>385.048833817459</c:v>
                </c:pt>
                <c:pt idx="762">
                  <c:v>311.67904155486</c:v>
                </c:pt>
                <c:pt idx="763">
                  <c:v>311.67904155486</c:v>
                </c:pt>
                <c:pt idx="764">
                  <c:v>228.64001947469</c:v>
                </c:pt>
                <c:pt idx="765">
                  <c:v>698.798707910738</c:v>
                </c:pt>
                <c:pt idx="766">
                  <c:v>699.528594919944</c:v>
                </c:pt>
                <c:pt idx="767">
                  <c:v>699.528594919944</c:v>
                </c:pt>
                <c:pt idx="768">
                  <c:v>686.034172288373</c:v>
                </c:pt>
                <c:pt idx="769">
                  <c:v>686.119042874431</c:v>
                </c:pt>
                <c:pt idx="770">
                  <c:v>234.015156385748</c:v>
                </c:pt>
                <c:pt idx="771">
                  <c:v>232.744669472276</c:v>
                </c:pt>
                <c:pt idx="772">
                  <c:v>237.1270777495</c:v>
                </c:pt>
                <c:pt idx="773">
                  <c:v>237.1270777495</c:v>
                </c:pt>
                <c:pt idx="774">
                  <c:v>241.370606875872</c:v>
                </c:pt>
                <c:pt idx="775">
                  <c:v>227.740391293368</c:v>
                </c:pt>
                <c:pt idx="776">
                  <c:v>683.233443058789</c:v>
                </c:pt>
                <c:pt idx="777">
                  <c:v>695.794289287854</c:v>
                </c:pt>
                <c:pt idx="778">
                  <c:v>683.505028916521</c:v>
                </c:pt>
                <c:pt idx="779">
                  <c:v>691.180415795987</c:v>
                </c:pt>
                <c:pt idx="780">
                  <c:v>690.05703789982</c:v>
                </c:pt>
                <c:pt idx="781">
                  <c:v>174.343240146256</c:v>
                </c:pt>
                <c:pt idx="782">
                  <c:v>167.841547298957</c:v>
                </c:pt>
                <c:pt idx="783">
                  <c:v>180.171121195358</c:v>
                </c:pt>
                <c:pt idx="784">
                  <c:v>243.167438345085</c:v>
                </c:pt>
                <c:pt idx="785">
                  <c:v>243.167438345085</c:v>
                </c:pt>
                <c:pt idx="786">
                  <c:v>233.805000646741</c:v>
                </c:pt>
                <c:pt idx="787">
                  <c:v>340.277489409886</c:v>
                </c:pt>
                <c:pt idx="788">
                  <c:v>318.491678892185</c:v>
                </c:pt>
                <c:pt idx="789">
                  <c:v>318.491678892185</c:v>
                </c:pt>
                <c:pt idx="790">
                  <c:v>336.340905435188</c:v>
                </c:pt>
                <c:pt idx="791">
                  <c:v>341.14441043709</c:v>
                </c:pt>
                <c:pt idx="792">
                  <c:v>183.01216395001</c:v>
                </c:pt>
                <c:pt idx="793">
                  <c:v>183.269604724777</c:v>
                </c:pt>
                <c:pt idx="794">
                  <c:v>188.418420065657</c:v>
                </c:pt>
                <c:pt idx="795">
                  <c:v>247.880180566142</c:v>
                </c:pt>
                <c:pt idx="796">
                  <c:v>247.880180566142</c:v>
                </c:pt>
                <c:pt idx="797">
                  <c:v>242.473924450494</c:v>
                </c:pt>
                <c:pt idx="798">
                  <c:v>349.226620858293</c:v>
                </c:pt>
                <c:pt idx="799">
                  <c:v>315.843716713093</c:v>
                </c:pt>
                <c:pt idx="800">
                  <c:v>315.843716713093</c:v>
                </c:pt>
                <c:pt idx="801">
                  <c:v>326.76656070185</c:v>
                </c:pt>
                <c:pt idx="802">
                  <c:v>327.948732244612</c:v>
                </c:pt>
                <c:pt idx="803">
                  <c:v>183.800247938187</c:v>
                </c:pt>
                <c:pt idx="804">
                  <c:v>170.140125586775</c:v>
                </c:pt>
                <c:pt idx="805">
                  <c:v>185.660126129102</c:v>
                </c:pt>
                <c:pt idx="806">
                  <c:v>249.440586856555</c:v>
                </c:pt>
                <c:pt idx="807">
                  <c:v>249.440586856555</c:v>
                </c:pt>
                <c:pt idx="808">
                  <c:v>243.262008438672</c:v>
                </c:pt>
                <c:pt idx="809">
                  <c:v>243.262008438672</c:v>
                </c:pt>
                <c:pt idx="810">
                  <c:v>252.158600941294</c:v>
                </c:pt>
                <c:pt idx="811">
                  <c:v>249.231744595054</c:v>
                </c:pt>
                <c:pt idx="812">
                  <c:v>262.97111317259</c:v>
                </c:pt>
                <c:pt idx="813">
                  <c:v>266.592446631731</c:v>
                </c:pt>
                <c:pt idx="814">
                  <c:v>258.115740982185</c:v>
                </c:pt>
                <c:pt idx="815">
                  <c:v>259.297912524947</c:v>
                </c:pt>
                <c:pt idx="816">
                  <c:v>264.073701445639</c:v>
                </c:pt>
                <c:pt idx="817">
                  <c:v>242.536971172196</c:v>
                </c:pt>
                <c:pt idx="818">
                  <c:v>237.702075940254</c:v>
                </c:pt>
                <c:pt idx="819">
                  <c:v>231.598365497497</c:v>
                </c:pt>
                <c:pt idx="820">
                  <c:v>244.207709220071</c:v>
                </c:pt>
                <c:pt idx="821">
                  <c:v>243.577242025116</c:v>
                </c:pt>
                <c:pt idx="822">
                  <c:v>244.207709220071</c:v>
                </c:pt>
                <c:pt idx="823">
                  <c:v>252.624446137016</c:v>
                </c:pt>
                <c:pt idx="824">
                  <c:v>252.624446137016</c:v>
                </c:pt>
                <c:pt idx="825">
                  <c:v>169.404580522316</c:v>
                </c:pt>
                <c:pt idx="826">
                  <c:v>169.404580522316</c:v>
                </c:pt>
                <c:pt idx="827">
                  <c:v>180.584865285841</c:v>
                </c:pt>
                <c:pt idx="828">
                  <c:v>240.046625786326</c:v>
                </c:pt>
                <c:pt idx="829">
                  <c:v>244.570227842276</c:v>
                </c:pt>
                <c:pt idx="830">
                  <c:v>233.647383853518</c:v>
                </c:pt>
                <c:pt idx="831">
                  <c:v>243.577242025116</c:v>
                </c:pt>
                <c:pt idx="832">
                  <c:v>350.329938432915</c:v>
                </c:pt>
                <c:pt idx="833">
                  <c:v>322.463622160825</c:v>
                </c:pt>
                <c:pt idx="834">
                  <c:v>317.189764154132</c:v>
                </c:pt>
                <c:pt idx="835">
                  <c:v>317.189764154132</c:v>
                </c:pt>
                <c:pt idx="836">
                  <c:v>233.212287145547</c:v>
                </c:pt>
                <c:pt idx="837">
                  <c:v>254.254175031504</c:v>
                </c:pt>
                <c:pt idx="838">
                  <c:v>245.427634434528</c:v>
                </c:pt>
                <c:pt idx="839">
                  <c:v>239.163971726628</c:v>
                </c:pt>
                <c:pt idx="840">
                  <c:v>230.337431129652</c:v>
                </c:pt>
                <c:pt idx="841">
                  <c:v>219.304255383433</c:v>
                </c:pt>
                <c:pt idx="842">
                  <c:v>207.388425577515</c:v>
                </c:pt>
                <c:pt idx="843">
                  <c:v>199.444539040237</c:v>
                </c:pt>
                <c:pt idx="844">
                  <c:v>212.684349935701</c:v>
                </c:pt>
                <c:pt idx="845">
                  <c:v>234.033545004636</c:v>
                </c:pt>
                <c:pt idx="846">
                  <c:v>234.033545004636</c:v>
                </c:pt>
                <c:pt idx="847">
                  <c:v>172.136604997012</c:v>
                </c:pt>
                <c:pt idx="848">
                  <c:v>187.646097763422</c:v>
                </c:pt>
                <c:pt idx="849">
                  <c:v>195.670225586879</c:v>
                </c:pt>
                <c:pt idx="850">
                  <c:v>255.131986087363</c:v>
                </c:pt>
                <c:pt idx="851">
                  <c:v>252.315517216122</c:v>
                </c:pt>
                <c:pt idx="852">
                  <c:v>247.107858263906</c:v>
                </c:pt>
                <c:pt idx="853">
                  <c:v>362.687095268681</c:v>
                </c:pt>
                <c:pt idx="854">
                  <c:v>320.477650526505</c:v>
                </c:pt>
                <c:pt idx="855">
                  <c:v>316.45667092612</c:v>
                </c:pt>
                <c:pt idx="856">
                  <c:v>320.698314041429</c:v>
                </c:pt>
                <c:pt idx="857">
                  <c:v>321.963234402287</c:v>
                </c:pt>
                <c:pt idx="858">
                  <c:v>183.800247938187</c:v>
                </c:pt>
                <c:pt idx="859">
                  <c:v>184.299367779713</c:v>
                </c:pt>
                <c:pt idx="860">
                  <c:v>189.97882635607</c:v>
                </c:pt>
                <c:pt idx="861">
                  <c:v>250.323240916252</c:v>
                </c:pt>
                <c:pt idx="862">
                  <c:v>259.597413208627</c:v>
                </c:pt>
                <c:pt idx="863">
                  <c:v>255.272408316109</c:v>
                </c:pt>
                <c:pt idx="864">
                  <c:v>256.081507878187</c:v>
                </c:pt>
                <c:pt idx="865">
                  <c:v>248.652502868377</c:v>
                </c:pt>
                <c:pt idx="866">
                  <c:v>362.709161620174</c:v>
                </c:pt>
                <c:pt idx="867">
                  <c:v>343.095660806256</c:v>
                </c:pt>
                <c:pt idx="868">
                  <c:v>340.072570651791</c:v>
                </c:pt>
                <c:pt idx="869">
                  <c:v>172.136604997012</c:v>
                </c:pt>
                <c:pt idx="870">
                  <c:v>184.745948719587</c:v>
                </c:pt>
                <c:pt idx="871">
                  <c:v>190.92452713747</c:v>
                </c:pt>
                <c:pt idx="872">
                  <c:v>244.570227842276</c:v>
                </c:pt>
                <c:pt idx="873">
                  <c:v>250.386287637954</c:v>
                </c:pt>
                <c:pt idx="874">
                  <c:v>243.577242025116</c:v>
                </c:pt>
                <c:pt idx="875">
                  <c:v>244.207709220071</c:v>
                </c:pt>
                <c:pt idx="876">
                  <c:v>244.207709220071</c:v>
                </c:pt>
                <c:pt idx="877">
                  <c:v>244.207709220071</c:v>
                </c:pt>
                <c:pt idx="878">
                  <c:v>253.396768439252</c:v>
                </c:pt>
                <c:pt idx="879">
                  <c:v>253.396768439252</c:v>
                </c:pt>
                <c:pt idx="880">
                  <c:v>259.297912524947</c:v>
                </c:pt>
                <c:pt idx="881">
                  <c:v>260.022949769356</c:v>
                </c:pt>
                <c:pt idx="882">
                  <c:v>190.92452713747</c:v>
                </c:pt>
                <c:pt idx="883">
                  <c:v>250.386287637954</c:v>
                </c:pt>
                <c:pt idx="884">
                  <c:v>250.386287637954</c:v>
                </c:pt>
                <c:pt idx="885">
                  <c:v>351.748489593982</c:v>
                </c:pt>
                <c:pt idx="886">
                  <c:v>317.57750148267</c:v>
                </c:pt>
                <c:pt idx="887">
                  <c:v>317.57750148267</c:v>
                </c:pt>
                <c:pt idx="888">
                  <c:v>317.57750148267</c:v>
                </c:pt>
                <c:pt idx="889">
                  <c:v>326.146646865374</c:v>
                </c:pt>
                <c:pt idx="890">
                  <c:v>332.945184680228</c:v>
                </c:pt>
                <c:pt idx="891">
                  <c:v>229.318984141088</c:v>
                </c:pt>
                <c:pt idx="892">
                  <c:v>242.988805977962</c:v>
                </c:pt>
                <c:pt idx="893">
                  <c:v>245.370133083877</c:v>
                </c:pt>
                <c:pt idx="894">
                  <c:v>245.370133083877</c:v>
                </c:pt>
                <c:pt idx="895">
                  <c:v>245.370133083877</c:v>
                </c:pt>
                <c:pt idx="896">
                  <c:v>235.339137475294</c:v>
                </c:pt>
                <c:pt idx="897">
                  <c:v>240.740139680917</c:v>
                </c:pt>
                <c:pt idx="898">
                  <c:v>807.328028526371</c:v>
                </c:pt>
                <c:pt idx="899">
                  <c:v>788.935532487679</c:v>
                </c:pt>
                <c:pt idx="900">
                  <c:v>786.003466033121</c:v>
                </c:pt>
                <c:pt idx="901">
                  <c:v>800.07273532581</c:v>
                </c:pt>
                <c:pt idx="902">
                  <c:v>232.819895672552</c:v>
                </c:pt>
                <c:pt idx="903">
                  <c:v>243.262008438672</c:v>
                </c:pt>
                <c:pt idx="904">
                  <c:v>243.301412631461</c:v>
                </c:pt>
                <c:pt idx="905">
                  <c:v>257.062234601377</c:v>
                </c:pt>
                <c:pt idx="906">
                  <c:v>246.76460389755</c:v>
                </c:pt>
                <c:pt idx="907">
                  <c:v>237.447699938979</c:v>
                </c:pt>
                <c:pt idx="908">
                  <c:v>254.365236090538</c:v>
                </c:pt>
                <c:pt idx="909">
                  <c:v>250.197147472848</c:v>
                </c:pt>
                <c:pt idx="910">
                  <c:v>253.105893809954</c:v>
                </c:pt>
                <c:pt idx="911">
                  <c:v>269.938045008802</c:v>
                </c:pt>
                <c:pt idx="912">
                  <c:v>269.938045008802</c:v>
                </c:pt>
                <c:pt idx="913">
                  <c:v>235.11847396037</c:v>
                </c:pt>
                <c:pt idx="914">
                  <c:v>241.972416456012</c:v>
                </c:pt>
                <c:pt idx="915">
                  <c:v>243.978448411876</c:v>
                </c:pt>
                <c:pt idx="916">
                  <c:v>243.393355770035</c:v>
                </c:pt>
                <c:pt idx="917">
                  <c:v>243.978448411876</c:v>
                </c:pt>
                <c:pt idx="918">
                  <c:v>243.419625231894</c:v>
                </c:pt>
                <c:pt idx="919">
                  <c:v>248.936213105004</c:v>
                </c:pt>
                <c:pt idx="920">
                  <c:v>720.237017101654</c:v>
                </c:pt>
                <c:pt idx="921">
                  <c:v>711.240735332562</c:v>
                </c:pt>
                <c:pt idx="922">
                  <c:v>717.308981992983</c:v>
                </c:pt>
                <c:pt idx="923">
                  <c:v>723.582130482386</c:v>
                </c:pt>
                <c:pt idx="924">
                  <c:v>234.75070142814</c:v>
                </c:pt>
                <c:pt idx="925">
                  <c:v>232.819895672552</c:v>
                </c:pt>
                <c:pt idx="926">
                  <c:v>243.301412631461</c:v>
                </c:pt>
                <c:pt idx="927">
                  <c:v>236.466973215789</c:v>
                </c:pt>
                <c:pt idx="928">
                  <c:v>243.301412631461</c:v>
                </c:pt>
                <c:pt idx="929">
                  <c:v>232.819895672552</c:v>
                </c:pt>
                <c:pt idx="930">
                  <c:v>244.179051605255</c:v>
                </c:pt>
                <c:pt idx="931">
                  <c:v>233.034429640491</c:v>
                </c:pt>
                <c:pt idx="932">
                  <c:v>252.624446137016</c:v>
                </c:pt>
                <c:pt idx="933">
                  <c:v>249.719043183156</c:v>
                </c:pt>
                <c:pt idx="934">
                  <c:v>257.900310173657</c:v>
                </c:pt>
                <c:pt idx="935">
                  <c:v>308.120493690739</c:v>
                </c:pt>
                <c:pt idx="936">
                  <c:v>302.482156592389</c:v>
                </c:pt>
                <c:pt idx="937">
                  <c:v>313.515332338608</c:v>
                </c:pt>
                <c:pt idx="938">
                  <c:v>246.571961162538</c:v>
                </c:pt>
                <c:pt idx="939">
                  <c:v>246.571961162538</c:v>
                </c:pt>
                <c:pt idx="940">
                  <c:v>237.903037358784</c:v>
                </c:pt>
                <c:pt idx="941">
                  <c:v>243.916724347282</c:v>
                </c:pt>
                <c:pt idx="942">
                  <c:v>344.655733766583</c:v>
                </c:pt>
                <c:pt idx="943">
                  <c:v>316.789417494492</c:v>
                </c:pt>
                <c:pt idx="944">
                  <c:v>336.518190651553</c:v>
                </c:pt>
                <c:pt idx="945">
                  <c:v>329.130812644317</c:v>
                </c:pt>
                <c:pt idx="946">
                  <c:v>242.988805977962</c:v>
                </c:pt>
                <c:pt idx="947">
                  <c:v>242.988805977962</c:v>
                </c:pt>
                <c:pt idx="948">
                  <c:v>245.78387717436</c:v>
                </c:pt>
                <c:pt idx="949">
                  <c:v>252.403782622092</c:v>
                </c:pt>
                <c:pt idx="950">
                  <c:v>254.452800978114</c:v>
                </c:pt>
                <c:pt idx="951">
                  <c:v>242.988805977962</c:v>
                </c:pt>
                <c:pt idx="952">
                  <c:v>708.166157031971</c:v>
                </c:pt>
                <c:pt idx="953">
                  <c:v>817.905166334391</c:v>
                </c:pt>
                <c:pt idx="954">
                  <c:v>898.455979830358</c:v>
                </c:pt>
                <c:pt idx="955">
                  <c:v>789.582812124102</c:v>
                </c:pt>
                <c:pt idx="956">
                  <c:v>789.582812124102</c:v>
                </c:pt>
                <c:pt idx="957">
                  <c:v>310.773755340352</c:v>
                </c:pt>
                <c:pt idx="958">
                  <c:v>311.509300382744</c:v>
                </c:pt>
                <c:pt idx="959">
                  <c:v>238.654748232346</c:v>
                </c:pt>
                <c:pt idx="960">
                  <c:v>238.654748232346</c:v>
                </c:pt>
                <c:pt idx="961">
                  <c:v>243.430133007811</c:v>
                </c:pt>
                <c:pt idx="962">
                  <c:v>237.784824758351</c:v>
                </c:pt>
                <c:pt idx="963">
                  <c:v>237.784824758351</c:v>
                </c:pt>
                <c:pt idx="964">
                  <c:v>801.374710772618</c:v>
                </c:pt>
                <c:pt idx="965">
                  <c:v>888.329100672749</c:v>
                </c:pt>
                <c:pt idx="966">
                  <c:v>781.893608067654</c:v>
                </c:pt>
                <c:pt idx="967">
                  <c:v>781.893608067654</c:v>
                </c:pt>
                <c:pt idx="968">
                  <c:v>235.11847396037</c:v>
                </c:pt>
                <c:pt idx="969">
                  <c:v>242.988805977962</c:v>
                </c:pt>
                <c:pt idx="970">
                  <c:v>243.430133007811</c:v>
                </c:pt>
                <c:pt idx="971">
                  <c:v>245.930986191665</c:v>
                </c:pt>
                <c:pt idx="972">
                  <c:v>244.425947841564</c:v>
                </c:pt>
                <c:pt idx="973">
                  <c:v>240.740139680917</c:v>
                </c:pt>
                <c:pt idx="974">
                  <c:v>243.916724347282</c:v>
                </c:pt>
                <c:pt idx="975">
                  <c:v>240.740139680917</c:v>
                </c:pt>
                <c:pt idx="976">
                  <c:v>243.419625231894</c:v>
                </c:pt>
                <c:pt idx="977">
                  <c:v>263.148398388954</c:v>
                </c:pt>
                <c:pt idx="978">
                  <c:v>255.527020074283</c:v>
                </c:pt>
                <c:pt idx="979">
                  <c:v>242.988805977962</c:v>
                </c:pt>
                <c:pt idx="980">
                  <c:v>237.839990637082</c:v>
                </c:pt>
                <c:pt idx="981">
                  <c:v>245.370133083877</c:v>
                </c:pt>
                <c:pt idx="982">
                  <c:v>245.930986191665</c:v>
                </c:pt>
                <c:pt idx="983">
                  <c:v>245.930986191665</c:v>
                </c:pt>
                <c:pt idx="984">
                  <c:v>237.784824758351</c:v>
                </c:pt>
                <c:pt idx="985">
                  <c:v>243.419625231894</c:v>
                </c:pt>
                <c:pt idx="986">
                  <c:v>344.53752116615</c:v>
                </c:pt>
                <c:pt idx="987">
                  <c:v>429.058701775402</c:v>
                </c:pt>
                <c:pt idx="988">
                  <c:v>329.130812644317</c:v>
                </c:pt>
                <c:pt idx="989">
                  <c:v>321.953337782562</c:v>
                </c:pt>
                <c:pt idx="990">
                  <c:v>241.370606875872</c:v>
                </c:pt>
                <c:pt idx="991">
                  <c:v>348.123303283671</c:v>
                </c:pt>
                <c:pt idx="992">
                  <c:v>319.245612575533</c:v>
                </c:pt>
                <c:pt idx="993">
                  <c:v>319.245612575533</c:v>
                </c:pt>
                <c:pt idx="994">
                  <c:v>303.638266043837</c:v>
                </c:pt>
                <c:pt idx="995">
                  <c:v>319.074906611876</c:v>
                </c:pt>
                <c:pt idx="996">
                  <c:v>319.074906611876</c:v>
                </c:pt>
                <c:pt idx="997">
                  <c:v>353.419227641857</c:v>
                </c:pt>
                <c:pt idx="998">
                  <c:v>320.036323496656</c:v>
                </c:pt>
                <c:pt idx="999">
                  <c:v>308.311735411029</c:v>
                </c:pt>
                <c:pt idx="1000">
                  <c:v>330.916732192385</c:v>
                </c:pt>
                <c:pt idx="1001">
                  <c:v>241.370606875872</c:v>
                </c:pt>
                <c:pt idx="1002">
                  <c:v>241.370606875872</c:v>
                </c:pt>
                <c:pt idx="1003">
                  <c:v>245.875820312934</c:v>
                </c:pt>
                <c:pt idx="1004">
                  <c:v>245.875820312934</c:v>
                </c:pt>
                <c:pt idx="1005">
                  <c:v>251.30046504747</c:v>
                </c:pt>
                <c:pt idx="1006">
                  <c:v>242.04957154227</c:v>
                </c:pt>
                <c:pt idx="1007">
                  <c:v>225.924160831165</c:v>
                </c:pt>
                <c:pt idx="1008">
                  <c:v>359.629329409558</c:v>
                </c:pt>
                <c:pt idx="1009">
                  <c:v>305.638029147839</c:v>
                </c:pt>
                <c:pt idx="1010">
                  <c:v>330.234130218938</c:v>
                </c:pt>
                <c:pt idx="1011">
                  <c:v>324.559925552606</c:v>
                </c:pt>
                <c:pt idx="1012">
                  <c:v>217.097620234189</c:v>
                </c:pt>
                <c:pt idx="1013">
                  <c:v>225.293693636209</c:v>
                </c:pt>
                <c:pt idx="1014">
                  <c:v>220.959231745366</c:v>
                </c:pt>
                <c:pt idx="1015">
                  <c:v>228.31468223549</c:v>
                </c:pt>
                <c:pt idx="1016">
                  <c:v>248.505393851072</c:v>
                </c:pt>
                <c:pt idx="1017">
                  <c:v>247.820771151488</c:v>
                </c:pt>
                <c:pt idx="1018">
                  <c:v>228.000993911508</c:v>
                </c:pt>
                <c:pt idx="1019">
                  <c:v>227.303307799442</c:v>
                </c:pt>
                <c:pt idx="1020">
                  <c:v>240.782170828718</c:v>
                </c:pt>
                <c:pt idx="1021">
                  <c:v>245.092464834952</c:v>
                </c:pt>
                <c:pt idx="1022">
                  <c:v>232.75001888547</c:v>
                </c:pt>
                <c:pt idx="1023">
                  <c:v>315.320761101093</c:v>
                </c:pt>
                <c:pt idx="1024">
                  <c:v>310.773755340352</c:v>
                </c:pt>
                <c:pt idx="1025">
                  <c:v>333.627407763094</c:v>
                </c:pt>
                <c:pt idx="1026">
                  <c:v>305.828987955437</c:v>
                </c:pt>
                <c:pt idx="1027">
                  <c:v>302.525097409985</c:v>
                </c:pt>
                <c:pt idx="1028">
                  <c:v>305.638029147839</c:v>
                </c:pt>
                <c:pt idx="1029">
                  <c:v>302.552957716868</c:v>
                </c:pt>
                <c:pt idx="1030">
                  <c:v>428.507088548586</c:v>
                </c:pt>
                <c:pt idx="1031">
                  <c:v>409.430156723048</c:v>
                </c:pt>
                <c:pt idx="1032">
                  <c:v>315.681896809504</c:v>
                </c:pt>
                <c:pt idx="1033">
                  <c:v>309.127270977582</c:v>
                </c:pt>
                <c:pt idx="1034">
                  <c:v>246.385686754499</c:v>
                </c:pt>
                <c:pt idx="1035">
                  <c:v>231.808521236504</c:v>
                </c:pt>
                <c:pt idx="1036">
                  <c:v>245.683575566637</c:v>
                </c:pt>
                <c:pt idx="1037">
                  <c:v>353.238684770022</c:v>
                </c:pt>
                <c:pt idx="1038">
                  <c:v>431.422953717868</c:v>
                </c:pt>
                <c:pt idx="1039">
                  <c:v>402.142602697356</c:v>
                </c:pt>
                <c:pt idx="1040">
                  <c:v>320.036323496656</c:v>
                </c:pt>
                <c:pt idx="1041">
                  <c:v>505.720305765053</c:v>
                </c:pt>
                <c:pt idx="1042">
                  <c:v>398.967609357254</c:v>
                </c:pt>
                <c:pt idx="1043">
                  <c:v>385.887840148445</c:v>
                </c:pt>
                <c:pt idx="1044">
                  <c:v>388.748059599662</c:v>
                </c:pt>
                <c:pt idx="1045">
                  <c:v>239.163971726628</c:v>
                </c:pt>
                <c:pt idx="1046">
                  <c:v>240.26728930125</c:v>
                </c:pt>
                <c:pt idx="1047">
                  <c:v>245.673545416898</c:v>
                </c:pt>
                <c:pt idx="1048">
                  <c:v>251.874190186273</c:v>
                </c:pt>
                <c:pt idx="1049">
                  <c:v>251.874190186273</c:v>
                </c:pt>
                <c:pt idx="1050">
                  <c:v>717.066252126566</c:v>
                </c:pt>
                <c:pt idx="1051">
                  <c:v>719.876034209248</c:v>
                </c:pt>
                <c:pt idx="1052">
                  <c:v>239.678853254096</c:v>
                </c:pt>
                <c:pt idx="1053">
                  <c:v>248.231236160073</c:v>
                </c:pt>
                <c:pt idx="1054">
                  <c:v>226.671021961996</c:v>
                </c:pt>
                <c:pt idx="1055">
                  <c:v>251.882214306065</c:v>
                </c:pt>
                <c:pt idx="1056">
                  <c:v>225.293693636209</c:v>
                </c:pt>
                <c:pt idx="1057">
                  <c:v>225.293693636209</c:v>
                </c:pt>
                <c:pt idx="1058">
                  <c:v>344.294142284203</c:v>
                </c:pt>
                <c:pt idx="1059">
                  <c:v>298.839645863644</c:v>
                </c:pt>
                <c:pt idx="1060">
                  <c:v>301.684474498089</c:v>
                </c:pt>
                <c:pt idx="1061">
                  <c:v>302.759668309136</c:v>
                </c:pt>
                <c:pt idx="1062">
                  <c:v>401.920637592168</c:v>
                </c:pt>
                <c:pt idx="1063">
                  <c:v>955.024794331271</c:v>
                </c:pt>
                <c:pt idx="1064">
                  <c:v>773.720134118112</c:v>
                </c:pt>
                <c:pt idx="1065">
                  <c:v>304.654778475366</c:v>
                </c:pt>
                <c:pt idx="1066">
                  <c:v>392.425784855757</c:v>
                </c:pt>
                <c:pt idx="1067">
                  <c:v>236.756733384004</c:v>
                </c:pt>
                <c:pt idx="1068">
                  <c:v>215.03809410225</c:v>
                </c:pt>
                <c:pt idx="1069">
                  <c:v>241.285736289814</c:v>
                </c:pt>
                <c:pt idx="1070">
                  <c:v>246.485988362222</c:v>
                </c:pt>
                <c:pt idx="1071">
                  <c:v>247.218190021369</c:v>
                </c:pt>
                <c:pt idx="1072">
                  <c:v>198.086609707441</c:v>
                </c:pt>
                <c:pt idx="1073">
                  <c:v>210.878921173216</c:v>
                </c:pt>
                <c:pt idx="1074">
                  <c:v>210.986938280739</c:v>
                </c:pt>
                <c:pt idx="1075">
                  <c:v>251.045853289296</c:v>
                </c:pt>
                <c:pt idx="1076">
                  <c:v>244.721934008786</c:v>
                </c:pt>
                <c:pt idx="1077">
                  <c:v>244.721934008786</c:v>
                </c:pt>
                <c:pt idx="1078">
                  <c:v>236.957336577384</c:v>
                </c:pt>
                <c:pt idx="1079">
                  <c:v>236.957336577384</c:v>
                </c:pt>
                <c:pt idx="1080">
                  <c:v>244.171336105456</c:v>
                </c:pt>
                <c:pt idx="1081">
                  <c:v>246.493152754893</c:v>
                </c:pt>
                <c:pt idx="1082">
                  <c:v>248.505393851072</c:v>
                </c:pt>
                <c:pt idx="1083">
                  <c:v>215.909432073509</c:v>
                </c:pt>
                <c:pt idx="1084">
                  <c:v>241.370606875872</c:v>
                </c:pt>
                <c:pt idx="1085">
                  <c:v>347.985388586844</c:v>
                </c:pt>
                <c:pt idx="1086">
                  <c:v>312.239545976683</c:v>
                </c:pt>
                <c:pt idx="1087">
                  <c:v>323.758181455737</c:v>
                </c:pt>
                <c:pt idx="1088">
                  <c:v>318.091726271385</c:v>
                </c:pt>
                <c:pt idx="1089">
                  <c:v>246.385686754499</c:v>
                </c:pt>
                <c:pt idx="1090">
                  <c:v>357.798549697095</c:v>
                </c:pt>
                <c:pt idx="1091">
                  <c:v>330.108036775534</c:v>
                </c:pt>
                <c:pt idx="1092">
                  <c:v>306.948218767703</c:v>
                </c:pt>
                <c:pt idx="1093">
                  <c:v>304.07499592448</c:v>
                </c:pt>
                <c:pt idx="1094">
                  <c:v>290.231032878482</c:v>
                </c:pt>
                <c:pt idx="1095">
                  <c:v>311.656409400049</c:v>
                </c:pt>
                <c:pt idx="1096">
                  <c:v>231.01639579605</c:v>
                </c:pt>
                <c:pt idx="1097">
                  <c:v>359.629329409558</c:v>
                </c:pt>
                <c:pt idx="1098">
                  <c:v>300.162815683778</c:v>
                </c:pt>
                <c:pt idx="1099">
                  <c:v>310.400683337602</c:v>
                </c:pt>
                <c:pt idx="1100">
                  <c:v>187.267817455275</c:v>
                </c:pt>
                <c:pt idx="1101">
                  <c:v>196.251974845473</c:v>
                </c:pt>
                <c:pt idx="1102">
                  <c:v>193.493680908918</c:v>
                </c:pt>
                <c:pt idx="1103">
                  <c:v>198.237946479793</c:v>
                </c:pt>
                <c:pt idx="1104">
                  <c:v>198.581200846149</c:v>
                </c:pt>
                <c:pt idx="1105">
                  <c:v>191.365854167319</c:v>
                </c:pt>
                <c:pt idx="1106">
                  <c:v>196.251974845473</c:v>
                </c:pt>
                <c:pt idx="1107">
                  <c:v>191.716113695553</c:v>
                </c:pt>
                <c:pt idx="1108">
                  <c:v>187.701263642153</c:v>
                </c:pt>
                <c:pt idx="1109">
                  <c:v>196.57071102389</c:v>
                </c:pt>
                <c:pt idx="1110">
                  <c:v>192.997188000338</c:v>
                </c:pt>
                <c:pt idx="1111">
                  <c:v>187.267817455275</c:v>
                </c:pt>
                <c:pt idx="1112">
                  <c:v>194.59699848354</c:v>
                </c:pt>
                <c:pt idx="1113">
                  <c:v>198.237946479793</c:v>
                </c:pt>
                <c:pt idx="1114">
                  <c:v>200.297472611732</c:v>
                </c:pt>
                <c:pt idx="1115">
                  <c:v>196.129383994041</c:v>
                </c:pt>
                <c:pt idx="1116">
                  <c:v>196.251974845473</c:v>
                </c:pt>
                <c:pt idx="1117">
                  <c:v>189.531767790018</c:v>
                </c:pt>
                <c:pt idx="1118">
                  <c:v>188.804581216775</c:v>
                </c:pt>
                <c:pt idx="1119">
                  <c:v>175.840599714967</c:v>
                </c:pt>
                <c:pt idx="1120">
                  <c:v>196.57071102389</c:v>
                </c:pt>
                <c:pt idx="1121">
                  <c:v>200.665245143961</c:v>
                </c:pt>
                <c:pt idx="1122">
                  <c:v>192.626788535163</c:v>
                </c:pt>
                <c:pt idx="1123">
                  <c:v>200.822861937183</c:v>
                </c:pt>
                <c:pt idx="1124">
                  <c:v>200.297472611732</c:v>
                </c:pt>
                <c:pt idx="1125">
                  <c:v>200.297472611732</c:v>
                </c:pt>
                <c:pt idx="1126">
                  <c:v>200.297472611732</c:v>
                </c:pt>
                <c:pt idx="1127">
                  <c:v>198.090837462488</c:v>
                </c:pt>
                <c:pt idx="1128">
                  <c:v>198.090837462488</c:v>
                </c:pt>
                <c:pt idx="1129">
                  <c:v>195.712575152132</c:v>
                </c:pt>
                <c:pt idx="1130">
                  <c:v>195.148657270851</c:v>
                </c:pt>
                <c:pt idx="1131">
                  <c:v>200.665245143961</c:v>
                </c:pt>
                <c:pt idx="1132">
                  <c:v>197.603538874385</c:v>
                </c:pt>
                <c:pt idx="1133">
                  <c:v>186.763443703724</c:v>
                </c:pt>
                <c:pt idx="1134">
                  <c:v>189.531767790018</c:v>
                </c:pt>
                <c:pt idx="1135">
                  <c:v>191.654818291904</c:v>
                </c:pt>
                <c:pt idx="1136">
                  <c:v>191.654818291904</c:v>
                </c:pt>
                <c:pt idx="1137">
                  <c:v>189.331164596639</c:v>
                </c:pt>
                <c:pt idx="1138">
                  <c:v>189.44818314266</c:v>
                </c:pt>
                <c:pt idx="1139">
                  <c:v>189.44818314266</c:v>
                </c:pt>
                <c:pt idx="1140">
                  <c:v>187.921927157077</c:v>
                </c:pt>
                <c:pt idx="1141">
                  <c:v>193.142625314987</c:v>
                </c:pt>
                <c:pt idx="1142">
                  <c:v>192.096145321753</c:v>
                </c:pt>
                <c:pt idx="1143">
                  <c:v>198.438549673173</c:v>
                </c:pt>
                <c:pt idx="1144">
                  <c:v>188.528751823119</c:v>
                </c:pt>
                <c:pt idx="1145">
                  <c:v>187.425434248497</c:v>
                </c:pt>
                <c:pt idx="1146">
                  <c:v>191.654818291904</c:v>
                </c:pt>
                <c:pt idx="1147">
                  <c:v>191.654818291904</c:v>
                </c:pt>
                <c:pt idx="1148">
                  <c:v>193.677567164</c:v>
                </c:pt>
                <c:pt idx="1149">
                  <c:v>195.700316058162</c:v>
                </c:pt>
                <c:pt idx="1150">
                  <c:v>197.134628905171</c:v>
                </c:pt>
                <c:pt idx="1151">
                  <c:v>184.657110162203</c:v>
                </c:pt>
                <c:pt idx="1152">
                  <c:v>164.108656164131</c:v>
                </c:pt>
                <c:pt idx="1153">
                  <c:v>199.52180692625</c:v>
                </c:pt>
                <c:pt idx="1154">
                  <c:v>199.429529460385</c:v>
                </c:pt>
                <c:pt idx="1155">
                  <c:v>187.267817455275</c:v>
                </c:pt>
                <c:pt idx="1156">
                  <c:v>193.979140641752</c:v>
                </c:pt>
                <c:pt idx="1157">
                  <c:v>196.207842142488</c:v>
                </c:pt>
                <c:pt idx="1158">
                  <c:v>198.237946479793</c:v>
                </c:pt>
                <c:pt idx="1159">
                  <c:v>198.237946479793</c:v>
                </c:pt>
                <c:pt idx="1160">
                  <c:v>193.922748844797</c:v>
                </c:pt>
                <c:pt idx="1161">
                  <c:v>193.922748844797</c:v>
                </c:pt>
                <c:pt idx="1162">
                  <c:v>191.667077363807</c:v>
                </c:pt>
                <c:pt idx="1163">
                  <c:v>190.051330076098</c:v>
                </c:pt>
                <c:pt idx="1164">
                  <c:v>199.429529460385</c:v>
                </c:pt>
                <c:pt idx="1165">
                  <c:v>199.429529460385</c:v>
                </c:pt>
                <c:pt idx="1166">
                  <c:v>180.192574587739</c:v>
                </c:pt>
                <c:pt idx="1167">
                  <c:v>180.192574587739</c:v>
                </c:pt>
                <c:pt idx="1168">
                  <c:v>191.654818291904</c:v>
                </c:pt>
                <c:pt idx="1169">
                  <c:v>191.654818291904</c:v>
                </c:pt>
                <c:pt idx="1170">
                  <c:v>191.654818291904</c:v>
                </c:pt>
                <c:pt idx="1171">
                  <c:v>189.44818314266</c:v>
                </c:pt>
                <c:pt idx="1172">
                  <c:v>189.44818314266</c:v>
                </c:pt>
                <c:pt idx="1173">
                  <c:v>187.793206780727</c:v>
                </c:pt>
                <c:pt idx="1174">
                  <c:v>184.516687911391</c:v>
                </c:pt>
                <c:pt idx="1175">
                  <c:v>192.096145321753</c:v>
                </c:pt>
                <c:pt idx="1176">
                  <c:v>192.096145321753</c:v>
                </c:pt>
                <c:pt idx="1177">
                  <c:v>295.281889182035</c:v>
                </c:pt>
                <c:pt idx="1178">
                  <c:v>304.574161348568</c:v>
                </c:pt>
                <c:pt idx="1179">
                  <c:v>307.214848891498</c:v>
                </c:pt>
                <c:pt idx="1180">
                  <c:v>239.889008993104</c:v>
                </c:pt>
                <c:pt idx="1181">
                  <c:v>243.503687527497</c:v>
                </c:pt>
                <c:pt idx="1182">
                  <c:v>226.959581941353</c:v>
                </c:pt>
                <c:pt idx="1183">
                  <c:v>335.6190374306</c:v>
                </c:pt>
                <c:pt idx="1184">
                  <c:v>302.2361332854</c:v>
                </c:pt>
                <c:pt idx="1185">
                  <c:v>410.45991980005</c:v>
                </c:pt>
                <c:pt idx="1186">
                  <c:v>323.105552384053</c:v>
                </c:pt>
                <c:pt idx="1187">
                  <c:v>388.90195825679</c:v>
                </c:pt>
                <c:pt idx="1188">
                  <c:v>229.60188608726</c:v>
                </c:pt>
                <c:pt idx="1189">
                  <c:v>229.60188608726</c:v>
                </c:pt>
                <c:pt idx="1190">
                  <c:v>237.269943230883</c:v>
                </c:pt>
                <c:pt idx="1191">
                  <c:v>243.34081682425</c:v>
                </c:pt>
                <c:pt idx="1192">
                  <c:v>240.198331952836</c:v>
                </c:pt>
                <c:pt idx="1193">
                  <c:v>235.536815200058</c:v>
                </c:pt>
                <c:pt idx="1194">
                  <c:v>340.813824351801</c:v>
                </c:pt>
                <c:pt idx="1195">
                  <c:v>307.4309202066</c:v>
                </c:pt>
                <c:pt idx="1196">
                  <c:v>307.4309202066</c:v>
                </c:pt>
                <c:pt idx="1197">
                  <c:v>314.809356486885</c:v>
                </c:pt>
                <c:pt idx="1198">
                  <c:v>316.846599149978</c:v>
                </c:pt>
                <c:pt idx="1199">
                  <c:v>307.774994750654</c:v>
                </c:pt>
                <c:pt idx="1200">
                  <c:v>313.568826514683</c:v>
                </c:pt>
                <c:pt idx="1201">
                  <c:v>244.391999620381</c:v>
                </c:pt>
                <c:pt idx="1202">
                  <c:v>245.563213659436</c:v>
                </c:pt>
                <c:pt idx="1203">
                  <c:v>244.617512878036</c:v>
                </c:pt>
                <c:pt idx="1204">
                  <c:v>240.503714502117</c:v>
                </c:pt>
                <c:pt idx="1205">
                  <c:v>240.451175556332</c:v>
                </c:pt>
                <c:pt idx="1206">
                  <c:v>241.031124553706</c:v>
                </c:pt>
                <c:pt idx="1207">
                  <c:v>344.813350559805</c:v>
                </c:pt>
                <c:pt idx="1208">
                  <c:v>323.787603250371</c:v>
                </c:pt>
                <c:pt idx="1209">
                  <c:v>324.534464381202</c:v>
                </c:pt>
                <c:pt idx="1210">
                  <c:v>298.778712981562</c:v>
                </c:pt>
                <c:pt idx="1211">
                  <c:v>308.613091749362</c:v>
                </c:pt>
                <c:pt idx="1212">
                  <c:v>244.886512206312</c:v>
                </c:pt>
                <c:pt idx="1213">
                  <c:v>245.563213659436</c:v>
                </c:pt>
                <c:pt idx="1214">
                  <c:v>244.617512878036</c:v>
                </c:pt>
                <c:pt idx="1215">
                  <c:v>240.826303531703</c:v>
                </c:pt>
                <c:pt idx="1216">
                  <c:v>239.016862709323</c:v>
                </c:pt>
                <c:pt idx="1217">
                  <c:v>340.813824351801</c:v>
                </c:pt>
                <c:pt idx="1218">
                  <c:v>301.342971449785</c:v>
                </c:pt>
                <c:pt idx="1219">
                  <c:v>315.126560289588</c:v>
                </c:pt>
                <c:pt idx="1220">
                  <c:v>316.667527161455</c:v>
                </c:pt>
                <c:pt idx="1221">
                  <c:v>307.774994750654</c:v>
                </c:pt>
                <c:pt idx="1222">
                  <c:v>311.67904155486</c:v>
                </c:pt>
                <c:pt idx="1223">
                  <c:v>245.180730240922</c:v>
                </c:pt>
                <c:pt idx="1224">
                  <c:v>245.563213659436</c:v>
                </c:pt>
                <c:pt idx="1225">
                  <c:v>244.680559599738</c:v>
                </c:pt>
                <c:pt idx="1226">
                  <c:v>243.34081682425</c:v>
                </c:pt>
                <c:pt idx="1227">
                  <c:v>240.776512795532</c:v>
                </c:pt>
                <c:pt idx="1228">
                  <c:v>244.617512878036</c:v>
                </c:pt>
                <c:pt idx="1229">
                  <c:v>352.996289230896</c:v>
                </c:pt>
                <c:pt idx="1230">
                  <c:v>321.479123393444</c:v>
                </c:pt>
                <c:pt idx="1231">
                  <c:v>315.567887319437</c:v>
                </c:pt>
                <c:pt idx="1232">
                  <c:v>302.482156592389</c:v>
                </c:pt>
                <c:pt idx="1233">
                  <c:v>313.568826514683</c:v>
                </c:pt>
                <c:pt idx="1234">
                  <c:v>244.518739696149</c:v>
                </c:pt>
                <c:pt idx="1235">
                  <c:v>245.563213659436</c:v>
                </c:pt>
                <c:pt idx="1236">
                  <c:v>245.563213659436</c:v>
                </c:pt>
                <c:pt idx="1237">
                  <c:v>237.72965887962</c:v>
                </c:pt>
                <c:pt idx="1238">
                  <c:v>239.016862709323</c:v>
                </c:pt>
                <c:pt idx="1239">
                  <c:v>346.902298508445</c:v>
                </c:pt>
                <c:pt idx="1240">
                  <c:v>312.386654971922</c:v>
                </c:pt>
                <c:pt idx="1241">
                  <c:v>314.809356486885</c:v>
                </c:pt>
                <c:pt idx="1242">
                  <c:v>315.664427607217</c:v>
                </c:pt>
                <c:pt idx="1243">
                  <c:v>322.358589873882</c:v>
                </c:pt>
                <c:pt idx="1244">
                  <c:v>319.232523405098</c:v>
                </c:pt>
                <c:pt idx="1245">
                  <c:v>249.374674377784</c:v>
                </c:pt>
                <c:pt idx="1246">
                  <c:v>250.096845865125</c:v>
                </c:pt>
                <c:pt idx="1247">
                  <c:v>250.096845865125</c:v>
                </c:pt>
                <c:pt idx="1248">
                  <c:v>245.924299403106</c:v>
                </c:pt>
                <c:pt idx="1249">
                  <c:v>246.123359496526</c:v>
                </c:pt>
                <c:pt idx="1250">
                  <c:v>351.433256007537</c:v>
                </c:pt>
                <c:pt idx="1251">
                  <c:v>319.493151759125</c:v>
                </c:pt>
                <c:pt idx="1252">
                  <c:v>327.081794288295</c:v>
                </c:pt>
                <c:pt idx="1253">
                  <c:v>329.626699346088</c:v>
                </c:pt>
                <c:pt idx="1254">
                  <c:v>309.696661645028</c:v>
                </c:pt>
                <c:pt idx="1255">
                  <c:v>308.613091749362</c:v>
                </c:pt>
                <c:pt idx="1256">
                  <c:v>314.115888152789</c:v>
                </c:pt>
                <c:pt idx="1257">
                  <c:v>240.198331952836</c:v>
                </c:pt>
                <c:pt idx="1258">
                  <c:v>245.563213659436</c:v>
                </c:pt>
                <c:pt idx="1259">
                  <c:v>235.633355487838</c:v>
                </c:pt>
                <c:pt idx="1260">
                  <c:v>234.061127944002</c:v>
                </c:pt>
                <c:pt idx="1261">
                  <c:v>340.813824351801</c:v>
                </c:pt>
                <c:pt idx="1262">
                  <c:v>307.4309202066</c:v>
                </c:pt>
                <c:pt idx="1263">
                  <c:v>314.947271183712</c:v>
                </c:pt>
                <c:pt idx="1264">
                  <c:v>315.28470248264</c:v>
                </c:pt>
                <c:pt idx="1265">
                  <c:v>302.682759785768</c:v>
                </c:pt>
                <c:pt idx="1266">
                  <c:v>309.824233549527</c:v>
                </c:pt>
                <c:pt idx="1267">
                  <c:v>231.22008518935</c:v>
                </c:pt>
                <c:pt idx="1268">
                  <c:v>241.733125498077</c:v>
                </c:pt>
                <c:pt idx="1269">
                  <c:v>236.263822682793</c:v>
                </c:pt>
                <c:pt idx="1270">
                  <c:v>242.326815433189</c:v>
                </c:pt>
                <c:pt idx="1271">
                  <c:v>230.337431129652</c:v>
                </c:pt>
                <c:pt idx="1272">
                  <c:v>234.241477933858</c:v>
                </c:pt>
                <c:pt idx="1273">
                  <c:v>341.656164886431</c:v>
                </c:pt>
                <c:pt idx="1274">
                  <c:v>316.763148032633</c:v>
                </c:pt>
                <c:pt idx="1275">
                  <c:v>315.28470248264</c:v>
                </c:pt>
                <c:pt idx="1276">
                  <c:v>302.927941466566</c:v>
                </c:pt>
                <c:pt idx="1277">
                  <c:v>313.763220567748</c:v>
                </c:pt>
                <c:pt idx="1278">
                  <c:v>247.6279937014</c:v>
                </c:pt>
                <c:pt idx="1279">
                  <c:v>242.949199723593</c:v>
                </c:pt>
                <c:pt idx="1280">
                  <c:v>246.055463032093</c:v>
                </c:pt>
                <c:pt idx="1281">
                  <c:v>239.859910514651</c:v>
                </c:pt>
                <c:pt idx="1282">
                  <c:v>236.221791534992</c:v>
                </c:pt>
                <c:pt idx="1283">
                  <c:v>346.086409306543</c:v>
                </c:pt>
                <c:pt idx="1284">
                  <c:v>309.59158379759</c:v>
                </c:pt>
                <c:pt idx="1285">
                  <c:v>326.829607423553</c:v>
                </c:pt>
                <c:pt idx="1286">
                  <c:v>322.731570711509</c:v>
                </c:pt>
                <c:pt idx="1287">
                  <c:v>303.306017005491</c:v>
                </c:pt>
                <c:pt idx="1288">
                  <c:v>304.488188548253</c:v>
                </c:pt>
                <c:pt idx="1289">
                  <c:v>310.004776421363</c:v>
                </c:pt>
                <c:pt idx="1290">
                  <c:v>234.987126629007</c:v>
                </c:pt>
                <c:pt idx="1291">
                  <c:v>234.987126629007</c:v>
                </c:pt>
                <c:pt idx="1292">
                  <c:v>228.096847737159</c:v>
                </c:pt>
                <c:pt idx="1293">
                  <c:v>232.034842784614</c:v>
                </c:pt>
                <c:pt idx="1294">
                  <c:v>228.31468223549</c:v>
                </c:pt>
                <c:pt idx="1295">
                  <c:v>330.6708252831</c:v>
                </c:pt>
                <c:pt idx="1296">
                  <c:v>323.162389965441</c:v>
                </c:pt>
                <c:pt idx="1297">
                  <c:v>318.003066826577</c:v>
                </c:pt>
                <c:pt idx="1298">
                  <c:v>304.933131818305</c:v>
                </c:pt>
                <c:pt idx="1299">
                  <c:v>315.701907166308</c:v>
                </c:pt>
                <c:pt idx="1300">
                  <c:v>323.358931134184</c:v>
                </c:pt>
                <c:pt idx="1301">
                  <c:v>245.710322676741</c:v>
                </c:pt>
                <c:pt idx="1302">
                  <c:v>241.839516845087</c:v>
                </c:pt>
                <c:pt idx="1303">
                  <c:v>238.943308211704</c:v>
                </c:pt>
                <c:pt idx="1304">
                  <c:v>230.827794491247</c:v>
                </c:pt>
                <c:pt idx="1305">
                  <c:v>225.924160831165</c:v>
                </c:pt>
                <c:pt idx="1306">
                  <c:v>328.999131982868</c:v>
                </c:pt>
                <c:pt idx="1307">
                  <c:v>300.176607153461</c:v>
                </c:pt>
                <c:pt idx="1308">
                  <c:v>300.176607153461</c:v>
                </c:pt>
                <c:pt idx="1309">
                  <c:v>179.702211226144</c:v>
                </c:pt>
                <c:pt idx="1310">
                  <c:v>179.702211226144</c:v>
                </c:pt>
                <c:pt idx="1311">
                  <c:v>191.838704546985</c:v>
                </c:pt>
                <c:pt idx="1312">
                  <c:v>193.790727938055</c:v>
                </c:pt>
                <c:pt idx="1313">
                  <c:v>195.463890857296</c:v>
                </c:pt>
                <c:pt idx="1314">
                  <c:v>170.560437042723</c:v>
                </c:pt>
                <c:pt idx="1315">
                  <c:v>182.570836920161</c:v>
                </c:pt>
                <c:pt idx="1316">
                  <c:v>174.380326445352</c:v>
                </c:pt>
                <c:pt idx="1317">
                  <c:v>174.380326445352</c:v>
                </c:pt>
                <c:pt idx="1318">
                  <c:v>179.014260258764</c:v>
                </c:pt>
                <c:pt idx="1319">
                  <c:v>186.69448635531</c:v>
                </c:pt>
                <c:pt idx="1320">
                  <c:v>175.919408122611</c:v>
                </c:pt>
                <c:pt idx="1321">
                  <c:v>175.919408122611</c:v>
                </c:pt>
                <c:pt idx="1322">
                  <c:v>190.104919777408</c:v>
                </c:pt>
                <c:pt idx="1323">
                  <c:v>190.367614440134</c:v>
                </c:pt>
                <c:pt idx="1324">
                  <c:v>190.367614440134</c:v>
                </c:pt>
                <c:pt idx="1325">
                  <c:v>177.4955760769</c:v>
                </c:pt>
                <c:pt idx="1326">
                  <c:v>175.919408122611</c:v>
                </c:pt>
                <c:pt idx="1327">
                  <c:v>178.721484502954</c:v>
                </c:pt>
                <c:pt idx="1328">
                  <c:v>177.4955760769</c:v>
                </c:pt>
                <c:pt idx="1329">
                  <c:v>180.647912007543</c:v>
                </c:pt>
                <c:pt idx="1330">
                  <c:v>180.647912007543</c:v>
                </c:pt>
                <c:pt idx="1331">
                  <c:v>173.817850820804</c:v>
                </c:pt>
                <c:pt idx="1332">
                  <c:v>173.817850820804</c:v>
                </c:pt>
                <c:pt idx="1333">
                  <c:v>186.689889206105</c:v>
                </c:pt>
                <c:pt idx="1334">
                  <c:v>186.689889206105</c:v>
                </c:pt>
                <c:pt idx="1335">
                  <c:v>188.528751823119</c:v>
                </c:pt>
                <c:pt idx="1336">
                  <c:v>175.919408122611</c:v>
                </c:pt>
                <c:pt idx="1337">
                  <c:v>188.528751823119</c:v>
                </c:pt>
                <c:pt idx="1338">
                  <c:v>188.528751823119</c:v>
                </c:pt>
                <c:pt idx="1339">
                  <c:v>188.528751823119</c:v>
                </c:pt>
                <c:pt idx="1340">
                  <c:v>179.702211226144</c:v>
                </c:pt>
                <c:pt idx="1341">
                  <c:v>179.702211226144</c:v>
                </c:pt>
                <c:pt idx="1342">
                  <c:v>179.702211226144</c:v>
                </c:pt>
                <c:pt idx="1343">
                  <c:v>179.702211226144</c:v>
                </c:pt>
                <c:pt idx="1344">
                  <c:v>191.838704546985</c:v>
                </c:pt>
                <c:pt idx="1345">
                  <c:v>191.838704546985</c:v>
                </c:pt>
                <c:pt idx="1346">
                  <c:v>189.531767790018</c:v>
                </c:pt>
                <c:pt idx="1347">
                  <c:v>172.480496198272</c:v>
                </c:pt>
                <c:pt idx="1348">
                  <c:v>172.480496198272</c:v>
                </c:pt>
                <c:pt idx="1349">
                  <c:v>172.480496198272</c:v>
                </c:pt>
                <c:pt idx="1350">
                  <c:v>172.480496198272</c:v>
                </c:pt>
                <c:pt idx="1351">
                  <c:v>176.492560110001</c:v>
                </c:pt>
                <c:pt idx="1352">
                  <c:v>176.492560110001</c:v>
                </c:pt>
                <c:pt idx="1353">
                  <c:v>188.528751823119</c:v>
                </c:pt>
                <c:pt idx="1354">
                  <c:v>188.528751823119</c:v>
                </c:pt>
                <c:pt idx="1355">
                  <c:v>194.045339696229</c:v>
                </c:pt>
                <c:pt idx="1356">
                  <c:v>194.045339696229</c:v>
                </c:pt>
                <c:pt idx="1357">
                  <c:v>194.045339696229</c:v>
                </c:pt>
                <c:pt idx="1358">
                  <c:v>178.721484502954</c:v>
                </c:pt>
                <c:pt idx="1359">
                  <c:v>188.528751823119</c:v>
                </c:pt>
                <c:pt idx="1360">
                  <c:v>188.528751823119</c:v>
                </c:pt>
                <c:pt idx="1361">
                  <c:v>188.528751823119</c:v>
                </c:pt>
                <c:pt idx="1362">
                  <c:v>175.288940927656</c:v>
                </c:pt>
                <c:pt idx="1363">
                  <c:v>175.288940927656</c:v>
                </c:pt>
                <c:pt idx="1364">
                  <c:v>188.528751823119</c:v>
                </c:pt>
                <c:pt idx="1365">
                  <c:v>188.528751823119</c:v>
                </c:pt>
                <c:pt idx="1366">
                  <c:v>193.257255708052</c:v>
                </c:pt>
                <c:pt idx="1367">
                  <c:v>193.257255708052</c:v>
                </c:pt>
                <c:pt idx="1368">
                  <c:v>194.833423684407</c:v>
                </c:pt>
                <c:pt idx="1369">
                  <c:v>188.528751823119</c:v>
                </c:pt>
                <c:pt idx="1370">
                  <c:v>188.528751823119</c:v>
                </c:pt>
                <c:pt idx="1371">
                  <c:v>188.528751823119</c:v>
                </c:pt>
                <c:pt idx="1372">
                  <c:v>188.528751823119</c:v>
                </c:pt>
                <c:pt idx="1373">
                  <c:v>193.257255708052</c:v>
                </c:pt>
                <c:pt idx="1374">
                  <c:v>193.257255708052</c:v>
                </c:pt>
                <c:pt idx="1375">
                  <c:v>179.702211226144</c:v>
                </c:pt>
                <c:pt idx="1376">
                  <c:v>179.702211226144</c:v>
                </c:pt>
                <c:pt idx="1377">
                  <c:v>191.838704546985</c:v>
                </c:pt>
                <c:pt idx="1378">
                  <c:v>191.838704546985</c:v>
                </c:pt>
                <c:pt idx="1379">
                  <c:v>191.838704546985</c:v>
                </c:pt>
                <c:pt idx="1380">
                  <c:v>179.702211226144</c:v>
                </c:pt>
                <c:pt idx="1381">
                  <c:v>179.702211226144</c:v>
                </c:pt>
                <c:pt idx="1382">
                  <c:v>179.702211226144</c:v>
                </c:pt>
                <c:pt idx="1383">
                  <c:v>179.702211226144</c:v>
                </c:pt>
                <c:pt idx="1384">
                  <c:v>184.115481524632</c:v>
                </c:pt>
                <c:pt idx="1385">
                  <c:v>184.115481524632</c:v>
                </c:pt>
              </c:numCache>
            </c:numRef>
          </c:xVal>
          <c:yVal>
            <c:numRef>
              <c:f>'Residual Diagnostics'!$G$2:$G$1387</c:f>
              <c:numCache>
                <c:formatCode>0.000</c:formatCode>
                <c:ptCount val="1386"/>
                <c:pt idx="0">
                  <c:v>-0.591452747246189</c:v>
                </c:pt>
                <c:pt idx="1">
                  <c:v>0.184466940004436</c:v>
                </c:pt>
                <c:pt idx="2">
                  <c:v>0.868585502742337</c:v>
                </c:pt>
                <c:pt idx="3">
                  <c:v>0.708585747252563</c:v>
                </c:pt>
                <c:pt idx="4">
                  <c:v>1.3711161052562</c:v>
                </c:pt>
                <c:pt idx="5">
                  <c:v>-0.90489122294396</c:v>
                </c:pt>
                <c:pt idx="6">
                  <c:v>0.737401547916769</c:v>
                </c:pt>
                <c:pt idx="7">
                  <c:v>1.22670195796806</c:v>
                </c:pt>
                <c:pt idx="8">
                  <c:v>-0.6043223445605</c:v>
                </c:pt>
                <c:pt idx="9">
                  <c:v>0.12686497845841</c:v>
                </c:pt>
                <c:pt idx="10">
                  <c:v>-1.21627162773994</c:v>
                </c:pt>
                <c:pt idx="11">
                  <c:v>-0.753058931257682</c:v>
                </c:pt>
                <c:pt idx="12">
                  <c:v>1.11013350048459</c:v>
                </c:pt>
                <c:pt idx="13">
                  <c:v>-1.03981789387232</c:v>
                </c:pt>
                <c:pt idx="14">
                  <c:v>-0.702474006252651</c:v>
                </c:pt>
                <c:pt idx="15">
                  <c:v>1.38760538517672</c:v>
                </c:pt>
                <c:pt idx="16">
                  <c:v>-1.02087764395953</c:v>
                </c:pt>
                <c:pt idx="17">
                  <c:v>-0.869380847391636</c:v>
                </c:pt>
                <c:pt idx="18">
                  <c:v>2.57794870237353</c:v>
                </c:pt>
                <c:pt idx="19">
                  <c:v>-1.57188631080449</c:v>
                </c:pt>
                <c:pt idx="20">
                  <c:v>1.06446598833101</c:v>
                </c:pt>
                <c:pt idx="21">
                  <c:v>0.0406375688760156</c:v>
                </c:pt>
                <c:pt idx="22">
                  <c:v>-0.552643702102137</c:v>
                </c:pt>
                <c:pt idx="23">
                  <c:v>0.594021872193128</c:v>
                </c:pt>
                <c:pt idx="24">
                  <c:v>0.479440055131013</c:v>
                </c:pt>
                <c:pt idx="25">
                  <c:v>0.308135010792883</c:v>
                </c:pt>
                <c:pt idx="26">
                  <c:v>-1.13650935623032</c:v>
                </c:pt>
                <c:pt idx="27">
                  <c:v>0.407470241359848</c:v>
                </c:pt>
                <c:pt idx="28">
                  <c:v>0.753379565857125</c:v>
                </c:pt>
                <c:pt idx="29">
                  <c:v>-0.830254635789014</c:v>
                </c:pt>
                <c:pt idx="30">
                  <c:v>-1.44844996310789</c:v>
                </c:pt>
                <c:pt idx="31">
                  <c:v>0.257832444132145</c:v>
                </c:pt>
                <c:pt idx="32">
                  <c:v>-0.501773686399806</c:v>
                </c:pt>
                <c:pt idx="33">
                  <c:v>1.08369489265731</c:v>
                </c:pt>
                <c:pt idx="34">
                  <c:v>-0.378362630985275</c:v>
                </c:pt>
                <c:pt idx="35">
                  <c:v>0.962171904111539</c:v>
                </c:pt>
                <c:pt idx="36">
                  <c:v>0.694463500981155</c:v>
                </c:pt>
                <c:pt idx="37">
                  <c:v>0.89916701356277</c:v>
                </c:pt>
                <c:pt idx="38">
                  <c:v>-1.0473534955552</c:v>
                </c:pt>
                <c:pt idx="39">
                  <c:v>0.383874365735535</c:v>
                </c:pt>
                <c:pt idx="40">
                  <c:v>-0.928800119620143</c:v>
                </c:pt>
                <c:pt idx="41">
                  <c:v>-1.12501644309982</c:v>
                </c:pt>
                <c:pt idx="42">
                  <c:v>0.321006502423566</c:v>
                </c:pt>
                <c:pt idx="43">
                  <c:v>-0.748110065234678</c:v>
                </c:pt>
                <c:pt idx="44">
                  <c:v>-0.565338695444336</c:v>
                </c:pt>
                <c:pt idx="45">
                  <c:v>-1.40175468950087</c:v>
                </c:pt>
                <c:pt idx="46">
                  <c:v>-0.896194577207683</c:v>
                </c:pt>
                <c:pt idx="47">
                  <c:v>0.24488842808876</c:v>
                </c:pt>
                <c:pt idx="48">
                  <c:v>-0.627959553259709</c:v>
                </c:pt>
                <c:pt idx="49">
                  <c:v>0.378370006207298</c:v>
                </c:pt>
                <c:pt idx="50">
                  <c:v>0.0725270372215445</c:v>
                </c:pt>
                <c:pt idx="51">
                  <c:v>-0.175112086905385</c:v>
                </c:pt>
                <c:pt idx="52">
                  <c:v>-0.239484003404794</c:v>
                </c:pt>
                <c:pt idx="53">
                  <c:v>-1.07829508356776</c:v>
                </c:pt>
                <c:pt idx="54">
                  <c:v>0.761206499204955</c:v>
                </c:pt>
                <c:pt idx="55">
                  <c:v>0.0624664126391112</c:v>
                </c:pt>
                <c:pt idx="56">
                  <c:v>1.11301854200842</c:v>
                </c:pt>
                <c:pt idx="57">
                  <c:v>-0.489176378323714</c:v>
                </c:pt>
                <c:pt idx="58">
                  <c:v>1.07063535678959</c:v>
                </c:pt>
                <c:pt idx="59">
                  <c:v>0.364126605797203</c:v>
                </c:pt>
                <c:pt idx="60">
                  <c:v>-0.478052018324563</c:v>
                </c:pt>
                <c:pt idx="61">
                  <c:v>1.32060443792848</c:v>
                </c:pt>
                <c:pt idx="62">
                  <c:v>1.24789080886334</c:v>
                </c:pt>
                <c:pt idx="63">
                  <c:v>0.262586954193873</c:v>
                </c:pt>
                <c:pt idx="64">
                  <c:v>-1.56843718072797</c:v>
                </c:pt>
                <c:pt idx="65">
                  <c:v>1.2549026730781</c:v>
                </c:pt>
                <c:pt idx="66">
                  <c:v>0.440770327598339</c:v>
                </c:pt>
                <c:pt idx="67">
                  <c:v>-0.966795313596372</c:v>
                </c:pt>
                <c:pt idx="68">
                  <c:v>-0.458046564767247</c:v>
                </c:pt>
                <c:pt idx="69">
                  <c:v>-0.0167108249236931</c:v>
                </c:pt>
                <c:pt idx="70">
                  <c:v>-0.0475668947289281</c:v>
                </c:pt>
                <c:pt idx="71">
                  <c:v>0.585457979483075</c:v>
                </c:pt>
                <c:pt idx="72">
                  <c:v>1.20226426483411</c:v>
                </c:pt>
                <c:pt idx="73">
                  <c:v>-0.976133133249282</c:v>
                </c:pt>
                <c:pt idx="74">
                  <c:v>1.17295620031152</c:v>
                </c:pt>
                <c:pt idx="75">
                  <c:v>1.03954196301494</c:v>
                </c:pt>
                <c:pt idx="76">
                  <c:v>-1.52569031413383</c:v>
                </c:pt>
                <c:pt idx="77">
                  <c:v>-1.04034667823523</c:v>
                </c:pt>
                <c:pt idx="78">
                  <c:v>2.08529885799013</c:v>
                </c:pt>
                <c:pt idx="79">
                  <c:v>0.253432829618645</c:v>
                </c:pt>
                <c:pt idx="80">
                  <c:v>1.65873631577515</c:v>
                </c:pt>
                <c:pt idx="81">
                  <c:v>0.828665167038495</c:v>
                </c:pt>
                <c:pt idx="82">
                  <c:v>-1.36901159359947</c:v>
                </c:pt>
                <c:pt idx="83">
                  <c:v>-0.245838149647361</c:v>
                </c:pt>
                <c:pt idx="84">
                  <c:v>0.274395572002493</c:v>
                </c:pt>
                <c:pt idx="85">
                  <c:v>0.732404963834476</c:v>
                </c:pt>
                <c:pt idx="86">
                  <c:v>-1.51819234828929</c:v>
                </c:pt>
                <c:pt idx="87">
                  <c:v>-0.231308435614076</c:v>
                </c:pt>
                <c:pt idx="88">
                  <c:v>-0.704584524673302</c:v>
                </c:pt>
                <c:pt idx="89">
                  <c:v>-0.100921640584281</c:v>
                </c:pt>
                <c:pt idx="90">
                  <c:v>2.23796895532237</c:v>
                </c:pt>
                <c:pt idx="91">
                  <c:v>1.17795363156336</c:v>
                </c:pt>
                <c:pt idx="92">
                  <c:v>-0.0908412907124602</c:v>
                </c:pt>
                <c:pt idx="93">
                  <c:v>-0.52764734433665</c:v>
                </c:pt>
                <c:pt idx="94">
                  <c:v>-0.271197423260038</c:v>
                </c:pt>
                <c:pt idx="95">
                  <c:v>0.639681247028534</c:v>
                </c:pt>
                <c:pt idx="96">
                  <c:v>0.100471132057437</c:v>
                </c:pt>
                <c:pt idx="97">
                  <c:v>-0.207614069194027</c:v>
                </c:pt>
                <c:pt idx="98">
                  <c:v>0.233218165967411</c:v>
                </c:pt>
                <c:pt idx="99">
                  <c:v>-1.04831175349772</c:v>
                </c:pt>
                <c:pt idx="100">
                  <c:v>1.31368202214398</c:v>
                </c:pt>
                <c:pt idx="101">
                  <c:v>-1.59771126392947</c:v>
                </c:pt>
                <c:pt idx="102">
                  <c:v>0.238553224379574</c:v>
                </c:pt>
                <c:pt idx="103">
                  <c:v>-0.636555908661049</c:v>
                </c:pt>
                <c:pt idx="104">
                  <c:v>-0.258558129967061</c:v>
                </c:pt>
                <c:pt idx="105">
                  <c:v>-1.27870070896322</c:v>
                </c:pt>
                <c:pt idx="106">
                  <c:v>0.06506518040968</c:v>
                </c:pt>
                <c:pt idx="107">
                  <c:v>-0.41944388674738</c:v>
                </c:pt>
                <c:pt idx="108">
                  <c:v>0.37566105527284</c:v>
                </c:pt>
                <c:pt idx="109">
                  <c:v>0.49664656213911</c:v>
                </c:pt>
                <c:pt idx="110">
                  <c:v>-0.402137807731415</c:v>
                </c:pt>
                <c:pt idx="111">
                  <c:v>-1.52415002687666</c:v>
                </c:pt>
                <c:pt idx="112">
                  <c:v>-0.699933144166894</c:v>
                </c:pt>
                <c:pt idx="113">
                  <c:v>1.3107744830998</c:v>
                </c:pt>
                <c:pt idx="114">
                  <c:v>1.13135872919498</c:v>
                </c:pt>
                <c:pt idx="115">
                  <c:v>-0.866293042339967</c:v>
                </c:pt>
                <c:pt idx="116">
                  <c:v>-0.691975330906767</c:v>
                </c:pt>
                <c:pt idx="117">
                  <c:v>-1.65016110301461</c:v>
                </c:pt>
                <c:pt idx="118">
                  <c:v>0.902269318030417</c:v>
                </c:pt>
                <c:pt idx="119">
                  <c:v>0.579118318916317</c:v>
                </c:pt>
                <c:pt idx="120">
                  <c:v>0.445858707107143</c:v>
                </c:pt>
                <c:pt idx="121">
                  <c:v>1.36075956246216</c:v>
                </c:pt>
                <c:pt idx="122">
                  <c:v>-1.79292164402052</c:v>
                </c:pt>
                <c:pt idx="123">
                  <c:v>0.256447973300068</c:v>
                </c:pt>
                <c:pt idx="124">
                  <c:v>-0.713508669757342</c:v>
                </c:pt>
                <c:pt idx="125">
                  <c:v>0.209360617193541</c:v>
                </c:pt>
                <c:pt idx="126">
                  <c:v>-0.270800668908025</c:v>
                </c:pt>
                <c:pt idx="127">
                  <c:v>-0.639871624728862</c:v>
                </c:pt>
                <c:pt idx="128">
                  <c:v>1.45350751537508</c:v>
                </c:pt>
                <c:pt idx="129">
                  <c:v>2.49314466510078</c:v>
                </c:pt>
                <c:pt idx="130">
                  <c:v>0.609013674118912</c:v>
                </c:pt>
                <c:pt idx="131">
                  <c:v>0.592991271624021</c:v>
                </c:pt>
                <c:pt idx="132">
                  <c:v>-1.08703199079896</c:v>
                </c:pt>
                <c:pt idx="133">
                  <c:v>-0.276048358438837</c:v>
                </c:pt>
                <c:pt idx="134">
                  <c:v>-0.673770046000747</c:v>
                </c:pt>
                <c:pt idx="135">
                  <c:v>0.336107510390569</c:v>
                </c:pt>
                <c:pt idx="136">
                  <c:v>-1.10604273136439</c:v>
                </c:pt>
                <c:pt idx="137">
                  <c:v>1.92624295418089</c:v>
                </c:pt>
                <c:pt idx="138">
                  <c:v>0.485758019382596</c:v>
                </c:pt>
                <c:pt idx="139">
                  <c:v>-0.983584415584119</c:v>
                </c:pt>
                <c:pt idx="140">
                  <c:v>1.55760172587081</c:v>
                </c:pt>
                <c:pt idx="141">
                  <c:v>-0.2172908686202</c:v>
                </c:pt>
                <c:pt idx="142">
                  <c:v>-0.755759189575128</c:v>
                </c:pt>
                <c:pt idx="143">
                  <c:v>-0.513112843410631</c:v>
                </c:pt>
                <c:pt idx="144">
                  <c:v>0.630837496747818</c:v>
                </c:pt>
                <c:pt idx="145">
                  <c:v>-0.339031669663307</c:v>
                </c:pt>
                <c:pt idx="146">
                  <c:v>0.68212281184761</c:v>
                </c:pt>
                <c:pt idx="147">
                  <c:v>-0.183060428562469</c:v>
                </c:pt>
                <c:pt idx="148">
                  <c:v>-0.229017393468346</c:v>
                </c:pt>
                <c:pt idx="149">
                  <c:v>0.331792809110343</c:v>
                </c:pt>
                <c:pt idx="150">
                  <c:v>-1.05749148254668</c:v>
                </c:pt>
                <c:pt idx="151">
                  <c:v>0.816440893199212</c:v>
                </c:pt>
                <c:pt idx="152">
                  <c:v>-0.598025223968457</c:v>
                </c:pt>
                <c:pt idx="153">
                  <c:v>-0.127749171730642</c:v>
                </c:pt>
                <c:pt idx="154">
                  <c:v>0.62732792372662</c:v>
                </c:pt>
                <c:pt idx="155">
                  <c:v>0.461035208753856</c:v>
                </c:pt>
                <c:pt idx="156">
                  <c:v>0.87884904691193</c:v>
                </c:pt>
                <c:pt idx="157">
                  <c:v>0.69042175155486</c:v>
                </c:pt>
                <c:pt idx="158">
                  <c:v>-0.0947536610200656</c:v>
                </c:pt>
                <c:pt idx="159">
                  <c:v>1.04002854842286</c:v>
                </c:pt>
                <c:pt idx="160">
                  <c:v>-1.23381124357247</c:v>
                </c:pt>
                <c:pt idx="161">
                  <c:v>-0.242405385141433</c:v>
                </c:pt>
                <c:pt idx="162">
                  <c:v>0.909746624517692</c:v>
                </c:pt>
                <c:pt idx="163">
                  <c:v>0.0883011161189961</c:v>
                </c:pt>
                <c:pt idx="164">
                  <c:v>-0.111532290335011</c:v>
                </c:pt>
                <c:pt idx="165">
                  <c:v>-1.16766081753196</c:v>
                </c:pt>
                <c:pt idx="166">
                  <c:v>0.604339787396852</c:v>
                </c:pt>
                <c:pt idx="167">
                  <c:v>-0.677118138115684</c:v>
                </c:pt>
                <c:pt idx="168">
                  <c:v>-0.352540273643397</c:v>
                </c:pt>
                <c:pt idx="169">
                  <c:v>0.956184204769341</c:v>
                </c:pt>
                <c:pt idx="170">
                  <c:v>0.0371060422736218</c:v>
                </c:pt>
                <c:pt idx="171">
                  <c:v>-2.07489448464015</c:v>
                </c:pt>
                <c:pt idx="172">
                  <c:v>1.48829061182398</c:v>
                </c:pt>
                <c:pt idx="173">
                  <c:v>-0.0759875741806398</c:v>
                </c:pt>
                <c:pt idx="174">
                  <c:v>0.386311512240983</c:v>
                </c:pt>
                <c:pt idx="175">
                  <c:v>1.00371380417373</c:v>
                </c:pt>
                <c:pt idx="176">
                  <c:v>1.15793562587095</c:v>
                </c:pt>
                <c:pt idx="177">
                  <c:v>0.583056880004031</c:v>
                </c:pt>
                <c:pt idx="178">
                  <c:v>-1.2005341486281</c:v>
                </c:pt>
                <c:pt idx="179">
                  <c:v>0.0857143721278733</c:v>
                </c:pt>
                <c:pt idx="180">
                  <c:v>1.21990700094472</c:v>
                </c:pt>
                <c:pt idx="181">
                  <c:v>0.0213475225390439</c:v>
                </c:pt>
                <c:pt idx="182">
                  <c:v>-1.27809970007074</c:v>
                </c:pt>
                <c:pt idx="183">
                  <c:v>-0.774423990510479</c:v>
                </c:pt>
                <c:pt idx="184">
                  <c:v>2.06344641710305</c:v>
                </c:pt>
                <c:pt idx="185">
                  <c:v>-0.946413234254835</c:v>
                </c:pt>
                <c:pt idx="186">
                  <c:v>-1.06487673214419</c:v>
                </c:pt>
                <c:pt idx="187">
                  <c:v>1.29931010775902</c:v>
                </c:pt>
                <c:pt idx="188">
                  <c:v>-0.704650455999459</c:v>
                </c:pt>
                <c:pt idx="189">
                  <c:v>-2.48774143767359</c:v>
                </c:pt>
                <c:pt idx="190">
                  <c:v>1.40287665974127</c:v>
                </c:pt>
                <c:pt idx="191">
                  <c:v>0.155510850437598</c:v>
                </c:pt>
                <c:pt idx="192">
                  <c:v>0.539090083552714</c:v>
                </c:pt>
                <c:pt idx="193">
                  <c:v>0.861512809927752</c:v>
                </c:pt>
                <c:pt idx="194">
                  <c:v>0.670950596842598</c:v>
                </c:pt>
                <c:pt idx="195">
                  <c:v>-0.977119809186246</c:v>
                </c:pt>
                <c:pt idx="196">
                  <c:v>-1.38792545309878</c:v>
                </c:pt>
                <c:pt idx="197">
                  <c:v>0.798837458009574</c:v>
                </c:pt>
                <c:pt idx="198">
                  <c:v>0.964592299460181</c:v>
                </c:pt>
                <c:pt idx="199">
                  <c:v>-0.83829312355239</c:v>
                </c:pt>
                <c:pt idx="200">
                  <c:v>-1.89322706268055</c:v>
                </c:pt>
                <c:pt idx="201">
                  <c:v>-1.13223599692432</c:v>
                </c:pt>
                <c:pt idx="202">
                  <c:v>0.403975546857094</c:v>
                </c:pt>
                <c:pt idx="203">
                  <c:v>1.12696586506866</c:v>
                </c:pt>
                <c:pt idx="204">
                  <c:v>-1.57289331229871</c:v>
                </c:pt>
                <c:pt idx="205">
                  <c:v>0.55044962620571</c:v>
                </c:pt>
                <c:pt idx="206">
                  <c:v>0.194847525493266</c:v>
                </c:pt>
                <c:pt idx="207">
                  <c:v>0.567141540078421</c:v>
                </c:pt>
                <c:pt idx="208">
                  <c:v>-0.453238599548399</c:v>
                </c:pt>
                <c:pt idx="209">
                  <c:v>-1.56855502071116</c:v>
                </c:pt>
                <c:pt idx="210">
                  <c:v>1.4087279918473</c:v>
                </c:pt>
                <c:pt idx="211">
                  <c:v>-0.551544195996291</c:v>
                </c:pt>
                <c:pt idx="212">
                  <c:v>0.699326009457034</c:v>
                </c:pt>
                <c:pt idx="213">
                  <c:v>-1.05103989683318</c:v>
                </c:pt>
                <c:pt idx="214">
                  <c:v>0.306915350942885</c:v>
                </c:pt>
                <c:pt idx="215">
                  <c:v>1.50602457422466</c:v>
                </c:pt>
                <c:pt idx="216">
                  <c:v>-0.722656752325025</c:v>
                </c:pt>
                <c:pt idx="217">
                  <c:v>-0.560779031771241</c:v>
                </c:pt>
                <c:pt idx="218">
                  <c:v>-0.641262381760495</c:v>
                </c:pt>
                <c:pt idx="219">
                  <c:v>-1.2633305150251</c:v>
                </c:pt>
                <c:pt idx="220">
                  <c:v>-0.997746844363869</c:v>
                </c:pt>
                <c:pt idx="221">
                  <c:v>1.5592031386908</c:v>
                </c:pt>
                <c:pt idx="222">
                  <c:v>0.0921243102713769</c:v>
                </c:pt>
                <c:pt idx="223">
                  <c:v>-0.47485564942551</c:v>
                </c:pt>
                <c:pt idx="224">
                  <c:v>1.15816008039397</c:v>
                </c:pt>
                <c:pt idx="225">
                  <c:v>1.01344968693345</c:v>
                </c:pt>
                <c:pt idx="226">
                  <c:v>1.68780691668831</c:v>
                </c:pt>
                <c:pt idx="227">
                  <c:v>1.12406549263203</c:v>
                </c:pt>
                <c:pt idx="228">
                  <c:v>-0.353633050184923</c:v>
                </c:pt>
                <c:pt idx="229">
                  <c:v>0.112006546398925</c:v>
                </c:pt>
                <c:pt idx="230">
                  <c:v>0.372702784520532</c:v>
                </c:pt>
                <c:pt idx="231">
                  <c:v>-0.689124256572954</c:v>
                </c:pt>
                <c:pt idx="232">
                  <c:v>-0.524761769228084</c:v>
                </c:pt>
                <c:pt idx="233">
                  <c:v>-0.335987387375095</c:v>
                </c:pt>
                <c:pt idx="234">
                  <c:v>1.01154867283916</c:v>
                </c:pt>
                <c:pt idx="235">
                  <c:v>-0.0359775035758612</c:v>
                </c:pt>
                <c:pt idx="236">
                  <c:v>-0.852202688497109</c:v>
                </c:pt>
                <c:pt idx="237">
                  <c:v>2.6619288022775</c:v>
                </c:pt>
                <c:pt idx="238">
                  <c:v>-0.0549163906971016</c:v>
                </c:pt>
                <c:pt idx="239">
                  <c:v>0.911783193437782</c:v>
                </c:pt>
                <c:pt idx="240">
                  <c:v>0.381342664467579</c:v>
                </c:pt>
                <c:pt idx="241">
                  <c:v>0.368749655944058</c:v>
                </c:pt>
                <c:pt idx="242">
                  <c:v>-0.442629299838548</c:v>
                </c:pt>
                <c:pt idx="243">
                  <c:v>0.940150914263975</c:v>
                </c:pt>
                <c:pt idx="244">
                  <c:v>-0.447051668372741</c:v>
                </c:pt>
                <c:pt idx="245">
                  <c:v>0.119392147751941</c:v>
                </c:pt>
                <c:pt idx="246">
                  <c:v>0.859651678943352</c:v>
                </c:pt>
                <c:pt idx="247">
                  <c:v>0.106602039959048</c:v>
                </c:pt>
                <c:pt idx="248">
                  <c:v>-1.3457779655401</c:v>
                </c:pt>
                <c:pt idx="249">
                  <c:v>-0.121079252791748</c:v>
                </c:pt>
                <c:pt idx="250">
                  <c:v>-1.85309364452704</c:v>
                </c:pt>
                <c:pt idx="251">
                  <c:v>1.23700877486434</c:v>
                </c:pt>
                <c:pt idx="252">
                  <c:v>0.655073391618115</c:v>
                </c:pt>
                <c:pt idx="253">
                  <c:v>-0.376373217502128</c:v>
                </c:pt>
                <c:pt idx="254">
                  <c:v>1.30685625498486</c:v>
                </c:pt>
                <c:pt idx="255">
                  <c:v>-0.678499966718502</c:v>
                </c:pt>
                <c:pt idx="256">
                  <c:v>-1.52218120370052</c:v>
                </c:pt>
                <c:pt idx="257">
                  <c:v>0.359902583897439</c:v>
                </c:pt>
                <c:pt idx="258">
                  <c:v>1.3140992073602</c:v>
                </c:pt>
                <c:pt idx="259">
                  <c:v>2.25897127342649</c:v>
                </c:pt>
                <c:pt idx="260">
                  <c:v>-1.25708590928252</c:v>
                </c:pt>
                <c:pt idx="261">
                  <c:v>-0.76060698564178</c:v>
                </c:pt>
                <c:pt idx="262">
                  <c:v>0.868494115889339</c:v>
                </c:pt>
                <c:pt idx="263">
                  <c:v>0.355404667733967</c:v>
                </c:pt>
                <c:pt idx="264">
                  <c:v>0.250239406681581</c:v>
                </c:pt>
                <c:pt idx="265">
                  <c:v>1.76888379985833</c:v>
                </c:pt>
                <c:pt idx="266">
                  <c:v>-0.168797611600944</c:v>
                </c:pt>
                <c:pt idx="267">
                  <c:v>1.48278040665648</c:v>
                </c:pt>
                <c:pt idx="268">
                  <c:v>0.564264878872845</c:v>
                </c:pt>
                <c:pt idx="269">
                  <c:v>-2.7999217732433</c:v>
                </c:pt>
                <c:pt idx="270">
                  <c:v>0.439297747229767</c:v>
                </c:pt>
                <c:pt idx="271">
                  <c:v>1.4252283587705</c:v>
                </c:pt>
                <c:pt idx="272">
                  <c:v>0.100650571040096</c:v>
                </c:pt>
                <c:pt idx="273">
                  <c:v>-1.24964906246457</c:v>
                </c:pt>
                <c:pt idx="274">
                  <c:v>0.118638641443006</c:v>
                </c:pt>
                <c:pt idx="275">
                  <c:v>-0.171177616840822</c:v>
                </c:pt>
                <c:pt idx="276">
                  <c:v>0.456885799548151</c:v>
                </c:pt>
                <c:pt idx="277">
                  <c:v>-0.463766656261598</c:v>
                </c:pt>
                <c:pt idx="278">
                  <c:v>0.384907971199225</c:v>
                </c:pt>
                <c:pt idx="279">
                  <c:v>-0.0899721612137779</c:v>
                </c:pt>
                <c:pt idx="280">
                  <c:v>0.757189688598725</c:v>
                </c:pt>
                <c:pt idx="281">
                  <c:v>0.23893399805056</c:v>
                </c:pt>
                <c:pt idx="282">
                  <c:v>-0.242521209078018</c:v>
                </c:pt>
                <c:pt idx="283">
                  <c:v>0.318616683955225</c:v>
                </c:pt>
                <c:pt idx="284">
                  <c:v>1.01470196911244</c:v>
                </c:pt>
                <c:pt idx="285">
                  <c:v>0.96711495894886</c:v>
                </c:pt>
                <c:pt idx="286">
                  <c:v>0.132688877591315</c:v>
                </c:pt>
                <c:pt idx="287">
                  <c:v>-0.423311041843518</c:v>
                </c:pt>
                <c:pt idx="288">
                  <c:v>-2.13683589698555</c:v>
                </c:pt>
                <c:pt idx="289">
                  <c:v>-0.479622858160135</c:v>
                </c:pt>
                <c:pt idx="290">
                  <c:v>0.224898207108588</c:v>
                </c:pt>
                <c:pt idx="291">
                  <c:v>-0.0499790484808114</c:v>
                </c:pt>
                <c:pt idx="292">
                  <c:v>0.0300929253997895</c:v>
                </c:pt>
                <c:pt idx="293">
                  <c:v>-0.0674511523949292</c:v>
                </c:pt>
                <c:pt idx="294">
                  <c:v>-0.425602332433726</c:v>
                </c:pt>
                <c:pt idx="295">
                  <c:v>-0.691797918711197</c:v>
                </c:pt>
                <c:pt idx="296">
                  <c:v>-0.882336519812243</c:v>
                </c:pt>
                <c:pt idx="297">
                  <c:v>-1.47976292519605</c:v>
                </c:pt>
                <c:pt idx="298">
                  <c:v>-0.379688288076592</c:v>
                </c:pt>
                <c:pt idx="299">
                  <c:v>1.19793353452706</c:v>
                </c:pt>
                <c:pt idx="300">
                  <c:v>-0.134500809982026</c:v>
                </c:pt>
                <c:pt idx="301">
                  <c:v>0.287038048501979</c:v>
                </c:pt>
                <c:pt idx="302">
                  <c:v>1.10464008785459</c:v>
                </c:pt>
                <c:pt idx="303">
                  <c:v>-1.17752609269444</c:v>
                </c:pt>
                <c:pt idx="304">
                  <c:v>-0.469833347890502</c:v>
                </c:pt>
                <c:pt idx="305">
                  <c:v>-1.43634824164672</c:v>
                </c:pt>
                <c:pt idx="306">
                  <c:v>-0.55493602480233</c:v>
                </c:pt>
                <c:pt idx="307">
                  <c:v>1.28975024981755</c:v>
                </c:pt>
                <c:pt idx="308">
                  <c:v>1.53180257690918</c:v>
                </c:pt>
                <c:pt idx="309">
                  <c:v>2.36406048588879</c:v>
                </c:pt>
                <c:pt idx="310">
                  <c:v>1.90970728486912</c:v>
                </c:pt>
                <c:pt idx="311">
                  <c:v>0.235557213069536</c:v>
                </c:pt>
                <c:pt idx="312">
                  <c:v>0.887409773045804</c:v>
                </c:pt>
                <c:pt idx="313">
                  <c:v>-0.179346422792741</c:v>
                </c:pt>
                <c:pt idx="314">
                  <c:v>-0.224495937640088</c:v>
                </c:pt>
                <c:pt idx="315">
                  <c:v>0.422538114783942</c:v>
                </c:pt>
                <c:pt idx="316">
                  <c:v>0.268731158009268</c:v>
                </c:pt>
                <c:pt idx="317">
                  <c:v>0.341314187956233</c:v>
                </c:pt>
                <c:pt idx="318">
                  <c:v>0.577482251721805</c:v>
                </c:pt>
                <c:pt idx="319">
                  <c:v>1.43771680347123</c:v>
                </c:pt>
                <c:pt idx="320">
                  <c:v>-0.941037643038467</c:v>
                </c:pt>
                <c:pt idx="321">
                  <c:v>-1.08181674941658</c:v>
                </c:pt>
                <c:pt idx="322">
                  <c:v>-1.51410605943302</c:v>
                </c:pt>
                <c:pt idx="323">
                  <c:v>0.599756298603263</c:v>
                </c:pt>
                <c:pt idx="324">
                  <c:v>-2.86449224204276</c:v>
                </c:pt>
                <c:pt idx="325">
                  <c:v>-0.395077284418168</c:v>
                </c:pt>
                <c:pt idx="326">
                  <c:v>-0.496267530321841</c:v>
                </c:pt>
                <c:pt idx="327">
                  <c:v>0.568792501324639</c:v>
                </c:pt>
                <c:pt idx="328">
                  <c:v>-0.165602064616613</c:v>
                </c:pt>
                <c:pt idx="329">
                  <c:v>-0.606955880562573</c:v>
                </c:pt>
                <c:pt idx="330">
                  <c:v>-0.553480546521387</c:v>
                </c:pt>
                <c:pt idx="331">
                  <c:v>-0.882223905922806</c:v>
                </c:pt>
                <c:pt idx="332">
                  <c:v>-0.786569586392875</c:v>
                </c:pt>
                <c:pt idx="333">
                  <c:v>1.68763774640142</c:v>
                </c:pt>
                <c:pt idx="334">
                  <c:v>0.322405126726463</c:v>
                </c:pt>
                <c:pt idx="335">
                  <c:v>2.04335586132716</c:v>
                </c:pt>
                <c:pt idx="336">
                  <c:v>-0.286338403992121</c:v>
                </c:pt>
                <c:pt idx="337">
                  <c:v>-1.00735468210311</c:v>
                </c:pt>
                <c:pt idx="338">
                  <c:v>0.486722645435385</c:v>
                </c:pt>
                <c:pt idx="339">
                  <c:v>-0.0277501524084879</c:v>
                </c:pt>
                <c:pt idx="340">
                  <c:v>-0.299587783149661</c:v>
                </c:pt>
                <c:pt idx="341">
                  <c:v>-1.26492459029336</c:v>
                </c:pt>
                <c:pt idx="342">
                  <c:v>0.663117058734374</c:v>
                </c:pt>
                <c:pt idx="343">
                  <c:v>-0.338005955355212</c:v>
                </c:pt>
                <c:pt idx="344">
                  <c:v>-0.0143563174943867</c:v>
                </c:pt>
                <c:pt idx="345">
                  <c:v>-0.855679151294687</c:v>
                </c:pt>
                <c:pt idx="346">
                  <c:v>0.606922065272175</c:v>
                </c:pt>
                <c:pt idx="347">
                  <c:v>0.781628039764656</c:v>
                </c:pt>
                <c:pt idx="348">
                  <c:v>0.232903067515496</c:v>
                </c:pt>
                <c:pt idx="349">
                  <c:v>0.00437768998203066</c:v>
                </c:pt>
                <c:pt idx="350">
                  <c:v>-0.806545241060722</c:v>
                </c:pt>
                <c:pt idx="351">
                  <c:v>0.0320316926809876</c:v>
                </c:pt>
                <c:pt idx="352">
                  <c:v>-3.42375620349073</c:v>
                </c:pt>
                <c:pt idx="353">
                  <c:v>0.681795984328043</c:v>
                </c:pt>
                <c:pt idx="354">
                  <c:v>-1.15030255971641</c:v>
                </c:pt>
                <c:pt idx="355">
                  <c:v>0.757317232985657</c:v>
                </c:pt>
                <c:pt idx="356">
                  <c:v>0.4218104731857</c:v>
                </c:pt>
                <c:pt idx="357">
                  <c:v>-0.405307125896169</c:v>
                </c:pt>
                <c:pt idx="358">
                  <c:v>1.10095401260679</c:v>
                </c:pt>
                <c:pt idx="359">
                  <c:v>0.139961046407521</c:v>
                </c:pt>
                <c:pt idx="360">
                  <c:v>0.886644532285512</c:v>
                </c:pt>
                <c:pt idx="361">
                  <c:v>0.503884231583945</c:v>
                </c:pt>
                <c:pt idx="362">
                  <c:v>0.117396802461631</c:v>
                </c:pt>
                <c:pt idx="363">
                  <c:v>0.0979329687335812</c:v>
                </c:pt>
                <c:pt idx="364">
                  <c:v>1.79834801233987</c:v>
                </c:pt>
                <c:pt idx="365">
                  <c:v>1.15912944408721</c:v>
                </c:pt>
                <c:pt idx="366">
                  <c:v>-0.936384335099148</c:v>
                </c:pt>
                <c:pt idx="367">
                  <c:v>-0.120020298231465</c:v>
                </c:pt>
                <c:pt idx="368">
                  <c:v>-0.677064555402364</c:v>
                </c:pt>
                <c:pt idx="369">
                  <c:v>0.20461721373376</c:v>
                </c:pt>
                <c:pt idx="370">
                  <c:v>-0.941387936634359</c:v>
                </c:pt>
                <c:pt idx="371">
                  <c:v>1.16461997179127</c:v>
                </c:pt>
                <c:pt idx="372">
                  <c:v>-1.65029850297894</c:v>
                </c:pt>
                <c:pt idx="373">
                  <c:v>1.02746342813379</c:v>
                </c:pt>
                <c:pt idx="374">
                  <c:v>-1.58888744241587</c:v>
                </c:pt>
                <c:pt idx="375">
                  <c:v>1.48016692491773</c:v>
                </c:pt>
                <c:pt idx="376">
                  <c:v>-0.126199092999867</c:v>
                </c:pt>
                <c:pt idx="377">
                  <c:v>1.45034497639063</c:v>
                </c:pt>
                <c:pt idx="378">
                  <c:v>-0.503399895112804</c:v>
                </c:pt>
                <c:pt idx="379">
                  <c:v>0.429453935266212</c:v>
                </c:pt>
                <c:pt idx="380">
                  <c:v>0.13703688781548</c:v>
                </c:pt>
                <c:pt idx="381">
                  <c:v>-0.929117441809316</c:v>
                </c:pt>
                <c:pt idx="382">
                  <c:v>0.601434282714508</c:v>
                </c:pt>
                <c:pt idx="383">
                  <c:v>0.397140482483045</c:v>
                </c:pt>
                <c:pt idx="384">
                  <c:v>1.53376736447163</c:v>
                </c:pt>
                <c:pt idx="385">
                  <c:v>2.05230047836497</c:v>
                </c:pt>
                <c:pt idx="386">
                  <c:v>0.0651249643024026</c:v>
                </c:pt>
                <c:pt idx="387">
                  <c:v>-0.237326450607144</c:v>
                </c:pt>
                <c:pt idx="388">
                  <c:v>-0.547223757722864</c:v>
                </c:pt>
                <c:pt idx="389">
                  <c:v>0.586074721756313</c:v>
                </c:pt>
                <c:pt idx="390">
                  <c:v>-0.990673667527319</c:v>
                </c:pt>
                <c:pt idx="391">
                  <c:v>0.571412539304267</c:v>
                </c:pt>
                <c:pt idx="392">
                  <c:v>0.0141211669921167</c:v>
                </c:pt>
                <c:pt idx="393">
                  <c:v>1.36844183083743</c:v>
                </c:pt>
                <c:pt idx="394">
                  <c:v>0.245887033755902</c:v>
                </c:pt>
                <c:pt idx="395">
                  <c:v>-0.242895689281265</c:v>
                </c:pt>
                <c:pt idx="396">
                  <c:v>-0.3414470069532</c:v>
                </c:pt>
                <c:pt idx="397">
                  <c:v>1.53581252371038</c:v>
                </c:pt>
                <c:pt idx="398">
                  <c:v>0.550315258165336</c:v>
                </c:pt>
                <c:pt idx="399">
                  <c:v>-1.13086044046732</c:v>
                </c:pt>
                <c:pt idx="400">
                  <c:v>0.532232403615998</c:v>
                </c:pt>
                <c:pt idx="401">
                  <c:v>-0.643464663245814</c:v>
                </c:pt>
                <c:pt idx="402">
                  <c:v>0.497466901443882</c:v>
                </c:pt>
                <c:pt idx="403">
                  <c:v>-0.168910662857817</c:v>
                </c:pt>
                <c:pt idx="404">
                  <c:v>0.088975505917262</c:v>
                </c:pt>
                <c:pt idx="405">
                  <c:v>-1.14306176596991</c:v>
                </c:pt>
                <c:pt idx="406">
                  <c:v>0.806598377986882</c:v>
                </c:pt>
                <c:pt idx="407">
                  <c:v>-1.44856831413298</c:v>
                </c:pt>
                <c:pt idx="408">
                  <c:v>-0.5733484564173</c:v>
                </c:pt>
                <c:pt idx="409">
                  <c:v>-0.882402477448732</c:v>
                </c:pt>
                <c:pt idx="410">
                  <c:v>-1.50528129242605</c:v>
                </c:pt>
                <c:pt idx="411">
                  <c:v>0.175822130734141</c:v>
                </c:pt>
                <c:pt idx="412">
                  <c:v>-0.235594767042511</c:v>
                </c:pt>
                <c:pt idx="413">
                  <c:v>1.66456553997275</c:v>
                </c:pt>
                <c:pt idx="414">
                  <c:v>-1.0046552119308</c:v>
                </c:pt>
                <c:pt idx="415">
                  <c:v>-0.20224110743508</c:v>
                </c:pt>
                <c:pt idx="416">
                  <c:v>0.286209628568703</c:v>
                </c:pt>
                <c:pt idx="417">
                  <c:v>1.50591939352415</c:v>
                </c:pt>
                <c:pt idx="418">
                  <c:v>0.904178851254673</c:v>
                </c:pt>
                <c:pt idx="419">
                  <c:v>0.801398578066561</c:v>
                </c:pt>
                <c:pt idx="420">
                  <c:v>-0.347751778379249</c:v>
                </c:pt>
                <c:pt idx="421">
                  <c:v>-1.28363456258417</c:v>
                </c:pt>
                <c:pt idx="422">
                  <c:v>-1.40593248107153</c:v>
                </c:pt>
                <c:pt idx="423">
                  <c:v>0.946714124294687</c:v>
                </c:pt>
                <c:pt idx="424">
                  <c:v>-0.524563190716127</c:v>
                </c:pt>
                <c:pt idx="425">
                  <c:v>-1.4937966744555</c:v>
                </c:pt>
                <c:pt idx="426">
                  <c:v>-1.71968920782619</c:v>
                </c:pt>
                <c:pt idx="427">
                  <c:v>0.954269327725815</c:v>
                </c:pt>
                <c:pt idx="428">
                  <c:v>0.169799508146458</c:v>
                </c:pt>
                <c:pt idx="429">
                  <c:v>-1.00086971057176</c:v>
                </c:pt>
                <c:pt idx="430">
                  <c:v>0.741789491226809</c:v>
                </c:pt>
                <c:pt idx="431">
                  <c:v>0.649385236722789</c:v>
                </c:pt>
                <c:pt idx="432">
                  <c:v>-0.0636442682619278</c:v>
                </c:pt>
                <c:pt idx="433">
                  <c:v>1.55611611350087</c:v>
                </c:pt>
                <c:pt idx="434">
                  <c:v>1.00222694903937</c:v>
                </c:pt>
                <c:pt idx="435">
                  <c:v>3.72456068721502</c:v>
                </c:pt>
                <c:pt idx="436">
                  <c:v>-0.880008313606484</c:v>
                </c:pt>
                <c:pt idx="437">
                  <c:v>-0.380136414067114</c:v>
                </c:pt>
                <c:pt idx="438">
                  <c:v>-0.508194694197517</c:v>
                </c:pt>
                <c:pt idx="439">
                  <c:v>0.381513498287857</c:v>
                </c:pt>
                <c:pt idx="440">
                  <c:v>-0.240752033674769</c:v>
                </c:pt>
                <c:pt idx="441">
                  <c:v>-0.467359817893113</c:v>
                </c:pt>
                <c:pt idx="442">
                  <c:v>0.728179320699832</c:v>
                </c:pt>
                <c:pt idx="443">
                  <c:v>-0.272031120463924</c:v>
                </c:pt>
                <c:pt idx="444">
                  <c:v>0.101214075098321</c:v>
                </c:pt>
                <c:pt idx="445">
                  <c:v>1.31077244487565</c:v>
                </c:pt>
                <c:pt idx="446">
                  <c:v>1.09294493480424</c:v>
                </c:pt>
                <c:pt idx="447">
                  <c:v>1.1901204799021</c:v>
                </c:pt>
                <c:pt idx="448">
                  <c:v>-0.314693836953816</c:v>
                </c:pt>
                <c:pt idx="449">
                  <c:v>0.163114210329725</c:v>
                </c:pt>
                <c:pt idx="450">
                  <c:v>-2.36815266783079</c:v>
                </c:pt>
                <c:pt idx="451">
                  <c:v>0.700503872591319</c:v>
                </c:pt>
                <c:pt idx="452">
                  <c:v>2.1771044362628</c:v>
                </c:pt>
                <c:pt idx="453">
                  <c:v>-1.44974449597146</c:v>
                </c:pt>
                <c:pt idx="454">
                  <c:v>-0.53712585474892</c:v>
                </c:pt>
                <c:pt idx="455">
                  <c:v>1.06895937190425</c:v>
                </c:pt>
                <c:pt idx="456">
                  <c:v>-0.61907114323707</c:v>
                </c:pt>
                <c:pt idx="457">
                  <c:v>-3.04837247309519</c:v>
                </c:pt>
                <c:pt idx="458">
                  <c:v>0.95316382537762</c:v>
                </c:pt>
                <c:pt idx="459">
                  <c:v>-1.21986650721558</c:v>
                </c:pt>
                <c:pt idx="460">
                  <c:v>0.339156541414033</c:v>
                </c:pt>
                <c:pt idx="461">
                  <c:v>0.34897766646935</c:v>
                </c:pt>
                <c:pt idx="462">
                  <c:v>0.0180240177193265</c:v>
                </c:pt>
                <c:pt idx="463">
                  <c:v>-0.915239730840186</c:v>
                </c:pt>
                <c:pt idx="464">
                  <c:v>0.13327719820239</c:v>
                </c:pt>
                <c:pt idx="465">
                  <c:v>0.370624380791778</c:v>
                </c:pt>
                <c:pt idx="466">
                  <c:v>-1.11519348011963</c:v>
                </c:pt>
                <c:pt idx="467">
                  <c:v>-0.0231586087976631</c:v>
                </c:pt>
                <c:pt idx="468">
                  <c:v>0.242664772893324</c:v>
                </c:pt>
                <c:pt idx="469">
                  <c:v>2.34712053001094</c:v>
                </c:pt>
                <c:pt idx="470">
                  <c:v>1.37888136406505</c:v>
                </c:pt>
                <c:pt idx="471">
                  <c:v>-0.64914854438566</c:v>
                </c:pt>
                <c:pt idx="472">
                  <c:v>0.145228368065325</c:v>
                </c:pt>
                <c:pt idx="473">
                  <c:v>0.043449767835138</c:v>
                </c:pt>
                <c:pt idx="474">
                  <c:v>-0.897757530463132</c:v>
                </c:pt>
                <c:pt idx="475">
                  <c:v>-0.930846257965045</c:v>
                </c:pt>
                <c:pt idx="476">
                  <c:v>-0.0675584336826037</c:v>
                </c:pt>
                <c:pt idx="477">
                  <c:v>-0.104529821784731</c:v>
                </c:pt>
                <c:pt idx="478">
                  <c:v>-0.332245747054987</c:v>
                </c:pt>
                <c:pt idx="479">
                  <c:v>-1.60301107617783</c:v>
                </c:pt>
                <c:pt idx="480">
                  <c:v>-0.363551527599917</c:v>
                </c:pt>
                <c:pt idx="481">
                  <c:v>-1.96369391155546</c:v>
                </c:pt>
                <c:pt idx="482">
                  <c:v>-0.442768425887488</c:v>
                </c:pt>
                <c:pt idx="483">
                  <c:v>-1.79653188785214</c:v>
                </c:pt>
                <c:pt idx="484">
                  <c:v>-0.563208703859938</c:v>
                </c:pt>
                <c:pt idx="485">
                  <c:v>0.455697914679059</c:v>
                </c:pt>
                <c:pt idx="486">
                  <c:v>-0.534888273900385</c:v>
                </c:pt>
                <c:pt idx="487">
                  <c:v>-0.520026293766975</c:v>
                </c:pt>
                <c:pt idx="488">
                  <c:v>-1.2102524581087</c:v>
                </c:pt>
                <c:pt idx="489">
                  <c:v>0.0668686018961512</c:v>
                </c:pt>
                <c:pt idx="490">
                  <c:v>0.95475956367512</c:v>
                </c:pt>
                <c:pt idx="491">
                  <c:v>-0.680085706605079</c:v>
                </c:pt>
                <c:pt idx="492">
                  <c:v>2.26555117043673</c:v>
                </c:pt>
                <c:pt idx="493">
                  <c:v>0.977430190479796</c:v>
                </c:pt>
                <c:pt idx="494">
                  <c:v>0.677044756480887</c:v>
                </c:pt>
                <c:pt idx="495">
                  <c:v>-0.263717352801854</c:v>
                </c:pt>
                <c:pt idx="496">
                  <c:v>-0.077548677403422</c:v>
                </c:pt>
                <c:pt idx="497">
                  <c:v>0.331686914655999</c:v>
                </c:pt>
                <c:pt idx="498">
                  <c:v>1.72266104676248</c:v>
                </c:pt>
                <c:pt idx="499">
                  <c:v>1.51601457910924</c:v>
                </c:pt>
                <c:pt idx="500">
                  <c:v>-0.16357270124978</c:v>
                </c:pt>
                <c:pt idx="501">
                  <c:v>1.55117808958521</c:v>
                </c:pt>
                <c:pt idx="502">
                  <c:v>-0.113857551902909</c:v>
                </c:pt>
                <c:pt idx="503">
                  <c:v>1.50205498530717</c:v>
                </c:pt>
                <c:pt idx="504">
                  <c:v>-0.728877515856278</c:v>
                </c:pt>
                <c:pt idx="505">
                  <c:v>0.339856648866876</c:v>
                </c:pt>
                <c:pt idx="506">
                  <c:v>-1.48156456229117</c:v>
                </c:pt>
                <c:pt idx="507">
                  <c:v>0.203435288132858</c:v>
                </c:pt>
                <c:pt idx="508">
                  <c:v>-1.47362814622257</c:v>
                </c:pt>
                <c:pt idx="509">
                  <c:v>1.40613444258917</c:v>
                </c:pt>
                <c:pt idx="510">
                  <c:v>0.738972625560926</c:v>
                </c:pt>
                <c:pt idx="511">
                  <c:v>-0.446792992423112</c:v>
                </c:pt>
                <c:pt idx="512">
                  <c:v>-0.865182632674707</c:v>
                </c:pt>
                <c:pt idx="513">
                  <c:v>0.965168014406355</c:v>
                </c:pt>
                <c:pt idx="514">
                  <c:v>0.292964720550773</c:v>
                </c:pt>
                <c:pt idx="515">
                  <c:v>1.7528700896039</c:v>
                </c:pt>
                <c:pt idx="516">
                  <c:v>-0.921571073280171</c:v>
                </c:pt>
                <c:pt idx="517">
                  <c:v>0.187427273159825</c:v>
                </c:pt>
                <c:pt idx="518">
                  <c:v>0.271259920444633</c:v>
                </c:pt>
                <c:pt idx="519">
                  <c:v>0.174157711277781</c:v>
                </c:pt>
                <c:pt idx="520">
                  <c:v>0.189985815316369</c:v>
                </c:pt>
                <c:pt idx="521">
                  <c:v>-0.771064928277998</c:v>
                </c:pt>
                <c:pt idx="522">
                  <c:v>-0.170601510467327</c:v>
                </c:pt>
                <c:pt idx="523">
                  <c:v>0.0465667635230046</c:v>
                </c:pt>
                <c:pt idx="524">
                  <c:v>-0.944106578736684</c:v>
                </c:pt>
                <c:pt idx="525">
                  <c:v>-0.446091958136829</c:v>
                </c:pt>
                <c:pt idx="526">
                  <c:v>0.409618158310807</c:v>
                </c:pt>
                <c:pt idx="527">
                  <c:v>-0.758149023170838</c:v>
                </c:pt>
                <c:pt idx="528">
                  <c:v>-1.41279793686741</c:v>
                </c:pt>
                <c:pt idx="529">
                  <c:v>0.563348211264588</c:v>
                </c:pt>
                <c:pt idx="530">
                  <c:v>-0.940033764655199</c:v>
                </c:pt>
                <c:pt idx="531">
                  <c:v>0.646270268134786</c:v>
                </c:pt>
                <c:pt idx="532">
                  <c:v>1.3269699648939</c:v>
                </c:pt>
                <c:pt idx="533">
                  <c:v>-0.127662361589278</c:v>
                </c:pt>
                <c:pt idx="534">
                  <c:v>-1.40942455677061</c:v>
                </c:pt>
                <c:pt idx="535">
                  <c:v>1.13774738719004</c:v>
                </c:pt>
                <c:pt idx="536">
                  <c:v>-1.06210023249366</c:v>
                </c:pt>
                <c:pt idx="537">
                  <c:v>-0.146768543982502</c:v>
                </c:pt>
                <c:pt idx="538">
                  <c:v>-1.70359105639126</c:v>
                </c:pt>
                <c:pt idx="539">
                  <c:v>-0.104646205535677</c:v>
                </c:pt>
                <c:pt idx="540">
                  <c:v>-1.29501901665</c:v>
                </c:pt>
                <c:pt idx="541">
                  <c:v>-0.70975902150384</c:v>
                </c:pt>
                <c:pt idx="542">
                  <c:v>0.131615950181683</c:v>
                </c:pt>
                <c:pt idx="543">
                  <c:v>-0.750509249913838</c:v>
                </c:pt>
                <c:pt idx="544">
                  <c:v>-2.12586848945371</c:v>
                </c:pt>
                <c:pt idx="545">
                  <c:v>-0.51582108153265</c:v>
                </c:pt>
                <c:pt idx="546">
                  <c:v>0.826477280006826</c:v>
                </c:pt>
                <c:pt idx="547">
                  <c:v>0.834701356145327</c:v>
                </c:pt>
                <c:pt idx="548">
                  <c:v>-0.498214476519148</c:v>
                </c:pt>
                <c:pt idx="549">
                  <c:v>0.226815449683675</c:v>
                </c:pt>
                <c:pt idx="550">
                  <c:v>0.786342440721779</c:v>
                </c:pt>
                <c:pt idx="551">
                  <c:v>0.404236467302302</c:v>
                </c:pt>
                <c:pt idx="552">
                  <c:v>0.436049335509398</c:v>
                </c:pt>
                <c:pt idx="553">
                  <c:v>-1.25932472308101</c:v>
                </c:pt>
                <c:pt idx="554">
                  <c:v>-0.842678474767675</c:v>
                </c:pt>
                <c:pt idx="555">
                  <c:v>0.685397177324365</c:v>
                </c:pt>
                <c:pt idx="556">
                  <c:v>-0.105514805014683</c:v>
                </c:pt>
                <c:pt idx="557">
                  <c:v>0.178423003251451</c:v>
                </c:pt>
                <c:pt idx="558">
                  <c:v>1.20303521768662</c:v>
                </c:pt>
                <c:pt idx="559">
                  <c:v>-2.73809691377762</c:v>
                </c:pt>
                <c:pt idx="560">
                  <c:v>0.444611237772779</c:v>
                </c:pt>
                <c:pt idx="561">
                  <c:v>-0.531613808436609</c:v>
                </c:pt>
                <c:pt idx="562">
                  <c:v>0.162416842910857</c:v>
                </c:pt>
                <c:pt idx="563">
                  <c:v>-0.173535102436362</c:v>
                </c:pt>
                <c:pt idx="564">
                  <c:v>-0.286705801852567</c:v>
                </c:pt>
                <c:pt idx="565">
                  <c:v>2.44690645108313</c:v>
                </c:pt>
                <c:pt idx="566">
                  <c:v>-0.0462978731018698</c:v>
                </c:pt>
                <c:pt idx="567">
                  <c:v>0.48772698174964</c:v>
                </c:pt>
                <c:pt idx="568">
                  <c:v>-0.651426928050957</c:v>
                </c:pt>
                <c:pt idx="569">
                  <c:v>0.364840452328028</c:v>
                </c:pt>
                <c:pt idx="570">
                  <c:v>1.20126213694247</c:v>
                </c:pt>
                <c:pt idx="571">
                  <c:v>2.01894303216894</c:v>
                </c:pt>
                <c:pt idx="572">
                  <c:v>-0.446474775271086</c:v>
                </c:pt>
                <c:pt idx="573">
                  <c:v>0.611375459531585</c:v>
                </c:pt>
                <c:pt idx="574">
                  <c:v>0.996649736988243</c:v>
                </c:pt>
                <c:pt idx="575">
                  <c:v>-1.31774771911554</c:v>
                </c:pt>
                <c:pt idx="576">
                  <c:v>-1.85066243227444</c:v>
                </c:pt>
                <c:pt idx="577">
                  <c:v>-0.164699386988425</c:v>
                </c:pt>
                <c:pt idx="578">
                  <c:v>0.273312371968356</c:v>
                </c:pt>
                <c:pt idx="579">
                  <c:v>0.254237794902427</c:v>
                </c:pt>
                <c:pt idx="580">
                  <c:v>-1.33494081339953</c:v>
                </c:pt>
                <c:pt idx="581">
                  <c:v>1.47264417997996</c:v>
                </c:pt>
                <c:pt idx="582">
                  <c:v>-1.38586249752723</c:v>
                </c:pt>
                <c:pt idx="583">
                  <c:v>0.126610878528203</c:v>
                </c:pt>
                <c:pt idx="584">
                  <c:v>0.755539810970933</c:v>
                </c:pt>
                <c:pt idx="585">
                  <c:v>-0.600579257830258</c:v>
                </c:pt>
                <c:pt idx="586">
                  <c:v>-0.351544744545075</c:v>
                </c:pt>
                <c:pt idx="587">
                  <c:v>-0.386977525354012</c:v>
                </c:pt>
                <c:pt idx="588">
                  <c:v>-1.1590953613645</c:v>
                </c:pt>
                <c:pt idx="589">
                  <c:v>1.63575824033569</c:v>
                </c:pt>
                <c:pt idx="590">
                  <c:v>-0.16484720655847</c:v>
                </c:pt>
                <c:pt idx="591">
                  <c:v>0.0505433566507623</c:v>
                </c:pt>
                <c:pt idx="592">
                  <c:v>2.19377701801355</c:v>
                </c:pt>
                <c:pt idx="593">
                  <c:v>-0.817194973288549</c:v>
                </c:pt>
                <c:pt idx="594">
                  <c:v>0.0787601195950817</c:v>
                </c:pt>
                <c:pt idx="595">
                  <c:v>-0.974696235203044</c:v>
                </c:pt>
                <c:pt idx="596">
                  <c:v>0.127698080484935</c:v>
                </c:pt>
                <c:pt idx="597">
                  <c:v>0.463619222171179</c:v>
                </c:pt>
                <c:pt idx="598">
                  <c:v>-0.7228464796698</c:v>
                </c:pt>
                <c:pt idx="599">
                  <c:v>-0.841130482037819</c:v>
                </c:pt>
                <c:pt idx="600">
                  <c:v>1.63662494658235</c:v>
                </c:pt>
                <c:pt idx="601">
                  <c:v>-0.454350657054452</c:v>
                </c:pt>
                <c:pt idx="602">
                  <c:v>1.01839478809232</c:v>
                </c:pt>
                <c:pt idx="603">
                  <c:v>-1.0569552405047</c:v>
                </c:pt>
                <c:pt idx="604">
                  <c:v>-0.0293202217547435</c:v>
                </c:pt>
                <c:pt idx="605">
                  <c:v>0.906141860723604</c:v>
                </c:pt>
                <c:pt idx="606">
                  <c:v>1.18260723039231</c:v>
                </c:pt>
                <c:pt idx="607">
                  <c:v>1.21710689560252</c:v>
                </c:pt>
                <c:pt idx="608">
                  <c:v>-0.0363823157824302</c:v>
                </c:pt>
                <c:pt idx="609">
                  <c:v>-1.18361765364343</c:v>
                </c:pt>
                <c:pt idx="610">
                  <c:v>-2.35025807087034</c:v>
                </c:pt>
                <c:pt idx="611">
                  <c:v>1.58512811101768</c:v>
                </c:pt>
                <c:pt idx="612">
                  <c:v>-1.88246870965472</c:v>
                </c:pt>
                <c:pt idx="613">
                  <c:v>-1.78200441838297</c:v>
                </c:pt>
                <c:pt idx="614">
                  <c:v>-0.329601729126119</c:v>
                </c:pt>
                <c:pt idx="615">
                  <c:v>-1.16345395287826</c:v>
                </c:pt>
                <c:pt idx="616">
                  <c:v>-0.850776759055301</c:v>
                </c:pt>
                <c:pt idx="617">
                  <c:v>-0.385647324107986</c:v>
                </c:pt>
                <c:pt idx="618">
                  <c:v>1.99443057161842</c:v>
                </c:pt>
                <c:pt idx="619">
                  <c:v>-0.39332233542274</c:v>
                </c:pt>
                <c:pt idx="620">
                  <c:v>-0.259210109883133</c:v>
                </c:pt>
                <c:pt idx="621">
                  <c:v>1.45742390318863</c:v>
                </c:pt>
                <c:pt idx="622">
                  <c:v>-1.52382939222173</c:v>
                </c:pt>
                <c:pt idx="623">
                  <c:v>0.68449807719249</c:v>
                </c:pt>
                <c:pt idx="624">
                  <c:v>0.683616685772229</c:v>
                </c:pt>
                <c:pt idx="625">
                  <c:v>-2.48543490079924</c:v>
                </c:pt>
                <c:pt idx="626">
                  <c:v>-0.489177577795031</c:v>
                </c:pt>
                <c:pt idx="627">
                  <c:v>0.459180544310745</c:v>
                </c:pt>
                <c:pt idx="628">
                  <c:v>-0.766977009624375</c:v>
                </c:pt>
                <c:pt idx="629">
                  <c:v>1.78910604549926</c:v>
                </c:pt>
                <c:pt idx="630">
                  <c:v>-0.723581663905093</c:v>
                </c:pt>
                <c:pt idx="631">
                  <c:v>0.319492662550254</c:v>
                </c:pt>
                <c:pt idx="632">
                  <c:v>0.453348555585062</c:v>
                </c:pt>
                <c:pt idx="633">
                  <c:v>-1.07937996792885</c:v>
                </c:pt>
                <c:pt idx="634">
                  <c:v>-1.02006116014857</c:v>
                </c:pt>
                <c:pt idx="635">
                  <c:v>0.320295040502756</c:v>
                </c:pt>
                <c:pt idx="636">
                  <c:v>-0.479112331782702</c:v>
                </c:pt>
                <c:pt idx="637">
                  <c:v>-1.70158588119689</c:v>
                </c:pt>
                <c:pt idx="638">
                  <c:v>-1.09652761561457</c:v>
                </c:pt>
                <c:pt idx="639">
                  <c:v>0.268846785159048</c:v>
                </c:pt>
                <c:pt idx="640">
                  <c:v>-1.72042317968904</c:v>
                </c:pt>
                <c:pt idx="641">
                  <c:v>-1.17312032684055</c:v>
                </c:pt>
                <c:pt idx="642">
                  <c:v>-0.257589624506641</c:v>
                </c:pt>
                <c:pt idx="643">
                  <c:v>0.000636039529417159</c:v>
                </c:pt>
                <c:pt idx="644">
                  <c:v>1.24659469013131</c:v>
                </c:pt>
                <c:pt idx="645">
                  <c:v>-0.603120889476633</c:v>
                </c:pt>
                <c:pt idx="646">
                  <c:v>0.87841297491003</c:v>
                </c:pt>
                <c:pt idx="647">
                  <c:v>-0.570642411670339</c:v>
                </c:pt>
                <c:pt idx="648">
                  <c:v>0.237846852998503</c:v>
                </c:pt>
                <c:pt idx="649">
                  <c:v>1.6285806798131</c:v>
                </c:pt>
                <c:pt idx="650">
                  <c:v>-1.46220668685631</c:v>
                </c:pt>
                <c:pt idx="651">
                  <c:v>-0.302475447579839</c:v>
                </c:pt>
                <c:pt idx="652">
                  <c:v>0.109829690947907</c:v>
                </c:pt>
                <c:pt idx="653">
                  <c:v>-0.175927928530741</c:v>
                </c:pt>
                <c:pt idx="654">
                  <c:v>-0.47446639479485</c:v>
                </c:pt>
                <c:pt idx="655">
                  <c:v>-0.0686738490965657</c:v>
                </c:pt>
                <c:pt idx="656">
                  <c:v>2.27734850615288</c:v>
                </c:pt>
                <c:pt idx="657">
                  <c:v>-0.778157179500897</c:v>
                </c:pt>
                <c:pt idx="658">
                  <c:v>2.17556695859786</c:v>
                </c:pt>
                <c:pt idx="659">
                  <c:v>0.771688923868234</c:v>
                </c:pt>
                <c:pt idx="660">
                  <c:v>0.118147440635424</c:v>
                </c:pt>
                <c:pt idx="661">
                  <c:v>1.74916353264179</c:v>
                </c:pt>
                <c:pt idx="662">
                  <c:v>1.52185806625163</c:v>
                </c:pt>
                <c:pt idx="663">
                  <c:v>-0.0772752822404134</c:v>
                </c:pt>
                <c:pt idx="664">
                  <c:v>-0.626278155249393</c:v>
                </c:pt>
                <c:pt idx="665">
                  <c:v>-0.804305581397261</c:v>
                </c:pt>
                <c:pt idx="666">
                  <c:v>-0.122817981170643</c:v>
                </c:pt>
                <c:pt idx="667">
                  <c:v>0.595662755289371</c:v>
                </c:pt>
                <c:pt idx="668">
                  <c:v>1.36592326691264</c:v>
                </c:pt>
                <c:pt idx="669">
                  <c:v>-0.0661943997297588</c:v>
                </c:pt>
                <c:pt idx="670">
                  <c:v>-0.699562622220765</c:v>
                </c:pt>
                <c:pt idx="671">
                  <c:v>-0.445909251186311</c:v>
                </c:pt>
                <c:pt idx="672">
                  <c:v>-0.346573172257479</c:v>
                </c:pt>
                <c:pt idx="673">
                  <c:v>-0.168748634575412</c:v>
                </c:pt>
                <c:pt idx="674">
                  <c:v>-1.23998432205652</c:v>
                </c:pt>
                <c:pt idx="675">
                  <c:v>-0.284517452365218</c:v>
                </c:pt>
                <c:pt idx="676">
                  <c:v>1.35814961854692</c:v>
                </c:pt>
                <c:pt idx="677">
                  <c:v>-0.356959719391002</c:v>
                </c:pt>
                <c:pt idx="678">
                  <c:v>0.242413733642328</c:v>
                </c:pt>
                <c:pt idx="679">
                  <c:v>-0.448168135183138</c:v>
                </c:pt>
                <c:pt idx="680">
                  <c:v>0.573635486607252</c:v>
                </c:pt>
                <c:pt idx="681">
                  <c:v>0.40668397452908</c:v>
                </c:pt>
                <c:pt idx="682">
                  <c:v>1.08185616938134</c:v>
                </c:pt>
                <c:pt idx="683">
                  <c:v>0.927430153393819</c:v>
                </c:pt>
                <c:pt idx="684">
                  <c:v>1.31931810691118</c:v>
                </c:pt>
                <c:pt idx="685">
                  <c:v>-0.405165164140837</c:v>
                </c:pt>
                <c:pt idx="686">
                  <c:v>-1.16802446859825</c:v>
                </c:pt>
                <c:pt idx="687">
                  <c:v>-1.49966668328217</c:v>
                </c:pt>
                <c:pt idx="688">
                  <c:v>0.281763615634193</c:v>
                </c:pt>
                <c:pt idx="689">
                  <c:v>-1.55629520319931</c:v>
                </c:pt>
                <c:pt idx="690">
                  <c:v>-0.345143229147732</c:v>
                </c:pt>
                <c:pt idx="691">
                  <c:v>0.0855142624424241</c:v>
                </c:pt>
                <c:pt idx="692">
                  <c:v>0.737722766747446</c:v>
                </c:pt>
                <c:pt idx="693">
                  <c:v>-0.560342328716292</c:v>
                </c:pt>
                <c:pt idx="694">
                  <c:v>0.101334816903235</c:v>
                </c:pt>
                <c:pt idx="695">
                  <c:v>1.17328931274777</c:v>
                </c:pt>
                <c:pt idx="696">
                  <c:v>-0.679879802961031</c:v>
                </c:pt>
                <c:pt idx="697">
                  <c:v>-0.793764525251608</c:v>
                </c:pt>
                <c:pt idx="698">
                  <c:v>-0.0554824598168832</c:v>
                </c:pt>
                <c:pt idx="699">
                  <c:v>0.794935951277308</c:v>
                </c:pt>
                <c:pt idx="700">
                  <c:v>1.71318881244122</c:v>
                </c:pt>
                <c:pt idx="701">
                  <c:v>0.328129028089407</c:v>
                </c:pt>
                <c:pt idx="702">
                  <c:v>-0.511867816892213</c:v>
                </c:pt>
                <c:pt idx="703">
                  <c:v>1.91976826569361</c:v>
                </c:pt>
                <c:pt idx="704">
                  <c:v>0.849433225108809</c:v>
                </c:pt>
                <c:pt idx="705">
                  <c:v>-0.377627122840243</c:v>
                </c:pt>
                <c:pt idx="706">
                  <c:v>-0.970549339639936</c:v>
                </c:pt>
                <c:pt idx="707">
                  <c:v>0.839774723815283</c:v>
                </c:pt>
                <c:pt idx="708">
                  <c:v>1.29327967808436</c:v>
                </c:pt>
                <c:pt idx="709">
                  <c:v>-0.0613145122840883</c:v>
                </c:pt>
                <c:pt idx="710">
                  <c:v>-1.14579766400407</c:v>
                </c:pt>
                <c:pt idx="711">
                  <c:v>0.390669054710887</c:v>
                </c:pt>
                <c:pt idx="712">
                  <c:v>-1.60343316640689</c:v>
                </c:pt>
                <c:pt idx="713">
                  <c:v>-0.175083029898394</c:v>
                </c:pt>
                <c:pt idx="714">
                  <c:v>0.319200147645973</c:v>
                </c:pt>
                <c:pt idx="715">
                  <c:v>0.739129391681201</c:v>
                </c:pt>
                <c:pt idx="716">
                  <c:v>-1.00534094150166</c:v>
                </c:pt>
                <c:pt idx="717">
                  <c:v>0.110650816602331</c:v>
                </c:pt>
                <c:pt idx="718">
                  <c:v>0.636273531046078</c:v>
                </c:pt>
                <c:pt idx="719">
                  <c:v>-0.916847071153198</c:v>
                </c:pt>
                <c:pt idx="720">
                  <c:v>0.72407547831577</c:v>
                </c:pt>
                <c:pt idx="721">
                  <c:v>-0.538307098524801</c:v>
                </c:pt>
                <c:pt idx="722">
                  <c:v>0.529269936898304</c:v>
                </c:pt>
                <c:pt idx="723">
                  <c:v>1.24242666627111</c:v>
                </c:pt>
                <c:pt idx="724">
                  <c:v>-0.943493892525232</c:v>
                </c:pt>
                <c:pt idx="725">
                  <c:v>-0.792940293774862</c:v>
                </c:pt>
                <c:pt idx="726">
                  <c:v>1.09244541216083</c:v>
                </c:pt>
                <c:pt idx="727">
                  <c:v>0.596724706579754</c:v>
                </c:pt>
                <c:pt idx="728">
                  <c:v>-0.0386113270905609</c:v>
                </c:pt>
                <c:pt idx="729">
                  <c:v>-0.602938937804708</c:v>
                </c:pt>
                <c:pt idx="730">
                  <c:v>-0.675039088948018</c:v>
                </c:pt>
                <c:pt idx="731">
                  <c:v>0.632087030779931</c:v>
                </c:pt>
                <c:pt idx="732">
                  <c:v>1.25196382126756</c:v>
                </c:pt>
                <c:pt idx="733">
                  <c:v>0.238448005095335</c:v>
                </c:pt>
                <c:pt idx="734">
                  <c:v>0.150053702718628</c:v>
                </c:pt>
                <c:pt idx="735">
                  <c:v>-0.201544981027641</c:v>
                </c:pt>
                <c:pt idx="736">
                  <c:v>0.858342619405697</c:v>
                </c:pt>
                <c:pt idx="737">
                  <c:v>-0.393984453777244</c:v>
                </c:pt>
                <c:pt idx="738">
                  <c:v>-0.215849265881334</c:v>
                </c:pt>
                <c:pt idx="739">
                  <c:v>-0.0326785458666123</c:v>
                </c:pt>
                <c:pt idx="740">
                  <c:v>1.47001654901958</c:v>
                </c:pt>
                <c:pt idx="741">
                  <c:v>0.680042461615823</c:v>
                </c:pt>
                <c:pt idx="742">
                  <c:v>1.01496337554676</c:v>
                </c:pt>
                <c:pt idx="743">
                  <c:v>-0.482122998251271</c:v>
                </c:pt>
                <c:pt idx="744">
                  <c:v>-0.353574747764266</c:v>
                </c:pt>
                <c:pt idx="745">
                  <c:v>0.678677488029875</c:v>
                </c:pt>
                <c:pt idx="746">
                  <c:v>1.80727482011108</c:v>
                </c:pt>
                <c:pt idx="747">
                  <c:v>0.55725852031908</c:v>
                </c:pt>
                <c:pt idx="748">
                  <c:v>1.19863894839103</c:v>
                </c:pt>
                <c:pt idx="749">
                  <c:v>1.38255767485017</c:v>
                </c:pt>
                <c:pt idx="750">
                  <c:v>-2.83370164153086</c:v>
                </c:pt>
                <c:pt idx="751">
                  <c:v>1.33035281976852</c:v>
                </c:pt>
                <c:pt idx="752">
                  <c:v>0.633542997371947</c:v>
                </c:pt>
                <c:pt idx="753">
                  <c:v>-1.20471480799012</c:v>
                </c:pt>
                <c:pt idx="754">
                  <c:v>-0.155791137427182</c:v>
                </c:pt>
                <c:pt idx="755">
                  <c:v>-0.792831254039556</c:v>
                </c:pt>
                <c:pt idx="756">
                  <c:v>-1.12525737854948</c:v>
                </c:pt>
                <c:pt idx="757">
                  <c:v>-0.318343608102512</c:v>
                </c:pt>
                <c:pt idx="758">
                  <c:v>-0.444180331067231</c:v>
                </c:pt>
                <c:pt idx="759">
                  <c:v>0.268056783845569</c:v>
                </c:pt>
                <c:pt idx="760">
                  <c:v>2.41719628873173</c:v>
                </c:pt>
                <c:pt idx="761">
                  <c:v>-3.00413508020409</c:v>
                </c:pt>
                <c:pt idx="762">
                  <c:v>-0.291762683547937</c:v>
                </c:pt>
                <c:pt idx="763">
                  <c:v>1.73907131812873</c:v>
                </c:pt>
                <c:pt idx="764">
                  <c:v>-1.83187164693019</c:v>
                </c:pt>
                <c:pt idx="765">
                  <c:v>0.180905590588786</c:v>
                </c:pt>
                <c:pt idx="766">
                  <c:v>-1.27951446045099</c:v>
                </c:pt>
                <c:pt idx="767">
                  <c:v>0.828684253152657</c:v>
                </c:pt>
                <c:pt idx="768">
                  <c:v>0.982944449647885</c:v>
                </c:pt>
                <c:pt idx="769">
                  <c:v>-1.3952187858852</c:v>
                </c:pt>
                <c:pt idx="770">
                  <c:v>-1.48782423320061</c:v>
                </c:pt>
                <c:pt idx="771">
                  <c:v>-0.111367473480459</c:v>
                </c:pt>
                <c:pt idx="772">
                  <c:v>0.664443631204453</c:v>
                </c:pt>
                <c:pt idx="773">
                  <c:v>1.51961457880411</c:v>
                </c:pt>
                <c:pt idx="774">
                  <c:v>-0.600757022101994</c:v>
                </c:pt>
                <c:pt idx="775">
                  <c:v>0.510937449974069</c:v>
                </c:pt>
                <c:pt idx="776">
                  <c:v>0.527292959895473</c:v>
                </c:pt>
                <c:pt idx="777">
                  <c:v>0.826138732040478</c:v>
                </c:pt>
                <c:pt idx="778">
                  <c:v>-0.413226829016978</c:v>
                </c:pt>
                <c:pt idx="779">
                  <c:v>0.975354345522225</c:v>
                </c:pt>
                <c:pt idx="780">
                  <c:v>-0.181612261383984</c:v>
                </c:pt>
                <c:pt idx="781">
                  <c:v>-0.945600303754163</c:v>
                </c:pt>
                <c:pt idx="782">
                  <c:v>-0.312181446403455</c:v>
                </c:pt>
                <c:pt idx="783">
                  <c:v>1.43631314789076</c:v>
                </c:pt>
                <c:pt idx="784">
                  <c:v>-0.264718544290408</c:v>
                </c:pt>
                <c:pt idx="785">
                  <c:v>0.307942523174096</c:v>
                </c:pt>
                <c:pt idx="786">
                  <c:v>-2.30121565332288</c:v>
                </c:pt>
                <c:pt idx="787">
                  <c:v>-0.332889540700964</c:v>
                </c:pt>
                <c:pt idx="788">
                  <c:v>0.286504691581341</c:v>
                </c:pt>
                <c:pt idx="789">
                  <c:v>0.00536635381668788</c:v>
                </c:pt>
                <c:pt idx="790">
                  <c:v>-0.0508413357421667</c:v>
                </c:pt>
                <c:pt idx="791">
                  <c:v>-0.119576874715804</c:v>
                </c:pt>
                <c:pt idx="792">
                  <c:v>-0.273506074535615</c:v>
                </c:pt>
                <c:pt idx="793">
                  <c:v>0.532866966162538</c:v>
                </c:pt>
                <c:pt idx="794">
                  <c:v>0.161755191337988</c:v>
                </c:pt>
                <c:pt idx="795">
                  <c:v>2.25363691213054</c:v>
                </c:pt>
                <c:pt idx="796">
                  <c:v>-1.01710352847108</c:v>
                </c:pt>
                <c:pt idx="797">
                  <c:v>-1.55135611051546</c:v>
                </c:pt>
                <c:pt idx="798">
                  <c:v>-1.00655473110721</c:v>
                </c:pt>
                <c:pt idx="799">
                  <c:v>0.591694620939409</c:v>
                </c:pt>
                <c:pt idx="800">
                  <c:v>0.498108097110812</c:v>
                </c:pt>
                <c:pt idx="801">
                  <c:v>-1.31516879526477</c:v>
                </c:pt>
                <c:pt idx="802">
                  <c:v>-1.87796148209444</c:v>
                </c:pt>
                <c:pt idx="803">
                  <c:v>0.407841660454248</c:v>
                </c:pt>
                <c:pt idx="804">
                  <c:v>1.00243419830975</c:v>
                </c:pt>
                <c:pt idx="805">
                  <c:v>2.21125513873074</c:v>
                </c:pt>
                <c:pt idx="806">
                  <c:v>1.80064294766522</c:v>
                </c:pt>
                <c:pt idx="807">
                  <c:v>-1.03179774486609</c:v>
                </c:pt>
                <c:pt idx="808">
                  <c:v>-0.388251704303435</c:v>
                </c:pt>
                <c:pt idx="809">
                  <c:v>0.318075460285572</c:v>
                </c:pt>
                <c:pt idx="810">
                  <c:v>0.147722523590156</c:v>
                </c:pt>
                <c:pt idx="811">
                  <c:v>-0.878143524597139</c:v>
                </c:pt>
                <c:pt idx="812">
                  <c:v>0.846329517511497</c:v>
                </c:pt>
                <c:pt idx="813">
                  <c:v>1.31728948382943</c:v>
                </c:pt>
                <c:pt idx="814">
                  <c:v>0.45988968512144</c:v>
                </c:pt>
                <c:pt idx="815">
                  <c:v>1.65315947054382</c:v>
                </c:pt>
                <c:pt idx="816">
                  <c:v>0.59387276067888</c:v>
                </c:pt>
                <c:pt idx="817">
                  <c:v>0.104242934560155</c:v>
                </c:pt>
                <c:pt idx="818">
                  <c:v>-0.0300260923606118</c:v>
                </c:pt>
                <c:pt idx="819">
                  <c:v>0.828790602988182</c:v>
                </c:pt>
                <c:pt idx="820">
                  <c:v>-1.23455041545218</c:v>
                </c:pt>
                <c:pt idx="821">
                  <c:v>0.182113993658838</c:v>
                </c:pt>
                <c:pt idx="822">
                  <c:v>0.931081802359225</c:v>
                </c:pt>
                <c:pt idx="823">
                  <c:v>-1.05462881411011</c:v>
                </c:pt>
                <c:pt idx="824">
                  <c:v>-2.39551763124805</c:v>
                </c:pt>
                <c:pt idx="825">
                  <c:v>-1.62304636700133</c:v>
                </c:pt>
                <c:pt idx="826">
                  <c:v>0.0442013573512953</c:v>
                </c:pt>
                <c:pt idx="827">
                  <c:v>0.346020384109615</c:v>
                </c:pt>
                <c:pt idx="828">
                  <c:v>0.588347201531682</c:v>
                </c:pt>
                <c:pt idx="829">
                  <c:v>-1.45541566988085</c:v>
                </c:pt>
                <c:pt idx="830">
                  <c:v>1.35190273998189</c:v>
                </c:pt>
                <c:pt idx="831">
                  <c:v>0.0184650310975962</c:v>
                </c:pt>
                <c:pt idx="832">
                  <c:v>1.84858960179527</c:v>
                </c:pt>
                <c:pt idx="833">
                  <c:v>-1.07131665955495</c:v>
                </c:pt>
                <c:pt idx="834">
                  <c:v>0.362486664821785</c:v>
                </c:pt>
                <c:pt idx="835">
                  <c:v>0.827187940509811</c:v>
                </c:pt>
                <c:pt idx="836">
                  <c:v>-0.0552565935549968</c:v>
                </c:pt>
                <c:pt idx="837">
                  <c:v>2.2338703919187</c:v>
                </c:pt>
                <c:pt idx="838">
                  <c:v>0.468694011293974</c:v>
                </c:pt>
                <c:pt idx="839">
                  <c:v>-0.569530791220003</c:v>
                </c:pt>
                <c:pt idx="840">
                  <c:v>-0.147949810694609</c:v>
                </c:pt>
                <c:pt idx="841">
                  <c:v>2.7057112929123</c:v>
                </c:pt>
                <c:pt idx="842">
                  <c:v>-0.791796414618973</c:v>
                </c:pt>
                <c:pt idx="843">
                  <c:v>0.866992491386869</c:v>
                </c:pt>
                <c:pt idx="844">
                  <c:v>-0.567512031974425</c:v>
                </c:pt>
                <c:pt idx="845">
                  <c:v>-0.692537697921023</c:v>
                </c:pt>
                <c:pt idx="846">
                  <c:v>-1.06628799065391</c:v>
                </c:pt>
                <c:pt idx="847">
                  <c:v>-0.355591186769913</c:v>
                </c:pt>
                <c:pt idx="848">
                  <c:v>-1.37796567116703</c:v>
                </c:pt>
                <c:pt idx="849">
                  <c:v>1.81838268666427</c:v>
                </c:pt>
                <c:pt idx="850">
                  <c:v>-0.14189241131065</c:v>
                </c:pt>
                <c:pt idx="851">
                  <c:v>0.526828185115436</c:v>
                </c:pt>
                <c:pt idx="852">
                  <c:v>0.582342108042599</c:v>
                </c:pt>
                <c:pt idx="853">
                  <c:v>-0.76781176909064</c:v>
                </c:pt>
                <c:pt idx="854">
                  <c:v>0.335838122670173</c:v>
                </c:pt>
                <c:pt idx="855">
                  <c:v>-0.236844135011162</c:v>
                </c:pt>
                <c:pt idx="856">
                  <c:v>-1.28836983751797</c:v>
                </c:pt>
                <c:pt idx="857">
                  <c:v>-0.84571593476934</c:v>
                </c:pt>
                <c:pt idx="858">
                  <c:v>1.0313245368718</c:v>
                </c:pt>
                <c:pt idx="859">
                  <c:v>1.14331172223341</c:v>
                </c:pt>
                <c:pt idx="860">
                  <c:v>0.465961961807299</c:v>
                </c:pt>
                <c:pt idx="861">
                  <c:v>-0.749100382083841</c:v>
                </c:pt>
                <c:pt idx="862">
                  <c:v>-1.15873126113989</c:v>
                </c:pt>
                <c:pt idx="863">
                  <c:v>-1.68011467295974</c:v>
                </c:pt>
                <c:pt idx="864">
                  <c:v>0.291324329278437</c:v>
                </c:pt>
                <c:pt idx="865">
                  <c:v>0.644155931795106</c:v>
                </c:pt>
                <c:pt idx="866">
                  <c:v>-0.24796389485286</c:v>
                </c:pt>
                <c:pt idx="867">
                  <c:v>0.167388885557641</c:v>
                </c:pt>
                <c:pt idx="868">
                  <c:v>-0.546283523330255</c:v>
                </c:pt>
                <c:pt idx="869">
                  <c:v>0.708072931660527</c:v>
                </c:pt>
                <c:pt idx="870">
                  <c:v>-0.856609325317109</c:v>
                </c:pt>
                <c:pt idx="871">
                  <c:v>0.75430983827011</c:v>
                </c:pt>
                <c:pt idx="872">
                  <c:v>-0.421308128442915</c:v>
                </c:pt>
                <c:pt idx="873">
                  <c:v>-0.602080782846227</c:v>
                </c:pt>
                <c:pt idx="874">
                  <c:v>-0.292823760913099</c:v>
                </c:pt>
                <c:pt idx="875">
                  <c:v>-0.394011339105947</c:v>
                </c:pt>
                <c:pt idx="876">
                  <c:v>-0.0538009101757669</c:v>
                </c:pt>
                <c:pt idx="877">
                  <c:v>-0.287714595508409</c:v>
                </c:pt>
                <c:pt idx="878">
                  <c:v>1.11865300283944</c:v>
                </c:pt>
                <c:pt idx="879">
                  <c:v>1.4940476989332</c:v>
                </c:pt>
                <c:pt idx="880">
                  <c:v>-2.83037324904152</c:v>
                </c:pt>
                <c:pt idx="881">
                  <c:v>-1.23810844295696</c:v>
                </c:pt>
                <c:pt idx="882">
                  <c:v>1.51499528884939</c:v>
                </c:pt>
                <c:pt idx="883">
                  <c:v>0.861351414870671</c:v>
                </c:pt>
                <c:pt idx="884">
                  <c:v>0.939039161954612</c:v>
                </c:pt>
                <c:pt idx="885">
                  <c:v>-0.0500079730319923</c:v>
                </c:pt>
                <c:pt idx="886">
                  <c:v>-0.682286520015623</c:v>
                </c:pt>
                <c:pt idx="887">
                  <c:v>-0.317153501891857</c:v>
                </c:pt>
                <c:pt idx="888">
                  <c:v>-1.12009386536007</c:v>
                </c:pt>
                <c:pt idx="889">
                  <c:v>1.0399903764225</c:v>
                </c:pt>
                <c:pt idx="890">
                  <c:v>-0.103575033217738</c:v>
                </c:pt>
                <c:pt idx="891">
                  <c:v>-1.04059097741565</c:v>
                </c:pt>
                <c:pt idx="892">
                  <c:v>-0.907212580530973</c:v>
                </c:pt>
                <c:pt idx="893">
                  <c:v>1.71488376932609</c:v>
                </c:pt>
                <c:pt idx="894">
                  <c:v>-0.0786512099167585</c:v>
                </c:pt>
                <c:pt idx="895">
                  <c:v>-1.31635090163676</c:v>
                </c:pt>
                <c:pt idx="896">
                  <c:v>-0.188514989015541</c:v>
                </c:pt>
                <c:pt idx="897">
                  <c:v>0.332228356044347</c:v>
                </c:pt>
                <c:pt idx="898">
                  <c:v>-1.12989217955708</c:v>
                </c:pt>
                <c:pt idx="899">
                  <c:v>0.00318848372859781</c:v>
                </c:pt>
                <c:pt idx="900">
                  <c:v>0.920652043300478</c:v>
                </c:pt>
                <c:pt idx="901">
                  <c:v>-1.51620643570193</c:v>
                </c:pt>
                <c:pt idx="902">
                  <c:v>-0.21001084242883</c:v>
                </c:pt>
                <c:pt idx="903">
                  <c:v>-0.0250693638684954</c:v>
                </c:pt>
                <c:pt idx="904">
                  <c:v>-0.422768040694798</c:v>
                </c:pt>
                <c:pt idx="905">
                  <c:v>-0.341765124770933</c:v>
                </c:pt>
                <c:pt idx="906">
                  <c:v>1.03112215843432</c:v>
                </c:pt>
                <c:pt idx="907">
                  <c:v>-0.461653862073275</c:v>
                </c:pt>
                <c:pt idx="908">
                  <c:v>-0.602874185200863</c:v>
                </c:pt>
                <c:pt idx="909">
                  <c:v>-0.165310029558341</c:v>
                </c:pt>
                <c:pt idx="910">
                  <c:v>-0.641746498294414</c:v>
                </c:pt>
                <c:pt idx="911">
                  <c:v>0.00116521217282711</c:v>
                </c:pt>
                <c:pt idx="912">
                  <c:v>1.03293887656821</c:v>
                </c:pt>
                <c:pt idx="913">
                  <c:v>0.276612800915698</c:v>
                </c:pt>
                <c:pt idx="914">
                  <c:v>-0.0299672995375181</c:v>
                </c:pt>
                <c:pt idx="915">
                  <c:v>0.705175576712823</c:v>
                </c:pt>
                <c:pt idx="916">
                  <c:v>-0.790115332837609</c:v>
                </c:pt>
                <c:pt idx="917">
                  <c:v>0.454925292230857</c:v>
                </c:pt>
                <c:pt idx="918">
                  <c:v>-1.39203455958043</c:v>
                </c:pt>
                <c:pt idx="919">
                  <c:v>0.64807009942789</c:v>
                </c:pt>
                <c:pt idx="920">
                  <c:v>-0.153215630663796</c:v>
                </c:pt>
                <c:pt idx="921">
                  <c:v>-1.28196810575218</c:v>
                </c:pt>
                <c:pt idx="922">
                  <c:v>1.20298782231656</c:v>
                </c:pt>
                <c:pt idx="923">
                  <c:v>0.277921087498774</c:v>
                </c:pt>
                <c:pt idx="924">
                  <c:v>-0.735003385900468</c:v>
                </c:pt>
                <c:pt idx="925">
                  <c:v>0.449294094233585</c:v>
                </c:pt>
                <c:pt idx="926">
                  <c:v>2.04501173802493</c:v>
                </c:pt>
                <c:pt idx="927">
                  <c:v>1.120757564769</c:v>
                </c:pt>
                <c:pt idx="928">
                  <c:v>0.525692022305262</c:v>
                </c:pt>
                <c:pt idx="929">
                  <c:v>-0.276822582652049</c:v>
                </c:pt>
                <c:pt idx="930">
                  <c:v>1.66084069344849</c:v>
                </c:pt>
                <c:pt idx="931">
                  <c:v>1.28708598066666</c:v>
                </c:pt>
                <c:pt idx="932">
                  <c:v>0.151193612258264</c:v>
                </c:pt>
                <c:pt idx="933">
                  <c:v>-1.84052316138215</c:v>
                </c:pt>
                <c:pt idx="934">
                  <c:v>0.521961774001556</c:v>
                </c:pt>
                <c:pt idx="935">
                  <c:v>0.664951998555366</c:v>
                </c:pt>
                <c:pt idx="936">
                  <c:v>-0.522103773237651</c:v>
                </c:pt>
                <c:pt idx="937">
                  <c:v>3.18467745054996</c:v>
                </c:pt>
                <c:pt idx="938">
                  <c:v>-0.789688894573012</c:v>
                </c:pt>
                <c:pt idx="939">
                  <c:v>0.015571275914981</c:v>
                </c:pt>
                <c:pt idx="940">
                  <c:v>-0.0928199440675683</c:v>
                </c:pt>
                <c:pt idx="941">
                  <c:v>0.0629663829129376</c:v>
                </c:pt>
                <c:pt idx="942">
                  <c:v>1.63258026818596</c:v>
                </c:pt>
                <c:pt idx="943">
                  <c:v>-0.126581624760492</c:v>
                </c:pt>
                <c:pt idx="944">
                  <c:v>0.21615820964296</c:v>
                </c:pt>
                <c:pt idx="945">
                  <c:v>0.0448748466206666</c:v>
                </c:pt>
                <c:pt idx="946">
                  <c:v>-0.47937248554086</c:v>
                </c:pt>
                <c:pt idx="947">
                  <c:v>-0.498335052587921</c:v>
                </c:pt>
                <c:pt idx="948">
                  <c:v>-0.629393886689552</c:v>
                </c:pt>
                <c:pt idx="949">
                  <c:v>-0.633824076901621</c:v>
                </c:pt>
                <c:pt idx="950">
                  <c:v>-1.19862540407302</c:v>
                </c:pt>
                <c:pt idx="951">
                  <c:v>-0.495836698170122</c:v>
                </c:pt>
                <c:pt idx="952">
                  <c:v>-1.13007203322533</c:v>
                </c:pt>
                <c:pt idx="953">
                  <c:v>1.492448693554</c:v>
                </c:pt>
                <c:pt idx="954">
                  <c:v>0.563643594388054</c:v>
                </c:pt>
                <c:pt idx="955">
                  <c:v>-0.0458764543970566</c:v>
                </c:pt>
                <c:pt idx="956">
                  <c:v>-0.0977053922937057</c:v>
                </c:pt>
                <c:pt idx="957">
                  <c:v>-0.128531837774903</c:v>
                </c:pt>
                <c:pt idx="958">
                  <c:v>-0.219900805906722</c:v>
                </c:pt>
                <c:pt idx="959">
                  <c:v>-0.328814776373961</c:v>
                </c:pt>
                <c:pt idx="960">
                  <c:v>-1.00450933045166</c:v>
                </c:pt>
                <c:pt idx="961">
                  <c:v>-0.739222597735276</c:v>
                </c:pt>
                <c:pt idx="962">
                  <c:v>0.721961738244439</c:v>
                </c:pt>
                <c:pt idx="963">
                  <c:v>-2.17969283444447</c:v>
                </c:pt>
                <c:pt idx="964">
                  <c:v>0.474429919263732</c:v>
                </c:pt>
                <c:pt idx="965">
                  <c:v>-0.0514438521943169</c:v>
                </c:pt>
                <c:pt idx="966">
                  <c:v>-1.60897578336417</c:v>
                </c:pt>
                <c:pt idx="967">
                  <c:v>-0.19754061447128</c:v>
                </c:pt>
                <c:pt idx="968">
                  <c:v>0.156592421200046</c:v>
                </c:pt>
                <c:pt idx="969">
                  <c:v>-1.36344533953477</c:v>
                </c:pt>
                <c:pt idx="970">
                  <c:v>-0.88227289788632</c:v>
                </c:pt>
                <c:pt idx="971">
                  <c:v>-0.648578115958801</c:v>
                </c:pt>
                <c:pt idx="972">
                  <c:v>1.10841786973377</c:v>
                </c:pt>
                <c:pt idx="973">
                  <c:v>-0.191909275554944</c:v>
                </c:pt>
                <c:pt idx="974">
                  <c:v>-0.481950852766536</c:v>
                </c:pt>
                <c:pt idx="975">
                  <c:v>-1.37380474551834</c:v>
                </c:pt>
                <c:pt idx="976">
                  <c:v>-0.0636028004998616</c:v>
                </c:pt>
                <c:pt idx="977">
                  <c:v>-1.39600379875382</c:v>
                </c:pt>
                <c:pt idx="978">
                  <c:v>0.821291819351693</c:v>
                </c:pt>
                <c:pt idx="979">
                  <c:v>0.617662487330696</c:v>
                </c:pt>
                <c:pt idx="980">
                  <c:v>-0.195953429586709</c:v>
                </c:pt>
                <c:pt idx="981">
                  <c:v>0.428964327448306</c:v>
                </c:pt>
                <c:pt idx="982">
                  <c:v>0.866460004071209</c:v>
                </c:pt>
                <c:pt idx="983">
                  <c:v>0.830180649263426</c:v>
                </c:pt>
                <c:pt idx="984">
                  <c:v>0.418512179164052</c:v>
                </c:pt>
                <c:pt idx="985">
                  <c:v>-0.878114915747815</c:v>
                </c:pt>
                <c:pt idx="986">
                  <c:v>-1.9828676176249</c:v>
                </c:pt>
                <c:pt idx="987">
                  <c:v>-1.2906664303811</c:v>
                </c:pt>
                <c:pt idx="988">
                  <c:v>-0.305369413512802</c:v>
                </c:pt>
                <c:pt idx="989">
                  <c:v>0.351575732411154</c:v>
                </c:pt>
                <c:pt idx="990">
                  <c:v>0.599165458201941</c:v>
                </c:pt>
                <c:pt idx="991">
                  <c:v>-0.685622955340709</c:v>
                </c:pt>
                <c:pt idx="992">
                  <c:v>1.45540333946134</c:v>
                </c:pt>
                <c:pt idx="993">
                  <c:v>-1.41505962503443</c:v>
                </c:pt>
                <c:pt idx="994">
                  <c:v>-1.66430774548467</c:v>
                </c:pt>
                <c:pt idx="995">
                  <c:v>-0.871200268573554</c:v>
                </c:pt>
                <c:pt idx="996">
                  <c:v>-0.493794156123403</c:v>
                </c:pt>
                <c:pt idx="997">
                  <c:v>0.612591099997794</c:v>
                </c:pt>
                <c:pt idx="998">
                  <c:v>-0.402636453930186</c:v>
                </c:pt>
                <c:pt idx="999">
                  <c:v>-0.23593996665291</c:v>
                </c:pt>
                <c:pt idx="1000">
                  <c:v>2.01666242158787</c:v>
                </c:pt>
                <c:pt idx="1001">
                  <c:v>1.13897974089668</c:v>
                </c:pt>
                <c:pt idx="1002">
                  <c:v>0.551373561304733</c:v>
                </c:pt>
                <c:pt idx="1003">
                  <c:v>-0.812689978662896</c:v>
                </c:pt>
                <c:pt idx="1004">
                  <c:v>-0.895506205932725</c:v>
                </c:pt>
                <c:pt idx="1005">
                  <c:v>-0.236039435209886</c:v>
                </c:pt>
                <c:pt idx="1006">
                  <c:v>-1.44103286018888</c:v>
                </c:pt>
                <c:pt idx="1007">
                  <c:v>-1.0845681172964</c:v>
                </c:pt>
                <c:pt idx="1008">
                  <c:v>0.399224786090775</c:v>
                </c:pt>
                <c:pt idx="1009">
                  <c:v>0.826222346150528</c:v>
                </c:pt>
                <c:pt idx="1010">
                  <c:v>0.841310857201486</c:v>
                </c:pt>
                <c:pt idx="1011">
                  <c:v>-0.447724570509123</c:v>
                </c:pt>
                <c:pt idx="1012">
                  <c:v>-1.45444259698265</c:v>
                </c:pt>
                <c:pt idx="1013">
                  <c:v>1.70825243854386</c:v>
                </c:pt>
                <c:pt idx="1014">
                  <c:v>-1.35342884149433</c:v>
                </c:pt>
                <c:pt idx="1015">
                  <c:v>0.395883406857754</c:v>
                </c:pt>
                <c:pt idx="1016">
                  <c:v>-0.418359885775819</c:v>
                </c:pt>
                <c:pt idx="1017">
                  <c:v>-0.432865585095445</c:v>
                </c:pt>
                <c:pt idx="1018">
                  <c:v>0.108382580190865</c:v>
                </c:pt>
                <c:pt idx="1019">
                  <c:v>-0.246697595474791</c:v>
                </c:pt>
                <c:pt idx="1020">
                  <c:v>-0.150261595517389</c:v>
                </c:pt>
                <c:pt idx="1021">
                  <c:v>1.06104596132483</c:v>
                </c:pt>
                <c:pt idx="1022">
                  <c:v>0.52439792649149</c:v>
                </c:pt>
                <c:pt idx="1023">
                  <c:v>0.426263711986668</c:v>
                </c:pt>
                <c:pt idx="1024">
                  <c:v>1.08910020429167</c:v>
                </c:pt>
                <c:pt idx="1025">
                  <c:v>-0.865406083137807</c:v>
                </c:pt>
                <c:pt idx="1026">
                  <c:v>-0.53433134304204</c:v>
                </c:pt>
                <c:pt idx="1027">
                  <c:v>0.531072293569723</c:v>
                </c:pt>
                <c:pt idx="1028">
                  <c:v>0.484668971986567</c:v>
                </c:pt>
                <c:pt idx="1029">
                  <c:v>-1.85960158000895</c:v>
                </c:pt>
                <c:pt idx="1030">
                  <c:v>-0.00320052118933432</c:v>
                </c:pt>
                <c:pt idx="1031">
                  <c:v>0.0685598443997089</c:v>
                </c:pt>
                <c:pt idx="1032">
                  <c:v>0.255734641425383</c:v>
                </c:pt>
                <c:pt idx="1033">
                  <c:v>-0.801380019118932</c:v>
                </c:pt>
                <c:pt idx="1034">
                  <c:v>0.810747846656155</c:v>
                </c:pt>
                <c:pt idx="1035">
                  <c:v>-2.68617851508324</c:v>
                </c:pt>
                <c:pt idx="1036">
                  <c:v>-0.886600168216787</c:v>
                </c:pt>
                <c:pt idx="1037">
                  <c:v>-1.55381810170103</c:v>
                </c:pt>
                <c:pt idx="1038">
                  <c:v>0.0299253191405444</c:v>
                </c:pt>
                <c:pt idx="1039">
                  <c:v>0.523128011049692</c:v>
                </c:pt>
                <c:pt idx="1040">
                  <c:v>-1.6109794890676</c:v>
                </c:pt>
                <c:pt idx="1041">
                  <c:v>1.03666410711659</c:v>
                </c:pt>
                <c:pt idx="1042">
                  <c:v>-1.8144865721634</c:v>
                </c:pt>
                <c:pt idx="1043">
                  <c:v>0.486372730874812</c:v>
                </c:pt>
                <c:pt idx="1044">
                  <c:v>-0.844138201145156</c:v>
                </c:pt>
                <c:pt idx="1045">
                  <c:v>1.34372338442296</c:v>
                </c:pt>
                <c:pt idx="1046">
                  <c:v>-0.420377069090167</c:v>
                </c:pt>
                <c:pt idx="1047">
                  <c:v>-0.135021522994303</c:v>
                </c:pt>
                <c:pt idx="1048">
                  <c:v>-0.0557536610343389</c:v>
                </c:pt>
                <c:pt idx="1049">
                  <c:v>0.236602965144228</c:v>
                </c:pt>
                <c:pt idx="1050">
                  <c:v>-1.02661281239568</c:v>
                </c:pt>
                <c:pt idx="1051">
                  <c:v>-0.163384951234029</c:v>
                </c:pt>
                <c:pt idx="1052">
                  <c:v>1.80451365486811</c:v>
                </c:pt>
                <c:pt idx="1053">
                  <c:v>-2.11363950256902</c:v>
                </c:pt>
                <c:pt idx="1054">
                  <c:v>0.804750543456369</c:v>
                </c:pt>
                <c:pt idx="1055">
                  <c:v>0.516096483151726</c:v>
                </c:pt>
                <c:pt idx="1056">
                  <c:v>-1.45447593280185</c:v>
                </c:pt>
                <c:pt idx="1057">
                  <c:v>0.155432477706098</c:v>
                </c:pt>
                <c:pt idx="1058">
                  <c:v>-0.734568753453961</c:v>
                </c:pt>
                <c:pt idx="1059">
                  <c:v>-0.543194930423129</c:v>
                </c:pt>
                <c:pt idx="1060">
                  <c:v>1.10513029087609</c:v>
                </c:pt>
                <c:pt idx="1061">
                  <c:v>0.701910595937182</c:v>
                </c:pt>
                <c:pt idx="1062">
                  <c:v>-0.827195882020623</c:v>
                </c:pt>
                <c:pt idx="1063">
                  <c:v>1.75753438072362</c:v>
                </c:pt>
                <c:pt idx="1064">
                  <c:v>-0.414670792714555</c:v>
                </c:pt>
                <c:pt idx="1065">
                  <c:v>-2.29599309358365</c:v>
                </c:pt>
                <c:pt idx="1066">
                  <c:v>-0.036362124591413</c:v>
                </c:pt>
                <c:pt idx="1067">
                  <c:v>0.398409354182121</c:v>
                </c:pt>
                <c:pt idx="1068">
                  <c:v>-0.619162274128878</c:v>
                </c:pt>
                <c:pt idx="1069">
                  <c:v>0.380713073543845</c:v>
                </c:pt>
                <c:pt idx="1070">
                  <c:v>1.61845116058466</c:v>
                </c:pt>
                <c:pt idx="1071">
                  <c:v>0.908681690224618</c:v>
                </c:pt>
                <c:pt idx="1072">
                  <c:v>-1.45553179029827</c:v>
                </c:pt>
                <c:pt idx="1073">
                  <c:v>-0.0851971346122045</c:v>
                </c:pt>
                <c:pt idx="1074">
                  <c:v>-0.18359524848642</c:v>
                </c:pt>
                <c:pt idx="1075">
                  <c:v>1.06362988357535</c:v>
                </c:pt>
                <c:pt idx="1076">
                  <c:v>1.9933115745447</c:v>
                </c:pt>
                <c:pt idx="1077">
                  <c:v>-1.11758900906219</c:v>
                </c:pt>
                <c:pt idx="1078">
                  <c:v>-0.913900748654438</c:v>
                </c:pt>
                <c:pt idx="1079">
                  <c:v>-1.43812576773895</c:v>
                </c:pt>
                <c:pt idx="1080">
                  <c:v>-0.171100942270078</c:v>
                </c:pt>
                <c:pt idx="1081">
                  <c:v>0.778712794923267</c:v>
                </c:pt>
                <c:pt idx="1082">
                  <c:v>-0.702201229221667</c:v>
                </c:pt>
                <c:pt idx="1083">
                  <c:v>-0.65542477144011</c:v>
                </c:pt>
                <c:pt idx="1084">
                  <c:v>0.977235156662393</c:v>
                </c:pt>
                <c:pt idx="1085">
                  <c:v>1.00267523508473</c:v>
                </c:pt>
                <c:pt idx="1086">
                  <c:v>-0.248670463567174</c:v>
                </c:pt>
                <c:pt idx="1087">
                  <c:v>-1.37815644466214</c:v>
                </c:pt>
                <c:pt idx="1088">
                  <c:v>0.00992336630139028</c:v>
                </c:pt>
                <c:pt idx="1089">
                  <c:v>0.721558419937909</c:v>
                </c:pt>
                <c:pt idx="1090">
                  <c:v>-0.190320588181694</c:v>
                </c:pt>
                <c:pt idx="1091">
                  <c:v>0.99141562031433</c:v>
                </c:pt>
                <c:pt idx="1092">
                  <c:v>1.08818557716892</c:v>
                </c:pt>
                <c:pt idx="1093">
                  <c:v>0.789042728390765</c:v>
                </c:pt>
                <c:pt idx="1094">
                  <c:v>1.43505440089742</c:v>
                </c:pt>
                <c:pt idx="1095">
                  <c:v>-0.570293565978171</c:v>
                </c:pt>
                <c:pt idx="1096">
                  <c:v>0.347121024931309</c:v>
                </c:pt>
                <c:pt idx="1097">
                  <c:v>0.394400349987378</c:v>
                </c:pt>
                <c:pt idx="1098">
                  <c:v>-0.610946532945797</c:v>
                </c:pt>
                <c:pt idx="1099">
                  <c:v>-0.0999370290509917</c:v>
                </c:pt>
                <c:pt idx="1100">
                  <c:v>0.156542974036894</c:v>
                </c:pt>
                <c:pt idx="1101">
                  <c:v>-1.33905727915185</c:v>
                </c:pt>
                <c:pt idx="1102">
                  <c:v>0.785785294623654</c:v>
                </c:pt>
                <c:pt idx="1103">
                  <c:v>0.300158365104735</c:v>
                </c:pt>
                <c:pt idx="1104">
                  <c:v>-0.739122541124845</c:v>
                </c:pt>
                <c:pt idx="1105">
                  <c:v>0.0983043651684438</c:v>
                </c:pt>
                <c:pt idx="1106">
                  <c:v>-0.128115322960507</c:v>
                </c:pt>
                <c:pt idx="1107">
                  <c:v>0.543667970503524</c:v>
                </c:pt>
                <c:pt idx="1108">
                  <c:v>-1.45715736715535</c:v>
                </c:pt>
                <c:pt idx="1109">
                  <c:v>0.975765420861981</c:v>
                </c:pt>
                <c:pt idx="1110">
                  <c:v>1.36240082797382</c:v>
                </c:pt>
                <c:pt idx="1111">
                  <c:v>-2.02916852520354</c:v>
                </c:pt>
                <c:pt idx="1112">
                  <c:v>1.04700000430925</c:v>
                </c:pt>
                <c:pt idx="1113">
                  <c:v>0.253822609057571</c:v>
                </c:pt>
                <c:pt idx="1114">
                  <c:v>-0.444791075668669</c:v>
                </c:pt>
                <c:pt idx="1115">
                  <c:v>-0.581749580705545</c:v>
                </c:pt>
                <c:pt idx="1116">
                  <c:v>0.0429416066807457</c:v>
                </c:pt>
                <c:pt idx="1117">
                  <c:v>0.990410885621582</c:v>
                </c:pt>
                <c:pt idx="1118">
                  <c:v>-0.275134237424754</c:v>
                </c:pt>
                <c:pt idx="1119">
                  <c:v>0.317478005861302</c:v>
                </c:pt>
                <c:pt idx="1120">
                  <c:v>-1.0460387426535</c:v>
                </c:pt>
                <c:pt idx="1121">
                  <c:v>1.52750942579207</c:v>
                </c:pt>
                <c:pt idx="1122">
                  <c:v>0.764488995068809</c:v>
                </c:pt>
                <c:pt idx="1123">
                  <c:v>-0.654553126563525</c:v>
                </c:pt>
                <c:pt idx="1124">
                  <c:v>0.914777849191747</c:v>
                </c:pt>
                <c:pt idx="1125">
                  <c:v>0.580455460476414</c:v>
                </c:pt>
                <c:pt idx="1126">
                  <c:v>-2.46887413539374</c:v>
                </c:pt>
                <c:pt idx="1127">
                  <c:v>-0.427360433099245</c:v>
                </c:pt>
                <c:pt idx="1128">
                  <c:v>0.284228711733033</c:v>
                </c:pt>
                <c:pt idx="1129">
                  <c:v>-0.135147314096772</c:v>
                </c:pt>
                <c:pt idx="1130">
                  <c:v>-1.11299498405359</c:v>
                </c:pt>
                <c:pt idx="1131">
                  <c:v>-0.670799052011833</c:v>
                </c:pt>
                <c:pt idx="1132">
                  <c:v>1.0500325354922</c:v>
                </c:pt>
                <c:pt idx="1133">
                  <c:v>-0.0526645655127141</c:v>
                </c:pt>
                <c:pt idx="1134">
                  <c:v>-0.748151610856433</c:v>
                </c:pt>
                <c:pt idx="1135">
                  <c:v>-0.230689307886797</c:v>
                </c:pt>
                <c:pt idx="1136">
                  <c:v>-0.297335874831048</c:v>
                </c:pt>
                <c:pt idx="1137">
                  <c:v>-0.154772083826834</c:v>
                </c:pt>
                <c:pt idx="1138">
                  <c:v>-1.04073323899212</c:v>
                </c:pt>
                <c:pt idx="1139">
                  <c:v>0.521239141870897</c:v>
                </c:pt>
                <c:pt idx="1140">
                  <c:v>1.32903541322063</c:v>
                </c:pt>
                <c:pt idx="1141">
                  <c:v>-0.291321003460672</c:v>
                </c:pt>
                <c:pt idx="1142">
                  <c:v>-0.348914482728944</c:v>
                </c:pt>
                <c:pt idx="1143">
                  <c:v>-0.611429768642386</c:v>
                </c:pt>
                <c:pt idx="1144">
                  <c:v>0.921606830768106</c:v>
                </c:pt>
                <c:pt idx="1145">
                  <c:v>-0.771030288744838</c:v>
                </c:pt>
                <c:pt idx="1146">
                  <c:v>-0.545816930897848</c:v>
                </c:pt>
                <c:pt idx="1147">
                  <c:v>0.42706668104196</c:v>
                </c:pt>
                <c:pt idx="1148">
                  <c:v>0.618415339085321</c:v>
                </c:pt>
                <c:pt idx="1149">
                  <c:v>1.42887750720209</c:v>
                </c:pt>
                <c:pt idx="1150">
                  <c:v>-0.813333852748526</c:v>
                </c:pt>
                <c:pt idx="1151">
                  <c:v>-0.121756089348442</c:v>
                </c:pt>
                <c:pt idx="1152">
                  <c:v>2.3150219135359</c:v>
                </c:pt>
                <c:pt idx="1153">
                  <c:v>2.57244886662389</c:v>
                </c:pt>
                <c:pt idx="1154">
                  <c:v>0.644186521301054</c:v>
                </c:pt>
                <c:pt idx="1155">
                  <c:v>0.194117283972298</c:v>
                </c:pt>
                <c:pt idx="1156">
                  <c:v>-0.974240063313894</c:v>
                </c:pt>
                <c:pt idx="1157">
                  <c:v>-1.15558932988964</c:v>
                </c:pt>
                <c:pt idx="1158">
                  <c:v>-2.56180079603527</c:v>
                </c:pt>
                <c:pt idx="1159">
                  <c:v>0.746848287714703</c:v>
                </c:pt>
                <c:pt idx="1160">
                  <c:v>0.864030207469436</c:v>
                </c:pt>
                <c:pt idx="1161">
                  <c:v>-1.06346932354982</c:v>
                </c:pt>
                <c:pt idx="1162">
                  <c:v>0.834446556273636</c:v>
                </c:pt>
                <c:pt idx="1163">
                  <c:v>-0.434338916851886</c:v>
                </c:pt>
                <c:pt idx="1164">
                  <c:v>0.674718328849047</c:v>
                </c:pt>
                <c:pt idx="1165">
                  <c:v>0.982659307929814</c:v>
                </c:pt>
                <c:pt idx="1166">
                  <c:v>-1.15605808686712</c:v>
                </c:pt>
                <c:pt idx="1167">
                  <c:v>0.480338174406385</c:v>
                </c:pt>
                <c:pt idx="1168">
                  <c:v>0.704718734028837</c:v>
                </c:pt>
                <c:pt idx="1169">
                  <c:v>0.101187287139722</c:v>
                </c:pt>
                <c:pt idx="1170">
                  <c:v>-0.724004323634145</c:v>
                </c:pt>
                <c:pt idx="1171">
                  <c:v>-0.339024428126862</c:v>
                </c:pt>
                <c:pt idx="1172">
                  <c:v>0.12283877318279</c:v>
                </c:pt>
                <c:pt idx="1173">
                  <c:v>0.051522468595754</c:v>
                </c:pt>
                <c:pt idx="1174">
                  <c:v>-2.57741989399166</c:v>
                </c:pt>
                <c:pt idx="1175">
                  <c:v>0.188958977084832</c:v>
                </c:pt>
                <c:pt idx="1176">
                  <c:v>0.910124424959918</c:v>
                </c:pt>
                <c:pt idx="1177">
                  <c:v>-0.0870808617420646</c:v>
                </c:pt>
                <c:pt idx="1178">
                  <c:v>1.78311452163567</c:v>
                </c:pt>
                <c:pt idx="1179">
                  <c:v>-1.5290638290878</c:v>
                </c:pt>
                <c:pt idx="1180">
                  <c:v>0.787207026287193</c:v>
                </c:pt>
                <c:pt idx="1181">
                  <c:v>-0.0680047860940812</c:v>
                </c:pt>
                <c:pt idx="1182">
                  <c:v>0.0461251498057956</c:v>
                </c:pt>
                <c:pt idx="1183">
                  <c:v>-2.22359411883812</c:v>
                </c:pt>
                <c:pt idx="1184">
                  <c:v>-0.0428617981724349</c:v>
                </c:pt>
                <c:pt idx="1185">
                  <c:v>0.956044592025255</c:v>
                </c:pt>
                <c:pt idx="1186">
                  <c:v>0.935733466057368</c:v>
                </c:pt>
                <c:pt idx="1187">
                  <c:v>0.412170814985218</c:v>
                </c:pt>
                <c:pt idx="1188">
                  <c:v>-0.74503905500081</c:v>
                </c:pt>
                <c:pt idx="1189">
                  <c:v>0.694205171005915</c:v>
                </c:pt>
                <c:pt idx="1190">
                  <c:v>-1.2439997926932</c:v>
                </c:pt>
                <c:pt idx="1191">
                  <c:v>-0.413744414147515</c:v>
                </c:pt>
                <c:pt idx="1192">
                  <c:v>-1.54100903225855</c:v>
                </c:pt>
                <c:pt idx="1193">
                  <c:v>0.273373712040624</c:v>
                </c:pt>
                <c:pt idx="1194">
                  <c:v>0.661164724540407</c:v>
                </c:pt>
                <c:pt idx="1195">
                  <c:v>0.626720747458077</c:v>
                </c:pt>
                <c:pt idx="1196">
                  <c:v>2.19618792819472</c:v>
                </c:pt>
                <c:pt idx="1197">
                  <c:v>-0.250447847004479</c:v>
                </c:pt>
                <c:pt idx="1198">
                  <c:v>-0.600834959169856</c:v>
                </c:pt>
                <c:pt idx="1199">
                  <c:v>0.818693990335794</c:v>
                </c:pt>
                <c:pt idx="1200">
                  <c:v>-2.23878265020833</c:v>
                </c:pt>
                <c:pt idx="1201">
                  <c:v>-0.0597505089324387</c:v>
                </c:pt>
                <c:pt idx="1202">
                  <c:v>-0.253791478234891</c:v>
                </c:pt>
                <c:pt idx="1203">
                  <c:v>-0.77042772080278</c:v>
                </c:pt>
                <c:pt idx="1204">
                  <c:v>0.560956792668376</c:v>
                </c:pt>
                <c:pt idx="1205">
                  <c:v>2.04582824100828</c:v>
                </c:pt>
                <c:pt idx="1206">
                  <c:v>1.18943205373018</c:v>
                </c:pt>
                <c:pt idx="1207">
                  <c:v>1.10459734168573</c:v>
                </c:pt>
                <c:pt idx="1208">
                  <c:v>-0.12001193228198</c:v>
                </c:pt>
                <c:pt idx="1209">
                  <c:v>0.385188647719625</c:v>
                </c:pt>
                <c:pt idx="1210">
                  <c:v>-0.36659921683178</c:v>
                </c:pt>
                <c:pt idx="1211">
                  <c:v>0.551236996956746</c:v>
                </c:pt>
                <c:pt idx="1212">
                  <c:v>0.182219628964918</c:v>
                </c:pt>
                <c:pt idx="1213">
                  <c:v>1.02471340675564</c:v>
                </c:pt>
                <c:pt idx="1214">
                  <c:v>0.153822839862498</c:v>
                </c:pt>
                <c:pt idx="1215">
                  <c:v>-1.15719576173004</c:v>
                </c:pt>
                <c:pt idx="1216">
                  <c:v>1.82725421904535</c:v>
                </c:pt>
                <c:pt idx="1217">
                  <c:v>0.398976914370404</c:v>
                </c:pt>
                <c:pt idx="1218">
                  <c:v>-0.219342155456438</c:v>
                </c:pt>
                <c:pt idx="1219">
                  <c:v>0.0485529407257157</c:v>
                </c:pt>
                <c:pt idx="1220">
                  <c:v>-0.251171157233316</c:v>
                </c:pt>
                <c:pt idx="1221">
                  <c:v>1.91155152418787</c:v>
                </c:pt>
                <c:pt idx="1222">
                  <c:v>1.31008313714986</c:v>
                </c:pt>
                <c:pt idx="1223">
                  <c:v>-0.16067581485672</c:v>
                </c:pt>
                <c:pt idx="1224">
                  <c:v>-1.13338174730432</c:v>
                </c:pt>
                <c:pt idx="1225">
                  <c:v>-0.528361856560862</c:v>
                </c:pt>
                <c:pt idx="1226">
                  <c:v>0.257239220550883</c:v>
                </c:pt>
                <c:pt idx="1227">
                  <c:v>-1.0743949543938</c:v>
                </c:pt>
                <c:pt idx="1228">
                  <c:v>0.927998965596028</c:v>
                </c:pt>
                <c:pt idx="1229">
                  <c:v>0.0963659904488515</c:v>
                </c:pt>
                <c:pt idx="1230">
                  <c:v>0.944461130301573</c:v>
                </c:pt>
                <c:pt idx="1231">
                  <c:v>1.48227236717096</c:v>
                </c:pt>
                <c:pt idx="1232">
                  <c:v>-0.936732104000087</c:v>
                </c:pt>
                <c:pt idx="1233">
                  <c:v>0.247795950656986</c:v>
                </c:pt>
                <c:pt idx="1234">
                  <c:v>0.0534154404546044</c:v>
                </c:pt>
                <c:pt idx="1235">
                  <c:v>0.223810617363052</c:v>
                </c:pt>
                <c:pt idx="1236">
                  <c:v>0.172809175417963</c:v>
                </c:pt>
                <c:pt idx="1237">
                  <c:v>1.98667477199994</c:v>
                </c:pt>
                <c:pt idx="1238">
                  <c:v>0.307516341445503</c:v>
                </c:pt>
                <c:pt idx="1239">
                  <c:v>-0.405433537069055</c:v>
                </c:pt>
                <c:pt idx="1240">
                  <c:v>-0.227034471305041</c:v>
                </c:pt>
                <c:pt idx="1241">
                  <c:v>0.382146281971462</c:v>
                </c:pt>
                <c:pt idx="1242">
                  <c:v>-0.130348517402182</c:v>
                </c:pt>
                <c:pt idx="1243">
                  <c:v>-0.713990382504634</c:v>
                </c:pt>
                <c:pt idx="1244">
                  <c:v>-0.454216516839892</c:v>
                </c:pt>
                <c:pt idx="1245">
                  <c:v>1.14436832655075</c:v>
                </c:pt>
                <c:pt idx="1246">
                  <c:v>0.91991311614693</c:v>
                </c:pt>
                <c:pt idx="1247">
                  <c:v>-0.514516401897632</c:v>
                </c:pt>
                <c:pt idx="1248">
                  <c:v>-0.673328151686716</c:v>
                </c:pt>
                <c:pt idx="1249">
                  <c:v>0.584867976002292</c:v>
                </c:pt>
                <c:pt idx="1250">
                  <c:v>1.26759504820325</c:v>
                </c:pt>
                <c:pt idx="1251">
                  <c:v>-0.814841332166835</c:v>
                </c:pt>
                <c:pt idx="1252">
                  <c:v>-1.55965589192509</c:v>
                </c:pt>
                <c:pt idx="1253">
                  <c:v>-1.1491786596117</c:v>
                </c:pt>
                <c:pt idx="1254">
                  <c:v>-0.718045845397817</c:v>
                </c:pt>
                <c:pt idx="1255">
                  <c:v>-1.90564199898106</c:v>
                </c:pt>
                <c:pt idx="1256">
                  <c:v>0.9203243754589</c:v>
                </c:pt>
                <c:pt idx="1257">
                  <c:v>-1.13948346637499</c:v>
                </c:pt>
                <c:pt idx="1258">
                  <c:v>-0.263935560398142</c:v>
                </c:pt>
                <c:pt idx="1259">
                  <c:v>-0.243239518632575</c:v>
                </c:pt>
                <c:pt idx="1260">
                  <c:v>-0.305755858482964</c:v>
                </c:pt>
                <c:pt idx="1261">
                  <c:v>0.550591251784949</c:v>
                </c:pt>
                <c:pt idx="1262">
                  <c:v>1.17171941144995</c:v>
                </c:pt>
                <c:pt idx="1263">
                  <c:v>-0.274437344761986</c:v>
                </c:pt>
                <c:pt idx="1264">
                  <c:v>2.35256203372495</c:v>
                </c:pt>
                <c:pt idx="1265">
                  <c:v>-0.0710117565133871</c:v>
                </c:pt>
                <c:pt idx="1266">
                  <c:v>-0.845552924177975</c:v>
                </c:pt>
                <c:pt idx="1267">
                  <c:v>-0.658158233174487</c:v>
                </c:pt>
                <c:pt idx="1268">
                  <c:v>-0.856451768043101</c:v>
                </c:pt>
                <c:pt idx="1269">
                  <c:v>1.00012053195372</c:v>
                </c:pt>
                <c:pt idx="1270">
                  <c:v>-0.86453735166381</c:v>
                </c:pt>
                <c:pt idx="1271">
                  <c:v>-1.37696815918571</c:v>
                </c:pt>
                <c:pt idx="1272">
                  <c:v>1.12947487936479</c:v>
                </c:pt>
                <c:pt idx="1273">
                  <c:v>0.111237792435038</c:v>
                </c:pt>
                <c:pt idx="1274">
                  <c:v>-0.358832478310168</c:v>
                </c:pt>
                <c:pt idx="1275">
                  <c:v>0.0706588281209186</c:v>
                </c:pt>
                <c:pt idx="1276">
                  <c:v>0.616020168727676</c:v>
                </c:pt>
                <c:pt idx="1277">
                  <c:v>0.501190999624957</c:v>
                </c:pt>
                <c:pt idx="1278">
                  <c:v>0.370614998987161</c:v>
                </c:pt>
                <c:pt idx="1279">
                  <c:v>1.28627305305284</c:v>
                </c:pt>
                <c:pt idx="1280">
                  <c:v>0.145655978927916</c:v>
                </c:pt>
                <c:pt idx="1281">
                  <c:v>-0.641888116252512</c:v>
                </c:pt>
                <c:pt idx="1282">
                  <c:v>0.756359703920707</c:v>
                </c:pt>
                <c:pt idx="1283">
                  <c:v>-0.399229001819423</c:v>
                </c:pt>
                <c:pt idx="1284">
                  <c:v>0.986876464905152</c:v>
                </c:pt>
                <c:pt idx="1285">
                  <c:v>0.764138633790473</c:v>
                </c:pt>
                <c:pt idx="1286">
                  <c:v>-0.957662647451501</c:v>
                </c:pt>
                <c:pt idx="1287">
                  <c:v>-1.62559144425806</c:v>
                </c:pt>
                <c:pt idx="1288">
                  <c:v>0.255881718376635</c:v>
                </c:pt>
                <c:pt idx="1289">
                  <c:v>0.434963992092284</c:v>
                </c:pt>
                <c:pt idx="1290">
                  <c:v>0.371525586542136</c:v>
                </c:pt>
                <c:pt idx="1291">
                  <c:v>0.958180507121088</c:v>
                </c:pt>
                <c:pt idx="1292">
                  <c:v>0.165373635599394</c:v>
                </c:pt>
                <c:pt idx="1293">
                  <c:v>-0.46452724836394</c:v>
                </c:pt>
                <c:pt idx="1294">
                  <c:v>0.610716508171811</c:v>
                </c:pt>
                <c:pt idx="1295">
                  <c:v>-0.859454107727446</c:v>
                </c:pt>
                <c:pt idx="1296">
                  <c:v>-1.25958989136516</c:v>
                </c:pt>
                <c:pt idx="1297">
                  <c:v>-0.115644523326444</c:v>
                </c:pt>
                <c:pt idx="1298">
                  <c:v>-1.18474989911906</c:v>
                </c:pt>
                <c:pt idx="1299">
                  <c:v>1.56417775422371</c:v>
                </c:pt>
                <c:pt idx="1300">
                  <c:v>-0.226586321324914</c:v>
                </c:pt>
                <c:pt idx="1301">
                  <c:v>-1.52157478819429</c:v>
                </c:pt>
                <c:pt idx="1302">
                  <c:v>0.170142946335609</c:v>
                </c:pt>
                <c:pt idx="1303">
                  <c:v>-1.54204995820427</c:v>
                </c:pt>
                <c:pt idx="1304">
                  <c:v>2.07384077821994</c:v>
                </c:pt>
                <c:pt idx="1305">
                  <c:v>0.119336451795447</c:v>
                </c:pt>
                <c:pt idx="1306">
                  <c:v>-0.256798989714548</c:v>
                </c:pt>
                <c:pt idx="1307">
                  <c:v>-0.787519682699896</c:v>
                </c:pt>
                <c:pt idx="1308">
                  <c:v>0.493645575158342</c:v>
                </c:pt>
                <c:pt idx="1309">
                  <c:v>0.147742903494518</c:v>
                </c:pt>
                <c:pt idx="1310">
                  <c:v>0.00301914470561018</c:v>
                </c:pt>
                <c:pt idx="1311">
                  <c:v>-1.18260794781055</c:v>
                </c:pt>
                <c:pt idx="1312">
                  <c:v>0.175967896447291</c:v>
                </c:pt>
                <c:pt idx="1313">
                  <c:v>0.811105094147807</c:v>
                </c:pt>
                <c:pt idx="1314">
                  <c:v>-0.508287840778643</c:v>
                </c:pt>
                <c:pt idx="1315">
                  <c:v>-0.0674298716652198</c:v>
                </c:pt>
                <c:pt idx="1316">
                  <c:v>0.946648018711248</c:v>
                </c:pt>
                <c:pt idx="1317">
                  <c:v>0.502616884384308</c:v>
                </c:pt>
                <c:pt idx="1318">
                  <c:v>-1.34356031097925</c:v>
                </c:pt>
                <c:pt idx="1319">
                  <c:v>-0.571030047135395</c:v>
                </c:pt>
                <c:pt idx="1320">
                  <c:v>0.534883290837833</c:v>
                </c:pt>
                <c:pt idx="1321">
                  <c:v>-2.52296888257848</c:v>
                </c:pt>
                <c:pt idx="1322">
                  <c:v>0.345771812444069</c:v>
                </c:pt>
                <c:pt idx="1323">
                  <c:v>-0.764630441294278</c:v>
                </c:pt>
                <c:pt idx="1324">
                  <c:v>0.115833459083992</c:v>
                </c:pt>
                <c:pt idx="1325">
                  <c:v>-1.19019956165329</c:v>
                </c:pt>
                <c:pt idx="1326">
                  <c:v>0.398884691989108</c:v>
                </c:pt>
                <c:pt idx="1327">
                  <c:v>0.948967584266698</c:v>
                </c:pt>
                <c:pt idx="1328">
                  <c:v>-1.27572988980714</c:v>
                </c:pt>
                <c:pt idx="1329">
                  <c:v>-0.211447671474806</c:v>
                </c:pt>
                <c:pt idx="1330">
                  <c:v>0.86593713435382</c:v>
                </c:pt>
                <c:pt idx="1331">
                  <c:v>1.29665526321747</c:v>
                </c:pt>
                <c:pt idx="1332">
                  <c:v>-0.942860690446021</c:v>
                </c:pt>
                <c:pt idx="1333">
                  <c:v>0.783960485060579</c:v>
                </c:pt>
                <c:pt idx="1334">
                  <c:v>-0.132863605324084</c:v>
                </c:pt>
                <c:pt idx="1335">
                  <c:v>1.12207546600587</c:v>
                </c:pt>
                <c:pt idx="1336">
                  <c:v>1.2580568836272</c:v>
                </c:pt>
                <c:pt idx="1337">
                  <c:v>0.0529240024494035</c:v>
                </c:pt>
                <c:pt idx="1338">
                  <c:v>1.34181057131091</c:v>
                </c:pt>
                <c:pt idx="1339">
                  <c:v>0.598152288486697</c:v>
                </c:pt>
                <c:pt idx="1340">
                  <c:v>0.433371013850241</c:v>
                </c:pt>
                <c:pt idx="1341">
                  <c:v>-1.2002705579238</c:v>
                </c:pt>
                <c:pt idx="1342">
                  <c:v>1.91286458412851</c:v>
                </c:pt>
                <c:pt idx="1343">
                  <c:v>-1.78686559045833</c:v>
                </c:pt>
                <c:pt idx="1344">
                  <c:v>0.446895374016159</c:v>
                </c:pt>
                <c:pt idx="1345">
                  <c:v>-1.20931619609746</c:v>
                </c:pt>
                <c:pt idx="1346">
                  <c:v>0.581140851886507</c:v>
                </c:pt>
                <c:pt idx="1347">
                  <c:v>1.11260158738557</c:v>
                </c:pt>
                <c:pt idx="1348">
                  <c:v>-1.77366230032337</c:v>
                </c:pt>
                <c:pt idx="1349">
                  <c:v>-0.94274423749805</c:v>
                </c:pt>
                <c:pt idx="1350">
                  <c:v>0.590189092376331</c:v>
                </c:pt>
                <c:pt idx="1351">
                  <c:v>-1.37886805975684</c:v>
                </c:pt>
                <c:pt idx="1352">
                  <c:v>0.620249148055647</c:v>
                </c:pt>
                <c:pt idx="1353">
                  <c:v>-1.15962993286714</c:v>
                </c:pt>
                <c:pt idx="1354">
                  <c:v>-0.98398185862098</c:v>
                </c:pt>
                <c:pt idx="1355">
                  <c:v>-0.135475544480687</c:v>
                </c:pt>
                <c:pt idx="1356">
                  <c:v>-0.0803083768765918</c:v>
                </c:pt>
                <c:pt idx="1357">
                  <c:v>-0.925441055339663</c:v>
                </c:pt>
                <c:pt idx="1358">
                  <c:v>-0.0960105763465012</c:v>
                </c:pt>
                <c:pt idx="1359">
                  <c:v>0.849221733718064</c:v>
                </c:pt>
                <c:pt idx="1360">
                  <c:v>-1.73217527590681</c:v>
                </c:pt>
                <c:pt idx="1361">
                  <c:v>-0.148422930173792</c:v>
                </c:pt>
                <c:pt idx="1362">
                  <c:v>-0.833396495303629</c:v>
                </c:pt>
                <c:pt idx="1363">
                  <c:v>-0.650531630320956</c:v>
                </c:pt>
                <c:pt idx="1364">
                  <c:v>-1.06094096357482</c:v>
                </c:pt>
                <c:pt idx="1365">
                  <c:v>0.674110142039309</c:v>
                </c:pt>
                <c:pt idx="1366">
                  <c:v>0.774885378035646</c:v>
                </c:pt>
                <c:pt idx="1367">
                  <c:v>-1.16752111864766</c:v>
                </c:pt>
                <c:pt idx="1368">
                  <c:v>0.38722847112725</c:v>
                </c:pt>
                <c:pt idx="1369">
                  <c:v>-0.669158214239218</c:v>
                </c:pt>
                <c:pt idx="1370">
                  <c:v>0.164179280754071</c:v>
                </c:pt>
                <c:pt idx="1371">
                  <c:v>-0.828736488022883</c:v>
                </c:pt>
                <c:pt idx="1372">
                  <c:v>0.605556284235933</c:v>
                </c:pt>
                <c:pt idx="1373">
                  <c:v>-0.221141957620602</c:v>
                </c:pt>
                <c:pt idx="1374">
                  <c:v>-1.59959607322437</c:v>
                </c:pt>
                <c:pt idx="1375">
                  <c:v>-2.0059578515057</c:v>
                </c:pt>
                <c:pt idx="1376">
                  <c:v>2.3098149552489</c:v>
                </c:pt>
                <c:pt idx="1377">
                  <c:v>-1.59857264150156</c:v>
                </c:pt>
                <c:pt idx="1378">
                  <c:v>0.181851684789555</c:v>
                </c:pt>
                <c:pt idx="1379">
                  <c:v>1.27510356111537</c:v>
                </c:pt>
                <c:pt idx="1380">
                  <c:v>0.434961610489188</c:v>
                </c:pt>
                <c:pt idx="1381">
                  <c:v>0.264785045559564</c:v>
                </c:pt>
                <c:pt idx="1382">
                  <c:v>-0.121988229245256</c:v>
                </c:pt>
                <c:pt idx="1383">
                  <c:v>2.01665481128228</c:v>
                </c:pt>
                <c:pt idx="1384">
                  <c:v>-1.26214896228954</c:v>
                </c:pt>
                <c:pt idx="1385">
                  <c:v>-0.351249153808038</c:v>
                </c:pt>
              </c:numCache>
            </c:numRef>
          </c:yVal>
          <c:smooth val="0"/>
        </c:ser>
        <c:axId val="43169023"/>
        <c:axId val="11917078"/>
      </c:scatterChart>
      <c:valAx>
        <c:axId val="4316902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Fitted weekly units</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917078"/>
        <c:crosses val="autoZero"/>
        <c:crossBetween val="midCat"/>
      </c:valAx>
      <c:valAx>
        <c:axId val="11917078"/>
        <c:scaling>
          <c:orientation val="minMax"/>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Standardized residual</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6902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Normal P-P plot of standardized residuals</a:t>
            </a:r>
          </a:p>
        </c:rich>
      </c:tx>
      <c:overlay val="0"/>
      <c:spPr>
        <a:noFill/>
        <a:ln w="0">
          <a:noFill/>
        </a:ln>
      </c:spPr>
    </c:title>
    <c:autoTitleDeleted val="0"/>
    <c:plotArea>
      <c:scatterChart>
        <c:scatterStyle val="lineMarker"/>
        <c:varyColors val="0"/>
        <c:ser>
          <c:idx val="0"/>
          <c:order val="0"/>
          <c:spPr>
            <a:solidFill>
              <a:srgbClr val="1f4e79"/>
            </a:solidFill>
            <a:ln w="28440">
              <a:noFill/>
            </a:ln>
          </c:spPr>
          <c:marker>
            <c:symbol val="circle"/>
            <c:size val="3"/>
            <c:spPr>
              <a:solidFill>
                <a:srgbClr val="1f4e7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'Residual Diagnostics'!$L$2:$L$1387</c:f>
              <c:numCache>
                <c:formatCode>0.0000</c:formatCode>
                <c:ptCount val="1386"/>
                <c:pt idx="0">
                  <c:v>0.000360750360750361</c:v>
                </c:pt>
                <c:pt idx="1">
                  <c:v>0.00108225108225108</c:v>
                </c:pt>
                <c:pt idx="2">
                  <c:v>0.0018037518037518</c:v>
                </c:pt>
                <c:pt idx="3">
                  <c:v>0.00252525252525253</c:v>
                </c:pt>
                <c:pt idx="4">
                  <c:v>0.00324675324675325</c:v>
                </c:pt>
                <c:pt idx="5">
                  <c:v>0.00396825396825397</c:v>
                </c:pt>
                <c:pt idx="6">
                  <c:v>0.00468975468975469</c:v>
                </c:pt>
                <c:pt idx="7">
                  <c:v>0.00541125541125541</c:v>
                </c:pt>
                <c:pt idx="8">
                  <c:v>0.00613275613275613</c:v>
                </c:pt>
                <c:pt idx="9">
                  <c:v>0.00685425685425685</c:v>
                </c:pt>
                <c:pt idx="10">
                  <c:v>0.00757575757575758</c:v>
                </c:pt>
                <c:pt idx="11">
                  <c:v>0.0082972582972583</c:v>
                </c:pt>
                <c:pt idx="12">
                  <c:v>0.00901875901875902</c:v>
                </c:pt>
                <c:pt idx="13">
                  <c:v>0.00974025974025974</c:v>
                </c:pt>
                <c:pt idx="14">
                  <c:v>0.0104617604617605</c:v>
                </c:pt>
                <c:pt idx="15">
                  <c:v>0.0111832611832612</c:v>
                </c:pt>
                <c:pt idx="16">
                  <c:v>0.0119047619047619</c:v>
                </c:pt>
                <c:pt idx="17">
                  <c:v>0.0126262626262626</c:v>
                </c:pt>
                <c:pt idx="18">
                  <c:v>0.0133477633477633</c:v>
                </c:pt>
                <c:pt idx="19">
                  <c:v>0.0140692640692641</c:v>
                </c:pt>
                <c:pt idx="20">
                  <c:v>0.0147907647907648</c:v>
                </c:pt>
                <c:pt idx="21">
                  <c:v>0.0155122655122655</c:v>
                </c:pt>
                <c:pt idx="22">
                  <c:v>0.0162337662337662</c:v>
                </c:pt>
                <c:pt idx="23">
                  <c:v>0.016955266955267</c:v>
                </c:pt>
                <c:pt idx="24">
                  <c:v>0.0176767676767677</c:v>
                </c:pt>
                <c:pt idx="25">
                  <c:v>0.0183982683982684</c:v>
                </c:pt>
                <c:pt idx="26">
                  <c:v>0.0191197691197691</c:v>
                </c:pt>
                <c:pt idx="27">
                  <c:v>0.0198412698412698</c:v>
                </c:pt>
                <c:pt idx="28">
                  <c:v>0.0205627705627706</c:v>
                </c:pt>
                <c:pt idx="29">
                  <c:v>0.0212842712842713</c:v>
                </c:pt>
                <c:pt idx="30">
                  <c:v>0.022005772005772</c:v>
                </c:pt>
                <c:pt idx="31">
                  <c:v>0.0227272727272727</c:v>
                </c:pt>
                <c:pt idx="32">
                  <c:v>0.0234487734487734</c:v>
                </c:pt>
                <c:pt idx="33">
                  <c:v>0.0241702741702742</c:v>
                </c:pt>
                <c:pt idx="34">
                  <c:v>0.0248917748917749</c:v>
                </c:pt>
                <c:pt idx="35">
                  <c:v>0.0256132756132756</c:v>
                </c:pt>
                <c:pt idx="36">
                  <c:v>0.0263347763347763</c:v>
                </c:pt>
                <c:pt idx="37">
                  <c:v>0.0270562770562771</c:v>
                </c:pt>
                <c:pt idx="38">
                  <c:v>0.0277777777777778</c:v>
                </c:pt>
                <c:pt idx="39">
                  <c:v>0.0284992784992785</c:v>
                </c:pt>
                <c:pt idx="40">
                  <c:v>0.0292207792207792</c:v>
                </c:pt>
                <c:pt idx="41">
                  <c:v>0.0299422799422799</c:v>
                </c:pt>
                <c:pt idx="42">
                  <c:v>0.0306637806637807</c:v>
                </c:pt>
                <c:pt idx="43">
                  <c:v>0.0313852813852814</c:v>
                </c:pt>
                <c:pt idx="44">
                  <c:v>0.0321067821067821</c:v>
                </c:pt>
                <c:pt idx="45">
                  <c:v>0.0328282828282828</c:v>
                </c:pt>
                <c:pt idx="46">
                  <c:v>0.0335497835497836</c:v>
                </c:pt>
                <c:pt idx="47">
                  <c:v>0.0342712842712843</c:v>
                </c:pt>
                <c:pt idx="48">
                  <c:v>0.034992784992785</c:v>
                </c:pt>
                <c:pt idx="49">
                  <c:v>0.0357142857142857</c:v>
                </c:pt>
                <c:pt idx="50">
                  <c:v>0.0364357864357864</c:v>
                </c:pt>
                <c:pt idx="51">
                  <c:v>0.0371572871572872</c:v>
                </c:pt>
                <c:pt idx="52">
                  <c:v>0.0378787878787879</c:v>
                </c:pt>
                <c:pt idx="53">
                  <c:v>0.0386002886002886</c:v>
                </c:pt>
                <c:pt idx="54">
                  <c:v>0.0393217893217893</c:v>
                </c:pt>
                <c:pt idx="55">
                  <c:v>0.04004329004329</c:v>
                </c:pt>
                <c:pt idx="56">
                  <c:v>0.0407647907647908</c:v>
                </c:pt>
                <c:pt idx="57">
                  <c:v>0.0414862914862915</c:v>
                </c:pt>
                <c:pt idx="58">
                  <c:v>0.0422077922077922</c:v>
                </c:pt>
                <c:pt idx="59">
                  <c:v>0.0429292929292929</c:v>
                </c:pt>
                <c:pt idx="60">
                  <c:v>0.0436507936507937</c:v>
                </c:pt>
                <c:pt idx="61">
                  <c:v>0.0443722943722944</c:v>
                </c:pt>
                <c:pt idx="62">
                  <c:v>0.0450937950937951</c:v>
                </c:pt>
                <c:pt idx="63">
                  <c:v>0.0458152958152958</c:v>
                </c:pt>
                <c:pt idx="64">
                  <c:v>0.0465367965367965</c:v>
                </c:pt>
                <c:pt idx="65">
                  <c:v>0.0472582972582973</c:v>
                </c:pt>
                <c:pt idx="66">
                  <c:v>0.047979797979798</c:v>
                </c:pt>
                <c:pt idx="67">
                  <c:v>0.0487012987012987</c:v>
                </c:pt>
                <c:pt idx="68">
                  <c:v>0.0494227994227994</c:v>
                </c:pt>
                <c:pt idx="69">
                  <c:v>0.0501443001443001</c:v>
                </c:pt>
                <c:pt idx="70">
                  <c:v>0.0508658008658009</c:v>
                </c:pt>
                <c:pt idx="71">
                  <c:v>0.0515873015873016</c:v>
                </c:pt>
                <c:pt idx="72">
                  <c:v>0.0523088023088023</c:v>
                </c:pt>
                <c:pt idx="73">
                  <c:v>0.053030303030303</c:v>
                </c:pt>
                <c:pt idx="74">
                  <c:v>0.0537518037518038</c:v>
                </c:pt>
                <c:pt idx="75">
                  <c:v>0.0544733044733045</c:v>
                </c:pt>
                <c:pt idx="76">
                  <c:v>0.0551948051948052</c:v>
                </c:pt>
                <c:pt idx="77">
                  <c:v>0.0559163059163059</c:v>
                </c:pt>
                <c:pt idx="78">
                  <c:v>0.0566378066378066</c:v>
                </c:pt>
                <c:pt idx="79">
                  <c:v>0.0573593073593074</c:v>
                </c:pt>
                <c:pt idx="80">
                  <c:v>0.0580808080808081</c:v>
                </c:pt>
                <c:pt idx="81">
                  <c:v>0.0588023088023088</c:v>
                </c:pt>
                <c:pt idx="82">
                  <c:v>0.0595238095238095</c:v>
                </c:pt>
                <c:pt idx="83">
                  <c:v>0.0602453102453103</c:v>
                </c:pt>
                <c:pt idx="84">
                  <c:v>0.060966810966811</c:v>
                </c:pt>
                <c:pt idx="85">
                  <c:v>0.0616883116883117</c:v>
                </c:pt>
                <c:pt idx="86">
                  <c:v>0.0624098124098124</c:v>
                </c:pt>
                <c:pt idx="87">
                  <c:v>0.0631313131313131</c:v>
                </c:pt>
                <c:pt idx="88">
                  <c:v>0.0638528138528139</c:v>
                </c:pt>
                <c:pt idx="89">
                  <c:v>0.0645743145743146</c:v>
                </c:pt>
                <c:pt idx="90">
                  <c:v>0.0652958152958153</c:v>
                </c:pt>
                <c:pt idx="91">
                  <c:v>0.066017316017316</c:v>
                </c:pt>
                <c:pt idx="92">
                  <c:v>0.0667388167388167</c:v>
                </c:pt>
                <c:pt idx="93">
                  <c:v>0.0674603174603175</c:v>
                </c:pt>
                <c:pt idx="94">
                  <c:v>0.0681818181818182</c:v>
                </c:pt>
                <c:pt idx="95">
                  <c:v>0.0689033189033189</c:v>
                </c:pt>
                <c:pt idx="96">
                  <c:v>0.0696248196248196</c:v>
                </c:pt>
                <c:pt idx="97">
                  <c:v>0.0703463203463204</c:v>
                </c:pt>
                <c:pt idx="98">
                  <c:v>0.0710678210678211</c:v>
                </c:pt>
                <c:pt idx="99">
                  <c:v>0.0717893217893218</c:v>
                </c:pt>
                <c:pt idx="100">
                  <c:v>0.0725108225108225</c:v>
                </c:pt>
                <c:pt idx="101">
                  <c:v>0.0732323232323232</c:v>
                </c:pt>
                <c:pt idx="102">
                  <c:v>0.073953823953824</c:v>
                </c:pt>
                <c:pt idx="103">
                  <c:v>0.0746753246753247</c:v>
                </c:pt>
                <c:pt idx="104">
                  <c:v>0.0753968253968254</c:v>
                </c:pt>
                <c:pt idx="105">
                  <c:v>0.0761183261183261</c:v>
                </c:pt>
                <c:pt idx="106">
                  <c:v>0.0768398268398268</c:v>
                </c:pt>
                <c:pt idx="107">
                  <c:v>0.0775613275613276</c:v>
                </c:pt>
                <c:pt idx="108">
                  <c:v>0.0782828282828283</c:v>
                </c:pt>
                <c:pt idx="109">
                  <c:v>0.079004329004329</c:v>
                </c:pt>
                <c:pt idx="110">
                  <c:v>0.0797258297258297</c:v>
                </c:pt>
                <c:pt idx="111">
                  <c:v>0.0804473304473305</c:v>
                </c:pt>
                <c:pt idx="112">
                  <c:v>0.0811688311688312</c:v>
                </c:pt>
                <c:pt idx="113">
                  <c:v>0.0818903318903319</c:v>
                </c:pt>
                <c:pt idx="114">
                  <c:v>0.0826118326118326</c:v>
                </c:pt>
                <c:pt idx="115">
                  <c:v>0.0833333333333333</c:v>
                </c:pt>
                <c:pt idx="116">
                  <c:v>0.0840548340548341</c:v>
                </c:pt>
                <c:pt idx="117">
                  <c:v>0.0847763347763348</c:v>
                </c:pt>
                <c:pt idx="118">
                  <c:v>0.0854978354978355</c:v>
                </c:pt>
                <c:pt idx="119">
                  <c:v>0.0862193362193362</c:v>
                </c:pt>
                <c:pt idx="120">
                  <c:v>0.0869408369408369</c:v>
                </c:pt>
                <c:pt idx="121">
                  <c:v>0.0876623376623377</c:v>
                </c:pt>
                <c:pt idx="122">
                  <c:v>0.0883838383838384</c:v>
                </c:pt>
                <c:pt idx="123">
                  <c:v>0.0891053391053391</c:v>
                </c:pt>
                <c:pt idx="124">
                  <c:v>0.0898268398268398</c:v>
                </c:pt>
                <c:pt idx="125">
                  <c:v>0.0905483405483405</c:v>
                </c:pt>
                <c:pt idx="126">
                  <c:v>0.0912698412698413</c:v>
                </c:pt>
                <c:pt idx="127">
                  <c:v>0.091991341991342</c:v>
                </c:pt>
                <c:pt idx="128">
                  <c:v>0.0927128427128427</c:v>
                </c:pt>
                <c:pt idx="129">
                  <c:v>0.0934343434343434</c:v>
                </c:pt>
                <c:pt idx="130">
                  <c:v>0.0941558441558442</c:v>
                </c:pt>
                <c:pt idx="131">
                  <c:v>0.0948773448773449</c:v>
                </c:pt>
                <c:pt idx="132">
                  <c:v>0.0955988455988456</c:v>
                </c:pt>
                <c:pt idx="133">
                  <c:v>0.0963203463203463</c:v>
                </c:pt>
                <c:pt idx="134">
                  <c:v>0.097041847041847</c:v>
                </c:pt>
                <c:pt idx="135">
                  <c:v>0.0977633477633478</c:v>
                </c:pt>
                <c:pt idx="136">
                  <c:v>0.0984848484848485</c:v>
                </c:pt>
                <c:pt idx="137">
                  <c:v>0.0992063492063492</c:v>
                </c:pt>
                <c:pt idx="138">
                  <c:v>0.0999278499278499</c:v>
                </c:pt>
                <c:pt idx="139">
                  <c:v>0.100649350649351</c:v>
                </c:pt>
                <c:pt idx="140">
                  <c:v>0.101370851370851</c:v>
                </c:pt>
                <c:pt idx="141">
                  <c:v>0.102092352092352</c:v>
                </c:pt>
                <c:pt idx="142">
                  <c:v>0.102813852813853</c:v>
                </c:pt>
                <c:pt idx="143">
                  <c:v>0.103535353535354</c:v>
                </c:pt>
                <c:pt idx="144">
                  <c:v>0.104256854256854</c:v>
                </c:pt>
                <c:pt idx="145">
                  <c:v>0.104978354978355</c:v>
                </c:pt>
                <c:pt idx="146">
                  <c:v>0.105699855699856</c:v>
                </c:pt>
                <c:pt idx="147">
                  <c:v>0.106421356421356</c:v>
                </c:pt>
                <c:pt idx="148">
                  <c:v>0.107142857142857</c:v>
                </c:pt>
                <c:pt idx="149">
                  <c:v>0.107864357864358</c:v>
                </c:pt>
                <c:pt idx="150">
                  <c:v>0.108585858585859</c:v>
                </c:pt>
                <c:pt idx="151">
                  <c:v>0.109307359307359</c:v>
                </c:pt>
                <c:pt idx="152">
                  <c:v>0.11002886002886</c:v>
                </c:pt>
                <c:pt idx="153">
                  <c:v>0.110750360750361</c:v>
                </c:pt>
                <c:pt idx="154">
                  <c:v>0.111471861471861</c:v>
                </c:pt>
                <c:pt idx="155">
                  <c:v>0.112193362193362</c:v>
                </c:pt>
                <c:pt idx="156">
                  <c:v>0.112914862914863</c:v>
                </c:pt>
                <c:pt idx="157">
                  <c:v>0.113636363636364</c:v>
                </c:pt>
                <c:pt idx="158">
                  <c:v>0.114357864357864</c:v>
                </c:pt>
                <c:pt idx="159">
                  <c:v>0.115079365079365</c:v>
                </c:pt>
                <c:pt idx="160">
                  <c:v>0.115800865800866</c:v>
                </c:pt>
                <c:pt idx="161">
                  <c:v>0.116522366522367</c:v>
                </c:pt>
                <c:pt idx="162">
                  <c:v>0.117243867243867</c:v>
                </c:pt>
                <c:pt idx="163">
                  <c:v>0.117965367965368</c:v>
                </c:pt>
                <c:pt idx="164">
                  <c:v>0.118686868686869</c:v>
                </c:pt>
                <c:pt idx="165">
                  <c:v>0.119408369408369</c:v>
                </c:pt>
                <c:pt idx="166">
                  <c:v>0.12012987012987</c:v>
                </c:pt>
                <c:pt idx="167">
                  <c:v>0.120851370851371</c:v>
                </c:pt>
                <c:pt idx="168">
                  <c:v>0.121572871572872</c:v>
                </c:pt>
                <c:pt idx="169">
                  <c:v>0.122294372294372</c:v>
                </c:pt>
                <c:pt idx="170">
                  <c:v>0.123015873015873</c:v>
                </c:pt>
                <c:pt idx="171">
                  <c:v>0.123737373737374</c:v>
                </c:pt>
                <c:pt idx="172">
                  <c:v>0.124458874458874</c:v>
                </c:pt>
                <c:pt idx="173">
                  <c:v>0.125180375180375</c:v>
                </c:pt>
                <c:pt idx="174">
                  <c:v>0.125901875901876</c:v>
                </c:pt>
                <c:pt idx="175">
                  <c:v>0.126623376623377</c:v>
                </c:pt>
                <c:pt idx="176">
                  <c:v>0.127344877344877</c:v>
                </c:pt>
                <c:pt idx="177">
                  <c:v>0.128066378066378</c:v>
                </c:pt>
                <c:pt idx="178">
                  <c:v>0.128787878787879</c:v>
                </c:pt>
                <c:pt idx="179">
                  <c:v>0.12950937950938</c:v>
                </c:pt>
                <c:pt idx="180">
                  <c:v>0.13023088023088</c:v>
                </c:pt>
                <c:pt idx="181">
                  <c:v>0.130952380952381</c:v>
                </c:pt>
                <c:pt idx="182">
                  <c:v>0.131673881673882</c:v>
                </c:pt>
                <c:pt idx="183">
                  <c:v>0.132395382395382</c:v>
                </c:pt>
                <c:pt idx="184">
                  <c:v>0.133116883116883</c:v>
                </c:pt>
                <c:pt idx="185">
                  <c:v>0.133838383838384</c:v>
                </c:pt>
                <c:pt idx="186">
                  <c:v>0.134559884559885</c:v>
                </c:pt>
                <c:pt idx="187">
                  <c:v>0.135281385281385</c:v>
                </c:pt>
                <c:pt idx="188">
                  <c:v>0.136002886002886</c:v>
                </c:pt>
                <c:pt idx="189">
                  <c:v>0.136724386724387</c:v>
                </c:pt>
                <c:pt idx="190">
                  <c:v>0.137445887445887</c:v>
                </c:pt>
                <c:pt idx="191">
                  <c:v>0.138167388167388</c:v>
                </c:pt>
                <c:pt idx="192">
                  <c:v>0.138888888888889</c:v>
                </c:pt>
                <c:pt idx="193">
                  <c:v>0.13961038961039</c:v>
                </c:pt>
                <c:pt idx="194">
                  <c:v>0.14033189033189</c:v>
                </c:pt>
                <c:pt idx="195">
                  <c:v>0.141053391053391</c:v>
                </c:pt>
                <c:pt idx="196">
                  <c:v>0.141774891774892</c:v>
                </c:pt>
                <c:pt idx="197">
                  <c:v>0.142496392496393</c:v>
                </c:pt>
                <c:pt idx="198">
                  <c:v>0.143217893217893</c:v>
                </c:pt>
                <c:pt idx="199">
                  <c:v>0.143939393939394</c:v>
                </c:pt>
                <c:pt idx="200">
                  <c:v>0.144660894660895</c:v>
                </c:pt>
                <c:pt idx="201">
                  <c:v>0.145382395382395</c:v>
                </c:pt>
                <c:pt idx="202">
                  <c:v>0.146103896103896</c:v>
                </c:pt>
                <c:pt idx="203">
                  <c:v>0.146825396825397</c:v>
                </c:pt>
                <c:pt idx="204">
                  <c:v>0.147546897546898</c:v>
                </c:pt>
                <c:pt idx="205">
                  <c:v>0.148268398268398</c:v>
                </c:pt>
                <c:pt idx="206">
                  <c:v>0.148989898989899</c:v>
                </c:pt>
                <c:pt idx="207">
                  <c:v>0.1497113997114</c:v>
                </c:pt>
                <c:pt idx="208">
                  <c:v>0.1504329004329</c:v>
                </c:pt>
                <c:pt idx="209">
                  <c:v>0.151154401154401</c:v>
                </c:pt>
                <c:pt idx="210">
                  <c:v>0.151875901875902</c:v>
                </c:pt>
                <c:pt idx="211">
                  <c:v>0.152597402597403</c:v>
                </c:pt>
                <c:pt idx="212">
                  <c:v>0.153318903318903</c:v>
                </c:pt>
                <c:pt idx="213">
                  <c:v>0.154040404040404</c:v>
                </c:pt>
                <c:pt idx="214">
                  <c:v>0.154761904761905</c:v>
                </c:pt>
                <c:pt idx="215">
                  <c:v>0.155483405483405</c:v>
                </c:pt>
                <c:pt idx="216">
                  <c:v>0.156204906204906</c:v>
                </c:pt>
                <c:pt idx="217">
                  <c:v>0.156926406926407</c:v>
                </c:pt>
                <c:pt idx="218">
                  <c:v>0.157647907647908</c:v>
                </c:pt>
                <c:pt idx="219">
                  <c:v>0.158369408369408</c:v>
                </c:pt>
                <c:pt idx="220">
                  <c:v>0.159090909090909</c:v>
                </c:pt>
                <c:pt idx="221">
                  <c:v>0.15981240981241</c:v>
                </c:pt>
                <c:pt idx="222">
                  <c:v>0.160533910533911</c:v>
                </c:pt>
                <c:pt idx="223">
                  <c:v>0.161255411255411</c:v>
                </c:pt>
                <c:pt idx="224">
                  <c:v>0.161976911976912</c:v>
                </c:pt>
                <c:pt idx="225">
                  <c:v>0.162698412698413</c:v>
                </c:pt>
                <c:pt idx="226">
                  <c:v>0.163419913419913</c:v>
                </c:pt>
                <c:pt idx="227">
                  <c:v>0.164141414141414</c:v>
                </c:pt>
                <c:pt idx="228">
                  <c:v>0.164862914862915</c:v>
                </c:pt>
                <c:pt idx="229">
                  <c:v>0.165584415584416</c:v>
                </c:pt>
                <c:pt idx="230">
                  <c:v>0.166305916305916</c:v>
                </c:pt>
                <c:pt idx="231">
                  <c:v>0.167027417027417</c:v>
                </c:pt>
                <c:pt idx="232">
                  <c:v>0.167748917748918</c:v>
                </c:pt>
                <c:pt idx="233">
                  <c:v>0.168470418470418</c:v>
                </c:pt>
                <c:pt idx="234">
                  <c:v>0.169191919191919</c:v>
                </c:pt>
                <c:pt idx="235">
                  <c:v>0.16991341991342</c:v>
                </c:pt>
                <c:pt idx="236">
                  <c:v>0.170634920634921</c:v>
                </c:pt>
                <c:pt idx="237">
                  <c:v>0.171356421356421</c:v>
                </c:pt>
                <c:pt idx="238">
                  <c:v>0.172077922077922</c:v>
                </c:pt>
                <c:pt idx="239">
                  <c:v>0.172799422799423</c:v>
                </c:pt>
                <c:pt idx="240">
                  <c:v>0.173520923520924</c:v>
                </c:pt>
                <c:pt idx="241">
                  <c:v>0.174242424242424</c:v>
                </c:pt>
                <c:pt idx="242">
                  <c:v>0.174963924963925</c:v>
                </c:pt>
                <c:pt idx="243">
                  <c:v>0.175685425685426</c:v>
                </c:pt>
                <c:pt idx="244">
                  <c:v>0.176406926406926</c:v>
                </c:pt>
                <c:pt idx="245">
                  <c:v>0.177128427128427</c:v>
                </c:pt>
                <c:pt idx="246">
                  <c:v>0.177849927849928</c:v>
                </c:pt>
                <c:pt idx="247">
                  <c:v>0.178571428571429</c:v>
                </c:pt>
                <c:pt idx="248">
                  <c:v>0.179292929292929</c:v>
                </c:pt>
                <c:pt idx="249">
                  <c:v>0.18001443001443</c:v>
                </c:pt>
                <c:pt idx="250">
                  <c:v>0.180735930735931</c:v>
                </c:pt>
                <c:pt idx="251">
                  <c:v>0.181457431457431</c:v>
                </c:pt>
                <c:pt idx="252">
                  <c:v>0.182178932178932</c:v>
                </c:pt>
                <c:pt idx="253">
                  <c:v>0.182900432900433</c:v>
                </c:pt>
                <c:pt idx="254">
                  <c:v>0.183621933621934</c:v>
                </c:pt>
                <c:pt idx="255">
                  <c:v>0.184343434343434</c:v>
                </c:pt>
                <c:pt idx="256">
                  <c:v>0.185064935064935</c:v>
                </c:pt>
                <c:pt idx="257">
                  <c:v>0.185786435786436</c:v>
                </c:pt>
                <c:pt idx="258">
                  <c:v>0.186507936507937</c:v>
                </c:pt>
                <c:pt idx="259">
                  <c:v>0.187229437229437</c:v>
                </c:pt>
                <c:pt idx="260">
                  <c:v>0.187950937950938</c:v>
                </c:pt>
                <c:pt idx="261">
                  <c:v>0.188672438672439</c:v>
                </c:pt>
                <c:pt idx="262">
                  <c:v>0.189393939393939</c:v>
                </c:pt>
                <c:pt idx="263">
                  <c:v>0.19011544011544</c:v>
                </c:pt>
                <c:pt idx="264">
                  <c:v>0.190836940836941</c:v>
                </c:pt>
                <c:pt idx="265">
                  <c:v>0.191558441558442</c:v>
                </c:pt>
                <c:pt idx="266">
                  <c:v>0.192279942279942</c:v>
                </c:pt>
                <c:pt idx="267">
                  <c:v>0.193001443001443</c:v>
                </c:pt>
                <c:pt idx="268">
                  <c:v>0.193722943722944</c:v>
                </c:pt>
                <c:pt idx="269">
                  <c:v>0.194444444444444</c:v>
                </c:pt>
                <c:pt idx="270">
                  <c:v>0.195165945165945</c:v>
                </c:pt>
                <c:pt idx="271">
                  <c:v>0.195887445887446</c:v>
                </c:pt>
                <c:pt idx="272">
                  <c:v>0.196608946608947</c:v>
                </c:pt>
                <c:pt idx="273">
                  <c:v>0.197330447330447</c:v>
                </c:pt>
                <c:pt idx="274">
                  <c:v>0.198051948051948</c:v>
                </c:pt>
                <c:pt idx="275">
                  <c:v>0.198773448773449</c:v>
                </c:pt>
                <c:pt idx="276">
                  <c:v>0.19949494949495</c:v>
                </c:pt>
                <c:pt idx="277">
                  <c:v>0.20021645021645</c:v>
                </c:pt>
                <c:pt idx="278">
                  <c:v>0.200937950937951</c:v>
                </c:pt>
                <c:pt idx="279">
                  <c:v>0.201659451659452</c:v>
                </c:pt>
                <c:pt idx="280">
                  <c:v>0.202380952380952</c:v>
                </c:pt>
                <c:pt idx="281">
                  <c:v>0.203102453102453</c:v>
                </c:pt>
                <c:pt idx="282">
                  <c:v>0.203823953823954</c:v>
                </c:pt>
                <c:pt idx="283">
                  <c:v>0.204545454545455</c:v>
                </c:pt>
                <c:pt idx="284">
                  <c:v>0.205266955266955</c:v>
                </c:pt>
                <c:pt idx="285">
                  <c:v>0.205988455988456</c:v>
                </c:pt>
                <c:pt idx="286">
                  <c:v>0.206709956709957</c:v>
                </c:pt>
                <c:pt idx="287">
                  <c:v>0.207431457431457</c:v>
                </c:pt>
                <c:pt idx="288">
                  <c:v>0.208152958152958</c:v>
                </c:pt>
                <c:pt idx="289">
                  <c:v>0.208874458874459</c:v>
                </c:pt>
                <c:pt idx="290">
                  <c:v>0.20959595959596</c:v>
                </c:pt>
                <c:pt idx="291">
                  <c:v>0.21031746031746</c:v>
                </c:pt>
                <c:pt idx="292">
                  <c:v>0.211038961038961</c:v>
                </c:pt>
                <c:pt idx="293">
                  <c:v>0.211760461760462</c:v>
                </c:pt>
                <c:pt idx="294">
                  <c:v>0.212481962481963</c:v>
                </c:pt>
                <c:pt idx="295">
                  <c:v>0.213203463203463</c:v>
                </c:pt>
                <c:pt idx="296">
                  <c:v>0.213924963924964</c:v>
                </c:pt>
                <c:pt idx="297">
                  <c:v>0.214646464646465</c:v>
                </c:pt>
                <c:pt idx="298">
                  <c:v>0.215367965367965</c:v>
                </c:pt>
                <c:pt idx="299">
                  <c:v>0.216089466089466</c:v>
                </c:pt>
                <c:pt idx="300">
                  <c:v>0.216810966810967</c:v>
                </c:pt>
                <c:pt idx="301">
                  <c:v>0.217532467532468</c:v>
                </c:pt>
                <c:pt idx="302">
                  <c:v>0.218253968253968</c:v>
                </c:pt>
                <c:pt idx="303">
                  <c:v>0.218975468975469</c:v>
                </c:pt>
                <c:pt idx="304">
                  <c:v>0.21969696969697</c:v>
                </c:pt>
                <c:pt idx="305">
                  <c:v>0.22041847041847</c:v>
                </c:pt>
                <c:pt idx="306">
                  <c:v>0.221139971139971</c:v>
                </c:pt>
                <c:pt idx="307">
                  <c:v>0.221861471861472</c:v>
                </c:pt>
                <c:pt idx="308">
                  <c:v>0.222582972582973</c:v>
                </c:pt>
                <c:pt idx="309">
                  <c:v>0.223304473304473</c:v>
                </c:pt>
                <c:pt idx="310">
                  <c:v>0.224025974025974</c:v>
                </c:pt>
                <c:pt idx="311">
                  <c:v>0.224747474747475</c:v>
                </c:pt>
                <c:pt idx="312">
                  <c:v>0.225468975468975</c:v>
                </c:pt>
                <c:pt idx="313">
                  <c:v>0.226190476190476</c:v>
                </c:pt>
                <c:pt idx="314">
                  <c:v>0.226911976911977</c:v>
                </c:pt>
                <c:pt idx="315">
                  <c:v>0.227633477633478</c:v>
                </c:pt>
                <c:pt idx="316">
                  <c:v>0.228354978354978</c:v>
                </c:pt>
                <c:pt idx="317">
                  <c:v>0.229076479076479</c:v>
                </c:pt>
                <c:pt idx="318">
                  <c:v>0.22979797979798</c:v>
                </c:pt>
                <c:pt idx="319">
                  <c:v>0.230519480519481</c:v>
                </c:pt>
                <c:pt idx="320">
                  <c:v>0.231240981240981</c:v>
                </c:pt>
                <c:pt idx="321">
                  <c:v>0.231962481962482</c:v>
                </c:pt>
                <c:pt idx="322">
                  <c:v>0.232683982683983</c:v>
                </c:pt>
                <c:pt idx="323">
                  <c:v>0.233405483405483</c:v>
                </c:pt>
                <c:pt idx="324">
                  <c:v>0.234126984126984</c:v>
                </c:pt>
                <c:pt idx="325">
                  <c:v>0.234848484848485</c:v>
                </c:pt>
                <c:pt idx="326">
                  <c:v>0.235569985569986</c:v>
                </c:pt>
                <c:pt idx="327">
                  <c:v>0.236291486291486</c:v>
                </c:pt>
                <c:pt idx="328">
                  <c:v>0.237012987012987</c:v>
                </c:pt>
                <c:pt idx="329">
                  <c:v>0.237734487734488</c:v>
                </c:pt>
                <c:pt idx="330">
                  <c:v>0.238455988455988</c:v>
                </c:pt>
                <c:pt idx="331">
                  <c:v>0.239177489177489</c:v>
                </c:pt>
                <c:pt idx="332">
                  <c:v>0.23989898989899</c:v>
                </c:pt>
                <c:pt idx="333">
                  <c:v>0.240620490620491</c:v>
                </c:pt>
                <c:pt idx="334">
                  <c:v>0.241341991341991</c:v>
                </c:pt>
                <c:pt idx="335">
                  <c:v>0.242063492063492</c:v>
                </c:pt>
                <c:pt idx="336">
                  <c:v>0.242784992784993</c:v>
                </c:pt>
                <c:pt idx="337">
                  <c:v>0.243506493506494</c:v>
                </c:pt>
                <c:pt idx="338">
                  <c:v>0.244227994227994</c:v>
                </c:pt>
                <c:pt idx="339">
                  <c:v>0.244949494949495</c:v>
                </c:pt>
                <c:pt idx="340">
                  <c:v>0.245670995670996</c:v>
                </c:pt>
                <c:pt idx="341">
                  <c:v>0.246392496392496</c:v>
                </c:pt>
                <c:pt idx="342">
                  <c:v>0.247113997113997</c:v>
                </c:pt>
                <c:pt idx="343">
                  <c:v>0.247835497835498</c:v>
                </c:pt>
                <c:pt idx="344">
                  <c:v>0.248556998556999</c:v>
                </c:pt>
                <c:pt idx="345">
                  <c:v>0.249278499278499</c:v>
                </c:pt>
                <c:pt idx="346">
                  <c:v>0.25</c:v>
                </c:pt>
                <c:pt idx="347">
                  <c:v>0.250721500721501</c:v>
                </c:pt>
                <c:pt idx="348">
                  <c:v>0.251443001443001</c:v>
                </c:pt>
                <c:pt idx="349">
                  <c:v>0.252164502164502</c:v>
                </c:pt>
                <c:pt idx="350">
                  <c:v>0.252886002886003</c:v>
                </c:pt>
                <c:pt idx="351">
                  <c:v>0.253607503607504</c:v>
                </c:pt>
                <c:pt idx="352">
                  <c:v>0.254329004329004</c:v>
                </c:pt>
                <c:pt idx="353">
                  <c:v>0.255050505050505</c:v>
                </c:pt>
                <c:pt idx="354">
                  <c:v>0.255772005772006</c:v>
                </c:pt>
                <c:pt idx="355">
                  <c:v>0.256493506493507</c:v>
                </c:pt>
                <c:pt idx="356">
                  <c:v>0.257215007215007</c:v>
                </c:pt>
                <c:pt idx="357">
                  <c:v>0.257936507936508</c:v>
                </c:pt>
                <c:pt idx="358">
                  <c:v>0.258658008658009</c:v>
                </c:pt>
                <c:pt idx="359">
                  <c:v>0.259379509379509</c:v>
                </c:pt>
                <c:pt idx="360">
                  <c:v>0.26010101010101</c:v>
                </c:pt>
                <c:pt idx="361">
                  <c:v>0.260822510822511</c:v>
                </c:pt>
                <c:pt idx="362">
                  <c:v>0.261544011544012</c:v>
                </c:pt>
                <c:pt idx="363">
                  <c:v>0.262265512265512</c:v>
                </c:pt>
                <c:pt idx="364">
                  <c:v>0.262987012987013</c:v>
                </c:pt>
                <c:pt idx="365">
                  <c:v>0.263708513708514</c:v>
                </c:pt>
                <c:pt idx="366">
                  <c:v>0.264430014430014</c:v>
                </c:pt>
                <c:pt idx="367">
                  <c:v>0.265151515151515</c:v>
                </c:pt>
                <c:pt idx="368">
                  <c:v>0.265873015873016</c:v>
                </c:pt>
                <c:pt idx="369">
                  <c:v>0.266594516594517</c:v>
                </c:pt>
                <c:pt idx="370">
                  <c:v>0.267316017316017</c:v>
                </c:pt>
                <c:pt idx="371">
                  <c:v>0.268037518037518</c:v>
                </c:pt>
                <c:pt idx="372">
                  <c:v>0.268759018759019</c:v>
                </c:pt>
                <c:pt idx="373">
                  <c:v>0.26948051948052</c:v>
                </c:pt>
                <c:pt idx="374">
                  <c:v>0.27020202020202</c:v>
                </c:pt>
                <c:pt idx="375">
                  <c:v>0.270923520923521</c:v>
                </c:pt>
                <c:pt idx="376">
                  <c:v>0.271645021645022</c:v>
                </c:pt>
                <c:pt idx="377">
                  <c:v>0.272366522366522</c:v>
                </c:pt>
                <c:pt idx="378">
                  <c:v>0.273088023088023</c:v>
                </c:pt>
                <c:pt idx="379">
                  <c:v>0.273809523809524</c:v>
                </c:pt>
                <c:pt idx="380">
                  <c:v>0.274531024531025</c:v>
                </c:pt>
                <c:pt idx="381">
                  <c:v>0.275252525252525</c:v>
                </c:pt>
                <c:pt idx="382">
                  <c:v>0.275974025974026</c:v>
                </c:pt>
                <c:pt idx="383">
                  <c:v>0.276695526695527</c:v>
                </c:pt>
                <c:pt idx="384">
                  <c:v>0.277417027417027</c:v>
                </c:pt>
                <c:pt idx="385">
                  <c:v>0.278138528138528</c:v>
                </c:pt>
                <c:pt idx="386">
                  <c:v>0.278860028860029</c:v>
                </c:pt>
                <c:pt idx="387">
                  <c:v>0.27958152958153</c:v>
                </c:pt>
                <c:pt idx="388">
                  <c:v>0.28030303030303</c:v>
                </c:pt>
                <c:pt idx="389">
                  <c:v>0.281024531024531</c:v>
                </c:pt>
                <c:pt idx="390">
                  <c:v>0.281746031746032</c:v>
                </c:pt>
                <c:pt idx="391">
                  <c:v>0.282467532467533</c:v>
                </c:pt>
                <c:pt idx="392">
                  <c:v>0.283189033189033</c:v>
                </c:pt>
                <c:pt idx="393">
                  <c:v>0.283910533910534</c:v>
                </c:pt>
                <c:pt idx="394">
                  <c:v>0.284632034632035</c:v>
                </c:pt>
                <c:pt idx="395">
                  <c:v>0.285353535353535</c:v>
                </c:pt>
                <c:pt idx="396">
                  <c:v>0.286075036075036</c:v>
                </c:pt>
                <c:pt idx="397">
                  <c:v>0.286796536796537</c:v>
                </c:pt>
                <c:pt idx="398">
                  <c:v>0.287518037518038</c:v>
                </c:pt>
                <c:pt idx="399">
                  <c:v>0.288239538239538</c:v>
                </c:pt>
                <c:pt idx="400">
                  <c:v>0.288961038961039</c:v>
                </c:pt>
                <c:pt idx="401">
                  <c:v>0.28968253968254</c:v>
                </c:pt>
                <c:pt idx="402">
                  <c:v>0.29040404040404</c:v>
                </c:pt>
                <c:pt idx="403">
                  <c:v>0.291125541125541</c:v>
                </c:pt>
                <c:pt idx="404">
                  <c:v>0.291847041847042</c:v>
                </c:pt>
                <c:pt idx="405">
                  <c:v>0.292568542568543</c:v>
                </c:pt>
                <c:pt idx="406">
                  <c:v>0.293290043290043</c:v>
                </c:pt>
                <c:pt idx="407">
                  <c:v>0.294011544011544</c:v>
                </c:pt>
                <c:pt idx="408">
                  <c:v>0.294733044733045</c:v>
                </c:pt>
                <c:pt idx="409">
                  <c:v>0.295454545454545</c:v>
                </c:pt>
                <c:pt idx="410">
                  <c:v>0.296176046176046</c:v>
                </c:pt>
                <c:pt idx="411">
                  <c:v>0.296897546897547</c:v>
                </c:pt>
                <c:pt idx="412">
                  <c:v>0.297619047619048</c:v>
                </c:pt>
                <c:pt idx="413">
                  <c:v>0.298340548340548</c:v>
                </c:pt>
                <c:pt idx="414">
                  <c:v>0.299062049062049</c:v>
                </c:pt>
                <c:pt idx="415">
                  <c:v>0.29978354978355</c:v>
                </c:pt>
                <c:pt idx="416">
                  <c:v>0.300505050505051</c:v>
                </c:pt>
                <c:pt idx="417">
                  <c:v>0.301226551226551</c:v>
                </c:pt>
                <c:pt idx="418">
                  <c:v>0.301948051948052</c:v>
                </c:pt>
                <c:pt idx="419">
                  <c:v>0.302669552669553</c:v>
                </c:pt>
                <c:pt idx="420">
                  <c:v>0.303391053391053</c:v>
                </c:pt>
                <c:pt idx="421">
                  <c:v>0.304112554112554</c:v>
                </c:pt>
                <c:pt idx="422">
                  <c:v>0.304834054834055</c:v>
                </c:pt>
                <c:pt idx="423">
                  <c:v>0.305555555555556</c:v>
                </c:pt>
                <c:pt idx="424">
                  <c:v>0.306277056277056</c:v>
                </c:pt>
                <c:pt idx="425">
                  <c:v>0.306998556998557</c:v>
                </c:pt>
                <c:pt idx="426">
                  <c:v>0.307720057720058</c:v>
                </c:pt>
                <c:pt idx="427">
                  <c:v>0.308441558441558</c:v>
                </c:pt>
                <c:pt idx="428">
                  <c:v>0.309163059163059</c:v>
                </c:pt>
                <c:pt idx="429">
                  <c:v>0.30988455988456</c:v>
                </c:pt>
                <c:pt idx="430">
                  <c:v>0.310606060606061</c:v>
                </c:pt>
                <c:pt idx="431">
                  <c:v>0.311327561327561</c:v>
                </c:pt>
                <c:pt idx="432">
                  <c:v>0.312049062049062</c:v>
                </c:pt>
                <c:pt idx="433">
                  <c:v>0.312770562770563</c:v>
                </c:pt>
                <c:pt idx="434">
                  <c:v>0.313492063492064</c:v>
                </c:pt>
                <c:pt idx="435">
                  <c:v>0.314213564213564</c:v>
                </c:pt>
                <c:pt idx="436">
                  <c:v>0.314935064935065</c:v>
                </c:pt>
                <c:pt idx="437">
                  <c:v>0.315656565656566</c:v>
                </c:pt>
                <c:pt idx="438">
                  <c:v>0.316378066378066</c:v>
                </c:pt>
                <c:pt idx="439">
                  <c:v>0.317099567099567</c:v>
                </c:pt>
                <c:pt idx="440">
                  <c:v>0.317821067821068</c:v>
                </c:pt>
                <c:pt idx="441">
                  <c:v>0.318542568542569</c:v>
                </c:pt>
                <c:pt idx="442">
                  <c:v>0.319264069264069</c:v>
                </c:pt>
                <c:pt idx="443">
                  <c:v>0.31998556998557</c:v>
                </c:pt>
                <c:pt idx="444">
                  <c:v>0.320707070707071</c:v>
                </c:pt>
                <c:pt idx="445">
                  <c:v>0.321428571428571</c:v>
                </c:pt>
                <c:pt idx="446">
                  <c:v>0.322150072150072</c:v>
                </c:pt>
                <c:pt idx="447">
                  <c:v>0.322871572871573</c:v>
                </c:pt>
                <c:pt idx="448">
                  <c:v>0.323593073593074</c:v>
                </c:pt>
                <c:pt idx="449">
                  <c:v>0.324314574314574</c:v>
                </c:pt>
                <c:pt idx="450">
                  <c:v>0.325036075036075</c:v>
                </c:pt>
                <c:pt idx="451">
                  <c:v>0.325757575757576</c:v>
                </c:pt>
                <c:pt idx="452">
                  <c:v>0.326479076479077</c:v>
                </c:pt>
                <c:pt idx="453">
                  <c:v>0.327200577200577</c:v>
                </c:pt>
                <c:pt idx="454">
                  <c:v>0.327922077922078</c:v>
                </c:pt>
                <c:pt idx="455">
                  <c:v>0.328643578643579</c:v>
                </c:pt>
                <c:pt idx="456">
                  <c:v>0.329365079365079</c:v>
                </c:pt>
                <c:pt idx="457">
                  <c:v>0.33008658008658</c:v>
                </c:pt>
                <c:pt idx="458">
                  <c:v>0.330808080808081</c:v>
                </c:pt>
                <c:pt idx="459">
                  <c:v>0.331529581529582</c:v>
                </c:pt>
                <c:pt idx="460">
                  <c:v>0.332251082251082</c:v>
                </c:pt>
                <c:pt idx="461">
                  <c:v>0.332972582972583</c:v>
                </c:pt>
                <c:pt idx="462">
                  <c:v>0.333694083694084</c:v>
                </c:pt>
                <c:pt idx="463">
                  <c:v>0.334415584415584</c:v>
                </c:pt>
                <c:pt idx="464">
                  <c:v>0.335137085137085</c:v>
                </c:pt>
                <c:pt idx="465">
                  <c:v>0.335858585858586</c:v>
                </c:pt>
                <c:pt idx="466">
                  <c:v>0.336580086580087</c:v>
                </c:pt>
                <c:pt idx="467">
                  <c:v>0.337301587301587</c:v>
                </c:pt>
                <c:pt idx="468">
                  <c:v>0.338023088023088</c:v>
                </c:pt>
                <c:pt idx="469">
                  <c:v>0.338744588744589</c:v>
                </c:pt>
                <c:pt idx="470">
                  <c:v>0.339466089466089</c:v>
                </c:pt>
                <c:pt idx="471">
                  <c:v>0.34018759018759</c:v>
                </c:pt>
                <c:pt idx="472">
                  <c:v>0.340909090909091</c:v>
                </c:pt>
                <c:pt idx="473">
                  <c:v>0.341630591630592</c:v>
                </c:pt>
                <c:pt idx="474">
                  <c:v>0.342352092352092</c:v>
                </c:pt>
                <c:pt idx="475">
                  <c:v>0.343073593073593</c:v>
                </c:pt>
                <c:pt idx="476">
                  <c:v>0.343795093795094</c:v>
                </c:pt>
                <c:pt idx="477">
                  <c:v>0.344516594516595</c:v>
                </c:pt>
                <c:pt idx="478">
                  <c:v>0.345238095238095</c:v>
                </c:pt>
                <c:pt idx="479">
                  <c:v>0.345959595959596</c:v>
                </c:pt>
                <c:pt idx="480">
                  <c:v>0.346681096681097</c:v>
                </c:pt>
                <c:pt idx="481">
                  <c:v>0.347402597402597</c:v>
                </c:pt>
                <c:pt idx="482">
                  <c:v>0.348124098124098</c:v>
                </c:pt>
                <c:pt idx="483">
                  <c:v>0.348845598845599</c:v>
                </c:pt>
                <c:pt idx="484">
                  <c:v>0.3495670995671</c:v>
                </c:pt>
                <c:pt idx="485">
                  <c:v>0.3502886002886</c:v>
                </c:pt>
                <c:pt idx="486">
                  <c:v>0.351010101010101</c:v>
                </c:pt>
                <c:pt idx="487">
                  <c:v>0.351731601731602</c:v>
                </c:pt>
                <c:pt idx="488">
                  <c:v>0.352453102453102</c:v>
                </c:pt>
                <c:pt idx="489">
                  <c:v>0.353174603174603</c:v>
                </c:pt>
                <c:pt idx="490">
                  <c:v>0.353896103896104</c:v>
                </c:pt>
                <c:pt idx="491">
                  <c:v>0.354617604617605</c:v>
                </c:pt>
                <c:pt idx="492">
                  <c:v>0.355339105339105</c:v>
                </c:pt>
                <c:pt idx="493">
                  <c:v>0.356060606060606</c:v>
                </c:pt>
                <c:pt idx="494">
                  <c:v>0.356782106782107</c:v>
                </c:pt>
                <c:pt idx="495">
                  <c:v>0.357503607503608</c:v>
                </c:pt>
                <c:pt idx="496">
                  <c:v>0.358225108225108</c:v>
                </c:pt>
                <c:pt idx="497">
                  <c:v>0.358946608946609</c:v>
                </c:pt>
                <c:pt idx="498">
                  <c:v>0.35966810966811</c:v>
                </c:pt>
                <c:pt idx="499">
                  <c:v>0.36038961038961</c:v>
                </c:pt>
                <c:pt idx="500">
                  <c:v>0.361111111111111</c:v>
                </c:pt>
                <c:pt idx="501">
                  <c:v>0.361832611832612</c:v>
                </c:pt>
                <c:pt idx="502">
                  <c:v>0.362554112554113</c:v>
                </c:pt>
                <c:pt idx="503">
                  <c:v>0.363275613275613</c:v>
                </c:pt>
                <c:pt idx="504">
                  <c:v>0.363997113997114</c:v>
                </c:pt>
                <c:pt idx="505">
                  <c:v>0.364718614718615</c:v>
                </c:pt>
                <c:pt idx="506">
                  <c:v>0.365440115440115</c:v>
                </c:pt>
                <c:pt idx="507">
                  <c:v>0.366161616161616</c:v>
                </c:pt>
                <c:pt idx="508">
                  <c:v>0.366883116883117</c:v>
                </c:pt>
                <c:pt idx="509">
                  <c:v>0.367604617604618</c:v>
                </c:pt>
                <c:pt idx="510">
                  <c:v>0.368326118326118</c:v>
                </c:pt>
                <c:pt idx="511">
                  <c:v>0.369047619047619</c:v>
                </c:pt>
                <c:pt idx="512">
                  <c:v>0.36976911976912</c:v>
                </c:pt>
                <c:pt idx="513">
                  <c:v>0.370490620490621</c:v>
                </c:pt>
                <c:pt idx="514">
                  <c:v>0.371212121212121</c:v>
                </c:pt>
                <c:pt idx="515">
                  <c:v>0.371933621933622</c:v>
                </c:pt>
                <c:pt idx="516">
                  <c:v>0.372655122655123</c:v>
                </c:pt>
                <c:pt idx="517">
                  <c:v>0.373376623376623</c:v>
                </c:pt>
                <c:pt idx="518">
                  <c:v>0.374098124098124</c:v>
                </c:pt>
                <c:pt idx="519">
                  <c:v>0.374819624819625</c:v>
                </c:pt>
                <c:pt idx="520">
                  <c:v>0.375541125541126</c:v>
                </c:pt>
                <c:pt idx="521">
                  <c:v>0.376262626262626</c:v>
                </c:pt>
                <c:pt idx="522">
                  <c:v>0.376984126984127</c:v>
                </c:pt>
                <c:pt idx="523">
                  <c:v>0.377705627705628</c:v>
                </c:pt>
                <c:pt idx="524">
                  <c:v>0.378427128427128</c:v>
                </c:pt>
                <c:pt idx="525">
                  <c:v>0.379148629148629</c:v>
                </c:pt>
                <c:pt idx="526">
                  <c:v>0.37987012987013</c:v>
                </c:pt>
                <c:pt idx="527">
                  <c:v>0.380591630591631</c:v>
                </c:pt>
                <c:pt idx="528">
                  <c:v>0.381313131313131</c:v>
                </c:pt>
                <c:pt idx="529">
                  <c:v>0.382034632034632</c:v>
                </c:pt>
                <c:pt idx="530">
                  <c:v>0.382756132756133</c:v>
                </c:pt>
                <c:pt idx="531">
                  <c:v>0.383477633477634</c:v>
                </c:pt>
                <c:pt idx="532">
                  <c:v>0.384199134199134</c:v>
                </c:pt>
                <c:pt idx="533">
                  <c:v>0.384920634920635</c:v>
                </c:pt>
                <c:pt idx="534">
                  <c:v>0.385642135642136</c:v>
                </c:pt>
                <c:pt idx="535">
                  <c:v>0.386363636363636</c:v>
                </c:pt>
                <c:pt idx="536">
                  <c:v>0.387085137085137</c:v>
                </c:pt>
                <c:pt idx="537">
                  <c:v>0.387806637806638</c:v>
                </c:pt>
                <c:pt idx="538">
                  <c:v>0.388528138528139</c:v>
                </c:pt>
                <c:pt idx="539">
                  <c:v>0.389249639249639</c:v>
                </c:pt>
                <c:pt idx="540">
                  <c:v>0.38997113997114</c:v>
                </c:pt>
                <c:pt idx="541">
                  <c:v>0.390692640692641</c:v>
                </c:pt>
                <c:pt idx="542">
                  <c:v>0.391414141414141</c:v>
                </c:pt>
                <c:pt idx="543">
                  <c:v>0.392135642135642</c:v>
                </c:pt>
                <c:pt idx="544">
                  <c:v>0.392857142857143</c:v>
                </c:pt>
                <c:pt idx="545">
                  <c:v>0.393578643578644</c:v>
                </c:pt>
                <c:pt idx="546">
                  <c:v>0.394300144300144</c:v>
                </c:pt>
                <c:pt idx="547">
                  <c:v>0.395021645021645</c:v>
                </c:pt>
                <c:pt idx="548">
                  <c:v>0.395743145743146</c:v>
                </c:pt>
                <c:pt idx="549">
                  <c:v>0.396464646464646</c:v>
                </c:pt>
                <c:pt idx="550">
                  <c:v>0.397186147186147</c:v>
                </c:pt>
                <c:pt idx="551">
                  <c:v>0.397907647907648</c:v>
                </c:pt>
                <c:pt idx="552">
                  <c:v>0.398629148629149</c:v>
                </c:pt>
                <c:pt idx="553">
                  <c:v>0.399350649350649</c:v>
                </c:pt>
                <c:pt idx="554">
                  <c:v>0.40007215007215</c:v>
                </c:pt>
                <c:pt idx="555">
                  <c:v>0.400793650793651</c:v>
                </c:pt>
                <c:pt idx="556">
                  <c:v>0.401515151515152</c:v>
                </c:pt>
                <c:pt idx="557">
                  <c:v>0.402236652236652</c:v>
                </c:pt>
                <c:pt idx="558">
                  <c:v>0.402958152958153</c:v>
                </c:pt>
                <c:pt idx="559">
                  <c:v>0.403679653679654</c:v>
                </c:pt>
                <c:pt idx="560">
                  <c:v>0.404401154401154</c:v>
                </c:pt>
                <c:pt idx="561">
                  <c:v>0.405122655122655</c:v>
                </c:pt>
                <c:pt idx="562">
                  <c:v>0.405844155844156</c:v>
                </c:pt>
                <c:pt idx="563">
                  <c:v>0.406565656565657</c:v>
                </c:pt>
                <c:pt idx="564">
                  <c:v>0.407287157287157</c:v>
                </c:pt>
                <c:pt idx="565">
                  <c:v>0.408008658008658</c:v>
                </c:pt>
                <c:pt idx="566">
                  <c:v>0.408730158730159</c:v>
                </c:pt>
                <c:pt idx="567">
                  <c:v>0.409451659451659</c:v>
                </c:pt>
                <c:pt idx="568">
                  <c:v>0.41017316017316</c:v>
                </c:pt>
                <c:pt idx="569">
                  <c:v>0.410894660894661</c:v>
                </c:pt>
                <c:pt idx="570">
                  <c:v>0.411616161616162</c:v>
                </c:pt>
                <c:pt idx="571">
                  <c:v>0.412337662337662</c:v>
                </c:pt>
                <c:pt idx="572">
                  <c:v>0.413059163059163</c:v>
                </c:pt>
                <c:pt idx="573">
                  <c:v>0.413780663780664</c:v>
                </c:pt>
                <c:pt idx="574">
                  <c:v>0.414502164502165</c:v>
                </c:pt>
                <c:pt idx="575">
                  <c:v>0.415223665223665</c:v>
                </c:pt>
                <c:pt idx="576">
                  <c:v>0.415945165945166</c:v>
                </c:pt>
                <c:pt idx="577">
                  <c:v>0.416666666666667</c:v>
                </c:pt>
                <c:pt idx="578">
                  <c:v>0.417388167388167</c:v>
                </c:pt>
                <c:pt idx="579">
                  <c:v>0.418109668109668</c:v>
                </c:pt>
                <c:pt idx="580">
                  <c:v>0.418831168831169</c:v>
                </c:pt>
                <c:pt idx="581">
                  <c:v>0.41955266955267</c:v>
                </c:pt>
                <c:pt idx="582">
                  <c:v>0.42027417027417</c:v>
                </c:pt>
                <c:pt idx="583">
                  <c:v>0.420995670995671</c:v>
                </c:pt>
                <c:pt idx="584">
                  <c:v>0.421717171717172</c:v>
                </c:pt>
                <c:pt idx="585">
                  <c:v>0.422438672438672</c:v>
                </c:pt>
                <c:pt idx="586">
                  <c:v>0.423160173160173</c:v>
                </c:pt>
                <c:pt idx="587">
                  <c:v>0.423881673881674</c:v>
                </c:pt>
                <c:pt idx="588">
                  <c:v>0.424603174603175</c:v>
                </c:pt>
                <c:pt idx="589">
                  <c:v>0.425324675324675</c:v>
                </c:pt>
                <c:pt idx="590">
                  <c:v>0.426046176046176</c:v>
                </c:pt>
                <c:pt idx="591">
                  <c:v>0.426767676767677</c:v>
                </c:pt>
                <c:pt idx="592">
                  <c:v>0.427489177489178</c:v>
                </c:pt>
                <c:pt idx="593">
                  <c:v>0.428210678210678</c:v>
                </c:pt>
                <c:pt idx="594">
                  <c:v>0.428932178932179</c:v>
                </c:pt>
                <c:pt idx="595">
                  <c:v>0.42965367965368</c:v>
                </c:pt>
                <c:pt idx="596">
                  <c:v>0.43037518037518</c:v>
                </c:pt>
                <c:pt idx="597">
                  <c:v>0.431096681096681</c:v>
                </c:pt>
                <c:pt idx="598">
                  <c:v>0.431818181818182</c:v>
                </c:pt>
                <c:pt idx="599">
                  <c:v>0.432539682539683</c:v>
                </c:pt>
                <c:pt idx="600">
                  <c:v>0.433261183261183</c:v>
                </c:pt>
                <c:pt idx="601">
                  <c:v>0.433982683982684</c:v>
                </c:pt>
                <c:pt idx="602">
                  <c:v>0.434704184704185</c:v>
                </c:pt>
                <c:pt idx="603">
                  <c:v>0.435425685425685</c:v>
                </c:pt>
                <c:pt idx="604">
                  <c:v>0.436147186147186</c:v>
                </c:pt>
                <c:pt idx="605">
                  <c:v>0.436868686868687</c:v>
                </c:pt>
                <c:pt idx="606">
                  <c:v>0.437590187590188</c:v>
                </c:pt>
                <c:pt idx="607">
                  <c:v>0.438311688311688</c:v>
                </c:pt>
                <c:pt idx="608">
                  <c:v>0.439033189033189</c:v>
                </c:pt>
                <c:pt idx="609">
                  <c:v>0.43975468975469</c:v>
                </c:pt>
                <c:pt idx="610">
                  <c:v>0.44047619047619</c:v>
                </c:pt>
                <c:pt idx="611">
                  <c:v>0.441197691197691</c:v>
                </c:pt>
                <c:pt idx="612">
                  <c:v>0.441919191919192</c:v>
                </c:pt>
                <c:pt idx="613">
                  <c:v>0.442640692640693</c:v>
                </c:pt>
                <c:pt idx="614">
                  <c:v>0.443362193362193</c:v>
                </c:pt>
                <c:pt idx="615">
                  <c:v>0.444083694083694</c:v>
                </c:pt>
                <c:pt idx="616">
                  <c:v>0.444805194805195</c:v>
                </c:pt>
                <c:pt idx="617">
                  <c:v>0.445526695526696</c:v>
                </c:pt>
                <c:pt idx="618">
                  <c:v>0.446248196248196</c:v>
                </c:pt>
                <c:pt idx="619">
                  <c:v>0.446969696969697</c:v>
                </c:pt>
                <c:pt idx="620">
                  <c:v>0.447691197691198</c:v>
                </c:pt>
                <c:pt idx="621">
                  <c:v>0.448412698412698</c:v>
                </c:pt>
                <c:pt idx="622">
                  <c:v>0.449134199134199</c:v>
                </c:pt>
                <c:pt idx="623">
                  <c:v>0.4498556998557</c:v>
                </c:pt>
                <c:pt idx="624">
                  <c:v>0.450577200577201</c:v>
                </c:pt>
                <c:pt idx="625">
                  <c:v>0.451298701298701</c:v>
                </c:pt>
                <c:pt idx="626">
                  <c:v>0.452020202020202</c:v>
                </c:pt>
                <c:pt idx="627">
                  <c:v>0.452741702741703</c:v>
                </c:pt>
                <c:pt idx="628">
                  <c:v>0.453463203463203</c:v>
                </c:pt>
                <c:pt idx="629">
                  <c:v>0.454184704184704</c:v>
                </c:pt>
                <c:pt idx="630">
                  <c:v>0.454906204906205</c:v>
                </c:pt>
                <c:pt idx="631">
                  <c:v>0.455627705627706</c:v>
                </c:pt>
                <c:pt idx="632">
                  <c:v>0.456349206349206</c:v>
                </c:pt>
                <c:pt idx="633">
                  <c:v>0.457070707070707</c:v>
                </c:pt>
                <c:pt idx="634">
                  <c:v>0.457792207792208</c:v>
                </c:pt>
                <c:pt idx="635">
                  <c:v>0.458513708513709</c:v>
                </c:pt>
                <c:pt idx="636">
                  <c:v>0.459235209235209</c:v>
                </c:pt>
                <c:pt idx="637">
                  <c:v>0.45995670995671</c:v>
                </c:pt>
                <c:pt idx="638">
                  <c:v>0.460678210678211</c:v>
                </c:pt>
                <c:pt idx="639">
                  <c:v>0.461399711399711</c:v>
                </c:pt>
                <c:pt idx="640">
                  <c:v>0.462121212121212</c:v>
                </c:pt>
                <c:pt idx="641">
                  <c:v>0.462842712842713</c:v>
                </c:pt>
                <c:pt idx="642">
                  <c:v>0.463564213564214</c:v>
                </c:pt>
                <c:pt idx="643">
                  <c:v>0.464285714285714</c:v>
                </c:pt>
                <c:pt idx="644">
                  <c:v>0.465007215007215</c:v>
                </c:pt>
                <c:pt idx="645">
                  <c:v>0.465728715728716</c:v>
                </c:pt>
                <c:pt idx="646">
                  <c:v>0.466450216450216</c:v>
                </c:pt>
                <c:pt idx="647">
                  <c:v>0.467171717171717</c:v>
                </c:pt>
                <c:pt idx="648">
                  <c:v>0.467893217893218</c:v>
                </c:pt>
                <c:pt idx="649">
                  <c:v>0.468614718614719</c:v>
                </c:pt>
                <c:pt idx="650">
                  <c:v>0.469336219336219</c:v>
                </c:pt>
                <c:pt idx="651">
                  <c:v>0.47005772005772</c:v>
                </c:pt>
                <c:pt idx="652">
                  <c:v>0.470779220779221</c:v>
                </c:pt>
                <c:pt idx="653">
                  <c:v>0.471500721500722</c:v>
                </c:pt>
                <c:pt idx="654">
                  <c:v>0.472222222222222</c:v>
                </c:pt>
                <c:pt idx="655">
                  <c:v>0.472943722943723</c:v>
                </c:pt>
                <c:pt idx="656">
                  <c:v>0.473665223665224</c:v>
                </c:pt>
                <c:pt idx="657">
                  <c:v>0.474386724386724</c:v>
                </c:pt>
                <c:pt idx="658">
                  <c:v>0.475108225108225</c:v>
                </c:pt>
                <c:pt idx="659">
                  <c:v>0.475829725829726</c:v>
                </c:pt>
                <c:pt idx="660">
                  <c:v>0.476551226551227</c:v>
                </c:pt>
                <c:pt idx="661">
                  <c:v>0.477272727272727</c:v>
                </c:pt>
                <c:pt idx="662">
                  <c:v>0.477994227994228</c:v>
                </c:pt>
                <c:pt idx="663">
                  <c:v>0.478715728715729</c:v>
                </c:pt>
                <c:pt idx="664">
                  <c:v>0.479437229437229</c:v>
                </c:pt>
                <c:pt idx="665">
                  <c:v>0.48015873015873</c:v>
                </c:pt>
                <c:pt idx="666">
                  <c:v>0.480880230880231</c:v>
                </c:pt>
                <c:pt idx="667">
                  <c:v>0.481601731601732</c:v>
                </c:pt>
                <c:pt idx="668">
                  <c:v>0.482323232323232</c:v>
                </c:pt>
                <c:pt idx="669">
                  <c:v>0.483044733044733</c:v>
                </c:pt>
                <c:pt idx="670">
                  <c:v>0.483766233766234</c:v>
                </c:pt>
                <c:pt idx="671">
                  <c:v>0.484487734487734</c:v>
                </c:pt>
                <c:pt idx="672">
                  <c:v>0.485209235209235</c:v>
                </c:pt>
                <c:pt idx="673">
                  <c:v>0.485930735930736</c:v>
                </c:pt>
                <c:pt idx="674">
                  <c:v>0.486652236652237</c:v>
                </c:pt>
                <c:pt idx="675">
                  <c:v>0.487373737373737</c:v>
                </c:pt>
                <c:pt idx="676">
                  <c:v>0.488095238095238</c:v>
                </c:pt>
                <c:pt idx="677">
                  <c:v>0.488816738816739</c:v>
                </c:pt>
                <c:pt idx="678">
                  <c:v>0.48953823953824</c:v>
                </c:pt>
                <c:pt idx="679">
                  <c:v>0.49025974025974</c:v>
                </c:pt>
                <c:pt idx="680">
                  <c:v>0.490981240981241</c:v>
                </c:pt>
                <c:pt idx="681">
                  <c:v>0.491702741702742</c:v>
                </c:pt>
                <c:pt idx="682">
                  <c:v>0.492424242424242</c:v>
                </c:pt>
                <c:pt idx="683">
                  <c:v>0.493145743145743</c:v>
                </c:pt>
                <c:pt idx="684">
                  <c:v>0.493867243867244</c:v>
                </c:pt>
                <c:pt idx="685">
                  <c:v>0.494588744588745</c:v>
                </c:pt>
                <c:pt idx="686">
                  <c:v>0.495310245310245</c:v>
                </c:pt>
                <c:pt idx="687">
                  <c:v>0.496031746031746</c:v>
                </c:pt>
                <c:pt idx="688">
                  <c:v>0.496753246753247</c:v>
                </c:pt>
                <c:pt idx="689">
                  <c:v>0.497474747474747</c:v>
                </c:pt>
                <c:pt idx="690">
                  <c:v>0.498196248196248</c:v>
                </c:pt>
                <c:pt idx="691">
                  <c:v>0.498917748917749</c:v>
                </c:pt>
                <c:pt idx="692">
                  <c:v>0.49963924963925</c:v>
                </c:pt>
                <c:pt idx="693">
                  <c:v>0.50036075036075</c:v>
                </c:pt>
                <c:pt idx="694">
                  <c:v>0.501082251082251</c:v>
                </c:pt>
                <c:pt idx="695">
                  <c:v>0.501803751803752</c:v>
                </c:pt>
                <c:pt idx="696">
                  <c:v>0.502525252525253</c:v>
                </c:pt>
                <c:pt idx="697">
                  <c:v>0.503246753246753</c:v>
                </c:pt>
                <c:pt idx="698">
                  <c:v>0.503968253968254</c:v>
                </c:pt>
                <c:pt idx="699">
                  <c:v>0.504689754689755</c:v>
                </c:pt>
                <c:pt idx="700">
                  <c:v>0.505411255411255</c:v>
                </c:pt>
                <c:pt idx="701">
                  <c:v>0.506132756132756</c:v>
                </c:pt>
                <c:pt idx="702">
                  <c:v>0.506854256854257</c:v>
                </c:pt>
                <c:pt idx="703">
                  <c:v>0.507575757575758</c:v>
                </c:pt>
                <c:pt idx="704">
                  <c:v>0.508297258297258</c:v>
                </c:pt>
                <c:pt idx="705">
                  <c:v>0.509018759018759</c:v>
                </c:pt>
                <c:pt idx="706">
                  <c:v>0.50974025974026</c:v>
                </c:pt>
                <c:pt idx="707">
                  <c:v>0.510461760461761</c:v>
                </c:pt>
                <c:pt idx="708">
                  <c:v>0.511183261183261</c:v>
                </c:pt>
                <c:pt idx="709">
                  <c:v>0.511904761904762</c:v>
                </c:pt>
                <c:pt idx="710">
                  <c:v>0.512626262626263</c:v>
                </c:pt>
                <c:pt idx="711">
                  <c:v>0.513347763347763</c:v>
                </c:pt>
                <c:pt idx="712">
                  <c:v>0.514069264069264</c:v>
                </c:pt>
                <c:pt idx="713">
                  <c:v>0.514790764790765</c:v>
                </c:pt>
                <c:pt idx="714">
                  <c:v>0.515512265512266</c:v>
                </c:pt>
                <c:pt idx="715">
                  <c:v>0.516233766233766</c:v>
                </c:pt>
                <c:pt idx="716">
                  <c:v>0.516955266955267</c:v>
                </c:pt>
                <c:pt idx="717">
                  <c:v>0.517676767676768</c:v>
                </c:pt>
                <c:pt idx="718">
                  <c:v>0.518398268398268</c:v>
                </c:pt>
                <c:pt idx="719">
                  <c:v>0.519119769119769</c:v>
                </c:pt>
                <c:pt idx="720">
                  <c:v>0.51984126984127</c:v>
                </c:pt>
                <c:pt idx="721">
                  <c:v>0.520562770562771</c:v>
                </c:pt>
                <c:pt idx="722">
                  <c:v>0.521284271284271</c:v>
                </c:pt>
                <c:pt idx="723">
                  <c:v>0.522005772005772</c:v>
                </c:pt>
                <c:pt idx="724">
                  <c:v>0.522727272727273</c:v>
                </c:pt>
                <c:pt idx="725">
                  <c:v>0.523448773448774</c:v>
                </c:pt>
                <c:pt idx="726">
                  <c:v>0.524170274170274</c:v>
                </c:pt>
                <c:pt idx="727">
                  <c:v>0.524891774891775</c:v>
                </c:pt>
                <c:pt idx="728">
                  <c:v>0.525613275613276</c:v>
                </c:pt>
                <c:pt idx="729">
                  <c:v>0.526334776334776</c:v>
                </c:pt>
                <c:pt idx="730">
                  <c:v>0.527056277056277</c:v>
                </c:pt>
                <c:pt idx="731">
                  <c:v>0.527777777777778</c:v>
                </c:pt>
                <c:pt idx="732">
                  <c:v>0.528499278499279</c:v>
                </c:pt>
                <c:pt idx="733">
                  <c:v>0.529220779220779</c:v>
                </c:pt>
                <c:pt idx="734">
                  <c:v>0.52994227994228</c:v>
                </c:pt>
                <c:pt idx="735">
                  <c:v>0.530663780663781</c:v>
                </c:pt>
                <c:pt idx="736">
                  <c:v>0.531385281385281</c:v>
                </c:pt>
                <c:pt idx="737">
                  <c:v>0.532106782106782</c:v>
                </c:pt>
                <c:pt idx="738">
                  <c:v>0.532828282828283</c:v>
                </c:pt>
                <c:pt idx="739">
                  <c:v>0.533549783549784</c:v>
                </c:pt>
                <c:pt idx="740">
                  <c:v>0.534271284271284</c:v>
                </c:pt>
                <c:pt idx="741">
                  <c:v>0.534992784992785</c:v>
                </c:pt>
                <c:pt idx="742">
                  <c:v>0.535714285714286</c:v>
                </c:pt>
                <c:pt idx="743">
                  <c:v>0.536435786435787</c:v>
                </c:pt>
                <c:pt idx="744">
                  <c:v>0.537157287157287</c:v>
                </c:pt>
                <c:pt idx="745">
                  <c:v>0.537878787878788</c:v>
                </c:pt>
                <c:pt idx="746">
                  <c:v>0.538600288600289</c:v>
                </c:pt>
                <c:pt idx="747">
                  <c:v>0.539321789321789</c:v>
                </c:pt>
                <c:pt idx="748">
                  <c:v>0.54004329004329</c:v>
                </c:pt>
                <c:pt idx="749">
                  <c:v>0.540764790764791</c:v>
                </c:pt>
                <c:pt idx="750">
                  <c:v>0.541486291486292</c:v>
                </c:pt>
                <c:pt idx="751">
                  <c:v>0.542207792207792</c:v>
                </c:pt>
                <c:pt idx="752">
                  <c:v>0.542929292929293</c:v>
                </c:pt>
                <c:pt idx="753">
                  <c:v>0.543650793650794</c:v>
                </c:pt>
                <c:pt idx="754">
                  <c:v>0.544372294372294</c:v>
                </c:pt>
                <c:pt idx="755">
                  <c:v>0.545093795093795</c:v>
                </c:pt>
                <c:pt idx="756">
                  <c:v>0.545815295815296</c:v>
                </c:pt>
                <c:pt idx="757">
                  <c:v>0.546536796536797</c:v>
                </c:pt>
                <c:pt idx="758">
                  <c:v>0.547258297258297</c:v>
                </c:pt>
                <c:pt idx="759">
                  <c:v>0.547979797979798</c:v>
                </c:pt>
                <c:pt idx="760">
                  <c:v>0.548701298701299</c:v>
                </c:pt>
                <c:pt idx="761">
                  <c:v>0.549422799422799</c:v>
                </c:pt>
                <c:pt idx="762">
                  <c:v>0.5501443001443</c:v>
                </c:pt>
                <c:pt idx="763">
                  <c:v>0.550865800865801</c:v>
                </c:pt>
                <c:pt idx="764">
                  <c:v>0.551587301587302</c:v>
                </c:pt>
                <c:pt idx="765">
                  <c:v>0.552308802308802</c:v>
                </c:pt>
                <c:pt idx="766">
                  <c:v>0.553030303030303</c:v>
                </c:pt>
                <c:pt idx="767">
                  <c:v>0.553751803751804</c:v>
                </c:pt>
                <c:pt idx="768">
                  <c:v>0.554473304473305</c:v>
                </c:pt>
                <c:pt idx="769">
                  <c:v>0.555194805194805</c:v>
                </c:pt>
                <c:pt idx="770">
                  <c:v>0.555916305916306</c:v>
                </c:pt>
                <c:pt idx="771">
                  <c:v>0.556637806637807</c:v>
                </c:pt>
                <c:pt idx="772">
                  <c:v>0.557359307359307</c:v>
                </c:pt>
                <c:pt idx="773">
                  <c:v>0.558080808080808</c:v>
                </c:pt>
                <c:pt idx="774">
                  <c:v>0.558802308802309</c:v>
                </c:pt>
                <c:pt idx="775">
                  <c:v>0.55952380952381</c:v>
                </c:pt>
                <c:pt idx="776">
                  <c:v>0.56024531024531</c:v>
                </c:pt>
                <c:pt idx="777">
                  <c:v>0.560966810966811</c:v>
                </c:pt>
                <c:pt idx="778">
                  <c:v>0.561688311688312</c:v>
                </c:pt>
                <c:pt idx="779">
                  <c:v>0.562409812409812</c:v>
                </c:pt>
                <c:pt idx="780">
                  <c:v>0.563131313131313</c:v>
                </c:pt>
                <c:pt idx="781">
                  <c:v>0.563852813852814</c:v>
                </c:pt>
                <c:pt idx="782">
                  <c:v>0.564574314574315</c:v>
                </c:pt>
                <c:pt idx="783">
                  <c:v>0.565295815295815</c:v>
                </c:pt>
                <c:pt idx="784">
                  <c:v>0.566017316017316</c:v>
                </c:pt>
                <c:pt idx="785">
                  <c:v>0.566738816738817</c:v>
                </c:pt>
                <c:pt idx="786">
                  <c:v>0.567460317460317</c:v>
                </c:pt>
                <c:pt idx="787">
                  <c:v>0.568181818181818</c:v>
                </c:pt>
                <c:pt idx="788">
                  <c:v>0.568903318903319</c:v>
                </c:pt>
                <c:pt idx="789">
                  <c:v>0.56962481962482</c:v>
                </c:pt>
                <c:pt idx="790">
                  <c:v>0.57034632034632</c:v>
                </c:pt>
                <c:pt idx="791">
                  <c:v>0.571067821067821</c:v>
                </c:pt>
                <c:pt idx="792">
                  <c:v>0.571789321789322</c:v>
                </c:pt>
                <c:pt idx="793">
                  <c:v>0.572510822510823</c:v>
                </c:pt>
                <c:pt idx="794">
                  <c:v>0.573232323232323</c:v>
                </c:pt>
                <c:pt idx="795">
                  <c:v>0.573953823953824</c:v>
                </c:pt>
                <c:pt idx="796">
                  <c:v>0.574675324675325</c:v>
                </c:pt>
                <c:pt idx="797">
                  <c:v>0.575396825396825</c:v>
                </c:pt>
                <c:pt idx="798">
                  <c:v>0.576118326118326</c:v>
                </c:pt>
                <c:pt idx="799">
                  <c:v>0.576839826839827</c:v>
                </c:pt>
                <c:pt idx="800">
                  <c:v>0.577561327561328</c:v>
                </c:pt>
                <c:pt idx="801">
                  <c:v>0.578282828282828</c:v>
                </c:pt>
                <c:pt idx="802">
                  <c:v>0.579004329004329</c:v>
                </c:pt>
                <c:pt idx="803">
                  <c:v>0.57972582972583</c:v>
                </c:pt>
                <c:pt idx="804">
                  <c:v>0.58044733044733</c:v>
                </c:pt>
                <c:pt idx="805">
                  <c:v>0.581168831168831</c:v>
                </c:pt>
                <c:pt idx="806">
                  <c:v>0.581890331890332</c:v>
                </c:pt>
                <c:pt idx="807">
                  <c:v>0.582611832611833</c:v>
                </c:pt>
                <c:pt idx="808">
                  <c:v>0.583333333333333</c:v>
                </c:pt>
                <c:pt idx="809">
                  <c:v>0.584054834054834</c:v>
                </c:pt>
                <c:pt idx="810">
                  <c:v>0.584776334776335</c:v>
                </c:pt>
                <c:pt idx="811">
                  <c:v>0.585497835497836</c:v>
                </c:pt>
                <c:pt idx="812">
                  <c:v>0.586219336219336</c:v>
                </c:pt>
                <c:pt idx="813">
                  <c:v>0.586940836940837</c:v>
                </c:pt>
                <c:pt idx="814">
                  <c:v>0.587662337662338</c:v>
                </c:pt>
                <c:pt idx="815">
                  <c:v>0.588383838383838</c:v>
                </c:pt>
                <c:pt idx="816">
                  <c:v>0.589105339105339</c:v>
                </c:pt>
                <c:pt idx="817">
                  <c:v>0.58982683982684</c:v>
                </c:pt>
                <c:pt idx="818">
                  <c:v>0.590548340548341</c:v>
                </c:pt>
                <c:pt idx="819">
                  <c:v>0.591269841269841</c:v>
                </c:pt>
                <c:pt idx="820">
                  <c:v>0.591991341991342</c:v>
                </c:pt>
                <c:pt idx="821">
                  <c:v>0.592712842712843</c:v>
                </c:pt>
                <c:pt idx="822">
                  <c:v>0.593434343434343</c:v>
                </c:pt>
                <c:pt idx="823">
                  <c:v>0.594155844155844</c:v>
                </c:pt>
                <c:pt idx="824">
                  <c:v>0.594877344877345</c:v>
                </c:pt>
                <c:pt idx="825">
                  <c:v>0.595598845598846</c:v>
                </c:pt>
                <c:pt idx="826">
                  <c:v>0.596320346320346</c:v>
                </c:pt>
                <c:pt idx="827">
                  <c:v>0.597041847041847</c:v>
                </c:pt>
                <c:pt idx="828">
                  <c:v>0.597763347763348</c:v>
                </c:pt>
                <c:pt idx="829">
                  <c:v>0.598484848484849</c:v>
                </c:pt>
                <c:pt idx="830">
                  <c:v>0.599206349206349</c:v>
                </c:pt>
                <c:pt idx="831">
                  <c:v>0.59992784992785</c:v>
                </c:pt>
                <c:pt idx="832">
                  <c:v>0.600649350649351</c:v>
                </c:pt>
                <c:pt idx="833">
                  <c:v>0.601370851370851</c:v>
                </c:pt>
                <c:pt idx="834">
                  <c:v>0.602092352092352</c:v>
                </c:pt>
                <c:pt idx="835">
                  <c:v>0.602813852813853</c:v>
                </c:pt>
                <c:pt idx="836">
                  <c:v>0.603535353535354</c:v>
                </c:pt>
                <c:pt idx="837">
                  <c:v>0.604256854256854</c:v>
                </c:pt>
                <c:pt idx="838">
                  <c:v>0.604978354978355</c:v>
                </c:pt>
                <c:pt idx="839">
                  <c:v>0.605699855699856</c:v>
                </c:pt>
                <c:pt idx="840">
                  <c:v>0.606421356421356</c:v>
                </c:pt>
                <c:pt idx="841">
                  <c:v>0.607142857142857</c:v>
                </c:pt>
                <c:pt idx="842">
                  <c:v>0.607864357864358</c:v>
                </c:pt>
                <c:pt idx="843">
                  <c:v>0.608585858585859</c:v>
                </c:pt>
                <c:pt idx="844">
                  <c:v>0.609307359307359</c:v>
                </c:pt>
                <c:pt idx="845">
                  <c:v>0.61002886002886</c:v>
                </c:pt>
                <c:pt idx="846">
                  <c:v>0.610750360750361</c:v>
                </c:pt>
                <c:pt idx="847">
                  <c:v>0.611471861471862</c:v>
                </c:pt>
                <c:pt idx="848">
                  <c:v>0.612193362193362</c:v>
                </c:pt>
                <c:pt idx="849">
                  <c:v>0.612914862914863</c:v>
                </c:pt>
                <c:pt idx="850">
                  <c:v>0.613636363636364</c:v>
                </c:pt>
                <c:pt idx="851">
                  <c:v>0.614357864357864</c:v>
                </c:pt>
                <c:pt idx="852">
                  <c:v>0.615079365079365</c:v>
                </c:pt>
                <c:pt idx="853">
                  <c:v>0.615800865800866</c:v>
                </c:pt>
                <c:pt idx="854">
                  <c:v>0.616522366522367</c:v>
                </c:pt>
                <c:pt idx="855">
                  <c:v>0.617243867243867</c:v>
                </c:pt>
                <c:pt idx="856">
                  <c:v>0.617965367965368</c:v>
                </c:pt>
                <c:pt idx="857">
                  <c:v>0.618686868686869</c:v>
                </c:pt>
                <c:pt idx="858">
                  <c:v>0.619408369408369</c:v>
                </c:pt>
                <c:pt idx="859">
                  <c:v>0.62012987012987</c:v>
                </c:pt>
                <c:pt idx="860">
                  <c:v>0.620851370851371</c:v>
                </c:pt>
                <c:pt idx="861">
                  <c:v>0.621572871572872</c:v>
                </c:pt>
                <c:pt idx="862">
                  <c:v>0.622294372294372</c:v>
                </c:pt>
                <c:pt idx="863">
                  <c:v>0.623015873015873</c:v>
                </c:pt>
                <c:pt idx="864">
                  <c:v>0.623737373737374</c:v>
                </c:pt>
                <c:pt idx="865">
                  <c:v>0.624458874458875</c:v>
                </c:pt>
                <c:pt idx="866">
                  <c:v>0.625180375180375</c:v>
                </c:pt>
                <c:pt idx="867">
                  <c:v>0.625901875901876</c:v>
                </c:pt>
                <c:pt idx="868">
                  <c:v>0.626623376623377</c:v>
                </c:pt>
                <c:pt idx="869">
                  <c:v>0.627344877344877</c:v>
                </c:pt>
                <c:pt idx="870">
                  <c:v>0.628066378066378</c:v>
                </c:pt>
                <c:pt idx="871">
                  <c:v>0.628787878787879</c:v>
                </c:pt>
                <c:pt idx="872">
                  <c:v>0.62950937950938</c:v>
                </c:pt>
                <c:pt idx="873">
                  <c:v>0.63023088023088</c:v>
                </c:pt>
                <c:pt idx="874">
                  <c:v>0.630952380952381</c:v>
                </c:pt>
                <c:pt idx="875">
                  <c:v>0.631673881673882</c:v>
                </c:pt>
                <c:pt idx="876">
                  <c:v>0.632395382395382</c:v>
                </c:pt>
                <c:pt idx="877">
                  <c:v>0.633116883116883</c:v>
                </c:pt>
                <c:pt idx="878">
                  <c:v>0.633838383838384</c:v>
                </c:pt>
                <c:pt idx="879">
                  <c:v>0.634559884559885</c:v>
                </c:pt>
                <c:pt idx="880">
                  <c:v>0.635281385281385</c:v>
                </c:pt>
                <c:pt idx="881">
                  <c:v>0.636002886002886</c:v>
                </c:pt>
                <c:pt idx="882">
                  <c:v>0.636724386724387</c:v>
                </c:pt>
                <c:pt idx="883">
                  <c:v>0.637445887445888</c:v>
                </c:pt>
                <c:pt idx="884">
                  <c:v>0.638167388167388</c:v>
                </c:pt>
                <c:pt idx="885">
                  <c:v>0.638888888888889</c:v>
                </c:pt>
                <c:pt idx="886">
                  <c:v>0.63961038961039</c:v>
                </c:pt>
                <c:pt idx="887">
                  <c:v>0.64033189033189</c:v>
                </c:pt>
                <c:pt idx="888">
                  <c:v>0.641053391053391</c:v>
                </c:pt>
                <c:pt idx="889">
                  <c:v>0.641774891774892</c:v>
                </c:pt>
                <c:pt idx="890">
                  <c:v>0.642496392496393</c:v>
                </c:pt>
                <c:pt idx="891">
                  <c:v>0.643217893217893</c:v>
                </c:pt>
                <c:pt idx="892">
                  <c:v>0.643939393939394</c:v>
                </c:pt>
                <c:pt idx="893">
                  <c:v>0.644660894660895</c:v>
                </c:pt>
                <c:pt idx="894">
                  <c:v>0.645382395382395</c:v>
                </c:pt>
                <c:pt idx="895">
                  <c:v>0.646103896103896</c:v>
                </c:pt>
                <c:pt idx="896">
                  <c:v>0.646825396825397</c:v>
                </c:pt>
                <c:pt idx="897">
                  <c:v>0.647546897546898</c:v>
                </c:pt>
                <c:pt idx="898">
                  <c:v>0.648268398268398</c:v>
                </c:pt>
                <c:pt idx="899">
                  <c:v>0.648989898989899</c:v>
                </c:pt>
                <c:pt idx="900">
                  <c:v>0.6497113997114</c:v>
                </c:pt>
                <c:pt idx="901">
                  <c:v>0.650432900432901</c:v>
                </c:pt>
                <c:pt idx="902">
                  <c:v>0.651154401154401</c:v>
                </c:pt>
                <c:pt idx="903">
                  <c:v>0.651875901875902</c:v>
                </c:pt>
                <c:pt idx="904">
                  <c:v>0.652597402597403</c:v>
                </c:pt>
                <c:pt idx="905">
                  <c:v>0.653318903318903</c:v>
                </c:pt>
                <c:pt idx="906">
                  <c:v>0.654040404040404</c:v>
                </c:pt>
                <c:pt idx="907">
                  <c:v>0.654761904761905</c:v>
                </c:pt>
                <c:pt idx="908">
                  <c:v>0.655483405483405</c:v>
                </c:pt>
                <c:pt idx="909">
                  <c:v>0.656204906204906</c:v>
                </c:pt>
                <c:pt idx="910">
                  <c:v>0.656926406926407</c:v>
                </c:pt>
                <c:pt idx="911">
                  <c:v>0.657647907647908</c:v>
                </c:pt>
                <c:pt idx="912">
                  <c:v>0.658369408369408</c:v>
                </c:pt>
                <c:pt idx="913">
                  <c:v>0.659090909090909</c:v>
                </c:pt>
                <c:pt idx="914">
                  <c:v>0.65981240981241</c:v>
                </c:pt>
                <c:pt idx="915">
                  <c:v>0.660533910533911</c:v>
                </c:pt>
                <c:pt idx="916">
                  <c:v>0.661255411255411</c:v>
                </c:pt>
                <c:pt idx="917">
                  <c:v>0.661976911976912</c:v>
                </c:pt>
                <c:pt idx="918">
                  <c:v>0.662698412698413</c:v>
                </c:pt>
                <c:pt idx="919">
                  <c:v>0.663419913419914</c:v>
                </c:pt>
                <c:pt idx="920">
                  <c:v>0.664141414141414</c:v>
                </c:pt>
                <c:pt idx="921">
                  <c:v>0.664862914862915</c:v>
                </c:pt>
                <c:pt idx="922">
                  <c:v>0.665584415584416</c:v>
                </c:pt>
                <c:pt idx="923">
                  <c:v>0.666305916305916</c:v>
                </c:pt>
                <c:pt idx="924">
                  <c:v>0.667027417027417</c:v>
                </c:pt>
                <c:pt idx="925">
                  <c:v>0.667748917748918</c:v>
                </c:pt>
                <c:pt idx="926">
                  <c:v>0.668470418470418</c:v>
                </c:pt>
                <c:pt idx="927">
                  <c:v>0.669191919191919</c:v>
                </c:pt>
                <c:pt idx="928">
                  <c:v>0.66991341991342</c:v>
                </c:pt>
                <c:pt idx="929">
                  <c:v>0.670634920634921</c:v>
                </c:pt>
                <c:pt idx="930">
                  <c:v>0.671356421356421</c:v>
                </c:pt>
                <c:pt idx="931">
                  <c:v>0.672077922077922</c:v>
                </c:pt>
                <c:pt idx="932">
                  <c:v>0.672799422799423</c:v>
                </c:pt>
                <c:pt idx="933">
                  <c:v>0.673520923520924</c:v>
                </c:pt>
                <c:pt idx="934">
                  <c:v>0.674242424242424</c:v>
                </c:pt>
                <c:pt idx="935">
                  <c:v>0.674963924963925</c:v>
                </c:pt>
                <c:pt idx="936">
                  <c:v>0.675685425685426</c:v>
                </c:pt>
                <c:pt idx="937">
                  <c:v>0.676406926406927</c:v>
                </c:pt>
                <c:pt idx="938">
                  <c:v>0.677128427128427</c:v>
                </c:pt>
                <c:pt idx="939">
                  <c:v>0.677849927849928</c:v>
                </c:pt>
                <c:pt idx="940">
                  <c:v>0.678571428571429</c:v>
                </c:pt>
                <c:pt idx="941">
                  <c:v>0.679292929292929</c:v>
                </c:pt>
                <c:pt idx="942">
                  <c:v>0.68001443001443</c:v>
                </c:pt>
                <c:pt idx="943">
                  <c:v>0.680735930735931</c:v>
                </c:pt>
                <c:pt idx="944">
                  <c:v>0.681457431457431</c:v>
                </c:pt>
                <c:pt idx="945">
                  <c:v>0.682178932178932</c:v>
                </c:pt>
                <c:pt idx="946">
                  <c:v>0.682900432900433</c:v>
                </c:pt>
                <c:pt idx="947">
                  <c:v>0.683621933621934</c:v>
                </c:pt>
                <c:pt idx="948">
                  <c:v>0.684343434343434</c:v>
                </c:pt>
                <c:pt idx="949">
                  <c:v>0.685064935064935</c:v>
                </c:pt>
                <c:pt idx="950">
                  <c:v>0.685786435786436</c:v>
                </c:pt>
                <c:pt idx="951">
                  <c:v>0.686507936507937</c:v>
                </c:pt>
                <c:pt idx="952">
                  <c:v>0.687229437229437</c:v>
                </c:pt>
                <c:pt idx="953">
                  <c:v>0.687950937950938</c:v>
                </c:pt>
                <c:pt idx="954">
                  <c:v>0.688672438672439</c:v>
                </c:pt>
                <c:pt idx="955">
                  <c:v>0.689393939393939</c:v>
                </c:pt>
                <c:pt idx="956">
                  <c:v>0.69011544011544</c:v>
                </c:pt>
                <c:pt idx="957">
                  <c:v>0.690836940836941</c:v>
                </c:pt>
                <c:pt idx="958">
                  <c:v>0.691558441558442</c:v>
                </c:pt>
                <c:pt idx="959">
                  <c:v>0.692279942279942</c:v>
                </c:pt>
                <c:pt idx="960">
                  <c:v>0.693001443001443</c:v>
                </c:pt>
                <c:pt idx="961">
                  <c:v>0.693722943722944</c:v>
                </c:pt>
                <c:pt idx="962">
                  <c:v>0.694444444444444</c:v>
                </c:pt>
                <c:pt idx="963">
                  <c:v>0.695165945165945</c:v>
                </c:pt>
                <c:pt idx="964">
                  <c:v>0.695887445887446</c:v>
                </c:pt>
                <c:pt idx="965">
                  <c:v>0.696608946608947</c:v>
                </c:pt>
                <c:pt idx="966">
                  <c:v>0.697330447330447</c:v>
                </c:pt>
                <c:pt idx="967">
                  <c:v>0.698051948051948</c:v>
                </c:pt>
                <c:pt idx="968">
                  <c:v>0.698773448773449</c:v>
                </c:pt>
                <c:pt idx="969">
                  <c:v>0.69949494949495</c:v>
                </c:pt>
                <c:pt idx="970">
                  <c:v>0.70021645021645</c:v>
                </c:pt>
                <c:pt idx="971">
                  <c:v>0.700937950937951</c:v>
                </c:pt>
                <c:pt idx="972">
                  <c:v>0.701659451659452</c:v>
                </c:pt>
                <c:pt idx="973">
                  <c:v>0.702380952380952</c:v>
                </c:pt>
                <c:pt idx="974">
                  <c:v>0.703102453102453</c:v>
                </c:pt>
                <c:pt idx="975">
                  <c:v>0.703823953823954</c:v>
                </c:pt>
                <c:pt idx="976">
                  <c:v>0.704545454545455</c:v>
                </c:pt>
                <c:pt idx="977">
                  <c:v>0.705266955266955</c:v>
                </c:pt>
                <c:pt idx="978">
                  <c:v>0.705988455988456</c:v>
                </c:pt>
                <c:pt idx="979">
                  <c:v>0.706709956709957</c:v>
                </c:pt>
                <c:pt idx="980">
                  <c:v>0.707431457431457</c:v>
                </c:pt>
                <c:pt idx="981">
                  <c:v>0.708152958152958</c:v>
                </c:pt>
                <c:pt idx="982">
                  <c:v>0.708874458874459</c:v>
                </c:pt>
                <c:pt idx="983">
                  <c:v>0.70959595959596</c:v>
                </c:pt>
                <c:pt idx="984">
                  <c:v>0.71031746031746</c:v>
                </c:pt>
                <c:pt idx="985">
                  <c:v>0.711038961038961</c:v>
                </c:pt>
                <c:pt idx="986">
                  <c:v>0.711760461760462</c:v>
                </c:pt>
                <c:pt idx="987">
                  <c:v>0.712481962481963</c:v>
                </c:pt>
                <c:pt idx="988">
                  <c:v>0.713203463203463</c:v>
                </c:pt>
                <c:pt idx="989">
                  <c:v>0.713924963924964</c:v>
                </c:pt>
                <c:pt idx="990">
                  <c:v>0.714646464646465</c:v>
                </c:pt>
                <c:pt idx="991">
                  <c:v>0.715367965367965</c:v>
                </c:pt>
                <c:pt idx="992">
                  <c:v>0.716089466089466</c:v>
                </c:pt>
                <c:pt idx="993">
                  <c:v>0.716810966810967</c:v>
                </c:pt>
                <c:pt idx="994">
                  <c:v>0.717532467532468</c:v>
                </c:pt>
                <c:pt idx="995">
                  <c:v>0.718253968253968</c:v>
                </c:pt>
                <c:pt idx="996">
                  <c:v>0.718975468975469</c:v>
                </c:pt>
                <c:pt idx="997">
                  <c:v>0.71969696969697</c:v>
                </c:pt>
                <c:pt idx="998">
                  <c:v>0.72041847041847</c:v>
                </c:pt>
                <c:pt idx="999">
                  <c:v>0.721139971139971</c:v>
                </c:pt>
                <c:pt idx="1000">
                  <c:v>0.721861471861472</c:v>
                </c:pt>
                <c:pt idx="1001">
                  <c:v>0.722582972582973</c:v>
                </c:pt>
                <c:pt idx="1002">
                  <c:v>0.723304473304473</c:v>
                </c:pt>
                <c:pt idx="1003">
                  <c:v>0.724025974025974</c:v>
                </c:pt>
                <c:pt idx="1004">
                  <c:v>0.724747474747475</c:v>
                </c:pt>
                <c:pt idx="1005">
                  <c:v>0.725468975468976</c:v>
                </c:pt>
                <c:pt idx="1006">
                  <c:v>0.726190476190476</c:v>
                </c:pt>
                <c:pt idx="1007">
                  <c:v>0.726911976911977</c:v>
                </c:pt>
                <c:pt idx="1008">
                  <c:v>0.727633477633478</c:v>
                </c:pt>
                <c:pt idx="1009">
                  <c:v>0.728354978354978</c:v>
                </c:pt>
                <c:pt idx="1010">
                  <c:v>0.729076479076479</c:v>
                </c:pt>
                <c:pt idx="1011">
                  <c:v>0.72979797979798</c:v>
                </c:pt>
                <c:pt idx="1012">
                  <c:v>0.730519480519481</c:v>
                </c:pt>
                <c:pt idx="1013">
                  <c:v>0.731240981240981</c:v>
                </c:pt>
                <c:pt idx="1014">
                  <c:v>0.731962481962482</c:v>
                </c:pt>
                <c:pt idx="1015">
                  <c:v>0.732683982683983</c:v>
                </c:pt>
                <c:pt idx="1016">
                  <c:v>0.733405483405483</c:v>
                </c:pt>
                <c:pt idx="1017">
                  <c:v>0.734126984126984</c:v>
                </c:pt>
                <c:pt idx="1018">
                  <c:v>0.734848484848485</c:v>
                </c:pt>
                <c:pt idx="1019">
                  <c:v>0.735569985569986</c:v>
                </c:pt>
                <c:pt idx="1020">
                  <c:v>0.736291486291486</c:v>
                </c:pt>
                <c:pt idx="1021">
                  <c:v>0.737012987012987</c:v>
                </c:pt>
                <c:pt idx="1022">
                  <c:v>0.737734487734488</c:v>
                </c:pt>
                <c:pt idx="1023">
                  <c:v>0.738455988455989</c:v>
                </c:pt>
                <c:pt idx="1024">
                  <c:v>0.739177489177489</c:v>
                </c:pt>
                <c:pt idx="1025">
                  <c:v>0.73989898989899</c:v>
                </c:pt>
                <c:pt idx="1026">
                  <c:v>0.740620490620491</c:v>
                </c:pt>
                <c:pt idx="1027">
                  <c:v>0.741341991341991</c:v>
                </c:pt>
                <c:pt idx="1028">
                  <c:v>0.742063492063492</c:v>
                </c:pt>
                <c:pt idx="1029">
                  <c:v>0.742784992784993</c:v>
                </c:pt>
                <c:pt idx="1030">
                  <c:v>0.743506493506494</c:v>
                </c:pt>
                <c:pt idx="1031">
                  <c:v>0.744227994227994</c:v>
                </c:pt>
                <c:pt idx="1032">
                  <c:v>0.744949494949495</c:v>
                </c:pt>
                <c:pt idx="1033">
                  <c:v>0.745670995670996</c:v>
                </c:pt>
                <c:pt idx="1034">
                  <c:v>0.746392496392496</c:v>
                </c:pt>
                <c:pt idx="1035">
                  <c:v>0.747113997113997</c:v>
                </c:pt>
                <c:pt idx="1036">
                  <c:v>0.747835497835498</c:v>
                </c:pt>
                <c:pt idx="1037">
                  <c:v>0.748556998556999</c:v>
                </c:pt>
                <c:pt idx="1038">
                  <c:v>0.749278499278499</c:v>
                </c:pt>
                <c:pt idx="1039">
                  <c:v>0.75</c:v>
                </c:pt>
                <c:pt idx="1040">
                  <c:v>0.750721500721501</c:v>
                </c:pt>
                <c:pt idx="1041">
                  <c:v>0.751443001443002</c:v>
                </c:pt>
                <c:pt idx="1042">
                  <c:v>0.752164502164502</c:v>
                </c:pt>
                <c:pt idx="1043">
                  <c:v>0.752886002886003</c:v>
                </c:pt>
                <c:pt idx="1044">
                  <c:v>0.753607503607504</c:v>
                </c:pt>
                <c:pt idx="1045">
                  <c:v>0.754329004329004</c:v>
                </c:pt>
                <c:pt idx="1046">
                  <c:v>0.755050505050505</c:v>
                </c:pt>
                <c:pt idx="1047">
                  <c:v>0.755772005772006</c:v>
                </c:pt>
                <c:pt idx="1048">
                  <c:v>0.756493506493506</c:v>
                </c:pt>
                <c:pt idx="1049">
                  <c:v>0.757215007215007</c:v>
                </c:pt>
                <c:pt idx="1050">
                  <c:v>0.757936507936508</c:v>
                </c:pt>
                <c:pt idx="1051">
                  <c:v>0.758658008658009</c:v>
                </c:pt>
                <c:pt idx="1052">
                  <c:v>0.759379509379509</c:v>
                </c:pt>
                <c:pt idx="1053">
                  <c:v>0.76010101010101</c:v>
                </c:pt>
                <c:pt idx="1054">
                  <c:v>0.760822510822511</c:v>
                </c:pt>
                <c:pt idx="1055">
                  <c:v>0.761544011544012</c:v>
                </c:pt>
                <c:pt idx="1056">
                  <c:v>0.762265512265512</c:v>
                </c:pt>
                <c:pt idx="1057">
                  <c:v>0.762987012987013</c:v>
                </c:pt>
                <c:pt idx="1058">
                  <c:v>0.763708513708514</c:v>
                </c:pt>
                <c:pt idx="1059">
                  <c:v>0.764430014430015</c:v>
                </c:pt>
                <c:pt idx="1060">
                  <c:v>0.765151515151515</c:v>
                </c:pt>
                <c:pt idx="1061">
                  <c:v>0.765873015873016</c:v>
                </c:pt>
                <c:pt idx="1062">
                  <c:v>0.766594516594517</c:v>
                </c:pt>
                <c:pt idx="1063">
                  <c:v>0.767316017316017</c:v>
                </c:pt>
                <c:pt idx="1064">
                  <c:v>0.768037518037518</c:v>
                </c:pt>
                <c:pt idx="1065">
                  <c:v>0.768759018759019</c:v>
                </c:pt>
                <c:pt idx="1066">
                  <c:v>0.769480519480519</c:v>
                </c:pt>
                <c:pt idx="1067">
                  <c:v>0.77020202020202</c:v>
                </c:pt>
                <c:pt idx="1068">
                  <c:v>0.770923520923521</c:v>
                </c:pt>
                <c:pt idx="1069">
                  <c:v>0.771645021645022</c:v>
                </c:pt>
                <c:pt idx="1070">
                  <c:v>0.772366522366522</c:v>
                </c:pt>
                <c:pt idx="1071">
                  <c:v>0.773088023088023</c:v>
                </c:pt>
                <c:pt idx="1072">
                  <c:v>0.773809523809524</c:v>
                </c:pt>
                <c:pt idx="1073">
                  <c:v>0.774531024531025</c:v>
                </c:pt>
                <c:pt idx="1074">
                  <c:v>0.775252525252525</c:v>
                </c:pt>
                <c:pt idx="1075">
                  <c:v>0.775974025974026</c:v>
                </c:pt>
                <c:pt idx="1076">
                  <c:v>0.776695526695527</c:v>
                </c:pt>
                <c:pt idx="1077">
                  <c:v>0.777417027417028</c:v>
                </c:pt>
                <c:pt idx="1078">
                  <c:v>0.778138528138528</c:v>
                </c:pt>
                <c:pt idx="1079">
                  <c:v>0.778860028860029</c:v>
                </c:pt>
                <c:pt idx="1080">
                  <c:v>0.77958152958153</c:v>
                </c:pt>
                <c:pt idx="1081">
                  <c:v>0.78030303030303</c:v>
                </c:pt>
                <c:pt idx="1082">
                  <c:v>0.781024531024531</c:v>
                </c:pt>
                <c:pt idx="1083">
                  <c:v>0.781746031746032</c:v>
                </c:pt>
                <c:pt idx="1084">
                  <c:v>0.782467532467532</c:v>
                </c:pt>
                <c:pt idx="1085">
                  <c:v>0.783189033189033</c:v>
                </c:pt>
                <c:pt idx="1086">
                  <c:v>0.783910533910534</c:v>
                </c:pt>
                <c:pt idx="1087">
                  <c:v>0.784632034632035</c:v>
                </c:pt>
                <c:pt idx="1088">
                  <c:v>0.785353535353535</c:v>
                </c:pt>
                <c:pt idx="1089">
                  <c:v>0.786075036075036</c:v>
                </c:pt>
                <c:pt idx="1090">
                  <c:v>0.786796536796537</c:v>
                </c:pt>
                <c:pt idx="1091">
                  <c:v>0.787518037518038</c:v>
                </c:pt>
                <c:pt idx="1092">
                  <c:v>0.788239538239538</c:v>
                </c:pt>
                <c:pt idx="1093">
                  <c:v>0.788961038961039</c:v>
                </c:pt>
                <c:pt idx="1094">
                  <c:v>0.78968253968254</c:v>
                </c:pt>
                <c:pt idx="1095">
                  <c:v>0.79040404040404</c:v>
                </c:pt>
                <c:pt idx="1096">
                  <c:v>0.791125541125541</c:v>
                </c:pt>
                <c:pt idx="1097">
                  <c:v>0.791847041847042</c:v>
                </c:pt>
                <c:pt idx="1098">
                  <c:v>0.792568542568543</c:v>
                </c:pt>
                <c:pt idx="1099">
                  <c:v>0.793290043290043</c:v>
                </c:pt>
                <c:pt idx="1100">
                  <c:v>0.794011544011544</c:v>
                </c:pt>
                <c:pt idx="1101">
                  <c:v>0.794733044733045</c:v>
                </c:pt>
                <c:pt idx="1102">
                  <c:v>0.795454545454545</c:v>
                </c:pt>
                <c:pt idx="1103">
                  <c:v>0.796176046176046</c:v>
                </c:pt>
                <c:pt idx="1104">
                  <c:v>0.796897546897547</c:v>
                </c:pt>
                <c:pt idx="1105">
                  <c:v>0.797619047619048</c:v>
                </c:pt>
                <c:pt idx="1106">
                  <c:v>0.798340548340548</c:v>
                </c:pt>
                <c:pt idx="1107">
                  <c:v>0.799062049062049</c:v>
                </c:pt>
                <c:pt idx="1108">
                  <c:v>0.79978354978355</c:v>
                </c:pt>
                <c:pt idx="1109">
                  <c:v>0.800505050505051</c:v>
                </c:pt>
                <c:pt idx="1110">
                  <c:v>0.801226551226551</c:v>
                </c:pt>
                <c:pt idx="1111">
                  <c:v>0.801948051948052</c:v>
                </c:pt>
                <c:pt idx="1112">
                  <c:v>0.802669552669553</c:v>
                </c:pt>
                <c:pt idx="1113">
                  <c:v>0.803391053391053</c:v>
                </c:pt>
                <c:pt idx="1114">
                  <c:v>0.804112554112554</c:v>
                </c:pt>
                <c:pt idx="1115">
                  <c:v>0.804834054834055</c:v>
                </c:pt>
                <c:pt idx="1116">
                  <c:v>0.805555555555556</c:v>
                </c:pt>
                <c:pt idx="1117">
                  <c:v>0.806277056277056</c:v>
                </c:pt>
                <c:pt idx="1118">
                  <c:v>0.806998556998557</c:v>
                </c:pt>
                <c:pt idx="1119">
                  <c:v>0.807720057720058</c:v>
                </c:pt>
                <c:pt idx="1120">
                  <c:v>0.808441558441558</c:v>
                </c:pt>
                <c:pt idx="1121">
                  <c:v>0.809163059163059</c:v>
                </c:pt>
                <c:pt idx="1122">
                  <c:v>0.80988455988456</c:v>
                </c:pt>
                <c:pt idx="1123">
                  <c:v>0.810606060606061</c:v>
                </c:pt>
                <c:pt idx="1124">
                  <c:v>0.811327561327561</c:v>
                </c:pt>
                <c:pt idx="1125">
                  <c:v>0.812049062049062</c:v>
                </c:pt>
                <c:pt idx="1126">
                  <c:v>0.812770562770563</c:v>
                </c:pt>
                <c:pt idx="1127">
                  <c:v>0.813492063492064</c:v>
                </c:pt>
                <c:pt idx="1128">
                  <c:v>0.814213564213564</c:v>
                </c:pt>
                <c:pt idx="1129">
                  <c:v>0.814935064935065</c:v>
                </c:pt>
                <c:pt idx="1130">
                  <c:v>0.815656565656566</c:v>
                </c:pt>
                <c:pt idx="1131">
                  <c:v>0.816378066378066</c:v>
                </c:pt>
                <c:pt idx="1132">
                  <c:v>0.817099567099567</c:v>
                </c:pt>
                <c:pt idx="1133">
                  <c:v>0.817821067821068</c:v>
                </c:pt>
                <c:pt idx="1134">
                  <c:v>0.818542568542569</c:v>
                </c:pt>
                <c:pt idx="1135">
                  <c:v>0.819264069264069</c:v>
                </c:pt>
                <c:pt idx="1136">
                  <c:v>0.81998556998557</c:v>
                </c:pt>
                <c:pt idx="1137">
                  <c:v>0.820707070707071</c:v>
                </c:pt>
                <c:pt idx="1138">
                  <c:v>0.821428571428571</c:v>
                </c:pt>
                <c:pt idx="1139">
                  <c:v>0.822150072150072</c:v>
                </c:pt>
                <c:pt idx="1140">
                  <c:v>0.822871572871573</c:v>
                </c:pt>
                <c:pt idx="1141">
                  <c:v>0.823593073593074</c:v>
                </c:pt>
                <c:pt idx="1142">
                  <c:v>0.824314574314574</c:v>
                </c:pt>
                <c:pt idx="1143">
                  <c:v>0.825036075036075</c:v>
                </c:pt>
                <c:pt idx="1144">
                  <c:v>0.825757575757576</c:v>
                </c:pt>
                <c:pt idx="1145">
                  <c:v>0.826479076479077</c:v>
                </c:pt>
                <c:pt idx="1146">
                  <c:v>0.827200577200577</c:v>
                </c:pt>
                <c:pt idx="1147">
                  <c:v>0.827922077922078</c:v>
                </c:pt>
                <c:pt idx="1148">
                  <c:v>0.828643578643579</c:v>
                </c:pt>
                <c:pt idx="1149">
                  <c:v>0.829365079365079</c:v>
                </c:pt>
                <c:pt idx="1150">
                  <c:v>0.83008658008658</c:v>
                </c:pt>
                <c:pt idx="1151">
                  <c:v>0.830808080808081</c:v>
                </c:pt>
                <c:pt idx="1152">
                  <c:v>0.831529581529582</c:v>
                </c:pt>
                <c:pt idx="1153">
                  <c:v>0.832251082251082</c:v>
                </c:pt>
                <c:pt idx="1154">
                  <c:v>0.832972582972583</c:v>
                </c:pt>
                <c:pt idx="1155">
                  <c:v>0.833694083694084</c:v>
                </c:pt>
                <c:pt idx="1156">
                  <c:v>0.834415584415584</c:v>
                </c:pt>
                <c:pt idx="1157">
                  <c:v>0.835137085137085</c:v>
                </c:pt>
                <c:pt idx="1158">
                  <c:v>0.835858585858586</c:v>
                </c:pt>
                <c:pt idx="1159">
                  <c:v>0.836580086580087</c:v>
                </c:pt>
                <c:pt idx="1160">
                  <c:v>0.837301587301587</c:v>
                </c:pt>
                <c:pt idx="1161">
                  <c:v>0.838023088023088</c:v>
                </c:pt>
                <c:pt idx="1162">
                  <c:v>0.838744588744589</c:v>
                </c:pt>
                <c:pt idx="1163">
                  <c:v>0.83946608946609</c:v>
                </c:pt>
                <c:pt idx="1164">
                  <c:v>0.84018759018759</c:v>
                </c:pt>
                <c:pt idx="1165">
                  <c:v>0.840909090909091</c:v>
                </c:pt>
                <c:pt idx="1166">
                  <c:v>0.841630591630592</c:v>
                </c:pt>
                <c:pt idx="1167">
                  <c:v>0.842352092352092</c:v>
                </c:pt>
                <c:pt idx="1168">
                  <c:v>0.843073593073593</c:v>
                </c:pt>
                <c:pt idx="1169">
                  <c:v>0.843795093795094</c:v>
                </c:pt>
                <c:pt idx="1170">
                  <c:v>0.844516594516595</c:v>
                </c:pt>
                <c:pt idx="1171">
                  <c:v>0.845238095238095</c:v>
                </c:pt>
                <c:pt idx="1172">
                  <c:v>0.845959595959596</c:v>
                </c:pt>
                <c:pt idx="1173">
                  <c:v>0.846681096681097</c:v>
                </c:pt>
                <c:pt idx="1174">
                  <c:v>0.847402597402597</c:v>
                </c:pt>
                <c:pt idx="1175">
                  <c:v>0.848124098124098</c:v>
                </c:pt>
                <c:pt idx="1176">
                  <c:v>0.848845598845599</c:v>
                </c:pt>
                <c:pt idx="1177">
                  <c:v>0.8495670995671</c:v>
                </c:pt>
                <c:pt idx="1178">
                  <c:v>0.8502886002886</c:v>
                </c:pt>
                <c:pt idx="1179">
                  <c:v>0.851010101010101</c:v>
                </c:pt>
                <c:pt idx="1180">
                  <c:v>0.851731601731602</c:v>
                </c:pt>
                <c:pt idx="1181">
                  <c:v>0.852453102453103</c:v>
                </c:pt>
                <c:pt idx="1182">
                  <c:v>0.853174603174603</c:v>
                </c:pt>
                <c:pt idx="1183">
                  <c:v>0.853896103896104</c:v>
                </c:pt>
                <c:pt idx="1184">
                  <c:v>0.854617604617605</c:v>
                </c:pt>
                <c:pt idx="1185">
                  <c:v>0.855339105339105</c:v>
                </c:pt>
                <c:pt idx="1186">
                  <c:v>0.856060606060606</c:v>
                </c:pt>
                <c:pt idx="1187">
                  <c:v>0.856782106782107</c:v>
                </c:pt>
                <c:pt idx="1188">
                  <c:v>0.857503607503608</c:v>
                </c:pt>
                <c:pt idx="1189">
                  <c:v>0.858225108225108</c:v>
                </c:pt>
                <c:pt idx="1190">
                  <c:v>0.858946608946609</c:v>
                </c:pt>
                <c:pt idx="1191">
                  <c:v>0.85966810966811</c:v>
                </c:pt>
                <c:pt idx="1192">
                  <c:v>0.86038961038961</c:v>
                </c:pt>
                <c:pt idx="1193">
                  <c:v>0.861111111111111</c:v>
                </c:pt>
                <c:pt idx="1194">
                  <c:v>0.861832611832612</c:v>
                </c:pt>
                <c:pt idx="1195">
                  <c:v>0.862554112554113</c:v>
                </c:pt>
                <c:pt idx="1196">
                  <c:v>0.863275613275613</c:v>
                </c:pt>
                <c:pt idx="1197">
                  <c:v>0.863997113997114</c:v>
                </c:pt>
                <c:pt idx="1198">
                  <c:v>0.864718614718615</c:v>
                </c:pt>
                <c:pt idx="1199">
                  <c:v>0.865440115440116</c:v>
                </c:pt>
                <c:pt idx="1200">
                  <c:v>0.866161616161616</c:v>
                </c:pt>
                <c:pt idx="1201">
                  <c:v>0.866883116883117</c:v>
                </c:pt>
                <c:pt idx="1202">
                  <c:v>0.867604617604618</c:v>
                </c:pt>
                <c:pt idx="1203">
                  <c:v>0.868326118326118</c:v>
                </c:pt>
                <c:pt idx="1204">
                  <c:v>0.869047619047619</c:v>
                </c:pt>
                <c:pt idx="1205">
                  <c:v>0.86976911976912</c:v>
                </c:pt>
                <c:pt idx="1206">
                  <c:v>0.870490620490621</c:v>
                </c:pt>
                <c:pt idx="1207">
                  <c:v>0.871212121212121</c:v>
                </c:pt>
                <c:pt idx="1208">
                  <c:v>0.871933621933622</c:v>
                </c:pt>
                <c:pt idx="1209">
                  <c:v>0.872655122655123</c:v>
                </c:pt>
                <c:pt idx="1210">
                  <c:v>0.873376623376623</c:v>
                </c:pt>
                <c:pt idx="1211">
                  <c:v>0.874098124098124</c:v>
                </c:pt>
                <c:pt idx="1212">
                  <c:v>0.874819624819625</c:v>
                </c:pt>
                <c:pt idx="1213">
                  <c:v>0.875541125541126</c:v>
                </c:pt>
                <c:pt idx="1214">
                  <c:v>0.876262626262626</c:v>
                </c:pt>
                <c:pt idx="1215">
                  <c:v>0.876984126984127</c:v>
                </c:pt>
                <c:pt idx="1216">
                  <c:v>0.877705627705628</c:v>
                </c:pt>
                <c:pt idx="1217">
                  <c:v>0.878427128427128</c:v>
                </c:pt>
                <c:pt idx="1218">
                  <c:v>0.879148629148629</c:v>
                </c:pt>
                <c:pt idx="1219">
                  <c:v>0.87987012987013</c:v>
                </c:pt>
                <c:pt idx="1220">
                  <c:v>0.880591630591631</c:v>
                </c:pt>
                <c:pt idx="1221">
                  <c:v>0.881313131313131</c:v>
                </c:pt>
                <c:pt idx="1222">
                  <c:v>0.882034632034632</c:v>
                </c:pt>
                <c:pt idx="1223">
                  <c:v>0.882756132756133</c:v>
                </c:pt>
                <c:pt idx="1224">
                  <c:v>0.883477633477634</c:v>
                </c:pt>
                <c:pt idx="1225">
                  <c:v>0.884199134199134</c:v>
                </c:pt>
                <c:pt idx="1226">
                  <c:v>0.884920634920635</c:v>
                </c:pt>
                <c:pt idx="1227">
                  <c:v>0.885642135642136</c:v>
                </c:pt>
                <c:pt idx="1228">
                  <c:v>0.886363636363636</c:v>
                </c:pt>
                <c:pt idx="1229">
                  <c:v>0.887085137085137</c:v>
                </c:pt>
                <c:pt idx="1230">
                  <c:v>0.887806637806638</c:v>
                </c:pt>
                <c:pt idx="1231">
                  <c:v>0.888528138528139</c:v>
                </c:pt>
                <c:pt idx="1232">
                  <c:v>0.889249639249639</c:v>
                </c:pt>
                <c:pt idx="1233">
                  <c:v>0.88997113997114</c:v>
                </c:pt>
                <c:pt idx="1234">
                  <c:v>0.890692640692641</c:v>
                </c:pt>
                <c:pt idx="1235">
                  <c:v>0.891414141414141</c:v>
                </c:pt>
                <c:pt idx="1236">
                  <c:v>0.892135642135642</c:v>
                </c:pt>
                <c:pt idx="1237">
                  <c:v>0.892857142857143</c:v>
                </c:pt>
                <c:pt idx="1238">
                  <c:v>0.893578643578644</c:v>
                </c:pt>
                <c:pt idx="1239">
                  <c:v>0.894300144300144</c:v>
                </c:pt>
                <c:pt idx="1240">
                  <c:v>0.895021645021645</c:v>
                </c:pt>
                <c:pt idx="1241">
                  <c:v>0.895743145743146</c:v>
                </c:pt>
                <c:pt idx="1242">
                  <c:v>0.896464646464647</c:v>
                </c:pt>
                <c:pt idx="1243">
                  <c:v>0.897186147186147</c:v>
                </c:pt>
                <c:pt idx="1244">
                  <c:v>0.897907647907648</c:v>
                </c:pt>
                <c:pt idx="1245">
                  <c:v>0.898629148629149</c:v>
                </c:pt>
                <c:pt idx="1246">
                  <c:v>0.899350649350649</c:v>
                </c:pt>
                <c:pt idx="1247">
                  <c:v>0.90007215007215</c:v>
                </c:pt>
                <c:pt idx="1248">
                  <c:v>0.900793650793651</c:v>
                </c:pt>
                <c:pt idx="1249">
                  <c:v>0.901515151515152</c:v>
                </c:pt>
                <c:pt idx="1250">
                  <c:v>0.902236652236652</c:v>
                </c:pt>
                <c:pt idx="1251">
                  <c:v>0.902958152958153</c:v>
                </c:pt>
                <c:pt idx="1252">
                  <c:v>0.903679653679654</c:v>
                </c:pt>
                <c:pt idx="1253">
                  <c:v>0.904401154401154</c:v>
                </c:pt>
                <c:pt idx="1254">
                  <c:v>0.905122655122655</c:v>
                </c:pt>
                <c:pt idx="1255">
                  <c:v>0.905844155844156</c:v>
                </c:pt>
                <c:pt idx="1256">
                  <c:v>0.906565656565657</c:v>
                </c:pt>
                <c:pt idx="1257">
                  <c:v>0.907287157287157</c:v>
                </c:pt>
                <c:pt idx="1258">
                  <c:v>0.908008658008658</c:v>
                </c:pt>
                <c:pt idx="1259">
                  <c:v>0.908730158730159</c:v>
                </c:pt>
                <c:pt idx="1260">
                  <c:v>0.909451659451659</c:v>
                </c:pt>
                <c:pt idx="1261">
                  <c:v>0.91017316017316</c:v>
                </c:pt>
                <c:pt idx="1262">
                  <c:v>0.910894660894661</c:v>
                </c:pt>
                <c:pt idx="1263">
                  <c:v>0.911616161616162</c:v>
                </c:pt>
                <c:pt idx="1264">
                  <c:v>0.912337662337662</c:v>
                </c:pt>
                <c:pt idx="1265">
                  <c:v>0.913059163059163</c:v>
                </c:pt>
                <c:pt idx="1266">
                  <c:v>0.913780663780664</c:v>
                </c:pt>
                <c:pt idx="1267">
                  <c:v>0.914502164502165</c:v>
                </c:pt>
                <c:pt idx="1268">
                  <c:v>0.915223665223665</c:v>
                </c:pt>
                <c:pt idx="1269">
                  <c:v>0.915945165945166</c:v>
                </c:pt>
                <c:pt idx="1270">
                  <c:v>0.916666666666667</c:v>
                </c:pt>
                <c:pt idx="1271">
                  <c:v>0.917388167388167</c:v>
                </c:pt>
                <c:pt idx="1272">
                  <c:v>0.918109668109668</c:v>
                </c:pt>
                <c:pt idx="1273">
                  <c:v>0.918831168831169</c:v>
                </c:pt>
                <c:pt idx="1274">
                  <c:v>0.91955266955267</c:v>
                </c:pt>
                <c:pt idx="1275">
                  <c:v>0.92027417027417</c:v>
                </c:pt>
                <c:pt idx="1276">
                  <c:v>0.920995670995671</c:v>
                </c:pt>
                <c:pt idx="1277">
                  <c:v>0.921717171717172</c:v>
                </c:pt>
                <c:pt idx="1278">
                  <c:v>0.922438672438672</c:v>
                </c:pt>
                <c:pt idx="1279">
                  <c:v>0.923160173160173</c:v>
                </c:pt>
                <c:pt idx="1280">
                  <c:v>0.923881673881674</c:v>
                </c:pt>
                <c:pt idx="1281">
                  <c:v>0.924603174603175</c:v>
                </c:pt>
                <c:pt idx="1282">
                  <c:v>0.925324675324675</c:v>
                </c:pt>
                <c:pt idx="1283">
                  <c:v>0.926046176046176</c:v>
                </c:pt>
                <c:pt idx="1284">
                  <c:v>0.926767676767677</c:v>
                </c:pt>
                <c:pt idx="1285">
                  <c:v>0.927489177489178</c:v>
                </c:pt>
                <c:pt idx="1286">
                  <c:v>0.928210678210678</c:v>
                </c:pt>
                <c:pt idx="1287">
                  <c:v>0.928932178932179</c:v>
                </c:pt>
                <c:pt idx="1288">
                  <c:v>0.92965367965368</c:v>
                </c:pt>
                <c:pt idx="1289">
                  <c:v>0.93037518037518</c:v>
                </c:pt>
                <c:pt idx="1290">
                  <c:v>0.931096681096681</c:v>
                </c:pt>
                <c:pt idx="1291">
                  <c:v>0.931818181818182</c:v>
                </c:pt>
                <c:pt idx="1292">
                  <c:v>0.932539682539683</c:v>
                </c:pt>
                <c:pt idx="1293">
                  <c:v>0.933261183261183</c:v>
                </c:pt>
                <c:pt idx="1294">
                  <c:v>0.933982683982684</c:v>
                </c:pt>
                <c:pt idx="1295">
                  <c:v>0.934704184704185</c:v>
                </c:pt>
                <c:pt idx="1296">
                  <c:v>0.935425685425685</c:v>
                </c:pt>
                <c:pt idx="1297">
                  <c:v>0.936147186147186</c:v>
                </c:pt>
                <c:pt idx="1298">
                  <c:v>0.936868686868687</c:v>
                </c:pt>
                <c:pt idx="1299">
                  <c:v>0.937590187590188</c:v>
                </c:pt>
                <c:pt idx="1300">
                  <c:v>0.938311688311688</c:v>
                </c:pt>
                <c:pt idx="1301">
                  <c:v>0.939033189033189</c:v>
                </c:pt>
                <c:pt idx="1302">
                  <c:v>0.93975468975469</c:v>
                </c:pt>
                <c:pt idx="1303">
                  <c:v>0.940476190476191</c:v>
                </c:pt>
                <c:pt idx="1304">
                  <c:v>0.941197691197691</c:v>
                </c:pt>
                <c:pt idx="1305">
                  <c:v>0.941919191919192</c:v>
                </c:pt>
                <c:pt idx="1306">
                  <c:v>0.942640692640693</c:v>
                </c:pt>
                <c:pt idx="1307">
                  <c:v>0.943362193362193</c:v>
                </c:pt>
                <c:pt idx="1308">
                  <c:v>0.944083694083694</c:v>
                </c:pt>
                <c:pt idx="1309">
                  <c:v>0.944805194805195</c:v>
                </c:pt>
                <c:pt idx="1310">
                  <c:v>0.945526695526696</c:v>
                </c:pt>
                <c:pt idx="1311">
                  <c:v>0.946248196248196</c:v>
                </c:pt>
                <c:pt idx="1312">
                  <c:v>0.946969696969697</c:v>
                </c:pt>
                <c:pt idx="1313">
                  <c:v>0.947691197691198</c:v>
                </c:pt>
                <c:pt idx="1314">
                  <c:v>0.948412698412698</c:v>
                </c:pt>
                <c:pt idx="1315">
                  <c:v>0.949134199134199</c:v>
                </c:pt>
                <c:pt idx="1316">
                  <c:v>0.9498556998557</c:v>
                </c:pt>
                <c:pt idx="1317">
                  <c:v>0.950577200577201</c:v>
                </c:pt>
                <c:pt idx="1318">
                  <c:v>0.951298701298701</c:v>
                </c:pt>
                <c:pt idx="1319">
                  <c:v>0.952020202020202</c:v>
                </c:pt>
                <c:pt idx="1320">
                  <c:v>0.952741702741703</c:v>
                </c:pt>
                <c:pt idx="1321">
                  <c:v>0.953463203463204</c:v>
                </c:pt>
                <c:pt idx="1322">
                  <c:v>0.954184704184704</c:v>
                </c:pt>
                <c:pt idx="1323">
                  <c:v>0.954906204906205</c:v>
                </c:pt>
                <c:pt idx="1324">
                  <c:v>0.955627705627706</c:v>
                </c:pt>
                <c:pt idx="1325">
                  <c:v>0.956349206349206</c:v>
                </c:pt>
                <c:pt idx="1326">
                  <c:v>0.957070707070707</c:v>
                </c:pt>
                <c:pt idx="1327">
                  <c:v>0.957792207792208</c:v>
                </c:pt>
                <c:pt idx="1328">
                  <c:v>0.958513708513709</c:v>
                </c:pt>
                <c:pt idx="1329">
                  <c:v>0.959235209235209</c:v>
                </c:pt>
                <c:pt idx="1330">
                  <c:v>0.95995670995671</c:v>
                </c:pt>
                <c:pt idx="1331">
                  <c:v>0.960678210678211</c:v>
                </c:pt>
                <c:pt idx="1332">
                  <c:v>0.961399711399711</c:v>
                </c:pt>
                <c:pt idx="1333">
                  <c:v>0.962121212121212</c:v>
                </c:pt>
                <c:pt idx="1334">
                  <c:v>0.962842712842713</c:v>
                </c:pt>
                <c:pt idx="1335">
                  <c:v>0.963564213564214</c:v>
                </c:pt>
                <c:pt idx="1336">
                  <c:v>0.964285714285714</c:v>
                </c:pt>
                <c:pt idx="1337">
                  <c:v>0.965007215007215</c:v>
                </c:pt>
                <c:pt idx="1338">
                  <c:v>0.965728715728716</c:v>
                </c:pt>
                <c:pt idx="1339">
                  <c:v>0.966450216450216</c:v>
                </c:pt>
                <c:pt idx="1340">
                  <c:v>0.967171717171717</c:v>
                </c:pt>
                <c:pt idx="1341">
                  <c:v>0.967893217893218</c:v>
                </c:pt>
                <c:pt idx="1342">
                  <c:v>0.968614718614719</c:v>
                </c:pt>
                <c:pt idx="1343">
                  <c:v>0.969336219336219</c:v>
                </c:pt>
                <c:pt idx="1344">
                  <c:v>0.97005772005772</c:v>
                </c:pt>
                <c:pt idx="1345">
                  <c:v>0.970779220779221</c:v>
                </c:pt>
                <c:pt idx="1346">
                  <c:v>0.971500721500722</c:v>
                </c:pt>
                <c:pt idx="1347">
                  <c:v>0.972222222222222</c:v>
                </c:pt>
                <c:pt idx="1348">
                  <c:v>0.972943722943723</c:v>
                </c:pt>
                <c:pt idx="1349">
                  <c:v>0.973665223665224</c:v>
                </c:pt>
                <c:pt idx="1350">
                  <c:v>0.974386724386724</c:v>
                </c:pt>
                <c:pt idx="1351">
                  <c:v>0.975108225108225</c:v>
                </c:pt>
                <c:pt idx="1352">
                  <c:v>0.975829725829726</c:v>
                </c:pt>
                <c:pt idx="1353">
                  <c:v>0.976551226551227</c:v>
                </c:pt>
                <c:pt idx="1354">
                  <c:v>0.977272727272727</c:v>
                </c:pt>
                <c:pt idx="1355">
                  <c:v>0.977994227994228</c:v>
                </c:pt>
                <c:pt idx="1356">
                  <c:v>0.978715728715729</c:v>
                </c:pt>
                <c:pt idx="1357">
                  <c:v>0.979437229437229</c:v>
                </c:pt>
                <c:pt idx="1358">
                  <c:v>0.98015873015873</c:v>
                </c:pt>
                <c:pt idx="1359">
                  <c:v>0.980880230880231</c:v>
                </c:pt>
                <c:pt idx="1360">
                  <c:v>0.981601731601732</c:v>
                </c:pt>
                <c:pt idx="1361">
                  <c:v>0.982323232323232</c:v>
                </c:pt>
                <c:pt idx="1362">
                  <c:v>0.983044733044733</c:v>
                </c:pt>
                <c:pt idx="1363">
                  <c:v>0.983766233766234</c:v>
                </c:pt>
                <c:pt idx="1364">
                  <c:v>0.984487734487735</c:v>
                </c:pt>
                <c:pt idx="1365">
                  <c:v>0.985209235209235</c:v>
                </c:pt>
                <c:pt idx="1366">
                  <c:v>0.985930735930736</c:v>
                </c:pt>
                <c:pt idx="1367">
                  <c:v>0.986652236652237</c:v>
                </c:pt>
                <c:pt idx="1368">
                  <c:v>0.987373737373737</c:v>
                </c:pt>
                <c:pt idx="1369">
                  <c:v>0.988095238095238</c:v>
                </c:pt>
                <c:pt idx="1370">
                  <c:v>0.988816738816739</c:v>
                </c:pt>
                <c:pt idx="1371">
                  <c:v>0.98953823953824</c:v>
                </c:pt>
                <c:pt idx="1372">
                  <c:v>0.99025974025974</c:v>
                </c:pt>
                <c:pt idx="1373">
                  <c:v>0.990981240981241</c:v>
                </c:pt>
                <c:pt idx="1374">
                  <c:v>0.991702741702742</c:v>
                </c:pt>
                <c:pt idx="1375">
                  <c:v>0.992424242424242</c:v>
                </c:pt>
                <c:pt idx="1376">
                  <c:v>0.993145743145743</c:v>
                </c:pt>
                <c:pt idx="1377">
                  <c:v>0.993867243867244</c:v>
                </c:pt>
                <c:pt idx="1378">
                  <c:v>0.994588744588745</c:v>
                </c:pt>
                <c:pt idx="1379">
                  <c:v>0.995310245310245</c:v>
                </c:pt>
                <c:pt idx="1380">
                  <c:v>0.996031746031746</c:v>
                </c:pt>
                <c:pt idx="1381">
                  <c:v>0.996753246753247</c:v>
                </c:pt>
                <c:pt idx="1382">
                  <c:v>0.997474747474748</c:v>
                </c:pt>
                <c:pt idx="1383">
                  <c:v>0.998196248196248</c:v>
                </c:pt>
                <c:pt idx="1384">
                  <c:v>0.998917748917749</c:v>
                </c:pt>
                <c:pt idx="1385">
                  <c:v>0.99963924963925</c:v>
                </c:pt>
              </c:numCache>
            </c:numRef>
          </c:xVal>
          <c:yVal>
            <c:numRef>
              <c:f>'Residual Diagnostics'!$M$2:$M$1387</c:f>
              <c:numCache>
                <c:formatCode>0.0000</c:formatCode>
                <c:ptCount val="1386"/>
                <c:pt idx="0">
                  <c:v>0.000299086754376034</c:v>
                </c:pt>
                <c:pt idx="1">
                  <c:v>0.00112116258445339</c:v>
                </c:pt>
                <c:pt idx="2">
                  <c:v>0.00129870790087509</c:v>
                </c:pt>
                <c:pt idx="3">
                  <c:v>0.00204097334072921</c:v>
                </c:pt>
                <c:pt idx="4">
                  <c:v>0.00224939220394481</c:v>
                </c:pt>
                <c:pt idx="5">
                  <c:v>0.00227303961646463</c:v>
                </c:pt>
                <c:pt idx="6">
                  <c:v>0.00250007331132823</c:v>
                </c:pt>
                <c:pt idx="7">
                  <c:v>0.00302515186960472</c:v>
                </c:pt>
                <c:pt idx="8">
                  <c:v>0.00354069275754675</c:v>
                </c:pt>
                <c:pt idx="9">
                  <c:v>0.0048836840590815</c:v>
                </c:pt>
                <c:pt idx="10">
                  <c:v>0.00510994360171807</c:v>
                </c:pt>
                <c:pt idx="11">
                  <c:v>0.00571339293121772</c:v>
                </c:pt>
                <c:pt idx="12">
                  <c:v>0.00631470062595103</c:v>
                </c:pt>
                <c:pt idx="13">
                  <c:v>0.00635595815639062</c:v>
                </c:pt>
                <c:pt idx="14">
                  <c:v>0.00665925531298077</c:v>
                </c:pt>
                <c:pt idx="15">
                  <c:v>0.00816189988917272</c:v>
                </c:pt>
                <c:pt idx="16">
                  <c:v>0.00879446461137541</c:v>
                </c:pt>
                <c:pt idx="17">
                  <c:v>0.00923099102908725</c:v>
                </c:pt>
                <c:pt idx="18">
                  <c:v>0.0105259290146949</c:v>
                </c:pt>
                <c:pt idx="19">
                  <c:v>0.0106727379431466</c:v>
                </c:pt>
                <c:pt idx="20">
                  <c:v>0.0124013533298079</c:v>
                </c:pt>
                <c:pt idx="21">
                  <c:v>0.0128991464313115</c:v>
                </c:pt>
                <c:pt idx="22">
                  <c:v>0.0144362847168321</c:v>
                </c:pt>
                <c:pt idx="23">
                  <c:v>0.0160864276605144</c:v>
                </c:pt>
                <c:pt idx="24">
                  <c:v>0.016533816033878</c:v>
                </c:pt>
                <c:pt idx="25">
                  <c:v>0.0170451843576309</c:v>
                </c:pt>
                <c:pt idx="26">
                  <c:v>0.0187555279868779</c:v>
                </c:pt>
                <c:pt idx="27">
                  <c:v>0.0209598771424974</c:v>
                </c:pt>
                <c:pt idx="28">
                  <c:v>0.0221602802882458</c:v>
                </c:pt>
                <c:pt idx="29">
                  <c:v>0.0234115109442695</c:v>
                </c:pt>
                <c:pt idx="30">
                  <c:v>0.0244952001772118</c:v>
                </c:pt>
                <c:pt idx="31">
                  <c:v>0.0280359747298023</c:v>
                </c:pt>
                <c:pt idx="32">
                  <c:v>0.0288460912353158</c:v>
                </c:pt>
                <c:pt idx="33">
                  <c:v>0.0295637600703071</c:v>
                </c:pt>
                <c:pt idx="34">
                  <c:v>0.0298688025694612</c:v>
                </c:pt>
                <c:pt idx="35">
                  <c:v>0.0311384725124334</c:v>
                </c:pt>
                <c:pt idx="36">
                  <c:v>0.0315991098461156</c:v>
                </c:pt>
                <c:pt idx="37">
                  <c:v>0.0317726318114379</c:v>
                </c:pt>
                <c:pt idx="38">
                  <c:v>0.0325048063198037</c:v>
                </c:pt>
                <c:pt idx="39">
                  <c:v>0.0331405007718818</c:v>
                </c:pt>
                <c:pt idx="40">
                  <c:v>0.0344488981164084</c:v>
                </c:pt>
                <c:pt idx="41">
                  <c:v>0.0358444154121945</c:v>
                </c:pt>
                <c:pt idx="42">
                  <c:v>0.0361305389048553</c:v>
                </c:pt>
                <c:pt idx="43">
                  <c:v>0.0366146988180968</c:v>
                </c:pt>
                <c:pt idx="44">
                  <c:v>0.03700716101902</c:v>
                </c:pt>
                <c:pt idx="45">
                  <c:v>0.037688663651101</c:v>
                </c:pt>
                <c:pt idx="46">
                  <c:v>0.0412316131752433</c:v>
                </c:pt>
                <c:pt idx="47">
                  <c:v>0.0422828993967034</c:v>
                </c:pt>
                <c:pt idx="48">
                  <c:v>0.0423492700151002</c:v>
                </c:pt>
                <c:pt idx="49">
                  <c:v>0.0438262852492086</c:v>
                </c:pt>
                <c:pt idx="50">
                  <c:v>0.0440131369991832</c:v>
                </c:pt>
                <c:pt idx="51">
                  <c:v>0.0460544538793132</c:v>
                </c:pt>
                <c:pt idx="52">
                  <c:v>0.0476053217457336</c:v>
                </c:pt>
                <c:pt idx="53">
                  <c:v>0.0490145238030614</c:v>
                </c:pt>
                <c:pt idx="54">
                  <c:v>0.0490285082395423</c:v>
                </c:pt>
                <c:pt idx="55">
                  <c:v>0.0515808649082881</c:v>
                </c:pt>
                <c:pt idx="56">
                  <c:v>0.0518511843543258</c:v>
                </c:pt>
                <c:pt idx="57">
                  <c:v>0.0531481956607941</c:v>
                </c:pt>
                <c:pt idx="58">
                  <c:v>0.0533660335801616</c:v>
                </c:pt>
                <c:pt idx="59">
                  <c:v>0.0539723002462088</c:v>
                </c:pt>
                <c:pt idx="60">
                  <c:v>0.0540186921561449</c:v>
                </c:pt>
                <c:pt idx="61">
                  <c:v>0.0543951966608355</c:v>
                </c:pt>
                <c:pt idx="62">
                  <c:v>0.0545084335042254</c:v>
                </c:pt>
                <c:pt idx="63">
                  <c:v>0.0546038844062207</c:v>
                </c:pt>
                <c:pt idx="64">
                  <c:v>0.0555892976578475</c:v>
                </c:pt>
                <c:pt idx="65">
                  <c:v>0.0574111940909553</c:v>
                </c:pt>
                <c:pt idx="66">
                  <c:v>0.0575274556909991</c:v>
                </c:pt>
                <c:pt idx="67">
                  <c:v>0.0579133840291172</c:v>
                </c:pt>
                <c:pt idx="68">
                  <c:v>0.0579270729105444</c:v>
                </c:pt>
                <c:pt idx="69">
                  <c:v>0.0589543264985925</c:v>
                </c:pt>
                <c:pt idx="70">
                  <c:v>0.059351227879113</c:v>
                </c:pt>
                <c:pt idx="71">
                  <c:v>0.0596451153982731</c:v>
                </c:pt>
                <c:pt idx="72">
                  <c:v>0.0599383389077057</c:v>
                </c:pt>
                <c:pt idx="73">
                  <c:v>0.061056912636166</c:v>
                </c:pt>
                <c:pt idx="74">
                  <c:v>0.061183037036091</c:v>
                </c:pt>
                <c:pt idx="75">
                  <c:v>0.0626449993792684</c:v>
                </c:pt>
                <c:pt idx="76">
                  <c:v>0.0630627732933263</c:v>
                </c:pt>
                <c:pt idx="77">
                  <c:v>0.063254241593779</c:v>
                </c:pt>
                <c:pt idx="78">
                  <c:v>0.063294155544537</c:v>
                </c:pt>
                <c:pt idx="79">
                  <c:v>0.063499638520439</c:v>
                </c:pt>
                <c:pt idx="80">
                  <c:v>0.063575372076116</c:v>
                </c:pt>
                <c:pt idx="81">
                  <c:v>0.0639990857080747</c:v>
                </c:pt>
                <c:pt idx="82">
                  <c:v>0.0642488794109379</c:v>
                </c:pt>
                <c:pt idx="83">
                  <c:v>0.0645138945290276</c:v>
                </c:pt>
                <c:pt idx="84">
                  <c:v>0.0656366489350452</c:v>
                </c:pt>
                <c:pt idx="85">
                  <c:v>0.0663588302008796</c:v>
                </c:pt>
                <c:pt idx="86">
                  <c:v>0.0671204255571771</c:v>
                </c:pt>
                <c:pt idx="87">
                  <c:v>0.0679022302339199</c:v>
                </c:pt>
                <c:pt idx="88">
                  <c:v>0.0687291621254051</c:v>
                </c:pt>
                <c:pt idx="89">
                  <c:v>0.0689686002818889</c:v>
                </c:pt>
                <c:pt idx="90">
                  <c:v>0.0697887383450409</c:v>
                </c:pt>
                <c:pt idx="91">
                  <c:v>0.071335605316714</c:v>
                </c:pt>
                <c:pt idx="92">
                  <c:v>0.0720277932089047</c:v>
                </c:pt>
                <c:pt idx="93">
                  <c:v>0.0722517283202946</c:v>
                </c:pt>
                <c:pt idx="94">
                  <c:v>0.0722677451533338</c:v>
                </c:pt>
                <c:pt idx="95">
                  <c:v>0.0723974660020362</c:v>
                </c:pt>
                <c:pt idx="96">
                  <c:v>0.0724020709366982</c:v>
                </c:pt>
                <c:pt idx="97">
                  <c:v>0.0730533031091692</c:v>
                </c:pt>
                <c:pt idx="98">
                  <c:v>0.073217040301646</c:v>
                </c:pt>
                <c:pt idx="99">
                  <c:v>0.0732335315756831</c:v>
                </c:pt>
                <c:pt idx="100">
                  <c:v>0.0742727258134249</c:v>
                </c:pt>
                <c:pt idx="101">
                  <c:v>0.0746830904200574</c:v>
                </c:pt>
                <c:pt idx="102">
                  <c:v>0.0749348567154521</c:v>
                </c:pt>
                <c:pt idx="103">
                  <c:v>0.0780006571318317</c:v>
                </c:pt>
                <c:pt idx="104">
                  <c:v>0.0783318784800229</c:v>
                </c:pt>
                <c:pt idx="105">
                  <c:v>0.0788278859095339</c:v>
                </c:pt>
                <c:pt idx="106">
                  <c:v>0.0793438487035047</c:v>
                </c:pt>
                <c:pt idx="107">
                  <c:v>0.0799644815721388</c:v>
                </c:pt>
                <c:pt idx="108">
                  <c:v>0.080824801639967</c:v>
                </c:pt>
                <c:pt idx="109">
                  <c:v>0.0809427778010567</c:v>
                </c:pt>
                <c:pt idx="110">
                  <c:v>0.0814226545587945</c:v>
                </c:pt>
                <c:pt idx="111">
                  <c:v>0.0820450820026708</c:v>
                </c:pt>
                <c:pt idx="112">
                  <c:v>0.0823589169447452</c:v>
                </c:pt>
                <c:pt idx="113">
                  <c:v>0.0834297014671388</c:v>
                </c:pt>
                <c:pt idx="114">
                  <c:v>0.0835392269821971</c:v>
                </c:pt>
                <c:pt idx="115">
                  <c:v>0.0835686075124728</c:v>
                </c:pt>
                <c:pt idx="116">
                  <c:v>0.0837223581922241</c:v>
                </c:pt>
                <c:pt idx="117">
                  <c:v>0.0842113538730917</c:v>
                </c:pt>
                <c:pt idx="118">
                  <c:v>0.084956352332328</c:v>
                </c:pt>
                <c:pt idx="119">
                  <c:v>0.0858277013548047</c:v>
                </c:pt>
                <c:pt idx="120">
                  <c:v>0.087412519051793</c:v>
                </c:pt>
                <c:pt idx="121">
                  <c:v>0.0886376848574765</c:v>
                </c:pt>
                <c:pt idx="122">
                  <c:v>0.0889951866869524</c:v>
                </c:pt>
                <c:pt idx="123">
                  <c:v>0.0897244082419944</c:v>
                </c:pt>
                <c:pt idx="124">
                  <c:v>0.0903949072845448</c:v>
                </c:pt>
                <c:pt idx="125">
                  <c:v>0.0932356045088721</c:v>
                </c:pt>
                <c:pt idx="126">
                  <c:v>0.0934692561950068</c:v>
                </c:pt>
                <c:pt idx="127">
                  <c:v>0.0936673298652095</c:v>
                </c:pt>
                <c:pt idx="128">
                  <c:v>0.0970914315204109</c:v>
                </c:pt>
                <c:pt idx="129">
                  <c:v>0.0978429941235539</c:v>
                </c:pt>
                <c:pt idx="130">
                  <c:v>0.0982412620725489</c:v>
                </c:pt>
                <c:pt idx="131">
                  <c:v>0.0990661844539661</c:v>
                </c:pt>
                <c:pt idx="132">
                  <c:v>0.0993576963343194</c:v>
                </c:pt>
                <c:pt idx="133">
                  <c:v>0.0997880510797066</c:v>
                </c:pt>
                <c:pt idx="134">
                  <c:v>0.0999310784897719</c:v>
                </c:pt>
                <c:pt idx="135">
                  <c:v>0.100036809703213</c:v>
                </c:pt>
                <c:pt idx="136">
                  <c:v>0.100454509598248</c:v>
                </c:pt>
                <c:pt idx="137">
                  <c:v>0.102375172360833</c:v>
                </c:pt>
                <c:pt idx="138">
                  <c:v>0.102660767734116</c:v>
                </c:pt>
                <c:pt idx="139">
                  <c:v>0.102872828734528</c:v>
                </c:pt>
                <c:pt idx="140">
                  <c:v>0.103333212713172</c:v>
                </c:pt>
                <c:pt idx="141">
                  <c:v>0.103381002615256</c:v>
                </c:pt>
                <c:pt idx="142">
                  <c:v>0.103785132098219</c:v>
                </c:pt>
                <c:pt idx="143">
                  <c:v>0.105135785102685</c:v>
                </c:pt>
                <c:pt idx="144">
                  <c:v>0.106170253783367</c:v>
                </c:pt>
                <c:pt idx="145">
                  <c:v>0.106910005859387</c:v>
                </c:pt>
                <c:pt idx="146">
                  <c:v>0.107256862091489</c:v>
                </c:pt>
                <c:pt idx="147">
                  <c:v>0.107916980562878</c:v>
                </c:pt>
                <c:pt idx="148">
                  <c:v>0.108054484902753</c:v>
                </c:pt>
                <c:pt idx="149">
                  <c:v>0.110672225346429</c:v>
                </c:pt>
                <c:pt idx="150">
                  <c:v>0.111354373170041</c:v>
                </c:pt>
                <c:pt idx="151">
                  <c:v>0.112503271875659</c:v>
                </c:pt>
                <c:pt idx="152">
                  <c:v>0.112682737541223</c:v>
                </c:pt>
                <c:pt idx="153">
                  <c:v>0.113567717576445</c:v>
                </c:pt>
                <c:pt idx="154">
                  <c:v>0.114376066037533</c:v>
                </c:pt>
                <c:pt idx="155">
                  <c:v>0.114427169367289</c:v>
                </c:pt>
                <c:pt idx="156">
                  <c:v>0.114746488923846</c:v>
                </c:pt>
                <c:pt idx="157">
                  <c:v>0.116391859476468</c:v>
                </c:pt>
                <c:pt idx="158">
                  <c:v>0.117464924988087</c:v>
                </c:pt>
                <c:pt idx="159">
                  <c:v>0.117688745792884</c:v>
                </c:pt>
                <c:pt idx="160">
                  <c:v>0.117888597589077</c:v>
                </c:pt>
                <c:pt idx="161">
                  <c:v>0.11889809813056</c:v>
                </c:pt>
                <c:pt idx="162">
                  <c:v>0.119778222942374</c:v>
                </c:pt>
                <c:pt idx="163">
                  <c:v>0.120801922724581</c:v>
                </c:pt>
                <c:pt idx="164">
                  <c:v>0.120875210766384</c:v>
                </c:pt>
                <c:pt idx="165">
                  <c:v>0.120903373153919</c:v>
                </c:pt>
                <c:pt idx="166">
                  <c:v>0.121725312127486</c:v>
                </c:pt>
                <c:pt idx="167">
                  <c:v>0.122501687425014</c:v>
                </c:pt>
                <c:pt idx="168">
                  <c:v>0.122610495508118</c:v>
                </c:pt>
                <c:pt idx="169">
                  <c:v>0.122684644226657</c:v>
                </c:pt>
                <c:pt idx="170">
                  <c:v>0.122997693460923</c:v>
                </c:pt>
                <c:pt idx="171">
                  <c:v>0.12322999727377</c:v>
                </c:pt>
                <c:pt idx="172">
                  <c:v>0.123325802961261</c:v>
                </c:pt>
                <c:pt idx="173">
                  <c:v>0.124409940100768</c:v>
                </c:pt>
                <c:pt idx="174">
                  <c:v>0.124641270240128</c:v>
                </c:pt>
                <c:pt idx="175">
                  <c:v>0.125338985924479</c:v>
                </c:pt>
                <c:pt idx="176">
                  <c:v>0.125905569047133</c:v>
                </c:pt>
                <c:pt idx="177">
                  <c:v>0.126649299200735</c:v>
                </c:pt>
                <c:pt idx="178">
                  <c:v>0.127269775886069</c:v>
                </c:pt>
                <c:pt idx="179">
                  <c:v>0.127924554230605</c:v>
                </c:pt>
                <c:pt idx="180">
                  <c:v>0.128165006761323</c:v>
                </c:pt>
                <c:pt idx="181">
                  <c:v>0.128454101891377</c:v>
                </c:pt>
                <c:pt idx="182">
                  <c:v>0.128620002169007</c:v>
                </c:pt>
                <c:pt idx="183">
                  <c:v>0.128657868623875</c:v>
                </c:pt>
                <c:pt idx="184">
                  <c:v>0.129636350236398</c:v>
                </c:pt>
                <c:pt idx="185">
                  <c:v>0.129687356177139</c:v>
                </c:pt>
                <c:pt idx="186">
                  <c:v>0.130732507714921</c:v>
                </c:pt>
                <c:pt idx="187">
                  <c:v>0.131266562861547</c:v>
                </c:pt>
                <c:pt idx="188">
                  <c:v>0.131778716203229</c:v>
                </c:pt>
                <c:pt idx="189">
                  <c:v>0.132249956555362</c:v>
                </c:pt>
                <c:pt idx="190">
                  <c:v>0.133747788067391</c:v>
                </c:pt>
                <c:pt idx="191">
                  <c:v>0.135816616452433</c:v>
                </c:pt>
                <c:pt idx="192">
                  <c:v>0.137902948957313</c:v>
                </c:pt>
                <c:pt idx="193">
                  <c:v>0.138447852963408</c:v>
                </c:pt>
                <c:pt idx="194">
                  <c:v>0.139058070472851</c:v>
                </c:pt>
                <c:pt idx="195">
                  <c:v>0.139600043445485</c:v>
                </c:pt>
                <c:pt idx="196">
                  <c:v>0.139841797826335</c:v>
                </c:pt>
                <c:pt idx="197">
                  <c:v>0.140713247548235</c:v>
                </c:pt>
                <c:pt idx="198">
                  <c:v>0.141403662523813</c:v>
                </c:pt>
                <c:pt idx="199">
                  <c:v>0.142536448177191</c:v>
                </c:pt>
                <c:pt idx="200">
                  <c:v>0.142855455876681</c:v>
                </c:pt>
                <c:pt idx="201">
                  <c:v>0.143174073560507</c:v>
                </c:pt>
                <c:pt idx="202">
                  <c:v>0.143484476945622</c:v>
                </c:pt>
                <c:pt idx="203">
                  <c:v>0.143747663936355</c:v>
                </c:pt>
                <c:pt idx="204">
                  <c:v>0.144532719859588</c:v>
                </c:pt>
                <c:pt idx="205">
                  <c:v>0.144655020349576</c:v>
                </c:pt>
                <c:pt idx="206">
                  <c:v>0.14518641447336</c:v>
                </c:pt>
                <c:pt idx="207">
                  <c:v>0.146008755654639</c:v>
                </c:pt>
                <c:pt idx="208">
                  <c:v>0.146635954325311</c:v>
                </c:pt>
                <c:pt idx="209">
                  <c:v>0.146856685738406</c:v>
                </c:pt>
                <c:pt idx="210">
                  <c:v>0.14715989704224</c:v>
                </c:pt>
                <c:pt idx="211">
                  <c:v>0.148387725981417</c:v>
                </c:pt>
                <c:pt idx="212">
                  <c:v>0.148420742992655</c:v>
                </c:pt>
                <c:pt idx="213">
                  <c:v>0.148477453030873</c:v>
                </c:pt>
                <c:pt idx="214">
                  <c:v>0.148600251246283</c:v>
                </c:pt>
                <c:pt idx="215">
                  <c:v>0.15047107375049</c:v>
                </c:pt>
                <c:pt idx="216">
                  <c:v>0.151688853898844</c:v>
                </c:pt>
                <c:pt idx="217">
                  <c:v>0.153043476687897</c:v>
                </c:pt>
                <c:pt idx="218">
                  <c:v>0.153236976816693</c:v>
                </c:pt>
                <c:pt idx="219">
                  <c:v>0.153939268557575</c:v>
                </c:pt>
                <c:pt idx="220">
                  <c:v>0.156269197407172</c:v>
                </c:pt>
                <c:pt idx="221">
                  <c:v>0.156461407915018</c:v>
                </c:pt>
                <c:pt idx="222">
                  <c:v>0.156753351873181</c:v>
                </c:pt>
                <c:pt idx="223">
                  <c:v>0.156918443784352</c:v>
                </c:pt>
                <c:pt idx="224">
                  <c:v>0.156953580037213</c:v>
                </c:pt>
                <c:pt idx="225">
                  <c:v>0.157831875233749</c:v>
                </c:pt>
                <c:pt idx="226">
                  <c:v>0.158588037922878</c:v>
                </c:pt>
                <c:pt idx="227">
                  <c:v>0.160309488083668</c:v>
                </c:pt>
                <c:pt idx="228">
                  <c:v>0.161949322277907</c:v>
                </c:pt>
                <c:pt idx="229">
                  <c:v>0.162047058646559</c:v>
                </c:pt>
                <c:pt idx="230">
                  <c:v>0.163642181570278</c:v>
                </c:pt>
                <c:pt idx="231">
                  <c:v>0.163886534693061</c:v>
                </c:pt>
                <c:pt idx="232">
                  <c:v>0.164242809876326</c:v>
                </c:pt>
                <c:pt idx="233">
                  <c:v>0.16435602148154</c:v>
                </c:pt>
                <c:pt idx="234">
                  <c:v>0.165273836083269</c:v>
                </c:pt>
                <c:pt idx="235">
                  <c:v>0.166210788751411</c:v>
                </c:pt>
                <c:pt idx="236">
                  <c:v>0.168504470801235</c:v>
                </c:pt>
                <c:pt idx="237">
                  <c:v>0.171357610990142</c:v>
                </c:pt>
                <c:pt idx="238">
                  <c:v>0.171564980676257</c:v>
                </c:pt>
                <c:pt idx="239">
                  <c:v>0.171946431414771</c:v>
                </c:pt>
                <c:pt idx="240">
                  <c:v>0.172103048827723</c:v>
                </c:pt>
                <c:pt idx="241">
                  <c:v>0.172265006236881</c:v>
                </c:pt>
                <c:pt idx="242">
                  <c:v>0.172294802600198</c:v>
                </c:pt>
                <c:pt idx="243">
                  <c:v>0.172642076172465</c:v>
                </c:pt>
                <c:pt idx="244">
                  <c:v>0.172731839434085</c:v>
                </c:pt>
                <c:pt idx="245">
                  <c:v>0.172989249545032</c:v>
                </c:pt>
                <c:pt idx="246">
                  <c:v>0.173837569550603</c:v>
                </c:pt>
                <c:pt idx="247">
                  <c:v>0.173927078142482</c:v>
                </c:pt>
                <c:pt idx="248">
                  <c:v>0.175356413426109</c:v>
                </c:pt>
                <c:pt idx="249">
                  <c:v>0.175804128609401</c:v>
                </c:pt>
                <c:pt idx="250">
                  <c:v>0.175886384788654</c:v>
                </c:pt>
                <c:pt idx="251">
                  <c:v>0.176758614772137</c:v>
                </c:pt>
                <c:pt idx="252">
                  <c:v>0.177766895678415</c:v>
                </c:pt>
                <c:pt idx="253">
                  <c:v>0.179002589252947</c:v>
                </c:pt>
                <c:pt idx="254">
                  <c:v>0.179424263023053</c:v>
                </c:pt>
                <c:pt idx="255">
                  <c:v>0.179776011419283</c:v>
                </c:pt>
                <c:pt idx="256">
                  <c:v>0.181539461310648</c:v>
                </c:pt>
                <c:pt idx="257">
                  <c:v>0.182154049391415</c:v>
                </c:pt>
                <c:pt idx="258">
                  <c:v>0.184050847643697</c:v>
                </c:pt>
                <c:pt idx="259">
                  <c:v>0.184468062280328</c:v>
                </c:pt>
                <c:pt idx="260">
                  <c:v>0.184652002519697</c:v>
                </c:pt>
                <c:pt idx="261">
                  <c:v>0.18704206426557</c:v>
                </c:pt>
                <c:pt idx="262">
                  <c:v>0.188175179826643</c:v>
                </c:pt>
                <c:pt idx="263">
                  <c:v>0.188193018025011</c:v>
                </c:pt>
                <c:pt idx="264">
                  <c:v>0.188210225520689</c:v>
                </c:pt>
                <c:pt idx="265">
                  <c:v>0.188223476787171</c:v>
                </c:pt>
                <c:pt idx="266">
                  <c:v>0.188823348165547</c:v>
                </c:pt>
                <c:pt idx="267">
                  <c:v>0.189329151585722</c:v>
                </c:pt>
                <c:pt idx="268">
                  <c:v>0.189336917910252</c:v>
                </c:pt>
                <c:pt idx="269">
                  <c:v>0.191219756219406</c:v>
                </c:pt>
                <c:pt idx="270">
                  <c:v>0.191717080377341</c:v>
                </c:pt>
                <c:pt idx="271">
                  <c:v>0.192562917857733</c:v>
                </c:pt>
                <c:pt idx="272">
                  <c:v>0.192806302245035</c:v>
                </c:pt>
                <c:pt idx="273">
                  <c:v>0.192867647376714</c:v>
                </c:pt>
                <c:pt idx="274">
                  <c:v>0.193044866974581</c:v>
                </c:pt>
                <c:pt idx="275">
                  <c:v>0.194444400152847</c:v>
                </c:pt>
                <c:pt idx="276">
                  <c:v>0.19523032217608</c:v>
                </c:pt>
                <c:pt idx="277">
                  <c:v>0.195273906533215</c:v>
                </c:pt>
                <c:pt idx="278">
                  <c:v>0.195487717579954</c:v>
                </c:pt>
                <c:pt idx="279">
                  <c:v>0.196451538725117</c:v>
                </c:pt>
                <c:pt idx="280">
                  <c:v>0.196847697527583</c:v>
                </c:pt>
                <c:pt idx="281">
                  <c:v>0.198257621200715</c:v>
                </c:pt>
                <c:pt idx="282">
                  <c:v>0.198303136342025</c:v>
                </c:pt>
                <c:pt idx="283">
                  <c:v>0.198698414245326</c:v>
                </c:pt>
                <c:pt idx="284">
                  <c:v>0.199106763841732</c:v>
                </c:pt>
                <c:pt idx="285">
                  <c:v>0.199540357318416</c:v>
                </c:pt>
                <c:pt idx="286">
                  <c:v>0.200336576698337</c:v>
                </c:pt>
                <c:pt idx="287">
                  <c:v>0.201715149494498</c:v>
                </c:pt>
                <c:pt idx="288">
                  <c:v>0.202602677958433</c:v>
                </c:pt>
                <c:pt idx="289">
                  <c:v>0.203032367156857</c:v>
                </c:pt>
                <c:pt idx="290">
                  <c:v>0.203468968649183</c:v>
                </c:pt>
                <c:pt idx="291">
                  <c:v>0.20631677761421</c:v>
                </c:pt>
                <c:pt idx="292">
                  <c:v>0.206990406665792</c:v>
                </c:pt>
                <c:pt idx="293">
                  <c:v>0.207422541040197</c:v>
                </c:pt>
                <c:pt idx="294">
                  <c:v>0.207607276543801</c:v>
                </c:pt>
                <c:pt idx="295">
                  <c:v>0.209375163902362</c:v>
                </c:pt>
                <c:pt idx="296">
                  <c:v>0.210021727367652</c:v>
                </c:pt>
                <c:pt idx="297">
                  <c:v>0.210868067561097</c:v>
                </c:pt>
                <c:pt idx="298">
                  <c:v>0.21308052188961</c:v>
                </c:pt>
                <c:pt idx="299">
                  <c:v>0.213320787178739</c:v>
                </c:pt>
                <c:pt idx="300">
                  <c:v>0.21335258432747</c:v>
                </c:pt>
                <c:pt idx="301">
                  <c:v>0.213654492049167</c:v>
                </c:pt>
                <c:pt idx="302">
                  <c:v>0.214145466992209</c:v>
                </c:pt>
                <c:pt idx="303">
                  <c:v>0.214270116406804</c:v>
                </c:pt>
                <c:pt idx="304">
                  <c:v>0.214904837792126</c:v>
                </c:pt>
                <c:pt idx="305">
                  <c:v>0.215183183902639</c:v>
                </c:pt>
                <c:pt idx="306">
                  <c:v>0.217656848129364</c:v>
                </c:pt>
                <c:pt idx="307">
                  <c:v>0.218759825682488</c:v>
                </c:pt>
                <c:pt idx="308">
                  <c:v>0.219755010244875</c:v>
                </c:pt>
                <c:pt idx="309">
                  <c:v>0.219765286370814</c:v>
                </c:pt>
                <c:pt idx="310">
                  <c:v>0.219944087647588</c:v>
                </c:pt>
                <c:pt idx="311">
                  <c:v>0.220721291771487</c:v>
                </c:pt>
                <c:pt idx="312">
                  <c:v>0.22096963101856</c:v>
                </c:pt>
                <c:pt idx="313">
                  <c:v>0.221668586388664</c:v>
                </c:pt>
                <c:pt idx="314">
                  <c:v>0.222869959287172</c:v>
                </c:pt>
                <c:pt idx="315">
                  <c:v>0.223605709543628</c:v>
                </c:pt>
                <c:pt idx="316">
                  <c:v>0.224322389078908</c:v>
                </c:pt>
                <c:pt idx="317">
                  <c:v>0.225133727679229</c:v>
                </c:pt>
                <c:pt idx="318">
                  <c:v>0.225901346539433</c:v>
                </c:pt>
                <c:pt idx="319">
                  <c:v>0.22632614082977</c:v>
                </c:pt>
                <c:pt idx="320">
                  <c:v>0.226612463308626</c:v>
                </c:pt>
                <c:pt idx="321">
                  <c:v>0.226625005717715</c:v>
                </c:pt>
                <c:pt idx="322">
                  <c:v>0.227553212155195</c:v>
                </c:pt>
                <c:pt idx="323">
                  <c:v>0.229317077672709</c:v>
                </c:pt>
                <c:pt idx="324">
                  <c:v>0.229347487179681</c:v>
                </c:pt>
                <c:pt idx="325">
                  <c:v>0.230601353687766</c:v>
                </c:pt>
                <c:pt idx="326">
                  <c:v>0.230733878390018</c:v>
                </c:pt>
                <c:pt idx="327">
                  <c:v>0.232473126262217</c:v>
                </c:pt>
                <c:pt idx="328">
                  <c:v>0.233968154558686</c:v>
                </c:pt>
                <c:pt idx="329">
                  <c:v>0.234098071278709</c:v>
                </c:pt>
                <c:pt idx="330">
                  <c:v>0.234324146616856</c:v>
                </c:pt>
                <c:pt idx="331">
                  <c:v>0.234382508981459</c:v>
                </c:pt>
                <c:pt idx="332">
                  <c:v>0.235803348801668</c:v>
                </c:pt>
                <c:pt idx="333">
                  <c:v>0.237056944917906</c:v>
                </c:pt>
                <c:pt idx="334">
                  <c:v>0.23720609153058</c:v>
                </c:pt>
                <c:pt idx="335">
                  <c:v>0.238368808013458</c:v>
                </c:pt>
                <c:pt idx="336">
                  <c:v>0.239957916992762</c:v>
                </c:pt>
                <c:pt idx="337">
                  <c:v>0.239978463782327</c:v>
                </c:pt>
                <c:pt idx="338">
                  <c:v>0.240636690809276</c:v>
                </c:pt>
                <c:pt idx="339">
                  <c:v>0.240721835982996</c:v>
                </c:pt>
                <c:pt idx="340">
                  <c:v>0.241430435175185</c:v>
                </c:pt>
                <c:pt idx="341">
                  <c:v>0.241546301877593</c:v>
                </c:pt>
                <c:pt idx="342">
                  <c:v>0.243748783786391</c:v>
                </c:pt>
                <c:pt idx="343">
                  <c:v>0.243925566772803</c:v>
                </c:pt>
                <c:pt idx="344">
                  <c:v>0.243981351567633</c:v>
                </c:pt>
                <c:pt idx="345">
                  <c:v>0.24482288022435</c:v>
                </c:pt>
                <c:pt idx="346">
                  <c:v>0.24592726460634</c:v>
                </c:pt>
                <c:pt idx="347">
                  <c:v>0.246982129266622</c:v>
                </c:pt>
                <c:pt idx="348">
                  <c:v>0.247679272805853</c:v>
                </c:pt>
                <c:pt idx="349">
                  <c:v>0.247744549860562</c:v>
                </c:pt>
                <c:pt idx="350">
                  <c:v>0.248182232423276</c:v>
                </c:pt>
                <c:pt idx="351">
                  <c:v>0.248620959895128</c:v>
                </c:pt>
                <c:pt idx="352">
                  <c:v>0.248637980602402</c:v>
                </c:pt>
                <c:pt idx="353">
                  <c:v>0.24928183091674</c:v>
                </c:pt>
                <c:pt idx="354">
                  <c:v>0.249685682425116</c:v>
                </c:pt>
                <c:pt idx="355">
                  <c:v>0.249826389355358</c:v>
                </c:pt>
                <c:pt idx="356">
                  <c:v>0.250632508472083</c:v>
                </c:pt>
                <c:pt idx="357">
                  <c:v>0.251156241118404</c:v>
                </c:pt>
                <c:pt idx="358">
                  <c:v>0.254682176909785</c:v>
                </c:pt>
                <c:pt idx="359">
                  <c:v>0.255562365066149</c:v>
                </c:pt>
                <c:pt idx="360">
                  <c:v>0.255843372777231</c:v>
                </c:pt>
                <c:pt idx="361">
                  <c:v>0.256852546049741</c:v>
                </c:pt>
                <c:pt idx="362">
                  <c:v>0.257141939705859</c:v>
                </c:pt>
                <c:pt idx="363">
                  <c:v>0.257589337767251</c:v>
                </c:pt>
                <c:pt idx="364">
                  <c:v>0.257773976565203</c:v>
                </c:pt>
                <c:pt idx="365">
                  <c:v>0.259432184287889</c:v>
                </c:pt>
                <c:pt idx="366">
                  <c:v>0.259944541282892</c:v>
                </c:pt>
                <c:pt idx="367">
                  <c:v>0.259990590785101</c:v>
                </c:pt>
                <c:pt idx="368">
                  <c:v>0.260148041324979</c:v>
                </c:pt>
                <c:pt idx="369">
                  <c:v>0.260600634282179</c:v>
                </c:pt>
                <c:pt idx="370">
                  <c:v>0.261681297919979</c:v>
                </c:pt>
                <c:pt idx="371">
                  <c:v>0.262573385640422</c:v>
                </c:pt>
                <c:pt idx="372">
                  <c:v>0.264023378711974</c:v>
                </c:pt>
                <c:pt idx="373">
                  <c:v>0.264493706249207</c:v>
                </c:pt>
                <c:pt idx="374">
                  <c:v>0.265045590223881</c:v>
                </c:pt>
                <c:pt idx="375">
                  <c:v>0.267387689276887</c:v>
                </c:pt>
                <c:pt idx="376">
                  <c:v>0.267417751384115</c:v>
                </c:pt>
                <c:pt idx="377">
                  <c:v>0.269944524246766</c:v>
                </c:pt>
                <c:pt idx="378">
                  <c:v>0.270104716583642</c:v>
                </c:pt>
                <c:pt idx="379">
                  <c:v>0.271429430618584</c:v>
                </c:pt>
                <c:pt idx="380">
                  <c:v>0.272305413432923</c:v>
                </c:pt>
                <c:pt idx="381">
                  <c:v>0.272705514803224</c:v>
                </c:pt>
                <c:pt idx="382">
                  <c:v>0.27276613268311</c:v>
                </c:pt>
                <c:pt idx="383">
                  <c:v>0.272787706867955</c:v>
                </c:pt>
                <c:pt idx="384">
                  <c:v>0.273052120301593</c:v>
                </c:pt>
                <c:pt idx="385">
                  <c:v>0.273467566235874</c:v>
                </c:pt>
                <c:pt idx="386">
                  <c:v>0.273493566375841</c:v>
                </c:pt>
                <c:pt idx="387">
                  <c:v>0.273552873876971</c:v>
                </c:pt>
                <c:pt idx="388">
                  <c:v>0.274405678299626</c:v>
                </c:pt>
                <c:pt idx="389">
                  <c:v>0.276606275736946</c:v>
                </c:pt>
                <c:pt idx="390">
                  <c:v>0.279870820101711</c:v>
                </c:pt>
                <c:pt idx="391">
                  <c:v>0.282712313820412</c:v>
                </c:pt>
                <c:pt idx="392">
                  <c:v>0.283498897833442</c:v>
                </c:pt>
                <c:pt idx="393">
                  <c:v>0.283630516082489</c:v>
                </c:pt>
                <c:pt idx="394">
                  <c:v>0.283748988621103</c:v>
                </c:pt>
                <c:pt idx="395">
                  <c:v>0.284008119383126</c:v>
                </c:pt>
                <c:pt idx="396">
                  <c:v>0.284694480543597</c:v>
                </c:pt>
                <c:pt idx="397">
                  <c:v>0.285434280564255</c:v>
                </c:pt>
                <c:pt idx="398">
                  <c:v>0.286160213041747</c:v>
                </c:pt>
                <c:pt idx="399">
                  <c:v>0.286989350217999</c:v>
                </c:pt>
                <c:pt idx="400">
                  <c:v>0.287138497777823</c:v>
                </c:pt>
                <c:pt idx="401">
                  <c:v>0.288987949506503</c:v>
                </c:pt>
                <c:pt idx="402">
                  <c:v>0.28948681234832</c:v>
                </c:pt>
                <c:pt idx="403">
                  <c:v>0.28977382243052</c:v>
                </c:pt>
                <c:pt idx="404">
                  <c:v>0.290151119639314</c:v>
                </c:pt>
                <c:pt idx="405">
                  <c:v>0.291635909530031</c:v>
                </c:pt>
                <c:pt idx="406">
                  <c:v>0.291959505286089</c:v>
                </c:pt>
                <c:pt idx="407">
                  <c:v>0.292120152112637</c:v>
                </c:pt>
                <c:pt idx="408">
                  <c:v>0.293023665736495</c:v>
                </c:pt>
                <c:pt idx="409">
                  <c:v>0.294711412805768</c:v>
                </c:pt>
                <c:pt idx="410">
                  <c:v>0.295119962773169</c:v>
                </c:pt>
                <c:pt idx="411">
                  <c:v>0.295894576022405</c:v>
                </c:pt>
                <c:pt idx="412">
                  <c:v>0.296087521237859</c:v>
                </c:pt>
                <c:pt idx="413">
                  <c:v>0.297029821253898</c:v>
                </c:pt>
                <c:pt idx="414">
                  <c:v>0.298159228625924</c:v>
                </c:pt>
                <c:pt idx="415">
                  <c:v>0.2984076415834</c:v>
                </c:pt>
                <c:pt idx="416">
                  <c:v>0.299411820315784</c:v>
                </c:pt>
                <c:pt idx="417">
                  <c:v>0.299480981859029</c:v>
                </c:pt>
                <c:pt idx="418">
                  <c:v>0.300338155040983</c:v>
                </c:pt>
                <c:pt idx="419">
                  <c:v>0.301063075161825</c:v>
                </c:pt>
                <c:pt idx="420">
                  <c:v>0.302532859059417</c:v>
                </c:pt>
                <c:pt idx="421">
                  <c:v>0.302989516803345</c:v>
                </c:pt>
                <c:pt idx="422">
                  <c:v>0.303481127763728</c:v>
                </c:pt>
                <c:pt idx="423">
                  <c:v>0.30391750921237</c:v>
                </c:pt>
                <c:pt idx="424">
                  <c:v>0.30517384597274</c:v>
                </c:pt>
                <c:pt idx="425">
                  <c:v>0.305206565061697</c:v>
                </c:pt>
                <c:pt idx="426">
                  <c:v>0.306892905570488</c:v>
                </c:pt>
                <c:pt idx="427">
                  <c:v>0.307465778084178</c:v>
                </c:pt>
                <c:pt idx="428">
                  <c:v>0.308678668787939</c:v>
                </c:pt>
                <c:pt idx="429">
                  <c:v>0.308721236937272</c:v>
                </c:pt>
                <c:pt idx="430">
                  <c:v>0.309408941894477</c:v>
                </c:pt>
                <c:pt idx="431">
                  <c:v>0.309561211805878</c:v>
                </c:pt>
                <c:pt idx="432">
                  <c:v>0.310283556325751</c:v>
                </c:pt>
                <c:pt idx="433">
                  <c:v>0.311918903903774</c:v>
                </c:pt>
                <c:pt idx="434">
                  <c:v>0.311919329280962</c:v>
                </c:pt>
                <c:pt idx="435">
                  <c:v>0.314425042577155</c:v>
                </c:pt>
                <c:pt idx="436">
                  <c:v>0.314486304895082</c:v>
                </c:pt>
                <c:pt idx="437">
                  <c:v>0.315315281680637</c:v>
                </c:pt>
                <c:pt idx="438">
                  <c:v>0.315404492493547</c:v>
                </c:pt>
                <c:pt idx="439">
                  <c:v>0.315497199846436</c:v>
                </c:pt>
                <c:pt idx="440">
                  <c:v>0.315875168996845</c:v>
                </c:pt>
                <c:pt idx="441">
                  <c:v>0.317015740388343</c:v>
                </c:pt>
                <c:pt idx="442">
                  <c:v>0.317154758588265</c:v>
                </c:pt>
                <c:pt idx="443">
                  <c:v>0.318811379647285</c:v>
                </c:pt>
                <c:pt idx="444">
                  <c:v>0.3196973178583</c:v>
                </c:pt>
                <c:pt idx="445">
                  <c:v>0.320713117205232</c:v>
                </c:pt>
                <c:pt idx="446">
                  <c:v>0.320986105458826</c:v>
                </c:pt>
                <c:pt idx="447">
                  <c:v>0.321744927454108</c:v>
                </c:pt>
                <c:pt idx="448">
                  <c:v>0.323042227399426</c:v>
                </c:pt>
                <c:pt idx="449">
                  <c:v>0.324373630695893</c:v>
                </c:pt>
                <c:pt idx="450">
                  <c:v>0.324421995367433</c:v>
                </c:pt>
                <c:pt idx="451">
                  <c:v>0.324774675948888</c:v>
                </c:pt>
                <c:pt idx="452">
                  <c:v>0.326605825232411</c:v>
                </c:pt>
                <c:pt idx="453">
                  <c:v>0.326766214044857</c:v>
                </c:pt>
                <c:pt idx="454">
                  <c:v>0.327009590245358</c:v>
                </c:pt>
                <c:pt idx="455">
                  <c:v>0.327103168118818</c:v>
                </c:pt>
                <c:pt idx="456">
                  <c:v>0.327218300359317</c:v>
                </c:pt>
                <c:pt idx="457">
                  <c:v>0.327356826918612</c:v>
                </c:pt>
                <c:pt idx="458">
                  <c:v>0.327422949806921</c:v>
                </c:pt>
                <c:pt idx="459">
                  <c:v>0.327827743039608</c:v>
                </c:pt>
                <c:pt idx="460">
                  <c:v>0.328048925557628</c:v>
                </c:pt>
                <c:pt idx="461">
                  <c:v>0.328560480943258</c:v>
                </c:pt>
                <c:pt idx="462">
                  <c:v>0.32861090590773</c:v>
                </c:pt>
                <c:pt idx="463">
                  <c:v>0.33162128583816</c:v>
                </c:pt>
                <c:pt idx="464">
                  <c:v>0.332157424864714</c:v>
                </c:pt>
                <c:pt idx="465">
                  <c:v>0.334163760157247</c:v>
                </c:pt>
                <c:pt idx="466">
                  <c:v>0.33480549745221</c:v>
                </c:pt>
                <c:pt idx="467">
                  <c:v>0.335642582725856</c:v>
                </c:pt>
                <c:pt idx="468">
                  <c:v>0.335841079053583</c:v>
                </c:pt>
                <c:pt idx="469">
                  <c:v>0.336374983037064</c:v>
                </c:pt>
                <c:pt idx="470">
                  <c:v>0.336715652898729</c:v>
                </c:pt>
                <c:pt idx="471">
                  <c:v>0.337057234050727</c:v>
                </c:pt>
                <c:pt idx="472">
                  <c:v>0.337454189434949</c:v>
                </c:pt>
                <c:pt idx="473">
                  <c:v>0.338806469322979</c:v>
                </c:pt>
                <c:pt idx="474">
                  <c:v>0.339146371599528</c:v>
                </c:pt>
                <c:pt idx="475">
                  <c:v>0.339336338438774</c:v>
                </c:pt>
                <c:pt idx="476">
                  <c:v>0.342201586779601</c:v>
                </c:pt>
                <c:pt idx="477">
                  <c:v>0.342248138078021</c:v>
                </c:pt>
                <c:pt idx="478">
                  <c:v>0.342300418783374</c:v>
                </c:pt>
                <c:pt idx="479">
                  <c:v>0.34323218048529</c:v>
                </c:pt>
                <c:pt idx="480">
                  <c:v>0.343416030964234</c:v>
                </c:pt>
                <c:pt idx="481">
                  <c:v>0.344489242876522</c:v>
                </c:pt>
                <c:pt idx="482">
                  <c:v>0.346023199600918</c:v>
                </c:pt>
                <c:pt idx="483">
                  <c:v>0.346417449207785</c:v>
                </c:pt>
                <c:pt idx="484">
                  <c:v>0.346427395145856</c:v>
                </c:pt>
                <c:pt idx="485">
                  <c:v>0.346672372106507</c:v>
                </c:pt>
                <c:pt idx="486">
                  <c:v>0.34855057272532</c:v>
                </c:pt>
                <c:pt idx="487">
                  <c:v>0.349023124835648</c:v>
                </c:pt>
                <c:pt idx="488">
                  <c:v>0.349516703731166</c:v>
                </c:pt>
                <c:pt idx="489">
                  <c:v>0.35156426237588</c:v>
                </c:pt>
                <c:pt idx="490">
                  <c:v>0.351730952421452</c:v>
                </c:pt>
                <c:pt idx="491">
                  <c:v>0.352224225724011</c:v>
                </c:pt>
                <c:pt idx="492">
                  <c:v>0.352498013585527</c:v>
                </c:pt>
                <c:pt idx="493">
                  <c:v>0.352964947419511</c:v>
                </c:pt>
                <c:pt idx="494">
                  <c:v>0.356612169682836</c:v>
                </c:pt>
                <c:pt idx="495">
                  <c:v>0.357752137184465</c:v>
                </c:pt>
                <c:pt idx="496">
                  <c:v>0.359519768322229</c:v>
                </c:pt>
                <c:pt idx="497">
                  <c:v>0.360222090792217</c:v>
                </c:pt>
                <c:pt idx="498">
                  <c:v>0.360735616838558</c:v>
                </c:pt>
                <c:pt idx="499">
                  <c:v>0.361470821651446</c:v>
                </c:pt>
                <c:pt idx="500">
                  <c:v>0.361492719822611</c:v>
                </c:pt>
                <c:pt idx="501">
                  <c:v>0.36188133981772</c:v>
                </c:pt>
                <c:pt idx="502">
                  <c:v>0.362255463903082</c:v>
                </c:pt>
                <c:pt idx="503">
                  <c:v>0.36236657352109</c:v>
                </c:pt>
                <c:pt idx="504">
                  <c:v>0.363244559935615</c:v>
                </c:pt>
                <c:pt idx="505">
                  <c:v>0.36368208003211</c:v>
                </c:pt>
                <c:pt idx="506">
                  <c:v>0.364125765390398</c:v>
                </c:pt>
                <c:pt idx="507">
                  <c:v>0.364664310922995</c:v>
                </c:pt>
                <c:pt idx="508">
                  <c:v>0.365937632944223</c:v>
                </c:pt>
                <c:pt idx="509">
                  <c:v>0.366057618697166</c:v>
                </c:pt>
                <c:pt idx="510">
                  <c:v>0.366969047539216</c:v>
                </c:pt>
                <c:pt idx="511">
                  <c:v>0.366971781267649</c:v>
                </c:pt>
                <c:pt idx="512">
                  <c:v>0.367356328680149</c:v>
                </c:pt>
                <c:pt idx="513">
                  <c:v>0.368118877543482</c:v>
                </c:pt>
                <c:pt idx="514">
                  <c:v>0.369290152910532</c:v>
                </c:pt>
                <c:pt idx="515">
                  <c:v>0.369533719810445</c:v>
                </c:pt>
                <c:pt idx="516">
                  <c:v>0.370534581166507</c:v>
                </c:pt>
                <c:pt idx="517">
                  <c:v>0.370832642365372</c:v>
                </c:pt>
                <c:pt idx="518">
                  <c:v>0.374805949417737</c:v>
                </c:pt>
                <c:pt idx="519">
                  <c:v>0.375258388993303</c:v>
                </c:pt>
                <c:pt idx="520">
                  <c:v>0.376194016797674</c:v>
                </c:pt>
                <c:pt idx="521">
                  <c:v>0.37715045252868</c:v>
                </c:pt>
                <c:pt idx="522">
                  <c:v>0.379600012097457</c:v>
                </c:pt>
                <c:pt idx="523">
                  <c:v>0.379747487737877</c:v>
                </c:pt>
                <c:pt idx="524">
                  <c:v>0.380852441464755</c:v>
                </c:pt>
                <c:pt idx="525">
                  <c:v>0.381955958593668</c:v>
                </c:pt>
                <c:pt idx="526">
                  <c:v>0.382817188979964</c:v>
                </c:pt>
                <c:pt idx="527">
                  <c:v>0.384544563658376</c:v>
                </c:pt>
                <c:pt idx="528">
                  <c:v>0.384951110965218</c:v>
                </c:pt>
                <c:pt idx="529">
                  <c:v>0.385120376140729</c:v>
                </c:pt>
                <c:pt idx="530">
                  <c:v>0.386503277223431</c:v>
                </c:pt>
                <c:pt idx="531">
                  <c:v>0.386890364830121</c:v>
                </c:pt>
                <c:pt idx="532">
                  <c:v>0.387031368275124</c:v>
                </c:pt>
                <c:pt idx="533">
                  <c:v>0.387730450147093</c:v>
                </c:pt>
                <c:pt idx="534">
                  <c:v>0.390688583928069</c:v>
                </c:pt>
                <c:pt idx="535">
                  <c:v>0.39098657218034</c:v>
                </c:pt>
                <c:pt idx="536">
                  <c:v>0.391338487188252</c:v>
                </c:pt>
                <c:pt idx="537">
                  <c:v>0.391606834192308</c:v>
                </c:pt>
                <c:pt idx="538">
                  <c:v>0.391965511639855</c:v>
                </c:pt>
                <c:pt idx="539">
                  <c:v>0.392533775961899</c:v>
                </c:pt>
                <c:pt idx="540">
                  <c:v>0.392855080907428</c:v>
                </c:pt>
                <c:pt idx="541">
                  <c:v>0.393008014761074</c:v>
                </c:pt>
                <c:pt idx="542">
                  <c:v>0.395354498410967</c:v>
                </c:pt>
                <c:pt idx="543">
                  <c:v>0.395656851406588</c:v>
                </c:pt>
                <c:pt idx="544">
                  <c:v>0.395741124517572</c:v>
                </c:pt>
                <c:pt idx="545">
                  <c:v>0.397482934025902</c:v>
                </c:pt>
                <c:pt idx="546">
                  <c:v>0.397735059775742</c:v>
                </c:pt>
                <c:pt idx="547">
                  <c:v>0.398109667274504</c:v>
                </c:pt>
                <c:pt idx="548">
                  <c:v>0.398415545973452</c:v>
                </c:pt>
                <c:pt idx="549">
                  <c:v>0.399579652908248</c:v>
                </c:pt>
                <c:pt idx="550">
                  <c:v>0.40059462000187</c:v>
                </c:pt>
                <c:pt idx="551">
                  <c:v>0.400874908848913</c:v>
                </c:pt>
                <c:pt idx="552">
                  <c:v>0.401563876512741</c:v>
                </c:pt>
                <c:pt idx="553">
                  <c:v>0.401837849102194</c:v>
                </c:pt>
                <c:pt idx="554">
                  <c:v>0.402328978344631</c:v>
                </c:pt>
                <c:pt idx="555">
                  <c:v>0.402662398940373</c:v>
                </c:pt>
                <c:pt idx="556">
                  <c:v>0.403670963359484</c:v>
                </c:pt>
                <c:pt idx="557">
                  <c:v>0.403804456409323</c:v>
                </c:pt>
                <c:pt idx="558">
                  <c:v>0.403949862516852</c:v>
                </c:pt>
                <c:pt idx="559">
                  <c:v>0.403994838230936</c:v>
                </c:pt>
                <c:pt idx="560">
                  <c:v>0.40463699096239</c:v>
                </c:pt>
                <c:pt idx="561">
                  <c:v>0.405129661228818</c:v>
                </c:pt>
                <c:pt idx="562">
                  <c:v>0.405968284658637</c:v>
                </c:pt>
                <c:pt idx="563">
                  <c:v>0.406155816025107</c:v>
                </c:pt>
                <c:pt idx="564">
                  <c:v>0.406468743002086</c:v>
                </c:pt>
                <c:pt idx="565">
                  <c:v>0.406507427908691</c:v>
                </c:pt>
                <c:pt idx="566">
                  <c:v>0.406641688613263</c:v>
                </c:pt>
                <c:pt idx="567">
                  <c:v>0.408309708449028</c:v>
                </c:pt>
                <c:pt idx="568">
                  <c:v>0.408550779271799</c:v>
                </c:pt>
                <c:pt idx="569">
                  <c:v>0.409201948119438</c:v>
                </c:pt>
                <c:pt idx="570">
                  <c:v>0.409974571484759</c:v>
                </c:pt>
                <c:pt idx="571">
                  <c:v>0.410149236642589</c:v>
                </c:pt>
                <c:pt idx="572">
                  <c:v>0.410964192609276</c:v>
                </c:pt>
                <c:pt idx="573">
                  <c:v>0.412272575532392</c:v>
                </c:pt>
                <c:pt idx="574">
                  <c:v>0.412756995175824</c:v>
                </c:pt>
                <c:pt idx="575">
                  <c:v>0.412975079020266</c:v>
                </c:pt>
                <c:pt idx="576">
                  <c:v>0.413776082487299</c:v>
                </c:pt>
                <c:pt idx="577">
                  <c:v>0.414339226408752</c:v>
                </c:pt>
                <c:pt idx="578">
                  <c:v>0.41605973896885</c:v>
                </c:pt>
                <c:pt idx="579">
                  <c:v>0.416621722520244</c:v>
                </c:pt>
                <c:pt idx="580">
                  <c:v>0.417559545564221</c:v>
                </c:pt>
                <c:pt idx="581">
                  <c:v>0.419663605464451</c:v>
                </c:pt>
                <c:pt idx="582">
                  <c:v>0.419936379096625</c:v>
                </c:pt>
                <c:pt idx="583">
                  <c:v>0.421506213147774</c:v>
                </c:pt>
                <c:pt idx="584">
                  <c:v>0.422128785000822</c:v>
                </c:pt>
                <c:pt idx="585">
                  <c:v>0.423715977086827</c:v>
                </c:pt>
                <c:pt idx="586">
                  <c:v>0.424339822762181</c:v>
                </c:pt>
                <c:pt idx="587">
                  <c:v>0.425049075478337</c:v>
                </c:pt>
                <c:pt idx="588">
                  <c:v>0.42698281090502</c:v>
                </c:pt>
                <c:pt idx="589">
                  <c:v>0.427193131945149</c:v>
                </c:pt>
                <c:pt idx="590">
                  <c:v>0.427762735825103</c:v>
                </c:pt>
                <c:pt idx="591">
                  <c:v>0.428654253998416</c:v>
                </c:pt>
                <c:pt idx="592">
                  <c:v>0.429999984549628</c:v>
                </c:pt>
                <c:pt idx="593">
                  <c:v>0.430321271062506</c:v>
                </c:pt>
                <c:pt idx="594">
                  <c:v>0.430332714851764</c:v>
                </c:pt>
                <c:pt idx="595">
                  <c:v>0.430942433763076</c:v>
                </c:pt>
                <c:pt idx="596">
                  <c:v>0.431871348373613</c:v>
                </c:pt>
                <c:pt idx="597">
                  <c:v>0.43190156663262</c:v>
                </c:pt>
                <c:pt idx="598">
                  <c:v>0.432098407729165</c:v>
                </c:pt>
                <c:pt idx="599">
                  <c:v>0.43276494649609</c:v>
                </c:pt>
                <c:pt idx="600">
                  <c:v>0.432809518591029</c:v>
                </c:pt>
                <c:pt idx="601">
                  <c:v>0.432828828757943</c:v>
                </c:pt>
                <c:pt idx="602">
                  <c:v>0.434069760772209</c:v>
                </c:pt>
                <c:pt idx="603">
                  <c:v>0.434184965572988</c:v>
                </c:pt>
                <c:pt idx="604">
                  <c:v>0.434367555890811</c:v>
                </c:pt>
                <c:pt idx="605">
                  <c:v>0.434425875785341</c:v>
                </c:pt>
                <c:pt idx="606">
                  <c:v>0.434870438786003</c:v>
                </c:pt>
                <c:pt idx="607">
                  <c:v>0.434944528431089</c:v>
                </c:pt>
                <c:pt idx="608">
                  <c:v>0.4360138570047</c:v>
                </c:pt>
                <c:pt idx="609">
                  <c:v>0.437943074960037</c:v>
                </c:pt>
                <c:pt idx="610">
                  <c:v>0.438345740828694</c:v>
                </c:pt>
                <c:pt idx="611">
                  <c:v>0.438960876264081</c:v>
                </c:pt>
                <c:pt idx="612">
                  <c:v>0.440128762981776</c:v>
                </c:pt>
                <c:pt idx="613">
                  <c:v>0.440855948653182</c:v>
                </c:pt>
                <c:pt idx="614">
                  <c:v>0.441043098108097</c:v>
                </c:pt>
                <c:pt idx="615">
                  <c:v>0.441510423134031</c:v>
                </c:pt>
                <c:pt idx="616">
                  <c:v>0.443440341766727</c:v>
                </c:pt>
                <c:pt idx="617">
                  <c:v>0.445982104300939</c:v>
                </c:pt>
                <c:pt idx="618">
                  <c:v>0.446112179092214</c:v>
                </c:pt>
                <c:pt idx="619">
                  <c:v>0.446162030528889</c:v>
                </c:pt>
                <c:pt idx="620">
                  <c:v>0.446368399889663</c:v>
                </c:pt>
                <c:pt idx="621">
                  <c:v>0.447017352421024</c:v>
                </c:pt>
                <c:pt idx="622">
                  <c:v>0.448014554724482</c:v>
                </c:pt>
                <c:pt idx="623">
                  <c:v>0.448735051263801</c:v>
                </c:pt>
                <c:pt idx="624">
                  <c:v>0.448900265276099</c:v>
                </c:pt>
                <c:pt idx="625">
                  <c:v>0.449045509479814</c:v>
                </c:pt>
                <c:pt idx="626">
                  <c:v>0.449079946170875</c:v>
                </c:pt>
                <c:pt idx="627">
                  <c:v>0.449508695396776</c:v>
                </c:pt>
                <c:pt idx="628">
                  <c:v>0.449660467305469</c:v>
                </c:pt>
                <c:pt idx="629">
                  <c:v>0.451002262635016</c:v>
                </c:pt>
                <c:pt idx="630">
                  <c:v>0.451331636139422</c:v>
                </c:pt>
                <c:pt idx="631">
                  <c:v>0.451423791053077</c:v>
                </c:pt>
                <c:pt idx="632">
                  <c:v>0.451692496606411</c:v>
                </c:pt>
                <c:pt idx="633">
                  <c:v>0.452112948178677</c:v>
                </c:pt>
                <c:pt idx="634">
                  <c:v>0.452116270043326</c:v>
                </c:pt>
                <c:pt idx="635">
                  <c:v>0.452289022814111</c:v>
                </c:pt>
                <c:pt idx="636">
                  <c:v>0.453850887791526</c:v>
                </c:pt>
                <c:pt idx="637">
                  <c:v>0.454560880710495</c:v>
                </c:pt>
                <c:pt idx="638">
                  <c:v>0.455484962154767</c:v>
                </c:pt>
                <c:pt idx="639">
                  <c:v>0.455550471168517</c:v>
                </c:pt>
                <c:pt idx="640">
                  <c:v>0.457877475229842</c:v>
                </c:pt>
                <c:pt idx="641">
                  <c:v>0.458222952909317</c:v>
                </c:pt>
                <c:pt idx="642">
                  <c:v>0.458269245909657</c:v>
                </c:pt>
                <c:pt idx="643">
                  <c:v>0.458649045560657</c:v>
                </c:pt>
                <c:pt idx="644">
                  <c:v>0.459704719959721</c:v>
                </c:pt>
                <c:pt idx="645">
                  <c:v>0.460096528556777</c:v>
                </c:pt>
                <c:pt idx="646">
                  <c:v>0.460984711457633</c:v>
                </c:pt>
                <c:pt idx="647">
                  <c:v>0.461659372021929</c:v>
                </c:pt>
                <c:pt idx="648">
                  <c:v>0.462159787519104</c:v>
                </c:pt>
                <c:pt idx="649">
                  <c:v>0.462929774636343</c:v>
                </c:pt>
                <c:pt idx="650">
                  <c:v>0.463717798762617</c:v>
                </c:pt>
                <c:pt idx="651">
                  <c:v>0.464063985940645</c:v>
                </c:pt>
                <c:pt idx="652">
                  <c:v>0.465215827792502</c:v>
                </c:pt>
                <c:pt idx="653">
                  <c:v>0.465966428329758</c:v>
                </c:pt>
                <c:pt idx="654">
                  <c:v>0.467914988611971</c:v>
                </c:pt>
                <c:pt idx="655">
                  <c:v>0.468575678811328</c:v>
                </c:pt>
                <c:pt idx="656">
                  <c:v>0.469015291771622</c:v>
                </c:pt>
                <c:pt idx="657">
                  <c:v>0.469124308533741</c:v>
                </c:pt>
                <c:pt idx="658">
                  <c:v>0.469637815192856</c:v>
                </c:pt>
                <c:pt idx="659">
                  <c:v>0.471622517258309</c:v>
                </c:pt>
                <c:pt idx="660">
                  <c:v>0.472555283725309</c:v>
                </c:pt>
                <c:pt idx="661">
                  <c:v>0.472822251022441</c:v>
                </c:pt>
                <c:pt idx="662">
                  <c:v>0.473000359875911</c:v>
                </c:pt>
                <c:pt idx="663">
                  <c:v>0.4730431693386</c:v>
                </c:pt>
                <c:pt idx="664">
                  <c:v>0.473051661225638</c:v>
                </c:pt>
                <c:pt idx="665">
                  <c:v>0.473544686248058</c:v>
                </c:pt>
                <c:pt idx="666">
                  <c:v>0.474562464053476</c:v>
                </c:pt>
                <c:pt idx="667">
                  <c:v>0.474579015557899</c:v>
                </c:pt>
                <c:pt idx="668">
                  <c:v>0.475492433546438</c:v>
                </c:pt>
                <c:pt idx="669">
                  <c:v>0.476116812519864</c:v>
                </c:pt>
                <c:pt idx="670">
                  <c:v>0.477712690728144</c:v>
                </c:pt>
                <c:pt idx="671">
                  <c:v>0.477820990327135</c:v>
                </c:pt>
                <c:pt idx="672">
                  <c:v>0.477911187432176</c:v>
                </c:pt>
                <c:pt idx="673">
                  <c:v>0.478047045681503</c:v>
                </c:pt>
                <c:pt idx="674">
                  <c:v>0.478492524862356</c:v>
                </c:pt>
                <c:pt idx="675">
                  <c:v>0.478946363989902</c:v>
                </c:pt>
                <c:pt idx="676">
                  <c:v>0.479433929099456</c:v>
                </c:pt>
                <c:pt idx="677">
                  <c:v>0.479674591585931</c:v>
                </c:pt>
                <c:pt idx="678">
                  <c:v>0.480007472933906</c:v>
                </c:pt>
                <c:pt idx="679">
                  <c:v>0.480019026910632</c:v>
                </c:pt>
                <c:pt idx="680">
                  <c:v>0.480982625266287</c:v>
                </c:pt>
                <c:pt idx="681">
                  <c:v>0.481489614351069</c:v>
                </c:pt>
                <c:pt idx="682">
                  <c:v>0.481657982748825</c:v>
                </c:pt>
                <c:pt idx="683">
                  <c:v>0.482862514692097</c:v>
                </c:pt>
                <c:pt idx="684">
                  <c:v>0.484561090374331</c:v>
                </c:pt>
                <c:pt idx="685">
                  <c:v>0.485451963099326</c:v>
                </c:pt>
                <c:pt idx="686">
                  <c:v>0.48546003328542</c:v>
                </c:pt>
                <c:pt idx="687">
                  <c:v>0.48561376300116</c:v>
                </c:pt>
                <c:pt idx="688">
                  <c:v>0.486932413505282</c:v>
                </c:pt>
                <c:pt idx="689">
                  <c:v>0.487992749398528</c:v>
                </c:pt>
                <c:pt idx="690">
                  <c:v>0.488016253208984</c:v>
                </c:pt>
                <c:pt idx="691">
                  <c:v>0.488274940466597</c:v>
                </c:pt>
                <c:pt idx="692">
                  <c:v>0.488902639444833</c:v>
                </c:pt>
                <c:pt idx="693">
                  <c:v>0.489974456213152</c:v>
                </c:pt>
                <c:pt idx="694">
                  <c:v>0.490738447470918</c:v>
                </c:pt>
                <c:pt idx="695">
                  <c:v>0.493316746757943</c:v>
                </c:pt>
                <c:pt idx="696">
                  <c:v>0.494258327670524</c:v>
                </c:pt>
                <c:pt idx="697">
                  <c:v>0.498719940062975</c:v>
                </c:pt>
                <c:pt idx="698">
                  <c:v>0.500254386711933</c:v>
                </c:pt>
                <c:pt idx="699">
                  <c:v>0.500466031484384</c:v>
                </c:pt>
                <c:pt idx="700">
                  <c:v>0.501207517989548</c:v>
                </c:pt>
                <c:pt idx="701">
                  <c:v>0.501275245527827</c:v>
                </c:pt>
                <c:pt idx="702">
                  <c:v>0.501750870204349</c:v>
                </c:pt>
                <c:pt idx="703">
                  <c:v>0.50214628579908</c:v>
                </c:pt>
                <c:pt idx="704">
                  <c:v>0.503968827311324</c:v>
                </c:pt>
                <c:pt idx="705">
                  <c:v>0.505647632462746</c:v>
                </c:pt>
                <c:pt idx="706">
                  <c:v>0.50622754543771</c:v>
                </c:pt>
                <c:pt idx="707">
                  <c:v>0.507208390671053</c:v>
                </c:pt>
                <c:pt idx="708">
                  <c:v>0.507384746353127</c:v>
                </c:pt>
                <c:pt idx="709">
                  <c:v>0.508537381173816</c:v>
                </c:pt>
                <c:pt idx="710">
                  <c:v>0.511966964116888</c:v>
                </c:pt>
                <c:pt idx="711">
                  <c:v>0.512033968626301</c:v>
                </c:pt>
                <c:pt idx="712">
                  <c:v>0.512809010870791</c:v>
                </c:pt>
                <c:pt idx="713">
                  <c:v>0.514837298069464</c:v>
                </c:pt>
                <c:pt idx="714">
                  <c:v>0.51624867436587</c:v>
                </c:pt>
                <c:pt idx="715">
                  <c:v>0.517169375551396</c:v>
                </c:pt>
                <c:pt idx="716">
                  <c:v>0.517372426291084</c:v>
                </c:pt>
                <c:pt idx="717">
                  <c:v>0.517672737718357</c:v>
                </c:pt>
                <c:pt idx="718">
                  <c:v>0.517941834240847</c:v>
                </c:pt>
                <c:pt idx="719">
                  <c:v>0.518441378325025</c:v>
                </c:pt>
                <c:pt idx="720">
                  <c:v>0.518617813066218</c:v>
                </c:pt>
                <c:pt idx="721">
                  <c:v>0.519411290528907</c:v>
                </c:pt>
                <c:pt idx="722">
                  <c:v>0.520206384208122</c:v>
                </c:pt>
                <c:pt idx="723">
                  <c:v>0.52059747201258</c:v>
                </c:pt>
                <c:pt idx="724">
                  <c:v>0.521157253683141</c:v>
                </c:pt>
                <c:pt idx="725">
                  <c:v>0.52135352737024</c:v>
                </c:pt>
                <c:pt idx="726">
                  <c:v>0.524967387917135</c:v>
                </c:pt>
                <c:pt idx="727">
                  <c:v>0.525166958290049</c:v>
                </c:pt>
                <c:pt idx="728">
                  <c:v>0.526004654223683</c:v>
                </c:pt>
                <c:pt idx="729">
                  <c:v>0.526028514184527</c:v>
                </c:pt>
                <c:pt idx="730">
                  <c:v>0.526724364625935</c:v>
                </c:pt>
                <c:pt idx="731">
                  <c:v>0.527399227367266</c:v>
                </c:pt>
                <c:pt idx="732">
                  <c:v>0.528236683006412</c:v>
                </c:pt>
                <c:pt idx="733">
                  <c:v>0.528981958964414</c:v>
                </c:pt>
                <c:pt idx="734">
                  <c:v>0.531467744691085</c:v>
                </c:pt>
                <c:pt idx="735">
                  <c:v>0.534159944763117</c:v>
                </c:pt>
                <c:pt idx="736">
                  <c:v>0.534239685219822</c:v>
                </c:pt>
                <c:pt idx="737">
                  <c:v>0.535270335774141</c:v>
                </c:pt>
                <c:pt idx="738">
                  <c:v>0.535538997988092</c:v>
                </c:pt>
                <c:pt idx="739">
                  <c:v>0.536793196685797</c:v>
                </c:pt>
                <c:pt idx="740">
                  <c:v>0.538482117964537</c:v>
                </c:pt>
                <c:pt idx="741">
                  <c:v>0.539105872083392</c:v>
                </c:pt>
                <c:pt idx="742">
                  <c:v>0.539253696752817</c:v>
                </c:pt>
                <c:pt idx="743">
                  <c:v>0.540116013040911</c:v>
                </c:pt>
                <c:pt idx="744">
                  <c:v>0.540187416637637</c:v>
                </c:pt>
                <c:pt idx="745">
                  <c:v>0.540400982661763</c:v>
                </c:pt>
                <c:pt idx="746">
                  <c:v>0.540411641619377</c:v>
                </c:pt>
                <c:pt idx="747">
                  <c:v>0.540459684553134</c:v>
                </c:pt>
                <c:pt idx="748">
                  <c:v>0.541616638919891</c:v>
                </c:pt>
                <c:pt idx="749">
                  <c:v>0.54255491787565</c:v>
                </c:pt>
                <c:pt idx="750">
                  <c:v>0.543262929329503</c:v>
                </c:pt>
                <c:pt idx="751">
                  <c:v>0.543838255319914</c:v>
                </c:pt>
                <c:pt idx="752">
                  <c:v>0.54416466841646</c:v>
                </c:pt>
                <c:pt idx="753">
                  <c:v>0.544397984240089</c:v>
                </c:pt>
                <c:pt idx="754">
                  <c:v>0.544703531511387</c:v>
                </c:pt>
                <c:pt idx="755">
                  <c:v>0.54622417088929</c:v>
                </c:pt>
                <c:pt idx="756">
                  <c:v>0.546845178142767</c:v>
                </c:pt>
                <c:pt idx="757">
                  <c:v>0.547143313709377</c:v>
                </c:pt>
                <c:pt idx="758">
                  <c:v>0.547338392572577</c:v>
                </c:pt>
                <c:pt idx="759">
                  <c:v>0.547615506113265</c:v>
                </c:pt>
                <c:pt idx="760">
                  <c:v>0.547637623021485</c:v>
                </c:pt>
                <c:pt idx="761">
                  <c:v>0.54900599040903</c:v>
                </c:pt>
                <c:pt idx="762">
                  <c:v>0.550502910917855</c:v>
                </c:pt>
                <c:pt idx="763">
                  <c:v>0.550603722224122</c:v>
                </c:pt>
                <c:pt idx="764">
                  <c:v>0.550934223194462</c:v>
                </c:pt>
                <c:pt idx="765">
                  <c:v>0.55248800869301</c:v>
                </c:pt>
                <c:pt idx="766">
                  <c:v>0.552913380873098</c:v>
                </c:pt>
                <c:pt idx="767">
                  <c:v>0.55314660031733</c:v>
                </c:pt>
                <c:pt idx="768">
                  <c:v>0.554636562386502</c:v>
                </c:pt>
                <c:pt idx="769">
                  <c:v>0.555794871956619</c:v>
                </c:pt>
                <c:pt idx="770">
                  <c:v>0.557880140305046</c:v>
                </c:pt>
                <c:pt idx="771">
                  <c:v>0.558049356656873</c:v>
                </c:pt>
                <c:pt idx="772">
                  <c:v>0.558866990408686</c:v>
                </c:pt>
                <c:pt idx="773">
                  <c:v>0.558875052527277</c:v>
                </c:pt>
                <c:pt idx="774">
                  <c:v>0.559789026226733</c:v>
                </c:pt>
                <c:pt idx="775">
                  <c:v>0.560239769400071</c:v>
                </c:pt>
                <c:pt idx="776">
                  <c:v>0.561279120243557</c:v>
                </c:pt>
                <c:pt idx="777">
                  <c:v>0.561915212589114</c:v>
                </c:pt>
                <c:pt idx="778">
                  <c:v>0.561946179643942</c:v>
                </c:pt>
                <c:pt idx="779">
                  <c:v>0.562353962403733</c:v>
                </c:pt>
                <c:pt idx="780">
                  <c:v>0.562373496874852</c:v>
                </c:pt>
                <c:pt idx="781">
                  <c:v>0.564412242326693</c:v>
                </c:pt>
                <c:pt idx="782">
                  <c:v>0.564673401833572</c:v>
                </c:pt>
                <c:pt idx="783">
                  <c:v>0.564948628155598</c:v>
                </c:pt>
                <c:pt idx="784">
                  <c:v>0.565368913115852</c:v>
                </c:pt>
                <c:pt idx="785">
                  <c:v>0.565840126826834</c:v>
                </c:pt>
                <c:pt idx="786">
                  <c:v>0.566634999249208</c:v>
                </c:pt>
                <c:pt idx="787">
                  <c:v>0.567585463781597</c:v>
                </c:pt>
                <c:pt idx="788">
                  <c:v>0.567720843506773</c:v>
                </c:pt>
                <c:pt idx="789">
                  <c:v>0.568771571345128</c:v>
                </c:pt>
                <c:pt idx="790">
                  <c:v>0.569302827824169</c:v>
                </c:pt>
                <c:pt idx="791">
                  <c:v>0.569958353841038</c:v>
                </c:pt>
                <c:pt idx="792">
                  <c:v>0.570015754022655</c:v>
                </c:pt>
                <c:pt idx="793">
                  <c:v>0.570982312100185</c:v>
                </c:pt>
                <c:pt idx="794">
                  <c:v>0.571959256421315</c:v>
                </c:pt>
                <c:pt idx="795">
                  <c:v>0.572331446390007</c:v>
                </c:pt>
                <c:pt idx="796">
                  <c:v>0.572434626350636</c:v>
                </c:pt>
                <c:pt idx="797">
                  <c:v>0.57247617690832</c:v>
                </c:pt>
                <c:pt idx="798">
                  <c:v>0.573359942336223</c:v>
                </c:pt>
                <c:pt idx="799">
                  <c:v>0.574523544406092</c:v>
                </c:pt>
                <c:pt idx="800">
                  <c:v>0.575125348908276</c:v>
                </c:pt>
                <c:pt idx="801">
                  <c:v>0.575528694407542</c:v>
                </c:pt>
                <c:pt idx="802">
                  <c:v>0.577150745787364</c:v>
                </c:pt>
                <c:pt idx="803">
                  <c:v>0.577437309956715</c:v>
                </c:pt>
                <c:pt idx="804">
                  <c:v>0.580804238273089</c:v>
                </c:pt>
                <c:pt idx="805">
                  <c:v>0.581267168369537</c:v>
                </c:pt>
                <c:pt idx="806">
                  <c:v>0.583123900325676</c:v>
                </c:pt>
                <c:pt idx="807">
                  <c:v>0.58578147344205</c:v>
                </c:pt>
                <c:pt idx="808">
                  <c:v>0.588768544908416</c:v>
                </c:pt>
                <c:pt idx="809">
                  <c:v>0.589192665950059</c:v>
                </c:pt>
                <c:pt idx="810">
                  <c:v>0.589940067701538</c:v>
                </c:pt>
                <c:pt idx="811">
                  <c:v>0.592311036124459</c:v>
                </c:pt>
                <c:pt idx="812">
                  <c:v>0.592433667571961</c:v>
                </c:pt>
                <c:pt idx="813">
                  <c:v>0.59334370461631</c:v>
                </c:pt>
                <c:pt idx="814">
                  <c:v>0.593750405521286</c:v>
                </c:pt>
                <c:pt idx="815">
                  <c:v>0.594234031213883</c:v>
                </c:pt>
                <c:pt idx="816">
                  <c:v>0.594467708668026</c:v>
                </c:pt>
                <c:pt idx="817">
                  <c:v>0.594508605630589</c:v>
                </c:pt>
                <c:pt idx="818">
                  <c:v>0.594656597313642</c:v>
                </c:pt>
                <c:pt idx="819">
                  <c:v>0.596008403626639</c:v>
                </c:pt>
                <c:pt idx="820">
                  <c:v>0.596105883136185</c:v>
                </c:pt>
                <c:pt idx="821">
                  <c:v>0.596969075792145</c:v>
                </c:pt>
                <c:pt idx="822">
                  <c:v>0.597356567470663</c:v>
                </c:pt>
                <c:pt idx="823">
                  <c:v>0.598097023298334</c:v>
                </c:pt>
                <c:pt idx="824">
                  <c:v>0.599044309279342</c:v>
                </c:pt>
                <c:pt idx="825">
                  <c:v>0.600281466412431</c:v>
                </c:pt>
                <c:pt idx="826">
                  <c:v>0.600432401383255</c:v>
                </c:pt>
                <c:pt idx="827">
                  <c:v>0.600593158013303</c:v>
                </c:pt>
                <c:pt idx="828">
                  <c:v>0.60117258322219</c:v>
                </c:pt>
                <c:pt idx="829">
                  <c:v>0.601229504302835</c:v>
                </c:pt>
                <c:pt idx="830">
                  <c:v>0.601448633703304</c:v>
                </c:pt>
                <c:pt idx="831">
                  <c:v>0.601754777083084</c:v>
                </c:pt>
                <c:pt idx="832">
                  <c:v>0.601984261582656</c:v>
                </c:pt>
                <c:pt idx="833">
                  <c:v>0.603822230666705</c:v>
                </c:pt>
                <c:pt idx="834">
                  <c:v>0.604671178474649</c:v>
                </c:pt>
                <c:pt idx="835">
                  <c:v>0.605933870068863</c:v>
                </c:pt>
                <c:pt idx="836">
                  <c:v>0.60619399952187</c:v>
                </c:pt>
                <c:pt idx="837">
                  <c:v>0.606238596160098</c:v>
                </c:pt>
                <c:pt idx="838">
                  <c:v>0.607169007895278</c:v>
                </c:pt>
                <c:pt idx="839">
                  <c:v>0.607959872535883</c:v>
                </c:pt>
                <c:pt idx="840">
                  <c:v>0.60798350166663</c:v>
                </c:pt>
                <c:pt idx="841">
                  <c:v>0.608377079058081</c:v>
                </c:pt>
                <c:pt idx="842">
                  <c:v>0.609230680299021</c:v>
                </c:pt>
                <c:pt idx="843">
                  <c:v>0.609734105303395</c:v>
                </c:pt>
                <c:pt idx="844">
                  <c:v>0.611211632863541</c:v>
                </c:pt>
                <c:pt idx="845">
                  <c:v>0.612158665882486</c:v>
                </c:pt>
                <c:pt idx="846">
                  <c:v>0.612919205538419</c:v>
                </c:pt>
                <c:pt idx="847">
                  <c:v>0.613032453005363</c:v>
                </c:pt>
                <c:pt idx="848">
                  <c:v>0.613237135095974</c:v>
                </c:pt>
                <c:pt idx="849">
                  <c:v>0.614880898495122</c:v>
                </c:pt>
                <c:pt idx="850">
                  <c:v>0.615509434888236</c:v>
                </c:pt>
                <c:pt idx="851">
                  <c:v>0.618262164907753</c:v>
                </c:pt>
                <c:pt idx="852">
                  <c:v>0.620842369765541</c:v>
                </c:pt>
                <c:pt idx="853">
                  <c:v>0.621071603821348</c:v>
                </c:pt>
                <c:pt idx="854">
                  <c:v>0.621234135278705</c:v>
                </c:pt>
                <c:pt idx="855">
                  <c:v>0.621307536592505</c:v>
                </c:pt>
                <c:pt idx="856">
                  <c:v>0.624864993882137</c:v>
                </c:pt>
                <c:pt idx="857">
                  <c:v>0.625092124538083</c:v>
                </c:pt>
                <c:pt idx="858">
                  <c:v>0.625297840841928</c:v>
                </c:pt>
                <c:pt idx="859">
                  <c:v>0.625519572423017</c:v>
                </c:pt>
                <c:pt idx="860">
                  <c:v>0.625630720182025</c:v>
                </c:pt>
                <c:pt idx="861">
                  <c:v>0.625935548501992</c:v>
                </c:pt>
                <c:pt idx="862">
                  <c:v>0.62620577141529</c:v>
                </c:pt>
                <c:pt idx="863">
                  <c:v>0.626736807027718</c:v>
                </c:pt>
                <c:pt idx="864">
                  <c:v>0.628907564773661</c:v>
                </c:pt>
                <c:pt idx="865">
                  <c:v>0.630254814276274</c:v>
                </c:pt>
                <c:pt idx="866">
                  <c:v>0.630294888472656</c:v>
                </c:pt>
                <c:pt idx="867">
                  <c:v>0.630459699909509</c:v>
                </c:pt>
                <c:pt idx="868">
                  <c:v>0.631824714459715</c:v>
                </c:pt>
                <c:pt idx="869">
                  <c:v>0.631926515575327</c:v>
                </c:pt>
                <c:pt idx="870">
                  <c:v>0.633078091320531</c:v>
                </c:pt>
                <c:pt idx="871">
                  <c:v>0.633342343436733</c:v>
                </c:pt>
                <c:pt idx="872">
                  <c:v>0.633892281560427</c:v>
                </c:pt>
                <c:pt idx="873">
                  <c:v>0.635572459246615</c:v>
                </c:pt>
                <c:pt idx="874">
                  <c:v>0.63566607514312</c:v>
                </c:pt>
                <c:pt idx="875">
                  <c:v>0.636080496017125</c:v>
                </c:pt>
                <c:pt idx="876">
                  <c:v>0.636779210699409</c:v>
                </c:pt>
                <c:pt idx="877">
                  <c:v>0.637756183455711</c:v>
                </c:pt>
                <c:pt idx="878">
                  <c:v>0.639194374576742</c:v>
                </c:pt>
                <c:pt idx="879">
                  <c:v>0.640881330157516</c:v>
                </c:pt>
                <c:pt idx="880">
                  <c:v>0.641849258201612</c:v>
                </c:pt>
                <c:pt idx="881">
                  <c:v>0.642463064423696</c:v>
                </c:pt>
                <c:pt idx="882">
                  <c:v>0.642730131909904</c:v>
                </c:pt>
                <c:pt idx="883">
                  <c:v>0.644191418171762</c:v>
                </c:pt>
                <c:pt idx="884">
                  <c:v>0.644887951364264</c:v>
                </c:pt>
                <c:pt idx="885">
                  <c:v>0.644891453380001</c:v>
                </c:pt>
                <c:pt idx="886">
                  <c:v>0.645227796036425</c:v>
                </c:pt>
                <c:pt idx="887">
                  <c:v>0.645666972375853</c:v>
                </c:pt>
                <c:pt idx="888">
                  <c:v>0.646769756335082</c:v>
                </c:pt>
                <c:pt idx="889">
                  <c:v>0.647778519264267</c:v>
                </c:pt>
                <c:pt idx="890">
                  <c:v>0.648650196455669</c:v>
                </c:pt>
                <c:pt idx="891">
                  <c:v>0.6488842863835</c:v>
                </c:pt>
                <c:pt idx="892">
                  <c:v>0.648947794835926</c:v>
                </c:pt>
                <c:pt idx="893">
                  <c:v>0.649182999543486</c:v>
                </c:pt>
                <c:pt idx="894">
                  <c:v>0.649825034155483</c:v>
                </c:pt>
                <c:pt idx="895">
                  <c:v>0.65020884496871</c:v>
                </c:pt>
                <c:pt idx="896">
                  <c:v>0.650313042674051</c:v>
                </c:pt>
                <c:pt idx="897">
                  <c:v>0.650729778997472</c:v>
                </c:pt>
                <c:pt idx="898">
                  <c:v>0.651069961448787</c:v>
                </c:pt>
                <c:pt idx="899">
                  <c:v>0.652345298914207</c:v>
                </c:pt>
                <c:pt idx="900">
                  <c:v>0.653726449328067</c:v>
                </c:pt>
                <c:pt idx="901">
                  <c:v>0.654274841369682</c:v>
                </c:pt>
                <c:pt idx="902">
                  <c:v>0.654739418722724</c:v>
                </c:pt>
                <c:pt idx="903">
                  <c:v>0.655208119204113</c:v>
                </c:pt>
                <c:pt idx="904">
                  <c:v>0.655383639959491</c:v>
                </c:pt>
                <c:pt idx="905">
                  <c:v>0.655417689641345</c:v>
                </c:pt>
                <c:pt idx="906">
                  <c:v>0.655509200807425</c:v>
                </c:pt>
                <c:pt idx="907">
                  <c:v>0.657261358392087</c:v>
                </c:pt>
                <c:pt idx="908">
                  <c:v>0.657357492569468</c:v>
                </c:pt>
                <c:pt idx="909">
                  <c:v>0.658258761340424</c:v>
                </c:pt>
                <c:pt idx="910">
                  <c:v>0.658548104782529</c:v>
                </c:pt>
                <c:pt idx="911">
                  <c:v>0.658684753322326</c:v>
                </c:pt>
                <c:pt idx="912">
                  <c:v>0.659338055425818</c:v>
                </c:pt>
                <c:pt idx="913">
                  <c:v>0.660275951069477</c:v>
                </c:pt>
                <c:pt idx="914">
                  <c:v>0.662601590528615</c:v>
                </c:pt>
                <c:pt idx="915">
                  <c:v>0.663808766582662</c:v>
                </c:pt>
                <c:pt idx="916">
                  <c:v>0.664074856766997</c:v>
                </c:pt>
                <c:pt idx="917">
                  <c:v>0.665435974315553</c:v>
                </c:pt>
                <c:pt idx="918">
                  <c:v>0.665729048901533</c:v>
                </c:pt>
                <c:pt idx="919">
                  <c:v>0.666421266635102</c:v>
                </c:pt>
                <c:pt idx="920">
                  <c:v>0.666599772507267</c:v>
                </c:pt>
                <c:pt idx="921">
                  <c:v>0.668026537249143</c:v>
                </c:pt>
                <c:pt idx="922">
                  <c:v>0.668605206091287</c:v>
                </c:pt>
                <c:pt idx="923">
                  <c:v>0.66860607223185</c:v>
                </c:pt>
                <c:pt idx="924">
                  <c:v>0.66900069562593</c:v>
                </c:pt>
                <c:pt idx="925">
                  <c:v>0.670180672881774</c:v>
                </c:pt>
                <c:pt idx="926">
                  <c:v>0.670715027442822</c:v>
                </c:pt>
                <c:pt idx="927">
                  <c:v>0.672107134535022</c:v>
                </c:pt>
                <c:pt idx="928">
                  <c:v>0.672558756990763</c:v>
                </c:pt>
                <c:pt idx="929">
                  <c:v>0.672933870454263</c:v>
                </c:pt>
                <c:pt idx="930">
                  <c:v>0.673801167002411</c:v>
                </c:pt>
                <c:pt idx="931">
                  <c:v>0.675264986947331</c:v>
                </c:pt>
                <c:pt idx="932">
                  <c:v>0.675833522266666</c:v>
                </c:pt>
                <c:pt idx="933">
                  <c:v>0.676111962813908</c:v>
                </c:pt>
                <c:pt idx="934">
                  <c:v>0.676539864961465</c:v>
                </c:pt>
                <c:pt idx="935">
                  <c:v>0.677365821062185</c:v>
                </c:pt>
                <c:pt idx="936">
                  <c:v>0.677620888105241</c:v>
                </c:pt>
                <c:pt idx="937">
                  <c:v>0.67803273871263</c:v>
                </c:pt>
                <c:pt idx="938">
                  <c:v>0.678960966964545</c:v>
                </c:pt>
                <c:pt idx="939">
                  <c:v>0.679801559660314</c:v>
                </c:pt>
                <c:pt idx="940">
                  <c:v>0.680780675158913</c:v>
                </c:pt>
                <c:pt idx="941">
                  <c:v>0.682832213236451</c:v>
                </c:pt>
                <c:pt idx="942">
                  <c:v>0.684619584434682</c:v>
                </c:pt>
                <c:pt idx="943">
                  <c:v>0.684939534871983</c:v>
                </c:pt>
                <c:pt idx="944">
                  <c:v>0.686480409055373</c:v>
                </c:pt>
                <c:pt idx="945">
                  <c:v>0.686867376091561</c:v>
                </c:pt>
                <c:pt idx="946">
                  <c:v>0.687085708371994</c:v>
                </c:pt>
                <c:pt idx="947">
                  <c:v>0.687209961192114</c:v>
                </c:pt>
                <c:pt idx="948">
                  <c:v>0.687566477570967</c:v>
                </c:pt>
                <c:pt idx="949">
                  <c:v>0.689663869437806</c:v>
                </c:pt>
                <c:pt idx="950">
                  <c:v>0.69072499306261</c:v>
                </c:pt>
                <c:pt idx="951">
                  <c:v>0.691014781968795</c:v>
                </c:pt>
                <c:pt idx="952">
                  <c:v>0.691241204765186</c:v>
                </c:pt>
                <c:pt idx="953">
                  <c:v>0.692328841550969</c:v>
                </c:pt>
                <c:pt idx="954">
                  <c:v>0.692831318146976</c:v>
                </c:pt>
                <c:pt idx="955">
                  <c:v>0.693277623003161</c:v>
                </c:pt>
                <c:pt idx="956">
                  <c:v>0.695756214878426</c:v>
                </c:pt>
                <c:pt idx="957">
                  <c:v>0.697563496252202</c:v>
                </c:pt>
                <c:pt idx="958">
                  <c:v>0.699360234471478</c:v>
                </c:pt>
                <c:pt idx="959">
                  <c:v>0.699612320565487</c:v>
                </c:pt>
                <c:pt idx="960">
                  <c:v>0.70001895412793</c:v>
                </c:pt>
                <c:pt idx="961">
                  <c:v>0.700461453880514</c:v>
                </c:pt>
                <c:pt idx="962">
                  <c:v>0.700912074650304</c:v>
                </c:pt>
                <c:pt idx="963">
                  <c:v>0.701307447223112</c:v>
                </c:pt>
                <c:pt idx="964">
                  <c:v>0.701469115392088</c:v>
                </c:pt>
                <c:pt idx="965">
                  <c:v>0.702156345743701</c:v>
                </c:pt>
                <c:pt idx="966">
                  <c:v>0.702782245718794</c:v>
                </c:pt>
                <c:pt idx="967">
                  <c:v>0.703184796007549</c:v>
                </c:pt>
                <c:pt idx="968">
                  <c:v>0.70340487925464</c:v>
                </c:pt>
                <c:pt idx="969">
                  <c:v>0.704103697882743</c:v>
                </c:pt>
                <c:pt idx="970">
                  <c:v>0.705559249881048</c:v>
                </c:pt>
                <c:pt idx="971">
                  <c:v>0.707139434688145</c:v>
                </c:pt>
                <c:pt idx="972">
                  <c:v>0.709426896223352</c:v>
                </c:pt>
                <c:pt idx="973">
                  <c:v>0.709473048567137</c:v>
                </c:pt>
                <c:pt idx="974">
                  <c:v>0.709521689995524</c:v>
                </c:pt>
                <c:pt idx="975">
                  <c:v>0.709743423410593</c:v>
                </c:pt>
                <c:pt idx="976">
                  <c:v>0.709790306176203</c:v>
                </c:pt>
                <c:pt idx="977">
                  <c:v>0.711807243446525</c:v>
                </c:pt>
                <c:pt idx="978">
                  <c:v>0.713071350099408</c:v>
                </c:pt>
                <c:pt idx="979">
                  <c:v>0.713887359961846</c:v>
                </c:pt>
                <c:pt idx="980">
                  <c:v>0.713988075277131</c:v>
                </c:pt>
                <c:pt idx="981">
                  <c:v>0.714199856553822</c:v>
                </c:pt>
                <c:pt idx="982">
                  <c:v>0.715179469389909</c:v>
                </c:pt>
                <c:pt idx="983">
                  <c:v>0.715740960102619</c:v>
                </c:pt>
                <c:pt idx="984">
                  <c:v>0.716630945355708</c:v>
                </c:pt>
                <c:pt idx="985">
                  <c:v>0.717384996054107</c:v>
                </c:pt>
                <c:pt idx="986">
                  <c:v>0.718687582294949</c:v>
                </c:pt>
                <c:pt idx="987">
                  <c:v>0.719240705310741</c:v>
                </c:pt>
                <c:pt idx="988">
                  <c:v>0.719692376353551</c:v>
                </c:pt>
                <c:pt idx="989">
                  <c:v>0.719923757187525</c:v>
                </c:pt>
                <c:pt idx="990">
                  <c:v>0.7203290650187</c:v>
                </c:pt>
                <c:pt idx="991">
                  <c:v>0.720570096305085</c:v>
                </c:pt>
                <c:pt idx="992">
                  <c:v>0.721180371579678</c:v>
                </c:pt>
                <c:pt idx="993">
                  <c:v>0.721379041710631</c:v>
                </c:pt>
                <c:pt idx="994">
                  <c:v>0.721586641795003</c:v>
                </c:pt>
                <c:pt idx="995">
                  <c:v>0.722350924362954</c:v>
                </c:pt>
                <c:pt idx="996">
                  <c:v>0.722969637903403</c:v>
                </c:pt>
                <c:pt idx="997">
                  <c:v>0.723474861502207</c:v>
                </c:pt>
                <c:pt idx="998">
                  <c:v>0.723909627723558</c:v>
                </c:pt>
                <c:pt idx="999">
                  <c:v>0.724204998747976</c:v>
                </c:pt>
                <c:pt idx="1000">
                  <c:v>0.72425494795714</c:v>
                </c:pt>
                <c:pt idx="1001">
                  <c:v>0.724804315295169</c:v>
                </c:pt>
                <c:pt idx="1002">
                  <c:v>0.725159568919117</c:v>
                </c:pt>
                <c:pt idx="1003">
                  <c:v>0.725636780164874</c:v>
                </c:pt>
                <c:pt idx="1004">
                  <c:v>0.725975213605061</c:v>
                </c:pt>
                <c:pt idx="1005">
                  <c:v>0.726172479290038</c:v>
                </c:pt>
                <c:pt idx="1006">
                  <c:v>0.726732329775456</c:v>
                </c:pt>
                <c:pt idx="1007">
                  <c:v>0.72770039312732</c:v>
                </c:pt>
                <c:pt idx="1008">
                  <c:v>0.728105201944797</c:v>
                </c:pt>
                <c:pt idx="1009">
                  <c:v>0.72855933043696</c:v>
                </c:pt>
                <c:pt idx="1010">
                  <c:v>0.729254066763079</c:v>
                </c:pt>
                <c:pt idx="1011">
                  <c:v>0.72981901364245</c:v>
                </c:pt>
                <c:pt idx="1012">
                  <c:v>0.730037474688314</c:v>
                </c:pt>
                <c:pt idx="1013">
                  <c:v>0.730440261829506</c:v>
                </c:pt>
                <c:pt idx="1014">
                  <c:v>0.731574815310742</c:v>
                </c:pt>
                <c:pt idx="1015">
                  <c:v>0.732117346813659</c:v>
                </c:pt>
                <c:pt idx="1016">
                  <c:v>0.732365862768016</c:v>
                </c:pt>
                <c:pt idx="1017">
                  <c:v>0.732970715431245</c:v>
                </c:pt>
                <c:pt idx="1018">
                  <c:v>0.735099738184706</c:v>
                </c:pt>
                <c:pt idx="1019">
                  <c:v>0.735299043068812</c:v>
                </c:pt>
                <c:pt idx="1020">
                  <c:v>0.736449559989032</c:v>
                </c:pt>
                <c:pt idx="1021">
                  <c:v>0.736858568443055</c:v>
                </c:pt>
                <c:pt idx="1022">
                  <c:v>0.737334738779207</c:v>
                </c:pt>
                <c:pt idx="1023">
                  <c:v>0.738226562959819</c:v>
                </c:pt>
                <c:pt idx="1024">
                  <c:v>0.739337379728599</c:v>
                </c:pt>
                <c:pt idx="1025">
                  <c:v>0.740792304261992</c:v>
                </c:pt>
                <c:pt idx="1026">
                  <c:v>0.740802235843385</c:v>
                </c:pt>
                <c:pt idx="1027">
                  <c:v>0.741478308467718</c:v>
                </c:pt>
                <c:pt idx="1028">
                  <c:v>0.742061528583396</c:v>
                </c:pt>
                <c:pt idx="1029">
                  <c:v>0.742487255689316</c:v>
                </c:pt>
                <c:pt idx="1030">
                  <c:v>0.744324373750895</c:v>
                </c:pt>
                <c:pt idx="1031">
                  <c:v>0.746284091711349</c:v>
                </c:pt>
                <c:pt idx="1032">
                  <c:v>0.746910527930199</c:v>
                </c:pt>
                <c:pt idx="1033">
                  <c:v>0.747335714237947</c:v>
                </c:pt>
                <c:pt idx="1034">
                  <c:v>0.747498553807019</c:v>
                </c:pt>
                <c:pt idx="1035">
                  <c:v>0.749415833336206</c:v>
                </c:pt>
                <c:pt idx="1036">
                  <c:v>0.750422581473273</c:v>
                </c:pt>
                <c:pt idx="1037">
                  <c:v>0.750616125402064</c:v>
                </c:pt>
                <c:pt idx="1038">
                  <c:v>0.751355730054632</c:v>
                </c:pt>
                <c:pt idx="1039">
                  <c:v>0.75187410024943</c:v>
                </c:pt>
                <c:pt idx="1040">
                  <c:v>0.752307018118559</c:v>
                </c:pt>
                <c:pt idx="1041">
                  <c:v>0.752862576542033</c:v>
                </c:pt>
                <c:pt idx="1042">
                  <c:v>0.752966049672756</c:v>
                </c:pt>
                <c:pt idx="1043">
                  <c:v>0.753438712803924</c:v>
                </c:pt>
                <c:pt idx="1044">
                  <c:v>0.753717358477568</c:v>
                </c:pt>
                <c:pt idx="1045">
                  <c:v>0.754001428597157</c:v>
                </c:pt>
                <c:pt idx="1046">
                  <c:v>0.755585698170709</c:v>
                </c:pt>
                <c:pt idx="1047">
                  <c:v>0.756774988203165</c:v>
                </c:pt>
                <c:pt idx="1048">
                  <c:v>0.756856078078605</c:v>
                </c:pt>
                <c:pt idx="1049">
                  <c:v>0.758379690648414</c:v>
                </c:pt>
                <c:pt idx="1050">
                  <c:v>0.758747979434879</c:v>
                </c:pt>
                <c:pt idx="1051">
                  <c:v>0.759187427117976</c:v>
                </c:pt>
                <c:pt idx="1052">
                  <c:v>0.760063360110423</c:v>
                </c:pt>
                <c:pt idx="1053">
                  <c:v>0.760205696982172</c:v>
                </c:pt>
                <c:pt idx="1054">
                  <c:v>0.761107342228404</c:v>
                </c:pt>
                <c:pt idx="1055">
                  <c:v>0.761266735041396</c:v>
                </c:pt>
                <c:pt idx="1056">
                  <c:v>0.765279473024969</c:v>
                </c:pt>
                <c:pt idx="1057">
                  <c:v>0.765403627815483</c:v>
                </c:pt>
                <c:pt idx="1058">
                  <c:v>0.766053712966645</c:v>
                </c:pt>
                <c:pt idx="1059">
                  <c:v>0.767313003663302</c:v>
                </c:pt>
                <c:pt idx="1060">
                  <c:v>0.768605723195923</c:v>
                </c:pt>
                <c:pt idx="1061">
                  <c:v>0.770129109680035</c:v>
                </c:pt>
                <c:pt idx="1062">
                  <c:v>0.77022685222009</c:v>
                </c:pt>
                <c:pt idx="1063">
                  <c:v>0.770606945799161</c:v>
                </c:pt>
                <c:pt idx="1064">
                  <c:v>0.770654594934165</c:v>
                </c:pt>
                <c:pt idx="1065">
                  <c:v>0.771462287069571</c:v>
                </c:pt>
                <c:pt idx="1066">
                  <c:v>0.772993883544121</c:v>
                </c:pt>
                <c:pt idx="1067">
                  <c:v>0.774962699344675</c:v>
                </c:pt>
                <c:pt idx="1068">
                  <c:v>0.775242335158437</c:v>
                </c:pt>
                <c:pt idx="1069">
                  <c:v>0.775611756893902</c:v>
                </c:pt>
                <c:pt idx="1070">
                  <c:v>0.775857819806228</c:v>
                </c:pt>
                <c:pt idx="1071">
                  <c:v>0.776106755244732</c:v>
                </c:pt>
                <c:pt idx="1072">
                  <c:v>0.776144995414034</c:v>
                </c:pt>
                <c:pt idx="1073">
                  <c:v>0.777309285688727</c:v>
                </c:pt>
                <c:pt idx="1074">
                  <c:v>0.778184762489778</c:v>
                </c:pt>
                <c:pt idx="1075">
                  <c:v>0.77828924171349</c:v>
                </c:pt>
                <c:pt idx="1076">
                  <c:v>0.780430056354915</c:v>
                </c:pt>
                <c:pt idx="1077">
                  <c:v>0.781376666062876</c:v>
                </c:pt>
                <c:pt idx="1078">
                  <c:v>0.782507034698939</c:v>
                </c:pt>
                <c:pt idx="1079">
                  <c:v>0.783365739323011</c:v>
                </c:pt>
                <c:pt idx="1080">
                  <c:v>0.784051362066042</c:v>
                </c:pt>
                <c:pt idx="1081">
                  <c:v>0.784586887525004</c:v>
                </c:pt>
                <c:pt idx="1082">
                  <c:v>0.784750239109907</c:v>
                </c:pt>
                <c:pt idx="1083">
                  <c:v>0.785003587539153</c:v>
                </c:pt>
                <c:pt idx="1084">
                  <c:v>0.78554092652162</c:v>
                </c:pt>
                <c:pt idx="1085">
                  <c:v>0.787260679614635</c:v>
                </c:pt>
                <c:pt idx="1086">
                  <c:v>0.788394769439657</c:v>
                </c:pt>
                <c:pt idx="1087">
                  <c:v>0.789137307679719</c:v>
                </c:pt>
                <c:pt idx="1088">
                  <c:v>0.79010682126104</c:v>
                </c:pt>
                <c:pt idx="1089">
                  <c:v>0.790640161866361</c:v>
                </c:pt>
                <c:pt idx="1090">
                  <c:v>0.791834913008923</c:v>
                </c:pt>
                <c:pt idx="1091">
                  <c:v>0.79193758636232</c:v>
                </c:pt>
                <c:pt idx="1092">
                  <c:v>0.793467540807015</c:v>
                </c:pt>
                <c:pt idx="1093">
                  <c:v>0.794111573798433</c:v>
                </c:pt>
                <c:pt idx="1094">
                  <c:v>0.794852665410097</c:v>
                </c:pt>
                <c:pt idx="1095">
                  <c:v>0.796231115582559</c:v>
                </c:pt>
                <c:pt idx="1096">
                  <c:v>0.796254846682359</c:v>
                </c:pt>
                <c:pt idx="1097">
                  <c:v>0.796327191055506</c:v>
                </c:pt>
                <c:pt idx="1098">
                  <c:v>0.796528779308884</c:v>
                </c:pt>
                <c:pt idx="1099">
                  <c:v>0.796947433123159</c:v>
                </c:pt>
                <c:pt idx="1100">
                  <c:v>0.796952838861059</c:v>
                </c:pt>
                <c:pt idx="1101">
                  <c:v>0.796982958627729</c:v>
                </c:pt>
                <c:pt idx="1102">
                  <c:v>0.79737639386087</c:v>
                </c:pt>
                <c:pt idx="1103">
                  <c:v>0.798580957118863</c:v>
                </c:pt>
                <c:pt idx="1104">
                  <c:v>0.798652768820723</c:v>
                </c:pt>
                <c:pt idx="1105">
                  <c:v>0.80007942775261</c:v>
                </c:pt>
                <c:pt idx="1106">
                  <c:v>0.800510195080058</c:v>
                </c:pt>
                <c:pt idx="1107">
                  <c:v>0.801913644283091</c:v>
                </c:pt>
                <c:pt idx="1108">
                  <c:v>0.802719726660857</c:v>
                </c:pt>
                <c:pt idx="1109">
                  <c:v>0.802778592943375</c:v>
                </c:pt>
                <c:pt idx="1110">
                  <c:v>0.805248760824445</c:v>
                </c:pt>
                <c:pt idx="1111">
                  <c:v>0.805610110813622</c:v>
                </c:pt>
                <c:pt idx="1112">
                  <c:v>0.80607869272928</c:v>
                </c:pt>
                <c:pt idx="1113">
                  <c:v>0.80612315018394</c:v>
                </c:pt>
                <c:pt idx="1114">
                  <c:v>0.806815781484539</c:v>
                </c:pt>
                <c:pt idx="1115">
                  <c:v>0.807339442441761</c:v>
                </c:pt>
                <c:pt idx="1116">
                  <c:v>0.807482875953785</c:v>
                </c:pt>
                <c:pt idx="1117">
                  <c:v>0.807628880653494</c:v>
                </c:pt>
                <c:pt idx="1118">
                  <c:v>0.808040251869944</c:v>
                </c:pt>
                <c:pt idx="1119">
                  <c:v>0.808065269977517</c:v>
                </c:pt>
                <c:pt idx="1120">
                  <c:v>0.810743985341079</c:v>
                </c:pt>
                <c:pt idx="1121">
                  <c:v>0.810862311550858</c:v>
                </c:pt>
                <c:pt idx="1122">
                  <c:v>0.812969888690405</c:v>
                </c:pt>
                <c:pt idx="1123">
                  <c:v>0.813175992179515</c:v>
                </c:pt>
                <c:pt idx="1124">
                  <c:v>0.816324895477817</c:v>
                </c:pt>
                <c:pt idx="1125">
                  <c:v>0.817150229471862</c:v>
                </c:pt>
                <c:pt idx="1126">
                  <c:v>0.817657087053154</c:v>
                </c:pt>
                <c:pt idx="1127">
                  <c:v>0.818177223052892</c:v>
                </c:pt>
                <c:pt idx="1128">
                  <c:v>0.81884881955461</c:v>
                </c:pt>
                <c:pt idx="1129">
                  <c:v>0.819129952721082</c:v>
                </c:pt>
                <c:pt idx="1130">
                  <c:v>0.819229622921667</c:v>
                </c:pt>
                <c:pt idx="1131">
                  <c:v>0.819666826753982</c:v>
                </c:pt>
                <c:pt idx="1132">
                  <c:v>0.820454450348728</c:v>
                </c:pt>
                <c:pt idx="1133">
                  <c:v>0.821800033982888</c:v>
                </c:pt>
                <c:pt idx="1134">
                  <c:v>0.821907519842853</c:v>
                </c:pt>
                <c:pt idx="1135">
                  <c:v>0.821993129152133</c:v>
                </c:pt>
                <c:pt idx="1136">
                  <c:v>0.822242437114683</c:v>
                </c:pt>
                <c:pt idx="1137">
                  <c:v>0.823758213199144</c:v>
                </c:pt>
                <c:pt idx="1138">
                  <c:v>0.823905831831602</c:v>
                </c:pt>
                <c:pt idx="1139">
                  <c:v>0.8247045300014</c:v>
                </c:pt>
                <c:pt idx="1140">
                  <c:v>0.825905322763035</c:v>
                </c:pt>
                <c:pt idx="1141">
                  <c:v>0.826755477886555</c:v>
                </c:pt>
                <c:pt idx="1142">
                  <c:v>0.827040802035741</c:v>
                </c:pt>
                <c:pt idx="1143">
                  <c:v>0.82814415896058</c:v>
                </c:pt>
                <c:pt idx="1144">
                  <c:v>0.828702250126939</c:v>
                </c:pt>
                <c:pt idx="1145">
                  <c:v>0.828719102127119</c:v>
                </c:pt>
                <c:pt idx="1146">
                  <c:v>0.829292932596382</c:v>
                </c:pt>
                <c:pt idx="1147">
                  <c:v>0.830358197633797</c:v>
                </c:pt>
                <c:pt idx="1148">
                  <c:v>0.830638131161537</c:v>
                </c:pt>
                <c:pt idx="1149">
                  <c:v>0.83076217297712</c:v>
                </c:pt>
                <c:pt idx="1150">
                  <c:v>0.831087040027803</c:v>
                </c:pt>
                <c:pt idx="1151">
                  <c:v>0.8311223112777</c:v>
                </c:pt>
                <c:pt idx="1152">
                  <c:v>0.831626132136893</c:v>
                </c:pt>
                <c:pt idx="1153">
                  <c:v>0.832630567321215</c:v>
                </c:pt>
                <c:pt idx="1154">
                  <c:v>0.833237775237749</c:v>
                </c:pt>
                <c:pt idx="1155">
                  <c:v>0.833381996130392</c:v>
                </c:pt>
                <c:pt idx="1156">
                  <c:v>0.833869123655065</c:v>
                </c:pt>
                <c:pt idx="1157">
                  <c:v>0.835920429181158</c:v>
                </c:pt>
                <c:pt idx="1158">
                  <c:v>0.836022339748178</c:v>
                </c:pt>
                <c:pt idx="1159">
                  <c:v>0.836386369112093</c:v>
                </c:pt>
                <c:pt idx="1160">
                  <c:v>0.836434636313354</c:v>
                </c:pt>
                <c:pt idx="1161">
                  <c:v>0.837725296701949</c:v>
                </c:pt>
                <c:pt idx="1162">
                  <c:v>0.837795484760897</c:v>
                </c:pt>
                <c:pt idx="1163">
                  <c:v>0.838761340178932</c:v>
                </c:pt>
                <c:pt idx="1164">
                  <c:v>0.83962632237529</c:v>
                </c:pt>
                <c:pt idx="1165">
                  <c:v>0.839871657528276</c:v>
                </c:pt>
                <c:pt idx="1166">
                  <c:v>0.841145748376827</c:v>
                </c:pt>
                <c:pt idx="1167">
                  <c:v>0.841986936849207</c:v>
                </c:pt>
                <c:pt idx="1168">
                  <c:v>0.842496023562942</c:v>
                </c:pt>
                <c:pt idx="1169">
                  <c:v>0.842546054030388</c:v>
                </c:pt>
                <c:pt idx="1170">
                  <c:v>0.842604227742947</c:v>
                </c:pt>
                <c:pt idx="1171">
                  <c:v>0.842854722585346</c:v>
                </c:pt>
                <c:pt idx="1172">
                  <c:v>0.84473597913956</c:v>
                </c:pt>
                <c:pt idx="1173">
                  <c:v>0.845190187762098</c:v>
                </c:pt>
                <c:pt idx="1174">
                  <c:v>0.845488915042048</c:v>
                </c:pt>
                <c:pt idx="1175">
                  <c:v>0.845551224477775</c:v>
                </c:pt>
                <c:pt idx="1176">
                  <c:v>0.846367603489031</c:v>
                </c:pt>
                <c:pt idx="1177">
                  <c:v>0.847863399747511</c:v>
                </c:pt>
                <c:pt idx="1178">
                  <c:v>0.848511377295015</c:v>
                </c:pt>
                <c:pt idx="1179">
                  <c:v>0.849370621970207</c:v>
                </c:pt>
                <c:pt idx="1180">
                  <c:v>0.849418055177221</c:v>
                </c:pt>
                <c:pt idx="1181">
                  <c:v>0.849796065900869</c:v>
                </c:pt>
                <c:pt idx="1182">
                  <c:v>0.850665943209656</c:v>
                </c:pt>
                <c:pt idx="1183">
                  <c:v>0.851335643096749</c:v>
                </c:pt>
                <c:pt idx="1184">
                  <c:v>0.851439811386733</c:v>
                </c:pt>
                <c:pt idx="1185">
                  <c:v>0.85144867664579</c:v>
                </c:pt>
                <c:pt idx="1186">
                  <c:v>0.853061832526684</c:v>
                </c:pt>
                <c:pt idx="1187">
                  <c:v>0.853759862738108</c:v>
                </c:pt>
                <c:pt idx="1188">
                  <c:v>0.856276186943554</c:v>
                </c:pt>
                <c:pt idx="1189">
                  <c:v>0.856862299228596</c:v>
                </c:pt>
                <c:pt idx="1190">
                  <c:v>0.857051607012363</c:v>
                </c:pt>
                <c:pt idx="1191">
                  <c:v>0.85806608379324</c:v>
                </c:pt>
                <c:pt idx="1192">
                  <c:v>0.858443221799694</c:v>
                </c:pt>
                <c:pt idx="1193">
                  <c:v>0.860950685268657</c:v>
                </c:pt>
                <c:pt idx="1194">
                  <c:v>0.861358675196381</c:v>
                </c:pt>
                <c:pt idx="1195">
                  <c:v>0.862351671754628</c:v>
                </c:pt>
                <c:pt idx="1196">
                  <c:v>0.862553320961971</c:v>
                </c:pt>
                <c:pt idx="1197">
                  <c:v>0.863289125525869</c:v>
                </c:pt>
                <c:pt idx="1198">
                  <c:v>0.86339876789707</c:v>
                </c:pt>
                <c:pt idx="1199">
                  <c:v>0.865148505420539</c:v>
                </c:pt>
                <c:pt idx="1200">
                  <c:v>0.865939350644655</c:v>
                </c:pt>
                <c:pt idx="1201">
                  <c:v>0.865948610460069</c:v>
                </c:pt>
                <c:pt idx="1202">
                  <c:v>0.866054768432842</c:v>
                </c:pt>
                <c:pt idx="1203">
                  <c:v>0.86676523083054</c:v>
                </c:pt>
                <c:pt idx="1204">
                  <c:v>0.867134955813336</c:v>
                </c:pt>
                <c:pt idx="1205">
                  <c:v>0.867665597793068</c:v>
                </c:pt>
                <c:pt idx="1206">
                  <c:v>0.867755099163586</c:v>
                </c:pt>
                <c:pt idx="1207">
                  <c:v>0.868960472800477</c:v>
                </c:pt>
                <c:pt idx="1208">
                  <c:v>0.869408746177125</c:v>
                </c:pt>
                <c:pt idx="1209">
                  <c:v>0.869688919694516</c:v>
                </c:pt>
                <c:pt idx="1210">
                  <c:v>0.870111192296461</c:v>
                </c:pt>
                <c:pt idx="1211">
                  <c:v>0.870724937082665</c:v>
                </c:pt>
                <c:pt idx="1212">
                  <c:v>0.871254243052051</c:v>
                </c:pt>
                <c:pt idx="1213">
                  <c:v>0.871650673675384</c:v>
                </c:pt>
                <c:pt idx="1214">
                  <c:v>0.872988765996221</c:v>
                </c:pt>
                <c:pt idx="1215">
                  <c:v>0.873245759027529</c:v>
                </c:pt>
                <c:pt idx="1216">
                  <c:v>0.87414626895907</c:v>
                </c:pt>
                <c:pt idx="1217">
                  <c:v>0.874365231876629</c:v>
                </c:pt>
                <c:pt idx="1218">
                  <c:v>0.877153215838314</c:v>
                </c:pt>
                <c:pt idx="1219">
                  <c:v>0.877198971907343</c:v>
                </c:pt>
                <c:pt idx="1220">
                  <c:v>0.877396443801433</c:v>
                </c:pt>
                <c:pt idx="1221">
                  <c:v>0.878510730637663</c:v>
                </c:pt>
                <c:pt idx="1222">
                  <c:v>0.879940960769856</c:v>
                </c:pt>
                <c:pt idx="1223">
                  <c:v>0.880188901539601</c:v>
                </c:pt>
                <c:pt idx="1224">
                  <c:v>0.880255619291252</c:v>
                </c:pt>
                <c:pt idx="1225">
                  <c:v>0.881187066100937</c:v>
                </c:pt>
                <c:pt idx="1226">
                  <c:v>0.882111260326507</c:v>
                </c:pt>
                <c:pt idx="1227">
                  <c:v>0.883457436579306</c:v>
                </c:pt>
                <c:pt idx="1228">
                  <c:v>0.88359261882551</c:v>
                </c:pt>
                <c:pt idx="1229">
                  <c:v>0.885119032010364</c:v>
                </c:pt>
                <c:pt idx="1230">
                  <c:v>0.885256142574472</c:v>
                </c:pt>
                <c:pt idx="1231">
                  <c:v>0.885764987403144</c:v>
                </c:pt>
                <c:pt idx="1232">
                  <c:v>0.885958954832115</c:v>
                </c:pt>
                <c:pt idx="1233">
                  <c:v>0.886098857472299</c:v>
                </c:pt>
                <c:pt idx="1234">
                  <c:v>0.886108017280892</c:v>
                </c:pt>
                <c:pt idx="1235">
                  <c:v>0.888804391197117</c:v>
                </c:pt>
                <c:pt idx="1236">
                  <c:v>0.889335441462826</c:v>
                </c:pt>
                <c:pt idx="1237">
                  <c:v>0.890616566733992</c:v>
                </c:pt>
                <c:pt idx="1238">
                  <c:v>0.89253942880873</c:v>
                </c:pt>
                <c:pt idx="1239">
                  <c:v>0.893540377973655</c:v>
                </c:pt>
                <c:pt idx="1240">
                  <c:v>0.894305821481613</c:v>
                </c:pt>
                <c:pt idx="1241">
                  <c:v>0.894543036294358</c:v>
                </c:pt>
                <c:pt idx="1242">
                  <c:v>0.895285969543272</c:v>
                </c:pt>
                <c:pt idx="1243">
                  <c:v>0.895819668274693</c:v>
                </c:pt>
                <c:pt idx="1244">
                  <c:v>0.896390279512805</c:v>
                </c:pt>
                <c:pt idx="1245">
                  <c:v>0.898101972852397</c:v>
                </c:pt>
                <c:pt idx="1246">
                  <c:v>0.899434882149082</c:v>
                </c:pt>
                <c:pt idx="1247">
                  <c:v>0.901394084302803</c:v>
                </c:pt>
                <c:pt idx="1248">
                  <c:v>0.901535578684474</c:v>
                </c:pt>
                <c:pt idx="1249">
                  <c:v>0.901998266831665</c:v>
                </c:pt>
                <c:pt idx="1250">
                  <c:v>0.902608746153718</c:v>
                </c:pt>
                <c:pt idx="1251">
                  <c:v>0.903190001165897</c:v>
                </c:pt>
                <c:pt idx="1252">
                  <c:v>0.903645356408203</c:v>
                </c:pt>
                <c:pt idx="1253">
                  <c:v>0.904931062481588</c:v>
                </c:pt>
                <c:pt idx="1254">
                  <c:v>0.905476982184642</c:v>
                </c:pt>
                <c:pt idx="1255">
                  <c:v>0.905593298190219</c:v>
                </c:pt>
                <c:pt idx="1256">
                  <c:v>0.905593641970148</c:v>
                </c:pt>
                <c:pt idx="1257">
                  <c:v>0.90608310671831</c:v>
                </c:pt>
                <c:pt idx="1258">
                  <c:v>0.906153183133717</c:v>
                </c:pt>
                <c:pt idx="1259">
                  <c:v>0.906687792112717</c:v>
                </c:pt>
                <c:pt idx="1260">
                  <c:v>0.907026565364476</c:v>
                </c:pt>
                <c:pt idx="1261">
                  <c:v>0.907240906772808</c:v>
                </c:pt>
                <c:pt idx="1262">
                  <c:v>0.908296218299489</c:v>
                </c:pt>
                <c:pt idx="1263">
                  <c:v>0.908636720891713</c:v>
                </c:pt>
                <c:pt idx="1264">
                  <c:v>0.908853413835523</c:v>
                </c:pt>
                <c:pt idx="1265">
                  <c:v>0.910721986063188</c:v>
                </c:pt>
                <c:pt idx="1266">
                  <c:v>0.911031138428056</c:v>
                </c:pt>
                <c:pt idx="1267">
                  <c:v>0.912344114797507</c:v>
                </c:pt>
                <c:pt idx="1268">
                  <c:v>0.913337106217243</c:v>
                </c:pt>
                <c:pt idx="1269">
                  <c:v>0.913749478590235</c:v>
                </c:pt>
                <c:pt idx="1270">
                  <c:v>0.914008046628711</c:v>
                </c:pt>
                <c:pt idx="1271">
                  <c:v>0.914561019335255</c:v>
                </c:pt>
                <c:pt idx="1272">
                  <c:v>0.914954762052726</c:v>
                </c:pt>
                <c:pt idx="1273">
                  <c:v>0.915371357565521</c:v>
                </c:pt>
                <c:pt idx="1274">
                  <c:v>0.916572345186316</c:v>
                </c:pt>
                <c:pt idx="1275">
                  <c:v>0.917136441633183</c:v>
                </c:pt>
                <c:pt idx="1276">
                  <c:v>0.917906285588616</c:v>
                </c:pt>
                <c:pt idx="1277">
                  <c:v>0.920202552401506</c:v>
                </c:pt>
                <c:pt idx="1278">
                  <c:v>0.920686061086341</c:v>
                </c:pt>
                <c:pt idx="1279">
                  <c:v>0.921069398386854</c:v>
                </c:pt>
                <c:pt idx="1280">
                  <c:v>0.923475423114854</c:v>
                </c:pt>
                <c:pt idx="1281">
                  <c:v>0.923999916139253</c:v>
                </c:pt>
                <c:pt idx="1282">
                  <c:v>0.924881478749098</c:v>
                </c:pt>
                <c:pt idx="1283">
                  <c:v>0.925060166145276</c:v>
                </c:pt>
                <c:pt idx="1284">
                  <c:v>0.925259041706683</c:v>
                </c:pt>
                <c:pt idx="1285">
                  <c:v>0.927030182112959</c:v>
                </c:pt>
                <c:pt idx="1286">
                  <c:v>0.927468667550992</c:v>
                </c:pt>
                <c:pt idx="1287">
                  <c:v>0.927730553915593</c:v>
                </c:pt>
                <c:pt idx="1288">
                  <c:v>0.928008873249488</c:v>
                </c:pt>
                <c:pt idx="1289">
                  <c:v>0.929724940917648</c:v>
                </c:pt>
                <c:pt idx="1290">
                  <c:v>0.930079022829808</c:v>
                </c:pt>
                <c:pt idx="1291">
                  <c:v>0.931085147257993</c:v>
                </c:pt>
                <c:pt idx="1292">
                  <c:v>0.931364729801954</c:v>
                </c:pt>
                <c:pt idx="1293">
                  <c:v>0.931432061387838</c:v>
                </c:pt>
                <c:pt idx="1294">
                  <c:v>0.932159071685163</c:v>
                </c:pt>
                <c:pt idx="1295">
                  <c:v>0.932703732072162</c:v>
                </c:pt>
                <c:pt idx="1296">
                  <c:v>0.93291228098329</c:v>
                </c:pt>
                <c:pt idx="1297">
                  <c:v>0.933949114494892</c:v>
                </c:pt>
                <c:pt idx="1298">
                  <c:v>0.934445039950324</c:v>
                </c:pt>
                <c:pt idx="1299">
                  <c:v>0.934458497477239</c:v>
                </c:pt>
                <c:pt idx="1300">
                  <c:v>0.935598407527065</c:v>
                </c:pt>
                <c:pt idx="1301">
                  <c:v>0.935726948240083</c:v>
                </c:pt>
                <c:pt idx="1302">
                  <c:v>0.936179341933267</c:v>
                </c:pt>
                <c:pt idx="1303">
                  <c:v>0.936460014480343</c:v>
                </c:pt>
                <c:pt idx="1304">
                  <c:v>0.937162773090416</c:v>
                </c:pt>
                <c:pt idx="1305">
                  <c:v>0.937692576234882</c:v>
                </c:pt>
                <c:pt idx="1306">
                  <c:v>0.937933878979764</c:v>
                </c:pt>
                <c:pt idx="1307">
                  <c:v>0.938184277334314</c:v>
                </c:pt>
                <c:pt idx="1308">
                  <c:v>0.940040415081472</c:v>
                </c:pt>
                <c:pt idx="1309">
                  <c:v>0.940627562760426</c:v>
                </c:pt>
                <c:pt idx="1310">
                  <c:v>0.94080332221172</c:v>
                </c:pt>
                <c:pt idx="1311">
                  <c:v>0.940992324493352</c:v>
                </c:pt>
                <c:pt idx="1312">
                  <c:v>0.941576421315555</c:v>
                </c:pt>
                <c:pt idx="1313">
                  <c:v>0.943986632396707</c:v>
                </c:pt>
                <c:pt idx="1314">
                  <c:v>0.947657896143261</c:v>
                </c:pt>
                <c:pt idx="1315">
                  <c:v>0.948735197542526</c:v>
                </c:pt>
                <c:pt idx="1316">
                  <c:v>0.94915567604554</c:v>
                </c:pt>
                <c:pt idx="1317">
                  <c:v>0.949487816126232</c:v>
                </c:pt>
                <c:pt idx="1318">
                  <c:v>0.949578097754059</c:v>
                </c:pt>
                <c:pt idx="1319">
                  <c:v>0.951275939419625</c:v>
                </c:pt>
                <c:pt idx="1320">
                  <c:v>0.951838179638109</c:v>
                </c:pt>
                <c:pt idx="1321">
                  <c:v>0.9520489826697</c:v>
                </c:pt>
                <c:pt idx="1322">
                  <c:v>0.952420302693408</c:v>
                </c:pt>
                <c:pt idx="1323">
                  <c:v>0.954669268639352</c:v>
                </c:pt>
                <c:pt idx="1324">
                  <c:v>0.954685437104282</c:v>
                </c:pt>
                <c:pt idx="1325">
                  <c:v>0.956605612083506</c:v>
                </c:pt>
                <c:pt idx="1326">
                  <c:v>0.957059235553939</c:v>
                </c:pt>
                <c:pt idx="1327">
                  <c:v>0.957214105468381</c:v>
                </c:pt>
                <c:pt idx="1328">
                  <c:v>0.957918944109435</c:v>
                </c:pt>
                <c:pt idx="1329">
                  <c:v>0.959375343009507</c:v>
                </c:pt>
                <c:pt idx="1330">
                  <c:v>0.96025051831685</c:v>
                </c:pt>
                <c:pt idx="1331">
                  <c:v>0.960568068978112</c:v>
                </c:pt>
                <c:pt idx="1332">
                  <c:v>0.960964735432928</c:v>
                </c:pt>
                <c:pt idx="1333">
                  <c:v>0.961916367766766</c:v>
                </c:pt>
                <c:pt idx="1334">
                  <c:v>0.963082763768095</c:v>
                </c:pt>
                <c:pt idx="1335">
                  <c:v>0.963565032527202</c:v>
                </c:pt>
                <c:pt idx="1336">
                  <c:v>0.964298814949454</c:v>
                </c:pt>
                <c:pt idx="1337">
                  <c:v>0.964479135966846</c:v>
                </c:pt>
                <c:pt idx="1338">
                  <c:v>0.964781578626621</c:v>
                </c:pt>
                <c:pt idx="1339">
                  <c:v>0.964996032235002</c:v>
                </c:pt>
                <c:pt idx="1340">
                  <c:v>0.96584795391917</c:v>
                </c:pt>
                <c:pt idx="1341">
                  <c:v>0.966516050430153</c:v>
                </c:pt>
                <c:pt idx="1342">
                  <c:v>0.968078803840691</c:v>
                </c:pt>
                <c:pt idx="1343">
                  <c:v>0.972225145658893</c:v>
                </c:pt>
                <c:pt idx="1344">
                  <c:v>0.972342934458124</c:v>
                </c:pt>
                <c:pt idx="1345">
                  <c:v>0.972426543657544</c:v>
                </c:pt>
                <c:pt idx="1346">
                  <c:v>0.972862677365938</c:v>
                </c:pt>
                <c:pt idx="1347">
                  <c:v>0.973266464456222</c:v>
                </c:pt>
                <c:pt idx="1348">
                  <c:v>0.976798796437508</c:v>
                </c:pt>
                <c:pt idx="1349">
                  <c:v>0.977161610825148</c:v>
                </c:pt>
                <c:pt idx="1350">
                  <c:v>0.977222309677639</c:v>
                </c:pt>
                <c:pt idx="1351">
                  <c:v>0.978399964082405</c:v>
                </c:pt>
                <c:pt idx="1352">
                  <c:v>0.978400358365027</c:v>
                </c:pt>
                <c:pt idx="1353">
                  <c:v>0.978518240923326</c:v>
                </c:pt>
                <c:pt idx="1354">
                  <c:v>0.979746404023116</c:v>
                </c:pt>
                <c:pt idx="1355">
                  <c:v>0.979827507350344</c:v>
                </c:pt>
                <c:pt idx="1356">
                  <c:v>0.979867397435335</c:v>
                </c:pt>
                <c:pt idx="1357">
                  <c:v>0.980181236748565</c:v>
                </c:pt>
                <c:pt idx="1358">
                  <c:v>0.980711972719304</c:v>
                </c:pt>
                <c:pt idx="1359">
                  <c:v>0.981195987982735</c:v>
                </c:pt>
                <c:pt idx="1360">
                  <c:v>0.9817175219042</c:v>
                </c:pt>
                <c:pt idx="1361">
                  <c:v>0.985411461187846</c:v>
                </c:pt>
                <c:pt idx="1362">
                  <c:v>0.985468358330543</c:v>
                </c:pt>
                <c:pt idx="1363">
                  <c:v>0.986073191963986</c:v>
                </c:pt>
                <c:pt idx="1364">
                  <c:v>0.986158831265895</c:v>
                </c:pt>
                <c:pt idx="1365">
                  <c:v>0.986683821110683</c:v>
                </c:pt>
                <c:pt idx="1366">
                  <c:v>0.987439502994451</c:v>
                </c:pt>
                <c:pt idx="1367">
                  <c:v>0.987572406495659</c:v>
                </c:pt>
                <c:pt idx="1368">
                  <c:v>0.988069304076342</c:v>
                </c:pt>
                <c:pt idx="1369">
                  <c:v>0.988234501249639</c:v>
                </c:pt>
                <c:pt idx="1370">
                  <c:v>0.98843553344793</c:v>
                </c:pt>
                <c:pt idx="1371">
                  <c:v>0.988788509961034</c:v>
                </c:pt>
                <c:pt idx="1372">
                  <c:v>0.989711969373242</c:v>
                </c:pt>
                <c:pt idx="1373">
                  <c:v>0.989853728585281</c:v>
                </c:pt>
                <c:pt idx="1374">
                  <c:v>0.990690547343055</c:v>
                </c:pt>
                <c:pt idx="1375">
                  <c:v>0.990826255885033</c:v>
                </c:pt>
                <c:pt idx="1376">
                  <c:v>0.991107337764991</c:v>
                </c:pt>
                <c:pt idx="1377">
                  <c:v>0.992310482558</c:v>
                </c:pt>
                <c:pt idx="1378">
                  <c:v>0.992918717948728</c:v>
                </c:pt>
                <c:pt idx="1379">
                  <c:v>0.99378102121163</c:v>
                </c:pt>
                <c:pt idx="1380">
                  <c:v>0.995045293298033</c:v>
                </c:pt>
                <c:pt idx="1381">
                  <c:v>0.995123817543273</c:v>
                </c:pt>
                <c:pt idx="1382">
                  <c:v>0.996192516647175</c:v>
                </c:pt>
                <c:pt idx="1383">
                  <c:v>0.996661865002935</c:v>
                </c:pt>
                <c:pt idx="1384">
                  <c:v>0.99929539017341</c:v>
                </c:pt>
                <c:pt idx="1385">
                  <c:v>0.999905772034036</c:v>
                </c:pt>
              </c:numCache>
            </c:numRef>
          </c:yVal>
          <c:smooth val="0"/>
        </c:ser>
        <c:axId val="16000570"/>
        <c:axId val="15805102"/>
      </c:scatterChart>
      <c:valAx>
        <c:axId val="16000570"/>
        <c:scaling>
          <c:orientation val="minMax"/>
          <c:max val="1"/>
          <c:min val="0"/>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Observed cumulative probability</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05102"/>
        <c:crosses val="autoZero"/>
        <c:crossBetween val="midCat"/>
      </c:valAx>
      <c:valAx>
        <c:axId val="15805102"/>
        <c:scaling>
          <c:orientation val="minMax"/>
          <c:max val="1"/>
          <c:min val="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Expected cumulative probability</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000570"/>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19</xdr:row>
      <xdr:rowOff>459360</xdr:rowOff>
    </xdr:from>
    <xdr:to>
      <xdr:col>17</xdr:col>
      <xdr:colOff>676080</xdr:colOff>
      <xdr:row>35</xdr:row>
      <xdr:rowOff>61920</xdr:rowOff>
    </xdr:to>
    <xdr:graphicFrame>
      <xdr:nvGraphicFramePr>
        <xdr:cNvPr id="0" name="Chart 1"/>
        <xdr:cNvGraphicFramePr/>
      </xdr:nvGraphicFramePr>
      <xdr:xfrm>
        <a:off x="15986160" y="4191120"/>
        <a:ext cx="6378480" cy="30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37</xdr:row>
      <xdr:rowOff>62280</xdr:rowOff>
    </xdr:from>
    <xdr:to>
      <xdr:col>17</xdr:col>
      <xdr:colOff>676080</xdr:colOff>
      <xdr:row>53</xdr:row>
      <xdr:rowOff>61920</xdr:rowOff>
    </xdr:to>
    <xdr:graphicFrame>
      <xdr:nvGraphicFramePr>
        <xdr:cNvPr id="1" name="Chart 2"/>
        <xdr:cNvGraphicFramePr/>
      </xdr:nvGraphicFramePr>
      <xdr:xfrm>
        <a:off x="15986160" y="7620120"/>
        <a:ext cx="6378480" cy="3047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71"/>
    <col collapsed="false" customWidth="true" hidden="false" outlineLevel="0" max="2" min="2" style="0" width="110.71"/>
  </cols>
  <sheetData>
    <row r="1" customFormat="false" ht="17.35" hidden="false" customHeight="false" outlineLevel="0" collapsed="false">
      <c r="A1" s="1" t="s">
        <v>0</v>
      </c>
    </row>
    <row r="3" customFormat="false" ht="48" hidden="false" customHeight="true" outlineLevel="0" collapsed="false">
      <c r="A3" s="2" t="s">
        <v>1</v>
      </c>
      <c r="B3" s="3" t="s">
        <v>2</v>
      </c>
    </row>
    <row r="4" customFormat="false" ht="48" hidden="false" customHeight="true" outlineLevel="0" collapsed="false">
      <c r="A4" s="2" t="s">
        <v>3</v>
      </c>
      <c r="B4" s="3" t="s">
        <v>4</v>
      </c>
    </row>
    <row r="5" customFormat="false" ht="48" hidden="false" customHeight="true" outlineLevel="0" collapsed="false">
      <c r="A5" s="2" t="s">
        <v>5</v>
      </c>
      <c r="B5" s="3" t="s">
        <v>6</v>
      </c>
    </row>
    <row r="6" customFormat="false" ht="48" hidden="false" customHeight="true" outlineLevel="0" collapsed="false">
      <c r="A6" s="2" t="s">
        <v>7</v>
      </c>
      <c r="B6" s="3" t="s">
        <v>8</v>
      </c>
    </row>
    <row r="7" customFormat="false" ht="48" hidden="false" customHeight="true" outlineLevel="0" collapsed="false">
      <c r="A7" s="2" t="s">
        <v>9</v>
      </c>
      <c r="B7" s="3" t="s">
        <v>10</v>
      </c>
    </row>
    <row r="8" customFormat="false" ht="48" hidden="false" customHeight="true" outlineLevel="0" collapsed="false">
      <c r="A8" s="2" t="s">
        <v>11</v>
      </c>
      <c r="B8" s="3" t="s">
        <v>12</v>
      </c>
    </row>
    <row r="9" customFormat="false" ht="48" hidden="false" customHeight="true" outlineLevel="0" collapsed="false">
      <c r="A9" s="2" t="s">
        <v>13</v>
      </c>
      <c r="B9" s="3" t="s">
        <v>14</v>
      </c>
    </row>
    <row r="10" customFormat="false" ht="48" hidden="false" customHeight="true" outlineLevel="0" collapsed="false">
      <c r="A10" s="2" t="s">
        <v>15</v>
      </c>
      <c r="B10" s="3" t="s">
        <v>16</v>
      </c>
    </row>
    <row r="11" customFormat="false" ht="48" hidden="false" customHeight="true" outlineLevel="0" collapsed="false">
      <c r="A11" s="2" t="s">
        <v>17</v>
      </c>
      <c r="B11" s="3" t="s">
        <v>18</v>
      </c>
    </row>
    <row r="12" customFormat="false" ht="48" hidden="false" customHeight="true" outlineLevel="0" collapsed="false">
      <c r="A12" s="2" t="s">
        <v>19</v>
      </c>
      <c r="B12"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72"/>
    <col collapsed="false" customWidth="true" hidden="false" outlineLevel="0" max="2" min="2" style="0" width="8.71"/>
    <col collapsed="false" customWidth="true" hidden="false" outlineLevel="0" max="3" min="3" style="0" width="26.71"/>
    <col collapsed="false" customWidth="true" hidden="false" outlineLevel="0" max="12" min="4" style="0" width="13.72"/>
  </cols>
  <sheetData>
    <row r="1" customFormat="false" ht="23.85" hidden="false" customHeight="false" outlineLevel="0" collapsed="false">
      <c r="A1" s="4" t="s">
        <v>21</v>
      </c>
      <c r="B1" s="4" t="s">
        <v>22</v>
      </c>
      <c r="C1" s="4" t="s">
        <v>23</v>
      </c>
      <c r="D1" s="4" t="s">
        <v>24</v>
      </c>
      <c r="E1" s="4" t="s">
        <v>25</v>
      </c>
      <c r="F1" s="4" t="s">
        <v>26</v>
      </c>
      <c r="G1" s="4" t="s">
        <v>27</v>
      </c>
      <c r="H1" s="4" t="s">
        <v>28</v>
      </c>
      <c r="I1" s="4" t="s">
        <v>29</v>
      </c>
      <c r="J1" s="4" t="s">
        <v>30</v>
      </c>
      <c r="K1" s="4" t="s">
        <v>31</v>
      </c>
      <c r="L1" s="4" t="s">
        <v>32</v>
      </c>
      <c r="M1" s="4"/>
      <c r="N1" s="4"/>
      <c r="O1" s="4"/>
      <c r="P1" s="4"/>
      <c r="Q1" s="4"/>
      <c r="R1" s="4"/>
      <c r="S1" s="4"/>
      <c r="T1" s="4"/>
      <c r="U1" s="4"/>
      <c r="V1" s="4"/>
      <c r="W1" s="4"/>
      <c r="X1" s="4"/>
      <c r="Y1" s="4"/>
      <c r="Z1" s="4"/>
      <c r="AA1" s="4"/>
      <c r="AB1" s="4"/>
      <c r="AC1" s="4"/>
      <c r="AD1" s="4"/>
      <c r="AE1" s="4"/>
      <c r="AF1" s="4"/>
      <c r="AG1" s="4"/>
      <c r="AH1" s="4"/>
      <c r="AI1" s="4"/>
      <c r="AJ1" s="4"/>
      <c r="AK1" s="4"/>
      <c r="AL1" s="4"/>
      <c r="AM1" s="4"/>
      <c r="AN1" s="4"/>
      <c r="AO1" s="4"/>
    </row>
    <row r="2" customFormat="false" ht="15" hidden="false" customHeight="false" outlineLevel="0" collapsed="false">
      <c r="A2" s="5" t="n">
        <v>40302</v>
      </c>
      <c r="B2" s="6" t="s">
        <v>33</v>
      </c>
      <c r="C2" s="6" t="s">
        <v>34</v>
      </c>
      <c r="D2" s="0" t="n">
        <v>150.702087912703</v>
      </c>
      <c r="E2" s="0" t="n">
        <v>4.39</v>
      </c>
      <c r="F2" s="0" t="n">
        <v>0</v>
      </c>
      <c r="G2" s="0" t="n">
        <v>0</v>
      </c>
      <c r="H2" s="0" t="n">
        <v>0</v>
      </c>
      <c r="I2" s="0" t="n">
        <v>0</v>
      </c>
      <c r="J2" s="0" t="n">
        <v>0</v>
      </c>
      <c r="K2" s="0" t="n">
        <v>1</v>
      </c>
      <c r="L2" s="0" t="n">
        <v>0</v>
      </c>
    </row>
    <row r="3" customFormat="false" ht="15" hidden="false" customHeight="false" outlineLevel="0" collapsed="false">
      <c r="A3" s="5" t="n">
        <v>40309</v>
      </c>
      <c r="B3" s="6" t="s">
        <v>33</v>
      </c>
      <c r="C3" s="6" t="s">
        <v>34</v>
      </c>
      <c r="D3" s="0" t="n">
        <v>197.403797461597</v>
      </c>
      <c r="E3" s="0" t="n">
        <v>3.997692308</v>
      </c>
      <c r="F3" s="0" t="n">
        <v>0</v>
      </c>
      <c r="G3" s="0" t="n">
        <v>0</v>
      </c>
      <c r="H3" s="0" t="n">
        <v>0</v>
      </c>
      <c r="I3" s="0" t="n">
        <v>0</v>
      </c>
      <c r="J3" s="0" t="n">
        <v>0</v>
      </c>
      <c r="K3" s="0" t="n">
        <v>1</v>
      </c>
      <c r="L3" s="0" t="n">
        <v>0</v>
      </c>
    </row>
    <row r="4" customFormat="false" ht="15" hidden="false" customHeight="false" outlineLevel="0" collapsed="false">
      <c r="A4" s="5" t="n">
        <v>40316</v>
      </c>
      <c r="B4" s="6" t="s">
        <v>33</v>
      </c>
      <c r="C4" s="6" t="s">
        <v>34</v>
      </c>
      <c r="D4" s="0" t="n">
        <v>235.106171515681</v>
      </c>
      <c r="E4" s="0" t="n">
        <v>3.809230769</v>
      </c>
      <c r="F4" s="0" t="n">
        <v>0</v>
      </c>
      <c r="G4" s="0" t="n">
        <v>0</v>
      </c>
      <c r="H4" s="0" t="n">
        <v>0</v>
      </c>
      <c r="I4" s="0" t="n">
        <v>0</v>
      </c>
      <c r="J4" s="0" t="n">
        <v>0</v>
      </c>
      <c r="K4" s="0" t="n">
        <v>1</v>
      </c>
      <c r="L4" s="0" t="n">
        <v>0</v>
      </c>
    </row>
    <row r="5" customFormat="false" ht="15" hidden="false" customHeight="false" outlineLevel="0" collapsed="false">
      <c r="A5" s="5" t="n">
        <v>40323</v>
      </c>
      <c r="B5" s="6" t="s">
        <v>33</v>
      </c>
      <c r="C5" s="6" t="s">
        <v>34</v>
      </c>
      <c r="D5" s="0" t="n">
        <v>226.692427292396</v>
      </c>
      <c r="E5" s="0" t="n">
        <v>3.835</v>
      </c>
      <c r="F5" s="0" t="n">
        <v>0</v>
      </c>
      <c r="G5" s="0" t="n">
        <v>0</v>
      </c>
      <c r="H5" s="0" t="n">
        <v>0</v>
      </c>
      <c r="I5" s="0" t="n">
        <v>0</v>
      </c>
      <c r="J5" s="0" t="n">
        <v>0</v>
      </c>
      <c r="K5" s="0" t="n">
        <v>1</v>
      </c>
      <c r="L5" s="0" t="n">
        <v>0</v>
      </c>
    </row>
    <row r="6" customFormat="false" ht="15" hidden="false" customHeight="false" outlineLevel="0" collapsed="false">
      <c r="A6" s="5" t="n">
        <v>40330</v>
      </c>
      <c r="B6" s="6" t="s">
        <v>33</v>
      </c>
      <c r="C6" s="6" t="s">
        <v>34</v>
      </c>
      <c r="D6" s="0" t="n">
        <v>257.688150758144</v>
      </c>
      <c r="E6" s="0" t="n">
        <v>3.9025</v>
      </c>
      <c r="F6" s="0" t="n">
        <v>0</v>
      </c>
      <c r="G6" s="0" t="n">
        <v>0</v>
      </c>
      <c r="H6" s="0" t="n">
        <v>0</v>
      </c>
      <c r="I6" s="0" t="n">
        <v>0</v>
      </c>
      <c r="J6" s="0" t="n">
        <v>0</v>
      </c>
      <c r="K6" s="0" t="n">
        <v>1</v>
      </c>
      <c r="L6" s="0" t="n">
        <v>0</v>
      </c>
    </row>
    <row r="7" customFormat="false" ht="15" hidden="false" customHeight="false" outlineLevel="0" collapsed="false">
      <c r="A7" s="5" t="n">
        <v>40337</v>
      </c>
      <c r="B7" s="6" t="s">
        <v>33</v>
      </c>
      <c r="C7" s="6" t="s">
        <v>34</v>
      </c>
      <c r="D7" s="0" t="n">
        <v>132.957189780034</v>
      </c>
      <c r="E7" s="0" t="n">
        <v>4.497692308</v>
      </c>
      <c r="F7" s="0" t="n">
        <v>0</v>
      </c>
      <c r="G7" s="0" t="n">
        <v>0</v>
      </c>
      <c r="H7" s="0" t="n">
        <v>0</v>
      </c>
      <c r="I7" s="0" t="n">
        <v>0</v>
      </c>
      <c r="J7" s="0" t="n">
        <v>0</v>
      </c>
      <c r="K7" s="0" t="n">
        <v>1</v>
      </c>
      <c r="L7" s="0" t="n">
        <v>0</v>
      </c>
    </row>
    <row r="8" customFormat="false" ht="15" hidden="false" customHeight="false" outlineLevel="0" collapsed="false">
      <c r="A8" s="5" t="n">
        <v>40344</v>
      </c>
      <c r="B8" s="6" t="s">
        <v>33</v>
      </c>
      <c r="C8" s="6" t="s">
        <v>34</v>
      </c>
      <c r="D8" s="0" t="n">
        <v>221.889968547736</v>
      </c>
      <c r="E8" s="0" t="n">
        <v>4.116666667</v>
      </c>
      <c r="F8" s="0" t="n">
        <v>0</v>
      </c>
      <c r="G8" s="0" t="n">
        <v>0</v>
      </c>
      <c r="H8" s="0" t="n">
        <v>0</v>
      </c>
      <c r="I8" s="0" t="n">
        <v>0</v>
      </c>
      <c r="J8" s="0" t="n">
        <v>0</v>
      </c>
      <c r="K8" s="0" t="n">
        <v>1</v>
      </c>
      <c r="L8" s="0" t="n">
        <v>0</v>
      </c>
    </row>
    <row r="9" customFormat="false" ht="15" hidden="false" customHeight="false" outlineLevel="0" collapsed="false">
      <c r="A9" s="5" t="n">
        <v>40351</v>
      </c>
      <c r="B9" s="6" t="s">
        <v>33</v>
      </c>
      <c r="C9" s="6" t="s">
        <v>34</v>
      </c>
      <c r="D9" s="0" t="n">
        <v>245.881356354914</v>
      </c>
      <c r="E9" s="0" t="n">
        <v>4.116666667</v>
      </c>
      <c r="F9" s="0" t="n">
        <v>0</v>
      </c>
      <c r="G9" s="0" t="n">
        <v>0</v>
      </c>
      <c r="H9" s="0" t="n">
        <v>0</v>
      </c>
      <c r="I9" s="0" t="n">
        <v>0</v>
      </c>
      <c r="J9" s="0" t="n">
        <v>0</v>
      </c>
      <c r="K9" s="0" t="n">
        <v>1</v>
      </c>
      <c r="L9" s="0" t="n">
        <v>0</v>
      </c>
    </row>
    <row r="10" customFormat="false" ht="15" hidden="false" customHeight="false" outlineLevel="0" collapsed="false">
      <c r="A10" s="5" t="n">
        <v>40358</v>
      </c>
      <c r="B10" s="6" t="s">
        <v>33</v>
      </c>
      <c r="C10" s="6" t="s">
        <v>34</v>
      </c>
      <c r="D10" s="0" t="n">
        <v>156.102534952075</v>
      </c>
      <c r="E10" s="0" t="n">
        <v>4.116666667</v>
      </c>
      <c r="F10" s="0" t="n">
        <v>0</v>
      </c>
      <c r="G10" s="0" t="n">
        <v>0</v>
      </c>
      <c r="H10" s="0" t="n">
        <v>0</v>
      </c>
      <c r="I10" s="0" t="n">
        <v>0</v>
      </c>
      <c r="J10" s="0" t="n">
        <v>0</v>
      </c>
      <c r="K10" s="0" t="n">
        <v>4</v>
      </c>
      <c r="L10" s="0" t="n">
        <v>0</v>
      </c>
    </row>
    <row r="11" customFormat="false" ht="15" hidden="false" customHeight="false" outlineLevel="0" collapsed="false">
      <c r="A11" s="5" t="n">
        <v>40365</v>
      </c>
      <c r="B11" s="6" t="s">
        <v>33</v>
      </c>
      <c r="C11" s="6" t="s">
        <v>34</v>
      </c>
      <c r="D11" s="0" t="n">
        <v>200.103966035524</v>
      </c>
      <c r="E11" s="0" t="n">
        <v>3.747333333</v>
      </c>
      <c r="F11" s="0" t="n">
        <v>0</v>
      </c>
      <c r="G11" s="0" t="n">
        <v>0</v>
      </c>
      <c r="H11" s="0" t="n">
        <v>0</v>
      </c>
      <c r="I11" s="0" t="n">
        <v>0</v>
      </c>
      <c r="J11" s="0" t="n">
        <v>0</v>
      </c>
      <c r="K11" s="0" t="n">
        <v>1</v>
      </c>
      <c r="L11" s="0" t="n">
        <v>0</v>
      </c>
    </row>
    <row r="12" customFormat="false" ht="15" hidden="false" customHeight="false" outlineLevel="0" collapsed="false">
      <c r="A12" s="5" t="n">
        <v>40372</v>
      </c>
      <c r="B12" s="6" t="s">
        <v>33</v>
      </c>
      <c r="C12" s="6" t="s">
        <v>34</v>
      </c>
      <c r="D12" s="0" t="n">
        <v>128.396003353425</v>
      </c>
      <c r="E12" s="0" t="n">
        <v>4.0125</v>
      </c>
      <c r="F12" s="0" t="n">
        <v>0</v>
      </c>
      <c r="G12" s="0" t="n">
        <v>0</v>
      </c>
      <c r="H12" s="0" t="n">
        <v>0</v>
      </c>
      <c r="I12" s="0" t="n">
        <v>0</v>
      </c>
      <c r="J12" s="0" t="n">
        <v>0</v>
      </c>
      <c r="K12" s="0" t="n">
        <v>1</v>
      </c>
      <c r="L12" s="0" t="n">
        <v>0</v>
      </c>
    </row>
    <row r="13" customFormat="false" ht="15" hidden="false" customHeight="false" outlineLevel="0" collapsed="false">
      <c r="A13" s="5" t="n">
        <v>40302</v>
      </c>
      <c r="B13" s="6" t="s">
        <v>33</v>
      </c>
      <c r="C13" s="6" t="s">
        <v>35</v>
      </c>
      <c r="D13" s="0" t="n">
        <v>142.778210161913</v>
      </c>
      <c r="E13" s="0" t="n">
        <v>4.39</v>
      </c>
      <c r="F13" s="0" t="n">
        <v>0</v>
      </c>
      <c r="G13" s="0" t="n">
        <v>0</v>
      </c>
      <c r="H13" s="0" t="n">
        <v>0</v>
      </c>
      <c r="I13" s="0" t="n">
        <v>0</v>
      </c>
      <c r="J13" s="0" t="n">
        <v>0</v>
      </c>
      <c r="K13" s="0" t="n">
        <v>0</v>
      </c>
      <c r="L13" s="0" t="n">
        <v>4</v>
      </c>
    </row>
    <row r="14" customFormat="false" ht="15" hidden="false" customHeight="false" outlineLevel="0" collapsed="false">
      <c r="A14" s="5" t="n">
        <v>40309</v>
      </c>
      <c r="B14" s="6" t="s">
        <v>33</v>
      </c>
      <c r="C14" s="6" t="s">
        <v>35</v>
      </c>
      <c r="D14" s="0" t="n">
        <v>237.544554272055</v>
      </c>
      <c r="E14" s="0" t="n">
        <v>4.235454545</v>
      </c>
      <c r="F14" s="0" t="n">
        <v>0</v>
      </c>
      <c r="G14" s="0" t="n">
        <v>0</v>
      </c>
      <c r="H14" s="0" t="n">
        <v>0</v>
      </c>
      <c r="I14" s="0" t="n">
        <v>0</v>
      </c>
      <c r="J14" s="0" t="n">
        <v>0</v>
      </c>
      <c r="K14" s="0" t="n">
        <v>0</v>
      </c>
      <c r="L14" s="0" t="n">
        <v>4</v>
      </c>
    </row>
    <row r="15" customFormat="false" ht="15" hidden="false" customHeight="false" outlineLevel="0" collapsed="false">
      <c r="A15" s="5" t="n">
        <v>40316</v>
      </c>
      <c r="B15" s="6" t="s">
        <v>33</v>
      </c>
      <c r="C15" s="6" t="s">
        <v>35</v>
      </c>
      <c r="D15" s="0" t="n">
        <v>141.53329677413</v>
      </c>
      <c r="E15" s="0" t="n">
        <v>3.809230769</v>
      </c>
      <c r="F15" s="0" t="n">
        <v>0</v>
      </c>
      <c r="G15" s="0" t="n">
        <v>0</v>
      </c>
      <c r="H15" s="0" t="n">
        <v>0</v>
      </c>
      <c r="I15" s="0" t="n">
        <v>0</v>
      </c>
      <c r="J15" s="0" t="n">
        <v>0</v>
      </c>
      <c r="K15" s="0" t="n">
        <v>0</v>
      </c>
      <c r="L15" s="0" t="n">
        <v>4</v>
      </c>
    </row>
    <row r="16" customFormat="false" ht="15" hidden="false" customHeight="false" outlineLevel="0" collapsed="false">
      <c r="A16" s="5" t="n">
        <v>40323</v>
      </c>
      <c r="B16" s="6" t="s">
        <v>33</v>
      </c>
      <c r="C16" s="6" t="s">
        <v>35</v>
      </c>
      <c r="D16" s="0" t="n">
        <v>158.073949236319</v>
      </c>
      <c r="E16" s="0" t="n">
        <v>3.809230769</v>
      </c>
      <c r="F16" s="0" t="n">
        <v>0</v>
      </c>
      <c r="G16" s="0" t="n">
        <v>0</v>
      </c>
      <c r="H16" s="0" t="n">
        <v>0</v>
      </c>
      <c r="I16" s="0" t="n">
        <v>0</v>
      </c>
      <c r="J16" s="0" t="n">
        <v>0</v>
      </c>
      <c r="K16" s="0" t="n">
        <v>0</v>
      </c>
      <c r="L16" s="0" t="n">
        <v>4</v>
      </c>
    </row>
    <row r="17" customFormat="false" ht="15" hidden="false" customHeight="false" outlineLevel="0" collapsed="false">
      <c r="A17" s="5" t="n">
        <v>40330</v>
      </c>
      <c r="B17" s="6" t="s">
        <v>33</v>
      </c>
      <c r="C17" s="6" t="s">
        <v>35</v>
      </c>
      <c r="D17" s="0" t="n">
        <v>255.117743399346</v>
      </c>
      <c r="E17" s="0" t="n">
        <v>4.055625</v>
      </c>
      <c r="F17" s="0" t="n">
        <v>0</v>
      </c>
      <c r="G17" s="0" t="n">
        <v>0</v>
      </c>
      <c r="H17" s="0" t="n">
        <v>0</v>
      </c>
      <c r="I17" s="0" t="n">
        <v>0</v>
      </c>
      <c r="J17" s="0" t="n">
        <v>0</v>
      </c>
      <c r="K17" s="0" t="n">
        <v>0</v>
      </c>
      <c r="L17" s="0" t="n">
        <v>4</v>
      </c>
    </row>
    <row r="18" customFormat="false" ht="15" hidden="false" customHeight="false" outlineLevel="0" collapsed="false">
      <c r="A18" s="5" t="n">
        <v>40337</v>
      </c>
      <c r="B18" s="6" t="s">
        <v>33</v>
      </c>
      <c r="C18" s="6" t="s">
        <v>35</v>
      </c>
      <c r="D18" s="0" t="n">
        <v>129.793626528939</v>
      </c>
      <c r="E18" s="0" t="n">
        <v>4.383333333</v>
      </c>
      <c r="F18" s="0" t="n">
        <v>0</v>
      </c>
      <c r="G18" s="0" t="n">
        <v>0</v>
      </c>
      <c r="H18" s="0" t="n">
        <v>0</v>
      </c>
      <c r="I18" s="0" t="n">
        <v>0</v>
      </c>
      <c r="J18" s="0" t="n">
        <v>0</v>
      </c>
      <c r="K18" s="0" t="n">
        <v>0</v>
      </c>
      <c r="L18" s="0" t="n">
        <v>4</v>
      </c>
    </row>
    <row r="19" customFormat="false" ht="15" hidden="false" customHeight="false" outlineLevel="0" collapsed="false">
      <c r="A19" s="5" t="n">
        <v>40344</v>
      </c>
      <c r="B19" s="6" t="s">
        <v>33</v>
      </c>
      <c r="C19" s="6" t="s">
        <v>35</v>
      </c>
      <c r="D19" s="0" t="n">
        <v>137.764285052721</v>
      </c>
      <c r="E19" s="0" t="n">
        <v>4.35875</v>
      </c>
      <c r="F19" s="0" t="n">
        <v>0</v>
      </c>
      <c r="G19" s="0" t="n">
        <v>0</v>
      </c>
      <c r="H19" s="0" t="n">
        <v>0</v>
      </c>
      <c r="I19" s="0" t="n">
        <v>0</v>
      </c>
      <c r="J19" s="0" t="n">
        <v>0</v>
      </c>
      <c r="K19" s="0" t="n">
        <v>0</v>
      </c>
      <c r="L19" s="0" t="n">
        <v>4</v>
      </c>
    </row>
    <row r="20" customFormat="false" ht="15" hidden="false" customHeight="false" outlineLevel="0" collapsed="false">
      <c r="A20" s="5" t="n">
        <v>40351</v>
      </c>
      <c r="B20" s="6" t="s">
        <v>33</v>
      </c>
      <c r="C20" s="6" t="s">
        <v>35</v>
      </c>
      <c r="D20" s="0" t="n">
        <v>306.793818706478</v>
      </c>
      <c r="E20" s="0" t="n">
        <v>4.35875</v>
      </c>
      <c r="F20" s="0" t="n">
        <v>0</v>
      </c>
      <c r="G20" s="0" t="n">
        <v>0</v>
      </c>
      <c r="H20" s="0" t="n">
        <v>0</v>
      </c>
      <c r="I20" s="0" t="n">
        <v>0</v>
      </c>
      <c r="J20" s="0" t="n">
        <v>0</v>
      </c>
      <c r="K20" s="0" t="n">
        <v>0</v>
      </c>
      <c r="L20" s="0" t="n">
        <v>4</v>
      </c>
    </row>
    <row r="21" customFormat="false" ht="15" hidden="false" customHeight="false" outlineLevel="0" collapsed="false">
      <c r="A21" s="5" t="n">
        <v>40358</v>
      </c>
      <c r="B21" s="6" t="s">
        <v>33</v>
      </c>
      <c r="C21" s="6" t="s">
        <v>35</v>
      </c>
      <c r="D21" s="0" t="n">
        <v>103.319022667528</v>
      </c>
      <c r="E21" s="0" t="n">
        <v>4.35875</v>
      </c>
      <c r="F21" s="0" t="n">
        <v>0</v>
      </c>
      <c r="G21" s="0" t="n">
        <v>0</v>
      </c>
      <c r="H21" s="0" t="n">
        <v>0</v>
      </c>
      <c r="I21" s="0" t="n">
        <v>0</v>
      </c>
      <c r="J21" s="0" t="n">
        <v>0</v>
      </c>
      <c r="K21" s="0" t="n">
        <v>0</v>
      </c>
      <c r="L21" s="0" t="n">
        <v>4</v>
      </c>
    </row>
    <row r="22" customFormat="false" ht="15" hidden="false" customHeight="false" outlineLevel="0" collapsed="false">
      <c r="A22" s="5" t="n">
        <v>40365</v>
      </c>
      <c r="B22" s="6" t="s">
        <v>33</v>
      </c>
      <c r="C22" s="6" t="s">
        <v>35</v>
      </c>
      <c r="D22" s="0" t="n">
        <v>240.225177230148</v>
      </c>
      <c r="E22" s="0" t="n">
        <v>4.0125</v>
      </c>
      <c r="F22" s="0" t="n">
        <v>0</v>
      </c>
      <c r="G22" s="0" t="n">
        <v>0</v>
      </c>
      <c r="H22" s="0" t="n">
        <v>0</v>
      </c>
      <c r="I22" s="0" t="n">
        <v>0</v>
      </c>
      <c r="J22" s="0" t="n">
        <v>0</v>
      </c>
      <c r="K22" s="0" t="n">
        <v>0</v>
      </c>
      <c r="L22" s="0" t="n">
        <v>4</v>
      </c>
    </row>
    <row r="23" customFormat="false" ht="15" hidden="false" customHeight="false" outlineLevel="0" collapsed="false">
      <c r="A23" s="5" t="n">
        <v>40372</v>
      </c>
      <c r="B23" s="6" t="s">
        <v>33</v>
      </c>
      <c r="C23" s="6" t="s">
        <v>35</v>
      </c>
      <c r="D23" s="0" t="n">
        <v>190.024801030626</v>
      </c>
      <c r="E23" s="0" t="n">
        <v>4.0125</v>
      </c>
      <c r="F23" s="0" t="n">
        <v>0</v>
      </c>
      <c r="G23" s="0" t="n">
        <v>0</v>
      </c>
      <c r="H23" s="0" t="n">
        <v>0</v>
      </c>
      <c r="I23" s="0" t="n">
        <v>0</v>
      </c>
      <c r="J23" s="0" t="n">
        <v>0</v>
      </c>
      <c r="K23" s="0" t="n">
        <v>0</v>
      </c>
      <c r="L23" s="0" t="n">
        <v>4</v>
      </c>
    </row>
    <row r="24" customFormat="false" ht="15" hidden="false" customHeight="false" outlineLevel="0" collapsed="false">
      <c r="A24" s="5" t="n">
        <v>40302</v>
      </c>
      <c r="B24" s="6" t="s">
        <v>33</v>
      </c>
      <c r="C24" s="6" t="s">
        <v>36</v>
      </c>
      <c r="D24" s="0" t="n">
        <v>149.767871471215</v>
      </c>
      <c r="E24" s="0" t="n">
        <v>4.518571429</v>
      </c>
      <c r="F24" s="0" t="n">
        <v>0</v>
      </c>
      <c r="G24" s="0" t="n">
        <v>0</v>
      </c>
      <c r="H24" s="0" t="n">
        <v>0</v>
      </c>
      <c r="I24" s="0" t="n">
        <v>0</v>
      </c>
      <c r="J24" s="0" t="n">
        <v>0</v>
      </c>
      <c r="K24" s="0" t="n">
        <v>2</v>
      </c>
      <c r="L24" s="0" t="n">
        <v>1</v>
      </c>
    </row>
    <row r="25" customFormat="false" ht="15" hidden="false" customHeight="false" outlineLevel="0" collapsed="false">
      <c r="A25" s="5" t="n">
        <v>40309</v>
      </c>
      <c r="B25" s="6" t="s">
        <v>33</v>
      </c>
      <c r="C25" s="6" t="s">
        <v>36</v>
      </c>
      <c r="D25" s="0" t="n">
        <v>223.612759426956</v>
      </c>
      <c r="E25" s="0" t="n">
        <v>3.72</v>
      </c>
      <c r="F25" s="0" t="n">
        <v>0</v>
      </c>
      <c r="G25" s="0" t="n">
        <v>0</v>
      </c>
      <c r="H25" s="0" t="n">
        <v>0</v>
      </c>
      <c r="I25" s="0" t="n">
        <v>0</v>
      </c>
      <c r="J25" s="0" t="n">
        <v>0</v>
      </c>
      <c r="K25" s="0" t="n">
        <v>2</v>
      </c>
      <c r="L25" s="0" t="n">
        <v>1</v>
      </c>
    </row>
    <row r="26" customFormat="false" ht="15" hidden="false" customHeight="false" outlineLevel="0" collapsed="false">
      <c r="A26" s="5" t="n">
        <v>40316</v>
      </c>
      <c r="B26" s="6" t="s">
        <v>33</v>
      </c>
      <c r="C26" s="6" t="s">
        <v>36</v>
      </c>
      <c r="D26" s="0" t="n">
        <v>216.36969551659</v>
      </c>
      <c r="E26" s="0" t="n">
        <v>3.793636364</v>
      </c>
      <c r="F26" s="0" t="n">
        <v>0</v>
      </c>
      <c r="G26" s="0" t="n">
        <v>0</v>
      </c>
      <c r="H26" s="0" t="n">
        <v>0</v>
      </c>
      <c r="I26" s="0" t="n">
        <v>0</v>
      </c>
      <c r="J26" s="0" t="n">
        <v>0</v>
      </c>
      <c r="K26" s="0" t="n">
        <v>2</v>
      </c>
      <c r="L26" s="0" t="n">
        <v>1</v>
      </c>
    </row>
    <row r="27" customFormat="false" ht="15" hidden="false" customHeight="false" outlineLevel="0" collapsed="false">
      <c r="A27" s="5" t="n">
        <v>40323</v>
      </c>
      <c r="B27" s="6" t="s">
        <v>33</v>
      </c>
      <c r="C27" s="6" t="s">
        <v>36</v>
      </c>
      <c r="D27" s="0" t="n">
        <v>205.534940262073</v>
      </c>
      <c r="E27" s="0" t="n">
        <v>3.904</v>
      </c>
      <c r="F27" s="0" t="n">
        <v>0</v>
      </c>
      <c r="G27" s="0" t="n">
        <v>0</v>
      </c>
      <c r="H27" s="0" t="n">
        <v>0</v>
      </c>
      <c r="I27" s="0" t="n">
        <v>0</v>
      </c>
      <c r="J27" s="0" t="n">
        <v>0</v>
      </c>
      <c r="K27" s="0" t="n">
        <v>2</v>
      </c>
      <c r="L27" s="0" t="n">
        <v>1</v>
      </c>
    </row>
    <row r="28" customFormat="false" ht="15" hidden="false" customHeight="false" outlineLevel="0" collapsed="false">
      <c r="A28" s="5" t="n">
        <v>40330</v>
      </c>
      <c r="B28" s="6" t="s">
        <v>33</v>
      </c>
      <c r="C28" s="6" t="s">
        <v>36</v>
      </c>
      <c r="D28" s="0" t="n">
        <v>131.626529533105</v>
      </c>
      <c r="E28" s="0" t="n">
        <v>4.043333333</v>
      </c>
      <c r="F28" s="0" t="n">
        <v>0</v>
      </c>
      <c r="G28" s="0" t="n">
        <v>0</v>
      </c>
      <c r="H28" s="0" t="n">
        <v>0</v>
      </c>
      <c r="I28" s="0" t="n">
        <v>0</v>
      </c>
      <c r="J28" s="0" t="n">
        <v>0</v>
      </c>
      <c r="K28" s="0" t="n">
        <v>2</v>
      </c>
      <c r="L28" s="0" t="n">
        <v>1</v>
      </c>
    </row>
    <row r="29" customFormat="false" ht="15" hidden="false" customHeight="false" outlineLevel="0" collapsed="false">
      <c r="A29" s="5" t="n">
        <v>40337</v>
      </c>
      <c r="B29" s="6" t="s">
        <v>33</v>
      </c>
      <c r="C29" s="6" t="s">
        <v>36</v>
      </c>
      <c r="D29" s="0" t="n">
        <v>199.933910750248</v>
      </c>
      <c r="E29" s="0" t="n">
        <v>4.406666667</v>
      </c>
      <c r="F29" s="0" t="n">
        <v>0</v>
      </c>
      <c r="G29" s="0" t="n">
        <v>1</v>
      </c>
      <c r="H29" s="0" t="n">
        <v>0</v>
      </c>
      <c r="I29" s="0" t="n">
        <v>0</v>
      </c>
      <c r="J29" s="0" t="n">
        <v>0</v>
      </c>
      <c r="K29" s="0" t="n">
        <v>2</v>
      </c>
      <c r="L29" s="0" t="n">
        <v>1</v>
      </c>
    </row>
    <row r="30" customFormat="false" ht="15" hidden="false" customHeight="false" outlineLevel="0" collapsed="false">
      <c r="A30" s="5" t="n">
        <v>40344</v>
      </c>
      <c r="B30" s="6" t="s">
        <v>33</v>
      </c>
      <c r="C30" s="6" t="s">
        <v>36</v>
      </c>
      <c r="D30" s="0" t="n">
        <v>217.95188990662</v>
      </c>
      <c r="E30" s="0" t="n">
        <v>4.35875</v>
      </c>
      <c r="F30" s="0" t="n">
        <v>0</v>
      </c>
      <c r="G30" s="0" t="n">
        <v>1</v>
      </c>
      <c r="H30" s="0" t="n">
        <v>0</v>
      </c>
      <c r="I30" s="0" t="n">
        <v>0</v>
      </c>
      <c r="J30" s="0" t="n">
        <v>0</v>
      </c>
      <c r="K30" s="0" t="n">
        <v>2</v>
      </c>
      <c r="L30" s="0" t="n">
        <v>1</v>
      </c>
    </row>
    <row r="31" customFormat="false" ht="15" hidden="false" customHeight="false" outlineLevel="0" collapsed="false">
      <c r="A31" s="5" t="n">
        <v>40351</v>
      </c>
      <c r="B31" s="6" t="s">
        <v>33</v>
      </c>
      <c r="C31" s="6" t="s">
        <v>36</v>
      </c>
      <c r="D31" s="0" t="n">
        <v>139.613531553445</v>
      </c>
      <c r="E31" s="0" t="n">
        <v>4.39</v>
      </c>
      <c r="F31" s="0" t="n">
        <v>0</v>
      </c>
      <c r="G31" s="0" t="n">
        <v>1</v>
      </c>
      <c r="H31" s="0" t="n">
        <v>0</v>
      </c>
      <c r="I31" s="0" t="n">
        <v>0</v>
      </c>
      <c r="J31" s="0" t="n">
        <v>0</v>
      </c>
      <c r="K31" s="0" t="n">
        <v>2</v>
      </c>
      <c r="L31" s="0" t="n">
        <v>1</v>
      </c>
    </row>
    <row r="32" customFormat="false" ht="15" hidden="false" customHeight="false" outlineLevel="0" collapsed="false">
      <c r="A32" s="5" t="n">
        <v>40358</v>
      </c>
      <c r="B32" s="6" t="s">
        <v>33</v>
      </c>
      <c r="C32" s="6" t="s">
        <v>36</v>
      </c>
      <c r="D32" s="0" t="n">
        <v>106.416565686142</v>
      </c>
      <c r="E32" s="0" t="n">
        <v>4.520769231</v>
      </c>
      <c r="F32" s="0" t="n">
        <v>0</v>
      </c>
      <c r="G32" s="0" t="n">
        <v>1</v>
      </c>
      <c r="H32" s="0" t="n">
        <v>0</v>
      </c>
      <c r="I32" s="0" t="n">
        <v>0</v>
      </c>
      <c r="J32" s="0" t="n">
        <v>0</v>
      </c>
      <c r="K32" s="0" t="n">
        <v>2</v>
      </c>
      <c r="L32" s="0" t="n">
        <v>1</v>
      </c>
    </row>
    <row r="33" customFormat="false" ht="15" hidden="false" customHeight="false" outlineLevel="0" collapsed="false">
      <c r="A33" s="5" t="n">
        <v>40365</v>
      </c>
      <c r="B33" s="6" t="s">
        <v>33</v>
      </c>
      <c r="C33" s="6" t="s">
        <v>36</v>
      </c>
      <c r="D33" s="0" t="n">
        <v>203.743203707602</v>
      </c>
      <c r="E33" s="0" t="n">
        <v>3.901538462</v>
      </c>
      <c r="F33" s="0" t="n">
        <v>0</v>
      </c>
      <c r="G33" s="0" t="n">
        <v>1</v>
      </c>
      <c r="H33" s="0" t="n">
        <v>0</v>
      </c>
      <c r="I33" s="0" t="n">
        <v>0</v>
      </c>
      <c r="J33" s="0" t="n">
        <v>0</v>
      </c>
      <c r="K33" s="0" t="n">
        <v>2</v>
      </c>
      <c r="L33" s="0" t="n">
        <v>1</v>
      </c>
    </row>
    <row r="34" customFormat="false" ht="15" hidden="false" customHeight="false" outlineLevel="0" collapsed="false">
      <c r="A34" s="5" t="n">
        <v>40372</v>
      </c>
      <c r="B34" s="6" t="s">
        <v>33</v>
      </c>
      <c r="C34" s="6" t="s">
        <v>36</v>
      </c>
      <c r="D34" s="0" t="n">
        <v>159.433695366379</v>
      </c>
      <c r="E34" s="0" t="n">
        <v>4.193571429</v>
      </c>
      <c r="F34" s="0" t="n">
        <v>0</v>
      </c>
      <c r="G34" s="0" t="n">
        <v>0</v>
      </c>
      <c r="H34" s="0" t="n">
        <v>0</v>
      </c>
      <c r="I34" s="0" t="n">
        <v>0</v>
      </c>
      <c r="J34" s="0" t="n">
        <v>0</v>
      </c>
      <c r="K34" s="0" t="n">
        <v>2</v>
      </c>
      <c r="L34" s="0" t="n">
        <v>1</v>
      </c>
    </row>
    <row r="35" customFormat="false" ht="15" hidden="false" customHeight="false" outlineLevel="0" collapsed="false">
      <c r="A35" s="5" t="n">
        <v>40302</v>
      </c>
      <c r="B35" s="6" t="s">
        <v>33</v>
      </c>
      <c r="C35" s="6" t="s">
        <v>37</v>
      </c>
      <c r="D35" s="0" t="n">
        <v>305.183290231773</v>
      </c>
      <c r="E35" s="0" t="n">
        <v>4.49</v>
      </c>
      <c r="F35" s="0" t="n">
        <v>0</v>
      </c>
      <c r="G35" s="0" t="n">
        <v>0</v>
      </c>
      <c r="H35" s="0" t="n">
        <v>0</v>
      </c>
      <c r="I35" s="0" t="n">
        <v>0</v>
      </c>
      <c r="J35" s="0" t="n">
        <v>1</v>
      </c>
      <c r="K35" s="0" t="n">
        <v>1</v>
      </c>
      <c r="L35" s="0" t="n">
        <v>1</v>
      </c>
    </row>
    <row r="36" customFormat="false" ht="15" hidden="false" customHeight="false" outlineLevel="0" collapsed="false">
      <c r="A36" s="5" t="n">
        <v>40309</v>
      </c>
      <c r="B36" s="6" t="s">
        <v>33</v>
      </c>
      <c r="C36" s="6" t="s">
        <v>37</v>
      </c>
      <c r="D36" s="0" t="n">
        <v>235.457109016989</v>
      </c>
      <c r="E36" s="0" t="n">
        <v>4.401111111</v>
      </c>
      <c r="F36" s="0" t="n">
        <v>0</v>
      </c>
      <c r="G36" s="0" t="n">
        <v>0</v>
      </c>
      <c r="H36" s="0" t="n">
        <v>0</v>
      </c>
      <c r="I36" s="0" t="n">
        <v>0</v>
      </c>
      <c r="J36" s="0" t="n">
        <v>1</v>
      </c>
      <c r="K36" s="0" t="n">
        <v>1</v>
      </c>
      <c r="L36" s="0" t="n">
        <v>1</v>
      </c>
    </row>
    <row r="37" customFormat="false" ht="15" hidden="false" customHeight="false" outlineLevel="0" collapsed="false">
      <c r="A37" s="5" t="n">
        <v>40316</v>
      </c>
      <c r="B37" s="6" t="s">
        <v>33</v>
      </c>
      <c r="C37" s="6" t="s">
        <v>37</v>
      </c>
      <c r="D37" s="0" t="n">
        <v>239.694901879694</v>
      </c>
      <c r="E37" s="0" t="n">
        <v>3.809230769</v>
      </c>
      <c r="F37" s="0" t="n">
        <v>0</v>
      </c>
      <c r="G37" s="0" t="n">
        <v>0</v>
      </c>
      <c r="H37" s="0" t="n">
        <v>0</v>
      </c>
      <c r="I37" s="0" t="n">
        <v>0</v>
      </c>
      <c r="J37" s="0" t="n">
        <v>0</v>
      </c>
      <c r="K37" s="0" t="n">
        <v>1</v>
      </c>
      <c r="L37" s="0" t="n">
        <v>1</v>
      </c>
    </row>
    <row r="38" customFormat="false" ht="15" hidden="false" customHeight="false" outlineLevel="0" collapsed="false">
      <c r="A38" s="5" t="n">
        <v>40323</v>
      </c>
      <c r="B38" s="6" t="s">
        <v>33</v>
      </c>
      <c r="C38" s="6" t="s">
        <v>37</v>
      </c>
      <c r="D38" s="0" t="n">
        <v>220.946790529896</v>
      </c>
      <c r="E38" s="0" t="n">
        <v>4.064</v>
      </c>
      <c r="F38" s="0" t="n">
        <v>0</v>
      </c>
      <c r="G38" s="0" t="n">
        <v>0</v>
      </c>
      <c r="H38" s="0" t="n">
        <v>0</v>
      </c>
      <c r="I38" s="0" t="n">
        <v>0</v>
      </c>
      <c r="J38" s="0" t="n">
        <v>0</v>
      </c>
      <c r="K38" s="0" t="n">
        <v>1</v>
      </c>
      <c r="L38" s="0" t="n">
        <v>1</v>
      </c>
    </row>
    <row r="39" customFormat="false" ht="15" hidden="false" customHeight="false" outlineLevel="0" collapsed="false">
      <c r="A39" s="5" t="n">
        <v>40330</v>
      </c>
      <c r="B39" s="6" t="s">
        <v>33</v>
      </c>
      <c r="C39" s="6" t="s">
        <v>37</v>
      </c>
      <c r="D39" s="0" t="n">
        <v>233.326002975849</v>
      </c>
      <c r="E39" s="0" t="n">
        <v>3.957857143</v>
      </c>
      <c r="F39" s="0" t="n">
        <v>0</v>
      </c>
      <c r="G39" s="0" t="n">
        <v>0</v>
      </c>
      <c r="H39" s="0" t="n">
        <v>0</v>
      </c>
      <c r="I39" s="0" t="n">
        <v>0</v>
      </c>
      <c r="J39" s="0" t="n">
        <v>0</v>
      </c>
      <c r="K39" s="0" t="n">
        <v>1</v>
      </c>
      <c r="L39" s="0" t="n">
        <v>1</v>
      </c>
    </row>
    <row r="40" customFormat="false" ht="15" hidden="false" customHeight="false" outlineLevel="0" collapsed="false">
      <c r="A40" s="5" t="n">
        <v>40337</v>
      </c>
      <c r="B40" s="6" t="s">
        <v>33</v>
      </c>
      <c r="C40" s="6" t="s">
        <v>37</v>
      </c>
      <c r="D40" s="0" t="n">
        <v>143.794799054312</v>
      </c>
      <c r="E40" s="0" t="n">
        <v>3.69</v>
      </c>
      <c r="F40" s="0" t="n">
        <v>0</v>
      </c>
      <c r="G40" s="0" t="n">
        <v>0</v>
      </c>
      <c r="H40" s="0" t="n">
        <v>0</v>
      </c>
      <c r="I40" s="0" t="n">
        <v>0</v>
      </c>
      <c r="J40" s="0" t="n">
        <v>0</v>
      </c>
      <c r="K40" s="0" t="n">
        <v>1</v>
      </c>
      <c r="L40" s="0" t="n">
        <v>1</v>
      </c>
    </row>
    <row r="41" customFormat="false" ht="15" hidden="false" customHeight="false" outlineLevel="0" collapsed="false">
      <c r="A41" s="5" t="n">
        <v>40344</v>
      </c>
      <c r="B41" s="6" t="s">
        <v>33</v>
      </c>
      <c r="C41" s="6" t="s">
        <v>37</v>
      </c>
      <c r="D41" s="0" t="n">
        <v>192.922888592757</v>
      </c>
      <c r="E41" s="0" t="n">
        <v>4.643846154</v>
      </c>
      <c r="F41" s="0" t="n">
        <v>0</v>
      </c>
      <c r="G41" s="0" t="n">
        <v>0</v>
      </c>
      <c r="H41" s="0" t="n">
        <v>0</v>
      </c>
      <c r="I41" s="0" t="n">
        <v>0</v>
      </c>
      <c r="J41" s="0" t="n">
        <v>0</v>
      </c>
      <c r="K41" s="0" t="n">
        <v>1</v>
      </c>
      <c r="L41" s="0" t="n">
        <v>1</v>
      </c>
    </row>
    <row r="42" customFormat="false" ht="15" hidden="false" customHeight="false" outlineLevel="0" collapsed="false">
      <c r="A42" s="5" t="n">
        <v>40351</v>
      </c>
      <c r="B42" s="6" t="s">
        <v>33</v>
      </c>
      <c r="C42" s="6" t="s">
        <v>37</v>
      </c>
      <c r="D42" s="0" t="n">
        <v>134.712923373282</v>
      </c>
      <c r="E42" s="0" t="n">
        <v>4.365</v>
      </c>
      <c r="F42" s="0" t="n">
        <v>0</v>
      </c>
      <c r="G42" s="0" t="n">
        <v>0</v>
      </c>
      <c r="H42" s="0" t="n">
        <v>0</v>
      </c>
      <c r="I42" s="0" t="n">
        <v>0</v>
      </c>
      <c r="J42" s="0" t="n">
        <v>0</v>
      </c>
      <c r="K42" s="0" t="n">
        <v>1</v>
      </c>
      <c r="L42" s="0" t="n">
        <v>1</v>
      </c>
    </row>
    <row r="43" customFormat="false" ht="15" hidden="false" customHeight="false" outlineLevel="0" collapsed="false">
      <c r="A43" s="5" t="n">
        <v>40358</v>
      </c>
      <c r="B43" s="6" t="s">
        <v>33</v>
      </c>
      <c r="C43" s="6" t="s">
        <v>37</v>
      </c>
      <c r="D43" s="0" t="n">
        <v>118.938923303087</v>
      </c>
      <c r="E43" s="0" t="n">
        <v>4.643846154</v>
      </c>
      <c r="F43" s="0" t="n">
        <v>0</v>
      </c>
      <c r="G43" s="0" t="n">
        <v>0</v>
      </c>
      <c r="H43" s="0" t="n">
        <v>0</v>
      </c>
      <c r="I43" s="0" t="n">
        <v>0</v>
      </c>
      <c r="J43" s="0" t="n">
        <v>0</v>
      </c>
      <c r="K43" s="0" t="n">
        <v>1</v>
      </c>
      <c r="L43" s="0" t="n">
        <v>1</v>
      </c>
    </row>
    <row r="44" customFormat="false" ht="15" hidden="false" customHeight="false" outlineLevel="0" collapsed="false">
      <c r="A44" s="5" t="n">
        <v>40365</v>
      </c>
      <c r="B44" s="6" t="s">
        <v>33</v>
      </c>
      <c r="C44" s="6" t="s">
        <v>37</v>
      </c>
      <c r="D44" s="0" t="n">
        <v>206.220372668159</v>
      </c>
      <c r="E44" s="0" t="n">
        <v>3.901538462</v>
      </c>
      <c r="F44" s="0" t="n">
        <v>0</v>
      </c>
      <c r="G44" s="0" t="n">
        <v>0</v>
      </c>
      <c r="H44" s="0" t="n">
        <v>0</v>
      </c>
      <c r="I44" s="0" t="n">
        <v>0</v>
      </c>
      <c r="J44" s="0" t="n">
        <v>0</v>
      </c>
      <c r="K44" s="0" t="n">
        <v>1</v>
      </c>
      <c r="L44" s="0" t="n">
        <v>1</v>
      </c>
    </row>
    <row r="45" customFormat="false" ht="15" hidden="false" customHeight="false" outlineLevel="0" collapsed="false">
      <c r="A45" s="5" t="n">
        <v>40372</v>
      </c>
      <c r="B45" s="6" t="s">
        <v>33</v>
      </c>
      <c r="C45" s="6" t="s">
        <v>37</v>
      </c>
      <c r="D45" s="0" t="n">
        <v>149.383327735886</v>
      </c>
      <c r="E45" s="0" t="n">
        <v>4.101666667</v>
      </c>
      <c r="F45" s="0" t="n">
        <v>0</v>
      </c>
      <c r="G45" s="0" t="n">
        <v>0</v>
      </c>
      <c r="H45" s="0" t="n">
        <v>0</v>
      </c>
      <c r="I45" s="0" t="n">
        <v>0</v>
      </c>
      <c r="J45" s="0" t="n">
        <v>0</v>
      </c>
      <c r="K45" s="0" t="n">
        <v>1</v>
      </c>
      <c r="L45" s="0" t="n">
        <v>1</v>
      </c>
    </row>
    <row r="46" customFormat="false" ht="15" hidden="false" customHeight="false" outlineLevel="0" collapsed="false">
      <c r="A46" s="5" t="n">
        <v>40302</v>
      </c>
      <c r="B46" s="6" t="s">
        <v>33</v>
      </c>
      <c r="C46" s="6" t="s">
        <v>38</v>
      </c>
      <c r="D46" s="0" t="n">
        <v>152.350285172003</v>
      </c>
      <c r="E46" s="0" t="n">
        <v>4.373333333</v>
      </c>
      <c r="F46" s="0" t="n">
        <v>0</v>
      </c>
      <c r="G46" s="0" t="n">
        <v>0</v>
      </c>
      <c r="H46" s="0" t="n">
        <v>0</v>
      </c>
      <c r="I46" s="0" t="n">
        <v>0</v>
      </c>
      <c r="J46" s="0" t="n">
        <v>0</v>
      </c>
      <c r="K46" s="0" t="n">
        <v>3</v>
      </c>
      <c r="L46" s="0" t="n">
        <v>2</v>
      </c>
    </row>
    <row r="47" customFormat="false" ht="15" hidden="false" customHeight="false" outlineLevel="0" collapsed="false">
      <c r="A47" s="5" t="n">
        <v>40309</v>
      </c>
      <c r="B47" s="6" t="s">
        <v>33</v>
      </c>
      <c r="C47" s="6" t="s">
        <v>38</v>
      </c>
      <c r="D47" s="0" t="n">
        <v>118.768123871467</v>
      </c>
      <c r="E47" s="0" t="n">
        <v>4.036666667</v>
      </c>
      <c r="F47" s="0" t="n">
        <v>0</v>
      </c>
      <c r="G47" s="0" t="n">
        <v>0</v>
      </c>
      <c r="H47" s="0" t="n">
        <v>0</v>
      </c>
      <c r="I47" s="0" t="n">
        <v>0</v>
      </c>
      <c r="J47" s="0" t="n">
        <v>0</v>
      </c>
      <c r="K47" s="0" t="n">
        <v>3</v>
      </c>
      <c r="L47" s="0" t="n">
        <v>2</v>
      </c>
    </row>
    <row r="48" customFormat="false" ht="15" hidden="false" customHeight="false" outlineLevel="0" collapsed="false">
      <c r="A48" s="5" t="n">
        <v>40316</v>
      </c>
      <c r="B48" s="6" t="s">
        <v>33</v>
      </c>
      <c r="C48" s="6" t="s">
        <v>38</v>
      </c>
      <c r="D48" s="0" t="n">
        <v>147.817665127873</v>
      </c>
      <c r="E48" s="0" t="n">
        <v>3.843571429</v>
      </c>
      <c r="F48" s="0" t="n">
        <v>0</v>
      </c>
      <c r="G48" s="0" t="n">
        <v>0</v>
      </c>
      <c r="H48" s="0" t="n">
        <v>0</v>
      </c>
      <c r="I48" s="0" t="n">
        <v>0</v>
      </c>
      <c r="J48" s="0" t="n">
        <v>0</v>
      </c>
      <c r="K48" s="0" t="n">
        <v>3</v>
      </c>
      <c r="L48" s="0" t="n">
        <v>2</v>
      </c>
    </row>
    <row r="49" customFormat="false" ht="15" hidden="false" customHeight="false" outlineLevel="0" collapsed="false">
      <c r="A49" s="5" t="n">
        <v>40323</v>
      </c>
      <c r="B49" s="6" t="s">
        <v>33</v>
      </c>
      <c r="C49" s="6" t="s">
        <v>38</v>
      </c>
      <c r="D49" s="0" t="n">
        <v>199.09332638807</v>
      </c>
      <c r="E49" s="0" t="n">
        <v>4.055384615</v>
      </c>
      <c r="F49" s="0" t="n">
        <v>0</v>
      </c>
      <c r="G49" s="0" t="n">
        <v>0</v>
      </c>
      <c r="H49" s="0" t="n">
        <v>0</v>
      </c>
      <c r="I49" s="0" t="n">
        <v>0</v>
      </c>
      <c r="J49" s="0" t="n">
        <v>0</v>
      </c>
      <c r="K49" s="0" t="n">
        <v>3</v>
      </c>
      <c r="L49" s="0" t="n">
        <v>2</v>
      </c>
    </row>
    <row r="50" customFormat="false" ht="15" hidden="false" customHeight="false" outlineLevel="0" collapsed="false">
      <c r="A50" s="5" t="n">
        <v>40330</v>
      </c>
      <c r="B50" s="6" t="s">
        <v>33</v>
      </c>
      <c r="C50" s="6" t="s">
        <v>38</v>
      </c>
      <c r="D50" s="0" t="n">
        <v>160.969770359768</v>
      </c>
      <c r="E50" s="0" t="n">
        <v>3.843571429</v>
      </c>
      <c r="F50" s="0" t="n">
        <v>0</v>
      </c>
      <c r="G50" s="0" t="n">
        <v>0</v>
      </c>
      <c r="H50" s="0" t="n">
        <v>0</v>
      </c>
      <c r="I50" s="0" t="n">
        <v>0</v>
      </c>
      <c r="J50" s="0" t="n">
        <v>0</v>
      </c>
      <c r="K50" s="0" t="n">
        <v>3</v>
      </c>
      <c r="L50" s="0" t="n">
        <v>2</v>
      </c>
    </row>
    <row r="51" customFormat="false" ht="15" hidden="false" customHeight="false" outlineLevel="0" collapsed="false">
      <c r="A51" s="5" t="n">
        <v>40337</v>
      </c>
      <c r="B51" s="6" t="s">
        <v>33</v>
      </c>
      <c r="C51" s="6" t="s">
        <v>38</v>
      </c>
      <c r="D51" s="0" t="n">
        <v>204.559129043187</v>
      </c>
      <c r="E51" s="0" t="n">
        <v>4.104285714</v>
      </c>
      <c r="F51" s="0" t="n">
        <v>0</v>
      </c>
      <c r="G51" s="0" t="n">
        <v>0</v>
      </c>
      <c r="H51" s="0" t="n">
        <v>0</v>
      </c>
      <c r="I51" s="0" t="n">
        <v>0</v>
      </c>
      <c r="J51" s="0" t="n">
        <v>0</v>
      </c>
      <c r="K51" s="0" t="n">
        <v>3</v>
      </c>
      <c r="L51" s="0" t="n">
        <v>2</v>
      </c>
    </row>
    <row r="52" customFormat="false" ht="15" hidden="false" customHeight="false" outlineLevel="0" collapsed="false">
      <c r="A52" s="5" t="n">
        <v>40344</v>
      </c>
      <c r="B52" s="6" t="s">
        <v>33</v>
      </c>
      <c r="C52" s="6" t="s">
        <v>38</v>
      </c>
      <c r="D52" s="0" t="n">
        <v>189.28982781308</v>
      </c>
      <c r="E52" s="0" t="n">
        <v>4.116666667</v>
      </c>
      <c r="F52" s="0" t="n">
        <v>0</v>
      </c>
      <c r="G52" s="0" t="n">
        <v>0</v>
      </c>
      <c r="H52" s="0" t="n">
        <v>0</v>
      </c>
      <c r="I52" s="0" t="n">
        <v>0</v>
      </c>
      <c r="J52" s="0" t="n">
        <v>0</v>
      </c>
      <c r="K52" s="0" t="n">
        <v>3</v>
      </c>
      <c r="L52" s="0" t="n">
        <v>2</v>
      </c>
    </row>
    <row r="53" customFormat="false" ht="15" hidden="false" customHeight="false" outlineLevel="0" collapsed="false">
      <c r="A53" s="5" t="n">
        <v>40351</v>
      </c>
      <c r="B53" s="6" t="s">
        <v>33</v>
      </c>
      <c r="C53" s="6" t="s">
        <v>38</v>
      </c>
      <c r="D53" s="0" t="n">
        <v>177.42078362712</v>
      </c>
      <c r="E53" s="0" t="n">
        <v>4.104285714</v>
      </c>
      <c r="F53" s="0" t="n">
        <v>0</v>
      </c>
      <c r="G53" s="0" t="n">
        <v>0</v>
      </c>
      <c r="H53" s="0" t="n">
        <v>0</v>
      </c>
      <c r="I53" s="0" t="n">
        <v>0</v>
      </c>
      <c r="J53" s="0" t="n">
        <v>0</v>
      </c>
      <c r="K53" s="0" t="n">
        <v>3</v>
      </c>
      <c r="L53" s="0" t="n">
        <v>2</v>
      </c>
    </row>
    <row r="54" customFormat="false" ht="15" hidden="false" customHeight="false" outlineLevel="0" collapsed="false">
      <c r="A54" s="5" t="n">
        <v>40358</v>
      </c>
      <c r="B54" s="6" t="s">
        <v>33</v>
      </c>
      <c r="C54" s="6" t="s">
        <v>38</v>
      </c>
      <c r="D54" s="0" t="n">
        <v>173.991296027662</v>
      </c>
      <c r="E54" s="0" t="n">
        <v>4.116666667</v>
      </c>
      <c r="F54" s="0" t="n">
        <v>0</v>
      </c>
      <c r="G54" s="0" t="n">
        <v>0</v>
      </c>
      <c r="H54" s="0" t="n">
        <v>0</v>
      </c>
      <c r="I54" s="0" t="n">
        <v>0</v>
      </c>
      <c r="J54" s="0" t="n">
        <v>0</v>
      </c>
      <c r="K54" s="0" t="n">
        <v>3</v>
      </c>
      <c r="L54" s="0" t="n">
        <v>2</v>
      </c>
    </row>
    <row r="55" customFormat="false" ht="15" hidden="false" customHeight="false" outlineLevel="0" collapsed="false">
      <c r="A55" s="5" t="n">
        <v>40365</v>
      </c>
      <c r="B55" s="6" t="s">
        <v>33</v>
      </c>
      <c r="C55" s="6" t="s">
        <v>38</v>
      </c>
      <c r="D55" s="0" t="n">
        <v>141.867866792064</v>
      </c>
      <c r="E55" s="0" t="n">
        <v>3.708571429</v>
      </c>
      <c r="F55" s="0" t="n">
        <v>0</v>
      </c>
      <c r="G55" s="0" t="n">
        <v>0</v>
      </c>
      <c r="H55" s="0" t="n">
        <v>0</v>
      </c>
      <c r="I55" s="0" t="n">
        <v>0</v>
      </c>
      <c r="J55" s="0" t="n">
        <v>0</v>
      </c>
      <c r="K55" s="0" t="n">
        <v>3</v>
      </c>
      <c r="L55" s="0" t="n">
        <v>2</v>
      </c>
    </row>
    <row r="56" customFormat="false" ht="15" hidden="false" customHeight="false" outlineLevel="0" collapsed="false">
      <c r="A56" s="5" t="n">
        <v>40372</v>
      </c>
      <c r="B56" s="6" t="s">
        <v>33</v>
      </c>
      <c r="C56" s="6" t="s">
        <v>38</v>
      </c>
      <c r="D56" s="0" t="n">
        <v>232.062346374847</v>
      </c>
      <c r="E56" s="0" t="n">
        <v>3.708571429</v>
      </c>
      <c r="F56" s="0" t="n">
        <v>0</v>
      </c>
      <c r="G56" s="0" t="n">
        <v>0</v>
      </c>
      <c r="H56" s="0" t="n">
        <v>0</v>
      </c>
      <c r="I56" s="0" t="n">
        <v>0</v>
      </c>
      <c r="J56" s="0" t="n">
        <v>0</v>
      </c>
      <c r="K56" s="0" t="n">
        <v>3</v>
      </c>
      <c r="L56" s="0" t="n">
        <v>2</v>
      </c>
    </row>
    <row r="57" customFormat="false" ht="15" hidden="false" customHeight="false" outlineLevel="0" collapsed="false">
      <c r="A57" s="5" t="n">
        <v>40302</v>
      </c>
      <c r="B57" s="6" t="s">
        <v>33</v>
      </c>
      <c r="C57" s="6" t="s">
        <v>39</v>
      </c>
      <c r="D57" s="0" t="n">
        <v>179.030760028186</v>
      </c>
      <c r="E57" s="0" t="n">
        <v>4.559230769</v>
      </c>
      <c r="F57" s="0" t="n">
        <v>0</v>
      </c>
      <c r="G57" s="0" t="n">
        <v>0</v>
      </c>
      <c r="H57" s="0" t="n">
        <v>0</v>
      </c>
      <c r="I57" s="0" t="n">
        <v>0</v>
      </c>
      <c r="J57" s="0" t="n">
        <v>0</v>
      </c>
      <c r="K57" s="0" t="n">
        <v>1</v>
      </c>
      <c r="L57" s="0" t="n">
        <v>4</v>
      </c>
    </row>
    <row r="58" customFormat="false" ht="15" hidden="false" customHeight="false" outlineLevel="0" collapsed="false">
      <c r="A58" s="5" t="n">
        <v>40309</v>
      </c>
      <c r="B58" s="6" t="s">
        <v>33</v>
      </c>
      <c r="C58" s="6" t="s">
        <v>39</v>
      </c>
      <c r="D58" s="0" t="n">
        <v>238.275285564028</v>
      </c>
      <c r="E58" s="0" t="n">
        <v>4.20875</v>
      </c>
      <c r="F58" s="0" t="n">
        <v>0</v>
      </c>
      <c r="G58" s="0" t="n">
        <v>0</v>
      </c>
      <c r="H58" s="0" t="n">
        <v>0</v>
      </c>
      <c r="I58" s="0" t="n">
        <v>0</v>
      </c>
      <c r="J58" s="0" t="n">
        <v>0</v>
      </c>
      <c r="K58" s="0" t="n">
        <v>1</v>
      </c>
      <c r="L58" s="0" t="n">
        <v>4</v>
      </c>
    </row>
    <row r="59" customFormat="false" ht="15" hidden="false" customHeight="false" outlineLevel="0" collapsed="false">
      <c r="A59" s="5" t="n">
        <v>40316</v>
      </c>
      <c r="B59" s="6" t="s">
        <v>33</v>
      </c>
      <c r="C59" s="6" t="s">
        <v>39</v>
      </c>
      <c r="D59" s="0" t="n">
        <v>163.095341225477</v>
      </c>
      <c r="E59" s="0" t="n">
        <v>4.055625</v>
      </c>
      <c r="F59" s="0" t="n">
        <v>0</v>
      </c>
      <c r="G59" s="0" t="n">
        <v>0</v>
      </c>
      <c r="H59" s="0" t="n">
        <v>0</v>
      </c>
      <c r="I59" s="0" t="n">
        <v>0</v>
      </c>
      <c r="J59" s="0" t="n">
        <v>0</v>
      </c>
      <c r="K59" s="0" t="n">
        <v>1</v>
      </c>
      <c r="L59" s="0" t="n">
        <v>4</v>
      </c>
    </row>
    <row r="60" customFormat="false" ht="15" hidden="false" customHeight="false" outlineLevel="0" collapsed="false">
      <c r="A60" s="5" t="n">
        <v>40323</v>
      </c>
      <c r="B60" s="6" t="s">
        <v>33</v>
      </c>
      <c r="C60" s="6" t="s">
        <v>39</v>
      </c>
      <c r="D60" s="0" t="n">
        <v>239.576062423663</v>
      </c>
      <c r="E60" s="0" t="n">
        <v>4.055625</v>
      </c>
      <c r="F60" s="0" t="n">
        <v>0</v>
      </c>
      <c r="G60" s="0" t="n">
        <v>0</v>
      </c>
      <c r="H60" s="0" t="n">
        <v>0</v>
      </c>
      <c r="I60" s="0" t="n">
        <v>0</v>
      </c>
      <c r="J60" s="0" t="n">
        <v>0</v>
      </c>
      <c r="K60" s="0" t="n">
        <v>1</v>
      </c>
      <c r="L60" s="0" t="n">
        <v>4</v>
      </c>
    </row>
    <row r="61" customFormat="false" ht="15" hidden="false" customHeight="false" outlineLevel="0" collapsed="false">
      <c r="A61" s="5" t="n">
        <v>40330</v>
      </c>
      <c r="B61" s="6" t="s">
        <v>33</v>
      </c>
      <c r="C61" s="6" t="s">
        <v>39</v>
      </c>
      <c r="D61" s="0" t="n">
        <v>204.934510759223</v>
      </c>
      <c r="E61" s="0" t="n">
        <v>4.055625</v>
      </c>
      <c r="F61" s="0" t="n">
        <v>0</v>
      </c>
      <c r="G61" s="0" t="n">
        <v>0</v>
      </c>
      <c r="H61" s="0" t="n">
        <v>0</v>
      </c>
      <c r="I61" s="0" t="n">
        <v>0</v>
      </c>
      <c r="J61" s="0" t="n">
        <v>0</v>
      </c>
      <c r="K61" s="0" t="n">
        <v>1</v>
      </c>
      <c r="L61" s="0" t="n">
        <v>4</v>
      </c>
    </row>
    <row r="62" customFormat="false" ht="15" hidden="false" customHeight="false" outlineLevel="0" collapsed="false">
      <c r="A62" s="5" t="n">
        <v>40337</v>
      </c>
      <c r="B62" s="6" t="s">
        <v>33</v>
      </c>
      <c r="C62" s="6" t="s">
        <v>39</v>
      </c>
      <c r="D62" s="0" t="n">
        <v>156.409463811637</v>
      </c>
      <c r="E62" s="0" t="n">
        <v>4.383333333</v>
      </c>
      <c r="F62" s="0" t="n">
        <v>0</v>
      </c>
      <c r="G62" s="0" t="n">
        <v>0</v>
      </c>
      <c r="H62" s="0" t="n">
        <v>0</v>
      </c>
      <c r="I62" s="0" t="n">
        <v>0</v>
      </c>
      <c r="J62" s="0" t="n">
        <v>0</v>
      </c>
      <c r="K62" s="0" t="n">
        <v>1</v>
      </c>
      <c r="L62" s="0" t="n">
        <v>4</v>
      </c>
    </row>
    <row r="63" customFormat="false" ht="15" hidden="false" customHeight="false" outlineLevel="0" collapsed="false">
      <c r="A63" s="5" t="n">
        <v>40344</v>
      </c>
      <c r="B63" s="6" t="s">
        <v>33</v>
      </c>
      <c r="C63" s="6" t="s">
        <v>39</v>
      </c>
      <c r="D63" s="0" t="n">
        <v>242.688807170965</v>
      </c>
      <c r="E63" s="0" t="n">
        <v>4.47</v>
      </c>
      <c r="F63" s="0" t="n">
        <v>0</v>
      </c>
      <c r="G63" s="0" t="n">
        <v>0</v>
      </c>
      <c r="H63" s="0" t="n">
        <v>0</v>
      </c>
      <c r="I63" s="0" t="n">
        <v>0</v>
      </c>
      <c r="J63" s="0" t="n">
        <v>0</v>
      </c>
      <c r="K63" s="0" t="n">
        <v>1</v>
      </c>
      <c r="L63" s="0" t="n">
        <v>4</v>
      </c>
    </row>
    <row r="64" customFormat="false" ht="15" hidden="false" customHeight="false" outlineLevel="0" collapsed="false">
      <c r="A64" s="5" t="n">
        <v>40351</v>
      </c>
      <c r="B64" s="6" t="s">
        <v>33</v>
      </c>
      <c r="C64" s="6" t="s">
        <v>39</v>
      </c>
      <c r="D64" s="0" t="n">
        <v>239.12351100948</v>
      </c>
      <c r="E64" s="0" t="n">
        <v>4.47</v>
      </c>
      <c r="F64" s="0" t="n">
        <v>0</v>
      </c>
      <c r="G64" s="0" t="n">
        <v>0</v>
      </c>
      <c r="H64" s="0" t="n">
        <v>0</v>
      </c>
      <c r="I64" s="0" t="n">
        <v>0</v>
      </c>
      <c r="J64" s="0" t="n">
        <v>0</v>
      </c>
      <c r="K64" s="0" t="n">
        <v>1</v>
      </c>
      <c r="L64" s="0" t="n">
        <v>4</v>
      </c>
    </row>
    <row r="65" customFormat="false" ht="15" hidden="false" customHeight="false" outlineLevel="0" collapsed="false">
      <c r="A65" s="5" t="n">
        <v>40358</v>
      </c>
      <c r="B65" s="6" t="s">
        <v>33</v>
      </c>
      <c r="C65" s="6" t="s">
        <v>39</v>
      </c>
      <c r="D65" s="0" t="n">
        <v>199.013399377902</v>
      </c>
      <c r="E65" s="0" t="n">
        <v>4.098333333</v>
      </c>
      <c r="F65" s="0" t="n">
        <v>0</v>
      </c>
      <c r="G65" s="0" t="n">
        <v>0</v>
      </c>
      <c r="H65" s="0" t="n">
        <v>0</v>
      </c>
      <c r="I65" s="0" t="n">
        <v>0</v>
      </c>
      <c r="J65" s="0" t="n">
        <v>0</v>
      </c>
      <c r="K65" s="0" t="n">
        <v>1</v>
      </c>
      <c r="L65" s="0" t="n">
        <v>4</v>
      </c>
    </row>
    <row r="66" customFormat="false" ht="15" hidden="false" customHeight="false" outlineLevel="0" collapsed="false">
      <c r="A66" s="5" t="n">
        <v>40365</v>
      </c>
      <c r="B66" s="6" t="s">
        <v>33</v>
      </c>
      <c r="C66" s="6" t="s">
        <v>39</v>
      </c>
      <c r="D66" s="0" t="n">
        <v>107.133028891351</v>
      </c>
      <c r="E66" s="0" t="n">
        <v>4.193571429</v>
      </c>
      <c r="F66" s="0" t="n">
        <v>0</v>
      </c>
      <c r="G66" s="0" t="n">
        <v>0</v>
      </c>
      <c r="H66" s="0" t="n">
        <v>0</v>
      </c>
      <c r="I66" s="0" t="n">
        <v>0</v>
      </c>
      <c r="J66" s="0" t="n">
        <v>0</v>
      </c>
      <c r="K66" s="0" t="n">
        <v>1</v>
      </c>
      <c r="L66" s="0" t="n">
        <v>4</v>
      </c>
    </row>
    <row r="67" customFormat="false" ht="15" hidden="false" customHeight="false" outlineLevel="0" collapsed="false">
      <c r="A67" s="5" t="n">
        <v>40372</v>
      </c>
      <c r="B67" s="6" t="s">
        <v>33</v>
      </c>
      <c r="C67" s="6" t="s">
        <v>39</v>
      </c>
      <c r="D67" s="0" t="n">
        <v>241.642428679843</v>
      </c>
      <c r="E67" s="0" t="n">
        <v>4.371428571</v>
      </c>
      <c r="F67" s="0" t="n">
        <v>0</v>
      </c>
      <c r="G67" s="0" t="n">
        <v>0</v>
      </c>
      <c r="H67" s="0" t="n">
        <v>0</v>
      </c>
      <c r="I67" s="0" t="n">
        <v>0</v>
      </c>
      <c r="J67" s="0" t="n">
        <v>0</v>
      </c>
      <c r="K67" s="0" t="n">
        <v>1</v>
      </c>
      <c r="L67" s="0" t="n">
        <v>4</v>
      </c>
    </row>
    <row r="68" customFormat="false" ht="15" hidden="false" customHeight="false" outlineLevel="0" collapsed="false">
      <c r="A68" s="5" t="n">
        <v>40302</v>
      </c>
      <c r="B68" s="6" t="s">
        <v>33</v>
      </c>
      <c r="C68" s="6" t="s">
        <v>40</v>
      </c>
      <c r="D68" s="0" t="n">
        <v>201.314071028592</v>
      </c>
      <c r="E68" s="0" t="n">
        <v>4.39</v>
      </c>
      <c r="F68" s="0" t="n">
        <v>0</v>
      </c>
      <c r="G68" s="0" t="n">
        <v>0</v>
      </c>
      <c r="H68" s="0" t="n">
        <v>0</v>
      </c>
      <c r="I68" s="0" t="n">
        <v>0</v>
      </c>
      <c r="J68" s="0" t="n">
        <v>0</v>
      </c>
      <c r="K68" s="0" t="n">
        <v>2</v>
      </c>
      <c r="L68" s="0" t="n">
        <v>5</v>
      </c>
    </row>
    <row r="69" customFormat="false" ht="15" hidden="false" customHeight="false" outlineLevel="0" collapsed="false">
      <c r="A69" s="5" t="n">
        <v>40309</v>
      </c>
      <c r="B69" s="6" t="s">
        <v>33</v>
      </c>
      <c r="C69" s="6" t="s">
        <v>40</v>
      </c>
      <c r="D69" s="0" t="n">
        <v>132.298283450523</v>
      </c>
      <c r="E69" s="0" t="n">
        <v>4.39</v>
      </c>
      <c r="F69" s="0" t="n">
        <v>0</v>
      </c>
      <c r="G69" s="0" t="n">
        <v>0</v>
      </c>
      <c r="H69" s="0" t="n">
        <v>0</v>
      </c>
      <c r="I69" s="0" t="n">
        <v>0</v>
      </c>
      <c r="J69" s="0" t="n">
        <v>0</v>
      </c>
      <c r="K69" s="0" t="n">
        <v>2</v>
      </c>
      <c r="L69" s="0" t="n">
        <v>5</v>
      </c>
    </row>
    <row r="70" customFormat="false" ht="15" hidden="false" customHeight="false" outlineLevel="0" collapsed="false">
      <c r="A70" s="5" t="n">
        <v>40316</v>
      </c>
      <c r="B70" s="6" t="s">
        <v>33</v>
      </c>
      <c r="C70" s="6" t="s">
        <v>40</v>
      </c>
      <c r="D70" s="0" t="n">
        <v>165.568295208657</v>
      </c>
      <c r="E70" s="0" t="n">
        <v>4.012727273</v>
      </c>
      <c r="F70" s="0" t="n">
        <v>0</v>
      </c>
      <c r="G70" s="0" t="n">
        <v>0</v>
      </c>
      <c r="H70" s="0" t="n">
        <v>0</v>
      </c>
      <c r="I70" s="0" t="n">
        <v>0</v>
      </c>
      <c r="J70" s="0" t="n">
        <v>0</v>
      </c>
      <c r="K70" s="0" t="n">
        <v>2</v>
      </c>
      <c r="L70" s="0" t="n">
        <v>5</v>
      </c>
    </row>
    <row r="71" customFormat="false" ht="15" hidden="false" customHeight="false" outlineLevel="0" collapsed="false">
      <c r="A71" s="5" t="n">
        <v>40323</v>
      </c>
      <c r="B71" s="6" t="s">
        <v>33</v>
      </c>
      <c r="C71" s="6" t="s">
        <v>40</v>
      </c>
      <c r="D71" s="0" t="n">
        <v>191.698303700732</v>
      </c>
      <c r="E71" s="0" t="n">
        <v>3.809230769</v>
      </c>
      <c r="F71" s="0" t="n">
        <v>0</v>
      </c>
      <c r="G71" s="0" t="n">
        <v>0</v>
      </c>
      <c r="H71" s="0" t="n">
        <v>0</v>
      </c>
      <c r="I71" s="0" t="n">
        <v>0</v>
      </c>
      <c r="J71" s="0" t="n">
        <v>0</v>
      </c>
      <c r="K71" s="0" t="n">
        <v>2</v>
      </c>
      <c r="L71" s="0" t="n">
        <v>5</v>
      </c>
    </row>
    <row r="72" customFormat="false" ht="15" hidden="false" customHeight="false" outlineLevel="0" collapsed="false">
      <c r="A72" s="5" t="n">
        <v>40330</v>
      </c>
      <c r="B72" s="6" t="s">
        <v>33</v>
      </c>
      <c r="C72" s="6" t="s">
        <v>40</v>
      </c>
      <c r="D72" s="0" t="n">
        <v>182.739389117587</v>
      </c>
      <c r="E72" s="0" t="n">
        <v>4.146666667</v>
      </c>
      <c r="F72" s="0" t="n">
        <v>0</v>
      </c>
      <c r="G72" s="0" t="n">
        <v>0</v>
      </c>
      <c r="H72" s="0" t="n">
        <v>0</v>
      </c>
      <c r="I72" s="0" t="n">
        <v>0</v>
      </c>
      <c r="J72" s="0" t="n">
        <v>0</v>
      </c>
      <c r="K72" s="0" t="n">
        <v>2</v>
      </c>
      <c r="L72" s="0" t="n">
        <v>5</v>
      </c>
    </row>
    <row r="73" customFormat="false" ht="15" hidden="false" customHeight="false" outlineLevel="0" collapsed="false">
      <c r="A73" s="5" t="n">
        <v>40337</v>
      </c>
      <c r="B73" s="6" t="s">
        <v>33</v>
      </c>
      <c r="C73" s="6" t="s">
        <v>40</v>
      </c>
      <c r="D73" s="0" t="n">
        <v>209.097972447001</v>
      </c>
      <c r="E73" s="0" t="n">
        <v>4.35875</v>
      </c>
      <c r="F73" s="0" t="n">
        <v>0</v>
      </c>
      <c r="G73" s="0" t="n">
        <v>0</v>
      </c>
      <c r="H73" s="0" t="n">
        <v>0</v>
      </c>
      <c r="I73" s="0" t="n">
        <v>0</v>
      </c>
      <c r="J73" s="0" t="n">
        <v>0</v>
      </c>
      <c r="K73" s="0" t="n">
        <v>2</v>
      </c>
      <c r="L73" s="0" t="n">
        <v>5</v>
      </c>
    </row>
    <row r="74" customFormat="false" ht="15" hidden="false" customHeight="false" outlineLevel="0" collapsed="false">
      <c r="A74" s="5" t="n">
        <v>40344</v>
      </c>
      <c r="B74" s="6" t="s">
        <v>33</v>
      </c>
      <c r="C74" s="6" t="s">
        <v>40</v>
      </c>
      <c r="D74" s="0" t="n">
        <v>239.341230964218</v>
      </c>
      <c r="E74" s="0" t="n">
        <v>4.35875</v>
      </c>
      <c r="F74" s="0" t="n">
        <v>0</v>
      </c>
      <c r="G74" s="0" t="n">
        <v>0</v>
      </c>
      <c r="H74" s="0" t="n">
        <v>0</v>
      </c>
      <c r="I74" s="0" t="n">
        <v>0</v>
      </c>
      <c r="J74" s="0" t="n">
        <v>0</v>
      </c>
      <c r="K74" s="0" t="n">
        <v>2</v>
      </c>
      <c r="L74" s="0" t="n">
        <v>5</v>
      </c>
    </row>
    <row r="75" customFormat="false" ht="15" hidden="false" customHeight="false" outlineLevel="0" collapsed="false">
      <c r="A75" s="5" t="n">
        <v>40351</v>
      </c>
      <c r="B75" s="6" t="s">
        <v>33</v>
      </c>
      <c r="C75" s="6" t="s">
        <v>40</v>
      </c>
      <c r="D75" s="0" t="n">
        <v>137.871900685101</v>
      </c>
      <c r="E75" s="0" t="n">
        <v>4.116666667</v>
      </c>
      <c r="F75" s="0" t="n">
        <v>0</v>
      </c>
      <c r="G75" s="0" t="n">
        <v>0</v>
      </c>
      <c r="H75" s="0" t="n">
        <v>0</v>
      </c>
      <c r="I75" s="0" t="n">
        <v>0</v>
      </c>
      <c r="J75" s="0" t="n">
        <v>0</v>
      </c>
      <c r="K75" s="0" t="n">
        <v>2</v>
      </c>
      <c r="L75" s="0" t="n">
        <v>5</v>
      </c>
    </row>
    <row r="76" customFormat="false" ht="15" hidden="false" customHeight="false" outlineLevel="0" collapsed="false">
      <c r="A76" s="5" t="n">
        <v>40358</v>
      </c>
      <c r="B76" s="6" t="s">
        <v>33</v>
      </c>
      <c r="C76" s="6" t="s">
        <v>40</v>
      </c>
      <c r="D76" s="0" t="n">
        <v>238.402812016027</v>
      </c>
      <c r="E76" s="0" t="n">
        <v>4.336153846</v>
      </c>
      <c r="F76" s="0" t="n">
        <v>0</v>
      </c>
      <c r="G76" s="0" t="n">
        <v>0</v>
      </c>
      <c r="H76" s="0" t="n">
        <v>0</v>
      </c>
      <c r="I76" s="0" t="n">
        <v>0</v>
      </c>
      <c r="J76" s="0" t="n">
        <v>0</v>
      </c>
      <c r="K76" s="0" t="n">
        <v>2</v>
      </c>
      <c r="L76" s="0" t="n">
        <v>5</v>
      </c>
    </row>
    <row r="77" customFormat="false" ht="15" hidden="false" customHeight="false" outlineLevel="0" collapsed="false">
      <c r="A77" s="5" t="n">
        <v>40365</v>
      </c>
      <c r="B77" s="6" t="s">
        <v>33</v>
      </c>
      <c r="C77" s="6" t="s">
        <v>40</v>
      </c>
      <c r="D77" s="0" t="n">
        <v>237.2250632012</v>
      </c>
      <c r="E77" s="0" t="n">
        <v>4.093076923</v>
      </c>
      <c r="F77" s="0" t="n">
        <v>0</v>
      </c>
      <c r="G77" s="0" t="n">
        <v>0</v>
      </c>
      <c r="H77" s="0" t="n">
        <v>0</v>
      </c>
      <c r="I77" s="0" t="n">
        <v>0</v>
      </c>
      <c r="J77" s="0" t="n">
        <v>0</v>
      </c>
      <c r="K77" s="0" t="n">
        <v>2</v>
      </c>
      <c r="L77" s="0" t="n">
        <v>5</v>
      </c>
    </row>
    <row r="78" customFormat="false" ht="15" hidden="false" customHeight="false" outlineLevel="0" collapsed="false">
      <c r="A78" s="5" t="n">
        <v>40372</v>
      </c>
      <c r="B78" s="6" t="s">
        <v>33</v>
      </c>
      <c r="C78" s="6" t="s">
        <v>40</v>
      </c>
      <c r="D78" s="0" t="n">
        <v>111.446541229154</v>
      </c>
      <c r="E78" s="0" t="n">
        <v>4.093076923</v>
      </c>
      <c r="F78" s="0" t="n">
        <v>0</v>
      </c>
      <c r="G78" s="0" t="n">
        <v>0</v>
      </c>
      <c r="H78" s="0" t="n">
        <v>0</v>
      </c>
      <c r="I78" s="0" t="n">
        <v>0</v>
      </c>
      <c r="J78" s="0" t="n">
        <v>0</v>
      </c>
      <c r="K78" s="0" t="n">
        <v>2</v>
      </c>
      <c r="L78" s="0" t="n">
        <v>5</v>
      </c>
    </row>
    <row r="79" customFormat="false" ht="15" hidden="false" customHeight="false" outlineLevel="0" collapsed="false">
      <c r="A79" s="5" t="n">
        <v>40302</v>
      </c>
      <c r="B79" s="6" t="s">
        <v>33</v>
      </c>
      <c r="C79" s="6" t="s">
        <v>41</v>
      </c>
      <c r="D79" s="0" t="n">
        <v>128.691911421092</v>
      </c>
      <c r="E79" s="0" t="n">
        <v>4.39</v>
      </c>
      <c r="F79" s="0" t="n">
        <v>0</v>
      </c>
      <c r="G79" s="0" t="n">
        <v>0</v>
      </c>
      <c r="H79" s="0" t="n">
        <v>0</v>
      </c>
      <c r="I79" s="0" t="n">
        <v>0</v>
      </c>
      <c r="J79" s="0" t="n">
        <v>0</v>
      </c>
      <c r="K79" s="0" t="n">
        <v>1</v>
      </c>
      <c r="L79" s="0" t="n">
        <v>3</v>
      </c>
    </row>
    <row r="80" customFormat="false" ht="15" hidden="false" customHeight="false" outlineLevel="0" collapsed="false">
      <c r="A80" s="5" t="n">
        <v>40309</v>
      </c>
      <c r="B80" s="6" t="s">
        <v>33</v>
      </c>
      <c r="C80" s="6" t="s">
        <v>41</v>
      </c>
      <c r="D80" s="0" t="n">
        <v>281.94862788184</v>
      </c>
      <c r="E80" s="0" t="n">
        <v>4.39</v>
      </c>
      <c r="F80" s="0" t="n">
        <v>0</v>
      </c>
      <c r="G80" s="0" t="n">
        <v>0</v>
      </c>
      <c r="H80" s="0" t="n">
        <v>0</v>
      </c>
      <c r="I80" s="0" t="n">
        <v>0</v>
      </c>
      <c r="J80" s="0" t="n">
        <v>0</v>
      </c>
      <c r="K80" s="0" t="n">
        <v>1</v>
      </c>
      <c r="L80" s="0" t="n">
        <v>3</v>
      </c>
    </row>
    <row r="81" customFormat="false" ht="15" hidden="false" customHeight="false" outlineLevel="0" collapsed="false">
      <c r="A81" s="5" t="n">
        <v>40316</v>
      </c>
      <c r="B81" s="6" t="s">
        <v>33</v>
      </c>
      <c r="C81" s="6" t="s">
        <v>41</v>
      </c>
      <c r="D81" s="0" t="n">
        <v>197.534791075741</v>
      </c>
      <c r="E81" s="0" t="n">
        <v>4.145</v>
      </c>
      <c r="F81" s="0" t="n">
        <v>0</v>
      </c>
      <c r="G81" s="0" t="n">
        <v>0</v>
      </c>
      <c r="H81" s="0" t="n">
        <v>0</v>
      </c>
      <c r="I81" s="0" t="n">
        <v>0</v>
      </c>
      <c r="J81" s="0" t="n">
        <v>0</v>
      </c>
      <c r="K81" s="0" t="n">
        <v>1</v>
      </c>
      <c r="L81" s="0" t="n">
        <v>3</v>
      </c>
    </row>
    <row r="82" customFormat="false" ht="15" hidden="false" customHeight="false" outlineLevel="0" collapsed="false">
      <c r="A82" s="5" t="n">
        <v>40323</v>
      </c>
      <c r="B82" s="6" t="s">
        <v>33</v>
      </c>
      <c r="C82" s="6" t="s">
        <v>41</v>
      </c>
      <c r="D82" s="0" t="n">
        <v>265.478621526768</v>
      </c>
      <c r="E82" s="0" t="n">
        <v>4.216666667</v>
      </c>
      <c r="F82" s="0" t="n">
        <v>0</v>
      </c>
      <c r="G82" s="0" t="n">
        <v>1</v>
      </c>
      <c r="H82" s="0" t="n">
        <v>0</v>
      </c>
      <c r="I82" s="0" t="n">
        <v>0</v>
      </c>
      <c r="J82" s="0" t="n">
        <v>0</v>
      </c>
      <c r="K82" s="0" t="n">
        <v>1</v>
      </c>
      <c r="L82" s="0" t="n">
        <v>3</v>
      </c>
    </row>
    <row r="83" customFormat="false" ht="15" hidden="false" customHeight="false" outlineLevel="0" collapsed="false">
      <c r="A83" s="5" t="n">
        <v>40330</v>
      </c>
      <c r="B83" s="6" t="s">
        <v>33</v>
      </c>
      <c r="C83" s="6" t="s">
        <v>41</v>
      </c>
      <c r="D83" s="0" t="n">
        <v>230.489537751377</v>
      </c>
      <c r="E83" s="0" t="n">
        <v>3.957857143</v>
      </c>
      <c r="F83" s="0" t="n">
        <v>0</v>
      </c>
      <c r="G83" s="0" t="n">
        <v>1</v>
      </c>
      <c r="H83" s="0" t="n">
        <v>0</v>
      </c>
      <c r="I83" s="0" t="n">
        <v>0</v>
      </c>
      <c r="J83" s="0" t="n">
        <v>0</v>
      </c>
      <c r="K83" s="0" t="n">
        <v>1</v>
      </c>
      <c r="L83" s="0" t="n">
        <v>3</v>
      </c>
    </row>
    <row r="84" customFormat="false" ht="15" hidden="false" customHeight="false" outlineLevel="0" collapsed="false">
      <c r="A84" s="5" t="n">
        <v>40337</v>
      </c>
      <c r="B84" s="6" t="s">
        <v>33</v>
      </c>
      <c r="C84" s="6" t="s">
        <v>41</v>
      </c>
      <c r="D84" s="0" t="n">
        <v>119.228658676094</v>
      </c>
      <c r="E84" s="0" t="n">
        <v>4.116666667</v>
      </c>
      <c r="F84" s="0" t="n">
        <v>0</v>
      </c>
      <c r="G84" s="0" t="n">
        <v>1</v>
      </c>
      <c r="H84" s="0" t="n">
        <v>0</v>
      </c>
      <c r="I84" s="0" t="n">
        <v>0</v>
      </c>
      <c r="J84" s="0" t="n">
        <v>0</v>
      </c>
      <c r="K84" s="0" t="n">
        <v>1</v>
      </c>
      <c r="L84" s="0" t="n">
        <v>3</v>
      </c>
    </row>
    <row r="85" customFormat="false" ht="15" hidden="false" customHeight="false" outlineLevel="0" collapsed="false">
      <c r="A85" s="5" t="n">
        <v>40344</v>
      </c>
      <c r="B85" s="6" t="s">
        <v>33</v>
      </c>
      <c r="C85" s="6" t="s">
        <v>41</v>
      </c>
      <c r="D85" s="0" t="n">
        <v>172.051455870678</v>
      </c>
      <c r="E85" s="0" t="n">
        <v>4.218571429</v>
      </c>
      <c r="F85" s="0" t="n">
        <v>0</v>
      </c>
      <c r="G85" s="0" t="n">
        <v>1</v>
      </c>
      <c r="H85" s="0" t="n">
        <v>0</v>
      </c>
      <c r="I85" s="0" t="n">
        <v>0</v>
      </c>
      <c r="J85" s="0" t="n">
        <v>0</v>
      </c>
      <c r="K85" s="0" t="n">
        <v>1</v>
      </c>
      <c r="L85" s="0" t="n">
        <v>3</v>
      </c>
    </row>
    <row r="86" customFormat="false" ht="15" hidden="false" customHeight="false" outlineLevel="0" collapsed="false">
      <c r="A86" s="5" t="n">
        <v>40351</v>
      </c>
      <c r="B86" s="6" t="s">
        <v>33</v>
      </c>
      <c r="C86" s="6" t="s">
        <v>41</v>
      </c>
      <c r="D86" s="0" t="n">
        <v>189.205876255529</v>
      </c>
      <c r="E86" s="0" t="n">
        <v>4.597142857</v>
      </c>
      <c r="F86" s="0" t="n">
        <v>0</v>
      </c>
      <c r="G86" s="0" t="n">
        <v>1</v>
      </c>
      <c r="H86" s="0" t="n">
        <v>0</v>
      </c>
      <c r="I86" s="0" t="n">
        <v>0</v>
      </c>
      <c r="J86" s="0" t="n">
        <v>0</v>
      </c>
      <c r="K86" s="0" t="n">
        <v>1</v>
      </c>
      <c r="L86" s="0" t="n">
        <v>3</v>
      </c>
    </row>
    <row r="87" customFormat="false" ht="15" hidden="false" customHeight="false" outlineLevel="0" collapsed="false">
      <c r="A87" s="5" t="n">
        <v>40358</v>
      </c>
      <c r="B87" s="6" t="s">
        <v>33</v>
      </c>
      <c r="C87" s="6" t="s">
        <v>41</v>
      </c>
      <c r="D87" s="0" t="n">
        <v>222.538561164376</v>
      </c>
      <c r="E87" s="0" t="n">
        <v>4.104285714</v>
      </c>
      <c r="F87" s="0" t="n">
        <v>0</v>
      </c>
      <c r="G87" s="0" t="n">
        <v>1</v>
      </c>
      <c r="H87" s="0" t="n">
        <v>0</v>
      </c>
      <c r="I87" s="0" t="n">
        <v>0</v>
      </c>
      <c r="J87" s="0" t="n">
        <v>0</v>
      </c>
      <c r="K87" s="0" t="n">
        <v>1</v>
      </c>
      <c r="L87" s="0" t="n">
        <v>3</v>
      </c>
    </row>
    <row r="88" customFormat="false" ht="15" hidden="false" customHeight="false" outlineLevel="0" collapsed="false">
      <c r="A88" s="5" t="n">
        <v>40365</v>
      </c>
      <c r="B88" s="6" t="s">
        <v>33</v>
      </c>
      <c r="C88" s="6" t="s">
        <v>41</v>
      </c>
      <c r="D88" s="0" t="n">
        <v>115.901306414071</v>
      </c>
      <c r="E88" s="0" t="n">
        <v>3.907857143</v>
      </c>
      <c r="F88" s="0" t="n">
        <v>0</v>
      </c>
      <c r="G88" s="0" t="n">
        <v>0</v>
      </c>
      <c r="H88" s="0" t="n">
        <v>0</v>
      </c>
      <c r="I88" s="0" t="n">
        <v>0</v>
      </c>
      <c r="J88" s="0" t="n">
        <v>0</v>
      </c>
      <c r="K88" s="0" t="n">
        <v>1</v>
      </c>
      <c r="L88" s="0" t="n">
        <v>3</v>
      </c>
    </row>
    <row r="89" customFormat="false" ht="15" hidden="false" customHeight="false" outlineLevel="0" collapsed="false">
      <c r="A89" s="5" t="n">
        <v>40372</v>
      </c>
      <c r="B89" s="6" t="s">
        <v>33</v>
      </c>
      <c r="C89" s="6" t="s">
        <v>41</v>
      </c>
      <c r="D89" s="0" t="n">
        <v>177.098966426788</v>
      </c>
      <c r="E89" s="0" t="n">
        <v>3.994</v>
      </c>
      <c r="F89" s="0" t="n">
        <v>0</v>
      </c>
      <c r="G89" s="0" t="n">
        <v>0</v>
      </c>
      <c r="H89" s="0" t="n">
        <v>0</v>
      </c>
      <c r="I89" s="0" t="n">
        <v>0</v>
      </c>
      <c r="J89" s="0" t="n">
        <v>0</v>
      </c>
      <c r="K89" s="0" t="n">
        <v>1</v>
      </c>
      <c r="L89" s="0" t="n">
        <v>3</v>
      </c>
    </row>
    <row r="90" customFormat="false" ht="15" hidden="false" customHeight="false" outlineLevel="0" collapsed="false">
      <c r="A90" s="5" t="n">
        <v>40302</v>
      </c>
      <c r="B90" s="6" t="s">
        <v>42</v>
      </c>
      <c r="C90" s="6" t="s">
        <v>43</v>
      </c>
      <c r="D90" s="0" t="n">
        <v>155.872950426082</v>
      </c>
      <c r="E90" s="0" t="n">
        <v>3.904285714</v>
      </c>
      <c r="F90" s="0" t="n">
        <v>0</v>
      </c>
      <c r="G90" s="0" t="n">
        <v>0</v>
      </c>
      <c r="H90" s="0" t="n">
        <v>0</v>
      </c>
      <c r="I90" s="0" t="n">
        <v>0</v>
      </c>
      <c r="J90" s="0" t="n">
        <v>0</v>
      </c>
      <c r="K90" s="0" t="n">
        <v>1</v>
      </c>
      <c r="L90" s="0" t="n">
        <v>1</v>
      </c>
    </row>
    <row r="91" customFormat="false" ht="15" hidden="false" customHeight="false" outlineLevel="0" collapsed="false">
      <c r="A91" s="5" t="n">
        <v>40309</v>
      </c>
      <c r="B91" s="6" t="s">
        <v>42</v>
      </c>
      <c r="C91" s="6" t="s">
        <v>43</v>
      </c>
      <c r="D91" s="0" t="n">
        <v>193.510218030075</v>
      </c>
      <c r="E91" s="0" t="n">
        <v>3.54</v>
      </c>
      <c r="F91" s="0" t="n">
        <v>0</v>
      </c>
      <c r="G91" s="0" t="n">
        <v>0</v>
      </c>
      <c r="H91" s="0" t="n">
        <v>0</v>
      </c>
      <c r="I91" s="0" t="n">
        <v>0</v>
      </c>
      <c r="J91" s="0" t="n">
        <v>0</v>
      </c>
      <c r="K91" s="0" t="n">
        <v>1</v>
      </c>
      <c r="L91" s="0" t="n">
        <v>1</v>
      </c>
    </row>
    <row r="92" customFormat="false" ht="15" hidden="false" customHeight="false" outlineLevel="0" collapsed="false">
      <c r="A92" s="5" t="n">
        <v>40316</v>
      </c>
      <c r="B92" s="6" t="s">
        <v>42</v>
      </c>
      <c r="C92" s="6" t="s">
        <v>43</v>
      </c>
      <c r="D92" s="0" t="n">
        <v>309.494670782664</v>
      </c>
      <c r="E92" s="0" t="n">
        <v>3.480909091</v>
      </c>
      <c r="F92" s="0" t="n">
        <v>0</v>
      </c>
      <c r="G92" s="0" t="n">
        <v>0</v>
      </c>
      <c r="H92" s="0" t="n">
        <v>0</v>
      </c>
      <c r="I92" s="0" t="n">
        <v>0</v>
      </c>
      <c r="J92" s="0" t="n">
        <v>0</v>
      </c>
      <c r="K92" s="0" t="n">
        <v>1</v>
      </c>
      <c r="L92" s="0" t="n">
        <v>1</v>
      </c>
    </row>
    <row r="93" customFormat="false" ht="15" hidden="false" customHeight="false" outlineLevel="0" collapsed="false">
      <c r="A93" s="5" t="n">
        <v>40323</v>
      </c>
      <c r="B93" s="6" t="s">
        <v>42</v>
      </c>
      <c r="C93" s="6" t="s">
        <v>43</v>
      </c>
      <c r="D93" s="0" t="n">
        <v>254.928852946528</v>
      </c>
      <c r="E93" s="0" t="n">
        <v>3.598333333</v>
      </c>
      <c r="F93" s="0" t="n">
        <v>0</v>
      </c>
      <c r="G93" s="0" t="n">
        <v>0</v>
      </c>
      <c r="H93" s="0" t="n">
        <v>0</v>
      </c>
      <c r="I93" s="0" t="n">
        <v>0</v>
      </c>
      <c r="J93" s="0" t="n">
        <v>0</v>
      </c>
      <c r="K93" s="0" t="n">
        <v>1</v>
      </c>
      <c r="L93" s="0" t="n">
        <v>1</v>
      </c>
    </row>
    <row r="94" customFormat="false" ht="15" hidden="false" customHeight="false" outlineLevel="0" collapsed="false">
      <c r="A94" s="5" t="n">
        <v>40330</v>
      </c>
      <c r="B94" s="6" t="s">
        <v>42</v>
      </c>
      <c r="C94" s="6" t="s">
        <v>43</v>
      </c>
      <c r="D94" s="0" t="n">
        <v>195.308398721099</v>
      </c>
      <c r="E94" s="0" t="n">
        <v>3.480909091</v>
      </c>
      <c r="F94" s="0" t="n">
        <v>0</v>
      </c>
      <c r="G94" s="0" t="n">
        <v>0</v>
      </c>
      <c r="H94" s="0" t="n">
        <v>0</v>
      </c>
      <c r="I94" s="0" t="n">
        <v>0</v>
      </c>
      <c r="J94" s="0" t="n">
        <v>0</v>
      </c>
      <c r="K94" s="0" t="n">
        <v>1</v>
      </c>
      <c r="L94" s="0" t="n">
        <v>1</v>
      </c>
    </row>
    <row r="95" customFormat="false" ht="15" hidden="false" customHeight="false" outlineLevel="0" collapsed="false">
      <c r="A95" s="5" t="n">
        <v>40337</v>
      </c>
      <c r="B95" s="6" t="s">
        <v>42</v>
      </c>
      <c r="C95" s="6" t="s">
        <v>43</v>
      </c>
      <c r="D95" s="0" t="n">
        <v>267.938742643342</v>
      </c>
      <c r="E95" s="0" t="n">
        <v>4.056666667</v>
      </c>
      <c r="F95" s="0" t="n">
        <v>0</v>
      </c>
      <c r="G95" s="0" t="n">
        <v>0</v>
      </c>
      <c r="H95" s="0" t="n">
        <v>1</v>
      </c>
      <c r="I95" s="0" t="n">
        <v>0</v>
      </c>
      <c r="J95" s="0" t="n">
        <v>0</v>
      </c>
      <c r="K95" s="0" t="n">
        <v>1</v>
      </c>
      <c r="L95" s="0" t="n">
        <v>1</v>
      </c>
    </row>
    <row r="96" customFormat="false" ht="15" hidden="false" customHeight="false" outlineLevel="0" collapsed="false">
      <c r="A96" s="5" t="n">
        <v>40344</v>
      </c>
      <c r="B96" s="6" t="s">
        <v>42</v>
      </c>
      <c r="C96" s="6" t="s">
        <v>43</v>
      </c>
      <c r="D96" s="0" t="n">
        <v>247.130096322745</v>
      </c>
      <c r="E96" s="0" t="n">
        <v>4.056666667</v>
      </c>
      <c r="F96" s="0" t="n">
        <v>0</v>
      </c>
      <c r="G96" s="0" t="n">
        <v>0</v>
      </c>
      <c r="H96" s="0" t="n">
        <v>0</v>
      </c>
      <c r="I96" s="0" t="n">
        <v>1</v>
      </c>
      <c r="J96" s="0" t="n">
        <v>0</v>
      </c>
      <c r="K96" s="0" t="n">
        <v>1</v>
      </c>
      <c r="L96" s="0" t="n">
        <v>1</v>
      </c>
    </row>
    <row r="97" customFormat="false" ht="15" hidden="false" customHeight="false" outlineLevel="0" collapsed="false">
      <c r="A97" s="5" t="n">
        <v>40351</v>
      </c>
      <c r="B97" s="6" t="s">
        <v>42</v>
      </c>
      <c r="C97" s="6" t="s">
        <v>43</v>
      </c>
      <c r="D97" s="0" t="n">
        <v>299.341685006317</v>
      </c>
      <c r="E97" s="0" t="n">
        <v>3.714545455</v>
      </c>
      <c r="F97" s="0" t="n">
        <v>0</v>
      </c>
      <c r="G97" s="0" t="n">
        <v>0</v>
      </c>
      <c r="H97" s="0" t="n">
        <v>0</v>
      </c>
      <c r="I97" s="0" t="n">
        <v>1</v>
      </c>
      <c r="J97" s="0" t="n">
        <v>0</v>
      </c>
      <c r="K97" s="0" t="n">
        <v>1</v>
      </c>
      <c r="L97" s="0" t="n">
        <v>1</v>
      </c>
    </row>
    <row r="98" customFormat="false" ht="15" hidden="false" customHeight="false" outlineLevel="0" collapsed="false">
      <c r="A98" s="5" t="n">
        <v>40358</v>
      </c>
      <c r="B98" s="6" t="s">
        <v>42</v>
      </c>
      <c r="C98" s="6" t="s">
        <v>43</v>
      </c>
      <c r="D98" s="0" t="n">
        <v>265.72152913235</v>
      </c>
      <c r="E98" s="0" t="n">
        <v>4.04</v>
      </c>
      <c r="F98" s="0" t="n">
        <v>0</v>
      </c>
      <c r="G98" s="0" t="n">
        <v>0</v>
      </c>
      <c r="H98" s="0" t="n">
        <v>0</v>
      </c>
      <c r="I98" s="0" t="n">
        <v>1</v>
      </c>
      <c r="J98" s="0" t="n">
        <v>0</v>
      </c>
      <c r="K98" s="0" t="n">
        <v>1</v>
      </c>
      <c r="L98" s="0" t="n">
        <v>1</v>
      </c>
    </row>
    <row r="99" customFormat="false" ht="15" hidden="false" customHeight="false" outlineLevel="0" collapsed="false">
      <c r="A99" s="5" t="n">
        <v>40365</v>
      </c>
      <c r="B99" s="6" t="s">
        <v>42</v>
      </c>
      <c r="C99" s="6" t="s">
        <v>43</v>
      </c>
      <c r="D99" s="0" t="n">
        <v>259.042779459633</v>
      </c>
      <c r="E99" s="0" t="n">
        <v>3.711666667</v>
      </c>
      <c r="F99" s="0" t="n">
        <v>0</v>
      </c>
      <c r="G99" s="0" t="n">
        <v>0</v>
      </c>
      <c r="H99" s="0" t="n">
        <v>0</v>
      </c>
      <c r="I99" s="0" t="n">
        <v>0</v>
      </c>
      <c r="J99" s="0" t="n">
        <v>1</v>
      </c>
      <c r="K99" s="0" t="n">
        <v>1</v>
      </c>
      <c r="L99" s="0" t="n">
        <v>1</v>
      </c>
    </row>
    <row r="100" customFormat="false" ht="15" hidden="false" customHeight="false" outlineLevel="0" collapsed="false">
      <c r="A100" s="5" t="n">
        <v>40372</v>
      </c>
      <c r="B100" s="6" t="s">
        <v>42</v>
      </c>
      <c r="C100" s="6" t="s">
        <v>43</v>
      </c>
      <c r="D100" s="0" t="n">
        <v>280.657674714992</v>
      </c>
      <c r="E100" s="0" t="n">
        <v>3.711666667</v>
      </c>
      <c r="F100" s="0" t="n">
        <v>0</v>
      </c>
      <c r="G100" s="0" t="n">
        <v>0</v>
      </c>
      <c r="H100" s="0" t="n">
        <v>0</v>
      </c>
      <c r="I100" s="0" t="n">
        <v>0</v>
      </c>
      <c r="J100" s="0" t="n">
        <v>1</v>
      </c>
      <c r="K100" s="0" t="n">
        <v>1</v>
      </c>
      <c r="L100" s="0" t="n">
        <v>1</v>
      </c>
    </row>
    <row r="101" customFormat="false" ht="15" hidden="false" customHeight="false" outlineLevel="0" collapsed="false">
      <c r="A101" s="5" t="n">
        <v>40302</v>
      </c>
      <c r="B101" s="6" t="s">
        <v>42</v>
      </c>
      <c r="C101" s="6" t="s">
        <v>44</v>
      </c>
      <c r="D101" s="0" t="n">
        <v>138.231225857981</v>
      </c>
      <c r="E101" s="0" t="n">
        <v>3.94</v>
      </c>
      <c r="F101" s="0" t="n">
        <v>0</v>
      </c>
      <c r="G101" s="0" t="n">
        <v>0</v>
      </c>
      <c r="H101" s="0" t="n">
        <v>0</v>
      </c>
      <c r="I101" s="0" t="n">
        <v>0</v>
      </c>
      <c r="J101" s="0" t="n">
        <v>0</v>
      </c>
      <c r="K101" s="0" t="n">
        <v>3</v>
      </c>
      <c r="L101" s="0" t="n">
        <v>3</v>
      </c>
    </row>
    <row r="102" customFormat="false" ht="15" hidden="false" customHeight="false" outlineLevel="0" collapsed="false">
      <c r="A102" s="5" t="n">
        <v>40309</v>
      </c>
      <c r="B102" s="6" t="s">
        <v>42</v>
      </c>
      <c r="C102" s="6" t="s">
        <v>44</v>
      </c>
      <c r="D102" s="0" t="n">
        <v>263.238866557505</v>
      </c>
      <c r="E102" s="0" t="n">
        <v>3.523333333</v>
      </c>
      <c r="F102" s="0" t="n">
        <v>0</v>
      </c>
      <c r="G102" s="0" t="n">
        <v>0</v>
      </c>
      <c r="H102" s="0" t="n">
        <v>0</v>
      </c>
      <c r="I102" s="0" t="n">
        <v>0</v>
      </c>
      <c r="J102" s="0" t="n">
        <v>0</v>
      </c>
      <c r="K102" s="0" t="n">
        <v>3</v>
      </c>
      <c r="L102" s="0" t="n">
        <v>3</v>
      </c>
    </row>
    <row r="103" customFormat="false" ht="15" hidden="false" customHeight="false" outlineLevel="0" collapsed="false">
      <c r="A103" s="5" t="n">
        <v>40316</v>
      </c>
      <c r="B103" s="6" t="s">
        <v>42</v>
      </c>
      <c r="C103" s="6" t="s">
        <v>44</v>
      </c>
      <c r="D103" s="0" t="n">
        <v>119.961981523964</v>
      </c>
      <c r="E103" s="0" t="n">
        <v>3.547142857</v>
      </c>
      <c r="F103" s="0" t="n">
        <v>0</v>
      </c>
      <c r="G103" s="0" t="n">
        <v>0</v>
      </c>
      <c r="H103" s="0" t="n">
        <v>0</v>
      </c>
      <c r="I103" s="0" t="n">
        <v>0</v>
      </c>
      <c r="J103" s="0" t="n">
        <v>0</v>
      </c>
      <c r="K103" s="0" t="n">
        <v>3</v>
      </c>
      <c r="L103" s="0" t="n">
        <v>3</v>
      </c>
    </row>
    <row r="104" customFormat="false" ht="15" hidden="false" customHeight="false" outlineLevel="0" collapsed="false">
      <c r="A104" s="5" t="n">
        <v>40323</v>
      </c>
      <c r="B104" s="6" t="s">
        <v>42</v>
      </c>
      <c r="C104" s="6" t="s">
        <v>44</v>
      </c>
      <c r="D104" s="0" t="n">
        <v>212.361991766641</v>
      </c>
      <c r="E104" s="0" t="n">
        <v>3.44</v>
      </c>
      <c r="F104" s="0" t="n">
        <v>0</v>
      </c>
      <c r="G104" s="0" t="n">
        <v>0</v>
      </c>
      <c r="H104" s="0" t="n">
        <v>0</v>
      </c>
      <c r="I104" s="0" t="n">
        <v>0</v>
      </c>
      <c r="J104" s="0" t="n">
        <v>0</v>
      </c>
      <c r="K104" s="0" t="n">
        <v>3</v>
      </c>
      <c r="L104" s="0" t="n">
        <v>3</v>
      </c>
    </row>
    <row r="105" customFormat="false" ht="15" hidden="false" customHeight="false" outlineLevel="0" collapsed="false">
      <c r="A105" s="5" t="n">
        <v>40330</v>
      </c>
      <c r="B105" s="6" t="s">
        <v>42</v>
      </c>
      <c r="C105" s="6" t="s">
        <v>44</v>
      </c>
      <c r="D105" s="0" t="n">
        <v>167.089370746412</v>
      </c>
      <c r="E105" s="0" t="n">
        <v>3.547142857</v>
      </c>
      <c r="F105" s="0" t="n">
        <v>0</v>
      </c>
      <c r="G105" s="0" t="n">
        <v>0</v>
      </c>
      <c r="H105" s="0" t="n">
        <v>0</v>
      </c>
      <c r="I105" s="0" t="n">
        <v>0</v>
      </c>
      <c r="J105" s="0" t="n">
        <v>0</v>
      </c>
      <c r="K105" s="0" t="n">
        <v>3</v>
      </c>
      <c r="L105" s="0" t="n">
        <v>3</v>
      </c>
    </row>
    <row r="106" customFormat="false" ht="15" hidden="false" customHeight="false" outlineLevel="0" collapsed="false">
      <c r="A106" s="5" t="n">
        <v>40337</v>
      </c>
      <c r="B106" s="6" t="s">
        <v>42</v>
      </c>
      <c r="C106" s="6" t="s">
        <v>44</v>
      </c>
      <c r="D106" s="0" t="n">
        <v>293.52183413811</v>
      </c>
      <c r="E106" s="0" t="n">
        <v>3.523333333</v>
      </c>
      <c r="F106" s="0" t="n">
        <v>0</v>
      </c>
      <c r="G106" s="0" t="n">
        <v>1</v>
      </c>
      <c r="H106" s="0" t="n">
        <v>1</v>
      </c>
      <c r="I106" s="0" t="n">
        <v>0</v>
      </c>
      <c r="J106" s="0" t="n">
        <v>0</v>
      </c>
      <c r="K106" s="0" t="n">
        <v>3</v>
      </c>
      <c r="L106" s="0" t="n">
        <v>3</v>
      </c>
    </row>
    <row r="107" customFormat="false" ht="15" hidden="false" customHeight="false" outlineLevel="0" collapsed="false">
      <c r="A107" s="5" t="n">
        <v>40344</v>
      </c>
      <c r="B107" s="6" t="s">
        <v>42</v>
      </c>
      <c r="C107" s="6" t="s">
        <v>44</v>
      </c>
      <c r="D107" s="0" t="n">
        <v>207.820699711041</v>
      </c>
      <c r="E107" s="0" t="n">
        <v>3.6275</v>
      </c>
      <c r="F107" s="0" t="n">
        <v>0</v>
      </c>
      <c r="G107" s="0" t="n">
        <v>1</v>
      </c>
      <c r="H107" s="0" t="n">
        <v>0</v>
      </c>
      <c r="I107" s="0" t="n">
        <v>1</v>
      </c>
      <c r="J107" s="0" t="n">
        <v>0</v>
      </c>
      <c r="K107" s="0" t="n">
        <v>3</v>
      </c>
      <c r="L107" s="0" t="n">
        <v>3</v>
      </c>
    </row>
    <row r="108" customFormat="false" ht="15" hidden="false" customHeight="false" outlineLevel="0" collapsed="false">
      <c r="A108" s="5" t="n">
        <v>40351</v>
      </c>
      <c r="B108" s="6" t="s">
        <v>42</v>
      </c>
      <c r="C108" s="6" t="s">
        <v>44</v>
      </c>
      <c r="D108" s="0" t="n">
        <v>273.708256540645</v>
      </c>
      <c r="E108" s="0" t="n">
        <v>3.6275</v>
      </c>
      <c r="F108" s="0" t="n">
        <v>0</v>
      </c>
      <c r="G108" s="0" t="n">
        <v>1</v>
      </c>
      <c r="H108" s="0" t="n">
        <v>0</v>
      </c>
      <c r="I108" s="0" t="n">
        <v>1</v>
      </c>
      <c r="J108" s="0" t="n">
        <v>0</v>
      </c>
      <c r="K108" s="0" t="n">
        <v>3</v>
      </c>
      <c r="L108" s="0" t="n">
        <v>3</v>
      </c>
    </row>
    <row r="109" customFormat="false" ht="15" hidden="false" customHeight="false" outlineLevel="0" collapsed="false">
      <c r="A109" s="5" t="n">
        <v>40358</v>
      </c>
      <c r="B109" s="6" t="s">
        <v>42</v>
      </c>
      <c r="C109" s="6" t="s">
        <v>44</v>
      </c>
      <c r="D109" s="0" t="n">
        <v>252.250376244991</v>
      </c>
      <c r="E109" s="0" t="n">
        <v>3.523333333</v>
      </c>
      <c r="F109" s="0" t="n">
        <v>0</v>
      </c>
      <c r="G109" s="0" t="n">
        <v>1</v>
      </c>
      <c r="H109" s="0" t="n">
        <v>0</v>
      </c>
      <c r="I109" s="0" t="n">
        <v>1</v>
      </c>
      <c r="J109" s="0" t="n">
        <v>0</v>
      </c>
      <c r="K109" s="0" t="n">
        <v>3</v>
      </c>
      <c r="L109" s="0" t="n">
        <v>3</v>
      </c>
    </row>
    <row r="110" customFormat="false" ht="15" hidden="false" customHeight="false" outlineLevel="0" collapsed="false">
      <c r="A110" s="5" t="n">
        <v>40365</v>
      </c>
      <c r="B110" s="6" t="s">
        <v>42</v>
      </c>
      <c r="C110" s="6" t="s">
        <v>44</v>
      </c>
      <c r="D110" s="0" t="n">
        <v>299.635685513023</v>
      </c>
      <c r="E110" s="0" t="n">
        <v>3.19625</v>
      </c>
      <c r="F110" s="0" t="n">
        <v>0</v>
      </c>
      <c r="G110" s="0" t="n">
        <v>1</v>
      </c>
      <c r="H110" s="0" t="n">
        <v>0</v>
      </c>
      <c r="I110" s="0" t="n">
        <v>0</v>
      </c>
      <c r="J110" s="0" t="n">
        <v>1</v>
      </c>
      <c r="K110" s="0" t="n">
        <v>3</v>
      </c>
      <c r="L110" s="0" t="n">
        <v>3</v>
      </c>
    </row>
    <row r="111" customFormat="false" ht="15" hidden="false" customHeight="false" outlineLevel="0" collapsed="false">
      <c r="A111" s="5" t="n">
        <v>40372</v>
      </c>
      <c r="B111" s="6" t="s">
        <v>42</v>
      </c>
      <c r="C111" s="6" t="s">
        <v>44</v>
      </c>
      <c r="D111" s="0" t="n">
        <v>305.56784938342</v>
      </c>
      <c r="E111" s="0" t="n">
        <v>3.19625</v>
      </c>
      <c r="F111" s="0" t="n">
        <v>0</v>
      </c>
      <c r="G111" s="0" t="n">
        <v>1</v>
      </c>
      <c r="H111" s="0" t="n">
        <v>0</v>
      </c>
      <c r="I111" s="0" t="n">
        <v>0</v>
      </c>
      <c r="J111" s="0" t="n">
        <v>1</v>
      </c>
      <c r="K111" s="0" t="n">
        <v>3</v>
      </c>
      <c r="L111" s="0" t="n">
        <v>3</v>
      </c>
    </row>
    <row r="112" customFormat="false" ht="15" hidden="false" customHeight="false" outlineLevel="0" collapsed="false">
      <c r="A112" s="5" t="n">
        <v>40302</v>
      </c>
      <c r="B112" s="6" t="s">
        <v>42</v>
      </c>
      <c r="C112" s="6" t="s">
        <v>45</v>
      </c>
      <c r="D112" s="0" t="n">
        <v>170.702524095149</v>
      </c>
      <c r="E112" s="0" t="n">
        <v>3.904285714</v>
      </c>
      <c r="F112" s="0" t="n">
        <v>0</v>
      </c>
      <c r="G112" s="0" t="n">
        <v>0</v>
      </c>
      <c r="H112" s="0" t="n">
        <v>0</v>
      </c>
      <c r="I112" s="0" t="n">
        <v>0</v>
      </c>
      <c r="J112" s="0" t="n">
        <v>0</v>
      </c>
      <c r="K112" s="0" t="n">
        <v>2</v>
      </c>
      <c r="L112" s="0" t="n">
        <v>2</v>
      </c>
    </row>
    <row r="113" customFormat="false" ht="15" hidden="false" customHeight="false" outlineLevel="0" collapsed="false">
      <c r="A113" s="5" t="n">
        <v>40309</v>
      </c>
      <c r="B113" s="6" t="s">
        <v>42</v>
      </c>
      <c r="C113" s="6" t="s">
        <v>45</v>
      </c>
      <c r="D113" s="0" t="n">
        <v>115.687997802223</v>
      </c>
      <c r="E113" s="0" t="n">
        <v>3.904285714</v>
      </c>
      <c r="F113" s="0" t="n">
        <v>0</v>
      </c>
      <c r="G113" s="0" t="n">
        <v>0</v>
      </c>
      <c r="H113" s="0" t="n">
        <v>0</v>
      </c>
      <c r="I113" s="0" t="n">
        <v>0</v>
      </c>
      <c r="J113" s="0" t="n">
        <v>0</v>
      </c>
      <c r="K113" s="0" t="n">
        <v>2</v>
      </c>
      <c r="L113" s="0" t="n">
        <v>2</v>
      </c>
    </row>
    <row r="114" customFormat="false" ht="15" hidden="false" customHeight="false" outlineLevel="0" collapsed="false">
      <c r="A114" s="5" t="n">
        <v>40316</v>
      </c>
      <c r="B114" s="6" t="s">
        <v>42</v>
      </c>
      <c r="C114" s="6" t="s">
        <v>45</v>
      </c>
      <c r="D114" s="0" t="n">
        <v>162.40568885032</v>
      </c>
      <c r="E114" s="0" t="n">
        <v>3.618571429</v>
      </c>
      <c r="F114" s="0" t="n">
        <v>0</v>
      </c>
      <c r="G114" s="0" t="n">
        <v>0</v>
      </c>
      <c r="H114" s="0" t="n">
        <v>0</v>
      </c>
      <c r="I114" s="0" t="n">
        <v>0</v>
      </c>
      <c r="J114" s="0" t="n">
        <v>0</v>
      </c>
      <c r="K114" s="0" t="n">
        <v>2</v>
      </c>
      <c r="L114" s="0" t="n">
        <v>2</v>
      </c>
    </row>
    <row r="115" customFormat="false" ht="15" hidden="false" customHeight="false" outlineLevel="0" collapsed="false">
      <c r="A115" s="5" t="n">
        <v>40323</v>
      </c>
      <c r="B115" s="6" t="s">
        <v>42</v>
      </c>
      <c r="C115" s="6" t="s">
        <v>45</v>
      </c>
      <c r="D115" s="0" t="n">
        <v>257.487773031381</v>
      </c>
      <c r="E115" s="0" t="n">
        <v>3.7775</v>
      </c>
      <c r="F115" s="0" t="n">
        <v>0</v>
      </c>
      <c r="G115" s="0" t="n">
        <v>0</v>
      </c>
      <c r="H115" s="0" t="n">
        <v>0</v>
      </c>
      <c r="I115" s="0" t="n">
        <v>0</v>
      </c>
      <c r="J115" s="0" t="n">
        <v>0</v>
      </c>
      <c r="K115" s="0" t="n">
        <v>2</v>
      </c>
      <c r="L115" s="0" t="n">
        <v>2</v>
      </c>
    </row>
    <row r="116" customFormat="false" ht="15" hidden="false" customHeight="false" outlineLevel="0" collapsed="false">
      <c r="A116" s="5" t="n">
        <v>40330</v>
      </c>
      <c r="B116" s="6" t="s">
        <v>42</v>
      </c>
      <c r="C116" s="6" t="s">
        <v>45</v>
      </c>
      <c r="D116" s="0" t="n">
        <v>248.690656081905</v>
      </c>
      <c r="E116" s="0" t="n">
        <v>3.7775</v>
      </c>
      <c r="F116" s="0" t="n">
        <v>0</v>
      </c>
      <c r="G116" s="0" t="n">
        <v>0</v>
      </c>
      <c r="H116" s="0" t="n">
        <v>0</v>
      </c>
      <c r="I116" s="0" t="n">
        <v>0</v>
      </c>
      <c r="J116" s="0" t="n">
        <v>0</v>
      </c>
      <c r="K116" s="0" t="n">
        <v>2</v>
      </c>
      <c r="L116" s="0" t="n">
        <v>2</v>
      </c>
    </row>
    <row r="117" customFormat="false" ht="15" hidden="false" customHeight="false" outlineLevel="0" collapsed="false">
      <c r="A117" s="5" t="n">
        <v>40337</v>
      </c>
      <c r="B117" s="6" t="s">
        <v>42</v>
      </c>
      <c r="C117" s="6" t="s">
        <v>45</v>
      </c>
      <c r="D117" s="0" t="n">
        <v>151.293411966053</v>
      </c>
      <c r="E117" s="0" t="n">
        <v>3.7525</v>
      </c>
      <c r="F117" s="0" t="n">
        <v>0</v>
      </c>
      <c r="G117" s="0" t="n">
        <v>0</v>
      </c>
      <c r="H117" s="0" t="n">
        <v>0</v>
      </c>
      <c r="I117" s="0" t="n">
        <v>0</v>
      </c>
      <c r="J117" s="0" t="n">
        <v>0</v>
      </c>
      <c r="K117" s="0" t="n">
        <v>2</v>
      </c>
      <c r="L117" s="0" t="n">
        <v>2</v>
      </c>
    </row>
    <row r="118" customFormat="false" ht="15" hidden="false" customHeight="false" outlineLevel="0" collapsed="false">
      <c r="A118" s="5" t="n">
        <v>40344</v>
      </c>
      <c r="B118" s="6" t="s">
        <v>42</v>
      </c>
      <c r="C118" s="6" t="s">
        <v>45</v>
      </c>
      <c r="D118" s="0" t="n">
        <v>155.605048023488</v>
      </c>
      <c r="E118" s="0" t="n">
        <v>3.944444444</v>
      </c>
      <c r="F118" s="0" t="n">
        <v>0</v>
      </c>
      <c r="G118" s="0" t="n">
        <v>0</v>
      </c>
      <c r="H118" s="0" t="n">
        <v>0</v>
      </c>
      <c r="I118" s="0" t="n">
        <v>0</v>
      </c>
      <c r="J118" s="0" t="n">
        <v>0</v>
      </c>
      <c r="K118" s="0" t="n">
        <v>2</v>
      </c>
      <c r="L118" s="0" t="n">
        <v>2</v>
      </c>
    </row>
    <row r="119" customFormat="false" ht="15" hidden="false" customHeight="false" outlineLevel="0" collapsed="false">
      <c r="A119" s="5" t="n">
        <v>40351</v>
      </c>
      <c r="B119" s="6" t="s">
        <v>42</v>
      </c>
      <c r="C119" s="6" t="s">
        <v>45</v>
      </c>
      <c r="D119" s="0" t="n">
        <v>110.560198744382</v>
      </c>
      <c r="E119" s="0" t="n">
        <v>3.856666667</v>
      </c>
      <c r="F119" s="0" t="n">
        <v>0</v>
      </c>
      <c r="G119" s="0" t="n">
        <v>0</v>
      </c>
      <c r="H119" s="0" t="n">
        <v>0</v>
      </c>
      <c r="I119" s="0" t="n">
        <v>0</v>
      </c>
      <c r="J119" s="0" t="n">
        <v>0</v>
      </c>
      <c r="K119" s="0" t="n">
        <v>2</v>
      </c>
      <c r="L119" s="0" t="n">
        <v>2</v>
      </c>
    </row>
    <row r="120" customFormat="false" ht="15" hidden="false" customHeight="false" outlineLevel="0" collapsed="false">
      <c r="A120" s="5" t="n">
        <v>40358</v>
      </c>
      <c r="B120" s="6" t="s">
        <v>42</v>
      </c>
      <c r="C120" s="6" t="s">
        <v>45</v>
      </c>
      <c r="D120" s="0" t="n">
        <v>233.259203013615</v>
      </c>
      <c r="E120" s="0" t="n">
        <v>3.967777778</v>
      </c>
      <c r="F120" s="0" t="n">
        <v>0</v>
      </c>
      <c r="G120" s="0" t="n">
        <v>0</v>
      </c>
      <c r="H120" s="0" t="n">
        <v>0</v>
      </c>
      <c r="I120" s="0" t="n">
        <v>0</v>
      </c>
      <c r="J120" s="0" t="n">
        <v>0</v>
      </c>
      <c r="K120" s="0" t="n">
        <v>2</v>
      </c>
      <c r="L120" s="0" t="n">
        <v>2</v>
      </c>
    </row>
    <row r="121" customFormat="false" ht="15" hidden="false" customHeight="false" outlineLevel="0" collapsed="false">
      <c r="A121" s="5" t="n">
        <v>40365</v>
      </c>
      <c r="B121" s="6" t="s">
        <v>42</v>
      </c>
      <c r="C121" s="6" t="s">
        <v>45</v>
      </c>
      <c r="D121" s="0" t="n">
        <v>228.325041470496</v>
      </c>
      <c r="E121" s="0" t="n">
        <v>3.473333333</v>
      </c>
      <c r="F121" s="0" t="n">
        <v>0</v>
      </c>
      <c r="G121" s="0" t="n">
        <v>0</v>
      </c>
      <c r="H121" s="0" t="n">
        <v>0</v>
      </c>
      <c r="I121" s="0" t="n">
        <v>0</v>
      </c>
      <c r="J121" s="0" t="n">
        <v>0</v>
      </c>
      <c r="K121" s="0" t="n">
        <v>2</v>
      </c>
      <c r="L121" s="0" t="n">
        <v>2</v>
      </c>
    </row>
    <row r="122" customFormat="false" ht="15" hidden="false" customHeight="false" outlineLevel="0" collapsed="false">
      <c r="A122" s="5" t="n">
        <v>40372</v>
      </c>
      <c r="B122" s="6" t="s">
        <v>42</v>
      </c>
      <c r="C122" s="6" t="s">
        <v>45</v>
      </c>
      <c r="D122" s="0" t="n">
        <v>221.791053433141</v>
      </c>
      <c r="E122" s="0" t="n">
        <v>3.473333333</v>
      </c>
      <c r="F122" s="0" t="n">
        <v>0</v>
      </c>
      <c r="G122" s="0" t="n">
        <v>0</v>
      </c>
      <c r="H122" s="0" t="n">
        <v>0</v>
      </c>
      <c r="I122" s="0" t="n">
        <v>0</v>
      </c>
      <c r="J122" s="0" t="n">
        <v>0</v>
      </c>
      <c r="K122" s="0" t="n">
        <v>2</v>
      </c>
      <c r="L122" s="0" t="n">
        <v>2</v>
      </c>
    </row>
    <row r="123" customFormat="false" ht="15" hidden="false" customHeight="false" outlineLevel="0" collapsed="false">
      <c r="A123" s="5" t="n">
        <v>40302</v>
      </c>
      <c r="B123" s="6" t="s">
        <v>42</v>
      </c>
      <c r="C123" s="6" t="s">
        <v>46</v>
      </c>
      <c r="D123" s="0" t="n">
        <v>326.964404243629</v>
      </c>
      <c r="E123" s="0" t="n">
        <v>4.118571429</v>
      </c>
      <c r="F123" s="0" t="n">
        <v>0</v>
      </c>
      <c r="G123" s="0" t="n">
        <v>0</v>
      </c>
      <c r="H123" s="0" t="n">
        <v>0</v>
      </c>
      <c r="I123" s="0" t="n">
        <v>0</v>
      </c>
      <c r="J123" s="0" t="n">
        <v>1</v>
      </c>
      <c r="K123" s="0" t="n">
        <v>0</v>
      </c>
      <c r="L123" s="0" t="n">
        <v>4</v>
      </c>
    </row>
    <row r="124" customFormat="false" ht="15" hidden="false" customHeight="false" outlineLevel="0" collapsed="false">
      <c r="A124" s="5" t="n">
        <v>40309</v>
      </c>
      <c r="B124" s="6" t="s">
        <v>42</v>
      </c>
      <c r="C124" s="6" t="s">
        <v>46</v>
      </c>
      <c r="D124" s="0" t="n">
        <v>172.136021234021</v>
      </c>
      <c r="E124" s="0" t="n">
        <v>4.1275</v>
      </c>
      <c r="F124" s="0" t="n">
        <v>0</v>
      </c>
      <c r="G124" s="0" t="n">
        <v>0</v>
      </c>
      <c r="H124" s="0" t="n">
        <v>0</v>
      </c>
      <c r="I124" s="0" t="n">
        <v>0</v>
      </c>
      <c r="J124" s="0" t="n">
        <v>1</v>
      </c>
      <c r="K124" s="0" t="n">
        <v>0</v>
      </c>
      <c r="L124" s="0" t="n">
        <v>4</v>
      </c>
    </row>
    <row r="125" customFormat="false" ht="15" hidden="false" customHeight="false" outlineLevel="0" collapsed="false">
      <c r="A125" s="5" t="n">
        <v>40316</v>
      </c>
      <c r="B125" s="6" t="s">
        <v>42</v>
      </c>
      <c r="C125" s="6" t="s">
        <v>46</v>
      </c>
      <c r="D125" s="0" t="n">
        <v>209.298987546324</v>
      </c>
      <c r="E125" s="0" t="n">
        <v>3.618571429</v>
      </c>
      <c r="F125" s="0" t="n">
        <v>0</v>
      </c>
      <c r="G125" s="0" t="n">
        <v>0</v>
      </c>
      <c r="H125" s="0" t="n">
        <v>0</v>
      </c>
      <c r="I125" s="0" t="n">
        <v>0</v>
      </c>
      <c r="J125" s="0" t="n">
        <v>0</v>
      </c>
      <c r="K125" s="0" t="n">
        <v>0</v>
      </c>
      <c r="L125" s="0" t="n">
        <v>4</v>
      </c>
    </row>
    <row r="126" customFormat="false" ht="15" hidden="false" customHeight="false" outlineLevel="0" collapsed="false">
      <c r="A126" s="5" t="n">
        <v>40323</v>
      </c>
      <c r="B126" s="6" t="s">
        <v>42</v>
      </c>
      <c r="C126" s="6" t="s">
        <v>46</v>
      </c>
      <c r="D126" s="0" t="n">
        <v>158.701989658641</v>
      </c>
      <c r="E126" s="0" t="n">
        <v>3.75625</v>
      </c>
      <c r="F126" s="0" t="n">
        <v>0</v>
      </c>
      <c r="G126" s="0" t="n">
        <v>0</v>
      </c>
      <c r="H126" s="0" t="n">
        <v>0</v>
      </c>
      <c r="I126" s="0" t="n">
        <v>0</v>
      </c>
      <c r="J126" s="0" t="n">
        <v>0</v>
      </c>
      <c r="K126" s="0" t="n">
        <v>0</v>
      </c>
      <c r="L126" s="0" t="n">
        <v>4</v>
      </c>
    </row>
    <row r="127" customFormat="false" ht="15" hidden="false" customHeight="false" outlineLevel="0" collapsed="false">
      <c r="A127" s="5" t="n">
        <v>40330</v>
      </c>
      <c r="B127" s="6" t="s">
        <v>42</v>
      </c>
      <c r="C127" s="6" t="s">
        <v>46</v>
      </c>
      <c r="D127" s="0" t="n">
        <v>203.483225619719</v>
      </c>
      <c r="E127" s="0" t="n">
        <v>3.7775</v>
      </c>
      <c r="F127" s="0" t="n">
        <v>0</v>
      </c>
      <c r="G127" s="0" t="n">
        <v>0</v>
      </c>
      <c r="H127" s="0" t="n">
        <v>0</v>
      </c>
      <c r="I127" s="0" t="n">
        <v>0</v>
      </c>
      <c r="J127" s="0" t="n">
        <v>0</v>
      </c>
      <c r="K127" s="0" t="n">
        <v>0</v>
      </c>
      <c r="L127" s="0" t="n">
        <v>4</v>
      </c>
    </row>
    <row r="128" customFormat="false" ht="15" hidden="false" customHeight="false" outlineLevel="0" collapsed="false">
      <c r="A128" s="5" t="n">
        <v>40337</v>
      </c>
      <c r="B128" s="6" t="s">
        <v>42</v>
      </c>
      <c r="C128" s="6" t="s">
        <v>46</v>
      </c>
      <c r="D128" s="0" t="n">
        <v>183.096661708362</v>
      </c>
      <c r="E128" s="0" t="n">
        <v>3.634444444</v>
      </c>
      <c r="F128" s="0" t="n">
        <v>0</v>
      </c>
      <c r="G128" s="0" t="n">
        <v>0</v>
      </c>
      <c r="H128" s="0" t="n">
        <v>0</v>
      </c>
      <c r="I128" s="0" t="n">
        <v>0</v>
      </c>
      <c r="J128" s="0" t="n">
        <v>0</v>
      </c>
      <c r="K128" s="0" t="n">
        <v>0</v>
      </c>
      <c r="L128" s="0" t="n">
        <v>4</v>
      </c>
    </row>
    <row r="129" customFormat="false" ht="15" hidden="false" customHeight="false" outlineLevel="0" collapsed="false">
      <c r="A129" s="5" t="n">
        <v>40344</v>
      </c>
      <c r="B129" s="6" t="s">
        <v>42</v>
      </c>
      <c r="C129" s="6" t="s">
        <v>46</v>
      </c>
      <c r="D129" s="0" t="n">
        <v>162.395311588802</v>
      </c>
      <c r="E129" s="0" t="n">
        <v>3.7525</v>
      </c>
      <c r="F129" s="0" t="n">
        <v>0</v>
      </c>
      <c r="G129" s="0" t="n">
        <v>0</v>
      </c>
      <c r="H129" s="0" t="n">
        <v>0</v>
      </c>
      <c r="I129" s="0" t="n">
        <v>0</v>
      </c>
      <c r="J129" s="0" t="n">
        <v>0</v>
      </c>
      <c r="K129" s="0" t="n">
        <v>0</v>
      </c>
      <c r="L129" s="0" t="n">
        <v>4</v>
      </c>
    </row>
    <row r="130" customFormat="false" ht="15" hidden="false" customHeight="false" outlineLevel="0" collapsed="false">
      <c r="A130" s="5" t="n">
        <v>40351</v>
      </c>
      <c r="B130" s="6" t="s">
        <v>42</v>
      </c>
      <c r="C130" s="6" t="s">
        <v>46</v>
      </c>
      <c r="D130" s="0" t="n">
        <v>372.166748213096</v>
      </c>
      <c r="E130" s="0" t="n">
        <v>3.735454545</v>
      </c>
      <c r="F130" s="0" t="n">
        <v>0</v>
      </c>
      <c r="G130" s="0" t="n">
        <v>0</v>
      </c>
      <c r="H130" s="0" t="n">
        <v>1</v>
      </c>
      <c r="I130" s="0" t="n">
        <v>0</v>
      </c>
      <c r="J130" s="0" t="n">
        <v>0</v>
      </c>
      <c r="K130" s="0" t="n">
        <v>0</v>
      </c>
      <c r="L130" s="0" t="n">
        <v>4</v>
      </c>
    </row>
    <row r="131" customFormat="false" ht="15" hidden="false" customHeight="false" outlineLevel="0" collapsed="false">
      <c r="A131" s="5" t="n">
        <v>40358</v>
      </c>
      <c r="B131" s="6" t="s">
        <v>42</v>
      </c>
      <c r="C131" s="6" t="s">
        <v>46</v>
      </c>
      <c r="D131" s="0" t="n">
        <v>389.75935425642</v>
      </c>
      <c r="E131" s="0" t="n">
        <v>3.735454545</v>
      </c>
      <c r="F131" s="0" t="n">
        <v>0</v>
      </c>
      <c r="G131" s="0" t="n">
        <v>0</v>
      </c>
      <c r="H131" s="0" t="n">
        <v>0</v>
      </c>
      <c r="I131" s="0" t="n">
        <v>1</v>
      </c>
      <c r="J131" s="0" t="n">
        <v>0</v>
      </c>
      <c r="K131" s="0" t="n">
        <v>0</v>
      </c>
      <c r="L131" s="0" t="n">
        <v>4</v>
      </c>
    </row>
    <row r="132" customFormat="false" ht="15" hidden="false" customHeight="false" outlineLevel="0" collapsed="false">
      <c r="A132" s="5" t="n">
        <v>40365</v>
      </c>
      <c r="B132" s="6" t="s">
        <v>42</v>
      </c>
      <c r="C132" s="6" t="s">
        <v>46</v>
      </c>
      <c r="D132" s="0" t="n">
        <v>302.682559116882</v>
      </c>
      <c r="E132" s="0" t="n">
        <v>3.495</v>
      </c>
      <c r="F132" s="0" t="n">
        <v>0</v>
      </c>
      <c r="G132" s="0" t="n">
        <v>0</v>
      </c>
      <c r="H132" s="0" t="n">
        <v>0</v>
      </c>
      <c r="I132" s="0" t="n">
        <v>1</v>
      </c>
      <c r="J132" s="0" t="n">
        <v>0</v>
      </c>
      <c r="K132" s="0" t="n">
        <v>0</v>
      </c>
      <c r="L132" s="0" t="n">
        <v>4</v>
      </c>
    </row>
    <row r="133" customFormat="false" ht="15" hidden="false" customHeight="false" outlineLevel="0" collapsed="false">
      <c r="A133" s="5" t="n">
        <v>40372</v>
      </c>
      <c r="B133" s="6" t="s">
        <v>42</v>
      </c>
      <c r="C133" s="6" t="s">
        <v>46</v>
      </c>
      <c r="D133" s="0" t="n">
        <v>301.896948346972</v>
      </c>
      <c r="E133" s="0" t="n">
        <v>3.495</v>
      </c>
      <c r="F133" s="0" t="n">
        <v>0</v>
      </c>
      <c r="G133" s="0" t="n">
        <v>0</v>
      </c>
      <c r="H133" s="0" t="n">
        <v>0</v>
      </c>
      <c r="I133" s="0" t="n">
        <v>1</v>
      </c>
      <c r="J133" s="0" t="n">
        <v>0</v>
      </c>
      <c r="K133" s="0" t="n">
        <v>0</v>
      </c>
      <c r="L133" s="0" t="n">
        <v>4</v>
      </c>
    </row>
    <row r="134" customFormat="false" ht="15" hidden="false" customHeight="false" outlineLevel="0" collapsed="false">
      <c r="A134" s="5" t="n">
        <v>40302</v>
      </c>
      <c r="B134" s="6" t="s">
        <v>42</v>
      </c>
      <c r="C134" s="6" t="s">
        <v>47</v>
      </c>
      <c r="D134" s="0" t="n">
        <v>137.12077837143</v>
      </c>
      <c r="E134" s="0" t="n">
        <v>3.904285714</v>
      </c>
      <c r="F134" s="0" t="n">
        <v>0</v>
      </c>
      <c r="G134" s="0" t="n">
        <v>0</v>
      </c>
      <c r="H134" s="0" t="n">
        <v>0</v>
      </c>
      <c r="I134" s="0" t="n">
        <v>0</v>
      </c>
      <c r="J134" s="0" t="n">
        <v>0</v>
      </c>
      <c r="K134" s="0" t="n">
        <v>3</v>
      </c>
      <c r="L134" s="0" t="n">
        <v>1</v>
      </c>
    </row>
    <row r="135" customFormat="false" ht="15" hidden="false" customHeight="false" outlineLevel="0" collapsed="false">
      <c r="A135" s="5" t="n">
        <v>40309</v>
      </c>
      <c r="B135" s="6" t="s">
        <v>42</v>
      </c>
      <c r="C135" s="6" t="s">
        <v>47</v>
      </c>
      <c r="D135" s="0" t="n">
        <v>184.923401184762</v>
      </c>
      <c r="E135" s="0" t="n">
        <v>3.54</v>
      </c>
      <c r="F135" s="0" t="n">
        <v>0</v>
      </c>
      <c r="G135" s="0" t="n">
        <v>0</v>
      </c>
      <c r="H135" s="0" t="n">
        <v>0</v>
      </c>
      <c r="I135" s="0" t="n">
        <v>0</v>
      </c>
      <c r="J135" s="0" t="n">
        <v>0</v>
      </c>
      <c r="K135" s="0" t="n">
        <v>3</v>
      </c>
      <c r="L135" s="0" t="n">
        <v>1</v>
      </c>
    </row>
    <row r="136" customFormat="false" ht="15" hidden="false" customHeight="false" outlineLevel="0" collapsed="false">
      <c r="A136" s="5" t="n">
        <v>40316</v>
      </c>
      <c r="B136" s="6" t="s">
        <v>42</v>
      </c>
      <c r="C136" s="6" t="s">
        <v>47</v>
      </c>
      <c r="D136" s="0" t="n">
        <v>169.835573487801</v>
      </c>
      <c r="E136" s="0" t="n">
        <v>3.34</v>
      </c>
      <c r="F136" s="0" t="n">
        <v>0</v>
      </c>
      <c r="G136" s="0" t="n">
        <v>0</v>
      </c>
      <c r="H136" s="0" t="n">
        <v>0</v>
      </c>
      <c r="I136" s="0" t="n">
        <v>0</v>
      </c>
      <c r="J136" s="0" t="n">
        <v>0</v>
      </c>
      <c r="K136" s="0" t="n">
        <v>3</v>
      </c>
      <c r="L136" s="0" t="n">
        <v>1</v>
      </c>
    </row>
    <row r="137" customFormat="false" ht="15" hidden="false" customHeight="false" outlineLevel="0" collapsed="false">
      <c r="A137" s="5" t="n">
        <v>40323</v>
      </c>
      <c r="B137" s="6" t="s">
        <v>42</v>
      </c>
      <c r="C137" s="6" t="s">
        <v>47</v>
      </c>
      <c r="D137" s="0" t="n">
        <v>219.351910681571</v>
      </c>
      <c r="E137" s="0" t="n">
        <v>3.34</v>
      </c>
      <c r="F137" s="0" t="n">
        <v>0</v>
      </c>
      <c r="G137" s="0" t="n">
        <v>0</v>
      </c>
      <c r="H137" s="0" t="n">
        <v>0</v>
      </c>
      <c r="I137" s="0" t="n">
        <v>0</v>
      </c>
      <c r="J137" s="0" t="n">
        <v>0</v>
      </c>
      <c r="K137" s="0" t="n">
        <v>3</v>
      </c>
      <c r="L137" s="0" t="n">
        <v>1</v>
      </c>
    </row>
    <row r="138" customFormat="false" ht="15" hidden="false" customHeight="false" outlineLevel="0" collapsed="false">
      <c r="A138" s="5" t="n">
        <v>40330</v>
      </c>
      <c r="B138" s="6" t="s">
        <v>42</v>
      </c>
      <c r="C138" s="6" t="s">
        <v>47</v>
      </c>
      <c r="D138" s="0" t="n">
        <v>148.640370254838</v>
      </c>
      <c r="E138" s="0" t="n">
        <v>3.34</v>
      </c>
      <c r="F138" s="0" t="n">
        <v>0</v>
      </c>
      <c r="G138" s="0" t="n">
        <v>0</v>
      </c>
      <c r="H138" s="0" t="n">
        <v>0</v>
      </c>
      <c r="I138" s="0" t="n">
        <v>0</v>
      </c>
      <c r="J138" s="0" t="n">
        <v>0</v>
      </c>
      <c r="K138" s="0" t="n">
        <v>3</v>
      </c>
      <c r="L138" s="0" t="n">
        <v>1</v>
      </c>
    </row>
    <row r="139" customFormat="false" ht="15" hidden="false" customHeight="false" outlineLevel="0" collapsed="false">
      <c r="A139" s="5" t="n">
        <v>40337</v>
      </c>
      <c r="B139" s="6" t="s">
        <v>42</v>
      </c>
      <c r="C139" s="6" t="s">
        <v>47</v>
      </c>
      <c r="D139" s="0" t="n">
        <v>292.90619429115</v>
      </c>
      <c r="E139" s="0" t="n">
        <v>3.54</v>
      </c>
      <c r="F139" s="0" t="n">
        <v>0</v>
      </c>
      <c r="G139" s="0" t="n">
        <v>0</v>
      </c>
      <c r="H139" s="0" t="n">
        <v>0</v>
      </c>
      <c r="I139" s="0" t="n">
        <v>0</v>
      </c>
      <c r="J139" s="0" t="n">
        <v>0</v>
      </c>
      <c r="K139" s="0" t="n">
        <v>3</v>
      </c>
      <c r="L139" s="0" t="n">
        <v>1</v>
      </c>
    </row>
    <row r="140" customFormat="false" ht="15" hidden="false" customHeight="false" outlineLevel="0" collapsed="false">
      <c r="A140" s="5" t="n">
        <v>40344</v>
      </c>
      <c r="B140" s="6" t="s">
        <v>42</v>
      </c>
      <c r="C140" s="6" t="s">
        <v>47</v>
      </c>
      <c r="D140" s="0" t="n">
        <v>222.276307229496</v>
      </c>
      <c r="E140" s="0" t="n">
        <v>3.54</v>
      </c>
      <c r="F140" s="0" t="n">
        <v>0</v>
      </c>
      <c r="G140" s="0" t="n">
        <v>0</v>
      </c>
      <c r="H140" s="0" t="n">
        <v>0</v>
      </c>
      <c r="I140" s="0" t="n">
        <v>0</v>
      </c>
      <c r="J140" s="0" t="n">
        <v>0</v>
      </c>
      <c r="K140" s="0" t="n">
        <v>3</v>
      </c>
      <c r="L140" s="0" t="n">
        <v>1</v>
      </c>
    </row>
    <row r="141" customFormat="false" ht="15" hidden="false" customHeight="false" outlineLevel="0" collapsed="false">
      <c r="A141" s="5" t="n">
        <v>40351</v>
      </c>
      <c r="B141" s="6" t="s">
        <v>42</v>
      </c>
      <c r="C141" s="6" t="s">
        <v>47</v>
      </c>
      <c r="D141" s="0" t="n">
        <v>148.147434326012</v>
      </c>
      <c r="E141" s="0" t="n">
        <v>3.634444444</v>
      </c>
      <c r="F141" s="0" t="n">
        <v>0</v>
      </c>
      <c r="G141" s="0" t="n">
        <v>0</v>
      </c>
      <c r="H141" s="0" t="n">
        <v>0</v>
      </c>
      <c r="I141" s="0" t="n">
        <v>0</v>
      </c>
      <c r="J141" s="0" t="n">
        <v>0</v>
      </c>
      <c r="K141" s="0" t="n">
        <v>3</v>
      </c>
      <c r="L141" s="0" t="n">
        <v>1</v>
      </c>
    </row>
    <row r="142" customFormat="false" ht="15" hidden="false" customHeight="false" outlineLevel="0" collapsed="false">
      <c r="A142" s="5" t="n">
        <v>40358</v>
      </c>
      <c r="B142" s="6" t="s">
        <v>42</v>
      </c>
      <c r="C142" s="6" t="s">
        <v>47</v>
      </c>
      <c r="D142" s="0" t="n">
        <v>270.141870281957</v>
      </c>
      <c r="E142" s="0" t="n">
        <v>3.7525</v>
      </c>
      <c r="F142" s="0" t="n">
        <v>0</v>
      </c>
      <c r="G142" s="0" t="n">
        <v>0</v>
      </c>
      <c r="H142" s="0" t="n">
        <v>0</v>
      </c>
      <c r="I142" s="0" t="n">
        <v>0</v>
      </c>
      <c r="J142" s="0" t="n">
        <v>0</v>
      </c>
      <c r="K142" s="0" t="n">
        <v>3</v>
      </c>
      <c r="L142" s="0" t="n">
        <v>1</v>
      </c>
    </row>
    <row r="143" customFormat="false" ht="15" hidden="false" customHeight="false" outlineLevel="0" collapsed="false">
      <c r="A143" s="5" t="n">
        <v>40365</v>
      </c>
      <c r="B143" s="6" t="s">
        <v>42</v>
      </c>
      <c r="C143" s="6" t="s">
        <v>47</v>
      </c>
      <c r="D143" s="0" t="n">
        <v>194.179123405524</v>
      </c>
      <c r="E143" s="0" t="n">
        <v>3.251111111</v>
      </c>
      <c r="F143" s="0" t="n">
        <v>0</v>
      </c>
      <c r="G143" s="0" t="n">
        <v>0</v>
      </c>
      <c r="H143" s="0" t="n">
        <v>0</v>
      </c>
      <c r="I143" s="0" t="n">
        <v>0</v>
      </c>
      <c r="J143" s="0" t="n">
        <v>0</v>
      </c>
      <c r="K143" s="0" t="n">
        <v>3</v>
      </c>
      <c r="L143" s="0" t="n">
        <v>1</v>
      </c>
    </row>
    <row r="144" customFormat="false" ht="15" hidden="false" customHeight="false" outlineLevel="0" collapsed="false">
      <c r="A144" s="5" t="n">
        <v>40372</v>
      </c>
      <c r="B144" s="6" t="s">
        <v>42</v>
      </c>
      <c r="C144" s="6" t="s">
        <v>47</v>
      </c>
      <c r="D144" s="0" t="n">
        <v>170.537679326789</v>
      </c>
      <c r="E144" s="0" t="n">
        <v>3.126</v>
      </c>
      <c r="F144" s="0" t="n">
        <v>0</v>
      </c>
      <c r="G144" s="0" t="n">
        <v>0</v>
      </c>
      <c r="H144" s="0" t="n">
        <v>0</v>
      </c>
      <c r="I144" s="0" t="n">
        <v>0</v>
      </c>
      <c r="J144" s="0" t="n">
        <v>0</v>
      </c>
      <c r="K144" s="0" t="n">
        <v>3</v>
      </c>
      <c r="L144" s="0" t="n">
        <v>1</v>
      </c>
    </row>
    <row r="145" customFormat="false" ht="15" hidden="false" customHeight="false" outlineLevel="0" collapsed="false">
      <c r="A145" s="5" t="n">
        <v>40302</v>
      </c>
      <c r="B145" s="6" t="s">
        <v>42</v>
      </c>
      <c r="C145" s="6" t="s">
        <v>48</v>
      </c>
      <c r="D145" s="0" t="n">
        <v>171.565865693882</v>
      </c>
      <c r="E145" s="0" t="n">
        <v>3.618571429</v>
      </c>
      <c r="F145" s="0" t="n">
        <v>0</v>
      </c>
      <c r="G145" s="0" t="n">
        <v>0</v>
      </c>
      <c r="H145" s="0" t="n">
        <v>0</v>
      </c>
      <c r="I145" s="0" t="n">
        <v>0</v>
      </c>
      <c r="J145" s="0" t="n">
        <v>0</v>
      </c>
      <c r="K145" s="0" t="n">
        <v>2</v>
      </c>
      <c r="L145" s="0" t="n">
        <v>0</v>
      </c>
    </row>
    <row r="146" customFormat="false" ht="15" hidden="false" customHeight="false" outlineLevel="0" collapsed="false">
      <c r="A146" s="5" t="n">
        <v>40309</v>
      </c>
      <c r="B146" s="6" t="s">
        <v>42</v>
      </c>
      <c r="C146" s="6" t="s">
        <v>48</v>
      </c>
      <c r="D146" s="0" t="n">
        <v>227.656062389237</v>
      </c>
      <c r="E146" s="0" t="n">
        <v>3.618571429</v>
      </c>
      <c r="F146" s="0" t="n">
        <v>0</v>
      </c>
      <c r="G146" s="0" t="n">
        <v>0</v>
      </c>
      <c r="H146" s="0" t="n">
        <v>0</v>
      </c>
      <c r="I146" s="0" t="n">
        <v>0</v>
      </c>
      <c r="J146" s="0" t="n">
        <v>0</v>
      </c>
      <c r="K146" s="0" t="n">
        <v>2</v>
      </c>
      <c r="L146" s="0" t="n">
        <v>0</v>
      </c>
    </row>
    <row r="147" customFormat="false" ht="15" hidden="false" customHeight="false" outlineLevel="0" collapsed="false">
      <c r="A147" s="5" t="n">
        <v>40316</v>
      </c>
      <c r="B147" s="6" t="s">
        <v>42</v>
      </c>
      <c r="C147" s="6" t="s">
        <v>48</v>
      </c>
      <c r="D147" s="0" t="n">
        <v>186.248472467009</v>
      </c>
      <c r="E147" s="0" t="n">
        <v>3.34</v>
      </c>
      <c r="F147" s="0" t="n">
        <v>0</v>
      </c>
      <c r="G147" s="0" t="n">
        <v>0</v>
      </c>
      <c r="H147" s="0" t="n">
        <v>0</v>
      </c>
      <c r="I147" s="0" t="n">
        <v>0</v>
      </c>
      <c r="J147" s="0" t="n">
        <v>0</v>
      </c>
      <c r="K147" s="0" t="n">
        <v>2</v>
      </c>
      <c r="L147" s="0" t="n">
        <v>0</v>
      </c>
    </row>
    <row r="148" customFormat="false" ht="15" hidden="false" customHeight="false" outlineLevel="0" collapsed="false">
      <c r="A148" s="5" t="n">
        <v>40323</v>
      </c>
      <c r="B148" s="6" t="s">
        <v>42</v>
      </c>
      <c r="C148" s="6" t="s">
        <v>48</v>
      </c>
      <c r="D148" s="0" t="n">
        <v>235.949967553825</v>
      </c>
      <c r="E148" s="0" t="n">
        <v>3.356666667</v>
      </c>
      <c r="F148" s="0" t="n">
        <v>0</v>
      </c>
      <c r="G148" s="0" t="n">
        <v>0</v>
      </c>
      <c r="H148" s="0" t="n">
        <v>0</v>
      </c>
      <c r="I148" s="0" t="n">
        <v>0</v>
      </c>
      <c r="J148" s="0" t="n">
        <v>0</v>
      </c>
      <c r="K148" s="0" t="n">
        <v>2</v>
      </c>
      <c r="L148" s="0" t="n">
        <v>0</v>
      </c>
    </row>
    <row r="149" customFormat="false" ht="15" hidden="false" customHeight="false" outlineLevel="0" collapsed="false">
      <c r="A149" s="5" t="n">
        <v>40330</v>
      </c>
      <c r="B149" s="6" t="s">
        <v>42</v>
      </c>
      <c r="C149" s="6" t="s">
        <v>48</v>
      </c>
      <c r="D149" s="0" t="n">
        <v>193.896057580671</v>
      </c>
      <c r="E149" s="0" t="n">
        <v>3.34</v>
      </c>
      <c r="F149" s="0" t="n">
        <v>0</v>
      </c>
      <c r="G149" s="0" t="n">
        <v>0</v>
      </c>
      <c r="H149" s="0" t="n">
        <v>0</v>
      </c>
      <c r="I149" s="0" t="n">
        <v>0</v>
      </c>
      <c r="J149" s="0" t="n">
        <v>0</v>
      </c>
      <c r="K149" s="0" t="n">
        <v>2</v>
      </c>
      <c r="L149" s="0" t="n">
        <v>0</v>
      </c>
    </row>
    <row r="150" customFormat="false" ht="15" hidden="false" customHeight="false" outlineLevel="0" collapsed="false">
      <c r="A150" s="5" t="n">
        <v>40337</v>
      </c>
      <c r="B150" s="6" t="s">
        <v>42</v>
      </c>
      <c r="C150" s="6" t="s">
        <v>48</v>
      </c>
      <c r="D150" s="0" t="n">
        <v>293.982120837942</v>
      </c>
      <c r="E150" s="0" t="n">
        <v>3.54</v>
      </c>
      <c r="F150" s="0" t="n">
        <v>0</v>
      </c>
      <c r="G150" s="0" t="n">
        <v>0</v>
      </c>
      <c r="H150" s="0" t="n">
        <v>1</v>
      </c>
      <c r="I150" s="0" t="n">
        <v>0</v>
      </c>
      <c r="J150" s="0" t="n">
        <v>0</v>
      </c>
      <c r="K150" s="0" t="n">
        <v>2</v>
      </c>
      <c r="L150" s="0" t="n">
        <v>0</v>
      </c>
    </row>
    <row r="151" customFormat="false" ht="15" hidden="false" customHeight="false" outlineLevel="0" collapsed="false">
      <c r="A151" s="5" t="n">
        <v>40344</v>
      </c>
      <c r="B151" s="6" t="s">
        <v>42</v>
      </c>
      <c r="C151" s="6" t="s">
        <v>48</v>
      </c>
      <c r="D151" s="0" t="n">
        <v>288.096874123434</v>
      </c>
      <c r="E151" s="0" t="n">
        <v>3.54</v>
      </c>
      <c r="F151" s="0" t="n">
        <v>0</v>
      </c>
      <c r="G151" s="0" t="n">
        <v>0</v>
      </c>
      <c r="H151" s="0" t="n">
        <v>0</v>
      </c>
      <c r="I151" s="0" t="n">
        <v>1</v>
      </c>
      <c r="J151" s="0" t="n">
        <v>0</v>
      </c>
      <c r="K151" s="0" t="n">
        <v>2</v>
      </c>
      <c r="L151" s="0" t="n">
        <v>0</v>
      </c>
    </row>
    <row r="152" customFormat="false" ht="15" hidden="false" customHeight="false" outlineLevel="0" collapsed="false">
      <c r="A152" s="5" t="n">
        <v>40351</v>
      </c>
      <c r="B152" s="6" t="s">
        <v>42</v>
      </c>
      <c r="C152" s="6" t="s">
        <v>48</v>
      </c>
      <c r="D152" s="0" t="n">
        <v>220.345230585542</v>
      </c>
      <c r="E152" s="0" t="n">
        <v>3.523333333</v>
      </c>
      <c r="F152" s="0" t="n">
        <v>0</v>
      </c>
      <c r="G152" s="0" t="n">
        <v>0</v>
      </c>
      <c r="H152" s="0" t="n">
        <v>0</v>
      </c>
      <c r="I152" s="0" t="n">
        <v>1</v>
      </c>
      <c r="J152" s="0" t="n">
        <v>0</v>
      </c>
      <c r="K152" s="0" t="n">
        <v>2</v>
      </c>
      <c r="L152" s="0" t="n">
        <v>0</v>
      </c>
    </row>
    <row r="153" customFormat="false" ht="15" hidden="false" customHeight="false" outlineLevel="0" collapsed="false">
      <c r="A153" s="5" t="n">
        <v>40358</v>
      </c>
      <c r="B153" s="6" t="s">
        <v>42</v>
      </c>
      <c r="C153" s="6" t="s">
        <v>48</v>
      </c>
      <c r="D153" s="0" t="n">
        <v>309.776104690164</v>
      </c>
      <c r="E153" s="0" t="n">
        <v>3.634444444</v>
      </c>
      <c r="F153" s="0" t="n">
        <v>0</v>
      </c>
      <c r="G153" s="0" t="n">
        <v>0</v>
      </c>
      <c r="H153" s="0" t="n">
        <v>0</v>
      </c>
      <c r="I153" s="0" t="n">
        <v>1</v>
      </c>
      <c r="J153" s="0" t="n">
        <v>0</v>
      </c>
      <c r="K153" s="0" t="n">
        <v>2</v>
      </c>
      <c r="L153" s="0" t="n">
        <v>0</v>
      </c>
    </row>
    <row r="154" customFormat="false" ht="15" hidden="false" customHeight="false" outlineLevel="0" collapsed="false">
      <c r="A154" s="5" t="n">
        <v>40365</v>
      </c>
      <c r="B154" s="6" t="s">
        <v>42</v>
      </c>
      <c r="C154" s="6" t="s">
        <v>48</v>
      </c>
      <c r="D154" s="0" t="n">
        <v>252.823658190173</v>
      </c>
      <c r="E154" s="0" t="n">
        <v>3.126</v>
      </c>
      <c r="F154" s="0" t="n">
        <v>0</v>
      </c>
      <c r="G154" s="0" t="n">
        <v>0</v>
      </c>
      <c r="H154" s="0" t="n">
        <v>0</v>
      </c>
      <c r="I154" s="0" t="n">
        <v>0</v>
      </c>
      <c r="J154" s="0" t="n">
        <v>1</v>
      </c>
      <c r="K154" s="0" t="n">
        <v>2</v>
      </c>
      <c r="L154" s="0" t="n">
        <v>0</v>
      </c>
    </row>
    <row r="155" customFormat="false" ht="15" hidden="false" customHeight="false" outlineLevel="0" collapsed="false">
      <c r="A155" s="5" t="n">
        <v>40372</v>
      </c>
      <c r="B155" s="6" t="s">
        <v>42</v>
      </c>
      <c r="C155" s="6" t="s">
        <v>48</v>
      </c>
      <c r="D155" s="0" t="n">
        <v>274.332082099941</v>
      </c>
      <c r="E155" s="0" t="n">
        <v>3.19625</v>
      </c>
      <c r="F155" s="0" t="n">
        <v>0</v>
      </c>
      <c r="G155" s="0" t="n">
        <v>0</v>
      </c>
      <c r="H155" s="0" t="n">
        <v>0</v>
      </c>
      <c r="I155" s="0" t="n">
        <v>0</v>
      </c>
      <c r="J155" s="0" t="n">
        <v>1</v>
      </c>
      <c r="K155" s="0" t="n">
        <v>2</v>
      </c>
      <c r="L155" s="0" t="n">
        <v>0</v>
      </c>
    </row>
    <row r="156" customFormat="false" ht="15" hidden="false" customHeight="false" outlineLevel="0" collapsed="false">
      <c r="A156" s="5" t="n">
        <v>40302</v>
      </c>
      <c r="B156" s="6" t="s">
        <v>42</v>
      </c>
      <c r="C156" s="6" t="s">
        <v>49</v>
      </c>
      <c r="D156" s="0" t="n">
        <v>221.179309093186</v>
      </c>
      <c r="E156" s="0" t="n">
        <v>3.904285714</v>
      </c>
      <c r="F156" s="0" t="n">
        <v>0</v>
      </c>
      <c r="G156" s="0" t="n">
        <v>0</v>
      </c>
      <c r="H156" s="0" t="n">
        <v>0</v>
      </c>
      <c r="I156" s="0" t="n">
        <v>0</v>
      </c>
      <c r="J156" s="0" t="n">
        <v>0</v>
      </c>
      <c r="K156" s="0" t="n">
        <v>1</v>
      </c>
      <c r="L156" s="0" t="n">
        <v>4</v>
      </c>
    </row>
    <row r="157" customFormat="false" ht="15" hidden="false" customHeight="false" outlineLevel="0" collapsed="false">
      <c r="A157" s="5" t="n">
        <v>40309</v>
      </c>
      <c r="B157" s="6" t="s">
        <v>42</v>
      </c>
      <c r="C157" s="6" t="s">
        <v>49</v>
      </c>
      <c r="D157" s="0" t="n">
        <v>213.02564125955</v>
      </c>
      <c r="E157" s="0" t="n">
        <v>3.904285714</v>
      </c>
      <c r="F157" s="0" t="n">
        <v>0</v>
      </c>
      <c r="G157" s="0" t="n">
        <v>0</v>
      </c>
      <c r="H157" s="0" t="n">
        <v>0</v>
      </c>
      <c r="I157" s="0" t="n">
        <v>0</v>
      </c>
      <c r="J157" s="0" t="n">
        <v>0</v>
      </c>
      <c r="K157" s="0" t="n">
        <v>1</v>
      </c>
      <c r="L157" s="0" t="n">
        <v>4</v>
      </c>
    </row>
    <row r="158" customFormat="false" ht="15" hidden="false" customHeight="false" outlineLevel="0" collapsed="false">
      <c r="A158" s="5" t="n">
        <v>40316</v>
      </c>
      <c r="B158" s="6" t="s">
        <v>42</v>
      </c>
      <c r="C158" s="6" t="s">
        <v>49</v>
      </c>
      <c r="D158" s="0" t="n">
        <v>239.81656983705</v>
      </c>
      <c r="E158" s="0" t="n">
        <v>3.618571429</v>
      </c>
      <c r="F158" s="0" t="n">
        <v>0</v>
      </c>
      <c r="G158" s="0" t="n">
        <v>0</v>
      </c>
      <c r="H158" s="0" t="n">
        <v>0</v>
      </c>
      <c r="I158" s="0" t="n">
        <v>0</v>
      </c>
      <c r="J158" s="0" t="n">
        <v>0</v>
      </c>
      <c r="K158" s="0" t="n">
        <v>1</v>
      </c>
      <c r="L158" s="0" t="n">
        <v>4</v>
      </c>
    </row>
    <row r="159" customFormat="false" ht="15" hidden="false" customHeight="false" outlineLevel="0" collapsed="false">
      <c r="A159" s="5" t="n">
        <v>40323</v>
      </c>
      <c r="B159" s="6" t="s">
        <v>42</v>
      </c>
      <c r="C159" s="6" t="s">
        <v>49</v>
      </c>
      <c r="D159" s="0" t="n">
        <v>230.577598801045</v>
      </c>
      <c r="E159" s="0" t="n">
        <v>3.618571429</v>
      </c>
      <c r="F159" s="0" t="n">
        <v>0</v>
      </c>
      <c r="G159" s="0" t="n">
        <v>0</v>
      </c>
      <c r="H159" s="0" t="n">
        <v>0</v>
      </c>
      <c r="I159" s="0" t="n">
        <v>0</v>
      </c>
      <c r="J159" s="0" t="n">
        <v>0</v>
      </c>
      <c r="K159" s="0" t="n">
        <v>1</v>
      </c>
      <c r="L159" s="0" t="n">
        <v>4</v>
      </c>
    </row>
    <row r="160" customFormat="false" ht="15" hidden="false" customHeight="false" outlineLevel="0" collapsed="false">
      <c r="A160" s="5" t="n">
        <v>40330</v>
      </c>
      <c r="B160" s="6" t="s">
        <v>42</v>
      </c>
      <c r="C160" s="6" t="s">
        <v>49</v>
      </c>
      <c r="D160" s="0" t="n">
        <v>192.078861761827</v>
      </c>
      <c r="E160" s="0" t="n">
        <v>3.618571429</v>
      </c>
      <c r="F160" s="0" t="n">
        <v>0</v>
      </c>
      <c r="G160" s="0" t="n">
        <v>0</v>
      </c>
      <c r="H160" s="0" t="n">
        <v>0</v>
      </c>
      <c r="I160" s="0" t="n">
        <v>0</v>
      </c>
      <c r="J160" s="0" t="n">
        <v>0</v>
      </c>
      <c r="K160" s="0" t="n">
        <v>1</v>
      </c>
      <c r="L160" s="0" t="n">
        <v>4</v>
      </c>
    </row>
    <row r="161" customFormat="false" ht="15" hidden="false" customHeight="false" outlineLevel="0" collapsed="false">
      <c r="A161" s="5" t="n">
        <v>40337</v>
      </c>
      <c r="B161" s="6" t="s">
        <v>42</v>
      </c>
      <c r="C161" s="6" t="s">
        <v>49</v>
      </c>
      <c r="D161" s="0" t="n">
        <v>241.414854643443</v>
      </c>
      <c r="E161" s="0" t="n">
        <v>3.904285714</v>
      </c>
      <c r="F161" s="0" t="n">
        <v>0</v>
      </c>
      <c r="G161" s="0" t="n">
        <v>0</v>
      </c>
      <c r="H161" s="0" t="n">
        <v>0</v>
      </c>
      <c r="I161" s="0" t="n">
        <v>0</v>
      </c>
      <c r="J161" s="0" t="n">
        <v>0</v>
      </c>
      <c r="K161" s="0" t="n">
        <v>1</v>
      </c>
      <c r="L161" s="0" t="n">
        <v>4</v>
      </c>
    </row>
    <row r="162" customFormat="false" ht="15" hidden="false" customHeight="false" outlineLevel="0" collapsed="false">
      <c r="A162" s="5" t="n">
        <v>40344</v>
      </c>
      <c r="B162" s="6" t="s">
        <v>42</v>
      </c>
      <c r="C162" s="6" t="s">
        <v>49</v>
      </c>
      <c r="D162" s="0" t="n">
        <v>129.923895019201</v>
      </c>
      <c r="E162" s="0" t="n">
        <v>3.904285714</v>
      </c>
      <c r="F162" s="0" t="n">
        <v>0</v>
      </c>
      <c r="G162" s="0" t="n">
        <v>0</v>
      </c>
      <c r="H162" s="0" t="n">
        <v>0</v>
      </c>
      <c r="I162" s="0" t="n">
        <v>0</v>
      </c>
      <c r="J162" s="0" t="n">
        <v>0</v>
      </c>
      <c r="K162" s="0" t="n">
        <v>1</v>
      </c>
      <c r="L162" s="0" t="n">
        <v>4</v>
      </c>
    </row>
    <row r="163" customFormat="false" ht="15" hidden="false" customHeight="false" outlineLevel="0" collapsed="false">
      <c r="A163" s="5" t="n">
        <v>40351</v>
      </c>
      <c r="B163" s="6" t="s">
        <v>42</v>
      </c>
      <c r="C163" s="6" t="s">
        <v>49</v>
      </c>
      <c r="D163" s="0" t="n">
        <v>186.572984146035</v>
      </c>
      <c r="E163" s="0" t="n">
        <v>3.54</v>
      </c>
      <c r="F163" s="0" t="n">
        <v>0</v>
      </c>
      <c r="G163" s="0" t="n">
        <v>0</v>
      </c>
      <c r="H163" s="0" t="n">
        <v>0</v>
      </c>
      <c r="I163" s="0" t="n">
        <v>0</v>
      </c>
      <c r="J163" s="0" t="n">
        <v>0</v>
      </c>
      <c r="K163" s="0" t="n">
        <v>1</v>
      </c>
      <c r="L163" s="0" t="n">
        <v>4</v>
      </c>
    </row>
    <row r="164" customFormat="false" ht="15" hidden="false" customHeight="false" outlineLevel="0" collapsed="false">
      <c r="A164" s="5" t="n">
        <v>40358</v>
      </c>
      <c r="B164" s="6" t="s">
        <v>42</v>
      </c>
      <c r="C164" s="6" t="s">
        <v>49</v>
      </c>
      <c r="D164" s="0" t="n">
        <v>349.818021677469</v>
      </c>
      <c r="E164" s="0" t="n">
        <v>3.54</v>
      </c>
      <c r="F164" s="0" t="n">
        <v>0</v>
      </c>
      <c r="G164" s="0" t="n">
        <v>0</v>
      </c>
      <c r="H164" s="0" t="n">
        <v>1</v>
      </c>
      <c r="I164" s="0" t="n">
        <v>0</v>
      </c>
      <c r="J164" s="0" t="n">
        <v>0</v>
      </c>
      <c r="K164" s="0" t="n">
        <v>1</v>
      </c>
      <c r="L164" s="0" t="n">
        <v>4</v>
      </c>
    </row>
    <row r="165" customFormat="false" ht="15" hidden="false" customHeight="false" outlineLevel="0" collapsed="false">
      <c r="A165" s="5" t="n">
        <v>40365</v>
      </c>
      <c r="B165" s="6" t="s">
        <v>42</v>
      </c>
      <c r="C165" s="6" t="s">
        <v>49</v>
      </c>
      <c r="D165" s="0" t="n">
        <v>285.293453923698</v>
      </c>
      <c r="E165" s="0" t="n">
        <v>3.126</v>
      </c>
      <c r="F165" s="0" t="n">
        <v>0</v>
      </c>
      <c r="G165" s="0" t="n">
        <v>0</v>
      </c>
      <c r="H165" s="0" t="n">
        <v>0</v>
      </c>
      <c r="I165" s="0" t="n">
        <v>1</v>
      </c>
      <c r="J165" s="0" t="n">
        <v>0</v>
      </c>
      <c r="K165" s="0" t="n">
        <v>1</v>
      </c>
      <c r="L165" s="0" t="n">
        <v>4</v>
      </c>
    </row>
    <row r="166" customFormat="false" ht="15" hidden="false" customHeight="false" outlineLevel="0" collapsed="false">
      <c r="A166" s="5" t="n">
        <v>40372</v>
      </c>
      <c r="B166" s="6" t="s">
        <v>42</v>
      </c>
      <c r="C166" s="6" t="s">
        <v>49</v>
      </c>
      <c r="D166" s="0" t="n">
        <v>272.734472461974</v>
      </c>
      <c r="E166" s="0" t="n">
        <v>3.251111111</v>
      </c>
      <c r="F166" s="0" t="n">
        <v>0</v>
      </c>
      <c r="G166" s="0" t="n">
        <v>0</v>
      </c>
      <c r="H166" s="0" t="n">
        <v>0</v>
      </c>
      <c r="I166" s="0" t="n">
        <v>1</v>
      </c>
      <c r="J166" s="0" t="n">
        <v>0</v>
      </c>
      <c r="K166" s="0" t="n">
        <v>1</v>
      </c>
      <c r="L166" s="0" t="n">
        <v>4</v>
      </c>
    </row>
    <row r="167" customFormat="false" ht="15" hidden="false" customHeight="false" outlineLevel="0" collapsed="false">
      <c r="A167" s="5" t="n">
        <v>40302</v>
      </c>
      <c r="B167" s="6" t="s">
        <v>42</v>
      </c>
      <c r="C167" s="6" t="s">
        <v>50</v>
      </c>
      <c r="D167" s="0" t="n">
        <v>133.167384074486</v>
      </c>
      <c r="E167" s="0" t="n">
        <v>3.904285714</v>
      </c>
      <c r="F167" s="0" t="n">
        <v>0</v>
      </c>
      <c r="G167" s="0" t="n">
        <v>0</v>
      </c>
      <c r="H167" s="0" t="n">
        <v>0</v>
      </c>
      <c r="I167" s="0" t="n">
        <v>0</v>
      </c>
      <c r="J167" s="0" t="n">
        <v>0</v>
      </c>
      <c r="K167" s="0" t="n">
        <v>3</v>
      </c>
      <c r="L167" s="0" t="n">
        <v>0</v>
      </c>
    </row>
    <row r="168" customFormat="false" ht="15" hidden="false" customHeight="false" outlineLevel="0" collapsed="false">
      <c r="A168" s="5" t="n">
        <v>40309</v>
      </c>
      <c r="B168" s="6" t="s">
        <v>42</v>
      </c>
      <c r="C168" s="6" t="s">
        <v>50</v>
      </c>
      <c r="D168" s="0" t="n">
        <v>228.090610926876</v>
      </c>
      <c r="E168" s="0" t="n">
        <v>3.54</v>
      </c>
      <c r="F168" s="0" t="n">
        <v>0</v>
      </c>
      <c r="G168" s="0" t="n">
        <v>0</v>
      </c>
      <c r="H168" s="0" t="n">
        <v>0</v>
      </c>
      <c r="I168" s="0" t="n">
        <v>0</v>
      </c>
      <c r="J168" s="0" t="n">
        <v>0</v>
      </c>
      <c r="K168" s="0" t="n">
        <v>3</v>
      </c>
      <c r="L168" s="0" t="n">
        <v>0</v>
      </c>
    </row>
    <row r="169" customFormat="false" ht="15" hidden="false" customHeight="false" outlineLevel="0" collapsed="false">
      <c r="A169" s="5" t="n">
        <v>40316</v>
      </c>
      <c r="B169" s="6" t="s">
        <v>42</v>
      </c>
      <c r="C169" s="6" t="s">
        <v>50</v>
      </c>
      <c r="D169" s="0" t="n">
        <v>169.671409766101</v>
      </c>
      <c r="E169" s="0" t="n">
        <v>3.34</v>
      </c>
      <c r="F169" s="0" t="n">
        <v>0</v>
      </c>
      <c r="G169" s="0" t="n">
        <v>0</v>
      </c>
      <c r="H169" s="0" t="n">
        <v>0</v>
      </c>
      <c r="I169" s="0" t="n">
        <v>0</v>
      </c>
      <c r="J169" s="0" t="n">
        <v>0</v>
      </c>
      <c r="K169" s="0" t="n">
        <v>3</v>
      </c>
      <c r="L169" s="0" t="n">
        <v>0</v>
      </c>
    </row>
    <row r="170" customFormat="false" ht="15" hidden="false" customHeight="false" outlineLevel="0" collapsed="false">
      <c r="A170" s="5" t="n">
        <v>40323</v>
      </c>
      <c r="B170" s="6" t="s">
        <v>42</v>
      </c>
      <c r="C170" s="6" t="s">
        <v>50</v>
      </c>
      <c r="D170" s="0" t="n">
        <v>182.000336200253</v>
      </c>
      <c r="E170" s="0" t="n">
        <v>3.5025</v>
      </c>
      <c r="F170" s="0" t="n">
        <v>0</v>
      </c>
      <c r="G170" s="0" t="n">
        <v>0</v>
      </c>
      <c r="H170" s="0" t="n">
        <v>0</v>
      </c>
      <c r="I170" s="0" t="n">
        <v>0</v>
      </c>
      <c r="J170" s="0" t="n">
        <v>0</v>
      </c>
      <c r="K170" s="0" t="n">
        <v>3</v>
      </c>
      <c r="L170" s="0" t="n">
        <v>0</v>
      </c>
    </row>
    <row r="171" customFormat="false" ht="15" hidden="false" customHeight="false" outlineLevel="0" collapsed="false">
      <c r="A171" s="5" t="n">
        <v>40330</v>
      </c>
      <c r="B171" s="6" t="s">
        <v>42</v>
      </c>
      <c r="C171" s="6" t="s">
        <v>50</v>
      </c>
      <c r="D171" s="0" t="n">
        <v>249.755523961754</v>
      </c>
      <c r="E171" s="0" t="n">
        <v>3.34</v>
      </c>
      <c r="F171" s="0" t="n">
        <v>0</v>
      </c>
      <c r="G171" s="0" t="n">
        <v>0</v>
      </c>
      <c r="H171" s="0" t="n">
        <v>0</v>
      </c>
      <c r="I171" s="0" t="n">
        <v>0</v>
      </c>
      <c r="J171" s="0" t="n">
        <v>0</v>
      </c>
      <c r="K171" s="0" t="n">
        <v>3</v>
      </c>
      <c r="L171" s="0" t="n">
        <v>0</v>
      </c>
    </row>
    <row r="172" customFormat="false" ht="15" hidden="false" customHeight="false" outlineLevel="0" collapsed="false">
      <c r="A172" s="5" t="n">
        <v>40337</v>
      </c>
      <c r="B172" s="6" t="s">
        <v>42</v>
      </c>
      <c r="C172" s="6" t="s">
        <v>50</v>
      </c>
      <c r="D172" s="0" t="n">
        <v>200.277994225527</v>
      </c>
      <c r="E172" s="0" t="n">
        <v>3.54</v>
      </c>
      <c r="F172" s="0" t="n">
        <v>0</v>
      </c>
      <c r="G172" s="0" t="n">
        <v>0</v>
      </c>
      <c r="H172" s="0" t="n">
        <v>0</v>
      </c>
      <c r="I172" s="0" t="n">
        <v>0</v>
      </c>
      <c r="J172" s="0" t="n">
        <v>0</v>
      </c>
      <c r="K172" s="0" t="n">
        <v>3</v>
      </c>
      <c r="L172" s="0" t="n">
        <v>0</v>
      </c>
    </row>
    <row r="173" customFormat="false" ht="15" hidden="false" customHeight="false" outlineLevel="0" collapsed="false">
      <c r="A173" s="5" t="n">
        <v>40344</v>
      </c>
      <c r="B173" s="6" t="s">
        <v>42</v>
      </c>
      <c r="C173" s="6" t="s">
        <v>50</v>
      </c>
      <c r="D173" s="0" t="n">
        <v>203.475037195714</v>
      </c>
      <c r="E173" s="0" t="n">
        <v>3.54</v>
      </c>
      <c r="F173" s="0" t="n">
        <v>0</v>
      </c>
      <c r="G173" s="0" t="n">
        <v>0</v>
      </c>
      <c r="H173" s="0" t="n">
        <v>1</v>
      </c>
      <c r="I173" s="0" t="n">
        <v>0</v>
      </c>
      <c r="J173" s="0" t="n">
        <v>0</v>
      </c>
      <c r="K173" s="0" t="n">
        <v>3</v>
      </c>
      <c r="L173" s="0" t="n">
        <v>0</v>
      </c>
    </row>
    <row r="174" customFormat="false" ht="15" hidden="false" customHeight="false" outlineLevel="0" collapsed="false">
      <c r="A174" s="5" t="n">
        <v>40351</v>
      </c>
      <c r="B174" s="6" t="s">
        <v>42</v>
      </c>
      <c r="C174" s="6" t="s">
        <v>50</v>
      </c>
      <c r="D174" s="0" t="n">
        <v>344.802298261836</v>
      </c>
      <c r="E174" s="0" t="n">
        <v>3.54</v>
      </c>
      <c r="F174" s="0" t="n">
        <v>0</v>
      </c>
      <c r="G174" s="0" t="n">
        <v>0</v>
      </c>
      <c r="H174" s="0" t="n">
        <v>0</v>
      </c>
      <c r="I174" s="0" t="n">
        <v>1</v>
      </c>
      <c r="J174" s="0" t="n">
        <v>0</v>
      </c>
      <c r="K174" s="0" t="n">
        <v>3</v>
      </c>
      <c r="L174" s="0" t="n">
        <v>0</v>
      </c>
    </row>
    <row r="175" customFormat="false" ht="15" hidden="false" customHeight="false" outlineLevel="0" collapsed="false">
      <c r="A175" s="5" t="n">
        <v>40358</v>
      </c>
      <c r="B175" s="6" t="s">
        <v>42</v>
      </c>
      <c r="C175" s="6" t="s">
        <v>50</v>
      </c>
      <c r="D175" s="0" t="n">
        <v>266.018533653525</v>
      </c>
      <c r="E175" s="0" t="n">
        <v>3.634444444</v>
      </c>
      <c r="F175" s="0" t="n">
        <v>0</v>
      </c>
      <c r="G175" s="0" t="n">
        <v>0</v>
      </c>
      <c r="H175" s="0" t="n">
        <v>0</v>
      </c>
      <c r="I175" s="0" t="n">
        <v>1</v>
      </c>
      <c r="J175" s="0" t="n">
        <v>0</v>
      </c>
      <c r="K175" s="0" t="n">
        <v>3</v>
      </c>
      <c r="L175" s="0" t="n">
        <v>0</v>
      </c>
    </row>
    <row r="176" customFormat="false" ht="15" hidden="false" customHeight="false" outlineLevel="0" collapsed="false">
      <c r="A176" s="5" t="n">
        <v>40365</v>
      </c>
      <c r="B176" s="6" t="s">
        <v>42</v>
      </c>
      <c r="C176" s="6" t="s">
        <v>50</v>
      </c>
      <c r="D176" s="0" t="n">
        <v>299.905505818737</v>
      </c>
      <c r="E176" s="0" t="n">
        <v>3.126</v>
      </c>
      <c r="F176" s="0" t="n">
        <v>0</v>
      </c>
      <c r="G176" s="0" t="n">
        <v>0</v>
      </c>
      <c r="H176" s="0" t="n">
        <v>0</v>
      </c>
      <c r="I176" s="0" t="n">
        <v>1</v>
      </c>
      <c r="J176" s="0" t="n">
        <v>0</v>
      </c>
      <c r="K176" s="0" t="n">
        <v>3</v>
      </c>
      <c r="L176" s="0" t="n">
        <v>0</v>
      </c>
    </row>
    <row r="177" customFormat="false" ht="15" hidden="false" customHeight="false" outlineLevel="0" collapsed="false">
      <c r="A177" s="5" t="n">
        <v>40372</v>
      </c>
      <c r="B177" s="6" t="s">
        <v>42</v>
      </c>
      <c r="C177" s="6" t="s">
        <v>50</v>
      </c>
      <c r="D177" s="0" t="n">
        <v>332.742983986616</v>
      </c>
      <c r="E177" s="0" t="n">
        <v>3.063333333</v>
      </c>
      <c r="F177" s="0" t="n">
        <v>0</v>
      </c>
      <c r="G177" s="0" t="n">
        <v>0</v>
      </c>
      <c r="H177" s="0" t="n">
        <v>0</v>
      </c>
      <c r="I177" s="0" t="n">
        <v>0</v>
      </c>
      <c r="J177" s="0" t="n">
        <v>1</v>
      </c>
      <c r="K177" s="0" t="n">
        <v>3</v>
      </c>
      <c r="L177" s="0" t="n">
        <v>0</v>
      </c>
    </row>
    <row r="178" customFormat="false" ht="15" hidden="false" customHeight="false" outlineLevel="0" collapsed="false">
      <c r="A178" s="5" t="n">
        <v>40302</v>
      </c>
      <c r="B178" s="6" t="s">
        <v>42</v>
      </c>
      <c r="C178" s="6" t="s">
        <v>51</v>
      </c>
      <c r="D178" s="0" t="n">
        <v>245.79503869785</v>
      </c>
      <c r="E178" s="0" t="n">
        <v>3.967777778</v>
      </c>
      <c r="F178" s="0" t="n">
        <v>0</v>
      </c>
      <c r="G178" s="0" t="n">
        <v>0</v>
      </c>
      <c r="H178" s="0" t="n">
        <v>0</v>
      </c>
      <c r="I178" s="0" t="n">
        <v>0</v>
      </c>
      <c r="J178" s="0" t="n">
        <v>0</v>
      </c>
      <c r="K178" s="0" t="n">
        <v>4</v>
      </c>
      <c r="L178" s="0" t="n">
        <v>2</v>
      </c>
    </row>
    <row r="179" customFormat="false" ht="15" hidden="false" customHeight="false" outlineLevel="0" collapsed="false">
      <c r="A179" s="5" t="n">
        <v>40309</v>
      </c>
      <c r="B179" s="6" t="s">
        <v>42</v>
      </c>
      <c r="C179" s="6" t="s">
        <v>51</v>
      </c>
      <c r="D179" s="0" t="n">
        <v>215.646118693759</v>
      </c>
      <c r="E179" s="0" t="n">
        <v>4.056666667</v>
      </c>
      <c r="F179" s="0" t="n">
        <v>0</v>
      </c>
      <c r="G179" s="0" t="n">
        <v>0</v>
      </c>
      <c r="H179" s="0" t="n">
        <v>0</v>
      </c>
      <c r="I179" s="0" t="n">
        <v>0</v>
      </c>
      <c r="J179" s="0" t="n">
        <v>0</v>
      </c>
      <c r="K179" s="0" t="n">
        <v>4</v>
      </c>
      <c r="L179" s="0" t="n">
        <v>2</v>
      </c>
    </row>
    <row r="180" customFormat="false" ht="15" hidden="false" customHeight="false" outlineLevel="0" collapsed="false">
      <c r="A180" s="5" t="n">
        <v>40316</v>
      </c>
      <c r="B180" s="6" t="s">
        <v>42</v>
      </c>
      <c r="C180" s="6" t="s">
        <v>51</v>
      </c>
      <c r="D180" s="0" t="n">
        <v>138.306791004609</v>
      </c>
      <c r="E180" s="0" t="n">
        <v>3.598333333</v>
      </c>
      <c r="F180" s="0" t="n">
        <v>0</v>
      </c>
      <c r="G180" s="0" t="n">
        <v>0</v>
      </c>
      <c r="H180" s="0" t="n">
        <v>0</v>
      </c>
      <c r="I180" s="0" t="n">
        <v>0</v>
      </c>
      <c r="J180" s="0" t="n">
        <v>0</v>
      </c>
      <c r="K180" s="0" t="n">
        <v>4</v>
      </c>
      <c r="L180" s="0" t="n">
        <v>2</v>
      </c>
    </row>
    <row r="181" customFormat="false" ht="15" hidden="false" customHeight="false" outlineLevel="0" collapsed="false">
      <c r="A181" s="5" t="n">
        <v>40323</v>
      </c>
      <c r="B181" s="6" t="s">
        <v>42</v>
      </c>
      <c r="C181" s="6" t="s">
        <v>51</v>
      </c>
      <c r="D181" s="0" t="n">
        <v>201.37415502875</v>
      </c>
      <c r="E181" s="0" t="n">
        <v>3.598333333</v>
      </c>
      <c r="F181" s="0" t="n">
        <v>0</v>
      </c>
      <c r="G181" s="0" t="n">
        <v>0</v>
      </c>
      <c r="H181" s="0" t="n">
        <v>0</v>
      </c>
      <c r="I181" s="0" t="n">
        <v>0</v>
      </c>
      <c r="J181" s="0" t="n">
        <v>0</v>
      </c>
      <c r="K181" s="0" t="n">
        <v>4</v>
      </c>
      <c r="L181" s="0" t="n">
        <v>2</v>
      </c>
    </row>
    <row r="182" customFormat="false" ht="15" hidden="false" customHeight="false" outlineLevel="0" collapsed="false">
      <c r="A182" s="5" t="n">
        <v>40330</v>
      </c>
      <c r="B182" s="6" t="s">
        <v>42</v>
      </c>
      <c r="C182" s="6" t="s">
        <v>51</v>
      </c>
      <c r="D182" s="0" t="n">
        <v>256.985911420157</v>
      </c>
      <c r="E182" s="0" t="n">
        <v>3.598333333</v>
      </c>
      <c r="F182" s="0" t="n">
        <v>0</v>
      </c>
      <c r="G182" s="0" t="n">
        <v>0</v>
      </c>
      <c r="H182" s="0" t="n">
        <v>0</v>
      </c>
      <c r="I182" s="0" t="n">
        <v>0</v>
      </c>
      <c r="J182" s="0" t="n">
        <v>0</v>
      </c>
      <c r="K182" s="0" t="n">
        <v>4</v>
      </c>
      <c r="L182" s="0" t="n">
        <v>2</v>
      </c>
    </row>
    <row r="183" customFormat="false" ht="15" hidden="false" customHeight="false" outlineLevel="0" collapsed="false">
      <c r="A183" s="5" t="n">
        <v>40337</v>
      </c>
      <c r="B183" s="6" t="s">
        <v>42</v>
      </c>
      <c r="C183" s="6" t="s">
        <v>51</v>
      </c>
      <c r="D183" s="0" t="n">
        <v>188.104373882119</v>
      </c>
      <c r="E183" s="0" t="n">
        <v>4.056666667</v>
      </c>
      <c r="F183" s="0" t="n">
        <v>0</v>
      </c>
      <c r="G183" s="0" t="n">
        <v>0</v>
      </c>
      <c r="H183" s="0" t="n">
        <v>0</v>
      </c>
      <c r="I183" s="0" t="n">
        <v>0</v>
      </c>
      <c r="J183" s="0" t="n">
        <v>0</v>
      </c>
      <c r="K183" s="0" t="n">
        <v>4</v>
      </c>
      <c r="L183" s="0" t="n">
        <v>2</v>
      </c>
    </row>
    <row r="184" customFormat="false" ht="15" hidden="false" customHeight="false" outlineLevel="0" collapsed="false">
      <c r="A184" s="5" t="n">
        <v>40344</v>
      </c>
      <c r="B184" s="6" t="s">
        <v>42</v>
      </c>
      <c r="C184" s="6" t="s">
        <v>51</v>
      </c>
      <c r="D184" s="0" t="n">
        <v>124.389850836197</v>
      </c>
      <c r="E184" s="0" t="n">
        <v>4.056666667</v>
      </c>
      <c r="F184" s="0" t="n">
        <v>0</v>
      </c>
      <c r="G184" s="0" t="n">
        <v>0</v>
      </c>
      <c r="H184" s="0" t="n">
        <v>0</v>
      </c>
      <c r="I184" s="0" t="n">
        <v>0</v>
      </c>
      <c r="J184" s="0" t="n">
        <v>0</v>
      </c>
      <c r="K184" s="0" t="n">
        <v>4</v>
      </c>
      <c r="L184" s="0" t="n">
        <v>2</v>
      </c>
    </row>
    <row r="185" customFormat="false" ht="15" hidden="false" customHeight="false" outlineLevel="0" collapsed="false">
      <c r="A185" s="5" t="n">
        <v>40351</v>
      </c>
      <c r="B185" s="6" t="s">
        <v>42</v>
      </c>
      <c r="C185" s="6" t="s">
        <v>51</v>
      </c>
      <c r="D185" s="0" t="n">
        <v>156.17406821336</v>
      </c>
      <c r="E185" s="0" t="n">
        <v>3.735454545</v>
      </c>
      <c r="F185" s="0" t="n">
        <v>0</v>
      </c>
      <c r="G185" s="0" t="n">
        <v>0</v>
      </c>
      <c r="H185" s="0" t="n">
        <v>0</v>
      </c>
      <c r="I185" s="0" t="n">
        <v>0</v>
      </c>
      <c r="J185" s="0" t="n">
        <v>0</v>
      </c>
      <c r="K185" s="0" t="n">
        <v>4</v>
      </c>
      <c r="L185" s="0" t="n">
        <v>2</v>
      </c>
    </row>
    <row r="186" customFormat="false" ht="15" hidden="false" customHeight="false" outlineLevel="0" collapsed="false">
      <c r="A186" s="5" t="n">
        <v>40358</v>
      </c>
      <c r="B186" s="6" t="s">
        <v>42</v>
      </c>
      <c r="C186" s="6" t="s">
        <v>51</v>
      </c>
      <c r="D186" s="0" t="n">
        <v>288.232609039248</v>
      </c>
      <c r="E186" s="0" t="n">
        <v>4.056666667</v>
      </c>
      <c r="F186" s="0" t="n">
        <v>0</v>
      </c>
      <c r="G186" s="0" t="n">
        <v>0</v>
      </c>
      <c r="H186" s="0" t="n">
        <v>0</v>
      </c>
      <c r="I186" s="0" t="n">
        <v>0</v>
      </c>
      <c r="J186" s="0" t="n">
        <v>0</v>
      </c>
      <c r="K186" s="0" t="n">
        <v>4</v>
      </c>
      <c r="L186" s="0" t="n">
        <v>2</v>
      </c>
    </row>
    <row r="187" customFormat="false" ht="15" hidden="false" customHeight="false" outlineLevel="0" collapsed="false">
      <c r="A187" s="5" t="n">
        <v>40365</v>
      </c>
      <c r="B187" s="6" t="s">
        <v>42</v>
      </c>
      <c r="C187" s="6" t="s">
        <v>51</v>
      </c>
      <c r="D187" s="0" t="n">
        <v>148.265999740598</v>
      </c>
      <c r="E187" s="0" t="n">
        <v>3.711666667</v>
      </c>
      <c r="F187" s="0" t="n">
        <v>0</v>
      </c>
      <c r="G187" s="0" t="n">
        <v>0</v>
      </c>
      <c r="H187" s="0" t="n">
        <v>0</v>
      </c>
      <c r="I187" s="0" t="n">
        <v>0</v>
      </c>
      <c r="J187" s="0" t="n">
        <v>0</v>
      </c>
      <c r="K187" s="0" t="n">
        <v>4</v>
      </c>
      <c r="L187" s="0" t="n">
        <v>2</v>
      </c>
    </row>
    <row r="188" customFormat="false" ht="15" hidden="false" customHeight="false" outlineLevel="0" collapsed="false">
      <c r="A188" s="5" t="n">
        <v>40372</v>
      </c>
      <c r="B188" s="6" t="s">
        <v>42</v>
      </c>
      <c r="C188" s="6" t="s">
        <v>51</v>
      </c>
      <c r="D188" s="0" t="n">
        <v>142.457495066424</v>
      </c>
      <c r="E188" s="0" t="n">
        <v>3.711666667</v>
      </c>
      <c r="F188" s="0" t="n">
        <v>0</v>
      </c>
      <c r="G188" s="0" t="n">
        <v>0</v>
      </c>
      <c r="H188" s="0" t="n">
        <v>0</v>
      </c>
      <c r="I188" s="0" t="n">
        <v>0</v>
      </c>
      <c r="J188" s="0" t="n">
        <v>0</v>
      </c>
      <c r="K188" s="0" t="n">
        <v>4</v>
      </c>
      <c r="L188" s="0" t="n">
        <v>2</v>
      </c>
    </row>
    <row r="189" customFormat="false" ht="15" hidden="false" customHeight="false" outlineLevel="0" collapsed="false">
      <c r="A189" s="5" t="n">
        <v>40302</v>
      </c>
      <c r="B189" s="6" t="s">
        <v>42</v>
      </c>
      <c r="C189" s="6" t="s">
        <v>52</v>
      </c>
      <c r="D189" s="0" t="n">
        <v>257.280289344291</v>
      </c>
      <c r="E189" s="0" t="n">
        <v>3.761428571</v>
      </c>
      <c r="F189" s="0" t="n">
        <v>0</v>
      </c>
      <c r="G189" s="0" t="n">
        <v>0</v>
      </c>
      <c r="H189" s="0" t="n">
        <v>0</v>
      </c>
      <c r="I189" s="0" t="n">
        <v>0</v>
      </c>
      <c r="J189" s="0" t="n">
        <v>0</v>
      </c>
      <c r="K189" s="0" t="n">
        <v>3</v>
      </c>
      <c r="L189" s="0" t="n">
        <v>0</v>
      </c>
    </row>
    <row r="190" customFormat="false" ht="15" hidden="false" customHeight="false" outlineLevel="0" collapsed="false">
      <c r="A190" s="5" t="n">
        <v>40309</v>
      </c>
      <c r="B190" s="6" t="s">
        <v>42</v>
      </c>
      <c r="C190" s="6" t="s">
        <v>52</v>
      </c>
      <c r="D190" s="0" t="n">
        <v>164.275946820964</v>
      </c>
      <c r="E190" s="0" t="n">
        <v>3.523333333</v>
      </c>
      <c r="F190" s="0" t="n">
        <v>0</v>
      </c>
      <c r="G190" s="0" t="n">
        <v>0</v>
      </c>
      <c r="H190" s="0" t="n">
        <v>0</v>
      </c>
      <c r="I190" s="0" t="n">
        <v>0</v>
      </c>
      <c r="J190" s="0" t="n">
        <v>0</v>
      </c>
      <c r="K190" s="0" t="n">
        <v>3</v>
      </c>
      <c r="L190" s="0" t="n">
        <v>0</v>
      </c>
    </row>
    <row r="191" customFormat="false" ht="15" hidden="false" customHeight="false" outlineLevel="0" collapsed="false">
      <c r="A191" s="5" t="n">
        <v>40316</v>
      </c>
      <c r="B191" s="6" t="s">
        <v>42</v>
      </c>
      <c r="C191" s="6" t="s">
        <v>52</v>
      </c>
      <c r="D191" s="0" t="n">
        <v>80.5251182298654</v>
      </c>
      <c r="E191" s="0" t="n">
        <v>3.356666667</v>
      </c>
      <c r="F191" s="0" t="n">
        <v>0</v>
      </c>
      <c r="G191" s="0" t="n">
        <v>0</v>
      </c>
      <c r="H191" s="0" t="n">
        <v>0</v>
      </c>
      <c r="I191" s="0" t="n">
        <v>0</v>
      </c>
      <c r="J191" s="0" t="n">
        <v>0</v>
      </c>
      <c r="K191" s="0" t="n">
        <v>3</v>
      </c>
      <c r="L191" s="0" t="n">
        <v>0</v>
      </c>
    </row>
    <row r="192" customFormat="false" ht="15" hidden="false" customHeight="false" outlineLevel="0" collapsed="false">
      <c r="A192" s="5" t="n">
        <v>40323</v>
      </c>
      <c r="B192" s="6" t="s">
        <v>42</v>
      </c>
      <c r="C192" s="6" t="s">
        <v>52</v>
      </c>
      <c r="D192" s="0" t="n">
        <v>271.657757635846</v>
      </c>
      <c r="E192" s="0" t="n">
        <v>3.34</v>
      </c>
      <c r="F192" s="0" t="n">
        <v>0</v>
      </c>
      <c r="G192" s="0" t="n">
        <v>0</v>
      </c>
      <c r="H192" s="0" t="n">
        <v>0</v>
      </c>
      <c r="I192" s="0" t="n">
        <v>0</v>
      </c>
      <c r="J192" s="0" t="n">
        <v>0</v>
      </c>
      <c r="K192" s="0" t="n">
        <v>3</v>
      </c>
      <c r="L192" s="0" t="n">
        <v>0</v>
      </c>
    </row>
    <row r="193" customFormat="false" ht="15" hidden="false" customHeight="false" outlineLevel="0" collapsed="false">
      <c r="A193" s="5" t="n">
        <v>40330</v>
      </c>
      <c r="B193" s="6" t="s">
        <v>42</v>
      </c>
      <c r="C193" s="6" t="s">
        <v>52</v>
      </c>
      <c r="D193" s="0" t="n">
        <v>208.290256373119</v>
      </c>
      <c r="E193" s="0" t="n">
        <v>3.44</v>
      </c>
      <c r="F193" s="0" t="n">
        <v>0</v>
      </c>
      <c r="G193" s="0" t="n">
        <v>0</v>
      </c>
      <c r="H193" s="0" t="n">
        <v>0</v>
      </c>
      <c r="I193" s="0" t="n">
        <v>0</v>
      </c>
      <c r="J193" s="0" t="n">
        <v>0</v>
      </c>
      <c r="K193" s="0" t="n">
        <v>3</v>
      </c>
      <c r="L193" s="0" t="n">
        <v>0</v>
      </c>
    </row>
    <row r="194" customFormat="false" ht="15" hidden="false" customHeight="false" outlineLevel="0" collapsed="false">
      <c r="A194" s="5" t="n">
        <v>40337</v>
      </c>
      <c r="B194" s="6" t="s">
        <v>42</v>
      </c>
      <c r="C194" s="6" t="s">
        <v>52</v>
      </c>
      <c r="D194" s="0" t="n">
        <v>332.281454887618</v>
      </c>
      <c r="E194" s="0" t="n">
        <v>3.511111111</v>
      </c>
      <c r="F194" s="0" t="n">
        <v>0</v>
      </c>
      <c r="G194" s="0" t="n">
        <v>0</v>
      </c>
      <c r="H194" s="0" t="n">
        <v>1</v>
      </c>
      <c r="I194" s="0" t="n">
        <v>0</v>
      </c>
      <c r="J194" s="0" t="n">
        <v>0</v>
      </c>
      <c r="K194" s="0" t="n">
        <v>3</v>
      </c>
      <c r="L194" s="0" t="n">
        <v>0</v>
      </c>
    </row>
    <row r="195" customFormat="false" ht="15" hidden="false" customHeight="false" outlineLevel="0" collapsed="false">
      <c r="A195" s="5" t="n">
        <v>40344</v>
      </c>
      <c r="B195" s="6" t="s">
        <v>42</v>
      </c>
      <c r="C195" s="6" t="s">
        <v>52</v>
      </c>
      <c r="D195" s="0" t="n">
        <v>314.437888671743</v>
      </c>
      <c r="E195" s="0" t="n">
        <v>3.523333333</v>
      </c>
      <c r="F195" s="0" t="n">
        <v>0</v>
      </c>
      <c r="G195" s="0" t="n">
        <v>0</v>
      </c>
      <c r="H195" s="0" t="n">
        <v>0</v>
      </c>
      <c r="I195" s="0" t="n">
        <v>1</v>
      </c>
      <c r="J195" s="0" t="n">
        <v>0</v>
      </c>
      <c r="K195" s="0" t="n">
        <v>3</v>
      </c>
      <c r="L195" s="0" t="n">
        <v>0</v>
      </c>
    </row>
    <row r="196" customFormat="false" ht="15" hidden="false" customHeight="false" outlineLevel="0" collapsed="false">
      <c r="A196" s="5" t="n">
        <v>40351</v>
      </c>
      <c r="B196" s="6" t="s">
        <v>42</v>
      </c>
      <c r="C196" s="6" t="s">
        <v>52</v>
      </c>
      <c r="D196" s="0" t="n">
        <v>305.09423830562</v>
      </c>
      <c r="E196" s="0" t="n">
        <v>3.523333333</v>
      </c>
      <c r="F196" s="0" t="n">
        <v>0</v>
      </c>
      <c r="G196" s="0" t="n">
        <v>0</v>
      </c>
      <c r="H196" s="0" t="n">
        <v>0</v>
      </c>
      <c r="I196" s="0" t="n">
        <v>1</v>
      </c>
      <c r="J196" s="0" t="n">
        <v>0</v>
      </c>
      <c r="K196" s="0" t="n">
        <v>3</v>
      </c>
      <c r="L196" s="0" t="n">
        <v>0</v>
      </c>
    </row>
    <row r="197" customFormat="false" ht="15" hidden="false" customHeight="false" outlineLevel="0" collapsed="false">
      <c r="A197" s="5" t="n">
        <v>40358</v>
      </c>
      <c r="B197" s="6" t="s">
        <v>42</v>
      </c>
      <c r="C197" s="6" t="s">
        <v>52</v>
      </c>
      <c r="D197" s="0" t="n">
        <v>224.286016133014</v>
      </c>
      <c r="E197" s="0" t="n">
        <v>3.523333333</v>
      </c>
      <c r="F197" s="0" t="n">
        <v>0</v>
      </c>
      <c r="G197" s="0" t="n">
        <v>0</v>
      </c>
      <c r="H197" s="0" t="n">
        <v>0</v>
      </c>
      <c r="I197" s="0" t="n">
        <v>1</v>
      </c>
      <c r="J197" s="0" t="n">
        <v>0</v>
      </c>
      <c r="K197" s="0" t="n">
        <v>3</v>
      </c>
      <c r="L197" s="0" t="n">
        <v>0</v>
      </c>
    </row>
    <row r="198" customFormat="false" ht="15" hidden="false" customHeight="false" outlineLevel="0" collapsed="false">
      <c r="A198" s="5" t="n">
        <v>40365</v>
      </c>
      <c r="B198" s="6" t="s">
        <v>42</v>
      </c>
      <c r="C198" s="6" t="s">
        <v>52</v>
      </c>
      <c r="D198" s="0" t="n">
        <v>215.476078548949</v>
      </c>
      <c r="E198" s="0" t="n">
        <v>3.063333333</v>
      </c>
      <c r="F198" s="0" t="n">
        <v>0</v>
      </c>
      <c r="G198" s="0" t="n">
        <v>0</v>
      </c>
      <c r="H198" s="0" t="n">
        <v>0</v>
      </c>
      <c r="I198" s="0" t="n">
        <v>0</v>
      </c>
      <c r="J198" s="0" t="n">
        <v>1</v>
      </c>
      <c r="K198" s="0" t="n">
        <v>3</v>
      </c>
      <c r="L198" s="0" t="n">
        <v>0</v>
      </c>
    </row>
    <row r="199" customFormat="false" ht="15" hidden="false" customHeight="false" outlineLevel="0" collapsed="false">
      <c r="A199" s="5" t="n">
        <v>40372</v>
      </c>
      <c r="B199" s="6" t="s">
        <v>42</v>
      </c>
      <c r="C199" s="6" t="s">
        <v>52</v>
      </c>
      <c r="D199" s="0" t="n">
        <v>322.69748275185</v>
      </c>
      <c r="E199" s="0" t="n">
        <v>3.063333333</v>
      </c>
      <c r="F199" s="0" t="n">
        <v>0</v>
      </c>
      <c r="G199" s="0" t="n">
        <v>0</v>
      </c>
      <c r="H199" s="0" t="n">
        <v>0</v>
      </c>
      <c r="I199" s="0" t="n">
        <v>0</v>
      </c>
      <c r="J199" s="0" t="n">
        <v>1</v>
      </c>
      <c r="K199" s="0" t="n">
        <v>3</v>
      </c>
      <c r="L199" s="0" t="n">
        <v>0</v>
      </c>
    </row>
    <row r="200" customFormat="false" ht="15" hidden="false" customHeight="false" outlineLevel="0" collapsed="false">
      <c r="A200" s="5" t="n">
        <v>40302</v>
      </c>
      <c r="B200" s="6" t="s">
        <v>42</v>
      </c>
      <c r="C200" s="6" t="s">
        <v>53</v>
      </c>
      <c r="D200" s="0" t="n">
        <v>237.716062926933</v>
      </c>
      <c r="E200" s="0" t="n">
        <v>3.904285714</v>
      </c>
      <c r="F200" s="0" t="n">
        <v>0</v>
      </c>
      <c r="G200" s="0" t="n">
        <v>0</v>
      </c>
      <c r="H200" s="0" t="n">
        <v>0</v>
      </c>
      <c r="I200" s="0" t="n">
        <v>0</v>
      </c>
      <c r="J200" s="0" t="n">
        <v>0</v>
      </c>
      <c r="K200" s="0" t="n">
        <v>0</v>
      </c>
      <c r="L200" s="0" t="n">
        <v>0</v>
      </c>
    </row>
    <row r="201" customFormat="false" ht="15" hidden="false" customHeight="false" outlineLevel="0" collapsed="false">
      <c r="A201" s="5" t="n">
        <v>40309</v>
      </c>
      <c r="B201" s="6" t="s">
        <v>42</v>
      </c>
      <c r="C201" s="6" t="s">
        <v>53</v>
      </c>
      <c r="D201" s="0" t="n">
        <v>149.316947645446</v>
      </c>
      <c r="E201" s="0" t="n">
        <v>3.904285714</v>
      </c>
      <c r="F201" s="0" t="n">
        <v>0</v>
      </c>
      <c r="G201" s="0" t="n">
        <v>0</v>
      </c>
      <c r="H201" s="0" t="n">
        <v>0</v>
      </c>
      <c r="I201" s="0" t="n">
        <v>0</v>
      </c>
      <c r="J201" s="0" t="n">
        <v>0</v>
      </c>
      <c r="K201" s="0" t="n">
        <v>0</v>
      </c>
      <c r="L201" s="0" t="n">
        <v>0</v>
      </c>
    </row>
    <row r="202" customFormat="false" ht="15" hidden="false" customHeight="false" outlineLevel="0" collapsed="false">
      <c r="A202" s="5" t="n">
        <v>40316</v>
      </c>
      <c r="B202" s="6" t="s">
        <v>42</v>
      </c>
      <c r="C202" s="6" t="s">
        <v>53</v>
      </c>
      <c r="D202" s="0" t="n">
        <v>103.89607680236</v>
      </c>
      <c r="E202" s="0" t="n">
        <v>3.618571429</v>
      </c>
      <c r="F202" s="0" t="n">
        <v>0</v>
      </c>
      <c r="G202" s="0" t="n">
        <v>0</v>
      </c>
      <c r="H202" s="0" t="n">
        <v>0</v>
      </c>
      <c r="I202" s="0" t="n">
        <v>0</v>
      </c>
      <c r="J202" s="0" t="n">
        <v>0</v>
      </c>
      <c r="K202" s="0" t="n">
        <v>0</v>
      </c>
      <c r="L202" s="0" t="n">
        <v>0</v>
      </c>
    </row>
    <row r="203" customFormat="false" ht="15" hidden="false" customHeight="false" outlineLevel="0" collapsed="false">
      <c r="A203" s="5" t="n">
        <v>40323</v>
      </c>
      <c r="B203" s="6" t="s">
        <v>42</v>
      </c>
      <c r="C203" s="6" t="s">
        <v>53</v>
      </c>
      <c r="D203" s="0" t="n">
        <v>141.209006449082</v>
      </c>
      <c r="E203" s="0" t="n">
        <v>3.618571429</v>
      </c>
      <c r="F203" s="0" t="n">
        <v>0</v>
      </c>
      <c r="G203" s="0" t="n">
        <v>0</v>
      </c>
      <c r="H203" s="0" t="n">
        <v>0</v>
      </c>
      <c r="I203" s="0" t="n">
        <v>0</v>
      </c>
      <c r="J203" s="0" t="n">
        <v>0</v>
      </c>
      <c r="K203" s="0" t="n">
        <v>0</v>
      </c>
      <c r="L203" s="0" t="n">
        <v>0</v>
      </c>
    </row>
    <row r="204" customFormat="false" ht="15" hidden="false" customHeight="false" outlineLevel="0" collapsed="false">
      <c r="A204" s="5" t="n">
        <v>40330</v>
      </c>
      <c r="B204" s="6" t="s">
        <v>42</v>
      </c>
      <c r="C204" s="6" t="s">
        <v>53</v>
      </c>
      <c r="D204" s="0" t="n">
        <v>216.53256257866</v>
      </c>
      <c r="E204" s="0" t="n">
        <v>3.618571429</v>
      </c>
      <c r="F204" s="0" t="n">
        <v>0</v>
      </c>
      <c r="G204" s="0" t="n">
        <v>0</v>
      </c>
      <c r="H204" s="0" t="n">
        <v>0</v>
      </c>
      <c r="I204" s="0" t="n">
        <v>0</v>
      </c>
      <c r="J204" s="0" t="n">
        <v>0</v>
      </c>
      <c r="K204" s="0" t="n">
        <v>0</v>
      </c>
      <c r="L204" s="0" t="n">
        <v>0</v>
      </c>
    </row>
    <row r="205" customFormat="false" ht="15" hidden="false" customHeight="false" outlineLevel="0" collapsed="false">
      <c r="A205" s="5" t="n">
        <v>40337</v>
      </c>
      <c r="B205" s="6" t="s">
        <v>42</v>
      </c>
      <c r="C205" s="6" t="s">
        <v>53</v>
      </c>
      <c r="D205" s="0" t="n">
        <v>352.430263355828</v>
      </c>
      <c r="E205" s="0" t="n">
        <v>3.904285714</v>
      </c>
      <c r="F205" s="0" t="n">
        <v>0</v>
      </c>
      <c r="G205" s="0" t="n">
        <v>0</v>
      </c>
      <c r="H205" s="0" t="n">
        <v>1</v>
      </c>
      <c r="I205" s="0" t="n">
        <v>0</v>
      </c>
      <c r="J205" s="0" t="n">
        <v>0</v>
      </c>
      <c r="K205" s="0" t="n">
        <v>0</v>
      </c>
      <c r="L205" s="0" t="n">
        <v>0</v>
      </c>
    </row>
    <row r="206" customFormat="false" ht="15" hidden="false" customHeight="false" outlineLevel="0" collapsed="false">
      <c r="A206" s="5" t="n">
        <v>40344</v>
      </c>
      <c r="B206" s="6" t="s">
        <v>42</v>
      </c>
      <c r="C206" s="6" t="s">
        <v>53</v>
      </c>
      <c r="D206" s="0" t="n">
        <v>186.667808287709</v>
      </c>
      <c r="E206" s="0" t="n">
        <v>3.904285714</v>
      </c>
      <c r="F206" s="0" t="n">
        <v>0</v>
      </c>
      <c r="G206" s="0" t="n">
        <v>0</v>
      </c>
      <c r="H206" s="0" t="n">
        <v>0</v>
      </c>
      <c r="I206" s="0" t="n">
        <v>1</v>
      </c>
      <c r="J206" s="0" t="n">
        <v>0</v>
      </c>
      <c r="K206" s="0" t="n">
        <v>0</v>
      </c>
      <c r="L206" s="0" t="n">
        <v>0</v>
      </c>
    </row>
    <row r="207" customFormat="false" ht="15" hidden="false" customHeight="false" outlineLevel="0" collapsed="false">
      <c r="A207" s="5" t="n">
        <v>40351</v>
      </c>
      <c r="B207" s="6" t="s">
        <v>42</v>
      </c>
      <c r="C207" s="6" t="s">
        <v>53</v>
      </c>
      <c r="D207" s="0" t="n">
        <v>290.779603084597</v>
      </c>
      <c r="E207" s="0" t="n">
        <v>3.904285714</v>
      </c>
      <c r="F207" s="0" t="n">
        <v>0</v>
      </c>
      <c r="G207" s="0" t="n">
        <v>0</v>
      </c>
      <c r="H207" s="0" t="n">
        <v>0</v>
      </c>
      <c r="I207" s="0" t="n">
        <v>1</v>
      </c>
      <c r="J207" s="0" t="n">
        <v>0</v>
      </c>
      <c r="K207" s="0" t="n">
        <v>0</v>
      </c>
      <c r="L207" s="0" t="n">
        <v>0</v>
      </c>
    </row>
    <row r="208" customFormat="false" ht="15" hidden="false" customHeight="false" outlineLevel="0" collapsed="false">
      <c r="A208" s="5" t="n">
        <v>40358</v>
      </c>
      <c r="B208" s="6" t="s">
        <v>42</v>
      </c>
      <c r="C208" s="6" t="s">
        <v>53</v>
      </c>
      <c r="D208" s="0" t="n">
        <v>273.343713541105</v>
      </c>
      <c r="E208" s="0" t="n">
        <v>3.904285714</v>
      </c>
      <c r="F208" s="0" t="n">
        <v>0</v>
      </c>
      <c r="G208" s="0" t="n">
        <v>0</v>
      </c>
      <c r="H208" s="0" t="n">
        <v>0</v>
      </c>
      <c r="I208" s="0" t="n">
        <v>1</v>
      </c>
      <c r="J208" s="0" t="n">
        <v>0</v>
      </c>
      <c r="K208" s="0" t="n">
        <v>0</v>
      </c>
      <c r="L208" s="0" t="n">
        <v>0</v>
      </c>
    </row>
    <row r="209" customFormat="false" ht="15" hidden="false" customHeight="false" outlineLevel="0" collapsed="false">
      <c r="A209" s="5" t="n">
        <v>40365</v>
      </c>
      <c r="B209" s="6" t="s">
        <v>42</v>
      </c>
      <c r="C209" s="6" t="s">
        <v>53</v>
      </c>
      <c r="D209" s="0" t="n">
        <v>299.305548247113</v>
      </c>
      <c r="E209" s="0" t="n">
        <v>3.608571429</v>
      </c>
      <c r="F209" s="0" t="n">
        <v>0</v>
      </c>
      <c r="G209" s="0" t="n">
        <v>0</v>
      </c>
      <c r="H209" s="0" t="n">
        <v>0</v>
      </c>
      <c r="I209" s="0" t="n">
        <v>0</v>
      </c>
      <c r="J209" s="0" t="n">
        <v>1</v>
      </c>
      <c r="K209" s="0" t="n">
        <v>0</v>
      </c>
      <c r="L209" s="0" t="n">
        <v>0</v>
      </c>
    </row>
    <row r="210" customFormat="false" ht="15" hidden="false" customHeight="false" outlineLevel="0" collapsed="false">
      <c r="A210" s="5" t="n">
        <v>40372</v>
      </c>
      <c r="B210" s="6" t="s">
        <v>42</v>
      </c>
      <c r="C210" s="6" t="s">
        <v>53</v>
      </c>
      <c r="D210" s="0" t="n">
        <v>249.274248175315</v>
      </c>
      <c r="E210" s="0" t="n">
        <v>3.608571429</v>
      </c>
      <c r="F210" s="0" t="n">
        <v>0</v>
      </c>
      <c r="G210" s="0" t="n">
        <v>0</v>
      </c>
      <c r="H210" s="0" t="n">
        <v>0</v>
      </c>
      <c r="I210" s="0" t="n">
        <v>0</v>
      </c>
      <c r="J210" s="0" t="n">
        <v>1</v>
      </c>
      <c r="K210" s="0" t="n">
        <v>0</v>
      </c>
      <c r="L210" s="0" t="n">
        <v>0</v>
      </c>
    </row>
    <row r="211" customFormat="false" ht="15" hidden="false" customHeight="false" outlineLevel="0" collapsed="false">
      <c r="A211" s="5" t="n">
        <v>40302</v>
      </c>
      <c r="B211" s="6" t="s">
        <v>42</v>
      </c>
      <c r="C211" s="6" t="s">
        <v>54</v>
      </c>
      <c r="D211" s="0" t="n">
        <v>113.510731227795</v>
      </c>
      <c r="E211" s="0" t="n">
        <v>3.904285714</v>
      </c>
      <c r="F211" s="0" t="n">
        <v>0</v>
      </c>
      <c r="G211" s="0" t="n">
        <v>0</v>
      </c>
      <c r="H211" s="0" t="n">
        <v>0</v>
      </c>
      <c r="I211" s="0" t="n">
        <v>0</v>
      </c>
      <c r="J211" s="0" t="n">
        <v>0</v>
      </c>
      <c r="K211" s="0" t="n">
        <v>1</v>
      </c>
      <c r="L211" s="0" t="n">
        <v>4</v>
      </c>
    </row>
    <row r="212" customFormat="false" ht="15" hidden="false" customHeight="false" outlineLevel="0" collapsed="false">
      <c r="A212" s="5" t="n">
        <v>40309</v>
      </c>
      <c r="B212" s="6" t="s">
        <v>42</v>
      </c>
      <c r="C212" s="6" t="s">
        <v>54</v>
      </c>
      <c r="D212" s="0" t="n">
        <v>267.531389973981</v>
      </c>
      <c r="E212" s="0" t="n">
        <v>3.54</v>
      </c>
      <c r="F212" s="0" t="n">
        <v>0</v>
      </c>
      <c r="G212" s="0" t="n">
        <v>0</v>
      </c>
      <c r="H212" s="0" t="n">
        <v>0</v>
      </c>
      <c r="I212" s="0" t="n">
        <v>0</v>
      </c>
      <c r="J212" s="0" t="n">
        <v>0</v>
      </c>
      <c r="K212" s="0" t="n">
        <v>1</v>
      </c>
      <c r="L212" s="0" t="n">
        <v>4</v>
      </c>
    </row>
    <row r="213" customFormat="false" ht="15" hidden="false" customHeight="false" outlineLevel="0" collapsed="false">
      <c r="A213" s="5" t="n">
        <v>40316</v>
      </c>
      <c r="B213" s="6" t="s">
        <v>42</v>
      </c>
      <c r="C213" s="6" t="s">
        <v>54</v>
      </c>
      <c r="D213" s="0" t="n">
        <v>175.828553888557</v>
      </c>
      <c r="E213" s="0" t="n">
        <v>3.34</v>
      </c>
      <c r="F213" s="0" t="n">
        <v>0</v>
      </c>
      <c r="G213" s="0" t="n">
        <v>0</v>
      </c>
      <c r="H213" s="0" t="n">
        <v>0</v>
      </c>
      <c r="I213" s="0" t="n">
        <v>0</v>
      </c>
      <c r="J213" s="0" t="n">
        <v>0</v>
      </c>
      <c r="K213" s="0" t="n">
        <v>1</v>
      </c>
      <c r="L213" s="0" t="n">
        <v>4</v>
      </c>
    </row>
    <row r="214" customFormat="false" ht="15" hidden="false" customHeight="false" outlineLevel="0" collapsed="false">
      <c r="A214" s="5" t="n">
        <v>40323</v>
      </c>
      <c r="B214" s="6" t="s">
        <v>42</v>
      </c>
      <c r="C214" s="6" t="s">
        <v>54</v>
      </c>
      <c r="D214" s="0" t="n">
        <v>235.56756669018</v>
      </c>
      <c r="E214" s="0" t="n">
        <v>3.412222222</v>
      </c>
      <c r="F214" s="0" t="n">
        <v>0</v>
      </c>
      <c r="G214" s="0" t="n">
        <v>0</v>
      </c>
      <c r="H214" s="0" t="n">
        <v>0</v>
      </c>
      <c r="I214" s="0" t="n">
        <v>0</v>
      </c>
      <c r="J214" s="0" t="n">
        <v>0</v>
      </c>
      <c r="K214" s="0" t="n">
        <v>1</v>
      </c>
      <c r="L214" s="0" t="n">
        <v>4</v>
      </c>
    </row>
    <row r="215" customFormat="false" ht="15" hidden="false" customHeight="false" outlineLevel="0" collapsed="false">
      <c r="A215" s="5" t="n">
        <v>40330</v>
      </c>
      <c r="B215" s="6" t="s">
        <v>42</v>
      </c>
      <c r="C215" s="6" t="s">
        <v>54</v>
      </c>
      <c r="D215" s="0" t="n">
        <v>151.337270373099</v>
      </c>
      <c r="E215" s="0" t="n">
        <v>3.34</v>
      </c>
      <c r="F215" s="0" t="n">
        <v>0</v>
      </c>
      <c r="G215" s="0" t="n">
        <v>0</v>
      </c>
      <c r="H215" s="0" t="n">
        <v>0</v>
      </c>
      <c r="I215" s="0" t="n">
        <v>0</v>
      </c>
      <c r="J215" s="0" t="n">
        <v>0</v>
      </c>
      <c r="K215" s="0" t="n">
        <v>1</v>
      </c>
      <c r="L215" s="0" t="n">
        <v>4</v>
      </c>
    </row>
    <row r="216" customFormat="false" ht="15" hidden="false" customHeight="false" outlineLevel="0" collapsed="false">
      <c r="A216" s="5" t="n">
        <v>40337</v>
      </c>
      <c r="B216" s="6" t="s">
        <v>42</v>
      </c>
      <c r="C216" s="6" t="s">
        <v>54</v>
      </c>
      <c r="D216" s="0" t="n">
        <v>211.423245520564</v>
      </c>
      <c r="E216" s="0" t="n">
        <v>3.634444444</v>
      </c>
      <c r="F216" s="0" t="n">
        <v>0</v>
      </c>
      <c r="G216" s="0" t="n">
        <v>0</v>
      </c>
      <c r="H216" s="0" t="n">
        <v>0</v>
      </c>
      <c r="I216" s="0" t="n">
        <v>0</v>
      </c>
      <c r="J216" s="0" t="n">
        <v>0</v>
      </c>
      <c r="K216" s="0" t="n">
        <v>1</v>
      </c>
      <c r="L216" s="0" t="n">
        <v>4</v>
      </c>
    </row>
    <row r="217" customFormat="false" ht="15" hidden="false" customHeight="false" outlineLevel="0" collapsed="false">
      <c r="A217" s="5" t="n">
        <v>40344</v>
      </c>
      <c r="B217" s="6" t="s">
        <v>42</v>
      </c>
      <c r="C217" s="6" t="s">
        <v>54</v>
      </c>
      <c r="D217" s="0" t="n">
        <v>272.302038009783</v>
      </c>
      <c r="E217" s="0" t="n">
        <v>3.54</v>
      </c>
      <c r="F217" s="0" t="n">
        <v>0</v>
      </c>
      <c r="G217" s="0" t="n">
        <v>0</v>
      </c>
      <c r="H217" s="0" t="n">
        <v>0</v>
      </c>
      <c r="I217" s="0" t="n">
        <v>0</v>
      </c>
      <c r="J217" s="0" t="n">
        <v>0</v>
      </c>
      <c r="K217" s="0" t="n">
        <v>1</v>
      </c>
      <c r="L217" s="0" t="n">
        <v>4</v>
      </c>
    </row>
    <row r="218" customFormat="false" ht="15" hidden="false" customHeight="false" outlineLevel="0" collapsed="false">
      <c r="A218" s="5" t="n">
        <v>40351</v>
      </c>
      <c r="B218" s="6" t="s">
        <v>42</v>
      </c>
      <c r="C218" s="6" t="s">
        <v>54</v>
      </c>
      <c r="D218" s="0" t="n">
        <v>163.025289195562</v>
      </c>
      <c r="E218" s="0" t="n">
        <v>3.54</v>
      </c>
      <c r="F218" s="0" t="n">
        <v>0</v>
      </c>
      <c r="G218" s="0" t="n">
        <v>0</v>
      </c>
      <c r="H218" s="0" t="n">
        <v>0</v>
      </c>
      <c r="I218" s="0" t="n">
        <v>0</v>
      </c>
      <c r="J218" s="0" t="n">
        <v>0</v>
      </c>
      <c r="K218" s="0" t="n">
        <v>1</v>
      </c>
      <c r="L218" s="0" t="n">
        <v>4</v>
      </c>
    </row>
    <row r="219" customFormat="false" ht="15" hidden="false" customHeight="false" outlineLevel="0" collapsed="false">
      <c r="A219" s="5" t="n">
        <v>40358</v>
      </c>
      <c r="B219" s="6" t="s">
        <v>42</v>
      </c>
      <c r="C219" s="6" t="s">
        <v>54</v>
      </c>
      <c r="D219" s="0" t="n">
        <v>170.9624809317</v>
      </c>
      <c r="E219" s="0" t="n">
        <v>3.54</v>
      </c>
      <c r="F219" s="0" t="n">
        <v>0</v>
      </c>
      <c r="G219" s="0" t="n">
        <v>0</v>
      </c>
      <c r="H219" s="0" t="n">
        <v>0</v>
      </c>
      <c r="I219" s="0" t="n">
        <v>0</v>
      </c>
      <c r="J219" s="0" t="n">
        <v>0</v>
      </c>
      <c r="K219" s="0" t="n">
        <v>1</v>
      </c>
      <c r="L219" s="0" t="n">
        <v>4</v>
      </c>
    </row>
    <row r="220" customFormat="false" ht="15" hidden="false" customHeight="false" outlineLevel="0" collapsed="false">
      <c r="A220" s="5" t="n">
        <v>40365</v>
      </c>
      <c r="B220" s="6" t="s">
        <v>42</v>
      </c>
      <c r="C220" s="6" t="s">
        <v>54</v>
      </c>
      <c r="D220" s="0" t="n">
        <v>176.151689171328</v>
      </c>
      <c r="E220" s="0" t="n">
        <v>3.126</v>
      </c>
      <c r="F220" s="0" t="n">
        <v>0</v>
      </c>
      <c r="G220" s="0" t="n">
        <v>0</v>
      </c>
      <c r="H220" s="0" t="n">
        <v>0</v>
      </c>
      <c r="I220" s="0" t="n">
        <v>0</v>
      </c>
      <c r="J220" s="0" t="n">
        <v>0</v>
      </c>
      <c r="K220" s="0" t="n">
        <v>1</v>
      </c>
      <c r="L220" s="0" t="n">
        <v>4</v>
      </c>
    </row>
    <row r="221" customFormat="false" ht="15" hidden="false" customHeight="false" outlineLevel="0" collapsed="false">
      <c r="A221" s="5" t="n">
        <v>40372</v>
      </c>
      <c r="B221" s="6" t="s">
        <v>42</v>
      </c>
      <c r="C221" s="6" t="s">
        <v>54</v>
      </c>
      <c r="D221" s="0" t="n">
        <v>145.650431618582</v>
      </c>
      <c r="E221" s="0" t="n">
        <v>3.126</v>
      </c>
      <c r="F221" s="0" t="n">
        <v>0</v>
      </c>
      <c r="G221" s="0" t="n">
        <v>0</v>
      </c>
      <c r="H221" s="0" t="n">
        <v>0</v>
      </c>
      <c r="I221" s="0" t="n">
        <v>0</v>
      </c>
      <c r="J221" s="0" t="n">
        <v>0</v>
      </c>
      <c r="K221" s="0" t="n">
        <v>1</v>
      </c>
      <c r="L221" s="0" t="n">
        <v>4</v>
      </c>
    </row>
    <row r="222" customFormat="false" ht="15" hidden="false" customHeight="false" outlineLevel="0" collapsed="false">
      <c r="A222" s="5" t="n">
        <v>40302</v>
      </c>
      <c r="B222" s="6" t="s">
        <v>42</v>
      </c>
      <c r="C222" s="6" t="s">
        <v>55</v>
      </c>
      <c r="D222" s="0" t="n">
        <v>136.573084621706</v>
      </c>
      <c r="E222" s="0" t="n">
        <v>4.1275</v>
      </c>
      <c r="F222" s="0" t="n">
        <v>0</v>
      </c>
      <c r="G222" s="0" t="n">
        <v>0</v>
      </c>
      <c r="H222" s="0" t="n">
        <v>0</v>
      </c>
      <c r="I222" s="0" t="n">
        <v>0</v>
      </c>
      <c r="J222" s="0" t="n">
        <v>0</v>
      </c>
      <c r="K222" s="0" t="n">
        <v>1</v>
      </c>
      <c r="L222" s="0" t="n">
        <v>4</v>
      </c>
    </row>
    <row r="223" customFormat="false" ht="15" hidden="false" customHeight="false" outlineLevel="0" collapsed="false">
      <c r="A223" s="5" t="n">
        <v>40309</v>
      </c>
      <c r="B223" s="6" t="s">
        <v>42</v>
      </c>
      <c r="C223" s="6" t="s">
        <v>55</v>
      </c>
      <c r="D223" s="0" t="n">
        <v>274.909490480551</v>
      </c>
      <c r="E223" s="0" t="n">
        <v>3.54</v>
      </c>
      <c r="F223" s="0" t="n">
        <v>0</v>
      </c>
      <c r="G223" s="0" t="n">
        <v>0</v>
      </c>
      <c r="H223" s="0" t="n">
        <v>0</v>
      </c>
      <c r="I223" s="0" t="n">
        <v>0</v>
      </c>
      <c r="J223" s="0" t="n">
        <v>0</v>
      </c>
      <c r="K223" s="0" t="n">
        <v>1</v>
      </c>
      <c r="L223" s="0" t="n">
        <v>4</v>
      </c>
    </row>
    <row r="224" customFormat="false" ht="15" hidden="false" customHeight="false" outlineLevel="0" collapsed="false">
      <c r="A224" s="5" t="n">
        <v>40316</v>
      </c>
      <c r="B224" s="6" t="s">
        <v>42</v>
      </c>
      <c r="C224" s="6" t="s">
        <v>55</v>
      </c>
      <c r="D224" s="0" t="n">
        <v>201.688447248134</v>
      </c>
      <c r="E224" s="0" t="n">
        <v>3.598333333</v>
      </c>
      <c r="F224" s="0" t="n">
        <v>0</v>
      </c>
      <c r="G224" s="0" t="n">
        <v>0</v>
      </c>
      <c r="H224" s="0" t="n">
        <v>0</v>
      </c>
      <c r="I224" s="0" t="n">
        <v>0</v>
      </c>
      <c r="J224" s="0" t="n">
        <v>0</v>
      </c>
      <c r="K224" s="0" t="n">
        <v>1</v>
      </c>
      <c r="L224" s="0" t="n">
        <v>4</v>
      </c>
    </row>
    <row r="225" customFormat="false" ht="15" hidden="false" customHeight="false" outlineLevel="0" collapsed="false">
      <c r="A225" s="5" t="n">
        <v>40323</v>
      </c>
      <c r="B225" s="6" t="s">
        <v>42</v>
      </c>
      <c r="C225" s="6" t="s">
        <v>55</v>
      </c>
      <c r="D225" s="0" t="n">
        <v>173.888274159049</v>
      </c>
      <c r="E225" s="0" t="n">
        <v>3.598333333</v>
      </c>
      <c r="F225" s="0" t="n">
        <v>0</v>
      </c>
      <c r="G225" s="0" t="n">
        <v>0</v>
      </c>
      <c r="H225" s="0" t="n">
        <v>0</v>
      </c>
      <c r="I225" s="0" t="n">
        <v>0</v>
      </c>
      <c r="J225" s="0" t="n">
        <v>0</v>
      </c>
      <c r="K225" s="0" t="n">
        <v>1</v>
      </c>
      <c r="L225" s="0" t="n">
        <v>4</v>
      </c>
    </row>
    <row r="226" customFormat="false" ht="15" hidden="false" customHeight="false" outlineLevel="0" collapsed="false">
      <c r="A226" s="5" t="n">
        <v>40330</v>
      </c>
      <c r="B226" s="6" t="s">
        <v>42</v>
      </c>
      <c r="C226" s="6" t="s">
        <v>55</v>
      </c>
      <c r="D226" s="0" t="n">
        <v>253.958335136955</v>
      </c>
      <c r="E226" s="0" t="n">
        <v>3.598333333</v>
      </c>
      <c r="F226" s="0" t="n">
        <v>0</v>
      </c>
      <c r="G226" s="0" t="n">
        <v>0</v>
      </c>
      <c r="H226" s="0" t="n">
        <v>0</v>
      </c>
      <c r="I226" s="0" t="n">
        <v>0</v>
      </c>
      <c r="J226" s="0" t="n">
        <v>0</v>
      </c>
      <c r="K226" s="0" t="n">
        <v>1</v>
      </c>
      <c r="L226" s="0" t="n">
        <v>4</v>
      </c>
    </row>
    <row r="227" customFormat="false" ht="15" hidden="false" customHeight="false" outlineLevel="0" collapsed="false">
      <c r="A227" s="5" t="n">
        <v>40337</v>
      </c>
      <c r="B227" s="6" t="s">
        <v>42</v>
      </c>
      <c r="C227" s="6" t="s">
        <v>55</v>
      </c>
      <c r="D227" s="0" t="n">
        <v>236.749147688526</v>
      </c>
      <c r="E227" s="0" t="n">
        <v>4.056666667</v>
      </c>
      <c r="F227" s="0" t="n">
        <v>0</v>
      </c>
      <c r="G227" s="0" t="n">
        <v>0</v>
      </c>
      <c r="H227" s="0" t="n">
        <v>0</v>
      </c>
      <c r="I227" s="0" t="n">
        <v>0</v>
      </c>
      <c r="J227" s="0" t="n">
        <v>0</v>
      </c>
      <c r="K227" s="0" t="n">
        <v>1</v>
      </c>
      <c r="L227" s="0" t="n">
        <v>4</v>
      </c>
    </row>
    <row r="228" customFormat="false" ht="15" hidden="false" customHeight="false" outlineLevel="0" collapsed="false">
      <c r="A228" s="5" t="n">
        <v>40344</v>
      </c>
      <c r="B228" s="6" t="s">
        <v>42</v>
      </c>
      <c r="C228" s="6" t="s">
        <v>55</v>
      </c>
      <c r="D228" s="0" t="n">
        <v>269.814245299884</v>
      </c>
      <c r="E228" s="0" t="n">
        <v>4.056666667</v>
      </c>
      <c r="F228" s="0" t="n">
        <v>0</v>
      </c>
      <c r="G228" s="0" t="n">
        <v>0</v>
      </c>
      <c r="H228" s="0" t="n">
        <v>0</v>
      </c>
      <c r="I228" s="0" t="n">
        <v>0</v>
      </c>
      <c r="J228" s="0" t="n">
        <v>0</v>
      </c>
      <c r="K228" s="0" t="n">
        <v>1</v>
      </c>
      <c r="L228" s="0" t="n">
        <v>4</v>
      </c>
    </row>
    <row r="229" customFormat="false" ht="15" hidden="false" customHeight="false" outlineLevel="0" collapsed="false">
      <c r="A229" s="5" t="n">
        <v>40351</v>
      </c>
      <c r="B229" s="6" t="s">
        <v>42</v>
      </c>
      <c r="C229" s="6" t="s">
        <v>55</v>
      </c>
      <c r="D229" s="0" t="n">
        <v>348.925560564987</v>
      </c>
      <c r="E229" s="0" t="n">
        <v>4.056666667</v>
      </c>
      <c r="F229" s="0" t="n">
        <v>0</v>
      </c>
      <c r="G229" s="0" t="n">
        <v>0</v>
      </c>
      <c r="H229" s="0" t="n">
        <v>1</v>
      </c>
      <c r="I229" s="0" t="n">
        <v>0</v>
      </c>
      <c r="J229" s="0" t="n">
        <v>0</v>
      </c>
      <c r="K229" s="0" t="n">
        <v>1</v>
      </c>
      <c r="L229" s="0" t="n">
        <v>4</v>
      </c>
    </row>
    <row r="230" customFormat="false" ht="15" hidden="false" customHeight="false" outlineLevel="0" collapsed="false">
      <c r="A230" s="5" t="n">
        <v>40358</v>
      </c>
      <c r="B230" s="6" t="s">
        <v>42</v>
      </c>
      <c r="C230" s="6" t="s">
        <v>55</v>
      </c>
      <c r="D230" s="0" t="n">
        <v>243.088110961491</v>
      </c>
      <c r="E230" s="0" t="n">
        <v>4.056666667</v>
      </c>
      <c r="F230" s="0" t="n">
        <v>0</v>
      </c>
      <c r="G230" s="0" t="n">
        <v>0</v>
      </c>
      <c r="H230" s="0" t="n">
        <v>0</v>
      </c>
      <c r="I230" s="0" t="n">
        <v>1</v>
      </c>
      <c r="J230" s="0" t="n">
        <v>0</v>
      </c>
      <c r="K230" s="0" t="n">
        <v>1</v>
      </c>
      <c r="L230" s="0" t="n">
        <v>4</v>
      </c>
    </row>
    <row r="231" customFormat="false" ht="15" hidden="false" customHeight="false" outlineLevel="0" collapsed="false">
      <c r="A231" s="5" t="n">
        <v>40365</v>
      </c>
      <c r="B231" s="6" t="s">
        <v>42</v>
      </c>
      <c r="C231" s="6" t="s">
        <v>55</v>
      </c>
      <c r="D231" s="0" t="n">
        <v>273.532252539151</v>
      </c>
      <c r="E231" s="0" t="n">
        <v>3.711666667</v>
      </c>
      <c r="F231" s="0" t="n">
        <v>0</v>
      </c>
      <c r="G231" s="0" t="n">
        <v>0</v>
      </c>
      <c r="H231" s="0" t="n">
        <v>0</v>
      </c>
      <c r="I231" s="0" t="n">
        <v>1</v>
      </c>
      <c r="J231" s="0" t="n">
        <v>0</v>
      </c>
      <c r="K231" s="0" t="n">
        <v>1</v>
      </c>
      <c r="L231" s="0" t="n">
        <v>4</v>
      </c>
    </row>
    <row r="232" customFormat="false" ht="15" hidden="false" customHeight="false" outlineLevel="0" collapsed="false">
      <c r="A232" s="5" t="n">
        <v>40372</v>
      </c>
      <c r="B232" s="6" t="s">
        <v>42</v>
      </c>
      <c r="C232" s="6" t="s">
        <v>55</v>
      </c>
      <c r="D232" s="0" t="n">
        <v>286.31471586877</v>
      </c>
      <c r="E232" s="0" t="n">
        <v>3.711666667</v>
      </c>
      <c r="F232" s="0" t="n">
        <v>0</v>
      </c>
      <c r="G232" s="0" t="n">
        <v>0</v>
      </c>
      <c r="H232" s="0" t="n">
        <v>0</v>
      </c>
      <c r="I232" s="0" t="n">
        <v>1</v>
      </c>
      <c r="J232" s="0" t="n">
        <v>0</v>
      </c>
      <c r="K232" s="0" t="n">
        <v>1</v>
      </c>
      <c r="L232" s="0" t="n">
        <v>4</v>
      </c>
    </row>
    <row r="233" customFormat="false" ht="15" hidden="false" customHeight="false" outlineLevel="0" collapsed="false">
      <c r="A233" s="5" t="n">
        <v>40302</v>
      </c>
      <c r="B233" s="6" t="s">
        <v>42</v>
      </c>
      <c r="C233" s="6" t="s">
        <v>56</v>
      </c>
      <c r="D233" s="0" t="n">
        <v>156.630998610753</v>
      </c>
      <c r="E233" s="0" t="n">
        <v>3.904285714</v>
      </c>
      <c r="F233" s="0" t="n">
        <v>0</v>
      </c>
      <c r="G233" s="0" t="n">
        <v>0</v>
      </c>
      <c r="H233" s="0" t="n">
        <v>0</v>
      </c>
      <c r="I233" s="0" t="n">
        <v>0</v>
      </c>
      <c r="J233" s="0" t="n">
        <v>0</v>
      </c>
      <c r="K233" s="0" t="n">
        <v>4</v>
      </c>
      <c r="L233" s="0" t="n">
        <v>2</v>
      </c>
    </row>
    <row r="234" customFormat="false" ht="15" hidden="false" customHeight="false" outlineLevel="0" collapsed="false">
      <c r="A234" s="5" t="n">
        <v>40309</v>
      </c>
      <c r="B234" s="6" t="s">
        <v>42</v>
      </c>
      <c r="C234" s="6" t="s">
        <v>56</v>
      </c>
      <c r="D234" s="0" t="n">
        <v>170.644435794475</v>
      </c>
      <c r="E234" s="0" t="n">
        <v>3.634444444</v>
      </c>
      <c r="F234" s="0" t="n">
        <v>0</v>
      </c>
      <c r="G234" s="0" t="n">
        <v>0</v>
      </c>
      <c r="H234" s="0" t="n">
        <v>0</v>
      </c>
      <c r="I234" s="0" t="n">
        <v>0</v>
      </c>
      <c r="J234" s="0" t="n">
        <v>0</v>
      </c>
      <c r="K234" s="0" t="n">
        <v>4</v>
      </c>
      <c r="L234" s="0" t="n">
        <v>2</v>
      </c>
    </row>
    <row r="235" customFormat="false" ht="15" hidden="false" customHeight="false" outlineLevel="0" collapsed="false">
      <c r="A235" s="5" t="n">
        <v>40316</v>
      </c>
      <c r="B235" s="6" t="s">
        <v>42</v>
      </c>
      <c r="C235" s="6" t="s">
        <v>56</v>
      </c>
      <c r="D235" s="0" t="n">
        <v>186.397739779014</v>
      </c>
      <c r="E235" s="0" t="n">
        <v>3.34</v>
      </c>
      <c r="F235" s="0" t="n">
        <v>0</v>
      </c>
      <c r="G235" s="0" t="n">
        <v>0</v>
      </c>
      <c r="H235" s="0" t="n">
        <v>0</v>
      </c>
      <c r="I235" s="0" t="n">
        <v>0</v>
      </c>
      <c r="J235" s="0" t="n">
        <v>0</v>
      </c>
      <c r="K235" s="0" t="n">
        <v>4</v>
      </c>
      <c r="L235" s="0" t="n">
        <v>2</v>
      </c>
    </row>
    <row r="236" customFormat="false" ht="15" hidden="false" customHeight="false" outlineLevel="0" collapsed="false">
      <c r="A236" s="5" t="n">
        <v>40323</v>
      </c>
      <c r="B236" s="6" t="s">
        <v>42</v>
      </c>
      <c r="C236" s="6" t="s">
        <v>56</v>
      </c>
      <c r="D236" s="0" t="n">
        <v>250.876474766929</v>
      </c>
      <c r="E236" s="0" t="n">
        <v>3.412222222</v>
      </c>
      <c r="F236" s="0" t="n">
        <v>0</v>
      </c>
      <c r="G236" s="0" t="n">
        <v>0</v>
      </c>
      <c r="H236" s="0" t="n">
        <v>0</v>
      </c>
      <c r="I236" s="0" t="n">
        <v>0</v>
      </c>
      <c r="J236" s="0" t="n">
        <v>0</v>
      </c>
      <c r="K236" s="0" t="n">
        <v>4</v>
      </c>
      <c r="L236" s="0" t="n">
        <v>2</v>
      </c>
    </row>
    <row r="237" customFormat="false" ht="15" hidden="false" customHeight="false" outlineLevel="0" collapsed="false">
      <c r="A237" s="5" t="n">
        <v>40330</v>
      </c>
      <c r="B237" s="6" t="s">
        <v>42</v>
      </c>
      <c r="C237" s="6" t="s">
        <v>56</v>
      </c>
      <c r="D237" s="0" t="n">
        <v>199.689279434056</v>
      </c>
      <c r="E237" s="0" t="n">
        <v>3.404285714</v>
      </c>
      <c r="F237" s="0" t="n">
        <v>0</v>
      </c>
      <c r="G237" s="0" t="n">
        <v>0</v>
      </c>
      <c r="H237" s="0" t="n">
        <v>0</v>
      </c>
      <c r="I237" s="0" t="n">
        <v>0</v>
      </c>
      <c r="J237" s="0" t="n">
        <v>0</v>
      </c>
      <c r="K237" s="0" t="n">
        <v>4</v>
      </c>
      <c r="L237" s="0" t="n">
        <v>2</v>
      </c>
    </row>
    <row r="238" customFormat="false" ht="15" hidden="false" customHeight="false" outlineLevel="0" collapsed="false">
      <c r="A238" s="5" t="n">
        <v>40337</v>
      </c>
      <c r="B238" s="6" t="s">
        <v>42</v>
      </c>
      <c r="C238" s="6" t="s">
        <v>56</v>
      </c>
      <c r="D238" s="0" t="n">
        <v>148.634933569915</v>
      </c>
      <c r="E238" s="0" t="n">
        <v>3.904285714</v>
      </c>
      <c r="F238" s="0" t="n">
        <v>0</v>
      </c>
      <c r="G238" s="0" t="n">
        <v>0</v>
      </c>
      <c r="H238" s="0" t="n">
        <v>0</v>
      </c>
      <c r="I238" s="0" t="n">
        <v>0</v>
      </c>
      <c r="J238" s="0" t="n">
        <v>0</v>
      </c>
      <c r="K238" s="0" t="n">
        <v>4</v>
      </c>
      <c r="L238" s="0" t="n">
        <v>2</v>
      </c>
    </row>
    <row r="239" customFormat="false" ht="15" hidden="false" customHeight="false" outlineLevel="0" collapsed="false">
      <c r="A239" s="5" t="n">
        <v>40344</v>
      </c>
      <c r="B239" s="6" t="s">
        <v>42</v>
      </c>
      <c r="C239" s="6" t="s">
        <v>56</v>
      </c>
      <c r="D239" s="0" t="n">
        <v>320.939901374364</v>
      </c>
      <c r="E239" s="0" t="n">
        <v>3.904285714</v>
      </c>
      <c r="F239" s="0" t="n">
        <v>0</v>
      </c>
      <c r="G239" s="0" t="n">
        <v>0</v>
      </c>
      <c r="H239" s="0" t="n">
        <v>0</v>
      </c>
      <c r="I239" s="0" t="n">
        <v>0</v>
      </c>
      <c r="J239" s="0" t="n">
        <v>0</v>
      </c>
      <c r="K239" s="0" t="n">
        <v>4</v>
      </c>
      <c r="L239" s="0" t="n">
        <v>2</v>
      </c>
    </row>
    <row r="240" customFormat="false" ht="15" hidden="false" customHeight="false" outlineLevel="0" collapsed="false">
      <c r="A240" s="5" t="n">
        <v>40351</v>
      </c>
      <c r="B240" s="6" t="s">
        <v>42</v>
      </c>
      <c r="C240" s="6" t="s">
        <v>56</v>
      </c>
      <c r="D240" s="0" t="n">
        <v>187.727491783517</v>
      </c>
      <c r="E240" s="0" t="n">
        <v>3.904285714</v>
      </c>
      <c r="F240" s="0" t="n">
        <v>0</v>
      </c>
      <c r="G240" s="0" t="n">
        <v>0</v>
      </c>
      <c r="H240" s="0" t="n">
        <v>0</v>
      </c>
      <c r="I240" s="0" t="n">
        <v>0</v>
      </c>
      <c r="J240" s="0" t="n">
        <v>0</v>
      </c>
      <c r="K240" s="0" t="n">
        <v>4</v>
      </c>
      <c r="L240" s="0" t="n">
        <v>2</v>
      </c>
    </row>
    <row r="241" customFormat="false" ht="15" hidden="false" customHeight="false" outlineLevel="0" collapsed="false">
      <c r="A241" s="5" t="n">
        <v>40358</v>
      </c>
      <c r="B241" s="6" t="s">
        <v>42</v>
      </c>
      <c r="C241" s="6" t="s">
        <v>56</v>
      </c>
      <c r="D241" s="0" t="n">
        <v>235.126725750206</v>
      </c>
      <c r="E241" s="0" t="n">
        <v>3.904285714</v>
      </c>
      <c r="F241" s="0" t="n">
        <v>0</v>
      </c>
      <c r="G241" s="0" t="n">
        <v>0</v>
      </c>
      <c r="H241" s="0" t="n">
        <v>0</v>
      </c>
      <c r="I241" s="0" t="n">
        <v>0</v>
      </c>
      <c r="J241" s="0" t="n">
        <v>0</v>
      </c>
      <c r="K241" s="0" t="n">
        <v>4</v>
      </c>
      <c r="L241" s="0" t="n">
        <v>2</v>
      </c>
    </row>
    <row r="242" customFormat="false" ht="15" hidden="false" customHeight="false" outlineLevel="0" collapsed="false">
      <c r="A242" s="5" t="n">
        <v>40365</v>
      </c>
      <c r="B242" s="6" t="s">
        <v>42</v>
      </c>
      <c r="C242" s="6" t="s">
        <v>56</v>
      </c>
      <c r="D242" s="0" t="n">
        <v>215.643490137009</v>
      </c>
      <c r="E242" s="0" t="n">
        <v>3.608571429</v>
      </c>
      <c r="F242" s="0" t="n">
        <v>0</v>
      </c>
      <c r="G242" s="0" t="n">
        <v>0</v>
      </c>
      <c r="H242" s="0" t="n">
        <v>0</v>
      </c>
      <c r="I242" s="0" t="n">
        <v>0</v>
      </c>
      <c r="J242" s="0" t="n">
        <v>0</v>
      </c>
      <c r="K242" s="0" t="n">
        <v>4</v>
      </c>
      <c r="L242" s="0" t="n">
        <v>2</v>
      </c>
    </row>
    <row r="243" customFormat="false" ht="15" hidden="false" customHeight="false" outlineLevel="0" collapsed="false">
      <c r="A243" s="5" t="n">
        <v>40372</v>
      </c>
      <c r="B243" s="6" t="s">
        <v>42</v>
      </c>
      <c r="C243" s="6" t="s">
        <v>56</v>
      </c>
      <c r="D243" s="0" t="n">
        <v>215.026029483102</v>
      </c>
      <c r="E243" s="0" t="n">
        <v>3.608571429</v>
      </c>
      <c r="F243" s="0" t="n">
        <v>0</v>
      </c>
      <c r="G243" s="0" t="n">
        <v>0</v>
      </c>
      <c r="H243" s="0" t="n">
        <v>0</v>
      </c>
      <c r="I243" s="0" t="n">
        <v>0</v>
      </c>
      <c r="J243" s="0" t="n">
        <v>0</v>
      </c>
      <c r="K243" s="0" t="n">
        <v>4</v>
      </c>
      <c r="L243" s="0" t="n">
        <v>2</v>
      </c>
    </row>
    <row r="244" customFormat="false" ht="15" hidden="false" customHeight="false" outlineLevel="0" collapsed="false">
      <c r="A244" s="5" t="n">
        <v>40302</v>
      </c>
      <c r="B244" s="6" t="s">
        <v>42</v>
      </c>
      <c r="C244" s="6" t="s">
        <v>57</v>
      </c>
      <c r="D244" s="0" t="n">
        <v>163.578836853248</v>
      </c>
      <c r="E244" s="0" t="n">
        <v>4.137142857</v>
      </c>
      <c r="F244" s="0" t="n">
        <v>0</v>
      </c>
      <c r="G244" s="0" t="n">
        <v>0</v>
      </c>
      <c r="H244" s="0" t="n">
        <v>0</v>
      </c>
      <c r="I244" s="0" t="n">
        <v>0</v>
      </c>
      <c r="J244" s="0" t="n">
        <v>0</v>
      </c>
      <c r="K244" s="0" t="n">
        <v>0</v>
      </c>
      <c r="L244" s="0" t="n">
        <v>3</v>
      </c>
    </row>
    <row r="245" customFormat="false" ht="15" hidden="false" customHeight="false" outlineLevel="0" collapsed="false">
      <c r="A245" s="5" t="n">
        <v>40309</v>
      </c>
      <c r="B245" s="6" t="s">
        <v>42</v>
      </c>
      <c r="C245" s="6" t="s">
        <v>57</v>
      </c>
      <c r="D245" s="0" t="n">
        <v>240.142838733714</v>
      </c>
      <c r="E245" s="0" t="n">
        <v>3.74</v>
      </c>
      <c r="F245" s="0" t="n">
        <v>0</v>
      </c>
      <c r="G245" s="0" t="n">
        <v>0</v>
      </c>
      <c r="H245" s="0" t="n">
        <v>0</v>
      </c>
      <c r="I245" s="0" t="n">
        <v>0</v>
      </c>
      <c r="J245" s="0" t="n">
        <v>0</v>
      </c>
      <c r="K245" s="0" t="n">
        <v>0</v>
      </c>
      <c r="L245" s="0" t="n">
        <v>3</v>
      </c>
    </row>
    <row r="246" customFormat="false" ht="15" hidden="false" customHeight="false" outlineLevel="0" collapsed="false">
      <c r="A246" s="5" t="n">
        <v>40316</v>
      </c>
      <c r="B246" s="6" t="s">
        <v>42</v>
      </c>
      <c r="C246" s="6" t="s">
        <v>57</v>
      </c>
      <c r="D246" s="0" t="n">
        <v>173.964355680268</v>
      </c>
      <c r="E246" s="0" t="n">
        <v>3.656666667</v>
      </c>
      <c r="F246" s="0" t="n">
        <v>0</v>
      </c>
      <c r="G246" s="0" t="n">
        <v>0</v>
      </c>
      <c r="H246" s="0" t="n">
        <v>0</v>
      </c>
      <c r="I246" s="0" t="n">
        <v>0</v>
      </c>
      <c r="J246" s="0" t="n">
        <v>0</v>
      </c>
      <c r="K246" s="0" t="n">
        <v>0</v>
      </c>
      <c r="L246" s="0" t="n">
        <v>3</v>
      </c>
    </row>
    <row r="247" customFormat="false" ht="15" hidden="false" customHeight="false" outlineLevel="0" collapsed="false">
      <c r="A247" s="5" t="n">
        <v>40323</v>
      </c>
      <c r="B247" s="6" t="s">
        <v>42</v>
      </c>
      <c r="C247" s="6" t="s">
        <v>57</v>
      </c>
      <c r="D247" s="0" t="n">
        <v>208.725918546614</v>
      </c>
      <c r="E247" s="0" t="n">
        <v>3.34</v>
      </c>
      <c r="F247" s="0" t="n">
        <v>0</v>
      </c>
      <c r="G247" s="0" t="n">
        <v>0</v>
      </c>
      <c r="H247" s="0" t="n">
        <v>0</v>
      </c>
      <c r="I247" s="0" t="n">
        <v>0</v>
      </c>
      <c r="J247" s="0" t="n">
        <v>0</v>
      </c>
      <c r="K247" s="0" t="n">
        <v>0</v>
      </c>
      <c r="L247" s="0" t="n">
        <v>3</v>
      </c>
    </row>
    <row r="248" customFormat="false" ht="15" hidden="false" customHeight="false" outlineLevel="0" collapsed="false">
      <c r="A248" s="5" t="n">
        <v>40330</v>
      </c>
      <c r="B248" s="6" t="s">
        <v>42</v>
      </c>
      <c r="C248" s="6" t="s">
        <v>57</v>
      </c>
      <c r="D248" s="0" t="n">
        <v>241.912989632067</v>
      </c>
      <c r="E248" s="0" t="n">
        <v>3.480909091</v>
      </c>
      <c r="F248" s="0" t="n">
        <v>0</v>
      </c>
      <c r="G248" s="0" t="n">
        <v>0</v>
      </c>
      <c r="H248" s="0" t="n">
        <v>0</v>
      </c>
      <c r="I248" s="0" t="n">
        <v>0</v>
      </c>
      <c r="J248" s="0" t="n">
        <v>0</v>
      </c>
      <c r="K248" s="0" t="n">
        <v>0</v>
      </c>
      <c r="L248" s="0" t="n">
        <v>3</v>
      </c>
    </row>
    <row r="249" customFormat="false" ht="15" hidden="false" customHeight="false" outlineLevel="0" collapsed="false">
      <c r="A249" s="5" t="n">
        <v>40337</v>
      </c>
      <c r="B249" s="6" t="s">
        <v>42</v>
      </c>
      <c r="C249" s="6" t="s">
        <v>57</v>
      </c>
      <c r="D249" s="0" t="n">
        <v>199.37255472801</v>
      </c>
      <c r="E249" s="0" t="n">
        <v>3.735454545</v>
      </c>
      <c r="F249" s="0" t="n">
        <v>0</v>
      </c>
      <c r="G249" s="0" t="n">
        <v>0</v>
      </c>
      <c r="H249" s="0" t="n">
        <v>0</v>
      </c>
      <c r="I249" s="0" t="n">
        <v>0</v>
      </c>
      <c r="J249" s="0" t="n">
        <v>0</v>
      </c>
      <c r="K249" s="0" t="n">
        <v>0</v>
      </c>
      <c r="L249" s="0" t="n">
        <v>3</v>
      </c>
    </row>
    <row r="250" customFormat="false" ht="15" hidden="false" customHeight="false" outlineLevel="0" collapsed="false">
      <c r="A250" s="5" t="n">
        <v>40344</v>
      </c>
      <c r="B250" s="6" t="s">
        <v>42</v>
      </c>
      <c r="C250" s="6" t="s">
        <v>57</v>
      </c>
      <c r="D250" s="0" t="n">
        <v>128.159428314179</v>
      </c>
      <c r="E250" s="0" t="n">
        <v>3.735454545</v>
      </c>
      <c r="F250" s="0" t="n">
        <v>0</v>
      </c>
      <c r="G250" s="0" t="n">
        <v>0</v>
      </c>
      <c r="H250" s="0" t="n">
        <v>0</v>
      </c>
      <c r="I250" s="0" t="n">
        <v>0</v>
      </c>
      <c r="J250" s="0" t="n">
        <v>0</v>
      </c>
      <c r="K250" s="0" t="n">
        <v>0</v>
      </c>
      <c r="L250" s="0" t="n">
        <v>3</v>
      </c>
    </row>
    <row r="251" customFormat="false" ht="15" hidden="false" customHeight="false" outlineLevel="0" collapsed="false">
      <c r="A251" s="5" t="n">
        <v>40351</v>
      </c>
      <c r="B251" s="6" t="s">
        <v>42</v>
      </c>
      <c r="C251" s="6" t="s">
        <v>57</v>
      </c>
      <c r="D251" s="0" t="n">
        <v>294.961577289201</v>
      </c>
      <c r="E251" s="0" t="n">
        <v>3.735454545</v>
      </c>
      <c r="F251" s="0" t="n">
        <v>0</v>
      </c>
      <c r="G251" s="0" t="n">
        <v>0</v>
      </c>
      <c r="H251" s="0" t="n">
        <v>1</v>
      </c>
      <c r="I251" s="0" t="n">
        <v>0</v>
      </c>
      <c r="J251" s="0" t="n">
        <v>0</v>
      </c>
      <c r="K251" s="0" t="n">
        <v>0</v>
      </c>
      <c r="L251" s="0" t="n">
        <v>3</v>
      </c>
    </row>
    <row r="252" customFormat="false" ht="15" hidden="false" customHeight="false" outlineLevel="0" collapsed="false">
      <c r="A252" s="5" t="n">
        <v>40358</v>
      </c>
      <c r="B252" s="6" t="s">
        <v>42</v>
      </c>
      <c r="C252" s="6" t="s">
        <v>57</v>
      </c>
      <c r="D252" s="0" t="n">
        <v>174.590300840673</v>
      </c>
      <c r="E252" s="0" t="n">
        <v>3.829</v>
      </c>
      <c r="F252" s="0" t="n">
        <v>0</v>
      </c>
      <c r="G252" s="0" t="n">
        <v>0</v>
      </c>
      <c r="H252" s="0" t="n">
        <v>0</v>
      </c>
      <c r="I252" s="0" t="n">
        <v>1</v>
      </c>
      <c r="J252" s="0" t="n">
        <v>0</v>
      </c>
      <c r="K252" s="0" t="n">
        <v>0</v>
      </c>
      <c r="L252" s="0" t="n">
        <v>3</v>
      </c>
    </row>
    <row r="253" customFormat="false" ht="15" hidden="false" customHeight="false" outlineLevel="0" collapsed="false">
      <c r="A253" s="5" t="n">
        <v>40365</v>
      </c>
      <c r="B253" s="6" t="s">
        <v>42</v>
      </c>
      <c r="C253" s="6" t="s">
        <v>57</v>
      </c>
      <c r="D253" s="0" t="n">
        <v>336.473445634533</v>
      </c>
      <c r="E253" s="0" t="n">
        <v>3.359090909</v>
      </c>
      <c r="F253" s="0" t="n">
        <v>0</v>
      </c>
      <c r="G253" s="0" t="n">
        <v>0</v>
      </c>
      <c r="H253" s="0" t="n">
        <v>0</v>
      </c>
      <c r="I253" s="0" t="n">
        <v>1</v>
      </c>
      <c r="J253" s="0" t="n">
        <v>0</v>
      </c>
      <c r="K253" s="0" t="n">
        <v>0</v>
      </c>
      <c r="L253" s="0" t="n">
        <v>3</v>
      </c>
    </row>
    <row r="254" customFormat="false" ht="15" hidden="false" customHeight="false" outlineLevel="0" collapsed="false">
      <c r="A254" s="5" t="n">
        <v>40372</v>
      </c>
      <c r="B254" s="6" t="s">
        <v>42</v>
      </c>
      <c r="C254" s="6" t="s">
        <v>57</v>
      </c>
      <c r="D254" s="0" t="n">
        <v>307.939977909224</v>
      </c>
      <c r="E254" s="0" t="n">
        <v>3.359090909</v>
      </c>
      <c r="F254" s="0" t="n">
        <v>0</v>
      </c>
      <c r="G254" s="0" t="n">
        <v>0</v>
      </c>
      <c r="H254" s="0" t="n">
        <v>0</v>
      </c>
      <c r="I254" s="0" t="n">
        <v>1</v>
      </c>
      <c r="J254" s="0" t="n">
        <v>0</v>
      </c>
      <c r="K254" s="0" t="n">
        <v>0</v>
      </c>
      <c r="L254" s="0" t="n">
        <v>3</v>
      </c>
    </row>
    <row r="255" customFormat="false" ht="15" hidden="false" customHeight="false" outlineLevel="0" collapsed="false">
      <c r="A255" s="5" t="n">
        <v>40302</v>
      </c>
      <c r="B255" s="6" t="s">
        <v>42</v>
      </c>
      <c r="C255" s="6" t="s">
        <v>58</v>
      </c>
      <c r="D255" s="0" t="n">
        <v>171.965814015178</v>
      </c>
      <c r="E255" s="0" t="n">
        <v>3.904285714</v>
      </c>
      <c r="F255" s="0" t="n">
        <v>0</v>
      </c>
      <c r="G255" s="0" t="n">
        <v>0</v>
      </c>
      <c r="H255" s="0" t="n">
        <v>0</v>
      </c>
      <c r="I255" s="0" t="n">
        <v>0</v>
      </c>
      <c r="J255" s="0" t="n">
        <v>0</v>
      </c>
      <c r="K255" s="0" t="n">
        <v>1</v>
      </c>
      <c r="L255" s="0" t="n">
        <v>4</v>
      </c>
    </row>
    <row r="256" customFormat="false" ht="15" hidden="false" customHeight="false" outlineLevel="0" collapsed="false">
      <c r="A256" s="5" t="n">
        <v>40309</v>
      </c>
      <c r="B256" s="6" t="s">
        <v>42</v>
      </c>
      <c r="C256" s="6" t="s">
        <v>58</v>
      </c>
      <c r="D256" s="0" t="n">
        <v>254.497956260215</v>
      </c>
      <c r="E256" s="0" t="n">
        <v>3.904285714</v>
      </c>
      <c r="F256" s="0" t="n">
        <v>0</v>
      </c>
      <c r="G256" s="0" t="n">
        <v>0</v>
      </c>
      <c r="H256" s="0" t="n">
        <v>0</v>
      </c>
      <c r="I256" s="0" t="n">
        <v>0</v>
      </c>
      <c r="J256" s="0" t="n">
        <v>0</v>
      </c>
      <c r="K256" s="0" t="n">
        <v>1</v>
      </c>
      <c r="L256" s="0" t="n">
        <v>4</v>
      </c>
    </row>
    <row r="257" customFormat="false" ht="15" hidden="false" customHeight="false" outlineLevel="0" collapsed="false">
      <c r="A257" s="5" t="n">
        <v>40316</v>
      </c>
      <c r="B257" s="6" t="s">
        <v>42</v>
      </c>
      <c r="C257" s="6" t="s">
        <v>58</v>
      </c>
      <c r="D257" s="0" t="n">
        <v>169.60365591752</v>
      </c>
      <c r="E257" s="0" t="n">
        <v>3.34</v>
      </c>
      <c r="F257" s="0" t="n">
        <v>0</v>
      </c>
      <c r="G257" s="0" t="n">
        <v>0</v>
      </c>
      <c r="H257" s="0" t="n">
        <v>0</v>
      </c>
      <c r="I257" s="0" t="n">
        <v>0</v>
      </c>
      <c r="J257" s="0" t="n">
        <v>0</v>
      </c>
      <c r="K257" s="0" t="n">
        <v>1</v>
      </c>
      <c r="L257" s="0" t="n">
        <v>4</v>
      </c>
    </row>
    <row r="258" customFormat="false" ht="15" hidden="false" customHeight="false" outlineLevel="0" collapsed="false">
      <c r="A258" s="5" t="n">
        <v>40323</v>
      </c>
      <c r="B258" s="6" t="s">
        <v>42</v>
      </c>
      <c r="C258" s="6" t="s">
        <v>58</v>
      </c>
      <c r="D258" s="0" t="n">
        <v>128.236260088128</v>
      </c>
      <c r="E258" s="0" t="n">
        <v>3.34</v>
      </c>
      <c r="F258" s="0" t="n">
        <v>0</v>
      </c>
      <c r="G258" s="0" t="n">
        <v>0</v>
      </c>
      <c r="H258" s="0" t="n">
        <v>0</v>
      </c>
      <c r="I258" s="0" t="n">
        <v>0</v>
      </c>
      <c r="J258" s="0" t="n">
        <v>0</v>
      </c>
      <c r="K258" s="0" t="n">
        <v>1</v>
      </c>
      <c r="L258" s="0" t="n">
        <v>4</v>
      </c>
    </row>
    <row r="259" customFormat="false" ht="15" hidden="false" customHeight="false" outlineLevel="0" collapsed="false">
      <c r="A259" s="5" t="n">
        <v>40330</v>
      </c>
      <c r="B259" s="6" t="s">
        <v>42</v>
      </c>
      <c r="C259" s="6" t="s">
        <v>58</v>
      </c>
      <c r="D259" s="0" t="n">
        <v>220.518631217007</v>
      </c>
      <c r="E259" s="0" t="n">
        <v>3.34</v>
      </c>
      <c r="F259" s="0" t="n">
        <v>0</v>
      </c>
      <c r="G259" s="0" t="n">
        <v>0</v>
      </c>
      <c r="H259" s="0" t="n">
        <v>0</v>
      </c>
      <c r="I259" s="0" t="n">
        <v>0</v>
      </c>
      <c r="J259" s="0" t="n">
        <v>0</v>
      </c>
      <c r="K259" s="0" t="n">
        <v>1</v>
      </c>
      <c r="L259" s="0" t="n">
        <v>4</v>
      </c>
    </row>
    <row r="260" customFormat="false" ht="15" hidden="false" customHeight="false" outlineLevel="0" collapsed="false">
      <c r="A260" s="5" t="n">
        <v>40337</v>
      </c>
      <c r="B260" s="6" t="s">
        <v>42</v>
      </c>
      <c r="C260" s="6" t="s">
        <v>58</v>
      </c>
      <c r="D260" s="0" t="n">
        <v>262.89154945941</v>
      </c>
      <c r="E260" s="0" t="n">
        <v>3.54</v>
      </c>
      <c r="F260" s="0" t="n">
        <v>0</v>
      </c>
      <c r="G260" s="0" t="n">
        <v>0</v>
      </c>
      <c r="H260" s="0" t="n">
        <v>0</v>
      </c>
      <c r="I260" s="0" t="n">
        <v>0</v>
      </c>
      <c r="J260" s="0" t="n">
        <v>0</v>
      </c>
      <c r="K260" s="0" t="n">
        <v>1</v>
      </c>
      <c r="L260" s="0" t="n">
        <v>4</v>
      </c>
    </row>
    <row r="261" customFormat="false" ht="15" hidden="false" customHeight="false" outlineLevel="0" collapsed="false">
      <c r="A261" s="5" t="n">
        <v>40344</v>
      </c>
      <c r="B261" s="6" t="s">
        <v>42</v>
      </c>
      <c r="C261" s="6" t="s">
        <v>58</v>
      </c>
      <c r="D261" s="0" t="n">
        <v>309.220536109533</v>
      </c>
      <c r="E261" s="0" t="n">
        <v>3.54</v>
      </c>
      <c r="F261" s="0" t="n">
        <v>0</v>
      </c>
      <c r="G261" s="0" t="n">
        <v>0</v>
      </c>
      <c r="H261" s="0" t="n">
        <v>0</v>
      </c>
      <c r="I261" s="0" t="n">
        <v>0</v>
      </c>
      <c r="J261" s="0" t="n">
        <v>0</v>
      </c>
      <c r="K261" s="0" t="n">
        <v>1</v>
      </c>
      <c r="L261" s="0" t="n">
        <v>4</v>
      </c>
    </row>
    <row r="262" customFormat="false" ht="15" hidden="false" customHeight="false" outlineLevel="0" collapsed="false">
      <c r="A262" s="5" t="n">
        <v>40351</v>
      </c>
      <c r="B262" s="6" t="s">
        <v>42</v>
      </c>
      <c r="C262" s="6" t="s">
        <v>58</v>
      </c>
      <c r="D262" s="0" t="n">
        <v>243.5738441462</v>
      </c>
      <c r="E262" s="0" t="n">
        <v>3.54</v>
      </c>
      <c r="F262" s="0" t="n">
        <v>0</v>
      </c>
      <c r="G262" s="0" t="n">
        <v>0</v>
      </c>
      <c r="H262" s="0" t="n">
        <v>1</v>
      </c>
      <c r="I262" s="0" t="n">
        <v>0</v>
      </c>
      <c r="J262" s="0" t="n">
        <v>0</v>
      </c>
      <c r="K262" s="0" t="n">
        <v>1</v>
      </c>
      <c r="L262" s="0" t="n">
        <v>4</v>
      </c>
    </row>
    <row r="263" customFormat="false" ht="15" hidden="false" customHeight="false" outlineLevel="0" collapsed="false">
      <c r="A263" s="5" t="n">
        <v>40358</v>
      </c>
      <c r="B263" s="6" t="s">
        <v>42</v>
      </c>
      <c r="C263" s="6" t="s">
        <v>58</v>
      </c>
      <c r="D263" s="0" t="n">
        <v>234.534304834696</v>
      </c>
      <c r="E263" s="0" t="n">
        <v>3.54</v>
      </c>
      <c r="F263" s="0" t="n">
        <v>0</v>
      </c>
      <c r="G263" s="0" t="n">
        <v>0</v>
      </c>
      <c r="H263" s="0" t="n">
        <v>0</v>
      </c>
      <c r="I263" s="0" t="n">
        <v>1</v>
      </c>
      <c r="J263" s="0" t="n">
        <v>0</v>
      </c>
      <c r="K263" s="0" t="n">
        <v>1</v>
      </c>
      <c r="L263" s="0" t="n">
        <v>4</v>
      </c>
    </row>
    <row r="264" customFormat="false" ht="15" hidden="false" customHeight="false" outlineLevel="0" collapsed="false">
      <c r="A264" s="5" t="n">
        <v>40365</v>
      </c>
      <c r="B264" s="6" t="s">
        <v>42</v>
      </c>
      <c r="C264" s="6" t="s">
        <v>58</v>
      </c>
      <c r="D264" s="0" t="n">
        <v>323.54789319542</v>
      </c>
      <c r="E264" s="0" t="n">
        <v>3.126</v>
      </c>
      <c r="F264" s="0" t="n">
        <v>0</v>
      </c>
      <c r="G264" s="0" t="n">
        <v>0</v>
      </c>
      <c r="H264" s="0" t="n">
        <v>0</v>
      </c>
      <c r="I264" s="0" t="n">
        <v>1</v>
      </c>
      <c r="J264" s="0" t="n">
        <v>0</v>
      </c>
      <c r="K264" s="0" t="n">
        <v>1</v>
      </c>
      <c r="L264" s="0" t="n">
        <v>4</v>
      </c>
    </row>
    <row r="265" customFormat="false" ht="15" hidden="false" customHeight="false" outlineLevel="0" collapsed="false">
      <c r="A265" s="5" t="n">
        <v>40372</v>
      </c>
      <c r="B265" s="6" t="s">
        <v>42</v>
      </c>
      <c r="C265" s="6" t="s">
        <v>58</v>
      </c>
      <c r="D265" s="0" t="n">
        <v>298.390080780801</v>
      </c>
      <c r="E265" s="0" t="n">
        <v>3.126</v>
      </c>
      <c r="F265" s="0" t="n">
        <v>0</v>
      </c>
      <c r="G265" s="0" t="n">
        <v>0</v>
      </c>
      <c r="H265" s="0" t="n">
        <v>0</v>
      </c>
      <c r="I265" s="0" t="n">
        <v>1</v>
      </c>
      <c r="J265" s="0" t="n">
        <v>0</v>
      </c>
      <c r="K265" s="0" t="n">
        <v>1</v>
      </c>
      <c r="L265" s="0" t="n">
        <v>4</v>
      </c>
    </row>
    <row r="266" customFormat="false" ht="15" hidden="false" customHeight="false" outlineLevel="0" collapsed="false">
      <c r="A266" s="5" t="n">
        <v>40302</v>
      </c>
      <c r="B266" s="6" t="s">
        <v>42</v>
      </c>
      <c r="C266" s="6" t="s">
        <v>59</v>
      </c>
      <c r="D266" s="0" t="n">
        <v>202.68989714049</v>
      </c>
      <c r="E266" s="0" t="n">
        <v>3.904285714</v>
      </c>
      <c r="F266" s="0" t="n">
        <v>0</v>
      </c>
      <c r="G266" s="0" t="n">
        <v>0</v>
      </c>
      <c r="H266" s="0" t="n">
        <v>0</v>
      </c>
      <c r="I266" s="0" t="n">
        <v>0</v>
      </c>
      <c r="J266" s="0" t="n">
        <v>0</v>
      </c>
      <c r="K266" s="0" t="n">
        <v>0</v>
      </c>
      <c r="L266" s="0" t="n">
        <v>1</v>
      </c>
    </row>
    <row r="267" customFormat="false" ht="15" hidden="false" customHeight="false" outlineLevel="0" collapsed="false">
      <c r="A267" s="5" t="n">
        <v>40309</v>
      </c>
      <c r="B267" s="6" t="s">
        <v>42</v>
      </c>
      <c r="C267" s="6" t="s">
        <v>59</v>
      </c>
      <c r="D267" s="0" t="n">
        <v>277.152100378949</v>
      </c>
      <c r="E267" s="0" t="n">
        <v>3.904285714</v>
      </c>
      <c r="F267" s="0" t="n">
        <v>0</v>
      </c>
      <c r="G267" s="0" t="n">
        <v>0</v>
      </c>
      <c r="H267" s="0" t="n">
        <v>0</v>
      </c>
      <c r="I267" s="0" t="n">
        <v>0</v>
      </c>
      <c r="J267" s="0" t="n">
        <v>0</v>
      </c>
      <c r="K267" s="0" t="n">
        <v>0</v>
      </c>
      <c r="L267" s="0" t="n">
        <v>1</v>
      </c>
    </row>
    <row r="268" customFormat="false" ht="15" hidden="false" customHeight="false" outlineLevel="0" collapsed="false">
      <c r="A268" s="5" t="n">
        <v>40316</v>
      </c>
      <c r="B268" s="6" t="s">
        <v>42</v>
      </c>
      <c r="C268" s="6" t="s">
        <v>59</v>
      </c>
      <c r="D268" s="0" t="n">
        <v>184.941363538441</v>
      </c>
      <c r="E268" s="0" t="n">
        <v>3.7775</v>
      </c>
      <c r="F268" s="0" t="n">
        <v>0</v>
      </c>
      <c r="G268" s="0" t="n">
        <v>0</v>
      </c>
      <c r="H268" s="0" t="n">
        <v>0</v>
      </c>
      <c r="I268" s="0" t="n">
        <v>0</v>
      </c>
      <c r="J268" s="0" t="n">
        <v>0</v>
      </c>
      <c r="K268" s="0" t="n">
        <v>0</v>
      </c>
      <c r="L268" s="0" t="n">
        <v>1</v>
      </c>
    </row>
    <row r="269" customFormat="false" ht="15" hidden="false" customHeight="false" outlineLevel="0" collapsed="false">
      <c r="A269" s="5" t="n">
        <v>40323</v>
      </c>
      <c r="B269" s="6" t="s">
        <v>42</v>
      </c>
      <c r="C269" s="6" t="s">
        <v>59</v>
      </c>
      <c r="D269" s="0" t="n">
        <v>269.428544736129</v>
      </c>
      <c r="E269" s="0" t="n">
        <v>3.618571429</v>
      </c>
      <c r="F269" s="0" t="n">
        <v>0</v>
      </c>
      <c r="G269" s="0" t="n">
        <v>0</v>
      </c>
      <c r="H269" s="0" t="n">
        <v>0</v>
      </c>
      <c r="I269" s="0" t="n">
        <v>0</v>
      </c>
      <c r="J269" s="0" t="n">
        <v>0</v>
      </c>
      <c r="K269" s="0" t="n">
        <v>0</v>
      </c>
      <c r="L269" s="0" t="n">
        <v>1</v>
      </c>
    </row>
    <row r="270" customFormat="false" ht="15" hidden="false" customHeight="false" outlineLevel="0" collapsed="false">
      <c r="A270" s="5" t="n">
        <v>40330</v>
      </c>
      <c r="B270" s="6" t="s">
        <v>42</v>
      </c>
      <c r="C270" s="6" t="s">
        <v>59</v>
      </c>
      <c r="D270" s="0" t="n">
        <v>226.953145365752</v>
      </c>
      <c r="E270" s="0" t="n">
        <v>3.5025</v>
      </c>
      <c r="F270" s="0" t="n">
        <v>0</v>
      </c>
      <c r="G270" s="0" t="n">
        <v>0</v>
      </c>
      <c r="H270" s="0" t="n">
        <v>0</v>
      </c>
      <c r="I270" s="0" t="n">
        <v>0</v>
      </c>
      <c r="J270" s="0" t="n">
        <v>0</v>
      </c>
      <c r="K270" s="0" t="n">
        <v>0</v>
      </c>
      <c r="L270" s="0" t="n">
        <v>1</v>
      </c>
    </row>
    <row r="271" customFormat="false" ht="15" hidden="false" customHeight="false" outlineLevel="0" collapsed="false">
      <c r="A271" s="5" t="n">
        <v>40337</v>
      </c>
      <c r="B271" s="6" t="s">
        <v>42</v>
      </c>
      <c r="C271" s="6" t="s">
        <v>59</v>
      </c>
      <c r="D271" s="0" t="n">
        <v>51.7332929950279</v>
      </c>
      <c r="E271" s="0" t="n">
        <v>3.967777778</v>
      </c>
      <c r="F271" s="0" t="n">
        <v>0</v>
      </c>
      <c r="G271" s="0" t="n">
        <v>0</v>
      </c>
      <c r="H271" s="0" t="n">
        <v>0</v>
      </c>
      <c r="I271" s="0" t="n">
        <v>0</v>
      </c>
      <c r="J271" s="0" t="n">
        <v>0</v>
      </c>
      <c r="K271" s="0" t="n">
        <v>0</v>
      </c>
      <c r="L271" s="0" t="n">
        <v>1</v>
      </c>
    </row>
    <row r="272" customFormat="false" ht="15" hidden="false" customHeight="false" outlineLevel="0" collapsed="false">
      <c r="A272" s="5" t="n">
        <v>40344</v>
      </c>
      <c r="B272" s="6" t="s">
        <v>42</v>
      </c>
      <c r="C272" s="6" t="s">
        <v>59</v>
      </c>
      <c r="D272" s="0" t="n">
        <v>215.309166513989</v>
      </c>
      <c r="E272" s="0" t="n">
        <v>3.7525</v>
      </c>
      <c r="F272" s="0" t="n">
        <v>0</v>
      </c>
      <c r="G272" s="0" t="n">
        <v>0</v>
      </c>
      <c r="H272" s="0" t="n">
        <v>0</v>
      </c>
      <c r="I272" s="0" t="n">
        <v>0</v>
      </c>
      <c r="J272" s="0" t="n">
        <v>0</v>
      </c>
      <c r="K272" s="0" t="n">
        <v>0</v>
      </c>
      <c r="L272" s="0" t="n">
        <v>1</v>
      </c>
    </row>
    <row r="273" customFormat="false" ht="15" hidden="false" customHeight="false" outlineLevel="0" collapsed="false">
      <c r="A273" s="5" t="n">
        <v>40351</v>
      </c>
      <c r="B273" s="6" t="s">
        <v>42</v>
      </c>
      <c r="C273" s="6" t="s">
        <v>59</v>
      </c>
      <c r="D273" s="0" t="n">
        <v>261.720530857875</v>
      </c>
      <c r="E273" s="0" t="n">
        <v>3.84</v>
      </c>
      <c r="F273" s="0" t="n">
        <v>0</v>
      </c>
      <c r="G273" s="0" t="n">
        <v>0</v>
      </c>
      <c r="H273" s="0" t="n">
        <v>0</v>
      </c>
      <c r="I273" s="0" t="n">
        <v>0</v>
      </c>
      <c r="J273" s="0" t="n">
        <v>0</v>
      </c>
      <c r="K273" s="0" t="n">
        <v>0</v>
      </c>
      <c r="L273" s="0" t="n">
        <v>1</v>
      </c>
    </row>
    <row r="274" customFormat="false" ht="15" hidden="false" customHeight="false" outlineLevel="0" collapsed="false">
      <c r="A274" s="5" t="n">
        <v>40358</v>
      </c>
      <c r="B274" s="6" t="s">
        <v>42</v>
      </c>
      <c r="C274" s="6" t="s">
        <v>59</v>
      </c>
      <c r="D274" s="0" t="n">
        <v>196.773805424141</v>
      </c>
      <c r="E274" s="0" t="n">
        <v>3.84</v>
      </c>
      <c r="F274" s="0" t="n">
        <v>0</v>
      </c>
      <c r="G274" s="0" t="n">
        <v>0</v>
      </c>
      <c r="H274" s="0" t="n">
        <v>0</v>
      </c>
      <c r="I274" s="0" t="n">
        <v>0</v>
      </c>
      <c r="J274" s="0" t="n">
        <v>0</v>
      </c>
      <c r="K274" s="0" t="n">
        <v>0</v>
      </c>
      <c r="L274" s="0" t="n">
        <v>1</v>
      </c>
    </row>
    <row r="275" customFormat="false" ht="15" hidden="false" customHeight="false" outlineLevel="0" collapsed="false">
      <c r="A275" s="5" t="n">
        <v>40365</v>
      </c>
      <c r="B275" s="6" t="s">
        <v>42</v>
      </c>
      <c r="C275" s="6" t="s">
        <v>59</v>
      </c>
      <c r="D275" s="0" t="n">
        <v>141.000117840529</v>
      </c>
      <c r="E275" s="0" t="n">
        <v>3.367142857</v>
      </c>
      <c r="F275" s="0" t="n">
        <v>0</v>
      </c>
      <c r="G275" s="0" t="n">
        <v>0</v>
      </c>
      <c r="H275" s="0" t="n">
        <v>0</v>
      </c>
      <c r="I275" s="0" t="n">
        <v>0</v>
      </c>
      <c r="J275" s="0" t="n">
        <v>0</v>
      </c>
      <c r="K275" s="0" t="n">
        <v>0</v>
      </c>
      <c r="L275" s="0" t="n">
        <v>1</v>
      </c>
    </row>
    <row r="276" customFormat="false" ht="15" hidden="false" customHeight="false" outlineLevel="0" collapsed="false">
      <c r="A276" s="5" t="n">
        <v>40372</v>
      </c>
      <c r="B276" s="6" t="s">
        <v>42</v>
      </c>
      <c r="C276" s="6" t="s">
        <v>59</v>
      </c>
      <c r="D276" s="0" t="n">
        <v>201.603221966264</v>
      </c>
      <c r="E276" s="0" t="n">
        <v>3.661111111</v>
      </c>
      <c r="F276" s="0" t="n">
        <v>0</v>
      </c>
      <c r="G276" s="0" t="n">
        <v>0</v>
      </c>
      <c r="H276" s="0" t="n">
        <v>0</v>
      </c>
      <c r="I276" s="0" t="n">
        <v>0</v>
      </c>
      <c r="J276" s="0" t="n">
        <v>0</v>
      </c>
      <c r="K276" s="0" t="n">
        <v>0</v>
      </c>
      <c r="L276" s="0" t="n">
        <v>1</v>
      </c>
    </row>
    <row r="277" customFormat="false" ht="15" hidden="false" customHeight="false" outlineLevel="0" collapsed="false">
      <c r="A277" s="5" t="n">
        <v>40302</v>
      </c>
      <c r="B277" s="6" t="s">
        <v>42</v>
      </c>
      <c r="C277" s="6" t="s">
        <v>60</v>
      </c>
      <c r="D277" s="0" t="n">
        <v>185.376325859695</v>
      </c>
      <c r="E277" s="0" t="n">
        <v>3.7525</v>
      </c>
      <c r="F277" s="0" t="n">
        <v>0</v>
      </c>
      <c r="G277" s="0" t="n">
        <v>0</v>
      </c>
      <c r="H277" s="0" t="n">
        <v>0</v>
      </c>
      <c r="I277" s="0" t="n">
        <v>0</v>
      </c>
      <c r="J277" s="0" t="n">
        <v>0</v>
      </c>
      <c r="K277" s="0" t="n">
        <v>0</v>
      </c>
      <c r="L277" s="0" t="n">
        <v>5</v>
      </c>
    </row>
    <row r="278" customFormat="false" ht="15" hidden="false" customHeight="false" outlineLevel="0" collapsed="false">
      <c r="A278" s="5" t="n">
        <v>40309</v>
      </c>
      <c r="B278" s="6" t="s">
        <v>42</v>
      </c>
      <c r="C278" s="6" t="s">
        <v>60</v>
      </c>
      <c r="D278" s="0" t="n">
        <v>220.86064395051</v>
      </c>
      <c r="E278" s="0" t="n">
        <v>3.54</v>
      </c>
      <c r="F278" s="0" t="n">
        <v>0</v>
      </c>
      <c r="G278" s="0" t="n">
        <v>0</v>
      </c>
      <c r="H278" s="0" t="n">
        <v>0</v>
      </c>
      <c r="I278" s="0" t="n">
        <v>0</v>
      </c>
      <c r="J278" s="0" t="n">
        <v>0</v>
      </c>
      <c r="K278" s="0" t="n">
        <v>0</v>
      </c>
      <c r="L278" s="0" t="n">
        <v>5</v>
      </c>
    </row>
    <row r="279" customFormat="false" ht="15" hidden="false" customHeight="false" outlineLevel="0" collapsed="false">
      <c r="A279" s="5" t="n">
        <v>40316</v>
      </c>
      <c r="B279" s="6" t="s">
        <v>42</v>
      </c>
      <c r="C279" s="6" t="s">
        <v>60</v>
      </c>
      <c r="D279" s="0" t="n">
        <v>180.132464028984</v>
      </c>
      <c r="E279" s="0" t="n">
        <v>3.34</v>
      </c>
      <c r="F279" s="0" t="n">
        <v>0</v>
      </c>
      <c r="G279" s="0" t="n">
        <v>0</v>
      </c>
      <c r="H279" s="0" t="n">
        <v>0</v>
      </c>
      <c r="I279" s="0" t="n">
        <v>0</v>
      </c>
      <c r="J279" s="0" t="n">
        <v>0</v>
      </c>
      <c r="K279" s="0" t="n">
        <v>0</v>
      </c>
      <c r="L279" s="0" t="n">
        <v>5</v>
      </c>
    </row>
    <row r="280" customFormat="false" ht="15" hidden="false" customHeight="false" outlineLevel="0" collapsed="false">
      <c r="A280" s="5" t="n">
        <v>40323</v>
      </c>
      <c r="B280" s="6" t="s">
        <v>42</v>
      </c>
      <c r="C280" s="6" t="s">
        <v>60</v>
      </c>
      <c r="D280" s="0" t="n">
        <v>221.744695883421</v>
      </c>
      <c r="E280" s="0" t="n">
        <v>3.34</v>
      </c>
      <c r="F280" s="0" t="n">
        <v>0</v>
      </c>
      <c r="G280" s="0" t="n">
        <v>0</v>
      </c>
      <c r="H280" s="0" t="n">
        <v>0</v>
      </c>
      <c r="I280" s="0" t="n">
        <v>0</v>
      </c>
      <c r="J280" s="0" t="n">
        <v>0</v>
      </c>
      <c r="K280" s="0" t="n">
        <v>0</v>
      </c>
      <c r="L280" s="0" t="n">
        <v>5</v>
      </c>
    </row>
    <row r="281" customFormat="false" ht="15" hidden="false" customHeight="false" outlineLevel="0" collapsed="false">
      <c r="A281" s="5" t="n">
        <v>40330</v>
      </c>
      <c r="B281" s="6" t="s">
        <v>42</v>
      </c>
      <c r="C281" s="6" t="s">
        <v>60</v>
      </c>
      <c r="D281" s="0" t="n">
        <v>196.866682490891</v>
      </c>
      <c r="E281" s="0" t="n">
        <v>3.412222222</v>
      </c>
      <c r="F281" s="0" t="n">
        <v>0</v>
      </c>
      <c r="G281" s="0" t="n">
        <v>0</v>
      </c>
      <c r="H281" s="0" t="n">
        <v>0</v>
      </c>
      <c r="I281" s="0" t="n">
        <v>0</v>
      </c>
      <c r="J281" s="0" t="n">
        <v>0</v>
      </c>
      <c r="K281" s="0" t="n">
        <v>0</v>
      </c>
      <c r="L281" s="0" t="n">
        <v>5</v>
      </c>
    </row>
    <row r="282" customFormat="false" ht="15" hidden="false" customHeight="false" outlineLevel="0" collapsed="false">
      <c r="A282" s="5" t="n">
        <v>40337</v>
      </c>
      <c r="B282" s="6" t="s">
        <v>42</v>
      </c>
      <c r="C282" s="6" t="s">
        <v>60</v>
      </c>
      <c r="D282" s="0" t="n">
        <v>233.501106140361</v>
      </c>
      <c r="E282" s="0" t="n">
        <v>3.634444444</v>
      </c>
      <c r="F282" s="0" t="n">
        <v>0</v>
      </c>
      <c r="G282" s="0" t="n">
        <v>0</v>
      </c>
      <c r="H282" s="0" t="n">
        <v>0</v>
      </c>
      <c r="I282" s="0" t="n">
        <v>0</v>
      </c>
      <c r="J282" s="0" t="n">
        <v>0</v>
      </c>
      <c r="K282" s="0" t="n">
        <v>0</v>
      </c>
      <c r="L282" s="0" t="n">
        <v>5</v>
      </c>
    </row>
    <row r="283" customFormat="false" ht="15" hidden="false" customHeight="false" outlineLevel="0" collapsed="false">
      <c r="A283" s="5" t="n">
        <v>40344</v>
      </c>
      <c r="B283" s="6" t="s">
        <v>42</v>
      </c>
      <c r="C283" s="6" t="s">
        <v>60</v>
      </c>
      <c r="D283" s="0" t="n">
        <v>312.237623435549</v>
      </c>
      <c r="E283" s="0" t="n">
        <v>3.7525</v>
      </c>
      <c r="F283" s="0" t="n">
        <v>0</v>
      </c>
      <c r="G283" s="0" t="n">
        <v>0</v>
      </c>
      <c r="H283" s="0" t="n">
        <v>1</v>
      </c>
      <c r="I283" s="0" t="n">
        <v>0</v>
      </c>
      <c r="J283" s="0" t="n">
        <v>0</v>
      </c>
      <c r="K283" s="0" t="n">
        <v>0</v>
      </c>
      <c r="L283" s="0" t="n">
        <v>5</v>
      </c>
    </row>
    <row r="284" customFormat="false" ht="15" hidden="false" customHeight="false" outlineLevel="0" collapsed="false">
      <c r="A284" s="5" t="n">
        <v>40351</v>
      </c>
      <c r="B284" s="6" t="s">
        <v>42</v>
      </c>
      <c r="C284" s="6" t="s">
        <v>60</v>
      </c>
      <c r="D284" s="0" t="n">
        <v>257.853053029172</v>
      </c>
      <c r="E284" s="0" t="n">
        <v>3.634444444</v>
      </c>
      <c r="F284" s="0" t="n">
        <v>0</v>
      </c>
      <c r="G284" s="0" t="n">
        <v>0</v>
      </c>
      <c r="H284" s="0" t="n">
        <v>0</v>
      </c>
      <c r="I284" s="0" t="n">
        <v>1</v>
      </c>
      <c r="J284" s="0" t="n">
        <v>0</v>
      </c>
      <c r="K284" s="0" t="n">
        <v>0</v>
      </c>
      <c r="L284" s="0" t="n">
        <v>5</v>
      </c>
    </row>
    <row r="285" customFormat="false" ht="15" hidden="false" customHeight="false" outlineLevel="0" collapsed="false">
      <c r="A285" s="5" t="n">
        <v>40358</v>
      </c>
      <c r="B285" s="6" t="s">
        <v>42</v>
      </c>
      <c r="C285" s="6" t="s">
        <v>60</v>
      </c>
      <c r="D285" s="0" t="n">
        <v>276.049873804359</v>
      </c>
      <c r="E285" s="0" t="n">
        <v>4.056666667</v>
      </c>
      <c r="F285" s="0" t="n">
        <v>0</v>
      </c>
      <c r="G285" s="0" t="n">
        <v>0</v>
      </c>
      <c r="H285" s="0" t="n">
        <v>0</v>
      </c>
      <c r="I285" s="0" t="n">
        <v>1</v>
      </c>
      <c r="J285" s="0" t="n">
        <v>0</v>
      </c>
      <c r="K285" s="0" t="n">
        <v>0</v>
      </c>
      <c r="L285" s="0" t="n">
        <v>5</v>
      </c>
    </row>
    <row r="286" customFormat="false" ht="15" hidden="false" customHeight="false" outlineLevel="0" collapsed="false">
      <c r="A286" s="5" t="n">
        <v>40365</v>
      </c>
      <c r="B286" s="6" t="s">
        <v>42</v>
      </c>
      <c r="C286" s="6" t="s">
        <v>60</v>
      </c>
      <c r="D286" s="0" t="n">
        <v>330.716759673097</v>
      </c>
      <c r="E286" s="0" t="n">
        <v>3.126</v>
      </c>
      <c r="F286" s="0" t="n">
        <v>0</v>
      </c>
      <c r="G286" s="0" t="n">
        <v>0</v>
      </c>
      <c r="H286" s="0" t="n">
        <v>0</v>
      </c>
      <c r="I286" s="0" t="n">
        <v>1</v>
      </c>
      <c r="J286" s="0" t="n">
        <v>0</v>
      </c>
      <c r="K286" s="0" t="n">
        <v>0</v>
      </c>
      <c r="L286" s="0" t="n">
        <v>5</v>
      </c>
    </row>
    <row r="287" customFormat="false" ht="15" hidden="false" customHeight="false" outlineLevel="0" collapsed="false">
      <c r="A287" s="5" t="n">
        <v>40372</v>
      </c>
      <c r="B287" s="6" t="s">
        <v>42</v>
      </c>
      <c r="C287" s="6" t="s">
        <v>60</v>
      </c>
      <c r="D287" s="0" t="n">
        <v>320.610717305056</v>
      </c>
      <c r="E287" s="0" t="n">
        <v>3.531818182</v>
      </c>
      <c r="F287" s="0" t="n">
        <v>0</v>
      </c>
      <c r="G287" s="0" t="n">
        <v>0</v>
      </c>
      <c r="H287" s="0" t="n">
        <v>0</v>
      </c>
      <c r="I287" s="0" t="n">
        <v>0</v>
      </c>
      <c r="J287" s="0" t="n">
        <v>1</v>
      </c>
      <c r="K287" s="0" t="n">
        <v>0</v>
      </c>
      <c r="L287" s="0" t="n">
        <v>5</v>
      </c>
    </row>
    <row r="288" customFormat="false" ht="15" hidden="false" customHeight="false" outlineLevel="0" collapsed="false">
      <c r="A288" s="5" t="n">
        <v>40302</v>
      </c>
      <c r="B288" s="6" t="s">
        <v>42</v>
      </c>
      <c r="C288" s="6" t="s">
        <v>61</v>
      </c>
      <c r="D288" s="0" t="n">
        <v>204.412954992808</v>
      </c>
      <c r="E288" s="0" t="n">
        <v>3.565</v>
      </c>
      <c r="F288" s="0" t="n">
        <v>0</v>
      </c>
      <c r="G288" s="0" t="n">
        <v>0</v>
      </c>
      <c r="H288" s="0" t="n">
        <v>0</v>
      </c>
      <c r="I288" s="0" t="n">
        <v>0</v>
      </c>
      <c r="J288" s="0" t="n">
        <v>0</v>
      </c>
      <c r="K288" s="0" t="n">
        <v>1</v>
      </c>
      <c r="L288" s="0" t="n">
        <v>4</v>
      </c>
    </row>
    <row r="289" customFormat="false" ht="15" hidden="false" customHeight="false" outlineLevel="0" collapsed="false">
      <c r="A289" s="5" t="n">
        <v>40309</v>
      </c>
      <c r="B289" s="6" t="s">
        <v>42</v>
      </c>
      <c r="C289" s="6" t="s">
        <v>61</v>
      </c>
      <c r="D289" s="0" t="n">
        <v>177.702814251844</v>
      </c>
      <c r="E289" s="0" t="n">
        <v>3.54</v>
      </c>
      <c r="F289" s="0" t="n">
        <v>0</v>
      </c>
      <c r="G289" s="0" t="n">
        <v>0</v>
      </c>
      <c r="H289" s="0" t="n">
        <v>0</v>
      </c>
      <c r="I289" s="0" t="n">
        <v>0</v>
      </c>
      <c r="J289" s="0" t="n">
        <v>0</v>
      </c>
      <c r="K289" s="0" t="n">
        <v>1</v>
      </c>
      <c r="L289" s="0" t="n">
        <v>4</v>
      </c>
    </row>
    <row r="290" customFormat="false" ht="15" hidden="false" customHeight="false" outlineLevel="0" collapsed="false">
      <c r="A290" s="5" t="n">
        <v>40316</v>
      </c>
      <c r="B290" s="6" t="s">
        <v>42</v>
      </c>
      <c r="C290" s="6" t="s">
        <v>61</v>
      </c>
      <c r="D290" s="0" t="n">
        <v>98.09849847751</v>
      </c>
      <c r="E290" s="0" t="n">
        <v>3.34</v>
      </c>
      <c r="F290" s="0" t="n">
        <v>0</v>
      </c>
      <c r="G290" s="0" t="n">
        <v>0</v>
      </c>
      <c r="H290" s="0" t="n">
        <v>0</v>
      </c>
      <c r="I290" s="0" t="n">
        <v>0</v>
      </c>
      <c r="J290" s="0" t="n">
        <v>0</v>
      </c>
      <c r="K290" s="0" t="n">
        <v>1</v>
      </c>
      <c r="L290" s="0" t="n">
        <v>4</v>
      </c>
    </row>
    <row r="291" customFormat="false" ht="15" hidden="false" customHeight="false" outlineLevel="0" collapsed="false">
      <c r="A291" s="5" t="n">
        <v>40323</v>
      </c>
      <c r="B291" s="6" t="s">
        <v>42</v>
      </c>
      <c r="C291" s="6" t="s">
        <v>61</v>
      </c>
      <c r="D291" s="0" t="n">
        <v>177.761321473929</v>
      </c>
      <c r="E291" s="0" t="n">
        <v>3.412222222</v>
      </c>
      <c r="F291" s="0" t="n">
        <v>0</v>
      </c>
      <c r="G291" s="0" t="n">
        <v>0</v>
      </c>
      <c r="H291" s="0" t="n">
        <v>0</v>
      </c>
      <c r="I291" s="0" t="n">
        <v>0</v>
      </c>
      <c r="J291" s="0" t="n">
        <v>0</v>
      </c>
      <c r="K291" s="0" t="n">
        <v>1</v>
      </c>
      <c r="L291" s="0" t="n">
        <v>4</v>
      </c>
    </row>
    <row r="292" customFormat="false" ht="15" hidden="false" customHeight="false" outlineLevel="0" collapsed="false">
      <c r="A292" s="5" t="n">
        <v>40330</v>
      </c>
      <c r="B292" s="6" t="s">
        <v>42</v>
      </c>
      <c r="C292" s="6" t="s">
        <v>61</v>
      </c>
      <c r="D292" s="0" t="n">
        <v>213.899093827148</v>
      </c>
      <c r="E292" s="0" t="n">
        <v>3.34</v>
      </c>
      <c r="F292" s="0" t="n">
        <v>0</v>
      </c>
      <c r="G292" s="0" t="n">
        <v>0</v>
      </c>
      <c r="H292" s="0" t="n">
        <v>0</v>
      </c>
      <c r="I292" s="0" t="n">
        <v>0</v>
      </c>
      <c r="J292" s="0" t="n">
        <v>0</v>
      </c>
      <c r="K292" s="0" t="n">
        <v>1</v>
      </c>
      <c r="L292" s="0" t="n">
        <v>4</v>
      </c>
    </row>
    <row r="293" customFormat="false" ht="15" hidden="false" customHeight="false" outlineLevel="0" collapsed="false">
      <c r="A293" s="5" t="n">
        <v>40337</v>
      </c>
      <c r="B293" s="6" t="s">
        <v>42</v>
      </c>
      <c r="C293" s="6" t="s">
        <v>61</v>
      </c>
      <c r="D293" s="0" t="n">
        <v>193.923991959983</v>
      </c>
      <c r="E293" s="0" t="n">
        <v>3.634444444</v>
      </c>
      <c r="F293" s="0" t="n">
        <v>0</v>
      </c>
      <c r="G293" s="0" t="n">
        <v>0</v>
      </c>
      <c r="H293" s="0" t="n">
        <v>0</v>
      </c>
      <c r="I293" s="0" t="n">
        <v>0</v>
      </c>
      <c r="J293" s="0" t="n">
        <v>0</v>
      </c>
      <c r="K293" s="0" t="n">
        <v>1</v>
      </c>
      <c r="L293" s="0" t="n">
        <v>4</v>
      </c>
    </row>
    <row r="294" customFormat="false" ht="15" hidden="false" customHeight="false" outlineLevel="0" collapsed="false">
      <c r="A294" s="5" t="n">
        <v>40344</v>
      </c>
      <c r="B294" s="6" t="s">
        <v>42</v>
      </c>
      <c r="C294" s="6" t="s">
        <v>61</v>
      </c>
      <c r="D294" s="0" t="n">
        <v>201.352678095251</v>
      </c>
      <c r="E294" s="0" t="n">
        <v>3.475714286</v>
      </c>
      <c r="F294" s="0" t="n">
        <v>0</v>
      </c>
      <c r="G294" s="0" t="n">
        <v>0</v>
      </c>
      <c r="H294" s="0" t="n">
        <v>0</v>
      </c>
      <c r="I294" s="0" t="n">
        <v>0</v>
      </c>
      <c r="J294" s="0" t="n">
        <v>0</v>
      </c>
      <c r="K294" s="0" t="n">
        <v>1</v>
      </c>
      <c r="L294" s="0" t="n">
        <v>4</v>
      </c>
    </row>
    <row r="295" customFormat="false" ht="15" hidden="false" customHeight="false" outlineLevel="0" collapsed="false">
      <c r="A295" s="5" t="n">
        <v>40351</v>
      </c>
      <c r="B295" s="6" t="s">
        <v>42</v>
      </c>
      <c r="C295" s="6" t="s">
        <v>61</v>
      </c>
      <c r="D295" s="0" t="n">
        <v>195.151343697969</v>
      </c>
      <c r="E295" s="0" t="n">
        <v>3.54</v>
      </c>
      <c r="F295" s="0" t="n">
        <v>0</v>
      </c>
      <c r="G295" s="0" t="n">
        <v>0</v>
      </c>
      <c r="H295" s="0" t="n">
        <v>0</v>
      </c>
      <c r="I295" s="0" t="n">
        <v>0</v>
      </c>
      <c r="J295" s="0" t="n">
        <v>0</v>
      </c>
      <c r="K295" s="0" t="n">
        <v>1</v>
      </c>
      <c r="L295" s="0" t="n">
        <v>4</v>
      </c>
    </row>
    <row r="296" customFormat="false" ht="15" hidden="false" customHeight="false" outlineLevel="0" collapsed="false">
      <c r="A296" s="5" t="n">
        <v>40358</v>
      </c>
      <c r="B296" s="6" t="s">
        <v>42</v>
      </c>
      <c r="C296" s="6" t="s">
        <v>61</v>
      </c>
      <c r="D296" s="0" t="n">
        <v>177.590467644322</v>
      </c>
      <c r="E296" s="0" t="n">
        <v>3.54</v>
      </c>
      <c r="F296" s="0" t="n">
        <v>0</v>
      </c>
      <c r="G296" s="0" t="n">
        <v>0</v>
      </c>
      <c r="H296" s="0" t="n">
        <v>0</v>
      </c>
      <c r="I296" s="0" t="n">
        <v>0</v>
      </c>
      <c r="J296" s="0" t="n">
        <v>0</v>
      </c>
      <c r="K296" s="0" t="n">
        <v>1</v>
      </c>
      <c r="L296" s="0" t="n">
        <v>4</v>
      </c>
    </row>
    <row r="297" customFormat="false" ht="15" hidden="false" customHeight="false" outlineLevel="0" collapsed="false">
      <c r="A297" s="5" t="n">
        <v>40365</v>
      </c>
      <c r="B297" s="6" t="s">
        <v>42</v>
      </c>
      <c r="C297" s="6" t="s">
        <v>61</v>
      </c>
      <c r="D297" s="0" t="n">
        <v>173.673829680262</v>
      </c>
      <c r="E297" s="0" t="n">
        <v>3.126</v>
      </c>
      <c r="F297" s="0" t="n">
        <v>0</v>
      </c>
      <c r="G297" s="0" t="n">
        <v>0</v>
      </c>
      <c r="H297" s="0" t="n">
        <v>0</v>
      </c>
      <c r="I297" s="0" t="n">
        <v>0</v>
      </c>
      <c r="J297" s="0" t="n">
        <v>0</v>
      </c>
      <c r="K297" s="0" t="n">
        <v>1</v>
      </c>
      <c r="L297" s="0" t="n">
        <v>4</v>
      </c>
    </row>
    <row r="298" customFormat="false" ht="15" hidden="false" customHeight="false" outlineLevel="0" collapsed="false">
      <c r="A298" s="5" t="n">
        <v>40372</v>
      </c>
      <c r="B298" s="6" t="s">
        <v>42</v>
      </c>
      <c r="C298" s="6" t="s">
        <v>61</v>
      </c>
      <c r="D298" s="0" t="n">
        <v>158.119659112309</v>
      </c>
      <c r="E298" s="0" t="n">
        <v>3.4075</v>
      </c>
      <c r="F298" s="0" t="n">
        <v>0</v>
      </c>
      <c r="G298" s="0" t="n">
        <v>0</v>
      </c>
      <c r="H298" s="0" t="n">
        <v>0</v>
      </c>
      <c r="I298" s="0" t="n">
        <v>0</v>
      </c>
      <c r="J298" s="0" t="n">
        <v>0</v>
      </c>
      <c r="K298" s="0" t="n">
        <v>1</v>
      </c>
      <c r="L298" s="0" t="n">
        <v>4</v>
      </c>
    </row>
    <row r="299" customFormat="false" ht="15" hidden="false" customHeight="false" outlineLevel="0" collapsed="false">
      <c r="A299" s="5" t="n">
        <v>40302</v>
      </c>
      <c r="B299" s="6" t="s">
        <v>62</v>
      </c>
      <c r="C299" s="6" t="s">
        <v>63</v>
      </c>
      <c r="D299" s="0" t="n">
        <v>171.02147572739</v>
      </c>
      <c r="E299" s="0" t="n">
        <v>4.19</v>
      </c>
      <c r="F299" s="0" t="n">
        <v>1</v>
      </c>
      <c r="G299" s="0" t="n">
        <v>0</v>
      </c>
      <c r="H299" s="0" t="n">
        <v>0</v>
      </c>
      <c r="I299" s="0" t="n">
        <v>0</v>
      </c>
      <c r="J299" s="0" t="n">
        <v>0</v>
      </c>
      <c r="K299" s="0" t="n">
        <v>2</v>
      </c>
      <c r="L299" s="0" t="n">
        <v>3</v>
      </c>
    </row>
    <row r="300" customFormat="false" ht="15" hidden="false" customHeight="false" outlineLevel="0" collapsed="false">
      <c r="A300" s="5" t="n">
        <v>40309</v>
      </c>
      <c r="B300" s="6" t="s">
        <v>62</v>
      </c>
      <c r="C300" s="6" t="s">
        <v>63</v>
      </c>
      <c r="D300" s="0" t="n">
        <v>213.92718229931</v>
      </c>
      <c r="E300" s="0" t="n">
        <v>4.69</v>
      </c>
      <c r="F300" s="0" t="n">
        <v>1</v>
      </c>
      <c r="G300" s="0" t="n">
        <v>0</v>
      </c>
      <c r="H300" s="0" t="n">
        <v>0</v>
      </c>
      <c r="I300" s="0" t="n">
        <v>0</v>
      </c>
      <c r="J300" s="0" t="n">
        <v>0</v>
      </c>
      <c r="K300" s="0" t="n">
        <v>2</v>
      </c>
      <c r="L300" s="0" t="n">
        <v>3</v>
      </c>
    </row>
    <row r="301" customFormat="false" ht="15" hidden="false" customHeight="false" outlineLevel="0" collapsed="false">
      <c r="A301" s="5" t="n">
        <v>40316</v>
      </c>
      <c r="B301" s="6" t="s">
        <v>62</v>
      </c>
      <c r="C301" s="6" t="s">
        <v>63</v>
      </c>
      <c r="D301" s="0" t="n">
        <v>303.141832002196</v>
      </c>
      <c r="E301" s="0" t="n">
        <v>4.1525</v>
      </c>
      <c r="F301" s="0" t="n">
        <v>1</v>
      </c>
      <c r="G301" s="0" t="n">
        <v>0</v>
      </c>
      <c r="H301" s="0" t="n">
        <v>0</v>
      </c>
      <c r="I301" s="0" t="n">
        <v>0</v>
      </c>
      <c r="J301" s="0" t="n">
        <v>0</v>
      </c>
      <c r="K301" s="0" t="n">
        <v>2</v>
      </c>
      <c r="L301" s="0" t="n">
        <v>3</v>
      </c>
    </row>
    <row r="302" customFormat="false" ht="15" hidden="false" customHeight="false" outlineLevel="0" collapsed="false">
      <c r="A302" s="5" t="n">
        <v>40323</v>
      </c>
      <c r="B302" s="6" t="s">
        <v>62</v>
      </c>
      <c r="C302" s="6" t="s">
        <v>63</v>
      </c>
      <c r="D302" s="0" t="n">
        <v>234.530578703284</v>
      </c>
      <c r="E302" s="0" t="n">
        <v>4.301111111</v>
      </c>
      <c r="F302" s="0" t="n">
        <v>1</v>
      </c>
      <c r="G302" s="0" t="n">
        <v>0</v>
      </c>
      <c r="H302" s="0" t="n">
        <v>0</v>
      </c>
      <c r="I302" s="0" t="n">
        <v>0</v>
      </c>
      <c r="J302" s="0" t="n">
        <v>0</v>
      </c>
      <c r="K302" s="0" t="n">
        <v>2</v>
      </c>
      <c r="L302" s="0" t="n">
        <v>3</v>
      </c>
    </row>
    <row r="303" customFormat="false" ht="15" hidden="false" customHeight="false" outlineLevel="0" collapsed="false">
      <c r="A303" s="5" t="n">
        <v>40330</v>
      </c>
      <c r="B303" s="6" t="s">
        <v>62</v>
      </c>
      <c r="C303" s="6" t="s">
        <v>63</v>
      </c>
      <c r="D303" s="0" t="n">
        <v>269.085679678108</v>
      </c>
      <c r="E303" s="0" t="n">
        <v>3.671818182</v>
      </c>
      <c r="F303" s="0" t="n">
        <v>1</v>
      </c>
      <c r="G303" s="0" t="n">
        <v>0</v>
      </c>
      <c r="H303" s="0" t="n">
        <v>0</v>
      </c>
      <c r="I303" s="0" t="n">
        <v>0</v>
      </c>
      <c r="J303" s="0" t="n">
        <v>0</v>
      </c>
      <c r="K303" s="0" t="n">
        <v>2</v>
      </c>
      <c r="L303" s="0" t="n">
        <v>3</v>
      </c>
    </row>
    <row r="304" customFormat="false" ht="15" hidden="false" customHeight="false" outlineLevel="0" collapsed="false">
      <c r="A304" s="5" t="n">
        <v>40337</v>
      </c>
      <c r="B304" s="6" t="s">
        <v>62</v>
      </c>
      <c r="C304" s="6" t="s">
        <v>63</v>
      </c>
      <c r="D304" s="0" t="n">
        <v>300.548422347337</v>
      </c>
      <c r="E304" s="0" t="n">
        <v>4.062727273</v>
      </c>
      <c r="F304" s="0" t="n">
        <v>1</v>
      </c>
      <c r="G304" s="0" t="n">
        <v>0</v>
      </c>
      <c r="H304" s="0" t="n">
        <v>0</v>
      </c>
      <c r="I304" s="0" t="n">
        <v>0</v>
      </c>
      <c r="J304" s="0" t="n">
        <v>0</v>
      </c>
      <c r="K304" s="0" t="n">
        <v>2</v>
      </c>
      <c r="L304" s="0" t="n">
        <v>3</v>
      </c>
    </row>
    <row r="305" customFormat="false" ht="15" hidden="false" customHeight="false" outlineLevel="0" collapsed="false">
      <c r="A305" s="5" t="n">
        <v>40344</v>
      </c>
      <c r="B305" s="6" t="s">
        <v>62</v>
      </c>
      <c r="C305" s="6" t="s">
        <v>63</v>
      </c>
      <c r="D305" s="0" t="n">
        <v>288.18018444756</v>
      </c>
      <c r="E305" s="0" t="n">
        <v>4.39</v>
      </c>
      <c r="F305" s="0" t="n">
        <v>1</v>
      </c>
      <c r="G305" s="0" t="n">
        <v>0</v>
      </c>
      <c r="H305" s="0" t="n">
        <v>1</v>
      </c>
      <c r="I305" s="0" t="n">
        <v>0</v>
      </c>
      <c r="J305" s="0" t="n">
        <v>0</v>
      </c>
      <c r="K305" s="0" t="n">
        <v>2</v>
      </c>
      <c r="L305" s="0" t="n">
        <v>3</v>
      </c>
    </row>
    <row r="306" customFormat="false" ht="15" hidden="false" customHeight="false" outlineLevel="0" collapsed="false">
      <c r="A306" s="5" t="n">
        <v>40351</v>
      </c>
      <c r="B306" s="6" t="s">
        <v>62</v>
      </c>
      <c r="C306" s="6" t="s">
        <v>63</v>
      </c>
      <c r="D306" s="0" t="n">
        <v>396.24958198361</v>
      </c>
      <c r="E306" s="0" t="n">
        <v>4.39</v>
      </c>
      <c r="F306" s="0" t="n">
        <v>1</v>
      </c>
      <c r="G306" s="0" t="n">
        <v>0</v>
      </c>
      <c r="H306" s="0" t="n">
        <v>1</v>
      </c>
      <c r="I306" s="0" t="n">
        <v>1</v>
      </c>
      <c r="J306" s="0" t="n">
        <v>0</v>
      </c>
      <c r="K306" s="0" t="n">
        <v>2</v>
      </c>
      <c r="L306" s="0" t="n">
        <v>3</v>
      </c>
    </row>
    <row r="307" customFormat="false" ht="15" hidden="false" customHeight="false" outlineLevel="0" collapsed="false">
      <c r="A307" s="5" t="n">
        <v>40358</v>
      </c>
      <c r="B307" s="6" t="s">
        <v>62</v>
      </c>
      <c r="C307" s="6" t="s">
        <v>63</v>
      </c>
      <c r="D307" s="0" t="n">
        <v>256.550137429391</v>
      </c>
      <c r="E307" s="0" t="n">
        <v>3.735454545</v>
      </c>
      <c r="F307" s="0" t="n">
        <v>1</v>
      </c>
      <c r="G307" s="0" t="n">
        <v>0</v>
      </c>
      <c r="H307" s="0" t="n">
        <v>0</v>
      </c>
      <c r="I307" s="0" t="n">
        <v>1</v>
      </c>
      <c r="J307" s="0" t="n">
        <v>0</v>
      </c>
      <c r="K307" s="0" t="n">
        <v>2</v>
      </c>
      <c r="L307" s="0" t="n">
        <v>3</v>
      </c>
    </row>
    <row r="308" customFormat="false" ht="15" hidden="false" customHeight="false" outlineLevel="0" collapsed="false">
      <c r="A308" s="5" t="n">
        <v>40365</v>
      </c>
      <c r="B308" s="6" t="s">
        <v>62</v>
      </c>
      <c r="C308" s="6" t="s">
        <v>63</v>
      </c>
      <c r="D308" s="0" t="n">
        <v>295.899003959283</v>
      </c>
      <c r="E308" s="0" t="n">
        <v>3.910769231</v>
      </c>
      <c r="F308" s="0" t="n">
        <v>1</v>
      </c>
      <c r="G308" s="0" t="n">
        <v>0</v>
      </c>
      <c r="H308" s="0" t="n">
        <v>0</v>
      </c>
      <c r="I308" s="0" t="n">
        <v>1</v>
      </c>
      <c r="J308" s="0" t="n">
        <v>0</v>
      </c>
      <c r="K308" s="0" t="n">
        <v>2</v>
      </c>
      <c r="L308" s="0" t="n">
        <v>3</v>
      </c>
    </row>
    <row r="309" customFormat="false" ht="15" hidden="false" customHeight="false" outlineLevel="0" collapsed="false">
      <c r="A309" s="5" t="n">
        <v>40372</v>
      </c>
      <c r="B309" s="6" t="s">
        <v>62</v>
      </c>
      <c r="C309" s="6" t="s">
        <v>63</v>
      </c>
      <c r="D309" s="0" t="n">
        <v>456.466589828407</v>
      </c>
      <c r="E309" s="0" t="n">
        <v>4.111666667</v>
      </c>
      <c r="F309" s="0" t="n">
        <v>1</v>
      </c>
      <c r="G309" s="0" t="n">
        <v>0</v>
      </c>
      <c r="H309" s="0" t="n">
        <v>0</v>
      </c>
      <c r="I309" s="0" t="n">
        <v>1</v>
      </c>
      <c r="J309" s="0" t="n">
        <v>1</v>
      </c>
      <c r="K309" s="0" t="n">
        <v>2</v>
      </c>
      <c r="L309" s="0" t="n">
        <v>3</v>
      </c>
    </row>
    <row r="310" customFormat="false" ht="15" hidden="false" customHeight="false" outlineLevel="0" collapsed="false">
      <c r="A310" s="5" t="n">
        <v>40302</v>
      </c>
      <c r="B310" s="6" t="s">
        <v>62</v>
      </c>
      <c r="C310" s="6" t="s">
        <v>64</v>
      </c>
      <c r="D310" s="0" t="n">
        <v>309.367713641421</v>
      </c>
      <c r="E310" s="0" t="n">
        <v>4.612222222</v>
      </c>
      <c r="F310" s="0" t="n">
        <v>1</v>
      </c>
      <c r="G310" s="0" t="n">
        <v>0</v>
      </c>
      <c r="H310" s="0" t="n">
        <v>0</v>
      </c>
      <c r="I310" s="0" t="n">
        <v>0</v>
      </c>
      <c r="J310" s="0" t="n">
        <v>0</v>
      </c>
      <c r="K310" s="0" t="n">
        <v>3</v>
      </c>
      <c r="L310" s="0" t="n">
        <v>3</v>
      </c>
    </row>
    <row r="311" customFormat="false" ht="15" hidden="false" customHeight="false" outlineLevel="0" collapsed="false">
      <c r="A311" s="5" t="n">
        <v>40309</v>
      </c>
      <c r="B311" s="6" t="s">
        <v>62</v>
      </c>
      <c r="C311" s="6" t="s">
        <v>64</v>
      </c>
      <c r="D311" s="0" t="n">
        <v>350.665363977961</v>
      </c>
      <c r="E311" s="0" t="n">
        <v>4.59</v>
      </c>
      <c r="F311" s="0" t="n">
        <v>1</v>
      </c>
      <c r="G311" s="0" t="n">
        <v>0</v>
      </c>
      <c r="H311" s="0" t="n">
        <v>0</v>
      </c>
      <c r="I311" s="0" t="n">
        <v>0</v>
      </c>
      <c r="J311" s="0" t="n">
        <v>0</v>
      </c>
      <c r="K311" s="0" t="n">
        <v>3</v>
      </c>
      <c r="L311" s="0" t="n">
        <v>3</v>
      </c>
    </row>
    <row r="312" customFormat="false" ht="15" hidden="false" customHeight="false" outlineLevel="0" collapsed="false">
      <c r="A312" s="5" t="n">
        <v>40316</v>
      </c>
      <c r="B312" s="6" t="s">
        <v>62</v>
      </c>
      <c r="C312" s="6" t="s">
        <v>64</v>
      </c>
      <c r="D312" s="0" t="n">
        <v>346.592248426765</v>
      </c>
      <c r="E312" s="0" t="n">
        <v>3.765</v>
      </c>
      <c r="F312" s="0" t="n">
        <v>1</v>
      </c>
      <c r="G312" s="0" t="n">
        <v>0</v>
      </c>
      <c r="H312" s="0" t="n">
        <v>0</v>
      </c>
      <c r="I312" s="0" t="n">
        <v>0</v>
      </c>
      <c r="J312" s="0" t="n">
        <v>0</v>
      </c>
      <c r="K312" s="0" t="n">
        <v>3</v>
      </c>
      <c r="L312" s="0" t="n">
        <v>3</v>
      </c>
    </row>
    <row r="313" customFormat="false" ht="15" hidden="false" customHeight="false" outlineLevel="0" collapsed="false">
      <c r="A313" s="5" t="n">
        <v>40323</v>
      </c>
      <c r="B313" s="6" t="s">
        <v>62</v>
      </c>
      <c r="C313" s="6" t="s">
        <v>64</v>
      </c>
      <c r="D313" s="0" t="n">
        <v>265.651040411328</v>
      </c>
      <c r="E313" s="0" t="n">
        <v>3.713076923</v>
      </c>
      <c r="F313" s="0" t="n">
        <v>1</v>
      </c>
      <c r="G313" s="0" t="n">
        <v>0</v>
      </c>
      <c r="H313" s="0" t="n">
        <v>0</v>
      </c>
      <c r="I313" s="0" t="n">
        <v>0</v>
      </c>
      <c r="J313" s="0" t="n">
        <v>0</v>
      </c>
      <c r="K313" s="0" t="n">
        <v>3</v>
      </c>
      <c r="L313" s="0" t="n">
        <v>3</v>
      </c>
    </row>
    <row r="314" customFormat="false" ht="15" hidden="false" customHeight="false" outlineLevel="0" collapsed="false">
      <c r="A314" s="5" t="n">
        <v>40330</v>
      </c>
      <c r="B314" s="6" t="s">
        <v>62</v>
      </c>
      <c r="C314" s="6" t="s">
        <v>64</v>
      </c>
      <c r="D314" s="0" t="n">
        <v>288.292355519903</v>
      </c>
      <c r="E314" s="0" t="n">
        <v>4.135454545</v>
      </c>
      <c r="F314" s="0" t="n">
        <v>1</v>
      </c>
      <c r="G314" s="0" t="n">
        <v>0</v>
      </c>
      <c r="H314" s="0" t="n">
        <v>0</v>
      </c>
      <c r="I314" s="0" t="n">
        <v>0</v>
      </c>
      <c r="J314" s="0" t="n">
        <v>0</v>
      </c>
      <c r="K314" s="0" t="n">
        <v>3</v>
      </c>
      <c r="L314" s="0" t="n">
        <v>3</v>
      </c>
    </row>
    <row r="315" customFormat="false" ht="15" hidden="false" customHeight="false" outlineLevel="0" collapsed="false">
      <c r="A315" s="5" t="n">
        <v>40337</v>
      </c>
      <c r="B315" s="6" t="s">
        <v>62</v>
      </c>
      <c r="C315" s="6" t="s">
        <v>64</v>
      </c>
      <c r="D315" s="0" t="n">
        <v>344.058089663646</v>
      </c>
      <c r="E315" s="0" t="n">
        <v>4.075714286</v>
      </c>
      <c r="F315" s="0" t="n">
        <v>1</v>
      </c>
      <c r="G315" s="0" t="n">
        <v>0</v>
      </c>
      <c r="H315" s="0" t="n">
        <v>1</v>
      </c>
      <c r="I315" s="0" t="n">
        <v>0</v>
      </c>
      <c r="J315" s="0" t="n">
        <v>0</v>
      </c>
      <c r="K315" s="0" t="n">
        <v>3</v>
      </c>
      <c r="L315" s="0" t="n">
        <v>3</v>
      </c>
    </row>
    <row r="316" customFormat="false" ht="15" hidden="false" customHeight="false" outlineLevel="0" collapsed="false">
      <c r="A316" s="5" t="n">
        <v>40344</v>
      </c>
      <c r="B316" s="6" t="s">
        <v>62</v>
      </c>
      <c r="C316" s="6" t="s">
        <v>64</v>
      </c>
      <c r="D316" s="0" t="n">
        <v>308.461413574345</v>
      </c>
      <c r="E316" s="0" t="n">
        <v>4.075714286</v>
      </c>
      <c r="F316" s="0" t="n">
        <v>1</v>
      </c>
      <c r="G316" s="0" t="n">
        <v>0</v>
      </c>
      <c r="H316" s="0" t="n">
        <v>0</v>
      </c>
      <c r="I316" s="0" t="n">
        <v>1</v>
      </c>
      <c r="J316" s="0" t="n">
        <v>0</v>
      </c>
      <c r="K316" s="0" t="n">
        <v>3</v>
      </c>
      <c r="L316" s="0" t="n">
        <v>3</v>
      </c>
    </row>
    <row r="317" customFormat="false" ht="15" hidden="false" customHeight="false" outlineLevel="0" collapsed="false">
      <c r="A317" s="5" t="n">
        <v>40351</v>
      </c>
      <c r="B317" s="6" t="s">
        <v>62</v>
      </c>
      <c r="C317" s="6" t="s">
        <v>64</v>
      </c>
      <c r="D317" s="0" t="n">
        <v>350.904742750509</v>
      </c>
      <c r="E317" s="0" t="n">
        <v>3.59</v>
      </c>
      <c r="F317" s="0" t="n">
        <v>1</v>
      </c>
      <c r="G317" s="0" t="n">
        <v>0</v>
      </c>
      <c r="H317" s="0" t="n">
        <v>0</v>
      </c>
      <c r="I317" s="0" t="n">
        <v>1</v>
      </c>
      <c r="J317" s="0" t="n">
        <v>0</v>
      </c>
      <c r="K317" s="0" t="n">
        <v>3</v>
      </c>
      <c r="L317" s="0" t="n">
        <v>3</v>
      </c>
    </row>
    <row r="318" customFormat="false" ht="15" hidden="false" customHeight="false" outlineLevel="0" collapsed="false">
      <c r="A318" s="5" t="n">
        <v>40358</v>
      </c>
      <c r="B318" s="6" t="s">
        <v>62</v>
      </c>
      <c r="C318" s="6" t="s">
        <v>64</v>
      </c>
      <c r="D318" s="0" t="n">
        <v>333.065646166782</v>
      </c>
      <c r="E318" s="0" t="n">
        <v>4.056666667</v>
      </c>
      <c r="F318" s="0" t="n">
        <v>1</v>
      </c>
      <c r="G318" s="0" t="n">
        <v>0</v>
      </c>
      <c r="H318" s="0" t="n">
        <v>0</v>
      </c>
      <c r="I318" s="0" t="n">
        <v>1</v>
      </c>
      <c r="J318" s="0" t="n">
        <v>0</v>
      </c>
      <c r="K318" s="0" t="n">
        <v>3</v>
      </c>
      <c r="L318" s="0" t="n">
        <v>3</v>
      </c>
    </row>
    <row r="319" customFormat="false" ht="15" hidden="false" customHeight="false" outlineLevel="0" collapsed="false">
      <c r="A319" s="5" t="n">
        <v>40365</v>
      </c>
      <c r="B319" s="6" t="s">
        <v>62</v>
      </c>
      <c r="C319" s="6" t="s">
        <v>64</v>
      </c>
      <c r="D319" s="0" t="n">
        <v>352.880129956889</v>
      </c>
      <c r="E319" s="0" t="n">
        <v>3.373571429</v>
      </c>
      <c r="F319" s="0" t="n">
        <v>1</v>
      </c>
      <c r="G319" s="0" t="n">
        <v>0</v>
      </c>
      <c r="H319" s="0" t="n">
        <v>0</v>
      </c>
      <c r="I319" s="0" t="n">
        <v>0</v>
      </c>
      <c r="J319" s="0" t="n">
        <v>1</v>
      </c>
      <c r="K319" s="0" t="n">
        <v>3</v>
      </c>
      <c r="L319" s="0" t="n">
        <v>3</v>
      </c>
    </row>
    <row r="320" customFormat="false" ht="15" hidden="false" customHeight="false" outlineLevel="0" collapsed="false">
      <c r="A320" s="5" t="n">
        <v>40372</v>
      </c>
      <c r="B320" s="6" t="s">
        <v>62</v>
      </c>
      <c r="C320" s="6" t="s">
        <v>64</v>
      </c>
      <c r="D320" s="0" t="n">
        <v>348.121370232371</v>
      </c>
      <c r="E320" s="0" t="n">
        <v>4.114</v>
      </c>
      <c r="F320" s="0" t="n">
        <v>1</v>
      </c>
      <c r="G320" s="0" t="n">
        <v>0</v>
      </c>
      <c r="H320" s="0" t="n">
        <v>0</v>
      </c>
      <c r="I320" s="0" t="n">
        <v>0</v>
      </c>
      <c r="J320" s="0" t="n">
        <v>1</v>
      </c>
      <c r="K320" s="0" t="n">
        <v>3</v>
      </c>
      <c r="L320" s="0" t="n">
        <v>3</v>
      </c>
    </row>
    <row r="321" customFormat="false" ht="15" hidden="false" customHeight="false" outlineLevel="0" collapsed="false">
      <c r="A321" s="5" t="n">
        <v>40302</v>
      </c>
      <c r="B321" s="6" t="s">
        <v>62</v>
      </c>
      <c r="C321" s="6" t="s">
        <v>65</v>
      </c>
      <c r="D321" s="0" t="n">
        <v>314.561765375989</v>
      </c>
      <c r="E321" s="0" t="n">
        <v>4.167777778</v>
      </c>
      <c r="F321" s="0" t="n">
        <v>1</v>
      </c>
      <c r="G321" s="0" t="n">
        <v>0</v>
      </c>
      <c r="H321" s="0" t="n">
        <v>0</v>
      </c>
      <c r="I321" s="0" t="n">
        <v>0</v>
      </c>
      <c r="J321" s="0" t="n">
        <v>0</v>
      </c>
      <c r="K321" s="0" t="n">
        <v>1</v>
      </c>
      <c r="L321" s="0" t="n">
        <v>4</v>
      </c>
    </row>
    <row r="322" customFormat="false" ht="15" hidden="false" customHeight="false" outlineLevel="0" collapsed="false">
      <c r="A322" s="5" t="n">
        <v>40309</v>
      </c>
      <c r="B322" s="6" t="s">
        <v>62</v>
      </c>
      <c r="C322" s="6" t="s">
        <v>65</v>
      </c>
      <c r="D322" s="0" t="n">
        <v>197.926628245649</v>
      </c>
      <c r="E322" s="0" t="n">
        <v>4.167777778</v>
      </c>
      <c r="F322" s="0" t="n">
        <v>1</v>
      </c>
      <c r="G322" s="0" t="n">
        <v>0</v>
      </c>
      <c r="H322" s="0" t="n">
        <v>0</v>
      </c>
      <c r="I322" s="0" t="n">
        <v>0</v>
      </c>
      <c r="J322" s="0" t="n">
        <v>0</v>
      </c>
      <c r="K322" s="0" t="n">
        <v>1</v>
      </c>
      <c r="L322" s="0" t="n">
        <v>4</v>
      </c>
    </row>
    <row r="323" customFormat="false" ht="15" hidden="false" customHeight="false" outlineLevel="0" collapsed="false">
      <c r="A323" s="5" t="n">
        <v>40316</v>
      </c>
      <c r="B323" s="6" t="s">
        <v>62</v>
      </c>
      <c r="C323" s="6" t="s">
        <v>65</v>
      </c>
      <c r="D323" s="0" t="n">
        <v>204.791838717784</v>
      </c>
      <c r="E323" s="0" t="n">
        <v>3.543846154</v>
      </c>
      <c r="F323" s="0" t="n">
        <v>1</v>
      </c>
      <c r="G323" s="0" t="n">
        <v>0</v>
      </c>
      <c r="H323" s="0" t="n">
        <v>0</v>
      </c>
      <c r="I323" s="0" t="n">
        <v>0</v>
      </c>
      <c r="J323" s="0" t="n">
        <v>0</v>
      </c>
      <c r="K323" s="0" t="n">
        <v>1</v>
      </c>
      <c r="L323" s="0" t="n">
        <v>4</v>
      </c>
    </row>
    <row r="324" customFormat="false" ht="15" hidden="false" customHeight="false" outlineLevel="0" collapsed="false">
      <c r="A324" s="5" t="n">
        <v>40323</v>
      </c>
      <c r="B324" s="6" t="s">
        <v>62</v>
      </c>
      <c r="C324" s="6" t="s">
        <v>65</v>
      </c>
      <c r="D324" s="0" t="n">
        <v>181.474055781315</v>
      </c>
      <c r="E324" s="0" t="n">
        <v>3.64</v>
      </c>
      <c r="F324" s="0" t="n">
        <v>1</v>
      </c>
      <c r="G324" s="0" t="n">
        <v>0</v>
      </c>
      <c r="H324" s="0" t="n">
        <v>0</v>
      </c>
      <c r="I324" s="0" t="n">
        <v>0</v>
      </c>
      <c r="J324" s="0" t="n">
        <v>0</v>
      </c>
      <c r="K324" s="0" t="n">
        <v>1</v>
      </c>
      <c r="L324" s="0" t="n">
        <v>4</v>
      </c>
    </row>
    <row r="325" customFormat="false" ht="15" hidden="false" customHeight="false" outlineLevel="0" collapsed="false">
      <c r="A325" s="5" t="n">
        <v>40330</v>
      </c>
      <c r="B325" s="6" t="s">
        <v>62</v>
      </c>
      <c r="C325" s="6" t="s">
        <v>65</v>
      </c>
      <c r="D325" s="0" t="n">
        <v>287.24276312415</v>
      </c>
      <c r="E325" s="0" t="n">
        <v>3.543846154</v>
      </c>
      <c r="F325" s="0" t="n">
        <v>1</v>
      </c>
      <c r="G325" s="0" t="n">
        <v>0</v>
      </c>
      <c r="H325" s="0" t="n">
        <v>0</v>
      </c>
      <c r="I325" s="0" t="n">
        <v>0</v>
      </c>
      <c r="J325" s="0" t="n">
        <v>0</v>
      </c>
      <c r="K325" s="0" t="n">
        <v>1</v>
      </c>
      <c r="L325" s="0" t="n">
        <v>4</v>
      </c>
    </row>
    <row r="326" customFormat="false" ht="15" hidden="false" customHeight="false" outlineLevel="0" collapsed="false">
      <c r="A326" s="5" t="n">
        <v>40337</v>
      </c>
      <c r="B326" s="6" t="s">
        <v>62</v>
      </c>
      <c r="C326" s="6" t="s">
        <v>65</v>
      </c>
      <c r="D326" s="0" t="n">
        <v>112.291422195347</v>
      </c>
      <c r="E326" s="0" t="n">
        <v>3.774615385</v>
      </c>
      <c r="F326" s="0" t="n">
        <v>1</v>
      </c>
      <c r="G326" s="0" t="n">
        <v>0</v>
      </c>
      <c r="H326" s="0" t="n">
        <v>0</v>
      </c>
      <c r="I326" s="0" t="n">
        <v>0</v>
      </c>
      <c r="J326" s="0" t="n">
        <v>0</v>
      </c>
      <c r="K326" s="0" t="n">
        <v>1</v>
      </c>
      <c r="L326" s="0" t="n">
        <v>4</v>
      </c>
    </row>
    <row r="327" customFormat="false" ht="15" hidden="false" customHeight="false" outlineLevel="0" collapsed="false">
      <c r="A327" s="5" t="n">
        <v>40344</v>
      </c>
      <c r="B327" s="6" t="s">
        <v>62</v>
      </c>
      <c r="C327" s="6" t="s">
        <v>65</v>
      </c>
      <c r="D327" s="0" t="n">
        <v>232.401877861226</v>
      </c>
      <c r="E327" s="0" t="n">
        <v>3.818571429</v>
      </c>
      <c r="F327" s="0" t="n">
        <v>1</v>
      </c>
      <c r="G327" s="0" t="n">
        <v>0</v>
      </c>
      <c r="H327" s="0" t="n">
        <v>0</v>
      </c>
      <c r="I327" s="0" t="n">
        <v>0</v>
      </c>
      <c r="J327" s="0" t="n">
        <v>0</v>
      </c>
      <c r="K327" s="0" t="n">
        <v>1</v>
      </c>
      <c r="L327" s="0" t="n">
        <v>4</v>
      </c>
    </row>
    <row r="328" customFormat="false" ht="15" hidden="false" customHeight="false" outlineLevel="0" collapsed="false">
      <c r="A328" s="5" t="n">
        <v>40351</v>
      </c>
      <c r="B328" s="6" t="s">
        <v>62</v>
      </c>
      <c r="C328" s="6" t="s">
        <v>65</v>
      </c>
      <c r="D328" s="0" t="n">
        <v>227.440315635017</v>
      </c>
      <c r="E328" s="0" t="n">
        <v>3.818571429</v>
      </c>
      <c r="F328" s="0" t="n">
        <v>1</v>
      </c>
      <c r="G328" s="0" t="n">
        <v>0</v>
      </c>
      <c r="H328" s="0" t="n">
        <v>0</v>
      </c>
      <c r="I328" s="0" t="n">
        <v>0</v>
      </c>
      <c r="J328" s="0" t="n">
        <v>0</v>
      </c>
      <c r="K328" s="0" t="n">
        <v>1</v>
      </c>
      <c r="L328" s="0" t="n">
        <v>4</v>
      </c>
    </row>
    <row r="329" customFormat="false" ht="15" hidden="false" customHeight="false" outlineLevel="0" collapsed="false">
      <c r="A329" s="5" t="n">
        <v>40358</v>
      </c>
      <c r="B329" s="6" t="s">
        <v>62</v>
      </c>
      <c r="C329" s="6" t="s">
        <v>65</v>
      </c>
      <c r="D329" s="0" t="n">
        <v>279.662361094734</v>
      </c>
      <c r="E329" s="0" t="n">
        <v>3.818571429</v>
      </c>
      <c r="F329" s="0" t="n">
        <v>1</v>
      </c>
      <c r="G329" s="0" t="n">
        <v>0</v>
      </c>
      <c r="H329" s="0" t="n">
        <v>0</v>
      </c>
      <c r="I329" s="0" t="n">
        <v>0</v>
      </c>
      <c r="J329" s="0" t="n">
        <v>0</v>
      </c>
      <c r="K329" s="0" t="n">
        <v>1</v>
      </c>
      <c r="L329" s="0" t="n">
        <v>4</v>
      </c>
    </row>
    <row r="330" customFormat="false" ht="15" hidden="false" customHeight="false" outlineLevel="0" collapsed="false">
      <c r="A330" s="5" t="n">
        <v>40365</v>
      </c>
      <c r="B330" s="6" t="s">
        <v>62</v>
      </c>
      <c r="C330" s="6" t="s">
        <v>65</v>
      </c>
      <c r="D330" s="0" t="n">
        <v>253.473037990157</v>
      </c>
      <c r="E330" s="0" t="n">
        <v>3.373571429</v>
      </c>
      <c r="F330" s="0" t="n">
        <v>1</v>
      </c>
      <c r="G330" s="0" t="n">
        <v>0</v>
      </c>
      <c r="H330" s="0" t="n">
        <v>0</v>
      </c>
      <c r="I330" s="0" t="n">
        <v>0</v>
      </c>
      <c r="J330" s="0" t="n">
        <v>0</v>
      </c>
      <c r="K330" s="0" t="n">
        <v>1</v>
      </c>
      <c r="L330" s="0" t="n">
        <v>4</v>
      </c>
    </row>
    <row r="331" customFormat="false" ht="15" hidden="false" customHeight="false" outlineLevel="0" collapsed="false">
      <c r="A331" s="5" t="n">
        <v>40372</v>
      </c>
      <c r="B331" s="6" t="s">
        <v>62</v>
      </c>
      <c r="C331" s="6" t="s">
        <v>65</v>
      </c>
      <c r="D331" s="0" t="n">
        <v>231.832568575003</v>
      </c>
      <c r="E331" s="0" t="n">
        <v>3.373571429</v>
      </c>
      <c r="F331" s="0" t="n">
        <v>1</v>
      </c>
      <c r="G331" s="0" t="n">
        <v>0</v>
      </c>
      <c r="H331" s="0" t="n">
        <v>0</v>
      </c>
      <c r="I331" s="0" t="n">
        <v>0</v>
      </c>
      <c r="J331" s="0" t="n">
        <v>0</v>
      </c>
      <c r="K331" s="0" t="n">
        <v>1</v>
      </c>
      <c r="L331" s="0" t="n">
        <v>4</v>
      </c>
    </row>
    <row r="332" customFormat="false" ht="15" hidden="false" customHeight="false" outlineLevel="0" collapsed="false">
      <c r="A332" s="5" t="n">
        <v>40302</v>
      </c>
      <c r="B332" s="6" t="s">
        <v>62</v>
      </c>
      <c r="C332" s="6" t="s">
        <v>66</v>
      </c>
      <c r="D332" s="0" t="n">
        <v>207.122068482975</v>
      </c>
      <c r="E332" s="0" t="n">
        <v>4.612222222</v>
      </c>
      <c r="F332" s="0" t="n">
        <v>1</v>
      </c>
      <c r="G332" s="0" t="n">
        <v>0</v>
      </c>
      <c r="H332" s="0" t="n">
        <v>0</v>
      </c>
      <c r="I332" s="0" t="n">
        <v>0</v>
      </c>
      <c r="J332" s="0" t="n">
        <v>0</v>
      </c>
      <c r="K332" s="0" t="n">
        <v>1</v>
      </c>
      <c r="L332" s="0" t="n">
        <v>5</v>
      </c>
    </row>
    <row r="333" customFormat="false" ht="15" hidden="false" customHeight="false" outlineLevel="0" collapsed="false">
      <c r="A333" s="5" t="n">
        <v>40309</v>
      </c>
      <c r="B333" s="6" t="s">
        <v>62</v>
      </c>
      <c r="C333" s="6" t="s">
        <v>66</v>
      </c>
      <c r="D333" s="0" t="n">
        <v>191.00311729794</v>
      </c>
      <c r="E333" s="0" t="n">
        <v>4.612222222</v>
      </c>
      <c r="F333" s="0" t="n">
        <v>1</v>
      </c>
      <c r="G333" s="0" t="n">
        <v>0</v>
      </c>
      <c r="H333" s="0" t="n">
        <v>0</v>
      </c>
      <c r="I333" s="0" t="n">
        <v>0</v>
      </c>
      <c r="J333" s="0" t="n">
        <v>0</v>
      </c>
      <c r="K333" s="0" t="n">
        <v>1</v>
      </c>
      <c r="L333" s="0" t="n">
        <v>5</v>
      </c>
    </row>
    <row r="334" customFormat="false" ht="15" hidden="false" customHeight="false" outlineLevel="0" collapsed="false">
      <c r="A334" s="5" t="n">
        <v>40316</v>
      </c>
      <c r="B334" s="6" t="s">
        <v>62</v>
      </c>
      <c r="C334" s="6" t="s">
        <v>66</v>
      </c>
      <c r="D334" s="0" t="n">
        <v>209.202752610037</v>
      </c>
      <c r="E334" s="0" t="n">
        <v>4</v>
      </c>
      <c r="F334" s="0" t="n">
        <v>1</v>
      </c>
      <c r="G334" s="0" t="n">
        <v>0</v>
      </c>
      <c r="H334" s="0" t="n">
        <v>0</v>
      </c>
      <c r="I334" s="0" t="n">
        <v>0</v>
      </c>
      <c r="J334" s="0" t="n">
        <v>0</v>
      </c>
      <c r="K334" s="0" t="n">
        <v>1</v>
      </c>
      <c r="L334" s="0" t="n">
        <v>5</v>
      </c>
    </row>
    <row r="335" customFormat="false" ht="15" hidden="false" customHeight="false" outlineLevel="0" collapsed="false">
      <c r="A335" s="5" t="n">
        <v>40323</v>
      </c>
      <c r="B335" s="6" t="s">
        <v>62</v>
      </c>
      <c r="C335" s="6" t="s">
        <v>66</v>
      </c>
      <c r="D335" s="0" t="n">
        <v>334.171344721518</v>
      </c>
      <c r="E335" s="0" t="n">
        <v>3.834444444</v>
      </c>
      <c r="F335" s="0" t="n">
        <v>1</v>
      </c>
      <c r="G335" s="0" t="n">
        <v>0</v>
      </c>
      <c r="H335" s="0" t="n">
        <v>0</v>
      </c>
      <c r="I335" s="0" t="n">
        <v>0</v>
      </c>
      <c r="J335" s="0" t="n">
        <v>0</v>
      </c>
      <c r="K335" s="0" t="n">
        <v>1</v>
      </c>
      <c r="L335" s="0" t="n">
        <v>5</v>
      </c>
    </row>
    <row r="336" customFormat="false" ht="15" hidden="false" customHeight="false" outlineLevel="0" collapsed="false">
      <c r="A336" s="5" t="n">
        <v>40330</v>
      </c>
      <c r="B336" s="6" t="s">
        <v>62</v>
      </c>
      <c r="C336" s="6" t="s">
        <v>66</v>
      </c>
      <c r="D336" s="0" t="n">
        <v>269.535938541302</v>
      </c>
      <c r="E336" s="0" t="n">
        <v>3.73</v>
      </c>
      <c r="F336" s="0" t="n">
        <v>1</v>
      </c>
      <c r="G336" s="0" t="n">
        <v>0</v>
      </c>
      <c r="H336" s="0" t="n">
        <v>0</v>
      </c>
      <c r="I336" s="0" t="n">
        <v>0</v>
      </c>
      <c r="J336" s="0" t="n">
        <v>0</v>
      </c>
      <c r="K336" s="0" t="n">
        <v>1</v>
      </c>
      <c r="L336" s="0" t="n">
        <v>5</v>
      </c>
    </row>
    <row r="337" customFormat="false" ht="15" hidden="false" customHeight="false" outlineLevel="0" collapsed="false">
      <c r="A337" s="5" t="n">
        <v>40337</v>
      </c>
      <c r="B337" s="6" t="s">
        <v>62</v>
      </c>
      <c r="C337" s="6" t="s">
        <v>66</v>
      </c>
      <c r="D337" s="0" t="n">
        <v>345.826634934465</v>
      </c>
      <c r="E337" s="0" t="n">
        <v>4.096666667</v>
      </c>
      <c r="F337" s="0" t="n">
        <v>1</v>
      </c>
      <c r="G337" s="0" t="n">
        <v>0</v>
      </c>
      <c r="H337" s="0" t="n">
        <v>0</v>
      </c>
      <c r="I337" s="0" t="n">
        <v>0</v>
      </c>
      <c r="J337" s="0" t="n">
        <v>0</v>
      </c>
      <c r="K337" s="0" t="n">
        <v>1</v>
      </c>
      <c r="L337" s="0" t="n">
        <v>5</v>
      </c>
    </row>
    <row r="338" customFormat="false" ht="15" hidden="false" customHeight="false" outlineLevel="0" collapsed="false">
      <c r="A338" s="5" t="n">
        <v>40344</v>
      </c>
      <c r="B338" s="6" t="s">
        <v>62</v>
      </c>
      <c r="C338" s="6" t="s">
        <v>66</v>
      </c>
      <c r="D338" s="0" t="n">
        <v>232.059360224844</v>
      </c>
      <c r="E338" s="0" t="n">
        <v>4.075714286</v>
      </c>
      <c r="F338" s="0" t="n">
        <v>1</v>
      </c>
      <c r="G338" s="0" t="n">
        <v>0</v>
      </c>
      <c r="H338" s="0" t="n">
        <v>0</v>
      </c>
      <c r="I338" s="0" t="n">
        <v>0</v>
      </c>
      <c r="J338" s="0" t="n">
        <v>0</v>
      </c>
      <c r="K338" s="0" t="n">
        <v>1</v>
      </c>
      <c r="L338" s="0" t="n">
        <v>5</v>
      </c>
    </row>
    <row r="339" customFormat="false" ht="15" hidden="false" customHeight="false" outlineLevel="0" collapsed="false">
      <c r="A339" s="5" t="n">
        <v>40351</v>
      </c>
      <c r="B339" s="6" t="s">
        <v>62</v>
      </c>
      <c r="C339" s="6" t="s">
        <v>66</v>
      </c>
      <c r="D339" s="0" t="n">
        <v>196.244132587469</v>
      </c>
      <c r="E339" s="0" t="n">
        <v>4.096666667</v>
      </c>
      <c r="F339" s="0" t="n">
        <v>1</v>
      </c>
      <c r="G339" s="0" t="n">
        <v>0</v>
      </c>
      <c r="H339" s="0" t="n">
        <v>0</v>
      </c>
      <c r="I339" s="0" t="n">
        <v>0</v>
      </c>
      <c r="J339" s="0" t="n">
        <v>0</v>
      </c>
      <c r="K339" s="0" t="n">
        <v>1</v>
      </c>
      <c r="L339" s="0" t="n">
        <v>5</v>
      </c>
    </row>
    <row r="340" customFormat="false" ht="15" hidden="false" customHeight="false" outlineLevel="0" collapsed="false">
      <c r="A340" s="5" t="n">
        <v>40358</v>
      </c>
      <c r="B340" s="6" t="s">
        <v>62</v>
      </c>
      <c r="C340" s="6" t="s">
        <v>66</v>
      </c>
      <c r="D340" s="0" t="n">
        <v>269.964105560118</v>
      </c>
      <c r="E340" s="0" t="n">
        <v>4.075714286</v>
      </c>
      <c r="F340" s="0" t="n">
        <v>1</v>
      </c>
      <c r="G340" s="0" t="n">
        <v>0</v>
      </c>
      <c r="H340" s="0" t="n">
        <v>0</v>
      </c>
      <c r="I340" s="0" t="n">
        <v>0</v>
      </c>
      <c r="J340" s="0" t="n">
        <v>0</v>
      </c>
      <c r="K340" s="0" t="n">
        <v>1</v>
      </c>
      <c r="L340" s="0" t="n">
        <v>5</v>
      </c>
    </row>
    <row r="341" customFormat="false" ht="15" hidden="false" customHeight="false" outlineLevel="0" collapsed="false">
      <c r="A341" s="5" t="n">
        <v>40365</v>
      </c>
      <c r="B341" s="6" t="s">
        <v>62</v>
      </c>
      <c r="C341" s="6" t="s">
        <v>66</v>
      </c>
      <c r="D341" s="0" t="n">
        <v>256.614890328142</v>
      </c>
      <c r="E341" s="0" t="n">
        <v>3.5375</v>
      </c>
      <c r="F341" s="0" t="n">
        <v>1</v>
      </c>
      <c r="G341" s="0" t="n">
        <v>0</v>
      </c>
      <c r="H341" s="0" t="n">
        <v>0</v>
      </c>
      <c r="I341" s="0" t="n">
        <v>0</v>
      </c>
      <c r="J341" s="0" t="n">
        <v>0</v>
      </c>
      <c r="K341" s="0" t="n">
        <v>1</v>
      </c>
      <c r="L341" s="0" t="n">
        <v>5</v>
      </c>
    </row>
    <row r="342" customFormat="false" ht="15" hidden="false" customHeight="false" outlineLevel="0" collapsed="false">
      <c r="A342" s="5" t="n">
        <v>40372</v>
      </c>
      <c r="B342" s="6" t="s">
        <v>62</v>
      </c>
      <c r="C342" s="6" t="s">
        <v>66</v>
      </c>
      <c r="D342" s="0" t="n">
        <v>244.193871472733</v>
      </c>
      <c r="E342" s="0" t="n">
        <v>3.496363636</v>
      </c>
      <c r="F342" s="0" t="n">
        <v>1</v>
      </c>
      <c r="G342" s="0" t="n">
        <v>0</v>
      </c>
      <c r="H342" s="0" t="n">
        <v>0</v>
      </c>
      <c r="I342" s="0" t="n">
        <v>0</v>
      </c>
      <c r="J342" s="0" t="n">
        <v>0</v>
      </c>
      <c r="K342" s="0" t="n">
        <v>1</v>
      </c>
      <c r="L342" s="0" t="n">
        <v>5</v>
      </c>
    </row>
    <row r="343" customFormat="false" ht="15" hidden="false" customHeight="false" outlineLevel="0" collapsed="false">
      <c r="A343" s="5" t="n">
        <v>40302</v>
      </c>
      <c r="B343" s="6" t="s">
        <v>62</v>
      </c>
      <c r="C343" s="6" t="s">
        <v>67</v>
      </c>
      <c r="D343" s="0" t="n">
        <v>173.61154686237</v>
      </c>
      <c r="E343" s="0" t="n">
        <v>4.55</v>
      </c>
      <c r="F343" s="0" t="n">
        <v>1</v>
      </c>
      <c r="G343" s="0" t="n">
        <v>0</v>
      </c>
      <c r="H343" s="0" t="n">
        <v>0</v>
      </c>
      <c r="I343" s="0" t="n">
        <v>0</v>
      </c>
      <c r="J343" s="0" t="n">
        <v>0</v>
      </c>
      <c r="K343" s="0" t="n">
        <v>1</v>
      </c>
      <c r="L343" s="0" t="n">
        <v>2</v>
      </c>
    </row>
    <row r="344" customFormat="false" ht="15" hidden="false" customHeight="false" outlineLevel="0" collapsed="false">
      <c r="A344" s="5" t="n">
        <v>40309</v>
      </c>
      <c r="B344" s="6" t="s">
        <v>62</v>
      </c>
      <c r="C344" s="6" t="s">
        <v>67</v>
      </c>
      <c r="D344" s="0" t="n">
        <v>279.768936595041</v>
      </c>
      <c r="E344" s="0" t="n">
        <v>4.023333333</v>
      </c>
      <c r="F344" s="0" t="n">
        <v>1</v>
      </c>
      <c r="G344" s="0" t="n">
        <v>0</v>
      </c>
      <c r="H344" s="0" t="n">
        <v>0</v>
      </c>
      <c r="I344" s="0" t="n">
        <v>0</v>
      </c>
      <c r="J344" s="0" t="n">
        <v>0</v>
      </c>
      <c r="K344" s="0" t="n">
        <v>1</v>
      </c>
      <c r="L344" s="0" t="n">
        <v>2</v>
      </c>
    </row>
    <row r="345" customFormat="false" ht="15" hidden="false" customHeight="false" outlineLevel="0" collapsed="false">
      <c r="A345" s="5" t="n">
        <v>40316</v>
      </c>
      <c r="B345" s="6" t="s">
        <v>62</v>
      </c>
      <c r="C345" s="6" t="s">
        <v>67</v>
      </c>
      <c r="D345" s="0" t="n">
        <v>237.154648730573</v>
      </c>
      <c r="E345" s="0" t="n">
        <v>3.73</v>
      </c>
      <c r="F345" s="0" t="n">
        <v>1</v>
      </c>
      <c r="G345" s="0" t="n">
        <v>0</v>
      </c>
      <c r="H345" s="0" t="n">
        <v>0</v>
      </c>
      <c r="I345" s="0" t="n">
        <v>0</v>
      </c>
      <c r="J345" s="0" t="n">
        <v>0</v>
      </c>
      <c r="K345" s="0" t="n">
        <v>1</v>
      </c>
      <c r="L345" s="0" t="n">
        <v>2</v>
      </c>
    </row>
    <row r="346" customFormat="false" ht="15" hidden="false" customHeight="false" outlineLevel="0" collapsed="false">
      <c r="A346" s="5" t="n">
        <v>40323</v>
      </c>
      <c r="B346" s="6" t="s">
        <v>62</v>
      </c>
      <c r="C346" s="6" t="s">
        <v>67</v>
      </c>
      <c r="D346" s="0" t="n">
        <v>253.023844455869</v>
      </c>
      <c r="E346" s="0" t="n">
        <v>3.73</v>
      </c>
      <c r="F346" s="0" t="n">
        <v>1</v>
      </c>
      <c r="G346" s="0" t="n">
        <v>0</v>
      </c>
      <c r="H346" s="0" t="n">
        <v>0</v>
      </c>
      <c r="I346" s="0" t="n">
        <v>0</v>
      </c>
      <c r="J346" s="0" t="n">
        <v>0</v>
      </c>
      <c r="K346" s="0" t="n">
        <v>1</v>
      </c>
      <c r="L346" s="0" t="n">
        <v>2</v>
      </c>
    </row>
    <row r="347" customFormat="false" ht="15" hidden="false" customHeight="false" outlineLevel="0" collapsed="false">
      <c r="A347" s="5" t="n">
        <v>40330</v>
      </c>
      <c r="B347" s="6" t="s">
        <v>62</v>
      </c>
      <c r="C347" s="6" t="s">
        <v>67</v>
      </c>
      <c r="D347" s="0" t="n">
        <v>208.0575834061</v>
      </c>
      <c r="E347" s="0" t="n">
        <v>3.898333333</v>
      </c>
      <c r="F347" s="0" t="n">
        <v>1</v>
      </c>
      <c r="G347" s="0" t="n">
        <v>0</v>
      </c>
      <c r="H347" s="0" t="n">
        <v>0</v>
      </c>
      <c r="I347" s="0" t="n">
        <v>0</v>
      </c>
      <c r="J347" s="0" t="n">
        <v>0</v>
      </c>
      <c r="K347" s="0" t="n">
        <v>1</v>
      </c>
      <c r="L347" s="0" t="n">
        <v>2</v>
      </c>
    </row>
    <row r="348" customFormat="false" ht="15" hidden="false" customHeight="false" outlineLevel="0" collapsed="false">
      <c r="A348" s="5" t="n">
        <v>40337</v>
      </c>
      <c r="B348" s="6" t="s">
        <v>62</v>
      </c>
      <c r="C348" s="6" t="s">
        <v>67</v>
      </c>
      <c r="D348" s="0" t="n">
        <v>275.395383391308</v>
      </c>
      <c r="E348" s="0" t="n">
        <v>4.096666667</v>
      </c>
      <c r="F348" s="0" t="n">
        <v>1</v>
      </c>
      <c r="G348" s="0" t="n">
        <v>0</v>
      </c>
      <c r="H348" s="0" t="n">
        <v>0</v>
      </c>
      <c r="I348" s="0" t="n">
        <v>0</v>
      </c>
      <c r="J348" s="0" t="n">
        <v>0</v>
      </c>
      <c r="K348" s="0" t="n">
        <v>1</v>
      </c>
      <c r="L348" s="0" t="n">
        <v>2</v>
      </c>
    </row>
    <row r="349" customFormat="false" ht="15" hidden="false" customHeight="false" outlineLevel="0" collapsed="false">
      <c r="A349" s="5" t="n">
        <v>40344</v>
      </c>
      <c r="B349" s="6" t="s">
        <v>62</v>
      </c>
      <c r="C349" s="6" t="s">
        <v>67</v>
      </c>
      <c r="D349" s="0" t="n">
        <v>272.445036415535</v>
      </c>
      <c r="E349" s="0" t="n">
        <v>4.618571429</v>
      </c>
      <c r="F349" s="0" t="n">
        <v>1</v>
      </c>
      <c r="G349" s="0" t="n">
        <v>0</v>
      </c>
      <c r="H349" s="0" t="n">
        <v>0</v>
      </c>
      <c r="I349" s="0" t="n">
        <v>0</v>
      </c>
      <c r="J349" s="0" t="n">
        <v>0</v>
      </c>
      <c r="K349" s="0" t="n">
        <v>1</v>
      </c>
      <c r="L349" s="0" t="n">
        <v>2</v>
      </c>
    </row>
    <row r="350" customFormat="false" ht="15" hidden="false" customHeight="false" outlineLevel="0" collapsed="false">
      <c r="A350" s="5" t="n">
        <v>40351</v>
      </c>
      <c r="B350" s="6" t="s">
        <v>62</v>
      </c>
      <c r="C350" s="6" t="s">
        <v>67</v>
      </c>
      <c r="D350" s="0" t="n">
        <v>257.056476171728</v>
      </c>
      <c r="E350" s="0" t="n">
        <v>4.096666667</v>
      </c>
      <c r="F350" s="0" t="n">
        <v>1</v>
      </c>
      <c r="G350" s="0" t="n">
        <v>0</v>
      </c>
      <c r="H350" s="0" t="n">
        <v>0</v>
      </c>
      <c r="I350" s="0" t="n">
        <v>0</v>
      </c>
      <c r="J350" s="0" t="n">
        <v>0</v>
      </c>
      <c r="K350" s="0" t="n">
        <v>1</v>
      </c>
      <c r="L350" s="0" t="n">
        <v>2</v>
      </c>
    </row>
    <row r="351" customFormat="false" ht="15" hidden="false" customHeight="false" outlineLevel="0" collapsed="false">
      <c r="A351" s="5" t="n">
        <v>40358</v>
      </c>
      <c r="B351" s="6" t="s">
        <v>62</v>
      </c>
      <c r="C351" s="6" t="s">
        <v>67</v>
      </c>
      <c r="D351" s="0" t="n">
        <v>347.234632694625</v>
      </c>
      <c r="E351" s="0" t="n">
        <v>4.34</v>
      </c>
      <c r="F351" s="0" t="n">
        <v>1</v>
      </c>
      <c r="G351" s="0" t="n">
        <v>0</v>
      </c>
      <c r="H351" s="0" t="n">
        <v>1</v>
      </c>
      <c r="I351" s="0" t="n">
        <v>0</v>
      </c>
      <c r="J351" s="0" t="n">
        <v>0</v>
      </c>
      <c r="K351" s="0" t="n">
        <v>1</v>
      </c>
      <c r="L351" s="0" t="n">
        <v>2</v>
      </c>
    </row>
    <row r="352" customFormat="false" ht="15" hidden="false" customHeight="false" outlineLevel="0" collapsed="false">
      <c r="A352" s="5" t="n">
        <v>40365</v>
      </c>
      <c r="B352" s="6" t="s">
        <v>62</v>
      </c>
      <c r="C352" s="6" t="s">
        <v>67</v>
      </c>
      <c r="D352" s="0" t="n">
        <v>288.624908843513</v>
      </c>
      <c r="E352" s="0" t="n">
        <v>3.681333333</v>
      </c>
      <c r="F352" s="0" t="n">
        <v>1</v>
      </c>
      <c r="G352" s="0" t="n">
        <v>0</v>
      </c>
      <c r="H352" s="0" t="n">
        <v>0</v>
      </c>
      <c r="I352" s="0" t="n">
        <v>1</v>
      </c>
      <c r="J352" s="0" t="n">
        <v>0</v>
      </c>
      <c r="K352" s="0" t="n">
        <v>1</v>
      </c>
      <c r="L352" s="0" t="n">
        <v>2</v>
      </c>
    </row>
    <row r="353" customFormat="false" ht="15" hidden="false" customHeight="false" outlineLevel="0" collapsed="false">
      <c r="A353" s="5" t="n">
        <v>40372</v>
      </c>
      <c r="B353" s="6" t="s">
        <v>62</v>
      </c>
      <c r="C353" s="6" t="s">
        <v>67</v>
      </c>
      <c r="D353" s="0" t="n">
        <v>330.859008054363</v>
      </c>
      <c r="E353" s="0" t="n">
        <v>3.630714286</v>
      </c>
      <c r="F353" s="0" t="n">
        <v>1</v>
      </c>
      <c r="G353" s="0" t="n">
        <v>0</v>
      </c>
      <c r="H353" s="0" t="n">
        <v>0</v>
      </c>
      <c r="I353" s="0" t="n">
        <v>1</v>
      </c>
      <c r="J353" s="0" t="n">
        <v>0</v>
      </c>
      <c r="K353" s="0" t="n">
        <v>1</v>
      </c>
      <c r="L353" s="0" t="n">
        <v>2</v>
      </c>
    </row>
    <row r="354" customFormat="false" ht="15" hidden="false" customHeight="false" outlineLevel="0" collapsed="false">
      <c r="A354" s="5" t="n">
        <v>40302</v>
      </c>
      <c r="B354" s="6" t="s">
        <v>62</v>
      </c>
      <c r="C354" s="6" t="s">
        <v>68</v>
      </c>
      <c r="D354" s="0" t="n">
        <v>66.3866532139855</v>
      </c>
      <c r="E354" s="0" t="n">
        <v>4.612222222</v>
      </c>
      <c r="F354" s="0" t="n">
        <v>1</v>
      </c>
      <c r="G354" s="0" t="n">
        <v>0</v>
      </c>
      <c r="H354" s="0" t="n">
        <v>0</v>
      </c>
      <c r="I354" s="0" t="n">
        <v>0</v>
      </c>
      <c r="J354" s="0" t="n">
        <v>0</v>
      </c>
      <c r="K354" s="0" t="n">
        <v>2</v>
      </c>
      <c r="L354" s="0" t="n">
        <v>3</v>
      </c>
    </row>
    <row r="355" customFormat="false" ht="15" hidden="false" customHeight="false" outlineLevel="0" collapsed="false">
      <c r="A355" s="5" t="n">
        <v>40309</v>
      </c>
      <c r="B355" s="6" t="s">
        <v>62</v>
      </c>
      <c r="C355" s="6" t="s">
        <v>68</v>
      </c>
      <c r="D355" s="0" t="n">
        <v>267.690172845707</v>
      </c>
      <c r="E355" s="0" t="n">
        <v>4.612222222</v>
      </c>
      <c r="F355" s="0" t="n">
        <v>1</v>
      </c>
      <c r="G355" s="0" t="n">
        <v>0</v>
      </c>
      <c r="H355" s="0" t="n">
        <v>0</v>
      </c>
      <c r="I355" s="0" t="n">
        <v>0</v>
      </c>
      <c r="J355" s="0" t="n">
        <v>0</v>
      </c>
      <c r="K355" s="0" t="n">
        <v>2</v>
      </c>
      <c r="L355" s="0" t="n">
        <v>3</v>
      </c>
    </row>
    <row r="356" customFormat="false" ht="15" hidden="false" customHeight="false" outlineLevel="0" collapsed="false">
      <c r="A356" s="5" t="n">
        <v>40316</v>
      </c>
      <c r="B356" s="6" t="s">
        <v>62</v>
      </c>
      <c r="C356" s="6" t="s">
        <v>68</v>
      </c>
      <c r="D356" s="0" t="n">
        <v>191.368189952818</v>
      </c>
      <c r="E356" s="0" t="n">
        <v>4</v>
      </c>
      <c r="F356" s="0" t="n">
        <v>1</v>
      </c>
      <c r="G356" s="0" t="n">
        <v>0</v>
      </c>
      <c r="H356" s="0" t="n">
        <v>0</v>
      </c>
      <c r="I356" s="0" t="n">
        <v>0</v>
      </c>
      <c r="J356" s="0" t="n">
        <v>0</v>
      </c>
      <c r="K356" s="0" t="n">
        <v>2</v>
      </c>
      <c r="L356" s="0" t="n">
        <v>3</v>
      </c>
    </row>
    <row r="357" customFormat="false" ht="15" hidden="false" customHeight="false" outlineLevel="0" collapsed="false">
      <c r="A357" s="5" t="n">
        <v>40323</v>
      </c>
      <c r="B357" s="6" t="s">
        <v>62</v>
      </c>
      <c r="C357" s="6" t="s">
        <v>68</v>
      </c>
      <c r="D357" s="0" t="n">
        <v>285.858851568465</v>
      </c>
      <c r="E357" s="0" t="n">
        <v>3.956666667</v>
      </c>
      <c r="F357" s="0" t="n">
        <v>1</v>
      </c>
      <c r="G357" s="0" t="n">
        <v>0</v>
      </c>
      <c r="H357" s="0" t="n">
        <v>0</v>
      </c>
      <c r="I357" s="0" t="n">
        <v>0</v>
      </c>
      <c r="J357" s="0" t="n">
        <v>0</v>
      </c>
      <c r="K357" s="0" t="n">
        <v>2</v>
      </c>
      <c r="L357" s="0" t="n">
        <v>3</v>
      </c>
    </row>
    <row r="358" customFormat="false" ht="15" hidden="false" customHeight="false" outlineLevel="0" collapsed="false">
      <c r="A358" s="5" t="n">
        <v>40330</v>
      </c>
      <c r="B358" s="6" t="s">
        <v>62</v>
      </c>
      <c r="C358" s="6" t="s">
        <v>68</v>
      </c>
      <c r="D358" s="0" t="n">
        <v>275.693843987559</v>
      </c>
      <c r="E358" s="0" t="n">
        <v>3.671818182</v>
      </c>
      <c r="F358" s="0" t="n">
        <v>1</v>
      </c>
      <c r="G358" s="0" t="n">
        <v>0</v>
      </c>
      <c r="H358" s="0" t="n">
        <v>0</v>
      </c>
      <c r="I358" s="0" t="n">
        <v>0</v>
      </c>
      <c r="J358" s="0" t="n">
        <v>0</v>
      </c>
      <c r="K358" s="0" t="n">
        <v>2</v>
      </c>
      <c r="L358" s="0" t="n">
        <v>3</v>
      </c>
    </row>
    <row r="359" customFormat="false" ht="15" hidden="false" customHeight="false" outlineLevel="0" collapsed="false">
      <c r="A359" s="5" t="n">
        <v>40337</v>
      </c>
      <c r="B359" s="6" t="s">
        <v>62</v>
      </c>
      <c r="C359" s="6" t="s">
        <v>68</v>
      </c>
      <c r="D359" s="0" t="n">
        <v>226.226083396351</v>
      </c>
      <c r="E359" s="0" t="n">
        <v>4.075714286</v>
      </c>
      <c r="F359" s="0" t="n">
        <v>1</v>
      </c>
      <c r="G359" s="0" t="n">
        <v>0</v>
      </c>
      <c r="H359" s="0" t="n">
        <v>0</v>
      </c>
      <c r="I359" s="0" t="n">
        <v>0</v>
      </c>
      <c r="J359" s="0" t="n">
        <v>0</v>
      </c>
      <c r="K359" s="0" t="n">
        <v>2</v>
      </c>
      <c r="L359" s="0" t="n">
        <v>3</v>
      </c>
    </row>
    <row r="360" customFormat="false" ht="15" hidden="false" customHeight="false" outlineLevel="0" collapsed="false">
      <c r="A360" s="5" t="n">
        <v>40344</v>
      </c>
      <c r="B360" s="6" t="s">
        <v>62</v>
      </c>
      <c r="C360" s="6" t="s">
        <v>68</v>
      </c>
      <c r="D360" s="0" t="n">
        <v>413.477961227246</v>
      </c>
      <c r="E360" s="0" t="n">
        <v>3.774615385</v>
      </c>
      <c r="F360" s="0" t="n">
        <v>1</v>
      </c>
      <c r="G360" s="0" t="n">
        <v>0</v>
      </c>
      <c r="H360" s="0" t="n">
        <v>1</v>
      </c>
      <c r="I360" s="0" t="n">
        <v>0</v>
      </c>
      <c r="J360" s="0" t="n">
        <v>0</v>
      </c>
      <c r="K360" s="0" t="n">
        <v>2</v>
      </c>
      <c r="L360" s="0" t="n">
        <v>3</v>
      </c>
    </row>
    <row r="361" customFormat="false" ht="15" hidden="false" customHeight="false" outlineLevel="0" collapsed="false">
      <c r="A361" s="5" t="n">
        <v>40351</v>
      </c>
      <c r="B361" s="6" t="s">
        <v>62</v>
      </c>
      <c r="C361" s="6" t="s">
        <v>68</v>
      </c>
      <c r="D361" s="0" t="n">
        <v>326.331475940334</v>
      </c>
      <c r="E361" s="0" t="n">
        <v>4.075714286</v>
      </c>
      <c r="F361" s="0" t="n">
        <v>1</v>
      </c>
      <c r="G361" s="0" t="n">
        <v>0</v>
      </c>
      <c r="H361" s="0" t="n">
        <v>0</v>
      </c>
      <c r="I361" s="0" t="n">
        <v>1</v>
      </c>
      <c r="J361" s="0" t="n">
        <v>0</v>
      </c>
      <c r="K361" s="0" t="n">
        <v>2</v>
      </c>
      <c r="L361" s="0" t="n">
        <v>3</v>
      </c>
    </row>
    <row r="362" customFormat="false" ht="15" hidden="false" customHeight="false" outlineLevel="0" collapsed="false">
      <c r="A362" s="5" t="n">
        <v>40358</v>
      </c>
      <c r="B362" s="6" t="s">
        <v>62</v>
      </c>
      <c r="C362" s="6" t="s">
        <v>68</v>
      </c>
      <c r="D362" s="0" t="n">
        <v>460.869031845911</v>
      </c>
      <c r="E362" s="0" t="n">
        <v>4.475714286</v>
      </c>
      <c r="F362" s="0" t="n">
        <v>1</v>
      </c>
      <c r="G362" s="0" t="n">
        <v>0</v>
      </c>
      <c r="H362" s="0" t="n">
        <v>1</v>
      </c>
      <c r="I362" s="0" t="n">
        <v>1</v>
      </c>
      <c r="J362" s="0" t="n">
        <v>0</v>
      </c>
      <c r="K362" s="0" t="n">
        <v>2</v>
      </c>
      <c r="L362" s="0" t="n">
        <v>3</v>
      </c>
    </row>
    <row r="363" customFormat="false" ht="15" hidden="false" customHeight="false" outlineLevel="0" collapsed="false">
      <c r="A363" s="5" t="n">
        <v>40365</v>
      </c>
      <c r="B363" s="6" t="s">
        <v>62</v>
      </c>
      <c r="C363" s="6" t="s">
        <v>68</v>
      </c>
      <c r="D363" s="0" t="n">
        <v>352.877913799873</v>
      </c>
      <c r="E363" s="0" t="n">
        <v>3.681333333</v>
      </c>
      <c r="F363" s="0" t="n">
        <v>1</v>
      </c>
      <c r="G363" s="0" t="n">
        <v>0</v>
      </c>
      <c r="H363" s="0" t="n">
        <v>0</v>
      </c>
      <c r="I363" s="0" t="n">
        <v>1</v>
      </c>
      <c r="J363" s="0" t="n">
        <v>0</v>
      </c>
      <c r="K363" s="0" t="n">
        <v>2</v>
      </c>
      <c r="L363" s="0" t="n">
        <v>3</v>
      </c>
    </row>
    <row r="364" customFormat="false" ht="15" hidden="false" customHeight="false" outlineLevel="0" collapsed="false">
      <c r="A364" s="5" t="n">
        <v>40372</v>
      </c>
      <c r="B364" s="6" t="s">
        <v>62</v>
      </c>
      <c r="C364" s="6" t="s">
        <v>68</v>
      </c>
      <c r="D364" s="0" t="n">
        <v>412.95908735449</v>
      </c>
      <c r="E364" s="0" t="n">
        <v>3.478333333</v>
      </c>
      <c r="F364" s="0" t="n">
        <v>1</v>
      </c>
      <c r="G364" s="0" t="n">
        <v>0</v>
      </c>
      <c r="H364" s="0" t="n">
        <v>0</v>
      </c>
      <c r="I364" s="0" t="n">
        <v>1</v>
      </c>
      <c r="J364" s="0" t="n">
        <v>1</v>
      </c>
      <c r="K364" s="0" t="n">
        <v>2</v>
      </c>
      <c r="L364" s="0" t="n">
        <v>3</v>
      </c>
    </row>
    <row r="365" customFormat="false" ht="15" hidden="false" customHeight="false" outlineLevel="0" collapsed="false">
      <c r="A365" s="5" t="n">
        <v>40302</v>
      </c>
      <c r="B365" s="6" t="s">
        <v>62</v>
      </c>
      <c r="C365" s="6" t="s">
        <v>69</v>
      </c>
      <c r="D365" s="0" t="n">
        <v>248.86945673147</v>
      </c>
      <c r="E365" s="0" t="n">
        <v>4.167777778</v>
      </c>
      <c r="F365" s="0" t="n">
        <v>1</v>
      </c>
      <c r="G365" s="0" t="n">
        <v>0</v>
      </c>
      <c r="H365" s="0" t="n">
        <v>0</v>
      </c>
      <c r="I365" s="0" t="n">
        <v>0</v>
      </c>
      <c r="J365" s="0" t="n">
        <v>0</v>
      </c>
      <c r="K365" s="0" t="n">
        <v>3</v>
      </c>
      <c r="L365" s="0" t="n">
        <v>3</v>
      </c>
    </row>
    <row r="366" customFormat="false" ht="15" hidden="false" customHeight="false" outlineLevel="0" collapsed="false">
      <c r="A366" s="5" t="n">
        <v>40309</v>
      </c>
      <c r="B366" s="6" t="s">
        <v>62</v>
      </c>
      <c r="C366" s="6" t="s">
        <v>69</v>
      </c>
      <c r="D366" s="0" t="n">
        <v>332.244242254421</v>
      </c>
      <c r="E366" s="0" t="n">
        <v>4.167777778</v>
      </c>
      <c r="F366" s="0" t="n">
        <v>1</v>
      </c>
      <c r="G366" s="0" t="n">
        <v>0</v>
      </c>
      <c r="H366" s="0" t="n">
        <v>0</v>
      </c>
      <c r="I366" s="0" t="n">
        <v>0</v>
      </c>
      <c r="J366" s="0" t="n">
        <v>0</v>
      </c>
      <c r="K366" s="0" t="n">
        <v>3</v>
      </c>
      <c r="L366" s="0" t="n">
        <v>3</v>
      </c>
    </row>
    <row r="367" customFormat="false" ht="15" hidden="false" customHeight="false" outlineLevel="0" collapsed="false">
      <c r="A367" s="5" t="n">
        <v>40316</v>
      </c>
      <c r="B367" s="6" t="s">
        <v>62</v>
      </c>
      <c r="C367" s="6" t="s">
        <v>69</v>
      </c>
      <c r="D367" s="0" t="n">
        <v>309.789900241964</v>
      </c>
      <c r="E367" s="0" t="n">
        <v>3.765</v>
      </c>
      <c r="F367" s="0" t="n">
        <v>1</v>
      </c>
      <c r="G367" s="0" t="n">
        <v>0</v>
      </c>
      <c r="H367" s="0" t="n">
        <v>0</v>
      </c>
      <c r="I367" s="0" t="n">
        <v>0</v>
      </c>
      <c r="J367" s="0" t="n">
        <v>0</v>
      </c>
      <c r="K367" s="0" t="n">
        <v>3</v>
      </c>
      <c r="L367" s="0" t="n">
        <v>3</v>
      </c>
    </row>
    <row r="368" customFormat="false" ht="15" hidden="false" customHeight="false" outlineLevel="0" collapsed="false">
      <c r="A368" s="5" t="n">
        <v>40323</v>
      </c>
      <c r="B368" s="6" t="s">
        <v>62</v>
      </c>
      <c r="C368" s="6" t="s">
        <v>69</v>
      </c>
      <c r="D368" s="0" t="n">
        <v>201.857032758565</v>
      </c>
      <c r="E368" s="0" t="n">
        <v>4</v>
      </c>
      <c r="F368" s="0" t="n">
        <v>1</v>
      </c>
      <c r="G368" s="0" t="n">
        <v>0</v>
      </c>
      <c r="H368" s="0" t="n">
        <v>0</v>
      </c>
      <c r="I368" s="0" t="n">
        <v>0</v>
      </c>
      <c r="J368" s="0" t="n">
        <v>0</v>
      </c>
      <c r="K368" s="0" t="n">
        <v>3</v>
      </c>
      <c r="L368" s="0" t="n">
        <v>3</v>
      </c>
    </row>
    <row r="369" customFormat="false" ht="15" hidden="false" customHeight="false" outlineLevel="0" collapsed="false">
      <c r="A369" s="5" t="n">
        <v>40330</v>
      </c>
      <c r="B369" s="6" t="s">
        <v>62</v>
      </c>
      <c r="C369" s="6" t="s">
        <v>69</v>
      </c>
      <c r="D369" s="0" t="n">
        <v>245.538218158213</v>
      </c>
      <c r="E369" s="0" t="n">
        <v>3.834444444</v>
      </c>
      <c r="F369" s="0" t="n">
        <v>1</v>
      </c>
      <c r="G369" s="0" t="n">
        <v>0</v>
      </c>
      <c r="H369" s="0" t="n">
        <v>0</v>
      </c>
      <c r="I369" s="0" t="n">
        <v>0</v>
      </c>
      <c r="J369" s="0" t="n">
        <v>0</v>
      </c>
      <c r="K369" s="0" t="n">
        <v>3</v>
      </c>
      <c r="L369" s="0" t="n">
        <v>3</v>
      </c>
    </row>
    <row r="370" customFormat="false" ht="15" hidden="false" customHeight="false" outlineLevel="0" collapsed="false">
      <c r="A370" s="5" t="n">
        <v>40337</v>
      </c>
      <c r="B370" s="6" t="s">
        <v>62</v>
      </c>
      <c r="C370" s="6" t="s">
        <v>69</v>
      </c>
      <c r="D370" s="0" t="n">
        <v>210.869762128313</v>
      </c>
      <c r="E370" s="0" t="n">
        <v>4.167777778</v>
      </c>
      <c r="F370" s="0" t="n">
        <v>1</v>
      </c>
      <c r="G370" s="0" t="n">
        <v>0</v>
      </c>
      <c r="H370" s="0" t="n">
        <v>0</v>
      </c>
      <c r="I370" s="0" t="n">
        <v>0</v>
      </c>
      <c r="J370" s="0" t="n">
        <v>0</v>
      </c>
      <c r="K370" s="0" t="n">
        <v>3</v>
      </c>
      <c r="L370" s="0" t="n">
        <v>3</v>
      </c>
    </row>
    <row r="371" customFormat="false" ht="15" hidden="false" customHeight="false" outlineLevel="0" collapsed="false">
      <c r="A371" s="5" t="n">
        <v>40344</v>
      </c>
      <c r="B371" s="6" t="s">
        <v>62</v>
      </c>
      <c r="C371" s="6" t="s">
        <v>69</v>
      </c>
      <c r="D371" s="0" t="n">
        <v>359.961527494245</v>
      </c>
      <c r="E371" s="0" t="n">
        <v>4.208181818</v>
      </c>
      <c r="F371" s="0" t="n">
        <v>1</v>
      </c>
      <c r="G371" s="0" t="n">
        <v>0</v>
      </c>
      <c r="H371" s="0" t="n">
        <v>1</v>
      </c>
      <c r="I371" s="0" t="n">
        <v>0</v>
      </c>
      <c r="J371" s="0" t="n">
        <v>0</v>
      </c>
      <c r="K371" s="0" t="n">
        <v>3</v>
      </c>
      <c r="L371" s="0" t="n">
        <v>3</v>
      </c>
    </row>
    <row r="372" customFormat="false" ht="15" hidden="false" customHeight="false" outlineLevel="0" collapsed="false">
      <c r="A372" s="5" t="n">
        <v>40351</v>
      </c>
      <c r="B372" s="6" t="s">
        <v>62</v>
      </c>
      <c r="C372" s="6" t="s">
        <v>69</v>
      </c>
      <c r="D372" s="0" t="n">
        <v>263.165960129196</v>
      </c>
      <c r="E372" s="0" t="n">
        <v>4.535454545</v>
      </c>
      <c r="F372" s="0" t="n">
        <v>1</v>
      </c>
      <c r="G372" s="0" t="n">
        <v>0</v>
      </c>
      <c r="H372" s="0" t="n">
        <v>0</v>
      </c>
      <c r="I372" s="0" t="n">
        <v>1</v>
      </c>
      <c r="J372" s="0" t="n">
        <v>0</v>
      </c>
      <c r="K372" s="0" t="n">
        <v>3</v>
      </c>
      <c r="L372" s="0" t="n">
        <v>3</v>
      </c>
    </row>
    <row r="373" customFormat="false" ht="15" hidden="false" customHeight="false" outlineLevel="0" collapsed="false">
      <c r="A373" s="5" t="n">
        <v>40358</v>
      </c>
      <c r="B373" s="6" t="s">
        <v>62</v>
      </c>
      <c r="C373" s="6" t="s">
        <v>69</v>
      </c>
      <c r="D373" s="0" t="n">
        <v>370.372979531917</v>
      </c>
      <c r="E373" s="0" t="n">
        <v>4.356666667</v>
      </c>
      <c r="F373" s="0" t="n">
        <v>1</v>
      </c>
      <c r="G373" s="0" t="n">
        <v>0</v>
      </c>
      <c r="H373" s="0" t="n">
        <v>0</v>
      </c>
      <c r="I373" s="0" t="n">
        <v>1</v>
      </c>
      <c r="J373" s="0" t="n">
        <v>0</v>
      </c>
      <c r="K373" s="0" t="n">
        <v>3</v>
      </c>
      <c r="L373" s="0" t="n">
        <v>3</v>
      </c>
    </row>
    <row r="374" customFormat="false" ht="15" hidden="false" customHeight="false" outlineLevel="0" collapsed="false">
      <c r="A374" s="5" t="n">
        <v>40365</v>
      </c>
      <c r="B374" s="6" t="s">
        <v>62</v>
      </c>
      <c r="C374" s="6" t="s">
        <v>69</v>
      </c>
      <c r="D374" s="0" t="n">
        <v>242.769831374386</v>
      </c>
      <c r="E374" s="0" t="n">
        <v>3.884545455</v>
      </c>
      <c r="F374" s="0" t="n">
        <v>1</v>
      </c>
      <c r="G374" s="0" t="n">
        <v>0</v>
      </c>
      <c r="H374" s="0" t="n">
        <v>0</v>
      </c>
      <c r="I374" s="0" t="n">
        <v>1</v>
      </c>
      <c r="J374" s="0" t="n">
        <v>0</v>
      </c>
      <c r="K374" s="0" t="n">
        <v>3</v>
      </c>
      <c r="L374" s="0" t="n">
        <v>3</v>
      </c>
    </row>
    <row r="375" customFormat="false" ht="15" hidden="false" customHeight="false" outlineLevel="0" collapsed="false">
      <c r="A375" s="5" t="n">
        <v>40372</v>
      </c>
      <c r="B375" s="6" t="s">
        <v>62</v>
      </c>
      <c r="C375" s="6" t="s">
        <v>69</v>
      </c>
      <c r="D375" s="0" t="n">
        <v>375.248081205514</v>
      </c>
      <c r="E375" s="0" t="n">
        <v>3.884545455</v>
      </c>
      <c r="F375" s="0" t="n">
        <v>1</v>
      </c>
      <c r="G375" s="0" t="n">
        <v>0</v>
      </c>
      <c r="H375" s="0" t="n">
        <v>0</v>
      </c>
      <c r="I375" s="0" t="n">
        <v>0</v>
      </c>
      <c r="J375" s="0" t="n">
        <v>1</v>
      </c>
      <c r="K375" s="0" t="n">
        <v>3</v>
      </c>
      <c r="L375" s="0" t="n">
        <v>3</v>
      </c>
    </row>
    <row r="376" customFormat="false" ht="15" hidden="false" customHeight="false" outlineLevel="0" collapsed="false">
      <c r="A376" s="5" t="n">
        <v>40302</v>
      </c>
      <c r="B376" s="6" t="s">
        <v>62</v>
      </c>
      <c r="C376" s="6" t="s">
        <v>70</v>
      </c>
      <c r="D376" s="0" t="n">
        <v>157.726993608928</v>
      </c>
      <c r="E376" s="0" t="n">
        <v>4.55</v>
      </c>
      <c r="F376" s="0" t="n">
        <v>1</v>
      </c>
      <c r="G376" s="0" t="n">
        <v>0</v>
      </c>
      <c r="H376" s="0" t="n">
        <v>0</v>
      </c>
      <c r="I376" s="0" t="n">
        <v>0</v>
      </c>
      <c r="J376" s="0" t="n">
        <v>0</v>
      </c>
      <c r="K376" s="0" t="n">
        <v>2</v>
      </c>
      <c r="L376" s="0" t="n">
        <v>5</v>
      </c>
    </row>
    <row r="377" customFormat="false" ht="15" hidden="false" customHeight="false" outlineLevel="0" collapsed="false">
      <c r="A377" s="5" t="n">
        <v>40309</v>
      </c>
      <c r="B377" s="6" t="s">
        <v>62</v>
      </c>
      <c r="C377" s="6" t="s">
        <v>70</v>
      </c>
      <c r="D377" s="0" t="n">
        <v>301.308180780968</v>
      </c>
      <c r="E377" s="0" t="n">
        <v>4.862727273</v>
      </c>
      <c r="F377" s="0" t="n">
        <v>1</v>
      </c>
      <c r="G377" s="0" t="n">
        <v>0</v>
      </c>
      <c r="H377" s="0" t="n">
        <v>0</v>
      </c>
      <c r="I377" s="0" t="n">
        <v>0</v>
      </c>
      <c r="J377" s="0" t="n">
        <v>0</v>
      </c>
      <c r="K377" s="0" t="n">
        <v>2</v>
      </c>
      <c r="L377" s="0" t="n">
        <v>5</v>
      </c>
    </row>
    <row r="378" customFormat="false" ht="15" hidden="false" customHeight="false" outlineLevel="0" collapsed="false">
      <c r="A378" s="5" t="n">
        <v>40316</v>
      </c>
      <c r="B378" s="6" t="s">
        <v>62</v>
      </c>
      <c r="C378" s="6" t="s">
        <v>70</v>
      </c>
      <c r="D378" s="0" t="n">
        <v>238.593064674128</v>
      </c>
      <c r="E378" s="0" t="n">
        <v>4.135454545</v>
      </c>
      <c r="F378" s="0" t="n">
        <v>1</v>
      </c>
      <c r="G378" s="0" t="n">
        <v>0</v>
      </c>
      <c r="H378" s="0" t="n">
        <v>0</v>
      </c>
      <c r="I378" s="0" t="n">
        <v>0</v>
      </c>
      <c r="J378" s="0" t="n">
        <v>0</v>
      </c>
      <c r="K378" s="0" t="n">
        <v>2</v>
      </c>
      <c r="L378" s="0" t="n">
        <v>5</v>
      </c>
    </row>
    <row r="379" customFormat="false" ht="15" hidden="false" customHeight="false" outlineLevel="0" collapsed="false">
      <c r="A379" s="5" t="n">
        <v>40323</v>
      </c>
      <c r="B379" s="6" t="s">
        <v>62</v>
      </c>
      <c r="C379" s="6" t="s">
        <v>70</v>
      </c>
      <c r="D379" s="0" t="n">
        <v>315.89420603203</v>
      </c>
      <c r="E379" s="0" t="n">
        <v>4.135454545</v>
      </c>
      <c r="F379" s="0" t="n">
        <v>1</v>
      </c>
      <c r="G379" s="0" t="n">
        <v>0</v>
      </c>
      <c r="H379" s="0" t="n">
        <v>0</v>
      </c>
      <c r="I379" s="0" t="n">
        <v>0</v>
      </c>
      <c r="J379" s="0" t="n">
        <v>0</v>
      </c>
      <c r="K379" s="0" t="n">
        <v>2</v>
      </c>
      <c r="L379" s="0" t="n">
        <v>5</v>
      </c>
    </row>
    <row r="380" customFormat="false" ht="15" hidden="false" customHeight="false" outlineLevel="0" collapsed="false">
      <c r="A380" s="5" t="n">
        <v>40330</v>
      </c>
      <c r="B380" s="6" t="s">
        <v>62</v>
      </c>
      <c r="C380" s="6" t="s">
        <v>70</v>
      </c>
      <c r="D380" s="0" t="n">
        <v>220.098147157665</v>
      </c>
      <c r="E380" s="0" t="n">
        <v>4.135454545</v>
      </c>
      <c r="F380" s="0" t="n">
        <v>1</v>
      </c>
      <c r="G380" s="0" t="n">
        <v>0</v>
      </c>
      <c r="H380" s="0" t="n">
        <v>0</v>
      </c>
      <c r="I380" s="0" t="n">
        <v>0</v>
      </c>
      <c r="J380" s="0" t="n">
        <v>0</v>
      </c>
      <c r="K380" s="0" t="n">
        <v>2</v>
      </c>
      <c r="L380" s="0" t="n">
        <v>5</v>
      </c>
    </row>
    <row r="381" customFormat="false" ht="15" hidden="false" customHeight="false" outlineLevel="0" collapsed="false">
      <c r="A381" s="5" t="n">
        <v>40337</v>
      </c>
      <c r="B381" s="6" t="s">
        <v>62</v>
      </c>
      <c r="C381" s="6" t="s">
        <v>70</v>
      </c>
      <c r="D381" s="0" t="n">
        <v>368.076979929043</v>
      </c>
      <c r="E381" s="0" t="n">
        <v>4.34</v>
      </c>
      <c r="F381" s="0" t="n">
        <v>1</v>
      </c>
      <c r="G381" s="0" t="n">
        <v>0</v>
      </c>
      <c r="H381" s="0" t="n">
        <v>1</v>
      </c>
      <c r="I381" s="0" t="n">
        <v>0</v>
      </c>
      <c r="J381" s="0" t="n">
        <v>0</v>
      </c>
      <c r="K381" s="0" t="n">
        <v>2</v>
      </c>
      <c r="L381" s="0" t="n">
        <v>5</v>
      </c>
    </row>
    <row r="382" customFormat="false" ht="15" hidden="false" customHeight="false" outlineLevel="0" collapsed="false">
      <c r="A382" s="5" t="n">
        <v>40344</v>
      </c>
      <c r="B382" s="6" t="s">
        <v>62</v>
      </c>
      <c r="C382" s="6" t="s">
        <v>70</v>
      </c>
      <c r="D382" s="0" t="n">
        <v>325.725755932131</v>
      </c>
      <c r="E382" s="0" t="n">
        <v>4.096666667</v>
      </c>
      <c r="F382" s="0" t="n">
        <v>1</v>
      </c>
      <c r="G382" s="0" t="n">
        <v>0</v>
      </c>
      <c r="H382" s="0" t="n">
        <v>0</v>
      </c>
      <c r="I382" s="0" t="n">
        <v>1</v>
      </c>
      <c r="J382" s="0" t="n">
        <v>0</v>
      </c>
      <c r="K382" s="0" t="n">
        <v>2</v>
      </c>
      <c r="L382" s="0" t="n">
        <v>5</v>
      </c>
    </row>
    <row r="383" customFormat="false" ht="15" hidden="false" customHeight="false" outlineLevel="0" collapsed="false">
      <c r="A383" s="5" t="n">
        <v>40351</v>
      </c>
      <c r="B383" s="6" t="s">
        <v>62</v>
      </c>
      <c r="C383" s="6" t="s">
        <v>70</v>
      </c>
      <c r="D383" s="0" t="n">
        <v>379.687869711681</v>
      </c>
      <c r="E383" s="0" t="n">
        <v>4.12</v>
      </c>
      <c r="F383" s="0" t="n">
        <v>1</v>
      </c>
      <c r="G383" s="0" t="n">
        <v>0</v>
      </c>
      <c r="H383" s="0" t="n">
        <v>1</v>
      </c>
      <c r="I383" s="0" t="n">
        <v>1</v>
      </c>
      <c r="J383" s="0" t="n">
        <v>0</v>
      </c>
      <c r="K383" s="0" t="n">
        <v>2</v>
      </c>
      <c r="L383" s="0" t="n">
        <v>5</v>
      </c>
    </row>
    <row r="384" customFormat="false" ht="15" hidden="false" customHeight="false" outlineLevel="0" collapsed="false">
      <c r="A384" s="5" t="n">
        <v>40358</v>
      </c>
      <c r="B384" s="6" t="s">
        <v>62</v>
      </c>
      <c r="C384" s="6" t="s">
        <v>70</v>
      </c>
      <c r="D384" s="0" t="n">
        <v>348.656999073232</v>
      </c>
      <c r="E384" s="0" t="n">
        <v>4.089375</v>
      </c>
      <c r="F384" s="0" t="n">
        <v>1</v>
      </c>
      <c r="G384" s="0" t="n">
        <v>0</v>
      </c>
      <c r="H384" s="0" t="n">
        <v>0</v>
      </c>
      <c r="I384" s="0" t="n">
        <v>1</v>
      </c>
      <c r="J384" s="0" t="n">
        <v>0</v>
      </c>
      <c r="K384" s="0" t="n">
        <v>2</v>
      </c>
      <c r="L384" s="0" t="n">
        <v>5</v>
      </c>
    </row>
    <row r="385" customFormat="false" ht="15" hidden="false" customHeight="false" outlineLevel="0" collapsed="false">
      <c r="A385" s="5" t="n">
        <v>40365</v>
      </c>
      <c r="B385" s="6" t="s">
        <v>62</v>
      </c>
      <c r="C385" s="6" t="s">
        <v>70</v>
      </c>
      <c r="D385" s="0" t="n">
        <v>416.2537313176</v>
      </c>
      <c r="E385" s="0" t="n">
        <v>3.950625</v>
      </c>
      <c r="F385" s="0" t="n">
        <v>1</v>
      </c>
      <c r="G385" s="0" t="n">
        <v>0</v>
      </c>
      <c r="H385" s="0" t="n">
        <v>0</v>
      </c>
      <c r="I385" s="0" t="n">
        <v>1</v>
      </c>
      <c r="J385" s="0" t="n">
        <v>1</v>
      </c>
      <c r="K385" s="0" t="n">
        <v>2</v>
      </c>
      <c r="L385" s="0" t="n">
        <v>5</v>
      </c>
    </row>
    <row r="386" customFormat="false" ht="15" hidden="false" customHeight="false" outlineLevel="0" collapsed="false">
      <c r="A386" s="5" t="n">
        <v>40372</v>
      </c>
      <c r="B386" s="6" t="s">
        <v>62</v>
      </c>
      <c r="C386" s="6" t="s">
        <v>70</v>
      </c>
      <c r="D386" s="0" t="n">
        <v>471.984844060778</v>
      </c>
      <c r="E386" s="0" t="n">
        <v>3.950625</v>
      </c>
      <c r="F386" s="0" t="n">
        <v>1</v>
      </c>
      <c r="G386" s="0" t="n">
        <v>0</v>
      </c>
      <c r="H386" s="0" t="n">
        <v>0</v>
      </c>
      <c r="I386" s="0" t="n">
        <v>1</v>
      </c>
      <c r="J386" s="0" t="n">
        <v>1</v>
      </c>
      <c r="K386" s="0" t="n">
        <v>2</v>
      </c>
      <c r="L386" s="0" t="n">
        <v>5</v>
      </c>
    </row>
    <row r="387" customFormat="false" ht="15" hidden="false" customHeight="false" outlineLevel="0" collapsed="false">
      <c r="A387" s="5" t="n">
        <v>40302</v>
      </c>
      <c r="B387" s="6" t="s">
        <v>62</v>
      </c>
      <c r="C387" s="6" t="s">
        <v>71</v>
      </c>
      <c r="D387" s="0" t="n">
        <v>359.431463979567</v>
      </c>
      <c r="E387" s="0" t="n">
        <v>3.5</v>
      </c>
      <c r="F387" s="0" t="n">
        <v>1</v>
      </c>
      <c r="G387" s="0" t="n">
        <v>0</v>
      </c>
      <c r="H387" s="0" t="n">
        <v>0</v>
      </c>
      <c r="I387" s="0" t="n">
        <v>0</v>
      </c>
      <c r="J387" s="0" t="n">
        <v>0</v>
      </c>
      <c r="K387" s="0" t="n">
        <v>2</v>
      </c>
      <c r="L387" s="0" t="n">
        <v>3</v>
      </c>
    </row>
    <row r="388" customFormat="false" ht="15" hidden="false" customHeight="false" outlineLevel="0" collapsed="false">
      <c r="A388" s="5" t="n">
        <v>40309</v>
      </c>
      <c r="B388" s="6" t="s">
        <v>62</v>
      </c>
      <c r="C388" s="6" t="s">
        <v>71</v>
      </c>
      <c r="D388" s="0" t="n">
        <v>261.996233149071</v>
      </c>
      <c r="E388" s="0" t="n">
        <v>3.5</v>
      </c>
      <c r="F388" s="0" t="n">
        <v>1</v>
      </c>
      <c r="G388" s="0" t="n">
        <v>0</v>
      </c>
      <c r="H388" s="0" t="n">
        <v>0</v>
      </c>
      <c r="I388" s="0" t="n">
        <v>0</v>
      </c>
      <c r="J388" s="0" t="n">
        <v>0</v>
      </c>
      <c r="K388" s="0" t="n">
        <v>2</v>
      </c>
      <c r="L388" s="0" t="n">
        <v>3</v>
      </c>
    </row>
    <row r="389" customFormat="false" ht="15" hidden="false" customHeight="false" outlineLevel="0" collapsed="false">
      <c r="A389" s="5" t="n">
        <v>40316</v>
      </c>
      <c r="B389" s="6" t="s">
        <v>62</v>
      </c>
      <c r="C389" s="6" t="s">
        <v>71</v>
      </c>
      <c r="D389" s="0" t="n">
        <v>246.99668795704</v>
      </c>
      <c r="E389" s="0" t="n">
        <v>3.507692308</v>
      </c>
      <c r="F389" s="0" t="n">
        <v>1</v>
      </c>
      <c r="G389" s="0" t="n">
        <v>0</v>
      </c>
      <c r="H389" s="0" t="n">
        <v>0</v>
      </c>
      <c r="I389" s="0" t="n">
        <v>0</v>
      </c>
      <c r="J389" s="0" t="n">
        <v>0</v>
      </c>
      <c r="K389" s="0" t="n">
        <v>2</v>
      </c>
      <c r="L389" s="0" t="n">
        <v>3</v>
      </c>
    </row>
    <row r="390" customFormat="false" ht="15" hidden="false" customHeight="false" outlineLevel="0" collapsed="false">
      <c r="A390" s="5" t="n">
        <v>40323</v>
      </c>
      <c r="B390" s="6" t="s">
        <v>62</v>
      </c>
      <c r="C390" s="6" t="s">
        <v>71</v>
      </c>
      <c r="D390" s="0" t="n">
        <v>232.133357872458</v>
      </c>
      <c r="E390" s="0" t="n">
        <v>3.492666667</v>
      </c>
      <c r="F390" s="0" t="n">
        <v>1</v>
      </c>
      <c r="G390" s="0" t="n">
        <v>0</v>
      </c>
      <c r="H390" s="0" t="n">
        <v>0</v>
      </c>
      <c r="I390" s="0" t="n">
        <v>0</v>
      </c>
      <c r="J390" s="0" t="n">
        <v>0</v>
      </c>
      <c r="K390" s="0" t="n">
        <v>2</v>
      </c>
      <c r="L390" s="0" t="n">
        <v>3</v>
      </c>
    </row>
    <row r="391" customFormat="false" ht="15" hidden="false" customHeight="false" outlineLevel="0" collapsed="false">
      <c r="A391" s="5" t="n">
        <v>40330</v>
      </c>
      <c r="B391" s="6" t="s">
        <v>62</v>
      </c>
      <c r="C391" s="6" t="s">
        <v>71</v>
      </c>
      <c r="D391" s="0" t="n">
        <v>284.229499687626</v>
      </c>
      <c r="E391" s="0" t="n">
        <v>3.65</v>
      </c>
      <c r="F391" s="0" t="n">
        <v>1</v>
      </c>
      <c r="G391" s="0" t="n">
        <v>0</v>
      </c>
      <c r="H391" s="0" t="n">
        <v>0</v>
      </c>
      <c r="I391" s="0" t="n">
        <v>0</v>
      </c>
      <c r="J391" s="0" t="n">
        <v>0</v>
      </c>
      <c r="K391" s="0" t="n">
        <v>2</v>
      </c>
      <c r="L391" s="0" t="n">
        <v>3</v>
      </c>
    </row>
    <row r="392" customFormat="false" ht="15" hidden="false" customHeight="false" outlineLevel="0" collapsed="false">
      <c r="A392" s="5" t="n">
        <v>40337</v>
      </c>
      <c r="B392" s="6" t="s">
        <v>62</v>
      </c>
      <c r="C392" s="6" t="s">
        <v>71</v>
      </c>
      <c r="D392" s="0" t="n">
        <v>329.249880673966</v>
      </c>
      <c r="E392" s="0" t="n">
        <v>2.944</v>
      </c>
      <c r="F392" s="0" t="n">
        <v>1</v>
      </c>
      <c r="G392" s="0" t="n">
        <v>0</v>
      </c>
      <c r="H392" s="0" t="n">
        <v>1</v>
      </c>
      <c r="I392" s="0" t="n">
        <v>0</v>
      </c>
      <c r="J392" s="0" t="n">
        <v>0</v>
      </c>
      <c r="K392" s="0" t="n">
        <v>2</v>
      </c>
      <c r="L392" s="0" t="n">
        <v>3</v>
      </c>
    </row>
    <row r="393" customFormat="false" ht="15" hidden="false" customHeight="false" outlineLevel="0" collapsed="false">
      <c r="A393" s="5" t="n">
        <v>40344</v>
      </c>
      <c r="B393" s="6" t="s">
        <v>62</v>
      </c>
      <c r="C393" s="6" t="s">
        <v>71</v>
      </c>
      <c r="D393" s="0" t="n">
        <v>373.444850045217</v>
      </c>
      <c r="E393" s="0" t="n">
        <v>2.899333333</v>
      </c>
      <c r="F393" s="0" t="n">
        <v>1</v>
      </c>
      <c r="G393" s="0" t="n">
        <v>0</v>
      </c>
      <c r="H393" s="0" t="n">
        <v>0</v>
      </c>
      <c r="I393" s="0" t="n">
        <v>1</v>
      </c>
      <c r="J393" s="0" t="n">
        <v>0</v>
      </c>
      <c r="K393" s="0" t="n">
        <v>2</v>
      </c>
      <c r="L393" s="0" t="n">
        <v>3</v>
      </c>
    </row>
    <row r="394" customFormat="false" ht="15" hidden="false" customHeight="false" outlineLevel="0" collapsed="false">
      <c r="A394" s="5" t="n">
        <v>40351</v>
      </c>
      <c r="B394" s="6" t="s">
        <v>62</v>
      </c>
      <c r="C394" s="6" t="s">
        <v>71</v>
      </c>
      <c r="D394" s="0" t="n">
        <v>335.264921893788</v>
      </c>
      <c r="E394" s="0" t="n">
        <v>3.39125</v>
      </c>
      <c r="F394" s="0" t="n">
        <v>1</v>
      </c>
      <c r="G394" s="0" t="n">
        <v>0</v>
      </c>
      <c r="H394" s="0" t="n">
        <v>0</v>
      </c>
      <c r="I394" s="0" t="n">
        <v>1</v>
      </c>
      <c r="J394" s="0" t="n">
        <v>0</v>
      </c>
      <c r="K394" s="0" t="n">
        <v>2</v>
      </c>
      <c r="L394" s="0" t="n">
        <v>3</v>
      </c>
    </row>
    <row r="395" customFormat="false" ht="15" hidden="false" customHeight="false" outlineLevel="0" collapsed="false">
      <c r="A395" s="5" t="n">
        <v>40358</v>
      </c>
      <c r="B395" s="6" t="s">
        <v>62</v>
      </c>
      <c r="C395" s="6" t="s">
        <v>71</v>
      </c>
      <c r="D395" s="0" t="n">
        <v>408.435176230927</v>
      </c>
      <c r="E395" s="0" t="n">
        <v>3.084666667</v>
      </c>
      <c r="F395" s="0" t="n">
        <v>1</v>
      </c>
      <c r="G395" s="0" t="n">
        <v>0</v>
      </c>
      <c r="H395" s="0" t="n">
        <v>0</v>
      </c>
      <c r="I395" s="0" t="n">
        <v>1</v>
      </c>
      <c r="J395" s="0" t="n">
        <v>0</v>
      </c>
      <c r="K395" s="0" t="n">
        <v>2</v>
      </c>
      <c r="L395" s="0" t="n">
        <v>3</v>
      </c>
    </row>
    <row r="396" customFormat="false" ht="15" hidden="false" customHeight="false" outlineLevel="0" collapsed="false">
      <c r="A396" s="5" t="n">
        <v>40365</v>
      </c>
      <c r="B396" s="6" t="s">
        <v>62</v>
      </c>
      <c r="C396" s="6" t="s">
        <v>71</v>
      </c>
      <c r="D396" s="0" t="n">
        <v>341.315259979901</v>
      </c>
      <c r="E396" s="0" t="n">
        <v>3.685625</v>
      </c>
      <c r="F396" s="0" t="n">
        <v>1</v>
      </c>
      <c r="G396" s="0" t="n">
        <v>0</v>
      </c>
      <c r="H396" s="0" t="n">
        <v>0</v>
      </c>
      <c r="I396" s="0" t="n">
        <v>0</v>
      </c>
      <c r="J396" s="0" t="n">
        <v>1</v>
      </c>
      <c r="K396" s="0" t="n">
        <v>2</v>
      </c>
      <c r="L396" s="0" t="n">
        <v>3</v>
      </c>
    </row>
    <row r="397" customFormat="false" ht="15" hidden="false" customHeight="false" outlineLevel="0" collapsed="false">
      <c r="A397" s="5" t="n">
        <v>40372</v>
      </c>
      <c r="B397" s="6" t="s">
        <v>62</v>
      </c>
      <c r="C397" s="6" t="s">
        <v>71</v>
      </c>
      <c r="D397" s="0" t="n">
        <v>324.475767506477</v>
      </c>
      <c r="E397" s="0" t="n">
        <v>3.362666667</v>
      </c>
      <c r="F397" s="0" t="n">
        <v>1</v>
      </c>
      <c r="G397" s="0" t="n">
        <v>0</v>
      </c>
      <c r="H397" s="0" t="n">
        <v>0</v>
      </c>
      <c r="I397" s="0" t="n">
        <v>0</v>
      </c>
      <c r="J397" s="0" t="n">
        <v>1</v>
      </c>
      <c r="K397" s="0" t="n">
        <v>2</v>
      </c>
      <c r="L397" s="0" t="n">
        <v>3</v>
      </c>
    </row>
    <row r="398" customFormat="false" ht="15" hidden="false" customHeight="false" outlineLevel="0" collapsed="false">
      <c r="A398" s="5" t="n">
        <v>40302</v>
      </c>
      <c r="B398" s="6" t="s">
        <v>62</v>
      </c>
      <c r="C398" s="6" t="s">
        <v>72</v>
      </c>
      <c r="D398" s="0" t="n">
        <v>226.835405331058</v>
      </c>
      <c r="E398" s="0" t="n">
        <v>4.19</v>
      </c>
      <c r="F398" s="0" t="n">
        <v>1</v>
      </c>
      <c r="G398" s="0" t="n">
        <v>0</v>
      </c>
      <c r="H398" s="0" t="n">
        <v>0</v>
      </c>
      <c r="I398" s="0" t="n">
        <v>0</v>
      </c>
      <c r="J398" s="0" t="n">
        <v>0</v>
      </c>
      <c r="K398" s="0" t="n">
        <v>1</v>
      </c>
      <c r="L398" s="0" t="n">
        <v>5</v>
      </c>
    </row>
    <row r="399" customFormat="false" ht="15" hidden="false" customHeight="false" outlineLevel="0" collapsed="false">
      <c r="A399" s="5" t="n">
        <v>40309</v>
      </c>
      <c r="B399" s="6" t="s">
        <v>62</v>
      </c>
      <c r="C399" s="6" t="s">
        <v>72</v>
      </c>
      <c r="D399" s="0" t="n">
        <v>319.371596755929</v>
      </c>
      <c r="E399" s="0" t="n">
        <v>4.167777778</v>
      </c>
      <c r="F399" s="0" t="n">
        <v>1</v>
      </c>
      <c r="G399" s="0" t="n">
        <v>0</v>
      </c>
      <c r="H399" s="0" t="n">
        <v>0</v>
      </c>
      <c r="I399" s="0" t="n">
        <v>0</v>
      </c>
      <c r="J399" s="0" t="n">
        <v>0</v>
      </c>
      <c r="K399" s="0" t="n">
        <v>1</v>
      </c>
      <c r="L399" s="0" t="n">
        <v>5</v>
      </c>
    </row>
    <row r="400" customFormat="false" ht="15" hidden="false" customHeight="false" outlineLevel="0" collapsed="false">
      <c r="A400" s="5" t="n">
        <v>40316</v>
      </c>
      <c r="B400" s="6" t="s">
        <v>62</v>
      </c>
      <c r="C400" s="6" t="s">
        <v>72</v>
      </c>
      <c r="D400" s="0" t="n">
        <v>279.938510508953</v>
      </c>
      <c r="E400" s="0" t="n">
        <v>3.765</v>
      </c>
      <c r="F400" s="0" t="n">
        <v>1</v>
      </c>
      <c r="G400" s="0" t="n">
        <v>0</v>
      </c>
      <c r="H400" s="0" t="n">
        <v>0</v>
      </c>
      <c r="I400" s="0" t="n">
        <v>0</v>
      </c>
      <c r="J400" s="0" t="n">
        <v>0</v>
      </c>
      <c r="K400" s="0" t="n">
        <v>1</v>
      </c>
      <c r="L400" s="0" t="n">
        <v>5</v>
      </c>
    </row>
    <row r="401" customFormat="false" ht="15" hidden="false" customHeight="false" outlineLevel="0" collapsed="false">
      <c r="A401" s="5" t="n">
        <v>40323</v>
      </c>
      <c r="B401" s="6" t="s">
        <v>62</v>
      </c>
      <c r="C401" s="6" t="s">
        <v>72</v>
      </c>
      <c r="D401" s="0" t="n">
        <v>197.507068945942</v>
      </c>
      <c r="E401" s="0" t="n">
        <v>3.765</v>
      </c>
      <c r="F401" s="0" t="n">
        <v>1</v>
      </c>
      <c r="G401" s="0" t="n">
        <v>0</v>
      </c>
      <c r="H401" s="0" t="n">
        <v>0</v>
      </c>
      <c r="I401" s="0" t="n">
        <v>0</v>
      </c>
      <c r="J401" s="0" t="n">
        <v>0</v>
      </c>
      <c r="K401" s="0" t="n">
        <v>1</v>
      </c>
      <c r="L401" s="0" t="n">
        <v>5</v>
      </c>
    </row>
    <row r="402" customFormat="false" ht="15" hidden="false" customHeight="false" outlineLevel="0" collapsed="false">
      <c r="A402" s="5" t="n">
        <v>40330</v>
      </c>
      <c r="B402" s="6" t="s">
        <v>62</v>
      </c>
      <c r="C402" s="6" t="s">
        <v>72</v>
      </c>
      <c r="D402" s="0" t="n">
        <v>280.706847973304</v>
      </c>
      <c r="E402" s="0" t="n">
        <v>3.69</v>
      </c>
      <c r="F402" s="0" t="n">
        <v>1</v>
      </c>
      <c r="G402" s="0" t="n">
        <v>0</v>
      </c>
      <c r="H402" s="0" t="n">
        <v>0</v>
      </c>
      <c r="I402" s="0" t="n">
        <v>0</v>
      </c>
      <c r="J402" s="0" t="n">
        <v>0</v>
      </c>
      <c r="K402" s="0" t="n">
        <v>1</v>
      </c>
      <c r="L402" s="0" t="n">
        <v>5</v>
      </c>
    </row>
    <row r="403" customFormat="false" ht="15" hidden="false" customHeight="false" outlineLevel="0" collapsed="false">
      <c r="A403" s="5" t="n">
        <v>40337</v>
      </c>
      <c r="B403" s="6" t="s">
        <v>62</v>
      </c>
      <c r="C403" s="6" t="s">
        <v>72</v>
      </c>
      <c r="D403" s="0" t="n">
        <v>220.513927647413</v>
      </c>
      <c r="E403" s="0" t="n">
        <v>3.805384615</v>
      </c>
      <c r="F403" s="0" t="n">
        <v>1</v>
      </c>
      <c r="G403" s="0" t="n">
        <v>0</v>
      </c>
      <c r="H403" s="0" t="n">
        <v>0</v>
      </c>
      <c r="I403" s="0" t="n">
        <v>0</v>
      </c>
      <c r="J403" s="0" t="n">
        <v>0</v>
      </c>
      <c r="K403" s="0" t="n">
        <v>1</v>
      </c>
      <c r="L403" s="0" t="n">
        <v>5</v>
      </c>
    </row>
    <row r="404" customFormat="false" ht="15" hidden="false" customHeight="false" outlineLevel="0" collapsed="false">
      <c r="A404" s="5" t="n">
        <v>40344</v>
      </c>
      <c r="B404" s="6" t="s">
        <v>62</v>
      </c>
      <c r="C404" s="6" t="s">
        <v>72</v>
      </c>
      <c r="D404" s="0" t="n">
        <v>270.490918142541</v>
      </c>
      <c r="E404" s="0" t="n">
        <v>4.075714286</v>
      </c>
      <c r="F404" s="0" t="n">
        <v>1</v>
      </c>
      <c r="G404" s="0" t="n">
        <v>0</v>
      </c>
      <c r="H404" s="0" t="n">
        <v>0</v>
      </c>
      <c r="I404" s="0" t="n">
        <v>0</v>
      </c>
      <c r="J404" s="0" t="n">
        <v>0</v>
      </c>
      <c r="K404" s="0" t="n">
        <v>1</v>
      </c>
      <c r="L404" s="0" t="n">
        <v>5</v>
      </c>
    </row>
    <row r="405" customFormat="false" ht="15" hidden="false" customHeight="false" outlineLevel="0" collapsed="false">
      <c r="A405" s="5" t="n">
        <v>40351</v>
      </c>
      <c r="B405" s="6" t="s">
        <v>62</v>
      </c>
      <c r="C405" s="6" t="s">
        <v>72</v>
      </c>
      <c r="D405" s="0" t="n">
        <v>350.243980726553</v>
      </c>
      <c r="E405" s="0" t="n">
        <v>3.818571429</v>
      </c>
      <c r="F405" s="0" t="n">
        <v>1</v>
      </c>
      <c r="G405" s="0" t="n">
        <v>0</v>
      </c>
      <c r="H405" s="0" t="n">
        <v>1</v>
      </c>
      <c r="I405" s="0" t="n">
        <v>0</v>
      </c>
      <c r="J405" s="0" t="n">
        <v>0</v>
      </c>
      <c r="K405" s="0" t="n">
        <v>1</v>
      </c>
      <c r="L405" s="0" t="n">
        <v>5</v>
      </c>
    </row>
    <row r="406" customFormat="false" ht="15" hidden="false" customHeight="false" outlineLevel="0" collapsed="false">
      <c r="A406" s="5" t="n">
        <v>40358</v>
      </c>
      <c r="B406" s="6" t="s">
        <v>62</v>
      </c>
      <c r="C406" s="6" t="s">
        <v>72</v>
      </c>
      <c r="D406" s="0" t="n">
        <v>320.679215935782</v>
      </c>
      <c r="E406" s="0" t="n">
        <v>4.218571429</v>
      </c>
      <c r="F406" s="0" t="n">
        <v>1</v>
      </c>
      <c r="G406" s="0" t="n">
        <v>0</v>
      </c>
      <c r="H406" s="0" t="n">
        <v>0</v>
      </c>
      <c r="I406" s="0" t="n">
        <v>1</v>
      </c>
      <c r="J406" s="0" t="n">
        <v>0</v>
      </c>
      <c r="K406" s="0" t="n">
        <v>1</v>
      </c>
      <c r="L406" s="0" t="n">
        <v>5</v>
      </c>
    </row>
    <row r="407" customFormat="false" ht="15" hidden="false" customHeight="false" outlineLevel="0" collapsed="false">
      <c r="A407" s="5" t="n">
        <v>40365</v>
      </c>
      <c r="B407" s="6" t="s">
        <v>62</v>
      </c>
      <c r="C407" s="6" t="s">
        <v>72</v>
      </c>
      <c r="D407" s="0" t="n">
        <v>270.877549387674</v>
      </c>
      <c r="E407" s="0" t="n">
        <v>3.737857143</v>
      </c>
      <c r="F407" s="0" t="n">
        <v>1</v>
      </c>
      <c r="G407" s="0" t="n">
        <v>0</v>
      </c>
      <c r="H407" s="0" t="n">
        <v>0</v>
      </c>
      <c r="I407" s="0" t="n">
        <v>1</v>
      </c>
      <c r="J407" s="0" t="n">
        <v>0</v>
      </c>
      <c r="K407" s="0" t="n">
        <v>1</v>
      </c>
      <c r="L407" s="0" t="n">
        <v>5</v>
      </c>
    </row>
    <row r="408" customFormat="false" ht="15" hidden="false" customHeight="false" outlineLevel="0" collapsed="false">
      <c r="A408" s="5" t="n">
        <v>40372</v>
      </c>
      <c r="B408" s="6" t="s">
        <v>62</v>
      </c>
      <c r="C408" s="6" t="s">
        <v>72</v>
      </c>
      <c r="D408" s="0" t="n">
        <v>373.011997985366</v>
      </c>
      <c r="E408" s="0" t="n">
        <v>3.441538462</v>
      </c>
      <c r="F408" s="0" t="n">
        <v>1</v>
      </c>
      <c r="G408" s="0" t="n">
        <v>0</v>
      </c>
      <c r="H408" s="0" t="n">
        <v>0</v>
      </c>
      <c r="I408" s="0" t="n">
        <v>1</v>
      </c>
      <c r="J408" s="0" t="n">
        <v>0</v>
      </c>
      <c r="K408" s="0" t="n">
        <v>1</v>
      </c>
      <c r="L408" s="0" t="n">
        <v>5</v>
      </c>
    </row>
    <row r="409" customFormat="false" ht="15" hidden="false" customHeight="false" outlineLevel="0" collapsed="false">
      <c r="A409" s="5" t="n">
        <v>40302</v>
      </c>
      <c r="B409" s="6" t="s">
        <v>62</v>
      </c>
      <c r="C409" s="6" t="s">
        <v>73</v>
      </c>
      <c r="D409" s="0" t="n">
        <v>180.494897078321</v>
      </c>
      <c r="E409" s="0" t="n">
        <v>3.83</v>
      </c>
      <c r="F409" s="0" t="n">
        <v>1</v>
      </c>
      <c r="G409" s="0" t="n">
        <v>0</v>
      </c>
      <c r="H409" s="0" t="n">
        <v>0</v>
      </c>
      <c r="I409" s="0" t="n">
        <v>0</v>
      </c>
      <c r="J409" s="0" t="n">
        <v>0</v>
      </c>
      <c r="K409" s="0" t="n">
        <v>3</v>
      </c>
      <c r="L409" s="0" t="n">
        <v>5</v>
      </c>
    </row>
    <row r="410" customFormat="false" ht="15" hidden="false" customHeight="false" outlineLevel="0" collapsed="false">
      <c r="A410" s="5" t="n">
        <v>40309</v>
      </c>
      <c r="B410" s="6" t="s">
        <v>62</v>
      </c>
      <c r="C410" s="6" t="s">
        <v>73</v>
      </c>
      <c r="D410" s="0" t="n">
        <v>224.6308315925</v>
      </c>
      <c r="E410" s="0" t="n">
        <v>3.774615385</v>
      </c>
      <c r="F410" s="0" t="n">
        <v>1</v>
      </c>
      <c r="G410" s="0" t="n">
        <v>0</v>
      </c>
      <c r="H410" s="0" t="n">
        <v>0</v>
      </c>
      <c r="I410" s="0" t="n">
        <v>0</v>
      </c>
      <c r="J410" s="0" t="n">
        <v>0</v>
      </c>
      <c r="K410" s="0" t="n">
        <v>3</v>
      </c>
      <c r="L410" s="0" t="n">
        <v>5</v>
      </c>
    </row>
    <row r="411" customFormat="false" ht="15" hidden="false" customHeight="false" outlineLevel="0" collapsed="false">
      <c r="A411" s="5" t="n">
        <v>40316</v>
      </c>
      <c r="B411" s="6" t="s">
        <v>62</v>
      </c>
      <c r="C411" s="6" t="s">
        <v>73</v>
      </c>
      <c r="D411" s="0" t="n">
        <v>213.235842842785</v>
      </c>
      <c r="E411" s="0" t="n">
        <v>3.604285714</v>
      </c>
      <c r="F411" s="0" t="n">
        <v>1</v>
      </c>
      <c r="G411" s="0" t="n">
        <v>0</v>
      </c>
      <c r="H411" s="0" t="n">
        <v>0</v>
      </c>
      <c r="I411" s="0" t="n">
        <v>0</v>
      </c>
      <c r="J411" s="0" t="n">
        <v>0</v>
      </c>
      <c r="K411" s="0" t="n">
        <v>3</v>
      </c>
      <c r="L411" s="0" t="n">
        <v>5</v>
      </c>
    </row>
    <row r="412" customFormat="false" ht="15" hidden="false" customHeight="false" outlineLevel="0" collapsed="false">
      <c r="A412" s="5" t="n">
        <v>40323</v>
      </c>
      <c r="B412" s="6" t="s">
        <v>62</v>
      </c>
      <c r="C412" s="6" t="s">
        <v>73</v>
      </c>
      <c r="D412" s="0" t="n">
        <v>184.028516502573</v>
      </c>
      <c r="E412" s="0" t="n">
        <v>3.543846154</v>
      </c>
      <c r="F412" s="0" t="n">
        <v>1</v>
      </c>
      <c r="G412" s="0" t="n">
        <v>0</v>
      </c>
      <c r="H412" s="0" t="n">
        <v>0</v>
      </c>
      <c r="I412" s="0" t="n">
        <v>0</v>
      </c>
      <c r="J412" s="0" t="n">
        <v>0</v>
      </c>
      <c r="K412" s="0" t="n">
        <v>3</v>
      </c>
      <c r="L412" s="0" t="n">
        <v>5</v>
      </c>
    </row>
    <row r="413" customFormat="false" ht="15" hidden="false" customHeight="false" outlineLevel="0" collapsed="false">
      <c r="A413" s="5" t="n">
        <v>40330</v>
      </c>
      <c r="B413" s="6" t="s">
        <v>62</v>
      </c>
      <c r="C413" s="6" t="s">
        <v>73</v>
      </c>
      <c r="D413" s="0" t="n">
        <v>264.334649689939</v>
      </c>
      <c r="E413" s="0" t="n">
        <v>3.64</v>
      </c>
      <c r="F413" s="0" t="n">
        <v>1</v>
      </c>
      <c r="G413" s="0" t="n">
        <v>0</v>
      </c>
      <c r="H413" s="0" t="n">
        <v>0</v>
      </c>
      <c r="I413" s="0" t="n">
        <v>0</v>
      </c>
      <c r="J413" s="0" t="n">
        <v>0</v>
      </c>
      <c r="K413" s="0" t="n">
        <v>3</v>
      </c>
      <c r="L413" s="0" t="n">
        <v>5</v>
      </c>
    </row>
    <row r="414" customFormat="false" ht="15" hidden="false" customHeight="false" outlineLevel="0" collapsed="false">
      <c r="A414" s="5" t="n">
        <v>40337</v>
      </c>
      <c r="B414" s="6" t="s">
        <v>62</v>
      </c>
      <c r="C414" s="6" t="s">
        <v>73</v>
      </c>
      <c r="D414" s="0" t="n">
        <v>239.648475958295</v>
      </c>
      <c r="E414" s="0" t="n">
        <v>3.844545455</v>
      </c>
      <c r="F414" s="0" t="n">
        <v>1</v>
      </c>
      <c r="G414" s="0" t="n">
        <v>0</v>
      </c>
      <c r="H414" s="0" t="n">
        <v>0</v>
      </c>
      <c r="I414" s="0" t="n">
        <v>0</v>
      </c>
      <c r="J414" s="0" t="n">
        <v>0</v>
      </c>
      <c r="K414" s="0" t="n">
        <v>3</v>
      </c>
      <c r="L414" s="0" t="n">
        <v>5</v>
      </c>
    </row>
    <row r="415" customFormat="false" ht="15" hidden="false" customHeight="false" outlineLevel="0" collapsed="false">
      <c r="A415" s="5" t="n">
        <v>40344</v>
      </c>
      <c r="B415" s="6" t="s">
        <v>62</v>
      </c>
      <c r="C415" s="6" t="s">
        <v>73</v>
      </c>
      <c r="D415" s="0" t="n">
        <v>334.020794542775</v>
      </c>
      <c r="E415" s="0" t="n">
        <v>3.79</v>
      </c>
      <c r="F415" s="0" t="n">
        <v>1</v>
      </c>
      <c r="G415" s="0" t="n">
        <v>0</v>
      </c>
      <c r="H415" s="0" t="n">
        <v>0</v>
      </c>
      <c r="I415" s="0" t="n">
        <v>0</v>
      </c>
      <c r="J415" s="0" t="n">
        <v>0</v>
      </c>
      <c r="K415" s="0" t="n">
        <v>3</v>
      </c>
      <c r="L415" s="0" t="n">
        <v>5</v>
      </c>
    </row>
    <row r="416" customFormat="false" ht="15" hidden="false" customHeight="false" outlineLevel="0" collapsed="false">
      <c r="A416" s="5" t="n">
        <v>40351</v>
      </c>
      <c r="B416" s="6" t="s">
        <v>62</v>
      </c>
      <c r="C416" s="6" t="s">
        <v>73</v>
      </c>
      <c r="D416" s="0" t="n">
        <v>203.48298985189</v>
      </c>
      <c r="E416" s="0" t="n">
        <v>3.774615385</v>
      </c>
      <c r="F416" s="0" t="n">
        <v>1</v>
      </c>
      <c r="G416" s="0" t="n">
        <v>0</v>
      </c>
      <c r="H416" s="0" t="n">
        <v>0</v>
      </c>
      <c r="I416" s="0" t="n">
        <v>0</v>
      </c>
      <c r="J416" s="0" t="n">
        <v>0</v>
      </c>
      <c r="K416" s="0" t="n">
        <v>3</v>
      </c>
      <c r="L416" s="0" t="n">
        <v>5</v>
      </c>
    </row>
    <row r="417" customFormat="false" ht="15" hidden="false" customHeight="false" outlineLevel="0" collapsed="false">
      <c r="A417" s="5" t="n">
        <v>40358</v>
      </c>
      <c r="B417" s="6" t="s">
        <v>62</v>
      </c>
      <c r="C417" s="6" t="s">
        <v>73</v>
      </c>
      <c r="D417" s="0" t="n">
        <v>243.958582573945</v>
      </c>
      <c r="E417" s="0" t="n">
        <v>3.723333333</v>
      </c>
      <c r="F417" s="0" t="n">
        <v>1</v>
      </c>
      <c r="G417" s="0" t="n">
        <v>0</v>
      </c>
      <c r="H417" s="0" t="n">
        <v>0</v>
      </c>
      <c r="I417" s="0" t="n">
        <v>0</v>
      </c>
      <c r="J417" s="0" t="n">
        <v>0</v>
      </c>
      <c r="K417" s="0" t="n">
        <v>3</v>
      </c>
      <c r="L417" s="0" t="n">
        <v>5</v>
      </c>
    </row>
    <row r="418" customFormat="false" ht="15" hidden="false" customHeight="false" outlineLevel="0" collapsed="false">
      <c r="A418" s="5" t="n">
        <v>40365</v>
      </c>
      <c r="B418" s="6" t="s">
        <v>62</v>
      </c>
      <c r="C418" s="6" t="s">
        <v>73</v>
      </c>
      <c r="D418" s="0" t="n">
        <v>277.351575977812</v>
      </c>
      <c r="E418" s="0" t="n">
        <v>3.295384615</v>
      </c>
      <c r="F418" s="0" t="n">
        <v>1</v>
      </c>
      <c r="G418" s="0" t="n">
        <v>0</v>
      </c>
      <c r="H418" s="0" t="n">
        <v>0</v>
      </c>
      <c r="I418" s="0" t="n">
        <v>0</v>
      </c>
      <c r="J418" s="0" t="n">
        <v>0</v>
      </c>
      <c r="K418" s="0" t="n">
        <v>3</v>
      </c>
      <c r="L418" s="0" t="n">
        <v>5</v>
      </c>
    </row>
    <row r="419" customFormat="false" ht="15" hidden="false" customHeight="false" outlineLevel="0" collapsed="false">
      <c r="A419" s="5" t="n">
        <v>40372</v>
      </c>
      <c r="B419" s="6" t="s">
        <v>62</v>
      </c>
      <c r="C419" s="6" t="s">
        <v>73</v>
      </c>
      <c r="D419" s="0" t="n">
        <v>337.156410353857</v>
      </c>
      <c r="E419" s="0" t="n">
        <v>3.295384615</v>
      </c>
      <c r="F419" s="0" t="n">
        <v>1</v>
      </c>
      <c r="G419" s="0" t="n">
        <v>0</v>
      </c>
      <c r="H419" s="0" t="n">
        <v>0</v>
      </c>
      <c r="I419" s="0" t="n">
        <v>0</v>
      </c>
      <c r="J419" s="0" t="n">
        <v>0</v>
      </c>
      <c r="K419" s="0" t="n">
        <v>3</v>
      </c>
      <c r="L419" s="0" t="n">
        <v>5</v>
      </c>
    </row>
    <row r="420" customFormat="false" ht="15" hidden="false" customHeight="false" outlineLevel="0" collapsed="false">
      <c r="A420" s="5" t="n">
        <v>40302</v>
      </c>
      <c r="B420" s="6" t="s">
        <v>62</v>
      </c>
      <c r="C420" s="6" t="s">
        <v>74</v>
      </c>
      <c r="D420" s="0" t="n">
        <v>287.91095812649</v>
      </c>
      <c r="E420" s="0" t="n">
        <v>4.19</v>
      </c>
      <c r="F420" s="0" t="n">
        <v>1</v>
      </c>
      <c r="G420" s="0" t="n">
        <v>0</v>
      </c>
      <c r="H420" s="0" t="n">
        <v>0</v>
      </c>
      <c r="I420" s="0" t="n">
        <v>0</v>
      </c>
      <c r="J420" s="0" t="n">
        <v>0</v>
      </c>
      <c r="K420" s="0" t="n">
        <v>0</v>
      </c>
      <c r="L420" s="0" t="n">
        <v>4</v>
      </c>
    </row>
    <row r="421" customFormat="false" ht="15" hidden="false" customHeight="false" outlineLevel="0" collapsed="false">
      <c r="A421" s="5" t="n">
        <v>40309</v>
      </c>
      <c r="B421" s="6" t="s">
        <v>62</v>
      </c>
      <c r="C421" s="6" t="s">
        <v>74</v>
      </c>
      <c r="D421" s="0" t="n">
        <v>283.36179701124</v>
      </c>
      <c r="E421" s="0" t="n">
        <v>4.167777778</v>
      </c>
      <c r="F421" s="0" t="n">
        <v>1</v>
      </c>
      <c r="G421" s="0" t="n">
        <v>0</v>
      </c>
      <c r="H421" s="0" t="n">
        <v>0</v>
      </c>
      <c r="I421" s="0" t="n">
        <v>0</v>
      </c>
      <c r="J421" s="0" t="n">
        <v>0</v>
      </c>
      <c r="K421" s="0" t="n">
        <v>0</v>
      </c>
      <c r="L421" s="0" t="n">
        <v>4</v>
      </c>
    </row>
    <row r="422" customFormat="false" ht="15" hidden="false" customHeight="false" outlineLevel="0" collapsed="false">
      <c r="A422" s="5" t="n">
        <v>40316</v>
      </c>
      <c r="B422" s="6" t="s">
        <v>62</v>
      </c>
      <c r="C422" s="6" t="s">
        <v>74</v>
      </c>
      <c r="D422" s="0" t="n">
        <v>240.784527532362</v>
      </c>
      <c r="E422" s="0" t="n">
        <v>3.543846154</v>
      </c>
      <c r="F422" s="0" t="n">
        <v>1</v>
      </c>
      <c r="G422" s="0" t="n">
        <v>0</v>
      </c>
      <c r="H422" s="0" t="n">
        <v>0</v>
      </c>
      <c r="I422" s="0" t="n">
        <v>0</v>
      </c>
      <c r="J422" s="0" t="n">
        <v>0</v>
      </c>
      <c r="K422" s="0" t="n">
        <v>0</v>
      </c>
      <c r="L422" s="0" t="n">
        <v>4</v>
      </c>
    </row>
    <row r="423" customFormat="false" ht="15" hidden="false" customHeight="false" outlineLevel="0" collapsed="false">
      <c r="A423" s="5" t="n">
        <v>40323</v>
      </c>
      <c r="B423" s="6" t="s">
        <v>62</v>
      </c>
      <c r="C423" s="6" t="s">
        <v>74</v>
      </c>
      <c r="D423" s="0" t="n">
        <v>190.788567338542</v>
      </c>
      <c r="E423" s="0" t="n">
        <v>3.73</v>
      </c>
      <c r="F423" s="0" t="n">
        <v>1</v>
      </c>
      <c r="G423" s="0" t="n">
        <v>0</v>
      </c>
      <c r="H423" s="0" t="n">
        <v>0</v>
      </c>
      <c r="I423" s="0" t="n">
        <v>0</v>
      </c>
      <c r="J423" s="0" t="n">
        <v>0</v>
      </c>
      <c r="K423" s="0" t="n">
        <v>0</v>
      </c>
      <c r="L423" s="0" t="n">
        <v>4</v>
      </c>
    </row>
    <row r="424" customFormat="false" ht="15" hidden="false" customHeight="false" outlineLevel="0" collapsed="false">
      <c r="A424" s="5" t="n">
        <v>40330</v>
      </c>
      <c r="B424" s="6" t="s">
        <v>62</v>
      </c>
      <c r="C424" s="6" t="s">
        <v>74</v>
      </c>
      <c r="D424" s="0" t="n">
        <v>182.679988196722</v>
      </c>
      <c r="E424" s="0" t="n">
        <v>3.825714286</v>
      </c>
      <c r="F424" s="0" t="n">
        <v>1</v>
      </c>
      <c r="G424" s="0" t="n">
        <v>0</v>
      </c>
      <c r="H424" s="0" t="n">
        <v>0</v>
      </c>
      <c r="I424" s="0" t="n">
        <v>0</v>
      </c>
      <c r="J424" s="0" t="n">
        <v>0</v>
      </c>
      <c r="K424" s="0" t="n">
        <v>0</v>
      </c>
      <c r="L424" s="0" t="n">
        <v>4</v>
      </c>
    </row>
    <row r="425" customFormat="false" ht="15" hidden="false" customHeight="false" outlineLevel="0" collapsed="false">
      <c r="A425" s="5" t="n">
        <v>40337</v>
      </c>
      <c r="B425" s="6" t="s">
        <v>62</v>
      </c>
      <c r="C425" s="6" t="s">
        <v>74</v>
      </c>
      <c r="D425" s="0" t="n">
        <v>295.767748143607</v>
      </c>
      <c r="E425" s="0" t="n">
        <v>3.928461538</v>
      </c>
      <c r="F425" s="0" t="n">
        <v>1</v>
      </c>
      <c r="G425" s="0" t="n">
        <v>0</v>
      </c>
      <c r="H425" s="0" t="n">
        <v>0</v>
      </c>
      <c r="I425" s="0" t="n">
        <v>0</v>
      </c>
      <c r="J425" s="0" t="n">
        <v>0</v>
      </c>
      <c r="K425" s="0" t="n">
        <v>0</v>
      </c>
      <c r="L425" s="0" t="n">
        <v>4</v>
      </c>
    </row>
    <row r="426" customFormat="false" ht="15" hidden="false" customHeight="false" outlineLevel="0" collapsed="false">
      <c r="A426" s="5" t="n">
        <v>40344</v>
      </c>
      <c r="B426" s="6" t="s">
        <v>62</v>
      </c>
      <c r="C426" s="6" t="s">
        <v>74</v>
      </c>
      <c r="D426" s="0" t="n">
        <v>227.786706999982</v>
      </c>
      <c r="E426" s="0" t="n">
        <v>3.74</v>
      </c>
      <c r="F426" s="0" t="n">
        <v>1</v>
      </c>
      <c r="G426" s="0" t="n">
        <v>0</v>
      </c>
      <c r="H426" s="0" t="n">
        <v>0</v>
      </c>
      <c r="I426" s="0" t="n">
        <v>0</v>
      </c>
      <c r="J426" s="0" t="n">
        <v>0</v>
      </c>
      <c r="K426" s="0" t="n">
        <v>0</v>
      </c>
      <c r="L426" s="0" t="n">
        <v>4</v>
      </c>
    </row>
    <row r="427" customFormat="false" ht="15" hidden="false" customHeight="false" outlineLevel="0" collapsed="false">
      <c r="A427" s="5" t="n">
        <v>40351</v>
      </c>
      <c r="B427" s="6" t="s">
        <v>62</v>
      </c>
      <c r="C427" s="6" t="s">
        <v>74</v>
      </c>
      <c r="D427" s="0" t="n">
        <v>180.263230815573</v>
      </c>
      <c r="E427" s="0" t="n">
        <v>3.74</v>
      </c>
      <c r="F427" s="0" t="n">
        <v>1</v>
      </c>
      <c r="G427" s="0" t="n">
        <v>0</v>
      </c>
      <c r="H427" s="0" t="n">
        <v>0</v>
      </c>
      <c r="I427" s="0" t="n">
        <v>0</v>
      </c>
      <c r="J427" s="0" t="n">
        <v>0</v>
      </c>
      <c r="K427" s="0" t="n">
        <v>0</v>
      </c>
      <c r="L427" s="0" t="n">
        <v>4</v>
      </c>
    </row>
    <row r="428" customFormat="false" ht="15" hidden="false" customHeight="false" outlineLevel="0" collapsed="false">
      <c r="A428" s="5" t="n">
        <v>40358</v>
      </c>
      <c r="B428" s="6" t="s">
        <v>62</v>
      </c>
      <c r="C428" s="6" t="s">
        <v>74</v>
      </c>
      <c r="D428" s="0" t="n">
        <v>171.31509019742</v>
      </c>
      <c r="E428" s="0" t="n">
        <v>3.643571429</v>
      </c>
      <c r="F428" s="0" t="n">
        <v>1</v>
      </c>
      <c r="G428" s="0" t="n">
        <v>0</v>
      </c>
      <c r="H428" s="0" t="n">
        <v>0</v>
      </c>
      <c r="I428" s="0" t="n">
        <v>0</v>
      </c>
      <c r="J428" s="0" t="n">
        <v>0</v>
      </c>
      <c r="K428" s="0" t="n">
        <v>0</v>
      </c>
      <c r="L428" s="0" t="n">
        <v>4</v>
      </c>
    </row>
    <row r="429" customFormat="false" ht="15" hidden="false" customHeight="false" outlineLevel="0" collapsed="false">
      <c r="A429" s="5" t="n">
        <v>40365</v>
      </c>
      <c r="B429" s="6" t="s">
        <v>62</v>
      </c>
      <c r="C429" s="6" t="s">
        <v>74</v>
      </c>
      <c r="D429" s="0" t="n">
        <v>305.195583605854</v>
      </c>
      <c r="E429" s="0" t="n">
        <v>3.518</v>
      </c>
      <c r="F429" s="0" t="n">
        <v>1</v>
      </c>
      <c r="G429" s="0" t="n">
        <v>0</v>
      </c>
      <c r="H429" s="0" t="n">
        <v>0</v>
      </c>
      <c r="I429" s="0" t="n">
        <v>0</v>
      </c>
      <c r="J429" s="0" t="n">
        <v>0</v>
      </c>
      <c r="K429" s="0" t="n">
        <v>0</v>
      </c>
      <c r="L429" s="0" t="n">
        <v>4</v>
      </c>
    </row>
    <row r="430" customFormat="false" ht="15" hidden="false" customHeight="false" outlineLevel="0" collapsed="false">
      <c r="A430" s="5" t="n">
        <v>40372</v>
      </c>
      <c r="B430" s="6" t="s">
        <v>62</v>
      </c>
      <c r="C430" s="6" t="s">
        <v>74</v>
      </c>
      <c r="D430" s="0" t="n">
        <v>260.913281866099</v>
      </c>
      <c r="E430" s="0" t="n">
        <v>3.781666667</v>
      </c>
      <c r="F430" s="0" t="n">
        <v>1</v>
      </c>
      <c r="G430" s="0" t="n">
        <v>0</v>
      </c>
      <c r="H430" s="0" t="n">
        <v>0</v>
      </c>
      <c r="I430" s="0" t="n">
        <v>0</v>
      </c>
      <c r="J430" s="0" t="n">
        <v>0</v>
      </c>
      <c r="K430" s="0" t="n">
        <v>0</v>
      </c>
      <c r="L430" s="0" t="n">
        <v>4</v>
      </c>
    </row>
    <row r="431" customFormat="false" ht="15" hidden="false" customHeight="false" outlineLevel="0" collapsed="false">
      <c r="A431" s="5" t="n">
        <v>40302</v>
      </c>
      <c r="B431" s="6" t="s">
        <v>62</v>
      </c>
      <c r="C431" s="6" t="s">
        <v>75</v>
      </c>
      <c r="D431" s="0" t="n">
        <v>194.992941075131</v>
      </c>
      <c r="E431" s="0" t="n">
        <v>4.167777778</v>
      </c>
      <c r="F431" s="0" t="n">
        <v>1</v>
      </c>
      <c r="G431" s="0" t="n">
        <v>0</v>
      </c>
      <c r="H431" s="0" t="n">
        <v>0</v>
      </c>
      <c r="I431" s="0" t="n">
        <v>0</v>
      </c>
      <c r="J431" s="0" t="n">
        <v>0</v>
      </c>
      <c r="K431" s="0" t="n">
        <v>0</v>
      </c>
      <c r="L431" s="0" t="n">
        <v>2</v>
      </c>
    </row>
    <row r="432" customFormat="false" ht="15" hidden="false" customHeight="false" outlineLevel="0" collapsed="false">
      <c r="A432" s="5" t="n">
        <v>40309</v>
      </c>
      <c r="B432" s="6" t="s">
        <v>62</v>
      </c>
      <c r="C432" s="6" t="s">
        <v>75</v>
      </c>
      <c r="D432" s="0" t="n">
        <v>272.004793135819</v>
      </c>
      <c r="E432" s="0" t="n">
        <v>4.55</v>
      </c>
      <c r="F432" s="0" t="n">
        <v>1</v>
      </c>
      <c r="G432" s="0" t="n">
        <v>0</v>
      </c>
      <c r="H432" s="0" t="n">
        <v>0</v>
      </c>
      <c r="I432" s="0" t="n">
        <v>0</v>
      </c>
      <c r="J432" s="0" t="n">
        <v>0</v>
      </c>
      <c r="K432" s="0" t="n">
        <v>0</v>
      </c>
      <c r="L432" s="0" t="n">
        <v>2</v>
      </c>
    </row>
    <row r="433" customFormat="false" ht="15" hidden="false" customHeight="false" outlineLevel="0" collapsed="false">
      <c r="A433" s="5" t="n">
        <v>40316</v>
      </c>
      <c r="B433" s="6" t="s">
        <v>62</v>
      </c>
      <c r="C433" s="6" t="s">
        <v>75</v>
      </c>
      <c r="D433" s="0" t="n">
        <v>287.809017437598</v>
      </c>
      <c r="E433" s="0" t="n">
        <v>3.628461538</v>
      </c>
      <c r="F433" s="0" t="n">
        <v>1</v>
      </c>
      <c r="G433" s="0" t="n">
        <v>0</v>
      </c>
      <c r="H433" s="0" t="n">
        <v>0</v>
      </c>
      <c r="I433" s="0" t="n">
        <v>0</v>
      </c>
      <c r="J433" s="0" t="n">
        <v>0</v>
      </c>
      <c r="K433" s="0" t="n">
        <v>0</v>
      </c>
      <c r="L433" s="0" t="n">
        <v>2</v>
      </c>
    </row>
    <row r="434" customFormat="false" ht="15" hidden="false" customHeight="false" outlineLevel="0" collapsed="false">
      <c r="A434" s="5" t="n">
        <v>40323</v>
      </c>
      <c r="B434" s="6" t="s">
        <v>62</v>
      </c>
      <c r="C434" s="6" t="s">
        <v>75</v>
      </c>
      <c r="D434" s="0" t="n">
        <v>249.913642741701</v>
      </c>
      <c r="E434" s="0" t="n">
        <v>3.761428571</v>
      </c>
      <c r="F434" s="0" t="n">
        <v>1</v>
      </c>
      <c r="G434" s="0" t="n">
        <v>0</v>
      </c>
      <c r="H434" s="0" t="n">
        <v>0</v>
      </c>
      <c r="I434" s="0" t="n">
        <v>0</v>
      </c>
      <c r="J434" s="0" t="n">
        <v>0</v>
      </c>
      <c r="K434" s="0" t="n">
        <v>0</v>
      </c>
      <c r="L434" s="0" t="n">
        <v>2</v>
      </c>
    </row>
    <row r="435" customFormat="false" ht="15" hidden="false" customHeight="false" outlineLevel="0" collapsed="false">
      <c r="A435" s="5" t="n">
        <v>40330</v>
      </c>
      <c r="B435" s="6" t="s">
        <v>62</v>
      </c>
      <c r="C435" s="6" t="s">
        <v>75</v>
      </c>
      <c r="D435" s="0" t="n">
        <v>331.067551967548</v>
      </c>
      <c r="E435" s="0" t="n">
        <v>3.682857143</v>
      </c>
      <c r="F435" s="0" t="n">
        <v>1</v>
      </c>
      <c r="G435" s="0" t="n">
        <v>0</v>
      </c>
      <c r="H435" s="0" t="n">
        <v>0</v>
      </c>
      <c r="I435" s="0" t="n">
        <v>0</v>
      </c>
      <c r="J435" s="0" t="n">
        <v>0</v>
      </c>
      <c r="K435" s="0" t="n">
        <v>0</v>
      </c>
      <c r="L435" s="0" t="n">
        <v>2</v>
      </c>
    </row>
    <row r="436" customFormat="false" ht="15" hidden="false" customHeight="false" outlineLevel="0" collapsed="false">
      <c r="A436" s="5" t="n">
        <v>40337</v>
      </c>
      <c r="B436" s="6" t="s">
        <v>62</v>
      </c>
      <c r="C436" s="6" t="s">
        <v>75</v>
      </c>
      <c r="D436" s="0" t="n">
        <v>294.777980613199</v>
      </c>
      <c r="E436" s="0" t="n">
        <v>4.096666667</v>
      </c>
      <c r="F436" s="0" t="n">
        <v>1</v>
      </c>
      <c r="G436" s="0" t="n">
        <v>0</v>
      </c>
      <c r="H436" s="0" t="n">
        <v>0</v>
      </c>
      <c r="I436" s="0" t="n">
        <v>0</v>
      </c>
      <c r="J436" s="0" t="n">
        <v>0</v>
      </c>
      <c r="K436" s="0" t="n">
        <v>0</v>
      </c>
      <c r="L436" s="0" t="n">
        <v>2</v>
      </c>
    </row>
    <row r="437" customFormat="false" ht="15" hidden="false" customHeight="false" outlineLevel="0" collapsed="false">
      <c r="A437" s="5" t="n">
        <v>40344</v>
      </c>
      <c r="B437" s="6" t="s">
        <v>62</v>
      </c>
      <c r="C437" s="6" t="s">
        <v>75</v>
      </c>
      <c r="D437" s="0" t="n">
        <v>428.259504665654</v>
      </c>
      <c r="E437" s="0" t="n">
        <v>4.096666667</v>
      </c>
      <c r="F437" s="0" t="n">
        <v>1</v>
      </c>
      <c r="G437" s="0" t="n">
        <v>0</v>
      </c>
      <c r="H437" s="0" t="n">
        <v>0</v>
      </c>
      <c r="I437" s="0" t="n">
        <v>0</v>
      </c>
      <c r="J437" s="0" t="n">
        <v>0</v>
      </c>
      <c r="K437" s="0" t="n">
        <v>0</v>
      </c>
      <c r="L437" s="0" t="n">
        <v>2</v>
      </c>
    </row>
    <row r="438" customFormat="false" ht="15" hidden="false" customHeight="false" outlineLevel="0" collapsed="false">
      <c r="A438" s="5" t="n">
        <v>40351</v>
      </c>
      <c r="B438" s="6" t="s">
        <v>62</v>
      </c>
      <c r="C438" s="6" t="s">
        <v>75</v>
      </c>
      <c r="D438" s="0" t="n">
        <v>303.944954406258</v>
      </c>
      <c r="E438" s="0" t="n">
        <v>4.336666667</v>
      </c>
      <c r="F438" s="0" t="n">
        <v>1</v>
      </c>
      <c r="G438" s="0" t="n">
        <v>0</v>
      </c>
      <c r="H438" s="0" t="n">
        <v>1</v>
      </c>
      <c r="I438" s="0" t="n">
        <v>0</v>
      </c>
      <c r="J438" s="0" t="n">
        <v>0</v>
      </c>
      <c r="K438" s="0" t="n">
        <v>0</v>
      </c>
      <c r="L438" s="0" t="n">
        <v>2</v>
      </c>
    </row>
    <row r="439" customFormat="false" ht="15" hidden="false" customHeight="false" outlineLevel="0" collapsed="false">
      <c r="A439" s="5" t="n">
        <v>40358</v>
      </c>
      <c r="B439" s="6" t="s">
        <v>62</v>
      </c>
      <c r="C439" s="6" t="s">
        <v>75</v>
      </c>
      <c r="D439" s="0" t="n">
        <v>422.672580978012</v>
      </c>
      <c r="E439" s="0" t="n">
        <v>3.391875</v>
      </c>
      <c r="F439" s="0" t="n">
        <v>1</v>
      </c>
      <c r="G439" s="0" t="n">
        <v>0</v>
      </c>
      <c r="H439" s="0" t="n">
        <v>1</v>
      </c>
      <c r="I439" s="0" t="n">
        <v>1</v>
      </c>
      <c r="J439" s="0" t="n">
        <v>0</v>
      </c>
      <c r="K439" s="0" t="n">
        <v>0</v>
      </c>
      <c r="L439" s="0" t="n">
        <v>2</v>
      </c>
    </row>
    <row r="440" customFormat="false" ht="15" hidden="false" customHeight="false" outlineLevel="0" collapsed="false">
      <c r="A440" s="5" t="n">
        <v>40365</v>
      </c>
      <c r="B440" s="6" t="s">
        <v>62</v>
      </c>
      <c r="C440" s="6" t="s">
        <v>75</v>
      </c>
      <c r="D440" s="0" t="n">
        <v>305.531070369645</v>
      </c>
      <c r="E440" s="0" t="n">
        <v>3.578125</v>
      </c>
      <c r="F440" s="0" t="n">
        <v>1</v>
      </c>
      <c r="G440" s="0" t="n">
        <v>0</v>
      </c>
      <c r="H440" s="0" t="n">
        <v>0</v>
      </c>
      <c r="I440" s="0" t="n">
        <v>1</v>
      </c>
      <c r="J440" s="0" t="n">
        <v>0</v>
      </c>
      <c r="K440" s="0" t="n">
        <v>0</v>
      </c>
      <c r="L440" s="0" t="n">
        <v>2</v>
      </c>
    </row>
    <row r="441" customFormat="false" ht="15" hidden="false" customHeight="false" outlineLevel="0" collapsed="false">
      <c r="A441" s="5" t="n">
        <v>40372</v>
      </c>
      <c r="B441" s="6" t="s">
        <v>62</v>
      </c>
      <c r="C441" s="6" t="s">
        <v>75</v>
      </c>
      <c r="D441" s="0" t="n">
        <v>363.062972898447</v>
      </c>
      <c r="E441" s="0" t="n">
        <v>2.947857143</v>
      </c>
      <c r="F441" s="0" t="n">
        <v>1</v>
      </c>
      <c r="G441" s="0" t="n">
        <v>0</v>
      </c>
      <c r="H441" s="0" t="n">
        <v>0</v>
      </c>
      <c r="I441" s="0" t="n">
        <v>1</v>
      </c>
      <c r="J441" s="0" t="n">
        <v>0</v>
      </c>
      <c r="K441" s="0" t="n">
        <v>0</v>
      </c>
      <c r="L441" s="0" t="n">
        <v>2</v>
      </c>
    </row>
    <row r="442" customFormat="false" ht="15" hidden="false" customHeight="false" outlineLevel="0" collapsed="false">
      <c r="A442" s="5" t="n">
        <v>40302</v>
      </c>
      <c r="B442" s="6" t="s">
        <v>62</v>
      </c>
      <c r="C442" s="6" t="s">
        <v>76</v>
      </c>
      <c r="D442" s="0" t="n">
        <v>232.263046701275</v>
      </c>
      <c r="E442" s="0" t="n">
        <v>4.167777778</v>
      </c>
      <c r="F442" s="0" t="n">
        <v>1</v>
      </c>
      <c r="G442" s="0" t="n">
        <v>0</v>
      </c>
      <c r="H442" s="0" t="n">
        <v>0</v>
      </c>
      <c r="I442" s="0" t="n">
        <v>0</v>
      </c>
      <c r="J442" s="0" t="n">
        <v>0</v>
      </c>
      <c r="K442" s="0" t="n">
        <v>1</v>
      </c>
      <c r="L442" s="0" t="n">
        <v>4</v>
      </c>
    </row>
    <row r="443" customFormat="false" ht="15" hidden="false" customHeight="false" outlineLevel="0" collapsed="false">
      <c r="A443" s="5" t="n">
        <v>40309</v>
      </c>
      <c r="B443" s="6" t="s">
        <v>62</v>
      </c>
      <c r="C443" s="6" t="s">
        <v>76</v>
      </c>
      <c r="D443" s="0" t="n">
        <v>221.152009147193</v>
      </c>
      <c r="E443" s="0" t="n">
        <v>4.167777778</v>
      </c>
      <c r="F443" s="0" t="n">
        <v>1</v>
      </c>
      <c r="G443" s="0" t="n">
        <v>0</v>
      </c>
      <c r="H443" s="0" t="n">
        <v>0</v>
      </c>
      <c r="I443" s="0" t="n">
        <v>0</v>
      </c>
      <c r="J443" s="0" t="n">
        <v>0</v>
      </c>
      <c r="K443" s="0" t="n">
        <v>1</v>
      </c>
      <c r="L443" s="0" t="n">
        <v>4</v>
      </c>
    </row>
    <row r="444" customFormat="false" ht="15" hidden="false" customHeight="false" outlineLevel="0" collapsed="false">
      <c r="A444" s="5" t="n">
        <v>40316</v>
      </c>
      <c r="B444" s="6" t="s">
        <v>62</v>
      </c>
      <c r="C444" s="6" t="s">
        <v>76</v>
      </c>
      <c r="D444" s="0" t="n">
        <v>283.473952294401</v>
      </c>
      <c r="E444" s="0" t="n">
        <v>4</v>
      </c>
      <c r="F444" s="0" t="n">
        <v>1</v>
      </c>
      <c r="G444" s="0" t="n">
        <v>0</v>
      </c>
      <c r="H444" s="0" t="n">
        <v>0</v>
      </c>
      <c r="I444" s="0" t="n">
        <v>0</v>
      </c>
      <c r="J444" s="0" t="n">
        <v>0</v>
      </c>
      <c r="K444" s="0" t="n">
        <v>1</v>
      </c>
      <c r="L444" s="0" t="n">
        <v>4</v>
      </c>
    </row>
    <row r="445" customFormat="false" ht="15" hidden="false" customHeight="false" outlineLevel="0" collapsed="false">
      <c r="A445" s="5" t="n">
        <v>40323</v>
      </c>
      <c r="B445" s="6" t="s">
        <v>62</v>
      </c>
      <c r="C445" s="6" t="s">
        <v>76</v>
      </c>
      <c r="D445" s="0" t="n">
        <v>238.084820384268</v>
      </c>
      <c r="E445" s="0" t="n">
        <v>3.834444444</v>
      </c>
      <c r="F445" s="0" t="n">
        <v>1</v>
      </c>
      <c r="G445" s="0" t="n">
        <v>0</v>
      </c>
      <c r="H445" s="0" t="n">
        <v>0</v>
      </c>
      <c r="I445" s="0" t="n">
        <v>0</v>
      </c>
      <c r="J445" s="0" t="n">
        <v>0</v>
      </c>
      <c r="K445" s="0" t="n">
        <v>1</v>
      </c>
      <c r="L445" s="0" t="n">
        <v>4</v>
      </c>
    </row>
    <row r="446" customFormat="false" ht="15" hidden="false" customHeight="false" outlineLevel="0" collapsed="false">
      <c r="A446" s="5" t="n">
        <v>40330</v>
      </c>
      <c r="B446" s="6" t="s">
        <v>62</v>
      </c>
      <c r="C446" s="6" t="s">
        <v>76</v>
      </c>
      <c r="D446" s="0" t="n">
        <v>252.732579428452</v>
      </c>
      <c r="E446" s="0" t="n">
        <v>4</v>
      </c>
      <c r="F446" s="0" t="n">
        <v>1</v>
      </c>
      <c r="G446" s="0" t="n">
        <v>0</v>
      </c>
      <c r="H446" s="0" t="n">
        <v>0</v>
      </c>
      <c r="I446" s="0" t="n">
        <v>0</v>
      </c>
      <c r="J446" s="0" t="n">
        <v>0</v>
      </c>
      <c r="K446" s="0" t="n">
        <v>1</v>
      </c>
      <c r="L446" s="0" t="n">
        <v>4</v>
      </c>
    </row>
    <row r="447" customFormat="false" ht="15" hidden="false" customHeight="false" outlineLevel="0" collapsed="false">
      <c r="A447" s="5" t="n">
        <v>40337</v>
      </c>
      <c r="B447" s="6" t="s">
        <v>62</v>
      </c>
      <c r="C447" s="6" t="s">
        <v>76</v>
      </c>
      <c r="D447" s="0" t="n">
        <v>299.903177065708</v>
      </c>
      <c r="E447" s="0" t="n">
        <v>4.55</v>
      </c>
      <c r="F447" s="0" t="n">
        <v>1</v>
      </c>
      <c r="G447" s="0" t="n">
        <v>0</v>
      </c>
      <c r="H447" s="0" t="n">
        <v>0</v>
      </c>
      <c r="I447" s="0" t="n">
        <v>0</v>
      </c>
      <c r="J447" s="0" t="n">
        <v>0</v>
      </c>
      <c r="K447" s="0" t="n">
        <v>1</v>
      </c>
      <c r="L447" s="0" t="n">
        <v>4</v>
      </c>
    </row>
    <row r="448" customFormat="false" ht="15" hidden="false" customHeight="false" outlineLevel="0" collapsed="false">
      <c r="A448" s="5" t="n">
        <v>40344</v>
      </c>
      <c r="B448" s="6" t="s">
        <v>62</v>
      </c>
      <c r="C448" s="6" t="s">
        <v>76</v>
      </c>
      <c r="D448" s="0" t="n">
        <v>289.222654094865</v>
      </c>
      <c r="E448" s="0" t="n">
        <v>4.55</v>
      </c>
      <c r="F448" s="0" t="n">
        <v>1</v>
      </c>
      <c r="G448" s="0" t="n">
        <v>0</v>
      </c>
      <c r="H448" s="0" t="n">
        <v>0</v>
      </c>
      <c r="I448" s="0" t="n">
        <v>0</v>
      </c>
      <c r="J448" s="0" t="n">
        <v>0</v>
      </c>
      <c r="K448" s="0" t="n">
        <v>1</v>
      </c>
      <c r="L448" s="0" t="n">
        <v>4</v>
      </c>
    </row>
    <row r="449" customFormat="false" ht="15" hidden="false" customHeight="false" outlineLevel="0" collapsed="false">
      <c r="A449" s="5" t="n">
        <v>40351</v>
      </c>
      <c r="B449" s="6" t="s">
        <v>62</v>
      </c>
      <c r="C449" s="6" t="s">
        <v>76</v>
      </c>
      <c r="D449" s="0" t="n">
        <v>400.74006383608</v>
      </c>
      <c r="E449" s="0" t="n">
        <v>4.55</v>
      </c>
      <c r="F449" s="0" t="n">
        <v>1</v>
      </c>
      <c r="G449" s="0" t="n">
        <v>0</v>
      </c>
      <c r="H449" s="0" t="n">
        <v>1</v>
      </c>
      <c r="I449" s="0" t="n">
        <v>0</v>
      </c>
      <c r="J449" s="0" t="n">
        <v>0</v>
      </c>
      <c r="K449" s="0" t="n">
        <v>1</v>
      </c>
      <c r="L449" s="0" t="n">
        <v>4</v>
      </c>
    </row>
    <row r="450" customFormat="false" ht="15" hidden="false" customHeight="false" outlineLevel="0" collapsed="false">
      <c r="A450" s="5" t="n">
        <v>40358</v>
      </c>
      <c r="B450" s="6" t="s">
        <v>62</v>
      </c>
      <c r="C450" s="6" t="s">
        <v>76</v>
      </c>
      <c r="D450" s="0" t="n">
        <v>311.814590281209</v>
      </c>
      <c r="E450" s="0" t="n">
        <v>3.723333333</v>
      </c>
      <c r="F450" s="0" t="n">
        <v>1</v>
      </c>
      <c r="G450" s="0" t="n">
        <v>0</v>
      </c>
      <c r="H450" s="0" t="n">
        <v>0</v>
      </c>
      <c r="I450" s="0" t="n">
        <v>1</v>
      </c>
      <c r="J450" s="0" t="n">
        <v>0</v>
      </c>
      <c r="K450" s="0" t="n">
        <v>1</v>
      </c>
      <c r="L450" s="0" t="n">
        <v>4</v>
      </c>
    </row>
    <row r="451" customFormat="false" ht="15" hidden="false" customHeight="false" outlineLevel="0" collapsed="false">
      <c r="A451" s="5" t="n">
        <v>40365</v>
      </c>
      <c r="B451" s="6" t="s">
        <v>62</v>
      </c>
      <c r="C451" s="6" t="s">
        <v>76</v>
      </c>
      <c r="D451" s="0" t="n">
        <v>338.575069198578</v>
      </c>
      <c r="E451" s="0" t="n">
        <v>3.572307692</v>
      </c>
      <c r="F451" s="0" t="n">
        <v>1</v>
      </c>
      <c r="G451" s="0" t="n">
        <v>0</v>
      </c>
      <c r="H451" s="0" t="n">
        <v>0</v>
      </c>
      <c r="I451" s="0" t="n">
        <v>1</v>
      </c>
      <c r="J451" s="0" t="n">
        <v>0</v>
      </c>
      <c r="K451" s="0" t="n">
        <v>1</v>
      </c>
      <c r="L451" s="0" t="n">
        <v>4</v>
      </c>
    </row>
    <row r="452" customFormat="false" ht="15" hidden="false" customHeight="false" outlineLevel="0" collapsed="false">
      <c r="A452" s="5" t="n">
        <v>40372</v>
      </c>
      <c r="B452" s="6" t="s">
        <v>62</v>
      </c>
      <c r="C452" s="6" t="s">
        <v>76</v>
      </c>
      <c r="D452" s="0" t="n">
        <v>214.461939370935</v>
      </c>
      <c r="E452" s="0" t="n">
        <v>3.572307692</v>
      </c>
      <c r="F452" s="0" t="n">
        <v>1</v>
      </c>
      <c r="G452" s="0" t="n">
        <v>0</v>
      </c>
      <c r="H452" s="0" t="n">
        <v>0</v>
      </c>
      <c r="I452" s="0" t="n">
        <v>1</v>
      </c>
      <c r="J452" s="0" t="n">
        <v>0</v>
      </c>
      <c r="K452" s="0" t="n">
        <v>1</v>
      </c>
      <c r="L452" s="0" t="n">
        <v>4</v>
      </c>
    </row>
    <row r="453" customFormat="false" ht="15" hidden="false" customHeight="false" outlineLevel="0" collapsed="false">
      <c r="A453" s="5" t="n">
        <v>40302</v>
      </c>
      <c r="B453" s="6" t="s">
        <v>62</v>
      </c>
      <c r="C453" s="6" t="s">
        <v>77</v>
      </c>
      <c r="D453" s="0" t="n">
        <v>268.607458409254</v>
      </c>
      <c r="E453" s="0" t="n">
        <v>4.612222222</v>
      </c>
      <c r="F453" s="0" t="n">
        <v>1</v>
      </c>
      <c r="G453" s="0" t="n">
        <v>0</v>
      </c>
      <c r="H453" s="0" t="n">
        <v>0</v>
      </c>
      <c r="I453" s="0" t="n">
        <v>0</v>
      </c>
      <c r="J453" s="0" t="n">
        <v>0</v>
      </c>
      <c r="K453" s="0" t="n">
        <v>2</v>
      </c>
      <c r="L453" s="0" t="n">
        <v>4</v>
      </c>
    </row>
    <row r="454" customFormat="false" ht="15" hidden="false" customHeight="false" outlineLevel="0" collapsed="false">
      <c r="A454" s="5" t="n">
        <v>40309</v>
      </c>
      <c r="B454" s="6" t="s">
        <v>62</v>
      </c>
      <c r="C454" s="6" t="s">
        <v>77</v>
      </c>
      <c r="D454" s="0" t="n">
        <v>341.008167731421</v>
      </c>
      <c r="E454" s="0" t="n">
        <v>4.612222222</v>
      </c>
      <c r="F454" s="0" t="n">
        <v>1</v>
      </c>
      <c r="G454" s="0" t="n">
        <v>0</v>
      </c>
      <c r="H454" s="0" t="n">
        <v>0</v>
      </c>
      <c r="I454" s="0" t="n">
        <v>0</v>
      </c>
      <c r="J454" s="0" t="n">
        <v>0</v>
      </c>
      <c r="K454" s="0" t="n">
        <v>2</v>
      </c>
      <c r="L454" s="0" t="n">
        <v>4</v>
      </c>
    </row>
    <row r="455" customFormat="false" ht="15" hidden="false" customHeight="false" outlineLevel="0" collapsed="false">
      <c r="A455" s="5" t="n">
        <v>40316</v>
      </c>
      <c r="B455" s="6" t="s">
        <v>62</v>
      </c>
      <c r="C455" s="6" t="s">
        <v>77</v>
      </c>
      <c r="D455" s="0" t="n">
        <v>175.190338479696</v>
      </c>
      <c r="E455" s="0" t="n">
        <v>4.067777778</v>
      </c>
      <c r="F455" s="0" t="n">
        <v>1</v>
      </c>
      <c r="G455" s="0" t="n">
        <v>0</v>
      </c>
      <c r="H455" s="0" t="n">
        <v>0</v>
      </c>
      <c r="I455" s="0" t="n">
        <v>0</v>
      </c>
      <c r="J455" s="0" t="n">
        <v>0</v>
      </c>
      <c r="K455" s="0" t="n">
        <v>2</v>
      </c>
      <c r="L455" s="0" t="n">
        <v>4</v>
      </c>
    </row>
    <row r="456" customFormat="false" ht="15" hidden="false" customHeight="false" outlineLevel="0" collapsed="false">
      <c r="A456" s="5" t="n">
        <v>40323</v>
      </c>
      <c r="B456" s="6" t="s">
        <v>62</v>
      </c>
      <c r="C456" s="6" t="s">
        <v>77</v>
      </c>
      <c r="D456" s="0" t="n">
        <v>219.937874537013</v>
      </c>
      <c r="E456" s="0" t="n">
        <v>4.067777778</v>
      </c>
      <c r="F456" s="0" t="n">
        <v>1</v>
      </c>
      <c r="G456" s="0" t="n">
        <v>0</v>
      </c>
      <c r="H456" s="0" t="n">
        <v>0</v>
      </c>
      <c r="I456" s="0" t="n">
        <v>0</v>
      </c>
      <c r="J456" s="0" t="n">
        <v>0</v>
      </c>
      <c r="K456" s="0" t="n">
        <v>2</v>
      </c>
      <c r="L456" s="0" t="n">
        <v>4</v>
      </c>
    </row>
    <row r="457" customFormat="false" ht="15" hidden="false" customHeight="false" outlineLevel="0" collapsed="false">
      <c r="A457" s="5" t="n">
        <v>40330</v>
      </c>
      <c r="B457" s="6" t="s">
        <v>62</v>
      </c>
      <c r="C457" s="6" t="s">
        <v>77</v>
      </c>
      <c r="D457" s="0" t="n">
        <v>306.684173440907</v>
      </c>
      <c r="E457" s="0" t="n">
        <v>3.705384615</v>
      </c>
      <c r="F457" s="0" t="n">
        <v>1</v>
      </c>
      <c r="G457" s="0" t="n">
        <v>0</v>
      </c>
      <c r="H457" s="0" t="n">
        <v>0</v>
      </c>
      <c r="I457" s="0" t="n">
        <v>0</v>
      </c>
      <c r="J457" s="0" t="n">
        <v>0</v>
      </c>
      <c r="K457" s="0" t="n">
        <v>2</v>
      </c>
      <c r="L457" s="0" t="n">
        <v>4</v>
      </c>
    </row>
    <row r="458" customFormat="false" ht="15" hidden="false" customHeight="false" outlineLevel="0" collapsed="false">
      <c r="A458" s="5" t="n">
        <v>40337</v>
      </c>
      <c r="B458" s="6" t="s">
        <v>62</v>
      </c>
      <c r="C458" s="6" t="s">
        <v>77</v>
      </c>
      <c r="D458" s="0" t="n">
        <v>215.114334512072</v>
      </c>
      <c r="E458" s="0" t="n">
        <v>4.104285714</v>
      </c>
      <c r="F458" s="0" t="n">
        <v>1</v>
      </c>
      <c r="G458" s="0" t="n">
        <v>0</v>
      </c>
      <c r="H458" s="0" t="n">
        <v>0</v>
      </c>
      <c r="I458" s="0" t="n">
        <v>0</v>
      </c>
      <c r="J458" s="0" t="n">
        <v>0</v>
      </c>
      <c r="K458" s="0" t="n">
        <v>2</v>
      </c>
      <c r="L458" s="0" t="n">
        <v>4</v>
      </c>
    </row>
    <row r="459" customFormat="false" ht="15" hidden="false" customHeight="false" outlineLevel="0" collapsed="false">
      <c r="A459" s="5" t="n">
        <v>40344</v>
      </c>
      <c r="B459" s="6" t="s">
        <v>62</v>
      </c>
      <c r="C459" s="6" t="s">
        <v>77</v>
      </c>
      <c r="D459" s="0" t="n">
        <v>196.44880610037</v>
      </c>
      <c r="E459" s="0" t="n">
        <v>4.39</v>
      </c>
      <c r="F459" s="0" t="n">
        <v>1</v>
      </c>
      <c r="G459" s="0" t="n">
        <v>0</v>
      </c>
      <c r="H459" s="0" t="n">
        <v>1</v>
      </c>
      <c r="I459" s="0" t="n">
        <v>0</v>
      </c>
      <c r="J459" s="0" t="n">
        <v>0</v>
      </c>
      <c r="K459" s="0" t="n">
        <v>2</v>
      </c>
      <c r="L459" s="0" t="n">
        <v>4</v>
      </c>
    </row>
    <row r="460" customFormat="false" ht="15" hidden="false" customHeight="false" outlineLevel="0" collapsed="false">
      <c r="A460" s="5" t="n">
        <v>40351</v>
      </c>
      <c r="B460" s="6" t="s">
        <v>62</v>
      </c>
      <c r="C460" s="6" t="s">
        <v>77</v>
      </c>
      <c r="D460" s="0" t="n">
        <v>366.058958972934</v>
      </c>
      <c r="E460" s="0" t="n">
        <v>4.082307692</v>
      </c>
      <c r="F460" s="0" t="n">
        <v>1</v>
      </c>
      <c r="G460" s="0" t="n">
        <v>0</v>
      </c>
      <c r="H460" s="0" t="n">
        <v>0</v>
      </c>
      <c r="I460" s="0" t="n">
        <v>1</v>
      </c>
      <c r="J460" s="0" t="n">
        <v>0</v>
      </c>
      <c r="K460" s="0" t="n">
        <v>2</v>
      </c>
      <c r="L460" s="0" t="n">
        <v>4</v>
      </c>
    </row>
    <row r="461" customFormat="false" ht="15" hidden="false" customHeight="false" outlineLevel="0" collapsed="false">
      <c r="A461" s="5" t="n">
        <v>40358</v>
      </c>
      <c r="B461" s="6" t="s">
        <v>62</v>
      </c>
      <c r="C461" s="6" t="s">
        <v>77</v>
      </c>
      <c r="D461" s="0" t="n">
        <v>260.076694713571</v>
      </c>
      <c r="E461" s="0" t="n">
        <v>4.056666667</v>
      </c>
      <c r="F461" s="0" t="n">
        <v>1</v>
      </c>
      <c r="G461" s="0" t="n">
        <v>0</v>
      </c>
      <c r="H461" s="0" t="n">
        <v>0</v>
      </c>
      <c r="I461" s="0" t="n">
        <v>1</v>
      </c>
      <c r="J461" s="0" t="n">
        <v>0</v>
      </c>
      <c r="K461" s="0" t="n">
        <v>2</v>
      </c>
      <c r="L461" s="0" t="n">
        <v>4</v>
      </c>
    </row>
    <row r="462" customFormat="false" ht="15" hidden="false" customHeight="false" outlineLevel="0" collapsed="false">
      <c r="A462" s="5" t="n">
        <v>40365</v>
      </c>
      <c r="B462" s="6" t="s">
        <v>62</v>
      </c>
      <c r="C462" s="6" t="s">
        <v>77</v>
      </c>
      <c r="D462" s="0" t="n">
        <v>345.848851077878</v>
      </c>
      <c r="E462" s="0" t="n">
        <v>3.633846154</v>
      </c>
      <c r="F462" s="0" t="n">
        <v>1</v>
      </c>
      <c r="G462" s="0" t="n">
        <v>0</v>
      </c>
      <c r="H462" s="0" t="n">
        <v>0</v>
      </c>
      <c r="I462" s="0" t="n">
        <v>1</v>
      </c>
      <c r="J462" s="0" t="n">
        <v>0</v>
      </c>
      <c r="K462" s="0" t="n">
        <v>2</v>
      </c>
      <c r="L462" s="0" t="n">
        <v>4</v>
      </c>
    </row>
    <row r="463" customFormat="false" ht="15" hidden="false" customHeight="false" outlineLevel="0" collapsed="false">
      <c r="A463" s="5" t="n">
        <v>40372</v>
      </c>
      <c r="B463" s="6" t="s">
        <v>62</v>
      </c>
      <c r="C463" s="6" t="s">
        <v>77</v>
      </c>
      <c r="D463" s="0" t="n">
        <v>346.951213954335</v>
      </c>
      <c r="E463" s="0" t="n">
        <v>3.659285714</v>
      </c>
      <c r="F463" s="0" t="n">
        <v>1</v>
      </c>
      <c r="G463" s="0" t="n">
        <v>0</v>
      </c>
      <c r="H463" s="0" t="n">
        <v>0</v>
      </c>
      <c r="I463" s="0" t="n">
        <v>0</v>
      </c>
      <c r="J463" s="0" t="n">
        <v>1</v>
      </c>
      <c r="K463" s="0" t="n">
        <v>2</v>
      </c>
      <c r="L463" s="0" t="n">
        <v>4</v>
      </c>
    </row>
    <row r="464" customFormat="false" ht="15" hidden="false" customHeight="false" outlineLevel="0" collapsed="false">
      <c r="A464" s="5" t="n">
        <v>40302</v>
      </c>
      <c r="B464" s="6" t="s">
        <v>62</v>
      </c>
      <c r="C464" s="6" t="s">
        <v>78</v>
      </c>
      <c r="D464" s="0" t="n">
        <v>236.517109496755</v>
      </c>
      <c r="E464" s="0" t="n">
        <v>4.55</v>
      </c>
      <c r="F464" s="0" t="n">
        <v>1</v>
      </c>
      <c r="G464" s="0" t="n">
        <v>0</v>
      </c>
      <c r="H464" s="0" t="n">
        <v>0</v>
      </c>
      <c r="I464" s="0" t="n">
        <v>0</v>
      </c>
      <c r="J464" s="0" t="n">
        <v>0</v>
      </c>
      <c r="K464" s="0" t="n">
        <v>3</v>
      </c>
      <c r="L464" s="0" t="n">
        <v>3</v>
      </c>
    </row>
    <row r="465" customFormat="false" ht="15" hidden="false" customHeight="false" outlineLevel="0" collapsed="false">
      <c r="A465" s="5" t="n">
        <v>40309</v>
      </c>
      <c r="B465" s="6" t="s">
        <v>62</v>
      </c>
      <c r="C465" s="6" t="s">
        <v>78</v>
      </c>
      <c r="D465" s="0" t="n">
        <v>200.760714779494</v>
      </c>
      <c r="E465" s="0" t="n">
        <v>4.096666667</v>
      </c>
      <c r="F465" s="0" t="n">
        <v>1</v>
      </c>
      <c r="G465" s="0" t="n">
        <v>0</v>
      </c>
      <c r="H465" s="0" t="n">
        <v>0</v>
      </c>
      <c r="I465" s="0" t="n">
        <v>0</v>
      </c>
      <c r="J465" s="0" t="n">
        <v>0</v>
      </c>
      <c r="K465" s="0" t="n">
        <v>3</v>
      </c>
      <c r="L465" s="0" t="n">
        <v>3</v>
      </c>
    </row>
    <row r="466" customFormat="false" ht="15" hidden="false" customHeight="false" outlineLevel="0" collapsed="false">
      <c r="A466" s="5" t="n">
        <v>40316</v>
      </c>
      <c r="B466" s="6" t="s">
        <v>62</v>
      </c>
      <c r="C466" s="6" t="s">
        <v>78</v>
      </c>
      <c r="D466" s="0" t="n">
        <v>255.702234729595</v>
      </c>
      <c r="E466" s="0" t="n">
        <v>3.936666667</v>
      </c>
      <c r="F466" s="0" t="n">
        <v>1</v>
      </c>
      <c r="G466" s="0" t="n">
        <v>0</v>
      </c>
      <c r="H466" s="0" t="n">
        <v>0</v>
      </c>
      <c r="I466" s="0" t="n">
        <v>0</v>
      </c>
      <c r="J466" s="0" t="n">
        <v>0</v>
      </c>
      <c r="K466" s="0" t="n">
        <v>3</v>
      </c>
      <c r="L466" s="0" t="n">
        <v>3</v>
      </c>
    </row>
    <row r="467" customFormat="false" ht="15" hidden="false" customHeight="false" outlineLevel="0" collapsed="false">
      <c r="A467" s="5" t="n">
        <v>40323</v>
      </c>
      <c r="B467" s="6" t="s">
        <v>62</v>
      </c>
      <c r="C467" s="6" t="s">
        <v>78</v>
      </c>
      <c r="D467" s="0" t="n">
        <v>269.472927337945</v>
      </c>
      <c r="E467" s="0" t="n">
        <v>3.84</v>
      </c>
      <c r="F467" s="0" t="n">
        <v>1</v>
      </c>
      <c r="G467" s="0" t="n">
        <v>0</v>
      </c>
      <c r="H467" s="0" t="n">
        <v>0</v>
      </c>
      <c r="I467" s="0" t="n">
        <v>0</v>
      </c>
      <c r="J467" s="0" t="n">
        <v>0</v>
      </c>
      <c r="K467" s="0" t="n">
        <v>3</v>
      </c>
      <c r="L467" s="0" t="n">
        <v>3</v>
      </c>
    </row>
    <row r="468" customFormat="false" ht="15" hidden="false" customHeight="false" outlineLevel="0" collapsed="false">
      <c r="A468" s="5" t="n">
        <v>40330</v>
      </c>
      <c r="B468" s="6" t="s">
        <v>62</v>
      </c>
      <c r="C468" s="6" t="s">
        <v>78</v>
      </c>
      <c r="D468" s="0" t="n">
        <v>199.047573971388</v>
      </c>
      <c r="E468" s="0" t="n">
        <v>3.73</v>
      </c>
      <c r="F468" s="0" t="n">
        <v>1</v>
      </c>
      <c r="G468" s="0" t="n">
        <v>0</v>
      </c>
      <c r="H468" s="0" t="n">
        <v>0</v>
      </c>
      <c r="I468" s="0" t="n">
        <v>0</v>
      </c>
      <c r="J468" s="0" t="n">
        <v>0</v>
      </c>
      <c r="K468" s="0" t="n">
        <v>3</v>
      </c>
      <c r="L468" s="0" t="n">
        <v>3</v>
      </c>
    </row>
    <row r="469" customFormat="false" ht="15" hidden="false" customHeight="false" outlineLevel="0" collapsed="false">
      <c r="A469" s="5" t="n">
        <v>40337</v>
      </c>
      <c r="B469" s="6" t="s">
        <v>62</v>
      </c>
      <c r="C469" s="6" t="s">
        <v>78</v>
      </c>
      <c r="D469" s="0" t="n">
        <v>239.131775916577</v>
      </c>
      <c r="E469" s="0" t="n">
        <v>4.34</v>
      </c>
      <c r="F469" s="0" t="n">
        <v>1</v>
      </c>
      <c r="G469" s="0" t="n">
        <v>0</v>
      </c>
      <c r="H469" s="0" t="n">
        <v>0</v>
      </c>
      <c r="I469" s="0" t="n">
        <v>0</v>
      </c>
      <c r="J469" s="0" t="n">
        <v>0</v>
      </c>
      <c r="K469" s="0" t="n">
        <v>3</v>
      </c>
      <c r="L469" s="0" t="n">
        <v>3</v>
      </c>
    </row>
    <row r="470" customFormat="false" ht="15" hidden="false" customHeight="false" outlineLevel="0" collapsed="false">
      <c r="A470" s="5" t="n">
        <v>40344</v>
      </c>
      <c r="B470" s="6" t="s">
        <v>62</v>
      </c>
      <c r="C470" s="6" t="s">
        <v>78</v>
      </c>
      <c r="D470" s="0" t="n">
        <v>257.535112311343</v>
      </c>
      <c r="E470" s="0" t="n">
        <v>4.096666667</v>
      </c>
      <c r="F470" s="0" t="n">
        <v>1</v>
      </c>
      <c r="G470" s="0" t="n">
        <v>0</v>
      </c>
      <c r="H470" s="0" t="n">
        <v>0</v>
      </c>
      <c r="I470" s="0" t="n">
        <v>0</v>
      </c>
      <c r="J470" s="0" t="n">
        <v>0</v>
      </c>
      <c r="K470" s="0" t="n">
        <v>3</v>
      </c>
      <c r="L470" s="0" t="n">
        <v>3</v>
      </c>
    </row>
    <row r="471" customFormat="false" ht="15" hidden="false" customHeight="false" outlineLevel="0" collapsed="false">
      <c r="A471" s="5" t="n">
        <v>40351</v>
      </c>
      <c r="B471" s="6" t="s">
        <v>62</v>
      </c>
      <c r="C471" s="6" t="s">
        <v>78</v>
      </c>
      <c r="D471" s="0" t="n">
        <v>467.473526848349</v>
      </c>
      <c r="E471" s="0" t="n">
        <v>4.096666667</v>
      </c>
      <c r="F471" s="0" t="n">
        <v>1</v>
      </c>
      <c r="G471" s="0" t="n">
        <v>0</v>
      </c>
      <c r="H471" s="0" t="n">
        <v>1</v>
      </c>
      <c r="I471" s="0" t="n">
        <v>0</v>
      </c>
      <c r="J471" s="0" t="n">
        <v>0</v>
      </c>
      <c r="K471" s="0" t="n">
        <v>3</v>
      </c>
      <c r="L471" s="0" t="n">
        <v>3</v>
      </c>
    </row>
    <row r="472" customFormat="false" ht="15" hidden="false" customHeight="false" outlineLevel="0" collapsed="false">
      <c r="A472" s="5" t="n">
        <v>40358</v>
      </c>
      <c r="B472" s="6" t="s">
        <v>62</v>
      </c>
      <c r="C472" s="6" t="s">
        <v>78</v>
      </c>
      <c r="D472" s="0" t="n">
        <v>487.999117481312</v>
      </c>
      <c r="E472" s="0" t="n">
        <v>4.34</v>
      </c>
      <c r="F472" s="0" t="n">
        <v>1</v>
      </c>
      <c r="G472" s="0" t="n">
        <v>0</v>
      </c>
      <c r="H472" s="0" t="n">
        <v>1</v>
      </c>
      <c r="I472" s="0" t="n">
        <v>1</v>
      </c>
      <c r="J472" s="0" t="n">
        <v>0</v>
      </c>
      <c r="K472" s="0" t="n">
        <v>3</v>
      </c>
      <c r="L472" s="0" t="n">
        <v>3</v>
      </c>
    </row>
    <row r="473" customFormat="false" ht="15" hidden="false" customHeight="false" outlineLevel="0" collapsed="false">
      <c r="A473" s="5" t="n">
        <v>40365</v>
      </c>
      <c r="B473" s="6" t="s">
        <v>62</v>
      </c>
      <c r="C473" s="6" t="s">
        <v>78</v>
      </c>
      <c r="D473" s="0" t="n">
        <v>296.342386924319</v>
      </c>
      <c r="E473" s="0" t="n">
        <v>3.681333333</v>
      </c>
      <c r="F473" s="0" t="n">
        <v>1</v>
      </c>
      <c r="G473" s="0" t="n">
        <v>0</v>
      </c>
      <c r="H473" s="0" t="n">
        <v>0</v>
      </c>
      <c r="I473" s="0" t="n">
        <v>1</v>
      </c>
      <c r="J473" s="0" t="n">
        <v>0</v>
      </c>
      <c r="K473" s="0" t="n">
        <v>3</v>
      </c>
      <c r="L473" s="0" t="n">
        <v>3</v>
      </c>
    </row>
    <row r="474" customFormat="false" ht="15" hidden="false" customHeight="false" outlineLevel="0" collapsed="false">
      <c r="A474" s="5" t="n">
        <v>40372</v>
      </c>
      <c r="B474" s="6" t="s">
        <v>62</v>
      </c>
      <c r="C474" s="6" t="s">
        <v>78</v>
      </c>
      <c r="D474" s="0" t="n">
        <v>329.350007517417</v>
      </c>
      <c r="E474" s="0" t="n">
        <v>3.950625</v>
      </c>
      <c r="F474" s="0" t="n">
        <v>1</v>
      </c>
      <c r="G474" s="0" t="n">
        <v>0</v>
      </c>
      <c r="H474" s="0" t="n">
        <v>0</v>
      </c>
      <c r="I474" s="0" t="n">
        <v>1</v>
      </c>
      <c r="J474" s="0" t="n">
        <v>0</v>
      </c>
      <c r="K474" s="0" t="n">
        <v>3</v>
      </c>
      <c r="L474" s="0" t="n">
        <v>3</v>
      </c>
    </row>
    <row r="475" customFormat="false" ht="15" hidden="false" customHeight="false" outlineLevel="0" collapsed="false">
      <c r="A475" s="5" t="n">
        <v>40302</v>
      </c>
      <c r="B475" s="6" t="s">
        <v>79</v>
      </c>
      <c r="C475" s="6" t="s">
        <v>80</v>
      </c>
      <c r="D475" s="0" t="n">
        <v>185.930677851694</v>
      </c>
      <c r="E475" s="0" t="n">
        <v>4.204285714</v>
      </c>
      <c r="F475" s="0" t="n">
        <v>0</v>
      </c>
      <c r="G475" s="0" t="n">
        <v>0</v>
      </c>
      <c r="H475" s="0" t="n">
        <v>0</v>
      </c>
      <c r="I475" s="0" t="n">
        <v>0</v>
      </c>
      <c r="J475" s="0" t="n">
        <v>0</v>
      </c>
      <c r="K475" s="0" t="n">
        <v>2</v>
      </c>
      <c r="L475" s="0" t="n">
        <v>5</v>
      </c>
    </row>
    <row r="476" customFormat="false" ht="15" hidden="false" customHeight="false" outlineLevel="0" collapsed="false">
      <c r="A476" s="5" t="n">
        <v>40309</v>
      </c>
      <c r="B476" s="6" t="s">
        <v>79</v>
      </c>
      <c r="C476" s="6" t="s">
        <v>80</v>
      </c>
      <c r="D476" s="0" t="n">
        <v>139.781382170431</v>
      </c>
      <c r="E476" s="0" t="n">
        <v>4.204285714</v>
      </c>
      <c r="F476" s="0" t="n">
        <v>0</v>
      </c>
      <c r="G476" s="0" t="n">
        <v>0</v>
      </c>
      <c r="H476" s="0" t="n">
        <v>0</v>
      </c>
      <c r="I476" s="0" t="n">
        <v>0</v>
      </c>
      <c r="J476" s="0" t="n">
        <v>0</v>
      </c>
      <c r="K476" s="0" t="n">
        <v>2</v>
      </c>
      <c r="L476" s="0" t="n">
        <v>5</v>
      </c>
    </row>
    <row r="477" customFormat="false" ht="15" hidden="false" customHeight="false" outlineLevel="0" collapsed="false">
      <c r="A477" s="5" t="n">
        <v>40316</v>
      </c>
      <c r="B477" s="6" t="s">
        <v>79</v>
      </c>
      <c r="C477" s="6" t="s">
        <v>80</v>
      </c>
      <c r="D477" s="0" t="n">
        <v>148.036294226258</v>
      </c>
      <c r="E477" s="0" t="n">
        <v>3.756666667</v>
      </c>
      <c r="F477" s="0" t="n">
        <v>0</v>
      </c>
      <c r="G477" s="0" t="n">
        <v>0</v>
      </c>
      <c r="H477" s="0" t="n">
        <v>0</v>
      </c>
      <c r="I477" s="0" t="n">
        <v>0</v>
      </c>
      <c r="J477" s="0" t="n">
        <v>0</v>
      </c>
      <c r="K477" s="0" t="n">
        <v>2</v>
      </c>
      <c r="L477" s="0" t="n">
        <v>5</v>
      </c>
    </row>
    <row r="478" customFormat="false" ht="15" hidden="false" customHeight="false" outlineLevel="0" collapsed="false">
      <c r="A478" s="5" t="n">
        <v>40323</v>
      </c>
      <c r="B478" s="6" t="s">
        <v>79</v>
      </c>
      <c r="C478" s="6" t="s">
        <v>80</v>
      </c>
      <c r="D478" s="0" t="n">
        <v>188.053327652258</v>
      </c>
      <c r="E478" s="0" t="n">
        <v>3.861428571</v>
      </c>
      <c r="F478" s="0" t="n">
        <v>0</v>
      </c>
      <c r="G478" s="0" t="n">
        <v>0</v>
      </c>
      <c r="H478" s="0" t="n">
        <v>0</v>
      </c>
      <c r="I478" s="0" t="n">
        <v>0</v>
      </c>
      <c r="J478" s="0" t="n">
        <v>0</v>
      </c>
      <c r="K478" s="0" t="n">
        <v>2</v>
      </c>
      <c r="L478" s="0" t="n">
        <v>5</v>
      </c>
    </row>
    <row r="479" customFormat="false" ht="15" hidden="false" customHeight="false" outlineLevel="0" collapsed="false">
      <c r="A479" s="5" t="n">
        <v>40330</v>
      </c>
      <c r="B479" s="6" t="s">
        <v>79</v>
      </c>
      <c r="C479" s="6" t="s">
        <v>80</v>
      </c>
      <c r="D479" s="0" t="n">
        <v>186.240545787565</v>
      </c>
      <c r="E479" s="0" t="n">
        <v>3.861428571</v>
      </c>
      <c r="F479" s="0" t="n">
        <v>0</v>
      </c>
      <c r="G479" s="0" t="n">
        <v>0</v>
      </c>
      <c r="H479" s="0" t="n">
        <v>0</v>
      </c>
      <c r="I479" s="0" t="n">
        <v>0</v>
      </c>
      <c r="J479" s="0" t="n">
        <v>0</v>
      </c>
      <c r="K479" s="0" t="n">
        <v>2</v>
      </c>
      <c r="L479" s="0" t="n">
        <v>5</v>
      </c>
    </row>
    <row r="480" customFormat="false" ht="15" hidden="false" customHeight="false" outlineLevel="0" collapsed="false">
      <c r="A480" s="5" t="n">
        <v>40337</v>
      </c>
      <c r="B480" s="6" t="s">
        <v>79</v>
      </c>
      <c r="C480" s="6" t="s">
        <v>80</v>
      </c>
      <c r="D480" s="0" t="n">
        <v>167.509567609417</v>
      </c>
      <c r="E480" s="0" t="n">
        <v>4.204285714</v>
      </c>
      <c r="F480" s="0" t="n">
        <v>0</v>
      </c>
      <c r="G480" s="0" t="n">
        <v>0</v>
      </c>
      <c r="H480" s="0" t="n">
        <v>0</v>
      </c>
      <c r="I480" s="0" t="n">
        <v>0</v>
      </c>
      <c r="J480" s="0" t="n">
        <v>0</v>
      </c>
      <c r="K480" s="0" t="n">
        <v>2</v>
      </c>
      <c r="L480" s="0" t="n">
        <v>5</v>
      </c>
    </row>
    <row r="481" customFormat="false" ht="15" hidden="false" customHeight="false" outlineLevel="0" collapsed="false">
      <c r="A481" s="5" t="n">
        <v>40344</v>
      </c>
      <c r="B481" s="6" t="s">
        <v>79</v>
      </c>
      <c r="C481" s="6" t="s">
        <v>80</v>
      </c>
      <c r="D481" s="0" t="n">
        <v>106.252154385917</v>
      </c>
      <c r="E481" s="0" t="n">
        <v>4.156666667</v>
      </c>
      <c r="F481" s="0" t="n">
        <v>0</v>
      </c>
      <c r="G481" s="0" t="n">
        <v>0</v>
      </c>
      <c r="H481" s="0" t="n">
        <v>0</v>
      </c>
      <c r="I481" s="0" t="n">
        <v>0</v>
      </c>
      <c r="J481" s="0" t="n">
        <v>0</v>
      </c>
      <c r="K481" s="0" t="n">
        <v>2</v>
      </c>
      <c r="L481" s="0" t="n">
        <v>5</v>
      </c>
    </row>
    <row r="482" customFormat="false" ht="15" hidden="false" customHeight="false" outlineLevel="0" collapsed="false">
      <c r="A482" s="5" t="n">
        <v>40351</v>
      </c>
      <c r="B482" s="6" t="s">
        <v>79</v>
      </c>
      <c r="C482" s="6" t="s">
        <v>80</v>
      </c>
      <c r="D482" s="0" t="n">
        <v>167.944791879811</v>
      </c>
      <c r="E482" s="0" t="n">
        <v>4.115</v>
      </c>
      <c r="F482" s="0" t="n">
        <v>0</v>
      </c>
      <c r="G482" s="0" t="n">
        <v>0</v>
      </c>
      <c r="H482" s="0" t="n">
        <v>0</v>
      </c>
      <c r="I482" s="0" t="n">
        <v>0</v>
      </c>
      <c r="J482" s="0" t="n">
        <v>0</v>
      </c>
      <c r="K482" s="0" t="n">
        <v>2</v>
      </c>
      <c r="L482" s="0" t="n">
        <v>5</v>
      </c>
    </row>
    <row r="483" customFormat="false" ht="15" hidden="false" customHeight="false" outlineLevel="0" collapsed="false">
      <c r="A483" s="5" t="n">
        <v>40358</v>
      </c>
      <c r="B483" s="6" t="s">
        <v>79</v>
      </c>
      <c r="C483" s="6" t="s">
        <v>80</v>
      </c>
      <c r="D483" s="0" t="n">
        <v>87.516367526594</v>
      </c>
      <c r="E483" s="0" t="n">
        <v>4.204285714</v>
      </c>
      <c r="F483" s="0" t="n">
        <v>0</v>
      </c>
      <c r="G483" s="0" t="n">
        <v>0</v>
      </c>
      <c r="H483" s="0" t="n">
        <v>0</v>
      </c>
      <c r="I483" s="0" t="n">
        <v>0</v>
      </c>
      <c r="J483" s="0" t="n">
        <v>0</v>
      </c>
      <c r="K483" s="0" t="n">
        <v>2</v>
      </c>
      <c r="L483" s="0" t="n">
        <v>5</v>
      </c>
    </row>
    <row r="484" customFormat="false" ht="15" hidden="false" customHeight="false" outlineLevel="0" collapsed="false">
      <c r="A484" s="5" t="n">
        <v>40365</v>
      </c>
      <c r="B484" s="6" t="s">
        <v>79</v>
      </c>
      <c r="C484" s="6" t="s">
        <v>80</v>
      </c>
      <c r="D484" s="0" t="n">
        <v>171.45285503752</v>
      </c>
      <c r="E484" s="0" t="n">
        <v>3.78</v>
      </c>
      <c r="F484" s="0" t="n">
        <v>0</v>
      </c>
      <c r="G484" s="0" t="n">
        <v>0</v>
      </c>
      <c r="H484" s="0" t="n">
        <v>0</v>
      </c>
      <c r="I484" s="0" t="n">
        <v>0</v>
      </c>
      <c r="J484" s="0" t="n">
        <v>0</v>
      </c>
      <c r="K484" s="0" t="n">
        <v>2</v>
      </c>
      <c r="L484" s="0" t="n">
        <v>5</v>
      </c>
    </row>
    <row r="485" customFormat="false" ht="15" hidden="false" customHeight="false" outlineLevel="0" collapsed="false">
      <c r="A485" s="5" t="n">
        <v>40372</v>
      </c>
      <c r="B485" s="6" t="s">
        <v>79</v>
      </c>
      <c r="C485" s="6" t="s">
        <v>80</v>
      </c>
      <c r="D485" s="0" t="n">
        <v>116.255381785723</v>
      </c>
      <c r="E485" s="0" t="n">
        <v>3.273333333</v>
      </c>
      <c r="F485" s="0" t="n">
        <v>0</v>
      </c>
      <c r="G485" s="0" t="n">
        <v>0</v>
      </c>
      <c r="H485" s="0" t="n">
        <v>0</v>
      </c>
      <c r="I485" s="0" t="n">
        <v>0</v>
      </c>
      <c r="J485" s="0" t="n">
        <v>0</v>
      </c>
      <c r="K485" s="0" t="n">
        <v>2</v>
      </c>
      <c r="L485" s="0" t="n">
        <v>5</v>
      </c>
    </row>
    <row r="486" customFormat="false" ht="15" hidden="false" customHeight="false" outlineLevel="0" collapsed="false">
      <c r="A486" s="5" t="n">
        <v>40302</v>
      </c>
      <c r="B486" s="6" t="s">
        <v>79</v>
      </c>
      <c r="C486" s="6" t="s">
        <v>81</v>
      </c>
      <c r="D486" s="0" t="n">
        <v>156.184987143156</v>
      </c>
      <c r="E486" s="0" t="n">
        <v>4.204285714</v>
      </c>
      <c r="F486" s="0" t="n">
        <v>0</v>
      </c>
      <c r="G486" s="0" t="n">
        <v>0</v>
      </c>
      <c r="H486" s="0" t="n">
        <v>0</v>
      </c>
      <c r="I486" s="0" t="n">
        <v>0</v>
      </c>
      <c r="J486" s="0" t="n">
        <v>0</v>
      </c>
      <c r="K486" s="0" t="n">
        <v>2</v>
      </c>
      <c r="L486" s="0" t="n">
        <v>0</v>
      </c>
    </row>
    <row r="487" customFormat="false" ht="15" hidden="false" customHeight="false" outlineLevel="0" collapsed="false">
      <c r="A487" s="5" t="n">
        <v>40309</v>
      </c>
      <c r="B487" s="6" t="s">
        <v>79</v>
      </c>
      <c r="C487" s="6" t="s">
        <v>81</v>
      </c>
      <c r="D487" s="0" t="n">
        <v>208.035439039288</v>
      </c>
      <c r="E487" s="0" t="n">
        <v>4.118571429</v>
      </c>
      <c r="F487" s="0" t="n">
        <v>0</v>
      </c>
      <c r="G487" s="0" t="n">
        <v>0</v>
      </c>
      <c r="H487" s="0" t="n">
        <v>0</v>
      </c>
      <c r="I487" s="0" t="n">
        <v>0</v>
      </c>
      <c r="J487" s="0" t="n">
        <v>0</v>
      </c>
      <c r="K487" s="0" t="n">
        <v>2</v>
      </c>
      <c r="L487" s="0" t="n">
        <v>0</v>
      </c>
    </row>
    <row r="488" customFormat="false" ht="15" hidden="false" customHeight="false" outlineLevel="0" collapsed="false">
      <c r="A488" s="5" t="n">
        <v>40316</v>
      </c>
      <c r="B488" s="6" t="s">
        <v>79</v>
      </c>
      <c r="C488" s="6" t="s">
        <v>81</v>
      </c>
      <c r="D488" s="0" t="n">
        <v>165.139201278736</v>
      </c>
      <c r="E488" s="0" t="n">
        <v>3.861428571</v>
      </c>
      <c r="F488" s="0" t="n">
        <v>0</v>
      </c>
      <c r="G488" s="0" t="n">
        <v>0</v>
      </c>
      <c r="H488" s="0" t="n">
        <v>0</v>
      </c>
      <c r="I488" s="0" t="n">
        <v>0</v>
      </c>
      <c r="J488" s="0" t="n">
        <v>0</v>
      </c>
      <c r="K488" s="0" t="n">
        <v>2</v>
      </c>
      <c r="L488" s="0" t="n">
        <v>0</v>
      </c>
    </row>
    <row r="489" customFormat="false" ht="15" hidden="false" customHeight="false" outlineLevel="0" collapsed="false">
      <c r="A489" s="5" t="n">
        <v>40323</v>
      </c>
      <c r="B489" s="6" t="s">
        <v>79</v>
      </c>
      <c r="C489" s="6" t="s">
        <v>81</v>
      </c>
      <c r="D489" s="0" t="n">
        <v>165.867914195461</v>
      </c>
      <c r="E489" s="0" t="n">
        <v>3.861428571</v>
      </c>
      <c r="F489" s="0" t="n">
        <v>0</v>
      </c>
      <c r="G489" s="0" t="n">
        <v>0</v>
      </c>
      <c r="H489" s="0" t="n">
        <v>0</v>
      </c>
      <c r="I489" s="0" t="n">
        <v>0</v>
      </c>
      <c r="J489" s="0" t="n">
        <v>0</v>
      </c>
      <c r="K489" s="0" t="n">
        <v>2</v>
      </c>
      <c r="L489" s="0" t="n">
        <v>0</v>
      </c>
    </row>
    <row r="490" customFormat="false" ht="15" hidden="false" customHeight="false" outlineLevel="0" collapsed="false">
      <c r="A490" s="5" t="n">
        <v>40330</v>
      </c>
      <c r="B490" s="6" t="s">
        <v>79</v>
      </c>
      <c r="C490" s="6" t="s">
        <v>81</v>
      </c>
      <c r="D490" s="0" t="n">
        <v>134.33644365251</v>
      </c>
      <c r="E490" s="0" t="n">
        <v>3.756666667</v>
      </c>
      <c r="F490" s="0" t="n">
        <v>0</v>
      </c>
      <c r="G490" s="0" t="n">
        <v>0</v>
      </c>
      <c r="H490" s="0" t="n">
        <v>0</v>
      </c>
      <c r="I490" s="0" t="n">
        <v>0</v>
      </c>
      <c r="J490" s="0" t="n">
        <v>0</v>
      </c>
      <c r="K490" s="0" t="n">
        <v>2</v>
      </c>
      <c r="L490" s="0" t="n">
        <v>0</v>
      </c>
    </row>
    <row r="491" customFormat="false" ht="15" hidden="false" customHeight="false" outlineLevel="0" collapsed="false">
      <c r="A491" s="5" t="n">
        <v>40337</v>
      </c>
      <c r="B491" s="6" t="s">
        <v>79</v>
      </c>
      <c r="C491" s="6" t="s">
        <v>81</v>
      </c>
      <c r="D491" s="0" t="n">
        <v>187.078950606853</v>
      </c>
      <c r="E491" s="0" t="n">
        <v>4.204285714</v>
      </c>
      <c r="F491" s="0" t="n">
        <v>0</v>
      </c>
      <c r="G491" s="0" t="n">
        <v>0</v>
      </c>
      <c r="H491" s="0" t="n">
        <v>0</v>
      </c>
      <c r="I491" s="0" t="n">
        <v>0</v>
      </c>
      <c r="J491" s="0" t="n">
        <v>0</v>
      </c>
      <c r="K491" s="0" t="n">
        <v>2</v>
      </c>
      <c r="L491" s="0" t="n">
        <v>0</v>
      </c>
    </row>
    <row r="492" customFormat="false" ht="15" hidden="false" customHeight="false" outlineLevel="0" collapsed="false">
      <c r="A492" s="5" t="n">
        <v>40344</v>
      </c>
      <c r="B492" s="6" t="s">
        <v>79</v>
      </c>
      <c r="C492" s="6" t="s">
        <v>81</v>
      </c>
      <c r="D492" s="0" t="n">
        <v>230.614038575193</v>
      </c>
      <c r="E492" s="0" t="n">
        <v>4.204285714</v>
      </c>
      <c r="F492" s="0" t="n">
        <v>0</v>
      </c>
      <c r="G492" s="0" t="n">
        <v>0</v>
      </c>
      <c r="H492" s="0" t="n">
        <v>0</v>
      </c>
      <c r="I492" s="0" t="n">
        <v>0</v>
      </c>
      <c r="J492" s="0" t="n">
        <v>0</v>
      </c>
      <c r="K492" s="0" t="n">
        <v>2</v>
      </c>
      <c r="L492" s="0" t="n">
        <v>0</v>
      </c>
    </row>
    <row r="493" customFormat="false" ht="15" hidden="false" customHeight="false" outlineLevel="0" collapsed="false">
      <c r="A493" s="5" t="n">
        <v>40351</v>
      </c>
      <c r="B493" s="6" t="s">
        <v>79</v>
      </c>
      <c r="C493" s="6" t="s">
        <v>81</v>
      </c>
      <c r="D493" s="0" t="n">
        <v>150.454271531646</v>
      </c>
      <c r="E493" s="0" t="n">
        <v>4.204285714</v>
      </c>
      <c r="F493" s="0" t="n">
        <v>0</v>
      </c>
      <c r="G493" s="0" t="n">
        <v>0</v>
      </c>
      <c r="H493" s="0" t="n">
        <v>0</v>
      </c>
      <c r="I493" s="0" t="n">
        <v>0</v>
      </c>
      <c r="J493" s="0" t="n">
        <v>0</v>
      </c>
      <c r="K493" s="0" t="n">
        <v>2</v>
      </c>
      <c r="L493" s="0" t="n">
        <v>0</v>
      </c>
    </row>
    <row r="494" customFormat="false" ht="15" hidden="false" customHeight="false" outlineLevel="0" collapsed="false">
      <c r="A494" s="5" t="n">
        <v>40358</v>
      </c>
      <c r="B494" s="6" t="s">
        <v>79</v>
      </c>
      <c r="C494" s="6" t="s">
        <v>81</v>
      </c>
      <c r="D494" s="0" t="n">
        <v>303.291028840078</v>
      </c>
      <c r="E494" s="0" t="n">
        <v>3.823333333</v>
      </c>
      <c r="F494" s="0" t="n">
        <v>0</v>
      </c>
      <c r="G494" s="0" t="n">
        <v>0</v>
      </c>
      <c r="H494" s="0" t="n">
        <v>0</v>
      </c>
      <c r="I494" s="0" t="n">
        <v>0</v>
      </c>
      <c r="J494" s="0" t="n">
        <v>0</v>
      </c>
      <c r="K494" s="0" t="n">
        <v>2</v>
      </c>
      <c r="L494" s="0" t="n">
        <v>0</v>
      </c>
    </row>
    <row r="495" customFormat="false" ht="15" hidden="false" customHeight="false" outlineLevel="0" collapsed="false">
      <c r="A495" s="5" t="n">
        <v>40365</v>
      </c>
      <c r="B495" s="6" t="s">
        <v>79</v>
      </c>
      <c r="C495" s="6" t="s">
        <v>81</v>
      </c>
      <c r="D495" s="0" t="n">
        <v>256.181447335885</v>
      </c>
      <c r="E495" s="0" t="n">
        <v>3.096</v>
      </c>
      <c r="F495" s="0" t="n">
        <v>0</v>
      </c>
      <c r="G495" s="0" t="n">
        <v>0</v>
      </c>
      <c r="H495" s="0" t="n">
        <v>0</v>
      </c>
      <c r="I495" s="0" t="n">
        <v>0</v>
      </c>
      <c r="J495" s="0" t="n">
        <v>0</v>
      </c>
      <c r="K495" s="0" t="n">
        <v>2</v>
      </c>
      <c r="L495" s="0" t="n">
        <v>0</v>
      </c>
    </row>
    <row r="496" customFormat="false" ht="15" hidden="false" customHeight="false" outlineLevel="0" collapsed="false">
      <c r="A496" s="5" t="n">
        <v>40372</v>
      </c>
      <c r="B496" s="6" t="s">
        <v>79</v>
      </c>
      <c r="C496" s="6" t="s">
        <v>81</v>
      </c>
      <c r="D496" s="0" t="n">
        <v>241.452942534632</v>
      </c>
      <c r="E496" s="0" t="n">
        <v>3.096</v>
      </c>
      <c r="F496" s="0" t="n">
        <v>0</v>
      </c>
      <c r="G496" s="0" t="n">
        <v>0</v>
      </c>
      <c r="H496" s="0" t="n">
        <v>0</v>
      </c>
      <c r="I496" s="0" t="n">
        <v>0</v>
      </c>
      <c r="J496" s="0" t="n">
        <v>0</v>
      </c>
      <c r="K496" s="0" t="n">
        <v>2</v>
      </c>
      <c r="L496" s="0" t="n">
        <v>0</v>
      </c>
    </row>
    <row r="497" customFormat="false" ht="15" hidden="false" customHeight="false" outlineLevel="0" collapsed="false">
      <c r="A497" s="5" t="n">
        <v>40302</v>
      </c>
      <c r="B497" s="6" t="s">
        <v>79</v>
      </c>
      <c r="C497" s="6" t="s">
        <v>82</v>
      </c>
      <c r="D497" s="0" t="n">
        <v>170.869653251196</v>
      </c>
      <c r="E497" s="0" t="n">
        <v>4.204285714</v>
      </c>
      <c r="F497" s="0" t="n">
        <v>0</v>
      </c>
      <c r="G497" s="0" t="n">
        <v>0</v>
      </c>
      <c r="H497" s="0" t="n">
        <v>0</v>
      </c>
      <c r="I497" s="0" t="n">
        <v>0</v>
      </c>
      <c r="J497" s="0" t="n">
        <v>0</v>
      </c>
      <c r="K497" s="0" t="n">
        <v>1</v>
      </c>
      <c r="L497" s="0" t="n">
        <v>1</v>
      </c>
    </row>
    <row r="498" customFormat="false" ht="15" hidden="false" customHeight="false" outlineLevel="0" collapsed="false">
      <c r="A498" s="5" t="n">
        <v>40309</v>
      </c>
      <c r="B498" s="6" t="s">
        <v>79</v>
      </c>
      <c r="C498" s="6" t="s">
        <v>82</v>
      </c>
      <c r="D498" s="0" t="n">
        <v>181.321860676307</v>
      </c>
      <c r="E498" s="0" t="n">
        <v>4.144285714</v>
      </c>
      <c r="F498" s="0" t="n">
        <v>0</v>
      </c>
      <c r="G498" s="0" t="n">
        <v>0</v>
      </c>
      <c r="H498" s="0" t="n">
        <v>0</v>
      </c>
      <c r="I498" s="0" t="n">
        <v>0</v>
      </c>
      <c r="J498" s="0" t="n">
        <v>0</v>
      </c>
      <c r="K498" s="0" t="n">
        <v>1</v>
      </c>
      <c r="L498" s="0" t="n">
        <v>1</v>
      </c>
    </row>
    <row r="499" customFormat="false" ht="15" hidden="false" customHeight="false" outlineLevel="0" collapsed="false">
      <c r="A499" s="5" t="n">
        <v>40316</v>
      </c>
      <c r="B499" s="6" t="s">
        <v>79</v>
      </c>
      <c r="C499" s="6" t="s">
        <v>82</v>
      </c>
      <c r="D499" s="0" t="n">
        <v>207.629133814365</v>
      </c>
      <c r="E499" s="0" t="n">
        <v>3.861428571</v>
      </c>
      <c r="F499" s="0" t="n">
        <v>0</v>
      </c>
      <c r="G499" s="0" t="n">
        <v>0</v>
      </c>
      <c r="H499" s="0" t="n">
        <v>0</v>
      </c>
      <c r="I499" s="0" t="n">
        <v>0</v>
      </c>
      <c r="J499" s="0" t="n">
        <v>0</v>
      </c>
      <c r="K499" s="0" t="n">
        <v>1</v>
      </c>
      <c r="L499" s="0" t="n">
        <v>1</v>
      </c>
    </row>
    <row r="500" customFormat="false" ht="15" hidden="false" customHeight="false" outlineLevel="0" collapsed="false">
      <c r="A500" s="5" t="n">
        <v>40323</v>
      </c>
      <c r="B500" s="6" t="s">
        <v>79</v>
      </c>
      <c r="C500" s="6" t="s">
        <v>82</v>
      </c>
      <c r="D500" s="0" t="n">
        <v>275.83140617629</v>
      </c>
      <c r="E500" s="0" t="n">
        <v>3.861428571</v>
      </c>
      <c r="F500" s="0" t="n">
        <v>0</v>
      </c>
      <c r="G500" s="0" t="n">
        <v>0</v>
      </c>
      <c r="H500" s="0" t="n">
        <v>0</v>
      </c>
      <c r="I500" s="0" t="n">
        <v>0</v>
      </c>
      <c r="J500" s="0" t="n">
        <v>0</v>
      </c>
      <c r="K500" s="0" t="n">
        <v>1</v>
      </c>
      <c r="L500" s="0" t="n">
        <v>1</v>
      </c>
    </row>
    <row r="501" customFormat="false" ht="15" hidden="false" customHeight="false" outlineLevel="0" collapsed="false">
      <c r="A501" s="5" t="n">
        <v>40330</v>
      </c>
      <c r="B501" s="6" t="s">
        <v>79</v>
      </c>
      <c r="C501" s="6" t="s">
        <v>82</v>
      </c>
      <c r="D501" s="0" t="n">
        <v>265.699112308127</v>
      </c>
      <c r="E501" s="0" t="n">
        <v>3.861428571</v>
      </c>
      <c r="F501" s="0" t="n">
        <v>0</v>
      </c>
      <c r="G501" s="0" t="n">
        <v>0</v>
      </c>
      <c r="H501" s="0" t="n">
        <v>0</v>
      </c>
      <c r="I501" s="0" t="n">
        <v>0</v>
      </c>
      <c r="J501" s="0" t="n">
        <v>0</v>
      </c>
      <c r="K501" s="0" t="n">
        <v>1</v>
      </c>
      <c r="L501" s="0" t="n">
        <v>1</v>
      </c>
    </row>
    <row r="502" customFormat="false" ht="15" hidden="false" customHeight="false" outlineLevel="0" collapsed="false">
      <c r="A502" s="5" t="n">
        <v>40337</v>
      </c>
      <c r="B502" s="6" t="s">
        <v>79</v>
      </c>
      <c r="C502" s="6" t="s">
        <v>82</v>
      </c>
      <c r="D502" s="0" t="n">
        <v>175.779947873571</v>
      </c>
      <c r="E502" s="0" t="n">
        <v>4.204285714</v>
      </c>
      <c r="F502" s="0" t="n">
        <v>0</v>
      </c>
      <c r="G502" s="0" t="n">
        <v>0</v>
      </c>
      <c r="H502" s="0" t="n">
        <v>0</v>
      </c>
      <c r="I502" s="0" t="n">
        <v>0</v>
      </c>
      <c r="J502" s="0" t="n">
        <v>0</v>
      </c>
      <c r="K502" s="0" t="n">
        <v>1</v>
      </c>
      <c r="L502" s="0" t="n">
        <v>1</v>
      </c>
    </row>
    <row r="503" customFormat="false" ht="15" hidden="false" customHeight="false" outlineLevel="0" collapsed="false">
      <c r="A503" s="5" t="n">
        <v>40344</v>
      </c>
      <c r="B503" s="6" t="s">
        <v>79</v>
      </c>
      <c r="C503" s="6" t="s">
        <v>82</v>
      </c>
      <c r="D503" s="0" t="n">
        <v>259.857644050599</v>
      </c>
      <c r="E503" s="0" t="n">
        <v>4.204285714</v>
      </c>
      <c r="F503" s="0" t="n">
        <v>0</v>
      </c>
      <c r="G503" s="0" t="n">
        <v>0</v>
      </c>
      <c r="H503" s="0" t="n">
        <v>0</v>
      </c>
      <c r="I503" s="0" t="n">
        <v>0</v>
      </c>
      <c r="J503" s="0" t="n">
        <v>0</v>
      </c>
      <c r="K503" s="0" t="n">
        <v>1</v>
      </c>
      <c r="L503" s="0" t="n">
        <v>1</v>
      </c>
    </row>
    <row r="504" customFormat="false" ht="15" hidden="false" customHeight="false" outlineLevel="0" collapsed="false">
      <c r="A504" s="5" t="n">
        <v>40351</v>
      </c>
      <c r="B504" s="6" t="s">
        <v>79</v>
      </c>
      <c r="C504" s="6" t="s">
        <v>82</v>
      </c>
      <c r="D504" s="0" t="n">
        <v>178.217582102709</v>
      </c>
      <c r="E504" s="0" t="n">
        <v>4.204285714</v>
      </c>
      <c r="F504" s="0" t="n">
        <v>0</v>
      </c>
      <c r="G504" s="0" t="n">
        <v>0</v>
      </c>
      <c r="H504" s="0" t="n">
        <v>0</v>
      </c>
      <c r="I504" s="0" t="n">
        <v>0</v>
      </c>
      <c r="J504" s="0" t="n">
        <v>0</v>
      </c>
      <c r="K504" s="0" t="n">
        <v>1</v>
      </c>
      <c r="L504" s="0" t="n">
        <v>1</v>
      </c>
    </row>
    <row r="505" customFormat="false" ht="15" hidden="false" customHeight="false" outlineLevel="0" collapsed="false">
      <c r="A505" s="5" t="n">
        <v>40358</v>
      </c>
      <c r="B505" s="6" t="s">
        <v>79</v>
      </c>
      <c r="C505" s="6" t="s">
        <v>82</v>
      </c>
      <c r="D505" s="0" t="n">
        <v>257.449038987498</v>
      </c>
      <c r="E505" s="0" t="n">
        <v>4.204285714</v>
      </c>
      <c r="F505" s="0" t="n">
        <v>0</v>
      </c>
      <c r="G505" s="0" t="n">
        <v>0</v>
      </c>
      <c r="H505" s="0" t="n">
        <v>0</v>
      </c>
      <c r="I505" s="0" t="n">
        <v>0</v>
      </c>
      <c r="J505" s="0" t="n">
        <v>0</v>
      </c>
      <c r="K505" s="0" t="n">
        <v>1</v>
      </c>
      <c r="L505" s="0" t="n">
        <v>1</v>
      </c>
    </row>
    <row r="506" customFormat="false" ht="15" hidden="false" customHeight="false" outlineLevel="0" collapsed="false">
      <c r="A506" s="5" t="n">
        <v>40365</v>
      </c>
      <c r="B506" s="6" t="s">
        <v>79</v>
      </c>
      <c r="C506" s="6" t="s">
        <v>82</v>
      </c>
      <c r="D506" s="0" t="n">
        <v>157.424348231485</v>
      </c>
      <c r="E506" s="0" t="n">
        <v>3.78</v>
      </c>
      <c r="F506" s="0" t="n">
        <v>0</v>
      </c>
      <c r="G506" s="0" t="n">
        <v>0</v>
      </c>
      <c r="H506" s="0" t="n">
        <v>0</v>
      </c>
      <c r="I506" s="0" t="n">
        <v>0</v>
      </c>
      <c r="J506" s="0" t="n">
        <v>0</v>
      </c>
      <c r="K506" s="0" t="n">
        <v>1</v>
      </c>
      <c r="L506" s="0" t="n">
        <v>1</v>
      </c>
    </row>
    <row r="507" customFormat="false" ht="15" hidden="false" customHeight="false" outlineLevel="0" collapsed="false">
      <c r="A507" s="5" t="n">
        <v>40372</v>
      </c>
      <c r="B507" s="6" t="s">
        <v>79</v>
      </c>
      <c r="C507" s="6" t="s">
        <v>82</v>
      </c>
      <c r="D507" s="0" t="n">
        <v>217.675860325827</v>
      </c>
      <c r="E507" s="0" t="n">
        <v>3.424285714</v>
      </c>
      <c r="F507" s="0" t="n">
        <v>0</v>
      </c>
      <c r="G507" s="0" t="n">
        <v>0</v>
      </c>
      <c r="H507" s="0" t="n">
        <v>0</v>
      </c>
      <c r="I507" s="0" t="n">
        <v>0</v>
      </c>
      <c r="J507" s="0" t="n">
        <v>0</v>
      </c>
      <c r="K507" s="0" t="n">
        <v>1</v>
      </c>
      <c r="L507" s="0" t="n">
        <v>1</v>
      </c>
    </row>
    <row r="508" customFormat="false" ht="15" hidden="false" customHeight="false" outlineLevel="0" collapsed="false">
      <c r="A508" s="5" t="n">
        <v>40302</v>
      </c>
      <c r="B508" s="6" t="s">
        <v>79</v>
      </c>
      <c r="C508" s="6" t="s">
        <v>83</v>
      </c>
      <c r="D508" s="0" t="n">
        <v>111.156143733219</v>
      </c>
      <c r="E508" s="0" t="n">
        <v>4.204285714</v>
      </c>
      <c r="F508" s="0" t="n">
        <v>0</v>
      </c>
      <c r="G508" s="0" t="n">
        <v>0</v>
      </c>
      <c r="H508" s="0" t="n">
        <v>0</v>
      </c>
      <c r="I508" s="0" t="n">
        <v>0</v>
      </c>
      <c r="J508" s="0" t="n">
        <v>0</v>
      </c>
      <c r="K508" s="0" t="n">
        <v>2</v>
      </c>
      <c r="L508" s="0" t="n">
        <v>1</v>
      </c>
    </row>
    <row r="509" customFormat="false" ht="15" hidden="false" customHeight="false" outlineLevel="0" collapsed="false">
      <c r="A509" s="5" t="n">
        <v>40309</v>
      </c>
      <c r="B509" s="6" t="s">
        <v>79</v>
      </c>
      <c r="C509" s="6" t="s">
        <v>83</v>
      </c>
      <c r="D509" s="0" t="n">
        <v>193.775091185813</v>
      </c>
      <c r="E509" s="0" t="n">
        <v>4.204285714</v>
      </c>
      <c r="F509" s="0" t="n">
        <v>0</v>
      </c>
      <c r="G509" s="0" t="n">
        <v>0</v>
      </c>
      <c r="H509" s="0" t="n">
        <v>0</v>
      </c>
      <c r="I509" s="0" t="n">
        <v>0</v>
      </c>
      <c r="J509" s="0" t="n">
        <v>0</v>
      </c>
      <c r="K509" s="0" t="n">
        <v>2</v>
      </c>
      <c r="L509" s="0" t="n">
        <v>1</v>
      </c>
    </row>
    <row r="510" customFormat="false" ht="15" hidden="false" customHeight="false" outlineLevel="0" collapsed="false">
      <c r="A510" s="5" t="n">
        <v>40316</v>
      </c>
      <c r="B510" s="6" t="s">
        <v>79</v>
      </c>
      <c r="C510" s="6" t="s">
        <v>83</v>
      </c>
      <c r="D510" s="0" t="n">
        <v>119.110888478872</v>
      </c>
      <c r="E510" s="0" t="n">
        <v>3.861428571</v>
      </c>
      <c r="F510" s="0" t="n">
        <v>0</v>
      </c>
      <c r="G510" s="0" t="n">
        <v>0</v>
      </c>
      <c r="H510" s="0" t="n">
        <v>0</v>
      </c>
      <c r="I510" s="0" t="n">
        <v>0</v>
      </c>
      <c r="J510" s="0" t="n">
        <v>0</v>
      </c>
      <c r="K510" s="0" t="n">
        <v>2</v>
      </c>
      <c r="L510" s="0" t="n">
        <v>1</v>
      </c>
    </row>
    <row r="511" customFormat="false" ht="15" hidden="false" customHeight="false" outlineLevel="0" collapsed="false">
      <c r="A511" s="5" t="n">
        <v>40323</v>
      </c>
      <c r="B511" s="6" t="s">
        <v>79</v>
      </c>
      <c r="C511" s="6" t="s">
        <v>83</v>
      </c>
      <c r="D511" s="0" t="n">
        <v>260.311467185814</v>
      </c>
      <c r="E511" s="0" t="n">
        <v>3.861428571</v>
      </c>
      <c r="F511" s="0" t="n">
        <v>0</v>
      </c>
      <c r="G511" s="0" t="n">
        <v>0</v>
      </c>
      <c r="H511" s="0" t="n">
        <v>0</v>
      </c>
      <c r="I511" s="0" t="n">
        <v>0</v>
      </c>
      <c r="J511" s="0" t="n">
        <v>0</v>
      </c>
      <c r="K511" s="0" t="n">
        <v>2</v>
      </c>
      <c r="L511" s="0" t="n">
        <v>1</v>
      </c>
    </row>
    <row r="512" customFormat="false" ht="15" hidden="false" customHeight="false" outlineLevel="0" collapsed="false">
      <c r="A512" s="5" t="n">
        <v>40330</v>
      </c>
      <c r="B512" s="6" t="s">
        <v>79</v>
      </c>
      <c r="C512" s="6" t="s">
        <v>83</v>
      </c>
      <c r="D512" s="0" t="n">
        <v>227.599175199816</v>
      </c>
      <c r="E512" s="0" t="n">
        <v>3.861428571</v>
      </c>
      <c r="F512" s="0" t="n">
        <v>0</v>
      </c>
      <c r="G512" s="0" t="n">
        <v>0</v>
      </c>
      <c r="H512" s="0" t="n">
        <v>0</v>
      </c>
      <c r="I512" s="0" t="n">
        <v>0</v>
      </c>
      <c r="J512" s="0" t="n">
        <v>0</v>
      </c>
      <c r="K512" s="0" t="n">
        <v>1</v>
      </c>
      <c r="L512" s="0" t="n">
        <v>1</v>
      </c>
    </row>
    <row r="513" customFormat="false" ht="15" hidden="false" customHeight="false" outlineLevel="0" collapsed="false">
      <c r="A513" s="5" t="n">
        <v>40337</v>
      </c>
      <c r="B513" s="6" t="s">
        <v>79</v>
      </c>
      <c r="C513" s="6" t="s">
        <v>83</v>
      </c>
      <c r="D513" s="0" t="n">
        <v>161.893084709714</v>
      </c>
      <c r="E513" s="0" t="n">
        <v>4.204285714</v>
      </c>
      <c r="F513" s="0" t="n">
        <v>0</v>
      </c>
      <c r="G513" s="0" t="n">
        <v>0</v>
      </c>
      <c r="H513" s="0" t="n">
        <v>0</v>
      </c>
      <c r="I513" s="0" t="n">
        <v>0</v>
      </c>
      <c r="J513" s="0" t="n">
        <v>0</v>
      </c>
      <c r="K513" s="0" t="n">
        <v>1</v>
      </c>
      <c r="L513" s="0" t="n">
        <v>1</v>
      </c>
    </row>
    <row r="514" customFormat="false" ht="15" hidden="false" customHeight="false" outlineLevel="0" collapsed="false">
      <c r="A514" s="5" t="n">
        <v>40344</v>
      </c>
      <c r="B514" s="6" t="s">
        <v>79</v>
      </c>
      <c r="C514" s="6" t="s">
        <v>83</v>
      </c>
      <c r="D514" s="0" t="n">
        <v>141.378595231298</v>
      </c>
      <c r="E514" s="0" t="n">
        <v>4.204285714</v>
      </c>
      <c r="F514" s="0" t="n">
        <v>0</v>
      </c>
      <c r="G514" s="0" t="n">
        <v>0</v>
      </c>
      <c r="H514" s="0" t="n">
        <v>0</v>
      </c>
      <c r="I514" s="0" t="n">
        <v>0</v>
      </c>
      <c r="J514" s="0" t="n">
        <v>0</v>
      </c>
      <c r="K514" s="0" t="n">
        <v>1</v>
      </c>
      <c r="L514" s="0" t="n">
        <v>1</v>
      </c>
    </row>
    <row r="515" customFormat="false" ht="15" hidden="false" customHeight="false" outlineLevel="0" collapsed="false">
      <c r="A515" s="5" t="n">
        <v>40351</v>
      </c>
      <c r="B515" s="6" t="s">
        <v>79</v>
      </c>
      <c r="C515" s="6" t="s">
        <v>83</v>
      </c>
      <c r="D515" s="0" t="n">
        <v>231.124385946328</v>
      </c>
      <c r="E515" s="0" t="n">
        <v>4.204285714</v>
      </c>
      <c r="F515" s="0" t="n">
        <v>0</v>
      </c>
      <c r="G515" s="0" t="n">
        <v>0</v>
      </c>
      <c r="H515" s="0" t="n">
        <v>0</v>
      </c>
      <c r="I515" s="0" t="n">
        <v>0</v>
      </c>
      <c r="J515" s="0" t="n">
        <v>0</v>
      </c>
      <c r="K515" s="0" t="n">
        <v>1</v>
      </c>
      <c r="L515" s="0" t="n">
        <v>1</v>
      </c>
    </row>
    <row r="516" customFormat="false" ht="15" hidden="false" customHeight="false" outlineLevel="0" collapsed="false">
      <c r="A516" s="5" t="n">
        <v>40358</v>
      </c>
      <c r="B516" s="6" t="s">
        <v>79</v>
      </c>
      <c r="C516" s="6" t="s">
        <v>83</v>
      </c>
      <c r="D516" s="0" t="n">
        <v>198.164900164451</v>
      </c>
      <c r="E516" s="0" t="n">
        <v>4.204285714</v>
      </c>
      <c r="F516" s="0" t="n">
        <v>0</v>
      </c>
      <c r="G516" s="0" t="n">
        <v>0</v>
      </c>
      <c r="H516" s="0" t="n">
        <v>0</v>
      </c>
      <c r="I516" s="0" t="n">
        <v>0</v>
      </c>
      <c r="J516" s="0" t="n">
        <v>0</v>
      </c>
      <c r="K516" s="0" t="n">
        <v>1</v>
      </c>
      <c r="L516" s="0" t="n">
        <v>1</v>
      </c>
    </row>
    <row r="517" customFormat="false" ht="15" hidden="false" customHeight="false" outlineLevel="0" collapsed="false">
      <c r="A517" s="5" t="n">
        <v>40365</v>
      </c>
      <c r="B517" s="6" t="s">
        <v>79</v>
      </c>
      <c r="C517" s="6" t="s">
        <v>83</v>
      </c>
      <c r="D517" s="0" t="n">
        <v>279.109448057766</v>
      </c>
      <c r="E517" s="0" t="n">
        <v>3.78</v>
      </c>
      <c r="F517" s="0" t="n">
        <v>0</v>
      </c>
      <c r="G517" s="0" t="n">
        <v>0</v>
      </c>
      <c r="H517" s="0" t="n">
        <v>0</v>
      </c>
      <c r="I517" s="0" t="n">
        <v>0</v>
      </c>
      <c r="J517" s="0" t="n">
        <v>0</v>
      </c>
      <c r="K517" s="0" t="n">
        <v>1</v>
      </c>
      <c r="L517" s="0" t="n">
        <v>1</v>
      </c>
    </row>
    <row r="518" customFormat="false" ht="15" hidden="false" customHeight="false" outlineLevel="0" collapsed="false">
      <c r="A518" s="5" t="n">
        <v>40372</v>
      </c>
      <c r="B518" s="6" t="s">
        <v>79</v>
      </c>
      <c r="C518" s="6" t="s">
        <v>83</v>
      </c>
      <c r="D518" s="0" t="n">
        <v>147.976193745743</v>
      </c>
      <c r="E518" s="0" t="n">
        <v>3.78</v>
      </c>
      <c r="F518" s="0" t="n">
        <v>0</v>
      </c>
      <c r="G518" s="0" t="n">
        <v>0</v>
      </c>
      <c r="H518" s="0" t="n">
        <v>0</v>
      </c>
      <c r="I518" s="0" t="n">
        <v>0</v>
      </c>
      <c r="J518" s="0" t="n">
        <v>0</v>
      </c>
      <c r="K518" s="0" t="n">
        <v>1</v>
      </c>
      <c r="L518" s="0" t="n">
        <v>1</v>
      </c>
    </row>
    <row r="519" customFormat="false" ht="15" hidden="false" customHeight="false" outlineLevel="0" collapsed="false">
      <c r="A519" s="5" t="n">
        <v>40302</v>
      </c>
      <c r="B519" s="6" t="s">
        <v>79</v>
      </c>
      <c r="C519" s="6" t="s">
        <v>84</v>
      </c>
      <c r="D519" s="0" t="n">
        <v>183.651390673674</v>
      </c>
      <c r="E519" s="0" t="n">
        <v>4.6275</v>
      </c>
      <c r="F519" s="0" t="n">
        <v>0</v>
      </c>
      <c r="G519" s="0" t="n">
        <v>0</v>
      </c>
      <c r="H519" s="0" t="n">
        <v>0</v>
      </c>
      <c r="I519" s="0" t="n">
        <v>0</v>
      </c>
      <c r="J519" s="0" t="n">
        <v>0</v>
      </c>
      <c r="K519" s="0" t="n">
        <v>1</v>
      </c>
      <c r="L519" s="0" t="n">
        <v>1</v>
      </c>
    </row>
    <row r="520" customFormat="false" ht="15" hidden="false" customHeight="false" outlineLevel="0" collapsed="false">
      <c r="A520" s="5" t="n">
        <v>40309</v>
      </c>
      <c r="B520" s="6" t="s">
        <v>79</v>
      </c>
      <c r="C520" s="6" t="s">
        <v>84</v>
      </c>
      <c r="D520" s="0" t="n">
        <v>197.100669957554</v>
      </c>
      <c r="E520" s="0" t="n">
        <v>4.204285714</v>
      </c>
      <c r="F520" s="0" t="n">
        <v>0</v>
      </c>
      <c r="G520" s="0" t="n">
        <v>0</v>
      </c>
      <c r="H520" s="0" t="n">
        <v>0</v>
      </c>
      <c r="I520" s="0" t="n">
        <v>0</v>
      </c>
      <c r="J520" s="0" t="n">
        <v>0</v>
      </c>
      <c r="K520" s="0" t="n">
        <v>1</v>
      </c>
      <c r="L520" s="0" t="n">
        <v>1</v>
      </c>
    </row>
    <row r="521" customFormat="false" ht="15" hidden="false" customHeight="false" outlineLevel="0" collapsed="false">
      <c r="A521" s="5" t="n">
        <v>40316</v>
      </c>
      <c r="B521" s="6" t="s">
        <v>79</v>
      </c>
      <c r="C521" s="6" t="s">
        <v>84</v>
      </c>
      <c r="D521" s="0" t="n">
        <v>199.905158662154</v>
      </c>
      <c r="E521" s="0" t="n">
        <v>3.861428571</v>
      </c>
      <c r="F521" s="0" t="n">
        <v>0</v>
      </c>
      <c r="G521" s="0" t="n">
        <v>0</v>
      </c>
      <c r="H521" s="0" t="n">
        <v>0</v>
      </c>
      <c r="I521" s="0" t="n">
        <v>0</v>
      </c>
      <c r="J521" s="0" t="n">
        <v>0</v>
      </c>
      <c r="K521" s="0" t="n">
        <v>1</v>
      </c>
      <c r="L521" s="0" t="n">
        <v>1</v>
      </c>
    </row>
    <row r="522" customFormat="false" ht="15" hidden="false" customHeight="false" outlineLevel="0" collapsed="false">
      <c r="A522" s="5" t="n">
        <v>40323</v>
      </c>
      <c r="B522" s="6" t="s">
        <v>79</v>
      </c>
      <c r="C522" s="6" t="s">
        <v>84</v>
      </c>
      <c r="D522" s="0" t="n">
        <v>196.189163880011</v>
      </c>
      <c r="E522" s="0" t="n">
        <v>4.065</v>
      </c>
      <c r="F522" s="0" t="n">
        <v>0</v>
      </c>
      <c r="G522" s="0" t="n">
        <v>0</v>
      </c>
      <c r="H522" s="0" t="n">
        <v>0</v>
      </c>
      <c r="I522" s="0" t="n">
        <v>0</v>
      </c>
      <c r="J522" s="0" t="n">
        <v>0</v>
      </c>
      <c r="K522" s="0" t="n">
        <v>1</v>
      </c>
      <c r="L522" s="0" t="n">
        <v>1</v>
      </c>
    </row>
    <row r="523" customFormat="false" ht="15" hidden="false" customHeight="false" outlineLevel="0" collapsed="false">
      <c r="A523" s="5" t="n">
        <v>40330</v>
      </c>
      <c r="B523" s="6" t="s">
        <v>79</v>
      </c>
      <c r="C523" s="6" t="s">
        <v>84</v>
      </c>
      <c r="D523" s="0" t="n">
        <v>153.558982685457</v>
      </c>
      <c r="E523" s="0" t="n">
        <v>3.861428571</v>
      </c>
      <c r="F523" s="0" t="n">
        <v>0</v>
      </c>
      <c r="G523" s="0" t="n">
        <v>0</v>
      </c>
      <c r="H523" s="0" t="n">
        <v>0</v>
      </c>
      <c r="I523" s="0" t="n">
        <v>0</v>
      </c>
      <c r="J523" s="0" t="n">
        <v>0</v>
      </c>
      <c r="K523" s="0" t="n">
        <v>1</v>
      </c>
      <c r="L523" s="0" t="n">
        <v>1</v>
      </c>
    </row>
    <row r="524" customFormat="false" ht="15" hidden="false" customHeight="false" outlineLevel="0" collapsed="false">
      <c r="A524" s="5" t="n">
        <v>40337</v>
      </c>
      <c r="B524" s="6" t="s">
        <v>79</v>
      </c>
      <c r="C524" s="6" t="s">
        <v>84</v>
      </c>
      <c r="D524" s="0" t="n">
        <v>175.435311154907</v>
      </c>
      <c r="E524" s="0" t="n">
        <v>4.204285714</v>
      </c>
      <c r="F524" s="0" t="n">
        <v>0</v>
      </c>
      <c r="G524" s="0" t="n">
        <v>0</v>
      </c>
      <c r="H524" s="0" t="n">
        <v>0</v>
      </c>
      <c r="I524" s="0" t="n">
        <v>0</v>
      </c>
      <c r="J524" s="0" t="n">
        <v>0</v>
      </c>
      <c r="K524" s="0" t="n">
        <v>1</v>
      </c>
      <c r="L524" s="0" t="n">
        <v>1</v>
      </c>
    </row>
    <row r="525" customFormat="false" ht="15" hidden="false" customHeight="false" outlineLevel="0" collapsed="false">
      <c r="A525" s="5" t="n">
        <v>40344</v>
      </c>
      <c r="B525" s="6" t="s">
        <v>79</v>
      </c>
      <c r="C525" s="6" t="s">
        <v>84</v>
      </c>
      <c r="D525" s="0" t="n">
        <v>176.744715257114</v>
      </c>
      <c r="E525" s="0" t="n">
        <v>4.6275</v>
      </c>
      <c r="F525" s="0" t="n">
        <v>0</v>
      </c>
      <c r="G525" s="0" t="n">
        <v>0</v>
      </c>
      <c r="H525" s="0" t="n">
        <v>0</v>
      </c>
      <c r="I525" s="0" t="n">
        <v>0</v>
      </c>
      <c r="J525" s="0" t="n">
        <v>0</v>
      </c>
      <c r="K525" s="0" t="n">
        <v>1</v>
      </c>
      <c r="L525" s="0" t="n">
        <v>1</v>
      </c>
    </row>
    <row r="526" customFormat="false" ht="15" hidden="false" customHeight="false" outlineLevel="0" collapsed="false">
      <c r="A526" s="5" t="n">
        <v>40351</v>
      </c>
      <c r="B526" s="6" t="s">
        <v>79</v>
      </c>
      <c r="C526" s="6" t="s">
        <v>84</v>
      </c>
      <c r="D526" s="0" t="n">
        <v>137.508794678612</v>
      </c>
      <c r="E526" s="0" t="n">
        <v>4.204285714</v>
      </c>
      <c r="F526" s="0" t="n">
        <v>0</v>
      </c>
      <c r="G526" s="0" t="n">
        <v>0</v>
      </c>
      <c r="H526" s="0" t="n">
        <v>0</v>
      </c>
      <c r="I526" s="0" t="n">
        <v>0</v>
      </c>
      <c r="J526" s="0" t="n">
        <v>0</v>
      </c>
      <c r="K526" s="0" t="n">
        <v>1</v>
      </c>
      <c r="L526" s="0" t="n">
        <v>1</v>
      </c>
    </row>
    <row r="527" customFormat="false" ht="15" hidden="false" customHeight="false" outlineLevel="0" collapsed="false">
      <c r="A527" s="5" t="n">
        <v>40358</v>
      </c>
      <c r="B527" s="6" t="s">
        <v>79</v>
      </c>
      <c r="C527" s="6" t="s">
        <v>84</v>
      </c>
      <c r="D527" s="0" t="n">
        <v>165.452342539899</v>
      </c>
      <c r="E527" s="0" t="n">
        <v>4.044545455</v>
      </c>
      <c r="F527" s="0" t="n">
        <v>0</v>
      </c>
      <c r="G527" s="0" t="n">
        <v>0</v>
      </c>
      <c r="H527" s="0" t="n">
        <v>0</v>
      </c>
      <c r="I527" s="0" t="n">
        <v>0</v>
      </c>
      <c r="J527" s="0" t="n">
        <v>0</v>
      </c>
      <c r="K527" s="0" t="n">
        <v>1</v>
      </c>
      <c r="L527" s="0" t="n">
        <v>1</v>
      </c>
    </row>
    <row r="528" customFormat="false" ht="15" hidden="false" customHeight="false" outlineLevel="0" collapsed="false">
      <c r="A528" s="5" t="n">
        <v>40365</v>
      </c>
      <c r="B528" s="6" t="s">
        <v>79</v>
      </c>
      <c r="C528" s="6" t="s">
        <v>84</v>
      </c>
      <c r="D528" s="0" t="n">
        <v>219.325368441501</v>
      </c>
      <c r="E528" s="0" t="n">
        <v>3.504545455</v>
      </c>
      <c r="F528" s="0" t="n">
        <v>0</v>
      </c>
      <c r="G528" s="0" t="n">
        <v>0</v>
      </c>
      <c r="H528" s="0" t="n">
        <v>0</v>
      </c>
      <c r="I528" s="0" t="n">
        <v>0</v>
      </c>
      <c r="J528" s="0" t="n">
        <v>0</v>
      </c>
      <c r="K528" s="0" t="n">
        <v>1</v>
      </c>
      <c r="L528" s="0" t="n">
        <v>1</v>
      </c>
    </row>
    <row r="529" customFormat="false" ht="15" hidden="false" customHeight="false" outlineLevel="0" collapsed="false">
      <c r="A529" s="5" t="n">
        <v>40372</v>
      </c>
      <c r="B529" s="6" t="s">
        <v>79</v>
      </c>
      <c r="C529" s="6" t="s">
        <v>84</v>
      </c>
      <c r="D529" s="0" t="n">
        <v>162.067383890691</v>
      </c>
      <c r="E529" s="0" t="n">
        <v>3.504545455</v>
      </c>
      <c r="F529" s="0" t="n">
        <v>0</v>
      </c>
      <c r="G529" s="0" t="n">
        <v>0</v>
      </c>
      <c r="H529" s="0" t="n">
        <v>0</v>
      </c>
      <c r="I529" s="0" t="n">
        <v>0</v>
      </c>
      <c r="J529" s="0" t="n">
        <v>0</v>
      </c>
      <c r="K529" s="0" t="n">
        <v>1</v>
      </c>
      <c r="L529" s="0" t="n">
        <v>1</v>
      </c>
    </row>
    <row r="530" customFormat="false" ht="15" hidden="false" customHeight="false" outlineLevel="0" collapsed="false">
      <c r="A530" s="5" t="n">
        <v>40302</v>
      </c>
      <c r="B530" s="6" t="s">
        <v>79</v>
      </c>
      <c r="C530" s="6" t="s">
        <v>85</v>
      </c>
      <c r="D530" s="0" t="n">
        <v>104.755668952299</v>
      </c>
      <c r="E530" s="0" t="n">
        <v>4.647142857</v>
      </c>
      <c r="F530" s="0" t="n">
        <v>0</v>
      </c>
      <c r="G530" s="0" t="n">
        <v>0</v>
      </c>
      <c r="H530" s="0" t="n">
        <v>0</v>
      </c>
      <c r="I530" s="0" t="n">
        <v>0</v>
      </c>
      <c r="J530" s="0" t="n">
        <v>0</v>
      </c>
      <c r="K530" s="0" t="n">
        <v>0</v>
      </c>
      <c r="L530" s="0" t="n">
        <v>3</v>
      </c>
    </row>
    <row r="531" customFormat="false" ht="15" hidden="false" customHeight="false" outlineLevel="0" collapsed="false">
      <c r="A531" s="5" t="n">
        <v>40309</v>
      </c>
      <c r="B531" s="6" t="s">
        <v>79</v>
      </c>
      <c r="C531" s="6" t="s">
        <v>85</v>
      </c>
      <c r="D531" s="0" t="n">
        <v>202.083553871665</v>
      </c>
      <c r="E531" s="0" t="n">
        <v>4.6275</v>
      </c>
      <c r="F531" s="0" t="n">
        <v>0</v>
      </c>
      <c r="G531" s="0" t="n">
        <v>0</v>
      </c>
      <c r="H531" s="0" t="n">
        <v>0</v>
      </c>
      <c r="I531" s="0" t="n">
        <v>0</v>
      </c>
      <c r="J531" s="0" t="n">
        <v>0</v>
      </c>
      <c r="K531" s="0" t="n">
        <v>0</v>
      </c>
      <c r="L531" s="0" t="n">
        <v>3</v>
      </c>
    </row>
    <row r="532" customFormat="false" ht="15" hidden="false" customHeight="false" outlineLevel="0" collapsed="false">
      <c r="A532" s="5" t="n">
        <v>40316</v>
      </c>
      <c r="B532" s="6" t="s">
        <v>79</v>
      </c>
      <c r="C532" s="6" t="s">
        <v>85</v>
      </c>
      <c r="D532" s="0" t="n">
        <v>142.121763281226</v>
      </c>
      <c r="E532" s="0" t="n">
        <v>4.004285714</v>
      </c>
      <c r="F532" s="0" t="n">
        <v>0</v>
      </c>
      <c r="G532" s="0" t="n">
        <v>0</v>
      </c>
      <c r="H532" s="0" t="n">
        <v>0</v>
      </c>
      <c r="I532" s="0" t="n">
        <v>0</v>
      </c>
      <c r="J532" s="0" t="n">
        <v>0</v>
      </c>
      <c r="K532" s="0" t="n">
        <v>0</v>
      </c>
      <c r="L532" s="0" t="n">
        <v>3</v>
      </c>
    </row>
    <row r="533" customFormat="false" ht="15" hidden="false" customHeight="false" outlineLevel="0" collapsed="false">
      <c r="A533" s="5" t="n">
        <v>40323</v>
      </c>
      <c r="B533" s="6" t="s">
        <v>79</v>
      </c>
      <c r="C533" s="6" t="s">
        <v>85</v>
      </c>
      <c r="D533" s="0" t="n">
        <v>223.053791296669</v>
      </c>
      <c r="E533" s="0" t="n">
        <v>3.861428571</v>
      </c>
      <c r="F533" s="0" t="n">
        <v>0</v>
      </c>
      <c r="G533" s="0" t="n">
        <v>0</v>
      </c>
      <c r="H533" s="0" t="n">
        <v>0</v>
      </c>
      <c r="I533" s="0" t="n">
        <v>0</v>
      </c>
      <c r="J533" s="0" t="n">
        <v>0</v>
      </c>
      <c r="K533" s="0" t="n">
        <v>0</v>
      </c>
      <c r="L533" s="0" t="n">
        <v>3</v>
      </c>
    </row>
    <row r="534" customFormat="false" ht="15" hidden="false" customHeight="false" outlineLevel="0" collapsed="false">
      <c r="A534" s="5" t="n">
        <v>40330</v>
      </c>
      <c r="B534" s="6" t="s">
        <v>79</v>
      </c>
      <c r="C534" s="6" t="s">
        <v>85</v>
      </c>
      <c r="D534" s="0" t="n">
        <v>256.429872881119</v>
      </c>
      <c r="E534" s="0" t="n">
        <v>3.861428571</v>
      </c>
      <c r="F534" s="0" t="n">
        <v>0</v>
      </c>
      <c r="G534" s="0" t="n">
        <v>0</v>
      </c>
      <c r="H534" s="0" t="n">
        <v>0</v>
      </c>
      <c r="I534" s="0" t="n">
        <v>0</v>
      </c>
      <c r="J534" s="0" t="n">
        <v>0</v>
      </c>
      <c r="K534" s="0" t="n">
        <v>0</v>
      </c>
      <c r="L534" s="0" t="n">
        <v>3</v>
      </c>
    </row>
    <row r="535" customFormat="false" ht="15" hidden="false" customHeight="false" outlineLevel="0" collapsed="false">
      <c r="A535" s="5" t="n">
        <v>40337</v>
      </c>
      <c r="B535" s="6" t="s">
        <v>79</v>
      </c>
      <c r="C535" s="6" t="s">
        <v>85</v>
      </c>
      <c r="D535" s="0" t="n">
        <v>168.201909197671</v>
      </c>
      <c r="E535" s="0" t="n">
        <v>4.6275</v>
      </c>
      <c r="F535" s="0" t="n">
        <v>0</v>
      </c>
      <c r="G535" s="0" t="n">
        <v>0</v>
      </c>
      <c r="H535" s="0" t="n">
        <v>0</v>
      </c>
      <c r="I535" s="0" t="n">
        <v>0</v>
      </c>
      <c r="J535" s="0" t="n">
        <v>0</v>
      </c>
      <c r="K535" s="0" t="n">
        <v>0</v>
      </c>
      <c r="L535" s="0" t="n">
        <v>3</v>
      </c>
    </row>
    <row r="536" customFormat="false" ht="15" hidden="false" customHeight="false" outlineLevel="0" collapsed="false">
      <c r="A536" s="5" t="n">
        <v>40344</v>
      </c>
      <c r="B536" s="6" t="s">
        <v>79</v>
      </c>
      <c r="C536" s="6" t="s">
        <v>85</v>
      </c>
      <c r="D536" s="0" t="n">
        <v>100.665419089582</v>
      </c>
      <c r="E536" s="0" t="n">
        <v>4.84</v>
      </c>
      <c r="F536" s="0" t="n">
        <v>0</v>
      </c>
      <c r="G536" s="0" t="n">
        <v>0</v>
      </c>
      <c r="H536" s="0" t="n">
        <v>0</v>
      </c>
      <c r="I536" s="0" t="n">
        <v>0</v>
      </c>
      <c r="J536" s="0" t="n">
        <v>0</v>
      </c>
      <c r="K536" s="0" t="n">
        <v>0</v>
      </c>
      <c r="L536" s="0" t="n">
        <v>3</v>
      </c>
    </row>
    <row r="537" customFormat="false" ht="15" hidden="false" customHeight="false" outlineLevel="0" collapsed="false">
      <c r="A537" s="5" t="n">
        <v>40351</v>
      </c>
      <c r="B537" s="6" t="s">
        <v>79</v>
      </c>
      <c r="C537" s="6" t="s">
        <v>85</v>
      </c>
      <c r="D537" s="0" t="n">
        <v>230.247506124038</v>
      </c>
      <c r="E537" s="0" t="n">
        <v>4.6275</v>
      </c>
      <c r="F537" s="0" t="n">
        <v>0</v>
      </c>
      <c r="G537" s="0" t="n">
        <v>0</v>
      </c>
      <c r="H537" s="0" t="n">
        <v>0</v>
      </c>
      <c r="I537" s="0" t="n">
        <v>0</v>
      </c>
      <c r="J537" s="0" t="n">
        <v>0</v>
      </c>
      <c r="K537" s="0" t="n">
        <v>0</v>
      </c>
      <c r="L537" s="0" t="n">
        <v>3</v>
      </c>
    </row>
    <row r="538" customFormat="false" ht="15" hidden="false" customHeight="false" outlineLevel="0" collapsed="false">
      <c r="A538" s="5" t="n">
        <v>40358</v>
      </c>
      <c r="B538" s="6" t="s">
        <v>79</v>
      </c>
      <c r="C538" s="6" t="s">
        <v>85</v>
      </c>
      <c r="D538" s="0" t="n">
        <v>122.384532220139</v>
      </c>
      <c r="E538" s="0" t="n">
        <v>4.6275</v>
      </c>
      <c r="F538" s="0" t="n">
        <v>0</v>
      </c>
      <c r="G538" s="0" t="n">
        <v>0</v>
      </c>
      <c r="H538" s="0" t="n">
        <v>0</v>
      </c>
      <c r="I538" s="0" t="n">
        <v>0</v>
      </c>
      <c r="J538" s="0" t="n">
        <v>0</v>
      </c>
      <c r="K538" s="0" t="n">
        <v>0</v>
      </c>
      <c r="L538" s="0" t="n">
        <v>3</v>
      </c>
    </row>
    <row r="539" customFormat="false" ht="15" hidden="false" customHeight="false" outlineLevel="0" collapsed="false">
      <c r="A539" s="5" t="n">
        <v>40365</v>
      </c>
      <c r="B539" s="6" t="s">
        <v>79</v>
      </c>
      <c r="C539" s="6" t="s">
        <v>85</v>
      </c>
      <c r="D539" s="0" t="n">
        <v>175.45722745969</v>
      </c>
      <c r="E539" s="0" t="n">
        <v>4.25625</v>
      </c>
      <c r="F539" s="0" t="n">
        <v>0</v>
      </c>
      <c r="G539" s="0" t="n">
        <v>0</v>
      </c>
      <c r="H539" s="0" t="n">
        <v>0</v>
      </c>
      <c r="I539" s="0" t="n">
        <v>0</v>
      </c>
      <c r="J539" s="0" t="n">
        <v>0</v>
      </c>
      <c r="K539" s="0" t="n">
        <v>0</v>
      </c>
      <c r="L539" s="0" t="n">
        <v>3</v>
      </c>
    </row>
    <row r="540" customFormat="false" ht="15" hidden="false" customHeight="false" outlineLevel="0" collapsed="false">
      <c r="A540" s="5" t="n">
        <v>40372</v>
      </c>
      <c r="B540" s="6" t="s">
        <v>79</v>
      </c>
      <c r="C540" s="6" t="s">
        <v>85</v>
      </c>
      <c r="D540" s="0" t="n">
        <v>105.880894035425</v>
      </c>
      <c r="E540" s="0" t="n">
        <v>3.95</v>
      </c>
      <c r="F540" s="0" t="n">
        <v>0</v>
      </c>
      <c r="G540" s="0" t="n">
        <v>0</v>
      </c>
      <c r="H540" s="0" t="n">
        <v>0</v>
      </c>
      <c r="I540" s="0" t="n">
        <v>0</v>
      </c>
      <c r="J540" s="0" t="n">
        <v>0</v>
      </c>
      <c r="K540" s="0" t="n">
        <v>0</v>
      </c>
      <c r="L540" s="0" t="n">
        <v>3</v>
      </c>
    </row>
    <row r="541" customFormat="false" ht="15" hidden="false" customHeight="false" outlineLevel="0" collapsed="false">
      <c r="A541" s="5" t="n">
        <v>40302</v>
      </c>
      <c r="B541" s="6" t="s">
        <v>79</v>
      </c>
      <c r="C541" s="6" t="s">
        <v>86</v>
      </c>
      <c r="D541" s="0" t="n">
        <v>169.330437836457</v>
      </c>
      <c r="E541" s="0" t="n">
        <v>4.6275</v>
      </c>
      <c r="F541" s="0" t="n">
        <v>0</v>
      </c>
      <c r="G541" s="0" t="n">
        <v>0</v>
      </c>
      <c r="H541" s="0" t="n">
        <v>0</v>
      </c>
      <c r="I541" s="0" t="n">
        <v>0</v>
      </c>
      <c r="J541" s="0" t="n">
        <v>0</v>
      </c>
      <c r="K541" s="0" t="n">
        <v>1</v>
      </c>
      <c r="L541" s="0" t="n">
        <v>0</v>
      </c>
    </row>
    <row r="542" customFormat="false" ht="15" hidden="false" customHeight="false" outlineLevel="0" collapsed="false">
      <c r="A542" s="5" t="n">
        <v>40309</v>
      </c>
      <c r="B542" s="6" t="s">
        <v>79</v>
      </c>
      <c r="C542" s="6" t="s">
        <v>86</v>
      </c>
      <c r="D542" s="0" t="n">
        <v>120.302848778305</v>
      </c>
      <c r="E542" s="0" t="n">
        <v>4.204285714</v>
      </c>
      <c r="F542" s="0" t="n">
        <v>0</v>
      </c>
      <c r="G542" s="0" t="n">
        <v>0</v>
      </c>
      <c r="H542" s="0" t="n">
        <v>0</v>
      </c>
      <c r="I542" s="0" t="n">
        <v>0</v>
      </c>
      <c r="J542" s="0" t="n">
        <v>0</v>
      </c>
      <c r="K542" s="0" t="n">
        <v>1</v>
      </c>
      <c r="L542" s="0" t="n">
        <v>0</v>
      </c>
    </row>
    <row r="543" customFormat="false" ht="15" hidden="false" customHeight="false" outlineLevel="0" collapsed="false">
      <c r="A543" s="5" t="n">
        <v>40316</v>
      </c>
      <c r="B543" s="6" t="s">
        <v>79</v>
      </c>
      <c r="C543" s="6" t="s">
        <v>86</v>
      </c>
      <c r="D543" s="0" t="n">
        <v>152.072856465927</v>
      </c>
      <c r="E543" s="0" t="n">
        <v>4.065</v>
      </c>
      <c r="F543" s="0" t="n">
        <v>0</v>
      </c>
      <c r="G543" s="0" t="n">
        <v>0</v>
      </c>
      <c r="H543" s="0" t="n">
        <v>0</v>
      </c>
      <c r="I543" s="0" t="n">
        <v>0</v>
      </c>
      <c r="J543" s="0" t="n">
        <v>0</v>
      </c>
      <c r="K543" s="0" t="n">
        <v>1</v>
      </c>
      <c r="L543" s="0" t="n">
        <v>0</v>
      </c>
    </row>
    <row r="544" customFormat="false" ht="15" hidden="false" customHeight="false" outlineLevel="0" collapsed="false">
      <c r="A544" s="5" t="n">
        <v>40323</v>
      </c>
      <c r="B544" s="6" t="s">
        <v>79</v>
      </c>
      <c r="C544" s="6" t="s">
        <v>86</v>
      </c>
      <c r="D544" s="0" t="n">
        <v>184.579439258358</v>
      </c>
      <c r="E544" s="0" t="n">
        <v>4.461428571</v>
      </c>
      <c r="F544" s="0" t="n">
        <v>0</v>
      </c>
      <c r="G544" s="0" t="n">
        <v>0</v>
      </c>
      <c r="H544" s="0" t="n">
        <v>0</v>
      </c>
      <c r="I544" s="0" t="n">
        <v>0</v>
      </c>
      <c r="J544" s="0" t="n">
        <v>0</v>
      </c>
      <c r="K544" s="0" t="n">
        <v>1</v>
      </c>
      <c r="L544" s="0" t="n">
        <v>0</v>
      </c>
    </row>
    <row r="545" customFormat="false" ht="15" hidden="false" customHeight="false" outlineLevel="0" collapsed="false">
      <c r="A545" s="5" t="n">
        <v>40330</v>
      </c>
      <c r="B545" s="6" t="s">
        <v>79</v>
      </c>
      <c r="C545" s="6" t="s">
        <v>86</v>
      </c>
      <c r="D545" s="0" t="n">
        <v>154.566869131377</v>
      </c>
      <c r="E545" s="0" t="n">
        <v>3.861428571</v>
      </c>
      <c r="F545" s="0" t="n">
        <v>0</v>
      </c>
      <c r="G545" s="0" t="n">
        <v>0</v>
      </c>
      <c r="H545" s="0" t="n">
        <v>0</v>
      </c>
      <c r="I545" s="0" t="n">
        <v>0</v>
      </c>
      <c r="J545" s="0" t="n">
        <v>0</v>
      </c>
      <c r="K545" s="0" t="n">
        <v>1</v>
      </c>
      <c r="L545" s="0" t="n">
        <v>0</v>
      </c>
    </row>
    <row r="546" customFormat="false" ht="15" hidden="false" customHeight="false" outlineLevel="0" collapsed="false">
      <c r="A546" s="5" t="n">
        <v>40337</v>
      </c>
      <c r="B546" s="6" t="s">
        <v>79</v>
      </c>
      <c r="C546" s="6" t="s">
        <v>86</v>
      </c>
      <c r="D546" s="0" t="n">
        <v>70.2258250835163</v>
      </c>
      <c r="E546" s="0" t="n">
        <v>4.6275</v>
      </c>
      <c r="F546" s="0" t="n">
        <v>0</v>
      </c>
      <c r="G546" s="0" t="n">
        <v>0</v>
      </c>
      <c r="H546" s="0" t="n">
        <v>0</v>
      </c>
      <c r="I546" s="0" t="n">
        <v>0</v>
      </c>
      <c r="J546" s="0" t="n">
        <v>0</v>
      </c>
      <c r="K546" s="0" t="n">
        <v>1</v>
      </c>
      <c r="L546" s="0" t="n">
        <v>0</v>
      </c>
    </row>
    <row r="547" customFormat="false" ht="15" hidden="false" customHeight="false" outlineLevel="0" collapsed="false">
      <c r="A547" s="5" t="n">
        <v>40344</v>
      </c>
      <c r="B547" s="6" t="s">
        <v>79</v>
      </c>
      <c r="C547" s="6" t="s">
        <v>86</v>
      </c>
      <c r="D547" s="0" t="n">
        <v>149.169702827921</v>
      </c>
      <c r="E547" s="0" t="n">
        <v>4.6275</v>
      </c>
      <c r="F547" s="0" t="n">
        <v>0</v>
      </c>
      <c r="G547" s="0" t="n">
        <v>0</v>
      </c>
      <c r="H547" s="0" t="n">
        <v>0</v>
      </c>
      <c r="I547" s="0" t="n">
        <v>0</v>
      </c>
      <c r="J547" s="0" t="n">
        <v>0</v>
      </c>
      <c r="K547" s="0" t="n">
        <v>1</v>
      </c>
      <c r="L547" s="0" t="n">
        <v>0</v>
      </c>
    </row>
    <row r="548" customFormat="false" ht="15" hidden="false" customHeight="false" outlineLevel="0" collapsed="false">
      <c r="A548" s="5" t="n">
        <v>40351</v>
      </c>
      <c r="B548" s="6" t="s">
        <v>79</v>
      </c>
      <c r="C548" s="6" t="s">
        <v>86</v>
      </c>
      <c r="D548" s="0" t="n">
        <v>224.324098993998</v>
      </c>
      <c r="E548" s="0" t="n">
        <v>4.204285714</v>
      </c>
      <c r="F548" s="0" t="n">
        <v>0</v>
      </c>
      <c r="G548" s="0" t="n">
        <v>0</v>
      </c>
      <c r="H548" s="0" t="n">
        <v>0</v>
      </c>
      <c r="I548" s="0" t="n">
        <v>0</v>
      </c>
      <c r="J548" s="0" t="n">
        <v>0</v>
      </c>
      <c r="K548" s="0" t="n">
        <v>1</v>
      </c>
      <c r="L548" s="0" t="n">
        <v>0</v>
      </c>
    </row>
    <row r="549" customFormat="false" ht="15" hidden="false" customHeight="false" outlineLevel="0" collapsed="false">
      <c r="A549" s="5" t="n">
        <v>40358</v>
      </c>
      <c r="B549" s="6" t="s">
        <v>79</v>
      </c>
      <c r="C549" s="6" t="s">
        <v>86</v>
      </c>
      <c r="D549" s="0" t="n">
        <v>215.388546873508</v>
      </c>
      <c r="E549" s="0" t="n">
        <v>4.6275</v>
      </c>
      <c r="F549" s="0" t="n">
        <v>0</v>
      </c>
      <c r="G549" s="0" t="n">
        <v>0</v>
      </c>
      <c r="H549" s="0" t="n">
        <v>0</v>
      </c>
      <c r="I549" s="0" t="n">
        <v>0</v>
      </c>
      <c r="J549" s="0" t="n">
        <v>0</v>
      </c>
      <c r="K549" s="0" t="n">
        <v>1</v>
      </c>
      <c r="L549" s="0" t="n">
        <v>0</v>
      </c>
    </row>
    <row r="550" customFormat="false" ht="15" hidden="false" customHeight="false" outlineLevel="0" collapsed="false">
      <c r="A550" s="5" t="n">
        <v>40365</v>
      </c>
      <c r="B550" s="6" t="s">
        <v>79</v>
      </c>
      <c r="C550" s="6" t="s">
        <v>86</v>
      </c>
      <c r="D550" s="0" t="n">
        <v>169.506545440507</v>
      </c>
      <c r="E550" s="0" t="n">
        <v>3.745</v>
      </c>
      <c r="F550" s="0" t="n">
        <v>0</v>
      </c>
      <c r="G550" s="0" t="n">
        <v>0</v>
      </c>
      <c r="H550" s="0" t="n">
        <v>0</v>
      </c>
      <c r="I550" s="0" t="n">
        <v>0</v>
      </c>
      <c r="J550" s="0" t="n">
        <v>0</v>
      </c>
      <c r="K550" s="0" t="n">
        <v>1</v>
      </c>
      <c r="L550" s="0" t="n">
        <v>0</v>
      </c>
    </row>
    <row r="551" customFormat="false" ht="15" hidden="false" customHeight="false" outlineLevel="0" collapsed="false">
      <c r="A551" s="5" t="n">
        <v>40372</v>
      </c>
      <c r="B551" s="6" t="s">
        <v>79</v>
      </c>
      <c r="C551" s="6" t="s">
        <v>86</v>
      </c>
      <c r="D551" s="0" t="n">
        <v>210.362182258157</v>
      </c>
      <c r="E551" s="0" t="n">
        <v>3.504545455</v>
      </c>
      <c r="F551" s="0" t="n">
        <v>0</v>
      </c>
      <c r="G551" s="0" t="n">
        <v>0</v>
      </c>
      <c r="H551" s="0" t="n">
        <v>0</v>
      </c>
      <c r="I551" s="0" t="n">
        <v>0</v>
      </c>
      <c r="J551" s="0" t="n">
        <v>0</v>
      </c>
      <c r="K551" s="0" t="n">
        <v>1</v>
      </c>
      <c r="L551" s="0" t="n">
        <v>0</v>
      </c>
    </row>
    <row r="552" customFormat="false" ht="15" hidden="false" customHeight="false" outlineLevel="0" collapsed="false">
      <c r="A552" s="5" t="n">
        <v>40302</v>
      </c>
      <c r="B552" s="6" t="s">
        <v>79</v>
      </c>
      <c r="C552" s="6" t="s">
        <v>87</v>
      </c>
      <c r="D552" s="0" t="n">
        <v>221.568122737417</v>
      </c>
      <c r="E552" s="0" t="n">
        <v>4.24</v>
      </c>
      <c r="F552" s="0" t="n">
        <v>0</v>
      </c>
      <c r="G552" s="0" t="n">
        <v>0</v>
      </c>
      <c r="H552" s="0" t="n">
        <v>0</v>
      </c>
      <c r="I552" s="0" t="n">
        <v>0</v>
      </c>
      <c r="J552" s="0" t="n">
        <v>0</v>
      </c>
      <c r="K552" s="0" t="n">
        <v>2</v>
      </c>
      <c r="L552" s="0" t="n">
        <v>4</v>
      </c>
    </row>
    <row r="553" customFormat="false" ht="15" hidden="false" customHeight="false" outlineLevel="0" collapsed="false">
      <c r="A553" s="5" t="n">
        <v>40309</v>
      </c>
      <c r="B553" s="6" t="s">
        <v>79</v>
      </c>
      <c r="C553" s="6" t="s">
        <v>87</v>
      </c>
      <c r="D553" s="0" t="n">
        <v>202.832694760185</v>
      </c>
      <c r="E553" s="0" t="n">
        <v>4.24</v>
      </c>
      <c r="F553" s="0" t="n">
        <v>0</v>
      </c>
      <c r="G553" s="0" t="n">
        <v>0</v>
      </c>
      <c r="H553" s="0" t="n">
        <v>0</v>
      </c>
      <c r="I553" s="0" t="n">
        <v>0</v>
      </c>
      <c r="J553" s="0" t="n">
        <v>0</v>
      </c>
      <c r="K553" s="0" t="n">
        <v>2</v>
      </c>
      <c r="L553" s="0" t="n">
        <v>4</v>
      </c>
    </row>
    <row r="554" customFormat="false" ht="15" hidden="false" customHeight="false" outlineLevel="0" collapsed="false">
      <c r="A554" s="5" t="n">
        <v>40316</v>
      </c>
      <c r="B554" s="6" t="s">
        <v>79</v>
      </c>
      <c r="C554" s="6" t="s">
        <v>87</v>
      </c>
      <c r="D554" s="0" t="n">
        <v>208.254155482065</v>
      </c>
      <c r="E554" s="0" t="n">
        <v>4.065</v>
      </c>
      <c r="F554" s="0" t="n">
        <v>0</v>
      </c>
      <c r="G554" s="0" t="n">
        <v>0</v>
      </c>
      <c r="H554" s="0" t="n">
        <v>0</v>
      </c>
      <c r="I554" s="0" t="n">
        <v>0</v>
      </c>
      <c r="J554" s="0" t="n">
        <v>0</v>
      </c>
      <c r="K554" s="0" t="n">
        <v>2</v>
      </c>
      <c r="L554" s="0" t="n">
        <v>4</v>
      </c>
    </row>
    <row r="555" customFormat="false" ht="15" hidden="false" customHeight="false" outlineLevel="0" collapsed="false">
      <c r="A555" s="5" t="n">
        <v>40323</v>
      </c>
      <c r="B555" s="6" t="s">
        <v>79</v>
      </c>
      <c r="C555" s="6" t="s">
        <v>87</v>
      </c>
      <c r="D555" s="0" t="n">
        <v>129.618618346615</v>
      </c>
      <c r="E555" s="0" t="n">
        <v>3.861428571</v>
      </c>
      <c r="F555" s="0" t="n">
        <v>0</v>
      </c>
      <c r="G555" s="0" t="n">
        <v>0</v>
      </c>
      <c r="H555" s="0" t="n">
        <v>0</v>
      </c>
      <c r="I555" s="0" t="n">
        <v>0</v>
      </c>
      <c r="J555" s="0" t="n">
        <v>0</v>
      </c>
      <c r="K555" s="0" t="n">
        <v>2</v>
      </c>
      <c r="L555" s="0" t="n">
        <v>4</v>
      </c>
    </row>
    <row r="556" customFormat="false" ht="15" hidden="false" customHeight="false" outlineLevel="0" collapsed="false">
      <c r="A556" s="5" t="n">
        <v>40330</v>
      </c>
      <c r="B556" s="6" t="s">
        <v>79</v>
      </c>
      <c r="C556" s="6" t="s">
        <v>87</v>
      </c>
      <c r="D556" s="0" t="n">
        <v>145.55554708939</v>
      </c>
      <c r="E556" s="0" t="n">
        <v>4.065</v>
      </c>
      <c r="F556" s="0" t="n">
        <v>0</v>
      </c>
      <c r="G556" s="0" t="n">
        <v>0</v>
      </c>
      <c r="H556" s="0" t="n">
        <v>0</v>
      </c>
      <c r="I556" s="0" t="n">
        <v>0</v>
      </c>
      <c r="J556" s="0" t="n">
        <v>0</v>
      </c>
      <c r="K556" s="0" t="n">
        <v>2</v>
      </c>
      <c r="L556" s="0" t="n">
        <v>4</v>
      </c>
    </row>
    <row r="557" customFormat="false" ht="15" hidden="false" customHeight="false" outlineLevel="0" collapsed="false">
      <c r="A557" s="5" t="n">
        <v>40337</v>
      </c>
      <c r="B557" s="6" t="s">
        <v>79</v>
      </c>
      <c r="C557" s="6" t="s">
        <v>87</v>
      </c>
      <c r="D557" s="0" t="n">
        <v>206.058247131961</v>
      </c>
      <c r="E557" s="0" t="n">
        <v>4.718571429</v>
      </c>
      <c r="F557" s="0" t="n">
        <v>0</v>
      </c>
      <c r="G557" s="0" t="n">
        <v>0</v>
      </c>
      <c r="H557" s="0" t="n">
        <v>0</v>
      </c>
      <c r="I557" s="0" t="n">
        <v>0</v>
      </c>
      <c r="J557" s="0" t="n">
        <v>0</v>
      </c>
      <c r="K557" s="0" t="n">
        <v>2</v>
      </c>
      <c r="L557" s="0" t="n">
        <v>4</v>
      </c>
    </row>
    <row r="558" customFormat="false" ht="15" hidden="false" customHeight="false" outlineLevel="0" collapsed="false">
      <c r="A558" s="5" t="n">
        <v>40344</v>
      </c>
      <c r="B558" s="6" t="s">
        <v>79</v>
      </c>
      <c r="C558" s="6" t="s">
        <v>87</v>
      </c>
      <c r="D558" s="0" t="n">
        <v>164.598748956727</v>
      </c>
      <c r="E558" s="0" t="n">
        <v>4.84</v>
      </c>
      <c r="F558" s="0" t="n">
        <v>0</v>
      </c>
      <c r="G558" s="0" t="n">
        <v>0</v>
      </c>
      <c r="H558" s="0" t="n">
        <v>0</v>
      </c>
      <c r="I558" s="0" t="n">
        <v>0</v>
      </c>
      <c r="J558" s="0" t="n">
        <v>0</v>
      </c>
      <c r="K558" s="0" t="n">
        <v>2</v>
      </c>
      <c r="L558" s="0" t="n">
        <v>4</v>
      </c>
    </row>
    <row r="559" customFormat="false" ht="15" hidden="false" customHeight="false" outlineLevel="0" collapsed="false">
      <c r="A559" s="5" t="n">
        <v>40351</v>
      </c>
      <c r="B559" s="6" t="s">
        <v>79</v>
      </c>
      <c r="C559" s="6" t="s">
        <v>87</v>
      </c>
      <c r="D559" s="0" t="n">
        <v>181.200278962401</v>
      </c>
      <c r="E559" s="0" t="n">
        <v>4.718571429</v>
      </c>
      <c r="F559" s="0" t="n">
        <v>0</v>
      </c>
      <c r="G559" s="0" t="n">
        <v>0</v>
      </c>
      <c r="H559" s="0" t="n">
        <v>0</v>
      </c>
      <c r="I559" s="0" t="n">
        <v>0</v>
      </c>
      <c r="J559" s="0" t="n">
        <v>0</v>
      </c>
      <c r="K559" s="0" t="n">
        <v>2</v>
      </c>
      <c r="L559" s="0" t="n">
        <v>4</v>
      </c>
    </row>
    <row r="560" customFormat="false" ht="15" hidden="false" customHeight="false" outlineLevel="0" collapsed="false">
      <c r="A560" s="5" t="n">
        <v>40358</v>
      </c>
      <c r="B560" s="6" t="s">
        <v>79</v>
      </c>
      <c r="C560" s="6" t="s">
        <v>87</v>
      </c>
      <c r="D560" s="0" t="n">
        <v>231.439086213573</v>
      </c>
      <c r="E560" s="0" t="n">
        <v>4.718571429</v>
      </c>
      <c r="F560" s="0" t="n">
        <v>0</v>
      </c>
      <c r="G560" s="0" t="n">
        <v>0</v>
      </c>
      <c r="H560" s="0" t="n">
        <v>0</v>
      </c>
      <c r="I560" s="0" t="n">
        <v>0</v>
      </c>
      <c r="J560" s="0" t="n">
        <v>0</v>
      </c>
      <c r="K560" s="0" t="n">
        <v>2</v>
      </c>
      <c r="L560" s="0" t="n">
        <v>4</v>
      </c>
    </row>
    <row r="561" customFormat="false" ht="15" hidden="false" customHeight="false" outlineLevel="0" collapsed="false">
      <c r="A561" s="5" t="n">
        <v>40365</v>
      </c>
      <c r="B561" s="6" t="s">
        <v>79</v>
      </c>
      <c r="C561" s="6" t="s">
        <v>87</v>
      </c>
      <c r="D561" s="0" t="n">
        <v>47.559851899868</v>
      </c>
      <c r="E561" s="0" t="n">
        <v>4.294285714</v>
      </c>
      <c r="F561" s="0" t="n">
        <v>0</v>
      </c>
      <c r="G561" s="0" t="n">
        <v>0</v>
      </c>
      <c r="H561" s="0" t="n">
        <v>0</v>
      </c>
      <c r="I561" s="0" t="n">
        <v>0</v>
      </c>
      <c r="J561" s="0" t="n">
        <v>0</v>
      </c>
      <c r="K561" s="0" t="n">
        <v>2</v>
      </c>
      <c r="L561" s="0" t="n">
        <v>4</v>
      </c>
    </row>
    <row r="562" customFormat="false" ht="15" hidden="false" customHeight="false" outlineLevel="0" collapsed="false">
      <c r="A562" s="5" t="n">
        <v>40372</v>
      </c>
      <c r="B562" s="6" t="s">
        <v>79</v>
      </c>
      <c r="C562" s="6" t="s">
        <v>87</v>
      </c>
      <c r="D562" s="0" t="n">
        <v>222.812189491706</v>
      </c>
      <c r="E562" s="0" t="n">
        <v>3.424285714</v>
      </c>
      <c r="F562" s="0" t="n">
        <v>0</v>
      </c>
      <c r="G562" s="0" t="n">
        <v>0</v>
      </c>
      <c r="H562" s="0" t="n">
        <v>0</v>
      </c>
      <c r="I562" s="0" t="n">
        <v>0</v>
      </c>
      <c r="J562" s="0" t="n">
        <v>0</v>
      </c>
      <c r="K562" s="0" t="n">
        <v>2</v>
      </c>
      <c r="L562" s="0" t="n">
        <v>4</v>
      </c>
    </row>
    <row r="563" customFormat="false" ht="15" hidden="false" customHeight="false" outlineLevel="0" collapsed="false">
      <c r="A563" s="5" t="n">
        <v>40302</v>
      </c>
      <c r="B563" s="6" t="s">
        <v>79</v>
      </c>
      <c r="C563" s="6" t="s">
        <v>88</v>
      </c>
      <c r="D563" s="0" t="n">
        <v>148.395353516327</v>
      </c>
      <c r="E563" s="0" t="n">
        <v>4.6275</v>
      </c>
      <c r="F563" s="0" t="n">
        <v>0</v>
      </c>
      <c r="G563" s="0" t="n">
        <v>0</v>
      </c>
      <c r="H563" s="0" t="n">
        <v>0</v>
      </c>
      <c r="I563" s="0" t="n">
        <v>0</v>
      </c>
      <c r="J563" s="0" t="n">
        <v>0</v>
      </c>
      <c r="K563" s="0" t="n">
        <v>0</v>
      </c>
      <c r="L563" s="0" t="n">
        <v>4</v>
      </c>
    </row>
    <row r="564" customFormat="false" ht="15" hidden="false" customHeight="false" outlineLevel="0" collapsed="false">
      <c r="A564" s="5" t="n">
        <v>40309</v>
      </c>
      <c r="B564" s="6" t="s">
        <v>79</v>
      </c>
      <c r="C564" s="6" t="s">
        <v>88</v>
      </c>
      <c r="D564" s="0" t="n">
        <v>182.425078741369</v>
      </c>
      <c r="E564" s="0" t="n">
        <v>4.6275</v>
      </c>
      <c r="F564" s="0" t="n">
        <v>0</v>
      </c>
      <c r="G564" s="0" t="n">
        <v>0</v>
      </c>
      <c r="H564" s="0" t="n">
        <v>0</v>
      </c>
      <c r="I564" s="0" t="n">
        <v>0</v>
      </c>
      <c r="J564" s="0" t="n">
        <v>0</v>
      </c>
      <c r="K564" s="0" t="n">
        <v>0</v>
      </c>
      <c r="L564" s="0" t="n">
        <v>4</v>
      </c>
    </row>
    <row r="565" customFormat="false" ht="15" hidden="false" customHeight="false" outlineLevel="0" collapsed="false">
      <c r="A565" s="5" t="n">
        <v>40316</v>
      </c>
      <c r="B565" s="6" t="s">
        <v>79</v>
      </c>
      <c r="C565" s="6" t="s">
        <v>88</v>
      </c>
      <c r="D565" s="0" t="n">
        <v>178.364998735917</v>
      </c>
      <c r="E565" s="0" t="n">
        <v>4.065</v>
      </c>
      <c r="F565" s="0" t="n">
        <v>0</v>
      </c>
      <c r="G565" s="0" t="n">
        <v>0</v>
      </c>
      <c r="H565" s="0" t="n">
        <v>0</v>
      </c>
      <c r="I565" s="0" t="n">
        <v>0</v>
      </c>
      <c r="J565" s="0" t="n">
        <v>0</v>
      </c>
      <c r="K565" s="0" t="n">
        <v>0</v>
      </c>
      <c r="L565" s="0" t="n">
        <v>4</v>
      </c>
    </row>
    <row r="566" customFormat="false" ht="15" hidden="false" customHeight="false" outlineLevel="0" collapsed="false">
      <c r="A566" s="5" t="n">
        <v>40323</v>
      </c>
      <c r="B566" s="6" t="s">
        <v>79</v>
      </c>
      <c r="C566" s="6" t="s">
        <v>88</v>
      </c>
      <c r="D566" s="0" t="n">
        <v>172.816010665747</v>
      </c>
      <c r="E566" s="0" t="n">
        <v>4.065</v>
      </c>
      <c r="F566" s="0" t="n">
        <v>0</v>
      </c>
      <c r="G566" s="0" t="n">
        <v>0</v>
      </c>
      <c r="H566" s="0" t="n">
        <v>0</v>
      </c>
      <c r="I566" s="0" t="n">
        <v>0</v>
      </c>
      <c r="J566" s="0" t="n">
        <v>0</v>
      </c>
      <c r="K566" s="0" t="n">
        <v>0</v>
      </c>
      <c r="L566" s="0" t="n">
        <v>4</v>
      </c>
    </row>
    <row r="567" customFormat="false" ht="15" hidden="false" customHeight="false" outlineLevel="0" collapsed="false">
      <c r="A567" s="5" t="n">
        <v>40330</v>
      </c>
      <c r="B567" s="6" t="s">
        <v>79</v>
      </c>
      <c r="C567" s="6" t="s">
        <v>88</v>
      </c>
      <c r="D567" s="0" t="n">
        <v>306.850543086761</v>
      </c>
      <c r="E567" s="0" t="n">
        <v>4.065</v>
      </c>
      <c r="F567" s="0" t="n">
        <v>0</v>
      </c>
      <c r="G567" s="0" t="n">
        <v>0</v>
      </c>
      <c r="H567" s="0" t="n">
        <v>0</v>
      </c>
      <c r="I567" s="0" t="n">
        <v>0</v>
      </c>
      <c r="J567" s="0" t="n">
        <v>0</v>
      </c>
      <c r="K567" s="0" t="n">
        <v>0</v>
      </c>
      <c r="L567" s="0" t="n">
        <v>4</v>
      </c>
    </row>
    <row r="568" customFormat="false" ht="15" hidden="false" customHeight="false" outlineLevel="0" collapsed="false">
      <c r="A568" s="5" t="n">
        <v>40337</v>
      </c>
      <c r="B568" s="6" t="s">
        <v>79</v>
      </c>
      <c r="C568" s="6" t="s">
        <v>88</v>
      </c>
      <c r="D568" s="0" t="n">
        <v>172.191374476945</v>
      </c>
      <c r="E568" s="0" t="n">
        <v>4.6275</v>
      </c>
      <c r="F568" s="0" t="n">
        <v>0</v>
      </c>
      <c r="G568" s="0" t="n">
        <v>0</v>
      </c>
      <c r="H568" s="0" t="n">
        <v>0</v>
      </c>
      <c r="I568" s="0" t="n">
        <v>0</v>
      </c>
      <c r="J568" s="0" t="n">
        <v>0</v>
      </c>
      <c r="K568" s="0" t="n">
        <v>0</v>
      </c>
      <c r="L568" s="0" t="n">
        <v>4</v>
      </c>
    </row>
    <row r="569" customFormat="false" ht="15" hidden="false" customHeight="false" outlineLevel="0" collapsed="false">
      <c r="A569" s="5" t="n">
        <v>40344</v>
      </c>
      <c r="B569" s="6" t="s">
        <v>79</v>
      </c>
      <c r="C569" s="6" t="s">
        <v>88</v>
      </c>
      <c r="D569" s="0" t="n">
        <v>198.375692184898</v>
      </c>
      <c r="E569" s="0" t="n">
        <v>4.6275</v>
      </c>
      <c r="F569" s="0" t="n">
        <v>0</v>
      </c>
      <c r="G569" s="0" t="n">
        <v>0</v>
      </c>
      <c r="H569" s="0" t="n">
        <v>0</v>
      </c>
      <c r="I569" s="0" t="n">
        <v>0</v>
      </c>
      <c r="J569" s="0" t="n">
        <v>0</v>
      </c>
      <c r="K569" s="0" t="n">
        <v>0</v>
      </c>
      <c r="L569" s="0" t="n">
        <v>4</v>
      </c>
    </row>
    <row r="570" customFormat="false" ht="15" hidden="false" customHeight="false" outlineLevel="0" collapsed="false">
      <c r="A570" s="5" t="n">
        <v>40351</v>
      </c>
      <c r="B570" s="6" t="s">
        <v>79</v>
      </c>
      <c r="C570" s="6" t="s">
        <v>88</v>
      </c>
      <c r="D570" s="0" t="n">
        <v>142.52067416187</v>
      </c>
      <c r="E570" s="0" t="n">
        <v>4.6275</v>
      </c>
      <c r="F570" s="0" t="n">
        <v>0</v>
      </c>
      <c r="G570" s="0" t="n">
        <v>0</v>
      </c>
      <c r="H570" s="0" t="n">
        <v>0</v>
      </c>
      <c r="I570" s="0" t="n">
        <v>0</v>
      </c>
      <c r="J570" s="0" t="n">
        <v>0</v>
      </c>
      <c r="K570" s="0" t="n">
        <v>0</v>
      </c>
      <c r="L570" s="0" t="n">
        <v>4</v>
      </c>
    </row>
    <row r="571" customFormat="false" ht="15" hidden="false" customHeight="false" outlineLevel="0" collapsed="false">
      <c r="A571" s="5" t="n">
        <v>40358</v>
      </c>
      <c r="B571" s="6" t="s">
        <v>79</v>
      </c>
      <c r="C571" s="6" t="s">
        <v>88</v>
      </c>
      <c r="D571" s="0" t="n">
        <v>192.350317337321</v>
      </c>
      <c r="E571" s="0" t="n">
        <v>4.6275</v>
      </c>
      <c r="F571" s="0" t="n">
        <v>0</v>
      </c>
      <c r="G571" s="0" t="n">
        <v>0</v>
      </c>
      <c r="H571" s="0" t="n">
        <v>0</v>
      </c>
      <c r="I571" s="0" t="n">
        <v>0</v>
      </c>
      <c r="J571" s="0" t="n">
        <v>0</v>
      </c>
      <c r="K571" s="0" t="n">
        <v>0</v>
      </c>
      <c r="L571" s="0" t="n">
        <v>4</v>
      </c>
    </row>
    <row r="572" customFormat="false" ht="15" hidden="false" customHeight="false" outlineLevel="0" collapsed="false">
      <c r="A572" s="5" t="n">
        <v>40365</v>
      </c>
      <c r="B572" s="6" t="s">
        <v>79</v>
      </c>
      <c r="C572" s="6" t="s">
        <v>88</v>
      </c>
      <c r="D572" s="0" t="n">
        <v>241.553895636722</v>
      </c>
      <c r="E572" s="0" t="n">
        <v>4.25625</v>
      </c>
      <c r="F572" s="0" t="n">
        <v>0</v>
      </c>
      <c r="G572" s="0" t="n">
        <v>0</v>
      </c>
      <c r="H572" s="0" t="n">
        <v>0</v>
      </c>
      <c r="I572" s="0" t="n">
        <v>0</v>
      </c>
      <c r="J572" s="0" t="n">
        <v>0</v>
      </c>
      <c r="K572" s="0" t="n">
        <v>0</v>
      </c>
      <c r="L572" s="0" t="n">
        <v>4</v>
      </c>
    </row>
    <row r="573" customFormat="false" ht="15" hidden="false" customHeight="false" outlineLevel="0" collapsed="false">
      <c r="A573" s="5" t="n">
        <v>40372</v>
      </c>
      <c r="B573" s="6" t="s">
        <v>79</v>
      </c>
      <c r="C573" s="6" t="s">
        <v>88</v>
      </c>
      <c r="D573" s="0" t="n">
        <v>292.155542070656</v>
      </c>
      <c r="E573" s="0" t="n">
        <v>3.78</v>
      </c>
      <c r="F573" s="0" t="n">
        <v>0</v>
      </c>
      <c r="G573" s="0" t="n">
        <v>0</v>
      </c>
      <c r="H573" s="0" t="n">
        <v>0</v>
      </c>
      <c r="I573" s="0" t="n">
        <v>0</v>
      </c>
      <c r="J573" s="0" t="n">
        <v>0</v>
      </c>
      <c r="K573" s="0" t="n">
        <v>0</v>
      </c>
      <c r="L573" s="0" t="n">
        <v>4</v>
      </c>
    </row>
    <row r="574" customFormat="false" ht="15" hidden="false" customHeight="false" outlineLevel="0" collapsed="false">
      <c r="A574" s="5" t="n">
        <v>40302</v>
      </c>
      <c r="B574" s="6" t="s">
        <v>79</v>
      </c>
      <c r="C574" s="6" t="s">
        <v>89</v>
      </c>
      <c r="D574" s="0" t="n">
        <v>162.854388321081</v>
      </c>
      <c r="E574" s="0" t="n">
        <v>4.161428571</v>
      </c>
      <c r="F574" s="0" t="n">
        <v>0</v>
      </c>
      <c r="G574" s="0" t="n">
        <v>0</v>
      </c>
      <c r="H574" s="0" t="n">
        <v>0</v>
      </c>
      <c r="I574" s="0" t="n">
        <v>0</v>
      </c>
      <c r="J574" s="0" t="n">
        <v>0</v>
      </c>
      <c r="K574" s="0" t="n">
        <v>1</v>
      </c>
      <c r="L574" s="0" t="n">
        <v>1</v>
      </c>
    </row>
    <row r="575" customFormat="false" ht="15" hidden="false" customHeight="false" outlineLevel="0" collapsed="false">
      <c r="A575" s="5" t="n">
        <v>40309</v>
      </c>
      <c r="B575" s="6" t="s">
        <v>79</v>
      </c>
      <c r="C575" s="6" t="s">
        <v>89</v>
      </c>
      <c r="D575" s="0" t="n">
        <v>215.700147004324</v>
      </c>
      <c r="E575" s="0" t="n">
        <v>4.117142857</v>
      </c>
      <c r="F575" s="0" t="n">
        <v>0</v>
      </c>
      <c r="G575" s="0" t="n">
        <v>0</v>
      </c>
      <c r="H575" s="0" t="n">
        <v>0</v>
      </c>
      <c r="I575" s="0" t="n">
        <v>0</v>
      </c>
      <c r="J575" s="0" t="n">
        <v>0</v>
      </c>
      <c r="K575" s="0" t="n">
        <v>1</v>
      </c>
      <c r="L575" s="0" t="n">
        <v>1</v>
      </c>
    </row>
    <row r="576" customFormat="false" ht="15" hidden="false" customHeight="false" outlineLevel="0" collapsed="false">
      <c r="A576" s="5" t="n">
        <v>40316</v>
      </c>
      <c r="B576" s="6" t="s">
        <v>79</v>
      </c>
      <c r="C576" s="6" t="s">
        <v>89</v>
      </c>
      <c r="D576" s="0" t="n">
        <v>241.179305406364</v>
      </c>
      <c r="E576" s="0" t="n">
        <v>3.818571429</v>
      </c>
      <c r="F576" s="0" t="n">
        <v>0</v>
      </c>
      <c r="G576" s="0" t="n">
        <v>0</v>
      </c>
      <c r="H576" s="0" t="n">
        <v>0</v>
      </c>
      <c r="I576" s="0" t="n">
        <v>0</v>
      </c>
      <c r="J576" s="0" t="n">
        <v>0</v>
      </c>
      <c r="K576" s="0" t="n">
        <v>1</v>
      </c>
      <c r="L576" s="0" t="n">
        <v>1</v>
      </c>
    </row>
    <row r="577" customFormat="false" ht="15" hidden="false" customHeight="false" outlineLevel="0" collapsed="false">
      <c r="A577" s="5" t="n">
        <v>40323</v>
      </c>
      <c r="B577" s="6" t="s">
        <v>79</v>
      </c>
      <c r="C577" s="6" t="s">
        <v>89</v>
      </c>
      <c r="D577" s="0" t="n">
        <v>127.699721558249</v>
      </c>
      <c r="E577" s="0" t="n">
        <v>3.818571429</v>
      </c>
      <c r="F577" s="0" t="n">
        <v>0</v>
      </c>
      <c r="G577" s="0" t="n">
        <v>0</v>
      </c>
      <c r="H577" s="0" t="n">
        <v>0</v>
      </c>
      <c r="I577" s="0" t="n">
        <v>0</v>
      </c>
      <c r="J577" s="0" t="n">
        <v>0</v>
      </c>
      <c r="K577" s="0" t="n">
        <v>1</v>
      </c>
      <c r="L577" s="0" t="n">
        <v>1</v>
      </c>
    </row>
    <row r="578" customFormat="false" ht="15" hidden="false" customHeight="false" outlineLevel="0" collapsed="false">
      <c r="A578" s="5" t="n">
        <v>40330</v>
      </c>
      <c r="B578" s="6" t="s">
        <v>79</v>
      </c>
      <c r="C578" s="6" t="s">
        <v>89</v>
      </c>
      <c r="D578" s="0" t="n">
        <v>101.569836340686</v>
      </c>
      <c r="E578" s="0" t="n">
        <v>3.818571429</v>
      </c>
      <c r="F578" s="0" t="n">
        <v>0</v>
      </c>
      <c r="G578" s="0" t="n">
        <v>0</v>
      </c>
      <c r="H578" s="0" t="n">
        <v>0</v>
      </c>
      <c r="I578" s="0" t="n">
        <v>0</v>
      </c>
      <c r="J578" s="0" t="n">
        <v>0</v>
      </c>
      <c r="K578" s="0" t="n">
        <v>1</v>
      </c>
      <c r="L578" s="0" t="n">
        <v>1</v>
      </c>
    </row>
    <row r="579" customFormat="false" ht="15" hidden="false" customHeight="false" outlineLevel="0" collapsed="false">
      <c r="A579" s="5" t="n">
        <v>40337</v>
      </c>
      <c r="B579" s="6" t="s">
        <v>79</v>
      </c>
      <c r="C579" s="6" t="s">
        <v>89</v>
      </c>
      <c r="D579" s="0" t="n">
        <v>176.670404976573</v>
      </c>
      <c r="E579" s="0" t="n">
        <v>4.161428571</v>
      </c>
      <c r="F579" s="0" t="n">
        <v>0</v>
      </c>
      <c r="G579" s="0" t="n">
        <v>0</v>
      </c>
      <c r="H579" s="0" t="n">
        <v>0</v>
      </c>
      <c r="I579" s="0" t="n">
        <v>0</v>
      </c>
      <c r="J579" s="0" t="n">
        <v>0</v>
      </c>
      <c r="K579" s="0" t="n">
        <v>1</v>
      </c>
      <c r="L579" s="0" t="n">
        <v>1</v>
      </c>
    </row>
    <row r="580" customFormat="false" ht="15" hidden="false" customHeight="false" outlineLevel="0" collapsed="false">
      <c r="A580" s="5" t="n">
        <v>40344</v>
      </c>
      <c r="B580" s="6" t="s">
        <v>79</v>
      </c>
      <c r="C580" s="6" t="s">
        <v>89</v>
      </c>
      <c r="D580" s="0" t="n">
        <v>198.147006584438</v>
      </c>
      <c r="E580" s="0" t="n">
        <v>4.161428571</v>
      </c>
      <c r="F580" s="0" t="n">
        <v>0</v>
      </c>
      <c r="G580" s="0" t="n">
        <v>0</v>
      </c>
      <c r="H580" s="0" t="n">
        <v>0</v>
      </c>
      <c r="I580" s="0" t="n">
        <v>0</v>
      </c>
      <c r="J580" s="0" t="n">
        <v>0</v>
      </c>
      <c r="K580" s="0" t="n">
        <v>1</v>
      </c>
      <c r="L580" s="0" t="n">
        <v>1</v>
      </c>
    </row>
    <row r="581" customFormat="false" ht="15" hidden="false" customHeight="false" outlineLevel="0" collapsed="false">
      <c r="A581" s="5" t="n">
        <v>40351</v>
      </c>
      <c r="B581" s="6" t="s">
        <v>79</v>
      </c>
      <c r="C581" s="6" t="s">
        <v>89</v>
      </c>
      <c r="D581" s="0" t="n">
        <v>197.211741527949</v>
      </c>
      <c r="E581" s="0" t="n">
        <v>4.161428571</v>
      </c>
      <c r="F581" s="0" t="n">
        <v>0</v>
      </c>
      <c r="G581" s="0" t="n">
        <v>0</v>
      </c>
      <c r="H581" s="0" t="n">
        <v>0</v>
      </c>
      <c r="I581" s="0" t="n">
        <v>0</v>
      </c>
      <c r="J581" s="0" t="n">
        <v>0</v>
      </c>
      <c r="K581" s="0" t="n">
        <v>1</v>
      </c>
      <c r="L581" s="0" t="n">
        <v>1</v>
      </c>
    </row>
    <row r="582" customFormat="false" ht="15" hidden="false" customHeight="false" outlineLevel="0" collapsed="false">
      <c r="A582" s="5" t="n">
        <v>40358</v>
      </c>
      <c r="B582" s="6" t="s">
        <v>79</v>
      </c>
      <c r="C582" s="6" t="s">
        <v>89</v>
      </c>
      <c r="D582" s="0" t="n">
        <v>119.291103197302</v>
      </c>
      <c r="E582" s="0" t="n">
        <v>4.161428571</v>
      </c>
      <c r="F582" s="0" t="n">
        <v>0</v>
      </c>
      <c r="G582" s="0" t="n">
        <v>0</v>
      </c>
      <c r="H582" s="0" t="n">
        <v>0</v>
      </c>
      <c r="I582" s="0" t="n">
        <v>0</v>
      </c>
      <c r="J582" s="0" t="n">
        <v>0</v>
      </c>
      <c r="K582" s="0" t="n">
        <v>1</v>
      </c>
      <c r="L582" s="0" t="n">
        <v>1</v>
      </c>
    </row>
    <row r="583" customFormat="false" ht="15" hidden="false" customHeight="false" outlineLevel="0" collapsed="false">
      <c r="A583" s="5" t="n">
        <v>40365</v>
      </c>
      <c r="B583" s="6" t="s">
        <v>79</v>
      </c>
      <c r="C583" s="6" t="s">
        <v>89</v>
      </c>
      <c r="D583" s="0" t="n">
        <v>265.369405471857</v>
      </c>
      <c r="E583" s="0" t="n">
        <v>3.78</v>
      </c>
      <c r="F583" s="0" t="n">
        <v>0</v>
      </c>
      <c r="G583" s="0" t="n">
        <v>0</v>
      </c>
      <c r="H583" s="0" t="n">
        <v>0</v>
      </c>
      <c r="I583" s="0" t="n">
        <v>0</v>
      </c>
      <c r="J583" s="0" t="n">
        <v>0</v>
      </c>
      <c r="K583" s="0" t="n">
        <v>1</v>
      </c>
      <c r="L583" s="0" t="n">
        <v>1</v>
      </c>
    </row>
    <row r="584" customFormat="false" ht="15" hidden="false" customHeight="false" outlineLevel="0" collapsed="false">
      <c r="A584" s="5" t="n">
        <v>40372</v>
      </c>
      <c r="B584" s="6" t="s">
        <v>79</v>
      </c>
      <c r="C584" s="6" t="s">
        <v>89</v>
      </c>
      <c r="D584" s="0" t="n">
        <v>125.211047046825</v>
      </c>
      <c r="E584" s="0" t="n">
        <v>3.78</v>
      </c>
      <c r="F584" s="0" t="n">
        <v>0</v>
      </c>
      <c r="G584" s="0" t="n">
        <v>0</v>
      </c>
      <c r="H584" s="0" t="n">
        <v>0</v>
      </c>
      <c r="I584" s="0" t="n">
        <v>0</v>
      </c>
      <c r="J584" s="0" t="n">
        <v>0</v>
      </c>
      <c r="K584" s="0" t="n">
        <v>1</v>
      </c>
      <c r="L584" s="0" t="n">
        <v>1</v>
      </c>
    </row>
    <row r="585" customFormat="false" ht="15" hidden="false" customHeight="false" outlineLevel="0" collapsed="false">
      <c r="A585" s="5" t="n">
        <v>40302</v>
      </c>
      <c r="B585" s="6" t="s">
        <v>79</v>
      </c>
      <c r="C585" s="6" t="s">
        <v>90</v>
      </c>
      <c r="D585" s="0" t="n">
        <v>190.008235148047</v>
      </c>
      <c r="E585" s="0" t="n">
        <v>4.204285714</v>
      </c>
      <c r="F585" s="0" t="n">
        <v>0</v>
      </c>
      <c r="G585" s="0" t="n">
        <v>0</v>
      </c>
      <c r="H585" s="0" t="n">
        <v>0</v>
      </c>
      <c r="I585" s="0" t="n">
        <v>0</v>
      </c>
      <c r="J585" s="0" t="n">
        <v>0</v>
      </c>
      <c r="K585" s="0" t="n">
        <v>2</v>
      </c>
      <c r="L585" s="0" t="n">
        <v>2</v>
      </c>
    </row>
    <row r="586" customFormat="false" ht="15" hidden="false" customHeight="false" outlineLevel="0" collapsed="false">
      <c r="A586" s="5" t="n">
        <v>40309</v>
      </c>
      <c r="B586" s="6" t="s">
        <v>79</v>
      </c>
      <c r="C586" s="6" t="s">
        <v>90</v>
      </c>
      <c r="D586" s="0" t="n">
        <v>222.043779193877</v>
      </c>
      <c r="E586" s="0" t="n">
        <v>4.15</v>
      </c>
      <c r="F586" s="0" t="n">
        <v>0</v>
      </c>
      <c r="G586" s="0" t="n">
        <v>0</v>
      </c>
      <c r="H586" s="0" t="n">
        <v>0</v>
      </c>
      <c r="I586" s="0" t="n">
        <v>0</v>
      </c>
      <c r="J586" s="0" t="n">
        <v>0</v>
      </c>
      <c r="K586" s="0" t="n">
        <v>2</v>
      </c>
      <c r="L586" s="0" t="n">
        <v>2</v>
      </c>
    </row>
    <row r="587" customFormat="false" ht="15" hidden="false" customHeight="false" outlineLevel="0" collapsed="false">
      <c r="A587" s="5" t="n">
        <v>40316</v>
      </c>
      <c r="B587" s="6" t="s">
        <v>79</v>
      </c>
      <c r="C587" s="6" t="s">
        <v>90</v>
      </c>
      <c r="D587" s="0" t="n">
        <v>157.426160892373</v>
      </c>
      <c r="E587" s="0" t="n">
        <v>4.065</v>
      </c>
      <c r="F587" s="0" t="n">
        <v>0</v>
      </c>
      <c r="G587" s="0" t="n">
        <v>0</v>
      </c>
      <c r="H587" s="0" t="n">
        <v>0</v>
      </c>
      <c r="I587" s="0" t="n">
        <v>0</v>
      </c>
      <c r="J587" s="0" t="n">
        <v>0</v>
      </c>
      <c r="K587" s="0" t="n">
        <v>2</v>
      </c>
      <c r="L587" s="0" t="n">
        <v>2</v>
      </c>
    </row>
    <row r="588" customFormat="false" ht="15" hidden="false" customHeight="false" outlineLevel="0" collapsed="false">
      <c r="A588" s="5" t="n">
        <v>40323</v>
      </c>
      <c r="B588" s="6" t="s">
        <v>79</v>
      </c>
      <c r="C588" s="6" t="s">
        <v>90</v>
      </c>
      <c r="D588" s="0" t="n">
        <v>170.976569064545</v>
      </c>
      <c r="E588" s="0" t="n">
        <v>4.004285714</v>
      </c>
      <c r="F588" s="0" t="n">
        <v>0</v>
      </c>
      <c r="G588" s="0" t="n">
        <v>0</v>
      </c>
      <c r="H588" s="0" t="n">
        <v>0</v>
      </c>
      <c r="I588" s="0" t="n">
        <v>0</v>
      </c>
      <c r="J588" s="0" t="n">
        <v>0</v>
      </c>
      <c r="K588" s="0" t="n">
        <v>2</v>
      </c>
      <c r="L588" s="0" t="n">
        <v>2</v>
      </c>
    </row>
    <row r="589" customFormat="false" ht="15" hidden="false" customHeight="false" outlineLevel="0" collapsed="false">
      <c r="A589" s="5" t="n">
        <v>40330</v>
      </c>
      <c r="B589" s="6" t="s">
        <v>79</v>
      </c>
      <c r="C589" s="6" t="s">
        <v>90</v>
      </c>
      <c r="D589" s="0" t="n">
        <v>167.899485448928</v>
      </c>
      <c r="E589" s="0" t="n">
        <v>4.065</v>
      </c>
      <c r="F589" s="0" t="n">
        <v>0</v>
      </c>
      <c r="G589" s="0" t="n">
        <v>0</v>
      </c>
      <c r="H589" s="0" t="n">
        <v>0</v>
      </c>
      <c r="I589" s="0" t="n">
        <v>0</v>
      </c>
      <c r="J589" s="0" t="n">
        <v>0</v>
      </c>
      <c r="K589" s="0" t="n">
        <v>2</v>
      </c>
      <c r="L589" s="0" t="n">
        <v>2</v>
      </c>
    </row>
    <row r="590" customFormat="false" ht="15" hidden="false" customHeight="false" outlineLevel="0" collapsed="false">
      <c r="A590" s="5" t="n">
        <v>40337</v>
      </c>
      <c r="B590" s="6" t="s">
        <v>79</v>
      </c>
      <c r="C590" s="6" t="s">
        <v>90</v>
      </c>
      <c r="D590" s="0" t="n">
        <v>117.628665058892</v>
      </c>
      <c r="E590" s="0" t="n">
        <v>4.6275</v>
      </c>
      <c r="F590" s="0" t="n">
        <v>0</v>
      </c>
      <c r="G590" s="0" t="n">
        <v>0</v>
      </c>
      <c r="H590" s="0" t="n">
        <v>0</v>
      </c>
      <c r="I590" s="0" t="n">
        <v>0</v>
      </c>
      <c r="J590" s="0" t="n">
        <v>0</v>
      </c>
      <c r="K590" s="0" t="n">
        <v>2</v>
      </c>
      <c r="L590" s="0" t="n">
        <v>2</v>
      </c>
    </row>
    <row r="591" customFormat="false" ht="15" hidden="false" customHeight="false" outlineLevel="0" collapsed="false">
      <c r="A591" s="5" t="n">
        <v>40344</v>
      </c>
      <c r="B591" s="6" t="s">
        <v>79</v>
      </c>
      <c r="C591" s="6" t="s">
        <v>90</v>
      </c>
      <c r="D591" s="0" t="n">
        <v>264.004779748343</v>
      </c>
      <c r="E591" s="0" t="n">
        <v>4.204285714</v>
      </c>
      <c r="F591" s="0" t="n">
        <v>0</v>
      </c>
      <c r="G591" s="0" t="n">
        <v>0</v>
      </c>
      <c r="H591" s="0" t="n">
        <v>0</v>
      </c>
      <c r="I591" s="0" t="n">
        <v>0</v>
      </c>
      <c r="J591" s="0" t="n">
        <v>0</v>
      </c>
      <c r="K591" s="0" t="n">
        <v>2</v>
      </c>
      <c r="L591" s="0" t="n">
        <v>2</v>
      </c>
    </row>
    <row r="592" customFormat="false" ht="15" hidden="false" customHeight="false" outlineLevel="0" collapsed="false">
      <c r="A592" s="5" t="n">
        <v>40351</v>
      </c>
      <c r="B592" s="6" t="s">
        <v>79</v>
      </c>
      <c r="C592" s="6" t="s">
        <v>90</v>
      </c>
      <c r="D592" s="0" t="n">
        <v>166.378661111465</v>
      </c>
      <c r="E592" s="0" t="n">
        <v>4.6275</v>
      </c>
      <c r="F592" s="0" t="n">
        <v>0</v>
      </c>
      <c r="G592" s="0" t="n">
        <v>0</v>
      </c>
      <c r="H592" s="0" t="n">
        <v>0</v>
      </c>
      <c r="I592" s="0" t="n">
        <v>0</v>
      </c>
      <c r="J592" s="0" t="n">
        <v>0</v>
      </c>
      <c r="K592" s="0" t="n">
        <v>2</v>
      </c>
      <c r="L592" s="0" t="n">
        <v>2</v>
      </c>
    </row>
    <row r="593" customFormat="false" ht="15" hidden="false" customHeight="false" outlineLevel="0" collapsed="false">
      <c r="A593" s="5" t="n">
        <v>40358</v>
      </c>
      <c r="B593" s="6" t="s">
        <v>79</v>
      </c>
      <c r="C593" s="6" t="s">
        <v>90</v>
      </c>
      <c r="D593" s="0" t="n">
        <v>187.329269473785</v>
      </c>
      <c r="E593" s="0" t="n">
        <v>4.156666667</v>
      </c>
      <c r="F593" s="0" t="n">
        <v>0</v>
      </c>
      <c r="G593" s="0" t="n">
        <v>0</v>
      </c>
      <c r="H593" s="0" t="n">
        <v>0</v>
      </c>
      <c r="I593" s="0" t="n">
        <v>0</v>
      </c>
      <c r="J593" s="0" t="n">
        <v>0</v>
      </c>
      <c r="K593" s="0" t="n">
        <v>2</v>
      </c>
      <c r="L593" s="0" t="n">
        <v>2</v>
      </c>
    </row>
    <row r="594" customFormat="false" ht="15" hidden="false" customHeight="false" outlineLevel="0" collapsed="false">
      <c r="A594" s="5" t="n">
        <v>40365</v>
      </c>
      <c r="B594" s="6" t="s">
        <v>79</v>
      </c>
      <c r="C594" s="6" t="s">
        <v>90</v>
      </c>
      <c r="D594" s="0" t="n">
        <v>300.728005674014</v>
      </c>
      <c r="E594" s="0" t="n">
        <v>3.78</v>
      </c>
      <c r="F594" s="0" t="n">
        <v>0</v>
      </c>
      <c r="G594" s="0" t="n">
        <v>0</v>
      </c>
      <c r="H594" s="0" t="n">
        <v>0</v>
      </c>
      <c r="I594" s="0" t="n">
        <v>0</v>
      </c>
      <c r="J594" s="0" t="n">
        <v>0</v>
      </c>
      <c r="K594" s="0" t="n">
        <v>2</v>
      </c>
      <c r="L594" s="0" t="n">
        <v>2</v>
      </c>
    </row>
    <row r="595" customFormat="false" ht="15" hidden="false" customHeight="false" outlineLevel="0" collapsed="false">
      <c r="A595" s="5" t="n">
        <v>40372</v>
      </c>
      <c r="B595" s="6" t="s">
        <v>79</v>
      </c>
      <c r="C595" s="6" t="s">
        <v>90</v>
      </c>
      <c r="D595" s="0" t="n">
        <v>156.652164013519</v>
      </c>
      <c r="E595" s="0" t="n">
        <v>3.61875</v>
      </c>
      <c r="F595" s="0" t="n">
        <v>0</v>
      </c>
      <c r="G595" s="0" t="n">
        <v>0</v>
      </c>
      <c r="H595" s="0" t="n">
        <v>0</v>
      </c>
      <c r="I595" s="0" t="n">
        <v>0</v>
      </c>
      <c r="J595" s="0" t="n">
        <v>0</v>
      </c>
      <c r="K595" s="0" t="n">
        <v>2</v>
      </c>
      <c r="L595" s="0" t="n">
        <v>2</v>
      </c>
    </row>
    <row r="596" customFormat="false" ht="15" hidden="false" customHeight="false" outlineLevel="0" collapsed="false">
      <c r="A596" s="5" t="n">
        <v>40302</v>
      </c>
      <c r="B596" s="6" t="s">
        <v>79</v>
      </c>
      <c r="C596" s="6" t="s">
        <v>91</v>
      </c>
      <c r="D596" s="0" t="n">
        <v>176.313606393435</v>
      </c>
      <c r="E596" s="0" t="n">
        <v>4.718571429</v>
      </c>
      <c r="F596" s="0" t="n">
        <v>0</v>
      </c>
      <c r="G596" s="0" t="n">
        <v>0</v>
      </c>
      <c r="H596" s="0" t="n">
        <v>0</v>
      </c>
      <c r="I596" s="0" t="n">
        <v>0</v>
      </c>
      <c r="J596" s="0" t="n">
        <v>0</v>
      </c>
      <c r="K596" s="0" t="n">
        <v>2</v>
      </c>
      <c r="L596" s="0" t="n">
        <v>3</v>
      </c>
    </row>
    <row r="597" customFormat="false" ht="15" hidden="false" customHeight="false" outlineLevel="0" collapsed="false">
      <c r="A597" s="5" t="n">
        <v>40309</v>
      </c>
      <c r="B597" s="6" t="s">
        <v>79</v>
      </c>
      <c r="C597" s="6" t="s">
        <v>91</v>
      </c>
      <c r="D597" s="0" t="n">
        <v>124.660512656504</v>
      </c>
      <c r="E597" s="0" t="n">
        <v>4.718571429</v>
      </c>
      <c r="F597" s="0" t="n">
        <v>0</v>
      </c>
      <c r="G597" s="0" t="n">
        <v>0</v>
      </c>
      <c r="H597" s="0" t="n">
        <v>0</v>
      </c>
      <c r="I597" s="0" t="n">
        <v>0</v>
      </c>
      <c r="J597" s="0" t="n">
        <v>0</v>
      </c>
      <c r="K597" s="0" t="n">
        <v>2</v>
      </c>
      <c r="L597" s="0" t="n">
        <v>3</v>
      </c>
    </row>
    <row r="598" customFormat="false" ht="15" hidden="false" customHeight="false" outlineLevel="0" collapsed="false">
      <c r="A598" s="5" t="n">
        <v>40316</v>
      </c>
      <c r="B598" s="6" t="s">
        <v>79</v>
      </c>
      <c r="C598" s="6" t="s">
        <v>91</v>
      </c>
      <c r="D598" s="0" t="n">
        <v>193.135070379834</v>
      </c>
      <c r="E598" s="0" t="n">
        <v>4.065</v>
      </c>
      <c r="F598" s="0" t="n">
        <v>0</v>
      </c>
      <c r="G598" s="0" t="n">
        <v>0</v>
      </c>
      <c r="H598" s="0" t="n">
        <v>0</v>
      </c>
      <c r="I598" s="0" t="n">
        <v>0</v>
      </c>
      <c r="J598" s="0" t="n">
        <v>0</v>
      </c>
      <c r="K598" s="0" t="n">
        <v>2</v>
      </c>
      <c r="L598" s="0" t="n">
        <v>3</v>
      </c>
    </row>
    <row r="599" customFormat="false" ht="15" hidden="false" customHeight="false" outlineLevel="0" collapsed="false">
      <c r="A599" s="5" t="n">
        <v>40323</v>
      </c>
      <c r="B599" s="6" t="s">
        <v>79</v>
      </c>
      <c r="C599" s="6" t="s">
        <v>91</v>
      </c>
      <c r="D599" s="0" t="n">
        <v>207.478135992443</v>
      </c>
      <c r="E599" s="0" t="n">
        <v>4.161428571</v>
      </c>
      <c r="F599" s="0" t="n">
        <v>0</v>
      </c>
      <c r="G599" s="0" t="n">
        <v>0</v>
      </c>
      <c r="H599" s="0" t="n">
        <v>0</v>
      </c>
      <c r="I599" s="0" t="n">
        <v>0</v>
      </c>
      <c r="J599" s="0" t="n">
        <v>0</v>
      </c>
      <c r="K599" s="0" t="n">
        <v>2</v>
      </c>
      <c r="L599" s="0" t="n">
        <v>3</v>
      </c>
    </row>
    <row r="600" customFormat="false" ht="15" hidden="false" customHeight="false" outlineLevel="0" collapsed="false">
      <c r="A600" s="5" t="n">
        <v>40330</v>
      </c>
      <c r="B600" s="6" t="s">
        <v>79</v>
      </c>
      <c r="C600" s="6" t="s">
        <v>91</v>
      </c>
      <c r="D600" s="0" t="n">
        <v>149.303325205346</v>
      </c>
      <c r="E600" s="0" t="n">
        <v>4.161428571</v>
      </c>
      <c r="F600" s="0" t="n">
        <v>0</v>
      </c>
      <c r="G600" s="0" t="n">
        <v>0</v>
      </c>
      <c r="H600" s="0" t="n">
        <v>0</v>
      </c>
      <c r="I600" s="0" t="n">
        <v>0</v>
      </c>
      <c r="J600" s="0" t="n">
        <v>0</v>
      </c>
      <c r="K600" s="0" t="n">
        <v>2</v>
      </c>
      <c r="L600" s="0" t="n">
        <v>3</v>
      </c>
    </row>
    <row r="601" customFormat="false" ht="15" hidden="false" customHeight="false" outlineLevel="0" collapsed="false">
      <c r="A601" s="5" t="n">
        <v>40337</v>
      </c>
      <c r="B601" s="6" t="s">
        <v>79</v>
      </c>
      <c r="C601" s="6" t="s">
        <v>91</v>
      </c>
      <c r="D601" s="0" t="n">
        <v>131.209511423149</v>
      </c>
      <c r="E601" s="0" t="n">
        <v>4.718571429</v>
      </c>
      <c r="F601" s="0" t="n">
        <v>0</v>
      </c>
      <c r="G601" s="0" t="n">
        <v>0</v>
      </c>
      <c r="H601" s="0" t="n">
        <v>0</v>
      </c>
      <c r="I601" s="0" t="n">
        <v>0</v>
      </c>
      <c r="J601" s="0" t="n">
        <v>0</v>
      </c>
      <c r="K601" s="0" t="n">
        <v>2</v>
      </c>
      <c r="L601" s="0" t="n">
        <v>3</v>
      </c>
    </row>
    <row r="602" customFormat="false" ht="15" hidden="false" customHeight="false" outlineLevel="0" collapsed="false">
      <c r="A602" s="5" t="n">
        <v>40344</v>
      </c>
      <c r="B602" s="6" t="s">
        <v>79</v>
      </c>
      <c r="C602" s="6" t="s">
        <v>91</v>
      </c>
      <c r="D602" s="0" t="n">
        <v>252.698866752192</v>
      </c>
      <c r="E602" s="0" t="n">
        <v>4.718571429</v>
      </c>
      <c r="F602" s="0" t="n">
        <v>0</v>
      </c>
      <c r="G602" s="0" t="n">
        <v>0</v>
      </c>
      <c r="H602" s="0" t="n">
        <v>0</v>
      </c>
      <c r="I602" s="0" t="n">
        <v>0</v>
      </c>
      <c r="J602" s="0" t="n">
        <v>0</v>
      </c>
      <c r="K602" s="0" t="n">
        <v>2</v>
      </c>
      <c r="L602" s="0" t="n">
        <v>3</v>
      </c>
    </row>
    <row r="603" customFormat="false" ht="15" hidden="false" customHeight="false" outlineLevel="0" collapsed="false">
      <c r="A603" s="5" t="n">
        <v>40351</v>
      </c>
      <c r="B603" s="6" t="s">
        <v>79</v>
      </c>
      <c r="C603" s="6" t="s">
        <v>91</v>
      </c>
      <c r="D603" s="0" t="n">
        <v>150.174107786752</v>
      </c>
      <c r="E603" s="0" t="n">
        <v>4.718571429</v>
      </c>
      <c r="F603" s="0" t="n">
        <v>0</v>
      </c>
      <c r="G603" s="0" t="n">
        <v>0</v>
      </c>
      <c r="H603" s="0" t="n">
        <v>0</v>
      </c>
      <c r="I603" s="0" t="n">
        <v>0</v>
      </c>
      <c r="J603" s="0" t="n">
        <v>0</v>
      </c>
      <c r="K603" s="0" t="n">
        <v>2</v>
      </c>
      <c r="L603" s="0" t="n">
        <v>3</v>
      </c>
    </row>
    <row r="604" customFormat="false" ht="15" hidden="false" customHeight="false" outlineLevel="0" collapsed="false">
      <c r="A604" s="5" t="n">
        <v>40358</v>
      </c>
      <c r="B604" s="6" t="s">
        <v>79</v>
      </c>
      <c r="C604" s="6" t="s">
        <v>91</v>
      </c>
      <c r="D604" s="0" t="n">
        <v>222.385792857827</v>
      </c>
      <c r="E604" s="0" t="n">
        <v>4.718571429</v>
      </c>
      <c r="F604" s="0" t="n">
        <v>0</v>
      </c>
      <c r="G604" s="0" t="n">
        <v>0</v>
      </c>
      <c r="H604" s="0" t="n">
        <v>0</v>
      </c>
      <c r="I604" s="0" t="n">
        <v>0</v>
      </c>
      <c r="J604" s="0" t="n">
        <v>0</v>
      </c>
      <c r="K604" s="0" t="n">
        <v>2</v>
      </c>
      <c r="L604" s="0" t="n">
        <v>3</v>
      </c>
    </row>
    <row r="605" customFormat="false" ht="15" hidden="false" customHeight="false" outlineLevel="0" collapsed="false">
      <c r="A605" s="5" t="n">
        <v>40365</v>
      </c>
      <c r="B605" s="6" t="s">
        <v>79</v>
      </c>
      <c r="C605" s="6" t="s">
        <v>91</v>
      </c>
      <c r="D605" s="0" t="n">
        <v>128.870545870174</v>
      </c>
      <c r="E605" s="0" t="n">
        <v>4.345</v>
      </c>
      <c r="F605" s="0" t="n">
        <v>0</v>
      </c>
      <c r="G605" s="0" t="n">
        <v>0</v>
      </c>
      <c r="H605" s="0" t="n">
        <v>0</v>
      </c>
      <c r="I605" s="0" t="n">
        <v>0</v>
      </c>
      <c r="J605" s="0" t="n">
        <v>0</v>
      </c>
      <c r="K605" s="0" t="n">
        <v>2</v>
      </c>
      <c r="L605" s="0" t="n">
        <v>3</v>
      </c>
    </row>
    <row r="606" customFormat="false" ht="15" hidden="false" customHeight="false" outlineLevel="0" collapsed="false">
      <c r="A606" s="5" t="n">
        <v>40372</v>
      </c>
      <c r="B606" s="6" t="s">
        <v>79</v>
      </c>
      <c r="C606" s="6" t="s">
        <v>91</v>
      </c>
      <c r="D606" s="0" t="n">
        <v>192.985990285985</v>
      </c>
      <c r="E606" s="0" t="n">
        <v>3.722857143</v>
      </c>
      <c r="F606" s="0" t="n">
        <v>0</v>
      </c>
      <c r="G606" s="0" t="n">
        <v>0</v>
      </c>
      <c r="H606" s="0" t="n">
        <v>0</v>
      </c>
      <c r="I606" s="0" t="n">
        <v>0</v>
      </c>
      <c r="J606" s="0" t="n">
        <v>0</v>
      </c>
      <c r="K606" s="0" t="n">
        <v>2</v>
      </c>
      <c r="L606" s="0" t="n">
        <v>3</v>
      </c>
    </row>
    <row r="607" customFormat="false" ht="15" hidden="false" customHeight="false" outlineLevel="0" collapsed="false">
      <c r="A607" s="5" t="n">
        <v>40302</v>
      </c>
      <c r="B607" s="6" t="s">
        <v>79</v>
      </c>
      <c r="C607" s="6" t="s">
        <v>92</v>
      </c>
      <c r="D607" s="0" t="n">
        <v>228.230214360368</v>
      </c>
      <c r="E607" s="0" t="n">
        <v>4.204285714</v>
      </c>
      <c r="F607" s="0" t="n">
        <v>0</v>
      </c>
      <c r="G607" s="0" t="n">
        <v>0</v>
      </c>
      <c r="H607" s="0" t="n">
        <v>0</v>
      </c>
      <c r="I607" s="0" t="n">
        <v>0</v>
      </c>
      <c r="J607" s="0" t="n">
        <v>0</v>
      </c>
      <c r="K607" s="0" t="n">
        <v>3</v>
      </c>
      <c r="L607" s="0" t="n">
        <v>3</v>
      </c>
    </row>
    <row r="608" customFormat="false" ht="15" hidden="false" customHeight="false" outlineLevel="0" collapsed="false">
      <c r="A608" s="5" t="n">
        <v>40309</v>
      </c>
      <c r="B608" s="6" t="s">
        <v>79</v>
      </c>
      <c r="C608" s="6" t="s">
        <v>92</v>
      </c>
      <c r="D608" s="0" t="n">
        <v>242.10110366</v>
      </c>
      <c r="E608" s="0" t="n">
        <v>4.19</v>
      </c>
      <c r="F608" s="0" t="n">
        <v>0</v>
      </c>
      <c r="G608" s="0" t="n">
        <v>0</v>
      </c>
      <c r="H608" s="0" t="n">
        <v>0</v>
      </c>
      <c r="I608" s="0" t="n">
        <v>0</v>
      </c>
      <c r="J608" s="0" t="n">
        <v>0</v>
      </c>
      <c r="K608" s="0" t="n">
        <v>3</v>
      </c>
      <c r="L608" s="0" t="n">
        <v>3</v>
      </c>
    </row>
    <row r="609" customFormat="false" ht="15" hidden="false" customHeight="false" outlineLevel="0" collapsed="false">
      <c r="A609" s="5" t="n">
        <v>40316</v>
      </c>
      <c r="B609" s="6" t="s">
        <v>79</v>
      </c>
      <c r="C609" s="6" t="s">
        <v>92</v>
      </c>
      <c r="D609" s="0" t="n">
        <v>251.043064599515</v>
      </c>
      <c r="E609" s="0" t="n">
        <v>3.861428571</v>
      </c>
      <c r="F609" s="0" t="n">
        <v>0</v>
      </c>
      <c r="G609" s="0" t="n">
        <v>0</v>
      </c>
      <c r="H609" s="0" t="n">
        <v>0</v>
      </c>
      <c r="I609" s="0" t="n">
        <v>0</v>
      </c>
      <c r="J609" s="0" t="n">
        <v>0</v>
      </c>
      <c r="K609" s="0" t="n">
        <v>3</v>
      </c>
      <c r="L609" s="0" t="n">
        <v>3</v>
      </c>
    </row>
    <row r="610" customFormat="false" ht="15" hidden="false" customHeight="false" outlineLevel="0" collapsed="false">
      <c r="A610" s="5" t="n">
        <v>40323</v>
      </c>
      <c r="B610" s="6" t="s">
        <v>79</v>
      </c>
      <c r="C610" s="6" t="s">
        <v>92</v>
      </c>
      <c r="D610" s="0" t="n">
        <v>189.581955708766</v>
      </c>
      <c r="E610" s="0" t="n">
        <v>3.861428571</v>
      </c>
      <c r="F610" s="0" t="n">
        <v>0</v>
      </c>
      <c r="G610" s="0" t="n">
        <v>0</v>
      </c>
      <c r="H610" s="0" t="n">
        <v>0</v>
      </c>
      <c r="I610" s="0" t="n">
        <v>0</v>
      </c>
      <c r="J610" s="0" t="n">
        <v>0</v>
      </c>
      <c r="K610" s="0" t="n">
        <v>3</v>
      </c>
      <c r="L610" s="0" t="n">
        <v>3</v>
      </c>
    </row>
    <row r="611" customFormat="false" ht="15" hidden="false" customHeight="false" outlineLevel="0" collapsed="false">
      <c r="A611" s="5" t="n">
        <v>40330</v>
      </c>
      <c r="B611" s="6" t="s">
        <v>79</v>
      </c>
      <c r="C611" s="6" t="s">
        <v>92</v>
      </c>
      <c r="D611" s="0" t="n">
        <v>133.330688938241</v>
      </c>
      <c r="E611" s="0" t="n">
        <v>3.861428571</v>
      </c>
      <c r="F611" s="0" t="n">
        <v>0</v>
      </c>
      <c r="G611" s="0" t="n">
        <v>0</v>
      </c>
      <c r="H611" s="0" t="n">
        <v>0</v>
      </c>
      <c r="I611" s="0" t="n">
        <v>0</v>
      </c>
      <c r="J611" s="0" t="n">
        <v>0</v>
      </c>
      <c r="K611" s="0" t="n">
        <v>3</v>
      </c>
      <c r="L611" s="0" t="n">
        <v>3</v>
      </c>
    </row>
    <row r="612" customFormat="false" ht="15" hidden="false" customHeight="false" outlineLevel="0" collapsed="false">
      <c r="A612" s="5" t="n">
        <v>40337</v>
      </c>
      <c r="B612" s="6" t="s">
        <v>79</v>
      </c>
      <c r="C612" s="6" t="s">
        <v>92</v>
      </c>
      <c r="D612" s="0" t="n">
        <v>68.8775792729443</v>
      </c>
      <c r="E612" s="0" t="n">
        <v>4.19</v>
      </c>
      <c r="F612" s="0" t="n">
        <v>0</v>
      </c>
      <c r="G612" s="0" t="n">
        <v>0</v>
      </c>
      <c r="H612" s="0" t="n">
        <v>0</v>
      </c>
      <c r="I612" s="0" t="n">
        <v>0</v>
      </c>
      <c r="J612" s="0" t="n">
        <v>0</v>
      </c>
      <c r="K612" s="0" t="n">
        <v>3</v>
      </c>
      <c r="L612" s="0" t="n">
        <v>3</v>
      </c>
    </row>
    <row r="613" customFormat="false" ht="15" hidden="false" customHeight="false" outlineLevel="0" collapsed="false">
      <c r="A613" s="5" t="n">
        <v>40344</v>
      </c>
      <c r="B613" s="6" t="s">
        <v>79</v>
      </c>
      <c r="C613" s="6" t="s">
        <v>92</v>
      </c>
      <c r="D613" s="0" t="n">
        <v>261.52228220237</v>
      </c>
      <c r="E613" s="0" t="n">
        <v>4.204285714</v>
      </c>
      <c r="F613" s="0" t="n">
        <v>0</v>
      </c>
      <c r="G613" s="0" t="n">
        <v>0</v>
      </c>
      <c r="H613" s="0" t="n">
        <v>0</v>
      </c>
      <c r="I613" s="0" t="n">
        <v>0</v>
      </c>
      <c r="J613" s="0" t="n">
        <v>0</v>
      </c>
      <c r="K613" s="0" t="n">
        <v>3</v>
      </c>
      <c r="L613" s="0" t="n">
        <v>3</v>
      </c>
    </row>
    <row r="614" customFormat="false" ht="15" hidden="false" customHeight="false" outlineLevel="0" collapsed="false">
      <c r="A614" s="5" t="n">
        <v>40351</v>
      </c>
      <c r="B614" s="6" t="s">
        <v>79</v>
      </c>
      <c r="C614" s="6" t="s">
        <v>92</v>
      </c>
      <c r="D614" s="0" t="n">
        <v>91.499003303075</v>
      </c>
      <c r="E614" s="0" t="n">
        <v>4.204285714</v>
      </c>
      <c r="F614" s="0" t="n">
        <v>0</v>
      </c>
      <c r="G614" s="0" t="n">
        <v>0</v>
      </c>
      <c r="H614" s="0" t="n">
        <v>0</v>
      </c>
      <c r="I614" s="0" t="n">
        <v>0</v>
      </c>
      <c r="J614" s="0" t="n">
        <v>0</v>
      </c>
      <c r="K614" s="0" t="n">
        <v>3</v>
      </c>
      <c r="L614" s="0" t="n">
        <v>3</v>
      </c>
    </row>
    <row r="615" customFormat="false" ht="15" hidden="false" customHeight="false" outlineLevel="0" collapsed="false">
      <c r="A615" s="5" t="n">
        <v>40358</v>
      </c>
      <c r="B615" s="6" t="s">
        <v>79</v>
      </c>
      <c r="C615" s="6" t="s">
        <v>92</v>
      </c>
      <c r="D615" s="0" t="n">
        <v>96.4249705067834</v>
      </c>
      <c r="E615" s="0" t="n">
        <v>4.204285714</v>
      </c>
      <c r="F615" s="0" t="n">
        <v>0</v>
      </c>
      <c r="G615" s="0" t="n">
        <v>0</v>
      </c>
      <c r="H615" s="0" t="n">
        <v>0</v>
      </c>
      <c r="I615" s="0" t="n">
        <v>0</v>
      </c>
      <c r="J615" s="0" t="n">
        <v>0</v>
      </c>
      <c r="K615" s="0" t="n">
        <v>3</v>
      </c>
      <c r="L615" s="0" t="n">
        <v>3</v>
      </c>
    </row>
    <row r="616" customFormat="false" ht="15" hidden="false" customHeight="false" outlineLevel="0" collapsed="false">
      <c r="A616" s="5" t="n">
        <v>40365</v>
      </c>
      <c r="B616" s="6" t="s">
        <v>79</v>
      </c>
      <c r="C616" s="6" t="s">
        <v>92</v>
      </c>
      <c r="D616" s="0" t="n">
        <v>177.001646849435</v>
      </c>
      <c r="E616" s="0" t="n">
        <v>3.78</v>
      </c>
      <c r="F616" s="0" t="n">
        <v>0</v>
      </c>
      <c r="G616" s="0" t="n">
        <v>0</v>
      </c>
      <c r="H616" s="0" t="n">
        <v>0</v>
      </c>
      <c r="I616" s="0" t="n">
        <v>0</v>
      </c>
      <c r="J616" s="0" t="n">
        <v>0</v>
      </c>
      <c r="K616" s="0" t="n">
        <v>3</v>
      </c>
      <c r="L616" s="0" t="n">
        <v>3</v>
      </c>
    </row>
    <row r="617" customFormat="false" ht="15" hidden="false" customHeight="false" outlineLevel="0" collapsed="false">
      <c r="A617" s="5" t="n">
        <v>40372</v>
      </c>
      <c r="B617" s="6" t="s">
        <v>79</v>
      </c>
      <c r="C617" s="6" t="s">
        <v>92</v>
      </c>
      <c r="D617" s="0" t="n">
        <v>136.888509701885</v>
      </c>
      <c r="E617" s="0" t="n">
        <v>3.745</v>
      </c>
      <c r="F617" s="0" t="n">
        <v>0</v>
      </c>
      <c r="G617" s="0" t="n">
        <v>0</v>
      </c>
      <c r="H617" s="0" t="n">
        <v>0</v>
      </c>
      <c r="I617" s="0" t="n">
        <v>0</v>
      </c>
      <c r="J617" s="0" t="n">
        <v>0</v>
      </c>
      <c r="K617" s="0" t="n">
        <v>3</v>
      </c>
      <c r="L617" s="0" t="n">
        <v>3</v>
      </c>
    </row>
    <row r="618" customFormat="false" ht="15" hidden="false" customHeight="false" outlineLevel="0" collapsed="false">
      <c r="A618" s="5" t="n">
        <v>40302</v>
      </c>
      <c r="B618" s="6" t="s">
        <v>93</v>
      </c>
      <c r="C618" s="6" t="s">
        <v>94</v>
      </c>
      <c r="D618" s="0" t="n">
        <v>194.926799376765</v>
      </c>
      <c r="E618" s="0" t="n">
        <v>4.504285714</v>
      </c>
      <c r="F618" s="0" t="n">
        <v>1</v>
      </c>
      <c r="G618" s="0" t="n">
        <v>0</v>
      </c>
      <c r="H618" s="0" t="n">
        <v>0</v>
      </c>
      <c r="I618" s="0" t="n">
        <v>0</v>
      </c>
      <c r="J618" s="0" t="n">
        <v>0</v>
      </c>
      <c r="K618" s="0" t="n">
        <v>2</v>
      </c>
      <c r="L618" s="0" t="n">
        <v>0</v>
      </c>
    </row>
    <row r="619" customFormat="false" ht="15" hidden="false" customHeight="false" outlineLevel="0" collapsed="false">
      <c r="A619" s="5" t="n">
        <v>40309</v>
      </c>
      <c r="B619" s="6" t="s">
        <v>93</v>
      </c>
      <c r="C619" s="6" t="s">
        <v>94</v>
      </c>
      <c r="D619" s="0" t="n">
        <v>215.841633870839</v>
      </c>
      <c r="E619" s="0" t="n">
        <v>4.59</v>
      </c>
      <c r="F619" s="0" t="n">
        <v>1</v>
      </c>
      <c r="G619" s="0" t="n">
        <v>0</v>
      </c>
      <c r="H619" s="0" t="n">
        <v>0</v>
      </c>
      <c r="I619" s="0" t="n">
        <v>0</v>
      </c>
      <c r="J619" s="0" t="n">
        <v>0</v>
      </c>
      <c r="K619" s="0" t="n">
        <v>2</v>
      </c>
      <c r="L619" s="0" t="n">
        <v>0</v>
      </c>
    </row>
    <row r="620" customFormat="false" ht="15" hidden="false" customHeight="false" outlineLevel="0" collapsed="false">
      <c r="A620" s="5" t="n">
        <v>40316</v>
      </c>
      <c r="B620" s="6" t="s">
        <v>93</v>
      </c>
      <c r="C620" s="6" t="s">
        <v>94</v>
      </c>
      <c r="D620" s="0" t="n">
        <v>336.954932688983</v>
      </c>
      <c r="E620" s="0" t="n">
        <v>4.39</v>
      </c>
      <c r="F620" s="0" t="n">
        <v>1</v>
      </c>
      <c r="G620" s="0" t="n">
        <v>0</v>
      </c>
      <c r="H620" s="0" t="n">
        <v>0</v>
      </c>
      <c r="I620" s="0" t="n">
        <v>0</v>
      </c>
      <c r="J620" s="0" t="n">
        <v>0</v>
      </c>
      <c r="K620" s="0" t="n">
        <v>2</v>
      </c>
      <c r="L620" s="0" t="n">
        <v>0</v>
      </c>
    </row>
    <row r="621" customFormat="false" ht="15" hidden="false" customHeight="false" outlineLevel="0" collapsed="false">
      <c r="A621" s="5" t="n">
        <v>40323</v>
      </c>
      <c r="B621" s="6" t="s">
        <v>93</v>
      </c>
      <c r="C621" s="6" t="s">
        <v>94</v>
      </c>
      <c r="D621" s="0" t="n">
        <v>225.762943261431</v>
      </c>
      <c r="E621" s="0" t="n">
        <v>4.123333333</v>
      </c>
      <c r="F621" s="0" t="n">
        <v>1</v>
      </c>
      <c r="G621" s="0" t="n">
        <v>0</v>
      </c>
      <c r="H621" s="0" t="n">
        <v>0</v>
      </c>
      <c r="I621" s="0" t="n">
        <v>0</v>
      </c>
      <c r="J621" s="0" t="n">
        <v>0</v>
      </c>
      <c r="K621" s="0" t="n">
        <v>2</v>
      </c>
      <c r="L621" s="0" t="n">
        <v>0</v>
      </c>
    </row>
    <row r="622" customFormat="false" ht="15" hidden="false" customHeight="false" outlineLevel="0" collapsed="false">
      <c r="A622" s="5" t="n">
        <v>40330</v>
      </c>
      <c r="B622" s="6" t="s">
        <v>93</v>
      </c>
      <c r="C622" s="6" t="s">
        <v>94</v>
      </c>
      <c r="D622" s="0" t="n">
        <v>234.177599289833</v>
      </c>
      <c r="E622" s="0" t="n">
        <v>4.04</v>
      </c>
      <c r="F622" s="0" t="n">
        <v>1</v>
      </c>
      <c r="G622" s="0" t="n">
        <v>0</v>
      </c>
      <c r="H622" s="0" t="n">
        <v>0</v>
      </c>
      <c r="I622" s="0" t="n">
        <v>0</v>
      </c>
      <c r="J622" s="0" t="n">
        <v>0</v>
      </c>
      <c r="K622" s="0" t="n">
        <v>2</v>
      </c>
      <c r="L622" s="0" t="n">
        <v>0</v>
      </c>
    </row>
    <row r="623" customFormat="false" ht="15" hidden="false" customHeight="false" outlineLevel="0" collapsed="false">
      <c r="A623" s="5" t="n">
        <v>40337</v>
      </c>
      <c r="B623" s="6" t="s">
        <v>93</v>
      </c>
      <c r="C623" s="6" t="s">
        <v>94</v>
      </c>
      <c r="D623" s="0" t="n">
        <v>299.468644038449</v>
      </c>
      <c r="E623" s="0" t="n">
        <v>4.895555556</v>
      </c>
      <c r="F623" s="0" t="n">
        <v>1</v>
      </c>
      <c r="G623" s="0" t="n">
        <v>0</v>
      </c>
      <c r="H623" s="0" t="n">
        <v>0</v>
      </c>
      <c r="I623" s="0" t="n">
        <v>0</v>
      </c>
      <c r="J623" s="0" t="n">
        <v>0</v>
      </c>
      <c r="K623" s="0" t="n">
        <v>2</v>
      </c>
      <c r="L623" s="0" t="n">
        <v>0</v>
      </c>
    </row>
    <row r="624" customFormat="false" ht="15" hidden="false" customHeight="false" outlineLevel="0" collapsed="false">
      <c r="A624" s="5" t="n">
        <v>40344</v>
      </c>
      <c r="B624" s="6" t="s">
        <v>93</v>
      </c>
      <c r="C624" s="6" t="s">
        <v>94</v>
      </c>
      <c r="D624" s="0" t="n">
        <v>153.635025276657</v>
      </c>
      <c r="E624" s="0" t="n">
        <v>4.88</v>
      </c>
      <c r="F624" s="0" t="n">
        <v>1</v>
      </c>
      <c r="G624" s="0" t="n">
        <v>0</v>
      </c>
      <c r="H624" s="0" t="n">
        <v>0</v>
      </c>
      <c r="I624" s="0" t="n">
        <v>0</v>
      </c>
      <c r="J624" s="0" t="n">
        <v>0</v>
      </c>
      <c r="K624" s="0" t="n">
        <v>2</v>
      </c>
      <c r="L624" s="0" t="n">
        <v>0</v>
      </c>
    </row>
    <row r="625" customFormat="false" ht="15" hidden="false" customHeight="false" outlineLevel="0" collapsed="false">
      <c r="A625" s="5" t="n">
        <v>40351</v>
      </c>
      <c r="B625" s="6" t="s">
        <v>93</v>
      </c>
      <c r="C625" s="6" t="s">
        <v>94</v>
      </c>
      <c r="D625" s="0" t="n">
        <v>368.847022627243</v>
      </c>
      <c r="E625" s="0" t="n">
        <v>4.871818182</v>
      </c>
      <c r="F625" s="0" t="n">
        <v>1</v>
      </c>
      <c r="G625" s="0" t="n">
        <v>0</v>
      </c>
      <c r="H625" s="0" t="n">
        <v>1</v>
      </c>
      <c r="I625" s="0" t="n">
        <v>0</v>
      </c>
      <c r="J625" s="0" t="n">
        <v>0</v>
      </c>
      <c r="K625" s="0" t="n">
        <v>2</v>
      </c>
      <c r="L625" s="0" t="n">
        <v>0</v>
      </c>
    </row>
    <row r="626" customFormat="false" ht="15" hidden="false" customHeight="false" outlineLevel="0" collapsed="false">
      <c r="A626" s="5" t="n">
        <v>40358</v>
      </c>
      <c r="B626" s="6" t="s">
        <v>93</v>
      </c>
      <c r="C626" s="6" t="s">
        <v>94</v>
      </c>
      <c r="D626" s="0" t="n">
        <v>343.445029903185</v>
      </c>
      <c r="E626" s="0" t="n">
        <v>4.508181818</v>
      </c>
      <c r="F626" s="0" t="n">
        <v>1</v>
      </c>
      <c r="G626" s="0" t="n">
        <v>0</v>
      </c>
      <c r="H626" s="0" t="n">
        <v>0</v>
      </c>
      <c r="I626" s="0" t="n">
        <v>1</v>
      </c>
      <c r="J626" s="0" t="n">
        <v>0</v>
      </c>
      <c r="K626" s="0" t="n">
        <v>2</v>
      </c>
      <c r="L626" s="0" t="n">
        <v>0</v>
      </c>
    </row>
    <row r="627" customFormat="false" ht="15" hidden="false" customHeight="false" outlineLevel="0" collapsed="false">
      <c r="A627" s="5" t="n">
        <v>40365</v>
      </c>
      <c r="B627" s="6" t="s">
        <v>93</v>
      </c>
      <c r="C627" s="6" t="s">
        <v>94</v>
      </c>
      <c r="D627" s="0" t="n">
        <v>191.470281395277</v>
      </c>
      <c r="E627" s="0" t="n">
        <v>4.353636364</v>
      </c>
      <c r="F627" s="0" t="n">
        <v>1</v>
      </c>
      <c r="G627" s="0" t="n">
        <v>0</v>
      </c>
      <c r="H627" s="0" t="n">
        <v>0</v>
      </c>
      <c r="I627" s="0" t="n">
        <v>1</v>
      </c>
      <c r="J627" s="0" t="n">
        <v>0</v>
      </c>
      <c r="K627" s="0" t="n">
        <v>2</v>
      </c>
      <c r="L627" s="0" t="n">
        <v>0</v>
      </c>
    </row>
    <row r="628" customFormat="false" ht="15" hidden="false" customHeight="false" outlineLevel="0" collapsed="false">
      <c r="A628" s="5" t="n">
        <v>40372</v>
      </c>
      <c r="B628" s="6" t="s">
        <v>93</v>
      </c>
      <c r="C628" s="6" t="s">
        <v>94</v>
      </c>
      <c r="D628" s="0" t="n">
        <v>297.374939492749</v>
      </c>
      <c r="E628" s="0" t="n">
        <v>3.99</v>
      </c>
      <c r="F628" s="0" t="n">
        <v>1</v>
      </c>
      <c r="G628" s="0" t="n">
        <v>0</v>
      </c>
      <c r="H628" s="0" t="n">
        <v>0</v>
      </c>
      <c r="I628" s="0" t="n">
        <v>1</v>
      </c>
      <c r="J628" s="0" t="n">
        <v>0</v>
      </c>
      <c r="K628" s="0" t="n">
        <v>2</v>
      </c>
      <c r="L628" s="0" t="n">
        <v>0</v>
      </c>
    </row>
    <row r="629" customFormat="false" ht="15" hidden="false" customHeight="false" outlineLevel="0" collapsed="false">
      <c r="A629" s="5" t="n">
        <v>40302</v>
      </c>
      <c r="B629" s="6" t="s">
        <v>93</v>
      </c>
      <c r="C629" s="6" t="s">
        <v>95</v>
      </c>
      <c r="D629" s="0" t="n">
        <v>251.380890951168</v>
      </c>
      <c r="E629" s="0" t="n">
        <v>4.856666667</v>
      </c>
      <c r="F629" s="0" t="n">
        <v>1</v>
      </c>
      <c r="G629" s="0" t="n">
        <v>0</v>
      </c>
      <c r="H629" s="0" t="n">
        <v>0</v>
      </c>
      <c r="I629" s="0" t="n">
        <v>0</v>
      </c>
      <c r="J629" s="0" t="n">
        <v>0</v>
      </c>
      <c r="K629" s="0" t="n">
        <v>1</v>
      </c>
      <c r="L629" s="0" t="n">
        <v>5</v>
      </c>
    </row>
    <row r="630" customFormat="false" ht="15" hidden="false" customHeight="false" outlineLevel="0" collapsed="false">
      <c r="A630" s="5" t="n">
        <v>40309</v>
      </c>
      <c r="B630" s="6" t="s">
        <v>93</v>
      </c>
      <c r="C630" s="6" t="s">
        <v>95</v>
      </c>
      <c r="D630" s="0" t="n">
        <v>195.138236902233</v>
      </c>
      <c r="E630" s="0" t="n">
        <v>4.680909091</v>
      </c>
      <c r="F630" s="0" t="n">
        <v>1</v>
      </c>
      <c r="G630" s="0" t="n">
        <v>0</v>
      </c>
      <c r="H630" s="0" t="n">
        <v>0</v>
      </c>
      <c r="I630" s="0" t="n">
        <v>0</v>
      </c>
      <c r="J630" s="0" t="n">
        <v>0</v>
      </c>
      <c r="K630" s="0" t="n">
        <v>1</v>
      </c>
      <c r="L630" s="0" t="n">
        <v>5</v>
      </c>
    </row>
    <row r="631" customFormat="false" ht="15" hidden="false" customHeight="false" outlineLevel="0" collapsed="false">
      <c r="A631" s="5" t="n">
        <v>40316</v>
      </c>
      <c r="B631" s="6" t="s">
        <v>93</v>
      </c>
      <c r="C631" s="6" t="s">
        <v>95</v>
      </c>
      <c r="D631" s="0" t="n">
        <v>322.474185986922</v>
      </c>
      <c r="E631" s="0" t="n">
        <v>4.59</v>
      </c>
      <c r="F631" s="0" t="n">
        <v>1</v>
      </c>
      <c r="G631" s="0" t="n">
        <v>0</v>
      </c>
      <c r="H631" s="0" t="n">
        <v>0</v>
      </c>
      <c r="I631" s="0" t="n">
        <v>0</v>
      </c>
      <c r="J631" s="0" t="n">
        <v>0</v>
      </c>
      <c r="K631" s="0" t="n">
        <v>1</v>
      </c>
      <c r="L631" s="0" t="n">
        <v>5</v>
      </c>
    </row>
    <row r="632" customFormat="false" ht="15" hidden="false" customHeight="false" outlineLevel="0" collapsed="false">
      <c r="A632" s="5" t="n">
        <v>40323</v>
      </c>
      <c r="B632" s="6" t="s">
        <v>93</v>
      </c>
      <c r="C632" s="6" t="s">
        <v>95</v>
      </c>
      <c r="D632" s="0" t="n">
        <v>199.272030345296</v>
      </c>
      <c r="E632" s="0" t="n">
        <v>4.59</v>
      </c>
      <c r="F632" s="0" t="n">
        <v>1</v>
      </c>
      <c r="G632" s="0" t="n">
        <v>0</v>
      </c>
      <c r="H632" s="0" t="n">
        <v>0</v>
      </c>
      <c r="I632" s="0" t="n">
        <v>0</v>
      </c>
      <c r="J632" s="0" t="n">
        <v>0</v>
      </c>
      <c r="K632" s="0" t="n">
        <v>1</v>
      </c>
      <c r="L632" s="0" t="n">
        <v>5</v>
      </c>
    </row>
    <row r="633" customFormat="false" ht="15" hidden="false" customHeight="false" outlineLevel="0" collapsed="false">
      <c r="A633" s="5" t="n">
        <v>40330</v>
      </c>
      <c r="B633" s="6" t="s">
        <v>93</v>
      </c>
      <c r="C633" s="6" t="s">
        <v>95</v>
      </c>
      <c r="D633" s="0" t="n">
        <v>250.416072254189</v>
      </c>
      <c r="E633" s="0" t="n">
        <v>4.59</v>
      </c>
      <c r="F633" s="0" t="n">
        <v>1</v>
      </c>
      <c r="G633" s="0" t="n">
        <v>0</v>
      </c>
      <c r="H633" s="0" t="n">
        <v>0</v>
      </c>
      <c r="I633" s="0" t="n">
        <v>0</v>
      </c>
      <c r="J633" s="0" t="n">
        <v>0</v>
      </c>
      <c r="K633" s="0" t="n">
        <v>1</v>
      </c>
      <c r="L633" s="0" t="n">
        <v>5</v>
      </c>
    </row>
    <row r="634" customFormat="false" ht="15" hidden="false" customHeight="false" outlineLevel="0" collapsed="false">
      <c r="A634" s="5" t="n">
        <v>40337</v>
      </c>
      <c r="B634" s="6" t="s">
        <v>93</v>
      </c>
      <c r="C634" s="6" t="s">
        <v>95</v>
      </c>
      <c r="D634" s="0" t="n">
        <v>249.017022008743</v>
      </c>
      <c r="E634" s="0" t="n">
        <v>4.950833333</v>
      </c>
      <c r="F634" s="0" t="n">
        <v>1</v>
      </c>
      <c r="G634" s="0" t="n">
        <v>0</v>
      </c>
      <c r="H634" s="0" t="n">
        <v>0</v>
      </c>
      <c r="I634" s="0" t="n">
        <v>0</v>
      </c>
      <c r="J634" s="0" t="n">
        <v>0</v>
      </c>
      <c r="K634" s="0" t="n">
        <v>1</v>
      </c>
      <c r="L634" s="0" t="n">
        <v>5</v>
      </c>
    </row>
    <row r="635" customFormat="false" ht="15" hidden="false" customHeight="false" outlineLevel="0" collapsed="false">
      <c r="A635" s="5" t="n">
        <v>40344</v>
      </c>
      <c r="B635" s="6" t="s">
        <v>93</v>
      </c>
      <c r="C635" s="6" t="s">
        <v>95</v>
      </c>
      <c r="D635" s="0" t="n">
        <v>284.496941938692</v>
      </c>
      <c r="E635" s="0" t="n">
        <v>4.775</v>
      </c>
      <c r="F635" s="0" t="n">
        <v>1</v>
      </c>
      <c r="G635" s="0" t="n">
        <v>0</v>
      </c>
      <c r="H635" s="0" t="n">
        <v>1</v>
      </c>
      <c r="I635" s="0" t="n">
        <v>0</v>
      </c>
      <c r="J635" s="0" t="n">
        <v>0</v>
      </c>
      <c r="K635" s="0" t="n">
        <v>1</v>
      </c>
      <c r="L635" s="0" t="n">
        <v>5</v>
      </c>
    </row>
    <row r="636" customFormat="false" ht="15" hidden="false" customHeight="false" outlineLevel="0" collapsed="false">
      <c r="A636" s="5" t="n">
        <v>40351</v>
      </c>
      <c r="B636" s="6" t="s">
        <v>93</v>
      </c>
      <c r="C636" s="6" t="s">
        <v>95</v>
      </c>
      <c r="D636" s="0" t="n">
        <v>256.237681000226</v>
      </c>
      <c r="E636" s="0" t="n">
        <v>4.674615385</v>
      </c>
      <c r="F636" s="0" t="n">
        <v>1</v>
      </c>
      <c r="G636" s="0" t="n">
        <v>0</v>
      </c>
      <c r="H636" s="0" t="n">
        <v>0</v>
      </c>
      <c r="I636" s="0" t="n">
        <v>1</v>
      </c>
      <c r="J636" s="0" t="n">
        <v>0</v>
      </c>
      <c r="K636" s="0" t="n">
        <v>1</v>
      </c>
      <c r="L636" s="0" t="n">
        <v>5</v>
      </c>
    </row>
    <row r="637" customFormat="false" ht="15" hidden="false" customHeight="false" outlineLevel="0" collapsed="false">
      <c r="A637" s="5" t="n">
        <v>40358</v>
      </c>
      <c r="B637" s="6" t="s">
        <v>93</v>
      </c>
      <c r="C637" s="6" t="s">
        <v>95</v>
      </c>
      <c r="D637" s="0" t="n">
        <v>328.054590772526</v>
      </c>
      <c r="E637" s="0" t="n">
        <v>4.398333333</v>
      </c>
      <c r="F637" s="0" t="n">
        <v>1</v>
      </c>
      <c r="G637" s="0" t="n">
        <v>0</v>
      </c>
      <c r="H637" s="0" t="n">
        <v>0</v>
      </c>
      <c r="I637" s="0" t="n">
        <v>1</v>
      </c>
      <c r="J637" s="0" t="n">
        <v>0</v>
      </c>
      <c r="K637" s="0" t="n">
        <v>1</v>
      </c>
      <c r="L637" s="0" t="n">
        <v>5</v>
      </c>
    </row>
    <row r="638" customFormat="false" ht="15" hidden="false" customHeight="false" outlineLevel="0" collapsed="false">
      <c r="A638" s="5" t="n">
        <v>40365</v>
      </c>
      <c r="B638" s="6" t="s">
        <v>93</v>
      </c>
      <c r="C638" s="6" t="s">
        <v>95</v>
      </c>
      <c r="D638" s="0" t="n">
        <v>287.570828139194</v>
      </c>
      <c r="E638" s="0" t="n">
        <v>4.456666667</v>
      </c>
      <c r="F638" s="0" t="n">
        <v>1</v>
      </c>
      <c r="G638" s="0" t="n">
        <v>0</v>
      </c>
      <c r="H638" s="0" t="n">
        <v>0</v>
      </c>
      <c r="I638" s="0" t="n">
        <v>1</v>
      </c>
      <c r="J638" s="0" t="n">
        <v>0</v>
      </c>
      <c r="K638" s="0" t="n">
        <v>1</v>
      </c>
      <c r="L638" s="0" t="n">
        <v>5</v>
      </c>
    </row>
    <row r="639" customFormat="false" ht="15" hidden="false" customHeight="false" outlineLevel="0" collapsed="false">
      <c r="A639" s="5" t="n">
        <v>40372</v>
      </c>
      <c r="B639" s="6" t="s">
        <v>93</v>
      </c>
      <c r="C639" s="6" t="s">
        <v>95</v>
      </c>
      <c r="D639" s="0" t="n">
        <v>228.812651369272</v>
      </c>
      <c r="E639" s="0" t="n">
        <v>4.456666667</v>
      </c>
      <c r="F639" s="0" t="n">
        <v>1</v>
      </c>
      <c r="G639" s="0" t="n">
        <v>0</v>
      </c>
      <c r="H639" s="0" t="n">
        <v>0</v>
      </c>
      <c r="I639" s="0" t="n">
        <v>0</v>
      </c>
      <c r="J639" s="0" t="n">
        <v>1</v>
      </c>
      <c r="K639" s="0" t="n">
        <v>1</v>
      </c>
      <c r="L639" s="0" t="n">
        <v>5</v>
      </c>
    </row>
    <row r="640" customFormat="false" ht="15" hidden="false" customHeight="false" outlineLevel="0" collapsed="false">
      <c r="A640" s="5" t="n">
        <v>40302</v>
      </c>
      <c r="B640" s="6" t="s">
        <v>93</v>
      </c>
      <c r="C640" s="6" t="s">
        <v>96</v>
      </c>
      <c r="D640" s="0" t="n">
        <v>253.619983961863</v>
      </c>
      <c r="E640" s="0" t="n">
        <v>4.623333333</v>
      </c>
      <c r="F640" s="0" t="n">
        <v>1</v>
      </c>
      <c r="G640" s="0" t="n">
        <v>0</v>
      </c>
      <c r="H640" s="0" t="n">
        <v>0</v>
      </c>
      <c r="I640" s="0" t="n">
        <v>1</v>
      </c>
      <c r="J640" s="0" t="n">
        <v>0</v>
      </c>
      <c r="K640" s="0" t="n">
        <v>3</v>
      </c>
      <c r="L640" s="0" t="n">
        <v>2</v>
      </c>
    </row>
    <row r="641" customFormat="false" ht="15" hidden="false" customHeight="false" outlineLevel="0" collapsed="false">
      <c r="A641" s="5" t="n">
        <v>40309</v>
      </c>
      <c r="B641" s="6" t="s">
        <v>93</v>
      </c>
      <c r="C641" s="6" t="s">
        <v>96</v>
      </c>
      <c r="D641" s="0" t="n">
        <v>321.749221311333</v>
      </c>
      <c r="E641" s="0" t="n">
        <v>4.623333333</v>
      </c>
      <c r="F641" s="0" t="n">
        <v>1</v>
      </c>
      <c r="G641" s="0" t="n">
        <v>0</v>
      </c>
      <c r="H641" s="0" t="n">
        <v>0</v>
      </c>
      <c r="I641" s="0" t="n">
        <v>0</v>
      </c>
      <c r="J641" s="0" t="n">
        <v>1</v>
      </c>
      <c r="K641" s="0" t="n">
        <v>3</v>
      </c>
      <c r="L641" s="0" t="n">
        <v>2</v>
      </c>
    </row>
    <row r="642" customFormat="false" ht="15" hidden="false" customHeight="false" outlineLevel="0" collapsed="false">
      <c r="A642" s="5" t="n">
        <v>40316</v>
      </c>
      <c r="B642" s="6" t="s">
        <v>93</v>
      </c>
      <c r="C642" s="6" t="s">
        <v>96</v>
      </c>
      <c r="D642" s="0" t="n">
        <v>231.566745816806</v>
      </c>
      <c r="E642" s="0" t="n">
        <v>4.29</v>
      </c>
      <c r="F642" s="0" t="n">
        <v>1</v>
      </c>
      <c r="G642" s="0" t="n">
        <v>0</v>
      </c>
      <c r="H642" s="0" t="n">
        <v>0</v>
      </c>
      <c r="I642" s="0" t="n">
        <v>0</v>
      </c>
      <c r="J642" s="0" t="n">
        <v>1</v>
      </c>
      <c r="K642" s="0" t="n">
        <v>3</v>
      </c>
      <c r="L642" s="0" t="n">
        <v>2</v>
      </c>
    </row>
    <row r="643" customFormat="false" ht="15" hidden="false" customHeight="false" outlineLevel="0" collapsed="false">
      <c r="A643" s="5" t="n">
        <v>40323</v>
      </c>
      <c r="B643" s="6" t="s">
        <v>93</v>
      </c>
      <c r="C643" s="6" t="s">
        <v>96</v>
      </c>
      <c r="D643" s="0" t="n">
        <v>183.85014679131</v>
      </c>
      <c r="E643" s="0" t="n">
        <v>4.29</v>
      </c>
      <c r="F643" s="0" t="n">
        <v>1</v>
      </c>
      <c r="G643" s="0" t="n">
        <v>0</v>
      </c>
      <c r="H643" s="0" t="n">
        <v>0</v>
      </c>
      <c r="I643" s="0" t="n">
        <v>0</v>
      </c>
      <c r="J643" s="0" t="n">
        <v>0</v>
      </c>
      <c r="K643" s="0" t="n">
        <v>3</v>
      </c>
      <c r="L643" s="0" t="n">
        <v>2</v>
      </c>
    </row>
    <row r="644" customFormat="false" ht="15" hidden="false" customHeight="false" outlineLevel="0" collapsed="false">
      <c r="A644" s="5" t="n">
        <v>40330</v>
      </c>
      <c r="B644" s="6" t="s">
        <v>93</v>
      </c>
      <c r="C644" s="6" t="s">
        <v>96</v>
      </c>
      <c r="D644" s="0" t="n">
        <v>228.740467089158</v>
      </c>
      <c r="E644" s="0" t="n">
        <v>4.29</v>
      </c>
      <c r="F644" s="0" t="n">
        <v>1</v>
      </c>
      <c r="G644" s="0" t="n">
        <v>0</v>
      </c>
      <c r="H644" s="0" t="n">
        <v>0</v>
      </c>
      <c r="I644" s="0" t="n">
        <v>0</v>
      </c>
      <c r="J644" s="0" t="n">
        <v>0</v>
      </c>
      <c r="K644" s="0" t="n">
        <v>3</v>
      </c>
      <c r="L644" s="0" t="n">
        <v>2</v>
      </c>
    </row>
    <row r="645" customFormat="false" ht="15" hidden="false" customHeight="false" outlineLevel="0" collapsed="false">
      <c r="A645" s="5" t="n">
        <v>40337</v>
      </c>
      <c r="B645" s="6" t="s">
        <v>93</v>
      </c>
      <c r="C645" s="6" t="s">
        <v>96</v>
      </c>
      <c r="D645" s="0" t="n">
        <v>234.027954048131</v>
      </c>
      <c r="E645" s="0" t="n">
        <v>4.624166667</v>
      </c>
      <c r="F645" s="0" t="n">
        <v>1</v>
      </c>
      <c r="G645" s="0" t="n">
        <v>0</v>
      </c>
      <c r="H645" s="0" t="n">
        <v>0</v>
      </c>
      <c r="I645" s="0" t="n">
        <v>0</v>
      </c>
      <c r="J645" s="0" t="n">
        <v>0</v>
      </c>
      <c r="K645" s="0" t="n">
        <v>3</v>
      </c>
      <c r="L645" s="0" t="n">
        <v>2</v>
      </c>
    </row>
    <row r="646" customFormat="false" ht="15" hidden="false" customHeight="false" outlineLevel="0" collapsed="false">
      <c r="A646" s="5" t="n">
        <v>40344</v>
      </c>
      <c r="B646" s="6" t="s">
        <v>93</v>
      </c>
      <c r="C646" s="6" t="s">
        <v>96</v>
      </c>
      <c r="D646" s="0" t="n">
        <v>294.770440435822</v>
      </c>
      <c r="E646" s="0" t="n">
        <v>4.64</v>
      </c>
      <c r="F646" s="0" t="n">
        <v>1</v>
      </c>
      <c r="G646" s="0" t="n">
        <v>0</v>
      </c>
      <c r="H646" s="0" t="n">
        <v>0</v>
      </c>
      <c r="I646" s="0" t="n">
        <v>0</v>
      </c>
      <c r="J646" s="0" t="n">
        <v>0</v>
      </c>
      <c r="K646" s="0" t="n">
        <v>3</v>
      </c>
      <c r="L646" s="0" t="n">
        <v>2</v>
      </c>
    </row>
    <row r="647" customFormat="false" ht="15" hidden="false" customHeight="false" outlineLevel="0" collapsed="false">
      <c r="A647" s="5" t="n">
        <v>40351</v>
      </c>
      <c r="B647" s="6" t="s">
        <v>93</v>
      </c>
      <c r="C647" s="6" t="s">
        <v>96</v>
      </c>
      <c r="D647" s="0" t="n">
        <v>204.075147949348</v>
      </c>
      <c r="E647" s="0" t="n">
        <v>4.64</v>
      </c>
      <c r="F647" s="0" t="n">
        <v>1</v>
      </c>
      <c r="G647" s="0" t="n">
        <v>0</v>
      </c>
      <c r="H647" s="0" t="n">
        <v>0</v>
      </c>
      <c r="I647" s="0" t="n">
        <v>0</v>
      </c>
      <c r="J647" s="0" t="n">
        <v>0</v>
      </c>
      <c r="K647" s="0" t="n">
        <v>3</v>
      </c>
      <c r="L647" s="0" t="n">
        <v>2</v>
      </c>
    </row>
    <row r="648" customFormat="false" ht="15" hidden="false" customHeight="false" outlineLevel="0" collapsed="false">
      <c r="A648" s="5" t="n">
        <v>40358</v>
      </c>
      <c r="B648" s="6" t="s">
        <v>93</v>
      </c>
      <c r="C648" s="6" t="s">
        <v>96</v>
      </c>
      <c r="D648" s="0" t="n">
        <v>276.717746974029</v>
      </c>
      <c r="E648" s="0" t="n">
        <v>4.64</v>
      </c>
      <c r="F648" s="0" t="n">
        <v>1</v>
      </c>
      <c r="G648" s="0" t="n">
        <v>0</v>
      </c>
      <c r="H648" s="0" t="n">
        <v>0</v>
      </c>
      <c r="I648" s="0" t="n">
        <v>0</v>
      </c>
      <c r="J648" s="0" t="n">
        <v>0</v>
      </c>
      <c r="K648" s="0" t="n">
        <v>3</v>
      </c>
      <c r="L648" s="0" t="n">
        <v>2</v>
      </c>
    </row>
    <row r="649" customFormat="false" ht="15" hidden="false" customHeight="false" outlineLevel="0" collapsed="false">
      <c r="A649" s="5" t="n">
        <v>40365</v>
      </c>
      <c r="B649" s="6" t="s">
        <v>93</v>
      </c>
      <c r="C649" s="6" t="s">
        <v>96</v>
      </c>
      <c r="D649" s="0" t="n">
        <v>209.418913097375</v>
      </c>
      <c r="E649" s="0" t="n">
        <v>4.47</v>
      </c>
      <c r="F649" s="0" t="n">
        <v>1</v>
      </c>
      <c r="G649" s="0" t="n">
        <v>0</v>
      </c>
      <c r="H649" s="0" t="n">
        <v>0</v>
      </c>
      <c r="I649" s="0" t="n">
        <v>0</v>
      </c>
      <c r="J649" s="0" t="n">
        <v>0</v>
      </c>
      <c r="K649" s="0" t="n">
        <v>3</v>
      </c>
      <c r="L649" s="0" t="n">
        <v>2</v>
      </c>
    </row>
    <row r="650" customFormat="false" ht="15" hidden="false" customHeight="false" outlineLevel="0" collapsed="false">
      <c r="A650" s="5" t="n">
        <v>40372</v>
      </c>
      <c r="B650" s="6" t="s">
        <v>93</v>
      </c>
      <c r="C650" s="6" t="s">
        <v>96</v>
      </c>
      <c r="D650" s="0" t="n">
        <v>250.023670759649</v>
      </c>
      <c r="E650" s="0" t="n">
        <v>4.426363636</v>
      </c>
      <c r="F650" s="0" t="n">
        <v>1</v>
      </c>
      <c r="G650" s="0" t="n">
        <v>0</v>
      </c>
      <c r="H650" s="0" t="n">
        <v>0</v>
      </c>
      <c r="I650" s="0" t="n">
        <v>0</v>
      </c>
      <c r="J650" s="0" t="n">
        <v>0</v>
      </c>
      <c r="K650" s="0" t="n">
        <v>3</v>
      </c>
      <c r="L650" s="0" t="n">
        <v>2</v>
      </c>
    </row>
    <row r="651" customFormat="false" ht="15" hidden="false" customHeight="false" outlineLevel="0" collapsed="false">
      <c r="A651" s="5" t="n">
        <v>40302</v>
      </c>
      <c r="B651" s="6" t="s">
        <v>93</v>
      </c>
      <c r="C651" s="6" t="s">
        <v>97</v>
      </c>
      <c r="D651" s="0" t="n">
        <v>312.597270986709</v>
      </c>
      <c r="E651" s="0" t="n">
        <v>4.680909091</v>
      </c>
      <c r="F651" s="0" t="n">
        <v>1</v>
      </c>
      <c r="G651" s="0" t="n">
        <v>0</v>
      </c>
      <c r="H651" s="0" t="n">
        <v>0</v>
      </c>
      <c r="I651" s="0" t="n">
        <v>0</v>
      </c>
      <c r="J651" s="0" t="n">
        <v>0</v>
      </c>
      <c r="K651" s="0" t="n">
        <v>2</v>
      </c>
      <c r="L651" s="0" t="n">
        <v>5</v>
      </c>
    </row>
    <row r="652" customFormat="false" ht="15" hidden="false" customHeight="false" outlineLevel="0" collapsed="false">
      <c r="A652" s="5" t="n">
        <v>40309</v>
      </c>
      <c r="B652" s="6" t="s">
        <v>93</v>
      </c>
      <c r="C652" s="6" t="s">
        <v>97</v>
      </c>
      <c r="D652" s="0" t="n">
        <v>267.80241742307</v>
      </c>
      <c r="E652" s="0" t="n">
        <v>4.680909091</v>
      </c>
      <c r="F652" s="0" t="n">
        <v>1</v>
      </c>
      <c r="G652" s="0" t="n">
        <v>0</v>
      </c>
      <c r="H652" s="0" t="n">
        <v>1</v>
      </c>
      <c r="I652" s="0" t="n">
        <v>0</v>
      </c>
      <c r="J652" s="0" t="n">
        <v>0</v>
      </c>
      <c r="K652" s="0" t="n">
        <v>2</v>
      </c>
      <c r="L652" s="0" t="n">
        <v>5</v>
      </c>
    </row>
    <row r="653" customFormat="false" ht="15" hidden="false" customHeight="false" outlineLevel="0" collapsed="false">
      <c r="A653" s="5" t="n">
        <v>40316</v>
      </c>
      <c r="B653" s="6" t="s">
        <v>93</v>
      </c>
      <c r="C653" s="6" t="s">
        <v>97</v>
      </c>
      <c r="D653" s="0" t="n">
        <v>293.289511300438</v>
      </c>
      <c r="E653" s="0" t="n">
        <v>4.59</v>
      </c>
      <c r="F653" s="0" t="n">
        <v>1</v>
      </c>
      <c r="G653" s="0" t="n">
        <v>0</v>
      </c>
      <c r="H653" s="0" t="n">
        <v>0</v>
      </c>
      <c r="I653" s="0" t="n">
        <v>1</v>
      </c>
      <c r="J653" s="0" t="n">
        <v>0</v>
      </c>
      <c r="K653" s="0" t="n">
        <v>2</v>
      </c>
      <c r="L653" s="0" t="n">
        <v>5</v>
      </c>
    </row>
    <row r="654" customFormat="false" ht="15" hidden="false" customHeight="false" outlineLevel="0" collapsed="false">
      <c r="A654" s="5" t="n">
        <v>40323</v>
      </c>
      <c r="B654" s="6" t="s">
        <v>93</v>
      </c>
      <c r="C654" s="6" t="s">
        <v>97</v>
      </c>
      <c r="D654" s="0" t="n">
        <v>313.505665364716</v>
      </c>
      <c r="E654" s="0" t="n">
        <v>4.59</v>
      </c>
      <c r="F654" s="0" t="n">
        <v>1</v>
      </c>
      <c r="G654" s="0" t="n">
        <v>0</v>
      </c>
      <c r="H654" s="0" t="n">
        <v>0</v>
      </c>
      <c r="I654" s="0" t="n">
        <v>1</v>
      </c>
      <c r="J654" s="0" t="n">
        <v>0</v>
      </c>
      <c r="K654" s="0" t="n">
        <v>2</v>
      </c>
      <c r="L654" s="0" t="n">
        <v>5</v>
      </c>
    </row>
    <row r="655" customFormat="false" ht="15" hidden="false" customHeight="false" outlineLevel="0" collapsed="false">
      <c r="A655" s="5" t="n">
        <v>40330</v>
      </c>
      <c r="B655" s="6" t="s">
        <v>93</v>
      </c>
      <c r="C655" s="6" t="s">
        <v>97</v>
      </c>
      <c r="D655" s="0" t="n">
        <v>299.49439186701</v>
      </c>
      <c r="E655" s="0" t="n">
        <v>4.59</v>
      </c>
      <c r="F655" s="0" t="n">
        <v>1</v>
      </c>
      <c r="G655" s="0" t="n">
        <v>0</v>
      </c>
      <c r="H655" s="0" t="n">
        <v>0</v>
      </c>
      <c r="I655" s="0" t="n">
        <v>1</v>
      </c>
      <c r="J655" s="0" t="n">
        <v>0</v>
      </c>
      <c r="K655" s="0" t="n">
        <v>2</v>
      </c>
      <c r="L655" s="0" t="n">
        <v>5</v>
      </c>
    </row>
    <row r="656" customFormat="false" ht="15" hidden="false" customHeight="false" outlineLevel="0" collapsed="false">
      <c r="A656" s="5" t="n">
        <v>40337</v>
      </c>
      <c r="B656" s="6" t="s">
        <v>93</v>
      </c>
      <c r="C656" s="6" t="s">
        <v>97</v>
      </c>
      <c r="D656" s="0" t="n">
        <v>277.553103993772</v>
      </c>
      <c r="E656" s="0" t="n">
        <v>4.974545455</v>
      </c>
      <c r="F656" s="0" t="n">
        <v>1</v>
      </c>
      <c r="G656" s="0" t="n">
        <v>0</v>
      </c>
      <c r="H656" s="0" t="n">
        <v>0</v>
      </c>
      <c r="I656" s="0" t="n">
        <v>0</v>
      </c>
      <c r="J656" s="0" t="n">
        <v>1</v>
      </c>
      <c r="K656" s="0" t="n">
        <v>2</v>
      </c>
      <c r="L656" s="0" t="n">
        <v>5</v>
      </c>
    </row>
    <row r="657" customFormat="false" ht="15" hidden="false" customHeight="false" outlineLevel="0" collapsed="false">
      <c r="A657" s="5" t="n">
        <v>40344</v>
      </c>
      <c r="B657" s="6" t="s">
        <v>93</v>
      </c>
      <c r="C657" s="6" t="s">
        <v>97</v>
      </c>
      <c r="D657" s="0" t="n">
        <v>298.396110879562</v>
      </c>
      <c r="E657" s="0" t="n">
        <v>4.931666667</v>
      </c>
      <c r="F657" s="0" t="n">
        <v>1</v>
      </c>
      <c r="G657" s="0" t="n">
        <v>0</v>
      </c>
      <c r="H657" s="0" t="n">
        <v>0</v>
      </c>
      <c r="I657" s="0" t="n">
        <v>0</v>
      </c>
      <c r="J657" s="0" t="n">
        <v>1</v>
      </c>
      <c r="K657" s="0" t="n">
        <v>2</v>
      </c>
      <c r="L657" s="0" t="n">
        <v>5</v>
      </c>
    </row>
    <row r="658" customFormat="false" ht="15" hidden="false" customHeight="false" outlineLevel="0" collapsed="false">
      <c r="A658" s="5" t="n">
        <v>40351</v>
      </c>
      <c r="B658" s="6" t="s">
        <v>93</v>
      </c>
      <c r="C658" s="6" t="s">
        <v>97</v>
      </c>
      <c r="D658" s="0" t="n">
        <v>338.87436363012</v>
      </c>
      <c r="E658" s="0" t="n">
        <v>4.931666667</v>
      </c>
      <c r="F658" s="0" t="n">
        <v>1</v>
      </c>
      <c r="G658" s="0" t="n">
        <v>0</v>
      </c>
      <c r="H658" s="0" t="n">
        <v>0</v>
      </c>
      <c r="I658" s="0" t="n">
        <v>0</v>
      </c>
      <c r="J658" s="0" t="n">
        <v>0</v>
      </c>
      <c r="K658" s="0" t="n">
        <v>2</v>
      </c>
      <c r="L658" s="0" t="n">
        <v>5</v>
      </c>
    </row>
    <row r="659" customFormat="false" ht="15" hidden="false" customHeight="false" outlineLevel="0" collapsed="false">
      <c r="A659" s="5" t="n">
        <v>40358</v>
      </c>
      <c r="B659" s="6" t="s">
        <v>93</v>
      </c>
      <c r="C659" s="6" t="s">
        <v>97</v>
      </c>
      <c r="D659" s="0" t="n">
        <v>188.772557907822</v>
      </c>
      <c r="E659" s="0" t="n">
        <v>4.944545455</v>
      </c>
      <c r="F659" s="0" t="n">
        <v>1</v>
      </c>
      <c r="G659" s="0" t="n">
        <v>0</v>
      </c>
      <c r="H659" s="0" t="n">
        <v>0</v>
      </c>
      <c r="I659" s="0" t="n">
        <v>0</v>
      </c>
      <c r="J659" s="0" t="n">
        <v>0</v>
      </c>
      <c r="K659" s="0" t="n">
        <v>2</v>
      </c>
      <c r="L659" s="0" t="n">
        <v>5</v>
      </c>
    </row>
    <row r="660" customFormat="false" ht="15" hidden="false" customHeight="false" outlineLevel="0" collapsed="false">
      <c r="A660" s="5" t="n">
        <v>40365</v>
      </c>
      <c r="B660" s="6" t="s">
        <v>93</v>
      </c>
      <c r="C660" s="6" t="s">
        <v>97</v>
      </c>
      <c r="D660" s="0" t="n">
        <v>337.00987515792</v>
      </c>
      <c r="E660" s="0" t="n">
        <v>4.79</v>
      </c>
      <c r="F660" s="0" t="n">
        <v>1</v>
      </c>
      <c r="G660" s="0" t="n">
        <v>0</v>
      </c>
      <c r="H660" s="0" t="n">
        <v>0</v>
      </c>
      <c r="I660" s="0" t="n">
        <v>0</v>
      </c>
      <c r="J660" s="0" t="n">
        <v>0</v>
      </c>
      <c r="K660" s="0" t="n">
        <v>2</v>
      </c>
      <c r="L660" s="0" t="n">
        <v>5</v>
      </c>
    </row>
    <row r="661" customFormat="false" ht="15" hidden="false" customHeight="false" outlineLevel="0" collapsed="false">
      <c r="A661" s="5" t="n">
        <v>40372</v>
      </c>
      <c r="B661" s="6" t="s">
        <v>93</v>
      </c>
      <c r="C661" s="6" t="s">
        <v>97</v>
      </c>
      <c r="D661" s="0" t="n">
        <v>268.174898376177</v>
      </c>
      <c r="E661" s="0" t="n">
        <v>4.79</v>
      </c>
      <c r="F661" s="0" t="n">
        <v>1</v>
      </c>
      <c r="G661" s="0" t="n">
        <v>0</v>
      </c>
      <c r="H661" s="0" t="n">
        <v>0</v>
      </c>
      <c r="I661" s="0" t="n">
        <v>0</v>
      </c>
      <c r="J661" s="0" t="n">
        <v>0</v>
      </c>
      <c r="K661" s="0" t="n">
        <v>2</v>
      </c>
      <c r="L661" s="0" t="n">
        <v>5</v>
      </c>
    </row>
    <row r="662" customFormat="false" ht="15" hidden="false" customHeight="false" outlineLevel="0" collapsed="false">
      <c r="A662" s="5" t="n">
        <v>40302</v>
      </c>
      <c r="B662" s="6" t="s">
        <v>93</v>
      </c>
      <c r="C662" s="6" t="s">
        <v>98</v>
      </c>
      <c r="D662" s="0" t="n">
        <v>234.365130758632</v>
      </c>
      <c r="E662" s="0" t="n">
        <v>4.87</v>
      </c>
      <c r="F662" s="0" t="n">
        <v>1</v>
      </c>
      <c r="G662" s="0" t="n">
        <v>0</v>
      </c>
      <c r="H662" s="0" t="n">
        <v>0</v>
      </c>
      <c r="I662" s="0" t="n">
        <v>0</v>
      </c>
      <c r="J662" s="0" t="n">
        <v>0</v>
      </c>
      <c r="K662" s="0" t="n">
        <v>3</v>
      </c>
      <c r="L662" s="0" t="n">
        <v>4</v>
      </c>
    </row>
    <row r="663" customFormat="false" ht="15" hidden="false" customHeight="false" outlineLevel="0" collapsed="false">
      <c r="A663" s="5" t="n">
        <v>40309</v>
      </c>
      <c r="B663" s="6" t="s">
        <v>93</v>
      </c>
      <c r="C663" s="6" t="s">
        <v>98</v>
      </c>
      <c r="D663" s="0" t="n">
        <v>316.102453573399</v>
      </c>
      <c r="E663" s="0" t="n">
        <v>4.79</v>
      </c>
      <c r="F663" s="0" t="n">
        <v>1</v>
      </c>
      <c r="G663" s="0" t="n">
        <v>0</v>
      </c>
      <c r="H663" s="0" t="n">
        <v>0</v>
      </c>
      <c r="I663" s="0" t="n">
        <v>0</v>
      </c>
      <c r="J663" s="0" t="n">
        <v>0</v>
      </c>
      <c r="K663" s="0" t="n">
        <v>3</v>
      </c>
      <c r="L663" s="0" t="n">
        <v>4</v>
      </c>
    </row>
    <row r="664" customFormat="false" ht="15" hidden="false" customHeight="false" outlineLevel="0" collapsed="false">
      <c r="A664" s="5" t="n">
        <v>40316</v>
      </c>
      <c r="B664" s="6" t="s">
        <v>93</v>
      </c>
      <c r="C664" s="6" t="s">
        <v>98</v>
      </c>
      <c r="D664" s="0" t="n">
        <v>318.197018148128</v>
      </c>
      <c r="E664" s="0" t="n">
        <v>4.19</v>
      </c>
      <c r="F664" s="0" t="n">
        <v>1</v>
      </c>
      <c r="G664" s="0" t="n">
        <v>0</v>
      </c>
      <c r="H664" s="0" t="n">
        <v>0</v>
      </c>
      <c r="I664" s="0" t="n">
        <v>0</v>
      </c>
      <c r="J664" s="0" t="n">
        <v>0</v>
      </c>
      <c r="K664" s="0" t="n">
        <v>3</v>
      </c>
      <c r="L664" s="0" t="n">
        <v>4</v>
      </c>
    </row>
    <row r="665" customFormat="false" ht="15" hidden="false" customHeight="false" outlineLevel="0" collapsed="false">
      <c r="A665" s="5" t="n">
        <v>40323</v>
      </c>
      <c r="B665" s="6" t="s">
        <v>93</v>
      </c>
      <c r="C665" s="6" t="s">
        <v>98</v>
      </c>
      <c r="D665" s="0" t="n">
        <v>239.788278790966</v>
      </c>
      <c r="E665" s="0" t="n">
        <v>4.19</v>
      </c>
      <c r="F665" s="0" t="n">
        <v>1</v>
      </c>
      <c r="G665" s="0" t="n">
        <v>0</v>
      </c>
      <c r="H665" s="0" t="n">
        <v>0</v>
      </c>
      <c r="I665" s="0" t="n">
        <v>0</v>
      </c>
      <c r="J665" s="0" t="n">
        <v>0</v>
      </c>
      <c r="K665" s="0" t="n">
        <v>3</v>
      </c>
      <c r="L665" s="0" t="n">
        <v>4</v>
      </c>
    </row>
    <row r="666" customFormat="false" ht="15" hidden="false" customHeight="false" outlineLevel="0" collapsed="false">
      <c r="A666" s="5" t="n">
        <v>40330</v>
      </c>
      <c r="B666" s="6" t="s">
        <v>93</v>
      </c>
      <c r="C666" s="6" t="s">
        <v>98</v>
      </c>
      <c r="D666" s="0" t="n">
        <v>207.65387551549</v>
      </c>
      <c r="E666" s="0" t="n">
        <v>4.426363636</v>
      </c>
      <c r="F666" s="0" t="n">
        <v>1</v>
      </c>
      <c r="G666" s="0" t="n">
        <v>0</v>
      </c>
      <c r="H666" s="0" t="n">
        <v>0</v>
      </c>
      <c r="I666" s="0" t="n">
        <v>0</v>
      </c>
      <c r="J666" s="0" t="n">
        <v>0</v>
      </c>
      <c r="K666" s="0" t="n">
        <v>3</v>
      </c>
      <c r="L666" s="0" t="n">
        <v>4</v>
      </c>
    </row>
    <row r="667" customFormat="false" ht="15" hidden="false" customHeight="false" outlineLevel="0" collapsed="false">
      <c r="A667" s="5" t="n">
        <v>40337</v>
      </c>
      <c r="B667" s="6" t="s">
        <v>93</v>
      </c>
      <c r="C667" s="6" t="s">
        <v>98</v>
      </c>
      <c r="D667" s="0" t="n">
        <v>188.493464915174</v>
      </c>
      <c r="E667" s="0" t="n">
        <v>4.899090909</v>
      </c>
      <c r="F667" s="0" t="n">
        <v>1</v>
      </c>
      <c r="G667" s="0" t="n">
        <v>0</v>
      </c>
      <c r="H667" s="0" t="n">
        <v>0</v>
      </c>
      <c r="I667" s="0" t="n">
        <v>0</v>
      </c>
      <c r="J667" s="0" t="n">
        <v>0</v>
      </c>
      <c r="K667" s="0" t="n">
        <v>3</v>
      </c>
      <c r="L667" s="0" t="n">
        <v>4</v>
      </c>
    </row>
    <row r="668" customFormat="false" ht="15" hidden="false" customHeight="false" outlineLevel="0" collapsed="false">
      <c r="A668" s="5" t="n">
        <v>40344</v>
      </c>
      <c r="B668" s="6" t="s">
        <v>93</v>
      </c>
      <c r="C668" s="6" t="s">
        <v>98</v>
      </c>
      <c r="D668" s="0" t="n">
        <v>792.516251378851</v>
      </c>
      <c r="E668" s="0" t="n">
        <v>4.471666667</v>
      </c>
      <c r="F668" s="0" t="n">
        <v>1</v>
      </c>
      <c r="G668" s="0" t="n">
        <v>1</v>
      </c>
      <c r="H668" s="0" t="n">
        <v>1</v>
      </c>
      <c r="I668" s="0" t="n">
        <v>0</v>
      </c>
      <c r="J668" s="0" t="n">
        <v>0</v>
      </c>
      <c r="K668" s="0" t="n">
        <v>3</v>
      </c>
      <c r="L668" s="0" t="n">
        <v>4</v>
      </c>
    </row>
    <row r="669" customFormat="false" ht="15" hidden="false" customHeight="false" outlineLevel="0" collapsed="false">
      <c r="A669" s="5" t="n">
        <v>40351</v>
      </c>
      <c r="B669" s="6" t="s">
        <v>93</v>
      </c>
      <c r="C669" s="6" t="s">
        <v>98</v>
      </c>
      <c r="D669" s="0" t="n">
        <v>798.554516320263</v>
      </c>
      <c r="E669" s="0" t="n">
        <v>4.281666667</v>
      </c>
      <c r="F669" s="0" t="n">
        <v>1</v>
      </c>
      <c r="G669" s="0" t="n">
        <v>1</v>
      </c>
      <c r="H669" s="0" t="n">
        <v>0</v>
      </c>
      <c r="I669" s="0" t="n">
        <v>1</v>
      </c>
      <c r="J669" s="0" t="n">
        <v>0</v>
      </c>
      <c r="K669" s="0" t="n">
        <v>3</v>
      </c>
      <c r="L669" s="0" t="n">
        <v>4</v>
      </c>
    </row>
    <row r="670" customFormat="false" ht="15" hidden="false" customHeight="false" outlineLevel="0" collapsed="false">
      <c r="A670" s="5" t="n">
        <v>40358</v>
      </c>
      <c r="B670" s="6" t="s">
        <v>93</v>
      </c>
      <c r="C670" s="6" t="s">
        <v>98</v>
      </c>
      <c r="D670" s="0" t="n">
        <v>836.321945628103</v>
      </c>
      <c r="E670" s="0" t="n">
        <v>4.281666667</v>
      </c>
      <c r="F670" s="0" t="n">
        <v>1</v>
      </c>
      <c r="G670" s="0" t="n">
        <v>1</v>
      </c>
      <c r="H670" s="0" t="n">
        <v>0</v>
      </c>
      <c r="I670" s="0" t="n">
        <v>1</v>
      </c>
      <c r="J670" s="0" t="n">
        <v>0</v>
      </c>
      <c r="K670" s="0" t="n">
        <v>3</v>
      </c>
      <c r="L670" s="0" t="n">
        <v>4</v>
      </c>
    </row>
    <row r="671" customFormat="false" ht="15" hidden="false" customHeight="false" outlineLevel="0" collapsed="false">
      <c r="A671" s="5" t="n">
        <v>40365</v>
      </c>
      <c r="B671" s="6" t="s">
        <v>93</v>
      </c>
      <c r="C671" s="6" t="s">
        <v>98</v>
      </c>
      <c r="D671" s="0" t="n">
        <v>756.35635073696</v>
      </c>
      <c r="E671" s="0" t="n">
        <v>4.723333333</v>
      </c>
      <c r="F671" s="0" t="n">
        <v>1</v>
      </c>
      <c r="G671" s="0" t="n">
        <v>1</v>
      </c>
      <c r="H671" s="0" t="n">
        <v>0</v>
      </c>
      <c r="I671" s="0" t="n">
        <v>1</v>
      </c>
      <c r="J671" s="0" t="n">
        <v>0</v>
      </c>
      <c r="K671" s="0" t="n">
        <v>3</v>
      </c>
      <c r="L671" s="0" t="n">
        <v>4</v>
      </c>
    </row>
    <row r="672" customFormat="false" ht="15" hidden="false" customHeight="false" outlineLevel="0" collapsed="false">
      <c r="A672" s="5" t="n">
        <v>40372</v>
      </c>
      <c r="B672" s="6" t="s">
        <v>93</v>
      </c>
      <c r="C672" s="6" t="s">
        <v>98</v>
      </c>
      <c r="D672" s="0" t="n">
        <v>726.370037744683</v>
      </c>
      <c r="E672" s="0" t="n">
        <v>4.728461538</v>
      </c>
      <c r="F672" s="0" t="n">
        <v>1</v>
      </c>
      <c r="G672" s="0" t="n">
        <v>1</v>
      </c>
      <c r="H672" s="0" t="n">
        <v>0</v>
      </c>
      <c r="I672" s="0" t="n">
        <v>0</v>
      </c>
      <c r="J672" s="0" t="n">
        <v>1</v>
      </c>
      <c r="K672" s="0" t="n">
        <v>3</v>
      </c>
      <c r="L672" s="0" t="n">
        <v>4</v>
      </c>
    </row>
    <row r="673" customFormat="false" ht="15" hidden="false" customHeight="false" outlineLevel="0" collapsed="false">
      <c r="A673" s="5" t="n">
        <v>40302</v>
      </c>
      <c r="B673" s="6" t="s">
        <v>93</v>
      </c>
      <c r="C673" s="6" t="s">
        <v>99</v>
      </c>
      <c r="D673" s="0" t="n">
        <v>285.521117038441</v>
      </c>
      <c r="E673" s="0" t="n">
        <v>4.623333333</v>
      </c>
      <c r="F673" s="0" t="n">
        <v>1</v>
      </c>
      <c r="G673" s="0" t="n">
        <v>0</v>
      </c>
      <c r="H673" s="0" t="n">
        <v>0</v>
      </c>
      <c r="I673" s="0" t="n">
        <v>1</v>
      </c>
      <c r="J673" s="0" t="n">
        <v>0</v>
      </c>
      <c r="K673" s="0" t="n">
        <v>2</v>
      </c>
      <c r="L673" s="0" t="n">
        <v>1</v>
      </c>
    </row>
    <row r="674" customFormat="false" ht="15" hidden="false" customHeight="false" outlineLevel="0" collapsed="false">
      <c r="A674" s="5" t="n">
        <v>40309</v>
      </c>
      <c r="B674" s="6" t="s">
        <v>93</v>
      </c>
      <c r="C674" s="6" t="s">
        <v>99</v>
      </c>
      <c r="D674" s="0" t="n">
        <v>289.121278797788</v>
      </c>
      <c r="E674" s="0" t="n">
        <v>4.680909091</v>
      </c>
      <c r="F674" s="0" t="n">
        <v>1</v>
      </c>
      <c r="G674" s="0" t="n">
        <v>0</v>
      </c>
      <c r="H674" s="0" t="n">
        <v>0</v>
      </c>
      <c r="I674" s="0" t="n">
        <v>1</v>
      </c>
      <c r="J674" s="0" t="n">
        <v>0</v>
      </c>
      <c r="K674" s="0" t="n">
        <v>2</v>
      </c>
      <c r="L674" s="0" t="n">
        <v>1</v>
      </c>
    </row>
    <row r="675" customFormat="false" ht="15" hidden="false" customHeight="false" outlineLevel="0" collapsed="false">
      <c r="A675" s="5" t="n">
        <v>40316</v>
      </c>
      <c r="B675" s="6" t="s">
        <v>93</v>
      </c>
      <c r="C675" s="6" t="s">
        <v>99</v>
      </c>
      <c r="D675" s="0" t="n">
        <v>311.481392482803</v>
      </c>
      <c r="E675" s="0" t="n">
        <v>4.062727273</v>
      </c>
      <c r="F675" s="0" t="n">
        <v>1</v>
      </c>
      <c r="G675" s="0" t="n">
        <v>0</v>
      </c>
      <c r="H675" s="0" t="n">
        <v>0</v>
      </c>
      <c r="I675" s="0" t="n">
        <v>1</v>
      </c>
      <c r="J675" s="0" t="n">
        <v>0</v>
      </c>
      <c r="K675" s="0" t="n">
        <v>2</v>
      </c>
      <c r="L675" s="0" t="n">
        <v>1</v>
      </c>
    </row>
    <row r="676" customFormat="false" ht="15" hidden="false" customHeight="false" outlineLevel="0" collapsed="false">
      <c r="A676" s="5" t="n">
        <v>40323</v>
      </c>
      <c r="B676" s="6" t="s">
        <v>93</v>
      </c>
      <c r="C676" s="6" t="s">
        <v>99</v>
      </c>
      <c r="D676" s="0" t="n">
        <v>260.138713681469</v>
      </c>
      <c r="E676" s="0" t="n">
        <v>4.062727273</v>
      </c>
      <c r="F676" s="0" t="n">
        <v>1</v>
      </c>
      <c r="G676" s="0" t="n">
        <v>0</v>
      </c>
      <c r="H676" s="0" t="n">
        <v>0</v>
      </c>
      <c r="I676" s="0" t="n">
        <v>0</v>
      </c>
      <c r="J676" s="0" t="n">
        <v>1</v>
      </c>
      <c r="K676" s="0" t="n">
        <v>2</v>
      </c>
      <c r="L676" s="0" t="n">
        <v>1</v>
      </c>
    </row>
    <row r="677" customFormat="false" ht="15" hidden="false" customHeight="false" outlineLevel="0" collapsed="false">
      <c r="A677" s="5" t="n">
        <v>40330</v>
      </c>
      <c r="B677" s="6" t="s">
        <v>93</v>
      </c>
      <c r="C677" s="6" t="s">
        <v>99</v>
      </c>
      <c r="D677" s="0" t="n">
        <v>301.972105083035</v>
      </c>
      <c r="E677" s="0" t="n">
        <v>4.29</v>
      </c>
      <c r="F677" s="0" t="n">
        <v>1</v>
      </c>
      <c r="G677" s="0" t="n">
        <v>0</v>
      </c>
      <c r="H677" s="0" t="n">
        <v>0</v>
      </c>
      <c r="I677" s="0" t="n">
        <v>0</v>
      </c>
      <c r="J677" s="0" t="n">
        <v>1</v>
      </c>
      <c r="K677" s="0" t="n">
        <v>2</v>
      </c>
      <c r="L677" s="0" t="n">
        <v>1</v>
      </c>
    </row>
    <row r="678" customFormat="false" ht="15" hidden="false" customHeight="false" outlineLevel="0" collapsed="false">
      <c r="A678" s="5" t="n">
        <v>40337</v>
      </c>
      <c r="B678" s="6" t="s">
        <v>93</v>
      </c>
      <c r="C678" s="6" t="s">
        <v>99</v>
      </c>
      <c r="D678" s="0" t="n">
        <v>301.022556440908</v>
      </c>
      <c r="E678" s="0" t="n">
        <v>4.604545455</v>
      </c>
      <c r="F678" s="0" t="n">
        <v>1</v>
      </c>
      <c r="G678" s="0" t="n">
        <v>0</v>
      </c>
      <c r="H678" s="0" t="n">
        <v>0</v>
      </c>
      <c r="I678" s="0" t="n">
        <v>0</v>
      </c>
      <c r="J678" s="0" t="n">
        <v>0</v>
      </c>
      <c r="K678" s="0" t="n">
        <v>2</v>
      </c>
      <c r="L678" s="0" t="n">
        <v>1</v>
      </c>
    </row>
    <row r="679" customFormat="false" ht="15" hidden="false" customHeight="false" outlineLevel="0" collapsed="false">
      <c r="A679" s="5" t="n">
        <v>40344</v>
      </c>
      <c r="B679" s="6" t="s">
        <v>93</v>
      </c>
      <c r="C679" s="6" t="s">
        <v>99</v>
      </c>
      <c r="D679" s="0" t="n">
        <v>223.206160000532</v>
      </c>
      <c r="E679" s="0" t="n">
        <v>4.32</v>
      </c>
      <c r="F679" s="0" t="n">
        <v>1</v>
      </c>
      <c r="G679" s="0" t="n">
        <v>0</v>
      </c>
      <c r="H679" s="0" t="n">
        <v>0</v>
      </c>
      <c r="I679" s="0" t="n">
        <v>0</v>
      </c>
      <c r="J679" s="0" t="n">
        <v>0</v>
      </c>
      <c r="K679" s="0" t="n">
        <v>2</v>
      </c>
      <c r="L679" s="0" t="n">
        <v>1</v>
      </c>
    </row>
    <row r="680" customFormat="false" ht="15" hidden="false" customHeight="false" outlineLevel="0" collapsed="false">
      <c r="A680" s="5" t="n">
        <v>40351</v>
      </c>
      <c r="B680" s="6" t="s">
        <v>93</v>
      </c>
      <c r="C680" s="6" t="s">
        <v>99</v>
      </c>
      <c r="D680" s="0" t="n">
        <v>246.452850365609</v>
      </c>
      <c r="E680" s="0" t="n">
        <v>4.598333333</v>
      </c>
      <c r="F680" s="0" t="n">
        <v>1</v>
      </c>
      <c r="G680" s="0" t="n">
        <v>0</v>
      </c>
      <c r="H680" s="0" t="n">
        <v>0</v>
      </c>
      <c r="I680" s="0" t="n">
        <v>0</v>
      </c>
      <c r="J680" s="0" t="n">
        <v>0</v>
      </c>
      <c r="K680" s="0" t="n">
        <v>2</v>
      </c>
      <c r="L680" s="0" t="n">
        <v>1</v>
      </c>
    </row>
    <row r="681" customFormat="false" ht="15" hidden="false" customHeight="false" outlineLevel="0" collapsed="false">
      <c r="A681" s="5" t="n">
        <v>40358</v>
      </c>
      <c r="B681" s="6" t="s">
        <v>93</v>
      </c>
      <c r="C681" s="6" t="s">
        <v>99</v>
      </c>
      <c r="D681" s="0" t="n">
        <v>223.32784024475</v>
      </c>
      <c r="E681" s="0" t="n">
        <v>4.111818182</v>
      </c>
      <c r="F681" s="0" t="n">
        <v>1</v>
      </c>
      <c r="G681" s="0" t="n">
        <v>0</v>
      </c>
      <c r="H681" s="0" t="n">
        <v>0</v>
      </c>
      <c r="I681" s="0" t="n">
        <v>0</v>
      </c>
      <c r="J681" s="0" t="n">
        <v>0</v>
      </c>
      <c r="K681" s="0" t="n">
        <v>2</v>
      </c>
      <c r="L681" s="0" t="n">
        <v>1</v>
      </c>
    </row>
    <row r="682" customFormat="false" ht="15" hidden="false" customHeight="false" outlineLevel="0" collapsed="false">
      <c r="A682" s="5" t="n">
        <v>40365</v>
      </c>
      <c r="B682" s="6" t="s">
        <v>93</v>
      </c>
      <c r="C682" s="6" t="s">
        <v>99</v>
      </c>
      <c r="D682" s="0" t="n">
        <v>276.779009890334</v>
      </c>
      <c r="E682" s="0" t="n">
        <v>3.96</v>
      </c>
      <c r="F682" s="0" t="n">
        <v>1</v>
      </c>
      <c r="G682" s="0" t="n">
        <v>0</v>
      </c>
      <c r="H682" s="0" t="n">
        <v>0</v>
      </c>
      <c r="I682" s="0" t="n">
        <v>0</v>
      </c>
      <c r="J682" s="0" t="n">
        <v>0</v>
      </c>
      <c r="K682" s="0" t="n">
        <v>2</v>
      </c>
      <c r="L682" s="0" t="n">
        <v>1</v>
      </c>
    </row>
    <row r="683" customFormat="false" ht="15" hidden="false" customHeight="false" outlineLevel="0" collapsed="false">
      <c r="A683" s="5" t="n">
        <v>40372</v>
      </c>
      <c r="B683" s="6" t="s">
        <v>93</v>
      </c>
      <c r="C683" s="6" t="s">
        <v>99</v>
      </c>
      <c r="D683" s="0" t="n">
        <v>268.593039903425</v>
      </c>
      <c r="E683" s="0" t="n">
        <v>3.96</v>
      </c>
      <c r="F683" s="0" t="n">
        <v>1</v>
      </c>
      <c r="G683" s="0" t="n">
        <v>0</v>
      </c>
      <c r="H683" s="0" t="n">
        <v>0</v>
      </c>
      <c r="I683" s="0" t="n">
        <v>0</v>
      </c>
      <c r="J683" s="0" t="n">
        <v>0</v>
      </c>
      <c r="K683" s="0" t="n">
        <v>2</v>
      </c>
      <c r="L683" s="0" t="n">
        <v>1</v>
      </c>
    </row>
    <row r="684" customFormat="false" ht="15" hidden="false" customHeight="false" outlineLevel="0" collapsed="false">
      <c r="A684" s="5" t="n">
        <v>40302</v>
      </c>
      <c r="B684" s="6" t="s">
        <v>93</v>
      </c>
      <c r="C684" s="6" t="s">
        <v>100</v>
      </c>
      <c r="D684" s="0" t="n">
        <v>287.796295460026</v>
      </c>
      <c r="E684" s="0" t="n">
        <v>4.59</v>
      </c>
      <c r="F684" s="0" t="n">
        <v>1</v>
      </c>
      <c r="G684" s="0" t="n">
        <v>0</v>
      </c>
      <c r="H684" s="0" t="n">
        <v>0</v>
      </c>
      <c r="I684" s="0" t="n">
        <v>0</v>
      </c>
      <c r="J684" s="0" t="n">
        <v>0</v>
      </c>
      <c r="K684" s="0" t="n">
        <v>3</v>
      </c>
      <c r="L684" s="0" t="n">
        <v>0</v>
      </c>
    </row>
    <row r="685" customFormat="false" ht="15" hidden="false" customHeight="false" outlineLevel="0" collapsed="false">
      <c r="A685" s="5" t="n">
        <v>40309</v>
      </c>
      <c r="B685" s="6" t="s">
        <v>93</v>
      </c>
      <c r="C685" s="6" t="s">
        <v>100</v>
      </c>
      <c r="D685" s="0" t="n">
        <v>280.224475856021</v>
      </c>
      <c r="E685" s="0" t="n">
        <v>4.59</v>
      </c>
      <c r="F685" s="0" t="n">
        <v>1</v>
      </c>
      <c r="G685" s="0" t="n">
        <v>0</v>
      </c>
      <c r="H685" s="0" t="n">
        <v>0</v>
      </c>
      <c r="I685" s="0" t="n">
        <v>0</v>
      </c>
      <c r="J685" s="0" t="n">
        <v>0</v>
      </c>
      <c r="K685" s="0" t="n">
        <v>3</v>
      </c>
      <c r="L685" s="0" t="n">
        <v>0</v>
      </c>
    </row>
    <row r="686" customFormat="false" ht="15" hidden="false" customHeight="false" outlineLevel="0" collapsed="false">
      <c r="A686" s="5" t="n">
        <v>40316</v>
      </c>
      <c r="B686" s="6" t="s">
        <v>93</v>
      </c>
      <c r="C686" s="6" t="s">
        <v>100</v>
      </c>
      <c r="D686" s="0" t="n">
        <v>314.64079844727</v>
      </c>
      <c r="E686" s="0" t="n">
        <v>3.901111111</v>
      </c>
      <c r="F686" s="0" t="n">
        <v>1</v>
      </c>
      <c r="G686" s="0" t="n">
        <v>0</v>
      </c>
      <c r="H686" s="0" t="n">
        <v>0</v>
      </c>
      <c r="I686" s="0" t="n">
        <v>0</v>
      </c>
      <c r="J686" s="0" t="n">
        <v>0</v>
      </c>
      <c r="K686" s="0" t="n">
        <v>3</v>
      </c>
      <c r="L686" s="0" t="n">
        <v>0</v>
      </c>
    </row>
    <row r="687" customFormat="false" ht="15" hidden="false" customHeight="false" outlineLevel="0" collapsed="false">
      <c r="A687" s="5" t="n">
        <v>40323</v>
      </c>
      <c r="B687" s="6" t="s">
        <v>93</v>
      </c>
      <c r="C687" s="6" t="s">
        <v>100</v>
      </c>
      <c r="D687" s="0" t="n">
        <v>223.71117533238</v>
      </c>
      <c r="E687" s="0" t="n">
        <v>4.19</v>
      </c>
      <c r="F687" s="0" t="n">
        <v>1</v>
      </c>
      <c r="G687" s="0" t="n">
        <v>0</v>
      </c>
      <c r="H687" s="0" t="n">
        <v>0</v>
      </c>
      <c r="I687" s="0" t="n">
        <v>0</v>
      </c>
      <c r="J687" s="0" t="n">
        <v>0</v>
      </c>
      <c r="K687" s="0" t="n">
        <v>3</v>
      </c>
      <c r="L687" s="0" t="n">
        <v>0</v>
      </c>
    </row>
    <row r="688" customFormat="false" ht="15" hidden="false" customHeight="false" outlineLevel="0" collapsed="false">
      <c r="A688" s="5" t="n">
        <v>40330</v>
      </c>
      <c r="B688" s="6" t="s">
        <v>93</v>
      </c>
      <c r="C688" s="6" t="s">
        <v>100</v>
      </c>
      <c r="D688" s="0" t="n">
        <v>192.681365934027</v>
      </c>
      <c r="E688" s="0" t="n">
        <v>3.901111111</v>
      </c>
      <c r="F688" s="0" t="n">
        <v>1</v>
      </c>
      <c r="G688" s="0" t="n">
        <v>0</v>
      </c>
      <c r="H688" s="0" t="n">
        <v>0</v>
      </c>
      <c r="I688" s="0" t="n">
        <v>0</v>
      </c>
      <c r="J688" s="0" t="n">
        <v>0</v>
      </c>
      <c r="K688" s="0" t="n">
        <v>3</v>
      </c>
      <c r="L688" s="0" t="n">
        <v>0</v>
      </c>
    </row>
    <row r="689" customFormat="false" ht="15" hidden="false" customHeight="false" outlineLevel="0" collapsed="false">
      <c r="A689" s="5" t="n">
        <v>40337</v>
      </c>
      <c r="B689" s="6" t="s">
        <v>93</v>
      </c>
      <c r="C689" s="6" t="s">
        <v>100</v>
      </c>
      <c r="D689" s="0" t="n">
        <v>169.334527373481</v>
      </c>
      <c r="E689" s="0" t="n">
        <v>4.222222222</v>
      </c>
      <c r="F689" s="0" t="n">
        <v>1</v>
      </c>
      <c r="G689" s="0" t="n">
        <v>0</v>
      </c>
      <c r="H689" s="0" t="n">
        <v>0</v>
      </c>
      <c r="I689" s="0" t="n">
        <v>0</v>
      </c>
      <c r="J689" s="0" t="n">
        <v>0</v>
      </c>
      <c r="K689" s="0" t="n">
        <v>3</v>
      </c>
      <c r="L689" s="0" t="n">
        <v>0</v>
      </c>
    </row>
    <row r="690" customFormat="false" ht="15" hidden="false" customHeight="false" outlineLevel="0" collapsed="false">
      <c r="A690" s="5" t="n">
        <v>40344</v>
      </c>
      <c r="B690" s="6" t="s">
        <v>93</v>
      </c>
      <c r="C690" s="6" t="s">
        <v>100</v>
      </c>
      <c r="D690" s="0" t="n">
        <v>249.792049272943</v>
      </c>
      <c r="E690" s="0" t="n">
        <v>4.534444444</v>
      </c>
      <c r="F690" s="0" t="n">
        <v>1</v>
      </c>
      <c r="G690" s="0" t="n">
        <v>0</v>
      </c>
      <c r="H690" s="0" t="n">
        <v>0</v>
      </c>
      <c r="I690" s="0" t="n">
        <v>0</v>
      </c>
      <c r="J690" s="0" t="n">
        <v>0</v>
      </c>
      <c r="K690" s="0" t="n">
        <v>3</v>
      </c>
      <c r="L690" s="0" t="n">
        <v>0</v>
      </c>
    </row>
    <row r="691" customFormat="false" ht="15" hidden="false" customHeight="false" outlineLevel="0" collapsed="false">
      <c r="A691" s="5" t="n">
        <v>40351</v>
      </c>
      <c r="B691" s="6" t="s">
        <v>93</v>
      </c>
      <c r="C691" s="6" t="s">
        <v>100</v>
      </c>
      <c r="D691" s="0" t="n">
        <v>159.104393440132</v>
      </c>
      <c r="E691" s="0" t="n">
        <v>4.56</v>
      </c>
      <c r="F691" s="0" t="n">
        <v>1</v>
      </c>
      <c r="G691" s="0" t="n">
        <v>0</v>
      </c>
      <c r="H691" s="0" t="n">
        <v>0</v>
      </c>
      <c r="I691" s="0" t="n">
        <v>0</v>
      </c>
      <c r="J691" s="0" t="n">
        <v>0</v>
      </c>
      <c r="K691" s="0" t="n">
        <v>3</v>
      </c>
      <c r="L691" s="0" t="n">
        <v>0</v>
      </c>
    </row>
    <row r="692" customFormat="false" ht="15" hidden="false" customHeight="false" outlineLevel="0" collapsed="false">
      <c r="A692" s="5" t="n">
        <v>40358</v>
      </c>
      <c r="B692" s="6" t="s">
        <v>93</v>
      </c>
      <c r="C692" s="6" t="s">
        <v>100</v>
      </c>
      <c r="D692" s="0" t="n">
        <v>226.899353768905</v>
      </c>
      <c r="E692" s="0" t="n">
        <v>4.178888889</v>
      </c>
      <c r="F692" s="0" t="n">
        <v>1</v>
      </c>
      <c r="G692" s="0" t="n">
        <v>0</v>
      </c>
      <c r="H692" s="0" t="n">
        <v>0</v>
      </c>
      <c r="I692" s="0" t="n">
        <v>0</v>
      </c>
      <c r="J692" s="0" t="n">
        <v>0</v>
      </c>
      <c r="K692" s="0" t="n">
        <v>3</v>
      </c>
      <c r="L692" s="0" t="n">
        <v>0</v>
      </c>
    </row>
    <row r="693" customFormat="false" ht="15" hidden="false" customHeight="false" outlineLevel="0" collapsed="false">
      <c r="A693" s="5" t="n">
        <v>40365</v>
      </c>
      <c r="B693" s="6" t="s">
        <v>93</v>
      </c>
      <c r="C693" s="6" t="s">
        <v>100</v>
      </c>
      <c r="D693" s="0" t="n">
        <v>252.183449405112</v>
      </c>
      <c r="E693" s="0" t="n">
        <v>3.99</v>
      </c>
      <c r="F693" s="0" t="n">
        <v>1</v>
      </c>
      <c r="G693" s="0" t="n">
        <v>0</v>
      </c>
      <c r="H693" s="0" t="n">
        <v>0</v>
      </c>
      <c r="I693" s="0" t="n">
        <v>0</v>
      </c>
      <c r="J693" s="0" t="n">
        <v>0</v>
      </c>
      <c r="K693" s="0" t="n">
        <v>3</v>
      </c>
      <c r="L693" s="0" t="n">
        <v>0</v>
      </c>
    </row>
    <row r="694" customFormat="false" ht="15" hidden="false" customHeight="false" outlineLevel="0" collapsed="false">
      <c r="A694" s="5" t="n">
        <v>40372</v>
      </c>
      <c r="B694" s="6" t="s">
        <v>93</v>
      </c>
      <c r="C694" s="6" t="s">
        <v>100</v>
      </c>
      <c r="D694" s="0" t="n">
        <v>284.162550252956</v>
      </c>
      <c r="E694" s="0" t="n">
        <v>3.99</v>
      </c>
      <c r="F694" s="0" t="n">
        <v>1</v>
      </c>
      <c r="G694" s="0" t="n">
        <v>0</v>
      </c>
      <c r="H694" s="0" t="n">
        <v>0</v>
      </c>
      <c r="I694" s="0" t="n">
        <v>0</v>
      </c>
      <c r="J694" s="0" t="n">
        <v>0</v>
      </c>
      <c r="K694" s="0" t="n">
        <v>3</v>
      </c>
      <c r="L694" s="0" t="n">
        <v>0</v>
      </c>
    </row>
    <row r="695" customFormat="false" ht="15" hidden="false" customHeight="false" outlineLevel="0" collapsed="false">
      <c r="A695" s="5" t="n">
        <v>40302</v>
      </c>
      <c r="B695" s="6" t="s">
        <v>93</v>
      </c>
      <c r="C695" s="6" t="s">
        <v>101</v>
      </c>
      <c r="D695" s="0" t="n">
        <v>274.467198643044</v>
      </c>
      <c r="E695" s="0" t="n">
        <v>4.87</v>
      </c>
      <c r="F695" s="0" t="n">
        <v>1</v>
      </c>
      <c r="G695" s="0" t="n">
        <v>0</v>
      </c>
      <c r="H695" s="0" t="n">
        <v>0</v>
      </c>
      <c r="I695" s="0" t="n">
        <v>1</v>
      </c>
      <c r="J695" s="0" t="n">
        <v>0</v>
      </c>
      <c r="K695" s="0" t="n">
        <v>1</v>
      </c>
      <c r="L695" s="0" t="n">
        <v>3</v>
      </c>
    </row>
    <row r="696" customFormat="false" ht="15" hidden="false" customHeight="false" outlineLevel="0" collapsed="false">
      <c r="A696" s="5" t="n">
        <v>40309</v>
      </c>
      <c r="B696" s="6" t="s">
        <v>93</v>
      </c>
      <c r="C696" s="6" t="s">
        <v>101</v>
      </c>
      <c r="D696" s="0" t="n">
        <v>306.910566107299</v>
      </c>
      <c r="E696" s="0" t="n">
        <v>4.87</v>
      </c>
      <c r="F696" s="0" t="n">
        <v>1</v>
      </c>
      <c r="G696" s="0" t="n">
        <v>0</v>
      </c>
      <c r="H696" s="0" t="n">
        <v>0</v>
      </c>
      <c r="I696" s="0" t="n">
        <v>1</v>
      </c>
      <c r="J696" s="0" t="n">
        <v>0</v>
      </c>
      <c r="K696" s="0" t="n">
        <v>1</v>
      </c>
      <c r="L696" s="0" t="n">
        <v>3</v>
      </c>
    </row>
    <row r="697" customFormat="false" ht="15" hidden="false" customHeight="false" outlineLevel="0" collapsed="false">
      <c r="A697" s="5" t="n">
        <v>40316</v>
      </c>
      <c r="B697" s="6" t="s">
        <v>93</v>
      </c>
      <c r="C697" s="6" t="s">
        <v>101</v>
      </c>
      <c r="D697" s="0" t="n">
        <v>367.714065098252</v>
      </c>
      <c r="E697" s="0" t="n">
        <v>4.55</v>
      </c>
      <c r="F697" s="0" t="n">
        <v>1</v>
      </c>
      <c r="G697" s="0" t="n">
        <v>0</v>
      </c>
      <c r="H697" s="0" t="n">
        <v>0</v>
      </c>
      <c r="I697" s="0" t="n">
        <v>0</v>
      </c>
      <c r="J697" s="0" t="n">
        <v>1</v>
      </c>
      <c r="K697" s="0" t="n">
        <v>1</v>
      </c>
      <c r="L697" s="0" t="n">
        <v>3</v>
      </c>
    </row>
    <row r="698" customFormat="false" ht="15" hidden="false" customHeight="false" outlineLevel="0" collapsed="false">
      <c r="A698" s="5" t="n">
        <v>40323</v>
      </c>
      <c r="B698" s="6" t="s">
        <v>93</v>
      </c>
      <c r="C698" s="6" t="s">
        <v>101</v>
      </c>
      <c r="D698" s="0" t="n">
        <v>276.849438758382</v>
      </c>
      <c r="E698" s="0" t="n">
        <v>4.55</v>
      </c>
      <c r="F698" s="0" t="n">
        <v>1</v>
      </c>
      <c r="G698" s="0" t="n">
        <v>0</v>
      </c>
      <c r="H698" s="0" t="n">
        <v>0</v>
      </c>
      <c r="I698" s="0" t="n">
        <v>0</v>
      </c>
      <c r="J698" s="0" t="n">
        <v>1</v>
      </c>
      <c r="K698" s="0" t="n">
        <v>1</v>
      </c>
      <c r="L698" s="0" t="n">
        <v>3</v>
      </c>
    </row>
    <row r="699" customFormat="false" ht="15" hidden="false" customHeight="false" outlineLevel="0" collapsed="false">
      <c r="A699" s="5" t="n">
        <v>40330</v>
      </c>
      <c r="B699" s="6" t="s">
        <v>93</v>
      </c>
      <c r="C699" s="6" t="s">
        <v>101</v>
      </c>
      <c r="D699" s="0" t="n">
        <v>196.713476898536</v>
      </c>
      <c r="E699" s="0" t="n">
        <v>4.55</v>
      </c>
      <c r="F699" s="0" t="n">
        <v>1</v>
      </c>
      <c r="G699" s="0" t="n">
        <v>0</v>
      </c>
      <c r="H699" s="0" t="n">
        <v>0</v>
      </c>
      <c r="I699" s="0" t="n">
        <v>0</v>
      </c>
      <c r="J699" s="0" t="n">
        <v>0</v>
      </c>
      <c r="K699" s="0" t="n">
        <v>1</v>
      </c>
      <c r="L699" s="0" t="n">
        <v>3</v>
      </c>
    </row>
    <row r="700" customFormat="false" ht="15" hidden="false" customHeight="false" outlineLevel="0" collapsed="false">
      <c r="A700" s="5" t="n">
        <v>40337</v>
      </c>
      <c r="B700" s="6" t="s">
        <v>93</v>
      </c>
      <c r="C700" s="6" t="s">
        <v>101</v>
      </c>
      <c r="D700" s="0" t="n">
        <v>231.294739270578</v>
      </c>
      <c r="E700" s="0" t="n">
        <v>4.623333333</v>
      </c>
      <c r="F700" s="0" t="n">
        <v>1</v>
      </c>
      <c r="G700" s="0" t="n">
        <v>0</v>
      </c>
      <c r="H700" s="0" t="n">
        <v>0</v>
      </c>
      <c r="I700" s="0" t="n">
        <v>0</v>
      </c>
      <c r="J700" s="0" t="n">
        <v>0</v>
      </c>
      <c r="K700" s="0" t="n">
        <v>1</v>
      </c>
      <c r="L700" s="0" t="n">
        <v>3</v>
      </c>
    </row>
    <row r="701" customFormat="false" ht="15" hidden="false" customHeight="false" outlineLevel="0" collapsed="false">
      <c r="A701" s="5" t="n">
        <v>40344</v>
      </c>
      <c r="B701" s="6" t="s">
        <v>93</v>
      </c>
      <c r="C701" s="6" t="s">
        <v>101</v>
      </c>
      <c r="D701" s="0" t="n">
        <v>265.904492772442</v>
      </c>
      <c r="E701" s="0" t="n">
        <v>4.944545455</v>
      </c>
      <c r="F701" s="0" t="n">
        <v>1</v>
      </c>
      <c r="G701" s="0" t="n">
        <v>0</v>
      </c>
      <c r="H701" s="0" t="n">
        <v>0</v>
      </c>
      <c r="I701" s="0" t="n">
        <v>0</v>
      </c>
      <c r="J701" s="0" t="n">
        <v>0</v>
      </c>
      <c r="K701" s="0" t="n">
        <v>1</v>
      </c>
      <c r="L701" s="0" t="n">
        <v>3</v>
      </c>
    </row>
    <row r="702" customFormat="false" ht="15" hidden="false" customHeight="false" outlineLevel="0" collapsed="false">
      <c r="A702" s="5" t="n">
        <v>40351</v>
      </c>
      <c r="B702" s="6" t="s">
        <v>93</v>
      </c>
      <c r="C702" s="6" t="s">
        <v>101</v>
      </c>
      <c r="D702" s="0" t="n">
        <v>312.810869866985</v>
      </c>
      <c r="E702" s="0" t="n">
        <v>4.859230769</v>
      </c>
      <c r="F702" s="0" t="n">
        <v>1</v>
      </c>
      <c r="G702" s="0" t="n">
        <v>0</v>
      </c>
      <c r="H702" s="0" t="n">
        <v>0</v>
      </c>
      <c r="I702" s="0" t="n">
        <v>0</v>
      </c>
      <c r="J702" s="0" t="n">
        <v>0</v>
      </c>
      <c r="K702" s="0" t="n">
        <v>1</v>
      </c>
      <c r="L702" s="0" t="n">
        <v>3</v>
      </c>
    </row>
    <row r="703" customFormat="false" ht="15" hidden="false" customHeight="false" outlineLevel="0" collapsed="false">
      <c r="A703" s="5" t="n">
        <v>40358</v>
      </c>
      <c r="B703" s="6" t="s">
        <v>93</v>
      </c>
      <c r="C703" s="6" t="s">
        <v>101</v>
      </c>
      <c r="D703" s="0" t="n">
        <v>244.898589926268</v>
      </c>
      <c r="E703" s="0" t="n">
        <v>4.859230769</v>
      </c>
      <c r="F703" s="0" t="n">
        <v>1</v>
      </c>
      <c r="G703" s="0" t="n">
        <v>0</v>
      </c>
      <c r="H703" s="0" t="n">
        <v>0</v>
      </c>
      <c r="I703" s="0" t="n">
        <v>0</v>
      </c>
      <c r="J703" s="0" t="n">
        <v>0</v>
      </c>
      <c r="K703" s="0" t="n">
        <v>1</v>
      </c>
      <c r="L703" s="0" t="n">
        <v>3</v>
      </c>
    </row>
    <row r="704" customFormat="false" ht="15" hidden="false" customHeight="false" outlineLevel="0" collapsed="false">
      <c r="A704" s="5" t="n">
        <v>40365</v>
      </c>
      <c r="B704" s="6" t="s">
        <v>93</v>
      </c>
      <c r="C704" s="6" t="s">
        <v>101</v>
      </c>
      <c r="D704" s="0" t="n">
        <v>206.597447097145</v>
      </c>
      <c r="E704" s="0" t="n">
        <v>4.728461538</v>
      </c>
      <c r="F704" s="0" t="n">
        <v>1</v>
      </c>
      <c r="G704" s="0" t="n">
        <v>0</v>
      </c>
      <c r="H704" s="0" t="n">
        <v>0</v>
      </c>
      <c r="I704" s="0" t="n">
        <v>0</v>
      </c>
      <c r="J704" s="0" t="n">
        <v>0</v>
      </c>
      <c r="K704" s="0" t="n">
        <v>1</v>
      </c>
      <c r="L704" s="0" t="n">
        <v>3</v>
      </c>
    </row>
    <row r="705" customFormat="false" ht="15" hidden="false" customHeight="false" outlineLevel="0" collapsed="false">
      <c r="A705" s="5" t="n">
        <v>40372</v>
      </c>
      <c r="B705" s="6" t="s">
        <v>93</v>
      </c>
      <c r="C705" s="6" t="s">
        <v>101</v>
      </c>
      <c r="D705" s="0" t="n">
        <v>325.825477699304</v>
      </c>
      <c r="E705" s="0" t="n">
        <v>4.728461538</v>
      </c>
      <c r="F705" s="0" t="n">
        <v>1</v>
      </c>
      <c r="G705" s="0" t="n">
        <v>0</v>
      </c>
      <c r="H705" s="0" t="n">
        <v>0</v>
      </c>
      <c r="I705" s="0" t="n">
        <v>0</v>
      </c>
      <c r="J705" s="0" t="n">
        <v>0</v>
      </c>
      <c r="K705" s="0" t="n">
        <v>1</v>
      </c>
      <c r="L705" s="0" t="n">
        <v>3</v>
      </c>
    </row>
    <row r="706" customFormat="false" ht="15" hidden="false" customHeight="false" outlineLevel="0" collapsed="false">
      <c r="A706" s="5" t="n">
        <v>40302</v>
      </c>
      <c r="B706" s="6" t="s">
        <v>93</v>
      </c>
      <c r="C706" s="6" t="s">
        <v>102</v>
      </c>
      <c r="D706" s="0" t="n">
        <v>271.986858559626</v>
      </c>
      <c r="E706" s="0" t="n">
        <v>4.79</v>
      </c>
      <c r="F706" s="0" t="n">
        <v>1</v>
      </c>
      <c r="G706" s="0" t="n">
        <v>0</v>
      </c>
      <c r="H706" s="0" t="n">
        <v>0</v>
      </c>
      <c r="I706" s="0" t="n">
        <v>0</v>
      </c>
      <c r="J706" s="0" t="n">
        <v>0</v>
      </c>
      <c r="K706" s="0" t="n">
        <v>1</v>
      </c>
      <c r="L706" s="0" t="n">
        <v>1</v>
      </c>
    </row>
    <row r="707" customFormat="false" ht="15" hidden="false" customHeight="false" outlineLevel="0" collapsed="false">
      <c r="A707" s="5" t="n">
        <v>40309</v>
      </c>
      <c r="B707" s="6" t="s">
        <v>93</v>
      </c>
      <c r="C707" s="6" t="s">
        <v>102</v>
      </c>
      <c r="D707" s="0" t="n">
        <v>211.821610246487</v>
      </c>
      <c r="E707" s="0" t="n">
        <v>4.79</v>
      </c>
      <c r="F707" s="0" t="n">
        <v>1</v>
      </c>
      <c r="G707" s="0" t="n">
        <v>0</v>
      </c>
      <c r="H707" s="0" t="n">
        <v>0</v>
      </c>
      <c r="I707" s="0" t="n">
        <v>0</v>
      </c>
      <c r="J707" s="0" t="n">
        <v>0</v>
      </c>
      <c r="K707" s="0" t="n">
        <v>1</v>
      </c>
      <c r="L707" s="0" t="n">
        <v>1</v>
      </c>
    </row>
    <row r="708" customFormat="false" ht="15" hidden="false" customHeight="false" outlineLevel="0" collapsed="false">
      <c r="A708" s="5" t="n">
        <v>40316</v>
      </c>
      <c r="B708" s="6" t="s">
        <v>93</v>
      </c>
      <c r="C708" s="6" t="s">
        <v>102</v>
      </c>
      <c r="D708" s="0" t="n">
        <v>296.291778899209</v>
      </c>
      <c r="E708" s="0" t="n">
        <v>4.482307692</v>
      </c>
      <c r="F708" s="0" t="n">
        <v>1</v>
      </c>
      <c r="G708" s="0" t="n">
        <v>0</v>
      </c>
      <c r="H708" s="0" t="n">
        <v>1</v>
      </c>
      <c r="I708" s="0" t="n">
        <v>0</v>
      </c>
      <c r="J708" s="0" t="n">
        <v>0</v>
      </c>
      <c r="K708" s="0" t="n">
        <v>1</v>
      </c>
      <c r="L708" s="0" t="n">
        <v>1</v>
      </c>
    </row>
    <row r="709" customFormat="false" ht="15" hidden="false" customHeight="false" outlineLevel="0" collapsed="false">
      <c r="A709" s="5" t="n">
        <v>40323</v>
      </c>
      <c r="B709" s="6" t="s">
        <v>93</v>
      </c>
      <c r="C709" s="6" t="s">
        <v>102</v>
      </c>
      <c r="D709" s="0" t="n">
        <v>351.67272160725</v>
      </c>
      <c r="E709" s="0" t="n">
        <v>4.482307692</v>
      </c>
      <c r="F709" s="0" t="n">
        <v>1</v>
      </c>
      <c r="G709" s="0" t="n">
        <v>0</v>
      </c>
      <c r="H709" s="0" t="n">
        <v>0</v>
      </c>
      <c r="I709" s="0" t="n">
        <v>1</v>
      </c>
      <c r="J709" s="0" t="n">
        <v>0</v>
      </c>
      <c r="K709" s="0" t="n">
        <v>1</v>
      </c>
      <c r="L709" s="0" t="n">
        <v>1</v>
      </c>
    </row>
    <row r="710" customFormat="false" ht="15" hidden="false" customHeight="false" outlineLevel="0" collapsed="false">
      <c r="A710" s="5" t="n">
        <v>40330</v>
      </c>
      <c r="B710" s="6" t="s">
        <v>93</v>
      </c>
      <c r="C710" s="6" t="s">
        <v>102</v>
      </c>
      <c r="D710" s="0" t="n">
        <v>480.661682295321</v>
      </c>
      <c r="E710" s="0" t="n">
        <v>4.482307692</v>
      </c>
      <c r="F710" s="0" t="n">
        <v>1</v>
      </c>
      <c r="G710" s="0" t="n">
        <v>0</v>
      </c>
      <c r="H710" s="0" t="n">
        <v>1</v>
      </c>
      <c r="I710" s="0" t="n">
        <v>1</v>
      </c>
      <c r="J710" s="0" t="n">
        <v>0</v>
      </c>
      <c r="K710" s="0" t="n">
        <v>1</v>
      </c>
      <c r="L710" s="0" t="n">
        <v>1</v>
      </c>
    </row>
    <row r="711" customFormat="false" ht="15" hidden="false" customHeight="false" outlineLevel="0" collapsed="false">
      <c r="A711" s="5" t="n">
        <v>40337</v>
      </c>
      <c r="B711" s="6" t="s">
        <v>93</v>
      </c>
      <c r="C711" s="6" t="s">
        <v>102</v>
      </c>
      <c r="D711" s="0" t="n">
        <v>405.280858461912</v>
      </c>
      <c r="E711" s="0" t="n">
        <v>4.888461538</v>
      </c>
      <c r="F711" s="0" t="n">
        <v>1</v>
      </c>
      <c r="G711" s="0" t="n">
        <v>0</v>
      </c>
      <c r="H711" s="0" t="n">
        <v>1</v>
      </c>
      <c r="I711" s="0" t="n">
        <v>1</v>
      </c>
      <c r="J711" s="0" t="n">
        <v>0</v>
      </c>
      <c r="K711" s="0" t="n">
        <v>1</v>
      </c>
      <c r="L711" s="0" t="n">
        <v>1</v>
      </c>
    </row>
    <row r="712" customFormat="false" ht="15" hidden="false" customHeight="false" outlineLevel="0" collapsed="false">
      <c r="A712" s="5" t="n">
        <v>40344</v>
      </c>
      <c r="B712" s="6" t="s">
        <v>93</v>
      </c>
      <c r="C712" s="6" t="s">
        <v>102</v>
      </c>
      <c r="D712" s="0" t="n">
        <v>320.550741998474</v>
      </c>
      <c r="E712" s="0" t="n">
        <v>4.859230769</v>
      </c>
      <c r="F712" s="0" t="n">
        <v>1</v>
      </c>
      <c r="G712" s="0" t="n">
        <v>0</v>
      </c>
      <c r="H712" s="0" t="n">
        <v>0</v>
      </c>
      <c r="I712" s="0" t="n">
        <v>1</v>
      </c>
      <c r="J712" s="0" t="n">
        <v>1</v>
      </c>
      <c r="K712" s="0" t="n">
        <v>1</v>
      </c>
      <c r="L712" s="0" t="n">
        <v>1</v>
      </c>
    </row>
    <row r="713" customFormat="false" ht="15" hidden="false" customHeight="false" outlineLevel="0" collapsed="false">
      <c r="A713" s="5" t="n">
        <v>40351</v>
      </c>
      <c r="B713" s="6" t="s">
        <v>93</v>
      </c>
      <c r="C713" s="6" t="s">
        <v>102</v>
      </c>
      <c r="D713" s="0" t="n">
        <v>508.396560804713</v>
      </c>
      <c r="E713" s="0" t="n">
        <v>4.598333333</v>
      </c>
      <c r="F713" s="0" t="n">
        <v>1</v>
      </c>
      <c r="G713" s="0" t="n">
        <v>0</v>
      </c>
      <c r="H713" s="0" t="n">
        <v>1</v>
      </c>
      <c r="I713" s="0" t="n">
        <v>1</v>
      </c>
      <c r="J713" s="0" t="n">
        <v>1</v>
      </c>
      <c r="K713" s="0" t="n">
        <v>1</v>
      </c>
      <c r="L713" s="0" t="n">
        <v>1</v>
      </c>
    </row>
    <row r="714" customFormat="false" ht="15" hidden="false" customHeight="false" outlineLevel="0" collapsed="false">
      <c r="A714" s="5" t="n">
        <v>40358</v>
      </c>
      <c r="B714" s="6" t="s">
        <v>93</v>
      </c>
      <c r="C714" s="6" t="s">
        <v>102</v>
      </c>
      <c r="D714" s="0" t="n">
        <v>298.111948596833</v>
      </c>
      <c r="E714" s="0" t="n">
        <v>4.859230769</v>
      </c>
      <c r="F714" s="0" t="n">
        <v>1</v>
      </c>
      <c r="G714" s="0" t="n">
        <v>0</v>
      </c>
      <c r="H714" s="0" t="n">
        <v>0</v>
      </c>
      <c r="I714" s="0" t="n">
        <v>1</v>
      </c>
      <c r="J714" s="0" t="n">
        <v>1</v>
      </c>
      <c r="K714" s="0" t="n">
        <v>1</v>
      </c>
      <c r="L714" s="0" t="n">
        <v>1</v>
      </c>
    </row>
    <row r="715" customFormat="false" ht="15" hidden="false" customHeight="false" outlineLevel="0" collapsed="false">
      <c r="A715" s="5" t="n">
        <v>40365</v>
      </c>
      <c r="B715" s="6" t="s">
        <v>93</v>
      </c>
      <c r="C715" s="6" t="s">
        <v>102</v>
      </c>
      <c r="D715" s="0" t="n">
        <v>371.032441793863</v>
      </c>
      <c r="E715" s="0" t="n">
        <v>4.728461538</v>
      </c>
      <c r="F715" s="0" t="n">
        <v>1</v>
      </c>
      <c r="G715" s="0" t="n">
        <v>0</v>
      </c>
      <c r="H715" s="0" t="n">
        <v>0</v>
      </c>
      <c r="I715" s="0" t="n">
        <v>1</v>
      </c>
      <c r="J715" s="0" t="n">
        <v>1</v>
      </c>
      <c r="K715" s="0" t="n">
        <v>1</v>
      </c>
      <c r="L715" s="0" t="n">
        <v>1</v>
      </c>
    </row>
    <row r="716" customFormat="false" ht="15" hidden="false" customHeight="false" outlineLevel="0" collapsed="false">
      <c r="A716" s="5" t="n">
        <v>40372</v>
      </c>
      <c r="B716" s="6" t="s">
        <v>93</v>
      </c>
      <c r="C716" s="6" t="s">
        <v>102</v>
      </c>
      <c r="D716" s="0" t="n">
        <v>395.26814475963</v>
      </c>
      <c r="E716" s="0" t="n">
        <v>4.728461538</v>
      </c>
      <c r="F716" s="0" t="n">
        <v>1</v>
      </c>
      <c r="G716" s="0" t="n">
        <v>0</v>
      </c>
      <c r="H716" s="0" t="n">
        <v>0</v>
      </c>
      <c r="I716" s="0" t="n">
        <v>1</v>
      </c>
      <c r="J716" s="0" t="n">
        <v>1</v>
      </c>
      <c r="K716" s="0" t="n">
        <v>1</v>
      </c>
      <c r="L716" s="0" t="n">
        <v>1</v>
      </c>
    </row>
    <row r="717" customFormat="false" ht="15" hidden="false" customHeight="false" outlineLevel="0" collapsed="false">
      <c r="A717" s="5" t="n">
        <v>40302</v>
      </c>
      <c r="B717" s="6" t="s">
        <v>93</v>
      </c>
      <c r="C717" s="6" t="s">
        <v>103</v>
      </c>
      <c r="D717" s="0" t="n">
        <v>269.888391445661</v>
      </c>
      <c r="E717" s="0" t="n">
        <v>4.64</v>
      </c>
      <c r="F717" s="0" t="n">
        <v>1</v>
      </c>
      <c r="G717" s="0" t="n">
        <v>0</v>
      </c>
      <c r="H717" s="0" t="n">
        <v>0</v>
      </c>
      <c r="I717" s="0" t="n">
        <v>0</v>
      </c>
      <c r="J717" s="0" t="n">
        <v>0</v>
      </c>
      <c r="K717" s="0" t="n">
        <v>2</v>
      </c>
      <c r="L717" s="0" t="n">
        <v>4</v>
      </c>
    </row>
    <row r="718" customFormat="false" ht="15" hidden="false" customHeight="false" outlineLevel="0" collapsed="false">
      <c r="A718" s="5" t="n">
        <v>40309</v>
      </c>
      <c r="B718" s="6" t="s">
        <v>93</v>
      </c>
      <c r="C718" s="6" t="s">
        <v>103</v>
      </c>
      <c r="D718" s="0" t="n">
        <v>184.353486054676</v>
      </c>
      <c r="E718" s="0" t="n">
        <v>4.64</v>
      </c>
      <c r="F718" s="0" t="n">
        <v>1</v>
      </c>
      <c r="G718" s="0" t="n">
        <v>0</v>
      </c>
      <c r="H718" s="0" t="n">
        <v>0</v>
      </c>
      <c r="I718" s="0" t="n">
        <v>0</v>
      </c>
      <c r="J718" s="0" t="n">
        <v>0</v>
      </c>
      <c r="K718" s="0" t="n">
        <v>2</v>
      </c>
      <c r="L718" s="0" t="n">
        <v>4</v>
      </c>
    </row>
    <row r="719" customFormat="false" ht="15" hidden="false" customHeight="false" outlineLevel="0" collapsed="false">
      <c r="A719" s="5" t="n">
        <v>40316</v>
      </c>
      <c r="B719" s="6" t="s">
        <v>93</v>
      </c>
      <c r="C719" s="6" t="s">
        <v>103</v>
      </c>
      <c r="D719" s="0" t="n">
        <v>246.550858319092</v>
      </c>
      <c r="E719" s="0" t="n">
        <v>4.301111111</v>
      </c>
      <c r="F719" s="0" t="n">
        <v>1</v>
      </c>
      <c r="G719" s="0" t="n">
        <v>0</v>
      </c>
      <c r="H719" s="0" t="n">
        <v>0</v>
      </c>
      <c r="I719" s="0" t="n">
        <v>0</v>
      </c>
      <c r="J719" s="0" t="n">
        <v>0</v>
      </c>
      <c r="K719" s="0" t="n">
        <v>2</v>
      </c>
      <c r="L719" s="0" t="n">
        <v>4</v>
      </c>
    </row>
    <row r="720" customFormat="false" ht="15" hidden="false" customHeight="false" outlineLevel="0" collapsed="false">
      <c r="A720" s="5" t="n">
        <v>40323</v>
      </c>
      <c r="B720" s="6" t="s">
        <v>93</v>
      </c>
      <c r="C720" s="6" t="s">
        <v>103</v>
      </c>
      <c r="D720" s="0" t="n">
        <v>274.775018935152</v>
      </c>
      <c r="E720" s="0" t="n">
        <v>4.19</v>
      </c>
      <c r="F720" s="0" t="n">
        <v>1</v>
      </c>
      <c r="G720" s="0" t="n">
        <v>0</v>
      </c>
      <c r="H720" s="0" t="n">
        <v>0</v>
      </c>
      <c r="I720" s="0" t="n">
        <v>0</v>
      </c>
      <c r="J720" s="0" t="n">
        <v>0</v>
      </c>
      <c r="K720" s="0" t="n">
        <v>2</v>
      </c>
      <c r="L720" s="0" t="n">
        <v>4</v>
      </c>
    </row>
    <row r="721" customFormat="false" ht="15" hidden="false" customHeight="false" outlineLevel="0" collapsed="false">
      <c r="A721" s="5" t="n">
        <v>40330</v>
      </c>
      <c r="B721" s="6" t="s">
        <v>93</v>
      </c>
      <c r="C721" s="6" t="s">
        <v>103</v>
      </c>
      <c r="D721" s="0" t="n">
        <v>200.093467610995</v>
      </c>
      <c r="E721" s="0" t="n">
        <v>4.123333333</v>
      </c>
      <c r="F721" s="0" t="n">
        <v>1</v>
      </c>
      <c r="G721" s="0" t="n">
        <v>0</v>
      </c>
      <c r="H721" s="0" t="n">
        <v>0</v>
      </c>
      <c r="I721" s="0" t="n">
        <v>0</v>
      </c>
      <c r="J721" s="0" t="n">
        <v>0</v>
      </c>
      <c r="K721" s="0" t="n">
        <v>2</v>
      </c>
      <c r="L721" s="0" t="n">
        <v>4</v>
      </c>
    </row>
    <row r="722" customFormat="false" ht="15" hidden="false" customHeight="false" outlineLevel="0" collapsed="false">
      <c r="A722" s="5" t="n">
        <v>40337</v>
      </c>
      <c r="B722" s="6" t="s">
        <v>93</v>
      </c>
      <c r="C722" s="6" t="s">
        <v>103</v>
      </c>
      <c r="D722" s="0" t="n">
        <v>265.840314930875</v>
      </c>
      <c r="E722" s="0" t="n">
        <v>4.79</v>
      </c>
      <c r="F722" s="0" t="n">
        <v>1</v>
      </c>
      <c r="G722" s="0" t="n">
        <v>0</v>
      </c>
      <c r="H722" s="0" t="n">
        <v>0</v>
      </c>
      <c r="I722" s="0" t="n">
        <v>0</v>
      </c>
      <c r="J722" s="0" t="n">
        <v>0</v>
      </c>
      <c r="K722" s="0" t="n">
        <v>2</v>
      </c>
      <c r="L722" s="0" t="n">
        <v>4</v>
      </c>
    </row>
    <row r="723" customFormat="false" ht="15" hidden="false" customHeight="false" outlineLevel="0" collapsed="false">
      <c r="A723" s="5" t="n">
        <v>40344</v>
      </c>
      <c r="B723" s="6" t="s">
        <v>93</v>
      </c>
      <c r="C723" s="6" t="s">
        <v>103</v>
      </c>
      <c r="D723" s="0" t="n">
        <v>203.943146361504</v>
      </c>
      <c r="E723" s="0" t="n">
        <v>4.79</v>
      </c>
      <c r="F723" s="0" t="n">
        <v>1</v>
      </c>
      <c r="G723" s="0" t="n">
        <v>0</v>
      </c>
      <c r="H723" s="0" t="n">
        <v>0</v>
      </c>
      <c r="I723" s="0" t="n">
        <v>0</v>
      </c>
      <c r="J723" s="0" t="n">
        <v>0</v>
      </c>
      <c r="K723" s="0" t="n">
        <v>2</v>
      </c>
      <c r="L723" s="0" t="n">
        <v>4</v>
      </c>
    </row>
    <row r="724" customFormat="false" ht="15" hidden="false" customHeight="false" outlineLevel="0" collapsed="false">
      <c r="A724" s="5" t="n">
        <v>40351</v>
      </c>
      <c r="B724" s="6" t="s">
        <v>93</v>
      </c>
      <c r="C724" s="6" t="s">
        <v>103</v>
      </c>
      <c r="D724" s="0" t="n">
        <v>253.766736866671</v>
      </c>
      <c r="E724" s="0" t="n">
        <v>4.904285714</v>
      </c>
      <c r="F724" s="0" t="n">
        <v>1</v>
      </c>
      <c r="G724" s="0" t="n">
        <v>0</v>
      </c>
      <c r="H724" s="0" t="n">
        <v>0</v>
      </c>
      <c r="I724" s="0" t="n">
        <v>0</v>
      </c>
      <c r="J724" s="0" t="n">
        <v>0</v>
      </c>
      <c r="K724" s="0" t="n">
        <v>2</v>
      </c>
      <c r="L724" s="0" t="n">
        <v>4</v>
      </c>
    </row>
    <row r="725" customFormat="false" ht="15" hidden="false" customHeight="false" outlineLevel="0" collapsed="false">
      <c r="A725" s="5" t="n">
        <v>40358</v>
      </c>
      <c r="B725" s="6" t="s">
        <v>93</v>
      </c>
      <c r="C725" s="6" t="s">
        <v>103</v>
      </c>
      <c r="D725" s="0" t="n">
        <v>294.93384633609</v>
      </c>
      <c r="E725" s="0" t="n">
        <v>4.623333333</v>
      </c>
      <c r="F725" s="0" t="n">
        <v>1</v>
      </c>
      <c r="G725" s="0" t="n">
        <v>0</v>
      </c>
      <c r="H725" s="0" t="n">
        <v>0</v>
      </c>
      <c r="I725" s="0" t="n">
        <v>0</v>
      </c>
      <c r="J725" s="0" t="n">
        <v>0</v>
      </c>
      <c r="K725" s="0" t="n">
        <v>2</v>
      </c>
      <c r="L725" s="0" t="n">
        <v>4</v>
      </c>
    </row>
    <row r="726" customFormat="false" ht="15" hidden="false" customHeight="false" outlineLevel="0" collapsed="false">
      <c r="A726" s="5" t="n">
        <v>40365</v>
      </c>
      <c r="B726" s="6" t="s">
        <v>93</v>
      </c>
      <c r="C726" s="6" t="s">
        <v>103</v>
      </c>
      <c r="D726" s="0" t="n">
        <v>191.137251590627</v>
      </c>
      <c r="E726" s="0" t="n">
        <v>4.47</v>
      </c>
      <c r="F726" s="0" t="n">
        <v>1</v>
      </c>
      <c r="G726" s="0" t="n">
        <v>0</v>
      </c>
      <c r="H726" s="0" t="n">
        <v>0</v>
      </c>
      <c r="I726" s="0" t="n">
        <v>0</v>
      </c>
      <c r="J726" s="0" t="n">
        <v>0</v>
      </c>
      <c r="K726" s="0" t="n">
        <v>2</v>
      </c>
      <c r="L726" s="0" t="n">
        <v>4</v>
      </c>
    </row>
    <row r="727" customFormat="false" ht="15" hidden="false" customHeight="false" outlineLevel="0" collapsed="false">
      <c r="A727" s="5" t="n">
        <v>40372</v>
      </c>
      <c r="B727" s="6" t="s">
        <v>93</v>
      </c>
      <c r="C727" s="6" t="s">
        <v>103</v>
      </c>
      <c r="D727" s="0" t="n">
        <v>199.482094098591</v>
      </c>
      <c r="E727" s="0" t="n">
        <v>4.426363636</v>
      </c>
      <c r="F727" s="0" t="n">
        <v>1</v>
      </c>
      <c r="G727" s="0" t="n">
        <v>0</v>
      </c>
      <c r="H727" s="0" t="n">
        <v>0</v>
      </c>
      <c r="I727" s="0" t="n">
        <v>0</v>
      </c>
      <c r="J727" s="0" t="n">
        <v>0</v>
      </c>
      <c r="K727" s="0" t="n">
        <v>2</v>
      </c>
      <c r="L727" s="0" t="n">
        <v>4</v>
      </c>
    </row>
    <row r="728" customFormat="false" ht="15" hidden="false" customHeight="false" outlineLevel="0" collapsed="false">
      <c r="A728" s="5" t="n">
        <v>40302</v>
      </c>
      <c r="B728" s="6" t="s">
        <v>93</v>
      </c>
      <c r="C728" s="6" t="s">
        <v>104</v>
      </c>
      <c r="D728" s="0" t="n">
        <v>367.882551114591</v>
      </c>
      <c r="E728" s="0" t="n">
        <v>4.362727273</v>
      </c>
      <c r="F728" s="0" t="n">
        <v>1</v>
      </c>
      <c r="G728" s="0" t="n">
        <v>0</v>
      </c>
      <c r="H728" s="0" t="n">
        <v>0</v>
      </c>
      <c r="I728" s="0" t="n">
        <v>0</v>
      </c>
      <c r="J728" s="0" t="n">
        <v>1</v>
      </c>
      <c r="K728" s="0" t="n">
        <v>3</v>
      </c>
      <c r="L728" s="0" t="n">
        <v>4</v>
      </c>
    </row>
    <row r="729" customFormat="false" ht="15" hidden="false" customHeight="false" outlineLevel="0" collapsed="false">
      <c r="A729" s="5" t="n">
        <v>40309</v>
      </c>
      <c r="B729" s="6" t="s">
        <v>93</v>
      </c>
      <c r="C729" s="6" t="s">
        <v>104</v>
      </c>
      <c r="D729" s="0" t="n">
        <v>341.209245544916</v>
      </c>
      <c r="E729" s="0" t="n">
        <v>4.47</v>
      </c>
      <c r="F729" s="0" t="n">
        <v>1</v>
      </c>
      <c r="G729" s="0" t="n">
        <v>0</v>
      </c>
      <c r="H729" s="0" t="n">
        <v>0</v>
      </c>
      <c r="I729" s="0" t="n">
        <v>0</v>
      </c>
      <c r="J729" s="0" t="n">
        <v>1</v>
      </c>
      <c r="K729" s="0" t="n">
        <v>3</v>
      </c>
      <c r="L729" s="0" t="n">
        <v>4</v>
      </c>
    </row>
    <row r="730" customFormat="false" ht="15" hidden="false" customHeight="false" outlineLevel="0" collapsed="false">
      <c r="A730" s="5" t="n">
        <v>40316</v>
      </c>
      <c r="B730" s="6" t="s">
        <v>93</v>
      </c>
      <c r="C730" s="6" t="s">
        <v>104</v>
      </c>
      <c r="D730" s="0" t="n">
        <v>244.492495367469</v>
      </c>
      <c r="E730" s="0" t="n">
        <v>4.062727273</v>
      </c>
      <c r="F730" s="0" t="n">
        <v>1</v>
      </c>
      <c r="G730" s="0" t="n">
        <v>0</v>
      </c>
      <c r="H730" s="0" t="n">
        <v>0</v>
      </c>
      <c r="I730" s="0" t="n">
        <v>0</v>
      </c>
      <c r="J730" s="0" t="n">
        <v>0</v>
      </c>
      <c r="K730" s="0" t="n">
        <v>3</v>
      </c>
      <c r="L730" s="0" t="n">
        <v>4</v>
      </c>
    </row>
    <row r="731" customFormat="false" ht="15" hidden="false" customHeight="false" outlineLevel="0" collapsed="false">
      <c r="A731" s="5" t="n">
        <v>40323</v>
      </c>
      <c r="B731" s="6" t="s">
        <v>93</v>
      </c>
      <c r="C731" s="6" t="s">
        <v>104</v>
      </c>
      <c r="D731" s="0" t="n">
        <v>216.822372308463</v>
      </c>
      <c r="E731" s="0" t="n">
        <v>4.062727273</v>
      </c>
      <c r="F731" s="0" t="n">
        <v>1</v>
      </c>
      <c r="G731" s="0" t="n">
        <v>0</v>
      </c>
      <c r="H731" s="0" t="n">
        <v>0</v>
      </c>
      <c r="I731" s="0" t="n">
        <v>0</v>
      </c>
      <c r="J731" s="0" t="n">
        <v>0</v>
      </c>
      <c r="K731" s="0" t="n">
        <v>3</v>
      </c>
      <c r="L731" s="0" t="n">
        <v>4</v>
      </c>
    </row>
    <row r="732" customFormat="false" ht="15" hidden="false" customHeight="false" outlineLevel="0" collapsed="false">
      <c r="A732" s="5" t="n">
        <v>40330</v>
      </c>
      <c r="B732" s="6" t="s">
        <v>93</v>
      </c>
      <c r="C732" s="6" t="s">
        <v>104</v>
      </c>
      <c r="D732" s="0" t="n">
        <v>213.287156209106</v>
      </c>
      <c r="E732" s="0" t="n">
        <v>4.062727273</v>
      </c>
      <c r="F732" s="0" t="n">
        <v>1</v>
      </c>
      <c r="G732" s="0" t="n">
        <v>0</v>
      </c>
      <c r="H732" s="0" t="n">
        <v>0</v>
      </c>
      <c r="I732" s="0" t="n">
        <v>0</v>
      </c>
      <c r="J732" s="0" t="n">
        <v>0</v>
      </c>
      <c r="K732" s="0" t="n">
        <v>3</v>
      </c>
      <c r="L732" s="0" t="n">
        <v>4</v>
      </c>
    </row>
    <row r="733" customFormat="false" ht="15" hidden="false" customHeight="false" outlineLevel="0" collapsed="false">
      <c r="A733" s="5" t="n">
        <v>40337</v>
      </c>
      <c r="B733" s="6" t="s">
        <v>93</v>
      </c>
      <c r="C733" s="6" t="s">
        <v>104</v>
      </c>
      <c r="D733" s="0" t="n">
        <v>272.760305545292</v>
      </c>
      <c r="E733" s="0" t="n">
        <v>4.272</v>
      </c>
      <c r="F733" s="0" t="n">
        <v>1</v>
      </c>
      <c r="G733" s="0" t="n">
        <v>0</v>
      </c>
      <c r="H733" s="0" t="n">
        <v>0</v>
      </c>
      <c r="I733" s="0" t="n">
        <v>0</v>
      </c>
      <c r="J733" s="0" t="n">
        <v>0</v>
      </c>
      <c r="K733" s="0" t="n">
        <v>3</v>
      </c>
      <c r="L733" s="0" t="n">
        <v>4</v>
      </c>
    </row>
    <row r="734" customFormat="false" ht="15" hidden="false" customHeight="false" outlineLevel="0" collapsed="false">
      <c r="A734" s="5" t="n">
        <v>40344</v>
      </c>
      <c r="B734" s="6" t="s">
        <v>93</v>
      </c>
      <c r="C734" s="6" t="s">
        <v>104</v>
      </c>
      <c r="D734" s="0" t="n">
        <v>305.208739636935</v>
      </c>
      <c r="E734" s="0" t="n">
        <v>4.178888889</v>
      </c>
      <c r="F734" s="0" t="n">
        <v>1</v>
      </c>
      <c r="G734" s="0" t="n">
        <v>0</v>
      </c>
      <c r="H734" s="0" t="n">
        <v>0</v>
      </c>
      <c r="I734" s="0" t="n">
        <v>0</v>
      </c>
      <c r="J734" s="0" t="n">
        <v>0</v>
      </c>
      <c r="K734" s="0" t="n">
        <v>3</v>
      </c>
      <c r="L734" s="0" t="n">
        <v>4</v>
      </c>
    </row>
    <row r="735" customFormat="false" ht="15" hidden="false" customHeight="false" outlineLevel="0" collapsed="false">
      <c r="A735" s="5" t="n">
        <v>40351</v>
      </c>
      <c r="B735" s="6" t="s">
        <v>93</v>
      </c>
      <c r="C735" s="6" t="s">
        <v>104</v>
      </c>
      <c r="D735" s="0" t="n">
        <v>267.969240735801</v>
      </c>
      <c r="E735" s="0" t="n">
        <v>3.614444444</v>
      </c>
      <c r="F735" s="0" t="n">
        <v>1</v>
      </c>
      <c r="G735" s="0" t="n">
        <v>0</v>
      </c>
      <c r="H735" s="0" t="n">
        <v>0</v>
      </c>
      <c r="I735" s="0" t="n">
        <v>0</v>
      </c>
      <c r="J735" s="0" t="n">
        <v>0</v>
      </c>
      <c r="K735" s="0" t="n">
        <v>3</v>
      </c>
      <c r="L735" s="0" t="n">
        <v>4</v>
      </c>
    </row>
    <row r="736" customFormat="false" ht="15" hidden="false" customHeight="false" outlineLevel="0" collapsed="false">
      <c r="A736" s="5" t="n">
        <v>40358</v>
      </c>
      <c r="B736" s="6" t="s">
        <v>93</v>
      </c>
      <c r="C736" s="6" t="s">
        <v>104</v>
      </c>
      <c r="D736" s="0" t="n">
        <v>262.369060407634</v>
      </c>
      <c r="E736" s="0" t="n">
        <v>3.671818182</v>
      </c>
      <c r="F736" s="0" t="n">
        <v>1</v>
      </c>
      <c r="G736" s="0" t="n">
        <v>0</v>
      </c>
      <c r="H736" s="0" t="n">
        <v>0</v>
      </c>
      <c r="I736" s="0" t="n">
        <v>0</v>
      </c>
      <c r="J736" s="0" t="n">
        <v>0</v>
      </c>
      <c r="K736" s="0" t="n">
        <v>3</v>
      </c>
      <c r="L736" s="0" t="n">
        <v>4</v>
      </c>
    </row>
    <row r="737" customFormat="false" ht="15" hidden="false" customHeight="false" outlineLevel="0" collapsed="false">
      <c r="A737" s="5" t="n">
        <v>40365</v>
      </c>
      <c r="B737" s="6" t="s">
        <v>93</v>
      </c>
      <c r="C737" s="6" t="s">
        <v>104</v>
      </c>
      <c r="D737" s="0" t="n">
        <v>245.129466487478</v>
      </c>
      <c r="E737" s="0" t="n">
        <v>3.671818182</v>
      </c>
      <c r="F737" s="0" t="n">
        <v>1</v>
      </c>
      <c r="G737" s="0" t="n">
        <v>0</v>
      </c>
      <c r="H737" s="0" t="n">
        <v>0</v>
      </c>
      <c r="I737" s="0" t="n">
        <v>0</v>
      </c>
      <c r="J737" s="0" t="n">
        <v>0</v>
      </c>
      <c r="K737" s="0" t="n">
        <v>3</v>
      </c>
      <c r="L737" s="0" t="n">
        <v>4</v>
      </c>
    </row>
    <row r="738" customFormat="false" ht="15" hidden="false" customHeight="false" outlineLevel="0" collapsed="false">
      <c r="A738" s="5" t="n">
        <v>40372</v>
      </c>
      <c r="B738" s="6" t="s">
        <v>93</v>
      </c>
      <c r="C738" s="6" t="s">
        <v>104</v>
      </c>
      <c r="D738" s="0" t="n">
        <v>301.267577898118</v>
      </c>
      <c r="E738" s="0" t="n">
        <v>3.482857143</v>
      </c>
      <c r="F738" s="0" t="n">
        <v>1</v>
      </c>
      <c r="G738" s="0" t="n">
        <v>0</v>
      </c>
      <c r="H738" s="0" t="n">
        <v>0</v>
      </c>
      <c r="I738" s="0" t="n">
        <v>0</v>
      </c>
      <c r="J738" s="0" t="n">
        <v>0</v>
      </c>
      <c r="K738" s="0" t="n">
        <v>3</v>
      </c>
      <c r="L738" s="0" t="n">
        <v>4</v>
      </c>
    </row>
    <row r="739" customFormat="false" ht="15" hidden="false" customHeight="false" outlineLevel="0" collapsed="false">
      <c r="A739" s="5" t="n">
        <v>40302</v>
      </c>
      <c r="B739" s="6" t="s">
        <v>93</v>
      </c>
      <c r="C739" s="6" t="s">
        <v>105</v>
      </c>
      <c r="D739" s="0" t="n">
        <v>213.961757449925</v>
      </c>
      <c r="E739" s="0" t="n">
        <v>4.656666667</v>
      </c>
      <c r="F739" s="0" t="n">
        <v>1</v>
      </c>
      <c r="G739" s="0" t="n">
        <v>0</v>
      </c>
      <c r="H739" s="0" t="n">
        <v>0</v>
      </c>
      <c r="I739" s="0" t="n">
        <v>0</v>
      </c>
      <c r="J739" s="0" t="n">
        <v>0</v>
      </c>
      <c r="K739" s="0" t="n">
        <v>1</v>
      </c>
      <c r="L739" s="0" t="n">
        <v>1</v>
      </c>
    </row>
    <row r="740" customFormat="false" ht="15" hidden="false" customHeight="false" outlineLevel="0" collapsed="false">
      <c r="A740" s="5" t="n">
        <v>40309</v>
      </c>
      <c r="B740" s="6" t="s">
        <v>93</v>
      </c>
      <c r="C740" s="6" t="s">
        <v>105</v>
      </c>
      <c r="D740" s="0" t="n">
        <v>222.401867647872</v>
      </c>
      <c r="E740" s="0" t="n">
        <v>4.67</v>
      </c>
      <c r="F740" s="0" t="n">
        <v>1</v>
      </c>
      <c r="G740" s="0" t="n">
        <v>0</v>
      </c>
      <c r="H740" s="0" t="n">
        <v>0</v>
      </c>
      <c r="I740" s="0" t="n">
        <v>0</v>
      </c>
      <c r="J740" s="0" t="n">
        <v>0</v>
      </c>
      <c r="K740" s="0" t="n">
        <v>1</v>
      </c>
      <c r="L740" s="0" t="n">
        <v>1</v>
      </c>
    </row>
    <row r="741" customFormat="false" ht="15" hidden="false" customHeight="false" outlineLevel="0" collapsed="false">
      <c r="A741" s="5" t="n">
        <v>40316</v>
      </c>
      <c r="B741" s="6" t="s">
        <v>93</v>
      </c>
      <c r="C741" s="6" t="s">
        <v>105</v>
      </c>
      <c r="D741" s="0" t="n">
        <v>347.524024114994</v>
      </c>
      <c r="E741" s="0" t="n">
        <v>4.244545455</v>
      </c>
      <c r="F741" s="0" t="n">
        <v>1</v>
      </c>
      <c r="G741" s="0" t="n">
        <v>0</v>
      </c>
      <c r="H741" s="0" t="n">
        <v>1</v>
      </c>
      <c r="I741" s="0" t="n">
        <v>0</v>
      </c>
      <c r="J741" s="0" t="n">
        <v>0</v>
      </c>
      <c r="K741" s="0" t="n">
        <v>1</v>
      </c>
      <c r="L741" s="0" t="n">
        <v>1</v>
      </c>
    </row>
    <row r="742" customFormat="false" ht="15" hidden="false" customHeight="false" outlineLevel="0" collapsed="false">
      <c r="A742" s="5" t="n">
        <v>40323</v>
      </c>
      <c r="B742" s="6" t="s">
        <v>93</v>
      </c>
      <c r="C742" s="6" t="s">
        <v>105</v>
      </c>
      <c r="D742" s="0" t="n">
        <v>380.599581857327</v>
      </c>
      <c r="E742" s="0" t="n">
        <v>4.571818182</v>
      </c>
      <c r="F742" s="0" t="n">
        <v>1</v>
      </c>
      <c r="G742" s="0" t="n">
        <v>0</v>
      </c>
      <c r="H742" s="0" t="n">
        <v>0</v>
      </c>
      <c r="I742" s="0" t="n">
        <v>1</v>
      </c>
      <c r="J742" s="0" t="n">
        <v>0</v>
      </c>
      <c r="K742" s="0" t="n">
        <v>1</v>
      </c>
      <c r="L742" s="0" t="n">
        <v>1</v>
      </c>
    </row>
    <row r="743" customFormat="false" ht="15" hidden="false" customHeight="false" outlineLevel="0" collapsed="false">
      <c r="A743" s="5" t="n">
        <v>40330</v>
      </c>
      <c r="B743" s="6" t="s">
        <v>93</v>
      </c>
      <c r="C743" s="6" t="s">
        <v>105</v>
      </c>
      <c r="D743" s="0" t="n">
        <v>341.865556094834</v>
      </c>
      <c r="E743" s="0" t="n">
        <v>4.571818182</v>
      </c>
      <c r="F743" s="0" t="n">
        <v>1</v>
      </c>
      <c r="G743" s="0" t="n">
        <v>0</v>
      </c>
      <c r="H743" s="0" t="n">
        <v>0</v>
      </c>
      <c r="I743" s="0" t="n">
        <v>1</v>
      </c>
      <c r="J743" s="0" t="n">
        <v>0</v>
      </c>
      <c r="K743" s="0" t="n">
        <v>1</v>
      </c>
      <c r="L743" s="0" t="n">
        <v>1</v>
      </c>
    </row>
    <row r="744" customFormat="false" ht="15" hidden="false" customHeight="false" outlineLevel="0" collapsed="false">
      <c r="A744" s="5" t="n">
        <v>40337</v>
      </c>
      <c r="B744" s="6" t="s">
        <v>93</v>
      </c>
      <c r="C744" s="6" t="s">
        <v>105</v>
      </c>
      <c r="D744" s="0" t="n">
        <v>357.297762827181</v>
      </c>
      <c r="E744" s="0" t="n">
        <v>4.616666667</v>
      </c>
      <c r="F744" s="0" t="n">
        <v>1</v>
      </c>
      <c r="G744" s="0" t="n">
        <v>0</v>
      </c>
      <c r="H744" s="0" t="n">
        <v>0</v>
      </c>
      <c r="I744" s="0" t="n">
        <v>1</v>
      </c>
      <c r="J744" s="0" t="n">
        <v>0</v>
      </c>
      <c r="K744" s="0" t="n">
        <v>1</v>
      </c>
      <c r="L744" s="0" t="n">
        <v>1</v>
      </c>
    </row>
    <row r="745" customFormat="false" ht="15" hidden="false" customHeight="false" outlineLevel="0" collapsed="false">
      <c r="A745" s="5" t="n">
        <v>40344</v>
      </c>
      <c r="B745" s="6" t="s">
        <v>93</v>
      </c>
      <c r="C745" s="6" t="s">
        <v>105</v>
      </c>
      <c r="D745" s="0" t="n">
        <v>278.123863662605</v>
      </c>
      <c r="E745" s="0" t="n">
        <v>4.931666667</v>
      </c>
      <c r="F745" s="0" t="n">
        <v>1</v>
      </c>
      <c r="G745" s="0" t="n">
        <v>0</v>
      </c>
      <c r="H745" s="0" t="n">
        <v>0</v>
      </c>
      <c r="I745" s="0" t="n">
        <v>0</v>
      </c>
      <c r="J745" s="0" t="n">
        <v>1</v>
      </c>
      <c r="K745" s="0" t="n">
        <v>1</v>
      </c>
      <c r="L745" s="0" t="n">
        <v>1</v>
      </c>
    </row>
    <row r="746" customFormat="false" ht="15" hidden="false" customHeight="false" outlineLevel="0" collapsed="false">
      <c r="A746" s="5" t="n">
        <v>40351</v>
      </c>
      <c r="B746" s="6" t="s">
        <v>93</v>
      </c>
      <c r="C746" s="6" t="s">
        <v>105</v>
      </c>
      <c r="D746" s="0" t="n">
        <v>284.426844134346</v>
      </c>
      <c r="E746" s="0" t="n">
        <v>4.931666667</v>
      </c>
      <c r="F746" s="0" t="n">
        <v>1</v>
      </c>
      <c r="G746" s="0" t="n">
        <v>0</v>
      </c>
      <c r="H746" s="0" t="n">
        <v>0</v>
      </c>
      <c r="I746" s="0" t="n">
        <v>0</v>
      </c>
      <c r="J746" s="0" t="n">
        <v>1</v>
      </c>
      <c r="K746" s="0" t="n">
        <v>1</v>
      </c>
      <c r="L746" s="0" t="n">
        <v>1</v>
      </c>
    </row>
    <row r="747" customFormat="false" ht="15" hidden="false" customHeight="false" outlineLevel="0" collapsed="false">
      <c r="A747" s="5" t="n">
        <v>40358</v>
      </c>
      <c r="B747" s="6" t="s">
        <v>93</v>
      </c>
      <c r="C747" s="6" t="s">
        <v>105</v>
      </c>
      <c r="D747" s="0" t="n">
        <v>260.204105402353</v>
      </c>
      <c r="E747" s="0" t="n">
        <v>4.944545455</v>
      </c>
      <c r="F747" s="0" t="n">
        <v>1</v>
      </c>
      <c r="G747" s="0" t="n">
        <v>0</v>
      </c>
      <c r="H747" s="0" t="n">
        <v>0</v>
      </c>
      <c r="I747" s="0" t="n">
        <v>0</v>
      </c>
      <c r="J747" s="0" t="n">
        <v>0</v>
      </c>
      <c r="K747" s="0" t="n">
        <v>1</v>
      </c>
      <c r="L747" s="0" t="n">
        <v>1</v>
      </c>
    </row>
    <row r="748" customFormat="false" ht="15" hidden="false" customHeight="false" outlineLevel="0" collapsed="false">
      <c r="A748" s="5" t="n">
        <v>40365</v>
      </c>
      <c r="B748" s="6" t="s">
        <v>93</v>
      </c>
      <c r="C748" s="6" t="s">
        <v>105</v>
      </c>
      <c r="D748" s="0" t="n">
        <v>320.309696753089</v>
      </c>
      <c r="E748" s="0" t="n">
        <v>4.728461538</v>
      </c>
      <c r="F748" s="0" t="n">
        <v>1</v>
      </c>
      <c r="G748" s="0" t="n">
        <v>0</v>
      </c>
      <c r="H748" s="0" t="n">
        <v>0</v>
      </c>
      <c r="I748" s="0" t="n">
        <v>0</v>
      </c>
      <c r="J748" s="0" t="n">
        <v>0</v>
      </c>
      <c r="K748" s="0" t="n">
        <v>1</v>
      </c>
      <c r="L748" s="0" t="n">
        <v>1</v>
      </c>
    </row>
    <row r="749" customFormat="false" ht="15" hidden="false" customHeight="false" outlineLevel="0" collapsed="false">
      <c r="A749" s="5" t="n">
        <v>40372</v>
      </c>
      <c r="B749" s="6" t="s">
        <v>93</v>
      </c>
      <c r="C749" s="6" t="s">
        <v>105</v>
      </c>
      <c r="D749" s="0" t="n">
        <v>259.132032509319</v>
      </c>
      <c r="E749" s="0" t="n">
        <v>4.723333333</v>
      </c>
      <c r="F749" s="0" t="n">
        <v>1</v>
      </c>
      <c r="G749" s="0" t="n">
        <v>0</v>
      </c>
      <c r="H749" s="0" t="n">
        <v>0</v>
      </c>
      <c r="I749" s="0" t="n">
        <v>0</v>
      </c>
      <c r="J749" s="0" t="n">
        <v>0</v>
      </c>
      <c r="K749" s="0" t="n">
        <v>1</v>
      </c>
      <c r="L749" s="0" t="n">
        <v>1</v>
      </c>
    </row>
    <row r="750" customFormat="false" ht="15" hidden="false" customHeight="false" outlineLevel="0" collapsed="false">
      <c r="A750" s="5" t="n">
        <v>40302</v>
      </c>
      <c r="B750" s="6" t="s">
        <v>93</v>
      </c>
      <c r="C750" s="6" t="s">
        <v>106</v>
      </c>
      <c r="D750" s="0" t="n">
        <v>355.859007607774</v>
      </c>
      <c r="E750" s="0" t="n">
        <v>5.09</v>
      </c>
      <c r="F750" s="0" t="n">
        <v>1</v>
      </c>
      <c r="G750" s="0" t="n">
        <v>0</v>
      </c>
      <c r="H750" s="0" t="n">
        <v>0</v>
      </c>
      <c r="I750" s="0" t="n">
        <v>1</v>
      </c>
      <c r="J750" s="0" t="n">
        <v>0</v>
      </c>
      <c r="K750" s="0" t="n">
        <v>0</v>
      </c>
      <c r="L750" s="0" t="n">
        <v>4</v>
      </c>
    </row>
    <row r="751" customFormat="false" ht="15" hidden="false" customHeight="false" outlineLevel="0" collapsed="false">
      <c r="A751" s="5" t="n">
        <v>40309</v>
      </c>
      <c r="B751" s="6" t="s">
        <v>93</v>
      </c>
      <c r="C751" s="6" t="s">
        <v>106</v>
      </c>
      <c r="D751" s="0" t="n">
        <v>364.876914400496</v>
      </c>
      <c r="E751" s="0" t="n">
        <v>5.09</v>
      </c>
      <c r="F751" s="0" t="n">
        <v>1</v>
      </c>
      <c r="G751" s="0" t="n">
        <v>0</v>
      </c>
      <c r="H751" s="0" t="n">
        <v>0</v>
      </c>
      <c r="I751" s="0" t="n">
        <v>1</v>
      </c>
      <c r="J751" s="0" t="n">
        <v>0</v>
      </c>
      <c r="K751" s="0" t="n">
        <v>0</v>
      </c>
      <c r="L751" s="0" t="n">
        <v>4</v>
      </c>
    </row>
    <row r="752" customFormat="false" ht="15" hidden="false" customHeight="false" outlineLevel="0" collapsed="false">
      <c r="A752" s="5" t="n">
        <v>40316</v>
      </c>
      <c r="B752" s="6" t="s">
        <v>93</v>
      </c>
      <c r="C752" s="6" t="s">
        <v>106</v>
      </c>
      <c r="D752" s="0" t="n">
        <v>247.341197632124</v>
      </c>
      <c r="E752" s="0" t="n">
        <v>4.426363636</v>
      </c>
      <c r="F752" s="0" t="n">
        <v>1</v>
      </c>
      <c r="G752" s="0" t="n">
        <v>0</v>
      </c>
      <c r="H752" s="0" t="n">
        <v>0</v>
      </c>
      <c r="I752" s="0" t="n">
        <v>1</v>
      </c>
      <c r="J752" s="0" t="n">
        <v>1</v>
      </c>
      <c r="K752" s="0" t="n">
        <v>0</v>
      </c>
      <c r="L752" s="0" t="n">
        <v>4</v>
      </c>
    </row>
    <row r="753" customFormat="false" ht="15" hidden="false" customHeight="false" outlineLevel="0" collapsed="false">
      <c r="A753" s="5" t="n">
        <v>40323</v>
      </c>
      <c r="B753" s="6" t="s">
        <v>93</v>
      </c>
      <c r="C753" s="6" t="s">
        <v>106</v>
      </c>
      <c r="D753" s="0" t="n">
        <v>378.14340968232</v>
      </c>
      <c r="E753" s="0" t="n">
        <v>4.426363636</v>
      </c>
      <c r="F753" s="0" t="n">
        <v>1</v>
      </c>
      <c r="G753" s="0" t="n">
        <v>0</v>
      </c>
      <c r="H753" s="0" t="n">
        <v>0</v>
      </c>
      <c r="I753" s="0" t="n">
        <v>0</v>
      </c>
      <c r="J753" s="0" t="n">
        <v>1</v>
      </c>
      <c r="K753" s="0" t="n">
        <v>0</v>
      </c>
      <c r="L753" s="0" t="n">
        <v>4</v>
      </c>
    </row>
    <row r="754" customFormat="false" ht="15" hidden="false" customHeight="false" outlineLevel="0" collapsed="false">
      <c r="A754" s="5" t="n">
        <v>40330</v>
      </c>
      <c r="B754" s="6" t="s">
        <v>93</v>
      </c>
      <c r="C754" s="6" t="s">
        <v>106</v>
      </c>
      <c r="D754" s="0" t="n">
        <v>343.977416085023</v>
      </c>
      <c r="E754" s="0" t="n">
        <v>4.426363636</v>
      </c>
      <c r="F754" s="0" t="n">
        <v>1</v>
      </c>
      <c r="G754" s="0" t="n">
        <v>0</v>
      </c>
      <c r="H754" s="0" t="n">
        <v>0</v>
      </c>
      <c r="I754" s="0" t="n">
        <v>0</v>
      </c>
      <c r="J754" s="0" t="n">
        <v>1</v>
      </c>
      <c r="K754" s="0" t="n">
        <v>0</v>
      </c>
      <c r="L754" s="0" t="n">
        <v>4</v>
      </c>
    </row>
    <row r="755" customFormat="false" ht="15" hidden="false" customHeight="false" outlineLevel="0" collapsed="false">
      <c r="A755" s="5" t="n">
        <v>40337</v>
      </c>
      <c r="B755" s="6" t="s">
        <v>93</v>
      </c>
      <c r="C755" s="6" t="s">
        <v>106</v>
      </c>
      <c r="D755" s="0" t="n">
        <v>169.041134322311</v>
      </c>
      <c r="E755" s="0" t="n">
        <v>4.890909091</v>
      </c>
      <c r="F755" s="0" t="n">
        <v>1</v>
      </c>
      <c r="G755" s="0" t="n">
        <v>0</v>
      </c>
      <c r="H755" s="0" t="n">
        <v>0</v>
      </c>
      <c r="I755" s="0" t="n">
        <v>0</v>
      </c>
      <c r="J755" s="0" t="n">
        <v>0</v>
      </c>
      <c r="K755" s="0" t="n">
        <v>0</v>
      </c>
      <c r="L755" s="0" t="n">
        <v>4</v>
      </c>
    </row>
    <row r="756" customFormat="false" ht="15" hidden="false" customHeight="false" outlineLevel="0" collapsed="false">
      <c r="A756" s="5" t="n">
        <v>40344</v>
      </c>
      <c r="B756" s="6" t="s">
        <v>93</v>
      </c>
      <c r="C756" s="6" t="s">
        <v>106</v>
      </c>
      <c r="D756" s="0" t="n">
        <v>220.893248100551</v>
      </c>
      <c r="E756" s="0" t="n">
        <v>4.871818182</v>
      </c>
      <c r="F756" s="0" t="n">
        <v>1</v>
      </c>
      <c r="G756" s="0" t="n">
        <v>0</v>
      </c>
      <c r="H756" s="0" t="n">
        <v>0</v>
      </c>
      <c r="I756" s="0" t="n">
        <v>0</v>
      </c>
      <c r="J756" s="0" t="n">
        <v>0</v>
      </c>
      <c r="K756" s="0" t="n">
        <v>0</v>
      </c>
      <c r="L756" s="0" t="n">
        <v>4</v>
      </c>
    </row>
    <row r="757" customFormat="false" ht="15" hidden="false" customHeight="false" outlineLevel="0" collapsed="false">
      <c r="A757" s="5" t="n">
        <v>40351</v>
      </c>
      <c r="B757" s="6" t="s">
        <v>93</v>
      </c>
      <c r="C757" s="6" t="s">
        <v>106</v>
      </c>
      <c r="D757" s="0" t="n">
        <v>189.657883951202</v>
      </c>
      <c r="E757" s="0" t="n">
        <v>4.871818182</v>
      </c>
      <c r="F757" s="0" t="n">
        <v>1</v>
      </c>
      <c r="G757" s="0" t="n">
        <v>0</v>
      </c>
      <c r="H757" s="0" t="n">
        <v>0</v>
      </c>
      <c r="I757" s="0" t="n">
        <v>0</v>
      </c>
      <c r="J757" s="0" t="n">
        <v>0</v>
      </c>
      <c r="K757" s="0" t="n">
        <v>0</v>
      </c>
      <c r="L757" s="0" t="n">
        <v>4</v>
      </c>
    </row>
    <row r="758" customFormat="false" ht="15" hidden="false" customHeight="false" outlineLevel="0" collapsed="false">
      <c r="A758" s="5" t="n">
        <v>40358</v>
      </c>
      <c r="B758" s="6" t="s">
        <v>93</v>
      </c>
      <c r="C758" s="6" t="s">
        <v>106</v>
      </c>
      <c r="D758" s="0" t="n">
        <v>173.358359351338</v>
      </c>
      <c r="E758" s="0" t="n">
        <v>4.871818182</v>
      </c>
      <c r="F758" s="0" t="n">
        <v>1</v>
      </c>
      <c r="G758" s="0" t="n">
        <v>0</v>
      </c>
      <c r="H758" s="0" t="n">
        <v>0</v>
      </c>
      <c r="I758" s="0" t="n">
        <v>0</v>
      </c>
      <c r="J758" s="0" t="n">
        <v>0</v>
      </c>
      <c r="K758" s="0" t="n">
        <v>0</v>
      </c>
      <c r="L758" s="0" t="n">
        <v>4</v>
      </c>
    </row>
    <row r="759" customFormat="false" ht="15" hidden="false" customHeight="false" outlineLevel="0" collapsed="false">
      <c r="A759" s="5" t="n">
        <v>40365</v>
      </c>
      <c r="B759" s="6" t="s">
        <v>93</v>
      </c>
      <c r="C759" s="6" t="s">
        <v>106</v>
      </c>
      <c r="D759" s="0" t="n">
        <v>216.333226334112</v>
      </c>
      <c r="E759" s="0" t="n">
        <v>4.717272727</v>
      </c>
      <c r="F759" s="0" t="n">
        <v>1</v>
      </c>
      <c r="G759" s="0" t="n">
        <v>0</v>
      </c>
      <c r="H759" s="0" t="n">
        <v>0</v>
      </c>
      <c r="I759" s="0" t="n">
        <v>0</v>
      </c>
      <c r="J759" s="0" t="n">
        <v>0</v>
      </c>
      <c r="K759" s="0" t="n">
        <v>0</v>
      </c>
      <c r="L759" s="0" t="n">
        <v>4</v>
      </c>
    </row>
    <row r="760" customFormat="false" ht="15" hidden="false" customHeight="false" outlineLevel="0" collapsed="false">
      <c r="A760" s="5" t="n">
        <v>40372</v>
      </c>
      <c r="B760" s="6" t="s">
        <v>93</v>
      </c>
      <c r="C760" s="6" t="s">
        <v>106</v>
      </c>
      <c r="D760" s="0" t="n">
        <v>210.163197535823</v>
      </c>
      <c r="E760" s="0" t="n">
        <v>4.717272727</v>
      </c>
      <c r="F760" s="0" t="n">
        <v>1</v>
      </c>
      <c r="G760" s="0" t="n">
        <v>0</v>
      </c>
      <c r="H760" s="0" t="n">
        <v>0</v>
      </c>
      <c r="I760" s="0" t="n">
        <v>0</v>
      </c>
      <c r="J760" s="0" t="n">
        <v>0</v>
      </c>
      <c r="K760" s="0" t="n">
        <v>0</v>
      </c>
      <c r="L760" s="0" t="n">
        <v>4</v>
      </c>
    </row>
    <row r="761" customFormat="false" ht="15" hidden="false" customHeight="false" outlineLevel="0" collapsed="false">
      <c r="A761" s="5" t="n">
        <v>40302</v>
      </c>
      <c r="B761" s="6" t="s">
        <v>93</v>
      </c>
      <c r="C761" s="6" t="s">
        <v>107</v>
      </c>
      <c r="D761" s="0" t="n">
        <v>321.263859450252</v>
      </c>
      <c r="E761" s="0" t="n">
        <v>4.59</v>
      </c>
      <c r="F761" s="0" t="n">
        <v>1</v>
      </c>
      <c r="G761" s="0" t="n">
        <v>0</v>
      </c>
      <c r="H761" s="0" t="n">
        <v>0</v>
      </c>
      <c r="I761" s="0" t="n">
        <v>1</v>
      </c>
      <c r="J761" s="0" t="n">
        <v>0</v>
      </c>
      <c r="K761" s="0" t="n">
        <v>1</v>
      </c>
      <c r="L761" s="0" t="n">
        <v>2</v>
      </c>
    </row>
    <row r="762" customFormat="false" ht="15" hidden="false" customHeight="false" outlineLevel="0" collapsed="false">
      <c r="A762" s="5" t="n">
        <v>40309</v>
      </c>
      <c r="B762" s="6" t="s">
        <v>93</v>
      </c>
      <c r="C762" s="6" t="s">
        <v>107</v>
      </c>
      <c r="D762" s="0" t="n">
        <v>426.239305635777</v>
      </c>
      <c r="E762" s="0" t="n">
        <v>4.608181818</v>
      </c>
      <c r="F762" s="0" t="n">
        <v>1</v>
      </c>
      <c r="G762" s="0" t="n">
        <v>0</v>
      </c>
      <c r="H762" s="0" t="n">
        <v>0</v>
      </c>
      <c r="I762" s="0" t="n">
        <v>1</v>
      </c>
      <c r="J762" s="0" t="n">
        <v>0</v>
      </c>
      <c r="K762" s="0" t="n">
        <v>1</v>
      </c>
      <c r="L762" s="0" t="n">
        <v>2</v>
      </c>
    </row>
    <row r="763" customFormat="false" ht="15" hidden="false" customHeight="false" outlineLevel="0" collapsed="false">
      <c r="A763" s="5" t="n">
        <v>40316</v>
      </c>
      <c r="B763" s="6" t="s">
        <v>93</v>
      </c>
      <c r="C763" s="6" t="s">
        <v>107</v>
      </c>
      <c r="D763" s="0" t="n">
        <v>237.750020544913</v>
      </c>
      <c r="E763" s="0" t="n">
        <v>4.482307692</v>
      </c>
      <c r="F763" s="0" t="n">
        <v>1</v>
      </c>
      <c r="G763" s="0" t="n">
        <v>0</v>
      </c>
      <c r="H763" s="0" t="n">
        <v>0</v>
      </c>
      <c r="I763" s="0" t="n">
        <v>1</v>
      </c>
      <c r="J763" s="0" t="n">
        <v>1</v>
      </c>
      <c r="K763" s="0" t="n">
        <v>1</v>
      </c>
      <c r="L763" s="0" t="n">
        <v>2</v>
      </c>
    </row>
    <row r="764" customFormat="false" ht="15" hidden="false" customHeight="false" outlineLevel="0" collapsed="false">
      <c r="A764" s="5" t="n">
        <v>40323</v>
      </c>
      <c r="B764" s="6" t="s">
        <v>93</v>
      </c>
      <c r="C764" s="6" t="s">
        <v>107</v>
      </c>
      <c r="D764" s="0" t="n">
        <v>297.373327631735</v>
      </c>
      <c r="E764" s="0" t="n">
        <v>4.482307692</v>
      </c>
      <c r="F764" s="0" t="n">
        <v>1</v>
      </c>
      <c r="G764" s="0" t="n">
        <v>0</v>
      </c>
      <c r="H764" s="0" t="n">
        <v>0</v>
      </c>
      <c r="I764" s="0" t="n">
        <v>0</v>
      </c>
      <c r="J764" s="0" t="n">
        <v>1</v>
      </c>
      <c r="K764" s="0" t="n">
        <v>1</v>
      </c>
      <c r="L764" s="0" t="n">
        <v>2</v>
      </c>
    </row>
    <row r="765" customFormat="false" ht="15" hidden="false" customHeight="false" outlineLevel="0" collapsed="false">
      <c r="A765" s="5" t="n">
        <v>40330</v>
      </c>
      <c r="B765" s="6" t="s">
        <v>93</v>
      </c>
      <c r="C765" s="6" t="s">
        <v>107</v>
      </c>
      <c r="D765" s="0" t="n">
        <v>396.94922232825</v>
      </c>
      <c r="E765" s="0" t="n">
        <v>4.482307692</v>
      </c>
      <c r="F765" s="0" t="n">
        <v>1</v>
      </c>
      <c r="G765" s="0" t="n">
        <v>0</v>
      </c>
      <c r="H765" s="0" t="n">
        <v>0</v>
      </c>
      <c r="I765" s="0" t="n">
        <v>0</v>
      </c>
      <c r="J765" s="0" t="n">
        <v>1</v>
      </c>
      <c r="K765" s="0" t="n">
        <v>1</v>
      </c>
      <c r="L765" s="0" t="n">
        <v>2</v>
      </c>
    </row>
    <row r="766" customFormat="false" ht="15" hidden="false" customHeight="false" outlineLevel="0" collapsed="false">
      <c r="A766" s="5" t="n">
        <v>40337</v>
      </c>
      <c r="B766" s="6" t="s">
        <v>93</v>
      </c>
      <c r="C766" s="6" t="s">
        <v>107</v>
      </c>
      <c r="D766" s="0" t="n">
        <v>138.819651063657</v>
      </c>
      <c r="E766" s="0" t="n">
        <v>4.866923077</v>
      </c>
      <c r="F766" s="0" t="n">
        <v>1</v>
      </c>
      <c r="G766" s="0" t="n">
        <v>0</v>
      </c>
      <c r="H766" s="0" t="n">
        <v>0</v>
      </c>
      <c r="I766" s="0" t="n">
        <v>0</v>
      </c>
      <c r="J766" s="0" t="n">
        <v>0</v>
      </c>
      <c r="K766" s="0" t="n">
        <v>1</v>
      </c>
      <c r="L766" s="0" t="n">
        <v>2</v>
      </c>
    </row>
    <row r="767" customFormat="false" ht="15" hidden="false" customHeight="false" outlineLevel="0" collapsed="false">
      <c r="A767" s="5" t="n">
        <v>40344</v>
      </c>
      <c r="B767" s="6" t="s">
        <v>93</v>
      </c>
      <c r="C767" s="6" t="s">
        <v>107</v>
      </c>
      <c r="D767" s="0" t="n">
        <v>707.66887456326</v>
      </c>
      <c r="E767" s="0" t="n">
        <v>4.153846154</v>
      </c>
      <c r="F767" s="0" t="n">
        <v>1</v>
      </c>
      <c r="G767" s="0" t="n">
        <v>1</v>
      </c>
      <c r="H767" s="0" t="n">
        <v>0</v>
      </c>
      <c r="I767" s="0" t="n">
        <v>0</v>
      </c>
      <c r="J767" s="0" t="n">
        <v>0</v>
      </c>
      <c r="K767" s="0" t="n">
        <v>1</v>
      </c>
      <c r="L767" s="0" t="n">
        <v>2</v>
      </c>
    </row>
    <row r="768" customFormat="false" ht="15" hidden="false" customHeight="false" outlineLevel="0" collapsed="false">
      <c r="A768" s="5" t="n">
        <v>40351</v>
      </c>
      <c r="B768" s="6" t="s">
        <v>93</v>
      </c>
      <c r="C768" s="6" t="s">
        <v>107</v>
      </c>
      <c r="D768" s="0" t="n">
        <v>636.791415479701</v>
      </c>
      <c r="E768" s="0" t="n">
        <v>4.120769231</v>
      </c>
      <c r="F768" s="0" t="n">
        <v>1</v>
      </c>
      <c r="G768" s="0" t="n">
        <v>1</v>
      </c>
      <c r="H768" s="0" t="n">
        <v>0</v>
      </c>
      <c r="I768" s="0" t="n">
        <v>0</v>
      </c>
      <c r="J768" s="0" t="n">
        <v>0</v>
      </c>
      <c r="K768" s="0" t="n">
        <v>1</v>
      </c>
      <c r="L768" s="0" t="n">
        <v>2</v>
      </c>
    </row>
    <row r="769" customFormat="false" ht="15" hidden="false" customHeight="false" outlineLevel="0" collapsed="false">
      <c r="A769" s="5" t="n">
        <v>40358</v>
      </c>
      <c r="B769" s="6" t="s">
        <v>93</v>
      </c>
      <c r="C769" s="6" t="s">
        <v>107</v>
      </c>
      <c r="D769" s="0" t="n">
        <v>740.160658328604</v>
      </c>
      <c r="E769" s="0" t="n">
        <v>4.120769231</v>
      </c>
      <c r="F769" s="0" t="n">
        <v>1</v>
      </c>
      <c r="G769" s="0" t="n">
        <v>1</v>
      </c>
      <c r="H769" s="0" t="n">
        <v>0</v>
      </c>
      <c r="I769" s="0" t="n">
        <v>0</v>
      </c>
      <c r="J769" s="0" t="n">
        <v>0</v>
      </c>
      <c r="K769" s="0" t="n">
        <v>1</v>
      </c>
      <c r="L769" s="0" t="n">
        <v>2</v>
      </c>
    </row>
    <row r="770" customFormat="false" ht="15" hidden="false" customHeight="false" outlineLevel="0" collapsed="false">
      <c r="A770" s="5" t="n">
        <v>40365</v>
      </c>
      <c r="B770" s="6" t="s">
        <v>93</v>
      </c>
      <c r="C770" s="6" t="s">
        <v>107</v>
      </c>
      <c r="D770" s="0" t="n">
        <v>734.229924836268</v>
      </c>
      <c r="E770" s="0" t="n">
        <v>4.732307692</v>
      </c>
      <c r="F770" s="0" t="n">
        <v>1</v>
      </c>
      <c r="G770" s="0" t="n">
        <v>1</v>
      </c>
      <c r="H770" s="0" t="n">
        <v>0</v>
      </c>
      <c r="I770" s="0" t="n">
        <v>0</v>
      </c>
      <c r="J770" s="0" t="n">
        <v>0</v>
      </c>
      <c r="K770" s="0" t="n">
        <v>1</v>
      </c>
      <c r="L770" s="0" t="n">
        <v>2</v>
      </c>
    </row>
    <row r="771" customFormat="false" ht="15" hidden="false" customHeight="false" outlineLevel="0" collapsed="false">
      <c r="A771" s="5" t="n">
        <v>40372</v>
      </c>
      <c r="B771" s="6" t="s">
        <v>93</v>
      </c>
      <c r="C771" s="6" t="s">
        <v>107</v>
      </c>
      <c r="D771" s="0" t="n">
        <v>617.708646560797</v>
      </c>
      <c r="E771" s="0" t="n">
        <v>4.728461538</v>
      </c>
      <c r="F771" s="0" t="n">
        <v>1</v>
      </c>
      <c r="G771" s="0" t="n">
        <v>1</v>
      </c>
      <c r="H771" s="0" t="n">
        <v>0</v>
      </c>
      <c r="I771" s="0" t="n">
        <v>0</v>
      </c>
      <c r="J771" s="0" t="n">
        <v>0</v>
      </c>
      <c r="K771" s="0" t="n">
        <v>1</v>
      </c>
      <c r="L771" s="0" t="n">
        <v>2</v>
      </c>
    </row>
    <row r="772" customFormat="false" ht="15" hidden="false" customHeight="false" outlineLevel="0" collapsed="false">
      <c r="A772" s="5" t="n">
        <v>40302</v>
      </c>
      <c r="B772" s="6" t="s">
        <v>93</v>
      </c>
      <c r="C772" s="6" t="s">
        <v>108</v>
      </c>
      <c r="D772" s="0" t="n">
        <v>161.064127867517</v>
      </c>
      <c r="E772" s="0" t="n">
        <v>4.623333333</v>
      </c>
      <c r="F772" s="0" t="n">
        <v>1</v>
      </c>
      <c r="G772" s="0" t="n">
        <v>0</v>
      </c>
      <c r="H772" s="0" t="n">
        <v>0</v>
      </c>
      <c r="I772" s="0" t="n">
        <v>0</v>
      </c>
      <c r="J772" s="0" t="n">
        <v>0</v>
      </c>
      <c r="K772" s="0" t="n">
        <v>2</v>
      </c>
      <c r="L772" s="0" t="n">
        <v>0</v>
      </c>
    </row>
    <row r="773" customFormat="false" ht="15" hidden="false" customHeight="false" outlineLevel="0" collapsed="false">
      <c r="A773" s="5" t="n">
        <v>40309</v>
      </c>
      <c r="B773" s="6" t="s">
        <v>93</v>
      </c>
      <c r="C773" s="6" t="s">
        <v>108</v>
      </c>
      <c r="D773" s="0" t="n">
        <v>227.284097213415</v>
      </c>
      <c r="E773" s="0" t="n">
        <v>4.680909091</v>
      </c>
      <c r="F773" s="0" t="n">
        <v>1</v>
      </c>
      <c r="G773" s="0" t="n">
        <v>0</v>
      </c>
      <c r="H773" s="0" t="n">
        <v>0</v>
      </c>
      <c r="I773" s="0" t="n">
        <v>0</v>
      </c>
      <c r="J773" s="0" t="n">
        <v>0</v>
      </c>
      <c r="K773" s="0" t="n">
        <v>2</v>
      </c>
      <c r="L773" s="0" t="n">
        <v>0</v>
      </c>
    </row>
    <row r="774" customFormat="false" ht="15" hidden="false" customHeight="false" outlineLevel="0" collapsed="false">
      <c r="A774" s="5" t="n">
        <v>40316</v>
      </c>
      <c r="B774" s="6" t="s">
        <v>93</v>
      </c>
      <c r="C774" s="6" t="s">
        <v>108</v>
      </c>
      <c r="D774" s="0" t="n">
        <v>269.70609159207</v>
      </c>
      <c r="E774" s="0" t="n">
        <v>4.482307692</v>
      </c>
      <c r="F774" s="0" t="n">
        <v>1</v>
      </c>
      <c r="G774" s="0" t="n">
        <v>0</v>
      </c>
      <c r="H774" s="0" t="n">
        <v>0</v>
      </c>
      <c r="I774" s="0" t="n">
        <v>0</v>
      </c>
      <c r="J774" s="0" t="n">
        <v>0</v>
      </c>
      <c r="K774" s="0" t="n">
        <v>2</v>
      </c>
      <c r="L774" s="0" t="n">
        <v>0</v>
      </c>
    </row>
    <row r="775" customFormat="false" ht="15" hidden="false" customHeight="false" outlineLevel="0" collapsed="false">
      <c r="A775" s="5" t="n">
        <v>40323</v>
      </c>
      <c r="B775" s="6" t="s">
        <v>93</v>
      </c>
      <c r="C775" s="6" t="s">
        <v>108</v>
      </c>
      <c r="D775" s="0" t="n">
        <v>311.636851149669</v>
      </c>
      <c r="E775" s="0" t="n">
        <v>4.482307692</v>
      </c>
      <c r="F775" s="0" t="n">
        <v>1</v>
      </c>
      <c r="G775" s="0" t="n">
        <v>0</v>
      </c>
      <c r="H775" s="0" t="n">
        <v>0</v>
      </c>
      <c r="I775" s="0" t="n">
        <v>0</v>
      </c>
      <c r="J775" s="0" t="n">
        <v>0</v>
      </c>
      <c r="K775" s="0" t="n">
        <v>2</v>
      </c>
      <c r="L775" s="0" t="n">
        <v>0</v>
      </c>
    </row>
    <row r="776" customFormat="false" ht="15" hidden="false" customHeight="false" outlineLevel="0" collapsed="false">
      <c r="A776" s="5" t="n">
        <v>40330</v>
      </c>
      <c r="B776" s="6" t="s">
        <v>93</v>
      </c>
      <c r="C776" s="6" t="s">
        <v>108</v>
      </c>
      <c r="D776" s="0" t="n">
        <v>211.914276165617</v>
      </c>
      <c r="E776" s="0" t="n">
        <v>4.29</v>
      </c>
      <c r="F776" s="0" t="n">
        <v>1</v>
      </c>
      <c r="G776" s="0" t="n">
        <v>0</v>
      </c>
      <c r="H776" s="0" t="n">
        <v>0</v>
      </c>
      <c r="I776" s="0" t="n">
        <v>0</v>
      </c>
      <c r="J776" s="0" t="n">
        <v>0</v>
      </c>
      <c r="K776" s="0" t="n">
        <v>2</v>
      </c>
      <c r="L776" s="0" t="n">
        <v>0</v>
      </c>
    </row>
    <row r="777" customFormat="false" ht="15" hidden="false" customHeight="false" outlineLevel="0" collapsed="false">
      <c r="A777" s="5" t="n">
        <v>40337</v>
      </c>
      <c r="B777" s="6" t="s">
        <v>93</v>
      </c>
      <c r="C777" s="6" t="s">
        <v>108</v>
      </c>
      <c r="D777" s="0" t="n">
        <v>252.792686888734</v>
      </c>
      <c r="E777" s="0" t="n">
        <v>4.907692308</v>
      </c>
      <c r="F777" s="0" t="n">
        <v>1</v>
      </c>
      <c r="G777" s="0" t="n">
        <v>0</v>
      </c>
      <c r="H777" s="0" t="n">
        <v>0</v>
      </c>
      <c r="I777" s="0" t="n">
        <v>0</v>
      </c>
      <c r="J777" s="0" t="n">
        <v>0</v>
      </c>
      <c r="K777" s="0" t="n">
        <v>2</v>
      </c>
      <c r="L777" s="0" t="n">
        <v>0</v>
      </c>
    </row>
    <row r="778" customFormat="false" ht="15" hidden="false" customHeight="false" outlineLevel="0" collapsed="false">
      <c r="A778" s="5" t="n">
        <v>40344</v>
      </c>
      <c r="B778" s="6" t="s">
        <v>93</v>
      </c>
      <c r="C778" s="6" t="s">
        <v>108</v>
      </c>
      <c r="D778" s="0" t="n">
        <v>709.087682354278</v>
      </c>
      <c r="E778" s="0" t="n">
        <v>4.859230769</v>
      </c>
      <c r="F778" s="0" t="n">
        <v>1</v>
      </c>
      <c r="G778" s="0" t="n">
        <v>1</v>
      </c>
      <c r="H778" s="0" t="n">
        <v>0</v>
      </c>
      <c r="I778" s="0" t="n">
        <v>0</v>
      </c>
      <c r="J778" s="0" t="n">
        <v>0</v>
      </c>
      <c r="K778" s="0" t="n">
        <v>2</v>
      </c>
      <c r="L778" s="0" t="n">
        <v>0</v>
      </c>
    </row>
    <row r="779" customFormat="false" ht="15" hidden="false" customHeight="false" outlineLevel="0" collapsed="false">
      <c r="A779" s="5" t="n">
        <v>40351</v>
      </c>
      <c r="B779" s="6" t="s">
        <v>93</v>
      </c>
      <c r="C779" s="6" t="s">
        <v>108</v>
      </c>
      <c r="D779" s="0" t="n">
        <v>736.30154065279</v>
      </c>
      <c r="E779" s="0" t="n">
        <v>4.29</v>
      </c>
      <c r="F779" s="0" t="n">
        <v>1</v>
      </c>
      <c r="G779" s="0" t="n">
        <v>1</v>
      </c>
      <c r="H779" s="0" t="n">
        <v>0</v>
      </c>
      <c r="I779" s="0" t="n">
        <v>0</v>
      </c>
      <c r="J779" s="0" t="n">
        <v>0</v>
      </c>
      <c r="K779" s="0" t="n">
        <v>2</v>
      </c>
      <c r="L779" s="0" t="n">
        <v>0</v>
      </c>
    </row>
    <row r="780" customFormat="false" ht="15" hidden="false" customHeight="false" outlineLevel="0" collapsed="false">
      <c r="A780" s="5" t="n">
        <v>40358</v>
      </c>
      <c r="B780" s="6" t="s">
        <v>93</v>
      </c>
      <c r="C780" s="6" t="s">
        <v>108</v>
      </c>
      <c r="D780" s="0" t="n">
        <v>663.243682505147</v>
      </c>
      <c r="E780" s="0" t="n">
        <v>4.846923077</v>
      </c>
      <c r="F780" s="0" t="n">
        <v>1</v>
      </c>
      <c r="G780" s="0" t="n">
        <v>1</v>
      </c>
      <c r="H780" s="0" t="n">
        <v>0</v>
      </c>
      <c r="I780" s="0" t="n">
        <v>0</v>
      </c>
      <c r="J780" s="0" t="n">
        <v>0</v>
      </c>
      <c r="K780" s="0" t="n">
        <v>2</v>
      </c>
      <c r="L780" s="0" t="n">
        <v>0</v>
      </c>
    </row>
    <row r="781" customFormat="false" ht="15" hidden="false" customHeight="false" outlineLevel="0" collapsed="false">
      <c r="A781" s="5" t="n">
        <v>40365</v>
      </c>
      <c r="B781" s="6" t="s">
        <v>93</v>
      </c>
      <c r="C781" s="6" t="s">
        <v>108</v>
      </c>
      <c r="D781" s="0" t="n">
        <v>739.004010201696</v>
      </c>
      <c r="E781" s="0" t="n">
        <v>4.499090909</v>
      </c>
      <c r="F781" s="0" t="n">
        <v>1</v>
      </c>
      <c r="G781" s="0" t="n">
        <v>1</v>
      </c>
      <c r="H781" s="0" t="n">
        <v>0</v>
      </c>
      <c r="I781" s="0" t="n">
        <v>0</v>
      </c>
      <c r="J781" s="0" t="n">
        <v>0</v>
      </c>
      <c r="K781" s="0" t="n">
        <v>2</v>
      </c>
      <c r="L781" s="0" t="n">
        <v>0</v>
      </c>
    </row>
    <row r="782" customFormat="false" ht="15" hidden="false" customHeight="false" outlineLevel="0" collapsed="false">
      <c r="A782" s="5" t="n">
        <v>40372</v>
      </c>
      <c r="B782" s="6" t="s">
        <v>93</v>
      </c>
      <c r="C782" s="6" t="s">
        <v>108</v>
      </c>
      <c r="D782" s="0" t="n">
        <v>681.152221750279</v>
      </c>
      <c r="E782" s="0" t="n">
        <v>4.55</v>
      </c>
      <c r="F782" s="0" t="n">
        <v>1</v>
      </c>
      <c r="G782" s="0" t="n">
        <v>1</v>
      </c>
      <c r="H782" s="0" t="n">
        <v>0</v>
      </c>
      <c r="I782" s="0" t="n">
        <v>0</v>
      </c>
      <c r="J782" s="0" t="n">
        <v>0</v>
      </c>
      <c r="K782" s="0" t="n">
        <v>2</v>
      </c>
      <c r="L782" s="0" t="n">
        <v>0</v>
      </c>
    </row>
    <row r="783" customFormat="false" ht="15" hidden="false" customHeight="false" outlineLevel="0" collapsed="false">
      <c r="A783" s="5" t="n">
        <v>40302</v>
      </c>
      <c r="B783" s="6" t="s">
        <v>109</v>
      </c>
      <c r="C783" s="6" t="s">
        <v>110</v>
      </c>
      <c r="D783" s="0" t="n">
        <v>127.978546530786</v>
      </c>
      <c r="E783" s="0" t="n">
        <v>4.632857143</v>
      </c>
      <c r="F783" s="0" t="n">
        <v>0</v>
      </c>
      <c r="G783" s="0" t="n">
        <v>0</v>
      </c>
      <c r="H783" s="0" t="n">
        <v>0</v>
      </c>
      <c r="I783" s="0" t="n">
        <v>0</v>
      </c>
      <c r="J783" s="0" t="n">
        <v>0</v>
      </c>
      <c r="K783" s="0" t="n">
        <v>1</v>
      </c>
      <c r="L783" s="0" t="n">
        <v>2</v>
      </c>
    </row>
    <row r="784" customFormat="false" ht="15" hidden="false" customHeight="false" outlineLevel="0" collapsed="false">
      <c r="A784" s="5" t="n">
        <v>40309</v>
      </c>
      <c r="B784" s="6" t="s">
        <v>109</v>
      </c>
      <c r="C784" s="6" t="s">
        <v>110</v>
      </c>
      <c r="D784" s="0" t="n">
        <v>152.534660173958</v>
      </c>
      <c r="E784" s="0" t="n">
        <v>4.9275</v>
      </c>
      <c r="F784" s="0" t="n">
        <v>0</v>
      </c>
      <c r="G784" s="0" t="n">
        <v>0</v>
      </c>
      <c r="H784" s="0" t="n">
        <v>0</v>
      </c>
      <c r="I784" s="0" t="n">
        <v>0</v>
      </c>
      <c r="J784" s="0" t="n">
        <v>0</v>
      </c>
      <c r="K784" s="0" t="n">
        <v>1</v>
      </c>
      <c r="L784" s="0" t="n">
        <v>2</v>
      </c>
    </row>
    <row r="785" customFormat="false" ht="15" hidden="false" customHeight="false" outlineLevel="0" collapsed="false">
      <c r="A785" s="5" t="n">
        <v>40316</v>
      </c>
      <c r="B785" s="6" t="s">
        <v>109</v>
      </c>
      <c r="C785" s="6" t="s">
        <v>110</v>
      </c>
      <c r="D785" s="0" t="n">
        <v>250.596457115236</v>
      </c>
      <c r="E785" s="0" t="n">
        <v>4.36875</v>
      </c>
      <c r="F785" s="0" t="n">
        <v>0</v>
      </c>
      <c r="G785" s="0" t="n">
        <v>0</v>
      </c>
      <c r="H785" s="0" t="n">
        <v>0</v>
      </c>
      <c r="I785" s="0" t="n">
        <v>0</v>
      </c>
      <c r="J785" s="0" t="n">
        <v>0</v>
      </c>
      <c r="K785" s="0" t="n">
        <v>1</v>
      </c>
      <c r="L785" s="0" t="n">
        <v>2</v>
      </c>
    </row>
    <row r="786" customFormat="false" ht="15" hidden="false" customHeight="false" outlineLevel="0" collapsed="false">
      <c r="A786" s="5" t="n">
        <v>40323</v>
      </c>
      <c r="B786" s="6" t="s">
        <v>109</v>
      </c>
      <c r="C786" s="6" t="s">
        <v>110</v>
      </c>
      <c r="D786" s="0" t="n">
        <v>230.187753216358</v>
      </c>
      <c r="E786" s="0" t="n">
        <v>4.208571429</v>
      </c>
      <c r="F786" s="0" t="n">
        <v>1</v>
      </c>
      <c r="G786" s="0" t="n">
        <v>0</v>
      </c>
      <c r="H786" s="0" t="n">
        <v>0</v>
      </c>
      <c r="I786" s="0" t="n">
        <v>0</v>
      </c>
      <c r="J786" s="0" t="n">
        <v>0</v>
      </c>
      <c r="K786" s="0" t="n">
        <v>1</v>
      </c>
      <c r="L786" s="0" t="n">
        <v>2</v>
      </c>
    </row>
    <row r="787" customFormat="false" ht="15" hidden="false" customHeight="false" outlineLevel="0" collapsed="false">
      <c r="A787" s="5" t="n">
        <v>40330</v>
      </c>
      <c r="B787" s="6" t="s">
        <v>109</v>
      </c>
      <c r="C787" s="6" t="s">
        <v>110</v>
      </c>
      <c r="D787" s="0" t="n">
        <v>258.266482498791</v>
      </c>
      <c r="E787" s="0" t="n">
        <v>4.208571429</v>
      </c>
      <c r="F787" s="0" t="n">
        <v>1</v>
      </c>
      <c r="G787" s="0" t="n">
        <v>0</v>
      </c>
      <c r="H787" s="0" t="n">
        <v>0</v>
      </c>
      <c r="I787" s="0" t="n">
        <v>0</v>
      </c>
      <c r="J787" s="0" t="n">
        <v>0</v>
      </c>
      <c r="K787" s="0" t="n">
        <v>1</v>
      </c>
      <c r="L787" s="0" t="n">
        <v>2</v>
      </c>
    </row>
    <row r="788" customFormat="false" ht="15" hidden="false" customHeight="false" outlineLevel="0" collapsed="false">
      <c r="A788" s="5" t="n">
        <v>40337</v>
      </c>
      <c r="B788" s="6" t="s">
        <v>109</v>
      </c>
      <c r="C788" s="6" t="s">
        <v>110</v>
      </c>
      <c r="D788" s="0" t="n">
        <v>120.971747224715</v>
      </c>
      <c r="E788" s="0" t="n">
        <v>4.632857143</v>
      </c>
      <c r="F788" s="0" t="n">
        <v>1</v>
      </c>
      <c r="G788" s="0" t="n">
        <v>0</v>
      </c>
      <c r="H788" s="0" t="n">
        <v>0</v>
      </c>
      <c r="I788" s="0" t="n">
        <v>0</v>
      </c>
      <c r="J788" s="0" t="n">
        <v>0</v>
      </c>
      <c r="K788" s="0" t="n">
        <v>1</v>
      </c>
      <c r="L788" s="0" t="n">
        <v>2</v>
      </c>
    </row>
    <row r="789" customFormat="false" ht="15" hidden="false" customHeight="false" outlineLevel="0" collapsed="false">
      <c r="A789" s="5" t="n">
        <v>40344</v>
      </c>
      <c r="B789" s="6" t="s">
        <v>109</v>
      </c>
      <c r="C789" s="6" t="s">
        <v>110</v>
      </c>
      <c r="D789" s="0" t="n">
        <v>323.955242577775</v>
      </c>
      <c r="E789" s="0" t="n">
        <v>4.645555556</v>
      </c>
      <c r="F789" s="0" t="n">
        <v>1</v>
      </c>
      <c r="G789" s="0" t="n">
        <v>0</v>
      </c>
      <c r="H789" s="0" t="n">
        <v>1</v>
      </c>
      <c r="I789" s="0" t="n">
        <v>0</v>
      </c>
      <c r="J789" s="0" t="n">
        <v>0</v>
      </c>
      <c r="K789" s="0" t="n">
        <v>1</v>
      </c>
      <c r="L789" s="0" t="n">
        <v>2</v>
      </c>
    </row>
    <row r="790" customFormat="false" ht="15" hidden="false" customHeight="false" outlineLevel="0" collapsed="false">
      <c r="A790" s="5" t="n">
        <v>40351</v>
      </c>
      <c r="B790" s="6" t="s">
        <v>109</v>
      </c>
      <c r="C790" s="6" t="s">
        <v>110</v>
      </c>
      <c r="D790" s="0" t="n">
        <v>332.539582844654</v>
      </c>
      <c r="E790" s="0" t="n">
        <v>4.12</v>
      </c>
      <c r="F790" s="0" t="n">
        <v>1</v>
      </c>
      <c r="G790" s="0" t="n">
        <v>0</v>
      </c>
      <c r="H790" s="0" t="n">
        <v>0</v>
      </c>
      <c r="I790" s="0" t="n">
        <v>1</v>
      </c>
      <c r="J790" s="0" t="n">
        <v>0</v>
      </c>
      <c r="K790" s="0" t="n">
        <v>1</v>
      </c>
      <c r="L790" s="0" t="n">
        <v>2</v>
      </c>
    </row>
    <row r="791" customFormat="false" ht="15" hidden="false" customHeight="false" outlineLevel="0" collapsed="false">
      <c r="A791" s="5" t="n">
        <v>40358</v>
      </c>
      <c r="B791" s="6" t="s">
        <v>109</v>
      </c>
      <c r="C791" s="6" t="s">
        <v>110</v>
      </c>
      <c r="D791" s="0" t="n">
        <v>318.754802063313</v>
      </c>
      <c r="E791" s="0" t="n">
        <v>4.12</v>
      </c>
      <c r="F791" s="0" t="n">
        <v>1</v>
      </c>
      <c r="G791" s="0" t="n">
        <v>0</v>
      </c>
      <c r="H791" s="0" t="n">
        <v>0</v>
      </c>
      <c r="I791" s="0" t="n">
        <v>1</v>
      </c>
      <c r="J791" s="0" t="n">
        <v>0</v>
      </c>
      <c r="K791" s="0" t="n">
        <v>1</v>
      </c>
      <c r="L791" s="0" t="n">
        <v>2</v>
      </c>
    </row>
    <row r="792" customFormat="false" ht="15" hidden="false" customHeight="false" outlineLevel="0" collapsed="false">
      <c r="A792" s="5" t="n">
        <v>40365</v>
      </c>
      <c r="B792" s="6" t="s">
        <v>109</v>
      </c>
      <c r="C792" s="6" t="s">
        <v>110</v>
      </c>
      <c r="D792" s="0" t="n">
        <v>333.848052011466</v>
      </c>
      <c r="E792" s="0" t="n">
        <v>3.311111111</v>
      </c>
      <c r="F792" s="0" t="n">
        <v>1</v>
      </c>
      <c r="G792" s="0" t="n">
        <v>0</v>
      </c>
      <c r="H792" s="0" t="n">
        <v>0</v>
      </c>
      <c r="I792" s="0" t="n">
        <v>1</v>
      </c>
      <c r="J792" s="0" t="n">
        <v>0</v>
      </c>
      <c r="K792" s="0" t="n">
        <v>1</v>
      </c>
      <c r="L792" s="0" t="n">
        <v>2</v>
      </c>
    </row>
    <row r="793" customFormat="false" ht="15" hidden="false" customHeight="false" outlineLevel="0" collapsed="false">
      <c r="A793" s="5" t="n">
        <v>40372</v>
      </c>
      <c r="B793" s="6" t="s">
        <v>109</v>
      </c>
      <c r="C793" s="6" t="s">
        <v>110</v>
      </c>
      <c r="D793" s="0" t="n">
        <v>335.281314647376</v>
      </c>
      <c r="E793" s="0" t="n">
        <v>3.147</v>
      </c>
      <c r="F793" s="0" t="n">
        <v>1</v>
      </c>
      <c r="G793" s="0" t="n">
        <v>0</v>
      </c>
      <c r="H793" s="0" t="n">
        <v>0</v>
      </c>
      <c r="I793" s="0" t="n">
        <v>0</v>
      </c>
      <c r="J793" s="0" t="n">
        <v>1</v>
      </c>
      <c r="K793" s="0" t="n">
        <v>1</v>
      </c>
      <c r="L793" s="0" t="n">
        <v>2</v>
      </c>
    </row>
    <row r="794" customFormat="false" ht="15" hidden="false" customHeight="false" outlineLevel="0" collapsed="false">
      <c r="A794" s="5" t="n">
        <v>40302</v>
      </c>
      <c r="B794" s="6" t="s">
        <v>109</v>
      </c>
      <c r="C794" s="6" t="s">
        <v>111</v>
      </c>
      <c r="D794" s="0" t="n">
        <v>169.601608456882</v>
      </c>
      <c r="E794" s="0" t="n">
        <v>4.24</v>
      </c>
      <c r="F794" s="0" t="n">
        <v>0</v>
      </c>
      <c r="G794" s="0" t="n">
        <v>0</v>
      </c>
      <c r="H794" s="0" t="n">
        <v>0</v>
      </c>
      <c r="I794" s="0" t="n">
        <v>0</v>
      </c>
      <c r="J794" s="0" t="n">
        <v>0</v>
      </c>
      <c r="K794" s="0" t="n">
        <v>2</v>
      </c>
      <c r="L794" s="0" t="n">
        <v>1</v>
      </c>
    </row>
    <row r="795" customFormat="false" ht="15" hidden="false" customHeight="false" outlineLevel="0" collapsed="false">
      <c r="A795" s="5" t="n">
        <v>40309</v>
      </c>
      <c r="B795" s="6" t="s">
        <v>109</v>
      </c>
      <c r="C795" s="6" t="s">
        <v>111</v>
      </c>
      <c r="D795" s="0" t="n">
        <v>209.397148810628</v>
      </c>
      <c r="E795" s="0" t="n">
        <v>4.228333333</v>
      </c>
      <c r="F795" s="0" t="n">
        <v>0</v>
      </c>
      <c r="G795" s="0" t="n">
        <v>0</v>
      </c>
      <c r="H795" s="0" t="n">
        <v>0</v>
      </c>
      <c r="I795" s="0" t="n">
        <v>0</v>
      </c>
      <c r="J795" s="0" t="n">
        <v>0</v>
      </c>
      <c r="K795" s="0" t="n">
        <v>2</v>
      </c>
      <c r="L795" s="0" t="n">
        <v>1</v>
      </c>
    </row>
    <row r="796" customFormat="false" ht="15" hidden="false" customHeight="false" outlineLevel="0" collapsed="false">
      <c r="A796" s="5" t="n">
        <v>40316</v>
      </c>
      <c r="B796" s="6" t="s">
        <v>109</v>
      </c>
      <c r="C796" s="6" t="s">
        <v>111</v>
      </c>
      <c r="D796" s="0" t="n">
        <v>196.349603946756</v>
      </c>
      <c r="E796" s="0" t="n">
        <v>3.995</v>
      </c>
      <c r="F796" s="0" t="n">
        <v>0</v>
      </c>
      <c r="G796" s="0" t="n">
        <v>0</v>
      </c>
      <c r="H796" s="0" t="n">
        <v>0</v>
      </c>
      <c r="I796" s="0" t="n">
        <v>0</v>
      </c>
      <c r="J796" s="0" t="n">
        <v>0</v>
      </c>
      <c r="K796" s="0" t="n">
        <v>2</v>
      </c>
      <c r="L796" s="0" t="n">
        <v>1</v>
      </c>
    </row>
    <row r="797" customFormat="false" ht="15" hidden="false" customHeight="false" outlineLevel="0" collapsed="false">
      <c r="A797" s="5" t="n">
        <v>40323</v>
      </c>
      <c r="B797" s="6" t="s">
        <v>109</v>
      </c>
      <c r="C797" s="6" t="s">
        <v>111</v>
      </c>
      <c r="D797" s="0" t="n">
        <v>358.380552167768</v>
      </c>
      <c r="E797" s="0" t="n">
        <v>3.995</v>
      </c>
      <c r="F797" s="0" t="n">
        <v>1</v>
      </c>
      <c r="G797" s="0" t="n">
        <v>0</v>
      </c>
      <c r="H797" s="0" t="n">
        <v>0</v>
      </c>
      <c r="I797" s="0" t="n">
        <v>0</v>
      </c>
      <c r="J797" s="0" t="n">
        <v>0</v>
      </c>
      <c r="K797" s="0" t="n">
        <v>2</v>
      </c>
      <c r="L797" s="0" t="n">
        <v>1</v>
      </c>
    </row>
    <row r="798" customFormat="false" ht="15" hidden="false" customHeight="false" outlineLevel="0" collapsed="false">
      <c r="A798" s="5" t="n">
        <v>40330</v>
      </c>
      <c r="B798" s="6" t="s">
        <v>109</v>
      </c>
      <c r="C798" s="6" t="s">
        <v>111</v>
      </c>
      <c r="D798" s="0" t="n">
        <v>198.009539360178</v>
      </c>
      <c r="E798" s="0" t="n">
        <v>3.995</v>
      </c>
      <c r="F798" s="0" t="n">
        <v>1</v>
      </c>
      <c r="G798" s="0" t="n">
        <v>0</v>
      </c>
      <c r="H798" s="0" t="n">
        <v>0</v>
      </c>
      <c r="I798" s="0" t="n">
        <v>0</v>
      </c>
      <c r="J798" s="0" t="n">
        <v>0</v>
      </c>
      <c r="K798" s="0" t="n">
        <v>2</v>
      </c>
      <c r="L798" s="0" t="n">
        <v>1</v>
      </c>
    </row>
    <row r="799" customFormat="false" ht="15" hidden="false" customHeight="false" outlineLevel="0" collapsed="false">
      <c r="A799" s="5" t="n">
        <v>40337</v>
      </c>
      <c r="B799" s="6" t="s">
        <v>109</v>
      </c>
      <c r="C799" s="6" t="s">
        <v>111</v>
      </c>
      <c r="D799" s="0" t="n">
        <v>166.407799612155</v>
      </c>
      <c r="E799" s="0" t="n">
        <v>4.24</v>
      </c>
      <c r="F799" s="0" t="n">
        <v>1</v>
      </c>
      <c r="G799" s="0" t="n">
        <v>0</v>
      </c>
      <c r="H799" s="0" t="n">
        <v>0</v>
      </c>
      <c r="I799" s="0" t="n">
        <v>0</v>
      </c>
      <c r="J799" s="0" t="n">
        <v>0</v>
      </c>
      <c r="K799" s="0" t="n">
        <v>2</v>
      </c>
      <c r="L799" s="0" t="n">
        <v>1</v>
      </c>
    </row>
    <row r="800" customFormat="false" ht="15" hidden="false" customHeight="false" outlineLevel="0" collapsed="false">
      <c r="A800" s="5" t="n">
        <v>40344</v>
      </c>
      <c r="B800" s="6" t="s">
        <v>109</v>
      </c>
      <c r="C800" s="6" t="s">
        <v>111</v>
      </c>
      <c r="D800" s="0" t="n">
        <v>299.873208502453</v>
      </c>
      <c r="E800" s="0" t="n">
        <v>4.24</v>
      </c>
      <c r="F800" s="0" t="n">
        <v>1</v>
      </c>
      <c r="G800" s="0" t="n">
        <v>0</v>
      </c>
      <c r="H800" s="0" t="n">
        <v>1</v>
      </c>
      <c r="I800" s="0" t="n">
        <v>0</v>
      </c>
      <c r="J800" s="0" t="n">
        <v>0</v>
      </c>
      <c r="K800" s="0" t="n">
        <v>2</v>
      </c>
      <c r="L800" s="0" t="n">
        <v>1</v>
      </c>
    </row>
    <row r="801" customFormat="false" ht="15" hidden="false" customHeight="false" outlineLevel="0" collapsed="false">
      <c r="A801" s="5" t="n">
        <v>40351</v>
      </c>
      <c r="B801" s="6" t="s">
        <v>109</v>
      </c>
      <c r="C801" s="6" t="s">
        <v>111</v>
      </c>
      <c r="D801" s="0" t="n">
        <v>344.855699582453</v>
      </c>
      <c r="E801" s="0" t="n">
        <v>4.24</v>
      </c>
      <c r="F801" s="0" t="n">
        <v>1</v>
      </c>
      <c r="G801" s="0" t="n">
        <v>0</v>
      </c>
      <c r="H801" s="0" t="n">
        <v>0</v>
      </c>
      <c r="I801" s="0" t="n">
        <v>1</v>
      </c>
      <c r="J801" s="0" t="n">
        <v>0</v>
      </c>
      <c r="K801" s="0" t="n">
        <v>2</v>
      </c>
      <c r="L801" s="0" t="n">
        <v>1</v>
      </c>
    </row>
    <row r="802" customFormat="false" ht="15" hidden="false" customHeight="false" outlineLevel="0" collapsed="false">
      <c r="A802" s="5" t="n">
        <v>40358</v>
      </c>
      <c r="B802" s="6" t="s">
        <v>109</v>
      </c>
      <c r="C802" s="6" t="s">
        <v>111</v>
      </c>
      <c r="D802" s="0" t="n">
        <v>340.266963214007</v>
      </c>
      <c r="E802" s="0" t="n">
        <v>4.24</v>
      </c>
      <c r="F802" s="0" t="n">
        <v>1</v>
      </c>
      <c r="G802" s="0" t="n">
        <v>0</v>
      </c>
      <c r="H802" s="0" t="n">
        <v>0</v>
      </c>
      <c r="I802" s="0" t="n">
        <v>1</v>
      </c>
      <c r="J802" s="0" t="n">
        <v>0</v>
      </c>
      <c r="K802" s="0" t="n">
        <v>2</v>
      </c>
      <c r="L802" s="0" t="n">
        <v>1</v>
      </c>
    </row>
    <row r="803" customFormat="false" ht="15" hidden="false" customHeight="false" outlineLevel="0" collapsed="false">
      <c r="A803" s="5" t="n">
        <v>40365</v>
      </c>
      <c r="B803" s="6" t="s">
        <v>109</v>
      </c>
      <c r="C803" s="6" t="s">
        <v>111</v>
      </c>
      <c r="D803" s="0" t="n">
        <v>262.281177180939</v>
      </c>
      <c r="E803" s="0" t="n">
        <v>3.745</v>
      </c>
      <c r="F803" s="0" t="n">
        <v>1</v>
      </c>
      <c r="G803" s="0" t="n">
        <v>0</v>
      </c>
      <c r="H803" s="0" t="n">
        <v>0</v>
      </c>
      <c r="I803" s="0" t="n">
        <v>1</v>
      </c>
      <c r="J803" s="0" t="n">
        <v>0</v>
      </c>
      <c r="K803" s="0" t="n">
        <v>2</v>
      </c>
      <c r="L803" s="0" t="n">
        <v>1</v>
      </c>
    </row>
    <row r="804" customFormat="false" ht="15" hidden="false" customHeight="false" outlineLevel="0" collapsed="false">
      <c r="A804" s="5" t="n">
        <v>40372</v>
      </c>
      <c r="B804" s="6" t="s">
        <v>109</v>
      </c>
      <c r="C804" s="6" t="s">
        <v>111</v>
      </c>
      <c r="D804" s="0" t="n">
        <v>235.868486084286</v>
      </c>
      <c r="E804" s="0" t="n">
        <v>3.745</v>
      </c>
      <c r="F804" s="0" t="n">
        <v>1</v>
      </c>
      <c r="G804" s="0" t="n">
        <v>0</v>
      </c>
      <c r="H804" s="0" t="n">
        <v>0</v>
      </c>
      <c r="I804" s="0" t="n">
        <v>0</v>
      </c>
      <c r="J804" s="0" t="n">
        <v>1</v>
      </c>
      <c r="K804" s="0" t="n">
        <v>1</v>
      </c>
      <c r="L804" s="0" t="n">
        <v>1</v>
      </c>
    </row>
    <row r="805" customFormat="false" ht="15" hidden="false" customHeight="false" outlineLevel="0" collapsed="false">
      <c r="A805" s="5" t="n">
        <v>40302</v>
      </c>
      <c r="B805" s="6" t="s">
        <v>109</v>
      </c>
      <c r="C805" s="6" t="s">
        <v>112</v>
      </c>
      <c r="D805" s="0" t="n">
        <v>203.797548653418</v>
      </c>
      <c r="E805" s="0" t="n">
        <v>4.204285714</v>
      </c>
      <c r="F805" s="0" t="n">
        <v>0</v>
      </c>
      <c r="G805" s="0" t="n">
        <v>0</v>
      </c>
      <c r="H805" s="0" t="n">
        <v>0</v>
      </c>
      <c r="I805" s="0" t="n">
        <v>0</v>
      </c>
      <c r="J805" s="0" t="n">
        <v>0</v>
      </c>
      <c r="K805" s="0" t="n">
        <v>2</v>
      </c>
      <c r="L805" s="0" t="n">
        <v>1</v>
      </c>
    </row>
    <row r="806" customFormat="false" ht="15" hidden="false" customHeight="false" outlineLevel="0" collapsed="false">
      <c r="A806" s="5" t="n">
        <v>40309</v>
      </c>
      <c r="B806" s="6" t="s">
        <v>109</v>
      </c>
      <c r="C806" s="6" t="s">
        <v>112</v>
      </c>
      <c r="D806" s="0" t="n">
        <v>219.291499893423</v>
      </c>
      <c r="E806" s="0" t="n">
        <v>4.823333333</v>
      </c>
      <c r="F806" s="0" t="n">
        <v>0</v>
      </c>
      <c r="G806" s="0" t="n">
        <v>0</v>
      </c>
      <c r="H806" s="0" t="n">
        <v>0</v>
      </c>
      <c r="I806" s="0" t="n">
        <v>0</v>
      </c>
      <c r="J806" s="0" t="n">
        <v>0</v>
      </c>
      <c r="K806" s="0" t="n">
        <v>2</v>
      </c>
      <c r="L806" s="0" t="n">
        <v>1</v>
      </c>
    </row>
    <row r="807" customFormat="false" ht="15" hidden="false" customHeight="false" outlineLevel="0" collapsed="false">
      <c r="A807" s="5" t="n">
        <v>40316</v>
      </c>
      <c r="B807" s="6" t="s">
        <v>109</v>
      </c>
      <c r="C807" s="6" t="s">
        <v>112</v>
      </c>
      <c r="D807" s="0" t="n">
        <v>294.082433742423</v>
      </c>
      <c r="E807" s="0" t="n">
        <v>4.12</v>
      </c>
      <c r="F807" s="0" t="n">
        <v>0</v>
      </c>
      <c r="G807" s="0" t="n">
        <v>0</v>
      </c>
      <c r="H807" s="0" t="n">
        <v>0</v>
      </c>
      <c r="I807" s="0" t="n">
        <v>0</v>
      </c>
      <c r="J807" s="0" t="n">
        <v>0</v>
      </c>
      <c r="K807" s="0" t="n">
        <v>2</v>
      </c>
      <c r="L807" s="0" t="n">
        <v>1</v>
      </c>
    </row>
    <row r="808" customFormat="false" ht="15" hidden="false" customHeight="false" outlineLevel="0" collapsed="false">
      <c r="A808" s="5" t="n">
        <v>40323</v>
      </c>
      <c r="B808" s="6" t="s">
        <v>109</v>
      </c>
      <c r="C808" s="6" t="s">
        <v>112</v>
      </c>
      <c r="D808" s="0" t="n">
        <v>337.729749040516</v>
      </c>
      <c r="E808" s="0" t="n">
        <v>3.924285714</v>
      </c>
      <c r="F808" s="0" t="n">
        <v>1</v>
      </c>
      <c r="G808" s="0" t="n">
        <v>0</v>
      </c>
      <c r="H808" s="0" t="n">
        <v>0</v>
      </c>
      <c r="I808" s="0" t="n">
        <v>0</v>
      </c>
      <c r="J808" s="0" t="n">
        <v>0</v>
      </c>
      <c r="K808" s="0" t="n">
        <v>2</v>
      </c>
      <c r="L808" s="0" t="n">
        <v>1</v>
      </c>
    </row>
    <row r="809" customFormat="false" ht="15" hidden="false" customHeight="false" outlineLevel="0" collapsed="false">
      <c r="A809" s="5" t="n">
        <v>40330</v>
      </c>
      <c r="B809" s="6" t="s">
        <v>109</v>
      </c>
      <c r="C809" s="6" t="s">
        <v>112</v>
      </c>
      <c r="D809" s="0" t="n">
        <v>198.84945852895</v>
      </c>
      <c r="E809" s="0" t="n">
        <v>3.924285714</v>
      </c>
      <c r="F809" s="0" t="n">
        <v>1</v>
      </c>
      <c r="G809" s="0" t="n">
        <v>0</v>
      </c>
      <c r="H809" s="0" t="n">
        <v>0</v>
      </c>
      <c r="I809" s="0" t="n">
        <v>0</v>
      </c>
      <c r="J809" s="0" t="n">
        <v>0</v>
      </c>
      <c r="K809" s="0" t="n">
        <v>2</v>
      </c>
      <c r="L809" s="0" t="n">
        <v>1</v>
      </c>
    </row>
    <row r="810" customFormat="false" ht="15" hidden="false" customHeight="false" outlineLevel="0" collapsed="false">
      <c r="A810" s="5" t="n">
        <v>40337</v>
      </c>
      <c r="B810" s="6" t="s">
        <v>109</v>
      </c>
      <c r="C810" s="6" t="s">
        <v>112</v>
      </c>
      <c r="D810" s="0" t="n">
        <v>224.22524285786</v>
      </c>
      <c r="E810" s="0" t="n">
        <v>4.204285714</v>
      </c>
      <c r="F810" s="0" t="n">
        <v>1</v>
      </c>
      <c r="G810" s="0" t="n">
        <v>0</v>
      </c>
      <c r="H810" s="0" t="n">
        <v>0</v>
      </c>
      <c r="I810" s="0" t="n">
        <v>0</v>
      </c>
      <c r="J810" s="0" t="n">
        <v>0</v>
      </c>
      <c r="K810" s="0" t="n">
        <v>2</v>
      </c>
      <c r="L810" s="0" t="n">
        <v>1</v>
      </c>
    </row>
    <row r="811" customFormat="false" ht="15" hidden="false" customHeight="false" outlineLevel="0" collapsed="false">
      <c r="A811" s="5" t="n">
        <v>40344</v>
      </c>
      <c r="B811" s="6" t="s">
        <v>109</v>
      </c>
      <c r="C811" s="6" t="s">
        <v>112</v>
      </c>
      <c r="D811" s="0" t="n">
        <v>258.85789097402</v>
      </c>
      <c r="E811" s="0" t="n">
        <v>4.204285714</v>
      </c>
      <c r="F811" s="0" t="n">
        <v>1</v>
      </c>
      <c r="G811" s="0" t="n">
        <v>0</v>
      </c>
      <c r="H811" s="0" t="n">
        <v>0</v>
      </c>
      <c r="I811" s="0" t="n">
        <v>0</v>
      </c>
      <c r="J811" s="0" t="n">
        <v>0</v>
      </c>
      <c r="K811" s="0" t="n">
        <v>2</v>
      </c>
      <c r="L811" s="0" t="n">
        <v>1</v>
      </c>
    </row>
    <row r="812" customFormat="false" ht="15" hidden="false" customHeight="false" outlineLevel="0" collapsed="false">
      <c r="A812" s="5" t="n">
        <v>40351</v>
      </c>
      <c r="B812" s="6" t="s">
        <v>109</v>
      </c>
      <c r="C812" s="6" t="s">
        <v>112</v>
      </c>
      <c r="D812" s="0" t="n">
        <v>259.401734767679</v>
      </c>
      <c r="E812" s="0" t="n">
        <v>3.801111111</v>
      </c>
      <c r="F812" s="0" t="n">
        <v>1</v>
      </c>
      <c r="G812" s="0" t="n">
        <v>0</v>
      </c>
      <c r="H812" s="0" t="n">
        <v>0</v>
      </c>
      <c r="I812" s="0" t="n">
        <v>0</v>
      </c>
      <c r="J812" s="0" t="n">
        <v>0</v>
      </c>
      <c r="K812" s="0" t="n">
        <v>2</v>
      </c>
      <c r="L812" s="0" t="n">
        <v>1</v>
      </c>
    </row>
    <row r="813" customFormat="false" ht="15" hidden="false" customHeight="false" outlineLevel="0" collapsed="false">
      <c r="A813" s="5" t="n">
        <v>40358</v>
      </c>
      <c r="B813" s="6" t="s">
        <v>109</v>
      </c>
      <c r="C813" s="6" t="s">
        <v>112</v>
      </c>
      <c r="D813" s="0" t="n">
        <v>206.174593167848</v>
      </c>
      <c r="E813" s="0" t="n">
        <v>3.93375</v>
      </c>
      <c r="F813" s="0" t="n">
        <v>1</v>
      </c>
      <c r="G813" s="0" t="n">
        <v>0</v>
      </c>
      <c r="H813" s="0" t="n">
        <v>0</v>
      </c>
      <c r="I813" s="0" t="n">
        <v>0</v>
      </c>
      <c r="J813" s="0" t="n">
        <v>0</v>
      </c>
      <c r="K813" s="0" t="n">
        <v>2</v>
      </c>
      <c r="L813" s="0" t="n">
        <v>1</v>
      </c>
    </row>
    <row r="814" customFormat="false" ht="15" hidden="false" customHeight="false" outlineLevel="0" collapsed="false">
      <c r="A814" s="5" t="n">
        <v>40365</v>
      </c>
      <c r="B814" s="6" t="s">
        <v>109</v>
      </c>
      <c r="C814" s="6" t="s">
        <v>112</v>
      </c>
      <c r="D814" s="0" t="n">
        <v>304.468359547576</v>
      </c>
      <c r="E814" s="0" t="n">
        <v>3.311111111</v>
      </c>
      <c r="F814" s="0" t="n">
        <v>1</v>
      </c>
      <c r="G814" s="0" t="n">
        <v>0</v>
      </c>
      <c r="H814" s="0" t="n">
        <v>0</v>
      </c>
      <c r="I814" s="0" t="n">
        <v>0</v>
      </c>
      <c r="J814" s="0" t="n">
        <v>0</v>
      </c>
      <c r="K814" s="0" t="n">
        <v>2</v>
      </c>
      <c r="L814" s="0" t="n">
        <v>1</v>
      </c>
    </row>
    <row r="815" customFormat="false" ht="15" hidden="false" customHeight="false" outlineLevel="0" collapsed="false">
      <c r="A815" s="5" t="n">
        <v>40372</v>
      </c>
      <c r="B815" s="6" t="s">
        <v>109</v>
      </c>
      <c r="C815" s="6" t="s">
        <v>112</v>
      </c>
      <c r="D815" s="0" t="n">
        <v>331.181811798126</v>
      </c>
      <c r="E815" s="0" t="n">
        <v>3.147</v>
      </c>
      <c r="F815" s="0" t="n">
        <v>1</v>
      </c>
      <c r="G815" s="0" t="n">
        <v>0</v>
      </c>
      <c r="H815" s="0" t="n">
        <v>0</v>
      </c>
      <c r="I815" s="0" t="n">
        <v>0</v>
      </c>
      <c r="J815" s="0" t="n">
        <v>0</v>
      </c>
      <c r="K815" s="0" t="n">
        <v>2</v>
      </c>
      <c r="L815" s="0" t="n">
        <v>1</v>
      </c>
    </row>
    <row r="816" customFormat="false" ht="15" hidden="false" customHeight="false" outlineLevel="0" collapsed="false">
      <c r="A816" s="5" t="n">
        <v>40302</v>
      </c>
      <c r="B816" s="6" t="s">
        <v>109</v>
      </c>
      <c r="C816" s="6" t="s">
        <v>113</v>
      </c>
      <c r="D816" s="0" t="n">
        <v>280.665061517423</v>
      </c>
      <c r="E816" s="0" t="n">
        <v>4.161428571</v>
      </c>
      <c r="F816" s="0" t="n">
        <v>0</v>
      </c>
      <c r="G816" s="0" t="n">
        <v>0</v>
      </c>
      <c r="H816" s="0" t="n">
        <v>0</v>
      </c>
      <c r="I816" s="0" t="n">
        <v>1</v>
      </c>
      <c r="J816" s="0" t="n">
        <v>0</v>
      </c>
      <c r="K816" s="0" t="n">
        <v>2</v>
      </c>
      <c r="L816" s="0" t="n">
        <v>0</v>
      </c>
    </row>
    <row r="817" customFormat="false" ht="15" hidden="false" customHeight="false" outlineLevel="0" collapsed="false">
      <c r="A817" s="5" t="n">
        <v>40309</v>
      </c>
      <c r="B817" s="6" t="s">
        <v>109</v>
      </c>
      <c r="C817" s="6" t="s">
        <v>113</v>
      </c>
      <c r="D817" s="0" t="n">
        <v>340.355661813914</v>
      </c>
      <c r="E817" s="0" t="n">
        <v>4.161428571</v>
      </c>
      <c r="F817" s="0" t="n">
        <v>0</v>
      </c>
      <c r="G817" s="0" t="n">
        <v>0</v>
      </c>
      <c r="H817" s="0" t="n">
        <v>0</v>
      </c>
      <c r="I817" s="0" t="n">
        <v>0</v>
      </c>
      <c r="J817" s="0" t="n">
        <v>1</v>
      </c>
      <c r="K817" s="0" t="n">
        <v>2</v>
      </c>
      <c r="L817" s="0" t="n">
        <v>0</v>
      </c>
    </row>
    <row r="818" customFormat="false" ht="15" hidden="false" customHeight="false" outlineLevel="0" collapsed="false">
      <c r="A818" s="5" t="n">
        <v>40316</v>
      </c>
      <c r="B818" s="6" t="s">
        <v>109</v>
      </c>
      <c r="C818" s="6" t="s">
        <v>113</v>
      </c>
      <c r="D818" s="0" t="n">
        <v>293.192482907672</v>
      </c>
      <c r="E818" s="0" t="n">
        <v>3.945</v>
      </c>
      <c r="F818" s="0" t="n">
        <v>0</v>
      </c>
      <c r="G818" s="0" t="n">
        <v>0</v>
      </c>
      <c r="H818" s="0" t="n">
        <v>0</v>
      </c>
      <c r="I818" s="0" t="n">
        <v>0</v>
      </c>
      <c r="J818" s="0" t="n">
        <v>1</v>
      </c>
      <c r="K818" s="0" t="n">
        <v>2</v>
      </c>
      <c r="L818" s="0" t="n">
        <v>0</v>
      </c>
    </row>
    <row r="819" customFormat="false" ht="15" hidden="false" customHeight="false" outlineLevel="0" collapsed="false">
      <c r="A819" s="5" t="n">
        <v>40323</v>
      </c>
      <c r="B819" s="6" t="s">
        <v>109</v>
      </c>
      <c r="C819" s="6" t="s">
        <v>113</v>
      </c>
      <c r="D819" s="0" t="n">
        <v>247.648212891632</v>
      </c>
      <c r="E819" s="0" t="n">
        <v>4.237142857</v>
      </c>
      <c r="F819" s="0" t="n">
        <v>1</v>
      </c>
      <c r="G819" s="0" t="n">
        <v>0</v>
      </c>
      <c r="H819" s="0" t="n">
        <v>0</v>
      </c>
      <c r="I819" s="0" t="n">
        <v>0</v>
      </c>
      <c r="J819" s="0" t="n">
        <v>0</v>
      </c>
      <c r="K819" s="0" t="n">
        <v>2</v>
      </c>
      <c r="L819" s="0" t="n">
        <v>0</v>
      </c>
    </row>
    <row r="820" customFormat="false" ht="15" hidden="false" customHeight="false" outlineLevel="0" collapsed="false">
      <c r="A820" s="5" t="n">
        <v>40330</v>
      </c>
      <c r="B820" s="6" t="s">
        <v>109</v>
      </c>
      <c r="C820" s="6" t="s">
        <v>113</v>
      </c>
      <c r="D820" s="0" t="n">
        <v>236.229835959744</v>
      </c>
      <c r="E820" s="0" t="n">
        <v>4.45625</v>
      </c>
      <c r="F820" s="0" t="n">
        <v>1</v>
      </c>
      <c r="G820" s="0" t="n">
        <v>0</v>
      </c>
      <c r="H820" s="0" t="n">
        <v>0</v>
      </c>
      <c r="I820" s="0" t="n">
        <v>0</v>
      </c>
      <c r="J820" s="0" t="n">
        <v>0</v>
      </c>
      <c r="K820" s="0" t="n">
        <v>2</v>
      </c>
      <c r="L820" s="0" t="n">
        <v>0</v>
      </c>
    </row>
    <row r="821" customFormat="false" ht="15" hidden="false" customHeight="false" outlineLevel="0" collapsed="false">
      <c r="A821" s="5" t="n">
        <v>40337</v>
      </c>
      <c r="B821" s="6" t="s">
        <v>109</v>
      </c>
      <c r="C821" s="6" t="s">
        <v>113</v>
      </c>
      <c r="D821" s="0" t="n">
        <v>272.235643453488</v>
      </c>
      <c r="E821" s="0" t="n">
        <v>4.732857143</v>
      </c>
      <c r="F821" s="0" t="n">
        <v>1</v>
      </c>
      <c r="G821" s="0" t="n">
        <v>0</v>
      </c>
      <c r="H821" s="0" t="n">
        <v>0</v>
      </c>
      <c r="I821" s="0" t="n">
        <v>0</v>
      </c>
      <c r="J821" s="0" t="n">
        <v>0</v>
      </c>
      <c r="K821" s="0" t="n">
        <v>2</v>
      </c>
      <c r="L821" s="0" t="n">
        <v>0</v>
      </c>
    </row>
    <row r="822" customFormat="false" ht="15" hidden="false" customHeight="false" outlineLevel="0" collapsed="false">
      <c r="A822" s="5" t="n">
        <v>40344</v>
      </c>
      <c r="B822" s="6" t="s">
        <v>109</v>
      </c>
      <c r="C822" s="6" t="s">
        <v>113</v>
      </c>
      <c r="D822" s="0" t="n">
        <v>183.675207762487</v>
      </c>
      <c r="E822" s="0" t="n">
        <v>4.161428571</v>
      </c>
      <c r="F822" s="0" t="n">
        <v>1</v>
      </c>
      <c r="G822" s="0" t="n">
        <v>0</v>
      </c>
      <c r="H822" s="0" t="n">
        <v>0</v>
      </c>
      <c r="I822" s="0" t="n">
        <v>0</v>
      </c>
      <c r="J822" s="0" t="n">
        <v>0</v>
      </c>
      <c r="K822" s="0" t="n">
        <v>2</v>
      </c>
      <c r="L822" s="0" t="n">
        <v>0</v>
      </c>
    </row>
    <row r="823" customFormat="false" ht="15" hidden="false" customHeight="false" outlineLevel="0" collapsed="false">
      <c r="A823" s="5" t="n">
        <v>40351</v>
      </c>
      <c r="B823" s="6" t="s">
        <v>109</v>
      </c>
      <c r="C823" s="6" t="s">
        <v>113</v>
      </c>
      <c r="D823" s="0" t="n">
        <v>252.506659121916</v>
      </c>
      <c r="E823" s="0" t="n">
        <v>4.19</v>
      </c>
      <c r="F823" s="0" t="n">
        <v>1</v>
      </c>
      <c r="G823" s="0" t="n">
        <v>0</v>
      </c>
      <c r="H823" s="0" t="n">
        <v>0</v>
      </c>
      <c r="I823" s="0" t="n">
        <v>0</v>
      </c>
      <c r="J823" s="0" t="n">
        <v>0</v>
      </c>
      <c r="K823" s="0" t="n">
        <v>2</v>
      </c>
      <c r="L823" s="0" t="n">
        <v>0</v>
      </c>
    </row>
    <row r="824" customFormat="false" ht="15" hidden="false" customHeight="false" outlineLevel="0" collapsed="false">
      <c r="A824" s="5" t="n">
        <v>40358</v>
      </c>
      <c r="B824" s="6" t="s">
        <v>109</v>
      </c>
      <c r="C824" s="6" t="s">
        <v>113</v>
      </c>
      <c r="D824" s="0" t="n">
        <v>289.860531375412</v>
      </c>
      <c r="E824" s="0" t="n">
        <v>4.161428571</v>
      </c>
      <c r="F824" s="0" t="n">
        <v>1</v>
      </c>
      <c r="G824" s="0" t="n">
        <v>0</v>
      </c>
      <c r="H824" s="0" t="n">
        <v>0</v>
      </c>
      <c r="I824" s="0" t="n">
        <v>0</v>
      </c>
      <c r="J824" s="0" t="n">
        <v>0</v>
      </c>
      <c r="K824" s="0" t="n">
        <v>2</v>
      </c>
      <c r="L824" s="0" t="n">
        <v>0</v>
      </c>
    </row>
    <row r="825" customFormat="false" ht="15" hidden="false" customHeight="false" outlineLevel="0" collapsed="false">
      <c r="A825" s="5" t="n">
        <v>40365</v>
      </c>
      <c r="B825" s="6" t="s">
        <v>109</v>
      </c>
      <c r="C825" s="6" t="s">
        <v>113</v>
      </c>
      <c r="D825" s="0" t="n">
        <v>200.913864350894</v>
      </c>
      <c r="E825" s="0" t="n">
        <v>3.78</v>
      </c>
      <c r="F825" s="0" t="n">
        <v>1</v>
      </c>
      <c r="G825" s="0" t="n">
        <v>0</v>
      </c>
      <c r="H825" s="0" t="n">
        <v>0</v>
      </c>
      <c r="I825" s="0" t="n">
        <v>0</v>
      </c>
      <c r="J825" s="0" t="n">
        <v>0</v>
      </c>
      <c r="K825" s="0" t="n">
        <v>2</v>
      </c>
      <c r="L825" s="0" t="n">
        <v>0</v>
      </c>
    </row>
    <row r="826" customFormat="false" ht="15" hidden="false" customHeight="false" outlineLevel="0" collapsed="false">
      <c r="A826" s="5" t="n">
        <v>40372</v>
      </c>
      <c r="B826" s="6" t="s">
        <v>109</v>
      </c>
      <c r="C826" s="6" t="s">
        <v>113</v>
      </c>
      <c r="D826" s="0" t="n">
        <v>135.167376186512</v>
      </c>
      <c r="E826" s="0" t="n">
        <v>3.78</v>
      </c>
      <c r="F826" s="0" t="n">
        <v>1</v>
      </c>
      <c r="G826" s="0" t="n">
        <v>0</v>
      </c>
      <c r="H826" s="0" t="n">
        <v>0</v>
      </c>
      <c r="I826" s="0" t="n">
        <v>0</v>
      </c>
      <c r="J826" s="0" t="n">
        <v>0</v>
      </c>
      <c r="K826" s="0" t="n">
        <v>2</v>
      </c>
      <c r="L826" s="0" t="n">
        <v>0</v>
      </c>
    </row>
    <row r="827" customFormat="false" ht="15" hidden="false" customHeight="false" outlineLevel="0" collapsed="false">
      <c r="A827" s="5" t="n">
        <v>40302</v>
      </c>
      <c r="B827" s="6" t="s">
        <v>109</v>
      </c>
      <c r="C827" s="6" t="s">
        <v>114</v>
      </c>
      <c r="D827" s="0" t="n">
        <v>89.8233375479258</v>
      </c>
      <c r="E827" s="0" t="n">
        <v>4.856666667</v>
      </c>
      <c r="F827" s="0" t="n">
        <v>0</v>
      </c>
      <c r="G827" s="0" t="n">
        <v>0</v>
      </c>
      <c r="H827" s="0" t="n">
        <v>0</v>
      </c>
      <c r="I827" s="0" t="n">
        <v>0</v>
      </c>
      <c r="J827" s="0" t="n">
        <v>0</v>
      </c>
      <c r="K827" s="0" t="n">
        <v>1</v>
      </c>
      <c r="L827" s="0" t="n">
        <v>1</v>
      </c>
    </row>
    <row r="828" customFormat="false" ht="15" hidden="false" customHeight="false" outlineLevel="0" collapsed="false">
      <c r="A828" s="5" t="n">
        <v>40309</v>
      </c>
      <c r="B828" s="6" t="s">
        <v>109</v>
      </c>
      <c r="C828" s="6" t="s">
        <v>114</v>
      </c>
      <c r="D828" s="0" t="n">
        <v>171.571862388496</v>
      </c>
      <c r="E828" s="0" t="n">
        <v>4.856666667</v>
      </c>
      <c r="F828" s="0" t="n">
        <v>0</v>
      </c>
      <c r="G828" s="0" t="n">
        <v>0</v>
      </c>
      <c r="H828" s="0" t="n">
        <v>0</v>
      </c>
      <c r="I828" s="0" t="n">
        <v>0</v>
      </c>
      <c r="J828" s="0" t="n">
        <v>0</v>
      </c>
      <c r="K828" s="0" t="n">
        <v>1</v>
      </c>
      <c r="L828" s="0" t="n">
        <v>1</v>
      </c>
    </row>
    <row r="829" customFormat="false" ht="15" hidden="false" customHeight="false" outlineLevel="0" collapsed="false">
      <c r="A829" s="5" t="n">
        <v>40316</v>
      </c>
      <c r="B829" s="6" t="s">
        <v>109</v>
      </c>
      <c r="C829" s="6" t="s">
        <v>114</v>
      </c>
      <c r="D829" s="0" t="n">
        <v>197.55094390305</v>
      </c>
      <c r="E829" s="0" t="n">
        <v>4.35</v>
      </c>
      <c r="F829" s="0" t="n">
        <v>0</v>
      </c>
      <c r="G829" s="0" t="n">
        <v>0</v>
      </c>
      <c r="H829" s="0" t="n">
        <v>0</v>
      </c>
      <c r="I829" s="0" t="n">
        <v>0</v>
      </c>
      <c r="J829" s="0" t="n">
        <v>0</v>
      </c>
      <c r="K829" s="0" t="n">
        <v>1</v>
      </c>
      <c r="L829" s="0" t="n">
        <v>1</v>
      </c>
    </row>
    <row r="830" customFormat="false" ht="15" hidden="false" customHeight="false" outlineLevel="0" collapsed="false">
      <c r="A830" s="5" t="n">
        <v>40323</v>
      </c>
      <c r="B830" s="6" t="s">
        <v>109</v>
      </c>
      <c r="C830" s="6" t="s">
        <v>114</v>
      </c>
      <c r="D830" s="0" t="n">
        <v>268.894477918179</v>
      </c>
      <c r="E830" s="0" t="n">
        <v>4.35</v>
      </c>
      <c r="F830" s="0" t="n">
        <v>1</v>
      </c>
      <c r="G830" s="0" t="n">
        <v>0</v>
      </c>
      <c r="H830" s="0" t="n">
        <v>0</v>
      </c>
      <c r="I830" s="0" t="n">
        <v>0</v>
      </c>
      <c r="J830" s="0" t="n">
        <v>0</v>
      </c>
      <c r="K830" s="0" t="n">
        <v>1</v>
      </c>
      <c r="L830" s="0" t="n">
        <v>1</v>
      </c>
    </row>
    <row r="831" customFormat="false" ht="15" hidden="false" customHeight="false" outlineLevel="0" collapsed="false">
      <c r="A831" s="5" t="n">
        <v>40330</v>
      </c>
      <c r="B831" s="6" t="s">
        <v>109</v>
      </c>
      <c r="C831" s="6" t="s">
        <v>114</v>
      </c>
      <c r="D831" s="0" t="n">
        <v>173.20825666981</v>
      </c>
      <c r="E831" s="0" t="n">
        <v>4.145</v>
      </c>
      <c r="F831" s="0" t="n">
        <v>1</v>
      </c>
      <c r="G831" s="0" t="n">
        <v>0</v>
      </c>
      <c r="H831" s="0" t="n">
        <v>0</v>
      </c>
      <c r="I831" s="0" t="n">
        <v>0</v>
      </c>
      <c r="J831" s="0" t="n">
        <v>0</v>
      </c>
      <c r="K831" s="0" t="n">
        <v>1</v>
      </c>
      <c r="L831" s="0" t="n">
        <v>1</v>
      </c>
    </row>
    <row r="832" customFormat="false" ht="15" hidden="false" customHeight="false" outlineLevel="0" collapsed="false">
      <c r="A832" s="5" t="n">
        <v>40337</v>
      </c>
      <c r="B832" s="6" t="s">
        <v>109</v>
      </c>
      <c r="C832" s="6" t="s">
        <v>114</v>
      </c>
      <c r="D832" s="0" t="n">
        <v>299.933906910167</v>
      </c>
      <c r="E832" s="0" t="n">
        <v>4.64</v>
      </c>
      <c r="F832" s="0" t="n">
        <v>1</v>
      </c>
      <c r="G832" s="0" t="n">
        <v>0</v>
      </c>
      <c r="H832" s="0" t="n">
        <v>0</v>
      </c>
      <c r="I832" s="0" t="n">
        <v>0</v>
      </c>
      <c r="J832" s="0" t="n">
        <v>0</v>
      </c>
      <c r="K832" s="0" t="n">
        <v>1</v>
      </c>
      <c r="L832" s="0" t="n">
        <v>1</v>
      </c>
    </row>
    <row r="833" customFormat="false" ht="15" hidden="false" customHeight="false" outlineLevel="0" collapsed="false">
      <c r="A833" s="5" t="n">
        <v>40344</v>
      </c>
      <c r="B833" s="6" t="s">
        <v>109</v>
      </c>
      <c r="C833" s="6" t="s">
        <v>114</v>
      </c>
      <c r="D833" s="0" t="n">
        <v>244.482619811102</v>
      </c>
      <c r="E833" s="0" t="n">
        <v>4.19</v>
      </c>
      <c r="F833" s="0" t="n">
        <v>1</v>
      </c>
      <c r="G833" s="0" t="n">
        <v>0</v>
      </c>
      <c r="H833" s="0" t="n">
        <v>0</v>
      </c>
      <c r="I833" s="0" t="n">
        <v>0</v>
      </c>
      <c r="J833" s="0" t="n">
        <v>0</v>
      </c>
      <c r="K833" s="0" t="n">
        <v>1</v>
      </c>
      <c r="L833" s="0" t="n">
        <v>1</v>
      </c>
    </row>
    <row r="834" customFormat="false" ht="15" hidden="false" customHeight="false" outlineLevel="0" collapsed="false">
      <c r="A834" s="5" t="n">
        <v>40351</v>
      </c>
      <c r="B834" s="6" t="s">
        <v>109</v>
      </c>
      <c r="C834" s="6" t="s">
        <v>114</v>
      </c>
      <c r="D834" s="0" t="n">
        <v>440.970021952033</v>
      </c>
      <c r="E834" s="0" t="n">
        <v>4.19</v>
      </c>
      <c r="F834" s="0" t="n">
        <v>1</v>
      </c>
      <c r="G834" s="0" t="n">
        <v>0</v>
      </c>
      <c r="H834" s="0" t="n">
        <v>1</v>
      </c>
      <c r="I834" s="0" t="n">
        <v>0</v>
      </c>
      <c r="J834" s="0" t="n">
        <v>0</v>
      </c>
      <c r="K834" s="0" t="n">
        <v>1</v>
      </c>
      <c r="L834" s="0" t="n">
        <v>1</v>
      </c>
    </row>
    <row r="835" customFormat="false" ht="15" hidden="false" customHeight="false" outlineLevel="0" collapsed="false">
      <c r="A835" s="5" t="n">
        <v>40358</v>
      </c>
      <c r="B835" s="6" t="s">
        <v>109</v>
      </c>
      <c r="C835" s="6" t="s">
        <v>114</v>
      </c>
      <c r="D835" s="0" t="n">
        <v>269.934801592333</v>
      </c>
      <c r="E835" s="0" t="n">
        <v>3.94</v>
      </c>
      <c r="F835" s="0" t="n">
        <v>1</v>
      </c>
      <c r="G835" s="0" t="n">
        <v>0</v>
      </c>
      <c r="H835" s="0" t="n">
        <v>0</v>
      </c>
      <c r="I835" s="0" t="n">
        <v>1</v>
      </c>
      <c r="J835" s="0" t="n">
        <v>0</v>
      </c>
      <c r="K835" s="0" t="n">
        <v>1</v>
      </c>
      <c r="L835" s="0" t="n">
        <v>1</v>
      </c>
    </row>
    <row r="836" customFormat="false" ht="15" hidden="false" customHeight="false" outlineLevel="0" collapsed="false">
      <c r="A836" s="5" t="n">
        <v>40365</v>
      </c>
      <c r="B836" s="6" t="s">
        <v>109</v>
      </c>
      <c r="C836" s="6" t="s">
        <v>114</v>
      </c>
      <c r="D836" s="0" t="n">
        <v>334.963217787163</v>
      </c>
      <c r="E836" s="0" t="n">
        <v>4.179</v>
      </c>
      <c r="F836" s="0" t="n">
        <v>1</v>
      </c>
      <c r="G836" s="0" t="n">
        <v>0</v>
      </c>
      <c r="H836" s="0" t="n">
        <v>0</v>
      </c>
      <c r="I836" s="0" t="n">
        <v>1</v>
      </c>
      <c r="J836" s="0" t="n">
        <v>0</v>
      </c>
      <c r="K836" s="0" t="n">
        <v>1</v>
      </c>
      <c r="L836" s="0" t="n">
        <v>1</v>
      </c>
    </row>
    <row r="837" customFormat="false" ht="15" hidden="false" customHeight="false" outlineLevel="0" collapsed="false">
      <c r="A837" s="5" t="n">
        <v>40372</v>
      </c>
      <c r="B837" s="6" t="s">
        <v>109</v>
      </c>
      <c r="C837" s="6" t="s">
        <v>114</v>
      </c>
      <c r="D837" s="0" t="n">
        <v>357.748460330396</v>
      </c>
      <c r="E837" s="0" t="n">
        <v>4.179</v>
      </c>
      <c r="F837" s="0" t="n">
        <v>1</v>
      </c>
      <c r="G837" s="0" t="n">
        <v>0</v>
      </c>
      <c r="H837" s="0" t="n">
        <v>0</v>
      </c>
      <c r="I837" s="0" t="n">
        <v>1</v>
      </c>
      <c r="J837" s="0" t="n">
        <v>0</v>
      </c>
      <c r="K837" s="0" t="n">
        <v>1</v>
      </c>
      <c r="L837" s="0" t="n">
        <v>1</v>
      </c>
    </row>
    <row r="838" customFormat="false" ht="15" hidden="false" customHeight="false" outlineLevel="0" collapsed="false">
      <c r="A838" s="5" t="n">
        <v>40302</v>
      </c>
      <c r="B838" s="6" t="s">
        <v>109</v>
      </c>
      <c r="C838" s="6" t="s">
        <v>115</v>
      </c>
      <c r="D838" s="0" t="n">
        <v>230.502944709593</v>
      </c>
      <c r="E838" s="0" t="n">
        <v>5.29</v>
      </c>
      <c r="F838" s="0" t="n">
        <v>0</v>
      </c>
      <c r="G838" s="0" t="n">
        <v>0</v>
      </c>
      <c r="H838" s="0" t="n">
        <v>0</v>
      </c>
      <c r="I838" s="0" t="n">
        <v>1</v>
      </c>
      <c r="J838" s="0" t="n">
        <v>0</v>
      </c>
      <c r="K838" s="0" t="n">
        <v>2</v>
      </c>
      <c r="L838" s="0" t="n">
        <v>5</v>
      </c>
    </row>
    <row r="839" customFormat="false" ht="15" hidden="false" customHeight="false" outlineLevel="0" collapsed="false">
      <c r="A839" s="5" t="n">
        <v>40309</v>
      </c>
      <c r="B839" s="6" t="s">
        <v>109</v>
      </c>
      <c r="C839" s="6" t="s">
        <v>115</v>
      </c>
      <c r="D839" s="0" t="n">
        <v>363.785354206026</v>
      </c>
      <c r="E839" s="0" t="n">
        <v>4.39</v>
      </c>
      <c r="F839" s="0" t="n">
        <v>0</v>
      </c>
      <c r="G839" s="0" t="n">
        <v>0</v>
      </c>
      <c r="H839" s="0" t="n">
        <v>0</v>
      </c>
      <c r="I839" s="0" t="n">
        <v>0</v>
      </c>
      <c r="J839" s="0" t="n">
        <v>1</v>
      </c>
      <c r="K839" s="0" t="n">
        <v>2</v>
      </c>
      <c r="L839" s="0" t="n">
        <v>5</v>
      </c>
    </row>
    <row r="840" customFormat="false" ht="15" hidden="false" customHeight="false" outlineLevel="0" collapsed="false">
      <c r="A840" s="5" t="n">
        <v>40316</v>
      </c>
      <c r="B840" s="6" t="s">
        <v>109</v>
      </c>
      <c r="C840" s="6" t="s">
        <v>115</v>
      </c>
      <c r="D840" s="0" t="n">
        <v>268.408648872421</v>
      </c>
      <c r="E840" s="0" t="n">
        <v>4.79</v>
      </c>
      <c r="F840" s="0" t="n">
        <v>0</v>
      </c>
      <c r="G840" s="0" t="n">
        <v>0</v>
      </c>
      <c r="H840" s="0" t="n">
        <v>0</v>
      </c>
      <c r="I840" s="0" t="n">
        <v>0</v>
      </c>
      <c r="J840" s="0" t="n">
        <v>1</v>
      </c>
      <c r="K840" s="0" t="n">
        <v>2</v>
      </c>
      <c r="L840" s="0" t="n">
        <v>5</v>
      </c>
    </row>
    <row r="841" customFormat="false" ht="15" hidden="false" customHeight="false" outlineLevel="0" collapsed="false">
      <c r="A841" s="5" t="n">
        <v>40323</v>
      </c>
      <c r="B841" s="6" t="s">
        <v>109</v>
      </c>
      <c r="C841" s="6" t="s">
        <v>115</v>
      </c>
      <c r="D841" s="0" t="n">
        <v>211.23872621364</v>
      </c>
      <c r="E841" s="0" t="n">
        <v>4.39</v>
      </c>
      <c r="F841" s="0" t="n">
        <v>1</v>
      </c>
      <c r="G841" s="0" t="n">
        <v>0</v>
      </c>
      <c r="H841" s="0" t="n">
        <v>0</v>
      </c>
      <c r="I841" s="0" t="n">
        <v>0</v>
      </c>
      <c r="J841" s="0" t="n">
        <v>0</v>
      </c>
      <c r="K841" s="0" t="n">
        <v>2</v>
      </c>
      <c r="L841" s="0" t="n">
        <v>5</v>
      </c>
    </row>
    <row r="842" customFormat="false" ht="15" hidden="false" customHeight="false" outlineLevel="0" collapsed="false">
      <c r="A842" s="5" t="n">
        <v>40330</v>
      </c>
      <c r="B842" s="6" t="s">
        <v>109</v>
      </c>
      <c r="C842" s="6" t="s">
        <v>115</v>
      </c>
      <c r="D842" s="0" t="n">
        <v>223.08315295727</v>
      </c>
      <c r="E842" s="0" t="n">
        <v>4.79</v>
      </c>
      <c r="F842" s="0" t="n">
        <v>1</v>
      </c>
      <c r="G842" s="0" t="n">
        <v>0</v>
      </c>
      <c r="H842" s="0" t="n">
        <v>0</v>
      </c>
      <c r="I842" s="0" t="n">
        <v>0</v>
      </c>
      <c r="J842" s="0" t="n">
        <v>0</v>
      </c>
      <c r="K842" s="0" t="n">
        <v>2</v>
      </c>
      <c r="L842" s="0" t="n">
        <v>5</v>
      </c>
    </row>
    <row r="843" customFormat="false" ht="15" hidden="false" customHeight="false" outlineLevel="0" collapsed="false">
      <c r="A843" s="5" t="n">
        <v>40337</v>
      </c>
      <c r="B843" s="6" t="s">
        <v>109</v>
      </c>
      <c r="C843" s="6" t="s">
        <v>115</v>
      </c>
      <c r="D843" s="0" t="n">
        <v>351.970747356567</v>
      </c>
      <c r="E843" s="0" t="n">
        <v>5.29</v>
      </c>
      <c r="F843" s="0" t="n">
        <v>1</v>
      </c>
      <c r="G843" s="0" t="n">
        <v>0</v>
      </c>
      <c r="H843" s="0" t="n">
        <v>0</v>
      </c>
      <c r="I843" s="0" t="n">
        <v>0</v>
      </c>
      <c r="J843" s="0" t="n">
        <v>0</v>
      </c>
      <c r="K843" s="0" t="n">
        <v>2</v>
      </c>
      <c r="L843" s="0" t="n">
        <v>5</v>
      </c>
    </row>
    <row r="844" customFormat="false" ht="15" hidden="false" customHeight="false" outlineLevel="0" collapsed="false">
      <c r="A844" s="5" t="n">
        <v>40344</v>
      </c>
      <c r="B844" s="6" t="s">
        <v>109</v>
      </c>
      <c r="C844" s="6" t="s">
        <v>115</v>
      </c>
      <c r="D844" s="0" t="n">
        <v>168.565047429384</v>
      </c>
      <c r="E844" s="0" t="n">
        <v>5.83</v>
      </c>
      <c r="F844" s="0" t="n">
        <v>1</v>
      </c>
      <c r="G844" s="0" t="n">
        <v>0</v>
      </c>
      <c r="H844" s="0" t="n">
        <v>0</v>
      </c>
      <c r="I844" s="0" t="n">
        <v>0</v>
      </c>
      <c r="J844" s="0" t="n">
        <v>0</v>
      </c>
      <c r="K844" s="0" t="n">
        <v>2</v>
      </c>
      <c r="L844" s="0" t="n">
        <v>5</v>
      </c>
    </row>
    <row r="845" customFormat="false" ht="15" hidden="false" customHeight="false" outlineLevel="0" collapsed="false">
      <c r="A845" s="5" t="n">
        <v>40351</v>
      </c>
      <c r="B845" s="6" t="s">
        <v>109</v>
      </c>
      <c r="C845" s="6" t="s">
        <v>115</v>
      </c>
      <c r="D845" s="0" t="n">
        <v>241.954932776865</v>
      </c>
      <c r="E845" s="0" t="n">
        <v>6.19</v>
      </c>
      <c r="F845" s="0" t="n">
        <v>1</v>
      </c>
      <c r="G845" s="0" t="n">
        <v>0</v>
      </c>
      <c r="H845" s="0" t="n">
        <v>0</v>
      </c>
      <c r="I845" s="0" t="n">
        <v>0</v>
      </c>
      <c r="J845" s="0" t="n">
        <v>0</v>
      </c>
      <c r="K845" s="0" t="n">
        <v>2</v>
      </c>
      <c r="L845" s="0" t="n">
        <v>5</v>
      </c>
    </row>
    <row r="846" customFormat="false" ht="15" hidden="false" customHeight="false" outlineLevel="0" collapsed="false">
      <c r="A846" s="5" t="n">
        <v>40358</v>
      </c>
      <c r="B846" s="6" t="s">
        <v>109</v>
      </c>
      <c r="C846" s="6" t="s">
        <v>115</v>
      </c>
      <c r="D846" s="0" t="n">
        <v>184.858088267719</v>
      </c>
      <c r="E846" s="0" t="n">
        <v>5.59</v>
      </c>
      <c r="F846" s="0" t="n">
        <v>1</v>
      </c>
      <c r="G846" s="0" t="n">
        <v>0</v>
      </c>
      <c r="H846" s="0" t="n">
        <v>0</v>
      </c>
      <c r="I846" s="0" t="n">
        <v>0</v>
      </c>
      <c r="J846" s="0" t="n">
        <v>0</v>
      </c>
      <c r="K846" s="0" t="n">
        <v>2</v>
      </c>
      <c r="L846" s="0" t="n">
        <v>5</v>
      </c>
    </row>
    <row r="847" customFormat="false" ht="15" hidden="false" customHeight="false" outlineLevel="0" collapsed="false">
      <c r="A847" s="5" t="n">
        <v>40365</v>
      </c>
      <c r="B847" s="6" t="s">
        <v>109</v>
      </c>
      <c r="C847" s="6" t="s">
        <v>115</v>
      </c>
      <c r="D847" s="0" t="n">
        <v>200.077022302822</v>
      </c>
      <c r="E847" s="0" t="n">
        <v>4.6225</v>
      </c>
      <c r="F847" s="0" t="n">
        <v>1</v>
      </c>
      <c r="G847" s="0" t="n">
        <v>0</v>
      </c>
      <c r="H847" s="0" t="n">
        <v>0</v>
      </c>
      <c r="I847" s="0" t="n">
        <v>0</v>
      </c>
      <c r="J847" s="0" t="n">
        <v>0</v>
      </c>
      <c r="K847" s="0" t="n">
        <v>2</v>
      </c>
      <c r="L847" s="0" t="n">
        <v>5</v>
      </c>
    </row>
    <row r="848" customFormat="false" ht="15" hidden="false" customHeight="false" outlineLevel="0" collapsed="false">
      <c r="A848" s="5" t="n">
        <v>40372</v>
      </c>
      <c r="B848" s="6" t="s">
        <v>109</v>
      </c>
      <c r="C848" s="6" t="s">
        <v>115</v>
      </c>
      <c r="D848" s="0" t="n">
        <v>181.751290233517</v>
      </c>
      <c r="E848" s="0" t="n">
        <v>4.6225</v>
      </c>
      <c r="F848" s="0" t="n">
        <v>1</v>
      </c>
      <c r="G848" s="0" t="n">
        <v>0</v>
      </c>
      <c r="H848" s="0" t="n">
        <v>0</v>
      </c>
      <c r="I848" s="0" t="n">
        <v>0</v>
      </c>
      <c r="J848" s="0" t="n">
        <v>0</v>
      </c>
      <c r="K848" s="0" t="n">
        <v>2</v>
      </c>
      <c r="L848" s="0" t="n">
        <v>5</v>
      </c>
    </row>
    <row r="849" customFormat="false" ht="15" hidden="false" customHeight="false" outlineLevel="0" collapsed="false">
      <c r="A849" s="5" t="n">
        <v>40302</v>
      </c>
      <c r="B849" s="6" t="s">
        <v>109</v>
      </c>
      <c r="C849" s="6" t="s">
        <v>116</v>
      </c>
      <c r="D849" s="0" t="n">
        <v>154.701250586176</v>
      </c>
      <c r="E849" s="0" t="n">
        <v>4.732857143</v>
      </c>
      <c r="F849" s="0" t="n">
        <v>0</v>
      </c>
      <c r="G849" s="0" t="n">
        <v>0</v>
      </c>
      <c r="H849" s="0" t="n">
        <v>0</v>
      </c>
      <c r="I849" s="0" t="n">
        <v>0</v>
      </c>
      <c r="J849" s="0" t="n">
        <v>0</v>
      </c>
      <c r="K849" s="0" t="n">
        <v>1</v>
      </c>
      <c r="L849" s="0" t="n">
        <v>5</v>
      </c>
    </row>
    <row r="850" customFormat="false" ht="15" hidden="false" customHeight="false" outlineLevel="0" collapsed="false">
      <c r="A850" s="5" t="n">
        <v>40309</v>
      </c>
      <c r="B850" s="6" t="s">
        <v>109</v>
      </c>
      <c r="C850" s="6" t="s">
        <v>116</v>
      </c>
      <c r="D850" s="0" t="n">
        <v>120.081656526838</v>
      </c>
      <c r="E850" s="0" t="n">
        <v>4.03</v>
      </c>
      <c r="F850" s="0" t="n">
        <v>0</v>
      </c>
      <c r="G850" s="0" t="n">
        <v>0</v>
      </c>
      <c r="H850" s="0" t="n">
        <v>0</v>
      </c>
      <c r="I850" s="0" t="n">
        <v>0</v>
      </c>
      <c r="J850" s="0" t="n">
        <v>0</v>
      </c>
      <c r="K850" s="0" t="n">
        <v>1</v>
      </c>
      <c r="L850" s="0" t="n">
        <v>5</v>
      </c>
    </row>
    <row r="851" customFormat="false" ht="15" hidden="false" customHeight="false" outlineLevel="0" collapsed="false">
      <c r="A851" s="5" t="n">
        <v>40316</v>
      </c>
      <c r="B851" s="6" t="s">
        <v>109</v>
      </c>
      <c r="C851" s="6" t="s">
        <v>116</v>
      </c>
      <c r="D851" s="0" t="n">
        <v>284.829203019676</v>
      </c>
      <c r="E851" s="0" t="n">
        <v>3.666363636</v>
      </c>
      <c r="F851" s="0" t="n">
        <v>0</v>
      </c>
      <c r="G851" s="0" t="n">
        <v>0</v>
      </c>
      <c r="H851" s="0" t="n">
        <v>0</v>
      </c>
      <c r="I851" s="0" t="n">
        <v>0</v>
      </c>
      <c r="J851" s="0" t="n">
        <v>0</v>
      </c>
      <c r="K851" s="0" t="n">
        <v>1</v>
      </c>
      <c r="L851" s="0" t="n">
        <v>5</v>
      </c>
    </row>
    <row r="852" customFormat="false" ht="15" hidden="false" customHeight="false" outlineLevel="0" collapsed="false">
      <c r="A852" s="5" t="n">
        <v>40323</v>
      </c>
      <c r="B852" s="6" t="s">
        <v>109</v>
      </c>
      <c r="C852" s="6" t="s">
        <v>116</v>
      </c>
      <c r="D852" s="0" t="n">
        <v>248.174714446629</v>
      </c>
      <c r="E852" s="0" t="n">
        <v>3.666363636</v>
      </c>
      <c r="F852" s="0" t="n">
        <v>1</v>
      </c>
      <c r="G852" s="0" t="n">
        <v>0</v>
      </c>
      <c r="H852" s="0" t="n">
        <v>0</v>
      </c>
      <c r="I852" s="0" t="n">
        <v>0</v>
      </c>
      <c r="J852" s="0" t="n">
        <v>0</v>
      </c>
      <c r="K852" s="0" t="n">
        <v>1</v>
      </c>
      <c r="L852" s="0" t="n">
        <v>5</v>
      </c>
    </row>
    <row r="853" customFormat="false" ht="15" hidden="false" customHeight="false" outlineLevel="0" collapsed="false">
      <c r="A853" s="5" t="n">
        <v>40330</v>
      </c>
      <c r="B853" s="6" t="s">
        <v>109</v>
      </c>
      <c r="C853" s="6" t="s">
        <v>116</v>
      </c>
      <c r="D853" s="0" t="n">
        <v>278.146967665002</v>
      </c>
      <c r="E853" s="0" t="n">
        <v>3.794</v>
      </c>
      <c r="F853" s="0" t="n">
        <v>1</v>
      </c>
      <c r="G853" s="0" t="n">
        <v>0</v>
      </c>
      <c r="H853" s="0" t="n">
        <v>0</v>
      </c>
      <c r="I853" s="0" t="n">
        <v>0</v>
      </c>
      <c r="J853" s="0" t="n">
        <v>0</v>
      </c>
      <c r="K853" s="0" t="n">
        <v>1</v>
      </c>
      <c r="L853" s="0" t="n">
        <v>5</v>
      </c>
    </row>
    <row r="854" customFormat="false" ht="15" hidden="false" customHeight="false" outlineLevel="0" collapsed="false">
      <c r="A854" s="5" t="n">
        <v>40337</v>
      </c>
      <c r="B854" s="6" t="s">
        <v>109</v>
      </c>
      <c r="C854" s="6" t="s">
        <v>116</v>
      </c>
      <c r="D854" s="0" t="n">
        <v>275.661268527828</v>
      </c>
      <c r="E854" s="0" t="n">
        <v>4.03</v>
      </c>
      <c r="F854" s="0" t="n">
        <v>1</v>
      </c>
      <c r="G854" s="0" t="n">
        <v>0</v>
      </c>
      <c r="H854" s="0" t="n">
        <v>0</v>
      </c>
      <c r="I854" s="0" t="n">
        <v>0</v>
      </c>
      <c r="J854" s="0" t="n">
        <v>0</v>
      </c>
      <c r="K854" s="0" t="n">
        <v>1</v>
      </c>
      <c r="L854" s="0" t="n">
        <v>5</v>
      </c>
    </row>
    <row r="855" customFormat="false" ht="15" hidden="false" customHeight="false" outlineLevel="0" collapsed="false">
      <c r="A855" s="5" t="n">
        <v>40344</v>
      </c>
      <c r="B855" s="6" t="s">
        <v>109</v>
      </c>
      <c r="C855" s="6" t="s">
        <v>116</v>
      </c>
      <c r="D855" s="0" t="n">
        <v>325.039732755255</v>
      </c>
      <c r="E855" s="0" t="n">
        <v>3.63</v>
      </c>
      <c r="F855" s="0" t="n">
        <v>1</v>
      </c>
      <c r="G855" s="0" t="n">
        <v>0</v>
      </c>
      <c r="H855" s="0" t="n">
        <v>1</v>
      </c>
      <c r="I855" s="0" t="n">
        <v>0</v>
      </c>
      <c r="J855" s="0" t="n">
        <v>0</v>
      </c>
      <c r="K855" s="0" t="n">
        <v>1</v>
      </c>
      <c r="L855" s="0" t="n">
        <v>5</v>
      </c>
    </row>
    <row r="856" customFormat="false" ht="15" hidden="false" customHeight="false" outlineLevel="0" collapsed="false">
      <c r="A856" s="5" t="n">
        <v>40351</v>
      </c>
      <c r="B856" s="6" t="s">
        <v>109</v>
      </c>
      <c r="C856" s="6" t="s">
        <v>116</v>
      </c>
      <c r="D856" s="0" t="n">
        <v>336.944472290603</v>
      </c>
      <c r="E856" s="0" t="n">
        <v>4.03</v>
      </c>
      <c r="F856" s="0" t="n">
        <v>1</v>
      </c>
      <c r="G856" s="0" t="n">
        <v>0</v>
      </c>
      <c r="H856" s="0" t="n">
        <v>0</v>
      </c>
      <c r="I856" s="0" t="n">
        <v>1</v>
      </c>
      <c r="J856" s="0" t="n">
        <v>0</v>
      </c>
      <c r="K856" s="0" t="n">
        <v>1</v>
      </c>
      <c r="L856" s="0" t="n">
        <v>5</v>
      </c>
    </row>
    <row r="857" customFormat="false" ht="15" hidden="false" customHeight="false" outlineLevel="0" collapsed="false">
      <c r="A857" s="5" t="n">
        <v>40358</v>
      </c>
      <c r="B857" s="6" t="s">
        <v>109</v>
      </c>
      <c r="C857" s="6" t="s">
        <v>116</v>
      </c>
      <c r="D857" s="0" t="n">
        <v>304.843724408636</v>
      </c>
      <c r="E857" s="0" t="n">
        <v>4.212222222</v>
      </c>
      <c r="F857" s="0" t="n">
        <v>1</v>
      </c>
      <c r="G857" s="0" t="n">
        <v>0</v>
      </c>
      <c r="H857" s="0" t="n">
        <v>0</v>
      </c>
      <c r="I857" s="0" t="n">
        <v>1</v>
      </c>
      <c r="J857" s="0" t="n">
        <v>0</v>
      </c>
      <c r="K857" s="0" t="n">
        <v>1</v>
      </c>
      <c r="L857" s="0" t="n">
        <v>5</v>
      </c>
    </row>
    <row r="858" customFormat="false" ht="15" hidden="false" customHeight="false" outlineLevel="0" collapsed="false">
      <c r="A858" s="5" t="n">
        <v>40365</v>
      </c>
      <c r="B858" s="6" t="s">
        <v>109</v>
      </c>
      <c r="C858" s="6" t="s">
        <v>116</v>
      </c>
      <c r="D858" s="0" t="n">
        <v>257.52693757002</v>
      </c>
      <c r="E858" s="0" t="n">
        <v>4.02</v>
      </c>
      <c r="F858" s="0" t="n">
        <v>1</v>
      </c>
      <c r="G858" s="0" t="n">
        <v>0</v>
      </c>
      <c r="H858" s="0" t="n">
        <v>0</v>
      </c>
      <c r="I858" s="0" t="n">
        <v>1</v>
      </c>
      <c r="J858" s="0" t="n">
        <v>0</v>
      </c>
      <c r="K858" s="0" t="n">
        <v>1</v>
      </c>
      <c r="L858" s="0" t="n">
        <v>5</v>
      </c>
    </row>
    <row r="859" customFormat="false" ht="15" hidden="false" customHeight="false" outlineLevel="0" collapsed="false">
      <c r="A859" s="5" t="n">
        <v>40372</v>
      </c>
      <c r="B859" s="6" t="s">
        <v>109</v>
      </c>
      <c r="C859" s="6" t="s">
        <v>116</v>
      </c>
      <c r="D859" s="0" t="n">
        <v>280.496073228982</v>
      </c>
      <c r="E859" s="0" t="n">
        <v>4.01625</v>
      </c>
      <c r="F859" s="0" t="n">
        <v>1</v>
      </c>
      <c r="G859" s="0" t="n">
        <v>0</v>
      </c>
      <c r="H859" s="0" t="n">
        <v>0</v>
      </c>
      <c r="I859" s="0" t="n">
        <v>0</v>
      </c>
      <c r="J859" s="0" t="n">
        <v>1</v>
      </c>
      <c r="K859" s="0" t="n">
        <v>1</v>
      </c>
      <c r="L859" s="0" t="n">
        <v>5</v>
      </c>
    </row>
    <row r="860" customFormat="false" ht="15" hidden="false" customHeight="false" outlineLevel="0" collapsed="false">
      <c r="A860" s="5" t="n">
        <v>40302</v>
      </c>
      <c r="B860" s="6" t="s">
        <v>109</v>
      </c>
      <c r="C860" s="6" t="s">
        <v>117</v>
      </c>
      <c r="D860" s="0" t="n">
        <v>234.368173921646</v>
      </c>
      <c r="E860" s="0" t="n">
        <v>4.204285714</v>
      </c>
      <c r="F860" s="0" t="n">
        <v>0</v>
      </c>
      <c r="G860" s="0" t="n">
        <v>0</v>
      </c>
      <c r="H860" s="0" t="n">
        <v>0</v>
      </c>
      <c r="I860" s="0" t="n">
        <v>0</v>
      </c>
      <c r="J860" s="0" t="n">
        <v>0</v>
      </c>
      <c r="K860" s="0" t="n">
        <v>1</v>
      </c>
      <c r="L860" s="0" t="n">
        <v>2</v>
      </c>
    </row>
    <row r="861" customFormat="false" ht="15" hidden="false" customHeight="false" outlineLevel="0" collapsed="false">
      <c r="A861" s="5" t="n">
        <v>40309</v>
      </c>
      <c r="B861" s="6" t="s">
        <v>109</v>
      </c>
      <c r="C861" s="6" t="s">
        <v>117</v>
      </c>
      <c r="D861" s="0" t="n">
        <v>240.358251747784</v>
      </c>
      <c r="E861" s="0" t="n">
        <v>4.181666667</v>
      </c>
      <c r="F861" s="0" t="n">
        <v>0</v>
      </c>
      <c r="G861" s="0" t="n">
        <v>0</v>
      </c>
      <c r="H861" s="0" t="n">
        <v>0</v>
      </c>
      <c r="I861" s="0" t="n">
        <v>0</v>
      </c>
      <c r="J861" s="0" t="n">
        <v>0</v>
      </c>
      <c r="K861" s="0" t="n">
        <v>1</v>
      </c>
      <c r="L861" s="0" t="n">
        <v>2</v>
      </c>
    </row>
    <row r="862" customFormat="false" ht="15" hidden="false" customHeight="false" outlineLevel="0" collapsed="false">
      <c r="A862" s="5" t="n">
        <v>40316</v>
      </c>
      <c r="B862" s="6" t="s">
        <v>109</v>
      </c>
      <c r="C862" s="6" t="s">
        <v>117</v>
      </c>
      <c r="D862" s="0" t="n">
        <v>212.82588288713</v>
      </c>
      <c r="E862" s="0" t="n">
        <v>3.924285714</v>
      </c>
      <c r="F862" s="0" t="n">
        <v>0</v>
      </c>
      <c r="G862" s="0" t="n">
        <v>0</v>
      </c>
      <c r="H862" s="0" t="n">
        <v>0</v>
      </c>
      <c r="I862" s="0" t="n">
        <v>0</v>
      </c>
      <c r="J862" s="0" t="n">
        <v>0</v>
      </c>
      <c r="K862" s="0" t="n">
        <v>1</v>
      </c>
      <c r="L862" s="0" t="n">
        <v>2</v>
      </c>
    </row>
    <row r="863" customFormat="false" ht="15" hidden="false" customHeight="false" outlineLevel="0" collapsed="false">
      <c r="A863" s="5" t="n">
        <v>40323</v>
      </c>
      <c r="B863" s="6" t="s">
        <v>109</v>
      </c>
      <c r="C863" s="6" t="s">
        <v>117</v>
      </c>
      <c r="D863" s="0" t="n">
        <v>213.593335516837</v>
      </c>
      <c r="E863" s="0" t="n">
        <v>3.884285714</v>
      </c>
      <c r="F863" s="0" t="n">
        <v>1</v>
      </c>
      <c r="G863" s="0" t="n">
        <v>0</v>
      </c>
      <c r="H863" s="0" t="n">
        <v>0</v>
      </c>
      <c r="I863" s="0" t="n">
        <v>0</v>
      </c>
      <c r="J863" s="0" t="n">
        <v>0</v>
      </c>
      <c r="K863" s="0" t="n">
        <v>1</v>
      </c>
      <c r="L863" s="0" t="n">
        <v>2</v>
      </c>
    </row>
    <row r="864" customFormat="false" ht="15" hidden="false" customHeight="false" outlineLevel="0" collapsed="false">
      <c r="A864" s="5" t="n">
        <v>40330</v>
      </c>
      <c r="B864" s="6" t="s">
        <v>109</v>
      </c>
      <c r="C864" s="6" t="s">
        <v>117</v>
      </c>
      <c r="D864" s="0" t="n">
        <v>202.78247809056</v>
      </c>
      <c r="E864" s="0" t="n">
        <v>3.464</v>
      </c>
      <c r="F864" s="0" t="n">
        <v>1</v>
      </c>
      <c r="G864" s="0" t="n">
        <v>0</v>
      </c>
      <c r="H864" s="0" t="n">
        <v>0</v>
      </c>
      <c r="I864" s="0" t="n">
        <v>0</v>
      </c>
      <c r="J864" s="0" t="n">
        <v>0</v>
      </c>
      <c r="K864" s="0" t="n">
        <v>1</v>
      </c>
      <c r="L864" s="0" t="n">
        <v>2</v>
      </c>
    </row>
    <row r="865" customFormat="false" ht="15" hidden="false" customHeight="false" outlineLevel="0" collapsed="false">
      <c r="A865" s="5" t="n">
        <v>40337</v>
      </c>
      <c r="B865" s="6" t="s">
        <v>109</v>
      </c>
      <c r="C865" s="6" t="s">
        <v>117</v>
      </c>
      <c r="D865" s="0" t="n">
        <v>172.892990985798</v>
      </c>
      <c r="E865" s="0" t="n">
        <v>3.66</v>
      </c>
      <c r="F865" s="0" t="n">
        <v>1</v>
      </c>
      <c r="G865" s="0" t="n">
        <v>0</v>
      </c>
      <c r="H865" s="0" t="n">
        <v>0</v>
      </c>
      <c r="I865" s="0" t="n">
        <v>0</v>
      </c>
      <c r="J865" s="0" t="n">
        <v>0</v>
      </c>
      <c r="K865" s="0" t="n">
        <v>1</v>
      </c>
      <c r="L865" s="0" t="n">
        <v>2</v>
      </c>
    </row>
    <row r="866" customFormat="false" ht="15" hidden="false" customHeight="false" outlineLevel="0" collapsed="false">
      <c r="A866" s="5" t="n">
        <v>40344</v>
      </c>
      <c r="B866" s="6" t="s">
        <v>109</v>
      </c>
      <c r="C866" s="6" t="s">
        <v>117</v>
      </c>
      <c r="D866" s="0" t="n">
        <v>270.365728405721</v>
      </c>
      <c r="E866" s="0" t="n">
        <v>3.623333333</v>
      </c>
      <c r="F866" s="0" t="n">
        <v>1</v>
      </c>
      <c r="G866" s="0" t="n">
        <v>0</v>
      </c>
      <c r="H866" s="0" t="n">
        <v>0</v>
      </c>
      <c r="I866" s="0" t="n">
        <v>0</v>
      </c>
      <c r="J866" s="0" t="n">
        <v>0</v>
      </c>
      <c r="K866" s="0" t="n">
        <v>1</v>
      </c>
      <c r="L866" s="0" t="n">
        <v>2</v>
      </c>
    </row>
    <row r="867" customFormat="false" ht="15" hidden="false" customHeight="false" outlineLevel="0" collapsed="false">
      <c r="A867" s="5" t="n">
        <v>40351</v>
      </c>
      <c r="B867" s="6" t="s">
        <v>109</v>
      </c>
      <c r="C867" s="6" t="s">
        <v>117</v>
      </c>
      <c r="D867" s="0" t="n">
        <v>280.23676981467</v>
      </c>
      <c r="E867" s="0" t="n">
        <v>3.96</v>
      </c>
      <c r="F867" s="0" t="n">
        <v>1</v>
      </c>
      <c r="G867" s="0" t="n">
        <v>0</v>
      </c>
      <c r="H867" s="0" t="n">
        <v>0</v>
      </c>
      <c r="I867" s="0" t="n">
        <v>0</v>
      </c>
      <c r="J867" s="0" t="n">
        <v>0</v>
      </c>
      <c r="K867" s="0" t="n">
        <v>1</v>
      </c>
      <c r="L867" s="0" t="n">
        <v>2</v>
      </c>
    </row>
    <row r="868" customFormat="false" ht="15" hidden="false" customHeight="false" outlineLevel="0" collapsed="false">
      <c r="A868" s="5" t="n">
        <v>40358</v>
      </c>
      <c r="B868" s="6" t="s">
        <v>109</v>
      </c>
      <c r="C868" s="6" t="s">
        <v>117</v>
      </c>
      <c r="D868" s="0" t="n">
        <v>350.550990808566</v>
      </c>
      <c r="E868" s="0" t="n">
        <v>3.629</v>
      </c>
      <c r="F868" s="0" t="n">
        <v>1</v>
      </c>
      <c r="G868" s="0" t="n">
        <v>0</v>
      </c>
      <c r="H868" s="0" t="n">
        <v>1</v>
      </c>
      <c r="I868" s="0" t="n">
        <v>0</v>
      </c>
      <c r="J868" s="0" t="n">
        <v>0</v>
      </c>
      <c r="K868" s="0" t="n">
        <v>1</v>
      </c>
      <c r="L868" s="0" t="n">
        <v>2</v>
      </c>
    </row>
    <row r="869" customFormat="false" ht="15" hidden="false" customHeight="false" outlineLevel="0" collapsed="false">
      <c r="A869" s="5" t="n">
        <v>40365</v>
      </c>
      <c r="B869" s="6" t="s">
        <v>109</v>
      </c>
      <c r="C869" s="6" t="s">
        <v>117</v>
      </c>
      <c r="D869" s="0" t="n">
        <v>351.30307609864</v>
      </c>
      <c r="E869" s="0" t="n">
        <v>3.005</v>
      </c>
      <c r="F869" s="0" t="n">
        <v>1</v>
      </c>
      <c r="G869" s="0" t="n">
        <v>0</v>
      </c>
      <c r="H869" s="0" t="n">
        <v>0</v>
      </c>
      <c r="I869" s="0" t="n">
        <v>1</v>
      </c>
      <c r="J869" s="0" t="n">
        <v>0</v>
      </c>
      <c r="K869" s="0" t="n">
        <v>1</v>
      </c>
      <c r="L869" s="0" t="n">
        <v>2</v>
      </c>
    </row>
    <row r="870" customFormat="false" ht="15" hidden="false" customHeight="false" outlineLevel="0" collapsed="false">
      <c r="A870" s="5" t="n">
        <v>40372</v>
      </c>
      <c r="B870" s="6" t="s">
        <v>109</v>
      </c>
      <c r="C870" s="6" t="s">
        <v>117</v>
      </c>
      <c r="D870" s="0" t="n">
        <v>313.28718565791</v>
      </c>
      <c r="E870" s="0" t="n">
        <v>3.142</v>
      </c>
      <c r="F870" s="0" t="n">
        <v>1</v>
      </c>
      <c r="G870" s="0" t="n">
        <v>0</v>
      </c>
      <c r="H870" s="0" t="n">
        <v>0</v>
      </c>
      <c r="I870" s="0" t="n">
        <v>1</v>
      </c>
      <c r="J870" s="0" t="n">
        <v>0</v>
      </c>
      <c r="K870" s="0" t="n">
        <v>1</v>
      </c>
      <c r="L870" s="0" t="n">
        <v>2</v>
      </c>
    </row>
    <row r="871" customFormat="false" ht="15" hidden="false" customHeight="false" outlineLevel="0" collapsed="false">
      <c r="A871" s="5" t="n">
        <v>40302</v>
      </c>
      <c r="B871" s="6" t="s">
        <v>109</v>
      </c>
      <c r="C871" s="6" t="s">
        <v>118</v>
      </c>
      <c r="D871" s="0" t="n">
        <v>206.854851600265</v>
      </c>
      <c r="E871" s="0" t="n">
        <v>4.732857143</v>
      </c>
      <c r="F871" s="0" t="n">
        <v>0</v>
      </c>
      <c r="G871" s="0" t="n">
        <v>0</v>
      </c>
      <c r="H871" s="0" t="n">
        <v>0</v>
      </c>
      <c r="I871" s="0" t="n">
        <v>0</v>
      </c>
      <c r="J871" s="0" t="n">
        <v>0</v>
      </c>
      <c r="K871" s="0" t="n">
        <v>2</v>
      </c>
      <c r="L871" s="0" t="n">
        <v>3</v>
      </c>
    </row>
    <row r="872" customFormat="false" ht="15" hidden="false" customHeight="false" outlineLevel="0" collapsed="false">
      <c r="A872" s="5" t="n">
        <v>40309</v>
      </c>
      <c r="B872" s="6" t="s">
        <v>109</v>
      </c>
      <c r="C872" s="6" t="s">
        <v>118</v>
      </c>
      <c r="D872" s="0" t="n">
        <v>142.74466259605</v>
      </c>
      <c r="E872" s="0" t="n">
        <v>4.161428571</v>
      </c>
      <c r="F872" s="0" t="n">
        <v>0</v>
      </c>
      <c r="G872" s="0" t="n">
        <v>0</v>
      </c>
      <c r="H872" s="0" t="n">
        <v>0</v>
      </c>
      <c r="I872" s="0" t="n">
        <v>0</v>
      </c>
      <c r="J872" s="0" t="n">
        <v>0</v>
      </c>
      <c r="K872" s="0" t="n">
        <v>2</v>
      </c>
      <c r="L872" s="0" t="n">
        <v>3</v>
      </c>
    </row>
    <row r="873" customFormat="false" ht="15" hidden="false" customHeight="false" outlineLevel="0" collapsed="false">
      <c r="A873" s="5" t="n">
        <v>40316</v>
      </c>
      <c r="B873" s="6" t="s">
        <v>109</v>
      </c>
      <c r="C873" s="6" t="s">
        <v>118</v>
      </c>
      <c r="D873" s="0" t="n">
        <v>227.909862700159</v>
      </c>
      <c r="E873" s="0" t="n">
        <v>3.881428571</v>
      </c>
      <c r="F873" s="0" t="n">
        <v>0</v>
      </c>
      <c r="G873" s="0" t="n">
        <v>0</v>
      </c>
      <c r="H873" s="0" t="n">
        <v>0</v>
      </c>
      <c r="I873" s="0" t="n">
        <v>0</v>
      </c>
      <c r="J873" s="0" t="n">
        <v>0</v>
      </c>
      <c r="K873" s="0" t="n">
        <v>2</v>
      </c>
      <c r="L873" s="0" t="n">
        <v>3</v>
      </c>
    </row>
    <row r="874" customFormat="false" ht="15" hidden="false" customHeight="false" outlineLevel="0" collapsed="false">
      <c r="A874" s="5" t="n">
        <v>40323</v>
      </c>
      <c r="B874" s="6" t="s">
        <v>109</v>
      </c>
      <c r="C874" s="6" t="s">
        <v>118</v>
      </c>
      <c r="D874" s="0" t="n">
        <v>223.912638990611</v>
      </c>
      <c r="E874" s="0" t="n">
        <v>4.145</v>
      </c>
      <c r="F874" s="0" t="n">
        <v>1</v>
      </c>
      <c r="G874" s="0" t="n">
        <v>0</v>
      </c>
      <c r="H874" s="0" t="n">
        <v>0</v>
      </c>
      <c r="I874" s="0" t="n">
        <v>0</v>
      </c>
      <c r="J874" s="0" t="n">
        <v>0</v>
      </c>
      <c r="K874" s="0" t="n">
        <v>2</v>
      </c>
      <c r="L874" s="0" t="n">
        <v>3</v>
      </c>
    </row>
    <row r="875" customFormat="false" ht="15" hidden="false" customHeight="false" outlineLevel="0" collapsed="false">
      <c r="A875" s="5" t="n">
        <v>40330</v>
      </c>
      <c r="B875" s="6" t="s">
        <v>109</v>
      </c>
      <c r="C875" s="6" t="s">
        <v>118</v>
      </c>
      <c r="D875" s="0" t="n">
        <v>220.865050263559</v>
      </c>
      <c r="E875" s="0" t="n">
        <v>3.881428571</v>
      </c>
      <c r="F875" s="0" t="n">
        <v>1</v>
      </c>
      <c r="G875" s="0" t="n">
        <v>0</v>
      </c>
      <c r="H875" s="0" t="n">
        <v>0</v>
      </c>
      <c r="I875" s="0" t="n">
        <v>0</v>
      </c>
      <c r="J875" s="0" t="n">
        <v>0</v>
      </c>
      <c r="K875" s="0" t="n">
        <v>2</v>
      </c>
      <c r="L875" s="0" t="n">
        <v>3</v>
      </c>
    </row>
    <row r="876" customFormat="false" ht="15" hidden="false" customHeight="false" outlineLevel="0" collapsed="false">
      <c r="A876" s="5" t="n">
        <v>40337</v>
      </c>
      <c r="B876" s="6" t="s">
        <v>109</v>
      </c>
      <c r="C876" s="6" t="s">
        <v>118</v>
      </c>
      <c r="D876" s="0" t="n">
        <v>229.219501334717</v>
      </c>
      <c r="E876" s="0" t="n">
        <v>4.19</v>
      </c>
      <c r="F876" s="0" t="n">
        <v>1</v>
      </c>
      <c r="G876" s="0" t="n">
        <v>0</v>
      </c>
      <c r="H876" s="0" t="n">
        <v>0</v>
      </c>
      <c r="I876" s="0" t="n">
        <v>0</v>
      </c>
      <c r="J876" s="0" t="n">
        <v>0</v>
      </c>
      <c r="K876" s="0" t="n">
        <v>2</v>
      </c>
      <c r="L876" s="0" t="n">
        <v>3</v>
      </c>
    </row>
    <row r="877" customFormat="false" ht="15" hidden="false" customHeight="false" outlineLevel="0" collapsed="false">
      <c r="A877" s="5" t="n">
        <v>40344</v>
      </c>
      <c r="B877" s="6" t="s">
        <v>109</v>
      </c>
      <c r="C877" s="6" t="s">
        <v>118</v>
      </c>
      <c r="D877" s="0" t="n">
        <v>224.888537106716</v>
      </c>
      <c r="E877" s="0" t="n">
        <v>4.161428571</v>
      </c>
      <c r="F877" s="0" t="n">
        <v>1</v>
      </c>
      <c r="G877" s="0" t="n">
        <v>0</v>
      </c>
      <c r="H877" s="0" t="n">
        <v>0</v>
      </c>
      <c r="I877" s="0" t="n">
        <v>0</v>
      </c>
      <c r="J877" s="0" t="n">
        <v>0</v>
      </c>
      <c r="K877" s="0" t="n">
        <v>2</v>
      </c>
      <c r="L877" s="0" t="n">
        <v>3</v>
      </c>
    </row>
    <row r="878" customFormat="false" ht="15" hidden="false" customHeight="false" outlineLevel="0" collapsed="false">
      <c r="A878" s="5" t="n">
        <v>40351</v>
      </c>
      <c r="B878" s="6" t="s">
        <v>109</v>
      </c>
      <c r="C878" s="6" t="s">
        <v>118</v>
      </c>
      <c r="D878" s="0" t="n">
        <v>241.56974188162</v>
      </c>
      <c r="E878" s="0" t="n">
        <v>4.161428571</v>
      </c>
      <c r="F878" s="0" t="n">
        <v>1</v>
      </c>
      <c r="G878" s="0" t="n">
        <v>0</v>
      </c>
      <c r="H878" s="0" t="n">
        <v>0</v>
      </c>
      <c r="I878" s="0" t="n">
        <v>0</v>
      </c>
      <c r="J878" s="0" t="n">
        <v>0</v>
      </c>
      <c r="K878" s="0" t="n">
        <v>2</v>
      </c>
      <c r="L878" s="0" t="n">
        <v>3</v>
      </c>
    </row>
    <row r="879" customFormat="false" ht="15" hidden="false" customHeight="false" outlineLevel="0" collapsed="false">
      <c r="A879" s="5" t="n">
        <v>40358</v>
      </c>
      <c r="B879" s="6" t="s">
        <v>109</v>
      </c>
      <c r="C879" s="6" t="s">
        <v>118</v>
      </c>
      <c r="D879" s="0" t="n">
        <v>230.100481233273</v>
      </c>
      <c r="E879" s="0" t="n">
        <v>4.161428571</v>
      </c>
      <c r="F879" s="0" t="n">
        <v>1</v>
      </c>
      <c r="G879" s="0" t="n">
        <v>0</v>
      </c>
      <c r="H879" s="0" t="n">
        <v>0</v>
      </c>
      <c r="I879" s="0" t="n">
        <v>0</v>
      </c>
      <c r="J879" s="0" t="n">
        <v>0</v>
      </c>
      <c r="K879" s="0" t="n">
        <v>2</v>
      </c>
      <c r="L879" s="0" t="n">
        <v>3</v>
      </c>
    </row>
    <row r="880" customFormat="false" ht="15" hidden="false" customHeight="false" outlineLevel="0" collapsed="false">
      <c r="A880" s="5" t="n">
        <v>40365</v>
      </c>
      <c r="B880" s="6" t="s">
        <v>109</v>
      </c>
      <c r="C880" s="6" t="s">
        <v>118</v>
      </c>
      <c r="D880" s="0" t="n">
        <v>308.246585568921</v>
      </c>
      <c r="E880" s="0" t="n">
        <v>3.745</v>
      </c>
      <c r="F880" s="0" t="n">
        <v>1</v>
      </c>
      <c r="G880" s="0" t="n">
        <v>0</v>
      </c>
      <c r="H880" s="0" t="n">
        <v>0</v>
      </c>
      <c r="I880" s="0" t="n">
        <v>0</v>
      </c>
      <c r="J880" s="0" t="n">
        <v>0</v>
      </c>
      <c r="K880" s="0" t="n">
        <v>2</v>
      </c>
      <c r="L880" s="0" t="n">
        <v>3</v>
      </c>
    </row>
    <row r="881" customFormat="false" ht="15" hidden="false" customHeight="false" outlineLevel="0" collapsed="false">
      <c r="A881" s="5" t="n">
        <v>40372</v>
      </c>
      <c r="B881" s="6" t="s">
        <v>109</v>
      </c>
      <c r="C881" s="6" t="s">
        <v>118</v>
      </c>
      <c r="D881" s="0" t="n">
        <v>326.652946057765</v>
      </c>
      <c r="E881" s="0" t="n">
        <v>3.745</v>
      </c>
      <c r="F881" s="0" t="n">
        <v>1</v>
      </c>
      <c r="G881" s="0" t="n">
        <v>0</v>
      </c>
      <c r="H881" s="0" t="n">
        <v>0</v>
      </c>
      <c r="I881" s="0" t="n">
        <v>0</v>
      </c>
      <c r="J881" s="0" t="n">
        <v>0</v>
      </c>
      <c r="K881" s="0" t="n">
        <v>2</v>
      </c>
      <c r="L881" s="0" t="n">
        <v>3</v>
      </c>
    </row>
    <row r="882" customFormat="false" ht="15" hidden="false" customHeight="false" outlineLevel="0" collapsed="false">
      <c r="A882" s="5" t="n">
        <v>40302</v>
      </c>
      <c r="B882" s="6" t="s">
        <v>109</v>
      </c>
      <c r="C882" s="6" t="s">
        <v>119</v>
      </c>
      <c r="D882" s="0" t="n">
        <v>120.518992945255</v>
      </c>
      <c r="E882" s="0" t="n">
        <v>4.161428571</v>
      </c>
      <c r="F882" s="0" t="n">
        <v>0</v>
      </c>
      <c r="G882" s="0" t="n">
        <v>0</v>
      </c>
      <c r="H882" s="0" t="n">
        <v>0</v>
      </c>
      <c r="I882" s="0" t="n">
        <v>0</v>
      </c>
      <c r="J882" s="0" t="n">
        <v>1</v>
      </c>
      <c r="K882" s="0" t="n">
        <v>1</v>
      </c>
      <c r="L882" s="0" t="n">
        <v>1</v>
      </c>
    </row>
    <row r="883" customFormat="false" ht="15" hidden="false" customHeight="false" outlineLevel="0" collapsed="false">
      <c r="A883" s="5" t="n">
        <v>40309</v>
      </c>
      <c r="B883" s="6" t="s">
        <v>109</v>
      </c>
      <c r="C883" s="6" t="s">
        <v>119</v>
      </c>
      <c r="D883" s="0" t="n">
        <v>199.315991033702</v>
      </c>
      <c r="E883" s="0" t="n">
        <v>4.128571429</v>
      </c>
      <c r="F883" s="0" t="n">
        <v>0</v>
      </c>
      <c r="G883" s="0" t="n">
        <v>0</v>
      </c>
      <c r="H883" s="0" t="n">
        <v>0</v>
      </c>
      <c r="I883" s="0" t="n">
        <v>0</v>
      </c>
      <c r="J883" s="0" t="n">
        <v>1</v>
      </c>
      <c r="K883" s="0" t="n">
        <v>1</v>
      </c>
      <c r="L883" s="0" t="n">
        <v>1</v>
      </c>
    </row>
    <row r="884" customFormat="false" ht="15" hidden="false" customHeight="false" outlineLevel="0" collapsed="false">
      <c r="A884" s="5" t="n">
        <v>40316</v>
      </c>
      <c r="B884" s="6" t="s">
        <v>109</v>
      </c>
      <c r="C884" s="6" t="s">
        <v>119</v>
      </c>
      <c r="D884" s="0" t="n">
        <v>265.207807417214</v>
      </c>
      <c r="E884" s="0" t="n">
        <v>3.881428571</v>
      </c>
      <c r="F884" s="0" t="n">
        <v>0</v>
      </c>
      <c r="G884" s="0" t="n">
        <v>0</v>
      </c>
      <c r="H884" s="0" t="n">
        <v>0</v>
      </c>
      <c r="I884" s="0" t="n">
        <v>0</v>
      </c>
      <c r="J884" s="0" t="n">
        <v>0</v>
      </c>
      <c r="K884" s="0" t="n">
        <v>1</v>
      </c>
      <c r="L884" s="0" t="n">
        <v>1</v>
      </c>
    </row>
    <row r="885" customFormat="false" ht="15" hidden="false" customHeight="false" outlineLevel="0" collapsed="false">
      <c r="A885" s="5" t="n">
        <v>40323</v>
      </c>
      <c r="B885" s="6" t="s">
        <v>109</v>
      </c>
      <c r="C885" s="6" t="s">
        <v>119</v>
      </c>
      <c r="D885" s="0" t="n">
        <v>292.620087994381</v>
      </c>
      <c r="E885" s="0" t="n">
        <v>3.881428571</v>
      </c>
      <c r="F885" s="0" t="n">
        <v>1</v>
      </c>
      <c r="G885" s="0" t="n">
        <v>0</v>
      </c>
      <c r="H885" s="0" t="n">
        <v>0</v>
      </c>
      <c r="I885" s="0" t="n">
        <v>0</v>
      </c>
      <c r="J885" s="0" t="n">
        <v>0</v>
      </c>
      <c r="K885" s="0" t="n">
        <v>1</v>
      </c>
      <c r="L885" s="0" t="n">
        <v>1</v>
      </c>
    </row>
    <row r="886" customFormat="false" ht="15" hidden="false" customHeight="false" outlineLevel="0" collapsed="false">
      <c r="A886" s="5" t="n">
        <v>40330</v>
      </c>
      <c r="B886" s="6" t="s">
        <v>109</v>
      </c>
      <c r="C886" s="6" t="s">
        <v>119</v>
      </c>
      <c r="D886" s="0" t="n">
        <v>296.429275213255</v>
      </c>
      <c r="E886" s="0" t="n">
        <v>3.881428571</v>
      </c>
      <c r="F886" s="0" t="n">
        <v>1</v>
      </c>
      <c r="G886" s="0" t="n">
        <v>0</v>
      </c>
      <c r="H886" s="0" t="n">
        <v>0</v>
      </c>
      <c r="I886" s="0" t="n">
        <v>0</v>
      </c>
      <c r="J886" s="0" t="n">
        <v>0</v>
      </c>
      <c r="K886" s="0" t="n">
        <v>1</v>
      </c>
      <c r="L886" s="0" t="n">
        <v>1</v>
      </c>
    </row>
    <row r="887" customFormat="false" ht="15" hidden="false" customHeight="false" outlineLevel="0" collapsed="false">
      <c r="A887" s="5" t="n">
        <v>40337</v>
      </c>
      <c r="B887" s="6" t="s">
        <v>109</v>
      </c>
      <c r="C887" s="6" t="s">
        <v>119</v>
      </c>
      <c r="D887" s="0" t="n">
        <v>349.296497627869</v>
      </c>
      <c r="E887" s="0" t="n">
        <v>4.125714286</v>
      </c>
      <c r="F887" s="0" t="n">
        <v>1</v>
      </c>
      <c r="G887" s="0" t="n">
        <v>0</v>
      </c>
      <c r="H887" s="0" t="n">
        <v>1</v>
      </c>
      <c r="I887" s="0" t="n">
        <v>0</v>
      </c>
      <c r="J887" s="0" t="n">
        <v>0</v>
      </c>
      <c r="K887" s="0" t="n">
        <v>1</v>
      </c>
      <c r="L887" s="0" t="n">
        <v>1</v>
      </c>
    </row>
    <row r="888" customFormat="false" ht="15" hidden="false" customHeight="false" outlineLevel="0" collapsed="false">
      <c r="A888" s="5" t="n">
        <v>40344</v>
      </c>
      <c r="B888" s="6" t="s">
        <v>109</v>
      </c>
      <c r="C888" s="6" t="s">
        <v>119</v>
      </c>
      <c r="D888" s="0" t="n">
        <v>284.123614747547</v>
      </c>
      <c r="E888" s="0" t="n">
        <v>4.161428571</v>
      </c>
      <c r="F888" s="0" t="n">
        <v>1</v>
      </c>
      <c r="G888" s="0" t="n">
        <v>0</v>
      </c>
      <c r="H888" s="0" t="n">
        <v>0</v>
      </c>
      <c r="I888" s="0" t="n">
        <v>1</v>
      </c>
      <c r="J888" s="0" t="n">
        <v>0</v>
      </c>
      <c r="K888" s="0" t="n">
        <v>1</v>
      </c>
      <c r="L888" s="0" t="n">
        <v>1</v>
      </c>
    </row>
    <row r="889" customFormat="false" ht="15" hidden="false" customHeight="false" outlineLevel="0" collapsed="false">
      <c r="A889" s="5" t="n">
        <v>40351</v>
      </c>
      <c r="B889" s="6" t="s">
        <v>109</v>
      </c>
      <c r="C889" s="6" t="s">
        <v>119</v>
      </c>
      <c r="D889" s="0" t="n">
        <v>302.026824430316</v>
      </c>
      <c r="E889" s="0" t="n">
        <v>4.161428571</v>
      </c>
      <c r="F889" s="0" t="n">
        <v>1</v>
      </c>
      <c r="G889" s="0" t="n">
        <v>0</v>
      </c>
      <c r="H889" s="0" t="n">
        <v>0</v>
      </c>
      <c r="I889" s="0" t="n">
        <v>1</v>
      </c>
      <c r="J889" s="0" t="n">
        <v>0</v>
      </c>
      <c r="K889" s="0" t="n">
        <v>1</v>
      </c>
      <c r="L889" s="0" t="n">
        <v>1</v>
      </c>
    </row>
    <row r="890" customFormat="false" ht="15" hidden="false" customHeight="false" outlineLevel="0" collapsed="false">
      <c r="A890" s="5" t="n">
        <v>40358</v>
      </c>
      <c r="B890" s="6" t="s">
        <v>109</v>
      </c>
      <c r="C890" s="6" t="s">
        <v>119</v>
      </c>
      <c r="D890" s="0" t="n">
        <v>262.657035952143</v>
      </c>
      <c r="E890" s="0" t="n">
        <v>4.161428571</v>
      </c>
      <c r="F890" s="0" t="n">
        <v>1</v>
      </c>
      <c r="G890" s="0" t="n">
        <v>0</v>
      </c>
      <c r="H890" s="0" t="n">
        <v>0</v>
      </c>
      <c r="I890" s="0" t="n">
        <v>1</v>
      </c>
      <c r="J890" s="0" t="n">
        <v>0</v>
      </c>
      <c r="K890" s="0" t="n">
        <v>1</v>
      </c>
      <c r="L890" s="0" t="n">
        <v>1</v>
      </c>
    </row>
    <row r="891" customFormat="false" ht="15" hidden="false" customHeight="false" outlineLevel="0" collapsed="false">
      <c r="A891" s="5" t="n">
        <v>40365</v>
      </c>
      <c r="B891" s="6" t="s">
        <v>109</v>
      </c>
      <c r="C891" s="6" t="s">
        <v>119</v>
      </c>
      <c r="D891" s="0" t="n">
        <v>377.139476472588</v>
      </c>
      <c r="E891" s="0" t="n">
        <v>3.826666667</v>
      </c>
      <c r="F891" s="0" t="n">
        <v>1</v>
      </c>
      <c r="G891" s="0" t="n">
        <v>0</v>
      </c>
      <c r="H891" s="0" t="n">
        <v>0</v>
      </c>
      <c r="I891" s="0" t="n">
        <v>0</v>
      </c>
      <c r="J891" s="0" t="n">
        <v>1</v>
      </c>
      <c r="K891" s="0" t="n">
        <v>1</v>
      </c>
      <c r="L891" s="0" t="n">
        <v>1</v>
      </c>
    </row>
    <row r="892" customFormat="false" ht="15" hidden="false" customHeight="false" outlineLevel="0" collapsed="false">
      <c r="A892" s="5" t="n">
        <v>40372</v>
      </c>
      <c r="B892" s="6" t="s">
        <v>109</v>
      </c>
      <c r="C892" s="6" t="s">
        <v>119</v>
      </c>
      <c r="D892" s="0" t="n">
        <v>327.866691513203</v>
      </c>
      <c r="E892" s="0" t="n">
        <v>3.518571429</v>
      </c>
      <c r="F892" s="0" t="n">
        <v>1</v>
      </c>
      <c r="G892" s="0" t="n">
        <v>0</v>
      </c>
      <c r="H892" s="0" t="n">
        <v>0</v>
      </c>
      <c r="I892" s="0" t="n">
        <v>0</v>
      </c>
      <c r="J892" s="0" t="n">
        <v>1</v>
      </c>
      <c r="K892" s="0" t="n">
        <v>1</v>
      </c>
      <c r="L892" s="0" t="n">
        <v>1</v>
      </c>
    </row>
    <row r="893" customFormat="false" ht="15" hidden="false" customHeight="false" outlineLevel="0" collapsed="false">
      <c r="A893" s="5" t="n">
        <v>40302</v>
      </c>
      <c r="B893" s="6" t="s">
        <v>120</v>
      </c>
      <c r="C893" s="6" t="s">
        <v>121</v>
      </c>
      <c r="D893" s="0" t="n">
        <v>178.296705853579</v>
      </c>
      <c r="E893" s="0" t="n">
        <v>4.836153846</v>
      </c>
      <c r="F893" s="0" t="n">
        <v>1</v>
      </c>
      <c r="G893" s="0" t="n">
        <v>0</v>
      </c>
      <c r="H893" s="0" t="n">
        <v>0</v>
      </c>
      <c r="I893" s="0" t="n">
        <v>0</v>
      </c>
      <c r="J893" s="0" t="n">
        <v>0</v>
      </c>
      <c r="K893" s="0" t="n">
        <v>1</v>
      </c>
      <c r="L893" s="0" t="n">
        <v>2</v>
      </c>
    </row>
    <row r="894" customFormat="false" ht="15" hidden="false" customHeight="false" outlineLevel="0" collapsed="false">
      <c r="A894" s="5" t="n">
        <v>40309</v>
      </c>
      <c r="B894" s="6" t="s">
        <v>120</v>
      </c>
      <c r="C894" s="6" t="s">
        <v>121</v>
      </c>
      <c r="D894" s="0" t="n">
        <v>198.506340000082</v>
      </c>
      <c r="E894" s="0" t="n">
        <v>4.216666667</v>
      </c>
      <c r="F894" s="0" t="n">
        <v>1</v>
      </c>
      <c r="G894" s="0" t="n">
        <v>0</v>
      </c>
      <c r="H894" s="0" t="n">
        <v>0</v>
      </c>
      <c r="I894" s="0" t="n">
        <v>0</v>
      </c>
      <c r="J894" s="0" t="n">
        <v>0</v>
      </c>
      <c r="K894" s="0" t="n">
        <v>1</v>
      </c>
      <c r="L894" s="0" t="n">
        <v>2</v>
      </c>
    </row>
    <row r="895" customFormat="false" ht="15" hidden="false" customHeight="false" outlineLevel="0" collapsed="false">
      <c r="A895" s="5" t="n">
        <v>40316</v>
      </c>
      <c r="B895" s="6" t="s">
        <v>120</v>
      </c>
      <c r="C895" s="6" t="s">
        <v>121</v>
      </c>
      <c r="D895" s="0" t="n">
        <v>329.454349465027</v>
      </c>
      <c r="E895" s="0" t="n">
        <v>4.10875</v>
      </c>
      <c r="F895" s="0" t="n">
        <v>1</v>
      </c>
      <c r="G895" s="0" t="n">
        <v>0</v>
      </c>
      <c r="H895" s="0" t="n">
        <v>0</v>
      </c>
      <c r="I895" s="0" t="n">
        <v>0</v>
      </c>
      <c r="J895" s="0" t="n">
        <v>0</v>
      </c>
      <c r="K895" s="0" t="n">
        <v>1</v>
      </c>
      <c r="L895" s="0" t="n">
        <v>2</v>
      </c>
    </row>
    <row r="896" customFormat="false" ht="15" hidden="false" customHeight="false" outlineLevel="0" collapsed="false">
      <c r="A896" s="5" t="n">
        <v>40323</v>
      </c>
      <c r="B896" s="6" t="s">
        <v>120</v>
      </c>
      <c r="C896" s="6" t="s">
        <v>121</v>
      </c>
      <c r="D896" s="0" t="n">
        <v>241.513705335494</v>
      </c>
      <c r="E896" s="0" t="n">
        <v>4.10875</v>
      </c>
      <c r="F896" s="0" t="n">
        <v>1</v>
      </c>
      <c r="G896" s="0" t="n">
        <v>0</v>
      </c>
      <c r="H896" s="0" t="n">
        <v>0</v>
      </c>
      <c r="I896" s="0" t="n">
        <v>0</v>
      </c>
      <c r="J896" s="0" t="n">
        <v>0</v>
      </c>
      <c r="K896" s="0" t="n">
        <v>1</v>
      </c>
      <c r="L896" s="0" t="n">
        <v>2</v>
      </c>
    </row>
    <row r="897" customFormat="false" ht="15" hidden="false" customHeight="false" outlineLevel="0" collapsed="false">
      <c r="A897" s="5" t="n">
        <v>40330</v>
      </c>
      <c r="B897" s="6" t="s">
        <v>120</v>
      </c>
      <c r="C897" s="6" t="s">
        <v>121</v>
      </c>
      <c r="D897" s="0" t="n">
        <v>180.82678849893</v>
      </c>
      <c r="E897" s="0" t="n">
        <v>4.10875</v>
      </c>
      <c r="F897" s="0" t="n">
        <v>1</v>
      </c>
      <c r="G897" s="0" t="n">
        <v>0</v>
      </c>
      <c r="H897" s="0" t="n">
        <v>0</v>
      </c>
      <c r="I897" s="0" t="n">
        <v>0</v>
      </c>
      <c r="J897" s="0" t="n">
        <v>0</v>
      </c>
      <c r="K897" s="0" t="n">
        <v>1</v>
      </c>
      <c r="L897" s="0" t="n">
        <v>2</v>
      </c>
    </row>
    <row r="898" customFormat="false" ht="15" hidden="false" customHeight="false" outlineLevel="0" collapsed="false">
      <c r="A898" s="5" t="n">
        <v>40337</v>
      </c>
      <c r="B898" s="6" t="s">
        <v>120</v>
      </c>
      <c r="C898" s="6" t="s">
        <v>121</v>
      </c>
      <c r="D898" s="0" t="n">
        <v>226.095866642017</v>
      </c>
      <c r="E898" s="0" t="n">
        <v>4.563333333</v>
      </c>
      <c r="F898" s="0" t="n">
        <v>1</v>
      </c>
      <c r="G898" s="0" t="n">
        <v>0</v>
      </c>
      <c r="H898" s="0" t="n">
        <v>0</v>
      </c>
      <c r="I898" s="0" t="n">
        <v>0</v>
      </c>
      <c r="J898" s="0" t="n">
        <v>0</v>
      </c>
      <c r="K898" s="0" t="n">
        <v>1</v>
      </c>
      <c r="L898" s="0" t="n">
        <v>2</v>
      </c>
    </row>
    <row r="899" customFormat="false" ht="15" hidden="false" customHeight="false" outlineLevel="0" collapsed="false">
      <c r="A899" s="5" t="n">
        <v>40344</v>
      </c>
      <c r="B899" s="6" t="s">
        <v>120</v>
      </c>
      <c r="C899" s="6" t="s">
        <v>121</v>
      </c>
      <c r="D899" s="0" t="n">
        <v>257.029967293295</v>
      </c>
      <c r="E899" s="0" t="n">
        <v>4.318571429</v>
      </c>
      <c r="F899" s="0" t="n">
        <v>1</v>
      </c>
      <c r="G899" s="0" t="n">
        <v>0</v>
      </c>
      <c r="H899" s="0" t="n">
        <v>0</v>
      </c>
      <c r="I899" s="0" t="n">
        <v>0</v>
      </c>
      <c r="J899" s="0" t="n">
        <v>0</v>
      </c>
      <c r="K899" s="0" t="n">
        <v>1</v>
      </c>
      <c r="L899" s="0" t="n">
        <v>2</v>
      </c>
    </row>
    <row r="900" customFormat="false" ht="15" hidden="false" customHeight="false" outlineLevel="0" collapsed="false">
      <c r="A900" s="5" t="n">
        <v>40351</v>
      </c>
      <c r="B900" s="6" t="s">
        <v>120</v>
      </c>
      <c r="C900" s="6" t="s">
        <v>121</v>
      </c>
      <c r="D900" s="0" t="n">
        <v>751.927131851851</v>
      </c>
      <c r="E900" s="0" t="n">
        <v>4.073333333</v>
      </c>
      <c r="F900" s="0" t="n">
        <v>1</v>
      </c>
      <c r="G900" s="0" t="n">
        <v>1</v>
      </c>
      <c r="H900" s="0" t="n">
        <v>1</v>
      </c>
      <c r="I900" s="0" t="n">
        <v>0</v>
      </c>
      <c r="J900" s="0" t="n">
        <v>0</v>
      </c>
      <c r="K900" s="0" t="n">
        <v>1</v>
      </c>
      <c r="L900" s="0" t="n">
        <v>2</v>
      </c>
    </row>
    <row r="901" customFormat="false" ht="15" hidden="false" customHeight="false" outlineLevel="0" collapsed="false">
      <c r="A901" s="5" t="n">
        <v>40358</v>
      </c>
      <c r="B901" s="6" t="s">
        <v>120</v>
      </c>
      <c r="C901" s="6" t="s">
        <v>121</v>
      </c>
      <c r="D901" s="0" t="n">
        <v>789.091870287685</v>
      </c>
      <c r="E901" s="0" t="n">
        <v>3.394</v>
      </c>
      <c r="F901" s="0" t="n">
        <v>1</v>
      </c>
      <c r="G901" s="0" t="n">
        <v>1</v>
      </c>
      <c r="H901" s="0" t="n">
        <v>0</v>
      </c>
      <c r="I901" s="0" t="n">
        <v>1</v>
      </c>
      <c r="J901" s="0" t="n">
        <v>0</v>
      </c>
      <c r="K901" s="0" t="n">
        <v>1</v>
      </c>
      <c r="L901" s="0" t="n">
        <v>2</v>
      </c>
    </row>
    <row r="902" customFormat="false" ht="15" hidden="false" customHeight="false" outlineLevel="0" collapsed="false">
      <c r="A902" s="5" t="n">
        <v>40365</v>
      </c>
      <c r="B902" s="6" t="s">
        <v>120</v>
      </c>
      <c r="C902" s="6" t="s">
        <v>121</v>
      </c>
      <c r="D902" s="0" t="n">
        <v>831.144896026972</v>
      </c>
      <c r="E902" s="0" t="n">
        <v>3.526875</v>
      </c>
      <c r="F902" s="0" t="n">
        <v>1</v>
      </c>
      <c r="G902" s="0" t="n">
        <v>1</v>
      </c>
      <c r="H902" s="0" t="n">
        <v>0</v>
      </c>
      <c r="I902" s="0" t="n">
        <v>1</v>
      </c>
      <c r="J902" s="0" t="n">
        <v>0</v>
      </c>
      <c r="K902" s="0" t="n">
        <v>1</v>
      </c>
      <c r="L902" s="0" t="n">
        <v>2</v>
      </c>
    </row>
    <row r="903" customFormat="false" ht="15" hidden="false" customHeight="false" outlineLevel="0" collapsed="false">
      <c r="A903" s="5" t="n">
        <v>40372</v>
      </c>
      <c r="B903" s="6" t="s">
        <v>120</v>
      </c>
      <c r="C903" s="6" t="s">
        <v>121</v>
      </c>
      <c r="D903" s="0" t="n">
        <v>725.730070068589</v>
      </c>
      <c r="E903" s="0" t="n">
        <v>2.889285714</v>
      </c>
      <c r="F903" s="0" t="n">
        <v>1</v>
      </c>
      <c r="G903" s="0" t="n">
        <v>1</v>
      </c>
      <c r="H903" s="0" t="n">
        <v>0</v>
      </c>
      <c r="I903" s="0" t="n">
        <v>1</v>
      </c>
      <c r="J903" s="0" t="n">
        <v>0</v>
      </c>
      <c r="K903" s="0" t="n">
        <v>1</v>
      </c>
      <c r="L903" s="0" t="n">
        <v>2</v>
      </c>
    </row>
    <row r="904" customFormat="false" ht="15" hidden="false" customHeight="false" outlineLevel="0" collapsed="false">
      <c r="A904" s="5" t="n">
        <v>40302</v>
      </c>
      <c r="B904" s="6" t="s">
        <v>120</v>
      </c>
      <c r="C904" s="6" t="s">
        <v>122</v>
      </c>
      <c r="D904" s="0" t="n">
        <v>222.522639710935</v>
      </c>
      <c r="E904" s="0" t="n">
        <v>4.6775</v>
      </c>
      <c r="F904" s="0" t="n">
        <v>1</v>
      </c>
      <c r="G904" s="0" t="n">
        <v>0</v>
      </c>
      <c r="H904" s="0" t="n">
        <v>0</v>
      </c>
      <c r="I904" s="0" t="n">
        <v>0</v>
      </c>
      <c r="J904" s="0" t="n">
        <v>0</v>
      </c>
      <c r="K904" s="0" t="n">
        <v>0</v>
      </c>
      <c r="L904" s="0" t="n">
        <v>2</v>
      </c>
    </row>
    <row r="905" customFormat="false" ht="15" hidden="false" customHeight="false" outlineLevel="0" collapsed="false">
      <c r="A905" s="5" t="n">
        <v>40309</v>
      </c>
      <c r="B905" s="6" t="s">
        <v>120</v>
      </c>
      <c r="C905" s="6" t="s">
        <v>122</v>
      </c>
      <c r="D905" s="0" t="n">
        <v>242.032806871918</v>
      </c>
      <c r="E905" s="0" t="n">
        <v>4.204285714</v>
      </c>
      <c r="F905" s="0" t="n">
        <v>1</v>
      </c>
      <c r="G905" s="0" t="n">
        <v>0</v>
      </c>
      <c r="H905" s="0" t="n">
        <v>0</v>
      </c>
      <c r="I905" s="0" t="n">
        <v>0</v>
      </c>
      <c r="J905" s="0" t="n">
        <v>0</v>
      </c>
      <c r="K905" s="0" t="n">
        <v>0</v>
      </c>
      <c r="L905" s="0" t="n">
        <v>2</v>
      </c>
    </row>
    <row r="906" customFormat="false" ht="15" hidden="false" customHeight="false" outlineLevel="0" collapsed="false">
      <c r="A906" s="5" t="n">
        <v>40316</v>
      </c>
      <c r="B906" s="6" t="s">
        <v>120</v>
      </c>
      <c r="C906" s="6" t="s">
        <v>122</v>
      </c>
      <c r="D906" s="0" t="n">
        <v>222.572241332122</v>
      </c>
      <c r="E906" s="0" t="n">
        <v>4.2025</v>
      </c>
      <c r="F906" s="0" t="n">
        <v>1</v>
      </c>
      <c r="G906" s="0" t="n">
        <v>0</v>
      </c>
      <c r="H906" s="0" t="n">
        <v>0</v>
      </c>
      <c r="I906" s="0" t="n">
        <v>0</v>
      </c>
      <c r="J906" s="0" t="n">
        <v>0</v>
      </c>
      <c r="K906" s="0" t="n">
        <v>0</v>
      </c>
      <c r="L906" s="0" t="n">
        <v>2</v>
      </c>
    </row>
    <row r="907" customFormat="false" ht="15" hidden="false" customHeight="false" outlineLevel="0" collapsed="false">
      <c r="A907" s="5" t="n">
        <v>40323</v>
      </c>
      <c r="B907" s="6" t="s">
        <v>120</v>
      </c>
      <c r="C907" s="6" t="s">
        <v>122</v>
      </c>
      <c r="D907" s="0" t="n">
        <v>240.304799947912</v>
      </c>
      <c r="E907" s="0" t="n">
        <v>3.578888889</v>
      </c>
      <c r="F907" s="0" t="n">
        <v>1</v>
      </c>
      <c r="G907" s="0" t="n">
        <v>0</v>
      </c>
      <c r="H907" s="0" t="n">
        <v>0</v>
      </c>
      <c r="I907" s="0" t="n">
        <v>0</v>
      </c>
      <c r="J907" s="0" t="n">
        <v>0</v>
      </c>
      <c r="K907" s="0" t="n">
        <v>0</v>
      </c>
      <c r="L907" s="0" t="n">
        <v>2</v>
      </c>
    </row>
    <row r="908" customFormat="false" ht="15" hidden="false" customHeight="false" outlineLevel="0" collapsed="false">
      <c r="A908" s="5" t="n">
        <v>40330</v>
      </c>
      <c r="B908" s="6" t="s">
        <v>120</v>
      </c>
      <c r="C908" s="6" t="s">
        <v>122</v>
      </c>
      <c r="D908" s="0" t="n">
        <v>297.322606857285</v>
      </c>
      <c r="E908" s="0" t="n">
        <v>4.045555556</v>
      </c>
      <c r="F908" s="0" t="n">
        <v>1</v>
      </c>
      <c r="G908" s="0" t="n">
        <v>0</v>
      </c>
      <c r="H908" s="0" t="n">
        <v>0</v>
      </c>
      <c r="I908" s="0" t="n">
        <v>0</v>
      </c>
      <c r="J908" s="0" t="n">
        <v>0</v>
      </c>
      <c r="K908" s="0" t="n">
        <v>0</v>
      </c>
      <c r="L908" s="0" t="n">
        <v>2</v>
      </c>
    </row>
    <row r="909" customFormat="false" ht="15" hidden="false" customHeight="false" outlineLevel="0" collapsed="false">
      <c r="A909" s="5" t="n">
        <v>40337</v>
      </c>
      <c r="B909" s="6" t="s">
        <v>120</v>
      </c>
      <c r="C909" s="6" t="s">
        <v>122</v>
      </c>
      <c r="D909" s="0" t="n">
        <v>214.811878243018</v>
      </c>
      <c r="E909" s="0" t="n">
        <v>4.467777778</v>
      </c>
      <c r="F909" s="0" t="n">
        <v>1</v>
      </c>
      <c r="G909" s="0" t="n">
        <v>0</v>
      </c>
      <c r="H909" s="0" t="n">
        <v>0</v>
      </c>
      <c r="I909" s="0" t="n">
        <v>0</v>
      </c>
      <c r="J909" s="0" t="n">
        <v>0</v>
      </c>
      <c r="K909" s="0" t="n">
        <v>0</v>
      </c>
      <c r="L909" s="0" t="n">
        <v>2</v>
      </c>
    </row>
    <row r="910" customFormat="false" ht="15" hidden="false" customHeight="false" outlineLevel="0" collapsed="false">
      <c r="A910" s="5" t="n">
        <v>40344</v>
      </c>
      <c r="B910" s="6" t="s">
        <v>120</v>
      </c>
      <c r="C910" s="6" t="s">
        <v>122</v>
      </c>
      <c r="D910" s="0" t="n">
        <v>224.80509659551</v>
      </c>
      <c r="E910" s="0" t="n">
        <v>3.701111111</v>
      </c>
      <c r="F910" s="0" t="n">
        <v>1</v>
      </c>
      <c r="G910" s="0" t="n">
        <v>0</v>
      </c>
      <c r="H910" s="0" t="n">
        <v>0</v>
      </c>
      <c r="I910" s="0" t="n">
        <v>0</v>
      </c>
      <c r="J910" s="0" t="n">
        <v>0</v>
      </c>
      <c r="K910" s="0" t="n">
        <v>0</v>
      </c>
      <c r="L910" s="0" t="n">
        <v>2</v>
      </c>
    </row>
    <row r="911" customFormat="false" ht="15" hidden="false" customHeight="false" outlineLevel="0" collapsed="false">
      <c r="A911" s="5" t="n">
        <v>40351</v>
      </c>
      <c r="B911" s="6" t="s">
        <v>120</v>
      </c>
      <c r="C911" s="6" t="s">
        <v>122</v>
      </c>
      <c r="D911" s="0" t="n">
        <v>242.091662690739</v>
      </c>
      <c r="E911" s="0" t="n">
        <v>3.89</v>
      </c>
      <c r="F911" s="0" t="n">
        <v>1</v>
      </c>
      <c r="G911" s="0" t="n">
        <v>0</v>
      </c>
      <c r="H911" s="0" t="n">
        <v>0</v>
      </c>
      <c r="I911" s="0" t="n">
        <v>0</v>
      </c>
      <c r="J911" s="0" t="n">
        <v>0</v>
      </c>
      <c r="K911" s="0" t="n">
        <v>0</v>
      </c>
      <c r="L911" s="0" t="n">
        <v>2</v>
      </c>
    </row>
    <row r="912" customFormat="false" ht="15" hidden="false" customHeight="false" outlineLevel="0" collapsed="false">
      <c r="A912" s="5" t="n">
        <v>40358</v>
      </c>
      <c r="B912" s="6" t="s">
        <v>120</v>
      </c>
      <c r="C912" s="6" t="s">
        <v>122</v>
      </c>
      <c r="D912" s="0" t="n">
        <v>221.63976625681</v>
      </c>
      <c r="E912" s="0" t="n">
        <v>3.758181818</v>
      </c>
      <c r="F912" s="0" t="n">
        <v>1</v>
      </c>
      <c r="G912" s="0" t="n">
        <v>0</v>
      </c>
      <c r="H912" s="0" t="n">
        <v>0</v>
      </c>
      <c r="I912" s="0" t="n">
        <v>0</v>
      </c>
      <c r="J912" s="0" t="n">
        <v>0</v>
      </c>
      <c r="K912" s="0" t="n">
        <v>0</v>
      </c>
      <c r="L912" s="0" t="n">
        <v>2</v>
      </c>
    </row>
    <row r="913" customFormat="false" ht="15" hidden="false" customHeight="false" outlineLevel="0" collapsed="false">
      <c r="A913" s="5" t="n">
        <v>40365</v>
      </c>
      <c r="B913" s="6" t="s">
        <v>120</v>
      </c>
      <c r="C913" s="6" t="s">
        <v>122</v>
      </c>
      <c r="D913" s="0" t="n">
        <v>269.995177716116</v>
      </c>
      <c r="E913" s="0" t="n">
        <v>2.995384615</v>
      </c>
      <c r="F913" s="0" t="n">
        <v>1</v>
      </c>
      <c r="G913" s="0" t="n">
        <v>0</v>
      </c>
      <c r="H913" s="0" t="n">
        <v>0</v>
      </c>
      <c r="I913" s="0" t="n">
        <v>0</v>
      </c>
      <c r="J913" s="0" t="n">
        <v>0</v>
      </c>
      <c r="K913" s="0" t="n">
        <v>0</v>
      </c>
      <c r="L913" s="0" t="n">
        <v>2</v>
      </c>
    </row>
    <row r="914" customFormat="false" ht="15" hidden="false" customHeight="false" outlineLevel="0" collapsed="false">
      <c r="A914" s="5" t="n">
        <v>40372</v>
      </c>
      <c r="B914" s="6" t="s">
        <v>120</v>
      </c>
      <c r="C914" s="6" t="s">
        <v>122</v>
      </c>
      <c r="D914" s="0" t="n">
        <v>320.585125329584</v>
      </c>
      <c r="E914" s="0" t="n">
        <v>2.995384615</v>
      </c>
      <c r="F914" s="0" t="n">
        <v>1</v>
      </c>
      <c r="G914" s="0" t="n">
        <v>0</v>
      </c>
      <c r="H914" s="0" t="n">
        <v>0</v>
      </c>
      <c r="I914" s="0" t="n">
        <v>0</v>
      </c>
      <c r="J914" s="0" t="n">
        <v>0</v>
      </c>
      <c r="K914" s="0" t="n">
        <v>0</v>
      </c>
      <c r="L914" s="0" t="n">
        <v>2</v>
      </c>
    </row>
    <row r="915" customFormat="false" ht="15" hidden="false" customHeight="false" outlineLevel="0" collapsed="false">
      <c r="A915" s="5" t="n">
        <v>40302</v>
      </c>
      <c r="B915" s="6" t="s">
        <v>120</v>
      </c>
      <c r="C915" s="6" t="s">
        <v>123</v>
      </c>
      <c r="D915" s="0" t="n">
        <v>248.681358525504</v>
      </c>
      <c r="E915" s="0" t="n">
        <v>4.573333333</v>
      </c>
      <c r="F915" s="0" t="n">
        <v>1</v>
      </c>
      <c r="G915" s="0" t="n">
        <v>0</v>
      </c>
      <c r="H915" s="0" t="n">
        <v>0</v>
      </c>
      <c r="I915" s="0" t="n">
        <v>0</v>
      </c>
      <c r="J915" s="0" t="n">
        <v>0</v>
      </c>
      <c r="K915" s="0" t="n">
        <v>1</v>
      </c>
      <c r="L915" s="0" t="n">
        <v>0</v>
      </c>
    </row>
    <row r="916" customFormat="false" ht="15" hidden="false" customHeight="false" outlineLevel="0" collapsed="false">
      <c r="A916" s="5" t="n">
        <v>40309</v>
      </c>
      <c r="B916" s="6" t="s">
        <v>120</v>
      </c>
      <c r="C916" s="6" t="s">
        <v>123</v>
      </c>
      <c r="D916" s="0" t="n">
        <v>240.503059206417</v>
      </c>
      <c r="E916" s="0" t="n">
        <v>4.262727273</v>
      </c>
      <c r="F916" s="0" t="n">
        <v>1</v>
      </c>
      <c r="G916" s="0" t="n">
        <v>0</v>
      </c>
      <c r="H916" s="0" t="n">
        <v>0</v>
      </c>
      <c r="I916" s="0" t="n">
        <v>0</v>
      </c>
      <c r="J916" s="0" t="n">
        <v>0</v>
      </c>
      <c r="K916" s="0" t="n">
        <v>1</v>
      </c>
      <c r="L916" s="0" t="n">
        <v>0</v>
      </c>
    </row>
    <row r="917" customFormat="false" ht="15" hidden="false" customHeight="false" outlineLevel="0" collapsed="false">
      <c r="A917" s="5" t="n">
        <v>40316</v>
      </c>
      <c r="B917" s="6" t="s">
        <v>120</v>
      </c>
      <c r="C917" s="6" t="s">
        <v>123</v>
      </c>
      <c r="D917" s="0" t="n">
        <v>278.554631847517</v>
      </c>
      <c r="E917" s="0" t="n">
        <v>4.171818182</v>
      </c>
      <c r="F917" s="0" t="n">
        <v>1</v>
      </c>
      <c r="G917" s="0" t="n">
        <v>0</v>
      </c>
      <c r="H917" s="0" t="n">
        <v>0</v>
      </c>
      <c r="I917" s="0" t="n">
        <v>0</v>
      </c>
      <c r="J917" s="0" t="n">
        <v>0</v>
      </c>
      <c r="K917" s="0" t="n">
        <v>1</v>
      </c>
      <c r="L917" s="0" t="n">
        <v>0</v>
      </c>
    </row>
    <row r="918" customFormat="false" ht="15" hidden="false" customHeight="false" outlineLevel="0" collapsed="false">
      <c r="A918" s="5" t="n">
        <v>40323</v>
      </c>
      <c r="B918" s="6" t="s">
        <v>120</v>
      </c>
      <c r="C918" s="6" t="s">
        <v>123</v>
      </c>
      <c r="D918" s="0" t="n">
        <v>204.652404458513</v>
      </c>
      <c r="E918" s="0" t="n">
        <v>4.198333333</v>
      </c>
      <c r="F918" s="0" t="n">
        <v>1</v>
      </c>
      <c r="G918" s="0" t="n">
        <v>0</v>
      </c>
      <c r="H918" s="0" t="n">
        <v>0</v>
      </c>
      <c r="I918" s="0" t="n">
        <v>0</v>
      </c>
      <c r="J918" s="0" t="n">
        <v>0</v>
      </c>
      <c r="K918" s="0" t="n">
        <v>1</v>
      </c>
      <c r="L918" s="0" t="n">
        <v>0</v>
      </c>
    </row>
    <row r="919" customFormat="false" ht="15" hidden="false" customHeight="false" outlineLevel="0" collapsed="false">
      <c r="A919" s="5" t="n">
        <v>40330</v>
      </c>
      <c r="B919" s="6" t="s">
        <v>120</v>
      </c>
      <c r="C919" s="6" t="s">
        <v>123</v>
      </c>
      <c r="D919" s="0" t="n">
        <v>266.284354732413</v>
      </c>
      <c r="E919" s="0" t="n">
        <v>4.171818182</v>
      </c>
      <c r="F919" s="0" t="n">
        <v>1</v>
      </c>
      <c r="G919" s="0" t="n">
        <v>0</v>
      </c>
      <c r="H919" s="0" t="n">
        <v>0</v>
      </c>
      <c r="I919" s="0" t="n">
        <v>0</v>
      </c>
      <c r="J919" s="0" t="n">
        <v>0</v>
      </c>
      <c r="K919" s="0" t="n">
        <v>1</v>
      </c>
      <c r="L919" s="0" t="n">
        <v>0</v>
      </c>
    </row>
    <row r="920" customFormat="false" ht="15" hidden="false" customHeight="false" outlineLevel="0" collapsed="false">
      <c r="A920" s="5" t="n">
        <v>40337</v>
      </c>
      <c r="B920" s="6" t="s">
        <v>120</v>
      </c>
      <c r="C920" s="6" t="s">
        <v>123</v>
      </c>
      <c r="D920" s="0" t="n">
        <v>175.165357968174</v>
      </c>
      <c r="E920" s="0" t="n">
        <v>4.197142857</v>
      </c>
      <c r="F920" s="0" t="n">
        <v>1</v>
      </c>
      <c r="G920" s="0" t="n">
        <v>0</v>
      </c>
      <c r="H920" s="0" t="n">
        <v>0</v>
      </c>
      <c r="I920" s="0" t="n">
        <v>0</v>
      </c>
      <c r="J920" s="0" t="n">
        <v>0</v>
      </c>
      <c r="K920" s="0" t="n">
        <v>1</v>
      </c>
      <c r="L920" s="0" t="n">
        <v>0</v>
      </c>
    </row>
    <row r="921" customFormat="false" ht="15" hidden="false" customHeight="false" outlineLevel="0" collapsed="false">
      <c r="A921" s="5" t="n">
        <v>40344</v>
      </c>
      <c r="B921" s="6" t="s">
        <v>120</v>
      </c>
      <c r="C921" s="6" t="s">
        <v>123</v>
      </c>
      <c r="D921" s="0" t="n">
        <v>280.712399599475</v>
      </c>
      <c r="E921" s="0" t="n">
        <v>3.947142857</v>
      </c>
      <c r="F921" s="0" t="n">
        <v>1</v>
      </c>
      <c r="G921" s="0" t="n">
        <v>0</v>
      </c>
      <c r="H921" s="0" t="n">
        <v>0</v>
      </c>
      <c r="I921" s="0" t="n">
        <v>0</v>
      </c>
      <c r="J921" s="0" t="n">
        <v>0</v>
      </c>
      <c r="K921" s="0" t="n">
        <v>1</v>
      </c>
      <c r="L921" s="0" t="n">
        <v>0</v>
      </c>
    </row>
    <row r="922" customFormat="false" ht="15" hidden="false" customHeight="false" outlineLevel="0" collapsed="false">
      <c r="A922" s="5" t="n">
        <v>40351</v>
      </c>
      <c r="B922" s="6" t="s">
        <v>120</v>
      </c>
      <c r="C922" s="6" t="s">
        <v>123</v>
      </c>
      <c r="D922" s="0" t="n">
        <v>712.72454513583</v>
      </c>
      <c r="E922" s="0" t="n">
        <v>3.182307692</v>
      </c>
      <c r="F922" s="0" t="n">
        <v>1</v>
      </c>
      <c r="G922" s="0" t="n">
        <v>1</v>
      </c>
      <c r="H922" s="0" t="n">
        <v>0</v>
      </c>
      <c r="I922" s="0" t="n">
        <v>0</v>
      </c>
      <c r="J922" s="0" t="n">
        <v>0</v>
      </c>
      <c r="K922" s="0" t="n">
        <v>1</v>
      </c>
      <c r="L922" s="0" t="n">
        <v>0</v>
      </c>
    </row>
    <row r="923" customFormat="false" ht="15" hidden="false" customHeight="false" outlineLevel="0" collapsed="false">
      <c r="A923" s="5" t="n">
        <v>40358</v>
      </c>
      <c r="B923" s="6" t="s">
        <v>120</v>
      </c>
      <c r="C923" s="6" t="s">
        <v>123</v>
      </c>
      <c r="D923" s="0" t="n">
        <v>648.383248705256</v>
      </c>
      <c r="E923" s="0" t="n">
        <v>3.59</v>
      </c>
      <c r="F923" s="0" t="n">
        <v>1</v>
      </c>
      <c r="G923" s="0" t="n">
        <v>1</v>
      </c>
      <c r="H923" s="0" t="n">
        <v>0</v>
      </c>
      <c r="I923" s="0" t="n">
        <v>0</v>
      </c>
      <c r="J923" s="0" t="n">
        <v>0</v>
      </c>
      <c r="K923" s="0" t="n">
        <v>1</v>
      </c>
      <c r="L923" s="0" t="n">
        <v>0</v>
      </c>
    </row>
    <row r="924" customFormat="false" ht="15" hidden="false" customHeight="false" outlineLevel="0" collapsed="false">
      <c r="A924" s="5" t="n">
        <v>40365</v>
      </c>
      <c r="B924" s="6" t="s">
        <v>120</v>
      </c>
      <c r="C924" s="6" t="s">
        <v>123</v>
      </c>
      <c r="D924" s="0" t="n">
        <v>776.293905732336</v>
      </c>
      <c r="E924" s="0" t="n">
        <v>3.315</v>
      </c>
      <c r="F924" s="0" t="n">
        <v>1</v>
      </c>
      <c r="G924" s="0" t="n">
        <v>1</v>
      </c>
      <c r="H924" s="0" t="n">
        <v>0</v>
      </c>
      <c r="I924" s="0" t="n">
        <v>0</v>
      </c>
      <c r="J924" s="0" t="n">
        <v>0</v>
      </c>
      <c r="K924" s="0" t="n">
        <v>1</v>
      </c>
      <c r="L924" s="0" t="n">
        <v>0</v>
      </c>
    </row>
    <row r="925" customFormat="false" ht="15" hidden="false" customHeight="false" outlineLevel="0" collapsed="false">
      <c r="A925" s="5" t="n">
        <v>40372</v>
      </c>
      <c r="B925" s="6" t="s">
        <v>120</v>
      </c>
      <c r="C925" s="6" t="s">
        <v>123</v>
      </c>
      <c r="D925" s="0" t="n">
        <v>737.209162982271</v>
      </c>
      <c r="E925" s="0" t="n">
        <v>3.030714286</v>
      </c>
      <c r="F925" s="0" t="n">
        <v>1</v>
      </c>
      <c r="G925" s="0" t="n">
        <v>1</v>
      </c>
      <c r="H925" s="0" t="n">
        <v>0</v>
      </c>
      <c r="I925" s="0" t="n">
        <v>0</v>
      </c>
      <c r="J925" s="0" t="n">
        <v>0</v>
      </c>
      <c r="K925" s="0" t="n">
        <v>1</v>
      </c>
      <c r="L925" s="0" t="n">
        <v>0</v>
      </c>
    </row>
    <row r="926" customFormat="false" ht="15" hidden="false" customHeight="false" outlineLevel="0" collapsed="false">
      <c r="A926" s="5" t="n">
        <v>40302</v>
      </c>
      <c r="B926" s="6" t="s">
        <v>120</v>
      </c>
      <c r="C926" s="6" t="s">
        <v>124</v>
      </c>
      <c r="D926" s="0" t="n">
        <v>198.712000236619</v>
      </c>
      <c r="E926" s="0" t="n">
        <v>4.59</v>
      </c>
      <c r="F926" s="0" t="n">
        <v>1</v>
      </c>
      <c r="G926" s="0" t="n">
        <v>0</v>
      </c>
      <c r="H926" s="0" t="n">
        <v>0</v>
      </c>
      <c r="I926" s="0" t="n">
        <v>0</v>
      </c>
      <c r="J926" s="0" t="n">
        <v>0</v>
      </c>
      <c r="K926" s="0" t="n">
        <v>2</v>
      </c>
      <c r="L926" s="0" t="n">
        <v>4</v>
      </c>
    </row>
    <row r="927" customFormat="false" ht="15" hidden="false" customHeight="false" outlineLevel="0" collapsed="false">
      <c r="A927" s="5" t="n">
        <v>40309</v>
      </c>
      <c r="B927" s="6" t="s">
        <v>120</v>
      </c>
      <c r="C927" s="6" t="s">
        <v>124</v>
      </c>
      <c r="D927" s="0" t="n">
        <v>254.849692976631</v>
      </c>
      <c r="E927" s="0" t="n">
        <v>4.6775</v>
      </c>
      <c r="F927" s="0" t="n">
        <v>1</v>
      </c>
      <c r="G927" s="0" t="n">
        <v>0</v>
      </c>
      <c r="H927" s="0" t="n">
        <v>0</v>
      </c>
      <c r="I927" s="0" t="n">
        <v>0</v>
      </c>
      <c r="J927" s="0" t="n">
        <v>0</v>
      </c>
      <c r="K927" s="0" t="n">
        <v>2</v>
      </c>
      <c r="L927" s="0" t="n">
        <v>4</v>
      </c>
    </row>
    <row r="928" customFormat="false" ht="15" hidden="false" customHeight="false" outlineLevel="0" collapsed="false">
      <c r="A928" s="5" t="n">
        <v>40316</v>
      </c>
      <c r="B928" s="6" t="s">
        <v>120</v>
      </c>
      <c r="C928" s="6" t="s">
        <v>124</v>
      </c>
      <c r="D928" s="0" t="n">
        <v>343.572470389301</v>
      </c>
      <c r="E928" s="0" t="n">
        <v>4.2025</v>
      </c>
      <c r="F928" s="0" t="n">
        <v>1</v>
      </c>
      <c r="G928" s="0" t="n">
        <v>0</v>
      </c>
      <c r="H928" s="0" t="n">
        <v>0</v>
      </c>
      <c r="I928" s="0" t="n">
        <v>0</v>
      </c>
      <c r="J928" s="0" t="n">
        <v>0</v>
      </c>
      <c r="K928" s="0" t="n">
        <v>2</v>
      </c>
      <c r="L928" s="0" t="n">
        <v>4</v>
      </c>
    </row>
    <row r="929" customFormat="false" ht="15" hidden="false" customHeight="false" outlineLevel="0" collapsed="false">
      <c r="A929" s="5" t="n">
        <v>40323</v>
      </c>
      <c r="B929" s="6" t="s">
        <v>120</v>
      </c>
      <c r="C929" s="6" t="s">
        <v>124</v>
      </c>
      <c r="D929" s="0" t="n">
        <v>291.419981269437</v>
      </c>
      <c r="E929" s="0" t="n">
        <v>4.512222222</v>
      </c>
      <c r="F929" s="0" t="n">
        <v>1</v>
      </c>
      <c r="G929" s="0" t="n">
        <v>0</v>
      </c>
      <c r="H929" s="0" t="n">
        <v>0</v>
      </c>
      <c r="I929" s="0" t="n">
        <v>0</v>
      </c>
      <c r="J929" s="0" t="n">
        <v>0</v>
      </c>
      <c r="K929" s="0" t="n">
        <v>2</v>
      </c>
      <c r="L929" s="0" t="n">
        <v>4</v>
      </c>
    </row>
    <row r="930" customFormat="false" ht="15" hidden="false" customHeight="false" outlineLevel="0" collapsed="false">
      <c r="A930" s="5" t="n">
        <v>40330</v>
      </c>
      <c r="B930" s="6" t="s">
        <v>120</v>
      </c>
      <c r="C930" s="6" t="s">
        <v>124</v>
      </c>
      <c r="D930" s="0" t="n">
        <v>269.077154721976</v>
      </c>
      <c r="E930" s="0" t="n">
        <v>4.2025</v>
      </c>
      <c r="F930" s="0" t="n">
        <v>1</v>
      </c>
      <c r="G930" s="0" t="n">
        <v>0</v>
      </c>
      <c r="H930" s="0" t="n">
        <v>0</v>
      </c>
      <c r="I930" s="0" t="n">
        <v>0</v>
      </c>
      <c r="J930" s="0" t="n">
        <v>0</v>
      </c>
      <c r="K930" s="0" t="n">
        <v>2</v>
      </c>
      <c r="L930" s="0" t="n">
        <v>4</v>
      </c>
    </row>
    <row r="931" customFormat="false" ht="15" hidden="false" customHeight="false" outlineLevel="0" collapsed="false">
      <c r="A931" s="5" t="n">
        <v>40337</v>
      </c>
      <c r="B931" s="6" t="s">
        <v>120</v>
      </c>
      <c r="C931" s="6" t="s">
        <v>124</v>
      </c>
      <c r="D931" s="0" t="n">
        <v>219.24672508499</v>
      </c>
      <c r="E931" s="0" t="n">
        <v>4.6775</v>
      </c>
      <c r="F931" s="0" t="n">
        <v>1</v>
      </c>
      <c r="G931" s="0" t="n">
        <v>0</v>
      </c>
      <c r="H931" s="0" t="n">
        <v>0</v>
      </c>
      <c r="I931" s="0" t="n">
        <v>0</v>
      </c>
      <c r="J931" s="0" t="n">
        <v>0</v>
      </c>
      <c r="K931" s="0" t="n">
        <v>2</v>
      </c>
      <c r="L931" s="0" t="n">
        <v>4</v>
      </c>
    </row>
    <row r="932" customFormat="false" ht="15" hidden="false" customHeight="false" outlineLevel="0" collapsed="false">
      <c r="A932" s="5" t="n">
        <v>40344</v>
      </c>
      <c r="B932" s="6" t="s">
        <v>120</v>
      </c>
      <c r="C932" s="6" t="s">
        <v>124</v>
      </c>
      <c r="D932" s="0" t="n">
        <v>325.613426774262</v>
      </c>
      <c r="E932" s="0" t="n">
        <v>4.162727273</v>
      </c>
      <c r="F932" s="0" t="n">
        <v>1</v>
      </c>
      <c r="G932" s="0" t="n">
        <v>0</v>
      </c>
      <c r="H932" s="0" t="n">
        <v>0</v>
      </c>
      <c r="I932" s="0" t="n">
        <v>0</v>
      </c>
      <c r="J932" s="0" t="n">
        <v>0</v>
      </c>
      <c r="K932" s="0" t="n">
        <v>2</v>
      </c>
      <c r="L932" s="0" t="n">
        <v>4</v>
      </c>
    </row>
    <row r="933" customFormat="false" ht="15" hidden="false" customHeight="false" outlineLevel="0" collapsed="false">
      <c r="A933" s="5" t="n">
        <v>40351</v>
      </c>
      <c r="B933" s="6" t="s">
        <v>120</v>
      </c>
      <c r="C933" s="6" t="s">
        <v>124</v>
      </c>
      <c r="D933" s="0" t="n">
        <v>296.142856016262</v>
      </c>
      <c r="E933" s="0" t="n">
        <v>4.667777778</v>
      </c>
      <c r="F933" s="0" t="n">
        <v>1</v>
      </c>
      <c r="G933" s="0" t="n">
        <v>0</v>
      </c>
      <c r="H933" s="0" t="n">
        <v>0</v>
      </c>
      <c r="I933" s="0" t="n">
        <v>0</v>
      </c>
      <c r="J933" s="0" t="n">
        <v>0</v>
      </c>
      <c r="K933" s="0" t="n">
        <v>2</v>
      </c>
      <c r="L933" s="0" t="n">
        <v>4</v>
      </c>
    </row>
    <row r="934" customFormat="false" ht="15" hidden="false" customHeight="false" outlineLevel="0" collapsed="false">
      <c r="A934" s="5" t="n">
        <v>40358</v>
      </c>
      <c r="B934" s="6" t="s">
        <v>120</v>
      </c>
      <c r="C934" s="6" t="s">
        <v>124</v>
      </c>
      <c r="D934" s="0" t="n">
        <v>260.037774454636</v>
      </c>
      <c r="E934" s="0" t="n">
        <v>3.78</v>
      </c>
      <c r="F934" s="0" t="n">
        <v>1</v>
      </c>
      <c r="G934" s="0" t="n">
        <v>0</v>
      </c>
      <c r="H934" s="0" t="n">
        <v>0</v>
      </c>
      <c r="I934" s="0" t="n">
        <v>0</v>
      </c>
      <c r="J934" s="0" t="n">
        <v>0</v>
      </c>
      <c r="K934" s="0" t="n">
        <v>2</v>
      </c>
      <c r="L934" s="0" t="n">
        <v>4</v>
      </c>
    </row>
    <row r="935" customFormat="false" ht="15" hidden="false" customHeight="false" outlineLevel="0" collapsed="false">
      <c r="A935" s="5" t="n">
        <v>40365</v>
      </c>
      <c r="B935" s="6" t="s">
        <v>120</v>
      </c>
      <c r="C935" s="6" t="s">
        <v>124</v>
      </c>
      <c r="D935" s="0" t="n">
        <v>159.474473536905</v>
      </c>
      <c r="E935" s="0" t="n">
        <v>3.911666667</v>
      </c>
      <c r="F935" s="0" t="n">
        <v>1</v>
      </c>
      <c r="G935" s="0" t="n">
        <v>0</v>
      </c>
      <c r="H935" s="0" t="n">
        <v>0</v>
      </c>
      <c r="I935" s="0" t="n">
        <v>0</v>
      </c>
      <c r="J935" s="0" t="n">
        <v>0</v>
      </c>
      <c r="K935" s="0" t="n">
        <v>2</v>
      </c>
      <c r="L935" s="0" t="n">
        <v>4</v>
      </c>
    </row>
    <row r="936" customFormat="false" ht="15" hidden="false" customHeight="false" outlineLevel="0" collapsed="false">
      <c r="A936" s="5" t="n">
        <v>40372</v>
      </c>
      <c r="B936" s="6" t="s">
        <v>120</v>
      </c>
      <c r="C936" s="6" t="s">
        <v>124</v>
      </c>
      <c r="D936" s="0" t="n">
        <v>283.493150652335</v>
      </c>
      <c r="E936" s="0" t="n">
        <v>3.540909091</v>
      </c>
      <c r="F936" s="0" t="n">
        <v>1</v>
      </c>
      <c r="G936" s="0" t="n">
        <v>0</v>
      </c>
      <c r="H936" s="0" t="n">
        <v>0</v>
      </c>
      <c r="I936" s="0" t="n">
        <v>0</v>
      </c>
      <c r="J936" s="0" t="n">
        <v>0</v>
      </c>
      <c r="K936" s="0" t="n">
        <v>2</v>
      </c>
      <c r="L936" s="0" t="n">
        <v>4</v>
      </c>
    </row>
    <row r="937" customFormat="false" ht="15" hidden="false" customHeight="false" outlineLevel="0" collapsed="false">
      <c r="A937" s="5" t="n">
        <v>40302</v>
      </c>
      <c r="B937" s="6" t="s">
        <v>120</v>
      </c>
      <c r="C937" s="6" t="s">
        <v>125</v>
      </c>
      <c r="D937" s="0" t="n">
        <v>340.724433811753</v>
      </c>
      <c r="E937" s="0" t="n">
        <v>4.59</v>
      </c>
      <c r="F937" s="0" t="n">
        <v>1</v>
      </c>
      <c r="G937" s="0" t="n">
        <v>0</v>
      </c>
      <c r="H937" s="0" t="n">
        <v>0</v>
      </c>
      <c r="I937" s="0" t="n">
        <v>1</v>
      </c>
      <c r="J937" s="0" t="n">
        <v>0</v>
      </c>
      <c r="K937" s="0" t="n">
        <v>1</v>
      </c>
      <c r="L937" s="0" t="n">
        <v>0</v>
      </c>
    </row>
    <row r="938" customFormat="false" ht="15" hidden="false" customHeight="false" outlineLevel="0" collapsed="false">
      <c r="A938" s="5" t="n">
        <v>40309</v>
      </c>
      <c r="B938" s="6" t="s">
        <v>120</v>
      </c>
      <c r="C938" s="6" t="s">
        <v>125</v>
      </c>
      <c r="D938" s="0" t="n">
        <v>276.882353604236</v>
      </c>
      <c r="E938" s="0" t="n">
        <v>4.899090909</v>
      </c>
      <c r="F938" s="0" t="n">
        <v>1</v>
      </c>
      <c r="G938" s="0" t="n">
        <v>0</v>
      </c>
      <c r="H938" s="0" t="n">
        <v>0</v>
      </c>
      <c r="I938" s="0" t="n">
        <v>0</v>
      </c>
      <c r="J938" s="0" t="n">
        <v>1</v>
      </c>
      <c r="K938" s="0" t="n">
        <v>1</v>
      </c>
      <c r="L938" s="0" t="n">
        <v>0</v>
      </c>
    </row>
    <row r="939" customFormat="false" ht="15" hidden="false" customHeight="false" outlineLevel="0" collapsed="false">
      <c r="A939" s="5" t="n">
        <v>40316</v>
      </c>
      <c r="B939" s="6" t="s">
        <v>120</v>
      </c>
      <c r="C939" s="6" t="s">
        <v>125</v>
      </c>
      <c r="D939" s="0" t="n">
        <v>469.666502841227</v>
      </c>
      <c r="E939" s="0" t="n">
        <v>4.399090909</v>
      </c>
      <c r="F939" s="0" t="n">
        <v>1</v>
      </c>
      <c r="G939" s="0" t="n">
        <v>0</v>
      </c>
      <c r="H939" s="0" t="n">
        <v>0</v>
      </c>
      <c r="I939" s="0" t="n">
        <v>0</v>
      </c>
      <c r="J939" s="0" t="n">
        <v>1</v>
      </c>
      <c r="K939" s="0" t="n">
        <v>1</v>
      </c>
      <c r="L939" s="0" t="n">
        <v>0</v>
      </c>
    </row>
    <row r="940" customFormat="false" ht="15" hidden="false" customHeight="false" outlineLevel="0" collapsed="false">
      <c r="A940" s="5" t="n">
        <v>40323</v>
      </c>
      <c r="B940" s="6" t="s">
        <v>120</v>
      </c>
      <c r="C940" s="6" t="s">
        <v>125</v>
      </c>
      <c r="D940" s="0" t="n">
        <v>207.851918980809</v>
      </c>
      <c r="E940" s="0" t="n">
        <v>4.054285714</v>
      </c>
      <c r="F940" s="0" t="n">
        <v>1</v>
      </c>
      <c r="G940" s="0" t="n">
        <v>0</v>
      </c>
      <c r="H940" s="0" t="n">
        <v>0</v>
      </c>
      <c r="I940" s="0" t="n">
        <v>0</v>
      </c>
      <c r="J940" s="0" t="n">
        <v>0</v>
      </c>
      <c r="K940" s="0" t="n">
        <v>1</v>
      </c>
      <c r="L940" s="0" t="n">
        <v>0</v>
      </c>
    </row>
    <row r="941" customFormat="false" ht="15" hidden="false" customHeight="false" outlineLevel="0" collapsed="false">
      <c r="A941" s="5" t="n">
        <v>40330</v>
      </c>
      <c r="B941" s="6" t="s">
        <v>120</v>
      </c>
      <c r="C941" s="6" t="s">
        <v>125</v>
      </c>
      <c r="D941" s="0" t="n">
        <v>247.335452284668</v>
      </c>
      <c r="E941" s="0" t="n">
        <v>4.054285714</v>
      </c>
      <c r="F941" s="0" t="n">
        <v>1</v>
      </c>
      <c r="G941" s="0" t="n">
        <v>0</v>
      </c>
      <c r="H941" s="0" t="n">
        <v>0</v>
      </c>
      <c r="I941" s="0" t="n">
        <v>0</v>
      </c>
      <c r="J941" s="0" t="n">
        <v>0</v>
      </c>
      <c r="K941" s="0" t="n">
        <v>1</v>
      </c>
      <c r="L941" s="0" t="n">
        <v>0</v>
      </c>
    </row>
    <row r="942" customFormat="false" ht="15" hidden="false" customHeight="false" outlineLevel="0" collapsed="false">
      <c r="A942" s="5" t="n">
        <v>40337</v>
      </c>
      <c r="B942" s="6" t="s">
        <v>120</v>
      </c>
      <c r="C942" s="6" t="s">
        <v>125</v>
      </c>
      <c r="D942" s="0" t="n">
        <v>233.351887945007</v>
      </c>
      <c r="E942" s="0" t="n">
        <v>4.447142857</v>
      </c>
      <c r="F942" s="0" t="n">
        <v>1</v>
      </c>
      <c r="G942" s="0" t="n">
        <v>0</v>
      </c>
      <c r="H942" s="0" t="n">
        <v>0</v>
      </c>
      <c r="I942" s="0" t="n">
        <v>0</v>
      </c>
      <c r="J942" s="0" t="n">
        <v>0</v>
      </c>
      <c r="K942" s="0" t="n">
        <v>1</v>
      </c>
      <c r="L942" s="0" t="n">
        <v>0</v>
      </c>
    </row>
    <row r="943" customFormat="false" ht="15" hidden="false" customHeight="false" outlineLevel="0" collapsed="false">
      <c r="A943" s="5" t="n">
        <v>40344</v>
      </c>
      <c r="B943" s="6" t="s">
        <v>120</v>
      </c>
      <c r="C943" s="6" t="s">
        <v>125</v>
      </c>
      <c r="D943" s="0" t="n">
        <v>247.004093334202</v>
      </c>
      <c r="E943" s="0" t="n">
        <v>4.174615385</v>
      </c>
      <c r="F943" s="0" t="n">
        <v>1</v>
      </c>
      <c r="G943" s="0" t="n">
        <v>0</v>
      </c>
      <c r="H943" s="0" t="n">
        <v>0</v>
      </c>
      <c r="I943" s="0" t="n">
        <v>0</v>
      </c>
      <c r="J943" s="0" t="n">
        <v>0</v>
      </c>
      <c r="K943" s="0" t="n">
        <v>1</v>
      </c>
      <c r="L943" s="0" t="n">
        <v>0</v>
      </c>
    </row>
    <row r="944" customFormat="false" ht="15" hidden="false" customHeight="false" outlineLevel="0" collapsed="false">
      <c r="A944" s="5" t="n">
        <v>40351</v>
      </c>
      <c r="B944" s="6" t="s">
        <v>120</v>
      </c>
      <c r="C944" s="6" t="s">
        <v>125</v>
      </c>
      <c r="D944" s="0" t="n">
        <v>424.704443180685</v>
      </c>
      <c r="E944" s="0" t="n">
        <v>4.447142857</v>
      </c>
      <c r="F944" s="0" t="n">
        <v>1</v>
      </c>
      <c r="G944" s="0" t="n">
        <v>0</v>
      </c>
      <c r="H944" s="0" t="n">
        <v>1</v>
      </c>
      <c r="I944" s="0" t="n">
        <v>0</v>
      </c>
      <c r="J944" s="0" t="n">
        <v>0</v>
      </c>
      <c r="K944" s="0" t="n">
        <v>1</v>
      </c>
      <c r="L944" s="0" t="n">
        <v>0</v>
      </c>
    </row>
    <row r="945" customFormat="false" ht="15" hidden="false" customHeight="false" outlineLevel="0" collapsed="false">
      <c r="A945" s="5" t="n">
        <v>40358</v>
      </c>
      <c r="B945" s="6" t="s">
        <v>120</v>
      </c>
      <c r="C945" s="6" t="s">
        <v>125</v>
      </c>
      <c r="D945" s="0" t="n">
        <v>310.582864655975</v>
      </c>
      <c r="E945" s="0" t="n">
        <v>4.197142857</v>
      </c>
      <c r="F945" s="0" t="n">
        <v>1</v>
      </c>
      <c r="G945" s="0" t="n">
        <v>0</v>
      </c>
      <c r="H945" s="0" t="n">
        <v>0</v>
      </c>
      <c r="I945" s="0" t="n">
        <v>1</v>
      </c>
      <c r="J945" s="0" t="n">
        <v>0</v>
      </c>
      <c r="K945" s="0" t="n">
        <v>1</v>
      </c>
      <c r="L945" s="0" t="n">
        <v>0</v>
      </c>
    </row>
    <row r="946" customFormat="false" ht="15" hidden="false" customHeight="false" outlineLevel="0" collapsed="false">
      <c r="A946" s="5" t="n">
        <v>40365</v>
      </c>
      <c r="B946" s="6" t="s">
        <v>120</v>
      </c>
      <c r="C946" s="6" t="s">
        <v>125</v>
      </c>
      <c r="D946" s="0" t="n">
        <v>347.116864449325</v>
      </c>
      <c r="E946" s="0" t="n">
        <v>3.303076923</v>
      </c>
      <c r="F946" s="0" t="n">
        <v>1</v>
      </c>
      <c r="G946" s="0" t="n">
        <v>0</v>
      </c>
      <c r="H946" s="0" t="n">
        <v>0</v>
      </c>
      <c r="I946" s="0" t="n">
        <v>1</v>
      </c>
      <c r="J946" s="0" t="n">
        <v>0</v>
      </c>
      <c r="K946" s="0" t="n">
        <v>1</v>
      </c>
      <c r="L946" s="0" t="n">
        <v>0</v>
      </c>
    </row>
    <row r="947" customFormat="false" ht="15" hidden="false" customHeight="false" outlineLevel="0" collapsed="false">
      <c r="A947" s="5" t="n">
        <v>40372</v>
      </c>
      <c r="B947" s="6" t="s">
        <v>120</v>
      </c>
      <c r="C947" s="6" t="s">
        <v>125</v>
      </c>
      <c r="D947" s="0" t="n">
        <v>331.331117050256</v>
      </c>
      <c r="E947" s="0" t="n">
        <v>3.637857143</v>
      </c>
      <c r="F947" s="0" t="n">
        <v>1</v>
      </c>
      <c r="G947" s="0" t="n">
        <v>0</v>
      </c>
      <c r="H947" s="0" t="n">
        <v>0</v>
      </c>
      <c r="I947" s="0" t="n">
        <v>1</v>
      </c>
      <c r="J947" s="0" t="n">
        <v>0</v>
      </c>
      <c r="K947" s="0" t="n">
        <v>1</v>
      </c>
      <c r="L947" s="0" t="n">
        <v>0</v>
      </c>
    </row>
    <row r="948" customFormat="false" ht="15" hidden="false" customHeight="false" outlineLevel="0" collapsed="false">
      <c r="A948" s="5" t="n">
        <v>40302</v>
      </c>
      <c r="B948" s="6" t="s">
        <v>120</v>
      </c>
      <c r="C948" s="6" t="s">
        <v>126</v>
      </c>
      <c r="D948" s="0" t="n">
        <v>219.48420437034</v>
      </c>
      <c r="E948" s="0" t="n">
        <v>4.216666667</v>
      </c>
      <c r="F948" s="0" t="n">
        <v>1</v>
      </c>
      <c r="G948" s="0" t="n">
        <v>0</v>
      </c>
      <c r="H948" s="0" t="n">
        <v>0</v>
      </c>
      <c r="I948" s="0" t="n">
        <v>0</v>
      </c>
      <c r="J948" s="0" t="n">
        <v>0</v>
      </c>
      <c r="K948" s="0" t="n">
        <v>2</v>
      </c>
      <c r="L948" s="0" t="n">
        <v>3</v>
      </c>
    </row>
    <row r="949" customFormat="false" ht="15" hidden="false" customHeight="false" outlineLevel="0" collapsed="false">
      <c r="A949" s="5" t="n">
        <v>40309</v>
      </c>
      <c r="B949" s="6" t="s">
        <v>120</v>
      </c>
      <c r="C949" s="6" t="s">
        <v>126</v>
      </c>
      <c r="D949" s="0" t="n">
        <v>218.554431391409</v>
      </c>
      <c r="E949" s="0" t="n">
        <v>4.216666667</v>
      </c>
      <c r="F949" s="0" t="n">
        <v>1</v>
      </c>
      <c r="G949" s="0" t="n">
        <v>0</v>
      </c>
      <c r="H949" s="0" t="n">
        <v>0</v>
      </c>
      <c r="I949" s="0" t="n">
        <v>0</v>
      </c>
      <c r="J949" s="0" t="n">
        <v>0</v>
      </c>
      <c r="K949" s="0" t="n">
        <v>2</v>
      </c>
      <c r="L949" s="0" t="n">
        <v>3</v>
      </c>
    </row>
    <row r="950" customFormat="false" ht="15" hidden="false" customHeight="false" outlineLevel="0" collapsed="false">
      <c r="A950" s="5" t="n">
        <v>40316</v>
      </c>
      <c r="B950" s="6" t="s">
        <v>120</v>
      </c>
      <c r="C950" s="6" t="s">
        <v>126</v>
      </c>
      <c r="D950" s="0" t="n">
        <v>214.923423128443</v>
      </c>
      <c r="E950" s="0" t="n">
        <v>4.09</v>
      </c>
      <c r="F950" s="0" t="n">
        <v>1</v>
      </c>
      <c r="G950" s="0" t="n">
        <v>0</v>
      </c>
      <c r="H950" s="0" t="n">
        <v>0</v>
      </c>
      <c r="I950" s="0" t="n">
        <v>0</v>
      </c>
      <c r="J950" s="0" t="n">
        <v>0</v>
      </c>
      <c r="K950" s="0" t="n">
        <v>2</v>
      </c>
      <c r="L950" s="0" t="n">
        <v>3</v>
      </c>
    </row>
    <row r="951" customFormat="false" ht="15" hidden="false" customHeight="false" outlineLevel="0" collapsed="false">
      <c r="A951" s="5" t="n">
        <v>40323</v>
      </c>
      <c r="B951" s="6" t="s">
        <v>120</v>
      </c>
      <c r="C951" s="6" t="s">
        <v>126</v>
      </c>
      <c r="D951" s="0" t="n">
        <v>221.326107398236</v>
      </c>
      <c r="E951" s="0" t="n">
        <v>3.79</v>
      </c>
      <c r="F951" s="0" t="n">
        <v>1</v>
      </c>
      <c r="G951" s="0" t="n">
        <v>0</v>
      </c>
      <c r="H951" s="0" t="n">
        <v>0</v>
      </c>
      <c r="I951" s="0" t="n">
        <v>0</v>
      </c>
      <c r="J951" s="0" t="n">
        <v>0</v>
      </c>
      <c r="K951" s="0" t="n">
        <v>2</v>
      </c>
      <c r="L951" s="0" t="n">
        <v>3</v>
      </c>
    </row>
    <row r="952" customFormat="false" ht="15" hidden="false" customHeight="false" outlineLevel="0" collapsed="false">
      <c r="A952" s="5" t="n">
        <v>40330</v>
      </c>
      <c r="B952" s="6" t="s">
        <v>120</v>
      </c>
      <c r="C952" s="6" t="s">
        <v>126</v>
      </c>
      <c r="D952" s="0" t="n">
        <v>195.68177542014</v>
      </c>
      <c r="E952" s="0" t="n">
        <v>3.697142857</v>
      </c>
      <c r="F952" s="0" t="n">
        <v>1</v>
      </c>
      <c r="G952" s="0" t="n">
        <v>0</v>
      </c>
      <c r="H952" s="0" t="n">
        <v>0</v>
      </c>
      <c r="I952" s="0" t="n">
        <v>0</v>
      </c>
      <c r="J952" s="0" t="n">
        <v>0</v>
      </c>
      <c r="K952" s="0" t="n">
        <v>2</v>
      </c>
      <c r="L952" s="0" t="n">
        <v>3</v>
      </c>
    </row>
    <row r="953" customFormat="false" ht="15" hidden="false" customHeight="false" outlineLevel="0" collapsed="false">
      <c r="A953" s="5" t="n">
        <v>40337</v>
      </c>
      <c r="B953" s="6" t="s">
        <v>120</v>
      </c>
      <c r="C953" s="6" t="s">
        <v>126</v>
      </c>
      <c r="D953" s="0" t="n">
        <v>218.676930756801</v>
      </c>
      <c r="E953" s="0" t="n">
        <v>4.216666667</v>
      </c>
      <c r="F953" s="0" t="n">
        <v>1</v>
      </c>
      <c r="G953" s="0" t="n">
        <v>0</v>
      </c>
      <c r="H953" s="0" t="n">
        <v>0</v>
      </c>
      <c r="I953" s="0" t="n">
        <v>0</v>
      </c>
      <c r="J953" s="0" t="n">
        <v>0</v>
      </c>
      <c r="K953" s="0" t="n">
        <v>2</v>
      </c>
      <c r="L953" s="0" t="n">
        <v>3</v>
      </c>
    </row>
    <row r="954" customFormat="false" ht="15" hidden="false" customHeight="false" outlineLevel="0" collapsed="false">
      <c r="A954" s="5" t="n">
        <v>40344</v>
      </c>
      <c r="B954" s="6" t="s">
        <v>120</v>
      </c>
      <c r="C954" s="6" t="s">
        <v>126</v>
      </c>
      <c r="D954" s="0" t="n">
        <v>652.756441768676</v>
      </c>
      <c r="E954" s="0" t="n">
        <v>3.729333333</v>
      </c>
      <c r="F954" s="0" t="n">
        <v>1</v>
      </c>
      <c r="G954" s="0" t="n">
        <v>1</v>
      </c>
      <c r="H954" s="0" t="n">
        <v>0</v>
      </c>
      <c r="I954" s="0" t="n">
        <v>0</v>
      </c>
      <c r="J954" s="0" t="n">
        <v>0</v>
      </c>
      <c r="K954" s="0" t="n">
        <v>2</v>
      </c>
      <c r="L954" s="0" t="n">
        <v>3</v>
      </c>
    </row>
    <row r="955" customFormat="false" ht="15" hidden="false" customHeight="false" outlineLevel="0" collapsed="false">
      <c r="A955" s="5" t="n">
        <v>40351</v>
      </c>
      <c r="B955" s="6" t="s">
        <v>120</v>
      </c>
      <c r="C955" s="6" t="s">
        <v>126</v>
      </c>
      <c r="D955" s="0" t="n">
        <v>891.082941488141</v>
      </c>
      <c r="E955" s="0" t="n">
        <v>3.594</v>
      </c>
      <c r="F955" s="0" t="n">
        <v>1</v>
      </c>
      <c r="G955" s="0" t="n">
        <v>1</v>
      </c>
      <c r="H955" s="0" t="n">
        <v>1</v>
      </c>
      <c r="I955" s="0" t="n">
        <v>0</v>
      </c>
      <c r="J955" s="0" t="n">
        <v>0</v>
      </c>
      <c r="K955" s="0" t="n">
        <v>2</v>
      </c>
      <c r="L955" s="0" t="n">
        <v>3</v>
      </c>
    </row>
    <row r="956" customFormat="false" ht="15" hidden="false" customHeight="false" outlineLevel="0" collapsed="false">
      <c r="A956" s="5" t="n">
        <v>40358</v>
      </c>
      <c r="B956" s="6" t="s">
        <v>120</v>
      </c>
      <c r="C956" s="6" t="s">
        <v>126</v>
      </c>
      <c r="D956" s="0" t="n">
        <v>926.092564186742</v>
      </c>
      <c r="E956" s="0" t="n">
        <v>3.268571429</v>
      </c>
      <c r="F956" s="0" t="n">
        <v>1</v>
      </c>
      <c r="G956" s="0" t="n">
        <v>1</v>
      </c>
      <c r="H956" s="0" t="n">
        <v>1</v>
      </c>
      <c r="I956" s="0" t="n">
        <v>1</v>
      </c>
      <c r="J956" s="0" t="n">
        <v>0</v>
      </c>
      <c r="K956" s="0" t="n">
        <v>2</v>
      </c>
      <c r="L956" s="0" t="n">
        <v>3</v>
      </c>
    </row>
    <row r="957" customFormat="false" ht="15" hidden="false" customHeight="false" outlineLevel="0" collapsed="false">
      <c r="A957" s="5" t="n">
        <v>40365</v>
      </c>
      <c r="B957" s="6" t="s">
        <v>120</v>
      </c>
      <c r="C957" s="6" t="s">
        <v>126</v>
      </c>
      <c r="D957" s="0" t="n">
        <v>787.333396864992</v>
      </c>
      <c r="E957" s="0" t="n">
        <v>3.364666667</v>
      </c>
      <c r="F957" s="0" t="n">
        <v>1</v>
      </c>
      <c r="G957" s="0" t="n">
        <v>1</v>
      </c>
      <c r="H957" s="0" t="n">
        <v>0</v>
      </c>
      <c r="I957" s="0" t="n">
        <v>1</v>
      </c>
      <c r="J957" s="0" t="n">
        <v>0</v>
      </c>
      <c r="K957" s="0" t="n">
        <v>2</v>
      </c>
      <c r="L957" s="0" t="n">
        <v>3</v>
      </c>
    </row>
    <row r="958" customFormat="false" ht="15" hidden="false" customHeight="false" outlineLevel="0" collapsed="false">
      <c r="A958" s="5" t="n">
        <v>40372</v>
      </c>
      <c r="B958" s="6" t="s">
        <v>120</v>
      </c>
      <c r="C958" s="6" t="s">
        <v>126</v>
      </c>
      <c r="D958" s="0" t="n">
        <v>784.792119312042</v>
      </c>
      <c r="E958" s="0" t="n">
        <v>3.364666667</v>
      </c>
      <c r="F958" s="0" t="n">
        <v>1</v>
      </c>
      <c r="G958" s="0" t="n">
        <v>1</v>
      </c>
      <c r="H958" s="0" t="n">
        <v>0</v>
      </c>
      <c r="I958" s="0" t="n">
        <v>1</v>
      </c>
      <c r="J958" s="0" t="n">
        <v>0</v>
      </c>
      <c r="K958" s="0" t="n">
        <v>2</v>
      </c>
      <c r="L958" s="0" t="n">
        <v>3</v>
      </c>
    </row>
    <row r="959" customFormat="false" ht="15" hidden="false" customHeight="false" outlineLevel="0" collapsed="false">
      <c r="A959" s="5" t="n">
        <v>40302</v>
      </c>
      <c r="B959" s="6" t="s">
        <v>120</v>
      </c>
      <c r="C959" s="6" t="s">
        <v>127</v>
      </c>
      <c r="D959" s="0" t="n">
        <v>304.47157961705</v>
      </c>
      <c r="E959" s="0" t="n">
        <v>4.523333333</v>
      </c>
      <c r="F959" s="0" t="n">
        <v>1</v>
      </c>
      <c r="G959" s="0" t="n">
        <v>0</v>
      </c>
      <c r="H959" s="0" t="n">
        <v>0</v>
      </c>
      <c r="I959" s="0" t="n">
        <v>0</v>
      </c>
      <c r="J959" s="0" t="n">
        <v>1</v>
      </c>
      <c r="K959" s="0" t="n">
        <v>3</v>
      </c>
      <c r="L959" s="0" t="n">
        <v>2</v>
      </c>
    </row>
    <row r="960" customFormat="false" ht="15" hidden="false" customHeight="false" outlineLevel="0" collapsed="false">
      <c r="A960" s="5" t="n">
        <v>40309</v>
      </c>
      <c r="B960" s="6" t="s">
        <v>120</v>
      </c>
      <c r="C960" s="6" t="s">
        <v>127</v>
      </c>
      <c r="D960" s="0" t="n">
        <v>300.727119527702</v>
      </c>
      <c r="E960" s="0" t="n">
        <v>4.49</v>
      </c>
      <c r="F960" s="0" t="n">
        <v>1</v>
      </c>
      <c r="G960" s="0" t="n">
        <v>0</v>
      </c>
      <c r="H960" s="0" t="n">
        <v>0</v>
      </c>
      <c r="I960" s="0" t="n">
        <v>0</v>
      </c>
      <c r="J960" s="0" t="n">
        <v>1</v>
      </c>
      <c r="K960" s="0" t="n">
        <v>3</v>
      </c>
      <c r="L960" s="0" t="n">
        <v>2</v>
      </c>
    </row>
    <row r="961" customFormat="false" ht="15" hidden="false" customHeight="false" outlineLevel="0" collapsed="false">
      <c r="A961" s="5" t="n">
        <v>40316</v>
      </c>
      <c r="B961" s="6" t="s">
        <v>120</v>
      </c>
      <c r="C961" s="6" t="s">
        <v>127</v>
      </c>
      <c r="D961" s="0" t="n">
        <v>222.53229532884</v>
      </c>
      <c r="E961" s="0" t="n">
        <v>4.413076923</v>
      </c>
      <c r="F961" s="0" t="n">
        <v>1</v>
      </c>
      <c r="G961" s="0" t="n">
        <v>0</v>
      </c>
      <c r="H961" s="0" t="n">
        <v>0</v>
      </c>
      <c r="I961" s="0" t="n">
        <v>0</v>
      </c>
      <c r="J961" s="0" t="n">
        <v>0</v>
      </c>
      <c r="K961" s="0" t="n">
        <v>3</v>
      </c>
      <c r="L961" s="0" t="n">
        <v>2</v>
      </c>
    </row>
    <row r="962" customFormat="false" ht="15" hidden="false" customHeight="false" outlineLevel="0" collapsed="false">
      <c r="A962" s="5" t="n">
        <v>40323</v>
      </c>
      <c r="B962" s="6" t="s">
        <v>120</v>
      </c>
      <c r="C962" s="6" t="s">
        <v>127</v>
      </c>
      <c r="D962" s="0" t="n">
        <v>189.401626003676</v>
      </c>
      <c r="E962" s="0" t="n">
        <v>4.413076923</v>
      </c>
      <c r="F962" s="0" t="n">
        <v>1</v>
      </c>
      <c r="G962" s="0" t="n">
        <v>0</v>
      </c>
      <c r="H962" s="0" t="n">
        <v>0</v>
      </c>
      <c r="I962" s="0" t="n">
        <v>0</v>
      </c>
      <c r="J962" s="0" t="n">
        <v>0</v>
      </c>
      <c r="K962" s="0" t="n">
        <v>3</v>
      </c>
      <c r="L962" s="0" t="n">
        <v>2</v>
      </c>
    </row>
    <row r="963" customFormat="false" ht="15" hidden="false" customHeight="false" outlineLevel="0" collapsed="false">
      <c r="A963" s="5" t="n">
        <v>40330</v>
      </c>
      <c r="B963" s="6" t="s">
        <v>120</v>
      </c>
      <c r="C963" s="6" t="s">
        <v>127</v>
      </c>
      <c r="D963" s="0" t="n">
        <v>207.184555334501</v>
      </c>
      <c r="E963" s="0" t="n">
        <v>4.196666667</v>
      </c>
      <c r="F963" s="0" t="n">
        <v>1</v>
      </c>
      <c r="G963" s="0" t="n">
        <v>0</v>
      </c>
      <c r="H963" s="0" t="n">
        <v>0</v>
      </c>
      <c r="I963" s="0" t="n">
        <v>0</v>
      </c>
      <c r="J963" s="0" t="n">
        <v>0</v>
      </c>
      <c r="K963" s="0" t="n">
        <v>3</v>
      </c>
      <c r="L963" s="0" t="n">
        <v>2</v>
      </c>
    </row>
    <row r="964" customFormat="false" ht="15" hidden="false" customHeight="false" outlineLevel="0" collapsed="false">
      <c r="A964" s="5" t="n">
        <v>40337</v>
      </c>
      <c r="B964" s="6" t="s">
        <v>120</v>
      </c>
      <c r="C964" s="6" t="s">
        <v>127</v>
      </c>
      <c r="D964" s="0" t="n">
        <v>273.184067612758</v>
      </c>
      <c r="E964" s="0" t="n">
        <v>4.4525</v>
      </c>
      <c r="F964" s="0" t="n">
        <v>1</v>
      </c>
      <c r="G964" s="0" t="n">
        <v>0</v>
      </c>
      <c r="H964" s="0" t="n">
        <v>0</v>
      </c>
      <c r="I964" s="0" t="n">
        <v>0</v>
      </c>
      <c r="J964" s="0" t="n">
        <v>0</v>
      </c>
      <c r="K964" s="0" t="n">
        <v>3</v>
      </c>
      <c r="L964" s="0" t="n">
        <v>2</v>
      </c>
    </row>
    <row r="965" customFormat="false" ht="15" hidden="false" customHeight="false" outlineLevel="0" collapsed="false">
      <c r="A965" s="5" t="n">
        <v>40344</v>
      </c>
      <c r="B965" s="6" t="s">
        <v>120</v>
      </c>
      <c r="C965" s="6" t="s">
        <v>127</v>
      </c>
      <c r="D965" s="0" t="n">
        <v>130.910080700394</v>
      </c>
      <c r="E965" s="0" t="n">
        <v>4.4525</v>
      </c>
      <c r="F965" s="0" t="n">
        <v>1</v>
      </c>
      <c r="G965" s="0" t="n">
        <v>0</v>
      </c>
      <c r="H965" s="0" t="n">
        <v>0</v>
      </c>
      <c r="I965" s="0" t="n">
        <v>0</v>
      </c>
      <c r="J965" s="0" t="n">
        <v>0</v>
      </c>
      <c r="K965" s="0" t="n">
        <v>3</v>
      </c>
      <c r="L965" s="0" t="n">
        <v>2</v>
      </c>
    </row>
    <row r="966" customFormat="false" ht="15" hidden="false" customHeight="false" outlineLevel="0" collapsed="false">
      <c r="A966" s="5" t="n">
        <v>40351</v>
      </c>
      <c r="B966" s="6" t="s">
        <v>120</v>
      </c>
      <c r="C966" s="6" t="s">
        <v>127</v>
      </c>
      <c r="D966" s="0" t="n">
        <v>824.636968368501</v>
      </c>
      <c r="E966" s="0" t="n">
        <v>4.343125</v>
      </c>
      <c r="F966" s="0" t="n">
        <v>1</v>
      </c>
      <c r="G966" s="0" t="n">
        <v>1</v>
      </c>
      <c r="H966" s="0" t="n">
        <v>1</v>
      </c>
      <c r="I966" s="0" t="n">
        <v>0</v>
      </c>
      <c r="J966" s="0" t="n">
        <v>0</v>
      </c>
      <c r="K966" s="0" t="n">
        <v>3</v>
      </c>
      <c r="L966" s="0" t="n">
        <v>2</v>
      </c>
    </row>
    <row r="967" customFormat="false" ht="15" hidden="false" customHeight="false" outlineLevel="0" collapsed="false">
      <c r="A967" s="5" t="n">
        <v>40358</v>
      </c>
      <c r="B967" s="6" t="s">
        <v>120</v>
      </c>
      <c r="C967" s="6" t="s">
        <v>127</v>
      </c>
      <c r="D967" s="0" t="n">
        <v>885.806704649906</v>
      </c>
      <c r="E967" s="0" t="n">
        <v>3.7275</v>
      </c>
      <c r="F967" s="0" t="n">
        <v>1</v>
      </c>
      <c r="G967" s="0" t="n">
        <v>1</v>
      </c>
      <c r="H967" s="0" t="n">
        <v>1</v>
      </c>
      <c r="I967" s="0" t="n">
        <v>1</v>
      </c>
      <c r="J967" s="0" t="n">
        <v>0</v>
      </c>
      <c r="K967" s="0" t="n">
        <v>3</v>
      </c>
      <c r="L967" s="0" t="n">
        <v>2</v>
      </c>
    </row>
    <row r="968" customFormat="false" ht="15" hidden="false" customHeight="false" outlineLevel="0" collapsed="false">
      <c r="A968" s="5" t="n">
        <v>40365</v>
      </c>
      <c r="B968" s="6" t="s">
        <v>120</v>
      </c>
      <c r="C968" s="6" t="s">
        <v>127</v>
      </c>
      <c r="D968" s="0" t="n">
        <v>703.002274240646</v>
      </c>
      <c r="E968" s="0" t="n">
        <v>3.713125</v>
      </c>
      <c r="F968" s="0" t="n">
        <v>1</v>
      </c>
      <c r="G968" s="0" t="n">
        <v>1</v>
      </c>
      <c r="H968" s="0" t="n">
        <v>0</v>
      </c>
      <c r="I968" s="0" t="n">
        <v>1</v>
      </c>
      <c r="J968" s="0" t="n">
        <v>0</v>
      </c>
      <c r="K968" s="0" t="n">
        <v>3</v>
      </c>
      <c r="L968" s="0" t="n">
        <v>2</v>
      </c>
    </row>
    <row r="969" customFormat="false" ht="15" hidden="false" customHeight="false" outlineLevel="0" collapsed="false">
      <c r="A969" s="5" t="n">
        <v>40372</v>
      </c>
      <c r="B969" s="6" t="s">
        <v>120</v>
      </c>
      <c r="C969" s="6" t="s">
        <v>127</v>
      </c>
      <c r="D969" s="0" t="n">
        <v>772.207792580698</v>
      </c>
      <c r="E969" s="0" t="n">
        <v>3.713125</v>
      </c>
      <c r="F969" s="0" t="n">
        <v>1</v>
      </c>
      <c r="G969" s="0" t="n">
        <v>1</v>
      </c>
      <c r="H969" s="0" t="n">
        <v>0</v>
      </c>
      <c r="I969" s="0" t="n">
        <v>1</v>
      </c>
      <c r="J969" s="0" t="n">
        <v>0</v>
      </c>
      <c r="K969" s="0" t="n">
        <v>3</v>
      </c>
      <c r="L969" s="0" t="n">
        <v>2</v>
      </c>
    </row>
    <row r="970" customFormat="false" ht="15" hidden="false" customHeight="false" outlineLevel="0" collapsed="false">
      <c r="A970" s="5" t="n">
        <v>40302</v>
      </c>
      <c r="B970" s="6" t="s">
        <v>120</v>
      </c>
      <c r="C970" s="6" t="s">
        <v>128</v>
      </c>
      <c r="D970" s="0" t="n">
        <v>242.796516789481</v>
      </c>
      <c r="E970" s="0" t="n">
        <v>4.573333333</v>
      </c>
      <c r="F970" s="0" t="n">
        <v>1</v>
      </c>
      <c r="G970" s="0" t="n">
        <v>0</v>
      </c>
      <c r="H970" s="0" t="n">
        <v>0</v>
      </c>
      <c r="I970" s="0" t="n">
        <v>0</v>
      </c>
      <c r="J970" s="0" t="n">
        <v>0</v>
      </c>
      <c r="K970" s="0" t="n">
        <v>0</v>
      </c>
      <c r="L970" s="0" t="n">
        <v>0</v>
      </c>
    </row>
    <row r="971" customFormat="false" ht="15" hidden="false" customHeight="false" outlineLevel="0" collapsed="false">
      <c r="A971" s="5" t="n">
        <v>40309</v>
      </c>
      <c r="B971" s="6" t="s">
        <v>120</v>
      </c>
      <c r="C971" s="6" t="s">
        <v>128</v>
      </c>
      <c r="D971" s="0" t="n">
        <v>176.136325941742</v>
      </c>
      <c r="E971" s="0" t="n">
        <v>4.216666667</v>
      </c>
      <c r="F971" s="0" t="n">
        <v>1</v>
      </c>
      <c r="G971" s="0" t="n">
        <v>0</v>
      </c>
      <c r="H971" s="0" t="n">
        <v>0</v>
      </c>
      <c r="I971" s="0" t="n">
        <v>0</v>
      </c>
      <c r="J971" s="0" t="n">
        <v>0</v>
      </c>
      <c r="K971" s="0" t="n">
        <v>0</v>
      </c>
      <c r="L971" s="0" t="n">
        <v>0</v>
      </c>
    </row>
    <row r="972" customFormat="false" ht="15" hidden="false" customHeight="false" outlineLevel="0" collapsed="false">
      <c r="A972" s="5" t="n">
        <v>40316</v>
      </c>
      <c r="B972" s="6" t="s">
        <v>120</v>
      </c>
      <c r="C972" s="6" t="s">
        <v>128</v>
      </c>
      <c r="D972" s="0" t="n">
        <v>200.17051006424</v>
      </c>
      <c r="E972" s="0" t="n">
        <v>4.196666667</v>
      </c>
      <c r="F972" s="0" t="n">
        <v>1</v>
      </c>
      <c r="G972" s="0" t="n">
        <v>0</v>
      </c>
      <c r="H972" s="0" t="n">
        <v>0</v>
      </c>
      <c r="I972" s="0" t="n">
        <v>0</v>
      </c>
      <c r="J972" s="0" t="n">
        <v>0</v>
      </c>
      <c r="K972" s="0" t="n">
        <v>0</v>
      </c>
      <c r="L972" s="0" t="n">
        <v>0</v>
      </c>
    </row>
    <row r="973" customFormat="false" ht="15" hidden="false" customHeight="false" outlineLevel="0" collapsed="false">
      <c r="A973" s="5" t="n">
        <v>40323</v>
      </c>
      <c r="B973" s="6" t="s">
        <v>120</v>
      </c>
      <c r="C973" s="6" t="s">
        <v>128</v>
      </c>
      <c r="D973" s="0" t="n">
        <v>214.129890620162</v>
      </c>
      <c r="E973" s="0" t="n">
        <v>4.083333333</v>
      </c>
      <c r="F973" s="0" t="n">
        <v>1</v>
      </c>
      <c r="G973" s="0" t="n">
        <v>0</v>
      </c>
      <c r="H973" s="0" t="n">
        <v>0</v>
      </c>
      <c r="I973" s="0" t="n">
        <v>0</v>
      </c>
      <c r="J973" s="0" t="n">
        <v>0</v>
      </c>
      <c r="K973" s="0" t="n">
        <v>0</v>
      </c>
      <c r="L973" s="0" t="n">
        <v>0</v>
      </c>
    </row>
    <row r="974" customFormat="false" ht="15" hidden="false" customHeight="false" outlineLevel="0" collapsed="false">
      <c r="A974" s="5" t="n">
        <v>40330</v>
      </c>
      <c r="B974" s="6" t="s">
        <v>120</v>
      </c>
      <c r="C974" s="6" t="s">
        <v>128</v>
      </c>
      <c r="D974" s="0" t="n">
        <v>298.773915713493</v>
      </c>
      <c r="E974" s="0" t="n">
        <v>4.151538462</v>
      </c>
      <c r="F974" s="0" t="n">
        <v>1</v>
      </c>
      <c r="G974" s="0" t="n">
        <v>0</v>
      </c>
      <c r="H974" s="0" t="n">
        <v>0</v>
      </c>
      <c r="I974" s="0" t="n">
        <v>0</v>
      </c>
      <c r="J974" s="0" t="n">
        <v>0</v>
      </c>
      <c r="K974" s="0" t="n">
        <v>0</v>
      </c>
      <c r="L974" s="0" t="n">
        <v>0</v>
      </c>
    </row>
    <row r="975" customFormat="false" ht="15" hidden="false" customHeight="false" outlineLevel="0" collapsed="false">
      <c r="A975" s="5" t="n">
        <v>40337</v>
      </c>
      <c r="B975" s="6" t="s">
        <v>120</v>
      </c>
      <c r="C975" s="6" t="s">
        <v>128</v>
      </c>
      <c r="D975" s="0" t="n">
        <v>231.330440119965</v>
      </c>
      <c r="E975" s="0" t="n">
        <v>4.318571429</v>
      </c>
      <c r="F975" s="0" t="n">
        <v>1</v>
      </c>
      <c r="G975" s="0" t="n">
        <v>0</v>
      </c>
      <c r="H975" s="0" t="n">
        <v>0</v>
      </c>
      <c r="I975" s="0" t="n">
        <v>0</v>
      </c>
      <c r="J975" s="0" t="n">
        <v>0</v>
      </c>
      <c r="K975" s="0" t="n">
        <v>0</v>
      </c>
      <c r="L975" s="0" t="n">
        <v>0</v>
      </c>
    </row>
    <row r="976" customFormat="false" ht="15" hidden="false" customHeight="false" outlineLevel="0" collapsed="false">
      <c r="A976" s="5" t="n">
        <v>40344</v>
      </c>
      <c r="B976" s="6" t="s">
        <v>120</v>
      </c>
      <c r="C976" s="6" t="s">
        <v>128</v>
      </c>
      <c r="D976" s="0" t="n">
        <v>220.28570018462</v>
      </c>
      <c r="E976" s="0" t="n">
        <v>4.174615385</v>
      </c>
      <c r="F976" s="0" t="n">
        <v>1</v>
      </c>
      <c r="G976" s="0" t="n">
        <v>0</v>
      </c>
      <c r="H976" s="0" t="n">
        <v>0</v>
      </c>
      <c r="I976" s="0" t="n">
        <v>0</v>
      </c>
      <c r="J976" s="0" t="n">
        <v>0</v>
      </c>
      <c r="K976" s="0" t="n">
        <v>0</v>
      </c>
      <c r="L976" s="0" t="n">
        <v>0</v>
      </c>
    </row>
    <row r="977" customFormat="false" ht="15" hidden="false" customHeight="false" outlineLevel="0" collapsed="false">
      <c r="A977" s="5" t="n">
        <v>40351</v>
      </c>
      <c r="B977" s="6" t="s">
        <v>120</v>
      </c>
      <c r="C977" s="6" t="s">
        <v>128</v>
      </c>
      <c r="D977" s="0" t="n">
        <v>173.379717036641</v>
      </c>
      <c r="E977" s="0" t="n">
        <v>4.318571429</v>
      </c>
      <c r="F977" s="0" t="n">
        <v>1</v>
      </c>
      <c r="G977" s="0" t="n">
        <v>0</v>
      </c>
      <c r="H977" s="0" t="n">
        <v>0</v>
      </c>
      <c r="I977" s="0" t="n">
        <v>0</v>
      </c>
      <c r="J977" s="0" t="n">
        <v>0</v>
      </c>
      <c r="K977" s="0" t="n">
        <v>0</v>
      </c>
      <c r="L977" s="0" t="n">
        <v>0</v>
      </c>
    </row>
    <row r="978" customFormat="false" ht="15" hidden="false" customHeight="false" outlineLevel="0" collapsed="false">
      <c r="A978" s="5" t="n">
        <v>40358</v>
      </c>
      <c r="B978" s="6" t="s">
        <v>120</v>
      </c>
      <c r="C978" s="6" t="s">
        <v>128</v>
      </c>
      <c r="D978" s="0" t="n">
        <v>240.301051404713</v>
      </c>
      <c r="E978" s="0" t="n">
        <v>4.197142857</v>
      </c>
      <c r="F978" s="0" t="n">
        <v>1</v>
      </c>
      <c r="G978" s="0" t="n">
        <v>0</v>
      </c>
      <c r="H978" s="0" t="n">
        <v>0</v>
      </c>
      <c r="I978" s="0" t="n">
        <v>0</v>
      </c>
      <c r="J978" s="0" t="n">
        <v>0</v>
      </c>
      <c r="K978" s="0" t="n">
        <v>0</v>
      </c>
      <c r="L978" s="0" t="n">
        <v>0</v>
      </c>
    </row>
    <row r="979" customFormat="false" ht="15" hidden="false" customHeight="false" outlineLevel="0" collapsed="false">
      <c r="A979" s="5" t="n">
        <v>40365</v>
      </c>
      <c r="B979" s="6" t="s">
        <v>120</v>
      </c>
      <c r="C979" s="6" t="s">
        <v>128</v>
      </c>
      <c r="D979" s="0" t="n">
        <v>194.69951130814</v>
      </c>
      <c r="E979" s="0" t="n">
        <v>3.303076923</v>
      </c>
      <c r="F979" s="0" t="n">
        <v>1</v>
      </c>
      <c r="G979" s="0" t="n">
        <v>0</v>
      </c>
      <c r="H979" s="0" t="n">
        <v>0</v>
      </c>
      <c r="I979" s="0" t="n">
        <v>0</v>
      </c>
      <c r="J979" s="0" t="n">
        <v>0</v>
      </c>
      <c r="K979" s="0" t="n">
        <v>0</v>
      </c>
      <c r="L979" s="0" t="n">
        <v>0</v>
      </c>
    </row>
    <row r="980" customFormat="false" ht="15" hidden="false" customHeight="false" outlineLevel="0" collapsed="false">
      <c r="A980" s="5" t="n">
        <v>40372</v>
      </c>
      <c r="B980" s="6" t="s">
        <v>120</v>
      </c>
      <c r="C980" s="6" t="s">
        <v>128</v>
      </c>
      <c r="D980" s="0" t="n">
        <v>295.796617516198</v>
      </c>
      <c r="E980" s="0" t="n">
        <v>3.648461538</v>
      </c>
      <c r="F980" s="0" t="n">
        <v>1</v>
      </c>
      <c r="G980" s="0" t="n">
        <v>0</v>
      </c>
      <c r="H980" s="0" t="n">
        <v>0</v>
      </c>
      <c r="I980" s="0" t="n">
        <v>0</v>
      </c>
      <c r="J980" s="0" t="n">
        <v>0</v>
      </c>
      <c r="K980" s="0" t="n">
        <v>0</v>
      </c>
      <c r="L980" s="0" t="n">
        <v>0</v>
      </c>
    </row>
    <row r="981" customFormat="false" ht="15" hidden="false" customHeight="false" outlineLevel="0" collapsed="false">
      <c r="A981" s="5" t="n">
        <v>40302</v>
      </c>
      <c r="B981" s="6" t="s">
        <v>120</v>
      </c>
      <c r="C981" s="6" t="s">
        <v>129</v>
      </c>
      <c r="D981" s="0" t="n">
        <v>273.274045808323</v>
      </c>
      <c r="E981" s="0" t="n">
        <v>4.216666667</v>
      </c>
      <c r="F981" s="0" t="n">
        <v>1</v>
      </c>
      <c r="G981" s="0" t="n">
        <v>0</v>
      </c>
      <c r="H981" s="0" t="n">
        <v>0</v>
      </c>
      <c r="I981" s="0" t="n">
        <v>0</v>
      </c>
      <c r="J981" s="0" t="n">
        <v>0</v>
      </c>
      <c r="K981" s="0" t="n">
        <v>1</v>
      </c>
      <c r="L981" s="0" t="n">
        <v>0</v>
      </c>
    </row>
    <row r="982" customFormat="false" ht="15" hidden="false" customHeight="false" outlineLevel="0" collapsed="false">
      <c r="A982" s="5" t="n">
        <v>40309</v>
      </c>
      <c r="B982" s="6" t="s">
        <v>120</v>
      </c>
      <c r="C982" s="6" t="s">
        <v>129</v>
      </c>
      <c r="D982" s="0" t="n">
        <v>228.231998032153</v>
      </c>
      <c r="E982" s="0" t="n">
        <v>4.45</v>
      </c>
      <c r="F982" s="0" t="n">
        <v>1</v>
      </c>
      <c r="G982" s="0" t="n">
        <v>0</v>
      </c>
      <c r="H982" s="0" t="n">
        <v>0</v>
      </c>
      <c r="I982" s="0" t="n">
        <v>0</v>
      </c>
      <c r="J982" s="0" t="n">
        <v>0</v>
      </c>
      <c r="K982" s="0" t="n">
        <v>1</v>
      </c>
      <c r="L982" s="0" t="n">
        <v>0</v>
      </c>
    </row>
    <row r="983" customFormat="false" ht="15" hidden="false" customHeight="false" outlineLevel="0" collapsed="false">
      <c r="A983" s="5" t="n">
        <v>40316</v>
      </c>
      <c r="B983" s="6" t="s">
        <v>120</v>
      </c>
      <c r="C983" s="6" t="s">
        <v>129</v>
      </c>
      <c r="D983" s="0" t="n">
        <v>266.403120843235</v>
      </c>
      <c r="E983" s="0" t="n">
        <v>4.10875</v>
      </c>
      <c r="F983" s="0" t="n">
        <v>1</v>
      </c>
      <c r="G983" s="0" t="n">
        <v>0</v>
      </c>
      <c r="H983" s="0" t="n">
        <v>0</v>
      </c>
      <c r="I983" s="0" t="n">
        <v>0</v>
      </c>
      <c r="J983" s="0" t="n">
        <v>0</v>
      </c>
      <c r="K983" s="0" t="n">
        <v>1</v>
      </c>
      <c r="L983" s="0" t="n">
        <v>0</v>
      </c>
    </row>
    <row r="984" customFormat="false" ht="15" hidden="false" customHeight="false" outlineLevel="0" collapsed="false">
      <c r="A984" s="5" t="n">
        <v>40323</v>
      </c>
      <c r="B984" s="6" t="s">
        <v>120</v>
      </c>
      <c r="C984" s="6" t="s">
        <v>129</v>
      </c>
      <c r="D984" s="0" t="n">
        <v>288.415270999239</v>
      </c>
      <c r="E984" s="0" t="n">
        <v>4.083333333</v>
      </c>
      <c r="F984" s="0" t="n">
        <v>1</v>
      </c>
      <c r="G984" s="0" t="n">
        <v>0</v>
      </c>
      <c r="H984" s="0" t="n">
        <v>0</v>
      </c>
      <c r="I984" s="0" t="n">
        <v>0</v>
      </c>
      <c r="J984" s="0" t="n">
        <v>0</v>
      </c>
      <c r="K984" s="0" t="n">
        <v>1</v>
      </c>
      <c r="L984" s="0" t="n">
        <v>0</v>
      </c>
    </row>
    <row r="985" customFormat="false" ht="15" hidden="false" customHeight="false" outlineLevel="0" collapsed="false">
      <c r="A985" s="5" t="n">
        <v>40330</v>
      </c>
      <c r="B985" s="6" t="s">
        <v>120</v>
      </c>
      <c r="C985" s="6" t="s">
        <v>129</v>
      </c>
      <c r="D985" s="0" t="n">
        <v>286.636420925321</v>
      </c>
      <c r="E985" s="0" t="n">
        <v>4.083333333</v>
      </c>
      <c r="F985" s="0" t="n">
        <v>1</v>
      </c>
      <c r="G985" s="0" t="n">
        <v>0</v>
      </c>
      <c r="H985" s="0" t="n">
        <v>0</v>
      </c>
      <c r="I985" s="0" t="n">
        <v>0</v>
      </c>
      <c r="J985" s="0" t="n">
        <v>0</v>
      </c>
      <c r="K985" s="0" t="n">
        <v>1</v>
      </c>
      <c r="L985" s="0" t="n">
        <v>0</v>
      </c>
    </row>
    <row r="986" customFormat="false" ht="15" hidden="false" customHeight="false" outlineLevel="0" collapsed="false">
      <c r="A986" s="5" t="n">
        <v>40337</v>
      </c>
      <c r="B986" s="6" t="s">
        <v>120</v>
      </c>
      <c r="C986" s="6" t="s">
        <v>129</v>
      </c>
      <c r="D986" s="0" t="n">
        <v>258.305322567252</v>
      </c>
      <c r="E986" s="0" t="n">
        <v>4.4525</v>
      </c>
      <c r="F986" s="0" t="n">
        <v>1</v>
      </c>
      <c r="G986" s="0" t="n">
        <v>0</v>
      </c>
      <c r="H986" s="0" t="n">
        <v>0</v>
      </c>
      <c r="I986" s="0" t="n">
        <v>0</v>
      </c>
      <c r="J986" s="0" t="n">
        <v>0</v>
      </c>
      <c r="K986" s="0" t="n">
        <v>1</v>
      </c>
      <c r="L986" s="0" t="n">
        <v>0</v>
      </c>
    </row>
    <row r="987" customFormat="false" ht="15" hidden="false" customHeight="false" outlineLevel="0" collapsed="false">
      <c r="A987" s="5" t="n">
        <v>40344</v>
      </c>
      <c r="B987" s="6" t="s">
        <v>120</v>
      </c>
      <c r="C987" s="6" t="s">
        <v>129</v>
      </c>
      <c r="D987" s="0" t="n">
        <v>200.363876554379</v>
      </c>
      <c r="E987" s="0" t="n">
        <v>4.197142857</v>
      </c>
      <c r="F987" s="0" t="n">
        <v>1</v>
      </c>
      <c r="G987" s="0" t="n">
        <v>0</v>
      </c>
      <c r="H987" s="0" t="n">
        <v>0</v>
      </c>
      <c r="I987" s="0" t="n">
        <v>0</v>
      </c>
      <c r="J987" s="0" t="n">
        <v>0</v>
      </c>
      <c r="K987" s="0" t="n">
        <v>1</v>
      </c>
      <c r="L987" s="0" t="n">
        <v>0</v>
      </c>
    </row>
    <row r="988" customFormat="false" ht="15" hidden="false" customHeight="false" outlineLevel="0" collapsed="false">
      <c r="A988" s="5" t="n">
        <v>40351</v>
      </c>
      <c r="B988" s="6" t="s">
        <v>120</v>
      </c>
      <c r="C988" s="6" t="s">
        <v>129</v>
      </c>
      <c r="D988" s="0" t="n">
        <v>247.313515202721</v>
      </c>
      <c r="E988" s="0" t="n">
        <v>4.4525</v>
      </c>
      <c r="F988" s="0" t="n">
        <v>1</v>
      </c>
      <c r="G988" s="0" t="n">
        <v>0</v>
      </c>
      <c r="H988" s="0" t="n">
        <v>1</v>
      </c>
      <c r="I988" s="0" t="n">
        <v>0</v>
      </c>
      <c r="J988" s="0" t="n">
        <v>0</v>
      </c>
      <c r="K988" s="0" t="n">
        <v>1</v>
      </c>
      <c r="L988" s="0" t="n">
        <v>0</v>
      </c>
    </row>
    <row r="989" customFormat="false" ht="15" hidden="false" customHeight="false" outlineLevel="0" collapsed="false">
      <c r="A989" s="5" t="n">
        <v>40358</v>
      </c>
      <c r="B989" s="6" t="s">
        <v>120</v>
      </c>
      <c r="C989" s="6" t="s">
        <v>129</v>
      </c>
      <c r="D989" s="0" t="n">
        <v>365.774718715315</v>
      </c>
      <c r="E989" s="0" t="n">
        <v>3.947142857</v>
      </c>
      <c r="F989" s="0" t="n">
        <v>1</v>
      </c>
      <c r="G989" s="0" t="n">
        <v>0</v>
      </c>
      <c r="H989" s="0" t="n">
        <v>1</v>
      </c>
      <c r="I989" s="0" t="n">
        <v>1</v>
      </c>
      <c r="J989" s="0" t="n">
        <v>0</v>
      </c>
      <c r="K989" s="0" t="n">
        <v>1</v>
      </c>
      <c r="L989" s="0" t="n">
        <v>0</v>
      </c>
    </row>
    <row r="990" customFormat="false" ht="15" hidden="false" customHeight="false" outlineLevel="0" collapsed="false">
      <c r="A990" s="5" t="n">
        <v>40365</v>
      </c>
      <c r="B990" s="6" t="s">
        <v>120</v>
      </c>
      <c r="C990" s="6" t="s">
        <v>129</v>
      </c>
      <c r="D990" s="0" t="n">
        <v>314.157933256645</v>
      </c>
      <c r="E990" s="0" t="n">
        <v>3.637857143</v>
      </c>
      <c r="F990" s="0" t="n">
        <v>1</v>
      </c>
      <c r="G990" s="0" t="n">
        <v>0</v>
      </c>
      <c r="H990" s="0" t="n">
        <v>0</v>
      </c>
      <c r="I990" s="0" t="n">
        <v>1</v>
      </c>
      <c r="J990" s="0" t="n">
        <v>0</v>
      </c>
      <c r="K990" s="0" t="n">
        <v>1</v>
      </c>
      <c r="L990" s="0" t="n">
        <v>0</v>
      </c>
    </row>
    <row r="991" customFormat="false" ht="15" hidden="false" customHeight="false" outlineLevel="0" collapsed="false">
      <c r="A991" s="5" t="n">
        <v>40372</v>
      </c>
      <c r="B991" s="6" t="s">
        <v>120</v>
      </c>
      <c r="C991" s="6" t="s">
        <v>129</v>
      </c>
      <c r="D991" s="0" t="n">
        <v>339.191806352381</v>
      </c>
      <c r="E991" s="0" t="n">
        <v>3.963125</v>
      </c>
      <c r="F991" s="0" t="n">
        <v>1</v>
      </c>
      <c r="G991" s="0" t="n">
        <v>0</v>
      </c>
      <c r="H991" s="0" t="n">
        <v>0</v>
      </c>
      <c r="I991" s="0" t="n">
        <v>1</v>
      </c>
      <c r="J991" s="0" t="n">
        <v>0</v>
      </c>
      <c r="K991" s="0" t="n">
        <v>1</v>
      </c>
      <c r="L991" s="0" t="n">
        <v>0</v>
      </c>
    </row>
    <row r="992" customFormat="false" ht="15" hidden="false" customHeight="false" outlineLevel="0" collapsed="false">
      <c r="A992" s="5" t="n">
        <v>40302</v>
      </c>
      <c r="B992" s="6" t="s">
        <v>130</v>
      </c>
      <c r="C992" s="6" t="s">
        <v>131</v>
      </c>
      <c r="D992" s="0" t="n">
        <v>270.748899992123</v>
      </c>
      <c r="E992" s="0" t="n">
        <v>4.29</v>
      </c>
      <c r="F992" s="0" t="n">
        <v>1</v>
      </c>
      <c r="G992" s="0" t="n">
        <v>0</v>
      </c>
      <c r="H992" s="0" t="n">
        <v>0</v>
      </c>
      <c r="I992" s="0" t="n">
        <v>0</v>
      </c>
      <c r="J992" s="0" t="n">
        <v>0</v>
      </c>
      <c r="K992" s="0" t="n">
        <v>1</v>
      </c>
      <c r="L992" s="0" t="n">
        <v>2</v>
      </c>
    </row>
    <row r="993" customFormat="false" ht="15" hidden="false" customHeight="false" outlineLevel="0" collapsed="false">
      <c r="A993" s="5" t="n">
        <v>40309</v>
      </c>
      <c r="B993" s="6" t="s">
        <v>130</v>
      </c>
      <c r="C993" s="6" t="s">
        <v>131</v>
      </c>
      <c r="D993" s="0" t="n">
        <v>314.505824382809</v>
      </c>
      <c r="E993" s="0" t="n">
        <v>4.29</v>
      </c>
      <c r="F993" s="0" t="n">
        <v>1</v>
      </c>
      <c r="G993" s="0" t="n">
        <v>0</v>
      </c>
      <c r="H993" s="0" t="n">
        <v>1</v>
      </c>
      <c r="I993" s="0" t="n">
        <v>0</v>
      </c>
      <c r="J993" s="0" t="n">
        <v>0</v>
      </c>
      <c r="K993" s="0" t="n">
        <v>1</v>
      </c>
      <c r="L993" s="0" t="n">
        <v>2</v>
      </c>
    </row>
    <row r="994" customFormat="false" ht="15" hidden="false" customHeight="false" outlineLevel="0" collapsed="false">
      <c r="A994" s="5" t="n">
        <v>40316</v>
      </c>
      <c r="B994" s="6" t="s">
        <v>130</v>
      </c>
      <c r="C994" s="6" t="s">
        <v>131</v>
      </c>
      <c r="D994" s="0" t="n">
        <v>390.606979162614</v>
      </c>
      <c r="E994" s="0" t="n">
        <v>4.085833333</v>
      </c>
      <c r="F994" s="0" t="n">
        <v>1</v>
      </c>
      <c r="G994" s="0" t="n">
        <v>0</v>
      </c>
      <c r="H994" s="0" t="n">
        <v>0</v>
      </c>
      <c r="I994" s="0" t="n">
        <v>1</v>
      </c>
      <c r="J994" s="0" t="n">
        <v>0</v>
      </c>
      <c r="K994" s="0" t="n">
        <v>1</v>
      </c>
      <c r="L994" s="0" t="n">
        <v>2</v>
      </c>
    </row>
    <row r="995" customFormat="false" ht="15" hidden="false" customHeight="false" outlineLevel="0" collapsed="false">
      <c r="A995" s="5" t="n">
        <v>40323</v>
      </c>
      <c r="B995" s="6" t="s">
        <v>130</v>
      </c>
      <c r="C995" s="6" t="s">
        <v>131</v>
      </c>
      <c r="D995" s="0" t="n">
        <v>249.862379827122</v>
      </c>
      <c r="E995" s="0" t="n">
        <v>4.085833333</v>
      </c>
      <c r="F995" s="0" t="n">
        <v>1</v>
      </c>
      <c r="G995" s="0" t="n">
        <v>0</v>
      </c>
      <c r="H995" s="0" t="n">
        <v>0</v>
      </c>
      <c r="I995" s="0" t="n">
        <v>1</v>
      </c>
      <c r="J995" s="0" t="n">
        <v>0</v>
      </c>
      <c r="K995" s="0" t="n">
        <v>1</v>
      </c>
      <c r="L995" s="0" t="n">
        <v>2</v>
      </c>
    </row>
    <row r="996" customFormat="false" ht="15" hidden="false" customHeight="false" outlineLevel="0" collapsed="false">
      <c r="A996" s="5" t="n">
        <v>40330</v>
      </c>
      <c r="B996" s="6" t="s">
        <v>130</v>
      </c>
      <c r="C996" s="6" t="s">
        <v>131</v>
      </c>
      <c r="D996" s="0" t="n">
        <v>222.033894307816</v>
      </c>
      <c r="E996" s="0" t="n">
        <v>4.793125</v>
      </c>
      <c r="F996" s="0" t="n">
        <v>1</v>
      </c>
      <c r="G996" s="0" t="n">
        <v>0</v>
      </c>
      <c r="H996" s="0" t="n">
        <v>0</v>
      </c>
      <c r="I996" s="0" t="n">
        <v>1</v>
      </c>
      <c r="J996" s="0" t="n">
        <v>0</v>
      </c>
      <c r="K996" s="0" t="n">
        <v>1</v>
      </c>
      <c r="L996" s="0" t="n">
        <v>2</v>
      </c>
    </row>
    <row r="997" customFormat="false" ht="15" hidden="false" customHeight="false" outlineLevel="0" collapsed="false">
      <c r="A997" s="5" t="n">
        <v>40337</v>
      </c>
      <c r="B997" s="6" t="s">
        <v>130</v>
      </c>
      <c r="C997" s="6" t="s">
        <v>131</v>
      </c>
      <c r="D997" s="0" t="n">
        <v>276.358197057361</v>
      </c>
      <c r="E997" s="0" t="n">
        <v>4.147142857</v>
      </c>
      <c r="F997" s="0" t="n">
        <v>1</v>
      </c>
      <c r="G997" s="0" t="n">
        <v>0</v>
      </c>
      <c r="H997" s="0" t="n">
        <v>0</v>
      </c>
      <c r="I997" s="0" t="n">
        <v>0</v>
      </c>
      <c r="J997" s="0" t="n">
        <v>1</v>
      </c>
      <c r="K997" s="0" t="n">
        <v>1</v>
      </c>
      <c r="L997" s="0" t="n">
        <v>2</v>
      </c>
    </row>
    <row r="998" customFormat="false" ht="15" hidden="false" customHeight="false" outlineLevel="0" collapsed="false">
      <c r="A998" s="5" t="n">
        <v>40344</v>
      </c>
      <c r="B998" s="6" t="s">
        <v>130</v>
      </c>
      <c r="C998" s="6" t="s">
        <v>131</v>
      </c>
      <c r="D998" s="0" t="n">
        <v>294.863181354517</v>
      </c>
      <c r="E998" s="0" t="n">
        <v>4.147142857</v>
      </c>
      <c r="F998" s="0" t="n">
        <v>1</v>
      </c>
      <c r="G998" s="0" t="n">
        <v>0</v>
      </c>
      <c r="H998" s="0" t="n">
        <v>0</v>
      </c>
      <c r="I998" s="0" t="n">
        <v>0</v>
      </c>
      <c r="J998" s="0" t="n">
        <v>1</v>
      </c>
      <c r="K998" s="0" t="n">
        <v>1</v>
      </c>
      <c r="L998" s="0" t="n">
        <v>2</v>
      </c>
    </row>
    <row r="999" customFormat="false" ht="15" hidden="false" customHeight="false" outlineLevel="0" collapsed="false">
      <c r="A999" s="5" t="n">
        <v>40351</v>
      </c>
      <c r="B999" s="6" t="s">
        <v>130</v>
      </c>
      <c r="C999" s="6" t="s">
        <v>131</v>
      </c>
      <c r="D999" s="0" t="n">
        <v>383.455807103812</v>
      </c>
      <c r="E999" s="0" t="n">
        <v>4.05</v>
      </c>
      <c r="F999" s="0" t="n">
        <v>1</v>
      </c>
      <c r="G999" s="0" t="n">
        <v>0</v>
      </c>
      <c r="H999" s="0" t="n">
        <v>1</v>
      </c>
      <c r="I999" s="0" t="n">
        <v>0</v>
      </c>
      <c r="J999" s="0" t="n">
        <v>0</v>
      </c>
      <c r="K999" s="0" t="n">
        <v>1</v>
      </c>
      <c r="L999" s="0" t="n">
        <v>2</v>
      </c>
    </row>
    <row r="1000" customFormat="false" ht="15" hidden="false" customHeight="false" outlineLevel="0" collapsed="false">
      <c r="A1000" s="5" t="n">
        <v>40358</v>
      </c>
      <c r="B1000" s="6" t="s">
        <v>130</v>
      </c>
      <c r="C1000" s="6" t="s">
        <v>131</v>
      </c>
      <c r="D1000" s="0" t="n">
        <v>300.294244575174</v>
      </c>
      <c r="E1000" s="0" t="n">
        <v>4.05</v>
      </c>
      <c r="F1000" s="0" t="n">
        <v>1</v>
      </c>
      <c r="G1000" s="0" t="n">
        <v>0</v>
      </c>
      <c r="H1000" s="0" t="n">
        <v>0</v>
      </c>
      <c r="I1000" s="0" t="n">
        <v>1</v>
      </c>
      <c r="J1000" s="0" t="n">
        <v>0</v>
      </c>
      <c r="K1000" s="0" t="n">
        <v>1</v>
      </c>
      <c r="L1000" s="0" t="n">
        <v>2</v>
      </c>
    </row>
    <row r="1001" customFormat="false" ht="15" hidden="false" customHeight="false" outlineLevel="0" collapsed="false">
      <c r="A1001" s="5" t="n">
        <v>40365</v>
      </c>
      <c r="B1001" s="6" t="s">
        <v>130</v>
      </c>
      <c r="C1001" s="6" t="s">
        <v>131</v>
      </c>
      <c r="D1001" s="0" t="n">
        <v>296.743122095153</v>
      </c>
      <c r="E1001" s="0" t="n">
        <v>4.581333333</v>
      </c>
      <c r="F1001" s="0" t="n">
        <v>1</v>
      </c>
      <c r="G1001" s="0" t="n">
        <v>0</v>
      </c>
      <c r="H1001" s="0" t="n">
        <v>0</v>
      </c>
      <c r="I1001" s="0" t="n">
        <v>1</v>
      </c>
      <c r="J1001" s="0" t="n">
        <v>0</v>
      </c>
      <c r="K1001" s="0" t="n">
        <v>1</v>
      </c>
      <c r="L1001" s="0" t="n">
        <v>2</v>
      </c>
    </row>
    <row r="1002" customFormat="false" ht="15" hidden="false" customHeight="false" outlineLevel="0" collapsed="false">
      <c r="A1002" s="5" t="n">
        <v>40372</v>
      </c>
      <c r="B1002" s="6" t="s">
        <v>130</v>
      </c>
      <c r="C1002" s="6" t="s">
        <v>131</v>
      </c>
      <c r="D1002" s="0" t="n">
        <v>429.797765681415</v>
      </c>
      <c r="E1002" s="0" t="n">
        <v>3.556923077</v>
      </c>
      <c r="F1002" s="0" t="n">
        <v>1</v>
      </c>
      <c r="G1002" s="0" t="n">
        <v>0</v>
      </c>
      <c r="H1002" s="0" t="n">
        <v>0</v>
      </c>
      <c r="I1002" s="0" t="n">
        <v>1</v>
      </c>
      <c r="J1002" s="0" t="n">
        <v>0</v>
      </c>
      <c r="K1002" s="0" t="n">
        <v>1</v>
      </c>
      <c r="L1002" s="0" t="n">
        <v>2</v>
      </c>
    </row>
    <row r="1003" customFormat="false" ht="15" hidden="false" customHeight="false" outlineLevel="0" collapsed="false">
      <c r="A1003" s="5" t="n">
        <v>40302</v>
      </c>
      <c r="B1003" s="6" t="s">
        <v>130</v>
      </c>
      <c r="C1003" s="6" t="s">
        <v>132</v>
      </c>
      <c r="D1003" s="0" t="n">
        <v>297.217085045607</v>
      </c>
      <c r="E1003" s="0" t="n">
        <v>4.29</v>
      </c>
      <c r="F1003" s="0" t="n">
        <v>1</v>
      </c>
      <c r="G1003" s="0" t="n">
        <v>0</v>
      </c>
      <c r="H1003" s="0" t="n">
        <v>0</v>
      </c>
      <c r="I1003" s="0" t="n">
        <v>0</v>
      </c>
      <c r="J1003" s="0" t="n">
        <v>0</v>
      </c>
      <c r="K1003" s="0" t="n">
        <v>2</v>
      </c>
      <c r="L1003" s="0" t="n">
        <v>2</v>
      </c>
    </row>
    <row r="1004" customFormat="false" ht="15" hidden="false" customHeight="false" outlineLevel="0" collapsed="false">
      <c r="A1004" s="5" t="n">
        <v>40309</v>
      </c>
      <c r="B1004" s="6" t="s">
        <v>130</v>
      </c>
      <c r="C1004" s="6" t="s">
        <v>132</v>
      </c>
      <c r="D1004" s="0" t="n">
        <v>268.405566716801</v>
      </c>
      <c r="E1004" s="0" t="n">
        <v>4.29</v>
      </c>
      <c r="F1004" s="0" t="n">
        <v>1</v>
      </c>
      <c r="G1004" s="0" t="n">
        <v>0</v>
      </c>
      <c r="H1004" s="0" t="n">
        <v>0</v>
      </c>
      <c r="I1004" s="0" t="n">
        <v>0</v>
      </c>
      <c r="J1004" s="0" t="n">
        <v>0</v>
      </c>
      <c r="K1004" s="0" t="n">
        <v>2</v>
      </c>
      <c r="L1004" s="0" t="n">
        <v>2</v>
      </c>
    </row>
    <row r="1005" customFormat="false" ht="15" hidden="false" customHeight="false" outlineLevel="0" collapsed="false">
      <c r="A1005" s="5" t="n">
        <v>40316</v>
      </c>
      <c r="B1005" s="6" t="s">
        <v>130</v>
      </c>
      <c r="C1005" s="6" t="s">
        <v>132</v>
      </c>
      <c r="D1005" s="0" t="n">
        <v>206.027988501256</v>
      </c>
      <c r="E1005" s="0" t="n">
        <v>4.085833333</v>
      </c>
      <c r="F1005" s="0" t="n">
        <v>1</v>
      </c>
      <c r="G1005" s="0" t="n">
        <v>0</v>
      </c>
      <c r="H1005" s="0" t="n">
        <v>0</v>
      </c>
      <c r="I1005" s="0" t="n">
        <v>0</v>
      </c>
      <c r="J1005" s="0" t="n">
        <v>0</v>
      </c>
      <c r="K1005" s="0" t="n">
        <v>2</v>
      </c>
      <c r="L1005" s="0" t="n">
        <v>2</v>
      </c>
    </row>
    <row r="1006" customFormat="false" ht="15" hidden="false" customHeight="false" outlineLevel="0" collapsed="false">
      <c r="A1006" s="5" t="n">
        <v>40323</v>
      </c>
      <c r="B1006" s="6" t="s">
        <v>130</v>
      </c>
      <c r="C1006" s="6" t="s">
        <v>132</v>
      </c>
      <c r="D1006" s="0" t="n">
        <v>201.967341536031</v>
      </c>
      <c r="E1006" s="0" t="n">
        <v>4.085833333</v>
      </c>
      <c r="F1006" s="0" t="n">
        <v>1</v>
      </c>
      <c r="G1006" s="0" t="n">
        <v>0</v>
      </c>
      <c r="H1006" s="0" t="n">
        <v>0</v>
      </c>
      <c r="I1006" s="0" t="n">
        <v>0</v>
      </c>
      <c r="J1006" s="0" t="n">
        <v>0</v>
      </c>
      <c r="K1006" s="0" t="n">
        <v>2</v>
      </c>
      <c r="L1006" s="0" t="n">
        <v>2</v>
      </c>
    </row>
    <row r="1007" customFormat="false" ht="15" hidden="false" customHeight="false" outlineLevel="0" collapsed="false">
      <c r="A1007" s="5" t="n">
        <v>40330</v>
      </c>
      <c r="B1007" s="6" t="s">
        <v>130</v>
      </c>
      <c r="C1007" s="6" t="s">
        <v>132</v>
      </c>
      <c r="D1007" s="0" t="n">
        <v>239.726974587255</v>
      </c>
      <c r="E1007" s="0" t="n">
        <v>3.84</v>
      </c>
      <c r="F1007" s="0" t="n">
        <v>1</v>
      </c>
      <c r="G1007" s="0" t="n">
        <v>0</v>
      </c>
      <c r="H1007" s="0" t="n">
        <v>0</v>
      </c>
      <c r="I1007" s="0" t="n">
        <v>0</v>
      </c>
      <c r="J1007" s="0" t="n">
        <v>0</v>
      </c>
      <c r="K1007" s="0" t="n">
        <v>2</v>
      </c>
      <c r="L1007" s="0" t="n">
        <v>2</v>
      </c>
    </row>
    <row r="1008" customFormat="false" ht="15" hidden="false" customHeight="false" outlineLevel="0" collapsed="false">
      <c r="A1008" s="5" t="n">
        <v>40337</v>
      </c>
      <c r="B1008" s="6" t="s">
        <v>130</v>
      </c>
      <c r="C1008" s="6" t="s">
        <v>132</v>
      </c>
      <c r="D1008" s="0" t="n">
        <v>171.392818591553</v>
      </c>
      <c r="E1008" s="0" t="n">
        <v>4.259230769</v>
      </c>
      <c r="F1008" s="0" t="n">
        <v>1</v>
      </c>
      <c r="G1008" s="0" t="n">
        <v>0</v>
      </c>
      <c r="H1008" s="0" t="n">
        <v>0</v>
      </c>
      <c r="I1008" s="0" t="n">
        <v>0</v>
      </c>
      <c r="J1008" s="0" t="n">
        <v>0</v>
      </c>
      <c r="K1008" s="0" t="n">
        <v>2</v>
      </c>
      <c r="L1008" s="0" t="n">
        <v>2</v>
      </c>
    </row>
    <row r="1009" customFormat="false" ht="15" hidden="false" customHeight="false" outlineLevel="0" collapsed="false">
      <c r="A1009" s="5" t="n">
        <v>40344</v>
      </c>
      <c r="B1009" s="6" t="s">
        <v>130</v>
      </c>
      <c r="C1009" s="6" t="s">
        <v>132</v>
      </c>
      <c r="D1009" s="0" t="n">
        <v>172.745594513119</v>
      </c>
      <c r="E1009" s="0" t="n">
        <v>4.99</v>
      </c>
      <c r="F1009" s="0" t="n">
        <v>1</v>
      </c>
      <c r="G1009" s="0" t="n">
        <v>0</v>
      </c>
      <c r="H1009" s="0" t="n">
        <v>0</v>
      </c>
      <c r="I1009" s="0" t="n">
        <v>0</v>
      </c>
      <c r="J1009" s="0" t="n">
        <v>0</v>
      </c>
      <c r="K1009" s="0" t="n">
        <v>2</v>
      </c>
      <c r="L1009" s="0" t="n">
        <v>2</v>
      </c>
    </row>
    <row r="1010" customFormat="false" ht="15" hidden="false" customHeight="false" outlineLevel="0" collapsed="false">
      <c r="A1010" s="5" t="n">
        <v>40351</v>
      </c>
      <c r="B1010" s="6" t="s">
        <v>130</v>
      </c>
      <c r="C1010" s="6" t="s">
        <v>132</v>
      </c>
      <c r="D1010" s="0" t="n">
        <v>379.204127363105</v>
      </c>
      <c r="E1010" s="0" t="n">
        <v>3.768571429</v>
      </c>
      <c r="F1010" s="0" t="n">
        <v>1</v>
      </c>
      <c r="G1010" s="0" t="n">
        <v>0</v>
      </c>
      <c r="H1010" s="0" t="n">
        <v>1</v>
      </c>
      <c r="I1010" s="0" t="n">
        <v>0</v>
      </c>
      <c r="J1010" s="0" t="n">
        <v>0</v>
      </c>
      <c r="K1010" s="0" t="n">
        <v>2</v>
      </c>
      <c r="L1010" s="0" t="n">
        <v>2</v>
      </c>
    </row>
    <row r="1011" customFormat="false" ht="15" hidden="false" customHeight="false" outlineLevel="0" collapsed="false">
      <c r="A1011" s="5" t="n">
        <v>40358</v>
      </c>
      <c r="B1011" s="6" t="s">
        <v>130</v>
      </c>
      <c r="C1011" s="6" t="s">
        <v>132</v>
      </c>
      <c r="D1011" s="0" t="n">
        <v>346.149380281545</v>
      </c>
      <c r="E1011" s="0" t="n">
        <v>4.7025</v>
      </c>
      <c r="F1011" s="0" t="n">
        <v>1</v>
      </c>
      <c r="G1011" s="0" t="n">
        <v>0</v>
      </c>
      <c r="H1011" s="0" t="n">
        <v>0</v>
      </c>
      <c r="I1011" s="0" t="n">
        <v>1</v>
      </c>
      <c r="J1011" s="0" t="n">
        <v>0</v>
      </c>
      <c r="K1011" s="0" t="n">
        <v>2</v>
      </c>
      <c r="L1011" s="0" t="n">
        <v>2</v>
      </c>
    </row>
    <row r="1012" customFormat="false" ht="15" hidden="false" customHeight="false" outlineLevel="0" collapsed="false">
      <c r="A1012" s="5" t="n">
        <v>40365</v>
      </c>
      <c r="B1012" s="6" t="s">
        <v>130</v>
      </c>
      <c r="C1012" s="6" t="s">
        <v>132</v>
      </c>
      <c r="D1012" s="0" t="n">
        <v>371.485301537995</v>
      </c>
      <c r="E1012" s="0" t="n">
        <v>3.587857143</v>
      </c>
      <c r="F1012" s="0" t="n">
        <v>1</v>
      </c>
      <c r="G1012" s="0" t="n">
        <v>0</v>
      </c>
      <c r="H1012" s="0" t="n">
        <v>0</v>
      </c>
      <c r="I1012" s="0" t="n">
        <v>1</v>
      </c>
      <c r="J1012" s="0" t="n">
        <v>0</v>
      </c>
      <c r="K1012" s="0" t="n">
        <v>2</v>
      </c>
      <c r="L1012" s="0" t="n">
        <v>2</v>
      </c>
    </row>
    <row r="1013" customFormat="false" ht="15" hidden="false" customHeight="false" outlineLevel="0" collapsed="false">
      <c r="A1013" s="5" t="n">
        <v>40372</v>
      </c>
      <c r="B1013" s="6" t="s">
        <v>130</v>
      </c>
      <c r="C1013" s="6" t="s">
        <v>132</v>
      </c>
      <c r="D1013" s="0" t="n">
        <v>302.607085168187</v>
      </c>
      <c r="E1013" s="0" t="n">
        <v>3.845</v>
      </c>
      <c r="F1013" s="0" t="n">
        <v>1</v>
      </c>
      <c r="G1013" s="0" t="n">
        <v>0</v>
      </c>
      <c r="H1013" s="0" t="n">
        <v>0</v>
      </c>
      <c r="I1013" s="0" t="n">
        <v>1</v>
      </c>
      <c r="J1013" s="0" t="n">
        <v>0</v>
      </c>
      <c r="K1013" s="0" t="n">
        <v>2</v>
      </c>
      <c r="L1013" s="0" t="n">
        <v>2</v>
      </c>
    </row>
    <row r="1014" customFormat="false" ht="15" hidden="false" customHeight="false" outlineLevel="0" collapsed="false">
      <c r="A1014" s="5" t="n">
        <v>40302</v>
      </c>
      <c r="B1014" s="6" t="s">
        <v>130</v>
      </c>
      <c r="C1014" s="6" t="s">
        <v>133</v>
      </c>
      <c r="D1014" s="0" t="n">
        <v>145.783360792157</v>
      </c>
      <c r="E1014" s="0" t="n">
        <v>5.39</v>
      </c>
      <c r="F1014" s="0" t="n">
        <v>1</v>
      </c>
      <c r="G1014" s="0" t="n">
        <v>0</v>
      </c>
      <c r="H1014" s="0" t="n">
        <v>0</v>
      </c>
      <c r="I1014" s="0" t="n">
        <v>0</v>
      </c>
      <c r="J1014" s="0" t="n">
        <v>0</v>
      </c>
      <c r="K1014" s="0" t="n">
        <v>1</v>
      </c>
      <c r="L1014" s="0" t="n">
        <v>1</v>
      </c>
    </row>
    <row r="1015" customFormat="false" ht="15" hidden="false" customHeight="false" outlineLevel="0" collapsed="false">
      <c r="A1015" s="5" t="n">
        <v>40309</v>
      </c>
      <c r="B1015" s="6" t="s">
        <v>130</v>
      </c>
      <c r="C1015" s="6" t="s">
        <v>133</v>
      </c>
      <c r="D1015" s="0" t="n">
        <v>309.052762469541</v>
      </c>
      <c r="E1015" s="0" t="n">
        <v>5.018571429</v>
      </c>
      <c r="F1015" s="0" t="n">
        <v>1</v>
      </c>
      <c r="G1015" s="0" t="n">
        <v>0</v>
      </c>
      <c r="H1015" s="0" t="n">
        <v>0</v>
      </c>
      <c r="I1015" s="0" t="n">
        <v>0</v>
      </c>
      <c r="J1015" s="0" t="n">
        <v>0</v>
      </c>
      <c r="K1015" s="0" t="n">
        <v>1</v>
      </c>
      <c r="L1015" s="0" t="n">
        <v>1</v>
      </c>
    </row>
    <row r="1016" customFormat="false" ht="15" hidden="false" customHeight="false" outlineLevel="0" collapsed="false">
      <c r="A1016" s="5" t="n">
        <v>40316</v>
      </c>
      <c r="B1016" s="6" t="s">
        <v>130</v>
      </c>
      <c r="C1016" s="6" t="s">
        <v>133</v>
      </c>
      <c r="D1016" s="0" t="n">
        <v>154.597880847853</v>
      </c>
      <c r="E1016" s="0" t="n">
        <v>5.215</v>
      </c>
      <c r="F1016" s="0" t="n">
        <v>1</v>
      </c>
      <c r="G1016" s="0" t="n">
        <v>0</v>
      </c>
      <c r="H1016" s="0" t="n">
        <v>0</v>
      </c>
      <c r="I1016" s="0" t="n">
        <v>0</v>
      </c>
      <c r="J1016" s="0" t="n">
        <v>0</v>
      </c>
      <c r="K1016" s="0" t="n">
        <v>1</v>
      </c>
      <c r="L1016" s="0" t="n">
        <v>1</v>
      </c>
    </row>
    <row r="1017" customFormat="false" ht="15" hidden="false" customHeight="false" outlineLevel="0" collapsed="false">
      <c r="A1017" s="5" t="n">
        <v>40323</v>
      </c>
      <c r="B1017" s="6" t="s">
        <v>130</v>
      </c>
      <c r="C1017" s="6" t="s">
        <v>133</v>
      </c>
      <c r="D1017" s="0" t="n">
        <v>247.725645613501</v>
      </c>
      <c r="E1017" s="0" t="n">
        <v>4.881666667</v>
      </c>
      <c r="F1017" s="0" t="n">
        <v>1</v>
      </c>
      <c r="G1017" s="0" t="n">
        <v>0</v>
      </c>
      <c r="H1017" s="0" t="n">
        <v>0</v>
      </c>
      <c r="I1017" s="0" t="n">
        <v>0</v>
      </c>
      <c r="J1017" s="0" t="n">
        <v>0</v>
      </c>
      <c r="K1017" s="0" t="n">
        <v>1</v>
      </c>
      <c r="L1017" s="0" t="n">
        <v>1</v>
      </c>
    </row>
    <row r="1018" customFormat="false" ht="15" hidden="false" customHeight="false" outlineLevel="0" collapsed="false">
      <c r="A1018" s="5" t="n">
        <v>40330</v>
      </c>
      <c r="B1018" s="6" t="s">
        <v>130</v>
      </c>
      <c r="C1018" s="6" t="s">
        <v>133</v>
      </c>
      <c r="D1018" s="0" t="n">
        <v>227.992363294727</v>
      </c>
      <c r="E1018" s="0" t="n">
        <v>3.966666667</v>
      </c>
      <c r="F1018" s="0" t="n">
        <v>1</v>
      </c>
      <c r="G1018" s="0" t="n">
        <v>0</v>
      </c>
      <c r="H1018" s="0" t="n">
        <v>0</v>
      </c>
      <c r="I1018" s="0" t="n">
        <v>0</v>
      </c>
      <c r="J1018" s="0" t="n">
        <v>0</v>
      </c>
      <c r="K1018" s="0" t="n">
        <v>1</v>
      </c>
      <c r="L1018" s="0" t="n">
        <v>1</v>
      </c>
    </row>
    <row r="1019" customFormat="false" ht="15" hidden="false" customHeight="false" outlineLevel="0" collapsed="false">
      <c r="A1019" s="5" t="n">
        <v>40337</v>
      </c>
      <c r="B1019" s="6" t="s">
        <v>130</v>
      </c>
      <c r="C1019" s="6" t="s">
        <v>133</v>
      </c>
      <c r="D1019" s="0" t="n">
        <v>226.596496846634</v>
      </c>
      <c r="E1019" s="0" t="n">
        <v>3.997692308</v>
      </c>
      <c r="F1019" s="0" t="n">
        <v>1</v>
      </c>
      <c r="G1019" s="0" t="n">
        <v>0</v>
      </c>
      <c r="H1019" s="0" t="n">
        <v>0</v>
      </c>
      <c r="I1019" s="0" t="n">
        <v>0</v>
      </c>
      <c r="J1019" s="0" t="n">
        <v>0</v>
      </c>
      <c r="K1019" s="0" t="n">
        <v>1</v>
      </c>
      <c r="L1019" s="0" t="n">
        <v>1</v>
      </c>
    </row>
    <row r="1020" customFormat="false" ht="15" hidden="false" customHeight="false" outlineLevel="0" collapsed="false">
      <c r="A1020" s="5" t="n">
        <v>40344</v>
      </c>
      <c r="B1020" s="6" t="s">
        <v>130</v>
      </c>
      <c r="C1020" s="6" t="s">
        <v>133</v>
      </c>
      <c r="D1020" s="0" t="n">
        <v>233.315210820971</v>
      </c>
      <c r="E1020" s="0" t="n">
        <v>4.895882353</v>
      </c>
      <c r="F1020" s="0" t="n">
        <v>1</v>
      </c>
      <c r="G1020" s="0" t="n">
        <v>0</v>
      </c>
      <c r="H1020" s="0" t="n">
        <v>0</v>
      </c>
      <c r="I1020" s="0" t="n">
        <v>0</v>
      </c>
      <c r="J1020" s="0" t="n">
        <v>0</v>
      </c>
      <c r="K1020" s="0" t="n">
        <v>1</v>
      </c>
      <c r="L1020" s="0" t="n">
        <v>1</v>
      </c>
    </row>
    <row r="1021" customFormat="false" ht="15" hidden="false" customHeight="false" outlineLevel="0" collapsed="false">
      <c r="A1021" s="5" t="n">
        <v>40351</v>
      </c>
      <c r="B1021" s="6" t="s">
        <v>130</v>
      </c>
      <c r="C1021" s="6" t="s">
        <v>133</v>
      </c>
      <c r="D1021" s="0" t="n">
        <v>215.207226205082</v>
      </c>
      <c r="E1021" s="0" t="n">
        <v>4.9275</v>
      </c>
      <c r="F1021" s="0" t="n">
        <v>1</v>
      </c>
      <c r="G1021" s="0" t="n">
        <v>0</v>
      </c>
      <c r="H1021" s="0" t="n">
        <v>0</v>
      </c>
      <c r="I1021" s="0" t="n">
        <v>0</v>
      </c>
      <c r="J1021" s="0" t="n">
        <v>0</v>
      </c>
      <c r="K1021" s="0" t="n">
        <v>1</v>
      </c>
      <c r="L1021" s="0" t="n">
        <v>1</v>
      </c>
    </row>
    <row r="1022" customFormat="false" ht="15" hidden="false" customHeight="false" outlineLevel="0" collapsed="false">
      <c r="A1022" s="5" t="n">
        <v>40358</v>
      </c>
      <c r="B1022" s="6" t="s">
        <v>130</v>
      </c>
      <c r="C1022" s="6" t="s">
        <v>133</v>
      </c>
      <c r="D1022" s="0" t="n">
        <v>233.414541175179</v>
      </c>
      <c r="E1022" s="0" t="n">
        <v>4.316666667</v>
      </c>
      <c r="F1022" s="0" t="n">
        <v>1</v>
      </c>
      <c r="G1022" s="0" t="n">
        <v>0</v>
      </c>
      <c r="H1022" s="0" t="n">
        <v>0</v>
      </c>
      <c r="I1022" s="0" t="n">
        <v>0</v>
      </c>
      <c r="J1022" s="0" t="n">
        <v>0</v>
      </c>
      <c r="K1022" s="0" t="n">
        <v>1</v>
      </c>
      <c r="L1022" s="0" t="n">
        <v>1</v>
      </c>
    </row>
    <row r="1023" customFormat="false" ht="15" hidden="false" customHeight="false" outlineLevel="0" collapsed="false">
      <c r="A1023" s="5" t="n">
        <v>40365</v>
      </c>
      <c r="B1023" s="6" t="s">
        <v>130</v>
      </c>
      <c r="C1023" s="6" t="s">
        <v>133</v>
      </c>
      <c r="D1023" s="0" t="n">
        <v>297.117692315788</v>
      </c>
      <c r="E1023" s="0" t="n">
        <v>4.121333333</v>
      </c>
      <c r="F1023" s="0" t="n">
        <v>1</v>
      </c>
      <c r="G1023" s="0" t="n">
        <v>0</v>
      </c>
      <c r="H1023" s="0" t="n">
        <v>0</v>
      </c>
      <c r="I1023" s="0" t="n">
        <v>0</v>
      </c>
      <c r="J1023" s="0" t="n">
        <v>0</v>
      </c>
      <c r="K1023" s="0" t="n">
        <v>1</v>
      </c>
      <c r="L1023" s="0" t="n">
        <v>1</v>
      </c>
    </row>
    <row r="1024" customFormat="false" ht="15" hidden="false" customHeight="false" outlineLevel="0" collapsed="false">
      <c r="A1024" s="5" t="n">
        <v>40372</v>
      </c>
      <c r="B1024" s="6" t="s">
        <v>130</v>
      </c>
      <c r="C1024" s="6" t="s">
        <v>133</v>
      </c>
      <c r="D1024" s="0" t="n">
        <v>258.462308843328</v>
      </c>
      <c r="E1024" s="0" t="n">
        <v>4.680666667</v>
      </c>
      <c r="F1024" s="0" t="n">
        <v>1</v>
      </c>
      <c r="G1024" s="0" t="n">
        <v>0</v>
      </c>
      <c r="H1024" s="0" t="n">
        <v>0</v>
      </c>
      <c r="I1024" s="0" t="n">
        <v>0</v>
      </c>
      <c r="J1024" s="0" t="n">
        <v>0</v>
      </c>
      <c r="K1024" s="0" t="n">
        <v>1</v>
      </c>
      <c r="L1024" s="0" t="n">
        <v>1</v>
      </c>
    </row>
    <row r="1025" customFormat="false" ht="15" hidden="false" customHeight="false" outlineLevel="0" collapsed="false">
      <c r="A1025" s="5" t="n">
        <v>40302</v>
      </c>
      <c r="B1025" s="6" t="s">
        <v>130</v>
      </c>
      <c r="C1025" s="6" t="s">
        <v>134</v>
      </c>
      <c r="D1025" s="0" t="n">
        <v>336.221332227382</v>
      </c>
      <c r="E1025" s="0" t="n">
        <v>4.317272727</v>
      </c>
      <c r="F1025" s="0" t="n">
        <v>1</v>
      </c>
      <c r="G1025" s="0" t="n">
        <v>0</v>
      </c>
      <c r="H1025" s="0" t="n">
        <v>0</v>
      </c>
      <c r="I1025" s="0" t="n">
        <v>0</v>
      </c>
      <c r="J1025" s="0" t="n">
        <v>1</v>
      </c>
      <c r="K1025" s="0" t="n">
        <v>2</v>
      </c>
      <c r="L1025" s="0" t="n">
        <v>4</v>
      </c>
    </row>
    <row r="1026" customFormat="false" ht="15" hidden="false" customHeight="false" outlineLevel="0" collapsed="false">
      <c r="A1026" s="5" t="n">
        <v>40309</v>
      </c>
      <c r="B1026" s="6" t="s">
        <v>130</v>
      </c>
      <c r="C1026" s="6" t="s">
        <v>134</v>
      </c>
      <c r="D1026" s="0" t="n">
        <v>364.174539041513</v>
      </c>
      <c r="E1026" s="0" t="n">
        <v>4.523333333</v>
      </c>
      <c r="F1026" s="0" t="n">
        <v>1</v>
      </c>
      <c r="G1026" s="0" t="n">
        <v>0</v>
      </c>
      <c r="H1026" s="0" t="n">
        <v>0</v>
      </c>
      <c r="I1026" s="0" t="n">
        <v>0</v>
      </c>
      <c r="J1026" s="0" t="n">
        <v>1</v>
      </c>
      <c r="K1026" s="0" t="n">
        <v>2</v>
      </c>
      <c r="L1026" s="0" t="n">
        <v>4</v>
      </c>
    </row>
    <row r="1027" customFormat="false" ht="15" hidden="false" customHeight="false" outlineLevel="0" collapsed="false">
      <c r="A1027" s="5" t="n">
        <v>40316</v>
      </c>
      <c r="B1027" s="6" t="s">
        <v>130</v>
      </c>
      <c r="C1027" s="6" t="s">
        <v>134</v>
      </c>
      <c r="D1027" s="0" t="n">
        <v>291.194798828485</v>
      </c>
      <c r="E1027" s="0" t="n">
        <v>4.946923077</v>
      </c>
      <c r="F1027" s="0" t="n">
        <v>1</v>
      </c>
      <c r="G1027" s="0" t="n">
        <v>0</v>
      </c>
      <c r="H1027" s="0" t="n">
        <v>1</v>
      </c>
      <c r="I1027" s="0" t="n">
        <v>0</v>
      </c>
      <c r="J1027" s="0" t="n">
        <v>0</v>
      </c>
      <c r="K1027" s="0" t="n">
        <v>2</v>
      </c>
      <c r="L1027" s="0" t="n">
        <v>4</v>
      </c>
    </row>
    <row r="1028" customFormat="false" ht="15" hidden="false" customHeight="false" outlineLevel="0" collapsed="false">
      <c r="A1028" s="5" t="n">
        <v>40323</v>
      </c>
      <c r="B1028" s="6" t="s">
        <v>130</v>
      </c>
      <c r="C1028" s="6" t="s">
        <v>134</v>
      </c>
      <c r="D1028" s="0" t="n">
        <v>279.629642512198</v>
      </c>
      <c r="E1028" s="0" t="n">
        <v>4.693846154</v>
      </c>
      <c r="F1028" s="0" t="n">
        <v>1</v>
      </c>
      <c r="G1028" s="0" t="n">
        <v>0</v>
      </c>
      <c r="H1028" s="0" t="n">
        <v>0</v>
      </c>
      <c r="I1028" s="0" t="n">
        <v>1</v>
      </c>
      <c r="J1028" s="0" t="n">
        <v>0</v>
      </c>
      <c r="K1028" s="0" t="n">
        <v>2</v>
      </c>
      <c r="L1028" s="0" t="n">
        <v>4</v>
      </c>
    </row>
    <row r="1029" customFormat="false" ht="15" hidden="false" customHeight="false" outlineLevel="0" collapsed="false">
      <c r="A1029" s="5" t="n">
        <v>40330</v>
      </c>
      <c r="B1029" s="6" t="s">
        <v>130</v>
      </c>
      <c r="C1029" s="6" t="s">
        <v>134</v>
      </c>
      <c r="D1029" s="0" t="n">
        <v>328.564645072214</v>
      </c>
      <c r="E1029" s="0" t="n">
        <v>4.843571429</v>
      </c>
      <c r="F1029" s="0" t="n">
        <v>1</v>
      </c>
      <c r="G1029" s="0" t="n">
        <v>0</v>
      </c>
      <c r="H1029" s="0" t="n">
        <v>0</v>
      </c>
      <c r="I1029" s="0" t="n">
        <v>1</v>
      </c>
      <c r="J1029" s="0" t="n">
        <v>0</v>
      </c>
      <c r="K1029" s="0" t="n">
        <v>2</v>
      </c>
      <c r="L1029" s="0" t="n">
        <v>4</v>
      </c>
    </row>
    <row r="1030" customFormat="false" ht="15" hidden="false" customHeight="false" outlineLevel="0" collapsed="false">
      <c r="A1030" s="5" t="n">
        <v>40337</v>
      </c>
      <c r="B1030" s="6" t="s">
        <v>130</v>
      </c>
      <c r="C1030" s="6" t="s">
        <v>134</v>
      </c>
      <c r="D1030" s="0" t="n">
        <v>329.402328188213</v>
      </c>
      <c r="E1030" s="0" t="n">
        <v>4.7025</v>
      </c>
      <c r="F1030" s="0" t="n">
        <v>1</v>
      </c>
      <c r="G1030" s="0" t="n">
        <v>0</v>
      </c>
      <c r="H1030" s="0" t="n">
        <v>0</v>
      </c>
      <c r="I1030" s="0" t="n">
        <v>1</v>
      </c>
      <c r="J1030" s="0" t="n">
        <v>0</v>
      </c>
      <c r="K1030" s="0" t="n">
        <v>2</v>
      </c>
      <c r="L1030" s="0" t="n">
        <v>4</v>
      </c>
    </row>
    <row r="1031" customFormat="false" ht="15" hidden="false" customHeight="false" outlineLevel="0" collapsed="false">
      <c r="A1031" s="5" t="n">
        <v>40344</v>
      </c>
      <c r="B1031" s="6" t="s">
        <v>130</v>
      </c>
      <c r="C1031" s="6" t="s">
        <v>134</v>
      </c>
      <c r="D1031" s="0" t="n">
        <v>211.372934654636</v>
      </c>
      <c r="E1031" s="0" t="n">
        <v>4.895882353</v>
      </c>
      <c r="F1031" s="0" t="n">
        <v>1</v>
      </c>
      <c r="G1031" s="0" t="n">
        <v>0</v>
      </c>
      <c r="H1031" s="0" t="n">
        <v>0</v>
      </c>
      <c r="I1031" s="0" t="n">
        <v>0</v>
      </c>
      <c r="J1031" s="0" t="n">
        <v>1</v>
      </c>
      <c r="K1031" s="0" t="n">
        <v>2</v>
      </c>
      <c r="L1031" s="0" t="n">
        <v>4</v>
      </c>
    </row>
    <row r="1032" customFormat="false" ht="15" hidden="false" customHeight="false" outlineLevel="0" collapsed="false">
      <c r="A1032" s="5" t="n">
        <v>40351</v>
      </c>
      <c r="B1032" s="6" t="s">
        <v>130</v>
      </c>
      <c r="C1032" s="6" t="s">
        <v>134</v>
      </c>
      <c r="D1032" s="0" t="n">
        <v>428.350160527556</v>
      </c>
      <c r="E1032" s="0" t="n">
        <v>4.025714286</v>
      </c>
      <c r="F1032" s="0" t="n">
        <v>1</v>
      </c>
      <c r="G1032" s="0" t="n">
        <v>0</v>
      </c>
      <c r="H1032" s="0" t="n">
        <v>1</v>
      </c>
      <c r="I1032" s="0" t="n">
        <v>0</v>
      </c>
      <c r="J1032" s="0" t="n">
        <v>1</v>
      </c>
      <c r="K1032" s="0" t="n">
        <v>2</v>
      </c>
      <c r="L1032" s="0" t="n">
        <v>4</v>
      </c>
    </row>
    <row r="1033" customFormat="false" ht="15" hidden="false" customHeight="false" outlineLevel="0" collapsed="false">
      <c r="A1033" s="5" t="n">
        <v>40358</v>
      </c>
      <c r="B1033" s="6" t="s">
        <v>130</v>
      </c>
      <c r="C1033" s="6" t="s">
        <v>134</v>
      </c>
      <c r="D1033" s="0" t="n">
        <v>412.791784429063</v>
      </c>
      <c r="E1033" s="0" t="n">
        <v>4.836666667</v>
      </c>
      <c r="F1033" s="0" t="n">
        <v>1</v>
      </c>
      <c r="G1033" s="0" t="n">
        <v>0</v>
      </c>
      <c r="H1033" s="0" t="n">
        <v>1</v>
      </c>
      <c r="I1033" s="0" t="n">
        <v>1</v>
      </c>
      <c r="J1033" s="0" t="n">
        <v>0</v>
      </c>
      <c r="K1033" s="0" t="n">
        <v>2</v>
      </c>
      <c r="L1033" s="0" t="n">
        <v>4</v>
      </c>
    </row>
    <row r="1034" customFormat="false" ht="15" hidden="false" customHeight="false" outlineLevel="0" collapsed="false">
      <c r="A1034" s="5" t="n">
        <v>40365</v>
      </c>
      <c r="B1034" s="6" t="s">
        <v>130</v>
      </c>
      <c r="C1034" s="6" t="s">
        <v>134</v>
      </c>
      <c r="D1034" s="0" t="n">
        <v>328.221083027482</v>
      </c>
      <c r="E1034" s="0" t="n">
        <v>4.247333333</v>
      </c>
      <c r="F1034" s="0" t="n">
        <v>1</v>
      </c>
      <c r="G1034" s="0" t="n">
        <v>0</v>
      </c>
      <c r="H1034" s="0" t="n">
        <v>0</v>
      </c>
      <c r="I1034" s="0" t="n">
        <v>1</v>
      </c>
      <c r="J1034" s="0" t="n">
        <v>0</v>
      </c>
      <c r="K1034" s="0" t="n">
        <v>2</v>
      </c>
      <c r="L1034" s="0" t="n">
        <v>4</v>
      </c>
    </row>
    <row r="1035" customFormat="false" ht="15" hidden="false" customHeight="false" outlineLevel="0" collapsed="false">
      <c r="A1035" s="5" t="n">
        <v>40372</v>
      </c>
      <c r="B1035" s="6" t="s">
        <v>130</v>
      </c>
      <c r="C1035" s="6" t="s">
        <v>134</v>
      </c>
      <c r="D1035" s="0" t="n">
        <v>269.833989335756</v>
      </c>
      <c r="E1035" s="0" t="n">
        <v>4.544375</v>
      </c>
      <c r="F1035" s="0" t="n">
        <v>1</v>
      </c>
      <c r="G1035" s="0" t="n">
        <v>0</v>
      </c>
      <c r="H1035" s="0" t="n">
        <v>0</v>
      </c>
      <c r="I1035" s="0" t="n">
        <v>1</v>
      </c>
      <c r="J1035" s="0" t="n">
        <v>0</v>
      </c>
      <c r="K1035" s="0" t="n">
        <v>2</v>
      </c>
      <c r="L1035" s="0" t="n">
        <v>4</v>
      </c>
    </row>
    <row r="1036" customFormat="false" ht="15" hidden="false" customHeight="false" outlineLevel="0" collapsed="false">
      <c r="A1036" s="5" t="n">
        <v>40302</v>
      </c>
      <c r="B1036" s="6" t="s">
        <v>130</v>
      </c>
      <c r="C1036" s="6" t="s">
        <v>135</v>
      </c>
      <c r="D1036" s="0" t="n">
        <v>286.138291909528</v>
      </c>
      <c r="E1036" s="0" t="n">
        <v>4.062727273</v>
      </c>
      <c r="F1036" s="0" t="n">
        <v>1</v>
      </c>
      <c r="G1036" s="0" t="n">
        <v>0</v>
      </c>
      <c r="H1036" s="0" t="n">
        <v>0</v>
      </c>
      <c r="I1036" s="0" t="n">
        <v>0</v>
      </c>
      <c r="J1036" s="0" t="n">
        <v>0</v>
      </c>
      <c r="K1036" s="0" t="n">
        <v>0</v>
      </c>
      <c r="L1036" s="0" t="n">
        <v>3</v>
      </c>
    </row>
    <row r="1037" customFormat="false" ht="15" hidden="false" customHeight="false" outlineLevel="0" collapsed="false">
      <c r="A1037" s="5" t="n">
        <v>40309</v>
      </c>
      <c r="B1037" s="6" t="s">
        <v>130</v>
      </c>
      <c r="C1037" s="6" t="s">
        <v>135</v>
      </c>
      <c r="D1037" s="0" t="n">
        <v>100.099760829136</v>
      </c>
      <c r="E1037" s="0" t="n">
        <v>4.723333333</v>
      </c>
      <c r="F1037" s="0" t="n">
        <v>1</v>
      </c>
      <c r="G1037" s="0" t="n">
        <v>0</v>
      </c>
      <c r="H1037" s="0" t="n">
        <v>0</v>
      </c>
      <c r="I1037" s="0" t="n">
        <v>0</v>
      </c>
      <c r="J1037" s="0" t="n">
        <v>0</v>
      </c>
      <c r="K1037" s="0" t="n">
        <v>0</v>
      </c>
      <c r="L1037" s="0" t="n">
        <v>3</v>
      </c>
    </row>
    <row r="1038" customFormat="false" ht="15" hidden="false" customHeight="false" outlineLevel="0" collapsed="false">
      <c r="A1038" s="5" t="n">
        <v>40316</v>
      </c>
      <c r="B1038" s="6" t="s">
        <v>130</v>
      </c>
      <c r="C1038" s="6" t="s">
        <v>135</v>
      </c>
      <c r="D1038" s="0" t="n">
        <v>202.211777814886</v>
      </c>
      <c r="E1038" s="0" t="n">
        <v>4.094545455</v>
      </c>
      <c r="F1038" s="0" t="n">
        <v>1</v>
      </c>
      <c r="G1038" s="0" t="n">
        <v>0</v>
      </c>
      <c r="H1038" s="0" t="n">
        <v>0</v>
      </c>
      <c r="I1038" s="0" t="n">
        <v>0</v>
      </c>
      <c r="J1038" s="0" t="n">
        <v>0</v>
      </c>
      <c r="K1038" s="0" t="n">
        <v>0</v>
      </c>
      <c r="L1038" s="0" t="n">
        <v>3</v>
      </c>
    </row>
    <row r="1039" customFormat="false" ht="15" hidden="false" customHeight="false" outlineLevel="0" collapsed="false">
      <c r="A1039" s="5" t="n">
        <v>40323</v>
      </c>
      <c r="B1039" s="6" t="s">
        <v>130</v>
      </c>
      <c r="C1039" s="6" t="s">
        <v>135</v>
      </c>
      <c r="D1039" s="0" t="n">
        <v>277.051843529044</v>
      </c>
      <c r="E1039" s="0" t="n">
        <v>4.058181818</v>
      </c>
      <c r="F1039" s="0" t="n">
        <v>1</v>
      </c>
      <c r="G1039" s="0" t="n">
        <v>0</v>
      </c>
      <c r="H1039" s="0" t="n">
        <v>1</v>
      </c>
      <c r="I1039" s="0" t="n">
        <v>0</v>
      </c>
      <c r="J1039" s="0" t="n">
        <v>0</v>
      </c>
      <c r="K1039" s="0" t="n">
        <v>0</v>
      </c>
      <c r="L1039" s="0" t="n">
        <v>3</v>
      </c>
    </row>
    <row r="1040" customFormat="false" ht="15" hidden="false" customHeight="false" outlineLevel="0" collapsed="false">
      <c r="A1040" s="5" t="n">
        <v>40330</v>
      </c>
      <c r="B1040" s="6" t="s">
        <v>130</v>
      </c>
      <c r="C1040" s="6" t="s">
        <v>135</v>
      </c>
      <c r="D1040" s="0" t="n">
        <v>432.890252583771</v>
      </c>
      <c r="E1040" s="0" t="n">
        <v>3.84</v>
      </c>
      <c r="F1040" s="0" t="n">
        <v>1</v>
      </c>
      <c r="G1040" s="0" t="n">
        <v>0</v>
      </c>
      <c r="H1040" s="0" t="n">
        <v>1</v>
      </c>
      <c r="I1040" s="0" t="n">
        <v>1</v>
      </c>
      <c r="J1040" s="0" t="n">
        <v>0</v>
      </c>
      <c r="K1040" s="0" t="n">
        <v>0</v>
      </c>
      <c r="L1040" s="0" t="n">
        <v>3</v>
      </c>
    </row>
    <row r="1041" customFormat="false" ht="15" hidden="false" customHeight="false" outlineLevel="0" collapsed="false">
      <c r="A1041" s="5" t="n">
        <v>40337</v>
      </c>
      <c r="B1041" s="6" t="s">
        <v>130</v>
      </c>
      <c r="C1041" s="6" t="s">
        <v>135</v>
      </c>
      <c r="D1041" s="0" t="n">
        <v>427.792626135055</v>
      </c>
      <c r="E1041" s="0" t="n">
        <v>5.166923077</v>
      </c>
      <c r="F1041" s="0" t="n">
        <v>1</v>
      </c>
      <c r="G1041" s="0" t="n">
        <v>0</v>
      </c>
      <c r="H1041" s="0" t="n">
        <v>1</v>
      </c>
      <c r="I1041" s="0" t="n">
        <v>1</v>
      </c>
      <c r="J1041" s="0" t="n">
        <v>0</v>
      </c>
      <c r="K1041" s="0" t="n">
        <v>0</v>
      </c>
      <c r="L1041" s="0" t="n">
        <v>3</v>
      </c>
    </row>
    <row r="1042" customFormat="false" ht="15" hidden="false" customHeight="false" outlineLevel="0" collapsed="false">
      <c r="A1042" s="5" t="n">
        <v>40344</v>
      </c>
      <c r="B1042" s="6" t="s">
        <v>130</v>
      </c>
      <c r="C1042" s="6" t="s">
        <v>135</v>
      </c>
      <c r="D1042" s="0" t="n">
        <v>241.046743930231</v>
      </c>
      <c r="E1042" s="0" t="n">
        <v>4.05</v>
      </c>
      <c r="F1042" s="0" t="n">
        <v>1</v>
      </c>
      <c r="G1042" s="0" t="n">
        <v>0</v>
      </c>
      <c r="H1042" s="0" t="n">
        <v>0</v>
      </c>
      <c r="I1042" s="0" t="n">
        <v>1</v>
      </c>
      <c r="J1042" s="0" t="n">
        <v>0</v>
      </c>
      <c r="K1042" s="0" t="n">
        <v>0</v>
      </c>
      <c r="L1042" s="0" t="n">
        <v>3</v>
      </c>
    </row>
    <row r="1043" customFormat="false" ht="15" hidden="false" customHeight="false" outlineLevel="0" collapsed="false">
      <c r="A1043" s="5" t="n">
        <v>40351</v>
      </c>
      <c r="B1043" s="6" t="s">
        <v>130</v>
      </c>
      <c r="C1043" s="6" t="s">
        <v>135</v>
      </c>
      <c r="D1043" s="0" t="n">
        <v>556.55004166699</v>
      </c>
      <c r="E1043" s="0" t="n">
        <v>3.851538462</v>
      </c>
      <c r="F1043" s="0" t="n">
        <v>1</v>
      </c>
      <c r="G1043" s="0" t="n">
        <v>0</v>
      </c>
      <c r="H1043" s="0" t="n">
        <v>1</v>
      </c>
      <c r="I1043" s="0" t="n">
        <v>1</v>
      </c>
      <c r="J1043" s="0" t="n">
        <v>1</v>
      </c>
      <c r="K1043" s="0" t="n">
        <v>0</v>
      </c>
      <c r="L1043" s="0" t="n">
        <v>3</v>
      </c>
    </row>
    <row r="1044" customFormat="false" ht="15" hidden="false" customHeight="false" outlineLevel="0" collapsed="false">
      <c r="A1044" s="5" t="n">
        <v>40358</v>
      </c>
      <c r="B1044" s="6" t="s">
        <v>130</v>
      </c>
      <c r="C1044" s="6" t="s">
        <v>135</v>
      </c>
      <c r="D1044" s="0" t="n">
        <v>309.999666291099</v>
      </c>
      <c r="E1044" s="0" t="n">
        <v>3.851538462</v>
      </c>
      <c r="F1044" s="0" t="n">
        <v>1</v>
      </c>
      <c r="G1044" s="0" t="n">
        <v>0</v>
      </c>
      <c r="H1044" s="0" t="n">
        <v>0</v>
      </c>
      <c r="I1044" s="0" t="n">
        <v>1</v>
      </c>
      <c r="J1044" s="0" t="n">
        <v>1</v>
      </c>
      <c r="K1044" s="0" t="n">
        <v>0</v>
      </c>
      <c r="L1044" s="0" t="n">
        <v>3</v>
      </c>
    </row>
    <row r="1045" customFormat="false" ht="15" hidden="false" customHeight="false" outlineLevel="0" collapsed="false">
      <c r="A1045" s="5" t="n">
        <v>40365</v>
      </c>
      <c r="B1045" s="6" t="s">
        <v>130</v>
      </c>
      <c r="C1045" s="6" t="s">
        <v>135</v>
      </c>
      <c r="D1045" s="0" t="n">
        <v>409.7356779298</v>
      </c>
      <c r="E1045" s="0" t="n">
        <v>4.444285714</v>
      </c>
      <c r="F1045" s="0" t="n">
        <v>1</v>
      </c>
      <c r="G1045" s="0" t="n">
        <v>0</v>
      </c>
      <c r="H1045" s="0" t="n">
        <v>0</v>
      </c>
      <c r="I1045" s="0" t="n">
        <v>1</v>
      </c>
      <c r="J1045" s="0" t="n">
        <v>1</v>
      </c>
      <c r="K1045" s="0" t="n">
        <v>0</v>
      </c>
      <c r="L1045" s="0" t="n">
        <v>3</v>
      </c>
    </row>
    <row r="1046" customFormat="false" ht="15" hidden="false" customHeight="false" outlineLevel="0" collapsed="false">
      <c r="A1046" s="5" t="n">
        <v>40372</v>
      </c>
      <c r="B1046" s="6" t="s">
        <v>130</v>
      </c>
      <c r="C1046" s="6" t="s">
        <v>135</v>
      </c>
      <c r="D1046" s="0" t="n">
        <v>347.358257893989</v>
      </c>
      <c r="E1046" s="0" t="n">
        <v>4.314666667</v>
      </c>
      <c r="F1046" s="0" t="n">
        <v>1</v>
      </c>
      <c r="G1046" s="0" t="n">
        <v>0</v>
      </c>
      <c r="H1046" s="0" t="n">
        <v>0</v>
      </c>
      <c r="I1046" s="0" t="n">
        <v>1</v>
      </c>
      <c r="J1046" s="0" t="n">
        <v>1</v>
      </c>
      <c r="K1046" s="0" t="n">
        <v>0</v>
      </c>
      <c r="L1046" s="0" t="n">
        <v>3</v>
      </c>
    </row>
    <row r="1047" customFormat="false" ht="15" hidden="false" customHeight="false" outlineLevel="0" collapsed="false">
      <c r="A1047" s="5" t="n">
        <v>40302</v>
      </c>
      <c r="B1047" s="6" t="s">
        <v>130</v>
      </c>
      <c r="C1047" s="6" t="s">
        <v>136</v>
      </c>
      <c r="D1047" s="0" t="n">
        <v>305.04944445265</v>
      </c>
      <c r="E1047" s="0" t="n">
        <v>4.39</v>
      </c>
      <c r="F1047" s="0" t="n">
        <v>1</v>
      </c>
      <c r="G1047" s="0" t="n">
        <v>0</v>
      </c>
      <c r="H1047" s="0" t="n">
        <v>0</v>
      </c>
      <c r="I1047" s="0" t="n">
        <v>0</v>
      </c>
      <c r="J1047" s="0" t="n">
        <v>0</v>
      </c>
      <c r="K1047" s="0" t="n">
        <v>1</v>
      </c>
      <c r="L1047" s="0" t="n">
        <v>0</v>
      </c>
    </row>
    <row r="1048" customFormat="false" ht="15" hidden="false" customHeight="false" outlineLevel="0" collapsed="false">
      <c r="A1048" s="5" t="n">
        <v>40309</v>
      </c>
      <c r="B1048" s="6" t="s">
        <v>130</v>
      </c>
      <c r="C1048" s="6" t="s">
        <v>136</v>
      </c>
      <c r="D1048" s="0" t="n">
        <v>219.655352170991</v>
      </c>
      <c r="E1048" s="0" t="n">
        <v>4.34</v>
      </c>
      <c r="F1048" s="0" t="n">
        <v>1</v>
      </c>
      <c r="G1048" s="0" t="n">
        <v>0</v>
      </c>
      <c r="H1048" s="0" t="n">
        <v>0</v>
      </c>
      <c r="I1048" s="0" t="n">
        <v>0</v>
      </c>
      <c r="J1048" s="0" t="n">
        <v>0</v>
      </c>
      <c r="K1048" s="0" t="n">
        <v>1</v>
      </c>
      <c r="L1048" s="0" t="n">
        <v>0</v>
      </c>
    </row>
    <row r="1049" customFormat="false" ht="15" hidden="false" customHeight="false" outlineLevel="0" collapsed="false">
      <c r="A1049" s="5" t="n">
        <v>40316</v>
      </c>
      <c r="B1049" s="6" t="s">
        <v>130</v>
      </c>
      <c r="C1049" s="6" t="s">
        <v>136</v>
      </c>
      <c r="D1049" s="0" t="n">
        <v>239.053167313939</v>
      </c>
      <c r="E1049" s="0" t="n">
        <v>4.095</v>
      </c>
      <c r="F1049" s="0" t="n">
        <v>1</v>
      </c>
      <c r="G1049" s="0" t="n">
        <v>0</v>
      </c>
      <c r="H1049" s="0" t="n">
        <v>0</v>
      </c>
      <c r="I1049" s="0" t="n">
        <v>0</v>
      </c>
      <c r="J1049" s="0" t="n">
        <v>0</v>
      </c>
      <c r="K1049" s="0" t="n">
        <v>1</v>
      </c>
      <c r="L1049" s="0" t="n">
        <v>0</v>
      </c>
    </row>
    <row r="1050" customFormat="false" ht="15" hidden="false" customHeight="false" outlineLevel="0" collapsed="false">
      <c r="A1050" s="5" t="n">
        <v>40323</v>
      </c>
      <c r="B1050" s="6" t="s">
        <v>130</v>
      </c>
      <c r="C1050" s="6" t="s">
        <v>136</v>
      </c>
      <c r="D1050" s="0" t="n">
        <v>249.140475527411</v>
      </c>
      <c r="E1050" s="0" t="n">
        <v>3.814</v>
      </c>
      <c r="F1050" s="0" t="n">
        <v>1</v>
      </c>
      <c r="G1050" s="0" t="n">
        <v>0</v>
      </c>
      <c r="H1050" s="0" t="n">
        <v>0</v>
      </c>
      <c r="I1050" s="0" t="n">
        <v>0</v>
      </c>
      <c r="J1050" s="0" t="n">
        <v>0</v>
      </c>
      <c r="K1050" s="0" t="n">
        <v>1</v>
      </c>
      <c r="L1050" s="0" t="n">
        <v>0</v>
      </c>
    </row>
    <row r="1051" customFormat="false" ht="15" hidden="false" customHeight="false" outlineLevel="0" collapsed="false">
      <c r="A1051" s="5" t="n">
        <v>40330</v>
      </c>
      <c r="B1051" s="6" t="s">
        <v>130</v>
      </c>
      <c r="C1051" s="6" t="s">
        <v>136</v>
      </c>
      <c r="D1051" s="0" t="n">
        <v>263.475311657863</v>
      </c>
      <c r="E1051" s="0" t="n">
        <v>3.814</v>
      </c>
      <c r="F1051" s="0" t="n">
        <v>1</v>
      </c>
      <c r="G1051" s="0" t="n">
        <v>0</v>
      </c>
      <c r="H1051" s="0" t="n">
        <v>0</v>
      </c>
      <c r="I1051" s="0" t="n">
        <v>0</v>
      </c>
      <c r="J1051" s="0" t="n">
        <v>0</v>
      </c>
      <c r="K1051" s="0" t="n">
        <v>1</v>
      </c>
      <c r="L1051" s="0" t="n">
        <v>0</v>
      </c>
    </row>
    <row r="1052" customFormat="false" ht="15" hidden="false" customHeight="false" outlineLevel="0" collapsed="false">
      <c r="A1052" s="5" t="n">
        <v>40337</v>
      </c>
      <c r="B1052" s="6" t="s">
        <v>130</v>
      </c>
      <c r="C1052" s="6" t="s">
        <v>136</v>
      </c>
      <c r="D1052" s="0" t="n">
        <v>666.729351514893</v>
      </c>
      <c r="E1052" s="0" t="n">
        <v>3.326</v>
      </c>
      <c r="F1052" s="0" t="n">
        <v>1</v>
      </c>
      <c r="G1052" s="0" t="n">
        <v>1</v>
      </c>
      <c r="H1052" s="0" t="n">
        <v>0</v>
      </c>
      <c r="I1052" s="0" t="n">
        <v>0</v>
      </c>
      <c r="J1052" s="0" t="n">
        <v>0</v>
      </c>
      <c r="K1052" s="0" t="n">
        <v>1</v>
      </c>
      <c r="L1052" s="0" t="n">
        <v>0</v>
      </c>
    </row>
    <row r="1053" customFormat="false" ht="15" hidden="false" customHeight="false" outlineLevel="0" collapsed="false">
      <c r="A1053" s="5" t="n">
        <v>40344</v>
      </c>
      <c r="B1053" s="6" t="s">
        <v>130</v>
      </c>
      <c r="C1053" s="6" t="s">
        <v>136</v>
      </c>
      <c r="D1053" s="0" t="n">
        <v>711.86493990728</v>
      </c>
      <c r="E1053" s="0" t="n">
        <v>3.198666667</v>
      </c>
      <c r="F1053" s="0" t="n">
        <v>1</v>
      </c>
      <c r="G1053" s="0" t="n">
        <v>1</v>
      </c>
      <c r="H1053" s="0" t="n">
        <v>0</v>
      </c>
      <c r="I1053" s="0" t="n">
        <v>0</v>
      </c>
      <c r="J1053" s="0" t="n">
        <v>0</v>
      </c>
      <c r="K1053" s="0" t="n">
        <v>1</v>
      </c>
      <c r="L1053" s="0" t="n">
        <v>0</v>
      </c>
    </row>
    <row r="1054" customFormat="false" ht="15" hidden="false" customHeight="false" outlineLevel="0" collapsed="false">
      <c r="A1054" s="5" t="n">
        <v>40351</v>
      </c>
      <c r="B1054" s="6" t="s">
        <v>130</v>
      </c>
      <c r="C1054" s="6" t="s">
        <v>136</v>
      </c>
      <c r="D1054" s="0" t="n">
        <v>328.157804033539</v>
      </c>
      <c r="E1054" s="0" t="n">
        <v>4.366666667</v>
      </c>
      <c r="F1054" s="0" t="n">
        <v>1</v>
      </c>
      <c r="G1054" s="0" t="n">
        <v>0</v>
      </c>
      <c r="H1054" s="0" t="n">
        <v>0</v>
      </c>
      <c r="I1054" s="0" t="n">
        <v>0</v>
      </c>
      <c r="J1054" s="0" t="n">
        <v>0</v>
      </c>
      <c r="K1054" s="0" t="n">
        <v>1</v>
      </c>
      <c r="L1054" s="0" t="n">
        <v>0</v>
      </c>
    </row>
    <row r="1055" customFormat="false" ht="15" hidden="false" customHeight="false" outlineLevel="0" collapsed="false">
      <c r="A1055" s="5" t="n">
        <v>40358</v>
      </c>
      <c r="B1055" s="6" t="s">
        <v>130</v>
      </c>
      <c r="C1055" s="6" t="s">
        <v>136</v>
      </c>
      <c r="D1055" s="0" t="n">
        <v>144.595220434296</v>
      </c>
      <c r="E1055" s="0" t="n">
        <v>3.979090909</v>
      </c>
      <c r="F1055" s="0" t="n">
        <v>1</v>
      </c>
      <c r="G1055" s="0" t="n">
        <v>0</v>
      </c>
      <c r="H1055" s="0" t="n">
        <v>0</v>
      </c>
      <c r="I1055" s="0" t="n">
        <v>0</v>
      </c>
      <c r="J1055" s="0" t="n">
        <v>0</v>
      </c>
      <c r="K1055" s="0" t="n">
        <v>1</v>
      </c>
      <c r="L1055" s="0" t="n">
        <v>0</v>
      </c>
    </row>
    <row r="1056" customFormat="false" ht="15" hidden="false" customHeight="false" outlineLevel="0" collapsed="false">
      <c r="A1056" s="5" t="n">
        <v>40365</v>
      </c>
      <c r="B1056" s="6" t="s">
        <v>130</v>
      </c>
      <c r="C1056" s="6" t="s">
        <v>136</v>
      </c>
      <c r="D1056" s="0" t="n">
        <v>266.129567222719</v>
      </c>
      <c r="E1056" s="0" t="n">
        <v>4.956153846</v>
      </c>
      <c r="F1056" s="0" t="n">
        <v>1</v>
      </c>
      <c r="G1056" s="0" t="n">
        <v>0</v>
      </c>
      <c r="H1056" s="0" t="n">
        <v>0</v>
      </c>
      <c r="I1056" s="0" t="n">
        <v>0</v>
      </c>
      <c r="J1056" s="0" t="n">
        <v>0</v>
      </c>
      <c r="K1056" s="0" t="n">
        <v>1</v>
      </c>
      <c r="L1056" s="0" t="n">
        <v>0</v>
      </c>
    </row>
    <row r="1057" customFormat="false" ht="15" hidden="false" customHeight="false" outlineLevel="0" collapsed="false">
      <c r="A1057" s="5" t="n">
        <v>40372</v>
      </c>
      <c r="B1057" s="6" t="s">
        <v>130</v>
      </c>
      <c r="C1057" s="6" t="s">
        <v>136</v>
      </c>
      <c r="D1057" s="0" t="n">
        <v>277.187467722705</v>
      </c>
      <c r="E1057" s="0" t="n">
        <v>3.813636364</v>
      </c>
      <c r="F1057" s="0" t="n">
        <v>1</v>
      </c>
      <c r="G1057" s="0" t="n">
        <v>0</v>
      </c>
      <c r="H1057" s="0" t="n">
        <v>0</v>
      </c>
      <c r="I1057" s="0" t="n">
        <v>0</v>
      </c>
      <c r="J1057" s="0" t="n">
        <v>0</v>
      </c>
      <c r="K1057" s="0" t="n">
        <v>1</v>
      </c>
      <c r="L1057" s="0" t="n">
        <v>0</v>
      </c>
    </row>
    <row r="1058" customFormat="false" ht="15" hidden="false" customHeight="false" outlineLevel="0" collapsed="false">
      <c r="A1058" s="5" t="n">
        <v>40302</v>
      </c>
      <c r="B1058" s="6" t="s">
        <v>130</v>
      </c>
      <c r="C1058" s="6" t="s">
        <v>137</v>
      </c>
      <c r="D1058" s="0" t="n">
        <v>153.977799671602</v>
      </c>
      <c r="E1058" s="0" t="n">
        <v>5.018571429</v>
      </c>
      <c r="F1058" s="0" t="n">
        <v>1</v>
      </c>
      <c r="G1058" s="0" t="n">
        <v>0</v>
      </c>
      <c r="H1058" s="0" t="n">
        <v>0</v>
      </c>
      <c r="I1058" s="0" t="n">
        <v>0</v>
      </c>
      <c r="J1058" s="0" t="n">
        <v>0</v>
      </c>
      <c r="K1058" s="0" t="n">
        <v>1</v>
      </c>
      <c r="L1058" s="0" t="n">
        <v>2</v>
      </c>
    </row>
    <row r="1059" customFormat="false" ht="15" hidden="false" customHeight="false" outlineLevel="0" collapsed="false">
      <c r="A1059" s="5" t="n">
        <v>40309</v>
      </c>
      <c r="B1059" s="6" t="s">
        <v>130</v>
      </c>
      <c r="C1059" s="6" t="s">
        <v>137</v>
      </c>
      <c r="D1059" s="0" t="n">
        <v>232.914862091978</v>
      </c>
      <c r="E1059" s="0" t="n">
        <v>5.018571429</v>
      </c>
      <c r="F1059" s="0" t="n">
        <v>1</v>
      </c>
      <c r="G1059" s="0" t="n">
        <v>0</v>
      </c>
      <c r="H1059" s="0" t="n">
        <v>0</v>
      </c>
      <c r="I1059" s="0" t="n">
        <v>0</v>
      </c>
      <c r="J1059" s="0" t="n">
        <v>0</v>
      </c>
      <c r="K1059" s="0" t="n">
        <v>1</v>
      </c>
      <c r="L1059" s="0" t="n">
        <v>2</v>
      </c>
    </row>
    <row r="1060" customFormat="false" ht="15" hidden="false" customHeight="false" outlineLevel="0" collapsed="false">
      <c r="A1060" s="5" t="n">
        <v>40316</v>
      </c>
      <c r="B1060" s="6" t="s">
        <v>130</v>
      </c>
      <c r="C1060" s="6" t="s">
        <v>137</v>
      </c>
      <c r="D1060" s="0" t="n">
        <v>308.276751999772</v>
      </c>
      <c r="E1060" s="0" t="n">
        <v>4.463529412</v>
      </c>
      <c r="F1060" s="0" t="n">
        <v>1</v>
      </c>
      <c r="G1060" s="0" t="n">
        <v>0</v>
      </c>
      <c r="H1060" s="0" t="n">
        <v>1</v>
      </c>
      <c r="I1060" s="0" t="n">
        <v>0</v>
      </c>
      <c r="J1060" s="0" t="n">
        <v>0</v>
      </c>
      <c r="K1060" s="0" t="n">
        <v>1</v>
      </c>
      <c r="L1060" s="0" t="n">
        <v>2</v>
      </c>
    </row>
    <row r="1061" customFormat="false" ht="15" hidden="false" customHeight="false" outlineLevel="0" collapsed="false">
      <c r="A1061" s="5" t="n">
        <v>40323</v>
      </c>
      <c r="B1061" s="6" t="s">
        <v>130</v>
      </c>
      <c r="C1061" s="6" t="s">
        <v>137</v>
      </c>
      <c r="D1061" s="0" t="n">
        <v>272.205700820949</v>
      </c>
      <c r="E1061" s="0" t="n">
        <v>5.010588235</v>
      </c>
      <c r="F1061" s="0" t="n">
        <v>1</v>
      </c>
      <c r="G1061" s="0" t="n">
        <v>0</v>
      </c>
      <c r="H1061" s="0" t="n">
        <v>0</v>
      </c>
      <c r="I1061" s="0" t="n">
        <v>1</v>
      </c>
      <c r="J1061" s="0" t="n">
        <v>0</v>
      </c>
      <c r="K1061" s="0" t="n">
        <v>1</v>
      </c>
      <c r="L1061" s="0" t="n">
        <v>2</v>
      </c>
    </row>
    <row r="1062" customFormat="false" ht="15" hidden="false" customHeight="false" outlineLevel="0" collapsed="false">
      <c r="A1062" s="5" t="n">
        <v>40330</v>
      </c>
      <c r="B1062" s="6" t="s">
        <v>130</v>
      </c>
      <c r="C1062" s="6" t="s">
        <v>137</v>
      </c>
      <c r="D1062" s="0" t="n">
        <v>355.871245735596</v>
      </c>
      <c r="E1062" s="0" t="n">
        <v>4.881666667</v>
      </c>
      <c r="F1062" s="0" t="n">
        <v>1</v>
      </c>
      <c r="G1062" s="0" t="n">
        <v>0</v>
      </c>
      <c r="H1062" s="0" t="n">
        <v>0</v>
      </c>
      <c r="I1062" s="0" t="n">
        <v>1</v>
      </c>
      <c r="J1062" s="0" t="n">
        <v>0</v>
      </c>
      <c r="K1062" s="0" t="n">
        <v>1</v>
      </c>
      <c r="L1062" s="0" t="n">
        <v>2</v>
      </c>
    </row>
    <row r="1063" customFormat="false" ht="15" hidden="false" customHeight="false" outlineLevel="0" collapsed="false">
      <c r="A1063" s="5" t="n">
        <v>40337</v>
      </c>
      <c r="B1063" s="6" t="s">
        <v>130</v>
      </c>
      <c r="C1063" s="6" t="s">
        <v>137</v>
      </c>
      <c r="D1063" s="0" t="n">
        <v>337.175763139981</v>
      </c>
      <c r="E1063" s="0" t="n">
        <v>4.832941176</v>
      </c>
      <c r="F1063" s="0" t="n">
        <v>1</v>
      </c>
      <c r="G1063" s="0" t="n">
        <v>0</v>
      </c>
      <c r="H1063" s="0" t="n">
        <v>0</v>
      </c>
      <c r="I1063" s="0" t="n">
        <v>1</v>
      </c>
      <c r="J1063" s="0" t="n">
        <v>0</v>
      </c>
      <c r="K1063" s="0" t="n">
        <v>1</v>
      </c>
      <c r="L1063" s="0" t="n">
        <v>2</v>
      </c>
    </row>
    <row r="1064" customFormat="false" ht="15" hidden="false" customHeight="false" outlineLevel="0" collapsed="false">
      <c r="A1064" s="5" t="n">
        <v>40344</v>
      </c>
      <c r="B1064" s="6" t="s">
        <v>130</v>
      </c>
      <c r="C1064" s="6" t="s">
        <v>137</v>
      </c>
      <c r="D1064" s="0" t="n">
        <v>361.361552027582</v>
      </c>
      <c r="E1064" s="0" t="n">
        <v>5.230555556</v>
      </c>
      <c r="F1064" s="0" t="n">
        <v>1</v>
      </c>
      <c r="G1064" s="0" t="n">
        <v>0</v>
      </c>
      <c r="H1064" s="0" t="n">
        <v>1</v>
      </c>
      <c r="I1064" s="0" t="n">
        <v>0</v>
      </c>
      <c r="J1064" s="0" t="n">
        <v>1</v>
      </c>
      <c r="K1064" s="0" t="n">
        <v>1</v>
      </c>
      <c r="L1064" s="0" t="n">
        <v>2</v>
      </c>
    </row>
    <row r="1065" customFormat="false" ht="15" hidden="false" customHeight="false" outlineLevel="0" collapsed="false">
      <c r="A1065" s="5" t="n">
        <v>40351</v>
      </c>
      <c r="B1065" s="6" t="s">
        <v>130</v>
      </c>
      <c r="C1065" s="6" t="s">
        <v>137</v>
      </c>
      <c r="D1065" s="0" t="n">
        <v>1041.20025637098</v>
      </c>
      <c r="E1065" s="0" t="n">
        <v>4.083529412</v>
      </c>
      <c r="F1065" s="0" t="n">
        <v>1</v>
      </c>
      <c r="G1065" s="0" t="n">
        <v>1</v>
      </c>
      <c r="H1065" s="0" t="n">
        <v>1</v>
      </c>
      <c r="I1065" s="0" t="n">
        <v>1</v>
      </c>
      <c r="J1065" s="0" t="n">
        <v>1</v>
      </c>
      <c r="K1065" s="0" t="n">
        <v>1</v>
      </c>
      <c r="L1065" s="0" t="n">
        <v>2</v>
      </c>
    </row>
    <row r="1066" customFormat="false" ht="15" hidden="false" customHeight="false" outlineLevel="0" collapsed="false">
      <c r="A1066" s="5" t="n">
        <v>40358</v>
      </c>
      <c r="B1066" s="6" t="s">
        <v>130</v>
      </c>
      <c r="C1066" s="6" t="s">
        <v>137</v>
      </c>
      <c r="D1066" s="0" t="n">
        <v>753.387987248907</v>
      </c>
      <c r="E1066" s="0" t="n">
        <v>4.083529412</v>
      </c>
      <c r="F1066" s="0" t="n">
        <v>1</v>
      </c>
      <c r="G1066" s="0" t="n">
        <v>1</v>
      </c>
      <c r="H1066" s="0" t="n">
        <v>0</v>
      </c>
      <c r="I1066" s="0" t="n">
        <v>1</v>
      </c>
      <c r="J1066" s="0" t="n">
        <v>0</v>
      </c>
      <c r="K1066" s="0" t="n">
        <v>1</v>
      </c>
      <c r="L1066" s="0" t="n">
        <v>2</v>
      </c>
    </row>
    <row r="1067" customFormat="false" ht="15" hidden="false" customHeight="false" outlineLevel="0" collapsed="false">
      <c r="A1067" s="5" t="n">
        <v>40365</v>
      </c>
      <c r="B1067" s="6" t="s">
        <v>130</v>
      </c>
      <c r="C1067" s="6" t="s">
        <v>137</v>
      </c>
      <c r="D1067" s="0" t="n">
        <v>192.077597710293</v>
      </c>
      <c r="E1067" s="0" t="n">
        <v>4.747058824</v>
      </c>
      <c r="F1067" s="0" t="n">
        <v>1</v>
      </c>
      <c r="G1067" s="0" t="n">
        <v>0</v>
      </c>
      <c r="H1067" s="0" t="n">
        <v>0</v>
      </c>
      <c r="I1067" s="0" t="n">
        <v>1</v>
      </c>
      <c r="J1067" s="0" t="n">
        <v>0</v>
      </c>
      <c r="K1067" s="0" t="n">
        <v>1</v>
      </c>
      <c r="L1067" s="0" t="n">
        <v>2</v>
      </c>
    </row>
    <row r="1068" customFormat="false" ht="15" hidden="false" customHeight="false" outlineLevel="0" collapsed="false">
      <c r="A1068" s="5" t="n">
        <v>40372</v>
      </c>
      <c r="B1068" s="6" t="s">
        <v>130</v>
      </c>
      <c r="C1068" s="6" t="s">
        <v>137</v>
      </c>
      <c r="D1068" s="0" t="n">
        <v>390.6428764121</v>
      </c>
      <c r="E1068" s="0" t="n">
        <v>4.148</v>
      </c>
      <c r="F1068" s="0" t="n">
        <v>1</v>
      </c>
      <c r="G1068" s="0" t="n">
        <v>0</v>
      </c>
      <c r="H1068" s="0" t="n">
        <v>0</v>
      </c>
      <c r="I1068" s="0" t="n">
        <v>1</v>
      </c>
      <c r="J1068" s="0" t="n">
        <v>1</v>
      </c>
      <c r="K1068" s="0" t="n">
        <v>1</v>
      </c>
      <c r="L1068" s="0" t="n">
        <v>2</v>
      </c>
    </row>
    <row r="1069" customFormat="false" ht="15" hidden="false" customHeight="false" outlineLevel="0" collapsed="false">
      <c r="A1069" s="5" t="n">
        <v>40302</v>
      </c>
      <c r="B1069" s="6" t="s">
        <v>130</v>
      </c>
      <c r="C1069" s="6" t="s">
        <v>138</v>
      </c>
      <c r="D1069" s="0" t="n">
        <v>256.291549063372</v>
      </c>
      <c r="E1069" s="0" t="n">
        <v>4.499090909</v>
      </c>
      <c r="F1069" s="0" t="n">
        <v>1</v>
      </c>
      <c r="G1069" s="0" t="n">
        <v>0</v>
      </c>
      <c r="H1069" s="0" t="n">
        <v>0</v>
      </c>
      <c r="I1069" s="0" t="n">
        <v>0</v>
      </c>
      <c r="J1069" s="0" t="n">
        <v>0</v>
      </c>
      <c r="K1069" s="0" t="n">
        <v>2</v>
      </c>
      <c r="L1069" s="0" t="n">
        <v>4</v>
      </c>
    </row>
    <row r="1070" customFormat="false" ht="15" hidden="false" customHeight="false" outlineLevel="0" collapsed="false">
      <c r="A1070" s="5" t="n">
        <v>40309</v>
      </c>
      <c r="B1070" s="6" t="s">
        <v>130</v>
      </c>
      <c r="C1070" s="6" t="s">
        <v>138</v>
      </c>
      <c r="D1070" s="0" t="n">
        <v>184.679316694638</v>
      </c>
      <c r="E1070" s="0" t="n">
        <v>5.483333333</v>
      </c>
      <c r="F1070" s="0" t="n">
        <v>1</v>
      </c>
      <c r="G1070" s="0" t="n">
        <v>0</v>
      </c>
      <c r="H1070" s="0" t="n">
        <v>0</v>
      </c>
      <c r="I1070" s="0" t="n">
        <v>0</v>
      </c>
      <c r="J1070" s="0" t="n">
        <v>0</v>
      </c>
      <c r="K1070" s="0" t="n">
        <v>2</v>
      </c>
      <c r="L1070" s="0" t="n">
        <v>4</v>
      </c>
    </row>
    <row r="1071" customFormat="false" ht="15" hidden="false" customHeight="false" outlineLevel="0" collapsed="false">
      <c r="A1071" s="5" t="n">
        <v>40316</v>
      </c>
      <c r="B1071" s="6" t="s">
        <v>130</v>
      </c>
      <c r="C1071" s="6" t="s">
        <v>138</v>
      </c>
      <c r="D1071" s="0" t="n">
        <v>259.952867571588</v>
      </c>
      <c r="E1071" s="0" t="n">
        <v>4.293846154</v>
      </c>
      <c r="F1071" s="0" t="n">
        <v>1</v>
      </c>
      <c r="G1071" s="0" t="n">
        <v>0</v>
      </c>
      <c r="H1071" s="0" t="n">
        <v>0</v>
      </c>
      <c r="I1071" s="0" t="n">
        <v>0</v>
      </c>
      <c r="J1071" s="0" t="n">
        <v>0</v>
      </c>
      <c r="K1071" s="0" t="n">
        <v>2</v>
      </c>
      <c r="L1071" s="0" t="n">
        <v>4</v>
      </c>
    </row>
    <row r="1072" customFormat="false" ht="15" hidden="false" customHeight="false" outlineLevel="0" collapsed="false">
      <c r="A1072" s="5" t="n">
        <v>40323</v>
      </c>
      <c r="B1072" s="6" t="s">
        <v>130</v>
      </c>
      <c r="C1072" s="6" t="s">
        <v>138</v>
      </c>
      <c r="D1072" s="0" t="n">
        <v>325.841919080723</v>
      </c>
      <c r="E1072" s="0" t="n">
        <v>4.058181818</v>
      </c>
      <c r="F1072" s="0" t="n">
        <v>1</v>
      </c>
      <c r="G1072" s="0" t="n">
        <v>0</v>
      </c>
      <c r="H1072" s="0" t="n">
        <v>0</v>
      </c>
      <c r="I1072" s="0" t="n">
        <v>0</v>
      </c>
      <c r="J1072" s="0" t="n">
        <v>0</v>
      </c>
      <c r="K1072" s="0" t="n">
        <v>2</v>
      </c>
      <c r="L1072" s="0" t="n">
        <v>4</v>
      </c>
    </row>
    <row r="1073" customFormat="false" ht="15" hidden="false" customHeight="false" outlineLevel="0" collapsed="false">
      <c r="A1073" s="5" t="n">
        <v>40330</v>
      </c>
      <c r="B1073" s="6" t="s">
        <v>130</v>
      </c>
      <c r="C1073" s="6" t="s">
        <v>138</v>
      </c>
      <c r="D1073" s="0" t="n">
        <v>291.772689416078</v>
      </c>
      <c r="E1073" s="0" t="n">
        <v>4.025</v>
      </c>
      <c r="F1073" s="0" t="n">
        <v>1</v>
      </c>
      <c r="G1073" s="0" t="n">
        <v>0</v>
      </c>
      <c r="H1073" s="0" t="n">
        <v>0</v>
      </c>
      <c r="I1073" s="0" t="n">
        <v>0</v>
      </c>
      <c r="J1073" s="0" t="n">
        <v>0</v>
      </c>
      <c r="K1073" s="0" t="n">
        <v>2</v>
      </c>
      <c r="L1073" s="0" t="n">
        <v>4</v>
      </c>
    </row>
    <row r="1074" customFormat="false" ht="15" hidden="false" customHeight="false" outlineLevel="0" collapsed="false">
      <c r="A1074" s="5" t="n">
        <v>40337</v>
      </c>
      <c r="B1074" s="6" t="s">
        <v>130</v>
      </c>
      <c r="C1074" s="6" t="s">
        <v>138</v>
      </c>
      <c r="D1074" s="0" t="n">
        <v>126.718944916272</v>
      </c>
      <c r="E1074" s="0" t="n">
        <v>6.251538462</v>
      </c>
      <c r="F1074" s="0" t="n">
        <v>1</v>
      </c>
      <c r="G1074" s="0" t="n">
        <v>0</v>
      </c>
      <c r="H1074" s="0" t="n">
        <v>0</v>
      </c>
      <c r="I1074" s="0" t="n">
        <v>0</v>
      </c>
      <c r="J1074" s="0" t="n">
        <v>0</v>
      </c>
      <c r="K1074" s="0" t="n">
        <v>2</v>
      </c>
      <c r="L1074" s="0" t="n">
        <v>4</v>
      </c>
    </row>
    <row r="1075" customFormat="false" ht="15" hidden="false" customHeight="false" outlineLevel="0" collapsed="false">
      <c r="A1075" s="5" t="n">
        <v>40344</v>
      </c>
      <c r="B1075" s="6" t="s">
        <v>130</v>
      </c>
      <c r="C1075" s="6" t="s">
        <v>138</v>
      </c>
      <c r="D1075" s="0" t="n">
        <v>206.701533510027</v>
      </c>
      <c r="E1075" s="0" t="n">
        <v>5.671818182</v>
      </c>
      <c r="F1075" s="0" t="n">
        <v>1</v>
      </c>
      <c r="G1075" s="0" t="n">
        <v>0</v>
      </c>
      <c r="H1075" s="0" t="n">
        <v>0</v>
      </c>
      <c r="I1075" s="0" t="n">
        <v>0</v>
      </c>
      <c r="J1075" s="0" t="n">
        <v>0</v>
      </c>
      <c r="K1075" s="0" t="n">
        <v>2</v>
      </c>
      <c r="L1075" s="0" t="n">
        <v>4</v>
      </c>
    </row>
    <row r="1076" customFormat="false" ht="15" hidden="false" customHeight="false" outlineLevel="0" collapsed="false">
      <c r="A1076" s="5" t="n">
        <v>40351</v>
      </c>
      <c r="B1076" s="6" t="s">
        <v>130</v>
      </c>
      <c r="C1076" s="6" t="s">
        <v>138</v>
      </c>
      <c r="D1076" s="0" t="n">
        <v>201.984892266653</v>
      </c>
      <c r="E1076" s="0" t="n">
        <v>5.666923077</v>
      </c>
      <c r="F1076" s="0" t="n">
        <v>1</v>
      </c>
      <c r="G1076" s="0" t="n">
        <v>0</v>
      </c>
      <c r="H1076" s="0" t="n">
        <v>0</v>
      </c>
      <c r="I1076" s="0" t="n">
        <v>0</v>
      </c>
      <c r="J1076" s="0" t="n">
        <v>0</v>
      </c>
      <c r="K1076" s="0" t="n">
        <v>2</v>
      </c>
      <c r="L1076" s="0" t="n">
        <v>4</v>
      </c>
    </row>
    <row r="1077" customFormat="false" ht="15" hidden="false" customHeight="false" outlineLevel="0" collapsed="false">
      <c r="A1077" s="5" t="n">
        <v>40358</v>
      </c>
      <c r="B1077" s="6" t="s">
        <v>130</v>
      </c>
      <c r="C1077" s="6" t="s">
        <v>138</v>
      </c>
      <c r="D1077" s="0" t="n">
        <v>303.197775699263</v>
      </c>
      <c r="E1077" s="0" t="n">
        <v>3.851538462</v>
      </c>
      <c r="F1077" s="0" t="n">
        <v>1</v>
      </c>
      <c r="G1077" s="0" t="n">
        <v>0</v>
      </c>
      <c r="H1077" s="0" t="n">
        <v>0</v>
      </c>
      <c r="I1077" s="0" t="n">
        <v>0</v>
      </c>
      <c r="J1077" s="0" t="n">
        <v>0</v>
      </c>
      <c r="K1077" s="0" t="n">
        <v>2</v>
      </c>
      <c r="L1077" s="0" t="n">
        <v>4</v>
      </c>
    </row>
    <row r="1078" customFormat="false" ht="15" hidden="false" customHeight="false" outlineLevel="0" collapsed="false">
      <c r="A1078" s="5" t="n">
        <v>40365</v>
      </c>
      <c r="B1078" s="6" t="s">
        <v>130</v>
      </c>
      <c r="C1078" s="6" t="s">
        <v>138</v>
      </c>
      <c r="D1078" s="0" t="n">
        <v>342.458028283521</v>
      </c>
      <c r="E1078" s="0" t="n">
        <v>4.138125</v>
      </c>
      <c r="F1078" s="0" t="n">
        <v>1</v>
      </c>
      <c r="G1078" s="0" t="n">
        <v>0</v>
      </c>
      <c r="H1078" s="0" t="n">
        <v>0</v>
      </c>
      <c r="I1078" s="0" t="n">
        <v>0</v>
      </c>
      <c r="J1078" s="0" t="n">
        <v>0</v>
      </c>
      <c r="K1078" s="0" t="n">
        <v>2</v>
      </c>
      <c r="L1078" s="0" t="n">
        <v>4</v>
      </c>
    </row>
    <row r="1079" customFormat="false" ht="15" hidden="false" customHeight="false" outlineLevel="0" collapsed="false">
      <c r="A1079" s="5" t="n">
        <v>40372</v>
      </c>
      <c r="B1079" s="6" t="s">
        <v>130</v>
      </c>
      <c r="C1079" s="6" t="s">
        <v>138</v>
      </c>
      <c r="D1079" s="0" t="n">
        <v>189.924286643969</v>
      </c>
      <c r="E1079" s="0" t="n">
        <v>4.138125</v>
      </c>
      <c r="F1079" s="0" t="n">
        <v>1</v>
      </c>
      <c r="G1079" s="0" t="n">
        <v>0</v>
      </c>
      <c r="H1079" s="0" t="n">
        <v>0</v>
      </c>
      <c r="I1079" s="0" t="n">
        <v>0</v>
      </c>
      <c r="J1079" s="0" t="n">
        <v>0</v>
      </c>
      <c r="K1079" s="0" t="n">
        <v>2</v>
      </c>
      <c r="L1079" s="0" t="n">
        <v>4</v>
      </c>
    </row>
    <row r="1080" customFormat="false" ht="15" hidden="false" customHeight="false" outlineLevel="0" collapsed="false">
      <c r="A1080" s="5" t="n">
        <v>40302</v>
      </c>
      <c r="B1080" s="6" t="s">
        <v>130</v>
      </c>
      <c r="C1080" s="6" t="s">
        <v>139</v>
      </c>
      <c r="D1080" s="0" t="n">
        <v>192.146936201998</v>
      </c>
      <c r="E1080" s="0" t="n">
        <v>4.49</v>
      </c>
      <c r="F1080" s="0" t="n">
        <v>1</v>
      </c>
      <c r="G1080" s="0" t="n">
        <v>0</v>
      </c>
      <c r="H1080" s="0" t="n">
        <v>0</v>
      </c>
      <c r="I1080" s="0" t="n">
        <v>0</v>
      </c>
      <c r="J1080" s="0" t="n">
        <v>0</v>
      </c>
      <c r="K1080" s="0" t="n">
        <v>1</v>
      </c>
      <c r="L1080" s="0" t="n">
        <v>4</v>
      </c>
    </row>
    <row r="1081" customFormat="false" ht="15" hidden="false" customHeight="false" outlineLevel="0" collapsed="false">
      <c r="A1081" s="5" t="n">
        <v>40309</v>
      </c>
      <c r="B1081" s="6" t="s">
        <v>130</v>
      </c>
      <c r="C1081" s="6" t="s">
        <v>139</v>
      </c>
      <c r="D1081" s="0" t="n">
        <v>166.443124243688</v>
      </c>
      <c r="E1081" s="0" t="n">
        <v>4.49</v>
      </c>
      <c r="F1081" s="0" t="n">
        <v>1</v>
      </c>
      <c r="G1081" s="0" t="n">
        <v>0</v>
      </c>
      <c r="H1081" s="0" t="n">
        <v>0</v>
      </c>
      <c r="I1081" s="0" t="n">
        <v>0</v>
      </c>
      <c r="J1081" s="0" t="n">
        <v>0</v>
      </c>
      <c r="K1081" s="0" t="n">
        <v>1</v>
      </c>
      <c r="L1081" s="0" t="n">
        <v>4</v>
      </c>
    </row>
    <row r="1082" customFormat="false" ht="15" hidden="false" customHeight="false" outlineLevel="0" collapsed="false">
      <c r="A1082" s="5" t="n">
        <v>40316</v>
      </c>
      <c r="B1082" s="6" t="s">
        <v>130</v>
      </c>
      <c r="C1082" s="6" t="s">
        <v>139</v>
      </c>
      <c r="D1082" s="0" t="n">
        <v>235.781911171713</v>
      </c>
      <c r="E1082" s="0" t="n">
        <v>4.163076923</v>
      </c>
      <c r="F1082" s="0" t="n">
        <v>1</v>
      </c>
      <c r="G1082" s="0" t="n">
        <v>0</v>
      </c>
      <c r="H1082" s="0" t="n">
        <v>0</v>
      </c>
      <c r="I1082" s="0" t="n">
        <v>0</v>
      </c>
      <c r="J1082" s="0" t="n">
        <v>0</v>
      </c>
      <c r="K1082" s="0" t="n">
        <v>1</v>
      </c>
      <c r="L1082" s="0" t="n">
        <v>4</v>
      </c>
    </row>
    <row r="1083" customFormat="false" ht="15" hidden="false" customHeight="false" outlineLevel="0" collapsed="false">
      <c r="A1083" s="5" t="n">
        <v>40323</v>
      </c>
      <c r="B1083" s="6" t="s">
        <v>130</v>
      </c>
      <c r="C1083" s="6" t="s">
        <v>139</v>
      </c>
      <c r="D1083" s="0" t="n">
        <v>284.675014591995</v>
      </c>
      <c r="E1083" s="0" t="n">
        <v>4.057857143</v>
      </c>
      <c r="F1083" s="0" t="n">
        <v>1</v>
      </c>
      <c r="G1083" s="0" t="n">
        <v>0</v>
      </c>
      <c r="H1083" s="0" t="n">
        <v>0</v>
      </c>
      <c r="I1083" s="0" t="n">
        <v>0</v>
      </c>
      <c r="J1083" s="0" t="n">
        <v>0</v>
      </c>
      <c r="K1083" s="0" t="n">
        <v>1</v>
      </c>
      <c r="L1083" s="0" t="n">
        <v>4</v>
      </c>
    </row>
    <row r="1084" customFormat="false" ht="15" hidden="false" customHeight="false" outlineLevel="0" collapsed="false">
      <c r="A1084" s="5" t="n">
        <v>40330</v>
      </c>
      <c r="B1084" s="6" t="s">
        <v>130</v>
      </c>
      <c r="C1084" s="6" t="s">
        <v>139</v>
      </c>
      <c r="D1084" s="0" t="n">
        <v>214.075048683022</v>
      </c>
      <c r="E1084" s="0" t="n">
        <v>3.966666667</v>
      </c>
      <c r="F1084" s="0" t="n">
        <v>1</v>
      </c>
      <c r="G1084" s="0" t="n">
        <v>0</v>
      </c>
      <c r="H1084" s="0" t="n">
        <v>0</v>
      </c>
      <c r="I1084" s="0" t="n">
        <v>0</v>
      </c>
      <c r="J1084" s="0" t="n">
        <v>0</v>
      </c>
      <c r="K1084" s="0" t="n">
        <v>1</v>
      </c>
      <c r="L1084" s="0" t="n">
        <v>4</v>
      </c>
    </row>
    <row r="1085" customFormat="false" ht="15" hidden="false" customHeight="false" outlineLevel="0" collapsed="false">
      <c r="A1085" s="5" t="n">
        <v>40337</v>
      </c>
      <c r="B1085" s="6" t="s">
        <v>130</v>
      </c>
      <c r="C1085" s="6" t="s">
        <v>139</v>
      </c>
      <c r="D1085" s="0" t="n">
        <v>183.772631149098</v>
      </c>
      <c r="E1085" s="0" t="n">
        <v>5.443846154</v>
      </c>
      <c r="F1085" s="0" t="n">
        <v>1</v>
      </c>
      <c r="G1085" s="0" t="n">
        <v>0</v>
      </c>
      <c r="H1085" s="0" t="n">
        <v>0</v>
      </c>
      <c r="I1085" s="0" t="n">
        <v>0</v>
      </c>
      <c r="J1085" s="0" t="n">
        <v>0</v>
      </c>
      <c r="K1085" s="0" t="n">
        <v>1</v>
      </c>
      <c r="L1085" s="0" t="n">
        <v>4</v>
      </c>
    </row>
    <row r="1086" customFormat="false" ht="15" hidden="false" customHeight="false" outlineLevel="0" collapsed="false">
      <c r="A1086" s="5" t="n">
        <v>40344</v>
      </c>
      <c r="B1086" s="6" t="s">
        <v>130</v>
      </c>
      <c r="C1086" s="6" t="s">
        <v>139</v>
      </c>
      <c r="D1086" s="0" t="n">
        <v>289.286421252236</v>
      </c>
      <c r="E1086" s="0" t="n">
        <v>4.29</v>
      </c>
      <c r="F1086" s="0" t="n">
        <v>1</v>
      </c>
      <c r="G1086" s="0" t="n">
        <v>0</v>
      </c>
      <c r="H1086" s="0" t="n">
        <v>0</v>
      </c>
      <c r="I1086" s="0" t="n">
        <v>0</v>
      </c>
      <c r="J1086" s="0" t="n">
        <v>0</v>
      </c>
      <c r="K1086" s="0" t="n">
        <v>1</v>
      </c>
      <c r="L1086" s="0" t="n">
        <v>4</v>
      </c>
    </row>
    <row r="1087" customFormat="false" ht="15" hidden="false" customHeight="false" outlineLevel="0" collapsed="false">
      <c r="A1087" s="5" t="n">
        <v>40351</v>
      </c>
      <c r="B1087" s="6" t="s">
        <v>130</v>
      </c>
      <c r="C1087" s="6" t="s">
        <v>139</v>
      </c>
      <c r="D1087" s="0" t="n">
        <v>397.148581413618</v>
      </c>
      <c r="E1087" s="0" t="n">
        <v>4.29625</v>
      </c>
      <c r="F1087" s="0" t="n">
        <v>1</v>
      </c>
      <c r="G1087" s="0" t="n">
        <v>0</v>
      </c>
      <c r="H1087" s="0" t="n">
        <v>1</v>
      </c>
      <c r="I1087" s="0" t="n">
        <v>0</v>
      </c>
      <c r="J1087" s="0" t="n">
        <v>0</v>
      </c>
      <c r="K1087" s="0" t="n">
        <v>1</v>
      </c>
      <c r="L1087" s="0" t="n">
        <v>4</v>
      </c>
    </row>
    <row r="1088" customFormat="false" ht="15" hidden="false" customHeight="false" outlineLevel="0" collapsed="false">
      <c r="A1088" s="5" t="n">
        <v>40358</v>
      </c>
      <c r="B1088" s="6" t="s">
        <v>130</v>
      </c>
      <c r="C1088" s="6" t="s">
        <v>139</v>
      </c>
      <c r="D1088" s="0" t="n">
        <v>300.046730673288</v>
      </c>
      <c r="E1088" s="0" t="n">
        <v>4.403333333</v>
      </c>
      <c r="F1088" s="0" t="n">
        <v>1</v>
      </c>
      <c r="G1088" s="0" t="n">
        <v>0</v>
      </c>
      <c r="H1088" s="0" t="n">
        <v>0</v>
      </c>
      <c r="I1088" s="0" t="n">
        <v>1</v>
      </c>
      <c r="J1088" s="0" t="n">
        <v>0</v>
      </c>
      <c r="K1088" s="0" t="n">
        <v>1</v>
      </c>
      <c r="L1088" s="0" t="n">
        <v>4</v>
      </c>
    </row>
    <row r="1089" customFormat="false" ht="15" hidden="false" customHeight="false" outlineLevel="0" collapsed="false">
      <c r="A1089" s="5" t="n">
        <v>40365</v>
      </c>
      <c r="B1089" s="6" t="s">
        <v>130</v>
      </c>
      <c r="C1089" s="6" t="s">
        <v>139</v>
      </c>
      <c r="D1089" s="0" t="n">
        <v>256.184386209202</v>
      </c>
      <c r="E1089" s="0" t="n">
        <v>3.881333333</v>
      </c>
      <c r="F1089" s="0" t="n">
        <v>1</v>
      </c>
      <c r="G1089" s="0" t="n">
        <v>0</v>
      </c>
      <c r="H1089" s="0" t="n">
        <v>0</v>
      </c>
      <c r="I1089" s="0" t="n">
        <v>1</v>
      </c>
      <c r="J1089" s="0" t="n">
        <v>0</v>
      </c>
      <c r="K1089" s="0" t="n">
        <v>1</v>
      </c>
      <c r="L1089" s="0" t="n">
        <v>4</v>
      </c>
    </row>
    <row r="1090" customFormat="false" ht="15" hidden="false" customHeight="false" outlineLevel="0" collapsed="false">
      <c r="A1090" s="5" t="n">
        <v>40372</v>
      </c>
      <c r="B1090" s="6" t="s">
        <v>130</v>
      </c>
      <c r="C1090" s="6" t="s">
        <v>139</v>
      </c>
      <c r="D1090" s="0" t="n">
        <v>318.578288972741</v>
      </c>
      <c r="E1090" s="0" t="n">
        <v>4.138125</v>
      </c>
      <c r="F1090" s="0" t="n">
        <v>1</v>
      </c>
      <c r="G1090" s="0" t="n">
        <v>0</v>
      </c>
      <c r="H1090" s="0" t="n">
        <v>0</v>
      </c>
      <c r="I1090" s="0" t="n">
        <v>1</v>
      </c>
      <c r="J1090" s="0" t="n">
        <v>0</v>
      </c>
      <c r="K1090" s="0" t="n">
        <v>1</v>
      </c>
      <c r="L1090" s="0" t="n">
        <v>4</v>
      </c>
    </row>
    <row r="1091" customFormat="false" ht="15" hidden="false" customHeight="false" outlineLevel="0" collapsed="false">
      <c r="A1091" s="5" t="n">
        <v>40302</v>
      </c>
      <c r="B1091" s="6" t="s">
        <v>130</v>
      </c>
      <c r="C1091" s="6" t="s">
        <v>140</v>
      </c>
      <c r="D1091" s="0" t="n">
        <v>281.765154097375</v>
      </c>
      <c r="E1091" s="0" t="n">
        <v>4.062727273</v>
      </c>
      <c r="F1091" s="0" t="n">
        <v>1</v>
      </c>
      <c r="G1091" s="0" t="n">
        <v>0</v>
      </c>
      <c r="H1091" s="0" t="n">
        <v>0</v>
      </c>
      <c r="I1091" s="0" t="n">
        <v>0</v>
      </c>
      <c r="J1091" s="0" t="n">
        <v>0</v>
      </c>
      <c r="K1091" s="0" t="n">
        <v>1</v>
      </c>
      <c r="L1091" s="0" t="n">
        <v>2</v>
      </c>
    </row>
    <row r="1092" customFormat="false" ht="15" hidden="false" customHeight="false" outlineLevel="0" collapsed="false">
      <c r="A1092" s="5" t="n">
        <v>40309</v>
      </c>
      <c r="B1092" s="6" t="s">
        <v>130</v>
      </c>
      <c r="C1092" s="6" t="s">
        <v>140</v>
      </c>
      <c r="D1092" s="0" t="n">
        <v>348.466746688226</v>
      </c>
      <c r="E1092" s="0" t="n">
        <v>3.851538462</v>
      </c>
      <c r="F1092" s="0" t="n">
        <v>1</v>
      </c>
      <c r="G1092" s="0" t="n">
        <v>0</v>
      </c>
      <c r="H1092" s="0" t="n">
        <v>1</v>
      </c>
      <c r="I1092" s="0" t="n">
        <v>0</v>
      </c>
      <c r="J1092" s="0" t="n">
        <v>0</v>
      </c>
      <c r="K1092" s="0" t="n">
        <v>1</v>
      </c>
      <c r="L1092" s="0" t="n">
        <v>2</v>
      </c>
    </row>
    <row r="1093" customFormat="false" ht="15" hidden="false" customHeight="false" outlineLevel="0" collapsed="false">
      <c r="A1093" s="5" t="n">
        <v>40316</v>
      </c>
      <c r="B1093" s="6" t="s">
        <v>130</v>
      </c>
      <c r="C1093" s="6" t="s">
        <v>140</v>
      </c>
      <c r="D1093" s="0" t="n">
        <v>378.719147938433</v>
      </c>
      <c r="E1093" s="0" t="n">
        <v>3.593571429</v>
      </c>
      <c r="F1093" s="0" t="n">
        <v>1</v>
      </c>
      <c r="G1093" s="0" t="n">
        <v>0</v>
      </c>
      <c r="H1093" s="0" t="n">
        <v>0</v>
      </c>
      <c r="I1093" s="0" t="n">
        <v>1</v>
      </c>
      <c r="J1093" s="0" t="n">
        <v>0</v>
      </c>
      <c r="K1093" s="0" t="n">
        <v>1</v>
      </c>
      <c r="L1093" s="0" t="n">
        <v>2</v>
      </c>
    </row>
    <row r="1094" customFormat="false" ht="15" hidden="false" customHeight="false" outlineLevel="0" collapsed="false">
      <c r="A1094" s="5" t="n">
        <v>40323</v>
      </c>
      <c r="B1094" s="6" t="s">
        <v>130</v>
      </c>
      <c r="C1094" s="6" t="s">
        <v>140</v>
      </c>
      <c r="D1094" s="0" t="n">
        <v>360.3041564529</v>
      </c>
      <c r="E1094" s="0" t="n">
        <v>4.643125</v>
      </c>
      <c r="F1094" s="0" t="n">
        <v>1</v>
      </c>
      <c r="G1094" s="0" t="n">
        <v>0</v>
      </c>
      <c r="H1094" s="0" t="n">
        <v>0</v>
      </c>
      <c r="I1094" s="0" t="n">
        <v>1</v>
      </c>
      <c r="J1094" s="0" t="n">
        <v>0</v>
      </c>
      <c r="K1094" s="0" t="n">
        <v>1</v>
      </c>
      <c r="L1094" s="0" t="n">
        <v>2</v>
      </c>
    </row>
    <row r="1095" customFormat="false" ht="15" hidden="false" customHeight="false" outlineLevel="0" collapsed="false">
      <c r="A1095" s="5" t="n">
        <v>40330</v>
      </c>
      <c r="B1095" s="6" t="s">
        <v>130</v>
      </c>
      <c r="C1095" s="6" t="s">
        <v>140</v>
      </c>
      <c r="D1095" s="0" t="n">
        <v>342.763355272621</v>
      </c>
      <c r="E1095" s="0" t="n">
        <v>4.773333333</v>
      </c>
      <c r="F1095" s="0" t="n">
        <v>1</v>
      </c>
      <c r="G1095" s="0" t="n">
        <v>0</v>
      </c>
      <c r="H1095" s="0" t="n">
        <v>0</v>
      </c>
      <c r="I1095" s="0" t="n">
        <v>1</v>
      </c>
      <c r="J1095" s="0" t="n">
        <v>0</v>
      </c>
      <c r="K1095" s="0" t="n">
        <v>1</v>
      </c>
      <c r="L1095" s="0" t="n">
        <v>2</v>
      </c>
    </row>
    <row r="1096" customFormat="false" ht="15" hidden="false" customHeight="false" outlineLevel="0" collapsed="false">
      <c r="A1096" s="5" t="n">
        <v>40337</v>
      </c>
      <c r="B1096" s="6" t="s">
        <v>130</v>
      </c>
      <c r="C1096" s="6" t="s">
        <v>140</v>
      </c>
      <c r="D1096" s="0" t="n">
        <v>360.594649889796</v>
      </c>
      <c r="E1096" s="0" t="n">
        <v>5.454285714</v>
      </c>
      <c r="F1096" s="0" t="n">
        <v>1</v>
      </c>
      <c r="G1096" s="0" t="n">
        <v>0</v>
      </c>
      <c r="H1096" s="0" t="n">
        <v>0</v>
      </c>
      <c r="I1096" s="0" t="n">
        <v>0</v>
      </c>
      <c r="J1096" s="0" t="n">
        <v>1</v>
      </c>
      <c r="K1096" s="0" t="n">
        <v>1</v>
      </c>
      <c r="L1096" s="0" t="n">
        <v>2</v>
      </c>
    </row>
    <row r="1097" customFormat="false" ht="15" hidden="false" customHeight="false" outlineLevel="0" collapsed="false">
      <c r="A1097" s="5" t="n">
        <v>40344</v>
      </c>
      <c r="B1097" s="6" t="s">
        <v>130</v>
      </c>
      <c r="C1097" s="6" t="s">
        <v>140</v>
      </c>
      <c r="D1097" s="0" t="n">
        <v>283.693763499371</v>
      </c>
      <c r="E1097" s="0" t="n">
        <v>4.483333333</v>
      </c>
      <c r="F1097" s="0" t="n">
        <v>1</v>
      </c>
      <c r="G1097" s="0" t="n">
        <v>0</v>
      </c>
      <c r="H1097" s="0" t="n">
        <v>0</v>
      </c>
      <c r="I1097" s="0" t="n">
        <v>0</v>
      </c>
      <c r="J1097" s="0" t="n">
        <v>1</v>
      </c>
      <c r="K1097" s="0" t="n">
        <v>1</v>
      </c>
      <c r="L1097" s="0" t="n">
        <v>2</v>
      </c>
    </row>
    <row r="1098" customFormat="false" ht="15" hidden="false" customHeight="false" outlineLevel="0" collapsed="false">
      <c r="A1098" s="5" t="n">
        <v>40351</v>
      </c>
      <c r="B1098" s="6" t="s">
        <v>130</v>
      </c>
      <c r="C1098" s="6" t="s">
        <v>140</v>
      </c>
      <c r="D1098" s="0" t="n">
        <v>248.036441056751</v>
      </c>
      <c r="E1098" s="0" t="n">
        <v>4.759230769</v>
      </c>
      <c r="F1098" s="0" t="n">
        <v>1</v>
      </c>
      <c r="G1098" s="0" t="n">
        <v>0</v>
      </c>
      <c r="H1098" s="0" t="n">
        <v>0</v>
      </c>
      <c r="I1098" s="0" t="n">
        <v>0</v>
      </c>
      <c r="J1098" s="0" t="n">
        <v>0</v>
      </c>
      <c r="K1098" s="0" t="n">
        <v>1</v>
      </c>
      <c r="L1098" s="0" t="n">
        <v>2</v>
      </c>
    </row>
    <row r="1099" customFormat="false" ht="15" hidden="false" customHeight="false" outlineLevel="0" collapsed="false">
      <c r="A1099" s="5" t="n">
        <v>40358</v>
      </c>
      <c r="B1099" s="6" t="s">
        <v>130</v>
      </c>
      <c r="C1099" s="6" t="s">
        <v>140</v>
      </c>
      <c r="D1099" s="0" t="n">
        <v>378.967575512483</v>
      </c>
      <c r="E1099" s="0" t="n">
        <v>3.768571429</v>
      </c>
      <c r="F1099" s="0" t="n">
        <v>1</v>
      </c>
      <c r="G1099" s="0" t="n">
        <v>0</v>
      </c>
      <c r="H1099" s="0" t="n">
        <v>1</v>
      </c>
      <c r="I1099" s="0" t="n">
        <v>0</v>
      </c>
      <c r="J1099" s="0" t="n">
        <v>0</v>
      </c>
      <c r="K1099" s="0" t="n">
        <v>1</v>
      </c>
      <c r="L1099" s="0" t="n">
        <v>2</v>
      </c>
    </row>
    <row r="1100" customFormat="false" ht="15" hidden="false" customHeight="false" outlineLevel="0" collapsed="false">
      <c r="A1100" s="5" t="n">
        <v>40365</v>
      </c>
      <c r="B1100" s="6" t="s">
        <v>130</v>
      </c>
      <c r="C1100" s="6" t="s">
        <v>140</v>
      </c>
      <c r="D1100" s="0" t="n">
        <v>270.206872667468</v>
      </c>
      <c r="E1100" s="0" t="n">
        <v>4.950625</v>
      </c>
      <c r="F1100" s="0" t="n">
        <v>1</v>
      </c>
      <c r="G1100" s="0" t="n">
        <v>0</v>
      </c>
      <c r="H1100" s="0" t="n">
        <v>0</v>
      </c>
      <c r="I1100" s="0" t="n">
        <v>1</v>
      </c>
      <c r="J1100" s="0" t="n">
        <v>0</v>
      </c>
      <c r="K1100" s="0" t="n">
        <v>1</v>
      </c>
      <c r="L1100" s="0" t="n">
        <v>2</v>
      </c>
    </row>
    <row r="1101" customFormat="false" ht="15" hidden="false" customHeight="false" outlineLevel="0" collapsed="false">
      <c r="A1101" s="5" t="n">
        <v>40372</v>
      </c>
      <c r="B1101" s="6" t="s">
        <v>130</v>
      </c>
      <c r="C1101" s="6" t="s">
        <v>140</v>
      </c>
      <c r="D1101" s="0" t="n">
        <v>305.500568865987</v>
      </c>
      <c r="E1101" s="0" t="n">
        <v>4.486666667</v>
      </c>
      <c r="F1101" s="0" t="n">
        <v>1</v>
      </c>
      <c r="G1101" s="0" t="n">
        <v>0</v>
      </c>
      <c r="H1101" s="0" t="n">
        <v>0</v>
      </c>
      <c r="I1101" s="0" t="n">
        <v>1</v>
      </c>
      <c r="J1101" s="0" t="n">
        <v>0</v>
      </c>
      <c r="K1101" s="0" t="n">
        <v>1</v>
      </c>
      <c r="L1101" s="0" t="n">
        <v>2</v>
      </c>
    </row>
    <row r="1102" customFormat="false" ht="15" hidden="false" customHeight="false" outlineLevel="0" collapsed="false">
      <c r="A1102" s="5" t="n">
        <v>40302</v>
      </c>
      <c r="B1102" s="6" t="s">
        <v>141</v>
      </c>
      <c r="C1102" s="6" t="s">
        <v>142</v>
      </c>
      <c r="D1102" s="0" t="n">
        <v>194.943435790062</v>
      </c>
      <c r="E1102" s="0" t="n">
        <v>4.047142857</v>
      </c>
      <c r="F1102" s="0" t="n">
        <v>0</v>
      </c>
      <c r="G1102" s="0" t="n">
        <v>0</v>
      </c>
      <c r="H1102" s="0" t="n">
        <v>0</v>
      </c>
      <c r="I1102" s="0" t="n">
        <v>0</v>
      </c>
      <c r="J1102" s="0" t="n">
        <v>0</v>
      </c>
      <c r="K1102" s="0" t="n">
        <v>2</v>
      </c>
      <c r="L1102" s="0" t="n">
        <v>3</v>
      </c>
    </row>
    <row r="1103" customFormat="false" ht="15" hidden="false" customHeight="false" outlineLevel="0" collapsed="false">
      <c r="A1103" s="5" t="n">
        <v>40309</v>
      </c>
      <c r="B1103" s="6" t="s">
        <v>141</v>
      </c>
      <c r="C1103" s="6" t="s">
        <v>142</v>
      </c>
      <c r="D1103" s="0" t="n">
        <v>130.595290689436</v>
      </c>
      <c r="E1103" s="0" t="n">
        <v>3.64</v>
      </c>
      <c r="F1103" s="0" t="n">
        <v>0</v>
      </c>
      <c r="G1103" s="0" t="n">
        <v>0</v>
      </c>
      <c r="H1103" s="0" t="n">
        <v>0</v>
      </c>
      <c r="I1103" s="0" t="n">
        <v>0</v>
      </c>
      <c r="J1103" s="0" t="n">
        <v>0</v>
      </c>
      <c r="K1103" s="0" t="n">
        <v>2</v>
      </c>
      <c r="L1103" s="0" t="n">
        <v>3</v>
      </c>
    </row>
    <row r="1104" customFormat="false" ht="15" hidden="false" customHeight="false" outlineLevel="0" collapsed="false">
      <c r="A1104" s="5" t="n">
        <v>40316</v>
      </c>
      <c r="B1104" s="6" t="s">
        <v>141</v>
      </c>
      <c r="C1104" s="6" t="s">
        <v>142</v>
      </c>
      <c r="D1104" s="0" t="n">
        <v>232.022321697341</v>
      </c>
      <c r="E1104" s="0" t="n">
        <v>3.765</v>
      </c>
      <c r="F1104" s="0" t="n">
        <v>0</v>
      </c>
      <c r="G1104" s="0" t="n">
        <v>0</v>
      </c>
      <c r="H1104" s="0" t="n">
        <v>0</v>
      </c>
      <c r="I1104" s="0" t="n">
        <v>0</v>
      </c>
      <c r="J1104" s="0" t="n">
        <v>0</v>
      </c>
      <c r="K1104" s="0" t="n">
        <v>2</v>
      </c>
      <c r="L1104" s="0" t="n">
        <v>3</v>
      </c>
    </row>
    <row r="1105" customFormat="false" ht="15" hidden="false" customHeight="false" outlineLevel="0" collapsed="false">
      <c r="A1105" s="5" t="n">
        <v>40323</v>
      </c>
      <c r="B1105" s="6" t="s">
        <v>141</v>
      </c>
      <c r="C1105" s="6" t="s">
        <v>142</v>
      </c>
      <c r="D1105" s="0" t="n">
        <v>212.955317634339</v>
      </c>
      <c r="E1105" s="0" t="n">
        <v>3.55</v>
      </c>
      <c r="F1105" s="0" t="n">
        <v>0</v>
      </c>
      <c r="G1105" s="0" t="n">
        <v>0</v>
      </c>
      <c r="H1105" s="0" t="n">
        <v>0</v>
      </c>
      <c r="I1105" s="0" t="n">
        <v>0</v>
      </c>
      <c r="J1105" s="0" t="n">
        <v>0</v>
      </c>
      <c r="K1105" s="0" t="n">
        <v>2</v>
      </c>
      <c r="L1105" s="0" t="n">
        <v>3</v>
      </c>
    </row>
    <row r="1106" customFormat="false" ht="15" hidden="false" customHeight="false" outlineLevel="0" collapsed="false">
      <c r="A1106" s="5" t="n">
        <v>40330</v>
      </c>
      <c r="B1106" s="6" t="s">
        <v>141</v>
      </c>
      <c r="C1106" s="6" t="s">
        <v>142</v>
      </c>
      <c r="D1106" s="0" t="n">
        <v>162.340529150627</v>
      </c>
      <c r="E1106" s="0" t="n">
        <v>3.534444444</v>
      </c>
      <c r="F1106" s="0" t="n">
        <v>0</v>
      </c>
      <c r="G1106" s="0" t="n">
        <v>0</v>
      </c>
      <c r="H1106" s="0" t="n">
        <v>0</v>
      </c>
      <c r="I1106" s="0" t="n">
        <v>0</v>
      </c>
      <c r="J1106" s="0" t="n">
        <v>0</v>
      </c>
      <c r="K1106" s="0" t="n">
        <v>2</v>
      </c>
      <c r="L1106" s="0" t="n">
        <v>3</v>
      </c>
    </row>
    <row r="1107" customFormat="false" ht="15" hidden="false" customHeight="false" outlineLevel="0" collapsed="false">
      <c r="A1107" s="5" t="n">
        <v>40337</v>
      </c>
      <c r="B1107" s="6" t="s">
        <v>141</v>
      </c>
      <c r="C1107" s="6" t="s">
        <v>142</v>
      </c>
      <c r="D1107" s="0" t="n">
        <v>196.185915829739</v>
      </c>
      <c r="E1107" s="0" t="n">
        <v>3.861428571</v>
      </c>
      <c r="F1107" s="0" t="n">
        <v>0</v>
      </c>
      <c r="G1107" s="0" t="n">
        <v>0</v>
      </c>
      <c r="H1107" s="0" t="n">
        <v>0</v>
      </c>
      <c r="I1107" s="0" t="n">
        <v>0</v>
      </c>
      <c r="J1107" s="0" t="n">
        <v>0</v>
      </c>
      <c r="K1107" s="0" t="n">
        <v>2</v>
      </c>
      <c r="L1107" s="0" t="n">
        <v>3</v>
      </c>
    </row>
    <row r="1108" customFormat="false" ht="15" hidden="false" customHeight="false" outlineLevel="0" collapsed="false">
      <c r="A1108" s="5" t="n">
        <v>40344</v>
      </c>
      <c r="B1108" s="6" t="s">
        <v>141</v>
      </c>
      <c r="C1108" s="6" t="s">
        <v>142</v>
      </c>
      <c r="D1108" s="0" t="n">
        <v>189.97022168515</v>
      </c>
      <c r="E1108" s="0" t="n">
        <v>3.64</v>
      </c>
      <c r="F1108" s="0" t="n">
        <v>0</v>
      </c>
      <c r="G1108" s="0" t="n">
        <v>0</v>
      </c>
      <c r="H1108" s="0" t="n">
        <v>0</v>
      </c>
      <c r="I1108" s="0" t="n">
        <v>0</v>
      </c>
      <c r="J1108" s="0" t="n">
        <v>0</v>
      </c>
      <c r="K1108" s="0" t="n">
        <v>2</v>
      </c>
      <c r="L1108" s="0" t="n">
        <v>3</v>
      </c>
    </row>
    <row r="1109" customFormat="false" ht="15" hidden="false" customHeight="false" outlineLevel="0" collapsed="false">
      <c r="A1109" s="5" t="n">
        <v>40351</v>
      </c>
      <c r="B1109" s="6" t="s">
        <v>141</v>
      </c>
      <c r="C1109" s="6" t="s">
        <v>142</v>
      </c>
      <c r="D1109" s="0" t="n">
        <v>218.373252849237</v>
      </c>
      <c r="E1109" s="0" t="n">
        <v>3.845555556</v>
      </c>
      <c r="F1109" s="0" t="n">
        <v>0</v>
      </c>
      <c r="G1109" s="0" t="n">
        <v>0</v>
      </c>
      <c r="H1109" s="0" t="n">
        <v>0</v>
      </c>
      <c r="I1109" s="0" t="n">
        <v>0</v>
      </c>
      <c r="J1109" s="0" t="n">
        <v>0</v>
      </c>
      <c r="K1109" s="0" t="n">
        <v>2</v>
      </c>
      <c r="L1109" s="0" t="n">
        <v>3</v>
      </c>
    </row>
    <row r="1110" customFormat="false" ht="15" hidden="false" customHeight="false" outlineLevel="0" collapsed="false">
      <c r="A1110" s="5" t="n">
        <v>40358</v>
      </c>
      <c r="B1110" s="6" t="s">
        <v>141</v>
      </c>
      <c r="C1110" s="6" t="s">
        <v>142</v>
      </c>
      <c r="D1110" s="0" t="n">
        <v>116.253893532967</v>
      </c>
      <c r="E1110" s="0" t="n">
        <v>4.0275</v>
      </c>
      <c r="F1110" s="0" t="n">
        <v>0</v>
      </c>
      <c r="G1110" s="0" t="n">
        <v>0</v>
      </c>
      <c r="H1110" s="0" t="n">
        <v>0</v>
      </c>
      <c r="I1110" s="0" t="n">
        <v>0</v>
      </c>
      <c r="J1110" s="0" t="n">
        <v>0</v>
      </c>
      <c r="K1110" s="0" t="n">
        <v>2</v>
      </c>
      <c r="L1110" s="0" t="n">
        <v>3</v>
      </c>
    </row>
    <row r="1111" customFormat="false" ht="15" hidden="false" customHeight="false" outlineLevel="0" collapsed="false">
      <c r="A1111" s="5" t="n">
        <v>40365</v>
      </c>
      <c r="B1111" s="6" t="s">
        <v>141</v>
      </c>
      <c r="C1111" s="6" t="s">
        <v>142</v>
      </c>
      <c r="D1111" s="0" t="n">
        <v>244.414461284145</v>
      </c>
      <c r="E1111" s="0" t="n">
        <v>3.625555556</v>
      </c>
      <c r="F1111" s="0" t="n">
        <v>0</v>
      </c>
      <c r="G1111" s="0" t="n">
        <v>0</v>
      </c>
      <c r="H1111" s="0" t="n">
        <v>0</v>
      </c>
      <c r="I1111" s="0" t="n">
        <v>0</v>
      </c>
      <c r="J1111" s="0" t="n">
        <v>0</v>
      </c>
      <c r="K1111" s="0" t="n">
        <v>2</v>
      </c>
      <c r="L1111" s="0" t="n">
        <v>3</v>
      </c>
    </row>
    <row r="1112" customFormat="false" ht="15" hidden="false" customHeight="false" outlineLevel="0" collapsed="false">
      <c r="A1112" s="5" t="n">
        <v>40372</v>
      </c>
      <c r="B1112" s="6" t="s">
        <v>141</v>
      </c>
      <c r="C1112" s="6" t="s">
        <v>142</v>
      </c>
      <c r="D1112" s="0" t="n">
        <v>259.798453524139</v>
      </c>
      <c r="E1112" s="0" t="n">
        <v>3.7875</v>
      </c>
      <c r="F1112" s="0" t="n">
        <v>0</v>
      </c>
      <c r="G1112" s="0" t="n">
        <v>0</v>
      </c>
      <c r="H1112" s="0" t="n">
        <v>0</v>
      </c>
      <c r="I1112" s="0" t="n">
        <v>0</v>
      </c>
      <c r="J1112" s="0" t="n">
        <v>0</v>
      </c>
      <c r="K1112" s="0" t="n">
        <v>2</v>
      </c>
      <c r="L1112" s="0" t="n">
        <v>3</v>
      </c>
    </row>
    <row r="1113" customFormat="false" ht="15" hidden="false" customHeight="false" outlineLevel="0" collapsed="false">
      <c r="A1113" s="5" t="n">
        <v>40302</v>
      </c>
      <c r="B1113" s="6" t="s">
        <v>141</v>
      </c>
      <c r="C1113" s="6" t="s">
        <v>143</v>
      </c>
      <c r="D1113" s="0" t="n">
        <v>87.7735844355747</v>
      </c>
      <c r="E1113" s="0" t="n">
        <v>4.047142857</v>
      </c>
      <c r="F1113" s="0" t="n">
        <v>0</v>
      </c>
      <c r="G1113" s="0" t="n">
        <v>0</v>
      </c>
      <c r="H1113" s="0" t="n">
        <v>0</v>
      </c>
      <c r="I1113" s="0" t="n">
        <v>0</v>
      </c>
      <c r="J1113" s="0" t="n">
        <v>0</v>
      </c>
      <c r="K1113" s="0" t="n">
        <v>0</v>
      </c>
      <c r="L1113" s="0" t="n">
        <v>4</v>
      </c>
    </row>
    <row r="1114" customFormat="false" ht="15" hidden="false" customHeight="false" outlineLevel="0" collapsed="false">
      <c r="A1114" s="5" t="n">
        <v>40309</v>
      </c>
      <c r="B1114" s="6" t="s">
        <v>141</v>
      </c>
      <c r="C1114" s="6" t="s">
        <v>143</v>
      </c>
      <c r="D1114" s="0" t="n">
        <v>245.933524310011</v>
      </c>
      <c r="E1114" s="0" t="n">
        <v>3.715</v>
      </c>
      <c r="F1114" s="0" t="n">
        <v>0</v>
      </c>
      <c r="G1114" s="0" t="n">
        <v>0</v>
      </c>
      <c r="H1114" s="0" t="n">
        <v>0</v>
      </c>
      <c r="I1114" s="0" t="n">
        <v>0</v>
      </c>
      <c r="J1114" s="0" t="n">
        <v>0</v>
      </c>
      <c r="K1114" s="0" t="n">
        <v>0</v>
      </c>
      <c r="L1114" s="0" t="n">
        <v>4</v>
      </c>
    </row>
    <row r="1115" customFormat="false" ht="15" hidden="false" customHeight="false" outlineLevel="0" collapsed="false">
      <c r="A1115" s="5" t="n">
        <v>40316</v>
      </c>
      <c r="B1115" s="6" t="s">
        <v>141</v>
      </c>
      <c r="C1115" s="6" t="s">
        <v>143</v>
      </c>
      <c r="D1115" s="0" t="n">
        <v>210.683381887239</v>
      </c>
      <c r="E1115" s="0" t="n">
        <v>3.55</v>
      </c>
      <c r="F1115" s="0" t="n">
        <v>0</v>
      </c>
      <c r="G1115" s="0" t="n">
        <v>0</v>
      </c>
      <c r="H1115" s="0" t="n">
        <v>0</v>
      </c>
      <c r="I1115" s="0" t="n">
        <v>0</v>
      </c>
      <c r="J1115" s="0" t="n">
        <v>0</v>
      </c>
      <c r="K1115" s="0" t="n">
        <v>0</v>
      </c>
      <c r="L1115" s="0" t="n">
        <v>4</v>
      </c>
    </row>
    <row r="1116" customFormat="false" ht="15" hidden="false" customHeight="false" outlineLevel="0" collapsed="false">
      <c r="A1116" s="5" t="n">
        <v>40323</v>
      </c>
      <c r="B1116" s="6" t="s">
        <v>141</v>
      </c>
      <c r="C1116" s="6" t="s">
        <v>143</v>
      </c>
      <c r="D1116" s="0" t="n">
        <v>178.488467406892</v>
      </c>
      <c r="E1116" s="0" t="n">
        <v>3.456666667</v>
      </c>
      <c r="F1116" s="0" t="n">
        <v>0</v>
      </c>
      <c r="G1116" s="0" t="n">
        <v>0</v>
      </c>
      <c r="H1116" s="0" t="n">
        <v>0</v>
      </c>
      <c r="I1116" s="0" t="n">
        <v>0</v>
      </c>
      <c r="J1116" s="0" t="n">
        <v>0</v>
      </c>
      <c r="K1116" s="0" t="n">
        <v>0</v>
      </c>
      <c r="L1116" s="0" t="n">
        <v>4</v>
      </c>
    </row>
    <row r="1117" customFormat="false" ht="15" hidden="false" customHeight="false" outlineLevel="0" collapsed="false">
      <c r="A1117" s="5" t="n">
        <v>40330</v>
      </c>
      <c r="B1117" s="6" t="s">
        <v>141</v>
      </c>
      <c r="C1117" s="6" t="s">
        <v>143</v>
      </c>
      <c r="D1117" s="0" t="n">
        <v>167.605026542743</v>
      </c>
      <c r="E1117" s="0" t="n">
        <v>3.645555556</v>
      </c>
      <c r="F1117" s="0" t="n">
        <v>0</v>
      </c>
      <c r="G1117" s="0" t="n">
        <v>0</v>
      </c>
      <c r="H1117" s="0" t="n">
        <v>0</v>
      </c>
      <c r="I1117" s="0" t="n">
        <v>0</v>
      </c>
      <c r="J1117" s="0" t="n">
        <v>0</v>
      </c>
      <c r="K1117" s="0" t="n">
        <v>0</v>
      </c>
      <c r="L1117" s="0" t="n">
        <v>4</v>
      </c>
    </row>
    <row r="1118" customFormat="false" ht="15" hidden="false" customHeight="false" outlineLevel="0" collapsed="false">
      <c r="A1118" s="5" t="n">
        <v>40337</v>
      </c>
      <c r="B1118" s="6" t="s">
        <v>141</v>
      </c>
      <c r="C1118" s="6" t="s">
        <v>143</v>
      </c>
      <c r="D1118" s="0" t="n">
        <v>198.357488590768</v>
      </c>
      <c r="E1118" s="0" t="n">
        <v>3.64</v>
      </c>
      <c r="F1118" s="0" t="n">
        <v>0</v>
      </c>
      <c r="G1118" s="0" t="n">
        <v>0</v>
      </c>
      <c r="H1118" s="0" t="n">
        <v>0</v>
      </c>
      <c r="I1118" s="0" t="n">
        <v>0</v>
      </c>
      <c r="J1118" s="0" t="n">
        <v>0</v>
      </c>
      <c r="K1118" s="0" t="n">
        <v>0</v>
      </c>
      <c r="L1118" s="0" t="n">
        <v>4</v>
      </c>
    </row>
    <row r="1119" customFormat="false" ht="15" hidden="false" customHeight="false" outlineLevel="0" collapsed="false">
      <c r="A1119" s="5" t="n">
        <v>40344</v>
      </c>
      <c r="B1119" s="6" t="s">
        <v>141</v>
      </c>
      <c r="C1119" s="6" t="s">
        <v>143</v>
      </c>
      <c r="D1119" s="0" t="n">
        <v>238.09361478072</v>
      </c>
      <c r="E1119" s="0" t="n">
        <v>3.944545455</v>
      </c>
      <c r="F1119" s="0" t="n">
        <v>0</v>
      </c>
      <c r="G1119" s="0" t="n">
        <v>0</v>
      </c>
      <c r="H1119" s="0" t="n">
        <v>0</v>
      </c>
      <c r="I1119" s="0" t="n">
        <v>0</v>
      </c>
      <c r="J1119" s="0" t="n">
        <v>0</v>
      </c>
      <c r="K1119" s="0" t="n">
        <v>0</v>
      </c>
      <c r="L1119" s="0" t="n">
        <v>4</v>
      </c>
    </row>
    <row r="1120" customFormat="false" ht="15" hidden="false" customHeight="false" outlineLevel="0" collapsed="false">
      <c r="A1120" s="5" t="n">
        <v>40351</v>
      </c>
      <c r="B1120" s="6" t="s">
        <v>141</v>
      </c>
      <c r="C1120" s="6" t="s">
        <v>143</v>
      </c>
      <c r="D1120" s="0" t="n">
        <v>175.314193607254</v>
      </c>
      <c r="E1120" s="0" t="n">
        <v>3.9775</v>
      </c>
      <c r="F1120" s="0" t="n">
        <v>0</v>
      </c>
      <c r="G1120" s="0" t="n">
        <v>0</v>
      </c>
      <c r="H1120" s="0" t="n">
        <v>0</v>
      </c>
      <c r="I1120" s="0" t="n">
        <v>0</v>
      </c>
      <c r="J1120" s="0" t="n">
        <v>0</v>
      </c>
      <c r="K1120" s="0" t="n">
        <v>0</v>
      </c>
      <c r="L1120" s="0" t="n">
        <v>4</v>
      </c>
    </row>
    <row r="1121" customFormat="false" ht="15" hidden="false" customHeight="false" outlineLevel="0" collapsed="false">
      <c r="A1121" s="5" t="n">
        <v>40358</v>
      </c>
      <c r="B1121" s="6" t="s">
        <v>141</v>
      </c>
      <c r="C1121" s="6" t="s">
        <v>143</v>
      </c>
      <c r="D1121" s="0" t="n">
        <v>191.40718785265</v>
      </c>
      <c r="E1121" s="0" t="n">
        <v>4.565</v>
      </c>
      <c r="F1121" s="0" t="n">
        <v>0</v>
      </c>
      <c r="G1121" s="0" t="n">
        <v>0</v>
      </c>
      <c r="H1121" s="0" t="n">
        <v>0</v>
      </c>
      <c r="I1121" s="0" t="n">
        <v>0</v>
      </c>
      <c r="J1121" s="0" t="n">
        <v>0</v>
      </c>
      <c r="K1121" s="0" t="n">
        <v>0</v>
      </c>
      <c r="L1121" s="0" t="n">
        <v>4</v>
      </c>
    </row>
    <row r="1122" customFormat="false" ht="15" hidden="false" customHeight="false" outlineLevel="0" collapsed="false">
      <c r="A1122" s="5" t="n">
        <v>40365</v>
      </c>
      <c r="B1122" s="6" t="s">
        <v>141</v>
      </c>
      <c r="C1122" s="6" t="s">
        <v>143</v>
      </c>
      <c r="D1122" s="0" t="n">
        <v>145.28131779877</v>
      </c>
      <c r="E1122" s="0" t="n">
        <v>3.625555556</v>
      </c>
      <c r="F1122" s="0" t="n">
        <v>0</v>
      </c>
      <c r="G1122" s="0" t="n">
        <v>0</v>
      </c>
      <c r="H1122" s="0" t="n">
        <v>0</v>
      </c>
      <c r="I1122" s="0" t="n">
        <v>0</v>
      </c>
      <c r="J1122" s="0" t="n">
        <v>0</v>
      </c>
      <c r="K1122" s="0" t="n">
        <v>0</v>
      </c>
      <c r="L1122" s="0" t="n">
        <v>4</v>
      </c>
    </row>
    <row r="1123" customFormat="false" ht="15" hidden="false" customHeight="false" outlineLevel="0" collapsed="false">
      <c r="A1123" s="5" t="n">
        <v>40372</v>
      </c>
      <c r="B1123" s="6" t="s">
        <v>141</v>
      </c>
      <c r="C1123" s="6" t="s">
        <v>143</v>
      </c>
      <c r="D1123" s="0" t="n">
        <v>275.562118844632</v>
      </c>
      <c r="E1123" s="0" t="n">
        <v>3.44</v>
      </c>
      <c r="F1123" s="0" t="n">
        <v>0</v>
      </c>
      <c r="G1123" s="0" t="n">
        <v>0</v>
      </c>
      <c r="H1123" s="0" t="n">
        <v>0</v>
      </c>
      <c r="I1123" s="0" t="n">
        <v>0</v>
      </c>
      <c r="J1123" s="0" t="n">
        <v>0</v>
      </c>
      <c r="K1123" s="0" t="n">
        <v>0</v>
      </c>
      <c r="L1123" s="0" t="n">
        <v>4</v>
      </c>
    </row>
    <row r="1124" customFormat="false" ht="15" hidden="false" customHeight="false" outlineLevel="0" collapsed="false">
      <c r="A1124" s="5" t="n">
        <v>40302</v>
      </c>
      <c r="B1124" s="6" t="s">
        <v>141</v>
      </c>
      <c r="C1124" s="6" t="s">
        <v>144</v>
      </c>
      <c r="D1124" s="0" t="n">
        <v>230.111228724153</v>
      </c>
      <c r="E1124" s="0" t="n">
        <v>3.804285714</v>
      </c>
      <c r="F1124" s="0" t="n">
        <v>0</v>
      </c>
      <c r="G1124" s="0" t="n">
        <v>0</v>
      </c>
      <c r="H1124" s="0" t="n">
        <v>0</v>
      </c>
      <c r="I1124" s="0" t="n">
        <v>0</v>
      </c>
      <c r="J1124" s="0" t="n">
        <v>0</v>
      </c>
      <c r="K1124" s="0" t="n">
        <v>1</v>
      </c>
      <c r="L1124" s="0" t="n">
        <v>3</v>
      </c>
    </row>
    <row r="1125" customFormat="false" ht="15" hidden="false" customHeight="false" outlineLevel="0" collapsed="false">
      <c r="A1125" s="5" t="n">
        <v>40309</v>
      </c>
      <c r="B1125" s="6" t="s">
        <v>141</v>
      </c>
      <c r="C1125" s="6" t="s">
        <v>144</v>
      </c>
      <c r="D1125" s="0" t="n">
        <v>168.728799522356</v>
      </c>
      <c r="E1125" s="0" t="n">
        <v>3.432857143</v>
      </c>
      <c r="F1125" s="0" t="n">
        <v>0</v>
      </c>
      <c r="G1125" s="0" t="n">
        <v>0</v>
      </c>
      <c r="H1125" s="0" t="n">
        <v>0</v>
      </c>
      <c r="I1125" s="0" t="n">
        <v>0</v>
      </c>
      <c r="J1125" s="0" t="n">
        <v>0</v>
      </c>
      <c r="K1125" s="0" t="n">
        <v>1</v>
      </c>
      <c r="L1125" s="0" t="n">
        <v>3</v>
      </c>
    </row>
    <row r="1126" customFormat="false" ht="15" hidden="false" customHeight="false" outlineLevel="0" collapsed="false">
      <c r="A1126" s="5" t="n">
        <v>40316</v>
      </c>
      <c r="B1126" s="6" t="s">
        <v>141</v>
      </c>
      <c r="C1126" s="6" t="s">
        <v>144</v>
      </c>
      <c r="D1126" s="0" t="n">
        <v>245.150878998771</v>
      </c>
      <c r="E1126" s="0" t="n">
        <v>3.456666667</v>
      </c>
      <c r="F1126" s="0" t="n">
        <v>0</v>
      </c>
      <c r="G1126" s="0" t="n">
        <v>0</v>
      </c>
      <c r="H1126" s="0" t="n">
        <v>0</v>
      </c>
      <c r="I1126" s="0" t="n">
        <v>0</v>
      </c>
      <c r="J1126" s="0" t="n">
        <v>0</v>
      </c>
      <c r="K1126" s="0" t="n">
        <v>1</v>
      </c>
      <c r="L1126" s="0" t="n">
        <v>3</v>
      </c>
    </row>
    <row r="1127" customFormat="false" ht="15" hidden="false" customHeight="false" outlineLevel="0" collapsed="false">
      <c r="A1127" s="5" t="n">
        <v>40323</v>
      </c>
      <c r="B1127" s="6" t="s">
        <v>141</v>
      </c>
      <c r="C1127" s="6" t="s">
        <v>144</v>
      </c>
      <c r="D1127" s="0" t="n">
        <v>228.758376733239</v>
      </c>
      <c r="E1127" s="0" t="n">
        <v>3.456666667</v>
      </c>
      <c r="F1127" s="0" t="n">
        <v>0</v>
      </c>
      <c r="G1127" s="0" t="n">
        <v>0</v>
      </c>
      <c r="H1127" s="0" t="n">
        <v>0</v>
      </c>
      <c r="I1127" s="0" t="n">
        <v>0</v>
      </c>
      <c r="J1127" s="0" t="n">
        <v>0</v>
      </c>
      <c r="K1127" s="0" t="n">
        <v>1</v>
      </c>
      <c r="L1127" s="0" t="n">
        <v>3</v>
      </c>
    </row>
    <row r="1128" customFormat="false" ht="15" hidden="false" customHeight="false" outlineLevel="0" collapsed="false">
      <c r="A1128" s="5" t="n">
        <v>40330</v>
      </c>
      <c r="B1128" s="6" t="s">
        <v>141</v>
      </c>
      <c r="C1128" s="6" t="s">
        <v>144</v>
      </c>
      <c r="D1128" s="0" t="n">
        <v>79.2435850355201</v>
      </c>
      <c r="E1128" s="0" t="n">
        <v>3.456666667</v>
      </c>
      <c r="F1128" s="0" t="n">
        <v>0</v>
      </c>
      <c r="G1128" s="0" t="n">
        <v>0</v>
      </c>
      <c r="H1128" s="0" t="n">
        <v>0</v>
      </c>
      <c r="I1128" s="0" t="n">
        <v>0</v>
      </c>
      <c r="J1128" s="0" t="n">
        <v>0</v>
      </c>
      <c r="K1128" s="0" t="n">
        <v>1</v>
      </c>
      <c r="L1128" s="0" t="n">
        <v>3</v>
      </c>
    </row>
    <row r="1129" customFormat="false" ht="15" hidden="false" customHeight="false" outlineLevel="0" collapsed="false">
      <c r="A1129" s="5" t="n">
        <v>40337</v>
      </c>
      <c r="B1129" s="6" t="s">
        <v>141</v>
      </c>
      <c r="C1129" s="6" t="s">
        <v>144</v>
      </c>
      <c r="D1129" s="0" t="n">
        <v>177.136491883965</v>
      </c>
      <c r="E1129" s="0" t="n">
        <v>3.556666667</v>
      </c>
      <c r="F1129" s="0" t="n">
        <v>0</v>
      </c>
      <c r="G1129" s="0" t="n">
        <v>0</v>
      </c>
      <c r="H1129" s="0" t="n">
        <v>0</v>
      </c>
      <c r="I1129" s="0" t="n">
        <v>0</v>
      </c>
      <c r="J1129" s="0" t="n">
        <v>0</v>
      </c>
      <c r="K1129" s="0" t="n">
        <v>1</v>
      </c>
      <c r="L1129" s="0" t="n">
        <v>3</v>
      </c>
    </row>
    <row r="1130" customFormat="false" ht="15" hidden="false" customHeight="false" outlineLevel="0" collapsed="false">
      <c r="A1130" s="5" t="n">
        <v>40344</v>
      </c>
      <c r="B1130" s="6" t="s">
        <v>141</v>
      </c>
      <c r="C1130" s="6" t="s">
        <v>144</v>
      </c>
      <c r="D1130" s="0" t="n">
        <v>212.027145524047</v>
      </c>
      <c r="E1130" s="0" t="n">
        <v>3.556666667</v>
      </c>
      <c r="F1130" s="0" t="n">
        <v>0</v>
      </c>
      <c r="G1130" s="0" t="n">
        <v>0</v>
      </c>
      <c r="H1130" s="0" t="n">
        <v>0</v>
      </c>
      <c r="I1130" s="0" t="n">
        <v>0</v>
      </c>
      <c r="J1130" s="0" t="n">
        <v>0</v>
      </c>
      <c r="K1130" s="0" t="n">
        <v>1</v>
      </c>
      <c r="L1130" s="0" t="n">
        <v>3</v>
      </c>
    </row>
    <row r="1131" customFormat="false" ht="15" hidden="false" customHeight="false" outlineLevel="0" collapsed="false">
      <c r="A1131" s="5" t="n">
        <v>40351</v>
      </c>
      <c r="B1131" s="6" t="s">
        <v>141</v>
      </c>
      <c r="C1131" s="6" t="s">
        <v>144</v>
      </c>
      <c r="D1131" s="0" t="n">
        <v>189.08602925724</v>
      </c>
      <c r="E1131" s="0" t="n">
        <v>3.664444444</v>
      </c>
      <c r="F1131" s="0" t="n">
        <v>0</v>
      </c>
      <c r="G1131" s="0" t="n">
        <v>0</v>
      </c>
      <c r="H1131" s="0" t="n">
        <v>0</v>
      </c>
      <c r="I1131" s="0" t="n">
        <v>0</v>
      </c>
      <c r="J1131" s="0" t="n">
        <v>0</v>
      </c>
      <c r="K1131" s="0" t="n">
        <v>1</v>
      </c>
      <c r="L1131" s="0" t="n">
        <v>3</v>
      </c>
    </row>
    <row r="1132" customFormat="false" ht="15" hidden="false" customHeight="false" outlineLevel="0" collapsed="false">
      <c r="A1132" s="5" t="n">
        <v>40358</v>
      </c>
      <c r="B1132" s="6" t="s">
        <v>141</v>
      </c>
      <c r="C1132" s="6" t="s">
        <v>144</v>
      </c>
      <c r="D1132" s="0" t="n">
        <v>140.576264235099</v>
      </c>
      <c r="E1132" s="0" t="n">
        <v>3.69</v>
      </c>
      <c r="F1132" s="0" t="n">
        <v>0</v>
      </c>
      <c r="G1132" s="0" t="n">
        <v>0</v>
      </c>
      <c r="H1132" s="0" t="n">
        <v>0</v>
      </c>
      <c r="I1132" s="0" t="n">
        <v>0</v>
      </c>
      <c r="J1132" s="0" t="n">
        <v>0</v>
      </c>
      <c r="K1132" s="0" t="n">
        <v>1</v>
      </c>
      <c r="L1132" s="0" t="n">
        <v>3</v>
      </c>
    </row>
    <row r="1133" customFormat="false" ht="15" hidden="false" customHeight="false" outlineLevel="0" collapsed="false">
      <c r="A1133" s="5" t="n">
        <v>40365</v>
      </c>
      <c r="B1133" s="6" t="s">
        <v>141</v>
      </c>
      <c r="C1133" s="6" t="s">
        <v>144</v>
      </c>
      <c r="D1133" s="0" t="n">
        <v>167.774612177158</v>
      </c>
      <c r="E1133" s="0" t="n">
        <v>3.44</v>
      </c>
      <c r="F1133" s="0" t="n">
        <v>0</v>
      </c>
      <c r="G1133" s="0" t="n">
        <v>0</v>
      </c>
      <c r="H1133" s="0" t="n">
        <v>0</v>
      </c>
      <c r="I1133" s="0" t="n">
        <v>0</v>
      </c>
      <c r="J1133" s="0" t="n">
        <v>0</v>
      </c>
      <c r="K1133" s="0" t="n">
        <v>1</v>
      </c>
      <c r="L1133" s="0" t="n">
        <v>3</v>
      </c>
    </row>
    <row r="1134" customFormat="false" ht="15" hidden="false" customHeight="false" outlineLevel="0" collapsed="false">
      <c r="A1134" s="5" t="n">
        <v>40372</v>
      </c>
      <c r="B1134" s="6" t="s">
        <v>141</v>
      </c>
      <c r="C1134" s="6" t="s">
        <v>144</v>
      </c>
      <c r="D1134" s="0" t="n">
        <v>249.088755832424</v>
      </c>
      <c r="E1134" s="0" t="n">
        <v>3.57875</v>
      </c>
      <c r="F1134" s="0" t="n">
        <v>0</v>
      </c>
      <c r="G1134" s="0" t="n">
        <v>0</v>
      </c>
      <c r="H1134" s="0" t="n">
        <v>0</v>
      </c>
      <c r="I1134" s="0" t="n">
        <v>0</v>
      </c>
      <c r="J1134" s="0" t="n">
        <v>0</v>
      </c>
      <c r="K1134" s="0" t="n">
        <v>1</v>
      </c>
      <c r="L1134" s="0" t="n">
        <v>3</v>
      </c>
    </row>
    <row r="1135" customFormat="false" ht="15" hidden="false" customHeight="false" outlineLevel="0" collapsed="false">
      <c r="A1135" s="5" t="n">
        <v>40302</v>
      </c>
      <c r="B1135" s="6" t="s">
        <v>141</v>
      </c>
      <c r="C1135" s="6" t="s">
        <v>145</v>
      </c>
      <c r="D1135" s="0" t="n">
        <v>184.181193640252</v>
      </c>
      <c r="E1135" s="0" t="n">
        <v>4.07</v>
      </c>
      <c r="F1135" s="0" t="n">
        <v>0</v>
      </c>
      <c r="G1135" s="0" t="n">
        <v>0</v>
      </c>
      <c r="H1135" s="0" t="n">
        <v>0</v>
      </c>
      <c r="I1135" s="0" t="n">
        <v>0</v>
      </c>
      <c r="J1135" s="0" t="n">
        <v>0</v>
      </c>
      <c r="K1135" s="0" t="n">
        <v>0</v>
      </c>
      <c r="L1135" s="0" t="n">
        <v>5</v>
      </c>
    </row>
    <row r="1136" customFormat="false" ht="15" hidden="false" customHeight="false" outlineLevel="0" collapsed="false">
      <c r="A1136" s="5" t="n">
        <v>40309</v>
      </c>
      <c r="B1136" s="6" t="s">
        <v>141</v>
      </c>
      <c r="C1136" s="6" t="s">
        <v>145</v>
      </c>
      <c r="D1136" s="0" t="n">
        <v>152.848382561013</v>
      </c>
      <c r="E1136" s="0" t="n">
        <v>3.944545455</v>
      </c>
      <c r="F1136" s="0" t="n">
        <v>0</v>
      </c>
      <c r="G1136" s="0" t="n">
        <v>0</v>
      </c>
      <c r="H1136" s="0" t="n">
        <v>0</v>
      </c>
      <c r="I1136" s="0" t="n">
        <v>0</v>
      </c>
      <c r="J1136" s="0" t="n">
        <v>0</v>
      </c>
      <c r="K1136" s="0" t="n">
        <v>0</v>
      </c>
      <c r="L1136" s="0" t="n">
        <v>5</v>
      </c>
    </row>
    <row r="1137" customFormat="false" ht="15" hidden="false" customHeight="false" outlineLevel="0" collapsed="false">
      <c r="A1137" s="5" t="n">
        <v>40316</v>
      </c>
      <c r="B1137" s="6" t="s">
        <v>141</v>
      </c>
      <c r="C1137" s="6" t="s">
        <v>145</v>
      </c>
      <c r="D1137" s="0" t="n">
        <v>180.343655385048</v>
      </c>
      <c r="E1137" s="0" t="n">
        <v>3.848333333</v>
      </c>
      <c r="F1137" s="0" t="n">
        <v>0</v>
      </c>
      <c r="G1137" s="0" t="n">
        <v>0</v>
      </c>
      <c r="H1137" s="0" t="n">
        <v>0</v>
      </c>
      <c r="I1137" s="0" t="n">
        <v>0</v>
      </c>
      <c r="J1137" s="0" t="n">
        <v>0</v>
      </c>
      <c r="K1137" s="0" t="n">
        <v>0</v>
      </c>
      <c r="L1137" s="0" t="n">
        <v>5</v>
      </c>
    </row>
    <row r="1138" customFormat="false" ht="15" hidden="false" customHeight="false" outlineLevel="0" collapsed="false">
      <c r="A1138" s="5" t="n">
        <v>40323</v>
      </c>
      <c r="B1138" s="6" t="s">
        <v>141</v>
      </c>
      <c r="C1138" s="6" t="s">
        <v>145</v>
      </c>
      <c r="D1138" s="0" t="n">
        <v>177.075839538727</v>
      </c>
      <c r="E1138" s="0" t="n">
        <v>3.848333333</v>
      </c>
      <c r="F1138" s="0" t="n">
        <v>0</v>
      </c>
      <c r="G1138" s="0" t="n">
        <v>0</v>
      </c>
      <c r="H1138" s="0" t="n">
        <v>0</v>
      </c>
      <c r="I1138" s="0" t="n">
        <v>0</v>
      </c>
      <c r="J1138" s="0" t="n">
        <v>0</v>
      </c>
      <c r="K1138" s="0" t="n">
        <v>0</v>
      </c>
      <c r="L1138" s="0" t="n">
        <v>5</v>
      </c>
    </row>
    <row r="1139" customFormat="false" ht="15" hidden="false" customHeight="false" outlineLevel="0" collapsed="false">
      <c r="A1139" s="5" t="n">
        <v>40330</v>
      </c>
      <c r="B1139" s="6" t="s">
        <v>141</v>
      </c>
      <c r="C1139" s="6" t="s">
        <v>145</v>
      </c>
      <c r="D1139" s="0" t="n">
        <v>181.742376587192</v>
      </c>
      <c r="E1139" s="0" t="n">
        <v>3.953636364</v>
      </c>
      <c r="F1139" s="0" t="n">
        <v>0</v>
      </c>
      <c r="G1139" s="0" t="n">
        <v>0</v>
      </c>
      <c r="H1139" s="0" t="n">
        <v>0</v>
      </c>
      <c r="I1139" s="0" t="n">
        <v>0</v>
      </c>
      <c r="J1139" s="0" t="n">
        <v>0</v>
      </c>
      <c r="K1139" s="0" t="n">
        <v>0</v>
      </c>
      <c r="L1139" s="0" t="n">
        <v>5</v>
      </c>
    </row>
    <row r="1140" customFormat="false" ht="15" hidden="false" customHeight="false" outlineLevel="0" collapsed="false">
      <c r="A1140" s="5" t="n">
        <v>40337</v>
      </c>
      <c r="B1140" s="6" t="s">
        <v>141</v>
      </c>
      <c r="C1140" s="6" t="s">
        <v>145</v>
      </c>
      <c r="D1140" s="0" t="n">
        <v>138.418929482596</v>
      </c>
      <c r="E1140" s="0" t="n">
        <v>3.948333333</v>
      </c>
      <c r="F1140" s="0" t="n">
        <v>0</v>
      </c>
      <c r="G1140" s="0" t="n">
        <v>0</v>
      </c>
      <c r="H1140" s="0" t="n">
        <v>0</v>
      </c>
      <c r="I1140" s="0" t="n">
        <v>0</v>
      </c>
      <c r="J1140" s="0" t="n">
        <v>0</v>
      </c>
      <c r="K1140" s="0" t="n">
        <v>0</v>
      </c>
      <c r="L1140" s="0" t="n">
        <v>5</v>
      </c>
    </row>
    <row r="1141" customFormat="false" ht="15" hidden="false" customHeight="false" outlineLevel="0" collapsed="false">
      <c r="A1141" s="5" t="n">
        <v>40344</v>
      </c>
      <c r="B1141" s="6" t="s">
        <v>141</v>
      </c>
      <c r="C1141" s="6" t="s">
        <v>145</v>
      </c>
      <c r="D1141" s="0" t="n">
        <v>215.005591507788</v>
      </c>
      <c r="E1141" s="0" t="n">
        <v>3.948333333</v>
      </c>
      <c r="F1141" s="0" t="n">
        <v>0</v>
      </c>
      <c r="G1141" s="0" t="n">
        <v>0</v>
      </c>
      <c r="H1141" s="0" t="n">
        <v>0</v>
      </c>
      <c r="I1141" s="0" t="n">
        <v>0</v>
      </c>
      <c r="J1141" s="0" t="n">
        <v>0</v>
      </c>
      <c r="K1141" s="0" t="n">
        <v>0</v>
      </c>
      <c r="L1141" s="0" t="n">
        <v>5</v>
      </c>
    </row>
    <row r="1142" customFormat="false" ht="15" hidden="false" customHeight="false" outlineLevel="0" collapsed="false">
      <c r="A1142" s="5" t="n">
        <v>40351</v>
      </c>
      <c r="B1142" s="6" t="s">
        <v>141</v>
      </c>
      <c r="C1142" s="6" t="s">
        <v>145</v>
      </c>
      <c r="D1142" s="0" t="n">
        <v>253.087218975875</v>
      </c>
      <c r="E1142" s="0" t="n">
        <v>4.0175</v>
      </c>
      <c r="F1142" s="0" t="n">
        <v>0</v>
      </c>
      <c r="G1142" s="0" t="n">
        <v>0</v>
      </c>
      <c r="H1142" s="0" t="n">
        <v>0</v>
      </c>
      <c r="I1142" s="0" t="n">
        <v>0</v>
      </c>
      <c r="J1142" s="0" t="n">
        <v>0</v>
      </c>
      <c r="K1142" s="0" t="n">
        <v>0</v>
      </c>
      <c r="L1142" s="0" t="n">
        <v>5</v>
      </c>
    </row>
    <row r="1143" customFormat="false" ht="15" hidden="false" customHeight="false" outlineLevel="0" collapsed="false">
      <c r="A1143" s="5" t="n">
        <v>40358</v>
      </c>
      <c r="B1143" s="6" t="s">
        <v>141</v>
      </c>
      <c r="C1143" s="6" t="s">
        <v>145</v>
      </c>
      <c r="D1143" s="0" t="n">
        <v>178.858567859019</v>
      </c>
      <c r="E1143" s="0" t="n">
        <v>3.780909091</v>
      </c>
      <c r="F1143" s="0" t="n">
        <v>0</v>
      </c>
      <c r="G1143" s="0" t="n">
        <v>0</v>
      </c>
      <c r="H1143" s="0" t="n">
        <v>0</v>
      </c>
      <c r="I1143" s="0" t="n">
        <v>0</v>
      </c>
      <c r="J1143" s="0" t="n">
        <v>0</v>
      </c>
      <c r="K1143" s="0" t="n">
        <v>0</v>
      </c>
      <c r="L1143" s="0" t="n">
        <v>5</v>
      </c>
    </row>
    <row r="1144" customFormat="false" ht="15" hidden="false" customHeight="false" outlineLevel="0" collapsed="false">
      <c r="A1144" s="5" t="n">
        <v>40365</v>
      </c>
      <c r="B1144" s="6" t="s">
        <v>141</v>
      </c>
      <c r="C1144" s="6" t="s">
        <v>145</v>
      </c>
      <c r="D1144" s="0" t="n">
        <v>174.988163201293</v>
      </c>
      <c r="E1144" s="0" t="n">
        <v>3.828333333</v>
      </c>
      <c r="F1144" s="0" t="n">
        <v>0</v>
      </c>
      <c r="G1144" s="0" t="n">
        <v>0</v>
      </c>
      <c r="H1144" s="0" t="n">
        <v>0</v>
      </c>
      <c r="I1144" s="0" t="n">
        <v>0</v>
      </c>
      <c r="J1144" s="0" t="n">
        <v>0</v>
      </c>
      <c r="K1144" s="0" t="n">
        <v>0</v>
      </c>
      <c r="L1144" s="0" t="n">
        <v>5</v>
      </c>
    </row>
    <row r="1145" customFormat="false" ht="15" hidden="false" customHeight="false" outlineLevel="0" collapsed="false">
      <c r="A1145" s="5" t="n">
        <v>40372</v>
      </c>
      <c r="B1145" s="6" t="s">
        <v>141</v>
      </c>
      <c r="C1145" s="6" t="s">
        <v>145</v>
      </c>
      <c r="D1145" s="0" t="n">
        <v>168.458912634211</v>
      </c>
      <c r="E1145" s="0" t="n">
        <v>3.540909091</v>
      </c>
      <c r="F1145" s="0" t="n">
        <v>0</v>
      </c>
      <c r="G1145" s="0" t="n">
        <v>0</v>
      </c>
      <c r="H1145" s="0" t="n">
        <v>0</v>
      </c>
      <c r="I1145" s="0" t="n">
        <v>0</v>
      </c>
      <c r="J1145" s="0" t="n">
        <v>0</v>
      </c>
      <c r="K1145" s="0" t="n">
        <v>0</v>
      </c>
      <c r="L1145" s="0" t="n">
        <v>5</v>
      </c>
    </row>
    <row r="1146" customFormat="false" ht="15" hidden="false" customHeight="false" outlineLevel="0" collapsed="false">
      <c r="A1146" s="5" t="n">
        <v>40302</v>
      </c>
      <c r="B1146" s="6" t="s">
        <v>141</v>
      </c>
      <c r="C1146" s="6" t="s">
        <v>146</v>
      </c>
      <c r="D1146" s="0" t="n">
        <v>233.716996975795</v>
      </c>
      <c r="E1146" s="0" t="n">
        <v>3.99</v>
      </c>
      <c r="F1146" s="0" t="n">
        <v>0</v>
      </c>
      <c r="G1146" s="0" t="n">
        <v>0</v>
      </c>
      <c r="H1146" s="0" t="n">
        <v>0</v>
      </c>
      <c r="I1146" s="0" t="n">
        <v>0</v>
      </c>
      <c r="J1146" s="0" t="n">
        <v>0</v>
      </c>
      <c r="K1146" s="0" t="n">
        <v>1</v>
      </c>
      <c r="L1146" s="0" t="n">
        <v>1</v>
      </c>
    </row>
    <row r="1147" customFormat="false" ht="15" hidden="false" customHeight="false" outlineLevel="0" collapsed="false">
      <c r="A1147" s="5" t="n">
        <v>40309</v>
      </c>
      <c r="B1147" s="6" t="s">
        <v>141</v>
      </c>
      <c r="C1147" s="6" t="s">
        <v>146</v>
      </c>
      <c r="D1147" s="0" t="n">
        <v>149.62026121294</v>
      </c>
      <c r="E1147" s="0" t="n">
        <v>4.04</v>
      </c>
      <c r="F1147" s="0" t="n">
        <v>0</v>
      </c>
      <c r="G1147" s="0" t="n">
        <v>0</v>
      </c>
      <c r="H1147" s="0" t="n">
        <v>0</v>
      </c>
      <c r="I1147" s="0" t="n">
        <v>0</v>
      </c>
      <c r="J1147" s="0" t="n">
        <v>0</v>
      </c>
      <c r="K1147" s="0" t="n">
        <v>1</v>
      </c>
      <c r="L1147" s="0" t="n">
        <v>1</v>
      </c>
    </row>
    <row r="1148" customFormat="false" ht="15" hidden="false" customHeight="false" outlineLevel="0" collapsed="false">
      <c r="A1148" s="5" t="n">
        <v>40316</v>
      </c>
      <c r="B1148" s="6" t="s">
        <v>141</v>
      </c>
      <c r="C1148" s="6" t="s">
        <v>146</v>
      </c>
      <c r="D1148" s="0" t="n">
        <v>164.892311267801</v>
      </c>
      <c r="E1148" s="0" t="n">
        <v>3.848333333</v>
      </c>
      <c r="F1148" s="0" t="n">
        <v>0</v>
      </c>
      <c r="G1148" s="0" t="n">
        <v>0</v>
      </c>
      <c r="H1148" s="0" t="n">
        <v>0</v>
      </c>
      <c r="I1148" s="0" t="n">
        <v>0</v>
      </c>
      <c r="J1148" s="0" t="n">
        <v>0</v>
      </c>
      <c r="K1148" s="0" t="n">
        <v>1</v>
      </c>
      <c r="L1148" s="0" t="n">
        <v>1</v>
      </c>
    </row>
    <row r="1149" customFormat="false" ht="15" hidden="false" customHeight="false" outlineLevel="0" collapsed="false">
      <c r="A1149" s="5" t="n">
        <v>40323</v>
      </c>
      <c r="B1149" s="6" t="s">
        <v>141</v>
      </c>
      <c r="C1149" s="6" t="s">
        <v>146</v>
      </c>
      <c r="D1149" s="0" t="n">
        <v>212.594760613489</v>
      </c>
      <c r="E1149" s="0" t="n">
        <v>3.848333333</v>
      </c>
      <c r="F1149" s="0" t="n">
        <v>0</v>
      </c>
      <c r="G1149" s="0" t="n">
        <v>0</v>
      </c>
      <c r="H1149" s="0" t="n">
        <v>0</v>
      </c>
      <c r="I1149" s="0" t="n">
        <v>0</v>
      </c>
      <c r="J1149" s="0" t="n">
        <v>0</v>
      </c>
      <c r="K1149" s="0" t="n">
        <v>1</v>
      </c>
      <c r="L1149" s="0" t="n">
        <v>1</v>
      </c>
    </row>
    <row r="1150" customFormat="false" ht="15" hidden="false" customHeight="false" outlineLevel="0" collapsed="false">
      <c r="A1150" s="5" t="n">
        <v>40330</v>
      </c>
      <c r="B1150" s="6" t="s">
        <v>141</v>
      </c>
      <c r="C1150" s="6" t="s">
        <v>146</v>
      </c>
      <c r="D1150" s="0" t="n">
        <v>223.999720837136</v>
      </c>
      <c r="E1150" s="0" t="n">
        <v>3.756666667</v>
      </c>
      <c r="F1150" s="0" t="n">
        <v>0</v>
      </c>
      <c r="G1150" s="0" t="n">
        <v>0</v>
      </c>
      <c r="H1150" s="0" t="n">
        <v>0</v>
      </c>
      <c r="I1150" s="0" t="n">
        <v>0</v>
      </c>
      <c r="J1150" s="0" t="n">
        <v>0</v>
      </c>
      <c r="K1150" s="0" t="n">
        <v>1</v>
      </c>
      <c r="L1150" s="0" t="n">
        <v>1</v>
      </c>
    </row>
    <row r="1151" customFormat="false" ht="15" hidden="false" customHeight="false" outlineLevel="0" collapsed="false">
      <c r="A1151" s="5" t="n">
        <v>40337</v>
      </c>
      <c r="B1151" s="6" t="s">
        <v>141</v>
      </c>
      <c r="C1151" s="6" t="s">
        <v>146</v>
      </c>
      <c r="D1151" s="0" t="n">
        <v>265.761067490286</v>
      </c>
      <c r="E1151" s="0" t="n">
        <v>3.665</v>
      </c>
      <c r="F1151" s="0" t="n">
        <v>0</v>
      </c>
      <c r="G1151" s="0" t="n">
        <v>0</v>
      </c>
      <c r="H1151" s="0" t="n">
        <v>0</v>
      </c>
      <c r="I1151" s="0" t="n">
        <v>0</v>
      </c>
      <c r="J1151" s="0" t="n">
        <v>0</v>
      </c>
      <c r="K1151" s="0" t="n">
        <v>1</v>
      </c>
      <c r="L1151" s="0" t="n">
        <v>1</v>
      </c>
    </row>
    <row r="1152" customFormat="false" ht="15" hidden="false" customHeight="false" outlineLevel="0" collapsed="false">
      <c r="A1152" s="5" t="n">
        <v>40344</v>
      </c>
      <c r="B1152" s="6" t="s">
        <v>141</v>
      </c>
      <c r="C1152" s="6" t="s">
        <v>146</v>
      </c>
      <c r="D1152" s="0" t="n">
        <v>157.255226646033</v>
      </c>
      <c r="E1152" s="0" t="n">
        <v>3.6</v>
      </c>
      <c r="F1152" s="0" t="n">
        <v>0</v>
      </c>
      <c r="G1152" s="0" t="n">
        <v>0</v>
      </c>
      <c r="H1152" s="0" t="n">
        <v>0</v>
      </c>
      <c r="I1152" s="0" t="n">
        <v>0</v>
      </c>
      <c r="J1152" s="0" t="n">
        <v>0</v>
      </c>
      <c r="K1152" s="0" t="n">
        <v>1</v>
      </c>
      <c r="L1152" s="0" t="n">
        <v>1</v>
      </c>
    </row>
    <row r="1153" customFormat="false" ht="15" hidden="false" customHeight="false" outlineLevel="0" collapsed="false">
      <c r="A1153" s="5" t="n">
        <v>40351</v>
      </c>
      <c r="B1153" s="6" t="s">
        <v>141</v>
      </c>
      <c r="C1153" s="6" t="s">
        <v>146</v>
      </c>
      <c r="D1153" s="0" t="n">
        <v>178.687163075632</v>
      </c>
      <c r="E1153" s="0" t="n">
        <v>4.165454545</v>
      </c>
      <c r="F1153" s="0" t="n">
        <v>0</v>
      </c>
      <c r="G1153" s="0" t="n">
        <v>0</v>
      </c>
      <c r="H1153" s="0" t="n">
        <v>0</v>
      </c>
      <c r="I1153" s="0" t="n">
        <v>0</v>
      </c>
      <c r="J1153" s="0" t="n">
        <v>0</v>
      </c>
      <c r="K1153" s="0" t="n">
        <v>1</v>
      </c>
      <c r="L1153" s="0" t="n">
        <v>1</v>
      </c>
    </row>
    <row r="1154" customFormat="false" ht="15" hidden="false" customHeight="false" outlineLevel="0" collapsed="false">
      <c r="A1154" s="5" t="n">
        <v>40358</v>
      </c>
      <c r="B1154" s="6" t="s">
        <v>141</v>
      </c>
      <c r="C1154" s="6" t="s">
        <v>146</v>
      </c>
      <c r="D1154" s="0" t="n">
        <v>277.61885842195</v>
      </c>
      <c r="E1154" s="0" t="n">
        <v>5.096666667</v>
      </c>
      <c r="F1154" s="0" t="n">
        <v>0</v>
      </c>
      <c r="G1154" s="0" t="n">
        <v>0</v>
      </c>
      <c r="H1154" s="0" t="n">
        <v>0</v>
      </c>
      <c r="I1154" s="0" t="n">
        <v>0</v>
      </c>
      <c r="J1154" s="0" t="n">
        <v>0</v>
      </c>
      <c r="K1154" s="0" t="n">
        <v>1</v>
      </c>
      <c r="L1154" s="0" t="n">
        <v>1</v>
      </c>
    </row>
    <row r="1155" customFormat="false" ht="15" hidden="false" customHeight="false" outlineLevel="0" collapsed="false">
      <c r="A1155" s="5" t="n">
        <v>40365</v>
      </c>
      <c r="B1155" s="6" t="s">
        <v>141</v>
      </c>
      <c r="C1155" s="6" t="s">
        <v>146</v>
      </c>
      <c r="D1155" s="0" t="n">
        <v>325.654172862425</v>
      </c>
      <c r="E1155" s="0" t="n">
        <v>3.491818182</v>
      </c>
      <c r="F1155" s="0" t="n">
        <v>0</v>
      </c>
      <c r="G1155" s="0" t="n">
        <v>0</v>
      </c>
      <c r="H1155" s="0" t="n">
        <v>0</v>
      </c>
      <c r="I1155" s="0" t="n">
        <v>0</v>
      </c>
      <c r="J1155" s="0" t="n">
        <v>0</v>
      </c>
      <c r="K1155" s="0" t="n">
        <v>1</v>
      </c>
      <c r="L1155" s="0" t="n">
        <v>1</v>
      </c>
    </row>
    <row r="1156" customFormat="false" ht="15" hidden="false" customHeight="false" outlineLevel="0" collapsed="false">
      <c r="A1156" s="5" t="n">
        <v>40372</v>
      </c>
      <c r="B1156" s="6" t="s">
        <v>141</v>
      </c>
      <c r="C1156" s="6" t="s">
        <v>146</v>
      </c>
      <c r="D1156" s="0" t="n">
        <v>231.015296271965</v>
      </c>
      <c r="E1156" s="0" t="n">
        <v>3.496</v>
      </c>
      <c r="F1156" s="0" t="n">
        <v>0</v>
      </c>
      <c r="G1156" s="0" t="n">
        <v>0</v>
      </c>
      <c r="H1156" s="0" t="n">
        <v>0</v>
      </c>
      <c r="I1156" s="0" t="n">
        <v>0</v>
      </c>
      <c r="J1156" s="0" t="n">
        <v>0</v>
      </c>
      <c r="K1156" s="0" t="n">
        <v>1</v>
      </c>
      <c r="L1156" s="0" t="n">
        <v>1</v>
      </c>
    </row>
    <row r="1157" customFormat="false" ht="15" hidden="false" customHeight="false" outlineLevel="0" collapsed="false">
      <c r="A1157" s="5" t="n">
        <v>40302</v>
      </c>
      <c r="B1157" s="6" t="s">
        <v>141</v>
      </c>
      <c r="C1157" s="6" t="s">
        <v>147</v>
      </c>
      <c r="D1157" s="0" t="n">
        <v>196.785780130531</v>
      </c>
      <c r="E1157" s="0" t="n">
        <v>4.047142857</v>
      </c>
      <c r="F1157" s="0" t="n">
        <v>0</v>
      </c>
      <c r="G1157" s="0" t="n">
        <v>0</v>
      </c>
      <c r="H1157" s="0" t="n">
        <v>0</v>
      </c>
      <c r="I1157" s="0" t="n">
        <v>0</v>
      </c>
      <c r="J1157" s="0" t="n">
        <v>0</v>
      </c>
      <c r="K1157" s="0" t="n">
        <v>2</v>
      </c>
      <c r="L1157" s="0" t="n">
        <v>2</v>
      </c>
    </row>
    <row r="1158" customFormat="false" ht="15" hidden="false" customHeight="false" outlineLevel="0" collapsed="false">
      <c r="A1158" s="5" t="n">
        <v>40309</v>
      </c>
      <c r="B1158" s="6" t="s">
        <v>141</v>
      </c>
      <c r="C1158" s="6" t="s">
        <v>147</v>
      </c>
      <c r="D1158" s="0" t="n">
        <v>146.210181744286</v>
      </c>
      <c r="E1158" s="0" t="n">
        <v>3.743</v>
      </c>
      <c r="F1158" s="0" t="n">
        <v>0</v>
      </c>
      <c r="G1158" s="0" t="n">
        <v>0</v>
      </c>
      <c r="H1158" s="0" t="n">
        <v>0</v>
      </c>
      <c r="I1158" s="0" t="n">
        <v>0</v>
      </c>
      <c r="J1158" s="0" t="n">
        <v>0</v>
      </c>
      <c r="K1158" s="0" t="n">
        <v>2</v>
      </c>
      <c r="L1158" s="0" t="n">
        <v>2</v>
      </c>
    </row>
    <row r="1159" customFormat="false" ht="15" hidden="false" customHeight="false" outlineLevel="0" collapsed="false">
      <c r="A1159" s="5" t="n">
        <v>40316</v>
      </c>
      <c r="B1159" s="6" t="s">
        <v>141</v>
      </c>
      <c r="C1159" s="6" t="s">
        <v>147</v>
      </c>
      <c r="D1159" s="0" t="n">
        <v>139.546962262348</v>
      </c>
      <c r="E1159" s="0" t="n">
        <v>3.642</v>
      </c>
      <c r="F1159" s="0" t="n">
        <v>0</v>
      </c>
      <c r="G1159" s="0" t="n">
        <v>0</v>
      </c>
      <c r="H1159" s="0" t="n">
        <v>0</v>
      </c>
      <c r="I1159" s="0" t="n">
        <v>0</v>
      </c>
      <c r="J1159" s="0" t="n">
        <v>0</v>
      </c>
      <c r="K1159" s="0" t="n">
        <v>2</v>
      </c>
      <c r="L1159" s="0" t="n">
        <v>2</v>
      </c>
    </row>
    <row r="1160" customFormat="false" ht="15" hidden="false" customHeight="false" outlineLevel="0" collapsed="false">
      <c r="A1160" s="5" t="n">
        <v>40323</v>
      </c>
      <c r="B1160" s="6" t="s">
        <v>141</v>
      </c>
      <c r="C1160" s="6" t="s">
        <v>147</v>
      </c>
      <c r="D1160" s="0" t="n">
        <v>72.6276769605469</v>
      </c>
      <c r="E1160" s="0" t="n">
        <v>3.55</v>
      </c>
      <c r="F1160" s="0" t="n">
        <v>0</v>
      </c>
      <c r="G1160" s="0" t="n">
        <v>0</v>
      </c>
      <c r="H1160" s="0" t="n">
        <v>0</v>
      </c>
      <c r="I1160" s="0" t="n">
        <v>0</v>
      </c>
      <c r="J1160" s="0" t="n">
        <v>0</v>
      </c>
      <c r="K1160" s="0" t="n">
        <v>2</v>
      </c>
      <c r="L1160" s="0" t="n">
        <v>2</v>
      </c>
    </row>
    <row r="1161" customFormat="false" ht="15" hidden="false" customHeight="false" outlineLevel="0" collapsed="false">
      <c r="A1161" s="5" t="n">
        <v>40330</v>
      </c>
      <c r="B1161" s="6" t="s">
        <v>141</v>
      </c>
      <c r="C1161" s="6" t="s">
        <v>147</v>
      </c>
      <c r="D1161" s="0" t="n">
        <v>234.857427141606</v>
      </c>
      <c r="E1161" s="0" t="n">
        <v>3.55</v>
      </c>
      <c r="F1161" s="0" t="n">
        <v>0</v>
      </c>
      <c r="G1161" s="0" t="n">
        <v>0</v>
      </c>
      <c r="H1161" s="0" t="n">
        <v>0</v>
      </c>
      <c r="I1161" s="0" t="n">
        <v>0</v>
      </c>
      <c r="J1161" s="0" t="n">
        <v>0</v>
      </c>
      <c r="K1161" s="0" t="n">
        <v>2</v>
      </c>
      <c r="L1161" s="0" t="n">
        <v>2</v>
      </c>
    </row>
    <row r="1162" customFormat="false" ht="15" hidden="false" customHeight="false" outlineLevel="0" collapsed="false">
      <c r="A1162" s="5" t="n">
        <v>40337</v>
      </c>
      <c r="B1162" s="6" t="s">
        <v>141</v>
      </c>
      <c r="C1162" s="6" t="s">
        <v>147</v>
      </c>
      <c r="D1162" s="0" t="n">
        <v>236.28789581523</v>
      </c>
      <c r="E1162" s="0" t="n">
        <v>3.745555556</v>
      </c>
      <c r="F1162" s="0" t="n">
        <v>0</v>
      </c>
      <c r="G1162" s="0" t="n">
        <v>0</v>
      </c>
      <c r="H1162" s="0" t="n">
        <v>0</v>
      </c>
      <c r="I1162" s="0" t="n">
        <v>0</v>
      </c>
      <c r="J1162" s="0" t="n">
        <v>0</v>
      </c>
      <c r="K1162" s="0" t="n">
        <v>2</v>
      </c>
      <c r="L1162" s="0" t="n">
        <v>2</v>
      </c>
    </row>
    <row r="1163" customFormat="false" ht="15" hidden="false" customHeight="false" outlineLevel="0" collapsed="false">
      <c r="A1163" s="5" t="n">
        <v>40344</v>
      </c>
      <c r="B1163" s="6" t="s">
        <v>141</v>
      </c>
      <c r="C1163" s="6" t="s">
        <v>147</v>
      </c>
      <c r="D1163" s="0" t="n">
        <v>141.778699017317</v>
      </c>
      <c r="E1163" s="0" t="n">
        <v>3.745555556</v>
      </c>
      <c r="F1163" s="0" t="n">
        <v>0</v>
      </c>
      <c r="G1163" s="0" t="n">
        <v>0</v>
      </c>
      <c r="H1163" s="0" t="n">
        <v>0</v>
      </c>
      <c r="I1163" s="0" t="n">
        <v>0</v>
      </c>
      <c r="J1163" s="0" t="n">
        <v>0</v>
      </c>
      <c r="K1163" s="0" t="n">
        <v>2</v>
      </c>
      <c r="L1163" s="0" t="n">
        <v>2</v>
      </c>
    </row>
    <row r="1164" customFormat="false" ht="15" hidden="false" customHeight="false" outlineLevel="0" collapsed="false">
      <c r="A1164" s="5" t="n">
        <v>40351</v>
      </c>
      <c r="B1164" s="6" t="s">
        <v>141</v>
      </c>
      <c r="C1164" s="6" t="s">
        <v>147</v>
      </c>
      <c r="D1164" s="0" t="n">
        <v>232.581678138057</v>
      </c>
      <c r="E1164" s="0" t="n">
        <v>3.847777778</v>
      </c>
      <c r="F1164" s="0" t="n">
        <v>0</v>
      </c>
      <c r="G1164" s="0" t="n">
        <v>0</v>
      </c>
      <c r="H1164" s="0" t="n">
        <v>0</v>
      </c>
      <c r="I1164" s="0" t="n">
        <v>0</v>
      </c>
      <c r="J1164" s="0" t="n">
        <v>0</v>
      </c>
      <c r="K1164" s="0" t="n">
        <v>2</v>
      </c>
      <c r="L1164" s="0" t="n">
        <v>2</v>
      </c>
    </row>
    <row r="1165" customFormat="false" ht="15" hidden="false" customHeight="false" outlineLevel="0" collapsed="false">
      <c r="A1165" s="5" t="n">
        <v>40358</v>
      </c>
      <c r="B1165" s="6" t="s">
        <v>141</v>
      </c>
      <c r="C1165" s="6" t="s">
        <v>147</v>
      </c>
      <c r="D1165" s="0" t="n">
        <v>168.754815338146</v>
      </c>
      <c r="E1165" s="0" t="n">
        <v>3.921</v>
      </c>
      <c r="F1165" s="0" t="n">
        <v>0</v>
      </c>
      <c r="G1165" s="0" t="n">
        <v>0</v>
      </c>
      <c r="H1165" s="0" t="n">
        <v>0</v>
      </c>
      <c r="I1165" s="0" t="n">
        <v>0</v>
      </c>
      <c r="J1165" s="0" t="n">
        <v>0</v>
      </c>
      <c r="K1165" s="0" t="n">
        <v>2</v>
      </c>
      <c r="L1165" s="0" t="n">
        <v>2</v>
      </c>
    </row>
    <row r="1166" customFormat="false" ht="15" hidden="false" customHeight="false" outlineLevel="0" collapsed="false">
      <c r="A1166" s="5" t="n">
        <v>40365</v>
      </c>
      <c r="B1166" s="6" t="s">
        <v>141</v>
      </c>
      <c r="C1166" s="6" t="s">
        <v>147</v>
      </c>
      <c r="D1166" s="0" t="n">
        <v>232.512332489983</v>
      </c>
      <c r="E1166" s="0" t="n">
        <v>3.496</v>
      </c>
      <c r="F1166" s="0" t="n">
        <v>0</v>
      </c>
      <c r="G1166" s="0" t="n">
        <v>0</v>
      </c>
      <c r="H1166" s="0" t="n">
        <v>0</v>
      </c>
      <c r="I1166" s="0" t="n">
        <v>0</v>
      </c>
      <c r="J1166" s="0" t="n">
        <v>0</v>
      </c>
      <c r="K1166" s="0" t="n">
        <v>2</v>
      </c>
      <c r="L1166" s="0" t="n">
        <v>2</v>
      </c>
    </row>
    <row r="1167" customFormat="false" ht="15" hidden="false" customHeight="false" outlineLevel="0" collapsed="false">
      <c r="A1167" s="5" t="n">
        <v>40372</v>
      </c>
      <c r="B1167" s="6" t="s">
        <v>141</v>
      </c>
      <c r="C1167" s="6" t="s">
        <v>147</v>
      </c>
      <c r="D1167" s="0" t="n">
        <v>247.611300933673</v>
      </c>
      <c r="E1167" s="0" t="n">
        <v>3.496</v>
      </c>
      <c r="F1167" s="0" t="n">
        <v>0</v>
      </c>
      <c r="G1167" s="0" t="n">
        <v>0</v>
      </c>
      <c r="H1167" s="0" t="n">
        <v>0</v>
      </c>
      <c r="I1167" s="0" t="n">
        <v>0</v>
      </c>
      <c r="J1167" s="0" t="n">
        <v>0</v>
      </c>
      <c r="K1167" s="0" t="n">
        <v>2</v>
      </c>
      <c r="L1167" s="0" t="n">
        <v>2</v>
      </c>
    </row>
    <row r="1168" customFormat="false" ht="15" hidden="false" customHeight="false" outlineLevel="0" collapsed="false">
      <c r="A1168" s="5" t="n">
        <v>40302</v>
      </c>
      <c r="B1168" s="6" t="s">
        <v>141</v>
      </c>
      <c r="C1168" s="6" t="s">
        <v>148</v>
      </c>
      <c r="D1168" s="0" t="n">
        <v>123.508710605801</v>
      </c>
      <c r="E1168" s="0" t="n">
        <v>4.367777778</v>
      </c>
      <c r="F1168" s="0" t="n">
        <v>0</v>
      </c>
      <c r="G1168" s="0" t="n">
        <v>0</v>
      </c>
      <c r="H1168" s="0" t="n">
        <v>0</v>
      </c>
      <c r="I1168" s="0" t="n">
        <v>0</v>
      </c>
      <c r="J1168" s="0" t="n">
        <v>0</v>
      </c>
      <c r="K1168" s="0" t="n">
        <v>1</v>
      </c>
      <c r="L1168" s="0" t="n">
        <v>2</v>
      </c>
    </row>
    <row r="1169" customFormat="false" ht="15" hidden="false" customHeight="false" outlineLevel="0" collapsed="false">
      <c r="A1169" s="5" t="n">
        <v>40309</v>
      </c>
      <c r="B1169" s="6" t="s">
        <v>141</v>
      </c>
      <c r="C1169" s="6" t="s">
        <v>148</v>
      </c>
      <c r="D1169" s="0" t="n">
        <v>203.744525871752</v>
      </c>
      <c r="E1169" s="0" t="n">
        <v>4.367777778</v>
      </c>
      <c r="F1169" s="0" t="n">
        <v>0</v>
      </c>
      <c r="G1169" s="0" t="n">
        <v>0</v>
      </c>
      <c r="H1169" s="0" t="n">
        <v>0</v>
      </c>
      <c r="I1169" s="0" t="n">
        <v>0</v>
      </c>
      <c r="J1169" s="0" t="n">
        <v>0</v>
      </c>
      <c r="K1169" s="0" t="n">
        <v>1</v>
      </c>
      <c r="L1169" s="0" t="n">
        <v>2</v>
      </c>
    </row>
    <row r="1170" customFormat="false" ht="15" hidden="false" customHeight="false" outlineLevel="0" collapsed="false">
      <c r="A1170" s="5" t="n">
        <v>40316</v>
      </c>
      <c r="B1170" s="6" t="s">
        <v>141</v>
      </c>
      <c r="C1170" s="6" t="s">
        <v>148</v>
      </c>
      <c r="D1170" s="0" t="n">
        <v>226.208601807633</v>
      </c>
      <c r="E1170" s="0" t="n">
        <v>3.848333333</v>
      </c>
      <c r="F1170" s="0" t="n">
        <v>0</v>
      </c>
      <c r="G1170" s="0" t="n">
        <v>0</v>
      </c>
      <c r="H1170" s="0" t="n">
        <v>0</v>
      </c>
      <c r="I1170" s="0" t="n">
        <v>0</v>
      </c>
      <c r="J1170" s="0" t="n">
        <v>0</v>
      </c>
      <c r="K1170" s="0" t="n">
        <v>1</v>
      </c>
      <c r="L1170" s="0" t="n">
        <v>2</v>
      </c>
    </row>
    <row r="1171" customFormat="false" ht="15" hidden="false" customHeight="false" outlineLevel="0" collapsed="false">
      <c r="A1171" s="5" t="n">
        <v>40323</v>
      </c>
      <c r="B1171" s="6" t="s">
        <v>141</v>
      </c>
      <c r="C1171" s="6" t="s">
        <v>148</v>
      </c>
      <c r="D1171" s="0" t="n">
        <v>196.616235443937</v>
      </c>
      <c r="E1171" s="0" t="n">
        <v>3.848333333</v>
      </c>
      <c r="F1171" s="0" t="n">
        <v>0</v>
      </c>
      <c r="G1171" s="0" t="n">
        <v>0</v>
      </c>
      <c r="H1171" s="0" t="n">
        <v>0</v>
      </c>
      <c r="I1171" s="0" t="n">
        <v>0</v>
      </c>
      <c r="J1171" s="0" t="n">
        <v>0</v>
      </c>
      <c r="K1171" s="0" t="n">
        <v>1</v>
      </c>
      <c r="L1171" s="0" t="n">
        <v>2</v>
      </c>
    </row>
    <row r="1172" customFormat="false" ht="15" hidden="false" customHeight="false" outlineLevel="0" collapsed="false">
      <c r="A1172" s="5" t="n">
        <v>40330</v>
      </c>
      <c r="B1172" s="6" t="s">
        <v>141</v>
      </c>
      <c r="C1172" s="6" t="s">
        <v>148</v>
      </c>
      <c r="D1172" s="0" t="n">
        <v>156.155423348499</v>
      </c>
      <c r="E1172" s="0" t="n">
        <v>3.848333333</v>
      </c>
      <c r="F1172" s="0" t="n">
        <v>0</v>
      </c>
      <c r="G1172" s="0" t="n">
        <v>0</v>
      </c>
      <c r="H1172" s="0" t="n">
        <v>0</v>
      </c>
      <c r="I1172" s="0" t="n">
        <v>0</v>
      </c>
      <c r="J1172" s="0" t="n">
        <v>0</v>
      </c>
      <c r="K1172" s="0" t="n">
        <v>1</v>
      </c>
      <c r="L1172" s="0" t="n">
        <v>2</v>
      </c>
    </row>
    <row r="1173" customFormat="false" ht="15" hidden="false" customHeight="false" outlineLevel="0" collapsed="false">
      <c r="A1173" s="5" t="n">
        <v>40337</v>
      </c>
      <c r="B1173" s="6" t="s">
        <v>141</v>
      </c>
      <c r="C1173" s="6" t="s">
        <v>148</v>
      </c>
      <c r="D1173" s="0" t="n">
        <v>172.825130383628</v>
      </c>
      <c r="E1173" s="0" t="n">
        <v>3.948333333</v>
      </c>
      <c r="F1173" s="0" t="n">
        <v>0</v>
      </c>
      <c r="G1173" s="0" t="n">
        <v>0</v>
      </c>
      <c r="H1173" s="0" t="n">
        <v>0</v>
      </c>
      <c r="I1173" s="0" t="n">
        <v>0</v>
      </c>
      <c r="J1173" s="0" t="n">
        <v>0</v>
      </c>
      <c r="K1173" s="0" t="n">
        <v>1</v>
      </c>
      <c r="L1173" s="0" t="n">
        <v>2</v>
      </c>
    </row>
    <row r="1174" customFormat="false" ht="15" hidden="false" customHeight="false" outlineLevel="0" collapsed="false">
      <c r="A1174" s="5" t="n">
        <v>40344</v>
      </c>
      <c r="B1174" s="6" t="s">
        <v>141</v>
      </c>
      <c r="C1174" s="6" t="s">
        <v>148</v>
      </c>
      <c r="D1174" s="0" t="n">
        <v>195.471216405349</v>
      </c>
      <c r="E1174" s="0" t="n">
        <v>3.948333333</v>
      </c>
      <c r="F1174" s="0" t="n">
        <v>0</v>
      </c>
      <c r="G1174" s="0" t="n">
        <v>0</v>
      </c>
      <c r="H1174" s="0" t="n">
        <v>0</v>
      </c>
      <c r="I1174" s="0" t="n">
        <v>0</v>
      </c>
      <c r="J1174" s="0" t="n">
        <v>0</v>
      </c>
      <c r="K1174" s="0" t="n">
        <v>1</v>
      </c>
      <c r="L1174" s="0" t="n">
        <v>2</v>
      </c>
    </row>
    <row r="1175" customFormat="false" ht="15" hidden="false" customHeight="false" outlineLevel="0" collapsed="false">
      <c r="A1175" s="5" t="n">
        <v>40351</v>
      </c>
      <c r="B1175" s="6" t="s">
        <v>141</v>
      </c>
      <c r="C1175" s="6" t="s">
        <v>148</v>
      </c>
      <c r="D1175" s="0" t="n">
        <v>190.319457524589</v>
      </c>
      <c r="E1175" s="0" t="n">
        <v>4.023333333</v>
      </c>
      <c r="F1175" s="0" t="n">
        <v>0</v>
      </c>
      <c r="G1175" s="0" t="n">
        <v>0</v>
      </c>
      <c r="H1175" s="0" t="n">
        <v>0</v>
      </c>
      <c r="I1175" s="0" t="n">
        <v>0</v>
      </c>
      <c r="J1175" s="0" t="n">
        <v>0</v>
      </c>
      <c r="K1175" s="0" t="n">
        <v>1</v>
      </c>
      <c r="L1175" s="0" t="n">
        <v>2</v>
      </c>
    </row>
    <row r="1176" customFormat="false" ht="15" hidden="false" customHeight="false" outlineLevel="0" collapsed="false">
      <c r="A1176" s="5" t="n">
        <v>40358</v>
      </c>
      <c r="B1176" s="6" t="s">
        <v>141</v>
      </c>
      <c r="C1176" s="6" t="s">
        <v>148</v>
      </c>
      <c r="D1176" s="0" t="n">
        <v>58.1405824586933</v>
      </c>
      <c r="E1176" s="0" t="n">
        <v>4.171818182</v>
      </c>
      <c r="F1176" s="0" t="n">
        <v>0</v>
      </c>
      <c r="G1176" s="0" t="n">
        <v>0</v>
      </c>
      <c r="H1176" s="0" t="n">
        <v>0</v>
      </c>
      <c r="I1176" s="0" t="n">
        <v>0</v>
      </c>
      <c r="J1176" s="0" t="n">
        <v>0</v>
      </c>
      <c r="K1176" s="0" t="n">
        <v>1</v>
      </c>
      <c r="L1176" s="0" t="n">
        <v>2</v>
      </c>
    </row>
    <row r="1177" customFormat="false" ht="15" hidden="false" customHeight="false" outlineLevel="0" collapsed="false">
      <c r="A1177" s="5" t="n">
        <v>40365</v>
      </c>
      <c r="B1177" s="6" t="s">
        <v>141</v>
      </c>
      <c r="C1177" s="6" t="s">
        <v>148</v>
      </c>
      <c r="D1177" s="0" t="n">
        <v>201.36118578721</v>
      </c>
      <c r="E1177" s="0" t="n">
        <v>3.828333333</v>
      </c>
      <c r="F1177" s="0" t="n">
        <v>0</v>
      </c>
      <c r="G1177" s="0" t="n">
        <v>0</v>
      </c>
      <c r="H1177" s="0" t="n">
        <v>0</v>
      </c>
      <c r="I1177" s="0" t="n">
        <v>0</v>
      </c>
      <c r="J1177" s="0" t="n">
        <v>0</v>
      </c>
      <c r="K1177" s="0" t="n">
        <v>1</v>
      </c>
      <c r="L1177" s="0" t="n">
        <v>2</v>
      </c>
    </row>
    <row r="1178" customFormat="false" ht="15" hidden="false" customHeight="false" outlineLevel="0" collapsed="false">
      <c r="A1178" s="5" t="n">
        <v>40372</v>
      </c>
      <c r="B1178" s="6" t="s">
        <v>141</v>
      </c>
      <c r="C1178" s="6" t="s">
        <v>148</v>
      </c>
      <c r="D1178" s="0" t="n">
        <v>236.721384915788</v>
      </c>
      <c r="E1178" s="0" t="n">
        <v>3.828333333</v>
      </c>
      <c r="F1178" s="0" t="n">
        <v>0</v>
      </c>
      <c r="G1178" s="0" t="n">
        <v>0</v>
      </c>
      <c r="H1178" s="0" t="n">
        <v>0</v>
      </c>
      <c r="I1178" s="0" t="n">
        <v>0</v>
      </c>
      <c r="J1178" s="0" t="n">
        <v>0</v>
      </c>
      <c r="K1178" s="0" t="n">
        <v>1</v>
      </c>
      <c r="L1178" s="0" t="n">
        <v>2</v>
      </c>
    </row>
    <row r="1179" customFormat="false" ht="15" hidden="false" customHeight="false" outlineLevel="0" collapsed="false">
      <c r="A1179" s="5" t="n">
        <v>40302</v>
      </c>
      <c r="B1179" s="6" t="s">
        <v>149</v>
      </c>
      <c r="C1179" s="6" t="s">
        <v>150</v>
      </c>
      <c r="D1179" s="0" t="n">
        <v>291.012138571325</v>
      </c>
      <c r="E1179" s="0" t="n">
        <v>5.171818182</v>
      </c>
      <c r="F1179" s="0" t="n">
        <v>1</v>
      </c>
      <c r="G1179" s="0" t="n">
        <v>0</v>
      </c>
      <c r="H1179" s="0" t="n">
        <v>0</v>
      </c>
      <c r="I1179" s="0" t="n">
        <v>1</v>
      </c>
      <c r="J1179" s="0" t="n">
        <v>0</v>
      </c>
      <c r="K1179" s="0" t="n">
        <v>3</v>
      </c>
      <c r="L1179" s="0" t="n">
        <v>2</v>
      </c>
    </row>
    <row r="1180" customFormat="false" ht="15" hidden="false" customHeight="false" outlineLevel="0" collapsed="false">
      <c r="A1180" s="5" t="n">
        <v>40309</v>
      </c>
      <c r="B1180" s="6" t="s">
        <v>149</v>
      </c>
      <c r="C1180" s="6" t="s">
        <v>150</v>
      </c>
      <c r="D1180" s="0" t="n">
        <v>392.003869385576</v>
      </c>
      <c r="E1180" s="0" t="n">
        <v>4.804285714</v>
      </c>
      <c r="F1180" s="0" t="n">
        <v>1</v>
      </c>
      <c r="G1180" s="0" t="n">
        <v>0</v>
      </c>
      <c r="H1180" s="0" t="n">
        <v>0</v>
      </c>
      <c r="I1180" s="0" t="n">
        <v>0</v>
      </c>
      <c r="J1180" s="0" t="n">
        <v>1</v>
      </c>
      <c r="K1180" s="0" t="n">
        <v>3</v>
      </c>
      <c r="L1180" s="0" t="n">
        <v>2</v>
      </c>
    </row>
    <row r="1181" customFormat="false" ht="15" hidden="false" customHeight="false" outlineLevel="0" collapsed="false">
      <c r="A1181" s="5" t="n">
        <v>40316</v>
      </c>
      <c r="B1181" s="6" t="s">
        <v>149</v>
      </c>
      <c r="C1181" s="6" t="s">
        <v>150</v>
      </c>
      <c r="D1181" s="0" t="n">
        <v>232.241759656341</v>
      </c>
      <c r="E1181" s="0" t="n">
        <v>4.684615385</v>
      </c>
      <c r="F1181" s="0" t="n">
        <v>1</v>
      </c>
      <c r="G1181" s="0" t="n">
        <v>0</v>
      </c>
      <c r="H1181" s="0" t="n">
        <v>0</v>
      </c>
      <c r="I1181" s="0" t="n">
        <v>0</v>
      </c>
      <c r="J1181" s="0" t="n">
        <v>1</v>
      </c>
      <c r="K1181" s="0" t="n">
        <v>3</v>
      </c>
      <c r="L1181" s="0" t="n">
        <v>2</v>
      </c>
    </row>
    <row r="1182" customFormat="false" ht="15" hidden="false" customHeight="false" outlineLevel="0" collapsed="false">
      <c r="A1182" s="5" t="n">
        <v>40323</v>
      </c>
      <c r="B1182" s="6" t="s">
        <v>149</v>
      </c>
      <c r="C1182" s="6" t="s">
        <v>150</v>
      </c>
      <c r="D1182" s="0" t="n">
        <v>278.487360157804</v>
      </c>
      <c r="E1182" s="0" t="n">
        <v>4.357142857</v>
      </c>
      <c r="F1182" s="0" t="n">
        <v>1</v>
      </c>
      <c r="G1182" s="0" t="n">
        <v>0</v>
      </c>
      <c r="H1182" s="0" t="n">
        <v>0</v>
      </c>
      <c r="I1182" s="0" t="n">
        <v>0</v>
      </c>
      <c r="J1182" s="0" t="n">
        <v>0</v>
      </c>
      <c r="K1182" s="0" t="n">
        <v>3</v>
      </c>
      <c r="L1182" s="0" t="n">
        <v>2</v>
      </c>
    </row>
    <row r="1183" customFormat="false" ht="15" hidden="false" customHeight="false" outlineLevel="0" collapsed="false">
      <c r="A1183" s="5" t="n">
        <v>40330</v>
      </c>
      <c r="B1183" s="6" t="s">
        <v>149</v>
      </c>
      <c r="C1183" s="6" t="s">
        <v>150</v>
      </c>
      <c r="D1183" s="0" t="n">
        <v>240.169275451782</v>
      </c>
      <c r="E1183" s="0" t="n">
        <v>4.193333333</v>
      </c>
      <c r="F1183" s="0" t="n">
        <v>1</v>
      </c>
      <c r="G1183" s="0" t="n">
        <v>0</v>
      </c>
      <c r="H1183" s="0" t="n">
        <v>0</v>
      </c>
      <c r="I1183" s="0" t="n">
        <v>0</v>
      </c>
      <c r="J1183" s="0" t="n">
        <v>0</v>
      </c>
      <c r="K1183" s="0" t="n">
        <v>3</v>
      </c>
      <c r="L1183" s="0" t="n">
        <v>2</v>
      </c>
    </row>
    <row r="1184" customFormat="false" ht="15" hidden="false" customHeight="false" outlineLevel="0" collapsed="false">
      <c r="A1184" s="5" t="n">
        <v>40337</v>
      </c>
      <c r="B1184" s="6" t="s">
        <v>149</v>
      </c>
      <c r="C1184" s="6" t="s">
        <v>150</v>
      </c>
      <c r="D1184" s="0" t="n">
        <v>229.221191238879</v>
      </c>
      <c r="E1184" s="0" t="n">
        <v>4.943076923</v>
      </c>
      <c r="F1184" s="0" t="n">
        <v>1</v>
      </c>
      <c r="G1184" s="0" t="n">
        <v>0</v>
      </c>
      <c r="H1184" s="0" t="n">
        <v>0</v>
      </c>
      <c r="I1184" s="0" t="n">
        <v>0</v>
      </c>
      <c r="J1184" s="0" t="n">
        <v>0</v>
      </c>
      <c r="K1184" s="0" t="n">
        <v>3</v>
      </c>
      <c r="L1184" s="0" t="n">
        <v>2</v>
      </c>
    </row>
    <row r="1185" customFormat="false" ht="15" hidden="false" customHeight="false" outlineLevel="0" collapsed="false">
      <c r="A1185" s="5" t="n">
        <v>40344</v>
      </c>
      <c r="B1185" s="6" t="s">
        <v>149</v>
      </c>
      <c r="C1185" s="6" t="s">
        <v>150</v>
      </c>
      <c r="D1185" s="0" t="n">
        <v>226.591724689918</v>
      </c>
      <c r="E1185" s="0" t="n">
        <v>4.856666667</v>
      </c>
      <c r="F1185" s="0" t="n">
        <v>1</v>
      </c>
      <c r="G1185" s="0" t="n">
        <v>0</v>
      </c>
      <c r="H1185" s="0" t="n">
        <v>1</v>
      </c>
      <c r="I1185" s="0" t="n">
        <v>0</v>
      </c>
      <c r="J1185" s="0" t="n">
        <v>0</v>
      </c>
      <c r="K1185" s="0" t="n">
        <v>3</v>
      </c>
      <c r="L1185" s="0" t="n">
        <v>2</v>
      </c>
    </row>
    <row r="1186" customFormat="false" ht="15" hidden="false" customHeight="false" outlineLevel="0" collapsed="false">
      <c r="A1186" s="5" t="n">
        <v>40351</v>
      </c>
      <c r="B1186" s="6" t="s">
        <v>149</v>
      </c>
      <c r="C1186" s="6" t="s">
        <v>150</v>
      </c>
      <c r="D1186" s="0" t="n">
        <v>300.134532712533</v>
      </c>
      <c r="E1186" s="0" t="n">
        <v>4.856666667</v>
      </c>
      <c r="F1186" s="0" t="n">
        <v>1</v>
      </c>
      <c r="G1186" s="0" t="n">
        <v>0</v>
      </c>
      <c r="H1186" s="0" t="n">
        <v>0</v>
      </c>
      <c r="I1186" s="0" t="n">
        <v>1</v>
      </c>
      <c r="J1186" s="0" t="n">
        <v>0</v>
      </c>
      <c r="K1186" s="0" t="n">
        <v>3</v>
      </c>
      <c r="L1186" s="0" t="n">
        <v>2</v>
      </c>
    </row>
    <row r="1187" customFormat="false" ht="15" hidden="false" customHeight="false" outlineLevel="0" collapsed="false">
      <c r="A1187" s="5" t="n">
        <v>40358</v>
      </c>
      <c r="B1187" s="6" t="s">
        <v>149</v>
      </c>
      <c r="C1187" s="6" t="s">
        <v>150</v>
      </c>
      <c r="D1187" s="0" t="n">
        <v>457.336717973649</v>
      </c>
      <c r="E1187" s="0" t="n">
        <v>4.79</v>
      </c>
      <c r="F1187" s="0" t="n">
        <v>1</v>
      </c>
      <c r="G1187" s="0" t="n">
        <v>0</v>
      </c>
      <c r="H1187" s="0" t="n">
        <v>1</v>
      </c>
      <c r="I1187" s="0" t="n">
        <v>1</v>
      </c>
      <c r="J1187" s="0" t="n">
        <v>0</v>
      </c>
      <c r="K1187" s="0" t="n">
        <v>3</v>
      </c>
      <c r="L1187" s="0" t="n">
        <v>2</v>
      </c>
    </row>
    <row r="1188" customFormat="false" ht="15" hidden="false" customHeight="false" outlineLevel="0" collapsed="false">
      <c r="A1188" s="5" t="n">
        <v>40365</v>
      </c>
      <c r="B1188" s="6" t="s">
        <v>149</v>
      </c>
      <c r="C1188" s="6" t="s">
        <v>150</v>
      </c>
      <c r="D1188" s="0" t="n">
        <v>368.986455009874</v>
      </c>
      <c r="E1188" s="0" t="n">
        <v>3.910909091</v>
      </c>
      <c r="F1188" s="0" t="n">
        <v>1</v>
      </c>
      <c r="G1188" s="0" t="n">
        <v>0</v>
      </c>
      <c r="H1188" s="0" t="n">
        <v>0</v>
      </c>
      <c r="I1188" s="0" t="n">
        <v>1</v>
      </c>
      <c r="J1188" s="0" t="n">
        <v>0</v>
      </c>
      <c r="K1188" s="0" t="n">
        <v>3</v>
      </c>
      <c r="L1188" s="0" t="n">
        <v>2</v>
      </c>
    </row>
    <row r="1189" customFormat="false" ht="15" hidden="false" customHeight="false" outlineLevel="0" collapsed="false">
      <c r="A1189" s="5" t="n">
        <v>40372</v>
      </c>
      <c r="B1189" s="6" t="s">
        <v>149</v>
      </c>
      <c r="C1189" s="6" t="s">
        <v>150</v>
      </c>
      <c r="D1189" s="0" t="n">
        <v>409.111526166358</v>
      </c>
      <c r="E1189" s="0" t="n">
        <v>4.307692308</v>
      </c>
      <c r="F1189" s="0" t="n">
        <v>1</v>
      </c>
      <c r="G1189" s="0" t="n">
        <v>0</v>
      </c>
      <c r="H1189" s="0" t="n">
        <v>0</v>
      </c>
      <c r="I1189" s="0" t="n">
        <v>1</v>
      </c>
      <c r="J1189" s="0" t="n">
        <v>1</v>
      </c>
      <c r="K1189" s="0" t="n">
        <v>3</v>
      </c>
      <c r="L1189" s="0" t="n">
        <v>2</v>
      </c>
    </row>
    <row r="1190" customFormat="false" ht="15" hidden="false" customHeight="false" outlineLevel="0" collapsed="false">
      <c r="A1190" s="5" t="n">
        <v>40302</v>
      </c>
      <c r="B1190" s="6" t="s">
        <v>149</v>
      </c>
      <c r="C1190" s="6" t="s">
        <v>151</v>
      </c>
      <c r="D1190" s="0" t="n">
        <v>193.071115761226</v>
      </c>
      <c r="E1190" s="0" t="n">
        <v>4.823333333</v>
      </c>
      <c r="F1190" s="0" t="n">
        <v>1</v>
      </c>
      <c r="G1190" s="0" t="n">
        <v>0</v>
      </c>
      <c r="H1190" s="0" t="n">
        <v>0</v>
      </c>
      <c r="I1190" s="0" t="n">
        <v>0</v>
      </c>
      <c r="J1190" s="0" t="n">
        <v>0</v>
      </c>
      <c r="K1190" s="0" t="n">
        <v>2</v>
      </c>
      <c r="L1190" s="0" t="n">
        <v>1</v>
      </c>
    </row>
    <row r="1191" customFormat="false" ht="15" hidden="false" customHeight="false" outlineLevel="0" collapsed="false">
      <c r="A1191" s="5" t="n">
        <v>40309</v>
      </c>
      <c r="B1191" s="6" t="s">
        <v>149</v>
      </c>
      <c r="C1191" s="6" t="s">
        <v>151</v>
      </c>
      <c r="D1191" s="0" t="n">
        <v>263.640168363798</v>
      </c>
      <c r="E1191" s="0" t="n">
        <v>4.823333333</v>
      </c>
      <c r="F1191" s="0" t="n">
        <v>1</v>
      </c>
      <c r="G1191" s="0" t="n">
        <v>0</v>
      </c>
      <c r="H1191" s="0" t="n">
        <v>0</v>
      </c>
      <c r="I1191" s="0" t="n">
        <v>0</v>
      </c>
      <c r="J1191" s="0" t="n">
        <v>0</v>
      </c>
      <c r="K1191" s="0" t="n">
        <v>2</v>
      </c>
      <c r="L1191" s="0" t="n">
        <v>1</v>
      </c>
    </row>
    <row r="1192" customFormat="false" ht="15" hidden="false" customHeight="false" outlineLevel="0" collapsed="false">
      <c r="A1192" s="5" t="n">
        <v>40316</v>
      </c>
      <c r="B1192" s="6" t="s">
        <v>149</v>
      </c>
      <c r="C1192" s="6" t="s">
        <v>151</v>
      </c>
      <c r="D1192" s="0" t="n">
        <v>176.274119713336</v>
      </c>
      <c r="E1192" s="0" t="n">
        <v>4.475833333</v>
      </c>
      <c r="F1192" s="0" t="n">
        <v>1</v>
      </c>
      <c r="G1192" s="0" t="n">
        <v>0</v>
      </c>
      <c r="H1192" s="0" t="n">
        <v>0</v>
      </c>
      <c r="I1192" s="0" t="n">
        <v>0</v>
      </c>
      <c r="J1192" s="0" t="n">
        <v>0</v>
      </c>
      <c r="K1192" s="0" t="n">
        <v>2</v>
      </c>
      <c r="L1192" s="0" t="n">
        <v>1</v>
      </c>
    </row>
    <row r="1193" customFormat="false" ht="15" hidden="false" customHeight="false" outlineLevel="0" collapsed="false">
      <c r="A1193" s="5" t="n">
        <v>40323</v>
      </c>
      <c r="B1193" s="6" t="s">
        <v>149</v>
      </c>
      <c r="C1193" s="6" t="s">
        <v>151</v>
      </c>
      <c r="D1193" s="0" t="n">
        <v>223.054092168069</v>
      </c>
      <c r="E1193" s="0" t="n">
        <v>4.200714286</v>
      </c>
      <c r="F1193" s="0" t="n">
        <v>1</v>
      </c>
      <c r="G1193" s="0" t="n">
        <v>0</v>
      </c>
      <c r="H1193" s="0" t="n">
        <v>0</v>
      </c>
      <c r="I1193" s="0" t="n">
        <v>0</v>
      </c>
      <c r="J1193" s="0" t="n">
        <v>0</v>
      </c>
      <c r="K1193" s="0" t="n">
        <v>2</v>
      </c>
      <c r="L1193" s="0" t="n">
        <v>1</v>
      </c>
    </row>
    <row r="1194" customFormat="false" ht="15" hidden="false" customHeight="false" outlineLevel="0" collapsed="false">
      <c r="A1194" s="5" t="n">
        <v>40330</v>
      </c>
      <c r="B1194" s="6" t="s">
        <v>149</v>
      </c>
      <c r="C1194" s="6" t="s">
        <v>151</v>
      </c>
      <c r="D1194" s="0" t="n">
        <v>164.639545269204</v>
      </c>
      <c r="E1194" s="0" t="n">
        <v>4.343125</v>
      </c>
      <c r="F1194" s="0" t="n">
        <v>1</v>
      </c>
      <c r="G1194" s="0" t="n">
        <v>0</v>
      </c>
      <c r="H1194" s="0" t="n">
        <v>0</v>
      </c>
      <c r="I1194" s="0" t="n">
        <v>0</v>
      </c>
      <c r="J1194" s="0" t="n">
        <v>0</v>
      </c>
      <c r="K1194" s="0" t="n">
        <v>2</v>
      </c>
      <c r="L1194" s="0" t="n">
        <v>1</v>
      </c>
    </row>
    <row r="1195" customFormat="false" ht="15" hidden="false" customHeight="false" outlineLevel="0" collapsed="false">
      <c r="A1195" s="5" t="n">
        <v>40337</v>
      </c>
      <c r="B1195" s="6" t="s">
        <v>149</v>
      </c>
      <c r="C1195" s="6" t="s">
        <v>151</v>
      </c>
      <c r="D1195" s="0" t="n">
        <v>248.940880692599</v>
      </c>
      <c r="E1195" s="0" t="n">
        <v>4.554375</v>
      </c>
      <c r="F1195" s="0" t="n">
        <v>1</v>
      </c>
      <c r="G1195" s="0" t="n">
        <v>0</v>
      </c>
      <c r="H1195" s="0" t="n">
        <v>0</v>
      </c>
      <c r="I1195" s="0" t="n">
        <v>0</v>
      </c>
      <c r="J1195" s="0" t="n">
        <v>0</v>
      </c>
      <c r="K1195" s="0" t="n">
        <v>2</v>
      </c>
      <c r="L1195" s="0" t="n">
        <v>1</v>
      </c>
    </row>
    <row r="1196" customFormat="false" ht="15" hidden="false" customHeight="false" outlineLevel="0" collapsed="false">
      <c r="A1196" s="5" t="n">
        <v>40344</v>
      </c>
      <c r="B1196" s="6" t="s">
        <v>149</v>
      </c>
      <c r="C1196" s="6" t="s">
        <v>151</v>
      </c>
      <c r="D1196" s="0" t="n">
        <v>373.232066775126</v>
      </c>
      <c r="E1196" s="0" t="n">
        <v>4.62125</v>
      </c>
      <c r="F1196" s="0" t="n">
        <v>1</v>
      </c>
      <c r="G1196" s="0" t="n">
        <v>0</v>
      </c>
      <c r="H1196" s="0" t="n">
        <v>1</v>
      </c>
      <c r="I1196" s="0" t="n">
        <v>0</v>
      </c>
      <c r="J1196" s="0" t="n">
        <v>0</v>
      </c>
      <c r="K1196" s="0" t="n">
        <v>2</v>
      </c>
      <c r="L1196" s="0" t="n">
        <v>1</v>
      </c>
    </row>
    <row r="1197" customFormat="false" ht="15" hidden="false" customHeight="false" outlineLevel="0" collapsed="false">
      <c r="A1197" s="5" t="n">
        <v>40351</v>
      </c>
      <c r="B1197" s="6" t="s">
        <v>149</v>
      </c>
      <c r="C1197" s="6" t="s">
        <v>151</v>
      </c>
      <c r="D1197" s="0" t="n">
        <v>338.160304834533</v>
      </c>
      <c r="E1197" s="0" t="n">
        <v>4.62125</v>
      </c>
      <c r="F1197" s="0" t="n">
        <v>1</v>
      </c>
      <c r="G1197" s="0" t="n">
        <v>0</v>
      </c>
      <c r="H1197" s="0" t="n">
        <v>0</v>
      </c>
      <c r="I1197" s="0" t="n">
        <v>1</v>
      </c>
      <c r="J1197" s="0" t="n">
        <v>0</v>
      </c>
      <c r="K1197" s="0" t="n">
        <v>2</v>
      </c>
      <c r="L1197" s="0" t="n">
        <v>1</v>
      </c>
    </row>
    <row r="1198" customFormat="false" ht="15" hidden="false" customHeight="false" outlineLevel="0" collapsed="false">
      <c r="A1198" s="5" t="n">
        <v>40358</v>
      </c>
      <c r="B1198" s="6" t="s">
        <v>149</v>
      </c>
      <c r="C1198" s="6" t="s">
        <v>151</v>
      </c>
      <c r="D1198" s="0" t="n">
        <v>415.114452041858</v>
      </c>
      <c r="E1198" s="0" t="n">
        <v>4.62125</v>
      </c>
      <c r="F1198" s="0" t="n">
        <v>1</v>
      </c>
      <c r="G1198" s="0" t="n">
        <v>0</v>
      </c>
      <c r="H1198" s="0" t="n">
        <v>0</v>
      </c>
      <c r="I1198" s="0" t="n">
        <v>1</v>
      </c>
      <c r="J1198" s="0" t="n">
        <v>0</v>
      </c>
      <c r="K1198" s="0" t="n">
        <v>2</v>
      </c>
      <c r="L1198" s="0" t="n">
        <v>1</v>
      </c>
    </row>
    <row r="1199" customFormat="false" ht="15" hidden="false" customHeight="false" outlineLevel="0" collapsed="false">
      <c r="A1199" s="5" t="n">
        <v>40365</v>
      </c>
      <c r="B1199" s="6" t="s">
        <v>149</v>
      </c>
      <c r="C1199" s="6" t="s">
        <v>151</v>
      </c>
      <c r="D1199" s="0" t="n">
        <v>302.529392482098</v>
      </c>
      <c r="E1199" s="0" t="n">
        <v>4.286875</v>
      </c>
      <c r="F1199" s="0" t="n">
        <v>1</v>
      </c>
      <c r="G1199" s="0" t="n">
        <v>0</v>
      </c>
      <c r="H1199" s="0" t="n">
        <v>0</v>
      </c>
      <c r="I1199" s="0" t="n">
        <v>1</v>
      </c>
      <c r="J1199" s="0" t="n">
        <v>0</v>
      </c>
      <c r="K1199" s="0" t="n">
        <v>2</v>
      </c>
      <c r="L1199" s="0" t="n">
        <v>1</v>
      </c>
    </row>
    <row r="1200" customFormat="false" ht="15" hidden="false" customHeight="false" outlineLevel="0" collapsed="false">
      <c r="A1200" s="5" t="n">
        <v>40372</v>
      </c>
      <c r="B1200" s="6" t="s">
        <v>149</v>
      </c>
      <c r="C1200" s="6" t="s">
        <v>151</v>
      </c>
      <c r="D1200" s="0" t="n">
        <v>287.386447027802</v>
      </c>
      <c r="E1200" s="0" t="n">
        <v>4.248125</v>
      </c>
      <c r="F1200" s="0" t="n">
        <v>1</v>
      </c>
      <c r="G1200" s="0" t="n">
        <v>0</v>
      </c>
      <c r="H1200" s="0" t="n">
        <v>0</v>
      </c>
      <c r="I1200" s="0" t="n">
        <v>0</v>
      </c>
      <c r="J1200" s="0" t="n">
        <v>1</v>
      </c>
      <c r="K1200" s="0" t="n">
        <v>2</v>
      </c>
      <c r="L1200" s="0" t="n">
        <v>1</v>
      </c>
    </row>
    <row r="1201" customFormat="false" ht="15" hidden="false" customHeight="false" outlineLevel="0" collapsed="false">
      <c r="A1201" s="5" t="n">
        <v>40302</v>
      </c>
      <c r="B1201" s="6" t="s">
        <v>149</v>
      </c>
      <c r="C1201" s="6" t="s">
        <v>152</v>
      </c>
      <c r="D1201" s="0" t="n">
        <v>347.91721538663</v>
      </c>
      <c r="E1201" s="0" t="n">
        <v>4.659230769</v>
      </c>
      <c r="F1201" s="0" t="n">
        <v>1</v>
      </c>
      <c r="G1201" s="0" t="n">
        <v>0</v>
      </c>
      <c r="H1201" s="0" t="n">
        <v>0</v>
      </c>
      <c r="I1201" s="0" t="n">
        <v>0</v>
      </c>
      <c r="J1201" s="0" t="n">
        <v>1</v>
      </c>
      <c r="K1201" s="0" t="n">
        <v>1</v>
      </c>
      <c r="L1201" s="0" t="n">
        <v>2</v>
      </c>
    </row>
    <row r="1202" customFormat="false" ht="15" hidden="false" customHeight="false" outlineLevel="0" collapsed="false">
      <c r="A1202" s="5" t="n">
        <v>40309</v>
      </c>
      <c r="B1202" s="6" t="s">
        <v>149</v>
      </c>
      <c r="C1202" s="6" t="s">
        <v>152</v>
      </c>
      <c r="D1202" s="0" t="n">
        <v>203.796789390291</v>
      </c>
      <c r="E1202" s="0" t="n">
        <v>4.396666667</v>
      </c>
      <c r="F1202" s="0" t="n">
        <v>1</v>
      </c>
      <c r="G1202" s="0" t="n">
        <v>0</v>
      </c>
      <c r="H1202" s="0" t="n">
        <v>0</v>
      </c>
      <c r="I1202" s="0" t="n">
        <v>0</v>
      </c>
      <c r="J1202" s="0" t="n">
        <v>1</v>
      </c>
      <c r="K1202" s="0" t="n">
        <v>1</v>
      </c>
      <c r="L1202" s="0" t="n">
        <v>2</v>
      </c>
    </row>
    <row r="1203" customFormat="false" ht="15" hidden="false" customHeight="false" outlineLevel="0" collapsed="false">
      <c r="A1203" s="5" t="n">
        <v>40316</v>
      </c>
      <c r="B1203" s="6" t="s">
        <v>149</v>
      </c>
      <c r="C1203" s="6" t="s">
        <v>152</v>
      </c>
      <c r="D1203" s="0" t="n">
        <v>241.462311432864</v>
      </c>
      <c r="E1203" s="0" t="n">
        <v>4.153076923</v>
      </c>
      <c r="F1203" s="0" t="n">
        <v>1</v>
      </c>
      <c r="G1203" s="0" t="n">
        <v>0</v>
      </c>
      <c r="H1203" s="0" t="n">
        <v>0</v>
      </c>
      <c r="I1203" s="0" t="n">
        <v>0</v>
      </c>
      <c r="J1203" s="0" t="n">
        <v>0</v>
      </c>
      <c r="K1203" s="0" t="n">
        <v>1</v>
      </c>
      <c r="L1203" s="0" t="n">
        <v>2</v>
      </c>
    </row>
    <row r="1204" customFormat="false" ht="15" hidden="false" customHeight="false" outlineLevel="0" collapsed="false">
      <c r="A1204" s="5" t="n">
        <v>40323</v>
      </c>
      <c r="B1204" s="6" t="s">
        <v>149</v>
      </c>
      <c r="C1204" s="6" t="s">
        <v>152</v>
      </c>
      <c r="D1204" s="0" t="n">
        <v>233.11930465913</v>
      </c>
      <c r="E1204" s="0" t="n">
        <v>4.1</v>
      </c>
      <c r="F1204" s="0" t="n">
        <v>1</v>
      </c>
      <c r="G1204" s="0" t="n">
        <v>0</v>
      </c>
      <c r="H1204" s="0" t="n">
        <v>0</v>
      </c>
      <c r="I1204" s="0" t="n">
        <v>0</v>
      </c>
      <c r="J1204" s="0" t="n">
        <v>0</v>
      </c>
      <c r="K1204" s="0" t="n">
        <v>1</v>
      </c>
      <c r="L1204" s="0" t="n">
        <v>2</v>
      </c>
    </row>
    <row r="1205" customFormat="false" ht="15" hidden="false" customHeight="false" outlineLevel="0" collapsed="false">
      <c r="A1205" s="5" t="n">
        <v>40330</v>
      </c>
      <c r="B1205" s="6" t="s">
        <v>149</v>
      </c>
      <c r="C1205" s="6" t="s">
        <v>152</v>
      </c>
      <c r="D1205" s="0" t="n">
        <v>206.841884966254</v>
      </c>
      <c r="E1205" s="0" t="n">
        <v>4.142857143</v>
      </c>
      <c r="F1205" s="0" t="n">
        <v>1</v>
      </c>
      <c r="G1205" s="0" t="n">
        <v>0</v>
      </c>
      <c r="H1205" s="0" t="n">
        <v>0</v>
      </c>
      <c r="I1205" s="0" t="n">
        <v>0</v>
      </c>
      <c r="J1205" s="0" t="n">
        <v>0</v>
      </c>
      <c r="K1205" s="0" t="n">
        <v>1</v>
      </c>
      <c r="L1205" s="0" t="n">
        <v>2</v>
      </c>
    </row>
    <row r="1206" customFormat="false" ht="15" hidden="false" customHeight="false" outlineLevel="0" collapsed="false">
      <c r="A1206" s="5" t="n">
        <v>40337</v>
      </c>
      <c r="B1206" s="6" t="s">
        <v>149</v>
      </c>
      <c r="C1206" s="6" t="s">
        <v>152</v>
      </c>
      <c r="D1206" s="0" t="n">
        <v>268.008559541113</v>
      </c>
      <c r="E1206" s="0" t="n">
        <v>4.329285714</v>
      </c>
      <c r="F1206" s="0" t="n">
        <v>1</v>
      </c>
      <c r="G1206" s="0" t="n">
        <v>0</v>
      </c>
      <c r="H1206" s="0" t="n">
        <v>0</v>
      </c>
      <c r="I1206" s="0" t="n">
        <v>0</v>
      </c>
      <c r="J1206" s="0" t="n">
        <v>0</v>
      </c>
      <c r="K1206" s="0" t="n">
        <v>1</v>
      </c>
      <c r="L1206" s="0" t="n">
        <v>2</v>
      </c>
    </row>
    <row r="1207" customFormat="false" ht="15" hidden="false" customHeight="false" outlineLevel="0" collapsed="false">
      <c r="A1207" s="5" t="n">
        <v>40344</v>
      </c>
      <c r="B1207" s="6" t="s">
        <v>149</v>
      </c>
      <c r="C1207" s="6" t="s">
        <v>152</v>
      </c>
      <c r="D1207" s="0" t="n">
        <v>340.762268105308</v>
      </c>
      <c r="E1207" s="0" t="n">
        <v>4.331666667</v>
      </c>
      <c r="F1207" s="0" t="n">
        <v>1</v>
      </c>
      <c r="G1207" s="0" t="n">
        <v>0</v>
      </c>
      <c r="H1207" s="0" t="n">
        <v>0</v>
      </c>
      <c r="I1207" s="0" t="n">
        <v>0</v>
      </c>
      <c r="J1207" s="0" t="n">
        <v>0</v>
      </c>
      <c r="K1207" s="0" t="n">
        <v>1</v>
      </c>
      <c r="L1207" s="0" t="n">
        <v>2</v>
      </c>
    </row>
    <row r="1208" customFormat="false" ht="15" hidden="false" customHeight="false" outlineLevel="0" collapsed="false">
      <c r="A1208" s="5" t="n">
        <v>40351</v>
      </c>
      <c r="B1208" s="6" t="s">
        <v>149</v>
      </c>
      <c r="C1208" s="6" t="s">
        <v>152</v>
      </c>
      <c r="D1208" s="0" t="n">
        <v>299.351381567875</v>
      </c>
      <c r="E1208" s="0" t="n">
        <v>4.305384615</v>
      </c>
      <c r="F1208" s="0" t="n">
        <v>1</v>
      </c>
      <c r="G1208" s="0" t="n">
        <v>0</v>
      </c>
      <c r="H1208" s="0" t="n">
        <v>0</v>
      </c>
      <c r="I1208" s="0" t="n">
        <v>0</v>
      </c>
      <c r="J1208" s="0" t="n">
        <v>0</v>
      </c>
      <c r="K1208" s="0" t="n">
        <v>1</v>
      </c>
      <c r="L1208" s="0" t="n">
        <v>2</v>
      </c>
    </row>
    <row r="1209" customFormat="false" ht="15" hidden="false" customHeight="false" outlineLevel="0" collapsed="false">
      <c r="A1209" s="5" t="n">
        <v>40358</v>
      </c>
      <c r="B1209" s="6" t="s">
        <v>149</v>
      </c>
      <c r="C1209" s="6" t="s">
        <v>152</v>
      </c>
      <c r="D1209" s="0" t="n">
        <v>398.973990221609</v>
      </c>
      <c r="E1209" s="0" t="n">
        <v>4.44</v>
      </c>
      <c r="F1209" s="0" t="n">
        <v>1</v>
      </c>
      <c r="G1209" s="0" t="n">
        <v>0</v>
      </c>
      <c r="H1209" s="0" t="n">
        <v>1</v>
      </c>
      <c r="I1209" s="0" t="n">
        <v>0</v>
      </c>
      <c r="J1209" s="0" t="n">
        <v>0</v>
      </c>
      <c r="K1209" s="0" t="n">
        <v>1</v>
      </c>
      <c r="L1209" s="0" t="n">
        <v>2</v>
      </c>
    </row>
    <row r="1210" customFormat="false" ht="15" hidden="false" customHeight="false" outlineLevel="0" collapsed="false">
      <c r="A1210" s="5" t="n">
        <v>40365</v>
      </c>
      <c r="B1210" s="6" t="s">
        <v>149</v>
      </c>
      <c r="C1210" s="6" t="s">
        <v>152</v>
      </c>
      <c r="D1210" s="0" t="n">
        <v>317.90317570909</v>
      </c>
      <c r="E1210" s="0" t="n">
        <v>3.88</v>
      </c>
      <c r="F1210" s="0" t="n">
        <v>1</v>
      </c>
      <c r="G1210" s="0" t="n">
        <v>0</v>
      </c>
      <c r="H1210" s="0" t="n">
        <v>0</v>
      </c>
      <c r="I1210" s="0" t="n">
        <v>1</v>
      </c>
      <c r="J1210" s="0" t="n">
        <v>0</v>
      </c>
      <c r="K1210" s="0" t="n">
        <v>1</v>
      </c>
      <c r="L1210" s="0" t="n">
        <v>2</v>
      </c>
    </row>
    <row r="1211" customFormat="false" ht="15" hidden="false" customHeight="false" outlineLevel="0" collapsed="false">
      <c r="A1211" s="5" t="n">
        <v>40372</v>
      </c>
      <c r="B1211" s="6" t="s">
        <v>149</v>
      </c>
      <c r="C1211" s="6" t="s">
        <v>152</v>
      </c>
      <c r="D1211" s="0" t="n">
        <v>343.421042108361</v>
      </c>
      <c r="E1211" s="0" t="n">
        <v>3.846153846</v>
      </c>
      <c r="F1211" s="0" t="n">
        <v>1</v>
      </c>
      <c r="G1211" s="0" t="n">
        <v>0</v>
      </c>
      <c r="H1211" s="0" t="n">
        <v>0</v>
      </c>
      <c r="I1211" s="0" t="n">
        <v>1</v>
      </c>
      <c r="J1211" s="0" t="n">
        <v>0</v>
      </c>
      <c r="K1211" s="0" t="n">
        <v>1</v>
      </c>
      <c r="L1211" s="0" t="n">
        <v>2</v>
      </c>
    </row>
    <row r="1212" customFormat="false" ht="15" hidden="false" customHeight="false" outlineLevel="0" collapsed="false">
      <c r="A1212" s="5" t="n">
        <v>40302</v>
      </c>
      <c r="B1212" s="6" t="s">
        <v>149</v>
      </c>
      <c r="C1212" s="6" t="s">
        <v>153</v>
      </c>
      <c r="D1212" s="0" t="n">
        <v>280.803612613473</v>
      </c>
      <c r="E1212" s="0" t="n">
        <v>5.066923077</v>
      </c>
      <c r="F1212" s="0" t="n">
        <v>1</v>
      </c>
      <c r="G1212" s="0" t="n">
        <v>0</v>
      </c>
      <c r="H1212" s="0" t="n">
        <v>0</v>
      </c>
      <c r="I1212" s="0" t="n">
        <v>0</v>
      </c>
      <c r="J1212" s="0" t="n">
        <v>1</v>
      </c>
      <c r="K1212" s="0" t="n">
        <v>2</v>
      </c>
      <c r="L1212" s="0" t="n">
        <v>5</v>
      </c>
    </row>
    <row r="1213" customFormat="false" ht="15" hidden="false" customHeight="false" outlineLevel="0" collapsed="false">
      <c r="A1213" s="5" t="n">
        <v>40309</v>
      </c>
      <c r="B1213" s="6" t="s">
        <v>149</v>
      </c>
      <c r="C1213" s="6" t="s">
        <v>153</v>
      </c>
      <c r="D1213" s="0" t="n">
        <v>335.641355564361</v>
      </c>
      <c r="E1213" s="0" t="n">
        <v>4.62125</v>
      </c>
      <c r="F1213" s="0" t="n">
        <v>1</v>
      </c>
      <c r="G1213" s="0" t="n">
        <v>0</v>
      </c>
      <c r="H1213" s="0" t="n">
        <v>0</v>
      </c>
      <c r="I1213" s="0" t="n">
        <v>0</v>
      </c>
      <c r="J1213" s="0" t="n">
        <v>1</v>
      </c>
      <c r="K1213" s="0" t="n">
        <v>2</v>
      </c>
      <c r="L1213" s="0" t="n">
        <v>5</v>
      </c>
    </row>
    <row r="1214" customFormat="false" ht="15" hidden="false" customHeight="false" outlineLevel="0" collapsed="false">
      <c r="A1214" s="5" t="n">
        <v>40316</v>
      </c>
      <c r="B1214" s="6" t="s">
        <v>149</v>
      </c>
      <c r="C1214" s="6" t="s">
        <v>153</v>
      </c>
      <c r="D1214" s="0" t="n">
        <v>253.821108815621</v>
      </c>
      <c r="E1214" s="0" t="n">
        <v>4.130666667</v>
      </c>
      <c r="F1214" s="0" t="n">
        <v>1</v>
      </c>
      <c r="G1214" s="0" t="n">
        <v>0</v>
      </c>
      <c r="H1214" s="0" t="n">
        <v>0</v>
      </c>
      <c r="I1214" s="0" t="n">
        <v>0</v>
      </c>
      <c r="J1214" s="0" t="n">
        <v>0</v>
      </c>
      <c r="K1214" s="0" t="n">
        <v>2</v>
      </c>
      <c r="L1214" s="0" t="n">
        <v>5</v>
      </c>
    </row>
    <row r="1215" customFormat="false" ht="15" hidden="false" customHeight="false" outlineLevel="0" collapsed="false">
      <c r="A1215" s="5" t="n">
        <v>40323</v>
      </c>
      <c r="B1215" s="6" t="s">
        <v>149</v>
      </c>
      <c r="C1215" s="6" t="s">
        <v>153</v>
      </c>
      <c r="D1215" s="0" t="n">
        <v>295.806982574553</v>
      </c>
      <c r="E1215" s="0" t="n">
        <v>4.1</v>
      </c>
      <c r="F1215" s="0" t="n">
        <v>1</v>
      </c>
      <c r="G1215" s="0" t="n">
        <v>0</v>
      </c>
      <c r="H1215" s="0" t="n">
        <v>0</v>
      </c>
      <c r="I1215" s="0" t="n">
        <v>0</v>
      </c>
      <c r="J1215" s="0" t="n">
        <v>0</v>
      </c>
      <c r="K1215" s="0" t="n">
        <v>2</v>
      </c>
      <c r="L1215" s="0" t="n">
        <v>5</v>
      </c>
    </row>
    <row r="1216" customFormat="false" ht="15" hidden="false" customHeight="false" outlineLevel="0" collapsed="false">
      <c r="A1216" s="5" t="n">
        <v>40330</v>
      </c>
      <c r="B1216" s="6" t="s">
        <v>149</v>
      </c>
      <c r="C1216" s="6" t="s">
        <v>153</v>
      </c>
      <c r="D1216" s="0" t="n">
        <v>252.159757537827</v>
      </c>
      <c r="E1216" s="0" t="n">
        <v>4.142857143</v>
      </c>
      <c r="F1216" s="0" t="n">
        <v>1</v>
      </c>
      <c r="G1216" s="0" t="n">
        <v>0</v>
      </c>
      <c r="H1216" s="0" t="n">
        <v>0</v>
      </c>
      <c r="I1216" s="0" t="n">
        <v>0</v>
      </c>
      <c r="J1216" s="0" t="n">
        <v>0</v>
      </c>
      <c r="K1216" s="0" t="n">
        <v>2</v>
      </c>
      <c r="L1216" s="0" t="n">
        <v>5</v>
      </c>
    </row>
    <row r="1217" customFormat="false" ht="15" hidden="false" customHeight="false" outlineLevel="0" collapsed="false">
      <c r="A1217" s="5" t="n">
        <v>40337</v>
      </c>
      <c r="B1217" s="6" t="s">
        <v>149</v>
      </c>
      <c r="C1217" s="6" t="s">
        <v>153</v>
      </c>
      <c r="D1217" s="0" t="n">
        <v>184.0866570524</v>
      </c>
      <c r="E1217" s="0" t="n">
        <v>4.314666667</v>
      </c>
      <c r="F1217" s="0" t="n">
        <v>1</v>
      </c>
      <c r="G1217" s="0" t="n">
        <v>0</v>
      </c>
      <c r="H1217" s="0" t="n">
        <v>0</v>
      </c>
      <c r="I1217" s="0" t="n">
        <v>0</v>
      </c>
      <c r="J1217" s="0" t="n">
        <v>0</v>
      </c>
      <c r="K1217" s="0" t="n">
        <v>2</v>
      </c>
      <c r="L1217" s="0" t="n">
        <v>5</v>
      </c>
    </row>
    <row r="1218" customFormat="false" ht="15" hidden="false" customHeight="false" outlineLevel="0" collapsed="false">
      <c r="A1218" s="5" t="n">
        <v>40344</v>
      </c>
      <c r="B1218" s="6" t="s">
        <v>149</v>
      </c>
      <c r="C1218" s="6" t="s">
        <v>153</v>
      </c>
      <c r="D1218" s="0" t="n">
        <v>328.610829300981</v>
      </c>
      <c r="E1218" s="0" t="n">
        <v>4.396666667</v>
      </c>
      <c r="F1218" s="0" t="n">
        <v>1</v>
      </c>
      <c r="G1218" s="0" t="n">
        <v>0</v>
      </c>
      <c r="H1218" s="0" t="n">
        <v>0</v>
      </c>
      <c r="I1218" s="0" t="n">
        <v>0</v>
      </c>
      <c r="J1218" s="0" t="n">
        <v>0</v>
      </c>
      <c r="K1218" s="0" t="n">
        <v>2</v>
      </c>
      <c r="L1218" s="0" t="n">
        <v>5</v>
      </c>
    </row>
    <row r="1219" customFormat="false" ht="15" hidden="false" customHeight="false" outlineLevel="0" collapsed="false">
      <c r="A1219" s="5" t="n">
        <v>40351</v>
      </c>
      <c r="B1219" s="6" t="s">
        <v>149</v>
      </c>
      <c r="C1219" s="6" t="s">
        <v>153</v>
      </c>
      <c r="D1219" s="0" t="n">
        <v>360.376468654037</v>
      </c>
      <c r="E1219" s="0" t="n">
        <v>4.62125</v>
      </c>
      <c r="F1219" s="0" t="n">
        <v>1</v>
      </c>
      <c r="G1219" s="0" t="n">
        <v>0</v>
      </c>
      <c r="H1219" s="0" t="n">
        <v>1</v>
      </c>
      <c r="I1219" s="0" t="n">
        <v>0</v>
      </c>
      <c r="J1219" s="0" t="n">
        <v>0</v>
      </c>
      <c r="K1219" s="0" t="n">
        <v>2</v>
      </c>
      <c r="L1219" s="0" t="n">
        <v>5</v>
      </c>
    </row>
    <row r="1220" customFormat="false" ht="15" hidden="false" customHeight="false" outlineLevel="0" collapsed="false">
      <c r="A1220" s="5" t="n">
        <v>40358</v>
      </c>
      <c r="B1220" s="6" t="s">
        <v>149</v>
      </c>
      <c r="C1220" s="6" t="s">
        <v>153</v>
      </c>
      <c r="D1220" s="0" t="n">
        <v>290.588182355154</v>
      </c>
      <c r="E1220" s="0" t="n">
        <v>4.897142857</v>
      </c>
      <c r="F1220" s="0" t="n">
        <v>1</v>
      </c>
      <c r="G1220" s="0" t="n">
        <v>0</v>
      </c>
      <c r="H1220" s="0" t="n">
        <v>0</v>
      </c>
      <c r="I1220" s="0" t="n">
        <v>1</v>
      </c>
      <c r="J1220" s="0" t="n">
        <v>0</v>
      </c>
      <c r="K1220" s="0" t="n">
        <v>2</v>
      </c>
      <c r="L1220" s="0" t="n">
        <v>5</v>
      </c>
    </row>
    <row r="1221" customFormat="false" ht="15" hidden="false" customHeight="false" outlineLevel="0" collapsed="false">
      <c r="A1221" s="5" t="n">
        <v>40365</v>
      </c>
      <c r="B1221" s="6" t="s">
        <v>149</v>
      </c>
      <c r="C1221" s="6" t="s">
        <v>153</v>
      </c>
      <c r="D1221" s="0" t="n">
        <v>317.507209081621</v>
      </c>
      <c r="E1221" s="0" t="n">
        <v>4.2725</v>
      </c>
      <c r="F1221" s="0" t="n">
        <v>1</v>
      </c>
      <c r="G1221" s="0" t="n">
        <v>0</v>
      </c>
      <c r="H1221" s="0" t="n">
        <v>0</v>
      </c>
      <c r="I1221" s="0" t="n">
        <v>1</v>
      </c>
      <c r="J1221" s="0" t="n">
        <v>0</v>
      </c>
      <c r="K1221" s="0" t="n">
        <v>2</v>
      </c>
      <c r="L1221" s="0" t="n">
        <v>5</v>
      </c>
    </row>
    <row r="1222" customFormat="false" ht="15" hidden="false" customHeight="false" outlineLevel="0" collapsed="false">
      <c r="A1222" s="5" t="n">
        <v>40372</v>
      </c>
      <c r="B1222" s="6" t="s">
        <v>149</v>
      </c>
      <c r="C1222" s="6" t="s">
        <v>153</v>
      </c>
      <c r="D1222" s="0" t="n">
        <v>304.352097794595</v>
      </c>
      <c r="E1222" s="0" t="n">
        <v>4.202666667</v>
      </c>
      <c r="F1222" s="0" t="n">
        <v>1</v>
      </c>
      <c r="G1222" s="0" t="n">
        <v>0</v>
      </c>
      <c r="H1222" s="0" t="n">
        <v>0</v>
      </c>
      <c r="I1222" s="0" t="n">
        <v>1</v>
      </c>
      <c r="J1222" s="0" t="n">
        <v>0</v>
      </c>
      <c r="K1222" s="0" t="n">
        <v>2</v>
      </c>
      <c r="L1222" s="0" t="n">
        <v>5</v>
      </c>
    </row>
    <row r="1223" customFormat="false" ht="15" hidden="false" customHeight="false" outlineLevel="0" collapsed="false">
      <c r="A1223" s="5" t="n">
        <v>40302</v>
      </c>
      <c r="B1223" s="6" t="s">
        <v>149</v>
      </c>
      <c r="C1223" s="6" t="s">
        <v>154</v>
      </c>
      <c r="D1223" s="0" t="n">
        <v>401.502228548367</v>
      </c>
      <c r="E1223" s="0" t="n">
        <v>4.659230769</v>
      </c>
      <c r="F1223" s="0" t="n">
        <v>1</v>
      </c>
      <c r="G1223" s="0" t="n">
        <v>0</v>
      </c>
      <c r="H1223" s="0" t="n">
        <v>0</v>
      </c>
      <c r="I1223" s="0" t="n">
        <v>0</v>
      </c>
      <c r="J1223" s="0" t="n">
        <v>1</v>
      </c>
      <c r="K1223" s="0" t="n">
        <v>0</v>
      </c>
      <c r="L1223" s="0" t="n">
        <v>4</v>
      </c>
    </row>
    <row r="1224" customFormat="false" ht="15" hidden="false" customHeight="false" outlineLevel="0" collapsed="false">
      <c r="A1224" s="5" t="n">
        <v>40309</v>
      </c>
      <c r="B1224" s="6" t="s">
        <v>149</v>
      </c>
      <c r="C1224" s="6" t="s">
        <v>154</v>
      </c>
      <c r="D1224" s="0" t="n">
        <v>375.915064982088</v>
      </c>
      <c r="E1224" s="0" t="n">
        <v>4.482307692</v>
      </c>
      <c r="F1224" s="0" t="n">
        <v>1</v>
      </c>
      <c r="G1224" s="0" t="n">
        <v>0</v>
      </c>
      <c r="H1224" s="0" t="n">
        <v>0</v>
      </c>
      <c r="I1224" s="0" t="n">
        <v>0</v>
      </c>
      <c r="J1224" s="0" t="n">
        <v>1</v>
      </c>
      <c r="K1224" s="0" t="n">
        <v>0</v>
      </c>
      <c r="L1224" s="0" t="n">
        <v>4</v>
      </c>
    </row>
    <row r="1225" customFormat="false" ht="15" hidden="false" customHeight="false" outlineLevel="0" collapsed="false">
      <c r="A1225" s="5" t="n">
        <v>40316</v>
      </c>
      <c r="B1225" s="6" t="s">
        <v>149</v>
      </c>
      <c r="C1225" s="6" t="s">
        <v>154</v>
      </c>
      <c r="D1225" s="0" t="n">
        <v>237.302470369736</v>
      </c>
      <c r="E1225" s="0" t="n">
        <v>4.117333333</v>
      </c>
      <c r="F1225" s="0" t="n">
        <v>1</v>
      </c>
      <c r="G1225" s="0" t="n">
        <v>0</v>
      </c>
      <c r="H1225" s="0" t="n">
        <v>0</v>
      </c>
      <c r="I1225" s="0" t="n">
        <v>0</v>
      </c>
      <c r="J1225" s="0" t="n">
        <v>0</v>
      </c>
      <c r="K1225" s="0" t="n">
        <v>0</v>
      </c>
      <c r="L1225" s="0" t="n">
        <v>4</v>
      </c>
    </row>
    <row r="1226" customFormat="false" ht="15" hidden="false" customHeight="false" outlineLevel="0" collapsed="false">
      <c r="A1226" s="5" t="n">
        <v>40323</v>
      </c>
      <c r="B1226" s="6" t="s">
        <v>149</v>
      </c>
      <c r="C1226" s="6" t="s">
        <v>154</v>
      </c>
      <c r="D1226" s="0" t="n">
        <v>189.991216427091</v>
      </c>
      <c r="E1226" s="0" t="n">
        <v>4.1</v>
      </c>
      <c r="F1226" s="0" t="n">
        <v>1</v>
      </c>
      <c r="G1226" s="0" t="n">
        <v>0</v>
      </c>
      <c r="H1226" s="0" t="n">
        <v>0</v>
      </c>
      <c r="I1226" s="0" t="n">
        <v>0</v>
      </c>
      <c r="J1226" s="0" t="n">
        <v>0</v>
      </c>
      <c r="K1226" s="0" t="n">
        <v>0</v>
      </c>
      <c r="L1226" s="0" t="n">
        <v>4</v>
      </c>
    </row>
    <row r="1227" customFormat="false" ht="15" hidden="false" customHeight="false" outlineLevel="0" collapsed="false">
      <c r="A1227" s="5" t="n">
        <v>40330</v>
      </c>
      <c r="B1227" s="6" t="s">
        <v>149</v>
      </c>
      <c r="C1227" s="6" t="s">
        <v>154</v>
      </c>
      <c r="D1227" s="0" t="n">
        <v>218.773910140884</v>
      </c>
      <c r="E1227" s="0" t="n">
        <v>4.14</v>
      </c>
      <c r="F1227" s="0" t="n">
        <v>1</v>
      </c>
      <c r="G1227" s="0" t="n">
        <v>0</v>
      </c>
      <c r="H1227" s="0" t="n">
        <v>0</v>
      </c>
      <c r="I1227" s="0" t="n">
        <v>0</v>
      </c>
      <c r="J1227" s="0" t="n">
        <v>0</v>
      </c>
      <c r="K1227" s="0" t="n">
        <v>0</v>
      </c>
      <c r="L1227" s="0" t="n">
        <v>4</v>
      </c>
    </row>
    <row r="1228" customFormat="false" ht="15" hidden="false" customHeight="false" outlineLevel="0" collapsed="false">
      <c r="A1228" s="5" t="n">
        <v>40337</v>
      </c>
      <c r="B1228" s="6" t="s">
        <v>149</v>
      </c>
      <c r="C1228" s="6" t="s">
        <v>154</v>
      </c>
      <c r="D1228" s="0" t="n">
        <v>255.953775596971</v>
      </c>
      <c r="E1228" s="0" t="n">
        <v>4.200714286</v>
      </c>
      <c r="F1228" s="0" t="n">
        <v>1</v>
      </c>
      <c r="G1228" s="0" t="n">
        <v>0</v>
      </c>
      <c r="H1228" s="0" t="n">
        <v>0</v>
      </c>
      <c r="I1228" s="0" t="n">
        <v>0</v>
      </c>
      <c r="J1228" s="0" t="n">
        <v>0</v>
      </c>
      <c r="K1228" s="0" t="n">
        <v>0</v>
      </c>
      <c r="L1228" s="0" t="n">
        <v>4</v>
      </c>
    </row>
    <row r="1229" customFormat="false" ht="15" hidden="false" customHeight="false" outlineLevel="0" collapsed="false">
      <c r="A1229" s="5" t="n">
        <v>40344</v>
      </c>
      <c r="B1229" s="6" t="s">
        <v>149</v>
      </c>
      <c r="C1229" s="6" t="s">
        <v>154</v>
      </c>
      <c r="D1229" s="0" t="n">
        <v>188.096757210951</v>
      </c>
      <c r="E1229" s="0" t="n">
        <v>4.316923077</v>
      </c>
      <c r="F1229" s="0" t="n">
        <v>1</v>
      </c>
      <c r="G1229" s="0" t="n">
        <v>0</v>
      </c>
      <c r="H1229" s="0" t="n">
        <v>0</v>
      </c>
      <c r="I1229" s="0" t="n">
        <v>0</v>
      </c>
      <c r="J1229" s="0" t="n">
        <v>0</v>
      </c>
      <c r="K1229" s="0" t="n">
        <v>0</v>
      </c>
      <c r="L1229" s="0" t="n">
        <v>4</v>
      </c>
    </row>
    <row r="1230" customFormat="false" ht="15" hidden="false" customHeight="false" outlineLevel="0" collapsed="false">
      <c r="A1230" s="5" t="n">
        <v>40351</v>
      </c>
      <c r="B1230" s="6" t="s">
        <v>149</v>
      </c>
      <c r="C1230" s="6" t="s">
        <v>154</v>
      </c>
      <c r="D1230" s="0" t="n">
        <v>290.119177317559</v>
      </c>
      <c r="E1230" s="0" t="n">
        <v>4.142857143</v>
      </c>
      <c r="F1230" s="0" t="n">
        <v>1</v>
      </c>
      <c r="G1230" s="0" t="n">
        <v>0</v>
      </c>
      <c r="H1230" s="0" t="n">
        <v>0</v>
      </c>
      <c r="I1230" s="0" t="n">
        <v>0</v>
      </c>
      <c r="J1230" s="0" t="n">
        <v>0</v>
      </c>
      <c r="K1230" s="0" t="n">
        <v>0</v>
      </c>
      <c r="L1230" s="0" t="n">
        <v>4</v>
      </c>
    </row>
    <row r="1231" customFormat="false" ht="15" hidden="false" customHeight="false" outlineLevel="0" collapsed="false">
      <c r="A1231" s="5" t="n">
        <v>40358</v>
      </c>
      <c r="B1231" s="6" t="s">
        <v>149</v>
      </c>
      <c r="C1231" s="6" t="s">
        <v>154</v>
      </c>
      <c r="D1231" s="0" t="n">
        <v>357.721308464048</v>
      </c>
      <c r="E1231" s="0" t="n">
        <v>4.069166667</v>
      </c>
      <c r="F1231" s="0" t="n">
        <v>1</v>
      </c>
      <c r="G1231" s="0" t="n">
        <v>0</v>
      </c>
      <c r="H1231" s="0" t="n">
        <v>1</v>
      </c>
      <c r="I1231" s="0" t="n">
        <v>0</v>
      </c>
      <c r="J1231" s="0" t="n">
        <v>0</v>
      </c>
      <c r="K1231" s="0" t="n">
        <v>0</v>
      </c>
      <c r="L1231" s="0" t="n">
        <v>4</v>
      </c>
    </row>
    <row r="1232" customFormat="false" ht="15" hidden="false" customHeight="false" outlineLevel="0" collapsed="false">
      <c r="A1232" s="5" t="n">
        <v>40365</v>
      </c>
      <c r="B1232" s="6" t="s">
        <v>149</v>
      </c>
      <c r="C1232" s="6" t="s">
        <v>154</v>
      </c>
      <c r="D1232" s="0" t="n">
        <v>367.787961032668</v>
      </c>
      <c r="E1232" s="0" t="n">
        <v>3.984615385</v>
      </c>
      <c r="F1232" s="0" t="n">
        <v>1</v>
      </c>
      <c r="G1232" s="0" t="n">
        <v>0</v>
      </c>
      <c r="H1232" s="0" t="n">
        <v>0</v>
      </c>
      <c r="I1232" s="0" t="n">
        <v>1</v>
      </c>
      <c r="J1232" s="0" t="n">
        <v>0</v>
      </c>
      <c r="K1232" s="0" t="n">
        <v>0</v>
      </c>
      <c r="L1232" s="0" t="n">
        <v>4</v>
      </c>
    </row>
    <row r="1233" customFormat="false" ht="15" hidden="false" customHeight="false" outlineLevel="0" collapsed="false">
      <c r="A1233" s="5" t="n">
        <v>40372</v>
      </c>
      <c r="B1233" s="6" t="s">
        <v>149</v>
      </c>
      <c r="C1233" s="6" t="s">
        <v>154</v>
      </c>
      <c r="D1233" s="0" t="n">
        <v>388.246696627884</v>
      </c>
      <c r="E1233" s="0" t="n">
        <v>4.2525</v>
      </c>
      <c r="F1233" s="0" t="n">
        <v>1</v>
      </c>
      <c r="G1233" s="0" t="n">
        <v>0</v>
      </c>
      <c r="H1233" s="0" t="n">
        <v>0</v>
      </c>
      <c r="I1233" s="0" t="n">
        <v>1</v>
      </c>
      <c r="J1233" s="0" t="n">
        <v>0</v>
      </c>
      <c r="K1233" s="0" t="n">
        <v>0</v>
      </c>
      <c r="L1233" s="0" t="n">
        <v>4</v>
      </c>
    </row>
    <row r="1234" customFormat="false" ht="15" hidden="false" customHeight="false" outlineLevel="0" collapsed="false">
      <c r="A1234" s="5" t="n">
        <v>40302</v>
      </c>
      <c r="B1234" s="6" t="s">
        <v>149</v>
      </c>
      <c r="C1234" s="6" t="s">
        <v>155</v>
      </c>
      <c r="D1234" s="0" t="n">
        <v>256.552288730344</v>
      </c>
      <c r="E1234" s="0" t="n">
        <v>4.899090909</v>
      </c>
      <c r="F1234" s="0" t="n">
        <v>1</v>
      </c>
      <c r="G1234" s="0" t="n">
        <v>0</v>
      </c>
      <c r="H1234" s="0" t="n">
        <v>0</v>
      </c>
      <c r="I1234" s="0" t="n">
        <v>0</v>
      </c>
      <c r="J1234" s="0" t="n">
        <v>1</v>
      </c>
      <c r="K1234" s="0" t="n">
        <v>1</v>
      </c>
      <c r="L1234" s="0" t="n">
        <v>2</v>
      </c>
    </row>
    <row r="1235" customFormat="false" ht="15" hidden="false" customHeight="false" outlineLevel="0" collapsed="false">
      <c r="A1235" s="5" t="n">
        <v>40309</v>
      </c>
      <c r="B1235" s="6" t="s">
        <v>149</v>
      </c>
      <c r="C1235" s="6" t="s">
        <v>155</v>
      </c>
      <c r="D1235" s="0" t="n">
        <v>325.718762683012</v>
      </c>
      <c r="E1235" s="0" t="n">
        <v>4.396666667</v>
      </c>
      <c r="F1235" s="0" t="n">
        <v>1</v>
      </c>
      <c r="G1235" s="0" t="n">
        <v>0</v>
      </c>
      <c r="H1235" s="0" t="n">
        <v>0</v>
      </c>
      <c r="I1235" s="0" t="n">
        <v>0</v>
      </c>
      <c r="J1235" s="0" t="n">
        <v>1</v>
      </c>
      <c r="K1235" s="0" t="n">
        <v>1</v>
      </c>
      <c r="L1235" s="0" t="n">
        <v>2</v>
      </c>
    </row>
    <row r="1236" customFormat="false" ht="15" hidden="false" customHeight="false" outlineLevel="0" collapsed="false">
      <c r="A1236" s="5" t="n">
        <v>40316</v>
      </c>
      <c r="B1236" s="6" t="s">
        <v>149</v>
      </c>
      <c r="C1236" s="6" t="s">
        <v>155</v>
      </c>
      <c r="D1236" s="0" t="n">
        <v>247.137806675274</v>
      </c>
      <c r="E1236" s="0" t="n">
        <v>4.147333333</v>
      </c>
      <c r="F1236" s="0" t="n">
        <v>1</v>
      </c>
      <c r="G1236" s="0" t="n">
        <v>0</v>
      </c>
      <c r="H1236" s="0" t="n">
        <v>0</v>
      </c>
      <c r="I1236" s="0" t="n">
        <v>0</v>
      </c>
      <c r="J1236" s="0" t="n">
        <v>0</v>
      </c>
      <c r="K1236" s="0" t="n">
        <v>1</v>
      </c>
      <c r="L1236" s="0" t="n">
        <v>2</v>
      </c>
    </row>
    <row r="1237" customFormat="false" ht="15" hidden="false" customHeight="false" outlineLevel="0" collapsed="false">
      <c r="A1237" s="5" t="n">
        <v>40323</v>
      </c>
      <c r="B1237" s="6" t="s">
        <v>149</v>
      </c>
      <c r="C1237" s="6" t="s">
        <v>155</v>
      </c>
      <c r="D1237" s="0" t="n">
        <v>256.537100470522</v>
      </c>
      <c r="E1237" s="0" t="n">
        <v>4.1</v>
      </c>
      <c r="F1237" s="0" t="n">
        <v>1</v>
      </c>
      <c r="G1237" s="0" t="n">
        <v>0</v>
      </c>
      <c r="H1237" s="0" t="n">
        <v>0</v>
      </c>
      <c r="I1237" s="0" t="n">
        <v>0</v>
      </c>
      <c r="J1237" s="0" t="n">
        <v>0</v>
      </c>
      <c r="K1237" s="0" t="n">
        <v>1</v>
      </c>
      <c r="L1237" s="0" t="n">
        <v>2</v>
      </c>
    </row>
    <row r="1238" customFormat="false" ht="15" hidden="false" customHeight="false" outlineLevel="0" collapsed="false">
      <c r="A1238" s="5" t="n">
        <v>40330</v>
      </c>
      <c r="B1238" s="6" t="s">
        <v>149</v>
      </c>
      <c r="C1238" s="6" t="s">
        <v>155</v>
      </c>
      <c r="D1238" s="0" t="n">
        <v>254.036396716152</v>
      </c>
      <c r="E1238" s="0" t="n">
        <v>4.1</v>
      </c>
      <c r="F1238" s="0" t="n">
        <v>1</v>
      </c>
      <c r="G1238" s="0" t="n">
        <v>0</v>
      </c>
      <c r="H1238" s="0" t="n">
        <v>0</v>
      </c>
      <c r="I1238" s="0" t="n">
        <v>0</v>
      </c>
      <c r="J1238" s="0" t="n">
        <v>0</v>
      </c>
      <c r="K1238" s="0" t="n">
        <v>1</v>
      </c>
      <c r="L1238" s="0" t="n">
        <v>2</v>
      </c>
    </row>
    <row r="1239" customFormat="false" ht="15" hidden="false" customHeight="false" outlineLevel="0" collapsed="false">
      <c r="A1239" s="5" t="n">
        <v>40337</v>
      </c>
      <c r="B1239" s="6" t="s">
        <v>149</v>
      </c>
      <c r="C1239" s="6" t="s">
        <v>155</v>
      </c>
      <c r="D1239" s="0" t="n">
        <v>335.140337314964</v>
      </c>
      <c r="E1239" s="0" t="n">
        <v>4.455</v>
      </c>
      <c r="F1239" s="0" t="n">
        <v>1</v>
      </c>
      <c r="G1239" s="0" t="n">
        <v>0</v>
      </c>
      <c r="H1239" s="0" t="n">
        <v>0</v>
      </c>
      <c r="I1239" s="0" t="n">
        <v>0</v>
      </c>
      <c r="J1239" s="0" t="n">
        <v>0</v>
      </c>
      <c r="K1239" s="0" t="n">
        <v>1</v>
      </c>
      <c r="L1239" s="0" t="n">
        <v>2</v>
      </c>
    </row>
    <row r="1240" customFormat="false" ht="15" hidden="false" customHeight="false" outlineLevel="0" collapsed="false">
      <c r="A1240" s="5" t="n">
        <v>40344</v>
      </c>
      <c r="B1240" s="6" t="s">
        <v>149</v>
      </c>
      <c r="C1240" s="6" t="s">
        <v>155</v>
      </c>
      <c r="D1240" s="0" t="n">
        <v>254.095010311714</v>
      </c>
      <c r="E1240" s="0" t="n">
        <v>4.396666667</v>
      </c>
      <c r="F1240" s="0" t="n">
        <v>1</v>
      </c>
      <c r="G1240" s="0" t="n">
        <v>0</v>
      </c>
      <c r="H1240" s="0" t="n">
        <v>0</v>
      </c>
      <c r="I1240" s="0" t="n">
        <v>0</v>
      </c>
      <c r="J1240" s="0" t="n">
        <v>0</v>
      </c>
      <c r="K1240" s="0" t="n">
        <v>1</v>
      </c>
      <c r="L1240" s="0" t="n">
        <v>2</v>
      </c>
    </row>
    <row r="1241" customFormat="false" ht="15" hidden="false" customHeight="false" outlineLevel="0" collapsed="false">
      <c r="A1241" s="5" t="n">
        <v>40351</v>
      </c>
      <c r="B1241" s="6" t="s">
        <v>149</v>
      </c>
      <c r="C1241" s="6" t="s">
        <v>155</v>
      </c>
      <c r="D1241" s="0" t="n">
        <v>327.023072948753</v>
      </c>
      <c r="E1241" s="0" t="n">
        <v>4.345333333</v>
      </c>
      <c r="F1241" s="0" t="n">
        <v>1</v>
      </c>
      <c r="G1241" s="0" t="n">
        <v>0</v>
      </c>
      <c r="H1241" s="0" t="n">
        <v>1</v>
      </c>
      <c r="I1241" s="0" t="n">
        <v>0</v>
      </c>
      <c r="J1241" s="0" t="n">
        <v>0</v>
      </c>
      <c r="K1241" s="0" t="n">
        <v>1</v>
      </c>
      <c r="L1241" s="0" t="n">
        <v>2</v>
      </c>
    </row>
    <row r="1242" customFormat="false" ht="15" hidden="false" customHeight="false" outlineLevel="0" collapsed="false">
      <c r="A1242" s="5" t="n">
        <v>40358</v>
      </c>
      <c r="B1242" s="6" t="s">
        <v>149</v>
      </c>
      <c r="C1242" s="6" t="s">
        <v>155</v>
      </c>
      <c r="D1242" s="0" t="n">
        <v>301.254696087796</v>
      </c>
      <c r="E1242" s="0" t="n">
        <v>4.396666667</v>
      </c>
      <c r="F1242" s="0" t="n">
        <v>1</v>
      </c>
      <c r="G1242" s="0" t="n">
        <v>0</v>
      </c>
      <c r="H1242" s="0" t="n">
        <v>0</v>
      </c>
      <c r="I1242" s="0" t="n">
        <v>1</v>
      </c>
      <c r="J1242" s="0" t="n">
        <v>0</v>
      </c>
      <c r="K1242" s="0" t="n">
        <v>1</v>
      </c>
      <c r="L1242" s="0" t="n">
        <v>2</v>
      </c>
    </row>
    <row r="1243" customFormat="false" ht="15" hidden="false" customHeight="false" outlineLevel="0" collapsed="false">
      <c r="A1243" s="5" t="n">
        <v>40365</v>
      </c>
      <c r="B1243" s="6" t="s">
        <v>149</v>
      </c>
      <c r="C1243" s="6" t="s">
        <v>155</v>
      </c>
      <c r="D1243" s="0" t="n">
        <v>333.54676087387</v>
      </c>
      <c r="E1243" s="0" t="n">
        <v>4.286875</v>
      </c>
      <c r="F1243" s="0" t="n">
        <v>1</v>
      </c>
      <c r="G1243" s="0" t="n">
        <v>0</v>
      </c>
      <c r="H1243" s="0" t="n">
        <v>0</v>
      </c>
      <c r="I1243" s="0" t="n">
        <v>1</v>
      </c>
      <c r="J1243" s="0" t="n">
        <v>0</v>
      </c>
      <c r="K1243" s="0" t="n">
        <v>1</v>
      </c>
      <c r="L1243" s="0" t="n">
        <v>2</v>
      </c>
    </row>
    <row r="1244" customFormat="false" ht="15" hidden="false" customHeight="false" outlineLevel="0" collapsed="false">
      <c r="A1244" s="5" t="n">
        <v>40372</v>
      </c>
      <c r="B1244" s="6" t="s">
        <v>149</v>
      </c>
      <c r="C1244" s="6" t="s">
        <v>155</v>
      </c>
      <c r="D1244" s="0" t="n">
        <v>309.273176410925</v>
      </c>
      <c r="E1244" s="0" t="n">
        <v>4.248125</v>
      </c>
      <c r="F1244" s="0" t="n">
        <v>1</v>
      </c>
      <c r="G1244" s="0" t="n">
        <v>0</v>
      </c>
      <c r="H1244" s="0" t="n">
        <v>0</v>
      </c>
      <c r="I1244" s="0" t="n">
        <v>1</v>
      </c>
      <c r="J1244" s="0" t="n">
        <v>0</v>
      </c>
      <c r="K1244" s="0" t="n">
        <v>1</v>
      </c>
      <c r="L1244" s="0" t="n">
        <v>2</v>
      </c>
    </row>
    <row r="1245" customFormat="false" ht="15" hidden="false" customHeight="false" outlineLevel="0" collapsed="false">
      <c r="A1245" s="5" t="n">
        <v>40302</v>
      </c>
      <c r="B1245" s="6" t="s">
        <v>149</v>
      </c>
      <c r="C1245" s="6" t="s">
        <v>156</v>
      </c>
      <c r="D1245" s="0" t="n">
        <v>287.350198698677</v>
      </c>
      <c r="E1245" s="0" t="n">
        <v>3.998333333</v>
      </c>
      <c r="F1245" s="0" t="n">
        <v>1</v>
      </c>
      <c r="G1245" s="0" t="n">
        <v>0</v>
      </c>
      <c r="H1245" s="0" t="n">
        <v>0</v>
      </c>
      <c r="I1245" s="0" t="n">
        <v>0</v>
      </c>
      <c r="J1245" s="0" t="n">
        <v>1</v>
      </c>
      <c r="K1245" s="0" t="n">
        <v>0</v>
      </c>
      <c r="L1245" s="0" t="n">
        <v>1</v>
      </c>
    </row>
    <row r="1246" customFormat="false" ht="15" hidden="false" customHeight="false" outlineLevel="0" collapsed="false">
      <c r="A1246" s="5" t="n">
        <v>40309</v>
      </c>
      <c r="B1246" s="6" t="s">
        <v>149</v>
      </c>
      <c r="C1246" s="6" t="s">
        <v>156</v>
      </c>
      <c r="D1246" s="0" t="n">
        <v>296.961369774163</v>
      </c>
      <c r="E1246" s="0" t="n">
        <v>4.14</v>
      </c>
      <c r="F1246" s="0" t="n">
        <v>1</v>
      </c>
      <c r="G1246" s="0" t="n">
        <v>0</v>
      </c>
      <c r="H1246" s="0" t="n">
        <v>0</v>
      </c>
      <c r="I1246" s="0" t="n">
        <v>0</v>
      </c>
      <c r="J1246" s="0" t="n">
        <v>1</v>
      </c>
      <c r="K1246" s="0" t="n">
        <v>0</v>
      </c>
      <c r="L1246" s="0" t="n">
        <v>1</v>
      </c>
    </row>
    <row r="1247" customFormat="false" ht="15" hidden="false" customHeight="false" outlineLevel="0" collapsed="false">
      <c r="A1247" s="5" t="n">
        <v>40316</v>
      </c>
      <c r="B1247" s="6" t="s">
        <v>149</v>
      </c>
      <c r="C1247" s="6" t="s">
        <v>156</v>
      </c>
      <c r="D1247" s="0" t="n">
        <v>305.485365790556</v>
      </c>
      <c r="E1247" s="0" t="n">
        <v>3.927272727</v>
      </c>
      <c r="F1247" s="0" t="n">
        <v>1</v>
      </c>
      <c r="G1247" s="0" t="n">
        <v>0</v>
      </c>
      <c r="H1247" s="0" t="n">
        <v>0</v>
      </c>
      <c r="I1247" s="0" t="n">
        <v>0</v>
      </c>
      <c r="J1247" s="0" t="n">
        <v>0</v>
      </c>
      <c r="K1247" s="0" t="n">
        <v>0</v>
      </c>
      <c r="L1247" s="0" t="n">
        <v>1</v>
      </c>
    </row>
    <row r="1248" customFormat="false" ht="15" hidden="false" customHeight="false" outlineLevel="0" collapsed="false">
      <c r="A1248" s="5" t="n">
        <v>40323</v>
      </c>
      <c r="B1248" s="6" t="s">
        <v>149</v>
      </c>
      <c r="C1248" s="6" t="s">
        <v>156</v>
      </c>
      <c r="D1248" s="0" t="n">
        <v>295.202044767528</v>
      </c>
      <c r="E1248" s="0" t="n">
        <v>3.894545455</v>
      </c>
      <c r="F1248" s="0" t="n">
        <v>1</v>
      </c>
      <c r="G1248" s="0" t="n">
        <v>0</v>
      </c>
      <c r="H1248" s="0" t="n">
        <v>0</v>
      </c>
      <c r="I1248" s="0" t="n">
        <v>0</v>
      </c>
      <c r="J1248" s="0" t="n">
        <v>0</v>
      </c>
      <c r="K1248" s="0" t="n">
        <v>0</v>
      </c>
      <c r="L1248" s="0" t="n">
        <v>1</v>
      </c>
    </row>
    <row r="1249" customFormat="false" ht="15" hidden="false" customHeight="false" outlineLevel="0" collapsed="false">
      <c r="A1249" s="5" t="n">
        <v>40330</v>
      </c>
      <c r="B1249" s="6" t="s">
        <v>149</v>
      </c>
      <c r="C1249" s="6" t="s">
        <v>156</v>
      </c>
      <c r="D1249" s="0" t="n">
        <v>224.869067025156</v>
      </c>
      <c r="E1249" s="0" t="n">
        <v>3.894545455</v>
      </c>
      <c r="F1249" s="0" t="n">
        <v>1</v>
      </c>
      <c r="G1249" s="0" t="n">
        <v>0</v>
      </c>
      <c r="H1249" s="0" t="n">
        <v>0</v>
      </c>
      <c r="I1249" s="0" t="n">
        <v>0</v>
      </c>
      <c r="J1249" s="0" t="n">
        <v>0</v>
      </c>
      <c r="K1249" s="0" t="n">
        <v>0</v>
      </c>
      <c r="L1249" s="0" t="n">
        <v>1</v>
      </c>
    </row>
    <row r="1250" customFormat="false" ht="15" hidden="false" customHeight="false" outlineLevel="0" collapsed="false">
      <c r="A1250" s="5" t="n">
        <v>40337</v>
      </c>
      <c r="B1250" s="6" t="s">
        <v>149</v>
      </c>
      <c r="C1250" s="6" t="s">
        <v>156</v>
      </c>
      <c r="D1250" s="0" t="n">
        <v>212.909659568831</v>
      </c>
      <c r="E1250" s="0" t="n">
        <v>4.083636364</v>
      </c>
      <c r="F1250" s="0" t="n">
        <v>1</v>
      </c>
      <c r="G1250" s="0" t="n">
        <v>0</v>
      </c>
      <c r="H1250" s="0" t="n">
        <v>0</v>
      </c>
      <c r="I1250" s="0" t="n">
        <v>0</v>
      </c>
      <c r="J1250" s="0" t="n">
        <v>0</v>
      </c>
      <c r="K1250" s="0" t="n">
        <v>0</v>
      </c>
      <c r="L1250" s="0" t="n">
        <v>1</v>
      </c>
    </row>
    <row r="1251" customFormat="false" ht="15" hidden="false" customHeight="false" outlineLevel="0" collapsed="false">
      <c r="A1251" s="5" t="n">
        <v>40344</v>
      </c>
      <c r="B1251" s="6" t="s">
        <v>149</v>
      </c>
      <c r="C1251" s="6" t="s">
        <v>156</v>
      </c>
      <c r="D1251" s="0" t="n">
        <v>274.800618170394</v>
      </c>
      <c r="E1251" s="0" t="n">
        <v>4.074615385</v>
      </c>
      <c r="F1251" s="0" t="n">
        <v>1</v>
      </c>
      <c r="G1251" s="0" t="n">
        <v>0</v>
      </c>
      <c r="H1251" s="0" t="n">
        <v>0</v>
      </c>
      <c r="I1251" s="0" t="n">
        <v>0</v>
      </c>
      <c r="J1251" s="0" t="n">
        <v>0</v>
      </c>
      <c r="K1251" s="0" t="n">
        <v>0</v>
      </c>
      <c r="L1251" s="0" t="n">
        <v>1</v>
      </c>
    </row>
    <row r="1252" customFormat="false" ht="15" hidden="false" customHeight="false" outlineLevel="0" collapsed="false">
      <c r="A1252" s="5" t="n">
        <v>40351</v>
      </c>
      <c r="B1252" s="6" t="s">
        <v>149</v>
      </c>
      <c r="C1252" s="6" t="s">
        <v>156</v>
      </c>
      <c r="D1252" s="0" t="n">
        <v>413.586002580374</v>
      </c>
      <c r="E1252" s="0" t="n">
        <v>4.14</v>
      </c>
      <c r="F1252" s="0" t="n">
        <v>1</v>
      </c>
      <c r="G1252" s="0" t="n">
        <v>0</v>
      </c>
      <c r="H1252" s="0" t="n">
        <v>1</v>
      </c>
      <c r="I1252" s="0" t="n">
        <v>0</v>
      </c>
      <c r="J1252" s="0" t="n">
        <v>0</v>
      </c>
      <c r="K1252" s="0" t="n">
        <v>0</v>
      </c>
      <c r="L1252" s="0" t="n">
        <v>1</v>
      </c>
    </row>
    <row r="1253" customFormat="false" ht="15" hidden="false" customHeight="false" outlineLevel="0" collapsed="false">
      <c r="A1253" s="5" t="n">
        <v>40358</v>
      </c>
      <c r="B1253" s="6" t="s">
        <v>149</v>
      </c>
      <c r="C1253" s="6" t="s">
        <v>156</v>
      </c>
      <c r="D1253" s="0" t="n">
        <v>279.539834738027</v>
      </c>
      <c r="E1253" s="0" t="n">
        <v>4.074615385</v>
      </c>
      <c r="F1253" s="0" t="n">
        <v>1</v>
      </c>
      <c r="G1253" s="0" t="n">
        <v>0</v>
      </c>
      <c r="H1253" s="0" t="n">
        <v>0</v>
      </c>
      <c r="I1253" s="0" t="n">
        <v>1</v>
      </c>
      <c r="J1253" s="0" t="n">
        <v>0</v>
      </c>
      <c r="K1253" s="0" t="n">
        <v>0</v>
      </c>
      <c r="L1253" s="0" t="n">
        <v>1</v>
      </c>
    </row>
    <row r="1254" customFormat="false" ht="15" hidden="false" customHeight="false" outlineLevel="0" collapsed="false">
      <c r="A1254" s="5" t="n">
        <v>40365</v>
      </c>
      <c r="B1254" s="6" t="s">
        <v>149</v>
      </c>
      <c r="C1254" s="6" t="s">
        <v>156</v>
      </c>
      <c r="D1254" s="0" t="n">
        <v>250.60871439653</v>
      </c>
      <c r="E1254" s="0" t="n">
        <v>3.730714286</v>
      </c>
      <c r="F1254" s="0" t="n">
        <v>1</v>
      </c>
      <c r="G1254" s="0" t="n">
        <v>0</v>
      </c>
      <c r="H1254" s="0" t="n">
        <v>0</v>
      </c>
      <c r="I1254" s="0" t="n">
        <v>1</v>
      </c>
      <c r="J1254" s="0" t="n">
        <v>0</v>
      </c>
      <c r="K1254" s="0" t="n">
        <v>0</v>
      </c>
      <c r="L1254" s="0" t="n">
        <v>1</v>
      </c>
    </row>
    <row r="1255" customFormat="false" ht="15" hidden="false" customHeight="false" outlineLevel="0" collapsed="false">
      <c r="A1255" s="5" t="n">
        <v>40372</v>
      </c>
      <c r="B1255" s="6" t="s">
        <v>149</v>
      </c>
      <c r="C1255" s="6" t="s">
        <v>156</v>
      </c>
      <c r="D1255" s="0" t="n">
        <v>273.280147583363</v>
      </c>
      <c r="E1255" s="0" t="n">
        <v>3.615384615</v>
      </c>
      <c r="F1255" s="0" t="n">
        <v>1</v>
      </c>
      <c r="G1255" s="0" t="n">
        <v>0</v>
      </c>
      <c r="H1255" s="0" t="n">
        <v>0</v>
      </c>
      <c r="I1255" s="0" t="n">
        <v>1</v>
      </c>
      <c r="J1255" s="0" t="n">
        <v>0</v>
      </c>
      <c r="K1255" s="0" t="n">
        <v>0</v>
      </c>
      <c r="L1255" s="0" t="n">
        <v>1</v>
      </c>
    </row>
    <row r="1256" customFormat="false" ht="15" hidden="false" customHeight="false" outlineLevel="0" collapsed="false">
      <c r="A1256" s="5" t="n">
        <v>40302</v>
      </c>
      <c r="B1256" s="6" t="s">
        <v>149</v>
      </c>
      <c r="C1256" s="6" t="s">
        <v>157</v>
      </c>
      <c r="D1256" s="0" t="n">
        <v>274.489422929519</v>
      </c>
      <c r="E1256" s="0" t="n">
        <v>4.518571429</v>
      </c>
      <c r="F1256" s="0" t="n">
        <v>1</v>
      </c>
      <c r="G1256" s="0" t="n">
        <v>0</v>
      </c>
      <c r="H1256" s="0" t="n">
        <v>0</v>
      </c>
      <c r="I1256" s="0" t="n">
        <v>1</v>
      </c>
      <c r="J1256" s="0" t="n">
        <v>0</v>
      </c>
      <c r="K1256" s="0" t="n">
        <v>1</v>
      </c>
      <c r="L1256" s="0" t="n">
        <v>1</v>
      </c>
    </row>
    <row r="1257" customFormat="false" ht="15" hidden="false" customHeight="false" outlineLevel="0" collapsed="false">
      <c r="A1257" s="5" t="n">
        <v>40309</v>
      </c>
      <c r="B1257" s="6" t="s">
        <v>149</v>
      </c>
      <c r="C1257" s="6" t="s">
        <v>157</v>
      </c>
      <c r="D1257" s="0" t="n">
        <v>215.175613913591</v>
      </c>
      <c r="E1257" s="0" t="n">
        <v>4.62125</v>
      </c>
      <c r="F1257" s="0" t="n">
        <v>1</v>
      </c>
      <c r="G1257" s="0" t="n">
        <v>0</v>
      </c>
      <c r="H1257" s="0" t="n">
        <v>0</v>
      </c>
      <c r="I1257" s="0" t="n">
        <v>0</v>
      </c>
      <c r="J1257" s="0" t="n">
        <v>1</v>
      </c>
      <c r="K1257" s="0" t="n">
        <v>1</v>
      </c>
      <c r="L1257" s="0" t="n">
        <v>1</v>
      </c>
    </row>
    <row r="1258" customFormat="false" ht="15" hidden="false" customHeight="false" outlineLevel="0" collapsed="false">
      <c r="A1258" s="5" t="n">
        <v>40316</v>
      </c>
      <c r="B1258" s="6" t="s">
        <v>149</v>
      </c>
      <c r="C1258" s="6" t="s">
        <v>157</v>
      </c>
      <c r="D1258" s="0" t="n">
        <v>359.241251930267</v>
      </c>
      <c r="E1258" s="0" t="n">
        <v>4.371875</v>
      </c>
      <c r="F1258" s="0" t="n">
        <v>1</v>
      </c>
      <c r="G1258" s="0" t="n">
        <v>0</v>
      </c>
      <c r="H1258" s="0" t="n">
        <v>0</v>
      </c>
      <c r="I1258" s="0" t="n">
        <v>0</v>
      </c>
      <c r="J1258" s="0" t="n">
        <v>1</v>
      </c>
      <c r="K1258" s="0" t="n">
        <v>1</v>
      </c>
      <c r="L1258" s="0" t="n">
        <v>1</v>
      </c>
    </row>
    <row r="1259" customFormat="false" ht="15" hidden="false" customHeight="false" outlineLevel="0" collapsed="false">
      <c r="A1259" s="5" t="n">
        <v>40323</v>
      </c>
      <c r="B1259" s="6" t="s">
        <v>149</v>
      </c>
      <c r="C1259" s="6" t="s">
        <v>157</v>
      </c>
      <c r="D1259" s="0" t="n">
        <v>184.327155105049</v>
      </c>
      <c r="E1259" s="0" t="n">
        <v>4.343125</v>
      </c>
      <c r="F1259" s="0" t="n">
        <v>1</v>
      </c>
      <c r="G1259" s="0" t="n">
        <v>0</v>
      </c>
      <c r="H1259" s="0" t="n">
        <v>0</v>
      </c>
      <c r="I1259" s="0" t="n">
        <v>0</v>
      </c>
      <c r="J1259" s="0" t="n">
        <v>0</v>
      </c>
      <c r="K1259" s="0" t="n">
        <v>1</v>
      </c>
      <c r="L1259" s="0" t="n">
        <v>1</v>
      </c>
    </row>
    <row r="1260" customFormat="false" ht="15" hidden="false" customHeight="false" outlineLevel="0" collapsed="false">
      <c r="A1260" s="5" t="n">
        <v>40330</v>
      </c>
      <c r="B1260" s="6" t="s">
        <v>149</v>
      </c>
      <c r="C1260" s="6" t="s">
        <v>157</v>
      </c>
      <c r="D1260" s="0" t="n">
        <v>232.621919813079</v>
      </c>
      <c r="E1260" s="0" t="n">
        <v>4.1</v>
      </c>
      <c r="F1260" s="0" t="n">
        <v>1</v>
      </c>
      <c r="G1260" s="0" t="n">
        <v>0</v>
      </c>
      <c r="H1260" s="0" t="n">
        <v>0</v>
      </c>
      <c r="I1260" s="0" t="n">
        <v>0</v>
      </c>
      <c r="J1260" s="0" t="n">
        <v>0</v>
      </c>
      <c r="K1260" s="0" t="n">
        <v>1</v>
      </c>
      <c r="L1260" s="0" t="n">
        <v>1</v>
      </c>
    </row>
    <row r="1261" customFormat="false" ht="15" hidden="false" customHeight="false" outlineLevel="0" collapsed="false">
      <c r="A1261" s="5" t="n">
        <v>40337</v>
      </c>
      <c r="B1261" s="6" t="s">
        <v>149</v>
      </c>
      <c r="C1261" s="6" t="s">
        <v>157</v>
      </c>
      <c r="D1261" s="0" t="n">
        <v>223.706830388597</v>
      </c>
      <c r="E1261" s="0" t="n">
        <v>4.55</v>
      </c>
      <c r="F1261" s="0" t="n">
        <v>1</v>
      </c>
      <c r="G1261" s="0" t="n">
        <v>0</v>
      </c>
      <c r="H1261" s="0" t="n">
        <v>0</v>
      </c>
      <c r="I1261" s="0" t="n">
        <v>0</v>
      </c>
      <c r="J1261" s="0" t="n">
        <v>0</v>
      </c>
      <c r="K1261" s="0" t="n">
        <v>1</v>
      </c>
      <c r="L1261" s="0" t="n">
        <v>1</v>
      </c>
    </row>
    <row r="1262" customFormat="false" ht="15" hidden="false" customHeight="false" outlineLevel="0" collapsed="false">
      <c r="A1262" s="5" t="n">
        <v>40344</v>
      </c>
      <c r="B1262" s="6" t="s">
        <v>149</v>
      </c>
      <c r="C1262" s="6" t="s">
        <v>157</v>
      </c>
      <c r="D1262" s="0" t="n">
        <v>219.069300378575</v>
      </c>
      <c r="E1262" s="0" t="n">
        <v>4.62125</v>
      </c>
      <c r="F1262" s="0" t="n">
        <v>1</v>
      </c>
      <c r="G1262" s="0" t="n">
        <v>0</v>
      </c>
      <c r="H1262" s="0" t="n">
        <v>0</v>
      </c>
      <c r="I1262" s="0" t="n">
        <v>0</v>
      </c>
      <c r="J1262" s="0" t="n">
        <v>0</v>
      </c>
      <c r="K1262" s="0" t="n">
        <v>1</v>
      </c>
      <c r="L1262" s="0" t="n">
        <v>1</v>
      </c>
    </row>
    <row r="1263" customFormat="false" ht="15" hidden="false" customHeight="false" outlineLevel="0" collapsed="false">
      <c r="A1263" s="5" t="n">
        <v>40351</v>
      </c>
      <c r="B1263" s="6" t="s">
        <v>149</v>
      </c>
      <c r="C1263" s="6" t="s">
        <v>157</v>
      </c>
      <c r="D1263" s="0" t="n">
        <v>367.810425976205</v>
      </c>
      <c r="E1263" s="0" t="n">
        <v>4.62125</v>
      </c>
      <c r="F1263" s="0" t="n">
        <v>1</v>
      </c>
      <c r="G1263" s="0" t="n">
        <v>0</v>
      </c>
      <c r="H1263" s="0" t="n">
        <v>1</v>
      </c>
      <c r="I1263" s="0" t="n">
        <v>0</v>
      </c>
      <c r="J1263" s="0" t="n">
        <v>0</v>
      </c>
      <c r="K1263" s="0" t="n">
        <v>1</v>
      </c>
      <c r="L1263" s="0" t="n">
        <v>1</v>
      </c>
    </row>
    <row r="1264" customFormat="false" ht="15" hidden="false" customHeight="false" outlineLevel="0" collapsed="false">
      <c r="A1264" s="5" t="n">
        <v>40358</v>
      </c>
      <c r="B1264" s="6" t="s">
        <v>149</v>
      </c>
      <c r="C1264" s="6" t="s">
        <v>157</v>
      </c>
      <c r="D1264" s="0" t="n">
        <v>364.882690578809</v>
      </c>
      <c r="E1264" s="0" t="n">
        <v>4.62125</v>
      </c>
      <c r="F1264" s="0" t="n">
        <v>1</v>
      </c>
      <c r="G1264" s="0" t="n">
        <v>0</v>
      </c>
      <c r="H1264" s="0" t="n">
        <v>0</v>
      </c>
      <c r="I1264" s="0" t="n">
        <v>1</v>
      </c>
      <c r="J1264" s="0" t="n">
        <v>0</v>
      </c>
      <c r="K1264" s="0" t="n">
        <v>1</v>
      </c>
      <c r="L1264" s="0" t="n">
        <v>1</v>
      </c>
    </row>
    <row r="1265" customFormat="false" ht="15" hidden="false" customHeight="false" outlineLevel="0" collapsed="false">
      <c r="A1265" s="5" t="n">
        <v>40365</v>
      </c>
      <c r="B1265" s="6" t="s">
        <v>149</v>
      </c>
      <c r="C1265" s="6" t="s">
        <v>157</v>
      </c>
      <c r="D1265" s="0" t="n">
        <v>301.491053629619</v>
      </c>
      <c r="E1265" s="0" t="n">
        <v>4.280625</v>
      </c>
      <c r="F1265" s="0" t="n">
        <v>1</v>
      </c>
      <c r="G1265" s="0" t="n">
        <v>0</v>
      </c>
      <c r="H1265" s="0" t="n">
        <v>0</v>
      </c>
      <c r="I1265" s="0" t="n">
        <v>1</v>
      </c>
      <c r="J1265" s="0" t="n">
        <v>0</v>
      </c>
      <c r="K1265" s="0" t="n">
        <v>1</v>
      </c>
      <c r="L1265" s="0" t="n">
        <v>1</v>
      </c>
    </row>
    <row r="1266" customFormat="false" ht="15" hidden="false" customHeight="false" outlineLevel="0" collapsed="false">
      <c r="A1266" s="5" t="n">
        <v>40372</v>
      </c>
      <c r="B1266" s="6" t="s">
        <v>149</v>
      </c>
      <c r="C1266" s="6" t="s">
        <v>157</v>
      </c>
      <c r="D1266" s="0" t="n">
        <v>430.635572688579</v>
      </c>
      <c r="E1266" s="0" t="n">
        <v>4.265333333</v>
      </c>
      <c r="F1266" s="0" t="n">
        <v>1</v>
      </c>
      <c r="G1266" s="0" t="n">
        <v>0</v>
      </c>
      <c r="H1266" s="0" t="n">
        <v>0</v>
      </c>
      <c r="I1266" s="0" t="n">
        <v>1</v>
      </c>
      <c r="J1266" s="0" t="n">
        <v>0</v>
      </c>
      <c r="K1266" s="0" t="n">
        <v>1</v>
      </c>
      <c r="L1266" s="0" t="n">
        <v>1</v>
      </c>
    </row>
    <row r="1267" customFormat="false" ht="15" hidden="false" customHeight="false" outlineLevel="0" collapsed="false">
      <c r="A1267" s="5" t="n">
        <v>40302</v>
      </c>
      <c r="B1267" s="6" t="s">
        <v>149</v>
      </c>
      <c r="C1267" s="6" t="s">
        <v>158</v>
      </c>
      <c r="D1267" s="0" t="n">
        <v>299.200909874376</v>
      </c>
      <c r="E1267" s="0" t="n">
        <v>4.89</v>
      </c>
      <c r="F1267" s="0" t="n">
        <v>1</v>
      </c>
      <c r="G1267" s="0" t="n">
        <v>0</v>
      </c>
      <c r="H1267" s="0" t="n">
        <v>0</v>
      </c>
      <c r="I1267" s="0" t="n">
        <v>0</v>
      </c>
      <c r="J1267" s="0" t="n">
        <v>1</v>
      </c>
      <c r="K1267" s="0" t="n">
        <v>2</v>
      </c>
      <c r="L1267" s="0" t="n">
        <v>3</v>
      </c>
    </row>
    <row r="1268" customFormat="false" ht="15" hidden="false" customHeight="false" outlineLevel="0" collapsed="false">
      <c r="A1268" s="5" t="n">
        <v>40309</v>
      </c>
      <c r="B1268" s="6" t="s">
        <v>149</v>
      </c>
      <c r="C1268" s="6" t="s">
        <v>158</v>
      </c>
      <c r="D1268" s="0" t="n">
        <v>268.365065114903</v>
      </c>
      <c r="E1268" s="0" t="n">
        <v>4.566363636</v>
      </c>
      <c r="F1268" s="0" t="n">
        <v>1</v>
      </c>
      <c r="G1268" s="0" t="n">
        <v>0</v>
      </c>
      <c r="H1268" s="0" t="n">
        <v>0</v>
      </c>
      <c r="I1268" s="0" t="n">
        <v>0</v>
      </c>
      <c r="J1268" s="0" t="n">
        <v>1</v>
      </c>
      <c r="K1268" s="0" t="n">
        <v>2</v>
      </c>
      <c r="L1268" s="0" t="n">
        <v>3</v>
      </c>
    </row>
    <row r="1269" customFormat="false" ht="15" hidden="false" customHeight="false" outlineLevel="0" collapsed="false">
      <c r="A1269" s="5" t="n">
        <v>40316</v>
      </c>
      <c r="B1269" s="6" t="s">
        <v>149</v>
      </c>
      <c r="C1269" s="6" t="s">
        <v>158</v>
      </c>
      <c r="D1269" s="0" t="n">
        <v>198.949257112747</v>
      </c>
      <c r="E1269" s="0" t="n">
        <v>4.75</v>
      </c>
      <c r="F1269" s="0" t="n">
        <v>1</v>
      </c>
      <c r="G1269" s="0" t="n">
        <v>0</v>
      </c>
      <c r="H1269" s="0" t="n">
        <v>0</v>
      </c>
      <c r="I1269" s="0" t="n">
        <v>0</v>
      </c>
      <c r="J1269" s="0" t="n">
        <v>0</v>
      </c>
      <c r="K1269" s="0" t="n">
        <v>2</v>
      </c>
      <c r="L1269" s="0" t="n">
        <v>3</v>
      </c>
    </row>
    <row r="1270" customFormat="false" ht="15" hidden="false" customHeight="false" outlineLevel="0" collapsed="false">
      <c r="A1270" s="5" t="n">
        <v>40323</v>
      </c>
      <c r="B1270" s="6" t="s">
        <v>149</v>
      </c>
      <c r="C1270" s="6" t="s">
        <v>158</v>
      </c>
      <c r="D1270" s="0" t="n">
        <v>199.739564726052</v>
      </c>
      <c r="E1270" s="0" t="n">
        <v>4.273571429</v>
      </c>
      <c r="F1270" s="0" t="n">
        <v>1</v>
      </c>
      <c r="G1270" s="0" t="n">
        <v>0</v>
      </c>
      <c r="H1270" s="0" t="n">
        <v>0</v>
      </c>
      <c r="I1270" s="0" t="n">
        <v>0</v>
      </c>
      <c r="J1270" s="0" t="n">
        <v>0</v>
      </c>
      <c r="K1270" s="0" t="n">
        <v>2</v>
      </c>
      <c r="L1270" s="0" t="n">
        <v>3</v>
      </c>
    </row>
    <row r="1271" customFormat="false" ht="15" hidden="false" customHeight="false" outlineLevel="0" collapsed="false">
      <c r="A1271" s="5" t="n">
        <v>40330</v>
      </c>
      <c r="B1271" s="6" t="s">
        <v>149</v>
      </c>
      <c r="C1271" s="6" t="s">
        <v>158</v>
      </c>
      <c r="D1271" s="0" t="n">
        <v>285.301753252906</v>
      </c>
      <c r="E1271" s="0" t="n">
        <v>4.521428571</v>
      </c>
      <c r="F1271" s="0" t="n">
        <v>1</v>
      </c>
      <c r="G1271" s="0" t="n">
        <v>0</v>
      </c>
      <c r="H1271" s="0" t="n">
        <v>0</v>
      </c>
      <c r="I1271" s="0" t="n">
        <v>0</v>
      </c>
      <c r="J1271" s="0" t="n">
        <v>0</v>
      </c>
      <c r="K1271" s="0" t="n">
        <v>2</v>
      </c>
      <c r="L1271" s="0" t="n">
        <v>3</v>
      </c>
    </row>
    <row r="1272" customFormat="false" ht="15" hidden="false" customHeight="false" outlineLevel="0" collapsed="false">
      <c r="A1272" s="5" t="n">
        <v>40337</v>
      </c>
      <c r="B1272" s="6" t="s">
        <v>149</v>
      </c>
      <c r="C1272" s="6" t="s">
        <v>158</v>
      </c>
      <c r="D1272" s="0" t="n">
        <v>199.936802158148</v>
      </c>
      <c r="E1272" s="0" t="n">
        <v>4.246666667</v>
      </c>
      <c r="F1272" s="0" t="n">
        <v>1</v>
      </c>
      <c r="G1272" s="0" t="n">
        <v>0</v>
      </c>
      <c r="H1272" s="0" t="n">
        <v>0</v>
      </c>
      <c r="I1272" s="0" t="n">
        <v>0</v>
      </c>
      <c r="J1272" s="0" t="n">
        <v>0</v>
      </c>
      <c r="K1272" s="0" t="n">
        <v>2</v>
      </c>
      <c r="L1272" s="0" t="n">
        <v>3</v>
      </c>
    </row>
    <row r="1273" customFormat="false" ht="15" hidden="false" customHeight="false" outlineLevel="0" collapsed="false">
      <c r="A1273" s="5" t="n">
        <v>40344</v>
      </c>
      <c r="B1273" s="6" t="s">
        <v>149</v>
      </c>
      <c r="C1273" s="6" t="s">
        <v>158</v>
      </c>
      <c r="D1273" s="0" t="n">
        <v>162.82189992113</v>
      </c>
      <c r="E1273" s="0" t="n">
        <v>4.79</v>
      </c>
      <c r="F1273" s="0" t="n">
        <v>1</v>
      </c>
      <c r="G1273" s="0" t="n">
        <v>0</v>
      </c>
      <c r="H1273" s="0" t="n">
        <v>0</v>
      </c>
      <c r="I1273" s="0" t="n">
        <v>0</v>
      </c>
      <c r="J1273" s="0" t="n">
        <v>0</v>
      </c>
      <c r="K1273" s="0" t="n">
        <v>2</v>
      </c>
      <c r="L1273" s="0" t="n">
        <v>3</v>
      </c>
    </row>
    <row r="1274" customFormat="false" ht="15" hidden="false" customHeight="false" outlineLevel="0" collapsed="false">
      <c r="A1274" s="5" t="n">
        <v>40351</v>
      </c>
      <c r="B1274" s="6" t="s">
        <v>149</v>
      </c>
      <c r="C1274" s="6" t="s">
        <v>158</v>
      </c>
      <c r="D1274" s="0" t="n">
        <v>289.621913536735</v>
      </c>
      <c r="E1274" s="0" t="n">
        <v>4.613076923</v>
      </c>
      <c r="F1274" s="0" t="n">
        <v>1</v>
      </c>
      <c r="G1274" s="0" t="n">
        <v>0</v>
      </c>
      <c r="H1274" s="0" t="n">
        <v>0</v>
      </c>
      <c r="I1274" s="0" t="n">
        <v>0</v>
      </c>
      <c r="J1274" s="0" t="n">
        <v>0</v>
      </c>
      <c r="K1274" s="0" t="n">
        <v>2</v>
      </c>
      <c r="L1274" s="0" t="n">
        <v>3</v>
      </c>
    </row>
    <row r="1275" customFormat="false" ht="15" hidden="false" customHeight="false" outlineLevel="0" collapsed="false">
      <c r="A1275" s="5" t="n">
        <v>40358</v>
      </c>
      <c r="B1275" s="6" t="s">
        <v>149</v>
      </c>
      <c r="C1275" s="6" t="s">
        <v>158</v>
      </c>
      <c r="D1275" s="0" t="n">
        <v>347.110378621595</v>
      </c>
      <c r="E1275" s="0" t="n">
        <v>4.583076923</v>
      </c>
      <c r="F1275" s="0" t="n">
        <v>1</v>
      </c>
      <c r="G1275" s="0" t="n">
        <v>0</v>
      </c>
      <c r="H1275" s="0" t="n">
        <v>1</v>
      </c>
      <c r="I1275" s="0" t="n">
        <v>0</v>
      </c>
      <c r="J1275" s="0" t="n">
        <v>0</v>
      </c>
      <c r="K1275" s="0" t="n">
        <v>2</v>
      </c>
      <c r="L1275" s="0" t="n">
        <v>3</v>
      </c>
    </row>
    <row r="1276" customFormat="false" ht="15" hidden="false" customHeight="false" outlineLevel="0" collapsed="false">
      <c r="A1276" s="5" t="n">
        <v>40365</v>
      </c>
      <c r="B1276" s="6" t="s">
        <v>149</v>
      </c>
      <c r="C1276" s="6" t="s">
        <v>158</v>
      </c>
      <c r="D1276" s="0" t="n">
        <v>299.168866548079</v>
      </c>
      <c r="E1276" s="0" t="n">
        <v>4.198333333</v>
      </c>
      <c r="F1276" s="0" t="n">
        <v>1</v>
      </c>
      <c r="G1276" s="0" t="n">
        <v>0</v>
      </c>
      <c r="H1276" s="0" t="n">
        <v>0</v>
      </c>
      <c r="I1276" s="0" t="n">
        <v>1</v>
      </c>
      <c r="J1276" s="0" t="n">
        <v>0</v>
      </c>
      <c r="K1276" s="0" t="n">
        <v>2</v>
      </c>
      <c r="L1276" s="0" t="n">
        <v>3</v>
      </c>
    </row>
    <row r="1277" customFormat="false" ht="15" hidden="false" customHeight="false" outlineLevel="0" collapsed="false">
      <c r="A1277" s="5" t="n">
        <v>40372</v>
      </c>
      <c r="B1277" s="6" t="s">
        <v>149</v>
      </c>
      <c r="C1277" s="6" t="s">
        <v>158</v>
      </c>
      <c r="D1277" s="0" t="n">
        <v>318.749247601807</v>
      </c>
      <c r="E1277" s="0" t="n">
        <v>4.265333333</v>
      </c>
      <c r="F1277" s="0" t="n">
        <v>1</v>
      </c>
      <c r="G1277" s="0" t="n">
        <v>0</v>
      </c>
      <c r="H1277" s="0" t="n">
        <v>0</v>
      </c>
      <c r="I1277" s="0" t="n">
        <v>1</v>
      </c>
      <c r="J1277" s="0" t="n">
        <v>0</v>
      </c>
      <c r="K1277" s="0" t="n">
        <v>2</v>
      </c>
      <c r="L1277" s="0" t="n">
        <v>3</v>
      </c>
    </row>
    <row r="1278" customFormat="false" ht="15" hidden="false" customHeight="false" outlineLevel="0" collapsed="false">
      <c r="A1278" s="5" t="n">
        <v>40302</v>
      </c>
      <c r="B1278" s="6" t="s">
        <v>149</v>
      </c>
      <c r="C1278" s="6" t="s">
        <v>159</v>
      </c>
      <c r="D1278" s="0" t="n">
        <v>333.132655097278</v>
      </c>
      <c r="E1278" s="0" t="n">
        <v>4.878888889</v>
      </c>
      <c r="F1278" s="0" t="n">
        <v>1</v>
      </c>
      <c r="G1278" s="0" t="n">
        <v>0</v>
      </c>
      <c r="H1278" s="0" t="n">
        <v>0</v>
      </c>
      <c r="I1278" s="0" t="n">
        <v>0</v>
      </c>
      <c r="J1278" s="0" t="n">
        <v>1</v>
      </c>
      <c r="K1278" s="0" t="n">
        <v>3</v>
      </c>
      <c r="L1278" s="0" t="n">
        <v>1</v>
      </c>
    </row>
    <row r="1279" customFormat="false" ht="15" hidden="false" customHeight="false" outlineLevel="0" collapsed="false">
      <c r="A1279" s="5" t="n">
        <v>40309</v>
      </c>
      <c r="B1279" s="6" t="s">
        <v>149</v>
      </c>
      <c r="C1279" s="6" t="s">
        <v>159</v>
      </c>
      <c r="D1279" s="0" t="n">
        <v>338.337628008382</v>
      </c>
      <c r="E1279" s="0" t="n">
        <v>4.387857143</v>
      </c>
      <c r="F1279" s="0" t="n">
        <v>1</v>
      </c>
      <c r="G1279" s="0" t="n">
        <v>0</v>
      </c>
      <c r="H1279" s="0" t="n">
        <v>0</v>
      </c>
      <c r="I1279" s="0" t="n">
        <v>0</v>
      </c>
      <c r="J1279" s="0" t="n">
        <v>1</v>
      </c>
      <c r="K1279" s="0" t="n">
        <v>3</v>
      </c>
      <c r="L1279" s="0" t="n">
        <v>1</v>
      </c>
    </row>
    <row r="1280" customFormat="false" ht="15" hidden="false" customHeight="false" outlineLevel="0" collapsed="false">
      <c r="A1280" s="5" t="n">
        <v>40316</v>
      </c>
      <c r="B1280" s="6" t="s">
        <v>149</v>
      </c>
      <c r="C1280" s="6" t="s">
        <v>159</v>
      </c>
      <c r="D1280" s="0" t="n">
        <v>265.799995983037</v>
      </c>
      <c r="E1280" s="0" t="n">
        <v>4.006428571</v>
      </c>
      <c r="F1280" s="0" t="n">
        <v>1</v>
      </c>
      <c r="G1280" s="0" t="n">
        <v>0</v>
      </c>
      <c r="H1280" s="0" t="n">
        <v>0</v>
      </c>
      <c r="I1280" s="0" t="n">
        <v>0</v>
      </c>
      <c r="J1280" s="0" t="n">
        <v>0</v>
      </c>
      <c r="K1280" s="0" t="n">
        <v>3</v>
      </c>
      <c r="L1280" s="0" t="n">
        <v>1</v>
      </c>
    </row>
    <row r="1281" customFormat="false" ht="15" hidden="false" customHeight="false" outlineLevel="0" collapsed="false">
      <c r="A1281" s="5" t="n">
        <v>40323</v>
      </c>
      <c r="B1281" s="6" t="s">
        <v>149</v>
      </c>
      <c r="C1281" s="6" t="s">
        <v>159</v>
      </c>
      <c r="D1281" s="0" t="n">
        <v>306.01776661582</v>
      </c>
      <c r="E1281" s="0" t="n">
        <v>4.218461538</v>
      </c>
      <c r="F1281" s="0" t="n">
        <v>1</v>
      </c>
      <c r="G1281" s="0" t="n">
        <v>0</v>
      </c>
      <c r="H1281" s="0" t="n">
        <v>0</v>
      </c>
      <c r="I1281" s="0" t="n">
        <v>0</v>
      </c>
      <c r="J1281" s="0" t="n">
        <v>0</v>
      </c>
      <c r="K1281" s="0" t="n">
        <v>3</v>
      </c>
      <c r="L1281" s="0" t="n">
        <v>1</v>
      </c>
    </row>
    <row r="1282" customFormat="false" ht="15" hidden="false" customHeight="false" outlineLevel="0" collapsed="false">
      <c r="A1282" s="5" t="n">
        <v>40330</v>
      </c>
      <c r="B1282" s="6" t="s">
        <v>149</v>
      </c>
      <c r="C1282" s="6" t="s">
        <v>159</v>
      </c>
      <c r="D1282" s="0" t="n">
        <v>253.197269997935</v>
      </c>
      <c r="E1282" s="0" t="n">
        <v>4.077692308</v>
      </c>
      <c r="F1282" s="0" t="n">
        <v>1</v>
      </c>
      <c r="G1282" s="0" t="n">
        <v>0</v>
      </c>
      <c r="H1282" s="0" t="n">
        <v>0</v>
      </c>
      <c r="I1282" s="0" t="n">
        <v>0</v>
      </c>
      <c r="J1282" s="0" t="n">
        <v>0</v>
      </c>
      <c r="K1282" s="0" t="n">
        <v>3</v>
      </c>
      <c r="L1282" s="0" t="n">
        <v>1</v>
      </c>
    </row>
    <row r="1283" customFormat="false" ht="15" hidden="false" customHeight="false" outlineLevel="0" collapsed="false">
      <c r="A1283" s="5" t="n">
        <v>40337</v>
      </c>
      <c r="B1283" s="6" t="s">
        <v>149</v>
      </c>
      <c r="C1283" s="6" t="s">
        <v>159</v>
      </c>
      <c r="D1283" s="0" t="n">
        <v>208.386839146861</v>
      </c>
      <c r="E1283" s="0" t="n">
        <v>4.358461538</v>
      </c>
      <c r="F1283" s="0" t="n">
        <v>1</v>
      </c>
      <c r="G1283" s="0" t="n">
        <v>0</v>
      </c>
      <c r="H1283" s="0" t="n">
        <v>0</v>
      </c>
      <c r="I1283" s="0" t="n">
        <v>0</v>
      </c>
      <c r="J1283" s="0" t="n">
        <v>0</v>
      </c>
      <c r="K1283" s="0" t="n">
        <v>3</v>
      </c>
      <c r="L1283" s="0" t="n">
        <v>1</v>
      </c>
    </row>
    <row r="1284" customFormat="false" ht="15" hidden="false" customHeight="false" outlineLevel="0" collapsed="false">
      <c r="A1284" s="5" t="n">
        <v>40344</v>
      </c>
      <c r="B1284" s="6" t="s">
        <v>149</v>
      </c>
      <c r="C1284" s="6" t="s">
        <v>159</v>
      </c>
      <c r="D1284" s="0" t="n">
        <v>273.30763615258</v>
      </c>
      <c r="E1284" s="0" t="n">
        <v>4.523333333</v>
      </c>
      <c r="F1284" s="0" t="n">
        <v>1</v>
      </c>
      <c r="G1284" s="0" t="n">
        <v>0</v>
      </c>
      <c r="H1284" s="0" t="n">
        <v>0</v>
      </c>
      <c r="I1284" s="0" t="n">
        <v>0</v>
      </c>
      <c r="J1284" s="0" t="n">
        <v>0</v>
      </c>
      <c r="K1284" s="0" t="n">
        <v>3</v>
      </c>
      <c r="L1284" s="0" t="n">
        <v>1</v>
      </c>
    </row>
    <row r="1285" customFormat="false" ht="15" hidden="false" customHeight="false" outlineLevel="0" collapsed="false">
      <c r="A1285" s="5" t="n">
        <v>40351</v>
      </c>
      <c r="B1285" s="6" t="s">
        <v>149</v>
      </c>
      <c r="C1285" s="6" t="s">
        <v>159</v>
      </c>
      <c r="D1285" s="0" t="n">
        <v>326.511404647303</v>
      </c>
      <c r="E1285" s="0" t="n">
        <v>4.382307692</v>
      </c>
      <c r="F1285" s="0" t="n">
        <v>1</v>
      </c>
      <c r="G1285" s="0" t="n">
        <v>0</v>
      </c>
      <c r="H1285" s="0" t="n">
        <v>1</v>
      </c>
      <c r="I1285" s="0" t="n">
        <v>0</v>
      </c>
      <c r="J1285" s="0" t="n">
        <v>0</v>
      </c>
      <c r="K1285" s="0" t="n">
        <v>3</v>
      </c>
      <c r="L1285" s="0" t="n">
        <v>1</v>
      </c>
    </row>
    <row r="1286" customFormat="false" ht="15" hidden="false" customHeight="false" outlineLevel="0" collapsed="false">
      <c r="A1286" s="5" t="n">
        <v>40358</v>
      </c>
      <c r="B1286" s="6" t="s">
        <v>149</v>
      </c>
      <c r="C1286" s="6" t="s">
        <v>159</v>
      </c>
      <c r="D1286" s="0" t="n">
        <v>357.980130998756</v>
      </c>
      <c r="E1286" s="0" t="n">
        <v>4.523333333</v>
      </c>
      <c r="F1286" s="0" t="n">
        <v>1</v>
      </c>
      <c r="G1286" s="0" t="n">
        <v>0</v>
      </c>
      <c r="H1286" s="0" t="n">
        <v>0</v>
      </c>
      <c r="I1286" s="0" t="n">
        <v>1</v>
      </c>
      <c r="J1286" s="0" t="n">
        <v>0</v>
      </c>
      <c r="K1286" s="0" t="n">
        <v>3</v>
      </c>
      <c r="L1286" s="0" t="n">
        <v>1</v>
      </c>
    </row>
    <row r="1287" customFormat="false" ht="15" hidden="false" customHeight="false" outlineLevel="0" collapsed="false">
      <c r="A1287" s="5" t="n">
        <v>40365</v>
      </c>
      <c r="B1287" s="6" t="s">
        <v>149</v>
      </c>
      <c r="C1287" s="6" t="s">
        <v>159</v>
      </c>
      <c r="D1287" s="0" t="n">
        <v>364.29686869111</v>
      </c>
      <c r="E1287" s="0" t="n">
        <v>3.742142857</v>
      </c>
      <c r="F1287" s="0" t="n">
        <v>1</v>
      </c>
      <c r="G1287" s="0" t="n">
        <v>0</v>
      </c>
      <c r="H1287" s="0" t="n">
        <v>0</v>
      </c>
      <c r="I1287" s="0" t="n">
        <v>1</v>
      </c>
      <c r="J1287" s="0" t="n">
        <v>0</v>
      </c>
      <c r="K1287" s="0" t="n">
        <v>3</v>
      </c>
      <c r="L1287" s="0" t="n">
        <v>1</v>
      </c>
    </row>
    <row r="1288" customFormat="false" ht="15" hidden="false" customHeight="false" outlineLevel="0" collapsed="false">
      <c r="A1288" s="5" t="n">
        <v>40372</v>
      </c>
      <c r="B1288" s="6" t="s">
        <v>149</v>
      </c>
      <c r="C1288" s="6" t="s">
        <v>159</v>
      </c>
      <c r="D1288" s="0" t="n">
        <v>275.775436010846</v>
      </c>
      <c r="E1288" s="0" t="n">
        <v>3.927857143</v>
      </c>
      <c r="F1288" s="0" t="n">
        <v>1</v>
      </c>
      <c r="G1288" s="0" t="n">
        <v>0</v>
      </c>
      <c r="H1288" s="0" t="n">
        <v>0</v>
      </c>
      <c r="I1288" s="0" t="n">
        <v>1</v>
      </c>
      <c r="J1288" s="0" t="n">
        <v>0</v>
      </c>
      <c r="K1288" s="0" t="n">
        <v>3</v>
      </c>
      <c r="L1288" s="0" t="n">
        <v>1</v>
      </c>
    </row>
    <row r="1289" customFormat="false" ht="15" hidden="false" customHeight="false" outlineLevel="0" collapsed="false">
      <c r="A1289" s="5" t="n">
        <v>40302</v>
      </c>
      <c r="B1289" s="6" t="s">
        <v>149</v>
      </c>
      <c r="C1289" s="6" t="s">
        <v>160</v>
      </c>
      <c r="D1289" s="0" t="n">
        <v>223.599983750506</v>
      </c>
      <c r="E1289" s="0" t="n">
        <v>4.808181818</v>
      </c>
      <c r="F1289" s="0" t="n">
        <v>1</v>
      </c>
      <c r="G1289" s="0" t="n">
        <v>0</v>
      </c>
      <c r="H1289" s="0" t="n">
        <v>0</v>
      </c>
      <c r="I1289" s="0" t="n">
        <v>1</v>
      </c>
      <c r="J1289" s="0" t="n">
        <v>0</v>
      </c>
      <c r="K1289" s="0" t="n">
        <v>2</v>
      </c>
      <c r="L1289" s="0" t="n">
        <v>4</v>
      </c>
    </row>
    <row r="1290" customFormat="false" ht="15" hidden="false" customHeight="false" outlineLevel="0" collapsed="false">
      <c r="A1290" s="5" t="n">
        <v>40309</v>
      </c>
      <c r="B1290" s="6" t="s">
        <v>149</v>
      </c>
      <c r="C1290" s="6" t="s">
        <v>160</v>
      </c>
      <c r="D1290" s="0" t="n">
        <v>317.034586246341</v>
      </c>
      <c r="E1290" s="0" t="n">
        <v>4.808181818</v>
      </c>
      <c r="F1290" s="0" t="n">
        <v>1</v>
      </c>
      <c r="G1290" s="0" t="n">
        <v>0</v>
      </c>
      <c r="H1290" s="0" t="n">
        <v>0</v>
      </c>
      <c r="I1290" s="0" t="n">
        <v>0</v>
      </c>
      <c r="J1290" s="0" t="n">
        <v>1</v>
      </c>
      <c r="K1290" s="0" t="n">
        <v>2</v>
      </c>
      <c r="L1290" s="0" t="n">
        <v>4</v>
      </c>
    </row>
    <row r="1291" customFormat="false" ht="15" hidden="false" customHeight="false" outlineLevel="0" collapsed="false">
      <c r="A1291" s="5" t="n">
        <v>40316</v>
      </c>
      <c r="B1291" s="6" t="s">
        <v>149</v>
      </c>
      <c r="C1291" s="6" t="s">
        <v>160</v>
      </c>
      <c r="D1291" s="0" t="n">
        <v>331.331939861407</v>
      </c>
      <c r="E1291" s="0" t="n">
        <v>4.558181818</v>
      </c>
      <c r="F1291" s="0" t="n">
        <v>1</v>
      </c>
      <c r="G1291" s="0" t="n">
        <v>0</v>
      </c>
      <c r="H1291" s="0" t="n">
        <v>0</v>
      </c>
      <c r="I1291" s="0" t="n">
        <v>0</v>
      </c>
      <c r="J1291" s="0" t="n">
        <v>1</v>
      </c>
      <c r="K1291" s="0" t="n">
        <v>2</v>
      </c>
      <c r="L1291" s="0" t="n">
        <v>4</v>
      </c>
    </row>
    <row r="1292" customFormat="false" ht="15" hidden="false" customHeight="false" outlineLevel="0" collapsed="false">
      <c r="A1292" s="5" t="n">
        <v>40323</v>
      </c>
      <c r="B1292" s="6" t="s">
        <v>149</v>
      </c>
      <c r="C1292" s="6" t="s">
        <v>160</v>
      </c>
      <c r="D1292" s="0" t="n">
        <v>253.203776858438</v>
      </c>
      <c r="E1292" s="0" t="n">
        <v>4.579285714</v>
      </c>
      <c r="F1292" s="0" t="n">
        <v>1</v>
      </c>
      <c r="G1292" s="0" t="n">
        <v>0</v>
      </c>
      <c r="H1292" s="0" t="n">
        <v>0</v>
      </c>
      <c r="I1292" s="0" t="n">
        <v>0</v>
      </c>
      <c r="J1292" s="0" t="n">
        <v>0</v>
      </c>
      <c r="K1292" s="0" t="n">
        <v>2</v>
      </c>
      <c r="L1292" s="0" t="n">
        <v>4</v>
      </c>
    </row>
    <row r="1293" customFormat="false" ht="15" hidden="false" customHeight="false" outlineLevel="0" collapsed="false">
      <c r="A1293" s="5" t="n">
        <v>40330</v>
      </c>
      <c r="B1293" s="6" t="s">
        <v>149</v>
      </c>
      <c r="C1293" s="6" t="s">
        <v>160</v>
      </c>
      <c r="D1293" s="0" t="n">
        <v>281.96865303568</v>
      </c>
      <c r="E1293" s="0" t="n">
        <v>4.579285714</v>
      </c>
      <c r="F1293" s="0" t="n">
        <v>1</v>
      </c>
      <c r="G1293" s="0" t="n">
        <v>0</v>
      </c>
      <c r="H1293" s="0" t="n">
        <v>0</v>
      </c>
      <c r="I1293" s="0" t="n">
        <v>0</v>
      </c>
      <c r="J1293" s="0" t="n">
        <v>0</v>
      </c>
      <c r="K1293" s="0" t="n">
        <v>2</v>
      </c>
      <c r="L1293" s="0" t="n">
        <v>4</v>
      </c>
    </row>
    <row r="1294" customFormat="false" ht="15" hidden="false" customHeight="false" outlineLevel="0" collapsed="false">
      <c r="A1294" s="5" t="n">
        <v>40337</v>
      </c>
      <c r="B1294" s="6" t="s">
        <v>149</v>
      </c>
      <c r="C1294" s="6" t="s">
        <v>160</v>
      </c>
      <c r="D1294" s="0" t="n">
        <v>236.205451251985</v>
      </c>
      <c r="E1294" s="0" t="n">
        <v>4.891538462</v>
      </c>
      <c r="F1294" s="0" t="n">
        <v>1</v>
      </c>
      <c r="G1294" s="0" t="n">
        <v>0</v>
      </c>
      <c r="H1294" s="0" t="n">
        <v>0</v>
      </c>
      <c r="I1294" s="0" t="n">
        <v>0</v>
      </c>
      <c r="J1294" s="0" t="n">
        <v>0</v>
      </c>
      <c r="K1294" s="0" t="n">
        <v>2</v>
      </c>
      <c r="L1294" s="0" t="n">
        <v>4</v>
      </c>
    </row>
    <row r="1295" customFormat="false" ht="15" hidden="false" customHeight="false" outlineLevel="0" collapsed="false">
      <c r="A1295" s="5" t="n">
        <v>40344</v>
      </c>
      <c r="B1295" s="6" t="s">
        <v>149</v>
      </c>
      <c r="C1295" s="6" t="s">
        <v>160</v>
      </c>
      <c r="D1295" s="0" t="n">
        <v>209.258133152729</v>
      </c>
      <c r="E1295" s="0" t="n">
        <v>4.713076923</v>
      </c>
      <c r="F1295" s="0" t="n">
        <v>1</v>
      </c>
      <c r="G1295" s="0" t="n">
        <v>0</v>
      </c>
      <c r="H1295" s="0" t="n">
        <v>0</v>
      </c>
      <c r="I1295" s="0" t="n">
        <v>0</v>
      </c>
      <c r="J1295" s="0" t="n">
        <v>0</v>
      </c>
      <c r="K1295" s="0" t="n">
        <v>2</v>
      </c>
      <c r="L1295" s="0" t="n">
        <v>4</v>
      </c>
    </row>
    <row r="1296" customFormat="false" ht="15" hidden="false" customHeight="false" outlineLevel="0" collapsed="false">
      <c r="A1296" s="5" t="n">
        <v>40351</v>
      </c>
      <c r="B1296" s="6" t="s">
        <v>149</v>
      </c>
      <c r="C1296" s="6" t="s">
        <v>160</v>
      </c>
      <c r="D1296" s="0" t="n">
        <v>258.259346672333</v>
      </c>
      <c r="E1296" s="0" t="n">
        <v>4.881666667</v>
      </c>
      <c r="F1296" s="0" t="n">
        <v>1</v>
      </c>
      <c r="G1296" s="0" t="n">
        <v>0</v>
      </c>
      <c r="H1296" s="0" t="n">
        <v>0</v>
      </c>
      <c r="I1296" s="0" t="n">
        <v>0</v>
      </c>
      <c r="J1296" s="0" t="n">
        <v>0</v>
      </c>
      <c r="K1296" s="0" t="n">
        <v>2</v>
      </c>
      <c r="L1296" s="0" t="n">
        <v>4</v>
      </c>
    </row>
    <row r="1297" customFormat="false" ht="15" hidden="false" customHeight="false" outlineLevel="0" collapsed="false">
      <c r="A1297" s="5" t="n">
        <v>40358</v>
      </c>
      <c r="B1297" s="6" t="s">
        <v>149</v>
      </c>
      <c r="C1297" s="6" t="s">
        <v>160</v>
      </c>
      <c r="D1297" s="0" t="n">
        <v>288.530053729689</v>
      </c>
      <c r="E1297" s="0" t="n">
        <v>5.080909091</v>
      </c>
      <c r="F1297" s="0" t="n">
        <v>1</v>
      </c>
      <c r="G1297" s="0" t="n">
        <v>0</v>
      </c>
      <c r="H1297" s="0" t="n">
        <v>1</v>
      </c>
      <c r="I1297" s="0" t="n">
        <v>0</v>
      </c>
      <c r="J1297" s="0" t="n">
        <v>0</v>
      </c>
      <c r="K1297" s="0" t="n">
        <v>2</v>
      </c>
      <c r="L1297" s="0" t="n">
        <v>4</v>
      </c>
    </row>
    <row r="1298" customFormat="false" ht="15" hidden="false" customHeight="false" outlineLevel="0" collapsed="false">
      <c r="A1298" s="5" t="n">
        <v>40365</v>
      </c>
      <c r="B1298" s="6" t="s">
        <v>149</v>
      </c>
      <c r="C1298" s="6" t="s">
        <v>160</v>
      </c>
      <c r="D1298" s="0" t="n">
        <v>261.402152407955</v>
      </c>
      <c r="E1298" s="0" t="n">
        <v>3.908333333</v>
      </c>
      <c r="F1298" s="0" t="n">
        <v>1</v>
      </c>
      <c r="G1298" s="0" t="n">
        <v>0</v>
      </c>
      <c r="H1298" s="0" t="n">
        <v>0</v>
      </c>
      <c r="I1298" s="0" t="n">
        <v>1</v>
      </c>
      <c r="J1298" s="0" t="n">
        <v>0</v>
      </c>
      <c r="K1298" s="0" t="n">
        <v>2</v>
      </c>
      <c r="L1298" s="0" t="n">
        <v>4</v>
      </c>
    </row>
    <row r="1299" customFormat="false" ht="15" hidden="false" customHeight="false" outlineLevel="0" collapsed="false">
      <c r="A1299" s="5" t="n">
        <v>40372</v>
      </c>
      <c r="B1299" s="6" t="s">
        <v>149</v>
      </c>
      <c r="C1299" s="6" t="s">
        <v>160</v>
      </c>
      <c r="D1299" s="0" t="n">
        <v>312.332782171368</v>
      </c>
      <c r="E1299" s="0" t="n">
        <v>4.142142857</v>
      </c>
      <c r="F1299" s="0" t="n">
        <v>1</v>
      </c>
      <c r="G1299" s="0" t="n">
        <v>0</v>
      </c>
      <c r="H1299" s="0" t="n">
        <v>0</v>
      </c>
      <c r="I1299" s="0" t="n">
        <v>1</v>
      </c>
      <c r="J1299" s="0" t="n">
        <v>0</v>
      </c>
      <c r="K1299" s="0" t="n">
        <v>2</v>
      </c>
      <c r="L1299" s="0" t="n">
        <v>4</v>
      </c>
    </row>
    <row r="1300" customFormat="false" ht="15" hidden="false" customHeight="false" outlineLevel="0" collapsed="false">
      <c r="A1300" s="5" t="n">
        <v>40302</v>
      </c>
      <c r="B1300" s="6" t="s">
        <v>149</v>
      </c>
      <c r="C1300" s="6" t="s">
        <v>161</v>
      </c>
      <c r="D1300" s="0" t="n">
        <v>246.842450305691</v>
      </c>
      <c r="E1300" s="0" t="n">
        <v>4.734444444</v>
      </c>
      <c r="F1300" s="0" t="n">
        <v>1</v>
      </c>
      <c r="G1300" s="0" t="n">
        <v>0</v>
      </c>
      <c r="H1300" s="0" t="n">
        <v>0</v>
      </c>
      <c r="I1300" s="0" t="n">
        <v>1</v>
      </c>
      <c r="J1300" s="0" t="n">
        <v>0</v>
      </c>
      <c r="K1300" s="0" t="n">
        <v>1</v>
      </c>
      <c r="L1300" s="0" t="n">
        <v>5</v>
      </c>
    </row>
    <row r="1301" customFormat="false" ht="15" hidden="false" customHeight="false" outlineLevel="0" collapsed="false">
      <c r="A1301" s="5" t="n">
        <v>40309</v>
      </c>
      <c r="B1301" s="6" t="s">
        <v>149</v>
      </c>
      <c r="C1301" s="6" t="s">
        <v>161</v>
      </c>
      <c r="D1301" s="0" t="n">
        <v>392.396703103651</v>
      </c>
      <c r="E1301" s="0" t="n">
        <v>4.3</v>
      </c>
      <c r="F1301" s="0" t="n">
        <v>1</v>
      </c>
      <c r="G1301" s="0" t="n">
        <v>0</v>
      </c>
      <c r="H1301" s="0" t="n">
        <v>0</v>
      </c>
      <c r="I1301" s="0" t="n">
        <v>0</v>
      </c>
      <c r="J1301" s="0" t="n">
        <v>1</v>
      </c>
      <c r="K1301" s="0" t="n">
        <v>1</v>
      </c>
      <c r="L1301" s="0" t="n">
        <v>5</v>
      </c>
    </row>
    <row r="1302" customFormat="false" ht="15" hidden="false" customHeight="false" outlineLevel="0" collapsed="false">
      <c r="A1302" s="5" t="n">
        <v>40316</v>
      </c>
      <c r="B1302" s="6" t="s">
        <v>149</v>
      </c>
      <c r="C1302" s="6" t="s">
        <v>161</v>
      </c>
      <c r="D1302" s="0" t="n">
        <v>312.248945949136</v>
      </c>
      <c r="E1302" s="0" t="n">
        <v>3.953</v>
      </c>
      <c r="F1302" s="0" t="n">
        <v>1</v>
      </c>
      <c r="G1302" s="0" t="n">
        <v>0</v>
      </c>
      <c r="H1302" s="0" t="n">
        <v>0</v>
      </c>
      <c r="I1302" s="0" t="n">
        <v>0</v>
      </c>
      <c r="J1302" s="0" t="n">
        <v>1</v>
      </c>
      <c r="K1302" s="0" t="n">
        <v>1</v>
      </c>
      <c r="L1302" s="0" t="n">
        <v>5</v>
      </c>
    </row>
    <row r="1303" customFormat="false" ht="15" hidden="false" customHeight="false" outlineLevel="0" collapsed="false">
      <c r="A1303" s="5" t="n">
        <v>40323</v>
      </c>
      <c r="B1303" s="6" t="s">
        <v>149</v>
      </c>
      <c r="C1303" s="6" t="s">
        <v>161</v>
      </c>
      <c r="D1303" s="0" t="n">
        <v>171.104436249284</v>
      </c>
      <c r="E1303" s="0" t="n">
        <v>4.093333333</v>
      </c>
      <c r="F1303" s="0" t="n">
        <v>1</v>
      </c>
      <c r="G1303" s="0" t="n">
        <v>0</v>
      </c>
      <c r="H1303" s="0" t="n">
        <v>0</v>
      </c>
      <c r="I1303" s="0" t="n">
        <v>0</v>
      </c>
      <c r="J1303" s="0" t="n">
        <v>0</v>
      </c>
      <c r="K1303" s="0" t="n">
        <v>1</v>
      </c>
      <c r="L1303" s="0" t="n">
        <v>5</v>
      </c>
    </row>
    <row r="1304" customFormat="false" ht="15" hidden="false" customHeight="false" outlineLevel="0" collapsed="false">
      <c r="A1304" s="5" t="n">
        <v>40330</v>
      </c>
      <c r="B1304" s="6" t="s">
        <v>149</v>
      </c>
      <c r="C1304" s="6" t="s">
        <v>161</v>
      </c>
      <c r="D1304" s="0" t="n">
        <v>250.181969302393</v>
      </c>
      <c r="E1304" s="0" t="n">
        <v>4.26875</v>
      </c>
      <c r="F1304" s="0" t="n">
        <v>1</v>
      </c>
      <c r="G1304" s="0" t="n">
        <v>0</v>
      </c>
      <c r="H1304" s="0" t="n">
        <v>0</v>
      </c>
      <c r="I1304" s="0" t="n">
        <v>0</v>
      </c>
      <c r="J1304" s="0" t="n">
        <v>0</v>
      </c>
      <c r="K1304" s="0" t="n">
        <v>1</v>
      </c>
      <c r="L1304" s="0" t="n">
        <v>5</v>
      </c>
    </row>
    <row r="1305" customFormat="false" ht="15" hidden="false" customHeight="false" outlineLevel="0" collapsed="false">
      <c r="A1305" s="5" t="n">
        <v>40337</v>
      </c>
      <c r="B1305" s="6" t="s">
        <v>149</v>
      </c>
      <c r="C1305" s="6" t="s">
        <v>161</v>
      </c>
      <c r="D1305" s="0" t="n">
        <v>163.333482825611</v>
      </c>
      <c r="E1305" s="0" t="n">
        <v>4.4</v>
      </c>
      <c r="F1305" s="0" t="n">
        <v>1</v>
      </c>
      <c r="G1305" s="0" t="n">
        <v>0</v>
      </c>
      <c r="H1305" s="0" t="n">
        <v>0</v>
      </c>
      <c r="I1305" s="0" t="n">
        <v>0</v>
      </c>
      <c r="J1305" s="0" t="n">
        <v>0</v>
      </c>
      <c r="K1305" s="0" t="n">
        <v>1</v>
      </c>
      <c r="L1305" s="0" t="n">
        <v>5</v>
      </c>
    </row>
    <row r="1306" customFormat="false" ht="15" hidden="false" customHeight="false" outlineLevel="0" collapsed="false">
      <c r="A1306" s="5" t="n">
        <v>40344</v>
      </c>
      <c r="B1306" s="6" t="s">
        <v>149</v>
      </c>
      <c r="C1306" s="6" t="s">
        <v>161</v>
      </c>
      <c r="D1306" s="0" t="n">
        <v>332.512398343101</v>
      </c>
      <c r="E1306" s="0" t="n">
        <v>4.767777778</v>
      </c>
      <c r="F1306" s="0" t="n">
        <v>1</v>
      </c>
      <c r="G1306" s="0" t="n">
        <v>0</v>
      </c>
      <c r="H1306" s="0" t="n">
        <v>0</v>
      </c>
      <c r="I1306" s="0" t="n">
        <v>0</v>
      </c>
      <c r="J1306" s="0" t="n">
        <v>0</v>
      </c>
      <c r="K1306" s="0" t="n">
        <v>1</v>
      </c>
      <c r="L1306" s="0" t="n">
        <v>5</v>
      </c>
    </row>
    <row r="1307" customFormat="false" ht="15" hidden="false" customHeight="false" outlineLevel="0" collapsed="false">
      <c r="A1307" s="5" t="n">
        <v>40351</v>
      </c>
      <c r="B1307" s="6" t="s">
        <v>149</v>
      </c>
      <c r="C1307" s="6" t="s">
        <v>161</v>
      </c>
      <c r="D1307" s="0" t="n">
        <v>231.775468199284</v>
      </c>
      <c r="E1307" s="0" t="n">
        <v>4.99</v>
      </c>
      <c r="F1307" s="0" t="n">
        <v>1</v>
      </c>
      <c r="G1307" s="0" t="n">
        <v>0</v>
      </c>
      <c r="H1307" s="0" t="n">
        <v>0</v>
      </c>
      <c r="I1307" s="0" t="n">
        <v>0</v>
      </c>
      <c r="J1307" s="0" t="n">
        <v>0</v>
      </c>
      <c r="K1307" s="0" t="n">
        <v>1</v>
      </c>
      <c r="L1307" s="0" t="n">
        <v>5</v>
      </c>
    </row>
    <row r="1308" customFormat="false" ht="15" hidden="false" customHeight="false" outlineLevel="0" collapsed="false">
      <c r="A1308" s="5" t="n">
        <v>40358</v>
      </c>
      <c r="B1308" s="6" t="s">
        <v>149</v>
      </c>
      <c r="C1308" s="6" t="s">
        <v>161</v>
      </c>
      <c r="D1308" s="0" t="n">
        <v>316.407758617603</v>
      </c>
      <c r="E1308" s="0" t="n">
        <v>5.156666667</v>
      </c>
      <c r="F1308" s="0" t="n">
        <v>1</v>
      </c>
      <c r="G1308" s="0" t="n">
        <v>0</v>
      </c>
      <c r="H1308" s="0" t="n">
        <v>1</v>
      </c>
      <c r="I1308" s="0" t="n">
        <v>0</v>
      </c>
      <c r="J1308" s="0" t="n">
        <v>0</v>
      </c>
      <c r="K1308" s="0" t="n">
        <v>1</v>
      </c>
      <c r="L1308" s="0" t="n">
        <v>5</v>
      </c>
    </row>
    <row r="1309" customFormat="false" ht="15" hidden="false" customHeight="false" outlineLevel="0" collapsed="false">
      <c r="A1309" s="5" t="n">
        <v>40365</v>
      </c>
      <c r="B1309" s="6" t="s">
        <v>149</v>
      </c>
      <c r="C1309" s="6" t="s">
        <v>161</v>
      </c>
      <c r="D1309" s="0" t="n">
        <v>261.562925813078</v>
      </c>
      <c r="E1309" s="0" t="n">
        <v>4.95</v>
      </c>
      <c r="F1309" s="0" t="n">
        <v>1</v>
      </c>
      <c r="G1309" s="0" t="n">
        <v>0</v>
      </c>
      <c r="H1309" s="0" t="n">
        <v>0</v>
      </c>
      <c r="I1309" s="0" t="n">
        <v>1</v>
      </c>
      <c r="J1309" s="0" t="n">
        <v>0</v>
      </c>
      <c r="K1309" s="0" t="n">
        <v>1</v>
      </c>
      <c r="L1309" s="0" t="n">
        <v>5</v>
      </c>
    </row>
    <row r="1310" customFormat="false" ht="15" hidden="false" customHeight="false" outlineLevel="0" collapsed="false">
      <c r="A1310" s="5" t="n">
        <v>40372</v>
      </c>
      <c r="B1310" s="6" t="s">
        <v>149</v>
      </c>
      <c r="C1310" s="6" t="s">
        <v>161</v>
      </c>
      <c r="D1310" s="0" t="n">
        <v>324.381047185873</v>
      </c>
      <c r="E1310" s="0" t="n">
        <v>4.95</v>
      </c>
      <c r="F1310" s="0" t="n">
        <v>1</v>
      </c>
      <c r="G1310" s="0" t="n">
        <v>0</v>
      </c>
      <c r="H1310" s="0" t="n">
        <v>0</v>
      </c>
      <c r="I1310" s="0" t="n">
        <v>1</v>
      </c>
      <c r="J1310" s="0" t="n">
        <v>0</v>
      </c>
      <c r="K1310" s="0" t="n">
        <v>1</v>
      </c>
      <c r="L1310" s="0" t="n">
        <v>5</v>
      </c>
    </row>
    <row r="1311" customFormat="false" ht="15" hidden="false" customHeight="false" outlineLevel="0" collapsed="false">
      <c r="A1311" s="5" t="n">
        <v>40302</v>
      </c>
      <c r="B1311" s="6" t="s">
        <v>162</v>
      </c>
      <c r="C1311" s="6" t="s">
        <v>163</v>
      </c>
      <c r="D1311" s="0" t="n">
        <v>186.94634432042</v>
      </c>
      <c r="E1311" s="0" t="n">
        <v>4.39</v>
      </c>
      <c r="F1311" s="0" t="n">
        <v>0</v>
      </c>
      <c r="G1311" s="0" t="n">
        <v>0</v>
      </c>
      <c r="H1311" s="0" t="n">
        <v>0</v>
      </c>
      <c r="I1311" s="0" t="n">
        <v>0</v>
      </c>
      <c r="J1311" s="0" t="n">
        <v>0</v>
      </c>
      <c r="K1311" s="0" t="n">
        <v>0</v>
      </c>
      <c r="L1311" s="0" t="n">
        <v>4</v>
      </c>
    </row>
    <row r="1312" customFormat="false" ht="15" hidden="false" customHeight="false" outlineLevel="0" collapsed="false">
      <c r="A1312" s="5" t="n">
        <v>40309</v>
      </c>
      <c r="B1312" s="6" t="s">
        <v>162</v>
      </c>
      <c r="C1312" s="6" t="s">
        <v>163</v>
      </c>
      <c r="D1312" s="0" t="n">
        <v>179.850245991679</v>
      </c>
      <c r="E1312" s="0" t="n">
        <v>4.39</v>
      </c>
      <c r="F1312" s="0" t="n">
        <v>0</v>
      </c>
      <c r="G1312" s="0" t="n">
        <v>0</v>
      </c>
      <c r="H1312" s="0" t="n">
        <v>0</v>
      </c>
      <c r="I1312" s="0" t="n">
        <v>0</v>
      </c>
      <c r="J1312" s="0" t="n">
        <v>0</v>
      </c>
      <c r="K1312" s="0" t="n">
        <v>0</v>
      </c>
      <c r="L1312" s="0" t="n">
        <v>4</v>
      </c>
    </row>
    <row r="1313" customFormat="false" ht="15" hidden="false" customHeight="false" outlineLevel="0" collapsed="false">
      <c r="A1313" s="5" t="n">
        <v>40316</v>
      </c>
      <c r="B1313" s="6" t="s">
        <v>162</v>
      </c>
      <c r="C1313" s="6" t="s">
        <v>163</v>
      </c>
      <c r="D1313" s="0" t="n">
        <v>133.853047235151</v>
      </c>
      <c r="E1313" s="0" t="n">
        <v>3.84</v>
      </c>
      <c r="F1313" s="0" t="n">
        <v>0</v>
      </c>
      <c r="G1313" s="0" t="n">
        <v>0</v>
      </c>
      <c r="H1313" s="0" t="n">
        <v>0</v>
      </c>
      <c r="I1313" s="0" t="n">
        <v>0</v>
      </c>
      <c r="J1313" s="0" t="n">
        <v>0</v>
      </c>
      <c r="K1313" s="0" t="n">
        <v>0</v>
      </c>
      <c r="L1313" s="0" t="n">
        <v>4</v>
      </c>
    </row>
    <row r="1314" customFormat="false" ht="15" hidden="false" customHeight="false" outlineLevel="0" collapsed="false">
      <c r="A1314" s="5" t="n">
        <v>40323</v>
      </c>
      <c r="B1314" s="6" t="s">
        <v>162</v>
      </c>
      <c r="C1314" s="6" t="s">
        <v>163</v>
      </c>
      <c r="D1314" s="0" t="n">
        <v>202.418789469493</v>
      </c>
      <c r="E1314" s="0" t="n">
        <v>3.751538462</v>
      </c>
      <c r="F1314" s="0" t="n">
        <v>0</v>
      </c>
      <c r="G1314" s="0" t="n">
        <v>0</v>
      </c>
      <c r="H1314" s="0" t="n">
        <v>0</v>
      </c>
      <c r="I1314" s="0" t="n">
        <v>0</v>
      </c>
      <c r="J1314" s="0" t="n">
        <v>0</v>
      </c>
      <c r="K1314" s="0" t="n">
        <v>0</v>
      </c>
      <c r="L1314" s="0" t="n">
        <v>4</v>
      </c>
    </row>
    <row r="1315" customFormat="false" ht="15" hidden="false" customHeight="false" outlineLevel="0" collapsed="false">
      <c r="A1315" s="5" t="n">
        <v>40330</v>
      </c>
      <c r="B1315" s="6" t="s">
        <v>162</v>
      </c>
      <c r="C1315" s="6" t="s">
        <v>163</v>
      </c>
      <c r="D1315" s="0" t="n">
        <v>235.23401257871</v>
      </c>
      <c r="E1315" s="0" t="n">
        <v>3.675714286</v>
      </c>
      <c r="F1315" s="0" t="n">
        <v>0</v>
      </c>
      <c r="G1315" s="0" t="n">
        <v>0</v>
      </c>
      <c r="H1315" s="0" t="n">
        <v>0</v>
      </c>
      <c r="I1315" s="0" t="n">
        <v>0</v>
      </c>
      <c r="J1315" s="0" t="n">
        <v>0</v>
      </c>
      <c r="K1315" s="0" t="n">
        <v>0</v>
      </c>
      <c r="L1315" s="0" t="n">
        <v>4</v>
      </c>
    </row>
    <row r="1316" customFormat="false" ht="15" hidden="false" customHeight="false" outlineLevel="0" collapsed="false">
      <c r="A1316" s="5" t="n">
        <v>40337</v>
      </c>
      <c r="B1316" s="6" t="s">
        <v>162</v>
      </c>
      <c r="C1316" s="6" t="s">
        <v>163</v>
      </c>
      <c r="D1316" s="0" t="n">
        <v>145.638057140129</v>
      </c>
      <c r="E1316" s="0" t="n">
        <v>4.804285714</v>
      </c>
      <c r="F1316" s="0" t="n">
        <v>0</v>
      </c>
      <c r="G1316" s="0" t="n">
        <v>0</v>
      </c>
      <c r="H1316" s="0" t="n">
        <v>0</v>
      </c>
      <c r="I1316" s="0" t="n">
        <v>0</v>
      </c>
      <c r="J1316" s="0" t="n">
        <v>0</v>
      </c>
      <c r="K1316" s="0" t="n">
        <v>0</v>
      </c>
      <c r="L1316" s="0" t="n">
        <v>4</v>
      </c>
    </row>
    <row r="1317" customFormat="false" ht="15" hidden="false" customHeight="false" outlineLevel="0" collapsed="false">
      <c r="A1317" s="5" t="n">
        <v>40344</v>
      </c>
      <c r="B1317" s="6" t="s">
        <v>162</v>
      </c>
      <c r="C1317" s="6" t="s">
        <v>163</v>
      </c>
      <c r="D1317" s="0" t="n">
        <v>179.264614060591</v>
      </c>
      <c r="E1317" s="0" t="n">
        <v>4.26</v>
      </c>
      <c r="F1317" s="0" t="n">
        <v>0</v>
      </c>
      <c r="G1317" s="0" t="n">
        <v>0</v>
      </c>
      <c r="H1317" s="0" t="n">
        <v>0</v>
      </c>
      <c r="I1317" s="0" t="n">
        <v>0</v>
      </c>
      <c r="J1317" s="0" t="n">
        <v>0</v>
      </c>
      <c r="K1317" s="0" t="n">
        <v>0</v>
      </c>
      <c r="L1317" s="0" t="n">
        <v>4</v>
      </c>
    </row>
    <row r="1318" customFormat="false" ht="15" hidden="false" customHeight="false" outlineLevel="0" collapsed="false">
      <c r="A1318" s="5" t="n">
        <v>40351</v>
      </c>
      <c r="B1318" s="6" t="s">
        <v>162</v>
      </c>
      <c r="C1318" s="6" t="s">
        <v>163</v>
      </c>
      <c r="D1318" s="0" t="n">
        <v>220.796391642227</v>
      </c>
      <c r="E1318" s="0" t="n">
        <v>4.631176471</v>
      </c>
      <c r="F1318" s="0" t="n">
        <v>0</v>
      </c>
      <c r="G1318" s="0" t="n">
        <v>0</v>
      </c>
      <c r="H1318" s="0" t="n">
        <v>0</v>
      </c>
      <c r="I1318" s="0" t="n">
        <v>0</v>
      </c>
      <c r="J1318" s="0" t="n">
        <v>0</v>
      </c>
      <c r="K1318" s="0" t="n">
        <v>0</v>
      </c>
      <c r="L1318" s="0" t="n">
        <v>4</v>
      </c>
    </row>
    <row r="1319" customFormat="false" ht="15" hidden="false" customHeight="false" outlineLevel="0" collapsed="false">
      <c r="A1319" s="5" t="n">
        <v>40358</v>
      </c>
      <c r="B1319" s="6" t="s">
        <v>162</v>
      </c>
      <c r="C1319" s="6" t="s">
        <v>163</v>
      </c>
      <c r="D1319" s="0" t="n">
        <v>199.024647896943</v>
      </c>
      <c r="E1319" s="0" t="n">
        <v>4.631176471</v>
      </c>
      <c r="F1319" s="0" t="n">
        <v>0</v>
      </c>
      <c r="G1319" s="0" t="n">
        <v>0</v>
      </c>
      <c r="H1319" s="0" t="n">
        <v>0</v>
      </c>
      <c r="I1319" s="0" t="n">
        <v>0</v>
      </c>
      <c r="J1319" s="0" t="n">
        <v>0</v>
      </c>
      <c r="K1319" s="0" t="n">
        <v>0</v>
      </c>
      <c r="L1319" s="0" t="n">
        <v>4</v>
      </c>
    </row>
    <row r="1320" customFormat="false" ht="15" hidden="false" customHeight="false" outlineLevel="0" collapsed="false">
      <c r="A1320" s="5" t="n">
        <v>40365</v>
      </c>
      <c r="B1320" s="6" t="s">
        <v>162</v>
      </c>
      <c r="C1320" s="6" t="s">
        <v>163</v>
      </c>
      <c r="D1320" s="0" t="n">
        <v>113.136783353201</v>
      </c>
      <c r="E1320" s="0" t="n">
        <v>4.421176471</v>
      </c>
      <c r="F1320" s="0" t="n">
        <v>0</v>
      </c>
      <c r="G1320" s="0" t="n">
        <v>0</v>
      </c>
      <c r="H1320" s="0" t="n">
        <v>0</v>
      </c>
      <c r="I1320" s="0" t="n">
        <v>0</v>
      </c>
      <c r="J1320" s="0" t="n">
        <v>0</v>
      </c>
      <c r="K1320" s="0" t="n">
        <v>0</v>
      </c>
      <c r="L1320" s="0" t="n">
        <v>4</v>
      </c>
    </row>
    <row r="1321" customFormat="false" ht="15" hidden="false" customHeight="false" outlineLevel="0" collapsed="false">
      <c r="A1321" s="5" t="n">
        <v>40372</v>
      </c>
      <c r="B1321" s="6" t="s">
        <v>162</v>
      </c>
      <c r="C1321" s="6" t="s">
        <v>163</v>
      </c>
      <c r="D1321" s="0" t="n">
        <v>158.695729295327</v>
      </c>
      <c r="E1321" s="0" t="n">
        <v>4.073125</v>
      </c>
      <c r="F1321" s="0" t="n">
        <v>0</v>
      </c>
      <c r="G1321" s="0" t="n">
        <v>0</v>
      </c>
      <c r="H1321" s="0" t="n">
        <v>0</v>
      </c>
      <c r="I1321" s="0" t="n">
        <v>0</v>
      </c>
      <c r="J1321" s="0" t="n">
        <v>0</v>
      </c>
      <c r="K1321" s="0" t="n">
        <v>0</v>
      </c>
      <c r="L1321" s="0" t="n">
        <v>4</v>
      </c>
    </row>
    <row r="1322" customFormat="false" ht="15" hidden="false" customHeight="false" outlineLevel="0" collapsed="false">
      <c r="A1322" s="5" t="n">
        <v>40302</v>
      </c>
      <c r="B1322" s="6" t="s">
        <v>162</v>
      </c>
      <c r="C1322" s="6" t="s">
        <v>164</v>
      </c>
      <c r="D1322" s="0" t="n">
        <v>202.145816681568</v>
      </c>
      <c r="E1322" s="0" t="n">
        <v>4.561428571</v>
      </c>
      <c r="F1322" s="0" t="n">
        <v>0</v>
      </c>
      <c r="G1322" s="0" t="n">
        <v>0</v>
      </c>
      <c r="H1322" s="0" t="n">
        <v>0</v>
      </c>
      <c r="I1322" s="0" t="n">
        <v>0</v>
      </c>
      <c r="J1322" s="0" t="n">
        <v>0</v>
      </c>
      <c r="K1322" s="0" t="n">
        <v>2</v>
      </c>
      <c r="L1322" s="0" t="n">
        <v>2</v>
      </c>
    </row>
    <row r="1323" customFormat="false" ht="15" hidden="false" customHeight="false" outlineLevel="0" collapsed="false">
      <c r="A1323" s="5" t="n">
        <v>40309</v>
      </c>
      <c r="B1323" s="6" t="s">
        <v>162</v>
      </c>
      <c r="C1323" s="6" t="s">
        <v>164</v>
      </c>
      <c r="D1323" s="0" t="n">
        <v>52.2131457856578</v>
      </c>
      <c r="E1323" s="0" t="n">
        <v>4.561428571</v>
      </c>
      <c r="F1323" s="0" t="n">
        <v>0</v>
      </c>
      <c r="G1323" s="0" t="n">
        <v>0</v>
      </c>
      <c r="H1323" s="0" t="n">
        <v>0</v>
      </c>
      <c r="I1323" s="0" t="n">
        <v>0</v>
      </c>
      <c r="J1323" s="0" t="n">
        <v>0</v>
      </c>
      <c r="K1323" s="0" t="n">
        <v>2</v>
      </c>
      <c r="L1323" s="0" t="n">
        <v>2</v>
      </c>
    </row>
    <row r="1324" customFormat="false" ht="15" hidden="false" customHeight="false" outlineLevel="0" collapsed="false">
      <c r="A1324" s="5" t="n">
        <v>40316</v>
      </c>
      <c r="B1324" s="6" t="s">
        <v>162</v>
      </c>
      <c r="C1324" s="6" t="s">
        <v>164</v>
      </c>
      <c r="D1324" s="0" t="n">
        <v>207.05881042358</v>
      </c>
      <c r="E1324" s="0" t="n">
        <v>3.918571429</v>
      </c>
      <c r="F1324" s="0" t="n">
        <v>0</v>
      </c>
      <c r="G1324" s="0" t="n">
        <v>0</v>
      </c>
      <c r="H1324" s="0" t="n">
        <v>0</v>
      </c>
      <c r="I1324" s="0" t="n">
        <v>0</v>
      </c>
      <c r="J1324" s="0" t="n">
        <v>0</v>
      </c>
      <c r="K1324" s="0" t="n">
        <v>2</v>
      </c>
      <c r="L1324" s="0" t="n">
        <v>2</v>
      </c>
    </row>
    <row r="1325" customFormat="false" ht="15" hidden="false" customHeight="false" outlineLevel="0" collapsed="false">
      <c r="A1325" s="5" t="n">
        <v>40323</v>
      </c>
      <c r="B1325" s="6" t="s">
        <v>162</v>
      </c>
      <c r="C1325" s="6" t="s">
        <v>164</v>
      </c>
      <c r="D1325" s="0" t="n">
        <v>152.876238856897</v>
      </c>
      <c r="E1325" s="0" t="n">
        <v>3.906666667</v>
      </c>
      <c r="F1325" s="0" t="n">
        <v>0</v>
      </c>
      <c r="G1325" s="0" t="n">
        <v>0</v>
      </c>
      <c r="H1325" s="0" t="n">
        <v>0</v>
      </c>
      <c r="I1325" s="0" t="n">
        <v>0</v>
      </c>
      <c r="J1325" s="0" t="n">
        <v>0</v>
      </c>
      <c r="K1325" s="0" t="n">
        <v>2</v>
      </c>
      <c r="L1325" s="0" t="n">
        <v>2</v>
      </c>
    </row>
    <row r="1326" customFormat="false" ht="15" hidden="false" customHeight="false" outlineLevel="0" collapsed="false">
      <c r="A1326" s="5" t="n">
        <v>40330</v>
      </c>
      <c r="B1326" s="6" t="s">
        <v>162</v>
      </c>
      <c r="C1326" s="6" t="s">
        <v>164</v>
      </c>
      <c r="D1326" s="0" t="n">
        <v>196.047162997307</v>
      </c>
      <c r="E1326" s="0" t="n">
        <v>3.906666667</v>
      </c>
      <c r="F1326" s="0" t="n">
        <v>0</v>
      </c>
      <c r="G1326" s="0" t="n">
        <v>0</v>
      </c>
      <c r="H1326" s="0" t="n">
        <v>0</v>
      </c>
      <c r="I1326" s="0" t="n">
        <v>0</v>
      </c>
      <c r="J1326" s="0" t="n">
        <v>0</v>
      </c>
      <c r="K1326" s="0" t="n">
        <v>2</v>
      </c>
      <c r="L1326" s="0" t="n">
        <v>2</v>
      </c>
    </row>
    <row r="1327" customFormat="false" ht="15" hidden="false" customHeight="false" outlineLevel="0" collapsed="false">
      <c r="A1327" s="5" t="n">
        <v>40337</v>
      </c>
      <c r="B1327" s="6" t="s">
        <v>162</v>
      </c>
      <c r="C1327" s="6" t="s">
        <v>164</v>
      </c>
      <c r="D1327" s="0" t="n">
        <v>119.1376865984</v>
      </c>
      <c r="E1327" s="0" t="n">
        <v>4.49</v>
      </c>
      <c r="F1327" s="0" t="n">
        <v>0</v>
      </c>
      <c r="G1327" s="0" t="n">
        <v>0</v>
      </c>
      <c r="H1327" s="0" t="n">
        <v>0</v>
      </c>
      <c r="I1327" s="0" t="n">
        <v>0</v>
      </c>
      <c r="J1327" s="0" t="n">
        <v>0</v>
      </c>
      <c r="K1327" s="0" t="n">
        <v>2</v>
      </c>
      <c r="L1327" s="0" t="n">
        <v>2</v>
      </c>
    </row>
    <row r="1328" customFormat="false" ht="15" hidden="false" customHeight="false" outlineLevel="0" collapsed="false">
      <c r="A1328" s="5" t="n">
        <v>40344</v>
      </c>
      <c r="B1328" s="6" t="s">
        <v>162</v>
      </c>
      <c r="C1328" s="6" t="s">
        <v>164</v>
      </c>
      <c r="D1328" s="0" t="n">
        <v>195.477530575144</v>
      </c>
      <c r="E1328" s="0" t="n">
        <v>4.561428571</v>
      </c>
      <c r="F1328" s="0" t="n">
        <v>0</v>
      </c>
      <c r="G1328" s="0" t="n">
        <v>0</v>
      </c>
      <c r="H1328" s="0" t="n">
        <v>0</v>
      </c>
      <c r="I1328" s="0" t="n">
        <v>0</v>
      </c>
      <c r="J1328" s="0" t="n">
        <v>0</v>
      </c>
      <c r="K1328" s="0" t="n">
        <v>2</v>
      </c>
      <c r="L1328" s="0" t="n">
        <v>2</v>
      </c>
    </row>
    <row r="1329" customFormat="false" ht="15" hidden="false" customHeight="false" outlineLevel="0" collapsed="false">
      <c r="A1329" s="5" t="n">
        <v>40351</v>
      </c>
      <c r="B1329" s="6" t="s">
        <v>162</v>
      </c>
      <c r="C1329" s="6" t="s">
        <v>164</v>
      </c>
      <c r="D1329" s="0" t="n">
        <v>225.251282686031</v>
      </c>
      <c r="E1329" s="0" t="n">
        <v>4.434444444</v>
      </c>
      <c r="F1329" s="0" t="n">
        <v>0</v>
      </c>
      <c r="G1329" s="0" t="n">
        <v>0</v>
      </c>
      <c r="H1329" s="0" t="n">
        <v>0</v>
      </c>
      <c r="I1329" s="0" t="n">
        <v>0</v>
      </c>
      <c r="J1329" s="0" t="n">
        <v>0</v>
      </c>
      <c r="K1329" s="0" t="n">
        <v>2</v>
      </c>
      <c r="L1329" s="0" t="n">
        <v>2</v>
      </c>
    </row>
    <row r="1330" customFormat="false" ht="15" hidden="false" customHeight="false" outlineLevel="0" collapsed="false">
      <c r="A1330" s="5" t="n">
        <v>40358</v>
      </c>
      <c r="B1330" s="6" t="s">
        <v>162</v>
      </c>
      <c r="C1330" s="6" t="s">
        <v>164</v>
      </c>
      <c r="D1330" s="0" t="n">
        <v>114.943961782598</v>
      </c>
      <c r="E1330" s="0" t="n">
        <v>4.49</v>
      </c>
      <c r="F1330" s="0" t="n">
        <v>0</v>
      </c>
      <c r="G1330" s="0" t="n">
        <v>0</v>
      </c>
      <c r="H1330" s="0" t="n">
        <v>0</v>
      </c>
      <c r="I1330" s="0" t="n">
        <v>0</v>
      </c>
      <c r="J1330" s="0" t="n">
        <v>0</v>
      </c>
      <c r="K1330" s="0" t="n">
        <v>2</v>
      </c>
      <c r="L1330" s="0" t="n">
        <v>2</v>
      </c>
    </row>
    <row r="1331" customFormat="false" ht="15" hidden="false" customHeight="false" outlineLevel="0" collapsed="false">
      <c r="A1331" s="5" t="n">
        <v>40365</v>
      </c>
      <c r="B1331" s="6" t="s">
        <v>162</v>
      </c>
      <c r="C1331" s="6" t="s">
        <v>164</v>
      </c>
      <c r="D1331" s="0" t="n">
        <v>170.280205414481</v>
      </c>
      <c r="E1331" s="0" t="n">
        <v>4.347142857</v>
      </c>
      <c r="F1331" s="0" t="n">
        <v>0</v>
      </c>
      <c r="G1331" s="0" t="n">
        <v>0</v>
      </c>
      <c r="H1331" s="0" t="n">
        <v>0</v>
      </c>
      <c r="I1331" s="0" t="n">
        <v>0</v>
      </c>
      <c r="J1331" s="0" t="n">
        <v>0</v>
      </c>
      <c r="K1331" s="0" t="n">
        <v>2</v>
      </c>
      <c r="L1331" s="0" t="n">
        <v>2</v>
      </c>
    </row>
    <row r="1332" customFormat="false" ht="15" hidden="false" customHeight="false" outlineLevel="0" collapsed="false">
      <c r="A1332" s="5" t="n">
        <v>40372</v>
      </c>
      <c r="B1332" s="6" t="s">
        <v>162</v>
      </c>
      <c r="C1332" s="6" t="s">
        <v>164</v>
      </c>
      <c r="D1332" s="0" t="n">
        <v>223.10655945634</v>
      </c>
      <c r="E1332" s="0" t="n">
        <v>4.347142857</v>
      </c>
      <c r="F1332" s="0" t="n">
        <v>0</v>
      </c>
      <c r="G1332" s="0" t="n">
        <v>0</v>
      </c>
      <c r="H1332" s="0" t="n">
        <v>0</v>
      </c>
      <c r="I1332" s="0" t="n">
        <v>0</v>
      </c>
      <c r="J1332" s="0" t="n">
        <v>0</v>
      </c>
      <c r="K1332" s="0" t="n">
        <v>2</v>
      </c>
      <c r="L1332" s="0" t="n">
        <v>2</v>
      </c>
    </row>
    <row r="1333" customFormat="false" ht="15" hidden="false" customHeight="false" outlineLevel="0" collapsed="false">
      <c r="A1333" s="5" t="n">
        <v>40302</v>
      </c>
      <c r="B1333" s="6" t="s">
        <v>162</v>
      </c>
      <c r="C1333" s="6" t="s">
        <v>165</v>
      </c>
      <c r="D1333" s="0" t="n">
        <v>237.395478456163</v>
      </c>
      <c r="E1333" s="0" t="n">
        <v>4.656666667</v>
      </c>
      <c r="F1333" s="0" t="n">
        <v>0</v>
      </c>
      <c r="G1333" s="0" t="n">
        <v>0</v>
      </c>
      <c r="H1333" s="0" t="n">
        <v>0</v>
      </c>
      <c r="I1333" s="0" t="n">
        <v>0</v>
      </c>
      <c r="J1333" s="0" t="n">
        <v>0</v>
      </c>
      <c r="K1333" s="0" t="n">
        <v>1</v>
      </c>
      <c r="L1333" s="0" t="n">
        <v>3</v>
      </c>
    </row>
    <row r="1334" customFormat="false" ht="15" hidden="false" customHeight="false" outlineLevel="0" collapsed="false">
      <c r="A1334" s="5" t="n">
        <v>40309</v>
      </c>
      <c r="B1334" s="6" t="s">
        <v>162</v>
      </c>
      <c r="C1334" s="6" t="s">
        <v>165</v>
      </c>
      <c r="D1334" s="0" t="n">
        <v>127.587485981619</v>
      </c>
      <c r="E1334" s="0" t="n">
        <v>4.656666667</v>
      </c>
      <c r="F1334" s="0" t="n">
        <v>0</v>
      </c>
      <c r="G1334" s="0" t="n">
        <v>0</v>
      </c>
      <c r="H1334" s="0" t="n">
        <v>0</v>
      </c>
      <c r="I1334" s="0" t="n">
        <v>0</v>
      </c>
      <c r="J1334" s="0" t="n">
        <v>0</v>
      </c>
      <c r="K1334" s="0" t="n">
        <v>1</v>
      </c>
      <c r="L1334" s="0" t="n">
        <v>3</v>
      </c>
    </row>
    <row r="1335" customFormat="false" ht="15" hidden="false" customHeight="false" outlineLevel="0" collapsed="false">
      <c r="A1335" s="5" t="n">
        <v>40316</v>
      </c>
      <c r="B1335" s="6" t="s">
        <v>162</v>
      </c>
      <c r="C1335" s="6" t="s">
        <v>165</v>
      </c>
      <c r="D1335" s="0" t="n">
        <v>225.129055894358</v>
      </c>
      <c r="E1335" s="0" t="n">
        <v>4.073333333</v>
      </c>
      <c r="F1335" s="0" t="n">
        <v>0</v>
      </c>
      <c r="G1335" s="0" t="n">
        <v>0</v>
      </c>
      <c r="H1335" s="0" t="n">
        <v>0</v>
      </c>
      <c r="I1335" s="0" t="n">
        <v>0</v>
      </c>
      <c r="J1335" s="0" t="n">
        <v>0</v>
      </c>
      <c r="K1335" s="0" t="n">
        <v>1</v>
      </c>
      <c r="L1335" s="0" t="n">
        <v>3</v>
      </c>
    </row>
    <row r="1336" customFormat="false" ht="15" hidden="false" customHeight="false" outlineLevel="0" collapsed="false">
      <c r="A1336" s="5" t="n">
        <v>40323</v>
      </c>
      <c r="B1336" s="6" t="s">
        <v>162</v>
      </c>
      <c r="C1336" s="6" t="s">
        <v>165</v>
      </c>
      <c r="D1336" s="0" t="n">
        <v>180.175318166903</v>
      </c>
      <c r="E1336" s="0" t="n">
        <v>4.073333333</v>
      </c>
      <c r="F1336" s="0" t="n">
        <v>0</v>
      </c>
      <c r="G1336" s="0" t="n">
        <v>0</v>
      </c>
      <c r="H1336" s="0" t="n">
        <v>0</v>
      </c>
      <c r="I1336" s="0" t="n">
        <v>0</v>
      </c>
      <c r="J1336" s="0" t="n">
        <v>0</v>
      </c>
      <c r="K1336" s="0" t="n">
        <v>1</v>
      </c>
      <c r="L1336" s="0" t="n">
        <v>3</v>
      </c>
    </row>
    <row r="1337" customFormat="false" ht="15" hidden="false" customHeight="false" outlineLevel="0" collapsed="false">
      <c r="A1337" s="5" t="n">
        <v>40330</v>
      </c>
      <c r="B1337" s="6" t="s">
        <v>162</v>
      </c>
      <c r="C1337" s="6" t="s">
        <v>165</v>
      </c>
      <c r="D1337" s="0" t="n">
        <v>243.546379237422</v>
      </c>
      <c r="E1337" s="0" t="n">
        <v>3.99</v>
      </c>
      <c r="F1337" s="0" t="n">
        <v>0</v>
      </c>
      <c r="G1337" s="0" t="n">
        <v>0</v>
      </c>
      <c r="H1337" s="0" t="n">
        <v>0</v>
      </c>
      <c r="I1337" s="0" t="n">
        <v>0</v>
      </c>
      <c r="J1337" s="0" t="n">
        <v>0</v>
      </c>
      <c r="K1337" s="0" t="n">
        <v>1</v>
      </c>
      <c r="L1337" s="0" t="n">
        <v>3</v>
      </c>
    </row>
    <row r="1338" customFormat="false" ht="15" hidden="false" customHeight="false" outlineLevel="0" collapsed="false">
      <c r="A1338" s="5" t="n">
        <v>40337</v>
      </c>
      <c r="B1338" s="6" t="s">
        <v>162</v>
      </c>
      <c r="C1338" s="6" t="s">
        <v>165</v>
      </c>
      <c r="D1338" s="0" t="n">
        <v>237.604479213041</v>
      </c>
      <c r="E1338" s="0" t="n">
        <v>4.561428571</v>
      </c>
      <c r="F1338" s="0" t="n">
        <v>0</v>
      </c>
      <c r="G1338" s="0" t="n">
        <v>0</v>
      </c>
      <c r="H1338" s="0" t="n">
        <v>0</v>
      </c>
      <c r="I1338" s="0" t="n">
        <v>0</v>
      </c>
      <c r="J1338" s="0" t="n">
        <v>0</v>
      </c>
      <c r="K1338" s="0" t="n">
        <v>1</v>
      </c>
      <c r="L1338" s="0" t="n">
        <v>3</v>
      </c>
    </row>
    <row r="1339" customFormat="false" ht="15" hidden="false" customHeight="false" outlineLevel="0" collapsed="false">
      <c r="A1339" s="5" t="n">
        <v>40344</v>
      </c>
      <c r="B1339" s="6" t="s">
        <v>162</v>
      </c>
      <c r="C1339" s="6" t="s">
        <v>165</v>
      </c>
      <c r="D1339" s="0" t="n">
        <v>191.123722603828</v>
      </c>
      <c r="E1339" s="0" t="n">
        <v>3.99</v>
      </c>
      <c r="F1339" s="0" t="n">
        <v>0</v>
      </c>
      <c r="G1339" s="0" t="n">
        <v>0</v>
      </c>
      <c r="H1339" s="0" t="n">
        <v>0</v>
      </c>
      <c r="I1339" s="0" t="n">
        <v>0</v>
      </c>
      <c r="J1339" s="0" t="n">
        <v>0</v>
      </c>
      <c r="K1339" s="0" t="n">
        <v>1</v>
      </c>
      <c r="L1339" s="0" t="n">
        <v>3</v>
      </c>
    </row>
    <row r="1340" customFormat="false" ht="15" hidden="false" customHeight="false" outlineLevel="0" collapsed="false">
      <c r="A1340" s="5" t="n">
        <v>40351</v>
      </c>
      <c r="B1340" s="6" t="s">
        <v>162</v>
      </c>
      <c r="C1340" s="6" t="s">
        <v>165</v>
      </c>
      <c r="D1340" s="0" t="n">
        <v>254.320435457141</v>
      </c>
      <c r="E1340" s="0" t="n">
        <v>3.99</v>
      </c>
      <c r="F1340" s="0" t="n">
        <v>0</v>
      </c>
      <c r="G1340" s="0" t="n">
        <v>0</v>
      </c>
      <c r="H1340" s="0" t="n">
        <v>0</v>
      </c>
      <c r="I1340" s="0" t="n">
        <v>0</v>
      </c>
      <c r="J1340" s="0" t="n">
        <v>0</v>
      </c>
      <c r="K1340" s="0" t="n">
        <v>1</v>
      </c>
      <c r="L1340" s="0" t="n">
        <v>3</v>
      </c>
    </row>
    <row r="1341" customFormat="false" ht="15" hidden="false" customHeight="false" outlineLevel="0" collapsed="false">
      <c r="A1341" s="5" t="n">
        <v>40358</v>
      </c>
      <c r="B1341" s="6" t="s">
        <v>162</v>
      </c>
      <c r="C1341" s="6" t="s">
        <v>165</v>
      </c>
      <c r="D1341" s="0" t="n">
        <v>217.857367180976</v>
      </c>
      <c r="E1341" s="0" t="n">
        <v>3.99</v>
      </c>
      <c r="F1341" s="0" t="n">
        <v>0</v>
      </c>
      <c r="G1341" s="0" t="n">
        <v>0</v>
      </c>
      <c r="H1341" s="0" t="n">
        <v>0</v>
      </c>
      <c r="I1341" s="0" t="n">
        <v>0</v>
      </c>
      <c r="J1341" s="0" t="n">
        <v>0</v>
      </c>
      <c r="K1341" s="0" t="n">
        <v>1</v>
      </c>
      <c r="L1341" s="0" t="n">
        <v>3</v>
      </c>
    </row>
    <row r="1342" customFormat="false" ht="15" hidden="false" customHeight="false" outlineLevel="0" collapsed="false">
      <c r="A1342" s="5" t="n">
        <v>40365</v>
      </c>
      <c r="B1342" s="6" t="s">
        <v>162</v>
      </c>
      <c r="C1342" s="6" t="s">
        <v>165</v>
      </c>
      <c r="D1342" s="0" t="n">
        <v>200.951267724137</v>
      </c>
      <c r="E1342" s="0" t="n">
        <v>4.39</v>
      </c>
      <c r="F1342" s="0" t="n">
        <v>0</v>
      </c>
      <c r="G1342" s="0" t="n">
        <v>0</v>
      </c>
      <c r="H1342" s="0" t="n">
        <v>0</v>
      </c>
      <c r="I1342" s="0" t="n">
        <v>0</v>
      </c>
      <c r="J1342" s="0" t="n">
        <v>0</v>
      </c>
      <c r="K1342" s="0" t="n">
        <v>1</v>
      </c>
      <c r="L1342" s="0" t="n">
        <v>3</v>
      </c>
    </row>
    <row r="1343" customFormat="false" ht="15" hidden="false" customHeight="false" outlineLevel="0" collapsed="false">
      <c r="A1343" s="5" t="n">
        <v>40372</v>
      </c>
      <c r="B1343" s="6" t="s">
        <v>162</v>
      </c>
      <c r="C1343" s="6" t="s">
        <v>165</v>
      </c>
      <c r="D1343" s="0" t="n">
        <v>120.850520450594</v>
      </c>
      <c r="E1343" s="0" t="n">
        <v>4.39</v>
      </c>
      <c r="F1343" s="0" t="n">
        <v>0</v>
      </c>
      <c r="G1343" s="0" t="n">
        <v>0</v>
      </c>
      <c r="H1343" s="0" t="n">
        <v>0</v>
      </c>
      <c r="I1343" s="0" t="n">
        <v>0</v>
      </c>
      <c r="J1343" s="0" t="n">
        <v>0</v>
      </c>
      <c r="K1343" s="0" t="n">
        <v>1</v>
      </c>
      <c r="L1343" s="0" t="n">
        <v>3</v>
      </c>
    </row>
    <row r="1344" customFormat="false" ht="15" hidden="false" customHeight="false" outlineLevel="0" collapsed="false">
      <c r="A1344" s="5" t="n">
        <v>40302</v>
      </c>
      <c r="B1344" s="6" t="s">
        <v>162</v>
      </c>
      <c r="C1344" s="6" t="s">
        <v>166</v>
      </c>
      <c r="D1344" s="0" t="n">
        <v>273.493827005974</v>
      </c>
      <c r="E1344" s="0" t="n">
        <v>4.39</v>
      </c>
      <c r="F1344" s="0" t="n">
        <v>0</v>
      </c>
      <c r="G1344" s="0" t="n">
        <v>0</v>
      </c>
      <c r="H1344" s="0" t="n">
        <v>0</v>
      </c>
      <c r="I1344" s="0" t="n">
        <v>0</v>
      </c>
      <c r="J1344" s="0" t="n">
        <v>0</v>
      </c>
      <c r="K1344" s="0" t="n">
        <v>0</v>
      </c>
      <c r="L1344" s="0" t="n">
        <v>5</v>
      </c>
    </row>
    <row r="1345" customFormat="false" ht="15" hidden="false" customHeight="false" outlineLevel="0" collapsed="false">
      <c r="A1345" s="5" t="n">
        <v>40309</v>
      </c>
      <c r="B1345" s="6" t="s">
        <v>162</v>
      </c>
      <c r="C1345" s="6" t="s">
        <v>166</v>
      </c>
      <c r="D1345" s="0" t="n">
        <v>92.0885807051829</v>
      </c>
      <c r="E1345" s="0" t="n">
        <v>4.39</v>
      </c>
      <c r="F1345" s="0" t="n">
        <v>0</v>
      </c>
      <c r="G1345" s="0" t="n">
        <v>0</v>
      </c>
      <c r="H1345" s="0" t="n">
        <v>0</v>
      </c>
      <c r="I1345" s="0" t="n">
        <v>0</v>
      </c>
      <c r="J1345" s="0" t="n">
        <v>0</v>
      </c>
      <c r="K1345" s="0" t="n">
        <v>0</v>
      </c>
      <c r="L1345" s="0" t="n">
        <v>5</v>
      </c>
    </row>
    <row r="1346" customFormat="false" ht="15" hidden="false" customHeight="false" outlineLevel="0" collapsed="false">
      <c r="A1346" s="5" t="n">
        <v>40316</v>
      </c>
      <c r="B1346" s="6" t="s">
        <v>162</v>
      </c>
      <c r="C1346" s="6" t="s">
        <v>166</v>
      </c>
      <c r="D1346" s="0" t="n">
        <v>213.750887751843</v>
      </c>
      <c r="E1346" s="0" t="n">
        <v>3.84</v>
      </c>
      <c r="F1346" s="0" t="n">
        <v>0</v>
      </c>
      <c r="G1346" s="0" t="n">
        <v>0</v>
      </c>
      <c r="H1346" s="0" t="n">
        <v>0</v>
      </c>
      <c r="I1346" s="0" t="n">
        <v>0</v>
      </c>
      <c r="J1346" s="0" t="n">
        <v>0</v>
      </c>
      <c r="K1346" s="0" t="n">
        <v>0</v>
      </c>
      <c r="L1346" s="0" t="n">
        <v>5</v>
      </c>
    </row>
    <row r="1347" customFormat="false" ht="15" hidden="false" customHeight="false" outlineLevel="0" collapsed="false">
      <c r="A1347" s="5" t="n">
        <v>40323</v>
      </c>
      <c r="B1347" s="6" t="s">
        <v>162</v>
      </c>
      <c r="C1347" s="6" t="s">
        <v>166</v>
      </c>
      <c r="D1347" s="0" t="n">
        <v>132.543487853759</v>
      </c>
      <c r="E1347" s="0" t="n">
        <v>3.84</v>
      </c>
      <c r="F1347" s="0" t="n">
        <v>0</v>
      </c>
      <c r="G1347" s="0" t="n">
        <v>0</v>
      </c>
      <c r="H1347" s="0" t="n">
        <v>0</v>
      </c>
      <c r="I1347" s="0" t="n">
        <v>0</v>
      </c>
      <c r="J1347" s="0" t="n">
        <v>0</v>
      </c>
      <c r="K1347" s="0" t="n">
        <v>0</v>
      </c>
      <c r="L1347" s="0" t="n">
        <v>5</v>
      </c>
    </row>
    <row r="1348" customFormat="false" ht="15" hidden="false" customHeight="false" outlineLevel="0" collapsed="false">
      <c r="A1348" s="5" t="n">
        <v>40330</v>
      </c>
      <c r="B1348" s="6" t="s">
        <v>162</v>
      </c>
      <c r="C1348" s="6" t="s">
        <v>166</v>
      </c>
      <c r="D1348" s="0" t="n">
        <v>218.026278037295</v>
      </c>
      <c r="E1348" s="0" t="n">
        <v>3.944545455</v>
      </c>
      <c r="F1348" s="0" t="n">
        <v>0</v>
      </c>
      <c r="G1348" s="0" t="n">
        <v>0</v>
      </c>
      <c r="H1348" s="0" t="n">
        <v>0</v>
      </c>
      <c r="I1348" s="0" t="n">
        <v>0</v>
      </c>
      <c r="J1348" s="0" t="n">
        <v>0</v>
      </c>
      <c r="K1348" s="0" t="n">
        <v>0</v>
      </c>
      <c r="L1348" s="0" t="n">
        <v>5</v>
      </c>
    </row>
    <row r="1349" customFormat="false" ht="15" hidden="false" customHeight="false" outlineLevel="0" collapsed="false">
      <c r="A1349" s="5" t="n">
        <v>40337</v>
      </c>
      <c r="B1349" s="6" t="s">
        <v>162</v>
      </c>
      <c r="C1349" s="6" t="s">
        <v>166</v>
      </c>
      <c r="D1349" s="0" t="n">
        <v>227.033600200477</v>
      </c>
      <c r="E1349" s="0" t="n">
        <v>4.717272727</v>
      </c>
      <c r="F1349" s="0" t="n">
        <v>0</v>
      </c>
      <c r="G1349" s="0" t="n">
        <v>0</v>
      </c>
      <c r="H1349" s="0" t="n">
        <v>0</v>
      </c>
      <c r="I1349" s="0" t="n">
        <v>0</v>
      </c>
      <c r="J1349" s="0" t="n">
        <v>0</v>
      </c>
      <c r="K1349" s="0" t="n">
        <v>0</v>
      </c>
      <c r="L1349" s="0" t="n">
        <v>5</v>
      </c>
    </row>
    <row r="1350" customFormat="false" ht="15" hidden="false" customHeight="false" outlineLevel="0" collapsed="false">
      <c r="A1350" s="5" t="n">
        <v>40344</v>
      </c>
      <c r="B1350" s="6" t="s">
        <v>162</v>
      </c>
      <c r="C1350" s="6" t="s">
        <v>166</v>
      </c>
      <c r="D1350" s="0" t="n">
        <v>85.5142496717893</v>
      </c>
      <c r="E1350" s="0" t="n">
        <v>4.717272727</v>
      </c>
      <c r="F1350" s="0" t="n">
        <v>0</v>
      </c>
      <c r="G1350" s="0" t="n">
        <v>0</v>
      </c>
      <c r="H1350" s="0" t="n">
        <v>0</v>
      </c>
      <c r="I1350" s="0" t="n">
        <v>0</v>
      </c>
      <c r="J1350" s="0" t="n">
        <v>0</v>
      </c>
      <c r="K1350" s="0" t="n">
        <v>0</v>
      </c>
      <c r="L1350" s="0" t="n">
        <v>5</v>
      </c>
    </row>
    <row r="1351" customFormat="false" ht="15" hidden="false" customHeight="false" outlineLevel="0" collapsed="false">
      <c r="A1351" s="5" t="n">
        <v>40351</v>
      </c>
      <c r="B1351" s="6" t="s">
        <v>162</v>
      </c>
      <c r="C1351" s="6" t="s">
        <v>166</v>
      </c>
      <c r="D1351" s="0" t="n">
        <v>126.255841282436</v>
      </c>
      <c r="E1351" s="0" t="n">
        <v>4.717272727</v>
      </c>
      <c r="F1351" s="0" t="n">
        <v>0</v>
      </c>
      <c r="G1351" s="0" t="n">
        <v>0</v>
      </c>
      <c r="H1351" s="0" t="n">
        <v>0</v>
      </c>
      <c r="I1351" s="0" t="n">
        <v>0</v>
      </c>
      <c r="J1351" s="0" t="n">
        <v>0</v>
      </c>
      <c r="K1351" s="0" t="n">
        <v>0</v>
      </c>
      <c r="L1351" s="0" t="n">
        <v>5</v>
      </c>
    </row>
    <row r="1352" customFormat="false" ht="15" hidden="false" customHeight="false" outlineLevel="0" collapsed="false">
      <c r="A1352" s="5" t="n">
        <v>40358</v>
      </c>
      <c r="B1352" s="6" t="s">
        <v>162</v>
      </c>
      <c r="C1352" s="6" t="s">
        <v>166</v>
      </c>
      <c r="D1352" s="0" t="n">
        <v>201.418659960046</v>
      </c>
      <c r="E1352" s="0" t="n">
        <v>4.717272727</v>
      </c>
      <c r="F1352" s="0" t="n">
        <v>0</v>
      </c>
      <c r="G1352" s="0" t="n">
        <v>0</v>
      </c>
      <c r="H1352" s="0" t="n">
        <v>0</v>
      </c>
      <c r="I1352" s="0" t="n">
        <v>0</v>
      </c>
      <c r="J1352" s="0" t="n">
        <v>0</v>
      </c>
      <c r="K1352" s="0" t="n">
        <v>0</v>
      </c>
      <c r="L1352" s="0" t="n">
        <v>5</v>
      </c>
    </row>
    <row r="1353" customFormat="false" ht="15" hidden="false" customHeight="false" outlineLevel="0" collapsed="false">
      <c r="A1353" s="5" t="n">
        <v>40365</v>
      </c>
      <c r="B1353" s="6" t="s">
        <v>162</v>
      </c>
      <c r="C1353" s="6" t="s">
        <v>166</v>
      </c>
      <c r="D1353" s="0" t="n">
        <v>108.883872937452</v>
      </c>
      <c r="E1353" s="0" t="n">
        <v>4.535454545</v>
      </c>
      <c r="F1353" s="0" t="n">
        <v>0</v>
      </c>
      <c r="G1353" s="0" t="n">
        <v>0</v>
      </c>
      <c r="H1353" s="0" t="n">
        <v>0</v>
      </c>
      <c r="I1353" s="0" t="n">
        <v>0</v>
      </c>
      <c r="J1353" s="0" t="n">
        <v>0</v>
      </c>
      <c r="K1353" s="0" t="n">
        <v>0</v>
      </c>
      <c r="L1353" s="0" t="n">
        <v>5</v>
      </c>
    </row>
    <row r="1354" customFormat="false" ht="15" hidden="false" customHeight="false" outlineLevel="0" collapsed="false">
      <c r="A1354" s="5" t="n">
        <v>40372</v>
      </c>
      <c r="B1354" s="6" t="s">
        <v>162</v>
      </c>
      <c r="C1354" s="6" t="s">
        <v>166</v>
      </c>
      <c r="D1354" s="0" t="n">
        <v>206.904629142428</v>
      </c>
      <c r="E1354" s="0" t="n">
        <v>4.535454545</v>
      </c>
      <c r="F1354" s="0" t="n">
        <v>0</v>
      </c>
      <c r="G1354" s="0" t="n">
        <v>0</v>
      </c>
      <c r="H1354" s="0" t="n">
        <v>0</v>
      </c>
      <c r="I1354" s="0" t="n">
        <v>0</v>
      </c>
      <c r="J1354" s="0" t="n">
        <v>0</v>
      </c>
      <c r="K1354" s="0" t="n">
        <v>0</v>
      </c>
      <c r="L1354" s="0" t="n">
        <v>5</v>
      </c>
    </row>
    <row r="1355" customFormat="false" ht="15" hidden="false" customHeight="false" outlineLevel="0" collapsed="false">
      <c r="A1355" s="5" t="n">
        <v>40302</v>
      </c>
      <c r="B1355" s="6" t="s">
        <v>162</v>
      </c>
      <c r="C1355" s="6" t="s">
        <v>167</v>
      </c>
      <c r="D1355" s="0" t="n">
        <v>131.669753014369</v>
      </c>
      <c r="E1355" s="0" t="n">
        <v>3.99</v>
      </c>
      <c r="F1355" s="0" t="n">
        <v>0</v>
      </c>
      <c r="G1355" s="0" t="n">
        <v>0</v>
      </c>
      <c r="H1355" s="0" t="n">
        <v>0</v>
      </c>
      <c r="I1355" s="0" t="n">
        <v>0</v>
      </c>
      <c r="J1355" s="0" t="n">
        <v>0</v>
      </c>
      <c r="K1355" s="0" t="n">
        <v>2</v>
      </c>
      <c r="L1355" s="0" t="n">
        <v>1</v>
      </c>
    </row>
    <row r="1356" customFormat="false" ht="15" hidden="false" customHeight="false" outlineLevel="0" collapsed="false">
      <c r="A1356" s="5" t="n">
        <v>40309</v>
      </c>
      <c r="B1356" s="6" t="s">
        <v>162</v>
      </c>
      <c r="C1356" s="6" t="s">
        <v>167</v>
      </c>
      <c r="D1356" s="0" t="n">
        <v>140.282133017038</v>
      </c>
      <c r="E1356" s="0" t="n">
        <v>3.99</v>
      </c>
      <c r="F1356" s="0" t="n">
        <v>0</v>
      </c>
      <c r="G1356" s="0" t="n">
        <v>0</v>
      </c>
      <c r="H1356" s="0" t="n">
        <v>0</v>
      </c>
      <c r="I1356" s="0" t="n">
        <v>0</v>
      </c>
      <c r="J1356" s="0" t="n">
        <v>0</v>
      </c>
      <c r="K1356" s="0" t="n">
        <v>2</v>
      </c>
      <c r="L1356" s="0" t="n">
        <v>1</v>
      </c>
    </row>
    <row r="1357" customFormat="false" ht="15" hidden="false" customHeight="false" outlineLevel="0" collapsed="false">
      <c r="A1357" s="5" t="n">
        <v>40316</v>
      </c>
      <c r="B1357" s="6" t="s">
        <v>162</v>
      </c>
      <c r="C1357" s="6" t="s">
        <v>167</v>
      </c>
      <c r="D1357" s="0" t="n">
        <v>187.402700002377</v>
      </c>
      <c r="E1357" s="0" t="n">
        <v>3.74</v>
      </c>
      <c r="F1357" s="0" t="n">
        <v>0</v>
      </c>
      <c r="G1357" s="0" t="n">
        <v>0</v>
      </c>
      <c r="H1357" s="0" t="n">
        <v>0</v>
      </c>
      <c r="I1357" s="0" t="n">
        <v>0</v>
      </c>
      <c r="J1357" s="0" t="n">
        <v>0</v>
      </c>
      <c r="K1357" s="0" t="n">
        <v>2</v>
      </c>
      <c r="L1357" s="0" t="n">
        <v>1</v>
      </c>
    </row>
    <row r="1358" customFormat="false" ht="15" hidden="false" customHeight="false" outlineLevel="0" collapsed="false">
      <c r="A1358" s="5" t="n">
        <v>40323</v>
      </c>
      <c r="B1358" s="6" t="s">
        <v>162</v>
      </c>
      <c r="C1358" s="6" t="s">
        <v>167</v>
      </c>
      <c r="D1358" s="0" t="n">
        <v>190.10765770326</v>
      </c>
      <c r="E1358" s="0" t="n">
        <v>3.74</v>
      </c>
      <c r="F1358" s="0" t="n">
        <v>0</v>
      </c>
      <c r="G1358" s="0" t="n">
        <v>0</v>
      </c>
      <c r="H1358" s="0" t="n">
        <v>0</v>
      </c>
      <c r="I1358" s="0" t="n">
        <v>0</v>
      </c>
      <c r="J1358" s="0" t="n">
        <v>0</v>
      </c>
      <c r="K1358" s="0" t="n">
        <v>2</v>
      </c>
      <c r="L1358" s="0" t="n">
        <v>1</v>
      </c>
    </row>
    <row r="1359" customFormat="false" ht="15" hidden="false" customHeight="false" outlineLevel="0" collapsed="false">
      <c r="A1359" s="5" t="n">
        <v>40330</v>
      </c>
      <c r="B1359" s="6" t="s">
        <v>162</v>
      </c>
      <c r="C1359" s="6" t="s">
        <v>167</v>
      </c>
      <c r="D1359" s="0" t="n">
        <v>148.669094765205</v>
      </c>
      <c r="E1359" s="0" t="n">
        <v>3.74</v>
      </c>
      <c r="F1359" s="0" t="n">
        <v>0</v>
      </c>
      <c r="G1359" s="0" t="n">
        <v>0</v>
      </c>
      <c r="H1359" s="0" t="n">
        <v>0</v>
      </c>
      <c r="I1359" s="0" t="n">
        <v>0</v>
      </c>
      <c r="J1359" s="0" t="n">
        <v>0</v>
      </c>
      <c r="K1359" s="0" t="n">
        <v>2</v>
      </c>
      <c r="L1359" s="0" t="n">
        <v>1</v>
      </c>
    </row>
    <row r="1360" customFormat="false" ht="15" hidden="false" customHeight="false" outlineLevel="0" collapsed="false">
      <c r="A1360" s="5" t="n">
        <v>40337</v>
      </c>
      <c r="B1360" s="6" t="s">
        <v>162</v>
      </c>
      <c r="C1360" s="6" t="s">
        <v>167</v>
      </c>
      <c r="D1360" s="0" t="n">
        <v>174.013891941406</v>
      </c>
      <c r="E1360" s="0" t="n">
        <v>4.434444444</v>
      </c>
      <c r="F1360" s="0" t="n">
        <v>0</v>
      </c>
      <c r="G1360" s="0" t="n">
        <v>0</v>
      </c>
      <c r="H1360" s="0" t="n">
        <v>0</v>
      </c>
      <c r="I1360" s="0" t="n">
        <v>0</v>
      </c>
      <c r="J1360" s="0" t="n">
        <v>0</v>
      </c>
      <c r="K1360" s="0" t="n">
        <v>2</v>
      </c>
      <c r="L1360" s="0" t="n">
        <v>1</v>
      </c>
    </row>
    <row r="1361" customFormat="false" ht="15" hidden="false" customHeight="false" outlineLevel="0" collapsed="false">
      <c r="A1361" s="5" t="n">
        <v>40344</v>
      </c>
      <c r="B1361" s="6" t="s">
        <v>162</v>
      </c>
      <c r="C1361" s="6" t="s">
        <v>167</v>
      </c>
      <c r="D1361" s="0" t="n">
        <v>230.167809402856</v>
      </c>
      <c r="E1361" s="0" t="n">
        <v>3.99</v>
      </c>
      <c r="F1361" s="0" t="n">
        <v>0</v>
      </c>
      <c r="G1361" s="0" t="n">
        <v>0</v>
      </c>
      <c r="H1361" s="0" t="n">
        <v>0</v>
      </c>
      <c r="I1361" s="0" t="n">
        <v>0</v>
      </c>
      <c r="J1361" s="0" t="n">
        <v>0</v>
      </c>
      <c r="K1361" s="0" t="n">
        <v>2</v>
      </c>
      <c r="L1361" s="0" t="n">
        <v>1</v>
      </c>
    </row>
    <row r="1362" customFormat="false" ht="15" hidden="false" customHeight="false" outlineLevel="0" collapsed="false">
      <c r="A1362" s="5" t="n">
        <v>40351</v>
      </c>
      <c r="B1362" s="6" t="s">
        <v>162</v>
      </c>
      <c r="C1362" s="6" t="s">
        <v>167</v>
      </c>
      <c r="D1362" s="0" t="n">
        <v>103.596697934323</v>
      </c>
      <c r="E1362" s="0" t="n">
        <v>3.99</v>
      </c>
      <c r="F1362" s="0" t="n">
        <v>0</v>
      </c>
      <c r="G1362" s="0" t="n">
        <v>0</v>
      </c>
      <c r="H1362" s="0" t="n">
        <v>0</v>
      </c>
      <c r="I1362" s="0" t="n">
        <v>0</v>
      </c>
      <c r="J1362" s="0" t="n">
        <v>0</v>
      </c>
      <c r="K1362" s="0" t="n">
        <v>2</v>
      </c>
      <c r="L1362" s="0" t="n">
        <v>1</v>
      </c>
    </row>
    <row r="1363" customFormat="false" ht="15" hidden="false" customHeight="false" outlineLevel="0" collapsed="false">
      <c r="A1363" s="5" t="n">
        <v>40358</v>
      </c>
      <c r="B1363" s="6" t="s">
        <v>162</v>
      </c>
      <c r="C1363" s="6" t="s">
        <v>167</v>
      </c>
      <c r="D1363" s="0" t="n">
        <v>181.251275646666</v>
      </c>
      <c r="E1363" s="0" t="n">
        <v>3.99</v>
      </c>
      <c r="F1363" s="0" t="n">
        <v>0</v>
      </c>
      <c r="G1363" s="0" t="n">
        <v>0</v>
      </c>
      <c r="H1363" s="0" t="n">
        <v>0</v>
      </c>
      <c r="I1363" s="0" t="n">
        <v>0</v>
      </c>
      <c r="J1363" s="0" t="n">
        <v>0</v>
      </c>
      <c r="K1363" s="0" t="n">
        <v>2</v>
      </c>
      <c r="L1363" s="0" t="n">
        <v>1</v>
      </c>
    </row>
    <row r="1364" customFormat="false" ht="15" hidden="false" customHeight="false" outlineLevel="0" collapsed="false">
      <c r="A1364" s="5" t="n">
        <v>40365</v>
      </c>
      <c r="B1364" s="6" t="s">
        <v>162</v>
      </c>
      <c r="C1364" s="6" t="s">
        <v>167</v>
      </c>
      <c r="D1364" s="0" t="n">
        <v>134.425826764566</v>
      </c>
      <c r="E1364" s="0" t="n">
        <v>4.59</v>
      </c>
      <c r="F1364" s="0" t="n">
        <v>0</v>
      </c>
      <c r="G1364" s="0" t="n">
        <v>0</v>
      </c>
      <c r="H1364" s="0" t="n">
        <v>0</v>
      </c>
      <c r="I1364" s="0" t="n">
        <v>0</v>
      </c>
      <c r="J1364" s="0" t="n">
        <v>0</v>
      </c>
      <c r="K1364" s="0" t="n">
        <v>2</v>
      </c>
      <c r="L1364" s="0" t="n">
        <v>1</v>
      </c>
    </row>
    <row r="1365" customFormat="false" ht="15" hidden="false" customHeight="false" outlineLevel="0" collapsed="false">
      <c r="A1365" s="5" t="n">
        <v>40372</v>
      </c>
      <c r="B1365" s="6" t="s">
        <v>162</v>
      </c>
      <c r="C1365" s="6" t="s">
        <v>167</v>
      </c>
      <c r="D1365" s="0" t="n">
        <v>143.392060599618</v>
      </c>
      <c r="E1365" s="0" t="n">
        <v>4.59</v>
      </c>
      <c r="F1365" s="0" t="n">
        <v>0</v>
      </c>
      <c r="G1365" s="0" t="n">
        <v>0</v>
      </c>
      <c r="H1365" s="0" t="n">
        <v>0</v>
      </c>
      <c r="I1365" s="0" t="n">
        <v>0</v>
      </c>
      <c r="J1365" s="0" t="n">
        <v>0</v>
      </c>
      <c r="K1365" s="0" t="n">
        <v>2</v>
      </c>
      <c r="L1365" s="0" t="n">
        <v>1</v>
      </c>
    </row>
    <row r="1366" customFormat="false" ht="15" hidden="false" customHeight="false" outlineLevel="0" collapsed="false">
      <c r="A1366" s="5" t="n">
        <v>40302</v>
      </c>
      <c r="B1366" s="6" t="s">
        <v>162</v>
      </c>
      <c r="C1366" s="6" t="s">
        <v>168</v>
      </c>
      <c r="D1366" s="0" t="n">
        <v>136.50867259413</v>
      </c>
      <c r="E1366" s="0" t="n">
        <v>3.99</v>
      </c>
      <c r="F1366" s="0" t="n">
        <v>0</v>
      </c>
      <c r="G1366" s="0" t="n">
        <v>0</v>
      </c>
      <c r="H1366" s="0" t="n">
        <v>0</v>
      </c>
      <c r="I1366" s="0" t="n">
        <v>0</v>
      </c>
      <c r="J1366" s="0" t="n">
        <v>0</v>
      </c>
      <c r="K1366" s="0" t="n">
        <v>1</v>
      </c>
      <c r="L1366" s="0" t="n">
        <v>1</v>
      </c>
    </row>
    <row r="1367" customFormat="false" ht="15" hidden="false" customHeight="false" outlineLevel="0" collapsed="false">
      <c r="A1367" s="5" t="n">
        <v>40309</v>
      </c>
      <c r="B1367" s="6" t="s">
        <v>162</v>
      </c>
      <c r="C1367" s="6" t="s">
        <v>168</v>
      </c>
      <c r="D1367" s="0" t="n">
        <v>221.581734224507</v>
      </c>
      <c r="E1367" s="0" t="n">
        <v>3.99</v>
      </c>
      <c r="F1367" s="0" t="n">
        <v>0</v>
      </c>
      <c r="G1367" s="0" t="n">
        <v>0</v>
      </c>
      <c r="H1367" s="0" t="n">
        <v>0</v>
      </c>
      <c r="I1367" s="0" t="n">
        <v>0</v>
      </c>
      <c r="J1367" s="0" t="n">
        <v>0</v>
      </c>
      <c r="K1367" s="0" t="n">
        <v>1</v>
      </c>
      <c r="L1367" s="0" t="n">
        <v>1</v>
      </c>
    </row>
    <row r="1368" customFormat="false" ht="15" hidden="false" customHeight="false" outlineLevel="0" collapsed="false">
      <c r="A1368" s="5" t="n">
        <v>40316</v>
      </c>
      <c r="B1368" s="6" t="s">
        <v>162</v>
      </c>
      <c r="C1368" s="6" t="s">
        <v>168</v>
      </c>
      <c r="D1368" s="0" t="n">
        <v>231.251451561304</v>
      </c>
      <c r="E1368" s="0" t="n">
        <v>3.775714286</v>
      </c>
      <c r="F1368" s="0" t="n">
        <v>0</v>
      </c>
      <c r="G1368" s="0" t="n">
        <v>0</v>
      </c>
      <c r="H1368" s="0" t="n">
        <v>0</v>
      </c>
      <c r="I1368" s="0" t="n">
        <v>0</v>
      </c>
      <c r="J1368" s="0" t="n">
        <v>0</v>
      </c>
      <c r="K1368" s="0" t="n">
        <v>1</v>
      </c>
      <c r="L1368" s="0" t="n">
        <v>1</v>
      </c>
    </row>
    <row r="1369" customFormat="false" ht="15" hidden="false" customHeight="false" outlineLevel="0" collapsed="false">
      <c r="A1369" s="5" t="n">
        <v>40323</v>
      </c>
      <c r="B1369" s="6" t="s">
        <v>162</v>
      </c>
      <c r="C1369" s="6" t="s">
        <v>168</v>
      </c>
      <c r="D1369" s="0" t="n">
        <v>136.011336115198</v>
      </c>
      <c r="E1369" s="0" t="n">
        <v>3.775714286</v>
      </c>
      <c r="F1369" s="0" t="n">
        <v>0</v>
      </c>
      <c r="G1369" s="0" t="n">
        <v>0</v>
      </c>
      <c r="H1369" s="0" t="n">
        <v>0</v>
      </c>
      <c r="I1369" s="0" t="n">
        <v>0</v>
      </c>
      <c r="J1369" s="0" t="n">
        <v>0</v>
      </c>
      <c r="K1369" s="0" t="n">
        <v>1</v>
      </c>
      <c r="L1369" s="0" t="n">
        <v>1</v>
      </c>
    </row>
    <row r="1370" customFormat="false" ht="15" hidden="false" customHeight="false" outlineLevel="0" collapsed="false">
      <c r="A1370" s="5" t="n">
        <v>40330</v>
      </c>
      <c r="B1370" s="6" t="s">
        <v>162</v>
      </c>
      <c r="C1370" s="6" t="s">
        <v>168</v>
      </c>
      <c r="D1370" s="0" t="n">
        <v>213.820018075</v>
      </c>
      <c r="E1370" s="0" t="n">
        <v>3.704285714</v>
      </c>
      <c r="F1370" s="0" t="n">
        <v>0</v>
      </c>
      <c r="G1370" s="0" t="n">
        <v>0</v>
      </c>
      <c r="H1370" s="0" t="n">
        <v>0</v>
      </c>
      <c r="I1370" s="0" t="n">
        <v>0</v>
      </c>
      <c r="J1370" s="0" t="n">
        <v>0</v>
      </c>
      <c r="K1370" s="0" t="n">
        <v>1</v>
      </c>
      <c r="L1370" s="0" t="n">
        <v>1</v>
      </c>
    </row>
    <row r="1371" customFormat="false" ht="15" hidden="false" customHeight="false" outlineLevel="0" collapsed="false">
      <c r="A1371" s="5" t="n">
        <v>40337</v>
      </c>
      <c r="B1371" s="6" t="s">
        <v>162</v>
      </c>
      <c r="C1371" s="6" t="s">
        <v>168</v>
      </c>
      <c r="D1371" s="0" t="n">
        <v>155.718572447858</v>
      </c>
      <c r="E1371" s="0" t="n">
        <v>3.99</v>
      </c>
      <c r="F1371" s="0" t="n">
        <v>0</v>
      </c>
      <c r="G1371" s="0" t="n">
        <v>0</v>
      </c>
      <c r="H1371" s="0" t="n">
        <v>0</v>
      </c>
      <c r="I1371" s="0" t="n">
        <v>0</v>
      </c>
      <c r="J1371" s="0" t="n">
        <v>0</v>
      </c>
      <c r="K1371" s="0" t="n">
        <v>1</v>
      </c>
      <c r="L1371" s="0" t="n">
        <v>1</v>
      </c>
    </row>
    <row r="1372" customFormat="false" ht="15" hidden="false" customHeight="false" outlineLevel="0" collapsed="false">
      <c r="A1372" s="5" t="n">
        <v>40344</v>
      </c>
      <c r="B1372" s="6" t="s">
        <v>162</v>
      </c>
      <c r="C1372" s="6" t="s">
        <v>168</v>
      </c>
      <c r="D1372" s="0" t="n">
        <v>196.578793706513</v>
      </c>
      <c r="E1372" s="0" t="n">
        <v>3.99</v>
      </c>
      <c r="F1372" s="0" t="n">
        <v>0</v>
      </c>
      <c r="G1372" s="0" t="n">
        <v>0</v>
      </c>
      <c r="H1372" s="0" t="n">
        <v>0</v>
      </c>
      <c r="I1372" s="0" t="n">
        <v>0</v>
      </c>
      <c r="J1372" s="0" t="n">
        <v>0</v>
      </c>
      <c r="K1372" s="0" t="n">
        <v>1</v>
      </c>
      <c r="L1372" s="0" t="n">
        <v>1</v>
      </c>
    </row>
    <row r="1373" customFormat="false" ht="15" hidden="false" customHeight="false" outlineLevel="0" collapsed="false">
      <c r="A1373" s="5" t="n">
        <v>40351</v>
      </c>
      <c r="B1373" s="6" t="s">
        <v>162</v>
      </c>
      <c r="C1373" s="6" t="s">
        <v>168</v>
      </c>
      <c r="D1373" s="0" t="n">
        <v>147.894127233224</v>
      </c>
      <c r="E1373" s="0" t="n">
        <v>3.99</v>
      </c>
      <c r="F1373" s="0" t="n">
        <v>0</v>
      </c>
      <c r="G1373" s="0" t="n">
        <v>0</v>
      </c>
      <c r="H1373" s="0" t="n">
        <v>0</v>
      </c>
      <c r="I1373" s="0" t="n">
        <v>0</v>
      </c>
      <c r="J1373" s="0" t="n">
        <v>0</v>
      </c>
      <c r="K1373" s="0" t="n">
        <v>1</v>
      </c>
      <c r="L1373" s="0" t="n">
        <v>1</v>
      </c>
    </row>
    <row r="1374" customFormat="false" ht="15" hidden="false" customHeight="false" outlineLevel="0" collapsed="false">
      <c r="A1374" s="5" t="n">
        <v>40358</v>
      </c>
      <c r="B1374" s="6" t="s">
        <v>162</v>
      </c>
      <c r="C1374" s="6" t="s">
        <v>168</v>
      </c>
      <c r="D1374" s="0" t="n">
        <v>218.220400053407</v>
      </c>
      <c r="E1374" s="0" t="n">
        <v>3.99</v>
      </c>
      <c r="F1374" s="0" t="n">
        <v>0</v>
      </c>
      <c r="G1374" s="0" t="n">
        <v>0</v>
      </c>
      <c r="H1374" s="0" t="n">
        <v>0</v>
      </c>
      <c r="I1374" s="0" t="n">
        <v>0</v>
      </c>
      <c r="J1374" s="0" t="n">
        <v>0</v>
      </c>
      <c r="K1374" s="0" t="n">
        <v>1</v>
      </c>
      <c r="L1374" s="0" t="n">
        <v>1</v>
      </c>
    </row>
    <row r="1375" customFormat="false" ht="15" hidden="false" customHeight="false" outlineLevel="0" collapsed="false">
      <c r="A1375" s="5" t="n">
        <v>40365</v>
      </c>
      <c r="B1375" s="6" t="s">
        <v>162</v>
      </c>
      <c r="C1375" s="6" t="s">
        <v>168</v>
      </c>
      <c r="D1375" s="0" t="n">
        <v>182.414218676552</v>
      </c>
      <c r="E1375" s="0" t="n">
        <v>3.775714286</v>
      </c>
      <c r="F1375" s="0" t="n">
        <v>0</v>
      </c>
      <c r="G1375" s="0" t="n">
        <v>0</v>
      </c>
      <c r="H1375" s="0" t="n">
        <v>0</v>
      </c>
      <c r="I1375" s="0" t="n">
        <v>0</v>
      </c>
      <c r="J1375" s="0" t="n">
        <v>0</v>
      </c>
      <c r="K1375" s="0" t="n">
        <v>1</v>
      </c>
      <c r="L1375" s="0" t="n">
        <v>1</v>
      </c>
    </row>
    <row r="1376" customFormat="false" ht="15" hidden="false" customHeight="false" outlineLevel="0" collapsed="false">
      <c r="A1376" s="5" t="n">
        <v>40372</v>
      </c>
      <c r="B1376" s="6" t="s">
        <v>162</v>
      </c>
      <c r="C1376" s="6" t="s">
        <v>168</v>
      </c>
      <c r="D1376" s="0" t="n">
        <v>114.825828022261</v>
      </c>
      <c r="E1376" s="0" t="n">
        <v>3.775714286</v>
      </c>
      <c r="F1376" s="0" t="n">
        <v>0</v>
      </c>
      <c r="G1376" s="0" t="n">
        <v>0</v>
      </c>
      <c r="H1376" s="0" t="n">
        <v>0</v>
      </c>
      <c r="I1376" s="0" t="n">
        <v>0</v>
      </c>
      <c r="J1376" s="0" t="n">
        <v>0</v>
      </c>
      <c r="K1376" s="0" t="n">
        <v>1</v>
      </c>
      <c r="L1376" s="0" t="n">
        <v>1</v>
      </c>
    </row>
    <row r="1377" customFormat="false" ht="15" hidden="false" customHeight="false" outlineLevel="0" collapsed="false">
      <c r="A1377" s="5" t="n">
        <v>40302</v>
      </c>
      <c r="B1377" s="6" t="s">
        <v>162</v>
      </c>
      <c r="C1377" s="6" t="s">
        <v>169</v>
      </c>
      <c r="D1377" s="0" t="n">
        <v>81.3460444383771</v>
      </c>
      <c r="E1377" s="0" t="n">
        <v>4.39</v>
      </c>
      <c r="F1377" s="0" t="n">
        <v>0</v>
      </c>
      <c r="G1377" s="0" t="n">
        <v>0</v>
      </c>
      <c r="H1377" s="0" t="n">
        <v>0</v>
      </c>
      <c r="I1377" s="0" t="n">
        <v>0</v>
      </c>
      <c r="J1377" s="0" t="n">
        <v>0</v>
      </c>
      <c r="K1377" s="0" t="n">
        <v>0</v>
      </c>
      <c r="L1377" s="0" t="n">
        <v>1</v>
      </c>
    </row>
    <row r="1378" customFormat="false" ht="15" hidden="false" customHeight="false" outlineLevel="0" collapsed="false">
      <c r="A1378" s="5" t="n">
        <v>40309</v>
      </c>
      <c r="B1378" s="6" t="s">
        <v>162</v>
      </c>
      <c r="C1378" s="6" t="s">
        <v>169</v>
      </c>
      <c r="D1378" s="0" t="n">
        <v>292.957105797738</v>
      </c>
      <c r="E1378" s="0" t="n">
        <v>4.39</v>
      </c>
      <c r="F1378" s="0" t="n">
        <v>0</v>
      </c>
      <c r="G1378" s="0" t="n">
        <v>0</v>
      </c>
      <c r="H1378" s="0" t="n">
        <v>0</v>
      </c>
      <c r="I1378" s="0" t="n">
        <v>0</v>
      </c>
      <c r="J1378" s="0" t="n">
        <v>0</v>
      </c>
      <c r="K1378" s="0" t="n">
        <v>0</v>
      </c>
      <c r="L1378" s="0" t="n">
        <v>1</v>
      </c>
    </row>
    <row r="1379" customFormat="false" ht="15" hidden="false" customHeight="false" outlineLevel="0" collapsed="false">
      <c r="A1379" s="5" t="n">
        <v>40316</v>
      </c>
      <c r="B1379" s="6" t="s">
        <v>162</v>
      </c>
      <c r="C1379" s="6" t="s">
        <v>169</v>
      </c>
      <c r="D1379" s="0" t="n">
        <v>113.457457786556</v>
      </c>
      <c r="E1379" s="0" t="n">
        <v>3.84</v>
      </c>
      <c r="F1379" s="0" t="n">
        <v>0</v>
      </c>
      <c r="G1379" s="0" t="n">
        <v>0</v>
      </c>
      <c r="H1379" s="0" t="n">
        <v>0</v>
      </c>
      <c r="I1379" s="0" t="n">
        <v>0</v>
      </c>
      <c r="J1379" s="0" t="n">
        <v>0</v>
      </c>
      <c r="K1379" s="0" t="n">
        <v>0</v>
      </c>
      <c r="L1379" s="0" t="n">
        <v>1</v>
      </c>
    </row>
    <row r="1380" customFormat="false" ht="15" hidden="false" customHeight="false" outlineLevel="0" collapsed="false">
      <c r="A1380" s="5" t="n">
        <v>40323</v>
      </c>
      <c r="B1380" s="6" t="s">
        <v>162</v>
      </c>
      <c r="C1380" s="6" t="s">
        <v>169</v>
      </c>
      <c r="D1380" s="0" t="n">
        <v>200.755260109891</v>
      </c>
      <c r="E1380" s="0" t="n">
        <v>3.84</v>
      </c>
      <c r="F1380" s="0" t="n">
        <v>0</v>
      </c>
      <c r="G1380" s="0" t="n">
        <v>0</v>
      </c>
      <c r="H1380" s="0" t="n">
        <v>0</v>
      </c>
      <c r="I1380" s="0" t="n">
        <v>0</v>
      </c>
      <c r="J1380" s="0" t="n">
        <v>0</v>
      </c>
      <c r="K1380" s="0" t="n">
        <v>0</v>
      </c>
      <c r="L1380" s="0" t="n">
        <v>1</v>
      </c>
    </row>
    <row r="1381" customFormat="false" ht="15" hidden="false" customHeight="false" outlineLevel="0" collapsed="false">
      <c r="A1381" s="5" t="n">
        <v>40330</v>
      </c>
      <c r="B1381" s="6" t="s">
        <v>162</v>
      </c>
      <c r="C1381" s="6" t="s">
        <v>169</v>
      </c>
      <c r="D1381" s="0" t="n">
        <v>254.359608679942</v>
      </c>
      <c r="E1381" s="0" t="n">
        <v>3.84</v>
      </c>
      <c r="F1381" s="0" t="n">
        <v>0</v>
      </c>
      <c r="G1381" s="0" t="n">
        <v>0</v>
      </c>
      <c r="H1381" s="0" t="n">
        <v>0</v>
      </c>
      <c r="I1381" s="0" t="n">
        <v>0</v>
      </c>
      <c r="J1381" s="0" t="n">
        <v>0</v>
      </c>
      <c r="K1381" s="0" t="n">
        <v>0</v>
      </c>
      <c r="L1381" s="0" t="n">
        <v>1</v>
      </c>
    </row>
    <row r="1382" customFormat="false" ht="15" hidden="false" customHeight="false" outlineLevel="0" collapsed="false">
      <c r="A1382" s="5" t="n">
        <v>40337</v>
      </c>
      <c r="B1382" s="6" t="s">
        <v>162</v>
      </c>
      <c r="C1382" s="6" t="s">
        <v>169</v>
      </c>
      <c r="D1382" s="0" t="n">
        <v>201.029257891376</v>
      </c>
      <c r="E1382" s="0" t="n">
        <v>4.39</v>
      </c>
      <c r="F1382" s="0" t="n">
        <v>0</v>
      </c>
      <c r="G1382" s="0" t="n">
        <v>0</v>
      </c>
      <c r="H1382" s="0" t="n">
        <v>0</v>
      </c>
      <c r="I1382" s="0" t="n">
        <v>0</v>
      </c>
      <c r="J1382" s="0" t="n">
        <v>0</v>
      </c>
      <c r="K1382" s="0" t="n">
        <v>0</v>
      </c>
      <c r="L1382" s="0" t="n">
        <v>1</v>
      </c>
    </row>
    <row r="1383" customFormat="false" ht="15" hidden="false" customHeight="false" outlineLevel="0" collapsed="false">
      <c r="A1383" s="5" t="n">
        <v>40344</v>
      </c>
      <c r="B1383" s="6" t="s">
        <v>162</v>
      </c>
      <c r="C1383" s="6" t="s">
        <v>169</v>
      </c>
      <c r="D1383" s="0" t="n">
        <v>192.685157046473</v>
      </c>
      <c r="E1383" s="0" t="n">
        <v>4.39</v>
      </c>
      <c r="F1383" s="0" t="n">
        <v>0</v>
      </c>
      <c r="G1383" s="0" t="n">
        <v>0</v>
      </c>
      <c r="H1383" s="0" t="n">
        <v>0</v>
      </c>
      <c r="I1383" s="0" t="n">
        <v>0</v>
      </c>
      <c r="J1383" s="0" t="n">
        <v>0</v>
      </c>
      <c r="K1383" s="0" t="n">
        <v>0</v>
      </c>
      <c r="L1383" s="0" t="n">
        <v>1</v>
      </c>
    </row>
    <row r="1384" customFormat="false" ht="15" hidden="false" customHeight="false" outlineLevel="0" collapsed="false">
      <c r="A1384" s="5" t="n">
        <v>40351</v>
      </c>
      <c r="B1384" s="6" t="s">
        <v>162</v>
      </c>
      <c r="C1384" s="6" t="s">
        <v>169</v>
      </c>
      <c r="D1384" s="0" t="n">
        <v>173.720881851359</v>
      </c>
      <c r="E1384" s="0" t="n">
        <v>4.39</v>
      </c>
      <c r="F1384" s="0" t="n">
        <v>0</v>
      </c>
      <c r="G1384" s="0" t="n">
        <v>0</v>
      </c>
      <c r="H1384" s="0" t="n">
        <v>0</v>
      </c>
      <c r="I1384" s="0" t="n">
        <v>0</v>
      </c>
      <c r="J1384" s="0" t="n">
        <v>0</v>
      </c>
      <c r="K1384" s="0" t="n">
        <v>0</v>
      </c>
      <c r="L1384" s="0" t="n">
        <v>1</v>
      </c>
    </row>
    <row r="1385" customFormat="false" ht="15" hidden="false" customHeight="false" outlineLevel="0" collapsed="false">
      <c r="A1385" s="5" t="n">
        <v>40358</v>
      </c>
      <c r="B1385" s="6" t="s">
        <v>162</v>
      </c>
      <c r="C1385" s="6" t="s">
        <v>169</v>
      </c>
      <c r="D1385" s="0" t="n">
        <v>278.582871566513</v>
      </c>
      <c r="E1385" s="0" t="n">
        <v>4.39</v>
      </c>
      <c r="F1385" s="0" t="n">
        <v>0</v>
      </c>
      <c r="G1385" s="0" t="n">
        <v>0</v>
      </c>
      <c r="H1385" s="0" t="n">
        <v>0</v>
      </c>
      <c r="I1385" s="0" t="n">
        <v>0</v>
      </c>
      <c r="J1385" s="0" t="n">
        <v>0</v>
      </c>
      <c r="K1385" s="0" t="n">
        <v>0</v>
      </c>
      <c r="L1385" s="0" t="n">
        <v>1</v>
      </c>
    </row>
    <row r="1386" customFormat="false" ht="15" hidden="false" customHeight="false" outlineLevel="0" collapsed="false">
      <c r="A1386" s="5" t="n">
        <v>40365</v>
      </c>
      <c r="B1386" s="6" t="s">
        <v>162</v>
      </c>
      <c r="C1386" s="6" t="s">
        <v>169</v>
      </c>
      <c r="D1386" s="0" t="n">
        <v>122.22976754875</v>
      </c>
      <c r="E1386" s="0" t="n">
        <v>4.19</v>
      </c>
      <c r="F1386" s="0" t="n">
        <v>0</v>
      </c>
      <c r="G1386" s="0" t="n">
        <v>0</v>
      </c>
      <c r="H1386" s="0" t="n">
        <v>0</v>
      </c>
      <c r="I1386" s="0" t="n">
        <v>0</v>
      </c>
      <c r="J1386" s="0" t="n">
        <v>0</v>
      </c>
      <c r="K1386" s="0" t="n">
        <v>0</v>
      </c>
      <c r="L1386" s="0" t="n">
        <v>1</v>
      </c>
    </row>
    <row r="1387" customFormat="false" ht="15" hidden="false" customHeight="false" outlineLevel="0" collapsed="false">
      <c r="A1387" s="5" t="n">
        <v>40372</v>
      </c>
      <c r="B1387" s="6" t="s">
        <v>162</v>
      </c>
      <c r="C1387" s="6" t="s">
        <v>169</v>
      </c>
      <c r="D1387" s="0" t="n">
        <v>166.893025763623</v>
      </c>
      <c r="E1387" s="0" t="n">
        <v>4.19</v>
      </c>
      <c r="F1387" s="0" t="n">
        <v>0</v>
      </c>
      <c r="G1387" s="0" t="n">
        <v>0</v>
      </c>
      <c r="H1387" s="0" t="n">
        <v>0</v>
      </c>
      <c r="I1387" s="0" t="n">
        <v>0</v>
      </c>
      <c r="J1387" s="0" t="n">
        <v>0</v>
      </c>
      <c r="K1387" s="0" t="n">
        <v>0</v>
      </c>
      <c r="L1387"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71"/>
    <col collapsed="false" customWidth="true" hidden="false" outlineLevel="0" max="41" min="2" style="0" width="9.71"/>
  </cols>
  <sheetData>
    <row r="1" customFormat="false" ht="15" hidden="false" customHeight="false" outlineLevel="0" collapsed="false">
      <c r="A1" s="4" t="s">
        <v>23</v>
      </c>
      <c r="B1" s="4" t="s">
        <v>21</v>
      </c>
      <c r="C1" s="4" t="s">
        <v>170</v>
      </c>
      <c r="D1" s="4" t="s">
        <v>171</v>
      </c>
      <c r="E1" s="4" t="s">
        <v>172</v>
      </c>
      <c r="F1" s="4" t="s">
        <v>27</v>
      </c>
      <c r="G1" s="4" t="s">
        <v>28</v>
      </c>
      <c r="H1" s="4" t="s">
        <v>173</v>
      </c>
      <c r="I1" s="4" t="s">
        <v>174</v>
      </c>
      <c r="J1" s="4" t="s">
        <v>31</v>
      </c>
      <c r="K1" s="4" t="s">
        <v>32</v>
      </c>
      <c r="L1" s="4" t="s">
        <v>175</v>
      </c>
      <c r="N1" s="4" t="s">
        <v>176</v>
      </c>
      <c r="O1" s="4" t="s">
        <v>171</v>
      </c>
      <c r="P1" s="4" t="s">
        <v>172</v>
      </c>
      <c r="Q1" s="4" t="s">
        <v>27</v>
      </c>
      <c r="R1" s="4" t="s">
        <v>28</v>
      </c>
      <c r="S1" s="4" t="s">
        <v>173</v>
      </c>
      <c r="T1" s="4" t="s">
        <v>174</v>
      </c>
      <c r="U1" s="4" t="s">
        <v>175</v>
      </c>
      <c r="W1" s="4" t="s">
        <v>171</v>
      </c>
      <c r="X1" s="4" t="s">
        <v>172</v>
      </c>
      <c r="Y1" s="4" t="s">
        <v>27</v>
      </c>
      <c r="Z1" s="4" t="s">
        <v>175</v>
      </c>
      <c r="AA1" s="4" t="s">
        <v>28</v>
      </c>
      <c r="AC1" s="4" t="s">
        <v>171</v>
      </c>
      <c r="AD1" s="4" t="s">
        <v>172</v>
      </c>
      <c r="AE1" s="4" t="s">
        <v>28</v>
      </c>
      <c r="AF1" s="4" t="s">
        <v>173</v>
      </c>
      <c r="AG1" s="4" t="s">
        <v>174</v>
      </c>
      <c r="AH1" s="4" t="s">
        <v>175</v>
      </c>
      <c r="AJ1" s="2" t="s">
        <v>177</v>
      </c>
    </row>
    <row r="2" customFormat="false" ht="15" hidden="false" customHeight="false" outlineLevel="0" collapsed="false">
      <c r="A2" s="0" t="str">
        <f aca="false">'Raw Data'!C2</f>
        <v>Biscayne (aka Aventura)</v>
      </c>
      <c r="B2" s="5" t="n">
        <f aca="false">'Raw Data'!A2</f>
        <v>40302</v>
      </c>
      <c r="C2" s="6" t="n">
        <f aca="false">'Raw Data'!D2</f>
        <v>150.702087912703</v>
      </c>
      <c r="D2" s="6" t="n">
        <f aca="false">'Raw Data'!E2</f>
        <v>4.39</v>
      </c>
      <c r="E2" s="6" t="n">
        <f aca="false">'Raw Data'!F2</f>
        <v>0</v>
      </c>
      <c r="F2" s="6" t="n">
        <f aca="false">'Raw Data'!G2</f>
        <v>0</v>
      </c>
      <c r="G2" s="6" t="n">
        <f aca="false">'Raw Data'!H2</f>
        <v>0</v>
      </c>
      <c r="H2" s="6" t="n">
        <f aca="false">'Raw Data'!I2</f>
        <v>0</v>
      </c>
      <c r="I2" s="6" t="n">
        <f aca="false">'Raw Data'!J2</f>
        <v>0</v>
      </c>
      <c r="J2" s="6" t="n">
        <f aca="false">'Raw Data'!K2</f>
        <v>1</v>
      </c>
      <c r="K2" s="6" t="n">
        <f aca="false">'Raw Data'!L2</f>
        <v>0</v>
      </c>
      <c r="L2" s="6" t="n">
        <f aca="false">F2*E2</f>
        <v>0</v>
      </c>
      <c r="N2" s="0" t="n">
        <v>1</v>
      </c>
      <c r="O2" s="6" t="n">
        <f aca="false">D2</f>
        <v>4.39</v>
      </c>
      <c r="P2" s="6" t="n">
        <f aca="false">E2</f>
        <v>0</v>
      </c>
      <c r="Q2" s="6" t="n">
        <f aca="false">F2</f>
        <v>0</v>
      </c>
      <c r="R2" s="6" t="n">
        <f aca="false">G2</f>
        <v>0</v>
      </c>
      <c r="S2" s="6" t="n">
        <f aca="false">H2</f>
        <v>0</v>
      </c>
      <c r="T2" s="6" t="n">
        <f aca="false">I2</f>
        <v>0</v>
      </c>
      <c r="U2" s="6" t="n">
        <f aca="false">L2</f>
        <v>0</v>
      </c>
      <c r="W2" s="6" t="n">
        <f aca="false">D2</f>
        <v>4.39</v>
      </c>
      <c r="X2" s="6" t="n">
        <f aca="false">E2</f>
        <v>0</v>
      </c>
      <c r="Y2" s="6" t="n">
        <f aca="false">F2</f>
        <v>0</v>
      </c>
      <c r="Z2" s="6" t="n">
        <f aca="false">L2</f>
        <v>0</v>
      </c>
      <c r="AA2" s="6" t="n">
        <f aca="false">G2</f>
        <v>0</v>
      </c>
      <c r="AC2" s="6" t="n">
        <f aca="false">D2</f>
        <v>4.39</v>
      </c>
      <c r="AD2" s="6" t="n">
        <f aca="false">E2</f>
        <v>0</v>
      </c>
      <c r="AE2" s="6" t="n">
        <f aca="false">G2</f>
        <v>0</v>
      </c>
      <c r="AF2" s="6" t="n">
        <f aca="false">H2</f>
        <v>0</v>
      </c>
      <c r="AG2" s="6" t="n">
        <f aca="false">I2</f>
        <v>0</v>
      </c>
      <c r="AH2" s="6" t="n">
        <f aca="false">L2</f>
        <v>0</v>
      </c>
      <c r="AJ2" s="6" t="s">
        <v>178</v>
      </c>
    </row>
    <row r="3" customFormat="false" ht="15" hidden="false" customHeight="false" outlineLevel="0" collapsed="false">
      <c r="A3" s="0" t="str">
        <f aca="false">'Raw Data'!C3</f>
        <v>Biscayne (aka Aventura)</v>
      </c>
      <c r="B3" s="5" t="n">
        <f aca="false">'Raw Data'!A3</f>
        <v>40309</v>
      </c>
      <c r="C3" s="6" t="n">
        <f aca="false">'Raw Data'!D3</f>
        <v>197.403797461597</v>
      </c>
      <c r="D3" s="6" t="n">
        <f aca="false">'Raw Data'!E3</f>
        <v>3.997692308</v>
      </c>
      <c r="E3" s="6" t="n">
        <f aca="false">'Raw Data'!F3</f>
        <v>0</v>
      </c>
      <c r="F3" s="6" t="n">
        <f aca="false">'Raw Data'!G3</f>
        <v>0</v>
      </c>
      <c r="G3" s="6" t="n">
        <f aca="false">'Raw Data'!H3</f>
        <v>0</v>
      </c>
      <c r="H3" s="6" t="n">
        <f aca="false">'Raw Data'!I3</f>
        <v>0</v>
      </c>
      <c r="I3" s="6" t="n">
        <f aca="false">'Raw Data'!J3</f>
        <v>0</v>
      </c>
      <c r="J3" s="6" t="n">
        <f aca="false">'Raw Data'!K3</f>
        <v>1</v>
      </c>
      <c r="K3" s="6" t="n">
        <f aca="false">'Raw Data'!L3</f>
        <v>0</v>
      </c>
      <c r="L3" s="6" t="n">
        <f aca="false">F3*E3</f>
        <v>0</v>
      </c>
      <c r="N3" s="0" t="n">
        <v>1</v>
      </c>
      <c r="O3" s="6" t="n">
        <f aca="false">D3</f>
        <v>3.997692308</v>
      </c>
      <c r="P3" s="6" t="n">
        <f aca="false">E3</f>
        <v>0</v>
      </c>
      <c r="Q3" s="6" t="n">
        <f aca="false">F3</f>
        <v>0</v>
      </c>
      <c r="R3" s="6" t="n">
        <f aca="false">G3</f>
        <v>0</v>
      </c>
      <c r="S3" s="6" t="n">
        <f aca="false">H3</f>
        <v>0</v>
      </c>
      <c r="T3" s="6" t="n">
        <f aca="false">I3</f>
        <v>0</v>
      </c>
      <c r="U3" s="6" t="n">
        <f aca="false">L3</f>
        <v>0</v>
      </c>
      <c r="W3" s="6" t="n">
        <f aca="false">D3</f>
        <v>3.997692308</v>
      </c>
      <c r="X3" s="6" t="n">
        <f aca="false">E3</f>
        <v>0</v>
      </c>
      <c r="Y3" s="6" t="n">
        <f aca="false">F3</f>
        <v>0</v>
      </c>
      <c r="Z3" s="6" t="n">
        <f aca="false">L3</f>
        <v>0</v>
      </c>
      <c r="AA3" s="6" t="n">
        <f aca="false">G3</f>
        <v>0</v>
      </c>
      <c r="AC3" s="6" t="n">
        <f aca="false">D3</f>
        <v>3.997692308</v>
      </c>
      <c r="AD3" s="6" t="n">
        <f aca="false">E3</f>
        <v>0</v>
      </c>
      <c r="AE3" s="6" t="n">
        <f aca="false">G3</f>
        <v>0</v>
      </c>
      <c r="AF3" s="6" t="n">
        <f aca="false">H3</f>
        <v>0</v>
      </c>
      <c r="AG3" s="6" t="n">
        <f aca="false">I3</f>
        <v>0</v>
      </c>
      <c r="AH3" s="6" t="n">
        <f aca="false">L3</f>
        <v>0</v>
      </c>
      <c r="AJ3" s="6" t="s">
        <v>179</v>
      </c>
    </row>
    <row r="4" customFormat="false" ht="15" hidden="false" customHeight="false" outlineLevel="0" collapsed="false">
      <c r="A4" s="0" t="str">
        <f aca="false">'Raw Data'!C4</f>
        <v>Biscayne (aka Aventura)</v>
      </c>
      <c r="B4" s="5" t="n">
        <f aca="false">'Raw Data'!A4</f>
        <v>40316</v>
      </c>
      <c r="C4" s="6" t="n">
        <f aca="false">'Raw Data'!D4</f>
        <v>235.106171515681</v>
      </c>
      <c r="D4" s="6" t="n">
        <f aca="false">'Raw Data'!E4</f>
        <v>3.809230769</v>
      </c>
      <c r="E4" s="6" t="n">
        <f aca="false">'Raw Data'!F4</f>
        <v>0</v>
      </c>
      <c r="F4" s="6" t="n">
        <f aca="false">'Raw Data'!G4</f>
        <v>0</v>
      </c>
      <c r="G4" s="6" t="n">
        <f aca="false">'Raw Data'!H4</f>
        <v>0</v>
      </c>
      <c r="H4" s="6" t="n">
        <f aca="false">'Raw Data'!I4</f>
        <v>0</v>
      </c>
      <c r="I4" s="6" t="n">
        <f aca="false">'Raw Data'!J4</f>
        <v>0</v>
      </c>
      <c r="J4" s="6" t="n">
        <f aca="false">'Raw Data'!K4</f>
        <v>1</v>
      </c>
      <c r="K4" s="6" t="n">
        <f aca="false">'Raw Data'!L4</f>
        <v>0</v>
      </c>
      <c r="L4" s="6" t="n">
        <f aca="false">F4*E4</f>
        <v>0</v>
      </c>
      <c r="N4" s="0" t="n">
        <v>1</v>
      </c>
      <c r="O4" s="6" t="n">
        <f aca="false">D4</f>
        <v>3.809230769</v>
      </c>
      <c r="P4" s="6" t="n">
        <f aca="false">E4</f>
        <v>0</v>
      </c>
      <c r="Q4" s="6" t="n">
        <f aca="false">F4</f>
        <v>0</v>
      </c>
      <c r="R4" s="6" t="n">
        <f aca="false">G4</f>
        <v>0</v>
      </c>
      <c r="S4" s="6" t="n">
        <f aca="false">H4</f>
        <v>0</v>
      </c>
      <c r="T4" s="6" t="n">
        <f aca="false">I4</f>
        <v>0</v>
      </c>
      <c r="U4" s="6" t="n">
        <f aca="false">L4</f>
        <v>0</v>
      </c>
      <c r="W4" s="6" t="n">
        <f aca="false">D4</f>
        <v>3.809230769</v>
      </c>
      <c r="X4" s="6" t="n">
        <f aca="false">E4</f>
        <v>0</v>
      </c>
      <c r="Y4" s="6" t="n">
        <f aca="false">F4</f>
        <v>0</v>
      </c>
      <c r="Z4" s="6" t="n">
        <f aca="false">L4</f>
        <v>0</v>
      </c>
      <c r="AA4" s="6" t="n">
        <f aca="false">G4</f>
        <v>0</v>
      </c>
      <c r="AC4" s="6" t="n">
        <f aca="false">D4</f>
        <v>3.809230769</v>
      </c>
      <c r="AD4" s="6" t="n">
        <f aca="false">E4</f>
        <v>0</v>
      </c>
      <c r="AE4" s="6" t="n">
        <f aca="false">G4</f>
        <v>0</v>
      </c>
      <c r="AF4" s="6" t="n">
        <f aca="false">H4</f>
        <v>0</v>
      </c>
      <c r="AG4" s="6" t="n">
        <f aca="false">I4</f>
        <v>0</v>
      </c>
      <c r="AH4" s="6" t="n">
        <f aca="false">L4</f>
        <v>0</v>
      </c>
      <c r="AJ4" s="6" t="s">
        <v>180</v>
      </c>
    </row>
    <row r="5" customFormat="false" ht="15" hidden="false" customHeight="false" outlineLevel="0" collapsed="false">
      <c r="A5" s="0" t="str">
        <f aca="false">'Raw Data'!C5</f>
        <v>Biscayne (aka Aventura)</v>
      </c>
      <c r="B5" s="5" t="n">
        <f aca="false">'Raw Data'!A5</f>
        <v>40323</v>
      </c>
      <c r="C5" s="6" t="n">
        <f aca="false">'Raw Data'!D5</f>
        <v>226.692427292396</v>
      </c>
      <c r="D5" s="6" t="n">
        <f aca="false">'Raw Data'!E5</f>
        <v>3.835</v>
      </c>
      <c r="E5" s="6" t="n">
        <f aca="false">'Raw Data'!F5</f>
        <v>0</v>
      </c>
      <c r="F5" s="6" t="n">
        <f aca="false">'Raw Data'!G5</f>
        <v>0</v>
      </c>
      <c r="G5" s="6" t="n">
        <f aca="false">'Raw Data'!H5</f>
        <v>0</v>
      </c>
      <c r="H5" s="6" t="n">
        <f aca="false">'Raw Data'!I5</f>
        <v>0</v>
      </c>
      <c r="I5" s="6" t="n">
        <f aca="false">'Raw Data'!J5</f>
        <v>0</v>
      </c>
      <c r="J5" s="6" t="n">
        <f aca="false">'Raw Data'!K5</f>
        <v>1</v>
      </c>
      <c r="K5" s="6" t="n">
        <f aca="false">'Raw Data'!L5</f>
        <v>0</v>
      </c>
      <c r="L5" s="6" t="n">
        <f aca="false">F5*E5</f>
        <v>0</v>
      </c>
      <c r="N5" s="0" t="n">
        <v>1</v>
      </c>
      <c r="O5" s="6" t="n">
        <f aca="false">D5</f>
        <v>3.835</v>
      </c>
      <c r="P5" s="6" t="n">
        <f aca="false">E5</f>
        <v>0</v>
      </c>
      <c r="Q5" s="6" t="n">
        <f aca="false">F5</f>
        <v>0</v>
      </c>
      <c r="R5" s="6" t="n">
        <f aca="false">G5</f>
        <v>0</v>
      </c>
      <c r="S5" s="6" t="n">
        <f aca="false">H5</f>
        <v>0</v>
      </c>
      <c r="T5" s="6" t="n">
        <f aca="false">I5</f>
        <v>0</v>
      </c>
      <c r="U5" s="6" t="n">
        <f aca="false">L5</f>
        <v>0</v>
      </c>
      <c r="W5" s="6" t="n">
        <f aca="false">D5</f>
        <v>3.835</v>
      </c>
      <c r="X5" s="6" t="n">
        <f aca="false">E5</f>
        <v>0</v>
      </c>
      <c r="Y5" s="6" t="n">
        <f aca="false">F5</f>
        <v>0</v>
      </c>
      <c r="Z5" s="6" t="n">
        <f aca="false">L5</f>
        <v>0</v>
      </c>
      <c r="AA5" s="6" t="n">
        <f aca="false">G5</f>
        <v>0</v>
      </c>
      <c r="AC5" s="6" t="n">
        <f aca="false">D5</f>
        <v>3.835</v>
      </c>
      <c r="AD5" s="6" t="n">
        <f aca="false">E5</f>
        <v>0</v>
      </c>
      <c r="AE5" s="6" t="n">
        <f aca="false">G5</f>
        <v>0</v>
      </c>
      <c r="AF5" s="6" t="n">
        <f aca="false">H5</f>
        <v>0</v>
      </c>
      <c r="AG5" s="6" t="n">
        <f aca="false">I5</f>
        <v>0</v>
      </c>
      <c r="AH5" s="6" t="n">
        <f aca="false">L5</f>
        <v>0</v>
      </c>
      <c r="AJ5" s="6" t="s">
        <v>181</v>
      </c>
    </row>
    <row r="6" customFormat="false" ht="15" hidden="false" customHeight="false" outlineLevel="0" collapsed="false">
      <c r="A6" s="0" t="str">
        <f aca="false">'Raw Data'!C6</f>
        <v>Biscayne (aka Aventura)</v>
      </c>
      <c r="B6" s="5" t="n">
        <f aca="false">'Raw Data'!A6</f>
        <v>40330</v>
      </c>
      <c r="C6" s="6" t="n">
        <f aca="false">'Raw Data'!D6</f>
        <v>257.688150758144</v>
      </c>
      <c r="D6" s="6" t="n">
        <f aca="false">'Raw Data'!E6</f>
        <v>3.9025</v>
      </c>
      <c r="E6" s="6" t="n">
        <f aca="false">'Raw Data'!F6</f>
        <v>0</v>
      </c>
      <c r="F6" s="6" t="n">
        <f aca="false">'Raw Data'!G6</f>
        <v>0</v>
      </c>
      <c r="G6" s="6" t="n">
        <f aca="false">'Raw Data'!H6</f>
        <v>0</v>
      </c>
      <c r="H6" s="6" t="n">
        <f aca="false">'Raw Data'!I6</f>
        <v>0</v>
      </c>
      <c r="I6" s="6" t="n">
        <f aca="false">'Raw Data'!J6</f>
        <v>0</v>
      </c>
      <c r="J6" s="6" t="n">
        <f aca="false">'Raw Data'!K6</f>
        <v>1</v>
      </c>
      <c r="K6" s="6" t="n">
        <f aca="false">'Raw Data'!L6</f>
        <v>0</v>
      </c>
      <c r="L6" s="6" t="n">
        <f aca="false">F6*E6</f>
        <v>0</v>
      </c>
      <c r="N6" s="0" t="n">
        <v>1</v>
      </c>
      <c r="O6" s="6" t="n">
        <f aca="false">D6</f>
        <v>3.9025</v>
      </c>
      <c r="P6" s="6" t="n">
        <f aca="false">E6</f>
        <v>0</v>
      </c>
      <c r="Q6" s="6" t="n">
        <f aca="false">F6</f>
        <v>0</v>
      </c>
      <c r="R6" s="6" t="n">
        <f aca="false">G6</f>
        <v>0</v>
      </c>
      <c r="S6" s="6" t="n">
        <f aca="false">H6</f>
        <v>0</v>
      </c>
      <c r="T6" s="6" t="n">
        <f aca="false">I6</f>
        <v>0</v>
      </c>
      <c r="U6" s="6" t="n">
        <f aca="false">L6</f>
        <v>0</v>
      </c>
      <c r="W6" s="6" t="n">
        <f aca="false">D6</f>
        <v>3.9025</v>
      </c>
      <c r="X6" s="6" t="n">
        <f aca="false">E6</f>
        <v>0</v>
      </c>
      <c r="Y6" s="6" t="n">
        <f aca="false">F6</f>
        <v>0</v>
      </c>
      <c r="Z6" s="6" t="n">
        <f aca="false">L6</f>
        <v>0</v>
      </c>
      <c r="AA6" s="6" t="n">
        <f aca="false">G6</f>
        <v>0</v>
      </c>
      <c r="AC6" s="6" t="n">
        <f aca="false">D6</f>
        <v>3.9025</v>
      </c>
      <c r="AD6" s="6" t="n">
        <f aca="false">E6</f>
        <v>0</v>
      </c>
      <c r="AE6" s="6" t="n">
        <f aca="false">G6</f>
        <v>0</v>
      </c>
      <c r="AF6" s="6" t="n">
        <f aca="false">H6</f>
        <v>0</v>
      </c>
      <c r="AG6" s="6" t="n">
        <f aca="false">I6</f>
        <v>0</v>
      </c>
      <c r="AH6" s="6" t="n">
        <f aca="false">L6</f>
        <v>0</v>
      </c>
      <c r="AJ6" s="6" t="s">
        <v>182</v>
      </c>
    </row>
    <row r="7" customFormat="false" ht="15" hidden="false" customHeight="false" outlineLevel="0" collapsed="false">
      <c r="A7" s="0" t="str">
        <f aca="false">'Raw Data'!C7</f>
        <v>Biscayne (aka Aventura)</v>
      </c>
      <c r="B7" s="5" t="n">
        <f aca="false">'Raw Data'!A7</f>
        <v>40337</v>
      </c>
      <c r="C7" s="6" t="n">
        <f aca="false">'Raw Data'!D7</f>
        <v>132.957189780034</v>
      </c>
      <c r="D7" s="6" t="n">
        <f aca="false">'Raw Data'!E7</f>
        <v>4.497692308</v>
      </c>
      <c r="E7" s="6" t="n">
        <f aca="false">'Raw Data'!F7</f>
        <v>0</v>
      </c>
      <c r="F7" s="6" t="n">
        <f aca="false">'Raw Data'!G7</f>
        <v>0</v>
      </c>
      <c r="G7" s="6" t="n">
        <f aca="false">'Raw Data'!H7</f>
        <v>0</v>
      </c>
      <c r="H7" s="6" t="n">
        <f aca="false">'Raw Data'!I7</f>
        <v>0</v>
      </c>
      <c r="I7" s="6" t="n">
        <f aca="false">'Raw Data'!J7</f>
        <v>0</v>
      </c>
      <c r="J7" s="6" t="n">
        <f aca="false">'Raw Data'!K7</f>
        <v>1</v>
      </c>
      <c r="K7" s="6" t="n">
        <f aca="false">'Raw Data'!L7</f>
        <v>0</v>
      </c>
      <c r="L7" s="6" t="n">
        <f aca="false">F7*E7</f>
        <v>0</v>
      </c>
      <c r="N7" s="0" t="n">
        <v>1</v>
      </c>
      <c r="O7" s="6" t="n">
        <f aca="false">D7</f>
        <v>4.497692308</v>
      </c>
      <c r="P7" s="6" t="n">
        <f aca="false">E7</f>
        <v>0</v>
      </c>
      <c r="Q7" s="6" t="n">
        <f aca="false">F7</f>
        <v>0</v>
      </c>
      <c r="R7" s="6" t="n">
        <f aca="false">G7</f>
        <v>0</v>
      </c>
      <c r="S7" s="6" t="n">
        <f aca="false">H7</f>
        <v>0</v>
      </c>
      <c r="T7" s="6" t="n">
        <f aca="false">I7</f>
        <v>0</v>
      </c>
      <c r="U7" s="6" t="n">
        <f aca="false">L7</f>
        <v>0</v>
      </c>
      <c r="W7" s="6" t="n">
        <f aca="false">D7</f>
        <v>4.497692308</v>
      </c>
      <c r="X7" s="6" t="n">
        <f aca="false">E7</f>
        <v>0</v>
      </c>
      <c r="Y7" s="6" t="n">
        <f aca="false">F7</f>
        <v>0</v>
      </c>
      <c r="Z7" s="6" t="n">
        <f aca="false">L7</f>
        <v>0</v>
      </c>
      <c r="AA7" s="6" t="n">
        <f aca="false">G7</f>
        <v>0</v>
      </c>
      <c r="AC7" s="6" t="n">
        <f aca="false">D7</f>
        <v>4.497692308</v>
      </c>
      <c r="AD7" s="6" t="n">
        <f aca="false">E7</f>
        <v>0</v>
      </c>
      <c r="AE7" s="6" t="n">
        <f aca="false">G7</f>
        <v>0</v>
      </c>
      <c r="AF7" s="6" t="n">
        <f aca="false">H7</f>
        <v>0</v>
      </c>
      <c r="AG7" s="6" t="n">
        <f aca="false">I7</f>
        <v>0</v>
      </c>
      <c r="AH7" s="6" t="n">
        <f aca="false">L7</f>
        <v>0</v>
      </c>
    </row>
    <row r="8" customFormat="false" ht="15" hidden="false" customHeight="false" outlineLevel="0" collapsed="false">
      <c r="A8" s="0" t="str">
        <f aca="false">'Raw Data'!C8</f>
        <v>Biscayne (aka Aventura)</v>
      </c>
      <c r="B8" s="5" t="n">
        <f aca="false">'Raw Data'!A8</f>
        <v>40344</v>
      </c>
      <c r="C8" s="6" t="n">
        <f aca="false">'Raw Data'!D8</f>
        <v>221.889968547736</v>
      </c>
      <c r="D8" s="6" t="n">
        <f aca="false">'Raw Data'!E8</f>
        <v>4.116666667</v>
      </c>
      <c r="E8" s="6" t="n">
        <f aca="false">'Raw Data'!F8</f>
        <v>0</v>
      </c>
      <c r="F8" s="6" t="n">
        <f aca="false">'Raw Data'!G8</f>
        <v>0</v>
      </c>
      <c r="G8" s="6" t="n">
        <f aca="false">'Raw Data'!H8</f>
        <v>0</v>
      </c>
      <c r="H8" s="6" t="n">
        <f aca="false">'Raw Data'!I8</f>
        <v>0</v>
      </c>
      <c r="I8" s="6" t="n">
        <f aca="false">'Raw Data'!J8</f>
        <v>0</v>
      </c>
      <c r="J8" s="6" t="n">
        <f aca="false">'Raw Data'!K8</f>
        <v>1</v>
      </c>
      <c r="K8" s="6" t="n">
        <f aca="false">'Raw Data'!L8</f>
        <v>0</v>
      </c>
      <c r="L8" s="6" t="n">
        <f aca="false">F8*E8</f>
        <v>0</v>
      </c>
      <c r="N8" s="0" t="n">
        <v>1</v>
      </c>
      <c r="O8" s="6" t="n">
        <f aca="false">D8</f>
        <v>4.116666667</v>
      </c>
      <c r="P8" s="6" t="n">
        <f aca="false">E8</f>
        <v>0</v>
      </c>
      <c r="Q8" s="6" t="n">
        <f aca="false">F8</f>
        <v>0</v>
      </c>
      <c r="R8" s="6" t="n">
        <f aca="false">G8</f>
        <v>0</v>
      </c>
      <c r="S8" s="6" t="n">
        <f aca="false">H8</f>
        <v>0</v>
      </c>
      <c r="T8" s="6" t="n">
        <f aca="false">I8</f>
        <v>0</v>
      </c>
      <c r="U8" s="6" t="n">
        <f aca="false">L8</f>
        <v>0</v>
      </c>
      <c r="W8" s="6" t="n">
        <f aca="false">D8</f>
        <v>4.116666667</v>
      </c>
      <c r="X8" s="6" t="n">
        <f aca="false">E8</f>
        <v>0</v>
      </c>
      <c r="Y8" s="6" t="n">
        <f aca="false">F8</f>
        <v>0</v>
      </c>
      <c r="Z8" s="6" t="n">
        <f aca="false">L8</f>
        <v>0</v>
      </c>
      <c r="AA8" s="6" t="n">
        <f aca="false">G8</f>
        <v>0</v>
      </c>
      <c r="AC8" s="6" t="n">
        <f aca="false">D8</f>
        <v>4.116666667</v>
      </c>
      <c r="AD8" s="6" t="n">
        <f aca="false">E8</f>
        <v>0</v>
      </c>
      <c r="AE8" s="6" t="n">
        <f aca="false">G8</f>
        <v>0</v>
      </c>
      <c r="AF8" s="6" t="n">
        <f aca="false">H8</f>
        <v>0</v>
      </c>
      <c r="AG8" s="6" t="n">
        <f aca="false">I8</f>
        <v>0</v>
      </c>
      <c r="AH8" s="6" t="n">
        <f aca="false">L8</f>
        <v>0</v>
      </c>
    </row>
    <row r="9" customFormat="false" ht="15" hidden="false" customHeight="false" outlineLevel="0" collapsed="false">
      <c r="A9" s="0" t="str">
        <f aca="false">'Raw Data'!C9</f>
        <v>Biscayne (aka Aventura)</v>
      </c>
      <c r="B9" s="5" t="n">
        <f aca="false">'Raw Data'!A9</f>
        <v>40351</v>
      </c>
      <c r="C9" s="6" t="n">
        <f aca="false">'Raw Data'!D9</f>
        <v>245.881356354914</v>
      </c>
      <c r="D9" s="6" t="n">
        <f aca="false">'Raw Data'!E9</f>
        <v>4.116666667</v>
      </c>
      <c r="E9" s="6" t="n">
        <f aca="false">'Raw Data'!F9</f>
        <v>0</v>
      </c>
      <c r="F9" s="6" t="n">
        <f aca="false">'Raw Data'!G9</f>
        <v>0</v>
      </c>
      <c r="G9" s="6" t="n">
        <f aca="false">'Raw Data'!H9</f>
        <v>0</v>
      </c>
      <c r="H9" s="6" t="n">
        <f aca="false">'Raw Data'!I9</f>
        <v>0</v>
      </c>
      <c r="I9" s="6" t="n">
        <f aca="false">'Raw Data'!J9</f>
        <v>0</v>
      </c>
      <c r="J9" s="6" t="n">
        <f aca="false">'Raw Data'!K9</f>
        <v>1</v>
      </c>
      <c r="K9" s="6" t="n">
        <f aca="false">'Raw Data'!L9</f>
        <v>0</v>
      </c>
      <c r="L9" s="6" t="n">
        <f aca="false">F9*E9</f>
        <v>0</v>
      </c>
      <c r="N9" s="0" t="n">
        <v>1</v>
      </c>
      <c r="O9" s="6" t="n">
        <f aca="false">D9</f>
        <v>4.116666667</v>
      </c>
      <c r="P9" s="6" t="n">
        <f aca="false">E9</f>
        <v>0</v>
      </c>
      <c r="Q9" s="6" t="n">
        <f aca="false">F9</f>
        <v>0</v>
      </c>
      <c r="R9" s="6" t="n">
        <f aca="false">G9</f>
        <v>0</v>
      </c>
      <c r="S9" s="6" t="n">
        <f aca="false">H9</f>
        <v>0</v>
      </c>
      <c r="T9" s="6" t="n">
        <f aca="false">I9</f>
        <v>0</v>
      </c>
      <c r="U9" s="6" t="n">
        <f aca="false">L9</f>
        <v>0</v>
      </c>
      <c r="W9" s="6" t="n">
        <f aca="false">D9</f>
        <v>4.116666667</v>
      </c>
      <c r="X9" s="6" t="n">
        <f aca="false">E9</f>
        <v>0</v>
      </c>
      <c r="Y9" s="6" t="n">
        <f aca="false">F9</f>
        <v>0</v>
      </c>
      <c r="Z9" s="6" t="n">
        <f aca="false">L9</f>
        <v>0</v>
      </c>
      <c r="AA9" s="6" t="n">
        <f aca="false">G9</f>
        <v>0</v>
      </c>
      <c r="AC9" s="6" t="n">
        <f aca="false">D9</f>
        <v>4.116666667</v>
      </c>
      <c r="AD9" s="6" t="n">
        <f aca="false">E9</f>
        <v>0</v>
      </c>
      <c r="AE9" s="6" t="n">
        <f aca="false">G9</f>
        <v>0</v>
      </c>
      <c r="AF9" s="6" t="n">
        <f aca="false">H9</f>
        <v>0</v>
      </c>
      <c r="AG9" s="6" t="n">
        <f aca="false">I9</f>
        <v>0</v>
      </c>
      <c r="AH9" s="6" t="n">
        <f aca="false">L9</f>
        <v>0</v>
      </c>
    </row>
    <row r="10" customFormat="false" ht="15" hidden="false" customHeight="false" outlineLevel="0" collapsed="false">
      <c r="A10" s="0" t="str">
        <f aca="false">'Raw Data'!C10</f>
        <v>Biscayne (aka Aventura)</v>
      </c>
      <c r="B10" s="5" t="n">
        <f aca="false">'Raw Data'!A10</f>
        <v>40358</v>
      </c>
      <c r="C10" s="6" t="n">
        <f aca="false">'Raw Data'!D10</f>
        <v>156.102534952075</v>
      </c>
      <c r="D10" s="6" t="n">
        <f aca="false">'Raw Data'!E10</f>
        <v>4.116666667</v>
      </c>
      <c r="E10" s="6" t="n">
        <f aca="false">'Raw Data'!F10</f>
        <v>0</v>
      </c>
      <c r="F10" s="6" t="n">
        <f aca="false">'Raw Data'!G10</f>
        <v>0</v>
      </c>
      <c r="G10" s="6" t="n">
        <f aca="false">'Raw Data'!H10</f>
        <v>0</v>
      </c>
      <c r="H10" s="6" t="n">
        <f aca="false">'Raw Data'!I10</f>
        <v>0</v>
      </c>
      <c r="I10" s="6" t="n">
        <f aca="false">'Raw Data'!J10</f>
        <v>0</v>
      </c>
      <c r="J10" s="6" t="n">
        <f aca="false">'Raw Data'!K10</f>
        <v>4</v>
      </c>
      <c r="K10" s="6" t="n">
        <f aca="false">'Raw Data'!L10</f>
        <v>0</v>
      </c>
      <c r="L10" s="6" t="n">
        <f aca="false">F10*E10</f>
        <v>0</v>
      </c>
      <c r="N10" s="0" t="n">
        <v>1</v>
      </c>
      <c r="O10" s="6" t="n">
        <f aca="false">D10</f>
        <v>4.116666667</v>
      </c>
      <c r="P10" s="6" t="n">
        <f aca="false">E10</f>
        <v>0</v>
      </c>
      <c r="Q10" s="6" t="n">
        <f aca="false">F10</f>
        <v>0</v>
      </c>
      <c r="R10" s="6" t="n">
        <f aca="false">G10</f>
        <v>0</v>
      </c>
      <c r="S10" s="6" t="n">
        <f aca="false">H10</f>
        <v>0</v>
      </c>
      <c r="T10" s="6" t="n">
        <f aca="false">I10</f>
        <v>0</v>
      </c>
      <c r="U10" s="6" t="n">
        <f aca="false">L10</f>
        <v>0</v>
      </c>
      <c r="W10" s="6" t="n">
        <f aca="false">D10</f>
        <v>4.116666667</v>
      </c>
      <c r="X10" s="6" t="n">
        <f aca="false">E10</f>
        <v>0</v>
      </c>
      <c r="Y10" s="6" t="n">
        <f aca="false">F10</f>
        <v>0</v>
      </c>
      <c r="Z10" s="6" t="n">
        <f aca="false">L10</f>
        <v>0</v>
      </c>
      <c r="AA10" s="6" t="n">
        <f aca="false">G10</f>
        <v>0</v>
      </c>
      <c r="AC10" s="6" t="n">
        <f aca="false">D10</f>
        <v>4.116666667</v>
      </c>
      <c r="AD10" s="6" t="n">
        <f aca="false">E10</f>
        <v>0</v>
      </c>
      <c r="AE10" s="6" t="n">
        <f aca="false">G10</f>
        <v>0</v>
      </c>
      <c r="AF10" s="6" t="n">
        <f aca="false">H10</f>
        <v>0</v>
      </c>
      <c r="AG10" s="6" t="n">
        <f aca="false">I10</f>
        <v>0</v>
      </c>
      <c r="AH10" s="6" t="n">
        <f aca="false">L10</f>
        <v>0</v>
      </c>
    </row>
    <row r="11" customFormat="false" ht="15" hidden="false" customHeight="false" outlineLevel="0" collapsed="false">
      <c r="A11" s="0" t="str">
        <f aca="false">'Raw Data'!C11</f>
        <v>Biscayne (aka Aventura)</v>
      </c>
      <c r="B11" s="5" t="n">
        <f aca="false">'Raw Data'!A11</f>
        <v>40365</v>
      </c>
      <c r="C11" s="6" t="n">
        <f aca="false">'Raw Data'!D11</f>
        <v>200.103966035524</v>
      </c>
      <c r="D11" s="6" t="n">
        <f aca="false">'Raw Data'!E11</f>
        <v>3.747333333</v>
      </c>
      <c r="E11" s="6" t="n">
        <f aca="false">'Raw Data'!F11</f>
        <v>0</v>
      </c>
      <c r="F11" s="6" t="n">
        <f aca="false">'Raw Data'!G11</f>
        <v>0</v>
      </c>
      <c r="G11" s="6" t="n">
        <f aca="false">'Raw Data'!H11</f>
        <v>0</v>
      </c>
      <c r="H11" s="6" t="n">
        <f aca="false">'Raw Data'!I11</f>
        <v>0</v>
      </c>
      <c r="I11" s="6" t="n">
        <f aca="false">'Raw Data'!J11</f>
        <v>0</v>
      </c>
      <c r="J11" s="6" t="n">
        <f aca="false">'Raw Data'!K11</f>
        <v>1</v>
      </c>
      <c r="K11" s="6" t="n">
        <f aca="false">'Raw Data'!L11</f>
        <v>0</v>
      </c>
      <c r="L11" s="6" t="n">
        <f aca="false">F11*E11</f>
        <v>0</v>
      </c>
      <c r="N11" s="0" t="n">
        <v>1</v>
      </c>
      <c r="O11" s="6" t="n">
        <f aca="false">D11</f>
        <v>3.747333333</v>
      </c>
      <c r="P11" s="6" t="n">
        <f aca="false">E11</f>
        <v>0</v>
      </c>
      <c r="Q11" s="6" t="n">
        <f aca="false">F11</f>
        <v>0</v>
      </c>
      <c r="R11" s="6" t="n">
        <f aca="false">G11</f>
        <v>0</v>
      </c>
      <c r="S11" s="6" t="n">
        <f aca="false">H11</f>
        <v>0</v>
      </c>
      <c r="T11" s="6" t="n">
        <f aca="false">I11</f>
        <v>0</v>
      </c>
      <c r="U11" s="6" t="n">
        <f aca="false">L11</f>
        <v>0</v>
      </c>
      <c r="W11" s="6" t="n">
        <f aca="false">D11</f>
        <v>3.747333333</v>
      </c>
      <c r="X11" s="6" t="n">
        <f aca="false">E11</f>
        <v>0</v>
      </c>
      <c r="Y11" s="6" t="n">
        <f aca="false">F11</f>
        <v>0</v>
      </c>
      <c r="Z11" s="6" t="n">
        <f aca="false">L11</f>
        <v>0</v>
      </c>
      <c r="AA11" s="6" t="n">
        <f aca="false">G11</f>
        <v>0</v>
      </c>
      <c r="AC11" s="6" t="n">
        <f aca="false">D11</f>
        <v>3.747333333</v>
      </c>
      <c r="AD11" s="6" t="n">
        <f aca="false">E11</f>
        <v>0</v>
      </c>
      <c r="AE11" s="6" t="n">
        <f aca="false">G11</f>
        <v>0</v>
      </c>
      <c r="AF11" s="6" t="n">
        <f aca="false">H11</f>
        <v>0</v>
      </c>
      <c r="AG11" s="6" t="n">
        <f aca="false">I11</f>
        <v>0</v>
      </c>
      <c r="AH11" s="6" t="n">
        <f aca="false">L11</f>
        <v>0</v>
      </c>
    </row>
    <row r="12" customFormat="false" ht="15" hidden="false" customHeight="false" outlineLevel="0" collapsed="false">
      <c r="A12" s="0" t="str">
        <f aca="false">'Raw Data'!C12</f>
        <v>Biscayne (aka Aventura)</v>
      </c>
      <c r="B12" s="5" t="n">
        <f aca="false">'Raw Data'!A12</f>
        <v>40372</v>
      </c>
      <c r="C12" s="6" t="n">
        <f aca="false">'Raw Data'!D12</f>
        <v>128.396003353425</v>
      </c>
      <c r="D12" s="6" t="n">
        <f aca="false">'Raw Data'!E12</f>
        <v>4.0125</v>
      </c>
      <c r="E12" s="6" t="n">
        <f aca="false">'Raw Data'!F12</f>
        <v>0</v>
      </c>
      <c r="F12" s="6" t="n">
        <f aca="false">'Raw Data'!G12</f>
        <v>0</v>
      </c>
      <c r="G12" s="6" t="n">
        <f aca="false">'Raw Data'!H12</f>
        <v>0</v>
      </c>
      <c r="H12" s="6" t="n">
        <f aca="false">'Raw Data'!I12</f>
        <v>0</v>
      </c>
      <c r="I12" s="6" t="n">
        <f aca="false">'Raw Data'!J12</f>
        <v>0</v>
      </c>
      <c r="J12" s="6" t="n">
        <f aca="false">'Raw Data'!K12</f>
        <v>1</v>
      </c>
      <c r="K12" s="6" t="n">
        <f aca="false">'Raw Data'!L12</f>
        <v>0</v>
      </c>
      <c r="L12" s="6" t="n">
        <f aca="false">F12*E12</f>
        <v>0</v>
      </c>
      <c r="N12" s="0" t="n">
        <v>1</v>
      </c>
      <c r="O12" s="6" t="n">
        <f aca="false">D12</f>
        <v>4.0125</v>
      </c>
      <c r="P12" s="6" t="n">
        <f aca="false">E12</f>
        <v>0</v>
      </c>
      <c r="Q12" s="6" t="n">
        <f aca="false">F12</f>
        <v>0</v>
      </c>
      <c r="R12" s="6" t="n">
        <f aca="false">G12</f>
        <v>0</v>
      </c>
      <c r="S12" s="6" t="n">
        <f aca="false">H12</f>
        <v>0</v>
      </c>
      <c r="T12" s="6" t="n">
        <f aca="false">I12</f>
        <v>0</v>
      </c>
      <c r="U12" s="6" t="n">
        <f aca="false">L12</f>
        <v>0</v>
      </c>
      <c r="W12" s="6" t="n">
        <f aca="false">D12</f>
        <v>4.0125</v>
      </c>
      <c r="X12" s="6" t="n">
        <f aca="false">E12</f>
        <v>0</v>
      </c>
      <c r="Y12" s="6" t="n">
        <f aca="false">F12</f>
        <v>0</v>
      </c>
      <c r="Z12" s="6" t="n">
        <f aca="false">L12</f>
        <v>0</v>
      </c>
      <c r="AA12" s="6" t="n">
        <f aca="false">G12</f>
        <v>0</v>
      </c>
      <c r="AC12" s="6" t="n">
        <f aca="false">D12</f>
        <v>4.0125</v>
      </c>
      <c r="AD12" s="6" t="n">
        <f aca="false">E12</f>
        <v>0</v>
      </c>
      <c r="AE12" s="6" t="n">
        <f aca="false">G12</f>
        <v>0</v>
      </c>
      <c r="AF12" s="6" t="n">
        <f aca="false">H12</f>
        <v>0</v>
      </c>
      <c r="AG12" s="6" t="n">
        <f aca="false">I12</f>
        <v>0</v>
      </c>
      <c r="AH12" s="6" t="n">
        <f aca="false">L12</f>
        <v>0</v>
      </c>
    </row>
    <row r="13" customFormat="false" ht="15" hidden="false" customHeight="false" outlineLevel="0" collapsed="false">
      <c r="A13" s="0" t="str">
        <f aca="false">'Raw Data'!C13</f>
        <v>Boca Raton</v>
      </c>
      <c r="B13" s="5" t="n">
        <f aca="false">'Raw Data'!A13</f>
        <v>40302</v>
      </c>
      <c r="C13" s="6" t="n">
        <f aca="false">'Raw Data'!D13</f>
        <v>142.778210161913</v>
      </c>
      <c r="D13" s="6" t="n">
        <f aca="false">'Raw Data'!E13</f>
        <v>4.39</v>
      </c>
      <c r="E13" s="6" t="n">
        <f aca="false">'Raw Data'!F13</f>
        <v>0</v>
      </c>
      <c r="F13" s="6" t="n">
        <f aca="false">'Raw Data'!G13</f>
        <v>0</v>
      </c>
      <c r="G13" s="6" t="n">
        <f aca="false">'Raw Data'!H13</f>
        <v>0</v>
      </c>
      <c r="H13" s="6" t="n">
        <f aca="false">'Raw Data'!I13</f>
        <v>0</v>
      </c>
      <c r="I13" s="6" t="n">
        <f aca="false">'Raw Data'!J13</f>
        <v>0</v>
      </c>
      <c r="J13" s="6" t="n">
        <f aca="false">'Raw Data'!K13</f>
        <v>0</v>
      </c>
      <c r="K13" s="6" t="n">
        <f aca="false">'Raw Data'!L13</f>
        <v>4</v>
      </c>
      <c r="L13" s="6" t="n">
        <f aca="false">F13*E13</f>
        <v>0</v>
      </c>
      <c r="N13" s="0" t="n">
        <v>1</v>
      </c>
      <c r="O13" s="6" t="n">
        <f aca="false">D13</f>
        <v>4.39</v>
      </c>
      <c r="P13" s="6" t="n">
        <f aca="false">E13</f>
        <v>0</v>
      </c>
      <c r="Q13" s="6" t="n">
        <f aca="false">F13</f>
        <v>0</v>
      </c>
      <c r="R13" s="6" t="n">
        <f aca="false">G13</f>
        <v>0</v>
      </c>
      <c r="S13" s="6" t="n">
        <f aca="false">H13</f>
        <v>0</v>
      </c>
      <c r="T13" s="6" t="n">
        <f aca="false">I13</f>
        <v>0</v>
      </c>
      <c r="U13" s="6" t="n">
        <f aca="false">L13</f>
        <v>0</v>
      </c>
      <c r="W13" s="6" t="n">
        <f aca="false">D13</f>
        <v>4.39</v>
      </c>
      <c r="X13" s="6" t="n">
        <f aca="false">E13</f>
        <v>0</v>
      </c>
      <c r="Y13" s="6" t="n">
        <f aca="false">F13</f>
        <v>0</v>
      </c>
      <c r="Z13" s="6" t="n">
        <f aca="false">L13</f>
        <v>0</v>
      </c>
      <c r="AA13" s="6" t="n">
        <f aca="false">G13</f>
        <v>0</v>
      </c>
      <c r="AC13" s="6" t="n">
        <f aca="false">D13</f>
        <v>4.39</v>
      </c>
      <c r="AD13" s="6" t="n">
        <f aca="false">E13</f>
        <v>0</v>
      </c>
      <c r="AE13" s="6" t="n">
        <f aca="false">G13</f>
        <v>0</v>
      </c>
      <c r="AF13" s="6" t="n">
        <f aca="false">H13</f>
        <v>0</v>
      </c>
      <c r="AG13" s="6" t="n">
        <f aca="false">I13</f>
        <v>0</v>
      </c>
      <c r="AH13" s="6" t="n">
        <f aca="false">L13</f>
        <v>0</v>
      </c>
    </row>
    <row r="14" customFormat="false" ht="15" hidden="false" customHeight="false" outlineLevel="0" collapsed="false">
      <c r="A14" s="0" t="str">
        <f aca="false">'Raw Data'!C14</f>
        <v>Boca Raton</v>
      </c>
      <c r="B14" s="5" t="n">
        <f aca="false">'Raw Data'!A14</f>
        <v>40309</v>
      </c>
      <c r="C14" s="6" t="n">
        <f aca="false">'Raw Data'!D14</f>
        <v>237.544554272055</v>
      </c>
      <c r="D14" s="6" t="n">
        <f aca="false">'Raw Data'!E14</f>
        <v>4.235454545</v>
      </c>
      <c r="E14" s="6" t="n">
        <f aca="false">'Raw Data'!F14</f>
        <v>0</v>
      </c>
      <c r="F14" s="6" t="n">
        <f aca="false">'Raw Data'!G14</f>
        <v>0</v>
      </c>
      <c r="G14" s="6" t="n">
        <f aca="false">'Raw Data'!H14</f>
        <v>0</v>
      </c>
      <c r="H14" s="6" t="n">
        <f aca="false">'Raw Data'!I14</f>
        <v>0</v>
      </c>
      <c r="I14" s="6" t="n">
        <f aca="false">'Raw Data'!J14</f>
        <v>0</v>
      </c>
      <c r="J14" s="6" t="n">
        <f aca="false">'Raw Data'!K14</f>
        <v>0</v>
      </c>
      <c r="K14" s="6" t="n">
        <f aca="false">'Raw Data'!L14</f>
        <v>4</v>
      </c>
      <c r="L14" s="6" t="n">
        <f aca="false">F14*E14</f>
        <v>0</v>
      </c>
      <c r="N14" s="0" t="n">
        <v>1</v>
      </c>
      <c r="O14" s="6" t="n">
        <f aca="false">D14</f>
        <v>4.235454545</v>
      </c>
      <c r="P14" s="6" t="n">
        <f aca="false">E14</f>
        <v>0</v>
      </c>
      <c r="Q14" s="6" t="n">
        <f aca="false">F14</f>
        <v>0</v>
      </c>
      <c r="R14" s="6" t="n">
        <f aca="false">G14</f>
        <v>0</v>
      </c>
      <c r="S14" s="6" t="n">
        <f aca="false">H14</f>
        <v>0</v>
      </c>
      <c r="T14" s="6" t="n">
        <f aca="false">I14</f>
        <v>0</v>
      </c>
      <c r="U14" s="6" t="n">
        <f aca="false">L14</f>
        <v>0</v>
      </c>
      <c r="W14" s="6" t="n">
        <f aca="false">D14</f>
        <v>4.235454545</v>
      </c>
      <c r="X14" s="6" t="n">
        <f aca="false">E14</f>
        <v>0</v>
      </c>
      <c r="Y14" s="6" t="n">
        <f aca="false">F14</f>
        <v>0</v>
      </c>
      <c r="Z14" s="6" t="n">
        <f aca="false">L14</f>
        <v>0</v>
      </c>
      <c r="AA14" s="6" t="n">
        <f aca="false">G14</f>
        <v>0</v>
      </c>
      <c r="AC14" s="6" t="n">
        <f aca="false">D14</f>
        <v>4.235454545</v>
      </c>
      <c r="AD14" s="6" t="n">
        <f aca="false">E14</f>
        <v>0</v>
      </c>
      <c r="AE14" s="6" t="n">
        <f aca="false">G14</f>
        <v>0</v>
      </c>
      <c r="AF14" s="6" t="n">
        <f aca="false">H14</f>
        <v>0</v>
      </c>
      <c r="AG14" s="6" t="n">
        <f aca="false">I14</f>
        <v>0</v>
      </c>
      <c r="AH14" s="6" t="n">
        <f aca="false">L14</f>
        <v>0</v>
      </c>
    </row>
    <row r="15" customFormat="false" ht="15" hidden="false" customHeight="false" outlineLevel="0" collapsed="false">
      <c r="A15" s="0" t="str">
        <f aca="false">'Raw Data'!C15</f>
        <v>Boca Raton</v>
      </c>
      <c r="B15" s="5" t="n">
        <f aca="false">'Raw Data'!A15</f>
        <v>40316</v>
      </c>
      <c r="C15" s="6" t="n">
        <f aca="false">'Raw Data'!D15</f>
        <v>141.53329677413</v>
      </c>
      <c r="D15" s="6" t="n">
        <f aca="false">'Raw Data'!E15</f>
        <v>3.809230769</v>
      </c>
      <c r="E15" s="6" t="n">
        <f aca="false">'Raw Data'!F15</f>
        <v>0</v>
      </c>
      <c r="F15" s="6" t="n">
        <f aca="false">'Raw Data'!G15</f>
        <v>0</v>
      </c>
      <c r="G15" s="6" t="n">
        <f aca="false">'Raw Data'!H15</f>
        <v>0</v>
      </c>
      <c r="H15" s="6" t="n">
        <f aca="false">'Raw Data'!I15</f>
        <v>0</v>
      </c>
      <c r="I15" s="6" t="n">
        <f aca="false">'Raw Data'!J15</f>
        <v>0</v>
      </c>
      <c r="J15" s="6" t="n">
        <f aca="false">'Raw Data'!K15</f>
        <v>0</v>
      </c>
      <c r="K15" s="6" t="n">
        <f aca="false">'Raw Data'!L15</f>
        <v>4</v>
      </c>
      <c r="L15" s="6" t="n">
        <f aca="false">F15*E15</f>
        <v>0</v>
      </c>
      <c r="N15" s="0" t="n">
        <v>1</v>
      </c>
      <c r="O15" s="6" t="n">
        <f aca="false">D15</f>
        <v>3.809230769</v>
      </c>
      <c r="P15" s="6" t="n">
        <f aca="false">E15</f>
        <v>0</v>
      </c>
      <c r="Q15" s="6" t="n">
        <f aca="false">F15</f>
        <v>0</v>
      </c>
      <c r="R15" s="6" t="n">
        <f aca="false">G15</f>
        <v>0</v>
      </c>
      <c r="S15" s="6" t="n">
        <f aca="false">H15</f>
        <v>0</v>
      </c>
      <c r="T15" s="6" t="n">
        <f aca="false">I15</f>
        <v>0</v>
      </c>
      <c r="U15" s="6" t="n">
        <f aca="false">L15</f>
        <v>0</v>
      </c>
      <c r="W15" s="6" t="n">
        <f aca="false">D15</f>
        <v>3.809230769</v>
      </c>
      <c r="X15" s="6" t="n">
        <f aca="false">E15</f>
        <v>0</v>
      </c>
      <c r="Y15" s="6" t="n">
        <f aca="false">F15</f>
        <v>0</v>
      </c>
      <c r="Z15" s="6" t="n">
        <f aca="false">L15</f>
        <v>0</v>
      </c>
      <c r="AA15" s="6" t="n">
        <f aca="false">G15</f>
        <v>0</v>
      </c>
      <c r="AC15" s="6" t="n">
        <f aca="false">D15</f>
        <v>3.809230769</v>
      </c>
      <c r="AD15" s="6" t="n">
        <f aca="false">E15</f>
        <v>0</v>
      </c>
      <c r="AE15" s="6" t="n">
        <f aca="false">G15</f>
        <v>0</v>
      </c>
      <c r="AF15" s="6" t="n">
        <f aca="false">H15</f>
        <v>0</v>
      </c>
      <c r="AG15" s="6" t="n">
        <f aca="false">I15</f>
        <v>0</v>
      </c>
      <c r="AH15" s="6" t="n">
        <f aca="false">L15</f>
        <v>0</v>
      </c>
    </row>
    <row r="16" customFormat="false" ht="15" hidden="false" customHeight="false" outlineLevel="0" collapsed="false">
      <c r="A16" s="0" t="str">
        <f aca="false">'Raw Data'!C16</f>
        <v>Boca Raton</v>
      </c>
      <c r="B16" s="5" t="n">
        <f aca="false">'Raw Data'!A16</f>
        <v>40323</v>
      </c>
      <c r="C16" s="6" t="n">
        <f aca="false">'Raw Data'!D16</f>
        <v>158.073949236319</v>
      </c>
      <c r="D16" s="6" t="n">
        <f aca="false">'Raw Data'!E16</f>
        <v>3.809230769</v>
      </c>
      <c r="E16" s="6" t="n">
        <f aca="false">'Raw Data'!F16</f>
        <v>0</v>
      </c>
      <c r="F16" s="6" t="n">
        <f aca="false">'Raw Data'!G16</f>
        <v>0</v>
      </c>
      <c r="G16" s="6" t="n">
        <f aca="false">'Raw Data'!H16</f>
        <v>0</v>
      </c>
      <c r="H16" s="6" t="n">
        <f aca="false">'Raw Data'!I16</f>
        <v>0</v>
      </c>
      <c r="I16" s="6" t="n">
        <f aca="false">'Raw Data'!J16</f>
        <v>0</v>
      </c>
      <c r="J16" s="6" t="n">
        <f aca="false">'Raw Data'!K16</f>
        <v>0</v>
      </c>
      <c r="K16" s="6" t="n">
        <f aca="false">'Raw Data'!L16</f>
        <v>4</v>
      </c>
      <c r="L16" s="6" t="n">
        <f aca="false">F16*E16</f>
        <v>0</v>
      </c>
      <c r="N16" s="0" t="n">
        <v>1</v>
      </c>
      <c r="O16" s="6" t="n">
        <f aca="false">D16</f>
        <v>3.809230769</v>
      </c>
      <c r="P16" s="6" t="n">
        <f aca="false">E16</f>
        <v>0</v>
      </c>
      <c r="Q16" s="6" t="n">
        <f aca="false">F16</f>
        <v>0</v>
      </c>
      <c r="R16" s="6" t="n">
        <f aca="false">G16</f>
        <v>0</v>
      </c>
      <c r="S16" s="6" t="n">
        <f aca="false">H16</f>
        <v>0</v>
      </c>
      <c r="T16" s="6" t="n">
        <f aca="false">I16</f>
        <v>0</v>
      </c>
      <c r="U16" s="6" t="n">
        <f aca="false">L16</f>
        <v>0</v>
      </c>
      <c r="W16" s="6" t="n">
        <f aca="false">D16</f>
        <v>3.809230769</v>
      </c>
      <c r="X16" s="6" t="n">
        <f aca="false">E16</f>
        <v>0</v>
      </c>
      <c r="Y16" s="6" t="n">
        <f aca="false">F16</f>
        <v>0</v>
      </c>
      <c r="Z16" s="6" t="n">
        <f aca="false">L16</f>
        <v>0</v>
      </c>
      <c r="AA16" s="6" t="n">
        <f aca="false">G16</f>
        <v>0</v>
      </c>
      <c r="AC16" s="6" t="n">
        <f aca="false">D16</f>
        <v>3.809230769</v>
      </c>
      <c r="AD16" s="6" t="n">
        <f aca="false">E16</f>
        <v>0</v>
      </c>
      <c r="AE16" s="6" t="n">
        <f aca="false">G16</f>
        <v>0</v>
      </c>
      <c r="AF16" s="6" t="n">
        <f aca="false">H16</f>
        <v>0</v>
      </c>
      <c r="AG16" s="6" t="n">
        <f aca="false">I16</f>
        <v>0</v>
      </c>
      <c r="AH16" s="6" t="n">
        <f aca="false">L16</f>
        <v>0</v>
      </c>
    </row>
    <row r="17" customFormat="false" ht="15" hidden="false" customHeight="false" outlineLevel="0" collapsed="false">
      <c r="A17" s="0" t="str">
        <f aca="false">'Raw Data'!C17</f>
        <v>Boca Raton</v>
      </c>
      <c r="B17" s="5" t="n">
        <f aca="false">'Raw Data'!A17</f>
        <v>40330</v>
      </c>
      <c r="C17" s="6" t="n">
        <f aca="false">'Raw Data'!D17</f>
        <v>255.117743399346</v>
      </c>
      <c r="D17" s="6" t="n">
        <f aca="false">'Raw Data'!E17</f>
        <v>4.055625</v>
      </c>
      <c r="E17" s="6" t="n">
        <f aca="false">'Raw Data'!F17</f>
        <v>0</v>
      </c>
      <c r="F17" s="6" t="n">
        <f aca="false">'Raw Data'!G17</f>
        <v>0</v>
      </c>
      <c r="G17" s="6" t="n">
        <f aca="false">'Raw Data'!H17</f>
        <v>0</v>
      </c>
      <c r="H17" s="6" t="n">
        <f aca="false">'Raw Data'!I17</f>
        <v>0</v>
      </c>
      <c r="I17" s="6" t="n">
        <f aca="false">'Raw Data'!J17</f>
        <v>0</v>
      </c>
      <c r="J17" s="6" t="n">
        <f aca="false">'Raw Data'!K17</f>
        <v>0</v>
      </c>
      <c r="K17" s="6" t="n">
        <f aca="false">'Raw Data'!L17</f>
        <v>4</v>
      </c>
      <c r="L17" s="6" t="n">
        <f aca="false">F17*E17</f>
        <v>0</v>
      </c>
      <c r="N17" s="0" t="n">
        <v>1</v>
      </c>
      <c r="O17" s="6" t="n">
        <f aca="false">D17</f>
        <v>4.055625</v>
      </c>
      <c r="P17" s="6" t="n">
        <f aca="false">E17</f>
        <v>0</v>
      </c>
      <c r="Q17" s="6" t="n">
        <f aca="false">F17</f>
        <v>0</v>
      </c>
      <c r="R17" s="6" t="n">
        <f aca="false">G17</f>
        <v>0</v>
      </c>
      <c r="S17" s="6" t="n">
        <f aca="false">H17</f>
        <v>0</v>
      </c>
      <c r="T17" s="6" t="n">
        <f aca="false">I17</f>
        <v>0</v>
      </c>
      <c r="U17" s="6" t="n">
        <f aca="false">L17</f>
        <v>0</v>
      </c>
      <c r="W17" s="6" t="n">
        <f aca="false">D17</f>
        <v>4.055625</v>
      </c>
      <c r="X17" s="6" t="n">
        <f aca="false">E17</f>
        <v>0</v>
      </c>
      <c r="Y17" s="6" t="n">
        <f aca="false">F17</f>
        <v>0</v>
      </c>
      <c r="Z17" s="6" t="n">
        <f aca="false">L17</f>
        <v>0</v>
      </c>
      <c r="AA17" s="6" t="n">
        <f aca="false">G17</f>
        <v>0</v>
      </c>
      <c r="AC17" s="6" t="n">
        <f aca="false">D17</f>
        <v>4.055625</v>
      </c>
      <c r="AD17" s="6" t="n">
        <f aca="false">E17</f>
        <v>0</v>
      </c>
      <c r="AE17" s="6" t="n">
        <f aca="false">G17</f>
        <v>0</v>
      </c>
      <c r="AF17" s="6" t="n">
        <f aca="false">H17</f>
        <v>0</v>
      </c>
      <c r="AG17" s="6" t="n">
        <f aca="false">I17</f>
        <v>0</v>
      </c>
      <c r="AH17" s="6" t="n">
        <f aca="false">L17</f>
        <v>0</v>
      </c>
    </row>
    <row r="18" customFormat="false" ht="15" hidden="false" customHeight="false" outlineLevel="0" collapsed="false">
      <c r="A18" s="0" t="str">
        <f aca="false">'Raw Data'!C18</f>
        <v>Boca Raton</v>
      </c>
      <c r="B18" s="5" t="n">
        <f aca="false">'Raw Data'!A18</f>
        <v>40337</v>
      </c>
      <c r="C18" s="6" t="n">
        <f aca="false">'Raw Data'!D18</f>
        <v>129.793626528939</v>
      </c>
      <c r="D18" s="6" t="n">
        <f aca="false">'Raw Data'!E18</f>
        <v>4.383333333</v>
      </c>
      <c r="E18" s="6" t="n">
        <f aca="false">'Raw Data'!F18</f>
        <v>0</v>
      </c>
      <c r="F18" s="6" t="n">
        <f aca="false">'Raw Data'!G18</f>
        <v>0</v>
      </c>
      <c r="G18" s="6" t="n">
        <f aca="false">'Raw Data'!H18</f>
        <v>0</v>
      </c>
      <c r="H18" s="6" t="n">
        <f aca="false">'Raw Data'!I18</f>
        <v>0</v>
      </c>
      <c r="I18" s="6" t="n">
        <f aca="false">'Raw Data'!J18</f>
        <v>0</v>
      </c>
      <c r="J18" s="6" t="n">
        <f aca="false">'Raw Data'!K18</f>
        <v>0</v>
      </c>
      <c r="K18" s="6" t="n">
        <f aca="false">'Raw Data'!L18</f>
        <v>4</v>
      </c>
      <c r="L18" s="6" t="n">
        <f aca="false">F18*E18</f>
        <v>0</v>
      </c>
      <c r="N18" s="0" t="n">
        <v>1</v>
      </c>
      <c r="O18" s="6" t="n">
        <f aca="false">D18</f>
        <v>4.383333333</v>
      </c>
      <c r="P18" s="6" t="n">
        <f aca="false">E18</f>
        <v>0</v>
      </c>
      <c r="Q18" s="6" t="n">
        <f aca="false">F18</f>
        <v>0</v>
      </c>
      <c r="R18" s="6" t="n">
        <f aca="false">G18</f>
        <v>0</v>
      </c>
      <c r="S18" s="6" t="n">
        <f aca="false">H18</f>
        <v>0</v>
      </c>
      <c r="T18" s="6" t="n">
        <f aca="false">I18</f>
        <v>0</v>
      </c>
      <c r="U18" s="6" t="n">
        <f aca="false">L18</f>
        <v>0</v>
      </c>
      <c r="W18" s="6" t="n">
        <f aca="false">D18</f>
        <v>4.383333333</v>
      </c>
      <c r="X18" s="6" t="n">
        <f aca="false">E18</f>
        <v>0</v>
      </c>
      <c r="Y18" s="6" t="n">
        <f aca="false">F18</f>
        <v>0</v>
      </c>
      <c r="Z18" s="6" t="n">
        <f aca="false">L18</f>
        <v>0</v>
      </c>
      <c r="AA18" s="6" t="n">
        <f aca="false">G18</f>
        <v>0</v>
      </c>
      <c r="AC18" s="6" t="n">
        <f aca="false">D18</f>
        <v>4.383333333</v>
      </c>
      <c r="AD18" s="6" t="n">
        <f aca="false">E18</f>
        <v>0</v>
      </c>
      <c r="AE18" s="6" t="n">
        <f aca="false">G18</f>
        <v>0</v>
      </c>
      <c r="AF18" s="6" t="n">
        <f aca="false">H18</f>
        <v>0</v>
      </c>
      <c r="AG18" s="6" t="n">
        <f aca="false">I18</f>
        <v>0</v>
      </c>
      <c r="AH18" s="6" t="n">
        <f aca="false">L18</f>
        <v>0</v>
      </c>
    </row>
    <row r="19" customFormat="false" ht="15" hidden="false" customHeight="false" outlineLevel="0" collapsed="false">
      <c r="A19" s="0" t="str">
        <f aca="false">'Raw Data'!C19</f>
        <v>Boca Raton</v>
      </c>
      <c r="B19" s="5" t="n">
        <f aca="false">'Raw Data'!A19</f>
        <v>40344</v>
      </c>
      <c r="C19" s="6" t="n">
        <f aca="false">'Raw Data'!D19</f>
        <v>137.764285052721</v>
      </c>
      <c r="D19" s="6" t="n">
        <f aca="false">'Raw Data'!E19</f>
        <v>4.35875</v>
      </c>
      <c r="E19" s="6" t="n">
        <f aca="false">'Raw Data'!F19</f>
        <v>0</v>
      </c>
      <c r="F19" s="6" t="n">
        <f aca="false">'Raw Data'!G19</f>
        <v>0</v>
      </c>
      <c r="G19" s="6" t="n">
        <f aca="false">'Raw Data'!H19</f>
        <v>0</v>
      </c>
      <c r="H19" s="6" t="n">
        <f aca="false">'Raw Data'!I19</f>
        <v>0</v>
      </c>
      <c r="I19" s="6" t="n">
        <f aca="false">'Raw Data'!J19</f>
        <v>0</v>
      </c>
      <c r="J19" s="6" t="n">
        <f aca="false">'Raw Data'!K19</f>
        <v>0</v>
      </c>
      <c r="K19" s="6" t="n">
        <f aca="false">'Raw Data'!L19</f>
        <v>4</v>
      </c>
      <c r="L19" s="6" t="n">
        <f aca="false">F19*E19</f>
        <v>0</v>
      </c>
      <c r="N19" s="0" t="n">
        <v>1</v>
      </c>
      <c r="O19" s="6" t="n">
        <f aca="false">D19</f>
        <v>4.35875</v>
      </c>
      <c r="P19" s="6" t="n">
        <f aca="false">E19</f>
        <v>0</v>
      </c>
      <c r="Q19" s="6" t="n">
        <f aca="false">F19</f>
        <v>0</v>
      </c>
      <c r="R19" s="6" t="n">
        <f aca="false">G19</f>
        <v>0</v>
      </c>
      <c r="S19" s="6" t="n">
        <f aca="false">H19</f>
        <v>0</v>
      </c>
      <c r="T19" s="6" t="n">
        <f aca="false">I19</f>
        <v>0</v>
      </c>
      <c r="U19" s="6" t="n">
        <f aca="false">L19</f>
        <v>0</v>
      </c>
      <c r="W19" s="6" t="n">
        <f aca="false">D19</f>
        <v>4.35875</v>
      </c>
      <c r="X19" s="6" t="n">
        <f aca="false">E19</f>
        <v>0</v>
      </c>
      <c r="Y19" s="6" t="n">
        <f aca="false">F19</f>
        <v>0</v>
      </c>
      <c r="Z19" s="6" t="n">
        <f aca="false">L19</f>
        <v>0</v>
      </c>
      <c r="AA19" s="6" t="n">
        <f aca="false">G19</f>
        <v>0</v>
      </c>
      <c r="AC19" s="6" t="n">
        <f aca="false">D19</f>
        <v>4.35875</v>
      </c>
      <c r="AD19" s="6" t="n">
        <f aca="false">E19</f>
        <v>0</v>
      </c>
      <c r="AE19" s="6" t="n">
        <f aca="false">G19</f>
        <v>0</v>
      </c>
      <c r="AF19" s="6" t="n">
        <f aca="false">H19</f>
        <v>0</v>
      </c>
      <c r="AG19" s="6" t="n">
        <f aca="false">I19</f>
        <v>0</v>
      </c>
      <c r="AH19" s="6" t="n">
        <f aca="false">L19</f>
        <v>0</v>
      </c>
    </row>
    <row r="20" customFormat="false" ht="15" hidden="false" customHeight="false" outlineLevel="0" collapsed="false">
      <c r="A20" s="0" t="str">
        <f aca="false">'Raw Data'!C20</f>
        <v>Boca Raton</v>
      </c>
      <c r="B20" s="5" t="n">
        <f aca="false">'Raw Data'!A20</f>
        <v>40351</v>
      </c>
      <c r="C20" s="6" t="n">
        <f aca="false">'Raw Data'!D20</f>
        <v>306.793818706478</v>
      </c>
      <c r="D20" s="6" t="n">
        <f aca="false">'Raw Data'!E20</f>
        <v>4.35875</v>
      </c>
      <c r="E20" s="6" t="n">
        <f aca="false">'Raw Data'!F20</f>
        <v>0</v>
      </c>
      <c r="F20" s="6" t="n">
        <f aca="false">'Raw Data'!G20</f>
        <v>0</v>
      </c>
      <c r="G20" s="6" t="n">
        <f aca="false">'Raw Data'!H20</f>
        <v>0</v>
      </c>
      <c r="H20" s="6" t="n">
        <f aca="false">'Raw Data'!I20</f>
        <v>0</v>
      </c>
      <c r="I20" s="6" t="n">
        <f aca="false">'Raw Data'!J20</f>
        <v>0</v>
      </c>
      <c r="J20" s="6" t="n">
        <f aca="false">'Raw Data'!K20</f>
        <v>0</v>
      </c>
      <c r="K20" s="6" t="n">
        <f aca="false">'Raw Data'!L20</f>
        <v>4</v>
      </c>
      <c r="L20" s="6" t="n">
        <f aca="false">F20*E20</f>
        <v>0</v>
      </c>
      <c r="N20" s="0" t="n">
        <v>1</v>
      </c>
      <c r="O20" s="6" t="n">
        <f aca="false">D20</f>
        <v>4.35875</v>
      </c>
      <c r="P20" s="6" t="n">
        <f aca="false">E20</f>
        <v>0</v>
      </c>
      <c r="Q20" s="6" t="n">
        <f aca="false">F20</f>
        <v>0</v>
      </c>
      <c r="R20" s="6" t="n">
        <f aca="false">G20</f>
        <v>0</v>
      </c>
      <c r="S20" s="6" t="n">
        <f aca="false">H20</f>
        <v>0</v>
      </c>
      <c r="T20" s="6" t="n">
        <f aca="false">I20</f>
        <v>0</v>
      </c>
      <c r="U20" s="6" t="n">
        <f aca="false">L20</f>
        <v>0</v>
      </c>
      <c r="W20" s="6" t="n">
        <f aca="false">D20</f>
        <v>4.35875</v>
      </c>
      <c r="X20" s="6" t="n">
        <f aca="false">E20</f>
        <v>0</v>
      </c>
      <c r="Y20" s="6" t="n">
        <f aca="false">F20</f>
        <v>0</v>
      </c>
      <c r="Z20" s="6" t="n">
        <f aca="false">L20</f>
        <v>0</v>
      </c>
      <c r="AA20" s="6" t="n">
        <f aca="false">G20</f>
        <v>0</v>
      </c>
      <c r="AC20" s="6" t="n">
        <f aca="false">D20</f>
        <v>4.35875</v>
      </c>
      <c r="AD20" s="6" t="n">
        <f aca="false">E20</f>
        <v>0</v>
      </c>
      <c r="AE20" s="6" t="n">
        <f aca="false">G20</f>
        <v>0</v>
      </c>
      <c r="AF20" s="6" t="n">
        <f aca="false">H20</f>
        <v>0</v>
      </c>
      <c r="AG20" s="6" t="n">
        <f aca="false">I20</f>
        <v>0</v>
      </c>
      <c r="AH20" s="6" t="n">
        <f aca="false">L20</f>
        <v>0</v>
      </c>
    </row>
    <row r="21" customFormat="false" ht="15" hidden="false" customHeight="false" outlineLevel="0" collapsed="false">
      <c r="A21" s="0" t="str">
        <f aca="false">'Raw Data'!C21</f>
        <v>Boca Raton</v>
      </c>
      <c r="B21" s="5" t="n">
        <f aca="false">'Raw Data'!A21</f>
        <v>40358</v>
      </c>
      <c r="C21" s="6" t="n">
        <f aca="false">'Raw Data'!D21</f>
        <v>103.319022667528</v>
      </c>
      <c r="D21" s="6" t="n">
        <f aca="false">'Raw Data'!E21</f>
        <v>4.35875</v>
      </c>
      <c r="E21" s="6" t="n">
        <f aca="false">'Raw Data'!F21</f>
        <v>0</v>
      </c>
      <c r="F21" s="6" t="n">
        <f aca="false">'Raw Data'!G21</f>
        <v>0</v>
      </c>
      <c r="G21" s="6" t="n">
        <f aca="false">'Raw Data'!H21</f>
        <v>0</v>
      </c>
      <c r="H21" s="6" t="n">
        <f aca="false">'Raw Data'!I21</f>
        <v>0</v>
      </c>
      <c r="I21" s="6" t="n">
        <f aca="false">'Raw Data'!J21</f>
        <v>0</v>
      </c>
      <c r="J21" s="6" t="n">
        <f aca="false">'Raw Data'!K21</f>
        <v>0</v>
      </c>
      <c r="K21" s="6" t="n">
        <f aca="false">'Raw Data'!L21</f>
        <v>4</v>
      </c>
      <c r="L21" s="6" t="n">
        <f aca="false">F21*E21</f>
        <v>0</v>
      </c>
      <c r="N21" s="0" t="n">
        <v>1</v>
      </c>
      <c r="O21" s="6" t="n">
        <f aca="false">D21</f>
        <v>4.35875</v>
      </c>
      <c r="P21" s="6" t="n">
        <f aca="false">E21</f>
        <v>0</v>
      </c>
      <c r="Q21" s="6" t="n">
        <f aca="false">F21</f>
        <v>0</v>
      </c>
      <c r="R21" s="6" t="n">
        <f aca="false">G21</f>
        <v>0</v>
      </c>
      <c r="S21" s="6" t="n">
        <f aca="false">H21</f>
        <v>0</v>
      </c>
      <c r="T21" s="6" t="n">
        <f aca="false">I21</f>
        <v>0</v>
      </c>
      <c r="U21" s="6" t="n">
        <f aca="false">L21</f>
        <v>0</v>
      </c>
      <c r="W21" s="6" t="n">
        <f aca="false">D21</f>
        <v>4.35875</v>
      </c>
      <c r="X21" s="6" t="n">
        <f aca="false">E21</f>
        <v>0</v>
      </c>
      <c r="Y21" s="6" t="n">
        <f aca="false">F21</f>
        <v>0</v>
      </c>
      <c r="Z21" s="6" t="n">
        <f aca="false">L21</f>
        <v>0</v>
      </c>
      <c r="AA21" s="6" t="n">
        <f aca="false">G21</f>
        <v>0</v>
      </c>
      <c r="AC21" s="6" t="n">
        <f aca="false">D21</f>
        <v>4.35875</v>
      </c>
      <c r="AD21" s="6" t="n">
        <f aca="false">E21</f>
        <v>0</v>
      </c>
      <c r="AE21" s="6" t="n">
        <f aca="false">G21</f>
        <v>0</v>
      </c>
      <c r="AF21" s="6" t="n">
        <f aca="false">H21</f>
        <v>0</v>
      </c>
      <c r="AG21" s="6" t="n">
        <f aca="false">I21</f>
        <v>0</v>
      </c>
      <c r="AH21" s="6" t="n">
        <f aca="false">L21</f>
        <v>0</v>
      </c>
    </row>
    <row r="22" customFormat="false" ht="15" hidden="false" customHeight="false" outlineLevel="0" collapsed="false">
      <c r="A22" s="0" t="str">
        <f aca="false">'Raw Data'!C22</f>
        <v>Boca Raton</v>
      </c>
      <c r="B22" s="5" t="n">
        <f aca="false">'Raw Data'!A22</f>
        <v>40365</v>
      </c>
      <c r="C22" s="6" t="n">
        <f aca="false">'Raw Data'!D22</f>
        <v>240.225177230148</v>
      </c>
      <c r="D22" s="6" t="n">
        <f aca="false">'Raw Data'!E22</f>
        <v>4.0125</v>
      </c>
      <c r="E22" s="6" t="n">
        <f aca="false">'Raw Data'!F22</f>
        <v>0</v>
      </c>
      <c r="F22" s="6" t="n">
        <f aca="false">'Raw Data'!G22</f>
        <v>0</v>
      </c>
      <c r="G22" s="6" t="n">
        <f aca="false">'Raw Data'!H22</f>
        <v>0</v>
      </c>
      <c r="H22" s="6" t="n">
        <f aca="false">'Raw Data'!I22</f>
        <v>0</v>
      </c>
      <c r="I22" s="6" t="n">
        <f aca="false">'Raw Data'!J22</f>
        <v>0</v>
      </c>
      <c r="J22" s="6" t="n">
        <f aca="false">'Raw Data'!K22</f>
        <v>0</v>
      </c>
      <c r="K22" s="6" t="n">
        <f aca="false">'Raw Data'!L22</f>
        <v>4</v>
      </c>
      <c r="L22" s="6" t="n">
        <f aca="false">F22*E22</f>
        <v>0</v>
      </c>
      <c r="N22" s="0" t="n">
        <v>1</v>
      </c>
      <c r="O22" s="6" t="n">
        <f aca="false">D22</f>
        <v>4.0125</v>
      </c>
      <c r="P22" s="6" t="n">
        <f aca="false">E22</f>
        <v>0</v>
      </c>
      <c r="Q22" s="6" t="n">
        <f aca="false">F22</f>
        <v>0</v>
      </c>
      <c r="R22" s="6" t="n">
        <f aca="false">G22</f>
        <v>0</v>
      </c>
      <c r="S22" s="6" t="n">
        <f aca="false">H22</f>
        <v>0</v>
      </c>
      <c r="T22" s="6" t="n">
        <f aca="false">I22</f>
        <v>0</v>
      </c>
      <c r="U22" s="6" t="n">
        <f aca="false">L22</f>
        <v>0</v>
      </c>
      <c r="W22" s="6" t="n">
        <f aca="false">D22</f>
        <v>4.0125</v>
      </c>
      <c r="X22" s="6" t="n">
        <f aca="false">E22</f>
        <v>0</v>
      </c>
      <c r="Y22" s="6" t="n">
        <f aca="false">F22</f>
        <v>0</v>
      </c>
      <c r="Z22" s="6" t="n">
        <f aca="false">L22</f>
        <v>0</v>
      </c>
      <c r="AA22" s="6" t="n">
        <f aca="false">G22</f>
        <v>0</v>
      </c>
      <c r="AC22" s="6" t="n">
        <f aca="false">D22</f>
        <v>4.0125</v>
      </c>
      <c r="AD22" s="6" t="n">
        <f aca="false">E22</f>
        <v>0</v>
      </c>
      <c r="AE22" s="6" t="n">
        <f aca="false">G22</f>
        <v>0</v>
      </c>
      <c r="AF22" s="6" t="n">
        <f aca="false">H22</f>
        <v>0</v>
      </c>
      <c r="AG22" s="6" t="n">
        <f aca="false">I22</f>
        <v>0</v>
      </c>
      <c r="AH22" s="6" t="n">
        <f aca="false">L22</f>
        <v>0</v>
      </c>
    </row>
    <row r="23" customFormat="false" ht="15" hidden="false" customHeight="false" outlineLevel="0" collapsed="false">
      <c r="A23" s="0" t="str">
        <f aca="false">'Raw Data'!C23</f>
        <v>Boca Raton</v>
      </c>
      <c r="B23" s="5" t="n">
        <f aca="false">'Raw Data'!A23</f>
        <v>40372</v>
      </c>
      <c r="C23" s="6" t="n">
        <f aca="false">'Raw Data'!D23</f>
        <v>190.024801030626</v>
      </c>
      <c r="D23" s="6" t="n">
        <f aca="false">'Raw Data'!E23</f>
        <v>4.0125</v>
      </c>
      <c r="E23" s="6" t="n">
        <f aca="false">'Raw Data'!F23</f>
        <v>0</v>
      </c>
      <c r="F23" s="6" t="n">
        <f aca="false">'Raw Data'!G23</f>
        <v>0</v>
      </c>
      <c r="G23" s="6" t="n">
        <f aca="false">'Raw Data'!H23</f>
        <v>0</v>
      </c>
      <c r="H23" s="6" t="n">
        <f aca="false">'Raw Data'!I23</f>
        <v>0</v>
      </c>
      <c r="I23" s="6" t="n">
        <f aca="false">'Raw Data'!J23</f>
        <v>0</v>
      </c>
      <c r="J23" s="6" t="n">
        <f aca="false">'Raw Data'!K23</f>
        <v>0</v>
      </c>
      <c r="K23" s="6" t="n">
        <f aca="false">'Raw Data'!L23</f>
        <v>4</v>
      </c>
      <c r="L23" s="6" t="n">
        <f aca="false">F23*E23</f>
        <v>0</v>
      </c>
      <c r="N23" s="0" t="n">
        <v>1</v>
      </c>
      <c r="O23" s="6" t="n">
        <f aca="false">D23</f>
        <v>4.0125</v>
      </c>
      <c r="P23" s="6" t="n">
        <f aca="false">E23</f>
        <v>0</v>
      </c>
      <c r="Q23" s="6" t="n">
        <f aca="false">F23</f>
        <v>0</v>
      </c>
      <c r="R23" s="6" t="n">
        <f aca="false">G23</f>
        <v>0</v>
      </c>
      <c r="S23" s="6" t="n">
        <f aca="false">H23</f>
        <v>0</v>
      </c>
      <c r="T23" s="6" t="n">
        <f aca="false">I23</f>
        <v>0</v>
      </c>
      <c r="U23" s="6" t="n">
        <f aca="false">L23</f>
        <v>0</v>
      </c>
      <c r="W23" s="6" t="n">
        <f aca="false">D23</f>
        <v>4.0125</v>
      </c>
      <c r="X23" s="6" t="n">
        <f aca="false">E23</f>
        <v>0</v>
      </c>
      <c r="Y23" s="6" t="n">
        <f aca="false">F23</f>
        <v>0</v>
      </c>
      <c r="Z23" s="6" t="n">
        <f aca="false">L23</f>
        <v>0</v>
      </c>
      <c r="AA23" s="6" t="n">
        <f aca="false">G23</f>
        <v>0</v>
      </c>
      <c r="AC23" s="6" t="n">
        <f aca="false">D23</f>
        <v>4.0125</v>
      </c>
      <c r="AD23" s="6" t="n">
        <f aca="false">E23</f>
        <v>0</v>
      </c>
      <c r="AE23" s="6" t="n">
        <f aca="false">G23</f>
        <v>0</v>
      </c>
      <c r="AF23" s="6" t="n">
        <f aca="false">H23</f>
        <v>0</v>
      </c>
      <c r="AG23" s="6" t="n">
        <f aca="false">I23</f>
        <v>0</v>
      </c>
      <c r="AH23" s="6" t="n">
        <f aca="false">L23</f>
        <v>0</v>
      </c>
    </row>
    <row r="24" customFormat="false" ht="15" hidden="false" customHeight="false" outlineLevel="0" collapsed="false">
      <c r="A24" s="0" t="str">
        <f aca="false">'Raw Data'!C24</f>
        <v>Coral Gables</v>
      </c>
      <c r="B24" s="5" t="n">
        <f aca="false">'Raw Data'!A24</f>
        <v>40302</v>
      </c>
      <c r="C24" s="6" t="n">
        <f aca="false">'Raw Data'!D24</f>
        <v>149.767871471215</v>
      </c>
      <c r="D24" s="6" t="n">
        <f aca="false">'Raw Data'!E24</f>
        <v>4.518571429</v>
      </c>
      <c r="E24" s="6" t="n">
        <f aca="false">'Raw Data'!F24</f>
        <v>0</v>
      </c>
      <c r="F24" s="6" t="n">
        <f aca="false">'Raw Data'!G24</f>
        <v>0</v>
      </c>
      <c r="G24" s="6" t="n">
        <f aca="false">'Raw Data'!H24</f>
        <v>0</v>
      </c>
      <c r="H24" s="6" t="n">
        <f aca="false">'Raw Data'!I24</f>
        <v>0</v>
      </c>
      <c r="I24" s="6" t="n">
        <f aca="false">'Raw Data'!J24</f>
        <v>0</v>
      </c>
      <c r="J24" s="6" t="n">
        <f aca="false">'Raw Data'!K24</f>
        <v>2</v>
      </c>
      <c r="K24" s="6" t="n">
        <f aca="false">'Raw Data'!L24</f>
        <v>1</v>
      </c>
      <c r="L24" s="6" t="n">
        <f aca="false">F24*E24</f>
        <v>0</v>
      </c>
      <c r="N24" s="0" t="n">
        <v>1</v>
      </c>
      <c r="O24" s="6" t="n">
        <f aca="false">D24</f>
        <v>4.518571429</v>
      </c>
      <c r="P24" s="6" t="n">
        <f aca="false">E24</f>
        <v>0</v>
      </c>
      <c r="Q24" s="6" t="n">
        <f aca="false">F24</f>
        <v>0</v>
      </c>
      <c r="R24" s="6" t="n">
        <f aca="false">G24</f>
        <v>0</v>
      </c>
      <c r="S24" s="6" t="n">
        <f aca="false">H24</f>
        <v>0</v>
      </c>
      <c r="T24" s="6" t="n">
        <f aca="false">I24</f>
        <v>0</v>
      </c>
      <c r="U24" s="6" t="n">
        <f aca="false">L24</f>
        <v>0</v>
      </c>
      <c r="W24" s="6" t="n">
        <f aca="false">D24</f>
        <v>4.518571429</v>
      </c>
      <c r="X24" s="6" t="n">
        <f aca="false">E24</f>
        <v>0</v>
      </c>
      <c r="Y24" s="6" t="n">
        <f aca="false">F24</f>
        <v>0</v>
      </c>
      <c r="Z24" s="6" t="n">
        <f aca="false">L24</f>
        <v>0</v>
      </c>
      <c r="AA24" s="6" t="n">
        <f aca="false">G24</f>
        <v>0</v>
      </c>
      <c r="AC24" s="6" t="n">
        <f aca="false">D24</f>
        <v>4.518571429</v>
      </c>
      <c r="AD24" s="6" t="n">
        <f aca="false">E24</f>
        <v>0</v>
      </c>
      <c r="AE24" s="6" t="n">
        <f aca="false">G24</f>
        <v>0</v>
      </c>
      <c r="AF24" s="6" t="n">
        <f aca="false">H24</f>
        <v>0</v>
      </c>
      <c r="AG24" s="6" t="n">
        <f aca="false">I24</f>
        <v>0</v>
      </c>
      <c r="AH24" s="6" t="n">
        <f aca="false">L24</f>
        <v>0</v>
      </c>
    </row>
    <row r="25" customFormat="false" ht="15" hidden="false" customHeight="false" outlineLevel="0" collapsed="false">
      <c r="A25" s="0" t="str">
        <f aca="false">'Raw Data'!C25</f>
        <v>Coral Gables</v>
      </c>
      <c r="B25" s="5" t="n">
        <f aca="false">'Raw Data'!A25</f>
        <v>40309</v>
      </c>
      <c r="C25" s="6" t="n">
        <f aca="false">'Raw Data'!D25</f>
        <v>223.612759426956</v>
      </c>
      <c r="D25" s="6" t="n">
        <f aca="false">'Raw Data'!E25</f>
        <v>3.72</v>
      </c>
      <c r="E25" s="6" t="n">
        <f aca="false">'Raw Data'!F25</f>
        <v>0</v>
      </c>
      <c r="F25" s="6" t="n">
        <f aca="false">'Raw Data'!G25</f>
        <v>0</v>
      </c>
      <c r="G25" s="6" t="n">
        <f aca="false">'Raw Data'!H25</f>
        <v>0</v>
      </c>
      <c r="H25" s="6" t="n">
        <f aca="false">'Raw Data'!I25</f>
        <v>0</v>
      </c>
      <c r="I25" s="6" t="n">
        <f aca="false">'Raw Data'!J25</f>
        <v>0</v>
      </c>
      <c r="J25" s="6" t="n">
        <f aca="false">'Raw Data'!K25</f>
        <v>2</v>
      </c>
      <c r="K25" s="6" t="n">
        <f aca="false">'Raw Data'!L25</f>
        <v>1</v>
      </c>
      <c r="L25" s="6" t="n">
        <f aca="false">F25*E25</f>
        <v>0</v>
      </c>
      <c r="N25" s="0" t="n">
        <v>1</v>
      </c>
      <c r="O25" s="6" t="n">
        <f aca="false">D25</f>
        <v>3.72</v>
      </c>
      <c r="P25" s="6" t="n">
        <f aca="false">E25</f>
        <v>0</v>
      </c>
      <c r="Q25" s="6" t="n">
        <f aca="false">F25</f>
        <v>0</v>
      </c>
      <c r="R25" s="6" t="n">
        <f aca="false">G25</f>
        <v>0</v>
      </c>
      <c r="S25" s="6" t="n">
        <f aca="false">H25</f>
        <v>0</v>
      </c>
      <c r="T25" s="6" t="n">
        <f aca="false">I25</f>
        <v>0</v>
      </c>
      <c r="U25" s="6" t="n">
        <f aca="false">L25</f>
        <v>0</v>
      </c>
      <c r="W25" s="6" t="n">
        <f aca="false">D25</f>
        <v>3.72</v>
      </c>
      <c r="X25" s="6" t="n">
        <f aca="false">E25</f>
        <v>0</v>
      </c>
      <c r="Y25" s="6" t="n">
        <f aca="false">F25</f>
        <v>0</v>
      </c>
      <c r="Z25" s="6" t="n">
        <f aca="false">L25</f>
        <v>0</v>
      </c>
      <c r="AA25" s="6" t="n">
        <f aca="false">G25</f>
        <v>0</v>
      </c>
      <c r="AC25" s="6" t="n">
        <f aca="false">D25</f>
        <v>3.72</v>
      </c>
      <c r="AD25" s="6" t="n">
        <f aca="false">E25</f>
        <v>0</v>
      </c>
      <c r="AE25" s="6" t="n">
        <f aca="false">G25</f>
        <v>0</v>
      </c>
      <c r="AF25" s="6" t="n">
        <f aca="false">H25</f>
        <v>0</v>
      </c>
      <c r="AG25" s="6" t="n">
        <f aca="false">I25</f>
        <v>0</v>
      </c>
      <c r="AH25" s="6" t="n">
        <f aca="false">L25</f>
        <v>0</v>
      </c>
    </row>
    <row r="26" customFormat="false" ht="15" hidden="false" customHeight="false" outlineLevel="0" collapsed="false">
      <c r="A26" s="0" t="str">
        <f aca="false">'Raw Data'!C26</f>
        <v>Coral Gables</v>
      </c>
      <c r="B26" s="5" t="n">
        <f aca="false">'Raw Data'!A26</f>
        <v>40316</v>
      </c>
      <c r="C26" s="6" t="n">
        <f aca="false">'Raw Data'!D26</f>
        <v>216.36969551659</v>
      </c>
      <c r="D26" s="6" t="n">
        <f aca="false">'Raw Data'!E26</f>
        <v>3.793636364</v>
      </c>
      <c r="E26" s="6" t="n">
        <f aca="false">'Raw Data'!F26</f>
        <v>0</v>
      </c>
      <c r="F26" s="6" t="n">
        <f aca="false">'Raw Data'!G26</f>
        <v>0</v>
      </c>
      <c r="G26" s="6" t="n">
        <f aca="false">'Raw Data'!H26</f>
        <v>0</v>
      </c>
      <c r="H26" s="6" t="n">
        <f aca="false">'Raw Data'!I26</f>
        <v>0</v>
      </c>
      <c r="I26" s="6" t="n">
        <f aca="false">'Raw Data'!J26</f>
        <v>0</v>
      </c>
      <c r="J26" s="6" t="n">
        <f aca="false">'Raw Data'!K26</f>
        <v>2</v>
      </c>
      <c r="K26" s="6" t="n">
        <f aca="false">'Raw Data'!L26</f>
        <v>1</v>
      </c>
      <c r="L26" s="6" t="n">
        <f aca="false">F26*E26</f>
        <v>0</v>
      </c>
      <c r="N26" s="0" t="n">
        <v>1</v>
      </c>
      <c r="O26" s="6" t="n">
        <f aca="false">D26</f>
        <v>3.793636364</v>
      </c>
      <c r="P26" s="6" t="n">
        <f aca="false">E26</f>
        <v>0</v>
      </c>
      <c r="Q26" s="6" t="n">
        <f aca="false">F26</f>
        <v>0</v>
      </c>
      <c r="R26" s="6" t="n">
        <f aca="false">G26</f>
        <v>0</v>
      </c>
      <c r="S26" s="6" t="n">
        <f aca="false">H26</f>
        <v>0</v>
      </c>
      <c r="T26" s="6" t="n">
        <f aca="false">I26</f>
        <v>0</v>
      </c>
      <c r="U26" s="6" t="n">
        <f aca="false">L26</f>
        <v>0</v>
      </c>
      <c r="W26" s="6" t="n">
        <f aca="false">D26</f>
        <v>3.793636364</v>
      </c>
      <c r="X26" s="6" t="n">
        <f aca="false">E26</f>
        <v>0</v>
      </c>
      <c r="Y26" s="6" t="n">
        <f aca="false">F26</f>
        <v>0</v>
      </c>
      <c r="Z26" s="6" t="n">
        <f aca="false">L26</f>
        <v>0</v>
      </c>
      <c r="AA26" s="6" t="n">
        <f aca="false">G26</f>
        <v>0</v>
      </c>
      <c r="AC26" s="6" t="n">
        <f aca="false">D26</f>
        <v>3.793636364</v>
      </c>
      <c r="AD26" s="6" t="n">
        <f aca="false">E26</f>
        <v>0</v>
      </c>
      <c r="AE26" s="6" t="n">
        <f aca="false">G26</f>
        <v>0</v>
      </c>
      <c r="AF26" s="6" t="n">
        <f aca="false">H26</f>
        <v>0</v>
      </c>
      <c r="AG26" s="6" t="n">
        <f aca="false">I26</f>
        <v>0</v>
      </c>
      <c r="AH26" s="6" t="n">
        <f aca="false">L26</f>
        <v>0</v>
      </c>
    </row>
    <row r="27" customFormat="false" ht="15" hidden="false" customHeight="false" outlineLevel="0" collapsed="false">
      <c r="A27" s="0" t="str">
        <f aca="false">'Raw Data'!C27</f>
        <v>Coral Gables</v>
      </c>
      <c r="B27" s="5" t="n">
        <f aca="false">'Raw Data'!A27</f>
        <v>40323</v>
      </c>
      <c r="C27" s="6" t="n">
        <f aca="false">'Raw Data'!D27</f>
        <v>205.534940262073</v>
      </c>
      <c r="D27" s="6" t="n">
        <f aca="false">'Raw Data'!E27</f>
        <v>3.904</v>
      </c>
      <c r="E27" s="6" t="n">
        <f aca="false">'Raw Data'!F27</f>
        <v>0</v>
      </c>
      <c r="F27" s="6" t="n">
        <f aca="false">'Raw Data'!G27</f>
        <v>0</v>
      </c>
      <c r="G27" s="6" t="n">
        <f aca="false">'Raw Data'!H27</f>
        <v>0</v>
      </c>
      <c r="H27" s="6" t="n">
        <f aca="false">'Raw Data'!I27</f>
        <v>0</v>
      </c>
      <c r="I27" s="6" t="n">
        <f aca="false">'Raw Data'!J27</f>
        <v>0</v>
      </c>
      <c r="J27" s="6" t="n">
        <f aca="false">'Raw Data'!K27</f>
        <v>2</v>
      </c>
      <c r="K27" s="6" t="n">
        <f aca="false">'Raw Data'!L27</f>
        <v>1</v>
      </c>
      <c r="L27" s="6" t="n">
        <f aca="false">F27*E27</f>
        <v>0</v>
      </c>
      <c r="N27" s="0" t="n">
        <v>1</v>
      </c>
      <c r="O27" s="6" t="n">
        <f aca="false">D27</f>
        <v>3.904</v>
      </c>
      <c r="P27" s="6" t="n">
        <f aca="false">E27</f>
        <v>0</v>
      </c>
      <c r="Q27" s="6" t="n">
        <f aca="false">F27</f>
        <v>0</v>
      </c>
      <c r="R27" s="6" t="n">
        <f aca="false">G27</f>
        <v>0</v>
      </c>
      <c r="S27" s="6" t="n">
        <f aca="false">H27</f>
        <v>0</v>
      </c>
      <c r="T27" s="6" t="n">
        <f aca="false">I27</f>
        <v>0</v>
      </c>
      <c r="U27" s="6" t="n">
        <f aca="false">L27</f>
        <v>0</v>
      </c>
      <c r="W27" s="6" t="n">
        <f aca="false">D27</f>
        <v>3.904</v>
      </c>
      <c r="X27" s="6" t="n">
        <f aca="false">E27</f>
        <v>0</v>
      </c>
      <c r="Y27" s="6" t="n">
        <f aca="false">F27</f>
        <v>0</v>
      </c>
      <c r="Z27" s="6" t="n">
        <f aca="false">L27</f>
        <v>0</v>
      </c>
      <c r="AA27" s="6" t="n">
        <f aca="false">G27</f>
        <v>0</v>
      </c>
      <c r="AC27" s="6" t="n">
        <f aca="false">D27</f>
        <v>3.904</v>
      </c>
      <c r="AD27" s="6" t="n">
        <f aca="false">E27</f>
        <v>0</v>
      </c>
      <c r="AE27" s="6" t="n">
        <f aca="false">G27</f>
        <v>0</v>
      </c>
      <c r="AF27" s="6" t="n">
        <f aca="false">H27</f>
        <v>0</v>
      </c>
      <c r="AG27" s="6" t="n">
        <f aca="false">I27</f>
        <v>0</v>
      </c>
      <c r="AH27" s="6" t="n">
        <f aca="false">L27</f>
        <v>0</v>
      </c>
    </row>
    <row r="28" customFormat="false" ht="15" hidden="false" customHeight="false" outlineLevel="0" collapsed="false">
      <c r="A28" s="0" t="str">
        <f aca="false">'Raw Data'!C28</f>
        <v>Coral Gables</v>
      </c>
      <c r="B28" s="5" t="n">
        <f aca="false">'Raw Data'!A28</f>
        <v>40330</v>
      </c>
      <c r="C28" s="6" t="n">
        <f aca="false">'Raw Data'!D28</f>
        <v>131.626529533105</v>
      </c>
      <c r="D28" s="6" t="n">
        <f aca="false">'Raw Data'!E28</f>
        <v>4.043333333</v>
      </c>
      <c r="E28" s="6" t="n">
        <f aca="false">'Raw Data'!F28</f>
        <v>0</v>
      </c>
      <c r="F28" s="6" t="n">
        <f aca="false">'Raw Data'!G28</f>
        <v>0</v>
      </c>
      <c r="G28" s="6" t="n">
        <f aca="false">'Raw Data'!H28</f>
        <v>0</v>
      </c>
      <c r="H28" s="6" t="n">
        <f aca="false">'Raw Data'!I28</f>
        <v>0</v>
      </c>
      <c r="I28" s="6" t="n">
        <f aca="false">'Raw Data'!J28</f>
        <v>0</v>
      </c>
      <c r="J28" s="6" t="n">
        <f aca="false">'Raw Data'!K28</f>
        <v>2</v>
      </c>
      <c r="K28" s="6" t="n">
        <f aca="false">'Raw Data'!L28</f>
        <v>1</v>
      </c>
      <c r="L28" s="6" t="n">
        <f aca="false">F28*E28</f>
        <v>0</v>
      </c>
      <c r="N28" s="0" t="n">
        <v>1</v>
      </c>
      <c r="O28" s="6" t="n">
        <f aca="false">D28</f>
        <v>4.043333333</v>
      </c>
      <c r="P28" s="6" t="n">
        <f aca="false">E28</f>
        <v>0</v>
      </c>
      <c r="Q28" s="6" t="n">
        <f aca="false">F28</f>
        <v>0</v>
      </c>
      <c r="R28" s="6" t="n">
        <f aca="false">G28</f>
        <v>0</v>
      </c>
      <c r="S28" s="6" t="n">
        <f aca="false">H28</f>
        <v>0</v>
      </c>
      <c r="T28" s="6" t="n">
        <f aca="false">I28</f>
        <v>0</v>
      </c>
      <c r="U28" s="6" t="n">
        <f aca="false">L28</f>
        <v>0</v>
      </c>
      <c r="W28" s="6" t="n">
        <f aca="false">D28</f>
        <v>4.043333333</v>
      </c>
      <c r="X28" s="6" t="n">
        <f aca="false">E28</f>
        <v>0</v>
      </c>
      <c r="Y28" s="6" t="n">
        <f aca="false">F28</f>
        <v>0</v>
      </c>
      <c r="Z28" s="6" t="n">
        <f aca="false">L28</f>
        <v>0</v>
      </c>
      <c r="AA28" s="6" t="n">
        <f aca="false">G28</f>
        <v>0</v>
      </c>
      <c r="AC28" s="6" t="n">
        <f aca="false">D28</f>
        <v>4.043333333</v>
      </c>
      <c r="AD28" s="6" t="n">
        <f aca="false">E28</f>
        <v>0</v>
      </c>
      <c r="AE28" s="6" t="n">
        <f aca="false">G28</f>
        <v>0</v>
      </c>
      <c r="AF28" s="6" t="n">
        <f aca="false">H28</f>
        <v>0</v>
      </c>
      <c r="AG28" s="6" t="n">
        <f aca="false">I28</f>
        <v>0</v>
      </c>
      <c r="AH28" s="6" t="n">
        <f aca="false">L28</f>
        <v>0</v>
      </c>
    </row>
    <row r="29" customFormat="false" ht="15" hidden="false" customHeight="false" outlineLevel="0" collapsed="false">
      <c r="A29" s="0" t="str">
        <f aca="false">'Raw Data'!C29</f>
        <v>Coral Gables</v>
      </c>
      <c r="B29" s="5" t="n">
        <f aca="false">'Raw Data'!A29</f>
        <v>40337</v>
      </c>
      <c r="C29" s="6" t="n">
        <f aca="false">'Raw Data'!D29</f>
        <v>199.933910750248</v>
      </c>
      <c r="D29" s="6" t="n">
        <f aca="false">'Raw Data'!E29</f>
        <v>4.406666667</v>
      </c>
      <c r="E29" s="6" t="n">
        <f aca="false">'Raw Data'!F29</f>
        <v>0</v>
      </c>
      <c r="F29" s="6" t="n">
        <f aca="false">'Raw Data'!G29</f>
        <v>1</v>
      </c>
      <c r="G29" s="6" t="n">
        <f aca="false">'Raw Data'!H29</f>
        <v>0</v>
      </c>
      <c r="H29" s="6" t="n">
        <f aca="false">'Raw Data'!I29</f>
        <v>0</v>
      </c>
      <c r="I29" s="6" t="n">
        <f aca="false">'Raw Data'!J29</f>
        <v>0</v>
      </c>
      <c r="J29" s="6" t="n">
        <f aca="false">'Raw Data'!K29</f>
        <v>2</v>
      </c>
      <c r="K29" s="6" t="n">
        <f aca="false">'Raw Data'!L29</f>
        <v>1</v>
      </c>
      <c r="L29" s="6" t="n">
        <f aca="false">F29*E29</f>
        <v>0</v>
      </c>
      <c r="N29" s="0" t="n">
        <v>1</v>
      </c>
      <c r="O29" s="6" t="n">
        <f aca="false">D29</f>
        <v>4.406666667</v>
      </c>
      <c r="P29" s="6" t="n">
        <f aca="false">E29</f>
        <v>0</v>
      </c>
      <c r="Q29" s="6" t="n">
        <f aca="false">F29</f>
        <v>1</v>
      </c>
      <c r="R29" s="6" t="n">
        <f aca="false">G29</f>
        <v>0</v>
      </c>
      <c r="S29" s="6" t="n">
        <f aca="false">H29</f>
        <v>0</v>
      </c>
      <c r="T29" s="6" t="n">
        <f aca="false">I29</f>
        <v>0</v>
      </c>
      <c r="U29" s="6" t="n">
        <f aca="false">L29</f>
        <v>0</v>
      </c>
      <c r="W29" s="6" t="n">
        <f aca="false">D29</f>
        <v>4.406666667</v>
      </c>
      <c r="X29" s="6" t="n">
        <f aca="false">E29</f>
        <v>0</v>
      </c>
      <c r="Y29" s="6" t="n">
        <f aca="false">F29</f>
        <v>1</v>
      </c>
      <c r="Z29" s="6" t="n">
        <f aca="false">L29</f>
        <v>0</v>
      </c>
      <c r="AA29" s="6" t="n">
        <f aca="false">G29</f>
        <v>0</v>
      </c>
      <c r="AC29" s="6" t="n">
        <f aca="false">D29</f>
        <v>4.406666667</v>
      </c>
      <c r="AD29" s="6" t="n">
        <f aca="false">E29</f>
        <v>0</v>
      </c>
      <c r="AE29" s="6" t="n">
        <f aca="false">G29</f>
        <v>0</v>
      </c>
      <c r="AF29" s="6" t="n">
        <f aca="false">H29</f>
        <v>0</v>
      </c>
      <c r="AG29" s="6" t="n">
        <f aca="false">I29</f>
        <v>0</v>
      </c>
      <c r="AH29" s="6" t="n">
        <f aca="false">L29</f>
        <v>0</v>
      </c>
    </row>
    <row r="30" customFormat="false" ht="15" hidden="false" customHeight="false" outlineLevel="0" collapsed="false">
      <c r="A30" s="0" t="str">
        <f aca="false">'Raw Data'!C30</f>
        <v>Coral Gables</v>
      </c>
      <c r="B30" s="5" t="n">
        <f aca="false">'Raw Data'!A30</f>
        <v>40344</v>
      </c>
      <c r="C30" s="6" t="n">
        <f aca="false">'Raw Data'!D30</f>
        <v>217.95188990662</v>
      </c>
      <c r="D30" s="6" t="n">
        <f aca="false">'Raw Data'!E30</f>
        <v>4.35875</v>
      </c>
      <c r="E30" s="6" t="n">
        <f aca="false">'Raw Data'!F30</f>
        <v>0</v>
      </c>
      <c r="F30" s="6" t="n">
        <f aca="false">'Raw Data'!G30</f>
        <v>1</v>
      </c>
      <c r="G30" s="6" t="n">
        <f aca="false">'Raw Data'!H30</f>
        <v>0</v>
      </c>
      <c r="H30" s="6" t="n">
        <f aca="false">'Raw Data'!I30</f>
        <v>0</v>
      </c>
      <c r="I30" s="6" t="n">
        <f aca="false">'Raw Data'!J30</f>
        <v>0</v>
      </c>
      <c r="J30" s="6" t="n">
        <f aca="false">'Raw Data'!K30</f>
        <v>2</v>
      </c>
      <c r="K30" s="6" t="n">
        <f aca="false">'Raw Data'!L30</f>
        <v>1</v>
      </c>
      <c r="L30" s="6" t="n">
        <f aca="false">F30*E30</f>
        <v>0</v>
      </c>
      <c r="N30" s="0" t="n">
        <v>1</v>
      </c>
      <c r="O30" s="6" t="n">
        <f aca="false">D30</f>
        <v>4.35875</v>
      </c>
      <c r="P30" s="6" t="n">
        <f aca="false">E30</f>
        <v>0</v>
      </c>
      <c r="Q30" s="6" t="n">
        <f aca="false">F30</f>
        <v>1</v>
      </c>
      <c r="R30" s="6" t="n">
        <f aca="false">G30</f>
        <v>0</v>
      </c>
      <c r="S30" s="6" t="n">
        <f aca="false">H30</f>
        <v>0</v>
      </c>
      <c r="T30" s="6" t="n">
        <f aca="false">I30</f>
        <v>0</v>
      </c>
      <c r="U30" s="6" t="n">
        <f aca="false">L30</f>
        <v>0</v>
      </c>
      <c r="W30" s="6" t="n">
        <f aca="false">D30</f>
        <v>4.35875</v>
      </c>
      <c r="X30" s="6" t="n">
        <f aca="false">E30</f>
        <v>0</v>
      </c>
      <c r="Y30" s="6" t="n">
        <f aca="false">F30</f>
        <v>1</v>
      </c>
      <c r="Z30" s="6" t="n">
        <f aca="false">L30</f>
        <v>0</v>
      </c>
      <c r="AA30" s="6" t="n">
        <f aca="false">G30</f>
        <v>0</v>
      </c>
      <c r="AC30" s="6" t="n">
        <f aca="false">D30</f>
        <v>4.35875</v>
      </c>
      <c r="AD30" s="6" t="n">
        <f aca="false">E30</f>
        <v>0</v>
      </c>
      <c r="AE30" s="6" t="n">
        <f aca="false">G30</f>
        <v>0</v>
      </c>
      <c r="AF30" s="6" t="n">
        <f aca="false">H30</f>
        <v>0</v>
      </c>
      <c r="AG30" s="6" t="n">
        <f aca="false">I30</f>
        <v>0</v>
      </c>
      <c r="AH30" s="6" t="n">
        <f aca="false">L30</f>
        <v>0</v>
      </c>
    </row>
    <row r="31" customFormat="false" ht="15" hidden="false" customHeight="false" outlineLevel="0" collapsed="false">
      <c r="A31" s="0" t="str">
        <f aca="false">'Raw Data'!C31</f>
        <v>Coral Gables</v>
      </c>
      <c r="B31" s="5" t="n">
        <f aca="false">'Raw Data'!A31</f>
        <v>40351</v>
      </c>
      <c r="C31" s="6" t="n">
        <f aca="false">'Raw Data'!D31</f>
        <v>139.613531553445</v>
      </c>
      <c r="D31" s="6" t="n">
        <f aca="false">'Raw Data'!E31</f>
        <v>4.39</v>
      </c>
      <c r="E31" s="6" t="n">
        <f aca="false">'Raw Data'!F31</f>
        <v>0</v>
      </c>
      <c r="F31" s="6" t="n">
        <f aca="false">'Raw Data'!G31</f>
        <v>1</v>
      </c>
      <c r="G31" s="6" t="n">
        <f aca="false">'Raw Data'!H31</f>
        <v>0</v>
      </c>
      <c r="H31" s="6" t="n">
        <f aca="false">'Raw Data'!I31</f>
        <v>0</v>
      </c>
      <c r="I31" s="6" t="n">
        <f aca="false">'Raw Data'!J31</f>
        <v>0</v>
      </c>
      <c r="J31" s="6" t="n">
        <f aca="false">'Raw Data'!K31</f>
        <v>2</v>
      </c>
      <c r="K31" s="6" t="n">
        <f aca="false">'Raw Data'!L31</f>
        <v>1</v>
      </c>
      <c r="L31" s="6" t="n">
        <f aca="false">F31*E31</f>
        <v>0</v>
      </c>
      <c r="N31" s="0" t="n">
        <v>1</v>
      </c>
      <c r="O31" s="6" t="n">
        <f aca="false">D31</f>
        <v>4.39</v>
      </c>
      <c r="P31" s="6" t="n">
        <f aca="false">E31</f>
        <v>0</v>
      </c>
      <c r="Q31" s="6" t="n">
        <f aca="false">F31</f>
        <v>1</v>
      </c>
      <c r="R31" s="6" t="n">
        <f aca="false">G31</f>
        <v>0</v>
      </c>
      <c r="S31" s="6" t="n">
        <f aca="false">H31</f>
        <v>0</v>
      </c>
      <c r="T31" s="6" t="n">
        <f aca="false">I31</f>
        <v>0</v>
      </c>
      <c r="U31" s="6" t="n">
        <f aca="false">L31</f>
        <v>0</v>
      </c>
      <c r="W31" s="6" t="n">
        <f aca="false">D31</f>
        <v>4.39</v>
      </c>
      <c r="X31" s="6" t="n">
        <f aca="false">E31</f>
        <v>0</v>
      </c>
      <c r="Y31" s="6" t="n">
        <f aca="false">F31</f>
        <v>1</v>
      </c>
      <c r="Z31" s="6" t="n">
        <f aca="false">L31</f>
        <v>0</v>
      </c>
      <c r="AA31" s="6" t="n">
        <f aca="false">G31</f>
        <v>0</v>
      </c>
      <c r="AC31" s="6" t="n">
        <f aca="false">D31</f>
        <v>4.39</v>
      </c>
      <c r="AD31" s="6" t="n">
        <f aca="false">E31</f>
        <v>0</v>
      </c>
      <c r="AE31" s="6" t="n">
        <f aca="false">G31</f>
        <v>0</v>
      </c>
      <c r="AF31" s="6" t="n">
        <f aca="false">H31</f>
        <v>0</v>
      </c>
      <c r="AG31" s="6" t="n">
        <f aca="false">I31</f>
        <v>0</v>
      </c>
      <c r="AH31" s="6" t="n">
        <f aca="false">L31</f>
        <v>0</v>
      </c>
    </row>
    <row r="32" customFormat="false" ht="15" hidden="false" customHeight="false" outlineLevel="0" collapsed="false">
      <c r="A32" s="0" t="str">
        <f aca="false">'Raw Data'!C32</f>
        <v>Coral Gables</v>
      </c>
      <c r="B32" s="5" t="n">
        <f aca="false">'Raw Data'!A32</f>
        <v>40358</v>
      </c>
      <c r="C32" s="6" t="n">
        <f aca="false">'Raw Data'!D32</f>
        <v>106.416565686142</v>
      </c>
      <c r="D32" s="6" t="n">
        <f aca="false">'Raw Data'!E32</f>
        <v>4.520769231</v>
      </c>
      <c r="E32" s="6" t="n">
        <f aca="false">'Raw Data'!F32</f>
        <v>0</v>
      </c>
      <c r="F32" s="6" t="n">
        <f aca="false">'Raw Data'!G32</f>
        <v>1</v>
      </c>
      <c r="G32" s="6" t="n">
        <f aca="false">'Raw Data'!H32</f>
        <v>0</v>
      </c>
      <c r="H32" s="6" t="n">
        <f aca="false">'Raw Data'!I32</f>
        <v>0</v>
      </c>
      <c r="I32" s="6" t="n">
        <f aca="false">'Raw Data'!J32</f>
        <v>0</v>
      </c>
      <c r="J32" s="6" t="n">
        <f aca="false">'Raw Data'!K32</f>
        <v>2</v>
      </c>
      <c r="K32" s="6" t="n">
        <f aca="false">'Raw Data'!L32</f>
        <v>1</v>
      </c>
      <c r="L32" s="6" t="n">
        <f aca="false">F32*E32</f>
        <v>0</v>
      </c>
      <c r="N32" s="0" t="n">
        <v>1</v>
      </c>
      <c r="O32" s="6" t="n">
        <f aca="false">D32</f>
        <v>4.520769231</v>
      </c>
      <c r="P32" s="6" t="n">
        <f aca="false">E32</f>
        <v>0</v>
      </c>
      <c r="Q32" s="6" t="n">
        <f aca="false">F32</f>
        <v>1</v>
      </c>
      <c r="R32" s="6" t="n">
        <f aca="false">G32</f>
        <v>0</v>
      </c>
      <c r="S32" s="6" t="n">
        <f aca="false">H32</f>
        <v>0</v>
      </c>
      <c r="T32" s="6" t="n">
        <f aca="false">I32</f>
        <v>0</v>
      </c>
      <c r="U32" s="6" t="n">
        <f aca="false">L32</f>
        <v>0</v>
      </c>
      <c r="W32" s="6" t="n">
        <f aca="false">D32</f>
        <v>4.520769231</v>
      </c>
      <c r="X32" s="6" t="n">
        <f aca="false">E32</f>
        <v>0</v>
      </c>
      <c r="Y32" s="6" t="n">
        <f aca="false">F32</f>
        <v>1</v>
      </c>
      <c r="Z32" s="6" t="n">
        <f aca="false">L32</f>
        <v>0</v>
      </c>
      <c r="AA32" s="6" t="n">
        <f aca="false">G32</f>
        <v>0</v>
      </c>
      <c r="AC32" s="6" t="n">
        <f aca="false">D32</f>
        <v>4.520769231</v>
      </c>
      <c r="AD32" s="6" t="n">
        <f aca="false">E32</f>
        <v>0</v>
      </c>
      <c r="AE32" s="6" t="n">
        <f aca="false">G32</f>
        <v>0</v>
      </c>
      <c r="AF32" s="6" t="n">
        <f aca="false">H32</f>
        <v>0</v>
      </c>
      <c r="AG32" s="6" t="n">
        <f aca="false">I32</f>
        <v>0</v>
      </c>
      <c r="AH32" s="6" t="n">
        <f aca="false">L32</f>
        <v>0</v>
      </c>
    </row>
    <row r="33" customFormat="false" ht="15" hidden="false" customHeight="false" outlineLevel="0" collapsed="false">
      <c r="A33" s="0" t="str">
        <f aca="false">'Raw Data'!C33</f>
        <v>Coral Gables</v>
      </c>
      <c r="B33" s="5" t="n">
        <f aca="false">'Raw Data'!A33</f>
        <v>40365</v>
      </c>
      <c r="C33" s="6" t="n">
        <f aca="false">'Raw Data'!D33</f>
        <v>203.743203707602</v>
      </c>
      <c r="D33" s="6" t="n">
        <f aca="false">'Raw Data'!E33</f>
        <v>3.901538462</v>
      </c>
      <c r="E33" s="6" t="n">
        <f aca="false">'Raw Data'!F33</f>
        <v>0</v>
      </c>
      <c r="F33" s="6" t="n">
        <f aca="false">'Raw Data'!G33</f>
        <v>1</v>
      </c>
      <c r="G33" s="6" t="n">
        <f aca="false">'Raw Data'!H33</f>
        <v>0</v>
      </c>
      <c r="H33" s="6" t="n">
        <f aca="false">'Raw Data'!I33</f>
        <v>0</v>
      </c>
      <c r="I33" s="6" t="n">
        <f aca="false">'Raw Data'!J33</f>
        <v>0</v>
      </c>
      <c r="J33" s="6" t="n">
        <f aca="false">'Raw Data'!K33</f>
        <v>2</v>
      </c>
      <c r="K33" s="6" t="n">
        <f aca="false">'Raw Data'!L33</f>
        <v>1</v>
      </c>
      <c r="L33" s="6" t="n">
        <f aca="false">F33*E33</f>
        <v>0</v>
      </c>
      <c r="N33" s="0" t="n">
        <v>1</v>
      </c>
      <c r="O33" s="6" t="n">
        <f aca="false">D33</f>
        <v>3.901538462</v>
      </c>
      <c r="P33" s="6" t="n">
        <f aca="false">E33</f>
        <v>0</v>
      </c>
      <c r="Q33" s="6" t="n">
        <f aca="false">F33</f>
        <v>1</v>
      </c>
      <c r="R33" s="6" t="n">
        <f aca="false">G33</f>
        <v>0</v>
      </c>
      <c r="S33" s="6" t="n">
        <f aca="false">H33</f>
        <v>0</v>
      </c>
      <c r="T33" s="6" t="n">
        <f aca="false">I33</f>
        <v>0</v>
      </c>
      <c r="U33" s="6" t="n">
        <f aca="false">L33</f>
        <v>0</v>
      </c>
      <c r="W33" s="6" t="n">
        <f aca="false">D33</f>
        <v>3.901538462</v>
      </c>
      <c r="X33" s="6" t="n">
        <f aca="false">E33</f>
        <v>0</v>
      </c>
      <c r="Y33" s="6" t="n">
        <f aca="false">F33</f>
        <v>1</v>
      </c>
      <c r="Z33" s="6" t="n">
        <f aca="false">L33</f>
        <v>0</v>
      </c>
      <c r="AA33" s="6" t="n">
        <f aca="false">G33</f>
        <v>0</v>
      </c>
      <c r="AC33" s="6" t="n">
        <f aca="false">D33</f>
        <v>3.901538462</v>
      </c>
      <c r="AD33" s="6" t="n">
        <f aca="false">E33</f>
        <v>0</v>
      </c>
      <c r="AE33" s="6" t="n">
        <f aca="false">G33</f>
        <v>0</v>
      </c>
      <c r="AF33" s="6" t="n">
        <f aca="false">H33</f>
        <v>0</v>
      </c>
      <c r="AG33" s="6" t="n">
        <f aca="false">I33</f>
        <v>0</v>
      </c>
      <c r="AH33" s="6" t="n">
        <f aca="false">L33</f>
        <v>0</v>
      </c>
    </row>
    <row r="34" customFormat="false" ht="15" hidden="false" customHeight="false" outlineLevel="0" collapsed="false">
      <c r="A34" s="0" t="str">
        <f aca="false">'Raw Data'!C34</f>
        <v>Coral Gables</v>
      </c>
      <c r="B34" s="5" t="n">
        <f aca="false">'Raw Data'!A34</f>
        <v>40372</v>
      </c>
      <c r="C34" s="6" t="n">
        <f aca="false">'Raw Data'!D34</f>
        <v>159.433695366379</v>
      </c>
      <c r="D34" s="6" t="n">
        <f aca="false">'Raw Data'!E34</f>
        <v>4.193571429</v>
      </c>
      <c r="E34" s="6" t="n">
        <f aca="false">'Raw Data'!F34</f>
        <v>0</v>
      </c>
      <c r="F34" s="6" t="n">
        <f aca="false">'Raw Data'!G34</f>
        <v>0</v>
      </c>
      <c r="G34" s="6" t="n">
        <f aca="false">'Raw Data'!H34</f>
        <v>0</v>
      </c>
      <c r="H34" s="6" t="n">
        <f aca="false">'Raw Data'!I34</f>
        <v>0</v>
      </c>
      <c r="I34" s="6" t="n">
        <f aca="false">'Raw Data'!J34</f>
        <v>0</v>
      </c>
      <c r="J34" s="6" t="n">
        <f aca="false">'Raw Data'!K34</f>
        <v>2</v>
      </c>
      <c r="K34" s="6" t="n">
        <f aca="false">'Raw Data'!L34</f>
        <v>1</v>
      </c>
      <c r="L34" s="6" t="n">
        <f aca="false">F34*E34</f>
        <v>0</v>
      </c>
      <c r="N34" s="0" t="n">
        <v>1</v>
      </c>
      <c r="O34" s="6" t="n">
        <f aca="false">D34</f>
        <v>4.193571429</v>
      </c>
      <c r="P34" s="6" t="n">
        <f aca="false">E34</f>
        <v>0</v>
      </c>
      <c r="Q34" s="6" t="n">
        <f aca="false">F34</f>
        <v>0</v>
      </c>
      <c r="R34" s="6" t="n">
        <f aca="false">G34</f>
        <v>0</v>
      </c>
      <c r="S34" s="6" t="n">
        <f aca="false">H34</f>
        <v>0</v>
      </c>
      <c r="T34" s="6" t="n">
        <f aca="false">I34</f>
        <v>0</v>
      </c>
      <c r="U34" s="6" t="n">
        <f aca="false">L34</f>
        <v>0</v>
      </c>
      <c r="W34" s="6" t="n">
        <f aca="false">D34</f>
        <v>4.193571429</v>
      </c>
      <c r="X34" s="6" t="n">
        <f aca="false">E34</f>
        <v>0</v>
      </c>
      <c r="Y34" s="6" t="n">
        <f aca="false">F34</f>
        <v>0</v>
      </c>
      <c r="Z34" s="6" t="n">
        <f aca="false">L34</f>
        <v>0</v>
      </c>
      <c r="AA34" s="6" t="n">
        <f aca="false">G34</f>
        <v>0</v>
      </c>
      <c r="AC34" s="6" t="n">
        <f aca="false">D34</f>
        <v>4.193571429</v>
      </c>
      <c r="AD34" s="6" t="n">
        <f aca="false">E34</f>
        <v>0</v>
      </c>
      <c r="AE34" s="6" t="n">
        <f aca="false">G34</f>
        <v>0</v>
      </c>
      <c r="AF34" s="6" t="n">
        <f aca="false">H34</f>
        <v>0</v>
      </c>
      <c r="AG34" s="6" t="n">
        <f aca="false">I34</f>
        <v>0</v>
      </c>
      <c r="AH34" s="6" t="n">
        <f aca="false">L34</f>
        <v>0</v>
      </c>
    </row>
    <row r="35" customFormat="false" ht="15" hidden="false" customHeight="false" outlineLevel="0" collapsed="false">
      <c r="A35" s="0" t="str">
        <f aca="false">'Raw Data'!C35</f>
        <v>Coral Springs</v>
      </c>
      <c r="B35" s="5" t="n">
        <f aca="false">'Raw Data'!A35</f>
        <v>40302</v>
      </c>
      <c r="C35" s="6" t="n">
        <f aca="false">'Raw Data'!D35</f>
        <v>305.183290231773</v>
      </c>
      <c r="D35" s="6" t="n">
        <f aca="false">'Raw Data'!E35</f>
        <v>4.49</v>
      </c>
      <c r="E35" s="6" t="n">
        <f aca="false">'Raw Data'!F35</f>
        <v>0</v>
      </c>
      <c r="F35" s="6" t="n">
        <f aca="false">'Raw Data'!G35</f>
        <v>0</v>
      </c>
      <c r="G35" s="6" t="n">
        <f aca="false">'Raw Data'!H35</f>
        <v>0</v>
      </c>
      <c r="H35" s="6" t="n">
        <f aca="false">'Raw Data'!I35</f>
        <v>0</v>
      </c>
      <c r="I35" s="6" t="n">
        <f aca="false">'Raw Data'!J35</f>
        <v>1</v>
      </c>
      <c r="J35" s="6" t="n">
        <f aca="false">'Raw Data'!K35</f>
        <v>1</v>
      </c>
      <c r="K35" s="6" t="n">
        <f aca="false">'Raw Data'!L35</f>
        <v>1</v>
      </c>
      <c r="L35" s="6" t="n">
        <f aca="false">F35*E35</f>
        <v>0</v>
      </c>
      <c r="N35" s="0" t="n">
        <v>1</v>
      </c>
      <c r="O35" s="6" t="n">
        <f aca="false">D35</f>
        <v>4.49</v>
      </c>
      <c r="P35" s="6" t="n">
        <f aca="false">E35</f>
        <v>0</v>
      </c>
      <c r="Q35" s="6" t="n">
        <f aca="false">F35</f>
        <v>0</v>
      </c>
      <c r="R35" s="6" t="n">
        <f aca="false">G35</f>
        <v>0</v>
      </c>
      <c r="S35" s="6" t="n">
        <f aca="false">H35</f>
        <v>0</v>
      </c>
      <c r="T35" s="6" t="n">
        <f aca="false">I35</f>
        <v>1</v>
      </c>
      <c r="U35" s="6" t="n">
        <f aca="false">L35</f>
        <v>0</v>
      </c>
      <c r="W35" s="6" t="n">
        <f aca="false">D35</f>
        <v>4.49</v>
      </c>
      <c r="X35" s="6" t="n">
        <f aca="false">E35</f>
        <v>0</v>
      </c>
      <c r="Y35" s="6" t="n">
        <f aca="false">F35</f>
        <v>0</v>
      </c>
      <c r="Z35" s="6" t="n">
        <f aca="false">L35</f>
        <v>0</v>
      </c>
      <c r="AA35" s="6" t="n">
        <f aca="false">G35</f>
        <v>0</v>
      </c>
      <c r="AC35" s="6" t="n">
        <f aca="false">D35</f>
        <v>4.49</v>
      </c>
      <c r="AD35" s="6" t="n">
        <f aca="false">E35</f>
        <v>0</v>
      </c>
      <c r="AE35" s="6" t="n">
        <f aca="false">G35</f>
        <v>0</v>
      </c>
      <c r="AF35" s="6" t="n">
        <f aca="false">H35</f>
        <v>0</v>
      </c>
      <c r="AG35" s="6" t="n">
        <f aca="false">I35</f>
        <v>1</v>
      </c>
      <c r="AH35" s="6" t="n">
        <f aca="false">L35</f>
        <v>0</v>
      </c>
    </row>
    <row r="36" customFormat="false" ht="15" hidden="false" customHeight="false" outlineLevel="0" collapsed="false">
      <c r="A36" s="0" t="str">
        <f aca="false">'Raw Data'!C36</f>
        <v>Coral Springs</v>
      </c>
      <c r="B36" s="5" t="n">
        <f aca="false">'Raw Data'!A36</f>
        <v>40309</v>
      </c>
      <c r="C36" s="6" t="n">
        <f aca="false">'Raw Data'!D36</f>
        <v>235.457109016989</v>
      </c>
      <c r="D36" s="6" t="n">
        <f aca="false">'Raw Data'!E36</f>
        <v>4.401111111</v>
      </c>
      <c r="E36" s="6" t="n">
        <f aca="false">'Raw Data'!F36</f>
        <v>0</v>
      </c>
      <c r="F36" s="6" t="n">
        <f aca="false">'Raw Data'!G36</f>
        <v>0</v>
      </c>
      <c r="G36" s="6" t="n">
        <f aca="false">'Raw Data'!H36</f>
        <v>0</v>
      </c>
      <c r="H36" s="6" t="n">
        <f aca="false">'Raw Data'!I36</f>
        <v>0</v>
      </c>
      <c r="I36" s="6" t="n">
        <f aca="false">'Raw Data'!J36</f>
        <v>1</v>
      </c>
      <c r="J36" s="6" t="n">
        <f aca="false">'Raw Data'!K36</f>
        <v>1</v>
      </c>
      <c r="K36" s="6" t="n">
        <f aca="false">'Raw Data'!L36</f>
        <v>1</v>
      </c>
      <c r="L36" s="6" t="n">
        <f aca="false">F36*E36</f>
        <v>0</v>
      </c>
      <c r="N36" s="0" t="n">
        <v>1</v>
      </c>
      <c r="O36" s="6" t="n">
        <f aca="false">D36</f>
        <v>4.401111111</v>
      </c>
      <c r="P36" s="6" t="n">
        <f aca="false">E36</f>
        <v>0</v>
      </c>
      <c r="Q36" s="6" t="n">
        <f aca="false">F36</f>
        <v>0</v>
      </c>
      <c r="R36" s="6" t="n">
        <f aca="false">G36</f>
        <v>0</v>
      </c>
      <c r="S36" s="6" t="n">
        <f aca="false">H36</f>
        <v>0</v>
      </c>
      <c r="T36" s="6" t="n">
        <f aca="false">I36</f>
        <v>1</v>
      </c>
      <c r="U36" s="6" t="n">
        <f aca="false">L36</f>
        <v>0</v>
      </c>
      <c r="W36" s="6" t="n">
        <f aca="false">D36</f>
        <v>4.401111111</v>
      </c>
      <c r="X36" s="6" t="n">
        <f aca="false">E36</f>
        <v>0</v>
      </c>
      <c r="Y36" s="6" t="n">
        <f aca="false">F36</f>
        <v>0</v>
      </c>
      <c r="Z36" s="6" t="n">
        <f aca="false">L36</f>
        <v>0</v>
      </c>
      <c r="AA36" s="6" t="n">
        <f aca="false">G36</f>
        <v>0</v>
      </c>
      <c r="AC36" s="6" t="n">
        <f aca="false">D36</f>
        <v>4.401111111</v>
      </c>
      <c r="AD36" s="6" t="n">
        <f aca="false">E36</f>
        <v>0</v>
      </c>
      <c r="AE36" s="6" t="n">
        <f aca="false">G36</f>
        <v>0</v>
      </c>
      <c r="AF36" s="6" t="n">
        <f aca="false">H36</f>
        <v>0</v>
      </c>
      <c r="AG36" s="6" t="n">
        <f aca="false">I36</f>
        <v>1</v>
      </c>
      <c r="AH36" s="6" t="n">
        <f aca="false">L36</f>
        <v>0</v>
      </c>
    </row>
    <row r="37" customFormat="false" ht="15" hidden="false" customHeight="false" outlineLevel="0" collapsed="false">
      <c r="A37" s="0" t="str">
        <f aca="false">'Raw Data'!C37</f>
        <v>Coral Springs</v>
      </c>
      <c r="B37" s="5" t="n">
        <f aca="false">'Raw Data'!A37</f>
        <v>40316</v>
      </c>
      <c r="C37" s="6" t="n">
        <f aca="false">'Raw Data'!D37</f>
        <v>239.694901879694</v>
      </c>
      <c r="D37" s="6" t="n">
        <f aca="false">'Raw Data'!E37</f>
        <v>3.809230769</v>
      </c>
      <c r="E37" s="6" t="n">
        <f aca="false">'Raw Data'!F37</f>
        <v>0</v>
      </c>
      <c r="F37" s="6" t="n">
        <f aca="false">'Raw Data'!G37</f>
        <v>0</v>
      </c>
      <c r="G37" s="6" t="n">
        <f aca="false">'Raw Data'!H37</f>
        <v>0</v>
      </c>
      <c r="H37" s="6" t="n">
        <f aca="false">'Raw Data'!I37</f>
        <v>0</v>
      </c>
      <c r="I37" s="6" t="n">
        <f aca="false">'Raw Data'!J37</f>
        <v>0</v>
      </c>
      <c r="J37" s="6" t="n">
        <f aca="false">'Raw Data'!K37</f>
        <v>1</v>
      </c>
      <c r="K37" s="6" t="n">
        <f aca="false">'Raw Data'!L37</f>
        <v>1</v>
      </c>
      <c r="L37" s="6" t="n">
        <f aca="false">F37*E37</f>
        <v>0</v>
      </c>
      <c r="N37" s="0" t="n">
        <v>1</v>
      </c>
      <c r="O37" s="6" t="n">
        <f aca="false">D37</f>
        <v>3.809230769</v>
      </c>
      <c r="P37" s="6" t="n">
        <f aca="false">E37</f>
        <v>0</v>
      </c>
      <c r="Q37" s="6" t="n">
        <f aca="false">F37</f>
        <v>0</v>
      </c>
      <c r="R37" s="6" t="n">
        <f aca="false">G37</f>
        <v>0</v>
      </c>
      <c r="S37" s="6" t="n">
        <f aca="false">H37</f>
        <v>0</v>
      </c>
      <c r="T37" s="6" t="n">
        <f aca="false">I37</f>
        <v>0</v>
      </c>
      <c r="U37" s="6" t="n">
        <f aca="false">L37</f>
        <v>0</v>
      </c>
      <c r="W37" s="6" t="n">
        <f aca="false">D37</f>
        <v>3.809230769</v>
      </c>
      <c r="X37" s="6" t="n">
        <f aca="false">E37</f>
        <v>0</v>
      </c>
      <c r="Y37" s="6" t="n">
        <f aca="false">F37</f>
        <v>0</v>
      </c>
      <c r="Z37" s="6" t="n">
        <f aca="false">L37</f>
        <v>0</v>
      </c>
      <c r="AA37" s="6" t="n">
        <f aca="false">G37</f>
        <v>0</v>
      </c>
      <c r="AC37" s="6" t="n">
        <f aca="false">D37</f>
        <v>3.809230769</v>
      </c>
      <c r="AD37" s="6" t="n">
        <f aca="false">E37</f>
        <v>0</v>
      </c>
      <c r="AE37" s="6" t="n">
        <f aca="false">G37</f>
        <v>0</v>
      </c>
      <c r="AF37" s="6" t="n">
        <f aca="false">H37</f>
        <v>0</v>
      </c>
      <c r="AG37" s="6" t="n">
        <f aca="false">I37</f>
        <v>0</v>
      </c>
      <c r="AH37" s="6" t="n">
        <f aca="false">L37</f>
        <v>0</v>
      </c>
    </row>
    <row r="38" customFormat="false" ht="15" hidden="false" customHeight="false" outlineLevel="0" collapsed="false">
      <c r="A38" s="0" t="str">
        <f aca="false">'Raw Data'!C38</f>
        <v>Coral Springs</v>
      </c>
      <c r="B38" s="5" t="n">
        <f aca="false">'Raw Data'!A38</f>
        <v>40323</v>
      </c>
      <c r="C38" s="6" t="n">
        <f aca="false">'Raw Data'!D38</f>
        <v>220.946790529896</v>
      </c>
      <c r="D38" s="6" t="n">
        <f aca="false">'Raw Data'!E38</f>
        <v>4.064</v>
      </c>
      <c r="E38" s="6" t="n">
        <f aca="false">'Raw Data'!F38</f>
        <v>0</v>
      </c>
      <c r="F38" s="6" t="n">
        <f aca="false">'Raw Data'!G38</f>
        <v>0</v>
      </c>
      <c r="G38" s="6" t="n">
        <f aca="false">'Raw Data'!H38</f>
        <v>0</v>
      </c>
      <c r="H38" s="6" t="n">
        <f aca="false">'Raw Data'!I38</f>
        <v>0</v>
      </c>
      <c r="I38" s="6" t="n">
        <f aca="false">'Raw Data'!J38</f>
        <v>0</v>
      </c>
      <c r="J38" s="6" t="n">
        <f aca="false">'Raw Data'!K38</f>
        <v>1</v>
      </c>
      <c r="K38" s="6" t="n">
        <f aca="false">'Raw Data'!L38</f>
        <v>1</v>
      </c>
      <c r="L38" s="6" t="n">
        <f aca="false">F38*E38</f>
        <v>0</v>
      </c>
      <c r="N38" s="0" t="n">
        <v>1</v>
      </c>
      <c r="O38" s="6" t="n">
        <f aca="false">D38</f>
        <v>4.064</v>
      </c>
      <c r="P38" s="6" t="n">
        <f aca="false">E38</f>
        <v>0</v>
      </c>
      <c r="Q38" s="6" t="n">
        <f aca="false">F38</f>
        <v>0</v>
      </c>
      <c r="R38" s="6" t="n">
        <f aca="false">G38</f>
        <v>0</v>
      </c>
      <c r="S38" s="6" t="n">
        <f aca="false">H38</f>
        <v>0</v>
      </c>
      <c r="T38" s="6" t="n">
        <f aca="false">I38</f>
        <v>0</v>
      </c>
      <c r="U38" s="6" t="n">
        <f aca="false">L38</f>
        <v>0</v>
      </c>
      <c r="W38" s="6" t="n">
        <f aca="false">D38</f>
        <v>4.064</v>
      </c>
      <c r="X38" s="6" t="n">
        <f aca="false">E38</f>
        <v>0</v>
      </c>
      <c r="Y38" s="6" t="n">
        <f aca="false">F38</f>
        <v>0</v>
      </c>
      <c r="Z38" s="6" t="n">
        <f aca="false">L38</f>
        <v>0</v>
      </c>
      <c r="AA38" s="6" t="n">
        <f aca="false">G38</f>
        <v>0</v>
      </c>
      <c r="AC38" s="6" t="n">
        <f aca="false">D38</f>
        <v>4.064</v>
      </c>
      <c r="AD38" s="6" t="n">
        <f aca="false">E38</f>
        <v>0</v>
      </c>
      <c r="AE38" s="6" t="n">
        <f aca="false">G38</f>
        <v>0</v>
      </c>
      <c r="AF38" s="6" t="n">
        <f aca="false">H38</f>
        <v>0</v>
      </c>
      <c r="AG38" s="6" t="n">
        <f aca="false">I38</f>
        <v>0</v>
      </c>
      <c r="AH38" s="6" t="n">
        <f aca="false">L38</f>
        <v>0</v>
      </c>
    </row>
    <row r="39" customFormat="false" ht="15" hidden="false" customHeight="false" outlineLevel="0" collapsed="false">
      <c r="A39" s="0" t="str">
        <f aca="false">'Raw Data'!C39</f>
        <v>Coral Springs</v>
      </c>
      <c r="B39" s="5" t="n">
        <f aca="false">'Raw Data'!A39</f>
        <v>40330</v>
      </c>
      <c r="C39" s="6" t="n">
        <f aca="false">'Raw Data'!D39</f>
        <v>233.326002975849</v>
      </c>
      <c r="D39" s="6" t="n">
        <f aca="false">'Raw Data'!E39</f>
        <v>3.957857143</v>
      </c>
      <c r="E39" s="6" t="n">
        <f aca="false">'Raw Data'!F39</f>
        <v>0</v>
      </c>
      <c r="F39" s="6" t="n">
        <f aca="false">'Raw Data'!G39</f>
        <v>0</v>
      </c>
      <c r="G39" s="6" t="n">
        <f aca="false">'Raw Data'!H39</f>
        <v>0</v>
      </c>
      <c r="H39" s="6" t="n">
        <f aca="false">'Raw Data'!I39</f>
        <v>0</v>
      </c>
      <c r="I39" s="6" t="n">
        <f aca="false">'Raw Data'!J39</f>
        <v>0</v>
      </c>
      <c r="J39" s="6" t="n">
        <f aca="false">'Raw Data'!K39</f>
        <v>1</v>
      </c>
      <c r="K39" s="6" t="n">
        <f aca="false">'Raw Data'!L39</f>
        <v>1</v>
      </c>
      <c r="L39" s="6" t="n">
        <f aca="false">F39*E39</f>
        <v>0</v>
      </c>
      <c r="N39" s="0" t="n">
        <v>1</v>
      </c>
      <c r="O39" s="6" t="n">
        <f aca="false">D39</f>
        <v>3.957857143</v>
      </c>
      <c r="P39" s="6" t="n">
        <f aca="false">E39</f>
        <v>0</v>
      </c>
      <c r="Q39" s="6" t="n">
        <f aca="false">F39</f>
        <v>0</v>
      </c>
      <c r="R39" s="6" t="n">
        <f aca="false">G39</f>
        <v>0</v>
      </c>
      <c r="S39" s="6" t="n">
        <f aca="false">H39</f>
        <v>0</v>
      </c>
      <c r="T39" s="6" t="n">
        <f aca="false">I39</f>
        <v>0</v>
      </c>
      <c r="U39" s="6" t="n">
        <f aca="false">L39</f>
        <v>0</v>
      </c>
      <c r="W39" s="6" t="n">
        <f aca="false">D39</f>
        <v>3.957857143</v>
      </c>
      <c r="X39" s="6" t="n">
        <f aca="false">E39</f>
        <v>0</v>
      </c>
      <c r="Y39" s="6" t="n">
        <f aca="false">F39</f>
        <v>0</v>
      </c>
      <c r="Z39" s="6" t="n">
        <f aca="false">L39</f>
        <v>0</v>
      </c>
      <c r="AA39" s="6" t="n">
        <f aca="false">G39</f>
        <v>0</v>
      </c>
      <c r="AC39" s="6" t="n">
        <f aca="false">D39</f>
        <v>3.957857143</v>
      </c>
      <c r="AD39" s="6" t="n">
        <f aca="false">E39</f>
        <v>0</v>
      </c>
      <c r="AE39" s="6" t="n">
        <f aca="false">G39</f>
        <v>0</v>
      </c>
      <c r="AF39" s="6" t="n">
        <f aca="false">H39</f>
        <v>0</v>
      </c>
      <c r="AG39" s="6" t="n">
        <f aca="false">I39</f>
        <v>0</v>
      </c>
      <c r="AH39" s="6" t="n">
        <f aca="false">L39</f>
        <v>0</v>
      </c>
    </row>
    <row r="40" customFormat="false" ht="15" hidden="false" customHeight="false" outlineLevel="0" collapsed="false">
      <c r="A40" s="0" t="str">
        <f aca="false">'Raw Data'!C40</f>
        <v>Coral Springs</v>
      </c>
      <c r="B40" s="5" t="n">
        <f aca="false">'Raw Data'!A40</f>
        <v>40337</v>
      </c>
      <c r="C40" s="6" t="n">
        <f aca="false">'Raw Data'!D40</f>
        <v>143.794799054312</v>
      </c>
      <c r="D40" s="6" t="n">
        <f aca="false">'Raw Data'!E40</f>
        <v>3.69</v>
      </c>
      <c r="E40" s="6" t="n">
        <f aca="false">'Raw Data'!F40</f>
        <v>0</v>
      </c>
      <c r="F40" s="6" t="n">
        <f aca="false">'Raw Data'!G40</f>
        <v>0</v>
      </c>
      <c r="G40" s="6" t="n">
        <f aca="false">'Raw Data'!H40</f>
        <v>0</v>
      </c>
      <c r="H40" s="6" t="n">
        <f aca="false">'Raw Data'!I40</f>
        <v>0</v>
      </c>
      <c r="I40" s="6" t="n">
        <f aca="false">'Raw Data'!J40</f>
        <v>0</v>
      </c>
      <c r="J40" s="6" t="n">
        <f aca="false">'Raw Data'!K40</f>
        <v>1</v>
      </c>
      <c r="K40" s="6" t="n">
        <f aca="false">'Raw Data'!L40</f>
        <v>1</v>
      </c>
      <c r="L40" s="6" t="n">
        <f aca="false">F40*E40</f>
        <v>0</v>
      </c>
      <c r="N40" s="0" t="n">
        <v>1</v>
      </c>
      <c r="O40" s="6" t="n">
        <f aca="false">D40</f>
        <v>3.69</v>
      </c>
      <c r="P40" s="6" t="n">
        <f aca="false">E40</f>
        <v>0</v>
      </c>
      <c r="Q40" s="6" t="n">
        <f aca="false">F40</f>
        <v>0</v>
      </c>
      <c r="R40" s="6" t="n">
        <f aca="false">G40</f>
        <v>0</v>
      </c>
      <c r="S40" s="6" t="n">
        <f aca="false">H40</f>
        <v>0</v>
      </c>
      <c r="T40" s="6" t="n">
        <f aca="false">I40</f>
        <v>0</v>
      </c>
      <c r="U40" s="6" t="n">
        <f aca="false">L40</f>
        <v>0</v>
      </c>
      <c r="W40" s="6" t="n">
        <f aca="false">D40</f>
        <v>3.69</v>
      </c>
      <c r="X40" s="6" t="n">
        <f aca="false">E40</f>
        <v>0</v>
      </c>
      <c r="Y40" s="6" t="n">
        <f aca="false">F40</f>
        <v>0</v>
      </c>
      <c r="Z40" s="6" t="n">
        <f aca="false">L40</f>
        <v>0</v>
      </c>
      <c r="AA40" s="6" t="n">
        <f aca="false">G40</f>
        <v>0</v>
      </c>
      <c r="AC40" s="6" t="n">
        <f aca="false">D40</f>
        <v>3.69</v>
      </c>
      <c r="AD40" s="6" t="n">
        <f aca="false">E40</f>
        <v>0</v>
      </c>
      <c r="AE40" s="6" t="n">
        <f aca="false">G40</f>
        <v>0</v>
      </c>
      <c r="AF40" s="6" t="n">
        <f aca="false">H40</f>
        <v>0</v>
      </c>
      <c r="AG40" s="6" t="n">
        <f aca="false">I40</f>
        <v>0</v>
      </c>
      <c r="AH40" s="6" t="n">
        <f aca="false">L40</f>
        <v>0</v>
      </c>
    </row>
    <row r="41" customFormat="false" ht="15" hidden="false" customHeight="false" outlineLevel="0" collapsed="false">
      <c r="A41" s="0" t="str">
        <f aca="false">'Raw Data'!C41</f>
        <v>Coral Springs</v>
      </c>
      <c r="B41" s="5" t="n">
        <f aca="false">'Raw Data'!A41</f>
        <v>40344</v>
      </c>
      <c r="C41" s="6" t="n">
        <f aca="false">'Raw Data'!D41</f>
        <v>192.922888592757</v>
      </c>
      <c r="D41" s="6" t="n">
        <f aca="false">'Raw Data'!E41</f>
        <v>4.643846154</v>
      </c>
      <c r="E41" s="6" t="n">
        <f aca="false">'Raw Data'!F41</f>
        <v>0</v>
      </c>
      <c r="F41" s="6" t="n">
        <f aca="false">'Raw Data'!G41</f>
        <v>0</v>
      </c>
      <c r="G41" s="6" t="n">
        <f aca="false">'Raw Data'!H41</f>
        <v>0</v>
      </c>
      <c r="H41" s="6" t="n">
        <f aca="false">'Raw Data'!I41</f>
        <v>0</v>
      </c>
      <c r="I41" s="6" t="n">
        <f aca="false">'Raw Data'!J41</f>
        <v>0</v>
      </c>
      <c r="J41" s="6" t="n">
        <f aca="false">'Raw Data'!K41</f>
        <v>1</v>
      </c>
      <c r="K41" s="6" t="n">
        <f aca="false">'Raw Data'!L41</f>
        <v>1</v>
      </c>
      <c r="L41" s="6" t="n">
        <f aca="false">F41*E41</f>
        <v>0</v>
      </c>
      <c r="N41" s="0" t="n">
        <v>1</v>
      </c>
      <c r="O41" s="6" t="n">
        <f aca="false">D41</f>
        <v>4.643846154</v>
      </c>
      <c r="P41" s="6" t="n">
        <f aca="false">E41</f>
        <v>0</v>
      </c>
      <c r="Q41" s="6" t="n">
        <f aca="false">F41</f>
        <v>0</v>
      </c>
      <c r="R41" s="6" t="n">
        <f aca="false">G41</f>
        <v>0</v>
      </c>
      <c r="S41" s="6" t="n">
        <f aca="false">H41</f>
        <v>0</v>
      </c>
      <c r="T41" s="6" t="n">
        <f aca="false">I41</f>
        <v>0</v>
      </c>
      <c r="U41" s="6" t="n">
        <f aca="false">L41</f>
        <v>0</v>
      </c>
      <c r="W41" s="6" t="n">
        <f aca="false">D41</f>
        <v>4.643846154</v>
      </c>
      <c r="X41" s="6" t="n">
        <f aca="false">E41</f>
        <v>0</v>
      </c>
      <c r="Y41" s="6" t="n">
        <f aca="false">F41</f>
        <v>0</v>
      </c>
      <c r="Z41" s="6" t="n">
        <f aca="false">L41</f>
        <v>0</v>
      </c>
      <c r="AA41" s="6" t="n">
        <f aca="false">G41</f>
        <v>0</v>
      </c>
      <c r="AC41" s="6" t="n">
        <f aca="false">D41</f>
        <v>4.643846154</v>
      </c>
      <c r="AD41" s="6" t="n">
        <f aca="false">E41</f>
        <v>0</v>
      </c>
      <c r="AE41" s="6" t="n">
        <f aca="false">G41</f>
        <v>0</v>
      </c>
      <c r="AF41" s="6" t="n">
        <f aca="false">H41</f>
        <v>0</v>
      </c>
      <c r="AG41" s="6" t="n">
        <f aca="false">I41</f>
        <v>0</v>
      </c>
      <c r="AH41" s="6" t="n">
        <f aca="false">L41</f>
        <v>0</v>
      </c>
    </row>
    <row r="42" customFormat="false" ht="15" hidden="false" customHeight="false" outlineLevel="0" collapsed="false">
      <c r="A42" s="0" t="str">
        <f aca="false">'Raw Data'!C42</f>
        <v>Coral Springs</v>
      </c>
      <c r="B42" s="5" t="n">
        <f aca="false">'Raw Data'!A42</f>
        <v>40351</v>
      </c>
      <c r="C42" s="6" t="n">
        <f aca="false">'Raw Data'!D42</f>
        <v>134.712923373282</v>
      </c>
      <c r="D42" s="6" t="n">
        <f aca="false">'Raw Data'!E42</f>
        <v>4.365</v>
      </c>
      <c r="E42" s="6" t="n">
        <f aca="false">'Raw Data'!F42</f>
        <v>0</v>
      </c>
      <c r="F42" s="6" t="n">
        <f aca="false">'Raw Data'!G42</f>
        <v>0</v>
      </c>
      <c r="G42" s="6" t="n">
        <f aca="false">'Raw Data'!H42</f>
        <v>0</v>
      </c>
      <c r="H42" s="6" t="n">
        <f aca="false">'Raw Data'!I42</f>
        <v>0</v>
      </c>
      <c r="I42" s="6" t="n">
        <f aca="false">'Raw Data'!J42</f>
        <v>0</v>
      </c>
      <c r="J42" s="6" t="n">
        <f aca="false">'Raw Data'!K42</f>
        <v>1</v>
      </c>
      <c r="K42" s="6" t="n">
        <f aca="false">'Raw Data'!L42</f>
        <v>1</v>
      </c>
      <c r="L42" s="6" t="n">
        <f aca="false">F42*E42</f>
        <v>0</v>
      </c>
      <c r="N42" s="0" t="n">
        <v>1</v>
      </c>
      <c r="O42" s="6" t="n">
        <f aca="false">D42</f>
        <v>4.365</v>
      </c>
      <c r="P42" s="6" t="n">
        <f aca="false">E42</f>
        <v>0</v>
      </c>
      <c r="Q42" s="6" t="n">
        <f aca="false">F42</f>
        <v>0</v>
      </c>
      <c r="R42" s="6" t="n">
        <f aca="false">G42</f>
        <v>0</v>
      </c>
      <c r="S42" s="6" t="n">
        <f aca="false">H42</f>
        <v>0</v>
      </c>
      <c r="T42" s="6" t="n">
        <f aca="false">I42</f>
        <v>0</v>
      </c>
      <c r="U42" s="6" t="n">
        <f aca="false">L42</f>
        <v>0</v>
      </c>
      <c r="W42" s="6" t="n">
        <f aca="false">D42</f>
        <v>4.365</v>
      </c>
      <c r="X42" s="6" t="n">
        <f aca="false">E42</f>
        <v>0</v>
      </c>
      <c r="Y42" s="6" t="n">
        <f aca="false">F42</f>
        <v>0</v>
      </c>
      <c r="Z42" s="6" t="n">
        <f aca="false">L42</f>
        <v>0</v>
      </c>
      <c r="AA42" s="6" t="n">
        <f aca="false">G42</f>
        <v>0</v>
      </c>
      <c r="AC42" s="6" t="n">
        <f aca="false">D42</f>
        <v>4.365</v>
      </c>
      <c r="AD42" s="6" t="n">
        <f aca="false">E42</f>
        <v>0</v>
      </c>
      <c r="AE42" s="6" t="n">
        <f aca="false">G42</f>
        <v>0</v>
      </c>
      <c r="AF42" s="6" t="n">
        <f aca="false">H42</f>
        <v>0</v>
      </c>
      <c r="AG42" s="6" t="n">
        <f aca="false">I42</f>
        <v>0</v>
      </c>
      <c r="AH42" s="6" t="n">
        <f aca="false">L42</f>
        <v>0</v>
      </c>
    </row>
    <row r="43" customFormat="false" ht="15" hidden="false" customHeight="false" outlineLevel="0" collapsed="false">
      <c r="A43" s="0" t="str">
        <f aca="false">'Raw Data'!C43</f>
        <v>Coral Springs</v>
      </c>
      <c r="B43" s="5" t="n">
        <f aca="false">'Raw Data'!A43</f>
        <v>40358</v>
      </c>
      <c r="C43" s="6" t="n">
        <f aca="false">'Raw Data'!D43</f>
        <v>118.938923303087</v>
      </c>
      <c r="D43" s="6" t="n">
        <f aca="false">'Raw Data'!E43</f>
        <v>4.643846154</v>
      </c>
      <c r="E43" s="6" t="n">
        <f aca="false">'Raw Data'!F43</f>
        <v>0</v>
      </c>
      <c r="F43" s="6" t="n">
        <f aca="false">'Raw Data'!G43</f>
        <v>0</v>
      </c>
      <c r="G43" s="6" t="n">
        <f aca="false">'Raw Data'!H43</f>
        <v>0</v>
      </c>
      <c r="H43" s="6" t="n">
        <f aca="false">'Raw Data'!I43</f>
        <v>0</v>
      </c>
      <c r="I43" s="6" t="n">
        <f aca="false">'Raw Data'!J43</f>
        <v>0</v>
      </c>
      <c r="J43" s="6" t="n">
        <f aca="false">'Raw Data'!K43</f>
        <v>1</v>
      </c>
      <c r="K43" s="6" t="n">
        <f aca="false">'Raw Data'!L43</f>
        <v>1</v>
      </c>
      <c r="L43" s="6" t="n">
        <f aca="false">F43*E43</f>
        <v>0</v>
      </c>
      <c r="N43" s="0" t="n">
        <v>1</v>
      </c>
      <c r="O43" s="6" t="n">
        <f aca="false">D43</f>
        <v>4.643846154</v>
      </c>
      <c r="P43" s="6" t="n">
        <f aca="false">E43</f>
        <v>0</v>
      </c>
      <c r="Q43" s="6" t="n">
        <f aca="false">F43</f>
        <v>0</v>
      </c>
      <c r="R43" s="6" t="n">
        <f aca="false">G43</f>
        <v>0</v>
      </c>
      <c r="S43" s="6" t="n">
        <f aca="false">H43</f>
        <v>0</v>
      </c>
      <c r="T43" s="6" t="n">
        <f aca="false">I43</f>
        <v>0</v>
      </c>
      <c r="U43" s="6" t="n">
        <f aca="false">L43</f>
        <v>0</v>
      </c>
      <c r="W43" s="6" t="n">
        <f aca="false">D43</f>
        <v>4.643846154</v>
      </c>
      <c r="X43" s="6" t="n">
        <f aca="false">E43</f>
        <v>0</v>
      </c>
      <c r="Y43" s="6" t="n">
        <f aca="false">F43</f>
        <v>0</v>
      </c>
      <c r="Z43" s="6" t="n">
        <f aca="false">L43</f>
        <v>0</v>
      </c>
      <c r="AA43" s="6" t="n">
        <f aca="false">G43</f>
        <v>0</v>
      </c>
      <c r="AC43" s="6" t="n">
        <f aca="false">D43</f>
        <v>4.643846154</v>
      </c>
      <c r="AD43" s="6" t="n">
        <f aca="false">E43</f>
        <v>0</v>
      </c>
      <c r="AE43" s="6" t="n">
        <f aca="false">G43</f>
        <v>0</v>
      </c>
      <c r="AF43" s="6" t="n">
        <f aca="false">H43</f>
        <v>0</v>
      </c>
      <c r="AG43" s="6" t="n">
        <f aca="false">I43</f>
        <v>0</v>
      </c>
      <c r="AH43" s="6" t="n">
        <f aca="false">L43</f>
        <v>0</v>
      </c>
    </row>
    <row r="44" customFormat="false" ht="15" hidden="false" customHeight="false" outlineLevel="0" collapsed="false">
      <c r="A44" s="0" t="str">
        <f aca="false">'Raw Data'!C44</f>
        <v>Coral Springs</v>
      </c>
      <c r="B44" s="5" t="n">
        <f aca="false">'Raw Data'!A44</f>
        <v>40365</v>
      </c>
      <c r="C44" s="6" t="n">
        <f aca="false">'Raw Data'!D44</f>
        <v>206.220372668159</v>
      </c>
      <c r="D44" s="6" t="n">
        <f aca="false">'Raw Data'!E44</f>
        <v>3.901538462</v>
      </c>
      <c r="E44" s="6" t="n">
        <f aca="false">'Raw Data'!F44</f>
        <v>0</v>
      </c>
      <c r="F44" s="6" t="n">
        <f aca="false">'Raw Data'!G44</f>
        <v>0</v>
      </c>
      <c r="G44" s="6" t="n">
        <f aca="false">'Raw Data'!H44</f>
        <v>0</v>
      </c>
      <c r="H44" s="6" t="n">
        <f aca="false">'Raw Data'!I44</f>
        <v>0</v>
      </c>
      <c r="I44" s="6" t="n">
        <f aca="false">'Raw Data'!J44</f>
        <v>0</v>
      </c>
      <c r="J44" s="6" t="n">
        <f aca="false">'Raw Data'!K44</f>
        <v>1</v>
      </c>
      <c r="K44" s="6" t="n">
        <f aca="false">'Raw Data'!L44</f>
        <v>1</v>
      </c>
      <c r="L44" s="6" t="n">
        <f aca="false">F44*E44</f>
        <v>0</v>
      </c>
      <c r="N44" s="0" t="n">
        <v>1</v>
      </c>
      <c r="O44" s="6" t="n">
        <f aca="false">D44</f>
        <v>3.901538462</v>
      </c>
      <c r="P44" s="6" t="n">
        <f aca="false">E44</f>
        <v>0</v>
      </c>
      <c r="Q44" s="6" t="n">
        <f aca="false">F44</f>
        <v>0</v>
      </c>
      <c r="R44" s="6" t="n">
        <f aca="false">G44</f>
        <v>0</v>
      </c>
      <c r="S44" s="6" t="n">
        <f aca="false">H44</f>
        <v>0</v>
      </c>
      <c r="T44" s="6" t="n">
        <f aca="false">I44</f>
        <v>0</v>
      </c>
      <c r="U44" s="6" t="n">
        <f aca="false">L44</f>
        <v>0</v>
      </c>
      <c r="W44" s="6" t="n">
        <f aca="false">D44</f>
        <v>3.901538462</v>
      </c>
      <c r="X44" s="6" t="n">
        <f aca="false">E44</f>
        <v>0</v>
      </c>
      <c r="Y44" s="6" t="n">
        <f aca="false">F44</f>
        <v>0</v>
      </c>
      <c r="Z44" s="6" t="n">
        <f aca="false">L44</f>
        <v>0</v>
      </c>
      <c r="AA44" s="6" t="n">
        <f aca="false">G44</f>
        <v>0</v>
      </c>
      <c r="AC44" s="6" t="n">
        <f aca="false">D44</f>
        <v>3.901538462</v>
      </c>
      <c r="AD44" s="6" t="n">
        <f aca="false">E44</f>
        <v>0</v>
      </c>
      <c r="AE44" s="6" t="n">
        <f aca="false">G44</f>
        <v>0</v>
      </c>
      <c r="AF44" s="6" t="n">
        <f aca="false">H44</f>
        <v>0</v>
      </c>
      <c r="AG44" s="6" t="n">
        <f aca="false">I44</f>
        <v>0</v>
      </c>
      <c r="AH44" s="6" t="n">
        <f aca="false">L44</f>
        <v>0</v>
      </c>
    </row>
    <row r="45" customFormat="false" ht="15" hidden="false" customHeight="false" outlineLevel="0" collapsed="false">
      <c r="A45" s="0" t="str">
        <f aca="false">'Raw Data'!C45</f>
        <v>Coral Springs</v>
      </c>
      <c r="B45" s="5" t="n">
        <f aca="false">'Raw Data'!A45</f>
        <v>40372</v>
      </c>
      <c r="C45" s="6" t="n">
        <f aca="false">'Raw Data'!D45</f>
        <v>149.383327735886</v>
      </c>
      <c r="D45" s="6" t="n">
        <f aca="false">'Raw Data'!E45</f>
        <v>4.101666667</v>
      </c>
      <c r="E45" s="6" t="n">
        <f aca="false">'Raw Data'!F45</f>
        <v>0</v>
      </c>
      <c r="F45" s="6" t="n">
        <f aca="false">'Raw Data'!G45</f>
        <v>0</v>
      </c>
      <c r="G45" s="6" t="n">
        <f aca="false">'Raw Data'!H45</f>
        <v>0</v>
      </c>
      <c r="H45" s="6" t="n">
        <f aca="false">'Raw Data'!I45</f>
        <v>0</v>
      </c>
      <c r="I45" s="6" t="n">
        <f aca="false">'Raw Data'!J45</f>
        <v>0</v>
      </c>
      <c r="J45" s="6" t="n">
        <f aca="false">'Raw Data'!K45</f>
        <v>1</v>
      </c>
      <c r="K45" s="6" t="n">
        <f aca="false">'Raw Data'!L45</f>
        <v>1</v>
      </c>
      <c r="L45" s="6" t="n">
        <f aca="false">F45*E45</f>
        <v>0</v>
      </c>
      <c r="N45" s="0" t="n">
        <v>1</v>
      </c>
      <c r="O45" s="6" t="n">
        <f aca="false">D45</f>
        <v>4.101666667</v>
      </c>
      <c r="P45" s="6" t="n">
        <f aca="false">E45</f>
        <v>0</v>
      </c>
      <c r="Q45" s="6" t="n">
        <f aca="false">F45</f>
        <v>0</v>
      </c>
      <c r="R45" s="6" t="n">
        <f aca="false">G45</f>
        <v>0</v>
      </c>
      <c r="S45" s="6" t="n">
        <f aca="false">H45</f>
        <v>0</v>
      </c>
      <c r="T45" s="6" t="n">
        <f aca="false">I45</f>
        <v>0</v>
      </c>
      <c r="U45" s="6" t="n">
        <f aca="false">L45</f>
        <v>0</v>
      </c>
      <c r="W45" s="6" t="n">
        <f aca="false">D45</f>
        <v>4.101666667</v>
      </c>
      <c r="X45" s="6" t="n">
        <f aca="false">E45</f>
        <v>0</v>
      </c>
      <c r="Y45" s="6" t="n">
        <f aca="false">F45</f>
        <v>0</v>
      </c>
      <c r="Z45" s="6" t="n">
        <f aca="false">L45</f>
        <v>0</v>
      </c>
      <c r="AA45" s="6" t="n">
        <f aca="false">G45</f>
        <v>0</v>
      </c>
      <c r="AC45" s="6" t="n">
        <f aca="false">D45</f>
        <v>4.101666667</v>
      </c>
      <c r="AD45" s="6" t="n">
        <f aca="false">E45</f>
        <v>0</v>
      </c>
      <c r="AE45" s="6" t="n">
        <f aca="false">G45</f>
        <v>0</v>
      </c>
      <c r="AF45" s="6" t="n">
        <f aca="false">H45</f>
        <v>0</v>
      </c>
      <c r="AG45" s="6" t="n">
        <f aca="false">I45</f>
        <v>0</v>
      </c>
      <c r="AH45" s="6" t="n">
        <f aca="false">L45</f>
        <v>0</v>
      </c>
    </row>
    <row r="46" customFormat="false" ht="15" hidden="false" customHeight="false" outlineLevel="0" collapsed="false">
      <c r="A46" s="0" t="str">
        <f aca="false">'Raw Data'!C46</f>
        <v>Fort Lauderdale</v>
      </c>
      <c r="B46" s="5" t="n">
        <f aca="false">'Raw Data'!A46</f>
        <v>40302</v>
      </c>
      <c r="C46" s="6" t="n">
        <f aca="false">'Raw Data'!D46</f>
        <v>152.350285172003</v>
      </c>
      <c r="D46" s="6" t="n">
        <f aca="false">'Raw Data'!E46</f>
        <v>4.373333333</v>
      </c>
      <c r="E46" s="6" t="n">
        <f aca="false">'Raw Data'!F46</f>
        <v>0</v>
      </c>
      <c r="F46" s="6" t="n">
        <f aca="false">'Raw Data'!G46</f>
        <v>0</v>
      </c>
      <c r="G46" s="6" t="n">
        <f aca="false">'Raw Data'!H46</f>
        <v>0</v>
      </c>
      <c r="H46" s="6" t="n">
        <f aca="false">'Raw Data'!I46</f>
        <v>0</v>
      </c>
      <c r="I46" s="6" t="n">
        <f aca="false">'Raw Data'!J46</f>
        <v>0</v>
      </c>
      <c r="J46" s="6" t="n">
        <f aca="false">'Raw Data'!K46</f>
        <v>3</v>
      </c>
      <c r="K46" s="6" t="n">
        <f aca="false">'Raw Data'!L46</f>
        <v>2</v>
      </c>
      <c r="L46" s="6" t="n">
        <f aca="false">F46*E46</f>
        <v>0</v>
      </c>
      <c r="N46" s="0" t="n">
        <v>1</v>
      </c>
      <c r="O46" s="6" t="n">
        <f aca="false">D46</f>
        <v>4.373333333</v>
      </c>
      <c r="P46" s="6" t="n">
        <f aca="false">E46</f>
        <v>0</v>
      </c>
      <c r="Q46" s="6" t="n">
        <f aca="false">F46</f>
        <v>0</v>
      </c>
      <c r="R46" s="6" t="n">
        <f aca="false">G46</f>
        <v>0</v>
      </c>
      <c r="S46" s="6" t="n">
        <f aca="false">H46</f>
        <v>0</v>
      </c>
      <c r="T46" s="6" t="n">
        <f aca="false">I46</f>
        <v>0</v>
      </c>
      <c r="U46" s="6" t="n">
        <f aca="false">L46</f>
        <v>0</v>
      </c>
      <c r="W46" s="6" t="n">
        <f aca="false">D46</f>
        <v>4.373333333</v>
      </c>
      <c r="X46" s="6" t="n">
        <f aca="false">E46</f>
        <v>0</v>
      </c>
      <c r="Y46" s="6" t="n">
        <f aca="false">F46</f>
        <v>0</v>
      </c>
      <c r="Z46" s="6" t="n">
        <f aca="false">L46</f>
        <v>0</v>
      </c>
      <c r="AA46" s="6" t="n">
        <f aca="false">G46</f>
        <v>0</v>
      </c>
      <c r="AC46" s="6" t="n">
        <f aca="false">D46</f>
        <v>4.373333333</v>
      </c>
      <c r="AD46" s="6" t="n">
        <f aca="false">E46</f>
        <v>0</v>
      </c>
      <c r="AE46" s="6" t="n">
        <f aca="false">G46</f>
        <v>0</v>
      </c>
      <c r="AF46" s="6" t="n">
        <f aca="false">H46</f>
        <v>0</v>
      </c>
      <c r="AG46" s="6" t="n">
        <f aca="false">I46</f>
        <v>0</v>
      </c>
      <c r="AH46" s="6" t="n">
        <f aca="false">L46</f>
        <v>0</v>
      </c>
    </row>
    <row r="47" customFormat="false" ht="15" hidden="false" customHeight="false" outlineLevel="0" collapsed="false">
      <c r="A47" s="0" t="str">
        <f aca="false">'Raw Data'!C47</f>
        <v>Fort Lauderdale</v>
      </c>
      <c r="B47" s="5" t="n">
        <f aca="false">'Raw Data'!A47</f>
        <v>40309</v>
      </c>
      <c r="C47" s="6" t="n">
        <f aca="false">'Raw Data'!D47</f>
        <v>118.768123871467</v>
      </c>
      <c r="D47" s="6" t="n">
        <f aca="false">'Raw Data'!E47</f>
        <v>4.036666667</v>
      </c>
      <c r="E47" s="6" t="n">
        <f aca="false">'Raw Data'!F47</f>
        <v>0</v>
      </c>
      <c r="F47" s="6" t="n">
        <f aca="false">'Raw Data'!G47</f>
        <v>0</v>
      </c>
      <c r="G47" s="6" t="n">
        <f aca="false">'Raw Data'!H47</f>
        <v>0</v>
      </c>
      <c r="H47" s="6" t="n">
        <f aca="false">'Raw Data'!I47</f>
        <v>0</v>
      </c>
      <c r="I47" s="6" t="n">
        <f aca="false">'Raw Data'!J47</f>
        <v>0</v>
      </c>
      <c r="J47" s="6" t="n">
        <f aca="false">'Raw Data'!K47</f>
        <v>3</v>
      </c>
      <c r="K47" s="6" t="n">
        <f aca="false">'Raw Data'!L47</f>
        <v>2</v>
      </c>
      <c r="L47" s="6" t="n">
        <f aca="false">F47*E47</f>
        <v>0</v>
      </c>
      <c r="N47" s="0" t="n">
        <v>1</v>
      </c>
      <c r="O47" s="6" t="n">
        <f aca="false">D47</f>
        <v>4.036666667</v>
      </c>
      <c r="P47" s="6" t="n">
        <f aca="false">E47</f>
        <v>0</v>
      </c>
      <c r="Q47" s="6" t="n">
        <f aca="false">F47</f>
        <v>0</v>
      </c>
      <c r="R47" s="6" t="n">
        <f aca="false">G47</f>
        <v>0</v>
      </c>
      <c r="S47" s="6" t="n">
        <f aca="false">H47</f>
        <v>0</v>
      </c>
      <c r="T47" s="6" t="n">
        <f aca="false">I47</f>
        <v>0</v>
      </c>
      <c r="U47" s="6" t="n">
        <f aca="false">L47</f>
        <v>0</v>
      </c>
      <c r="W47" s="6" t="n">
        <f aca="false">D47</f>
        <v>4.036666667</v>
      </c>
      <c r="X47" s="6" t="n">
        <f aca="false">E47</f>
        <v>0</v>
      </c>
      <c r="Y47" s="6" t="n">
        <f aca="false">F47</f>
        <v>0</v>
      </c>
      <c r="Z47" s="6" t="n">
        <f aca="false">L47</f>
        <v>0</v>
      </c>
      <c r="AA47" s="6" t="n">
        <f aca="false">G47</f>
        <v>0</v>
      </c>
      <c r="AC47" s="6" t="n">
        <f aca="false">D47</f>
        <v>4.036666667</v>
      </c>
      <c r="AD47" s="6" t="n">
        <f aca="false">E47</f>
        <v>0</v>
      </c>
      <c r="AE47" s="6" t="n">
        <f aca="false">G47</f>
        <v>0</v>
      </c>
      <c r="AF47" s="6" t="n">
        <f aca="false">H47</f>
        <v>0</v>
      </c>
      <c r="AG47" s="6" t="n">
        <f aca="false">I47</f>
        <v>0</v>
      </c>
      <c r="AH47" s="6" t="n">
        <f aca="false">L47</f>
        <v>0</v>
      </c>
    </row>
    <row r="48" customFormat="false" ht="15" hidden="false" customHeight="false" outlineLevel="0" collapsed="false">
      <c r="A48" s="0" t="str">
        <f aca="false">'Raw Data'!C48</f>
        <v>Fort Lauderdale</v>
      </c>
      <c r="B48" s="5" t="n">
        <f aca="false">'Raw Data'!A48</f>
        <v>40316</v>
      </c>
      <c r="C48" s="6" t="n">
        <f aca="false">'Raw Data'!D48</f>
        <v>147.817665127873</v>
      </c>
      <c r="D48" s="6" t="n">
        <f aca="false">'Raw Data'!E48</f>
        <v>3.843571429</v>
      </c>
      <c r="E48" s="6" t="n">
        <f aca="false">'Raw Data'!F48</f>
        <v>0</v>
      </c>
      <c r="F48" s="6" t="n">
        <f aca="false">'Raw Data'!G48</f>
        <v>0</v>
      </c>
      <c r="G48" s="6" t="n">
        <f aca="false">'Raw Data'!H48</f>
        <v>0</v>
      </c>
      <c r="H48" s="6" t="n">
        <f aca="false">'Raw Data'!I48</f>
        <v>0</v>
      </c>
      <c r="I48" s="6" t="n">
        <f aca="false">'Raw Data'!J48</f>
        <v>0</v>
      </c>
      <c r="J48" s="6" t="n">
        <f aca="false">'Raw Data'!K48</f>
        <v>3</v>
      </c>
      <c r="K48" s="6" t="n">
        <f aca="false">'Raw Data'!L48</f>
        <v>2</v>
      </c>
      <c r="L48" s="6" t="n">
        <f aca="false">F48*E48</f>
        <v>0</v>
      </c>
      <c r="N48" s="0" t="n">
        <v>1</v>
      </c>
      <c r="O48" s="6" t="n">
        <f aca="false">D48</f>
        <v>3.843571429</v>
      </c>
      <c r="P48" s="6" t="n">
        <f aca="false">E48</f>
        <v>0</v>
      </c>
      <c r="Q48" s="6" t="n">
        <f aca="false">F48</f>
        <v>0</v>
      </c>
      <c r="R48" s="6" t="n">
        <f aca="false">G48</f>
        <v>0</v>
      </c>
      <c r="S48" s="6" t="n">
        <f aca="false">H48</f>
        <v>0</v>
      </c>
      <c r="T48" s="6" t="n">
        <f aca="false">I48</f>
        <v>0</v>
      </c>
      <c r="U48" s="6" t="n">
        <f aca="false">L48</f>
        <v>0</v>
      </c>
      <c r="W48" s="6" t="n">
        <f aca="false">D48</f>
        <v>3.843571429</v>
      </c>
      <c r="X48" s="6" t="n">
        <f aca="false">E48</f>
        <v>0</v>
      </c>
      <c r="Y48" s="6" t="n">
        <f aca="false">F48</f>
        <v>0</v>
      </c>
      <c r="Z48" s="6" t="n">
        <f aca="false">L48</f>
        <v>0</v>
      </c>
      <c r="AA48" s="6" t="n">
        <f aca="false">G48</f>
        <v>0</v>
      </c>
      <c r="AC48" s="6" t="n">
        <f aca="false">D48</f>
        <v>3.843571429</v>
      </c>
      <c r="AD48" s="6" t="n">
        <f aca="false">E48</f>
        <v>0</v>
      </c>
      <c r="AE48" s="6" t="n">
        <f aca="false">G48</f>
        <v>0</v>
      </c>
      <c r="AF48" s="6" t="n">
        <f aca="false">H48</f>
        <v>0</v>
      </c>
      <c r="AG48" s="6" t="n">
        <f aca="false">I48</f>
        <v>0</v>
      </c>
      <c r="AH48" s="6" t="n">
        <f aca="false">L48</f>
        <v>0</v>
      </c>
    </row>
    <row r="49" customFormat="false" ht="15" hidden="false" customHeight="false" outlineLevel="0" collapsed="false">
      <c r="A49" s="0" t="str">
        <f aca="false">'Raw Data'!C49</f>
        <v>Fort Lauderdale</v>
      </c>
      <c r="B49" s="5" t="n">
        <f aca="false">'Raw Data'!A49</f>
        <v>40323</v>
      </c>
      <c r="C49" s="6" t="n">
        <f aca="false">'Raw Data'!D49</f>
        <v>199.09332638807</v>
      </c>
      <c r="D49" s="6" t="n">
        <f aca="false">'Raw Data'!E49</f>
        <v>4.055384615</v>
      </c>
      <c r="E49" s="6" t="n">
        <f aca="false">'Raw Data'!F49</f>
        <v>0</v>
      </c>
      <c r="F49" s="6" t="n">
        <f aca="false">'Raw Data'!G49</f>
        <v>0</v>
      </c>
      <c r="G49" s="6" t="n">
        <f aca="false">'Raw Data'!H49</f>
        <v>0</v>
      </c>
      <c r="H49" s="6" t="n">
        <f aca="false">'Raw Data'!I49</f>
        <v>0</v>
      </c>
      <c r="I49" s="6" t="n">
        <f aca="false">'Raw Data'!J49</f>
        <v>0</v>
      </c>
      <c r="J49" s="6" t="n">
        <f aca="false">'Raw Data'!K49</f>
        <v>3</v>
      </c>
      <c r="K49" s="6" t="n">
        <f aca="false">'Raw Data'!L49</f>
        <v>2</v>
      </c>
      <c r="L49" s="6" t="n">
        <f aca="false">F49*E49</f>
        <v>0</v>
      </c>
      <c r="N49" s="0" t="n">
        <v>1</v>
      </c>
      <c r="O49" s="6" t="n">
        <f aca="false">D49</f>
        <v>4.055384615</v>
      </c>
      <c r="P49" s="6" t="n">
        <f aca="false">E49</f>
        <v>0</v>
      </c>
      <c r="Q49" s="6" t="n">
        <f aca="false">F49</f>
        <v>0</v>
      </c>
      <c r="R49" s="6" t="n">
        <f aca="false">G49</f>
        <v>0</v>
      </c>
      <c r="S49" s="6" t="n">
        <f aca="false">H49</f>
        <v>0</v>
      </c>
      <c r="T49" s="6" t="n">
        <f aca="false">I49</f>
        <v>0</v>
      </c>
      <c r="U49" s="6" t="n">
        <f aca="false">L49</f>
        <v>0</v>
      </c>
      <c r="W49" s="6" t="n">
        <f aca="false">D49</f>
        <v>4.055384615</v>
      </c>
      <c r="X49" s="6" t="n">
        <f aca="false">E49</f>
        <v>0</v>
      </c>
      <c r="Y49" s="6" t="n">
        <f aca="false">F49</f>
        <v>0</v>
      </c>
      <c r="Z49" s="6" t="n">
        <f aca="false">L49</f>
        <v>0</v>
      </c>
      <c r="AA49" s="6" t="n">
        <f aca="false">G49</f>
        <v>0</v>
      </c>
      <c r="AC49" s="6" t="n">
        <f aca="false">D49</f>
        <v>4.055384615</v>
      </c>
      <c r="AD49" s="6" t="n">
        <f aca="false">E49</f>
        <v>0</v>
      </c>
      <c r="AE49" s="6" t="n">
        <f aca="false">G49</f>
        <v>0</v>
      </c>
      <c r="AF49" s="6" t="n">
        <f aca="false">H49</f>
        <v>0</v>
      </c>
      <c r="AG49" s="6" t="n">
        <f aca="false">I49</f>
        <v>0</v>
      </c>
      <c r="AH49" s="6" t="n">
        <f aca="false">L49</f>
        <v>0</v>
      </c>
    </row>
    <row r="50" customFormat="false" ht="15" hidden="false" customHeight="false" outlineLevel="0" collapsed="false">
      <c r="A50" s="0" t="str">
        <f aca="false">'Raw Data'!C50</f>
        <v>Fort Lauderdale</v>
      </c>
      <c r="B50" s="5" t="n">
        <f aca="false">'Raw Data'!A50</f>
        <v>40330</v>
      </c>
      <c r="C50" s="6" t="n">
        <f aca="false">'Raw Data'!D50</f>
        <v>160.969770359768</v>
      </c>
      <c r="D50" s="6" t="n">
        <f aca="false">'Raw Data'!E50</f>
        <v>3.843571429</v>
      </c>
      <c r="E50" s="6" t="n">
        <f aca="false">'Raw Data'!F50</f>
        <v>0</v>
      </c>
      <c r="F50" s="6" t="n">
        <f aca="false">'Raw Data'!G50</f>
        <v>0</v>
      </c>
      <c r="G50" s="6" t="n">
        <f aca="false">'Raw Data'!H50</f>
        <v>0</v>
      </c>
      <c r="H50" s="6" t="n">
        <f aca="false">'Raw Data'!I50</f>
        <v>0</v>
      </c>
      <c r="I50" s="6" t="n">
        <f aca="false">'Raw Data'!J50</f>
        <v>0</v>
      </c>
      <c r="J50" s="6" t="n">
        <f aca="false">'Raw Data'!K50</f>
        <v>3</v>
      </c>
      <c r="K50" s="6" t="n">
        <f aca="false">'Raw Data'!L50</f>
        <v>2</v>
      </c>
      <c r="L50" s="6" t="n">
        <f aca="false">F50*E50</f>
        <v>0</v>
      </c>
      <c r="N50" s="0" t="n">
        <v>1</v>
      </c>
      <c r="O50" s="6" t="n">
        <f aca="false">D50</f>
        <v>3.843571429</v>
      </c>
      <c r="P50" s="6" t="n">
        <f aca="false">E50</f>
        <v>0</v>
      </c>
      <c r="Q50" s="6" t="n">
        <f aca="false">F50</f>
        <v>0</v>
      </c>
      <c r="R50" s="6" t="n">
        <f aca="false">G50</f>
        <v>0</v>
      </c>
      <c r="S50" s="6" t="n">
        <f aca="false">H50</f>
        <v>0</v>
      </c>
      <c r="T50" s="6" t="n">
        <f aca="false">I50</f>
        <v>0</v>
      </c>
      <c r="U50" s="6" t="n">
        <f aca="false">L50</f>
        <v>0</v>
      </c>
      <c r="W50" s="6" t="n">
        <f aca="false">D50</f>
        <v>3.843571429</v>
      </c>
      <c r="X50" s="6" t="n">
        <f aca="false">E50</f>
        <v>0</v>
      </c>
      <c r="Y50" s="6" t="n">
        <f aca="false">F50</f>
        <v>0</v>
      </c>
      <c r="Z50" s="6" t="n">
        <f aca="false">L50</f>
        <v>0</v>
      </c>
      <c r="AA50" s="6" t="n">
        <f aca="false">G50</f>
        <v>0</v>
      </c>
      <c r="AC50" s="6" t="n">
        <f aca="false">D50</f>
        <v>3.843571429</v>
      </c>
      <c r="AD50" s="6" t="n">
        <f aca="false">E50</f>
        <v>0</v>
      </c>
      <c r="AE50" s="6" t="n">
        <f aca="false">G50</f>
        <v>0</v>
      </c>
      <c r="AF50" s="6" t="n">
        <f aca="false">H50</f>
        <v>0</v>
      </c>
      <c r="AG50" s="6" t="n">
        <f aca="false">I50</f>
        <v>0</v>
      </c>
      <c r="AH50" s="6" t="n">
        <f aca="false">L50</f>
        <v>0</v>
      </c>
    </row>
    <row r="51" customFormat="false" ht="15" hidden="false" customHeight="false" outlineLevel="0" collapsed="false">
      <c r="A51" s="0" t="str">
        <f aca="false">'Raw Data'!C51</f>
        <v>Fort Lauderdale</v>
      </c>
      <c r="B51" s="5" t="n">
        <f aca="false">'Raw Data'!A51</f>
        <v>40337</v>
      </c>
      <c r="C51" s="6" t="n">
        <f aca="false">'Raw Data'!D51</f>
        <v>204.559129043187</v>
      </c>
      <c r="D51" s="6" t="n">
        <f aca="false">'Raw Data'!E51</f>
        <v>4.104285714</v>
      </c>
      <c r="E51" s="6" t="n">
        <f aca="false">'Raw Data'!F51</f>
        <v>0</v>
      </c>
      <c r="F51" s="6" t="n">
        <f aca="false">'Raw Data'!G51</f>
        <v>0</v>
      </c>
      <c r="G51" s="6" t="n">
        <f aca="false">'Raw Data'!H51</f>
        <v>0</v>
      </c>
      <c r="H51" s="6" t="n">
        <f aca="false">'Raw Data'!I51</f>
        <v>0</v>
      </c>
      <c r="I51" s="6" t="n">
        <f aca="false">'Raw Data'!J51</f>
        <v>0</v>
      </c>
      <c r="J51" s="6" t="n">
        <f aca="false">'Raw Data'!K51</f>
        <v>3</v>
      </c>
      <c r="K51" s="6" t="n">
        <f aca="false">'Raw Data'!L51</f>
        <v>2</v>
      </c>
      <c r="L51" s="6" t="n">
        <f aca="false">F51*E51</f>
        <v>0</v>
      </c>
      <c r="N51" s="0" t="n">
        <v>1</v>
      </c>
      <c r="O51" s="6" t="n">
        <f aca="false">D51</f>
        <v>4.104285714</v>
      </c>
      <c r="P51" s="6" t="n">
        <f aca="false">E51</f>
        <v>0</v>
      </c>
      <c r="Q51" s="6" t="n">
        <f aca="false">F51</f>
        <v>0</v>
      </c>
      <c r="R51" s="6" t="n">
        <f aca="false">G51</f>
        <v>0</v>
      </c>
      <c r="S51" s="6" t="n">
        <f aca="false">H51</f>
        <v>0</v>
      </c>
      <c r="T51" s="6" t="n">
        <f aca="false">I51</f>
        <v>0</v>
      </c>
      <c r="U51" s="6" t="n">
        <f aca="false">L51</f>
        <v>0</v>
      </c>
      <c r="W51" s="6" t="n">
        <f aca="false">D51</f>
        <v>4.104285714</v>
      </c>
      <c r="X51" s="6" t="n">
        <f aca="false">E51</f>
        <v>0</v>
      </c>
      <c r="Y51" s="6" t="n">
        <f aca="false">F51</f>
        <v>0</v>
      </c>
      <c r="Z51" s="6" t="n">
        <f aca="false">L51</f>
        <v>0</v>
      </c>
      <c r="AA51" s="6" t="n">
        <f aca="false">G51</f>
        <v>0</v>
      </c>
      <c r="AC51" s="6" t="n">
        <f aca="false">D51</f>
        <v>4.104285714</v>
      </c>
      <c r="AD51" s="6" t="n">
        <f aca="false">E51</f>
        <v>0</v>
      </c>
      <c r="AE51" s="6" t="n">
        <f aca="false">G51</f>
        <v>0</v>
      </c>
      <c r="AF51" s="6" t="n">
        <f aca="false">H51</f>
        <v>0</v>
      </c>
      <c r="AG51" s="6" t="n">
        <f aca="false">I51</f>
        <v>0</v>
      </c>
      <c r="AH51" s="6" t="n">
        <f aca="false">L51</f>
        <v>0</v>
      </c>
    </row>
    <row r="52" customFormat="false" ht="15" hidden="false" customHeight="false" outlineLevel="0" collapsed="false">
      <c r="A52" s="0" t="str">
        <f aca="false">'Raw Data'!C52</f>
        <v>Fort Lauderdale</v>
      </c>
      <c r="B52" s="5" t="n">
        <f aca="false">'Raw Data'!A52</f>
        <v>40344</v>
      </c>
      <c r="C52" s="6" t="n">
        <f aca="false">'Raw Data'!D52</f>
        <v>189.28982781308</v>
      </c>
      <c r="D52" s="6" t="n">
        <f aca="false">'Raw Data'!E52</f>
        <v>4.116666667</v>
      </c>
      <c r="E52" s="6" t="n">
        <f aca="false">'Raw Data'!F52</f>
        <v>0</v>
      </c>
      <c r="F52" s="6" t="n">
        <f aca="false">'Raw Data'!G52</f>
        <v>0</v>
      </c>
      <c r="G52" s="6" t="n">
        <f aca="false">'Raw Data'!H52</f>
        <v>0</v>
      </c>
      <c r="H52" s="6" t="n">
        <f aca="false">'Raw Data'!I52</f>
        <v>0</v>
      </c>
      <c r="I52" s="6" t="n">
        <f aca="false">'Raw Data'!J52</f>
        <v>0</v>
      </c>
      <c r="J52" s="6" t="n">
        <f aca="false">'Raw Data'!K52</f>
        <v>3</v>
      </c>
      <c r="K52" s="6" t="n">
        <f aca="false">'Raw Data'!L52</f>
        <v>2</v>
      </c>
      <c r="L52" s="6" t="n">
        <f aca="false">F52*E52</f>
        <v>0</v>
      </c>
      <c r="N52" s="0" t="n">
        <v>1</v>
      </c>
      <c r="O52" s="6" t="n">
        <f aca="false">D52</f>
        <v>4.116666667</v>
      </c>
      <c r="P52" s="6" t="n">
        <f aca="false">E52</f>
        <v>0</v>
      </c>
      <c r="Q52" s="6" t="n">
        <f aca="false">F52</f>
        <v>0</v>
      </c>
      <c r="R52" s="6" t="n">
        <f aca="false">G52</f>
        <v>0</v>
      </c>
      <c r="S52" s="6" t="n">
        <f aca="false">H52</f>
        <v>0</v>
      </c>
      <c r="T52" s="6" t="n">
        <f aca="false">I52</f>
        <v>0</v>
      </c>
      <c r="U52" s="6" t="n">
        <f aca="false">L52</f>
        <v>0</v>
      </c>
      <c r="W52" s="6" t="n">
        <f aca="false">D52</f>
        <v>4.116666667</v>
      </c>
      <c r="X52" s="6" t="n">
        <f aca="false">E52</f>
        <v>0</v>
      </c>
      <c r="Y52" s="6" t="n">
        <f aca="false">F52</f>
        <v>0</v>
      </c>
      <c r="Z52" s="6" t="n">
        <f aca="false">L52</f>
        <v>0</v>
      </c>
      <c r="AA52" s="6" t="n">
        <f aca="false">G52</f>
        <v>0</v>
      </c>
      <c r="AC52" s="6" t="n">
        <f aca="false">D52</f>
        <v>4.116666667</v>
      </c>
      <c r="AD52" s="6" t="n">
        <f aca="false">E52</f>
        <v>0</v>
      </c>
      <c r="AE52" s="6" t="n">
        <f aca="false">G52</f>
        <v>0</v>
      </c>
      <c r="AF52" s="6" t="n">
        <f aca="false">H52</f>
        <v>0</v>
      </c>
      <c r="AG52" s="6" t="n">
        <f aca="false">I52</f>
        <v>0</v>
      </c>
      <c r="AH52" s="6" t="n">
        <f aca="false">L52</f>
        <v>0</v>
      </c>
    </row>
    <row r="53" customFormat="false" ht="15" hidden="false" customHeight="false" outlineLevel="0" collapsed="false">
      <c r="A53" s="0" t="str">
        <f aca="false">'Raw Data'!C53</f>
        <v>Fort Lauderdale</v>
      </c>
      <c r="B53" s="5" t="n">
        <f aca="false">'Raw Data'!A53</f>
        <v>40351</v>
      </c>
      <c r="C53" s="6" t="n">
        <f aca="false">'Raw Data'!D53</f>
        <v>177.42078362712</v>
      </c>
      <c r="D53" s="6" t="n">
        <f aca="false">'Raw Data'!E53</f>
        <v>4.104285714</v>
      </c>
      <c r="E53" s="6" t="n">
        <f aca="false">'Raw Data'!F53</f>
        <v>0</v>
      </c>
      <c r="F53" s="6" t="n">
        <f aca="false">'Raw Data'!G53</f>
        <v>0</v>
      </c>
      <c r="G53" s="6" t="n">
        <f aca="false">'Raw Data'!H53</f>
        <v>0</v>
      </c>
      <c r="H53" s="6" t="n">
        <f aca="false">'Raw Data'!I53</f>
        <v>0</v>
      </c>
      <c r="I53" s="6" t="n">
        <f aca="false">'Raw Data'!J53</f>
        <v>0</v>
      </c>
      <c r="J53" s="6" t="n">
        <f aca="false">'Raw Data'!K53</f>
        <v>3</v>
      </c>
      <c r="K53" s="6" t="n">
        <f aca="false">'Raw Data'!L53</f>
        <v>2</v>
      </c>
      <c r="L53" s="6" t="n">
        <f aca="false">F53*E53</f>
        <v>0</v>
      </c>
      <c r="N53" s="0" t="n">
        <v>1</v>
      </c>
      <c r="O53" s="6" t="n">
        <f aca="false">D53</f>
        <v>4.104285714</v>
      </c>
      <c r="P53" s="6" t="n">
        <f aca="false">E53</f>
        <v>0</v>
      </c>
      <c r="Q53" s="6" t="n">
        <f aca="false">F53</f>
        <v>0</v>
      </c>
      <c r="R53" s="6" t="n">
        <f aca="false">G53</f>
        <v>0</v>
      </c>
      <c r="S53" s="6" t="n">
        <f aca="false">H53</f>
        <v>0</v>
      </c>
      <c r="T53" s="6" t="n">
        <f aca="false">I53</f>
        <v>0</v>
      </c>
      <c r="U53" s="6" t="n">
        <f aca="false">L53</f>
        <v>0</v>
      </c>
      <c r="W53" s="6" t="n">
        <f aca="false">D53</f>
        <v>4.104285714</v>
      </c>
      <c r="X53" s="6" t="n">
        <f aca="false">E53</f>
        <v>0</v>
      </c>
      <c r="Y53" s="6" t="n">
        <f aca="false">F53</f>
        <v>0</v>
      </c>
      <c r="Z53" s="6" t="n">
        <f aca="false">L53</f>
        <v>0</v>
      </c>
      <c r="AA53" s="6" t="n">
        <f aca="false">G53</f>
        <v>0</v>
      </c>
      <c r="AC53" s="6" t="n">
        <f aca="false">D53</f>
        <v>4.104285714</v>
      </c>
      <c r="AD53" s="6" t="n">
        <f aca="false">E53</f>
        <v>0</v>
      </c>
      <c r="AE53" s="6" t="n">
        <f aca="false">G53</f>
        <v>0</v>
      </c>
      <c r="AF53" s="6" t="n">
        <f aca="false">H53</f>
        <v>0</v>
      </c>
      <c r="AG53" s="6" t="n">
        <f aca="false">I53</f>
        <v>0</v>
      </c>
      <c r="AH53" s="6" t="n">
        <f aca="false">L53</f>
        <v>0</v>
      </c>
    </row>
    <row r="54" customFormat="false" ht="15" hidden="false" customHeight="false" outlineLevel="0" collapsed="false">
      <c r="A54" s="0" t="str">
        <f aca="false">'Raw Data'!C54</f>
        <v>Fort Lauderdale</v>
      </c>
      <c r="B54" s="5" t="n">
        <f aca="false">'Raw Data'!A54</f>
        <v>40358</v>
      </c>
      <c r="C54" s="6" t="n">
        <f aca="false">'Raw Data'!D54</f>
        <v>173.991296027662</v>
      </c>
      <c r="D54" s="6" t="n">
        <f aca="false">'Raw Data'!E54</f>
        <v>4.116666667</v>
      </c>
      <c r="E54" s="6" t="n">
        <f aca="false">'Raw Data'!F54</f>
        <v>0</v>
      </c>
      <c r="F54" s="6" t="n">
        <f aca="false">'Raw Data'!G54</f>
        <v>0</v>
      </c>
      <c r="G54" s="6" t="n">
        <f aca="false">'Raw Data'!H54</f>
        <v>0</v>
      </c>
      <c r="H54" s="6" t="n">
        <f aca="false">'Raw Data'!I54</f>
        <v>0</v>
      </c>
      <c r="I54" s="6" t="n">
        <f aca="false">'Raw Data'!J54</f>
        <v>0</v>
      </c>
      <c r="J54" s="6" t="n">
        <f aca="false">'Raw Data'!K54</f>
        <v>3</v>
      </c>
      <c r="K54" s="6" t="n">
        <f aca="false">'Raw Data'!L54</f>
        <v>2</v>
      </c>
      <c r="L54" s="6" t="n">
        <f aca="false">F54*E54</f>
        <v>0</v>
      </c>
      <c r="N54" s="0" t="n">
        <v>1</v>
      </c>
      <c r="O54" s="6" t="n">
        <f aca="false">D54</f>
        <v>4.116666667</v>
      </c>
      <c r="P54" s="6" t="n">
        <f aca="false">E54</f>
        <v>0</v>
      </c>
      <c r="Q54" s="6" t="n">
        <f aca="false">F54</f>
        <v>0</v>
      </c>
      <c r="R54" s="6" t="n">
        <f aca="false">G54</f>
        <v>0</v>
      </c>
      <c r="S54" s="6" t="n">
        <f aca="false">H54</f>
        <v>0</v>
      </c>
      <c r="T54" s="6" t="n">
        <f aca="false">I54</f>
        <v>0</v>
      </c>
      <c r="U54" s="6" t="n">
        <f aca="false">L54</f>
        <v>0</v>
      </c>
      <c r="W54" s="6" t="n">
        <f aca="false">D54</f>
        <v>4.116666667</v>
      </c>
      <c r="X54" s="6" t="n">
        <f aca="false">E54</f>
        <v>0</v>
      </c>
      <c r="Y54" s="6" t="n">
        <f aca="false">F54</f>
        <v>0</v>
      </c>
      <c r="Z54" s="6" t="n">
        <f aca="false">L54</f>
        <v>0</v>
      </c>
      <c r="AA54" s="6" t="n">
        <f aca="false">G54</f>
        <v>0</v>
      </c>
      <c r="AC54" s="6" t="n">
        <f aca="false">D54</f>
        <v>4.116666667</v>
      </c>
      <c r="AD54" s="6" t="n">
        <f aca="false">E54</f>
        <v>0</v>
      </c>
      <c r="AE54" s="6" t="n">
        <f aca="false">G54</f>
        <v>0</v>
      </c>
      <c r="AF54" s="6" t="n">
        <f aca="false">H54</f>
        <v>0</v>
      </c>
      <c r="AG54" s="6" t="n">
        <f aca="false">I54</f>
        <v>0</v>
      </c>
      <c r="AH54" s="6" t="n">
        <f aca="false">L54</f>
        <v>0</v>
      </c>
    </row>
    <row r="55" customFormat="false" ht="15" hidden="false" customHeight="false" outlineLevel="0" collapsed="false">
      <c r="A55" s="0" t="str">
        <f aca="false">'Raw Data'!C55</f>
        <v>Fort Lauderdale</v>
      </c>
      <c r="B55" s="5" t="n">
        <f aca="false">'Raw Data'!A55</f>
        <v>40365</v>
      </c>
      <c r="C55" s="6" t="n">
        <f aca="false">'Raw Data'!D55</f>
        <v>141.867866792064</v>
      </c>
      <c r="D55" s="6" t="n">
        <f aca="false">'Raw Data'!E55</f>
        <v>3.708571429</v>
      </c>
      <c r="E55" s="6" t="n">
        <f aca="false">'Raw Data'!F55</f>
        <v>0</v>
      </c>
      <c r="F55" s="6" t="n">
        <f aca="false">'Raw Data'!G55</f>
        <v>0</v>
      </c>
      <c r="G55" s="6" t="n">
        <f aca="false">'Raw Data'!H55</f>
        <v>0</v>
      </c>
      <c r="H55" s="6" t="n">
        <f aca="false">'Raw Data'!I55</f>
        <v>0</v>
      </c>
      <c r="I55" s="6" t="n">
        <f aca="false">'Raw Data'!J55</f>
        <v>0</v>
      </c>
      <c r="J55" s="6" t="n">
        <f aca="false">'Raw Data'!K55</f>
        <v>3</v>
      </c>
      <c r="K55" s="6" t="n">
        <f aca="false">'Raw Data'!L55</f>
        <v>2</v>
      </c>
      <c r="L55" s="6" t="n">
        <f aca="false">F55*E55</f>
        <v>0</v>
      </c>
      <c r="N55" s="0" t="n">
        <v>1</v>
      </c>
      <c r="O55" s="6" t="n">
        <f aca="false">D55</f>
        <v>3.708571429</v>
      </c>
      <c r="P55" s="6" t="n">
        <f aca="false">E55</f>
        <v>0</v>
      </c>
      <c r="Q55" s="6" t="n">
        <f aca="false">F55</f>
        <v>0</v>
      </c>
      <c r="R55" s="6" t="n">
        <f aca="false">G55</f>
        <v>0</v>
      </c>
      <c r="S55" s="6" t="n">
        <f aca="false">H55</f>
        <v>0</v>
      </c>
      <c r="T55" s="6" t="n">
        <f aca="false">I55</f>
        <v>0</v>
      </c>
      <c r="U55" s="6" t="n">
        <f aca="false">L55</f>
        <v>0</v>
      </c>
      <c r="W55" s="6" t="n">
        <f aca="false">D55</f>
        <v>3.708571429</v>
      </c>
      <c r="X55" s="6" t="n">
        <f aca="false">E55</f>
        <v>0</v>
      </c>
      <c r="Y55" s="6" t="n">
        <f aca="false">F55</f>
        <v>0</v>
      </c>
      <c r="Z55" s="6" t="n">
        <f aca="false">L55</f>
        <v>0</v>
      </c>
      <c r="AA55" s="6" t="n">
        <f aca="false">G55</f>
        <v>0</v>
      </c>
      <c r="AC55" s="6" t="n">
        <f aca="false">D55</f>
        <v>3.708571429</v>
      </c>
      <c r="AD55" s="6" t="n">
        <f aca="false">E55</f>
        <v>0</v>
      </c>
      <c r="AE55" s="6" t="n">
        <f aca="false">G55</f>
        <v>0</v>
      </c>
      <c r="AF55" s="6" t="n">
        <f aca="false">H55</f>
        <v>0</v>
      </c>
      <c r="AG55" s="6" t="n">
        <f aca="false">I55</f>
        <v>0</v>
      </c>
      <c r="AH55" s="6" t="n">
        <f aca="false">L55</f>
        <v>0</v>
      </c>
    </row>
    <row r="56" customFormat="false" ht="15" hidden="false" customHeight="false" outlineLevel="0" collapsed="false">
      <c r="A56" s="0" t="str">
        <f aca="false">'Raw Data'!C56</f>
        <v>Fort Lauderdale</v>
      </c>
      <c r="B56" s="5" t="n">
        <f aca="false">'Raw Data'!A56</f>
        <v>40372</v>
      </c>
      <c r="C56" s="6" t="n">
        <f aca="false">'Raw Data'!D56</f>
        <v>232.062346374847</v>
      </c>
      <c r="D56" s="6" t="n">
        <f aca="false">'Raw Data'!E56</f>
        <v>3.708571429</v>
      </c>
      <c r="E56" s="6" t="n">
        <f aca="false">'Raw Data'!F56</f>
        <v>0</v>
      </c>
      <c r="F56" s="6" t="n">
        <f aca="false">'Raw Data'!G56</f>
        <v>0</v>
      </c>
      <c r="G56" s="6" t="n">
        <f aca="false">'Raw Data'!H56</f>
        <v>0</v>
      </c>
      <c r="H56" s="6" t="n">
        <f aca="false">'Raw Data'!I56</f>
        <v>0</v>
      </c>
      <c r="I56" s="6" t="n">
        <f aca="false">'Raw Data'!J56</f>
        <v>0</v>
      </c>
      <c r="J56" s="6" t="n">
        <f aca="false">'Raw Data'!K56</f>
        <v>3</v>
      </c>
      <c r="K56" s="6" t="n">
        <f aca="false">'Raw Data'!L56</f>
        <v>2</v>
      </c>
      <c r="L56" s="6" t="n">
        <f aca="false">F56*E56</f>
        <v>0</v>
      </c>
      <c r="N56" s="0" t="n">
        <v>1</v>
      </c>
      <c r="O56" s="6" t="n">
        <f aca="false">D56</f>
        <v>3.708571429</v>
      </c>
      <c r="P56" s="6" t="n">
        <f aca="false">E56</f>
        <v>0</v>
      </c>
      <c r="Q56" s="6" t="n">
        <f aca="false">F56</f>
        <v>0</v>
      </c>
      <c r="R56" s="6" t="n">
        <f aca="false">G56</f>
        <v>0</v>
      </c>
      <c r="S56" s="6" t="n">
        <f aca="false">H56</f>
        <v>0</v>
      </c>
      <c r="T56" s="6" t="n">
        <f aca="false">I56</f>
        <v>0</v>
      </c>
      <c r="U56" s="6" t="n">
        <f aca="false">L56</f>
        <v>0</v>
      </c>
      <c r="W56" s="6" t="n">
        <f aca="false">D56</f>
        <v>3.708571429</v>
      </c>
      <c r="X56" s="6" t="n">
        <f aca="false">E56</f>
        <v>0</v>
      </c>
      <c r="Y56" s="6" t="n">
        <f aca="false">F56</f>
        <v>0</v>
      </c>
      <c r="Z56" s="6" t="n">
        <f aca="false">L56</f>
        <v>0</v>
      </c>
      <c r="AA56" s="6" t="n">
        <f aca="false">G56</f>
        <v>0</v>
      </c>
      <c r="AC56" s="6" t="n">
        <f aca="false">D56</f>
        <v>3.708571429</v>
      </c>
      <c r="AD56" s="6" t="n">
        <f aca="false">E56</f>
        <v>0</v>
      </c>
      <c r="AE56" s="6" t="n">
        <f aca="false">G56</f>
        <v>0</v>
      </c>
      <c r="AF56" s="6" t="n">
        <f aca="false">H56</f>
        <v>0</v>
      </c>
      <c r="AG56" s="6" t="n">
        <f aca="false">I56</f>
        <v>0</v>
      </c>
      <c r="AH56" s="6" t="n">
        <f aca="false">L56</f>
        <v>0</v>
      </c>
    </row>
    <row r="57" customFormat="false" ht="15" hidden="false" customHeight="false" outlineLevel="0" collapsed="false">
      <c r="A57" s="0" t="str">
        <f aca="false">'Raw Data'!C57</f>
        <v>Palm Beach Gardens</v>
      </c>
      <c r="B57" s="5" t="n">
        <f aca="false">'Raw Data'!A57</f>
        <v>40302</v>
      </c>
      <c r="C57" s="6" t="n">
        <f aca="false">'Raw Data'!D57</f>
        <v>179.030760028186</v>
      </c>
      <c r="D57" s="6" t="n">
        <f aca="false">'Raw Data'!E57</f>
        <v>4.559230769</v>
      </c>
      <c r="E57" s="6" t="n">
        <f aca="false">'Raw Data'!F57</f>
        <v>0</v>
      </c>
      <c r="F57" s="6" t="n">
        <f aca="false">'Raw Data'!G57</f>
        <v>0</v>
      </c>
      <c r="G57" s="6" t="n">
        <f aca="false">'Raw Data'!H57</f>
        <v>0</v>
      </c>
      <c r="H57" s="6" t="n">
        <f aca="false">'Raw Data'!I57</f>
        <v>0</v>
      </c>
      <c r="I57" s="6" t="n">
        <f aca="false">'Raw Data'!J57</f>
        <v>0</v>
      </c>
      <c r="J57" s="6" t="n">
        <f aca="false">'Raw Data'!K57</f>
        <v>1</v>
      </c>
      <c r="K57" s="6" t="n">
        <f aca="false">'Raw Data'!L57</f>
        <v>4</v>
      </c>
      <c r="L57" s="6" t="n">
        <f aca="false">F57*E57</f>
        <v>0</v>
      </c>
      <c r="N57" s="0" t="n">
        <v>1</v>
      </c>
      <c r="O57" s="6" t="n">
        <f aca="false">D57</f>
        <v>4.559230769</v>
      </c>
      <c r="P57" s="6" t="n">
        <f aca="false">E57</f>
        <v>0</v>
      </c>
      <c r="Q57" s="6" t="n">
        <f aca="false">F57</f>
        <v>0</v>
      </c>
      <c r="R57" s="6" t="n">
        <f aca="false">G57</f>
        <v>0</v>
      </c>
      <c r="S57" s="6" t="n">
        <f aca="false">H57</f>
        <v>0</v>
      </c>
      <c r="T57" s="6" t="n">
        <f aca="false">I57</f>
        <v>0</v>
      </c>
      <c r="U57" s="6" t="n">
        <f aca="false">L57</f>
        <v>0</v>
      </c>
      <c r="W57" s="6" t="n">
        <f aca="false">D57</f>
        <v>4.559230769</v>
      </c>
      <c r="X57" s="6" t="n">
        <f aca="false">E57</f>
        <v>0</v>
      </c>
      <c r="Y57" s="6" t="n">
        <f aca="false">F57</f>
        <v>0</v>
      </c>
      <c r="Z57" s="6" t="n">
        <f aca="false">L57</f>
        <v>0</v>
      </c>
      <c r="AA57" s="6" t="n">
        <f aca="false">G57</f>
        <v>0</v>
      </c>
      <c r="AC57" s="6" t="n">
        <f aca="false">D57</f>
        <v>4.559230769</v>
      </c>
      <c r="AD57" s="6" t="n">
        <f aca="false">E57</f>
        <v>0</v>
      </c>
      <c r="AE57" s="6" t="n">
        <f aca="false">G57</f>
        <v>0</v>
      </c>
      <c r="AF57" s="6" t="n">
        <f aca="false">H57</f>
        <v>0</v>
      </c>
      <c r="AG57" s="6" t="n">
        <f aca="false">I57</f>
        <v>0</v>
      </c>
      <c r="AH57" s="6" t="n">
        <f aca="false">L57</f>
        <v>0</v>
      </c>
    </row>
    <row r="58" customFormat="false" ht="15" hidden="false" customHeight="false" outlineLevel="0" collapsed="false">
      <c r="A58" s="0" t="str">
        <f aca="false">'Raw Data'!C58</f>
        <v>Palm Beach Gardens</v>
      </c>
      <c r="B58" s="5" t="n">
        <f aca="false">'Raw Data'!A58</f>
        <v>40309</v>
      </c>
      <c r="C58" s="6" t="n">
        <f aca="false">'Raw Data'!D58</f>
        <v>238.275285564028</v>
      </c>
      <c r="D58" s="6" t="n">
        <f aca="false">'Raw Data'!E58</f>
        <v>4.20875</v>
      </c>
      <c r="E58" s="6" t="n">
        <f aca="false">'Raw Data'!F58</f>
        <v>0</v>
      </c>
      <c r="F58" s="6" t="n">
        <f aca="false">'Raw Data'!G58</f>
        <v>0</v>
      </c>
      <c r="G58" s="6" t="n">
        <f aca="false">'Raw Data'!H58</f>
        <v>0</v>
      </c>
      <c r="H58" s="6" t="n">
        <f aca="false">'Raw Data'!I58</f>
        <v>0</v>
      </c>
      <c r="I58" s="6" t="n">
        <f aca="false">'Raw Data'!J58</f>
        <v>0</v>
      </c>
      <c r="J58" s="6" t="n">
        <f aca="false">'Raw Data'!K58</f>
        <v>1</v>
      </c>
      <c r="K58" s="6" t="n">
        <f aca="false">'Raw Data'!L58</f>
        <v>4</v>
      </c>
      <c r="L58" s="6" t="n">
        <f aca="false">F58*E58</f>
        <v>0</v>
      </c>
      <c r="N58" s="0" t="n">
        <v>1</v>
      </c>
      <c r="O58" s="6" t="n">
        <f aca="false">D58</f>
        <v>4.20875</v>
      </c>
      <c r="P58" s="6" t="n">
        <f aca="false">E58</f>
        <v>0</v>
      </c>
      <c r="Q58" s="6" t="n">
        <f aca="false">F58</f>
        <v>0</v>
      </c>
      <c r="R58" s="6" t="n">
        <f aca="false">G58</f>
        <v>0</v>
      </c>
      <c r="S58" s="6" t="n">
        <f aca="false">H58</f>
        <v>0</v>
      </c>
      <c r="T58" s="6" t="n">
        <f aca="false">I58</f>
        <v>0</v>
      </c>
      <c r="U58" s="6" t="n">
        <f aca="false">L58</f>
        <v>0</v>
      </c>
      <c r="W58" s="6" t="n">
        <f aca="false">D58</f>
        <v>4.20875</v>
      </c>
      <c r="X58" s="6" t="n">
        <f aca="false">E58</f>
        <v>0</v>
      </c>
      <c r="Y58" s="6" t="n">
        <f aca="false">F58</f>
        <v>0</v>
      </c>
      <c r="Z58" s="6" t="n">
        <f aca="false">L58</f>
        <v>0</v>
      </c>
      <c r="AA58" s="6" t="n">
        <f aca="false">G58</f>
        <v>0</v>
      </c>
      <c r="AC58" s="6" t="n">
        <f aca="false">D58</f>
        <v>4.20875</v>
      </c>
      <c r="AD58" s="6" t="n">
        <f aca="false">E58</f>
        <v>0</v>
      </c>
      <c r="AE58" s="6" t="n">
        <f aca="false">G58</f>
        <v>0</v>
      </c>
      <c r="AF58" s="6" t="n">
        <f aca="false">H58</f>
        <v>0</v>
      </c>
      <c r="AG58" s="6" t="n">
        <f aca="false">I58</f>
        <v>0</v>
      </c>
      <c r="AH58" s="6" t="n">
        <f aca="false">L58</f>
        <v>0</v>
      </c>
    </row>
    <row r="59" customFormat="false" ht="15" hidden="false" customHeight="false" outlineLevel="0" collapsed="false">
      <c r="A59" s="0" t="str">
        <f aca="false">'Raw Data'!C59</f>
        <v>Palm Beach Gardens</v>
      </c>
      <c r="B59" s="5" t="n">
        <f aca="false">'Raw Data'!A59</f>
        <v>40316</v>
      </c>
      <c r="C59" s="6" t="n">
        <f aca="false">'Raw Data'!D59</f>
        <v>163.095341225477</v>
      </c>
      <c r="D59" s="6" t="n">
        <f aca="false">'Raw Data'!E59</f>
        <v>4.055625</v>
      </c>
      <c r="E59" s="6" t="n">
        <f aca="false">'Raw Data'!F59</f>
        <v>0</v>
      </c>
      <c r="F59" s="6" t="n">
        <f aca="false">'Raw Data'!G59</f>
        <v>0</v>
      </c>
      <c r="G59" s="6" t="n">
        <f aca="false">'Raw Data'!H59</f>
        <v>0</v>
      </c>
      <c r="H59" s="6" t="n">
        <f aca="false">'Raw Data'!I59</f>
        <v>0</v>
      </c>
      <c r="I59" s="6" t="n">
        <f aca="false">'Raw Data'!J59</f>
        <v>0</v>
      </c>
      <c r="J59" s="6" t="n">
        <f aca="false">'Raw Data'!K59</f>
        <v>1</v>
      </c>
      <c r="K59" s="6" t="n">
        <f aca="false">'Raw Data'!L59</f>
        <v>4</v>
      </c>
      <c r="L59" s="6" t="n">
        <f aca="false">F59*E59</f>
        <v>0</v>
      </c>
      <c r="N59" s="0" t="n">
        <v>1</v>
      </c>
      <c r="O59" s="6" t="n">
        <f aca="false">D59</f>
        <v>4.055625</v>
      </c>
      <c r="P59" s="6" t="n">
        <f aca="false">E59</f>
        <v>0</v>
      </c>
      <c r="Q59" s="6" t="n">
        <f aca="false">F59</f>
        <v>0</v>
      </c>
      <c r="R59" s="6" t="n">
        <f aca="false">G59</f>
        <v>0</v>
      </c>
      <c r="S59" s="6" t="n">
        <f aca="false">H59</f>
        <v>0</v>
      </c>
      <c r="T59" s="6" t="n">
        <f aca="false">I59</f>
        <v>0</v>
      </c>
      <c r="U59" s="6" t="n">
        <f aca="false">L59</f>
        <v>0</v>
      </c>
      <c r="W59" s="6" t="n">
        <f aca="false">D59</f>
        <v>4.055625</v>
      </c>
      <c r="X59" s="6" t="n">
        <f aca="false">E59</f>
        <v>0</v>
      </c>
      <c r="Y59" s="6" t="n">
        <f aca="false">F59</f>
        <v>0</v>
      </c>
      <c r="Z59" s="6" t="n">
        <f aca="false">L59</f>
        <v>0</v>
      </c>
      <c r="AA59" s="6" t="n">
        <f aca="false">G59</f>
        <v>0</v>
      </c>
      <c r="AC59" s="6" t="n">
        <f aca="false">D59</f>
        <v>4.055625</v>
      </c>
      <c r="AD59" s="6" t="n">
        <f aca="false">E59</f>
        <v>0</v>
      </c>
      <c r="AE59" s="6" t="n">
        <f aca="false">G59</f>
        <v>0</v>
      </c>
      <c r="AF59" s="6" t="n">
        <f aca="false">H59</f>
        <v>0</v>
      </c>
      <c r="AG59" s="6" t="n">
        <f aca="false">I59</f>
        <v>0</v>
      </c>
      <c r="AH59" s="6" t="n">
        <f aca="false">L59</f>
        <v>0</v>
      </c>
    </row>
    <row r="60" customFormat="false" ht="15" hidden="false" customHeight="false" outlineLevel="0" collapsed="false">
      <c r="A60" s="0" t="str">
        <f aca="false">'Raw Data'!C60</f>
        <v>Palm Beach Gardens</v>
      </c>
      <c r="B60" s="5" t="n">
        <f aca="false">'Raw Data'!A60</f>
        <v>40323</v>
      </c>
      <c r="C60" s="6" t="n">
        <f aca="false">'Raw Data'!D60</f>
        <v>239.576062423663</v>
      </c>
      <c r="D60" s="6" t="n">
        <f aca="false">'Raw Data'!E60</f>
        <v>4.055625</v>
      </c>
      <c r="E60" s="6" t="n">
        <f aca="false">'Raw Data'!F60</f>
        <v>0</v>
      </c>
      <c r="F60" s="6" t="n">
        <f aca="false">'Raw Data'!G60</f>
        <v>0</v>
      </c>
      <c r="G60" s="6" t="n">
        <f aca="false">'Raw Data'!H60</f>
        <v>0</v>
      </c>
      <c r="H60" s="6" t="n">
        <f aca="false">'Raw Data'!I60</f>
        <v>0</v>
      </c>
      <c r="I60" s="6" t="n">
        <f aca="false">'Raw Data'!J60</f>
        <v>0</v>
      </c>
      <c r="J60" s="6" t="n">
        <f aca="false">'Raw Data'!K60</f>
        <v>1</v>
      </c>
      <c r="K60" s="6" t="n">
        <f aca="false">'Raw Data'!L60</f>
        <v>4</v>
      </c>
      <c r="L60" s="6" t="n">
        <f aca="false">F60*E60</f>
        <v>0</v>
      </c>
      <c r="N60" s="0" t="n">
        <v>1</v>
      </c>
      <c r="O60" s="6" t="n">
        <f aca="false">D60</f>
        <v>4.055625</v>
      </c>
      <c r="P60" s="6" t="n">
        <f aca="false">E60</f>
        <v>0</v>
      </c>
      <c r="Q60" s="6" t="n">
        <f aca="false">F60</f>
        <v>0</v>
      </c>
      <c r="R60" s="6" t="n">
        <f aca="false">G60</f>
        <v>0</v>
      </c>
      <c r="S60" s="6" t="n">
        <f aca="false">H60</f>
        <v>0</v>
      </c>
      <c r="T60" s="6" t="n">
        <f aca="false">I60</f>
        <v>0</v>
      </c>
      <c r="U60" s="6" t="n">
        <f aca="false">L60</f>
        <v>0</v>
      </c>
      <c r="W60" s="6" t="n">
        <f aca="false">D60</f>
        <v>4.055625</v>
      </c>
      <c r="X60" s="6" t="n">
        <f aca="false">E60</f>
        <v>0</v>
      </c>
      <c r="Y60" s="6" t="n">
        <f aca="false">F60</f>
        <v>0</v>
      </c>
      <c r="Z60" s="6" t="n">
        <f aca="false">L60</f>
        <v>0</v>
      </c>
      <c r="AA60" s="6" t="n">
        <f aca="false">G60</f>
        <v>0</v>
      </c>
      <c r="AC60" s="6" t="n">
        <f aca="false">D60</f>
        <v>4.055625</v>
      </c>
      <c r="AD60" s="6" t="n">
        <f aca="false">E60</f>
        <v>0</v>
      </c>
      <c r="AE60" s="6" t="n">
        <f aca="false">G60</f>
        <v>0</v>
      </c>
      <c r="AF60" s="6" t="n">
        <f aca="false">H60</f>
        <v>0</v>
      </c>
      <c r="AG60" s="6" t="n">
        <f aca="false">I60</f>
        <v>0</v>
      </c>
      <c r="AH60" s="6" t="n">
        <f aca="false">L60</f>
        <v>0</v>
      </c>
    </row>
    <row r="61" customFormat="false" ht="15" hidden="false" customHeight="false" outlineLevel="0" collapsed="false">
      <c r="A61" s="0" t="str">
        <f aca="false">'Raw Data'!C61</f>
        <v>Palm Beach Gardens</v>
      </c>
      <c r="B61" s="5" t="n">
        <f aca="false">'Raw Data'!A61</f>
        <v>40330</v>
      </c>
      <c r="C61" s="6" t="n">
        <f aca="false">'Raw Data'!D61</f>
        <v>204.934510759223</v>
      </c>
      <c r="D61" s="6" t="n">
        <f aca="false">'Raw Data'!E61</f>
        <v>4.055625</v>
      </c>
      <c r="E61" s="6" t="n">
        <f aca="false">'Raw Data'!F61</f>
        <v>0</v>
      </c>
      <c r="F61" s="6" t="n">
        <f aca="false">'Raw Data'!G61</f>
        <v>0</v>
      </c>
      <c r="G61" s="6" t="n">
        <f aca="false">'Raw Data'!H61</f>
        <v>0</v>
      </c>
      <c r="H61" s="6" t="n">
        <f aca="false">'Raw Data'!I61</f>
        <v>0</v>
      </c>
      <c r="I61" s="6" t="n">
        <f aca="false">'Raw Data'!J61</f>
        <v>0</v>
      </c>
      <c r="J61" s="6" t="n">
        <f aca="false">'Raw Data'!K61</f>
        <v>1</v>
      </c>
      <c r="K61" s="6" t="n">
        <f aca="false">'Raw Data'!L61</f>
        <v>4</v>
      </c>
      <c r="L61" s="6" t="n">
        <f aca="false">F61*E61</f>
        <v>0</v>
      </c>
      <c r="N61" s="0" t="n">
        <v>1</v>
      </c>
      <c r="O61" s="6" t="n">
        <f aca="false">D61</f>
        <v>4.055625</v>
      </c>
      <c r="P61" s="6" t="n">
        <f aca="false">E61</f>
        <v>0</v>
      </c>
      <c r="Q61" s="6" t="n">
        <f aca="false">F61</f>
        <v>0</v>
      </c>
      <c r="R61" s="6" t="n">
        <f aca="false">G61</f>
        <v>0</v>
      </c>
      <c r="S61" s="6" t="n">
        <f aca="false">H61</f>
        <v>0</v>
      </c>
      <c r="T61" s="6" t="n">
        <f aca="false">I61</f>
        <v>0</v>
      </c>
      <c r="U61" s="6" t="n">
        <f aca="false">L61</f>
        <v>0</v>
      </c>
      <c r="W61" s="6" t="n">
        <f aca="false">D61</f>
        <v>4.055625</v>
      </c>
      <c r="X61" s="6" t="n">
        <f aca="false">E61</f>
        <v>0</v>
      </c>
      <c r="Y61" s="6" t="n">
        <f aca="false">F61</f>
        <v>0</v>
      </c>
      <c r="Z61" s="6" t="n">
        <f aca="false">L61</f>
        <v>0</v>
      </c>
      <c r="AA61" s="6" t="n">
        <f aca="false">G61</f>
        <v>0</v>
      </c>
      <c r="AC61" s="6" t="n">
        <f aca="false">D61</f>
        <v>4.055625</v>
      </c>
      <c r="AD61" s="6" t="n">
        <f aca="false">E61</f>
        <v>0</v>
      </c>
      <c r="AE61" s="6" t="n">
        <f aca="false">G61</f>
        <v>0</v>
      </c>
      <c r="AF61" s="6" t="n">
        <f aca="false">H61</f>
        <v>0</v>
      </c>
      <c r="AG61" s="6" t="n">
        <f aca="false">I61</f>
        <v>0</v>
      </c>
      <c r="AH61" s="6" t="n">
        <f aca="false">L61</f>
        <v>0</v>
      </c>
    </row>
    <row r="62" customFormat="false" ht="15" hidden="false" customHeight="false" outlineLevel="0" collapsed="false">
      <c r="A62" s="0" t="str">
        <f aca="false">'Raw Data'!C62</f>
        <v>Palm Beach Gardens</v>
      </c>
      <c r="B62" s="5" t="n">
        <f aca="false">'Raw Data'!A62</f>
        <v>40337</v>
      </c>
      <c r="C62" s="6" t="n">
        <f aca="false">'Raw Data'!D62</f>
        <v>156.409463811637</v>
      </c>
      <c r="D62" s="6" t="n">
        <f aca="false">'Raw Data'!E62</f>
        <v>4.383333333</v>
      </c>
      <c r="E62" s="6" t="n">
        <f aca="false">'Raw Data'!F62</f>
        <v>0</v>
      </c>
      <c r="F62" s="6" t="n">
        <f aca="false">'Raw Data'!G62</f>
        <v>0</v>
      </c>
      <c r="G62" s="6" t="n">
        <f aca="false">'Raw Data'!H62</f>
        <v>0</v>
      </c>
      <c r="H62" s="6" t="n">
        <f aca="false">'Raw Data'!I62</f>
        <v>0</v>
      </c>
      <c r="I62" s="6" t="n">
        <f aca="false">'Raw Data'!J62</f>
        <v>0</v>
      </c>
      <c r="J62" s="6" t="n">
        <f aca="false">'Raw Data'!K62</f>
        <v>1</v>
      </c>
      <c r="K62" s="6" t="n">
        <f aca="false">'Raw Data'!L62</f>
        <v>4</v>
      </c>
      <c r="L62" s="6" t="n">
        <f aca="false">F62*E62</f>
        <v>0</v>
      </c>
      <c r="N62" s="0" t="n">
        <v>1</v>
      </c>
      <c r="O62" s="6" t="n">
        <f aca="false">D62</f>
        <v>4.383333333</v>
      </c>
      <c r="P62" s="6" t="n">
        <f aca="false">E62</f>
        <v>0</v>
      </c>
      <c r="Q62" s="6" t="n">
        <f aca="false">F62</f>
        <v>0</v>
      </c>
      <c r="R62" s="6" t="n">
        <f aca="false">G62</f>
        <v>0</v>
      </c>
      <c r="S62" s="6" t="n">
        <f aca="false">H62</f>
        <v>0</v>
      </c>
      <c r="T62" s="6" t="n">
        <f aca="false">I62</f>
        <v>0</v>
      </c>
      <c r="U62" s="6" t="n">
        <f aca="false">L62</f>
        <v>0</v>
      </c>
      <c r="W62" s="6" t="n">
        <f aca="false">D62</f>
        <v>4.383333333</v>
      </c>
      <c r="X62" s="6" t="n">
        <f aca="false">E62</f>
        <v>0</v>
      </c>
      <c r="Y62" s="6" t="n">
        <f aca="false">F62</f>
        <v>0</v>
      </c>
      <c r="Z62" s="6" t="n">
        <f aca="false">L62</f>
        <v>0</v>
      </c>
      <c r="AA62" s="6" t="n">
        <f aca="false">G62</f>
        <v>0</v>
      </c>
      <c r="AC62" s="6" t="n">
        <f aca="false">D62</f>
        <v>4.383333333</v>
      </c>
      <c r="AD62" s="6" t="n">
        <f aca="false">E62</f>
        <v>0</v>
      </c>
      <c r="AE62" s="6" t="n">
        <f aca="false">G62</f>
        <v>0</v>
      </c>
      <c r="AF62" s="6" t="n">
        <f aca="false">H62</f>
        <v>0</v>
      </c>
      <c r="AG62" s="6" t="n">
        <f aca="false">I62</f>
        <v>0</v>
      </c>
      <c r="AH62" s="6" t="n">
        <f aca="false">L62</f>
        <v>0</v>
      </c>
    </row>
    <row r="63" customFormat="false" ht="15" hidden="false" customHeight="false" outlineLevel="0" collapsed="false">
      <c r="A63" s="0" t="str">
        <f aca="false">'Raw Data'!C63</f>
        <v>Palm Beach Gardens</v>
      </c>
      <c r="B63" s="5" t="n">
        <f aca="false">'Raw Data'!A63</f>
        <v>40344</v>
      </c>
      <c r="C63" s="6" t="n">
        <f aca="false">'Raw Data'!D63</f>
        <v>242.688807170965</v>
      </c>
      <c r="D63" s="6" t="n">
        <f aca="false">'Raw Data'!E63</f>
        <v>4.47</v>
      </c>
      <c r="E63" s="6" t="n">
        <f aca="false">'Raw Data'!F63</f>
        <v>0</v>
      </c>
      <c r="F63" s="6" t="n">
        <f aca="false">'Raw Data'!G63</f>
        <v>0</v>
      </c>
      <c r="G63" s="6" t="n">
        <f aca="false">'Raw Data'!H63</f>
        <v>0</v>
      </c>
      <c r="H63" s="6" t="n">
        <f aca="false">'Raw Data'!I63</f>
        <v>0</v>
      </c>
      <c r="I63" s="6" t="n">
        <f aca="false">'Raw Data'!J63</f>
        <v>0</v>
      </c>
      <c r="J63" s="6" t="n">
        <f aca="false">'Raw Data'!K63</f>
        <v>1</v>
      </c>
      <c r="K63" s="6" t="n">
        <f aca="false">'Raw Data'!L63</f>
        <v>4</v>
      </c>
      <c r="L63" s="6" t="n">
        <f aca="false">F63*E63</f>
        <v>0</v>
      </c>
      <c r="N63" s="0" t="n">
        <v>1</v>
      </c>
      <c r="O63" s="6" t="n">
        <f aca="false">D63</f>
        <v>4.47</v>
      </c>
      <c r="P63" s="6" t="n">
        <f aca="false">E63</f>
        <v>0</v>
      </c>
      <c r="Q63" s="6" t="n">
        <f aca="false">F63</f>
        <v>0</v>
      </c>
      <c r="R63" s="6" t="n">
        <f aca="false">G63</f>
        <v>0</v>
      </c>
      <c r="S63" s="6" t="n">
        <f aca="false">H63</f>
        <v>0</v>
      </c>
      <c r="T63" s="6" t="n">
        <f aca="false">I63</f>
        <v>0</v>
      </c>
      <c r="U63" s="6" t="n">
        <f aca="false">L63</f>
        <v>0</v>
      </c>
      <c r="W63" s="6" t="n">
        <f aca="false">D63</f>
        <v>4.47</v>
      </c>
      <c r="X63" s="6" t="n">
        <f aca="false">E63</f>
        <v>0</v>
      </c>
      <c r="Y63" s="6" t="n">
        <f aca="false">F63</f>
        <v>0</v>
      </c>
      <c r="Z63" s="6" t="n">
        <f aca="false">L63</f>
        <v>0</v>
      </c>
      <c r="AA63" s="6" t="n">
        <f aca="false">G63</f>
        <v>0</v>
      </c>
      <c r="AC63" s="6" t="n">
        <f aca="false">D63</f>
        <v>4.47</v>
      </c>
      <c r="AD63" s="6" t="n">
        <f aca="false">E63</f>
        <v>0</v>
      </c>
      <c r="AE63" s="6" t="n">
        <f aca="false">G63</f>
        <v>0</v>
      </c>
      <c r="AF63" s="6" t="n">
        <f aca="false">H63</f>
        <v>0</v>
      </c>
      <c r="AG63" s="6" t="n">
        <f aca="false">I63</f>
        <v>0</v>
      </c>
      <c r="AH63" s="6" t="n">
        <f aca="false">L63</f>
        <v>0</v>
      </c>
    </row>
    <row r="64" customFormat="false" ht="15" hidden="false" customHeight="false" outlineLevel="0" collapsed="false">
      <c r="A64" s="0" t="str">
        <f aca="false">'Raw Data'!C64</f>
        <v>Palm Beach Gardens</v>
      </c>
      <c r="B64" s="5" t="n">
        <f aca="false">'Raw Data'!A64</f>
        <v>40351</v>
      </c>
      <c r="C64" s="6" t="n">
        <f aca="false">'Raw Data'!D64</f>
        <v>239.12351100948</v>
      </c>
      <c r="D64" s="6" t="n">
        <f aca="false">'Raw Data'!E64</f>
        <v>4.47</v>
      </c>
      <c r="E64" s="6" t="n">
        <f aca="false">'Raw Data'!F64</f>
        <v>0</v>
      </c>
      <c r="F64" s="6" t="n">
        <f aca="false">'Raw Data'!G64</f>
        <v>0</v>
      </c>
      <c r="G64" s="6" t="n">
        <f aca="false">'Raw Data'!H64</f>
        <v>0</v>
      </c>
      <c r="H64" s="6" t="n">
        <f aca="false">'Raw Data'!I64</f>
        <v>0</v>
      </c>
      <c r="I64" s="6" t="n">
        <f aca="false">'Raw Data'!J64</f>
        <v>0</v>
      </c>
      <c r="J64" s="6" t="n">
        <f aca="false">'Raw Data'!K64</f>
        <v>1</v>
      </c>
      <c r="K64" s="6" t="n">
        <f aca="false">'Raw Data'!L64</f>
        <v>4</v>
      </c>
      <c r="L64" s="6" t="n">
        <f aca="false">F64*E64</f>
        <v>0</v>
      </c>
      <c r="N64" s="0" t="n">
        <v>1</v>
      </c>
      <c r="O64" s="6" t="n">
        <f aca="false">D64</f>
        <v>4.47</v>
      </c>
      <c r="P64" s="6" t="n">
        <f aca="false">E64</f>
        <v>0</v>
      </c>
      <c r="Q64" s="6" t="n">
        <f aca="false">F64</f>
        <v>0</v>
      </c>
      <c r="R64" s="6" t="n">
        <f aca="false">G64</f>
        <v>0</v>
      </c>
      <c r="S64" s="6" t="n">
        <f aca="false">H64</f>
        <v>0</v>
      </c>
      <c r="T64" s="6" t="n">
        <f aca="false">I64</f>
        <v>0</v>
      </c>
      <c r="U64" s="6" t="n">
        <f aca="false">L64</f>
        <v>0</v>
      </c>
      <c r="W64" s="6" t="n">
        <f aca="false">D64</f>
        <v>4.47</v>
      </c>
      <c r="X64" s="6" t="n">
        <f aca="false">E64</f>
        <v>0</v>
      </c>
      <c r="Y64" s="6" t="n">
        <f aca="false">F64</f>
        <v>0</v>
      </c>
      <c r="Z64" s="6" t="n">
        <f aca="false">L64</f>
        <v>0</v>
      </c>
      <c r="AA64" s="6" t="n">
        <f aca="false">G64</f>
        <v>0</v>
      </c>
      <c r="AC64" s="6" t="n">
        <f aca="false">D64</f>
        <v>4.47</v>
      </c>
      <c r="AD64" s="6" t="n">
        <f aca="false">E64</f>
        <v>0</v>
      </c>
      <c r="AE64" s="6" t="n">
        <f aca="false">G64</f>
        <v>0</v>
      </c>
      <c r="AF64" s="6" t="n">
        <f aca="false">H64</f>
        <v>0</v>
      </c>
      <c r="AG64" s="6" t="n">
        <f aca="false">I64</f>
        <v>0</v>
      </c>
      <c r="AH64" s="6" t="n">
        <f aca="false">L64</f>
        <v>0</v>
      </c>
    </row>
    <row r="65" customFormat="false" ht="15" hidden="false" customHeight="false" outlineLevel="0" collapsed="false">
      <c r="A65" s="0" t="str">
        <f aca="false">'Raw Data'!C65</f>
        <v>Palm Beach Gardens</v>
      </c>
      <c r="B65" s="5" t="n">
        <f aca="false">'Raw Data'!A65</f>
        <v>40358</v>
      </c>
      <c r="C65" s="6" t="n">
        <f aca="false">'Raw Data'!D65</f>
        <v>199.013399377902</v>
      </c>
      <c r="D65" s="6" t="n">
        <f aca="false">'Raw Data'!E65</f>
        <v>4.098333333</v>
      </c>
      <c r="E65" s="6" t="n">
        <f aca="false">'Raw Data'!F65</f>
        <v>0</v>
      </c>
      <c r="F65" s="6" t="n">
        <f aca="false">'Raw Data'!G65</f>
        <v>0</v>
      </c>
      <c r="G65" s="6" t="n">
        <f aca="false">'Raw Data'!H65</f>
        <v>0</v>
      </c>
      <c r="H65" s="6" t="n">
        <f aca="false">'Raw Data'!I65</f>
        <v>0</v>
      </c>
      <c r="I65" s="6" t="n">
        <f aca="false">'Raw Data'!J65</f>
        <v>0</v>
      </c>
      <c r="J65" s="6" t="n">
        <f aca="false">'Raw Data'!K65</f>
        <v>1</v>
      </c>
      <c r="K65" s="6" t="n">
        <f aca="false">'Raw Data'!L65</f>
        <v>4</v>
      </c>
      <c r="L65" s="6" t="n">
        <f aca="false">F65*E65</f>
        <v>0</v>
      </c>
      <c r="N65" s="0" t="n">
        <v>1</v>
      </c>
      <c r="O65" s="6" t="n">
        <f aca="false">D65</f>
        <v>4.098333333</v>
      </c>
      <c r="P65" s="6" t="n">
        <f aca="false">E65</f>
        <v>0</v>
      </c>
      <c r="Q65" s="6" t="n">
        <f aca="false">F65</f>
        <v>0</v>
      </c>
      <c r="R65" s="6" t="n">
        <f aca="false">G65</f>
        <v>0</v>
      </c>
      <c r="S65" s="6" t="n">
        <f aca="false">H65</f>
        <v>0</v>
      </c>
      <c r="T65" s="6" t="n">
        <f aca="false">I65</f>
        <v>0</v>
      </c>
      <c r="U65" s="6" t="n">
        <f aca="false">L65</f>
        <v>0</v>
      </c>
      <c r="W65" s="6" t="n">
        <f aca="false">D65</f>
        <v>4.098333333</v>
      </c>
      <c r="X65" s="6" t="n">
        <f aca="false">E65</f>
        <v>0</v>
      </c>
      <c r="Y65" s="6" t="n">
        <f aca="false">F65</f>
        <v>0</v>
      </c>
      <c r="Z65" s="6" t="n">
        <f aca="false">L65</f>
        <v>0</v>
      </c>
      <c r="AA65" s="6" t="n">
        <f aca="false">G65</f>
        <v>0</v>
      </c>
      <c r="AC65" s="6" t="n">
        <f aca="false">D65</f>
        <v>4.098333333</v>
      </c>
      <c r="AD65" s="6" t="n">
        <f aca="false">E65</f>
        <v>0</v>
      </c>
      <c r="AE65" s="6" t="n">
        <f aca="false">G65</f>
        <v>0</v>
      </c>
      <c r="AF65" s="6" t="n">
        <f aca="false">H65</f>
        <v>0</v>
      </c>
      <c r="AG65" s="6" t="n">
        <f aca="false">I65</f>
        <v>0</v>
      </c>
      <c r="AH65" s="6" t="n">
        <f aca="false">L65</f>
        <v>0</v>
      </c>
    </row>
    <row r="66" customFormat="false" ht="15" hidden="false" customHeight="false" outlineLevel="0" collapsed="false">
      <c r="A66" s="0" t="str">
        <f aca="false">'Raw Data'!C66</f>
        <v>Palm Beach Gardens</v>
      </c>
      <c r="B66" s="5" t="n">
        <f aca="false">'Raw Data'!A66</f>
        <v>40365</v>
      </c>
      <c r="C66" s="6" t="n">
        <f aca="false">'Raw Data'!D66</f>
        <v>107.133028891351</v>
      </c>
      <c r="D66" s="6" t="n">
        <f aca="false">'Raw Data'!E66</f>
        <v>4.193571429</v>
      </c>
      <c r="E66" s="6" t="n">
        <f aca="false">'Raw Data'!F66</f>
        <v>0</v>
      </c>
      <c r="F66" s="6" t="n">
        <f aca="false">'Raw Data'!G66</f>
        <v>0</v>
      </c>
      <c r="G66" s="6" t="n">
        <f aca="false">'Raw Data'!H66</f>
        <v>0</v>
      </c>
      <c r="H66" s="6" t="n">
        <f aca="false">'Raw Data'!I66</f>
        <v>0</v>
      </c>
      <c r="I66" s="6" t="n">
        <f aca="false">'Raw Data'!J66</f>
        <v>0</v>
      </c>
      <c r="J66" s="6" t="n">
        <f aca="false">'Raw Data'!K66</f>
        <v>1</v>
      </c>
      <c r="K66" s="6" t="n">
        <f aca="false">'Raw Data'!L66</f>
        <v>4</v>
      </c>
      <c r="L66" s="6" t="n">
        <f aca="false">F66*E66</f>
        <v>0</v>
      </c>
      <c r="N66" s="0" t="n">
        <v>1</v>
      </c>
      <c r="O66" s="6" t="n">
        <f aca="false">D66</f>
        <v>4.193571429</v>
      </c>
      <c r="P66" s="6" t="n">
        <f aca="false">E66</f>
        <v>0</v>
      </c>
      <c r="Q66" s="6" t="n">
        <f aca="false">F66</f>
        <v>0</v>
      </c>
      <c r="R66" s="6" t="n">
        <f aca="false">G66</f>
        <v>0</v>
      </c>
      <c r="S66" s="6" t="n">
        <f aca="false">H66</f>
        <v>0</v>
      </c>
      <c r="T66" s="6" t="n">
        <f aca="false">I66</f>
        <v>0</v>
      </c>
      <c r="U66" s="6" t="n">
        <f aca="false">L66</f>
        <v>0</v>
      </c>
      <c r="W66" s="6" t="n">
        <f aca="false">D66</f>
        <v>4.193571429</v>
      </c>
      <c r="X66" s="6" t="n">
        <f aca="false">E66</f>
        <v>0</v>
      </c>
      <c r="Y66" s="6" t="n">
        <f aca="false">F66</f>
        <v>0</v>
      </c>
      <c r="Z66" s="6" t="n">
        <f aca="false">L66</f>
        <v>0</v>
      </c>
      <c r="AA66" s="6" t="n">
        <f aca="false">G66</f>
        <v>0</v>
      </c>
      <c r="AC66" s="6" t="n">
        <f aca="false">D66</f>
        <v>4.193571429</v>
      </c>
      <c r="AD66" s="6" t="n">
        <f aca="false">E66</f>
        <v>0</v>
      </c>
      <c r="AE66" s="6" t="n">
        <f aca="false">G66</f>
        <v>0</v>
      </c>
      <c r="AF66" s="6" t="n">
        <f aca="false">H66</f>
        <v>0</v>
      </c>
      <c r="AG66" s="6" t="n">
        <f aca="false">I66</f>
        <v>0</v>
      </c>
      <c r="AH66" s="6" t="n">
        <f aca="false">L66</f>
        <v>0</v>
      </c>
    </row>
    <row r="67" customFormat="false" ht="15" hidden="false" customHeight="false" outlineLevel="0" collapsed="false">
      <c r="A67" s="0" t="str">
        <f aca="false">'Raw Data'!C67</f>
        <v>Palm Beach Gardens</v>
      </c>
      <c r="B67" s="5" t="n">
        <f aca="false">'Raw Data'!A67</f>
        <v>40372</v>
      </c>
      <c r="C67" s="6" t="n">
        <f aca="false">'Raw Data'!D67</f>
        <v>241.642428679843</v>
      </c>
      <c r="D67" s="6" t="n">
        <f aca="false">'Raw Data'!E67</f>
        <v>4.371428571</v>
      </c>
      <c r="E67" s="6" t="n">
        <f aca="false">'Raw Data'!F67</f>
        <v>0</v>
      </c>
      <c r="F67" s="6" t="n">
        <f aca="false">'Raw Data'!G67</f>
        <v>0</v>
      </c>
      <c r="G67" s="6" t="n">
        <f aca="false">'Raw Data'!H67</f>
        <v>0</v>
      </c>
      <c r="H67" s="6" t="n">
        <f aca="false">'Raw Data'!I67</f>
        <v>0</v>
      </c>
      <c r="I67" s="6" t="n">
        <f aca="false">'Raw Data'!J67</f>
        <v>0</v>
      </c>
      <c r="J67" s="6" t="n">
        <f aca="false">'Raw Data'!K67</f>
        <v>1</v>
      </c>
      <c r="K67" s="6" t="n">
        <f aca="false">'Raw Data'!L67</f>
        <v>4</v>
      </c>
      <c r="L67" s="6" t="n">
        <f aca="false">F67*E67</f>
        <v>0</v>
      </c>
      <c r="N67" s="0" t="n">
        <v>1</v>
      </c>
      <c r="O67" s="6" t="n">
        <f aca="false">D67</f>
        <v>4.371428571</v>
      </c>
      <c r="P67" s="6" t="n">
        <f aca="false">E67</f>
        <v>0</v>
      </c>
      <c r="Q67" s="6" t="n">
        <f aca="false">F67</f>
        <v>0</v>
      </c>
      <c r="R67" s="6" t="n">
        <f aca="false">G67</f>
        <v>0</v>
      </c>
      <c r="S67" s="6" t="n">
        <f aca="false">H67</f>
        <v>0</v>
      </c>
      <c r="T67" s="6" t="n">
        <f aca="false">I67</f>
        <v>0</v>
      </c>
      <c r="U67" s="6" t="n">
        <f aca="false">L67</f>
        <v>0</v>
      </c>
      <c r="W67" s="6" t="n">
        <f aca="false">D67</f>
        <v>4.371428571</v>
      </c>
      <c r="X67" s="6" t="n">
        <f aca="false">E67</f>
        <v>0</v>
      </c>
      <c r="Y67" s="6" t="n">
        <f aca="false">F67</f>
        <v>0</v>
      </c>
      <c r="Z67" s="6" t="n">
        <f aca="false">L67</f>
        <v>0</v>
      </c>
      <c r="AA67" s="6" t="n">
        <f aca="false">G67</f>
        <v>0</v>
      </c>
      <c r="AC67" s="6" t="n">
        <f aca="false">D67</f>
        <v>4.371428571</v>
      </c>
      <c r="AD67" s="6" t="n">
        <f aca="false">E67</f>
        <v>0</v>
      </c>
      <c r="AE67" s="6" t="n">
        <f aca="false">G67</f>
        <v>0</v>
      </c>
      <c r="AF67" s="6" t="n">
        <f aca="false">H67</f>
        <v>0</v>
      </c>
      <c r="AG67" s="6" t="n">
        <f aca="false">I67</f>
        <v>0</v>
      </c>
      <c r="AH67" s="6" t="n">
        <f aca="false">L67</f>
        <v>0</v>
      </c>
    </row>
    <row r="68" customFormat="false" ht="15" hidden="false" customHeight="false" outlineLevel="0" collapsed="false">
      <c r="A68" s="0" t="str">
        <f aca="false">'Raw Data'!C68</f>
        <v>Plantation</v>
      </c>
      <c r="B68" s="5" t="n">
        <f aca="false">'Raw Data'!A68</f>
        <v>40302</v>
      </c>
      <c r="C68" s="6" t="n">
        <f aca="false">'Raw Data'!D68</f>
        <v>201.314071028592</v>
      </c>
      <c r="D68" s="6" t="n">
        <f aca="false">'Raw Data'!E68</f>
        <v>4.39</v>
      </c>
      <c r="E68" s="6" t="n">
        <f aca="false">'Raw Data'!F68</f>
        <v>0</v>
      </c>
      <c r="F68" s="6" t="n">
        <f aca="false">'Raw Data'!G68</f>
        <v>0</v>
      </c>
      <c r="G68" s="6" t="n">
        <f aca="false">'Raw Data'!H68</f>
        <v>0</v>
      </c>
      <c r="H68" s="6" t="n">
        <f aca="false">'Raw Data'!I68</f>
        <v>0</v>
      </c>
      <c r="I68" s="6" t="n">
        <f aca="false">'Raw Data'!J68</f>
        <v>0</v>
      </c>
      <c r="J68" s="6" t="n">
        <f aca="false">'Raw Data'!K68</f>
        <v>2</v>
      </c>
      <c r="K68" s="6" t="n">
        <f aca="false">'Raw Data'!L68</f>
        <v>5</v>
      </c>
      <c r="L68" s="6" t="n">
        <f aca="false">F68*E68</f>
        <v>0</v>
      </c>
      <c r="N68" s="0" t="n">
        <v>1</v>
      </c>
      <c r="O68" s="6" t="n">
        <f aca="false">D68</f>
        <v>4.39</v>
      </c>
      <c r="P68" s="6" t="n">
        <f aca="false">E68</f>
        <v>0</v>
      </c>
      <c r="Q68" s="6" t="n">
        <f aca="false">F68</f>
        <v>0</v>
      </c>
      <c r="R68" s="6" t="n">
        <f aca="false">G68</f>
        <v>0</v>
      </c>
      <c r="S68" s="6" t="n">
        <f aca="false">H68</f>
        <v>0</v>
      </c>
      <c r="T68" s="6" t="n">
        <f aca="false">I68</f>
        <v>0</v>
      </c>
      <c r="U68" s="6" t="n">
        <f aca="false">L68</f>
        <v>0</v>
      </c>
      <c r="W68" s="6" t="n">
        <f aca="false">D68</f>
        <v>4.39</v>
      </c>
      <c r="X68" s="6" t="n">
        <f aca="false">E68</f>
        <v>0</v>
      </c>
      <c r="Y68" s="6" t="n">
        <f aca="false">F68</f>
        <v>0</v>
      </c>
      <c r="Z68" s="6" t="n">
        <f aca="false">L68</f>
        <v>0</v>
      </c>
      <c r="AA68" s="6" t="n">
        <f aca="false">G68</f>
        <v>0</v>
      </c>
      <c r="AC68" s="6" t="n">
        <f aca="false">D68</f>
        <v>4.39</v>
      </c>
      <c r="AD68" s="6" t="n">
        <f aca="false">E68</f>
        <v>0</v>
      </c>
      <c r="AE68" s="6" t="n">
        <f aca="false">G68</f>
        <v>0</v>
      </c>
      <c r="AF68" s="6" t="n">
        <f aca="false">H68</f>
        <v>0</v>
      </c>
      <c r="AG68" s="6" t="n">
        <f aca="false">I68</f>
        <v>0</v>
      </c>
      <c r="AH68" s="6" t="n">
        <f aca="false">L68</f>
        <v>0</v>
      </c>
    </row>
    <row r="69" customFormat="false" ht="15" hidden="false" customHeight="false" outlineLevel="0" collapsed="false">
      <c r="A69" s="0" t="str">
        <f aca="false">'Raw Data'!C69</f>
        <v>Plantation</v>
      </c>
      <c r="B69" s="5" t="n">
        <f aca="false">'Raw Data'!A69</f>
        <v>40309</v>
      </c>
      <c r="C69" s="6" t="n">
        <f aca="false">'Raw Data'!D69</f>
        <v>132.298283450523</v>
      </c>
      <c r="D69" s="6" t="n">
        <f aca="false">'Raw Data'!E69</f>
        <v>4.39</v>
      </c>
      <c r="E69" s="6" t="n">
        <f aca="false">'Raw Data'!F69</f>
        <v>0</v>
      </c>
      <c r="F69" s="6" t="n">
        <f aca="false">'Raw Data'!G69</f>
        <v>0</v>
      </c>
      <c r="G69" s="6" t="n">
        <f aca="false">'Raw Data'!H69</f>
        <v>0</v>
      </c>
      <c r="H69" s="6" t="n">
        <f aca="false">'Raw Data'!I69</f>
        <v>0</v>
      </c>
      <c r="I69" s="6" t="n">
        <f aca="false">'Raw Data'!J69</f>
        <v>0</v>
      </c>
      <c r="J69" s="6" t="n">
        <f aca="false">'Raw Data'!K69</f>
        <v>2</v>
      </c>
      <c r="K69" s="6" t="n">
        <f aca="false">'Raw Data'!L69</f>
        <v>5</v>
      </c>
      <c r="L69" s="6" t="n">
        <f aca="false">F69*E69</f>
        <v>0</v>
      </c>
      <c r="N69" s="0" t="n">
        <v>1</v>
      </c>
      <c r="O69" s="6" t="n">
        <f aca="false">D69</f>
        <v>4.39</v>
      </c>
      <c r="P69" s="6" t="n">
        <f aca="false">E69</f>
        <v>0</v>
      </c>
      <c r="Q69" s="6" t="n">
        <f aca="false">F69</f>
        <v>0</v>
      </c>
      <c r="R69" s="6" t="n">
        <f aca="false">G69</f>
        <v>0</v>
      </c>
      <c r="S69" s="6" t="n">
        <f aca="false">H69</f>
        <v>0</v>
      </c>
      <c r="T69" s="6" t="n">
        <f aca="false">I69</f>
        <v>0</v>
      </c>
      <c r="U69" s="6" t="n">
        <f aca="false">L69</f>
        <v>0</v>
      </c>
      <c r="W69" s="6" t="n">
        <f aca="false">D69</f>
        <v>4.39</v>
      </c>
      <c r="X69" s="6" t="n">
        <f aca="false">E69</f>
        <v>0</v>
      </c>
      <c r="Y69" s="6" t="n">
        <f aca="false">F69</f>
        <v>0</v>
      </c>
      <c r="Z69" s="6" t="n">
        <f aca="false">L69</f>
        <v>0</v>
      </c>
      <c r="AA69" s="6" t="n">
        <f aca="false">G69</f>
        <v>0</v>
      </c>
      <c r="AC69" s="6" t="n">
        <f aca="false">D69</f>
        <v>4.39</v>
      </c>
      <c r="AD69" s="6" t="n">
        <f aca="false">E69</f>
        <v>0</v>
      </c>
      <c r="AE69" s="6" t="n">
        <f aca="false">G69</f>
        <v>0</v>
      </c>
      <c r="AF69" s="6" t="n">
        <f aca="false">H69</f>
        <v>0</v>
      </c>
      <c r="AG69" s="6" t="n">
        <f aca="false">I69</f>
        <v>0</v>
      </c>
      <c r="AH69" s="6" t="n">
        <f aca="false">L69</f>
        <v>0</v>
      </c>
    </row>
    <row r="70" customFormat="false" ht="15" hidden="false" customHeight="false" outlineLevel="0" collapsed="false">
      <c r="A70" s="0" t="str">
        <f aca="false">'Raw Data'!C70</f>
        <v>Plantation</v>
      </c>
      <c r="B70" s="5" t="n">
        <f aca="false">'Raw Data'!A70</f>
        <v>40316</v>
      </c>
      <c r="C70" s="6" t="n">
        <f aca="false">'Raw Data'!D70</f>
        <v>165.568295208657</v>
      </c>
      <c r="D70" s="6" t="n">
        <f aca="false">'Raw Data'!E70</f>
        <v>4.012727273</v>
      </c>
      <c r="E70" s="6" t="n">
        <f aca="false">'Raw Data'!F70</f>
        <v>0</v>
      </c>
      <c r="F70" s="6" t="n">
        <f aca="false">'Raw Data'!G70</f>
        <v>0</v>
      </c>
      <c r="G70" s="6" t="n">
        <f aca="false">'Raw Data'!H70</f>
        <v>0</v>
      </c>
      <c r="H70" s="6" t="n">
        <f aca="false">'Raw Data'!I70</f>
        <v>0</v>
      </c>
      <c r="I70" s="6" t="n">
        <f aca="false">'Raw Data'!J70</f>
        <v>0</v>
      </c>
      <c r="J70" s="6" t="n">
        <f aca="false">'Raw Data'!K70</f>
        <v>2</v>
      </c>
      <c r="K70" s="6" t="n">
        <f aca="false">'Raw Data'!L70</f>
        <v>5</v>
      </c>
      <c r="L70" s="6" t="n">
        <f aca="false">F70*E70</f>
        <v>0</v>
      </c>
      <c r="N70" s="0" t="n">
        <v>1</v>
      </c>
      <c r="O70" s="6" t="n">
        <f aca="false">D70</f>
        <v>4.012727273</v>
      </c>
      <c r="P70" s="6" t="n">
        <f aca="false">E70</f>
        <v>0</v>
      </c>
      <c r="Q70" s="6" t="n">
        <f aca="false">F70</f>
        <v>0</v>
      </c>
      <c r="R70" s="6" t="n">
        <f aca="false">G70</f>
        <v>0</v>
      </c>
      <c r="S70" s="6" t="n">
        <f aca="false">H70</f>
        <v>0</v>
      </c>
      <c r="T70" s="6" t="n">
        <f aca="false">I70</f>
        <v>0</v>
      </c>
      <c r="U70" s="6" t="n">
        <f aca="false">L70</f>
        <v>0</v>
      </c>
      <c r="W70" s="6" t="n">
        <f aca="false">D70</f>
        <v>4.012727273</v>
      </c>
      <c r="X70" s="6" t="n">
        <f aca="false">E70</f>
        <v>0</v>
      </c>
      <c r="Y70" s="6" t="n">
        <f aca="false">F70</f>
        <v>0</v>
      </c>
      <c r="Z70" s="6" t="n">
        <f aca="false">L70</f>
        <v>0</v>
      </c>
      <c r="AA70" s="6" t="n">
        <f aca="false">G70</f>
        <v>0</v>
      </c>
      <c r="AC70" s="6" t="n">
        <f aca="false">D70</f>
        <v>4.012727273</v>
      </c>
      <c r="AD70" s="6" t="n">
        <f aca="false">E70</f>
        <v>0</v>
      </c>
      <c r="AE70" s="6" t="n">
        <f aca="false">G70</f>
        <v>0</v>
      </c>
      <c r="AF70" s="6" t="n">
        <f aca="false">H70</f>
        <v>0</v>
      </c>
      <c r="AG70" s="6" t="n">
        <f aca="false">I70</f>
        <v>0</v>
      </c>
      <c r="AH70" s="6" t="n">
        <f aca="false">L70</f>
        <v>0</v>
      </c>
    </row>
    <row r="71" customFormat="false" ht="15" hidden="false" customHeight="false" outlineLevel="0" collapsed="false">
      <c r="A71" s="0" t="str">
        <f aca="false">'Raw Data'!C71</f>
        <v>Plantation</v>
      </c>
      <c r="B71" s="5" t="n">
        <f aca="false">'Raw Data'!A71</f>
        <v>40323</v>
      </c>
      <c r="C71" s="6" t="n">
        <f aca="false">'Raw Data'!D71</f>
        <v>191.698303700732</v>
      </c>
      <c r="D71" s="6" t="n">
        <f aca="false">'Raw Data'!E71</f>
        <v>3.809230769</v>
      </c>
      <c r="E71" s="6" t="n">
        <f aca="false">'Raw Data'!F71</f>
        <v>0</v>
      </c>
      <c r="F71" s="6" t="n">
        <f aca="false">'Raw Data'!G71</f>
        <v>0</v>
      </c>
      <c r="G71" s="6" t="n">
        <f aca="false">'Raw Data'!H71</f>
        <v>0</v>
      </c>
      <c r="H71" s="6" t="n">
        <f aca="false">'Raw Data'!I71</f>
        <v>0</v>
      </c>
      <c r="I71" s="6" t="n">
        <f aca="false">'Raw Data'!J71</f>
        <v>0</v>
      </c>
      <c r="J71" s="6" t="n">
        <f aca="false">'Raw Data'!K71</f>
        <v>2</v>
      </c>
      <c r="K71" s="6" t="n">
        <f aca="false">'Raw Data'!L71</f>
        <v>5</v>
      </c>
      <c r="L71" s="6" t="n">
        <f aca="false">F71*E71</f>
        <v>0</v>
      </c>
      <c r="N71" s="0" t="n">
        <v>1</v>
      </c>
      <c r="O71" s="6" t="n">
        <f aca="false">D71</f>
        <v>3.809230769</v>
      </c>
      <c r="P71" s="6" t="n">
        <f aca="false">E71</f>
        <v>0</v>
      </c>
      <c r="Q71" s="6" t="n">
        <f aca="false">F71</f>
        <v>0</v>
      </c>
      <c r="R71" s="6" t="n">
        <f aca="false">G71</f>
        <v>0</v>
      </c>
      <c r="S71" s="6" t="n">
        <f aca="false">H71</f>
        <v>0</v>
      </c>
      <c r="T71" s="6" t="n">
        <f aca="false">I71</f>
        <v>0</v>
      </c>
      <c r="U71" s="6" t="n">
        <f aca="false">L71</f>
        <v>0</v>
      </c>
      <c r="W71" s="6" t="n">
        <f aca="false">D71</f>
        <v>3.809230769</v>
      </c>
      <c r="X71" s="6" t="n">
        <f aca="false">E71</f>
        <v>0</v>
      </c>
      <c r="Y71" s="6" t="n">
        <f aca="false">F71</f>
        <v>0</v>
      </c>
      <c r="Z71" s="6" t="n">
        <f aca="false">L71</f>
        <v>0</v>
      </c>
      <c r="AA71" s="6" t="n">
        <f aca="false">G71</f>
        <v>0</v>
      </c>
      <c r="AC71" s="6" t="n">
        <f aca="false">D71</f>
        <v>3.809230769</v>
      </c>
      <c r="AD71" s="6" t="n">
        <f aca="false">E71</f>
        <v>0</v>
      </c>
      <c r="AE71" s="6" t="n">
        <f aca="false">G71</f>
        <v>0</v>
      </c>
      <c r="AF71" s="6" t="n">
        <f aca="false">H71</f>
        <v>0</v>
      </c>
      <c r="AG71" s="6" t="n">
        <f aca="false">I71</f>
        <v>0</v>
      </c>
      <c r="AH71" s="6" t="n">
        <f aca="false">L71</f>
        <v>0</v>
      </c>
    </row>
    <row r="72" customFormat="false" ht="15" hidden="false" customHeight="false" outlineLevel="0" collapsed="false">
      <c r="A72" s="0" t="str">
        <f aca="false">'Raw Data'!C72</f>
        <v>Plantation</v>
      </c>
      <c r="B72" s="5" t="n">
        <f aca="false">'Raw Data'!A72</f>
        <v>40330</v>
      </c>
      <c r="C72" s="6" t="n">
        <f aca="false">'Raw Data'!D72</f>
        <v>182.739389117587</v>
      </c>
      <c r="D72" s="6" t="n">
        <f aca="false">'Raw Data'!E72</f>
        <v>4.146666667</v>
      </c>
      <c r="E72" s="6" t="n">
        <f aca="false">'Raw Data'!F72</f>
        <v>0</v>
      </c>
      <c r="F72" s="6" t="n">
        <f aca="false">'Raw Data'!G72</f>
        <v>0</v>
      </c>
      <c r="G72" s="6" t="n">
        <f aca="false">'Raw Data'!H72</f>
        <v>0</v>
      </c>
      <c r="H72" s="6" t="n">
        <f aca="false">'Raw Data'!I72</f>
        <v>0</v>
      </c>
      <c r="I72" s="6" t="n">
        <f aca="false">'Raw Data'!J72</f>
        <v>0</v>
      </c>
      <c r="J72" s="6" t="n">
        <f aca="false">'Raw Data'!K72</f>
        <v>2</v>
      </c>
      <c r="K72" s="6" t="n">
        <f aca="false">'Raw Data'!L72</f>
        <v>5</v>
      </c>
      <c r="L72" s="6" t="n">
        <f aca="false">F72*E72</f>
        <v>0</v>
      </c>
      <c r="N72" s="0" t="n">
        <v>1</v>
      </c>
      <c r="O72" s="6" t="n">
        <f aca="false">D72</f>
        <v>4.146666667</v>
      </c>
      <c r="P72" s="6" t="n">
        <f aca="false">E72</f>
        <v>0</v>
      </c>
      <c r="Q72" s="6" t="n">
        <f aca="false">F72</f>
        <v>0</v>
      </c>
      <c r="R72" s="6" t="n">
        <f aca="false">G72</f>
        <v>0</v>
      </c>
      <c r="S72" s="6" t="n">
        <f aca="false">H72</f>
        <v>0</v>
      </c>
      <c r="T72" s="6" t="n">
        <f aca="false">I72</f>
        <v>0</v>
      </c>
      <c r="U72" s="6" t="n">
        <f aca="false">L72</f>
        <v>0</v>
      </c>
      <c r="W72" s="6" t="n">
        <f aca="false">D72</f>
        <v>4.146666667</v>
      </c>
      <c r="X72" s="6" t="n">
        <f aca="false">E72</f>
        <v>0</v>
      </c>
      <c r="Y72" s="6" t="n">
        <f aca="false">F72</f>
        <v>0</v>
      </c>
      <c r="Z72" s="6" t="n">
        <f aca="false">L72</f>
        <v>0</v>
      </c>
      <c r="AA72" s="6" t="n">
        <f aca="false">G72</f>
        <v>0</v>
      </c>
      <c r="AC72" s="6" t="n">
        <f aca="false">D72</f>
        <v>4.146666667</v>
      </c>
      <c r="AD72" s="6" t="n">
        <f aca="false">E72</f>
        <v>0</v>
      </c>
      <c r="AE72" s="6" t="n">
        <f aca="false">G72</f>
        <v>0</v>
      </c>
      <c r="AF72" s="6" t="n">
        <f aca="false">H72</f>
        <v>0</v>
      </c>
      <c r="AG72" s="6" t="n">
        <f aca="false">I72</f>
        <v>0</v>
      </c>
      <c r="AH72" s="6" t="n">
        <f aca="false">L72</f>
        <v>0</v>
      </c>
    </row>
    <row r="73" customFormat="false" ht="15" hidden="false" customHeight="false" outlineLevel="0" collapsed="false">
      <c r="A73" s="0" t="str">
        <f aca="false">'Raw Data'!C73</f>
        <v>Plantation</v>
      </c>
      <c r="B73" s="5" t="n">
        <f aca="false">'Raw Data'!A73</f>
        <v>40337</v>
      </c>
      <c r="C73" s="6" t="n">
        <f aca="false">'Raw Data'!D73</f>
        <v>209.097972447001</v>
      </c>
      <c r="D73" s="6" t="n">
        <f aca="false">'Raw Data'!E73</f>
        <v>4.35875</v>
      </c>
      <c r="E73" s="6" t="n">
        <f aca="false">'Raw Data'!F73</f>
        <v>0</v>
      </c>
      <c r="F73" s="6" t="n">
        <f aca="false">'Raw Data'!G73</f>
        <v>0</v>
      </c>
      <c r="G73" s="6" t="n">
        <f aca="false">'Raw Data'!H73</f>
        <v>0</v>
      </c>
      <c r="H73" s="6" t="n">
        <f aca="false">'Raw Data'!I73</f>
        <v>0</v>
      </c>
      <c r="I73" s="6" t="n">
        <f aca="false">'Raw Data'!J73</f>
        <v>0</v>
      </c>
      <c r="J73" s="6" t="n">
        <f aca="false">'Raw Data'!K73</f>
        <v>2</v>
      </c>
      <c r="K73" s="6" t="n">
        <f aca="false">'Raw Data'!L73</f>
        <v>5</v>
      </c>
      <c r="L73" s="6" t="n">
        <f aca="false">F73*E73</f>
        <v>0</v>
      </c>
      <c r="N73" s="0" t="n">
        <v>1</v>
      </c>
      <c r="O73" s="6" t="n">
        <f aca="false">D73</f>
        <v>4.35875</v>
      </c>
      <c r="P73" s="6" t="n">
        <f aca="false">E73</f>
        <v>0</v>
      </c>
      <c r="Q73" s="6" t="n">
        <f aca="false">F73</f>
        <v>0</v>
      </c>
      <c r="R73" s="6" t="n">
        <f aca="false">G73</f>
        <v>0</v>
      </c>
      <c r="S73" s="6" t="n">
        <f aca="false">H73</f>
        <v>0</v>
      </c>
      <c r="T73" s="6" t="n">
        <f aca="false">I73</f>
        <v>0</v>
      </c>
      <c r="U73" s="6" t="n">
        <f aca="false">L73</f>
        <v>0</v>
      </c>
      <c r="W73" s="6" t="n">
        <f aca="false">D73</f>
        <v>4.35875</v>
      </c>
      <c r="X73" s="6" t="n">
        <f aca="false">E73</f>
        <v>0</v>
      </c>
      <c r="Y73" s="6" t="n">
        <f aca="false">F73</f>
        <v>0</v>
      </c>
      <c r="Z73" s="6" t="n">
        <f aca="false">L73</f>
        <v>0</v>
      </c>
      <c r="AA73" s="6" t="n">
        <f aca="false">G73</f>
        <v>0</v>
      </c>
      <c r="AC73" s="6" t="n">
        <f aca="false">D73</f>
        <v>4.35875</v>
      </c>
      <c r="AD73" s="6" t="n">
        <f aca="false">E73</f>
        <v>0</v>
      </c>
      <c r="AE73" s="6" t="n">
        <f aca="false">G73</f>
        <v>0</v>
      </c>
      <c r="AF73" s="6" t="n">
        <f aca="false">H73</f>
        <v>0</v>
      </c>
      <c r="AG73" s="6" t="n">
        <f aca="false">I73</f>
        <v>0</v>
      </c>
      <c r="AH73" s="6" t="n">
        <f aca="false">L73</f>
        <v>0</v>
      </c>
    </row>
    <row r="74" customFormat="false" ht="15" hidden="false" customHeight="false" outlineLevel="0" collapsed="false">
      <c r="A74" s="0" t="str">
        <f aca="false">'Raw Data'!C74</f>
        <v>Plantation</v>
      </c>
      <c r="B74" s="5" t="n">
        <f aca="false">'Raw Data'!A74</f>
        <v>40344</v>
      </c>
      <c r="C74" s="6" t="n">
        <f aca="false">'Raw Data'!D74</f>
        <v>239.341230964218</v>
      </c>
      <c r="D74" s="6" t="n">
        <f aca="false">'Raw Data'!E74</f>
        <v>4.35875</v>
      </c>
      <c r="E74" s="6" t="n">
        <f aca="false">'Raw Data'!F74</f>
        <v>0</v>
      </c>
      <c r="F74" s="6" t="n">
        <f aca="false">'Raw Data'!G74</f>
        <v>0</v>
      </c>
      <c r="G74" s="6" t="n">
        <f aca="false">'Raw Data'!H74</f>
        <v>0</v>
      </c>
      <c r="H74" s="6" t="n">
        <f aca="false">'Raw Data'!I74</f>
        <v>0</v>
      </c>
      <c r="I74" s="6" t="n">
        <f aca="false">'Raw Data'!J74</f>
        <v>0</v>
      </c>
      <c r="J74" s="6" t="n">
        <f aca="false">'Raw Data'!K74</f>
        <v>2</v>
      </c>
      <c r="K74" s="6" t="n">
        <f aca="false">'Raw Data'!L74</f>
        <v>5</v>
      </c>
      <c r="L74" s="6" t="n">
        <f aca="false">F74*E74</f>
        <v>0</v>
      </c>
      <c r="N74" s="0" t="n">
        <v>1</v>
      </c>
      <c r="O74" s="6" t="n">
        <f aca="false">D74</f>
        <v>4.35875</v>
      </c>
      <c r="P74" s="6" t="n">
        <f aca="false">E74</f>
        <v>0</v>
      </c>
      <c r="Q74" s="6" t="n">
        <f aca="false">F74</f>
        <v>0</v>
      </c>
      <c r="R74" s="6" t="n">
        <f aca="false">G74</f>
        <v>0</v>
      </c>
      <c r="S74" s="6" t="n">
        <f aca="false">H74</f>
        <v>0</v>
      </c>
      <c r="T74" s="6" t="n">
        <f aca="false">I74</f>
        <v>0</v>
      </c>
      <c r="U74" s="6" t="n">
        <f aca="false">L74</f>
        <v>0</v>
      </c>
      <c r="W74" s="6" t="n">
        <f aca="false">D74</f>
        <v>4.35875</v>
      </c>
      <c r="X74" s="6" t="n">
        <f aca="false">E74</f>
        <v>0</v>
      </c>
      <c r="Y74" s="6" t="n">
        <f aca="false">F74</f>
        <v>0</v>
      </c>
      <c r="Z74" s="6" t="n">
        <f aca="false">L74</f>
        <v>0</v>
      </c>
      <c r="AA74" s="6" t="n">
        <f aca="false">G74</f>
        <v>0</v>
      </c>
      <c r="AC74" s="6" t="n">
        <f aca="false">D74</f>
        <v>4.35875</v>
      </c>
      <c r="AD74" s="6" t="n">
        <f aca="false">E74</f>
        <v>0</v>
      </c>
      <c r="AE74" s="6" t="n">
        <f aca="false">G74</f>
        <v>0</v>
      </c>
      <c r="AF74" s="6" t="n">
        <f aca="false">H74</f>
        <v>0</v>
      </c>
      <c r="AG74" s="6" t="n">
        <f aca="false">I74</f>
        <v>0</v>
      </c>
      <c r="AH74" s="6" t="n">
        <f aca="false">L74</f>
        <v>0</v>
      </c>
    </row>
    <row r="75" customFormat="false" ht="15" hidden="false" customHeight="false" outlineLevel="0" collapsed="false">
      <c r="A75" s="0" t="str">
        <f aca="false">'Raw Data'!C75</f>
        <v>Plantation</v>
      </c>
      <c r="B75" s="5" t="n">
        <f aca="false">'Raw Data'!A75</f>
        <v>40351</v>
      </c>
      <c r="C75" s="6" t="n">
        <f aca="false">'Raw Data'!D75</f>
        <v>137.871900685101</v>
      </c>
      <c r="D75" s="6" t="n">
        <f aca="false">'Raw Data'!E75</f>
        <v>4.116666667</v>
      </c>
      <c r="E75" s="6" t="n">
        <f aca="false">'Raw Data'!F75</f>
        <v>0</v>
      </c>
      <c r="F75" s="6" t="n">
        <f aca="false">'Raw Data'!G75</f>
        <v>0</v>
      </c>
      <c r="G75" s="6" t="n">
        <f aca="false">'Raw Data'!H75</f>
        <v>0</v>
      </c>
      <c r="H75" s="6" t="n">
        <f aca="false">'Raw Data'!I75</f>
        <v>0</v>
      </c>
      <c r="I75" s="6" t="n">
        <f aca="false">'Raw Data'!J75</f>
        <v>0</v>
      </c>
      <c r="J75" s="6" t="n">
        <f aca="false">'Raw Data'!K75</f>
        <v>2</v>
      </c>
      <c r="K75" s="6" t="n">
        <f aca="false">'Raw Data'!L75</f>
        <v>5</v>
      </c>
      <c r="L75" s="6" t="n">
        <f aca="false">F75*E75</f>
        <v>0</v>
      </c>
      <c r="N75" s="0" t="n">
        <v>1</v>
      </c>
      <c r="O75" s="6" t="n">
        <f aca="false">D75</f>
        <v>4.116666667</v>
      </c>
      <c r="P75" s="6" t="n">
        <f aca="false">E75</f>
        <v>0</v>
      </c>
      <c r="Q75" s="6" t="n">
        <f aca="false">F75</f>
        <v>0</v>
      </c>
      <c r="R75" s="6" t="n">
        <f aca="false">G75</f>
        <v>0</v>
      </c>
      <c r="S75" s="6" t="n">
        <f aca="false">H75</f>
        <v>0</v>
      </c>
      <c r="T75" s="6" t="n">
        <f aca="false">I75</f>
        <v>0</v>
      </c>
      <c r="U75" s="6" t="n">
        <f aca="false">L75</f>
        <v>0</v>
      </c>
      <c r="W75" s="6" t="n">
        <f aca="false">D75</f>
        <v>4.116666667</v>
      </c>
      <c r="X75" s="6" t="n">
        <f aca="false">E75</f>
        <v>0</v>
      </c>
      <c r="Y75" s="6" t="n">
        <f aca="false">F75</f>
        <v>0</v>
      </c>
      <c r="Z75" s="6" t="n">
        <f aca="false">L75</f>
        <v>0</v>
      </c>
      <c r="AA75" s="6" t="n">
        <f aca="false">G75</f>
        <v>0</v>
      </c>
      <c r="AC75" s="6" t="n">
        <f aca="false">D75</f>
        <v>4.116666667</v>
      </c>
      <c r="AD75" s="6" t="n">
        <f aca="false">E75</f>
        <v>0</v>
      </c>
      <c r="AE75" s="6" t="n">
        <f aca="false">G75</f>
        <v>0</v>
      </c>
      <c r="AF75" s="6" t="n">
        <f aca="false">H75</f>
        <v>0</v>
      </c>
      <c r="AG75" s="6" t="n">
        <f aca="false">I75</f>
        <v>0</v>
      </c>
      <c r="AH75" s="6" t="n">
        <f aca="false">L75</f>
        <v>0</v>
      </c>
    </row>
    <row r="76" customFormat="false" ht="15" hidden="false" customHeight="false" outlineLevel="0" collapsed="false">
      <c r="A76" s="0" t="str">
        <f aca="false">'Raw Data'!C76</f>
        <v>Plantation</v>
      </c>
      <c r="B76" s="5" t="n">
        <f aca="false">'Raw Data'!A76</f>
        <v>40358</v>
      </c>
      <c r="C76" s="6" t="n">
        <f aca="false">'Raw Data'!D76</f>
        <v>238.402812016027</v>
      </c>
      <c r="D76" s="6" t="n">
        <f aca="false">'Raw Data'!E76</f>
        <v>4.336153846</v>
      </c>
      <c r="E76" s="6" t="n">
        <f aca="false">'Raw Data'!F76</f>
        <v>0</v>
      </c>
      <c r="F76" s="6" t="n">
        <f aca="false">'Raw Data'!G76</f>
        <v>0</v>
      </c>
      <c r="G76" s="6" t="n">
        <f aca="false">'Raw Data'!H76</f>
        <v>0</v>
      </c>
      <c r="H76" s="6" t="n">
        <f aca="false">'Raw Data'!I76</f>
        <v>0</v>
      </c>
      <c r="I76" s="6" t="n">
        <f aca="false">'Raw Data'!J76</f>
        <v>0</v>
      </c>
      <c r="J76" s="6" t="n">
        <f aca="false">'Raw Data'!K76</f>
        <v>2</v>
      </c>
      <c r="K76" s="6" t="n">
        <f aca="false">'Raw Data'!L76</f>
        <v>5</v>
      </c>
      <c r="L76" s="6" t="n">
        <f aca="false">F76*E76</f>
        <v>0</v>
      </c>
      <c r="N76" s="0" t="n">
        <v>1</v>
      </c>
      <c r="O76" s="6" t="n">
        <f aca="false">D76</f>
        <v>4.336153846</v>
      </c>
      <c r="P76" s="6" t="n">
        <f aca="false">E76</f>
        <v>0</v>
      </c>
      <c r="Q76" s="6" t="n">
        <f aca="false">F76</f>
        <v>0</v>
      </c>
      <c r="R76" s="6" t="n">
        <f aca="false">G76</f>
        <v>0</v>
      </c>
      <c r="S76" s="6" t="n">
        <f aca="false">H76</f>
        <v>0</v>
      </c>
      <c r="T76" s="6" t="n">
        <f aca="false">I76</f>
        <v>0</v>
      </c>
      <c r="U76" s="6" t="n">
        <f aca="false">L76</f>
        <v>0</v>
      </c>
      <c r="W76" s="6" t="n">
        <f aca="false">D76</f>
        <v>4.336153846</v>
      </c>
      <c r="X76" s="6" t="n">
        <f aca="false">E76</f>
        <v>0</v>
      </c>
      <c r="Y76" s="6" t="n">
        <f aca="false">F76</f>
        <v>0</v>
      </c>
      <c r="Z76" s="6" t="n">
        <f aca="false">L76</f>
        <v>0</v>
      </c>
      <c r="AA76" s="6" t="n">
        <f aca="false">G76</f>
        <v>0</v>
      </c>
      <c r="AC76" s="6" t="n">
        <f aca="false">D76</f>
        <v>4.336153846</v>
      </c>
      <c r="AD76" s="6" t="n">
        <f aca="false">E76</f>
        <v>0</v>
      </c>
      <c r="AE76" s="6" t="n">
        <f aca="false">G76</f>
        <v>0</v>
      </c>
      <c r="AF76" s="6" t="n">
        <f aca="false">H76</f>
        <v>0</v>
      </c>
      <c r="AG76" s="6" t="n">
        <f aca="false">I76</f>
        <v>0</v>
      </c>
      <c r="AH76" s="6" t="n">
        <f aca="false">L76</f>
        <v>0</v>
      </c>
    </row>
    <row r="77" customFormat="false" ht="15" hidden="false" customHeight="false" outlineLevel="0" collapsed="false">
      <c r="A77" s="0" t="str">
        <f aca="false">'Raw Data'!C77</f>
        <v>Plantation</v>
      </c>
      <c r="B77" s="5" t="n">
        <f aca="false">'Raw Data'!A77</f>
        <v>40365</v>
      </c>
      <c r="C77" s="6" t="n">
        <f aca="false">'Raw Data'!D77</f>
        <v>237.2250632012</v>
      </c>
      <c r="D77" s="6" t="n">
        <f aca="false">'Raw Data'!E77</f>
        <v>4.093076923</v>
      </c>
      <c r="E77" s="6" t="n">
        <f aca="false">'Raw Data'!F77</f>
        <v>0</v>
      </c>
      <c r="F77" s="6" t="n">
        <f aca="false">'Raw Data'!G77</f>
        <v>0</v>
      </c>
      <c r="G77" s="6" t="n">
        <f aca="false">'Raw Data'!H77</f>
        <v>0</v>
      </c>
      <c r="H77" s="6" t="n">
        <f aca="false">'Raw Data'!I77</f>
        <v>0</v>
      </c>
      <c r="I77" s="6" t="n">
        <f aca="false">'Raw Data'!J77</f>
        <v>0</v>
      </c>
      <c r="J77" s="6" t="n">
        <f aca="false">'Raw Data'!K77</f>
        <v>2</v>
      </c>
      <c r="K77" s="6" t="n">
        <f aca="false">'Raw Data'!L77</f>
        <v>5</v>
      </c>
      <c r="L77" s="6" t="n">
        <f aca="false">F77*E77</f>
        <v>0</v>
      </c>
      <c r="N77" s="0" t="n">
        <v>1</v>
      </c>
      <c r="O77" s="6" t="n">
        <f aca="false">D77</f>
        <v>4.093076923</v>
      </c>
      <c r="P77" s="6" t="n">
        <f aca="false">E77</f>
        <v>0</v>
      </c>
      <c r="Q77" s="6" t="n">
        <f aca="false">F77</f>
        <v>0</v>
      </c>
      <c r="R77" s="6" t="n">
        <f aca="false">G77</f>
        <v>0</v>
      </c>
      <c r="S77" s="6" t="n">
        <f aca="false">H77</f>
        <v>0</v>
      </c>
      <c r="T77" s="6" t="n">
        <f aca="false">I77</f>
        <v>0</v>
      </c>
      <c r="U77" s="6" t="n">
        <f aca="false">L77</f>
        <v>0</v>
      </c>
      <c r="W77" s="6" t="n">
        <f aca="false">D77</f>
        <v>4.093076923</v>
      </c>
      <c r="X77" s="6" t="n">
        <f aca="false">E77</f>
        <v>0</v>
      </c>
      <c r="Y77" s="6" t="n">
        <f aca="false">F77</f>
        <v>0</v>
      </c>
      <c r="Z77" s="6" t="n">
        <f aca="false">L77</f>
        <v>0</v>
      </c>
      <c r="AA77" s="6" t="n">
        <f aca="false">G77</f>
        <v>0</v>
      </c>
      <c r="AC77" s="6" t="n">
        <f aca="false">D77</f>
        <v>4.093076923</v>
      </c>
      <c r="AD77" s="6" t="n">
        <f aca="false">E77</f>
        <v>0</v>
      </c>
      <c r="AE77" s="6" t="n">
        <f aca="false">G77</f>
        <v>0</v>
      </c>
      <c r="AF77" s="6" t="n">
        <f aca="false">H77</f>
        <v>0</v>
      </c>
      <c r="AG77" s="6" t="n">
        <f aca="false">I77</f>
        <v>0</v>
      </c>
      <c r="AH77" s="6" t="n">
        <f aca="false">L77</f>
        <v>0</v>
      </c>
    </row>
    <row r="78" customFormat="false" ht="15" hidden="false" customHeight="false" outlineLevel="0" collapsed="false">
      <c r="A78" s="0" t="str">
        <f aca="false">'Raw Data'!C78</f>
        <v>Plantation</v>
      </c>
      <c r="B78" s="5" t="n">
        <f aca="false">'Raw Data'!A78</f>
        <v>40372</v>
      </c>
      <c r="C78" s="6" t="n">
        <f aca="false">'Raw Data'!D78</f>
        <v>111.446541229154</v>
      </c>
      <c r="D78" s="6" t="n">
        <f aca="false">'Raw Data'!E78</f>
        <v>4.093076923</v>
      </c>
      <c r="E78" s="6" t="n">
        <f aca="false">'Raw Data'!F78</f>
        <v>0</v>
      </c>
      <c r="F78" s="6" t="n">
        <f aca="false">'Raw Data'!G78</f>
        <v>0</v>
      </c>
      <c r="G78" s="6" t="n">
        <f aca="false">'Raw Data'!H78</f>
        <v>0</v>
      </c>
      <c r="H78" s="6" t="n">
        <f aca="false">'Raw Data'!I78</f>
        <v>0</v>
      </c>
      <c r="I78" s="6" t="n">
        <f aca="false">'Raw Data'!J78</f>
        <v>0</v>
      </c>
      <c r="J78" s="6" t="n">
        <f aca="false">'Raw Data'!K78</f>
        <v>2</v>
      </c>
      <c r="K78" s="6" t="n">
        <f aca="false">'Raw Data'!L78</f>
        <v>5</v>
      </c>
      <c r="L78" s="6" t="n">
        <f aca="false">F78*E78</f>
        <v>0</v>
      </c>
      <c r="N78" s="0" t="n">
        <v>1</v>
      </c>
      <c r="O78" s="6" t="n">
        <f aca="false">D78</f>
        <v>4.093076923</v>
      </c>
      <c r="P78" s="6" t="n">
        <f aca="false">E78</f>
        <v>0</v>
      </c>
      <c r="Q78" s="6" t="n">
        <f aca="false">F78</f>
        <v>0</v>
      </c>
      <c r="R78" s="6" t="n">
        <f aca="false">G78</f>
        <v>0</v>
      </c>
      <c r="S78" s="6" t="n">
        <f aca="false">H78</f>
        <v>0</v>
      </c>
      <c r="T78" s="6" t="n">
        <f aca="false">I78</f>
        <v>0</v>
      </c>
      <c r="U78" s="6" t="n">
        <f aca="false">L78</f>
        <v>0</v>
      </c>
      <c r="W78" s="6" t="n">
        <f aca="false">D78</f>
        <v>4.093076923</v>
      </c>
      <c r="X78" s="6" t="n">
        <f aca="false">E78</f>
        <v>0</v>
      </c>
      <c r="Y78" s="6" t="n">
        <f aca="false">F78</f>
        <v>0</v>
      </c>
      <c r="Z78" s="6" t="n">
        <f aca="false">L78</f>
        <v>0</v>
      </c>
      <c r="AA78" s="6" t="n">
        <f aca="false">G78</f>
        <v>0</v>
      </c>
      <c r="AC78" s="6" t="n">
        <f aca="false">D78</f>
        <v>4.093076923</v>
      </c>
      <c r="AD78" s="6" t="n">
        <f aca="false">E78</f>
        <v>0</v>
      </c>
      <c r="AE78" s="6" t="n">
        <f aca="false">G78</f>
        <v>0</v>
      </c>
      <c r="AF78" s="6" t="n">
        <f aca="false">H78</f>
        <v>0</v>
      </c>
      <c r="AG78" s="6" t="n">
        <f aca="false">I78</f>
        <v>0</v>
      </c>
      <c r="AH78" s="6" t="n">
        <f aca="false">L78</f>
        <v>0</v>
      </c>
    </row>
    <row r="79" customFormat="false" ht="15" hidden="false" customHeight="false" outlineLevel="0" collapsed="false">
      <c r="A79" s="0" t="str">
        <f aca="false">'Raw Data'!C79</f>
        <v>Sarasota</v>
      </c>
      <c r="B79" s="5" t="n">
        <f aca="false">'Raw Data'!A79</f>
        <v>40302</v>
      </c>
      <c r="C79" s="6" t="n">
        <f aca="false">'Raw Data'!D79</f>
        <v>128.691911421092</v>
      </c>
      <c r="D79" s="6" t="n">
        <f aca="false">'Raw Data'!E79</f>
        <v>4.39</v>
      </c>
      <c r="E79" s="6" t="n">
        <f aca="false">'Raw Data'!F79</f>
        <v>0</v>
      </c>
      <c r="F79" s="6" t="n">
        <f aca="false">'Raw Data'!G79</f>
        <v>0</v>
      </c>
      <c r="G79" s="6" t="n">
        <f aca="false">'Raw Data'!H79</f>
        <v>0</v>
      </c>
      <c r="H79" s="6" t="n">
        <f aca="false">'Raw Data'!I79</f>
        <v>0</v>
      </c>
      <c r="I79" s="6" t="n">
        <f aca="false">'Raw Data'!J79</f>
        <v>0</v>
      </c>
      <c r="J79" s="6" t="n">
        <f aca="false">'Raw Data'!K79</f>
        <v>1</v>
      </c>
      <c r="K79" s="6" t="n">
        <f aca="false">'Raw Data'!L79</f>
        <v>3</v>
      </c>
      <c r="L79" s="6" t="n">
        <f aca="false">F79*E79</f>
        <v>0</v>
      </c>
      <c r="N79" s="0" t="n">
        <v>1</v>
      </c>
      <c r="O79" s="6" t="n">
        <f aca="false">D79</f>
        <v>4.39</v>
      </c>
      <c r="P79" s="6" t="n">
        <f aca="false">E79</f>
        <v>0</v>
      </c>
      <c r="Q79" s="6" t="n">
        <f aca="false">F79</f>
        <v>0</v>
      </c>
      <c r="R79" s="6" t="n">
        <f aca="false">G79</f>
        <v>0</v>
      </c>
      <c r="S79" s="6" t="n">
        <f aca="false">H79</f>
        <v>0</v>
      </c>
      <c r="T79" s="6" t="n">
        <f aca="false">I79</f>
        <v>0</v>
      </c>
      <c r="U79" s="6" t="n">
        <f aca="false">L79</f>
        <v>0</v>
      </c>
      <c r="W79" s="6" t="n">
        <f aca="false">D79</f>
        <v>4.39</v>
      </c>
      <c r="X79" s="6" t="n">
        <f aca="false">E79</f>
        <v>0</v>
      </c>
      <c r="Y79" s="6" t="n">
        <f aca="false">F79</f>
        <v>0</v>
      </c>
      <c r="Z79" s="6" t="n">
        <f aca="false">L79</f>
        <v>0</v>
      </c>
      <c r="AA79" s="6" t="n">
        <f aca="false">G79</f>
        <v>0</v>
      </c>
      <c r="AC79" s="6" t="n">
        <f aca="false">D79</f>
        <v>4.39</v>
      </c>
      <c r="AD79" s="6" t="n">
        <f aca="false">E79</f>
        <v>0</v>
      </c>
      <c r="AE79" s="6" t="n">
        <f aca="false">G79</f>
        <v>0</v>
      </c>
      <c r="AF79" s="6" t="n">
        <f aca="false">H79</f>
        <v>0</v>
      </c>
      <c r="AG79" s="6" t="n">
        <f aca="false">I79</f>
        <v>0</v>
      </c>
      <c r="AH79" s="6" t="n">
        <f aca="false">L79</f>
        <v>0</v>
      </c>
    </row>
    <row r="80" customFormat="false" ht="15" hidden="false" customHeight="false" outlineLevel="0" collapsed="false">
      <c r="A80" s="0" t="str">
        <f aca="false">'Raw Data'!C80</f>
        <v>Sarasota</v>
      </c>
      <c r="B80" s="5" t="n">
        <f aca="false">'Raw Data'!A80</f>
        <v>40309</v>
      </c>
      <c r="C80" s="6" t="n">
        <f aca="false">'Raw Data'!D80</f>
        <v>281.94862788184</v>
      </c>
      <c r="D80" s="6" t="n">
        <f aca="false">'Raw Data'!E80</f>
        <v>4.39</v>
      </c>
      <c r="E80" s="6" t="n">
        <f aca="false">'Raw Data'!F80</f>
        <v>0</v>
      </c>
      <c r="F80" s="6" t="n">
        <f aca="false">'Raw Data'!G80</f>
        <v>0</v>
      </c>
      <c r="G80" s="6" t="n">
        <f aca="false">'Raw Data'!H80</f>
        <v>0</v>
      </c>
      <c r="H80" s="6" t="n">
        <f aca="false">'Raw Data'!I80</f>
        <v>0</v>
      </c>
      <c r="I80" s="6" t="n">
        <f aca="false">'Raw Data'!J80</f>
        <v>0</v>
      </c>
      <c r="J80" s="6" t="n">
        <f aca="false">'Raw Data'!K80</f>
        <v>1</v>
      </c>
      <c r="K80" s="6" t="n">
        <f aca="false">'Raw Data'!L80</f>
        <v>3</v>
      </c>
      <c r="L80" s="6" t="n">
        <f aca="false">F80*E80</f>
        <v>0</v>
      </c>
      <c r="N80" s="0" t="n">
        <v>1</v>
      </c>
      <c r="O80" s="6" t="n">
        <f aca="false">D80</f>
        <v>4.39</v>
      </c>
      <c r="P80" s="6" t="n">
        <f aca="false">E80</f>
        <v>0</v>
      </c>
      <c r="Q80" s="6" t="n">
        <f aca="false">F80</f>
        <v>0</v>
      </c>
      <c r="R80" s="6" t="n">
        <f aca="false">G80</f>
        <v>0</v>
      </c>
      <c r="S80" s="6" t="n">
        <f aca="false">H80</f>
        <v>0</v>
      </c>
      <c r="T80" s="6" t="n">
        <f aca="false">I80</f>
        <v>0</v>
      </c>
      <c r="U80" s="6" t="n">
        <f aca="false">L80</f>
        <v>0</v>
      </c>
      <c r="W80" s="6" t="n">
        <f aca="false">D80</f>
        <v>4.39</v>
      </c>
      <c r="X80" s="6" t="n">
        <f aca="false">E80</f>
        <v>0</v>
      </c>
      <c r="Y80" s="6" t="n">
        <f aca="false">F80</f>
        <v>0</v>
      </c>
      <c r="Z80" s="6" t="n">
        <f aca="false">L80</f>
        <v>0</v>
      </c>
      <c r="AA80" s="6" t="n">
        <f aca="false">G80</f>
        <v>0</v>
      </c>
      <c r="AC80" s="6" t="n">
        <f aca="false">D80</f>
        <v>4.39</v>
      </c>
      <c r="AD80" s="6" t="n">
        <f aca="false">E80</f>
        <v>0</v>
      </c>
      <c r="AE80" s="6" t="n">
        <f aca="false">G80</f>
        <v>0</v>
      </c>
      <c r="AF80" s="6" t="n">
        <f aca="false">H80</f>
        <v>0</v>
      </c>
      <c r="AG80" s="6" t="n">
        <f aca="false">I80</f>
        <v>0</v>
      </c>
      <c r="AH80" s="6" t="n">
        <f aca="false">L80</f>
        <v>0</v>
      </c>
    </row>
    <row r="81" customFormat="false" ht="15" hidden="false" customHeight="false" outlineLevel="0" collapsed="false">
      <c r="A81" s="0" t="str">
        <f aca="false">'Raw Data'!C81</f>
        <v>Sarasota</v>
      </c>
      <c r="B81" s="5" t="n">
        <f aca="false">'Raw Data'!A81</f>
        <v>40316</v>
      </c>
      <c r="C81" s="6" t="n">
        <f aca="false">'Raw Data'!D81</f>
        <v>197.534791075741</v>
      </c>
      <c r="D81" s="6" t="n">
        <f aca="false">'Raw Data'!E81</f>
        <v>4.145</v>
      </c>
      <c r="E81" s="6" t="n">
        <f aca="false">'Raw Data'!F81</f>
        <v>0</v>
      </c>
      <c r="F81" s="6" t="n">
        <f aca="false">'Raw Data'!G81</f>
        <v>0</v>
      </c>
      <c r="G81" s="6" t="n">
        <f aca="false">'Raw Data'!H81</f>
        <v>0</v>
      </c>
      <c r="H81" s="6" t="n">
        <f aca="false">'Raw Data'!I81</f>
        <v>0</v>
      </c>
      <c r="I81" s="6" t="n">
        <f aca="false">'Raw Data'!J81</f>
        <v>0</v>
      </c>
      <c r="J81" s="6" t="n">
        <f aca="false">'Raw Data'!K81</f>
        <v>1</v>
      </c>
      <c r="K81" s="6" t="n">
        <f aca="false">'Raw Data'!L81</f>
        <v>3</v>
      </c>
      <c r="L81" s="6" t="n">
        <f aca="false">F81*E81</f>
        <v>0</v>
      </c>
      <c r="N81" s="0" t="n">
        <v>1</v>
      </c>
      <c r="O81" s="6" t="n">
        <f aca="false">D81</f>
        <v>4.145</v>
      </c>
      <c r="P81" s="6" t="n">
        <f aca="false">E81</f>
        <v>0</v>
      </c>
      <c r="Q81" s="6" t="n">
        <f aca="false">F81</f>
        <v>0</v>
      </c>
      <c r="R81" s="6" t="n">
        <f aca="false">G81</f>
        <v>0</v>
      </c>
      <c r="S81" s="6" t="n">
        <f aca="false">H81</f>
        <v>0</v>
      </c>
      <c r="T81" s="6" t="n">
        <f aca="false">I81</f>
        <v>0</v>
      </c>
      <c r="U81" s="6" t="n">
        <f aca="false">L81</f>
        <v>0</v>
      </c>
      <c r="W81" s="6" t="n">
        <f aca="false">D81</f>
        <v>4.145</v>
      </c>
      <c r="X81" s="6" t="n">
        <f aca="false">E81</f>
        <v>0</v>
      </c>
      <c r="Y81" s="6" t="n">
        <f aca="false">F81</f>
        <v>0</v>
      </c>
      <c r="Z81" s="6" t="n">
        <f aca="false">L81</f>
        <v>0</v>
      </c>
      <c r="AA81" s="6" t="n">
        <f aca="false">G81</f>
        <v>0</v>
      </c>
      <c r="AC81" s="6" t="n">
        <f aca="false">D81</f>
        <v>4.145</v>
      </c>
      <c r="AD81" s="6" t="n">
        <f aca="false">E81</f>
        <v>0</v>
      </c>
      <c r="AE81" s="6" t="n">
        <f aca="false">G81</f>
        <v>0</v>
      </c>
      <c r="AF81" s="6" t="n">
        <f aca="false">H81</f>
        <v>0</v>
      </c>
      <c r="AG81" s="6" t="n">
        <f aca="false">I81</f>
        <v>0</v>
      </c>
      <c r="AH81" s="6" t="n">
        <f aca="false">L81</f>
        <v>0</v>
      </c>
    </row>
    <row r="82" customFormat="false" ht="15" hidden="false" customHeight="false" outlineLevel="0" collapsed="false">
      <c r="A82" s="0" t="str">
        <f aca="false">'Raw Data'!C82</f>
        <v>Sarasota</v>
      </c>
      <c r="B82" s="5" t="n">
        <f aca="false">'Raw Data'!A82</f>
        <v>40323</v>
      </c>
      <c r="C82" s="6" t="n">
        <f aca="false">'Raw Data'!D82</f>
        <v>265.478621526768</v>
      </c>
      <c r="D82" s="6" t="n">
        <f aca="false">'Raw Data'!E82</f>
        <v>4.216666667</v>
      </c>
      <c r="E82" s="6" t="n">
        <f aca="false">'Raw Data'!F82</f>
        <v>0</v>
      </c>
      <c r="F82" s="6" t="n">
        <f aca="false">'Raw Data'!G82</f>
        <v>1</v>
      </c>
      <c r="G82" s="6" t="n">
        <f aca="false">'Raw Data'!H82</f>
        <v>0</v>
      </c>
      <c r="H82" s="6" t="n">
        <f aca="false">'Raw Data'!I82</f>
        <v>0</v>
      </c>
      <c r="I82" s="6" t="n">
        <f aca="false">'Raw Data'!J82</f>
        <v>0</v>
      </c>
      <c r="J82" s="6" t="n">
        <f aca="false">'Raw Data'!K82</f>
        <v>1</v>
      </c>
      <c r="K82" s="6" t="n">
        <f aca="false">'Raw Data'!L82</f>
        <v>3</v>
      </c>
      <c r="L82" s="6" t="n">
        <f aca="false">F82*E82</f>
        <v>0</v>
      </c>
      <c r="N82" s="0" t="n">
        <v>1</v>
      </c>
      <c r="O82" s="6" t="n">
        <f aca="false">D82</f>
        <v>4.216666667</v>
      </c>
      <c r="P82" s="6" t="n">
        <f aca="false">E82</f>
        <v>0</v>
      </c>
      <c r="Q82" s="6" t="n">
        <f aca="false">F82</f>
        <v>1</v>
      </c>
      <c r="R82" s="6" t="n">
        <f aca="false">G82</f>
        <v>0</v>
      </c>
      <c r="S82" s="6" t="n">
        <f aca="false">H82</f>
        <v>0</v>
      </c>
      <c r="T82" s="6" t="n">
        <f aca="false">I82</f>
        <v>0</v>
      </c>
      <c r="U82" s="6" t="n">
        <f aca="false">L82</f>
        <v>0</v>
      </c>
      <c r="W82" s="6" t="n">
        <f aca="false">D82</f>
        <v>4.216666667</v>
      </c>
      <c r="X82" s="6" t="n">
        <f aca="false">E82</f>
        <v>0</v>
      </c>
      <c r="Y82" s="6" t="n">
        <f aca="false">F82</f>
        <v>1</v>
      </c>
      <c r="Z82" s="6" t="n">
        <f aca="false">L82</f>
        <v>0</v>
      </c>
      <c r="AA82" s="6" t="n">
        <f aca="false">G82</f>
        <v>0</v>
      </c>
      <c r="AC82" s="6" t="n">
        <f aca="false">D82</f>
        <v>4.216666667</v>
      </c>
      <c r="AD82" s="6" t="n">
        <f aca="false">E82</f>
        <v>0</v>
      </c>
      <c r="AE82" s="6" t="n">
        <f aca="false">G82</f>
        <v>0</v>
      </c>
      <c r="AF82" s="6" t="n">
        <f aca="false">H82</f>
        <v>0</v>
      </c>
      <c r="AG82" s="6" t="n">
        <f aca="false">I82</f>
        <v>0</v>
      </c>
      <c r="AH82" s="6" t="n">
        <f aca="false">L82</f>
        <v>0</v>
      </c>
    </row>
    <row r="83" customFormat="false" ht="15" hidden="false" customHeight="false" outlineLevel="0" collapsed="false">
      <c r="A83" s="0" t="str">
        <f aca="false">'Raw Data'!C83</f>
        <v>Sarasota</v>
      </c>
      <c r="B83" s="5" t="n">
        <f aca="false">'Raw Data'!A83</f>
        <v>40330</v>
      </c>
      <c r="C83" s="6" t="n">
        <f aca="false">'Raw Data'!D83</f>
        <v>230.489537751377</v>
      </c>
      <c r="D83" s="6" t="n">
        <f aca="false">'Raw Data'!E83</f>
        <v>3.957857143</v>
      </c>
      <c r="E83" s="6" t="n">
        <f aca="false">'Raw Data'!F83</f>
        <v>0</v>
      </c>
      <c r="F83" s="6" t="n">
        <f aca="false">'Raw Data'!G83</f>
        <v>1</v>
      </c>
      <c r="G83" s="6" t="n">
        <f aca="false">'Raw Data'!H83</f>
        <v>0</v>
      </c>
      <c r="H83" s="6" t="n">
        <f aca="false">'Raw Data'!I83</f>
        <v>0</v>
      </c>
      <c r="I83" s="6" t="n">
        <f aca="false">'Raw Data'!J83</f>
        <v>0</v>
      </c>
      <c r="J83" s="6" t="n">
        <f aca="false">'Raw Data'!K83</f>
        <v>1</v>
      </c>
      <c r="K83" s="6" t="n">
        <f aca="false">'Raw Data'!L83</f>
        <v>3</v>
      </c>
      <c r="L83" s="6" t="n">
        <f aca="false">F83*E83</f>
        <v>0</v>
      </c>
      <c r="N83" s="0" t="n">
        <v>1</v>
      </c>
      <c r="O83" s="6" t="n">
        <f aca="false">D83</f>
        <v>3.957857143</v>
      </c>
      <c r="P83" s="6" t="n">
        <f aca="false">E83</f>
        <v>0</v>
      </c>
      <c r="Q83" s="6" t="n">
        <f aca="false">F83</f>
        <v>1</v>
      </c>
      <c r="R83" s="6" t="n">
        <f aca="false">G83</f>
        <v>0</v>
      </c>
      <c r="S83" s="6" t="n">
        <f aca="false">H83</f>
        <v>0</v>
      </c>
      <c r="T83" s="6" t="n">
        <f aca="false">I83</f>
        <v>0</v>
      </c>
      <c r="U83" s="6" t="n">
        <f aca="false">L83</f>
        <v>0</v>
      </c>
      <c r="W83" s="6" t="n">
        <f aca="false">D83</f>
        <v>3.957857143</v>
      </c>
      <c r="X83" s="6" t="n">
        <f aca="false">E83</f>
        <v>0</v>
      </c>
      <c r="Y83" s="6" t="n">
        <f aca="false">F83</f>
        <v>1</v>
      </c>
      <c r="Z83" s="6" t="n">
        <f aca="false">L83</f>
        <v>0</v>
      </c>
      <c r="AA83" s="6" t="n">
        <f aca="false">G83</f>
        <v>0</v>
      </c>
      <c r="AC83" s="6" t="n">
        <f aca="false">D83</f>
        <v>3.957857143</v>
      </c>
      <c r="AD83" s="6" t="n">
        <f aca="false">E83</f>
        <v>0</v>
      </c>
      <c r="AE83" s="6" t="n">
        <f aca="false">G83</f>
        <v>0</v>
      </c>
      <c r="AF83" s="6" t="n">
        <f aca="false">H83</f>
        <v>0</v>
      </c>
      <c r="AG83" s="6" t="n">
        <f aca="false">I83</f>
        <v>0</v>
      </c>
      <c r="AH83" s="6" t="n">
        <f aca="false">L83</f>
        <v>0</v>
      </c>
    </row>
    <row r="84" customFormat="false" ht="15" hidden="false" customHeight="false" outlineLevel="0" collapsed="false">
      <c r="A84" s="0" t="str">
        <f aca="false">'Raw Data'!C84</f>
        <v>Sarasota</v>
      </c>
      <c r="B84" s="5" t="n">
        <f aca="false">'Raw Data'!A84</f>
        <v>40337</v>
      </c>
      <c r="C84" s="6" t="n">
        <f aca="false">'Raw Data'!D84</f>
        <v>119.228658676094</v>
      </c>
      <c r="D84" s="6" t="n">
        <f aca="false">'Raw Data'!E84</f>
        <v>4.116666667</v>
      </c>
      <c r="E84" s="6" t="n">
        <f aca="false">'Raw Data'!F84</f>
        <v>0</v>
      </c>
      <c r="F84" s="6" t="n">
        <f aca="false">'Raw Data'!G84</f>
        <v>1</v>
      </c>
      <c r="G84" s="6" t="n">
        <f aca="false">'Raw Data'!H84</f>
        <v>0</v>
      </c>
      <c r="H84" s="6" t="n">
        <f aca="false">'Raw Data'!I84</f>
        <v>0</v>
      </c>
      <c r="I84" s="6" t="n">
        <f aca="false">'Raw Data'!J84</f>
        <v>0</v>
      </c>
      <c r="J84" s="6" t="n">
        <f aca="false">'Raw Data'!K84</f>
        <v>1</v>
      </c>
      <c r="K84" s="6" t="n">
        <f aca="false">'Raw Data'!L84</f>
        <v>3</v>
      </c>
      <c r="L84" s="6" t="n">
        <f aca="false">F84*E84</f>
        <v>0</v>
      </c>
      <c r="N84" s="0" t="n">
        <v>1</v>
      </c>
      <c r="O84" s="6" t="n">
        <f aca="false">D84</f>
        <v>4.116666667</v>
      </c>
      <c r="P84" s="6" t="n">
        <f aca="false">E84</f>
        <v>0</v>
      </c>
      <c r="Q84" s="6" t="n">
        <f aca="false">F84</f>
        <v>1</v>
      </c>
      <c r="R84" s="6" t="n">
        <f aca="false">G84</f>
        <v>0</v>
      </c>
      <c r="S84" s="6" t="n">
        <f aca="false">H84</f>
        <v>0</v>
      </c>
      <c r="T84" s="6" t="n">
        <f aca="false">I84</f>
        <v>0</v>
      </c>
      <c r="U84" s="6" t="n">
        <f aca="false">L84</f>
        <v>0</v>
      </c>
      <c r="W84" s="6" t="n">
        <f aca="false">D84</f>
        <v>4.116666667</v>
      </c>
      <c r="X84" s="6" t="n">
        <f aca="false">E84</f>
        <v>0</v>
      </c>
      <c r="Y84" s="6" t="n">
        <f aca="false">F84</f>
        <v>1</v>
      </c>
      <c r="Z84" s="6" t="n">
        <f aca="false">L84</f>
        <v>0</v>
      </c>
      <c r="AA84" s="6" t="n">
        <f aca="false">G84</f>
        <v>0</v>
      </c>
      <c r="AC84" s="6" t="n">
        <f aca="false">D84</f>
        <v>4.116666667</v>
      </c>
      <c r="AD84" s="6" t="n">
        <f aca="false">E84</f>
        <v>0</v>
      </c>
      <c r="AE84" s="6" t="n">
        <f aca="false">G84</f>
        <v>0</v>
      </c>
      <c r="AF84" s="6" t="n">
        <f aca="false">H84</f>
        <v>0</v>
      </c>
      <c r="AG84" s="6" t="n">
        <f aca="false">I84</f>
        <v>0</v>
      </c>
      <c r="AH84" s="6" t="n">
        <f aca="false">L84</f>
        <v>0</v>
      </c>
    </row>
    <row r="85" customFormat="false" ht="15" hidden="false" customHeight="false" outlineLevel="0" collapsed="false">
      <c r="A85" s="0" t="str">
        <f aca="false">'Raw Data'!C85</f>
        <v>Sarasota</v>
      </c>
      <c r="B85" s="5" t="n">
        <f aca="false">'Raw Data'!A85</f>
        <v>40344</v>
      </c>
      <c r="C85" s="6" t="n">
        <f aca="false">'Raw Data'!D85</f>
        <v>172.051455870678</v>
      </c>
      <c r="D85" s="6" t="n">
        <f aca="false">'Raw Data'!E85</f>
        <v>4.218571429</v>
      </c>
      <c r="E85" s="6" t="n">
        <f aca="false">'Raw Data'!F85</f>
        <v>0</v>
      </c>
      <c r="F85" s="6" t="n">
        <f aca="false">'Raw Data'!G85</f>
        <v>1</v>
      </c>
      <c r="G85" s="6" t="n">
        <f aca="false">'Raw Data'!H85</f>
        <v>0</v>
      </c>
      <c r="H85" s="6" t="n">
        <f aca="false">'Raw Data'!I85</f>
        <v>0</v>
      </c>
      <c r="I85" s="6" t="n">
        <f aca="false">'Raw Data'!J85</f>
        <v>0</v>
      </c>
      <c r="J85" s="6" t="n">
        <f aca="false">'Raw Data'!K85</f>
        <v>1</v>
      </c>
      <c r="K85" s="6" t="n">
        <f aca="false">'Raw Data'!L85</f>
        <v>3</v>
      </c>
      <c r="L85" s="6" t="n">
        <f aca="false">F85*E85</f>
        <v>0</v>
      </c>
      <c r="N85" s="0" t="n">
        <v>1</v>
      </c>
      <c r="O85" s="6" t="n">
        <f aca="false">D85</f>
        <v>4.218571429</v>
      </c>
      <c r="P85" s="6" t="n">
        <f aca="false">E85</f>
        <v>0</v>
      </c>
      <c r="Q85" s="6" t="n">
        <f aca="false">F85</f>
        <v>1</v>
      </c>
      <c r="R85" s="6" t="n">
        <f aca="false">G85</f>
        <v>0</v>
      </c>
      <c r="S85" s="6" t="n">
        <f aca="false">H85</f>
        <v>0</v>
      </c>
      <c r="T85" s="6" t="n">
        <f aca="false">I85</f>
        <v>0</v>
      </c>
      <c r="U85" s="6" t="n">
        <f aca="false">L85</f>
        <v>0</v>
      </c>
      <c r="W85" s="6" t="n">
        <f aca="false">D85</f>
        <v>4.218571429</v>
      </c>
      <c r="X85" s="6" t="n">
        <f aca="false">E85</f>
        <v>0</v>
      </c>
      <c r="Y85" s="6" t="n">
        <f aca="false">F85</f>
        <v>1</v>
      </c>
      <c r="Z85" s="6" t="n">
        <f aca="false">L85</f>
        <v>0</v>
      </c>
      <c r="AA85" s="6" t="n">
        <f aca="false">G85</f>
        <v>0</v>
      </c>
      <c r="AC85" s="6" t="n">
        <f aca="false">D85</f>
        <v>4.218571429</v>
      </c>
      <c r="AD85" s="6" t="n">
        <f aca="false">E85</f>
        <v>0</v>
      </c>
      <c r="AE85" s="6" t="n">
        <f aca="false">G85</f>
        <v>0</v>
      </c>
      <c r="AF85" s="6" t="n">
        <f aca="false">H85</f>
        <v>0</v>
      </c>
      <c r="AG85" s="6" t="n">
        <f aca="false">I85</f>
        <v>0</v>
      </c>
      <c r="AH85" s="6" t="n">
        <f aca="false">L85</f>
        <v>0</v>
      </c>
    </row>
    <row r="86" customFormat="false" ht="15" hidden="false" customHeight="false" outlineLevel="0" collapsed="false">
      <c r="A86" s="0" t="str">
        <f aca="false">'Raw Data'!C86</f>
        <v>Sarasota</v>
      </c>
      <c r="B86" s="5" t="n">
        <f aca="false">'Raw Data'!A86</f>
        <v>40351</v>
      </c>
      <c r="C86" s="6" t="n">
        <f aca="false">'Raw Data'!D86</f>
        <v>189.205876255529</v>
      </c>
      <c r="D86" s="6" t="n">
        <f aca="false">'Raw Data'!E86</f>
        <v>4.597142857</v>
      </c>
      <c r="E86" s="6" t="n">
        <f aca="false">'Raw Data'!F86</f>
        <v>0</v>
      </c>
      <c r="F86" s="6" t="n">
        <f aca="false">'Raw Data'!G86</f>
        <v>1</v>
      </c>
      <c r="G86" s="6" t="n">
        <f aca="false">'Raw Data'!H86</f>
        <v>0</v>
      </c>
      <c r="H86" s="6" t="n">
        <f aca="false">'Raw Data'!I86</f>
        <v>0</v>
      </c>
      <c r="I86" s="6" t="n">
        <f aca="false">'Raw Data'!J86</f>
        <v>0</v>
      </c>
      <c r="J86" s="6" t="n">
        <f aca="false">'Raw Data'!K86</f>
        <v>1</v>
      </c>
      <c r="K86" s="6" t="n">
        <f aca="false">'Raw Data'!L86</f>
        <v>3</v>
      </c>
      <c r="L86" s="6" t="n">
        <f aca="false">F86*E86</f>
        <v>0</v>
      </c>
      <c r="N86" s="0" t="n">
        <v>1</v>
      </c>
      <c r="O86" s="6" t="n">
        <f aca="false">D86</f>
        <v>4.597142857</v>
      </c>
      <c r="P86" s="6" t="n">
        <f aca="false">E86</f>
        <v>0</v>
      </c>
      <c r="Q86" s="6" t="n">
        <f aca="false">F86</f>
        <v>1</v>
      </c>
      <c r="R86" s="6" t="n">
        <f aca="false">G86</f>
        <v>0</v>
      </c>
      <c r="S86" s="6" t="n">
        <f aca="false">H86</f>
        <v>0</v>
      </c>
      <c r="T86" s="6" t="n">
        <f aca="false">I86</f>
        <v>0</v>
      </c>
      <c r="U86" s="6" t="n">
        <f aca="false">L86</f>
        <v>0</v>
      </c>
      <c r="W86" s="6" t="n">
        <f aca="false">D86</f>
        <v>4.597142857</v>
      </c>
      <c r="X86" s="6" t="n">
        <f aca="false">E86</f>
        <v>0</v>
      </c>
      <c r="Y86" s="6" t="n">
        <f aca="false">F86</f>
        <v>1</v>
      </c>
      <c r="Z86" s="6" t="n">
        <f aca="false">L86</f>
        <v>0</v>
      </c>
      <c r="AA86" s="6" t="n">
        <f aca="false">G86</f>
        <v>0</v>
      </c>
      <c r="AC86" s="6" t="n">
        <f aca="false">D86</f>
        <v>4.597142857</v>
      </c>
      <c r="AD86" s="6" t="n">
        <f aca="false">E86</f>
        <v>0</v>
      </c>
      <c r="AE86" s="6" t="n">
        <f aca="false">G86</f>
        <v>0</v>
      </c>
      <c r="AF86" s="6" t="n">
        <f aca="false">H86</f>
        <v>0</v>
      </c>
      <c r="AG86" s="6" t="n">
        <f aca="false">I86</f>
        <v>0</v>
      </c>
      <c r="AH86" s="6" t="n">
        <f aca="false">L86</f>
        <v>0</v>
      </c>
    </row>
    <row r="87" customFormat="false" ht="15" hidden="false" customHeight="false" outlineLevel="0" collapsed="false">
      <c r="A87" s="0" t="str">
        <f aca="false">'Raw Data'!C87</f>
        <v>Sarasota</v>
      </c>
      <c r="B87" s="5" t="n">
        <f aca="false">'Raw Data'!A87</f>
        <v>40358</v>
      </c>
      <c r="C87" s="6" t="n">
        <f aca="false">'Raw Data'!D87</f>
        <v>222.538561164376</v>
      </c>
      <c r="D87" s="6" t="n">
        <f aca="false">'Raw Data'!E87</f>
        <v>4.104285714</v>
      </c>
      <c r="E87" s="6" t="n">
        <f aca="false">'Raw Data'!F87</f>
        <v>0</v>
      </c>
      <c r="F87" s="6" t="n">
        <f aca="false">'Raw Data'!G87</f>
        <v>1</v>
      </c>
      <c r="G87" s="6" t="n">
        <f aca="false">'Raw Data'!H87</f>
        <v>0</v>
      </c>
      <c r="H87" s="6" t="n">
        <f aca="false">'Raw Data'!I87</f>
        <v>0</v>
      </c>
      <c r="I87" s="6" t="n">
        <f aca="false">'Raw Data'!J87</f>
        <v>0</v>
      </c>
      <c r="J87" s="6" t="n">
        <f aca="false">'Raw Data'!K87</f>
        <v>1</v>
      </c>
      <c r="K87" s="6" t="n">
        <f aca="false">'Raw Data'!L87</f>
        <v>3</v>
      </c>
      <c r="L87" s="6" t="n">
        <f aca="false">F87*E87</f>
        <v>0</v>
      </c>
      <c r="N87" s="0" t="n">
        <v>1</v>
      </c>
      <c r="O87" s="6" t="n">
        <f aca="false">D87</f>
        <v>4.104285714</v>
      </c>
      <c r="P87" s="6" t="n">
        <f aca="false">E87</f>
        <v>0</v>
      </c>
      <c r="Q87" s="6" t="n">
        <f aca="false">F87</f>
        <v>1</v>
      </c>
      <c r="R87" s="6" t="n">
        <f aca="false">G87</f>
        <v>0</v>
      </c>
      <c r="S87" s="6" t="n">
        <f aca="false">H87</f>
        <v>0</v>
      </c>
      <c r="T87" s="6" t="n">
        <f aca="false">I87</f>
        <v>0</v>
      </c>
      <c r="U87" s="6" t="n">
        <f aca="false">L87</f>
        <v>0</v>
      </c>
      <c r="W87" s="6" t="n">
        <f aca="false">D87</f>
        <v>4.104285714</v>
      </c>
      <c r="X87" s="6" t="n">
        <f aca="false">E87</f>
        <v>0</v>
      </c>
      <c r="Y87" s="6" t="n">
        <f aca="false">F87</f>
        <v>1</v>
      </c>
      <c r="Z87" s="6" t="n">
        <f aca="false">L87</f>
        <v>0</v>
      </c>
      <c r="AA87" s="6" t="n">
        <f aca="false">G87</f>
        <v>0</v>
      </c>
      <c r="AC87" s="6" t="n">
        <f aca="false">D87</f>
        <v>4.104285714</v>
      </c>
      <c r="AD87" s="6" t="n">
        <f aca="false">E87</f>
        <v>0</v>
      </c>
      <c r="AE87" s="6" t="n">
        <f aca="false">G87</f>
        <v>0</v>
      </c>
      <c r="AF87" s="6" t="n">
        <f aca="false">H87</f>
        <v>0</v>
      </c>
      <c r="AG87" s="6" t="n">
        <f aca="false">I87</f>
        <v>0</v>
      </c>
      <c r="AH87" s="6" t="n">
        <f aca="false">L87</f>
        <v>0</v>
      </c>
    </row>
    <row r="88" customFormat="false" ht="15" hidden="false" customHeight="false" outlineLevel="0" collapsed="false">
      <c r="A88" s="0" t="str">
        <f aca="false">'Raw Data'!C88</f>
        <v>Sarasota</v>
      </c>
      <c r="B88" s="5" t="n">
        <f aca="false">'Raw Data'!A88</f>
        <v>40365</v>
      </c>
      <c r="C88" s="6" t="n">
        <f aca="false">'Raw Data'!D88</f>
        <v>115.901306414071</v>
      </c>
      <c r="D88" s="6" t="n">
        <f aca="false">'Raw Data'!E88</f>
        <v>3.907857143</v>
      </c>
      <c r="E88" s="6" t="n">
        <f aca="false">'Raw Data'!F88</f>
        <v>0</v>
      </c>
      <c r="F88" s="6" t="n">
        <f aca="false">'Raw Data'!G88</f>
        <v>0</v>
      </c>
      <c r="G88" s="6" t="n">
        <f aca="false">'Raw Data'!H88</f>
        <v>0</v>
      </c>
      <c r="H88" s="6" t="n">
        <f aca="false">'Raw Data'!I88</f>
        <v>0</v>
      </c>
      <c r="I88" s="6" t="n">
        <f aca="false">'Raw Data'!J88</f>
        <v>0</v>
      </c>
      <c r="J88" s="6" t="n">
        <f aca="false">'Raw Data'!K88</f>
        <v>1</v>
      </c>
      <c r="K88" s="6" t="n">
        <f aca="false">'Raw Data'!L88</f>
        <v>3</v>
      </c>
      <c r="L88" s="6" t="n">
        <f aca="false">F88*E88</f>
        <v>0</v>
      </c>
      <c r="N88" s="0" t="n">
        <v>1</v>
      </c>
      <c r="O88" s="6" t="n">
        <f aca="false">D88</f>
        <v>3.907857143</v>
      </c>
      <c r="P88" s="6" t="n">
        <f aca="false">E88</f>
        <v>0</v>
      </c>
      <c r="Q88" s="6" t="n">
        <f aca="false">F88</f>
        <v>0</v>
      </c>
      <c r="R88" s="6" t="n">
        <f aca="false">G88</f>
        <v>0</v>
      </c>
      <c r="S88" s="6" t="n">
        <f aca="false">H88</f>
        <v>0</v>
      </c>
      <c r="T88" s="6" t="n">
        <f aca="false">I88</f>
        <v>0</v>
      </c>
      <c r="U88" s="6" t="n">
        <f aca="false">L88</f>
        <v>0</v>
      </c>
      <c r="W88" s="6" t="n">
        <f aca="false">D88</f>
        <v>3.907857143</v>
      </c>
      <c r="X88" s="6" t="n">
        <f aca="false">E88</f>
        <v>0</v>
      </c>
      <c r="Y88" s="6" t="n">
        <f aca="false">F88</f>
        <v>0</v>
      </c>
      <c r="Z88" s="6" t="n">
        <f aca="false">L88</f>
        <v>0</v>
      </c>
      <c r="AA88" s="6" t="n">
        <f aca="false">G88</f>
        <v>0</v>
      </c>
      <c r="AC88" s="6" t="n">
        <f aca="false">D88</f>
        <v>3.907857143</v>
      </c>
      <c r="AD88" s="6" t="n">
        <f aca="false">E88</f>
        <v>0</v>
      </c>
      <c r="AE88" s="6" t="n">
        <f aca="false">G88</f>
        <v>0</v>
      </c>
      <c r="AF88" s="6" t="n">
        <f aca="false">H88</f>
        <v>0</v>
      </c>
      <c r="AG88" s="6" t="n">
        <f aca="false">I88</f>
        <v>0</v>
      </c>
      <c r="AH88" s="6" t="n">
        <f aca="false">L88</f>
        <v>0</v>
      </c>
    </row>
    <row r="89" customFormat="false" ht="15" hidden="false" customHeight="false" outlineLevel="0" collapsed="false">
      <c r="A89" s="0" t="str">
        <f aca="false">'Raw Data'!C89</f>
        <v>Sarasota</v>
      </c>
      <c r="B89" s="5" t="n">
        <f aca="false">'Raw Data'!A89</f>
        <v>40372</v>
      </c>
      <c r="C89" s="6" t="n">
        <f aca="false">'Raw Data'!D89</f>
        <v>177.098966426788</v>
      </c>
      <c r="D89" s="6" t="n">
        <f aca="false">'Raw Data'!E89</f>
        <v>3.994</v>
      </c>
      <c r="E89" s="6" t="n">
        <f aca="false">'Raw Data'!F89</f>
        <v>0</v>
      </c>
      <c r="F89" s="6" t="n">
        <f aca="false">'Raw Data'!G89</f>
        <v>0</v>
      </c>
      <c r="G89" s="6" t="n">
        <f aca="false">'Raw Data'!H89</f>
        <v>0</v>
      </c>
      <c r="H89" s="6" t="n">
        <f aca="false">'Raw Data'!I89</f>
        <v>0</v>
      </c>
      <c r="I89" s="6" t="n">
        <f aca="false">'Raw Data'!J89</f>
        <v>0</v>
      </c>
      <c r="J89" s="6" t="n">
        <f aca="false">'Raw Data'!K89</f>
        <v>1</v>
      </c>
      <c r="K89" s="6" t="n">
        <f aca="false">'Raw Data'!L89</f>
        <v>3</v>
      </c>
      <c r="L89" s="6" t="n">
        <f aca="false">F89*E89</f>
        <v>0</v>
      </c>
      <c r="N89" s="0" t="n">
        <v>1</v>
      </c>
      <c r="O89" s="6" t="n">
        <f aca="false">D89</f>
        <v>3.994</v>
      </c>
      <c r="P89" s="6" t="n">
        <f aca="false">E89</f>
        <v>0</v>
      </c>
      <c r="Q89" s="6" t="n">
        <f aca="false">F89</f>
        <v>0</v>
      </c>
      <c r="R89" s="6" t="n">
        <f aca="false">G89</f>
        <v>0</v>
      </c>
      <c r="S89" s="6" t="n">
        <f aca="false">H89</f>
        <v>0</v>
      </c>
      <c r="T89" s="6" t="n">
        <f aca="false">I89</f>
        <v>0</v>
      </c>
      <c r="U89" s="6" t="n">
        <f aca="false">L89</f>
        <v>0</v>
      </c>
      <c r="W89" s="6" t="n">
        <f aca="false">D89</f>
        <v>3.994</v>
      </c>
      <c r="X89" s="6" t="n">
        <f aca="false">E89</f>
        <v>0</v>
      </c>
      <c r="Y89" s="6" t="n">
        <f aca="false">F89</f>
        <v>0</v>
      </c>
      <c r="Z89" s="6" t="n">
        <f aca="false">L89</f>
        <v>0</v>
      </c>
      <c r="AA89" s="6" t="n">
        <f aca="false">G89</f>
        <v>0</v>
      </c>
      <c r="AC89" s="6" t="n">
        <f aca="false">D89</f>
        <v>3.994</v>
      </c>
      <c r="AD89" s="6" t="n">
        <f aca="false">E89</f>
        <v>0</v>
      </c>
      <c r="AE89" s="6" t="n">
        <f aca="false">G89</f>
        <v>0</v>
      </c>
      <c r="AF89" s="6" t="n">
        <f aca="false">H89</f>
        <v>0</v>
      </c>
      <c r="AG89" s="6" t="n">
        <f aca="false">I89</f>
        <v>0</v>
      </c>
      <c r="AH89" s="6" t="n">
        <f aca="false">L89</f>
        <v>0</v>
      </c>
    </row>
    <row r="90" customFormat="false" ht="15" hidden="false" customHeight="false" outlineLevel="0" collapsed="false">
      <c r="A90" s="0" t="str">
        <f aca="false">'Raw Data'!C90</f>
        <v>Annapolis</v>
      </c>
      <c r="B90" s="5" t="n">
        <f aca="false">'Raw Data'!A90</f>
        <v>40302</v>
      </c>
      <c r="C90" s="6" t="n">
        <f aca="false">'Raw Data'!D90</f>
        <v>155.872950426082</v>
      </c>
      <c r="D90" s="6" t="n">
        <f aca="false">'Raw Data'!E90</f>
        <v>3.904285714</v>
      </c>
      <c r="E90" s="6" t="n">
        <f aca="false">'Raw Data'!F90</f>
        <v>0</v>
      </c>
      <c r="F90" s="6" t="n">
        <f aca="false">'Raw Data'!G90</f>
        <v>0</v>
      </c>
      <c r="G90" s="6" t="n">
        <f aca="false">'Raw Data'!H90</f>
        <v>0</v>
      </c>
      <c r="H90" s="6" t="n">
        <f aca="false">'Raw Data'!I90</f>
        <v>0</v>
      </c>
      <c r="I90" s="6" t="n">
        <f aca="false">'Raw Data'!J90</f>
        <v>0</v>
      </c>
      <c r="J90" s="6" t="n">
        <f aca="false">'Raw Data'!K90</f>
        <v>1</v>
      </c>
      <c r="K90" s="6" t="n">
        <f aca="false">'Raw Data'!L90</f>
        <v>1</v>
      </c>
      <c r="L90" s="6" t="n">
        <f aca="false">F90*E90</f>
        <v>0</v>
      </c>
      <c r="N90" s="0" t="n">
        <v>1</v>
      </c>
      <c r="O90" s="6" t="n">
        <f aca="false">D90</f>
        <v>3.904285714</v>
      </c>
      <c r="P90" s="6" t="n">
        <f aca="false">E90</f>
        <v>0</v>
      </c>
      <c r="Q90" s="6" t="n">
        <f aca="false">F90</f>
        <v>0</v>
      </c>
      <c r="R90" s="6" t="n">
        <f aca="false">G90</f>
        <v>0</v>
      </c>
      <c r="S90" s="6" t="n">
        <f aca="false">H90</f>
        <v>0</v>
      </c>
      <c r="T90" s="6" t="n">
        <f aca="false">I90</f>
        <v>0</v>
      </c>
      <c r="U90" s="6" t="n">
        <f aca="false">L90</f>
        <v>0</v>
      </c>
      <c r="W90" s="6" t="n">
        <f aca="false">D90</f>
        <v>3.904285714</v>
      </c>
      <c r="X90" s="6" t="n">
        <f aca="false">E90</f>
        <v>0</v>
      </c>
      <c r="Y90" s="6" t="n">
        <f aca="false">F90</f>
        <v>0</v>
      </c>
      <c r="Z90" s="6" t="n">
        <f aca="false">L90</f>
        <v>0</v>
      </c>
      <c r="AA90" s="6" t="n">
        <f aca="false">G90</f>
        <v>0</v>
      </c>
      <c r="AC90" s="6" t="n">
        <f aca="false">D90</f>
        <v>3.904285714</v>
      </c>
      <c r="AD90" s="6" t="n">
        <f aca="false">E90</f>
        <v>0</v>
      </c>
      <c r="AE90" s="6" t="n">
        <f aca="false">G90</f>
        <v>0</v>
      </c>
      <c r="AF90" s="6" t="n">
        <f aca="false">H90</f>
        <v>0</v>
      </c>
      <c r="AG90" s="6" t="n">
        <f aca="false">I90</f>
        <v>0</v>
      </c>
      <c r="AH90" s="6" t="n">
        <f aca="false">L90</f>
        <v>0</v>
      </c>
    </row>
    <row r="91" customFormat="false" ht="15" hidden="false" customHeight="false" outlineLevel="0" collapsed="false">
      <c r="A91" s="0" t="str">
        <f aca="false">'Raw Data'!C91</f>
        <v>Annapolis</v>
      </c>
      <c r="B91" s="5" t="n">
        <f aca="false">'Raw Data'!A91</f>
        <v>40309</v>
      </c>
      <c r="C91" s="6" t="n">
        <f aca="false">'Raw Data'!D91</f>
        <v>193.510218030075</v>
      </c>
      <c r="D91" s="6" t="n">
        <f aca="false">'Raw Data'!E91</f>
        <v>3.54</v>
      </c>
      <c r="E91" s="6" t="n">
        <f aca="false">'Raw Data'!F91</f>
        <v>0</v>
      </c>
      <c r="F91" s="6" t="n">
        <f aca="false">'Raw Data'!G91</f>
        <v>0</v>
      </c>
      <c r="G91" s="6" t="n">
        <f aca="false">'Raw Data'!H91</f>
        <v>0</v>
      </c>
      <c r="H91" s="6" t="n">
        <f aca="false">'Raw Data'!I91</f>
        <v>0</v>
      </c>
      <c r="I91" s="6" t="n">
        <f aca="false">'Raw Data'!J91</f>
        <v>0</v>
      </c>
      <c r="J91" s="6" t="n">
        <f aca="false">'Raw Data'!K91</f>
        <v>1</v>
      </c>
      <c r="K91" s="6" t="n">
        <f aca="false">'Raw Data'!L91</f>
        <v>1</v>
      </c>
      <c r="L91" s="6" t="n">
        <f aca="false">F91*E91</f>
        <v>0</v>
      </c>
      <c r="N91" s="0" t="n">
        <v>1</v>
      </c>
      <c r="O91" s="6" t="n">
        <f aca="false">D91</f>
        <v>3.54</v>
      </c>
      <c r="P91" s="6" t="n">
        <f aca="false">E91</f>
        <v>0</v>
      </c>
      <c r="Q91" s="6" t="n">
        <f aca="false">F91</f>
        <v>0</v>
      </c>
      <c r="R91" s="6" t="n">
        <f aca="false">G91</f>
        <v>0</v>
      </c>
      <c r="S91" s="6" t="n">
        <f aca="false">H91</f>
        <v>0</v>
      </c>
      <c r="T91" s="6" t="n">
        <f aca="false">I91</f>
        <v>0</v>
      </c>
      <c r="U91" s="6" t="n">
        <f aca="false">L91</f>
        <v>0</v>
      </c>
      <c r="W91" s="6" t="n">
        <f aca="false">D91</f>
        <v>3.54</v>
      </c>
      <c r="X91" s="6" t="n">
        <f aca="false">E91</f>
        <v>0</v>
      </c>
      <c r="Y91" s="6" t="n">
        <f aca="false">F91</f>
        <v>0</v>
      </c>
      <c r="Z91" s="6" t="n">
        <f aca="false">L91</f>
        <v>0</v>
      </c>
      <c r="AA91" s="6" t="n">
        <f aca="false">G91</f>
        <v>0</v>
      </c>
      <c r="AC91" s="6" t="n">
        <f aca="false">D91</f>
        <v>3.54</v>
      </c>
      <c r="AD91" s="6" t="n">
        <f aca="false">E91</f>
        <v>0</v>
      </c>
      <c r="AE91" s="6" t="n">
        <f aca="false">G91</f>
        <v>0</v>
      </c>
      <c r="AF91" s="6" t="n">
        <f aca="false">H91</f>
        <v>0</v>
      </c>
      <c r="AG91" s="6" t="n">
        <f aca="false">I91</f>
        <v>0</v>
      </c>
      <c r="AH91" s="6" t="n">
        <f aca="false">L91</f>
        <v>0</v>
      </c>
    </row>
    <row r="92" customFormat="false" ht="15" hidden="false" customHeight="false" outlineLevel="0" collapsed="false">
      <c r="A92" s="0" t="str">
        <f aca="false">'Raw Data'!C92</f>
        <v>Annapolis</v>
      </c>
      <c r="B92" s="5" t="n">
        <f aca="false">'Raw Data'!A92</f>
        <v>40316</v>
      </c>
      <c r="C92" s="6" t="n">
        <f aca="false">'Raw Data'!D92</f>
        <v>309.494670782664</v>
      </c>
      <c r="D92" s="6" t="n">
        <f aca="false">'Raw Data'!E92</f>
        <v>3.480909091</v>
      </c>
      <c r="E92" s="6" t="n">
        <f aca="false">'Raw Data'!F92</f>
        <v>0</v>
      </c>
      <c r="F92" s="6" t="n">
        <f aca="false">'Raw Data'!G92</f>
        <v>0</v>
      </c>
      <c r="G92" s="6" t="n">
        <f aca="false">'Raw Data'!H92</f>
        <v>0</v>
      </c>
      <c r="H92" s="6" t="n">
        <f aca="false">'Raw Data'!I92</f>
        <v>0</v>
      </c>
      <c r="I92" s="6" t="n">
        <f aca="false">'Raw Data'!J92</f>
        <v>0</v>
      </c>
      <c r="J92" s="6" t="n">
        <f aca="false">'Raw Data'!K92</f>
        <v>1</v>
      </c>
      <c r="K92" s="6" t="n">
        <f aca="false">'Raw Data'!L92</f>
        <v>1</v>
      </c>
      <c r="L92" s="6" t="n">
        <f aca="false">F92*E92</f>
        <v>0</v>
      </c>
      <c r="N92" s="0" t="n">
        <v>1</v>
      </c>
      <c r="O92" s="6" t="n">
        <f aca="false">D92</f>
        <v>3.480909091</v>
      </c>
      <c r="P92" s="6" t="n">
        <f aca="false">E92</f>
        <v>0</v>
      </c>
      <c r="Q92" s="6" t="n">
        <f aca="false">F92</f>
        <v>0</v>
      </c>
      <c r="R92" s="6" t="n">
        <f aca="false">G92</f>
        <v>0</v>
      </c>
      <c r="S92" s="6" t="n">
        <f aca="false">H92</f>
        <v>0</v>
      </c>
      <c r="T92" s="6" t="n">
        <f aca="false">I92</f>
        <v>0</v>
      </c>
      <c r="U92" s="6" t="n">
        <f aca="false">L92</f>
        <v>0</v>
      </c>
      <c r="W92" s="6" t="n">
        <f aca="false">D92</f>
        <v>3.480909091</v>
      </c>
      <c r="X92" s="6" t="n">
        <f aca="false">E92</f>
        <v>0</v>
      </c>
      <c r="Y92" s="6" t="n">
        <f aca="false">F92</f>
        <v>0</v>
      </c>
      <c r="Z92" s="6" t="n">
        <f aca="false">L92</f>
        <v>0</v>
      </c>
      <c r="AA92" s="6" t="n">
        <f aca="false">G92</f>
        <v>0</v>
      </c>
      <c r="AC92" s="6" t="n">
        <f aca="false">D92</f>
        <v>3.480909091</v>
      </c>
      <c r="AD92" s="6" t="n">
        <f aca="false">E92</f>
        <v>0</v>
      </c>
      <c r="AE92" s="6" t="n">
        <f aca="false">G92</f>
        <v>0</v>
      </c>
      <c r="AF92" s="6" t="n">
        <f aca="false">H92</f>
        <v>0</v>
      </c>
      <c r="AG92" s="6" t="n">
        <f aca="false">I92</f>
        <v>0</v>
      </c>
      <c r="AH92" s="6" t="n">
        <f aca="false">L92</f>
        <v>0</v>
      </c>
    </row>
    <row r="93" customFormat="false" ht="15" hidden="false" customHeight="false" outlineLevel="0" collapsed="false">
      <c r="A93" s="0" t="str">
        <f aca="false">'Raw Data'!C93</f>
        <v>Annapolis</v>
      </c>
      <c r="B93" s="5" t="n">
        <f aca="false">'Raw Data'!A93</f>
        <v>40323</v>
      </c>
      <c r="C93" s="6" t="n">
        <f aca="false">'Raw Data'!D93</f>
        <v>254.928852946528</v>
      </c>
      <c r="D93" s="6" t="n">
        <f aca="false">'Raw Data'!E93</f>
        <v>3.598333333</v>
      </c>
      <c r="E93" s="6" t="n">
        <f aca="false">'Raw Data'!F93</f>
        <v>0</v>
      </c>
      <c r="F93" s="6" t="n">
        <f aca="false">'Raw Data'!G93</f>
        <v>0</v>
      </c>
      <c r="G93" s="6" t="n">
        <f aca="false">'Raw Data'!H93</f>
        <v>0</v>
      </c>
      <c r="H93" s="6" t="n">
        <f aca="false">'Raw Data'!I93</f>
        <v>0</v>
      </c>
      <c r="I93" s="6" t="n">
        <f aca="false">'Raw Data'!J93</f>
        <v>0</v>
      </c>
      <c r="J93" s="6" t="n">
        <f aca="false">'Raw Data'!K93</f>
        <v>1</v>
      </c>
      <c r="K93" s="6" t="n">
        <f aca="false">'Raw Data'!L93</f>
        <v>1</v>
      </c>
      <c r="L93" s="6" t="n">
        <f aca="false">F93*E93</f>
        <v>0</v>
      </c>
      <c r="N93" s="0" t="n">
        <v>1</v>
      </c>
      <c r="O93" s="6" t="n">
        <f aca="false">D93</f>
        <v>3.598333333</v>
      </c>
      <c r="P93" s="6" t="n">
        <f aca="false">E93</f>
        <v>0</v>
      </c>
      <c r="Q93" s="6" t="n">
        <f aca="false">F93</f>
        <v>0</v>
      </c>
      <c r="R93" s="6" t="n">
        <f aca="false">G93</f>
        <v>0</v>
      </c>
      <c r="S93" s="6" t="n">
        <f aca="false">H93</f>
        <v>0</v>
      </c>
      <c r="T93" s="6" t="n">
        <f aca="false">I93</f>
        <v>0</v>
      </c>
      <c r="U93" s="6" t="n">
        <f aca="false">L93</f>
        <v>0</v>
      </c>
      <c r="W93" s="6" t="n">
        <f aca="false">D93</f>
        <v>3.598333333</v>
      </c>
      <c r="X93" s="6" t="n">
        <f aca="false">E93</f>
        <v>0</v>
      </c>
      <c r="Y93" s="6" t="n">
        <f aca="false">F93</f>
        <v>0</v>
      </c>
      <c r="Z93" s="6" t="n">
        <f aca="false">L93</f>
        <v>0</v>
      </c>
      <c r="AA93" s="6" t="n">
        <f aca="false">G93</f>
        <v>0</v>
      </c>
      <c r="AC93" s="6" t="n">
        <f aca="false">D93</f>
        <v>3.598333333</v>
      </c>
      <c r="AD93" s="6" t="n">
        <f aca="false">E93</f>
        <v>0</v>
      </c>
      <c r="AE93" s="6" t="n">
        <f aca="false">G93</f>
        <v>0</v>
      </c>
      <c r="AF93" s="6" t="n">
        <f aca="false">H93</f>
        <v>0</v>
      </c>
      <c r="AG93" s="6" t="n">
        <f aca="false">I93</f>
        <v>0</v>
      </c>
      <c r="AH93" s="6" t="n">
        <f aca="false">L93</f>
        <v>0</v>
      </c>
    </row>
    <row r="94" customFormat="false" ht="15" hidden="false" customHeight="false" outlineLevel="0" collapsed="false">
      <c r="A94" s="0" t="str">
        <f aca="false">'Raw Data'!C94</f>
        <v>Annapolis</v>
      </c>
      <c r="B94" s="5" t="n">
        <f aca="false">'Raw Data'!A94</f>
        <v>40330</v>
      </c>
      <c r="C94" s="6" t="n">
        <f aca="false">'Raw Data'!D94</f>
        <v>195.308398721099</v>
      </c>
      <c r="D94" s="6" t="n">
        <f aca="false">'Raw Data'!E94</f>
        <v>3.480909091</v>
      </c>
      <c r="E94" s="6" t="n">
        <f aca="false">'Raw Data'!F94</f>
        <v>0</v>
      </c>
      <c r="F94" s="6" t="n">
        <f aca="false">'Raw Data'!G94</f>
        <v>0</v>
      </c>
      <c r="G94" s="6" t="n">
        <f aca="false">'Raw Data'!H94</f>
        <v>0</v>
      </c>
      <c r="H94" s="6" t="n">
        <f aca="false">'Raw Data'!I94</f>
        <v>0</v>
      </c>
      <c r="I94" s="6" t="n">
        <f aca="false">'Raw Data'!J94</f>
        <v>0</v>
      </c>
      <c r="J94" s="6" t="n">
        <f aca="false">'Raw Data'!K94</f>
        <v>1</v>
      </c>
      <c r="K94" s="6" t="n">
        <f aca="false">'Raw Data'!L94</f>
        <v>1</v>
      </c>
      <c r="L94" s="6" t="n">
        <f aca="false">F94*E94</f>
        <v>0</v>
      </c>
      <c r="N94" s="0" t="n">
        <v>1</v>
      </c>
      <c r="O94" s="6" t="n">
        <f aca="false">D94</f>
        <v>3.480909091</v>
      </c>
      <c r="P94" s="6" t="n">
        <f aca="false">E94</f>
        <v>0</v>
      </c>
      <c r="Q94" s="6" t="n">
        <f aca="false">F94</f>
        <v>0</v>
      </c>
      <c r="R94" s="6" t="n">
        <f aca="false">G94</f>
        <v>0</v>
      </c>
      <c r="S94" s="6" t="n">
        <f aca="false">H94</f>
        <v>0</v>
      </c>
      <c r="T94" s="6" t="n">
        <f aca="false">I94</f>
        <v>0</v>
      </c>
      <c r="U94" s="6" t="n">
        <f aca="false">L94</f>
        <v>0</v>
      </c>
      <c r="W94" s="6" t="n">
        <f aca="false">D94</f>
        <v>3.480909091</v>
      </c>
      <c r="X94" s="6" t="n">
        <f aca="false">E94</f>
        <v>0</v>
      </c>
      <c r="Y94" s="6" t="n">
        <f aca="false">F94</f>
        <v>0</v>
      </c>
      <c r="Z94" s="6" t="n">
        <f aca="false">L94</f>
        <v>0</v>
      </c>
      <c r="AA94" s="6" t="n">
        <f aca="false">G94</f>
        <v>0</v>
      </c>
      <c r="AC94" s="6" t="n">
        <f aca="false">D94</f>
        <v>3.480909091</v>
      </c>
      <c r="AD94" s="6" t="n">
        <f aca="false">E94</f>
        <v>0</v>
      </c>
      <c r="AE94" s="6" t="n">
        <f aca="false">G94</f>
        <v>0</v>
      </c>
      <c r="AF94" s="6" t="n">
        <f aca="false">H94</f>
        <v>0</v>
      </c>
      <c r="AG94" s="6" t="n">
        <f aca="false">I94</f>
        <v>0</v>
      </c>
      <c r="AH94" s="6" t="n">
        <f aca="false">L94</f>
        <v>0</v>
      </c>
    </row>
    <row r="95" customFormat="false" ht="15" hidden="false" customHeight="false" outlineLevel="0" collapsed="false">
      <c r="A95" s="0" t="str">
        <f aca="false">'Raw Data'!C95</f>
        <v>Annapolis</v>
      </c>
      <c r="B95" s="5" t="n">
        <f aca="false">'Raw Data'!A95</f>
        <v>40337</v>
      </c>
      <c r="C95" s="6" t="n">
        <f aca="false">'Raw Data'!D95</f>
        <v>267.938742643342</v>
      </c>
      <c r="D95" s="6" t="n">
        <f aca="false">'Raw Data'!E95</f>
        <v>4.056666667</v>
      </c>
      <c r="E95" s="6" t="n">
        <f aca="false">'Raw Data'!F95</f>
        <v>0</v>
      </c>
      <c r="F95" s="6" t="n">
        <f aca="false">'Raw Data'!G95</f>
        <v>0</v>
      </c>
      <c r="G95" s="6" t="n">
        <f aca="false">'Raw Data'!H95</f>
        <v>1</v>
      </c>
      <c r="H95" s="6" t="n">
        <f aca="false">'Raw Data'!I95</f>
        <v>0</v>
      </c>
      <c r="I95" s="6" t="n">
        <f aca="false">'Raw Data'!J95</f>
        <v>0</v>
      </c>
      <c r="J95" s="6" t="n">
        <f aca="false">'Raw Data'!K95</f>
        <v>1</v>
      </c>
      <c r="K95" s="6" t="n">
        <f aca="false">'Raw Data'!L95</f>
        <v>1</v>
      </c>
      <c r="L95" s="6" t="n">
        <f aca="false">F95*E95</f>
        <v>0</v>
      </c>
      <c r="N95" s="0" t="n">
        <v>1</v>
      </c>
      <c r="O95" s="6" t="n">
        <f aca="false">D95</f>
        <v>4.056666667</v>
      </c>
      <c r="P95" s="6" t="n">
        <f aca="false">E95</f>
        <v>0</v>
      </c>
      <c r="Q95" s="6" t="n">
        <f aca="false">F95</f>
        <v>0</v>
      </c>
      <c r="R95" s="6" t="n">
        <f aca="false">G95</f>
        <v>1</v>
      </c>
      <c r="S95" s="6" t="n">
        <f aca="false">H95</f>
        <v>0</v>
      </c>
      <c r="T95" s="6" t="n">
        <f aca="false">I95</f>
        <v>0</v>
      </c>
      <c r="U95" s="6" t="n">
        <f aca="false">L95</f>
        <v>0</v>
      </c>
      <c r="W95" s="6" t="n">
        <f aca="false">D95</f>
        <v>4.056666667</v>
      </c>
      <c r="X95" s="6" t="n">
        <f aca="false">E95</f>
        <v>0</v>
      </c>
      <c r="Y95" s="6" t="n">
        <f aca="false">F95</f>
        <v>0</v>
      </c>
      <c r="Z95" s="6" t="n">
        <f aca="false">L95</f>
        <v>0</v>
      </c>
      <c r="AA95" s="6" t="n">
        <f aca="false">G95</f>
        <v>1</v>
      </c>
      <c r="AC95" s="6" t="n">
        <f aca="false">D95</f>
        <v>4.056666667</v>
      </c>
      <c r="AD95" s="6" t="n">
        <f aca="false">E95</f>
        <v>0</v>
      </c>
      <c r="AE95" s="6" t="n">
        <f aca="false">G95</f>
        <v>1</v>
      </c>
      <c r="AF95" s="6" t="n">
        <f aca="false">H95</f>
        <v>0</v>
      </c>
      <c r="AG95" s="6" t="n">
        <f aca="false">I95</f>
        <v>0</v>
      </c>
      <c r="AH95" s="6" t="n">
        <f aca="false">L95</f>
        <v>0</v>
      </c>
    </row>
    <row r="96" customFormat="false" ht="15" hidden="false" customHeight="false" outlineLevel="0" collapsed="false">
      <c r="A96" s="0" t="str">
        <f aca="false">'Raw Data'!C96</f>
        <v>Annapolis</v>
      </c>
      <c r="B96" s="5" t="n">
        <f aca="false">'Raw Data'!A96</f>
        <v>40344</v>
      </c>
      <c r="C96" s="6" t="n">
        <f aca="false">'Raw Data'!D96</f>
        <v>247.130096322745</v>
      </c>
      <c r="D96" s="6" t="n">
        <f aca="false">'Raw Data'!E96</f>
        <v>4.056666667</v>
      </c>
      <c r="E96" s="6" t="n">
        <f aca="false">'Raw Data'!F96</f>
        <v>0</v>
      </c>
      <c r="F96" s="6" t="n">
        <f aca="false">'Raw Data'!G96</f>
        <v>0</v>
      </c>
      <c r="G96" s="6" t="n">
        <f aca="false">'Raw Data'!H96</f>
        <v>0</v>
      </c>
      <c r="H96" s="6" t="n">
        <f aca="false">'Raw Data'!I96</f>
        <v>1</v>
      </c>
      <c r="I96" s="6" t="n">
        <f aca="false">'Raw Data'!J96</f>
        <v>0</v>
      </c>
      <c r="J96" s="6" t="n">
        <f aca="false">'Raw Data'!K96</f>
        <v>1</v>
      </c>
      <c r="K96" s="6" t="n">
        <f aca="false">'Raw Data'!L96</f>
        <v>1</v>
      </c>
      <c r="L96" s="6" t="n">
        <f aca="false">F96*E96</f>
        <v>0</v>
      </c>
      <c r="N96" s="0" t="n">
        <v>1</v>
      </c>
      <c r="O96" s="6" t="n">
        <f aca="false">D96</f>
        <v>4.056666667</v>
      </c>
      <c r="P96" s="6" t="n">
        <f aca="false">E96</f>
        <v>0</v>
      </c>
      <c r="Q96" s="6" t="n">
        <f aca="false">F96</f>
        <v>0</v>
      </c>
      <c r="R96" s="6" t="n">
        <f aca="false">G96</f>
        <v>0</v>
      </c>
      <c r="S96" s="6" t="n">
        <f aca="false">H96</f>
        <v>1</v>
      </c>
      <c r="T96" s="6" t="n">
        <f aca="false">I96</f>
        <v>0</v>
      </c>
      <c r="U96" s="6" t="n">
        <f aca="false">L96</f>
        <v>0</v>
      </c>
      <c r="W96" s="6" t="n">
        <f aca="false">D96</f>
        <v>4.056666667</v>
      </c>
      <c r="X96" s="6" t="n">
        <f aca="false">E96</f>
        <v>0</v>
      </c>
      <c r="Y96" s="6" t="n">
        <f aca="false">F96</f>
        <v>0</v>
      </c>
      <c r="Z96" s="6" t="n">
        <f aca="false">L96</f>
        <v>0</v>
      </c>
      <c r="AA96" s="6" t="n">
        <f aca="false">G96</f>
        <v>0</v>
      </c>
      <c r="AC96" s="6" t="n">
        <f aca="false">D96</f>
        <v>4.056666667</v>
      </c>
      <c r="AD96" s="6" t="n">
        <f aca="false">E96</f>
        <v>0</v>
      </c>
      <c r="AE96" s="6" t="n">
        <f aca="false">G96</f>
        <v>0</v>
      </c>
      <c r="AF96" s="6" t="n">
        <f aca="false">H96</f>
        <v>1</v>
      </c>
      <c r="AG96" s="6" t="n">
        <f aca="false">I96</f>
        <v>0</v>
      </c>
      <c r="AH96" s="6" t="n">
        <f aca="false">L96</f>
        <v>0</v>
      </c>
    </row>
    <row r="97" customFormat="false" ht="15" hidden="false" customHeight="false" outlineLevel="0" collapsed="false">
      <c r="A97" s="0" t="str">
        <f aca="false">'Raw Data'!C97</f>
        <v>Annapolis</v>
      </c>
      <c r="B97" s="5" t="n">
        <f aca="false">'Raw Data'!A97</f>
        <v>40351</v>
      </c>
      <c r="C97" s="6" t="n">
        <f aca="false">'Raw Data'!D97</f>
        <v>299.341685006317</v>
      </c>
      <c r="D97" s="6" t="n">
        <f aca="false">'Raw Data'!E97</f>
        <v>3.714545455</v>
      </c>
      <c r="E97" s="6" t="n">
        <f aca="false">'Raw Data'!F97</f>
        <v>0</v>
      </c>
      <c r="F97" s="6" t="n">
        <f aca="false">'Raw Data'!G97</f>
        <v>0</v>
      </c>
      <c r="G97" s="6" t="n">
        <f aca="false">'Raw Data'!H97</f>
        <v>0</v>
      </c>
      <c r="H97" s="6" t="n">
        <f aca="false">'Raw Data'!I97</f>
        <v>1</v>
      </c>
      <c r="I97" s="6" t="n">
        <f aca="false">'Raw Data'!J97</f>
        <v>0</v>
      </c>
      <c r="J97" s="6" t="n">
        <f aca="false">'Raw Data'!K97</f>
        <v>1</v>
      </c>
      <c r="K97" s="6" t="n">
        <f aca="false">'Raw Data'!L97</f>
        <v>1</v>
      </c>
      <c r="L97" s="6" t="n">
        <f aca="false">F97*E97</f>
        <v>0</v>
      </c>
      <c r="N97" s="0" t="n">
        <v>1</v>
      </c>
      <c r="O97" s="6" t="n">
        <f aca="false">D97</f>
        <v>3.714545455</v>
      </c>
      <c r="P97" s="6" t="n">
        <f aca="false">E97</f>
        <v>0</v>
      </c>
      <c r="Q97" s="6" t="n">
        <f aca="false">F97</f>
        <v>0</v>
      </c>
      <c r="R97" s="6" t="n">
        <f aca="false">G97</f>
        <v>0</v>
      </c>
      <c r="S97" s="6" t="n">
        <f aca="false">H97</f>
        <v>1</v>
      </c>
      <c r="T97" s="6" t="n">
        <f aca="false">I97</f>
        <v>0</v>
      </c>
      <c r="U97" s="6" t="n">
        <f aca="false">L97</f>
        <v>0</v>
      </c>
      <c r="W97" s="6" t="n">
        <f aca="false">D97</f>
        <v>3.714545455</v>
      </c>
      <c r="X97" s="6" t="n">
        <f aca="false">E97</f>
        <v>0</v>
      </c>
      <c r="Y97" s="6" t="n">
        <f aca="false">F97</f>
        <v>0</v>
      </c>
      <c r="Z97" s="6" t="n">
        <f aca="false">L97</f>
        <v>0</v>
      </c>
      <c r="AA97" s="6" t="n">
        <f aca="false">G97</f>
        <v>0</v>
      </c>
      <c r="AC97" s="6" t="n">
        <f aca="false">D97</f>
        <v>3.714545455</v>
      </c>
      <c r="AD97" s="6" t="n">
        <f aca="false">E97</f>
        <v>0</v>
      </c>
      <c r="AE97" s="6" t="n">
        <f aca="false">G97</f>
        <v>0</v>
      </c>
      <c r="AF97" s="6" t="n">
        <f aca="false">H97</f>
        <v>1</v>
      </c>
      <c r="AG97" s="6" t="n">
        <f aca="false">I97</f>
        <v>0</v>
      </c>
      <c r="AH97" s="6" t="n">
        <f aca="false">L97</f>
        <v>0</v>
      </c>
    </row>
    <row r="98" customFormat="false" ht="15" hidden="false" customHeight="false" outlineLevel="0" collapsed="false">
      <c r="A98" s="0" t="str">
        <f aca="false">'Raw Data'!C98</f>
        <v>Annapolis</v>
      </c>
      <c r="B98" s="5" t="n">
        <f aca="false">'Raw Data'!A98</f>
        <v>40358</v>
      </c>
      <c r="C98" s="6" t="n">
        <f aca="false">'Raw Data'!D98</f>
        <v>265.72152913235</v>
      </c>
      <c r="D98" s="6" t="n">
        <f aca="false">'Raw Data'!E98</f>
        <v>4.04</v>
      </c>
      <c r="E98" s="6" t="n">
        <f aca="false">'Raw Data'!F98</f>
        <v>0</v>
      </c>
      <c r="F98" s="6" t="n">
        <f aca="false">'Raw Data'!G98</f>
        <v>0</v>
      </c>
      <c r="G98" s="6" t="n">
        <f aca="false">'Raw Data'!H98</f>
        <v>0</v>
      </c>
      <c r="H98" s="6" t="n">
        <f aca="false">'Raw Data'!I98</f>
        <v>1</v>
      </c>
      <c r="I98" s="6" t="n">
        <f aca="false">'Raw Data'!J98</f>
        <v>0</v>
      </c>
      <c r="J98" s="6" t="n">
        <f aca="false">'Raw Data'!K98</f>
        <v>1</v>
      </c>
      <c r="K98" s="6" t="n">
        <f aca="false">'Raw Data'!L98</f>
        <v>1</v>
      </c>
      <c r="L98" s="6" t="n">
        <f aca="false">F98*E98</f>
        <v>0</v>
      </c>
      <c r="N98" s="0" t="n">
        <v>1</v>
      </c>
      <c r="O98" s="6" t="n">
        <f aca="false">D98</f>
        <v>4.04</v>
      </c>
      <c r="P98" s="6" t="n">
        <f aca="false">E98</f>
        <v>0</v>
      </c>
      <c r="Q98" s="6" t="n">
        <f aca="false">F98</f>
        <v>0</v>
      </c>
      <c r="R98" s="6" t="n">
        <f aca="false">G98</f>
        <v>0</v>
      </c>
      <c r="S98" s="6" t="n">
        <f aca="false">H98</f>
        <v>1</v>
      </c>
      <c r="T98" s="6" t="n">
        <f aca="false">I98</f>
        <v>0</v>
      </c>
      <c r="U98" s="6" t="n">
        <f aca="false">L98</f>
        <v>0</v>
      </c>
      <c r="W98" s="6" t="n">
        <f aca="false">D98</f>
        <v>4.04</v>
      </c>
      <c r="X98" s="6" t="n">
        <f aca="false">E98</f>
        <v>0</v>
      </c>
      <c r="Y98" s="6" t="n">
        <f aca="false">F98</f>
        <v>0</v>
      </c>
      <c r="Z98" s="6" t="n">
        <f aca="false">L98</f>
        <v>0</v>
      </c>
      <c r="AA98" s="6" t="n">
        <f aca="false">G98</f>
        <v>0</v>
      </c>
      <c r="AC98" s="6" t="n">
        <f aca="false">D98</f>
        <v>4.04</v>
      </c>
      <c r="AD98" s="6" t="n">
        <f aca="false">E98</f>
        <v>0</v>
      </c>
      <c r="AE98" s="6" t="n">
        <f aca="false">G98</f>
        <v>0</v>
      </c>
      <c r="AF98" s="6" t="n">
        <f aca="false">H98</f>
        <v>1</v>
      </c>
      <c r="AG98" s="6" t="n">
        <f aca="false">I98</f>
        <v>0</v>
      </c>
      <c r="AH98" s="6" t="n">
        <f aca="false">L98</f>
        <v>0</v>
      </c>
    </row>
    <row r="99" customFormat="false" ht="15" hidden="false" customHeight="false" outlineLevel="0" collapsed="false">
      <c r="A99" s="0" t="str">
        <f aca="false">'Raw Data'!C99</f>
        <v>Annapolis</v>
      </c>
      <c r="B99" s="5" t="n">
        <f aca="false">'Raw Data'!A99</f>
        <v>40365</v>
      </c>
      <c r="C99" s="6" t="n">
        <f aca="false">'Raw Data'!D99</f>
        <v>259.042779459633</v>
      </c>
      <c r="D99" s="6" t="n">
        <f aca="false">'Raw Data'!E99</f>
        <v>3.711666667</v>
      </c>
      <c r="E99" s="6" t="n">
        <f aca="false">'Raw Data'!F99</f>
        <v>0</v>
      </c>
      <c r="F99" s="6" t="n">
        <f aca="false">'Raw Data'!G99</f>
        <v>0</v>
      </c>
      <c r="G99" s="6" t="n">
        <f aca="false">'Raw Data'!H99</f>
        <v>0</v>
      </c>
      <c r="H99" s="6" t="n">
        <f aca="false">'Raw Data'!I99</f>
        <v>0</v>
      </c>
      <c r="I99" s="6" t="n">
        <f aca="false">'Raw Data'!J99</f>
        <v>1</v>
      </c>
      <c r="J99" s="6" t="n">
        <f aca="false">'Raw Data'!K99</f>
        <v>1</v>
      </c>
      <c r="K99" s="6" t="n">
        <f aca="false">'Raw Data'!L99</f>
        <v>1</v>
      </c>
      <c r="L99" s="6" t="n">
        <f aca="false">F99*E99</f>
        <v>0</v>
      </c>
      <c r="N99" s="0" t="n">
        <v>1</v>
      </c>
      <c r="O99" s="6" t="n">
        <f aca="false">D99</f>
        <v>3.711666667</v>
      </c>
      <c r="P99" s="6" t="n">
        <f aca="false">E99</f>
        <v>0</v>
      </c>
      <c r="Q99" s="6" t="n">
        <f aca="false">F99</f>
        <v>0</v>
      </c>
      <c r="R99" s="6" t="n">
        <f aca="false">G99</f>
        <v>0</v>
      </c>
      <c r="S99" s="6" t="n">
        <f aca="false">H99</f>
        <v>0</v>
      </c>
      <c r="T99" s="6" t="n">
        <f aca="false">I99</f>
        <v>1</v>
      </c>
      <c r="U99" s="6" t="n">
        <f aca="false">L99</f>
        <v>0</v>
      </c>
      <c r="W99" s="6" t="n">
        <f aca="false">D99</f>
        <v>3.711666667</v>
      </c>
      <c r="X99" s="6" t="n">
        <f aca="false">E99</f>
        <v>0</v>
      </c>
      <c r="Y99" s="6" t="n">
        <f aca="false">F99</f>
        <v>0</v>
      </c>
      <c r="Z99" s="6" t="n">
        <f aca="false">L99</f>
        <v>0</v>
      </c>
      <c r="AA99" s="6" t="n">
        <f aca="false">G99</f>
        <v>0</v>
      </c>
      <c r="AC99" s="6" t="n">
        <f aca="false">D99</f>
        <v>3.711666667</v>
      </c>
      <c r="AD99" s="6" t="n">
        <f aca="false">E99</f>
        <v>0</v>
      </c>
      <c r="AE99" s="6" t="n">
        <f aca="false">G99</f>
        <v>0</v>
      </c>
      <c r="AF99" s="6" t="n">
        <f aca="false">H99</f>
        <v>0</v>
      </c>
      <c r="AG99" s="6" t="n">
        <f aca="false">I99</f>
        <v>1</v>
      </c>
      <c r="AH99" s="6" t="n">
        <f aca="false">L99</f>
        <v>0</v>
      </c>
    </row>
    <row r="100" customFormat="false" ht="15" hidden="false" customHeight="false" outlineLevel="0" collapsed="false">
      <c r="A100" s="0" t="str">
        <f aca="false">'Raw Data'!C100</f>
        <v>Annapolis</v>
      </c>
      <c r="B100" s="5" t="n">
        <f aca="false">'Raw Data'!A100</f>
        <v>40372</v>
      </c>
      <c r="C100" s="6" t="n">
        <f aca="false">'Raw Data'!D100</f>
        <v>280.657674714992</v>
      </c>
      <c r="D100" s="6" t="n">
        <f aca="false">'Raw Data'!E100</f>
        <v>3.711666667</v>
      </c>
      <c r="E100" s="6" t="n">
        <f aca="false">'Raw Data'!F100</f>
        <v>0</v>
      </c>
      <c r="F100" s="6" t="n">
        <f aca="false">'Raw Data'!G100</f>
        <v>0</v>
      </c>
      <c r="G100" s="6" t="n">
        <f aca="false">'Raw Data'!H100</f>
        <v>0</v>
      </c>
      <c r="H100" s="6" t="n">
        <f aca="false">'Raw Data'!I100</f>
        <v>0</v>
      </c>
      <c r="I100" s="6" t="n">
        <f aca="false">'Raw Data'!J100</f>
        <v>1</v>
      </c>
      <c r="J100" s="6" t="n">
        <f aca="false">'Raw Data'!K100</f>
        <v>1</v>
      </c>
      <c r="K100" s="6" t="n">
        <f aca="false">'Raw Data'!L100</f>
        <v>1</v>
      </c>
      <c r="L100" s="6" t="n">
        <f aca="false">F100*E100</f>
        <v>0</v>
      </c>
      <c r="N100" s="0" t="n">
        <v>1</v>
      </c>
      <c r="O100" s="6" t="n">
        <f aca="false">D100</f>
        <v>3.711666667</v>
      </c>
      <c r="P100" s="6" t="n">
        <f aca="false">E100</f>
        <v>0</v>
      </c>
      <c r="Q100" s="6" t="n">
        <f aca="false">F100</f>
        <v>0</v>
      </c>
      <c r="R100" s="6" t="n">
        <f aca="false">G100</f>
        <v>0</v>
      </c>
      <c r="S100" s="6" t="n">
        <f aca="false">H100</f>
        <v>0</v>
      </c>
      <c r="T100" s="6" t="n">
        <f aca="false">I100</f>
        <v>1</v>
      </c>
      <c r="U100" s="6" t="n">
        <f aca="false">L100</f>
        <v>0</v>
      </c>
      <c r="W100" s="6" t="n">
        <f aca="false">D100</f>
        <v>3.711666667</v>
      </c>
      <c r="X100" s="6" t="n">
        <f aca="false">E100</f>
        <v>0</v>
      </c>
      <c r="Y100" s="6" t="n">
        <f aca="false">F100</f>
        <v>0</v>
      </c>
      <c r="Z100" s="6" t="n">
        <f aca="false">L100</f>
        <v>0</v>
      </c>
      <c r="AA100" s="6" t="n">
        <f aca="false">G100</f>
        <v>0</v>
      </c>
      <c r="AC100" s="6" t="n">
        <f aca="false">D100</f>
        <v>3.711666667</v>
      </c>
      <c r="AD100" s="6" t="n">
        <f aca="false">E100</f>
        <v>0</v>
      </c>
      <c r="AE100" s="6" t="n">
        <f aca="false">G100</f>
        <v>0</v>
      </c>
      <c r="AF100" s="6" t="n">
        <f aca="false">H100</f>
        <v>0</v>
      </c>
      <c r="AG100" s="6" t="n">
        <f aca="false">I100</f>
        <v>1</v>
      </c>
      <c r="AH100" s="6" t="n">
        <f aca="false">L100</f>
        <v>0</v>
      </c>
    </row>
    <row r="101" customFormat="false" ht="15" hidden="false" customHeight="false" outlineLevel="0" collapsed="false">
      <c r="A101" s="0" t="str">
        <f aca="false">'Raw Data'!C101</f>
        <v>Bethesda</v>
      </c>
      <c r="B101" s="5" t="n">
        <f aca="false">'Raw Data'!A101</f>
        <v>40302</v>
      </c>
      <c r="C101" s="6" t="n">
        <f aca="false">'Raw Data'!D101</f>
        <v>138.231225857981</v>
      </c>
      <c r="D101" s="6" t="n">
        <f aca="false">'Raw Data'!E101</f>
        <v>3.94</v>
      </c>
      <c r="E101" s="6" t="n">
        <f aca="false">'Raw Data'!F101</f>
        <v>0</v>
      </c>
      <c r="F101" s="6" t="n">
        <f aca="false">'Raw Data'!G101</f>
        <v>0</v>
      </c>
      <c r="G101" s="6" t="n">
        <f aca="false">'Raw Data'!H101</f>
        <v>0</v>
      </c>
      <c r="H101" s="6" t="n">
        <f aca="false">'Raw Data'!I101</f>
        <v>0</v>
      </c>
      <c r="I101" s="6" t="n">
        <f aca="false">'Raw Data'!J101</f>
        <v>0</v>
      </c>
      <c r="J101" s="6" t="n">
        <f aca="false">'Raw Data'!K101</f>
        <v>3</v>
      </c>
      <c r="K101" s="6" t="n">
        <f aca="false">'Raw Data'!L101</f>
        <v>3</v>
      </c>
      <c r="L101" s="6" t="n">
        <f aca="false">F101*E101</f>
        <v>0</v>
      </c>
      <c r="N101" s="0" t="n">
        <v>1</v>
      </c>
      <c r="O101" s="6" t="n">
        <f aca="false">D101</f>
        <v>3.94</v>
      </c>
      <c r="P101" s="6" t="n">
        <f aca="false">E101</f>
        <v>0</v>
      </c>
      <c r="Q101" s="6" t="n">
        <f aca="false">F101</f>
        <v>0</v>
      </c>
      <c r="R101" s="6" t="n">
        <f aca="false">G101</f>
        <v>0</v>
      </c>
      <c r="S101" s="6" t="n">
        <f aca="false">H101</f>
        <v>0</v>
      </c>
      <c r="T101" s="6" t="n">
        <f aca="false">I101</f>
        <v>0</v>
      </c>
      <c r="U101" s="6" t="n">
        <f aca="false">L101</f>
        <v>0</v>
      </c>
      <c r="W101" s="6" t="n">
        <f aca="false">D101</f>
        <v>3.94</v>
      </c>
      <c r="X101" s="6" t="n">
        <f aca="false">E101</f>
        <v>0</v>
      </c>
      <c r="Y101" s="6" t="n">
        <f aca="false">F101</f>
        <v>0</v>
      </c>
      <c r="Z101" s="6" t="n">
        <f aca="false">L101</f>
        <v>0</v>
      </c>
      <c r="AA101" s="6" t="n">
        <f aca="false">G101</f>
        <v>0</v>
      </c>
      <c r="AC101" s="6" t="n">
        <f aca="false">D101</f>
        <v>3.94</v>
      </c>
      <c r="AD101" s="6" t="n">
        <f aca="false">E101</f>
        <v>0</v>
      </c>
      <c r="AE101" s="6" t="n">
        <f aca="false">G101</f>
        <v>0</v>
      </c>
      <c r="AF101" s="6" t="n">
        <f aca="false">H101</f>
        <v>0</v>
      </c>
      <c r="AG101" s="6" t="n">
        <f aca="false">I101</f>
        <v>0</v>
      </c>
      <c r="AH101" s="6" t="n">
        <f aca="false">L101</f>
        <v>0</v>
      </c>
    </row>
    <row r="102" customFormat="false" ht="15" hidden="false" customHeight="false" outlineLevel="0" collapsed="false">
      <c r="A102" s="0" t="str">
        <f aca="false">'Raw Data'!C102</f>
        <v>Bethesda</v>
      </c>
      <c r="B102" s="5" t="n">
        <f aca="false">'Raw Data'!A102</f>
        <v>40309</v>
      </c>
      <c r="C102" s="6" t="n">
        <f aca="false">'Raw Data'!D102</f>
        <v>263.238866557505</v>
      </c>
      <c r="D102" s="6" t="n">
        <f aca="false">'Raw Data'!E102</f>
        <v>3.523333333</v>
      </c>
      <c r="E102" s="6" t="n">
        <f aca="false">'Raw Data'!F102</f>
        <v>0</v>
      </c>
      <c r="F102" s="6" t="n">
        <f aca="false">'Raw Data'!G102</f>
        <v>0</v>
      </c>
      <c r="G102" s="6" t="n">
        <f aca="false">'Raw Data'!H102</f>
        <v>0</v>
      </c>
      <c r="H102" s="6" t="n">
        <f aca="false">'Raw Data'!I102</f>
        <v>0</v>
      </c>
      <c r="I102" s="6" t="n">
        <f aca="false">'Raw Data'!J102</f>
        <v>0</v>
      </c>
      <c r="J102" s="6" t="n">
        <f aca="false">'Raw Data'!K102</f>
        <v>3</v>
      </c>
      <c r="K102" s="6" t="n">
        <f aca="false">'Raw Data'!L102</f>
        <v>3</v>
      </c>
      <c r="L102" s="6" t="n">
        <f aca="false">F102*E102</f>
        <v>0</v>
      </c>
      <c r="N102" s="0" t="n">
        <v>1</v>
      </c>
      <c r="O102" s="6" t="n">
        <f aca="false">D102</f>
        <v>3.523333333</v>
      </c>
      <c r="P102" s="6" t="n">
        <f aca="false">E102</f>
        <v>0</v>
      </c>
      <c r="Q102" s="6" t="n">
        <f aca="false">F102</f>
        <v>0</v>
      </c>
      <c r="R102" s="6" t="n">
        <f aca="false">G102</f>
        <v>0</v>
      </c>
      <c r="S102" s="6" t="n">
        <f aca="false">H102</f>
        <v>0</v>
      </c>
      <c r="T102" s="6" t="n">
        <f aca="false">I102</f>
        <v>0</v>
      </c>
      <c r="U102" s="6" t="n">
        <f aca="false">L102</f>
        <v>0</v>
      </c>
      <c r="W102" s="6" t="n">
        <f aca="false">D102</f>
        <v>3.523333333</v>
      </c>
      <c r="X102" s="6" t="n">
        <f aca="false">E102</f>
        <v>0</v>
      </c>
      <c r="Y102" s="6" t="n">
        <f aca="false">F102</f>
        <v>0</v>
      </c>
      <c r="Z102" s="6" t="n">
        <f aca="false">L102</f>
        <v>0</v>
      </c>
      <c r="AA102" s="6" t="n">
        <f aca="false">G102</f>
        <v>0</v>
      </c>
      <c r="AC102" s="6" t="n">
        <f aca="false">D102</f>
        <v>3.523333333</v>
      </c>
      <c r="AD102" s="6" t="n">
        <f aca="false">E102</f>
        <v>0</v>
      </c>
      <c r="AE102" s="6" t="n">
        <f aca="false">G102</f>
        <v>0</v>
      </c>
      <c r="AF102" s="6" t="n">
        <f aca="false">H102</f>
        <v>0</v>
      </c>
      <c r="AG102" s="6" t="n">
        <f aca="false">I102</f>
        <v>0</v>
      </c>
      <c r="AH102" s="6" t="n">
        <f aca="false">L102</f>
        <v>0</v>
      </c>
    </row>
    <row r="103" customFormat="false" ht="15" hidden="false" customHeight="false" outlineLevel="0" collapsed="false">
      <c r="A103" s="0" t="str">
        <f aca="false">'Raw Data'!C103</f>
        <v>Bethesda</v>
      </c>
      <c r="B103" s="5" t="n">
        <f aca="false">'Raw Data'!A103</f>
        <v>40316</v>
      </c>
      <c r="C103" s="6" t="n">
        <f aca="false">'Raw Data'!D103</f>
        <v>119.961981523964</v>
      </c>
      <c r="D103" s="6" t="n">
        <f aca="false">'Raw Data'!E103</f>
        <v>3.547142857</v>
      </c>
      <c r="E103" s="6" t="n">
        <f aca="false">'Raw Data'!F103</f>
        <v>0</v>
      </c>
      <c r="F103" s="6" t="n">
        <f aca="false">'Raw Data'!G103</f>
        <v>0</v>
      </c>
      <c r="G103" s="6" t="n">
        <f aca="false">'Raw Data'!H103</f>
        <v>0</v>
      </c>
      <c r="H103" s="6" t="n">
        <f aca="false">'Raw Data'!I103</f>
        <v>0</v>
      </c>
      <c r="I103" s="6" t="n">
        <f aca="false">'Raw Data'!J103</f>
        <v>0</v>
      </c>
      <c r="J103" s="6" t="n">
        <f aca="false">'Raw Data'!K103</f>
        <v>3</v>
      </c>
      <c r="K103" s="6" t="n">
        <f aca="false">'Raw Data'!L103</f>
        <v>3</v>
      </c>
      <c r="L103" s="6" t="n">
        <f aca="false">F103*E103</f>
        <v>0</v>
      </c>
      <c r="N103" s="0" t="n">
        <v>1</v>
      </c>
      <c r="O103" s="6" t="n">
        <f aca="false">D103</f>
        <v>3.547142857</v>
      </c>
      <c r="P103" s="6" t="n">
        <f aca="false">E103</f>
        <v>0</v>
      </c>
      <c r="Q103" s="6" t="n">
        <f aca="false">F103</f>
        <v>0</v>
      </c>
      <c r="R103" s="6" t="n">
        <f aca="false">G103</f>
        <v>0</v>
      </c>
      <c r="S103" s="6" t="n">
        <f aca="false">H103</f>
        <v>0</v>
      </c>
      <c r="T103" s="6" t="n">
        <f aca="false">I103</f>
        <v>0</v>
      </c>
      <c r="U103" s="6" t="n">
        <f aca="false">L103</f>
        <v>0</v>
      </c>
      <c r="W103" s="6" t="n">
        <f aca="false">D103</f>
        <v>3.547142857</v>
      </c>
      <c r="X103" s="6" t="n">
        <f aca="false">E103</f>
        <v>0</v>
      </c>
      <c r="Y103" s="6" t="n">
        <f aca="false">F103</f>
        <v>0</v>
      </c>
      <c r="Z103" s="6" t="n">
        <f aca="false">L103</f>
        <v>0</v>
      </c>
      <c r="AA103" s="6" t="n">
        <f aca="false">G103</f>
        <v>0</v>
      </c>
      <c r="AC103" s="6" t="n">
        <f aca="false">D103</f>
        <v>3.547142857</v>
      </c>
      <c r="AD103" s="6" t="n">
        <f aca="false">E103</f>
        <v>0</v>
      </c>
      <c r="AE103" s="6" t="n">
        <f aca="false">G103</f>
        <v>0</v>
      </c>
      <c r="AF103" s="6" t="n">
        <f aca="false">H103</f>
        <v>0</v>
      </c>
      <c r="AG103" s="6" t="n">
        <f aca="false">I103</f>
        <v>0</v>
      </c>
      <c r="AH103" s="6" t="n">
        <f aca="false">L103</f>
        <v>0</v>
      </c>
    </row>
    <row r="104" customFormat="false" ht="15" hidden="false" customHeight="false" outlineLevel="0" collapsed="false">
      <c r="A104" s="0" t="str">
        <f aca="false">'Raw Data'!C104</f>
        <v>Bethesda</v>
      </c>
      <c r="B104" s="5" t="n">
        <f aca="false">'Raw Data'!A104</f>
        <v>40323</v>
      </c>
      <c r="C104" s="6" t="n">
        <f aca="false">'Raw Data'!D104</f>
        <v>212.361991766641</v>
      </c>
      <c r="D104" s="6" t="n">
        <f aca="false">'Raw Data'!E104</f>
        <v>3.44</v>
      </c>
      <c r="E104" s="6" t="n">
        <f aca="false">'Raw Data'!F104</f>
        <v>0</v>
      </c>
      <c r="F104" s="6" t="n">
        <f aca="false">'Raw Data'!G104</f>
        <v>0</v>
      </c>
      <c r="G104" s="6" t="n">
        <f aca="false">'Raw Data'!H104</f>
        <v>0</v>
      </c>
      <c r="H104" s="6" t="n">
        <f aca="false">'Raw Data'!I104</f>
        <v>0</v>
      </c>
      <c r="I104" s="6" t="n">
        <f aca="false">'Raw Data'!J104</f>
        <v>0</v>
      </c>
      <c r="J104" s="6" t="n">
        <f aca="false">'Raw Data'!K104</f>
        <v>3</v>
      </c>
      <c r="K104" s="6" t="n">
        <f aca="false">'Raw Data'!L104</f>
        <v>3</v>
      </c>
      <c r="L104" s="6" t="n">
        <f aca="false">F104*E104</f>
        <v>0</v>
      </c>
      <c r="N104" s="0" t="n">
        <v>1</v>
      </c>
      <c r="O104" s="6" t="n">
        <f aca="false">D104</f>
        <v>3.44</v>
      </c>
      <c r="P104" s="6" t="n">
        <f aca="false">E104</f>
        <v>0</v>
      </c>
      <c r="Q104" s="6" t="n">
        <f aca="false">F104</f>
        <v>0</v>
      </c>
      <c r="R104" s="6" t="n">
        <f aca="false">G104</f>
        <v>0</v>
      </c>
      <c r="S104" s="6" t="n">
        <f aca="false">H104</f>
        <v>0</v>
      </c>
      <c r="T104" s="6" t="n">
        <f aca="false">I104</f>
        <v>0</v>
      </c>
      <c r="U104" s="6" t="n">
        <f aca="false">L104</f>
        <v>0</v>
      </c>
      <c r="W104" s="6" t="n">
        <f aca="false">D104</f>
        <v>3.44</v>
      </c>
      <c r="X104" s="6" t="n">
        <f aca="false">E104</f>
        <v>0</v>
      </c>
      <c r="Y104" s="6" t="n">
        <f aca="false">F104</f>
        <v>0</v>
      </c>
      <c r="Z104" s="6" t="n">
        <f aca="false">L104</f>
        <v>0</v>
      </c>
      <c r="AA104" s="6" t="n">
        <f aca="false">G104</f>
        <v>0</v>
      </c>
      <c r="AC104" s="6" t="n">
        <f aca="false">D104</f>
        <v>3.44</v>
      </c>
      <c r="AD104" s="6" t="n">
        <f aca="false">E104</f>
        <v>0</v>
      </c>
      <c r="AE104" s="6" t="n">
        <f aca="false">G104</f>
        <v>0</v>
      </c>
      <c r="AF104" s="6" t="n">
        <f aca="false">H104</f>
        <v>0</v>
      </c>
      <c r="AG104" s="6" t="n">
        <f aca="false">I104</f>
        <v>0</v>
      </c>
      <c r="AH104" s="6" t="n">
        <f aca="false">L104</f>
        <v>0</v>
      </c>
    </row>
    <row r="105" customFormat="false" ht="15" hidden="false" customHeight="false" outlineLevel="0" collapsed="false">
      <c r="A105" s="0" t="str">
        <f aca="false">'Raw Data'!C105</f>
        <v>Bethesda</v>
      </c>
      <c r="B105" s="5" t="n">
        <f aca="false">'Raw Data'!A105</f>
        <v>40330</v>
      </c>
      <c r="C105" s="6" t="n">
        <f aca="false">'Raw Data'!D105</f>
        <v>167.089370746412</v>
      </c>
      <c r="D105" s="6" t="n">
        <f aca="false">'Raw Data'!E105</f>
        <v>3.547142857</v>
      </c>
      <c r="E105" s="6" t="n">
        <f aca="false">'Raw Data'!F105</f>
        <v>0</v>
      </c>
      <c r="F105" s="6" t="n">
        <f aca="false">'Raw Data'!G105</f>
        <v>0</v>
      </c>
      <c r="G105" s="6" t="n">
        <f aca="false">'Raw Data'!H105</f>
        <v>0</v>
      </c>
      <c r="H105" s="6" t="n">
        <f aca="false">'Raw Data'!I105</f>
        <v>0</v>
      </c>
      <c r="I105" s="6" t="n">
        <f aca="false">'Raw Data'!J105</f>
        <v>0</v>
      </c>
      <c r="J105" s="6" t="n">
        <f aca="false">'Raw Data'!K105</f>
        <v>3</v>
      </c>
      <c r="K105" s="6" t="n">
        <f aca="false">'Raw Data'!L105</f>
        <v>3</v>
      </c>
      <c r="L105" s="6" t="n">
        <f aca="false">F105*E105</f>
        <v>0</v>
      </c>
      <c r="N105" s="0" t="n">
        <v>1</v>
      </c>
      <c r="O105" s="6" t="n">
        <f aca="false">D105</f>
        <v>3.547142857</v>
      </c>
      <c r="P105" s="6" t="n">
        <f aca="false">E105</f>
        <v>0</v>
      </c>
      <c r="Q105" s="6" t="n">
        <f aca="false">F105</f>
        <v>0</v>
      </c>
      <c r="R105" s="6" t="n">
        <f aca="false">G105</f>
        <v>0</v>
      </c>
      <c r="S105" s="6" t="n">
        <f aca="false">H105</f>
        <v>0</v>
      </c>
      <c r="T105" s="6" t="n">
        <f aca="false">I105</f>
        <v>0</v>
      </c>
      <c r="U105" s="6" t="n">
        <f aca="false">L105</f>
        <v>0</v>
      </c>
      <c r="W105" s="6" t="n">
        <f aca="false">D105</f>
        <v>3.547142857</v>
      </c>
      <c r="X105" s="6" t="n">
        <f aca="false">E105</f>
        <v>0</v>
      </c>
      <c r="Y105" s="6" t="n">
        <f aca="false">F105</f>
        <v>0</v>
      </c>
      <c r="Z105" s="6" t="n">
        <f aca="false">L105</f>
        <v>0</v>
      </c>
      <c r="AA105" s="6" t="n">
        <f aca="false">G105</f>
        <v>0</v>
      </c>
      <c r="AC105" s="6" t="n">
        <f aca="false">D105</f>
        <v>3.547142857</v>
      </c>
      <c r="AD105" s="6" t="n">
        <f aca="false">E105</f>
        <v>0</v>
      </c>
      <c r="AE105" s="6" t="n">
        <f aca="false">G105</f>
        <v>0</v>
      </c>
      <c r="AF105" s="6" t="n">
        <f aca="false">H105</f>
        <v>0</v>
      </c>
      <c r="AG105" s="6" t="n">
        <f aca="false">I105</f>
        <v>0</v>
      </c>
      <c r="AH105" s="6" t="n">
        <f aca="false">L105</f>
        <v>0</v>
      </c>
    </row>
    <row r="106" customFormat="false" ht="15" hidden="false" customHeight="false" outlineLevel="0" collapsed="false">
      <c r="A106" s="0" t="str">
        <f aca="false">'Raw Data'!C106</f>
        <v>Bethesda</v>
      </c>
      <c r="B106" s="5" t="n">
        <f aca="false">'Raw Data'!A106</f>
        <v>40337</v>
      </c>
      <c r="C106" s="6" t="n">
        <f aca="false">'Raw Data'!D106</f>
        <v>293.52183413811</v>
      </c>
      <c r="D106" s="6" t="n">
        <f aca="false">'Raw Data'!E106</f>
        <v>3.523333333</v>
      </c>
      <c r="E106" s="6" t="n">
        <f aca="false">'Raw Data'!F106</f>
        <v>0</v>
      </c>
      <c r="F106" s="6" t="n">
        <f aca="false">'Raw Data'!G106</f>
        <v>1</v>
      </c>
      <c r="G106" s="6" t="n">
        <f aca="false">'Raw Data'!H106</f>
        <v>1</v>
      </c>
      <c r="H106" s="6" t="n">
        <f aca="false">'Raw Data'!I106</f>
        <v>0</v>
      </c>
      <c r="I106" s="6" t="n">
        <f aca="false">'Raw Data'!J106</f>
        <v>0</v>
      </c>
      <c r="J106" s="6" t="n">
        <f aca="false">'Raw Data'!K106</f>
        <v>3</v>
      </c>
      <c r="K106" s="6" t="n">
        <f aca="false">'Raw Data'!L106</f>
        <v>3</v>
      </c>
      <c r="L106" s="6" t="n">
        <f aca="false">F106*E106</f>
        <v>0</v>
      </c>
      <c r="N106" s="0" t="n">
        <v>1</v>
      </c>
      <c r="O106" s="6" t="n">
        <f aca="false">D106</f>
        <v>3.523333333</v>
      </c>
      <c r="P106" s="6" t="n">
        <f aca="false">E106</f>
        <v>0</v>
      </c>
      <c r="Q106" s="6" t="n">
        <f aca="false">F106</f>
        <v>1</v>
      </c>
      <c r="R106" s="6" t="n">
        <f aca="false">G106</f>
        <v>1</v>
      </c>
      <c r="S106" s="6" t="n">
        <f aca="false">H106</f>
        <v>0</v>
      </c>
      <c r="T106" s="6" t="n">
        <f aca="false">I106</f>
        <v>0</v>
      </c>
      <c r="U106" s="6" t="n">
        <f aca="false">L106</f>
        <v>0</v>
      </c>
      <c r="W106" s="6" t="n">
        <f aca="false">D106</f>
        <v>3.523333333</v>
      </c>
      <c r="X106" s="6" t="n">
        <f aca="false">E106</f>
        <v>0</v>
      </c>
      <c r="Y106" s="6" t="n">
        <f aca="false">F106</f>
        <v>1</v>
      </c>
      <c r="Z106" s="6" t="n">
        <f aca="false">L106</f>
        <v>0</v>
      </c>
      <c r="AA106" s="6" t="n">
        <f aca="false">G106</f>
        <v>1</v>
      </c>
      <c r="AC106" s="6" t="n">
        <f aca="false">D106</f>
        <v>3.523333333</v>
      </c>
      <c r="AD106" s="6" t="n">
        <f aca="false">E106</f>
        <v>0</v>
      </c>
      <c r="AE106" s="6" t="n">
        <f aca="false">G106</f>
        <v>1</v>
      </c>
      <c r="AF106" s="6" t="n">
        <f aca="false">H106</f>
        <v>0</v>
      </c>
      <c r="AG106" s="6" t="n">
        <f aca="false">I106</f>
        <v>0</v>
      </c>
      <c r="AH106" s="6" t="n">
        <f aca="false">L106</f>
        <v>0</v>
      </c>
    </row>
    <row r="107" customFormat="false" ht="15" hidden="false" customHeight="false" outlineLevel="0" collapsed="false">
      <c r="A107" s="0" t="str">
        <f aca="false">'Raw Data'!C107</f>
        <v>Bethesda</v>
      </c>
      <c r="B107" s="5" t="n">
        <f aca="false">'Raw Data'!A107</f>
        <v>40344</v>
      </c>
      <c r="C107" s="6" t="n">
        <f aca="false">'Raw Data'!D107</f>
        <v>207.820699711041</v>
      </c>
      <c r="D107" s="6" t="n">
        <f aca="false">'Raw Data'!E107</f>
        <v>3.6275</v>
      </c>
      <c r="E107" s="6" t="n">
        <f aca="false">'Raw Data'!F107</f>
        <v>0</v>
      </c>
      <c r="F107" s="6" t="n">
        <f aca="false">'Raw Data'!G107</f>
        <v>1</v>
      </c>
      <c r="G107" s="6" t="n">
        <f aca="false">'Raw Data'!H107</f>
        <v>0</v>
      </c>
      <c r="H107" s="6" t="n">
        <f aca="false">'Raw Data'!I107</f>
        <v>1</v>
      </c>
      <c r="I107" s="6" t="n">
        <f aca="false">'Raw Data'!J107</f>
        <v>0</v>
      </c>
      <c r="J107" s="6" t="n">
        <f aca="false">'Raw Data'!K107</f>
        <v>3</v>
      </c>
      <c r="K107" s="6" t="n">
        <f aca="false">'Raw Data'!L107</f>
        <v>3</v>
      </c>
      <c r="L107" s="6" t="n">
        <f aca="false">F107*E107</f>
        <v>0</v>
      </c>
      <c r="N107" s="0" t="n">
        <v>1</v>
      </c>
      <c r="O107" s="6" t="n">
        <f aca="false">D107</f>
        <v>3.6275</v>
      </c>
      <c r="P107" s="6" t="n">
        <f aca="false">E107</f>
        <v>0</v>
      </c>
      <c r="Q107" s="6" t="n">
        <f aca="false">F107</f>
        <v>1</v>
      </c>
      <c r="R107" s="6" t="n">
        <f aca="false">G107</f>
        <v>0</v>
      </c>
      <c r="S107" s="6" t="n">
        <f aca="false">H107</f>
        <v>1</v>
      </c>
      <c r="T107" s="6" t="n">
        <f aca="false">I107</f>
        <v>0</v>
      </c>
      <c r="U107" s="6" t="n">
        <f aca="false">L107</f>
        <v>0</v>
      </c>
      <c r="W107" s="6" t="n">
        <f aca="false">D107</f>
        <v>3.6275</v>
      </c>
      <c r="X107" s="6" t="n">
        <f aca="false">E107</f>
        <v>0</v>
      </c>
      <c r="Y107" s="6" t="n">
        <f aca="false">F107</f>
        <v>1</v>
      </c>
      <c r="Z107" s="6" t="n">
        <f aca="false">L107</f>
        <v>0</v>
      </c>
      <c r="AA107" s="6" t="n">
        <f aca="false">G107</f>
        <v>0</v>
      </c>
      <c r="AC107" s="6" t="n">
        <f aca="false">D107</f>
        <v>3.6275</v>
      </c>
      <c r="AD107" s="6" t="n">
        <f aca="false">E107</f>
        <v>0</v>
      </c>
      <c r="AE107" s="6" t="n">
        <f aca="false">G107</f>
        <v>0</v>
      </c>
      <c r="AF107" s="6" t="n">
        <f aca="false">H107</f>
        <v>1</v>
      </c>
      <c r="AG107" s="6" t="n">
        <f aca="false">I107</f>
        <v>0</v>
      </c>
      <c r="AH107" s="6" t="n">
        <f aca="false">L107</f>
        <v>0</v>
      </c>
    </row>
    <row r="108" customFormat="false" ht="15" hidden="false" customHeight="false" outlineLevel="0" collapsed="false">
      <c r="A108" s="0" t="str">
        <f aca="false">'Raw Data'!C108</f>
        <v>Bethesda</v>
      </c>
      <c r="B108" s="5" t="n">
        <f aca="false">'Raw Data'!A108</f>
        <v>40351</v>
      </c>
      <c r="C108" s="6" t="n">
        <f aca="false">'Raw Data'!D108</f>
        <v>273.708256540645</v>
      </c>
      <c r="D108" s="6" t="n">
        <f aca="false">'Raw Data'!E108</f>
        <v>3.6275</v>
      </c>
      <c r="E108" s="6" t="n">
        <f aca="false">'Raw Data'!F108</f>
        <v>0</v>
      </c>
      <c r="F108" s="6" t="n">
        <f aca="false">'Raw Data'!G108</f>
        <v>1</v>
      </c>
      <c r="G108" s="6" t="n">
        <f aca="false">'Raw Data'!H108</f>
        <v>0</v>
      </c>
      <c r="H108" s="6" t="n">
        <f aca="false">'Raw Data'!I108</f>
        <v>1</v>
      </c>
      <c r="I108" s="6" t="n">
        <f aca="false">'Raw Data'!J108</f>
        <v>0</v>
      </c>
      <c r="J108" s="6" t="n">
        <f aca="false">'Raw Data'!K108</f>
        <v>3</v>
      </c>
      <c r="K108" s="6" t="n">
        <f aca="false">'Raw Data'!L108</f>
        <v>3</v>
      </c>
      <c r="L108" s="6" t="n">
        <f aca="false">F108*E108</f>
        <v>0</v>
      </c>
      <c r="N108" s="0" t="n">
        <v>1</v>
      </c>
      <c r="O108" s="6" t="n">
        <f aca="false">D108</f>
        <v>3.6275</v>
      </c>
      <c r="P108" s="6" t="n">
        <f aca="false">E108</f>
        <v>0</v>
      </c>
      <c r="Q108" s="6" t="n">
        <f aca="false">F108</f>
        <v>1</v>
      </c>
      <c r="R108" s="6" t="n">
        <f aca="false">G108</f>
        <v>0</v>
      </c>
      <c r="S108" s="6" t="n">
        <f aca="false">H108</f>
        <v>1</v>
      </c>
      <c r="T108" s="6" t="n">
        <f aca="false">I108</f>
        <v>0</v>
      </c>
      <c r="U108" s="6" t="n">
        <f aca="false">L108</f>
        <v>0</v>
      </c>
      <c r="W108" s="6" t="n">
        <f aca="false">D108</f>
        <v>3.6275</v>
      </c>
      <c r="X108" s="6" t="n">
        <f aca="false">E108</f>
        <v>0</v>
      </c>
      <c r="Y108" s="6" t="n">
        <f aca="false">F108</f>
        <v>1</v>
      </c>
      <c r="Z108" s="6" t="n">
        <f aca="false">L108</f>
        <v>0</v>
      </c>
      <c r="AA108" s="6" t="n">
        <f aca="false">G108</f>
        <v>0</v>
      </c>
      <c r="AC108" s="6" t="n">
        <f aca="false">D108</f>
        <v>3.6275</v>
      </c>
      <c r="AD108" s="6" t="n">
        <f aca="false">E108</f>
        <v>0</v>
      </c>
      <c r="AE108" s="6" t="n">
        <f aca="false">G108</f>
        <v>0</v>
      </c>
      <c r="AF108" s="6" t="n">
        <f aca="false">H108</f>
        <v>1</v>
      </c>
      <c r="AG108" s="6" t="n">
        <f aca="false">I108</f>
        <v>0</v>
      </c>
      <c r="AH108" s="6" t="n">
        <f aca="false">L108</f>
        <v>0</v>
      </c>
    </row>
    <row r="109" customFormat="false" ht="15" hidden="false" customHeight="false" outlineLevel="0" collapsed="false">
      <c r="A109" s="0" t="str">
        <f aca="false">'Raw Data'!C109</f>
        <v>Bethesda</v>
      </c>
      <c r="B109" s="5" t="n">
        <f aca="false">'Raw Data'!A109</f>
        <v>40358</v>
      </c>
      <c r="C109" s="6" t="n">
        <f aca="false">'Raw Data'!D109</f>
        <v>252.250376244991</v>
      </c>
      <c r="D109" s="6" t="n">
        <f aca="false">'Raw Data'!E109</f>
        <v>3.523333333</v>
      </c>
      <c r="E109" s="6" t="n">
        <f aca="false">'Raw Data'!F109</f>
        <v>0</v>
      </c>
      <c r="F109" s="6" t="n">
        <f aca="false">'Raw Data'!G109</f>
        <v>1</v>
      </c>
      <c r="G109" s="6" t="n">
        <f aca="false">'Raw Data'!H109</f>
        <v>0</v>
      </c>
      <c r="H109" s="6" t="n">
        <f aca="false">'Raw Data'!I109</f>
        <v>1</v>
      </c>
      <c r="I109" s="6" t="n">
        <f aca="false">'Raw Data'!J109</f>
        <v>0</v>
      </c>
      <c r="J109" s="6" t="n">
        <f aca="false">'Raw Data'!K109</f>
        <v>3</v>
      </c>
      <c r="K109" s="6" t="n">
        <f aca="false">'Raw Data'!L109</f>
        <v>3</v>
      </c>
      <c r="L109" s="6" t="n">
        <f aca="false">F109*E109</f>
        <v>0</v>
      </c>
      <c r="N109" s="0" t="n">
        <v>1</v>
      </c>
      <c r="O109" s="6" t="n">
        <f aca="false">D109</f>
        <v>3.523333333</v>
      </c>
      <c r="P109" s="6" t="n">
        <f aca="false">E109</f>
        <v>0</v>
      </c>
      <c r="Q109" s="6" t="n">
        <f aca="false">F109</f>
        <v>1</v>
      </c>
      <c r="R109" s="6" t="n">
        <f aca="false">G109</f>
        <v>0</v>
      </c>
      <c r="S109" s="6" t="n">
        <f aca="false">H109</f>
        <v>1</v>
      </c>
      <c r="T109" s="6" t="n">
        <f aca="false">I109</f>
        <v>0</v>
      </c>
      <c r="U109" s="6" t="n">
        <f aca="false">L109</f>
        <v>0</v>
      </c>
      <c r="W109" s="6" t="n">
        <f aca="false">D109</f>
        <v>3.523333333</v>
      </c>
      <c r="X109" s="6" t="n">
        <f aca="false">E109</f>
        <v>0</v>
      </c>
      <c r="Y109" s="6" t="n">
        <f aca="false">F109</f>
        <v>1</v>
      </c>
      <c r="Z109" s="6" t="n">
        <f aca="false">L109</f>
        <v>0</v>
      </c>
      <c r="AA109" s="6" t="n">
        <f aca="false">G109</f>
        <v>0</v>
      </c>
      <c r="AC109" s="6" t="n">
        <f aca="false">D109</f>
        <v>3.523333333</v>
      </c>
      <c r="AD109" s="6" t="n">
        <f aca="false">E109</f>
        <v>0</v>
      </c>
      <c r="AE109" s="6" t="n">
        <f aca="false">G109</f>
        <v>0</v>
      </c>
      <c r="AF109" s="6" t="n">
        <f aca="false">H109</f>
        <v>1</v>
      </c>
      <c r="AG109" s="6" t="n">
        <f aca="false">I109</f>
        <v>0</v>
      </c>
      <c r="AH109" s="6" t="n">
        <f aca="false">L109</f>
        <v>0</v>
      </c>
    </row>
    <row r="110" customFormat="false" ht="15" hidden="false" customHeight="false" outlineLevel="0" collapsed="false">
      <c r="A110" s="0" t="str">
        <f aca="false">'Raw Data'!C110</f>
        <v>Bethesda</v>
      </c>
      <c r="B110" s="5" t="n">
        <f aca="false">'Raw Data'!A110</f>
        <v>40365</v>
      </c>
      <c r="C110" s="6" t="n">
        <f aca="false">'Raw Data'!D110</f>
        <v>299.635685513023</v>
      </c>
      <c r="D110" s="6" t="n">
        <f aca="false">'Raw Data'!E110</f>
        <v>3.19625</v>
      </c>
      <c r="E110" s="6" t="n">
        <f aca="false">'Raw Data'!F110</f>
        <v>0</v>
      </c>
      <c r="F110" s="6" t="n">
        <f aca="false">'Raw Data'!G110</f>
        <v>1</v>
      </c>
      <c r="G110" s="6" t="n">
        <f aca="false">'Raw Data'!H110</f>
        <v>0</v>
      </c>
      <c r="H110" s="6" t="n">
        <f aca="false">'Raw Data'!I110</f>
        <v>0</v>
      </c>
      <c r="I110" s="6" t="n">
        <f aca="false">'Raw Data'!J110</f>
        <v>1</v>
      </c>
      <c r="J110" s="6" t="n">
        <f aca="false">'Raw Data'!K110</f>
        <v>3</v>
      </c>
      <c r="K110" s="6" t="n">
        <f aca="false">'Raw Data'!L110</f>
        <v>3</v>
      </c>
      <c r="L110" s="6" t="n">
        <f aca="false">F110*E110</f>
        <v>0</v>
      </c>
      <c r="N110" s="0" t="n">
        <v>1</v>
      </c>
      <c r="O110" s="6" t="n">
        <f aca="false">D110</f>
        <v>3.19625</v>
      </c>
      <c r="P110" s="6" t="n">
        <f aca="false">E110</f>
        <v>0</v>
      </c>
      <c r="Q110" s="6" t="n">
        <f aca="false">F110</f>
        <v>1</v>
      </c>
      <c r="R110" s="6" t="n">
        <f aca="false">G110</f>
        <v>0</v>
      </c>
      <c r="S110" s="6" t="n">
        <f aca="false">H110</f>
        <v>0</v>
      </c>
      <c r="T110" s="6" t="n">
        <f aca="false">I110</f>
        <v>1</v>
      </c>
      <c r="U110" s="6" t="n">
        <f aca="false">L110</f>
        <v>0</v>
      </c>
      <c r="W110" s="6" t="n">
        <f aca="false">D110</f>
        <v>3.19625</v>
      </c>
      <c r="X110" s="6" t="n">
        <f aca="false">E110</f>
        <v>0</v>
      </c>
      <c r="Y110" s="6" t="n">
        <f aca="false">F110</f>
        <v>1</v>
      </c>
      <c r="Z110" s="6" t="n">
        <f aca="false">L110</f>
        <v>0</v>
      </c>
      <c r="AA110" s="6" t="n">
        <f aca="false">G110</f>
        <v>0</v>
      </c>
      <c r="AC110" s="6" t="n">
        <f aca="false">D110</f>
        <v>3.19625</v>
      </c>
      <c r="AD110" s="6" t="n">
        <f aca="false">E110</f>
        <v>0</v>
      </c>
      <c r="AE110" s="6" t="n">
        <f aca="false">G110</f>
        <v>0</v>
      </c>
      <c r="AF110" s="6" t="n">
        <f aca="false">H110</f>
        <v>0</v>
      </c>
      <c r="AG110" s="6" t="n">
        <f aca="false">I110</f>
        <v>1</v>
      </c>
      <c r="AH110" s="6" t="n">
        <f aca="false">L110</f>
        <v>0</v>
      </c>
    </row>
    <row r="111" customFormat="false" ht="15" hidden="false" customHeight="false" outlineLevel="0" collapsed="false">
      <c r="A111" s="0" t="str">
        <f aca="false">'Raw Data'!C111</f>
        <v>Bethesda</v>
      </c>
      <c r="B111" s="5" t="n">
        <f aca="false">'Raw Data'!A111</f>
        <v>40372</v>
      </c>
      <c r="C111" s="6" t="n">
        <f aca="false">'Raw Data'!D111</f>
        <v>305.56784938342</v>
      </c>
      <c r="D111" s="6" t="n">
        <f aca="false">'Raw Data'!E111</f>
        <v>3.19625</v>
      </c>
      <c r="E111" s="6" t="n">
        <f aca="false">'Raw Data'!F111</f>
        <v>0</v>
      </c>
      <c r="F111" s="6" t="n">
        <f aca="false">'Raw Data'!G111</f>
        <v>1</v>
      </c>
      <c r="G111" s="6" t="n">
        <f aca="false">'Raw Data'!H111</f>
        <v>0</v>
      </c>
      <c r="H111" s="6" t="n">
        <f aca="false">'Raw Data'!I111</f>
        <v>0</v>
      </c>
      <c r="I111" s="6" t="n">
        <f aca="false">'Raw Data'!J111</f>
        <v>1</v>
      </c>
      <c r="J111" s="6" t="n">
        <f aca="false">'Raw Data'!K111</f>
        <v>3</v>
      </c>
      <c r="K111" s="6" t="n">
        <f aca="false">'Raw Data'!L111</f>
        <v>3</v>
      </c>
      <c r="L111" s="6" t="n">
        <f aca="false">F111*E111</f>
        <v>0</v>
      </c>
      <c r="N111" s="0" t="n">
        <v>1</v>
      </c>
      <c r="O111" s="6" t="n">
        <f aca="false">D111</f>
        <v>3.19625</v>
      </c>
      <c r="P111" s="6" t="n">
        <f aca="false">E111</f>
        <v>0</v>
      </c>
      <c r="Q111" s="6" t="n">
        <f aca="false">F111</f>
        <v>1</v>
      </c>
      <c r="R111" s="6" t="n">
        <f aca="false">G111</f>
        <v>0</v>
      </c>
      <c r="S111" s="6" t="n">
        <f aca="false">H111</f>
        <v>0</v>
      </c>
      <c r="T111" s="6" t="n">
        <f aca="false">I111</f>
        <v>1</v>
      </c>
      <c r="U111" s="6" t="n">
        <f aca="false">L111</f>
        <v>0</v>
      </c>
      <c r="W111" s="6" t="n">
        <f aca="false">D111</f>
        <v>3.19625</v>
      </c>
      <c r="X111" s="6" t="n">
        <f aca="false">E111</f>
        <v>0</v>
      </c>
      <c r="Y111" s="6" t="n">
        <f aca="false">F111</f>
        <v>1</v>
      </c>
      <c r="Z111" s="6" t="n">
        <f aca="false">L111</f>
        <v>0</v>
      </c>
      <c r="AA111" s="6" t="n">
        <f aca="false">G111</f>
        <v>0</v>
      </c>
      <c r="AC111" s="6" t="n">
        <f aca="false">D111</f>
        <v>3.19625</v>
      </c>
      <c r="AD111" s="6" t="n">
        <f aca="false">E111</f>
        <v>0</v>
      </c>
      <c r="AE111" s="6" t="n">
        <f aca="false">G111</f>
        <v>0</v>
      </c>
      <c r="AF111" s="6" t="n">
        <f aca="false">H111</f>
        <v>0</v>
      </c>
      <c r="AG111" s="6" t="n">
        <f aca="false">I111</f>
        <v>1</v>
      </c>
      <c r="AH111" s="6" t="n">
        <f aca="false">L111</f>
        <v>0</v>
      </c>
    </row>
    <row r="112" customFormat="false" ht="15" hidden="false" customHeight="false" outlineLevel="0" collapsed="false">
      <c r="A112" s="0" t="str">
        <f aca="false">'Raw Data'!C112</f>
        <v>Cedar Center</v>
      </c>
      <c r="B112" s="5" t="n">
        <f aca="false">'Raw Data'!A112</f>
        <v>40302</v>
      </c>
      <c r="C112" s="6" t="n">
        <f aca="false">'Raw Data'!D112</f>
        <v>170.702524095149</v>
      </c>
      <c r="D112" s="6" t="n">
        <f aca="false">'Raw Data'!E112</f>
        <v>3.904285714</v>
      </c>
      <c r="E112" s="6" t="n">
        <f aca="false">'Raw Data'!F112</f>
        <v>0</v>
      </c>
      <c r="F112" s="6" t="n">
        <f aca="false">'Raw Data'!G112</f>
        <v>0</v>
      </c>
      <c r="G112" s="6" t="n">
        <f aca="false">'Raw Data'!H112</f>
        <v>0</v>
      </c>
      <c r="H112" s="6" t="n">
        <f aca="false">'Raw Data'!I112</f>
        <v>0</v>
      </c>
      <c r="I112" s="6" t="n">
        <f aca="false">'Raw Data'!J112</f>
        <v>0</v>
      </c>
      <c r="J112" s="6" t="n">
        <f aca="false">'Raw Data'!K112</f>
        <v>2</v>
      </c>
      <c r="K112" s="6" t="n">
        <f aca="false">'Raw Data'!L112</f>
        <v>2</v>
      </c>
      <c r="L112" s="6" t="n">
        <f aca="false">F112*E112</f>
        <v>0</v>
      </c>
      <c r="N112" s="0" t="n">
        <v>1</v>
      </c>
      <c r="O112" s="6" t="n">
        <f aca="false">D112</f>
        <v>3.904285714</v>
      </c>
      <c r="P112" s="6" t="n">
        <f aca="false">E112</f>
        <v>0</v>
      </c>
      <c r="Q112" s="6" t="n">
        <f aca="false">F112</f>
        <v>0</v>
      </c>
      <c r="R112" s="6" t="n">
        <f aca="false">G112</f>
        <v>0</v>
      </c>
      <c r="S112" s="6" t="n">
        <f aca="false">H112</f>
        <v>0</v>
      </c>
      <c r="T112" s="6" t="n">
        <f aca="false">I112</f>
        <v>0</v>
      </c>
      <c r="U112" s="6" t="n">
        <f aca="false">L112</f>
        <v>0</v>
      </c>
      <c r="W112" s="6" t="n">
        <f aca="false">D112</f>
        <v>3.904285714</v>
      </c>
      <c r="X112" s="6" t="n">
        <f aca="false">E112</f>
        <v>0</v>
      </c>
      <c r="Y112" s="6" t="n">
        <f aca="false">F112</f>
        <v>0</v>
      </c>
      <c r="Z112" s="6" t="n">
        <f aca="false">L112</f>
        <v>0</v>
      </c>
      <c r="AA112" s="6" t="n">
        <f aca="false">G112</f>
        <v>0</v>
      </c>
      <c r="AC112" s="6" t="n">
        <f aca="false">D112</f>
        <v>3.904285714</v>
      </c>
      <c r="AD112" s="6" t="n">
        <f aca="false">E112</f>
        <v>0</v>
      </c>
      <c r="AE112" s="6" t="n">
        <f aca="false">G112</f>
        <v>0</v>
      </c>
      <c r="AF112" s="6" t="n">
        <f aca="false">H112</f>
        <v>0</v>
      </c>
      <c r="AG112" s="6" t="n">
        <f aca="false">I112</f>
        <v>0</v>
      </c>
      <c r="AH112" s="6" t="n">
        <f aca="false">L112</f>
        <v>0</v>
      </c>
    </row>
    <row r="113" customFormat="false" ht="15" hidden="false" customHeight="false" outlineLevel="0" collapsed="false">
      <c r="A113" s="0" t="str">
        <f aca="false">'Raw Data'!C113</f>
        <v>Cedar Center</v>
      </c>
      <c r="B113" s="5" t="n">
        <f aca="false">'Raw Data'!A113</f>
        <v>40309</v>
      </c>
      <c r="C113" s="6" t="n">
        <f aca="false">'Raw Data'!D113</f>
        <v>115.687997802223</v>
      </c>
      <c r="D113" s="6" t="n">
        <f aca="false">'Raw Data'!E113</f>
        <v>3.904285714</v>
      </c>
      <c r="E113" s="6" t="n">
        <f aca="false">'Raw Data'!F113</f>
        <v>0</v>
      </c>
      <c r="F113" s="6" t="n">
        <f aca="false">'Raw Data'!G113</f>
        <v>0</v>
      </c>
      <c r="G113" s="6" t="n">
        <f aca="false">'Raw Data'!H113</f>
        <v>0</v>
      </c>
      <c r="H113" s="6" t="n">
        <f aca="false">'Raw Data'!I113</f>
        <v>0</v>
      </c>
      <c r="I113" s="6" t="n">
        <f aca="false">'Raw Data'!J113</f>
        <v>0</v>
      </c>
      <c r="J113" s="6" t="n">
        <f aca="false">'Raw Data'!K113</f>
        <v>2</v>
      </c>
      <c r="K113" s="6" t="n">
        <f aca="false">'Raw Data'!L113</f>
        <v>2</v>
      </c>
      <c r="L113" s="6" t="n">
        <f aca="false">F113*E113</f>
        <v>0</v>
      </c>
      <c r="N113" s="0" t="n">
        <v>1</v>
      </c>
      <c r="O113" s="6" t="n">
        <f aca="false">D113</f>
        <v>3.904285714</v>
      </c>
      <c r="P113" s="6" t="n">
        <f aca="false">E113</f>
        <v>0</v>
      </c>
      <c r="Q113" s="6" t="n">
        <f aca="false">F113</f>
        <v>0</v>
      </c>
      <c r="R113" s="6" t="n">
        <f aca="false">G113</f>
        <v>0</v>
      </c>
      <c r="S113" s="6" t="n">
        <f aca="false">H113</f>
        <v>0</v>
      </c>
      <c r="T113" s="6" t="n">
        <f aca="false">I113</f>
        <v>0</v>
      </c>
      <c r="U113" s="6" t="n">
        <f aca="false">L113</f>
        <v>0</v>
      </c>
      <c r="W113" s="6" t="n">
        <f aca="false">D113</f>
        <v>3.904285714</v>
      </c>
      <c r="X113" s="6" t="n">
        <f aca="false">E113</f>
        <v>0</v>
      </c>
      <c r="Y113" s="6" t="n">
        <f aca="false">F113</f>
        <v>0</v>
      </c>
      <c r="Z113" s="6" t="n">
        <f aca="false">L113</f>
        <v>0</v>
      </c>
      <c r="AA113" s="6" t="n">
        <f aca="false">G113</f>
        <v>0</v>
      </c>
      <c r="AC113" s="6" t="n">
        <f aca="false">D113</f>
        <v>3.904285714</v>
      </c>
      <c r="AD113" s="6" t="n">
        <f aca="false">E113</f>
        <v>0</v>
      </c>
      <c r="AE113" s="6" t="n">
        <f aca="false">G113</f>
        <v>0</v>
      </c>
      <c r="AF113" s="6" t="n">
        <f aca="false">H113</f>
        <v>0</v>
      </c>
      <c r="AG113" s="6" t="n">
        <f aca="false">I113</f>
        <v>0</v>
      </c>
      <c r="AH113" s="6" t="n">
        <f aca="false">L113</f>
        <v>0</v>
      </c>
    </row>
    <row r="114" customFormat="false" ht="15" hidden="false" customHeight="false" outlineLevel="0" collapsed="false">
      <c r="A114" s="0" t="str">
        <f aca="false">'Raw Data'!C114</f>
        <v>Cedar Center</v>
      </c>
      <c r="B114" s="5" t="n">
        <f aca="false">'Raw Data'!A114</f>
        <v>40316</v>
      </c>
      <c r="C114" s="6" t="n">
        <f aca="false">'Raw Data'!D114</f>
        <v>162.40568885032</v>
      </c>
      <c r="D114" s="6" t="n">
        <f aca="false">'Raw Data'!E114</f>
        <v>3.618571429</v>
      </c>
      <c r="E114" s="6" t="n">
        <f aca="false">'Raw Data'!F114</f>
        <v>0</v>
      </c>
      <c r="F114" s="6" t="n">
        <f aca="false">'Raw Data'!G114</f>
        <v>0</v>
      </c>
      <c r="G114" s="6" t="n">
        <f aca="false">'Raw Data'!H114</f>
        <v>0</v>
      </c>
      <c r="H114" s="6" t="n">
        <f aca="false">'Raw Data'!I114</f>
        <v>0</v>
      </c>
      <c r="I114" s="6" t="n">
        <f aca="false">'Raw Data'!J114</f>
        <v>0</v>
      </c>
      <c r="J114" s="6" t="n">
        <f aca="false">'Raw Data'!K114</f>
        <v>2</v>
      </c>
      <c r="K114" s="6" t="n">
        <f aca="false">'Raw Data'!L114</f>
        <v>2</v>
      </c>
      <c r="L114" s="6" t="n">
        <f aca="false">F114*E114</f>
        <v>0</v>
      </c>
      <c r="N114" s="0" t="n">
        <v>1</v>
      </c>
      <c r="O114" s="6" t="n">
        <f aca="false">D114</f>
        <v>3.618571429</v>
      </c>
      <c r="P114" s="6" t="n">
        <f aca="false">E114</f>
        <v>0</v>
      </c>
      <c r="Q114" s="6" t="n">
        <f aca="false">F114</f>
        <v>0</v>
      </c>
      <c r="R114" s="6" t="n">
        <f aca="false">G114</f>
        <v>0</v>
      </c>
      <c r="S114" s="6" t="n">
        <f aca="false">H114</f>
        <v>0</v>
      </c>
      <c r="T114" s="6" t="n">
        <f aca="false">I114</f>
        <v>0</v>
      </c>
      <c r="U114" s="6" t="n">
        <f aca="false">L114</f>
        <v>0</v>
      </c>
      <c r="W114" s="6" t="n">
        <f aca="false">D114</f>
        <v>3.618571429</v>
      </c>
      <c r="X114" s="6" t="n">
        <f aca="false">E114</f>
        <v>0</v>
      </c>
      <c r="Y114" s="6" t="n">
        <f aca="false">F114</f>
        <v>0</v>
      </c>
      <c r="Z114" s="6" t="n">
        <f aca="false">L114</f>
        <v>0</v>
      </c>
      <c r="AA114" s="6" t="n">
        <f aca="false">G114</f>
        <v>0</v>
      </c>
      <c r="AC114" s="6" t="n">
        <f aca="false">D114</f>
        <v>3.618571429</v>
      </c>
      <c r="AD114" s="6" t="n">
        <f aca="false">E114</f>
        <v>0</v>
      </c>
      <c r="AE114" s="6" t="n">
        <f aca="false">G114</f>
        <v>0</v>
      </c>
      <c r="AF114" s="6" t="n">
        <f aca="false">H114</f>
        <v>0</v>
      </c>
      <c r="AG114" s="6" t="n">
        <f aca="false">I114</f>
        <v>0</v>
      </c>
      <c r="AH114" s="6" t="n">
        <f aca="false">L114</f>
        <v>0</v>
      </c>
    </row>
    <row r="115" customFormat="false" ht="15" hidden="false" customHeight="false" outlineLevel="0" collapsed="false">
      <c r="A115" s="0" t="str">
        <f aca="false">'Raw Data'!C115</f>
        <v>Cedar Center</v>
      </c>
      <c r="B115" s="5" t="n">
        <f aca="false">'Raw Data'!A115</f>
        <v>40323</v>
      </c>
      <c r="C115" s="6" t="n">
        <f aca="false">'Raw Data'!D115</f>
        <v>257.487773031381</v>
      </c>
      <c r="D115" s="6" t="n">
        <f aca="false">'Raw Data'!E115</f>
        <v>3.7775</v>
      </c>
      <c r="E115" s="6" t="n">
        <f aca="false">'Raw Data'!F115</f>
        <v>0</v>
      </c>
      <c r="F115" s="6" t="n">
        <f aca="false">'Raw Data'!G115</f>
        <v>0</v>
      </c>
      <c r="G115" s="6" t="n">
        <f aca="false">'Raw Data'!H115</f>
        <v>0</v>
      </c>
      <c r="H115" s="6" t="n">
        <f aca="false">'Raw Data'!I115</f>
        <v>0</v>
      </c>
      <c r="I115" s="6" t="n">
        <f aca="false">'Raw Data'!J115</f>
        <v>0</v>
      </c>
      <c r="J115" s="6" t="n">
        <f aca="false">'Raw Data'!K115</f>
        <v>2</v>
      </c>
      <c r="K115" s="6" t="n">
        <f aca="false">'Raw Data'!L115</f>
        <v>2</v>
      </c>
      <c r="L115" s="6" t="n">
        <f aca="false">F115*E115</f>
        <v>0</v>
      </c>
      <c r="N115" s="0" t="n">
        <v>1</v>
      </c>
      <c r="O115" s="6" t="n">
        <f aca="false">D115</f>
        <v>3.7775</v>
      </c>
      <c r="P115" s="6" t="n">
        <f aca="false">E115</f>
        <v>0</v>
      </c>
      <c r="Q115" s="6" t="n">
        <f aca="false">F115</f>
        <v>0</v>
      </c>
      <c r="R115" s="6" t="n">
        <f aca="false">G115</f>
        <v>0</v>
      </c>
      <c r="S115" s="6" t="n">
        <f aca="false">H115</f>
        <v>0</v>
      </c>
      <c r="T115" s="6" t="n">
        <f aca="false">I115</f>
        <v>0</v>
      </c>
      <c r="U115" s="6" t="n">
        <f aca="false">L115</f>
        <v>0</v>
      </c>
      <c r="W115" s="6" t="n">
        <f aca="false">D115</f>
        <v>3.7775</v>
      </c>
      <c r="X115" s="6" t="n">
        <f aca="false">E115</f>
        <v>0</v>
      </c>
      <c r="Y115" s="6" t="n">
        <f aca="false">F115</f>
        <v>0</v>
      </c>
      <c r="Z115" s="6" t="n">
        <f aca="false">L115</f>
        <v>0</v>
      </c>
      <c r="AA115" s="6" t="n">
        <f aca="false">G115</f>
        <v>0</v>
      </c>
      <c r="AC115" s="6" t="n">
        <f aca="false">D115</f>
        <v>3.7775</v>
      </c>
      <c r="AD115" s="6" t="n">
        <f aca="false">E115</f>
        <v>0</v>
      </c>
      <c r="AE115" s="6" t="n">
        <f aca="false">G115</f>
        <v>0</v>
      </c>
      <c r="AF115" s="6" t="n">
        <f aca="false">H115</f>
        <v>0</v>
      </c>
      <c r="AG115" s="6" t="n">
        <f aca="false">I115</f>
        <v>0</v>
      </c>
      <c r="AH115" s="6" t="n">
        <f aca="false">L115</f>
        <v>0</v>
      </c>
    </row>
    <row r="116" customFormat="false" ht="15" hidden="false" customHeight="false" outlineLevel="0" collapsed="false">
      <c r="A116" s="0" t="str">
        <f aca="false">'Raw Data'!C116</f>
        <v>Cedar Center</v>
      </c>
      <c r="B116" s="5" t="n">
        <f aca="false">'Raw Data'!A116</f>
        <v>40330</v>
      </c>
      <c r="C116" s="6" t="n">
        <f aca="false">'Raw Data'!D116</f>
        <v>248.690656081905</v>
      </c>
      <c r="D116" s="6" t="n">
        <f aca="false">'Raw Data'!E116</f>
        <v>3.7775</v>
      </c>
      <c r="E116" s="6" t="n">
        <f aca="false">'Raw Data'!F116</f>
        <v>0</v>
      </c>
      <c r="F116" s="6" t="n">
        <f aca="false">'Raw Data'!G116</f>
        <v>0</v>
      </c>
      <c r="G116" s="6" t="n">
        <f aca="false">'Raw Data'!H116</f>
        <v>0</v>
      </c>
      <c r="H116" s="6" t="n">
        <f aca="false">'Raw Data'!I116</f>
        <v>0</v>
      </c>
      <c r="I116" s="6" t="n">
        <f aca="false">'Raw Data'!J116</f>
        <v>0</v>
      </c>
      <c r="J116" s="6" t="n">
        <f aca="false">'Raw Data'!K116</f>
        <v>2</v>
      </c>
      <c r="K116" s="6" t="n">
        <f aca="false">'Raw Data'!L116</f>
        <v>2</v>
      </c>
      <c r="L116" s="6" t="n">
        <f aca="false">F116*E116</f>
        <v>0</v>
      </c>
      <c r="N116" s="0" t="n">
        <v>1</v>
      </c>
      <c r="O116" s="6" t="n">
        <f aca="false">D116</f>
        <v>3.7775</v>
      </c>
      <c r="P116" s="6" t="n">
        <f aca="false">E116</f>
        <v>0</v>
      </c>
      <c r="Q116" s="6" t="n">
        <f aca="false">F116</f>
        <v>0</v>
      </c>
      <c r="R116" s="6" t="n">
        <f aca="false">G116</f>
        <v>0</v>
      </c>
      <c r="S116" s="6" t="n">
        <f aca="false">H116</f>
        <v>0</v>
      </c>
      <c r="T116" s="6" t="n">
        <f aca="false">I116</f>
        <v>0</v>
      </c>
      <c r="U116" s="6" t="n">
        <f aca="false">L116</f>
        <v>0</v>
      </c>
      <c r="W116" s="6" t="n">
        <f aca="false">D116</f>
        <v>3.7775</v>
      </c>
      <c r="X116" s="6" t="n">
        <f aca="false">E116</f>
        <v>0</v>
      </c>
      <c r="Y116" s="6" t="n">
        <f aca="false">F116</f>
        <v>0</v>
      </c>
      <c r="Z116" s="6" t="n">
        <f aca="false">L116</f>
        <v>0</v>
      </c>
      <c r="AA116" s="6" t="n">
        <f aca="false">G116</f>
        <v>0</v>
      </c>
      <c r="AC116" s="6" t="n">
        <f aca="false">D116</f>
        <v>3.7775</v>
      </c>
      <c r="AD116" s="6" t="n">
        <f aca="false">E116</f>
        <v>0</v>
      </c>
      <c r="AE116" s="6" t="n">
        <f aca="false">G116</f>
        <v>0</v>
      </c>
      <c r="AF116" s="6" t="n">
        <f aca="false">H116</f>
        <v>0</v>
      </c>
      <c r="AG116" s="6" t="n">
        <f aca="false">I116</f>
        <v>0</v>
      </c>
      <c r="AH116" s="6" t="n">
        <f aca="false">L116</f>
        <v>0</v>
      </c>
    </row>
    <row r="117" customFormat="false" ht="15" hidden="false" customHeight="false" outlineLevel="0" collapsed="false">
      <c r="A117" s="0" t="str">
        <f aca="false">'Raw Data'!C117</f>
        <v>Cedar Center</v>
      </c>
      <c r="B117" s="5" t="n">
        <f aca="false">'Raw Data'!A117</f>
        <v>40337</v>
      </c>
      <c r="C117" s="6" t="n">
        <f aca="false">'Raw Data'!D117</f>
        <v>151.293411966053</v>
      </c>
      <c r="D117" s="6" t="n">
        <f aca="false">'Raw Data'!E117</f>
        <v>3.7525</v>
      </c>
      <c r="E117" s="6" t="n">
        <f aca="false">'Raw Data'!F117</f>
        <v>0</v>
      </c>
      <c r="F117" s="6" t="n">
        <f aca="false">'Raw Data'!G117</f>
        <v>0</v>
      </c>
      <c r="G117" s="6" t="n">
        <f aca="false">'Raw Data'!H117</f>
        <v>0</v>
      </c>
      <c r="H117" s="6" t="n">
        <f aca="false">'Raw Data'!I117</f>
        <v>0</v>
      </c>
      <c r="I117" s="6" t="n">
        <f aca="false">'Raw Data'!J117</f>
        <v>0</v>
      </c>
      <c r="J117" s="6" t="n">
        <f aca="false">'Raw Data'!K117</f>
        <v>2</v>
      </c>
      <c r="K117" s="6" t="n">
        <f aca="false">'Raw Data'!L117</f>
        <v>2</v>
      </c>
      <c r="L117" s="6" t="n">
        <f aca="false">F117*E117</f>
        <v>0</v>
      </c>
      <c r="N117" s="0" t="n">
        <v>1</v>
      </c>
      <c r="O117" s="6" t="n">
        <f aca="false">D117</f>
        <v>3.7525</v>
      </c>
      <c r="P117" s="6" t="n">
        <f aca="false">E117</f>
        <v>0</v>
      </c>
      <c r="Q117" s="6" t="n">
        <f aca="false">F117</f>
        <v>0</v>
      </c>
      <c r="R117" s="6" t="n">
        <f aca="false">G117</f>
        <v>0</v>
      </c>
      <c r="S117" s="6" t="n">
        <f aca="false">H117</f>
        <v>0</v>
      </c>
      <c r="T117" s="6" t="n">
        <f aca="false">I117</f>
        <v>0</v>
      </c>
      <c r="U117" s="6" t="n">
        <f aca="false">L117</f>
        <v>0</v>
      </c>
      <c r="W117" s="6" t="n">
        <f aca="false">D117</f>
        <v>3.7525</v>
      </c>
      <c r="X117" s="6" t="n">
        <f aca="false">E117</f>
        <v>0</v>
      </c>
      <c r="Y117" s="6" t="n">
        <f aca="false">F117</f>
        <v>0</v>
      </c>
      <c r="Z117" s="6" t="n">
        <f aca="false">L117</f>
        <v>0</v>
      </c>
      <c r="AA117" s="6" t="n">
        <f aca="false">G117</f>
        <v>0</v>
      </c>
      <c r="AC117" s="6" t="n">
        <f aca="false">D117</f>
        <v>3.7525</v>
      </c>
      <c r="AD117" s="6" t="n">
        <f aca="false">E117</f>
        <v>0</v>
      </c>
      <c r="AE117" s="6" t="n">
        <f aca="false">G117</f>
        <v>0</v>
      </c>
      <c r="AF117" s="6" t="n">
        <f aca="false">H117</f>
        <v>0</v>
      </c>
      <c r="AG117" s="6" t="n">
        <f aca="false">I117</f>
        <v>0</v>
      </c>
      <c r="AH117" s="6" t="n">
        <f aca="false">L117</f>
        <v>0</v>
      </c>
    </row>
    <row r="118" customFormat="false" ht="15" hidden="false" customHeight="false" outlineLevel="0" collapsed="false">
      <c r="A118" s="0" t="str">
        <f aca="false">'Raw Data'!C118</f>
        <v>Cedar Center</v>
      </c>
      <c r="B118" s="5" t="n">
        <f aca="false">'Raw Data'!A118</f>
        <v>40344</v>
      </c>
      <c r="C118" s="6" t="n">
        <f aca="false">'Raw Data'!D118</f>
        <v>155.605048023488</v>
      </c>
      <c r="D118" s="6" t="n">
        <f aca="false">'Raw Data'!E118</f>
        <v>3.944444444</v>
      </c>
      <c r="E118" s="6" t="n">
        <f aca="false">'Raw Data'!F118</f>
        <v>0</v>
      </c>
      <c r="F118" s="6" t="n">
        <f aca="false">'Raw Data'!G118</f>
        <v>0</v>
      </c>
      <c r="G118" s="6" t="n">
        <f aca="false">'Raw Data'!H118</f>
        <v>0</v>
      </c>
      <c r="H118" s="6" t="n">
        <f aca="false">'Raw Data'!I118</f>
        <v>0</v>
      </c>
      <c r="I118" s="6" t="n">
        <f aca="false">'Raw Data'!J118</f>
        <v>0</v>
      </c>
      <c r="J118" s="6" t="n">
        <f aca="false">'Raw Data'!K118</f>
        <v>2</v>
      </c>
      <c r="K118" s="6" t="n">
        <f aca="false">'Raw Data'!L118</f>
        <v>2</v>
      </c>
      <c r="L118" s="6" t="n">
        <f aca="false">F118*E118</f>
        <v>0</v>
      </c>
      <c r="N118" s="0" t="n">
        <v>1</v>
      </c>
      <c r="O118" s="6" t="n">
        <f aca="false">D118</f>
        <v>3.944444444</v>
      </c>
      <c r="P118" s="6" t="n">
        <f aca="false">E118</f>
        <v>0</v>
      </c>
      <c r="Q118" s="6" t="n">
        <f aca="false">F118</f>
        <v>0</v>
      </c>
      <c r="R118" s="6" t="n">
        <f aca="false">G118</f>
        <v>0</v>
      </c>
      <c r="S118" s="6" t="n">
        <f aca="false">H118</f>
        <v>0</v>
      </c>
      <c r="T118" s="6" t="n">
        <f aca="false">I118</f>
        <v>0</v>
      </c>
      <c r="U118" s="6" t="n">
        <f aca="false">L118</f>
        <v>0</v>
      </c>
      <c r="W118" s="6" t="n">
        <f aca="false">D118</f>
        <v>3.944444444</v>
      </c>
      <c r="X118" s="6" t="n">
        <f aca="false">E118</f>
        <v>0</v>
      </c>
      <c r="Y118" s="6" t="n">
        <f aca="false">F118</f>
        <v>0</v>
      </c>
      <c r="Z118" s="6" t="n">
        <f aca="false">L118</f>
        <v>0</v>
      </c>
      <c r="AA118" s="6" t="n">
        <f aca="false">G118</f>
        <v>0</v>
      </c>
      <c r="AC118" s="6" t="n">
        <f aca="false">D118</f>
        <v>3.944444444</v>
      </c>
      <c r="AD118" s="6" t="n">
        <f aca="false">E118</f>
        <v>0</v>
      </c>
      <c r="AE118" s="6" t="n">
        <f aca="false">G118</f>
        <v>0</v>
      </c>
      <c r="AF118" s="6" t="n">
        <f aca="false">H118</f>
        <v>0</v>
      </c>
      <c r="AG118" s="6" t="n">
        <f aca="false">I118</f>
        <v>0</v>
      </c>
      <c r="AH118" s="6" t="n">
        <f aca="false">L118</f>
        <v>0</v>
      </c>
    </row>
    <row r="119" customFormat="false" ht="15" hidden="false" customHeight="false" outlineLevel="0" collapsed="false">
      <c r="A119" s="0" t="str">
        <f aca="false">'Raw Data'!C119</f>
        <v>Cedar Center</v>
      </c>
      <c r="B119" s="5" t="n">
        <f aca="false">'Raw Data'!A119</f>
        <v>40351</v>
      </c>
      <c r="C119" s="6" t="n">
        <f aca="false">'Raw Data'!D119</f>
        <v>110.560198744382</v>
      </c>
      <c r="D119" s="6" t="n">
        <f aca="false">'Raw Data'!E119</f>
        <v>3.856666667</v>
      </c>
      <c r="E119" s="6" t="n">
        <f aca="false">'Raw Data'!F119</f>
        <v>0</v>
      </c>
      <c r="F119" s="6" t="n">
        <f aca="false">'Raw Data'!G119</f>
        <v>0</v>
      </c>
      <c r="G119" s="6" t="n">
        <f aca="false">'Raw Data'!H119</f>
        <v>0</v>
      </c>
      <c r="H119" s="6" t="n">
        <f aca="false">'Raw Data'!I119</f>
        <v>0</v>
      </c>
      <c r="I119" s="6" t="n">
        <f aca="false">'Raw Data'!J119</f>
        <v>0</v>
      </c>
      <c r="J119" s="6" t="n">
        <f aca="false">'Raw Data'!K119</f>
        <v>2</v>
      </c>
      <c r="K119" s="6" t="n">
        <f aca="false">'Raw Data'!L119</f>
        <v>2</v>
      </c>
      <c r="L119" s="6" t="n">
        <f aca="false">F119*E119</f>
        <v>0</v>
      </c>
      <c r="N119" s="0" t="n">
        <v>1</v>
      </c>
      <c r="O119" s="6" t="n">
        <f aca="false">D119</f>
        <v>3.856666667</v>
      </c>
      <c r="P119" s="6" t="n">
        <f aca="false">E119</f>
        <v>0</v>
      </c>
      <c r="Q119" s="6" t="n">
        <f aca="false">F119</f>
        <v>0</v>
      </c>
      <c r="R119" s="6" t="n">
        <f aca="false">G119</f>
        <v>0</v>
      </c>
      <c r="S119" s="6" t="n">
        <f aca="false">H119</f>
        <v>0</v>
      </c>
      <c r="T119" s="6" t="n">
        <f aca="false">I119</f>
        <v>0</v>
      </c>
      <c r="U119" s="6" t="n">
        <f aca="false">L119</f>
        <v>0</v>
      </c>
      <c r="W119" s="6" t="n">
        <f aca="false">D119</f>
        <v>3.856666667</v>
      </c>
      <c r="X119" s="6" t="n">
        <f aca="false">E119</f>
        <v>0</v>
      </c>
      <c r="Y119" s="6" t="n">
        <f aca="false">F119</f>
        <v>0</v>
      </c>
      <c r="Z119" s="6" t="n">
        <f aca="false">L119</f>
        <v>0</v>
      </c>
      <c r="AA119" s="6" t="n">
        <f aca="false">G119</f>
        <v>0</v>
      </c>
      <c r="AC119" s="6" t="n">
        <f aca="false">D119</f>
        <v>3.856666667</v>
      </c>
      <c r="AD119" s="6" t="n">
        <f aca="false">E119</f>
        <v>0</v>
      </c>
      <c r="AE119" s="6" t="n">
        <f aca="false">G119</f>
        <v>0</v>
      </c>
      <c r="AF119" s="6" t="n">
        <f aca="false">H119</f>
        <v>0</v>
      </c>
      <c r="AG119" s="6" t="n">
        <f aca="false">I119</f>
        <v>0</v>
      </c>
      <c r="AH119" s="6" t="n">
        <f aca="false">L119</f>
        <v>0</v>
      </c>
    </row>
    <row r="120" customFormat="false" ht="15" hidden="false" customHeight="false" outlineLevel="0" collapsed="false">
      <c r="A120" s="0" t="str">
        <f aca="false">'Raw Data'!C120</f>
        <v>Cedar Center</v>
      </c>
      <c r="B120" s="5" t="n">
        <f aca="false">'Raw Data'!A120</f>
        <v>40358</v>
      </c>
      <c r="C120" s="6" t="n">
        <f aca="false">'Raw Data'!D120</f>
        <v>233.259203013615</v>
      </c>
      <c r="D120" s="6" t="n">
        <f aca="false">'Raw Data'!E120</f>
        <v>3.967777778</v>
      </c>
      <c r="E120" s="6" t="n">
        <f aca="false">'Raw Data'!F120</f>
        <v>0</v>
      </c>
      <c r="F120" s="6" t="n">
        <f aca="false">'Raw Data'!G120</f>
        <v>0</v>
      </c>
      <c r="G120" s="6" t="n">
        <f aca="false">'Raw Data'!H120</f>
        <v>0</v>
      </c>
      <c r="H120" s="6" t="n">
        <f aca="false">'Raw Data'!I120</f>
        <v>0</v>
      </c>
      <c r="I120" s="6" t="n">
        <f aca="false">'Raw Data'!J120</f>
        <v>0</v>
      </c>
      <c r="J120" s="6" t="n">
        <f aca="false">'Raw Data'!K120</f>
        <v>2</v>
      </c>
      <c r="K120" s="6" t="n">
        <f aca="false">'Raw Data'!L120</f>
        <v>2</v>
      </c>
      <c r="L120" s="6" t="n">
        <f aca="false">F120*E120</f>
        <v>0</v>
      </c>
      <c r="N120" s="0" t="n">
        <v>1</v>
      </c>
      <c r="O120" s="6" t="n">
        <f aca="false">D120</f>
        <v>3.967777778</v>
      </c>
      <c r="P120" s="6" t="n">
        <f aca="false">E120</f>
        <v>0</v>
      </c>
      <c r="Q120" s="6" t="n">
        <f aca="false">F120</f>
        <v>0</v>
      </c>
      <c r="R120" s="6" t="n">
        <f aca="false">G120</f>
        <v>0</v>
      </c>
      <c r="S120" s="6" t="n">
        <f aca="false">H120</f>
        <v>0</v>
      </c>
      <c r="T120" s="6" t="n">
        <f aca="false">I120</f>
        <v>0</v>
      </c>
      <c r="U120" s="6" t="n">
        <f aca="false">L120</f>
        <v>0</v>
      </c>
      <c r="W120" s="6" t="n">
        <f aca="false">D120</f>
        <v>3.967777778</v>
      </c>
      <c r="X120" s="6" t="n">
        <f aca="false">E120</f>
        <v>0</v>
      </c>
      <c r="Y120" s="6" t="n">
        <f aca="false">F120</f>
        <v>0</v>
      </c>
      <c r="Z120" s="6" t="n">
        <f aca="false">L120</f>
        <v>0</v>
      </c>
      <c r="AA120" s="6" t="n">
        <f aca="false">G120</f>
        <v>0</v>
      </c>
      <c r="AC120" s="6" t="n">
        <f aca="false">D120</f>
        <v>3.967777778</v>
      </c>
      <c r="AD120" s="6" t="n">
        <f aca="false">E120</f>
        <v>0</v>
      </c>
      <c r="AE120" s="6" t="n">
        <f aca="false">G120</f>
        <v>0</v>
      </c>
      <c r="AF120" s="6" t="n">
        <f aca="false">H120</f>
        <v>0</v>
      </c>
      <c r="AG120" s="6" t="n">
        <f aca="false">I120</f>
        <v>0</v>
      </c>
      <c r="AH120" s="6" t="n">
        <f aca="false">L120</f>
        <v>0</v>
      </c>
    </row>
    <row r="121" customFormat="false" ht="15" hidden="false" customHeight="false" outlineLevel="0" collapsed="false">
      <c r="A121" s="0" t="str">
        <f aca="false">'Raw Data'!C121</f>
        <v>Cedar Center</v>
      </c>
      <c r="B121" s="5" t="n">
        <f aca="false">'Raw Data'!A121</f>
        <v>40365</v>
      </c>
      <c r="C121" s="6" t="n">
        <f aca="false">'Raw Data'!D121</f>
        <v>228.325041470496</v>
      </c>
      <c r="D121" s="6" t="n">
        <f aca="false">'Raw Data'!E121</f>
        <v>3.473333333</v>
      </c>
      <c r="E121" s="6" t="n">
        <f aca="false">'Raw Data'!F121</f>
        <v>0</v>
      </c>
      <c r="F121" s="6" t="n">
        <f aca="false">'Raw Data'!G121</f>
        <v>0</v>
      </c>
      <c r="G121" s="6" t="n">
        <f aca="false">'Raw Data'!H121</f>
        <v>0</v>
      </c>
      <c r="H121" s="6" t="n">
        <f aca="false">'Raw Data'!I121</f>
        <v>0</v>
      </c>
      <c r="I121" s="6" t="n">
        <f aca="false">'Raw Data'!J121</f>
        <v>0</v>
      </c>
      <c r="J121" s="6" t="n">
        <f aca="false">'Raw Data'!K121</f>
        <v>2</v>
      </c>
      <c r="K121" s="6" t="n">
        <f aca="false">'Raw Data'!L121</f>
        <v>2</v>
      </c>
      <c r="L121" s="6" t="n">
        <f aca="false">F121*E121</f>
        <v>0</v>
      </c>
      <c r="N121" s="0" t="n">
        <v>1</v>
      </c>
      <c r="O121" s="6" t="n">
        <f aca="false">D121</f>
        <v>3.473333333</v>
      </c>
      <c r="P121" s="6" t="n">
        <f aca="false">E121</f>
        <v>0</v>
      </c>
      <c r="Q121" s="6" t="n">
        <f aca="false">F121</f>
        <v>0</v>
      </c>
      <c r="R121" s="6" t="n">
        <f aca="false">G121</f>
        <v>0</v>
      </c>
      <c r="S121" s="6" t="n">
        <f aca="false">H121</f>
        <v>0</v>
      </c>
      <c r="T121" s="6" t="n">
        <f aca="false">I121</f>
        <v>0</v>
      </c>
      <c r="U121" s="6" t="n">
        <f aca="false">L121</f>
        <v>0</v>
      </c>
      <c r="W121" s="6" t="n">
        <f aca="false">D121</f>
        <v>3.473333333</v>
      </c>
      <c r="X121" s="6" t="n">
        <f aca="false">E121</f>
        <v>0</v>
      </c>
      <c r="Y121" s="6" t="n">
        <f aca="false">F121</f>
        <v>0</v>
      </c>
      <c r="Z121" s="6" t="n">
        <f aca="false">L121</f>
        <v>0</v>
      </c>
      <c r="AA121" s="6" t="n">
        <f aca="false">G121</f>
        <v>0</v>
      </c>
      <c r="AC121" s="6" t="n">
        <f aca="false">D121</f>
        <v>3.473333333</v>
      </c>
      <c r="AD121" s="6" t="n">
        <f aca="false">E121</f>
        <v>0</v>
      </c>
      <c r="AE121" s="6" t="n">
        <f aca="false">G121</f>
        <v>0</v>
      </c>
      <c r="AF121" s="6" t="n">
        <f aca="false">H121</f>
        <v>0</v>
      </c>
      <c r="AG121" s="6" t="n">
        <f aca="false">I121</f>
        <v>0</v>
      </c>
      <c r="AH121" s="6" t="n">
        <f aca="false">L121</f>
        <v>0</v>
      </c>
    </row>
    <row r="122" customFormat="false" ht="15" hidden="false" customHeight="false" outlineLevel="0" collapsed="false">
      <c r="A122" s="0" t="str">
        <f aca="false">'Raw Data'!C122</f>
        <v>Cedar Center</v>
      </c>
      <c r="B122" s="5" t="n">
        <f aca="false">'Raw Data'!A122</f>
        <v>40372</v>
      </c>
      <c r="C122" s="6" t="n">
        <f aca="false">'Raw Data'!D122</f>
        <v>221.791053433141</v>
      </c>
      <c r="D122" s="6" t="n">
        <f aca="false">'Raw Data'!E122</f>
        <v>3.473333333</v>
      </c>
      <c r="E122" s="6" t="n">
        <f aca="false">'Raw Data'!F122</f>
        <v>0</v>
      </c>
      <c r="F122" s="6" t="n">
        <f aca="false">'Raw Data'!G122</f>
        <v>0</v>
      </c>
      <c r="G122" s="6" t="n">
        <f aca="false">'Raw Data'!H122</f>
        <v>0</v>
      </c>
      <c r="H122" s="6" t="n">
        <f aca="false">'Raw Data'!I122</f>
        <v>0</v>
      </c>
      <c r="I122" s="6" t="n">
        <f aca="false">'Raw Data'!J122</f>
        <v>0</v>
      </c>
      <c r="J122" s="6" t="n">
        <f aca="false">'Raw Data'!K122</f>
        <v>2</v>
      </c>
      <c r="K122" s="6" t="n">
        <f aca="false">'Raw Data'!L122</f>
        <v>2</v>
      </c>
      <c r="L122" s="6" t="n">
        <f aca="false">F122*E122</f>
        <v>0</v>
      </c>
      <c r="N122" s="0" t="n">
        <v>1</v>
      </c>
      <c r="O122" s="6" t="n">
        <f aca="false">D122</f>
        <v>3.473333333</v>
      </c>
      <c r="P122" s="6" t="n">
        <f aca="false">E122</f>
        <v>0</v>
      </c>
      <c r="Q122" s="6" t="n">
        <f aca="false">F122</f>
        <v>0</v>
      </c>
      <c r="R122" s="6" t="n">
        <f aca="false">G122</f>
        <v>0</v>
      </c>
      <c r="S122" s="6" t="n">
        <f aca="false">H122</f>
        <v>0</v>
      </c>
      <c r="T122" s="6" t="n">
        <f aca="false">I122</f>
        <v>0</v>
      </c>
      <c r="U122" s="6" t="n">
        <f aca="false">L122</f>
        <v>0</v>
      </c>
      <c r="W122" s="6" t="n">
        <f aca="false">D122</f>
        <v>3.473333333</v>
      </c>
      <c r="X122" s="6" t="n">
        <f aca="false">E122</f>
        <v>0</v>
      </c>
      <c r="Y122" s="6" t="n">
        <f aca="false">F122</f>
        <v>0</v>
      </c>
      <c r="Z122" s="6" t="n">
        <f aca="false">L122</f>
        <v>0</v>
      </c>
      <c r="AA122" s="6" t="n">
        <f aca="false">G122</f>
        <v>0</v>
      </c>
      <c r="AC122" s="6" t="n">
        <f aca="false">D122</f>
        <v>3.473333333</v>
      </c>
      <c r="AD122" s="6" t="n">
        <f aca="false">E122</f>
        <v>0</v>
      </c>
      <c r="AE122" s="6" t="n">
        <f aca="false">G122</f>
        <v>0</v>
      </c>
      <c r="AF122" s="6" t="n">
        <f aca="false">H122</f>
        <v>0</v>
      </c>
      <c r="AG122" s="6" t="n">
        <f aca="false">I122</f>
        <v>0</v>
      </c>
      <c r="AH122" s="6" t="n">
        <f aca="false">L122</f>
        <v>0</v>
      </c>
    </row>
    <row r="123" customFormat="false" ht="15" hidden="false" customHeight="false" outlineLevel="0" collapsed="false">
      <c r="A123" s="0" t="str">
        <f aca="false">'Raw Data'!C123</f>
        <v>Columbus</v>
      </c>
      <c r="B123" s="5" t="n">
        <f aca="false">'Raw Data'!A123</f>
        <v>40302</v>
      </c>
      <c r="C123" s="6" t="n">
        <f aca="false">'Raw Data'!D123</f>
        <v>326.964404243629</v>
      </c>
      <c r="D123" s="6" t="n">
        <f aca="false">'Raw Data'!E123</f>
        <v>4.118571429</v>
      </c>
      <c r="E123" s="6" t="n">
        <f aca="false">'Raw Data'!F123</f>
        <v>0</v>
      </c>
      <c r="F123" s="6" t="n">
        <f aca="false">'Raw Data'!G123</f>
        <v>0</v>
      </c>
      <c r="G123" s="6" t="n">
        <f aca="false">'Raw Data'!H123</f>
        <v>0</v>
      </c>
      <c r="H123" s="6" t="n">
        <f aca="false">'Raw Data'!I123</f>
        <v>0</v>
      </c>
      <c r="I123" s="6" t="n">
        <f aca="false">'Raw Data'!J123</f>
        <v>1</v>
      </c>
      <c r="J123" s="6" t="n">
        <f aca="false">'Raw Data'!K123</f>
        <v>0</v>
      </c>
      <c r="K123" s="6" t="n">
        <f aca="false">'Raw Data'!L123</f>
        <v>4</v>
      </c>
      <c r="L123" s="6" t="n">
        <f aca="false">F123*E123</f>
        <v>0</v>
      </c>
      <c r="N123" s="0" t="n">
        <v>1</v>
      </c>
      <c r="O123" s="6" t="n">
        <f aca="false">D123</f>
        <v>4.118571429</v>
      </c>
      <c r="P123" s="6" t="n">
        <f aca="false">E123</f>
        <v>0</v>
      </c>
      <c r="Q123" s="6" t="n">
        <f aca="false">F123</f>
        <v>0</v>
      </c>
      <c r="R123" s="6" t="n">
        <f aca="false">G123</f>
        <v>0</v>
      </c>
      <c r="S123" s="6" t="n">
        <f aca="false">H123</f>
        <v>0</v>
      </c>
      <c r="T123" s="6" t="n">
        <f aca="false">I123</f>
        <v>1</v>
      </c>
      <c r="U123" s="6" t="n">
        <f aca="false">L123</f>
        <v>0</v>
      </c>
      <c r="W123" s="6" t="n">
        <f aca="false">D123</f>
        <v>4.118571429</v>
      </c>
      <c r="X123" s="6" t="n">
        <f aca="false">E123</f>
        <v>0</v>
      </c>
      <c r="Y123" s="6" t="n">
        <f aca="false">F123</f>
        <v>0</v>
      </c>
      <c r="Z123" s="6" t="n">
        <f aca="false">L123</f>
        <v>0</v>
      </c>
      <c r="AA123" s="6" t="n">
        <f aca="false">G123</f>
        <v>0</v>
      </c>
      <c r="AC123" s="6" t="n">
        <f aca="false">D123</f>
        <v>4.118571429</v>
      </c>
      <c r="AD123" s="6" t="n">
        <f aca="false">E123</f>
        <v>0</v>
      </c>
      <c r="AE123" s="6" t="n">
        <f aca="false">G123</f>
        <v>0</v>
      </c>
      <c r="AF123" s="6" t="n">
        <f aca="false">H123</f>
        <v>0</v>
      </c>
      <c r="AG123" s="6" t="n">
        <f aca="false">I123</f>
        <v>1</v>
      </c>
      <c r="AH123" s="6" t="n">
        <f aca="false">L123</f>
        <v>0</v>
      </c>
    </row>
    <row r="124" customFormat="false" ht="15" hidden="false" customHeight="false" outlineLevel="0" collapsed="false">
      <c r="A124" s="0" t="str">
        <f aca="false">'Raw Data'!C124</f>
        <v>Columbus</v>
      </c>
      <c r="B124" s="5" t="n">
        <f aca="false">'Raw Data'!A124</f>
        <v>40309</v>
      </c>
      <c r="C124" s="6" t="n">
        <f aca="false">'Raw Data'!D124</f>
        <v>172.136021234021</v>
      </c>
      <c r="D124" s="6" t="n">
        <f aca="false">'Raw Data'!E124</f>
        <v>4.1275</v>
      </c>
      <c r="E124" s="6" t="n">
        <f aca="false">'Raw Data'!F124</f>
        <v>0</v>
      </c>
      <c r="F124" s="6" t="n">
        <f aca="false">'Raw Data'!G124</f>
        <v>0</v>
      </c>
      <c r="G124" s="6" t="n">
        <f aca="false">'Raw Data'!H124</f>
        <v>0</v>
      </c>
      <c r="H124" s="6" t="n">
        <f aca="false">'Raw Data'!I124</f>
        <v>0</v>
      </c>
      <c r="I124" s="6" t="n">
        <f aca="false">'Raw Data'!J124</f>
        <v>1</v>
      </c>
      <c r="J124" s="6" t="n">
        <f aca="false">'Raw Data'!K124</f>
        <v>0</v>
      </c>
      <c r="K124" s="6" t="n">
        <f aca="false">'Raw Data'!L124</f>
        <v>4</v>
      </c>
      <c r="L124" s="6" t="n">
        <f aca="false">F124*E124</f>
        <v>0</v>
      </c>
      <c r="N124" s="0" t="n">
        <v>1</v>
      </c>
      <c r="O124" s="6" t="n">
        <f aca="false">D124</f>
        <v>4.1275</v>
      </c>
      <c r="P124" s="6" t="n">
        <f aca="false">E124</f>
        <v>0</v>
      </c>
      <c r="Q124" s="6" t="n">
        <f aca="false">F124</f>
        <v>0</v>
      </c>
      <c r="R124" s="6" t="n">
        <f aca="false">G124</f>
        <v>0</v>
      </c>
      <c r="S124" s="6" t="n">
        <f aca="false">H124</f>
        <v>0</v>
      </c>
      <c r="T124" s="6" t="n">
        <f aca="false">I124</f>
        <v>1</v>
      </c>
      <c r="U124" s="6" t="n">
        <f aca="false">L124</f>
        <v>0</v>
      </c>
      <c r="W124" s="6" t="n">
        <f aca="false">D124</f>
        <v>4.1275</v>
      </c>
      <c r="X124" s="6" t="n">
        <f aca="false">E124</f>
        <v>0</v>
      </c>
      <c r="Y124" s="6" t="n">
        <f aca="false">F124</f>
        <v>0</v>
      </c>
      <c r="Z124" s="6" t="n">
        <f aca="false">L124</f>
        <v>0</v>
      </c>
      <c r="AA124" s="6" t="n">
        <f aca="false">G124</f>
        <v>0</v>
      </c>
      <c r="AC124" s="6" t="n">
        <f aca="false">D124</f>
        <v>4.1275</v>
      </c>
      <c r="AD124" s="6" t="n">
        <f aca="false">E124</f>
        <v>0</v>
      </c>
      <c r="AE124" s="6" t="n">
        <f aca="false">G124</f>
        <v>0</v>
      </c>
      <c r="AF124" s="6" t="n">
        <f aca="false">H124</f>
        <v>0</v>
      </c>
      <c r="AG124" s="6" t="n">
        <f aca="false">I124</f>
        <v>1</v>
      </c>
      <c r="AH124" s="6" t="n">
        <f aca="false">L124</f>
        <v>0</v>
      </c>
    </row>
    <row r="125" customFormat="false" ht="15" hidden="false" customHeight="false" outlineLevel="0" collapsed="false">
      <c r="A125" s="0" t="str">
        <f aca="false">'Raw Data'!C125</f>
        <v>Columbus</v>
      </c>
      <c r="B125" s="5" t="n">
        <f aca="false">'Raw Data'!A125</f>
        <v>40316</v>
      </c>
      <c r="C125" s="6" t="n">
        <f aca="false">'Raw Data'!D125</f>
        <v>209.298987546324</v>
      </c>
      <c r="D125" s="6" t="n">
        <f aca="false">'Raw Data'!E125</f>
        <v>3.618571429</v>
      </c>
      <c r="E125" s="6" t="n">
        <f aca="false">'Raw Data'!F125</f>
        <v>0</v>
      </c>
      <c r="F125" s="6" t="n">
        <f aca="false">'Raw Data'!G125</f>
        <v>0</v>
      </c>
      <c r="G125" s="6" t="n">
        <f aca="false">'Raw Data'!H125</f>
        <v>0</v>
      </c>
      <c r="H125" s="6" t="n">
        <f aca="false">'Raw Data'!I125</f>
        <v>0</v>
      </c>
      <c r="I125" s="6" t="n">
        <f aca="false">'Raw Data'!J125</f>
        <v>0</v>
      </c>
      <c r="J125" s="6" t="n">
        <f aca="false">'Raw Data'!K125</f>
        <v>0</v>
      </c>
      <c r="K125" s="6" t="n">
        <f aca="false">'Raw Data'!L125</f>
        <v>4</v>
      </c>
      <c r="L125" s="6" t="n">
        <f aca="false">F125*E125</f>
        <v>0</v>
      </c>
      <c r="N125" s="0" t="n">
        <v>1</v>
      </c>
      <c r="O125" s="6" t="n">
        <f aca="false">D125</f>
        <v>3.618571429</v>
      </c>
      <c r="P125" s="6" t="n">
        <f aca="false">E125</f>
        <v>0</v>
      </c>
      <c r="Q125" s="6" t="n">
        <f aca="false">F125</f>
        <v>0</v>
      </c>
      <c r="R125" s="6" t="n">
        <f aca="false">G125</f>
        <v>0</v>
      </c>
      <c r="S125" s="6" t="n">
        <f aca="false">H125</f>
        <v>0</v>
      </c>
      <c r="T125" s="6" t="n">
        <f aca="false">I125</f>
        <v>0</v>
      </c>
      <c r="U125" s="6" t="n">
        <f aca="false">L125</f>
        <v>0</v>
      </c>
      <c r="W125" s="6" t="n">
        <f aca="false">D125</f>
        <v>3.618571429</v>
      </c>
      <c r="X125" s="6" t="n">
        <f aca="false">E125</f>
        <v>0</v>
      </c>
      <c r="Y125" s="6" t="n">
        <f aca="false">F125</f>
        <v>0</v>
      </c>
      <c r="Z125" s="6" t="n">
        <f aca="false">L125</f>
        <v>0</v>
      </c>
      <c r="AA125" s="6" t="n">
        <f aca="false">G125</f>
        <v>0</v>
      </c>
      <c r="AC125" s="6" t="n">
        <f aca="false">D125</f>
        <v>3.618571429</v>
      </c>
      <c r="AD125" s="6" t="n">
        <f aca="false">E125</f>
        <v>0</v>
      </c>
      <c r="AE125" s="6" t="n">
        <f aca="false">G125</f>
        <v>0</v>
      </c>
      <c r="AF125" s="6" t="n">
        <f aca="false">H125</f>
        <v>0</v>
      </c>
      <c r="AG125" s="6" t="n">
        <f aca="false">I125</f>
        <v>0</v>
      </c>
      <c r="AH125" s="6" t="n">
        <f aca="false">L125</f>
        <v>0</v>
      </c>
    </row>
    <row r="126" customFormat="false" ht="15" hidden="false" customHeight="false" outlineLevel="0" collapsed="false">
      <c r="A126" s="0" t="str">
        <f aca="false">'Raw Data'!C126</f>
        <v>Columbus</v>
      </c>
      <c r="B126" s="5" t="n">
        <f aca="false">'Raw Data'!A126</f>
        <v>40323</v>
      </c>
      <c r="C126" s="6" t="n">
        <f aca="false">'Raw Data'!D126</f>
        <v>158.701989658641</v>
      </c>
      <c r="D126" s="6" t="n">
        <f aca="false">'Raw Data'!E126</f>
        <v>3.75625</v>
      </c>
      <c r="E126" s="6" t="n">
        <f aca="false">'Raw Data'!F126</f>
        <v>0</v>
      </c>
      <c r="F126" s="6" t="n">
        <f aca="false">'Raw Data'!G126</f>
        <v>0</v>
      </c>
      <c r="G126" s="6" t="n">
        <f aca="false">'Raw Data'!H126</f>
        <v>0</v>
      </c>
      <c r="H126" s="6" t="n">
        <f aca="false">'Raw Data'!I126</f>
        <v>0</v>
      </c>
      <c r="I126" s="6" t="n">
        <f aca="false">'Raw Data'!J126</f>
        <v>0</v>
      </c>
      <c r="J126" s="6" t="n">
        <f aca="false">'Raw Data'!K126</f>
        <v>0</v>
      </c>
      <c r="K126" s="6" t="n">
        <f aca="false">'Raw Data'!L126</f>
        <v>4</v>
      </c>
      <c r="L126" s="6" t="n">
        <f aca="false">F126*E126</f>
        <v>0</v>
      </c>
      <c r="N126" s="0" t="n">
        <v>1</v>
      </c>
      <c r="O126" s="6" t="n">
        <f aca="false">D126</f>
        <v>3.75625</v>
      </c>
      <c r="P126" s="6" t="n">
        <f aca="false">E126</f>
        <v>0</v>
      </c>
      <c r="Q126" s="6" t="n">
        <f aca="false">F126</f>
        <v>0</v>
      </c>
      <c r="R126" s="6" t="n">
        <f aca="false">G126</f>
        <v>0</v>
      </c>
      <c r="S126" s="6" t="n">
        <f aca="false">H126</f>
        <v>0</v>
      </c>
      <c r="T126" s="6" t="n">
        <f aca="false">I126</f>
        <v>0</v>
      </c>
      <c r="U126" s="6" t="n">
        <f aca="false">L126</f>
        <v>0</v>
      </c>
      <c r="W126" s="6" t="n">
        <f aca="false">D126</f>
        <v>3.75625</v>
      </c>
      <c r="X126" s="6" t="n">
        <f aca="false">E126</f>
        <v>0</v>
      </c>
      <c r="Y126" s="6" t="n">
        <f aca="false">F126</f>
        <v>0</v>
      </c>
      <c r="Z126" s="6" t="n">
        <f aca="false">L126</f>
        <v>0</v>
      </c>
      <c r="AA126" s="6" t="n">
        <f aca="false">G126</f>
        <v>0</v>
      </c>
      <c r="AC126" s="6" t="n">
        <f aca="false">D126</f>
        <v>3.75625</v>
      </c>
      <c r="AD126" s="6" t="n">
        <f aca="false">E126</f>
        <v>0</v>
      </c>
      <c r="AE126" s="6" t="n">
        <f aca="false">G126</f>
        <v>0</v>
      </c>
      <c r="AF126" s="6" t="n">
        <f aca="false">H126</f>
        <v>0</v>
      </c>
      <c r="AG126" s="6" t="n">
        <f aca="false">I126</f>
        <v>0</v>
      </c>
      <c r="AH126" s="6" t="n">
        <f aca="false">L126</f>
        <v>0</v>
      </c>
    </row>
    <row r="127" customFormat="false" ht="15" hidden="false" customHeight="false" outlineLevel="0" collapsed="false">
      <c r="A127" s="0" t="str">
        <f aca="false">'Raw Data'!C127</f>
        <v>Columbus</v>
      </c>
      <c r="B127" s="5" t="n">
        <f aca="false">'Raw Data'!A127</f>
        <v>40330</v>
      </c>
      <c r="C127" s="6" t="n">
        <f aca="false">'Raw Data'!D127</f>
        <v>203.483225619719</v>
      </c>
      <c r="D127" s="6" t="n">
        <f aca="false">'Raw Data'!E127</f>
        <v>3.7775</v>
      </c>
      <c r="E127" s="6" t="n">
        <f aca="false">'Raw Data'!F127</f>
        <v>0</v>
      </c>
      <c r="F127" s="6" t="n">
        <f aca="false">'Raw Data'!G127</f>
        <v>0</v>
      </c>
      <c r="G127" s="6" t="n">
        <f aca="false">'Raw Data'!H127</f>
        <v>0</v>
      </c>
      <c r="H127" s="6" t="n">
        <f aca="false">'Raw Data'!I127</f>
        <v>0</v>
      </c>
      <c r="I127" s="6" t="n">
        <f aca="false">'Raw Data'!J127</f>
        <v>0</v>
      </c>
      <c r="J127" s="6" t="n">
        <f aca="false">'Raw Data'!K127</f>
        <v>0</v>
      </c>
      <c r="K127" s="6" t="n">
        <f aca="false">'Raw Data'!L127</f>
        <v>4</v>
      </c>
      <c r="L127" s="6" t="n">
        <f aca="false">F127*E127</f>
        <v>0</v>
      </c>
      <c r="N127" s="0" t="n">
        <v>1</v>
      </c>
      <c r="O127" s="6" t="n">
        <f aca="false">D127</f>
        <v>3.7775</v>
      </c>
      <c r="P127" s="6" t="n">
        <f aca="false">E127</f>
        <v>0</v>
      </c>
      <c r="Q127" s="6" t="n">
        <f aca="false">F127</f>
        <v>0</v>
      </c>
      <c r="R127" s="6" t="n">
        <f aca="false">G127</f>
        <v>0</v>
      </c>
      <c r="S127" s="6" t="n">
        <f aca="false">H127</f>
        <v>0</v>
      </c>
      <c r="T127" s="6" t="n">
        <f aca="false">I127</f>
        <v>0</v>
      </c>
      <c r="U127" s="6" t="n">
        <f aca="false">L127</f>
        <v>0</v>
      </c>
      <c r="W127" s="6" t="n">
        <f aca="false">D127</f>
        <v>3.7775</v>
      </c>
      <c r="X127" s="6" t="n">
        <f aca="false">E127</f>
        <v>0</v>
      </c>
      <c r="Y127" s="6" t="n">
        <f aca="false">F127</f>
        <v>0</v>
      </c>
      <c r="Z127" s="6" t="n">
        <f aca="false">L127</f>
        <v>0</v>
      </c>
      <c r="AA127" s="6" t="n">
        <f aca="false">G127</f>
        <v>0</v>
      </c>
      <c r="AC127" s="6" t="n">
        <f aca="false">D127</f>
        <v>3.7775</v>
      </c>
      <c r="AD127" s="6" t="n">
        <f aca="false">E127</f>
        <v>0</v>
      </c>
      <c r="AE127" s="6" t="n">
        <f aca="false">G127</f>
        <v>0</v>
      </c>
      <c r="AF127" s="6" t="n">
        <f aca="false">H127</f>
        <v>0</v>
      </c>
      <c r="AG127" s="6" t="n">
        <f aca="false">I127</f>
        <v>0</v>
      </c>
      <c r="AH127" s="6" t="n">
        <f aca="false">L127</f>
        <v>0</v>
      </c>
    </row>
    <row r="128" customFormat="false" ht="15" hidden="false" customHeight="false" outlineLevel="0" collapsed="false">
      <c r="A128" s="0" t="str">
        <f aca="false">'Raw Data'!C128</f>
        <v>Columbus</v>
      </c>
      <c r="B128" s="5" t="n">
        <f aca="false">'Raw Data'!A128</f>
        <v>40337</v>
      </c>
      <c r="C128" s="6" t="n">
        <f aca="false">'Raw Data'!D128</f>
        <v>183.096661708362</v>
      </c>
      <c r="D128" s="6" t="n">
        <f aca="false">'Raw Data'!E128</f>
        <v>3.634444444</v>
      </c>
      <c r="E128" s="6" t="n">
        <f aca="false">'Raw Data'!F128</f>
        <v>0</v>
      </c>
      <c r="F128" s="6" t="n">
        <f aca="false">'Raw Data'!G128</f>
        <v>0</v>
      </c>
      <c r="G128" s="6" t="n">
        <f aca="false">'Raw Data'!H128</f>
        <v>0</v>
      </c>
      <c r="H128" s="6" t="n">
        <f aca="false">'Raw Data'!I128</f>
        <v>0</v>
      </c>
      <c r="I128" s="6" t="n">
        <f aca="false">'Raw Data'!J128</f>
        <v>0</v>
      </c>
      <c r="J128" s="6" t="n">
        <f aca="false">'Raw Data'!K128</f>
        <v>0</v>
      </c>
      <c r="K128" s="6" t="n">
        <f aca="false">'Raw Data'!L128</f>
        <v>4</v>
      </c>
      <c r="L128" s="6" t="n">
        <f aca="false">F128*E128</f>
        <v>0</v>
      </c>
      <c r="N128" s="0" t="n">
        <v>1</v>
      </c>
      <c r="O128" s="6" t="n">
        <f aca="false">D128</f>
        <v>3.634444444</v>
      </c>
      <c r="P128" s="6" t="n">
        <f aca="false">E128</f>
        <v>0</v>
      </c>
      <c r="Q128" s="6" t="n">
        <f aca="false">F128</f>
        <v>0</v>
      </c>
      <c r="R128" s="6" t="n">
        <f aca="false">G128</f>
        <v>0</v>
      </c>
      <c r="S128" s="6" t="n">
        <f aca="false">H128</f>
        <v>0</v>
      </c>
      <c r="T128" s="6" t="n">
        <f aca="false">I128</f>
        <v>0</v>
      </c>
      <c r="U128" s="6" t="n">
        <f aca="false">L128</f>
        <v>0</v>
      </c>
      <c r="W128" s="6" t="n">
        <f aca="false">D128</f>
        <v>3.634444444</v>
      </c>
      <c r="X128" s="6" t="n">
        <f aca="false">E128</f>
        <v>0</v>
      </c>
      <c r="Y128" s="6" t="n">
        <f aca="false">F128</f>
        <v>0</v>
      </c>
      <c r="Z128" s="6" t="n">
        <f aca="false">L128</f>
        <v>0</v>
      </c>
      <c r="AA128" s="6" t="n">
        <f aca="false">G128</f>
        <v>0</v>
      </c>
      <c r="AC128" s="6" t="n">
        <f aca="false">D128</f>
        <v>3.634444444</v>
      </c>
      <c r="AD128" s="6" t="n">
        <f aca="false">E128</f>
        <v>0</v>
      </c>
      <c r="AE128" s="6" t="n">
        <f aca="false">G128</f>
        <v>0</v>
      </c>
      <c r="AF128" s="6" t="n">
        <f aca="false">H128</f>
        <v>0</v>
      </c>
      <c r="AG128" s="6" t="n">
        <f aca="false">I128</f>
        <v>0</v>
      </c>
      <c r="AH128" s="6" t="n">
        <f aca="false">L128</f>
        <v>0</v>
      </c>
    </row>
    <row r="129" customFormat="false" ht="15" hidden="false" customHeight="false" outlineLevel="0" collapsed="false">
      <c r="A129" s="0" t="str">
        <f aca="false">'Raw Data'!C129</f>
        <v>Columbus</v>
      </c>
      <c r="B129" s="5" t="n">
        <f aca="false">'Raw Data'!A129</f>
        <v>40344</v>
      </c>
      <c r="C129" s="6" t="n">
        <f aca="false">'Raw Data'!D129</f>
        <v>162.395311588802</v>
      </c>
      <c r="D129" s="6" t="n">
        <f aca="false">'Raw Data'!E129</f>
        <v>3.7525</v>
      </c>
      <c r="E129" s="6" t="n">
        <f aca="false">'Raw Data'!F129</f>
        <v>0</v>
      </c>
      <c r="F129" s="6" t="n">
        <f aca="false">'Raw Data'!G129</f>
        <v>0</v>
      </c>
      <c r="G129" s="6" t="n">
        <f aca="false">'Raw Data'!H129</f>
        <v>0</v>
      </c>
      <c r="H129" s="6" t="n">
        <f aca="false">'Raw Data'!I129</f>
        <v>0</v>
      </c>
      <c r="I129" s="6" t="n">
        <f aca="false">'Raw Data'!J129</f>
        <v>0</v>
      </c>
      <c r="J129" s="6" t="n">
        <f aca="false">'Raw Data'!K129</f>
        <v>0</v>
      </c>
      <c r="K129" s="6" t="n">
        <f aca="false">'Raw Data'!L129</f>
        <v>4</v>
      </c>
      <c r="L129" s="6" t="n">
        <f aca="false">F129*E129</f>
        <v>0</v>
      </c>
      <c r="N129" s="0" t="n">
        <v>1</v>
      </c>
      <c r="O129" s="6" t="n">
        <f aca="false">D129</f>
        <v>3.7525</v>
      </c>
      <c r="P129" s="6" t="n">
        <f aca="false">E129</f>
        <v>0</v>
      </c>
      <c r="Q129" s="6" t="n">
        <f aca="false">F129</f>
        <v>0</v>
      </c>
      <c r="R129" s="6" t="n">
        <f aca="false">G129</f>
        <v>0</v>
      </c>
      <c r="S129" s="6" t="n">
        <f aca="false">H129</f>
        <v>0</v>
      </c>
      <c r="T129" s="6" t="n">
        <f aca="false">I129</f>
        <v>0</v>
      </c>
      <c r="U129" s="6" t="n">
        <f aca="false">L129</f>
        <v>0</v>
      </c>
      <c r="W129" s="6" t="n">
        <f aca="false">D129</f>
        <v>3.7525</v>
      </c>
      <c r="X129" s="6" t="n">
        <f aca="false">E129</f>
        <v>0</v>
      </c>
      <c r="Y129" s="6" t="n">
        <f aca="false">F129</f>
        <v>0</v>
      </c>
      <c r="Z129" s="6" t="n">
        <f aca="false">L129</f>
        <v>0</v>
      </c>
      <c r="AA129" s="6" t="n">
        <f aca="false">G129</f>
        <v>0</v>
      </c>
      <c r="AC129" s="6" t="n">
        <f aca="false">D129</f>
        <v>3.7525</v>
      </c>
      <c r="AD129" s="6" t="n">
        <f aca="false">E129</f>
        <v>0</v>
      </c>
      <c r="AE129" s="6" t="n">
        <f aca="false">G129</f>
        <v>0</v>
      </c>
      <c r="AF129" s="6" t="n">
        <f aca="false">H129</f>
        <v>0</v>
      </c>
      <c r="AG129" s="6" t="n">
        <f aca="false">I129</f>
        <v>0</v>
      </c>
      <c r="AH129" s="6" t="n">
        <f aca="false">L129</f>
        <v>0</v>
      </c>
    </row>
    <row r="130" customFormat="false" ht="15" hidden="false" customHeight="false" outlineLevel="0" collapsed="false">
      <c r="A130" s="0" t="str">
        <f aca="false">'Raw Data'!C130</f>
        <v>Columbus</v>
      </c>
      <c r="B130" s="5" t="n">
        <f aca="false">'Raw Data'!A130</f>
        <v>40351</v>
      </c>
      <c r="C130" s="6" t="n">
        <f aca="false">'Raw Data'!D130</f>
        <v>372.166748213096</v>
      </c>
      <c r="D130" s="6" t="n">
        <f aca="false">'Raw Data'!E130</f>
        <v>3.735454545</v>
      </c>
      <c r="E130" s="6" t="n">
        <f aca="false">'Raw Data'!F130</f>
        <v>0</v>
      </c>
      <c r="F130" s="6" t="n">
        <f aca="false">'Raw Data'!G130</f>
        <v>0</v>
      </c>
      <c r="G130" s="6" t="n">
        <f aca="false">'Raw Data'!H130</f>
        <v>1</v>
      </c>
      <c r="H130" s="6" t="n">
        <f aca="false">'Raw Data'!I130</f>
        <v>0</v>
      </c>
      <c r="I130" s="6" t="n">
        <f aca="false">'Raw Data'!J130</f>
        <v>0</v>
      </c>
      <c r="J130" s="6" t="n">
        <f aca="false">'Raw Data'!K130</f>
        <v>0</v>
      </c>
      <c r="K130" s="6" t="n">
        <f aca="false">'Raw Data'!L130</f>
        <v>4</v>
      </c>
      <c r="L130" s="6" t="n">
        <f aca="false">F130*E130</f>
        <v>0</v>
      </c>
      <c r="N130" s="0" t="n">
        <v>1</v>
      </c>
      <c r="O130" s="6" t="n">
        <f aca="false">D130</f>
        <v>3.735454545</v>
      </c>
      <c r="P130" s="6" t="n">
        <f aca="false">E130</f>
        <v>0</v>
      </c>
      <c r="Q130" s="6" t="n">
        <f aca="false">F130</f>
        <v>0</v>
      </c>
      <c r="R130" s="6" t="n">
        <f aca="false">G130</f>
        <v>1</v>
      </c>
      <c r="S130" s="6" t="n">
        <f aca="false">H130</f>
        <v>0</v>
      </c>
      <c r="T130" s="6" t="n">
        <f aca="false">I130</f>
        <v>0</v>
      </c>
      <c r="U130" s="6" t="n">
        <f aca="false">L130</f>
        <v>0</v>
      </c>
      <c r="W130" s="6" t="n">
        <f aca="false">D130</f>
        <v>3.735454545</v>
      </c>
      <c r="X130" s="6" t="n">
        <f aca="false">E130</f>
        <v>0</v>
      </c>
      <c r="Y130" s="6" t="n">
        <f aca="false">F130</f>
        <v>0</v>
      </c>
      <c r="Z130" s="6" t="n">
        <f aca="false">L130</f>
        <v>0</v>
      </c>
      <c r="AA130" s="6" t="n">
        <f aca="false">G130</f>
        <v>1</v>
      </c>
      <c r="AC130" s="6" t="n">
        <f aca="false">D130</f>
        <v>3.735454545</v>
      </c>
      <c r="AD130" s="6" t="n">
        <f aca="false">E130</f>
        <v>0</v>
      </c>
      <c r="AE130" s="6" t="n">
        <f aca="false">G130</f>
        <v>1</v>
      </c>
      <c r="AF130" s="6" t="n">
        <f aca="false">H130</f>
        <v>0</v>
      </c>
      <c r="AG130" s="6" t="n">
        <f aca="false">I130</f>
        <v>0</v>
      </c>
      <c r="AH130" s="6" t="n">
        <f aca="false">L130</f>
        <v>0</v>
      </c>
    </row>
    <row r="131" customFormat="false" ht="15" hidden="false" customHeight="false" outlineLevel="0" collapsed="false">
      <c r="A131" s="0" t="str">
        <f aca="false">'Raw Data'!C131</f>
        <v>Columbus</v>
      </c>
      <c r="B131" s="5" t="n">
        <f aca="false">'Raw Data'!A131</f>
        <v>40358</v>
      </c>
      <c r="C131" s="6" t="n">
        <f aca="false">'Raw Data'!D131</f>
        <v>389.75935425642</v>
      </c>
      <c r="D131" s="6" t="n">
        <f aca="false">'Raw Data'!E131</f>
        <v>3.735454545</v>
      </c>
      <c r="E131" s="6" t="n">
        <f aca="false">'Raw Data'!F131</f>
        <v>0</v>
      </c>
      <c r="F131" s="6" t="n">
        <f aca="false">'Raw Data'!G131</f>
        <v>0</v>
      </c>
      <c r="G131" s="6" t="n">
        <f aca="false">'Raw Data'!H131</f>
        <v>0</v>
      </c>
      <c r="H131" s="6" t="n">
        <f aca="false">'Raw Data'!I131</f>
        <v>1</v>
      </c>
      <c r="I131" s="6" t="n">
        <f aca="false">'Raw Data'!J131</f>
        <v>0</v>
      </c>
      <c r="J131" s="6" t="n">
        <f aca="false">'Raw Data'!K131</f>
        <v>0</v>
      </c>
      <c r="K131" s="6" t="n">
        <f aca="false">'Raw Data'!L131</f>
        <v>4</v>
      </c>
      <c r="L131" s="6" t="n">
        <f aca="false">F131*E131</f>
        <v>0</v>
      </c>
      <c r="N131" s="0" t="n">
        <v>1</v>
      </c>
      <c r="O131" s="6" t="n">
        <f aca="false">D131</f>
        <v>3.735454545</v>
      </c>
      <c r="P131" s="6" t="n">
        <f aca="false">E131</f>
        <v>0</v>
      </c>
      <c r="Q131" s="6" t="n">
        <f aca="false">F131</f>
        <v>0</v>
      </c>
      <c r="R131" s="6" t="n">
        <f aca="false">G131</f>
        <v>0</v>
      </c>
      <c r="S131" s="6" t="n">
        <f aca="false">H131</f>
        <v>1</v>
      </c>
      <c r="T131" s="6" t="n">
        <f aca="false">I131</f>
        <v>0</v>
      </c>
      <c r="U131" s="6" t="n">
        <f aca="false">L131</f>
        <v>0</v>
      </c>
      <c r="W131" s="6" t="n">
        <f aca="false">D131</f>
        <v>3.735454545</v>
      </c>
      <c r="X131" s="6" t="n">
        <f aca="false">E131</f>
        <v>0</v>
      </c>
      <c r="Y131" s="6" t="n">
        <f aca="false">F131</f>
        <v>0</v>
      </c>
      <c r="Z131" s="6" t="n">
        <f aca="false">L131</f>
        <v>0</v>
      </c>
      <c r="AA131" s="6" t="n">
        <f aca="false">G131</f>
        <v>0</v>
      </c>
      <c r="AC131" s="6" t="n">
        <f aca="false">D131</f>
        <v>3.735454545</v>
      </c>
      <c r="AD131" s="6" t="n">
        <f aca="false">E131</f>
        <v>0</v>
      </c>
      <c r="AE131" s="6" t="n">
        <f aca="false">G131</f>
        <v>0</v>
      </c>
      <c r="AF131" s="6" t="n">
        <f aca="false">H131</f>
        <v>1</v>
      </c>
      <c r="AG131" s="6" t="n">
        <f aca="false">I131</f>
        <v>0</v>
      </c>
      <c r="AH131" s="6" t="n">
        <f aca="false">L131</f>
        <v>0</v>
      </c>
    </row>
    <row r="132" customFormat="false" ht="15" hidden="false" customHeight="false" outlineLevel="0" collapsed="false">
      <c r="A132" s="0" t="str">
        <f aca="false">'Raw Data'!C132</f>
        <v>Columbus</v>
      </c>
      <c r="B132" s="5" t="n">
        <f aca="false">'Raw Data'!A132</f>
        <v>40365</v>
      </c>
      <c r="C132" s="6" t="n">
        <f aca="false">'Raw Data'!D132</f>
        <v>302.682559116882</v>
      </c>
      <c r="D132" s="6" t="n">
        <f aca="false">'Raw Data'!E132</f>
        <v>3.495</v>
      </c>
      <c r="E132" s="6" t="n">
        <f aca="false">'Raw Data'!F132</f>
        <v>0</v>
      </c>
      <c r="F132" s="6" t="n">
        <f aca="false">'Raw Data'!G132</f>
        <v>0</v>
      </c>
      <c r="G132" s="6" t="n">
        <f aca="false">'Raw Data'!H132</f>
        <v>0</v>
      </c>
      <c r="H132" s="6" t="n">
        <f aca="false">'Raw Data'!I132</f>
        <v>1</v>
      </c>
      <c r="I132" s="6" t="n">
        <f aca="false">'Raw Data'!J132</f>
        <v>0</v>
      </c>
      <c r="J132" s="6" t="n">
        <f aca="false">'Raw Data'!K132</f>
        <v>0</v>
      </c>
      <c r="K132" s="6" t="n">
        <f aca="false">'Raw Data'!L132</f>
        <v>4</v>
      </c>
      <c r="L132" s="6" t="n">
        <f aca="false">F132*E132</f>
        <v>0</v>
      </c>
      <c r="N132" s="0" t="n">
        <v>1</v>
      </c>
      <c r="O132" s="6" t="n">
        <f aca="false">D132</f>
        <v>3.495</v>
      </c>
      <c r="P132" s="6" t="n">
        <f aca="false">E132</f>
        <v>0</v>
      </c>
      <c r="Q132" s="6" t="n">
        <f aca="false">F132</f>
        <v>0</v>
      </c>
      <c r="R132" s="6" t="n">
        <f aca="false">G132</f>
        <v>0</v>
      </c>
      <c r="S132" s="6" t="n">
        <f aca="false">H132</f>
        <v>1</v>
      </c>
      <c r="T132" s="6" t="n">
        <f aca="false">I132</f>
        <v>0</v>
      </c>
      <c r="U132" s="6" t="n">
        <f aca="false">L132</f>
        <v>0</v>
      </c>
      <c r="W132" s="6" t="n">
        <f aca="false">D132</f>
        <v>3.495</v>
      </c>
      <c r="X132" s="6" t="n">
        <f aca="false">E132</f>
        <v>0</v>
      </c>
      <c r="Y132" s="6" t="n">
        <f aca="false">F132</f>
        <v>0</v>
      </c>
      <c r="Z132" s="6" t="n">
        <f aca="false">L132</f>
        <v>0</v>
      </c>
      <c r="AA132" s="6" t="n">
        <f aca="false">G132</f>
        <v>0</v>
      </c>
      <c r="AC132" s="6" t="n">
        <f aca="false">D132</f>
        <v>3.495</v>
      </c>
      <c r="AD132" s="6" t="n">
        <f aca="false">E132</f>
        <v>0</v>
      </c>
      <c r="AE132" s="6" t="n">
        <f aca="false">G132</f>
        <v>0</v>
      </c>
      <c r="AF132" s="6" t="n">
        <f aca="false">H132</f>
        <v>1</v>
      </c>
      <c r="AG132" s="6" t="n">
        <f aca="false">I132</f>
        <v>0</v>
      </c>
      <c r="AH132" s="6" t="n">
        <f aca="false">L132</f>
        <v>0</v>
      </c>
    </row>
    <row r="133" customFormat="false" ht="15" hidden="false" customHeight="false" outlineLevel="0" collapsed="false">
      <c r="A133" s="0" t="str">
        <f aca="false">'Raw Data'!C133</f>
        <v>Columbus</v>
      </c>
      <c r="B133" s="5" t="n">
        <f aca="false">'Raw Data'!A133</f>
        <v>40372</v>
      </c>
      <c r="C133" s="6" t="n">
        <f aca="false">'Raw Data'!D133</f>
        <v>301.896948346972</v>
      </c>
      <c r="D133" s="6" t="n">
        <f aca="false">'Raw Data'!E133</f>
        <v>3.495</v>
      </c>
      <c r="E133" s="6" t="n">
        <f aca="false">'Raw Data'!F133</f>
        <v>0</v>
      </c>
      <c r="F133" s="6" t="n">
        <f aca="false">'Raw Data'!G133</f>
        <v>0</v>
      </c>
      <c r="G133" s="6" t="n">
        <f aca="false">'Raw Data'!H133</f>
        <v>0</v>
      </c>
      <c r="H133" s="6" t="n">
        <f aca="false">'Raw Data'!I133</f>
        <v>1</v>
      </c>
      <c r="I133" s="6" t="n">
        <f aca="false">'Raw Data'!J133</f>
        <v>0</v>
      </c>
      <c r="J133" s="6" t="n">
        <f aca="false">'Raw Data'!K133</f>
        <v>0</v>
      </c>
      <c r="K133" s="6" t="n">
        <f aca="false">'Raw Data'!L133</f>
        <v>4</v>
      </c>
      <c r="L133" s="6" t="n">
        <f aca="false">F133*E133</f>
        <v>0</v>
      </c>
      <c r="N133" s="0" t="n">
        <v>1</v>
      </c>
      <c r="O133" s="6" t="n">
        <f aca="false">D133</f>
        <v>3.495</v>
      </c>
      <c r="P133" s="6" t="n">
        <f aca="false">E133</f>
        <v>0</v>
      </c>
      <c r="Q133" s="6" t="n">
        <f aca="false">F133</f>
        <v>0</v>
      </c>
      <c r="R133" s="6" t="n">
        <f aca="false">G133</f>
        <v>0</v>
      </c>
      <c r="S133" s="6" t="n">
        <f aca="false">H133</f>
        <v>1</v>
      </c>
      <c r="T133" s="6" t="n">
        <f aca="false">I133</f>
        <v>0</v>
      </c>
      <c r="U133" s="6" t="n">
        <f aca="false">L133</f>
        <v>0</v>
      </c>
      <c r="W133" s="6" t="n">
        <f aca="false">D133</f>
        <v>3.495</v>
      </c>
      <c r="X133" s="6" t="n">
        <f aca="false">E133</f>
        <v>0</v>
      </c>
      <c r="Y133" s="6" t="n">
        <f aca="false">F133</f>
        <v>0</v>
      </c>
      <c r="Z133" s="6" t="n">
        <f aca="false">L133</f>
        <v>0</v>
      </c>
      <c r="AA133" s="6" t="n">
        <f aca="false">G133</f>
        <v>0</v>
      </c>
      <c r="AC133" s="6" t="n">
        <f aca="false">D133</f>
        <v>3.495</v>
      </c>
      <c r="AD133" s="6" t="n">
        <f aca="false">E133</f>
        <v>0</v>
      </c>
      <c r="AE133" s="6" t="n">
        <f aca="false">G133</f>
        <v>0</v>
      </c>
      <c r="AF133" s="6" t="n">
        <f aca="false">H133</f>
        <v>1</v>
      </c>
      <c r="AG133" s="6" t="n">
        <f aca="false">I133</f>
        <v>0</v>
      </c>
      <c r="AH133" s="6" t="n">
        <f aca="false">L133</f>
        <v>0</v>
      </c>
    </row>
    <row r="134" customFormat="false" ht="15" hidden="false" customHeight="false" outlineLevel="0" collapsed="false">
      <c r="A134" s="0" t="str">
        <f aca="false">'Raw Data'!C134</f>
        <v>Fair Lakes</v>
      </c>
      <c r="B134" s="5" t="n">
        <f aca="false">'Raw Data'!A134</f>
        <v>40302</v>
      </c>
      <c r="C134" s="6" t="n">
        <f aca="false">'Raw Data'!D134</f>
        <v>137.12077837143</v>
      </c>
      <c r="D134" s="6" t="n">
        <f aca="false">'Raw Data'!E134</f>
        <v>3.904285714</v>
      </c>
      <c r="E134" s="6" t="n">
        <f aca="false">'Raw Data'!F134</f>
        <v>0</v>
      </c>
      <c r="F134" s="6" t="n">
        <f aca="false">'Raw Data'!G134</f>
        <v>0</v>
      </c>
      <c r="G134" s="6" t="n">
        <f aca="false">'Raw Data'!H134</f>
        <v>0</v>
      </c>
      <c r="H134" s="6" t="n">
        <f aca="false">'Raw Data'!I134</f>
        <v>0</v>
      </c>
      <c r="I134" s="6" t="n">
        <f aca="false">'Raw Data'!J134</f>
        <v>0</v>
      </c>
      <c r="J134" s="6" t="n">
        <f aca="false">'Raw Data'!K134</f>
        <v>3</v>
      </c>
      <c r="K134" s="6" t="n">
        <f aca="false">'Raw Data'!L134</f>
        <v>1</v>
      </c>
      <c r="L134" s="6" t="n">
        <f aca="false">F134*E134</f>
        <v>0</v>
      </c>
      <c r="N134" s="0" t="n">
        <v>1</v>
      </c>
      <c r="O134" s="6" t="n">
        <f aca="false">D134</f>
        <v>3.904285714</v>
      </c>
      <c r="P134" s="6" t="n">
        <f aca="false">E134</f>
        <v>0</v>
      </c>
      <c r="Q134" s="6" t="n">
        <f aca="false">F134</f>
        <v>0</v>
      </c>
      <c r="R134" s="6" t="n">
        <f aca="false">G134</f>
        <v>0</v>
      </c>
      <c r="S134" s="6" t="n">
        <f aca="false">H134</f>
        <v>0</v>
      </c>
      <c r="T134" s="6" t="n">
        <f aca="false">I134</f>
        <v>0</v>
      </c>
      <c r="U134" s="6" t="n">
        <f aca="false">L134</f>
        <v>0</v>
      </c>
      <c r="W134" s="6" t="n">
        <f aca="false">D134</f>
        <v>3.904285714</v>
      </c>
      <c r="X134" s="6" t="n">
        <f aca="false">E134</f>
        <v>0</v>
      </c>
      <c r="Y134" s="6" t="n">
        <f aca="false">F134</f>
        <v>0</v>
      </c>
      <c r="Z134" s="6" t="n">
        <f aca="false">L134</f>
        <v>0</v>
      </c>
      <c r="AA134" s="6" t="n">
        <f aca="false">G134</f>
        <v>0</v>
      </c>
      <c r="AC134" s="6" t="n">
        <f aca="false">D134</f>
        <v>3.904285714</v>
      </c>
      <c r="AD134" s="6" t="n">
        <f aca="false">E134</f>
        <v>0</v>
      </c>
      <c r="AE134" s="6" t="n">
        <f aca="false">G134</f>
        <v>0</v>
      </c>
      <c r="AF134" s="6" t="n">
        <f aca="false">H134</f>
        <v>0</v>
      </c>
      <c r="AG134" s="6" t="n">
        <f aca="false">I134</f>
        <v>0</v>
      </c>
      <c r="AH134" s="6" t="n">
        <f aca="false">L134</f>
        <v>0</v>
      </c>
    </row>
    <row r="135" customFormat="false" ht="15" hidden="false" customHeight="false" outlineLevel="0" collapsed="false">
      <c r="A135" s="0" t="str">
        <f aca="false">'Raw Data'!C135</f>
        <v>Fair Lakes</v>
      </c>
      <c r="B135" s="5" t="n">
        <f aca="false">'Raw Data'!A135</f>
        <v>40309</v>
      </c>
      <c r="C135" s="6" t="n">
        <f aca="false">'Raw Data'!D135</f>
        <v>184.923401184762</v>
      </c>
      <c r="D135" s="6" t="n">
        <f aca="false">'Raw Data'!E135</f>
        <v>3.54</v>
      </c>
      <c r="E135" s="6" t="n">
        <f aca="false">'Raw Data'!F135</f>
        <v>0</v>
      </c>
      <c r="F135" s="6" t="n">
        <f aca="false">'Raw Data'!G135</f>
        <v>0</v>
      </c>
      <c r="G135" s="6" t="n">
        <f aca="false">'Raw Data'!H135</f>
        <v>0</v>
      </c>
      <c r="H135" s="6" t="n">
        <f aca="false">'Raw Data'!I135</f>
        <v>0</v>
      </c>
      <c r="I135" s="6" t="n">
        <f aca="false">'Raw Data'!J135</f>
        <v>0</v>
      </c>
      <c r="J135" s="6" t="n">
        <f aca="false">'Raw Data'!K135</f>
        <v>3</v>
      </c>
      <c r="K135" s="6" t="n">
        <f aca="false">'Raw Data'!L135</f>
        <v>1</v>
      </c>
      <c r="L135" s="6" t="n">
        <f aca="false">F135*E135</f>
        <v>0</v>
      </c>
      <c r="N135" s="0" t="n">
        <v>1</v>
      </c>
      <c r="O135" s="6" t="n">
        <f aca="false">D135</f>
        <v>3.54</v>
      </c>
      <c r="P135" s="6" t="n">
        <f aca="false">E135</f>
        <v>0</v>
      </c>
      <c r="Q135" s="6" t="n">
        <f aca="false">F135</f>
        <v>0</v>
      </c>
      <c r="R135" s="6" t="n">
        <f aca="false">G135</f>
        <v>0</v>
      </c>
      <c r="S135" s="6" t="n">
        <f aca="false">H135</f>
        <v>0</v>
      </c>
      <c r="T135" s="6" t="n">
        <f aca="false">I135</f>
        <v>0</v>
      </c>
      <c r="U135" s="6" t="n">
        <f aca="false">L135</f>
        <v>0</v>
      </c>
      <c r="W135" s="6" t="n">
        <f aca="false">D135</f>
        <v>3.54</v>
      </c>
      <c r="X135" s="6" t="n">
        <f aca="false">E135</f>
        <v>0</v>
      </c>
      <c r="Y135" s="6" t="n">
        <f aca="false">F135</f>
        <v>0</v>
      </c>
      <c r="Z135" s="6" t="n">
        <f aca="false">L135</f>
        <v>0</v>
      </c>
      <c r="AA135" s="6" t="n">
        <f aca="false">G135</f>
        <v>0</v>
      </c>
      <c r="AC135" s="6" t="n">
        <f aca="false">D135</f>
        <v>3.54</v>
      </c>
      <c r="AD135" s="6" t="n">
        <f aca="false">E135</f>
        <v>0</v>
      </c>
      <c r="AE135" s="6" t="n">
        <f aca="false">G135</f>
        <v>0</v>
      </c>
      <c r="AF135" s="6" t="n">
        <f aca="false">H135</f>
        <v>0</v>
      </c>
      <c r="AG135" s="6" t="n">
        <f aca="false">I135</f>
        <v>0</v>
      </c>
      <c r="AH135" s="6" t="n">
        <f aca="false">L135</f>
        <v>0</v>
      </c>
    </row>
    <row r="136" customFormat="false" ht="15" hidden="false" customHeight="false" outlineLevel="0" collapsed="false">
      <c r="A136" s="0" t="str">
        <f aca="false">'Raw Data'!C136</f>
        <v>Fair Lakes</v>
      </c>
      <c r="B136" s="5" t="n">
        <f aca="false">'Raw Data'!A136</f>
        <v>40316</v>
      </c>
      <c r="C136" s="6" t="n">
        <f aca="false">'Raw Data'!D136</f>
        <v>169.835573487801</v>
      </c>
      <c r="D136" s="6" t="n">
        <f aca="false">'Raw Data'!E136</f>
        <v>3.34</v>
      </c>
      <c r="E136" s="6" t="n">
        <f aca="false">'Raw Data'!F136</f>
        <v>0</v>
      </c>
      <c r="F136" s="6" t="n">
        <f aca="false">'Raw Data'!G136</f>
        <v>0</v>
      </c>
      <c r="G136" s="6" t="n">
        <f aca="false">'Raw Data'!H136</f>
        <v>0</v>
      </c>
      <c r="H136" s="6" t="n">
        <f aca="false">'Raw Data'!I136</f>
        <v>0</v>
      </c>
      <c r="I136" s="6" t="n">
        <f aca="false">'Raw Data'!J136</f>
        <v>0</v>
      </c>
      <c r="J136" s="6" t="n">
        <f aca="false">'Raw Data'!K136</f>
        <v>3</v>
      </c>
      <c r="K136" s="6" t="n">
        <f aca="false">'Raw Data'!L136</f>
        <v>1</v>
      </c>
      <c r="L136" s="6" t="n">
        <f aca="false">F136*E136</f>
        <v>0</v>
      </c>
      <c r="N136" s="0" t="n">
        <v>1</v>
      </c>
      <c r="O136" s="6" t="n">
        <f aca="false">D136</f>
        <v>3.34</v>
      </c>
      <c r="P136" s="6" t="n">
        <f aca="false">E136</f>
        <v>0</v>
      </c>
      <c r="Q136" s="6" t="n">
        <f aca="false">F136</f>
        <v>0</v>
      </c>
      <c r="R136" s="6" t="n">
        <f aca="false">G136</f>
        <v>0</v>
      </c>
      <c r="S136" s="6" t="n">
        <f aca="false">H136</f>
        <v>0</v>
      </c>
      <c r="T136" s="6" t="n">
        <f aca="false">I136</f>
        <v>0</v>
      </c>
      <c r="U136" s="6" t="n">
        <f aca="false">L136</f>
        <v>0</v>
      </c>
      <c r="W136" s="6" t="n">
        <f aca="false">D136</f>
        <v>3.34</v>
      </c>
      <c r="X136" s="6" t="n">
        <f aca="false">E136</f>
        <v>0</v>
      </c>
      <c r="Y136" s="6" t="n">
        <f aca="false">F136</f>
        <v>0</v>
      </c>
      <c r="Z136" s="6" t="n">
        <f aca="false">L136</f>
        <v>0</v>
      </c>
      <c r="AA136" s="6" t="n">
        <f aca="false">G136</f>
        <v>0</v>
      </c>
      <c r="AC136" s="6" t="n">
        <f aca="false">D136</f>
        <v>3.34</v>
      </c>
      <c r="AD136" s="6" t="n">
        <f aca="false">E136</f>
        <v>0</v>
      </c>
      <c r="AE136" s="6" t="n">
        <f aca="false">G136</f>
        <v>0</v>
      </c>
      <c r="AF136" s="6" t="n">
        <f aca="false">H136</f>
        <v>0</v>
      </c>
      <c r="AG136" s="6" t="n">
        <f aca="false">I136</f>
        <v>0</v>
      </c>
      <c r="AH136" s="6" t="n">
        <f aca="false">L136</f>
        <v>0</v>
      </c>
    </row>
    <row r="137" customFormat="false" ht="15" hidden="false" customHeight="false" outlineLevel="0" collapsed="false">
      <c r="A137" s="0" t="str">
        <f aca="false">'Raw Data'!C137</f>
        <v>Fair Lakes</v>
      </c>
      <c r="B137" s="5" t="n">
        <f aca="false">'Raw Data'!A137</f>
        <v>40323</v>
      </c>
      <c r="C137" s="6" t="n">
        <f aca="false">'Raw Data'!D137</f>
        <v>219.351910681571</v>
      </c>
      <c r="D137" s="6" t="n">
        <f aca="false">'Raw Data'!E137</f>
        <v>3.34</v>
      </c>
      <c r="E137" s="6" t="n">
        <f aca="false">'Raw Data'!F137</f>
        <v>0</v>
      </c>
      <c r="F137" s="6" t="n">
        <f aca="false">'Raw Data'!G137</f>
        <v>0</v>
      </c>
      <c r="G137" s="6" t="n">
        <f aca="false">'Raw Data'!H137</f>
        <v>0</v>
      </c>
      <c r="H137" s="6" t="n">
        <f aca="false">'Raw Data'!I137</f>
        <v>0</v>
      </c>
      <c r="I137" s="6" t="n">
        <f aca="false">'Raw Data'!J137</f>
        <v>0</v>
      </c>
      <c r="J137" s="6" t="n">
        <f aca="false">'Raw Data'!K137</f>
        <v>3</v>
      </c>
      <c r="K137" s="6" t="n">
        <f aca="false">'Raw Data'!L137</f>
        <v>1</v>
      </c>
      <c r="L137" s="6" t="n">
        <f aca="false">F137*E137</f>
        <v>0</v>
      </c>
      <c r="N137" s="0" t="n">
        <v>1</v>
      </c>
      <c r="O137" s="6" t="n">
        <f aca="false">D137</f>
        <v>3.34</v>
      </c>
      <c r="P137" s="6" t="n">
        <f aca="false">E137</f>
        <v>0</v>
      </c>
      <c r="Q137" s="6" t="n">
        <f aca="false">F137</f>
        <v>0</v>
      </c>
      <c r="R137" s="6" t="n">
        <f aca="false">G137</f>
        <v>0</v>
      </c>
      <c r="S137" s="6" t="n">
        <f aca="false">H137</f>
        <v>0</v>
      </c>
      <c r="T137" s="6" t="n">
        <f aca="false">I137</f>
        <v>0</v>
      </c>
      <c r="U137" s="6" t="n">
        <f aca="false">L137</f>
        <v>0</v>
      </c>
      <c r="W137" s="6" t="n">
        <f aca="false">D137</f>
        <v>3.34</v>
      </c>
      <c r="X137" s="6" t="n">
        <f aca="false">E137</f>
        <v>0</v>
      </c>
      <c r="Y137" s="6" t="n">
        <f aca="false">F137</f>
        <v>0</v>
      </c>
      <c r="Z137" s="6" t="n">
        <f aca="false">L137</f>
        <v>0</v>
      </c>
      <c r="AA137" s="6" t="n">
        <f aca="false">G137</f>
        <v>0</v>
      </c>
      <c r="AC137" s="6" t="n">
        <f aca="false">D137</f>
        <v>3.34</v>
      </c>
      <c r="AD137" s="6" t="n">
        <f aca="false">E137</f>
        <v>0</v>
      </c>
      <c r="AE137" s="6" t="n">
        <f aca="false">G137</f>
        <v>0</v>
      </c>
      <c r="AF137" s="6" t="n">
        <f aca="false">H137</f>
        <v>0</v>
      </c>
      <c r="AG137" s="6" t="n">
        <f aca="false">I137</f>
        <v>0</v>
      </c>
      <c r="AH137" s="6" t="n">
        <f aca="false">L137</f>
        <v>0</v>
      </c>
    </row>
    <row r="138" customFormat="false" ht="15" hidden="false" customHeight="false" outlineLevel="0" collapsed="false">
      <c r="A138" s="0" t="str">
        <f aca="false">'Raw Data'!C138</f>
        <v>Fair Lakes</v>
      </c>
      <c r="B138" s="5" t="n">
        <f aca="false">'Raw Data'!A138</f>
        <v>40330</v>
      </c>
      <c r="C138" s="6" t="n">
        <f aca="false">'Raw Data'!D138</f>
        <v>148.640370254838</v>
      </c>
      <c r="D138" s="6" t="n">
        <f aca="false">'Raw Data'!E138</f>
        <v>3.34</v>
      </c>
      <c r="E138" s="6" t="n">
        <f aca="false">'Raw Data'!F138</f>
        <v>0</v>
      </c>
      <c r="F138" s="6" t="n">
        <f aca="false">'Raw Data'!G138</f>
        <v>0</v>
      </c>
      <c r="G138" s="6" t="n">
        <f aca="false">'Raw Data'!H138</f>
        <v>0</v>
      </c>
      <c r="H138" s="6" t="n">
        <f aca="false">'Raw Data'!I138</f>
        <v>0</v>
      </c>
      <c r="I138" s="6" t="n">
        <f aca="false">'Raw Data'!J138</f>
        <v>0</v>
      </c>
      <c r="J138" s="6" t="n">
        <f aca="false">'Raw Data'!K138</f>
        <v>3</v>
      </c>
      <c r="K138" s="6" t="n">
        <f aca="false">'Raw Data'!L138</f>
        <v>1</v>
      </c>
      <c r="L138" s="6" t="n">
        <f aca="false">F138*E138</f>
        <v>0</v>
      </c>
      <c r="N138" s="0" t="n">
        <v>1</v>
      </c>
      <c r="O138" s="6" t="n">
        <f aca="false">D138</f>
        <v>3.34</v>
      </c>
      <c r="P138" s="6" t="n">
        <f aca="false">E138</f>
        <v>0</v>
      </c>
      <c r="Q138" s="6" t="n">
        <f aca="false">F138</f>
        <v>0</v>
      </c>
      <c r="R138" s="6" t="n">
        <f aca="false">G138</f>
        <v>0</v>
      </c>
      <c r="S138" s="6" t="n">
        <f aca="false">H138</f>
        <v>0</v>
      </c>
      <c r="T138" s="6" t="n">
        <f aca="false">I138</f>
        <v>0</v>
      </c>
      <c r="U138" s="6" t="n">
        <f aca="false">L138</f>
        <v>0</v>
      </c>
      <c r="W138" s="6" t="n">
        <f aca="false">D138</f>
        <v>3.34</v>
      </c>
      <c r="X138" s="6" t="n">
        <f aca="false">E138</f>
        <v>0</v>
      </c>
      <c r="Y138" s="6" t="n">
        <f aca="false">F138</f>
        <v>0</v>
      </c>
      <c r="Z138" s="6" t="n">
        <f aca="false">L138</f>
        <v>0</v>
      </c>
      <c r="AA138" s="6" t="n">
        <f aca="false">G138</f>
        <v>0</v>
      </c>
      <c r="AC138" s="6" t="n">
        <f aca="false">D138</f>
        <v>3.34</v>
      </c>
      <c r="AD138" s="6" t="n">
        <f aca="false">E138</f>
        <v>0</v>
      </c>
      <c r="AE138" s="6" t="n">
        <f aca="false">G138</f>
        <v>0</v>
      </c>
      <c r="AF138" s="6" t="n">
        <f aca="false">H138</f>
        <v>0</v>
      </c>
      <c r="AG138" s="6" t="n">
        <f aca="false">I138</f>
        <v>0</v>
      </c>
      <c r="AH138" s="6" t="n">
        <f aca="false">L138</f>
        <v>0</v>
      </c>
    </row>
    <row r="139" customFormat="false" ht="15" hidden="false" customHeight="false" outlineLevel="0" collapsed="false">
      <c r="A139" s="0" t="str">
        <f aca="false">'Raw Data'!C139</f>
        <v>Fair Lakes</v>
      </c>
      <c r="B139" s="5" t="n">
        <f aca="false">'Raw Data'!A139</f>
        <v>40337</v>
      </c>
      <c r="C139" s="6" t="n">
        <f aca="false">'Raw Data'!D139</f>
        <v>292.90619429115</v>
      </c>
      <c r="D139" s="6" t="n">
        <f aca="false">'Raw Data'!E139</f>
        <v>3.54</v>
      </c>
      <c r="E139" s="6" t="n">
        <f aca="false">'Raw Data'!F139</f>
        <v>0</v>
      </c>
      <c r="F139" s="6" t="n">
        <f aca="false">'Raw Data'!G139</f>
        <v>0</v>
      </c>
      <c r="G139" s="6" t="n">
        <f aca="false">'Raw Data'!H139</f>
        <v>0</v>
      </c>
      <c r="H139" s="6" t="n">
        <f aca="false">'Raw Data'!I139</f>
        <v>0</v>
      </c>
      <c r="I139" s="6" t="n">
        <f aca="false">'Raw Data'!J139</f>
        <v>0</v>
      </c>
      <c r="J139" s="6" t="n">
        <f aca="false">'Raw Data'!K139</f>
        <v>3</v>
      </c>
      <c r="K139" s="6" t="n">
        <f aca="false">'Raw Data'!L139</f>
        <v>1</v>
      </c>
      <c r="L139" s="6" t="n">
        <f aca="false">F139*E139</f>
        <v>0</v>
      </c>
      <c r="N139" s="0" t="n">
        <v>1</v>
      </c>
      <c r="O139" s="6" t="n">
        <f aca="false">D139</f>
        <v>3.54</v>
      </c>
      <c r="P139" s="6" t="n">
        <f aca="false">E139</f>
        <v>0</v>
      </c>
      <c r="Q139" s="6" t="n">
        <f aca="false">F139</f>
        <v>0</v>
      </c>
      <c r="R139" s="6" t="n">
        <f aca="false">G139</f>
        <v>0</v>
      </c>
      <c r="S139" s="6" t="n">
        <f aca="false">H139</f>
        <v>0</v>
      </c>
      <c r="T139" s="6" t="n">
        <f aca="false">I139</f>
        <v>0</v>
      </c>
      <c r="U139" s="6" t="n">
        <f aca="false">L139</f>
        <v>0</v>
      </c>
      <c r="W139" s="6" t="n">
        <f aca="false">D139</f>
        <v>3.54</v>
      </c>
      <c r="X139" s="6" t="n">
        <f aca="false">E139</f>
        <v>0</v>
      </c>
      <c r="Y139" s="6" t="n">
        <f aca="false">F139</f>
        <v>0</v>
      </c>
      <c r="Z139" s="6" t="n">
        <f aca="false">L139</f>
        <v>0</v>
      </c>
      <c r="AA139" s="6" t="n">
        <f aca="false">G139</f>
        <v>0</v>
      </c>
      <c r="AC139" s="6" t="n">
        <f aca="false">D139</f>
        <v>3.54</v>
      </c>
      <c r="AD139" s="6" t="n">
        <f aca="false">E139</f>
        <v>0</v>
      </c>
      <c r="AE139" s="6" t="n">
        <f aca="false">G139</f>
        <v>0</v>
      </c>
      <c r="AF139" s="6" t="n">
        <f aca="false">H139</f>
        <v>0</v>
      </c>
      <c r="AG139" s="6" t="n">
        <f aca="false">I139</f>
        <v>0</v>
      </c>
      <c r="AH139" s="6" t="n">
        <f aca="false">L139</f>
        <v>0</v>
      </c>
    </row>
    <row r="140" customFormat="false" ht="15" hidden="false" customHeight="false" outlineLevel="0" collapsed="false">
      <c r="A140" s="0" t="str">
        <f aca="false">'Raw Data'!C140</f>
        <v>Fair Lakes</v>
      </c>
      <c r="B140" s="5" t="n">
        <f aca="false">'Raw Data'!A140</f>
        <v>40344</v>
      </c>
      <c r="C140" s="6" t="n">
        <f aca="false">'Raw Data'!D140</f>
        <v>222.276307229496</v>
      </c>
      <c r="D140" s="6" t="n">
        <f aca="false">'Raw Data'!E140</f>
        <v>3.54</v>
      </c>
      <c r="E140" s="6" t="n">
        <f aca="false">'Raw Data'!F140</f>
        <v>0</v>
      </c>
      <c r="F140" s="6" t="n">
        <f aca="false">'Raw Data'!G140</f>
        <v>0</v>
      </c>
      <c r="G140" s="6" t="n">
        <f aca="false">'Raw Data'!H140</f>
        <v>0</v>
      </c>
      <c r="H140" s="6" t="n">
        <f aca="false">'Raw Data'!I140</f>
        <v>0</v>
      </c>
      <c r="I140" s="6" t="n">
        <f aca="false">'Raw Data'!J140</f>
        <v>0</v>
      </c>
      <c r="J140" s="6" t="n">
        <f aca="false">'Raw Data'!K140</f>
        <v>3</v>
      </c>
      <c r="K140" s="6" t="n">
        <f aca="false">'Raw Data'!L140</f>
        <v>1</v>
      </c>
      <c r="L140" s="6" t="n">
        <f aca="false">F140*E140</f>
        <v>0</v>
      </c>
      <c r="N140" s="0" t="n">
        <v>1</v>
      </c>
      <c r="O140" s="6" t="n">
        <f aca="false">D140</f>
        <v>3.54</v>
      </c>
      <c r="P140" s="6" t="n">
        <f aca="false">E140</f>
        <v>0</v>
      </c>
      <c r="Q140" s="6" t="n">
        <f aca="false">F140</f>
        <v>0</v>
      </c>
      <c r="R140" s="6" t="n">
        <f aca="false">G140</f>
        <v>0</v>
      </c>
      <c r="S140" s="6" t="n">
        <f aca="false">H140</f>
        <v>0</v>
      </c>
      <c r="T140" s="6" t="n">
        <f aca="false">I140</f>
        <v>0</v>
      </c>
      <c r="U140" s="6" t="n">
        <f aca="false">L140</f>
        <v>0</v>
      </c>
      <c r="W140" s="6" t="n">
        <f aca="false">D140</f>
        <v>3.54</v>
      </c>
      <c r="X140" s="6" t="n">
        <f aca="false">E140</f>
        <v>0</v>
      </c>
      <c r="Y140" s="6" t="n">
        <f aca="false">F140</f>
        <v>0</v>
      </c>
      <c r="Z140" s="6" t="n">
        <f aca="false">L140</f>
        <v>0</v>
      </c>
      <c r="AA140" s="6" t="n">
        <f aca="false">G140</f>
        <v>0</v>
      </c>
      <c r="AC140" s="6" t="n">
        <f aca="false">D140</f>
        <v>3.54</v>
      </c>
      <c r="AD140" s="6" t="n">
        <f aca="false">E140</f>
        <v>0</v>
      </c>
      <c r="AE140" s="6" t="n">
        <f aca="false">G140</f>
        <v>0</v>
      </c>
      <c r="AF140" s="6" t="n">
        <f aca="false">H140</f>
        <v>0</v>
      </c>
      <c r="AG140" s="6" t="n">
        <f aca="false">I140</f>
        <v>0</v>
      </c>
      <c r="AH140" s="6" t="n">
        <f aca="false">L140</f>
        <v>0</v>
      </c>
    </row>
    <row r="141" customFormat="false" ht="15" hidden="false" customHeight="false" outlineLevel="0" collapsed="false">
      <c r="A141" s="0" t="str">
        <f aca="false">'Raw Data'!C141</f>
        <v>Fair Lakes</v>
      </c>
      <c r="B141" s="5" t="n">
        <f aca="false">'Raw Data'!A141</f>
        <v>40351</v>
      </c>
      <c r="C141" s="6" t="n">
        <f aca="false">'Raw Data'!D141</f>
        <v>148.147434326012</v>
      </c>
      <c r="D141" s="6" t="n">
        <f aca="false">'Raw Data'!E141</f>
        <v>3.634444444</v>
      </c>
      <c r="E141" s="6" t="n">
        <f aca="false">'Raw Data'!F141</f>
        <v>0</v>
      </c>
      <c r="F141" s="6" t="n">
        <f aca="false">'Raw Data'!G141</f>
        <v>0</v>
      </c>
      <c r="G141" s="6" t="n">
        <f aca="false">'Raw Data'!H141</f>
        <v>0</v>
      </c>
      <c r="H141" s="6" t="n">
        <f aca="false">'Raw Data'!I141</f>
        <v>0</v>
      </c>
      <c r="I141" s="6" t="n">
        <f aca="false">'Raw Data'!J141</f>
        <v>0</v>
      </c>
      <c r="J141" s="6" t="n">
        <f aca="false">'Raw Data'!K141</f>
        <v>3</v>
      </c>
      <c r="K141" s="6" t="n">
        <f aca="false">'Raw Data'!L141</f>
        <v>1</v>
      </c>
      <c r="L141" s="6" t="n">
        <f aca="false">F141*E141</f>
        <v>0</v>
      </c>
      <c r="N141" s="0" t="n">
        <v>1</v>
      </c>
      <c r="O141" s="6" t="n">
        <f aca="false">D141</f>
        <v>3.634444444</v>
      </c>
      <c r="P141" s="6" t="n">
        <f aca="false">E141</f>
        <v>0</v>
      </c>
      <c r="Q141" s="6" t="n">
        <f aca="false">F141</f>
        <v>0</v>
      </c>
      <c r="R141" s="6" t="n">
        <f aca="false">G141</f>
        <v>0</v>
      </c>
      <c r="S141" s="6" t="n">
        <f aca="false">H141</f>
        <v>0</v>
      </c>
      <c r="T141" s="6" t="n">
        <f aca="false">I141</f>
        <v>0</v>
      </c>
      <c r="U141" s="6" t="n">
        <f aca="false">L141</f>
        <v>0</v>
      </c>
      <c r="W141" s="6" t="n">
        <f aca="false">D141</f>
        <v>3.634444444</v>
      </c>
      <c r="X141" s="6" t="n">
        <f aca="false">E141</f>
        <v>0</v>
      </c>
      <c r="Y141" s="6" t="n">
        <f aca="false">F141</f>
        <v>0</v>
      </c>
      <c r="Z141" s="6" t="n">
        <f aca="false">L141</f>
        <v>0</v>
      </c>
      <c r="AA141" s="6" t="n">
        <f aca="false">G141</f>
        <v>0</v>
      </c>
      <c r="AC141" s="6" t="n">
        <f aca="false">D141</f>
        <v>3.634444444</v>
      </c>
      <c r="AD141" s="6" t="n">
        <f aca="false">E141</f>
        <v>0</v>
      </c>
      <c r="AE141" s="6" t="n">
        <f aca="false">G141</f>
        <v>0</v>
      </c>
      <c r="AF141" s="6" t="n">
        <f aca="false">H141</f>
        <v>0</v>
      </c>
      <c r="AG141" s="6" t="n">
        <f aca="false">I141</f>
        <v>0</v>
      </c>
      <c r="AH141" s="6" t="n">
        <f aca="false">L141</f>
        <v>0</v>
      </c>
    </row>
    <row r="142" customFormat="false" ht="15" hidden="false" customHeight="false" outlineLevel="0" collapsed="false">
      <c r="A142" s="0" t="str">
        <f aca="false">'Raw Data'!C142</f>
        <v>Fair Lakes</v>
      </c>
      <c r="B142" s="5" t="n">
        <f aca="false">'Raw Data'!A142</f>
        <v>40358</v>
      </c>
      <c r="C142" s="6" t="n">
        <f aca="false">'Raw Data'!D142</f>
        <v>270.141870281957</v>
      </c>
      <c r="D142" s="6" t="n">
        <f aca="false">'Raw Data'!E142</f>
        <v>3.7525</v>
      </c>
      <c r="E142" s="6" t="n">
        <f aca="false">'Raw Data'!F142</f>
        <v>0</v>
      </c>
      <c r="F142" s="6" t="n">
        <f aca="false">'Raw Data'!G142</f>
        <v>0</v>
      </c>
      <c r="G142" s="6" t="n">
        <f aca="false">'Raw Data'!H142</f>
        <v>0</v>
      </c>
      <c r="H142" s="6" t="n">
        <f aca="false">'Raw Data'!I142</f>
        <v>0</v>
      </c>
      <c r="I142" s="6" t="n">
        <f aca="false">'Raw Data'!J142</f>
        <v>0</v>
      </c>
      <c r="J142" s="6" t="n">
        <f aca="false">'Raw Data'!K142</f>
        <v>3</v>
      </c>
      <c r="K142" s="6" t="n">
        <f aca="false">'Raw Data'!L142</f>
        <v>1</v>
      </c>
      <c r="L142" s="6" t="n">
        <f aca="false">F142*E142</f>
        <v>0</v>
      </c>
      <c r="N142" s="0" t="n">
        <v>1</v>
      </c>
      <c r="O142" s="6" t="n">
        <f aca="false">D142</f>
        <v>3.7525</v>
      </c>
      <c r="P142" s="6" t="n">
        <f aca="false">E142</f>
        <v>0</v>
      </c>
      <c r="Q142" s="6" t="n">
        <f aca="false">F142</f>
        <v>0</v>
      </c>
      <c r="R142" s="6" t="n">
        <f aca="false">G142</f>
        <v>0</v>
      </c>
      <c r="S142" s="6" t="n">
        <f aca="false">H142</f>
        <v>0</v>
      </c>
      <c r="T142" s="6" t="n">
        <f aca="false">I142</f>
        <v>0</v>
      </c>
      <c r="U142" s="6" t="n">
        <f aca="false">L142</f>
        <v>0</v>
      </c>
      <c r="W142" s="6" t="n">
        <f aca="false">D142</f>
        <v>3.7525</v>
      </c>
      <c r="X142" s="6" t="n">
        <f aca="false">E142</f>
        <v>0</v>
      </c>
      <c r="Y142" s="6" t="n">
        <f aca="false">F142</f>
        <v>0</v>
      </c>
      <c r="Z142" s="6" t="n">
        <f aca="false">L142</f>
        <v>0</v>
      </c>
      <c r="AA142" s="6" t="n">
        <f aca="false">G142</f>
        <v>0</v>
      </c>
      <c r="AC142" s="6" t="n">
        <f aca="false">D142</f>
        <v>3.7525</v>
      </c>
      <c r="AD142" s="6" t="n">
        <f aca="false">E142</f>
        <v>0</v>
      </c>
      <c r="AE142" s="6" t="n">
        <f aca="false">G142</f>
        <v>0</v>
      </c>
      <c r="AF142" s="6" t="n">
        <f aca="false">H142</f>
        <v>0</v>
      </c>
      <c r="AG142" s="6" t="n">
        <f aca="false">I142</f>
        <v>0</v>
      </c>
      <c r="AH142" s="6" t="n">
        <f aca="false">L142</f>
        <v>0</v>
      </c>
    </row>
    <row r="143" customFormat="false" ht="15" hidden="false" customHeight="false" outlineLevel="0" collapsed="false">
      <c r="A143" s="0" t="str">
        <f aca="false">'Raw Data'!C143</f>
        <v>Fair Lakes</v>
      </c>
      <c r="B143" s="5" t="n">
        <f aca="false">'Raw Data'!A143</f>
        <v>40365</v>
      </c>
      <c r="C143" s="6" t="n">
        <f aca="false">'Raw Data'!D143</f>
        <v>194.179123405524</v>
      </c>
      <c r="D143" s="6" t="n">
        <f aca="false">'Raw Data'!E143</f>
        <v>3.251111111</v>
      </c>
      <c r="E143" s="6" t="n">
        <f aca="false">'Raw Data'!F143</f>
        <v>0</v>
      </c>
      <c r="F143" s="6" t="n">
        <f aca="false">'Raw Data'!G143</f>
        <v>0</v>
      </c>
      <c r="G143" s="6" t="n">
        <f aca="false">'Raw Data'!H143</f>
        <v>0</v>
      </c>
      <c r="H143" s="6" t="n">
        <f aca="false">'Raw Data'!I143</f>
        <v>0</v>
      </c>
      <c r="I143" s="6" t="n">
        <f aca="false">'Raw Data'!J143</f>
        <v>0</v>
      </c>
      <c r="J143" s="6" t="n">
        <f aca="false">'Raw Data'!K143</f>
        <v>3</v>
      </c>
      <c r="K143" s="6" t="n">
        <f aca="false">'Raw Data'!L143</f>
        <v>1</v>
      </c>
      <c r="L143" s="6" t="n">
        <f aca="false">F143*E143</f>
        <v>0</v>
      </c>
      <c r="N143" s="0" t="n">
        <v>1</v>
      </c>
      <c r="O143" s="6" t="n">
        <f aca="false">D143</f>
        <v>3.251111111</v>
      </c>
      <c r="P143" s="6" t="n">
        <f aca="false">E143</f>
        <v>0</v>
      </c>
      <c r="Q143" s="6" t="n">
        <f aca="false">F143</f>
        <v>0</v>
      </c>
      <c r="R143" s="6" t="n">
        <f aca="false">G143</f>
        <v>0</v>
      </c>
      <c r="S143" s="6" t="n">
        <f aca="false">H143</f>
        <v>0</v>
      </c>
      <c r="T143" s="6" t="n">
        <f aca="false">I143</f>
        <v>0</v>
      </c>
      <c r="U143" s="6" t="n">
        <f aca="false">L143</f>
        <v>0</v>
      </c>
      <c r="W143" s="6" t="n">
        <f aca="false">D143</f>
        <v>3.251111111</v>
      </c>
      <c r="X143" s="6" t="n">
        <f aca="false">E143</f>
        <v>0</v>
      </c>
      <c r="Y143" s="6" t="n">
        <f aca="false">F143</f>
        <v>0</v>
      </c>
      <c r="Z143" s="6" t="n">
        <f aca="false">L143</f>
        <v>0</v>
      </c>
      <c r="AA143" s="6" t="n">
        <f aca="false">G143</f>
        <v>0</v>
      </c>
      <c r="AC143" s="6" t="n">
        <f aca="false">D143</f>
        <v>3.251111111</v>
      </c>
      <c r="AD143" s="6" t="n">
        <f aca="false">E143</f>
        <v>0</v>
      </c>
      <c r="AE143" s="6" t="n">
        <f aca="false">G143</f>
        <v>0</v>
      </c>
      <c r="AF143" s="6" t="n">
        <f aca="false">H143</f>
        <v>0</v>
      </c>
      <c r="AG143" s="6" t="n">
        <f aca="false">I143</f>
        <v>0</v>
      </c>
      <c r="AH143" s="6" t="n">
        <f aca="false">L143</f>
        <v>0</v>
      </c>
    </row>
    <row r="144" customFormat="false" ht="15" hidden="false" customHeight="false" outlineLevel="0" collapsed="false">
      <c r="A144" s="0" t="str">
        <f aca="false">'Raw Data'!C144</f>
        <v>Fair Lakes</v>
      </c>
      <c r="B144" s="5" t="n">
        <f aca="false">'Raw Data'!A144</f>
        <v>40372</v>
      </c>
      <c r="C144" s="6" t="n">
        <f aca="false">'Raw Data'!D144</f>
        <v>170.537679326789</v>
      </c>
      <c r="D144" s="6" t="n">
        <f aca="false">'Raw Data'!E144</f>
        <v>3.126</v>
      </c>
      <c r="E144" s="6" t="n">
        <f aca="false">'Raw Data'!F144</f>
        <v>0</v>
      </c>
      <c r="F144" s="6" t="n">
        <f aca="false">'Raw Data'!G144</f>
        <v>0</v>
      </c>
      <c r="G144" s="6" t="n">
        <f aca="false">'Raw Data'!H144</f>
        <v>0</v>
      </c>
      <c r="H144" s="6" t="n">
        <f aca="false">'Raw Data'!I144</f>
        <v>0</v>
      </c>
      <c r="I144" s="6" t="n">
        <f aca="false">'Raw Data'!J144</f>
        <v>0</v>
      </c>
      <c r="J144" s="6" t="n">
        <f aca="false">'Raw Data'!K144</f>
        <v>3</v>
      </c>
      <c r="K144" s="6" t="n">
        <f aca="false">'Raw Data'!L144</f>
        <v>1</v>
      </c>
      <c r="L144" s="6" t="n">
        <f aca="false">F144*E144</f>
        <v>0</v>
      </c>
      <c r="N144" s="0" t="n">
        <v>1</v>
      </c>
      <c r="O144" s="6" t="n">
        <f aca="false">D144</f>
        <v>3.126</v>
      </c>
      <c r="P144" s="6" t="n">
        <f aca="false">E144</f>
        <v>0</v>
      </c>
      <c r="Q144" s="6" t="n">
        <f aca="false">F144</f>
        <v>0</v>
      </c>
      <c r="R144" s="6" t="n">
        <f aca="false">G144</f>
        <v>0</v>
      </c>
      <c r="S144" s="6" t="n">
        <f aca="false">H144</f>
        <v>0</v>
      </c>
      <c r="T144" s="6" t="n">
        <f aca="false">I144</f>
        <v>0</v>
      </c>
      <c r="U144" s="6" t="n">
        <f aca="false">L144</f>
        <v>0</v>
      </c>
      <c r="W144" s="6" t="n">
        <f aca="false">D144</f>
        <v>3.126</v>
      </c>
      <c r="X144" s="6" t="n">
        <f aca="false">E144</f>
        <v>0</v>
      </c>
      <c r="Y144" s="6" t="n">
        <f aca="false">F144</f>
        <v>0</v>
      </c>
      <c r="Z144" s="6" t="n">
        <f aca="false">L144</f>
        <v>0</v>
      </c>
      <c r="AA144" s="6" t="n">
        <f aca="false">G144</f>
        <v>0</v>
      </c>
      <c r="AC144" s="6" t="n">
        <f aca="false">D144</f>
        <v>3.126</v>
      </c>
      <c r="AD144" s="6" t="n">
        <f aca="false">E144</f>
        <v>0</v>
      </c>
      <c r="AE144" s="6" t="n">
        <f aca="false">G144</f>
        <v>0</v>
      </c>
      <c r="AF144" s="6" t="n">
        <f aca="false">H144</f>
        <v>0</v>
      </c>
      <c r="AG144" s="6" t="n">
        <f aca="false">I144</f>
        <v>0</v>
      </c>
      <c r="AH144" s="6" t="n">
        <f aca="false">L144</f>
        <v>0</v>
      </c>
    </row>
    <row r="145" customFormat="false" ht="15" hidden="false" customHeight="false" outlineLevel="0" collapsed="false">
      <c r="A145" s="0" t="str">
        <f aca="false">'Raw Data'!C145</f>
        <v>Georgetown</v>
      </c>
      <c r="B145" s="5" t="n">
        <f aca="false">'Raw Data'!A145</f>
        <v>40302</v>
      </c>
      <c r="C145" s="6" t="n">
        <f aca="false">'Raw Data'!D145</f>
        <v>171.565865693882</v>
      </c>
      <c r="D145" s="6" t="n">
        <f aca="false">'Raw Data'!E145</f>
        <v>3.618571429</v>
      </c>
      <c r="E145" s="6" t="n">
        <f aca="false">'Raw Data'!F145</f>
        <v>0</v>
      </c>
      <c r="F145" s="6" t="n">
        <f aca="false">'Raw Data'!G145</f>
        <v>0</v>
      </c>
      <c r="G145" s="6" t="n">
        <f aca="false">'Raw Data'!H145</f>
        <v>0</v>
      </c>
      <c r="H145" s="6" t="n">
        <f aca="false">'Raw Data'!I145</f>
        <v>0</v>
      </c>
      <c r="I145" s="6" t="n">
        <f aca="false">'Raw Data'!J145</f>
        <v>0</v>
      </c>
      <c r="J145" s="6" t="n">
        <f aca="false">'Raw Data'!K145</f>
        <v>2</v>
      </c>
      <c r="K145" s="6" t="n">
        <f aca="false">'Raw Data'!L145</f>
        <v>0</v>
      </c>
      <c r="L145" s="6" t="n">
        <f aca="false">F145*E145</f>
        <v>0</v>
      </c>
      <c r="N145" s="0" t="n">
        <v>1</v>
      </c>
      <c r="O145" s="6" t="n">
        <f aca="false">D145</f>
        <v>3.618571429</v>
      </c>
      <c r="P145" s="6" t="n">
        <f aca="false">E145</f>
        <v>0</v>
      </c>
      <c r="Q145" s="6" t="n">
        <f aca="false">F145</f>
        <v>0</v>
      </c>
      <c r="R145" s="6" t="n">
        <f aca="false">G145</f>
        <v>0</v>
      </c>
      <c r="S145" s="6" t="n">
        <f aca="false">H145</f>
        <v>0</v>
      </c>
      <c r="T145" s="6" t="n">
        <f aca="false">I145</f>
        <v>0</v>
      </c>
      <c r="U145" s="6" t="n">
        <f aca="false">L145</f>
        <v>0</v>
      </c>
      <c r="W145" s="6" t="n">
        <f aca="false">D145</f>
        <v>3.618571429</v>
      </c>
      <c r="X145" s="6" t="n">
        <f aca="false">E145</f>
        <v>0</v>
      </c>
      <c r="Y145" s="6" t="n">
        <f aca="false">F145</f>
        <v>0</v>
      </c>
      <c r="Z145" s="6" t="n">
        <f aca="false">L145</f>
        <v>0</v>
      </c>
      <c r="AA145" s="6" t="n">
        <f aca="false">G145</f>
        <v>0</v>
      </c>
      <c r="AC145" s="6" t="n">
        <f aca="false">D145</f>
        <v>3.618571429</v>
      </c>
      <c r="AD145" s="6" t="n">
        <f aca="false">E145</f>
        <v>0</v>
      </c>
      <c r="AE145" s="6" t="n">
        <f aca="false">G145</f>
        <v>0</v>
      </c>
      <c r="AF145" s="6" t="n">
        <f aca="false">H145</f>
        <v>0</v>
      </c>
      <c r="AG145" s="6" t="n">
        <f aca="false">I145</f>
        <v>0</v>
      </c>
      <c r="AH145" s="6" t="n">
        <f aca="false">L145</f>
        <v>0</v>
      </c>
    </row>
    <row r="146" customFormat="false" ht="15" hidden="false" customHeight="false" outlineLevel="0" collapsed="false">
      <c r="A146" s="0" t="str">
        <f aca="false">'Raw Data'!C146</f>
        <v>Georgetown</v>
      </c>
      <c r="B146" s="5" t="n">
        <f aca="false">'Raw Data'!A146</f>
        <v>40309</v>
      </c>
      <c r="C146" s="6" t="n">
        <f aca="false">'Raw Data'!D146</f>
        <v>227.656062389237</v>
      </c>
      <c r="D146" s="6" t="n">
        <f aca="false">'Raw Data'!E146</f>
        <v>3.618571429</v>
      </c>
      <c r="E146" s="6" t="n">
        <f aca="false">'Raw Data'!F146</f>
        <v>0</v>
      </c>
      <c r="F146" s="6" t="n">
        <f aca="false">'Raw Data'!G146</f>
        <v>0</v>
      </c>
      <c r="G146" s="6" t="n">
        <f aca="false">'Raw Data'!H146</f>
        <v>0</v>
      </c>
      <c r="H146" s="6" t="n">
        <f aca="false">'Raw Data'!I146</f>
        <v>0</v>
      </c>
      <c r="I146" s="6" t="n">
        <f aca="false">'Raw Data'!J146</f>
        <v>0</v>
      </c>
      <c r="J146" s="6" t="n">
        <f aca="false">'Raw Data'!K146</f>
        <v>2</v>
      </c>
      <c r="K146" s="6" t="n">
        <f aca="false">'Raw Data'!L146</f>
        <v>0</v>
      </c>
      <c r="L146" s="6" t="n">
        <f aca="false">F146*E146</f>
        <v>0</v>
      </c>
      <c r="N146" s="0" t="n">
        <v>1</v>
      </c>
      <c r="O146" s="6" t="n">
        <f aca="false">D146</f>
        <v>3.618571429</v>
      </c>
      <c r="P146" s="6" t="n">
        <f aca="false">E146</f>
        <v>0</v>
      </c>
      <c r="Q146" s="6" t="n">
        <f aca="false">F146</f>
        <v>0</v>
      </c>
      <c r="R146" s="6" t="n">
        <f aca="false">G146</f>
        <v>0</v>
      </c>
      <c r="S146" s="6" t="n">
        <f aca="false">H146</f>
        <v>0</v>
      </c>
      <c r="T146" s="6" t="n">
        <f aca="false">I146</f>
        <v>0</v>
      </c>
      <c r="U146" s="6" t="n">
        <f aca="false">L146</f>
        <v>0</v>
      </c>
      <c r="W146" s="6" t="n">
        <f aca="false">D146</f>
        <v>3.618571429</v>
      </c>
      <c r="X146" s="6" t="n">
        <f aca="false">E146</f>
        <v>0</v>
      </c>
      <c r="Y146" s="6" t="n">
        <f aca="false">F146</f>
        <v>0</v>
      </c>
      <c r="Z146" s="6" t="n">
        <f aca="false">L146</f>
        <v>0</v>
      </c>
      <c r="AA146" s="6" t="n">
        <f aca="false">G146</f>
        <v>0</v>
      </c>
      <c r="AC146" s="6" t="n">
        <f aca="false">D146</f>
        <v>3.618571429</v>
      </c>
      <c r="AD146" s="6" t="n">
        <f aca="false">E146</f>
        <v>0</v>
      </c>
      <c r="AE146" s="6" t="n">
        <f aca="false">G146</f>
        <v>0</v>
      </c>
      <c r="AF146" s="6" t="n">
        <f aca="false">H146</f>
        <v>0</v>
      </c>
      <c r="AG146" s="6" t="n">
        <f aca="false">I146</f>
        <v>0</v>
      </c>
      <c r="AH146" s="6" t="n">
        <f aca="false">L146</f>
        <v>0</v>
      </c>
    </row>
    <row r="147" customFormat="false" ht="15" hidden="false" customHeight="false" outlineLevel="0" collapsed="false">
      <c r="A147" s="0" t="str">
        <f aca="false">'Raw Data'!C147</f>
        <v>Georgetown</v>
      </c>
      <c r="B147" s="5" t="n">
        <f aca="false">'Raw Data'!A147</f>
        <v>40316</v>
      </c>
      <c r="C147" s="6" t="n">
        <f aca="false">'Raw Data'!D147</f>
        <v>186.248472467009</v>
      </c>
      <c r="D147" s="6" t="n">
        <f aca="false">'Raw Data'!E147</f>
        <v>3.34</v>
      </c>
      <c r="E147" s="6" t="n">
        <f aca="false">'Raw Data'!F147</f>
        <v>0</v>
      </c>
      <c r="F147" s="6" t="n">
        <f aca="false">'Raw Data'!G147</f>
        <v>0</v>
      </c>
      <c r="G147" s="6" t="n">
        <f aca="false">'Raw Data'!H147</f>
        <v>0</v>
      </c>
      <c r="H147" s="6" t="n">
        <f aca="false">'Raw Data'!I147</f>
        <v>0</v>
      </c>
      <c r="I147" s="6" t="n">
        <f aca="false">'Raw Data'!J147</f>
        <v>0</v>
      </c>
      <c r="J147" s="6" t="n">
        <f aca="false">'Raw Data'!K147</f>
        <v>2</v>
      </c>
      <c r="K147" s="6" t="n">
        <f aca="false">'Raw Data'!L147</f>
        <v>0</v>
      </c>
      <c r="L147" s="6" t="n">
        <f aca="false">F147*E147</f>
        <v>0</v>
      </c>
      <c r="N147" s="0" t="n">
        <v>1</v>
      </c>
      <c r="O147" s="6" t="n">
        <f aca="false">D147</f>
        <v>3.34</v>
      </c>
      <c r="P147" s="6" t="n">
        <f aca="false">E147</f>
        <v>0</v>
      </c>
      <c r="Q147" s="6" t="n">
        <f aca="false">F147</f>
        <v>0</v>
      </c>
      <c r="R147" s="6" t="n">
        <f aca="false">G147</f>
        <v>0</v>
      </c>
      <c r="S147" s="6" t="n">
        <f aca="false">H147</f>
        <v>0</v>
      </c>
      <c r="T147" s="6" t="n">
        <f aca="false">I147</f>
        <v>0</v>
      </c>
      <c r="U147" s="6" t="n">
        <f aca="false">L147</f>
        <v>0</v>
      </c>
      <c r="W147" s="6" t="n">
        <f aca="false">D147</f>
        <v>3.34</v>
      </c>
      <c r="X147" s="6" t="n">
        <f aca="false">E147</f>
        <v>0</v>
      </c>
      <c r="Y147" s="6" t="n">
        <f aca="false">F147</f>
        <v>0</v>
      </c>
      <c r="Z147" s="6" t="n">
        <f aca="false">L147</f>
        <v>0</v>
      </c>
      <c r="AA147" s="6" t="n">
        <f aca="false">G147</f>
        <v>0</v>
      </c>
      <c r="AC147" s="6" t="n">
        <f aca="false">D147</f>
        <v>3.34</v>
      </c>
      <c r="AD147" s="6" t="n">
        <f aca="false">E147</f>
        <v>0</v>
      </c>
      <c r="AE147" s="6" t="n">
        <f aca="false">G147</f>
        <v>0</v>
      </c>
      <c r="AF147" s="6" t="n">
        <f aca="false">H147</f>
        <v>0</v>
      </c>
      <c r="AG147" s="6" t="n">
        <f aca="false">I147</f>
        <v>0</v>
      </c>
      <c r="AH147" s="6" t="n">
        <f aca="false">L147</f>
        <v>0</v>
      </c>
    </row>
    <row r="148" customFormat="false" ht="15" hidden="false" customHeight="false" outlineLevel="0" collapsed="false">
      <c r="A148" s="0" t="str">
        <f aca="false">'Raw Data'!C148</f>
        <v>Georgetown</v>
      </c>
      <c r="B148" s="5" t="n">
        <f aca="false">'Raw Data'!A148</f>
        <v>40323</v>
      </c>
      <c r="C148" s="6" t="n">
        <f aca="false">'Raw Data'!D148</f>
        <v>235.949967553825</v>
      </c>
      <c r="D148" s="6" t="n">
        <f aca="false">'Raw Data'!E148</f>
        <v>3.356666667</v>
      </c>
      <c r="E148" s="6" t="n">
        <f aca="false">'Raw Data'!F148</f>
        <v>0</v>
      </c>
      <c r="F148" s="6" t="n">
        <f aca="false">'Raw Data'!G148</f>
        <v>0</v>
      </c>
      <c r="G148" s="6" t="n">
        <f aca="false">'Raw Data'!H148</f>
        <v>0</v>
      </c>
      <c r="H148" s="6" t="n">
        <f aca="false">'Raw Data'!I148</f>
        <v>0</v>
      </c>
      <c r="I148" s="6" t="n">
        <f aca="false">'Raw Data'!J148</f>
        <v>0</v>
      </c>
      <c r="J148" s="6" t="n">
        <f aca="false">'Raw Data'!K148</f>
        <v>2</v>
      </c>
      <c r="K148" s="6" t="n">
        <f aca="false">'Raw Data'!L148</f>
        <v>0</v>
      </c>
      <c r="L148" s="6" t="n">
        <f aca="false">F148*E148</f>
        <v>0</v>
      </c>
      <c r="N148" s="0" t="n">
        <v>1</v>
      </c>
      <c r="O148" s="6" t="n">
        <f aca="false">D148</f>
        <v>3.356666667</v>
      </c>
      <c r="P148" s="6" t="n">
        <f aca="false">E148</f>
        <v>0</v>
      </c>
      <c r="Q148" s="6" t="n">
        <f aca="false">F148</f>
        <v>0</v>
      </c>
      <c r="R148" s="6" t="n">
        <f aca="false">G148</f>
        <v>0</v>
      </c>
      <c r="S148" s="6" t="n">
        <f aca="false">H148</f>
        <v>0</v>
      </c>
      <c r="T148" s="6" t="n">
        <f aca="false">I148</f>
        <v>0</v>
      </c>
      <c r="U148" s="6" t="n">
        <f aca="false">L148</f>
        <v>0</v>
      </c>
      <c r="W148" s="6" t="n">
        <f aca="false">D148</f>
        <v>3.356666667</v>
      </c>
      <c r="X148" s="6" t="n">
        <f aca="false">E148</f>
        <v>0</v>
      </c>
      <c r="Y148" s="6" t="n">
        <f aca="false">F148</f>
        <v>0</v>
      </c>
      <c r="Z148" s="6" t="n">
        <f aca="false">L148</f>
        <v>0</v>
      </c>
      <c r="AA148" s="6" t="n">
        <f aca="false">G148</f>
        <v>0</v>
      </c>
      <c r="AC148" s="6" t="n">
        <f aca="false">D148</f>
        <v>3.356666667</v>
      </c>
      <c r="AD148" s="6" t="n">
        <f aca="false">E148</f>
        <v>0</v>
      </c>
      <c r="AE148" s="6" t="n">
        <f aca="false">G148</f>
        <v>0</v>
      </c>
      <c r="AF148" s="6" t="n">
        <f aca="false">H148</f>
        <v>0</v>
      </c>
      <c r="AG148" s="6" t="n">
        <f aca="false">I148</f>
        <v>0</v>
      </c>
      <c r="AH148" s="6" t="n">
        <f aca="false">L148</f>
        <v>0</v>
      </c>
    </row>
    <row r="149" customFormat="false" ht="15" hidden="false" customHeight="false" outlineLevel="0" collapsed="false">
      <c r="A149" s="0" t="str">
        <f aca="false">'Raw Data'!C149</f>
        <v>Georgetown</v>
      </c>
      <c r="B149" s="5" t="n">
        <f aca="false">'Raw Data'!A149</f>
        <v>40330</v>
      </c>
      <c r="C149" s="6" t="n">
        <f aca="false">'Raw Data'!D149</f>
        <v>193.896057580671</v>
      </c>
      <c r="D149" s="6" t="n">
        <f aca="false">'Raw Data'!E149</f>
        <v>3.34</v>
      </c>
      <c r="E149" s="6" t="n">
        <f aca="false">'Raw Data'!F149</f>
        <v>0</v>
      </c>
      <c r="F149" s="6" t="n">
        <f aca="false">'Raw Data'!G149</f>
        <v>0</v>
      </c>
      <c r="G149" s="6" t="n">
        <f aca="false">'Raw Data'!H149</f>
        <v>0</v>
      </c>
      <c r="H149" s="6" t="n">
        <f aca="false">'Raw Data'!I149</f>
        <v>0</v>
      </c>
      <c r="I149" s="6" t="n">
        <f aca="false">'Raw Data'!J149</f>
        <v>0</v>
      </c>
      <c r="J149" s="6" t="n">
        <f aca="false">'Raw Data'!K149</f>
        <v>2</v>
      </c>
      <c r="K149" s="6" t="n">
        <f aca="false">'Raw Data'!L149</f>
        <v>0</v>
      </c>
      <c r="L149" s="6" t="n">
        <f aca="false">F149*E149</f>
        <v>0</v>
      </c>
      <c r="N149" s="0" t="n">
        <v>1</v>
      </c>
      <c r="O149" s="6" t="n">
        <f aca="false">D149</f>
        <v>3.34</v>
      </c>
      <c r="P149" s="6" t="n">
        <f aca="false">E149</f>
        <v>0</v>
      </c>
      <c r="Q149" s="6" t="n">
        <f aca="false">F149</f>
        <v>0</v>
      </c>
      <c r="R149" s="6" t="n">
        <f aca="false">G149</f>
        <v>0</v>
      </c>
      <c r="S149" s="6" t="n">
        <f aca="false">H149</f>
        <v>0</v>
      </c>
      <c r="T149" s="6" t="n">
        <f aca="false">I149</f>
        <v>0</v>
      </c>
      <c r="U149" s="6" t="n">
        <f aca="false">L149</f>
        <v>0</v>
      </c>
      <c r="W149" s="6" t="n">
        <f aca="false">D149</f>
        <v>3.34</v>
      </c>
      <c r="X149" s="6" t="n">
        <f aca="false">E149</f>
        <v>0</v>
      </c>
      <c r="Y149" s="6" t="n">
        <f aca="false">F149</f>
        <v>0</v>
      </c>
      <c r="Z149" s="6" t="n">
        <f aca="false">L149</f>
        <v>0</v>
      </c>
      <c r="AA149" s="6" t="n">
        <f aca="false">G149</f>
        <v>0</v>
      </c>
      <c r="AC149" s="6" t="n">
        <f aca="false">D149</f>
        <v>3.34</v>
      </c>
      <c r="AD149" s="6" t="n">
        <f aca="false">E149</f>
        <v>0</v>
      </c>
      <c r="AE149" s="6" t="n">
        <f aca="false">G149</f>
        <v>0</v>
      </c>
      <c r="AF149" s="6" t="n">
        <f aca="false">H149</f>
        <v>0</v>
      </c>
      <c r="AG149" s="6" t="n">
        <f aca="false">I149</f>
        <v>0</v>
      </c>
      <c r="AH149" s="6" t="n">
        <f aca="false">L149</f>
        <v>0</v>
      </c>
    </row>
    <row r="150" customFormat="false" ht="15" hidden="false" customHeight="false" outlineLevel="0" collapsed="false">
      <c r="A150" s="0" t="str">
        <f aca="false">'Raw Data'!C150</f>
        <v>Georgetown</v>
      </c>
      <c r="B150" s="5" t="n">
        <f aca="false">'Raw Data'!A150</f>
        <v>40337</v>
      </c>
      <c r="C150" s="6" t="n">
        <f aca="false">'Raw Data'!D150</f>
        <v>293.982120837942</v>
      </c>
      <c r="D150" s="6" t="n">
        <f aca="false">'Raw Data'!E150</f>
        <v>3.54</v>
      </c>
      <c r="E150" s="6" t="n">
        <f aca="false">'Raw Data'!F150</f>
        <v>0</v>
      </c>
      <c r="F150" s="6" t="n">
        <f aca="false">'Raw Data'!G150</f>
        <v>0</v>
      </c>
      <c r="G150" s="6" t="n">
        <f aca="false">'Raw Data'!H150</f>
        <v>1</v>
      </c>
      <c r="H150" s="6" t="n">
        <f aca="false">'Raw Data'!I150</f>
        <v>0</v>
      </c>
      <c r="I150" s="6" t="n">
        <f aca="false">'Raw Data'!J150</f>
        <v>0</v>
      </c>
      <c r="J150" s="6" t="n">
        <f aca="false">'Raw Data'!K150</f>
        <v>2</v>
      </c>
      <c r="K150" s="6" t="n">
        <f aca="false">'Raw Data'!L150</f>
        <v>0</v>
      </c>
      <c r="L150" s="6" t="n">
        <f aca="false">F150*E150</f>
        <v>0</v>
      </c>
      <c r="N150" s="0" t="n">
        <v>1</v>
      </c>
      <c r="O150" s="6" t="n">
        <f aca="false">D150</f>
        <v>3.54</v>
      </c>
      <c r="P150" s="6" t="n">
        <f aca="false">E150</f>
        <v>0</v>
      </c>
      <c r="Q150" s="6" t="n">
        <f aca="false">F150</f>
        <v>0</v>
      </c>
      <c r="R150" s="6" t="n">
        <f aca="false">G150</f>
        <v>1</v>
      </c>
      <c r="S150" s="6" t="n">
        <f aca="false">H150</f>
        <v>0</v>
      </c>
      <c r="T150" s="6" t="n">
        <f aca="false">I150</f>
        <v>0</v>
      </c>
      <c r="U150" s="6" t="n">
        <f aca="false">L150</f>
        <v>0</v>
      </c>
      <c r="W150" s="6" t="n">
        <f aca="false">D150</f>
        <v>3.54</v>
      </c>
      <c r="X150" s="6" t="n">
        <f aca="false">E150</f>
        <v>0</v>
      </c>
      <c r="Y150" s="6" t="n">
        <f aca="false">F150</f>
        <v>0</v>
      </c>
      <c r="Z150" s="6" t="n">
        <f aca="false">L150</f>
        <v>0</v>
      </c>
      <c r="AA150" s="6" t="n">
        <f aca="false">G150</f>
        <v>1</v>
      </c>
      <c r="AC150" s="6" t="n">
        <f aca="false">D150</f>
        <v>3.54</v>
      </c>
      <c r="AD150" s="6" t="n">
        <f aca="false">E150</f>
        <v>0</v>
      </c>
      <c r="AE150" s="6" t="n">
        <f aca="false">G150</f>
        <v>1</v>
      </c>
      <c r="AF150" s="6" t="n">
        <f aca="false">H150</f>
        <v>0</v>
      </c>
      <c r="AG150" s="6" t="n">
        <f aca="false">I150</f>
        <v>0</v>
      </c>
      <c r="AH150" s="6" t="n">
        <f aca="false">L150</f>
        <v>0</v>
      </c>
    </row>
    <row r="151" customFormat="false" ht="15" hidden="false" customHeight="false" outlineLevel="0" collapsed="false">
      <c r="A151" s="0" t="str">
        <f aca="false">'Raw Data'!C151</f>
        <v>Georgetown</v>
      </c>
      <c r="B151" s="5" t="n">
        <f aca="false">'Raw Data'!A151</f>
        <v>40344</v>
      </c>
      <c r="C151" s="6" t="n">
        <f aca="false">'Raw Data'!D151</f>
        <v>288.096874123434</v>
      </c>
      <c r="D151" s="6" t="n">
        <f aca="false">'Raw Data'!E151</f>
        <v>3.54</v>
      </c>
      <c r="E151" s="6" t="n">
        <f aca="false">'Raw Data'!F151</f>
        <v>0</v>
      </c>
      <c r="F151" s="6" t="n">
        <f aca="false">'Raw Data'!G151</f>
        <v>0</v>
      </c>
      <c r="G151" s="6" t="n">
        <f aca="false">'Raw Data'!H151</f>
        <v>0</v>
      </c>
      <c r="H151" s="6" t="n">
        <f aca="false">'Raw Data'!I151</f>
        <v>1</v>
      </c>
      <c r="I151" s="6" t="n">
        <f aca="false">'Raw Data'!J151</f>
        <v>0</v>
      </c>
      <c r="J151" s="6" t="n">
        <f aca="false">'Raw Data'!K151</f>
        <v>2</v>
      </c>
      <c r="K151" s="6" t="n">
        <f aca="false">'Raw Data'!L151</f>
        <v>0</v>
      </c>
      <c r="L151" s="6" t="n">
        <f aca="false">F151*E151</f>
        <v>0</v>
      </c>
      <c r="N151" s="0" t="n">
        <v>1</v>
      </c>
      <c r="O151" s="6" t="n">
        <f aca="false">D151</f>
        <v>3.54</v>
      </c>
      <c r="P151" s="6" t="n">
        <f aca="false">E151</f>
        <v>0</v>
      </c>
      <c r="Q151" s="6" t="n">
        <f aca="false">F151</f>
        <v>0</v>
      </c>
      <c r="R151" s="6" t="n">
        <f aca="false">G151</f>
        <v>0</v>
      </c>
      <c r="S151" s="6" t="n">
        <f aca="false">H151</f>
        <v>1</v>
      </c>
      <c r="T151" s="6" t="n">
        <f aca="false">I151</f>
        <v>0</v>
      </c>
      <c r="U151" s="6" t="n">
        <f aca="false">L151</f>
        <v>0</v>
      </c>
      <c r="W151" s="6" t="n">
        <f aca="false">D151</f>
        <v>3.54</v>
      </c>
      <c r="X151" s="6" t="n">
        <f aca="false">E151</f>
        <v>0</v>
      </c>
      <c r="Y151" s="6" t="n">
        <f aca="false">F151</f>
        <v>0</v>
      </c>
      <c r="Z151" s="6" t="n">
        <f aca="false">L151</f>
        <v>0</v>
      </c>
      <c r="AA151" s="6" t="n">
        <f aca="false">G151</f>
        <v>0</v>
      </c>
      <c r="AC151" s="6" t="n">
        <f aca="false">D151</f>
        <v>3.54</v>
      </c>
      <c r="AD151" s="6" t="n">
        <f aca="false">E151</f>
        <v>0</v>
      </c>
      <c r="AE151" s="6" t="n">
        <f aca="false">G151</f>
        <v>0</v>
      </c>
      <c r="AF151" s="6" t="n">
        <f aca="false">H151</f>
        <v>1</v>
      </c>
      <c r="AG151" s="6" t="n">
        <f aca="false">I151</f>
        <v>0</v>
      </c>
      <c r="AH151" s="6" t="n">
        <f aca="false">L151</f>
        <v>0</v>
      </c>
    </row>
    <row r="152" customFormat="false" ht="15" hidden="false" customHeight="false" outlineLevel="0" collapsed="false">
      <c r="A152" s="0" t="str">
        <f aca="false">'Raw Data'!C152</f>
        <v>Georgetown</v>
      </c>
      <c r="B152" s="5" t="n">
        <f aca="false">'Raw Data'!A152</f>
        <v>40351</v>
      </c>
      <c r="C152" s="6" t="n">
        <f aca="false">'Raw Data'!D152</f>
        <v>220.345230585542</v>
      </c>
      <c r="D152" s="6" t="n">
        <f aca="false">'Raw Data'!E152</f>
        <v>3.523333333</v>
      </c>
      <c r="E152" s="6" t="n">
        <f aca="false">'Raw Data'!F152</f>
        <v>0</v>
      </c>
      <c r="F152" s="6" t="n">
        <f aca="false">'Raw Data'!G152</f>
        <v>0</v>
      </c>
      <c r="G152" s="6" t="n">
        <f aca="false">'Raw Data'!H152</f>
        <v>0</v>
      </c>
      <c r="H152" s="6" t="n">
        <f aca="false">'Raw Data'!I152</f>
        <v>1</v>
      </c>
      <c r="I152" s="6" t="n">
        <f aca="false">'Raw Data'!J152</f>
        <v>0</v>
      </c>
      <c r="J152" s="6" t="n">
        <f aca="false">'Raw Data'!K152</f>
        <v>2</v>
      </c>
      <c r="K152" s="6" t="n">
        <f aca="false">'Raw Data'!L152</f>
        <v>0</v>
      </c>
      <c r="L152" s="6" t="n">
        <f aca="false">F152*E152</f>
        <v>0</v>
      </c>
      <c r="N152" s="0" t="n">
        <v>1</v>
      </c>
      <c r="O152" s="6" t="n">
        <f aca="false">D152</f>
        <v>3.523333333</v>
      </c>
      <c r="P152" s="6" t="n">
        <f aca="false">E152</f>
        <v>0</v>
      </c>
      <c r="Q152" s="6" t="n">
        <f aca="false">F152</f>
        <v>0</v>
      </c>
      <c r="R152" s="6" t="n">
        <f aca="false">G152</f>
        <v>0</v>
      </c>
      <c r="S152" s="6" t="n">
        <f aca="false">H152</f>
        <v>1</v>
      </c>
      <c r="T152" s="6" t="n">
        <f aca="false">I152</f>
        <v>0</v>
      </c>
      <c r="U152" s="6" t="n">
        <f aca="false">L152</f>
        <v>0</v>
      </c>
      <c r="W152" s="6" t="n">
        <f aca="false">D152</f>
        <v>3.523333333</v>
      </c>
      <c r="X152" s="6" t="n">
        <f aca="false">E152</f>
        <v>0</v>
      </c>
      <c r="Y152" s="6" t="n">
        <f aca="false">F152</f>
        <v>0</v>
      </c>
      <c r="Z152" s="6" t="n">
        <f aca="false">L152</f>
        <v>0</v>
      </c>
      <c r="AA152" s="6" t="n">
        <f aca="false">G152</f>
        <v>0</v>
      </c>
      <c r="AC152" s="6" t="n">
        <f aca="false">D152</f>
        <v>3.523333333</v>
      </c>
      <c r="AD152" s="6" t="n">
        <f aca="false">E152</f>
        <v>0</v>
      </c>
      <c r="AE152" s="6" t="n">
        <f aca="false">G152</f>
        <v>0</v>
      </c>
      <c r="AF152" s="6" t="n">
        <f aca="false">H152</f>
        <v>1</v>
      </c>
      <c r="AG152" s="6" t="n">
        <f aca="false">I152</f>
        <v>0</v>
      </c>
      <c r="AH152" s="6" t="n">
        <f aca="false">L152</f>
        <v>0</v>
      </c>
    </row>
    <row r="153" customFormat="false" ht="15" hidden="false" customHeight="false" outlineLevel="0" collapsed="false">
      <c r="A153" s="0" t="str">
        <f aca="false">'Raw Data'!C153</f>
        <v>Georgetown</v>
      </c>
      <c r="B153" s="5" t="n">
        <f aca="false">'Raw Data'!A153</f>
        <v>40358</v>
      </c>
      <c r="C153" s="6" t="n">
        <f aca="false">'Raw Data'!D153</f>
        <v>309.776104690164</v>
      </c>
      <c r="D153" s="6" t="n">
        <f aca="false">'Raw Data'!E153</f>
        <v>3.634444444</v>
      </c>
      <c r="E153" s="6" t="n">
        <f aca="false">'Raw Data'!F153</f>
        <v>0</v>
      </c>
      <c r="F153" s="6" t="n">
        <f aca="false">'Raw Data'!G153</f>
        <v>0</v>
      </c>
      <c r="G153" s="6" t="n">
        <f aca="false">'Raw Data'!H153</f>
        <v>0</v>
      </c>
      <c r="H153" s="6" t="n">
        <f aca="false">'Raw Data'!I153</f>
        <v>1</v>
      </c>
      <c r="I153" s="6" t="n">
        <f aca="false">'Raw Data'!J153</f>
        <v>0</v>
      </c>
      <c r="J153" s="6" t="n">
        <f aca="false">'Raw Data'!K153</f>
        <v>2</v>
      </c>
      <c r="K153" s="6" t="n">
        <f aca="false">'Raw Data'!L153</f>
        <v>0</v>
      </c>
      <c r="L153" s="6" t="n">
        <f aca="false">F153*E153</f>
        <v>0</v>
      </c>
      <c r="N153" s="0" t="n">
        <v>1</v>
      </c>
      <c r="O153" s="6" t="n">
        <f aca="false">D153</f>
        <v>3.634444444</v>
      </c>
      <c r="P153" s="6" t="n">
        <f aca="false">E153</f>
        <v>0</v>
      </c>
      <c r="Q153" s="6" t="n">
        <f aca="false">F153</f>
        <v>0</v>
      </c>
      <c r="R153" s="6" t="n">
        <f aca="false">G153</f>
        <v>0</v>
      </c>
      <c r="S153" s="6" t="n">
        <f aca="false">H153</f>
        <v>1</v>
      </c>
      <c r="T153" s="6" t="n">
        <f aca="false">I153</f>
        <v>0</v>
      </c>
      <c r="U153" s="6" t="n">
        <f aca="false">L153</f>
        <v>0</v>
      </c>
      <c r="W153" s="6" t="n">
        <f aca="false">D153</f>
        <v>3.634444444</v>
      </c>
      <c r="X153" s="6" t="n">
        <f aca="false">E153</f>
        <v>0</v>
      </c>
      <c r="Y153" s="6" t="n">
        <f aca="false">F153</f>
        <v>0</v>
      </c>
      <c r="Z153" s="6" t="n">
        <f aca="false">L153</f>
        <v>0</v>
      </c>
      <c r="AA153" s="6" t="n">
        <f aca="false">G153</f>
        <v>0</v>
      </c>
      <c r="AC153" s="6" t="n">
        <f aca="false">D153</f>
        <v>3.634444444</v>
      </c>
      <c r="AD153" s="6" t="n">
        <f aca="false">E153</f>
        <v>0</v>
      </c>
      <c r="AE153" s="6" t="n">
        <f aca="false">G153</f>
        <v>0</v>
      </c>
      <c r="AF153" s="6" t="n">
        <f aca="false">H153</f>
        <v>1</v>
      </c>
      <c r="AG153" s="6" t="n">
        <f aca="false">I153</f>
        <v>0</v>
      </c>
      <c r="AH153" s="6" t="n">
        <f aca="false">L153</f>
        <v>0</v>
      </c>
    </row>
    <row r="154" customFormat="false" ht="15" hidden="false" customHeight="false" outlineLevel="0" collapsed="false">
      <c r="A154" s="0" t="str">
        <f aca="false">'Raw Data'!C154</f>
        <v>Georgetown</v>
      </c>
      <c r="B154" s="5" t="n">
        <f aca="false">'Raw Data'!A154</f>
        <v>40365</v>
      </c>
      <c r="C154" s="6" t="n">
        <f aca="false">'Raw Data'!D154</f>
        <v>252.823658190173</v>
      </c>
      <c r="D154" s="6" t="n">
        <f aca="false">'Raw Data'!E154</f>
        <v>3.126</v>
      </c>
      <c r="E154" s="6" t="n">
        <f aca="false">'Raw Data'!F154</f>
        <v>0</v>
      </c>
      <c r="F154" s="6" t="n">
        <f aca="false">'Raw Data'!G154</f>
        <v>0</v>
      </c>
      <c r="G154" s="6" t="n">
        <f aca="false">'Raw Data'!H154</f>
        <v>0</v>
      </c>
      <c r="H154" s="6" t="n">
        <f aca="false">'Raw Data'!I154</f>
        <v>0</v>
      </c>
      <c r="I154" s="6" t="n">
        <f aca="false">'Raw Data'!J154</f>
        <v>1</v>
      </c>
      <c r="J154" s="6" t="n">
        <f aca="false">'Raw Data'!K154</f>
        <v>2</v>
      </c>
      <c r="K154" s="6" t="n">
        <f aca="false">'Raw Data'!L154</f>
        <v>0</v>
      </c>
      <c r="L154" s="6" t="n">
        <f aca="false">F154*E154</f>
        <v>0</v>
      </c>
      <c r="N154" s="0" t="n">
        <v>1</v>
      </c>
      <c r="O154" s="6" t="n">
        <f aca="false">D154</f>
        <v>3.126</v>
      </c>
      <c r="P154" s="6" t="n">
        <f aca="false">E154</f>
        <v>0</v>
      </c>
      <c r="Q154" s="6" t="n">
        <f aca="false">F154</f>
        <v>0</v>
      </c>
      <c r="R154" s="6" t="n">
        <f aca="false">G154</f>
        <v>0</v>
      </c>
      <c r="S154" s="6" t="n">
        <f aca="false">H154</f>
        <v>0</v>
      </c>
      <c r="T154" s="6" t="n">
        <f aca="false">I154</f>
        <v>1</v>
      </c>
      <c r="U154" s="6" t="n">
        <f aca="false">L154</f>
        <v>0</v>
      </c>
      <c r="W154" s="6" t="n">
        <f aca="false">D154</f>
        <v>3.126</v>
      </c>
      <c r="X154" s="6" t="n">
        <f aca="false">E154</f>
        <v>0</v>
      </c>
      <c r="Y154" s="6" t="n">
        <f aca="false">F154</f>
        <v>0</v>
      </c>
      <c r="Z154" s="6" t="n">
        <f aca="false">L154</f>
        <v>0</v>
      </c>
      <c r="AA154" s="6" t="n">
        <f aca="false">G154</f>
        <v>0</v>
      </c>
      <c r="AC154" s="6" t="n">
        <f aca="false">D154</f>
        <v>3.126</v>
      </c>
      <c r="AD154" s="6" t="n">
        <f aca="false">E154</f>
        <v>0</v>
      </c>
      <c r="AE154" s="6" t="n">
        <f aca="false">G154</f>
        <v>0</v>
      </c>
      <c r="AF154" s="6" t="n">
        <f aca="false">H154</f>
        <v>0</v>
      </c>
      <c r="AG154" s="6" t="n">
        <f aca="false">I154</f>
        <v>1</v>
      </c>
      <c r="AH154" s="6" t="n">
        <f aca="false">L154</f>
        <v>0</v>
      </c>
    </row>
    <row r="155" customFormat="false" ht="15" hidden="false" customHeight="false" outlineLevel="0" collapsed="false">
      <c r="A155" s="0" t="str">
        <f aca="false">'Raw Data'!C155</f>
        <v>Georgetown</v>
      </c>
      <c r="B155" s="5" t="n">
        <f aca="false">'Raw Data'!A155</f>
        <v>40372</v>
      </c>
      <c r="C155" s="6" t="n">
        <f aca="false">'Raw Data'!D155</f>
        <v>274.332082099941</v>
      </c>
      <c r="D155" s="6" t="n">
        <f aca="false">'Raw Data'!E155</f>
        <v>3.19625</v>
      </c>
      <c r="E155" s="6" t="n">
        <f aca="false">'Raw Data'!F155</f>
        <v>0</v>
      </c>
      <c r="F155" s="6" t="n">
        <f aca="false">'Raw Data'!G155</f>
        <v>0</v>
      </c>
      <c r="G155" s="6" t="n">
        <f aca="false">'Raw Data'!H155</f>
        <v>0</v>
      </c>
      <c r="H155" s="6" t="n">
        <f aca="false">'Raw Data'!I155</f>
        <v>0</v>
      </c>
      <c r="I155" s="6" t="n">
        <f aca="false">'Raw Data'!J155</f>
        <v>1</v>
      </c>
      <c r="J155" s="6" t="n">
        <f aca="false">'Raw Data'!K155</f>
        <v>2</v>
      </c>
      <c r="K155" s="6" t="n">
        <f aca="false">'Raw Data'!L155</f>
        <v>0</v>
      </c>
      <c r="L155" s="6" t="n">
        <f aca="false">F155*E155</f>
        <v>0</v>
      </c>
      <c r="N155" s="0" t="n">
        <v>1</v>
      </c>
      <c r="O155" s="6" t="n">
        <f aca="false">D155</f>
        <v>3.19625</v>
      </c>
      <c r="P155" s="6" t="n">
        <f aca="false">E155</f>
        <v>0</v>
      </c>
      <c r="Q155" s="6" t="n">
        <f aca="false">F155</f>
        <v>0</v>
      </c>
      <c r="R155" s="6" t="n">
        <f aca="false">G155</f>
        <v>0</v>
      </c>
      <c r="S155" s="6" t="n">
        <f aca="false">H155</f>
        <v>0</v>
      </c>
      <c r="T155" s="6" t="n">
        <f aca="false">I155</f>
        <v>1</v>
      </c>
      <c r="U155" s="6" t="n">
        <f aca="false">L155</f>
        <v>0</v>
      </c>
      <c r="W155" s="6" t="n">
        <f aca="false">D155</f>
        <v>3.19625</v>
      </c>
      <c r="X155" s="6" t="n">
        <f aca="false">E155</f>
        <v>0</v>
      </c>
      <c r="Y155" s="6" t="n">
        <f aca="false">F155</f>
        <v>0</v>
      </c>
      <c r="Z155" s="6" t="n">
        <f aca="false">L155</f>
        <v>0</v>
      </c>
      <c r="AA155" s="6" t="n">
        <f aca="false">G155</f>
        <v>0</v>
      </c>
      <c r="AC155" s="6" t="n">
        <f aca="false">D155</f>
        <v>3.19625</v>
      </c>
      <c r="AD155" s="6" t="n">
        <f aca="false">E155</f>
        <v>0</v>
      </c>
      <c r="AE155" s="6" t="n">
        <f aca="false">G155</f>
        <v>0</v>
      </c>
      <c r="AF155" s="6" t="n">
        <f aca="false">H155</f>
        <v>0</v>
      </c>
      <c r="AG155" s="6" t="n">
        <f aca="false">I155</f>
        <v>1</v>
      </c>
      <c r="AH155" s="6" t="n">
        <f aca="false">L155</f>
        <v>0</v>
      </c>
    </row>
    <row r="156" customFormat="false" ht="15" hidden="false" customHeight="false" outlineLevel="0" collapsed="false">
      <c r="A156" s="0" t="str">
        <f aca="false">'Raw Data'!C156</f>
        <v>Jenkintown</v>
      </c>
      <c r="B156" s="5" t="n">
        <f aca="false">'Raw Data'!A156</f>
        <v>40302</v>
      </c>
      <c r="C156" s="6" t="n">
        <f aca="false">'Raw Data'!D156</f>
        <v>221.179309093186</v>
      </c>
      <c r="D156" s="6" t="n">
        <f aca="false">'Raw Data'!E156</f>
        <v>3.904285714</v>
      </c>
      <c r="E156" s="6" t="n">
        <f aca="false">'Raw Data'!F156</f>
        <v>0</v>
      </c>
      <c r="F156" s="6" t="n">
        <f aca="false">'Raw Data'!G156</f>
        <v>0</v>
      </c>
      <c r="G156" s="6" t="n">
        <f aca="false">'Raw Data'!H156</f>
        <v>0</v>
      </c>
      <c r="H156" s="6" t="n">
        <f aca="false">'Raw Data'!I156</f>
        <v>0</v>
      </c>
      <c r="I156" s="6" t="n">
        <f aca="false">'Raw Data'!J156</f>
        <v>0</v>
      </c>
      <c r="J156" s="6" t="n">
        <f aca="false">'Raw Data'!K156</f>
        <v>1</v>
      </c>
      <c r="K156" s="6" t="n">
        <f aca="false">'Raw Data'!L156</f>
        <v>4</v>
      </c>
      <c r="L156" s="6" t="n">
        <f aca="false">F156*E156</f>
        <v>0</v>
      </c>
      <c r="N156" s="0" t="n">
        <v>1</v>
      </c>
      <c r="O156" s="6" t="n">
        <f aca="false">D156</f>
        <v>3.904285714</v>
      </c>
      <c r="P156" s="6" t="n">
        <f aca="false">E156</f>
        <v>0</v>
      </c>
      <c r="Q156" s="6" t="n">
        <f aca="false">F156</f>
        <v>0</v>
      </c>
      <c r="R156" s="6" t="n">
        <f aca="false">G156</f>
        <v>0</v>
      </c>
      <c r="S156" s="6" t="n">
        <f aca="false">H156</f>
        <v>0</v>
      </c>
      <c r="T156" s="6" t="n">
        <f aca="false">I156</f>
        <v>0</v>
      </c>
      <c r="U156" s="6" t="n">
        <f aca="false">L156</f>
        <v>0</v>
      </c>
      <c r="W156" s="6" t="n">
        <f aca="false">D156</f>
        <v>3.904285714</v>
      </c>
      <c r="X156" s="6" t="n">
        <f aca="false">E156</f>
        <v>0</v>
      </c>
      <c r="Y156" s="6" t="n">
        <f aca="false">F156</f>
        <v>0</v>
      </c>
      <c r="Z156" s="6" t="n">
        <f aca="false">L156</f>
        <v>0</v>
      </c>
      <c r="AA156" s="6" t="n">
        <f aca="false">G156</f>
        <v>0</v>
      </c>
      <c r="AC156" s="6" t="n">
        <f aca="false">D156</f>
        <v>3.904285714</v>
      </c>
      <c r="AD156" s="6" t="n">
        <f aca="false">E156</f>
        <v>0</v>
      </c>
      <c r="AE156" s="6" t="n">
        <f aca="false">G156</f>
        <v>0</v>
      </c>
      <c r="AF156" s="6" t="n">
        <f aca="false">H156</f>
        <v>0</v>
      </c>
      <c r="AG156" s="6" t="n">
        <f aca="false">I156</f>
        <v>0</v>
      </c>
      <c r="AH156" s="6" t="n">
        <f aca="false">L156</f>
        <v>0</v>
      </c>
    </row>
    <row r="157" customFormat="false" ht="15" hidden="false" customHeight="false" outlineLevel="0" collapsed="false">
      <c r="A157" s="0" t="str">
        <f aca="false">'Raw Data'!C157</f>
        <v>Jenkintown</v>
      </c>
      <c r="B157" s="5" t="n">
        <f aca="false">'Raw Data'!A157</f>
        <v>40309</v>
      </c>
      <c r="C157" s="6" t="n">
        <f aca="false">'Raw Data'!D157</f>
        <v>213.02564125955</v>
      </c>
      <c r="D157" s="6" t="n">
        <f aca="false">'Raw Data'!E157</f>
        <v>3.904285714</v>
      </c>
      <c r="E157" s="6" t="n">
        <f aca="false">'Raw Data'!F157</f>
        <v>0</v>
      </c>
      <c r="F157" s="6" t="n">
        <f aca="false">'Raw Data'!G157</f>
        <v>0</v>
      </c>
      <c r="G157" s="6" t="n">
        <f aca="false">'Raw Data'!H157</f>
        <v>0</v>
      </c>
      <c r="H157" s="6" t="n">
        <f aca="false">'Raw Data'!I157</f>
        <v>0</v>
      </c>
      <c r="I157" s="6" t="n">
        <f aca="false">'Raw Data'!J157</f>
        <v>0</v>
      </c>
      <c r="J157" s="6" t="n">
        <f aca="false">'Raw Data'!K157</f>
        <v>1</v>
      </c>
      <c r="K157" s="6" t="n">
        <f aca="false">'Raw Data'!L157</f>
        <v>4</v>
      </c>
      <c r="L157" s="6" t="n">
        <f aca="false">F157*E157</f>
        <v>0</v>
      </c>
      <c r="N157" s="0" t="n">
        <v>1</v>
      </c>
      <c r="O157" s="6" t="n">
        <f aca="false">D157</f>
        <v>3.904285714</v>
      </c>
      <c r="P157" s="6" t="n">
        <f aca="false">E157</f>
        <v>0</v>
      </c>
      <c r="Q157" s="6" t="n">
        <f aca="false">F157</f>
        <v>0</v>
      </c>
      <c r="R157" s="6" t="n">
        <f aca="false">G157</f>
        <v>0</v>
      </c>
      <c r="S157" s="6" t="n">
        <f aca="false">H157</f>
        <v>0</v>
      </c>
      <c r="T157" s="6" t="n">
        <f aca="false">I157</f>
        <v>0</v>
      </c>
      <c r="U157" s="6" t="n">
        <f aca="false">L157</f>
        <v>0</v>
      </c>
      <c r="W157" s="6" t="n">
        <f aca="false">D157</f>
        <v>3.904285714</v>
      </c>
      <c r="X157" s="6" t="n">
        <f aca="false">E157</f>
        <v>0</v>
      </c>
      <c r="Y157" s="6" t="n">
        <f aca="false">F157</f>
        <v>0</v>
      </c>
      <c r="Z157" s="6" t="n">
        <f aca="false">L157</f>
        <v>0</v>
      </c>
      <c r="AA157" s="6" t="n">
        <f aca="false">G157</f>
        <v>0</v>
      </c>
      <c r="AC157" s="6" t="n">
        <f aca="false">D157</f>
        <v>3.904285714</v>
      </c>
      <c r="AD157" s="6" t="n">
        <f aca="false">E157</f>
        <v>0</v>
      </c>
      <c r="AE157" s="6" t="n">
        <f aca="false">G157</f>
        <v>0</v>
      </c>
      <c r="AF157" s="6" t="n">
        <f aca="false">H157</f>
        <v>0</v>
      </c>
      <c r="AG157" s="6" t="n">
        <f aca="false">I157</f>
        <v>0</v>
      </c>
      <c r="AH157" s="6" t="n">
        <f aca="false">L157</f>
        <v>0</v>
      </c>
    </row>
    <row r="158" customFormat="false" ht="15" hidden="false" customHeight="false" outlineLevel="0" collapsed="false">
      <c r="A158" s="0" t="str">
        <f aca="false">'Raw Data'!C158</f>
        <v>Jenkintown</v>
      </c>
      <c r="B158" s="5" t="n">
        <f aca="false">'Raw Data'!A158</f>
        <v>40316</v>
      </c>
      <c r="C158" s="6" t="n">
        <f aca="false">'Raw Data'!D158</f>
        <v>239.81656983705</v>
      </c>
      <c r="D158" s="6" t="n">
        <f aca="false">'Raw Data'!E158</f>
        <v>3.618571429</v>
      </c>
      <c r="E158" s="6" t="n">
        <f aca="false">'Raw Data'!F158</f>
        <v>0</v>
      </c>
      <c r="F158" s="6" t="n">
        <f aca="false">'Raw Data'!G158</f>
        <v>0</v>
      </c>
      <c r="G158" s="6" t="n">
        <f aca="false">'Raw Data'!H158</f>
        <v>0</v>
      </c>
      <c r="H158" s="6" t="n">
        <f aca="false">'Raw Data'!I158</f>
        <v>0</v>
      </c>
      <c r="I158" s="6" t="n">
        <f aca="false">'Raw Data'!J158</f>
        <v>0</v>
      </c>
      <c r="J158" s="6" t="n">
        <f aca="false">'Raw Data'!K158</f>
        <v>1</v>
      </c>
      <c r="K158" s="6" t="n">
        <f aca="false">'Raw Data'!L158</f>
        <v>4</v>
      </c>
      <c r="L158" s="6" t="n">
        <f aca="false">F158*E158</f>
        <v>0</v>
      </c>
      <c r="N158" s="0" t="n">
        <v>1</v>
      </c>
      <c r="O158" s="6" t="n">
        <f aca="false">D158</f>
        <v>3.618571429</v>
      </c>
      <c r="P158" s="6" t="n">
        <f aca="false">E158</f>
        <v>0</v>
      </c>
      <c r="Q158" s="6" t="n">
        <f aca="false">F158</f>
        <v>0</v>
      </c>
      <c r="R158" s="6" t="n">
        <f aca="false">G158</f>
        <v>0</v>
      </c>
      <c r="S158" s="6" t="n">
        <f aca="false">H158</f>
        <v>0</v>
      </c>
      <c r="T158" s="6" t="n">
        <f aca="false">I158</f>
        <v>0</v>
      </c>
      <c r="U158" s="6" t="n">
        <f aca="false">L158</f>
        <v>0</v>
      </c>
      <c r="W158" s="6" t="n">
        <f aca="false">D158</f>
        <v>3.618571429</v>
      </c>
      <c r="X158" s="6" t="n">
        <f aca="false">E158</f>
        <v>0</v>
      </c>
      <c r="Y158" s="6" t="n">
        <f aca="false">F158</f>
        <v>0</v>
      </c>
      <c r="Z158" s="6" t="n">
        <f aca="false">L158</f>
        <v>0</v>
      </c>
      <c r="AA158" s="6" t="n">
        <f aca="false">G158</f>
        <v>0</v>
      </c>
      <c r="AC158" s="6" t="n">
        <f aca="false">D158</f>
        <v>3.618571429</v>
      </c>
      <c r="AD158" s="6" t="n">
        <f aca="false">E158</f>
        <v>0</v>
      </c>
      <c r="AE158" s="6" t="n">
        <f aca="false">G158</f>
        <v>0</v>
      </c>
      <c r="AF158" s="6" t="n">
        <f aca="false">H158</f>
        <v>0</v>
      </c>
      <c r="AG158" s="6" t="n">
        <f aca="false">I158</f>
        <v>0</v>
      </c>
      <c r="AH158" s="6" t="n">
        <f aca="false">L158</f>
        <v>0</v>
      </c>
    </row>
    <row r="159" customFormat="false" ht="15" hidden="false" customHeight="false" outlineLevel="0" collapsed="false">
      <c r="A159" s="0" t="str">
        <f aca="false">'Raw Data'!C159</f>
        <v>Jenkintown</v>
      </c>
      <c r="B159" s="5" t="n">
        <f aca="false">'Raw Data'!A159</f>
        <v>40323</v>
      </c>
      <c r="C159" s="6" t="n">
        <f aca="false">'Raw Data'!D159</f>
        <v>230.577598801045</v>
      </c>
      <c r="D159" s="6" t="n">
        <f aca="false">'Raw Data'!E159</f>
        <v>3.618571429</v>
      </c>
      <c r="E159" s="6" t="n">
        <f aca="false">'Raw Data'!F159</f>
        <v>0</v>
      </c>
      <c r="F159" s="6" t="n">
        <f aca="false">'Raw Data'!G159</f>
        <v>0</v>
      </c>
      <c r="G159" s="6" t="n">
        <f aca="false">'Raw Data'!H159</f>
        <v>0</v>
      </c>
      <c r="H159" s="6" t="n">
        <f aca="false">'Raw Data'!I159</f>
        <v>0</v>
      </c>
      <c r="I159" s="6" t="n">
        <f aca="false">'Raw Data'!J159</f>
        <v>0</v>
      </c>
      <c r="J159" s="6" t="n">
        <f aca="false">'Raw Data'!K159</f>
        <v>1</v>
      </c>
      <c r="K159" s="6" t="n">
        <f aca="false">'Raw Data'!L159</f>
        <v>4</v>
      </c>
      <c r="L159" s="6" t="n">
        <f aca="false">F159*E159</f>
        <v>0</v>
      </c>
      <c r="N159" s="0" t="n">
        <v>1</v>
      </c>
      <c r="O159" s="6" t="n">
        <f aca="false">D159</f>
        <v>3.618571429</v>
      </c>
      <c r="P159" s="6" t="n">
        <f aca="false">E159</f>
        <v>0</v>
      </c>
      <c r="Q159" s="6" t="n">
        <f aca="false">F159</f>
        <v>0</v>
      </c>
      <c r="R159" s="6" t="n">
        <f aca="false">G159</f>
        <v>0</v>
      </c>
      <c r="S159" s="6" t="n">
        <f aca="false">H159</f>
        <v>0</v>
      </c>
      <c r="T159" s="6" t="n">
        <f aca="false">I159</f>
        <v>0</v>
      </c>
      <c r="U159" s="6" t="n">
        <f aca="false">L159</f>
        <v>0</v>
      </c>
      <c r="W159" s="6" t="n">
        <f aca="false">D159</f>
        <v>3.618571429</v>
      </c>
      <c r="X159" s="6" t="n">
        <f aca="false">E159</f>
        <v>0</v>
      </c>
      <c r="Y159" s="6" t="n">
        <f aca="false">F159</f>
        <v>0</v>
      </c>
      <c r="Z159" s="6" t="n">
        <f aca="false">L159</f>
        <v>0</v>
      </c>
      <c r="AA159" s="6" t="n">
        <f aca="false">G159</f>
        <v>0</v>
      </c>
      <c r="AC159" s="6" t="n">
        <f aca="false">D159</f>
        <v>3.618571429</v>
      </c>
      <c r="AD159" s="6" t="n">
        <f aca="false">E159</f>
        <v>0</v>
      </c>
      <c r="AE159" s="6" t="n">
        <f aca="false">G159</f>
        <v>0</v>
      </c>
      <c r="AF159" s="6" t="n">
        <f aca="false">H159</f>
        <v>0</v>
      </c>
      <c r="AG159" s="6" t="n">
        <f aca="false">I159</f>
        <v>0</v>
      </c>
      <c r="AH159" s="6" t="n">
        <f aca="false">L159</f>
        <v>0</v>
      </c>
    </row>
    <row r="160" customFormat="false" ht="15" hidden="false" customHeight="false" outlineLevel="0" collapsed="false">
      <c r="A160" s="0" t="str">
        <f aca="false">'Raw Data'!C160</f>
        <v>Jenkintown</v>
      </c>
      <c r="B160" s="5" t="n">
        <f aca="false">'Raw Data'!A160</f>
        <v>40330</v>
      </c>
      <c r="C160" s="6" t="n">
        <f aca="false">'Raw Data'!D160</f>
        <v>192.078861761827</v>
      </c>
      <c r="D160" s="6" t="n">
        <f aca="false">'Raw Data'!E160</f>
        <v>3.618571429</v>
      </c>
      <c r="E160" s="6" t="n">
        <f aca="false">'Raw Data'!F160</f>
        <v>0</v>
      </c>
      <c r="F160" s="6" t="n">
        <f aca="false">'Raw Data'!G160</f>
        <v>0</v>
      </c>
      <c r="G160" s="6" t="n">
        <f aca="false">'Raw Data'!H160</f>
        <v>0</v>
      </c>
      <c r="H160" s="6" t="n">
        <f aca="false">'Raw Data'!I160</f>
        <v>0</v>
      </c>
      <c r="I160" s="6" t="n">
        <f aca="false">'Raw Data'!J160</f>
        <v>0</v>
      </c>
      <c r="J160" s="6" t="n">
        <f aca="false">'Raw Data'!K160</f>
        <v>1</v>
      </c>
      <c r="K160" s="6" t="n">
        <f aca="false">'Raw Data'!L160</f>
        <v>4</v>
      </c>
      <c r="L160" s="6" t="n">
        <f aca="false">F160*E160</f>
        <v>0</v>
      </c>
      <c r="N160" s="0" t="n">
        <v>1</v>
      </c>
      <c r="O160" s="6" t="n">
        <f aca="false">D160</f>
        <v>3.618571429</v>
      </c>
      <c r="P160" s="6" t="n">
        <f aca="false">E160</f>
        <v>0</v>
      </c>
      <c r="Q160" s="6" t="n">
        <f aca="false">F160</f>
        <v>0</v>
      </c>
      <c r="R160" s="6" t="n">
        <f aca="false">G160</f>
        <v>0</v>
      </c>
      <c r="S160" s="6" t="n">
        <f aca="false">H160</f>
        <v>0</v>
      </c>
      <c r="T160" s="6" t="n">
        <f aca="false">I160</f>
        <v>0</v>
      </c>
      <c r="U160" s="6" t="n">
        <f aca="false">L160</f>
        <v>0</v>
      </c>
      <c r="W160" s="6" t="n">
        <f aca="false">D160</f>
        <v>3.618571429</v>
      </c>
      <c r="X160" s="6" t="n">
        <f aca="false">E160</f>
        <v>0</v>
      </c>
      <c r="Y160" s="6" t="n">
        <f aca="false">F160</f>
        <v>0</v>
      </c>
      <c r="Z160" s="6" t="n">
        <f aca="false">L160</f>
        <v>0</v>
      </c>
      <c r="AA160" s="6" t="n">
        <f aca="false">G160</f>
        <v>0</v>
      </c>
      <c r="AC160" s="6" t="n">
        <f aca="false">D160</f>
        <v>3.618571429</v>
      </c>
      <c r="AD160" s="6" t="n">
        <f aca="false">E160</f>
        <v>0</v>
      </c>
      <c r="AE160" s="6" t="n">
        <f aca="false">G160</f>
        <v>0</v>
      </c>
      <c r="AF160" s="6" t="n">
        <f aca="false">H160</f>
        <v>0</v>
      </c>
      <c r="AG160" s="6" t="n">
        <f aca="false">I160</f>
        <v>0</v>
      </c>
      <c r="AH160" s="6" t="n">
        <f aca="false">L160</f>
        <v>0</v>
      </c>
    </row>
    <row r="161" customFormat="false" ht="15" hidden="false" customHeight="false" outlineLevel="0" collapsed="false">
      <c r="A161" s="0" t="str">
        <f aca="false">'Raw Data'!C161</f>
        <v>Jenkintown</v>
      </c>
      <c r="B161" s="5" t="n">
        <f aca="false">'Raw Data'!A161</f>
        <v>40337</v>
      </c>
      <c r="C161" s="6" t="n">
        <f aca="false">'Raw Data'!D161</f>
        <v>241.414854643443</v>
      </c>
      <c r="D161" s="6" t="n">
        <f aca="false">'Raw Data'!E161</f>
        <v>3.904285714</v>
      </c>
      <c r="E161" s="6" t="n">
        <f aca="false">'Raw Data'!F161</f>
        <v>0</v>
      </c>
      <c r="F161" s="6" t="n">
        <f aca="false">'Raw Data'!G161</f>
        <v>0</v>
      </c>
      <c r="G161" s="6" t="n">
        <f aca="false">'Raw Data'!H161</f>
        <v>0</v>
      </c>
      <c r="H161" s="6" t="n">
        <f aca="false">'Raw Data'!I161</f>
        <v>0</v>
      </c>
      <c r="I161" s="6" t="n">
        <f aca="false">'Raw Data'!J161</f>
        <v>0</v>
      </c>
      <c r="J161" s="6" t="n">
        <f aca="false">'Raw Data'!K161</f>
        <v>1</v>
      </c>
      <c r="K161" s="6" t="n">
        <f aca="false">'Raw Data'!L161</f>
        <v>4</v>
      </c>
      <c r="L161" s="6" t="n">
        <f aca="false">F161*E161</f>
        <v>0</v>
      </c>
      <c r="N161" s="0" t="n">
        <v>1</v>
      </c>
      <c r="O161" s="6" t="n">
        <f aca="false">D161</f>
        <v>3.904285714</v>
      </c>
      <c r="P161" s="6" t="n">
        <f aca="false">E161</f>
        <v>0</v>
      </c>
      <c r="Q161" s="6" t="n">
        <f aca="false">F161</f>
        <v>0</v>
      </c>
      <c r="R161" s="6" t="n">
        <f aca="false">G161</f>
        <v>0</v>
      </c>
      <c r="S161" s="6" t="n">
        <f aca="false">H161</f>
        <v>0</v>
      </c>
      <c r="T161" s="6" t="n">
        <f aca="false">I161</f>
        <v>0</v>
      </c>
      <c r="U161" s="6" t="n">
        <f aca="false">L161</f>
        <v>0</v>
      </c>
      <c r="W161" s="6" t="n">
        <f aca="false">D161</f>
        <v>3.904285714</v>
      </c>
      <c r="X161" s="6" t="n">
        <f aca="false">E161</f>
        <v>0</v>
      </c>
      <c r="Y161" s="6" t="n">
        <f aca="false">F161</f>
        <v>0</v>
      </c>
      <c r="Z161" s="6" t="n">
        <f aca="false">L161</f>
        <v>0</v>
      </c>
      <c r="AA161" s="6" t="n">
        <f aca="false">G161</f>
        <v>0</v>
      </c>
      <c r="AC161" s="6" t="n">
        <f aca="false">D161</f>
        <v>3.904285714</v>
      </c>
      <c r="AD161" s="6" t="n">
        <f aca="false">E161</f>
        <v>0</v>
      </c>
      <c r="AE161" s="6" t="n">
        <f aca="false">G161</f>
        <v>0</v>
      </c>
      <c r="AF161" s="6" t="n">
        <f aca="false">H161</f>
        <v>0</v>
      </c>
      <c r="AG161" s="6" t="n">
        <f aca="false">I161</f>
        <v>0</v>
      </c>
      <c r="AH161" s="6" t="n">
        <f aca="false">L161</f>
        <v>0</v>
      </c>
    </row>
    <row r="162" customFormat="false" ht="15" hidden="false" customHeight="false" outlineLevel="0" collapsed="false">
      <c r="A162" s="0" t="str">
        <f aca="false">'Raw Data'!C162</f>
        <v>Jenkintown</v>
      </c>
      <c r="B162" s="5" t="n">
        <f aca="false">'Raw Data'!A162</f>
        <v>40344</v>
      </c>
      <c r="C162" s="6" t="n">
        <f aca="false">'Raw Data'!D162</f>
        <v>129.923895019201</v>
      </c>
      <c r="D162" s="6" t="n">
        <f aca="false">'Raw Data'!E162</f>
        <v>3.904285714</v>
      </c>
      <c r="E162" s="6" t="n">
        <f aca="false">'Raw Data'!F162</f>
        <v>0</v>
      </c>
      <c r="F162" s="6" t="n">
        <f aca="false">'Raw Data'!G162</f>
        <v>0</v>
      </c>
      <c r="G162" s="6" t="n">
        <f aca="false">'Raw Data'!H162</f>
        <v>0</v>
      </c>
      <c r="H162" s="6" t="n">
        <f aca="false">'Raw Data'!I162</f>
        <v>0</v>
      </c>
      <c r="I162" s="6" t="n">
        <f aca="false">'Raw Data'!J162</f>
        <v>0</v>
      </c>
      <c r="J162" s="6" t="n">
        <f aca="false">'Raw Data'!K162</f>
        <v>1</v>
      </c>
      <c r="K162" s="6" t="n">
        <f aca="false">'Raw Data'!L162</f>
        <v>4</v>
      </c>
      <c r="L162" s="6" t="n">
        <f aca="false">F162*E162</f>
        <v>0</v>
      </c>
      <c r="N162" s="0" t="n">
        <v>1</v>
      </c>
      <c r="O162" s="6" t="n">
        <f aca="false">D162</f>
        <v>3.904285714</v>
      </c>
      <c r="P162" s="6" t="n">
        <f aca="false">E162</f>
        <v>0</v>
      </c>
      <c r="Q162" s="6" t="n">
        <f aca="false">F162</f>
        <v>0</v>
      </c>
      <c r="R162" s="6" t="n">
        <f aca="false">G162</f>
        <v>0</v>
      </c>
      <c r="S162" s="6" t="n">
        <f aca="false">H162</f>
        <v>0</v>
      </c>
      <c r="T162" s="6" t="n">
        <f aca="false">I162</f>
        <v>0</v>
      </c>
      <c r="U162" s="6" t="n">
        <f aca="false">L162</f>
        <v>0</v>
      </c>
      <c r="W162" s="6" t="n">
        <f aca="false">D162</f>
        <v>3.904285714</v>
      </c>
      <c r="X162" s="6" t="n">
        <f aca="false">E162</f>
        <v>0</v>
      </c>
      <c r="Y162" s="6" t="n">
        <f aca="false">F162</f>
        <v>0</v>
      </c>
      <c r="Z162" s="6" t="n">
        <f aca="false">L162</f>
        <v>0</v>
      </c>
      <c r="AA162" s="6" t="n">
        <f aca="false">G162</f>
        <v>0</v>
      </c>
      <c r="AC162" s="6" t="n">
        <f aca="false">D162</f>
        <v>3.904285714</v>
      </c>
      <c r="AD162" s="6" t="n">
        <f aca="false">E162</f>
        <v>0</v>
      </c>
      <c r="AE162" s="6" t="n">
        <f aca="false">G162</f>
        <v>0</v>
      </c>
      <c r="AF162" s="6" t="n">
        <f aca="false">H162</f>
        <v>0</v>
      </c>
      <c r="AG162" s="6" t="n">
        <f aca="false">I162</f>
        <v>0</v>
      </c>
      <c r="AH162" s="6" t="n">
        <f aca="false">L162</f>
        <v>0</v>
      </c>
    </row>
    <row r="163" customFormat="false" ht="15" hidden="false" customHeight="false" outlineLevel="0" collapsed="false">
      <c r="A163" s="0" t="str">
        <f aca="false">'Raw Data'!C163</f>
        <v>Jenkintown</v>
      </c>
      <c r="B163" s="5" t="n">
        <f aca="false">'Raw Data'!A163</f>
        <v>40351</v>
      </c>
      <c r="C163" s="6" t="n">
        <f aca="false">'Raw Data'!D163</f>
        <v>186.572984146035</v>
      </c>
      <c r="D163" s="6" t="n">
        <f aca="false">'Raw Data'!E163</f>
        <v>3.54</v>
      </c>
      <c r="E163" s="6" t="n">
        <f aca="false">'Raw Data'!F163</f>
        <v>0</v>
      </c>
      <c r="F163" s="6" t="n">
        <f aca="false">'Raw Data'!G163</f>
        <v>0</v>
      </c>
      <c r="G163" s="6" t="n">
        <f aca="false">'Raw Data'!H163</f>
        <v>0</v>
      </c>
      <c r="H163" s="6" t="n">
        <f aca="false">'Raw Data'!I163</f>
        <v>0</v>
      </c>
      <c r="I163" s="6" t="n">
        <f aca="false">'Raw Data'!J163</f>
        <v>0</v>
      </c>
      <c r="J163" s="6" t="n">
        <f aca="false">'Raw Data'!K163</f>
        <v>1</v>
      </c>
      <c r="K163" s="6" t="n">
        <f aca="false">'Raw Data'!L163</f>
        <v>4</v>
      </c>
      <c r="L163" s="6" t="n">
        <f aca="false">F163*E163</f>
        <v>0</v>
      </c>
      <c r="N163" s="0" t="n">
        <v>1</v>
      </c>
      <c r="O163" s="6" t="n">
        <f aca="false">D163</f>
        <v>3.54</v>
      </c>
      <c r="P163" s="6" t="n">
        <f aca="false">E163</f>
        <v>0</v>
      </c>
      <c r="Q163" s="6" t="n">
        <f aca="false">F163</f>
        <v>0</v>
      </c>
      <c r="R163" s="6" t="n">
        <f aca="false">G163</f>
        <v>0</v>
      </c>
      <c r="S163" s="6" t="n">
        <f aca="false">H163</f>
        <v>0</v>
      </c>
      <c r="T163" s="6" t="n">
        <f aca="false">I163</f>
        <v>0</v>
      </c>
      <c r="U163" s="6" t="n">
        <f aca="false">L163</f>
        <v>0</v>
      </c>
      <c r="W163" s="6" t="n">
        <f aca="false">D163</f>
        <v>3.54</v>
      </c>
      <c r="X163" s="6" t="n">
        <f aca="false">E163</f>
        <v>0</v>
      </c>
      <c r="Y163" s="6" t="n">
        <f aca="false">F163</f>
        <v>0</v>
      </c>
      <c r="Z163" s="6" t="n">
        <f aca="false">L163</f>
        <v>0</v>
      </c>
      <c r="AA163" s="6" t="n">
        <f aca="false">G163</f>
        <v>0</v>
      </c>
      <c r="AC163" s="6" t="n">
        <f aca="false">D163</f>
        <v>3.54</v>
      </c>
      <c r="AD163" s="6" t="n">
        <f aca="false">E163</f>
        <v>0</v>
      </c>
      <c r="AE163" s="6" t="n">
        <f aca="false">G163</f>
        <v>0</v>
      </c>
      <c r="AF163" s="6" t="n">
        <f aca="false">H163</f>
        <v>0</v>
      </c>
      <c r="AG163" s="6" t="n">
        <f aca="false">I163</f>
        <v>0</v>
      </c>
      <c r="AH163" s="6" t="n">
        <f aca="false">L163</f>
        <v>0</v>
      </c>
    </row>
    <row r="164" customFormat="false" ht="15" hidden="false" customHeight="false" outlineLevel="0" collapsed="false">
      <c r="A164" s="0" t="str">
        <f aca="false">'Raw Data'!C164</f>
        <v>Jenkintown</v>
      </c>
      <c r="B164" s="5" t="n">
        <f aca="false">'Raw Data'!A164</f>
        <v>40358</v>
      </c>
      <c r="C164" s="6" t="n">
        <f aca="false">'Raw Data'!D164</f>
        <v>349.818021677469</v>
      </c>
      <c r="D164" s="6" t="n">
        <f aca="false">'Raw Data'!E164</f>
        <v>3.54</v>
      </c>
      <c r="E164" s="6" t="n">
        <f aca="false">'Raw Data'!F164</f>
        <v>0</v>
      </c>
      <c r="F164" s="6" t="n">
        <f aca="false">'Raw Data'!G164</f>
        <v>0</v>
      </c>
      <c r="G164" s="6" t="n">
        <f aca="false">'Raw Data'!H164</f>
        <v>1</v>
      </c>
      <c r="H164" s="6" t="n">
        <f aca="false">'Raw Data'!I164</f>
        <v>0</v>
      </c>
      <c r="I164" s="6" t="n">
        <f aca="false">'Raw Data'!J164</f>
        <v>0</v>
      </c>
      <c r="J164" s="6" t="n">
        <f aca="false">'Raw Data'!K164</f>
        <v>1</v>
      </c>
      <c r="K164" s="6" t="n">
        <f aca="false">'Raw Data'!L164</f>
        <v>4</v>
      </c>
      <c r="L164" s="6" t="n">
        <f aca="false">F164*E164</f>
        <v>0</v>
      </c>
      <c r="N164" s="0" t="n">
        <v>1</v>
      </c>
      <c r="O164" s="6" t="n">
        <f aca="false">D164</f>
        <v>3.54</v>
      </c>
      <c r="P164" s="6" t="n">
        <f aca="false">E164</f>
        <v>0</v>
      </c>
      <c r="Q164" s="6" t="n">
        <f aca="false">F164</f>
        <v>0</v>
      </c>
      <c r="R164" s="6" t="n">
        <f aca="false">G164</f>
        <v>1</v>
      </c>
      <c r="S164" s="6" t="n">
        <f aca="false">H164</f>
        <v>0</v>
      </c>
      <c r="T164" s="6" t="n">
        <f aca="false">I164</f>
        <v>0</v>
      </c>
      <c r="U164" s="6" t="n">
        <f aca="false">L164</f>
        <v>0</v>
      </c>
      <c r="W164" s="6" t="n">
        <f aca="false">D164</f>
        <v>3.54</v>
      </c>
      <c r="X164" s="6" t="n">
        <f aca="false">E164</f>
        <v>0</v>
      </c>
      <c r="Y164" s="6" t="n">
        <f aca="false">F164</f>
        <v>0</v>
      </c>
      <c r="Z164" s="6" t="n">
        <f aca="false">L164</f>
        <v>0</v>
      </c>
      <c r="AA164" s="6" t="n">
        <f aca="false">G164</f>
        <v>1</v>
      </c>
      <c r="AC164" s="6" t="n">
        <f aca="false">D164</f>
        <v>3.54</v>
      </c>
      <c r="AD164" s="6" t="n">
        <f aca="false">E164</f>
        <v>0</v>
      </c>
      <c r="AE164" s="6" t="n">
        <f aca="false">G164</f>
        <v>1</v>
      </c>
      <c r="AF164" s="6" t="n">
        <f aca="false">H164</f>
        <v>0</v>
      </c>
      <c r="AG164" s="6" t="n">
        <f aca="false">I164</f>
        <v>0</v>
      </c>
      <c r="AH164" s="6" t="n">
        <f aca="false">L164</f>
        <v>0</v>
      </c>
    </row>
    <row r="165" customFormat="false" ht="15" hidden="false" customHeight="false" outlineLevel="0" collapsed="false">
      <c r="A165" s="0" t="str">
        <f aca="false">'Raw Data'!C165</f>
        <v>Jenkintown</v>
      </c>
      <c r="B165" s="5" t="n">
        <f aca="false">'Raw Data'!A165</f>
        <v>40365</v>
      </c>
      <c r="C165" s="6" t="n">
        <f aca="false">'Raw Data'!D165</f>
        <v>285.293453923698</v>
      </c>
      <c r="D165" s="6" t="n">
        <f aca="false">'Raw Data'!E165</f>
        <v>3.126</v>
      </c>
      <c r="E165" s="6" t="n">
        <f aca="false">'Raw Data'!F165</f>
        <v>0</v>
      </c>
      <c r="F165" s="6" t="n">
        <f aca="false">'Raw Data'!G165</f>
        <v>0</v>
      </c>
      <c r="G165" s="6" t="n">
        <f aca="false">'Raw Data'!H165</f>
        <v>0</v>
      </c>
      <c r="H165" s="6" t="n">
        <f aca="false">'Raw Data'!I165</f>
        <v>1</v>
      </c>
      <c r="I165" s="6" t="n">
        <f aca="false">'Raw Data'!J165</f>
        <v>0</v>
      </c>
      <c r="J165" s="6" t="n">
        <f aca="false">'Raw Data'!K165</f>
        <v>1</v>
      </c>
      <c r="K165" s="6" t="n">
        <f aca="false">'Raw Data'!L165</f>
        <v>4</v>
      </c>
      <c r="L165" s="6" t="n">
        <f aca="false">F165*E165</f>
        <v>0</v>
      </c>
      <c r="N165" s="0" t="n">
        <v>1</v>
      </c>
      <c r="O165" s="6" t="n">
        <f aca="false">D165</f>
        <v>3.126</v>
      </c>
      <c r="P165" s="6" t="n">
        <f aca="false">E165</f>
        <v>0</v>
      </c>
      <c r="Q165" s="6" t="n">
        <f aca="false">F165</f>
        <v>0</v>
      </c>
      <c r="R165" s="6" t="n">
        <f aca="false">G165</f>
        <v>0</v>
      </c>
      <c r="S165" s="6" t="n">
        <f aca="false">H165</f>
        <v>1</v>
      </c>
      <c r="T165" s="6" t="n">
        <f aca="false">I165</f>
        <v>0</v>
      </c>
      <c r="U165" s="6" t="n">
        <f aca="false">L165</f>
        <v>0</v>
      </c>
      <c r="W165" s="6" t="n">
        <f aca="false">D165</f>
        <v>3.126</v>
      </c>
      <c r="X165" s="6" t="n">
        <f aca="false">E165</f>
        <v>0</v>
      </c>
      <c r="Y165" s="6" t="n">
        <f aca="false">F165</f>
        <v>0</v>
      </c>
      <c r="Z165" s="6" t="n">
        <f aca="false">L165</f>
        <v>0</v>
      </c>
      <c r="AA165" s="6" t="n">
        <f aca="false">G165</f>
        <v>0</v>
      </c>
      <c r="AC165" s="6" t="n">
        <f aca="false">D165</f>
        <v>3.126</v>
      </c>
      <c r="AD165" s="6" t="n">
        <f aca="false">E165</f>
        <v>0</v>
      </c>
      <c r="AE165" s="6" t="n">
        <f aca="false">G165</f>
        <v>0</v>
      </c>
      <c r="AF165" s="6" t="n">
        <f aca="false">H165</f>
        <v>1</v>
      </c>
      <c r="AG165" s="6" t="n">
        <f aca="false">I165</f>
        <v>0</v>
      </c>
      <c r="AH165" s="6" t="n">
        <f aca="false">L165</f>
        <v>0</v>
      </c>
    </row>
    <row r="166" customFormat="false" ht="15" hidden="false" customHeight="false" outlineLevel="0" collapsed="false">
      <c r="A166" s="0" t="str">
        <f aca="false">'Raw Data'!C166</f>
        <v>Jenkintown</v>
      </c>
      <c r="B166" s="5" t="n">
        <f aca="false">'Raw Data'!A166</f>
        <v>40372</v>
      </c>
      <c r="C166" s="6" t="n">
        <f aca="false">'Raw Data'!D166</f>
        <v>272.734472461974</v>
      </c>
      <c r="D166" s="6" t="n">
        <f aca="false">'Raw Data'!E166</f>
        <v>3.251111111</v>
      </c>
      <c r="E166" s="6" t="n">
        <f aca="false">'Raw Data'!F166</f>
        <v>0</v>
      </c>
      <c r="F166" s="6" t="n">
        <f aca="false">'Raw Data'!G166</f>
        <v>0</v>
      </c>
      <c r="G166" s="6" t="n">
        <f aca="false">'Raw Data'!H166</f>
        <v>0</v>
      </c>
      <c r="H166" s="6" t="n">
        <f aca="false">'Raw Data'!I166</f>
        <v>1</v>
      </c>
      <c r="I166" s="6" t="n">
        <f aca="false">'Raw Data'!J166</f>
        <v>0</v>
      </c>
      <c r="J166" s="6" t="n">
        <f aca="false">'Raw Data'!K166</f>
        <v>1</v>
      </c>
      <c r="K166" s="6" t="n">
        <f aca="false">'Raw Data'!L166</f>
        <v>4</v>
      </c>
      <c r="L166" s="6" t="n">
        <f aca="false">F166*E166</f>
        <v>0</v>
      </c>
      <c r="N166" s="0" t="n">
        <v>1</v>
      </c>
      <c r="O166" s="6" t="n">
        <f aca="false">D166</f>
        <v>3.251111111</v>
      </c>
      <c r="P166" s="6" t="n">
        <f aca="false">E166</f>
        <v>0</v>
      </c>
      <c r="Q166" s="6" t="n">
        <f aca="false">F166</f>
        <v>0</v>
      </c>
      <c r="R166" s="6" t="n">
        <f aca="false">G166</f>
        <v>0</v>
      </c>
      <c r="S166" s="6" t="n">
        <f aca="false">H166</f>
        <v>1</v>
      </c>
      <c r="T166" s="6" t="n">
        <f aca="false">I166</f>
        <v>0</v>
      </c>
      <c r="U166" s="6" t="n">
        <f aca="false">L166</f>
        <v>0</v>
      </c>
      <c r="W166" s="6" t="n">
        <f aca="false">D166</f>
        <v>3.251111111</v>
      </c>
      <c r="X166" s="6" t="n">
        <f aca="false">E166</f>
        <v>0</v>
      </c>
      <c r="Y166" s="6" t="n">
        <f aca="false">F166</f>
        <v>0</v>
      </c>
      <c r="Z166" s="6" t="n">
        <f aca="false">L166</f>
        <v>0</v>
      </c>
      <c r="AA166" s="6" t="n">
        <f aca="false">G166</f>
        <v>0</v>
      </c>
      <c r="AC166" s="6" t="n">
        <f aca="false">D166</f>
        <v>3.251111111</v>
      </c>
      <c r="AD166" s="6" t="n">
        <f aca="false">E166</f>
        <v>0</v>
      </c>
      <c r="AE166" s="6" t="n">
        <f aca="false">G166</f>
        <v>0</v>
      </c>
      <c r="AF166" s="6" t="n">
        <f aca="false">H166</f>
        <v>1</v>
      </c>
      <c r="AG166" s="6" t="n">
        <f aca="false">I166</f>
        <v>0</v>
      </c>
      <c r="AH166" s="6" t="n">
        <f aca="false">L166</f>
        <v>0</v>
      </c>
    </row>
    <row r="167" customFormat="false" ht="15" hidden="false" customHeight="false" outlineLevel="0" collapsed="false">
      <c r="A167" s="0" t="str">
        <f aca="false">'Raw Data'!C167</f>
        <v>Kentlands</v>
      </c>
      <c r="B167" s="5" t="n">
        <f aca="false">'Raw Data'!A167</f>
        <v>40302</v>
      </c>
      <c r="C167" s="6" t="n">
        <f aca="false">'Raw Data'!D167</f>
        <v>133.167384074486</v>
      </c>
      <c r="D167" s="6" t="n">
        <f aca="false">'Raw Data'!E167</f>
        <v>3.904285714</v>
      </c>
      <c r="E167" s="6" t="n">
        <f aca="false">'Raw Data'!F167</f>
        <v>0</v>
      </c>
      <c r="F167" s="6" t="n">
        <f aca="false">'Raw Data'!G167</f>
        <v>0</v>
      </c>
      <c r="G167" s="6" t="n">
        <f aca="false">'Raw Data'!H167</f>
        <v>0</v>
      </c>
      <c r="H167" s="6" t="n">
        <f aca="false">'Raw Data'!I167</f>
        <v>0</v>
      </c>
      <c r="I167" s="6" t="n">
        <f aca="false">'Raw Data'!J167</f>
        <v>0</v>
      </c>
      <c r="J167" s="6" t="n">
        <f aca="false">'Raw Data'!K167</f>
        <v>3</v>
      </c>
      <c r="K167" s="6" t="n">
        <f aca="false">'Raw Data'!L167</f>
        <v>0</v>
      </c>
      <c r="L167" s="6" t="n">
        <f aca="false">F167*E167</f>
        <v>0</v>
      </c>
      <c r="N167" s="0" t="n">
        <v>1</v>
      </c>
      <c r="O167" s="6" t="n">
        <f aca="false">D167</f>
        <v>3.904285714</v>
      </c>
      <c r="P167" s="6" t="n">
        <f aca="false">E167</f>
        <v>0</v>
      </c>
      <c r="Q167" s="6" t="n">
        <f aca="false">F167</f>
        <v>0</v>
      </c>
      <c r="R167" s="6" t="n">
        <f aca="false">G167</f>
        <v>0</v>
      </c>
      <c r="S167" s="6" t="n">
        <f aca="false">H167</f>
        <v>0</v>
      </c>
      <c r="T167" s="6" t="n">
        <f aca="false">I167</f>
        <v>0</v>
      </c>
      <c r="U167" s="6" t="n">
        <f aca="false">L167</f>
        <v>0</v>
      </c>
      <c r="W167" s="6" t="n">
        <f aca="false">D167</f>
        <v>3.904285714</v>
      </c>
      <c r="X167" s="6" t="n">
        <f aca="false">E167</f>
        <v>0</v>
      </c>
      <c r="Y167" s="6" t="n">
        <f aca="false">F167</f>
        <v>0</v>
      </c>
      <c r="Z167" s="6" t="n">
        <f aca="false">L167</f>
        <v>0</v>
      </c>
      <c r="AA167" s="6" t="n">
        <f aca="false">G167</f>
        <v>0</v>
      </c>
      <c r="AC167" s="6" t="n">
        <f aca="false">D167</f>
        <v>3.904285714</v>
      </c>
      <c r="AD167" s="6" t="n">
        <f aca="false">E167</f>
        <v>0</v>
      </c>
      <c r="AE167" s="6" t="n">
        <f aca="false">G167</f>
        <v>0</v>
      </c>
      <c r="AF167" s="6" t="n">
        <f aca="false">H167</f>
        <v>0</v>
      </c>
      <c r="AG167" s="6" t="n">
        <f aca="false">I167</f>
        <v>0</v>
      </c>
      <c r="AH167" s="6" t="n">
        <f aca="false">L167</f>
        <v>0</v>
      </c>
    </row>
    <row r="168" customFormat="false" ht="15" hidden="false" customHeight="false" outlineLevel="0" collapsed="false">
      <c r="A168" s="0" t="str">
        <f aca="false">'Raw Data'!C168</f>
        <v>Kentlands</v>
      </c>
      <c r="B168" s="5" t="n">
        <f aca="false">'Raw Data'!A168</f>
        <v>40309</v>
      </c>
      <c r="C168" s="6" t="n">
        <f aca="false">'Raw Data'!D168</f>
        <v>228.090610926876</v>
      </c>
      <c r="D168" s="6" t="n">
        <f aca="false">'Raw Data'!E168</f>
        <v>3.54</v>
      </c>
      <c r="E168" s="6" t="n">
        <f aca="false">'Raw Data'!F168</f>
        <v>0</v>
      </c>
      <c r="F168" s="6" t="n">
        <f aca="false">'Raw Data'!G168</f>
        <v>0</v>
      </c>
      <c r="G168" s="6" t="n">
        <f aca="false">'Raw Data'!H168</f>
        <v>0</v>
      </c>
      <c r="H168" s="6" t="n">
        <f aca="false">'Raw Data'!I168</f>
        <v>0</v>
      </c>
      <c r="I168" s="6" t="n">
        <f aca="false">'Raw Data'!J168</f>
        <v>0</v>
      </c>
      <c r="J168" s="6" t="n">
        <f aca="false">'Raw Data'!K168</f>
        <v>3</v>
      </c>
      <c r="K168" s="6" t="n">
        <f aca="false">'Raw Data'!L168</f>
        <v>0</v>
      </c>
      <c r="L168" s="6" t="n">
        <f aca="false">F168*E168</f>
        <v>0</v>
      </c>
      <c r="N168" s="0" t="n">
        <v>1</v>
      </c>
      <c r="O168" s="6" t="n">
        <f aca="false">D168</f>
        <v>3.54</v>
      </c>
      <c r="P168" s="6" t="n">
        <f aca="false">E168</f>
        <v>0</v>
      </c>
      <c r="Q168" s="6" t="n">
        <f aca="false">F168</f>
        <v>0</v>
      </c>
      <c r="R168" s="6" t="n">
        <f aca="false">G168</f>
        <v>0</v>
      </c>
      <c r="S168" s="6" t="n">
        <f aca="false">H168</f>
        <v>0</v>
      </c>
      <c r="T168" s="6" t="n">
        <f aca="false">I168</f>
        <v>0</v>
      </c>
      <c r="U168" s="6" t="n">
        <f aca="false">L168</f>
        <v>0</v>
      </c>
      <c r="W168" s="6" t="n">
        <f aca="false">D168</f>
        <v>3.54</v>
      </c>
      <c r="X168" s="6" t="n">
        <f aca="false">E168</f>
        <v>0</v>
      </c>
      <c r="Y168" s="6" t="n">
        <f aca="false">F168</f>
        <v>0</v>
      </c>
      <c r="Z168" s="6" t="n">
        <f aca="false">L168</f>
        <v>0</v>
      </c>
      <c r="AA168" s="6" t="n">
        <f aca="false">G168</f>
        <v>0</v>
      </c>
      <c r="AC168" s="6" t="n">
        <f aca="false">D168</f>
        <v>3.54</v>
      </c>
      <c r="AD168" s="6" t="n">
        <f aca="false">E168</f>
        <v>0</v>
      </c>
      <c r="AE168" s="6" t="n">
        <f aca="false">G168</f>
        <v>0</v>
      </c>
      <c r="AF168" s="6" t="n">
        <f aca="false">H168</f>
        <v>0</v>
      </c>
      <c r="AG168" s="6" t="n">
        <f aca="false">I168</f>
        <v>0</v>
      </c>
      <c r="AH168" s="6" t="n">
        <f aca="false">L168</f>
        <v>0</v>
      </c>
    </row>
    <row r="169" customFormat="false" ht="15" hidden="false" customHeight="false" outlineLevel="0" collapsed="false">
      <c r="A169" s="0" t="str">
        <f aca="false">'Raw Data'!C169</f>
        <v>Kentlands</v>
      </c>
      <c r="B169" s="5" t="n">
        <f aca="false">'Raw Data'!A169</f>
        <v>40316</v>
      </c>
      <c r="C169" s="6" t="n">
        <f aca="false">'Raw Data'!D169</f>
        <v>169.671409766101</v>
      </c>
      <c r="D169" s="6" t="n">
        <f aca="false">'Raw Data'!E169</f>
        <v>3.34</v>
      </c>
      <c r="E169" s="6" t="n">
        <f aca="false">'Raw Data'!F169</f>
        <v>0</v>
      </c>
      <c r="F169" s="6" t="n">
        <f aca="false">'Raw Data'!G169</f>
        <v>0</v>
      </c>
      <c r="G169" s="6" t="n">
        <f aca="false">'Raw Data'!H169</f>
        <v>0</v>
      </c>
      <c r="H169" s="6" t="n">
        <f aca="false">'Raw Data'!I169</f>
        <v>0</v>
      </c>
      <c r="I169" s="6" t="n">
        <f aca="false">'Raw Data'!J169</f>
        <v>0</v>
      </c>
      <c r="J169" s="6" t="n">
        <f aca="false">'Raw Data'!K169</f>
        <v>3</v>
      </c>
      <c r="K169" s="6" t="n">
        <f aca="false">'Raw Data'!L169</f>
        <v>0</v>
      </c>
      <c r="L169" s="6" t="n">
        <f aca="false">F169*E169</f>
        <v>0</v>
      </c>
      <c r="N169" s="0" t="n">
        <v>1</v>
      </c>
      <c r="O169" s="6" t="n">
        <f aca="false">D169</f>
        <v>3.34</v>
      </c>
      <c r="P169" s="6" t="n">
        <f aca="false">E169</f>
        <v>0</v>
      </c>
      <c r="Q169" s="6" t="n">
        <f aca="false">F169</f>
        <v>0</v>
      </c>
      <c r="R169" s="6" t="n">
        <f aca="false">G169</f>
        <v>0</v>
      </c>
      <c r="S169" s="6" t="n">
        <f aca="false">H169</f>
        <v>0</v>
      </c>
      <c r="T169" s="6" t="n">
        <f aca="false">I169</f>
        <v>0</v>
      </c>
      <c r="U169" s="6" t="n">
        <f aca="false">L169</f>
        <v>0</v>
      </c>
      <c r="W169" s="6" t="n">
        <f aca="false">D169</f>
        <v>3.34</v>
      </c>
      <c r="X169" s="6" t="n">
        <f aca="false">E169</f>
        <v>0</v>
      </c>
      <c r="Y169" s="6" t="n">
        <f aca="false">F169</f>
        <v>0</v>
      </c>
      <c r="Z169" s="6" t="n">
        <f aca="false">L169</f>
        <v>0</v>
      </c>
      <c r="AA169" s="6" t="n">
        <f aca="false">G169</f>
        <v>0</v>
      </c>
      <c r="AC169" s="6" t="n">
        <f aca="false">D169</f>
        <v>3.34</v>
      </c>
      <c r="AD169" s="6" t="n">
        <f aca="false">E169</f>
        <v>0</v>
      </c>
      <c r="AE169" s="6" t="n">
        <f aca="false">G169</f>
        <v>0</v>
      </c>
      <c r="AF169" s="6" t="n">
        <f aca="false">H169</f>
        <v>0</v>
      </c>
      <c r="AG169" s="6" t="n">
        <f aca="false">I169</f>
        <v>0</v>
      </c>
      <c r="AH169" s="6" t="n">
        <f aca="false">L169</f>
        <v>0</v>
      </c>
    </row>
    <row r="170" customFormat="false" ht="15" hidden="false" customHeight="false" outlineLevel="0" collapsed="false">
      <c r="A170" s="0" t="str">
        <f aca="false">'Raw Data'!C170</f>
        <v>Kentlands</v>
      </c>
      <c r="B170" s="5" t="n">
        <f aca="false">'Raw Data'!A170</f>
        <v>40323</v>
      </c>
      <c r="C170" s="6" t="n">
        <f aca="false">'Raw Data'!D170</f>
        <v>182.000336200253</v>
      </c>
      <c r="D170" s="6" t="n">
        <f aca="false">'Raw Data'!E170</f>
        <v>3.5025</v>
      </c>
      <c r="E170" s="6" t="n">
        <f aca="false">'Raw Data'!F170</f>
        <v>0</v>
      </c>
      <c r="F170" s="6" t="n">
        <f aca="false">'Raw Data'!G170</f>
        <v>0</v>
      </c>
      <c r="G170" s="6" t="n">
        <f aca="false">'Raw Data'!H170</f>
        <v>0</v>
      </c>
      <c r="H170" s="6" t="n">
        <f aca="false">'Raw Data'!I170</f>
        <v>0</v>
      </c>
      <c r="I170" s="6" t="n">
        <f aca="false">'Raw Data'!J170</f>
        <v>0</v>
      </c>
      <c r="J170" s="6" t="n">
        <f aca="false">'Raw Data'!K170</f>
        <v>3</v>
      </c>
      <c r="K170" s="6" t="n">
        <f aca="false">'Raw Data'!L170</f>
        <v>0</v>
      </c>
      <c r="L170" s="6" t="n">
        <f aca="false">F170*E170</f>
        <v>0</v>
      </c>
      <c r="N170" s="0" t="n">
        <v>1</v>
      </c>
      <c r="O170" s="6" t="n">
        <f aca="false">D170</f>
        <v>3.5025</v>
      </c>
      <c r="P170" s="6" t="n">
        <f aca="false">E170</f>
        <v>0</v>
      </c>
      <c r="Q170" s="6" t="n">
        <f aca="false">F170</f>
        <v>0</v>
      </c>
      <c r="R170" s="6" t="n">
        <f aca="false">G170</f>
        <v>0</v>
      </c>
      <c r="S170" s="6" t="n">
        <f aca="false">H170</f>
        <v>0</v>
      </c>
      <c r="T170" s="6" t="n">
        <f aca="false">I170</f>
        <v>0</v>
      </c>
      <c r="U170" s="6" t="n">
        <f aca="false">L170</f>
        <v>0</v>
      </c>
      <c r="W170" s="6" t="n">
        <f aca="false">D170</f>
        <v>3.5025</v>
      </c>
      <c r="X170" s="6" t="n">
        <f aca="false">E170</f>
        <v>0</v>
      </c>
      <c r="Y170" s="6" t="n">
        <f aca="false">F170</f>
        <v>0</v>
      </c>
      <c r="Z170" s="6" t="n">
        <f aca="false">L170</f>
        <v>0</v>
      </c>
      <c r="AA170" s="6" t="n">
        <f aca="false">G170</f>
        <v>0</v>
      </c>
      <c r="AC170" s="6" t="n">
        <f aca="false">D170</f>
        <v>3.5025</v>
      </c>
      <c r="AD170" s="6" t="n">
        <f aca="false">E170</f>
        <v>0</v>
      </c>
      <c r="AE170" s="6" t="n">
        <f aca="false">G170</f>
        <v>0</v>
      </c>
      <c r="AF170" s="6" t="n">
        <f aca="false">H170</f>
        <v>0</v>
      </c>
      <c r="AG170" s="6" t="n">
        <f aca="false">I170</f>
        <v>0</v>
      </c>
      <c r="AH170" s="6" t="n">
        <f aca="false">L170</f>
        <v>0</v>
      </c>
    </row>
    <row r="171" customFormat="false" ht="15" hidden="false" customHeight="false" outlineLevel="0" collapsed="false">
      <c r="A171" s="0" t="str">
        <f aca="false">'Raw Data'!C171</f>
        <v>Kentlands</v>
      </c>
      <c r="B171" s="5" t="n">
        <f aca="false">'Raw Data'!A171</f>
        <v>40330</v>
      </c>
      <c r="C171" s="6" t="n">
        <f aca="false">'Raw Data'!D171</f>
        <v>249.755523961754</v>
      </c>
      <c r="D171" s="6" t="n">
        <f aca="false">'Raw Data'!E171</f>
        <v>3.34</v>
      </c>
      <c r="E171" s="6" t="n">
        <f aca="false">'Raw Data'!F171</f>
        <v>0</v>
      </c>
      <c r="F171" s="6" t="n">
        <f aca="false">'Raw Data'!G171</f>
        <v>0</v>
      </c>
      <c r="G171" s="6" t="n">
        <f aca="false">'Raw Data'!H171</f>
        <v>0</v>
      </c>
      <c r="H171" s="6" t="n">
        <f aca="false">'Raw Data'!I171</f>
        <v>0</v>
      </c>
      <c r="I171" s="6" t="n">
        <f aca="false">'Raw Data'!J171</f>
        <v>0</v>
      </c>
      <c r="J171" s="6" t="n">
        <f aca="false">'Raw Data'!K171</f>
        <v>3</v>
      </c>
      <c r="K171" s="6" t="n">
        <f aca="false">'Raw Data'!L171</f>
        <v>0</v>
      </c>
      <c r="L171" s="6" t="n">
        <f aca="false">F171*E171</f>
        <v>0</v>
      </c>
      <c r="N171" s="0" t="n">
        <v>1</v>
      </c>
      <c r="O171" s="6" t="n">
        <f aca="false">D171</f>
        <v>3.34</v>
      </c>
      <c r="P171" s="6" t="n">
        <f aca="false">E171</f>
        <v>0</v>
      </c>
      <c r="Q171" s="6" t="n">
        <f aca="false">F171</f>
        <v>0</v>
      </c>
      <c r="R171" s="6" t="n">
        <f aca="false">G171</f>
        <v>0</v>
      </c>
      <c r="S171" s="6" t="n">
        <f aca="false">H171</f>
        <v>0</v>
      </c>
      <c r="T171" s="6" t="n">
        <f aca="false">I171</f>
        <v>0</v>
      </c>
      <c r="U171" s="6" t="n">
        <f aca="false">L171</f>
        <v>0</v>
      </c>
      <c r="W171" s="6" t="n">
        <f aca="false">D171</f>
        <v>3.34</v>
      </c>
      <c r="X171" s="6" t="n">
        <f aca="false">E171</f>
        <v>0</v>
      </c>
      <c r="Y171" s="6" t="n">
        <f aca="false">F171</f>
        <v>0</v>
      </c>
      <c r="Z171" s="6" t="n">
        <f aca="false">L171</f>
        <v>0</v>
      </c>
      <c r="AA171" s="6" t="n">
        <f aca="false">G171</f>
        <v>0</v>
      </c>
      <c r="AC171" s="6" t="n">
        <f aca="false">D171</f>
        <v>3.34</v>
      </c>
      <c r="AD171" s="6" t="n">
        <f aca="false">E171</f>
        <v>0</v>
      </c>
      <c r="AE171" s="6" t="n">
        <f aca="false">G171</f>
        <v>0</v>
      </c>
      <c r="AF171" s="6" t="n">
        <f aca="false">H171</f>
        <v>0</v>
      </c>
      <c r="AG171" s="6" t="n">
        <f aca="false">I171</f>
        <v>0</v>
      </c>
      <c r="AH171" s="6" t="n">
        <f aca="false">L171</f>
        <v>0</v>
      </c>
    </row>
    <row r="172" customFormat="false" ht="15" hidden="false" customHeight="false" outlineLevel="0" collapsed="false">
      <c r="A172" s="0" t="str">
        <f aca="false">'Raw Data'!C172</f>
        <v>Kentlands</v>
      </c>
      <c r="B172" s="5" t="n">
        <f aca="false">'Raw Data'!A172</f>
        <v>40337</v>
      </c>
      <c r="C172" s="6" t="n">
        <f aca="false">'Raw Data'!D172</f>
        <v>200.277994225527</v>
      </c>
      <c r="D172" s="6" t="n">
        <f aca="false">'Raw Data'!E172</f>
        <v>3.54</v>
      </c>
      <c r="E172" s="6" t="n">
        <f aca="false">'Raw Data'!F172</f>
        <v>0</v>
      </c>
      <c r="F172" s="6" t="n">
        <f aca="false">'Raw Data'!G172</f>
        <v>0</v>
      </c>
      <c r="G172" s="6" t="n">
        <f aca="false">'Raw Data'!H172</f>
        <v>0</v>
      </c>
      <c r="H172" s="6" t="n">
        <f aca="false">'Raw Data'!I172</f>
        <v>0</v>
      </c>
      <c r="I172" s="6" t="n">
        <f aca="false">'Raw Data'!J172</f>
        <v>0</v>
      </c>
      <c r="J172" s="6" t="n">
        <f aca="false">'Raw Data'!K172</f>
        <v>3</v>
      </c>
      <c r="K172" s="6" t="n">
        <f aca="false">'Raw Data'!L172</f>
        <v>0</v>
      </c>
      <c r="L172" s="6" t="n">
        <f aca="false">F172*E172</f>
        <v>0</v>
      </c>
      <c r="N172" s="0" t="n">
        <v>1</v>
      </c>
      <c r="O172" s="6" t="n">
        <f aca="false">D172</f>
        <v>3.54</v>
      </c>
      <c r="P172" s="6" t="n">
        <f aca="false">E172</f>
        <v>0</v>
      </c>
      <c r="Q172" s="6" t="n">
        <f aca="false">F172</f>
        <v>0</v>
      </c>
      <c r="R172" s="6" t="n">
        <f aca="false">G172</f>
        <v>0</v>
      </c>
      <c r="S172" s="6" t="n">
        <f aca="false">H172</f>
        <v>0</v>
      </c>
      <c r="T172" s="6" t="n">
        <f aca="false">I172</f>
        <v>0</v>
      </c>
      <c r="U172" s="6" t="n">
        <f aca="false">L172</f>
        <v>0</v>
      </c>
      <c r="W172" s="6" t="n">
        <f aca="false">D172</f>
        <v>3.54</v>
      </c>
      <c r="X172" s="6" t="n">
        <f aca="false">E172</f>
        <v>0</v>
      </c>
      <c r="Y172" s="6" t="n">
        <f aca="false">F172</f>
        <v>0</v>
      </c>
      <c r="Z172" s="6" t="n">
        <f aca="false">L172</f>
        <v>0</v>
      </c>
      <c r="AA172" s="6" t="n">
        <f aca="false">G172</f>
        <v>0</v>
      </c>
      <c r="AC172" s="6" t="n">
        <f aca="false">D172</f>
        <v>3.54</v>
      </c>
      <c r="AD172" s="6" t="n">
        <f aca="false">E172</f>
        <v>0</v>
      </c>
      <c r="AE172" s="6" t="n">
        <f aca="false">G172</f>
        <v>0</v>
      </c>
      <c r="AF172" s="6" t="n">
        <f aca="false">H172</f>
        <v>0</v>
      </c>
      <c r="AG172" s="6" t="n">
        <f aca="false">I172</f>
        <v>0</v>
      </c>
      <c r="AH172" s="6" t="n">
        <f aca="false">L172</f>
        <v>0</v>
      </c>
    </row>
    <row r="173" customFormat="false" ht="15" hidden="false" customHeight="false" outlineLevel="0" collapsed="false">
      <c r="A173" s="0" t="str">
        <f aca="false">'Raw Data'!C173</f>
        <v>Kentlands</v>
      </c>
      <c r="B173" s="5" t="n">
        <f aca="false">'Raw Data'!A173</f>
        <v>40344</v>
      </c>
      <c r="C173" s="6" t="n">
        <f aca="false">'Raw Data'!D173</f>
        <v>203.475037195714</v>
      </c>
      <c r="D173" s="6" t="n">
        <f aca="false">'Raw Data'!E173</f>
        <v>3.54</v>
      </c>
      <c r="E173" s="6" t="n">
        <f aca="false">'Raw Data'!F173</f>
        <v>0</v>
      </c>
      <c r="F173" s="6" t="n">
        <f aca="false">'Raw Data'!G173</f>
        <v>0</v>
      </c>
      <c r="G173" s="6" t="n">
        <f aca="false">'Raw Data'!H173</f>
        <v>1</v>
      </c>
      <c r="H173" s="6" t="n">
        <f aca="false">'Raw Data'!I173</f>
        <v>0</v>
      </c>
      <c r="I173" s="6" t="n">
        <f aca="false">'Raw Data'!J173</f>
        <v>0</v>
      </c>
      <c r="J173" s="6" t="n">
        <f aca="false">'Raw Data'!K173</f>
        <v>3</v>
      </c>
      <c r="K173" s="6" t="n">
        <f aca="false">'Raw Data'!L173</f>
        <v>0</v>
      </c>
      <c r="L173" s="6" t="n">
        <f aca="false">F173*E173</f>
        <v>0</v>
      </c>
      <c r="N173" s="0" t="n">
        <v>1</v>
      </c>
      <c r="O173" s="6" t="n">
        <f aca="false">D173</f>
        <v>3.54</v>
      </c>
      <c r="P173" s="6" t="n">
        <f aca="false">E173</f>
        <v>0</v>
      </c>
      <c r="Q173" s="6" t="n">
        <f aca="false">F173</f>
        <v>0</v>
      </c>
      <c r="R173" s="6" t="n">
        <f aca="false">G173</f>
        <v>1</v>
      </c>
      <c r="S173" s="6" t="n">
        <f aca="false">H173</f>
        <v>0</v>
      </c>
      <c r="T173" s="6" t="n">
        <f aca="false">I173</f>
        <v>0</v>
      </c>
      <c r="U173" s="6" t="n">
        <f aca="false">L173</f>
        <v>0</v>
      </c>
      <c r="W173" s="6" t="n">
        <f aca="false">D173</f>
        <v>3.54</v>
      </c>
      <c r="X173" s="6" t="n">
        <f aca="false">E173</f>
        <v>0</v>
      </c>
      <c r="Y173" s="6" t="n">
        <f aca="false">F173</f>
        <v>0</v>
      </c>
      <c r="Z173" s="6" t="n">
        <f aca="false">L173</f>
        <v>0</v>
      </c>
      <c r="AA173" s="6" t="n">
        <f aca="false">G173</f>
        <v>1</v>
      </c>
      <c r="AC173" s="6" t="n">
        <f aca="false">D173</f>
        <v>3.54</v>
      </c>
      <c r="AD173" s="6" t="n">
        <f aca="false">E173</f>
        <v>0</v>
      </c>
      <c r="AE173" s="6" t="n">
        <f aca="false">G173</f>
        <v>1</v>
      </c>
      <c r="AF173" s="6" t="n">
        <f aca="false">H173</f>
        <v>0</v>
      </c>
      <c r="AG173" s="6" t="n">
        <f aca="false">I173</f>
        <v>0</v>
      </c>
      <c r="AH173" s="6" t="n">
        <f aca="false">L173</f>
        <v>0</v>
      </c>
    </row>
    <row r="174" customFormat="false" ht="15" hidden="false" customHeight="false" outlineLevel="0" collapsed="false">
      <c r="A174" s="0" t="str">
        <f aca="false">'Raw Data'!C174</f>
        <v>Kentlands</v>
      </c>
      <c r="B174" s="5" t="n">
        <f aca="false">'Raw Data'!A174</f>
        <v>40351</v>
      </c>
      <c r="C174" s="6" t="n">
        <f aca="false">'Raw Data'!D174</f>
        <v>344.802298261836</v>
      </c>
      <c r="D174" s="6" t="n">
        <f aca="false">'Raw Data'!E174</f>
        <v>3.54</v>
      </c>
      <c r="E174" s="6" t="n">
        <f aca="false">'Raw Data'!F174</f>
        <v>0</v>
      </c>
      <c r="F174" s="6" t="n">
        <f aca="false">'Raw Data'!G174</f>
        <v>0</v>
      </c>
      <c r="G174" s="6" t="n">
        <f aca="false">'Raw Data'!H174</f>
        <v>0</v>
      </c>
      <c r="H174" s="6" t="n">
        <f aca="false">'Raw Data'!I174</f>
        <v>1</v>
      </c>
      <c r="I174" s="6" t="n">
        <f aca="false">'Raw Data'!J174</f>
        <v>0</v>
      </c>
      <c r="J174" s="6" t="n">
        <f aca="false">'Raw Data'!K174</f>
        <v>3</v>
      </c>
      <c r="K174" s="6" t="n">
        <f aca="false">'Raw Data'!L174</f>
        <v>0</v>
      </c>
      <c r="L174" s="6" t="n">
        <f aca="false">F174*E174</f>
        <v>0</v>
      </c>
      <c r="N174" s="0" t="n">
        <v>1</v>
      </c>
      <c r="O174" s="6" t="n">
        <f aca="false">D174</f>
        <v>3.54</v>
      </c>
      <c r="P174" s="6" t="n">
        <f aca="false">E174</f>
        <v>0</v>
      </c>
      <c r="Q174" s="6" t="n">
        <f aca="false">F174</f>
        <v>0</v>
      </c>
      <c r="R174" s="6" t="n">
        <f aca="false">G174</f>
        <v>0</v>
      </c>
      <c r="S174" s="6" t="n">
        <f aca="false">H174</f>
        <v>1</v>
      </c>
      <c r="T174" s="6" t="n">
        <f aca="false">I174</f>
        <v>0</v>
      </c>
      <c r="U174" s="6" t="n">
        <f aca="false">L174</f>
        <v>0</v>
      </c>
      <c r="W174" s="6" t="n">
        <f aca="false">D174</f>
        <v>3.54</v>
      </c>
      <c r="X174" s="6" t="n">
        <f aca="false">E174</f>
        <v>0</v>
      </c>
      <c r="Y174" s="6" t="n">
        <f aca="false">F174</f>
        <v>0</v>
      </c>
      <c r="Z174" s="6" t="n">
        <f aca="false">L174</f>
        <v>0</v>
      </c>
      <c r="AA174" s="6" t="n">
        <f aca="false">G174</f>
        <v>0</v>
      </c>
      <c r="AC174" s="6" t="n">
        <f aca="false">D174</f>
        <v>3.54</v>
      </c>
      <c r="AD174" s="6" t="n">
        <f aca="false">E174</f>
        <v>0</v>
      </c>
      <c r="AE174" s="6" t="n">
        <f aca="false">G174</f>
        <v>0</v>
      </c>
      <c r="AF174" s="6" t="n">
        <f aca="false">H174</f>
        <v>1</v>
      </c>
      <c r="AG174" s="6" t="n">
        <f aca="false">I174</f>
        <v>0</v>
      </c>
      <c r="AH174" s="6" t="n">
        <f aca="false">L174</f>
        <v>0</v>
      </c>
    </row>
    <row r="175" customFormat="false" ht="15" hidden="false" customHeight="false" outlineLevel="0" collapsed="false">
      <c r="A175" s="0" t="str">
        <f aca="false">'Raw Data'!C175</f>
        <v>Kentlands</v>
      </c>
      <c r="B175" s="5" t="n">
        <f aca="false">'Raw Data'!A175</f>
        <v>40358</v>
      </c>
      <c r="C175" s="6" t="n">
        <f aca="false">'Raw Data'!D175</f>
        <v>266.018533653525</v>
      </c>
      <c r="D175" s="6" t="n">
        <f aca="false">'Raw Data'!E175</f>
        <v>3.634444444</v>
      </c>
      <c r="E175" s="6" t="n">
        <f aca="false">'Raw Data'!F175</f>
        <v>0</v>
      </c>
      <c r="F175" s="6" t="n">
        <f aca="false">'Raw Data'!G175</f>
        <v>0</v>
      </c>
      <c r="G175" s="6" t="n">
        <f aca="false">'Raw Data'!H175</f>
        <v>0</v>
      </c>
      <c r="H175" s="6" t="n">
        <f aca="false">'Raw Data'!I175</f>
        <v>1</v>
      </c>
      <c r="I175" s="6" t="n">
        <f aca="false">'Raw Data'!J175</f>
        <v>0</v>
      </c>
      <c r="J175" s="6" t="n">
        <f aca="false">'Raw Data'!K175</f>
        <v>3</v>
      </c>
      <c r="K175" s="6" t="n">
        <f aca="false">'Raw Data'!L175</f>
        <v>0</v>
      </c>
      <c r="L175" s="6" t="n">
        <f aca="false">F175*E175</f>
        <v>0</v>
      </c>
      <c r="N175" s="0" t="n">
        <v>1</v>
      </c>
      <c r="O175" s="6" t="n">
        <f aca="false">D175</f>
        <v>3.634444444</v>
      </c>
      <c r="P175" s="6" t="n">
        <f aca="false">E175</f>
        <v>0</v>
      </c>
      <c r="Q175" s="6" t="n">
        <f aca="false">F175</f>
        <v>0</v>
      </c>
      <c r="R175" s="6" t="n">
        <f aca="false">G175</f>
        <v>0</v>
      </c>
      <c r="S175" s="6" t="n">
        <f aca="false">H175</f>
        <v>1</v>
      </c>
      <c r="T175" s="6" t="n">
        <f aca="false">I175</f>
        <v>0</v>
      </c>
      <c r="U175" s="6" t="n">
        <f aca="false">L175</f>
        <v>0</v>
      </c>
      <c r="W175" s="6" t="n">
        <f aca="false">D175</f>
        <v>3.634444444</v>
      </c>
      <c r="X175" s="6" t="n">
        <f aca="false">E175</f>
        <v>0</v>
      </c>
      <c r="Y175" s="6" t="n">
        <f aca="false">F175</f>
        <v>0</v>
      </c>
      <c r="Z175" s="6" t="n">
        <f aca="false">L175</f>
        <v>0</v>
      </c>
      <c r="AA175" s="6" t="n">
        <f aca="false">G175</f>
        <v>0</v>
      </c>
      <c r="AC175" s="6" t="n">
        <f aca="false">D175</f>
        <v>3.634444444</v>
      </c>
      <c r="AD175" s="6" t="n">
        <f aca="false">E175</f>
        <v>0</v>
      </c>
      <c r="AE175" s="6" t="n">
        <f aca="false">G175</f>
        <v>0</v>
      </c>
      <c r="AF175" s="6" t="n">
        <f aca="false">H175</f>
        <v>1</v>
      </c>
      <c r="AG175" s="6" t="n">
        <f aca="false">I175</f>
        <v>0</v>
      </c>
      <c r="AH175" s="6" t="n">
        <f aca="false">L175</f>
        <v>0</v>
      </c>
    </row>
    <row r="176" customFormat="false" ht="15" hidden="false" customHeight="false" outlineLevel="0" collapsed="false">
      <c r="A176" s="0" t="str">
        <f aca="false">'Raw Data'!C176</f>
        <v>Kentlands</v>
      </c>
      <c r="B176" s="5" t="n">
        <f aca="false">'Raw Data'!A176</f>
        <v>40365</v>
      </c>
      <c r="C176" s="6" t="n">
        <f aca="false">'Raw Data'!D176</f>
        <v>299.905505818737</v>
      </c>
      <c r="D176" s="6" t="n">
        <f aca="false">'Raw Data'!E176</f>
        <v>3.126</v>
      </c>
      <c r="E176" s="6" t="n">
        <f aca="false">'Raw Data'!F176</f>
        <v>0</v>
      </c>
      <c r="F176" s="6" t="n">
        <f aca="false">'Raw Data'!G176</f>
        <v>0</v>
      </c>
      <c r="G176" s="6" t="n">
        <f aca="false">'Raw Data'!H176</f>
        <v>0</v>
      </c>
      <c r="H176" s="6" t="n">
        <f aca="false">'Raw Data'!I176</f>
        <v>1</v>
      </c>
      <c r="I176" s="6" t="n">
        <f aca="false">'Raw Data'!J176</f>
        <v>0</v>
      </c>
      <c r="J176" s="6" t="n">
        <f aca="false">'Raw Data'!K176</f>
        <v>3</v>
      </c>
      <c r="K176" s="6" t="n">
        <f aca="false">'Raw Data'!L176</f>
        <v>0</v>
      </c>
      <c r="L176" s="6" t="n">
        <f aca="false">F176*E176</f>
        <v>0</v>
      </c>
      <c r="N176" s="0" t="n">
        <v>1</v>
      </c>
      <c r="O176" s="6" t="n">
        <f aca="false">D176</f>
        <v>3.126</v>
      </c>
      <c r="P176" s="6" t="n">
        <f aca="false">E176</f>
        <v>0</v>
      </c>
      <c r="Q176" s="6" t="n">
        <f aca="false">F176</f>
        <v>0</v>
      </c>
      <c r="R176" s="6" t="n">
        <f aca="false">G176</f>
        <v>0</v>
      </c>
      <c r="S176" s="6" t="n">
        <f aca="false">H176</f>
        <v>1</v>
      </c>
      <c r="T176" s="6" t="n">
        <f aca="false">I176</f>
        <v>0</v>
      </c>
      <c r="U176" s="6" t="n">
        <f aca="false">L176</f>
        <v>0</v>
      </c>
      <c r="W176" s="6" t="n">
        <f aca="false">D176</f>
        <v>3.126</v>
      </c>
      <c r="X176" s="6" t="n">
        <f aca="false">E176</f>
        <v>0</v>
      </c>
      <c r="Y176" s="6" t="n">
        <f aca="false">F176</f>
        <v>0</v>
      </c>
      <c r="Z176" s="6" t="n">
        <f aca="false">L176</f>
        <v>0</v>
      </c>
      <c r="AA176" s="6" t="n">
        <f aca="false">G176</f>
        <v>0</v>
      </c>
      <c r="AC176" s="6" t="n">
        <f aca="false">D176</f>
        <v>3.126</v>
      </c>
      <c r="AD176" s="6" t="n">
        <f aca="false">E176</f>
        <v>0</v>
      </c>
      <c r="AE176" s="6" t="n">
        <f aca="false">G176</f>
        <v>0</v>
      </c>
      <c r="AF176" s="6" t="n">
        <f aca="false">H176</f>
        <v>1</v>
      </c>
      <c r="AG176" s="6" t="n">
        <f aca="false">I176</f>
        <v>0</v>
      </c>
      <c r="AH176" s="6" t="n">
        <f aca="false">L176</f>
        <v>0</v>
      </c>
    </row>
    <row r="177" customFormat="false" ht="15" hidden="false" customHeight="false" outlineLevel="0" collapsed="false">
      <c r="A177" s="0" t="str">
        <f aca="false">'Raw Data'!C177</f>
        <v>Kentlands</v>
      </c>
      <c r="B177" s="5" t="n">
        <f aca="false">'Raw Data'!A177</f>
        <v>40372</v>
      </c>
      <c r="C177" s="6" t="n">
        <f aca="false">'Raw Data'!D177</f>
        <v>332.742983986616</v>
      </c>
      <c r="D177" s="6" t="n">
        <f aca="false">'Raw Data'!E177</f>
        <v>3.063333333</v>
      </c>
      <c r="E177" s="6" t="n">
        <f aca="false">'Raw Data'!F177</f>
        <v>0</v>
      </c>
      <c r="F177" s="6" t="n">
        <f aca="false">'Raw Data'!G177</f>
        <v>0</v>
      </c>
      <c r="G177" s="6" t="n">
        <f aca="false">'Raw Data'!H177</f>
        <v>0</v>
      </c>
      <c r="H177" s="6" t="n">
        <f aca="false">'Raw Data'!I177</f>
        <v>0</v>
      </c>
      <c r="I177" s="6" t="n">
        <f aca="false">'Raw Data'!J177</f>
        <v>1</v>
      </c>
      <c r="J177" s="6" t="n">
        <f aca="false">'Raw Data'!K177</f>
        <v>3</v>
      </c>
      <c r="K177" s="6" t="n">
        <f aca="false">'Raw Data'!L177</f>
        <v>0</v>
      </c>
      <c r="L177" s="6" t="n">
        <f aca="false">F177*E177</f>
        <v>0</v>
      </c>
      <c r="N177" s="0" t="n">
        <v>1</v>
      </c>
      <c r="O177" s="6" t="n">
        <f aca="false">D177</f>
        <v>3.063333333</v>
      </c>
      <c r="P177" s="6" t="n">
        <f aca="false">E177</f>
        <v>0</v>
      </c>
      <c r="Q177" s="6" t="n">
        <f aca="false">F177</f>
        <v>0</v>
      </c>
      <c r="R177" s="6" t="n">
        <f aca="false">G177</f>
        <v>0</v>
      </c>
      <c r="S177" s="6" t="n">
        <f aca="false">H177</f>
        <v>0</v>
      </c>
      <c r="T177" s="6" t="n">
        <f aca="false">I177</f>
        <v>1</v>
      </c>
      <c r="U177" s="6" t="n">
        <f aca="false">L177</f>
        <v>0</v>
      </c>
      <c r="W177" s="6" t="n">
        <f aca="false">D177</f>
        <v>3.063333333</v>
      </c>
      <c r="X177" s="6" t="n">
        <f aca="false">E177</f>
        <v>0</v>
      </c>
      <c r="Y177" s="6" t="n">
        <f aca="false">F177</f>
        <v>0</v>
      </c>
      <c r="Z177" s="6" t="n">
        <f aca="false">L177</f>
        <v>0</v>
      </c>
      <c r="AA177" s="6" t="n">
        <f aca="false">G177</f>
        <v>0</v>
      </c>
      <c r="AC177" s="6" t="n">
        <f aca="false">D177</f>
        <v>3.063333333</v>
      </c>
      <c r="AD177" s="6" t="n">
        <f aca="false">E177</f>
        <v>0</v>
      </c>
      <c r="AE177" s="6" t="n">
        <f aca="false">G177</f>
        <v>0</v>
      </c>
      <c r="AF177" s="6" t="n">
        <f aca="false">H177</f>
        <v>0</v>
      </c>
      <c r="AG177" s="6" t="n">
        <f aca="false">I177</f>
        <v>1</v>
      </c>
      <c r="AH177" s="6" t="n">
        <f aca="false">L177</f>
        <v>0</v>
      </c>
    </row>
    <row r="178" customFormat="false" ht="15" hidden="false" customHeight="false" outlineLevel="0" collapsed="false">
      <c r="A178" s="0" t="str">
        <f aca="false">'Raw Data'!C178</f>
        <v>Louisville</v>
      </c>
      <c r="B178" s="5" t="n">
        <f aca="false">'Raw Data'!A178</f>
        <v>40302</v>
      </c>
      <c r="C178" s="6" t="n">
        <f aca="false">'Raw Data'!D178</f>
        <v>245.79503869785</v>
      </c>
      <c r="D178" s="6" t="n">
        <f aca="false">'Raw Data'!E178</f>
        <v>3.967777778</v>
      </c>
      <c r="E178" s="6" t="n">
        <f aca="false">'Raw Data'!F178</f>
        <v>0</v>
      </c>
      <c r="F178" s="6" t="n">
        <f aca="false">'Raw Data'!G178</f>
        <v>0</v>
      </c>
      <c r="G178" s="6" t="n">
        <f aca="false">'Raw Data'!H178</f>
        <v>0</v>
      </c>
      <c r="H178" s="6" t="n">
        <f aca="false">'Raw Data'!I178</f>
        <v>0</v>
      </c>
      <c r="I178" s="6" t="n">
        <f aca="false">'Raw Data'!J178</f>
        <v>0</v>
      </c>
      <c r="J178" s="6" t="n">
        <f aca="false">'Raw Data'!K178</f>
        <v>4</v>
      </c>
      <c r="K178" s="6" t="n">
        <f aca="false">'Raw Data'!L178</f>
        <v>2</v>
      </c>
      <c r="L178" s="6" t="n">
        <f aca="false">F178*E178</f>
        <v>0</v>
      </c>
      <c r="N178" s="0" t="n">
        <v>1</v>
      </c>
      <c r="O178" s="6" t="n">
        <f aca="false">D178</f>
        <v>3.967777778</v>
      </c>
      <c r="P178" s="6" t="n">
        <f aca="false">E178</f>
        <v>0</v>
      </c>
      <c r="Q178" s="6" t="n">
        <f aca="false">F178</f>
        <v>0</v>
      </c>
      <c r="R178" s="6" t="n">
        <f aca="false">G178</f>
        <v>0</v>
      </c>
      <c r="S178" s="6" t="n">
        <f aca="false">H178</f>
        <v>0</v>
      </c>
      <c r="T178" s="6" t="n">
        <f aca="false">I178</f>
        <v>0</v>
      </c>
      <c r="U178" s="6" t="n">
        <f aca="false">L178</f>
        <v>0</v>
      </c>
      <c r="W178" s="6" t="n">
        <f aca="false">D178</f>
        <v>3.967777778</v>
      </c>
      <c r="X178" s="6" t="n">
        <f aca="false">E178</f>
        <v>0</v>
      </c>
      <c r="Y178" s="6" t="n">
        <f aca="false">F178</f>
        <v>0</v>
      </c>
      <c r="Z178" s="6" t="n">
        <f aca="false">L178</f>
        <v>0</v>
      </c>
      <c r="AA178" s="6" t="n">
        <f aca="false">G178</f>
        <v>0</v>
      </c>
      <c r="AC178" s="6" t="n">
        <f aca="false">D178</f>
        <v>3.967777778</v>
      </c>
      <c r="AD178" s="6" t="n">
        <f aca="false">E178</f>
        <v>0</v>
      </c>
      <c r="AE178" s="6" t="n">
        <f aca="false">G178</f>
        <v>0</v>
      </c>
      <c r="AF178" s="6" t="n">
        <f aca="false">H178</f>
        <v>0</v>
      </c>
      <c r="AG178" s="6" t="n">
        <f aca="false">I178</f>
        <v>0</v>
      </c>
      <c r="AH178" s="6" t="n">
        <f aca="false">L178</f>
        <v>0</v>
      </c>
    </row>
    <row r="179" customFormat="false" ht="15" hidden="false" customHeight="false" outlineLevel="0" collapsed="false">
      <c r="A179" s="0" t="str">
        <f aca="false">'Raw Data'!C179</f>
        <v>Louisville</v>
      </c>
      <c r="B179" s="5" t="n">
        <f aca="false">'Raw Data'!A179</f>
        <v>40309</v>
      </c>
      <c r="C179" s="6" t="n">
        <f aca="false">'Raw Data'!D179</f>
        <v>215.646118693759</v>
      </c>
      <c r="D179" s="6" t="n">
        <f aca="false">'Raw Data'!E179</f>
        <v>4.056666667</v>
      </c>
      <c r="E179" s="6" t="n">
        <f aca="false">'Raw Data'!F179</f>
        <v>0</v>
      </c>
      <c r="F179" s="6" t="n">
        <f aca="false">'Raw Data'!G179</f>
        <v>0</v>
      </c>
      <c r="G179" s="6" t="n">
        <f aca="false">'Raw Data'!H179</f>
        <v>0</v>
      </c>
      <c r="H179" s="6" t="n">
        <f aca="false">'Raw Data'!I179</f>
        <v>0</v>
      </c>
      <c r="I179" s="6" t="n">
        <f aca="false">'Raw Data'!J179</f>
        <v>0</v>
      </c>
      <c r="J179" s="6" t="n">
        <f aca="false">'Raw Data'!K179</f>
        <v>4</v>
      </c>
      <c r="K179" s="6" t="n">
        <f aca="false">'Raw Data'!L179</f>
        <v>2</v>
      </c>
      <c r="L179" s="6" t="n">
        <f aca="false">F179*E179</f>
        <v>0</v>
      </c>
      <c r="N179" s="0" t="n">
        <v>1</v>
      </c>
      <c r="O179" s="6" t="n">
        <f aca="false">D179</f>
        <v>4.056666667</v>
      </c>
      <c r="P179" s="6" t="n">
        <f aca="false">E179</f>
        <v>0</v>
      </c>
      <c r="Q179" s="6" t="n">
        <f aca="false">F179</f>
        <v>0</v>
      </c>
      <c r="R179" s="6" t="n">
        <f aca="false">G179</f>
        <v>0</v>
      </c>
      <c r="S179" s="6" t="n">
        <f aca="false">H179</f>
        <v>0</v>
      </c>
      <c r="T179" s="6" t="n">
        <f aca="false">I179</f>
        <v>0</v>
      </c>
      <c r="U179" s="6" t="n">
        <f aca="false">L179</f>
        <v>0</v>
      </c>
      <c r="W179" s="6" t="n">
        <f aca="false">D179</f>
        <v>4.056666667</v>
      </c>
      <c r="X179" s="6" t="n">
        <f aca="false">E179</f>
        <v>0</v>
      </c>
      <c r="Y179" s="6" t="n">
        <f aca="false">F179</f>
        <v>0</v>
      </c>
      <c r="Z179" s="6" t="n">
        <f aca="false">L179</f>
        <v>0</v>
      </c>
      <c r="AA179" s="6" t="n">
        <f aca="false">G179</f>
        <v>0</v>
      </c>
      <c r="AC179" s="6" t="n">
        <f aca="false">D179</f>
        <v>4.056666667</v>
      </c>
      <c r="AD179" s="6" t="n">
        <f aca="false">E179</f>
        <v>0</v>
      </c>
      <c r="AE179" s="6" t="n">
        <f aca="false">G179</f>
        <v>0</v>
      </c>
      <c r="AF179" s="6" t="n">
        <f aca="false">H179</f>
        <v>0</v>
      </c>
      <c r="AG179" s="6" t="n">
        <f aca="false">I179</f>
        <v>0</v>
      </c>
      <c r="AH179" s="6" t="n">
        <f aca="false">L179</f>
        <v>0</v>
      </c>
    </row>
    <row r="180" customFormat="false" ht="15" hidden="false" customHeight="false" outlineLevel="0" collapsed="false">
      <c r="A180" s="0" t="str">
        <f aca="false">'Raw Data'!C180</f>
        <v>Louisville</v>
      </c>
      <c r="B180" s="5" t="n">
        <f aca="false">'Raw Data'!A180</f>
        <v>40316</v>
      </c>
      <c r="C180" s="6" t="n">
        <f aca="false">'Raw Data'!D180</f>
        <v>138.306791004609</v>
      </c>
      <c r="D180" s="6" t="n">
        <f aca="false">'Raw Data'!E180</f>
        <v>3.598333333</v>
      </c>
      <c r="E180" s="6" t="n">
        <f aca="false">'Raw Data'!F180</f>
        <v>0</v>
      </c>
      <c r="F180" s="6" t="n">
        <f aca="false">'Raw Data'!G180</f>
        <v>0</v>
      </c>
      <c r="G180" s="6" t="n">
        <f aca="false">'Raw Data'!H180</f>
        <v>0</v>
      </c>
      <c r="H180" s="6" t="n">
        <f aca="false">'Raw Data'!I180</f>
        <v>0</v>
      </c>
      <c r="I180" s="6" t="n">
        <f aca="false">'Raw Data'!J180</f>
        <v>0</v>
      </c>
      <c r="J180" s="6" t="n">
        <f aca="false">'Raw Data'!K180</f>
        <v>4</v>
      </c>
      <c r="K180" s="6" t="n">
        <f aca="false">'Raw Data'!L180</f>
        <v>2</v>
      </c>
      <c r="L180" s="6" t="n">
        <f aca="false">F180*E180</f>
        <v>0</v>
      </c>
      <c r="N180" s="0" t="n">
        <v>1</v>
      </c>
      <c r="O180" s="6" t="n">
        <f aca="false">D180</f>
        <v>3.598333333</v>
      </c>
      <c r="P180" s="6" t="n">
        <f aca="false">E180</f>
        <v>0</v>
      </c>
      <c r="Q180" s="6" t="n">
        <f aca="false">F180</f>
        <v>0</v>
      </c>
      <c r="R180" s="6" t="n">
        <f aca="false">G180</f>
        <v>0</v>
      </c>
      <c r="S180" s="6" t="n">
        <f aca="false">H180</f>
        <v>0</v>
      </c>
      <c r="T180" s="6" t="n">
        <f aca="false">I180</f>
        <v>0</v>
      </c>
      <c r="U180" s="6" t="n">
        <f aca="false">L180</f>
        <v>0</v>
      </c>
      <c r="W180" s="6" t="n">
        <f aca="false">D180</f>
        <v>3.598333333</v>
      </c>
      <c r="X180" s="6" t="n">
        <f aca="false">E180</f>
        <v>0</v>
      </c>
      <c r="Y180" s="6" t="n">
        <f aca="false">F180</f>
        <v>0</v>
      </c>
      <c r="Z180" s="6" t="n">
        <f aca="false">L180</f>
        <v>0</v>
      </c>
      <c r="AA180" s="6" t="n">
        <f aca="false">G180</f>
        <v>0</v>
      </c>
      <c r="AC180" s="6" t="n">
        <f aca="false">D180</f>
        <v>3.598333333</v>
      </c>
      <c r="AD180" s="6" t="n">
        <f aca="false">E180</f>
        <v>0</v>
      </c>
      <c r="AE180" s="6" t="n">
        <f aca="false">G180</f>
        <v>0</v>
      </c>
      <c r="AF180" s="6" t="n">
        <f aca="false">H180</f>
        <v>0</v>
      </c>
      <c r="AG180" s="6" t="n">
        <f aca="false">I180</f>
        <v>0</v>
      </c>
      <c r="AH180" s="6" t="n">
        <f aca="false">L180</f>
        <v>0</v>
      </c>
    </row>
    <row r="181" customFormat="false" ht="15" hidden="false" customHeight="false" outlineLevel="0" collapsed="false">
      <c r="A181" s="0" t="str">
        <f aca="false">'Raw Data'!C181</f>
        <v>Louisville</v>
      </c>
      <c r="B181" s="5" t="n">
        <f aca="false">'Raw Data'!A181</f>
        <v>40323</v>
      </c>
      <c r="C181" s="6" t="n">
        <f aca="false">'Raw Data'!D181</f>
        <v>201.37415502875</v>
      </c>
      <c r="D181" s="6" t="n">
        <f aca="false">'Raw Data'!E181</f>
        <v>3.598333333</v>
      </c>
      <c r="E181" s="6" t="n">
        <f aca="false">'Raw Data'!F181</f>
        <v>0</v>
      </c>
      <c r="F181" s="6" t="n">
        <f aca="false">'Raw Data'!G181</f>
        <v>0</v>
      </c>
      <c r="G181" s="6" t="n">
        <f aca="false">'Raw Data'!H181</f>
        <v>0</v>
      </c>
      <c r="H181" s="6" t="n">
        <f aca="false">'Raw Data'!I181</f>
        <v>0</v>
      </c>
      <c r="I181" s="6" t="n">
        <f aca="false">'Raw Data'!J181</f>
        <v>0</v>
      </c>
      <c r="J181" s="6" t="n">
        <f aca="false">'Raw Data'!K181</f>
        <v>4</v>
      </c>
      <c r="K181" s="6" t="n">
        <f aca="false">'Raw Data'!L181</f>
        <v>2</v>
      </c>
      <c r="L181" s="6" t="n">
        <f aca="false">F181*E181</f>
        <v>0</v>
      </c>
      <c r="N181" s="0" t="n">
        <v>1</v>
      </c>
      <c r="O181" s="6" t="n">
        <f aca="false">D181</f>
        <v>3.598333333</v>
      </c>
      <c r="P181" s="6" t="n">
        <f aca="false">E181</f>
        <v>0</v>
      </c>
      <c r="Q181" s="6" t="n">
        <f aca="false">F181</f>
        <v>0</v>
      </c>
      <c r="R181" s="6" t="n">
        <f aca="false">G181</f>
        <v>0</v>
      </c>
      <c r="S181" s="6" t="n">
        <f aca="false">H181</f>
        <v>0</v>
      </c>
      <c r="T181" s="6" t="n">
        <f aca="false">I181</f>
        <v>0</v>
      </c>
      <c r="U181" s="6" t="n">
        <f aca="false">L181</f>
        <v>0</v>
      </c>
      <c r="W181" s="6" t="n">
        <f aca="false">D181</f>
        <v>3.598333333</v>
      </c>
      <c r="X181" s="6" t="n">
        <f aca="false">E181</f>
        <v>0</v>
      </c>
      <c r="Y181" s="6" t="n">
        <f aca="false">F181</f>
        <v>0</v>
      </c>
      <c r="Z181" s="6" t="n">
        <f aca="false">L181</f>
        <v>0</v>
      </c>
      <c r="AA181" s="6" t="n">
        <f aca="false">G181</f>
        <v>0</v>
      </c>
      <c r="AC181" s="6" t="n">
        <f aca="false">D181</f>
        <v>3.598333333</v>
      </c>
      <c r="AD181" s="6" t="n">
        <f aca="false">E181</f>
        <v>0</v>
      </c>
      <c r="AE181" s="6" t="n">
        <f aca="false">G181</f>
        <v>0</v>
      </c>
      <c r="AF181" s="6" t="n">
        <f aca="false">H181</f>
        <v>0</v>
      </c>
      <c r="AG181" s="6" t="n">
        <f aca="false">I181</f>
        <v>0</v>
      </c>
      <c r="AH181" s="6" t="n">
        <f aca="false">L181</f>
        <v>0</v>
      </c>
    </row>
    <row r="182" customFormat="false" ht="15" hidden="false" customHeight="false" outlineLevel="0" collapsed="false">
      <c r="A182" s="0" t="str">
        <f aca="false">'Raw Data'!C182</f>
        <v>Louisville</v>
      </c>
      <c r="B182" s="5" t="n">
        <f aca="false">'Raw Data'!A182</f>
        <v>40330</v>
      </c>
      <c r="C182" s="6" t="n">
        <f aca="false">'Raw Data'!D182</f>
        <v>256.985911420157</v>
      </c>
      <c r="D182" s="6" t="n">
        <f aca="false">'Raw Data'!E182</f>
        <v>3.598333333</v>
      </c>
      <c r="E182" s="6" t="n">
        <f aca="false">'Raw Data'!F182</f>
        <v>0</v>
      </c>
      <c r="F182" s="6" t="n">
        <f aca="false">'Raw Data'!G182</f>
        <v>0</v>
      </c>
      <c r="G182" s="6" t="n">
        <f aca="false">'Raw Data'!H182</f>
        <v>0</v>
      </c>
      <c r="H182" s="6" t="n">
        <f aca="false">'Raw Data'!I182</f>
        <v>0</v>
      </c>
      <c r="I182" s="6" t="n">
        <f aca="false">'Raw Data'!J182</f>
        <v>0</v>
      </c>
      <c r="J182" s="6" t="n">
        <f aca="false">'Raw Data'!K182</f>
        <v>4</v>
      </c>
      <c r="K182" s="6" t="n">
        <f aca="false">'Raw Data'!L182</f>
        <v>2</v>
      </c>
      <c r="L182" s="6" t="n">
        <f aca="false">F182*E182</f>
        <v>0</v>
      </c>
      <c r="N182" s="0" t="n">
        <v>1</v>
      </c>
      <c r="O182" s="6" t="n">
        <f aca="false">D182</f>
        <v>3.598333333</v>
      </c>
      <c r="P182" s="6" t="n">
        <f aca="false">E182</f>
        <v>0</v>
      </c>
      <c r="Q182" s="6" t="n">
        <f aca="false">F182</f>
        <v>0</v>
      </c>
      <c r="R182" s="6" t="n">
        <f aca="false">G182</f>
        <v>0</v>
      </c>
      <c r="S182" s="6" t="n">
        <f aca="false">H182</f>
        <v>0</v>
      </c>
      <c r="T182" s="6" t="n">
        <f aca="false">I182</f>
        <v>0</v>
      </c>
      <c r="U182" s="6" t="n">
        <f aca="false">L182</f>
        <v>0</v>
      </c>
      <c r="W182" s="6" t="n">
        <f aca="false">D182</f>
        <v>3.598333333</v>
      </c>
      <c r="X182" s="6" t="n">
        <f aca="false">E182</f>
        <v>0</v>
      </c>
      <c r="Y182" s="6" t="n">
        <f aca="false">F182</f>
        <v>0</v>
      </c>
      <c r="Z182" s="6" t="n">
        <f aca="false">L182</f>
        <v>0</v>
      </c>
      <c r="AA182" s="6" t="n">
        <f aca="false">G182</f>
        <v>0</v>
      </c>
      <c r="AC182" s="6" t="n">
        <f aca="false">D182</f>
        <v>3.598333333</v>
      </c>
      <c r="AD182" s="6" t="n">
        <f aca="false">E182</f>
        <v>0</v>
      </c>
      <c r="AE182" s="6" t="n">
        <f aca="false">G182</f>
        <v>0</v>
      </c>
      <c r="AF182" s="6" t="n">
        <f aca="false">H182</f>
        <v>0</v>
      </c>
      <c r="AG182" s="6" t="n">
        <f aca="false">I182</f>
        <v>0</v>
      </c>
      <c r="AH182" s="6" t="n">
        <f aca="false">L182</f>
        <v>0</v>
      </c>
    </row>
    <row r="183" customFormat="false" ht="15" hidden="false" customHeight="false" outlineLevel="0" collapsed="false">
      <c r="A183" s="0" t="str">
        <f aca="false">'Raw Data'!C183</f>
        <v>Louisville</v>
      </c>
      <c r="B183" s="5" t="n">
        <f aca="false">'Raw Data'!A183</f>
        <v>40337</v>
      </c>
      <c r="C183" s="6" t="n">
        <f aca="false">'Raw Data'!D183</f>
        <v>188.104373882119</v>
      </c>
      <c r="D183" s="6" t="n">
        <f aca="false">'Raw Data'!E183</f>
        <v>4.056666667</v>
      </c>
      <c r="E183" s="6" t="n">
        <f aca="false">'Raw Data'!F183</f>
        <v>0</v>
      </c>
      <c r="F183" s="6" t="n">
        <f aca="false">'Raw Data'!G183</f>
        <v>0</v>
      </c>
      <c r="G183" s="6" t="n">
        <f aca="false">'Raw Data'!H183</f>
        <v>0</v>
      </c>
      <c r="H183" s="6" t="n">
        <f aca="false">'Raw Data'!I183</f>
        <v>0</v>
      </c>
      <c r="I183" s="6" t="n">
        <f aca="false">'Raw Data'!J183</f>
        <v>0</v>
      </c>
      <c r="J183" s="6" t="n">
        <f aca="false">'Raw Data'!K183</f>
        <v>4</v>
      </c>
      <c r="K183" s="6" t="n">
        <f aca="false">'Raw Data'!L183</f>
        <v>2</v>
      </c>
      <c r="L183" s="6" t="n">
        <f aca="false">F183*E183</f>
        <v>0</v>
      </c>
      <c r="N183" s="0" t="n">
        <v>1</v>
      </c>
      <c r="O183" s="6" t="n">
        <f aca="false">D183</f>
        <v>4.056666667</v>
      </c>
      <c r="P183" s="6" t="n">
        <f aca="false">E183</f>
        <v>0</v>
      </c>
      <c r="Q183" s="6" t="n">
        <f aca="false">F183</f>
        <v>0</v>
      </c>
      <c r="R183" s="6" t="n">
        <f aca="false">G183</f>
        <v>0</v>
      </c>
      <c r="S183" s="6" t="n">
        <f aca="false">H183</f>
        <v>0</v>
      </c>
      <c r="T183" s="6" t="n">
        <f aca="false">I183</f>
        <v>0</v>
      </c>
      <c r="U183" s="6" t="n">
        <f aca="false">L183</f>
        <v>0</v>
      </c>
      <c r="W183" s="6" t="n">
        <f aca="false">D183</f>
        <v>4.056666667</v>
      </c>
      <c r="X183" s="6" t="n">
        <f aca="false">E183</f>
        <v>0</v>
      </c>
      <c r="Y183" s="6" t="n">
        <f aca="false">F183</f>
        <v>0</v>
      </c>
      <c r="Z183" s="6" t="n">
        <f aca="false">L183</f>
        <v>0</v>
      </c>
      <c r="AA183" s="6" t="n">
        <f aca="false">G183</f>
        <v>0</v>
      </c>
      <c r="AC183" s="6" t="n">
        <f aca="false">D183</f>
        <v>4.056666667</v>
      </c>
      <c r="AD183" s="6" t="n">
        <f aca="false">E183</f>
        <v>0</v>
      </c>
      <c r="AE183" s="6" t="n">
        <f aca="false">G183</f>
        <v>0</v>
      </c>
      <c r="AF183" s="6" t="n">
        <f aca="false">H183</f>
        <v>0</v>
      </c>
      <c r="AG183" s="6" t="n">
        <f aca="false">I183</f>
        <v>0</v>
      </c>
      <c r="AH183" s="6" t="n">
        <f aca="false">L183</f>
        <v>0</v>
      </c>
    </row>
    <row r="184" customFormat="false" ht="15" hidden="false" customHeight="false" outlineLevel="0" collapsed="false">
      <c r="A184" s="0" t="str">
        <f aca="false">'Raw Data'!C184</f>
        <v>Louisville</v>
      </c>
      <c r="B184" s="5" t="n">
        <f aca="false">'Raw Data'!A184</f>
        <v>40344</v>
      </c>
      <c r="C184" s="6" t="n">
        <f aca="false">'Raw Data'!D184</f>
        <v>124.389850836197</v>
      </c>
      <c r="D184" s="6" t="n">
        <f aca="false">'Raw Data'!E184</f>
        <v>4.056666667</v>
      </c>
      <c r="E184" s="6" t="n">
        <f aca="false">'Raw Data'!F184</f>
        <v>0</v>
      </c>
      <c r="F184" s="6" t="n">
        <f aca="false">'Raw Data'!G184</f>
        <v>0</v>
      </c>
      <c r="G184" s="6" t="n">
        <f aca="false">'Raw Data'!H184</f>
        <v>0</v>
      </c>
      <c r="H184" s="6" t="n">
        <f aca="false">'Raw Data'!I184</f>
        <v>0</v>
      </c>
      <c r="I184" s="6" t="n">
        <f aca="false">'Raw Data'!J184</f>
        <v>0</v>
      </c>
      <c r="J184" s="6" t="n">
        <f aca="false">'Raw Data'!K184</f>
        <v>4</v>
      </c>
      <c r="K184" s="6" t="n">
        <f aca="false">'Raw Data'!L184</f>
        <v>2</v>
      </c>
      <c r="L184" s="6" t="n">
        <f aca="false">F184*E184</f>
        <v>0</v>
      </c>
      <c r="N184" s="0" t="n">
        <v>1</v>
      </c>
      <c r="O184" s="6" t="n">
        <f aca="false">D184</f>
        <v>4.056666667</v>
      </c>
      <c r="P184" s="6" t="n">
        <f aca="false">E184</f>
        <v>0</v>
      </c>
      <c r="Q184" s="6" t="n">
        <f aca="false">F184</f>
        <v>0</v>
      </c>
      <c r="R184" s="6" t="n">
        <f aca="false">G184</f>
        <v>0</v>
      </c>
      <c r="S184" s="6" t="n">
        <f aca="false">H184</f>
        <v>0</v>
      </c>
      <c r="T184" s="6" t="n">
        <f aca="false">I184</f>
        <v>0</v>
      </c>
      <c r="U184" s="6" t="n">
        <f aca="false">L184</f>
        <v>0</v>
      </c>
      <c r="W184" s="6" t="n">
        <f aca="false">D184</f>
        <v>4.056666667</v>
      </c>
      <c r="X184" s="6" t="n">
        <f aca="false">E184</f>
        <v>0</v>
      </c>
      <c r="Y184" s="6" t="n">
        <f aca="false">F184</f>
        <v>0</v>
      </c>
      <c r="Z184" s="6" t="n">
        <f aca="false">L184</f>
        <v>0</v>
      </c>
      <c r="AA184" s="6" t="n">
        <f aca="false">G184</f>
        <v>0</v>
      </c>
      <c r="AC184" s="6" t="n">
        <f aca="false">D184</f>
        <v>4.056666667</v>
      </c>
      <c r="AD184" s="6" t="n">
        <f aca="false">E184</f>
        <v>0</v>
      </c>
      <c r="AE184" s="6" t="n">
        <f aca="false">G184</f>
        <v>0</v>
      </c>
      <c r="AF184" s="6" t="n">
        <f aca="false">H184</f>
        <v>0</v>
      </c>
      <c r="AG184" s="6" t="n">
        <f aca="false">I184</f>
        <v>0</v>
      </c>
      <c r="AH184" s="6" t="n">
        <f aca="false">L184</f>
        <v>0</v>
      </c>
    </row>
    <row r="185" customFormat="false" ht="15" hidden="false" customHeight="false" outlineLevel="0" collapsed="false">
      <c r="A185" s="0" t="str">
        <f aca="false">'Raw Data'!C185</f>
        <v>Louisville</v>
      </c>
      <c r="B185" s="5" t="n">
        <f aca="false">'Raw Data'!A185</f>
        <v>40351</v>
      </c>
      <c r="C185" s="6" t="n">
        <f aca="false">'Raw Data'!D185</f>
        <v>156.17406821336</v>
      </c>
      <c r="D185" s="6" t="n">
        <f aca="false">'Raw Data'!E185</f>
        <v>3.735454545</v>
      </c>
      <c r="E185" s="6" t="n">
        <f aca="false">'Raw Data'!F185</f>
        <v>0</v>
      </c>
      <c r="F185" s="6" t="n">
        <f aca="false">'Raw Data'!G185</f>
        <v>0</v>
      </c>
      <c r="G185" s="6" t="n">
        <f aca="false">'Raw Data'!H185</f>
        <v>0</v>
      </c>
      <c r="H185" s="6" t="n">
        <f aca="false">'Raw Data'!I185</f>
        <v>0</v>
      </c>
      <c r="I185" s="6" t="n">
        <f aca="false">'Raw Data'!J185</f>
        <v>0</v>
      </c>
      <c r="J185" s="6" t="n">
        <f aca="false">'Raw Data'!K185</f>
        <v>4</v>
      </c>
      <c r="K185" s="6" t="n">
        <f aca="false">'Raw Data'!L185</f>
        <v>2</v>
      </c>
      <c r="L185" s="6" t="n">
        <f aca="false">F185*E185</f>
        <v>0</v>
      </c>
      <c r="N185" s="0" t="n">
        <v>1</v>
      </c>
      <c r="O185" s="6" t="n">
        <f aca="false">D185</f>
        <v>3.735454545</v>
      </c>
      <c r="P185" s="6" t="n">
        <f aca="false">E185</f>
        <v>0</v>
      </c>
      <c r="Q185" s="6" t="n">
        <f aca="false">F185</f>
        <v>0</v>
      </c>
      <c r="R185" s="6" t="n">
        <f aca="false">G185</f>
        <v>0</v>
      </c>
      <c r="S185" s="6" t="n">
        <f aca="false">H185</f>
        <v>0</v>
      </c>
      <c r="T185" s="6" t="n">
        <f aca="false">I185</f>
        <v>0</v>
      </c>
      <c r="U185" s="6" t="n">
        <f aca="false">L185</f>
        <v>0</v>
      </c>
      <c r="W185" s="6" t="n">
        <f aca="false">D185</f>
        <v>3.735454545</v>
      </c>
      <c r="X185" s="6" t="n">
        <f aca="false">E185</f>
        <v>0</v>
      </c>
      <c r="Y185" s="6" t="n">
        <f aca="false">F185</f>
        <v>0</v>
      </c>
      <c r="Z185" s="6" t="n">
        <f aca="false">L185</f>
        <v>0</v>
      </c>
      <c r="AA185" s="6" t="n">
        <f aca="false">G185</f>
        <v>0</v>
      </c>
      <c r="AC185" s="6" t="n">
        <f aca="false">D185</f>
        <v>3.735454545</v>
      </c>
      <c r="AD185" s="6" t="n">
        <f aca="false">E185</f>
        <v>0</v>
      </c>
      <c r="AE185" s="6" t="n">
        <f aca="false">G185</f>
        <v>0</v>
      </c>
      <c r="AF185" s="6" t="n">
        <f aca="false">H185</f>
        <v>0</v>
      </c>
      <c r="AG185" s="6" t="n">
        <f aca="false">I185</f>
        <v>0</v>
      </c>
      <c r="AH185" s="6" t="n">
        <f aca="false">L185</f>
        <v>0</v>
      </c>
    </row>
    <row r="186" customFormat="false" ht="15" hidden="false" customHeight="false" outlineLevel="0" collapsed="false">
      <c r="A186" s="0" t="str">
        <f aca="false">'Raw Data'!C186</f>
        <v>Louisville</v>
      </c>
      <c r="B186" s="5" t="n">
        <f aca="false">'Raw Data'!A186</f>
        <v>40358</v>
      </c>
      <c r="C186" s="6" t="n">
        <f aca="false">'Raw Data'!D186</f>
        <v>288.232609039248</v>
      </c>
      <c r="D186" s="6" t="n">
        <f aca="false">'Raw Data'!E186</f>
        <v>4.056666667</v>
      </c>
      <c r="E186" s="6" t="n">
        <f aca="false">'Raw Data'!F186</f>
        <v>0</v>
      </c>
      <c r="F186" s="6" t="n">
        <f aca="false">'Raw Data'!G186</f>
        <v>0</v>
      </c>
      <c r="G186" s="6" t="n">
        <f aca="false">'Raw Data'!H186</f>
        <v>0</v>
      </c>
      <c r="H186" s="6" t="n">
        <f aca="false">'Raw Data'!I186</f>
        <v>0</v>
      </c>
      <c r="I186" s="6" t="n">
        <f aca="false">'Raw Data'!J186</f>
        <v>0</v>
      </c>
      <c r="J186" s="6" t="n">
        <f aca="false">'Raw Data'!K186</f>
        <v>4</v>
      </c>
      <c r="K186" s="6" t="n">
        <f aca="false">'Raw Data'!L186</f>
        <v>2</v>
      </c>
      <c r="L186" s="6" t="n">
        <f aca="false">F186*E186</f>
        <v>0</v>
      </c>
      <c r="N186" s="0" t="n">
        <v>1</v>
      </c>
      <c r="O186" s="6" t="n">
        <f aca="false">D186</f>
        <v>4.056666667</v>
      </c>
      <c r="P186" s="6" t="n">
        <f aca="false">E186</f>
        <v>0</v>
      </c>
      <c r="Q186" s="6" t="n">
        <f aca="false">F186</f>
        <v>0</v>
      </c>
      <c r="R186" s="6" t="n">
        <f aca="false">G186</f>
        <v>0</v>
      </c>
      <c r="S186" s="6" t="n">
        <f aca="false">H186</f>
        <v>0</v>
      </c>
      <c r="T186" s="6" t="n">
        <f aca="false">I186</f>
        <v>0</v>
      </c>
      <c r="U186" s="6" t="n">
        <f aca="false">L186</f>
        <v>0</v>
      </c>
      <c r="W186" s="6" t="n">
        <f aca="false">D186</f>
        <v>4.056666667</v>
      </c>
      <c r="X186" s="6" t="n">
        <f aca="false">E186</f>
        <v>0</v>
      </c>
      <c r="Y186" s="6" t="n">
        <f aca="false">F186</f>
        <v>0</v>
      </c>
      <c r="Z186" s="6" t="n">
        <f aca="false">L186</f>
        <v>0</v>
      </c>
      <c r="AA186" s="6" t="n">
        <f aca="false">G186</f>
        <v>0</v>
      </c>
      <c r="AC186" s="6" t="n">
        <f aca="false">D186</f>
        <v>4.056666667</v>
      </c>
      <c r="AD186" s="6" t="n">
        <f aca="false">E186</f>
        <v>0</v>
      </c>
      <c r="AE186" s="6" t="n">
        <f aca="false">G186</f>
        <v>0</v>
      </c>
      <c r="AF186" s="6" t="n">
        <f aca="false">H186</f>
        <v>0</v>
      </c>
      <c r="AG186" s="6" t="n">
        <f aca="false">I186</f>
        <v>0</v>
      </c>
      <c r="AH186" s="6" t="n">
        <f aca="false">L186</f>
        <v>0</v>
      </c>
    </row>
    <row r="187" customFormat="false" ht="15" hidden="false" customHeight="false" outlineLevel="0" collapsed="false">
      <c r="A187" s="0" t="str">
        <f aca="false">'Raw Data'!C187</f>
        <v>Louisville</v>
      </c>
      <c r="B187" s="5" t="n">
        <f aca="false">'Raw Data'!A187</f>
        <v>40365</v>
      </c>
      <c r="C187" s="6" t="n">
        <f aca="false">'Raw Data'!D187</f>
        <v>148.265999740598</v>
      </c>
      <c r="D187" s="6" t="n">
        <f aca="false">'Raw Data'!E187</f>
        <v>3.711666667</v>
      </c>
      <c r="E187" s="6" t="n">
        <f aca="false">'Raw Data'!F187</f>
        <v>0</v>
      </c>
      <c r="F187" s="6" t="n">
        <f aca="false">'Raw Data'!G187</f>
        <v>0</v>
      </c>
      <c r="G187" s="6" t="n">
        <f aca="false">'Raw Data'!H187</f>
        <v>0</v>
      </c>
      <c r="H187" s="6" t="n">
        <f aca="false">'Raw Data'!I187</f>
        <v>0</v>
      </c>
      <c r="I187" s="6" t="n">
        <f aca="false">'Raw Data'!J187</f>
        <v>0</v>
      </c>
      <c r="J187" s="6" t="n">
        <f aca="false">'Raw Data'!K187</f>
        <v>4</v>
      </c>
      <c r="K187" s="6" t="n">
        <f aca="false">'Raw Data'!L187</f>
        <v>2</v>
      </c>
      <c r="L187" s="6" t="n">
        <f aca="false">F187*E187</f>
        <v>0</v>
      </c>
      <c r="N187" s="0" t="n">
        <v>1</v>
      </c>
      <c r="O187" s="6" t="n">
        <f aca="false">D187</f>
        <v>3.711666667</v>
      </c>
      <c r="P187" s="6" t="n">
        <f aca="false">E187</f>
        <v>0</v>
      </c>
      <c r="Q187" s="6" t="n">
        <f aca="false">F187</f>
        <v>0</v>
      </c>
      <c r="R187" s="6" t="n">
        <f aca="false">G187</f>
        <v>0</v>
      </c>
      <c r="S187" s="6" t="n">
        <f aca="false">H187</f>
        <v>0</v>
      </c>
      <c r="T187" s="6" t="n">
        <f aca="false">I187</f>
        <v>0</v>
      </c>
      <c r="U187" s="6" t="n">
        <f aca="false">L187</f>
        <v>0</v>
      </c>
      <c r="W187" s="6" t="n">
        <f aca="false">D187</f>
        <v>3.711666667</v>
      </c>
      <c r="X187" s="6" t="n">
        <f aca="false">E187</f>
        <v>0</v>
      </c>
      <c r="Y187" s="6" t="n">
        <f aca="false">F187</f>
        <v>0</v>
      </c>
      <c r="Z187" s="6" t="n">
        <f aca="false">L187</f>
        <v>0</v>
      </c>
      <c r="AA187" s="6" t="n">
        <f aca="false">G187</f>
        <v>0</v>
      </c>
      <c r="AC187" s="6" t="n">
        <f aca="false">D187</f>
        <v>3.711666667</v>
      </c>
      <c r="AD187" s="6" t="n">
        <f aca="false">E187</f>
        <v>0</v>
      </c>
      <c r="AE187" s="6" t="n">
        <f aca="false">G187</f>
        <v>0</v>
      </c>
      <c r="AF187" s="6" t="n">
        <f aca="false">H187</f>
        <v>0</v>
      </c>
      <c r="AG187" s="6" t="n">
        <f aca="false">I187</f>
        <v>0</v>
      </c>
      <c r="AH187" s="6" t="n">
        <f aca="false">L187</f>
        <v>0</v>
      </c>
    </row>
    <row r="188" customFormat="false" ht="15" hidden="false" customHeight="false" outlineLevel="0" collapsed="false">
      <c r="A188" s="0" t="str">
        <f aca="false">'Raw Data'!C188</f>
        <v>Louisville</v>
      </c>
      <c r="B188" s="5" t="n">
        <f aca="false">'Raw Data'!A188</f>
        <v>40372</v>
      </c>
      <c r="C188" s="6" t="n">
        <f aca="false">'Raw Data'!D188</f>
        <v>142.457495066424</v>
      </c>
      <c r="D188" s="6" t="n">
        <f aca="false">'Raw Data'!E188</f>
        <v>3.711666667</v>
      </c>
      <c r="E188" s="6" t="n">
        <f aca="false">'Raw Data'!F188</f>
        <v>0</v>
      </c>
      <c r="F188" s="6" t="n">
        <f aca="false">'Raw Data'!G188</f>
        <v>0</v>
      </c>
      <c r="G188" s="6" t="n">
        <f aca="false">'Raw Data'!H188</f>
        <v>0</v>
      </c>
      <c r="H188" s="6" t="n">
        <f aca="false">'Raw Data'!I188</f>
        <v>0</v>
      </c>
      <c r="I188" s="6" t="n">
        <f aca="false">'Raw Data'!J188</f>
        <v>0</v>
      </c>
      <c r="J188" s="6" t="n">
        <f aca="false">'Raw Data'!K188</f>
        <v>4</v>
      </c>
      <c r="K188" s="6" t="n">
        <f aca="false">'Raw Data'!L188</f>
        <v>2</v>
      </c>
      <c r="L188" s="6" t="n">
        <f aca="false">F188*E188</f>
        <v>0</v>
      </c>
      <c r="N188" s="0" t="n">
        <v>1</v>
      </c>
      <c r="O188" s="6" t="n">
        <f aca="false">D188</f>
        <v>3.711666667</v>
      </c>
      <c r="P188" s="6" t="n">
        <f aca="false">E188</f>
        <v>0</v>
      </c>
      <c r="Q188" s="6" t="n">
        <f aca="false">F188</f>
        <v>0</v>
      </c>
      <c r="R188" s="6" t="n">
        <f aca="false">G188</f>
        <v>0</v>
      </c>
      <c r="S188" s="6" t="n">
        <f aca="false">H188</f>
        <v>0</v>
      </c>
      <c r="T188" s="6" t="n">
        <f aca="false">I188</f>
        <v>0</v>
      </c>
      <c r="U188" s="6" t="n">
        <f aca="false">L188</f>
        <v>0</v>
      </c>
      <c r="W188" s="6" t="n">
        <f aca="false">D188</f>
        <v>3.711666667</v>
      </c>
      <c r="X188" s="6" t="n">
        <f aca="false">E188</f>
        <v>0</v>
      </c>
      <c r="Y188" s="6" t="n">
        <f aca="false">F188</f>
        <v>0</v>
      </c>
      <c r="Z188" s="6" t="n">
        <f aca="false">L188</f>
        <v>0</v>
      </c>
      <c r="AA188" s="6" t="n">
        <f aca="false">G188</f>
        <v>0</v>
      </c>
      <c r="AC188" s="6" t="n">
        <f aca="false">D188</f>
        <v>3.711666667</v>
      </c>
      <c r="AD188" s="6" t="n">
        <f aca="false">E188</f>
        <v>0</v>
      </c>
      <c r="AE188" s="6" t="n">
        <f aca="false">G188</f>
        <v>0</v>
      </c>
      <c r="AF188" s="6" t="n">
        <f aca="false">H188</f>
        <v>0</v>
      </c>
      <c r="AG188" s="6" t="n">
        <f aca="false">I188</f>
        <v>0</v>
      </c>
      <c r="AH188" s="6" t="n">
        <f aca="false">L188</f>
        <v>0</v>
      </c>
    </row>
    <row r="189" customFormat="false" ht="15" hidden="false" customHeight="false" outlineLevel="0" collapsed="false">
      <c r="A189" s="0" t="str">
        <f aca="false">'Raw Data'!C189</f>
        <v>Marlton</v>
      </c>
      <c r="B189" s="5" t="n">
        <f aca="false">'Raw Data'!A189</f>
        <v>40302</v>
      </c>
      <c r="C189" s="6" t="n">
        <f aca="false">'Raw Data'!D189</f>
        <v>257.280289344291</v>
      </c>
      <c r="D189" s="6" t="n">
        <f aca="false">'Raw Data'!E189</f>
        <v>3.761428571</v>
      </c>
      <c r="E189" s="6" t="n">
        <f aca="false">'Raw Data'!F189</f>
        <v>0</v>
      </c>
      <c r="F189" s="6" t="n">
        <f aca="false">'Raw Data'!G189</f>
        <v>0</v>
      </c>
      <c r="G189" s="6" t="n">
        <f aca="false">'Raw Data'!H189</f>
        <v>0</v>
      </c>
      <c r="H189" s="6" t="n">
        <f aca="false">'Raw Data'!I189</f>
        <v>0</v>
      </c>
      <c r="I189" s="6" t="n">
        <f aca="false">'Raw Data'!J189</f>
        <v>0</v>
      </c>
      <c r="J189" s="6" t="n">
        <f aca="false">'Raw Data'!K189</f>
        <v>3</v>
      </c>
      <c r="K189" s="6" t="n">
        <f aca="false">'Raw Data'!L189</f>
        <v>0</v>
      </c>
      <c r="L189" s="6" t="n">
        <f aca="false">F189*E189</f>
        <v>0</v>
      </c>
      <c r="N189" s="0" t="n">
        <v>1</v>
      </c>
      <c r="O189" s="6" t="n">
        <f aca="false">D189</f>
        <v>3.761428571</v>
      </c>
      <c r="P189" s="6" t="n">
        <f aca="false">E189</f>
        <v>0</v>
      </c>
      <c r="Q189" s="6" t="n">
        <f aca="false">F189</f>
        <v>0</v>
      </c>
      <c r="R189" s="6" t="n">
        <f aca="false">G189</f>
        <v>0</v>
      </c>
      <c r="S189" s="6" t="n">
        <f aca="false">H189</f>
        <v>0</v>
      </c>
      <c r="T189" s="6" t="n">
        <f aca="false">I189</f>
        <v>0</v>
      </c>
      <c r="U189" s="6" t="n">
        <f aca="false">L189</f>
        <v>0</v>
      </c>
      <c r="W189" s="6" t="n">
        <f aca="false">D189</f>
        <v>3.761428571</v>
      </c>
      <c r="X189" s="6" t="n">
        <f aca="false">E189</f>
        <v>0</v>
      </c>
      <c r="Y189" s="6" t="n">
        <f aca="false">F189</f>
        <v>0</v>
      </c>
      <c r="Z189" s="6" t="n">
        <f aca="false">L189</f>
        <v>0</v>
      </c>
      <c r="AA189" s="6" t="n">
        <f aca="false">G189</f>
        <v>0</v>
      </c>
      <c r="AC189" s="6" t="n">
        <f aca="false">D189</f>
        <v>3.761428571</v>
      </c>
      <c r="AD189" s="6" t="n">
        <f aca="false">E189</f>
        <v>0</v>
      </c>
      <c r="AE189" s="6" t="n">
        <f aca="false">G189</f>
        <v>0</v>
      </c>
      <c r="AF189" s="6" t="n">
        <f aca="false">H189</f>
        <v>0</v>
      </c>
      <c r="AG189" s="6" t="n">
        <f aca="false">I189</f>
        <v>0</v>
      </c>
      <c r="AH189" s="6" t="n">
        <f aca="false">L189</f>
        <v>0</v>
      </c>
    </row>
    <row r="190" customFormat="false" ht="15" hidden="false" customHeight="false" outlineLevel="0" collapsed="false">
      <c r="A190" s="0" t="str">
        <f aca="false">'Raw Data'!C190</f>
        <v>Marlton</v>
      </c>
      <c r="B190" s="5" t="n">
        <f aca="false">'Raw Data'!A190</f>
        <v>40309</v>
      </c>
      <c r="C190" s="6" t="n">
        <f aca="false">'Raw Data'!D190</f>
        <v>164.275946820964</v>
      </c>
      <c r="D190" s="6" t="n">
        <f aca="false">'Raw Data'!E190</f>
        <v>3.523333333</v>
      </c>
      <c r="E190" s="6" t="n">
        <f aca="false">'Raw Data'!F190</f>
        <v>0</v>
      </c>
      <c r="F190" s="6" t="n">
        <f aca="false">'Raw Data'!G190</f>
        <v>0</v>
      </c>
      <c r="G190" s="6" t="n">
        <f aca="false">'Raw Data'!H190</f>
        <v>0</v>
      </c>
      <c r="H190" s="6" t="n">
        <f aca="false">'Raw Data'!I190</f>
        <v>0</v>
      </c>
      <c r="I190" s="6" t="n">
        <f aca="false">'Raw Data'!J190</f>
        <v>0</v>
      </c>
      <c r="J190" s="6" t="n">
        <f aca="false">'Raw Data'!K190</f>
        <v>3</v>
      </c>
      <c r="K190" s="6" t="n">
        <f aca="false">'Raw Data'!L190</f>
        <v>0</v>
      </c>
      <c r="L190" s="6" t="n">
        <f aca="false">F190*E190</f>
        <v>0</v>
      </c>
      <c r="N190" s="0" t="n">
        <v>1</v>
      </c>
      <c r="O190" s="6" t="n">
        <f aca="false">D190</f>
        <v>3.523333333</v>
      </c>
      <c r="P190" s="6" t="n">
        <f aca="false">E190</f>
        <v>0</v>
      </c>
      <c r="Q190" s="6" t="n">
        <f aca="false">F190</f>
        <v>0</v>
      </c>
      <c r="R190" s="6" t="n">
        <f aca="false">G190</f>
        <v>0</v>
      </c>
      <c r="S190" s="6" t="n">
        <f aca="false">H190</f>
        <v>0</v>
      </c>
      <c r="T190" s="6" t="n">
        <f aca="false">I190</f>
        <v>0</v>
      </c>
      <c r="U190" s="6" t="n">
        <f aca="false">L190</f>
        <v>0</v>
      </c>
      <c r="W190" s="6" t="n">
        <f aca="false">D190</f>
        <v>3.523333333</v>
      </c>
      <c r="X190" s="6" t="n">
        <f aca="false">E190</f>
        <v>0</v>
      </c>
      <c r="Y190" s="6" t="n">
        <f aca="false">F190</f>
        <v>0</v>
      </c>
      <c r="Z190" s="6" t="n">
        <f aca="false">L190</f>
        <v>0</v>
      </c>
      <c r="AA190" s="6" t="n">
        <f aca="false">G190</f>
        <v>0</v>
      </c>
      <c r="AC190" s="6" t="n">
        <f aca="false">D190</f>
        <v>3.523333333</v>
      </c>
      <c r="AD190" s="6" t="n">
        <f aca="false">E190</f>
        <v>0</v>
      </c>
      <c r="AE190" s="6" t="n">
        <f aca="false">G190</f>
        <v>0</v>
      </c>
      <c r="AF190" s="6" t="n">
        <f aca="false">H190</f>
        <v>0</v>
      </c>
      <c r="AG190" s="6" t="n">
        <f aca="false">I190</f>
        <v>0</v>
      </c>
      <c r="AH190" s="6" t="n">
        <f aca="false">L190</f>
        <v>0</v>
      </c>
    </row>
    <row r="191" customFormat="false" ht="15" hidden="false" customHeight="false" outlineLevel="0" collapsed="false">
      <c r="A191" s="0" t="str">
        <f aca="false">'Raw Data'!C191</f>
        <v>Marlton</v>
      </c>
      <c r="B191" s="5" t="n">
        <f aca="false">'Raw Data'!A191</f>
        <v>40316</v>
      </c>
      <c r="C191" s="6" t="n">
        <f aca="false">'Raw Data'!D191</f>
        <v>80.5251182298654</v>
      </c>
      <c r="D191" s="6" t="n">
        <f aca="false">'Raw Data'!E191</f>
        <v>3.356666667</v>
      </c>
      <c r="E191" s="6" t="n">
        <f aca="false">'Raw Data'!F191</f>
        <v>0</v>
      </c>
      <c r="F191" s="6" t="n">
        <f aca="false">'Raw Data'!G191</f>
        <v>0</v>
      </c>
      <c r="G191" s="6" t="n">
        <f aca="false">'Raw Data'!H191</f>
        <v>0</v>
      </c>
      <c r="H191" s="6" t="n">
        <f aca="false">'Raw Data'!I191</f>
        <v>0</v>
      </c>
      <c r="I191" s="6" t="n">
        <f aca="false">'Raw Data'!J191</f>
        <v>0</v>
      </c>
      <c r="J191" s="6" t="n">
        <f aca="false">'Raw Data'!K191</f>
        <v>3</v>
      </c>
      <c r="K191" s="6" t="n">
        <f aca="false">'Raw Data'!L191</f>
        <v>0</v>
      </c>
      <c r="L191" s="6" t="n">
        <f aca="false">F191*E191</f>
        <v>0</v>
      </c>
      <c r="N191" s="0" t="n">
        <v>1</v>
      </c>
      <c r="O191" s="6" t="n">
        <f aca="false">D191</f>
        <v>3.356666667</v>
      </c>
      <c r="P191" s="6" t="n">
        <f aca="false">E191</f>
        <v>0</v>
      </c>
      <c r="Q191" s="6" t="n">
        <f aca="false">F191</f>
        <v>0</v>
      </c>
      <c r="R191" s="6" t="n">
        <f aca="false">G191</f>
        <v>0</v>
      </c>
      <c r="S191" s="6" t="n">
        <f aca="false">H191</f>
        <v>0</v>
      </c>
      <c r="T191" s="6" t="n">
        <f aca="false">I191</f>
        <v>0</v>
      </c>
      <c r="U191" s="6" t="n">
        <f aca="false">L191</f>
        <v>0</v>
      </c>
      <c r="W191" s="6" t="n">
        <f aca="false">D191</f>
        <v>3.356666667</v>
      </c>
      <c r="X191" s="6" t="n">
        <f aca="false">E191</f>
        <v>0</v>
      </c>
      <c r="Y191" s="6" t="n">
        <f aca="false">F191</f>
        <v>0</v>
      </c>
      <c r="Z191" s="6" t="n">
        <f aca="false">L191</f>
        <v>0</v>
      </c>
      <c r="AA191" s="6" t="n">
        <f aca="false">G191</f>
        <v>0</v>
      </c>
      <c r="AC191" s="6" t="n">
        <f aca="false">D191</f>
        <v>3.356666667</v>
      </c>
      <c r="AD191" s="6" t="n">
        <f aca="false">E191</f>
        <v>0</v>
      </c>
      <c r="AE191" s="6" t="n">
        <f aca="false">G191</f>
        <v>0</v>
      </c>
      <c r="AF191" s="6" t="n">
        <f aca="false">H191</f>
        <v>0</v>
      </c>
      <c r="AG191" s="6" t="n">
        <f aca="false">I191</f>
        <v>0</v>
      </c>
      <c r="AH191" s="6" t="n">
        <f aca="false">L191</f>
        <v>0</v>
      </c>
    </row>
    <row r="192" customFormat="false" ht="15" hidden="false" customHeight="false" outlineLevel="0" collapsed="false">
      <c r="A192" s="0" t="str">
        <f aca="false">'Raw Data'!C192</f>
        <v>Marlton</v>
      </c>
      <c r="B192" s="5" t="n">
        <f aca="false">'Raw Data'!A192</f>
        <v>40323</v>
      </c>
      <c r="C192" s="6" t="n">
        <f aca="false">'Raw Data'!D192</f>
        <v>271.657757635846</v>
      </c>
      <c r="D192" s="6" t="n">
        <f aca="false">'Raw Data'!E192</f>
        <v>3.34</v>
      </c>
      <c r="E192" s="6" t="n">
        <f aca="false">'Raw Data'!F192</f>
        <v>0</v>
      </c>
      <c r="F192" s="6" t="n">
        <f aca="false">'Raw Data'!G192</f>
        <v>0</v>
      </c>
      <c r="G192" s="6" t="n">
        <f aca="false">'Raw Data'!H192</f>
        <v>0</v>
      </c>
      <c r="H192" s="6" t="n">
        <f aca="false">'Raw Data'!I192</f>
        <v>0</v>
      </c>
      <c r="I192" s="6" t="n">
        <f aca="false">'Raw Data'!J192</f>
        <v>0</v>
      </c>
      <c r="J192" s="6" t="n">
        <f aca="false">'Raw Data'!K192</f>
        <v>3</v>
      </c>
      <c r="K192" s="6" t="n">
        <f aca="false">'Raw Data'!L192</f>
        <v>0</v>
      </c>
      <c r="L192" s="6" t="n">
        <f aca="false">F192*E192</f>
        <v>0</v>
      </c>
      <c r="N192" s="0" t="n">
        <v>1</v>
      </c>
      <c r="O192" s="6" t="n">
        <f aca="false">D192</f>
        <v>3.34</v>
      </c>
      <c r="P192" s="6" t="n">
        <f aca="false">E192</f>
        <v>0</v>
      </c>
      <c r="Q192" s="6" t="n">
        <f aca="false">F192</f>
        <v>0</v>
      </c>
      <c r="R192" s="6" t="n">
        <f aca="false">G192</f>
        <v>0</v>
      </c>
      <c r="S192" s="6" t="n">
        <f aca="false">H192</f>
        <v>0</v>
      </c>
      <c r="T192" s="6" t="n">
        <f aca="false">I192</f>
        <v>0</v>
      </c>
      <c r="U192" s="6" t="n">
        <f aca="false">L192</f>
        <v>0</v>
      </c>
      <c r="W192" s="6" t="n">
        <f aca="false">D192</f>
        <v>3.34</v>
      </c>
      <c r="X192" s="6" t="n">
        <f aca="false">E192</f>
        <v>0</v>
      </c>
      <c r="Y192" s="6" t="n">
        <f aca="false">F192</f>
        <v>0</v>
      </c>
      <c r="Z192" s="6" t="n">
        <f aca="false">L192</f>
        <v>0</v>
      </c>
      <c r="AA192" s="6" t="n">
        <f aca="false">G192</f>
        <v>0</v>
      </c>
      <c r="AC192" s="6" t="n">
        <f aca="false">D192</f>
        <v>3.34</v>
      </c>
      <c r="AD192" s="6" t="n">
        <f aca="false">E192</f>
        <v>0</v>
      </c>
      <c r="AE192" s="6" t="n">
        <f aca="false">G192</f>
        <v>0</v>
      </c>
      <c r="AF192" s="6" t="n">
        <f aca="false">H192</f>
        <v>0</v>
      </c>
      <c r="AG192" s="6" t="n">
        <f aca="false">I192</f>
        <v>0</v>
      </c>
      <c r="AH192" s="6" t="n">
        <f aca="false">L192</f>
        <v>0</v>
      </c>
    </row>
    <row r="193" customFormat="false" ht="15" hidden="false" customHeight="false" outlineLevel="0" collapsed="false">
      <c r="A193" s="0" t="str">
        <f aca="false">'Raw Data'!C193</f>
        <v>Marlton</v>
      </c>
      <c r="B193" s="5" t="n">
        <f aca="false">'Raw Data'!A193</f>
        <v>40330</v>
      </c>
      <c r="C193" s="6" t="n">
        <f aca="false">'Raw Data'!D193</f>
        <v>208.290256373119</v>
      </c>
      <c r="D193" s="6" t="n">
        <f aca="false">'Raw Data'!E193</f>
        <v>3.44</v>
      </c>
      <c r="E193" s="6" t="n">
        <f aca="false">'Raw Data'!F193</f>
        <v>0</v>
      </c>
      <c r="F193" s="6" t="n">
        <f aca="false">'Raw Data'!G193</f>
        <v>0</v>
      </c>
      <c r="G193" s="6" t="n">
        <f aca="false">'Raw Data'!H193</f>
        <v>0</v>
      </c>
      <c r="H193" s="6" t="n">
        <f aca="false">'Raw Data'!I193</f>
        <v>0</v>
      </c>
      <c r="I193" s="6" t="n">
        <f aca="false">'Raw Data'!J193</f>
        <v>0</v>
      </c>
      <c r="J193" s="6" t="n">
        <f aca="false">'Raw Data'!K193</f>
        <v>3</v>
      </c>
      <c r="K193" s="6" t="n">
        <f aca="false">'Raw Data'!L193</f>
        <v>0</v>
      </c>
      <c r="L193" s="6" t="n">
        <f aca="false">F193*E193</f>
        <v>0</v>
      </c>
      <c r="N193" s="0" t="n">
        <v>1</v>
      </c>
      <c r="O193" s="6" t="n">
        <f aca="false">D193</f>
        <v>3.44</v>
      </c>
      <c r="P193" s="6" t="n">
        <f aca="false">E193</f>
        <v>0</v>
      </c>
      <c r="Q193" s="6" t="n">
        <f aca="false">F193</f>
        <v>0</v>
      </c>
      <c r="R193" s="6" t="n">
        <f aca="false">G193</f>
        <v>0</v>
      </c>
      <c r="S193" s="6" t="n">
        <f aca="false">H193</f>
        <v>0</v>
      </c>
      <c r="T193" s="6" t="n">
        <f aca="false">I193</f>
        <v>0</v>
      </c>
      <c r="U193" s="6" t="n">
        <f aca="false">L193</f>
        <v>0</v>
      </c>
      <c r="W193" s="6" t="n">
        <f aca="false">D193</f>
        <v>3.44</v>
      </c>
      <c r="X193" s="6" t="n">
        <f aca="false">E193</f>
        <v>0</v>
      </c>
      <c r="Y193" s="6" t="n">
        <f aca="false">F193</f>
        <v>0</v>
      </c>
      <c r="Z193" s="6" t="n">
        <f aca="false">L193</f>
        <v>0</v>
      </c>
      <c r="AA193" s="6" t="n">
        <f aca="false">G193</f>
        <v>0</v>
      </c>
      <c r="AC193" s="6" t="n">
        <f aca="false">D193</f>
        <v>3.44</v>
      </c>
      <c r="AD193" s="6" t="n">
        <f aca="false">E193</f>
        <v>0</v>
      </c>
      <c r="AE193" s="6" t="n">
        <f aca="false">G193</f>
        <v>0</v>
      </c>
      <c r="AF193" s="6" t="n">
        <f aca="false">H193</f>
        <v>0</v>
      </c>
      <c r="AG193" s="6" t="n">
        <f aca="false">I193</f>
        <v>0</v>
      </c>
      <c r="AH193" s="6" t="n">
        <f aca="false">L193</f>
        <v>0</v>
      </c>
    </row>
    <row r="194" customFormat="false" ht="15" hidden="false" customHeight="false" outlineLevel="0" collapsed="false">
      <c r="A194" s="0" t="str">
        <f aca="false">'Raw Data'!C194</f>
        <v>Marlton</v>
      </c>
      <c r="B194" s="5" t="n">
        <f aca="false">'Raw Data'!A194</f>
        <v>40337</v>
      </c>
      <c r="C194" s="6" t="n">
        <f aca="false">'Raw Data'!D194</f>
        <v>332.281454887618</v>
      </c>
      <c r="D194" s="6" t="n">
        <f aca="false">'Raw Data'!E194</f>
        <v>3.511111111</v>
      </c>
      <c r="E194" s="6" t="n">
        <f aca="false">'Raw Data'!F194</f>
        <v>0</v>
      </c>
      <c r="F194" s="6" t="n">
        <f aca="false">'Raw Data'!G194</f>
        <v>0</v>
      </c>
      <c r="G194" s="6" t="n">
        <f aca="false">'Raw Data'!H194</f>
        <v>1</v>
      </c>
      <c r="H194" s="6" t="n">
        <f aca="false">'Raw Data'!I194</f>
        <v>0</v>
      </c>
      <c r="I194" s="6" t="n">
        <f aca="false">'Raw Data'!J194</f>
        <v>0</v>
      </c>
      <c r="J194" s="6" t="n">
        <f aca="false">'Raw Data'!K194</f>
        <v>3</v>
      </c>
      <c r="K194" s="6" t="n">
        <f aca="false">'Raw Data'!L194</f>
        <v>0</v>
      </c>
      <c r="L194" s="6" t="n">
        <f aca="false">F194*E194</f>
        <v>0</v>
      </c>
      <c r="N194" s="0" t="n">
        <v>1</v>
      </c>
      <c r="O194" s="6" t="n">
        <f aca="false">D194</f>
        <v>3.511111111</v>
      </c>
      <c r="P194" s="6" t="n">
        <f aca="false">E194</f>
        <v>0</v>
      </c>
      <c r="Q194" s="6" t="n">
        <f aca="false">F194</f>
        <v>0</v>
      </c>
      <c r="R194" s="6" t="n">
        <f aca="false">G194</f>
        <v>1</v>
      </c>
      <c r="S194" s="6" t="n">
        <f aca="false">H194</f>
        <v>0</v>
      </c>
      <c r="T194" s="6" t="n">
        <f aca="false">I194</f>
        <v>0</v>
      </c>
      <c r="U194" s="6" t="n">
        <f aca="false">L194</f>
        <v>0</v>
      </c>
      <c r="W194" s="6" t="n">
        <f aca="false">D194</f>
        <v>3.511111111</v>
      </c>
      <c r="X194" s="6" t="n">
        <f aca="false">E194</f>
        <v>0</v>
      </c>
      <c r="Y194" s="6" t="n">
        <f aca="false">F194</f>
        <v>0</v>
      </c>
      <c r="Z194" s="6" t="n">
        <f aca="false">L194</f>
        <v>0</v>
      </c>
      <c r="AA194" s="6" t="n">
        <f aca="false">G194</f>
        <v>1</v>
      </c>
      <c r="AC194" s="6" t="n">
        <f aca="false">D194</f>
        <v>3.511111111</v>
      </c>
      <c r="AD194" s="6" t="n">
        <f aca="false">E194</f>
        <v>0</v>
      </c>
      <c r="AE194" s="6" t="n">
        <f aca="false">G194</f>
        <v>1</v>
      </c>
      <c r="AF194" s="6" t="n">
        <f aca="false">H194</f>
        <v>0</v>
      </c>
      <c r="AG194" s="6" t="n">
        <f aca="false">I194</f>
        <v>0</v>
      </c>
      <c r="AH194" s="6" t="n">
        <f aca="false">L194</f>
        <v>0</v>
      </c>
    </row>
    <row r="195" customFormat="false" ht="15" hidden="false" customHeight="false" outlineLevel="0" collapsed="false">
      <c r="A195" s="0" t="str">
        <f aca="false">'Raw Data'!C195</f>
        <v>Marlton</v>
      </c>
      <c r="B195" s="5" t="n">
        <f aca="false">'Raw Data'!A195</f>
        <v>40344</v>
      </c>
      <c r="C195" s="6" t="n">
        <f aca="false">'Raw Data'!D195</f>
        <v>314.437888671743</v>
      </c>
      <c r="D195" s="6" t="n">
        <f aca="false">'Raw Data'!E195</f>
        <v>3.523333333</v>
      </c>
      <c r="E195" s="6" t="n">
        <f aca="false">'Raw Data'!F195</f>
        <v>0</v>
      </c>
      <c r="F195" s="6" t="n">
        <f aca="false">'Raw Data'!G195</f>
        <v>0</v>
      </c>
      <c r="G195" s="6" t="n">
        <f aca="false">'Raw Data'!H195</f>
        <v>0</v>
      </c>
      <c r="H195" s="6" t="n">
        <f aca="false">'Raw Data'!I195</f>
        <v>1</v>
      </c>
      <c r="I195" s="6" t="n">
        <f aca="false">'Raw Data'!J195</f>
        <v>0</v>
      </c>
      <c r="J195" s="6" t="n">
        <f aca="false">'Raw Data'!K195</f>
        <v>3</v>
      </c>
      <c r="K195" s="6" t="n">
        <f aca="false">'Raw Data'!L195</f>
        <v>0</v>
      </c>
      <c r="L195" s="6" t="n">
        <f aca="false">F195*E195</f>
        <v>0</v>
      </c>
      <c r="N195" s="0" t="n">
        <v>1</v>
      </c>
      <c r="O195" s="6" t="n">
        <f aca="false">D195</f>
        <v>3.523333333</v>
      </c>
      <c r="P195" s="6" t="n">
        <f aca="false">E195</f>
        <v>0</v>
      </c>
      <c r="Q195" s="6" t="n">
        <f aca="false">F195</f>
        <v>0</v>
      </c>
      <c r="R195" s="6" t="n">
        <f aca="false">G195</f>
        <v>0</v>
      </c>
      <c r="S195" s="6" t="n">
        <f aca="false">H195</f>
        <v>1</v>
      </c>
      <c r="T195" s="6" t="n">
        <f aca="false">I195</f>
        <v>0</v>
      </c>
      <c r="U195" s="6" t="n">
        <f aca="false">L195</f>
        <v>0</v>
      </c>
      <c r="W195" s="6" t="n">
        <f aca="false">D195</f>
        <v>3.523333333</v>
      </c>
      <c r="X195" s="6" t="n">
        <f aca="false">E195</f>
        <v>0</v>
      </c>
      <c r="Y195" s="6" t="n">
        <f aca="false">F195</f>
        <v>0</v>
      </c>
      <c r="Z195" s="6" t="n">
        <f aca="false">L195</f>
        <v>0</v>
      </c>
      <c r="AA195" s="6" t="n">
        <f aca="false">G195</f>
        <v>0</v>
      </c>
      <c r="AC195" s="6" t="n">
        <f aca="false">D195</f>
        <v>3.523333333</v>
      </c>
      <c r="AD195" s="6" t="n">
        <f aca="false">E195</f>
        <v>0</v>
      </c>
      <c r="AE195" s="6" t="n">
        <f aca="false">G195</f>
        <v>0</v>
      </c>
      <c r="AF195" s="6" t="n">
        <f aca="false">H195</f>
        <v>1</v>
      </c>
      <c r="AG195" s="6" t="n">
        <f aca="false">I195</f>
        <v>0</v>
      </c>
      <c r="AH195" s="6" t="n">
        <f aca="false">L195</f>
        <v>0</v>
      </c>
    </row>
    <row r="196" customFormat="false" ht="15" hidden="false" customHeight="false" outlineLevel="0" collapsed="false">
      <c r="A196" s="0" t="str">
        <f aca="false">'Raw Data'!C196</f>
        <v>Marlton</v>
      </c>
      <c r="B196" s="5" t="n">
        <f aca="false">'Raw Data'!A196</f>
        <v>40351</v>
      </c>
      <c r="C196" s="6" t="n">
        <f aca="false">'Raw Data'!D196</f>
        <v>305.09423830562</v>
      </c>
      <c r="D196" s="6" t="n">
        <f aca="false">'Raw Data'!E196</f>
        <v>3.523333333</v>
      </c>
      <c r="E196" s="6" t="n">
        <f aca="false">'Raw Data'!F196</f>
        <v>0</v>
      </c>
      <c r="F196" s="6" t="n">
        <f aca="false">'Raw Data'!G196</f>
        <v>0</v>
      </c>
      <c r="G196" s="6" t="n">
        <f aca="false">'Raw Data'!H196</f>
        <v>0</v>
      </c>
      <c r="H196" s="6" t="n">
        <f aca="false">'Raw Data'!I196</f>
        <v>1</v>
      </c>
      <c r="I196" s="6" t="n">
        <f aca="false">'Raw Data'!J196</f>
        <v>0</v>
      </c>
      <c r="J196" s="6" t="n">
        <f aca="false">'Raw Data'!K196</f>
        <v>3</v>
      </c>
      <c r="K196" s="6" t="n">
        <f aca="false">'Raw Data'!L196</f>
        <v>0</v>
      </c>
      <c r="L196" s="6" t="n">
        <f aca="false">F196*E196</f>
        <v>0</v>
      </c>
      <c r="N196" s="0" t="n">
        <v>1</v>
      </c>
      <c r="O196" s="6" t="n">
        <f aca="false">D196</f>
        <v>3.523333333</v>
      </c>
      <c r="P196" s="6" t="n">
        <f aca="false">E196</f>
        <v>0</v>
      </c>
      <c r="Q196" s="6" t="n">
        <f aca="false">F196</f>
        <v>0</v>
      </c>
      <c r="R196" s="6" t="n">
        <f aca="false">G196</f>
        <v>0</v>
      </c>
      <c r="S196" s="6" t="n">
        <f aca="false">H196</f>
        <v>1</v>
      </c>
      <c r="T196" s="6" t="n">
        <f aca="false">I196</f>
        <v>0</v>
      </c>
      <c r="U196" s="6" t="n">
        <f aca="false">L196</f>
        <v>0</v>
      </c>
      <c r="W196" s="6" t="n">
        <f aca="false">D196</f>
        <v>3.523333333</v>
      </c>
      <c r="X196" s="6" t="n">
        <f aca="false">E196</f>
        <v>0</v>
      </c>
      <c r="Y196" s="6" t="n">
        <f aca="false">F196</f>
        <v>0</v>
      </c>
      <c r="Z196" s="6" t="n">
        <f aca="false">L196</f>
        <v>0</v>
      </c>
      <c r="AA196" s="6" t="n">
        <f aca="false">G196</f>
        <v>0</v>
      </c>
      <c r="AC196" s="6" t="n">
        <f aca="false">D196</f>
        <v>3.523333333</v>
      </c>
      <c r="AD196" s="6" t="n">
        <f aca="false">E196</f>
        <v>0</v>
      </c>
      <c r="AE196" s="6" t="n">
        <f aca="false">G196</f>
        <v>0</v>
      </c>
      <c r="AF196" s="6" t="n">
        <f aca="false">H196</f>
        <v>1</v>
      </c>
      <c r="AG196" s="6" t="n">
        <f aca="false">I196</f>
        <v>0</v>
      </c>
      <c r="AH196" s="6" t="n">
        <f aca="false">L196</f>
        <v>0</v>
      </c>
    </row>
    <row r="197" customFormat="false" ht="15" hidden="false" customHeight="false" outlineLevel="0" collapsed="false">
      <c r="A197" s="0" t="str">
        <f aca="false">'Raw Data'!C197</f>
        <v>Marlton</v>
      </c>
      <c r="B197" s="5" t="n">
        <f aca="false">'Raw Data'!A197</f>
        <v>40358</v>
      </c>
      <c r="C197" s="6" t="n">
        <f aca="false">'Raw Data'!D197</f>
        <v>224.286016133014</v>
      </c>
      <c r="D197" s="6" t="n">
        <f aca="false">'Raw Data'!E197</f>
        <v>3.523333333</v>
      </c>
      <c r="E197" s="6" t="n">
        <f aca="false">'Raw Data'!F197</f>
        <v>0</v>
      </c>
      <c r="F197" s="6" t="n">
        <f aca="false">'Raw Data'!G197</f>
        <v>0</v>
      </c>
      <c r="G197" s="6" t="n">
        <f aca="false">'Raw Data'!H197</f>
        <v>0</v>
      </c>
      <c r="H197" s="6" t="n">
        <f aca="false">'Raw Data'!I197</f>
        <v>1</v>
      </c>
      <c r="I197" s="6" t="n">
        <f aca="false">'Raw Data'!J197</f>
        <v>0</v>
      </c>
      <c r="J197" s="6" t="n">
        <f aca="false">'Raw Data'!K197</f>
        <v>3</v>
      </c>
      <c r="K197" s="6" t="n">
        <f aca="false">'Raw Data'!L197</f>
        <v>0</v>
      </c>
      <c r="L197" s="6" t="n">
        <f aca="false">F197*E197</f>
        <v>0</v>
      </c>
      <c r="N197" s="0" t="n">
        <v>1</v>
      </c>
      <c r="O197" s="6" t="n">
        <f aca="false">D197</f>
        <v>3.523333333</v>
      </c>
      <c r="P197" s="6" t="n">
        <f aca="false">E197</f>
        <v>0</v>
      </c>
      <c r="Q197" s="6" t="n">
        <f aca="false">F197</f>
        <v>0</v>
      </c>
      <c r="R197" s="6" t="n">
        <f aca="false">G197</f>
        <v>0</v>
      </c>
      <c r="S197" s="6" t="n">
        <f aca="false">H197</f>
        <v>1</v>
      </c>
      <c r="T197" s="6" t="n">
        <f aca="false">I197</f>
        <v>0</v>
      </c>
      <c r="U197" s="6" t="n">
        <f aca="false">L197</f>
        <v>0</v>
      </c>
      <c r="W197" s="6" t="n">
        <f aca="false">D197</f>
        <v>3.523333333</v>
      </c>
      <c r="X197" s="6" t="n">
        <f aca="false">E197</f>
        <v>0</v>
      </c>
      <c r="Y197" s="6" t="n">
        <f aca="false">F197</f>
        <v>0</v>
      </c>
      <c r="Z197" s="6" t="n">
        <f aca="false">L197</f>
        <v>0</v>
      </c>
      <c r="AA197" s="6" t="n">
        <f aca="false">G197</f>
        <v>0</v>
      </c>
      <c r="AC197" s="6" t="n">
        <f aca="false">D197</f>
        <v>3.523333333</v>
      </c>
      <c r="AD197" s="6" t="n">
        <f aca="false">E197</f>
        <v>0</v>
      </c>
      <c r="AE197" s="6" t="n">
        <f aca="false">G197</f>
        <v>0</v>
      </c>
      <c r="AF197" s="6" t="n">
        <f aca="false">H197</f>
        <v>1</v>
      </c>
      <c r="AG197" s="6" t="n">
        <f aca="false">I197</f>
        <v>0</v>
      </c>
      <c r="AH197" s="6" t="n">
        <f aca="false">L197</f>
        <v>0</v>
      </c>
    </row>
    <row r="198" customFormat="false" ht="15" hidden="false" customHeight="false" outlineLevel="0" collapsed="false">
      <c r="A198" s="0" t="str">
        <f aca="false">'Raw Data'!C198</f>
        <v>Marlton</v>
      </c>
      <c r="B198" s="5" t="n">
        <f aca="false">'Raw Data'!A198</f>
        <v>40365</v>
      </c>
      <c r="C198" s="6" t="n">
        <f aca="false">'Raw Data'!D198</f>
        <v>215.476078548949</v>
      </c>
      <c r="D198" s="6" t="n">
        <f aca="false">'Raw Data'!E198</f>
        <v>3.063333333</v>
      </c>
      <c r="E198" s="6" t="n">
        <f aca="false">'Raw Data'!F198</f>
        <v>0</v>
      </c>
      <c r="F198" s="6" t="n">
        <f aca="false">'Raw Data'!G198</f>
        <v>0</v>
      </c>
      <c r="G198" s="6" t="n">
        <f aca="false">'Raw Data'!H198</f>
        <v>0</v>
      </c>
      <c r="H198" s="6" t="n">
        <f aca="false">'Raw Data'!I198</f>
        <v>0</v>
      </c>
      <c r="I198" s="6" t="n">
        <f aca="false">'Raw Data'!J198</f>
        <v>1</v>
      </c>
      <c r="J198" s="6" t="n">
        <f aca="false">'Raw Data'!K198</f>
        <v>3</v>
      </c>
      <c r="K198" s="6" t="n">
        <f aca="false">'Raw Data'!L198</f>
        <v>0</v>
      </c>
      <c r="L198" s="6" t="n">
        <f aca="false">F198*E198</f>
        <v>0</v>
      </c>
      <c r="N198" s="0" t="n">
        <v>1</v>
      </c>
      <c r="O198" s="6" t="n">
        <f aca="false">D198</f>
        <v>3.063333333</v>
      </c>
      <c r="P198" s="6" t="n">
        <f aca="false">E198</f>
        <v>0</v>
      </c>
      <c r="Q198" s="6" t="n">
        <f aca="false">F198</f>
        <v>0</v>
      </c>
      <c r="R198" s="6" t="n">
        <f aca="false">G198</f>
        <v>0</v>
      </c>
      <c r="S198" s="6" t="n">
        <f aca="false">H198</f>
        <v>0</v>
      </c>
      <c r="T198" s="6" t="n">
        <f aca="false">I198</f>
        <v>1</v>
      </c>
      <c r="U198" s="6" t="n">
        <f aca="false">L198</f>
        <v>0</v>
      </c>
      <c r="W198" s="6" t="n">
        <f aca="false">D198</f>
        <v>3.063333333</v>
      </c>
      <c r="X198" s="6" t="n">
        <f aca="false">E198</f>
        <v>0</v>
      </c>
      <c r="Y198" s="6" t="n">
        <f aca="false">F198</f>
        <v>0</v>
      </c>
      <c r="Z198" s="6" t="n">
        <f aca="false">L198</f>
        <v>0</v>
      </c>
      <c r="AA198" s="6" t="n">
        <f aca="false">G198</f>
        <v>0</v>
      </c>
      <c r="AC198" s="6" t="n">
        <f aca="false">D198</f>
        <v>3.063333333</v>
      </c>
      <c r="AD198" s="6" t="n">
        <f aca="false">E198</f>
        <v>0</v>
      </c>
      <c r="AE198" s="6" t="n">
        <f aca="false">G198</f>
        <v>0</v>
      </c>
      <c r="AF198" s="6" t="n">
        <f aca="false">H198</f>
        <v>0</v>
      </c>
      <c r="AG198" s="6" t="n">
        <f aca="false">I198</f>
        <v>1</v>
      </c>
      <c r="AH198" s="6" t="n">
        <f aca="false">L198</f>
        <v>0</v>
      </c>
    </row>
    <row r="199" customFormat="false" ht="15" hidden="false" customHeight="false" outlineLevel="0" collapsed="false">
      <c r="A199" s="0" t="str">
        <f aca="false">'Raw Data'!C199</f>
        <v>Marlton</v>
      </c>
      <c r="B199" s="5" t="n">
        <f aca="false">'Raw Data'!A199</f>
        <v>40372</v>
      </c>
      <c r="C199" s="6" t="n">
        <f aca="false">'Raw Data'!D199</f>
        <v>322.69748275185</v>
      </c>
      <c r="D199" s="6" t="n">
        <f aca="false">'Raw Data'!E199</f>
        <v>3.063333333</v>
      </c>
      <c r="E199" s="6" t="n">
        <f aca="false">'Raw Data'!F199</f>
        <v>0</v>
      </c>
      <c r="F199" s="6" t="n">
        <f aca="false">'Raw Data'!G199</f>
        <v>0</v>
      </c>
      <c r="G199" s="6" t="n">
        <f aca="false">'Raw Data'!H199</f>
        <v>0</v>
      </c>
      <c r="H199" s="6" t="n">
        <f aca="false">'Raw Data'!I199</f>
        <v>0</v>
      </c>
      <c r="I199" s="6" t="n">
        <f aca="false">'Raw Data'!J199</f>
        <v>1</v>
      </c>
      <c r="J199" s="6" t="n">
        <f aca="false">'Raw Data'!K199</f>
        <v>3</v>
      </c>
      <c r="K199" s="6" t="n">
        <f aca="false">'Raw Data'!L199</f>
        <v>0</v>
      </c>
      <c r="L199" s="6" t="n">
        <f aca="false">F199*E199</f>
        <v>0</v>
      </c>
      <c r="N199" s="0" t="n">
        <v>1</v>
      </c>
      <c r="O199" s="6" t="n">
        <f aca="false">D199</f>
        <v>3.063333333</v>
      </c>
      <c r="P199" s="6" t="n">
        <f aca="false">E199</f>
        <v>0</v>
      </c>
      <c r="Q199" s="6" t="n">
        <f aca="false">F199</f>
        <v>0</v>
      </c>
      <c r="R199" s="6" t="n">
        <f aca="false">G199</f>
        <v>0</v>
      </c>
      <c r="S199" s="6" t="n">
        <f aca="false">H199</f>
        <v>0</v>
      </c>
      <c r="T199" s="6" t="n">
        <f aca="false">I199</f>
        <v>1</v>
      </c>
      <c r="U199" s="6" t="n">
        <f aca="false">L199</f>
        <v>0</v>
      </c>
      <c r="W199" s="6" t="n">
        <f aca="false">D199</f>
        <v>3.063333333</v>
      </c>
      <c r="X199" s="6" t="n">
        <f aca="false">E199</f>
        <v>0</v>
      </c>
      <c r="Y199" s="6" t="n">
        <f aca="false">F199</f>
        <v>0</v>
      </c>
      <c r="Z199" s="6" t="n">
        <f aca="false">L199</f>
        <v>0</v>
      </c>
      <c r="AA199" s="6" t="n">
        <f aca="false">G199</f>
        <v>0</v>
      </c>
      <c r="AC199" s="6" t="n">
        <f aca="false">D199</f>
        <v>3.063333333</v>
      </c>
      <c r="AD199" s="6" t="n">
        <f aca="false">E199</f>
        <v>0</v>
      </c>
      <c r="AE199" s="6" t="n">
        <f aca="false">G199</f>
        <v>0</v>
      </c>
      <c r="AF199" s="6" t="n">
        <f aca="false">H199</f>
        <v>0</v>
      </c>
      <c r="AG199" s="6" t="n">
        <f aca="false">I199</f>
        <v>1</v>
      </c>
      <c r="AH199" s="6" t="n">
        <f aca="false">L199</f>
        <v>0</v>
      </c>
    </row>
    <row r="200" customFormat="false" ht="15" hidden="false" customHeight="false" outlineLevel="0" collapsed="false">
      <c r="A200" s="0" t="str">
        <f aca="false">'Raw Data'!C200</f>
        <v>Mount Washington</v>
      </c>
      <c r="B200" s="5" t="n">
        <f aca="false">'Raw Data'!A200</f>
        <v>40302</v>
      </c>
      <c r="C200" s="6" t="n">
        <f aca="false">'Raw Data'!D200</f>
        <v>237.716062926933</v>
      </c>
      <c r="D200" s="6" t="n">
        <f aca="false">'Raw Data'!E200</f>
        <v>3.904285714</v>
      </c>
      <c r="E200" s="6" t="n">
        <f aca="false">'Raw Data'!F200</f>
        <v>0</v>
      </c>
      <c r="F200" s="6" t="n">
        <f aca="false">'Raw Data'!G200</f>
        <v>0</v>
      </c>
      <c r="G200" s="6" t="n">
        <f aca="false">'Raw Data'!H200</f>
        <v>0</v>
      </c>
      <c r="H200" s="6" t="n">
        <f aca="false">'Raw Data'!I200</f>
        <v>0</v>
      </c>
      <c r="I200" s="6" t="n">
        <f aca="false">'Raw Data'!J200</f>
        <v>0</v>
      </c>
      <c r="J200" s="6" t="n">
        <f aca="false">'Raw Data'!K200</f>
        <v>0</v>
      </c>
      <c r="K200" s="6" t="n">
        <f aca="false">'Raw Data'!L200</f>
        <v>0</v>
      </c>
      <c r="L200" s="6" t="n">
        <f aca="false">F200*E200</f>
        <v>0</v>
      </c>
      <c r="N200" s="0" t="n">
        <v>1</v>
      </c>
      <c r="O200" s="6" t="n">
        <f aca="false">D200</f>
        <v>3.904285714</v>
      </c>
      <c r="P200" s="6" t="n">
        <f aca="false">E200</f>
        <v>0</v>
      </c>
      <c r="Q200" s="6" t="n">
        <f aca="false">F200</f>
        <v>0</v>
      </c>
      <c r="R200" s="6" t="n">
        <f aca="false">G200</f>
        <v>0</v>
      </c>
      <c r="S200" s="6" t="n">
        <f aca="false">H200</f>
        <v>0</v>
      </c>
      <c r="T200" s="6" t="n">
        <f aca="false">I200</f>
        <v>0</v>
      </c>
      <c r="U200" s="6" t="n">
        <f aca="false">L200</f>
        <v>0</v>
      </c>
      <c r="W200" s="6" t="n">
        <f aca="false">D200</f>
        <v>3.904285714</v>
      </c>
      <c r="X200" s="6" t="n">
        <f aca="false">E200</f>
        <v>0</v>
      </c>
      <c r="Y200" s="6" t="n">
        <f aca="false">F200</f>
        <v>0</v>
      </c>
      <c r="Z200" s="6" t="n">
        <f aca="false">L200</f>
        <v>0</v>
      </c>
      <c r="AA200" s="6" t="n">
        <f aca="false">G200</f>
        <v>0</v>
      </c>
      <c r="AC200" s="6" t="n">
        <f aca="false">D200</f>
        <v>3.904285714</v>
      </c>
      <c r="AD200" s="6" t="n">
        <f aca="false">E200</f>
        <v>0</v>
      </c>
      <c r="AE200" s="6" t="n">
        <f aca="false">G200</f>
        <v>0</v>
      </c>
      <c r="AF200" s="6" t="n">
        <f aca="false">H200</f>
        <v>0</v>
      </c>
      <c r="AG200" s="6" t="n">
        <f aca="false">I200</f>
        <v>0</v>
      </c>
      <c r="AH200" s="6" t="n">
        <f aca="false">L200</f>
        <v>0</v>
      </c>
    </row>
    <row r="201" customFormat="false" ht="15" hidden="false" customHeight="false" outlineLevel="0" collapsed="false">
      <c r="A201" s="0" t="str">
        <f aca="false">'Raw Data'!C201</f>
        <v>Mount Washington</v>
      </c>
      <c r="B201" s="5" t="n">
        <f aca="false">'Raw Data'!A201</f>
        <v>40309</v>
      </c>
      <c r="C201" s="6" t="n">
        <f aca="false">'Raw Data'!D201</f>
        <v>149.316947645446</v>
      </c>
      <c r="D201" s="6" t="n">
        <f aca="false">'Raw Data'!E201</f>
        <v>3.904285714</v>
      </c>
      <c r="E201" s="6" t="n">
        <f aca="false">'Raw Data'!F201</f>
        <v>0</v>
      </c>
      <c r="F201" s="6" t="n">
        <f aca="false">'Raw Data'!G201</f>
        <v>0</v>
      </c>
      <c r="G201" s="6" t="n">
        <f aca="false">'Raw Data'!H201</f>
        <v>0</v>
      </c>
      <c r="H201" s="6" t="n">
        <f aca="false">'Raw Data'!I201</f>
        <v>0</v>
      </c>
      <c r="I201" s="6" t="n">
        <f aca="false">'Raw Data'!J201</f>
        <v>0</v>
      </c>
      <c r="J201" s="6" t="n">
        <f aca="false">'Raw Data'!K201</f>
        <v>0</v>
      </c>
      <c r="K201" s="6" t="n">
        <f aca="false">'Raw Data'!L201</f>
        <v>0</v>
      </c>
      <c r="L201" s="6" t="n">
        <f aca="false">F201*E201</f>
        <v>0</v>
      </c>
      <c r="N201" s="0" t="n">
        <v>1</v>
      </c>
      <c r="O201" s="6" t="n">
        <f aca="false">D201</f>
        <v>3.904285714</v>
      </c>
      <c r="P201" s="6" t="n">
        <f aca="false">E201</f>
        <v>0</v>
      </c>
      <c r="Q201" s="6" t="n">
        <f aca="false">F201</f>
        <v>0</v>
      </c>
      <c r="R201" s="6" t="n">
        <f aca="false">G201</f>
        <v>0</v>
      </c>
      <c r="S201" s="6" t="n">
        <f aca="false">H201</f>
        <v>0</v>
      </c>
      <c r="T201" s="6" t="n">
        <f aca="false">I201</f>
        <v>0</v>
      </c>
      <c r="U201" s="6" t="n">
        <f aca="false">L201</f>
        <v>0</v>
      </c>
      <c r="W201" s="6" t="n">
        <f aca="false">D201</f>
        <v>3.904285714</v>
      </c>
      <c r="X201" s="6" t="n">
        <f aca="false">E201</f>
        <v>0</v>
      </c>
      <c r="Y201" s="6" t="n">
        <f aca="false">F201</f>
        <v>0</v>
      </c>
      <c r="Z201" s="6" t="n">
        <f aca="false">L201</f>
        <v>0</v>
      </c>
      <c r="AA201" s="6" t="n">
        <f aca="false">G201</f>
        <v>0</v>
      </c>
      <c r="AC201" s="6" t="n">
        <f aca="false">D201</f>
        <v>3.904285714</v>
      </c>
      <c r="AD201" s="6" t="n">
        <f aca="false">E201</f>
        <v>0</v>
      </c>
      <c r="AE201" s="6" t="n">
        <f aca="false">G201</f>
        <v>0</v>
      </c>
      <c r="AF201" s="6" t="n">
        <f aca="false">H201</f>
        <v>0</v>
      </c>
      <c r="AG201" s="6" t="n">
        <f aca="false">I201</f>
        <v>0</v>
      </c>
      <c r="AH201" s="6" t="n">
        <f aca="false">L201</f>
        <v>0</v>
      </c>
    </row>
    <row r="202" customFormat="false" ht="15" hidden="false" customHeight="false" outlineLevel="0" collapsed="false">
      <c r="A202" s="0" t="str">
        <f aca="false">'Raw Data'!C202</f>
        <v>Mount Washington</v>
      </c>
      <c r="B202" s="5" t="n">
        <f aca="false">'Raw Data'!A202</f>
        <v>40316</v>
      </c>
      <c r="C202" s="6" t="n">
        <f aca="false">'Raw Data'!D202</f>
        <v>103.89607680236</v>
      </c>
      <c r="D202" s="6" t="n">
        <f aca="false">'Raw Data'!E202</f>
        <v>3.618571429</v>
      </c>
      <c r="E202" s="6" t="n">
        <f aca="false">'Raw Data'!F202</f>
        <v>0</v>
      </c>
      <c r="F202" s="6" t="n">
        <f aca="false">'Raw Data'!G202</f>
        <v>0</v>
      </c>
      <c r="G202" s="6" t="n">
        <f aca="false">'Raw Data'!H202</f>
        <v>0</v>
      </c>
      <c r="H202" s="6" t="n">
        <f aca="false">'Raw Data'!I202</f>
        <v>0</v>
      </c>
      <c r="I202" s="6" t="n">
        <f aca="false">'Raw Data'!J202</f>
        <v>0</v>
      </c>
      <c r="J202" s="6" t="n">
        <f aca="false">'Raw Data'!K202</f>
        <v>0</v>
      </c>
      <c r="K202" s="6" t="n">
        <f aca="false">'Raw Data'!L202</f>
        <v>0</v>
      </c>
      <c r="L202" s="6" t="n">
        <f aca="false">F202*E202</f>
        <v>0</v>
      </c>
      <c r="N202" s="0" t="n">
        <v>1</v>
      </c>
      <c r="O202" s="6" t="n">
        <f aca="false">D202</f>
        <v>3.618571429</v>
      </c>
      <c r="P202" s="6" t="n">
        <f aca="false">E202</f>
        <v>0</v>
      </c>
      <c r="Q202" s="6" t="n">
        <f aca="false">F202</f>
        <v>0</v>
      </c>
      <c r="R202" s="6" t="n">
        <f aca="false">G202</f>
        <v>0</v>
      </c>
      <c r="S202" s="6" t="n">
        <f aca="false">H202</f>
        <v>0</v>
      </c>
      <c r="T202" s="6" t="n">
        <f aca="false">I202</f>
        <v>0</v>
      </c>
      <c r="U202" s="6" t="n">
        <f aca="false">L202</f>
        <v>0</v>
      </c>
      <c r="W202" s="6" t="n">
        <f aca="false">D202</f>
        <v>3.618571429</v>
      </c>
      <c r="X202" s="6" t="n">
        <f aca="false">E202</f>
        <v>0</v>
      </c>
      <c r="Y202" s="6" t="n">
        <f aca="false">F202</f>
        <v>0</v>
      </c>
      <c r="Z202" s="6" t="n">
        <f aca="false">L202</f>
        <v>0</v>
      </c>
      <c r="AA202" s="6" t="n">
        <f aca="false">G202</f>
        <v>0</v>
      </c>
      <c r="AC202" s="6" t="n">
        <f aca="false">D202</f>
        <v>3.618571429</v>
      </c>
      <c r="AD202" s="6" t="n">
        <f aca="false">E202</f>
        <v>0</v>
      </c>
      <c r="AE202" s="6" t="n">
        <f aca="false">G202</f>
        <v>0</v>
      </c>
      <c r="AF202" s="6" t="n">
        <f aca="false">H202</f>
        <v>0</v>
      </c>
      <c r="AG202" s="6" t="n">
        <f aca="false">I202</f>
        <v>0</v>
      </c>
      <c r="AH202" s="6" t="n">
        <f aca="false">L202</f>
        <v>0</v>
      </c>
    </row>
    <row r="203" customFormat="false" ht="15" hidden="false" customHeight="false" outlineLevel="0" collapsed="false">
      <c r="A203" s="0" t="str">
        <f aca="false">'Raw Data'!C203</f>
        <v>Mount Washington</v>
      </c>
      <c r="B203" s="5" t="n">
        <f aca="false">'Raw Data'!A203</f>
        <v>40323</v>
      </c>
      <c r="C203" s="6" t="n">
        <f aca="false">'Raw Data'!D203</f>
        <v>141.209006449082</v>
      </c>
      <c r="D203" s="6" t="n">
        <f aca="false">'Raw Data'!E203</f>
        <v>3.618571429</v>
      </c>
      <c r="E203" s="6" t="n">
        <f aca="false">'Raw Data'!F203</f>
        <v>0</v>
      </c>
      <c r="F203" s="6" t="n">
        <f aca="false">'Raw Data'!G203</f>
        <v>0</v>
      </c>
      <c r="G203" s="6" t="n">
        <f aca="false">'Raw Data'!H203</f>
        <v>0</v>
      </c>
      <c r="H203" s="6" t="n">
        <f aca="false">'Raw Data'!I203</f>
        <v>0</v>
      </c>
      <c r="I203" s="6" t="n">
        <f aca="false">'Raw Data'!J203</f>
        <v>0</v>
      </c>
      <c r="J203" s="6" t="n">
        <f aca="false">'Raw Data'!K203</f>
        <v>0</v>
      </c>
      <c r="K203" s="6" t="n">
        <f aca="false">'Raw Data'!L203</f>
        <v>0</v>
      </c>
      <c r="L203" s="6" t="n">
        <f aca="false">F203*E203</f>
        <v>0</v>
      </c>
      <c r="N203" s="0" t="n">
        <v>1</v>
      </c>
      <c r="O203" s="6" t="n">
        <f aca="false">D203</f>
        <v>3.618571429</v>
      </c>
      <c r="P203" s="6" t="n">
        <f aca="false">E203</f>
        <v>0</v>
      </c>
      <c r="Q203" s="6" t="n">
        <f aca="false">F203</f>
        <v>0</v>
      </c>
      <c r="R203" s="6" t="n">
        <f aca="false">G203</f>
        <v>0</v>
      </c>
      <c r="S203" s="6" t="n">
        <f aca="false">H203</f>
        <v>0</v>
      </c>
      <c r="T203" s="6" t="n">
        <f aca="false">I203</f>
        <v>0</v>
      </c>
      <c r="U203" s="6" t="n">
        <f aca="false">L203</f>
        <v>0</v>
      </c>
      <c r="W203" s="6" t="n">
        <f aca="false">D203</f>
        <v>3.618571429</v>
      </c>
      <c r="X203" s="6" t="n">
        <f aca="false">E203</f>
        <v>0</v>
      </c>
      <c r="Y203" s="6" t="n">
        <f aca="false">F203</f>
        <v>0</v>
      </c>
      <c r="Z203" s="6" t="n">
        <f aca="false">L203</f>
        <v>0</v>
      </c>
      <c r="AA203" s="6" t="n">
        <f aca="false">G203</f>
        <v>0</v>
      </c>
      <c r="AC203" s="6" t="n">
        <f aca="false">D203</f>
        <v>3.618571429</v>
      </c>
      <c r="AD203" s="6" t="n">
        <f aca="false">E203</f>
        <v>0</v>
      </c>
      <c r="AE203" s="6" t="n">
        <f aca="false">G203</f>
        <v>0</v>
      </c>
      <c r="AF203" s="6" t="n">
        <f aca="false">H203</f>
        <v>0</v>
      </c>
      <c r="AG203" s="6" t="n">
        <f aca="false">I203</f>
        <v>0</v>
      </c>
      <c r="AH203" s="6" t="n">
        <f aca="false">L203</f>
        <v>0</v>
      </c>
    </row>
    <row r="204" customFormat="false" ht="15" hidden="false" customHeight="false" outlineLevel="0" collapsed="false">
      <c r="A204" s="0" t="str">
        <f aca="false">'Raw Data'!C204</f>
        <v>Mount Washington</v>
      </c>
      <c r="B204" s="5" t="n">
        <f aca="false">'Raw Data'!A204</f>
        <v>40330</v>
      </c>
      <c r="C204" s="6" t="n">
        <f aca="false">'Raw Data'!D204</f>
        <v>216.53256257866</v>
      </c>
      <c r="D204" s="6" t="n">
        <f aca="false">'Raw Data'!E204</f>
        <v>3.618571429</v>
      </c>
      <c r="E204" s="6" t="n">
        <f aca="false">'Raw Data'!F204</f>
        <v>0</v>
      </c>
      <c r="F204" s="6" t="n">
        <f aca="false">'Raw Data'!G204</f>
        <v>0</v>
      </c>
      <c r="G204" s="6" t="n">
        <f aca="false">'Raw Data'!H204</f>
        <v>0</v>
      </c>
      <c r="H204" s="6" t="n">
        <f aca="false">'Raw Data'!I204</f>
        <v>0</v>
      </c>
      <c r="I204" s="6" t="n">
        <f aca="false">'Raw Data'!J204</f>
        <v>0</v>
      </c>
      <c r="J204" s="6" t="n">
        <f aca="false">'Raw Data'!K204</f>
        <v>0</v>
      </c>
      <c r="K204" s="6" t="n">
        <f aca="false">'Raw Data'!L204</f>
        <v>0</v>
      </c>
      <c r="L204" s="6" t="n">
        <f aca="false">F204*E204</f>
        <v>0</v>
      </c>
      <c r="N204" s="0" t="n">
        <v>1</v>
      </c>
      <c r="O204" s="6" t="n">
        <f aca="false">D204</f>
        <v>3.618571429</v>
      </c>
      <c r="P204" s="6" t="n">
        <f aca="false">E204</f>
        <v>0</v>
      </c>
      <c r="Q204" s="6" t="n">
        <f aca="false">F204</f>
        <v>0</v>
      </c>
      <c r="R204" s="6" t="n">
        <f aca="false">G204</f>
        <v>0</v>
      </c>
      <c r="S204" s="6" t="n">
        <f aca="false">H204</f>
        <v>0</v>
      </c>
      <c r="T204" s="6" t="n">
        <f aca="false">I204</f>
        <v>0</v>
      </c>
      <c r="U204" s="6" t="n">
        <f aca="false">L204</f>
        <v>0</v>
      </c>
      <c r="W204" s="6" t="n">
        <f aca="false">D204</f>
        <v>3.618571429</v>
      </c>
      <c r="X204" s="6" t="n">
        <f aca="false">E204</f>
        <v>0</v>
      </c>
      <c r="Y204" s="6" t="n">
        <f aca="false">F204</f>
        <v>0</v>
      </c>
      <c r="Z204" s="6" t="n">
        <f aca="false">L204</f>
        <v>0</v>
      </c>
      <c r="AA204" s="6" t="n">
        <f aca="false">G204</f>
        <v>0</v>
      </c>
      <c r="AC204" s="6" t="n">
        <f aca="false">D204</f>
        <v>3.618571429</v>
      </c>
      <c r="AD204" s="6" t="n">
        <f aca="false">E204</f>
        <v>0</v>
      </c>
      <c r="AE204" s="6" t="n">
        <f aca="false">G204</f>
        <v>0</v>
      </c>
      <c r="AF204" s="6" t="n">
        <f aca="false">H204</f>
        <v>0</v>
      </c>
      <c r="AG204" s="6" t="n">
        <f aca="false">I204</f>
        <v>0</v>
      </c>
      <c r="AH204" s="6" t="n">
        <f aca="false">L204</f>
        <v>0</v>
      </c>
    </row>
    <row r="205" customFormat="false" ht="15" hidden="false" customHeight="false" outlineLevel="0" collapsed="false">
      <c r="A205" s="0" t="str">
        <f aca="false">'Raw Data'!C205</f>
        <v>Mount Washington</v>
      </c>
      <c r="B205" s="5" t="n">
        <f aca="false">'Raw Data'!A205</f>
        <v>40337</v>
      </c>
      <c r="C205" s="6" t="n">
        <f aca="false">'Raw Data'!D205</f>
        <v>352.430263355828</v>
      </c>
      <c r="D205" s="6" t="n">
        <f aca="false">'Raw Data'!E205</f>
        <v>3.904285714</v>
      </c>
      <c r="E205" s="6" t="n">
        <f aca="false">'Raw Data'!F205</f>
        <v>0</v>
      </c>
      <c r="F205" s="6" t="n">
        <f aca="false">'Raw Data'!G205</f>
        <v>0</v>
      </c>
      <c r="G205" s="6" t="n">
        <f aca="false">'Raw Data'!H205</f>
        <v>1</v>
      </c>
      <c r="H205" s="6" t="n">
        <f aca="false">'Raw Data'!I205</f>
        <v>0</v>
      </c>
      <c r="I205" s="6" t="n">
        <f aca="false">'Raw Data'!J205</f>
        <v>0</v>
      </c>
      <c r="J205" s="6" t="n">
        <f aca="false">'Raw Data'!K205</f>
        <v>0</v>
      </c>
      <c r="K205" s="6" t="n">
        <f aca="false">'Raw Data'!L205</f>
        <v>0</v>
      </c>
      <c r="L205" s="6" t="n">
        <f aca="false">F205*E205</f>
        <v>0</v>
      </c>
      <c r="N205" s="0" t="n">
        <v>1</v>
      </c>
      <c r="O205" s="6" t="n">
        <f aca="false">D205</f>
        <v>3.904285714</v>
      </c>
      <c r="P205" s="6" t="n">
        <f aca="false">E205</f>
        <v>0</v>
      </c>
      <c r="Q205" s="6" t="n">
        <f aca="false">F205</f>
        <v>0</v>
      </c>
      <c r="R205" s="6" t="n">
        <f aca="false">G205</f>
        <v>1</v>
      </c>
      <c r="S205" s="6" t="n">
        <f aca="false">H205</f>
        <v>0</v>
      </c>
      <c r="T205" s="6" t="n">
        <f aca="false">I205</f>
        <v>0</v>
      </c>
      <c r="U205" s="6" t="n">
        <f aca="false">L205</f>
        <v>0</v>
      </c>
      <c r="W205" s="6" t="n">
        <f aca="false">D205</f>
        <v>3.904285714</v>
      </c>
      <c r="X205" s="6" t="n">
        <f aca="false">E205</f>
        <v>0</v>
      </c>
      <c r="Y205" s="6" t="n">
        <f aca="false">F205</f>
        <v>0</v>
      </c>
      <c r="Z205" s="6" t="n">
        <f aca="false">L205</f>
        <v>0</v>
      </c>
      <c r="AA205" s="6" t="n">
        <f aca="false">G205</f>
        <v>1</v>
      </c>
      <c r="AC205" s="6" t="n">
        <f aca="false">D205</f>
        <v>3.904285714</v>
      </c>
      <c r="AD205" s="6" t="n">
        <f aca="false">E205</f>
        <v>0</v>
      </c>
      <c r="AE205" s="6" t="n">
        <f aca="false">G205</f>
        <v>1</v>
      </c>
      <c r="AF205" s="6" t="n">
        <f aca="false">H205</f>
        <v>0</v>
      </c>
      <c r="AG205" s="6" t="n">
        <f aca="false">I205</f>
        <v>0</v>
      </c>
      <c r="AH205" s="6" t="n">
        <f aca="false">L205</f>
        <v>0</v>
      </c>
    </row>
    <row r="206" customFormat="false" ht="15" hidden="false" customHeight="false" outlineLevel="0" collapsed="false">
      <c r="A206" s="0" t="str">
        <f aca="false">'Raw Data'!C206</f>
        <v>Mount Washington</v>
      </c>
      <c r="B206" s="5" t="n">
        <f aca="false">'Raw Data'!A206</f>
        <v>40344</v>
      </c>
      <c r="C206" s="6" t="n">
        <f aca="false">'Raw Data'!D206</f>
        <v>186.667808287709</v>
      </c>
      <c r="D206" s="6" t="n">
        <f aca="false">'Raw Data'!E206</f>
        <v>3.904285714</v>
      </c>
      <c r="E206" s="6" t="n">
        <f aca="false">'Raw Data'!F206</f>
        <v>0</v>
      </c>
      <c r="F206" s="6" t="n">
        <f aca="false">'Raw Data'!G206</f>
        <v>0</v>
      </c>
      <c r="G206" s="6" t="n">
        <f aca="false">'Raw Data'!H206</f>
        <v>0</v>
      </c>
      <c r="H206" s="6" t="n">
        <f aca="false">'Raw Data'!I206</f>
        <v>1</v>
      </c>
      <c r="I206" s="6" t="n">
        <f aca="false">'Raw Data'!J206</f>
        <v>0</v>
      </c>
      <c r="J206" s="6" t="n">
        <f aca="false">'Raw Data'!K206</f>
        <v>0</v>
      </c>
      <c r="K206" s="6" t="n">
        <f aca="false">'Raw Data'!L206</f>
        <v>0</v>
      </c>
      <c r="L206" s="6" t="n">
        <f aca="false">F206*E206</f>
        <v>0</v>
      </c>
      <c r="N206" s="0" t="n">
        <v>1</v>
      </c>
      <c r="O206" s="6" t="n">
        <f aca="false">D206</f>
        <v>3.904285714</v>
      </c>
      <c r="P206" s="6" t="n">
        <f aca="false">E206</f>
        <v>0</v>
      </c>
      <c r="Q206" s="6" t="n">
        <f aca="false">F206</f>
        <v>0</v>
      </c>
      <c r="R206" s="6" t="n">
        <f aca="false">G206</f>
        <v>0</v>
      </c>
      <c r="S206" s="6" t="n">
        <f aca="false">H206</f>
        <v>1</v>
      </c>
      <c r="T206" s="6" t="n">
        <f aca="false">I206</f>
        <v>0</v>
      </c>
      <c r="U206" s="6" t="n">
        <f aca="false">L206</f>
        <v>0</v>
      </c>
      <c r="W206" s="6" t="n">
        <f aca="false">D206</f>
        <v>3.904285714</v>
      </c>
      <c r="X206" s="6" t="n">
        <f aca="false">E206</f>
        <v>0</v>
      </c>
      <c r="Y206" s="6" t="n">
        <f aca="false">F206</f>
        <v>0</v>
      </c>
      <c r="Z206" s="6" t="n">
        <f aca="false">L206</f>
        <v>0</v>
      </c>
      <c r="AA206" s="6" t="n">
        <f aca="false">G206</f>
        <v>0</v>
      </c>
      <c r="AC206" s="6" t="n">
        <f aca="false">D206</f>
        <v>3.904285714</v>
      </c>
      <c r="AD206" s="6" t="n">
        <f aca="false">E206</f>
        <v>0</v>
      </c>
      <c r="AE206" s="6" t="n">
        <f aca="false">G206</f>
        <v>0</v>
      </c>
      <c r="AF206" s="6" t="n">
        <f aca="false">H206</f>
        <v>1</v>
      </c>
      <c r="AG206" s="6" t="n">
        <f aca="false">I206</f>
        <v>0</v>
      </c>
      <c r="AH206" s="6" t="n">
        <f aca="false">L206</f>
        <v>0</v>
      </c>
    </row>
    <row r="207" customFormat="false" ht="15" hidden="false" customHeight="false" outlineLevel="0" collapsed="false">
      <c r="A207" s="0" t="str">
        <f aca="false">'Raw Data'!C207</f>
        <v>Mount Washington</v>
      </c>
      <c r="B207" s="5" t="n">
        <f aca="false">'Raw Data'!A207</f>
        <v>40351</v>
      </c>
      <c r="C207" s="6" t="n">
        <f aca="false">'Raw Data'!D207</f>
        <v>290.779603084597</v>
      </c>
      <c r="D207" s="6" t="n">
        <f aca="false">'Raw Data'!E207</f>
        <v>3.904285714</v>
      </c>
      <c r="E207" s="6" t="n">
        <f aca="false">'Raw Data'!F207</f>
        <v>0</v>
      </c>
      <c r="F207" s="6" t="n">
        <f aca="false">'Raw Data'!G207</f>
        <v>0</v>
      </c>
      <c r="G207" s="6" t="n">
        <f aca="false">'Raw Data'!H207</f>
        <v>0</v>
      </c>
      <c r="H207" s="6" t="n">
        <f aca="false">'Raw Data'!I207</f>
        <v>1</v>
      </c>
      <c r="I207" s="6" t="n">
        <f aca="false">'Raw Data'!J207</f>
        <v>0</v>
      </c>
      <c r="J207" s="6" t="n">
        <f aca="false">'Raw Data'!K207</f>
        <v>0</v>
      </c>
      <c r="K207" s="6" t="n">
        <f aca="false">'Raw Data'!L207</f>
        <v>0</v>
      </c>
      <c r="L207" s="6" t="n">
        <f aca="false">F207*E207</f>
        <v>0</v>
      </c>
      <c r="N207" s="0" t="n">
        <v>1</v>
      </c>
      <c r="O207" s="6" t="n">
        <f aca="false">D207</f>
        <v>3.904285714</v>
      </c>
      <c r="P207" s="6" t="n">
        <f aca="false">E207</f>
        <v>0</v>
      </c>
      <c r="Q207" s="6" t="n">
        <f aca="false">F207</f>
        <v>0</v>
      </c>
      <c r="R207" s="6" t="n">
        <f aca="false">G207</f>
        <v>0</v>
      </c>
      <c r="S207" s="6" t="n">
        <f aca="false">H207</f>
        <v>1</v>
      </c>
      <c r="T207" s="6" t="n">
        <f aca="false">I207</f>
        <v>0</v>
      </c>
      <c r="U207" s="6" t="n">
        <f aca="false">L207</f>
        <v>0</v>
      </c>
      <c r="W207" s="6" t="n">
        <f aca="false">D207</f>
        <v>3.904285714</v>
      </c>
      <c r="X207" s="6" t="n">
        <f aca="false">E207</f>
        <v>0</v>
      </c>
      <c r="Y207" s="6" t="n">
        <f aca="false">F207</f>
        <v>0</v>
      </c>
      <c r="Z207" s="6" t="n">
        <f aca="false">L207</f>
        <v>0</v>
      </c>
      <c r="AA207" s="6" t="n">
        <f aca="false">G207</f>
        <v>0</v>
      </c>
      <c r="AC207" s="6" t="n">
        <f aca="false">D207</f>
        <v>3.904285714</v>
      </c>
      <c r="AD207" s="6" t="n">
        <f aca="false">E207</f>
        <v>0</v>
      </c>
      <c r="AE207" s="6" t="n">
        <f aca="false">G207</f>
        <v>0</v>
      </c>
      <c r="AF207" s="6" t="n">
        <f aca="false">H207</f>
        <v>1</v>
      </c>
      <c r="AG207" s="6" t="n">
        <f aca="false">I207</f>
        <v>0</v>
      </c>
      <c r="AH207" s="6" t="n">
        <f aca="false">L207</f>
        <v>0</v>
      </c>
    </row>
    <row r="208" customFormat="false" ht="15" hidden="false" customHeight="false" outlineLevel="0" collapsed="false">
      <c r="A208" s="0" t="str">
        <f aca="false">'Raw Data'!C208</f>
        <v>Mount Washington</v>
      </c>
      <c r="B208" s="5" t="n">
        <f aca="false">'Raw Data'!A208</f>
        <v>40358</v>
      </c>
      <c r="C208" s="6" t="n">
        <f aca="false">'Raw Data'!D208</f>
        <v>273.343713541105</v>
      </c>
      <c r="D208" s="6" t="n">
        <f aca="false">'Raw Data'!E208</f>
        <v>3.904285714</v>
      </c>
      <c r="E208" s="6" t="n">
        <f aca="false">'Raw Data'!F208</f>
        <v>0</v>
      </c>
      <c r="F208" s="6" t="n">
        <f aca="false">'Raw Data'!G208</f>
        <v>0</v>
      </c>
      <c r="G208" s="6" t="n">
        <f aca="false">'Raw Data'!H208</f>
        <v>0</v>
      </c>
      <c r="H208" s="6" t="n">
        <f aca="false">'Raw Data'!I208</f>
        <v>1</v>
      </c>
      <c r="I208" s="6" t="n">
        <f aca="false">'Raw Data'!J208</f>
        <v>0</v>
      </c>
      <c r="J208" s="6" t="n">
        <f aca="false">'Raw Data'!K208</f>
        <v>0</v>
      </c>
      <c r="K208" s="6" t="n">
        <f aca="false">'Raw Data'!L208</f>
        <v>0</v>
      </c>
      <c r="L208" s="6" t="n">
        <f aca="false">F208*E208</f>
        <v>0</v>
      </c>
      <c r="N208" s="0" t="n">
        <v>1</v>
      </c>
      <c r="O208" s="6" t="n">
        <f aca="false">D208</f>
        <v>3.904285714</v>
      </c>
      <c r="P208" s="6" t="n">
        <f aca="false">E208</f>
        <v>0</v>
      </c>
      <c r="Q208" s="6" t="n">
        <f aca="false">F208</f>
        <v>0</v>
      </c>
      <c r="R208" s="6" t="n">
        <f aca="false">G208</f>
        <v>0</v>
      </c>
      <c r="S208" s="6" t="n">
        <f aca="false">H208</f>
        <v>1</v>
      </c>
      <c r="T208" s="6" t="n">
        <f aca="false">I208</f>
        <v>0</v>
      </c>
      <c r="U208" s="6" t="n">
        <f aca="false">L208</f>
        <v>0</v>
      </c>
      <c r="W208" s="6" t="n">
        <f aca="false">D208</f>
        <v>3.904285714</v>
      </c>
      <c r="X208" s="6" t="n">
        <f aca="false">E208</f>
        <v>0</v>
      </c>
      <c r="Y208" s="6" t="n">
        <f aca="false">F208</f>
        <v>0</v>
      </c>
      <c r="Z208" s="6" t="n">
        <f aca="false">L208</f>
        <v>0</v>
      </c>
      <c r="AA208" s="6" t="n">
        <f aca="false">G208</f>
        <v>0</v>
      </c>
      <c r="AC208" s="6" t="n">
        <f aca="false">D208</f>
        <v>3.904285714</v>
      </c>
      <c r="AD208" s="6" t="n">
        <f aca="false">E208</f>
        <v>0</v>
      </c>
      <c r="AE208" s="6" t="n">
        <f aca="false">G208</f>
        <v>0</v>
      </c>
      <c r="AF208" s="6" t="n">
        <f aca="false">H208</f>
        <v>1</v>
      </c>
      <c r="AG208" s="6" t="n">
        <f aca="false">I208</f>
        <v>0</v>
      </c>
      <c r="AH208" s="6" t="n">
        <f aca="false">L208</f>
        <v>0</v>
      </c>
    </row>
    <row r="209" customFormat="false" ht="15" hidden="false" customHeight="false" outlineLevel="0" collapsed="false">
      <c r="A209" s="0" t="str">
        <f aca="false">'Raw Data'!C209</f>
        <v>Mount Washington</v>
      </c>
      <c r="B209" s="5" t="n">
        <f aca="false">'Raw Data'!A209</f>
        <v>40365</v>
      </c>
      <c r="C209" s="6" t="n">
        <f aca="false">'Raw Data'!D209</f>
        <v>299.305548247113</v>
      </c>
      <c r="D209" s="6" t="n">
        <f aca="false">'Raw Data'!E209</f>
        <v>3.608571429</v>
      </c>
      <c r="E209" s="6" t="n">
        <f aca="false">'Raw Data'!F209</f>
        <v>0</v>
      </c>
      <c r="F209" s="6" t="n">
        <f aca="false">'Raw Data'!G209</f>
        <v>0</v>
      </c>
      <c r="G209" s="6" t="n">
        <f aca="false">'Raw Data'!H209</f>
        <v>0</v>
      </c>
      <c r="H209" s="6" t="n">
        <f aca="false">'Raw Data'!I209</f>
        <v>0</v>
      </c>
      <c r="I209" s="6" t="n">
        <f aca="false">'Raw Data'!J209</f>
        <v>1</v>
      </c>
      <c r="J209" s="6" t="n">
        <f aca="false">'Raw Data'!K209</f>
        <v>0</v>
      </c>
      <c r="K209" s="6" t="n">
        <f aca="false">'Raw Data'!L209</f>
        <v>0</v>
      </c>
      <c r="L209" s="6" t="n">
        <f aca="false">F209*E209</f>
        <v>0</v>
      </c>
      <c r="N209" s="0" t="n">
        <v>1</v>
      </c>
      <c r="O209" s="6" t="n">
        <f aca="false">D209</f>
        <v>3.608571429</v>
      </c>
      <c r="P209" s="6" t="n">
        <f aca="false">E209</f>
        <v>0</v>
      </c>
      <c r="Q209" s="6" t="n">
        <f aca="false">F209</f>
        <v>0</v>
      </c>
      <c r="R209" s="6" t="n">
        <f aca="false">G209</f>
        <v>0</v>
      </c>
      <c r="S209" s="6" t="n">
        <f aca="false">H209</f>
        <v>0</v>
      </c>
      <c r="T209" s="6" t="n">
        <f aca="false">I209</f>
        <v>1</v>
      </c>
      <c r="U209" s="6" t="n">
        <f aca="false">L209</f>
        <v>0</v>
      </c>
      <c r="W209" s="6" t="n">
        <f aca="false">D209</f>
        <v>3.608571429</v>
      </c>
      <c r="X209" s="6" t="n">
        <f aca="false">E209</f>
        <v>0</v>
      </c>
      <c r="Y209" s="6" t="n">
        <f aca="false">F209</f>
        <v>0</v>
      </c>
      <c r="Z209" s="6" t="n">
        <f aca="false">L209</f>
        <v>0</v>
      </c>
      <c r="AA209" s="6" t="n">
        <f aca="false">G209</f>
        <v>0</v>
      </c>
      <c r="AC209" s="6" t="n">
        <f aca="false">D209</f>
        <v>3.608571429</v>
      </c>
      <c r="AD209" s="6" t="n">
        <f aca="false">E209</f>
        <v>0</v>
      </c>
      <c r="AE209" s="6" t="n">
        <f aca="false">G209</f>
        <v>0</v>
      </c>
      <c r="AF209" s="6" t="n">
        <f aca="false">H209</f>
        <v>0</v>
      </c>
      <c r="AG209" s="6" t="n">
        <f aca="false">I209</f>
        <v>1</v>
      </c>
      <c r="AH209" s="6" t="n">
        <f aca="false">L209</f>
        <v>0</v>
      </c>
    </row>
    <row r="210" customFormat="false" ht="15" hidden="false" customHeight="false" outlineLevel="0" collapsed="false">
      <c r="A210" s="0" t="str">
        <f aca="false">'Raw Data'!C210</f>
        <v>Mount Washington</v>
      </c>
      <c r="B210" s="5" t="n">
        <f aca="false">'Raw Data'!A210</f>
        <v>40372</v>
      </c>
      <c r="C210" s="6" t="n">
        <f aca="false">'Raw Data'!D210</f>
        <v>249.274248175315</v>
      </c>
      <c r="D210" s="6" t="n">
        <f aca="false">'Raw Data'!E210</f>
        <v>3.608571429</v>
      </c>
      <c r="E210" s="6" t="n">
        <f aca="false">'Raw Data'!F210</f>
        <v>0</v>
      </c>
      <c r="F210" s="6" t="n">
        <f aca="false">'Raw Data'!G210</f>
        <v>0</v>
      </c>
      <c r="G210" s="6" t="n">
        <f aca="false">'Raw Data'!H210</f>
        <v>0</v>
      </c>
      <c r="H210" s="6" t="n">
        <f aca="false">'Raw Data'!I210</f>
        <v>0</v>
      </c>
      <c r="I210" s="6" t="n">
        <f aca="false">'Raw Data'!J210</f>
        <v>1</v>
      </c>
      <c r="J210" s="6" t="n">
        <f aca="false">'Raw Data'!K210</f>
        <v>0</v>
      </c>
      <c r="K210" s="6" t="n">
        <f aca="false">'Raw Data'!L210</f>
        <v>0</v>
      </c>
      <c r="L210" s="6" t="n">
        <f aca="false">F210*E210</f>
        <v>0</v>
      </c>
      <c r="N210" s="0" t="n">
        <v>1</v>
      </c>
      <c r="O210" s="6" t="n">
        <f aca="false">D210</f>
        <v>3.608571429</v>
      </c>
      <c r="P210" s="6" t="n">
        <f aca="false">E210</f>
        <v>0</v>
      </c>
      <c r="Q210" s="6" t="n">
        <f aca="false">F210</f>
        <v>0</v>
      </c>
      <c r="R210" s="6" t="n">
        <f aca="false">G210</f>
        <v>0</v>
      </c>
      <c r="S210" s="6" t="n">
        <f aca="false">H210</f>
        <v>0</v>
      </c>
      <c r="T210" s="6" t="n">
        <f aca="false">I210</f>
        <v>1</v>
      </c>
      <c r="U210" s="6" t="n">
        <f aca="false">L210</f>
        <v>0</v>
      </c>
      <c r="W210" s="6" t="n">
        <f aca="false">D210</f>
        <v>3.608571429</v>
      </c>
      <c r="X210" s="6" t="n">
        <f aca="false">E210</f>
        <v>0</v>
      </c>
      <c r="Y210" s="6" t="n">
        <f aca="false">F210</f>
        <v>0</v>
      </c>
      <c r="Z210" s="6" t="n">
        <f aca="false">L210</f>
        <v>0</v>
      </c>
      <c r="AA210" s="6" t="n">
        <f aca="false">G210</f>
        <v>0</v>
      </c>
      <c r="AC210" s="6" t="n">
        <f aca="false">D210</f>
        <v>3.608571429</v>
      </c>
      <c r="AD210" s="6" t="n">
        <f aca="false">E210</f>
        <v>0</v>
      </c>
      <c r="AE210" s="6" t="n">
        <f aca="false">G210</f>
        <v>0</v>
      </c>
      <c r="AF210" s="6" t="n">
        <f aca="false">H210</f>
        <v>0</v>
      </c>
      <c r="AG210" s="6" t="n">
        <f aca="false">I210</f>
        <v>1</v>
      </c>
      <c r="AH210" s="6" t="n">
        <f aca="false">L210</f>
        <v>0</v>
      </c>
    </row>
    <row r="211" customFormat="false" ht="15" hidden="false" customHeight="false" outlineLevel="0" collapsed="false">
      <c r="A211" s="0" t="str">
        <f aca="false">'Raw Data'!C211</f>
        <v>Old Town</v>
      </c>
      <c r="B211" s="5" t="n">
        <f aca="false">'Raw Data'!A211</f>
        <v>40302</v>
      </c>
      <c r="C211" s="6" t="n">
        <f aca="false">'Raw Data'!D211</f>
        <v>113.510731227795</v>
      </c>
      <c r="D211" s="6" t="n">
        <f aca="false">'Raw Data'!E211</f>
        <v>3.904285714</v>
      </c>
      <c r="E211" s="6" t="n">
        <f aca="false">'Raw Data'!F211</f>
        <v>0</v>
      </c>
      <c r="F211" s="6" t="n">
        <f aca="false">'Raw Data'!G211</f>
        <v>0</v>
      </c>
      <c r="G211" s="6" t="n">
        <f aca="false">'Raw Data'!H211</f>
        <v>0</v>
      </c>
      <c r="H211" s="6" t="n">
        <f aca="false">'Raw Data'!I211</f>
        <v>0</v>
      </c>
      <c r="I211" s="6" t="n">
        <f aca="false">'Raw Data'!J211</f>
        <v>0</v>
      </c>
      <c r="J211" s="6" t="n">
        <f aca="false">'Raw Data'!K211</f>
        <v>1</v>
      </c>
      <c r="K211" s="6" t="n">
        <f aca="false">'Raw Data'!L211</f>
        <v>4</v>
      </c>
      <c r="L211" s="6" t="n">
        <f aca="false">F211*E211</f>
        <v>0</v>
      </c>
      <c r="N211" s="0" t="n">
        <v>1</v>
      </c>
      <c r="O211" s="6" t="n">
        <f aca="false">D211</f>
        <v>3.904285714</v>
      </c>
      <c r="P211" s="6" t="n">
        <f aca="false">E211</f>
        <v>0</v>
      </c>
      <c r="Q211" s="6" t="n">
        <f aca="false">F211</f>
        <v>0</v>
      </c>
      <c r="R211" s="6" t="n">
        <f aca="false">G211</f>
        <v>0</v>
      </c>
      <c r="S211" s="6" t="n">
        <f aca="false">H211</f>
        <v>0</v>
      </c>
      <c r="T211" s="6" t="n">
        <f aca="false">I211</f>
        <v>0</v>
      </c>
      <c r="U211" s="6" t="n">
        <f aca="false">L211</f>
        <v>0</v>
      </c>
      <c r="W211" s="6" t="n">
        <f aca="false">D211</f>
        <v>3.904285714</v>
      </c>
      <c r="X211" s="6" t="n">
        <f aca="false">E211</f>
        <v>0</v>
      </c>
      <c r="Y211" s="6" t="n">
        <f aca="false">F211</f>
        <v>0</v>
      </c>
      <c r="Z211" s="6" t="n">
        <f aca="false">L211</f>
        <v>0</v>
      </c>
      <c r="AA211" s="6" t="n">
        <f aca="false">G211</f>
        <v>0</v>
      </c>
      <c r="AC211" s="6" t="n">
        <f aca="false">D211</f>
        <v>3.904285714</v>
      </c>
      <c r="AD211" s="6" t="n">
        <f aca="false">E211</f>
        <v>0</v>
      </c>
      <c r="AE211" s="6" t="n">
        <f aca="false">G211</f>
        <v>0</v>
      </c>
      <c r="AF211" s="6" t="n">
        <f aca="false">H211</f>
        <v>0</v>
      </c>
      <c r="AG211" s="6" t="n">
        <f aca="false">I211</f>
        <v>0</v>
      </c>
      <c r="AH211" s="6" t="n">
        <f aca="false">L211</f>
        <v>0</v>
      </c>
    </row>
    <row r="212" customFormat="false" ht="15" hidden="false" customHeight="false" outlineLevel="0" collapsed="false">
      <c r="A212" s="0" t="str">
        <f aca="false">'Raw Data'!C212</f>
        <v>Old Town</v>
      </c>
      <c r="B212" s="5" t="n">
        <f aca="false">'Raw Data'!A212</f>
        <v>40309</v>
      </c>
      <c r="C212" s="6" t="n">
        <f aca="false">'Raw Data'!D212</f>
        <v>267.531389973981</v>
      </c>
      <c r="D212" s="6" t="n">
        <f aca="false">'Raw Data'!E212</f>
        <v>3.54</v>
      </c>
      <c r="E212" s="6" t="n">
        <f aca="false">'Raw Data'!F212</f>
        <v>0</v>
      </c>
      <c r="F212" s="6" t="n">
        <f aca="false">'Raw Data'!G212</f>
        <v>0</v>
      </c>
      <c r="G212" s="6" t="n">
        <f aca="false">'Raw Data'!H212</f>
        <v>0</v>
      </c>
      <c r="H212" s="6" t="n">
        <f aca="false">'Raw Data'!I212</f>
        <v>0</v>
      </c>
      <c r="I212" s="6" t="n">
        <f aca="false">'Raw Data'!J212</f>
        <v>0</v>
      </c>
      <c r="J212" s="6" t="n">
        <f aca="false">'Raw Data'!K212</f>
        <v>1</v>
      </c>
      <c r="K212" s="6" t="n">
        <f aca="false">'Raw Data'!L212</f>
        <v>4</v>
      </c>
      <c r="L212" s="6" t="n">
        <f aca="false">F212*E212</f>
        <v>0</v>
      </c>
      <c r="N212" s="0" t="n">
        <v>1</v>
      </c>
      <c r="O212" s="6" t="n">
        <f aca="false">D212</f>
        <v>3.54</v>
      </c>
      <c r="P212" s="6" t="n">
        <f aca="false">E212</f>
        <v>0</v>
      </c>
      <c r="Q212" s="6" t="n">
        <f aca="false">F212</f>
        <v>0</v>
      </c>
      <c r="R212" s="6" t="n">
        <f aca="false">G212</f>
        <v>0</v>
      </c>
      <c r="S212" s="6" t="n">
        <f aca="false">H212</f>
        <v>0</v>
      </c>
      <c r="T212" s="6" t="n">
        <f aca="false">I212</f>
        <v>0</v>
      </c>
      <c r="U212" s="6" t="n">
        <f aca="false">L212</f>
        <v>0</v>
      </c>
      <c r="W212" s="6" t="n">
        <f aca="false">D212</f>
        <v>3.54</v>
      </c>
      <c r="X212" s="6" t="n">
        <f aca="false">E212</f>
        <v>0</v>
      </c>
      <c r="Y212" s="6" t="n">
        <f aca="false">F212</f>
        <v>0</v>
      </c>
      <c r="Z212" s="6" t="n">
        <f aca="false">L212</f>
        <v>0</v>
      </c>
      <c r="AA212" s="6" t="n">
        <f aca="false">G212</f>
        <v>0</v>
      </c>
      <c r="AC212" s="6" t="n">
        <f aca="false">D212</f>
        <v>3.54</v>
      </c>
      <c r="AD212" s="6" t="n">
        <f aca="false">E212</f>
        <v>0</v>
      </c>
      <c r="AE212" s="6" t="n">
        <f aca="false">G212</f>
        <v>0</v>
      </c>
      <c r="AF212" s="6" t="n">
        <f aca="false">H212</f>
        <v>0</v>
      </c>
      <c r="AG212" s="6" t="n">
        <f aca="false">I212</f>
        <v>0</v>
      </c>
      <c r="AH212" s="6" t="n">
        <f aca="false">L212</f>
        <v>0</v>
      </c>
    </row>
    <row r="213" customFormat="false" ht="15" hidden="false" customHeight="false" outlineLevel="0" collapsed="false">
      <c r="A213" s="0" t="str">
        <f aca="false">'Raw Data'!C213</f>
        <v>Old Town</v>
      </c>
      <c r="B213" s="5" t="n">
        <f aca="false">'Raw Data'!A213</f>
        <v>40316</v>
      </c>
      <c r="C213" s="6" t="n">
        <f aca="false">'Raw Data'!D213</f>
        <v>175.828553888557</v>
      </c>
      <c r="D213" s="6" t="n">
        <f aca="false">'Raw Data'!E213</f>
        <v>3.34</v>
      </c>
      <c r="E213" s="6" t="n">
        <f aca="false">'Raw Data'!F213</f>
        <v>0</v>
      </c>
      <c r="F213" s="6" t="n">
        <f aca="false">'Raw Data'!G213</f>
        <v>0</v>
      </c>
      <c r="G213" s="6" t="n">
        <f aca="false">'Raw Data'!H213</f>
        <v>0</v>
      </c>
      <c r="H213" s="6" t="n">
        <f aca="false">'Raw Data'!I213</f>
        <v>0</v>
      </c>
      <c r="I213" s="6" t="n">
        <f aca="false">'Raw Data'!J213</f>
        <v>0</v>
      </c>
      <c r="J213" s="6" t="n">
        <f aca="false">'Raw Data'!K213</f>
        <v>1</v>
      </c>
      <c r="K213" s="6" t="n">
        <f aca="false">'Raw Data'!L213</f>
        <v>4</v>
      </c>
      <c r="L213" s="6" t="n">
        <f aca="false">F213*E213</f>
        <v>0</v>
      </c>
      <c r="N213" s="0" t="n">
        <v>1</v>
      </c>
      <c r="O213" s="6" t="n">
        <f aca="false">D213</f>
        <v>3.34</v>
      </c>
      <c r="P213" s="6" t="n">
        <f aca="false">E213</f>
        <v>0</v>
      </c>
      <c r="Q213" s="6" t="n">
        <f aca="false">F213</f>
        <v>0</v>
      </c>
      <c r="R213" s="6" t="n">
        <f aca="false">G213</f>
        <v>0</v>
      </c>
      <c r="S213" s="6" t="n">
        <f aca="false">H213</f>
        <v>0</v>
      </c>
      <c r="T213" s="6" t="n">
        <f aca="false">I213</f>
        <v>0</v>
      </c>
      <c r="U213" s="6" t="n">
        <f aca="false">L213</f>
        <v>0</v>
      </c>
      <c r="W213" s="6" t="n">
        <f aca="false">D213</f>
        <v>3.34</v>
      </c>
      <c r="X213" s="6" t="n">
        <f aca="false">E213</f>
        <v>0</v>
      </c>
      <c r="Y213" s="6" t="n">
        <f aca="false">F213</f>
        <v>0</v>
      </c>
      <c r="Z213" s="6" t="n">
        <f aca="false">L213</f>
        <v>0</v>
      </c>
      <c r="AA213" s="6" t="n">
        <f aca="false">G213</f>
        <v>0</v>
      </c>
      <c r="AC213" s="6" t="n">
        <f aca="false">D213</f>
        <v>3.34</v>
      </c>
      <c r="AD213" s="6" t="n">
        <f aca="false">E213</f>
        <v>0</v>
      </c>
      <c r="AE213" s="6" t="n">
        <f aca="false">G213</f>
        <v>0</v>
      </c>
      <c r="AF213" s="6" t="n">
        <f aca="false">H213</f>
        <v>0</v>
      </c>
      <c r="AG213" s="6" t="n">
        <f aca="false">I213</f>
        <v>0</v>
      </c>
      <c r="AH213" s="6" t="n">
        <f aca="false">L213</f>
        <v>0</v>
      </c>
    </row>
    <row r="214" customFormat="false" ht="15" hidden="false" customHeight="false" outlineLevel="0" collapsed="false">
      <c r="A214" s="0" t="str">
        <f aca="false">'Raw Data'!C214</f>
        <v>Old Town</v>
      </c>
      <c r="B214" s="5" t="n">
        <f aca="false">'Raw Data'!A214</f>
        <v>40323</v>
      </c>
      <c r="C214" s="6" t="n">
        <f aca="false">'Raw Data'!D214</f>
        <v>235.56756669018</v>
      </c>
      <c r="D214" s="6" t="n">
        <f aca="false">'Raw Data'!E214</f>
        <v>3.412222222</v>
      </c>
      <c r="E214" s="6" t="n">
        <f aca="false">'Raw Data'!F214</f>
        <v>0</v>
      </c>
      <c r="F214" s="6" t="n">
        <f aca="false">'Raw Data'!G214</f>
        <v>0</v>
      </c>
      <c r="G214" s="6" t="n">
        <f aca="false">'Raw Data'!H214</f>
        <v>0</v>
      </c>
      <c r="H214" s="6" t="n">
        <f aca="false">'Raw Data'!I214</f>
        <v>0</v>
      </c>
      <c r="I214" s="6" t="n">
        <f aca="false">'Raw Data'!J214</f>
        <v>0</v>
      </c>
      <c r="J214" s="6" t="n">
        <f aca="false">'Raw Data'!K214</f>
        <v>1</v>
      </c>
      <c r="K214" s="6" t="n">
        <f aca="false">'Raw Data'!L214</f>
        <v>4</v>
      </c>
      <c r="L214" s="6" t="n">
        <f aca="false">F214*E214</f>
        <v>0</v>
      </c>
      <c r="N214" s="0" t="n">
        <v>1</v>
      </c>
      <c r="O214" s="6" t="n">
        <f aca="false">D214</f>
        <v>3.412222222</v>
      </c>
      <c r="P214" s="6" t="n">
        <f aca="false">E214</f>
        <v>0</v>
      </c>
      <c r="Q214" s="6" t="n">
        <f aca="false">F214</f>
        <v>0</v>
      </c>
      <c r="R214" s="6" t="n">
        <f aca="false">G214</f>
        <v>0</v>
      </c>
      <c r="S214" s="6" t="n">
        <f aca="false">H214</f>
        <v>0</v>
      </c>
      <c r="T214" s="6" t="n">
        <f aca="false">I214</f>
        <v>0</v>
      </c>
      <c r="U214" s="6" t="n">
        <f aca="false">L214</f>
        <v>0</v>
      </c>
      <c r="W214" s="6" t="n">
        <f aca="false">D214</f>
        <v>3.412222222</v>
      </c>
      <c r="X214" s="6" t="n">
        <f aca="false">E214</f>
        <v>0</v>
      </c>
      <c r="Y214" s="6" t="n">
        <f aca="false">F214</f>
        <v>0</v>
      </c>
      <c r="Z214" s="6" t="n">
        <f aca="false">L214</f>
        <v>0</v>
      </c>
      <c r="AA214" s="6" t="n">
        <f aca="false">G214</f>
        <v>0</v>
      </c>
      <c r="AC214" s="6" t="n">
        <f aca="false">D214</f>
        <v>3.412222222</v>
      </c>
      <c r="AD214" s="6" t="n">
        <f aca="false">E214</f>
        <v>0</v>
      </c>
      <c r="AE214" s="6" t="n">
        <f aca="false">G214</f>
        <v>0</v>
      </c>
      <c r="AF214" s="6" t="n">
        <f aca="false">H214</f>
        <v>0</v>
      </c>
      <c r="AG214" s="6" t="n">
        <f aca="false">I214</f>
        <v>0</v>
      </c>
      <c r="AH214" s="6" t="n">
        <f aca="false">L214</f>
        <v>0</v>
      </c>
    </row>
    <row r="215" customFormat="false" ht="15" hidden="false" customHeight="false" outlineLevel="0" collapsed="false">
      <c r="A215" s="0" t="str">
        <f aca="false">'Raw Data'!C215</f>
        <v>Old Town</v>
      </c>
      <c r="B215" s="5" t="n">
        <f aca="false">'Raw Data'!A215</f>
        <v>40330</v>
      </c>
      <c r="C215" s="6" t="n">
        <f aca="false">'Raw Data'!D215</f>
        <v>151.337270373099</v>
      </c>
      <c r="D215" s="6" t="n">
        <f aca="false">'Raw Data'!E215</f>
        <v>3.34</v>
      </c>
      <c r="E215" s="6" t="n">
        <f aca="false">'Raw Data'!F215</f>
        <v>0</v>
      </c>
      <c r="F215" s="6" t="n">
        <f aca="false">'Raw Data'!G215</f>
        <v>0</v>
      </c>
      <c r="G215" s="6" t="n">
        <f aca="false">'Raw Data'!H215</f>
        <v>0</v>
      </c>
      <c r="H215" s="6" t="n">
        <f aca="false">'Raw Data'!I215</f>
        <v>0</v>
      </c>
      <c r="I215" s="6" t="n">
        <f aca="false">'Raw Data'!J215</f>
        <v>0</v>
      </c>
      <c r="J215" s="6" t="n">
        <f aca="false">'Raw Data'!K215</f>
        <v>1</v>
      </c>
      <c r="K215" s="6" t="n">
        <f aca="false">'Raw Data'!L215</f>
        <v>4</v>
      </c>
      <c r="L215" s="6" t="n">
        <f aca="false">F215*E215</f>
        <v>0</v>
      </c>
      <c r="N215" s="0" t="n">
        <v>1</v>
      </c>
      <c r="O215" s="6" t="n">
        <f aca="false">D215</f>
        <v>3.34</v>
      </c>
      <c r="P215" s="6" t="n">
        <f aca="false">E215</f>
        <v>0</v>
      </c>
      <c r="Q215" s="6" t="n">
        <f aca="false">F215</f>
        <v>0</v>
      </c>
      <c r="R215" s="6" t="n">
        <f aca="false">G215</f>
        <v>0</v>
      </c>
      <c r="S215" s="6" t="n">
        <f aca="false">H215</f>
        <v>0</v>
      </c>
      <c r="T215" s="6" t="n">
        <f aca="false">I215</f>
        <v>0</v>
      </c>
      <c r="U215" s="6" t="n">
        <f aca="false">L215</f>
        <v>0</v>
      </c>
      <c r="W215" s="6" t="n">
        <f aca="false">D215</f>
        <v>3.34</v>
      </c>
      <c r="X215" s="6" t="n">
        <f aca="false">E215</f>
        <v>0</v>
      </c>
      <c r="Y215" s="6" t="n">
        <f aca="false">F215</f>
        <v>0</v>
      </c>
      <c r="Z215" s="6" t="n">
        <f aca="false">L215</f>
        <v>0</v>
      </c>
      <c r="AA215" s="6" t="n">
        <f aca="false">G215</f>
        <v>0</v>
      </c>
      <c r="AC215" s="6" t="n">
        <f aca="false">D215</f>
        <v>3.34</v>
      </c>
      <c r="AD215" s="6" t="n">
        <f aca="false">E215</f>
        <v>0</v>
      </c>
      <c r="AE215" s="6" t="n">
        <f aca="false">G215</f>
        <v>0</v>
      </c>
      <c r="AF215" s="6" t="n">
        <f aca="false">H215</f>
        <v>0</v>
      </c>
      <c r="AG215" s="6" t="n">
        <f aca="false">I215</f>
        <v>0</v>
      </c>
      <c r="AH215" s="6" t="n">
        <f aca="false">L215</f>
        <v>0</v>
      </c>
    </row>
    <row r="216" customFormat="false" ht="15" hidden="false" customHeight="false" outlineLevel="0" collapsed="false">
      <c r="A216" s="0" t="str">
        <f aca="false">'Raw Data'!C216</f>
        <v>Old Town</v>
      </c>
      <c r="B216" s="5" t="n">
        <f aca="false">'Raw Data'!A216</f>
        <v>40337</v>
      </c>
      <c r="C216" s="6" t="n">
        <f aca="false">'Raw Data'!D216</f>
        <v>211.423245520564</v>
      </c>
      <c r="D216" s="6" t="n">
        <f aca="false">'Raw Data'!E216</f>
        <v>3.634444444</v>
      </c>
      <c r="E216" s="6" t="n">
        <f aca="false">'Raw Data'!F216</f>
        <v>0</v>
      </c>
      <c r="F216" s="6" t="n">
        <f aca="false">'Raw Data'!G216</f>
        <v>0</v>
      </c>
      <c r="G216" s="6" t="n">
        <f aca="false">'Raw Data'!H216</f>
        <v>0</v>
      </c>
      <c r="H216" s="6" t="n">
        <f aca="false">'Raw Data'!I216</f>
        <v>0</v>
      </c>
      <c r="I216" s="6" t="n">
        <f aca="false">'Raw Data'!J216</f>
        <v>0</v>
      </c>
      <c r="J216" s="6" t="n">
        <f aca="false">'Raw Data'!K216</f>
        <v>1</v>
      </c>
      <c r="K216" s="6" t="n">
        <f aca="false">'Raw Data'!L216</f>
        <v>4</v>
      </c>
      <c r="L216" s="6" t="n">
        <f aca="false">F216*E216</f>
        <v>0</v>
      </c>
      <c r="N216" s="0" t="n">
        <v>1</v>
      </c>
      <c r="O216" s="6" t="n">
        <f aca="false">D216</f>
        <v>3.634444444</v>
      </c>
      <c r="P216" s="6" t="n">
        <f aca="false">E216</f>
        <v>0</v>
      </c>
      <c r="Q216" s="6" t="n">
        <f aca="false">F216</f>
        <v>0</v>
      </c>
      <c r="R216" s="6" t="n">
        <f aca="false">G216</f>
        <v>0</v>
      </c>
      <c r="S216" s="6" t="n">
        <f aca="false">H216</f>
        <v>0</v>
      </c>
      <c r="T216" s="6" t="n">
        <f aca="false">I216</f>
        <v>0</v>
      </c>
      <c r="U216" s="6" t="n">
        <f aca="false">L216</f>
        <v>0</v>
      </c>
      <c r="W216" s="6" t="n">
        <f aca="false">D216</f>
        <v>3.634444444</v>
      </c>
      <c r="X216" s="6" t="n">
        <f aca="false">E216</f>
        <v>0</v>
      </c>
      <c r="Y216" s="6" t="n">
        <f aca="false">F216</f>
        <v>0</v>
      </c>
      <c r="Z216" s="6" t="n">
        <f aca="false">L216</f>
        <v>0</v>
      </c>
      <c r="AA216" s="6" t="n">
        <f aca="false">G216</f>
        <v>0</v>
      </c>
      <c r="AC216" s="6" t="n">
        <f aca="false">D216</f>
        <v>3.634444444</v>
      </c>
      <c r="AD216" s="6" t="n">
        <f aca="false">E216</f>
        <v>0</v>
      </c>
      <c r="AE216" s="6" t="n">
        <f aca="false">G216</f>
        <v>0</v>
      </c>
      <c r="AF216" s="6" t="n">
        <f aca="false">H216</f>
        <v>0</v>
      </c>
      <c r="AG216" s="6" t="n">
        <f aca="false">I216</f>
        <v>0</v>
      </c>
      <c r="AH216" s="6" t="n">
        <f aca="false">L216</f>
        <v>0</v>
      </c>
    </row>
    <row r="217" customFormat="false" ht="15" hidden="false" customHeight="false" outlineLevel="0" collapsed="false">
      <c r="A217" s="0" t="str">
        <f aca="false">'Raw Data'!C217</f>
        <v>Old Town</v>
      </c>
      <c r="B217" s="5" t="n">
        <f aca="false">'Raw Data'!A217</f>
        <v>40344</v>
      </c>
      <c r="C217" s="6" t="n">
        <f aca="false">'Raw Data'!D217</f>
        <v>272.302038009783</v>
      </c>
      <c r="D217" s="6" t="n">
        <f aca="false">'Raw Data'!E217</f>
        <v>3.54</v>
      </c>
      <c r="E217" s="6" t="n">
        <f aca="false">'Raw Data'!F217</f>
        <v>0</v>
      </c>
      <c r="F217" s="6" t="n">
        <f aca="false">'Raw Data'!G217</f>
        <v>0</v>
      </c>
      <c r="G217" s="6" t="n">
        <f aca="false">'Raw Data'!H217</f>
        <v>0</v>
      </c>
      <c r="H217" s="6" t="n">
        <f aca="false">'Raw Data'!I217</f>
        <v>0</v>
      </c>
      <c r="I217" s="6" t="n">
        <f aca="false">'Raw Data'!J217</f>
        <v>0</v>
      </c>
      <c r="J217" s="6" t="n">
        <f aca="false">'Raw Data'!K217</f>
        <v>1</v>
      </c>
      <c r="K217" s="6" t="n">
        <f aca="false">'Raw Data'!L217</f>
        <v>4</v>
      </c>
      <c r="L217" s="6" t="n">
        <f aca="false">F217*E217</f>
        <v>0</v>
      </c>
      <c r="N217" s="0" t="n">
        <v>1</v>
      </c>
      <c r="O217" s="6" t="n">
        <f aca="false">D217</f>
        <v>3.54</v>
      </c>
      <c r="P217" s="6" t="n">
        <f aca="false">E217</f>
        <v>0</v>
      </c>
      <c r="Q217" s="6" t="n">
        <f aca="false">F217</f>
        <v>0</v>
      </c>
      <c r="R217" s="6" t="n">
        <f aca="false">G217</f>
        <v>0</v>
      </c>
      <c r="S217" s="6" t="n">
        <f aca="false">H217</f>
        <v>0</v>
      </c>
      <c r="T217" s="6" t="n">
        <f aca="false">I217</f>
        <v>0</v>
      </c>
      <c r="U217" s="6" t="n">
        <f aca="false">L217</f>
        <v>0</v>
      </c>
      <c r="W217" s="6" t="n">
        <f aca="false">D217</f>
        <v>3.54</v>
      </c>
      <c r="X217" s="6" t="n">
        <f aca="false">E217</f>
        <v>0</v>
      </c>
      <c r="Y217" s="6" t="n">
        <f aca="false">F217</f>
        <v>0</v>
      </c>
      <c r="Z217" s="6" t="n">
        <f aca="false">L217</f>
        <v>0</v>
      </c>
      <c r="AA217" s="6" t="n">
        <f aca="false">G217</f>
        <v>0</v>
      </c>
      <c r="AC217" s="6" t="n">
        <f aca="false">D217</f>
        <v>3.54</v>
      </c>
      <c r="AD217" s="6" t="n">
        <f aca="false">E217</f>
        <v>0</v>
      </c>
      <c r="AE217" s="6" t="n">
        <f aca="false">G217</f>
        <v>0</v>
      </c>
      <c r="AF217" s="6" t="n">
        <f aca="false">H217</f>
        <v>0</v>
      </c>
      <c r="AG217" s="6" t="n">
        <f aca="false">I217</f>
        <v>0</v>
      </c>
      <c r="AH217" s="6" t="n">
        <f aca="false">L217</f>
        <v>0</v>
      </c>
    </row>
    <row r="218" customFormat="false" ht="15" hidden="false" customHeight="false" outlineLevel="0" collapsed="false">
      <c r="A218" s="0" t="str">
        <f aca="false">'Raw Data'!C218</f>
        <v>Old Town</v>
      </c>
      <c r="B218" s="5" t="n">
        <f aca="false">'Raw Data'!A218</f>
        <v>40351</v>
      </c>
      <c r="C218" s="6" t="n">
        <f aca="false">'Raw Data'!D218</f>
        <v>163.025289195562</v>
      </c>
      <c r="D218" s="6" t="n">
        <f aca="false">'Raw Data'!E218</f>
        <v>3.54</v>
      </c>
      <c r="E218" s="6" t="n">
        <f aca="false">'Raw Data'!F218</f>
        <v>0</v>
      </c>
      <c r="F218" s="6" t="n">
        <f aca="false">'Raw Data'!G218</f>
        <v>0</v>
      </c>
      <c r="G218" s="6" t="n">
        <f aca="false">'Raw Data'!H218</f>
        <v>0</v>
      </c>
      <c r="H218" s="6" t="n">
        <f aca="false">'Raw Data'!I218</f>
        <v>0</v>
      </c>
      <c r="I218" s="6" t="n">
        <f aca="false">'Raw Data'!J218</f>
        <v>0</v>
      </c>
      <c r="J218" s="6" t="n">
        <f aca="false">'Raw Data'!K218</f>
        <v>1</v>
      </c>
      <c r="K218" s="6" t="n">
        <f aca="false">'Raw Data'!L218</f>
        <v>4</v>
      </c>
      <c r="L218" s="6" t="n">
        <f aca="false">F218*E218</f>
        <v>0</v>
      </c>
      <c r="N218" s="0" t="n">
        <v>1</v>
      </c>
      <c r="O218" s="6" t="n">
        <f aca="false">D218</f>
        <v>3.54</v>
      </c>
      <c r="P218" s="6" t="n">
        <f aca="false">E218</f>
        <v>0</v>
      </c>
      <c r="Q218" s="6" t="n">
        <f aca="false">F218</f>
        <v>0</v>
      </c>
      <c r="R218" s="6" t="n">
        <f aca="false">G218</f>
        <v>0</v>
      </c>
      <c r="S218" s="6" t="n">
        <f aca="false">H218</f>
        <v>0</v>
      </c>
      <c r="T218" s="6" t="n">
        <f aca="false">I218</f>
        <v>0</v>
      </c>
      <c r="U218" s="6" t="n">
        <f aca="false">L218</f>
        <v>0</v>
      </c>
      <c r="W218" s="6" t="n">
        <f aca="false">D218</f>
        <v>3.54</v>
      </c>
      <c r="X218" s="6" t="n">
        <f aca="false">E218</f>
        <v>0</v>
      </c>
      <c r="Y218" s="6" t="n">
        <f aca="false">F218</f>
        <v>0</v>
      </c>
      <c r="Z218" s="6" t="n">
        <f aca="false">L218</f>
        <v>0</v>
      </c>
      <c r="AA218" s="6" t="n">
        <f aca="false">G218</f>
        <v>0</v>
      </c>
      <c r="AC218" s="6" t="n">
        <f aca="false">D218</f>
        <v>3.54</v>
      </c>
      <c r="AD218" s="6" t="n">
        <f aca="false">E218</f>
        <v>0</v>
      </c>
      <c r="AE218" s="6" t="n">
        <f aca="false">G218</f>
        <v>0</v>
      </c>
      <c r="AF218" s="6" t="n">
        <f aca="false">H218</f>
        <v>0</v>
      </c>
      <c r="AG218" s="6" t="n">
        <f aca="false">I218</f>
        <v>0</v>
      </c>
      <c r="AH218" s="6" t="n">
        <f aca="false">L218</f>
        <v>0</v>
      </c>
    </row>
    <row r="219" customFormat="false" ht="15" hidden="false" customHeight="false" outlineLevel="0" collapsed="false">
      <c r="A219" s="0" t="str">
        <f aca="false">'Raw Data'!C219</f>
        <v>Old Town</v>
      </c>
      <c r="B219" s="5" t="n">
        <f aca="false">'Raw Data'!A219</f>
        <v>40358</v>
      </c>
      <c r="C219" s="6" t="n">
        <f aca="false">'Raw Data'!D219</f>
        <v>170.9624809317</v>
      </c>
      <c r="D219" s="6" t="n">
        <f aca="false">'Raw Data'!E219</f>
        <v>3.54</v>
      </c>
      <c r="E219" s="6" t="n">
        <f aca="false">'Raw Data'!F219</f>
        <v>0</v>
      </c>
      <c r="F219" s="6" t="n">
        <f aca="false">'Raw Data'!G219</f>
        <v>0</v>
      </c>
      <c r="G219" s="6" t="n">
        <f aca="false">'Raw Data'!H219</f>
        <v>0</v>
      </c>
      <c r="H219" s="6" t="n">
        <f aca="false">'Raw Data'!I219</f>
        <v>0</v>
      </c>
      <c r="I219" s="6" t="n">
        <f aca="false">'Raw Data'!J219</f>
        <v>0</v>
      </c>
      <c r="J219" s="6" t="n">
        <f aca="false">'Raw Data'!K219</f>
        <v>1</v>
      </c>
      <c r="K219" s="6" t="n">
        <f aca="false">'Raw Data'!L219</f>
        <v>4</v>
      </c>
      <c r="L219" s="6" t="n">
        <f aca="false">F219*E219</f>
        <v>0</v>
      </c>
      <c r="N219" s="0" t="n">
        <v>1</v>
      </c>
      <c r="O219" s="6" t="n">
        <f aca="false">D219</f>
        <v>3.54</v>
      </c>
      <c r="P219" s="6" t="n">
        <f aca="false">E219</f>
        <v>0</v>
      </c>
      <c r="Q219" s="6" t="n">
        <f aca="false">F219</f>
        <v>0</v>
      </c>
      <c r="R219" s="6" t="n">
        <f aca="false">G219</f>
        <v>0</v>
      </c>
      <c r="S219" s="6" t="n">
        <f aca="false">H219</f>
        <v>0</v>
      </c>
      <c r="T219" s="6" t="n">
        <f aca="false">I219</f>
        <v>0</v>
      </c>
      <c r="U219" s="6" t="n">
        <f aca="false">L219</f>
        <v>0</v>
      </c>
      <c r="W219" s="6" t="n">
        <f aca="false">D219</f>
        <v>3.54</v>
      </c>
      <c r="X219" s="6" t="n">
        <f aca="false">E219</f>
        <v>0</v>
      </c>
      <c r="Y219" s="6" t="n">
        <f aca="false">F219</f>
        <v>0</v>
      </c>
      <c r="Z219" s="6" t="n">
        <f aca="false">L219</f>
        <v>0</v>
      </c>
      <c r="AA219" s="6" t="n">
        <f aca="false">G219</f>
        <v>0</v>
      </c>
      <c r="AC219" s="6" t="n">
        <f aca="false">D219</f>
        <v>3.54</v>
      </c>
      <c r="AD219" s="6" t="n">
        <f aca="false">E219</f>
        <v>0</v>
      </c>
      <c r="AE219" s="6" t="n">
        <f aca="false">G219</f>
        <v>0</v>
      </c>
      <c r="AF219" s="6" t="n">
        <f aca="false">H219</f>
        <v>0</v>
      </c>
      <c r="AG219" s="6" t="n">
        <f aca="false">I219</f>
        <v>0</v>
      </c>
      <c r="AH219" s="6" t="n">
        <f aca="false">L219</f>
        <v>0</v>
      </c>
    </row>
    <row r="220" customFormat="false" ht="15" hidden="false" customHeight="false" outlineLevel="0" collapsed="false">
      <c r="A220" s="0" t="str">
        <f aca="false">'Raw Data'!C220</f>
        <v>Old Town</v>
      </c>
      <c r="B220" s="5" t="n">
        <f aca="false">'Raw Data'!A220</f>
        <v>40365</v>
      </c>
      <c r="C220" s="6" t="n">
        <f aca="false">'Raw Data'!D220</f>
        <v>176.151689171328</v>
      </c>
      <c r="D220" s="6" t="n">
        <f aca="false">'Raw Data'!E220</f>
        <v>3.126</v>
      </c>
      <c r="E220" s="6" t="n">
        <f aca="false">'Raw Data'!F220</f>
        <v>0</v>
      </c>
      <c r="F220" s="6" t="n">
        <f aca="false">'Raw Data'!G220</f>
        <v>0</v>
      </c>
      <c r="G220" s="6" t="n">
        <f aca="false">'Raw Data'!H220</f>
        <v>0</v>
      </c>
      <c r="H220" s="6" t="n">
        <f aca="false">'Raw Data'!I220</f>
        <v>0</v>
      </c>
      <c r="I220" s="6" t="n">
        <f aca="false">'Raw Data'!J220</f>
        <v>0</v>
      </c>
      <c r="J220" s="6" t="n">
        <f aca="false">'Raw Data'!K220</f>
        <v>1</v>
      </c>
      <c r="K220" s="6" t="n">
        <f aca="false">'Raw Data'!L220</f>
        <v>4</v>
      </c>
      <c r="L220" s="6" t="n">
        <f aca="false">F220*E220</f>
        <v>0</v>
      </c>
      <c r="N220" s="0" t="n">
        <v>1</v>
      </c>
      <c r="O220" s="6" t="n">
        <f aca="false">D220</f>
        <v>3.126</v>
      </c>
      <c r="P220" s="6" t="n">
        <f aca="false">E220</f>
        <v>0</v>
      </c>
      <c r="Q220" s="6" t="n">
        <f aca="false">F220</f>
        <v>0</v>
      </c>
      <c r="R220" s="6" t="n">
        <f aca="false">G220</f>
        <v>0</v>
      </c>
      <c r="S220" s="6" t="n">
        <f aca="false">H220</f>
        <v>0</v>
      </c>
      <c r="T220" s="6" t="n">
        <f aca="false">I220</f>
        <v>0</v>
      </c>
      <c r="U220" s="6" t="n">
        <f aca="false">L220</f>
        <v>0</v>
      </c>
      <c r="W220" s="6" t="n">
        <f aca="false">D220</f>
        <v>3.126</v>
      </c>
      <c r="X220" s="6" t="n">
        <f aca="false">E220</f>
        <v>0</v>
      </c>
      <c r="Y220" s="6" t="n">
        <f aca="false">F220</f>
        <v>0</v>
      </c>
      <c r="Z220" s="6" t="n">
        <f aca="false">L220</f>
        <v>0</v>
      </c>
      <c r="AA220" s="6" t="n">
        <f aca="false">G220</f>
        <v>0</v>
      </c>
      <c r="AC220" s="6" t="n">
        <f aca="false">D220</f>
        <v>3.126</v>
      </c>
      <c r="AD220" s="6" t="n">
        <f aca="false">E220</f>
        <v>0</v>
      </c>
      <c r="AE220" s="6" t="n">
        <f aca="false">G220</f>
        <v>0</v>
      </c>
      <c r="AF220" s="6" t="n">
        <f aca="false">H220</f>
        <v>0</v>
      </c>
      <c r="AG220" s="6" t="n">
        <f aca="false">I220</f>
        <v>0</v>
      </c>
      <c r="AH220" s="6" t="n">
        <f aca="false">L220</f>
        <v>0</v>
      </c>
    </row>
    <row r="221" customFormat="false" ht="15" hidden="false" customHeight="false" outlineLevel="0" collapsed="false">
      <c r="A221" s="0" t="str">
        <f aca="false">'Raw Data'!C221</f>
        <v>Old Town</v>
      </c>
      <c r="B221" s="5" t="n">
        <f aca="false">'Raw Data'!A221</f>
        <v>40372</v>
      </c>
      <c r="C221" s="6" t="n">
        <f aca="false">'Raw Data'!D221</f>
        <v>145.650431618582</v>
      </c>
      <c r="D221" s="6" t="n">
        <f aca="false">'Raw Data'!E221</f>
        <v>3.126</v>
      </c>
      <c r="E221" s="6" t="n">
        <f aca="false">'Raw Data'!F221</f>
        <v>0</v>
      </c>
      <c r="F221" s="6" t="n">
        <f aca="false">'Raw Data'!G221</f>
        <v>0</v>
      </c>
      <c r="G221" s="6" t="n">
        <f aca="false">'Raw Data'!H221</f>
        <v>0</v>
      </c>
      <c r="H221" s="6" t="n">
        <f aca="false">'Raw Data'!I221</f>
        <v>0</v>
      </c>
      <c r="I221" s="6" t="n">
        <f aca="false">'Raw Data'!J221</f>
        <v>0</v>
      </c>
      <c r="J221" s="6" t="n">
        <f aca="false">'Raw Data'!K221</f>
        <v>1</v>
      </c>
      <c r="K221" s="6" t="n">
        <f aca="false">'Raw Data'!L221</f>
        <v>4</v>
      </c>
      <c r="L221" s="6" t="n">
        <f aca="false">F221*E221</f>
        <v>0</v>
      </c>
      <c r="N221" s="0" t="n">
        <v>1</v>
      </c>
      <c r="O221" s="6" t="n">
        <f aca="false">D221</f>
        <v>3.126</v>
      </c>
      <c r="P221" s="6" t="n">
        <f aca="false">E221</f>
        <v>0</v>
      </c>
      <c r="Q221" s="6" t="n">
        <f aca="false">F221</f>
        <v>0</v>
      </c>
      <c r="R221" s="6" t="n">
        <f aca="false">G221</f>
        <v>0</v>
      </c>
      <c r="S221" s="6" t="n">
        <f aca="false">H221</f>
        <v>0</v>
      </c>
      <c r="T221" s="6" t="n">
        <f aca="false">I221</f>
        <v>0</v>
      </c>
      <c r="U221" s="6" t="n">
        <f aca="false">L221</f>
        <v>0</v>
      </c>
      <c r="W221" s="6" t="n">
        <f aca="false">D221</f>
        <v>3.126</v>
      </c>
      <c r="X221" s="6" t="n">
        <f aca="false">E221</f>
        <v>0</v>
      </c>
      <c r="Y221" s="6" t="n">
        <f aca="false">F221</f>
        <v>0</v>
      </c>
      <c r="Z221" s="6" t="n">
        <f aca="false">L221</f>
        <v>0</v>
      </c>
      <c r="AA221" s="6" t="n">
        <f aca="false">G221</f>
        <v>0</v>
      </c>
      <c r="AC221" s="6" t="n">
        <f aca="false">D221</f>
        <v>3.126</v>
      </c>
      <c r="AD221" s="6" t="n">
        <f aca="false">E221</f>
        <v>0</v>
      </c>
      <c r="AE221" s="6" t="n">
        <f aca="false">G221</f>
        <v>0</v>
      </c>
      <c r="AF221" s="6" t="n">
        <f aca="false">H221</f>
        <v>0</v>
      </c>
      <c r="AG221" s="6" t="n">
        <f aca="false">I221</f>
        <v>0</v>
      </c>
      <c r="AH221" s="6" t="n">
        <f aca="false">L221</f>
        <v>0</v>
      </c>
    </row>
    <row r="222" customFormat="false" ht="15" hidden="false" customHeight="false" outlineLevel="0" collapsed="false">
      <c r="A222" s="0" t="str">
        <f aca="false">'Raw Data'!C222</f>
        <v>P Street</v>
      </c>
      <c r="B222" s="5" t="n">
        <f aca="false">'Raw Data'!A222</f>
        <v>40302</v>
      </c>
      <c r="C222" s="6" t="n">
        <f aca="false">'Raw Data'!D222</f>
        <v>136.573084621706</v>
      </c>
      <c r="D222" s="6" t="n">
        <f aca="false">'Raw Data'!E222</f>
        <v>4.1275</v>
      </c>
      <c r="E222" s="6" t="n">
        <f aca="false">'Raw Data'!F222</f>
        <v>0</v>
      </c>
      <c r="F222" s="6" t="n">
        <f aca="false">'Raw Data'!G222</f>
        <v>0</v>
      </c>
      <c r="G222" s="6" t="n">
        <f aca="false">'Raw Data'!H222</f>
        <v>0</v>
      </c>
      <c r="H222" s="6" t="n">
        <f aca="false">'Raw Data'!I222</f>
        <v>0</v>
      </c>
      <c r="I222" s="6" t="n">
        <f aca="false">'Raw Data'!J222</f>
        <v>0</v>
      </c>
      <c r="J222" s="6" t="n">
        <f aca="false">'Raw Data'!K222</f>
        <v>1</v>
      </c>
      <c r="K222" s="6" t="n">
        <f aca="false">'Raw Data'!L222</f>
        <v>4</v>
      </c>
      <c r="L222" s="6" t="n">
        <f aca="false">F222*E222</f>
        <v>0</v>
      </c>
      <c r="N222" s="0" t="n">
        <v>1</v>
      </c>
      <c r="O222" s="6" t="n">
        <f aca="false">D222</f>
        <v>4.1275</v>
      </c>
      <c r="P222" s="6" t="n">
        <f aca="false">E222</f>
        <v>0</v>
      </c>
      <c r="Q222" s="6" t="n">
        <f aca="false">F222</f>
        <v>0</v>
      </c>
      <c r="R222" s="6" t="n">
        <f aca="false">G222</f>
        <v>0</v>
      </c>
      <c r="S222" s="6" t="n">
        <f aca="false">H222</f>
        <v>0</v>
      </c>
      <c r="T222" s="6" t="n">
        <f aca="false">I222</f>
        <v>0</v>
      </c>
      <c r="U222" s="6" t="n">
        <f aca="false">L222</f>
        <v>0</v>
      </c>
      <c r="W222" s="6" t="n">
        <f aca="false">D222</f>
        <v>4.1275</v>
      </c>
      <c r="X222" s="6" t="n">
        <f aca="false">E222</f>
        <v>0</v>
      </c>
      <c r="Y222" s="6" t="n">
        <f aca="false">F222</f>
        <v>0</v>
      </c>
      <c r="Z222" s="6" t="n">
        <f aca="false">L222</f>
        <v>0</v>
      </c>
      <c r="AA222" s="6" t="n">
        <f aca="false">G222</f>
        <v>0</v>
      </c>
      <c r="AC222" s="6" t="n">
        <f aca="false">D222</f>
        <v>4.1275</v>
      </c>
      <c r="AD222" s="6" t="n">
        <f aca="false">E222</f>
        <v>0</v>
      </c>
      <c r="AE222" s="6" t="n">
        <f aca="false">G222</f>
        <v>0</v>
      </c>
      <c r="AF222" s="6" t="n">
        <f aca="false">H222</f>
        <v>0</v>
      </c>
      <c r="AG222" s="6" t="n">
        <f aca="false">I222</f>
        <v>0</v>
      </c>
      <c r="AH222" s="6" t="n">
        <f aca="false">L222</f>
        <v>0</v>
      </c>
    </row>
    <row r="223" customFormat="false" ht="15" hidden="false" customHeight="false" outlineLevel="0" collapsed="false">
      <c r="A223" s="0" t="str">
        <f aca="false">'Raw Data'!C223</f>
        <v>P Street</v>
      </c>
      <c r="B223" s="5" t="n">
        <f aca="false">'Raw Data'!A223</f>
        <v>40309</v>
      </c>
      <c r="C223" s="6" t="n">
        <f aca="false">'Raw Data'!D223</f>
        <v>274.909490480551</v>
      </c>
      <c r="D223" s="6" t="n">
        <f aca="false">'Raw Data'!E223</f>
        <v>3.54</v>
      </c>
      <c r="E223" s="6" t="n">
        <f aca="false">'Raw Data'!F223</f>
        <v>0</v>
      </c>
      <c r="F223" s="6" t="n">
        <f aca="false">'Raw Data'!G223</f>
        <v>0</v>
      </c>
      <c r="G223" s="6" t="n">
        <f aca="false">'Raw Data'!H223</f>
        <v>0</v>
      </c>
      <c r="H223" s="6" t="n">
        <f aca="false">'Raw Data'!I223</f>
        <v>0</v>
      </c>
      <c r="I223" s="6" t="n">
        <f aca="false">'Raw Data'!J223</f>
        <v>0</v>
      </c>
      <c r="J223" s="6" t="n">
        <f aca="false">'Raw Data'!K223</f>
        <v>1</v>
      </c>
      <c r="K223" s="6" t="n">
        <f aca="false">'Raw Data'!L223</f>
        <v>4</v>
      </c>
      <c r="L223" s="6" t="n">
        <f aca="false">F223*E223</f>
        <v>0</v>
      </c>
      <c r="N223" s="0" t="n">
        <v>1</v>
      </c>
      <c r="O223" s="6" t="n">
        <f aca="false">D223</f>
        <v>3.54</v>
      </c>
      <c r="P223" s="6" t="n">
        <f aca="false">E223</f>
        <v>0</v>
      </c>
      <c r="Q223" s="6" t="n">
        <f aca="false">F223</f>
        <v>0</v>
      </c>
      <c r="R223" s="6" t="n">
        <f aca="false">G223</f>
        <v>0</v>
      </c>
      <c r="S223" s="6" t="n">
        <f aca="false">H223</f>
        <v>0</v>
      </c>
      <c r="T223" s="6" t="n">
        <f aca="false">I223</f>
        <v>0</v>
      </c>
      <c r="U223" s="6" t="n">
        <f aca="false">L223</f>
        <v>0</v>
      </c>
      <c r="W223" s="6" t="n">
        <f aca="false">D223</f>
        <v>3.54</v>
      </c>
      <c r="X223" s="6" t="n">
        <f aca="false">E223</f>
        <v>0</v>
      </c>
      <c r="Y223" s="6" t="n">
        <f aca="false">F223</f>
        <v>0</v>
      </c>
      <c r="Z223" s="6" t="n">
        <f aca="false">L223</f>
        <v>0</v>
      </c>
      <c r="AA223" s="6" t="n">
        <f aca="false">G223</f>
        <v>0</v>
      </c>
      <c r="AC223" s="6" t="n">
        <f aca="false">D223</f>
        <v>3.54</v>
      </c>
      <c r="AD223" s="6" t="n">
        <f aca="false">E223</f>
        <v>0</v>
      </c>
      <c r="AE223" s="6" t="n">
        <f aca="false">G223</f>
        <v>0</v>
      </c>
      <c r="AF223" s="6" t="n">
        <f aca="false">H223</f>
        <v>0</v>
      </c>
      <c r="AG223" s="6" t="n">
        <f aca="false">I223</f>
        <v>0</v>
      </c>
      <c r="AH223" s="6" t="n">
        <f aca="false">L223</f>
        <v>0</v>
      </c>
    </row>
    <row r="224" customFormat="false" ht="15" hidden="false" customHeight="false" outlineLevel="0" collapsed="false">
      <c r="A224" s="0" t="str">
        <f aca="false">'Raw Data'!C224</f>
        <v>P Street</v>
      </c>
      <c r="B224" s="5" t="n">
        <f aca="false">'Raw Data'!A224</f>
        <v>40316</v>
      </c>
      <c r="C224" s="6" t="n">
        <f aca="false">'Raw Data'!D224</f>
        <v>201.688447248134</v>
      </c>
      <c r="D224" s="6" t="n">
        <f aca="false">'Raw Data'!E224</f>
        <v>3.598333333</v>
      </c>
      <c r="E224" s="6" t="n">
        <f aca="false">'Raw Data'!F224</f>
        <v>0</v>
      </c>
      <c r="F224" s="6" t="n">
        <f aca="false">'Raw Data'!G224</f>
        <v>0</v>
      </c>
      <c r="G224" s="6" t="n">
        <f aca="false">'Raw Data'!H224</f>
        <v>0</v>
      </c>
      <c r="H224" s="6" t="n">
        <f aca="false">'Raw Data'!I224</f>
        <v>0</v>
      </c>
      <c r="I224" s="6" t="n">
        <f aca="false">'Raw Data'!J224</f>
        <v>0</v>
      </c>
      <c r="J224" s="6" t="n">
        <f aca="false">'Raw Data'!K224</f>
        <v>1</v>
      </c>
      <c r="K224" s="6" t="n">
        <f aca="false">'Raw Data'!L224</f>
        <v>4</v>
      </c>
      <c r="L224" s="6" t="n">
        <f aca="false">F224*E224</f>
        <v>0</v>
      </c>
      <c r="N224" s="0" t="n">
        <v>1</v>
      </c>
      <c r="O224" s="6" t="n">
        <f aca="false">D224</f>
        <v>3.598333333</v>
      </c>
      <c r="P224" s="6" t="n">
        <f aca="false">E224</f>
        <v>0</v>
      </c>
      <c r="Q224" s="6" t="n">
        <f aca="false">F224</f>
        <v>0</v>
      </c>
      <c r="R224" s="6" t="n">
        <f aca="false">G224</f>
        <v>0</v>
      </c>
      <c r="S224" s="6" t="n">
        <f aca="false">H224</f>
        <v>0</v>
      </c>
      <c r="T224" s="6" t="n">
        <f aca="false">I224</f>
        <v>0</v>
      </c>
      <c r="U224" s="6" t="n">
        <f aca="false">L224</f>
        <v>0</v>
      </c>
      <c r="W224" s="6" t="n">
        <f aca="false">D224</f>
        <v>3.598333333</v>
      </c>
      <c r="X224" s="6" t="n">
        <f aca="false">E224</f>
        <v>0</v>
      </c>
      <c r="Y224" s="6" t="n">
        <f aca="false">F224</f>
        <v>0</v>
      </c>
      <c r="Z224" s="6" t="n">
        <f aca="false">L224</f>
        <v>0</v>
      </c>
      <c r="AA224" s="6" t="n">
        <f aca="false">G224</f>
        <v>0</v>
      </c>
      <c r="AC224" s="6" t="n">
        <f aca="false">D224</f>
        <v>3.598333333</v>
      </c>
      <c r="AD224" s="6" t="n">
        <f aca="false">E224</f>
        <v>0</v>
      </c>
      <c r="AE224" s="6" t="n">
        <f aca="false">G224</f>
        <v>0</v>
      </c>
      <c r="AF224" s="6" t="n">
        <f aca="false">H224</f>
        <v>0</v>
      </c>
      <c r="AG224" s="6" t="n">
        <f aca="false">I224</f>
        <v>0</v>
      </c>
      <c r="AH224" s="6" t="n">
        <f aca="false">L224</f>
        <v>0</v>
      </c>
    </row>
    <row r="225" customFormat="false" ht="15" hidden="false" customHeight="false" outlineLevel="0" collapsed="false">
      <c r="A225" s="0" t="str">
        <f aca="false">'Raw Data'!C225</f>
        <v>P Street</v>
      </c>
      <c r="B225" s="5" t="n">
        <f aca="false">'Raw Data'!A225</f>
        <v>40323</v>
      </c>
      <c r="C225" s="6" t="n">
        <f aca="false">'Raw Data'!D225</f>
        <v>173.888274159049</v>
      </c>
      <c r="D225" s="6" t="n">
        <f aca="false">'Raw Data'!E225</f>
        <v>3.598333333</v>
      </c>
      <c r="E225" s="6" t="n">
        <f aca="false">'Raw Data'!F225</f>
        <v>0</v>
      </c>
      <c r="F225" s="6" t="n">
        <f aca="false">'Raw Data'!G225</f>
        <v>0</v>
      </c>
      <c r="G225" s="6" t="n">
        <f aca="false">'Raw Data'!H225</f>
        <v>0</v>
      </c>
      <c r="H225" s="6" t="n">
        <f aca="false">'Raw Data'!I225</f>
        <v>0</v>
      </c>
      <c r="I225" s="6" t="n">
        <f aca="false">'Raw Data'!J225</f>
        <v>0</v>
      </c>
      <c r="J225" s="6" t="n">
        <f aca="false">'Raw Data'!K225</f>
        <v>1</v>
      </c>
      <c r="K225" s="6" t="n">
        <f aca="false">'Raw Data'!L225</f>
        <v>4</v>
      </c>
      <c r="L225" s="6" t="n">
        <f aca="false">F225*E225</f>
        <v>0</v>
      </c>
      <c r="N225" s="0" t="n">
        <v>1</v>
      </c>
      <c r="O225" s="6" t="n">
        <f aca="false">D225</f>
        <v>3.598333333</v>
      </c>
      <c r="P225" s="6" t="n">
        <f aca="false">E225</f>
        <v>0</v>
      </c>
      <c r="Q225" s="6" t="n">
        <f aca="false">F225</f>
        <v>0</v>
      </c>
      <c r="R225" s="6" t="n">
        <f aca="false">G225</f>
        <v>0</v>
      </c>
      <c r="S225" s="6" t="n">
        <f aca="false">H225</f>
        <v>0</v>
      </c>
      <c r="T225" s="6" t="n">
        <f aca="false">I225</f>
        <v>0</v>
      </c>
      <c r="U225" s="6" t="n">
        <f aca="false">L225</f>
        <v>0</v>
      </c>
      <c r="W225" s="6" t="n">
        <f aca="false">D225</f>
        <v>3.598333333</v>
      </c>
      <c r="X225" s="6" t="n">
        <f aca="false">E225</f>
        <v>0</v>
      </c>
      <c r="Y225" s="6" t="n">
        <f aca="false">F225</f>
        <v>0</v>
      </c>
      <c r="Z225" s="6" t="n">
        <f aca="false">L225</f>
        <v>0</v>
      </c>
      <c r="AA225" s="6" t="n">
        <f aca="false">G225</f>
        <v>0</v>
      </c>
      <c r="AC225" s="6" t="n">
        <f aca="false">D225</f>
        <v>3.598333333</v>
      </c>
      <c r="AD225" s="6" t="n">
        <f aca="false">E225</f>
        <v>0</v>
      </c>
      <c r="AE225" s="6" t="n">
        <f aca="false">G225</f>
        <v>0</v>
      </c>
      <c r="AF225" s="6" t="n">
        <f aca="false">H225</f>
        <v>0</v>
      </c>
      <c r="AG225" s="6" t="n">
        <f aca="false">I225</f>
        <v>0</v>
      </c>
      <c r="AH225" s="6" t="n">
        <f aca="false">L225</f>
        <v>0</v>
      </c>
    </row>
    <row r="226" customFormat="false" ht="15" hidden="false" customHeight="false" outlineLevel="0" collapsed="false">
      <c r="A226" s="0" t="str">
        <f aca="false">'Raw Data'!C226</f>
        <v>P Street</v>
      </c>
      <c r="B226" s="5" t="n">
        <f aca="false">'Raw Data'!A226</f>
        <v>40330</v>
      </c>
      <c r="C226" s="6" t="n">
        <f aca="false">'Raw Data'!D226</f>
        <v>253.958335136955</v>
      </c>
      <c r="D226" s="6" t="n">
        <f aca="false">'Raw Data'!E226</f>
        <v>3.598333333</v>
      </c>
      <c r="E226" s="6" t="n">
        <f aca="false">'Raw Data'!F226</f>
        <v>0</v>
      </c>
      <c r="F226" s="6" t="n">
        <f aca="false">'Raw Data'!G226</f>
        <v>0</v>
      </c>
      <c r="G226" s="6" t="n">
        <f aca="false">'Raw Data'!H226</f>
        <v>0</v>
      </c>
      <c r="H226" s="6" t="n">
        <f aca="false">'Raw Data'!I226</f>
        <v>0</v>
      </c>
      <c r="I226" s="6" t="n">
        <f aca="false">'Raw Data'!J226</f>
        <v>0</v>
      </c>
      <c r="J226" s="6" t="n">
        <f aca="false">'Raw Data'!K226</f>
        <v>1</v>
      </c>
      <c r="K226" s="6" t="n">
        <f aca="false">'Raw Data'!L226</f>
        <v>4</v>
      </c>
      <c r="L226" s="6" t="n">
        <f aca="false">F226*E226</f>
        <v>0</v>
      </c>
      <c r="N226" s="0" t="n">
        <v>1</v>
      </c>
      <c r="O226" s="6" t="n">
        <f aca="false">D226</f>
        <v>3.598333333</v>
      </c>
      <c r="P226" s="6" t="n">
        <f aca="false">E226</f>
        <v>0</v>
      </c>
      <c r="Q226" s="6" t="n">
        <f aca="false">F226</f>
        <v>0</v>
      </c>
      <c r="R226" s="6" t="n">
        <f aca="false">G226</f>
        <v>0</v>
      </c>
      <c r="S226" s="6" t="n">
        <f aca="false">H226</f>
        <v>0</v>
      </c>
      <c r="T226" s="6" t="n">
        <f aca="false">I226</f>
        <v>0</v>
      </c>
      <c r="U226" s="6" t="n">
        <f aca="false">L226</f>
        <v>0</v>
      </c>
      <c r="W226" s="6" t="n">
        <f aca="false">D226</f>
        <v>3.598333333</v>
      </c>
      <c r="X226" s="6" t="n">
        <f aca="false">E226</f>
        <v>0</v>
      </c>
      <c r="Y226" s="6" t="n">
        <f aca="false">F226</f>
        <v>0</v>
      </c>
      <c r="Z226" s="6" t="n">
        <f aca="false">L226</f>
        <v>0</v>
      </c>
      <c r="AA226" s="6" t="n">
        <f aca="false">G226</f>
        <v>0</v>
      </c>
      <c r="AC226" s="6" t="n">
        <f aca="false">D226</f>
        <v>3.598333333</v>
      </c>
      <c r="AD226" s="6" t="n">
        <f aca="false">E226</f>
        <v>0</v>
      </c>
      <c r="AE226" s="6" t="n">
        <f aca="false">G226</f>
        <v>0</v>
      </c>
      <c r="AF226" s="6" t="n">
        <f aca="false">H226</f>
        <v>0</v>
      </c>
      <c r="AG226" s="6" t="n">
        <f aca="false">I226</f>
        <v>0</v>
      </c>
      <c r="AH226" s="6" t="n">
        <f aca="false">L226</f>
        <v>0</v>
      </c>
    </row>
    <row r="227" customFormat="false" ht="15" hidden="false" customHeight="false" outlineLevel="0" collapsed="false">
      <c r="A227" s="0" t="str">
        <f aca="false">'Raw Data'!C227</f>
        <v>P Street</v>
      </c>
      <c r="B227" s="5" t="n">
        <f aca="false">'Raw Data'!A227</f>
        <v>40337</v>
      </c>
      <c r="C227" s="6" t="n">
        <f aca="false">'Raw Data'!D227</f>
        <v>236.749147688526</v>
      </c>
      <c r="D227" s="6" t="n">
        <f aca="false">'Raw Data'!E227</f>
        <v>4.056666667</v>
      </c>
      <c r="E227" s="6" t="n">
        <f aca="false">'Raw Data'!F227</f>
        <v>0</v>
      </c>
      <c r="F227" s="6" t="n">
        <f aca="false">'Raw Data'!G227</f>
        <v>0</v>
      </c>
      <c r="G227" s="6" t="n">
        <f aca="false">'Raw Data'!H227</f>
        <v>0</v>
      </c>
      <c r="H227" s="6" t="n">
        <f aca="false">'Raw Data'!I227</f>
        <v>0</v>
      </c>
      <c r="I227" s="6" t="n">
        <f aca="false">'Raw Data'!J227</f>
        <v>0</v>
      </c>
      <c r="J227" s="6" t="n">
        <f aca="false">'Raw Data'!K227</f>
        <v>1</v>
      </c>
      <c r="K227" s="6" t="n">
        <f aca="false">'Raw Data'!L227</f>
        <v>4</v>
      </c>
      <c r="L227" s="6" t="n">
        <f aca="false">F227*E227</f>
        <v>0</v>
      </c>
      <c r="N227" s="0" t="n">
        <v>1</v>
      </c>
      <c r="O227" s="6" t="n">
        <f aca="false">D227</f>
        <v>4.056666667</v>
      </c>
      <c r="P227" s="6" t="n">
        <f aca="false">E227</f>
        <v>0</v>
      </c>
      <c r="Q227" s="6" t="n">
        <f aca="false">F227</f>
        <v>0</v>
      </c>
      <c r="R227" s="6" t="n">
        <f aca="false">G227</f>
        <v>0</v>
      </c>
      <c r="S227" s="6" t="n">
        <f aca="false">H227</f>
        <v>0</v>
      </c>
      <c r="T227" s="6" t="n">
        <f aca="false">I227</f>
        <v>0</v>
      </c>
      <c r="U227" s="6" t="n">
        <f aca="false">L227</f>
        <v>0</v>
      </c>
      <c r="W227" s="6" t="n">
        <f aca="false">D227</f>
        <v>4.056666667</v>
      </c>
      <c r="X227" s="6" t="n">
        <f aca="false">E227</f>
        <v>0</v>
      </c>
      <c r="Y227" s="6" t="n">
        <f aca="false">F227</f>
        <v>0</v>
      </c>
      <c r="Z227" s="6" t="n">
        <f aca="false">L227</f>
        <v>0</v>
      </c>
      <c r="AA227" s="6" t="n">
        <f aca="false">G227</f>
        <v>0</v>
      </c>
      <c r="AC227" s="6" t="n">
        <f aca="false">D227</f>
        <v>4.056666667</v>
      </c>
      <c r="AD227" s="6" t="n">
        <f aca="false">E227</f>
        <v>0</v>
      </c>
      <c r="AE227" s="6" t="n">
        <f aca="false">G227</f>
        <v>0</v>
      </c>
      <c r="AF227" s="6" t="n">
        <f aca="false">H227</f>
        <v>0</v>
      </c>
      <c r="AG227" s="6" t="n">
        <f aca="false">I227</f>
        <v>0</v>
      </c>
      <c r="AH227" s="6" t="n">
        <f aca="false">L227</f>
        <v>0</v>
      </c>
    </row>
    <row r="228" customFormat="false" ht="15" hidden="false" customHeight="false" outlineLevel="0" collapsed="false">
      <c r="A228" s="0" t="str">
        <f aca="false">'Raw Data'!C228</f>
        <v>P Street</v>
      </c>
      <c r="B228" s="5" t="n">
        <f aca="false">'Raw Data'!A228</f>
        <v>40344</v>
      </c>
      <c r="C228" s="6" t="n">
        <f aca="false">'Raw Data'!D228</f>
        <v>269.814245299884</v>
      </c>
      <c r="D228" s="6" t="n">
        <f aca="false">'Raw Data'!E228</f>
        <v>4.056666667</v>
      </c>
      <c r="E228" s="6" t="n">
        <f aca="false">'Raw Data'!F228</f>
        <v>0</v>
      </c>
      <c r="F228" s="6" t="n">
        <f aca="false">'Raw Data'!G228</f>
        <v>0</v>
      </c>
      <c r="G228" s="6" t="n">
        <f aca="false">'Raw Data'!H228</f>
        <v>0</v>
      </c>
      <c r="H228" s="6" t="n">
        <f aca="false">'Raw Data'!I228</f>
        <v>0</v>
      </c>
      <c r="I228" s="6" t="n">
        <f aca="false">'Raw Data'!J228</f>
        <v>0</v>
      </c>
      <c r="J228" s="6" t="n">
        <f aca="false">'Raw Data'!K228</f>
        <v>1</v>
      </c>
      <c r="K228" s="6" t="n">
        <f aca="false">'Raw Data'!L228</f>
        <v>4</v>
      </c>
      <c r="L228" s="6" t="n">
        <f aca="false">F228*E228</f>
        <v>0</v>
      </c>
      <c r="N228" s="0" t="n">
        <v>1</v>
      </c>
      <c r="O228" s="6" t="n">
        <f aca="false">D228</f>
        <v>4.056666667</v>
      </c>
      <c r="P228" s="6" t="n">
        <f aca="false">E228</f>
        <v>0</v>
      </c>
      <c r="Q228" s="6" t="n">
        <f aca="false">F228</f>
        <v>0</v>
      </c>
      <c r="R228" s="6" t="n">
        <f aca="false">G228</f>
        <v>0</v>
      </c>
      <c r="S228" s="6" t="n">
        <f aca="false">H228</f>
        <v>0</v>
      </c>
      <c r="T228" s="6" t="n">
        <f aca="false">I228</f>
        <v>0</v>
      </c>
      <c r="U228" s="6" t="n">
        <f aca="false">L228</f>
        <v>0</v>
      </c>
      <c r="W228" s="6" t="n">
        <f aca="false">D228</f>
        <v>4.056666667</v>
      </c>
      <c r="X228" s="6" t="n">
        <f aca="false">E228</f>
        <v>0</v>
      </c>
      <c r="Y228" s="6" t="n">
        <f aca="false">F228</f>
        <v>0</v>
      </c>
      <c r="Z228" s="6" t="n">
        <f aca="false">L228</f>
        <v>0</v>
      </c>
      <c r="AA228" s="6" t="n">
        <f aca="false">G228</f>
        <v>0</v>
      </c>
      <c r="AC228" s="6" t="n">
        <f aca="false">D228</f>
        <v>4.056666667</v>
      </c>
      <c r="AD228" s="6" t="n">
        <f aca="false">E228</f>
        <v>0</v>
      </c>
      <c r="AE228" s="6" t="n">
        <f aca="false">G228</f>
        <v>0</v>
      </c>
      <c r="AF228" s="6" t="n">
        <f aca="false">H228</f>
        <v>0</v>
      </c>
      <c r="AG228" s="6" t="n">
        <f aca="false">I228</f>
        <v>0</v>
      </c>
      <c r="AH228" s="6" t="n">
        <f aca="false">L228</f>
        <v>0</v>
      </c>
    </row>
    <row r="229" customFormat="false" ht="15" hidden="false" customHeight="false" outlineLevel="0" collapsed="false">
      <c r="A229" s="0" t="str">
        <f aca="false">'Raw Data'!C229</f>
        <v>P Street</v>
      </c>
      <c r="B229" s="5" t="n">
        <f aca="false">'Raw Data'!A229</f>
        <v>40351</v>
      </c>
      <c r="C229" s="6" t="n">
        <f aca="false">'Raw Data'!D229</f>
        <v>348.925560564987</v>
      </c>
      <c r="D229" s="6" t="n">
        <f aca="false">'Raw Data'!E229</f>
        <v>4.056666667</v>
      </c>
      <c r="E229" s="6" t="n">
        <f aca="false">'Raw Data'!F229</f>
        <v>0</v>
      </c>
      <c r="F229" s="6" t="n">
        <f aca="false">'Raw Data'!G229</f>
        <v>0</v>
      </c>
      <c r="G229" s="6" t="n">
        <f aca="false">'Raw Data'!H229</f>
        <v>1</v>
      </c>
      <c r="H229" s="6" t="n">
        <f aca="false">'Raw Data'!I229</f>
        <v>0</v>
      </c>
      <c r="I229" s="6" t="n">
        <f aca="false">'Raw Data'!J229</f>
        <v>0</v>
      </c>
      <c r="J229" s="6" t="n">
        <f aca="false">'Raw Data'!K229</f>
        <v>1</v>
      </c>
      <c r="K229" s="6" t="n">
        <f aca="false">'Raw Data'!L229</f>
        <v>4</v>
      </c>
      <c r="L229" s="6" t="n">
        <f aca="false">F229*E229</f>
        <v>0</v>
      </c>
      <c r="N229" s="0" t="n">
        <v>1</v>
      </c>
      <c r="O229" s="6" t="n">
        <f aca="false">D229</f>
        <v>4.056666667</v>
      </c>
      <c r="P229" s="6" t="n">
        <f aca="false">E229</f>
        <v>0</v>
      </c>
      <c r="Q229" s="6" t="n">
        <f aca="false">F229</f>
        <v>0</v>
      </c>
      <c r="R229" s="6" t="n">
        <f aca="false">G229</f>
        <v>1</v>
      </c>
      <c r="S229" s="6" t="n">
        <f aca="false">H229</f>
        <v>0</v>
      </c>
      <c r="T229" s="6" t="n">
        <f aca="false">I229</f>
        <v>0</v>
      </c>
      <c r="U229" s="6" t="n">
        <f aca="false">L229</f>
        <v>0</v>
      </c>
      <c r="W229" s="6" t="n">
        <f aca="false">D229</f>
        <v>4.056666667</v>
      </c>
      <c r="X229" s="6" t="n">
        <f aca="false">E229</f>
        <v>0</v>
      </c>
      <c r="Y229" s="6" t="n">
        <f aca="false">F229</f>
        <v>0</v>
      </c>
      <c r="Z229" s="6" t="n">
        <f aca="false">L229</f>
        <v>0</v>
      </c>
      <c r="AA229" s="6" t="n">
        <f aca="false">G229</f>
        <v>1</v>
      </c>
      <c r="AC229" s="6" t="n">
        <f aca="false">D229</f>
        <v>4.056666667</v>
      </c>
      <c r="AD229" s="6" t="n">
        <f aca="false">E229</f>
        <v>0</v>
      </c>
      <c r="AE229" s="6" t="n">
        <f aca="false">G229</f>
        <v>1</v>
      </c>
      <c r="AF229" s="6" t="n">
        <f aca="false">H229</f>
        <v>0</v>
      </c>
      <c r="AG229" s="6" t="n">
        <f aca="false">I229</f>
        <v>0</v>
      </c>
      <c r="AH229" s="6" t="n">
        <f aca="false">L229</f>
        <v>0</v>
      </c>
    </row>
    <row r="230" customFormat="false" ht="15" hidden="false" customHeight="false" outlineLevel="0" collapsed="false">
      <c r="A230" s="0" t="str">
        <f aca="false">'Raw Data'!C230</f>
        <v>P Street</v>
      </c>
      <c r="B230" s="5" t="n">
        <f aca="false">'Raw Data'!A230</f>
        <v>40358</v>
      </c>
      <c r="C230" s="6" t="n">
        <f aca="false">'Raw Data'!D230</f>
        <v>243.088110961491</v>
      </c>
      <c r="D230" s="6" t="n">
        <f aca="false">'Raw Data'!E230</f>
        <v>4.056666667</v>
      </c>
      <c r="E230" s="6" t="n">
        <f aca="false">'Raw Data'!F230</f>
        <v>0</v>
      </c>
      <c r="F230" s="6" t="n">
        <f aca="false">'Raw Data'!G230</f>
        <v>0</v>
      </c>
      <c r="G230" s="6" t="n">
        <f aca="false">'Raw Data'!H230</f>
        <v>0</v>
      </c>
      <c r="H230" s="6" t="n">
        <f aca="false">'Raw Data'!I230</f>
        <v>1</v>
      </c>
      <c r="I230" s="6" t="n">
        <f aca="false">'Raw Data'!J230</f>
        <v>0</v>
      </c>
      <c r="J230" s="6" t="n">
        <f aca="false">'Raw Data'!K230</f>
        <v>1</v>
      </c>
      <c r="K230" s="6" t="n">
        <f aca="false">'Raw Data'!L230</f>
        <v>4</v>
      </c>
      <c r="L230" s="6" t="n">
        <f aca="false">F230*E230</f>
        <v>0</v>
      </c>
      <c r="N230" s="0" t="n">
        <v>1</v>
      </c>
      <c r="O230" s="6" t="n">
        <f aca="false">D230</f>
        <v>4.056666667</v>
      </c>
      <c r="P230" s="6" t="n">
        <f aca="false">E230</f>
        <v>0</v>
      </c>
      <c r="Q230" s="6" t="n">
        <f aca="false">F230</f>
        <v>0</v>
      </c>
      <c r="R230" s="6" t="n">
        <f aca="false">G230</f>
        <v>0</v>
      </c>
      <c r="S230" s="6" t="n">
        <f aca="false">H230</f>
        <v>1</v>
      </c>
      <c r="T230" s="6" t="n">
        <f aca="false">I230</f>
        <v>0</v>
      </c>
      <c r="U230" s="6" t="n">
        <f aca="false">L230</f>
        <v>0</v>
      </c>
      <c r="W230" s="6" t="n">
        <f aca="false">D230</f>
        <v>4.056666667</v>
      </c>
      <c r="X230" s="6" t="n">
        <f aca="false">E230</f>
        <v>0</v>
      </c>
      <c r="Y230" s="6" t="n">
        <f aca="false">F230</f>
        <v>0</v>
      </c>
      <c r="Z230" s="6" t="n">
        <f aca="false">L230</f>
        <v>0</v>
      </c>
      <c r="AA230" s="6" t="n">
        <f aca="false">G230</f>
        <v>0</v>
      </c>
      <c r="AC230" s="6" t="n">
        <f aca="false">D230</f>
        <v>4.056666667</v>
      </c>
      <c r="AD230" s="6" t="n">
        <f aca="false">E230</f>
        <v>0</v>
      </c>
      <c r="AE230" s="6" t="n">
        <f aca="false">G230</f>
        <v>0</v>
      </c>
      <c r="AF230" s="6" t="n">
        <f aca="false">H230</f>
        <v>1</v>
      </c>
      <c r="AG230" s="6" t="n">
        <f aca="false">I230</f>
        <v>0</v>
      </c>
      <c r="AH230" s="6" t="n">
        <f aca="false">L230</f>
        <v>0</v>
      </c>
    </row>
    <row r="231" customFormat="false" ht="15" hidden="false" customHeight="false" outlineLevel="0" collapsed="false">
      <c r="A231" s="0" t="str">
        <f aca="false">'Raw Data'!C231</f>
        <v>P Street</v>
      </c>
      <c r="B231" s="5" t="n">
        <f aca="false">'Raw Data'!A231</f>
        <v>40365</v>
      </c>
      <c r="C231" s="6" t="n">
        <f aca="false">'Raw Data'!D231</f>
        <v>273.532252539151</v>
      </c>
      <c r="D231" s="6" t="n">
        <f aca="false">'Raw Data'!E231</f>
        <v>3.711666667</v>
      </c>
      <c r="E231" s="6" t="n">
        <f aca="false">'Raw Data'!F231</f>
        <v>0</v>
      </c>
      <c r="F231" s="6" t="n">
        <f aca="false">'Raw Data'!G231</f>
        <v>0</v>
      </c>
      <c r="G231" s="6" t="n">
        <f aca="false">'Raw Data'!H231</f>
        <v>0</v>
      </c>
      <c r="H231" s="6" t="n">
        <f aca="false">'Raw Data'!I231</f>
        <v>1</v>
      </c>
      <c r="I231" s="6" t="n">
        <f aca="false">'Raw Data'!J231</f>
        <v>0</v>
      </c>
      <c r="J231" s="6" t="n">
        <f aca="false">'Raw Data'!K231</f>
        <v>1</v>
      </c>
      <c r="K231" s="6" t="n">
        <f aca="false">'Raw Data'!L231</f>
        <v>4</v>
      </c>
      <c r="L231" s="6" t="n">
        <f aca="false">F231*E231</f>
        <v>0</v>
      </c>
      <c r="N231" s="0" t="n">
        <v>1</v>
      </c>
      <c r="O231" s="6" t="n">
        <f aca="false">D231</f>
        <v>3.711666667</v>
      </c>
      <c r="P231" s="6" t="n">
        <f aca="false">E231</f>
        <v>0</v>
      </c>
      <c r="Q231" s="6" t="n">
        <f aca="false">F231</f>
        <v>0</v>
      </c>
      <c r="R231" s="6" t="n">
        <f aca="false">G231</f>
        <v>0</v>
      </c>
      <c r="S231" s="6" t="n">
        <f aca="false">H231</f>
        <v>1</v>
      </c>
      <c r="T231" s="6" t="n">
        <f aca="false">I231</f>
        <v>0</v>
      </c>
      <c r="U231" s="6" t="n">
        <f aca="false">L231</f>
        <v>0</v>
      </c>
      <c r="W231" s="6" t="n">
        <f aca="false">D231</f>
        <v>3.711666667</v>
      </c>
      <c r="X231" s="6" t="n">
        <f aca="false">E231</f>
        <v>0</v>
      </c>
      <c r="Y231" s="6" t="n">
        <f aca="false">F231</f>
        <v>0</v>
      </c>
      <c r="Z231" s="6" t="n">
        <f aca="false">L231</f>
        <v>0</v>
      </c>
      <c r="AA231" s="6" t="n">
        <f aca="false">G231</f>
        <v>0</v>
      </c>
      <c r="AC231" s="6" t="n">
        <f aca="false">D231</f>
        <v>3.711666667</v>
      </c>
      <c r="AD231" s="6" t="n">
        <f aca="false">E231</f>
        <v>0</v>
      </c>
      <c r="AE231" s="6" t="n">
        <f aca="false">G231</f>
        <v>0</v>
      </c>
      <c r="AF231" s="6" t="n">
        <f aca="false">H231</f>
        <v>1</v>
      </c>
      <c r="AG231" s="6" t="n">
        <f aca="false">I231</f>
        <v>0</v>
      </c>
      <c r="AH231" s="6" t="n">
        <f aca="false">L231</f>
        <v>0</v>
      </c>
    </row>
    <row r="232" customFormat="false" ht="15" hidden="false" customHeight="false" outlineLevel="0" collapsed="false">
      <c r="A232" s="0" t="str">
        <f aca="false">'Raw Data'!C232</f>
        <v>P Street</v>
      </c>
      <c r="B232" s="5" t="n">
        <f aca="false">'Raw Data'!A232</f>
        <v>40372</v>
      </c>
      <c r="C232" s="6" t="n">
        <f aca="false">'Raw Data'!D232</f>
        <v>286.31471586877</v>
      </c>
      <c r="D232" s="6" t="n">
        <f aca="false">'Raw Data'!E232</f>
        <v>3.711666667</v>
      </c>
      <c r="E232" s="6" t="n">
        <f aca="false">'Raw Data'!F232</f>
        <v>0</v>
      </c>
      <c r="F232" s="6" t="n">
        <f aca="false">'Raw Data'!G232</f>
        <v>0</v>
      </c>
      <c r="G232" s="6" t="n">
        <f aca="false">'Raw Data'!H232</f>
        <v>0</v>
      </c>
      <c r="H232" s="6" t="n">
        <f aca="false">'Raw Data'!I232</f>
        <v>1</v>
      </c>
      <c r="I232" s="6" t="n">
        <f aca="false">'Raw Data'!J232</f>
        <v>0</v>
      </c>
      <c r="J232" s="6" t="n">
        <f aca="false">'Raw Data'!K232</f>
        <v>1</v>
      </c>
      <c r="K232" s="6" t="n">
        <f aca="false">'Raw Data'!L232</f>
        <v>4</v>
      </c>
      <c r="L232" s="6" t="n">
        <f aca="false">F232*E232</f>
        <v>0</v>
      </c>
      <c r="N232" s="0" t="n">
        <v>1</v>
      </c>
      <c r="O232" s="6" t="n">
        <f aca="false">D232</f>
        <v>3.711666667</v>
      </c>
      <c r="P232" s="6" t="n">
        <f aca="false">E232</f>
        <v>0</v>
      </c>
      <c r="Q232" s="6" t="n">
        <f aca="false">F232</f>
        <v>0</v>
      </c>
      <c r="R232" s="6" t="n">
        <f aca="false">G232</f>
        <v>0</v>
      </c>
      <c r="S232" s="6" t="n">
        <f aca="false">H232</f>
        <v>1</v>
      </c>
      <c r="T232" s="6" t="n">
        <f aca="false">I232</f>
        <v>0</v>
      </c>
      <c r="U232" s="6" t="n">
        <f aca="false">L232</f>
        <v>0</v>
      </c>
      <c r="W232" s="6" t="n">
        <f aca="false">D232</f>
        <v>3.711666667</v>
      </c>
      <c r="X232" s="6" t="n">
        <f aca="false">E232</f>
        <v>0</v>
      </c>
      <c r="Y232" s="6" t="n">
        <f aca="false">F232</f>
        <v>0</v>
      </c>
      <c r="Z232" s="6" t="n">
        <f aca="false">L232</f>
        <v>0</v>
      </c>
      <c r="AA232" s="6" t="n">
        <f aca="false">G232</f>
        <v>0</v>
      </c>
      <c r="AC232" s="6" t="n">
        <f aca="false">D232</f>
        <v>3.711666667</v>
      </c>
      <c r="AD232" s="6" t="n">
        <f aca="false">E232</f>
        <v>0</v>
      </c>
      <c r="AE232" s="6" t="n">
        <f aca="false">G232</f>
        <v>0</v>
      </c>
      <c r="AF232" s="6" t="n">
        <f aca="false">H232</f>
        <v>1</v>
      </c>
      <c r="AG232" s="6" t="n">
        <f aca="false">I232</f>
        <v>0</v>
      </c>
      <c r="AH232" s="6" t="n">
        <f aca="false">L232</f>
        <v>0</v>
      </c>
    </row>
    <row r="233" customFormat="false" ht="15" hidden="false" customHeight="false" outlineLevel="0" collapsed="false">
      <c r="A233" s="0" t="str">
        <f aca="false">'Raw Data'!C233</f>
        <v>Philadelphia</v>
      </c>
      <c r="B233" s="5" t="n">
        <f aca="false">'Raw Data'!A233</f>
        <v>40302</v>
      </c>
      <c r="C233" s="6" t="n">
        <f aca="false">'Raw Data'!D233</f>
        <v>156.630998610753</v>
      </c>
      <c r="D233" s="6" t="n">
        <f aca="false">'Raw Data'!E233</f>
        <v>3.904285714</v>
      </c>
      <c r="E233" s="6" t="n">
        <f aca="false">'Raw Data'!F233</f>
        <v>0</v>
      </c>
      <c r="F233" s="6" t="n">
        <f aca="false">'Raw Data'!G233</f>
        <v>0</v>
      </c>
      <c r="G233" s="6" t="n">
        <f aca="false">'Raw Data'!H233</f>
        <v>0</v>
      </c>
      <c r="H233" s="6" t="n">
        <f aca="false">'Raw Data'!I233</f>
        <v>0</v>
      </c>
      <c r="I233" s="6" t="n">
        <f aca="false">'Raw Data'!J233</f>
        <v>0</v>
      </c>
      <c r="J233" s="6" t="n">
        <f aca="false">'Raw Data'!K233</f>
        <v>4</v>
      </c>
      <c r="K233" s="6" t="n">
        <f aca="false">'Raw Data'!L233</f>
        <v>2</v>
      </c>
      <c r="L233" s="6" t="n">
        <f aca="false">F233*E233</f>
        <v>0</v>
      </c>
      <c r="N233" s="0" t="n">
        <v>1</v>
      </c>
      <c r="O233" s="6" t="n">
        <f aca="false">D233</f>
        <v>3.904285714</v>
      </c>
      <c r="P233" s="6" t="n">
        <f aca="false">E233</f>
        <v>0</v>
      </c>
      <c r="Q233" s="6" t="n">
        <f aca="false">F233</f>
        <v>0</v>
      </c>
      <c r="R233" s="6" t="n">
        <f aca="false">G233</f>
        <v>0</v>
      </c>
      <c r="S233" s="6" t="n">
        <f aca="false">H233</f>
        <v>0</v>
      </c>
      <c r="T233" s="6" t="n">
        <f aca="false">I233</f>
        <v>0</v>
      </c>
      <c r="U233" s="6" t="n">
        <f aca="false">L233</f>
        <v>0</v>
      </c>
      <c r="W233" s="6" t="n">
        <f aca="false">D233</f>
        <v>3.904285714</v>
      </c>
      <c r="X233" s="6" t="n">
        <f aca="false">E233</f>
        <v>0</v>
      </c>
      <c r="Y233" s="6" t="n">
        <f aca="false">F233</f>
        <v>0</v>
      </c>
      <c r="Z233" s="6" t="n">
        <f aca="false">L233</f>
        <v>0</v>
      </c>
      <c r="AA233" s="6" t="n">
        <f aca="false">G233</f>
        <v>0</v>
      </c>
      <c r="AC233" s="6" t="n">
        <f aca="false">D233</f>
        <v>3.904285714</v>
      </c>
      <c r="AD233" s="6" t="n">
        <f aca="false">E233</f>
        <v>0</v>
      </c>
      <c r="AE233" s="6" t="n">
        <f aca="false">G233</f>
        <v>0</v>
      </c>
      <c r="AF233" s="6" t="n">
        <f aca="false">H233</f>
        <v>0</v>
      </c>
      <c r="AG233" s="6" t="n">
        <f aca="false">I233</f>
        <v>0</v>
      </c>
      <c r="AH233" s="6" t="n">
        <f aca="false">L233</f>
        <v>0</v>
      </c>
    </row>
    <row r="234" customFormat="false" ht="15" hidden="false" customHeight="false" outlineLevel="0" collapsed="false">
      <c r="A234" s="0" t="str">
        <f aca="false">'Raw Data'!C234</f>
        <v>Philadelphia</v>
      </c>
      <c r="B234" s="5" t="n">
        <f aca="false">'Raw Data'!A234</f>
        <v>40309</v>
      </c>
      <c r="C234" s="6" t="n">
        <f aca="false">'Raw Data'!D234</f>
        <v>170.644435794475</v>
      </c>
      <c r="D234" s="6" t="n">
        <f aca="false">'Raw Data'!E234</f>
        <v>3.634444444</v>
      </c>
      <c r="E234" s="6" t="n">
        <f aca="false">'Raw Data'!F234</f>
        <v>0</v>
      </c>
      <c r="F234" s="6" t="n">
        <f aca="false">'Raw Data'!G234</f>
        <v>0</v>
      </c>
      <c r="G234" s="6" t="n">
        <f aca="false">'Raw Data'!H234</f>
        <v>0</v>
      </c>
      <c r="H234" s="6" t="n">
        <f aca="false">'Raw Data'!I234</f>
        <v>0</v>
      </c>
      <c r="I234" s="6" t="n">
        <f aca="false">'Raw Data'!J234</f>
        <v>0</v>
      </c>
      <c r="J234" s="6" t="n">
        <f aca="false">'Raw Data'!K234</f>
        <v>4</v>
      </c>
      <c r="K234" s="6" t="n">
        <f aca="false">'Raw Data'!L234</f>
        <v>2</v>
      </c>
      <c r="L234" s="6" t="n">
        <f aca="false">F234*E234</f>
        <v>0</v>
      </c>
      <c r="N234" s="0" t="n">
        <v>1</v>
      </c>
      <c r="O234" s="6" t="n">
        <f aca="false">D234</f>
        <v>3.634444444</v>
      </c>
      <c r="P234" s="6" t="n">
        <f aca="false">E234</f>
        <v>0</v>
      </c>
      <c r="Q234" s="6" t="n">
        <f aca="false">F234</f>
        <v>0</v>
      </c>
      <c r="R234" s="6" t="n">
        <f aca="false">G234</f>
        <v>0</v>
      </c>
      <c r="S234" s="6" t="n">
        <f aca="false">H234</f>
        <v>0</v>
      </c>
      <c r="T234" s="6" t="n">
        <f aca="false">I234</f>
        <v>0</v>
      </c>
      <c r="U234" s="6" t="n">
        <f aca="false">L234</f>
        <v>0</v>
      </c>
      <c r="W234" s="6" t="n">
        <f aca="false">D234</f>
        <v>3.634444444</v>
      </c>
      <c r="X234" s="6" t="n">
        <f aca="false">E234</f>
        <v>0</v>
      </c>
      <c r="Y234" s="6" t="n">
        <f aca="false">F234</f>
        <v>0</v>
      </c>
      <c r="Z234" s="6" t="n">
        <f aca="false">L234</f>
        <v>0</v>
      </c>
      <c r="AA234" s="6" t="n">
        <f aca="false">G234</f>
        <v>0</v>
      </c>
      <c r="AC234" s="6" t="n">
        <f aca="false">D234</f>
        <v>3.634444444</v>
      </c>
      <c r="AD234" s="6" t="n">
        <f aca="false">E234</f>
        <v>0</v>
      </c>
      <c r="AE234" s="6" t="n">
        <f aca="false">G234</f>
        <v>0</v>
      </c>
      <c r="AF234" s="6" t="n">
        <f aca="false">H234</f>
        <v>0</v>
      </c>
      <c r="AG234" s="6" t="n">
        <f aca="false">I234</f>
        <v>0</v>
      </c>
      <c r="AH234" s="6" t="n">
        <f aca="false">L234</f>
        <v>0</v>
      </c>
    </row>
    <row r="235" customFormat="false" ht="15" hidden="false" customHeight="false" outlineLevel="0" collapsed="false">
      <c r="A235" s="0" t="str">
        <f aca="false">'Raw Data'!C235</f>
        <v>Philadelphia</v>
      </c>
      <c r="B235" s="5" t="n">
        <f aca="false">'Raw Data'!A235</f>
        <v>40316</v>
      </c>
      <c r="C235" s="6" t="n">
        <f aca="false">'Raw Data'!D235</f>
        <v>186.397739779014</v>
      </c>
      <c r="D235" s="6" t="n">
        <f aca="false">'Raw Data'!E235</f>
        <v>3.34</v>
      </c>
      <c r="E235" s="6" t="n">
        <f aca="false">'Raw Data'!F235</f>
        <v>0</v>
      </c>
      <c r="F235" s="6" t="n">
        <f aca="false">'Raw Data'!G235</f>
        <v>0</v>
      </c>
      <c r="G235" s="6" t="n">
        <f aca="false">'Raw Data'!H235</f>
        <v>0</v>
      </c>
      <c r="H235" s="6" t="n">
        <f aca="false">'Raw Data'!I235</f>
        <v>0</v>
      </c>
      <c r="I235" s="6" t="n">
        <f aca="false">'Raw Data'!J235</f>
        <v>0</v>
      </c>
      <c r="J235" s="6" t="n">
        <f aca="false">'Raw Data'!K235</f>
        <v>4</v>
      </c>
      <c r="K235" s="6" t="n">
        <f aca="false">'Raw Data'!L235</f>
        <v>2</v>
      </c>
      <c r="L235" s="6" t="n">
        <f aca="false">F235*E235</f>
        <v>0</v>
      </c>
      <c r="N235" s="0" t="n">
        <v>1</v>
      </c>
      <c r="O235" s="6" t="n">
        <f aca="false">D235</f>
        <v>3.34</v>
      </c>
      <c r="P235" s="6" t="n">
        <f aca="false">E235</f>
        <v>0</v>
      </c>
      <c r="Q235" s="6" t="n">
        <f aca="false">F235</f>
        <v>0</v>
      </c>
      <c r="R235" s="6" t="n">
        <f aca="false">G235</f>
        <v>0</v>
      </c>
      <c r="S235" s="6" t="n">
        <f aca="false">H235</f>
        <v>0</v>
      </c>
      <c r="T235" s="6" t="n">
        <f aca="false">I235</f>
        <v>0</v>
      </c>
      <c r="U235" s="6" t="n">
        <f aca="false">L235</f>
        <v>0</v>
      </c>
      <c r="W235" s="6" t="n">
        <f aca="false">D235</f>
        <v>3.34</v>
      </c>
      <c r="X235" s="6" t="n">
        <f aca="false">E235</f>
        <v>0</v>
      </c>
      <c r="Y235" s="6" t="n">
        <f aca="false">F235</f>
        <v>0</v>
      </c>
      <c r="Z235" s="6" t="n">
        <f aca="false">L235</f>
        <v>0</v>
      </c>
      <c r="AA235" s="6" t="n">
        <f aca="false">G235</f>
        <v>0</v>
      </c>
      <c r="AC235" s="6" t="n">
        <f aca="false">D235</f>
        <v>3.34</v>
      </c>
      <c r="AD235" s="6" t="n">
        <f aca="false">E235</f>
        <v>0</v>
      </c>
      <c r="AE235" s="6" t="n">
        <f aca="false">G235</f>
        <v>0</v>
      </c>
      <c r="AF235" s="6" t="n">
        <f aca="false">H235</f>
        <v>0</v>
      </c>
      <c r="AG235" s="6" t="n">
        <f aca="false">I235</f>
        <v>0</v>
      </c>
      <c r="AH235" s="6" t="n">
        <f aca="false">L235</f>
        <v>0</v>
      </c>
    </row>
    <row r="236" customFormat="false" ht="15" hidden="false" customHeight="false" outlineLevel="0" collapsed="false">
      <c r="A236" s="0" t="str">
        <f aca="false">'Raw Data'!C236</f>
        <v>Philadelphia</v>
      </c>
      <c r="B236" s="5" t="n">
        <f aca="false">'Raw Data'!A236</f>
        <v>40323</v>
      </c>
      <c r="C236" s="6" t="n">
        <f aca="false">'Raw Data'!D236</f>
        <v>250.876474766929</v>
      </c>
      <c r="D236" s="6" t="n">
        <f aca="false">'Raw Data'!E236</f>
        <v>3.412222222</v>
      </c>
      <c r="E236" s="6" t="n">
        <f aca="false">'Raw Data'!F236</f>
        <v>0</v>
      </c>
      <c r="F236" s="6" t="n">
        <f aca="false">'Raw Data'!G236</f>
        <v>0</v>
      </c>
      <c r="G236" s="6" t="n">
        <f aca="false">'Raw Data'!H236</f>
        <v>0</v>
      </c>
      <c r="H236" s="6" t="n">
        <f aca="false">'Raw Data'!I236</f>
        <v>0</v>
      </c>
      <c r="I236" s="6" t="n">
        <f aca="false">'Raw Data'!J236</f>
        <v>0</v>
      </c>
      <c r="J236" s="6" t="n">
        <f aca="false">'Raw Data'!K236</f>
        <v>4</v>
      </c>
      <c r="K236" s="6" t="n">
        <f aca="false">'Raw Data'!L236</f>
        <v>2</v>
      </c>
      <c r="L236" s="6" t="n">
        <f aca="false">F236*E236</f>
        <v>0</v>
      </c>
      <c r="N236" s="0" t="n">
        <v>1</v>
      </c>
      <c r="O236" s="6" t="n">
        <f aca="false">D236</f>
        <v>3.412222222</v>
      </c>
      <c r="P236" s="6" t="n">
        <f aca="false">E236</f>
        <v>0</v>
      </c>
      <c r="Q236" s="6" t="n">
        <f aca="false">F236</f>
        <v>0</v>
      </c>
      <c r="R236" s="6" t="n">
        <f aca="false">G236</f>
        <v>0</v>
      </c>
      <c r="S236" s="6" t="n">
        <f aca="false">H236</f>
        <v>0</v>
      </c>
      <c r="T236" s="6" t="n">
        <f aca="false">I236</f>
        <v>0</v>
      </c>
      <c r="U236" s="6" t="n">
        <f aca="false">L236</f>
        <v>0</v>
      </c>
      <c r="W236" s="6" t="n">
        <f aca="false">D236</f>
        <v>3.412222222</v>
      </c>
      <c r="X236" s="6" t="n">
        <f aca="false">E236</f>
        <v>0</v>
      </c>
      <c r="Y236" s="6" t="n">
        <f aca="false">F236</f>
        <v>0</v>
      </c>
      <c r="Z236" s="6" t="n">
        <f aca="false">L236</f>
        <v>0</v>
      </c>
      <c r="AA236" s="6" t="n">
        <f aca="false">G236</f>
        <v>0</v>
      </c>
      <c r="AC236" s="6" t="n">
        <f aca="false">D236</f>
        <v>3.412222222</v>
      </c>
      <c r="AD236" s="6" t="n">
        <f aca="false">E236</f>
        <v>0</v>
      </c>
      <c r="AE236" s="6" t="n">
        <f aca="false">G236</f>
        <v>0</v>
      </c>
      <c r="AF236" s="6" t="n">
        <f aca="false">H236</f>
        <v>0</v>
      </c>
      <c r="AG236" s="6" t="n">
        <f aca="false">I236</f>
        <v>0</v>
      </c>
      <c r="AH236" s="6" t="n">
        <f aca="false">L236</f>
        <v>0</v>
      </c>
    </row>
    <row r="237" customFormat="false" ht="15" hidden="false" customHeight="false" outlineLevel="0" collapsed="false">
      <c r="A237" s="0" t="str">
        <f aca="false">'Raw Data'!C237</f>
        <v>Philadelphia</v>
      </c>
      <c r="B237" s="5" t="n">
        <f aca="false">'Raw Data'!A237</f>
        <v>40330</v>
      </c>
      <c r="C237" s="6" t="n">
        <f aca="false">'Raw Data'!D237</f>
        <v>199.689279434056</v>
      </c>
      <c r="D237" s="6" t="n">
        <f aca="false">'Raw Data'!E237</f>
        <v>3.404285714</v>
      </c>
      <c r="E237" s="6" t="n">
        <f aca="false">'Raw Data'!F237</f>
        <v>0</v>
      </c>
      <c r="F237" s="6" t="n">
        <f aca="false">'Raw Data'!G237</f>
        <v>0</v>
      </c>
      <c r="G237" s="6" t="n">
        <f aca="false">'Raw Data'!H237</f>
        <v>0</v>
      </c>
      <c r="H237" s="6" t="n">
        <f aca="false">'Raw Data'!I237</f>
        <v>0</v>
      </c>
      <c r="I237" s="6" t="n">
        <f aca="false">'Raw Data'!J237</f>
        <v>0</v>
      </c>
      <c r="J237" s="6" t="n">
        <f aca="false">'Raw Data'!K237</f>
        <v>4</v>
      </c>
      <c r="K237" s="6" t="n">
        <f aca="false">'Raw Data'!L237</f>
        <v>2</v>
      </c>
      <c r="L237" s="6" t="n">
        <f aca="false">F237*E237</f>
        <v>0</v>
      </c>
      <c r="N237" s="0" t="n">
        <v>1</v>
      </c>
      <c r="O237" s="6" t="n">
        <f aca="false">D237</f>
        <v>3.404285714</v>
      </c>
      <c r="P237" s="6" t="n">
        <f aca="false">E237</f>
        <v>0</v>
      </c>
      <c r="Q237" s="6" t="n">
        <f aca="false">F237</f>
        <v>0</v>
      </c>
      <c r="R237" s="6" t="n">
        <f aca="false">G237</f>
        <v>0</v>
      </c>
      <c r="S237" s="6" t="n">
        <f aca="false">H237</f>
        <v>0</v>
      </c>
      <c r="T237" s="6" t="n">
        <f aca="false">I237</f>
        <v>0</v>
      </c>
      <c r="U237" s="6" t="n">
        <f aca="false">L237</f>
        <v>0</v>
      </c>
      <c r="W237" s="6" t="n">
        <f aca="false">D237</f>
        <v>3.404285714</v>
      </c>
      <c r="X237" s="6" t="n">
        <f aca="false">E237</f>
        <v>0</v>
      </c>
      <c r="Y237" s="6" t="n">
        <f aca="false">F237</f>
        <v>0</v>
      </c>
      <c r="Z237" s="6" t="n">
        <f aca="false">L237</f>
        <v>0</v>
      </c>
      <c r="AA237" s="6" t="n">
        <f aca="false">G237</f>
        <v>0</v>
      </c>
      <c r="AC237" s="6" t="n">
        <f aca="false">D237</f>
        <v>3.404285714</v>
      </c>
      <c r="AD237" s="6" t="n">
        <f aca="false">E237</f>
        <v>0</v>
      </c>
      <c r="AE237" s="6" t="n">
        <f aca="false">G237</f>
        <v>0</v>
      </c>
      <c r="AF237" s="6" t="n">
        <f aca="false">H237</f>
        <v>0</v>
      </c>
      <c r="AG237" s="6" t="n">
        <f aca="false">I237</f>
        <v>0</v>
      </c>
      <c r="AH237" s="6" t="n">
        <f aca="false">L237</f>
        <v>0</v>
      </c>
    </row>
    <row r="238" customFormat="false" ht="15" hidden="false" customHeight="false" outlineLevel="0" collapsed="false">
      <c r="A238" s="0" t="str">
        <f aca="false">'Raw Data'!C238</f>
        <v>Philadelphia</v>
      </c>
      <c r="B238" s="5" t="n">
        <f aca="false">'Raw Data'!A238</f>
        <v>40337</v>
      </c>
      <c r="C238" s="6" t="n">
        <f aca="false">'Raw Data'!D238</f>
        <v>148.634933569915</v>
      </c>
      <c r="D238" s="6" t="n">
        <f aca="false">'Raw Data'!E238</f>
        <v>3.904285714</v>
      </c>
      <c r="E238" s="6" t="n">
        <f aca="false">'Raw Data'!F238</f>
        <v>0</v>
      </c>
      <c r="F238" s="6" t="n">
        <f aca="false">'Raw Data'!G238</f>
        <v>0</v>
      </c>
      <c r="G238" s="6" t="n">
        <f aca="false">'Raw Data'!H238</f>
        <v>0</v>
      </c>
      <c r="H238" s="6" t="n">
        <f aca="false">'Raw Data'!I238</f>
        <v>0</v>
      </c>
      <c r="I238" s="6" t="n">
        <f aca="false">'Raw Data'!J238</f>
        <v>0</v>
      </c>
      <c r="J238" s="6" t="n">
        <f aca="false">'Raw Data'!K238</f>
        <v>4</v>
      </c>
      <c r="K238" s="6" t="n">
        <f aca="false">'Raw Data'!L238</f>
        <v>2</v>
      </c>
      <c r="L238" s="6" t="n">
        <f aca="false">F238*E238</f>
        <v>0</v>
      </c>
      <c r="N238" s="0" t="n">
        <v>1</v>
      </c>
      <c r="O238" s="6" t="n">
        <f aca="false">D238</f>
        <v>3.904285714</v>
      </c>
      <c r="P238" s="6" t="n">
        <f aca="false">E238</f>
        <v>0</v>
      </c>
      <c r="Q238" s="6" t="n">
        <f aca="false">F238</f>
        <v>0</v>
      </c>
      <c r="R238" s="6" t="n">
        <f aca="false">G238</f>
        <v>0</v>
      </c>
      <c r="S238" s="6" t="n">
        <f aca="false">H238</f>
        <v>0</v>
      </c>
      <c r="T238" s="6" t="n">
        <f aca="false">I238</f>
        <v>0</v>
      </c>
      <c r="U238" s="6" t="n">
        <f aca="false">L238</f>
        <v>0</v>
      </c>
      <c r="W238" s="6" t="n">
        <f aca="false">D238</f>
        <v>3.904285714</v>
      </c>
      <c r="X238" s="6" t="n">
        <f aca="false">E238</f>
        <v>0</v>
      </c>
      <c r="Y238" s="6" t="n">
        <f aca="false">F238</f>
        <v>0</v>
      </c>
      <c r="Z238" s="6" t="n">
        <f aca="false">L238</f>
        <v>0</v>
      </c>
      <c r="AA238" s="6" t="n">
        <f aca="false">G238</f>
        <v>0</v>
      </c>
      <c r="AC238" s="6" t="n">
        <f aca="false">D238</f>
        <v>3.904285714</v>
      </c>
      <c r="AD238" s="6" t="n">
        <f aca="false">E238</f>
        <v>0</v>
      </c>
      <c r="AE238" s="6" t="n">
        <f aca="false">G238</f>
        <v>0</v>
      </c>
      <c r="AF238" s="6" t="n">
        <f aca="false">H238</f>
        <v>0</v>
      </c>
      <c r="AG238" s="6" t="n">
        <f aca="false">I238</f>
        <v>0</v>
      </c>
      <c r="AH238" s="6" t="n">
        <f aca="false">L238</f>
        <v>0</v>
      </c>
    </row>
    <row r="239" customFormat="false" ht="15" hidden="false" customHeight="false" outlineLevel="0" collapsed="false">
      <c r="A239" s="0" t="str">
        <f aca="false">'Raw Data'!C239</f>
        <v>Philadelphia</v>
      </c>
      <c r="B239" s="5" t="n">
        <f aca="false">'Raw Data'!A239</f>
        <v>40344</v>
      </c>
      <c r="C239" s="6" t="n">
        <f aca="false">'Raw Data'!D239</f>
        <v>320.939901374364</v>
      </c>
      <c r="D239" s="6" t="n">
        <f aca="false">'Raw Data'!E239</f>
        <v>3.904285714</v>
      </c>
      <c r="E239" s="6" t="n">
        <f aca="false">'Raw Data'!F239</f>
        <v>0</v>
      </c>
      <c r="F239" s="6" t="n">
        <f aca="false">'Raw Data'!G239</f>
        <v>0</v>
      </c>
      <c r="G239" s="6" t="n">
        <f aca="false">'Raw Data'!H239</f>
        <v>0</v>
      </c>
      <c r="H239" s="6" t="n">
        <f aca="false">'Raw Data'!I239</f>
        <v>0</v>
      </c>
      <c r="I239" s="6" t="n">
        <f aca="false">'Raw Data'!J239</f>
        <v>0</v>
      </c>
      <c r="J239" s="6" t="n">
        <f aca="false">'Raw Data'!K239</f>
        <v>4</v>
      </c>
      <c r="K239" s="6" t="n">
        <f aca="false">'Raw Data'!L239</f>
        <v>2</v>
      </c>
      <c r="L239" s="6" t="n">
        <f aca="false">F239*E239</f>
        <v>0</v>
      </c>
      <c r="N239" s="0" t="n">
        <v>1</v>
      </c>
      <c r="O239" s="6" t="n">
        <f aca="false">D239</f>
        <v>3.904285714</v>
      </c>
      <c r="P239" s="6" t="n">
        <f aca="false">E239</f>
        <v>0</v>
      </c>
      <c r="Q239" s="6" t="n">
        <f aca="false">F239</f>
        <v>0</v>
      </c>
      <c r="R239" s="6" t="n">
        <f aca="false">G239</f>
        <v>0</v>
      </c>
      <c r="S239" s="6" t="n">
        <f aca="false">H239</f>
        <v>0</v>
      </c>
      <c r="T239" s="6" t="n">
        <f aca="false">I239</f>
        <v>0</v>
      </c>
      <c r="U239" s="6" t="n">
        <f aca="false">L239</f>
        <v>0</v>
      </c>
      <c r="W239" s="6" t="n">
        <f aca="false">D239</f>
        <v>3.904285714</v>
      </c>
      <c r="X239" s="6" t="n">
        <f aca="false">E239</f>
        <v>0</v>
      </c>
      <c r="Y239" s="6" t="n">
        <f aca="false">F239</f>
        <v>0</v>
      </c>
      <c r="Z239" s="6" t="n">
        <f aca="false">L239</f>
        <v>0</v>
      </c>
      <c r="AA239" s="6" t="n">
        <f aca="false">G239</f>
        <v>0</v>
      </c>
      <c r="AC239" s="6" t="n">
        <f aca="false">D239</f>
        <v>3.904285714</v>
      </c>
      <c r="AD239" s="6" t="n">
        <f aca="false">E239</f>
        <v>0</v>
      </c>
      <c r="AE239" s="6" t="n">
        <f aca="false">G239</f>
        <v>0</v>
      </c>
      <c r="AF239" s="6" t="n">
        <f aca="false">H239</f>
        <v>0</v>
      </c>
      <c r="AG239" s="6" t="n">
        <f aca="false">I239</f>
        <v>0</v>
      </c>
      <c r="AH239" s="6" t="n">
        <f aca="false">L239</f>
        <v>0</v>
      </c>
    </row>
    <row r="240" customFormat="false" ht="15" hidden="false" customHeight="false" outlineLevel="0" collapsed="false">
      <c r="A240" s="0" t="str">
        <f aca="false">'Raw Data'!C240</f>
        <v>Philadelphia</v>
      </c>
      <c r="B240" s="5" t="n">
        <f aca="false">'Raw Data'!A240</f>
        <v>40351</v>
      </c>
      <c r="C240" s="6" t="n">
        <f aca="false">'Raw Data'!D240</f>
        <v>187.727491783517</v>
      </c>
      <c r="D240" s="6" t="n">
        <f aca="false">'Raw Data'!E240</f>
        <v>3.904285714</v>
      </c>
      <c r="E240" s="6" t="n">
        <f aca="false">'Raw Data'!F240</f>
        <v>0</v>
      </c>
      <c r="F240" s="6" t="n">
        <f aca="false">'Raw Data'!G240</f>
        <v>0</v>
      </c>
      <c r="G240" s="6" t="n">
        <f aca="false">'Raw Data'!H240</f>
        <v>0</v>
      </c>
      <c r="H240" s="6" t="n">
        <f aca="false">'Raw Data'!I240</f>
        <v>0</v>
      </c>
      <c r="I240" s="6" t="n">
        <f aca="false">'Raw Data'!J240</f>
        <v>0</v>
      </c>
      <c r="J240" s="6" t="n">
        <f aca="false">'Raw Data'!K240</f>
        <v>4</v>
      </c>
      <c r="K240" s="6" t="n">
        <f aca="false">'Raw Data'!L240</f>
        <v>2</v>
      </c>
      <c r="L240" s="6" t="n">
        <f aca="false">F240*E240</f>
        <v>0</v>
      </c>
      <c r="N240" s="0" t="n">
        <v>1</v>
      </c>
      <c r="O240" s="6" t="n">
        <f aca="false">D240</f>
        <v>3.904285714</v>
      </c>
      <c r="P240" s="6" t="n">
        <f aca="false">E240</f>
        <v>0</v>
      </c>
      <c r="Q240" s="6" t="n">
        <f aca="false">F240</f>
        <v>0</v>
      </c>
      <c r="R240" s="6" t="n">
        <f aca="false">G240</f>
        <v>0</v>
      </c>
      <c r="S240" s="6" t="n">
        <f aca="false">H240</f>
        <v>0</v>
      </c>
      <c r="T240" s="6" t="n">
        <f aca="false">I240</f>
        <v>0</v>
      </c>
      <c r="U240" s="6" t="n">
        <f aca="false">L240</f>
        <v>0</v>
      </c>
      <c r="W240" s="6" t="n">
        <f aca="false">D240</f>
        <v>3.904285714</v>
      </c>
      <c r="X240" s="6" t="n">
        <f aca="false">E240</f>
        <v>0</v>
      </c>
      <c r="Y240" s="6" t="n">
        <f aca="false">F240</f>
        <v>0</v>
      </c>
      <c r="Z240" s="6" t="n">
        <f aca="false">L240</f>
        <v>0</v>
      </c>
      <c r="AA240" s="6" t="n">
        <f aca="false">G240</f>
        <v>0</v>
      </c>
      <c r="AC240" s="6" t="n">
        <f aca="false">D240</f>
        <v>3.904285714</v>
      </c>
      <c r="AD240" s="6" t="n">
        <f aca="false">E240</f>
        <v>0</v>
      </c>
      <c r="AE240" s="6" t="n">
        <f aca="false">G240</f>
        <v>0</v>
      </c>
      <c r="AF240" s="6" t="n">
        <f aca="false">H240</f>
        <v>0</v>
      </c>
      <c r="AG240" s="6" t="n">
        <f aca="false">I240</f>
        <v>0</v>
      </c>
      <c r="AH240" s="6" t="n">
        <f aca="false">L240</f>
        <v>0</v>
      </c>
    </row>
    <row r="241" customFormat="false" ht="15" hidden="false" customHeight="false" outlineLevel="0" collapsed="false">
      <c r="A241" s="0" t="str">
        <f aca="false">'Raw Data'!C241</f>
        <v>Philadelphia</v>
      </c>
      <c r="B241" s="5" t="n">
        <f aca="false">'Raw Data'!A241</f>
        <v>40358</v>
      </c>
      <c r="C241" s="6" t="n">
        <f aca="false">'Raw Data'!D241</f>
        <v>235.126725750206</v>
      </c>
      <c r="D241" s="6" t="n">
        <f aca="false">'Raw Data'!E241</f>
        <v>3.904285714</v>
      </c>
      <c r="E241" s="6" t="n">
        <f aca="false">'Raw Data'!F241</f>
        <v>0</v>
      </c>
      <c r="F241" s="6" t="n">
        <f aca="false">'Raw Data'!G241</f>
        <v>0</v>
      </c>
      <c r="G241" s="6" t="n">
        <f aca="false">'Raw Data'!H241</f>
        <v>0</v>
      </c>
      <c r="H241" s="6" t="n">
        <f aca="false">'Raw Data'!I241</f>
        <v>0</v>
      </c>
      <c r="I241" s="6" t="n">
        <f aca="false">'Raw Data'!J241</f>
        <v>0</v>
      </c>
      <c r="J241" s="6" t="n">
        <f aca="false">'Raw Data'!K241</f>
        <v>4</v>
      </c>
      <c r="K241" s="6" t="n">
        <f aca="false">'Raw Data'!L241</f>
        <v>2</v>
      </c>
      <c r="L241" s="6" t="n">
        <f aca="false">F241*E241</f>
        <v>0</v>
      </c>
      <c r="N241" s="0" t="n">
        <v>1</v>
      </c>
      <c r="O241" s="6" t="n">
        <f aca="false">D241</f>
        <v>3.904285714</v>
      </c>
      <c r="P241" s="6" t="n">
        <f aca="false">E241</f>
        <v>0</v>
      </c>
      <c r="Q241" s="6" t="n">
        <f aca="false">F241</f>
        <v>0</v>
      </c>
      <c r="R241" s="6" t="n">
        <f aca="false">G241</f>
        <v>0</v>
      </c>
      <c r="S241" s="6" t="n">
        <f aca="false">H241</f>
        <v>0</v>
      </c>
      <c r="T241" s="6" t="n">
        <f aca="false">I241</f>
        <v>0</v>
      </c>
      <c r="U241" s="6" t="n">
        <f aca="false">L241</f>
        <v>0</v>
      </c>
      <c r="W241" s="6" t="n">
        <f aca="false">D241</f>
        <v>3.904285714</v>
      </c>
      <c r="X241" s="6" t="n">
        <f aca="false">E241</f>
        <v>0</v>
      </c>
      <c r="Y241" s="6" t="n">
        <f aca="false">F241</f>
        <v>0</v>
      </c>
      <c r="Z241" s="6" t="n">
        <f aca="false">L241</f>
        <v>0</v>
      </c>
      <c r="AA241" s="6" t="n">
        <f aca="false">G241</f>
        <v>0</v>
      </c>
      <c r="AC241" s="6" t="n">
        <f aca="false">D241</f>
        <v>3.904285714</v>
      </c>
      <c r="AD241" s="6" t="n">
        <f aca="false">E241</f>
        <v>0</v>
      </c>
      <c r="AE241" s="6" t="n">
        <f aca="false">G241</f>
        <v>0</v>
      </c>
      <c r="AF241" s="6" t="n">
        <f aca="false">H241</f>
        <v>0</v>
      </c>
      <c r="AG241" s="6" t="n">
        <f aca="false">I241</f>
        <v>0</v>
      </c>
      <c r="AH241" s="6" t="n">
        <f aca="false">L241</f>
        <v>0</v>
      </c>
    </row>
    <row r="242" customFormat="false" ht="15" hidden="false" customHeight="false" outlineLevel="0" collapsed="false">
      <c r="A242" s="0" t="str">
        <f aca="false">'Raw Data'!C242</f>
        <v>Philadelphia</v>
      </c>
      <c r="B242" s="5" t="n">
        <f aca="false">'Raw Data'!A242</f>
        <v>40365</v>
      </c>
      <c r="C242" s="6" t="n">
        <f aca="false">'Raw Data'!D242</f>
        <v>215.643490137009</v>
      </c>
      <c r="D242" s="6" t="n">
        <f aca="false">'Raw Data'!E242</f>
        <v>3.608571429</v>
      </c>
      <c r="E242" s="6" t="n">
        <f aca="false">'Raw Data'!F242</f>
        <v>0</v>
      </c>
      <c r="F242" s="6" t="n">
        <f aca="false">'Raw Data'!G242</f>
        <v>0</v>
      </c>
      <c r="G242" s="6" t="n">
        <f aca="false">'Raw Data'!H242</f>
        <v>0</v>
      </c>
      <c r="H242" s="6" t="n">
        <f aca="false">'Raw Data'!I242</f>
        <v>0</v>
      </c>
      <c r="I242" s="6" t="n">
        <f aca="false">'Raw Data'!J242</f>
        <v>0</v>
      </c>
      <c r="J242" s="6" t="n">
        <f aca="false">'Raw Data'!K242</f>
        <v>4</v>
      </c>
      <c r="K242" s="6" t="n">
        <f aca="false">'Raw Data'!L242</f>
        <v>2</v>
      </c>
      <c r="L242" s="6" t="n">
        <f aca="false">F242*E242</f>
        <v>0</v>
      </c>
      <c r="N242" s="0" t="n">
        <v>1</v>
      </c>
      <c r="O242" s="6" t="n">
        <f aca="false">D242</f>
        <v>3.608571429</v>
      </c>
      <c r="P242" s="6" t="n">
        <f aca="false">E242</f>
        <v>0</v>
      </c>
      <c r="Q242" s="6" t="n">
        <f aca="false">F242</f>
        <v>0</v>
      </c>
      <c r="R242" s="6" t="n">
        <f aca="false">G242</f>
        <v>0</v>
      </c>
      <c r="S242" s="6" t="n">
        <f aca="false">H242</f>
        <v>0</v>
      </c>
      <c r="T242" s="6" t="n">
        <f aca="false">I242</f>
        <v>0</v>
      </c>
      <c r="U242" s="6" t="n">
        <f aca="false">L242</f>
        <v>0</v>
      </c>
      <c r="W242" s="6" t="n">
        <f aca="false">D242</f>
        <v>3.608571429</v>
      </c>
      <c r="X242" s="6" t="n">
        <f aca="false">E242</f>
        <v>0</v>
      </c>
      <c r="Y242" s="6" t="n">
        <f aca="false">F242</f>
        <v>0</v>
      </c>
      <c r="Z242" s="6" t="n">
        <f aca="false">L242</f>
        <v>0</v>
      </c>
      <c r="AA242" s="6" t="n">
        <f aca="false">G242</f>
        <v>0</v>
      </c>
      <c r="AC242" s="6" t="n">
        <f aca="false">D242</f>
        <v>3.608571429</v>
      </c>
      <c r="AD242" s="6" t="n">
        <f aca="false">E242</f>
        <v>0</v>
      </c>
      <c r="AE242" s="6" t="n">
        <f aca="false">G242</f>
        <v>0</v>
      </c>
      <c r="AF242" s="6" t="n">
        <f aca="false">H242</f>
        <v>0</v>
      </c>
      <c r="AG242" s="6" t="n">
        <f aca="false">I242</f>
        <v>0</v>
      </c>
      <c r="AH242" s="6" t="n">
        <f aca="false">L242</f>
        <v>0</v>
      </c>
    </row>
    <row r="243" customFormat="false" ht="15" hidden="false" customHeight="false" outlineLevel="0" collapsed="false">
      <c r="A243" s="0" t="str">
        <f aca="false">'Raw Data'!C243</f>
        <v>Philadelphia</v>
      </c>
      <c r="B243" s="5" t="n">
        <f aca="false">'Raw Data'!A243</f>
        <v>40372</v>
      </c>
      <c r="C243" s="6" t="n">
        <f aca="false">'Raw Data'!D243</f>
        <v>215.026029483102</v>
      </c>
      <c r="D243" s="6" t="n">
        <f aca="false">'Raw Data'!E243</f>
        <v>3.608571429</v>
      </c>
      <c r="E243" s="6" t="n">
        <f aca="false">'Raw Data'!F243</f>
        <v>0</v>
      </c>
      <c r="F243" s="6" t="n">
        <f aca="false">'Raw Data'!G243</f>
        <v>0</v>
      </c>
      <c r="G243" s="6" t="n">
        <f aca="false">'Raw Data'!H243</f>
        <v>0</v>
      </c>
      <c r="H243" s="6" t="n">
        <f aca="false">'Raw Data'!I243</f>
        <v>0</v>
      </c>
      <c r="I243" s="6" t="n">
        <f aca="false">'Raw Data'!J243</f>
        <v>0</v>
      </c>
      <c r="J243" s="6" t="n">
        <f aca="false">'Raw Data'!K243</f>
        <v>4</v>
      </c>
      <c r="K243" s="6" t="n">
        <f aca="false">'Raw Data'!L243</f>
        <v>2</v>
      </c>
      <c r="L243" s="6" t="n">
        <f aca="false">F243*E243</f>
        <v>0</v>
      </c>
      <c r="N243" s="0" t="n">
        <v>1</v>
      </c>
      <c r="O243" s="6" t="n">
        <f aca="false">D243</f>
        <v>3.608571429</v>
      </c>
      <c r="P243" s="6" t="n">
        <f aca="false">E243</f>
        <v>0</v>
      </c>
      <c r="Q243" s="6" t="n">
        <f aca="false">F243</f>
        <v>0</v>
      </c>
      <c r="R243" s="6" t="n">
        <f aca="false">G243</f>
        <v>0</v>
      </c>
      <c r="S243" s="6" t="n">
        <f aca="false">H243</f>
        <v>0</v>
      </c>
      <c r="T243" s="6" t="n">
        <f aca="false">I243</f>
        <v>0</v>
      </c>
      <c r="U243" s="6" t="n">
        <f aca="false">L243</f>
        <v>0</v>
      </c>
      <c r="W243" s="6" t="n">
        <f aca="false">D243</f>
        <v>3.608571429</v>
      </c>
      <c r="X243" s="6" t="n">
        <f aca="false">E243</f>
        <v>0</v>
      </c>
      <c r="Y243" s="6" t="n">
        <f aca="false">F243</f>
        <v>0</v>
      </c>
      <c r="Z243" s="6" t="n">
        <f aca="false">L243</f>
        <v>0</v>
      </c>
      <c r="AA243" s="6" t="n">
        <f aca="false">G243</f>
        <v>0</v>
      </c>
      <c r="AC243" s="6" t="n">
        <f aca="false">D243</f>
        <v>3.608571429</v>
      </c>
      <c r="AD243" s="6" t="n">
        <f aca="false">E243</f>
        <v>0</v>
      </c>
      <c r="AE243" s="6" t="n">
        <f aca="false">G243</f>
        <v>0</v>
      </c>
      <c r="AF243" s="6" t="n">
        <f aca="false">H243</f>
        <v>0</v>
      </c>
      <c r="AG243" s="6" t="n">
        <f aca="false">I243</f>
        <v>0</v>
      </c>
      <c r="AH243" s="6" t="n">
        <f aca="false">L243</f>
        <v>0</v>
      </c>
    </row>
    <row r="244" customFormat="false" ht="15" hidden="false" customHeight="false" outlineLevel="0" collapsed="false">
      <c r="A244" s="0" t="str">
        <f aca="false">'Raw Data'!C244</f>
        <v>Princeton</v>
      </c>
      <c r="B244" s="5" t="n">
        <f aca="false">'Raw Data'!A244</f>
        <v>40302</v>
      </c>
      <c r="C244" s="6" t="n">
        <f aca="false">'Raw Data'!D244</f>
        <v>163.578836853248</v>
      </c>
      <c r="D244" s="6" t="n">
        <f aca="false">'Raw Data'!E244</f>
        <v>4.137142857</v>
      </c>
      <c r="E244" s="6" t="n">
        <f aca="false">'Raw Data'!F244</f>
        <v>0</v>
      </c>
      <c r="F244" s="6" t="n">
        <f aca="false">'Raw Data'!G244</f>
        <v>0</v>
      </c>
      <c r="G244" s="6" t="n">
        <f aca="false">'Raw Data'!H244</f>
        <v>0</v>
      </c>
      <c r="H244" s="6" t="n">
        <f aca="false">'Raw Data'!I244</f>
        <v>0</v>
      </c>
      <c r="I244" s="6" t="n">
        <f aca="false">'Raw Data'!J244</f>
        <v>0</v>
      </c>
      <c r="J244" s="6" t="n">
        <f aca="false">'Raw Data'!K244</f>
        <v>0</v>
      </c>
      <c r="K244" s="6" t="n">
        <f aca="false">'Raw Data'!L244</f>
        <v>3</v>
      </c>
      <c r="L244" s="6" t="n">
        <f aca="false">F244*E244</f>
        <v>0</v>
      </c>
      <c r="N244" s="0" t="n">
        <v>1</v>
      </c>
      <c r="O244" s="6" t="n">
        <f aca="false">D244</f>
        <v>4.137142857</v>
      </c>
      <c r="P244" s="6" t="n">
        <f aca="false">E244</f>
        <v>0</v>
      </c>
      <c r="Q244" s="6" t="n">
        <f aca="false">F244</f>
        <v>0</v>
      </c>
      <c r="R244" s="6" t="n">
        <f aca="false">G244</f>
        <v>0</v>
      </c>
      <c r="S244" s="6" t="n">
        <f aca="false">H244</f>
        <v>0</v>
      </c>
      <c r="T244" s="6" t="n">
        <f aca="false">I244</f>
        <v>0</v>
      </c>
      <c r="U244" s="6" t="n">
        <f aca="false">L244</f>
        <v>0</v>
      </c>
      <c r="W244" s="6" t="n">
        <f aca="false">D244</f>
        <v>4.137142857</v>
      </c>
      <c r="X244" s="6" t="n">
        <f aca="false">E244</f>
        <v>0</v>
      </c>
      <c r="Y244" s="6" t="n">
        <f aca="false">F244</f>
        <v>0</v>
      </c>
      <c r="Z244" s="6" t="n">
        <f aca="false">L244</f>
        <v>0</v>
      </c>
      <c r="AA244" s="6" t="n">
        <f aca="false">G244</f>
        <v>0</v>
      </c>
      <c r="AC244" s="6" t="n">
        <f aca="false">D244</f>
        <v>4.137142857</v>
      </c>
      <c r="AD244" s="6" t="n">
        <f aca="false">E244</f>
        <v>0</v>
      </c>
      <c r="AE244" s="6" t="n">
        <f aca="false">G244</f>
        <v>0</v>
      </c>
      <c r="AF244" s="6" t="n">
        <f aca="false">H244</f>
        <v>0</v>
      </c>
      <c r="AG244" s="6" t="n">
        <f aca="false">I244</f>
        <v>0</v>
      </c>
      <c r="AH244" s="6" t="n">
        <f aca="false">L244</f>
        <v>0</v>
      </c>
    </row>
    <row r="245" customFormat="false" ht="15" hidden="false" customHeight="false" outlineLevel="0" collapsed="false">
      <c r="A245" s="0" t="str">
        <f aca="false">'Raw Data'!C245</f>
        <v>Princeton</v>
      </c>
      <c r="B245" s="5" t="n">
        <f aca="false">'Raw Data'!A245</f>
        <v>40309</v>
      </c>
      <c r="C245" s="6" t="n">
        <f aca="false">'Raw Data'!D245</f>
        <v>240.142838733714</v>
      </c>
      <c r="D245" s="6" t="n">
        <f aca="false">'Raw Data'!E245</f>
        <v>3.74</v>
      </c>
      <c r="E245" s="6" t="n">
        <f aca="false">'Raw Data'!F245</f>
        <v>0</v>
      </c>
      <c r="F245" s="6" t="n">
        <f aca="false">'Raw Data'!G245</f>
        <v>0</v>
      </c>
      <c r="G245" s="6" t="n">
        <f aca="false">'Raw Data'!H245</f>
        <v>0</v>
      </c>
      <c r="H245" s="6" t="n">
        <f aca="false">'Raw Data'!I245</f>
        <v>0</v>
      </c>
      <c r="I245" s="6" t="n">
        <f aca="false">'Raw Data'!J245</f>
        <v>0</v>
      </c>
      <c r="J245" s="6" t="n">
        <f aca="false">'Raw Data'!K245</f>
        <v>0</v>
      </c>
      <c r="K245" s="6" t="n">
        <f aca="false">'Raw Data'!L245</f>
        <v>3</v>
      </c>
      <c r="L245" s="6" t="n">
        <f aca="false">F245*E245</f>
        <v>0</v>
      </c>
      <c r="N245" s="0" t="n">
        <v>1</v>
      </c>
      <c r="O245" s="6" t="n">
        <f aca="false">D245</f>
        <v>3.74</v>
      </c>
      <c r="P245" s="6" t="n">
        <f aca="false">E245</f>
        <v>0</v>
      </c>
      <c r="Q245" s="6" t="n">
        <f aca="false">F245</f>
        <v>0</v>
      </c>
      <c r="R245" s="6" t="n">
        <f aca="false">G245</f>
        <v>0</v>
      </c>
      <c r="S245" s="6" t="n">
        <f aca="false">H245</f>
        <v>0</v>
      </c>
      <c r="T245" s="6" t="n">
        <f aca="false">I245</f>
        <v>0</v>
      </c>
      <c r="U245" s="6" t="n">
        <f aca="false">L245</f>
        <v>0</v>
      </c>
      <c r="W245" s="6" t="n">
        <f aca="false">D245</f>
        <v>3.74</v>
      </c>
      <c r="X245" s="6" t="n">
        <f aca="false">E245</f>
        <v>0</v>
      </c>
      <c r="Y245" s="6" t="n">
        <f aca="false">F245</f>
        <v>0</v>
      </c>
      <c r="Z245" s="6" t="n">
        <f aca="false">L245</f>
        <v>0</v>
      </c>
      <c r="AA245" s="6" t="n">
        <f aca="false">G245</f>
        <v>0</v>
      </c>
      <c r="AC245" s="6" t="n">
        <f aca="false">D245</f>
        <v>3.74</v>
      </c>
      <c r="AD245" s="6" t="n">
        <f aca="false">E245</f>
        <v>0</v>
      </c>
      <c r="AE245" s="6" t="n">
        <f aca="false">G245</f>
        <v>0</v>
      </c>
      <c r="AF245" s="6" t="n">
        <f aca="false">H245</f>
        <v>0</v>
      </c>
      <c r="AG245" s="6" t="n">
        <f aca="false">I245</f>
        <v>0</v>
      </c>
      <c r="AH245" s="6" t="n">
        <f aca="false">L245</f>
        <v>0</v>
      </c>
    </row>
    <row r="246" customFormat="false" ht="15" hidden="false" customHeight="false" outlineLevel="0" collapsed="false">
      <c r="A246" s="0" t="str">
        <f aca="false">'Raw Data'!C246</f>
        <v>Princeton</v>
      </c>
      <c r="B246" s="5" t="n">
        <f aca="false">'Raw Data'!A246</f>
        <v>40316</v>
      </c>
      <c r="C246" s="6" t="n">
        <f aca="false">'Raw Data'!D246</f>
        <v>173.964355680268</v>
      </c>
      <c r="D246" s="6" t="n">
        <f aca="false">'Raw Data'!E246</f>
        <v>3.656666667</v>
      </c>
      <c r="E246" s="6" t="n">
        <f aca="false">'Raw Data'!F246</f>
        <v>0</v>
      </c>
      <c r="F246" s="6" t="n">
        <f aca="false">'Raw Data'!G246</f>
        <v>0</v>
      </c>
      <c r="G246" s="6" t="n">
        <f aca="false">'Raw Data'!H246</f>
        <v>0</v>
      </c>
      <c r="H246" s="6" t="n">
        <f aca="false">'Raw Data'!I246</f>
        <v>0</v>
      </c>
      <c r="I246" s="6" t="n">
        <f aca="false">'Raw Data'!J246</f>
        <v>0</v>
      </c>
      <c r="J246" s="6" t="n">
        <f aca="false">'Raw Data'!K246</f>
        <v>0</v>
      </c>
      <c r="K246" s="6" t="n">
        <f aca="false">'Raw Data'!L246</f>
        <v>3</v>
      </c>
      <c r="L246" s="6" t="n">
        <f aca="false">F246*E246</f>
        <v>0</v>
      </c>
      <c r="N246" s="0" t="n">
        <v>1</v>
      </c>
      <c r="O246" s="6" t="n">
        <f aca="false">D246</f>
        <v>3.656666667</v>
      </c>
      <c r="P246" s="6" t="n">
        <f aca="false">E246</f>
        <v>0</v>
      </c>
      <c r="Q246" s="6" t="n">
        <f aca="false">F246</f>
        <v>0</v>
      </c>
      <c r="R246" s="6" t="n">
        <f aca="false">G246</f>
        <v>0</v>
      </c>
      <c r="S246" s="6" t="n">
        <f aca="false">H246</f>
        <v>0</v>
      </c>
      <c r="T246" s="6" t="n">
        <f aca="false">I246</f>
        <v>0</v>
      </c>
      <c r="U246" s="6" t="n">
        <f aca="false">L246</f>
        <v>0</v>
      </c>
      <c r="W246" s="6" t="n">
        <f aca="false">D246</f>
        <v>3.656666667</v>
      </c>
      <c r="X246" s="6" t="n">
        <f aca="false">E246</f>
        <v>0</v>
      </c>
      <c r="Y246" s="6" t="n">
        <f aca="false">F246</f>
        <v>0</v>
      </c>
      <c r="Z246" s="6" t="n">
        <f aca="false">L246</f>
        <v>0</v>
      </c>
      <c r="AA246" s="6" t="n">
        <f aca="false">G246</f>
        <v>0</v>
      </c>
      <c r="AC246" s="6" t="n">
        <f aca="false">D246</f>
        <v>3.656666667</v>
      </c>
      <c r="AD246" s="6" t="n">
        <f aca="false">E246</f>
        <v>0</v>
      </c>
      <c r="AE246" s="6" t="n">
        <f aca="false">G246</f>
        <v>0</v>
      </c>
      <c r="AF246" s="6" t="n">
        <f aca="false">H246</f>
        <v>0</v>
      </c>
      <c r="AG246" s="6" t="n">
        <f aca="false">I246</f>
        <v>0</v>
      </c>
      <c r="AH246" s="6" t="n">
        <f aca="false">L246</f>
        <v>0</v>
      </c>
    </row>
    <row r="247" customFormat="false" ht="15" hidden="false" customHeight="false" outlineLevel="0" collapsed="false">
      <c r="A247" s="0" t="str">
        <f aca="false">'Raw Data'!C247</f>
        <v>Princeton</v>
      </c>
      <c r="B247" s="5" t="n">
        <f aca="false">'Raw Data'!A247</f>
        <v>40323</v>
      </c>
      <c r="C247" s="6" t="n">
        <f aca="false">'Raw Data'!D247</f>
        <v>208.725918546614</v>
      </c>
      <c r="D247" s="6" t="n">
        <f aca="false">'Raw Data'!E247</f>
        <v>3.34</v>
      </c>
      <c r="E247" s="6" t="n">
        <f aca="false">'Raw Data'!F247</f>
        <v>0</v>
      </c>
      <c r="F247" s="6" t="n">
        <f aca="false">'Raw Data'!G247</f>
        <v>0</v>
      </c>
      <c r="G247" s="6" t="n">
        <f aca="false">'Raw Data'!H247</f>
        <v>0</v>
      </c>
      <c r="H247" s="6" t="n">
        <f aca="false">'Raw Data'!I247</f>
        <v>0</v>
      </c>
      <c r="I247" s="6" t="n">
        <f aca="false">'Raw Data'!J247</f>
        <v>0</v>
      </c>
      <c r="J247" s="6" t="n">
        <f aca="false">'Raw Data'!K247</f>
        <v>0</v>
      </c>
      <c r="K247" s="6" t="n">
        <f aca="false">'Raw Data'!L247</f>
        <v>3</v>
      </c>
      <c r="L247" s="6" t="n">
        <f aca="false">F247*E247</f>
        <v>0</v>
      </c>
      <c r="N247" s="0" t="n">
        <v>1</v>
      </c>
      <c r="O247" s="6" t="n">
        <f aca="false">D247</f>
        <v>3.34</v>
      </c>
      <c r="P247" s="6" t="n">
        <f aca="false">E247</f>
        <v>0</v>
      </c>
      <c r="Q247" s="6" t="n">
        <f aca="false">F247</f>
        <v>0</v>
      </c>
      <c r="R247" s="6" t="n">
        <f aca="false">G247</f>
        <v>0</v>
      </c>
      <c r="S247" s="6" t="n">
        <f aca="false">H247</f>
        <v>0</v>
      </c>
      <c r="T247" s="6" t="n">
        <f aca="false">I247</f>
        <v>0</v>
      </c>
      <c r="U247" s="6" t="n">
        <f aca="false">L247</f>
        <v>0</v>
      </c>
      <c r="W247" s="6" t="n">
        <f aca="false">D247</f>
        <v>3.34</v>
      </c>
      <c r="X247" s="6" t="n">
        <f aca="false">E247</f>
        <v>0</v>
      </c>
      <c r="Y247" s="6" t="n">
        <f aca="false">F247</f>
        <v>0</v>
      </c>
      <c r="Z247" s="6" t="n">
        <f aca="false">L247</f>
        <v>0</v>
      </c>
      <c r="AA247" s="6" t="n">
        <f aca="false">G247</f>
        <v>0</v>
      </c>
      <c r="AC247" s="6" t="n">
        <f aca="false">D247</f>
        <v>3.34</v>
      </c>
      <c r="AD247" s="6" t="n">
        <f aca="false">E247</f>
        <v>0</v>
      </c>
      <c r="AE247" s="6" t="n">
        <f aca="false">G247</f>
        <v>0</v>
      </c>
      <c r="AF247" s="6" t="n">
        <f aca="false">H247</f>
        <v>0</v>
      </c>
      <c r="AG247" s="6" t="n">
        <f aca="false">I247</f>
        <v>0</v>
      </c>
      <c r="AH247" s="6" t="n">
        <f aca="false">L247</f>
        <v>0</v>
      </c>
    </row>
    <row r="248" customFormat="false" ht="15" hidden="false" customHeight="false" outlineLevel="0" collapsed="false">
      <c r="A248" s="0" t="str">
        <f aca="false">'Raw Data'!C248</f>
        <v>Princeton</v>
      </c>
      <c r="B248" s="5" t="n">
        <f aca="false">'Raw Data'!A248</f>
        <v>40330</v>
      </c>
      <c r="C248" s="6" t="n">
        <f aca="false">'Raw Data'!D248</f>
        <v>241.912989632067</v>
      </c>
      <c r="D248" s="6" t="n">
        <f aca="false">'Raw Data'!E248</f>
        <v>3.480909091</v>
      </c>
      <c r="E248" s="6" t="n">
        <f aca="false">'Raw Data'!F248</f>
        <v>0</v>
      </c>
      <c r="F248" s="6" t="n">
        <f aca="false">'Raw Data'!G248</f>
        <v>0</v>
      </c>
      <c r="G248" s="6" t="n">
        <f aca="false">'Raw Data'!H248</f>
        <v>0</v>
      </c>
      <c r="H248" s="6" t="n">
        <f aca="false">'Raw Data'!I248</f>
        <v>0</v>
      </c>
      <c r="I248" s="6" t="n">
        <f aca="false">'Raw Data'!J248</f>
        <v>0</v>
      </c>
      <c r="J248" s="6" t="n">
        <f aca="false">'Raw Data'!K248</f>
        <v>0</v>
      </c>
      <c r="K248" s="6" t="n">
        <f aca="false">'Raw Data'!L248</f>
        <v>3</v>
      </c>
      <c r="L248" s="6" t="n">
        <f aca="false">F248*E248</f>
        <v>0</v>
      </c>
      <c r="N248" s="0" t="n">
        <v>1</v>
      </c>
      <c r="O248" s="6" t="n">
        <f aca="false">D248</f>
        <v>3.480909091</v>
      </c>
      <c r="P248" s="6" t="n">
        <f aca="false">E248</f>
        <v>0</v>
      </c>
      <c r="Q248" s="6" t="n">
        <f aca="false">F248</f>
        <v>0</v>
      </c>
      <c r="R248" s="6" t="n">
        <f aca="false">G248</f>
        <v>0</v>
      </c>
      <c r="S248" s="6" t="n">
        <f aca="false">H248</f>
        <v>0</v>
      </c>
      <c r="T248" s="6" t="n">
        <f aca="false">I248</f>
        <v>0</v>
      </c>
      <c r="U248" s="6" t="n">
        <f aca="false">L248</f>
        <v>0</v>
      </c>
      <c r="W248" s="6" t="n">
        <f aca="false">D248</f>
        <v>3.480909091</v>
      </c>
      <c r="X248" s="6" t="n">
        <f aca="false">E248</f>
        <v>0</v>
      </c>
      <c r="Y248" s="6" t="n">
        <f aca="false">F248</f>
        <v>0</v>
      </c>
      <c r="Z248" s="6" t="n">
        <f aca="false">L248</f>
        <v>0</v>
      </c>
      <c r="AA248" s="6" t="n">
        <f aca="false">G248</f>
        <v>0</v>
      </c>
      <c r="AC248" s="6" t="n">
        <f aca="false">D248</f>
        <v>3.480909091</v>
      </c>
      <c r="AD248" s="6" t="n">
        <f aca="false">E248</f>
        <v>0</v>
      </c>
      <c r="AE248" s="6" t="n">
        <f aca="false">G248</f>
        <v>0</v>
      </c>
      <c r="AF248" s="6" t="n">
        <f aca="false">H248</f>
        <v>0</v>
      </c>
      <c r="AG248" s="6" t="n">
        <f aca="false">I248</f>
        <v>0</v>
      </c>
      <c r="AH248" s="6" t="n">
        <f aca="false">L248</f>
        <v>0</v>
      </c>
    </row>
    <row r="249" customFormat="false" ht="15" hidden="false" customHeight="false" outlineLevel="0" collapsed="false">
      <c r="A249" s="0" t="str">
        <f aca="false">'Raw Data'!C249</f>
        <v>Princeton</v>
      </c>
      <c r="B249" s="5" t="n">
        <f aca="false">'Raw Data'!A249</f>
        <v>40337</v>
      </c>
      <c r="C249" s="6" t="n">
        <f aca="false">'Raw Data'!D249</f>
        <v>199.37255472801</v>
      </c>
      <c r="D249" s="6" t="n">
        <f aca="false">'Raw Data'!E249</f>
        <v>3.735454545</v>
      </c>
      <c r="E249" s="6" t="n">
        <f aca="false">'Raw Data'!F249</f>
        <v>0</v>
      </c>
      <c r="F249" s="6" t="n">
        <f aca="false">'Raw Data'!G249</f>
        <v>0</v>
      </c>
      <c r="G249" s="6" t="n">
        <f aca="false">'Raw Data'!H249</f>
        <v>0</v>
      </c>
      <c r="H249" s="6" t="n">
        <f aca="false">'Raw Data'!I249</f>
        <v>0</v>
      </c>
      <c r="I249" s="6" t="n">
        <f aca="false">'Raw Data'!J249</f>
        <v>0</v>
      </c>
      <c r="J249" s="6" t="n">
        <f aca="false">'Raw Data'!K249</f>
        <v>0</v>
      </c>
      <c r="K249" s="6" t="n">
        <f aca="false">'Raw Data'!L249</f>
        <v>3</v>
      </c>
      <c r="L249" s="6" t="n">
        <f aca="false">F249*E249</f>
        <v>0</v>
      </c>
      <c r="N249" s="0" t="n">
        <v>1</v>
      </c>
      <c r="O249" s="6" t="n">
        <f aca="false">D249</f>
        <v>3.735454545</v>
      </c>
      <c r="P249" s="6" t="n">
        <f aca="false">E249</f>
        <v>0</v>
      </c>
      <c r="Q249" s="6" t="n">
        <f aca="false">F249</f>
        <v>0</v>
      </c>
      <c r="R249" s="6" t="n">
        <f aca="false">G249</f>
        <v>0</v>
      </c>
      <c r="S249" s="6" t="n">
        <f aca="false">H249</f>
        <v>0</v>
      </c>
      <c r="T249" s="6" t="n">
        <f aca="false">I249</f>
        <v>0</v>
      </c>
      <c r="U249" s="6" t="n">
        <f aca="false">L249</f>
        <v>0</v>
      </c>
      <c r="W249" s="6" t="n">
        <f aca="false">D249</f>
        <v>3.735454545</v>
      </c>
      <c r="X249" s="6" t="n">
        <f aca="false">E249</f>
        <v>0</v>
      </c>
      <c r="Y249" s="6" t="n">
        <f aca="false">F249</f>
        <v>0</v>
      </c>
      <c r="Z249" s="6" t="n">
        <f aca="false">L249</f>
        <v>0</v>
      </c>
      <c r="AA249" s="6" t="n">
        <f aca="false">G249</f>
        <v>0</v>
      </c>
      <c r="AC249" s="6" t="n">
        <f aca="false">D249</f>
        <v>3.735454545</v>
      </c>
      <c r="AD249" s="6" t="n">
        <f aca="false">E249</f>
        <v>0</v>
      </c>
      <c r="AE249" s="6" t="n">
        <f aca="false">G249</f>
        <v>0</v>
      </c>
      <c r="AF249" s="6" t="n">
        <f aca="false">H249</f>
        <v>0</v>
      </c>
      <c r="AG249" s="6" t="n">
        <f aca="false">I249</f>
        <v>0</v>
      </c>
      <c r="AH249" s="6" t="n">
        <f aca="false">L249</f>
        <v>0</v>
      </c>
    </row>
    <row r="250" customFormat="false" ht="15" hidden="false" customHeight="false" outlineLevel="0" collapsed="false">
      <c r="A250" s="0" t="str">
        <f aca="false">'Raw Data'!C250</f>
        <v>Princeton</v>
      </c>
      <c r="B250" s="5" t="n">
        <f aca="false">'Raw Data'!A250</f>
        <v>40344</v>
      </c>
      <c r="C250" s="6" t="n">
        <f aca="false">'Raw Data'!D250</f>
        <v>128.159428314179</v>
      </c>
      <c r="D250" s="6" t="n">
        <f aca="false">'Raw Data'!E250</f>
        <v>3.735454545</v>
      </c>
      <c r="E250" s="6" t="n">
        <f aca="false">'Raw Data'!F250</f>
        <v>0</v>
      </c>
      <c r="F250" s="6" t="n">
        <f aca="false">'Raw Data'!G250</f>
        <v>0</v>
      </c>
      <c r="G250" s="6" t="n">
        <f aca="false">'Raw Data'!H250</f>
        <v>0</v>
      </c>
      <c r="H250" s="6" t="n">
        <f aca="false">'Raw Data'!I250</f>
        <v>0</v>
      </c>
      <c r="I250" s="6" t="n">
        <f aca="false">'Raw Data'!J250</f>
        <v>0</v>
      </c>
      <c r="J250" s="6" t="n">
        <f aca="false">'Raw Data'!K250</f>
        <v>0</v>
      </c>
      <c r="K250" s="6" t="n">
        <f aca="false">'Raw Data'!L250</f>
        <v>3</v>
      </c>
      <c r="L250" s="6" t="n">
        <f aca="false">F250*E250</f>
        <v>0</v>
      </c>
      <c r="N250" s="0" t="n">
        <v>1</v>
      </c>
      <c r="O250" s="6" t="n">
        <f aca="false">D250</f>
        <v>3.735454545</v>
      </c>
      <c r="P250" s="6" t="n">
        <f aca="false">E250</f>
        <v>0</v>
      </c>
      <c r="Q250" s="6" t="n">
        <f aca="false">F250</f>
        <v>0</v>
      </c>
      <c r="R250" s="6" t="n">
        <f aca="false">G250</f>
        <v>0</v>
      </c>
      <c r="S250" s="6" t="n">
        <f aca="false">H250</f>
        <v>0</v>
      </c>
      <c r="T250" s="6" t="n">
        <f aca="false">I250</f>
        <v>0</v>
      </c>
      <c r="U250" s="6" t="n">
        <f aca="false">L250</f>
        <v>0</v>
      </c>
      <c r="W250" s="6" t="n">
        <f aca="false">D250</f>
        <v>3.735454545</v>
      </c>
      <c r="X250" s="6" t="n">
        <f aca="false">E250</f>
        <v>0</v>
      </c>
      <c r="Y250" s="6" t="n">
        <f aca="false">F250</f>
        <v>0</v>
      </c>
      <c r="Z250" s="6" t="n">
        <f aca="false">L250</f>
        <v>0</v>
      </c>
      <c r="AA250" s="6" t="n">
        <f aca="false">G250</f>
        <v>0</v>
      </c>
      <c r="AC250" s="6" t="n">
        <f aca="false">D250</f>
        <v>3.735454545</v>
      </c>
      <c r="AD250" s="6" t="n">
        <f aca="false">E250</f>
        <v>0</v>
      </c>
      <c r="AE250" s="6" t="n">
        <f aca="false">G250</f>
        <v>0</v>
      </c>
      <c r="AF250" s="6" t="n">
        <f aca="false">H250</f>
        <v>0</v>
      </c>
      <c r="AG250" s="6" t="n">
        <f aca="false">I250</f>
        <v>0</v>
      </c>
      <c r="AH250" s="6" t="n">
        <f aca="false">L250</f>
        <v>0</v>
      </c>
    </row>
    <row r="251" customFormat="false" ht="15" hidden="false" customHeight="false" outlineLevel="0" collapsed="false">
      <c r="A251" s="0" t="str">
        <f aca="false">'Raw Data'!C251</f>
        <v>Princeton</v>
      </c>
      <c r="B251" s="5" t="n">
        <f aca="false">'Raw Data'!A251</f>
        <v>40351</v>
      </c>
      <c r="C251" s="6" t="n">
        <f aca="false">'Raw Data'!D251</f>
        <v>294.961577289201</v>
      </c>
      <c r="D251" s="6" t="n">
        <f aca="false">'Raw Data'!E251</f>
        <v>3.735454545</v>
      </c>
      <c r="E251" s="6" t="n">
        <f aca="false">'Raw Data'!F251</f>
        <v>0</v>
      </c>
      <c r="F251" s="6" t="n">
        <f aca="false">'Raw Data'!G251</f>
        <v>0</v>
      </c>
      <c r="G251" s="6" t="n">
        <f aca="false">'Raw Data'!H251</f>
        <v>1</v>
      </c>
      <c r="H251" s="6" t="n">
        <f aca="false">'Raw Data'!I251</f>
        <v>0</v>
      </c>
      <c r="I251" s="6" t="n">
        <f aca="false">'Raw Data'!J251</f>
        <v>0</v>
      </c>
      <c r="J251" s="6" t="n">
        <f aca="false">'Raw Data'!K251</f>
        <v>0</v>
      </c>
      <c r="K251" s="6" t="n">
        <f aca="false">'Raw Data'!L251</f>
        <v>3</v>
      </c>
      <c r="L251" s="6" t="n">
        <f aca="false">F251*E251</f>
        <v>0</v>
      </c>
      <c r="N251" s="0" t="n">
        <v>1</v>
      </c>
      <c r="O251" s="6" t="n">
        <f aca="false">D251</f>
        <v>3.735454545</v>
      </c>
      <c r="P251" s="6" t="n">
        <f aca="false">E251</f>
        <v>0</v>
      </c>
      <c r="Q251" s="6" t="n">
        <f aca="false">F251</f>
        <v>0</v>
      </c>
      <c r="R251" s="6" t="n">
        <f aca="false">G251</f>
        <v>1</v>
      </c>
      <c r="S251" s="6" t="n">
        <f aca="false">H251</f>
        <v>0</v>
      </c>
      <c r="T251" s="6" t="n">
        <f aca="false">I251</f>
        <v>0</v>
      </c>
      <c r="U251" s="6" t="n">
        <f aca="false">L251</f>
        <v>0</v>
      </c>
      <c r="W251" s="6" t="n">
        <f aca="false">D251</f>
        <v>3.735454545</v>
      </c>
      <c r="X251" s="6" t="n">
        <f aca="false">E251</f>
        <v>0</v>
      </c>
      <c r="Y251" s="6" t="n">
        <f aca="false">F251</f>
        <v>0</v>
      </c>
      <c r="Z251" s="6" t="n">
        <f aca="false">L251</f>
        <v>0</v>
      </c>
      <c r="AA251" s="6" t="n">
        <f aca="false">G251</f>
        <v>1</v>
      </c>
      <c r="AC251" s="6" t="n">
        <f aca="false">D251</f>
        <v>3.735454545</v>
      </c>
      <c r="AD251" s="6" t="n">
        <f aca="false">E251</f>
        <v>0</v>
      </c>
      <c r="AE251" s="6" t="n">
        <f aca="false">G251</f>
        <v>1</v>
      </c>
      <c r="AF251" s="6" t="n">
        <f aca="false">H251</f>
        <v>0</v>
      </c>
      <c r="AG251" s="6" t="n">
        <f aca="false">I251</f>
        <v>0</v>
      </c>
      <c r="AH251" s="6" t="n">
        <f aca="false">L251</f>
        <v>0</v>
      </c>
    </row>
    <row r="252" customFormat="false" ht="15" hidden="false" customHeight="false" outlineLevel="0" collapsed="false">
      <c r="A252" s="0" t="str">
        <f aca="false">'Raw Data'!C252</f>
        <v>Princeton</v>
      </c>
      <c r="B252" s="5" t="n">
        <f aca="false">'Raw Data'!A252</f>
        <v>40358</v>
      </c>
      <c r="C252" s="6" t="n">
        <f aca="false">'Raw Data'!D252</f>
        <v>174.590300840673</v>
      </c>
      <c r="D252" s="6" t="n">
        <f aca="false">'Raw Data'!E252</f>
        <v>3.829</v>
      </c>
      <c r="E252" s="6" t="n">
        <f aca="false">'Raw Data'!F252</f>
        <v>0</v>
      </c>
      <c r="F252" s="6" t="n">
        <f aca="false">'Raw Data'!G252</f>
        <v>0</v>
      </c>
      <c r="G252" s="6" t="n">
        <f aca="false">'Raw Data'!H252</f>
        <v>0</v>
      </c>
      <c r="H252" s="6" t="n">
        <f aca="false">'Raw Data'!I252</f>
        <v>1</v>
      </c>
      <c r="I252" s="6" t="n">
        <f aca="false">'Raw Data'!J252</f>
        <v>0</v>
      </c>
      <c r="J252" s="6" t="n">
        <f aca="false">'Raw Data'!K252</f>
        <v>0</v>
      </c>
      <c r="K252" s="6" t="n">
        <f aca="false">'Raw Data'!L252</f>
        <v>3</v>
      </c>
      <c r="L252" s="6" t="n">
        <f aca="false">F252*E252</f>
        <v>0</v>
      </c>
      <c r="N252" s="0" t="n">
        <v>1</v>
      </c>
      <c r="O252" s="6" t="n">
        <f aca="false">D252</f>
        <v>3.829</v>
      </c>
      <c r="P252" s="6" t="n">
        <f aca="false">E252</f>
        <v>0</v>
      </c>
      <c r="Q252" s="6" t="n">
        <f aca="false">F252</f>
        <v>0</v>
      </c>
      <c r="R252" s="6" t="n">
        <f aca="false">G252</f>
        <v>0</v>
      </c>
      <c r="S252" s="6" t="n">
        <f aca="false">H252</f>
        <v>1</v>
      </c>
      <c r="T252" s="6" t="n">
        <f aca="false">I252</f>
        <v>0</v>
      </c>
      <c r="U252" s="6" t="n">
        <f aca="false">L252</f>
        <v>0</v>
      </c>
      <c r="W252" s="6" t="n">
        <f aca="false">D252</f>
        <v>3.829</v>
      </c>
      <c r="X252" s="6" t="n">
        <f aca="false">E252</f>
        <v>0</v>
      </c>
      <c r="Y252" s="6" t="n">
        <f aca="false">F252</f>
        <v>0</v>
      </c>
      <c r="Z252" s="6" t="n">
        <f aca="false">L252</f>
        <v>0</v>
      </c>
      <c r="AA252" s="6" t="n">
        <f aca="false">G252</f>
        <v>0</v>
      </c>
      <c r="AC252" s="6" t="n">
        <f aca="false">D252</f>
        <v>3.829</v>
      </c>
      <c r="AD252" s="6" t="n">
        <f aca="false">E252</f>
        <v>0</v>
      </c>
      <c r="AE252" s="6" t="n">
        <f aca="false">G252</f>
        <v>0</v>
      </c>
      <c r="AF252" s="6" t="n">
        <f aca="false">H252</f>
        <v>1</v>
      </c>
      <c r="AG252" s="6" t="n">
        <f aca="false">I252</f>
        <v>0</v>
      </c>
      <c r="AH252" s="6" t="n">
        <f aca="false">L252</f>
        <v>0</v>
      </c>
    </row>
    <row r="253" customFormat="false" ht="15" hidden="false" customHeight="false" outlineLevel="0" collapsed="false">
      <c r="A253" s="0" t="str">
        <f aca="false">'Raw Data'!C253</f>
        <v>Princeton</v>
      </c>
      <c r="B253" s="5" t="n">
        <f aca="false">'Raw Data'!A253</f>
        <v>40365</v>
      </c>
      <c r="C253" s="6" t="n">
        <f aca="false">'Raw Data'!D253</f>
        <v>336.473445634533</v>
      </c>
      <c r="D253" s="6" t="n">
        <f aca="false">'Raw Data'!E253</f>
        <v>3.359090909</v>
      </c>
      <c r="E253" s="6" t="n">
        <f aca="false">'Raw Data'!F253</f>
        <v>0</v>
      </c>
      <c r="F253" s="6" t="n">
        <f aca="false">'Raw Data'!G253</f>
        <v>0</v>
      </c>
      <c r="G253" s="6" t="n">
        <f aca="false">'Raw Data'!H253</f>
        <v>0</v>
      </c>
      <c r="H253" s="6" t="n">
        <f aca="false">'Raw Data'!I253</f>
        <v>1</v>
      </c>
      <c r="I253" s="6" t="n">
        <f aca="false">'Raw Data'!J253</f>
        <v>0</v>
      </c>
      <c r="J253" s="6" t="n">
        <f aca="false">'Raw Data'!K253</f>
        <v>0</v>
      </c>
      <c r="K253" s="6" t="n">
        <f aca="false">'Raw Data'!L253</f>
        <v>3</v>
      </c>
      <c r="L253" s="6" t="n">
        <f aca="false">F253*E253</f>
        <v>0</v>
      </c>
      <c r="N253" s="0" t="n">
        <v>1</v>
      </c>
      <c r="O253" s="6" t="n">
        <f aca="false">D253</f>
        <v>3.359090909</v>
      </c>
      <c r="P253" s="6" t="n">
        <f aca="false">E253</f>
        <v>0</v>
      </c>
      <c r="Q253" s="6" t="n">
        <f aca="false">F253</f>
        <v>0</v>
      </c>
      <c r="R253" s="6" t="n">
        <f aca="false">G253</f>
        <v>0</v>
      </c>
      <c r="S253" s="6" t="n">
        <f aca="false">H253</f>
        <v>1</v>
      </c>
      <c r="T253" s="6" t="n">
        <f aca="false">I253</f>
        <v>0</v>
      </c>
      <c r="U253" s="6" t="n">
        <f aca="false">L253</f>
        <v>0</v>
      </c>
      <c r="W253" s="6" t="n">
        <f aca="false">D253</f>
        <v>3.359090909</v>
      </c>
      <c r="X253" s="6" t="n">
        <f aca="false">E253</f>
        <v>0</v>
      </c>
      <c r="Y253" s="6" t="n">
        <f aca="false">F253</f>
        <v>0</v>
      </c>
      <c r="Z253" s="6" t="n">
        <f aca="false">L253</f>
        <v>0</v>
      </c>
      <c r="AA253" s="6" t="n">
        <f aca="false">G253</f>
        <v>0</v>
      </c>
      <c r="AC253" s="6" t="n">
        <f aca="false">D253</f>
        <v>3.359090909</v>
      </c>
      <c r="AD253" s="6" t="n">
        <f aca="false">E253</f>
        <v>0</v>
      </c>
      <c r="AE253" s="6" t="n">
        <f aca="false">G253</f>
        <v>0</v>
      </c>
      <c r="AF253" s="6" t="n">
        <f aca="false">H253</f>
        <v>1</v>
      </c>
      <c r="AG253" s="6" t="n">
        <f aca="false">I253</f>
        <v>0</v>
      </c>
      <c r="AH253" s="6" t="n">
        <f aca="false">L253</f>
        <v>0</v>
      </c>
    </row>
    <row r="254" customFormat="false" ht="15" hidden="false" customHeight="false" outlineLevel="0" collapsed="false">
      <c r="A254" s="0" t="str">
        <f aca="false">'Raw Data'!C254</f>
        <v>Princeton</v>
      </c>
      <c r="B254" s="5" t="n">
        <f aca="false">'Raw Data'!A254</f>
        <v>40372</v>
      </c>
      <c r="C254" s="6" t="n">
        <f aca="false">'Raw Data'!D254</f>
        <v>307.939977909224</v>
      </c>
      <c r="D254" s="6" t="n">
        <f aca="false">'Raw Data'!E254</f>
        <v>3.359090909</v>
      </c>
      <c r="E254" s="6" t="n">
        <f aca="false">'Raw Data'!F254</f>
        <v>0</v>
      </c>
      <c r="F254" s="6" t="n">
        <f aca="false">'Raw Data'!G254</f>
        <v>0</v>
      </c>
      <c r="G254" s="6" t="n">
        <f aca="false">'Raw Data'!H254</f>
        <v>0</v>
      </c>
      <c r="H254" s="6" t="n">
        <f aca="false">'Raw Data'!I254</f>
        <v>1</v>
      </c>
      <c r="I254" s="6" t="n">
        <f aca="false">'Raw Data'!J254</f>
        <v>0</v>
      </c>
      <c r="J254" s="6" t="n">
        <f aca="false">'Raw Data'!K254</f>
        <v>0</v>
      </c>
      <c r="K254" s="6" t="n">
        <f aca="false">'Raw Data'!L254</f>
        <v>3</v>
      </c>
      <c r="L254" s="6" t="n">
        <f aca="false">F254*E254</f>
        <v>0</v>
      </c>
      <c r="N254" s="0" t="n">
        <v>1</v>
      </c>
      <c r="O254" s="6" t="n">
        <f aca="false">D254</f>
        <v>3.359090909</v>
      </c>
      <c r="P254" s="6" t="n">
        <f aca="false">E254</f>
        <v>0</v>
      </c>
      <c r="Q254" s="6" t="n">
        <f aca="false">F254</f>
        <v>0</v>
      </c>
      <c r="R254" s="6" t="n">
        <f aca="false">G254</f>
        <v>0</v>
      </c>
      <c r="S254" s="6" t="n">
        <f aca="false">H254</f>
        <v>1</v>
      </c>
      <c r="T254" s="6" t="n">
        <f aca="false">I254</f>
        <v>0</v>
      </c>
      <c r="U254" s="6" t="n">
        <f aca="false">L254</f>
        <v>0</v>
      </c>
      <c r="W254" s="6" t="n">
        <f aca="false">D254</f>
        <v>3.359090909</v>
      </c>
      <c r="X254" s="6" t="n">
        <f aca="false">E254</f>
        <v>0</v>
      </c>
      <c r="Y254" s="6" t="n">
        <f aca="false">F254</f>
        <v>0</v>
      </c>
      <c r="Z254" s="6" t="n">
        <f aca="false">L254</f>
        <v>0</v>
      </c>
      <c r="AA254" s="6" t="n">
        <f aca="false">G254</f>
        <v>0</v>
      </c>
      <c r="AC254" s="6" t="n">
        <f aca="false">D254</f>
        <v>3.359090909</v>
      </c>
      <c r="AD254" s="6" t="n">
        <f aca="false">E254</f>
        <v>0</v>
      </c>
      <c r="AE254" s="6" t="n">
        <f aca="false">G254</f>
        <v>0</v>
      </c>
      <c r="AF254" s="6" t="n">
        <f aca="false">H254</f>
        <v>1</v>
      </c>
      <c r="AG254" s="6" t="n">
        <f aca="false">I254</f>
        <v>0</v>
      </c>
      <c r="AH254" s="6" t="n">
        <f aca="false">L254</f>
        <v>0</v>
      </c>
    </row>
    <row r="255" customFormat="false" ht="15" hidden="false" customHeight="false" outlineLevel="0" collapsed="false">
      <c r="A255" s="0" t="str">
        <f aca="false">'Raw Data'!C255</f>
        <v>Rockville</v>
      </c>
      <c r="B255" s="5" t="n">
        <f aca="false">'Raw Data'!A255</f>
        <v>40302</v>
      </c>
      <c r="C255" s="6" t="n">
        <f aca="false">'Raw Data'!D255</f>
        <v>171.965814015178</v>
      </c>
      <c r="D255" s="6" t="n">
        <f aca="false">'Raw Data'!E255</f>
        <v>3.904285714</v>
      </c>
      <c r="E255" s="6" t="n">
        <f aca="false">'Raw Data'!F255</f>
        <v>0</v>
      </c>
      <c r="F255" s="6" t="n">
        <f aca="false">'Raw Data'!G255</f>
        <v>0</v>
      </c>
      <c r="G255" s="6" t="n">
        <f aca="false">'Raw Data'!H255</f>
        <v>0</v>
      </c>
      <c r="H255" s="6" t="n">
        <f aca="false">'Raw Data'!I255</f>
        <v>0</v>
      </c>
      <c r="I255" s="6" t="n">
        <f aca="false">'Raw Data'!J255</f>
        <v>0</v>
      </c>
      <c r="J255" s="6" t="n">
        <f aca="false">'Raw Data'!K255</f>
        <v>1</v>
      </c>
      <c r="K255" s="6" t="n">
        <f aca="false">'Raw Data'!L255</f>
        <v>4</v>
      </c>
      <c r="L255" s="6" t="n">
        <f aca="false">F255*E255</f>
        <v>0</v>
      </c>
      <c r="N255" s="0" t="n">
        <v>1</v>
      </c>
      <c r="O255" s="6" t="n">
        <f aca="false">D255</f>
        <v>3.904285714</v>
      </c>
      <c r="P255" s="6" t="n">
        <f aca="false">E255</f>
        <v>0</v>
      </c>
      <c r="Q255" s="6" t="n">
        <f aca="false">F255</f>
        <v>0</v>
      </c>
      <c r="R255" s="6" t="n">
        <f aca="false">G255</f>
        <v>0</v>
      </c>
      <c r="S255" s="6" t="n">
        <f aca="false">H255</f>
        <v>0</v>
      </c>
      <c r="T255" s="6" t="n">
        <f aca="false">I255</f>
        <v>0</v>
      </c>
      <c r="U255" s="6" t="n">
        <f aca="false">L255</f>
        <v>0</v>
      </c>
      <c r="W255" s="6" t="n">
        <f aca="false">D255</f>
        <v>3.904285714</v>
      </c>
      <c r="X255" s="6" t="n">
        <f aca="false">E255</f>
        <v>0</v>
      </c>
      <c r="Y255" s="6" t="n">
        <f aca="false">F255</f>
        <v>0</v>
      </c>
      <c r="Z255" s="6" t="n">
        <f aca="false">L255</f>
        <v>0</v>
      </c>
      <c r="AA255" s="6" t="n">
        <f aca="false">G255</f>
        <v>0</v>
      </c>
      <c r="AC255" s="6" t="n">
        <f aca="false">D255</f>
        <v>3.904285714</v>
      </c>
      <c r="AD255" s="6" t="n">
        <f aca="false">E255</f>
        <v>0</v>
      </c>
      <c r="AE255" s="6" t="n">
        <f aca="false">G255</f>
        <v>0</v>
      </c>
      <c r="AF255" s="6" t="n">
        <f aca="false">H255</f>
        <v>0</v>
      </c>
      <c r="AG255" s="6" t="n">
        <f aca="false">I255</f>
        <v>0</v>
      </c>
      <c r="AH255" s="6" t="n">
        <f aca="false">L255</f>
        <v>0</v>
      </c>
    </row>
    <row r="256" customFormat="false" ht="15" hidden="false" customHeight="false" outlineLevel="0" collapsed="false">
      <c r="A256" s="0" t="str">
        <f aca="false">'Raw Data'!C256</f>
        <v>Rockville</v>
      </c>
      <c r="B256" s="5" t="n">
        <f aca="false">'Raw Data'!A256</f>
        <v>40309</v>
      </c>
      <c r="C256" s="6" t="n">
        <f aca="false">'Raw Data'!D256</f>
        <v>254.497956260215</v>
      </c>
      <c r="D256" s="6" t="n">
        <f aca="false">'Raw Data'!E256</f>
        <v>3.904285714</v>
      </c>
      <c r="E256" s="6" t="n">
        <f aca="false">'Raw Data'!F256</f>
        <v>0</v>
      </c>
      <c r="F256" s="6" t="n">
        <f aca="false">'Raw Data'!G256</f>
        <v>0</v>
      </c>
      <c r="G256" s="6" t="n">
        <f aca="false">'Raw Data'!H256</f>
        <v>0</v>
      </c>
      <c r="H256" s="6" t="n">
        <f aca="false">'Raw Data'!I256</f>
        <v>0</v>
      </c>
      <c r="I256" s="6" t="n">
        <f aca="false">'Raw Data'!J256</f>
        <v>0</v>
      </c>
      <c r="J256" s="6" t="n">
        <f aca="false">'Raw Data'!K256</f>
        <v>1</v>
      </c>
      <c r="K256" s="6" t="n">
        <f aca="false">'Raw Data'!L256</f>
        <v>4</v>
      </c>
      <c r="L256" s="6" t="n">
        <f aca="false">F256*E256</f>
        <v>0</v>
      </c>
      <c r="N256" s="0" t="n">
        <v>1</v>
      </c>
      <c r="O256" s="6" t="n">
        <f aca="false">D256</f>
        <v>3.904285714</v>
      </c>
      <c r="P256" s="6" t="n">
        <f aca="false">E256</f>
        <v>0</v>
      </c>
      <c r="Q256" s="6" t="n">
        <f aca="false">F256</f>
        <v>0</v>
      </c>
      <c r="R256" s="6" t="n">
        <f aca="false">G256</f>
        <v>0</v>
      </c>
      <c r="S256" s="6" t="n">
        <f aca="false">H256</f>
        <v>0</v>
      </c>
      <c r="T256" s="6" t="n">
        <f aca="false">I256</f>
        <v>0</v>
      </c>
      <c r="U256" s="6" t="n">
        <f aca="false">L256</f>
        <v>0</v>
      </c>
      <c r="W256" s="6" t="n">
        <f aca="false">D256</f>
        <v>3.904285714</v>
      </c>
      <c r="X256" s="6" t="n">
        <f aca="false">E256</f>
        <v>0</v>
      </c>
      <c r="Y256" s="6" t="n">
        <f aca="false">F256</f>
        <v>0</v>
      </c>
      <c r="Z256" s="6" t="n">
        <f aca="false">L256</f>
        <v>0</v>
      </c>
      <c r="AA256" s="6" t="n">
        <f aca="false">G256</f>
        <v>0</v>
      </c>
      <c r="AC256" s="6" t="n">
        <f aca="false">D256</f>
        <v>3.904285714</v>
      </c>
      <c r="AD256" s="6" t="n">
        <f aca="false">E256</f>
        <v>0</v>
      </c>
      <c r="AE256" s="6" t="n">
        <f aca="false">G256</f>
        <v>0</v>
      </c>
      <c r="AF256" s="6" t="n">
        <f aca="false">H256</f>
        <v>0</v>
      </c>
      <c r="AG256" s="6" t="n">
        <f aca="false">I256</f>
        <v>0</v>
      </c>
      <c r="AH256" s="6" t="n">
        <f aca="false">L256</f>
        <v>0</v>
      </c>
    </row>
    <row r="257" customFormat="false" ht="15" hidden="false" customHeight="false" outlineLevel="0" collapsed="false">
      <c r="A257" s="0" t="str">
        <f aca="false">'Raw Data'!C257</f>
        <v>Rockville</v>
      </c>
      <c r="B257" s="5" t="n">
        <f aca="false">'Raw Data'!A257</f>
        <v>40316</v>
      </c>
      <c r="C257" s="6" t="n">
        <f aca="false">'Raw Data'!D257</f>
        <v>169.60365591752</v>
      </c>
      <c r="D257" s="6" t="n">
        <f aca="false">'Raw Data'!E257</f>
        <v>3.34</v>
      </c>
      <c r="E257" s="6" t="n">
        <f aca="false">'Raw Data'!F257</f>
        <v>0</v>
      </c>
      <c r="F257" s="6" t="n">
        <f aca="false">'Raw Data'!G257</f>
        <v>0</v>
      </c>
      <c r="G257" s="6" t="n">
        <f aca="false">'Raw Data'!H257</f>
        <v>0</v>
      </c>
      <c r="H257" s="6" t="n">
        <f aca="false">'Raw Data'!I257</f>
        <v>0</v>
      </c>
      <c r="I257" s="6" t="n">
        <f aca="false">'Raw Data'!J257</f>
        <v>0</v>
      </c>
      <c r="J257" s="6" t="n">
        <f aca="false">'Raw Data'!K257</f>
        <v>1</v>
      </c>
      <c r="K257" s="6" t="n">
        <f aca="false">'Raw Data'!L257</f>
        <v>4</v>
      </c>
      <c r="L257" s="6" t="n">
        <f aca="false">F257*E257</f>
        <v>0</v>
      </c>
      <c r="N257" s="0" t="n">
        <v>1</v>
      </c>
      <c r="O257" s="6" t="n">
        <f aca="false">D257</f>
        <v>3.34</v>
      </c>
      <c r="P257" s="6" t="n">
        <f aca="false">E257</f>
        <v>0</v>
      </c>
      <c r="Q257" s="6" t="n">
        <f aca="false">F257</f>
        <v>0</v>
      </c>
      <c r="R257" s="6" t="n">
        <f aca="false">G257</f>
        <v>0</v>
      </c>
      <c r="S257" s="6" t="n">
        <f aca="false">H257</f>
        <v>0</v>
      </c>
      <c r="T257" s="6" t="n">
        <f aca="false">I257</f>
        <v>0</v>
      </c>
      <c r="U257" s="6" t="n">
        <f aca="false">L257</f>
        <v>0</v>
      </c>
      <c r="W257" s="6" t="n">
        <f aca="false">D257</f>
        <v>3.34</v>
      </c>
      <c r="X257" s="6" t="n">
        <f aca="false">E257</f>
        <v>0</v>
      </c>
      <c r="Y257" s="6" t="n">
        <f aca="false">F257</f>
        <v>0</v>
      </c>
      <c r="Z257" s="6" t="n">
        <f aca="false">L257</f>
        <v>0</v>
      </c>
      <c r="AA257" s="6" t="n">
        <f aca="false">G257</f>
        <v>0</v>
      </c>
      <c r="AC257" s="6" t="n">
        <f aca="false">D257</f>
        <v>3.34</v>
      </c>
      <c r="AD257" s="6" t="n">
        <f aca="false">E257</f>
        <v>0</v>
      </c>
      <c r="AE257" s="6" t="n">
        <f aca="false">G257</f>
        <v>0</v>
      </c>
      <c r="AF257" s="6" t="n">
        <f aca="false">H257</f>
        <v>0</v>
      </c>
      <c r="AG257" s="6" t="n">
        <f aca="false">I257</f>
        <v>0</v>
      </c>
      <c r="AH257" s="6" t="n">
        <f aca="false">L257</f>
        <v>0</v>
      </c>
    </row>
    <row r="258" customFormat="false" ht="15" hidden="false" customHeight="false" outlineLevel="0" collapsed="false">
      <c r="A258" s="0" t="str">
        <f aca="false">'Raw Data'!C258</f>
        <v>Rockville</v>
      </c>
      <c r="B258" s="5" t="n">
        <f aca="false">'Raw Data'!A258</f>
        <v>40323</v>
      </c>
      <c r="C258" s="6" t="n">
        <f aca="false">'Raw Data'!D258</f>
        <v>128.236260088128</v>
      </c>
      <c r="D258" s="6" t="n">
        <f aca="false">'Raw Data'!E258</f>
        <v>3.34</v>
      </c>
      <c r="E258" s="6" t="n">
        <f aca="false">'Raw Data'!F258</f>
        <v>0</v>
      </c>
      <c r="F258" s="6" t="n">
        <f aca="false">'Raw Data'!G258</f>
        <v>0</v>
      </c>
      <c r="G258" s="6" t="n">
        <f aca="false">'Raw Data'!H258</f>
        <v>0</v>
      </c>
      <c r="H258" s="6" t="n">
        <f aca="false">'Raw Data'!I258</f>
        <v>0</v>
      </c>
      <c r="I258" s="6" t="n">
        <f aca="false">'Raw Data'!J258</f>
        <v>0</v>
      </c>
      <c r="J258" s="6" t="n">
        <f aca="false">'Raw Data'!K258</f>
        <v>1</v>
      </c>
      <c r="K258" s="6" t="n">
        <f aca="false">'Raw Data'!L258</f>
        <v>4</v>
      </c>
      <c r="L258" s="6" t="n">
        <f aca="false">F258*E258</f>
        <v>0</v>
      </c>
      <c r="N258" s="0" t="n">
        <v>1</v>
      </c>
      <c r="O258" s="6" t="n">
        <f aca="false">D258</f>
        <v>3.34</v>
      </c>
      <c r="P258" s="6" t="n">
        <f aca="false">E258</f>
        <v>0</v>
      </c>
      <c r="Q258" s="6" t="n">
        <f aca="false">F258</f>
        <v>0</v>
      </c>
      <c r="R258" s="6" t="n">
        <f aca="false">G258</f>
        <v>0</v>
      </c>
      <c r="S258" s="6" t="n">
        <f aca="false">H258</f>
        <v>0</v>
      </c>
      <c r="T258" s="6" t="n">
        <f aca="false">I258</f>
        <v>0</v>
      </c>
      <c r="U258" s="6" t="n">
        <f aca="false">L258</f>
        <v>0</v>
      </c>
      <c r="W258" s="6" t="n">
        <f aca="false">D258</f>
        <v>3.34</v>
      </c>
      <c r="X258" s="6" t="n">
        <f aca="false">E258</f>
        <v>0</v>
      </c>
      <c r="Y258" s="6" t="n">
        <f aca="false">F258</f>
        <v>0</v>
      </c>
      <c r="Z258" s="6" t="n">
        <f aca="false">L258</f>
        <v>0</v>
      </c>
      <c r="AA258" s="6" t="n">
        <f aca="false">G258</f>
        <v>0</v>
      </c>
      <c r="AC258" s="6" t="n">
        <f aca="false">D258</f>
        <v>3.34</v>
      </c>
      <c r="AD258" s="6" t="n">
        <f aca="false">E258</f>
        <v>0</v>
      </c>
      <c r="AE258" s="6" t="n">
        <f aca="false">G258</f>
        <v>0</v>
      </c>
      <c r="AF258" s="6" t="n">
        <f aca="false">H258</f>
        <v>0</v>
      </c>
      <c r="AG258" s="6" t="n">
        <f aca="false">I258</f>
        <v>0</v>
      </c>
      <c r="AH258" s="6" t="n">
        <f aca="false">L258</f>
        <v>0</v>
      </c>
    </row>
    <row r="259" customFormat="false" ht="15" hidden="false" customHeight="false" outlineLevel="0" collapsed="false">
      <c r="A259" s="0" t="str">
        <f aca="false">'Raw Data'!C259</f>
        <v>Rockville</v>
      </c>
      <c r="B259" s="5" t="n">
        <f aca="false">'Raw Data'!A259</f>
        <v>40330</v>
      </c>
      <c r="C259" s="6" t="n">
        <f aca="false">'Raw Data'!D259</f>
        <v>220.518631217007</v>
      </c>
      <c r="D259" s="6" t="n">
        <f aca="false">'Raw Data'!E259</f>
        <v>3.34</v>
      </c>
      <c r="E259" s="6" t="n">
        <f aca="false">'Raw Data'!F259</f>
        <v>0</v>
      </c>
      <c r="F259" s="6" t="n">
        <f aca="false">'Raw Data'!G259</f>
        <v>0</v>
      </c>
      <c r="G259" s="6" t="n">
        <f aca="false">'Raw Data'!H259</f>
        <v>0</v>
      </c>
      <c r="H259" s="6" t="n">
        <f aca="false">'Raw Data'!I259</f>
        <v>0</v>
      </c>
      <c r="I259" s="6" t="n">
        <f aca="false">'Raw Data'!J259</f>
        <v>0</v>
      </c>
      <c r="J259" s="6" t="n">
        <f aca="false">'Raw Data'!K259</f>
        <v>1</v>
      </c>
      <c r="K259" s="6" t="n">
        <f aca="false">'Raw Data'!L259</f>
        <v>4</v>
      </c>
      <c r="L259" s="6" t="n">
        <f aca="false">F259*E259</f>
        <v>0</v>
      </c>
      <c r="N259" s="0" t="n">
        <v>1</v>
      </c>
      <c r="O259" s="6" t="n">
        <f aca="false">D259</f>
        <v>3.34</v>
      </c>
      <c r="P259" s="6" t="n">
        <f aca="false">E259</f>
        <v>0</v>
      </c>
      <c r="Q259" s="6" t="n">
        <f aca="false">F259</f>
        <v>0</v>
      </c>
      <c r="R259" s="6" t="n">
        <f aca="false">G259</f>
        <v>0</v>
      </c>
      <c r="S259" s="6" t="n">
        <f aca="false">H259</f>
        <v>0</v>
      </c>
      <c r="T259" s="6" t="n">
        <f aca="false">I259</f>
        <v>0</v>
      </c>
      <c r="U259" s="6" t="n">
        <f aca="false">L259</f>
        <v>0</v>
      </c>
      <c r="W259" s="6" t="n">
        <f aca="false">D259</f>
        <v>3.34</v>
      </c>
      <c r="X259" s="6" t="n">
        <f aca="false">E259</f>
        <v>0</v>
      </c>
      <c r="Y259" s="6" t="n">
        <f aca="false">F259</f>
        <v>0</v>
      </c>
      <c r="Z259" s="6" t="n">
        <f aca="false">L259</f>
        <v>0</v>
      </c>
      <c r="AA259" s="6" t="n">
        <f aca="false">G259</f>
        <v>0</v>
      </c>
      <c r="AC259" s="6" t="n">
        <f aca="false">D259</f>
        <v>3.34</v>
      </c>
      <c r="AD259" s="6" t="n">
        <f aca="false">E259</f>
        <v>0</v>
      </c>
      <c r="AE259" s="6" t="n">
        <f aca="false">G259</f>
        <v>0</v>
      </c>
      <c r="AF259" s="6" t="n">
        <f aca="false">H259</f>
        <v>0</v>
      </c>
      <c r="AG259" s="6" t="n">
        <f aca="false">I259</f>
        <v>0</v>
      </c>
      <c r="AH259" s="6" t="n">
        <f aca="false">L259</f>
        <v>0</v>
      </c>
    </row>
    <row r="260" customFormat="false" ht="15" hidden="false" customHeight="false" outlineLevel="0" collapsed="false">
      <c r="A260" s="0" t="str">
        <f aca="false">'Raw Data'!C260</f>
        <v>Rockville</v>
      </c>
      <c r="B260" s="5" t="n">
        <f aca="false">'Raw Data'!A260</f>
        <v>40337</v>
      </c>
      <c r="C260" s="6" t="n">
        <f aca="false">'Raw Data'!D260</f>
        <v>262.89154945941</v>
      </c>
      <c r="D260" s="6" t="n">
        <f aca="false">'Raw Data'!E260</f>
        <v>3.54</v>
      </c>
      <c r="E260" s="6" t="n">
        <f aca="false">'Raw Data'!F260</f>
        <v>0</v>
      </c>
      <c r="F260" s="6" t="n">
        <f aca="false">'Raw Data'!G260</f>
        <v>0</v>
      </c>
      <c r="G260" s="6" t="n">
        <f aca="false">'Raw Data'!H260</f>
        <v>0</v>
      </c>
      <c r="H260" s="6" t="n">
        <f aca="false">'Raw Data'!I260</f>
        <v>0</v>
      </c>
      <c r="I260" s="6" t="n">
        <f aca="false">'Raw Data'!J260</f>
        <v>0</v>
      </c>
      <c r="J260" s="6" t="n">
        <f aca="false">'Raw Data'!K260</f>
        <v>1</v>
      </c>
      <c r="K260" s="6" t="n">
        <f aca="false">'Raw Data'!L260</f>
        <v>4</v>
      </c>
      <c r="L260" s="6" t="n">
        <f aca="false">F260*E260</f>
        <v>0</v>
      </c>
      <c r="N260" s="0" t="n">
        <v>1</v>
      </c>
      <c r="O260" s="6" t="n">
        <f aca="false">D260</f>
        <v>3.54</v>
      </c>
      <c r="P260" s="6" t="n">
        <f aca="false">E260</f>
        <v>0</v>
      </c>
      <c r="Q260" s="6" t="n">
        <f aca="false">F260</f>
        <v>0</v>
      </c>
      <c r="R260" s="6" t="n">
        <f aca="false">G260</f>
        <v>0</v>
      </c>
      <c r="S260" s="6" t="n">
        <f aca="false">H260</f>
        <v>0</v>
      </c>
      <c r="T260" s="6" t="n">
        <f aca="false">I260</f>
        <v>0</v>
      </c>
      <c r="U260" s="6" t="n">
        <f aca="false">L260</f>
        <v>0</v>
      </c>
      <c r="W260" s="6" t="n">
        <f aca="false">D260</f>
        <v>3.54</v>
      </c>
      <c r="X260" s="6" t="n">
        <f aca="false">E260</f>
        <v>0</v>
      </c>
      <c r="Y260" s="6" t="n">
        <f aca="false">F260</f>
        <v>0</v>
      </c>
      <c r="Z260" s="6" t="n">
        <f aca="false">L260</f>
        <v>0</v>
      </c>
      <c r="AA260" s="6" t="n">
        <f aca="false">G260</f>
        <v>0</v>
      </c>
      <c r="AC260" s="6" t="n">
        <f aca="false">D260</f>
        <v>3.54</v>
      </c>
      <c r="AD260" s="6" t="n">
        <f aca="false">E260</f>
        <v>0</v>
      </c>
      <c r="AE260" s="6" t="n">
        <f aca="false">G260</f>
        <v>0</v>
      </c>
      <c r="AF260" s="6" t="n">
        <f aca="false">H260</f>
        <v>0</v>
      </c>
      <c r="AG260" s="6" t="n">
        <f aca="false">I260</f>
        <v>0</v>
      </c>
      <c r="AH260" s="6" t="n">
        <f aca="false">L260</f>
        <v>0</v>
      </c>
    </row>
    <row r="261" customFormat="false" ht="15" hidden="false" customHeight="false" outlineLevel="0" collapsed="false">
      <c r="A261" s="0" t="str">
        <f aca="false">'Raw Data'!C261</f>
        <v>Rockville</v>
      </c>
      <c r="B261" s="5" t="n">
        <f aca="false">'Raw Data'!A261</f>
        <v>40344</v>
      </c>
      <c r="C261" s="6" t="n">
        <f aca="false">'Raw Data'!D261</f>
        <v>309.220536109533</v>
      </c>
      <c r="D261" s="6" t="n">
        <f aca="false">'Raw Data'!E261</f>
        <v>3.54</v>
      </c>
      <c r="E261" s="6" t="n">
        <f aca="false">'Raw Data'!F261</f>
        <v>0</v>
      </c>
      <c r="F261" s="6" t="n">
        <f aca="false">'Raw Data'!G261</f>
        <v>0</v>
      </c>
      <c r="G261" s="6" t="n">
        <f aca="false">'Raw Data'!H261</f>
        <v>0</v>
      </c>
      <c r="H261" s="6" t="n">
        <f aca="false">'Raw Data'!I261</f>
        <v>0</v>
      </c>
      <c r="I261" s="6" t="n">
        <f aca="false">'Raw Data'!J261</f>
        <v>0</v>
      </c>
      <c r="J261" s="6" t="n">
        <f aca="false">'Raw Data'!K261</f>
        <v>1</v>
      </c>
      <c r="K261" s="6" t="n">
        <f aca="false">'Raw Data'!L261</f>
        <v>4</v>
      </c>
      <c r="L261" s="6" t="n">
        <f aca="false">F261*E261</f>
        <v>0</v>
      </c>
      <c r="N261" s="0" t="n">
        <v>1</v>
      </c>
      <c r="O261" s="6" t="n">
        <f aca="false">D261</f>
        <v>3.54</v>
      </c>
      <c r="P261" s="6" t="n">
        <f aca="false">E261</f>
        <v>0</v>
      </c>
      <c r="Q261" s="6" t="n">
        <f aca="false">F261</f>
        <v>0</v>
      </c>
      <c r="R261" s="6" t="n">
        <f aca="false">G261</f>
        <v>0</v>
      </c>
      <c r="S261" s="6" t="n">
        <f aca="false">H261</f>
        <v>0</v>
      </c>
      <c r="T261" s="6" t="n">
        <f aca="false">I261</f>
        <v>0</v>
      </c>
      <c r="U261" s="6" t="n">
        <f aca="false">L261</f>
        <v>0</v>
      </c>
      <c r="W261" s="6" t="n">
        <f aca="false">D261</f>
        <v>3.54</v>
      </c>
      <c r="X261" s="6" t="n">
        <f aca="false">E261</f>
        <v>0</v>
      </c>
      <c r="Y261" s="6" t="n">
        <f aca="false">F261</f>
        <v>0</v>
      </c>
      <c r="Z261" s="6" t="n">
        <f aca="false">L261</f>
        <v>0</v>
      </c>
      <c r="AA261" s="6" t="n">
        <f aca="false">G261</f>
        <v>0</v>
      </c>
      <c r="AC261" s="6" t="n">
        <f aca="false">D261</f>
        <v>3.54</v>
      </c>
      <c r="AD261" s="6" t="n">
        <f aca="false">E261</f>
        <v>0</v>
      </c>
      <c r="AE261" s="6" t="n">
        <f aca="false">G261</f>
        <v>0</v>
      </c>
      <c r="AF261" s="6" t="n">
        <f aca="false">H261</f>
        <v>0</v>
      </c>
      <c r="AG261" s="6" t="n">
        <f aca="false">I261</f>
        <v>0</v>
      </c>
      <c r="AH261" s="6" t="n">
        <f aca="false">L261</f>
        <v>0</v>
      </c>
    </row>
    <row r="262" customFormat="false" ht="15" hidden="false" customHeight="false" outlineLevel="0" collapsed="false">
      <c r="A262" s="0" t="str">
        <f aca="false">'Raw Data'!C262</f>
        <v>Rockville</v>
      </c>
      <c r="B262" s="5" t="n">
        <f aca="false">'Raw Data'!A262</f>
        <v>40351</v>
      </c>
      <c r="C262" s="6" t="n">
        <f aca="false">'Raw Data'!D262</f>
        <v>243.5738441462</v>
      </c>
      <c r="D262" s="6" t="n">
        <f aca="false">'Raw Data'!E262</f>
        <v>3.54</v>
      </c>
      <c r="E262" s="6" t="n">
        <f aca="false">'Raw Data'!F262</f>
        <v>0</v>
      </c>
      <c r="F262" s="6" t="n">
        <f aca="false">'Raw Data'!G262</f>
        <v>0</v>
      </c>
      <c r="G262" s="6" t="n">
        <f aca="false">'Raw Data'!H262</f>
        <v>1</v>
      </c>
      <c r="H262" s="6" t="n">
        <f aca="false">'Raw Data'!I262</f>
        <v>0</v>
      </c>
      <c r="I262" s="6" t="n">
        <f aca="false">'Raw Data'!J262</f>
        <v>0</v>
      </c>
      <c r="J262" s="6" t="n">
        <f aca="false">'Raw Data'!K262</f>
        <v>1</v>
      </c>
      <c r="K262" s="6" t="n">
        <f aca="false">'Raw Data'!L262</f>
        <v>4</v>
      </c>
      <c r="L262" s="6" t="n">
        <f aca="false">F262*E262</f>
        <v>0</v>
      </c>
      <c r="N262" s="0" t="n">
        <v>1</v>
      </c>
      <c r="O262" s="6" t="n">
        <f aca="false">D262</f>
        <v>3.54</v>
      </c>
      <c r="P262" s="6" t="n">
        <f aca="false">E262</f>
        <v>0</v>
      </c>
      <c r="Q262" s="6" t="n">
        <f aca="false">F262</f>
        <v>0</v>
      </c>
      <c r="R262" s="6" t="n">
        <f aca="false">G262</f>
        <v>1</v>
      </c>
      <c r="S262" s="6" t="n">
        <f aca="false">H262</f>
        <v>0</v>
      </c>
      <c r="T262" s="6" t="n">
        <f aca="false">I262</f>
        <v>0</v>
      </c>
      <c r="U262" s="6" t="n">
        <f aca="false">L262</f>
        <v>0</v>
      </c>
      <c r="W262" s="6" t="n">
        <f aca="false">D262</f>
        <v>3.54</v>
      </c>
      <c r="X262" s="6" t="n">
        <f aca="false">E262</f>
        <v>0</v>
      </c>
      <c r="Y262" s="6" t="n">
        <f aca="false">F262</f>
        <v>0</v>
      </c>
      <c r="Z262" s="6" t="n">
        <f aca="false">L262</f>
        <v>0</v>
      </c>
      <c r="AA262" s="6" t="n">
        <f aca="false">G262</f>
        <v>1</v>
      </c>
      <c r="AC262" s="6" t="n">
        <f aca="false">D262</f>
        <v>3.54</v>
      </c>
      <c r="AD262" s="6" t="n">
        <f aca="false">E262</f>
        <v>0</v>
      </c>
      <c r="AE262" s="6" t="n">
        <f aca="false">G262</f>
        <v>1</v>
      </c>
      <c r="AF262" s="6" t="n">
        <f aca="false">H262</f>
        <v>0</v>
      </c>
      <c r="AG262" s="6" t="n">
        <f aca="false">I262</f>
        <v>0</v>
      </c>
      <c r="AH262" s="6" t="n">
        <f aca="false">L262</f>
        <v>0</v>
      </c>
    </row>
    <row r="263" customFormat="false" ht="15" hidden="false" customHeight="false" outlineLevel="0" collapsed="false">
      <c r="A263" s="0" t="str">
        <f aca="false">'Raw Data'!C263</f>
        <v>Rockville</v>
      </c>
      <c r="B263" s="5" t="n">
        <f aca="false">'Raw Data'!A263</f>
        <v>40358</v>
      </c>
      <c r="C263" s="6" t="n">
        <f aca="false">'Raw Data'!D263</f>
        <v>234.534304834696</v>
      </c>
      <c r="D263" s="6" t="n">
        <f aca="false">'Raw Data'!E263</f>
        <v>3.54</v>
      </c>
      <c r="E263" s="6" t="n">
        <f aca="false">'Raw Data'!F263</f>
        <v>0</v>
      </c>
      <c r="F263" s="6" t="n">
        <f aca="false">'Raw Data'!G263</f>
        <v>0</v>
      </c>
      <c r="G263" s="6" t="n">
        <f aca="false">'Raw Data'!H263</f>
        <v>0</v>
      </c>
      <c r="H263" s="6" t="n">
        <f aca="false">'Raw Data'!I263</f>
        <v>1</v>
      </c>
      <c r="I263" s="6" t="n">
        <f aca="false">'Raw Data'!J263</f>
        <v>0</v>
      </c>
      <c r="J263" s="6" t="n">
        <f aca="false">'Raw Data'!K263</f>
        <v>1</v>
      </c>
      <c r="K263" s="6" t="n">
        <f aca="false">'Raw Data'!L263</f>
        <v>4</v>
      </c>
      <c r="L263" s="6" t="n">
        <f aca="false">F263*E263</f>
        <v>0</v>
      </c>
      <c r="N263" s="0" t="n">
        <v>1</v>
      </c>
      <c r="O263" s="6" t="n">
        <f aca="false">D263</f>
        <v>3.54</v>
      </c>
      <c r="P263" s="6" t="n">
        <f aca="false">E263</f>
        <v>0</v>
      </c>
      <c r="Q263" s="6" t="n">
        <f aca="false">F263</f>
        <v>0</v>
      </c>
      <c r="R263" s="6" t="n">
        <f aca="false">G263</f>
        <v>0</v>
      </c>
      <c r="S263" s="6" t="n">
        <f aca="false">H263</f>
        <v>1</v>
      </c>
      <c r="T263" s="6" t="n">
        <f aca="false">I263</f>
        <v>0</v>
      </c>
      <c r="U263" s="6" t="n">
        <f aca="false">L263</f>
        <v>0</v>
      </c>
      <c r="W263" s="6" t="n">
        <f aca="false">D263</f>
        <v>3.54</v>
      </c>
      <c r="X263" s="6" t="n">
        <f aca="false">E263</f>
        <v>0</v>
      </c>
      <c r="Y263" s="6" t="n">
        <f aca="false">F263</f>
        <v>0</v>
      </c>
      <c r="Z263" s="6" t="n">
        <f aca="false">L263</f>
        <v>0</v>
      </c>
      <c r="AA263" s="6" t="n">
        <f aca="false">G263</f>
        <v>0</v>
      </c>
      <c r="AC263" s="6" t="n">
        <f aca="false">D263</f>
        <v>3.54</v>
      </c>
      <c r="AD263" s="6" t="n">
        <f aca="false">E263</f>
        <v>0</v>
      </c>
      <c r="AE263" s="6" t="n">
        <f aca="false">G263</f>
        <v>0</v>
      </c>
      <c r="AF263" s="6" t="n">
        <f aca="false">H263</f>
        <v>1</v>
      </c>
      <c r="AG263" s="6" t="n">
        <f aca="false">I263</f>
        <v>0</v>
      </c>
      <c r="AH263" s="6" t="n">
        <f aca="false">L263</f>
        <v>0</v>
      </c>
    </row>
    <row r="264" customFormat="false" ht="15" hidden="false" customHeight="false" outlineLevel="0" collapsed="false">
      <c r="A264" s="0" t="str">
        <f aca="false">'Raw Data'!C264</f>
        <v>Rockville</v>
      </c>
      <c r="B264" s="5" t="n">
        <f aca="false">'Raw Data'!A264</f>
        <v>40365</v>
      </c>
      <c r="C264" s="6" t="n">
        <f aca="false">'Raw Data'!D264</f>
        <v>323.54789319542</v>
      </c>
      <c r="D264" s="6" t="n">
        <f aca="false">'Raw Data'!E264</f>
        <v>3.126</v>
      </c>
      <c r="E264" s="6" t="n">
        <f aca="false">'Raw Data'!F264</f>
        <v>0</v>
      </c>
      <c r="F264" s="6" t="n">
        <f aca="false">'Raw Data'!G264</f>
        <v>0</v>
      </c>
      <c r="G264" s="6" t="n">
        <f aca="false">'Raw Data'!H264</f>
        <v>0</v>
      </c>
      <c r="H264" s="6" t="n">
        <f aca="false">'Raw Data'!I264</f>
        <v>1</v>
      </c>
      <c r="I264" s="6" t="n">
        <f aca="false">'Raw Data'!J264</f>
        <v>0</v>
      </c>
      <c r="J264" s="6" t="n">
        <f aca="false">'Raw Data'!K264</f>
        <v>1</v>
      </c>
      <c r="K264" s="6" t="n">
        <f aca="false">'Raw Data'!L264</f>
        <v>4</v>
      </c>
      <c r="L264" s="6" t="n">
        <f aca="false">F264*E264</f>
        <v>0</v>
      </c>
      <c r="N264" s="0" t="n">
        <v>1</v>
      </c>
      <c r="O264" s="6" t="n">
        <f aca="false">D264</f>
        <v>3.126</v>
      </c>
      <c r="P264" s="6" t="n">
        <f aca="false">E264</f>
        <v>0</v>
      </c>
      <c r="Q264" s="6" t="n">
        <f aca="false">F264</f>
        <v>0</v>
      </c>
      <c r="R264" s="6" t="n">
        <f aca="false">G264</f>
        <v>0</v>
      </c>
      <c r="S264" s="6" t="n">
        <f aca="false">H264</f>
        <v>1</v>
      </c>
      <c r="T264" s="6" t="n">
        <f aca="false">I264</f>
        <v>0</v>
      </c>
      <c r="U264" s="6" t="n">
        <f aca="false">L264</f>
        <v>0</v>
      </c>
      <c r="W264" s="6" t="n">
        <f aca="false">D264</f>
        <v>3.126</v>
      </c>
      <c r="X264" s="6" t="n">
        <f aca="false">E264</f>
        <v>0</v>
      </c>
      <c r="Y264" s="6" t="n">
        <f aca="false">F264</f>
        <v>0</v>
      </c>
      <c r="Z264" s="6" t="n">
        <f aca="false">L264</f>
        <v>0</v>
      </c>
      <c r="AA264" s="6" t="n">
        <f aca="false">G264</f>
        <v>0</v>
      </c>
      <c r="AC264" s="6" t="n">
        <f aca="false">D264</f>
        <v>3.126</v>
      </c>
      <c r="AD264" s="6" t="n">
        <f aca="false">E264</f>
        <v>0</v>
      </c>
      <c r="AE264" s="6" t="n">
        <f aca="false">G264</f>
        <v>0</v>
      </c>
      <c r="AF264" s="6" t="n">
        <f aca="false">H264</f>
        <v>1</v>
      </c>
      <c r="AG264" s="6" t="n">
        <f aca="false">I264</f>
        <v>0</v>
      </c>
      <c r="AH264" s="6" t="n">
        <f aca="false">L264</f>
        <v>0</v>
      </c>
    </row>
    <row r="265" customFormat="false" ht="15" hidden="false" customHeight="false" outlineLevel="0" collapsed="false">
      <c r="A265" s="0" t="str">
        <f aca="false">'Raw Data'!C265</f>
        <v>Rockville</v>
      </c>
      <c r="B265" s="5" t="n">
        <f aca="false">'Raw Data'!A265</f>
        <v>40372</v>
      </c>
      <c r="C265" s="6" t="n">
        <f aca="false">'Raw Data'!D265</f>
        <v>298.390080780801</v>
      </c>
      <c r="D265" s="6" t="n">
        <f aca="false">'Raw Data'!E265</f>
        <v>3.126</v>
      </c>
      <c r="E265" s="6" t="n">
        <f aca="false">'Raw Data'!F265</f>
        <v>0</v>
      </c>
      <c r="F265" s="6" t="n">
        <f aca="false">'Raw Data'!G265</f>
        <v>0</v>
      </c>
      <c r="G265" s="6" t="n">
        <f aca="false">'Raw Data'!H265</f>
        <v>0</v>
      </c>
      <c r="H265" s="6" t="n">
        <f aca="false">'Raw Data'!I265</f>
        <v>1</v>
      </c>
      <c r="I265" s="6" t="n">
        <f aca="false">'Raw Data'!J265</f>
        <v>0</v>
      </c>
      <c r="J265" s="6" t="n">
        <f aca="false">'Raw Data'!K265</f>
        <v>1</v>
      </c>
      <c r="K265" s="6" t="n">
        <f aca="false">'Raw Data'!L265</f>
        <v>4</v>
      </c>
      <c r="L265" s="6" t="n">
        <f aca="false">F265*E265</f>
        <v>0</v>
      </c>
      <c r="N265" s="0" t="n">
        <v>1</v>
      </c>
      <c r="O265" s="6" t="n">
        <f aca="false">D265</f>
        <v>3.126</v>
      </c>
      <c r="P265" s="6" t="n">
        <f aca="false">E265</f>
        <v>0</v>
      </c>
      <c r="Q265" s="6" t="n">
        <f aca="false">F265</f>
        <v>0</v>
      </c>
      <c r="R265" s="6" t="n">
        <f aca="false">G265</f>
        <v>0</v>
      </c>
      <c r="S265" s="6" t="n">
        <f aca="false">H265</f>
        <v>1</v>
      </c>
      <c r="T265" s="6" t="n">
        <f aca="false">I265</f>
        <v>0</v>
      </c>
      <c r="U265" s="6" t="n">
        <f aca="false">L265</f>
        <v>0</v>
      </c>
      <c r="W265" s="6" t="n">
        <f aca="false">D265</f>
        <v>3.126</v>
      </c>
      <c r="X265" s="6" t="n">
        <f aca="false">E265</f>
        <v>0</v>
      </c>
      <c r="Y265" s="6" t="n">
        <f aca="false">F265</f>
        <v>0</v>
      </c>
      <c r="Z265" s="6" t="n">
        <f aca="false">L265</f>
        <v>0</v>
      </c>
      <c r="AA265" s="6" t="n">
        <f aca="false">G265</f>
        <v>0</v>
      </c>
      <c r="AC265" s="6" t="n">
        <f aca="false">D265</f>
        <v>3.126</v>
      </c>
      <c r="AD265" s="6" t="n">
        <f aca="false">E265</f>
        <v>0</v>
      </c>
      <c r="AE265" s="6" t="n">
        <f aca="false">G265</f>
        <v>0</v>
      </c>
      <c r="AF265" s="6" t="n">
        <f aca="false">H265</f>
        <v>1</v>
      </c>
      <c r="AG265" s="6" t="n">
        <f aca="false">I265</f>
        <v>0</v>
      </c>
      <c r="AH265" s="6" t="n">
        <f aca="false">L265</f>
        <v>0</v>
      </c>
    </row>
    <row r="266" customFormat="false" ht="15" hidden="false" customHeight="false" outlineLevel="0" collapsed="false">
      <c r="A266" s="0" t="str">
        <f aca="false">'Raw Data'!C266</f>
        <v>Short Pump</v>
      </c>
      <c r="B266" s="5" t="n">
        <f aca="false">'Raw Data'!A266</f>
        <v>40302</v>
      </c>
      <c r="C266" s="6" t="n">
        <f aca="false">'Raw Data'!D266</f>
        <v>202.68989714049</v>
      </c>
      <c r="D266" s="6" t="n">
        <f aca="false">'Raw Data'!E266</f>
        <v>3.904285714</v>
      </c>
      <c r="E266" s="6" t="n">
        <f aca="false">'Raw Data'!F266</f>
        <v>0</v>
      </c>
      <c r="F266" s="6" t="n">
        <f aca="false">'Raw Data'!G266</f>
        <v>0</v>
      </c>
      <c r="G266" s="6" t="n">
        <f aca="false">'Raw Data'!H266</f>
        <v>0</v>
      </c>
      <c r="H266" s="6" t="n">
        <f aca="false">'Raw Data'!I266</f>
        <v>0</v>
      </c>
      <c r="I266" s="6" t="n">
        <f aca="false">'Raw Data'!J266</f>
        <v>0</v>
      </c>
      <c r="J266" s="6" t="n">
        <f aca="false">'Raw Data'!K266</f>
        <v>0</v>
      </c>
      <c r="K266" s="6" t="n">
        <f aca="false">'Raw Data'!L266</f>
        <v>1</v>
      </c>
      <c r="L266" s="6" t="n">
        <f aca="false">F266*E266</f>
        <v>0</v>
      </c>
      <c r="N266" s="0" t="n">
        <v>1</v>
      </c>
      <c r="O266" s="6" t="n">
        <f aca="false">D266</f>
        <v>3.904285714</v>
      </c>
      <c r="P266" s="6" t="n">
        <f aca="false">E266</f>
        <v>0</v>
      </c>
      <c r="Q266" s="6" t="n">
        <f aca="false">F266</f>
        <v>0</v>
      </c>
      <c r="R266" s="6" t="n">
        <f aca="false">G266</f>
        <v>0</v>
      </c>
      <c r="S266" s="6" t="n">
        <f aca="false">H266</f>
        <v>0</v>
      </c>
      <c r="T266" s="6" t="n">
        <f aca="false">I266</f>
        <v>0</v>
      </c>
      <c r="U266" s="6" t="n">
        <f aca="false">L266</f>
        <v>0</v>
      </c>
      <c r="W266" s="6" t="n">
        <f aca="false">D266</f>
        <v>3.904285714</v>
      </c>
      <c r="X266" s="6" t="n">
        <f aca="false">E266</f>
        <v>0</v>
      </c>
      <c r="Y266" s="6" t="n">
        <f aca="false">F266</f>
        <v>0</v>
      </c>
      <c r="Z266" s="6" t="n">
        <f aca="false">L266</f>
        <v>0</v>
      </c>
      <c r="AA266" s="6" t="n">
        <f aca="false">G266</f>
        <v>0</v>
      </c>
      <c r="AC266" s="6" t="n">
        <f aca="false">D266</f>
        <v>3.904285714</v>
      </c>
      <c r="AD266" s="6" t="n">
        <f aca="false">E266</f>
        <v>0</v>
      </c>
      <c r="AE266" s="6" t="n">
        <f aca="false">G266</f>
        <v>0</v>
      </c>
      <c r="AF266" s="6" t="n">
        <f aca="false">H266</f>
        <v>0</v>
      </c>
      <c r="AG266" s="6" t="n">
        <f aca="false">I266</f>
        <v>0</v>
      </c>
      <c r="AH266" s="6" t="n">
        <f aca="false">L266</f>
        <v>0</v>
      </c>
    </row>
    <row r="267" customFormat="false" ht="15" hidden="false" customHeight="false" outlineLevel="0" collapsed="false">
      <c r="A267" s="0" t="str">
        <f aca="false">'Raw Data'!C267</f>
        <v>Short Pump</v>
      </c>
      <c r="B267" s="5" t="n">
        <f aca="false">'Raw Data'!A267</f>
        <v>40309</v>
      </c>
      <c r="C267" s="6" t="n">
        <f aca="false">'Raw Data'!D267</f>
        <v>277.152100378949</v>
      </c>
      <c r="D267" s="6" t="n">
        <f aca="false">'Raw Data'!E267</f>
        <v>3.904285714</v>
      </c>
      <c r="E267" s="6" t="n">
        <f aca="false">'Raw Data'!F267</f>
        <v>0</v>
      </c>
      <c r="F267" s="6" t="n">
        <f aca="false">'Raw Data'!G267</f>
        <v>0</v>
      </c>
      <c r="G267" s="6" t="n">
        <f aca="false">'Raw Data'!H267</f>
        <v>0</v>
      </c>
      <c r="H267" s="6" t="n">
        <f aca="false">'Raw Data'!I267</f>
        <v>0</v>
      </c>
      <c r="I267" s="6" t="n">
        <f aca="false">'Raw Data'!J267</f>
        <v>0</v>
      </c>
      <c r="J267" s="6" t="n">
        <f aca="false">'Raw Data'!K267</f>
        <v>0</v>
      </c>
      <c r="K267" s="6" t="n">
        <f aca="false">'Raw Data'!L267</f>
        <v>1</v>
      </c>
      <c r="L267" s="6" t="n">
        <f aca="false">F267*E267</f>
        <v>0</v>
      </c>
      <c r="N267" s="0" t="n">
        <v>1</v>
      </c>
      <c r="O267" s="6" t="n">
        <f aca="false">D267</f>
        <v>3.904285714</v>
      </c>
      <c r="P267" s="6" t="n">
        <f aca="false">E267</f>
        <v>0</v>
      </c>
      <c r="Q267" s="6" t="n">
        <f aca="false">F267</f>
        <v>0</v>
      </c>
      <c r="R267" s="6" t="n">
        <f aca="false">G267</f>
        <v>0</v>
      </c>
      <c r="S267" s="6" t="n">
        <f aca="false">H267</f>
        <v>0</v>
      </c>
      <c r="T267" s="6" t="n">
        <f aca="false">I267</f>
        <v>0</v>
      </c>
      <c r="U267" s="6" t="n">
        <f aca="false">L267</f>
        <v>0</v>
      </c>
      <c r="W267" s="6" t="n">
        <f aca="false">D267</f>
        <v>3.904285714</v>
      </c>
      <c r="X267" s="6" t="n">
        <f aca="false">E267</f>
        <v>0</v>
      </c>
      <c r="Y267" s="6" t="n">
        <f aca="false">F267</f>
        <v>0</v>
      </c>
      <c r="Z267" s="6" t="n">
        <f aca="false">L267</f>
        <v>0</v>
      </c>
      <c r="AA267" s="6" t="n">
        <f aca="false">G267</f>
        <v>0</v>
      </c>
      <c r="AC267" s="6" t="n">
        <f aca="false">D267</f>
        <v>3.904285714</v>
      </c>
      <c r="AD267" s="6" t="n">
        <f aca="false">E267</f>
        <v>0</v>
      </c>
      <c r="AE267" s="6" t="n">
        <f aca="false">G267</f>
        <v>0</v>
      </c>
      <c r="AF267" s="6" t="n">
        <f aca="false">H267</f>
        <v>0</v>
      </c>
      <c r="AG267" s="6" t="n">
        <f aca="false">I267</f>
        <v>0</v>
      </c>
      <c r="AH267" s="6" t="n">
        <f aca="false">L267</f>
        <v>0</v>
      </c>
    </row>
    <row r="268" customFormat="false" ht="15" hidden="false" customHeight="false" outlineLevel="0" collapsed="false">
      <c r="A268" s="0" t="str">
        <f aca="false">'Raw Data'!C268</f>
        <v>Short Pump</v>
      </c>
      <c r="B268" s="5" t="n">
        <f aca="false">'Raw Data'!A268</f>
        <v>40316</v>
      </c>
      <c r="C268" s="6" t="n">
        <f aca="false">'Raw Data'!D268</f>
        <v>184.941363538441</v>
      </c>
      <c r="D268" s="6" t="n">
        <f aca="false">'Raw Data'!E268</f>
        <v>3.7775</v>
      </c>
      <c r="E268" s="6" t="n">
        <f aca="false">'Raw Data'!F268</f>
        <v>0</v>
      </c>
      <c r="F268" s="6" t="n">
        <f aca="false">'Raw Data'!G268</f>
        <v>0</v>
      </c>
      <c r="G268" s="6" t="n">
        <f aca="false">'Raw Data'!H268</f>
        <v>0</v>
      </c>
      <c r="H268" s="6" t="n">
        <f aca="false">'Raw Data'!I268</f>
        <v>0</v>
      </c>
      <c r="I268" s="6" t="n">
        <f aca="false">'Raw Data'!J268</f>
        <v>0</v>
      </c>
      <c r="J268" s="6" t="n">
        <f aca="false">'Raw Data'!K268</f>
        <v>0</v>
      </c>
      <c r="K268" s="6" t="n">
        <f aca="false">'Raw Data'!L268</f>
        <v>1</v>
      </c>
      <c r="L268" s="6" t="n">
        <f aca="false">F268*E268</f>
        <v>0</v>
      </c>
      <c r="N268" s="0" t="n">
        <v>1</v>
      </c>
      <c r="O268" s="6" t="n">
        <f aca="false">D268</f>
        <v>3.7775</v>
      </c>
      <c r="P268" s="6" t="n">
        <f aca="false">E268</f>
        <v>0</v>
      </c>
      <c r="Q268" s="6" t="n">
        <f aca="false">F268</f>
        <v>0</v>
      </c>
      <c r="R268" s="6" t="n">
        <f aca="false">G268</f>
        <v>0</v>
      </c>
      <c r="S268" s="6" t="n">
        <f aca="false">H268</f>
        <v>0</v>
      </c>
      <c r="T268" s="6" t="n">
        <f aca="false">I268</f>
        <v>0</v>
      </c>
      <c r="U268" s="6" t="n">
        <f aca="false">L268</f>
        <v>0</v>
      </c>
      <c r="W268" s="6" t="n">
        <f aca="false">D268</f>
        <v>3.7775</v>
      </c>
      <c r="X268" s="6" t="n">
        <f aca="false">E268</f>
        <v>0</v>
      </c>
      <c r="Y268" s="6" t="n">
        <f aca="false">F268</f>
        <v>0</v>
      </c>
      <c r="Z268" s="6" t="n">
        <f aca="false">L268</f>
        <v>0</v>
      </c>
      <c r="AA268" s="6" t="n">
        <f aca="false">G268</f>
        <v>0</v>
      </c>
      <c r="AC268" s="6" t="n">
        <f aca="false">D268</f>
        <v>3.7775</v>
      </c>
      <c r="AD268" s="6" t="n">
        <f aca="false">E268</f>
        <v>0</v>
      </c>
      <c r="AE268" s="6" t="n">
        <f aca="false">G268</f>
        <v>0</v>
      </c>
      <c r="AF268" s="6" t="n">
        <f aca="false">H268</f>
        <v>0</v>
      </c>
      <c r="AG268" s="6" t="n">
        <f aca="false">I268</f>
        <v>0</v>
      </c>
      <c r="AH268" s="6" t="n">
        <f aca="false">L268</f>
        <v>0</v>
      </c>
    </row>
    <row r="269" customFormat="false" ht="15" hidden="false" customHeight="false" outlineLevel="0" collapsed="false">
      <c r="A269" s="0" t="str">
        <f aca="false">'Raw Data'!C269</f>
        <v>Short Pump</v>
      </c>
      <c r="B269" s="5" t="n">
        <f aca="false">'Raw Data'!A269</f>
        <v>40323</v>
      </c>
      <c r="C269" s="6" t="n">
        <f aca="false">'Raw Data'!D269</f>
        <v>269.428544736129</v>
      </c>
      <c r="D269" s="6" t="n">
        <f aca="false">'Raw Data'!E269</f>
        <v>3.618571429</v>
      </c>
      <c r="E269" s="6" t="n">
        <f aca="false">'Raw Data'!F269</f>
        <v>0</v>
      </c>
      <c r="F269" s="6" t="n">
        <f aca="false">'Raw Data'!G269</f>
        <v>0</v>
      </c>
      <c r="G269" s="6" t="n">
        <f aca="false">'Raw Data'!H269</f>
        <v>0</v>
      </c>
      <c r="H269" s="6" t="n">
        <f aca="false">'Raw Data'!I269</f>
        <v>0</v>
      </c>
      <c r="I269" s="6" t="n">
        <f aca="false">'Raw Data'!J269</f>
        <v>0</v>
      </c>
      <c r="J269" s="6" t="n">
        <f aca="false">'Raw Data'!K269</f>
        <v>0</v>
      </c>
      <c r="K269" s="6" t="n">
        <f aca="false">'Raw Data'!L269</f>
        <v>1</v>
      </c>
      <c r="L269" s="6" t="n">
        <f aca="false">F269*E269</f>
        <v>0</v>
      </c>
      <c r="N269" s="0" t="n">
        <v>1</v>
      </c>
      <c r="O269" s="6" t="n">
        <f aca="false">D269</f>
        <v>3.618571429</v>
      </c>
      <c r="P269" s="6" t="n">
        <f aca="false">E269</f>
        <v>0</v>
      </c>
      <c r="Q269" s="6" t="n">
        <f aca="false">F269</f>
        <v>0</v>
      </c>
      <c r="R269" s="6" t="n">
        <f aca="false">G269</f>
        <v>0</v>
      </c>
      <c r="S269" s="6" t="n">
        <f aca="false">H269</f>
        <v>0</v>
      </c>
      <c r="T269" s="6" t="n">
        <f aca="false">I269</f>
        <v>0</v>
      </c>
      <c r="U269" s="6" t="n">
        <f aca="false">L269</f>
        <v>0</v>
      </c>
      <c r="W269" s="6" t="n">
        <f aca="false">D269</f>
        <v>3.618571429</v>
      </c>
      <c r="X269" s="6" t="n">
        <f aca="false">E269</f>
        <v>0</v>
      </c>
      <c r="Y269" s="6" t="n">
        <f aca="false">F269</f>
        <v>0</v>
      </c>
      <c r="Z269" s="6" t="n">
        <f aca="false">L269</f>
        <v>0</v>
      </c>
      <c r="AA269" s="6" t="n">
        <f aca="false">G269</f>
        <v>0</v>
      </c>
      <c r="AC269" s="6" t="n">
        <f aca="false">D269</f>
        <v>3.618571429</v>
      </c>
      <c r="AD269" s="6" t="n">
        <f aca="false">E269</f>
        <v>0</v>
      </c>
      <c r="AE269" s="6" t="n">
        <f aca="false">G269</f>
        <v>0</v>
      </c>
      <c r="AF269" s="6" t="n">
        <f aca="false">H269</f>
        <v>0</v>
      </c>
      <c r="AG269" s="6" t="n">
        <f aca="false">I269</f>
        <v>0</v>
      </c>
      <c r="AH269" s="6" t="n">
        <f aca="false">L269</f>
        <v>0</v>
      </c>
    </row>
    <row r="270" customFormat="false" ht="15" hidden="false" customHeight="false" outlineLevel="0" collapsed="false">
      <c r="A270" s="0" t="str">
        <f aca="false">'Raw Data'!C270</f>
        <v>Short Pump</v>
      </c>
      <c r="B270" s="5" t="n">
        <f aca="false">'Raw Data'!A270</f>
        <v>40330</v>
      </c>
      <c r="C270" s="6" t="n">
        <f aca="false">'Raw Data'!D270</f>
        <v>226.953145365752</v>
      </c>
      <c r="D270" s="6" t="n">
        <f aca="false">'Raw Data'!E270</f>
        <v>3.5025</v>
      </c>
      <c r="E270" s="6" t="n">
        <f aca="false">'Raw Data'!F270</f>
        <v>0</v>
      </c>
      <c r="F270" s="6" t="n">
        <f aca="false">'Raw Data'!G270</f>
        <v>0</v>
      </c>
      <c r="G270" s="6" t="n">
        <f aca="false">'Raw Data'!H270</f>
        <v>0</v>
      </c>
      <c r="H270" s="6" t="n">
        <f aca="false">'Raw Data'!I270</f>
        <v>0</v>
      </c>
      <c r="I270" s="6" t="n">
        <f aca="false">'Raw Data'!J270</f>
        <v>0</v>
      </c>
      <c r="J270" s="6" t="n">
        <f aca="false">'Raw Data'!K270</f>
        <v>0</v>
      </c>
      <c r="K270" s="6" t="n">
        <f aca="false">'Raw Data'!L270</f>
        <v>1</v>
      </c>
      <c r="L270" s="6" t="n">
        <f aca="false">F270*E270</f>
        <v>0</v>
      </c>
      <c r="N270" s="0" t="n">
        <v>1</v>
      </c>
      <c r="O270" s="6" t="n">
        <f aca="false">D270</f>
        <v>3.5025</v>
      </c>
      <c r="P270" s="6" t="n">
        <f aca="false">E270</f>
        <v>0</v>
      </c>
      <c r="Q270" s="6" t="n">
        <f aca="false">F270</f>
        <v>0</v>
      </c>
      <c r="R270" s="6" t="n">
        <f aca="false">G270</f>
        <v>0</v>
      </c>
      <c r="S270" s="6" t="n">
        <f aca="false">H270</f>
        <v>0</v>
      </c>
      <c r="T270" s="6" t="n">
        <f aca="false">I270</f>
        <v>0</v>
      </c>
      <c r="U270" s="6" t="n">
        <f aca="false">L270</f>
        <v>0</v>
      </c>
      <c r="W270" s="6" t="n">
        <f aca="false">D270</f>
        <v>3.5025</v>
      </c>
      <c r="X270" s="6" t="n">
        <f aca="false">E270</f>
        <v>0</v>
      </c>
      <c r="Y270" s="6" t="n">
        <f aca="false">F270</f>
        <v>0</v>
      </c>
      <c r="Z270" s="6" t="n">
        <f aca="false">L270</f>
        <v>0</v>
      </c>
      <c r="AA270" s="6" t="n">
        <f aca="false">G270</f>
        <v>0</v>
      </c>
      <c r="AC270" s="6" t="n">
        <f aca="false">D270</f>
        <v>3.5025</v>
      </c>
      <c r="AD270" s="6" t="n">
        <f aca="false">E270</f>
        <v>0</v>
      </c>
      <c r="AE270" s="6" t="n">
        <f aca="false">G270</f>
        <v>0</v>
      </c>
      <c r="AF270" s="6" t="n">
        <f aca="false">H270</f>
        <v>0</v>
      </c>
      <c r="AG270" s="6" t="n">
        <f aca="false">I270</f>
        <v>0</v>
      </c>
      <c r="AH270" s="6" t="n">
        <f aca="false">L270</f>
        <v>0</v>
      </c>
    </row>
    <row r="271" customFormat="false" ht="15" hidden="false" customHeight="false" outlineLevel="0" collapsed="false">
      <c r="A271" s="0" t="str">
        <f aca="false">'Raw Data'!C271</f>
        <v>Short Pump</v>
      </c>
      <c r="B271" s="5" t="n">
        <f aca="false">'Raw Data'!A271</f>
        <v>40337</v>
      </c>
      <c r="C271" s="6" t="n">
        <f aca="false">'Raw Data'!D271</f>
        <v>51.7332929950279</v>
      </c>
      <c r="D271" s="6" t="n">
        <f aca="false">'Raw Data'!E271</f>
        <v>3.967777778</v>
      </c>
      <c r="E271" s="6" t="n">
        <f aca="false">'Raw Data'!F271</f>
        <v>0</v>
      </c>
      <c r="F271" s="6" t="n">
        <f aca="false">'Raw Data'!G271</f>
        <v>0</v>
      </c>
      <c r="G271" s="6" t="n">
        <f aca="false">'Raw Data'!H271</f>
        <v>0</v>
      </c>
      <c r="H271" s="6" t="n">
        <f aca="false">'Raw Data'!I271</f>
        <v>0</v>
      </c>
      <c r="I271" s="6" t="n">
        <f aca="false">'Raw Data'!J271</f>
        <v>0</v>
      </c>
      <c r="J271" s="6" t="n">
        <f aca="false">'Raw Data'!K271</f>
        <v>0</v>
      </c>
      <c r="K271" s="6" t="n">
        <f aca="false">'Raw Data'!L271</f>
        <v>1</v>
      </c>
      <c r="L271" s="6" t="n">
        <f aca="false">F271*E271</f>
        <v>0</v>
      </c>
      <c r="N271" s="0" t="n">
        <v>1</v>
      </c>
      <c r="O271" s="6" t="n">
        <f aca="false">D271</f>
        <v>3.967777778</v>
      </c>
      <c r="P271" s="6" t="n">
        <f aca="false">E271</f>
        <v>0</v>
      </c>
      <c r="Q271" s="6" t="n">
        <f aca="false">F271</f>
        <v>0</v>
      </c>
      <c r="R271" s="6" t="n">
        <f aca="false">G271</f>
        <v>0</v>
      </c>
      <c r="S271" s="6" t="n">
        <f aca="false">H271</f>
        <v>0</v>
      </c>
      <c r="T271" s="6" t="n">
        <f aca="false">I271</f>
        <v>0</v>
      </c>
      <c r="U271" s="6" t="n">
        <f aca="false">L271</f>
        <v>0</v>
      </c>
      <c r="W271" s="6" t="n">
        <f aca="false">D271</f>
        <v>3.967777778</v>
      </c>
      <c r="X271" s="6" t="n">
        <f aca="false">E271</f>
        <v>0</v>
      </c>
      <c r="Y271" s="6" t="n">
        <f aca="false">F271</f>
        <v>0</v>
      </c>
      <c r="Z271" s="6" t="n">
        <f aca="false">L271</f>
        <v>0</v>
      </c>
      <c r="AA271" s="6" t="n">
        <f aca="false">G271</f>
        <v>0</v>
      </c>
      <c r="AC271" s="6" t="n">
        <f aca="false">D271</f>
        <v>3.967777778</v>
      </c>
      <c r="AD271" s="6" t="n">
        <f aca="false">E271</f>
        <v>0</v>
      </c>
      <c r="AE271" s="6" t="n">
        <f aca="false">G271</f>
        <v>0</v>
      </c>
      <c r="AF271" s="6" t="n">
        <f aca="false">H271</f>
        <v>0</v>
      </c>
      <c r="AG271" s="6" t="n">
        <f aca="false">I271</f>
        <v>0</v>
      </c>
      <c r="AH271" s="6" t="n">
        <f aca="false">L271</f>
        <v>0</v>
      </c>
    </row>
    <row r="272" customFormat="false" ht="15" hidden="false" customHeight="false" outlineLevel="0" collapsed="false">
      <c r="A272" s="0" t="str">
        <f aca="false">'Raw Data'!C272</f>
        <v>Short Pump</v>
      </c>
      <c r="B272" s="5" t="n">
        <f aca="false">'Raw Data'!A272</f>
        <v>40344</v>
      </c>
      <c r="C272" s="6" t="n">
        <f aca="false">'Raw Data'!D272</f>
        <v>215.309166513989</v>
      </c>
      <c r="D272" s="6" t="n">
        <f aca="false">'Raw Data'!E272</f>
        <v>3.7525</v>
      </c>
      <c r="E272" s="6" t="n">
        <f aca="false">'Raw Data'!F272</f>
        <v>0</v>
      </c>
      <c r="F272" s="6" t="n">
        <f aca="false">'Raw Data'!G272</f>
        <v>0</v>
      </c>
      <c r="G272" s="6" t="n">
        <f aca="false">'Raw Data'!H272</f>
        <v>0</v>
      </c>
      <c r="H272" s="6" t="n">
        <f aca="false">'Raw Data'!I272</f>
        <v>0</v>
      </c>
      <c r="I272" s="6" t="n">
        <f aca="false">'Raw Data'!J272</f>
        <v>0</v>
      </c>
      <c r="J272" s="6" t="n">
        <f aca="false">'Raw Data'!K272</f>
        <v>0</v>
      </c>
      <c r="K272" s="6" t="n">
        <f aca="false">'Raw Data'!L272</f>
        <v>1</v>
      </c>
      <c r="L272" s="6" t="n">
        <f aca="false">F272*E272</f>
        <v>0</v>
      </c>
      <c r="N272" s="0" t="n">
        <v>1</v>
      </c>
      <c r="O272" s="6" t="n">
        <f aca="false">D272</f>
        <v>3.7525</v>
      </c>
      <c r="P272" s="6" t="n">
        <f aca="false">E272</f>
        <v>0</v>
      </c>
      <c r="Q272" s="6" t="n">
        <f aca="false">F272</f>
        <v>0</v>
      </c>
      <c r="R272" s="6" t="n">
        <f aca="false">G272</f>
        <v>0</v>
      </c>
      <c r="S272" s="6" t="n">
        <f aca="false">H272</f>
        <v>0</v>
      </c>
      <c r="T272" s="6" t="n">
        <f aca="false">I272</f>
        <v>0</v>
      </c>
      <c r="U272" s="6" t="n">
        <f aca="false">L272</f>
        <v>0</v>
      </c>
      <c r="W272" s="6" t="n">
        <f aca="false">D272</f>
        <v>3.7525</v>
      </c>
      <c r="X272" s="6" t="n">
        <f aca="false">E272</f>
        <v>0</v>
      </c>
      <c r="Y272" s="6" t="n">
        <f aca="false">F272</f>
        <v>0</v>
      </c>
      <c r="Z272" s="6" t="n">
        <f aca="false">L272</f>
        <v>0</v>
      </c>
      <c r="AA272" s="6" t="n">
        <f aca="false">G272</f>
        <v>0</v>
      </c>
      <c r="AC272" s="6" t="n">
        <f aca="false">D272</f>
        <v>3.7525</v>
      </c>
      <c r="AD272" s="6" t="n">
        <f aca="false">E272</f>
        <v>0</v>
      </c>
      <c r="AE272" s="6" t="n">
        <f aca="false">G272</f>
        <v>0</v>
      </c>
      <c r="AF272" s="6" t="n">
        <f aca="false">H272</f>
        <v>0</v>
      </c>
      <c r="AG272" s="6" t="n">
        <f aca="false">I272</f>
        <v>0</v>
      </c>
      <c r="AH272" s="6" t="n">
        <f aca="false">L272</f>
        <v>0</v>
      </c>
    </row>
    <row r="273" customFormat="false" ht="15" hidden="false" customHeight="false" outlineLevel="0" collapsed="false">
      <c r="A273" s="0" t="str">
        <f aca="false">'Raw Data'!C273</f>
        <v>Short Pump</v>
      </c>
      <c r="B273" s="5" t="n">
        <f aca="false">'Raw Data'!A273</f>
        <v>40351</v>
      </c>
      <c r="C273" s="6" t="n">
        <f aca="false">'Raw Data'!D273</f>
        <v>261.720530857875</v>
      </c>
      <c r="D273" s="6" t="n">
        <f aca="false">'Raw Data'!E273</f>
        <v>3.84</v>
      </c>
      <c r="E273" s="6" t="n">
        <f aca="false">'Raw Data'!F273</f>
        <v>0</v>
      </c>
      <c r="F273" s="6" t="n">
        <f aca="false">'Raw Data'!G273</f>
        <v>0</v>
      </c>
      <c r="G273" s="6" t="n">
        <f aca="false">'Raw Data'!H273</f>
        <v>0</v>
      </c>
      <c r="H273" s="6" t="n">
        <f aca="false">'Raw Data'!I273</f>
        <v>0</v>
      </c>
      <c r="I273" s="6" t="n">
        <f aca="false">'Raw Data'!J273</f>
        <v>0</v>
      </c>
      <c r="J273" s="6" t="n">
        <f aca="false">'Raw Data'!K273</f>
        <v>0</v>
      </c>
      <c r="K273" s="6" t="n">
        <f aca="false">'Raw Data'!L273</f>
        <v>1</v>
      </c>
      <c r="L273" s="6" t="n">
        <f aca="false">F273*E273</f>
        <v>0</v>
      </c>
      <c r="N273" s="0" t="n">
        <v>1</v>
      </c>
      <c r="O273" s="6" t="n">
        <f aca="false">D273</f>
        <v>3.84</v>
      </c>
      <c r="P273" s="6" t="n">
        <f aca="false">E273</f>
        <v>0</v>
      </c>
      <c r="Q273" s="6" t="n">
        <f aca="false">F273</f>
        <v>0</v>
      </c>
      <c r="R273" s="6" t="n">
        <f aca="false">G273</f>
        <v>0</v>
      </c>
      <c r="S273" s="6" t="n">
        <f aca="false">H273</f>
        <v>0</v>
      </c>
      <c r="T273" s="6" t="n">
        <f aca="false">I273</f>
        <v>0</v>
      </c>
      <c r="U273" s="6" t="n">
        <f aca="false">L273</f>
        <v>0</v>
      </c>
      <c r="W273" s="6" t="n">
        <f aca="false">D273</f>
        <v>3.84</v>
      </c>
      <c r="X273" s="6" t="n">
        <f aca="false">E273</f>
        <v>0</v>
      </c>
      <c r="Y273" s="6" t="n">
        <f aca="false">F273</f>
        <v>0</v>
      </c>
      <c r="Z273" s="6" t="n">
        <f aca="false">L273</f>
        <v>0</v>
      </c>
      <c r="AA273" s="6" t="n">
        <f aca="false">G273</f>
        <v>0</v>
      </c>
      <c r="AC273" s="6" t="n">
        <f aca="false">D273</f>
        <v>3.84</v>
      </c>
      <c r="AD273" s="6" t="n">
        <f aca="false">E273</f>
        <v>0</v>
      </c>
      <c r="AE273" s="6" t="n">
        <f aca="false">G273</f>
        <v>0</v>
      </c>
      <c r="AF273" s="6" t="n">
        <f aca="false">H273</f>
        <v>0</v>
      </c>
      <c r="AG273" s="6" t="n">
        <f aca="false">I273</f>
        <v>0</v>
      </c>
      <c r="AH273" s="6" t="n">
        <f aca="false">L273</f>
        <v>0</v>
      </c>
    </row>
    <row r="274" customFormat="false" ht="15" hidden="false" customHeight="false" outlineLevel="0" collapsed="false">
      <c r="A274" s="0" t="str">
        <f aca="false">'Raw Data'!C274</f>
        <v>Short Pump</v>
      </c>
      <c r="B274" s="5" t="n">
        <f aca="false">'Raw Data'!A274</f>
        <v>40358</v>
      </c>
      <c r="C274" s="6" t="n">
        <f aca="false">'Raw Data'!D274</f>
        <v>196.773805424141</v>
      </c>
      <c r="D274" s="6" t="n">
        <f aca="false">'Raw Data'!E274</f>
        <v>3.84</v>
      </c>
      <c r="E274" s="6" t="n">
        <f aca="false">'Raw Data'!F274</f>
        <v>0</v>
      </c>
      <c r="F274" s="6" t="n">
        <f aca="false">'Raw Data'!G274</f>
        <v>0</v>
      </c>
      <c r="G274" s="6" t="n">
        <f aca="false">'Raw Data'!H274</f>
        <v>0</v>
      </c>
      <c r="H274" s="6" t="n">
        <f aca="false">'Raw Data'!I274</f>
        <v>0</v>
      </c>
      <c r="I274" s="6" t="n">
        <f aca="false">'Raw Data'!J274</f>
        <v>0</v>
      </c>
      <c r="J274" s="6" t="n">
        <f aca="false">'Raw Data'!K274</f>
        <v>0</v>
      </c>
      <c r="K274" s="6" t="n">
        <f aca="false">'Raw Data'!L274</f>
        <v>1</v>
      </c>
      <c r="L274" s="6" t="n">
        <f aca="false">F274*E274</f>
        <v>0</v>
      </c>
      <c r="N274" s="0" t="n">
        <v>1</v>
      </c>
      <c r="O274" s="6" t="n">
        <f aca="false">D274</f>
        <v>3.84</v>
      </c>
      <c r="P274" s="6" t="n">
        <f aca="false">E274</f>
        <v>0</v>
      </c>
      <c r="Q274" s="6" t="n">
        <f aca="false">F274</f>
        <v>0</v>
      </c>
      <c r="R274" s="6" t="n">
        <f aca="false">G274</f>
        <v>0</v>
      </c>
      <c r="S274" s="6" t="n">
        <f aca="false">H274</f>
        <v>0</v>
      </c>
      <c r="T274" s="6" t="n">
        <f aca="false">I274</f>
        <v>0</v>
      </c>
      <c r="U274" s="6" t="n">
        <f aca="false">L274</f>
        <v>0</v>
      </c>
      <c r="W274" s="6" t="n">
        <f aca="false">D274</f>
        <v>3.84</v>
      </c>
      <c r="X274" s="6" t="n">
        <f aca="false">E274</f>
        <v>0</v>
      </c>
      <c r="Y274" s="6" t="n">
        <f aca="false">F274</f>
        <v>0</v>
      </c>
      <c r="Z274" s="6" t="n">
        <f aca="false">L274</f>
        <v>0</v>
      </c>
      <c r="AA274" s="6" t="n">
        <f aca="false">G274</f>
        <v>0</v>
      </c>
      <c r="AC274" s="6" t="n">
        <f aca="false">D274</f>
        <v>3.84</v>
      </c>
      <c r="AD274" s="6" t="n">
        <f aca="false">E274</f>
        <v>0</v>
      </c>
      <c r="AE274" s="6" t="n">
        <f aca="false">G274</f>
        <v>0</v>
      </c>
      <c r="AF274" s="6" t="n">
        <f aca="false">H274</f>
        <v>0</v>
      </c>
      <c r="AG274" s="6" t="n">
        <f aca="false">I274</f>
        <v>0</v>
      </c>
      <c r="AH274" s="6" t="n">
        <f aca="false">L274</f>
        <v>0</v>
      </c>
    </row>
    <row r="275" customFormat="false" ht="15" hidden="false" customHeight="false" outlineLevel="0" collapsed="false">
      <c r="A275" s="0" t="str">
        <f aca="false">'Raw Data'!C275</f>
        <v>Short Pump</v>
      </c>
      <c r="B275" s="5" t="n">
        <f aca="false">'Raw Data'!A275</f>
        <v>40365</v>
      </c>
      <c r="C275" s="6" t="n">
        <f aca="false">'Raw Data'!D275</f>
        <v>141.000117840529</v>
      </c>
      <c r="D275" s="6" t="n">
        <f aca="false">'Raw Data'!E275</f>
        <v>3.367142857</v>
      </c>
      <c r="E275" s="6" t="n">
        <f aca="false">'Raw Data'!F275</f>
        <v>0</v>
      </c>
      <c r="F275" s="6" t="n">
        <f aca="false">'Raw Data'!G275</f>
        <v>0</v>
      </c>
      <c r="G275" s="6" t="n">
        <f aca="false">'Raw Data'!H275</f>
        <v>0</v>
      </c>
      <c r="H275" s="6" t="n">
        <f aca="false">'Raw Data'!I275</f>
        <v>0</v>
      </c>
      <c r="I275" s="6" t="n">
        <f aca="false">'Raw Data'!J275</f>
        <v>0</v>
      </c>
      <c r="J275" s="6" t="n">
        <f aca="false">'Raw Data'!K275</f>
        <v>0</v>
      </c>
      <c r="K275" s="6" t="n">
        <f aca="false">'Raw Data'!L275</f>
        <v>1</v>
      </c>
      <c r="L275" s="6" t="n">
        <f aca="false">F275*E275</f>
        <v>0</v>
      </c>
      <c r="N275" s="0" t="n">
        <v>1</v>
      </c>
      <c r="O275" s="6" t="n">
        <f aca="false">D275</f>
        <v>3.367142857</v>
      </c>
      <c r="P275" s="6" t="n">
        <f aca="false">E275</f>
        <v>0</v>
      </c>
      <c r="Q275" s="6" t="n">
        <f aca="false">F275</f>
        <v>0</v>
      </c>
      <c r="R275" s="6" t="n">
        <f aca="false">G275</f>
        <v>0</v>
      </c>
      <c r="S275" s="6" t="n">
        <f aca="false">H275</f>
        <v>0</v>
      </c>
      <c r="T275" s="6" t="n">
        <f aca="false">I275</f>
        <v>0</v>
      </c>
      <c r="U275" s="6" t="n">
        <f aca="false">L275</f>
        <v>0</v>
      </c>
      <c r="W275" s="6" t="n">
        <f aca="false">D275</f>
        <v>3.367142857</v>
      </c>
      <c r="X275" s="6" t="n">
        <f aca="false">E275</f>
        <v>0</v>
      </c>
      <c r="Y275" s="6" t="n">
        <f aca="false">F275</f>
        <v>0</v>
      </c>
      <c r="Z275" s="6" t="n">
        <f aca="false">L275</f>
        <v>0</v>
      </c>
      <c r="AA275" s="6" t="n">
        <f aca="false">G275</f>
        <v>0</v>
      </c>
      <c r="AC275" s="6" t="n">
        <f aca="false">D275</f>
        <v>3.367142857</v>
      </c>
      <c r="AD275" s="6" t="n">
        <f aca="false">E275</f>
        <v>0</v>
      </c>
      <c r="AE275" s="6" t="n">
        <f aca="false">G275</f>
        <v>0</v>
      </c>
      <c r="AF275" s="6" t="n">
        <f aca="false">H275</f>
        <v>0</v>
      </c>
      <c r="AG275" s="6" t="n">
        <f aca="false">I275</f>
        <v>0</v>
      </c>
      <c r="AH275" s="6" t="n">
        <f aca="false">L275</f>
        <v>0</v>
      </c>
    </row>
    <row r="276" customFormat="false" ht="15" hidden="false" customHeight="false" outlineLevel="0" collapsed="false">
      <c r="A276" s="0" t="str">
        <f aca="false">'Raw Data'!C276</f>
        <v>Short Pump</v>
      </c>
      <c r="B276" s="5" t="n">
        <f aca="false">'Raw Data'!A276</f>
        <v>40372</v>
      </c>
      <c r="C276" s="6" t="n">
        <f aca="false">'Raw Data'!D276</f>
        <v>201.603221966264</v>
      </c>
      <c r="D276" s="6" t="n">
        <f aca="false">'Raw Data'!E276</f>
        <v>3.661111111</v>
      </c>
      <c r="E276" s="6" t="n">
        <f aca="false">'Raw Data'!F276</f>
        <v>0</v>
      </c>
      <c r="F276" s="6" t="n">
        <f aca="false">'Raw Data'!G276</f>
        <v>0</v>
      </c>
      <c r="G276" s="6" t="n">
        <f aca="false">'Raw Data'!H276</f>
        <v>0</v>
      </c>
      <c r="H276" s="6" t="n">
        <f aca="false">'Raw Data'!I276</f>
        <v>0</v>
      </c>
      <c r="I276" s="6" t="n">
        <f aca="false">'Raw Data'!J276</f>
        <v>0</v>
      </c>
      <c r="J276" s="6" t="n">
        <f aca="false">'Raw Data'!K276</f>
        <v>0</v>
      </c>
      <c r="K276" s="6" t="n">
        <f aca="false">'Raw Data'!L276</f>
        <v>1</v>
      </c>
      <c r="L276" s="6" t="n">
        <f aca="false">F276*E276</f>
        <v>0</v>
      </c>
      <c r="N276" s="0" t="n">
        <v>1</v>
      </c>
      <c r="O276" s="6" t="n">
        <f aca="false">D276</f>
        <v>3.661111111</v>
      </c>
      <c r="P276" s="6" t="n">
        <f aca="false">E276</f>
        <v>0</v>
      </c>
      <c r="Q276" s="6" t="n">
        <f aca="false">F276</f>
        <v>0</v>
      </c>
      <c r="R276" s="6" t="n">
        <f aca="false">G276</f>
        <v>0</v>
      </c>
      <c r="S276" s="6" t="n">
        <f aca="false">H276</f>
        <v>0</v>
      </c>
      <c r="T276" s="6" t="n">
        <f aca="false">I276</f>
        <v>0</v>
      </c>
      <c r="U276" s="6" t="n">
        <f aca="false">L276</f>
        <v>0</v>
      </c>
      <c r="W276" s="6" t="n">
        <f aca="false">D276</f>
        <v>3.661111111</v>
      </c>
      <c r="X276" s="6" t="n">
        <f aca="false">E276</f>
        <v>0</v>
      </c>
      <c r="Y276" s="6" t="n">
        <f aca="false">F276</f>
        <v>0</v>
      </c>
      <c r="Z276" s="6" t="n">
        <f aca="false">L276</f>
        <v>0</v>
      </c>
      <c r="AA276" s="6" t="n">
        <f aca="false">G276</f>
        <v>0</v>
      </c>
      <c r="AC276" s="6" t="n">
        <f aca="false">D276</f>
        <v>3.661111111</v>
      </c>
      <c r="AD276" s="6" t="n">
        <f aca="false">E276</f>
        <v>0</v>
      </c>
      <c r="AE276" s="6" t="n">
        <f aca="false">G276</f>
        <v>0</v>
      </c>
      <c r="AF276" s="6" t="n">
        <f aca="false">H276</f>
        <v>0</v>
      </c>
      <c r="AG276" s="6" t="n">
        <f aca="false">I276</f>
        <v>0</v>
      </c>
      <c r="AH276" s="6" t="n">
        <f aca="false">L276</f>
        <v>0</v>
      </c>
    </row>
    <row r="277" customFormat="false" ht="15" hidden="false" customHeight="false" outlineLevel="0" collapsed="false">
      <c r="A277" s="0" t="str">
        <f aca="false">'Raw Data'!C277</f>
        <v>Tysons</v>
      </c>
      <c r="B277" s="5" t="n">
        <f aca="false">'Raw Data'!A277</f>
        <v>40302</v>
      </c>
      <c r="C277" s="6" t="n">
        <f aca="false">'Raw Data'!D277</f>
        <v>185.376325859695</v>
      </c>
      <c r="D277" s="6" t="n">
        <f aca="false">'Raw Data'!E277</f>
        <v>3.7525</v>
      </c>
      <c r="E277" s="6" t="n">
        <f aca="false">'Raw Data'!F277</f>
        <v>0</v>
      </c>
      <c r="F277" s="6" t="n">
        <f aca="false">'Raw Data'!G277</f>
        <v>0</v>
      </c>
      <c r="G277" s="6" t="n">
        <f aca="false">'Raw Data'!H277</f>
        <v>0</v>
      </c>
      <c r="H277" s="6" t="n">
        <f aca="false">'Raw Data'!I277</f>
        <v>0</v>
      </c>
      <c r="I277" s="6" t="n">
        <f aca="false">'Raw Data'!J277</f>
        <v>0</v>
      </c>
      <c r="J277" s="6" t="n">
        <f aca="false">'Raw Data'!K277</f>
        <v>0</v>
      </c>
      <c r="K277" s="6" t="n">
        <f aca="false">'Raw Data'!L277</f>
        <v>5</v>
      </c>
      <c r="L277" s="6" t="n">
        <f aca="false">F277*E277</f>
        <v>0</v>
      </c>
      <c r="N277" s="0" t="n">
        <v>1</v>
      </c>
      <c r="O277" s="6" t="n">
        <f aca="false">D277</f>
        <v>3.7525</v>
      </c>
      <c r="P277" s="6" t="n">
        <f aca="false">E277</f>
        <v>0</v>
      </c>
      <c r="Q277" s="6" t="n">
        <f aca="false">F277</f>
        <v>0</v>
      </c>
      <c r="R277" s="6" t="n">
        <f aca="false">G277</f>
        <v>0</v>
      </c>
      <c r="S277" s="6" t="n">
        <f aca="false">H277</f>
        <v>0</v>
      </c>
      <c r="T277" s="6" t="n">
        <f aca="false">I277</f>
        <v>0</v>
      </c>
      <c r="U277" s="6" t="n">
        <f aca="false">L277</f>
        <v>0</v>
      </c>
      <c r="W277" s="6" t="n">
        <f aca="false">D277</f>
        <v>3.7525</v>
      </c>
      <c r="X277" s="6" t="n">
        <f aca="false">E277</f>
        <v>0</v>
      </c>
      <c r="Y277" s="6" t="n">
        <f aca="false">F277</f>
        <v>0</v>
      </c>
      <c r="Z277" s="6" t="n">
        <f aca="false">L277</f>
        <v>0</v>
      </c>
      <c r="AA277" s="6" t="n">
        <f aca="false">G277</f>
        <v>0</v>
      </c>
      <c r="AC277" s="6" t="n">
        <f aca="false">D277</f>
        <v>3.7525</v>
      </c>
      <c r="AD277" s="6" t="n">
        <f aca="false">E277</f>
        <v>0</v>
      </c>
      <c r="AE277" s="6" t="n">
        <f aca="false">G277</f>
        <v>0</v>
      </c>
      <c r="AF277" s="6" t="n">
        <f aca="false">H277</f>
        <v>0</v>
      </c>
      <c r="AG277" s="6" t="n">
        <f aca="false">I277</f>
        <v>0</v>
      </c>
      <c r="AH277" s="6" t="n">
        <f aca="false">L277</f>
        <v>0</v>
      </c>
    </row>
    <row r="278" customFormat="false" ht="15" hidden="false" customHeight="false" outlineLevel="0" collapsed="false">
      <c r="A278" s="0" t="str">
        <f aca="false">'Raw Data'!C278</f>
        <v>Tysons</v>
      </c>
      <c r="B278" s="5" t="n">
        <f aca="false">'Raw Data'!A278</f>
        <v>40309</v>
      </c>
      <c r="C278" s="6" t="n">
        <f aca="false">'Raw Data'!D278</f>
        <v>220.86064395051</v>
      </c>
      <c r="D278" s="6" t="n">
        <f aca="false">'Raw Data'!E278</f>
        <v>3.54</v>
      </c>
      <c r="E278" s="6" t="n">
        <f aca="false">'Raw Data'!F278</f>
        <v>0</v>
      </c>
      <c r="F278" s="6" t="n">
        <f aca="false">'Raw Data'!G278</f>
        <v>0</v>
      </c>
      <c r="G278" s="6" t="n">
        <f aca="false">'Raw Data'!H278</f>
        <v>0</v>
      </c>
      <c r="H278" s="6" t="n">
        <f aca="false">'Raw Data'!I278</f>
        <v>0</v>
      </c>
      <c r="I278" s="6" t="n">
        <f aca="false">'Raw Data'!J278</f>
        <v>0</v>
      </c>
      <c r="J278" s="6" t="n">
        <f aca="false">'Raw Data'!K278</f>
        <v>0</v>
      </c>
      <c r="K278" s="6" t="n">
        <f aca="false">'Raw Data'!L278</f>
        <v>5</v>
      </c>
      <c r="L278" s="6" t="n">
        <f aca="false">F278*E278</f>
        <v>0</v>
      </c>
      <c r="N278" s="0" t="n">
        <v>1</v>
      </c>
      <c r="O278" s="6" t="n">
        <f aca="false">D278</f>
        <v>3.54</v>
      </c>
      <c r="P278" s="6" t="n">
        <f aca="false">E278</f>
        <v>0</v>
      </c>
      <c r="Q278" s="6" t="n">
        <f aca="false">F278</f>
        <v>0</v>
      </c>
      <c r="R278" s="6" t="n">
        <f aca="false">G278</f>
        <v>0</v>
      </c>
      <c r="S278" s="6" t="n">
        <f aca="false">H278</f>
        <v>0</v>
      </c>
      <c r="T278" s="6" t="n">
        <f aca="false">I278</f>
        <v>0</v>
      </c>
      <c r="U278" s="6" t="n">
        <f aca="false">L278</f>
        <v>0</v>
      </c>
      <c r="W278" s="6" t="n">
        <f aca="false">D278</f>
        <v>3.54</v>
      </c>
      <c r="X278" s="6" t="n">
        <f aca="false">E278</f>
        <v>0</v>
      </c>
      <c r="Y278" s="6" t="n">
        <f aca="false">F278</f>
        <v>0</v>
      </c>
      <c r="Z278" s="6" t="n">
        <f aca="false">L278</f>
        <v>0</v>
      </c>
      <c r="AA278" s="6" t="n">
        <f aca="false">G278</f>
        <v>0</v>
      </c>
      <c r="AC278" s="6" t="n">
        <f aca="false">D278</f>
        <v>3.54</v>
      </c>
      <c r="AD278" s="6" t="n">
        <f aca="false">E278</f>
        <v>0</v>
      </c>
      <c r="AE278" s="6" t="n">
        <f aca="false">G278</f>
        <v>0</v>
      </c>
      <c r="AF278" s="6" t="n">
        <f aca="false">H278</f>
        <v>0</v>
      </c>
      <c r="AG278" s="6" t="n">
        <f aca="false">I278</f>
        <v>0</v>
      </c>
      <c r="AH278" s="6" t="n">
        <f aca="false">L278</f>
        <v>0</v>
      </c>
    </row>
    <row r="279" customFormat="false" ht="15" hidden="false" customHeight="false" outlineLevel="0" collapsed="false">
      <c r="A279" s="0" t="str">
        <f aca="false">'Raw Data'!C279</f>
        <v>Tysons</v>
      </c>
      <c r="B279" s="5" t="n">
        <f aca="false">'Raw Data'!A279</f>
        <v>40316</v>
      </c>
      <c r="C279" s="6" t="n">
        <f aca="false">'Raw Data'!D279</f>
        <v>180.132464028984</v>
      </c>
      <c r="D279" s="6" t="n">
        <f aca="false">'Raw Data'!E279</f>
        <v>3.34</v>
      </c>
      <c r="E279" s="6" t="n">
        <f aca="false">'Raw Data'!F279</f>
        <v>0</v>
      </c>
      <c r="F279" s="6" t="n">
        <f aca="false">'Raw Data'!G279</f>
        <v>0</v>
      </c>
      <c r="G279" s="6" t="n">
        <f aca="false">'Raw Data'!H279</f>
        <v>0</v>
      </c>
      <c r="H279" s="6" t="n">
        <f aca="false">'Raw Data'!I279</f>
        <v>0</v>
      </c>
      <c r="I279" s="6" t="n">
        <f aca="false">'Raw Data'!J279</f>
        <v>0</v>
      </c>
      <c r="J279" s="6" t="n">
        <f aca="false">'Raw Data'!K279</f>
        <v>0</v>
      </c>
      <c r="K279" s="6" t="n">
        <f aca="false">'Raw Data'!L279</f>
        <v>5</v>
      </c>
      <c r="L279" s="6" t="n">
        <f aca="false">F279*E279</f>
        <v>0</v>
      </c>
      <c r="N279" s="0" t="n">
        <v>1</v>
      </c>
      <c r="O279" s="6" t="n">
        <f aca="false">D279</f>
        <v>3.34</v>
      </c>
      <c r="P279" s="6" t="n">
        <f aca="false">E279</f>
        <v>0</v>
      </c>
      <c r="Q279" s="6" t="n">
        <f aca="false">F279</f>
        <v>0</v>
      </c>
      <c r="R279" s="6" t="n">
        <f aca="false">G279</f>
        <v>0</v>
      </c>
      <c r="S279" s="6" t="n">
        <f aca="false">H279</f>
        <v>0</v>
      </c>
      <c r="T279" s="6" t="n">
        <f aca="false">I279</f>
        <v>0</v>
      </c>
      <c r="U279" s="6" t="n">
        <f aca="false">L279</f>
        <v>0</v>
      </c>
      <c r="W279" s="6" t="n">
        <f aca="false">D279</f>
        <v>3.34</v>
      </c>
      <c r="X279" s="6" t="n">
        <f aca="false">E279</f>
        <v>0</v>
      </c>
      <c r="Y279" s="6" t="n">
        <f aca="false">F279</f>
        <v>0</v>
      </c>
      <c r="Z279" s="6" t="n">
        <f aca="false">L279</f>
        <v>0</v>
      </c>
      <c r="AA279" s="6" t="n">
        <f aca="false">G279</f>
        <v>0</v>
      </c>
      <c r="AC279" s="6" t="n">
        <f aca="false">D279</f>
        <v>3.34</v>
      </c>
      <c r="AD279" s="6" t="n">
        <f aca="false">E279</f>
        <v>0</v>
      </c>
      <c r="AE279" s="6" t="n">
        <f aca="false">G279</f>
        <v>0</v>
      </c>
      <c r="AF279" s="6" t="n">
        <f aca="false">H279</f>
        <v>0</v>
      </c>
      <c r="AG279" s="6" t="n">
        <f aca="false">I279</f>
        <v>0</v>
      </c>
      <c r="AH279" s="6" t="n">
        <f aca="false">L279</f>
        <v>0</v>
      </c>
    </row>
    <row r="280" customFormat="false" ht="15" hidden="false" customHeight="false" outlineLevel="0" collapsed="false">
      <c r="A280" s="0" t="str">
        <f aca="false">'Raw Data'!C280</f>
        <v>Tysons</v>
      </c>
      <c r="B280" s="5" t="n">
        <f aca="false">'Raw Data'!A280</f>
        <v>40323</v>
      </c>
      <c r="C280" s="6" t="n">
        <f aca="false">'Raw Data'!D280</f>
        <v>221.744695883421</v>
      </c>
      <c r="D280" s="6" t="n">
        <f aca="false">'Raw Data'!E280</f>
        <v>3.34</v>
      </c>
      <c r="E280" s="6" t="n">
        <f aca="false">'Raw Data'!F280</f>
        <v>0</v>
      </c>
      <c r="F280" s="6" t="n">
        <f aca="false">'Raw Data'!G280</f>
        <v>0</v>
      </c>
      <c r="G280" s="6" t="n">
        <f aca="false">'Raw Data'!H280</f>
        <v>0</v>
      </c>
      <c r="H280" s="6" t="n">
        <f aca="false">'Raw Data'!I280</f>
        <v>0</v>
      </c>
      <c r="I280" s="6" t="n">
        <f aca="false">'Raw Data'!J280</f>
        <v>0</v>
      </c>
      <c r="J280" s="6" t="n">
        <f aca="false">'Raw Data'!K280</f>
        <v>0</v>
      </c>
      <c r="K280" s="6" t="n">
        <f aca="false">'Raw Data'!L280</f>
        <v>5</v>
      </c>
      <c r="L280" s="6" t="n">
        <f aca="false">F280*E280</f>
        <v>0</v>
      </c>
      <c r="N280" s="0" t="n">
        <v>1</v>
      </c>
      <c r="O280" s="6" t="n">
        <f aca="false">D280</f>
        <v>3.34</v>
      </c>
      <c r="P280" s="6" t="n">
        <f aca="false">E280</f>
        <v>0</v>
      </c>
      <c r="Q280" s="6" t="n">
        <f aca="false">F280</f>
        <v>0</v>
      </c>
      <c r="R280" s="6" t="n">
        <f aca="false">G280</f>
        <v>0</v>
      </c>
      <c r="S280" s="6" t="n">
        <f aca="false">H280</f>
        <v>0</v>
      </c>
      <c r="T280" s="6" t="n">
        <f aca="false">I280</f>
        <v>0</v>
      </c>
      <c r="U280" s="6" t="n">
        <f aca="false">L280</f>
        <v>0</v>
      </c>
      <c r="W280" s="6" t="n">
        <f aca="false">D280</f>
        <v>3.34</v>
      </c>
      <c r="X280" s="6" t="n">
        <f aca="false">E280</f>
        <v>0</v>
      </c>
      <c r="Y280" s="6" t="n">
        <f aca="false">F280</f>
        <v>0</v>
      </c>
      <c r="Z280" s="6" t="n">
        <f aca="false">L280</f>
        <v>0</v>
      </c>
      <c r="AA280" s="6" t="n">
        <f aca="false">G280</f>
        <v>0</v>
      </c>
      <c r="AC280" s="6" t="n">
        <f aca="false">D280</f>
        <v>3.34</v>
      </c>
      <c r="AD280" s="6" t="n">
        <f aca="false">E280</f>
        <v>0</v>
      </c>
      <c r="AE280" s="6" t="n">
        <f aca="false">G280</f>
        <v>0</v>
      </c>
      <c r="AF280" s="6" t="n">
        <f aca="false">H280</f>
        <v>0</v>
      </c>
      <c r="AG280" s="6" t="n">
        <f aca="false">I280</f>
        <v>0</v>
      </c>
      <c r="AH280" s="6" t="n">
        <f aca="false">L280</f>
        <v>0</v>
      </c>
    </row>
    <row r="281" customFormat="false" ht="15" hidden="false" customHeight="false" outlineLevel="0" collapsed="false">
      <c r="A281" s="0" t="str">
        <f aca="false">'Raw Data'!C281</f>
        <v>Tysons</v>
      </c>
      <c r="B281" s="5" t="n">
        <f aca="false">'Raw Data'!A281</f>
        <v>40330</v>
      </c>
      <c r="C281" s="6" t="n">
        <f aca="false">'Raw Data'!D281</f>
        <v>196.866682490891</v>
      </c>
      <c r="D281" s="6" t="n">
        <f aca="false">'Raw Data'!E281</f>
        <v>3.412222222</v>
      </c>
      <c r="E281" s="6" t="n">
        <f aca="false">'Raw Data'!F281</f>
        <v>0</v>
      </c>
      <c r="F281" s="6" t="n">
        <f aca="false">'Raw Data'!G281</f>
        <v>0</v>
      </c>
      <c r="G281" s="6" t="n">
        <f aca="false">'Raw Data'!H281</f>
        <v>0</v>
      </c>
      <c r="H281" s="6" t="n">
        <f aca="false">'Raw Data'!I281</f>
        <v>0</v>
      </c>
      <c r="I281" s="6" t="n">
        <f aca="false">'Raw Data'!J281</f>
        <v>0</v>
      </c>
      <c r="J281" s="6" t="n">
        <f aca="false">'Raw Data'!K281</f>
        <v>0</v>
      </c>
      <c r="K281" s="6" t="n">
        <f aca="false">'Raw Data'!L281</f>
        <v>5</v>
      </c>
      <c r="L281" s="6" t="n">
        <f aca="false">F281*E281</f>
        <v>0</v>
      </c>
      <c r="N281" s="0" t="n">
        <v>1</v>
      </c>
      <c r="O281" s="6" t="n">
        <f aca="false">D281</f>
        <v>3.412222222</v>
      </c>
      <c r="P281" s="6" t="n">
        <f aca="false">E281</f>
        <v>0</v>
      </c>
      <c r="Q281" s="6" t="n">
        <f aca="false">F281</f>
        <v>0</v>
      </c>
      <c r="R281" s="6" t="n">
        <f aca="false">G281</f>
        <v>0</v>
      </c>
      <c r="S281" s="6" t="n">
        <f aca="false">H281</f>
        <v>0</v>
      </c>
      <c r="T281" s="6" t="n">
        <f aca="false">I281</f>
        <v>0</v>
      </c>
      <c r="U281" s="6" t="n">
        <f aca="false">L281</f>
        <v>0</v>
      </c>
      <c r="W281" s="6" t="n">
        <f aca="false">D281</f>
        <v>3.412222222</v>
      </c>
      <c r="X281" s="6" t="n">
        <f aca="false">E281</f>
        <v>0</v>
      </c>
      <c r="Y281" s="6" t="n">
        <f aca="false">F281</f>
        <v>0</v>
      </c>
      <c r="Z281" s="6" t="n">
        <f aca="false">L281</f>
        <v>0</v>
      </c>
      <c r="AA281" s="6" t="n">
        <f aca="false">G281</f>
        <v>0</v>
      </c>
      <c r="AC281" s="6" t="n">
        <f aca="false">D281</f>
        <v>3.412222222</v>
      </c>
      <c r="AD281" s="6" t="n">
        <f aca="false">E281</f>
        <v>0</v>
      </c>
      <c r="AE281" s="6" t="n">
        <f aca="false">G281</f>
        <v>0</v>
      </c>
      <c r="AF281" s="6" t="n">
        <f aca="false">H281</f>
        <v>0</v>
      </c>
      <c r="AG281" s="6" t="n">
        <f aca="false">I281</f>
        <v>0</v>
      </c>
      <c r="AH281" s="6" t="n">
        <f aca="false">L281</f>
        <v>0</v>
      </c>
    </row>
    <row r="282" customFormat="false" ht="15" hidden="false" customHeight="false" outlineLevel="0" collapsed="false">
      <c r="A282" s="0" t="str">
        <f aca="false">'Raw Data'!C282</f>
        <v>Tysons</v>
      </c>
      <c r="B282" s="5" t="n">
        <f aca="false">'Raw Data'!A282</f>
        <v>40337</v>
      </c>
      <c r="C282" s="6" t="n">
        <f aca="false">'Raw Data'!D282</f>
        <v>233.501106140361</v>
      </c>
      <c r="D282" s="6" t="n">
        <f aca="false">'Raw Data'!E282</f>
        <v>3.634444444</v>
      </c>
      <c r="E282" s="6" t="n">
        <f aca="false">'Raw Data'!F282</f>
        <v>0</v>
      </c>
      <c r="F282" s="6" t="n">
        <f aca="false">'Raw Data'!G282</f>
        <v>0</v>
      </c>
      <c r="G282" s="6" t="n">
        <f aca="false">'Raw Data'!H282</f>
        <v>0</v>
      </c>
      <c r="H282" s="6" t="n">
        <f aca="false">'Raw Data'!I282</f>
        <v>0</v>
      </c>
      <c r="I282" s="6" t="n">
        <f aca="false">'Raw Data'!J282</f>
        <v>0</v>
      </c>
      <c r="J282" s="6" t="n">
        <f aca="false">'Raw Data'!K282</f>
        <v>0</v>
      </c>
      <c r="K282" s="6" t="n">
        <f aca="false">'Raw Data'!L282</f>
        <v>5</v>
      </c>
      <c r="L282" s="6" t="n">
        <f aca="false">F282*E282</f>
        <v>0</v>
      </c>
      <c r="N282" s="0" t="n">
        <v>1</v>
      </c>
      <c r="O282" s="6" t="n">
        <f aca="false">D282</f>
        <v>3.634444444</v>
      </c>
      <c r="P282" s="6" t="n">
        <f aca="false">E282</f>
        <v>0</v>
      </c>
      <c r="Q282" s="6" t="n">
        <f aca="false">F282</f>
        <v>0</v>
      </c>
      <c r="R282" s="6" t="n">
        <f aca="false">G282</f>
        <v>0</v>
      </c>
      <c r="S282" s="6" t="n">
        <f aca="false">H282</f>
        <v>0</v>
      </c>
      <c r="T282" s="6" t="n">
        <f aca="false">I282</f>
        <v>0</v>
      </c>
      <c r="U282" s="6" t="n">
        <f aca="false">L282</f>
        <v>0</v>
      </c>
      <c r="W282" s="6" t="n">
        <f aca="false">D282</f>
        <v>3.634444444</v>
      </c>
      <c r="X282" s="6" t="n">
        <f aca="false">E282</f>
        <v>0</v>
      </c>
      <c r="Y282" s="6" t="n">
        <f aca="false">F282</f>
        <v>0</v>
      </c>
      <c r="Z282" s="6" t="n">
        <f aca="false">L282</f>
        <v>0</v>
      </c>
      <c r="AA282" s="6" t="n">
        <f aca="false">G282</f>
        <v>0</v>
      </c>
      <c r="AC282" s="6" t="n">
        <f aca="false">D282</f>
        <v>3.634444444</v>
      </c>
      <c r="AD282" s="6" t="n">
        <f aca="false">E282</f>
        <v>0</v>
      </c>
      <c r="AE282" s="6" t="n">
        <f aca="false">G282</f>
        <v>0</v>
      </c>
      <c r="AF282" s="6" t="n">
        <f aca="false">H282</f>
        <v>0</v>
      </c>
      <c r="AG282" s="6" t="n">
        <f aca="false">I282</f>
        <v>0</v>
      </c>
      <c r="AH282" s="6" t="n">
        <f aca="false">L282</f>
        <v>0</v>
      </c>
    </row>
    <row r="283" customFormat="false" ht="15" hidden="false" customHeight="false" outlineLevel="0" collapsed="false">
      <c r="A283" s="0" t="str">
        <f aca="false">'Raw Data'!C283</f>
        <v>Tysons</v>
      </c>
      <c r="B283" s="5" t="n">
        <f aca="false">'Raw Data'!A283</f>
        <v>40344</v>
      </c>
      <c r="C283" s="6" t="n">
        <f aca="false">'Raw Data'!D283</f>
        <v>312.237623435549</v>
      </c>
      <c r="D283" s="6" t="n">
        <f aca="false">'Raw Data'!E283</f>
        <v>3.7525</v>
      </c>
      <c r="E283" s="6" t="n">
        <f aca="false">'Raw Data'!F283</f>
        <v>0</v>
      </c>
      <c r="F283" s="6" t="n">
        <f aca="false">'Raw Data'!G283</f>
        <v>0</v>
      </c>
      <c r="G283" s="6" t="n">
        <f aca="false">'Raw Data'!H283</f>
        <v>1</v>
      </c>
      <c r="H283" s="6" t="n">
        <f aca="false">'Raw Data'!I283</f>
        <v>0</v>
      </c>
      <c r="I283" s="6" t="n">
        <f aca="false">'Raw Data'!J283</f>
        <v>0</v>
      </c>
      <c r="J283" s="6" t="n">
        <f aca="false">'Raw Data'!K283</f>
        <v>0</v>
      </c>
      <c r="K283" s="6" t="n">
        <f aca="false">'Raw Data'!L283</f>
        <v>5</v>
      </c>
      <c r="L283" s="6" t="n">
        <f aca="false">F283*E283</f>
        <v>0</v>
      </c>
      <c r="N283" s="0" t="n">
        <v>1</v>
      </c>
      <c r="O283" s="6" t="n">
        <f aca="false">D283</f>
        <v>3.7525</v>
      </c>
      <c r="P283" s="6" t="n">
        <f aca="false">E283</f>
        <v>0</v>
      </c>
      <c r="Q283" s="6" t="n">
        <f aca="false">F283</f>
        <v>0</v>
      </c>
      <c r="R283" s="6" t="n">
        <f aca="false">G283</f>
        <v>1</v>
      </c>
      <c r="S283" s="6" t="n">
        <f aca="false">H283</f>
        <v>0</v>
      </c>
      <c r="T283" s="6" t="n">
        <f aca="false">I283</f>
        <v>0</v>
      </c>
      <c r="U283" s="6" t="n">
        <f aca="false">L283</f>
        <v>0</v>
      </c>
      <c r="W283" s="6" t="n">
        <f aca="false">D283</f>
        <v>3.7525</v>
      </c>
      <c r="X283" s="6" t="n">
        <f aca="false">E283</f>
        <v>0</v>
      </c>
      <c r="Y283" s="6" t="n">
        <f aca="false">F283</f>
        <v>0</v>
      </c>
      <c r="Z283" s="6" t="n">
        <f aca="false">L283</f>
        <v>0</v>
      </c>
      <c r="AA283" s="6" t="n">
        <f aca="false">G283</f>
        <v>1</v>
      </c>
      <c r="AC283" s="6" t="n">
        <f aca="false">D283</f>
        <v>3.7525</v>
      </c>
      <c r="AD283" s="6" t="n">
        <f aca="false">E283</f>
        <v>0</v>
      </c>
      <c r="AE283" s="6" t="n">
        <f aca="false">G283</f>
        <v>1</v>
      </c>
      <c r="AF283" s="6" t="n">
        <f aca="false">H283</f>
        <v>0</v>
      </c>
      <c r="AG283" s="6" t="n">
        <f aca="false">I283</f>
        <v>0</v>
      </c>
      <c r="AH283" s="6" t="n">
        <f aca="false">L283</f>
        <v>0</v>
      </c>
    </row>
    <row r="284" customFormat="false" ht="15" hidden="false" customHeight="false" outlineLevel="0" collapsed="false">
      <c r="A284" s="0" t="str">
        <f aca="false">'Raw Data'!C284</f>
        <v>Tysons</v>
      </c>
      <c r="B284" s="5" t="n">
        <f aca="false">'Raw Data'!A284</f>
        <v>40351</v>
      </c>
      <c r="C284" s="6" t="n">
        <f aca="false">'Raw Data'!D284</f>
        <v>257.853053029172</v>
      </c>
      <c r="D284" s="6" t="n">
        <f aca="false">'Raw Data'!E284</f>
        <v>3.634444444</v>
      </c>
      <c r="E284" s="6" t="n">
        <f aca="false">'Raw Data'!F284</f>
        <v>0</v>
      </c>
      <c r="F284" s="6" t="n">
        <f aca="false">'Raw Data'!G284</f>
        <v>0</v>
      </c>
      <c r="G284" s="6" t="n">
        <f aca="false">'Raw Data'!H284</f>
        <v>0</v>
      </c>
      <c r="H284" s="6" t="n">
        <f aca="false">'Raw Data'!I284</f>
        <v>1</v>
      </c>
      <c r="I284" s="6" t="n">
        <f aca="false">'Raw Data'!J284</f>
        <v>0</v>
      </c>
      <c r="J284" s="6" t="n">
        <f aca="false">'Raw Data'!K284</f>
        <v>0</v>
      </c>
      <c r="K284" s="6" t="n">
        <f aca="false">'Raw Data'!L284</f>
        <v>5</v>
      </c>
      <c r="L284" s="6" t="n">
        <f aca="false">F284*E284</f>
        <v>0</v>
      </c>
      <c r="N284" s="0" t="n">
        <v>1</v>
      </c>
      <c r="O284" s="6" t="n">
        <f aca="false">D284</f>
        <v>3.634444444</v>
      </c>
      <c r="P284" s="6" t="n">
        <f aca="false">E284</f>
        <v>0</v>
      </c>
      <c r="Q284" s="6" t="n">
        <f aca="false">F284</f>
        <v>0</v>
      </c>
      <c r="R284" s="6" t="n">
        <f aca="false">G284</f>
        <v>0</v>
      </c>
      <c r="S284" s="6" t="n">
        <f aca="false">H284</f>
        <v>1</v>
      </c>
      <c r="T284" s="6" t="n">
        <f aca="false">I284</f>
        <v>0</v>
      </c>
      <c r="U284" s="6" t="n">
        <f aca="false">L284</f>
        <v>0</v>
      </c>
      <c r="W284" s="6" t="n">
        <f aca="false">D284</f>
        <v>3.634444444</v>
      </c>
      <c r="X284" s="6" t="n">
        <f aca="false">E284</f>
        <v>0</v>
      </c>
      <c r="Y284" s="6" t="n">
        <f aca="false">F284</f>
        <v>0</v>
      </c>
      <c r="Z284" s="6" t="n">
        <f aca="false">L284</f>
        <v>0</v>
      </c>
      <c r="AA284" s="6" t="n">
        <f aca="false">G284</f>
        <v>0</v>
      </c>
      <c r="AC284" s="6" t="n">
        <f aca="false">D284</f>
        <v>3.634444444</v>
      </c>
      <c r="AD284" s="6" t="n">
        <f aca="false">E284</f>
        <v>0</v>
      </c>
      <c r="AE284" s="6" t="n">
        <f aca="false">G284</f>
        <v>0</v>
      </c>
      <c r="AF284" s="6" t="n">
        <f aca="false">H284</f>
        <v>1</v>
      </c>
      <c r="AG284" s="6" t="n">
        <f aca="false">I284</f>
        <v>0</v>
      </c>
      <c r="AH284" s="6" t="n">
        <f aca="false">L284</f>
        <v>0</v>
      </c>
    </row>
    <row r="285" customFormat="false" ht="15" hidden="false" customHeight="false" outlineLevel="0" collapsed="false">
      <c r="A285" s="0" t="str">
        <f aca="false">'Raw Data'!C285</f>
        <v>Tysons</v>
      </c>
      <c r="B285" s="5" t="n">
        <f aca="false">'Raw Data'!A285</f>
        <v>40358</v>
      </c>
      <c r="C285" s="6" t="n">
        <f aca="false">'Raw Data'!D285</f>
        <v>276.049873804359</v>
      </c>
      <c r="D285" s="6" t="n">
        <f aca="false">'Raw Data'!E285</f>
        <v>4.056666667</v>
      </c>
      <c r="E285" s="6" t="n">
        <f aca="false">'Raw Data'!F285</f>
        <v>0</v>
      </c>
      <c r="F285" s="6" t="n">
        <f aca="false">'Raw Data'!G285</f>
        <v>0</v>
      </c>
      <c r="G285" s="6" t="n">
        <f aca="false">'Raw Data'!H285</f>
        <v>0</v>
      </c>
      <c r="H285" s="6" t="n">
        <f aca="false">'Raw Data'!I285</f>
        <v>1</v>
      </c>
      <c r="I285" s="6" t="n">
        <f aca="false">'Raw Data'!J285</f>
        <v>0</v>
      </c>
      <c r="J285" s="6" t="n">
        <f aca="false">'Raw Data'!K285</f>
        <v>0</v>
      </c>
      <c r="K285" s="6" t="n">
        <f aca="false">'Raw Data'!L285</f>
        <v>5</v>
      </c>
      <c r="L285" s="6" t="n">
        <f aca="false">F285*E285</f>
        <v>0</v>
      </c>
      <c r="N285" s="0" t="n">
        <v>1</v>
      </c>
      <c r="O285" s="6" t="n">
        <f aca="false">D285</f>
        <v>4.056666667</v>
      </c>
      <c r="P285" s="6" t="n">
        <f aca="false">E285</f>
        <v>0</v>
      </c>
      <c r="Q285" s="6" t="n">
        <f aca="false">F285</f>
        <v>0</v>
      </c>
      <c r="R285" s="6" t="n">
        <f aca="false">G285</f>
        <v>0</v>
      </c>
      <c r="S285" s="6" t="n">
        <f aca="false">H285</f>
        <v>1</v>
      </c>
      <c r="T285" s="6" t="n">
        <f aca="false">I285</f>
        <v>0</v>
      </c>
      <c r="U285" s="6" t="n">
        <f aca="false">L285</f>
        <v>0</v>
      </c>
      <c r="W285" s="6" t="n">
        <f aca="false">D285</f>
        <v>4.056666667</v>
      </c>
      <c r="X285" s="6" t="n">
        <f aca="false">E285</f>
        <v>0</v>
      </c>
      <c r="Y285" s="6" t="n">
        <f aca="false">F285</f>
        <v>0</v>
      </c>
      <c r="Z285" s="6" t="n">
        <f aca="false">L285</f>
        <v>0</v>
      </c>
      <c r="AA285" s="6" t="n">
        <f aca="false">G285</f>
        <v>0</v>
      </c>
      <c r="AC285" s="6" t="n">
        <f aca="false">D285</f>
        <v>4.056666667</v>
      </c>
      <c r="AD285" s="6" t="n">
        <f aca="false">E285</f>
        <v>0</v>
      </c>
      <c r="AE285" s="6" t="n">
        <f aca="false">G285</f>
        <v>0</v>
      </c>
      <c r="AF285" s="6" t="n">
        <f aca="false">H285</f>
        <v>1</v>
      </c>
      <c r="AG285" s="6" t="n">
        <f aca="false">I285</f>
        <v>0</v>
      </c>
      <c r="AH285" s="6" t="n">
        <f aca="false">L285</f>
        <v>0</v>
      </c>
    </row>
    <row r="286" customFormat="false" ht="15" hidden="false" customHeight="false" outlineLevel="0" collapsed="false">
      <c r="A286" s="0" t="str">
        <f aca="false">'Raw Data'!C286</f>
        <v>Tysons</v>
      </c>
      <c r="B286" s="5" t="n">
        <f aca="false">'Raw Data'!A286</f>
        <v>40365</v>
      </c>
      <c r="C286" s="6" t="n">
        <f aca="false">'Raw Data'!D286</f>
        <v>330.716759673097</v>
      </c>
      <c r="D286" s="6" t="n">
        <f aca="false">'Raw Data'!E286</f>
        <v>3.126</v>
      </c>
      <c r="E286" s="6" t="n">
        <f aca="false">'Raw Data'!F286</f>
        <v>0</v>
      </c>
      <c r="F286" s="6" t="n">
        <f aca="false">'Raw Data'!G286</f>
        <v>0</v>
      </c>
      <c r="G286" s="6" t="n">
        <f aca="false">'Raw Data'!H286</f>
        <v>0</v>
      </c>
      <c r="H286" s="6" t="n">
        <f aca="false">'Raw Data'!I286</f>
        <v>1</v>
      </c>
      <c r="I286" s="6" t="n">
        <f aca="false">'Raw Data'!J286</f>
        <v>0</v>
      </c>
      <c r="J286" s="6" t="n">
        <f aca="false">'Raw Data'!K286</f>
        <v>0</v>
      </c>
      <c r="K286" s="6" t="n">
        <f aca="false">'Raw Data'!L286</f>
        <v>5</v>
      </c>
      <c r="L286" s="6" t="n">
        <f aca="false">F286*E286</f>
        <v>0</v>
      </c>
      <c r="N286" s="0" t="n">
        <v>1</v>
      </c>
      <c r="O286" s="6" t="n">
        <f aca="false">D286</f>
        <v>3.126</v>
      </c>
      <c r="P286" s="6" t="n">
        <f aca="false">E286</f>
        <v>0</v>
      </c>
      <c r="Q286" s="6" t="n">
        <f aca="false">F286</f>
        <v>0</v>
      </c>
      <c r="R286" s="6" t="n">
        <f aca="false">G286</f>
        <v>0</v>
      </c>
      <c r="S286" s="6" t="n">
        <f aca="false">H286</f>
        <v>1</v>
      </c>
      <c r="T286" s="6" t="n">
        <f aca="false">I286</f>
        <v>0</v>
      </c>
      <c r="U286" s="6" t="n">
        <f aca="false">L286</f>
        <v>0</v>
      </c>
      <c r="W286" s="6" t="n">
        <f aca="false">D286</f>
        <v>3.126</v>
      </c>
      <c r="X286" s="6" t="n">
        <f aca="false">E286</f>
        <v>0</v>
      </c>
      <c r="Y286" s="6" t="n">
        <f aca="false">F286</f>
        <v>0</v>
      </c>
      <c r="Z286" s="6" t="n">
        <f aca="false">L286</f>
        <v>0</v>
      </c>
      <c r="AA286" s="6" t="n">
        <f aca="false">G286</f>
        <v>0</v>
      </c>
      <c r="AC286" s="6" t="n">
        <f aca="false">D286</f>
        <v>3.126</v>
      </c>
      <c r="AD286" s="6" t="n">
        <f aca="false">E286</f>
        <v>0</v>
      </c>
      <c r="AE286" s="6" t="n">
        <f aca="false">G286</f>
        <v>0</v>
      </c>
      <c r="AF286" s="6" t="n">
        <f aca="false">H286</f>
        <v>1</v>
      </c>
      <c r="AG286" s="6" t="n">
        <f aca="false">I286</f>
        <v>0</v>
      </c>
      <c r="AH286" s="6" t="n">
        <f aca="false">L286</f>
        <v>0</v>
      </c>
    </row>
    <row r="287" customFormat="false" ht="15" hidden="false" customHeight="false" outlineLevel="0" collapsed="false">
      <c r="A287" s="0" t="str">
        <f aca="false">'Raw Data'!C287</f>
        <v>Tysons</v>
      </c>
      <c r="B287" s="5" t="n">
        <f aca="false">'Raw Data'!A287</f>
        <v>40372</v>
      </c>
      <c r="C287" s="6" t="n">
        <f aca="false">'Raw Data'!D287</f>
        <v>320.610717305056</v>
      </c>
      <c r="D287" s="6" t="n">
        <f aca="false">'Raw Data'!E287</f>
        <v>3.531818182</v>
      </c>
      <c r="E287" s="6" t="n">
        <f aca="false">'Raw Data'!F287</f>
        <v>0</v>
      </c>
      <c r="F287" s="6" t="n">
        <f aca="false">'Raw Data'!G287</f>
        <v>0</v>
      </c>
      <c r="G287" s="6" t="n">
        <f aca="false">'Raw Data'!H287</f>
        <v>0</v>
      </c>
      <c r="H287" s="6" t="n">
        <f aca="false">'Raw Data'!I287</f>
        <v>0</v>
      </c>
      <c r="I287" s="6" t="n">
        <f aca="false">'Raw Data'!J287</f>
        <v>1</v>
      </c>
      <c r="J287" s="6" t="n">
        <f aca="false">'Raw Data'!K287</f>
        <v>0</v>
      </c>
      <c r="K287" s="6" t="n">
        <f aca="false">'Raw Data'!L287</f>
        <v>5</v>
      </c>
      <c r="L287" s="6" t="n">
        <f aca="false">F287*E287</f>
        <v>0</v>
      </c>
      <c r="N287" s="0" t="n">
        <v>1</v>
      </c>
      <c r="O287" s="6" t="n">
        <f aca="false">D287</f>
        <v>3.531818182</v>
      </c>
      <c r="P287" s="6" t="n">
        <f aca="false">E287</f>
        <v>0</v>
      </c>
      <c r="Q287" s="6" t="n">
        <f aca="false">F287</f>
        <v>0</v>
      </c>
      <c r="R287" s="6" t="n">
        <f aca="false">G287</f>
        <v>0</v>
      </c>
      <c r="S287" s="6" t="n">
        <f aca="false">H287</f>
        <v>0</v>
      </c>
      <c r="T287" s="6" t="n">
        <f aca="false">I287</f>
        <v>1</v>
      </c>
      <c r="U287" s="6" t="n">
        <f aca="false">L287</f>
        <v>0</v>
      </c>
      <c r="W287" s="6" t="n">
        <f aca="false">D287</f>
        <v>3.531818182</v>
      </c>
      <c r="X287" s="6" t="n">
        <f aca="false">E287</f>
        <v>0</v>
      </c>
      <c r="Y287" s="6" t="n">
        <f aca="false">F287</f>
        <v>0</v>
      </c>
      <c r="Z287" s="6" t="n">
        <f aca="false">L287</f>
        <v>0</v>
      </c>
      <c r="AA287" s="6" t="n">
        <f aca="false">G287</f>
        <v>0</v>
      </c>
      <c r="AC287" s="6" t="n">
        <f aca="false">D287</f>
        <v>3.531818182</v>
      </c>
      <c r="AD287" s="6" t="n">
        <f aca="false">E287</f>
        <v>0</v>
      </c>
      <c r="AE287" s="6" t="n">
        <f aca="false">G287</f>
        <v>0</v>
      </c>
      <c r="AF287" s="6" t="n">
        <f aca="false">H287</f>
        <v>0</v>
      </c>
      <c r="AG287" s="6" t="n">
        <f aca="false">I287</f>
        <v>1</v>
      </c>
      <c r="AH287" s="6" t="n">
        <f aca="false">L287</f>
        <v>0</v>
      </c>
    </row>
    <row r="288" customFormat="false" ht="15" hidden="false" customHeight="false" outlineLevel="0" collapsed="false">
      <c r="A288" s="0" t="str">
        <f aca="false">'Raw Data'!C288</f>
        <v>Vienna</v>
      </c>
      <c r="B288" s="5" t="n">
        <f aca="false">'Raw Data'!A288</f>
        <v>40302</v>
      </c>
      <c r="C288" s="6" t="n">
        <f aca="false">'Raw Data'!D288</f>
        <v>204.412954992808</v>
      </c>
      <c r="D288" s="6" t="n">
        <f aca="false">'Raw Data'!E288</f>
        <v>3.565</v>
      </c>
      <c r="E288" s="6" t="n">
        <f aca="false">'Raw Data'!F288</f>
        <v>0</v>
      </c>
      <c r="F288" s="6" t="n">
        <f aca="false">'Raw Data'!G288</f>
        <v>0</v>
      </c>
      <c r="G288" s="6" t="n">
        <f aca="false">'Raw Data'!H288</f>
        <v>0</v>
      </c>
      <c r="H288" s="6" t="n">
        <f aca="false">'Raw Data'!I288</f>
        <v>0</v>
      </c>
      <c r="I288" s="6" t="n">
        <f aca="false">'Raw Data'!J288</f>
        <v>0</v>
      </c>
      <c r="J288" s="6" t="n">
        <f aca="false">'Raw Data'!K288</f>
        <v>1</v>
      </c>
      <c r="K288" s="6" t="n">
        <f aca="false">'Raw Data'!L288</f>
        <v>4</v>
      </c>
      <c r="L288" s="6" t="n">
        <f aca="false">F288*E288</f>
        <v>0</v>
      </c>
      <c r="N288" s="0" t="n">
        <v>1</v>
      </c>
      <c r="O288" s="6" t="n">
        <f aca="false">D288</f>
        <v>3.565</v>
      </c>
      <c r="P288" s="6" t="n">
        <f aca="false">E288</f>
        <v>0</v>
      </c>
      <c r="Q288" s="6" t="n">
        <f aca="false">F288</f>
        <v>0</v>
      </c>
      <c r="R288" s="6" t="n">
        <f aca="false">G288</f>
        <v>0</v>
      </c>
      <c r="S288" s="6" t="n">
        <f aca="false">H288</f>
        <v>0</v>
      </c>
      <c r="T288" s="6" t="n">
        <f aca="false">I288</f>
        <v>0</v>
      </c>
      <c r="U288" s="6" t="n">
        <f aca="false">L288</f>
        <v>0</v>
      </c>
      <c r="W288" s="6" t="n">
        <f aca="false">D288</f>
        <v>3.565</v>
      </c>
      <c r="X288" s="6" t="n">
        <f aca="false">E288</f>
        <v>0</v>
      </c>
      <c r="Y288" s="6" t="n">
        <f aca="false">F288</f>
        <v>0</v>
      </c>
      <c r="Z288" s="6" t="n">
        <f aca="false">L288</f>
        <v>0</v>
      </c>
      <c r="AA288" s="6" t="n">
        <f aca="false">G288</f>
        <v>0</v>
      </c>
      <c r="AC288" s="6" t="n">
        <f aca="false">D288</f>
        <v>3.565</v>
      </c>
      <c r="AD288" s="6" t="n">
        <f aca="false">E288</f>
        <v>0</v>
      </c>
      <c r="AE288" s="6" t="n">
        <f aca="false">G288</f>
        <v>0</v>
      </c>
      <c r="AF288" s="6" t="n">
        <f aca="false">H288</f>
        <v>0</v>
      </c>
      <c r="AG288" s="6" t="n">
        <f aca="false">I288</f>
        <v>0</v>
      </c>
      <c r="AH288" s="6" t="n">
        <f aca="false">L288</f>
        <v>0</v>
      </c>
    </row>
    <row r="289" customFormat="false" ht="15" hidden="false" customHeight="false" outlineLevel="0" collapsed="false">
      <c r="A289" s="0" t="str">
        <f aca="false">'Raw Data'!C289</f>
        <v>Vienna</v>
      </c>
      <c r="B289" s="5" t="n">
        <f aca="false">'Raw Data'!A289</f>
        <v>40309</v>
      </c>
      <c r="C289" s="6" t="n">
        <f aca="false">'Raw Data'!D289</f>
        <v>177.702814251844</v>
      </c>
      <c r="D289" s="6" t="n">
        <f aca="false">'Raw Data'!E289</f>
        <v>3.54</v>
      </c>
      <c r="E289" s="6" t="n">
        <f aca="false">'Raw Data'!F289</f>
        <v>0</v>
      </c>
      <c r="F289" s="6" t="n">
        <f aca="false">'Raw Data'!G289</f>
        <v>0</v>
      </c>
      <c r="G289" s="6" t="n">
        <f aca="false">'Raw Data'!H289</f>
        <v>0</v>
      </c>
      <c r="H289" s="6" t="n">
        <f aca="false">'Raw Data'!I289</f>
        <v>0</v>
      </c>
      <c r="I289" s="6" t="n">
        <f aca="false">'Raw Data'!J289</f>
        <v>0</v>
      </c>
      <c r="J289" s="6" t="n">
        <f aca="false">'Raw Data'!K289</f>
        <v>1</v>
      </c>
      <c r="K289" s="6" t="n">
        <f aca="false">'Raw Data'!L289</f>
        <v>4</v>
      </c>
      <c r="L289" s="6" t="n">
        <f aca="false">F289*E289</f>
        <v>0</v>
      </c>
      <c r="N289" s="0" t="n">
        <v>1</v>
      </c>
      <c r="O289" s="6" t="n">
        <f aca="false">D289</f>
        <v>3.54</v>
      </c>
      <c r="P289" s="6" t="n">
        <f aca="false">E289</f>
        <v>0</v>
      </c>
      <c r="Q289" s="6" t="n">
        <f aca="false">F289</f>
        <v>0</v>
      </c>
      <c r="R289" s="6" t="n">
        <f aca="false">G289</f>
        <v>0</v>
      </c>
      <c r="S289" s="6" t="n">
        <f aca="false">H289</f>
        <v>0</v>
      </c>
      <c r="T289" s="6" t="n">
        <f aca="false">I289</f>
        <v>0</v>
      </c>
      <c r="U289" s="6" t="n">
        <f aca="false">L289</f>
        <v>0</v>
      </c>
      <c r="W289" s="6" t="n">
        <f aca="false">D289</f>
        <v>3.54</v>
      </c>
      <c r="X289" s="6" t="n">
        <f aca="false">E289</f>
        <v>0</v>
      </c>
      <c r="Y289" s="6" t="n">
        <f aca="false">F289</f>
        <v>0</v>
      </c>
      <c r="Z289" s="6" t="n">
        <f aca="false">L289</f>
        <v>0</v>
      </c>
      <c r="AA289" s="6" t="n">
        <f aca="false">G289</f>
        <v>0</v>
      </c>
      <c r="AC289" s="6" t="n">
        <f aca="false">D289</f>
        <v>3.54</v>
      </c>
      <c r="AD289" s="6" t="n">
        <f aca="false">E289</f>
        <v>0</v>
      </c>
      <c r="AE289" s="6" t="n">
        <f aca="false">G289</f>
        <v>0</v>
      </c>
      <c r="AF289" s="6" t="n">
        <f aca="false">H289</f>
        <v>0</v>
      </c>
      <c r="AG289" s="6" t="n">
        <f aca="false">I289</f>
        <v>0</v>
      </c>
      <c r="AH289" s="6" t="n">
        <f aca="false">L289</f>
        <v>0</v>
      </c>
    </row>
    <row r="290" customFormat="false" ht="15" hidden="false" customHeight="false" outlineLevel="0" collapsed="false">
      <c r="A290" s="0" t="str">
        <f aca="false">'Raw Data'!C290</f>
        <v>Vienna</v>
      </c>
      <c r="B290" s="5" t="n">
        <f aca="false">'Raw Data'!A290</f>
        <v>40316</v>
      </c>
      <c r="C290" s="6" t="n">
        <f aca="false">'Raw Data'!D290</f>
        <v>98.09849847751</v>
      </c>
      <c r="D290" s="6" t="n">
        <f aca="false">'Raw Data'!E290</f>
        <v>3.34</v>
      </c>
      <c r="E290" s="6" t="n">
        <f aca="false">'Raw Data'!F290</f>
        <v>0</v>
      </c>
      <c r="F290" s="6" t="n">
        <f aca="false">'Raw Data'!G290</f>
        <v>0</v>
      </c>
      <c r="G290" s="6" t="n">
        <f aca="false">'Raw Data'!H290</f>
        <v>0</v>
      </c>
      <c r="H290" s="6" t="n">
        <f aca="false">'Raw Data'!I290</f>
        <v>0</v>
      </c>
      <c r="I290" s="6" t="n">
        <f aca="false">'Raw Data'!J290</f>
        <v>0</v>
      </c>
      <c r="J290" s="6" t="n">
        <f aca="false">'Raw Data'!K290</f>
        <v>1</v>
      </c>
      <c r="K290" s="6" t="n">
        <f aca="false">'Raw Data'!L290</f>
        <v>4</v>
      </c>
      <c r="L290" s="6" t="n">
        <f aca="false">F290*E290</f>
        <v>0</v>
      </c>
      <c r="N290" s="0" t="n">
        <v>1</v>
      </c>
      <c r="O290" s="6" t="n">
        <f aca="false">D290</f>
        <v>3.34</v>
      </c>
      <c r="P290" s="6" t="n">
        <f aca="false">E290</f>
        <v>0</v>
      </c>
      <c r="Q290" s="6" t="n">
        <f aca="false">F290</f>
        <v>0</v>
      </c>
      <c r="R290" s="6" t="n">
        <f aca="false">G290</f>
        <v>0</v>
      </c>
      <c r="S290" s="6" t="n">
        <f aca="false">H290</f>
        <v>0</v>
      </c>
      <c r="T290" s="6" t="n">
        <f aca="false">I290</f>
        <v>0</v>
      </c>
      <c r="U290" s="6" t="n">
        <f aca="false">L290</f>
        <v>0</v>
      </c>
      <c r="W290" s="6" t="n">
        <f aca="false">D290</f>
        <v>3.34</v>
      </c>
      <c r="X290" s="6" t="n">
        <f aca="false">E290</f>
        <v>0</v>
      </c>
      <c r="Y290" s="6" t="n">
        <f aca="false">F290</f>
        <v>0</v>
      </c>
      <c r="Z290" s="6" t="n">
        <f aca="false">L290</f>
        <v>0</v>
      </c>
      <c r="AA290" s="6" t="n">
        <f aca="false">G290</f>
        <v>0</v>
      </c>
      <c r="AC290" s="6" t="n">
        <f aca="false">D290</f>
        <v>3.34</v>
      </c>
      <c r="AD290" s="6" t="n">
        <f aca="false">E290</f>
        <v>0</v>
      </c>
      <c r="AE290" s="6" t="n">
        <f aca="false">G290</f>
        <v>0</v>
      </c>
      <c r="AF290" s="6" t="n">
        <f aca="false">H290</f>
        <v>0</v>
      </c>
      <c r="AG290" s="6" t="n">
        <f aca="false">I290</f>
        <v>0</v>
      </c>
      <c r="AH290" s="6" t="n">
        <f aca="false">L290</f>
        <v>0</v>
      </c>
    </row>
    <row r="291" customFormat="false" ht="15" hidden="false" customHeight="false" outlineLevel="0" collapsed="false">
      <c r="A291" s="0" t="str">
        <f aca="false">'Raw Data'!C291</f>
        <v>Vienna</v>
      </c>
      <c r="B291" s="5" t="n">
        <f aca="false">'Raw Data'!A291</f>
        <v>40323</v>
      </c>
      <c r="C291" s="6" t="n">
        <f aca="false">'Raw Data'!D291</f>
        <v>177.761321473929</v>
      </c>
      <c r="D291" s="6" t="n">
        <f aca="false">'Raw Data'!E291</f>
        <v>3.412222222</v>
      </c>
      <c r="E291" s="6" t="n">
        <f aca="false">'Raw Data'!F291</f>
        <v>0</v>
      </c>
      <c r="F291" s="6" t="n">
        <f aca="false">'Raw Data'!G291</f>
        <v>0</v>
      </c>
      <c r="G291" s="6" t="n">
        <f aca="false">'Raw Data'!H291</f>
        <v>0</v>
      </c>
      <c r="H291" s="6" t="n">
        <f aca="false">'Raw Data'!I291</f>
        <v>0</v>
      </c>
      <c r="I291" s="6" t="n">
        <f aca="false">'Raw Data'!J291</f>
        <v>0</v>
      </c>
      <c r="J291" s="6" t="n">
        <f aca="false">'Raw Data'!K291</f>
        <v>1</v>
      </c>
      <c r="K291" s="6" t="n">
        <f aca="false">'Raw Data'!L291</f>
        <v>4</v>
      </c>
      <c r="L291" s="6" t="n">
        <f aca="false">F291*E291</f>
        <v>0</v>
      </c>
      <c r="N291" s="0" t="n">
        <v>1</v>
      </c>
      <c r="O291" s="6" t="n">
        <f aca="false">D291</f>
        <v>3.412222222</v>
      </c>
      <c r="P291" s="6" t="n">
        <f aca="false">E291</f>
        <v>0</v>
      </c>
      <c r="Q291" s="6" t="n">
        <f aca="false">F291</f>
        <v>0</v>
      </c>
      <c r="R291" s="6" t="n">
        <f aca="false">G291</f>
        <v>0</v>
      </c>
      <c r="S291" s="6" t="n">
        <f aca="false">H291</f>
        <v>0</v>
      </c>
      <c r="T291" s="6" t="n">
        <f aca="false">I291</f>
        <v>0</v>
      </c>
      <c r="U291" s="6" t="n">
        <f aca="false">L291</f>
        <v>0</v>
      </c>
      <c r="W291" s="6" t="n">
        <f aca="false">D291</f>
        <v>3.412222222</v>
      </c>
      <c r="X291" s="6" t="n">
        <f aca="false">E291</f>
        <v>0</v>
      </c>
      <c r="Y291" s="6" t="n">
        <f aca="false">F291</f>
        <v>0</v>
      </c>
      <c r="Z291" s="6" t="n">
        <f aca="false">L291</f>
        <v>0</v>
      </c>
      <c r="AA291" s="6" t="n">
        <f aca="false">G291</f>
        <v>0</v>
      </c>
      <c r="AC291" s="6" t="n">
        <f aca="false">D291</f>
        <v>3.412222222</v>
      </c>
      <c r="AD291" s="6" t="n">
        <f aca="false">E291</f>
        <v>0</v>
      </c>
      <c r="AE291" s="6" t="n">
        <f aca="false">G291</f>
        <v>0</v>
      </c>
      <c r="AF291" s="6" t="n">
        <f aca="false">H291</f>
        <v>0</v>
      </c>
      <c r="AG291" s="6" t="n">
        <f aca="false">I291</f>
        <v>0</v>
      </c>
      <c r="AH291" s="6" t="n">
        <f aca="false">L291</f>
        <v>0</v>
      </c>
    </row>
    <row r="292" customFormat="false" ht="15" hidden="false" customHeight="false" outlineLevel="0" collapsed="false">
      <c r="A292" s="0" t="str">
        <f aca="false">'Raw Data'!C292</f>
        <v>Vienna</v>
      </c>
      <c r="B292" s="5" t="n">
        <f aca="false">'Raw Data'!A292</f>
        <v>40330</v>
      </c>
      <c r="C292" s="6" t="n">
        <f aca="false">'Raw Data'!D292</f>
        <v>213.899093827148</v>
      </c>
      <c r="D292" s="6" t="n">
        <f aca="false">'Raw Data'!E292</f>
        <v>3.34</v>
      </c>
      <c r="E292" s="6" t="n">
        <f aca="false">'Raw Data'!F292</f>
        <v>0</v>
      </c>
      <c r="F292" s="6" t="n">
        <f aca="false">'Raw Data'!G292</f>
        <v>0</v>
      </c>
      <c r="G292" s="6" t="n">
        <f aca="false">'Raw Data'!H292</f>
        <v>0</v>
      </c>
      <c r="H292" s="6" t="n">
        <f aca="false">'Raw Data'!I292</f>
        <v>0</v>
      </c>
      <c r="I292" s="6" t="n">
        <f aca="false">'Raw Data'!J292</f>
        <v>0</v>
      </c>
      <c r="J292" s="6" t="n">
        <f aca="false">'Raw Data'!K292</f>
        <v>1</v>
      </c>
      <c r="K292" s="6" t="n">
        <f aca="false">'Raw Data'!L292</f>
        <v>4</v>
      </c>
      <c r="L292" s="6" t="n">
        <f aca="false">F292*E292</f>
        <v>0</v>
      </c>
      <c r="N292" s="0" t="n">
        <v>1</v>
      </c>
      <c r="O292" s="6" t="n">
        <f aca="false">D292</f>
        <v>3.34</v>
      </c>
      <c r="P292" s="6" t="n">
        <f aca="false">E292</f>
        <v>0</v>
      </c>
      <c r="Q292" s="6" t="n">
        <f aca="false">F292</f>
        <v>0</v>
      </c>
      <c r="R292" s="6" t="n">
        <f aca="false">G292</f>
        <v>0</v>
      </c>
      <c r="S292" s="6" t="n">
        <f aca="false">H292</f>
        <v>0</v>
      </c>
      <c r="T292" s="6" t="n">
        <f aca="false">I292</f>
        <v>0</v>
      </c>
      <c r="U292" s="6" t="n">
        <f aca="false">L292</f>
        <v>0</v>
      </c>
      <c r="W292" s="6" t="n">
        <f aca="false">D292</f>
        <v>3.34</v>
      </c>
      <c r="X292" s="6" t="n">
        <f aca="false">E292</f>
        <v>0</v>
      </c>
      <c r="Y292" s="6" t="n">
        <f aca="false">F292</f>
        <v>0</v>
      </c>
      <c r="Z292" s="6" t="n">
        <f aca="false">L292</f>
        <v>0</v>
      </c>
      <c r="AA292" s="6" t="n">
        <f aca="false">G292</f>
        <v>0</v>
      </c>
      <c r="AC292" s="6" t="n">
        <f aca="false">D292</f>
        <v>3.34</v>
      </c>
      <c r="AD292" s="6" t="n">
        <f aca="false">E292</f>
        <v>0</v>
      </c>
      <c r="AE292" s="6" t="n">
        <f aca="false">G292</f>
        <v>0</v>
      </c>
      <c r="AF292" s="6" t="n">
        <f aca="false">H292</f>
        <v>0</v>
      </c>
      <c r="AG292" s="6" t="n">
        <f aca="false">I292</f>
        <v>0</v>
      </c>
      <c r="AH292" s="6" t="n">
        <f aca="false">L292</f>
        <v>0</v>
      </c>
    </row>
    <row r="293" customFormat="false" ht="15" hidden="false" customHeight="false" outlineLevel="0" collapsed="false">
      <c r="A293" s="0" t="str">
        <f aca="false">'Raw Data'!C293</f>
        <v>Vienna</v>
      </c>
      <c r="B293" s="5" t="n">
        <f aca="false">'Raw Data'!A293</f>
        <v>40337</v>
      </c>
      <c r="C293" s="6" t="n">
        <f aca="false">'Raw Data'!D293</f>
        <v>193.923991959983</v>
      </c>
      <c r="D293" s="6" t="n">
        <f aca="false">'Raw Data'!E293</f>
        <v>3.634444444</v>
      </c>
      <c r="E293" s="6" t="n">
        <f aca="false">'Raw Data'!F293</f>
        <v>0</v>
      </c>
      <c r="F293" s="6" t="n">
        <f aca="false">'Raw Data'!G293</f>
        <v>0</v>
      </c>
      <c r="G293" s="6" t="n">
        <f aca="false">'Raw Data'!H293</f>
        <v>0</v>
      </c>
      <c r="H293" s="6" t="n">
        <f aca="false">'Raw Data'!I293</f>
        <v>0</v>
      </c>
      <c r="I293" s="6" t="n">
        <f aca="false">'Raw Data'!J293</f>
        <v>0</v>
      </c>
      <c r="J293" s="6" t="n">
        <f aca="false">'Raw Data'!K293</f>
        <v>1</v>
      </c>
      <c r="K293" s="6" t="n">
        <f aca="false">'Raw Data'!L293</f>
        <v>4</v>
      </c>
      <c r="L293" s="6" t="n">
        <f aca="false">F293*E293</f>
        <v>0</v>
      </c>
      <c r="N293" s="0" t="n">
        <v>1</v>
      </c>
      <c r="O293" s="6" t="n">
        <f aca="false">D293</f>
        <v>3.634444444</v>
      </c>
      <c r="P293" s="6" t="n">
        <f aca="false">E293</f>
        <v>0</v>
      </c>
      <c r="Q293" s="6" t="n">
        <f aca="false">F293</f>
        <v>0</v>
      </c>
      <c r="R293" s="6" t="n">
        <f aca="false">G293</f>
        <v>0</v>
      </c>
      <c r="S293" s="6" t="n">
        <f aca="false">H293</f>
        <v>0</v>
      </c>
      <c r="T293" s="6" t="n">
        <f aca="false">I293</f>
        <v>0</v>
      </c>
      <c r="U293" s="6" t="n">
        <f aca="false">L293</f>
        <v>0</v>
      </c>
      <c r="W293" s="6" t="n">
        <f aca="false">D293</f>
        <v>3.634444444</v>
      </c>
      <c r="X293" s="6" t="n">
        <f aca="false">E293</f>
        <v>0</v>
      </c>
      <c r="Y293" s="6" t="n">
        <f aca="false">F293</f>
        <v>0</v>
      </c>
      <c r="Z293" s="6" t="n">
        <f aca="false">L293</f>
        <v>0</v>
      </c>
      <c r="AA293" s="6" t="n">
        <f aca="false">G293</f>
        <v>0</v>
      </c>
      <c r="AC293" s="6" t="n">
        <f aca="false">D293</f>
        <v>3.634444444</v>
      </c>
      <c r="AD293" s="6" t="n">
        <f aca="false">E293</f>
        <v>0</v>
      </c>
      <c r="AE293" s="6" t="n">
        <f aca="false">G293</f>
        <v>0</v>
      </c>
      <c r="AF293" s="6" t="n">
        <f aca="false">H293</f>
        <v>0</v>
      </c>
      <c r="AG293" s="6" t="n">
        <f aca="false">I293</f>
        <v>0</v>
      </c>
      <c r="AH293" s="6" t="n">
        <f aca="false">L293</f>
        <v>0</v>
      </c>
    </row>
    <row r="294" customFormat="false" ht="15" hidden="false" customHeight="false" outlineLevel="0" collapsed="false">
      <c r="A294" s="0" t="str">
        <f aca="false">'Raw Data'!C294</f>
        <v>Vienna</v>
      </c>
      <c r="B294" s="5" t="n">
        <f aca="false">'Raw Data'!A294</f>
        <v>40344</v>
      </c>
      <c r="C294" s="6" t="n">
        <f aca="false">'Raw Data'!D294</f>
        <v>201.352678095251</v>
      </c>
      <c r="D294" s="6" t="n">
        <f aca="false">'Raw Data'!E294</f>
        <v>3.475714286</v>
      </c>
      <c r="E294" s="6" t="n">
        <f aca="false">'Raw Data'!F294</f>
        <v>0</v>
      </c>
      <c r="F294" s="6" t="n">
        <f aca="false">'Raw Data'!G294</f>
        <v>0</v>
      </c>
      <c r="G294" s="6" t="n">
        <f aca="false">'Raw Data'!H294</f>
        <v>0</v>
      </c>
      <c r="H294" s="6" t="n">
        <f aca="false">'Raw Data'!I294</f>
        <v>0</v>
      </c>
      <c r="I294" s="6" t="n">
        <f aca="false">'Raw Data'!J294</f>
        <v>0</v>
      </c>
      <c r="J294" s="6" t="n">
        <f aca="false">'Raw Data'!K294</f>
        <v>1</v>
      </c>
      <c r="K294" s="6" t="n">
        <f aca="false">'Raw Data'!L294</f>
        <v>4</v>
      </c>
      <c r="L294" s="6" t="n">
        <f aca="false">F294*E294</f>
        <v>0</v>
      </c>
      <c r="N294" s="0" t="n">
        <v>1</v>
      </c>
      <c r="O294" s="6" t="n">
        <f aca="false">D294</f>
        <v>3.475714286</v>
      </c>
      <c r="P294" s="6" t="n">
        <f aca="false">E294</f>
        <v>0</v>
      </c>
      <c r="Q294" s="6" t="n">
        <f aca="false">F294</f>
        <v>0</v>
      </c>
      <c r="R294" s="6" t="n">
        <f aca="false">G294</f>
        <v>0</v>
      </c>
      <c r="S294" s="6" t="n">
        <f aca="false">H294</f>
        <v>0</v>
      </c>
      <c r="T294" s="6" t="n">
        <f aca="false">I294</f>
        <v>0</v>
      </c>
      <c r="U294" s="6" t="n">
        <f aca="false">L294</f>
        <v>0</v>
      </c>
      <c r="W294" s="6" t="n">
        <f aca="false">D294</f>
        <v>3.475714286</v>
      </c>
      <c r="X294" s="6" t="n">
        <f aca="false">E294</f>
        <v>0</v>
      </c>
      <c r="Y294" s="6" t="n">
        <f aca="false">F294</f>
        <v>0</v>
      </c>
      <c r="Z294" s="6" t="n">
        <f aca="false">L294</f>
        <v>0</v>
      </c>
      <c r="AA294" s="6" t="n">
        <f aca="false">G294</f>
        <v>0</v>
      </c>
      <c r="AC294" s="6" t="n">
        <f aca="false">D294</f>
        <v>3.475714286</v>
      </c>
      <c r="AD294" s="6" t="n">
        <f aca="false">E294</f>
        <v>0</v>
      </c>
      <c r="AE294" s="6" t="n">
        <f aca="false">G294</f>
        <v>0</v>
      </c>
      <c r="AF294" s="6" t="n">
        <f aca="false">H294</f>
        <v>0</v>
      </c>
      <c r="AG294" s="6" t="n">
        <f aca="false">I294</f>
        <v>0</v>
      </c>
      <c r="AH294" s="6" t="n">
        <f aca="false">L294</f>
        <v>0</v>
      </c>
    </row>
    <row r="295" customFormat="false" ht="15" hidden="false" customHeight="false" outlineLevel="0" collapsed="false">
      <c r="A295" s="0" t="str">
        <f aca="false">'Raw Data'!C295</f>
        <v>Vienna</v>
      </c>
      <c r="B295" s="5" t="n">
        <f aca="false">'Raw Data'!A295</f>
        <v>40351</v>
      </c>
      <c r="C295" s="6" t="n">
        <f aca="false">'Raw Data'!D295</f>
        <v>195.151343697969</v>
      </c>
      <c r="D295" s="6" t="n">
        <f aca="false">'Raw Data'!E295</f>
        <v>3.54</v>
      </c>
      <c r="E295" s="6" t="n">
        <f aca="false">'Raw Data'!F295</f>
        <v>0</v>
      </c>
      <c r="F295" s="6" t="n">
        <f aca="false">'Raw Data'!G295</f>
        <v>0</v>
      </c>
      <c r="G295" s="6" t="n">
        <f aca="false">'Raw Data'!H295</f>
        <v>0</v>
      </c>
      <c r="H295" s="6" t="n">
        <f aca="false">'Raw Data'!I295</f>
        <v>0</v>
      </c>
      <c r="I295" s="6" t="n">
        <f aca="false">'Raw Data'!J295</f>
        <v>0</v>
      </c>
      <c r="J295" s="6" t="n">
        <f aca="false">'Raw Data'!K295</f>
        <v>1</v>
      </c>
      <c r="K295" s="6" t="n">
        <f aca="false">'Raw Data'!L295</f>
        <v>4</v>
      </c>
      <c r="L295" s="6" t="n">
        <f aca="false">F295*E295</f>
        <v>0</v>
      </c>
      <c r="N295" s="0" t="n">
        <v>1</v>
      </c>
      <c r="O295" s="6" t="n">
        <f aca="false">D295</f>
        <v>3.54</v>
      </c>
      <c r="P295" s="6" t="n">
        <f aca="false">E295</f>
        <v>0</v>
      </c>
      <c r="Q295" s="6" t="n">
        <f aca="false">F295</f>
        <v>0</v>
      </c>
      <c r="R295" s="6" t="n">
        <f aca="false">G295</f>
        <v>0</v>
      </c>
      <c r="S295" s="6" t="n">
        <f aca="false">H295</f>
        <v>0</v>
      </c>
      <c r="T295" s="6" t="n">
        <f aca="false">I295</f>
        <v>0</v>
      </c>
      <c r="U295" s="6" t="n">
        <f aca="false">L295</f>
        <v>0</v>
      </c>
      <c r="W295" s="6" t="n">
        <f aca="false">D295</f>
        <v>3.54</v>
      </c>
      <c r="X295" s="6" t="n">
        <f aca="false">E295</f>
        <v>0</v>
      </c>
      <c r="Y295" s="6" t="n">
        <f aca="false">F295</f>
        <v>0</v>
      </c>
      <c r="Z295" s="6" t="n">
        <f aca="false">L295</f>
        <v>0</v>
      </c>
      <c r="AA295" s="6" t="n">
        <f aca="false">G295</f>
        <v>0</v>
      </c>
      <c r="AC295" s="6" t="n">
        <f aca="false">D295</f>
        <v>3.54</v>
      </c>
      <c r="AD295" s="6" t="n">
        <f aca="false">E295</f>
        <v>0</v>
      </c>
      <c r="AE295" s="6" t="n">
        <f aca="false">G295</f>
        <v>0</v>
      </c>
      <c r="AF295" s="6" t="n">
        <f aca="false">H295</f>
        <v>0</v>
      </c>
      <c r="AG295" s="6" t="n">
        <f aca="false">I295</f>
        <v>0</v>
      </c>
      <c r="AH295" s="6" t="n">
        <f aca="false">L295</f>
        <v>0</v>
      </c>
    </row>
    <row r="296" customFormat="false" ht="15" hidden="false" customHeight="false" outlineLevel="0" collapsed="false">
      <c r="A296" s="0" t="str">
        <f aca="false">'Raw Data'!C296</f>
        <v>Vienna</v>
      </c>
      <c r="B296" s="5" t="n">
        <f aca="false">'Raw Data'!A296</f>
        <v>40358</v>
      </c>
      <c r="C296" s="6" t="n">
        <f aca="false">'Raw Data'!D296</f>
        <v>177.590467644322</v>
      </c>
      <c r="D296" s="6" t="n">
        <f aca="false">'Raw Data'!E296</f>
        <v>3.54</v>
      </c>
      <c r="E296" s="6" t="n">
        <f aca="false">'Raw Data'!F296</f>
        <v>0</v>
      </c>
      <c r="F296" s="6" t="n">
        <f aca="false">'Raw Data'!G296</f>
        <v>0</v>
      </c>
      <c r="G296" s="6" t="n">
        <f aca="false">'Raw Data'!H296</f>
        <v>0</v>
      </c>
      <c r="H296" s="6" t="n">
        <f aca="false">'Raw Data'!I296</f>
        <v>0</v>
      </c>
      <c r="I296" s="6" t="n">
        <f aca="false">'Raw Data'!J296</f>
        <v>0</v>
      </c>
      <c r="J296" s="6" t="n">
        <f aca="false">'Raw Data'!K296</f>
        <v>1</v>
      </c>
      <c r="K296" s="6" t="n">
        <f aca="false">'Raw Data'!L296</f>
        <v>4</v>
      </c>
      <c r="L296" s="6" t="n">
        <f aca="false">F296*E296</f>
        <v>0</v>
      </c>
      <c r="N296" s="0" t="n">
        <v>1</v>
      </c>
      <c r="O296" s="6" t="n">
        <f aca="false">D296</f>
        <v>3.54</v>
      </c>
      <c r="P296" s="6" t="n">
        <f aca="false">E296</f>
        <v>0</v>
      </c>
      <c r="Q296" s="6" t="n">
        <f aca="false">F296</f>
        <v>0</v>
      </c>
      <c r="R296" s="6" t="n">
        <f aca="false">G296</f>
        <v>0</v>
      </c>
      <c r="S296" s="6" t="n">
        <f aca="false">H296</f>
        <v>0</v>
      </c>
      <c r="T296" s="6" t="n">
        <f aca="false">I296</f>
        <v>0</v>
      </c>
      <c r="U296" s="6" t="n">
        <f aca="false">L296</f>
        <v>0</v>
      </c>
      <c r="W296" s="6" t="n">
        <f aca="false">D296</f>
        <v>3.54</v>
      </c>
      <c r="X296" s="6" t="n">
        <f aca="false">E296</f>
        <v>0</v>
      </c>
      <c r="Y296" s="6" t="n">
        <f aca="false">F296</f>
        <v>0</v>
      </c>
      <c r="Z296" s="6" t="n">
        <f aca="false">L296</f>
        <v>0</v>
      </c>
      <c r="AA296" s="6" t="n">
        <f aca="false">G296</f>
        <v>0</v>
      </c>
      <c r="AC296" s="6" t="n">
        <f aca="false">D296</f>
        <v>3.54</v>
      </c>
      <c r="AD296" s="6" t="n">
        <f aca="false">E296</f>
        <v>0</v>
      </c>
      <c r="AE296" s="6" t="n">
        <f aca="false">G296</f>
        <v>0</v>
      </c>
      <c r="AF296" s="6" t="n">
        <f aca="false">H296</f>
        <v>0</v>
      </c>
      <c r="AG296" s="6" t="n">
        <f aca="false">I296</f>
        <v>0</v>
      </c>
      <c r="AH296" s="6" t="n">
        <f aca="false">L296</f>
        <v>0</v>
      </c>
    </row>
    <row r="297" customFormat="false" ht="15" hidden="false" customHeight="false" outlineLevel="0" collapsed="false">
      <c r="A297" s="0" t="str">
        <f aca="false">'Raw Data'!C297</f>
        <v>Vienna</v>
      </c>
      <c r="B297" s="5" t="n">
        <f aca="false">'Raw Data'!A297</f>
        <v>40365</v>
      </c>
      <c r="C297" s="6" t="n">
        <f aca="false">'Raw Data'!D297</f>
        <v>173.673829680262</v>
      </c>
      <c r="D297" s="6" t="n">
        <f aca="false">'Raw Data'!E297</f>
        <v>3.126</v>
      </c>
      <c r="E297" s="6" t="n">
        <f aca="false">'Raw Data'!F297</f>
        <v>0</v>
      </c>
      <c r="F297" s="6" t="n">
        <f aca="false">'Raw Data'!G297</f>
        <v>0</v>
      </c>
      <c r="G297" s="6" t="n">
        <f aca="false">'Raw Data'!H297</f>
        <v>0</v>
      </c>
      <c r="H297" s="6" t="n">
        <f aca="false">'Raw Data'!I297</f>
        <v>0</v>
      </c>
      <c r="I297" s="6" t="n">
        <f aca="false">'Raw Data'!J297</f>
        <v>0</v>
      </c>
      <c r="J297" s="6" t="n">
        <f aca="false">'Raw Data'!K297</f>
        <v>1</v>
      </c>
      <c r="K297" s="6" t="n">
        <f aca="false">'Raw Data'!L297</f>
        <v>4</v>
      </c>
      <c r="L297" s="6" t="n">
        <f aca="false">F297*E297</f>
        <v>0</v>
      </c>
      <c r="N297" s="0" t="n">
        <v>1</v>
      </c>
      <c r="O297" s="6" t="n">
        <f aca="false">D297</f>
        <v>3.126</v>
      </c>
      <c r="P297" s="6" t="n">
        <f aca="false">E297</f>
        <v>0</v>
      </c>
      <c r="Q297" s="6" t="n">
        <f aca="false">F297</f>
        <v>0</v>
      </c>
      <c r="R297" s="6" t="n">
        <f aca="false">G297</f>
        <v>0</v>
      </c>
      <c r="S297" s="6" t="n">
        <f aca="false">H297</f>
        <v>0</v>
      </c>
      <c r="T297" s="6" t="n">
        <f aca="false">I297</f>
        <v>0</v>
      </c>
      <c r="U297" s="6" t="n">
        <f aca="false">L297</f>
        <v>0</v>
      </c>
      <c r="W297" s="6" t="n">
        <f aca="false">D297</f>
        <v>3.126</v>
      </c>
      <c r="X297" s="6" t="n">
        <f aca="false">E297</f>
        <v>0</v>
      </c>
      <c r="Y297" s="6" t="n">
        <f aca="false">F297</f>
        <v>0</v>
      </c>
      <c r="Z297" s="6" t="n">
        <f aca="false">L297</f>
        <v>0</v>
      </c>
      <c r="AA297" s="6" t="n">
        <f aca="false">G297</f>
        <v>0</v>
      </c>
      <c r="AC297" s="6" t="n">
        <f aca="false">D297</f>
        <v>3.126</v>
      </c>
      <c r="AD297" s="6" t="n">
        <f aca="false">E297</f>
        <v>0</v>
      </c>
      <c r="AE297" s="6" t="n">
        <f aca="false">G297</f>
        <v>0</v>
      </c>
      <c r="AF297" s="6" t="n">
        <f aca="false">H297</f>
        <v>0</v>
      </c>
      <c r="AG297" s="6" t="n">
        <f aca="false">I297</f>
        <v>0</v>
      </c>
      <c r="AH297" s="6" t="n">
        <f aca="false">L297</f>
        <v>0</v>
      </c>
    </row>
    <row r="298" customFormat="false" ht="15" hidden="false" customHeight="false" outlineLevel="0" collapsed="false">
      <c r="A298" s="0" t="str">
        <f aca="false">'Raw Data'!C298</f>
        <v>Vienna</v>
      </c>
      <c r="B298" s="5" t="n">
        <f aca="false">'Raw Data'!A298</f>
        <v>40372</v>
      </c>
      <c r="C298" s="6" t="n">
        <f aca="false">'Raw Data'!D298</f>
        <v>158.119659112309</v>
      </c>
      <c r="D298" s="6" t="n">
        <f aca="false">'Raw Data'!E298</f>
        <v>3.4075</v>
      </c>
      <c r="E298" s="6" t="n">
        <f aca="false">'Raw Data'!F298</f>
        <v>0</v>
      </c>
      <c r="F298" s="6" t="n">
        <f aca="false">'Raw Data'!G298</f>
        <v>0</v>
      </c>
      <c r="G298" s="6" t="n">
        <f aca="false">'Raw Data'!H298</f>
        <v>0</v>
      </c>
      <c r="H298" s="6" t="n">
        <f aca="false">'Raw Data'!I298</f>
        <v>0</v>
      </c>
      <c r="I298" s="6" t="n">
        <f aca="false">'Raw Data'!J298</f>
        <v>0</v>
      </c>
      <c r="J298" s="6" t="n">
        <f aca="false">'Raw Data'!K298</f>
        <v>1</v>
      </c>
      <c r="K298" s="6" t="n">
        <f aca="false">'Raw Data'!L298</f>
        <v>4</v>
      </c>
      <c r="L298" s="6" t="n">
        <f aca="false">F298*E298</f>
        <v>0</v>
      </c>
      <c r="N298" s="0" t="n">
        <v>1</v>
      </c>
      <c r="O298" s="6" t="n">
        <f aca="false">D298</f>
        <v>3.4075</v>
      </c>
      <c r="P298" s="6" t="n">
        <f aca="false">E298</f>
        <v>0</v>
      </c>
      <c r="Q298" s="6" t="n">
        <f aca="false">F298</f>
        <v>0</v>
      </c>
      <c r="R298" s="6" t="n">
        <f aca="false">G298</f>
        <v>0</v>
      </c>
      <c r="S298" s="6" t="n">
        <f aca="false">H298</f>
        <v>0</v>
      </c>
      <c r="T298" s="6" t="n">
        <f aca="false">I298</f>
        <v>0</v>
      </c>
      <c r="U298" s="6" t="n">
        <f aca="false">L298</f>
        <v>0</v>
      </c>
      <c r="W298" s="6" t="n">
        <f aca="false">D298</f>
        <v>3.4075</v>
      </c>
      <c r="X298" s="6" t="n">
        <f aca="false">E298</f>
        <v>0</v>
      </c>
      <c r="Y298" s="6" t="n">
        <f aca="false">F298</f>
        <v>0</v>
      </c>
      <c r="Z298" s="6" t="n">
        <f aca="false">L298</f>
        <v>0</v>
      </c>
      <c r="AA298" s="6" t="n">
        <f aca="false">G298</f>
        <v>0</v>
      </c>
      <c r="AC298" s="6" t="n">
        <f aca="false">D298</f>
        <v>3.4075</v>
      </c>
      <c r="AD298" s="6" t="n">
        <f aca="false">E298</f>
        <v>0</v>
      </c>
      <c r="AE298" s="6" t="n">
        <f aca="false">G298</f>
        <v>0</v>
      </c>
      <c r="AF298" s="6" t="n">
        <f aca="false">H298</f>
        <v>0</v>
      </c>
      <c r="AG298" s="6" t="n">
        <f aca="false">I298</f>
        <v>0</v>
      </c>
      <c r="AH298" s="6" t="n">
        <f aca="false">L298</f>
        <v>0</v>
      </c>
    </row>
    <row r="299" customFormat="false" ht="15" hidden="false" customHeight="false" outlineLevel="0" collapsed="false">
      <c r="A299" s="0" t="str">
        <f aca="false">'Raw Data'!C299</f>
        <v>Ann Arbor</v>
      </c>
      <c r="B299" s="5" t="n">
        <f aca="false">'Raw Data'!A299</f>
        <v>40302</v>
      </c>
      <c r="C299" s="6" t="n">
        <f aca="false">'Raw Data'!D299</f>
        <v>171.02147572739</v>
      </c>
      <c r="D299" s="6" t="n">
        <f aca="false">'Raw Data'!E299</f>
        <v>4.19</v>
      </c>
      <c r="E299" s="6" t="n">
        <f aca="false">'Raw Data'!F299</f>
        <v>1</v>
      </c>
      <c r="F299" s="6" t="n">
        <f aca="false">'Raw Data'!G299</f>
        <v>0</v>
      </c>
      <c r="G299" s="6" t="n">
        <f aca="false">'Raw Data'!H299</f>
        <v>0</v>
      </c>
      <c r="H299" s="6" t="n">
        <f aca="false">'Raw Data'!I299</f>
        <v>0</v>
      </c>
      <c r="I299" s="6" t="n">
        <f aca="false">'Raw Data'!J299</f>
        <v>0</v>
      </c>
      <c r="J299" s="6" t="n">
        <f aca="false">'Raw Data'!K299</f>
        <v>2</v>
      </c>
      <c r="K299" s="6" t="n">
        <f aca="false">'Raw Data'!L299</f>
        <v>3</v>
      </c>
      <c r="L299" s="6" t="n">
        <f aca="false">F299*E299</f>
        <v>0</v>
      </c>
      <c r="N299" s="0" t="n">
        <v>1</v>
      </c>
      <c r="O299" s="6" t="n">
        <f aca="false">D299</f>
        <v>4.19</v>
      </c>
      <c r="P299" s="6" t="n">
        <f aca="false">E299</f>
        <v>1</v>
      </c>
      <c r="Q299" s="6" t="n">
        <f aca="false">F299</f>
        <v>0</v>
      </c>
      <c r="R299" s="6" t="n">
        <f aca="false">G299</f>
        <v>0</v>
      </c>
      <c r="S299" s="6" t="n">
        <f aca="false">H299</f>
        <v>0</v>
      </c>
      <c r="T299" s="6" t="n">
        <f aca="false">I299</f>
        <v>0</v>
      </c>
      <c r="U299" s="6" t="n">
        <f aca="false">L299</f>
        <v>0</v>
      </c>
      <c r="W299" s="6" t="n">
        <f aca="false">D299</f>
        <v>4.19</v>
      </c>
      <c r="X299" s="6" t="n">
        <f aca="false">E299</f>
        <v>1</v>
      </c>
      <c r="Y299" s="6" t="n">
        <f aca="false">F299</f>
        <v>0</v>
      </c>
      <c r="Z299" s="6" t="n">
        <f aca="false">L299</f>
        <v>0</v>
      </c>
      <c r="AA299" s="6" t="n">
        <f aca="false">G299</f>
        <v>0</v>
      </c>
      <c r="AC299" s="6" t="n">
        <f aca="false">D299</f>
        <v>4.19</v>
      </c>
      <c r="AD299" s="6" t="n">
        <f aca="false">E299</f>
        <v>1</v>
      </c>
      <c r="AE299" s="6" t="n">
        <f aca="false">G299</f>
        <v>0</v>
      </c>
      <c r="AF299" s="6" t="n">
        <f aca="false">H299</f>
        <v>0</v>
      </c>
      <c r="AG299" s="6" t="n">
        <f aca="false">I299</f>
        <v>0</v>
      </c>
      <c r="AH299" s="6" t="n">
        <f aca="false">L299</f>
        <v>0</v>
      </c>
    </row>
    <row r="300" customFormat="false" ht="15" hidden="false" customHeight="false" outlineLevel="0" collapsed="false">
      <c r="A300" s="0" t="str">
        <f aca="false">'Raw Data'!C300</f>
        <v>Ann Arbor</v>
      </c>
      <c r="B300" s="5" t="n">
        <f aca="false">'Raw Data'!A300</f>
        <v>40309</v>
      </c>
      <c r="C300" s="6" t="n">
        <f aca="false">'Raw Data'!D300</f>
        <v>213.92718229931</v>
      </c>
      <c r="D300" s="6" t="n">
        <f aca="false">'Raw Data'!E300</f>
        <v>4.69</v>
      </c>
      <c r="E300" s="6" t="n">
        <f aca="false">'Raw Data'!F300</f>
        <v>1</v>
      </c>
      <c r="F300" s="6" t="n">
        <f aca="false">'Raw Data'!G300</f>
        <v>0</v>
      </c>
      <c r="G300" s="6" t="n">
        <f aca="false">'Raw Data'!H300</f>
        <v>0</v>
      </c>
      <c r="H300" s="6" t="n">
        <f aca="false">'Raw Data'!I300</f>
        <v>0</v>
      </c>
      <c r="I300" s="6" t="n">
        <f aca="false">'Raw Data'!J300</f>
        <v>0</v>
      </c>
      <c r="J300" s="6" t="n">
        <f aca="false">'Raw Data'!K300</f>
        <v>2</v>
      </c>
      <c r="K300" s="6" t="n">
        <f aca="false">'Raw Data'!L300</f>
        <v>3</v>
      </c>
      <c r="L300" s="6" t="n">
        <f aca="false">F300*E300</f>
        <v>0</v>
      </c>
      <c r="N300" s="0" t="n">
        <v>1</v>
      </c>
      <c r="O300" s="6" t="n">
        <f aca="false">D300</f>
        <v>4.69</v>
      </c>
      <c r="P300" s="6" t="n">
        <f aca="false">E300</f>
        <v>1</v>
      </c>
      <c r="Q300" s="6" t="n">
        <f aca="false">F300</f>
        <v>0</v>
      </c>
      <c r="R300" s="6" t="n">
        <f aca="false">G300</f>
        <v>0</v>
      </c>
      <c r="S300" s="6" t="n">
        <f aca="false">H300</f>
        <v>0</v>
      </c>
      <c r="T300" s="6" t="n">
        <f aca="false">I300</f>
        <v>0</v>
      </c>
      <c r="U300" s="6" t="n">
        <f aca="false">L300</f>
        <v>0</v>
      </c>
      <c r="W300" s="6" t="n">
        <f aca="false">D300</f>
        <v>4.69</v>
      </c>
      <c r="X300" s="6" t="n">
        <f aca="false">E300</f>
        <v>1</v>
      </c>
      <c r="Y300" s="6" t="n">
        <f aca="false">F300</f>
        <v>0</v>
      </c>
      <c r="Z300" s="6" t="n">
        <f aca="false">L300</f>
        <v>0</v>
      </c>
      <c r="AA300" s="6" t="n">
        <f aca="false">G300</f>
        <v>0</v>
      </c>
      <c r="AC300" s="6" t="n">
        <f aca="false">D300</f>
        <v>4.69</v>
      </c>
      <c r="AD300" s="6" t="n">
        <f aca="false">E300</f>
        <v>1</v>
      </c>
      <c r="AE300" s="6" t="n">
        <f aca="false">G300</f>
        <v>0</v>
      </c>
      <c r="AF300" s="6" t="n">
        <f aca="false">H300</f>
        <v>0</v>
      </c>
      <c r="AG300" s="6" t="n">
        <f aca="false">I300</f>
        <v>0</v>
      </c>
      <c r="AH300" s="6" t="n">
        <f aca="false">L300</f>
        <v>0</v>
      </c>
    </row>
    <row r="301" customFormat="false" ht="15" hidden="false" customHeight="false" outlineLevel="0" collapsed="false">
      <c r="A301" s="0" t="str">
        <f aca="false">'Raw Data'!C301</f>
        <v>Ann Arbor</v>
      </c>
      <c r="B301" s="5" t="n">
        <f aca="false">'Raw Data'!A301</f>
        <v>40316</v>
      </c>
      <c r="C301" s="6" t="n">
        <f aca="false">'Raw Data'!D301</f>
        <v>303.141832002196</v>
      </c>
      <c r="D301" s="6" t="n">
        <f aca="false">'Raw Data'!E301</f>
        <v>4.1525</v>
      </c>
      <c r="E301" s="6" t="n">
        <f aca="false">'Raw Data'!F301</f>
        <v>1</v>
      </c>
      <c r="F301" s="6" t="n">
        <f aca="false">'Raw Data'!G301</f>
        <v>0</v>
      </c>
      <c r="G301" s="6" t="n">
        <f aca="false">'Raw Data'!H301</f>
        <v>0</v>
      </c>
      <c r="H301" s="6" t="n">
        <f aca="false">'Raw Data'!I301</f>
        <v>0</v>
      </c>
      <c r="I301" s="6" t="n">
        <f aca="false">'Raw Data'!J301</f>
        <v>0</v>
      </c>
      <c r="J301" s="6" t="n">
        <f aca="false">'Raw Data'!K301</f>
        <v>2</v>
      </c>
      <c r="K301" s="6" t="n">
        <f aca="false">'Raw Data'!L301</f>
        <v>3</v>
      </c>
      <c r="L301" s="6" t="n">
        <f aca="false">F301*E301</f>
        <v>0</v>
      </c>
      <c r="N301" s="0" t="n">
        <v>1</v>
      </c>
      <c r="O301" s="6" t="n">
        <f aca="false">D301</f>
        <v>4.1525</v>
      </c>
      <c r="P301" s="6" t="n">
        <f aca="false">E301</f>
        <v>1</v>
      </c>
      <c r="Q301" s="6" t="n">
        <f aca="false">F301</f>
        <v>0</v>
      </c>
      <c r="R301" s="6" t="n">
        <f aca="false">G301</f>
        <v>0</v>
      </c>
      <c r="S301" s="6" t="n">
        <f aca="false">H301</f>
        <v>0</v>
      </c>
      <c r="T301" s="6" t="n">
        <f aca="false">I301</f>
        <v>0</v>
      </c>
      <c r="U301" s="6" t="n">
        <f aca="false">L301</f>
        <v>0</v>
      </c>
      <c r="W301" s="6" t="n">
        <f aca="false">D301</f>
        <v>4.1525</v>
      </c>
      <c r="X301" s="6" t="n">
        <f aca="false">E301</f>
        <v>1</v>
      </c>
      <c r="Y301" s="6" t="n">
        <f aca="false">F301</f>
        <v>0</v>
      </c>
      <c r="Z301" s="6" t="n">
        <f aca="false">L301</f>
        <v>0</v>
      </c>
      <c r="AA301" s="6" t="n">
        <f aca="false">G301</f>
        <v>0</v>
      </c>
      <c r="AC301" s="6" t="n">
        <f aca="false">D301</f>
        <v>4.1525</v>
      </c>
      <c r="AD301" s="6" t="n">
        <f aca="false">E301</f>
        <v>1</v>
      </c>
      <c r="AE301" s="6" t="n">
        <f aca="false">G301</f>
        <v>0</v>
      </c>
      <c r="AF301" s="6" t="n">
        <f aca="false">H301</f>
        <v>0</v>
      </c>
      <c r="AG301" s="6" t="n">
        <f aca="false">I301</f>
        <v>0</v>
      </c>
      <c r="AH301" s="6" t="n">
        <f aca="false">L301</f>
        <v>0</v>
      </c>
    </row>
    <row r="302" customFormat="false" ht="15" hidden="false" customHeight="false" outlineLevel="0" collapsed="false">
      <c r="A302" s="0" t="str">
        <f aca="false">'Raw Data'!C302</f>
        <v>Ann Arbor</v>
      </c>
      <c r="B302" s="5" t="n">
        <f aca="false">'Raw Data'!A302</f>
        <v>40323</v>
      </c>
      <c r="C302" s="6" t="n">
        <f aca="false">'Raw Data'!D302</f>
        <v>234.530578703284</v>
      </c>
      <c r="D302" s="6" t="n">
        <f aca="false">'Raw Data'!E302</f>
        <v>4.301111111</v>
      </c>
      <c r="E302" s="6" t="n">
        <f aca="false">'Raw Data'!F302</f>
        <v>1</v>
      </c>
      <c r="F302" s="6" t="n">
        <f aca="false">'Raw Data'!G302</f>
        <v>0</v>
      </c>
      <c r="G302" s="6" t="n">
        <f aca="false">'Raw Data'!H302</f>
        <v>0</v>
      </c>
      <c r="H302" s="6" t="n">
        <f aca="false">'Raw Data'!I302</f>
        <v>0</v>
      </c>
      <c r="I302" s="6" t="n">
        <f aca="false">'Raw Data'!J302</f>
        <v>0</v>
      </c>
      <c r="J302" s="6" t="n">
        <f aca="false">'Raw Data'!K302</f>
        <v>2</v>
      </c>
      <c r="K302" s="6" t="n">
        <f aca="false">'Raw Data'!L302</f>
        <v>3</v>
      </c>
      <c r="L302" s="6" t="n">
        <f aca="false">F302*E302</f>
        <v>0</v>
      </c>
      <c r="N302" s="0" t="n">
        <v>1</v>
      </c>
      <c r="O302" s="6" t="n">
        <f aca="false">D302</f>
        <v>4.301111111</v>
      </c>
      <c r="P302" s="6" t="n">
        <f aca="false">E302</f>
        <v>1</v>
      </c>
      <c r="Q302" s="6" t="n">
        <f aca="false">F302</f>
        <v>0</v>
      </c>
      <c r="R302" s="6" t="n">
        <f aca="false">G302</f>
        <v>0</v>
      </c>
      <c r="S302" s="6" t="n">
        <f aca="false">H302</f>
        <v>0</v>
      </c>
      <c r="T302" s="6" t="n">
        <f aca="false">I302</f>
        <v>0</v>
      </c>
      <c r="U302" s="6" t="n">
        <f aca="false">L302</f>
        <v>0</v>
      </c>
      <c r="W302" s="6" t="n">
        <f aca="false">D302</f>
        <v>4.301111111</v>
      </c>
      <c r="X302" s="6" t="n">
        <f aca="false">E302</f>
        <v>1</v>
      </c>
      <c r="Y302" s="6" t="n">
        <f aca="false">F302</f>
        <v>0</v>
      </c>
      <c r="Z302" s="6" t="n">
        <f aca="false">L302</f>
        <v>0</v>
      </c>
      <c r="AA302" s="6" t="n">
        <f aca="false">G302</f>
        <v>0</v>
      </c>
      <c r="AC302" s="6" t="n">
        <f aca="false">D302</f>
        <v>4.301111111</v>
      </c>
      <c r="AD302" s="6" t="n">
        <f aca="false">E302</f>
        <v>1</v>
      </c>
      <c r="AE302" s="6" t="n">
        <f aca="false">G302</f>
        <v>0</v>
      </c>
      <c r="AF302" s="6" t="n">
        <f aca="false">H302</f>
        <v>0</v>
      </c>
      <c r="AG302" s="6" t="n">
        <f aca="false">I302</f>
        <v>0</v>
      </c>
      <c r="AH302" s="6" t="n">
        <f aca="false">L302</f>
        <v>0</v>
      </c>
    </row>
    <row r="303" customFormat="false" ht="15" hidden="false" customHeight="false" outlineLevel="0" collapsed="false">
      <c r="A303" s="0" t="str">
        <f aca="false">'Raw Data'!C303</f>
        <v>Ann Arbor</v>
      </c>
      <c r="B303" s="5" t="n">
        <f aca="false">'Raw Data'!A303</f>
        <v>40330</v>
      </c>
      <c r="C303" s="6" t="n">
        <f aca="false">'Raw Data'!D303</f>
        <v>269.085679678108</v>
      </c>
      <c r="D303" s="6" t="n">
        <f aca="false">'Raw Data'!E303</f>
        <v>3.671818182</v>
      </c>
      <c r="E303" s="6" t="n">
        <f aca="false">'Raw Data'!F303</f>
        <v>1</v>
      </c>
      <c r="F303" s="6" t="n">
        <f aca="false">'Raw Data'!G303</f>
        <v>0</v>
      </c>
      <c r="G303" s="6" t="n">
        <f aca="false">'Raw Data'!H303</f>
        <v>0</v>
      </c>
      <c r="H303" s="6" t="n">
        <f aca="false">'Raw Data'!I303</f>
        <v>0</v>
      </c>
      <c r="I303" s="6" t="n">
        <f aca="false">'Raw Data'!J303</f>
        <v>0</v>
      </c>
      <c r="J303" s="6" t="n">
        <f aca="false">'Raw Data'!K303</f>
        <v>2</v>
      </c>
      <c r="K303" s="6" t="n">
        <f aca="false">'Raw Data'!L303</f>
        <v>3</v>
      </c>
      <c r="L303" s="6" t="n">
        <f aca="false">F303*E303</f>
        <v>0</v>
      </c>
      <c r="N303" s="0" t="n">
        <v>1</v>
      </c>
      <c r="O303" s="6" t="n">
        <f aca="false">D303</f>
        <v>3.671818182</v>
      </c>
      <c r="P303" s="6" t="n">
        <f aca="false">E303</f>
        <v>1</v>
      </c>
      <c r="Q303" s="6" t="n">
        <f aca="false">F303</f>
        <v>0</v>
      </c>
      <c r="R303" s="6" t="n">
        <f aca="false">G303</f>
        <v>0</v>
      </c>
      <c r="S303" s="6" t="n">
        <f aca="false">H303</f>
        <v>0</v>
      </c>
      <c r="T303" s="6" t="n">
        <f aca="false">I303</f>
        <v>0</v>
      </c>
      <c r="U303" s="6" t="n">
        <f aca="false">L303</f>
        <v>0</v>
      </c>
      <c r="W303" s="6" t="n">
        <f aca="false">D303</f>
        <v>3.671818182</v>
      </c>
      <c r="X303" s="6" t="n">
        <f aca="false">E303</f>
        <v>1</v>
      </c>
      <c r="Y303" s="6" t="n">
        <f aca="false">F303</f>
        <v>0</v>
      </c>
      <c r="Z303" s="6" t="n">
        <f aca="false">L303</f>
        <v>0</v>
      </c>
      <c r="AA303" s="6" t="n">
        <f aca="false">G303</f>
        <v>0</v>
      </c>
      <c r="AC303" s="6" t="n">
        <f aca="false">D303</f>
        <v>3.671818182</v>
      </c>
      <c r="AD303" s="6" t="n">
        <f aca="false">E303</f>
        <v>1</v>
      </c>
      <c r="AE303" s="6" t="n">
        <f aca="false">G303</f>
        <v>0</v>
      </c>
      <c r="AF303" s="6" t="n">
        <f aca="false">H303</f>
        <v>0</v>
      </c>
      <c r="AG303" s="6" t="n">
        <f aca="false">I303</f>
        <v>0</v>
      </c>
      <c r="AH303" s="6" t="n">
        <f aca="false">L303</f>
        <v>0</v>
      </c>
    </row>
    <row r="304" customFormat="false" ht="15" hidden="false" customHeight="false" outlineLevel="0" collapsed="false">
      <c r="A304" s="0" t="str">
        <f aca="false">'Raw Data'!C304</f>
        <v>Ann Arbor</v>
      </c>
      <c r="B304" s="5" t="n">
        <f aca="false">'Raw Data'!A304</f>
        <v>40337</v>
      </c>
      <c r="C304" s="6" t="n">
        <f aca="false">'Raw Data'!D304</f>
        <v>300.548422347337</v>
      </c>
      <c r="D304" s="6" t="n">
        <f aca="false">'Raw Data'!E304</f>
        <v>4.062727273</v>
      </c>
      <c r="E304" s="6" t="n">
        <f aca="false">'Raw Data'!F304</f>
        <v>1</v>
      </c>
      <c r="F304" s="6" t="n">
        <f aca="false">'Raw Data'!G304</f>
        <v>0</v>
      </c>
      <c r="G304" s="6" t="n">
        <f aca="false">'Raw Data'!H304</f>
        <v>0</v>
      </c>
      <c r="H304" s="6" t="n">
        <f aca="false">'Raw Data'!I304</f>
        <v>0</v>
      </c>
      <c r="I304" s="6" t="n">
        <f aca="false">'Raw Data'!J304</f>
        <v>0</v>
      </c>
      <c r="J304" s="6" t="n">
        <f aca="false">'Raw Data'!K304</f>
        <v>2</v>
      </c>
      <c r="K304" s="6" t="n">
        <f aca="false">'Raw Data'!L304</f>
        <v>3</v>
      </c>
      <c r="L304" s="6" t="n">
        <f aca="false">F304*E304</f>
        <v>0</v>
      </c>
      <c r="N304" s="0" t="n">
        <v>1</v>
      </c>
      <c r="O304" s="6" t="n">
        <f aca="false">D304</f>
        <v>4.062727273</v>
      </c>
      <c r="P304" s="6" t="n">
        <f aca="false">E304</f>
        <v>1</v>
      </c>
      <c r="Q304" s="6" t="n">
        <f aca="false">F304</f>
        <v>0</v>
      </c>
      <c r="R304" s="6" t="n">
        <f aca="false">G304</f>
        <v>0</v>
      </c>
      <c r="S304" s="6" t="n">
        <f aca="false">H304</f>
        <v>0</v>
      </c>
      <c r="T304" s="6" t="n">
        <f aca="false">I304</f>
        <v>0</v>
      </c>
      <c r="U304" s="6" t="n">
        <f aca="false">L304</f>
        <v>0</v>
      </c>
      <c r="W304" s="6" t="n">
        <f aca="false">D304</f>
        <v>4.062727273</v>
      </c>
      <c r="X304" s="6" t="n">
        <f aca="false">E304</f>
        <v>1</v>
      </c>
      <c r="Y304" s="6" t="n">
        <f aca="false">F304</f>
        <v>0</v>
      </c>
      <c r="Z304" s="6" t="n">
        <f aca="false">L304</f>
        <v>0</v>
      </c>
      <c r="AA304" s="6" t="n">
        <f aca="false">G304</f>
        <v>0</v>
      </c>
      <c r="AC304" s="6" t="n">
        <f aca="false">D304</f>
        <v>4.062727273</v>
      </c>
      <c r="AD304" s="6" t="n">
        <f aca="false">E304</f>
        <v>1</v>
      </c>
      <c r="AE304" s="6" t="n">
        <f aca="false">G304</f>
        <v>0</v>
      </c>
      <c r="AF304" s="6" t="n">
        <f aca="false">H304</f>
        <v>0</v>
      </c>
      <c r="AG304" s="6" t="n">
        <f aca="false">I304</f>
        <v>0</v>
      </c>
      <c r="AH304" s="6" t="n">
        <f aca="false">L304</f>
        <v>0</v>
      </c>
    </row>
    <row r="305" customFormat="false" ht="15" hidden="false" customHeight="false" outlineLevel="0" collapsed="false">
      <c r="A305" s="0" t="str">
        <f aca="false">'Raw Data'!C305</f>
        <v>Ann Arbor</v>
      </c>
      <c r="B305" s="5" t="n">
        <f aca="false">'Raw Data'!A305</f>
        <v>40344</v>
      </c>
      <c r="C305" s="6" t="n">
        <f aca="false">'Raw Data'!D305</f>
        <v>288.18018444756</v>
      </c>
      <c r="D305" s="6" t="n">
        <f aca="false">'Raw Data'!E305</f>
        <v>4.39</v>
      </c>
      <c r="E305" s="6" t="n">
        <f aca="false">'Raw Data'!F305</f>
        <v>1</v>
      </c>
      <c r="F305" s="6" t="n">
        <f aca="false">'Raw Data'!G305</f>
        <v>0</v>
      </c>
      <c r="G305" s="6" t="n">
        <f aca="false">'Raw Data'!H305</f>
        <v>1</v>
      </c>
      <c r="H305" s="6" t="n">
        <f aca="false">'Raw Data'!I305</f>
        <v>0</v>
      </c>
      <c r="I305" s="6" t="n">
        <f aca="false">'Raw Data'!J305</f>
        <v>0</v>
      </c>
      <c r="J305" s="6" t="n">
        <f aca="false">'Raw Data'!K305</f>
        <v>2</v>
      </c>
      <c r="K305" s="6" t="n">
        <f aca="false">'Raw Data'!L305</f>
        <v>3</v>
      </c>
      <c r="L305" s="6" t="n">
        <f aca="false">F305*E305</f>
        <v>0</v>
      </c>
      <c r="N305" s="0" t="n">
        <v>1</v>
      </c>
      <c r="O305" s="6" t="n">
        <f aca="false">D305</f>
        <v>4.39</v>
      </c>
      <c r="P305" s="6" t="n">
        <f aca="false">E305</f>
        <v>1</v>
      </c>
      <c r="Q305" s="6" t="n">
        <f aca="false">F305</f>
        <v>0</v>
      </c>
      <c r="R305" s="6" t="n">
        <f aca="false">G305</f>
        <v>1</v>
      </c>
      <c r="S305" s="6" t="n">
        <f aca="false">H305</f>
        <v>0</v>
      </c>
      <c r="T305" s="6" t="n">
        <f aca="false">I305</f>
        <v>0</v>
      </c>
      <c r="U305" s="6" t="n">
        <f aca="false">L305</f>
        <v>0</v>
      </c>
      <c r="W305" s="6" t="n">
        <f aca="false">D305</f>
        <v>4.39</v>
      </c>
      <c r="X305" s="6" t="n">
        <f aca="false">E305</f>
        <v>1</v>
      </c>
      <c r="Y305" s="6" t="n">
        <f aca="false">F305</f>
        <v>0</v>
      </c>
      <c r="Z305" s="6" t="n">
        <f aca="false">L305</f>
        <v>0</v>
      </c>
      <c r="AA305" s="6" t="n">
        <f aca="false">G305</f>
        <v>1</v>
      </c>
      <c r="AC305" s="6" t="n">
        <f aca="false">D305</f>
        <v>4.39</v>
      </c>
      <c r="AD305" s="6" t="n">
        <f aca="false">E305</f>
        <v>1</v>
      </c>
      <c r="AE305" s="6" t="n">
        <f aca="false">G305</f>
        <v>1</v>
      </c>
      <c r="AF305" s="6" t="n">
        <f aca="false">H305</f>
        <v>0</v>
      </c>
      <c r="AG305" s="6" t="n">
        <f aca="false">I305</f>
        <v>0</v>
      </c>
      <c r="AH305" s="6" t="n">
        <f aca="false">L305</f>
        <v>0</v>
      </c>
    </row>
    <row r="306" customFormat="false" ht="15" hidden="false" customHeight="false" outlineLevel="0" collapsed="false">
      <c r="A306" s="0" t="str">
        <f aca="false">'Raw Data'!C306</f>
        <v>Ann Arbor</v>
      </c>
      <c r="B306" s="5" t="n">
        <f aca="false">'Raw Data'!A306</f>
        <v>40351</v>
      </c>
      <c r="C306" s="6" t="n">
        <f aca="false">'Raw Data'!D306</f>
        <v>396.24958198361</v>
      </c>
      <c r="D306" s="6" t="n">
        <f aca="false">'Raw Data'!E306</f>
        <v>4.39</v>
      </c>
      <c r="E306" s="6" t="n">
        <f aca="false">'Raw Data'!F306</f>
        <v>1</v>
      </c>
      <c r="F306" s="6" t="n">
        <f aca="false">'Raw Data'!G306</f>
        <v>0</v>
      </c>
      <c r="G306" s="6" t="n">
        <f aca="false">'Raw Data'!H306</f>
        <v>1</v>
      </c>
      <c r="H306" s="6" t="n">
        <f aca="false">'Raw Data'!I306</f>
        <v>1</v>
      </c>
      <c r="I306" s="6" t="n">
        <f aca="false">'Raw Data'!J306</f>
        <v>0</v>
      </c>
      <c r="J306" s="6" t="n">
        <f aca="false">'Raw Data'!K306</f>
        <v>2</v>
      </c>
      <c r="K306" s="6" t="n">
        <f aca="false">'Raw Data'!L306</f>
        <v>3</v>
      </c>
      <c r="L306" s="6" t="n">
        <f aca="false">F306*E306</f>
        <v>0</v>
      </c>
      <c r="N306" s="0" t="n">
        <v>1</v>
      </c>
      <c r="O306" s="6" t="n">
        <f aca="false">D306</f>
        <v>4.39</v>
      </c>
      <c r="P306" s="6" t="n">
        <f aca="false">E306</f>
        <v>1</v>
      </c>
      <c r="Q306" s="6" t="n">
        <f aca="false">F306</f>
        <v>0</v>
      </c>
      <c r="R306" s="6" t="n">
        <f aca="false">G306</f>
        <v>1</v>
      </c>
      <c r="S306" s="6" t="n">
        <f aca="false">H306</f>
        <v>1</v>
      </c>
      <c r="T306" s="6" t="n">
        <f aca="false">I306</f>
        <v>0</v>
      </c>
      <c r="U306" s="6" t="n">
        <f aca="false">L306</f>
        <v>0</v>
      </c>
      <c r="W306" s="6" t="n">
        <f aca="false">D306</f>
        <v>4.39</v>
      </c>
      <c r="X306" s="6" t="n">
        <f aca="false">E306</f>
        <v>1</v>
      </c>
      <c r="Y306" s="6" t="n">
        <f aca="false">F306</f>
        <v>0</v>
      </c>
      <c r="Z306" s="6" t="n">
        <f aca="false">L306</f>
        <v>0</v>
      </c>
      <c r="AA306" s="6" t="n">
        <f aca="false">G306</f>
        <v>1</v>
      </c>
      <c r="AC306" s="6" t="n">
        <f aca="false">D306</f>
        <v>4.39</v>
      </c>
      <c r="AD306" s="6" t="n">
        <f aca="false">E306</f>
        <v>1</v>
      </c>
      <c r="AE306" s="6" t="n">
        <f aca="false">G306</f>
        <v>1</v>
      </c>
      <c r="AF306" s="6" t="n">
        <f aca="false">H306</f>
        <v>1</v>
      </c>
      <c r="AG306" s="6" t="n">
        <f aca="false">I306</f>
        <v>0</v>
      </c>
      <c r="AH306" s="6" t="n">
        <f aca="false">L306</f>
        <v>0</v>
      </c>
    </row>
    <row r="307" customFormat="false" ht="15" hidden="false" customHeight="false" outlineLevel="0" collapsed="false">
      <c r="A307" s="0" t="str">
        <f aca="false">'Raw Data'!C307</f>
        <v>Ann Arbor</v>
      </c>
      <c r="B307" s="5" t="n">
        <f aca="false">'Raw Data'!A307</f>
        <v>40358</v>
      </c>
      <c r="C307" s="6" t="n">
        <f aca="false">'Raw Data'!D307</f>
        <v>256.550137429391</v>
      </c>
      <c r="D307" s="6" t="n">
        <f aca="false">'Raw Data'!E307</f>
        <v>3.735454545</v>
      </c>
      <c r="E307" s="6" t="n">
        <f aca="false">'Raw Data'!F307</f>
        <v>1</v>
      </c>
      <c r="F307" s="6" t="n">
        <f aca="false">'Raw Data'!G307</f>
        <v>0</v>
      </c>
      <c r="G307" s="6" t="n">
        <f aca="false">'Raw Data'!H307</f>
        <v>0</v>
      </c>
      <c r="H307" s="6" t="n">
        <f aca="false">'Raw Data'!I307</f>
        <v>1</v>
      </c>
      <c r="I307" s="6" t="n">
        <f aca="false">'Raw Data'!J307</f>
        <v>0</v>
      </c>
      <c r="J307" s="6" t="n">
        <f aca="false">'Raw Data'!K307</f>
        <v>2</v>
      </c>
      <c r="K307" s="6" t="n">
        <f aca="false">'Raw Data'!L307</f>
        <v>3</v>
      </c>
      <c r="L307" s="6" t="n">
        <f aca="false">F307*E307</f>
        <v>0</v>
      </c>
      <c r="N307" s="0" t="n">
        <v>1</v>
      </c>
      <c r="O307" s="6" t="n">
        <f aca="false">D307</f>
        <v>3.735454545</v>
      </c>
      <c r="P307" s="6" t="n">
        <f aca="false">E307</f>
        <v>1</v>
      </c>
      <c r="Q307" s="6" t="n">
        <f aca="false">F307</f>
        <v>0</v>
      </c>
      <c r="R307" s="6" t="n">
        <f aca="false">G307</f>
        <v>0</v>
      </c>
      <c r="S307" s="6" t="n">
        <f aca="false">H307</f>
        <v>1</v>
      </c>
      <c r="T307" s="6" t="n">
        <f aca="false">I307</f>
        <v>0</v>
      </c>
      <c r="U307" s="6" t="n">
        <f aca="false">L307</f>
        <v>0</v>
      </c>
      <c r="W307" s="6" t="n">
        <f aca="false">D307</f>
        <v>3.735454545</v>
      </c>
      <c r="X307" s="6" t="n">
        <f aca="false">E307</f>
        <v>1</v>
      </c>
      <c r="Y307" s="6" t="n">
        <f aca="false">F307</f>
        <v>0</v>
      </c>
      <c r="Z307" s="6" t="n">
        <f aca="false">L307</f>
        <v>0</v>
      </c>
      <c r="AA307" s="6" t="n">
        <f aca="false">G307</f>
        <v>0</v>
      </c>
      <c r="AC307" s="6" t="n">
        <f aca="false">D307</f>
        <v>3.735454545</v>
      </c>
      <c r="AD307" s="6" t="n">
        <f aca="false">E307</f>
        <v>1</v>
      </c>
      <c r="AE307" s="6" t="n">
        <f aca="false">G307</f>
        <v>0</v>
      </c>
      <c r="AF307" s="6" t="n">
        <f aca="false">H307</f>
        <v>1</v>
      </c>
      <c r="AG307" s="6" t="n">
        <f aca="false">I307</f>
        <v>0</v>
      </c>
      <c r="AH307" s="6" t="n">
        <f aca="false">L307</f>
        <v>0</v>
      </c>
    </row>
    <row r="308" customFormat="false" ht="15" hidden="false" customHeight="false" outlineLevel="0" collapsed="false">
      <c r="A308" s="0" t="str">
        <f aca="false">'Raw Data'!C308</f>
        <v>Ann Arbor</v>
      </c>
      <c r="B308" s="5" t="n">
        <f aca="false">'Raw Data'!A308</f>
        <v>40365</v>
      </c>
      <c r="C308" s="6" t="n">
        <f aca="false">'Raw Data'!D308</f>
        <v>295.899003959283</v>
      </c>
      <c r="D308" s="6" t="n">
        <f aca="false">'Raw Data'!E308</f>
        <v>3.910769231</v>
      </c>
      <c r="E308" s="6" t="n">
        <f aca="false">'Raw Data'!F308</f>
        <v>1</v>
      </c>
      <c r="F308" s="6" t="n">
        <f aca="false">'Raw Data'!G308</f>
        <v>0</v>
      </c>
      <c r="G308" s="6" t="n">
        <f aca="false">'Raw Data'!H308</f>
        <v>0</v>
      </c>
      <c r="H308" s="6" t="n">
        <f aca="false">'Raw Data'!I308</f>
        <v>1</v>
      </c>
      <c r="I308" s="6" t="n">
        <f aca="false">'Raw Data'!J308</f>
        <v>0</v>
      </c>
      <c r="J308" s="6" t="n">
        <f aca="false">'Raw Data'!K308</f>
        <v>2</v>
      </c>
      <c r="K308" s="6" t="n">
        <f aca="false">'Raw Data'!L308</f>
        <v>3</v>
      </c>
      <c r="L308" s="6" t="n">
        <f aca="false">F308*E308</f>
        <v>0</v>
      </c>
      <c r="N308" s="0" t="n">
        <v>1</v>
      </c>
      <c r="O308" s="6" t="n">
        <f aca="false">D308</f>
        <v>3.910769231</v>
      </c>
      <c r="P308" s="6" t="n">
        <f aca="false">E308</f>
        <v>1</v>
      </c>
      <c r="Q308" s="6" t="n">
        <f aca="false">F308</f>
        <v>0</v>
      </c>
      <c r="R308" s="6" t="n">
        <f aca="false">G308</f>
        <v>0</v>
      </c>
      <c r="S308" s="6" t="n">
        <f aca="false">H308</f>
        <v>1</v>
      </c>
      <c r="T308" s="6" t="n">
        <f aca="false">I308</f>
        <v>0</v>
      </c>
      <c r="U308" s="6" t="n">
        <f aca="false">L308</f>
        <v>0</v>
      </c>
      <c r="W308" s="6" t="n">
        <f aca="false">D308</f>
        <v>3.910769231</v>
      </c>
      <c r="X308" s="6" t="n">
        <f aca="false">E308</f>
        <v>1</v>
      </c>
      <c r="Y308" s="6" t="n">
        <f aca="false">F308</f>
        <v>0</v>
      </c>
      <c r="Z308" s="6" t="n">
        <f aca="false">L308</f>
        <v>0</v>
      </c>
      <c r="AA308" s="6" t="n">
        <f aca="false">G308</f>
        <v>0</v>
      </c>
      <c r="AC308" s="6" t="n">
        <f aca="false">D308</f>
        <v>3.910769231</v>
      </c>
      <c r="AD308" s="6" t="n">
        <f aca="false">E308</f>
        <v>1</v>
      </c>
      <c r="AE308" s="6" t="n">
        <f aca="false">G308</f>
        <v>0</v>
      </c>
      <c r="AF308" s="6" t="n">
        <f aca="false">H308</f>
        <v>1</v>
      </c>
      <c r="AG308" s="6" t="n">
        <f aca="false">I308</f>
        <v>0</v>
      </c>
      <c r="AH308" s="6" t="n">
        <f aca="false">L308</f>
        <v>0</v>
      </c>
    </row>
    <row r="309" customFormat="false" ht="15" hidden="false" customHeight="false" outlineLevel="0" collapsed="false">
      <c r="A309" s="0" t="str">
        <f aca="false">'Raw Data'!C309</f>
        <v>Ann Arbor</v>
      </c>
      <c r="B309" s="5" t="n">
        <f aca="false">'Raw Data'!A309</f>
        <v>40372</v>
      </c>
      <c r="C309" s="6" t="n">
        <f aca="false">'Raw Data'!D309</f>
        <v>456.466589828407</v>
      </c>
      <c r="D309" s="6" t="n">
        <f aca="false">'Raw Data'!E309</f>
        <v>4.111666667</v>
      </c>
      <c r="E309" s="6" t="n">
        <f aca="false">'Raw Data'!F309</f>
        <v>1</v>
      </c>
      <c r="F309" s="6" t="n">
        <f aca="false">'Raw Data'!G309</f>
        <v>0</v>
      </c>
      <c r="G309" s="6" t="n">
        <f aca="false">'Raw Data'!H309</f>
        <v>0</v>
      </c>
      <c r="H309" s="6" t="n">
        <f aca="false">'Raw Data'!I309</f>
        <v>1</v>
      </c>
      <c r="I309" s="6" t="n">
        <f aca="false">'Raw Data'!J309</f>
        <v>1</v>
      </c>
      <c r="J309" s="6" t="n">
        <f aca="false">'Raw Data'!K309</f>
        <v>2</v>
      </c>
      <c r="K309" s="6" t="n">
        <f aca="false">'Raw Data'!L309</f>
        <v>3</v>
      </c>
      <c r="L309" s="6" t="n">
        <f aca="false">F309*E309</f>
        <v>0</v>
      </c>
      <c r="N309" s="0" t="n">
        <v>1</v>
      </c>
      <c r="O309" s="6" t="n">
        <f aca="false">D309</f>
        <v>4.111666667</v>
      </c>
      <c r="P309" s="6" t="n">
        <f aca="false">E309</f>
        <v>1</v>
      </c>
      <c r="Q309" s="6" t="n">
        <f aca="false">F309</f>
        <v>0</v>
      </c>
      <c r="R309" s="6" t="n">
        <f aca="false">G309</f>
        <v>0</v>
      </c>
      <c r="S309" s="6" t="n">
        <f aca="false">H309</f>
        <v>1</v>
      </c>
      <c r="T309" s="6" t="n">
        <f aca="false">I309</f>
        <v>1</v>
      </c>
      <c r="U309" s="6" t="n">
        <f aca="false">L309</f>
        <v>0</v>
      </c>
      <c r="W309" s="6" t="n">
        <f aca="false">D309</f>
        <v>4.111666667</v>
      </c>
      <c r="X309" s="6" t="n">
        <f aca="false">E309</f>
        <v>1</v>
      </c>
      <c r="Y309" s="6" t="n">
        <f aca="false">F309</f>
        <v>0</v>
      </c>
      <c r="Z309" s="6" t="n">
        <f aca="false">L309</f>
        <v>0</v>
      </c>
      <c r="AA309" s="6" t="n">
        <f aca="false">G309</f>
        <v>0</v>
      </c>
      <c r="AC309" s="6" t="n">
        <f aca="false">D309</f>
        <v>4.111666667</v>
      </c>
      <c r="AD309" s="6" t="n">
        <f aca="false">E309</f>
        <v>1</v>
      </c>
      <c r="AE309" s="6" t="n">
        <f aca="false">G309</f>
        <v>0</v>
      </c>
      <c r="AF309" s="6" t="n">
        <f aca="false">H309</f>
        <v>1</v>
      </c>
      <c r="AG309" s="6" t="n">
        <f aca="false">I309</f>
        <v>1</v>
      </c>
      <c r="AH309" s="6" t="n">
        <f aca="false">L309</f>
        <v>0</v>
      </c>
    </row>
    <row r="310" customFormat="false" ht="15" hidden="false" customHeight="false" outlineLevel="0" collapsed="false">
      <c r="A310" s="0" t="str">
        <f aca="false">'Raw Data'!C310</f>
        <v>Deerfield</v>
      </c>
      <c r="B310" s="5" t="n">
        <f aca="false">'Raw Data'!A310</f>
        <v>40302</v>
      </c>
      <c r="C310" s="6" t="n">
        <f aca="false">'Raw Data'!D310</f>
        <v>309.367713641421</v>
      </c>
      <c r="D310" s="6" t="n">
        <f aca="false">'Raw Data'!E310</f>
        <v>4.612222222</v>
      </c>
      <c r="E310" s="6" t="n">
        <f aca="false">'Raw Data'!F310</f>
        <v>1</v>
      </c>
      <c r="F310" s="6" t="n">
        <f aca="false">'Raw Data'!G310</f>
        <v>0</v>
      </c>
      <c r="G310" s="6" t="n">
        <f aca="false">'Raw Data'!H310</f>
        <v>0</v>
      </c>
      <c r="H310" s="6" t="n">
        <f aca="false">'Raw Data'!I310</f>
        <v>0</v>
      </c>
      <c r="I310" s="6" t="n">
        <f aca="false">'Raw Data'!J310</f>
        <v>0</v>
      </c>
      <c r="J310" s="6" t="n">
        <f aca="false">'Raw Data'!K310</f>
        <v>3</v>
      </c>
      <c r="K310" s="6" t="n">
        <f aca="false">'Raw Data'!L310</f>
        <v>3</v>
      </c>
      <c r="L310" s="6" t="n">
        <f aca="false">F310*E310</f>
        <v>0</v>
      </c>
      <c r="N310" s="0" t="n">
        <v>1</v>
      </c>
      <c r="O310" s="6" t="n">
        <f aca="false">D310</f>
        <v>4.612222222</v>
      </c>
      <c r="P310" s="6" t="n">
        <f aca="false">E310</f>
        <v>1</v>
      </c>
      <c r="Q310" s="6" t="n">
        <f aca="false">F310</f>
        <v>0</v>
      </c>
      <c r="R310" s="6" t="n">
        <f aca="false">G310</f>
        <v>0</v>
      </c>
      <c r="S310" s="6" t="n">
        <f aca="false">H310</f>
        <v>0</v>
      </c>
      <c r="T310" s="6" t="n">
        <f aca="false">I310</f>
        <v>0</v>
      </c>
      <c r="U310" s="6" t="n">
        <f aca="false">L310</f>
        <v>0</v>
      </c>
      <c r="W310" s="6" t="n">
        <f aca="false">D310</f>
        <v>4.612222222</v>
      </c>
      <c r="X310" s="6" t="n">
        <f aca="false">E310</f>
        <v>1</v>
      </c>
      <c r="Y310" s="6" t="n">
        <f aca="false">F310</f>
        <v>0</v>
      </c>
      <c r="Z310" s="6" t="n">
        <f aca="false">L310</f>
        <v>0</v>
      </c>
      <c r="AA310" s="6" t="n">
        <f aca="false">G310</f>
        <v>0</v>
      </c>
      <c r="AC310" s="6" t="n">
        <f aca="false">D310</f>
        <v>4.612222222</v>
      </c>
      <c r="AD310" s="6" t="n">
        <f aca="false">E310</f>
        <v>1</v>
      </c>
      <c r="AE310" s="6" t="n">
        <f aca="false">G310</f>
        <v>0</v>
      </c>
      <c r="AF310" s="6" t="n">
        <f aca="false">H310</f>
        <v>0</v>
      </c>
      <c r="AG310" s="6" t="n">
        <f aca="false">I310</f>
        <v>0</v>
      </c>
      <c r="AH310" s="6" t="n">
        <f aca="false">L310</f>
        <v>0</v>
      </c>
    </row>
    <row r="311" customFormat="false" ht="15" hidden="false" customHeight="false" outlineLevel="0" collapsed="false">
      <c r="A311" s="0" t="str">
        <f aca="false">'Raw Data'!C311</f>
        <v>Deerfield</v>
      </c>
      <c r="B311" s="5" t="n">
        <f aca="false">'Raw Data'!A311</f>
        <v>40309</v>
      </c>
      <c r="C311" s="6" t="n">
        <f aca="false">'Raw Data'!D311</f>
        <v>350.665363977961</v>
      </c>
      <c r="D311" s="6" t="n">
        <f aca="false">'Raw Data'!E311</f>
        <v>4.59</v>
      </c>
      <c r="E311" s="6" t="n">
        <f aca="false">'Raw Data'!F311</f>
        <v>1</v>
      </c>
      <c r="F311" s="6" t="n">
        <f aca="false">'Raw Data'!G311</f>
        <v>0</v>
      </c>
      <c r="G311" s="6" t="n">
        <f aca="false">'Raw Data'!H311</f>
        <v>0</v>
      </c>
      <c r="H311" s="6" t="n">
        <f aca="false">'Raw Data'!I311</f>
        <v>0</v>
      </c>
      <c r="I311" s="6" t="n">
        <f aca="false">'Raw Data'!J311</f>
        <v>0</v>
      </c>
      <c r="J311" s="6" t="n">
        <f aca="false">'Raw Data'!K311</f>
        <v>3</v>
      </c>
      <c r="K311" s="6" t="n">
        <f aca="false">'Raw Data'!L311</f>
        <v>3</v>
      </c>
      <c r="L311" s="6" t="n">
        <f aca="false">F311*E311</f>
        <v>0</v>
      </c>
      <c r="N311" s="0" t="n">
        <v>1</v>
      </c>
      <c r="O311" s="6" t="n">
        <f aca="false">D311</f>
        <v>4.59</v>
      </c>
      <c r="P311" s="6" t="n">
        <f aca="false">E311</f>
        <v>1</v>
      </c>
      <c r="Q311" s="6" t="n">
        <f aca="false">F311</f>
        <v>0</v>
      </c>
      <c r="R311" s="6" t="n">
        <f aca="false">G311</f>
        <v>0</v>
      </c>
      <c r="S311" s="6" t="n">
        <f aca="false">H311</f>
        <v>0</v>
      </c>
      <c r="T311" s="6" t="n">
        <f aca="false">I311</f>
        <v>0</v>
      </c>
      <c r="U311" s="6" t="n">
        <f aca="false">L311</f>
        <v>0</v>
      </c>
      <c r="W311" s="6" t="n">
        <f aca="false">D311</f>
        <v>4.59</v>
      </c>
      <c r="X311" s="6" t="n">
        <f aca="false">E311</f>
        <v>1</v>
      </c>
      <c r="Y311" s="6" t="n">
        <f aca="false">F311</f>
        <v>0</v>
      </c>
      <c r="Z311" s="6" t="n">
        <f aca="false">L311</f>
        <v>0</v>
      </c>
      <c r="AA311" s="6" t="n">
        <f aca="false">G311</f>
        <v>0</v>
      </c>
      <c r="AC311" s="6" t="n">
        <f aca="false">D311</f>
        <v>4.59</v>
      </c>
      <c r="AD311" s="6" t="n">
        <f aca="false">E311</f>
        <v>1</v>
      </c>
      <c r="AE311" s="6" t="n">
        <f aca="false">G311</f>
        <v>0</v>
      </c>
      <c r="AF311" s="6" t="n">
        <f aca="false">H311</f>
        <v>0</v>
      </c>
      <c r="AG311" s="6" t="n">
        <f aca="false">I311</f>
        <v>0</v>
      </c>
      <c r="AH311" s="6" t="n">
        <f aca="false">L311</f>
        <v>0</v>
      </c>
    </row>
    <row r="312" customFormat="false" ht="15" hidden="false" customHeight="false" outlineLevel="0" collapsed="false">
      <c r="A312" s="0" t="str">
        <f aca="false">'Raw Data'!C312</f>
        <v>Deerfield</v>
      </c>
      <c r="B312" s="5" t="n">
        <f aca="false">'Raw Data'!A312</f>
        <v>40316</v>
      </c>
      <c r="C312" s="6" t="n">
        <f aca="false">'Raw Data'!D312</f>
        <v>346.592248426765</v>
      </c>
      <c r="D312" s="6" t="n">
        <f aca="false">'Raw Data'!E312</f>
        <v>3.765</v>
      </c>
      <c r="E312" s="6" t="n">
        <f aca="false">'Raw Data'!F312</f>
        <v>1</v>
      </c>
      <c r="F312" s="6" t="n">
        <f aca="false">'Raw Data'!G312</f>
        <v>0</v>
      </c>
      <c r="G312" s="6" t="n">
        <f aca="false">'Raw Data'!H312</f>
        <v>0</v>
      </c>
      <c r="H312" s="6" t="n">
        <f aca="false">'Raw Data'!I312</f>
        <v>0</v>
      </c>
      <c r="I312" s="6" t="n">
        <f aca="false">'Raw Data'!J312</f>
        <v>0</v>
      </c>
      <c r="J312" s="6" t="n">
        <f aca="false">'Raw Data'!K312</f>
        <v>3</v>
      </c>
      <c r="K312" s="6" t="n">
        <f aca="false">'Raw Data'!L312</f>
        <v>3</v>
      </c>
      <c r="L312" s="6" t="n">
        <f aca="false">F312*E312</f>
        <v>0</v>
      </c>
      <c r="N312" s="0" t="n">
        <v>1</v>
      </c>
      <c r="O312" s="6" t="n">
        <f aca="false">D312</f>
        <v>3.765</v>
      </c>
      <c r="P312" s="6" t="n">
        <f aca="false">E312</f>
        <v>1</v>
      </c>
      <c r="Q312" s="6" t="n">
        <f aca="false">F312</f>
        <v>0</v>
      </c>
      <c r="R312" s="6" t="n">
        <f aca="false">G312</f>
        <v>0</v>
      </c>
      <c r="S312" s="6" t="n">
        <f aca="false">H312</f>
        <v>0</v>
      </c>
      <c r="T312" s="6" t="n">
        <f aca="false">I312</f>
        <v>0</v>
      </c>
      <c r="U312" s="6" t="n">
        <f aca="false">L312</f>
        <v>0</v>
      </c>
      <c r="W312" s="6" t="n">
        <f aca="false">D312</f>
        <v>3.765</v>
      </c>
      <c r="X312" s="6" t="n">
        <f aca="false">E312</f>
        <v>1</v>
      </c>
      <c r="Y312" s="6" t="n">
        <f aca="false">F312</f>
        <v>0</v>
      </c>
      <c r="Z312" s="6" t="n">
        <f aca="false">L312</f>
        <v>0</v>
      </c>
      <c r="AA312" s="6" t="n">
        <f aca="false">G312</f>
        <v>0</v>
      </c>
      <c r="AC312" s="6" t="n">
        <f aca="false">D312</f>
        <v>3.765</v>
      </c>
      <c r="AD312" s="6" t="n">
        <f aca="false">E312</f>
        <v>1</v>
      </c>
      <c r="AE312" s="6" t="n">
        <f aca="false">G312</f>
        <v>0</v>
      </c>
      <c r="AF312" s="6" t="n">
        <f aca="false">H312</f>
        <v>0</v>
      </c>
      <c r="AG312" s="6" t="n">
        <f aca="false">I312</f>
        <v>0</v>
      </c>
      <c r="AH312" s="6" t="n">
        <f aca="false">L312</f>
        <v>0</v>
      </c>
    </row>
    <row r="313" customFormat="false" ht="15" hidden="false" customHeight="false" outlineLevel="0" collapsed="false">
      <c r="A313" s="0" t="str">
        <f aca="false">'Raw Data'!C313</f>
        <v>Deerfield</v>
      </c>
      <c r="B313" s="5" t="n">
        <f aca="false">'Raw Data'!A313</f>
        <v>40323</v>
      </c>
      <c r="C313" s="6" t="n">
        <f aca="false">'Raw Data'!D313</f>
        <v>265.651040411328</v>
      </c>
      <c r="D313" s="6" t="n">
        <f aca="false">'Raw Data'!E313</f>
        <v>3.713076923</v>
      </c>
      <c r="E313" s="6" t="n">
        <f aca="false">'Raw Data'!F313</f>
        <v>1</v>
      </c>
      <c r="F313" s="6" t="n">
        <f aca="false">'Raw Data'!G313</f>
        <v>0</v>
      </c>
      <c r="G313" s="6" t="n">
        <f aca="false">'Raw Data'!H313</f>
        <v>0</v>
      </c>
      <c r="H313" s="6" t="n">
        <f aca="false">'Raw Data'!I313</f>
        <v>0</v>
      </c>
      <c r="I313" s="6" t="n">
        <f aca="false">'Raw Data'!J313</f>
        <v>0</v>
      </c>
      <c r="J313" s="6" t="n">
        <f aca="false">'Raw Data'!K313</f>
        <v>3</v>
      </c>
      <c r="K313" s="6" t="n">
        <f aca="false">'Raw Data'!L313</f>
        <v>3</v>
      </c>
      <c r="L313" s="6" t="n">
        <f aca="false">F313*E313</f>
        <v>0</v>
      </c>
      <c r="N313" s="0" t="n">
        <v>1</v>
      </c>
      <c r="O313" s="6" t="n">
        <f aca="false">D313</f>
        <v>3.713076923</v>
      </c>
      <c r="P313" s="6" t="n">
        <f aca="false">E313</f>
        <v>1</v>
      </c>
      <c r="Q313" s="6" t="n">
        <f aca="false">F313</f>
        <v>0</v>
      </c>
      <c r="R313" s="6" t="n">
        <f aca="false">G313</f>
        <v>0</v>
      </c>
      <c r="S313" s="6" t="n">
        <f aca="false">H313</f>
        <v>0</v>
      </c>
      <c r="T313" s="6" t="n">
        <f aca="false">I313</f>
        <v>0</v>
      </c>
      <c r="U313" s="6" t="n">
        <f aca="false">L313</f>
        <v>0</v>
      </c>
      <c r="W313" s="6" t="n">
        <f aca="false">D313</f>
        <v>3.713076923</v>
      </c>
      <c r="X313" s="6" t="n">
        <f aca="false">E313</f>
        <v>1</v>
      </c>
      <c r="Y313" s="6" t="n">
        <f aca="false">F313</f>
        <v>0</v>
      </c>
      <c r="Z313" s="6" t="n">
        <f aca="false">L313</f>
        <v>0</v>
      </c>
      <c r="AA313" s="6" t="n">
        <f aca="false">G313</f>
        <v>0</v>
      </c>
      <c r="AC313" s="6" t="n">
        <f aca="false">D313</f>
        <v>3.713076923</v>
      </c>
      <c r="AD313" s="6" t="n">
        <f aca="false">E313</f>
        <v>1</v>
      </c>
      <c r="AE313" s="6" t="n">
        <f aca="false">G313</f>
        <v>0</v>
      </c>
      <c r="AF313" s="6" t="n">
        <f aca="false">H313</f>
        <v>0</v>
      </c>
      <c r="AG313" s="6" t="n">
        <f aca="false">I313</f>
        <v>0</v>
      </c>
      <c r="AH313" s="6" t="n">
        <f aca="false">L313</f>
        <v>0</v>
      </c>
    </row>
    <row r="314" customFormat="false" ht="15" hidden="false" customHeight="false" outlineLevel="0" collapsed="false">
      <c r="A314" s="0" t="str">
        <f aca="false">'Raw Data'!C314</f>
        <v>Deerfield</v>
      </c>
      <c r="B314" s="5" t="n">
        <f aca="false">'Raw Data'!A314</f>
        <v>40330</v>
      </c>
      <c r="C314" s="6" t="n">
        <f aca="false">'Raw Data'!D314</f>
        <v>288.292355519903</v>
      </c>
      <c r="D314" s="6" t="n">
        <f aca="false">'Raw Data'!E314</f>
        <v>4.135454545</v>
      </c>
      <c r="E314" s="6" t="n">
        <f aca="false">'Raw Data'!F314</f>
        <v>1</v>
      </c>
      <c r="F314" s="6" t="n">
        <f aca="false">'Raw Data'!G314</f>
        <v>0</v>
      </c>
      <c r="G314" s="6" t="n">
        <f aca="false">'Raw Data'!H314</f>
        <v>0</v>
      </c>
      <c r="H314" s="6" t="n">
        <f aca="false">'Raw Data'!I314</f>
        <v>0</v>
      </c>
      <c r="I314" s="6" t="n">
        <f aca="false">'Raw Data'!J314</f>
        <v>0</v>
      </c>
      <c r="J314" s="6" t="n">
        <f aca="false">'Raw Data'!K314</f>
        <v>3</v>
      </c>
      <c r="K314" s="6" t="n">
        <f aca="false">'Raw Data'!L314</f>
        <v>3</v>
      </c>
      <c r="L314" s="6" t="n">
        <f aca="false">F314*E314</f>
        <v>0</v>
      </c>
      <c r="N314" s="0" t="n">
        <v>1</v>
      </c>
      <c r="O314" s="6" t="n">
        <f aca="false">D314</f>
        <v>4.135454545</v>
      </c>
      <c r="P314" s="6" t="n">
        <f aca="false">E314</f>
        <v>1</v>
      </c>
      <c r="Q314" s="6" t="n">
        <f aca="false">F314</f>
        <v>0</v>
      </c>
      <c r="R314" s="6" t="n">
        <f aca="false">G314</f>
        <v>0</v>
      </c>
      <c r="S314" s="6" t="n">
        <f aca="false">H314</f>
        <v>0</v>
      </c>
      <c r="T314" s="6" t="n">
        <f aca="false">I314</f>
        <v>0</v>
      </c>
      <c r="U314" s="6" t="n">
        <f aca="false">L314</f>
        <v>0</v>
      </c>
      <c r="W314" s="6" t="n">
        <f aca="false">D314</f>
        <v>4.135454545</v>
      </c>
      <c r="X314" s="6" t="n">
        <f aca="false">E314</f>
        <v>1</v>
      </c>
      <c r="Y314" s="6" t="n">
        <f aca="false">F314</f>
        <v>0</v>
      </c>
      <c r="Z314" s="6" t="n">
        <f aca="false">L314</f>
        <v>0</v>
      </c>
      <c r="AA314" s="6" t="n">
        <f aca="false">G314</f>
        <v>0</v>
      </c>
      <c r="AC314" s="6" t="n">
        <f aca="false">D314</f>
        <v>4.135454545</v>
      </c>
      <c r="AD314" s="6" t="n">
        <f aca="false">E314</f>
        <v>1</v>
      </c>
      <c r="AE314" s="6" t="n">
        <f aca="false">G314</f>
        <v>0</v>
      </c>
      <c r="AF314" s="6" t="n">
        <f aca="false">H314</f>
        <v>0</v>
      </c>
      <c r="AG314" s="6" t="n">
        <f aca="false">I314</f>
        <v>0</v>
      </c>
      <c r="AH314" s="6" t="n">
        <f aca="false">L314</f>
        <v>0</v>
      </c>
    </row>
    <row r="315" customFormat="false" ht="15" hidden="false" customHeight="false" outlineLevel="0" collapsed="false">
      <c r="A315" s="0" t="str">
        <f aca="false">'Raw Data'!C315</f>
        <v>Deerfield</v>
      </c>
      <c r="B315" s="5" t="n">
        <f aca="false">'Raw Data'!A315</f>
        <v>40337</v>
      </c>
      <c r="C315" s="6" t="n">
        <f aca="false">'Raw Data'!D315</f>
        <v>344.058089663646</v>
      </c>
      <c r="D315" s="6" t="n">
        <f aca="false">'Raw Data'!E315</f>
        <v>4.075714286</v>
      </c>
      <c r="E315" s="6" t="n">
        <f aca="false">'Raw Data'!F315</f>
        <v>1</v>
      </c>
      <c r="F315" s="6" t="n">
        <f aca="false">'Raw Data'!G315</f>
        <v>0</v>
      </c>
      <c r="G315" s="6" t="n">
        <f aca="false">'Raw Data'!H315</f>
        <v>1</v>
      </c>
      <c r="H315" s="6" t="n">
        <f aca="false">'Raw Data'!I315</f>
        <v>0</v>
      </c>
      <c r="I315" s="6" t="n">
        <f aca="false">'Raw Data'!J315</f>
        <v>0</v>
      </c>
      <c r="J315" s="6" t="n">
        <f aca="false">'Raw Data'!K315</f>
        <v>3</v>
      </c>
      <c r="K315" s="6" t="n">
        <f aca="false">'Raw Data'!L315</f>
        <v>3</v>
      </c>
      <c r="L315" s="6" t="n">
        <f aca="false">F315*E315</f>
        <v>0</v>
      </c>
      <c r="N315" s="0" t="n">
        <v>1</v>
      </c>
      <c r="O315" s="6" t="n">
        <f aca="false">D315</f>
        <v>4.075714286</v>
      </c>
      <c r="P315" s="6" t="n">
        <f aca="false">E315</f>
        <v>1</v>
      </c>
      <c r="Q315" s="6" t="n">
        <f aca="false">F315</f>
        <v>0</v>
      </c>
      <c r="R315" s="6" t="n">
        <f aca="false">G315</f>
        <v>1</v>
      </c>
      <c r="S315" s="6" t="n">
        <f aca="false">H315</f>
        <v>0</v>
      </c>
      <c r="T315" s="6" t="n">
        <f aca="false">I315</f>
        <v>0</v>
      </c>
      <c r="U315" s="6" t="n">
        <f aca="false">L315</f>
        <v>0</v>
      </c>
      <c r="W315" s="6" t="n">
        <f aca="false">D315</f>
        <v>4.075714286</v>
      </c>
      <c r="X315" s="6" t="n">
        <f aca="false">E315</f>
        <v>1</v>
      </c>
      <c r="Y315" s="6" t="n">
        <f aca="false">F315</f>
        <v>0</v>
      </c>
      <c r="Z315" s="6" t="n">
        <f aca="false">L315</f>
        <v>0</v>
      </c>
      <c r="AA315" s="6" t="n">
        <f aca="false">G315</f>
        <v>1</v>
      </c>
      <c r="AC315" s="6" t="n">
        <f aca="false">D315</f>
        <v>4.075714286</v>
      </c>
      <c r="AD315" s="6" t="n">
        <f aca="false">E315</f>
        <v>1</v>
      </c>
      <c r="AE315" s="6" t="n">
        <f aca="false">G315</f>
        <v>1</v>
      </c>
      <c r="AF315" s="6" t="n">
        <f aca="false">H315</f>
        <v>0</v>
      </c>
      <c r="AG315" s="6" t="n">
        <f aca="false">I315</f>
        <v>0</v>
      </c>
      <c r="AH315" s="6" t="n">
        <f aca="false">L315</f>
        <v>0</v>
      </c>
    </row>
    <row r="316" customFormat="false" ht="15" hidden="false" customHeight="false" outlineLevel="0" collapsed="false">
      <c r="A316" s="0" t="str">
        <f aca="false">'Raw Data'!C316</f>
        <v>Deerfield</v>
      </c>
      <c r="B316" s="5" t="n">
        <f aca="false">'Raw Data'!A316</f>
        <v>40344</v>
      </c>
      <c r="C316" s="6" t="n">
        <f aca="false">'Raw Data'!D316</f>
        <v>308.461413574345</v>
      </c>
      <c r="D316" s="6" t="n">
        <f aca="false">'Raw Data'!E316</f>
        <v>4.075714286</v>
      </c>
      <c r="E316" s="6" t="n">
        <f aca="false">'Raw Data'!F316</f>
        <v>1</v>
      </c>
      <c r="F316" s="6" t="n">
        <f aca="false">'Raw Data'!G316</f>
        <v>0</v>
      </c>
      <c r="G316" s="6" t="n">
        <f aca="false">'Raw Data'!H316</f>
        <v>0</v>
      </c>
      <c r="H316" s="6" t="n">
        <f aca="false">'Raw Data'!I316</f>
        <v>1</v>
      </c>
      <c r="I316" s="6" t="n">
        <f aca="false">'Raw Data'!J316</f>
        <v>0</v>
      </c>
      <c r="J316" s="6" t="n">
        <f aca="false">'Raw Data'!K316</f>
        <v>3</v>
      </c>
      <c r="K316" s="6" t="n">
        <f aca="false">'Raw Data'!L316</f>
        <v>3</v>
      </c>
      <c r="L316" s="6" t="n">
        <f aca="false">F316*E316</f>
        <v>0</v>
      </c>
      <c r="N316" s="0" t="n">
        <v>1</v>
      </c>
      <c r="O316" s="6" t="n">
        <f aca="false">D316</f>
        <v>4.075714286</v>
      </c>
      <c r="P316" s="6" t="n">
        <f aca="false">E316</f>
        <v>1</v>
      </c>
      <c r="Q316" s="6" t="n">
        <f aca="false">F316</f>
        <v>0</v>
      </c>
      <c r="R316" s="6" t="n">
        <f aca="false">G316</f>
        <v>0</v>
      </c>
      <c r="S316" s="6" t="n">
        <f aca="false">H316</f>
        <v>1</v>
      </c>
      <c r="T316" s="6" t="n">
        <f aca="false">I316</f>
        <v>0</v>
      </c>
      <c r="U316" s="6" t="n">
        <f aca="false">L316</f>
        <v>0</v>
      </c>
      <c r="W316" s="6" t="n">
        <f aca="false">D316</f>
        <v>4.075714286</v>
      </c>
      <c r="X316" s="6" t="n">
        <f aca="false">E316</f>
        <v>1</v>
      </c>
      <c r="Y316" s="6" t="n">
        <f aca="false">F316</f>
        <v>0</v>
      </c>
      <c r="Z316" s="6" t="n">
        <f aca="false">L316</f>
        <v>0</v>
      </c>
      <c r="AA316" s="6" t="n">
        <f aca="false">G316</f>
        <v>0</v>
      </c>
      <c r="AC316" s="6" t="n">
        <f aca="false">D316</f>
        <v>4.075714286</v>
      </c>
      <c r="AD316" s="6" t="n">
        <f aca="false">E316</f>
        <v>1</v>
      </c>
      <c r="AE316" s="6" t="n">
        <f aca="false">G316</f>
        <v>0</v>
      </c>
      <c r="AF316" s="6" t="n">
        <f aca="false">H316</f>
        <v>1</v>
      </c>
      <c r="AG316" s="6" t="n">
        <f aca="false">I316</f>
        <v>0</v>
      </c>
      <c r="AH316" s="6" t="n">
        <f aca="false">L316</f>
        <v>0</v>
      </c>
    </row>
    <row r="317" customFormat="false" ht="15" hidden="false" customHeight="false" outlineLevel="0" collapsed="false">
      <c r="A317" s="0" t="str">
        <f aca="false">'Raw Data'!C317</f>
        <v>Deerfield</v>
      </c>
      <c r="B317" s="5" t="n">
        <f aca="false">'Raw Data'!A317</f>
        <v>40351</v>
      </c>
      <c r="C317" s="6" t="n">
        <f aca="false">'Raw Data'!D317</f>
        <v>350.904742750509</v>
      </c>
      <c r="D317" s="6" t="n">
        <f aca="false">'Raw Data'!E317</f>
        <v>3.59</v>
      </c>
      <c r="E317" s="6" t="n">
        <f aca="false">'Raw Data'!F317</f>
        <v>1</v>
      </c>
      <c r="F317" s="6" t="n">
        <f aca="false">'Raw Data'!G317</f>
        <v>0</v>
      </c>
      <c r="G317" s="6" t="n">
        <f aca="false">'Raw Data'!H317</f>
        <v>0</v>
      </c>
      <c r="H317" s="6" t="n">
        <f aca="false">'Raw Data'!I317</f>
        <v>1</v>
      </c>
      <c r="I317" s="6" t="n">
        <f aca="false">'Raw Data'!J317</f>
        <v>0</v>
      </c>
      <c r="J317" s="6" t="n">
        <f aca="false">'Raw Data'!K317</f>
        <v>3</v>
      </c>
      <c r="K317" s="6" t="n">
        <f aca="false">'Raw Data'!L317</f>
        <v>3</v>
      </c>
      <c r="L317" s="6" t="n">
        <f aca="false">F317*E317</f>
        <v>0</v>
      </c>
      <c r="N317" s="0" t="n">
        <v>1</v>
      </c>
      <c r="O317" s="6" t="n">
        <f aca="false">D317</f>
        <v>3.59</v>
      </c>
      <c r="P317" s="6" t="n">
        <f aca="false">E317</f>
        <v>1</v>
      </c>
      <c r="Q317" s="6" t="n">
        <f aca="false">F317</f>
        <v>0</v>
      </c>
      <c r="R317" s="6" t="n">
        <f aca="false">G317</f>
        <v>0</v>
      </c>
      <c r="S317" s="6" t="n">
        <f aca="false">H317</f>
        <v>1</v>
      </c>
      <c r="T317" s="6" t="n">
        <f aca="false">I317</f>
        <v>0</v>
      </c>
      <c r="U317" s="6" t="n">
        <f aca="false">L317</f>
        <v>0</v>
      </c>
      <c r="W317" s="6" t="n">
        <f aca="false">D317</f>
        <v>3.59</v>
      </c>
      <c r="X317" s="6" t="n">
        <f aca="false">E317</f>
        <v>1</v>
      </c>
      <c r="Y317" s="6" t="n">
        <f aca="false">F317</f>
        <v>0</v>
      </c>
      <c r="Z317" s="6" t="n">
        <f aca="false">L317</f>
        <v>0</v>
      </c>
      <c r="AA317" s="6" t="n">
        <f aca="false">G317</f>
        <v>0</v>
      </c>
      <c r="AC317" s="6" t="n">
        <f aca="false">D317</f>
        <v>3.59</v>
      </c>
      <c r="AD317" s="6" t="n">
        <f aca="false">E317</f>
        <v>1</v>
      </c>
      <c r="AE317" s="6" t="n">
        <f aca="false">G317</f>
        <v>0</v>
      </c>
      <c r="AF317" s="6" t="n">
        <f aca="false">H317</f>
        <v>1</v>
      </c>
      <c r="AG317" s="6" t="n">
        <f aca="false">I317</f>
        <v>0</v>
      </c>
      <c r="AH317" s="6" t="n">
        <f aca="false">L317</f>
        <v>0</v>
      </c>
    </row>
    <row r="318" customFormat="false" ht="15" hidden="false" customHeight="false" outlineLevel="0" collapsed="false">
      <c r="A318" s="0" t="str">
        <f aca="false">'Raw Data'!C318</f>
        <v>Deerfield</v>
      </c>
      <c r="B318" s="5" t="n">
        <f aca="false">'Raw Data'!A318</f>
        <v>40358</v>
      </c>
      <c r="C318" s="6" t="n">
        <f aca="false">'Raw Data'!D318</f>
        <v>333.065646166782</v>
      </c>
      <c r="D318" s="6" t="n">
        <f aca="false">'Raw Data'!E318</f>
        <v>4.056666667</v>
      </c>
      <c r="E318" s="6" t="n">
        <f aca="false">'Raw Data'!F318</f>
        <v>1</v>
      </c>
      <c r="F318" s="6" t="n">
        <f aca="false">'Raw Data'!G318</f>
        <v>0</v>
      </c>
      <c r="G318" s="6" t="n">
        <f aca="false">'Raw Data'!H318</f>
        <v>0</v>
      </c>
      <c r="H318" s="6" t="n">
        <f aca="false">'Raw Data'!I318</f>
        <v>1</v>
      </c>
      <c r="I318" s="6" t="n">
        <f aca="false">'Raw Data'!J318</f>
        <v>0</v>
      </c>
      <c r="J318" s="6" t="n">
        <f aca="false">'Raw Data'!K318</f>
        <v>3</v>
      </c>
      <c r="K318" s="6" t="n">
        <f aca="false">'Raw Data'!L318</f>
        <v>3</v>
      </c>
      <c r="L318" s="6" t="n">
        <f aca="false">F318*E318</f>
        <v>0</v>
      </c>
      <c r="N318" s="0" t="n">
        <v>1</v>
      </c>
      <c r="O318" s="6" t="n">
        <f aca="false">D318</f>
        <v>4.056666667</v>
      </c>
      <c r="P318" s="6" t="n">
        <f aca="false">E318</f>
        <v>1</v>
      </c>
      <c r="Q318" s="6" t="n">
        <f aca="false">F318</f>
        <v>0</v>
      </c>
      <c r="R318" s="6" t="n">
        <f aca="false">G318</f>
        <v>0</v>
      </c>
      <c r="S318" s="6" t="n">
        <f aca="false">H318</f>
        <v>1</v>
      </c>
      <c r="T318" s="6" t="n">
        <f aca="false">I318</f>
        <v>0</v>
      </c>
      <c r="U318" s="6" t="n">
        <f aca="false">L318</f>
        <v>0</v>
      </c>
      <c r="W318" s="6" t="n">
        <f aca="false">D318</f>
        <v>4.056666667</v>
      </c>
      <c r="X318" s="6" t="n">
        <f aca="false">E318</f>
        <v>1</v>
      </c>
      <c r="Y318" s="6" t="n">
        <f aca="false">F318</f>
        <v>0</v>
      </c>
      <c r="Z318" s="6" t="n">
        <f aca="false">L318</f>
        <v>0</v>
      </c>
      <c r="AA318" s="6" t="n">
        <f aca="false">G318</f>
        <v>0</v>
      </c>
      <c r="AC318" s="6" t="n">
        <f aca="false">D318</f>
        <v>4.056666667</v>
      </c>
      <c r="AD318" s="6" t="n">
        <f aca="false">E318</f>
        <v>1</v>
      </c>
      <c r="AE318" s="6" t="n">
        <f aca="false">G318</f>
        <v>0</v>
      </c>
      <c r="AF318" s="6" t="n">
        <f aca="false">H318</f>
        <v>1</v>
      </c>
      <c r="AG318" s="6" t="n">
        <f aca="false">I318</f>
        <v>0</v>
      </c>
      <c r="AH318" s="6" t="n">
        <f aca="false">L318</f>
        <v>0</v>
      </c>
    </row>
    <row r="319" customFormat="false" ht="15" hidden="false" customHeight="false" outlineLevel="0" collapsed="false">
      <c r="A319" s="0" t="str">
        <f aca="false">'Raw Data'!C319</f>
        <v>Deerfield</v>
      </c>
      <c r="B319" s="5" t="n">
        <f aca="false">'Raw Data'!A319</f>
        <v>40365</v>
      </c>
      <c r="C319" s="6" t="n">
        <f aca="false">'Raw Data'!D319</f>
        <v>352.880129956889</v>
      </c>
      <c r="D319" s="6" t="n">
        <f aca="false">'Raw Data'!E319</f>
        <v>3.373571429</v>
      </c>
      <c r="E319" s="6" t="n">
        <f aca="false">'Raw Data'!F319</f>
        <v>1</v>
      </c>
      <c r="F319" s="6" t="n">
        <f aca="false">'Raw Data'!G319</f>
        <v>0</v>
      </c>
      <c r="G319" s="6" t="n">
        <f aca="false">'Raw Data'!H319</f>
        <v>0</v>
      </c>
      <c r="H319" s="6" t="n">
        <f aca="false">'Raw Data'!I319</f>
        <v>0</v>
      </c>
      <c r="I319" s="6" t="n">
        <f aca="false">'Raw Data'!J319</f>
        <v>1</v>
      </c>
      <c r="J319" s="6" t="n">
        <f aca="false">'Raw Data'!K319</f>
        <v>3</v>
      </c>
      <c r="K319" s="6" t="n">
        <f aca="false">'Raw Data'!L319</f>
        <v>3</v>
      </c>
      <c r="L319" s="6" t="n">
        <f aca="false">F319*E319</f>
        <v>0</v>
      </c>
      <c r="N319" s="0" t="n">
        <v>1</v>
      </c>
      <c r="O319" s="6" t="n">
        <f aca="false">D319</f>
        <v>3.373571429</v>
      </c>
      <c r="P319" s="6" t="n">
        <f aca="false">E319</f>
        <v>1</v>
      </c>
      <c r="Q319" s="6" t="n">
        <f aca="false">F319</f>
        <v>0</v>
      </c>
      <c r="R319" s="6" t="n">
        <f aca="false">G319</f>
        <v>0</v>
      </c>
      <c r="S319" s="6" t="n">
        <f aca="false">H319</f>
        <v>0</v>
      </c>
      <c r="T319" s="6" t="n">
        <f aca="false">I319</f>
        <v>1</v>
      </c>
      <c r="U319" s="6" t="n">
        <f aca="false">L319</f>
        <v>0</v>
      </c>
      <c r="W319" s="6" t="n">
        <f aca="false">D319</f>
        <v>3.373571429</v>
      </c>
      <c r="X319" s="6" t="n">
        <f aca="false">E319</f>
        <v>1</v>
      </c>
      <c r="Y319" s="6" t="n">
        <f aca="false">F319</f>
        <v>0</v>
      </c>
      <c r="Z319" s="6" t="n">
        <f aca="false">L319</f>
        <v>0</v>
      </c>
      <c r="AA319" s="6" t="n">
        <f aca="false">G319</f>
        <v>0</v>
      </c>
      <c r="AC319" s="6" t="n">
        <f aca="false">D319</f>
        <v>3.373571429</v>
      </c>
      <c r="AD319" s="6" t="n">
        <f aca="false">E319</f>
        <v>1</v>
      </c>
      <c r="AE319" s="6" t="n">
        <f aca="false">G319</f>
        <v>0</v>
      </c>
      <c r="AF319" s="6" t="n">
        <f aca="false">H319</f>
        <v>0</v>
      </c>
      <c r="AG319" s="6" t="n">
        <f aca="false">I319</f>
        <v>1</v>
      </c>
      <c r="AH319" s="6" t="n">
        <f aca="false">L319</f>
        <v>0</v>
      </c>
    </row>
    <row r="320" customFormat="false" ht="15" hidden="false" customHeight="false" outlineLevel="0" collapsed="false">
      <c r="A320" s="0" t="str">
        <f aca="false">'Raw Data'!C320</f>
        <v>Deerfield</v>
      </c>
      <c r="B320" s="5" t="n">
        <f aca="false">'Raw Data'!A320</f>
        <v>40372</v>
      </c>
      <c r="C320" s="6" t="n">
        <f aca="false">'Raw Data'!D320</f>
        <v>348.121370232371</v>
      </c>
      <c r="D320" s="6" t="n">
        <f aca="false">'Raw Data'!E320</f>
        <v>4.114</v>
      </c>
      <c r="E320" s="6" t="n">
        <f aca="false">'Raw Data'!F320</f>
        <v>1</v>
      </c>
      <c r="F320" s="6" t="n">
        <f aca="false">'Raw Data'!G320</f>
        <v>0</v>
      </c>
      <c r="G320" s="6" t="n">
        <f aca="false">'Raw Data'!H320</f>
        <v>0</v>
      </c>
      <c r="H320" s="6" t="n">
        <f aca="false">'Raw Data'!I320</f>
        <v>0</v>
      </c>
      <c r="I320" s="6" t="n">
        <f aca="false">'Raw Data'!J320</f>
        <v>1</v>
      </c>
      <c r="J320" s="6" t="n">
        <f aca="false">'Raw Data'!K320</f>
        <v>3</v>
      </c>
      <c r="K320" s="6" t="n">
        <f aca="false">'Raw Data'!L320</f>
        <v>3</v>
      </c>
      <c r="L320" s="6" t="n">
        <f aca="false">F320*E320</f>
        <v>0</v>
      </c>
      <c r="N320" s="0" t="n">
        <v>1</v>
      </c>
      <c r="O320" s="6" t="n">
        <f aca="false">D320</f>
        <v>4.114</v>
      </c>
      <c r="P320" s="6" t="n">
        <f aca="false">E320</f>
        <v>1</v>
      </c>
      <c r="Q320" s="6" t="n">
        <f aca="false">F320</f>
        <v>0</v>
      </c>
      <c r="R320" s="6" t="n">
        <f aca="false">G320</f>
        <v>0</v>
      </c>
      <c r="S320" s="6" t="n">
        <f aca="false">H320</f>
        <v>0</v>
      </c>
      <c r="T320" s="6" t="n">
        <f aca="false">I320</f>
        <v>1</v>
      </c>
      <c r="U320" s="6" t="n">
        <f aca="false">L320</f>
        <v>0</v>
      </c>
      <c r="W320" s="6" t="n">
        <f aca="false">D320</f>
        <v>4.114</v>
      </c>
      <c r="X320" s="6" t="n">
        <f aca="false">E320</f>
        <v>1</v>
      </c>
      <c r="Y320" s="6" t="n">
        <f aca="false">F320</f>
        <v>0</v>
      </c>
      <c r="Z320" s="6" t="n">
        <f aca="false">L320</f>
        <v>0</v>
      </c>
      <c r="AA320" s="6" t="n">
        <f aca="false">G320</f>
        <v>0</v>
      </c>
      <c r="AC320" s="6" t="n">
        <f aca="false">D320</f>
        <v>4.114</v>
      </c>
      <c r="AD320" s="6" t="n">
        <f aca="false">E320</f>
        <v>1</v>
      </c>
      <c r="AE320" s="6" t="n">
        <f aca="false">G320</f>
        <v>0</v>
      </c>
      <c r="AF320" s="6" t="n">
        <f aca="false">H320</f>
        <v>0</v>
      </c>
      <c r="AG320" s="6" t="n">
        <f aca="false">I320</f>
        <v>1</v>
      </c>
      <c r="AH320" s="6" t="n">
        <f aca="false">L320</f>
        <v>0</v>
      </c>
    </row>
    <row r="321" customFormat="false" ht="15" hidden="false" customHeight="false" outlineLevel="0" collapsed="false">
      <c r="A321" s="0" t="str">
        <f aca="false">'Raw Data'!C321</f>
        <v>Galleria</v>
      </c>
      <c r="B321" s="5" t="n">
        <f aca="false">'Raw Data'!A321</f>
        <v>40302</v>
      </c>
      <c r="C321" s="6" t="n">
        <f aca="false">'Raw Data'!D321</f>
        <v>314.561765375989</v>
      </c>
      <c r="D321" s="6" t="n">
        <f aca="false">'Raw Data'!E321</f>
        <v>4.167777778</v>
      </c>
      <c r="E321" s="6" t="n">
        <f aca="false">'Raw Data'!F321</f>
        <v>1</v>
      </c>
      <c r="F321" s="6" t="n">
        <f aca="false">'Raw Data'!G321</f>
        <v>0</v>
      </c>
      <c r="G321" s="6" t="n">
        <f aca="false">'Raw Data'!H321</f>
        <v>0</v>
      </c>
      <c r="H321" s="6" t="n">
        <f aca="false">'Raw Data'!I321</f>
        <v>0</v>
      </c>
      <c r="I321" s="6" t="n">
        <f aca="false">'Raw Data'!J321</f>
        <v>0</v>
      </c>
      <c r="J321" s="6" t="n">
        <f aca="false">'Raw Data'!K321</f>
        <v>1</v>
      </c>
      <c r="K321" s="6" t="n">
        <f aca="false">'Raw Data'!L321</f>
        <v>4</v>
      </c>
      <c r="L321" s="6" t="n">
        <f aca="false">F321*E321</f>
        <v>0</v>
      </c>
      <c r="N321" s="0" t="n">
        <v>1</v>
      </c>
      <c r="O321" s="6" t="n">
        <f aca="false">D321</f>
        <v>4.167777778</v>
      </c>
      <c r="P321" s="6" t="n">
        <f aca="false">E321</f>
        <v>1</v>
      </c>
      <c r="Q321" s="6" t="n">
        <f aca="false">F321</f>
        <v>0</v>
      </c>
      <c r="R321" s="6" t="n">
        <f aca="false">G321</f>
        <v>0</v>
      </c>
      <c r="S321" s="6" t="n">
        <f aca="false">H321</f>
        <v>0</v>
      </c>
      <c r="T321" s="6" t="n">
        <f aca="false">I321</f>
        <v>0</v>
      </c>
      <c r="U321" s="6" t="n">
        <f aca="false">L321</f>
        <v>0</v>
      </c>
      <c r="W321" s="6" t="n">
        <f aca="false">D321</f>
        <v>4.167777778</v>
      </c>
      <c r="X321" s="6" t="n">
        <f aca="false">E321</f>
        <v>1</v>
      </c>
      <c r="Y321" s="6" t="n">
        <f aca="false">F321</f>
        <v>0</v>
      </c>
      <c r="Z321" s="6" t="n">
        <f aca="false">L321</f>
        <v>0</v>
      </c>
      <c r="AA321" s="6" t="n">
        <f aca="false">G321</f>
        <v>0</v>
      </c>
      <c r="AC321" s="6" t="n">
        <f aca="false">D321</f>
        <v>4.167777778</v>
      </c>
      <c r="AD321" s="6" t="n">
        <f aca="false">E321</f>
        <v>1</v>
      </c>
      <c r="AE321" s="6" t="n">
        <f aca="false">G321</f>
        <v>0</v>
      </c>
      <c r="AF321" s="6" t="n">
        <f aca="false">H321</f>
        <v>0</v>
      </c>
      <c r="AG321" s="6" t="n">
        <f aca="false">I321</f>
        <v>0</v>
      </c>
      <c r="AH321" s="6" t="n">
        <f aca="false">L321</f>
        <v>0</v>
      </c>
    </row>
    <row r="322" customFormat="false" ht="15" hidden="false" customHeight="false" outlineLevel="0" collapsed="false">
      <c r="A322" s="0" t="str">
        <f aca="false">'Raw Data'!C322</f>
        <v>Galleria</v>
      </c>
      <c r="B322" s="5" t="n">
        <f aca="false">'Raw Data'!A322</f>
        <v>40309</v>
      </c>
      <c r="C322" s="6" t="n">
        <f aca="false">'Raw Data'!D322</f>
        <v>197.926628245649</v>
      </c>
      <c r="D322" s="6" t="n">
        <f aca="false">'Raw Data'!E322</f>
        <v>4.167777778</v>
      </c>
      <c r="E322" s="6" t="n">
        <f aca="false">'Raw Data'!F322</f>
        <v>1</v>
      </c>
      <c r="F322" s="6" t="n">
        <f aca="false">'Raw Data'!G322</f>
        <v>0</v>
      </c>
      <c r="G322" s="6" t="n">
        <f aca="false">'Raw Data'!H322</f>
        <v>0</v>
      </c>
      <c r="H322" s="6" t="n">
        <f aca="false">'Raw Data'!I322</f>
        <v>0</v>
      </c>
      <c r="I322" s="6" t="n">
        <f aca="false">'Raw Data'!J322</f>
        <v>0</v>
      </c>
      <c r="J322" s="6" t="n">
        <f aca="false">'Raw Data'!K322</f>
        <v>1</v>
      </c>
      <c r="K322" s="6" t="n">
        <f aca="false">'Raw Data'!L322</f>
        <v>4</v>
      </c>
      <c r="L322" s="6" t="n">
        <f aca="false">F322*E322</f>
        <v>0</v>
      </c>
      <c r="N322" s="0" t="n">
        <v>1</v>
      </c>
      <c r="O322" s="6" t="n">
        <f aca="false">D322</f>
        <v>4.167777778</v>
      </c>
      <c r="P322" s="6" t="n">
        <f aca="false">E322</f>
        <v>1</v>
      </c>
      <c r="Q322" s="6" t="n">
        <f aca="false">F322</f>
        <v>0</v>
      </c>
      <c r="R322" s="6" t="n">
        <f aca="false">G322</f>
        <v>0</v>
      </c>
      <c r="S322" s="6" t="n">
        <f aca="false">H322</f>
        <v>0</v>
      </c>
      <c r="T322" s="6" t="n">
        <f aca="false">I322</f>
        <v>0</v>
      </c>
      <c r="U322" s="6" t="n">
        <f aca="false">L322</f>
        <v>0</v>
      </c>
      <c r="W322" s="6" t="n">
        <f aca="false">D322</f>
        <v>4.167777778</v>
      </c>
      <c r="X322" s="6" t="n">
        <f aca="false">E322</f>
        <v>1</v>
      </c>
      <c r="Y322" s="6" t="n">
        <f aca="false">F322</f>
        <v>0</v>
      </c>
      <c r="Z322" s="6" t="n">
        <f aca="false">L322</f>
        <v>0</v>
      </c>
      <c r="AA322" s="6" t="n">
        <f aca="false">G322</f>
        <v>0</v>
      </c>
      <c r="AC322" s="6" t="n">
        <f aca="false">D322</f>
        <v>4.167777778</v>
      </c>
      <c r="AD322" s="6" t="n">
        <f aca="false">E322</f>
        <v>1</v>
      </c>
      <c r="AE322" s="6" t="n">
        <f aca="false">G322</f>
        <v>0</v>
      </c>
      <c r="AF322" s="6" t="n">
        <f aca="false">H322</f>
        <v>0</v>
      </c>
      <c r="AG322" s="6" t="n">
        <f aca="false">I322</f>
        <v>0</v>
      </c>
      <c r="AH322" s="6" t="n">
        <f aca="false">L322</f>
        <v>0</v>
      </c>
    </row>
    <row r="323" customFormat="false" ht="15" hidden="false" customHeight="false" outlineLevel="0" collapsed="false">
      <c r="A323" s="0" t="str">
        <f aca="false">'Raw Data'!C323</f>
        <v>Galleria</v>
      </c>
      <c r="B323" s="5" t="n">
        <f aca="false">'Raw Data'!A323</f>
        <v>40316</v>
      </c>
      <c r="C323" s="6" t="n">
        <f aca="false">'Raw Data'!D323</f>
        <v>204.791838717784</v>
      </c>
      <c r="D323" s="6" t="n">
        <f aca="false">'Raw Data'!E323</f>
        <v>3.543846154</v>
      </c>
      <c r="E323" s="6" t="n">
        <f aca="false">'Raw Data'!F323</f>
        <v>1</v>
      </c>
      <c r="F323" s="6" t="n">
        <f aca="false">'Raw Data'!G323</f>
        <v>0</v>
      </c>
      <c r="G323" s="6" t="n">
        <f aca="false">'Raw Data'!H323</f>
        <v>0</v>
      </c>
      <c r="H323" s="6" t="n">
        <f aca="false">'Raw Data'!I323</f>
        <v>0</v>
      </c>
      <c r="I323" s="6" t="n">
        <f aca="false">'Raw Data'!J323</f>
        <v>0</v>
      </c>
      <c r="J323" s="6" t="n">
        <f aca="false">'Raw Data'!K323</f>
        <v>1</v>
      </c>
      <c r="K323" s="6" t="n">
        <f aca="false">'Raw Data'!L323</f>
        <v>4</v>
      </c>
      <c r="L323" s="6" t="n">
        <f aca="false">F323*E323</f>
        <v>0</v>
      </c>
      <c r="N323" s="0" t="n">
        <v>1</v>
      </c>
      <c r="O323" s="6" t="n">
        <f aca="false">D323</f>
        <v>3.543846154</v>
      </c>
      <c r="P323" s="6" t="n">
        <f aca="false">E323</f>
        <v>1</v>
      </c>
      <c r="Q323" s="6" t="n">
        <f aca="false">F323</f>
        <v>0</v>
      </c>
      <c r="R323" s="6" t="n">
        <f aca="false">G323</f>
        <v>0</v>
      </c>
      <c r="S323" s="6" t="n">
        <f aca="false">H323</f>
        <v>0</v>
      </c>
      <c r="T323" s="6" t="n">
        <f aca="false">I323</f>
        <v>0</v>
      </c>
      <c r="U323" s="6" t="n">
        <f aca="false">L323</f>
        <v>0</v>
      </c>
      <c r="W323" s="6" t="n">
        <f aca="false">D323</f>
        <v>3.543846154</v>
      </c>
      <c r="X323" s="6" t="n">
        <f aca="false">E323</f>
        <v>1</v>
      </c>
      <c r="Y323" s="6" t="n">
        <f aca="false">F323</f>
        <v>0</v>
      </c>
      <c r="Z323" s="6" t="n">
        <f aca="false">L323</f>
        <v>0</v>
      </c>
      <c r="AA323" s="6" t="n">
        <f aca="false">G323</f>
        <v>0</v>
      </c>
      <c r="AC323" s="6" t="n">
        <f aca="false">D323</f>
        <v>3.543846154</v>
      </c>
      <c r="AD323" s="6" t="n">
        <f aca="false">E323</f>
        <v>1</v>
      </c>
      <c r="AE323" s="6" t="n">
        <f aca="false">G323</f>
        <v>0</v>
      </c>
      <c r="AF323" s="6" t="n">
        <f aca="false">H323</f>
        <v>0</v>
      </c>
      <c r="AG323" s="6" t="n">
        <f aca="false">I323</f>
        <v>0</v>
      </c>
      <c r="AH323" s="6" t="n">
        <f aca="false">L323</f>
        <v>0</v>
      </c>
    </row>
    <row r="324" customFormat="false" ht="15" hidden="false" customHeight="false" outlineLevel="0" collapsed="false">
      <c r="A324" s="0" t="str">
        <f aca="false">'Raw Data'!C324</f>
        <v>Galleria</v>
      </c>
      <c r="B324" s="5" t="n">
        <f aca="false">'Raw Data'!A324</f>
        <v>40323</v>
      </c>
      <c r="C324" s="6" t="n">
        <f aca="false">'Raw Data'!D324</f>
        <v>181.474055781315</v>
      </c>
      <c r="D324" s="6" t="n">
        <f aca="false">'Raw Data'!E324</f>
        <v>3.64</v>
      </c>
      <c r="E324" s="6" t="n">
        <f aca="false">'Raw Data'!F324</f>
        <v>1</v>
      </c>
      <c r="F324" s="6" t="n">
        <f aca="false">'Raw Data'!G324</f>
        <v>0</v>
      </c>
      <c r="G324" s="6" t="n">
        <f aca="false">'Raw Data'!H324</f>
        <v>0</v>
      </c>
      <c r="H324" s="6" t="n">
        <f aca="false">'Raw Data'!I324</f>
        <v>0</v>
      </c>
      <c r="I324" s="6" t="n">
        <f aca="false">'Raw Data'!J324</f>
        <v>0</v>
      </c>
      <c r="J324" s="6" t="n">
        <f aca="false">'Raw Data'!K324</f>
        <v>1</v>
      </c>
      <c r="K324" s="6" t="n">
        <f aca="false">'Raw Data'!L324</f>
        <v>4</v>
      </c>
      <c r="L324" s="6" t="n">
        <f aca="false">F324*E324</f>
        <v>0</v>
      </c>
      <c r="N324" s="0" t="n">
        <v>1</v>
      </c>
      <c r="O324" s="6" t="n">
        <f aca="false">D324</f>
        <v>3.64</v>
      </c>
      <c r="P324" s="6" t="n">
        <f aca="false">E324</f>
        <v>1</v>
      </c>
      <c r="Q324" s="6" t="n">
        <f aca="false">F324</f>
        <v>0</v>
      </c>
      <c r="R324" s="6" t="n">
        <f aca="false">G324</f>
        <v>0</v>
      </c>
      <c r="S324" s="6" t="n">
        <f aca="false">H324</f>
        <v>0</v>
      </c>
      <c r="T324" s="6" t="n">
        <f aca="false">I324</f>
        <v>0</v>
      </c>
      <c r="U324" s="6" t="n">
        <f aca="false">L324</f>
        <v>0</v>
      </c>
      <c r="W324" s="6" t="n">
        <f aca="false">D324</f>
        <v>3.64</v>
      </c>
      <c r="X324" s="6" t="n">
        <f aca="false">E324</f>
        <v>1</v>
      </c>
      <c r="Y324" s="6" t="n">
        <f aca="false">F324</f>
        <v>0</v>
      </c>
      <c r="Z324" s="6" t="n">
        <f aca="false">L324</f>
        <v>0</v>
      </c>
      <c r="AA324" s="6" t="n">
        <f aca="false">G324</f>
        <v>0</v>
      </c>
      <c r="AC324" s="6" t="n">
        <f aca="false">D324</f>
        <v>3.64</v>
      </c>
      <c r="AD324" s="6" t="n">
        <f aca="false">E324</f>
        <v>1</v>
      </c>
      <c r="AE324" s="6" t="n">
        <f aca="false">G324</f>
        <v>0</v>
      </c>
      <c r="AF324" s="6" t="n">
        <f aca="false">H324</f>
        <v>0</v>
      </c>
      <c r="AG324" s="6" t="n">
        <f aca="false">I324</f>
        <v>0</v>
      </c>
      <c r="AH324" s="6" t="n">
        <f aca="false">L324</f>
        <v>0</v>
      </c>
    </row>
    <row r="325" customFormat="false" ht="15" hidden="false" customHeight="false" outlineLevel="0" collapsed="false">
      <c r="A325" s="0" t="str">
        <f aca="false">'Raw Data'!C325</f>
        <v>Galleria</v>
      </c>
      <c r="B325" s="5" t="n">
        <f aca="false">'Raw Data'!A325</f>
        <v>40330</v>
      </c>
      <c r="C325" s="6" t="n">
        <f aca="false">'Raw Data'!D325</f>
        <v>287.24276312415</v>
      </c>
      <c r="D325" s="6" t="n">
        <f aca="false">'Raw Data'!E325</f>
        <v>3.543846154</v>
      </c>
      <c r="E325" s="6" t="n">
        <f aca="false">'Raw Data'!F325</f>
        <v>1</v>
      </c>
      <c r="F325" s="6" t="n">
        <f aca="false">'Raw Data'!G325</f>
        <v>0</v>
      </c>
      <c r="G325" s="6" t="n">
        <f aca="false">'Raw Data'!H325</f>
        <v>0</v>
      </c>
      <c r="H325" s="6" t="n">
        <f aca="false">'Raw Data'!I325</f>
        <v>0</v>
      </c>
      <c r="I325" s="6" t="n">
        <f aca="false">'Raw Data'!J325</f>
        <v>0</v>
      </c>
      <c r="J325" s="6" t="n">
        <f aca="false">'Raw Data'!K325</f>
        <v>1</v>
      </c>
      <c r="K325" s="6" t="n">
        <f aca="false">'Raw Data'!L325</f>
        <v>4</v>
      </c>
      <c r="L325" s="6" t="n">
        <f aca="false">F325*E325</f>
        <v>0</v>
      </c>
      <c r="N325" s="0" t="n">
        <v>1</v>
      </c>
      <c r="O325" s="6" t="n">
        <f aca="false">D325</f>
        <v>3.543846154</v>
      </c>
      <c r="P325" s="6" t="n">
        <f aca="false">E325</f>
        <v>1</v>
      </c>
      <c r="Q325" s="6" t="n">
        <f aca="false">F325</f>
        <v>0</v>
      </c>
      <c r="R325" s="6" t="n">
        <f aca="false">G325</f>
        <v>0</v>
      </c>
      <c r="S325" s="6" t="n">
        <f aca="false">H325</f>
        <v>0</v>
      </c>
      <c r="T325" s="6" t="n">
        <f aca="false">I325</f>
        <v>0</v>
      </c>
      <c r="U325" s="6" t="n">
        <f aca="false">L325</f>
        <v>0</v>
      </c>
      <c r="W325" s="6" t="n">
        <f aca="false">D325</f>
        <v>3.543846154</v>
      </c>
      <c r="X325" s="6" t="n">
        <f aca="false">E325</f>
        <v>1</v>
      </c>
      <c r="Y325" s="6" t="n">
        <f aca="false">F325</f>
        <v>0</v>
      </c>
      <c r="Z325" s="6" t="n">
        <f aca="false">L325</f>
        <v>0</v>
      </c>
      <c r="AA325" s="6" t="n">
        <f aca="false">G325</f>
        <v>0</v>
      </c>
      <c r="AC325" s="6" t="n">
        <f aca="false">D325</f>
        <v>3.543846154</v>
      </c>
      <c r="AD325" s="6" t="n">
        <f aca="false">E325</f>
        <v>1</v>
      </c>
      <c r="AE325" s="6" t="n">
        <f aca="false">G325</f>
        <v>0</v>
      </c>
      <c r="AF325" s="6" t="n">
        <f aca="false">H325</f>
        <v>0</v>
      </c>
      <c r="AG325" s="6" t="n">
        <f aca="false">I325</f>
        <v>0</v>
      </c>
      <c r="AH325" s="6" t="n">
        <f aca="false">L325</f>
        <v>0</v>
      </c>
    </row>
    <row r="326" customFormat="false" ht="15" hidden="false" customHeight="false" outlineLevel="0" collapsed="false">
      <c r="A326" s="0" t="str">
        <f aca="false">'Raw Data'!C326</f>
        <v>Galleria</v>
      </c>
      <c r="B326" s="5" t="n">
        <f aca="false">'Raw Data'!A326</f>
        <v>40337</v>
      </c>
      <c r="C326" s="6" t="n">
        <f aca="false">'Raw Data'!D326</f>
        <v>112.291422195347</v>
      </c>
      <c r="D326" s="6" t="n">
        <f aca="false">'Raw Data'!E326</f>
        <v>3.774615385</v>
      </c>
      <c r="E326" s="6" t="n">
        <f aca="false">'Raw Data'!F326</f>
        <v>1</v>
      </c>
      <c r="F326" s="6" t="n">
        <f aca="false">'Raw Data'!G326</f>
        <v>0</v>
      </c>
      <c r="G326" s="6" t="n">
        <f aca="false">'Raw Data'!H326</f>
        <v>0</v>
      </c>
      <c r="H326" s="6" t="n">
        <f aca="false">'Raw Data'!I326</f>
        <v>0</v>
      </c>
      <c r="I326" s="6" t="n">
        <f aca="false">'Raw Data'!J326</f>
        <v>0</v>
      </c>
      <c r="J326" s="6" t="n">
        <f aca="false">'Raw Data'!K326</f>
        <v>1</v>
      </c>
      <c r="K326" s="6" t="n">
        <f aca="false">'Raw Data'!L326</f>
        <v>4</v>
      </c>
      <c r="L326" s="6" t="n">
        <f aca="false">F326*E326</f>
        <v>0</v>
      </c>
      <c r="N326" s="0" t="n">
        <v>1</v>
      </c>
      <c r="O326" s="6" t="n">
        <f aca="false">D326</f>
        <v>3.774615385</v>
      </c>
      <c r="P326" s="6" t="n">
        <f aca="false">E326</f>
        <v>1</v>
      </c>
      <c r="Q326" s="6" t="n">
        <f aca="false">F326</f>
        <v>0</v>
      </c>
      <c r="R326" s="6" t="n">
        <f aca="false">G326</f>
        <v>0</v>
      </c>
      <c r="S326" s="6" t="n">
        <f aca="false">H326</f>
        <v>0</v>
      </c>
      <c r="T326" s="6" t="n">
        <f aca="false">I326</f>
        <v>0</v>
      </c>
      <c r="U326" s="6" t="n">
        <f aca="false">L326</f>
        <v>0</v>
      </c>
      <c r="W326" s="6" t="n">
        <f aca="false">D326</f>
        <v>3.774615385</v>
      </c>
      <c r="X326" s="6" t="n">
        <f aca="false">E326</f>
        <v>1</v>
      </c>
      <c r="Y326" s="6" t="n">
        <f aca="false">F326</f>
        <v>0</v>
      </c>
      <c r="Z326" s="6" t="n">
        <f aca="false">L326</f>
        <v>0</v>
      </c>
      <c r="AA326" s="6" t="n">
        <f aca="false">G326</f>
        <v>0</v>
      </c>
      <c r="AC326" s="6" t="n">
        <f aca="false">D326</f>
        <v>3.774615385</v>
      </c>
      <c r="AD326" s="6" t="n">
        <f aca="false">E326</f>
        <v>1</v>
      </c>
      <c r="AE326" s="6" t="n">
        <f aca="false">G326</f>
        <v>0</v>
      </c>
      <c r="AF326" s="6" t="n">
        <f aca="false">H326</f>
        <v>0</v>
      </c>
      <c r="AG326" s="6" t="n">
        <f aca="false">I326</f>
        <v>0</v>
      </c>
      <c r="AH326" s="6" t="n">
        <f aca="false">L326</f>
        <v>0</v>
      </c>
    </row>
    <row r="327" customFormat="false" ht="15" hidden="false" customHeight="false" outlineLevel="0" collapsed="false">
      <c r="A327" s="0" t="str">
        <f aca="false">'Raw Data'!C327</f>
        <v>Galleria</v>
      </c>
      <c r="B327" s="5" t="n">
        <f aca="false">'Raw Data'!A327</f>
        <v>40344</v>
      </c>
      <c r="C327" s="6" t="n">
        <f aca="false">'Raw Data'!D327</f>
        <v>232.401877861226</v>
      </c>
      <c r="D327" s="6" t="n">
        <f aca="false">'Raw Data'!E327</f>
        <v>3.818571429</v>
      </c>
      <c r="E327" s="6" t="n">
        <f aca="false">'Raw Data'!F327</f>
        <v>1</v>
      </c>
      <c r="F327" s="6" t="n">
        <f aca="false">'Raw Data'!G327</f>
        <v>0</v>
      </c>
      <c r="G327" s="6" t="n">
        <f aca="false">'Raw Data'!H327</f>
        <v>0</v>
      </c>
      <c r="H327" s="6" t="n">
        <f aca="false">'Raw Data'!I327</f>
        <v>0</v>
      </c>
      <c r="I327" s="6" t="n">
        <f aca="false">'Raw Data'!J327</f>
        <v>0</v>
      </c>
      <c r="J327" s="6" t="n">
        <f aca="false">'Raw Data'!K327</f>
        <v>1</v>
      </c>
      <c r="K327" s="6" t="n">
        <f aca="false">'Raw Data'!L327</f>
        <v>4</v>
      </c>
      <c r="L327" s="6" t="n">
        <f aca="false">F327*E327</f>
        <v>0</v>
      </c>
      <c r="N327" s="0" t="n">
        <v>1</v>
      </c>
      <c r="O327" s="6" t="n">
        <f aca="false">D327</f>
        <v>3.818571429</v>
      </c>
      <c r="P327" s="6" t="n">
        <f aca="false">E327</f>
        <v>1</v>
      </c>
      <c r="Q327" s="6" t="n">
        <f aca="false">F327</f>
        <v>0</v>
      </c>
      <c r="R327" s="6" t="n">
        <f aca="false">G327</f>
        <v>0</v>
      </c>
      <c r="S327" s="6" t="n">
        <f aca="false">H327</f>
        <v>0</v>
      </c>
      <c r="T327" s="6" t="n">
        <f aca="false">I327</f>
        <v>0</v>
      </c>
      <c r="U327" s="6" t="n">
        <f aca="false">L327</f>
        <v>0</v>
      </c>
      <c r="W327" s="6" t="n">
        <f aca="false">D327</f>
        <v>3.818571429</v>
      </c>
      <c r="X327" s="6" t="n">
        <f aca="false">E327</f>
        <v>1</v>
      </c>
      <c r="Y327" s="6" t="n">
        <f aca="false">F327</f>
        <v>0</v>
      </c>
      <c r="Z327" s="6" t="n">
        <f aca="false">L327</f>
        <v>0</v>
      </c>
      <c r="AA327" s="6" t="n">
        <f aca="false">G327</f>
        <v>0</v>
      </c>
      <c r="AC327" s="6" t="n">
        <f aca="false">D327</f>
        <v>3.818571429</v>
      </c>
      <c r="AD327" s="6" t="n">
        <f aca="false">E327</f>
        <v>1</v>
      </c>
      <c r="AE327" s="6" t="n">
        <f aca="false">G327</f>
        <v>0</v>
      </c>
      <c r="AF327" s="6" t="n">
        <f aca="false">H327</f>
        <v>0</v>
      </c>
      <c r="AG327" s="6" t="n">
        <f aca="false">I327</f>
        <v>0</v>
      </c>
      <c r="AH327" s="6" t="n">
        <f aca="false">L327</f>
        <v>0</v>
      </c>
    </row>
    <row r="328" customFormat="false" ht="15" hidden="false" customHeight="false" outlineLevel="0" collapsed="false">
      <c r="A328" s="0" t="str">
        <f aca="false">'Raw Data'!C328</f>
        <v>Galleria</v>
      </c>
      <c r="B328" s="5" t="n">
        <f aca="false">'Raw Data'!A328</f>
        <v>40351</v>
      </c>
      <c r="C328" s="6" t="n">
        <f aca="false">'Raw Data'!D328</f>
        <v>227.440315635017</v>
      </c>
      <c r="D328" s="6" t="n">
        <f aca="false">'Raw Data'!E328</f>
        <v>3.818571429</v>
      </c>
      <c r="E328" s="6" t="n">
        <f aca="false">'Raw Data'!F328</f>
        <v>1</v>
      </c>
      <c r="F328" s="6" t="n">
        <f aca="false">'Raw Data'!G328</f>
        <v>0</v>
      </c>
      <c r="G328" s="6" t="n">
        <f aca="false">'Raw Data'!H328</f>
        <v>0</v>
      </c>
      <c r="H328" s="6" t="n">
        <f aca="false">'Raw Data'!I328</f>
        <v>0</v>
      </c>
      <c r="I328" s="6" t="n">
        <f aca="false">'Raw Data'!J328</f>
        <v>0</v>
      </c>
      <c r="J328" s="6" t="n">
        <f aca="false">'Raw Data'!K328</f>
        <v>1</v>
      </c>
      <c r="K328" s="6" t="n">
        <f aca="false">'Raw Data'!L328</f>
        <v>4</v>
      </c>
      <c r="L328" s="6" t="n">
        <f aca="false">F328*E328</f>
        <v>0</v>
      </c>
      <c r="N328" s="0" t="n">
        <v>1</v>
      </c>
      <c r="O328" s="6" t="n">
        <f aca="false">D328</f>
        <v>3.818571429</v>
      </c>
      <c r="P328" s="6" t="n">
        <f aca="false">E328</f>
        <v>1</v>
      </c>
      <c r="Q328" s="6" t="n">
        <f aca="false">F328</f>
        <v>0</v>
      </c>
      <c r="R328" s="6" t="n">
        <f aca="false">G328</f>
        <v>0</v>
      </c>
      <c r="S328" s="6" t="n">
        <f aca="false">H328</f>
        <v>0</v>
      </c>
      <c r="T328" s="6" t="n">
        <f aca="false">I328</f>
        <v>0</v>
      </c>
      <c r="U328" s="6" t="n">
        <f aca="false">L328</f>
        <v>0</v>
      </c>
      <c r="W328" s="6" t="n">
        <f aca="false">D328</f>
        <v>3.818571429</v>
      </c>
      <c r="X328" s="6" t="n">
        <f aca="false">E328</f>
        <v>1</v>
      </c>
      <c r="Y328" s="6" t="n">
        <f aca="false">F328</f>
        <v>0</v>
      </c>
      <c r="Z328" s="6" t="n">
        <f aca="false">L328</f>
        <v>0</v>
      </c>
      <c r="AA328" s="6" t="n">
        <f aca="false">G328</f>
        <v>0</v>
      </c>
      <c r="AC328" s="6" t="n">
        <f aca="false">D328</f>
        <v>3.818571429</v>
      </c>
      <c r="AD328" s="6" t="n">
        <f aca="false">E328</f>
        <v>1</v>
      </c>
      <c r="AE328" s="6" t="n">
        <f aca="false">G328</f>
        <v>0</v>
      </c>
      <c r="AF328" s="6" t="n">
        <f aca="false">H328</f>
        <v>0</v>
      </c>
      <c r="AG328" s="6" t="n">
        <f aca="false">I328</f>
        <v>0</v>
      </c>
      <c r="AH328" s="6" t="n">
        <f aca="false">L328</f>
        <v>0</v>
      </c>
    </row>
    <row r="329" customFormat="false" ht="15" hidden="false" customHeight="false" outlineLevel="0" collapsed="false">
      <c r="A329" s="0" t="str">
        <f aca="false">'Raw Data'!C329</f>
        <v>Galleria</v>
      </c>
      <c r="B329" s="5" t="n">
        <f aca="false">'Raw Data'!A329</f>
        <v>40358</v>
      </c>
      <c r="C329" s="6" t="n">
        <f aca="false">'Raw Data'!D329</f>
        <v>279.662361094734</v>
      </c>
      <c r="D329" s="6" t="n">
        <f aca="false">'Raw Data'!E329</f>
        <v>3.818571429</v>
      </c>
      <c r="E329" s="6" t="n">
        <f aca="false">'Raw Data'!F329</f>
        <v>1</v>
      </c>
      <c r="F329" s="6" t="n">
        <f aca="false">'Raw Data'!G329</f>
        <v>0</v>
      </c>
      <c r="G329" s="6" t="n">
        <f aca="false">'Raw Data'!H329</f>
        <v>0</v>
      </c>
      <c r="H329" s="6" t="n">
        <f aca="false">'Raw Data'!I329</f>
        <v>0</v>
      </c>
      <c r="I329" s="6" t="n">
        <f aca="false">'Raw Data'!J329</f>
        <v>0</v>
      </c>
      <c r="J329" s="6" t="n">
        <f aca="false">'Raw Data'!K329</f>
        <v>1</v>
      </c>
      <c r="K329" s="6" t="n">
        <f aca="false">'Raw Data'!L329</f>
        <v>4</v>
      </c>
      <c r="L329" s="6" t="n">
        <f aca="false">F329*E329</f>
        <v>0</v>
      </c>
      <c r="N329" s="0" t="n">
        <v>1</v>
      </c>
      <c r="O329" s="6" t="n">
        <f aca="false">D329</f>
        <v>3.818571429</v>
      </c>
      <c r="P329" s="6" t="n">
        <f aca="false">E329</f>
        <v>1</v>
      </c>
      <c r="Q329" s="6" t="n">
        <f aca="false">F329</f>
        <v>0</v>
      </c>
      <c r="R329" s="6" t="n">
        <f aca="false">G329</f>
        <v>0</v>
      </c>
      <c r="S329" s="6" t="n">
        <f aca="false">H329</f>
        <v>0</v>
      </c>
      <c r="T329" s="6" t="n">
        <f aca="false">I329</f>
        <v>0</v>
      </c>
      <c r="U329" s="6" t="n">
        <f aca="false">L329</f>
        <v>0</v>
      </c>
      <c r="W329" s="6" t="n">
        <f aca="false">D329</f>
        <v>3.818571429</v>
      </c>
      <c r="X329" s="6" t="n">
        <f aca="false">E329</f>
        <v>1</v>
      </c>
      <c r="Y329" s="6" t="n">
        <f aca="false">F329</f>
        <v>0</v>
      </c>
      <c r="Z329" s="6" t="n">
        <f aca="false">L329</f>
        <v>0</v>
      </c>
      <c r="AA329" s="6" t="n">
        <f aca="false">G329</f>
        <v>0</v>
      </c>
      <c r="AC329" s="6" t="n">
        <f aca="false">D329</f>
        <v>3.818571429</v>
      </c>
      <c r="AD329" s="6" t="n">
        <f aca="false">E329</f>
        <v>1</v>
      </c>
      <c r="AE329" s="6" t="n">
        <f aca="false">G329</f>
        <v>0</v>
      </c>
      <c r="AF329" s="6" t="n">
        <f aca="false">H329</f>
        <v>0</v>
      </c>
      <c r="AG329" s="6" t="n">
        <f aca="false">I329</f>
        <v>0</v>
      </c>
      <c r="AH329" s="6" t="n">
        <f aca="false">L329</f>
        <v>0</v>
      </c>
    </row>
    <row r="330" customFormat="false" ht="15" hidden="false" customHeight="false" outlineLevel="0" collapsed="false">
      <c r="A330" s="0" t="str">
        <f aca="false">'Raw Data'!C330</f>
        <v>Galleria</v>
      </c>
      <c r="B330" s="5" t="n">
        <f aca="false">'Raw Data'!A330</f>
        <v>40365</v>
      </c>
      <c r="C330" s="6" t="n">
        <f aca="false">'Raw Data'!D330</f>
        <v>253.473037990157</v>
      </c>
      <c r="D330" s="6" t="n">
        <f aca="false">'Raw Data'!E330</f>
        <v>3.373571429</v>
      </c>
      <c r="E330" s="6" t="n">
        <f aca="false">'Raw Data'!F330</f>
        <v>1</v>
      </c>
      <c r="F330" s="6" t="n">
        <f aca="false">'Raw Data'!G330</f>
        <v>0</v>
      </c>
      <c r="G330" s="6" t="n">
        <f aca="false">'Raw Data'!H330</f>
        <v>0</v>
      </c>
      <c r="H330" s="6" t="n">
        <f aca="false">'Raw Data'!I330</f>
        <v>0</v>
      </c>
      <c r="I330" s="6" t="n">
        <f aca="false">'Raw Data'!J330</f>
        <v>0</v>
      </c>
      <c r="J330" s="6" t="n">
        <f aca="false">'Raw Data'!K330</f>
        <v>1</v>
      </c>
      <c r="K330" s="6" t="n">
        <f aca="false">'Raw Data'!L330</f>
        <v>4</v>
      </c>
      <c r="L330" s="6" t="n">
        <f aca="false">F330*E330</f>
        <v>0</v>
      </c>
      <c r="N330" s="0" t="n">
        <v>1</v>
      </c>
      <c r="O330" s="6" t="n">
        <f aca="false">D330</f>
        <v>3.373571429</v>
      </c>
      <c r="P330" s="6" t="n">
        <f aca="false">E330</f>
        <v>1</v>
      </c>
      <c r="Q330" s="6" t="n">
        <f aca="false">F330</f>
        <v>0</v>
      </c>
      <c r="R330" s="6" t="n">
        <f aca="false">G330</f>
        <v>0</v>
      </c>
      <c r="S330" s="6" t="n">
        <f aca="false">H330</f>
        <v>0</v>
      </c>
      <c r="T330" s="6" t="n">
        <f aca="false">I330</f>
        <v>0</v>
      </c>
      <c r="U330" s="6" t="n">
        <f aca="false">L330</f>
        <v>0</v>
      </c>
      <c r="W330" s="6" t="n">
        <f aca="false">D330</f>
        <v>3.373571429</v>
      </c>
      <c r="X330" s="6" t="n">
        <f aca="false">E330</f>
        <v>1</v>
      </c>
      <c r="Y330" s="6" t="n">
        <f aca="false">F330</f>
        <v>0</v>
      </c>
      <c r="Z330" s="6" t="n">
        <f aca="false">L330</f>
        <v>0</v>
      </c>
      <c r="AA330" s="6" t="n">
        <f aca="false">G330</f>
        <v>0</v>
      </c>
      <c r="AC330" s="6" t="n">
        <f aca="false">D330</f>
        <v>3.373571429</v>
      </c>
      <c r="AD330" s="6" t="n">
        <f aca="false">E330</f>
        <v>1</v>
      </c>
      <c r="AE330" s="6" t="n">
        <f aca="false">G330</f>
        <v>0</v>
      </c>
      <c r="AF330" s="6" t="n">
        <f aca="false">H330</f>
        <v>0</v>
      </c>
      <c r="AG330" s="6" t="n">
        <f aca="false">I330</f>
        <v>0</v>
      </c>
      <c r="AH330" s="6" t="n">
        <f aca="false">L330</f>
        <v>0</v>
      </c>
    </row>
    <row r="331" customFormat="false" ht="15" hidden="false" customHeight="false" outlineLevel="0" collapsed="false">
      <c r="A331" s="0" t="str">
        <f aca="false">'Raw Data'!C331</f>
        <v>Galleria</v>
      </c>
      <c r="B331" s="5" t="n">
        <f aca="false">'Raw Data'!A331</f>
        <v>40372</v>
      </c>
      <c r="C331" s="6" t="n">
        <f aca="false">'Raw Data'!D331</f>
        <v>231.832568575003</v>
      </c>
      <c r="D331" s="6" t="n">
        <f aca="false">'Raw Data'!E331</f>
        <v>3.373571429</v>
      </c>
      <c r="E331" s="6" t="n">
        <f aca="false">'Raw Data'!F331</f>
        <v>1</v>
      </c>
      <c r="F331" s="6" t="n">
        <f aca="false">'Raw Data'!G331</f>
        <v>0</v>
      </c>
      <c r="G331" s="6" t="n">
        <f aca="false">'Raw Data'!H331</f>
        <v>0</v>
      </c>
      <c r="H331" s="6" t="n">
        <f aca="false">'Raw Data'!I331</f>
        <v>0</v>
      </c>
      <c r="I331" s="6" t="n">
        <f aca="false">'Raw Data'!J331</f>
        <v>0</v>
      </c>
      <c r="J331" s="6" t="n">
        <f aca="false">'Raw Data'!K331</f>
        <v>1</v>
      </c>
      <c r="K331" s="6" t="n">
        <f aca="false">'Raw Data'!L331</f>
        <v>4</v>
      </c>
      <c r="L331" s="6" t="n">
        <f aca="false">F331*E331</f>
        <v>0</v>
      </c>
      <c r="N331" s="0" t="n">
        <v>1</v>
      </c>
      <c r="O331" s="6" t="n">
        <f aca="false">D331</f>
        <v>3.373571429</v>
      </c>
      <c r="P331" s="6" t="n">
        <f aca="false">E331</f>
        <v>1</v>
      </c>
      <c r="Q331" s="6" t="n">
        <f aca="false">F331</f>
        <v>0</v>
      </c>
      <c r="R331" s="6" t="n">
        <f aca="false">G331</f>
        <v>0</v>
      </c>
      <c r="S331" s="6" t="n">
        <f aca="false">H331</f>
        <v>0</v>
      </c>
      <c r="T331" s="6" t="n">
        <f aca="false">I331</f>
        <v>0</v>
      </c>
      <c r="U331" s="6" t="n">
        <f aca="false">L331</f>
        <v>0</v>
      </c>
      <c r="W331" s="6" t="n">
        <f aca="false">D331</f>
        <v>3.373571429</v>
      </c>
      <c r="X331" s="6" t="n">
        <f aca="false">E331</f>
        <v>1</v>
      </c>
      <c r="Y331" s="6" t="n">
        <f aca="false">F331</f>
        <v>0</v>
      </c>
      <c r="Z331" s="6" t="n">
        <f aca="false">L331</f>
        <v>0</v>
      </c>
      <c r="AA331" s="6" t="n">
        <f aca="false">G331</f>
        <v>0</v>
      </c>
      <c r="AC331" s="6" t="n">
        <f aca="false">D331</f>
        <v>3.373571429</v>
      </c>
      <c r="AD331" s="6" t="n">
        <f aca="false">E331</f>
        <v>1</v>
      </c>
      <c r="AE331" s="6" t="n">
        <f aca="false">G331</f>
        <v>0</v>
      </c>
      <c r="AF331" s="6" t="n">
        <f aca="false">H331</f>
        <v>0</v>
      </c>
      <c r="AG331" s="6" t="n">
        <f aca="false">I331</f>
        <v>0</v>
      </c>
      <c r="AH331" s="6" t="n">
        <f aca="false">L331</f>
        <v>0</v>
      </c>
    </row>
    <row r="332" customFormat="false" ht="15" hidden="false" customHeight="false" outlineLevel="0" collapsed="false">
      <c r="A332" s="0" t="str">
        <f aca="false">'Raw Data'!C332</f>
        <v>Gold Coast</v>
      </c>
      <c r="B332" s="5" t="n">
        <f aca="false">'Raw Data'!A332</f>
        <v>40302</v>
      </c>
      <c r="C332" s="6" t="n">
        <f aca="false">'Raw Data'!D332</f>
        <v>207.122068482975</v>
      </c>
      <c r="D332" s="6" t="n">
        <f aca="false">'Raw Data'!E332</f>
        <v>4.612222222</v>
      </c>
      <c r="E332" s="6" t="n">
        <f aca="false">'Raw Data'!F332</f>
        <v>1</v>
      </c>
      <c r="F332" s="6" t="n">
        <f aca="false">'Raw Data'!G332</f>
        <v>0</v>
      </c>
      <c r="G332" s="6" t="n">
        <f aca="false">'Raw Data'!H332</f>
        <v>0</v>
      </c>
      <c r="H332" s="6" t="n">
        <f aca="false">'Raw Data'!I332</f>
        <v>0</v>
      </c>
      <c r="I332" s="6" t="n">
        <f aca="false">'Raw Data'!J332</f>
        <v>0</v>
      </c>
      <c r="J332" s="6" t="n">
        <f aca="false">'Raw Data'!K332</f>
        <v>1</v>
      </c>
      <c r="K332" s="6" t="n">
        <f aca="false">'Raw Data'!L332</f>
        <v>5</v>
      </c>
      <c r="L332" s="6" t="n">
        <f aca="false">F332*E332</f>
        <v>0</v>
      </c>
      <c r="N332" s="0" t="n">
        <v>1</v>
      </c>
      <c r="O332" s="6" t="n">
        <f aca="false">D332</f>
        <v>4.612222222</v>
      </c>
      <c r="P332" s="6" t="n">
        <f aca="false">E332</f>
        <v>1</v>
      </c>
      <c r="Q332" s="6" t="n">
        <f aca="false">F332</f>
        <v>0</v>
      </c>
      <c r="R332" s="6" t="n">
        <f aca="false">G332</f>
        <v>0</v>
      </c>
      <c r="S332" s="6" t="n">
        <f aca="false">H332</f>
        <v>0</v>
      </c>
      <c r="T332" s="6" t="n">
        <f aca="false">I332</f>
        <v>0</v>
      </c>
      <c r="U332" s="6" t="n">
        <f aca="false">L332</f>
        <v>0</v>
      </c>
      <c r="W332" s="6" t="n">
        <f aca="false">D332</f>
        <v>4.612222222</v>
      </c>
      <c r="X332" s="6" t="n">
        <f aca="false">E332</f>
        <v>1</v>
      </c>
      <c r="Y332" s="6" t="n">
        <f aca="false">F332</f>
        <v>0</v>
      </c>
      <c r="Z332" s="6" t="n">
        <f aca="false">L332</f>
        <v>0</v>
      </c>
      <c r="AA332" s="6" t="n">
        <f aca="false">G332</f>
        <v>0</v>
      </c>
      <c r="AC332" s="6" t="n">
        <f aca="false">D332</f>
        <v>4.612222222</v>
      </c>
      <c r="AD332" s="6" t="n">
        <f aca="false">E332</f>
        <v>1</v>
      </c>
      <c r="AE332" s="6" t="n">
        <f aca="false">G332</f>
        <v>0</v>
      </c>
      <c r="AF332" s="6" t="n">
        <f aca="false">H332</f>
        <v>0</v>
      </c>
      <c r="AG332" s="6" t="n">
        <f aca="false">I332</f>
        <v>0</v>
      </c>
      <c r="AH332" s="6" t="n">
        <f aca="false">L332</f>
        <v>0</v>
      </c>
    </row>
    <row r="333" customFormat="false" ht="15" hidden="false" customHeight="false" outlineLevel="0" collapsed="false">
      <c r="A333" s="0" t="str">
        <f aca="false">'Raw Data'!C333</f>
        <v>Gold Coast</v>
      </c>
      <c r="B333" s="5" t="n">
        <f aca="false">'Raw Data'!A333</f>
        <v>40309</v>
      </c>
      <c r="C333" s="6" t="n">
        <f aca="false">'Raw Data'!D333</f>
        <v>191.00311729794</v>
      </c>
      <c r="D333" s="6" t="n">
        <f aca="false">'Raw Data'!E333</f>
        <v>4.612222222</v>
      </c>
      <c r="E333" s="6" t="n">
        <f aca="false">'Raw Data'!F333</f>
        <v>1</v>
      </c>
      <c r="F333" s="6" t="n">
        <f aca="false">'Raw Data'!G333</f>
        <v>0</v>
      </c>
      <c r="G333" s="6" t="n">
        <f aca="false">'Raw Data'!H333</f>
        <v>0</v>
      </c>
      <c r="H333" s="6" t="n">
        <f aca="false">'Raw Data'!I333</f>
        <v>0</v>
      </c>
      <c r="I333" s="6" t="n">
        <f aca="false">'Raw Data'!J333</f>
        <v>0</v>
      </c>
      <c r="J333" s="6" t="n">
        <f aca="false">'Raw Data'!K333</f>
        <v>1</v>
      </c>
      <c r="K333" s="6" t="n">
        <f aca="false">'Raw Data'!L333</f>
        <v>5</v>
      </c>
      <c r="L333" s="6" t="n">
        <f aca="false">F333*E333</f>
        <v>0</v>
      </c>
      <c r="N333" s="0" t="n">
        <v>1</v>
      </c>
      <c r="O333" s="6" t="n">
        <f aca="false">D333</f>
        <v>4.612222222</v>
      </c>
      <c r="P333" s="6" t="n">
        <f aca="false">E333</f>
        <v>1</v>
      </c>
      <c r="Q333" s="6" t="n">
        <f aca="false">F333</f>
        <v>0</v>
      </c>
      <c r="R333" s="6" t="n">
        <f aca="false">G333</f>
        <v>0</v>
      </c>
      <c r="S333" s="6" t="n">
        <f aca="false">H333</f>
        <v>0</v>
      </c>
      <c r="T333" s="6" t="n">
        <f aca="false">I333</f>
        <v>0</v>
      </c>
      <c r="U333" s="6" t="n">
        <f aca="false">L333</f>
        <v>0</v>
      </c>
      <c r="W333" s="6" t="n">
        <f aca="false">D333</f>
        <v>4.612222222</v>
      </c>
      <c r="X333" s="6" t="n">
        <f aca="false">E333</f>
        <v>1</v>
      </c>
      <c r="Y333" s="6" t="n">
        <f aca="false">F333</f>
        <v>0</v>
      </c>
      <c r="Z333" s="6" t="n">
        <f aca="false">L333</f>
        <v>0</v>
      </c>
      <c r="AA333" s="6" t="n">
        <f aca="false">G333</f>
        <v>0</v>
      </c>
      <c r="AC333" s="6" t="n">
        <f aca="false">D333</f>
        <v>4.612222222</v>
      </c>
      <c r="AD333" s="6" t="n">
        <f aca="false">E333</f>
        <v>1</v>
      </c>
      <c r="AE333" s="6" t="n">
        <f aca="false">G333</f>
        <v>0</v>
      </c>
      <c r="AF333" s="6" t="n">
        <f aca="false">H333</f>
        <v>0</v>
      </c>
      <c r="AG333" s="6" t="n">
        <f aca="false">I333</f>
        <v>0</v>
      </c>
      <c r="AH333" s="6" t="n">
        <f aca="false">L333</f>
        <v>0</v>
      </c>
    </row>
    <row r="334" customFormat="false" ht="15" hidden="false" customHeight="false" outlineLevel="0" collapsed="false">
      <c r="A334" s="0" t="str">
        <f aca="false">'Raw Data'!C334</f>
        <v>Gold Coast</v>
      </c>
      <c r="B334" s="5" t="n">
        <f aca="false">'Raw Data'!A334</f>
        <v>40316</v>
      </c>
      <c r="C334" s="6" t="n">
        <f aca="false">'Raw Data'!D334</f>
        <v>209.202752610037</v>
      </c>
      <c r="D334" s="6" t="n">
        <f aca="false">'Raw Data'!E334</f>
        <v>4</v>
      </c>
      <c r="E334" s="6" t="n">
        <f aca="false">'Raw Data'!F334</f>
        <v>1</v>
      </c>
      <c r="F334" s="6" t="n">
        <f aca="false">'Raw Data'!G334</f>
        <v>0</v>
      </c>
      <c r="G334" s="6" t="n">
        <f aca="false">'Raw Data'!H334</f>
        <v>0</v>
      </c>
      <c r="H334" s="6" t="n">
        <f aca="false">'Raw Data'!I334</f>
        <v>0</v>
      </c>
      <c r="I334" s="6" t="n">
        <f aca="false">'Raw Data'!J334</f>
        <v>0</v>
      </c>
      <c r="J334" s="6" t="n">
        <f aca="false">'Raw Data'!K334</f>
        <v>1</v>
      </c>
      <c r="K334" s="6" t="n">
        <f aca="false">'Raw Data'!L334</f>
        <v>5</v>
      </c>
      <c r="L334" s="6" t="n">
        <f aca="false">F334*E334</f>
        <v>0</v>
      </c>
      <c r="N334" s="0" t="n">
        <v>1</v>
      </c>
      <c r="O334" s="6" t="n">
        <f aca="false">D334</f>
        <v>4</v>
      </c>
      <c r="P334" s="6" t="n">
        <f aca="false">E334</f>
        <v>1</v>
      </c>
      <c r="Q334" s="6" t="n">
        <f aca="false">F334</f>
        <v>0</v>
      </c>
      <c r="R334" s="6" t="n">
        <f aca="false">G334</f>
        <v>0</v>
      </c>
      <c r="S334" s="6" t="n">
        <f aca="false">H334</f>
        <v>0</v>
      </c>
      <c r="T334" s="6" t="n">
        <f aca="false">I334</f>
        <v>0</v>
      </c>
      <c r="U334" s="6" t="n">
        <f aca="false">L334</f>
        <v>0</v>
      </c>
      <c r="W334" s="6" t="n">
        <f aca="false">D334</f>
        <v>4</v>
      </c>
      <c r="X334" s="6" t="n">
        <f aca="false">E334</f>
        <v>1</v>
      </c>
      <c r="Y334" s="6" t="n">
        <f aca="false">F334</f>
        <v>0</v>
      </c>
      <c r="Z334" s="6" t="n">
        <f aca="false">L334</f>
        <v>0</v>
      </c>
      <c r="AA334" s="6" t="n">
        <f aca="false">G334</f>
        <v>0</v>
      </c>
      <c r="AC334" s="6" t="n">
        <f aca="false">D334</f>
        <v>4</v>
      </c>
      <c r="AD334" s="6" t="n">
        <f aca="false">E334</f>
        <v>1</v>
      </c>
      <c r="AE334" s="6" t="n">
        <f aca="false">G334</f>
        <v>0</v>
      </c>
      <c r="AF334" s="6" t="n">
        <f aca="false">H334</f>
        <v>0</v>
      </c>
      <c r="AG334" s="6" t="n">
        <f aca="false">I334</f>
        <v>0</v>
      </c>
      <c r="AH334" s="6" t="n">
        <f aca="false">L334</f>
        <v>0</v>
      </c>
    </row>
    <row r="335" customFormat="false" ht="15" hidden="false" customHeight="false" outlineLevel="0" collapsed="false">
      <c r="A335" s="0" t="str">
        <f aca="false">'Raw Data'!C335</f>
        <v>Gold Coast</v>
      </c>
      <c r="B335" s="5" t="n">
        <f aca="false">'Raw Data'!A335</f>
        <v>40323</v>
      </c>
      <c r="C335" s="6" t="n">
        <f aca="false">'Raw Data'!D335</f>
        <v>334.171344721518</v>
      </c>
      <c r="D335" s="6" t="n">
        <f aca="false">'Raw Data'!E335</f>
        <v>3.834444444</v>
      </c>
      <c r="E335" s="6" t="n">
        <f aca="false">'Raw Data'!F335</f>
        <v>1</v>
      </c>
      <c r="F335" s="6" t="n">
        <f aca="false">'Raw Data'!G335</f>
        <v>0</v>
      </c>
      <c r="G335" s="6" t="n">
        <f aca="false">'Raw Data'!H335</f>
        <v>0</v>
      </c>
      <c r="H335" s="6" t="n">
        <f aca="false">'Raw Data'!I335</f>
        <v>0</v>
      </c>
      <c r="I335" s="6" t="n">
        <f aca="false">'Raw Data'!J335</f>
        <v>0</v>
      </c>
      <c r="J335" s="6" t="n">
        <f aca="false">'Raw Data'!K335</f>
        <v>1</v>
      </c>
      <c r="K335" s="6" t="n">
        <f aca="false">'Raw Data'!L335</f>
        <v>5</v>
      </c>
      <c r="L335" s="6" t="n">
        <f aca="false">F335*E335</f>
        <v>0</v>
      </c>
      <c r="N335" s="0" t="n">
        <v>1</v>
      </c>
      <c r="O335" s="6" t="n">
        <f aca="false">D335</f>
        <v>3.834444444</v>
      </c>
      <c r="P335" s="6" t="n">
        <f aca="false">E335</f>
        <v>1</v>
      </c>
      <c r="Q335" s="6" t="n">
        <f aca="false">F335</f>
        <v>0</v>
      </c>
      <c r="R335" s="6" t="n">
        <f aca="false">G335</f>
        <v>0</v>
      </c>
      <c r="S335" s="6" t="n">
        <f aca="false">H335</f>
        <v>0</v>
      </c>
      <c r="T335" s="6" t="n">
        <f aca="false">I335</f>
        <v>0</v>
      </c>
      <c r="U335" s="6" t="n">
        <f aca="false">L335</f>
        <v>0</v>
      </c>
      <c r="W335" s="6" t="n">
        <f aca="false">D335</f>
        <v>3.834444444</v>
      </c>
      <c r="X335" s="6" t="n">
        <f aca="false">E335</f>
        <v>1</v>
      </c>
      <c r="Y335" s="6" t="n">
        <f aca="false">F335</f>
        <v>0</v>
      </c>
      <c r="Z335" s="6" t="n">
        <f aca="false">L335</f>
        <v>0</v>
      </c>
      <c r="AA335" s="6" t="n">
        <f aca="false">G335</f>
        <v>0</v>
      </c>
      <c r="AC335" s="6" t="n">
        <f aca="false">D335</f>
        <v>3.834444444</v>
      </c>
      <c r="AD335" s="6" t="n">
        <f aca="false">E335</f>
        <v>1</v>
      </c>
      <c r="AE335" s="6" t="n">
        <f aca="false">G335</f>
        <v>0</v>
      </c>
      <c r="AF335" s="6" t="n">
        <f aca="false">H335</f>
        <v>0</v>
      </c>
      <c r="AG335" s="6" t="n">
        <f aca="false">I335</f>
        <v>0</v>
      </c>
      <c r="AH335" s="6" t="n">
        <f aca="false">L335</f>
        <v>0</v>
      </c>
    </row>
    <row r="336" customFormat="false" ht="15" hidden="false" customHeight="false" outlineLevel="0" collapsed="false">
      <c r="A336" s="0" t="str">
        <f aca="false">'Raw Data'!C336</f>
        <v>Gold Coast</v>
      </c>
      <c r="B336" s="5" t="n">
        <f aca="false">'Raw Data'!A336</f>
        <v>40330</v>
      </c>
      <c r="C336" s="6" t="n">
        <f aca="false">'Raw Data'!D336</f>
        <v>269.535938541302</v>
      </c>
      <c r="D336" s="6" t="n">
        <f aca="false">'Raw Data'!E336</f>
        <v>3.73</v>
      </c>
      <c r="E336" s="6" t="n">
        <f aca="false">'Raw Data'!F336</f>
        <v>1</v>
      </c>
      <c r="F336" s="6" t="n">
        <f aca="false">'Raw Data'!G336</f>
        <v>0</v>
      </c>
      <c r="G336" s="6" t="n">
        <f aca="false">'Raw Data'!H336</f>
        <v>0</v>
      </c>
      <c r="H336" s="6" t="n">
        <f aca="false">'Raw Data'!I336</f>
        <v>0</v>
      </c>
      <c r="I336" s="6" t="n">
        <f aca="false">'Raw Data'!J336</f>
        <v>0</v>
      </c>
      <c r="J336" s="6" t="n">
        <f aca="false">'Raw Data'!K336</f>
        <v>1</v>
      </c>
      <c r="K336" s="6" t="n">
        <f aca="false">'Raw Data'!L336</f>
        <v>5</v>
      </c>
      <c r="L336" s="6" t="n">
        <f aca="false">F336*E336</f>
        <v>0</v>
      </c>
      <c r="N336" s="0" t="n">
        <v>1</v>
      </c>
      <c r="O336" s="6" t="n">
        <f aca="false">D336</f>
        <v>3.73</v>
      </c>
      <c r="P336" s="6" t="n">
        <f aca="false">E336</f>
        <v>1</v>
      </c>
      <c r="Q336" s="6" t="n">
        <f aca="false">F336</f>
        <v>0</v>
      </c>
      <c r="R336" s="6" t="n">
        <f aca="false">G336</f>
        <v>0</v>
      </c>
      <c r="S336" s="6" t="n">
        <f aca="false">H336</f>
        <v>0</v>
      </c>
      <c r="T336" s="6" t="n">
        <f aca="false">I336</f>
        <v>0</v>
      </c>
      <c r="U336" s="6" t="n">
        <f aca="false">L336</f>
        <v>0</v>
      </c>
      <c r="W336" s="6" t="n">
        <f aca="false">D336</f>
        <v>3.73</v>
      </c>
      <c r="X336" s="6" t="n">
        <f aca="false">E336</f>
        <v>1</v>
      </c>
      <c r="Y336" s="6" t="n">
        <f aca="false">F336</f>
        <v>0</v>
      </c>
      <c r="Z336" s="6" t="n">
        <f aca="false">L336</f>
        <v>0</v>
      </c>
      <c r="AA336" s="6" t="n">
        <f aca="false">G336</f>
        <v>0</v>
      </c>
      <c r="AC336" s="6" t="n">
        <f aca="false">D336</f>
        <v>3.73</v>
      </c>
      <c r="AD336" s="6" t="n">
        <f aca="false">E336</f>
        <v>1</v>
      </c>
      <c r="AE336" s="6" t="n">
        <f aca="false">G336</f>
        <v>0</v>
      </c>
      <c r="AF336" s="6" t="n">
        <f aca="false">H336</f>
        <v>0</v>
      </c>
      <c r="AG336" s="6" t="n">
        <f aca="false">I336</f>
        <v>0</v>
      </c>
      <c r="AH336" s="6" t="n">
        <f aca="false">L336</f>
        <v>0</v>
      </c>
    </row>
    <row r="337" customFormat="false" ht="15" hidden="false" customHeight="false" outlineLevel="0" collapsed="false">
      <c r="A337" s="0" t="str">
        <f aca="false">'Raw Data'!C337</f>
        <v>Gold Coast</v>
      </c>
      <c r="B337" s="5" t="n">
        <f aca="false">'Raw Data'!A337</f>
        <v>40337</v>
      </c>
      <c r="C337" s="6" t="n">
        <f aca="false">'Raw Data'!D337</f>
        <v>345.826634934465</v>
      </c>
      <c r="D337" s="6" t="n">
        <f aca="false">'Raw Data'!E337</f>
        <v>4.096666667</v>
      </c>
      <c r="E337" s="6" t="n">
        <f aca="false">'Raw Data'!F337</f>
        <v>1</v>
      </c>
      <c r="F337" s="6" t="n">
        <f aca="false">'Raw Data'!G337</f>
        <v>0</v>
      </c>
      <c r="G337" s="6" t="n">
        <f aca="false">'Raw Data'!H337</f>
        <v>0</v>
      </c>
      <c r="H337" s="6" t="n">
        <f aca="false">'Raw Data'!I337</f>
        <v>0</v>
      </c>
      <c r="I337" s="6" t="n">
        <f aca="false">'Raw Data'!J337</f>
        <v>0</v>
      </c>
      <c r="J337" s="6" t="n">
        <f aca="false">'Raw Data'!K337</f>
        <v>1</v>
      </c>
      <c r="K337" s="6" t="n">
        <f aca="false">'Raw Data'!L337</f>
        <v>5</v>
      </c>
      <c r="L337" s="6" t="n">
        <f aca="false">F337*E337</f>
        <v>0</v>
      </c>
      <c r="N337" s="0" t="n">
        <v>1</v>
      </c>
      <c r="O337" s="6" t="n">
        <f aca="false">D337</f>
        <v>4.096666667</v>
      </c>
      <c r="P337" s="6" t="n">
        <f aca="false">E337</f>
        <v>1</v>
      </c>
      <c r="Q337" s="6" t="n">
        <f aca="false">F337</f>
        <v>0</v>
      </c>
      <c r="R337" s="6" t="n">
        <f aca="false">G337</f>
        <v>0</v>
      </c>
      <c r="S337" s="6" t="n">
        <f aca="false">H337</f>
        <v>0</v>
      </c>
      <c r="T337" s="6" t="n">
        <f aca="false">I337</f>
        <v>0</v>
      </c>
      <c r="U337" s="6" t="n">
        <f aca="false">L337</f>
        <v>0</v>
      </c>
      <c r="W337" s="6" t="n">
        <f aca="false">D337</f>
        <v>4.096666667</v>
      </c>
      <c r="X337" s="6" t="n">
        <f aca="false">E337</f>
        <v>1</v>
      </c>
      <c r="Y337" s="6" t="n">
        <f aca="false">F337</f>
        <v>0</v>
      </c>
      <c r="Z337" s="6" t="n">
        <f aca="false">L337</f>
        <v>0</v>
      </c>
      <c r="AA337" s="6" t="n">
        <f aca="false">G337</f>
        <v>0</v>
      </c>
      <c r="AC337" s="6" t="n">
        <f aca="false">D337</f>
        <v>4.096666667</v>
      </c>
      <c r="AD337" s="6" t="n">
        <f aca="false">E337</f>
        <v>1</v>
      </c>
      <c r="AE337" s="6" t="n">
        <f aca="false">G337</f>
        <v>0</v>
      </c>
      <c r="AF337" s="6" t="n">
        <f aca="false">H337</f>
        <v>0</v>
      </c>
      <c r="AG337" s="6" t="n">
        <f aca="false">I337</f>
        <v>0</v>
      </c>
      <c r="AH337" s="6" t="n">
        <f aca="false">L337</f>
        <v>0</v>
      </c>
    </row>
    <row r="338" customFormat="false" ht="15" hidden="false" customHeight="false" outlineLevel="0" collapsed="false">
      <c r="A338" s="0" t="str">
        <f aca="false">'Raw Data'!C338</f>
        <v>Gold Coast</v>
      </c>
      <c r="B338" s="5" t="n">
        <f aca="false">'Raw Data'!A338</f>
        <v>40344</v>
      </c>
      <c r="C338" s="6" t="n">
        <f aca="false">'Raw Data'!D338</f>
        <v>232.059360224844</v>
      </c>
      <c r="D338" s="6" t="n">
        <f aca="false">'Raw Data'!E338</f>
        <v>4.075714286</v>
      </c>
      <c r="E338" s="6" t="n">
        <f aca="false">'Raw Data'!F338</f>
        <v>1</v>
      </c>
      <c r="F338" s="6" t="n">
        <f aca="false">'Raw Data'!G338</f>
        <v>0</v>
      </c>
      <c r="G338" s="6" t="n">
        <f aca="false">'Raw Data'!H338</f>
        <v>0</v>
      </c>
      <c r="H338" s="6" t="n">
        <f aca="false">'Raw Data'!I338</f>
        <v>0</v>
      </c>
      <c r="I338" s="6" t="n">
        <f aca="false">'Raw Data'!J338</f>
        <v>0</v>
      </c>
      <c r="J338" s="6" t="n">
        <f aca="false">'Raw Data'!K338</f>
        <v>1</v>
      </c>
      <c r="K338" s="6" t="n">
        <f aca="false">'Raw Data'!L338</f>
        <v>5</v>
      </c>
      <c r="L338" s="6" t="n">
        <f aca="false">F338*E338</f>
        <v>0</v>
      </c>
      <c r="N338" s="0" t="n">
        <v>1</v>
      </c>
      <c r="O338" s="6" t="n">
        <f aca="false">D338</f>
        <v>4.075714286</v>
      </c>
      <c r="P338" s="6" t="n">
        <f aca="false">E338</f>
        <v>1</v>
      </c>
      <c r="Q338" s="6" t="n">
        <f aca="false">F338</f>
        <v>0</v>
      </c>
      <c r="R338" s="6" t="n">
        <f aca="false">G338</f>
        <v>0</v>
      </c>
      <c r="S338" s="6" t="n">
        <f aca="false">H338</f>
        <v>0</v>
      </c>
      <c r="T338" s="6" t="n">
        <f aca="false">I338</f>
        <v>0</v>
      </c>
      <c r="U338" s="6" t="n">
        <f aca="false">L338</f>
        <v>0</v>
      </c>
      <c r="W338" s="6" t="n">
        <f aca="false">D338</f>
        <v>4.075714286</v>
      </c>
      <c r="X338" s="6" t="n">
        <f aca="false">E338</f>
        <v>1</v>
      </c>
      <c r="Y338" s="6" t="n">
        <f aca="false">F338</f>
        <v>0</v>
      </c>
      <c r="Z338" s="6" t="n">
        <f aca="false">L338</f>
        <v>0</v>
      </c>
      <c r="AA338" s="6" t="n">
        <f aca="false">G338</f>
        <v>0</v>
      </c>
      <c r="AC338" s="6" t="n">
        <f aca="false">D338</f>
        <v>4.075714286</v>
      </c>
      <c r="AD338" s="6" t="n">
        <f aca="false">E338</f>
        <v>1</v>
      </c>
      <c r="AE338" s="6" t="n">
        <f aca="false">G338</f>
        <v>0</v>
      </c>
      <c r="AF338" s="6" t="n">
        <f aca="false">H338</f>
        <v>0</v>
      </c>
      <c r="AG338" s="6" t="n">
        <f aca="false">I338</f>
        <v>0</v>
      </c>
      <c r="AH338" s="6" t="n">
        <f aca="false">L338</f>
        <v>0</v>
      </c>
    </row>
    <row r="339" customFormat="false" ht="15" hidden="false" customHeight="false" outlineLevel="0" collapsed="false">
      <c r="A339" s="0" t="str">
        <f aca="false">'Raw Data'!C339</f>
        <v>Gold Coast</v>
      </c>
      <c r="B339" s="5" t="n">
        <f aca="false">'Raw Data'!A339</f>
        <v>40351</v>
      </c>
      <c r="C339" s="6" t="n">
        <f aca="false">'Raw Data'!D339</f>
        <v>196.244132587469</v>
      </c>
      <c r="D339" s="6" t="n">
        <f aca="false">'Raw Data'!E339</f>
        <v>4.096666667</v>
      </c>
      <c r="E339" s="6" t="n">
        <f aca="false">'Raw Data'!F339</f>
        <v>1</v>
      </c>
      <c r="F339" s="6" t="n">
        <f aca="false">'Raw Data'!G339</f>
        <v>0</v>
      </c>
      <c r="G339" s="6" t="n">
        <f aca="false">'Raw Data'!H339</f>
        <v>0</v>
      </c>
      <c r="H339" s="6" t="n">
        <f aca="false">'Raw Data'!I339</f>
        <v>0</v>
      </c>
      <c r="I339" s="6" t="n">
        <f aca="false">'Raw Data'!J339</f>
        <v>0</v>
      </c>
      <c r="J339" s="6" t="n">
        <f aca="false">'Raw Data'!K339</f>
        <v>1</v>
      </c>
      <c r="K339" s="6" t="n">
        <f aca="false">'Raw Data'!L339</f>
        <v>5</v>
      </c>
      <c r="L339" s="6" t="n">
        <f aca="false">F339*E339</f>
        <v>0</v>
      </c>
      <c r="N339" s="0" t="n">
        <v>1</v>
      </c>
      <c r="O339" s="6" t="n">
        <f aca="false">D339</f>
        <v>4.096666667</v>
      </c>
      <c r="P339" s="6" t="n">
        <f aca="false">E339</f>
        <v>1</v>
      </c>
      <c r="Q339" s="6" t="n">
        <f aca="false">F339</f>
        <v>0</v>
      </c>
      <c r="R339" s="6" t="n">
        <f aca="false">G339</f>
        <v>0</v>
      </c>
      <c r="S339" s="6" t="n">
        <f aca="false">H339</f>
        <v>0</v>
      </c>
      <c r="T339" s="6" t="n">
        <f aca="false">I339</f>
        <v>0</v>
      </c>
      <c r="U339" s="6" t="n">
        <f aca="false">L339</f>
        <v>0</v>
      </c>
      <c r="W339" s="6" t="n">
        <f aca="false">D339</f>
        <v>4.096666667</v>
      </c>
      <c r="X339" s="6" t="n">
        <f aca="false">E339</f>
        <v>1</v>
      </c>
      <c r="Y339" s="6" t="n">
        <f aca="false">F339</f>
        <v>0</v>
      </c>
      <c r="Z339" s="6" t="n">
        <f aca="false">L339</f>
        <v>0</v>
      </c>
      <c r="AA339" s="6" t="n">
        <f aca="false">G339</f>
        <v>0</v>
      </c>
      <c r="AC339" s="6" t="n">
        <f aca="false">D339</f>
        <v>4.096666667</v>
      </c>
      <c r="AD339" s="6" t="n">
        <f aca="false">E339</f>
        <v>1</v>
      </c>
      <c r="AE339" s="6" t="n">
        <f aca="false">G339</f>
        <v>0</v>
      </c>
      <c r="AF339" s="6" t="n">
        <f aca="false">H339</f>
        <v>0</v>
      </c>
      <c r="AG339" s="6" t="n">
        <f aca="false">I339</f>
        <v>0</v>
      </c>
      <c r="AH339" s="6" t="n">
        <f aca="false">L339</f>
        <v>0</v>
      </c>
    </row>
    <row r="340" customFormat="false" ht="15" hidden="false" customHeight="false" outlineLevel="0" collapsed="false">
      <c r="A340" s="0" t="str">
        <f aca="false">'Raw Data'!C340</f>
        <v>Gold Coast</v>
      </c>
      <c r="B340" s="5" t="n">
        <f aca="false">'Raw Data'!A340</f>
        <v>40358</v>
      </c>
      <c r="C340" s="6" t="n">
        <f aca="false">'Raw Data'!D340</f>
        <v>269.964105560118</v>
      </c>
      <c r="D340" s="6" t="n">
        <f aca="false">'Raw Data'!E340</f>
        <v>4.075714286</v>
      </c>
      <c r="E340" s="6" t="n">
        <f aca="false">'Raw Data'!F340</f>
        <v>1</v>
      </c>
      <c r="F340" s="6" t="n">
        <f aca="false">'Raw Data'!G340</f>
        <v>0</v>
      </c>
      <c r="G340" s="6" t="n">
        <f aca="false">'Raw Data'!H340</f>
        <v>0</v>
      </c>
      <c r="H340" s="6" t="n">
        <f aca="false">'Raw Data'!I340</f>
        <v>0</v>
      </c>
      <c r="I340" s="6" t="n">
        <f aca="false">'Raw Data'!J340</f>
        <v>0</v>
      </c>
      <c r="J340" s="6" t="n">
        <f aca="false">'Raw Data'!K340</f>
        <v>1</v>
      </c>
      <c r="K340" s="6" t="n">
        <f aca="false">'Raw Data'!L340</f>
        <v>5</v>
      </c>
      <c r="L340" s="6" t="n">
        <f aca="false">F340*E340</f>
        <v>0</v>
      </c>
      <c r="N340" s="0" t="n">
        <v>1</v>
      </c>
      <c r="O340" s="6" t="n">
        <f aca="false">D340</f>
        <v>4.075714286</v>
      </c>
      <c r="P340" s="6" t="n">
        <f aca="false">E340</f>
        <v>1</v>
      </c>
      <c r="Q340" s="6" t="n">
        <f aca="false">F340</f>
        <v>0</v>
      </c>
      <c r="R340" s="6" t="n">
        <f aca="false">G340</f>
        <v>0</v>
      </c>
      <c r="S340" s="6" t="n">
        <f aca="false">H340</f>
        <v>0</v>
      </c>
      <c r="T340" s="6" t="n">
        <f aca="false">I340</f>
        <v>0</v>
      </c>
      <c r="U340" s="6" t="n">
        <f aca="false">L340</f>
        <v>0</v>
      </c>
      <c r="W340" s="6" t="n">
        <f aca="false">D340</f>
        <v>4.075714286</v>
      </c>
      <c r="X340" s="6" t="n">
        <f aca="false">E340</f>
        <v>1</v>
      </c>
      <c r="Y340" s="6" t="n">
        <f aca="false">F340</f>
        <v>0</v>
      </c>
      <c r="Z340" s="6" t="n">
        <f aca="false">L340</f>
        <v>0</v>
      </c>
      <c r="AA340" s="6" t="n">
        <f aca="false">G340</f>
        <v>0</v>
      </c>
      <c r="AC340" s="6" t="n">
        <f aca="false">D340</f>
        <v>4.075714286</v>
      </c>
      <c r="AD340" s="6" t="n">
        <f aca="false">E340</f>
        <v>1</v>
      </c>
      <c r="AE340" s="6" t="n">
        <f aca="false">G340</f>
        <v>0</v>
      </c>
      <c r="AF340" s="6" t="n">
        <f aca="false">H340</f>
        <v>0</v>
      </c>
      <c r="AG340" s="6" t="n">
        <f aca="false">I340</f>
        <v>0</v>
      </c>
      <c r="AH340" s="6" t="n">
        <f aca="false">L340</f>
        <v>0</v>
      </c>
    </row>
    <row r="341" customFormat="false" ht="15" hidden="false" customHeight="false" outlineLevel="0" collapsed="false">
      <c r="A341" s="0" t="str">
        <f aca="false">'Raw Data'!C341</f>
        <v>Gold Coast</v>
      </c>
      <c r="B341" s="5" t="n">
        <f aca="false">'Raw Data'!A341</f>
        <v>40365</v>
      </c>
      <c r="C341" s="6" t="n">
        <f aca="false">'Raw Data'!D341</f>
        <v>256.614890328142</v>
      </c>
      <c r="D341" s="6" t="n">
        <f aca="false">'Raw Data'!E341</f>
        <v>3.5375</v>
      </c>
      <c r="E341" s="6" t="n">
        <f aca="false">'Raw Data'!F341</f>
        <v>1</v>
      </c>
      <c r="F341" s="6" t="n">
        <f aca="false">'Raw Data'!G341</f>
        <v>0</v>
      </c>
      <c r="G341" s="6" t="n">
        <f aca="false">'Raw Data'!H341</f>
        <v>0</v>
      </c>
      <c r="H341" s="6" t="n">
        <f aca="false">'Raw Data'!I341</f>
        <v>0</v>
      </c>
      <c r="I341" s="6" t="n">
        <f aca="false">'Raw Data'!J341</f>
        <v>0</v>
      </c>
      <c r="J341" s="6" t="n">
        <f aca="false">'Raw Data'!K341</f>
        <v>1</v>
      </c>
      <c r="K341" s="6" t="n">
        <f aca="false">'Raw Data'!L341</f>
        <v>5</v>
      </c>
      <c r="L341" s="6" t="n">
        <f aca="false">F341*E341</f>
        <v>0</v>
      </c>
      <c r="N341" s="0" t="n">
        <v>1</v>
      </c>
      <c r="O341" s="6" t="n">
        <f aca="false">D341</f>
        <v>3.5375</v>
      </c>
      <c r="P341" s="6" t="n">
        <f aca="false">E341</f>
        <v>1</v>
      </c>
      <c r="Q341" s="6" t="n">
        <f aca="false">F341</f>
        <v>0</v>
      </c>
      <c r="R341" s="6" t="n">
        <f aca="false">G341</f>
        <v>0</v>
      </c>
      <c r="S341" s="6" t="n">
        <f aca="false">H341</f>
        <v>0</v>
      </c>
      <c r="T341" s="6" t="n">
        <f aca="false">I341</f>
        <v>0</v>
      </c>
      <c r="U341" s="6" t="n">
        <f aca="false">L341</f>
        <v>0</v>
      </c>
      <c r="W341" s="6" t="n">
        <f aca="false">D341</f>
        <v>3.5375</v>
      </c>
      <c r="X341" s="6" t="n">
        <f aca="false">E341</f>
        <v>1</v>
      </c>
      <c r="Y341" s="6" t="n">
        <f aca="false">F341</f>
        <v>0</v>
      </c>
      <c r="Z341" s="6" t="n">
        <f aca="false">L341</f>
        <v>0</v>
      </c>
      <c r="AA341" s="6" t="n">
        <f aca="false">G341</f>
        <v>0</v>
      </c>
      <c r="AC341" s="6" t="n">
        <f aca="false">D341</f>
        <v>3.5375</v>
      </c>
      <c r="AD341" s="6" t="n">
        <f aca="false">E341</f>
        <v>1</v>
      </c>
      <c r="AE341" s="6" t="n">
        <f aca="false">G341</f>
        <v>0</v>
      </c>
      <c r="AF341" s="6" t="n">
        <f aca="false">H341</f>
        <v>0</v>
      </c>
      <c r="AG341" s="6" t="n">
        <f aca="false">I341</f>
        <v>0</v>
      </c>
      <c r="AH341" s="6" t="n">
        <f aca="false">L341</f>
        <v>0</v>
      </c>
    </row>
    <row r="342" customFormat="false" ht="15" hidden="false" customHeight="false" outlineLevel="0" collapsed="false">
      <c r="A342" s="0" t="str">
        <f aca="false">'Raw Data'!C342</f>
        <v>Gold Coast</v>
      </c>
      <c r="B342" s="5" t="n">
        <f aca="false">'Raw Data'!A342</f>
        <v>40372</v>
      </c>
      <c r="C342" s="6" t="n">
        <f aca="false">'Raw Data'!D342</f>
        <v>244.193871472733</v>
      </c>
      <c r="D342" s="6" t="n">
        <f aca="false">'Raw Data'!E342</f>
        <v>3.496363636</v>
      </c>
      <c r="E342" s="6" t="n">
        <f aca="false">'Raw Data'!F342</f>
        <v>1</v>
      </c>
      <c r="F342" s="6" t="n">
        <f aca="false">'Raw Data'!G342</f>
        <v>0</v>
      </c>
      <c r="G342" s="6" t="n">
        <f aca="false">'Raw Data'!H342</f>
        <v>0</v>
      </c>
      <c r="H342" s="6" t="n">
        <f aca="false">'Raw Data'!I342</f>
        <v>0</v>
      </c>
      <c r="I342" s="6" t="n">
        <f aca="false">'Raw Data'!J342</f>
        <v>0</v>
      </c>
      <c r="J342" s="6" t="n">
        <f aca="false">'Raw Data'!K342</f>
        <v>1</v>
      </c>
      <c r="K342" s="6" t="n">
        <f aca="false">'Raw Data'!L342</f>
        <v>5</v>
      </c>
      <c r="L342" s="6" t="n">
        <f aca="false">F342*E342</f>
        <v>0</v>
      </c>
      <c r="N342" s="0" t="n">
        <v>1</v>
      </c>
      <c r="O342" s="6" t="n">
        <f aca="false">D342</f>
        <v>3.496363636</v>
      </c>
      <c r="P342" s="6" t="n">
        <f aca="false">E342</f>
        <v>1</v>
      </c>
      <c r="Q342" s="6" t="n">
        <f aca="false">F342</f>
        <v>0</v>
      </c>
      <c r="R342" s="6" t="n">
        <f aca="false">G342</f>
        <v>0</v>
      </c>
      <c r="S342" s="6" t="n">
        <f aca="false">H342</f>
        <v>0</v>
      </c>
      <c r="T342" s="6" t="n">
        <f aca="false">I342</f>
        <v>0</v>
      </c>
      <c r="U342" s="6" t="n">
        <f aca="false">L342</f>
        <v>0</v>
      </c>
      <c r="W342" s="6" t="n">
        <f aca="false">D342</f>
        <v>3.496363636</v>
      </c>
      <c r="X342" s="6" t="n">
        <f aca="false">E342</f>
        <v>1</v>
      </c>
      <c r="Y342" s="6" t="n">
        <f aca="false">F342</f>
        <v>0</v>
      </c>
      <c r="Z342" s="6" t="n">
        <f aca="false">L342</f>
        <v>0</v>
      </c>
      <c r="AA342" s="6" t="n">
        <f aca="false">G342</f>
        <v>0</v>
      </c>
      <c r="AC342" s="6" t="n">
        <f aca="false">D342</f>
        <v>3.496363636</v>
      </c>
      <c r="AD342" s="6" t="n">
        <f aca="false">E342</f>
        <v>1</v>
      </c>
      <c r="AE342" s="6" t="n">
        <f aca="false">G342</f>
        <v>0</v>
      </c>
      <c r="AF342" s="6" t="n">
        <f aca="false">H342</f>
        <v>0</v>
      </c>
      <c r="AG342" s="6" t="n">
        <f aca="false">I342</f>
        <v>0</v>
      </c>
      <c r="AH342" s="6" t="n">
        <f aca="false">L342</f>
        <v>0</v>
      </c>
    </row>
    <row r="343" customFormat="false" ht="15" hidden="false" customHeight="false" outlineLevel="0" collapsed="false">
      <c r="A343" s="0" t="str">
        <f aca="false">'Raw Data'!C343</f>
        <v>Lake Calhoun (aka Minneapolis)</v>
      </c>
      <c r="B343" s="5" t="n">
        <f aca="false">'Raw Data'!A343</f>
        <v>40302</v>
      </c>
      <c r="C343" s="6" t="n">
        <f aca="false">'Raw Data'!D343</f>
        <v>173.61154686237</v>
      </c>
      <c r="D343" s="6" t="n">
        <f aca="false">'Raw Data'!E343</f>
        <v>4.55</v>
      </c>
      <c r="E343" s="6" t="n">
        <f aca="false">'Raw Data'!F343</f>
        <v>1</v>
      </c>
      <c r="F343" s="6" t="n">
        <f aca="false">'Raw Data'!G343</f>
        <v>0</v>
      </c>
      <c r="G343" s="6" t="n">
        <f aca="false">'Raw Data'!H343</f>
        <v>0</v>
      </c>
      <c r="H343" s="6" t="n">
        <f aca="false">'Raw Data'!I343</f>
        <v>0</v>
      </c>
      <c r="I343" s="6" t="n">
        <f aca="false">'Raw Data'!J343</f>
        <v>0</v>
      </c>
      <c r="J343" s="6" t="n">
        <f aca="false">'Raw Data'!K343</f>
        <v>1</v>
      </c>
      <c r="K343" s="6" t="n">
        <f aca="false">'Raw Data'!L343</f>
        <v>2</v>
      </c>
      <c r="L343" s="6" t="n">
        <f aca="false">F343*E343</f>
        <v>0</v>
      </c>
      <c r="N343" s="0" t="n">
        <v>1</v>
      </c>
      <c r="O343" s="6" t="n">
        <f aca="false">D343</f>
        <v>4.55</v>
      </c>
      <c r="P343" s="6" t="n">
        <f aca="false">E343</f>
        <v>1</v>
      </c>
      <c r="Q343" s="6" t="n">
        <f aca="false">F343</f>
        <v>0</v>
      </c>
      <c r="R343" s="6" t="n">
        <f aca="false">G343</f>
        <v>0</v>
      </c>
      <c r="S343" s="6" t="n">
        <f aca="false">H343</f>
        <v>0</v>
      </c>
      <c r="T343" s="6" t="n">
        <f aca="false">I343</f>
        <v>0</v>
      </c>
      <c r="U343" s="6" t="n">
        <f aca="false">L343</f>
        <v>0</v>
      </c>
      <c r="W343" s="6" t="n">
        <f aca="false">D343</f>
        <v>4.55</v>
      </c>
      <c r="X343" s="6" t="n">
        <f aca="false">E343</f>
        <v>1</v>
      </c>
      <c r="Y343" s="6" t="n">
        <f aca="false">F343</f>
        <v>0</v>
      </c>
      <c r="Z343" s="6" t="n">
        <f aca="false">L343</f>
        <v>0</v>
      </c>
      <c r="AA343" s="6" t="n">
        <f aca="false">G343</f>
        <v>0</v>
      </c>
      <c r="AC343" s="6" t="n">
        <f aca="false">D343</f>
        <v>4.55</v>
      </c>
      <c r="AD343" s="6" t="n">
        <f aca="false">E343</f>
        <v>1</v>
      </c>
      <c r="AE343" s="6" t="n">
        <f aca="false">G343</f>
        <v>0</v>
      </c>
      <c r="AF343" s="6" t="n">
        <f aca="false">H343</f>
        <v>0</v>
      </c>
      <c r="AG343" s="6" t="n">
        <f aca="false">I343</f>
        <v>0</v>
      </c>
      <c r="AH343" s="6" t="n">
        <f aca="false">L343</f>
        <v>0</v>
      </c>
    </row>
    <row r="344" customFormat="false" ht="15" hidden="false" customHeight="false" outlineLevel="0" collapsed="false">
      <c r="A344" s="0" t="str">
        <f aca="false">'Raw Data'!C344</f>
        <v>Lake Calhoun (aka Minneapolis)</v>
      </c>
      <c r="B344" s="5" t="n">
        <f aca="false">'Raw Data'!A344</f>
        <v>40309</v>
      </c>
      <c r="C344" s="6" t="n">
        <f aca="false">'Raw Data'!D344</f>
        <v>279.768936595041</v>
      </c>
      <c r="D344" s="6" t="n">
        <f aca="false">'Raw Data'!E344</f>
        <v>4.023333333</v>
      </c>
      <c r="E344" s="6" t="n">
        <f aca="false">'Raw Data'!F344</f>
        <v>1</v>
      </c>
      <c r="F344" s="6" t="n">
        <f aca="false">'Raw Data'!G344</f>
        <v>0</v>
      </c>
      <c r="G344" s="6" t="n">
        <f aca="false">'Raw Data'!H344</f>
        <v>0</v>
      </c>
      <c r="H344" s="6" t="n">
        <f aca="false">'Raw Data'!I344</f>
        <v>0</v>
      </c>
      <c r="I344" s="6" t="n">
        <f aca="false">'Raw Data'!J344</f>
        <v>0</v>
      </c>
      <c r="J344" s="6" t="n">
        <f aca="false">'Raw Data'!K344</f>
        <v>1</v>
      </c>
      <c r="K344" s="6" t="n">
        <f aca="false">'Raw Data'!L344</f>
        <v>2</v>
      </c>
      <c r="L344" s="6" t="n">
        <f aca="false">F344*E344</f>
        <v>0</v>
      </c>
      <c r="N344" s="0" t="n">
        <v>1</v>
      </c>
      <c r="O344" s="6" t="n">
        <f aca="false">D344</f>
        <v>4.023333333</v>
      </c>
      <c r="P344" s="6" t="n">
        <f aca="false">E344</f>
        <v>1</v>
      </c>
      <c r="Q344" s="6" t="n">
        <f aca="false">F344</f>
        <v>0</v>
      </c>
      <c r="R344" s="6" t="n">
        <f aca="false">G344</f>
        <v>0</v>
      </c>
      <c r="S344" s="6" t="n">
        <f aca="false">H344</f>
        <v>0</v>
      </c>
      <c r="T344" s="6" t="n">
        <f aca="false">I344</f>
        <v>0</v>
      </c>
      <c r="U344" s="6" t="n">
        <f aca="false">L344</f>
        <v>0</v>
      </c>
      <c r="W344" s="6" t="n">
        <f aca="false">D344</f>
        <v>4.023333333</v>
      </c>
      <c r="X344" s="6" t="n">
        <f aca="false">E344</f>
        <v>1</v>
      </c>
      <c r="Y344" s="6" t="n">
        <f aca="false">F344</f>
        <v>0</v>
      </c>
      <c r="Z344" s="6" t="n">
        <f aca="false">L344</f>
        <v>0</v>
      </c>
      <c r="AA344" s="6" t="n">
        <f aca="false">G344</f>
        <v>0</v>
      </c>
      <c r="AC344" s="6" t="n">
        <f aca="false">D344</f>
        <v>4.023333333</v>
      </c>
      <c r="AD344" s="6" t="n">
        <f aca="false">E344</f>
        <v>1</v>
      </c>
      <c r="AE344" s="6" t="n">
        <f aca="false">G344</f>
        <v>0</v>
      </c>
      <c r="AF344" s="6" t="n">
        <f aca="false">H344</f>
        <v>0</v>
      </c>
      <c r="AG344" s="6" t="n">
        <f aca="false">I344</f>
        <v>0</v>
      </c>
      <c r="AH344" s="6" t="n">
        <f aca="false">L344</f>
        <v>0</v>
      </c>
    </row>
    <row r="345" customFormat="false" ht="15" hidden="false" customHeight="false" outlineLevel="0" collapsed="false">
      <c r="A345" s="0" t="str">
        <f aca="false">'Raw Data'!C345</f>
        <v>Lake Calhoun (aka Minneapolis)</v>
      </c>
      <c r="B345" s="5" t="n">
        <f aca="false">'Raw Data'!A345</f>
        <v>40316</v>
      </c>
      <c r="C345" s="6" t="n">
        <f aca="false">'Raw Data'!D345</f>
        <v>237.154648730573</v>
      </c>
      <c r="D345" s="6" t="n">
        <f aca="false">'Raw Data'!E345</f>
        <v>3.73</v>
      </c>
      <c r="E345" s="6" t="n">
        <f aca="false">'Raw Data'!F345</f>
        <v>1</v>
      </c>
      <c r="F345" s="6" t="n">
        <f aca="false">'Raw Data'!G345</f>
        <v>0</v>
      </c>
      <c r="G345" s="6" t="n">
        <f aca="false">'Raw Data'!H345</f>
        <v>0</v>
      </c>
      <c r="H345" s="6" t="n">
        <f aca="false">'Raw Data'!I345</f>
        <v>0</v>
      </c>
      <c r="I345" s="6" t="n">
        <f aca="false">'Raw Data'!J345</f>
        <v>0</v>
      </c>
      <c r="J345" s="6" t="n">
        <f aca="false">'Raw Data'!K345</f>
        <v>1</v>
      </c>
      <c r="K345" s="6" t="n">
        <f aca="false">'Raw Data'!L345</f>
        <v>2</v>
      </c>
      <c r="L345" s="6" t="n">
        <f aca="false">F345*E345</f>
        <v>0</v>
      </c>
      <c r="N345" s="0" t="n">
        <v>1</v>
      </c>
      <c r="O345" s="6" t="n">
        <f aca="false">D345</f>
        <v>3.73</v>
      </c>
      <c r="P345" s="6" t="n">
        <f aca="false">E345</f>
        <v>1</v>
      </c>
      <c r="Q345" s="6" t="n">
        <f aca="false">F345</f>
        <v>0</v>
      </c>
      <c r="R345" s="6" t="n">
        <f aca="false">G345</f>
        <v>0</v>
      </c>
      <c r="S345" s="6" t="n">
        <f aca="false">H345</f>
        <v>0</v>
      </c>
      <c r="T345" s="6" t="n">
        <f aca="false">I345</f>
        <v>0</v>
      </c>
      <c r="U345" s="6" t="n">
        <f aca="false">L345</f>
        <v>0</v>
      </c>
      <c r="W345" s="6" t="n">
        <f aca="false">D345</f>
        <v>3.73</v>
      </c>
      <c r="X345" s="6" t="n">
        <f aca="false">E345</f>
        <v>1</v>
      </c>
      <c r="Y345" s="6" t="n">
        <f aca="false">F345</f>
        <v>0</v>
      </c>
      <c r="Z345" s="6" t="n">
        <f aca="false">L345</f>
        <v>0</v>
      </c>
      <c r="AA345" s="6" t="n">
        <f aca="false">G345</f>
        <v>0</v>
      </c>
      <c r="AC345" s="6" t="n">
        <f aca="false">D345</f>
        <v>3.73</v>
      </c>
      <c r="AD345" s="6" t="n">
        <f aca="false">E345</f>
        <v>1</v>
      </c>
      <c r="AE345" s="6" t="n">
        <f aca="false">G345</f>
        <v>0</v>
      </c>
      <c r="AF345" s="6" t="n">
        <f aca="false">H345</f>
        <v>0</v>
      </c>
      <c r="AG345" s="6" t="n">
        <f aca="false">I345</f>
        <v>0</v>
      </c>
      <c r="AH345" s="6" t="n">
        <f aca="false">L345</f>
        <v>0</v>
      </c>
    </row>
    <row r="346" customFormat="false" ht="15" hidden="false" customHeight="false" outlineLevel="0" collapsed="false">
      <c r="A346" s="0" t="str">
        <f aca="false">'Raw Data'!C346</f>
        <v>Lake Calhoun (aka Minneapolis)</v>
      </c>
      <c r="B346" s="5" t="n">
        <f aca="false">'Raw Data'!A346</f>
        <v>40323</v>
      </c>
      <c r="C346" s="6" t="n">
        <f aca="false">'Raw Data'!D346</f>
        <v>253.023844455869</v>
      </c>
      <c r="D346" s="6" t="n">
        <f aca="false">'Raw Data'!E346</f>
        <v>3.73</v>
      </c>
      <c r="E346" s="6" t="n">
        <f aca="false">'Raw Data'!F346</f>
        <v>1</v>
      </c>
      <c r="F346" s="6" t="n">
        <f aca="false">'Raw Data'!G346</f>
        <v>0</v>
      </c>
      <c r="G346" s="6" t="n">
        <f aca="false">'Raw Data'!H346</f>
        <v>0</v>
      </c>
      <c r="H346" s="6" t="n">
        <f aca="false">'Raw Data'!I346</f>
        <v>0</v>
      </c>
      <c r="I346" s="6" t="n">
        <f aca="false">'Raw Data'!J346</f>
        <v>0</v>
      </c>
      <c r="J346" s="6" t="n">
        <f aca="false">'Raw Data'!K346</f>
        <v>1</v>
      </c>
      <c r="K346" s="6" t="n">
        <f aca="false">'Raw Data'!L346</f>
        <v>2</v>
      </c>
      <c r="L346" s="6" t="n">
        <f aca="false">F346*E346</f>
        <v>0</v>
      </c>
      <c r="N346" s="0" t="n">
        <v>1</v>
      </c>
      <c r="O346" s="6" t="n">
        <f aca="false">D346</f>
        <v>3.73</v>
      </c>
      <c r="P346" s="6" t="n">
        <f aca="false">E346</f>
        <v>1</v>
      </c>
      <c r="Q346" s="6" t="n">
        <f aca="false">F346</f>
        <v>0</v>
      </c>
      <c r="R346" s="6" t="n">
        <f aca="false">G346</f>
        <v>0</v>
      </c>
      <c r="S346" s="6" t="n">
        <f aca="false">H346</f>
        <v>0</v>
      </c>
      <c r="T346" s="6" t="n">
        <f aca="false">I346</f>
        <v>0</v>
      </c>
      <c r="U346" s="6" t="n">
        <f aca="false">L346</f>
        <v>0</v>
      </c>
      <c r="W346" s="6" t="n">
        <f aca="false">D346</f>
        <v>3.73</v>
      </c>
      <c r="X346" s="6" t="n">
        <f aca="false">E346</f>
        <v>1</v>
      </c>
      <c r="Y346" s="6" t="n">
        <f aca="false">F346</f>
        <v>0</v>
      </c>
      <c r="Z346" s="6" t="n">
        <f aca="false">L346</f>
        <v>0</v>
      </c>
      <c r="AA346" s="6" t="n">
        <f aca="false">G346</f>
        <v>0</v>
      </c>
      <c r="AC346" s="6" t="n">
        <f aca="false">D346</f>
        <v>3.73</v>
      </c>
      <c r="AD346" s="6" t="n">
        <f aca="false">E346</f>
        <v>1</v>
      </c>
      <c r="AE346" s="6" t="n">
        <f aca="false">G346</f>
        <v>0</v>
      </c>
      <c r="AF346" s="6" t="n">
        <f aca="false">H346</f>
        <v>0</v>
      </c>
      <c r="AG346" s="6" t="n">
        <f aca="false">I346</f>
        <v>0</v>
      </c>
      <c r="AH346" s="6" t="n">
        <f aca="false">L346</f>
        <v>0</v>
      </c>
    </row>
    <row r="347" customFormat="false" ht="15" hidden="false" customHeight="false" outlineLevel="0" collapsed="false">
      <c r="A347" s="0" t="str">
        <f aca="false">'Raw Data'!C347</f>
        <v>Lake Calhoun (aka Minneapolis)</v>
      </c>
      <c r="B347" s="5" t="n">
        <f aca="false">'Raw Data'!A347</f>
        <v>40330</v>
      </c>
      <c r="C347" s="6" t="n">
        <f aca="false">'Raw Data'!D347</f>
        <v>208.0575834061</v>
      </c>
      <c r="D347" s="6" t="n">
        <f aca="false">'Raw Data'!E347</f>
        <v>3.898333333</v>
      </c>
      <c r="E347" s="6" t="n">
        <f aca="false">'Raw Data'!F347</f>
        <v>1</v>
      </c>
      <c r="F347" s="6" t="n">
        <f aca="false">'Raw Data'!G347</f>
        <v>0</v>
      </c>
      <c r="G347" s="6" t="n">
        <f aca="false">'Raw Data'!H347</f>
        <v>0</v>
      </c>
      <c r="H347" s="6" t="n">
        <f aca="false">'Raw Data'!I347</f>
        <v>0</v>
      </c>
      <c r="I347" s="6" t="n">
        <f aca="false">'Raw Data'!J347</f>
        <v>0</v>
      </c>
      <c r="J347" s="6" t="n">
        <f aca="false">'Raw Data'!K347</f>
        <v>1</v>
      </c>
      <c r="K347" s="6" t="n">
        <f aca="false">'Raw Data'!L347</f>
        <v>2</v>
      </c>
      <c r="L347" s="6" t="n">
        <f aca="false">F347*E347</f>
        <v>0</v>
      </c>
      <c r="N347" s="0" t="n">
        <v>1</v>
      </c>
      <c r="O347" s="6" t="n">
        <f aca="false">D347</f>
        <v>3.898333333</v>
      </c>
      <c r="P347" s="6" t="n">
        <f aca="false">E347</f>
        <v>1</v>
      </c>
      <c r="Q347" s="6" t="n">
        <f aca="false">F347</f>
        <v>0</v>
      </c>
      <c r="R347" s="6" t="n">
        <f aca="false">G347</f>
        <v>0</v>
      </c>
      <c r="S347" s="6" t="n">
        <f aca="false">H347</f>
        <v>0</v>
      </c>
      <c r="T347" s="6" t="n">
        <f aca="false">I347</f>
        <v>0</v>
      </c>
      <c r="U347" s="6" t="n">
        <f aca="false">L347</f>
        <v>0</v>
      </c>
      <c r="W347" s="6" t="n">
        <f aca="false">D347</f>
        <v>3.898333333</v>
      </c>
      <c r="X347" s="6" t="n">
        <f aca="false">E347</f>
        <v>1</v>
      </c>
      <c r="Y347" s="6" t="n">
        <f aca="false">F347</f>
        <v>0</v>
      </c>
      <c r="Z347" s="6" t="n">
        <f aca="false">L347</f>
        <v>0</v>
      </c>
      <c r="AA347" s="6" t="n">
        <f aca="false">G347</f>
        <v>0</v>
      </c>
      <c r="AC347" s="6" t="n">
        <f aca="false">D347</f>
        <v>3.898333333</v>
      </c>
      <c r="AD347" s="6" t="n">
        <f aca="false">E347</f>
        <v>1</v>
      </c>
      <c r="AE347" s="6" t="n">
        <f aca="false">G347</f>
        <v>0</v>
      </c>
      <c r="AF347" s="6" t="n">
        <f aca="false">H347</f>
        <v>0</v>
      </c>
      <c r="AG347" s="6" t="n">
        <f aca="false">I347</f>
        <v>0</v>
      </c>
      <c r="AH347" s="6" t="n">
        <f aca="false">L347</f>
        <v>0</v>
      </c>
    </row>
    <row r="348" customFormat="false" ht="15" hidden="false" customHeight="false" outlineLevel="0" collapsed="false">
      <c r="A348" s="0" t="str">
        <f aca="false">'Raw Data'!C348</f>
        <v>Lake Calhoun (aka Minneapolis)</v>
      </c>
      <c r="B348" s="5" t="n">
        <f aca="false">'Raw Data'!A348</f>
        <v>40337</v>
      </c>
      <c r="C348" s="6" t="n">
        <f aca="false">'Raw Data'!D348</f>
        <v>275.395383391308</v>
      </c>
      <c r="D348" s="6" t="n">
        <f aca="false">'Raw Data'!E348</f>
        <v>4.096666667</v>
      </c>
      <c r="E348" s="6" t="n">
        <f aca="false">'Raw Data'!F348</f>
        <v>1</v>
      </c>
      <c r="F348" s="6" t="n">
        <f aca="false">'Raw Data'!G348</f>
        <v>0</v>
      </c>
      <c r="G348" s="6" t="n">
        <f aca="false">'Raw Data'!H348</f>
        <v>0</v>
      </c>
      <c r="H348" s="6" t="n">
        <f aca="false">'Raw Data'!I348</f>
        <v>0</v>
      </c>
      <c r="I348" s="6" t="n">
        <f aca="false">'Raw Data'!J348</f>
        <v>0</v>
      </c>
      <c r="J348" s="6" t="n">
        <f aca="false">'Raw Data'!K348</f>
        <v>1</v>
      </c>
      <c r="K348" s="6" t="n">
        <f aca="false">'Raw Data'!L348</f>
        <v>2</v>
      </c>
      <c r="L348" s="6" t="n">
        <f aca="false">F348*E348</f>
        <v>0</v>
      </c>
      <c r="N348" s="0" t="n">
        <v>1</v>
      </c>
      <c r="O348" s="6" t="n">
        <f aca="false">D348</f>
        <v>4.096666667</v>
      </c>
      <c r="P348" s="6" t="n">
        <f aca="false">E348</f>
        <v>1</v>
      </c>
      <c r="Q348" s="6" t="n">
        <f aca="false">F348</f>
        <v>0</v>
      </c>
      <c r="R348" s="6" t="n">
        <f aca="false">G348</f>
        <v>0</v>
      </c>
      <c r="S348" s="6" t="n">
        <f aca="false">H348</f>
        <v>0</v>
      </c>
      <c r="T348" s="6" t="n">
        <f aca="false">I348</f>
        <v>0</v>
      </c>
      <c r="U348" s="6" t="n">
        <f aca="false">L348</f>
        <v>0</v>
      </c>
      <c r="W348" s="6" t="n">
        <f aca="false">D348</f>
        <v>4.096666667</v>
      </c>
      <c r="X348" s="6" t="n">
        <f aca="false">E348</f>
        <v>1</v>
      </c>
      <c r="Y348" s="6" t="n">
        <f aca="false">F348</f>
        <v>0</v>
      </c>
      <c r="Z348" s="6" t="n">
        <f aca="false">L348</f>
        <v>0</v>
      </c>
      <c r="AA348" s="6" t="n">
        <f aca="false">G348</f>
        <v>0</v>
      </c>
      <c r="AC348" s="6" t="n">
        <f aca="false">D348</f>
        <v>4.096666667</v>
      </c>
      <c r="AD348" s="6" t="n">
        <f aca="false">E348</f>
        <v>1</v>
      </c>
      <c r="AE348" s="6" t="n">
        <f aca="false">G348</f>
        <v>0</v>
      </c>
      <c r="AF348" s="6" t="n">
        <f aca="false">H348</f>
        <v>0</v>
      </c>
      <c r="AG348" s="6" t="n">
        <f aca="false">I348</f>
        <v>0</v>
      </c>
      <c r="AH348" s="6" t="n">
        <f aca="false">L348</f>
        <v>0</v>
      </c>
    </row>
    <row r="349" customFormat="false" ht="15" hidden="false" customHeight="false" outlineLevel="0" collapsed="false">
      <c r="A349" s="0" t="str">
        <f aca="false">'Raw Data'!C349</f>
        <v>Lake Calhoun (aka Minneapolis)</v>
      </c>
      <c r="B349" s="5" t="n">
        <f aca="false">'Raw Data'!A349</f>
        <v>40344</v>
      </c>
      <c r="C349" s="6" t="n">
        <f aca="false">'Raw Data'!D349</f>
        <v>272.445036415535</v>
      </c>
      <c r="D349" s="6" t="n">
        <f aca="false">'Raw Data'!E349</f>
        <v>4.618571429</v>
      </c>
      <c r="E349" s="6" t="n">
        <f aca="false">'Raw Data'!F349</f>
        <v>1</v>
      </c>
      <c r="F349" s="6" t="n">
        <f aca="false">'Raw Data'!G349</f>
        <v>0</v>
      </c>
      <c r="G349" s="6" t="n">
        <f aca="false">'Raw Data'!H349</f>
        <v>0</v>
      </c>
      <c r="H349" s="6" t="n">
        <f aca="false">'Raw Data'!I349</f>
        <v>0</v>
      </c>
      <c r="I349" s="6" t="n">
        <f aca="false">'Raw Data'!J349</f>
        <v>0</v>
      </c>
      <c r="J349" s="6" t="n">
        <f aca="false">'Raw Data'!K349</f>
        <v>1</v>
      </c>
      <c r="K349" s="6" t="n">
        <f aca="false">'Raw Data'!L349</f>
        <v>2</v>
      </c>
      <c r="L349" s="6" t="n">
        <f aca="false">F349*E349</f>
        <v>0</v>
      </c>
      <c r="N349" s="0" t="n">
        <v>1</v>
      </c>
      <c r="O349" s="6" t="n">
        <f aca="false">D349</f>
        <v>4.618571429</v>
      </c>
      <c r="P349" s="6" t="n">
        <f aca="false">E349</f>
        <v>1</v>
      </c>
      <c r="Q349" s="6" t="n">
        <f aca="false">F349</f>
        <v>0</v>
      </c>
      <c r="R349" s="6" t="n">
        <f aca="false">G349</f>
        <v>0</v>
      </c>
      <c r="S349" s="6" t="n">
        <f aca="false">H349</f>
        <v>0</v>
      </c>
      <c r="T349" s="6" t="n">
        <f aca="false">I349</f>
        <v>0</v>
      </c>
      <c r="U349" s="6" t="n">
        <f aca="false">L349</f>
        <v>0</v>
      </c>
      <c r="W349" s="6" t="n">
        <f aca="false">D349</f>
        <v>4.618571429</v>
      </c>
      <c r="X349" s="6" t="n">
        <f aca="false">E349</f>
        <v>1</v>
      </c>
      <c r="Y349" s="6" t="n">
        <f aca="false">F349</f>
        <v>0</v>
      </c>
      <c r="Z349" s="6" t="n">
        <f aca="false">L349</f>
        <v>0</v>
      </c>
      <c r="AA349" s="6" t="n">
        <f aca="false">G349</f>
        <v>0</v>
      </c>
      <c r="AC349" s="6" t="n">
        <f aca="false">D349</f>
        <v>4.618571429</v>
      </c>
      <c r="AD349" s="6" t="n">
        <f aca="false">E349</f>
        <v>1</v>
      </c>
      <c r="AE349" s="6" t="n">
        <f aca="false">G349</f>
        <v>0</v>
      </c>
      <c r="AF349" s="6" t="n">
        <f aca="false">H349</f>
        <v>0</v>
      </c>
      <c r="AG349" s="6" t="n">
        <f aca="false">I349</f>
        <v>0</v>
      </c>
      <c r="AH349" s="6" t="n">
        <f aca="false">L349</f>
        <v>0</v>
      </c>
    </row>
    <row r="350" customFormat="false" ht="15" hidden="false" customHeight="false" outlineLevel="0" collapsed="false">
      <c r="A350" s="0" t="str">
        <f aca="false">'Raw Data'!C350</f>
        <v>Lake Calhoun (aka Minneapolis)</v>
      </c>
      <c r="B350" s="5" t="n">
        <f aca="false">'Raw Data'!A350</f>
        <v>40351</v>
      </c>
      <c r="C350" s="6" t="n">
        <f aca="false">'Raw Data'!D350</f>
        <v>257.056476171728</v>
      </c>
      <c r="D350" s="6" t="n">
        <f aca="false">'Raw Data'!E350</f>
        <v>4.096666667</v>
      </c>
      <c r="E350" s="6" t="n">
        <f aca="false">'Raw Data'!F350</f>
        <v>1</v>
      </c>
      <c r="F350" s="6" t="n">
        <f aca="false">'Raw Data'!G350</f>
        <v>0</v>
      </c>
      <c r="G350" s="6" t="n">
        <f aca="false">'Raw Data'!H350</f>
        <v>0</v>
      </c>
      <c r="H350" s="6" t="n">
        <f aca="false">'Raw Data'!I350</f>
        <v>0</v>
      </c>
      <c r="I350" s="6" t="n">
        <f aca="false">'Raw Data'!J350</f>
        <v>0</v>
      </c>
      <c r="J350" s="6" t="n">
        <f aca="false">'Raw Data'!K350</f>
        <v>1</v>
      </c>
      <c r="K350" s="6" t="n">
        <f aca="false">'Raw Data'!L350</f>
        <v>2</v>
      </c>
      <c r="L350" s="6" t="n">
        <f aca="false">F350*E350</f>
        <v>0</v>
      </c>
      <c r="N350" s="0" t="n">
        <v>1</v>
      </c>
      <c r="O350" s="6" t="n">
        <f aca="false">D350</f>
        <v>4.096666667</v>
      </c>
      <c r="P350" s="6" t="n">
        <f aca="false">E350</f>
        <v>1</v>
      </c>
      <c r="Q350" s="6" t="n">
        <f aca="false">F350</f>
        <v>0</v>
      </c>
      <c r="R350" s="6" t="n">
        <f aca="false">G350</f>
        <v>0</v>
      </c>
      <c r="S350" s="6" t="n">
        <f aca="false">H350</f>
        <v>0</v>
      </c>
      <c r="T350" s="6" t="n">
        <f aca="false">I350</f>
        <v>0</v>
      </c>
      <c r="U350" s="6" t="n">
        <f aca="false">L350</f>
        <v>0</v>
      </c>
      <c r="W350" s="6" t="n">
        <f aca="false">D350</f>
        <v>4.096666667</v>
      </c>
      <c r="X350" s="6" t="n">
        <f aca="false">E350</f>
        <v>1</v>
      </c>
      <c r="Y350" s="6" t="n">
        <f aca="false">F350</f>
        <v>0</v>
      </c>
      <c r="Z350" s="6" t="n">
        <f aca="false">L350</f>
        <v>0</v>
      </c>
      <c r="AA350" s="6" t="n">
        <f aca="false">G350</f>
        <v>0</v>
      </c>
      <c r="AC350" s="6" t="n">
        <f aca="false">D350</f>
        <v>4.096666667</v>
      </c>
      <c r="AD350" s="6" t="n">
        <f aca="false">E350</f>
        <v>1</v>
      </c>
      <c r="AE350" s="6" t="n">
        <f aca="false">G350</f>
        <v>0</v>
      </c>
      <c r="AF350" s="6" t="n">
        <f aca="false">H350</f>
        <v>0</v>
      </c>
      <c r="AG350" s="6" t="n">
        <f aca="false">I350</f>
        <v>0</v>
      </c>
      <c r="AH350" s="6" t="n">
        <f aca="false">L350</f>
        <v>0</v>
      </c>
    </row>
    <row r="351" customFormat="false" ht="15" hidden="false" customHeight="false" outlineLevel="0" collapsed="false">
      <c r="A351" s="0" t="str">
        <f aca="false">'Raw Data'!C351</f>
        <v>Lake Calhoun (aka Minneapolis)</v>
      </c>
      <c r="B351" s="5" t="n">
        <f aca="false">'Raw Data'!A351</f>
        <v>40358</v>
      </c>
      <c r="C351" s="6" t="n">
        <f aca="false">'Raw Data'!D351</f>
        <v>347.234632694625</v>
      </c>
      <c r="D351" s="6" t="n">
        <f aca="false">'Raw Data'!E351</f>
        <v>4.34</v>
      </c>
      <c r="E351" s="6" t="n">
        <f aca="false">'Raw Data'!F351</f>
        <v>1</v>
      </c>
      <c r="F351" s="6" t="n">
        <f aca="false">'Raw Data'!G351</f>
        <v>0</v>
      </c>
      <c r="G351" s="6" t="n">
        <f aca="false">'Raw Data'!H351</f>
        <v>1</v>
      </c>
      <c r="H351" s="6" t="n">
        <f aca="false">'Raw Data'!I351</f>
        <v>0</v>
      </c>
      <c r="I351" s="6" t="n">
        <f aca="false">'Raw Data'!J351</f>
        <v>0</v>
      </c>
      <c r="J351" s="6" t="n">
        <f aca="false">'Raw Data'!K351</f>
        <v>1</v>
      </c>
      <c r="K351" s="6" t="n">
        <f aca="false">'Raw Data'!L351</f>
        <v>2</v>
      </c>
      <c r="L351" s="6" t="n">
        <f aca="false">F351*E351</f>
        <v>0</v>
      </c>
      <c r="N351" s="0" t="n">
        <v>1</v>
      </c>
      <c r="O351" s="6" t="n">
        <f aca="false">D351</f>
        <v>4.34</v>
      </c>
      <c r="P351" s="6" t="n">
        <f aca="false">E351</f>
        <v>1</v>
      </c>
      <c r="Q351" s="6" t="n">
        <f aca="false">F351</f>
        <v>0</v>
      </c>
      <c r="R351" s="6" t="n">
        <f aca="false">G351</f>
        <v>1</v>
      </c>
      <c r="S351" s="6" t="n">
        <f aca="false">H351</f>
        <v>0</v>
      </c>
      <c r="T351" s="6" t="n">
        <f aca="false">I351</f>
        <v>0</v>
      </c>
      <c r="U351" s="6" t="n">
        <f aca="false">L351</f>
        <v>0</v>
      </c>
      <c r="W351" s="6" t="n">
        <f aca="false">D351</f>
        <v>4.34</v>
      </c>
      <c r="X351" s="6" t="n">
        <f aca="false">E351</f>
        <v>1</v>
      </c>
      <c r="Y351" s="6" t="n">
        <f aca="false">F351</f>
        <v>0</v>
      </c>
      <c r="Z351" s="6" t="n">
        <f aca="false">L351</f>
        <v>0</v>
      </c>
      <c r="AA351" s="6" t="n">
        <f aca="false">G351</f>
        <v>1</v>
      </c>
      <c r="AC351" s="6" t="n">
        <f aca="false">D351</f>
        <v>4.34</v>
      </c>
      <c r="AD351" s="6" t="n">
        <f aca="false">E351</f>
        <v>1</v>
      </c>
      <c r="AE351" s="6" t="n">
        <f aca="false">G351</f>
        <v>1</v>
      </c>
      <c r="AF351" s="6" t="n">
        <f aca="false">H351</f>
        <v>0</v>
      </c>
      <c r="AG351" s="6" t="n">
        <f aca="false">I351</f>
        <v>0</v>
      </c>
      <c r="AH351" s="6" t="n">
        <f aca="false">L351</f>
        <v>0</v>
      </c>
    </row>
    <row r="352" customFormat="false" ht="15" hidden="false" customHeight="false" outlineLevel="0" collapsed="false">
      <c r="A352" s="0" t="str">
        <f aca="false">'Raw Data'!C352</f>
        <v>Lake Calhoun (aka Minneapolis)</v>
      </c>
      <c r="B352" s="5" t="n">
        <f aca="false">'Raw Data'!A352</f>
        <v>40365</v>
      </c>
      <c r="C352" s="6" t="n">
        <f aca="false">'Raw Data'!D352</f>
        <v>288.624908843513</v>
      </c>
      <c r="D352" s="6" t="n">
        <f aca="false">'Raw Data'!E352</f>
        <v>3.681333333</v>
      </c>
      <c r="E352" s="6" t="n">
        <f aca="false">'Raw Data'!F352</f>
        <v>1</v>
      </c>
      <c r="F352" s="6" t="n">
        <f aca="false">'Raw Data'!G352</f>
        <v>0</v>
      </c>
      <c r="G352" s="6" t="n">
        <f aca="false">'Raw Data'!H352</f>
        <v>0</v>
      </c>
      <c r="H352" s="6" t="n">
        <f aca="false">'Raw Data'!I352</f>
        <v>1</v>
      </c>
      <c r="I352" s="6" t="n">
        <f aca="false">'Raw Data'!J352</f>
        <v>0</v>
      </c>
      <c r="J352" s="6" t="n">
        <f aca="false">'Raw Data'!K352</f>
        <v>1</v>
      </c>
      <c r="K352" s="6" t="n">
        <f aca="false">'Raw Data'!L352</f>
        <v>2</v>
      </c>
      <c r="L352" s="6" t="n">
        <f aca="false">F352*E352</f>
        <v>0</v>
      </c>
      <c r="N352" s="0" t="n">
        <v>1</v>
      </c>
      <c r="O352" s="6" t="n">
        <f aca="false">D352</f>
        <v>3.681333333</v>
      </c>
      <c r="P352" s="6" t="n">
        <f aca="false">E352</f>
        <v>1</v>
      </c>
      <c r="Q352" s="6" t="n">
        <f aca="false">F352</f>
        <v>0</v>
      </c>
      <c r="R352" s="6" t="n">
        <f aca="false">G352</f>
        <v>0</v>
      </c>
      <c r="S352" s="6" t="n">
        <f aca="false">H352</f>
        <v>1</v>
      </c>
      <c r="T352" s="6" t="n">
        <f aca="false">I352</f>
        <v>0</v>
      </c>
      <c r="U352" s="6" t="n">
        <f aca="false">L352</f>
        <v>0</v>
      </c>
      <c r="W352" s="6" t="n">
        <f aca="false">D352</f>
        <v>3.681333333</v>
      </c>
      <c r="X352" s="6" t="n">
        <f aca="false">E352</f>
        <v>1</v>
      </c>
      <c r="Y352" s="6" t="n">
        <f aca="false">F352</f>
        <v>0</v>
      </c>
      <c r="Z352" s="6" t="n">
        <f aca="false">L352</f>
        <v>0</v>
      </c>
      <c r="AA352" s="6" t="n">
        <f aca="false">G352</f>
        <v>0</v>
      </c>
      <c r="AC352" s="6" t="n">
        <f aca="false">D352</f>
        <v>3.681333333</v>
      </c>
      <c r="AD352" s="6" t="n">
        <f aca="false">E352</f>
        <v>1</v>
      </c>
      <c r="AE352" s="6" t="n">
        <f aca="false">G352</f>
        <v>0</v>
      </c>
      <c r="AF352" s="6" t="n">
        <f aca="false">H352</f>
        <v>1</v>
      </c>
      <c r="AG352" s="6" t="n">
        <f aca="false">I352</f>
        <v>0</v>
      </c>
      <c r="AH352" s="6" t="n">
        <f aca="false">L352</f>
        <v>0</v>
      </c>
    </row>
    <row r="353" customFormat="false" ht="15" hidden="false" customHeight="false" outlineLevel="0" collapsed="false">
      <c r="A353" s="0" t="str">
        <f aca="false">'Raw Data'!C353</f>
        <v>Lake Calhoun (aka Minneapolis)</v>
      </c>
      <c r="B353" s="5" t="n">
        <f aca="false">'Raw Data'!A353</f>
        <v>40372</v>
      </c>
      <c r="C353" s="6" t="n">
        <f aca="false">'Raw Data'!D353</f>
        <v>330.859008054363</v>
      </c>
      <c r="D353" s="6" t="n">
        <f aca="false">'Raw Data'!E353</f>
        <v>3.630714286</v>
      </c>
      <c r="E353" s="6" t="n">
        <f aca="false">'Raw Data'!F353</f>
        <v>1</v>
      </c>
      <c r="F353" s="6" t="n">
        <f aca="false">'Raw Data'!G353</f>
        <v>0</v>
      </c>
      <c r="G353" s="6" t="n">
        <f aca="false">'Raw Data'!H353</f>
        <v>0</v>
      </c>
      <c r="H353" s="6" t="n">
        <f aca="false">'Raw Data'!I353</f>
        <v>1</v>
      </c>
      <c r="I353" s="6" t="n">
        <f aca="false">'Raw Data'!J353</f>
        <v>0</v>
      </c>
      <c r="J353" s="6" t="n">
        <f aca="false">'Raw Data'!K353</f>
        <v>1</v>
      </c>
      <c r="K353" s="6" t="n">
        <f aca="false">'Raw Data'!L353</f>
        <v>2</v>
      </c>
      <c r="L353" s="6" t="n">
        <f aca="false">F353*E353</f>
        <v>0</v>
      </c>
      <c r="N353" s="0" t="n">
        <v>1</v>
      </c>
      <c r="O353" s="6" t="n">
        <f aca="false">D353</f>
        <v>3.630714286</v>
      </c>
      <c r="P353" s="6" t="n">
        <f aca="false">E353</f>
        <v>1</v>
      </c>
      <c r="Q353" s="6" t="n">
        <f aca="false">F353</f>
        <v>0</v>
      </c>
      <c r="R353" s="6" t="n">
        <f aca="false">G353</f>
        <v>0</v>
      </c>
      <c r="S353" s="6" t="n">
        <f aca="false">H353</f>
        <v>1</v>
      </c>
      <c r="T353" s="6" t="n">
        <f aca="false">I353</f>
        <v>0</v>
      </c>
      <c r="U353" s="6" t="n">
        <f aca="false">L353</f>
        <v>0</v>
      </c>
      <c r="W353" s="6" t="n">
        <f aca="false">D353</f>
        <v>3.630714286</v>
      </c>
      <c r="X353" s="6" t="n">
        <f aca="false">E353</f>
        <v>1</v>
      </c>
      <c r="Y353" s="6" t="n">
        <f aca="false">F353</f>
        <v>0</v>
      </c>
      <c r="Z353" s="6" t="n">
        <f aca="false">L353</f>
        <v>0</v>
      </c>
      <c r="AA353" s="6" t="n">
        <f aca="false">G353</f>
        <v>0</v>
      </c>
      <c r="AC353" s="6" t="n">
        <f aca="false">D353</f>
        <v>3.630714286</v>
      </c>
      <c r="AD353" s="6" t="n">
        <f aca="false">E353</f>
        <v>1</v>
      </c>
      <c r="AE353" s="6" t="n">
        <f aca="false">G353</f>
        <v>0</v>
      </c>
      <c r="AF353" s="6" t="n">
        <f aca="false">H353</f>
        <v>1</v>
      </c>
      <c r="AG353" s="6" t="n">
        <f aca="false">I353</f>
        <v>0</v>
      </c>
      <c r="AH353" s="6" t="n">
        <f aca="false">L353</f>
        <v>0</v>
      </c>
    </row>
    <row r="354" customFormat="false" ht="15" hidden="false" customHeight="false" outlineLevel="0" collapsed="false">
      <c r="A354" s="0" t="str">
        <f aca="false">'Raw Data'!C354</f>
        <v>Lakeview</v>
      </c>
      <c r="B354" s="5" t="n">
        <f aca="false">'Raw Data'!A354</f>
        <v>40302</v>
      </c>
      <c r="C354" s="6" t="n">
        <f aca="false">'Raw Data'!D354</f>
        <v>66.3866532139855</v>
      </c>
      <c r="D354" s="6" t="n">
        <f aca="false">'Raw Data'!E354</f>
        <v>4.612222222</v>
      </c>
      <c r="E354" s="6" t="n">
        <f aca="false">'Raw Data'!F354</f>
        <v>1</v>
      </c>
      <c r="F354" s="6" t="n">
        <f aca="false">'Raw Data'!G354</f>
        <v>0</v>
      </c>
      <c r="G354" s="6" t="n">
        <f aca="false">'Raw Data'!H354</f>
        <v>0</v>
      </c>
      <c r="H354" s="6" t="n">
        <f aca="false">'Raw Data'!I354</f>
        <v>0</v>
      </c>
      <c r="I354" s="6" t="n">
        <f aca="false">'Raw Data'!J354</f>
        <v>0</v>
      </c>
      <c r="J354" s="6" t="n">
        <f aca="false">'Raw Data'!K354</f>
        <v>2</v>
      </c>
      <c r="K354" s="6" t="n">
        <f aca="false">'Raw Data'!L354</f>
        <v>3</v>
      </c>
      <c r="L354" s="6" t="n">
        <f aca="false">F354*E354</f>
        <v>0</v>
      </c>
      <c r="N354" s="0" t="n">
        <v>1</v>
      </c>
      <c r="O354" s="6" t="n">
        <f aca="false">D354</f>
        <v>4.612222222</v>
      </c>
      <c r="P354" s="6" t="n">
        <f aca="false">E354</f>
        <v>1</v>
      </c>
      <c r="Q354" s="6" t="n">
        <f aca="false">F354</f>
        <v>0</v>
      </c>
      <c r="R354" s="6" t="n">
        <f aca="false">G354</f>
        <v>0</v>
      </c>
      <c r="S354" s="6" t="n">
        <f aca="false">H354</f>
        <v>0</v>
      </c>
      <c r="T354" s="6" t="n">
        <f aca="false">I354</f>
        <v>0</v>
      </c>
      <c r="U354" s="6" t="n">
        <f aca="false">L354</f>
        <v>0</v>
      </c>
      <c r="W354" s="6" t="n">
        <f aca="false">D354</f>
        <v>4.612222222</v>
      </c>
      <c r="X354" s="6" t="n">
        <f aca="false">E354</f>
        <v>1</v>
      </c>
      <c r="Y354" s="6" t="n">
        <f aca="false">F354</f>
        <v>0</v>
      </c>
      <c r="Z354" s="6" t="n">
        <f aca="false">L354</f>
        <v>0</v>
      </c>
      <c r="AA354" s="6" t="n">
        <f aca="false">G354</f>
        <v>0</v>
      </c>
      <c r="AC354" s="6" t="n">
        <f aca="false">D354</f>
        <v>4.612222222</v>
      </c>
      <c r="AD354" s="6" t="n">
        <f aca="false">E354</f>
        <v>1</v>
      </c>
      <c r="AE354" s="6" t="n">
        <f aca="false">G354</f>
        <v>0</v>
      </c>
      <c r="AF354" s="6" t="n">
        <f aca="false">H354</f>
        <v>0</v>
      </c>
      <c r="AG354" s="6" t="n">
        <f aca="false">I354</f>
        <v>0</v>
      </c>
      <c r="AH354" s="6" t="n">
        <f aca="false">L354</f>
        <v>0</v>
      </c>
    </row>
    <row r="355" customFormat="false" ht="15" hidden="false" customHeight="false" outlineLevel="0" collapsed="false">
      <c r="A355" s="0" t="str">
        <f aca="false">'Raw Data'!C355</f>
        <v>Lakeview</v>
      </c>
      <c r="B355" s="5" t="n">
        <f aca="false">'Raw Data'!A355</f>
        <v>40309</v>
      </c>
      <c r="C355" s="6" t="n">
        <f aca="false">'Raw Data'!D355</f>
        <v>267.690172845707</v>
      </c>
      <c r="D355" s="6" t="n">
        <f aca="false">'Raw Data'!E355</f>
        <v>4.612222222</v>
      </c>
      <c r="E355" s="6" t="n">
        <f aca="false">'Raw Data'!F355</f>
        <v>1</v>
      </c>
      <c r="F355" s="6" t="n">
        <f aca="false">'Raw Data'!G355</f>
        <v>0</v>
      </c>
      <c r="G355" s="6" t="n">
        <f aca="false">'Raw Data'!H355</f>
        <v>0</v>
      </c>
      <c r="H355" s="6" t="n">
        <f aca="false">'Raw Data'!I355</f>
        <v>0</v>
      </c>
      <c r="I355" s="6" t="n">
        <f aca="false">'Raw Data'!J355</f>
        <v>0</v>
      </c>
      <c r="J355" s="6" t="n">
        <f aca="false">'Raw Data'!K355</f>
        <v>2</v>
      </c>
      <c r="K355" s="6" t="n">
        <f aca="false">'Raw Data'!L355</f>
        <v>3</v>
      </c>
      <c r="L355" s="6" t="n">
        <f aca="false">F355*E355</f>
        <v>0</v>
      </c>
      <c r="N355" s="0" t="n">
        <v>1</v>
      </c>
      <c r="O355" s="6" t="n">
        <f aca="false">D355</f>
        <v>4.612222222</v>
      </c>
      <c r="P355" s="6" t="n">
        <f aca="false">E355</f>
        <v>1</v>
      </c>
      <c r="Q355" s="6" t="n">
        <f aca="false">F355</f>
        <v>0</v>
      </c>
      <c r="R355" s="6" t="n">
        <f aca="false">G355</f>
        <v>0</v>
      </c>
      <c r="S355" s="6" t="n">
        <f aca="false">H355</f>
        <v>0</v>
      </c>
      <c r="T355" s="6" t="n">
        <f aca="false">I355</f>
        <v>0</v>
      </c>
      <c r="U355" s="6" t="n">
        <f aca="false">L355</f>
        <v>0</v>
      </c>
      <c r="W355" s="6" t="n">
        <f aca="false">D355</f>
        <v>4.612222222</v>
      </c>
      <c r="X355" s="6" t="n">
        <f aca="false">E355</f>
        <v>1</v>
      </c>
      <c r="Y355" s="6" t="n">
        <f aca="false">F355</f>
        <v>0</v>
      </c>
      <c r="Z355" s="6" t="n">
        <f aca="false">L355</f>
        <v>0</v>
      </c>
      <c r="AA355" s="6" t="n">
        <f aca="false">G355</f>
        <v>0</v>
      </c>
      <c r="AC355" s="6" t="n">
        <f aca="false">D355</f>
        <v>4.612222222</v>
      </c>
      <c r="AD355" s="6" t="n">
        <f aca="false">E355</f>
        <v>1</v>
      </c>
      <c r="AE355" s="6" t="n">
        <f aca="false">G355</f>
        <v>0</v>
      </c>
      <c r="AF355" s="6" t="n">
        <f aca="false">H355</f>
        <v>0</v>
      </c>
      <c r="AG355" s="6" t="n">
        <f aca="false">I355</f>
        <v>0</v>
      </c>
      <c r="AH355" s="6" t="n">
        <f aca="false">L355</f>
        <v>0</v>
      </c>
    </row>
    <row r="356" customFormat="false" ht="15" hidden="false" customHeight="false" outlineLevel="0" collapsed="false">
      <c r="A356" s="0" t="str">
        <f aca="false">'Raw Data'!C356</f>
        <v>Lakeview</v>
      </c>
      <c r="B356" s="5" t="n">
        <f aca="false">'Raw Data'!A356</f>
        <v>40316</v>
      </c>
      <c r="C356" s="6" t="n">
        <f aca="false">'Raw Data'!D356</f>
        <v>191.368189952818</v>
      </c>
      <c r="D356" s="6" t="n">
        <f aca="false">'Raw Data'!E356</f>
        <v>4</v>
      </c>
      <c r="E356" s="6" t="n">
        <f aca="false">'Raw Data'!F356</f>
        <v>1</v>
      </c>
      <c r="F356" s="6" t="n">
        <f aca="false">'Raw Data'!G356</f>
        <v>0</v>
      </c>
      <c r="G356" s="6" t="n">
        <f aca="false">'Raw Data'!H356</f>
        <v>0</v>
      </c>
      <c r="H356" s="6" t="n">
        <f aca="false">'Raw Data'!I356</f>
        <v>0</v>
      </c>
      <c r="I356" s="6" t="n">
        <f aca="false">'Raw Data'!J356</f>
        <v>0</v>
      </c>
      <c r="J356" s="6" t="n">
        <f aca="false">'Raw Data'!K356</f>
        <v>2</v>
      </c>
      <c r="K356" s="6" t="n">
        <f aca="false">'Raw Data'!L356</f>
        <v>3</v>
      </c>
      <c r="L356" s="6" t="n">
        <f aca="false">F356*E356</f>
        <v>0</v>
      </c>
      <c r="N356" s="0" t="n">
        <v>1</v>
      </c>
      <c r="O356" s="6" t="n">
        <f aca="false">D356</f>
        <v>4</v>
      </c>
      <c r="P356" s="6" t="n">
        <f aca="false">E356</f>
        <v>1</v>
      </c>
      <c r="Q356" s="6" t="n">
        <f aca="false">F356</f>
        <v>0</v>
      </c>
      <c r="R356" s="6" t="n">
        <f aca="false">G356</f>
        <v>0</v>
      </c>
      <c r="S356" s="6" t="n">
        <f aca="false">H356</f>
        <v>0</v>
      </c>
      <c r="T356" s="6" t="n">
        <f aca="false">I356</f>
        <v>0</v>
      </c>
      <c r="U356" s="6" t="n">
        <f aca="false">L356</f>
        <v>0</v>
      </c>
      <c r="W356" s="6" t="n">
        <f aca="false">D356</f>
        <v>4</v>
      </c>
      <c r="X356" s="6" t="n">
        <f aca="false">E356</f>
        <v>1</v>
      </c>
      <c r="Y356" s="6" t="n">
        <f aca="false">F356</f>
        <v>0</v>
      </c>
      <c r="Z356" s="6" t="n">
        <f aca="false">L356</f>
        <v>0</v>
      </c>
      <c r="AA356" s="6" t="n">
        <f aca="false">G356</f>
        <v>0</v>
      </c>
      <c r="AC356" s="6" t="n">
        <f aca="false">D356</f>
        <v>4</v>
      </c>
      <c r="AD356" s="6" t="n">
        <f aca="false">E356</f>
        <v>1</v>
      </c>
      <c r="AE356" s="6" t="n">
        <f aca="false">G356</f>
        <v>0</v>
      </c>
      <c r="AF356" s="6" t="n">
        <f aca="false">H356</f>
        <v>0</v>
      </c>
      <c r="AG356" s="6" t="n">
        <f aca="false">I356</f>
        <v>0</v>
      </c>
      <c r="AH356" s="6" t="n">
        <f aca="false">L356</f>
        <v>0</v>
      </c>
    </row>
    <row r="357" customFormat="false" ht="15" hidden="false" customHeight="false" outlineLevel="0" collapsed="false">
      <c r="A357" s="0" t="str">
        <f aca="false">'Raw Data'!C357</f>
        <v>Lakeview</v>
      </c>
      <c r="B357" s="5" t="n">
        <f aca="false">'Raw Data'!A357</f>
        <v>40323</v>
      </c>
      <c r="C357" s="6" t="n">
        <f aca="false">'Raw Data'!D357</f>
        <v>285.858851568465</v>
      </c>
      <c r="D357" s="6" t="n">
        <f aca="false">'Raw Data'!E357</f>
        <v>3.956666667</v>
      </c>
      <c r="E357" s="6" t="n">
        <f aca="false">'Raw Data'!F357</f>
        <v>1</v>
      </c>
      <c r="F357" s="6" t="n">
        <f aca="false">'Raw Data'!G357</f>
        <v>0</v>
      </c>
      <c r="G357" s="6" t="n">
        <f aca="false">'Raw Data'!H357</f>
        <v>0</v>
      </c>
      <c r="H357" s="6" t="n">
        <f aca="false">'Raw Data'!I357</f>
        <v>0</v>
      </c>
      <c r="I357" s="6" t="n">
        <f aca="false">'Raw Data'!J357</f>
        <v>0</v>
      </c>
      <c r="J357" s="6" t="n">
        <f aca="false">'Raw Data'!K357</f>
        <v>2</v>
      </c>
      <c r="K357" s="6" t="n">
        <f aca="false">'Raw Data'!L357</f>
        <v>3</v>
      </c>
      <c r="L357" s="6" t="n">
        <f aca="false">F357*E357</f>
        <v>0</v>
      </c>
      <c r="N357" s="0" t="n">
        <v>1</v>
      </c>
      <c r="O357" s="6" t="n">
        <f aca="false">D357</f>
        <v>3.956666667</v>
      </c>
      <c r="P357" s="6" t="n">
        <f aca="false">E357</f>
        <v>1</v>
      </c>
      <c r="Q357" s="6" t="n">
        <f aca="false">F357</f>
        <v>0</v>
      </c>
      <c r="R357" s="6" t="n">
        <f aca="false">G357</f>
        <v>0</v>
      </c>
      <c r="S357" s="6" t="n">
        <f aca="false">H357</f>
        <v>0</v>
      </c>
      <c r="T357" s="6" t="n">
        <f aca="false">I357</f>
        <v>0</v>
      </c>
      <c r="U357" s="6" t="n">
        <f aca="false">L357</f>
        <v>0</v>
      </c>
      <c r="W357" s="6" t="n">
        <f aca="false">D357</f>
        <v>3.956666667</v>
      </c>
      <c r="X357" s="6" t="n">
        <f aca="false">E357</f>
        <v>1</v>
      </c>
      <c r="Y357" s="6" t="n">
        <f aca="false">F357</f>
        <v>0</v>
      </c>
      <c r="Z357" s="6" t="n">
        <f aca="false">L357</f>
        <v>0</v>
      </c>
      <c r="AA357" s="6" t="n">
        <f aca="false">G357</f>
        <v>0</v>
      </c>
      <c r="AC357" s="6" t="n">
        <f aca="false">D357</f>
        <v>3.956666667</v>
      </c>
      <c r="AD357" s="6" t="n">
        <f aca="false">E357</f>
        <v>1</v>
      </c>
      <c r="AE357" s="6" t="n">
        <f aca="false">G357</f>
        <v>0</v>
      </c>
      <c r="AF357" s="6" t="n">
        <f aca="false">H357</f>
        <v>0</v>
      </c>
      <c r="AG357" s="6" t="n">
        <f aca="false">I357</f>
        <v>0</v>
      </c>
      <c r="AH357" s="6" t="n">
        <f aca="false">L357</f>
        <v>0</v>
      </c>
    </row>
    <row r="358" customFormat="false" ht="15" hidden="false" customHeight="false" outlineLevel="0" collapsed="false">
      <c r="A358" s="0" t="str">
        <f aca="false">'Raw Data'!C358</f>
        <v>Lakeview</v>
      </c>
      <c r="B358" s="5" t="n">
        <f aca="false">'Raw Data'!A358</f>
        <v>40330</v>
      </c>
      <c r="C358" s="6" t="n">
        <f aca="false">'Raw Data'!D358</f>
        <v>275.693843987559</v>
      </c>
      <c r="D358" s="6" t="n">
        <f aca="false">'Raw Data'!E358</f>
        <v>3.671818182</v>
      </c>
      <c r="E358" s="6" t="n">
        <f aca="false">'Raw Data'!F358</f>
        <v>1</v>
      </c>
      <c r="F358" s="6" t="n">
        <f aca="false">'Raw Data'!G358</f>
        <v>0</v>
      </c>
      <c r="G358" s="6" t="n">
        <f aca="false">'Raw Data'!H358</f>
        <v>0</v>
      </c>
      <c r="H358" s="6" t="n">
        <f aca="false">'Raw Data'!I358</f>
        <v>0</v>
      </c>
      <c r="I358" s="6" t="n">
        <f aca="false">'Raw Data'!J358</f>
        <v>0</v>
      </c>
      <c r="J358" s="6" t="n">
        <f aca="false">'Raw Data'!K358</f>
        <v>2</v>
      </c>
      <c r="K358" s="6" t="n">
        <f aca="false">'Raw Data'!L358</f>
        <v>3</v>
      </c>
      <c r="L358" s="6" t="n">
        <f aca="false">F358*E358</f>
        <v>0</v>
      </c>
      <c r="N358" s="0" t="n">
        <v>1</v>
      </c>
      <c r="O358" s="6" t="n">
        <f aca="false">D358</f>
        <v>3.671818182</v>
      </c>
      <c r="P358" s="6" t="n">
        <f aca="false">E358</f>
        <v>1</v>
      </c>
      <c r="Q358" s="6" t="n">
        <f aca="false">F358</f>
        <v>0</v>
      </c>
      <c r="R358" s="6" t="n">
        <f aca="false">G358</f>
        <v>0</v>
      </c>
      <c r="S358" s="6" t="n">
        <f aca="false">H358</f>
        <v>0</v>
      </c>
      <c r="T358" s="6" t="n">
        <f aca="false">I358</f>
        <v>0</v>
      </c>
      <c r="U358" s="6" t="n">
        <f aca="false">L358</f>
        <v>0</v>
      </c>
      <c r="W358" s="6" t="n">
        <f aca="false">D358</f>
        <v>3.671818182</v>
      </c>
      <c r="X358" s="6" t="n">
        <f aca="false">E358</f>
        <v>1</v>
      </c>
      <c r="Y358" s="6" t="n">
        <f aca="false">F358</f>
        <v>0</v>
      </c>
      <c r="Z358" s="6" t="n">
        <f aca="false">L358</f>
        <v>0</v>
      </c>
      <c r="AA358" s="6" t="n">
        <f aca="false">G358</f>
        <v>0</v>
      </c>
      <c r="AC358" s="6" t="n">
        <f aca="false">D358</f>
        <v>3.671818182</v>
      </c>
      <c r="AD358" s="6" t="n">
        <f aca="false">E358</f>
        <v>1</v>
      </c>
      <c r="AE358" s="6" t="n">
        <f aca="false">G358</f>
        <v>0</v>
      </c>
      <c r="AF358" s="6" t="n">
        <f aca="false">H358</f>
        <v>0</v>
      </c>
      <c r="AG358" s="6" t="n">
        <f aca="false">I358</f>
        <v>0</v>
      </c>
      <c r="AH358" s="6" t="n">
        <f aca="false">L358</f>
        <v>0</v>
      </c>
    </row>
    <row r="359" customFormat="false" ht="15" hidden="false" customHeight="false" outlineLevel="0" collapsed="false">
      <c r="A359" s="0" t="str">
        <f aca="false">'Raw Data'!C359</f>
        <v>Lakeview</v>
      </c>
      <c r="B359" s="5" t="n">
        <f aca="false">'Raw Data'!A359</f>
        <v>40337</v>
      </c>
      <c r="C359" s="6" t="n">
        <f aca="false">'Raw Data'!D359</f>
        <v>226.226083396351</v>
      </c>
      <c r="D359" s="6" t="n">
        <f aca="false">'Raw Data'!E359</f>
        <v>4.075714286</v>
      </c>
      <c r="E359" s="6" t="n">
        <f aca="false">'Raw Data'!F359</f>
        <v>1</v>
      </c>
      <c r="F359" s="6" t="n">
        <f aca="false">'Raw Data'!G359</f>
        <v>0</v>
      </c>
      <c r="G359" s="6" t="n">
        <f aca="false">'Raw Data'!H359</f>
        <v>0</v>
      </c>
      <c r="H359" s="6" t="n">
        <f aca="false">'Raw Data'!I359</f>
        <v>0</v>
      </c>
      <c r="I359" s="6" t="n">
        <f aca="false">'Raw Data'!J359</f>
        <v>0</v>
      </c>
      <c r="J359" s="6" t="n">
        <f aca="false">'Raw Data'!K359</f>
        <v>2</v>
      </c>
      <c r="K359" s="6" t="n">
        <f aca="false">'Raw Data'!L359</f>
        <v>3</v>
      </c>
      <c r="L359" s="6" t="n">
        <f aca="false">F359*E359</f>
        <v>0</v>
      </c>
      <c r="N359" s="0" t="n">
        <v>1</v>
      </c>
      <c r="O359" s="6" t="n">
        <f aca="false">D359</f>
        <v>4.075714286</v>
      </c>
      <c r="P359" s="6" t="n">
        <f aca="false">E359</f>
        <v>1</v>
      </c>
      <c r="Q359" s="6" t="n">
        <f aca="false">F359</f>
        <v>0</v>
      </c>
      <c r="R359" s="6" t="n">
        <f aca="false">G359</f>
        <v>0</v>
      </c>
      <c r="S359" s="6" t="n">
        <f aca="false">H359</f>
        <v>0</v>
      </c>
      <c r="T359" s="6" t="n">
        <f aca="false">I359</f>
        <v>0</v>
      </c>
      <c r="U359" s="6" t="n">
        <f aca="false">L359</f>
        <v>0</v>
      </c>
      <c r="W359" s="6" t="n">
        <f aca="false">D359</f>
        <v>4.075714286</v>
      </c>
      <c r="X359" s="6" t="n">
        <f aca="false">E359</f>
        <v>1</v>
      </c>
      <c r="Y359" s="6" t="n">
        <f aca="false">F359</f>
        <v>0</v>
      </c>
      <c r="Z359" s="6" t="n">
        <f aca="false">L359</f>
        <v>0</v>
      </c>
      <c r="AA359" s="6" t="n">
        <f aca="false">G359</f>
        <v>0</v>
      </c>
      <c r="AC359" s="6" t="n">
        <f aca="false">D359</f>
        <v>4.075714286</v>
      </c>
      <c r="AD359" s="6" t="n">
        <f aca="false">E359</f>
        <v>1</v>
      </c>
      <c r="AE359" s="6" t="n">
        <f aca="false">G359</f>
        <v>0</v>
      </c>
      <c r="AF359" s="6" t="n">
        <f aca="false">H359</f>
        <v>0</v>
      </c>
      <c r="AG359" s="6" t="n">
        <f aca="false">I359</f>
        <v>0</v>
      </c>
      <c r="AH359" s="6" t="n">
        <f aca="false">L359</f>
        <v>0</v>
      </c>
    </row>
    <row r="360" customFormat="false" ht="15" hidden="false" customHeight="false" outlineLevel="0" collapsed="false">
      <c r="A360" s="0" t="str">
        <f aca="false">'Raw Data'!C360</f>
        <v>Lakeview</v>
      </c>
      <c r="B360" s="5" t="n">
        <f aca="false">'Raw Data'!A360</f>
        <v>40344</v>
      </c>
      <c r="C360" s="6" t="n">
        <f aca="false">'Raw Data'!D360</f>
        <v>413.477961227246</v>
      </c>
      <c r="D360" s="6" t="n">
        <f aca="false">'Raw Data'!E360</f>
        <v>3.774615385</v>
      </c>
      <c r="E360" s="6" t="n">
        <f aca="false">'Raw Data'!F360</f>
        <v>1</v>
      </c>
      <c r="F360" s="6" t="n">
        <f aca="false">'Raw Data'!G360</f>
        <v>0</v>
      </c>
      <c r="G360" s="6" t="n">
        <f aca="false">'Raw Data'!H360</f>
        <v>1</v>
      </c>
      <c r="H360" s="6" t="n">
        <f aca="false">'Raw Data'!I360</f>
        <v>0</v>
      </c>
      <c r="I360" s="6" t="n">
        <f aca="false">'Raw Data'!J360</f>
        <v>0</v>
      </c>
      <c r="J360" s="6" t="n">
        <f aca="false">'Raw Data'!K360</f>
        <v>2</v>
      </c>
      <c r="K360" s="6" t="n">
        <f aca="false">'Raw Data'!L360</f>
        <v>3</v>
      </c>
      <c r="L360" s="6" t="n">
        <f aca="false">F360*E360</f>
        <v>0</v>
      </c>
      <c r="N360" s="0" t="n">
        <v>1</v>
      </c>
      <c r="O360" s="6" t="n">
        <f aca="false">D360</f>
        <v>3.774615385</v>
      </c>
      <c r="P360" s="6" t="n">
        <f aca="false">E360</f>
        <v>1</v>
      </c>
      <c r="Q360" s="6" t="n">
        <f aca="false">F360</f>
        <v>0</v>
      </c>
      <c r="R360" s="6" t="n">
        <f aca="false">G360</f>
        <v>1</v>
      </c>
      <c r="S360" s="6" t="n">
        <f aca="false">H360</f>
        <v>0</v>
      </c>
      <c r="T360" s="6" t="n">
        <f aca="false">I360</f>
        <v>0</v>
      </c>
      <c r="U360" s="6" t="n">
        <f aca="false">L360</f>
        <v>0</v>
      </c>
      <c r="W360" s="6" t="n">
        <f aca="false">D360</f>
        <v>3.774615385</v>
      </c>
      <c r="X360" s="6" t="n">
        <f aca="false">E360</f>
        <v>1</v>
      </c>
      <c r="Y360" s="6" t="n">
        <f aca="false">F360</f>
        <v>0</v>
      </c>
      <c r="Z360" s="6" t="n">
        <f aca="false">L360</f>
        <v>0</v>
      </c>
      <c r="AA360" s="6" t="n">
        <f aca="false">G360</f>
        <v>1</v>
      </c>
      <c r="AC360" s="6" t="n">
        <f aca="false">D360</f>
        <v>3.774615385</v>
      </c>
      <c r="AD360" s="6" t="n">
        <f aca="false">E360</f>
        <v>1</v>
      </c>
      <c r="AE360" s="6" t="n">
        <f aca="false">G360</f>
        <v>1</v>
      </c>
      <c r="AF360" s="6" t="n">
        <f aca="false">H360</f>
        <v>0</v>
      </c>
      <c r="AG360" s="6" t="n">
        <f aca="false">I360</f>
        <v>0</v>
      </c>
      <c r="AH360" s="6" t="n">
        <f aca="false">L360</f>
        <v>0</v>
      </c>
    </row>
    <row r="361" customFormat="false" ht="15" hidden="false" customHeight="false" outlineLevel="0" collapsed="false">
      <c r="A361" s="0" t="str">
        <f aca="false">'Raw Data'!C361</f>
        <v>Lakeview</v>
      </c>
      <c r="B361" s="5" t="n">
        <f aca="false">'Raw Data'!A361</f>
        <v>40351</v>
      </c>
      <c r="C361" s="6" t="n">
        <f aca="false">'Raw Data'!D361</f>
        <v>326.331475940334</v>
      </c>
      <c r="D361" s="6" t="n">
        <f aca="false">'Raw Data'!E361</f>
        <v>4.075714286</v>
      </c>
      <c r="E361" s="6" t="n">
        <f aca="false">'Raw Data'!F361</f>
        <v>1</v>
      </c>
      <c r="F361" s="6" t="n">
        <f aca="false">'Raw Data'!G361</f>
        <v>0</v>
      </c>
      <c r="G361" s="6" t="n">
        <f aca="false">'Raw Data'!H361</f>
        <v>0</v>
      </c>
      <c r="H361" s="6" t="n">
        <f aca="false">'Raw Data'!I361</f>
        <v>1</v>
      </c>
      <c r="I361" s="6" t="n">
        <f aca="false">'Raw Data'!J361</f>
        <v>0</v>
      </c>
      <c r="J361" s="6" t="n">
        <f aca="false">'Raw Data'!K361</f>
        <v>2</v>
      </c>
      <c r="K361" s="6" t="n">
        <f aca="false">'Raw Data'!L361</f>
        <v>3</v>
      </c>
      <c r="L361" s="6" t="n">
        <f aca="false">F361*E361</f>
        <v>0</v>
      </c>
      <c r="N361" s="0" t="n">
        <v>1</v>
      </c>
      <c r="O361" s="6" t="n">
        <f aca="false">D361</f>
        <v>4.075714286</v>
      </c>
      <c r="P361" s="6" t="n">
        <f aca="false">E361</f>
        <v>1</v>
      </c>
      <c r="Q361" s="6" t="n">
        <f aca="false">F361</f>
        <v>0</v>
      </c>
      <c r="R361" s="6" t="n">
        <f aca="false">G361</f>
        <v>0</v>
      </c>
      <c r="S361" s="6" t="n">
        <f aca="false">H361</f>
        <v>1</v>
      </c>
      <c r="T361" s="6" t="n">
        <f aca="false">I361</f>
        <v>0</v>
      </c>
      <c r="U361" s="6" t="n">
        <f aca="false">L361</f>
        <v>0</v>
      </c>
      <c r="W361" s="6" t="n">
        <f aca="false">D361</f>
        <v>4.075714286</v>
      </c>
      <c r="X361" s="6" t="n">
        <f aca="false">E361</f>
        <v>1</v>
      </c>
      <c r="Y361" s="6" t="n">
        <f aca="false">F361</f>
        <v>0</v>
      </c>
      <c r="Z361" s="6" t="n">
        <f aca="false">L361</f>
        <v>0</v>
      </c>
      <c r="AA361" s="6" t="n">
        <f aca="false">G361</f>
        <v>0</v>
      </c>
      <c r="AC361" s="6" t="n">
        <f aca="false">D361</f>
        <v>4.075714286</v>
      </c>
      <c r="AD361" s="6" t="n">
        <f aca="false">E361</f>
        <v>1</v>
      </c>
      <c r="AE361" s="6" t="n">
        <f aca="false">G361</f>
        <v>0</v>
      </c>
      <c r="AF361" s="6" t="n">
        <f aca="false">H361</f>
        <v>1</v>
      </c>
      <c r="AG361" s="6" t="n">
        <f aca="false">I361</f>
        <v>0</v>
      </c>
      <c r="AH361" s="6" t="n">
        <f aca="false">L361</f>
        <v>0</v>
      </c>
    </row>
    <row r="362" customFormat="false" ht="15" hidden="false" customHeight="false" outlineLevel="0" collapsed="false">
      <c r="A362" s="0" t="str">
        <f aca="false">'Raw Data'!C362</f>
        <v>Lakeview</v>
      </c>
      <c r="B362" s="5" t="n">
        <f aca="false">'Raw Data'!A362</f>
        <v>40358</v>
      </c>
      <c r="C362" s="6" t="n">
        <f aca="false">'Raw Data'!D362</f>
        <v>460.869031845911</v>
      </c>
      <c r="D362" s="6" t="n">
        <f aca="false">'Raw Data'!E362</f>
        <v>4.475714286</v>
      </c>
      <c r="E362" s="6" t="n">
        <f aca="false">'Raw Data'!F362</f>
        <v>1</v>
      </c>
      <c r="F362" s="6" t="n">
        <f aca="false">'Raw Data'!G362</f>
        <v>0</v>
      </c>
      <c r="G362" s="6" t="n">
        <f aca="false">'Raw Data'!H362</f>
        <v>1</v>
      </c>
      <c r="H362" s="6" t="n">
        <f aca="false">'Raw Data'!I362</f>
        <v>1</v>
      </c>
      <c r="I362" s="6" t="n">
        <f aca="false">'Raw Data'!J362</f>
        <v>0</v>
      </c>
      <c r="J362" s="6" t="n">
        <f aca="false">'Raw Data'!K362</f>
        <v>2</v>
      </c>
      <c r="K362" s="6" t="n">
        <f aca="false">'Raw Data'!L362</f>
        <v>3</v>
      </c>
      <c r="L362" s="6" t="n">
        <f aca="false">F362*E362</f>
        <v>0</v>
      </c>
      <c r="N362" s="0" t="n">
        <v>1</v>
      </c>
      <c r="O362" s="6" t="n">
        <f aca="false">D362</f>
        <v>4.475714286</v>
      </c>
      <c r="P362" s="6" t="n">
        <f aca="false">E362</f>
        <v>1</v>
      </c>
      <c r="Q362" s="6" t="n">
        <f aca="false">F362</f>
        <v>0</v>
      </c>
      <c r="R362" s="6" t="n">
        <f aca="false">G362</f>
        <v>1</v>
      </c>
      <c r="S362" s="6" t="n">
        <f aca="false">H362</f>
        <v>1</v>
      </c>
      <c r="T362" s="6" t="n">
        <f aca="false">I362</f>
        <v>0</v>
      </c>
      <c r="U362" s="6" t="n">
        <f aca="false">L362</f>
        <v>0</v>
      </c>
      <c r="W362" s="6" t="n">
        <f aca="false">D362</f>
        <v>4.475714286</v>
      </c>
      <c r="X362" s="6" t="n">
        <f aca="false">E362</f>
        <v>1</v>
      </c>
      <c r="Y362" s="6" t="n">
        <f aca="false">F362</f>
        <v>0</v>
      </c>
      <c r="Z362" s="6" t="n">
        <f aca="false">L362</f>
        <v>0</v>
      </c>
      <c r="AA362" s="6" t="n">
        <f aca="false">G362</f>
        <v>1</v>
      </c>
      <c r="AC362" s="6" t="n">
        <f aca="false">D362</f>
        <v>4.475714286</v>
      </c>
      <c r="AD362" s="6" t="n">
        <f aca="false">E362</f>
        <v>1</v>
      </c>
      <c r="AE362" s="6" t="n">
        <f aca="false">G362</f>
        <v>1</v>
      </c>
      <c r="AF362" s="6" t="n">
        <f aca="false">H362</f>
        <v>1</v>
      </c>
      <c r="AG362" s="6" t="n">
        <f aca="false">I362</f>
        <v>0</v>
      </c>
      <c r="AH362" s="6" t="n">
        <f aca="false">L362</f>
        <v>0</v>
      </c>
    </row>
    <row r="363" customFormat="false" ht="15" hidden="false" customHeight="false" outlineLevel="0" collapsed="false">
      <c r="A363" s="0" t="str">
        <f aca="false">'Raw Data'!C363</f>
        <v>Lakeview</v>
      </c>
      <c r="B363" s="5" t="n">
        <f aca="false">'Raw Data'!A363</f>
        <v>40365</v>
      </c>
      <c r="C363" s="6" t="n">
        <f aca="false">'Raw Data'!D363</f>
        <v>352.877913799873</v>
      </c>
      <c r="D363" s="6" t="n">
        <f aca="false">'Raw Data'!E363</f>
        <v>3.681333333</v>
      </c>
      <c r="E363" s="6" t="n">
        <f aca="false">'Raw Data'!F363</f>
        <v>1</v>
      </c>
      <c r="F363" s="6" t="n">
        <f aca="false">'Raw Data'!G363</f>
        <v>0</v>
      </c>
      <c r="G363" s="6" t="n">
        <f aca="false">'Raw Data'!H363</f>
        <v>0</v>
      </c>
      <c r="H363" s="6" t="n">
        <f aca="false">'Raw Data'!I363</f>
        <v>1</v>
      </c>
      <c r="I363" s="6" t="n">
        <f aca="false">'Raw Data'!J363</f>
        <v>0</v>
      </c>
      <c r="J363" s="6" t="n">
        <f aca="false">'Raw Data'!K363</f>
        <v>2</v>
      </c>
      <c r="K363" s="6" t="n">
        <f aca="false">'Raw Data'!L363</f>
        <v>3</v>
      </c>
      <c r="L363" s="6" t="n">
        <f aca="false">F363*E363</f>
        <v>0</v>
      </c>
      <c r="N363" s="0" t="n">
        <v>1</v>
      </c>
      <c r="O363" s="6" t="n">
        <f aca="false">D363</f>
        <v>3.681333333</v>
      </c>
      <c r="P363" s="6" t="n">
        <f aca="false">E363</f>
        <v>1</v>
      </c>
      <c r="Q363" s="6" t="n">
        <f aca="false">F363</f>
        <v>0</v>
      </c>
      <c r="R363" s="6" t="n">
        <f aca="false">G363</f>
        <v>0</v>
      </c>
      <c r="S363" s="6" t="n">
        <f aca="false">H363</f>
        <v>1</v>
      </c>
      <c r="T363" s="6" t="n">
        <f aca="false">I363</f>
        <v>0</v>
      </c>
      <c r="U363" s="6" t="n">
        <f aca="false">L363</f>
        <v>0</v>
      </c>
      <c r="W363" s="6" t="n">
        <f aca="false">D363</f>
        <v>3.681333333</v>
      </c>
      <c r="X363" s="6" t="n">
        <f aca="false">E363</f>
        <v>1</v>
      </c>
      <c r="Y363" s="6" t="n">
        <f aca="false">F363</f>
        <v>0</v>
      </c>
      <c r="Z363" s="6" t="n">
        <f aca="false">L363</f>
        <v>0</v>
      </c>
      <c r="AA363" s="6" t="n">
        <f aca="false">G363</f>
        <v>0</v>
      </c>
      <c r="AC363" s="6" t="n">
        <f aca="false">D363</f>
        <v>3.681333333</v>
      </c>
      <c r="AD363" s="6" t="n">
        <f aca="false">E363</f>
        <v>1</v>
      </c>
      <c r="AE363" s="6" t="n">
        <f aca="false">G363</f>
        <v>0</v>
      </c>
      <c r="AF363" s="6" t="n">
        <f aca="false">H363</f>
        <v>1</v>
      </c>
      <c r="AG363" s="6" t="n">
        <f aca="false">I363</f>
        <v>0</v>
      </c>
      <c r="AH363" s="6" t="n">
        <f aca="false">L363</f>
        <v>0</v>
      </c>
    </row>
    <row r="364" customFormat="false" ht="15" hidden="false" customHeight="false" outlineLevel="0" collapsed="false">
      <c r="A364" s="0" t="str">
        <f aca="false">'Raw Data'!C364</f>
        <v>Lakeview</v>
      </c>
      <c r="B364" s="5" t="n">
        <f aca="false">'Raw Data'!A364</f>
        <v>40372</v>
      </c>
      <c r="C364" s="6" t="n">
        <f aca="false">'Raw Data'!D364</f>
        <v>412.95908735449</v>
      </c>
      <c r="D364" s="6" t="n">
        <f aca="false">'Raw Data'!E364</f>
        <v>3.478333333</v>
      </c>
      <c r="E364" s="6" t="n">
        <f aca="false">'Raw Data'!F364</f>
        <v>1</v>
      </c>
      <c r="F364" s="6" t="n">
        <f aca="false">'Raw Data'!G364</f>
        <v>0</v>
      </c>
      <c r="G364" s="6" t="n">
        <f aca="false">'Raw Data'!H364</f>
        <v>0</v>
      </c>
      <c r="H364" s="6" t="n">
        <f aca="false">'Raw Data'!I364</f>
        <v>1</v>
      </c>
      <c r="I364" s="6" t="n">
        <f aca="false">'Raw Data'!J364</f>
        <v>1</v>
      </c>
      <c r="J364" s="6" t="n">
        <f aca="false">'Raw Data'!K364</f>
        <v>2</v>
      </c>
      <c r="K364" s="6" t="n">
        <f aca="false">'Raw Data'!L364</f>
        <v>3</v>
      </c>
      <c r="L364" s="6" t="n">
        <f aca="false">F364*E364</f>
        <v>0</v>
      </c>
      <c r="N364" s="0" t="n">
        <v>1</v>
      </c>
      <c r="O364" s="6" t="n">
        <f aca="false">D364</f>
        <v>3.478333333</v>
      </c>
      <c r="P364" s="6" t="n">
        <f aca="false">E364</f>
        <v>1</v>
      </c>
      <c r="Q364" s="6" t="n">
        <f aca="false">F364</f>
        <v>0</v>
      </c>
      <c r="R364" s="6" t="n">
        <f aca="false">G364</f>
        <v>0</v>
      </c>
      <c r="S364" s="6" t="n">
        <f aca="false">H364</f>
        <v>1</v>
      </c>
      <c r="T364" s="6" t="n">
        <f aca="false">I364</f>
        <v>1</v>
      </c>
      <c r="U364" s="6" t="n">
        <f aca="false">L364</f>
        <v>0</v>
      </c>
      <c r="W364" s="6" t="n">
        <f aca="false">D364</f>
        <v>3.478333333</v>
      </c>
      <c r="X364" s="6" t="n">
        <f aca="false">E364</f>
        <v>1</v>
      </c>
      <c r="Y364" s="6" t="n">
        <f aca="false">F364</f>
        <v>0</v>
      </c>
      <c r="Z364" s="6" t="n">
        <f aca="false">L364</f>
        <v>0</v>
      </c>
      <c r="AA364" s="6" t="n">
        <f aca="false">G364</f>
        <v>0</v>
      </c>
      <c r="AC364" s="6" t="n">
        <f aca="false">D364</f>
        <v>3.478333333</v>
      </c>
      <c r="AD364" s="6" t="n">
        <f aca="false">E364</f>
        <v>1</v>
      </c>
      <c r="AE364" s="6" t="n">
        <f aca="false">G364</f>
        <v>0</v>
      </c>
      <c r="AF364" s="6" t="n">
        <f aca="false">H364</f>
        <v>1</v>
      </c>
      <c r="AG364" s="6" t="n">
        <f aca="false">I364</f>
        <v>1</v>
      </c>
      <c r="AH364" s="6" t="n">
        <f aca="false">L364</f>
        <v>0</v>
      </c>
    </row>
    <row r="365" customFormat="false" ht="15" hidden="false" customHeight="false" outlineLevel="0" collapsed="false">
      <c r="A365" s="0" t="str">
        <f aca="false">'Raw Data'!C365</f>
        <v>Milwaukee</v>
      </c>
      <c r="B365" s="5" t="n">
        <f aca="false">'Raw Data'!A365</f>
        <v>40302</v>
      </c>
      <c r="C365" s="6" t="n">
        <f aca="false">'Raw Data'!D365</f>
        <v>248.86945673147</v>
      </c>
      <c r="D365" s="6" t="n">
        <f aca="false">'Raw Data'!E365</f>
        <v>4.167777778</v>
      </c>
      <c r="E365" s="6" t="n">
        <f aca="false">'Raw Data'!F365</f>
        <v>1</v>
      </c>
      <c r="F365" s="6" t="n">
        <f aca="false">'Raw Data'!G365</f>
        <v>0</v>
      </c>
      <c r="G365" s="6" t="n">
        <f aca="false">'Raw Data'!H365</f>
        <v>0</v>
      </c>
      <c r="H365" s="6" t="n">
        <f aca="false">'Raw Data'!I365</f>
        <v>0</v>
      </c>
      <c r="I365" s="6" t="n">
        <f aca="false">'Raw Data'!J365</f>
        <v>0</v>
      </c>
      <c r="J365" s="6" t="n">
        <f aca="false">'Raw Data'!K365</f>
        <v>3</v>
      </c>
      <c r="K365" s="6" t="n">
        <f aca="false">'Raw Data'!L365</f>
        <v>3</v>
      </c>
      <c r="L365" s="6" t="n">
        <f aca="false">F365*E365</f>
        <v>0</v>
      </c>
      <c r="N365" s="0" t="n">
        <v>1</v>
      </c>
      <c r="O365" s="6" t="n">
        <f aca="false">D365</f>
        <v>4.167777778</v>
      </c>
      <c r="P365" s="6" t="n">
        <f aca="false">E365</f>
        <v>1</v>
      </c>
      <c r="Q365" s="6" t="n">
        <f aca="false">F365</f>
        <v>0</v>
      </c>
      <c r="R365" s="6" t="n">
        <f aca="false">G365</f>
        <v>0</v>
      </c>
      <c r="S365" s="6" t="n">
        <f aca="false">H365</f>
        <v>0</v>
      </c>
      <c r="T365" s="6" t="n">
        <f aca="false">I365</f>
        <v>0</v>
      </c>
      <c r="U365" s="6" t="n">
        <f aca="false">L365</f>
        <v>0</v>
      </c>
      <c r="W365" s="6" t="n">
        <f aca="false">D365</f>
        <v>4.167777778</v>
      </c>
      <c r="X365" s="6" t="n">
        <f aca="false">E365</f>
        <v>1</v>
      </c>
      <c r="Y365" s="6" t="n">
        <f aca="false">F365</f>
        <v>0</v>
      </c>
      <c r="Z365" s="6" t="n">
        <f aca="false">L365</f>
        <v>0</v>
      </c>
      <c r="AA365" s="6" t="n">
        <f aca="false">G365</f>
        <v>0</v>
      </c>
      <c r="AC365" s="6" t="n">
        <f aca="false">D365</f>
        <v>4.167777778</v>
      </c>
      <c r="AD365" s="6" t="n">
        <f aca="false">E365</f>
        <v>1</v>
      </c>
      <c r="AE365" s="6" t="n">
        <f aca="false">G365</f>
        <v>0</v>
      </c>
      <c r="AF365" s="6" t="n">
        <f aca="false">H365</f>
        <v>0</v>
      </c>
      <c r="AG365" s="6" t="n">
        <f aca="false">I365</f>
        <v>0</v>
      </c>
      <c r="AH365" s="6" t="n">
        <f aca="false">L365</f>
        <v>0</v>
      </c>
    </row>
    <row r="366" customFormat="false" ht="15" hidden="false" customHeight="false" outlineLevel="0" collapsed="false">
      <c r="A366" s="0" t="str">
        <f aca="false">'Raw Data'!C366</f>
        <v>Milwaukee</v>
      </c>
      <c r="B366" s="5" t="n">
        <f aca="false">'Raw Data'!A366</f>
        <v>40309</v>
      </c>
      <c r="C366" s="6" t="n">
        <f aca="false">'Raw Data'!D366</f>
        <v>332.244242254421</v>
      </c>
      <c r="D366" s="6" t="n">
        <f aca="false">'Raw Data'!E366</f>
        <v>4.167777778</v>
      </c>
      <c r="E366" s="6" t="n">
        <f aca="false">'Raw Data'!F366</f>
        <v>1</v>
      </c>
      <c r="F366" s="6" t="n">
        <f aca="false">'Raw Data'!G366</f>
        <v>0</v>
      </c>
      <c r="G366" s="6" t="n">
        <f aca="false">'Raw Data'!H366</f>
        <v>0</v>
      </c>
      <c r="H366" s="6" t="n">
        <f aca="false">'Raw Data'!I366</f>
        <v>0</v>
      </c>
      <c r="I366" s="6" t="n">
        <f aca="false">'Raw Data'!J366</f>
        <v>0</v>
      </c>
      <c r="J366" s="6" t="n">
        <f aca="false">'Raw Data'!K366</f>
        <v>3</v>
      </c>
      <c r="K366" s="6" t="n">
        <f aca="false">'Raw Data'!L366</f>
        <v>3</v>
      </c>
      <c r="L366" s="6" t="n">
        <f aca="false">F366*E366</f>
        <v>0</v>
      </c>
      <c r="N366" s="0" t="n">
        <v>1</v>
      </c>
      <c r="O366" s="6" t="n">
        <f aca="false">D366</f>
        <v>4.167777778</v>
      </c>
      <c r="P366" s="6" t="n">
        <f aca="false">E366</f>
        <v>1</v>
      </c>
      <c r="Q366" s="6" t="n">
        <f aca="false">F366</f>
        <v>0</v>
      </c>
      <c r="R366" s="6" t="n">
        <f aca="false">G366</f>
        <v>0</v>
      </c>
      <c r="S366" s="6" t="n">
        <f aca="false">H366</f>
        <v>0</v>
      </c>
      <c r="T366" s="6" t="n">
        <f aca="false">I366</f>
        <v>0</v>
      </c>
      <c r="U366" s="6" t="n">
        <f aca="false">L366</f>
        <v>0</v>
      </c>
      <c r="W366" s="6" t="n">
        <f aca="false">D366</f>
        <v>4.167777778</v>
      </c>
      <c r="X366" s="6" t="n">
        <f aca="false">E366</f>
        <v>1</v>
      </c>
      <c r="Y366" s="6" t="n">
        <f aca="false">F366</f>
        <v>0</v>
      </c>
      <c r="Z366" s="6" t="n">
        <f aca="false">L366</f>
        <v>0</v>
      </c>
      <c r="AA366" s="6" t="n">
        <f aca="false">G366</f>
        <v>0</v>
      </c>
      <c r="AC366" s="6" t="n">
        <f aca="false">D366</f>
        <v>4.167777778</v>
      </c>
      <c r="AD366" s="6" t="n">
        <f aca="false">E366</f>
        <v>1</v>
      </c>
      <c r="AE366" s="6" t="n">
        <f aca="false">G366</f>
        <v>0</v>
      </c>
      <c r="AF366" s="6" t="n">
        <f aca="false">H366</f>
        <v>0</v>
      </c>
      <c r="AG366" s="6" t="n">
        <f aca="false">I366</f>
        <v>0</v>
      </c>
      <c r="AH366" s="6" t="n">
        <f aca="false">L366</f>
        <v>0</v>
      </c>
    </row>
    <row r="367" customFormat="false" ht="15" hidden="false" customHeight="false" outlineLevel="0" collapsed="false">
      <c r="A367" s="0" t="str">
        <f aca="false">'Raw Data'!C367</f>
        <v>Milwaukee</v>
      </c>
      <c r="B367" s="5" t="n">
        <f aca="false">'Raw Data'!A367</f>
        <v>40316</v>
      </c>
      <c r="C367" s="6" t="n">
        <f aca="false">'Raw Data'!D367</f>
        <v>309.789900241964</v>
      </c>
      <c r="D367" s="6" t="n">
        <f aca="false">'Raw Data'!E367</f>
        <v>3.765</v>
      </c>
      <c r="E367" s="6" t="n">
        <f aca="false">'Raw Data'!F367</f>
        <v>1</v>
      </c>
      <c r="F367" s="6" t="n">
        <f aca="false">'Raw Data'!G367</f>
        <v>0</v>
      </c>
      <c r="G367" s="6" t="n">
        <f aca="false">'Raw Data'!H367</f>
        <v>0</v>
      </c>
      <c r="H367" s="6" t="n">
        <f aca="false">'Raw Data'!I367</f>
        <v>0</v>
      </c>
      <c r="I367" s="6" t="n">
        <f aca="false">'Raw Data'!J367</f>
        <v>0</v>
      </c>
      <c r="J367" s="6" t="n">
        <f aca="false">'Raw Data'!K367</f>
        <v>3</v>
      </c>
      <c r="K367" s="6" t="n">
        <f aca="false">'Raw Data'!L367</f>
        <v>3</v>
      </c>
      <c r="L367" s="6" t="n">
        <f aca="false">F367*E367</f>
        <v>0</v>
      </c>
      <c r="N367" s="0" t="n">
        <v>1</v>
      </c>
      <c r="O367" s="6" t="n">
        <f aca="false">D367</f>
        <v>3.765</v>
      </c>
      <c r="P367" s="6" t="n">
        <f aca="false">E367</f>
        <v>1</v>
      </c>
      <c r="Q367" s="6" t="n">
        <f aca="false">F367</f>
        <v>0</v>
      </c>
      <c r="R367" s="6" t="n">
        <f aca="false">G367</f>
        <v>0</v>
      </c>
      <c r="S367" s="6" t="n">
        <f aca="false">H367</f>
        <v>0</v>
      </c>
      <c r="T367" s="6" t="n">
        <f aca="false">I367</f>
        <v>0</v>
      </c>
      <c r="U367" s="6" t="n">
        <f aca="false">L367</f>
        <v>0</v>
      </c>
      <c r="W367" s="6" t="n">
        <f aca="false">D367</f>
        <v>3.765</v>
      </c>
      <c r="X367" s="6" t="n">
        <f aca="false">E367</f>
        <v>1</v>
      </c>
      <c r="Y367" s="6" t="n">
        <f aca="false">F367</f>
        <v>0</v>
      </c>
      <c r="Z367" s="6" t="n">
        <f aca="false">L367</f>
        <v>0</v>
      </c>
      <c r="AA367" s="6" t="n">
        <f aca="false">G367</f>
        <v>0</v>
      </c>
      <c r="AC367" s="6" t="n">
        <f aca="false">D367</f>
        <v>3.765</v>
      </c>
      <c r="AD367" s="6" t="n">
        <f aca="false">E367</f>
        <v>1</v>
      </c>
      <c r="AE367" s="6" t="n">
        <f aca="false">G367</f>
        <v>0</v>
      </c>
      <c r="AF367" s="6" t="n">
        <f aca="false">H367</f>
        <v>0</v>
      </c>
      <c r="AG367" s="6" t="n">
        <f aca="false">I367</f>
        <v>0</v>
      </c>
      <c r="AH367" s="6" t="n">
        <f aca="false">L367</f>
        <v>0</v>
      </c>
    </row>
    <row r="368" customFormat="false" ht="15" hidden="false" customHeight="false" outlineLevel="0" collapsed="false">
      <c r="A368" s="0" t="str">
        <f aca="false">'Raw Data'!C368</f>
        <v>Milwaukee</v>
      </c>
      <c r="B368" s="5" t="n">
        <f aca="false">'Raw Data'!A368</f>
        <v>40323</v>
      </c>
      <c r="C368" s="6" t="n">
        <f aca="false">'Raw Data'!D368</f>
        <v>201.857032758565</v>
      </c>
      <c r="D368" s="6" t="n">
        <f aca="false">'Raw Data'!E368</f>
        <v>4</v>
      </c>
      <c r="E368" s="6" t="n">
        <f aca="false">'Raw Data'!F368</f>
        <v>1</v>
      </c>
      <c r="F368" s="6" t="n">
        <f aca="false">'Raw Data'!G368</f>
        <v>0</v>
      </c>
      <c r="G368" s="6" t="n">
        <f aca="false">'Raw Data'!H368</f>
        <v>0</v>
      </c>
      <c r="H368" s="6" t="n">
        <f aca="false">'Raw Data'!I368</f>
        <v>0</v>
      </c>
      <c r="I368" s="6" t="n">
        <f aca="false">'Raw Data'!J368</f>
        <v>0</v>
      </c>
      <c r="J368" s="6" t="n">
        <f aca="false">'Raw Data'!K368</f>
        <v>3</v>
      </c>
      <c r="K368" s="6" t="n">
        <f aca="false">'Raw Data'!L368</f>
        <v>3</v>
      </c>
      <c r="L368" s="6" t="n">
        <f aca="false">F368*E368</f>
        <v>0</v>
      </c>
      <c r="N368" s="0" t="n">
        <v>1</v>
      </c>
      <c r="O368" s="6" t="n">
        <f aca="false">D368</f>
        <v>4</v>
      </c>
      <c r="P368" s="6" t="n">
        <f aca="false">E368</f>
        <v>1</v>
      </c>
      <c r="Q368" s="6" t="n">
        <f aca="false">F368</f>
        <v>0</v>
      </c>
      <c r="R368" s="6" t="n">
        <f aca="false">G368</f>
        <v>0</v>
      </c>
      <c r="S368" s="6" t="n">
        <f aca="false">H368</f>
        <v>0</v>
      </c>
      <c r="T368" s="6" t="n">
        <f aca="false">I368</f>
        <v>0</v>
      </c>
      <c r="U368" s="6" t="n">
        <f aca="false">L368</f>
        <v>0</v>
      </c>
      <c r="W368" s="6" t="n">
        <f aca="false">D368</f>
        <v>4</v>
      </c>
      <c r="X368" s="6" t="n">
        <f aca="false">E368</f>
        <v>1</v>
      </c>
      <c r="Y368" s="6" t="n">
        <f aca="false">F368</f>
        <v>0</v>
      </c>
      <c r="Z368" s="6" t="n">
        <f aca="false">L368</f>
        <v>0</v>
      </c>
      <c r="AA368" s="6" t="n">
        <f aca="false">G368</f>
        <v>0</v>
      </c>
      <c r="AC368" s="6" t="n">
        <f aca="false">D368</f>
        <v>4</v>
      </c>
      <c r="AD368" s="6" t="n">
        <f aca="false">E368</f>
        <v>1</v>
      </c>
      <c r="AE368" s="6" t="n">
        <f aca="false">G368</f>
        <v>0</v>
      </c>
      <c r="AF368" s="6" t="n">
        <f aca="false">H368</f>
        <v>0</v>
      </c>
      <c r="AG368" s="6" t="n">
        <f aca="false">I368</f>
        <v>0</v>
      </c>
      <c r="AH368" s="6" t="n">
        <f aca="false">L368</f>
        <v>0</v>
      </c>
    </row>
    <row r="369" customFormat="false" ht="15" hidden="false" customHeight="false" outlineLevel="0" collapsed="false">
      <c r="A369" s="0" t="str">
        <f aca="false">'Raw Data'!C369</f>
        <v>Milwaukee</v>
      </c>
      <c r="B369" s="5" t="n">
        <f aca="false">'Raw Data'!A369</f>
        <v>40330</v>
      </c>
      <c r="C369" s="6" t="n">
        <f aca="false">'Raw Data'!D369</f>
        <v>245.538218158213</v>
      </c>
      <c r="D369" s="6" t="n">
        <f aca="false">'Raw Data'!E369</f>
        <v>3.834444444</v>
      </c>
      <c r="E369" s="6" t="n">
        <f aca="false">'Raw Data'!F369</f>
        <v>1</v>
      </c>
      <c r="F369" s="6" t="n">
        <f aca="false">'Raw Data'!G369</f>
        <v>0</v>
      </c>
      <c r="G369" s="6" t="n">
        <f aca="false">'Raw Data'!H369</f>
        <v>0</v>
      </c>
      <c r="H369" s="6" t="n">
        <f aca="false">'Raw Data'!I369</f>
        <v>0</v>
      </c>
      <c r="I369" s="6" t="n">
        <f aca="false">'Raw Data'!J369</f>
        <v>0</v>
      </c>
      <c r="J369" s="6" t="n">
        <f aca="false">'Raw Data'!K369</f>
        <v>3</v>
      </c>
      <c r="K369" s="6" t="n">
        <f aca="false">'Raw Data'!L369</f>
        <v>3</v>
      </c>
      <c r="L369" s="6" t="n">
        <f aca="false">F369*E369</f>
        <v>0</v>
      </c>
      <c r="N369" s="0" t="n">
        <v>1</v>
      </c>
      <c r="O369" s="6" t="n">
        <f aca="false">D369</f>
        <v>3.834444444</v>
      </c>
      <c r="P369" s="6" t="n">
        <f aca="false">E369</f>
        <v>1</v>
      </c>
      <c r="Q369" s="6" t="n">
        <f aca="false">F369</f>
        <v>0</v>
      </c>
      <c r="R369" s="6" t="n">
        <f aca="false">G369</f>
        <v>0</v>
      </c>
      <c r="S369" s="6" t="n">
        <f aca="false">H369</f>
        <v>0</v>
      </c>
      <c r="T369" s="6" t="n">
        <f aca="false">I369</f>
        <v>0</v>
      </c>
      <c r="U369" s="6" t="n">
        <f aca="false">L369</f>
        <v>0</v>
      </c>
      <c r="W369" s="6" t="n">
        <f aca="false">D369</f>
        <v>3.834444444</v>
      </c>
      <c r="X369" s="6" t="n">
        <f aca="false">E369</f>
        <v>1</v>
      </c>
      <c r="Y369" s="6" t="n">
        <f aca="false">F369</f>
        <v>0</v>
      </c>
      <c r="Z369" s="6" t="n">
        <f aca="false">L369</f>
        <v>0</v>
      </c>
      <c r="AA369" s="6" t="n">
        <f aca="false">G369</f>
        <v>0</v>
      </c>
      <c r="AC369" s="6" t="n">
        <f aca="false">D369</f>
        <v>3.834444444</v>
      </c>
      <c r="AD369" s="6" t="n">
        <f aca="false">E369</f>
        <v>1</v>
      </c>
      <c r="AE369" s="6" t="n">
        <f aca="false">G369</f>
        <v>0</v>
      </c>
      <c r="AF369" s="6" t="n">
        <f aca="false">H369</f>
        <v>0</v>
      </c>
      <c r="AG369" s="6" t="n">
        <f aca="false">I369</f>
        <v>0</v>
      </c>
      <c r="AH369" s="6" t="n">
        <f aca="false">L369</f>
        <v>0</v>
      </c>
    </row>
    <row r="370" customFormat="false" ht="15" hidden="false" customHeight="false" outlineLevel="0" collapsed="false">
      <c r="A370" s="0" t="str">
        <f aca="false">'Raw Data'!C370</f>
        <v>Milwaukee</v>
      </c>
      <c r="B370" s="5" t="n">
        <f aca="false">'Raw Data'!A370</f>
        <v>40337</v>
      </c>
      <c r="C370" s="6" t="n">
        <f aca="false">'Raw Data'!D370</f>
        <v>210.869762128313</v>
      </c>
      <c r="D370" s="6" t="n">
        <f aca="false">'Raw Data'!E370</f>
        <v>4.167777778</v>
      </c>
      <c r="E370" s="6" t="n">
        <f aca="false">'Raw Data'!F370</f>
        <v>1</v>
      </c>
      <c r="F370" s="6" t="n">
        <f aca="false">'Raw Data'!G370</f>
        <v>0</v>
      </c>
      <c r="G370" s="6" t="n">
        <f aca="false">'Raw Data'!H370</f>
        <v>0</v>
      </c>
      <c r="H370" s="6" t="n">
        <f aca="false">'Raw Data'!I370</f>
        <v>0</v>
      </c>
      <c r="I370" s="6" t="n">
        <f aca="false">'Raw Data'!J370</f>
        <v>0</v>
      </c>
      <c r="J370" s="6" t="n">
        <f aca="false">'Raw Data'!K370</f>
        <v>3</v>
      </c>
      <c r="K370" s="6" t="n">
        <f aca="false">'Raw Data'!L370</f>
        <v>3</v>
      </c>
      <c r="L370" s="6" t="n">
        <f aca="false">F370*E370</f>
        <v>0</v>
      </c>
      <c r="N370" s="0" t="n">
        <v>1</v>
      </c>
      <c r="O370" s="6" t="n">
        <f aca="false">D370</f>
        <v>4.167777778</v>
      </c>
      <c r="P370" s="6" t="n">
        <f aca="false">E370</f>
        <v>1</v>
      </c>
      <c r="Q370" s="6" t="n">
        <f aca="false">F370</f>
        <v>0</v>
      </c>
      <c r="R370" s="6" t="n">
        <f aca="false">G370</f>
        <v>0</v>
      </c>
      <c r="S370" s="6" t="n">
        <f aca="false">H370</f>
        <v>0</v>
      </c>
      <c r="T370" s="6" t="n">
        <f aca="false">I370</f>
        <v>0</v>
      </c>
      <c r="U370" s="6" t="n">
        <f aca="false">L370</f>
        <v>0</v>
      </c>
      <c r="W370" s="6" t="n">
        <f aca="false">D370</f>
        <v>4.167777778</v>
      </c>
      <c r="X370" s="6" t="n">
        <f aca="false">E370</f>
        <v>1</v>
      </c>
      <c r="Y370" s="6" t="n">
        <f aca="false">F370</f>
        <v>0</v>
      </c>
      <c r="Z370" s="6" t="n">
        <f aca="false">L370</f>
        <v>0</v>
      </c>
      <c r="AA370" s="6" t="n">
        <f aca="false">G370</f>
        <v>0</v>
      </c>
      <c r="AC370" s="6" t="n">
        <f aca="false">D370</f>
        <v>4.167777778</v>
      </c>
      <c r="AD370" s="6" t="n">
        <f aca="false">E370</f>
        <v>1</v>
      </c>
      <c r="AE370" s="6" t="n">
        <f aca="false">G370</f>
        <v>0</v>
      </c>
      <c r="AF370" s="6" t="n">
        <f aca="false">H370</f>
        <v>0</v>
      </c>
      <c r="AG370" s="6" t="n">
        <f aca="false">I370</f>
        <v>0</v>
      </c>
      <c r="AH370" s="6" t="n">
        <f aca="false">L370</f>
        <v>0</v>
      </c>
    </row>
    <row r="371" customFormat="false" ht="15" hidden="false" customHeight="false" outlineLevel="0" collapsed="false">
      <c r="A371" s="0" t="str">
        <f aca="false">'Raw Data'!C371</f>
        <v>Milwaukee</v>
      </c>
      <c r="B371" s="5" t="n">
        <f aca="false">'Raw Data'!A371</f>
        <v>40344</v>
      </c>
      <c r="C371" s="6" t="n">
        <f aca="false">'Raw Data'!D371</f>
        <v>359.961527494245</v>
      </c>
      <c r="D371" s="6" t="n">
        <f aca="false">'Raw Data'!E371</f>
        <v>4.208181818</v>
      </c>
      <c r="E371" s="6" t="n">
        <f aca="false">'Raw Data'!F371</f>
        <v>1</v>
      </c>
      <c r="F371" s="6" t="n">
        <f aca="false">'Raw Data'!G371</f>
        <v>0</v>
      </c>
      <c r="G371" s="6" t="n">
        <f aca="false">'Raw Data'!H371</f>
        <v>1</v>
      </c>
      <c r="H371" s="6" t="n">
        <f aca="false">'Raw Data'!I371</f>
        <v>0</v>
      </c>
      <c r="I371" s="6" t="n">
        <f aca="false">'Raw Data'!J371</f>
        <v>0</v>
      </c>
      <c r="J371" s="6" t="n">
        <f aca="false">'Raw Data'!K371</f>
        <v>3</v>
      </c>
      <c r="K371" s="6" t="n">
        <f aca="false">'Raw Data'!L371</f>
        <v>3</v>
      </c>
      <c r="L371" s="6" t="n">
        <f aca="false">F371*E371</f>
        <v>0</v>
      </c>
      <c r="N371" s="0" t="n">
        <v>1</v>
      </c>
      <c r="O371" s="6" t="n">
        <f aca="false">D371</f>
        <v>4.208181818</v>
      </c>
      <c r="P371" s="6" t="n">
        <f aca="false">E371</f>
        <v>1</v>
      </c>
      <c r="Q371" s="6" t="n">
        <f aca="false">F371</f>
        <v>0</v>
      </c>
      <c r="R371" s="6" t="n">
        <f aca="false">G371</f>
        <v>1</v>
      </c>
      <c r="S371" s="6" t="n">
        <f aca="false">H371</f>
        <v>0</v>
      </c>
      <c r="T371" s="6" t="n">
        <f aca="false">I371</f>
        <v>0</v>
      </c>
      <c r="U371" s="6" t="n">
        <f aca="false">L371</f>
        <v>0</v>
      </c>
      <c r="W371" s="6" t="n">
        <f aca="false">D371</f>
        <v>4.208181818</v>
      </c>
      <c r="X371" s="6" t="n">
        <f aca="false">E371</f>
        <v>1</v>
      </c>
      <c r="Y371" s="6" t="n">
        <f aca="false">F371</f>
        <v>0</v>
      </c>
      <c r="Z371" s="6" t="n">
        <f aca="false">L371</f>
        <v>0</v>
      </c>
      <c r="AA371" s="6" t="n">
        <f aca="false">G371</f>
        <v>1</v>
      </c>
      <c r="AC371" s="6" t="n">
        <f aca="false">D371</f>
        <v>4.208181818</v>
      </c>
      <c r="AD371" s="6" t="n">
        <f aca="false">E371</f>
        <v>1</v>
      </c>
      <c r="AE371" s="6" t="n">
        <f aca="false">G371</f>
        <v>1</v>
      </c>
      <c r="AF371" s="6" t="n">
        <f aca="false">H371</f>
        <v>0</v>
      </c>
      <c r="AG371" s="6" t="n">
        <f aca="false">I371</f>
        <v>0</v>
      </c>
      <c r="AH371" s="6" t="n">
        <f aca="false">L371</f>
        <v>0</v>
      </c>
    </row>
    <row r="372" customFormat="false" ht="15" hidden="false" customHeight="false" outlineLevel="0" collapsed="false">
      <c r="A372" s="0" t="str">
        <f aca="false">'Raw Data'!C372</f>
        <v>Milwaukee</v>
      </c>
      <c r="B372" s="5" t="n">
        <f aca="false">'Raw Data'!A372</f>
        <v>40351</v>
      </c>
      <c r="C372" s="6" t="n">
        <f aca="false">'Raw Data'!D372</f>
        <v>263.165960129196</v>
      </c>
      <c r="D372" s="6" t="n">
        <f aca="false">'Raw Data'!E372</f>
        <v>4.535454545</v>
      </c>
      <c r="E372" s="6" t="n">
        <f aca="false">'Raw Data'!F372</f>
        <v>1</v>
      </c>
      <c r="F372" s="6" t="n">
        <f aca="false">'Raw Data'!G372</f>
        <v>0</v>
      </c>
      <c r="G372" s="6" t="n">
        <f aca="false">'Raw Data'!H372</f>
        <v>0</v>
      </c>
      <c r="H372" s="6" t="n">
        <f aca="false">'Raw Data'!I372</f>
        <v>1</v>
      </c>
      <c r="I372" s="6" t="n">
        <f aca="false">'Raw Data'!J372</f>
        <v>0</v>
      </c>
      <c r="J372" s="6" t="n">
        <f aca="false">'Raw Data'!K372</f>
        <v>3</v>
      </c>
      <c r="K372" s="6" t="n">
        <f aca="false">'Raw Data'!L372</f>
        <v>3</v>
      </c>
      <c r="L372" s="6" t="n">
        <f aca="false">F372*E372</f>
        <v>0</v>
      </c>
      <c r="N372" s="0" t="n">
        <v>1</v>
      </c>
      <c r="O372" s="6" t="n">
        <f aca="false">D372</f>
        <v>4.535454545</v>
      </c>
      <c r="P372" s="6" t="n">
        <f aca="false">E372</f>
        <v>1</v>
      </c>
      <c r="Q372" s="6" t="n">
        <f aca="false">F372</f>
        <v>0</v>
      </c>
      <c r="R372" s="6" t="n">
        <f aca="false">G372</f>
        <v>0</v>
      </c>
      <c r="S372" s="6" t="n">
        <f aca="false">H372</f>
        <v>1</v>
      </c>
      <c r="T372" s="6" t="n">
        <f aca="false">I372</f>
        <v>0</v>
      </c>
      <c r="U372" s="6" t="n">
        <f aca="false">L372</f>
        <v>0</v>
      </c>
      <c r="W372" s="6" t="n">
        <f aca="false">D372</f>
        <v>4.535454545</v>
      </c>
      <c r="X372" s="6" t="n">
        <f aca="false">E372</f>
        <v>1</v>
      </c>
      <c r="Y372" s="6" t="n">
        <f aca="false">F372</f>
        <v>0</v>
      </c>
      <c r="Z372" s="6" t="n">
        <f aca="false">L372</f>
        <v>0</v>
      </c>
      <c r="AA372" s="6" t="n">
        <f aca="false">G372</f>
        <v>0</v>
      </c>
      <c r="AC372" s="6" t="n">
        <f aca="false">D372</f>
        <v>4.535454545</v>
      </c>
      <c r="AD372" s="6" t="n">
        <f aca="false">E372</f>
        <v>1</v>
      </c>
      <c r="AE372" s="6" t="n">
        <f aca="false">G372</f>
        <v>0</v>
      </c>
      <c r="AF372" s="6" t="n">
        <f aca="false">H372</f>
        <v>1</v>
      </c>
      <c r="AG372" s="6" t="n">
        <f aca="false">I372</f>
        <v>0</v>
      </c>
      <c r="AH372" s="6" t="n">
        <f aca="false">L372</f>
        <v>0</v>
      </c>
    </row>
    <row r="373" customFormat="false" ht="15" hidden="false" customHeight="false" outlineLevel="0" collapsed="false">
      <c r="A373" s="0" t="str">
        <f aca="false">'Raw Data'!C373</f>
        <v>Milwaukee</v>
      </c>
      <c r="B373" s="5" t="n">
        <f aca="false">'Raw Data'!A373</f>
        <v>40358</v>
      </c>
      <c r="C373" s="6" t="n">
        <f aca="false">'Raw Data'!D373</f>
        <v>370.372979531917</v>
      </c>
      <c r="D373" s="6" t="n">
        <f aca="false">'Raw Data'!E373</f>
        <v>4.356666667</v>
      </c>
      <c r="E373" s="6" t="n">
        <f aca="false">'Raw Data'!F373</f>
        <v>1</v>
      </c>
      <c r="F373" s="6" t="n">
        <f aca="false">'Raw Data'!G373</f>
        <v>0</v>
      </c>
      <c r="G373" s="6" t="n">
        <f aca="false">'Raw Data'!H373</f>
        <v>0</v>
      </c>
      <c r="H373" s="6" t="n">
        <f aca="false">'Raw Data'!I373</f>
        <v>1</v>
      </c>
      <c r="I373" s="6" t="n">
        <f aca="false">'Raw Data'!J373</f>
        <v>0</v>
      </c>
      <c r="J373" s="6" t="n">
        <f aca="false">'Raw Data'!K373</f>
        <v>3</v>
      </c>
      <c r="K373" s="6" t="n">
        <f aca="false">'Raw Data'!L373</f>
        <v>3</v>
      </c>
      <c r="L373" s="6" t="n">
        <f aca="false">F373*E373</f>
        <v>0</v>
      </c>
      <c r="N373" s="0" t="n">
        <v>1</v>
      </c>
      <c r="O373" s="6" t="n">
        <f aca="false">D373</f>
        <v>4.356666667</v>
      </c>
      <c r="P373" s="6" t="n">
        <f aca="false">E373</f>
        <v>1</v>
      </c>
      <c r="Q373" s="6" t="n">
        <f aca="false">F373</f>
        <v>0</v>
      </c>
      <c r="R373" s="6" t="n">
        <f aca="false">G373</f>
        <v>0</v>
      </c>
      <c r="S373" s="6" t="n">
        <f aca="false">H373</f>
        <v>1</v>
      </c>
      <c r="T373" s="6" t="n">
        <f aca="false">I373</f>
        <v>0</v>
      </c>
      <c r="U373" s="6" t="n">
        <f aca="false">L373</f>
        <v>0</v>
      </c>
      <c r="W373" s="6" t="n">
        <f aca="false">D373</f>
        <v>4.356666667</v>
      </c>
      <c r="X373" s="6" t="n">
        <f aca="false">E373</f>
        <v>1</v>
      </c>
      <c r="Y373" s="6" t="n">
        <f aca="false">F373</f>
        <v>0</v>
      </c>
      <c r="Z373" s="6" t="n">
        <f aca="false">L373</f>
        <v>0</v>
      </c>
      <c r="AA373" s="6" t="n">
        <f aca="false">G373</f>
        <v>0</v>
      </c>
      <c r="AC373" s="6" t="n">
        <f aca="false">D373</f>
        <v>4.356666667</v>
      </c>
      <c r="AD373" s="6" t="n">
        <f aca="false">E373</f>
        <v>1</v>
      </c>
      <c r="AE373" s="6" t="n">
        <f aca="false">G373</f>
        <v>0</v>
      </c>
      <c r="AF373" s="6" t="n">
        <f aca="false">H373</f>
        <v>1</v>
      </c>
      <c r="AG373" s="6" t="n">
        <f aca="false">I373</f>
        <v>0</v>
      </c>
      <c r="AH373" s="6" t="n">
        <f aca="false">L373</f>
        <v>0</v>
      </c>
    </row>
    <row r="374" customFormat="false" ht="15" hidden="false" customHeight="false" outlineLevel="0" collapsed="false">
      <c r="A374" s="0" t="str">
        <f aca="false">'Raw Data'!C374</f>
        <v>Milwaukee</v>
      </c>
      <c r="B374" s="5" t="n">
        <f aca="false">'Raw Data'!A374</f>
        <v>40365</v>
      </c>
      <c r="C374" s="6" t="n">
        <f aca="false">'Raw Data'!D374</f>
        <v>242.769831374386</v>
      </c>
      <c r="D374" s="6" t="n">
        <f aca="false">'Raw Data'!E374</f>
        <v>3.884545455</v>
      </c>
      <c r="E374" s="6" t="n">
        <f aca="false">'Raw Data'!F374</f>
        <v>1</v>
      </c>
      <c r="F374" s="6" t="n">
        <f aca="false">'Raw Data'!G374</f>
        <v>0</v>
      </c>
      <c r="G374" s="6" t="n">
        <f aca="false">'Raw Data'!H374</f>
        <v>0</v>
      </c>
      <c r="H374" s="6" t="n">
        <f aca="false">'Raw Data'!I374</f>
        <v>1</v>
      </c>
      <c r="I374" s="6" t="n">
        <f aca="false">'Raw Data'!J374</f>
        <v>0</v>
      </c>
      <c r="J374" s="6" t="n">
        <f aca="false">'Raw Data'!K374</f>
        <v>3</v>
      </c>
      <c r="K374" s="6" t="n">
        <f aca="false">'Raw Data'!L374</f>
        <v>3</v>
      </c>
      <c r="L374" s="6" t="n">
        <f aca="false">F374*E374</f>
        <v>0</v>
      </c>
      <c r="N374" s="0" t="n">
        <v>1</v>
      </c>
      <c r="O374" s="6" t="n">
        <f aca="false">D374</f>
        <v>3.884545455</v>
      </c>
      <c r="P374" s="6" t="n">
        <f aca="false">E374</f>
        <v>1</v>
      </c>
      <c r="Q374" s="6" t="n">
        <f aca="false">F374</f>
        <v>0</v>
      </c>
      <c r="R374" s="6" t="n">
        <f aca="false">G374</f>
        <v>0</v>
      </c>
      <c r="S374" s="6" t="n">
        <f aca="false">H374</f>
        <v>1</v>
      </c>
      <c r="T374" s="6" t="n">
        <f aca="false">I374</f>
        <v>0</v>
      </c>
      <c r="U374" s="6" t="n">
        <f aca="false">L374</f>
        <v>0</v>
      </c>
      <c r="W374" s="6" t="n">
        <f aca="false">D374</f>
        <v>3.884545455</v>
      </c>
      <c r="X374" s="6" t="n">
        <f aca="false">E374</f>
        <v>1</v>
      </c>
      <c r="Y374" s="6" t="n">
        <f aca="false">F374</f>
        <v>0</v>
      </c>
      <c r="Z374" s="6" t="n">
        <f aca="false">L374</f>
        <v>0</v>
      </c>
      <c r="AA374" s="6" t="n">
        <f aca="false">G374</f>
        <v>0</v>
      </c>
      <c r="AC374" s="6" t="n">
        <f aca="false">D374</f>
        <v>3.884545455</v>
      </c>
      <c r="AD374" s="6" t="n">
        <f aca="false">E374</f>
        <v>1</v>
      </c>
      <c r="AE374" s="6" t="n">
        <f aca="false">G374</f>
        <v>0</v>
      </c>
      <c r="AF374" s="6" t="n">
        <f aca="false">H374</f>
        <v>1</v>
      </c>
      <c r="AG374" s="6" t="n">
        <f aca="false">I374</f>
        <v>0</v>
      </c>
      <c r="AH374" s="6" t="n">
        <f aca="false">L374</f>
        <v>0</v>
      </c>
    </row>
    <row r="375" customFormat="false" ht="15" hidden="false" customHeight="false" outlineLevel="0" collapsed="false">
      <c r="A375" s="0" t="str">
        <f aca="false">'Raw Data'!C375</f>
        <v>Milwaukee</v>
      </c>
      <c r="B375" s="5" t="n">
        <f aca="false">'Raw Data'!A375</f>
        <v>40372</v>
      </c>
      <c r="C375" s="6" t="n">
        <f aca="false">'Raw Data'!D375</f>
        <v>375.248081205514</v>
      </c>
      <c r="D375" s="6" t="n">
        <f aca="false">'Raw Data'!E375</f>
        <v>3.884545455</v>
      </c>
      <c r="E375" s="6" t="n">
        <f aca="false">'Raw Data'!F375</f>
        <v>1</v>
      </c>
      <c r="F375" s="6" t="n">
        <f aca="false">'Raw Data'!G375</f>
        <v>0</v>
      </c>
      <c r="G375" s="6" t="n">
        <f aca="false">'Raw Data'!H375</f>
        <v>0</v>
      </c>
      <c r="H375" s="6" t="n">
        <f aca="false">'Raw Data'!I375</f>
        <v>0</v>
      </c>
      <c r="I375" s="6" t="n">
        <f aca="false">'Raw Data'!J375</f>
        <v>1</v>
      </c>
      <c r="J375" s="6" t="n">
        <f aca="false">'Raw Data'!K375</f>
        <v>3</v>
      </c>
      <c r="K375" s="6" t="n">
        <f aca="false">'Raw Data'!L375</f>
        <v>3</v>
      </c>
      <c r="L375" s="6" t="n">
        <f aca="false">F375*E375</f>
        <v>0</v>
      </c>
      <c r="N375" s="0" t="n">
        <v>1</v>
      </c>
      <c r="O375" s="6" t="n">
        <f aca="false">D375</f>
        <v>3.884545455</v>
      </c>
      <c r="P375" s="6" t="n">
        <f aca="false">E375</f>
        <v>1</v>
      </c>
      <c r="Q375" s="6" t="n">
        <f aca="false">F375</f>
        <v>0</v>
      </c>
      <c r="R375" s="6" t="n">
        <f aca="false">G375</f>
        <v>0</v>
      </c>
      <c r="S375" s="6" t="n">
        <f aca="false">H375</f>
        <v>0</v>
      </c>
      <c r="T375" s="6" t="n">
        <f aca="false">I375</f>
        <v>1</v>
      </c>
      <c r="U375" s="6" t="n">
        <f aca="false">L375</f>
        <v>0</v>
      </c>
      <c r="W375" s="6" t="n">
        <f aca="false">D375</f>
        <v>3.884545455</v>
      </c>
      <c r="X375" s="6" t="n">
        <f aca="false">E375</f>
        <v>1</v>
      </c>
      <c r="Y375" s="6" t="n">
        <f aca="false">F375</f>
        <v>0</v>
      </c>
      <c r="Z375" s="6" t="n">
        <f aca="false">L375</f>
        <v>0</v>
      </c>
      <c r="AA375" s="6" t="n">
        <f aca="false">G375</f>
        <v>0</v>
      </c>
      <c r="AC375" s="6" t="n">
        <f aca="false">D375</f>
        <v>3.884545455</v>
      </c>
      <c r="AD375" s="6" t="n">
        <f aca="false">E375</f>
        <v>1</v>
      </c>
      <c r="AE375" s="6" t="n">
        <f aca="false">G375</f>
        <v>0</v>
      </c>
      <c r="AF375" s="6" t="n">
        <f aca="false">H375</f>
        <v>0</v>
      </c>
      <c r="AG375" s="6" t="n">
        <f aca="false">I375</f>
        <v>1</v>
      </c>
      <c r="AH375" s="6" t="n">
        <f aca="false">L375</f>
        <v>0</v>
      </c>
    </row>
    <row r="376" customFormat="false" ht="15" hidden="false" customHeight="false" outlineLevel="0" collapsed="false">
      <c r="A376" s="0" t="str">
        <f aca="false">'Raw Data'!C376</f>
        <v>New Lincoln Park (aka Lincoln Park)</v>
      </c>
      <c r="B376" s="5" t="n">
        <f aca="false">'Raw Data'!A376</f>
        <v>40302</v>
      </c>
      <c r="C376" s="6" t="n">
        <f aca="false">'Raw Data'!D376</f>
        <v>157.726993608928</v>
      </c>
      <c r="D376" s="6" t="n">
        <f aca="false">'Raw Data'!E376</f>
        <v>4.55</v>
      </c>
      <c r="E376" s="6" t="n">
        <f aca="false">'Raw Data'!F376</f>
        <v>1</v>
      </c>
      <c r="F376" s="6" t="n">
        <f aca="false">'Raw Data'!G376</f>
        <v>0</v>
      </c>
      <c r="G376" s="6" t="n">
        <f aca="false">'Raw Data'!H376</f>
        <v>0</v>
      </c>
      <c r="H376" s="6" t="n">
        <f aca="false">'Raw Data'!I376</f>
        <v>0</v>
      </c>
      <c r="I376" s="6" t="n">
        <f aca="false">'Raw Data'!J376</f>
        <v>0</v>
      </c>
      <c r="J376" s="6" t="n">
        <f aca="false">'Raw Data'!K376</f>
        <v>2</v>
      </c>
      <c r="K376" s="6" t="n">
        <f aca="false">'Raw Data'!L376</f>
        <v>5</v>
      </c>
      <c r="L376" s="6" t="n">
        <f aca="false">F376*E376</f>
        <v>0</v>
      </c>
      <c r="N376" s="0" t="n">
        <v>1</v>
      </c>
      <c r="O376" s="6" t="n">
        <f aca="false">D376</f>
        <v>4.55</v>
      </c>
      <c r="P376" s="6" t="n">
        <f aca="false">E376</f>
        <v>1</v>
      </c>
      <c r="Q376" s="6" t="n">
        <f aca="false">F376</f>
        <v>0</v>
      </c>
      <c r="R376" s="6" t="n">
        <f aca="false">G376</f>
        <v>0</v>
      </c>
      <c r="S376" s="6" t="n">
        <f aca="false">H376</f>
        <v>0</v>
      </c>
      <c r="T376" s="6" t="n">
        <f aca="false">I376</f>
        <v>0</v>
      </c>
      <c r="U376" s="6" t="n">
        <f aca="false">L376</f>
        <v>0</v>
      </c>
      <c r="W376" s="6" t="n">
        <f aca="false">D376</f>
        <v>4.55</v>
      </c>
      <c r="X376" s="6" t="n">
        <f aca="false">E376</f>
        <v>1</v>
      </c>
      <c r="Y376" s="6" t="n">
        <f aca="false">F376</f>
        <v>0</v>
      </c>
      <c r="Z376" s="6" t="n">
        <f aca="false">L376</f>
        <v>0</v>
      </c>
      <c r="AA376" s="6" t="n">
        <f aca="false">G376</f>
        <v>0</v>
      </c>
      <c r="AC376" s="6" t="n">
        <f aca="false">D376</f>
        <v>4.55</v>
      </c>
      <c r="AD376" s="6" t="n">
        <f aca="false">E376</f>
        <v>1</v>
      </c>
      <c r="AE376" s="6" t="n">
        <f aca="false">G376</f>
        <v>0</v>
      </c>
      <c r="AF376" s="6" t="n">
        <f aca="false">H376</f>
        <v>0</v>
      </c>
      <c r="AG376" s="6" t="n">
        <f aca="false">I376</f>
        <v>0</v>
      </c>
      <c r="AH376" s="6" t="n">
        <f aca="false">L376</f>
        <v>0</v>
      </c>
    </row>
    <row r="377" customFormat="false" ht="15" hidden="false" customHeight="false" outlineLevel="0" collapsed="false">
      <c r="A377" s="0" t="str">
        <f aca="false">'Raw Data'!C377</f>
        <v>New Lincoln Park (aka Lincoln Park)</v>
      </c>
      <c r="B377" s="5" t="n">
        <f aca="false">'Raw Data'!A377</f>
        <v>40309</v>
      </c>
      <c r="C377" s="6" t="n">
        <f aca="false">'Raw Data'!D377</f>
        <v>301.308180780968</v>
      </c>
      <c r="D377" s="6" t="n">
        <f aca="false">'Raw Data'!E377</f>
        <v>4.862727273</v>
      </c>
      <c r="E377" s="6" t="n">
        <f aca="false">'Raw Data'!F377</f>
        <v>1</v>
      </c>
      <c r="F377" s="6" t="n">
        <f aca="false">'Raw Data'!G377</f>
        <v>0</v>
      </c>
      <c r="G377" s="6" t="n">
        <f aca="false">'Raw Data'!H377</f>
        <v>0</v>
      </c>
      <c r="H377" s="6" t="n">
        <f aca="false">'Raw Data'!I377</f>
        <v>0</v>
      </c>
      <c r="I377" s="6" t="n">
        <f aca="false">'Raw Data'!J377</f>
        <v>0</v>
      </c>
      <c r="J377" s="6" t="n">
        <f aca="false">'Raw Data'!K377</f>
        <v>2</v>
      </c>
      <c r="K377" s="6" t="n">
        <f aca="false">'Raw Data'!L377</f>
        <v>5</v>
      </c>
      <c r="L377" s="6" t="n">
        <f aca="false">F377*E377</f>
        <v>0</v>
      </c>
      <c r="N377" s="0" t="n">
        <v>1</v>
      </c>
      <c r="O377" s="6" t="n">
        <f aca="false">D377</f>
        <v>4.862727273</v>
      </c>
      <c r="P377" s="6" t="n">
        <f aca="false">E377</f>
        <v>1</v>
      </c>
      <c r="Q377" s="6" t="n">
        <f aca="false">F377</f>
        <v>0</v>
      </c>
      <c r="R377" s="6" t="n">
        <f aca="false">G377</f>
        <v>0</v>
      </c>
      <c r="S377" s="6" t="n">
        <f aca="false">H377</f>
        <v>0</v>
      </c>
      <c r="T377" s="6" t="n">
        <f aca="false">I377</f>
        <v>0</v>
      </c>
      <c r="U377" s="6" t="n">
        <f aca="false">L377</f>
        <v>0</v>
      </c>
      <c r="W377" s="6" t="n">
        <f aca="false">D377</f>
        <v>4.862727273</v>
      </c>
      <c r="X377" s="6" t="n">
        <f aca="false">E377</f>
        <v>1</v>
      </c>
      <c r="Y377" s="6" t="n">
        <f aca="false">F377</f>
        <v>0</v>
      </c>
      <c r="Z377" s="6" t="n">
        <f aca="false">L377</f>
        <v>0</v>
      </c>
      <c r="AA377" s="6" t="n">
        <f aca="false">G377</f>
        <v>0</v>
      </c>
      <c r="AC377" s="6" t="n">
        <f aca="false">D377</f>
        <v>4.862727273</v>
      </c>
      <c r="AD377" s="6" t="n">
        <f aca="false">E377</f>
        <v>1</v>
      </c>
      <c r="AE377" s="6" t="n">
        <f aca="false">G377</f>
        <v>0</v>
      </c>
      <c r="AF377" s="6" t="n">
        <f aca="false">H377</f>
        <v>0</v>
      </c>
      <c r="AG377" s="6" t="n">
        <f aca="false">I377</f>
        <v>0</v>
      </c>
      <c r="AH377" s="6" t="n">
        <f aca="false">L377</f>
        <v>0</v>
      </c>
    </row>
    <row r="378" customFormat="false" ht="15" hidden="false" customHeight="false" outlineLevel="0" collapsed="false">
      <c r="A378" s="0" t="str">
        <f aca="false">'Raw Data'!C378</f>
        <v>New Lincoln Park (aka Lincoln Park)</v>
      </c>
      <c r="B378" s="5" t="n">
        <f aca="false">'Raw Data'!A378</f>
        <v>40316</v>
      </c>
      <c r="C378" s="6" t="n">
        <f aca="false">'Raw Data'!D378</f>
        <v>238.593064674128</v>
      </c>
      <c r="D378" s="6" t="n">
        <f aca="false">'Raw Data'!E378</f>
        <v>4.135454545</v>
      </c>
      <c r="E378" s="6" t="n">
        <f aca="false">'Raw Data'!F378</f>
        <v>1</v>
      </c>
      <c r="F378" s="6" t="n">
        <f aca="false">'Raw Data'!G378</f>
        <v>0</v>
      </c>
      <c r="G378" s="6" t="n">
        <f aca="false">'Raw Data'!H378</f>
        <v>0</v>
      </c>
      <c r="H378" s="6" t="n">
        <f aca="false">'Raw Data'!I378</f>
        <v>0</v>
      </c>
      <c r="I378" s="6" t="n">
        <f aca="false">'Raw Data'!J378</f>
        <v>0</v>
      </c>
      <c r="J378" s="6" t="n">
        <f aca="false">'Raw Data'!K378</f>
        <v>2</v>
      </c>
      <c r="K378" s="6" t="n">
        <f aca="false">'Raw Data'!L378</f>
        <v>5</v>
      </c>
      <c r="L378" s="6" t="n">
        <f aca="false">F378*E378</f>
        <v>0</v>
      </c>
      <c r="N378" s="0" t="n">
        <v>1</v>
      </c>
      <c r="O378" s="6" t="n">
        <f aca="false">D378</f>
        <v>4.135454545</v>
      </c>
      <c r="P378" s="6" t="n">
        <f aca="false">E378</f>
        <v>1</v>
      </c>
      <c r="Q378" s="6" t="n">
        <f aca="false">F378</f>
        <v>0</v>
      </c>
      <c r="R378" s="6" t="n">
        <f aca="false">G378</f>
        <v>0</v>
      </c>
      <c r="S378" s="6" t="n">
        <f aca="false">H378</f>
        <v>0</v>
      </c>
      <c r="T378" s="6" t="n">
        <f aca="false">I378</f>
        <v>0</v>
      </c>
      <c r="U378" s="6" t="n">
        <f aca="false">L378</f>
        <v>0</v>
      </c>
      <c r="W378" s="6" t="n">
        <f aca="false">D378</f>
        <v>4.135454545</v>
      </c>
      <c r="X378" s="6" t="n">
        <f aca="false">E378</f>
        <v>1</v>
      </c>
      <c r="Y378" s="6" t="n">
        <f aca="false">F378</f>
        <v>0</v>
      </c>
      <c r="Z378" s="6" t="n">
        <f aca="false">L378</f>
        <v>0</v>
      </c>
      <c r="AA378" s="6" t="n">
        <f aca="false">G378</f>
        <v>0</v>
      </c>
      <c r="AC378" s="6" t="n">
        <f aca="false">D378</f>
        <v>4.135454545</v>
      </c>
      <c r="AD378" s="6" t="n">
        <f aca="false">E378</f>
        <v>1</v>
      </c>
      <c r="AE378" s="6" t="n">
        <f aca="false">G378</f>
        <v>0</v>
      </c>
      <c r="AF378" s="6" t="n">
        <f aca="false">H378</f>
        <v>0</v>
      </c>
      <c r="AG378" s="6" t="n">
        <f aca="false">I378</f>
        <v>0</v>
      </c>
      <c r="AH378" s="6" t="n">
        <f aca="false">L378</f>
        <v>0</v>
      </c>
    </row>
    <row r="379" customFormat="false" ht="15" hidden="false" customHeight="false" outlineLevel="0" collapsed="false">
      <c r="A379" s="0" t="str">
        <f aca="false">'Raw Data'!C379</f>
        <v>New Lincoln Park (aka Lincoln Park)</v>
      </c>
      <c r="B379" s="5" t="n">
        <f aca="false">'Raw Data'!A379</f>
        <v>40323</v>
      </c>
      <c r="C379" s="6" t="n">
        <f aca="false">'Raw Data'!D379</f>
        <v>315.89420603203</v>
      </c>
      <c r="D379" s="6" t="n">
        <f aca="false">'Raw Data'!E379</f>
        <v>4.135454545</v>
      </c>
      <c r="E379" s="6" t="n">
        <f aca="false">'Raw Data'!F379</f>
        <v>1</v>
      </c>
      <c r="F379" s="6" t="n">
        <f aca="false">'Raw Data'!G379</f>
        <v>0</v>
      </c>
      <c r="G379" s="6" t="n">
        <f aca="false">'Raw Data'!H379</f>
        <v>0</v>
      </c>
      <c r="H379" s="6" t="n">
        <f aca="false">'Raw Data'!I379</f>
        <v>0</v>
      </c>
      <c r="I379" s="6" t="n">
        <f aca="false">'Raw Data'!J379</f>
        <v>0</v>
      </c>
      <c r="J379" s="6" t="n">
        <f aca="false">'Raw Data'!K379</f>
        <v>2</v>
      </c>
      <c r="K379" s="6" t="n">
        <f aca="false">'Raw Data'!L379</f>
        <v>5</v>
      </c>
      <c r="L379" s="6" t="n">
        <f aca="false">F379*E379</f>
        <v>0</v>
      </c>
      <c r="N379" s="0" t="n">
        <v>1</v>
      </c>
      <c r="O379" s="6" t="n">
        <f aca="false">D379</f>
        <v>4.135454545</v>
      </c>
      <c r="P379" s="6" t="n">
        <f aca="false">E379</f>
        <v>1</v>
      </c>
      <c r="Q379" s="6" t="n">
        <f aca="false">F379</f>
        <v>0</v>
      </c>
      <c r="R379" s="6" t="n">
        <f aca="false">G379</f>
        <v>0</v>
      </c>
      <c r="S379" s="6" t="n">
        <f aca="false">H379</f>
        <v>0</v>
      </c>
      <c r="T379" s="6" t="n">
        <f aca="false">I379</f>
        <v>0</v>
      </c>
      <c r="U379" s="6" t="n">
        <f aca="false">L379</f>
        <v>0</v>
      </c>
      <c r="W379" s="6" t="n">
        <f aca="false">D379</f>
        <v>4.135454545</v>
      </c>
      <c r="X379" s="6" t="n">
        <f aca="false">E379</f>
        <v>1</v>
      </c>
      <c r="Y379" s="6" t="n">
        <f aca="false">F379</f>
        <v>0</v>
      </c>
      <c r="Z379" s="6" t="n">
        <f aca="false">L379</f>
        <v>0</v>
      </c>
      <c r="AA379" s="6" t="n">
        <f aca="false">G379</f>
        <v>0</v>
      </c>
      <c r="AC379" s="6" t="n">
        <f aca="false">D379</f>
        <v>4.135454545</v>
      </c>
      <c r="AD379" s="6" t="n">
        <f aca="false">E379</f>
        <v>1</v>
      </c>
      <c r="AE379" s="6" t="n">
        <f aca="false">G379</f>
        <v>0</v>
      </c>
      <c r="AF379" s="6" t="n">
        <f aca="false">H379</f>
        <v>0</v>
      </c>
      <c r="AG379" s="6" t="n">
        <f aca="false">I379</f>
        <v>0</v>
      </c>
      <c r="AH379" s="6" t="n">
        <f aca="false">L379</f>
        <v>0</v>
      </c>
    </row>
    <row r="380" customFormat="false" ht="15" hidden="false" customHeight="false" outlineLevel="0" collapsed="false">
      <c r="A380" s="0" t="str">
        <f aca="false">'Raw Data'!C380</f>
        <v>New Lincoln Park (aka Lincoln Park)</v>
      </c>
      <c r="B380" s="5" t="n">
        <f aca="false">'Raw Data'!A380</f>
        <v>40330</v>
      </c>
      <c r="C380" s="6" t="n">
        <f aca="false">'Raw Data'!D380</f>
        <v>220.098147157665</v>
      </c>
      <c r="D380" s="6" t="n">
        <f aca="false">'Raw Data'!E380</f>
        <v>4.135454545</v>
      </c>
      <c r="E380" s="6" t="n">
        <f aca="false">'Raw Data'!F380</f>
        <v>1</v>
      </c>
      <c r="F380" s="6" t="n">
        <f aca="false">'Raw Data'!G380</f>
        <v>0</v>
      </c>
      <c r="G380" s="6" t="n">
        <f aca="false">'Raw Data'!H380</f>
        <v>0</v>
      </c>
      <c r="H380" s="6" t="n">
        <f aca="false">'Raw Data'!I380</f>
        <v>0</v>
      </c>
      <c r="I380" s="6" t="n">
        <f aca="false">'Raw Data'!J380</f>
        <v>0</v>
      </c>
      <c r="J380" s="6" t="n">
        <f aca="false">'Raw Data'!K380</f>
        <v>2</v>
      </c>
      <c r="K380" s="6" t="n">
        <f aca="false">'Raw Data'!L380</f>
        <v>5</v>
      </c>
      <c r="L380" s="6" t="n">
        <f aca="false">F380*E380</f>
        <v>0</v>
      </c>
      <c r="N380" s="0" t="n">
        <v>1</v>
      </c>
      <c r="O380" s="6" t="n">
        <f aca="false">D380</f>
        <v>4.135454545</v>
      </c>
      <c r="P380" s="6" t="n">
        <f aca="false">E380</f>
        <v>1</v>
      </c>
      <c r="Q380" s="6" t="n">
        <f aca="false">F380</f>
        <v>0</v>
      </c>
      <c r="R380" s="6" t="n">
        <f aca="false">G380</f>
        <v>0</v>
      </c>
      <c r="S380" s="6" t="n">
        <f aca="false">H380</f>
        <v>0</v>
      </c>
      <c r="T380" s="6" t="n">
        <f aca="false">I380</f>
        <v>0</v>
      </c>
      <c r="U380" s="6" t="n">
        <f aca="false">L380</f>
        <v>0</v>
      </c>
      <c r="W380" s="6" t="n">
        <f aca="false">D380</f>
        <v>4.135454545</v>
      </c>
      <c r="X380" s="6" t="n">
        <f aca="false">E380</f>
        <v>1</v>
      </c>
      <c r="Y380" s="6" t="n">
        <f aca="false">F380</f>
        <v>0</v>
      </c>
      <c r="Z380" s="6" t="n">
        <f aca="false">L380</f>
        <v>0</v>
      </c>
      <c r="AA380" s="6" t="n">
        <f aca="false">G380</f>
        <v>0</v>
      </c>
      <c r="AC380" s="6" t="n">
        <f aca="false">D380</f>
        <v>4.135454545</v>
      </c>
      <c r="AD380" s="6" t="n">
        <f aca="false">E380</f>
        <v>1</v>
      </c>
      <c r="AE380" s="6" t="n">
        <f aca="false">G380</f>
        <v>0</v>
      </c>
      <c r="AF380" s="6" t="n">
        <f aca="false">H380</f>
        <v>0</v>
      </c>
      <c r="AG380" s="6" t="n">
        <f aca="false">I380</f>
        <v>0</v>
      </c>
      <c r="AH380" s="6" t="n">
        <f aca="false">L380</f>
        <v>0</v>
      </c>
    </row>
    <row r="381" customFormat="false" ht="15" hidden="false" customHeight="false" outlineLevel="0" collapsed="false">
      <c r="A381" s="0" t="str">
        <f aca="false">'Raw Data'!C381</f>
        <v>New Lincoln Park (aka Lincoln Park)</v>
      </c>
      <c r="B381" s="5" t="n">
        <f aca="false">'Raw Data'!A381</f>
        <v>40337</v>
      </c>
      <c r="C381" s="6" t="n">
        <f aca="false">'Raw Data'!D381</f>
        <v>368.076979929043</v>
      </c>
      <c r="D381" s="6" t="n">
        <f aca="false">'Raw Data'!E381</f>
        <v>4.34</v>
      </c>
      <c r="E381" s="6" t="n">
        <f aca="false">'Raw Data'!F381</f>
        <v>1</v>
      </c>
      <c r="F381" s="6" t="n">
        <f aca="false">'Raw Data'!G381</f>
        <v>0</v>
      </c>
      <c r="G381" s="6" t="n">
        <f aca="false">'Raw Data'!H381</f>
        <v>1</v>
      </c>
      <c r="H381" s="6" t="n">
        <f aca="false">'Raw Data'!I381</f>
        <v>0</v>
      </c>
      <c r="I381" s="6" t="n">
        <f aca="false">'Raw Data'!J381</f>
        <v>0</v>
      </c>
      <c r="J381" s="6" t="n">
        <f aca="false">'Raw Data'!K381</f>
        <v>2</v>
      </c>
      <c r="K381" s="6" t="n">
        <f aca="false">'Raw Data'!L381</f>
        <v>5</v>
      </c>
      <c r="L381" s="6" t="n">
        <f aca="false">F381*E381</f>
        <v>0</v>
      </c>
      <c r="N381" s="0" t="n">
        <v>1</v>
      </c>
      <c r="O381" s="6" t="n">
        <f aca="false">D381</f>
        <v>4.34</v>
      </c>
      <c r="P381" s="6" t="n">
        <f aca="false">E381</f>
        <v>1</v>
      </c>
      <c r="Q381" s="6" t="n">
        <f aca="false">F381</f>
        <v>0</v>
      </c>
      <c r="R381" s="6" t="n">
        <f aca="false">G381</f>
        <v>1</v>
      </c>
      <c r="S381" s="6" t="n">
        <f aca="false">H381</f>
        <v>0</v>
      </c>
      <c r="T381" s="6" t="n">
        <f aca="false">I381</f>
        <v>0</v>
      </c>
      <c r="U381" s="6" t="n">
        <f aca="false">L381</f>
        <v>0</v>
      </c>
      <c r="W381" s="6" t="n">
        <f aca="false">D381</f>
        <v>4.34</v>
      </c>
      <c r="X381" s="6" t="n">
        <f aca="false">E381</f>
        <v>1</v>
      </c>
      <c r="Y381" s="6" t="n">
        <f aca="false">F381</f>
        <v>0</v>
      </c>
      <c r="Z381" s="6" t="n">
        <f aca="false">L381</f>
        <v>0</v>
      </c>
      <c r="AA381" s="6" t="n">
        <f aca="false">G381</f>
        <v>1</v>
      </c>
      <c r="AC381" s="6" t="n">
        <f aca="false">D381</f>
        <v>4.34</v>
      </c>
      <c r="AD381" s="6" t="n">
        <f aca="false">E381</f>
        <v>1</v>
      </c>
      <c r="AE381" s="6" t="n">
        <f aca="false">G381</f>
        <v>1</v>
      </c>
      <c r="AF381" s="6" t="n">
        <f aca="false">H381</f>
        <v>0</v>
      </c>
      <c r="AG381" s="6" t="n">
        <f aca="false">I381</f>
        <v>0</v>
      </c>
      <c r="AH381" s="6" t="n">
        <f aca="false">L381</f>
        <v>0</v>
      </c>
    </row>
    <row r="382" customFormat="false" ht="15" hidden="false" customHeight="false" outlineLevel="0" collapsed="false">
      <c r="A382" s="0" t="str">
        <f aca="false">'Raw Data'!C382</f>
        <v>New Lincoln Park (aka Lincoln Park)</v>
      </c>
      <c r="B382" s="5" t="n">
        <f aca="false">'Raw Data'!A382</f>
        <v>40344</v>
      </c>
      <c r="C382" s="6" t="n">
        <f aca="false">'Raw Data'!D382</f>
        <v>325.725755932131</v>
      </c>
      <c r="D382" s="6" t="n">
        <f aca="false">'Raw Data'!E382</f>
        <v>4.096666667</v>
      </c>
      <c r="E382" s="6" t="n">
        <f aca="false">'Raw Data'!F382</f>
        <v>1</v>
      </c>
      <c r="F382" s="6" t="n">
        <f aca="false">'Raw Data'!G382</f>
        <v>0</v>
      </c>
      <c r="G382" s="6" t="n">
        <f aca="false">'Raw Data'!H382</f>
        <v>0</v>
      </c>
      <c r="H382" s="6" t="n">
        <f aca="false">'Raw Data'!I382</f>
        <v>1</v>
      </c>
      <c r="I382" s="6" t="n">
        <f aca="false">'Raw Data'!J382</f>
        <v>0</v>
      </c>
      <c r="J382" s="6" t="n">
        <f aca="false">'Raw Data'!K382</f>
        <v>2</v>
      </c>
      <c r="K382" s="6" t="n">
        <f aca="false">'Raw Data'!L382</f>
        <v>5</v>
      </c>
      <c r="L382" s="6" t="n">
        <f aca="false">F382*E382</f>
        <v>0</v>
      </c>
      <c r="N382" s="0" t="n">
        <v>1</v>
      </c>
      <c r="O382" s="6" t="n">
        <f aca="false">D382</f>
        <v>4.096666667</v>
      </c>
      <c r="P382" s="6" t="n">
        <f aca="false">E382</f>
        <v>1</v>
      </c>
      <c r="Q382" s="6" t="n">
        <f aca="false">F382</f>
        <v>0</v>
      </c>
      <c r="R382" s="6" t="n">
        <f aca="false">G382</f>
        <v>0</v>
      </c>
      <c r="S382" s="6" t="n">
        <f aca="false">H382</f>
        <v>1</v>
      </c>
      <c r="T382" s="6" t="n">
        <f aca="false">I382</f>
        <v>0</v>
      </c>
      <c r="U382" s="6" t="n">
        <f aca="false">L382</f>
        <v>0</v>
      </c>
      <c r="W382" s="6" t="n">
        <f aca="false">D382</f>
        <v>4.096666667</v>
      </c>
      <c r="X382" s="6" t="n">
        <f aca="false">E382</f>
        <v>1</v>
      </c>
      <c r="Y382" s="6" t="n">
        <f aca="false">F382</f>
        <v>0</v>
      </c>
      <c r="Z382" s="6" t="n">
        <f aca="false">L382</f>
        <v>0</v>
      </c>
      <c r="AA382" s="6" t="n">
        <f aca="false">G382</f>
        <v>0</v>
      </c>
      <c r="AC382" s="6" t="n">
        <f aca="false">D382</f>
        <v>4.096666667</v>
      </c>
      <c r="AD382" s="6" t="n">
        <f aca="false">E382</f>
        <v>1</v>
      </c>
      <c r="AE382" s="6" t="n">
        <f aca="false">G382</f>
        <v>0</v>
      </c>
      <c r="AF382" s="6" t="n">
        <f aca="false">H382</f>
        <v>1</v>
      </c>
      <c r="AG382" s="6" t="n">
        <f aca="false">I382</f>
        <v>0</v>
      </c>
      <c r="AH382" s="6" t="n">
        <f aca="false">L382</f>
        <v>0</v>
      </c>
    </row>
    <row r="383" customFormat="false" ht="15" hidden="false" customHeight="false" outlineLevel="0" collapsed="false">
      <c r="A383" s="0" t="str">
        <f aca="false">'Raw Data'!C383</f>
        <v>New Lincoln Park (aka Lincoln Park)</v>
      </c>
      <c r="B383" s="5" t="n">
        <f aca="false">'Raw Data'!A383</f>
        <v>40351</v>
      </c>
      <c r="C383" s="6" t="n">
        <f aca="false">'Raw Data'!D383</f>
        <v>379.687869711681</v>
      </c>
      <c r="D383" s="6" t="n">
        <f aca="false">'Raw Data'!E383</f>
        <v>4.12</v>
      </c>
      <c r="E383" s="6" t="n">
        <f aca="false">'Raw Data'!F383</f>
        <v>1</v>
      </c>
      <c r="F383" s="6" t="n">
        <f aca="false">'Raw Data'!G383</f>
        <v>0</v>
      </c>
      <c r="G383" s="6" t="n">
        <f aca="false">'Raw Data'!H383</f>
        <v>1</v>
      </c>
      <c r="H383" s="6" t="n">
        <f aca="false">'Raw Data'!I383</f>
        <v>1</v>
      </c>
      <c r="I383" s="6" t="n">
        <f aca="false">'Raw Data'!J383</f>
        <v>0</v>
      </c>
      <c r="J383" s="6" t="n">
        <f aca="false">'Raw Data'!K383</f>
        <v>2</v>
      </c>
      <c r="K383" s="6" t="n">
        <f aca="false">'Raw Data'!L383</f>
        <v>5</v>
      </c>
      <c r="L383" s="6" t="n">
        <f aca="false">F383*E383</f>
        <v>0</v>
      </c>
      <c r="N383" s="0" t="n">
        <v>1</v>
      </c>
      <c r="O383" s="6" t="n">
        <f aca="false">D383</f>
        <v>4.12</v>
      </c>
      <c r="P383" s="6" t="n">
        <f aca="false">E383</f>
        <v>1</v>
      </c>
      <c r="Q383" s="6" t="n">
        <f aca="false">F383</f>
        <v>0</v>
      </c>
      <c r="R383" s="6" t="n">
        <f aca="false">G383</f>
        <v>1</v>
      </c>
      <c r="S383" s="6" t="n">
        <f aca="false">H383</f>
        <v>1</v>
      </c>
      <c r="T383" s="6" t="n">
        <f aca="false">I383</f>
        <v>0</v>
      </c>
      <c r="U383" s="6" t="n">
        <f aca="false">L383</f>
        <v>0</v>
      </c>
      <c r="W383" s="6" t="n">
        <f aca="false">D383</f>
        <v>4.12</v>
      </c>
      <c r="X383" s="6" t="n">
        <f aca="false">E383</f>
        <v>1</v>
      </c>
      <c r="Y383" s="6" t="n">
        <f aca="false">F383</f>
        <v>0</v>
      </c>
      <c r="Z383" s="6" t="n">
        <f aca="false">L383</f>
        <v>0</v>
      </c>
      <c r="AA383" s="6" t="n">
        <f aca="false">G383</f>
        <v>1</v>
      </c>
      <c r="AC383" s="6" t="n">
        <f aca="false">D383</f>
        <v>4.12</v>
      </c>
      <c r="AD383" s="6" t="n">
        <f aca="false">E383</f>
        <v>1</v>
      </c>
      <c r="AE383" s="6" t="n">
        <f aca="false">G383</f>
        <v>1</v>
      </c>
      <c r="AF383" s="6" t="n">
        <f aca="false">H383</f>
        <v>1</v>
      </c>
      <c r="AG383" s="6" t="n">
        <f aca="false">I383</f>
        <v>0</v>
      </c>
      <c r="AH383" s="6" t="n">
        <f aca="false">L383</f>
        <v>0</v>
      </c>
    </row>
    <row r="384" customFormat="false" ht="15" hidden="false" customHeight="false" outlineLevel="0" collapsed="false">
      <c r="A384" s="0" t="str">
        <f aca="false">'Raw Data'!C384</f>
        <v>New Lincoln Park (aka Lincoln Park)</v>
      </c>
      <c r="B384" s="5" t="n">
        <f aca="false">'Raw Data'!A384</f>
        <v>40358</v>
      </c>
      <c r="C384" s="6" t="n">
        <f aca="false">'Raw Data'!D384</f>
        <v>348.656999073232</v>
      </c>
      <c r="D384" s="6" t="n">
        <f aca="false">'Raw Data'!E384</f>
        <v>4.089375</v>
      </c>
      <c r="E384" s="6" t="n">
        <f aca="false">'Raw Data'!F384</f>
        <v>1</v>
      </c>
      <c r="F384" s="6" t="n">
        <f aca="false">'Raw Data'!G384</f>
        <v>0</v>
      </c>
      <c r="G384" s="6" t="n">
        <f aca="false">'Raw Data'!H384</f>
        <v>0</v>
      </c>
      <c r="H384" s="6" t="n">
        <f aca="false">'Raw Data'!I384</f>
        <v>1</v>
      </c>
      <c r="I384" s="6" t="n">
        <f aca="false">'Raw Data'!J384</f>
        <v>0</v>
      </c>
      <c r="J384" s="6" t="n">
        <f aca="false">'Raw Data'!K384</f>
        <v>2</v>
      </c>
      <c r="K384" s="6" t="n">
        <f aca="false">'Raw Data'!L384</f>
        <v>5</v>
      </c>
      <c r="L384" s="6" t="n">
        <f aca="false">F384*E384</f>
        <v>0</v>
      </c>
      <c r="N384" s="0" t="n">
        <v>1</v>
      </c>
      <c r="O384" s="6" t="n">
        <f aca="false">D384</f>
        <v>4.089375</v>
      </c>
      <c r="P384" s="6" t="n">
        <f aca="false">E384</f>
        <v>1</v>
      </c>
      <c r="Q384" s="6" t="n">
        <f aca="false">F384</f>
        <v>0</v>
      </c>
      <c r="R384" s="6" t="n">
        <f aca="false">G384</f>
        <v>0</v>
      </c>
      <c r="S384" s="6" t="n">
        <f aca="false">H384</f>
        <v>1</v>
      </c>
      <c r="T384" s="6" t="n">
        <f aca="false">I384</f>
        <v>0</v>
      </c>
      <c r="U384" s="6" t="n">
        <f aca="false">L384</f>
        <v>0</v>
      </c>
      <c r="W384" s="6" t="n">
        <f aca="false">D384</f>
        <v>4.089375</v>
      </c>
      <c r="X384" s="6" t="n">
        <f aca="false">E384</f>
        <v>1</v>
      </c>
      <c r="Y384" s="6" t="n">
        <f aca="false">F384</f>
        <v>0</v>
      </c>
      <c r="Z384" s="6" t="n">
        <f aca="false">L384</f>
        <v>0</v>
      </c>
      <c r="AA384" s="6" t="n">
        <f aca="false">G384</f>
        <v>0</v>
      </c>
      <c r="AC384" s="6" t="n">
        <f aca="false">D384</f>
        <v>4.089375</v>
      </c>
      <c r="AD384" s="6" t="n">
        <f aca="false">E384</f>
        <v>1</v>
      </c>
      <c r="AE384" s="6" t="n">
        <f aca="false">G384</f>
        <v>0</v>
      </c>
      <c r="AF384" s="6" t="n">
        <f aca="false">H384</f>
        <v>1</v>
      </c>
      <c r="AG384" s="6" t="n">
        <f aca="false">I384</f>
        <v>0</v>
      </c>
      <c r="AH384" s="6" t="n">
        <f aca="false">L384</f>
        <v>0</v>
      </c>
    </row>
    <row r="385" customFormat="false" ht="15" hidden="false" customHeight="false" outlineLevel="0" collapsed="false">
      <c r="A385" s="0" t="str">
        <f aca="false">'Raw Data'!C385</f>
        <v>New Lincoln Park (aka Lincoln Park)</v>
      </c>
      <c r="B385" s="5" t="n">
        <f aca="false">'Raw Data'!A385</f>
        <v>40365</v>
      </c>
      <c r="C385" s="6" t="n">
        <f aca="false">'Raw Data'!D385</f>
        <v>416.2537313176</v>
      </c>
      <c r="D385" s="6" t="n">
        <f aca="false">'Raw Data'!E385</f>
        <v>3.950625</v>
      </c>
      <c r="E385" s="6" t="n">
        <f aca="false">'Raw Data'!F385</f>
        <v>1</v>
      </c>
      <c r="F385" s="6" t="n">
        <f aca="false">'Raw Data'!G385</f>
        <v>0</v>
      </c>
      <c r="G385" s="6" t="n">
        <f aca="false">'Raw Data'!H385</f>
        <v>0</v>
      </c>
      <c r="H385" s="6" t="n">
        <f aca="false">'Raw Data'!I385</f>
        <v>1</v>
      </c>
      <c r="I385" s="6" t="n">
        <f aca="false">'Raw Data'!J385</f>
        <v>1</v>
      </c>
      <c r="J385" s="6" t="n">
        <f aca="false">'Raw Data'!K385</f>
        <v>2</v>
      </c>
      <c r="K385" s="6" t="n">
        <f aca="false">'Raw Data'!L385</f>
        <v>5</v>
      </c>
      <c r="L385" s="6" t="n">
        <f aca="false">F385*E385</f>
        <v>0</v>
      </c>
      <c r="N385" s="0" t="n">
        <v>1</v>
      </c>
      <c r="O385" s="6" t="n">
        <f aca="false">D385</f>
        <v>3.950625</v>
      </c>
      <c r="P385" s="6" t="n">
        <f aca="false">E385</f>
        <v>1</v>
      </c>
      <c r="Q385" s="6" t="n">
        <f aca="false">F385</f>
        <v>0</v>
      </c>
      <c r="R385" s="6" t="n">
        <f aca="false">G385</f>
        <v>0</v>
      </c>
      <c r="S385" s="6" t="n">
        <f aca="false">H385</f>
        <v>1</v>
      </c>
      <c r="T385" s="6" t="n">
        <f aca="false">I385</f>
        <v>1</v>
      </c>
      <c r="U385" s="6" t="n">
        <f aca="false">L385</f>
        <v>0</v>
      </c>
      <c r="W385" s="6" t="n">
        <f aca="false">D385</f>
        <v>3.950625</v>
      </c>
      <c r="X385" s="6" t="n">
        <f aca="false">E385</f>
        <v>1</v>
      </c>
      <c r="Y385" s="6" t="n">
        <f aca="false">F385</f>
        <v>0</v>
      </c>
      <c r="Z385" s="6" t="n">
        <f aca="false">L385</f>
        <v>0</v>
      </c>
      <c r="AA385" s="6" t="n">
        <f aca="false">G385</f>
        <v>0</v>
      </c>
      <c r="AC385" s="6" t="n">
        <f aca="false">D385</f>
        <v>3.950625</v>
      </c>
      <c r="AD385" s="6" t="n">
        <f aca="false">E385</f>
        <v>1</v>
      </c>
      <c r="AE385" s="6" t="n">
        <f aca="false">G385</f>
        <v>0</v>
      </c>
      <c r="AF385" s="6" t="n">
        <f aca="false">H385</f>
        <v>1</v>
      </c>
      <c r="AG385" s="6" t="n">
        <f aca="false">I385</f>
        <v>1</v>
      </c>
      <c r="AH385" s="6" t="n">
        <f aca="false">L385</f>
        <v>0</v>
      </c>
    </row>
    <row r="386" customFormat="false" ht="15" hidden="false" customHeight="false" outlineLevel="0" collapsed="false">
      <c r="A386" s="0" t="str">
        <f aca="false">'Raw Data'!C386</f>
        <v>New Lincoln Park (aka Lincoln Park)</v>
      </c>
      <c r="B386" s="5" t="n">
        <f aca="false">'Raw Data'!A386</f>
        <v>40372</v>
      </c>
      <c r="C386" s="6" t="n">
        <f aca="false">'Raw Data'!D386</f>
        <v>471.984844060778</v>
      </c>
      <c r="D386" s="6" t="n">
        <f aca="false">'Raw Data'!E386</f>
        <v>3.950625</v>
      </c>
      <c r="E386" s="6" t="n">
        <f aca="false">'Raw Data'!F386</f>
        <v>1</v>
      </c>
      <c r="F386" s="6" t="n">
        <f aca="false">'Raw Data'!G386</f>
        <v>0</v>
      </c>
      <c r="G386" s="6" t="n">
        <f aca="false">'Raw Data'!H386</f>
        <v>0</v>
      </c>
      <c r="H386" s="6" t="n">
        <f aca="false">'Raw Data'!I386</f>
        <v>1</v>
      </c>
      <c r="I386" s="6" t="n">
        <f aca="false">'Raw Data'!J386</f>
        <v>1</v>
      </c>
      <c r="J386" s="6" t="n">
        <f aca="false">'Raw Data'!K386</f>
        <v>2</v>
      </c>
      <c r="K386" s="6" t="n">
        <f aca="false">'Raw Data'!L386</f>
        <v>5</v>
      </c>
      <c r="L386" s="6" t="n">
        <f aca="false">F386*E386</f>
        <v>0</v>
      </c>
      <c r="N386" s="0" t="n">
        <v>1</v>
      </c>
      <c r="O386" s="6" t="n">
        <f aca="false">D386</f>
        <v>3.950625</v>
      </c>
      <c r="P386" s="6" t="n">
        <f aca="false">E386</f>
        <v>1</v>
      </c>
      <c r="Q386" s="6" t="n">
        <f aca="false">F386</f>
        <v>0</v>
      </c>
      <c r="R386" s="6" t="n">
        <f aca="false">G386</f>
        <v>0</v>
      </c>
      <c r="S386" s="6" t="n">
        <f aca="false">H386</f>
        <v>1</v>
      </c>
      <c r="T386" s="6" t="n">
        <f aca="false">I386</f>
        <v>1</v>
      </c>
      <c r="U386" s="6" t="n">
        <f aca="false">L386</f>
        <v>0</v>
      </c>
      <c r="W386" s="6" t="n">
        <f aca="false">D386</f>
        <v>3.950625</v>
      </c>
      <c r="X386" s="6" t="n">
        <f aca="false">E386</f>
        <v>1</v>
      </c>
      <c r="Y386" s="6" t="n">
        <f aca="false">F386</f>
        <v>0</v>
      </c>
      <c r="Z386" s="6" t="n">
        <f aca="false">L386</f>
        <v>0</v>
      </c>
      <c r="AA386" s="6" t="n">
        <f aca="false">G386</f>
        <v>0</v>
      </c>
      <c r="AC386" s="6" t="n">
        <f aca="false">D386</f>
        <v>3.950625</v>
      </c>
      <c r="AD386" s="6" t="n">
        <f aca="false">E386</f>
        <v>1</v>
      </c>
      <c r="AE386" s="6" t="n">
        <f aca="false">G386</f>
        <v>0</v>
      </c>
      <c r="AF386" s="6" t="n">
        <f aca="false">H386</f>
        <v>1</v>
      </c>
      <c r="AG386" s="6" t="n">
        <f aca="false">I386</f>
        <v>1</v>
      </c>
      <c r="AH386" s="6" t="n">
        <f aca="false">L386</f>
        <v>0</v>
      </c>
    </row>
    <row r="387" customFormat="false" ht="15" hidden="false" customHeight="false" outlineLevel="0" collapsed="false">
      <c r="A387" s="0" t="str">
        <f aca="false">'Raw Data'!C387</f>
        <v>Northbrook</v>
      </c>
      <c r="B387" s="5" t="n">
        <f aca="false">'Raw Data'!A387</f>
        <v>40302</v>
      </c>
      <c r="C387" s="6" t="n">
        <f aca="false">'Raw Data'!D387</f>
        <v>359.431463979567</v>
      </c>
      <c r="D387" s="6" t="n">
        <f aca="false">'Raw Data'!E387</f>
        <v>3.5</v>
      </c>
      <c r="E387" s="6" t="n">
        <f aca="false">'Raw Data'!F387</f>
        <v>1</v>
      </c>
      <c r="F387" s="6" t="n">
        <f aca="false">'Raw Data'!G387</f>
        <v>0</v>
      </c>
      <c r="G387" s="6" t="n">
        <f aca="false">'Raw Data'!H387</f>
        <v>0</v>
      </c>
      <c r="H387" s="6" t="n">
        <f aca="false">'Raw Data'!I387</f>
        <v>0</v>
      </c>
      <c r="I387" s="6" t="n">
        <f aca="false">'Raw Data'!J387</f>
        <v>0</v>
      </c>
      <c r="J387" s="6" t="n">
        <f aca="false">'Raw Data'!K387</f>
        <v>2</v>
      </c>
      <c r="K387" s="6" t="n">
        <f aca="false">'Raw Data'!L387</f>
        <v>3</v>
      </c>
      <c r="L387" s="6" t="n">
        <f aca="false">F387*E387</f>
        <v>0</v>
      </c>
      <c r="N387" s="0" t="n">
        <v>1</v>
      </c>
      <c r="O387" s="6" t="n">
        <f aca="false">D387</f>
        <v>3.5</v>
      </c>
      <c r="P387" s="6" t="n">
        <f aca="false">E387</f>
        <v>1</v>
      </c>
      <c r="Q387" s="6" t="n">
        <f aca="false">F387</f>
        <v>0</v>
      </c>
      <c r="R387" s="6" t="n">
        <f aca="false">G387</f>
        <v>0</v>
      </c>
      <c r="S387" s="6" t="n">
        <f aca="false">H387</f>
        <v>0</v>
      </c>
      <c r="T387" s="6" t="n">
        <f aca="false">I387</f>
        <v>0</v>
      </c>
      <c r="U387" s="6" t="n">
        <f aca="false">L387</f>
        <v>0</v>
      </c>
      <c r="W387" s="6" t="n">
        <f aca="false">D387</f>
        <v>3.5</v>
      </c>
      <c r="X387" s="6" t="n">
        <f aca="false">E387</f>
        <v>1</v>
      </c>
      <c r="Y387" s="6" t="n">
        <f aca="false">F387</f>
        <v>0</v>
      </c>
      <c r="Z387" s="6" t="n">
        <f aca="false">L387</f>
        <v>0</v>
      </c>
      <c r="AA387" s="6" t="n">
        <f aca="false">G387</f>
        <v>0</v>
      </c>
      <c r="AC387" s="6" t="n">
        <f aca="false">D387</f>
        <v>3.5</v>
      </c>
      <c r="AD387" s="6" t="n">
        <f aca="false">E387</f>
        <v>1</v>
      </c>
      <c r="AE387" s="6" t="n">
        <f aca="false">G387</f>
        <v>0</v>
      </c>
      <c r="AF387" s="6" t="n">
        <f aca="false">H387</f>
        <v>0</v>
      </c>
      <c r="AG387" s="6" t="n">
        <f aca="false">I387</f>
        <v>0</v>
      </c>
      <c r="AH387" s="6" t="n">
        <f aca="false">L387</f>
        <v>0</v>
      </c>
    </row>
    <row r="388" customFormat="false" ht="15" hidden="false" customHeight="false" outlineLevel="0" collapsed="false">
      <c r="A388" s="0" t="str">
        <f aca="false">'Raw Data'!C388</f>
        <v>Northbrook</v>
      </c>
      <c r="B388" s="5" t="n">
        <f aca="false">'Raw Data'!A388</f>
        <v>40309</v>
      </c>
      <c r="C388" s="6" t="n">
        <f aca="false">'Raw Data'!D388</f>
        <v>261.996233149071</v>
      </c>
      <c r="D388" s="6" t="n">
        <f aca="false">'Raw Data'!E388</f>
        <v>3.5</v>
      </c>
      <c r="E388" s="6" t="n">
        <f aca="false">'Raw Data'!F388</f>
        <v>1</v>
      </c>
      <c r="F388" s="6" t="n">
        <f aca="false">'Raw Data'!G388</f>
        <v>0</v>
      </c>
      <c r="G388" s="6" t="n">
        <f aca="false">'Raw Data'!H388</f>
        <v>0</v>
      </c>
      <c r="H388" s="6" t="n">
        <f aca="false">'Raw Data'!I388</f>
        <v>0</v>
      </c>
      <c r="I388" s="6" t="n">
        <f aca="false">'Raw Data'!J388</f>
        <v>0</v>
      </c>
      <c r="J388" s="6" t="n">
        <f aca="false">'Raw Data'!K388</f>
        <v>2</v>
      </c>
      <c r="K388" s="6" t="n">
        <f aca="false">'Raw Data'!L388</f>
        <v>3</v>
      </c>
      <c r="L388" s="6" t="n">
        <f aca="false">F388*E388</f>
        <v>0</v>
      </c>
      <c r="N388" s="0" t="n">
        <v>1</v>
      </c>
      <c r="O388" s="6" t="n">
        <f aca="false">D388</f>
        <v>3.5</v>
      </c>
      <c r="P388" s="6" t="n">
        <f aca="false">E388</f>
        <v>1</v>
      </c>
      <c r="Q388" s="6" t="n">
        <f aca="false">F388</f>
        <v>0</v>
      </c>
      <c r="R388" s="6" t="n">
        <f aca="false">G388</f>
        <v>0</v>
      </c>
      <c r="S388" s="6" t="n">
        <f aca="false">H388</f>
        <v>0</v>
      </c>
      <c r="T388" s="6" t="n">
        <f aca="false">I388</f>
        <v>0</v>
      </c>
      <c r="U388" s="6" t="n">
        <f aca="false">L388</f>
        <v>0</v>
      </c>
      <c r="W388" s="6" t="n">
        <f aca="false">D388</f>
        <v>3.5</v>
      </c>
      <c r="X388" s="6" t="n">
        <f aca="false">E388</f>
        <v>1</v>
      </c>
      <c r="Y388" s="6" t="n">
        <f aca="false">F388</f>
        <v>0</v>
      </c>
      <c r="Z388" s="6" t="n">
        <f aca="false">L388</f>
        <v>0</v>
      </c>
      <c r="AA388" s="6" t="n">
        <f aca="false">G388</f>
        <v>0</v>
      </c>
      <c r="AC388" s="6" t="n">
        <f aca="false">D388</f>
        <v>3.5</v>
      </c>
      <c r="AD388" s="6" t="n">
        <f aca="false">E388</f>
        <v>1</v>
      </c>
      <c r="AE388" s="6" t="n">
        <f aca="false">G388</f>
        <v>0</v>
      </c>
      <c r="AF388" s="6" t="n">
        <f aca="false">H388</f>
        <v>0</v>
      </c>
      <c r="AG388" s="6" t="n">
        <f aca="false">I388</f>
        <v>0</v>
      </c>
      <c r="AH388" s="6" t="n">
        <f aca="false">L388</f>
        <v>0</v>
      </c>
    </row>
    <row r="389" customFormat="false" ht="15" hidden="false" customHeight="false" outlineLevel="0" collapsed="false">
      <c r="A389" s="0" t="str">
        <f aca="false">'Raw Data'!C389</f>
        <v>Northbrook</v>
      </c>
      <c r="B389" s="5" t="n">
        <f aca="false">'Raw Data'!A389</f>
        <v>40316</v>
      </c>
      <c r="C389" s="6" t="n">
        <f aca="false">'Raw Data'!D389</f>
        <v>246.99668795704</v>
      </c>
      <c r="D389" s="6" t="n">
        <f aca="false">'Raw Data'!E389</f>
        <v>3.507692308</v>
      </c>
      <c r="E389" s="6" t="n">
        <f aca="false">'Raw Data'!F389</f>
        <v>1</v>
      </c>
      <c r="F389" s="6" t="n">
        <f aca="false">'Raw Data'!G389</f>
        <v>0</v>
      </c>
      <c r="G389" s="6" t="n">
        <f aca="false">'Raw Data'!H389</f>
        <v>0</v>
      </c>
      <c r="H389" s="6" t="n">
        <f aca="false">'Raw Data'!I389</f>
        <v>0</v>
      </c>
      <c r="I389" s="6" t="n">
        <f aca="false">'Raw Data'!J389</f>
        <v>0</v>
      </c>
      <c r="J389" s="6" t="n">
        <f aca="false">'Raw Data'!K389</f>
        <v>2</v>
      </c>
      <c r="K389" s="6" t="n">
        <f aca="false">'Raw Data'!L389</f>
        <v>3</v>
      </c>
      <c r="L389" s="6" t="n">
        <f aca="false">F389*E389</f>
        <v>0</v>
      </c>
      <c r="N389" s="0" t="n">
        <v>1</v>
      </c>
      <c r="O389" s="6" t="n">
        <f aca="false">D389</f>
        <v>3.507692308</v>
      </c>
      <c r="P389" s="6" t="n">
        <f aca="false">E389</f>
        <v>1</v>
      </c>
      <c r="Q389" s="6" t="n">
        <f aca="false">F389</f>
        <v>0</v>
      </c>
      <c r="R389" s="6" t="n">
        <f aca="false">G389</f>
        <v>0</v>
      </c>
      <c r="S389" s="6" t="n">
        <f aca="false">H389</f>
        <v>0</v>
      </c>
      <c r="T389" s="6" t="n">
        <f aca="false">I389</f>
        <v>0</v>
      </c>
      <c r="U389" s="6" t="n">
        <f aca="false">L389</f>
        <v>0</v>
      </c>
      <c r="W389" s="6" t="n">
        <f aca="false">D389</f>
        <v>3.507692308</v>
      </c>
      <c r="X389" s="6" t="n">
        <f aca="false">E389</f>
        <v>1</v>
      </c>
      <c r="Y389" s="6" t="n">
        <f aca="false">F389</f>
        <v>0</v>
      </c>
      <c r="Z389" s="6" t="n">
        <f aca="false">L389</f>
        <v>0</v>
      </c>
      <c r="AA389" s="6" t="n">
        <f aca="false">G389</f>
        <v>0</v>
      </c>
      <c r="AC389" s="6" t="n">
        <f aca="false">D389</f>
        <v>3.507692308</v>
      </c>
      <c r="AD389" s="6" t="n">
        <f aca="false">E389</f>
        <v>1</v>
      </c>
      <c r="AE389" s="6" t="n">
        <f aca="false">G389</f>
        <v>0</v>
      </c>
      <c r="AF389" s="6" t="n">
        <f aca="false">H389</f>
        <v>0</v>
      </c>
      <c r="AG389" s="6" t="n">
        <f aca="false">I389</f>
        <v>0</v>
      </c>
      <c r="AH389" s="6" t="n">
        <f aca="false">L389</f>
        <v>0</v>
      </c>
    </row>
    <row r="390" customFormat="false" ht="15" hidden="false" customHeight="false" outlineLevel="0" collapsed="false">
      <c r="A390" s="0" t="str">
        <f aca="false">'Raw Data'!C390</f>
        <v>Northbrook</v>
      </c>
      <c r="B390" s="5" t="n">
        <f aca="false">'Raw Data'!A390</f>
        <v>40323</v>
      </c>
      <c r="C390" s="6" t="n">
        <f aca="false">'Raw Data'!D390</f>
        <v>232.133357872458</v>
      </c>
      <c r="D390" s="6" t="n">
        <f aca="false">'Raw Data'!E390</f>
        <v>3.492666667</v>
      </c>
      <c r="E390" s="6" t="n">
        <f aca="false">'Raw Data'!F390</f>
        <v>1</v>
      </c>
      <c r="F390" s="6" t="n">
        <f aca="false">'Raw Data'!G390</f>
        <v>0</v>
      </c>
      <c r="G390" s="6" t="n">
        <f aca="false">'Raw Data'!H390</f>
        <v>0</v>
      </c>
      <c r="H390" s="6" t="n">
        <f aca="false">'Raw Data'!I390</f>
        <v>0</v>
      </c>
      <c r="I390" s="6" t="n">
        <f aca="false">'Raw Data'!J390</f>
        <v>0</v>
      </c>
      <c r="J390" s="6" t="n">
        <f aca="false">'Raw Data'!K390</f>
        <v>2</v>
      </c>
      <c r="K390" s="6" t="n">
        <f aca="false">'Raw Data'!L390</f>
        <v>3</v>
      </c>
      <c r="L390" s="6" t="n">
        <f aca="false">F390*E390</f>
        <v>0</v>
      </c>
      <c r="N390" s="0" t="n">
        <v>1</v>
      </c>
      <c r="O390" s="6" t="n">
        <f aca="false">D390</f>
        <v>3.492666667</v>
      </c>
      <c r="P390" s="6" t="n">
        <f aca="false">E390</f>
        <v>1</v>
      </c>
      <c r="Q390" s="6" t="n">
        <f aca="false">F390</f>
        <v>0</v>
      </c>
      <c r="R390" s="6" t="n">
        <f aca="false">G390</f>
        <v>0</v>
      </c>
      <c r="S390" s="6" t="n">
        <f aca="false">H390</f>
        <v>0</v>
      </c>
      <c r="T390" s="6" t="n">
        <f aca="false">I390</f>
        <v>0</v>
      </c>
      <c r="U390" s="6" t="n">
        <f aca="false">L390</f>
        <v>0</v>
      </c>
      <c r="W390" s="6" t="n">
        <f aca="false">D390</f>
        <v>3.492666667</v>
      </c>
      <c r="X390" s="6" t="n">
        <f aca="false">E390</f>
        <v>1</v>
      </c>
      <c r="Y390" s="6" t="n">
        <f aca="false">F390</f>
        <v>0</v>
      </c>
      <c r="Z390" s="6" t="n">
        <f aca="false">L390</f>
        <v>0</v>
      </c>
      <c r="AA390" s="6" t="n">
        <f aca="false">G390</f>
        <v>0</v>
      </c>
      <c r="AC390" s="6" t="n">
        <f aca="false">D390</f>
        <v>3.492666667</v>
      </c>
      <c r="AD390" s="6" t="n">
        <f aca="false">E390</f>
        <v>1</v>
      </c>
      <c r="AE390" s="6" t="n">
        <f aca="false">G390</f>
        <v>0</v>
      </c>
      <c r="AF390" s="6" t="n">
        <f aca="false">H390</f>
        <v>0</v>
      </c>
      <c r="AG390" s="6" t="n">
        <f aca="false">I390</f>
        <v>0</v>
      </c>
      <c r="AH390" s="6" t="n">
        <f aca="false">L390</f>
        <v>0</v>
      </c>
    </row>
    <row r="391" customFormat="false" ht="15" hidden="false" customHeight="false" outlineLevel="0" collapsed="false">
      <c r="A391" s="0" t="str">
        <f aca="false">'Raw Data'!C391</f>
        <v>Northbrook</v>
      </c>
      <c r="B391" s="5" t="n">
        <f aca="false">'Raw Data'!A391</f>
        <v>40330</v>
      </c>
      <c r="C391" s="6" t="n">
        <f aca="false">'Raw Data'!D391</f>
        <v>284.229499687626</v>
      </c>
      <c r="D391" s="6" t="n">
        <f aca="false">'Raw Data'!E391</f>
        <v>3.65</v>
      </c>
      <c r="E391" s="6" t="n">
        <f aca="false">'Raw Data'!F391</f>
        <v>1</v>
      </c>
      <c r="F391" s="6" t="n">
        <f aca="false">'Raw Data'!G391</f>
        <v>0</v>
      </c>
      <c r="G391" s="6" t="n">
        <f aca="false">'Raw Data'!H391</f>
        <v>0</v>
      </c>
      <c r="H391" s="6" t="n">
        <f aca="false">'Raw Data'!I391</f>
        <v>0</v>
      </c>
      <c r="I391" s="6" t="n">
        <f aca="false">'Raw Data'!J391</f>
        <v>0</v>
      </c>
      <c r="J391" s="6" t="n">
        <f aca="false">'Raw Data'!K391</f>
        <v>2</v>
      </c>
      <c r="K391" s="6" t="n">
        <f aca="false">'Raw Data'!L391</f>
        <v>3</v>
      </c>
      <c r="L391" s="6" t="n">
        <f aca="false">F391*E391</f>
        <v>0</v>
      </c>
      <c r="N391" s="0" t="n">
        <v>1</v>
      </c>
      <c r="O391" s="6" t="n">
        <f aca="false">D391</f>
        <v>3.65</v>
      </c>
      <c r="P391" s="6" t="n">
        <f aca="false">E391</f>
        <v>1</v>
      </c>
      <c r="Q391" s="6" t="n">
        <f aca="false">F391</f>
        <v>0</v>
      </c>
      <c r="R391" s="6" t="n">
        <f aca="false">G391</f>
        <v>0</v>
      </c>
      <c r="S391" s="6" t="n">
        <f aca="false">H391</f>
        <v>0</v>
      </c>
      <c r="T391" s="6" t="n">
        <f aca="false">I391</f>
        <v>0</v>
      </c>
      <c r="U391" s="6" t="n">
        <f aca="false">L391</f>
        <v>0</v>
      </c>
      <c r="W391" s="6" t="n">
        <f aca="false">D391</f>
        <v>3.65</v>
      </c>
      <c r="X391" s="6" t="n">
        <f aca="false">E391</f>
        <v>1</v>
      </c>
      <c r="Y391" s="6" t="n">
        <f aca="false">F391</f>
        <v>0</v>
      </c>
      <c r="Z391" s="6" t="n">
        <f aca="false">L391</f>
        <v>0</v>
      </c>
      <c r="AA391" s="6" t="n">
        <f aca="false">G391</f>
        <v>0</v>
      </c>
      <c r="AC391" s="6" t="n">
        <f aca="false">D391</f>
        <v>3.65</v>
      </c>
      <c r="AD391" s="6" t="n">
        <f aca="false">E391</f>
        <v>1</v>
      </c>
      <c r="AE391" s="6" t="n">
        <f aca="false">G391</f>
        <v>0</v>
      </c>
      <c r="AF391" s="6" t="n">
        <f aca="false">H391</f>
        <v>0</v>
      </c>
      <c r="AG391" s="6" t="n">
        <f aca="false">I391</f>
        <v>0</v>
      </c>
      <c r="AH391" s="6" t="n">
        <f aca="false">L391</f>
        <v>0</v>
      </c>
    </row>
    <row r="392" customFormat="false" ht="15" hidden="false" customHeight="false" outlineLevel="0" collapsed="false">
      <c r="A392" s="0" t="str">
        <f aca="false">'Raw Data'!C392</f>
        <v>Northbrook</v>
      </c>
      <c r="B392" s="5" t="n">
        <f aca="false">'Raw Data'!A392</f>
        <v>40337</v>
      </c>
      <c r="C392" s="6" t="n">
        <f aca="false">'Raw Data'!D392</f>
        <v>329.249880673966</v>
      </c>
      <c r="D392" s="6" t="n">
        <f aca="false">'Raw Data'!E392</f>
        <v>2.944</v>
      </c>
      <c r="E392" s="6" t="n">
        <f aca="false">'Raw Data'!F392</f>
        <v>1</v>
      </c>
      <c r="F392" s="6" t="n">
        <f aca="false">'Raw Data'!G392</f>
        <v>0</v>
      </c>
      <c r="G392" s="6" t="n">
        <f aca="false">'Raw Data'!H392</f>
        <v>1</v>
      </c>
      <c r="H392" s="6" t="n">
        <f aca="false">'Raw Data'!I392</f>
        <v>0</v>
      </c>
      <c r="I392" s="6" t="n">
        <f aca="false">'Raw Data'!J392</f>
        <v>0</v>
      </c>
      <c r="J392" s="6" t="n">
        <f aca="false">'Raw Data'!K392</f>
        <v>2</v>
      </c>
      <c r="K392" s="6" t="n">
        <f aca="false">'Raw Data'!L392</f>
        <v>3</v>
      </c>
      <c r="L392" s="6" t="n">
        <f aca="false">F392*E392</f>
        <v>0</v>
      </c>
      <c r="N392" s="0" t="n">
        <v>1</v>
      </c>
      <c r="O392" s="6" t="n">
        <f aca="false">D392</f>
        <v>2.944</v>
      </c>
      <c r="P392" s="6" t="n">
        <f aca="false">E392</f>
        <v>1</v>
      </c>
      <c r="Q392" s="6" t="n">
        <f aca="false">F392</f>
        <v>0</v>
      </c>
      <c r="R392" s="6" t="n">
        <f aca="false">G392</f>
        <v>1</v>
      </c>
      <c r="S392" s="6" t="n">
        <f aca="false">H392</f>
        <v>0</v>
      </c>
      <c r="T392" s="6" t="n">
        <f aca="false">I392</f>
        <v>0</v>
      </c>
      <c r="U392" s="6" t="n">
        <f aca="false">L392</f>
        <v>0</v>
      </c>
      <c r="W392" s="6" t="n">
        <f aca="false">D392</f>
        <v>2.944</v>
      </c>
      <c r="X392" s="6" t="n">
        <f aca="false">E392</f>
        <v>1</v>
      </c>
      <c r="Y392" s="6" t="n">
        <f aca="false">F392</f>
        <v>0</v>
      </c>
      <c r="Z392" s="6" t="n">
        <f aca="false">L392</f>
        <v>0</v>
      </c>
      <c r="AA392" s="6" t="n">
        <f aca="false">G392</f>
        <v>1</v>
      </c>
      <c r="AC392" s="6" t="n">
        <f aca="false">D392</f>
        <v>2.944</v>
      </c>
      <c r="AD392" s="6" t="n">
        <f aca="false">E392</f>
        <v>1</v>
      </c>
      <c r="AE392" s="6" t="n">
        <f aca="false">G392</f>
        <v>1</v>
      </c>
      <c r="AF392" s="6" t="n">
        <f aca="false">H392</f>
        <v>0</v>
      </c>
      <c r="AG392" s="6" t="n">
        <f aca="false">I392</f>
        <v>0</v>
      </c>
      <c r="AH392" s="6" t="n">
        <f aca="false">L392</f>
        <v>0</v>
      </c>
    </row>
    <row r="393" customFormat="false" ht="15" hidden="false" customHeight="false" outlineLevel="0" collapsed="false">
      <c r="A393" s="0" t="str">
        <f aca="false">'Raw Data'!C393</f>
        <v>Northbrook</v>
      </c>
      <c r="B393" s="5" t="n">
        <f aca="false">'Raw Data'!A393</f>
        <v>40344</v>
      </c>
      <c r="C393" s="6" t="n">
        <f aca="false">'Raw Data'!D393</f>
        <v>373.444850045217</v>
      </c>
      <c r="D393" s="6" t="n">
        <f aca="false">'Raw Data'!E393</f>
        <v>2.899333333</v>
      </c>
      <c r="E393" s="6" t="n">
        <f aca="false">'Raw Data'!F393</f>
        <v>1</v>
      </c>
      <c r="F393" s="6" t="n">
        <f aca="false">'Raw Data'!G393</f>
        <v>0</v>
      </c>
      <c r="G393" s="6" t="n">
        <f aca="false">'Raw Data'!H393</f>
        <v>0</v>
      </c>
      <c r="H393" s="6" t="n">
        <f aca="false">'Raw Data'!I393</f>
        <v>1</v>
      </c>
      <c r="I393" s="6" t="n">
        <f aca="false">'Raw Data'!J393</f>
        <v>0</v>
      </c>
      <c r="J393" s="6" t="n">
        <f aca="false">'Raw Data'!K393</f>
        <v>2</v>
      </c>
      <c r="K393" s="6" t="n">
        <f aca="false">'Raw Data'!L393</f>
        <v>3</v>
      </c>
      <c r="L393" s="6" t="n">
        <f aca="false">F393*E393</f>
        <v>0</v>
      </c>
      <c r="N393" s="0" t="n">
        <v>1</v>
      </c>
      <c r="O393" s="6" t="n">
        <f aca="false">D393</f>
        <v>2.899333333</v>
      </c>
      <c r="P393" s="6" t="n">
        <f aca="false">E393</f>
        <v>1</v>
      </c>
      <c r="Q393" s="6" t="n">
        <f aca="false">F393</f>
        <v>0</v>
      </c>
      <c r="R393" s="6" t="n">
        <f aca="false">G393</f>
        <v>0</v>
      </c>
      <c r="S393" s="6" t="n">
        <f aca="false">H393</f>
        <v>1</v>
      </c>
      <c r="T393" s="6" t="n">
        <f aca="false">I393</f>
        <v>0</v>
      </c>
      <c r="U393" s="6" t="n">
        <f aca="false">L393</f>
        <v>0</v>
      </c>
      <c r="W393" s="6" t="n">
        <f aca="false">D393</f>
        <v>2.899333333</v>
      </c>
      <c r="X393" s="6" t="n">
        <f aca="false">E393</f>
        <v>1</v>
      </c>
      <c r="Y393" s="6" t="n">
        <f aca="false">F393</f>
        <v>0</v>
      </c>
      <c r="Z393" s="6" t="n">
        <f aca="false">L393</f>
        <v>0</v>
      </c>
      <c r="AA393" s="6" t="n">
        <f aca="false">G393</f>
        <v>0</v>
      </c>
      <c r="AC393" s="6" t="n">
        <f aca="false">D393</f>
        <v>2.899333333</v>
      </c>
      <c r="AD393" s="6" t="n">
        <f aca="false">E393</f>
        <v>1</v>
      </c>
      <c r="AE393" s="6" t="n">
        <f aca="false">G393</f>
        <v>0</v>
      </c>
      <c r="AF393" s="6" t="n">
        <f aca="false">H393</f>
        <v>1</v>
      </c>
      <c r="AG393" s="6" t="n">
        <f aca="false">I393</f>
        <v>0</v>
      </c>
      <c r="AH393" s="6" t="n">
        <f aca="false">L393</f>
        <v>0</v>
      </c>
    </row>
    <row r="394" customFormat="false" ht="15" hidden="false" customHeight="false" outlineLevel="0" collapsed="false">
      <c r="A394" s="0" t="str">
        <f aca="false">'Raw Data'!C394</f>
        <v>Northbrook</v>
      </c>
      <c r="B394" s="5" t="n">
        <f aca="false">'Raw Data'!A394</f>
        <v>40351</v>
      </c>
      <c r="C394" s="6" t="n">
        <f aca="false">'Raw Data'!D394</f>
        <v>335.264921893788</v>
      </c>
      <c r="D394" s="6" t="n">
        <f aca="false">'Raw Data'!E394</f>
        <v>3.39125</v>
      </c>
      <c r="E394" s="6" t="n">
        <f aca="false">'Raw Data'!F394</f>
        <v>1</v>
      </c>
      <c r="F394" s="6" t="n">
        <f aca="false">'Raw Data'!G394</f>
        <v>0</v>
      </c>
      <c r="G394" s="6" t="n">
        <f aca="false">'Raw Data'!H394</f>
        <v>0</v>
      </c>
      <c r="H394" s="6" t="n">
        <f aca="false">'Raw Data'!I394</f>
        <v>1</v>
      </c>
      <c r="I394" s="6" t="n">
        <f aca="false">'Raw Data'!J394</f>
        <v>0</v>
      </c>
      <c r="J394" s="6" t="n">
        <f aca="false">'Raw Data'!K394</f>
        <v>2</v>
      </c>
      <c r="K394" s="6" t="n">
        <f aca="false">'Raw Data'!L394</f>
        <v>3</v>
      </c>
      <c r="L394" s="6" t="n">
        <f aca="false">F394*E394</f>
        <v>0</v>
      </c>
      <c r="N394" s="0" t="n">
        <v>1</v>
      </c>
      <c r="O394" s="6" t="n">
        <f aca="false">D394</f>
        <v>3.39125</v>
      </c>
      <c r="P394" s="6" t="n">
        <f aca="false">E394</f>
        <v>1</v>
      </c>
      <c r="Q394" s="6" t="n">
        <f aca="false">F394</f>
        <v>0</v>
      </c>
      <c r="R394" s="6" t="n">
        <f aca="false">G394</f>
        <v>0</v>
      </c>
      <c r="S394" s="6" t="n">
        <f aca="false">H394</f>
        <v>1</v>
      </c>
      <c r="T394" s="6" t="n">
        <f aca="false">I394</f>
        <v>0</v>
      </c>
      <c r="U394" s="6" t="n">
        <f aca="false">L394</f>
        <v>0</v>
      </c>
      <c r="W394" s="6" t="n">
        <f aca="false">D394</f>
        <v>3.39125</v>
      </c>
      <c r="X394" s="6" t="n">
        <f aca="false">E394</f>
        <v>1</v>
      </c>
      <c r="Y394" s="6" t="n">
        <f aca="false">F394</f>
        <v>0</v>
      </c>
      <c r="Z394" s="6" t="n">
        <f aca="false">L394</f>
        <v>0</v>
      </c>
      <c r="AA394" s="6" t="n">
        <f aca="false">G394</f>
        <v>0</v>
      </c>
      <c r="AC394" s="6" t="n">
        <f aca="false">D394</f>
        <v>3.39125</v>
      </c>
      <c r="AD394" s="6" t="n">
        <f aca="false">E394</f>
        <v>1</v>
      </c>
      <c r="AE394" s="6" t="n">
        <f aca="false">G394</f>
        <v>0</v>
      </c>
      <c r="AF394" s="6" t="n">
        <f aca="false">H394</f>
        <v>1</v>
      </c>
      <c r="AG394" s="6" t="n">
        <f aca="false">I394</f>
        <v>0</v>
      </c>
      <c r="AH394" s="6" t="n">
        <f aca="false">L394</f>
        <v>0</v>
      </c>
    </row>
    <row r="395" customFormat="false" ht="15" hidden="false" customHeight="false" outlineLevel="0" collapsed="false">
      <c r="A395" s="0" t="str">
        <f aca="false">'Raw Data'!C395</f>
        <v>Northbrook</v>
      </c>
      <c r="B395" s="5" t="n">
        <f aca="false">'Raw Data'!A395</f>
        <v>40358</v>
      </c>
      <c r="C395" s="6" t="n">
        <f aca="false">'Raw Data'!D395</f>
        <v>408.435176230927</v>
      </c>
      <c r="D395" s="6" t="n">
        <f aca="false">'Raw Data'!E395</f>
        <v>3.084666667</v>
      </c>
      <c r="E395" s="6" t="n">
        <f aca="false">'Raw Data'!F395</f>
        <v>1</v>
      </c>
      <c r="F395" s="6" t="n">
        <f aca="false">'Raw Data'!G395</f>
        <v>0</v>
      </c>
      <c r="G395" s="6" t="n">
        <f aca="false">'Raw Data'!H395</f>
        <v>0</v>
      </c>
      <c r="H395" s="6" t="n">
        <f aca="false">'Raw Data'!I395</f>
        <v>1</v>
      </c>
      <c r="I395" s="6" t="n">
        <f aca="false">'Raw Data'!J395</f>
        <v>0</v>
      </c>
      <c r="J395" s="6" t="n">
        <f aca="false">'Raw Data'!K395</f>
        <v>2</v>
      </c>
      <c r="K395" s="6" t="n">
        <f aca="false">'Raw Data'!L395</f>
        <v>3</v>
      </c>
      <c r="L395" s="6" t="n">
        <f aca="false">F395*E395</f>
        <v>0</v>
      </c>
      <c r="N395" s="0" t="n">
        <v>1</v>
      </c>
      <c r="O395" s="6" t="n">
        <f aca="false">D395</f>
        <v>3.084666667</v>
      </c>
      <c r="P395" s="6" t="n">
        <f aca="false">E395</f>
        <v>1</v>
      </c>
      <c r="Q395" s="6" t="n">
        <f aca="false">F395</f>
        <v>0</v>
      </c>
      <c r="R395" s="6" t="n">
        <f aca="false">G395</f>
        <v>0</v>
      </c>
      <c r="S395" s="6" t="n">
        <f aca="false">H395</f>
        <v>1</v>
      </c>
      <c r="T395" s="6" t="n">
        <f aca="false">I395</f>
        <v>0</v>
      </c>
      <c r="U395" s="6" t="n">
        <f aca="false">L395</f>
        <v>0</v>
      </c>
      <c r="W395" s="6" t="n">
        <f aca="false">D395</f>
        <v>3.084666667</v>
      </c>
      <c r="X395" s="6" t="n">
        <f aca="false">E395</f>
        <v>1</v>
      </c>
      <c r="Y395" s="6" t="n">
        <f aca="false">F395</f>
        <v>0</v>
      </c>
      <c r="Z395" s="6" t="n">
        <f aca="false">L395</f>
        <v>0</v>
      </c>
      <c r="AA395" s="6" t="n">
        <f aca="false">G395</f>
        <v>0</v>
      </c>
      <c r="AC395" s="6" t="n">
        <f aca="false">D395</f>
        <v>3.084666667</v>
      </c>
      <c r="AD395" s="6" t="n">
        <f aca="false">E395</f>
        <v>1</v>
      </c>
      <c r="AE395" s="6" t="n">
        <f aca="false">G395</f>
        <v>0</v>
      </c>
      <c r="AF395" s="6" t="n">
        <f aca="false">H395</f>
        <v>1</v>
      </c>
      <c r="AG395" s="6" t="n">
        <f aca="false">I395</f>
        <v>0</v>
      </c>
      <c r="AH395" s="6" t="n">
        <f aca="false">L395</f>
        <v>0</v>
      </c>
    </row>
    <row r="396" customFormat="false" ht="15" hidden="false" customHeight="false" outlineLevel="0" collapsed="false">
      <c r="A396" s="0" t="str">
        <f aca="false">'Raw Data'!C396</f>
        <v>Northbrook</v>
      </c>
      <c r="B396" s="5" t="n">
        <f aca="false">'Raw Data'!A396</f>
        <v>40365</v>
      </c>
      <c r="C396" s="6" t="n">
        <f aca="false">'Raw Data'!D396</f>
        <v>341.315259979901</v>
      </c>
      <c r="D396" s="6" t="n">
        <f aca="false">'Raw Data'!E396</f>
        <v>3.685625</v>
      </c>
      <c r="E396" s="6" t="n">
        <f aca="false">'Raw Data'!F396</f>
        <v>1</v>
      </c>
      <c r="F396" s="6" t="n">
        <f aca="false">'Raw Data'!G396</f>
        <v>0</v>
      </c>
      <c r="G396" s="6" t="n">
        <f aca="false">'Raw Data'!H396</f>
        <v>0</v>
      </c>
      <c r="H396" s="6" t="n">
        <f aca="false">'Raw Data'!I396</f>
        <v>0</v>
      </c>
      <c r="I396" s="6" t="n">
        <f aca="false">'Raw Data'!J396</f>
        <v>1</v>
      </c>
      <c r="J396" s="6" t="n">
        <f aca="false">'Raw Data'!K396</f>
        <v>2</v>
      </c>
      <c r="K396" s="6" t="n">
        <f aca="false">'Raw Data'!L396</f>
        <v>3</v>
      </c>
      <c r="L396" s="6" t="n">
        <f aca="false">F396*E396</f>
        <v>0</v>
      </c>
      <c r="N396" s="0" t="n">
        <v>1</v>
      </c>
      <c r="O396" s="6" t="n">
        <f aca="false">D396</f>
        <v>3.685625</v>
      </c>
      <c r="P396" s="6" t="n">
        <f aca="false">E396</f>
        <v>1</v>
      </c>
      <c r="Q396" s="6" t="n">
        <f aca="false">F396</f>
        <v>0</v>
      </c>
      <c r="R396" s="6" t="n">
        <f aca="false">G396</f>
        <v>0</v>
      </c>
      <c r="S396" s="6" t="n">
        <f aca="false">H396</f>
        <v>0</v>
      </c>
      <c r="T396" s="6" t="n">
        <f aca="false">I396</f>
        <v>1</v>
      </c>
      <c r="U396" s="6" t="n">
        <f aca="false">L396</f>
        <v>0</v>
      </c>
      <c r="W396" s="6" t="n">
        <f aca="false">D396</f>
        <v>3.685625</v>
      </c>
      <c r="X396" s="6" t="n">
        <f aca="false">E396</f>
        <v>1</v>
      </c>
      <c r="Y396" s="6" t="n">
        <f aca="false">F396</f>
        <v>0</v>
      </c>
      <c r="Z396" s="6" t="n">
        <f aca="false">L396</f>
        <v>0</v>
      </c>
      <c r="AA396" s="6" t="n">
        <f aca="false">G396</f>
        <v>0</v>
      </c>
      <c r="AC396" s="6" t="n">
        <f aca="false">D396</f>
        <v>3.685625</v>
      </c>
      <c r="AD396" s="6" t="n">
        <f aca="false">E396</f>
        <v>1</v>
      </c>
      <c r="AE396" s="6" t="n">
        <f aca="false">G396</f>
        <v>0</v>
      </c>
      <c r="AF396" s="6" t="n">
        <f aca="false">H396</f>
        <v>0</v>
      </c>
      <c r="AG396" s="6" t="n">
        <f aca="false">I396</f>
        <v>1</v>
      </c>
      <c r="AH396" s="6" t="n">
        <f aca="false">L396</f>
        <v>0</v>
      </c>
    </row>
    <row r="397" customFormat="false" ht="15" hidden="false" customHeight="false" outlineLevel="0" collapsed="false">
      <c r="A397" s="0" t="str">
        <f aca="false">'Raw Data'!C397</f>
        <v>Northbrook</v>
      </c>
      <c r="B397" s="5" t="n">
        <f aca="false">'Raw Data'!A397</f>
        <v>40372</v>
      </c>
      <c r="C397" s="6" t="n">
        <f aca="false">'Raw Data'!D397</f>
        <v>324.475767506477</v>
      </c>
      <c r="D397" s="6" t="n">
        <f aca="false">'Raw Data'!E397</f>
        <v>3.362666667</v>
      </c>
      <c r="E397" s="6" t="n">
        <f aca="false">'Raw Data'!F397</f>
        <v>1</v>
      </c>
      <c r="F397" s="6" t="n">
        <f aca="false">'Raw Data'!G397</f>
        <v>0</v>
      </c>
      <c r="G397" s="6" t="n">
        <f aca="false">'Raw Data'!H397</f>
        <v>0</v>
      </c>
      <c r="H397" s="6" t="n">
        <f aca="false">'Raw Data'!I397</f>
        <v>0</v>
      </c>
      <c r="I397" s="6" t="n">
        <f aca="false">'Raw Data'!J397</f>
        <v>1</v>
      </c>
      <c r="J397" s="6" t="n">
        <f aca="false">'Raw Data'!K397</f>
        <v>2</v>
      </c>
      <c r="K397" s="6" t="n">
        <f aca="false">'Raw Data'!L397</f>
        <v>3</v>
      </c>
      <c r="L397" s="6" t="n">
        <f aca="false">F397*E397</f>
        <v>0</v>
      </c>
      <c r="N397" s="0" t="n">
        <v>1</v>
      </c>
      <c r="O397" s="6" t="n">
        <f aca="false">D397</f>
        <v>3.362666667</v>
      </c>
      <c r="P397" s="6" t="n">
        <f aca="false">E397</f>
        <v>1</v>
      </c>
      <c r="Q397" s="6" t="n">
        <f aca="false">F397</f>
        <v>0</v>
      </c>
      <c r="R397" s="6" t="n">
        <f aca="false">G397</f>
        <v>0</v>
      </c>
      <c r="S397" s="6" t="n">
        <f aca="false">H397</f>
        <v>0</v>
      </c>
      <c r="T397" s="6" t="n">
        <f aca="false">I397</f>
        <v>1</v>
      </c>
      <c r="U397" s="6" t="n">
        <f aca="false">L397</f>
        <v>0</v>
      </c>
      <c r="W397" s="6" t="n">
        <f aca="false">D397</f>
        <v>3.362666667</v>
      </c>
      <c r="X397" s="6" t="n">
        <f aca="false">E397</f>
        <v>1</v>
      </c>
      <c r="Y397" s="6" t="n">
        <f aca="false">F397</f>
        <v>0</v>
      </c>
      <c r="Z397" s="6" t="n">
        <f aca="false">L397</f>
        <v>0</v>
      </c>
      <c r="AA397" s="6" t="n">
        <f aca="false">G397</f>
        <v>0</v>
      </c>
      <c r="AC397" s="6" t="n">
        <f aca="false">D397</f>
        <v>3.362666667</v>
      </c>
      <c r="AD397" s="6" t="n">
        <f aca="false">E397</f>
        <v>1</v>
      </c>
      <c r="AE397" s="6" t="n">
        <f aca="false">G397</f>
        <v>0</v>
      </c>
      <c r="AF397" s="6" t="n">
        <f aca="false">H397</f>
        <v>0</v>
      </c>
      <c r="AG397" s="6" t="n">
        <f aca="false">I397</f>
        <v>1</v>
      </c>
      <c r="AH397" s="6" t="n">
        <f aca="false">L397</f>
        <v>0</v>
      </c>
    </row>
    <row r="398" customFormat="false" ht="15" hidden="false" customHeight="false" outlineLevel="0" collapsed="false">
      <c r="A398" s="0" t="str">
        <f aca="false">'Raw Data'!C398</f>
        <v>Palatine</v>
      </c>
      <c r="B398" s="5" t="n">
        <f aca="false">'Raw Data'!A398</f>
        <v>40302</v>
      </c>
      <c r="C398" s="6" t="n">
        <f aca="false">'Raw Data'!D398</f>
        <v>226.835405331058</v>
      </c>
      <c r="D398" s="6" t="n">
        <f aca="false">'Raw Data'!E398</f>
        <v>4.19</v>
      </c>
      <c r="E398" s="6" t="n">
        <f aca="false">'Raw Data'!F398</f>
        <v>1</v>
      </c>
      <c r="F398" s="6" t="n">
        <f aca="false">'Raw Data'!G398</f>
        <v>0</v>
      </c>
      <c r="G398" s="6" t="n">
        <f aca="false">'Raw Data'!H398</f>
        <v>0</v>
      </c>
      <c r="H398" s="6" t="n">
        <f aca="false">'Raw Data'!I398</f>
        <v>0</v>
      </c>
      <c r="I398" s="6" t="n">
        <f aca="false">'Raw Data'!J398</f>
        <v>0</v>
      </c>
      <c r="J398" s="6" t="n">
        <f aca="false">'Raw Data'!K398</f>
        <v>1</v>
      </c>
      <c r="K398" s="6" t="n">
        <f aca="false">'Raw Data'!L398</f>
        <v>5</v>
      </c>
      <c r="L398" s="6" t="n">
        <f aca="false">F398*E398</f>
        <v>0</v>
      </c>
      <c r="N398" s="0" t="n">
        <v>1</v>
      </c>
      <c r="O398" s="6" t="n">
        <f aca="false">D398</f>
        <v>4.19</v>
      </c>
      <c r="P398" s="6" t="n">
        <f aca="false">E398</f>
        <v>1</v>
      </c>
      <c r="Q398" s="6" t="n">
        <f aca="false">F398</f>
        <v>0</v>
      </c>
      <c r="R398" s="6" t="n">
        <f aca="false">G398</f>
        <v>0</v>
      </c>
      <c r="S398" s="6" t="n">
        <f aca="false">H398</f>
        <v>0</v>
      </c>
      <c r="T398" s="6" t="n">
        <f aca="false">I398</f>
        <v>0</v>
      </c>
      <c r="U398" s="6" t="n">
        <f aca="false">L398</f>
        <v>0</v>
      </c>
      <c r="W398" s="6" t="n">
        <f aca="false">D398</f>
        <v>4.19</v>
      </c>
      <c r="X398" s="6" t="n">
        <f aca="false">E398</f>
        <v>1</v>
      </c>
      <c r="Y398" s="6" t="n">
        <f aca="false">F398</f>
        <v>0</v>
      </c>
      <c r="Z398" s="6" t="n">
        <f aca="false">L398</f>
        <v>0</v>
      </c>
      <c r="AA398" s="6" t="n">
        <f aca="false">G398</f>
        <v>0</v>
      </c>
      <c r="AC398" s="6" t="n">
        <f aca="false">D398</f>
        <v>4.19</v>
      </c>
      <c r="AD398" s="6" t="n">
        <f aca="false">E398</f>
        <v>1</v>
      </c>
      <c r="AE398" s="6" t="n">
        <f aca="false">G398</f>
        <v>0</v>
      </c>
      <c r="AF398" s="6" t="n">
        <f aca="false">H398</f>
        <v>0</v>
      </c>
      <c r="AG398" s="6" t="n">
        <f aca="false">I398</f>
        <v>0</v>
      </c>
      <c r="AH398" s="6" t="n">
        <f aca="false">L398</f>
        <v>0</v>
      </c>
    </row>
    <row r="399" customFormat="false" ht="15" hidden="false" customHeight="false" outlineLevel="0" collapsed="false">
      <c r="A399" s="0" t="str">
        <f aca="false">'Raw Data'!C399</f>
        <v>Palatine</v>
      </c>
      <c r="B399" s="5" t="n">
        <f aca="false">'Raw Data'!A399</f>
        <v>40309</v>
      </c>
      <c r="C399" s="6" t="n">
        <f aca="false">'Raw Data'!D399</f>
        <v>319.371596755929</v>
      </c>
      <c r="D399" s="6" t="n">
        <f aca="false">'Raw Data'!E399</f>
        <v>4.167777778</v>
      </c>
      <c r="E399" s="6" t="n">
        <f aca="false">'Raw Data'!F399</f>
        <v>1</v>
      </c>
      <c r="F399" s="6" t="n">
        <f aca="false">'Raw Data'!G399</f>
        <v>0</v>
      </c>
      <c r="G399" s="6" t="n">
        <f aca="false">'Raw Data'!H399</f>
        <v>0</v>
      </c>
      <c r="H399" s="6" t="n">
        <f aca="false">'Raw Data'!I399</f>
        <v>0</v>
      </c>
      <c r="I399" s="6" t="n">
        <f aca="false">'Raw Data'!J399</f>
        <v>0</v>
      </c>
      <c r="J399" s="6" t="n">
        <f aca="false">'Raw Data'!K399</f>
        <v>1</v>
      </c>
      <c r="K399" s="6" t="n">
        <f aca="false">'Raw Data'!L399</f>
        <v>5</v>
      </c>
      <c r="L399" s="6" t="n">
        <f aca="false">F399*E399</f>
        <v>0</v>
      </c>
      <c r="N399" s="0" t="n">
        <v>1</v>
      </c>
      <c r="O399" s="6" t="n">
        <f aca="false">D399</f>
        <v>4.167777778</v>
      </c>
      <c r="P399" s="6" t="n">
        <f aca="false">E399</f>
        <v>1</v>
      </c>
      <c r="Q399" s="6" t="n">
        <f aca="false">F399</f>
        <v>0</v>
      </c>
      <c r="R399" s="6" t="n">
        <f aca="false">G399</f>
        <v>0</v>
      </c>
      <c r="S399" s="6" t="n">
        <f aca="false">H399</f>
        <v>0</v>
      </c>
      <c r="T399" s="6" t="n">
        <f aca="false">I399</f>
        <v>0</v>
      </c>
      <c r="U399" s="6" t="n">
        <f aca="false">L399</f>
        <v>0</v>
      </c>
      <c r="W399" s="6" t="n">
        <f aca="false">D399</f>
        <v>4.167777778</v>
      </c>
      <c r="X399" s="6" t="n">
        <f aca="false">E399</f>
        <v>1</v>
      </c>
      <c r="Y399" s="6" t="n">
        <f aca="false">F399</f>
        <v>0</v>
      </c>
      <c r="Z399" s="6" t="n">
        <f aca="false">L399</f>
        <v>0</v>
      </c>
      <c r="AA399" s="6" t="n">
        <f aca="false">G399</f>
        <v>0</v>
      </c>
      <c r="AC399" s="6" t="n">
        <f aca="false">D399</f>
        <v>4.167777778</v>
      </c>
      <c r="AD399" s="6" t="n">
        <f aca="false">E399</f>
        <v>1</v>
      </c>
      <c r="AE399" s="6" t="n">
        <f aca="false">G399</f>
        <v>0</v>
      </c>
      <c r="AF399" s="6" t="n">
        <f aca="false">H399</f>
        <v>0</v>
      </c>
      <c r="AG399" s="6" t="n">
        <f aca="false">I399</f>
        <v>0</v>
      </c>
      <c r="AH399" s="6" t="n">
        <f aca="false">L399</f>
        <v>0</v>
      </c>
    </row>
    <row r="400" customFormat="false" ht="15" hidden="false" customHeight="false" outlineLevel="0" collapsed="false">
      <c r="A400" s="0" t="str">
        <f aca="false">'Raw Data'!C400</f>
        <v>Palatine</v>
      </c>
      <c r="B400" s="5" t="n">
        <f aca="false">'Raw Data'!A400</f>
        <v>40316</v>
      </c>
      <c r="C400" s="6" t="n">
        <f aca="false">'Raw Data'!D400</f>
        <v>279.938510508953</v>
      </c>
      <c r="D400" s="6" t="n">
        <f aca="false">'Raw Data'!E400</f>
        <v>3.765</v>
      </c>
      <c r="E400" s="6" t="n">
        <f aca="false">'Raw Data'!F400</f>
        <v>1</v>
      </c>
      <c r="F400" s="6" t="n">
        <f aca="false">'Raw Data'!G400</f>
        <v>0</v>
      </c>
      <c r="G400" s="6" t="n">
        <f aca="false">'Raw Data'!H400</f>
        <v>0</v>
      </c>
      <c r="H400" s="6" t="n">
        <f aca="false">'Raw Data'!I400</f>
        <v>0</v>
      </c>
      <c r="I400" s="6" t="n">
        <f aca="false">'Raw Data'!J400</f>
        <v>0</v>
      </c>
      <c r="J400" s="6" t="n">
        <f aca="false">'Raw Data'!K400</f>
        <v>1</v>
      </c>
      <c r="K400" s="6" t="n">
        <f aca="false">'Raw Data'!L400</f>
        <v>5</v>
      </c>
      <c r="L400" s="6" t="n">
        <f aca="false">F400*E400</f>
        <v>0</v>
      </c>
      <c r="N400" s="0" t="n">
        <v>1</v>
      </c>
      <c r="O400" s="6" t="n">
        <f aca="false">D400</f>
        <v>3.765</v>
      </c>
      <c r="P400" s="6" t="n">
        <f aca="false">E400</f>
        <v>1</v>
      </c>
      <c r="Q400" s="6" t="n">
        <f aca="false">F400</f>
        <v>0</v>
      </c>
      <c r="R400" s="6" t="n">
        <f aca="false">G400</f>
        <v>0</v>
      </c>
      <c r="S400" s="6" t="n">
        <f aca="false">H400</f>
        <v>0</v>
      </c>
      <c r="T400" s="6" t="n">
        <f aca="false">I400</f>
        <v>0</v>
      </c>
      <c r="U400" s="6" t="n">
        <f aca="false">L400</f>
        <v>0</v>
      </c>
      <c r="W400" s="6" t="n">
        <f aca="false">D400</f>
        <v>3.765</v>
      </c>
      <c r="X400" s="6" t="n">
        <f aca="false">E400</f>
        <v>1</v>
      </c>
      <c r="Y400" s="6" t="n">
        <f aca="false">F400</f>
        <v>0</v>
      </c>
      <c r="Z400" s="6" t="n">
        <f aca="false">L400</f>
        <v>0</v>
      </c>
      <c r="AA400" s="6" t="n">
        <f aca="false">G400</f>
        <v>0</v>
      </c>
      <c r="AC400" s="6" t="n">
        <f aca="false">D400</f>
        <v>3.765</v>
      </c>
      <c r="AD400" s="6" t="n">
        <f aca="false">E400</f>
        <v>1</v>
      </c>
      <c r="AE400" s="6" t="n">
        <f aca="false">G400</f>
        <v>0</v>
      </c>
      <c r="AF400" s="6" t="n">
        <f aca="false">H400</f>
        <v>0</v>
      </c>
      <c r="AG400" s="6" t="n">
        <f aca="false">I400</f>
        <v>0</v>
      </c>
      <c r="AH400" s="6" t="n">
        <f aca="false">L400</f>
        <v>0</v>
      </c>
    </row>
    <row r="401" customFormat="false" ht="15" hidden="false" customHeight="false" outlineLevel="0" collapsed="false">
      <c r="A401" s="0" t="str">
        <f aca="false">'Raw Data'!C401</f>
        <v>Palatine</v>
      </c>
      <c r="B401" s="5" t="n">
        <f aca="false">'Raw Data'!A401</f>
        <v>40323</v>
      </c>
      <c r="C401" s="6" t="n">
        <f aca="false">'Raw Data'!D401</f>
        <v>197.507068945942</v>
      </c>
      <c r="D401" s="6" t="n">
        <f aca="false">'Raw Data'!E401</f>
        <v>3.765</v>
      </c>
      <c r="E401" s="6" t="n">
        <f aca="false">'Raw Data'!F401</f>
        <v>1</v>
      </c>
      <c r="F401" s="6" t="n">
        <f aca="false">'Raw Data'!G401</f>
        <v>0</v>
      </c>
      <c r="G401" s="6" t="n">
        <f aca="false">'Raw Data'!H401</f>
        <v>0</v>
      </c>
      <c r="H401" s="6" t="n">
        <f aca="false">'Raw Data'!I401</f>
        <v>0</v>
      </c>
      <c r="I401" s="6" t="n">
        <f aca="false">'Raw Data'!J401</f>
        <v>0</v>
      </c>
      <c r="J401" s="6" t="n">
        <f aca="false">'Raw Data'!K401</f>
        <v>1</v>
      </c>
      <c r="K401" s="6" t="n">
        <f aca="false">'Raw Data'!L401</f>
        <v>5</v>
      </c>
      <c r="L401" s="6" t="n">
        <f aca="false">F401*E401</f>
        <v>0</v>
      </c>
      <c r="N401" s="0" t="n">
        <v>1</v>
      </c>
      <c r="O401" s="6" t="n">
        <f aca="false">D401</f>
        <v>3.765</v>
      </c>
      <c r="P401" s="6" t="n">
        <f aca="false">E401</f>
        <v>1</v>
      </c>
      <c r="Q401" s="6" t="n">
        <f aca="false">F401</f>
        <v>0</v>
      </c>
      <c r="R401" s="6" t="n">
        <f aca="false">G401</f>
        <v>0</v>
      </c>
      <c r="S401" s="6" t="n">
        <f aca="false">H401</f>
        <v>0</v>
      </c>
      <c r="T401" s="6" t="n">
        <f aca="false">I401</f>
        <v>0</v>
      </c>
      <c r="U401" s="6" t="n">
        <f aca="false">L401</f>
        <v>0</v>
      </c>
      <c r="W401" s="6" t="n">
        <f aca="false">D401</f>
        <v>3.765</v>
      </c>
      <c r="X401" s="6" t="n">
        <f aca="false">E401</f>
        <v>1</v>
      </c>
      <c r="Y401" s="6" t="n">
        <f aca="false">F401</f>
        <v>0</v>
      </c>
      <c r="Z401" s="6" t="n">
        <f aca="false">L401</f>
        <v>0</v>
      </c>
      <c r="AA401" s="6" t="n">
        <f aca="false">G401</f>
        <v>0</v>
      </c>
      <c r="AC401" s="6" t="n">
        <f aca="false">D401</f>
        <v>3.765</v>
      </c>
      <c r="AD401" s="6" t="n">
        <f aca="false">E401</f>
        <v>1</v>
      </c>
      <c r="AE401" s="6" t="n">
        <f aca="false">G401</f>
        <v>0</v>
      </c>
      <c r="AF401" s="6" t="n">
        <f aca="false">H401</f>
        <v>0</v>
      </c>
      <c r="AG401" s="6" t="n">
        <f aca="false">I401</f>
        <v>0</v>
      </c>
      <c r="AH401" s="6" t="n">
        <f aca="false">L401</f>
        <v>0</v>
      </c>
    </row>
    <row r="402" customFormat="false" ht="15" hidden="false" customHeight="false" outlineLevel="0" collapsed="false">
      <c r="A402" s="0" t="str">
        <f aca="false">'Raw Data'!C402</f>
        <v>Palatine</v>
      </c>
      <c r="B402" s="5" t="n">
        <f aca="false">'Raw Data'!A402</f>
        <v>40330</v>
      </c>
      <c r="C402" s="6" t="n">
        <f aca="false">'Raw Data'!D402</f>
        <v>280.706847973304</v>
      </c>
      <c r="D402" s="6" t="n">
        <f aca="false">'Raw Data'!E402</f>
        <v>3.69</v>
      </c>
      <c r="E402" s="6" t="n">
        <f aca="false">'Raw Data'!F402</f>
        <v>1</v>
      </c>
      <c r="F402" s="6" t="n">
        <f aca="false">'Raw Data'!G402</f>
        <v>0</v>
      </c>
      <c r="G402" s="6" t="n">
        <f aca="false">'Raw Data'!H402</f>
        <v>0</v>
      </c>
      <c r="H402" s="6" t="n">
        <f aca="false">'Raw Data'!I402</f>
        <v>0</v>
      </c>
      <c r="I402" s="6" t="n">
        <f aca="false">'Raw Data'!J402</f>
        <v>0</v>
      </c>
      <c r="J402" s="6" t="n">
        <f aca="false">'Raw Data'!K402</f>
        <v>1</v>
      </c>
      <c r="K402" s="6" t="n">
        <f aca="false">'Raw Data'!L402</f>
        <v>5</v>
      </c>
      <c r="L402" s="6" t="n">
        <f aca="false">F402*E402</f>
        <v>0</v>
      </c>
      <c r="N402" s="0" t="n">
        <v>1</v>
      </c>
      <c r="O402" s="6" t="n">
        <f aca="false">D402</f>
        <v>3.69</v>
      </c>
      <c r="P402" s="6" t="n">
        <f aca="false">E402</f>
        <v>1</v>
      </c>
      <c r="Q402" s="6" t="n">
        <f aca="false">F402</f>
        <v>0</v>
      </c>
      <c r="R402" s="6" t="n">
        <f aca="false">G402</f>
        <v>0</v>
      </c>
      <c r="S402" s="6" t="n">
        <f aca="false">H402</f>
        <v>0</v>
      </c>
      <c r="T402" s="6" t="n">
        <f aca="false">I402</f>
        <v>0</v>
      </c>
      <c r="U402" s="6" t="n">
        <f aca="false">L402</f>
        <v>0</v>
      </c>
      <c r="W402" s="6" t="n">
        <f aca="false">D402</f>
        <v>3.69</v>
      </c>
      <c r="X402" s="6" t="n">
        <f aca="false">E402</f>
        <v>1</v>
      </c>
      <c r="Y402" s="6" t="n">
        <f aca="false">F402</f>
        <v>0</v>
      </c>
      <c r="Z402" s="6" t="n">
        <f aca="false">L402</f>
        <v>0</v>
      </c>
      <c r="AA402" s="6" t="n">
        <f aca="false">G402</f>
        <v>0</v>
      </c>
      <c r="AC402" s="6" t="n">
        <f aca="false">D402</f>
        <v>3.69</v>
      </c>
      <c r="AD402" s="6" t="n">
        <f aca="false">E402</f>
        <v>1</v>
      </c>
      <c r="AE402" s="6" t="n">
        <f aca="false">G402</f>
        <v>0</v>
      </c>
      <c r="AF402" s="6" t="n">
        <f aca="false">H402</f>
        <v>0</v>
      </c>
      <c r="AG402" s="6" t="n">
        <f aca="false">I402</f>
        <v>0</v>
      </c>
      <c r="AH402" s="6" t="n">
        <f aca="false">L402</f>
        <v>0</v>
      </c>
    </row>
    <row r="403" customFormat="false" ht="15" hidden="false" customHeight="false" outlineLevel="0" collapsed="false">
      <c r="A403" s="0" t="str">
        <f aca="false">'Raw Data'!C403</f>
        <v>Palatine</v>
      </c>
      <c r="B403" s="5" t="n">
        <f aca="false">'Raw Data'!A403</f>
        <v>40337</v>
      </c>
      <c r="C403" s="6" t="n">
        <f aca="false">'Raw Data'!D403</f>
        <v>220.513927647413</v>
      </c>
      <c r="D403" s="6" t="n">
        <f aca="false">'Raw Data'!E403</f>
        <v>3.805384615</v>
      </c>
      <c r="E403" s="6" t="n">
        <f aca="false">'Raw Data'!F403</f>
        <v>1</v>
      </c>
      <c r="F403" s="6" t="n">
        <f aca="false">'Raw Data'!G403</f>
        <v>0</v>
      </c>
      <c r="G403" s="6" t="n">
        <f aca="false">'Raw Data'!H403</f>
        <v>0</v>
      </c>
      <c r="H403" s="6" t="n">
        <f aca="false">'Raw Data'!I403</f>
        <v>0</v>
      </c>
      <c r="I403" s="6" t="n">
        <f aca="false">'Raw Data'!J403</f>
        <v>0</v>
      </c>
      <c r="J403" s="6" t="n">
        <f aca="false">'Raw Data'!K403</f>
        <v>1</v>
      </c>
      <c r="K403" s="6" t="n">
        <f aca="false">'Raw Data'!L403</f>
        <v>5</v>
      </c>
      <c r="L403" s="6" t="n">
        <f aca="false">F403*E403</f>
        <v>0</v>
      </c>
      <c r="N403" s="0" t="n">
        <v>1</v>
      </c>
      <c r="O403" s="6" t="n">
        <f aca="false">D403</f>
        <v>3.805384615</v>
      </c>
      <c r="P403" s="6" t="n">
        <f aca="false">E403</f>
        <v>1</v>
      </c>
      <c r="Q403" s="6" t="n">
        <f aca="false">F403</f>
        <v>0</v>
      </c>
      <c r="R403" s="6" t="n">
        <f aca="false">G403</f>
        <v>0</v>
      </c>
      <c r="S403" s="6" t="n">
        <f aca="false">H403</f>
        <v>0</v>
      </c>
      <c r="T403" s="6" t="n">
        <f aca="false">I403</f>
        <v>0</v>
      </c>
      <c r="U403" s="6" t="n">
        <f aca="false">L403</f>
        <v>0</v>
      </c>
      <c r="W403" s="6" t="n">
        <f aca="false">D403</f>
        <v>3.805384615</v>
      </c>
      <c r="X403" s="6" t="n">
        <f aca="false">E403</f>
        <v>1</v>
      </c>
      <c r="Y403" s="6" t="n">
        <f aca="false">F403</f>
        <v>0</v>
      </c>
      <c r="Z403" s="6" t="n">
        <f aca="false">L403</f>
        <v>0</v>
      </c>
      <c r="AA403" s="6" t="n">
        <f aca="false">G403</f>
        <v>0</v>
      </c>
      <c r="AC403" s="6" t="n">
        <f aca="false">D403</f>
        <v>3.805384615</v>
      </c>
      <c r="AD403" s="6" t="n">
        <f aca="false">E403</f>
        <v>1</v>
      </c>
      <c r="AE403" s="6" t="n">
        <f aca="false">G403</f>
        <v>0</v>
      </c>
      <c r="AF403" s="6" t="n">
        <f aca="false">H403</f>
        <v>0</v>
      </c>
      <c r="AG403" s="6" t="n">
        <f aca="false">I403</f>
        <v>0</v>
      </c>
      <c r="AH403" s="6" t="n">
        <f aca="false">L403</f>
        <v>0</v>
      </c>
    </row>
    <row r="404" customFormat="false" ht="15" hidden="false" customHeight="false" outlineLevel="0" collapsed="false">
      <c r="A404" s="0" t="str">
        <f aca="false">'Raw Data'!C404</f>
        <v>Palatine</v>
      </c>
      <c r="B404" s="5" t="n">
        <f aca="false">'Raw Data'!A404</f>
        <v>40344</v>
      </c>
      <c r="C404" s="6" t="n">
        <f aca="false">'Raw Data'!D404</f>
        <v>270.490918142541</v>
      </c>
      <c r="D404" s="6" t="n">
        <f aca="false">'Raw Data'!E404</f>
        <v>4.075714286</v>
      </c>
      <c r="E404" s="6" t="n">
        <f aca="false">'Raw Data'!F404</f>
        <v>1</v>
      </c>
      <c r="F404" s="6" t="n">
        <f aca="false">'Raw Data'!G404</f>
        <v>0</v>
      </c>
      <c r="G404" s="6" t="n">
        <f aca="false">'Raw Data'!H404</f>
        <v>0</v>
      </c>
      <c r="H404" s="6" t="n">
        <f aca="false">'Raw Data'!I404</f>
        <v>0</v>
      </c>
      <c r="I404" s="6" t="n">
        <f aca="false">'Raw Data'!J404</f>
        <v>0</v>
      </c>
      <c r="J404" s="6" t="n">
        <f aca="false">'Raw Data'!K404</f>
        <v>1</v>
      </c>
      <c r="K404" s="6" t="n">
        <f aca="false">'Raw Data'!L404</f>
        <v>5</v>
      </c>
      <c r="L404" s="6" t="n">
        <f aca="false">F404*E404</f>
        <v>0</v>
      </c>
      <c r="N404" s="0" t="n">
        <v>1</v>
      </c>
      <c r="O404" s="6" t="n">
        <f aca="false">D404</f>
        <v>4.075714286</v>
      </c>
      <c r="P404" s="6" t="n">
        <f aca="false">E404</f>
        <v>1</v>
      </c>
      <c r="Q404" s="6" t="n">
        <f aca="false">F404</f>
        <v>0</v>
      </c>
      <c r="R404" s="6" t="n">
        <f aca="false">G404</f>
        <v>0</v>
      </c>
      <c r="S404" s="6" t="n">
        <f aca="false">H404</f>
        <v>0</v>
      </c>
      <c r="T404" s="6" t="n">
        <f aca="false">I404</f>
        <v>0</v>
      </c>
      <c r="U404" s="6" t="n">
        <f aca="false">L404</f>
        <v>0</v>
      </c>
      <c r="W404" s="6" t="n">
        <f aca="false">D404</f>
        <v>4.075714286</v>
      </c>
      <c r="X404" s="6" t="n">
        <f aca="false">E404</f>
        <v>1</v>
      </c>
      <c r="Y404" s="6" t="n">
        <f aca="false">F404</f>
        <v>0</v>
      </c>
      <c r="Z404" s="6" t="n">
        <f aca="false">L404</f>
        <v>0</v>
      </c>
      <c r="AA404" s="6" t="n">
        <f aca="false">G404</f>
        <v>0</v>
      </c>
      <c r="AC404" s="6" t="n">
        <f aca="false">D404</f>
        <v>4.075714286</v>
      </c>
      <c r="AD404" s="6" t="n">
        <f aca="false">E404</f>
        <v>1</v>
      </c>
      <c r="AE404" s="6" t="n">
        <f aca="false">G404</f>
        <v>0</v>
      </c>
      <c r="AF404" s="6" t="n">
        <f aca="false">H404</f>
        <v>0</v>
      </c>
      <c r="AG404" s="6" t="n">
        <f aca="false">I404</f>
        <v>0</v>
      </c>
      <c r="AH404" s="6" t="n">
        <f aca="false">L404</f>
        <v>0</v>
      </c>
    </row>
    <row r="405" customFormat="false" ht="15" hidden="false" customHeight="false" outlineLevel="0" collapsed="false">
      <c r="A405" s="0" t="str">
        <f aca="false">'Raw Data'!C405</f>
        <v>Palatine</v>
      </c>
      <c r="B405" s="5" t="n">
        <f aca="false">'Raw Data'!A405</f>
        <v>40351</v>
      </c>
      <c r="C405" s="6" t="n">
        <f aca="false">'Raw Data'!D405</f>
        <v>350.243980726553</v>
      </c>
      <c r="D405" s="6" t="n">
        <f aca="false">'Raw Data'!E405</f>
        <v>3.818571429</v>
      </c>
      <c r="E405" s="6" t="n">
        <f aca="false">'Raw Data'!F405</f>
        <v>1</v>
      </c>
      <c r="F405" s="6" t="n">
        <f aca="false">'Raw Data'!G405</f>
        <v>0</v>
      </c>
      <c r="G405" s="6" t="n">
        <f aca="false">'Raw Data'!H405</f>
        <v>1</v>
      </c>
      <c r="H405" s="6" t="n">
        <f aca="false">'Raw Data'!I405</f>
        <v>0</v>
      </c>
      <c r="I405" s="6" t="n">
        <f aca="false">'Raw Data'!J405</f>
        <v>0</v>
      </c>
      <c r="J405" s="6" t="n">
        <f aca="false">'Raw Data'!K405</f>
        <v>1</v>
      </c>
      <c r="K405" s="6" t="n">
        <f aca="false">'Raw Data'!L405</f>
        <v>5</v>
      </c>
      <c r="L405" s="6" t="n">
        <f aca="false">F405*E405</f>
        <v>0</v>
      </c>
      <c r="N405" s="0" t="n">
        <v>1</v>
      </c>
      <c r="O405" s="6" t="n">
        <f aca="false">D405</f>
        <v>3.818571429</v>
      </c>
      <c r="P405" s="6" t="n">
        <f aca="false">E405</f>
        <v>1</v>
      </c>
      <c r="Q405" s="6" t="n">
        <f aca="false">F405</f>
        <v>0</v>
      </c>
      <c r="R405" s="6" t="n">
        <f aca="false">G405</f>
        <v>1</v>
      </c>
      <c r="S405" s="6" t="n">
        <f aca="false">H405</f>
        <v>0</v>
      </c>
      <c r="T405" s="6" t="n">
        <f aca="false">I405</f>
        <v>0</v>
      </c>
      <c r="U405" s="6" t="n">
        <f aca="false">L405</f>
        <v>0</v>
      </c>
      <c r="W405" s="6" t="n">
        <f aca="false">D405</f>
        <v>3.818571429</v>
      </c>
      <c r="X405" s="6" t="n">
        <f aca="false">E405</f>
        <v>1</v>
      </c>
      <c r="Y405" s="6" t="n">
        <f aca="false">F405</f>
        <v>0</v>
      </c>
      <c r="Z405" s="6" t="n">
        <f aca="false">L405</f>
        <v>0</v>
      </c>
      <c r="AA405" s="6" t="n">
        <f aca="false">G405</f>
        <v>1</v>
      </c>
      <c r="AC405" s="6" t="n">
        <f aca="false">D405</f>
        <v>3.818571429</v>
      </c>
      <c r="AD405" s="6" t="n">
        <f aca="false">E405</f>
        <v>1</v>
      </c>
      <c r="AE405" s="6" t="n">
        <f aca="false">G405</f>
        <v>1</v>
      </c>
      <c r="AF405" s="6" t="n">
        <f aca="false">H405</f>
        <v>0</v>
      </c>
      <c r="AG405" s="6" t="n">
        <f aca="false">I405</f>
        <v>0</v>
      </c>
      <c r="AH405" s="6" t="n">
        <f aca="false">L405</f>
        <v>0</v>
      </c>
    </row>
    <row r="406" customFormat="false" ht="15" hidden="false" customHeight="false" outlineLevel="0" collapsed="false">
      <c r="A406" s="0" t="str">
        <f aca="false">'Raw Data'!C406</f>
        <v>Palatine</v>
      </c>
      <c r="B406" s="5" t="n">
        <f aca="false">'Raw Data'!A406</f>
        <v>40358</v>
      </c>
      <c r="C406" s="6" t="n">
        <f aca="false">'Raw Data'!D406</f>
        <v>320.679215935782</v>
      </c>
      <c r="D406" s="6" t="n">
        <f aca="false">'Raw Data'!E406</f>
        <v>4.218571429</v>
      </c>
      <c r="E406" s="6" t="n">
        <f aca="false">'Raw Data'!F406</f>
        <v>1</v>
      </c>
      <c r="F406" s="6" t="n">
        <f aca="false">'Raw Data'!G406</f>
        <v>0</v>
      </c>
      <c r="G406" s="6" t="n">
        <f aca="false">'Raw Data'!H406</f>
        <v>0</v>
      </c>
      <c r="H406" s="6" t="n">
        <f aca="false">'Raw Data'!I406</f>
        <v>1</v>
      </c>
      <c r="I406" s="6" t="n">
        <f aca="false">'Raw Data'!J406</f>
        <v>0</v>
      </c>
      <c r="J406" s="6" t="n">
        <f aca="false">'Raw Data'!K406</f>
        <v>1</v>
      </c>
      <c r="K406" s="6" t="n">
        <f aca="false">'Raw Data'!L406</f>
        <v>5</v>
      </c>
      <c r="L406" s="6" t="n">
        <f aca="false">F406*E406</f>
        <v>0</v>
      </c>
      <c r="N406" s="0" t="n">
        <v>1</v>
      </c>
      <c r="O406" s="6" t="n">
        <f aca="false">D406</f>
        <v>4.218571429</v>
      </c>
      <c r="P406" s="6" t="n">
        <f aca="false">E406</f>
        <v>1</v>
      </c>
      <c r="Q406" s="6" t="n">
        <f aca="false">F406</f>
        <v>0</v>
      </c>
      <c r="R406" s="6" t="n">
        <f aca="false">G406</f>
        <v>0</v>
      </c>
      <c r="S406" s="6" t="n">
        <f aca="false">H406</f>
        <v>1</v>
      </c>
      <c r="T406" s="6" t="n">
        <f aca="false">I406</f>
        <v>0</v>
      </c>
      <c r="U406" s="6" t="n">
        <f aca="false">L406</f>
        <v>0</v>
      </c>
      <c r="W406" s="6" t="n">
        <f aca="false">D406</f>
        <v>4.218571429</v>
      </c>
      <c r="X406" s="6" t="n">
        <f aca="false">E406</f>
        <v>1</v>
      </c>
      <c r="Y406" s="6" t="n">
        <f aca="false">F406</f>
        <v>0</v>
      </c>
      <c r="Z406" s="6" t="n">
        <f aca="false">L406</f>
        <v>0</v>
      </c>
      <c r="AA406" s="6" t="n">
        <f aca="false">G406</f>
        <v>0</v>
      </c>
      <c r="AC406" s="6" t="n">
        <f aca="false">D406</f>
        <v>4.218571429</v>
      </c>
      <c r="AD406" s="6" t="n">
        <f aca="false">E406</f>
        <v>1</v>
      </c>
      <c r="AE406" s="6" t="n">
        <f aca="false">G406</f>
        <v>0</v>
      </c>
      <c r="AF406" s="6" t="n">
        <f aca="false">H406</f>
        <v>1</v>
      </c>
      <c r="AG406" s="6" t="n">
        <f aca="false">I406</f>
        <v>0</v>
      </c>
      <c r="AH406" s="6" t="n">
        <f aca="false">L406</f>
        <v>0</v>
      </c>
    </row>
    <row r="407" customFormat="false" ht="15" hidden="false" customHeight="false" outlineLevel="0" collapsed="false">
      <c r="A407" s="0" t="str">
        <f aca="false">'Raw Data'!C407</f>
        <v>Palatine</v>
      </c>
      <c r="B407" s="5" t="n">
        <f aca="false">'Raw Data'!A407</f>
        <v>40365</v>
      </c>
      <c r="C407" s="6" t="n">
        <f aca="false">'Raw Data'!D407</f>
        <v>270.877549387674</v>
      </c>
      <c r="D407" s="6" t="n">
        <f aca="false">'Raw Data'!E407</f>
        <v>3.737857143</v>
      </c>
      <c r="E407" s="6" t="n">
        <f aca="false">'Raw Data'!F407</f>
        <v>1</v>
      </c>
      <c r="F407" s="6" t="n">
        <f aca="false">'Raw Data'!G407</f>
        <v>0</v>
      </c>
      <c r="G407" s="6" t="n">
        <f aca="false">'Raw Data'!H407</f>
        <v>0</v>
      </c>
      <c r="H407" s="6" t="n">
        <f aca="false">'Raw Data'!I407</f>
        <v>1</v>
      </c>
      <c r="I407" s="6" t="n">
        <f aca="false">'Raw Data'!J407</f>
        <v>0</v>
      </c>
      <c r="J407" s="6" t="n">
        <f aca="false">'Raw Data'!K407</f>
        <v>1</v>
      </c>
      <c r="K407" s="6" t="n">
        <f aca="false">'Raw Data'!L407</f>
        <v>5</v>
      </c>
      <c r="L407" s="6" t="n">
        <f aca="false">F407*E407</f>
        <v>0</v>
      </c>
      <c r="N407" s="0" t="n">
        <v>1</v>
      </c>
      <c r="O407" s="6" t="n">
        <f aca="false">D407</f>
        <v>3.737857143</v>
      </c>
      <c r="P407" s="6" t="n">
        <f aca="false">E407</f>
        <v>1</v>
      </c>
      <c r="Q407" s="6" t="n">
        <f aca="false">F407</f>
        <v>0</v>
      </c>
      <c r="R407" s="6" t="n">
        <f aca="false">G407</f>
        <v>0</v>
      </c>
      <c r="S407" s="6" t="n">
        <f aca="false">H407</f>
        <v>1</v>
      </c>
      <c r="T407" s="6" t="n">
        <f aca="false">I407</f>
        <v>0</v>
      </c>
      <c r="U407" s="6" t="n">
        <f aca="false">L407</f>
        <v>0</v>
      </c>
      <c r="W407" s="6" t="n">
        <f aca="false">D407</f>
        <v>3.737857143</v>
      </c>
      <c r="X407" s="6" t="n">
        <f aca="false">E407</f>
        <v>1</v>
      </c>
      <c r="Y407" s="6" t="n">
        <f aca="false">F407</f>
        <v>0</v>
      </c>
      <c r="Z407" s="6" t="n">
        <f aca="false">L407</f>
        <v>0</v>
      </c>
      <c r="AA407" s="6" t="n">
        <f aca="false">G407</f>
        <v>0</v>
      </c>
      <c r="AC407" s="6" t="n">
        <f aca="false">D407</f>
        <v>3.737857143</v>
      </c>
      <c r="AD407" s="6" t="n">
        <f aca="false">E407</f>
        <v>1</v>
      </c>
      <c r="AE407" s="6" t="n">
        <f aca="false">G407</f>
        <v>0</v>
      </c>
      <c r="AF407" s="6" t="n">
        <f aca="false">H407</f>
        <v>1</v>
      </c>
      <c r="AG407" s="6" t="n">
        <f aca="false">I407</f>
        <v>0</v>
      </c>
      <c r="AH407" s="6" t="n">
        <f aca="false">L407</f>
        <v>0</v>
      </c>
    </row>
    <row r="408" customFormat="false" ht="15" hidden="false" customHeight="false" outlineLevel="0" collapsed="false">
      <c r="A408" s="0" t="str">
        <f aca="false">'Raw Data'!C408</f>
        <v>Palatine</v>
      </c>
      <c r="B408" s="5" t="n">
        <f aca="false">'Raw Data'!A408</f>
        <v>40372</v>
      </c>
      <c r="C408" s="6" t="n">
        <f aca="false">'Raw Data'!D408</f>
        <v>373.011997985366</v>
      </c>
      <c r="D408" s="6" t="n">
        <f aca="false">'Raw Data'!E408</f>
        <v>3.441538462</v>
      </c>
      <c r="E408" s="6" t="n">
        <f aca="false">'Raw Data'!F408</f>
        <v>1</v>
      </c>
      <c r="F408" s="6" t="n">
        <f aca="false">'Raw Data'!G408</f>
        <v>0</v>
      </c>
      <c r="G408" s="6" t="n">
        <f aca="false">'Raw Data'!H408</f>
        <v>0</v>
      </c>
      <c r="H408" s="6" t="n">
        <f aca="false">'Raw Data'!I408</f>
        <v>1</v>
      </c>
      <c r="I408" s="6" t="n">
        <f aca="false">'Raw Data'!J408</f>
        <v>0</v>
      </c>
      <c r="J408" s="6" t="n">
        <f aca="false">'Raw Data'!K408</f>
        <v>1</v>
      </c>
      <c r="K408" s="6" t="n">
        <f aca="false">'Raw Data'!L408</f>
        <v>5</v>
      </c>
      <c r="L408" s="6" t="n">
        <f aca="false">F408*E408</f>
        <v>0</v>
      </c>
      <c r="N408" s="0" t="n">
        <v>1</v>
      </c>
      <c r="O408" s="6" t="n">
        <f aca="false">D408</f>
        <v>3.441538462</v>
      </c>
      <c r="P408" s="6" t="n">
        <f aca="false">E408</f>
        <v>1</v>
      </c>
      <c r="Q408" s="6" t="n">
        <f aca="false">F408</f>
        <v>0</v>
      </c>
      <c r="R408" s="6" t="n">
        <f aca="false">G408</f>
        <v>0</v>
      </c>
      <c r="S408" s="6" t="n">
        <f aca="false">H408</f>
        <v>1</v>
      </c>
      <c r="T408" s="6" t="n">
        <f aca="false">I408</f>
        <v>0</v>
      </c>
      <c r="U408" s="6" t="n">
        <f aca="false">L408</f>
        <v>0</v>
      </c>
      <c r="W408" s="6" t="n">
        <f aca="false">D408</f>
        <v>3.441538462</v>
      </c>
      <c r="X408" s="6" t="n">
        <f aca="false">E408</f>
        <v>1</v>
      </c>
      <c r="Y408" s="6" t="n">
        <f aca="false">F408</f>
        <v>0</v>
      </c>
      <c r="Z408" s="6" t="n">
        <f aca="false">L408</f>
        <v>0</v>
      </c>
      <c r="AA408" s="6" t="n">
        <f aca="false">G408</f>
        <v>0</v>
      </c>
      <c r="AC408" s="6" t="n">
        <f aca="false">D408</f>
        <v>3.441538462</v>
      </c>
      <c r="AD408" s="6" t="n">
        <f aca="false">E408</f>
        <v>1</v>
      </c>
      <c r="AE408" s="6" t="n">
        <f aca="false">G408</f>
        <v>0</v>
      </c>
      <c r="AF408" s="6" t="n">
        <f aca="false">H408</f>
        <v>1</v>
      </c>
      <c r="AG408" s="6" t="n">
        <f aca="false">I408</f>
        <v>0</v>
      </c>
      <c r="AH408" s="6" t="n">
        <f aca="false">L408</f>
        <v>0</v>
      </c>
    </row>
    <row r="409" customFormat="false" ht="15" hidden="false" customHeight="false" outlineLevel="0" collapsed="false">
      <c r="A409" s="0" t="str">
        <f aca="false">'Raw Data'!C409</f>
        <v>Regency (aka Omaha)</v>
      </c>
      <c r="B409" s="5" t="n">
        <f aca="false">'Raw Data'!A409</f>
        <v>40302</v>
      </c>
      <c r="C409" s="6" t="n">
        <f aca="false">'Raw Data'!D409</f>
        <v>180.494897078321</v>
      </c>
      <c r="D409" s="6" t="n">
        <f aca="false">'Raw Data'!E409</f>
        <v>3.83</v>
      </c>
      <c r="E409" s="6" t="n">
        <f aca="false">'Raw Data'!F409</f>
        <v>1</v>
      </c>
      <c r="F409" s="6" t="n">
        <f aca="false">'Raw Data'!G409</f>
        <v>0</v>
      </c>
      <c r="G409" s="6" t="n">
        <f aca="false">'Raw Data'!H409</f>
        <v>0</v>
      </c>
      <c r="H409" s="6" t="n">
        <f aca="false">'Raw Data'!I409</f>
        <v>0</v>
      </c>
      <c r="I409" s="6" t="n">
        <f aca="false">'Raw Data'!J409</f>
        <v>0</v>
      </c>
      <c r="J409" s="6" t="n">
        <f aca="false">'Raw Data'!K409</f>
        <v>3</v>
      </c>
      <c r="K409" s="6" t="n">
        <f aca="false">'Raw Data'!L409</f>
        <v>5</v>
      </c>
      <c r="L409" s="6" t="n">
        <f aca="false">F409*E409</f>
        <v>0</v>
      </c>
      <c r="N409" s="0" t="n">
        <v>1</v>
      </c>
      <c r="O409" s="6" t="n">
        <f aca="false">D409</f>
        <v>3.83</v>
      </c>
      <c r="P409" s="6" t="n">
        <f aca="false">E409</f>
        <v>1</v>
      </c>
      <c r="Q409" s="6" t="n">
        <f aca="false">F409</f>
        <v>0</v>
      </c>
      <c r="R409" s="6" t="n">
        <f aca="false">G409</f>
        <v>0</v>
      </c>
      <c r="S409" s="6" t="n">
        <f aca="false">H409</f>
        <v>0</v>
      </c>
      <c r="T409" s="6" t="n">
        <f aca="false">I409</f>
        <v>0</v>
      </c>
      <c r="U409" s="6" t="n">
        <f aca="false">L409</f>
        <v>0</v>
      </c>
      <c r="W409" s="6" t="n">
        <f aca="false">D409</f>
        <v>3.83</v>
      </c>
      <c r="X409" s="6" t="n">
        <f aca="false">E409</f>
        <v>1</v>
      </c>
      <c r="Y409" s="6" t="n">
        <f aca="false">F409</f>
        <v>0</v>
      </c>
      <c r="Z409" s="6" t="n">
        <f aca="false">L409</f>
        <v>0</v>
      </c>
      <c r="AA409" s="6" t="n">
        <f aca="false">G409</f>
        <v>0</v>
      </c>
      <c r="AC409" s="6" t="n">
        <f aca="false">D409</f>
        <v>3.83</v>
      </c>
      <c r="AD409" s="6" t="n">
        <f aca="false">E409</f>
        <v>1</v>
      </c>
      <c r="AE409" s="6" t="n">
        <f aca="false">G409</f>
        <v>0</v>
      </c>
      <c r="AF409" s="6" t="n">
        <f aca="false">H409</f>
        <v>0</v>
      </c>
      <c r="AG409" s="6" t="n">
        <f aca="false">I409</f>
        <v>0</v>
      </c>
      <c r="AH409" s="6" t="n">
        <f aca="false">L409</f>
        <v>0</v>
      </c>
    </row>
    <row r="410" customFormat="false" ht="15" hidden="false" customHeight="false" outlineLevel="0" collapsed="false">
      <c r="A410" s="0" t="str">
        <f aca="false">'Raw Data'!C410</f>
        <v>Regency (aka Omaha)</v>
      </c>
      <c r="B410" s="5" t="n">
        <f aca="false">'Raw Data'!A410</f>
        <v>40309</v>
      </c>
      <c r="C410" s="6" t="n">
        <f aca="false">'Raw Data'!D410</f>
        <v>224.6308315925</v>
      </c>
      <c r="D410" s="6" t="n">
        <f aca="false">'Raw Data'!E410</f>
        <v>3.774615385</v>
      </c>
      <c r="E410" s="6" t="n">
        <f aca="false">'Raw Data'!F410</f>
        <v>1</v>
      </c>
      <c r="F410" s="6" t="n">
        <f aca="false">'Raw Data'!G410</f>
        <v>0</v>
      </c>
      <c r="G410" s="6" t="n">
        <f aca="false">'Raw Data'!H410</f>
        <v>0</v>
      </c>
      <c r="H410" s="6" t="n">
        <f aca="false">'Raw Data'!I410</f>
        <v>0</v>
      </c>
      <c r="I410" s="6" t="n">
        <f aca="false">'Raw Data'!J410</f>
        <v>0</v>
      </c>
      <c r="J410" s="6" t="n">
        <f aca="false">'Raw Data'!K410</f>
        <v>3</v>
      </c>
      <c r="K410" s="6" t="n">
        <f aca="false">'Raw Data'!L410</f>
        <v>5</v>
      </c>
      <c r="L410" s="6" t="n">
        <f aca="false">F410*E410</f>
        <v>0</v>
      </c>
      <c r="N410" s="0" t="n">
        <v>1</v>
      </c>
      <c r="O410" s="6" t="n">
        <f aca="false">D410</f>
        <v>3.774615385</v>
      </c>
      <c r="P410" s="6" t="n">
        <f aca="false">E410</f>
        <v>1</v>
      </c>
      <c r="Q410" s="6" t="n">
        <f aca="false">F410</f>
        <v>0</v>
      </c>
      <c r="R410" s="6" t="n">
        <f aca="false">G410</f>
        <v>0</v>
      </c>
      <c r="S410" s="6" t="n">
        <f aca="false">H410</f>
        <v>0</v>
      </c>
      <c r="T410" s="6" t="n">
        <f aca="false">I410</f>
        <v>0</v>
      </c>
      <c r="U410" s="6" t="n">
        <f aca="false">L410</f>
        <v>0</v>
      </c>
      <c r="W410" s="6" t="n">
        <f aca="false">D410</f>
        <v>3.774615385</v>
      </c>
      <c r="X410" s="6" t="n">
        <f aca="false">E410</f>
        <v>1</v>
      </c>
      <c r="Y410" s="6" t="n">
        <f aca="false">F410</f>
        <v>0</v>
      </c>
      <c r="Z410" s="6" t="n">
        <f aca="false">L410</f>
        <v>0</v>
      </c>
      <c r="AA410" s="6" t="n">
        <f aca="false">G410</f>
        <v>0</v>
      </c>
      <c r="AC410" s="6" t="n">
        <f aca="false">D410</f>
        <v>3.774615385</v>
      </c>
      <c r="AD410" s="6" t="n">
        <f aca="false">E410</f>
        <v>1</v>
      </c>
      <c r="AE410" s="6" t="n">
        <f aca="false">G410</f>
        <v>0</v>
      </c>
      <c r="AF410" s="6" t="n">
        <f aca="false">H410</f>
        <v>0</v>
      </c>
      <c r="AG410" s="6" t="n">
        <f aca="false">I410</f>
        <v>0</v>
      </c>
      <c r="AH410" s="6" t="n">
        <f aca="false">L410</f>
        <v>0</v>
      </c>
    </row>
    <row r="411" customFormat="false" ht="15" hidden="false" customHeight="false" outlineLevel="0" collapsed="false">
      <c r="A411" s="0" t="str">
        <f aca="false">'Raw Data'!C411</f>
        <v>Regency (aka Omaha)</v>
      </c>
      <c r="B411" s="5" t="n">
        <f aca="false">'Raw Data'!A411</f>
        <v>40316</v>
      </c>
      <c r="C411" s="6" t="n">
        <f aca="false">'Raw Data'!D411</f>
        <v>213.235842842785</v>
      </c>
      <c r="D411" s="6" t="n">
        <f aca="false">'Raw Data'!E411</f>
        <v>3.604285714</v>
      </c>
      <c r="E411" s="6" t="n">
        <f aca="false">'Raw Data'!F411</f>
        <v>1</v>
      </c>
      <c r="F411" s="6" t="n">
        <f aca="false">'Raw Data'!G411</f>
        <v>0</v>
      </c>
      <c r="G411" s="6" t="n">
        <f aca="false">'Raw Data'!H411</f>
        <v>0</v>
      </c>
      <c r="H411" s="6" t="n">
        <f aca="false">'Raw Data'!I411</f>
        <v>0</v>
      </c>
      <c r="I411" s="6" t="n">
        <f aca="false">'Raw Data'!J411</f>
        <v>0</v>
      </c>
      <c r="J411" s="6" t="n">
        <f aca="false">'Raw Data'!K411</f>
        <v>3</v>
      </c>
      <c r="K411" s="6" t="n">
        <f aca="false">'Raw Data'!L411</f>
        <v>5</v>
      </c>
      <c r="L411" s="6" t="n">
        <f aca="false">F411*E411</f>
        <v>0</v>
      </c>
      <c r="N411" s="0" t="n">
        <v>1</v>
      </c>
      <c r="O411" s="6" t="n">
        <f aca="false">D411</f>
        <v>3.604285714</v>
      </c>
      <c r="P411" s="6" t="n">
        <f aca="false">E411</f>
        <v>1</v>
      </c>
      <c r="Q411" s="6" t="n">
        <f aca="false">F411</f>
        <v>0</v>
      </c>
      <c r="R411" s="6" t="n">
        <f aca="false">G411</f>
        <v>0</v>
      </c>
      <c r="S411" s="6" t="n">
        <f aca="false">H411</f>
        <v>0</v>
      </c>
      <c r="T411" s="6" t="n">
        <f aca="false">I411</f>
        <v>0</v>
      </c>
      <c r="U411" s="6" t="n">
        <f aca="false">L411</f>
        <v>0</v>
      </c>
      <c r="W411" s="6" t="n">
        <f aca="false">D411</f>
        <v>3.604285714</v>
      </c>
      <c r="X411" s="6" t="n">
        <f aca="false">E411</f>
        <v>1</v>
      </c>
      <c r="Y411" s="6" t="n">
        <f aca="false">F411</f>
        <v>0</v>
      </c>
      <c r="Z411" s="6" t="n">
        <f aca="false">L411</f>
        <v>0</v>
      </c>
      <c r="AA411" s="6" t="n">
        <f aca="false">G411</f>
        <v>0</v>
      </c>
      <c r="AC411" s="6" t="n">
        <f aca="false">D411</f>
        <v>3.604285714</v>
      </c>
      <c r="AD411" s="6" t="n">
        <f aca="false">E411</f>
        <v>1</v>
      </c>
      <c r="AE411" s="6" t="n">
        <f aca="false">G411</f>
        <v>0</v>
      </c>
      <c r="AF411" s="6" t="n">
        <f aca="false">H411</f>
        <v>0</v>
      </c>
      <c r="AG411" s="6" t="n">
        <f aca="false">I411</f>
        <v>0</v>
      </c>
      <c r="AH411" s="6" t="n">
        <f aca="false">L411</f>
        <v>0</v>
      </c>
    </row>
    <row r="412" customFormat="false" ht="15" hidden="false" customHeight="false" outlineLevel="0" collapsed="false">
      <c r="A412" s="0" t="str">
        <f aca="false">'Raw Data'!C412</f>
        <v>Regency (aka Omaha)</v>
      </c>
      <c r="B412" s="5" t="n">
        <f aca="false">'Raw Data'!A412</f>
        <v>40323</v>
      </c>
      <c r="C412" s="6" t="n">
        <f aca="false">'Raw Data'!D412</f>
        <v>184.028516502573</v>
      </c>
      <c r="D412" s="6" t="n">
        <f aca="false">'Raw Data'!E412</f>
        <v>3.543846154</v>
      </c>
      <c r="E412" s="6" t="n">
        <f aca="false">'Raw Data'!F412</f>
        <v>1</v>
      </c>
      <c r="F412" s="6" t="n">
        <f aca="false">'Raw Data'!G412</f>
        <v>0</v>
      </c>
      <c r="G412" s="6" t="n">
        <f aca="false">'Raw Data'!H412</f>
        <v>0</v>
      </c>
      <c r="H412" s="6" t="n">
        <f aca="false">'Raw Data'!I412</f>
        <v>0</v>
      </c>
      <c r="I412" s="6" t="n">
        <f aca="false">'Raw Data'!J412</f>
        <v>0</v>
      </c>
      <c r="J412" s="6" t="n">
        <f aca="false">'Raw Data'!K412</f>
        <v>3</v>
      </c>
      <c r="K412" s="6" t="n">
        <f aca="false">'Raw Data'!L412</f>
        <v>5</v>
      </c>
      <c r="L412" s="6" t="n">
        <f aca="false">F412*E412</f>
        <v>0</v>
      </c>
      <c r="N412" s="0" t="n">
        <v>1</v>
      </c>
      <c r="O412" s="6" t="n">
        <f aca="false">D412</f>
        <v>3.543846154</v>
      </c>
      <c r="P412" s="6" t="n">
        <f aca="false">E412</f>
        <v>1</v>
      </c>
      <c r="Q412" s="6" t="n">
        <f aca="false">F412</f>
        <v>0</v>
      </c>
      <c r="R412" s="6" t="n">
        <f aca="false">G412</f>
        <v>0</v>
      </c>
      <c r="S412" s="6" t="n">
        <f aca="false">H412</f>
        <v>0</v>
      </c>
      <c r="T412" s="6" t="n">
        <f aca="false">I412</f>
        <v>0</v>
      </c>
      <c r="U412" s="6" t="n">
        <f aca="false">L412</f>
        <v>0</v>
      </c>
      <c r="W412" s="6" t="n">
        <f aca="false">D412</f>
        <v>3.543846154</v>
      </c>
      <c r="X412" s="6" t="n">
        <f aca="false">E412</f>
        <v>1</v>
      </c>
      <c r="Y412" s="6" t="n">
        <f aca="false">F412</f>
        <v>0</v>
      </c>
      <c r="Z412" s="6" t="n">
        <f aca="false">L412</f>
        <v>0</v>
      </c>
      <c r="AA412" s="6" t="n">
        <f aca="false">G412</f>
        <v>0</v>
      </c>
      <c r="AC412" s="6" t="n">
        <f aca="false">D412</f>
        <v>3.543846154</v>
      </c>
      <c r="AD412" s="6" t="n">
        <f aca="false">E412</f>
        <v>1</v>
      </c>
      <c r="AE412" s="6" t="n">
        <f aca="false">G412</f>
        <v>0</v>
      </c>
      <c r="AF412" s="6" t="n">
        <f aca="false">H412</f>
        <v>0</v>
      </c>
      <c r="AG412" s="6" t="n">
        <f aca="false">I412</f>
        <v>0</v>
      </c>
      <c r="AH412" s="6" t="n">
        <f aca="false">L412</f>
        <v>0</v>
      </c>
    </row>
    <row r="413" customFormat="false" ht="15" hidden="false" customHeight="false" outlineLevel="0" collapsed="false">
      <c r="A413" s="0" t="str">
        <f aca="false">'Raw Data'!C413</f>
        <v>Regency (aka Omaha)</v>
      </c>
      <c r="B413" s="5" t="n">
        <f aca="false">'Raw Data'!A413</f>
        <v>40330</v>
      </c>
      <c r="C413" s="6" t="n">
        <f aca="false">'Raw Data'!D413</f>
        <v>264.334649689939</v>
      </c>
      <c r="D413" s="6" t="n">
        <f aca="false">'Raw Data'!E413</f>
        <v>3.64</v>
      </c>
      <c r="E413" s="6" t="n">
        <f aca="false">'Raw Data'!F413</f>
        <v>1</v>
      </c>
      <c r="F413" s="6" t="n">
        <f aca="false">'Raw Data'!G413</f>
        <v>0</v>
      </c>
      <c r="G413" s="6" t="n">
        <f aca="false">'Raw Data'!H413</f>
        <v>0</v>
      </c>
      <c r="H413" s="6" t="n">
        <f aca="false">'Raw Data'!I413</f>
        <v>0</v>
      </c>
      <c r="I413" s="6" t="n">
        <f aca="false">'Raw Data'!J413</f>
        <v>0</v>
      </c>
      <c r="J413" s="6" t="n">
        <f aca="false">'Raw Data'!K413</f>
        <v>3</v>
      </c>
      <c r="K413" s="6" t="n">
        <f aca="false">'Raw Data'!L413</f>
        <v>5</v>
      </c>
      <c r="L413" s="6" t="n">
        <f aca="false">F413*E413</f>
        <v>0</v>
      </c>
      <c r="N413" s="0" t="n">
        <v>1</v>
      </c>
      <c r="O413" s="6" t="n">
        <f aca="false">D413</f>
        <v>3.64</v>
      </c>
      <c r="P413" s="6" t="n">
        <f aca="false">E413</f>
        <v>1</v>
      </c>
      <c r="Q413" s="6" t="n">
        <f aca="false">F413</f>
        <v>0</v>
      </c>
      <c r="R413" s="6" t="n">
        <f aca="false">G413</f>
        <v>0</v>
      </c>
      <c r="S413" s="6" t="n">
        <f aca="false">H413</f>
        <v>0</v>
      </c>
      <c r="T413" s="6" t="n">
        <f aca="false">I413</f>
        <v>0</v>
      </c>
      <c r="U413" s="6" t="n">
        <f aca="false">L413</f>
        <v>0</v>
      </c>
      <c r="W413" s="6" t="n">
        <f aca="false">D413</f>
        <v>3.64</v>
      </c>
      <c r="X413" s="6" t="n">
        <f aca="false">E413</f>
        <v>1</v>
      </c>
      <c r="Y413" s="6" t="n">
        <f aca="false">F413</f>
        <v>0</v>
      </c>
      <c r="Z413" s="6" t="n">
        <f aca="false">L413</f>
        <v>0</v>
      </c>
      <c r="AA413" s="6" t="n">
        <f aca="false">G413</f>
        <v>0</v>
      </c>
      <c r="AC413" s="6" t="n">
        <f aca="false">D413</f>
        <v>3.64</v>
      </c>
      <c r="AD413" s="6" t="n">
        <f aca="false">E413</f>
        <v>1</v>
      </c>
      <c r="AE413" s="6" t="n">
        <f aca="false">G413</f>
        <v>0</v>
      </c>
      <c r="AF413" s="6" t="n">
        <f aca="false">H413</f>
        <v>0</v>
      </c>
      <c r="AG413" s="6" t="n">
        <f aca="false">I413</f>
        <v>0</v>
      </c>
      <c r="AH413" s="6" t="n">
        <f aca="false">L413</f>
        <v>0</v>
      </c>
    </row>
    <row r="414" customFormat="false" ht="15" hidden="false" customHeight="false" outlineLevel="0" collapsed="false">
      <c r="A414" s="0" t="str">
        <f aca="false">'Raw Data'!C414</f>
        <v>Regency (aka Omaha)</v>
      </c>
      <c r="B414" s="5" t="n">
        <f aca="false">'Raw Data'!A414</f>
        <v>40337</v>
      </c>
      <c r="C414" s="6" t="n">
        <f aca="false">'Raw Data'!D414</f>
        <v>239.648475958295</v>
      </c>
      <c r="D414" s="6" t="n">
        <f aca="false">'Raw Data'!E414</f>
        <v>3.844545455</v>
      </c>
      <c r="E414" s="6" t="n">
        <f aca="false">'Raw Data'!F414</f>
        <v>1</v>
      </c>
      <c r="F414" s="6" t="n">
        <f aca="false">'Raw Data'!G414</f>
        <v>0</v>
      </c>
      <c r="G414" s="6" t="n">
        <f aca="false">'Raw Data'!H414</f>
        <v>0</v>
      </c>
      <c r="H414" s="6" t="n">
        <f aca="false">'Raw Data'!I414</f>
        <v>0</v>
      </c>
      <c r="I414" s="6" t="n">
        <f aca="false">'Raw Data'!J414</f>
        <v>0</v>
      </c>
      <c r="J414" s="6" t="n">
        <f aca="false">'Raw Data'!K414</f>
        <v>3</v>
      </c>
      <c r="K414" s="6" t="n">
        <f aca="false">'Raw Data'!L414</f>
        <v>5</v>
      </c>
      <c r="L414" s="6" t="n">
        <f aca="false">F414*E414</f>
        <v>0</v>
      </c>
      <c r="N414" s="0" t="n">
        <v>1</v>
      </c>
      <c r="O414" s="6" t="n">
        <f aca="false">D414</f>
        <v>3.844545455</v>
      </c>
      <c r="P414" s="6" t="n">
        <f aca="false">E414</f>
        <v>1</v>
      </c>
      <c r="Q414" s="6" t="n">
        <f aca="false">F414</f>
        <v>0</v>
      </c>
      <c r="R414" s="6" t="n">
        <f aca="false">G414</f>
        <v>0</v>
      </c>
      <c r="S414" s="6" t="n">
        <f aca="false">H414</f>
        <v>0</v>
      </c>
      <c r="T414" s="6" t="n">
        <f aca="false">I414</f>
        <v>0</v>
      </c>
      <c r="U414" s="6" t="n">
        <f aca="false">L414</f>
        <v>0</v>
      </c>
      <c r="W414" s="6" t="n">
        <f aca="false">D414</f>
        <v>3.844545455</v>
      </c>
      <c r="X414" s="6" t="n">
        <f aca="false">E414</f>
        <v>1</v>
      </c>
      <c r="Y414" s="6" t="n">
        <f aca="false">F414</f>
        <v>0</v>
      </c>
      <c r="Z414" s="6" t="n">
        <f aca="false">L414</f>
        <v>0</v>
      </c>
      <c r="AA414" s="6" t="n">
        <f aca="false">G414</f>
        <v>0</v>
      </c>
      <c r="AC414" s="6" t="n">
        <f aca="false">D414</f>
        <v>3.844545455</v>
      </c>
      <c r="AD414" s="6" t="n">
        <f aca="false">E414</f>
        <v>1</v>
      </c>
      <c r="AE414" s="6" t="n">
        <f aca="false">G414</f>
        <v>0</v>
      </c>
      <c r="AF414" s="6" t="n">
        <f aca="false">H414</f>
        <v>0</v>
      </c>
      <c r="AG414" s="6" t="n">
        <f aca="false">I414</f>
        <v>0</v>
      </c>
      <c r="AH414" s="6" t="n">
        <f aca="false">L414</f>
        <v>0</v>
      </c>
    </row>
    <row r="415" customFormat="false" ht="15" hidden="false" customHeight="false" outlineLevel="0" collapsed="false">
      <c r="A415" s="0" t="str">
        <f aca="false">'Raw Data'!C415</f>
        <v>Regency (aka Omaha)</v>
      </c>
      <c r="B415" s="5" t="n">
        <f aca="false">'Raw Data'!A415</f>
        <v>40344</v>
      </c>
      <c r="C415" s="6" t="n">
        <f aca="false">'Raw Data'!D415</f>
        <v>334.020794542775</v>
      </c>
      <c r="D415" s="6" t="n">
        <f aca="false">'Raw Data'!E415</f>
        <v>3.79</v>
      </c>
      <c r="E415" s="6" t="n">
        <f aca="false">'Raw Data'!F415</f>
        <v>1</v>
      </c>
      <c r="F415" s="6" t="n">
        <f aca="false">'Raw Data'!G415</f>
        <v>0</v>
      </c>
      <c r="G415" s="6" t="n">
        <f aca="false">'Raw Data'!H415</f>
        <v>0</v>
      </c>
      <c r="H415" s="6" t="n">
        <f aca="false">'Raw Data'!I415</f>
        <v>0</v>
      </c>
      <c r="I415" s="6" t="n">
        <f aca="false">'Raw Data'!J415</f>
        <v>0</v>
      </c>
      <c r="J415" s="6" t="n">
        <f aca="false">'Raw Data'!K415</f>
        <v>3</v>
      </c>
      <c r="K415" s="6" t="n">
        <f aca="false">'Raw Data'!L415</f>
        <v>5</v>
      </c>
      <c r="L415" s="6" t="n">
        <f aca="false">F415*E415</f>
        <v>0</v>
      </c>
      <c r="N415" s="0" t="n">
        <v>1</v>
      </c>
      <c r="O415" s="6" t="n">
        <f aca="false">D415</f>
        <v>3.79</v>
      </c>
      <c r="P415" s="6" t="n">
        <f aca="false">E415</f>
        <v>1</v>
      </c>
      <c r="Q415" s="6" t="n">
        <f aca="false">F415</f>
        <v>0</v>
      </c>
      <c r="R415" s="6" t="n">
        <f aca="false">G415</f>
        <v>0</v>
      </c>
      <c r="S415" s="6" t="n">
        <f aca="false">H415</f>
        <v>0</v>
      </c>
      <c r="T415" s="6" t="n">
        <f aca="false">I415</f>
        <v>0</v>
      </c>
      <c r="U415" s="6" t="n">
        <f aca="false">L415</f>
        <v>0</v>
      </c>
      <c r="W415" s="6" t="n">
        <f aca="false">D415</f>
        <v>3.79</v>
      </c>
      <c r="X415" s="6" t="n">
        <f aca="false">E415</f>
        <v>1</v>
      </c>
      <c r="Y415" s="6" t="n">
        <f aca="false">F415</f>
        <v>0</v>
      </c>
      <c r="Z415" s="6" t="n">
        <f aca="false">L415</f>
        <v>0</v>
      </c>
      <c r="AA415" s="6" t="n">
        <f aca="false">G415</f>
        <v>0</v>
      </c>
      <c r="AC415" s="6" t="n">
        <f aca="false">D415</f>
        <v>3.79</v>
      </c>
      <c r="AD415" s="6" t="n">
        <f aca="false">E415</f>
        <v>1</v>
      </c>
      <c r="AE415" s="6" t="n">
        <f aca="false">G415</f>
        <v>0</v>
      </c>
      <c r="AF415" s="6" t="n">
        <f aca="false">H415</f>
        <v>0</v>
      </c>
      <c r="AG415" s="6" t="n">
        <f aca="false">I415</f>
        <v>0</v>
      </c>
      <c r="AH415" s="6" t="n">
        <f aca="false">L415</f>
        <v>0</v>
      </c>
    </row>
    <row r="416" customFormat="false" ht="15" hidden="false" customHeight="false" outlineLevel="0" collapsed="false">
      <c r="A416" s="0" t="str">
        <f aca="false">'Raw Data'!C416</f>
        <v>Regency (aka Omaha)</v>
      </c>
      <c r="B416" s="5" t="n">
        <f aca="false">'Raw Data'!A416</f>
        <v>40351</v>
      </c>
      <c r="C416" s="6" t="n">
        <f aca="false">'Raw Data'!D416</f>
        <v>203.48298985189</v>
      </c>
      <c r="D416" s="6" t="n">
        <f aca="false">'Raw Data'!E416</f>
        <v>3.774615385</v>
      </c>
      <c r="E416" s="6" t="n">
        <f aca="false">'Raw Data'!F416</f>
        <v>1</v>
      </c>
      <c r="F416" s="6" t="n">
        <f aca="false">'Raw Data'!G416</f>
        <v>0</v>
      </c>
      <c r="G416" s="6" t="n">
        <f aca="false">'Raw Data'!H416</f>
        <v>0</v>
      </c>
      <c r="H416" s="6" t="n">
        <f aca="false">'Raw Data'!I416</f>
        <v>0</v>
      </c>
      <c r="I416" s="6" t="n">
        <f aca="false">'Raw Data'!J416</f>
        <v>0</v>
      </c>
      <c r="J416" s="6" t="n">
        <f aca="false">'Raw Data'!K416</f>
        <v>3</v>
      </c>
      <c r="K416" s="6" t="n">
        <f aca="false">'Raw Data'!L416</f>
        <v>5</v>
      </c>
      <c r="L416" s="6" t="n">
        <f aca="false">F416*E416</f>
        <v>0</v>
      </c>
      <c r="N416" s="0" t="n">
        <v>1</v>
      </c>
      <c r="O416" s="6" t="n">
        <f aca="false">D416</f>
        <v>3.774615385</v>
      </c>
      <c r="P416" s="6" t="n">
        <f aca="false">E416</f>
        <v>1</v>
      </c>
      <c r="Q416" s="6" t="n">
        <f aca="false">F416</f>
        <v>0</v>
      </c>
      <c r="R416" s="6" t="n">
        <f aca="false">G416</f>
        <v>0</v>
      </c>
      <c r="S416" s="6" t="n">
        <f aca="false">H416</f>
        <v>0</v>
      </c>
      <c r="T416" s="6" t="n">
        <f aca="false">I416</f>
        <v>0</v>
      </c>
      <c r="U416" s="6" t="n">
        <f aca="false">L416</f>
        <v>0</v>
      </c>
      <c r="W416" s="6" t="n">
        <f aca="false">D416</f>
        <v>3.774615385</v>
      </c>
      <c r="X416" s="6" t="n">
        <f aca="false">E416</f>
        <v>1</v>
      </c>
      <c r="Y416" s="6" t="n">
        <f aca="false">F416</f>
        <v>0</v>
      </c>
      <c r="Z416" s="6" t="n">
        <f aca="false">L416</f>
        <v>0</v>
      </c>
      <c r="AA416" s="6" t="n">
        <f aca="false">G416</f>
        <v>0</v>
      </c>
      <c r="AC416" s="6" t="n">
        <f aca="false">D416</f>
        <v>3.774615385</v>
      </c>
      <c r="AD416" s="6" t="n">
        <f aca="false">E416</f>
        <v>1</v>
      </c>
      <c r="AE416" s="6" t="n">
        <f aca="false">G416</f>
        <v>0</v>
      </c>
      <c r="AF416" s="6" t="n">
        <f aca="false">H416</f>
        <v>0</v>
      </c>
      <c r="AG416" s="6" t="n">
        <f aca="false">I416</f>
        <v>0</v>
      </c>
      <c r="AH416" s="6" t="n">
        <f aca="false">L416</f>
        <v>0</v>
      </c>
    </row>
    <row r="417" customFormat="false" ht="15" hidden="false" customHeight="false" outlineLevel="0" collapsed="false">
      <c r="A417" s="0" t="str">
        <f aca="false">'Raw Data'!C417</f>
        <v>Regency (aka Omaha)</v>
      </c>
      <c r="B417" s="5" t="n">
        <f aca="false">'Raw Data'!A417</f>
        <v>40358</v>
      </c>
      <c r="C417" s="6" t="n">
        <f aca="false">'Raw Data'!D417</f>
        <v>243.958582573945</v>
      </c>
      <c r="D417" s="6" t="n">
        <f aca="false">'Raw Data'!E417</f>
        <v>3.723333333</v>
      </c>
      <c r="E417" s="6" t="n">
        <f aca="false">'Raw Data'!F417</f>
        <v>1</v>
      </c>
      <c r="F417" s="6" t="n">
        <f aca="false">'Raw Data'!G417</f>
        <v>0</v>
      </c>
      <c r="G417" s="6" t="n">
        <f aca="false">'Raw Data'!H417</f>
        <v>0</v>
      </c>
      <c r="H417" s="6" t="n">
        <f aca="false">'Raw Data'!I417</f>
        <v>0</v>
      </c>
      <c r="I417" s="6" t="n">
        <f aca="false">'Raw Data'!J417</f>
        <v>0</v>
      </c>
      <c r="J417" s="6" t="n">
        <f aca="false">'Raw Data'!K417</f>
        <v>3</v>
      </c>
      <c r="K417" s="6" t="n">
        <f aca="false">'Raw Data'!L417</f>
        <v>5</v>
      </c>
      <c r="L417" s="6" t="n">
        <f aca="false">F417*E417</f>
        <v>0</v>
      </c>
      <c r="N417" s="0" t="n">
        <v>1</v>
      </c>
      <c r="O417" s="6" t="n">
        <f aca="false">D417</f>
        <v>3.723333333</v>
      </c>
      <c r="P417" s="6" t="n">
        <f aca="false">E417</f>
        <v>1</v>
      </c>
      <c r="Q417" s="6" t="n">
        <f aca="false">F417</f>
        <v>0</v>
      </c>
      <c r="R417" s="6" t="n">
        <f aca="false">G417</f>
        <v>0</v>
      </c>
      <c r="S417" s="6" t="n">
        <f aca="false">H417</f>
        <v>0</v>
      </c>
      <c r="T417" s="6" t="n">
        <f aca="false">I417</f>
        <v>0</v>
      </c>
      <c r="U417" s="6" t="n">
        <f aca="false">L417</f>
        <v>0</v>
      </c>
      <c r="W417" s="6" t="n">
        <f aca="false">D417</f>
        <v>3.723333333</v>
      </c>
      <c r="X417" s="6" t="n">
        <f aca="false">E417</f>
        <v>1</v>
      </c>
      <c r="Y417" s="6" t="n">
        <f aca="false">F417</f>
        <v>0</v>
      </c>
      <c r="Z417" s="6" t="n">
        <f aca="false">L417</f>
        <v>0</v>
      </c>
      <c r="AA417" s="6" t="n">
        <f aca="false">G417</f>
        <v>0</v>
      </c>
      <c r="AC417" s="6" t="n">
        <f aca="false">D417</f>
        <v>3.723333333</v>
      </c>
      <c r="AD417" s="6" t="n">
        <f aca="false">E417</f>
        <v>1</v>
      </c>
      <c r="AE417" s="6" t="n">
        <f aca="false">G417</f>
        <v>0</v>
      </c>
      <c r="AF417" s="6" t="n">
        <f aca="false">H417</f>
        <v>0</v>
      </c>
      <c r="AG417" s="6" t="n">
        <f aca="false">I417</f>
        <v>0</v>
      </c>
      <c r="AH417" s="6" t="n">
        <f aca="false">L417</f>
        <v>0</v>
      </c>
    </row>
    <row r="418" customFormat="false" ht="15" hidden="false" customHeight="false" outlineLevel="0" collapsed="false">
      <c r="A418" s="0" t="str">
        <f aca="false">'Raw Data'!C418</f>
        <v>Regency (aka Omaha)</v>
      </c>
      <c r="B418" s="5" t="n">
        <f aca="false">'Raw Data'!A418</f>
        <v>40365</v>
      </c>
      <c r="C418" s="6" t="n">
        <f aca="false">'Raw Data'!D418</f>
        <v>277.351575977812</v>
      </c>
      <c r="D418" s="6" t="n">
        <f aca="false">'Raw Data'!E418</f>
        <v>3.295384615</v>
      </c>
      <c r="E418" s="6" t="n">
        <f aca="false">'Raw Data'!F418</f>
        <v>1</v>
      </c>
      <c r="F418" s="6" t="n">
        <f aca="false">'Raw Data'!G418</f>
        <v>0</v>
      </c>
      <c r="G418" s="6" t="n">
        <f aca="false">'Raw Data'!H418</f>
        <v>0</v>
      </c>
      <c r="H418" s="6" t="n">
        <f aca="false">'Raw Data'!I418</f>
        <v>0</v>
      </c>
      <c r="I418" s="6" t="n">
        <f aca="false">'Raw Data'!J418</f>
        <v>0</v>
      </c>
      <c r="J418" s="6" t="n">
        <f aca="false">'Raw Data'!K418</f>
        <v>3</v>
      </c>
      <c r="K418" s="6" t="n">
        <f aca="false">'Raw Data'!L418</f>
        <v>5</v>
      </c>
      <c r="L418" s="6" t="n">
        <f aca="false">F418*E418</f>
        <v>0</v>
      </c>
      <c r="N418" s="0" t="n">
        <v>1</v>
      </c>
      <c r="O418" s="6" t="n">
        <f aca="false">D418</f>
        <v>3.295384615</v>
      </c>
      <c r="P418" s="6" t="n">
        <f aca="false">E418</f>
        <v>1</v>
      </c>
      <c r="Q418" s="6" t="n">
        <f aca="false">F418</f>
        <v>0</v>
      </c>
      <c r="R418" s="6" t="n">
        <f aca="false">G418</f>
        <v>0</v>
      </c>
      <c r="S418" s="6" t="n">
        <f aca="false">H418</f>
        <v>0</v>
      </c>
      <c r="T418" s="6" t="n">
        <f aca="false">I418</f>
        <v>0</v>
      </c>
      <c r="U418" s="6" t="n">
        <f aca="false">L418</f>
        <v>0</v>
      </c>
      <c r="W418" s="6" t="n">
        <f aca="false">D418</f>
        <v>3.295384615</v>
      </c>
      <c r="X418" s="6" t="n">
        <f aca="false">E418</f>
        <v>1</v>
      </c>
      <c r="Y418" s="6" t="n">
        <f aca="false">F418</f>
        <v>0</v>
      </c>
      <c r="Z418" s="6" t="n">
        <f aca="false">L418</f>
        <v>0</v>
      </c>
      <c r="AA418" s="6" t="n">
        <f aca="false">G418</f>
        <v>0</v>
      </c>
      <c r="AC418" s="6" t="n">
        <f aca="false">D418</f>
        <v>3.295384615</v>
      </c>
      <c r="AD418" s="6" t="n">
        <f aca="false">E418</f>
        <v>1</v>
      </c>
      <c r="AE418" s="6" t="n">
        <f aca="false">G418</f>
        <v>0</v>
      </c>
      <c r="AF418" s="6" t="n">
        <f aca="false">H418</f>
        <v>0</v>
      </c>
      <c r="AG418" s="6" t="n">
        <f aca="false">I418</f>
        <v>0</v>
      </c>
      <c r="AH418" s="6" t="n">
        <f aca="false">L418</f>
        <v>0</v>
      </c>
    </row>
    <row r="419" customFormat="false" ht="15" hidden="false" customHeight="false" outlineLevel="0" collapsed="false">
      <c r="A419" s="0" t="str">
        <f aca="false">'Raw Data'!C419</f>
        <v>Regency (aka Omaha)</v>
      </c>
      <c r="B419" s="5" t="n">
        <f aca="false">'Raw Data'!A419</f>
        <v>40372</v>
      </c>
      <c r="C419" s="6" t="n">
        <f aca="false">'Raw Data'!D419</f>
        <v>337.156410353857</v>
      </c>
      <c r="D419" s="6" t="n">
        <f aca="false">'Raw Data'!E419</f>
        <v>3.295384615</v>
      </c>
      <c r="E419" s="6" t="n">
        <f aca="false">'Raw Data'!F419</f>
        <v>1</v>
      </c>
      <c r="F419" s="6" t="n">
        <f aca="false">'Raw Data'!G419</f>
        <v>0</v>
      </c>
      <c r="G419" s="6" t="n">
        <f aca="false">'Raw Data'!H419</f>
        <v>0</v>
      </c>
      <c r="H419" s="6" t="n">
        <f aca="false">'Raw Data'!I419</f>
        <v>0</v>
      </c>
      <c r="I419" s="6" t="n">
        <f aca="false">'Raw Data'!J419</f>
        <v>0</v>
      </c>
      <c r="J419" s="6" t="n">
        <f aca="false">'Raw Data'!K419</f>
        <v>3</v>
      </c>
      <c r="K419" s="6" t="n">
        <f aca="false">'Raw Data'!L419</f>
        <v>5</v>
      </c>
      <c r="L419" s="6" t="n">
        <f aca="false">F419*E419</f>
        <v>0</v>
      </c>
      <c r="N419" s="0" t="n">
        <v>1</v>
      </c>
      <c r="O419" s="6" t="n">
        <f aca="false">D419</f>
        <v>3.295384615</v>
      </c>
      <c r="P419" s="6" t="n">
        <f aca="false">E419</f>
        <v>1</v>
      </c>
      <c r="Q419" s="6" t="n">
        <f aca="false">F419</f>
        <v>0</v>
      </c>
      <c r="R419" s="6" t="n">
        <f aca="false">G419</f>
        <v>0</v>
      </c>
      <c r="S419" s="6" t="n">
        <f aca="false">H419</f>
        <v>0</v>
      </c>
      <c r="T419" s="6" t="n">
        <f aca="false">I419</f>
        <v>0</v>
      </c>
      <c r="U419" s="6" t="n">
        <f aca="false">L419</f>
        <v>0</v>
      </c>
      <c r="W419" s="6" t="n">
        <f aca="false">D419</f>
        <v>3.295384615</v>
      </c>
      <c r="X419" s="6" t="n">
        <f aca="false">E419</f>
        <v>1</v>
      </c>
      <c r="Y419" s="6" t="n">
        <f aca="false">F419</f>
        <v>0</v>
      </c>
      <c r="Z419" s="6" t="n">
        <f aca="false">L419</f>
        <v>0</v>
      </c>
      <c r="AA419" s="6" t="n">
        <f aca="false">G419</f>
        <v>0</v>
      </c>
      <c r="AC419" s="6" t="n">
        <f aca="false">D419</f>
        <v>3.295384615</v>
      </c>
      <c r="AD419" s="6" t="n">
        <f aca="false">E419</f>
        <v>1</v>
      </c>
      <c r="AE419" s="6" t="n">
        <f aca="false">G419</f>
        <v>0</v>
      </c>
      <c r="AF419" s="6" t="n">
        <f aca="false">H419</f>
        <v>0</v>
      </c>
      <c r="AG419" s="6" t="n">
        <f aca="false">I419</f>
        <v>0</v>
      </c>
      <c r="AH419" s="6" t="n">
        <f aca="false">L419</f>
        <v>0</v>
      </c>
    </row>
    <row r="420" customFormat="false" ht="15" hidden="false" customHeight="false" outlineLevel="0" collapsed="false">
      <c r="A420" s="0" t="str">
        <f aca="false">'Raw Data'!C420</f>
        <v>Sauganash</v>
      </c>
      <c r="B420" s="5" t="n">
        <f aca="false">'Raw Data'!A420</f>
        <v>40302</v>
      </c>
      <c r="C420" s="6" t="n">
        <f aca="false">'Raw Data'!D420</f>
        <v>287.91095812649</v>
      </c>
      <c r="D420" s="6" t="n">
        <f aca="false">'Raw Data'!E420</f>
        <v>4.19</v>
      </c>
      <c r="E420" s="6" t="n">
        <f aca="false">'Raw Data'!F420</f>
        <v>1</v>
      </c>
      <c r="F420" s="6" t="n">
        <f aca="false">'Raw Data'!G420</f>
        <v>0</v>
      </c>
      <c r="G420" s="6" t="n">
        <f aca="false">'Raw Data'!H420</f>
        <v>0</v>
      </c>
      <c r="H420" s="6" t="n">
        <f aca="false">'Raw Data'!I420</f>
        <v>0</v>
      </c>
      <c r="I420" s="6" t="n">
        <f aca="false">'Raw Data'!J420</f>
        <v>0</v>
      </c>
      <c r="J420" s="6" t="n">
        <f aca="false">'Raw Data'!K420</f>
        <v>0</v>
      </c>
      <c r="K420" s="6" t="n">
        <f aca="false">'Raw Data'!L420</f>
        <v>4</v>
      </c>
      <c r="L420" s="6" t="n">
        <f aca="false">F420*E420</f>
        <v>0</v>
      </c>
      <c r="N420" s="0" t="n">
        <v>1</v>
      </c>
      <c r="O420" s="6" t="n">
        <f aca="false">D420</f>
        <v>4.19</v>
      </c>
      <c r="P420" s="6" t="n">
        <f aca="false">E420</f>
        <v>1</v>
      </c>
      <c r="Q420" s="6" t="n">
        <f aca="false">F420</f>
        <v>0</v>
      </c>
      <c r="R420" s="6" t="n">
        <f aca="false">G420</f>
        <v>0</v>
      </c>
      <c r="S420" s="6" t="n">
        <f aca="false">H420</f>
        <v>0</v>
      </c>
      <c r="T420" s="6" t="n">
        <f aca="false">I420</f>
        <v>0</v>
      </c>
      <c r="U420" s="6" t="n">
        <f aca="false">L420</f>
        <v>0</v>
      </c>
      <c r="W420" s="6" t="n">
        <f aca="false">D420</f>
        <v>4.19</v>
      </c>
      <c r="X420" s="6" t="n">
        <f aca="false">E420</f>
        <v>1</v>
      </c>
      <c r="Y420" s="6" t="n">
        <f aca="false">F420</f>
        <v>0</v>
      </c>
      <c r="Z420" s="6" t="n">
        <f aca="false">L420</f>
        <v>0</v>
      </c>
      <c r="AA420" s="6" t="n">
        <f aca="false">G420</f>
        <v>0</v>
      </c>
      <c r="AC420" s="6" t="n">
        <f aca="false">D420</f>
        <v>4.19</v>
      </c>
      <c r="AD420" s="6" t="n">
        <f aca="false">E420</f>
        <v>1</v>
      </c>
      <c r="AE420" s="6" t="n">
        <f aca="false">G420</f>
        <v>0</v>
      </c>
      <c r="AF420" s="6" t="n">
        <f aca="false">H420</f>
        <v>0</v>
      </c>
      <c r="AG420" s="6" t="n">
        <f aca="false">I420</f>
        <v>0</v>
      </c>
      <c r="AH420" s="6" t="n">
        <f aca="false">L420</f>
        <v>0</v>
      </c>
    </row>
    <row r="421" customFormat="false" ht="15" hidden="false" customHeight="false" outlineLevel="0" collapsed="false">
      <c r="A421" s="0" t="str">
        <f aca="false">'Raw Data'!C421</f>
        <v>Sauganash</v>
      </c>
      <c r="B421" s="5" t="n">
        <f aca="false">'Raw Data'!A421</f>
        <v>40309</v>
      </c>
      <c r="C421" s="6" t="n">
        <f aca="false">'Raw Data'!D421</f>
        <v>283.36179701124</v>
      </c>
      <c r="D421" s="6" t="n">
        <f aca="false">'Raw Data'!E421</f>
        <v>4.167777778</v>
      </c>
      <c r="E421" s="6" t="n">
        <f aca="false">'Raw Data'!F421</f>
        <v>1</v>
      </c>
      <c r="F421" s="6" t="n">
        <f aca="false">'Raw Data'!G421</f>
        <v>0</v>
      </c>
      <c r="G421" s="6" t="n">
        <f aca="false">'Raw Data'!H421</f>
        <v>0</v>
      </c>
      <c r="H421" s="6" t="n">
        <f aca="false">'Raw Data'!I421</f>
        <v>0</v>
      </c>
      <c r="I421" s="6" t="n">
        <f aca="false">'Raw Data'!J421</f>
        <v>0</v>
      </c>
      <c r="J421" s="6" t="n">
        <f aca="false">'Raw Data'!K421</f>
        <v>0</v>
      </c>
      <c r="K421" s="6" t="n">
        <f aca="false">'Raw Data'!L421</f>
        <v>4</v>
      </c>
      <c r="L421" s="6" t="n">
        <f aca="false">F421*E421</f>
        <v>0</v>
      </c>
      <c r="N421" s="0" t="n">
        <v>1</v>
      </c>
      <c r="O421" s="6" t="n">
        <f aca="false">D421</f>
        <v>4.167777778</v>
      </c>
      <c r="P421" s="6" t="n">
        <f aca="false">E421</f>
        <v>1</v>
      </c>
      <c r="Q421" s="6" t="n">
        <f aca="false">F421</f>
        <v>0</v>
      </c>
      <c r="R421" s="6" t="n">
        <f aca="false">G421</f>
        <v>0</v>
      </c>
      <c r="S421" s="6" t="n">
        <f aca="false">H421</f>
        <v>0</v>
      </c>
      <c r="T421" s="6" t="n">
        <f aca="false">I421</f>
        <v>0</v>
      </c>
      <c r="U421" s="6" t="n">
        <f aca="false">L421</f>
        <v>0</v>
      </c>
      <c r="W421" s="6" t="n">
        <f aca="false">D421</f>
        <v>4.167777778</v>
      </c>
      <c r="X421" s="6" t="n">
        <f aca="false">E421</f>
        <v>1</v>
      </c>
      <c r="Y421" s="6" t="n">
        <f aca="false">F421</f>
        <v>0</v>
      </c>
      <c r="Z421" s="6" t="n">
        <f aca="false">L421</f>
        <v>0</v>
      </c>
      <c r="AA421" s="6" t="n">
        <f aca="false">G421</f>
        <v>0</v>
      </c>
      <c r="AC421" s="6" t="n">
        <f aca="false">D421</f>
        <v>4.167777778</v>
      </c>
      <c r="AD421" s="6" t="n">
        <f aca="false">E421</f>
        <v>1</v>
      </c>
      <c r="AE421" s="6" t="n">
        <f aca="false">G421</f>
        <v>0</v>
      </c>
      <c r="AF421" s="6" t="n">
        <f aca="false">H421</f>
        <v>0</v>
      </c>
      <c r="AG421" s="6" t="n">
        <f aca="false">I421</f>
        <v>0</v>
      </c>
      <c r="AH421" s="6" t="n">
        <f aca="false">L421</f>
        <v>0</v>
      </c>
    </row>
    <row r="422" customFormat="false" ht="15" hidden="false" customHeight="false" outlineLevel="0" collapsed="false">
      <c r="A422" s="0" t="str">
        <f aca="false">'Raw Data'!C422</f>
        <v>Sauganash</v>
      </c>
      <c r="B422" s="5" t="n">
        <f aca="false">'Raw Data'!A422</f>
        <v>40316</v>
      </c>
      <c r="C422" s="6" t="n">
        <f aca="false">'Raw Data'!D422</f>
        <v>240.784527532362</v>
      </c>
      <c r="D422" s="6" t="n">
        <f aca="false">'Raw Data'!E422</f>
        <v>3.543846154</v>
      </c>
      <c r="E422" s="6" t="n">
        <f aca="false">'Raw Data'!F422</f>
        <v>1</v>
      </c>
      <c r="F422" s="6" t="n">
        <f aca="false">'Raw Data'!G422</f>
        <v>0</v>
      </c>
      <c r="G422" s="6" t="n">
        <f aca="false">'Raw Data'!H422</f>
        <v>0</v>
      </c>
      <c r="H422" s="6" t="n">
        <f aca="false">'Raw Data'!I422</f>
        <v>0</v>
      </c>
      <c r="I422" s="6" t="n">
        <f aca="false">'Raw Data'!J422</f>
        <v>0</v>
      </c>
      <c r="J422" s="6" t="n">
        <f aca="false">'Raw Data'!K422</f>
        <v>0</v>
      </c>
      <c r="K422" s="6" t="n">
        <f aca="false">'Raw Data'!L422</f>
        <v>4</v>
      </c>
      <c r="L422" s="6" t="n">
        <f aca="false">F422*E422</f>
        <v>0</v>
      </c>
      <c r="N422" s="0" t="n">
        <v>1</v>
      </c>
      <c r="O422" s="6" t="n">
        <f aca="false">D422</f>
        <v>3.543846154</v>
      </c>
      <c r="P422" s="6" t="n">
        <f aca="false">E422</f>
        <v>1</v>
      </c>
      <c r="Q422" s="6" t="n">
        <f aca="false">F422</f>
        <v>0</v>
      </c>
      <c r="R422" s="6" t="n">
        <f aca="false">G422</f>
        <v>0</v>
      </c>
      <c r="S422" s="6" t="n">
        <f aca="false">H422</f>
        <v>0</v>
      </c>
      <c r="T422" s="6" t="n">
        <f aca="false">I422</f>
        <v>0</v>
      </c>
      <c r="U422" s="6" t="n">
        <f aca="false">L422</f>
        <v>0</v>
      </c>
      <c r="W422" s="6" t="n">
        <f aca="false">D422</f>
        <v>3.543846154</v>
      </c>
      <c r="X422" s="6" t="n">
        <f aca="false">E422</f>
        <v>1</v>
      </c>
      <c r="Y422" s="6" t="n">
        <f aca="false">F422</f>
        <v>0</v>
      </c>
      <c r="Z422" s="6" t="n">
        <f aca="false">L422</f>
        <v>0</v>
      </c>
      <c r="AA422" s="6" t="n">
        <f aca="false">G422</f>
        <v>0</v>
      </c>
      <c r="AC422" s="6" t="n">
        <f aca="false">D422</f>
        <v>3.543846154</v>
      </c>
      <c r="AD422" s="6" t="n">
        <f aca="false">E422</f>
        <v>1</v>
      </c>
      <c r="AE422" s="6" t="n">
        <f aca="false">G422</f>
        <v>0</v>
      </c>
      <c r="AF422" s="6" t="n">
        <f aca="false">H422</f>
        <v>0</v>
      </c>
      <c r="AG422" s="6" t="n">
        <f aca="false">I422</f>
        <v>0</v>
      </c>
      <c r="AH422" s="6" t="n">
        <f aca="false">L422</f>
        <v>0</v>
      </c>
    </row>
    <row r="423" customFormat="false" ht="15" hidden="false" customHeight="false" outlineLevel="0" collapsed="false">
      <c r="A423" s="0" t="str">
        <f aca="false">'Raw Data'!C423</f>
        <v>Sauganash</v>
      </c>
      <c r="B423" s="5" t="n">
        <f aca="false">'Raw Data'!A423</f>
        <v>40323</v>
      </c>
      <c r="C423" s="6" t="n">
        <f aca="false">'Raw Data'!D423</f>
        <v>190.788567338542</v>
      </c>
      <c r="D423" s="6" t="n">
        <f aca="false">'Raw Data'!E423</f>
        <v>3.73</v>
      </c>
      <c r="E423" s="6" t="n">
        <f aca="false">'Raw Data'!F423</f>
        <v>1</v>
      </c>
      <c r="F423" s="6" t="n">
        <f aca="false">'Raw Data'!G423</f>
        <v>0</v>
      </c>
      <c r="G423" s="6" t="n">
        <f aca="false">'Raw Data'!H423</f>
        <v>0</v>
      </c>
      <c r="H423" s="6" t="n">
        <f aca="false">'Raw Data'!I423</f>
        <v>0</v>
      </c>
      <c r="I423" s="6" t="n">
        <f aca="false">'Raw Data'!J423</f>
        <v>0</v>
      </c>
      <c r="J423" s="6" t="n">
        <f aca="false">'Raw Data'!K423</f>
        <v>0</v>
      </c>
      <c r="K423" s="6" t="n">
        <f aca="false">'Raw Data'!L423</f>
        <v>4</v>
      </c>
      <c r="L423" s="6" t="n">
        <f aca="false">F423*E423</f>
        <v>0</v>
      </c>
      <c r="N423" s="0" t="n">
        <v>1</v>
      </c>
      <c r="O423" s="6" t="n">
        <f aca="false">D423</f>
        <v>3.73</v>
      </c>
      <c r="P423" s="6" t="n">
        <f aca="false">E423</f>
        <v>1</v>
      </c>
      <c r="Q423" s="6" t="n">
        <f aca="false">F423</f>
        <v>0</v>
      </c>
      <c r="R423" s="6" t="n">
        <f aca="false">G423</f>
        <v>0</v>
      </c>
      <c r="S423" s="6" t="n">
        <f aca="false">H423</f>
        <v>0</v>
      </c>
      <c r="T423" s="6" t="n">
        <f aca="false">I423</f>
        <v>0</v>
      </c>
      <c r="U423" s="6" t="n">
        <f aca="false">L423</f>
        <v>0</v>
      </c>
      <c r="W423" s="6" t="n">
        <f aca="false">D423</f>
        <v>3.73</v>
      </c>
      <c r="X423" s="6" t="n">
        <f aca="false">E423</f>
        <v>1</v>
      </c>
      <c r="Y423" s="6" t="n">
        <f aca="false">F423</f>
        <v>0</v>
      </c>
      <c r="Z423" s="6" t="n">
        <f aca="false">L423</f>
        <v>0</v>
      </c>
      <c r="AA423" s="6" t="n">
        <f aca="false">G423</f>
        <v>0</v>
      </c>
      <c r="AC423" s="6" t="n">
        <f aca="false">D423</f>
        <v>3.73</v>
      </c>
      <c r="AD423" s="6" t="n">
        <f aca="false">E423</f>
        <v>1</v>
      </c>
      <c r="AE423" s="6" t="n">
        <f aca="false">G423</f>
        <v>0</v>
      </c>
      <c r="AF423" s="6" t="n">
        <f aca="false">H423</f>
        <v>0</v>
      </c>
      <c r="AG423" s="6" t="n">
        <f aca="false">I423</f>
        <v>0</v>
      </c>
      <c r="AH423" s="6" t="n">
        <f aca="false">L423</f>
        <v>0</v>
      </c>
    </row>
    <row r="424" customFormat="false" ht="15" hidden="false" customHeight="false" outlineLevel="0" collapsed="false">
      <c r="A424" s="0" t="str">
        <f aca="false">'Raw Data'!C424</f>
        <v>Sauganash</v>
      </c>
      <c r="B424" s="5" t="n">
        <f aca="false">'Raw Data'!A424</f>
        <v>40330</v>
      </c>
      <c r="C424" s="6" t="n">
        <f aca="false">'Raw Data'!D424</f>
        <v>182.679988196722</v>
      </c>
      <c r="D424" s="6" t="n">
        <f aca="false">'Raw Data'!E424</f>
        <v>3.825714286</v>
      </c>
      <c r="E424" s="6" t="n">
        <f aca="false">'Raw Data'!F424</f>
        <v>1</v>
      </c>
      <c r="F424" s="6" t="n">
        <f aca="false">'Raw Data'!G424</f>
        <v>0</v>
      </c>
      <c r="G424" s="6" t="n">
        <f aca="false">'Raw Data'!H424</f>
        <v>0</v>
      </c>
      <c r="H424" s="6" t="n">
        <f aca="false">'Raw Data'!I424</f>
        <v>0</v>
      </c>
      <c r="I424" s="6" t="n">
        <f aca="false">'Raw Data'!J424</f>
        <v>0</v>
      </c>
      <c r="J424" s="6" t="n">
        <f aca="false">'Raw Data'!K424</f>
        <v>0</v>
      </c>
      <c r="K424" s="6" t="n">
        <f aca="false">'Raw Data'!L424</f>
        <v>4</v>
      </c>
      <c r="L424" s="6" t="n">
        <f aca="false">F424*E424</f>
        <v>0</v>
      </c>
      <c r="N424" s="0" t="n">
        <v>1</v>
      </c>
      <c r="O424" s="6" t="n">
        <f aca="false">D424</f>
        <v>3.825714286</v>
      </c>
      <c r="P424" s="6" t="n">
        <f aca="false">E424</f>
        <v>1</v>
      </c>
      <c r="Q424" s="6" t="n">
        <f aca="false">F424</f>
        <v>0</v>
      </c>
      <c r="R424" s="6" t="n">
        <f aca="false">G424</f>
        <v>0</v>
      </c>
      <c r="S424" s="6" t="n">
        <f aca="false">H424</f>
        <v>0</v>
      </c>
      <c r="T424" s="6" t="n">
        <f aca="false">I424</f>
        <v>0</v>
      </c>
      <c r="U424" s="6" t="n">
        <f aca="false">L424</f>
        <v>0</v>
      </c>
      <c r="W424" s="6" t="n">
        <f aca="false">D424</f>
        <v>3.825714286</v>
      </c>
      <c r="X424" s="6" t="n">
        <f aca="false">E424</f>
        <v>1</v>
      </c>
      <c r="Y424" s="6" t="n">
        <f aca="false">F424</f>
        <v>0</v>
      </c>
      <c r="Z424" s="6" t="n">
        <f aca="false">L424</f>
        <v>0</v>
      </c>
      <c r="AA424" s="6" t="n">
        <f aca="false">G424</f>
        <v>0</v>
      </c>
      <c r="AC424" s="6" t="n">
        <f aca="false">D424</f>
        <v>3.825714286</v>
      </c>
      <c r="AD424" s="6" t="n">
        <f aca="false">E424</f>
        <v>1</v>
      </c>
      <c r="AE424" s="6" t="n">
        <f aca="false">G424</f>
        <v>0</v>
      </c>
      <c r="AF424" s="6" t="n">
        <f aca="false">H424</f>
        <v>0</v>
      </c>
      <c r="AG424" s="6" t="n">
        <f aca="false">I424</f>
        <v>0</v>
      </c>
      <c r="AH424" s="6" t="n">
        <f aca="false">L424</f>
        <v>0</v>
      </c>
    </row>
    <row r="425" customFormat="false" ht="15" hidden="false" customHeight="false" outlineLevel="0" collapsed="false">
      <c r="A425" s="0" t="str">
        <f aca="false">'Raw Data'!C425</f>
        <v>Sauganash</v>
      </c>
      <c r="B425" s="5" t="n">
        <f aca="false">'Raw Data'!A425</f>
        <v>40337</v>
      </c>
      <c r="C425" s="6" t="n">
        <f aca="false">'Raw Data'!D425</f>
        <v>295.767748143607</v>
      </c>
      <c r="D425" s="6" t="n">
        <f aca="false">'Raw Data'!E425</f>
        <v>3.928461538</v>
      </c>
      <c r="E425" s="6" t="n">
        <f aca="false">'Raw Data'!F425</f>
        <v>1</v>
      </c>
      <c r="F425" s="6" t="n">
        <f aca="false">'Raw Data'!G425</f>
        <v>0</v>
      </c>
      <c r="G425" s="6" t="n">
        <f aca="false">'Raw Data'!H425</f>
        <v>0</v>
      </c>
      <c r="H425" s="6" t="n">
        <f aca="false">'Raw Data'!I425</f>
        <v>0</v>
      </c>
      <c r="I425" s="6" t="n">
        <f aca="false">'Raw Data'!J425</f>
        <v>0</v>
      </c>
      <c r="J425" s="6" t="n">
        <f aca="false">'Raw Data'!K425</f>
        <v>0</v>
      </c>
      <c r="K425" s="6" t="n">
        <f aca="false">'Raw Data'!L425</f>
        <v>4</v>
      </c>
      <c r="L425" s="6" t="n">
        <f aca="false">F425*E425</f>
        <v>0</v>
      </c>
      <c r="N425" s="0" t="n">
        <v>1</v>
      </c>
      <c r="O425" s="6" t="n">
        <f aca="false">D425</f>
        <v>3.928461538</v>
      </c>
      <c r="P425" s="6" t="n">
        <f aca="false">E425</f>
        <v>1</v>
      </c>
      <c r="Q425" s="6" t="n">
        <f aca="false">F425</f>
        <v>0</v>
      </c>
      <c r="R425" s="6" t="n">
        <f aca="false">G425</f>
        <v>0</v>
      </c>
      <c r="S425" s="6" t="n">
        <f aca="false">H425</f>
        <v>0</v>
      </c>
      <c r="T425" s="6" t="n">
        <f aca="false">I425</f>
        <v>0</v>
      </c>
      <c r="U425" s="6" t="n">
        <f aca="false">L425</f>
        <v>0</v>
      </c>
      <c r="W425" s="6" t="n">
        <f aca="false">D425</f>
        <v>3.928461538</v>
      </c>
      <c r="X425" s="6" t="n">
        <f aca="false">E425</f>
        <v>1</v>
      </c>
      <c r="Y425" s="6" t="n">
        <f aca="false">F425</f>
        <v>0</v>
      </c>
      <c r="Z425" s="6" t="n">
        <f aca="false">L425</f>
        <v>0</v>
      </c>
      <c r="AA425" s="6" t="n">
        <f aca="false">G425</f>
        <v>0</v>
      </c>
      <c r="AC425" s="6" t="n">
        <f aca="false">D425</f>
        <v>3.928461538</v>
      </c>
      <c r="AD425" s="6" t="n">
        <f aca="false">E425</f>
        <v>1</v>
      </c>
      <c r="AE425" s="6" t="n">
        <f aca="false">G425</f>
        <v>0</v>
      </c>
      <c r="AF425" s="6" t="n">
        <f aca="false">H425</f>
        <v>0</v>
      </c>
      <c r="AG425" s="6" t="n">
        <f aca="false">I425</f>
        <v>0</v>
      </c>
      <c r="AH425" s="6" t="n">
        <f aca="false">L425</f>
        <v>0</v>
      </c>
    </row>
    <row r="426" customFormat="false" ht="15" hidden="false" customHeight="false" outlineLevel="0" collapsed="false">
      <c r="A426" s="0" t="str">
        <f aca="false">'Raw Data'!C426</f>
        <v>Sauganash</v>
      </c>
      <c r="B426" s="5" t="n">
        <f aca="false">'Raw Data'!A426</f>
        <v>40344</v>
      </c>
      <c r="C426" s="6" t="n">
        <f aca="false">'Raw Data'!D426</f>
        <v>227.786706999982</v>
      </c>
      <c r="D426" s="6" t="n">
        <f aca="false">'Raw Data'!E426</f>
        <v>3.74</v>
      </c>
      <c r="E426" s="6" t="n">
        <f aca="false">'Raw Data'!F426</f>
        <v>1</v>
      </c>
      <c r="F426" s="6" t="n">
        <f aca="false">'Raw Data'!G426</f>
        <v>0</v>
      </c>
      <c r="G426" s="6" t="n">
        <f aca="false">'Raw Data'!H426</f>
        <v>0</v>
      </c>
      <c r="H426" s="6" t="n">
        <f aca="false">'Raw Data'!I426</f>
        <v>0</v>
      </c>
      <c r="I426" s="6" t="n">
        <f aca="false">'Raw Data'!J426</f>
        <v>0</v>
      </c>
      <c r="J426" s="6" t="n">
        <f aca="false">'Raw Data'!K426</f>
        <v>0</v>
      </c>
      <c r="K426" s="6" t="n">
        <f aca="false">'Raw Data'!L426</f>
        <v>4</v>
      </c>
      <c r="L426" s="6" t="n">
        <f aca="false">F426*E426</f>
        <v>0</v>
      </c>
      <c r="N426" s="0" t="n">
        <v>1</v>
      </c>
      <c r="O426" s="6" t="n">
        <f aca="false">D426</f>
        <v>3.74</v>
      </c>
      <c r="P426" s="6" t="n">
        <f aca="false">E426</f>
        <v>1</v>
      </c>
      <c r="Q426" s="6" t="n">
        <f aca="false">F426</f>
        <v>0</v>
      </c>
      <c r="R426" s="6" t="n">
        <f aca="false">G426</f>
        <v>0</v>
      </c>
      <c r="S426" s="6" t="n">
        <f aca="false">H426</f>
        <v>0</v>
      </c>
      <c r="T426" s="6" t="n">
        <f aca="false">I426</f>
        <v>0</v>
      </c>
      <c r="U426" s="6" t="n">
        <f aca="false">L426</f>
        <v>0</v>
      </c>
      <c r="W426" s="6" t="n">
        <f aca="false">D426</f>
        <v>3.74</v>
      </c>
      <c r="X426" s="6" t="n">
        <f aca="false">E426</f>
        <v>1</v>
      </c>
      <c r="Y426" s="6" t="n">
        <f aca="false">F426</f>
        <v>0</v>
      </c>
      <c r="Z426" s="6" t="n">
        <f aca="false">L426</f>
        <v>0</v>
      </c>
      <c r="AA426" s="6" t="n">
        <f aca="false">G426</f>
        <v>0</v>
      </c>
      <c r="AC426" s="6" t="n">
        <f aca="false">D426</f>
        <v>3.74</v>
      </c>
      <c r="AD426" s="6" t="n">
        <f aca="false">E426</f>
        <v>1</v>
      </c>
      <c r="AE426" s="6" t="n">
        <f aca="false">G426</f>
        <v>0</v>
      </c>
      <c r="AF426" s="6" t="n">
        <f aca="false">H426</f>
        <v>0</v>
      </c>
      <c r="AG426" s="6" t="n">
        <f aca="false">I426</f>
        <v>0</v>
      </c>
      <c r="AH426" s="6" t="n">
        <f aca="false">L426</f>
        <v>0</v>
      </c>
    </row>
    <row r="427" customFormat="false" ht="15" hidden="false" customHeight="false" outlineLevel="0" collapsed="false">
      <c r="A427" s="0" t="str">
        <f aca="false">'Raw Data'!C427</f>
        <v>Sauganash</v>
      </c>
      <c r="B427" s="5" t="n">
        <f aca="false">'Raw Data'!A427</f>
        <v>40351</v>
      </c>
      <c r="C427" s="6" t="n">
        <f aca="false">'Raw Data'!D427</f>
        <v>180.263230815573</v>
      </c>
      <c r="D427" s="6" t="n">
        <f aca="false">'Raw Data'!E427</f>
        <v>3.74</v>
      </c>
      <c r="E427" s="6" t="n">
        <f aca="false">'Raw Data'!F427</f>
        <v>1</v>
      </c>
      <c r="F427" s="6" t="n">
        <f aca="false">'Raw Data'!G427</f>
        <v>0</v>
      </c>
      <c r="G427" s="6" t="n">
        <f aca="false">'Raw Data'!H427</f>
        <v>0</v>
      </c>
      <c r="H427" s="6" t="n">
        <f aca="false">'Raw Data'!I427</f>
        <v>0</v>
      </c>
      <c r="I427" s="6" t="n">
        <f aca="false">'Raw Data'!J427</f>
        <v>0</v>
      </c>
      <c r="J427" s="6" t="n">
        <f aca="false">'Raw Data'!K427</f>
        <v>0</v>
      </c>
      <c r="K427" s="6" t="n">
        <f aca="false">'Raw Data'!L427</f>
        <v>4</v>
      </c>
      <c r="L427" s="6" t="n">
        <f aca="false">F427*E427</f>
        <v>0</v>
      </c>
      <c r="N427" s="0" t="n">
        <v>1</v>
      </c>
      <c r="O427" s="6" t="n">
        <f aca="false">D427</f>
        <v>3.74</v>
      </c>
      <c r="P427" s="6" t="n">
        <f aca="false">E427</f>
        <v>1</v>
      </c>
      <c r="Q427" s="6" t="n">
        <f aca="false">F427</f>
        <v>0</v>
      </c>
      <c r="R427" s="6" t="n">
        <f aca="false">G427</f>
        <v>0</v>
      </c>
      <c r="S427" s="6" t="n">
        <f aca="false">H427</f>
        <v>0</v>
      </c>
      <c r="T427" s="6" t="n">
        <f aca="false">I427</f>
        <v>0</v>
      </c>
      <c r="U427" s="6" t="n">
        <f aca="false">L427</f>
        <v>0</v>
      </c>
      <c r="W427" s="6" t="n">
        <f aca="false">D427</f>
        <v>3.74</v>
      </c>
      <c r="X427" s="6" t="n">
        <f aca="false">E427</f>
        <v>1</v>
      </c>
      <c r="Y427" s="6" t="n">
        <f aca="false">F427</f>
        <v>0</v>
      </c>
      <c r="Z427" s="6" t="n">
        <f aca="false">L427</f>
        <v>0</v>
      </c>
      <c r="AA427" s="6" t="n">
        <f aca="false">G427</f>
        <v>0</v>
      </c>
      <c r="AC427" s="6" t="n">
        <f aca="false">D427</f>
        <v>3.74</v>
      </c>
      <c r="AD427" s="6" t="n">
        <f aca="false">E427</f>
        <v>1</v>
      </c>
      <c r="AE427" s="6" t="n">
        <f aca="false">G427</f>
        <v>0</v>
      </c>
      <c r="AF427" s="6" t="n">
        <f aca="false">H427</f>
        <v>0</v>
      </c>
      <c r="AG427" s="6" t="n">
        <f aca="false">I427</f>
        <v>0</v>
      </c>
      <c r="AH427" s="6" t="n">
        <f aca="false">L427</f>
        <v>0</v>
      </c>
    </row>
    <row r="428" customFormat="false" ht="15" hidden="false" customHeight="false" outlineLevel="0" collapsed="false">
      <c r="A428" s="0" t="str">
        <f aca="false">'Raw Data'!C428</f>
        <v>Sauganash</v>
      </c>
      <c r="B428" s="5" t="n">
        <f aca="false">'Raw Data'!A428</f>
        <v>40358</v>
      </c>
      <c r="C428" s="6" t="n">
        <f aca="false">'Raw Data'!D428</f>
        <v>171.31509019742</v>
      </c>
      <c r="D428" s="6" t="n">
        <f aca="false">'Raw Data'!E428</f>
        <v>3.643571429</v>
      </c>
      <c r="E428" s="6" t="n">
        <f aca="false">'Raw Data'!F428</f>
        <v>1</v>
      </c>
      <c r="F428" s="6" t="n">
        <f aca="false">'Raw Data'!G428</f>
        <v>0</v>
      </c>
      <c r="G428" s="6" t="n">
        <f aca="false">'Raw Data'!H428</f>
        <v>0</v>
      </c>
      <c r="H428" s="6" t="n">
        <f aca="false">'Raw Data'!I428</f>
        <v>0</v>
      </c>
      <c r="I428" s="6" t="n">
        <f aca="false">'Raw Data'!J428</f>
        <v>0</v>
      </c>
      <c r="J428" s="6" t="n">
        <f aca="false">'Raw Data'!K428</f>
        <v>0</v>
      </c>
      <c r="K428" s="6" t="n">
        <f aca="false">'Raw Data'!L428</f>
        <v>4</v>
      </c>
      <c r="L428" s="6" t="n">
        <f aca="false">F428*E428</f>
        <v>0</v>
      </c>
      <c r="N428" s="0" t="n">
        <v>1</v>
      </c>
      <c r="O428" s="6" t="n">
        <f aca="false">D428</f>
        <v>3.643571429</v>
      </c>
      <c r="P428" s="6" t="n">
        <f aca="false">E428</f>
        <v>1</v>
      </c>
      <c r="Q428" s="6" t="n">
        <f aca="false">F428</f>
        <v>0</v>
      </c>
      <c r="R428" s="6" t="n">
        <f aca="false">G428</f>
        <v>0</v>
      </c>
      <c r="S428" s="6" t="n">
        <f aca="false">H428</f>
        <v>0</v>
      </c>
      <c r="T428" s="6" t="n">
        <f aca="false">I428</f>
        <v>0</v>
      </c>
      <c r="U428" s="6" t="n">
        <f aca="false">L428</f>
        <v>0</v>
      </c>
      <c r="W428" s="6" t="n">
        <f aca="false">D428</f>
        <v>3.643571429</v>
      </c>
      <c r="X428" s="6" t="n">
        <f aca="false">E428</f>
        <v>1</v>
      </c>
      <c r="Y428" s="6" t="n">
        <f aca="false">F428</f>
        <v>0</v>
      </c>
      <c r="Z428" s="6" t="n">
        <f aca="false">L428</f>
        <v>0</v>
      </c>
      <c r="AA428" s="6" t="n">
        <f aca="false">G428</f>
        <v>0</v>
      </c>
      <c r="AC428" s="6" t="n">
        <f aca="false">D428</f>
        <v>3.643571429</v>
      </c>
      <c r="AD428" s="6" t="n">
        <f aca="false">E428</f>
        <v>1</v>
      </c>
      <c r="AE428" s="6" t="n">
        <f aca="false">G428</f>
        <v>0</v>
      </c>
      <c r="AF428" s="6" t="n">
        <f aca="false">H428</f>
        <v>0</v>
      </c>
      <c r="AG428" s="6" t="n">
        <f aca="false">I428</f>
        <v>0</v>
      </c>
      <c r="AH428" s="6" t="n">
        <f aca="false">L428</f>
        <v>0</v>
      </c>
    </row>
    <row r="429" customFormat="false" ht="15" hidden="false" customHeight="false" outlineLevel="0" collapsed="false">
      <c r="A429" s="0" t="str">
        <f aca="false">'Raw Data'!C429</f>
        <v>Sauganash</v>
      </c>
      <c r="B429" s="5" t="n">
        <f aca="false">'Raw Data'!A429</f>
        <v>40365</v>
      </c>
      <c r="C429" s="6" t="n">
        <f aca="false">'Raw Data'!D429</f>
        <v>305.195583605854</v>
      </c>
      <c r="D429" s="6" t="n">
        <f aca="false">'Raw Data'!E429</f>
        <v>3.518</v>
      </c>
      <c r="E429" s="6" t="n">
        <f aca="false">'Raw Data'!F429</f>
        <v>1</v>
      </c>
      <c r="F429" s="6" t="n">
        <f aca="false">'Raw Data'!G429</f>
        <v>0</v>
      </c>
      <c r="G429" s="6" t="n">
        <f aca="false">'Raw Data'!H429</f>
        <v>0</v>
      </c>
      <c r="H429" s="6" t="n">
        <f aca="false">'Raw Data'!I429</f>
        <v>0</v>
      </c>
      <c r="I429" s="6" t="n">
        <f aca="false">'Raw Data'!J429</f>
        <v>0</v>
      </c>
      <c r="J429" s="6" t="n">
        <f aca="false">'Raw Data'!K429</f>
        <v>0</v>
      </c>
      <c r="K429" s="6" t="n">
        <f aca="false">'Raw Data'!L429</f>
        <v>4</v>
      </c>
      <c r="L429" s="6" t="n">
        <f aca="false">F429*E429</f>
        <v>0</v>
      </c>
      <c r="N429" s="0" t="n">
        <v>1</v>
      </c>
      <c r="O429" s="6" t="n">
        <f aca="false">D429</f>
        <v>3.518</v>
      </c>
      <c r="P429" s="6" t="n">
        <f aca="false">E429</f>
        <v>1</v>
      </c>
      <c r="Q429" s="6" t="n">
        <f aca="false">F429</f>
        <v>0</v>
      </c>
      <c r="R429" s="6" t="n">
        <f aca="false">G429</f>
        <v>0</v>
      </c>
      <c r="S429" s="6" t="n">
        <f aca="false">H429</f>
        <v>0</v>
      </c>
      <c r="T429" s="6" t="n">
        <f aca="false">I429</f>
        <v>0</v>
      </c>
      <c r="U429" s="6" t="n">
        <f aca="false">L429</f>
        <v>0</v>
      </c>
      <c r="W429" s="6" t="n">
        <f aca="false">D429</f>
        <v>3.518</v>
      </c>
      <c r="X429" s="6" t="n">
        <f aca="false">E429</f>
        <v>1</v>
      </c>
      <c r="Y429" s="6" t="n">
        <f aca="false">F429</f>
        <v>0</v>
      </c>
      <c r="Z429" s="6" t="n">
        <f aca="false">L429</f>
        <v>0</v>
      </c>
      <c r="AA429" s="6" t="n">
        <f aca="false">G429</f>
        <v>0</v>
      </c>
      <c r="AC429" s="6" t="n">
        <f aca="false">D429</f>
        <v>3.518</v>
      </c>
      <c r="AD429" s="6" t="n">
        <f aca="false">E429</f>
        <v>1</v>
      </c>
      <c r="AE429" s="6" t="n">
        <f aca="false">G429</f>
        <v>0</v>
      </c>
      <c r="AF429" s="6" t="n">
        <f aca="false">H429</f>
        <v>0</v>
      </c>
      <c r="AG429" s="6" t="n">
        <f aca="false">I429</f>
        <v>0</v>
      </c>
      <c r="AH429" s="6" t="n">
        <f aca="false">L429</f>
        <v>0</v>
      </c>
    </row>
    <row r="430" customFormat="false" ht="15" hidden="false" customHeight="false" outlineLevel="0" collapsed="false">
      <c r="A430" s="0" t="str">
        <f aca="false">'Raw Data'!C430</f>
        <v>Sauganash</v>
      </c>
      <c r="B430" s="5" t="n">
        <f aca="false">'Raw Data'!A430</f>
        <v>40372</v>
      </c>
      <c r="C430" s="6" t="n">
        <f aca="false">'Raw Data'!D430</f>
        <v>260.913281866099</v>
      </c>
      <c r="D430" s="6" t="n">
        <f aca="false">'Raw Data'!E430</f>
        <v>3.781666667</v>
      </c>
      <c r="E430" s="6" t="n">
        <f aca="false">'Raw Data'!F430</f>
        <v>1</v>
      </c>
      <c r="F430" s="6" t="n">
        <f aca="false">'Raw Data'!G430</f>
        <v>0</v>
      </c>
      <c r="G430" s="6" t="n">
        <f aca="false">'Raw Data'!H430</f>
        <v>0</v>
      </c>
      <c r="H430" s="6" t="n">
        <f aca="false">'Raw Data'!I430</f>
        <v>0</v>
      </c>
      <c r="I430" s="6" t="n">
        <f aca="false">'Raw Data'!J430</f>
        <v>0</v>
      </c>
      <c r="J430" s="6" t="n">
        <f aca="false">'Raw Data'!K430</f>
        <v>0</v>
      </c>
      <c r="K430" s="6" t="n">
        <f aca="false">'Raw Data'!L430</f>
        <v>4</v>
      </c>
      <c r="L430" s="6" t="n">
        <f aca="false">F430*E430</f>
        <v>0</v>
      </c>
      <c r="N430" s="0" t="n">
        <v>1</v>
      </c>
      <c r="O430" s="6" t="n">
        <f aca="false">D430</f>
        <v>3.781666667</v>
      </c>
      <c r="P430" s="6" t="n">
        <f aca="false">E430</f>
        <v>1</v>
      </c>
      <c r="Q430" s="6" t="n">
        <f aca="false">F430</f>
        <v>0</v>
      </c>
      <c r="R430" s="6" t="n">
        <f aca="false">G430</f>
        <v>0</v>
      </c>
      <c r="S430" s="6" t="n">
        <f aca="false">H430</f>
        <v>0</v>
      </c>
      <c r="T430" s="6" t="n">
        <f aca="false">I430</f>
        <v>0</v>
      </c>
      <c r="U430" s="6" t="n">
        <f aca="false">L430</f>
        <v>0</v>
      </c>
      <c r="W430" s="6" t="n">
        <f aca="false">D430</f>
        <v>3.781666667</v>
      </c>
      <c r="X430" s="6" t="n">
        <f aca="false">E430</f>
        <v>1</v>
      </c>
      <c r="Y430" s="6" t="n">
        <f aca="false">F430</f>
        <v>0</v>
      </c>
      <c r="Z430" s="6" t="n">
        <f aca="false">L430</f>
        <v>0</v>
      </c>
      <c r="AA430" s="6" t="n">
        <f aca="false">G430</f>
        <v>0</v>
      </c>
      <c r="AC430" s="6" t="n">
        <f aca="false">D430</f>
        <v>3.781666667</v>
      </c>
      <c r="AD430" s="6" t="n">
        <f aca="false">E430</f>
        <v>1</v>
      </c>
      <c r="AE430" s="6" t="n">
        <f aca="false">G430</f>
        <v>0</v>
      </c>
      <c r="AF430" s="6" t="n">
        <f aca="false">H430</f>
        <v>0</v>
      </c>
      <c r="AG430" s="6" t="n">
        <f aca="false">I430</f>
        <v>0</v>
      </c>
      <c r="AH430" s="6" t="n">
        <f aca="false">L430</f>
        <v>0</v>
      </c>
    </row>
    <row r="431" customFormat="false" ht="15" hidden="false" customHeight="false" outlineLevel="0" collapsed="false">
      <c r="A431" s="0" t="str">
        <f aca="false">'Raw Data'!C431</f>
        <v>South Loop</v>
      </c>
      <c r="B431" s="5" t="n">
        <f aca="false">'Raw Data'!A431</f>
        <v>40302</v>
      </c>
      <c r="C431" s="6" t="n">
        <f aca="false">'Raw Data'!D431</f>
        <v>194.992941075131</v>
      </c>
      <c r="D431" s="6" t="n">
        <f aca="false">'Raw Data'!E431</f>
        <v>4.167777778</v>
      </c>
      <c r="E431" s="6" t="n">
        <f aca="false">'Raw Data'!F431</f>
        <v>1</v>
      </c>
      <c r="F431" s="6" t="n">
        <f aca="false">'Raw Data'!G431</f>
        <v>0</v>
      </c>
      <c r="G431" s="6" t="n">
        <f aca="false">'Raw Data'!H431</f>
        <v>0</v>
      </c>
      <c r="H431" s="6" t="n">
        <f aca="false">'Raw Data'!I431</f>
        <v>0</v>
      </c>
      <c r="I431" s="6" t="n">
        <f aca="false">'Raw Data'!J431</f>
        <v>0</v>
      </c>
      <c r="J431" s="6" t="n">
        <f aca="false">'Raw Data'!K431</f>
        <v>0</v>
      </c>
      <c r="K431" s="6" t="n">
        <f aca="false">'Raw Data'!L431</f>
        <v>2</v>
      </c>
      <c r="L431" s="6" t="n">
        <f aca="false">F431*E431</f>
        <v>0</v>
      </c>
      <c r="N431" s="0" t="n">
        <v>1</v>
      </c>
      <c r="O431" s="6" t="n">
        <f aca="false">D431</f>
        <v>4.167777778</v>
      </c>
      <c r="P431" s="6" t="n">
        <f aca="false">E431</f>
        <v>1</v>
      </c>
      <c r="Q431" s="6" t="n">
        <f aca="false">F431</f>
        <v>0</v>
      </c>
      <c r="R431" s="6" t="n">
        <f aca="false">G431</f>
        <v>0</v>
      </c>
      <c r="S431" s="6" t="n">
        <f aca="false">H431</f>
        <v>0</v>
      </c>
      <c r="T431" s="6" t="n">
        <f aca="false">I431</f>
        <v>0</v>
      </c>
      <c r="U431" s="6" t="n">
        <f aca="false">L431</f>
        <v>0</v>
      </c>
      <c r="W431" s="6" t="n">
        <f aca="false">D431</f>
        <v>4.167777778</v>
      </c>
      <c r="X431" s="6" t="n">
        <f aca="false">E431</f>
        <v>1</v>
      </c>
      <c r="Y431" s="6" t="n">
        <f aca="false">F431</f>
        <v>0</v>
      </c>
      <c r="Z431" s="6" t="n">
        <f aca="false">L431</f>
        <v>0</v>
      </c>
      <c r="AA431" s="6" t="n">
        <f aca="false">G431</f>
        <v>0</v>
      </c>
      <c r="AC431" s="6" t="n">
        <f aca="false">D431</f>
        <v>4.167777778</v>
      </c>
      <c r="AD431" s="6" t="n">
        <f aca="false">E431</f>
        <v>1</v>
      </c>
      <c r="AE431" s="6" t="n">
        <f aca="false">G431</f>
        <v>0</v>
      </c>
      <c r="AF431" s="6" t="n">
        <f aca="false">H431</f>
        <v>0</v>
      </c>
      <c r="AG431" s="6" t="n">
        <f aca="false">I431</f>
        <v>0</v>
      </c>
      <c r="AH431" s="6" t="n">
        <f aca="false">L431</f>
        <v>0</v>
      </c>
    </row>
    <row r="432" customFormat="false" ht="15" hidden="false" customHeight="false" outlineLevel="0" collapsed="false">
      <c r="A432" s="0" t="str">
        <f aca="false">'Raw Data'!C432</f>
        <v>South Loop</v>
      </c>
      <c r="B432" s="5" t="n">
        <f aca="false">'Raw Data'!A432</f>
        <v>40309</v>
      </c>
      <c r="C432" s="6" t="n">
        <f aca="false">'Raw Data'!D432</f>
        <v>272.004793135819</v>
      </c>
      <c r="D432" s="6" t="n">
        <f aca="false">'Raw Data'!E432</f>
        <v>4.55</v>
      </c>
      <c r="E432" s="6" t="n">
        <f aca="false">'Raw Data'!F432</f>
        <v>1</v>
      </c>
      <c r="F432" s="6" t="n">
        <f aca="false">'Raw Data'!G432</f>
        <v>0</v>
      </c>
      <c r="G432" s="6" t="n">
        <f aca="false">'Raw Data'!H432</f>
        <v>0</v>
      </c>
      <c r="H432" s="6" t="n">
        <f aca="false">'Raw Data'!I432</f>
        <v>0</v>
      </c>
      <c r="I432" s="6" t="n">
        <f aca="false">'Raw Data'!J432</f>
        <v>0</v>
      </c>
      <c r="J432" s="6" t="n">
        <f aca="false">'Raw Data'!K432</f>
        <v>0</v>
      </c>
      <c r="K432" s="6" t="n">
        <f aca="false">'Raw Data'!L432</f>
        <v>2</v>
      </c>
      <c r="L432" s="6" t="n">
        <f aca="false">F432*E432</f>
        <v>0</v>
      </c>
      <c r="N432" s="0" t="n">
        <v>1</v>
      </c>
      <c r="O432" s="6" t="n">
        <f aca="false">D432</f>
        <v>4.55</v>
      </c>
      <c r="P432" s="6" t="n">
        <f aca="false">E432</f>
        <v>1</v>
      </c>
      <c r="Q432" s="6" t="n">
        <f aca="false">F432</f>
        <v>0</v>
      </c>
      <c r="R432" s="6" t="n">
        <f aca="false">G432</f>
        <v>0</v>
      </c>
      <c r="S432" s="6" t="n">
        <f aca="false">H432</f>
        <v>0</v>
      </c>
      <c r="T432" s="6" t="n">
        <f aca="false">I432</f>
        <v>0</v>
      </c>
      <c r="U432" s="6" t="n">
        <f aca="false">L432</f>
        <v>0</v>
      </c>
      <c r="W432" s="6" t="n">
        <f aca="false">D432</f>
        <v>4.55</v>
      </c>
      <c r="X432" s="6" t="n">
        <f aca="false">E432</f>
        <v>1</v>
      </c>
      <c r="Y432" s="6" t="n">
        <f aca="false">F432</f>
        <v>0</v>
      </c>
      <c r="Z432" s="6" t="n">
        <f aca="false">L432</f>
        <v>0</v>
      </c>
      <c r="AA432" s="6" t="n">
        <f aca="false">G432</f>
        <v>0</v>
      </c>
      <c r="AC432" s="6" t="n">
        <f aca="false">D432</f>
        <v>4.55</v>
      </c>
      <c r="AD432" s="6" t="n">
        <f aca="false">E432</f>
        <v>1</v>
      </c>
      <c r="AE432" s="6" t="n">
        <f aca="false">G432</f>
        <v>0</v>
      </c>
      <c r="AF432" s="6" t="n">
        <f aca="false">H432</f>
        <v>0</v>
      </c>
      <c r="AG432" s="6" t="n">
        <f aca="false">I432</f>
        <v>0</v>
      </c>
      <c r="AH432" s="6" t="n">
        <f aca="false">L432</f>
        <v>0</v>
      </c>
    </row>
    <row r="433" customFormat="false" ht="15" hidden="false" customHeight="false" outlineLevel="0" collapsed="false">
      <c r="A433" s="0" t="str">
        <f aca="false">'Raw Data'!C433</f>
        <v>South Loop</v>
      </c>
      <c r="B433" s="5" t="n">
        <f aca="false">'Raw Data'!A433</f>
        <v>40316</v>
      </c>
      <c r="C433" s="6" t="n">
        <f aca="false">'Raw Data'!D433</f>
        <v>287.809017437598</v>
      </c>
      <c r="D433" s="6" t="n">
        <f aca="false">'Raw Data'!E433</f>
        <v>3.628461538</v>
      </c>
      <c r="E433" s="6" t="n">
        <f aca="false">'Raw Data'!F433</f>
        <v>1</v>
      </c>
      <c r="F433" s="6" t="n">
        <f aca="false">'Raw Data'!G433</f>
        <v>0</v>
      </c>
      <c r="G433" s="6" t="n">
        <f aca="false">'Raw Data'!H433</f>
        <v>0</v>
      </c>
      <c r="H433" s="6" t="n">
        <f aca="false">'Raw Data'!I433</f>
        <v>0</v>
      </c>
      <c r="I433" s="6" t="n">
        <f aca="false">'Raw Data'!J433</f>
        <v>0</v>
      </c>
      <c r="J433" s="6" t="n">
        <f aca="false">'Raw Data'!K433</f>
        <v>0</v>
      </c>
      <c r="K433" s="6" t="n">
        <f aca="false">'Raw Data'!L433</f>
        <v>2</v>
      </c>
      <c r="L433" s="6" t="n">
        <f aca="false">F433*E433</f>
        <v>0</v>
      </c>
      <c r="N433" s="0" t="n">
        <v>1</v>
      </c>
      <c r="O433" s="6" t="n">
        <f aca="false">D433</f>
        <v>3.628461538</v>
      </c>
      <c r="P433" s="6" t="n">
        <f aca="false">E433</f>
        <v>1</v>
      </c>
      <c r="Q433" s="6" t="n">
        <f aca="false">F433</f>
        <v>0</v>
      </c>
      <c r="R433" s="6" t="n">
        <f aca="false">G433</f>
        <v>0</v>
      </c>
      <c r="S433" s="6" t="n">
        <f aca="false">H433</f>
        <v>0</v>
      </c>
      <c r="T433" s="6" t="n">
        <f aca="false">I433</f>
        <v>0</v>
      </c>
      <c r="U433" s="6" t="n">
        <f aca="false">L433</f>
        <v>0</v>
      </c>
      <c r="W433" s="6" t="n">
        <f aca="false">D433</f>
        <v>3.628461538</v>
      </c>
      <c r="X433" s="6" t="n">
        <f aca="false">E433</f>
        <v>1</v>
      </c>
      <c r="Y433" s="6" t="n">
        <f aca="false">F433</f>
        <v>0</v>
      </c>
      <c r="Z433" s="6" t="n">
        <f aca="false">L433</f>
        <v>0</v>
      </c>
      <c r="AA433" s="6" t="n">
        <f aca="false">G433</f>
        <v>0</v>
      </c>
      <c r="AC433" s="6" t="n">
        <f aca="false">D433</f>
        <v>3.628461538</v>
      </c>
      <c r="AD433" s="6" t="n">
        <f aca="false">E433</f>
        <v>1</v>
      </c>
      <c r="AE433" s="6" t="n">
        <f aca="false">G433</f>
        <v>0</v>
      </c>
      <c r="AF433" s="6" t="n">
        <f aca="false">H433</f>
        <v>0</v>
      </c>
      <c r="AG433" s="6" t="n">
        <f aca="false">I433</f>
        <v>0</v>
      </c>
      <c r="AH433" s="6" t="n">
        <f aca="false">L433</f>
        <v>0</v>
      </c>
    </row>
    <row r="434" customFormat="false" ht="15" hidden="false" customHeight="false" outlineLevel="0" collapsed="false">
      <c r="A434" s="0" t="str">
        <f aca="false">'Raw Data'!C434</f>
        <v>South Loop</v>
      </c>
      <c r="B434" s="5" t="n">
        <f aca="false">'Raw Data'!A434</f>
        <v>40323</v>
      </c>
      <c r="C434" s="6" t="n">
        <f aca="false">'Raw Data'!D434</f>
        <v>249.913642741701</v>
      </c>
      <c r="D434" s="6" t="n">
        <f aca="false">'Raw Data'!E434</f>
        <v>3.761428571</v>
      </c>
      <c r="E434" s="6" t="n">
        <f aca="false">'Raw Data'!F434</f>
        <v>1</v>
      </c>
      <c r="F434" s="6" t="n">
        <f aca="false">'Raw Data'!G434</f>
        <v>0</v>
      </c>
      <c r="G434" s="6" t="n">
        <f aca="false">'Raw Data'!H434</f>
        <v>0</v>
      </c>
      <c r="H434" s="6" t="n">
        <f aca="false">'Raw Data'!I434</f>
        <v>0</v>
      </c>
      <c r="I434" s="6" t="n">
        <f aca="false">'Raw Data'!J434</f>
        <v>0</v>
      </c>
      <c r="J434" s="6" t="n">
        <f aca="false">'Raw Data'!K434</f>
        <v>0</v>
      </c>
      <c r="K434" s="6" t="n">
        <f aca="false">'Raw Data'!L434</f>
        <v>2</v>
      </c>
      <c r="L434" s="6" t="n">
        <f aca="false">F434*E434</f>
        <v>0</v>
      </c>
      <c r="N434" s="0" t="n">
        <v>1</v>
      </c>
      <c r="O434" s="6" t="n">
        <f aca="false">D434</f>
        <v>3.761428571</v>
      </c>
      <c r="P434" s="6" t="n">
        <f aca="false">E434</f>
        <v>1</v>
      </c>
      <c r="Q434" s="6" t="n">
        <f aca="false">F434</f>
        <v>0</v>
      </c>
      <c r="R434" s="6" t="n">
        <f aca="false">G434</f>
        <v>0</v>
      </c>
      <c r="S434" s="6" t="n">
        <f aca="false">H434</f>
        <v>0</v>
      </c>
      <c r="T434" s="6" t="n">
        <f aca="false">I434</f>
        <v>0</v>
      </c>
      <c r="U434" s="6" t="n">
        <f aca="false">L434</f>
        <v>0</v>
      </c>
      <c r="W434" s="6" t="n">
        <f aca="false">D434</f>
        <v>3.761428571</v>
      </c>
      <c r="X434" s="6" t="n">
        <f aca="false">E434</f>
        <v>1</v>
      </c>
      <c r="Y434" s="6" t="n">
        <f aca="false">F434</f>
        <v>0</v>
      </c>
      <c r="Z434" s="6" t="n">
        <f aca="false">L434</f>
        <v>0</v>
      </c>
      <c r="AA434" s="6" t="n">
        <f aca="false">G434</f>
        <v>0</v>
      </c>
      <c r="AC434" s="6" t="n">
        <f aca="false">D434</f>
        <v>3.761428571</v>
      </c>
      <c r="AD434" s="6" t="n">
        <f aca="false">E434</f>
        <v>1</v>
      </c>
      <c r="AE434" s="6" t="n">
        <f aca="false">G434</f>
        <v>0</v>
      </c>
      <c r="AF434" s="6" t="n">
        <f aca="false">H434</f>
        <v>0</v>
      </c>
      <c r="AG434" s="6" t="n">
        <f aca="false">I434</f>
        <v>0</v>
      </c>
      <c r="AH434" s="6" t="n">
        <f aca="false">L434</f>
        <v>0</v>
      </c>
    </row>
    <row r="435" customFormat="false" ht="15" hidden="false" customHeight="false" outlineLevel="0" collapsed="false">
      <c r="A435" s="0" t="str">
        <f aca="false">'Raw Data'!C435</f>
        <v>South Loop</v>
      </c>
      <c r="B435" s="5" t="n">
        <f aca="false">'Raw Data'!A435</f>
        <v>40330</v>
      </c>
      <c r="C435" s="6" t="n">
        <f aca="false">'Raw Data'!D435</f>
        <v>331.067551967548</v>
      </c>
      <c r="D435" s="6" t="n">
        <f aca="false">'Raw Data'!E435</f>
        <v>3.682857143</v>
      </c>
      <c r="E435" s="6" t="n">
        <f aca="false">'Raw Data'!F435</f>
        <v>1</v>
      </c>
      <c r="F435" s="6" t="n">
        <f aca="false">'Raw Data'!G435</f>
        <v>0</v>
      </c>
      <c r="G435" s="6" t="n">
        <f aca="false">'Raw Data'!H435</f>
        <v>0</v>
      </c>
      <c r="H435" s="6" t="n">
        <f aca="false">'Raw Data'!I435</f>
        <v>0</v>
      </c>
      <c r="I435" s="6" t="n">
        <f aca="false">'Raw Data'!J435</f>
        <v>0</v>
      </c>
      <c r="J435" s="6" t="n">
        <f aca="false">'Raw Data'!K435</f>
        <v>0</v>
      </c>
      <c r="K435" s="6" t="n">
        <f aca="false">'Raw Data'!L435</f>
        <v>2</v>
      </c>
      <c r="L435" s="6" t="n">
        <f aca="false">F435*E435</f>
        <v>0</v>
      </c>
      <c r="N435" s="0" t="n">
        <v>1</v>
      </c>
      <c r="O435" s="6" t="n">
        <f aca="false">D435</f>
        <v>3.682857143</v>
      </c>
      <c r="P435" s="6" t="n">
        <f aca="false">E435</f>
        <v>1</v>
      </c>
      <c r="Q435" s="6" t="n">
        <f aca="false">F435</f>
        <v>0</v>
      </c>
      <c r="R435" s="6" t="n">
        <f aca="false">G435</f>
        <v>0</v>
      </c>
      <c r="S435" s="6" t="n">
        <f aca="false">H435</f>
        <v>0</v>
      </c>
      <c r="T435" s="6" t="n">
        <f aca="false">I435</f>
        <v>0</v>
      </c>
      <c r="U435" s="6" t="n">
        <f aca="false">L435</f>
        <v>0</v>
      </c>
      <c r="W435" s="6" t="n">
        <f aca="false">D435</f>
        <v>3.682857143</v>
      </c>
      <c r="X435" s="6" t="n">
        <f aca="false">E435</f>
        <v>1</v>
      </c>
      <c r="Y435" s="6" t="n">
        <f aca="false">F435</f>
        <v>0</v>
      </c>
      <c r="Z435" s="6" t="n">
        <f aca="false">L435</f>
        <v>0</v>
      </c>
      <c r="AA435" s="6" t="n">
        <f aca="false">G435</f>
        <v>0</v>
      </c>
      <c r="AC435" s="6" t="n">
        <f aca="false">D435</f>
        <v>3.682857143</v>
      </c>
      <c r="AD435" s="6" t="n">
        <f aca="false">E435</f>
        <v>1</v>
      </c>
      <c r="AE435" s="6" t="n">
        <f aca="false">G435</f>
        <v>0</v>
      </c>
      <c r="AF435" s="6" t="n">
        <f aca="false">H435</f>
        <v>0</v>
      </c>
      <c r="AG435" s="6" t="n">
        <f aca="false">I435</f>
        <v>0</v>
      </c>
      <c r="AH435" s="6" t="n">
        <f aca="false">L435</f>
        <v>0</v>
      </c>
    </row>
    <row r="436" customFormat="false" ht="15" hidden="false" customHeight="false" outlineLevel="0" collapsed="false">
      <c r="A436" s="0" t="str">
        <f aca="false">'Raw Data'!C436</f>
        <v>South Loop</v>
      </c>
      <c r="B436" s="5" t="n">
        <f aca="false">'Raw Data'!A436</f>
        <v>40337</v>
      </c>
      <c r="C436" s="6" t="n">
        <f aca="false">'Raw Data'!D436</f>
        <v>294.777980613199</v>
      </c>
      <c r="D436" s="6" t="n">
        <f aca="false">'Raw Data'!E436</f>
        <v>4.096666667</v>
      </c>
      <c r="E436" s="6" t="n">
        <f aca="false">'Raw Data'!F436</f>
        <v>1</v>
      </c>
      <c r="F436" s="6" t="n">
        <f aca="false">'Raw Data'!G436</f>
        <v>0</v>
      </c>
      <c r="G436" s="6" t="n">
        <f aca="false">'Raw Data'!H436</f>
        <v>0</v>
      </c>
      <c r="H436" s="6" t="n">
        <f aca="false">'Raw Data'!I436</f>
        <v>0</v>
      </c>
      <c r="I436" s="6" t="n">
        <f aca="false">'Raw Data'!J436</f>
        <v>0</v>
      </c>
      <c r="J436" s="6" t="n">
        <f aca="false">'Raw Data'!K436</f>
        <v>0</v>
      </c>
      <c r="K436" s="6" t="n">
        <f aca="false">'Raw Data'!L436</f>
        <v>2</v>
      </c>
      <c r="L436" s="6" t="n">
        <f aca="false">F436*E436</f>
        <v>0</v>
      </c>
      <c r="N436" s="0" t="n">
        <v>1</v>
      </c>
      <c r="O436" s="6" t="n">
        <f aca="false">D436</f>
        <v>4.096666667</v>
      </c>
      <c r="P436" s="6" t="n">
        <f aca="false">E436</f>
        <v>1</v>
      </c>
      <c r="Q436" s="6" t="n">
        <f aca="false">F436</f>
        <v>0</v>
      </c>
      <c r="R436" s="6" t="n">
        <f aca="false">G436</f>
        <v>0</v>
      </c>
      <c r="S436" s="6" t="n">
        <f aca="false">H436</f>
        <v>0</v>
      </c>
      <c r="T436" s="6" t="n">
        <f aca="false">I436</f>
        <v>0</v>
      </c>
      <c r="U436" s="6" t="n">
        <f aca="false">L436</f>
        <v>0</v>
      </c>
      <c r="W436" s="6" t="n">
        <f aca="false">D436</f>
        <v>4.096666667</v>
      </c>
      <c r="X436" s="6" t="n">
        <f aca="false">E436</f>
        <v>1</v>
      </c>
      <c r="Y436" s="6" t="n">
        <f aca="false">F436</f>
        <v>0</v>
      </c>
      <c r="Z436" s="6" t="n">
        <f aca="false">L436</f>
        <v>0</v>
      </c>
      <c r="AA436" s="6" t="n">
        <f aca="false">G436</f>
        <v>0</v>
      </c>
      <c r="AC436" s="6" t="n">
        <f aca="false">D436</f>
        <v>4.096666667</v>
      </c>
      <c r="AD436" s="6" t="n">
        <f aca="false">E436</f>
        <v>1</v>
      </c>
      <c r="AE436" s="6" t="n">
        <f aca="false">G436</f>
        <v>0</v>
      </c>
      <c r="AF436" s="6" t="n">
        <f aca="false">H436</f>
        <v>0</v>
      </c>
      <c r="AG436" s="6" t="n">
        <f aca="false">I436</f>
        <v>0</v>
      </c>
      <c r="AH436" s="6" t="n">
        <f aca="false">L436</f>
        <v>0</v>
      </c>
    </row>
    <row r="437" customFormat="false" ht="15" hidden="false" customHeight="false" outlineLevel="0" collapsed="false">
      <c r="A437" s="0" t="str">
        <f aca="false">'Raw Data'!C437</f>
        <v>South Loop</v>
      </c>
      <c r="B437" s="5" t="n">
        <f aca="false">'Raw Data'!A437</f>
        <v>40344</v>
      </c>
      <c r="C437" s="6" t="n">
        <f aca="false">'Raw Data'!D437</f>
        <v>428.259504665654</v>
      </c>
      <c r="D437" s="6" t="n">
        <f aca="false">'Raw Data'!E437</f>
        <v>4.096666667</v>
      </c>
      <c r="E437" s="6" t="n">
        <f aca="false">'Raw Data'!F437</f>
        <v>1</v>
      </c>
      <c r="F437" s="6" t="n">
        <f aca="false">'Raw Data'!G437</f>
        <v>0</v>
      </c>
      <c r="G437" s="6" t="n">
        <f aca="false">'Raw Data'!H437</f>
        <v>0</v>
      </c>
      <c r="H437" s="6" t="n">
        <f aca="false">'Raw Data'!I437</f>
        <v>0</v>
      </c>
      <c r="I437" s="6" t="n">
        <f aca="false">'Raw Data'!J437</f>
        <v>0</v>
      </c>
      <c r="J437" s="6" t="n">
        <f aca="false">'Raw Data'!K437</f>
        <v>0</v>
      </c>
      <c r="K437" s="6" t="n">
        <f aca="false">'Raw Data'!L437</f>
        <v>2</v>
      </c>
      <c r="L437" s="6" t="n">
        <f aca="false">F437*E437</f>
        <v>0</v>
      </c>
      <c r="N437" s="0" t="n">
        <v>1</v>
      </c>
      <c r="O437" s="6" t="n">
        <f aca="false">D437</f>
        <v>4.096666667</v>
      </c>
      <c r="P437" s="6" t="n">
        <f aca="false">E437</f>
        <v>1</v>
      </c>
      <c r="Q437" s="6" t="n">
        <f aca="false">F437</f>
        <v>0</v>
      </c>
      <c r="R437" s="6" t="n">
        <f aca="false">G437</f>
        <v>0</v>
      </c>
      <c r="S437" s="6" t="n">
        <f aca="false">H437</f>
        <v>0</v>
      </c>
      <c r="T437" s="6" t="n">
        <f aca="false">I437</f>
        <v>0</v>
      </c>
      <c r="U437" s="6" t="n">
        <f aca="false">L437</f>
        <v>0</v>
      </c>
      <c r="W437" s="6" t="n">
        <f aca="false">D437</f>
        <v>4.096666667</v>
      </c>
      <c r="X437" s="6" t="n">
        <f aca="false">E437</f>
        <v>1</v>
      </c>
      <c r="Y437" s="6" t="n">
        <f aca="false">F437</f>
        <v>0</v>
      </c>
      <c r="Z437" s="6" t="n">
        <f aca="false">L437</f>
        <v>0</v>
      </c>
      <c r="AA437" s="6" t="n">
        <f aca="false">G437</f>
        <v>0</v>
      </c>
      <c r="AC437" s="6" t="n">
        <f aca="false">D437</f>
        <v>4.096666667</v>
      </c>
      <c r="AD437" s="6" t="n">
        <f aca="false">E437</f>
        <v>1</v>
      </c>
      <c r="AE437" s="6" t="n">
        <f aca="false">G437</f>
        <v>0</v>
      </c>
      <c r="AF437" s="6" t="n">
        <f aca="false">H437</f>
        <v>0</v>
      </c>
      <c r="AG437" s="6" t="n">
        <f aca="false">I437</f>
        <v>0</v>
      </c>
      <c r="AH437" s="6" t="n">
        <f aca="false">L437</f>
        <v>0</v>
      </c>
    </row>
    <row r="438" customFormat="false" ht="15" hidden="false" customHeight="false" outlineLevel="0" collapsed="false">
      <c r="A438" s="0" t="str">
        <f aca="false">'Raw Data'!C438</f>
        <v>South Loop</v>
      </c>
      <c r="B438" s="5" t="n">
        <f aca="false">'Raw Data'!A438</f>
        <v>40351</v>
      </c>
      <c r="C438" s="6" t="n">
        <f aca="false">'Raw Data'!D438</f>
        <v>303.944954406258</v>
      </c>
      <c r="D438" s="6" t="n">
        <f aca="false">'Raw Data'!E438</f>
        <v>4.336666667</v>
      </c>
      <c r="E438" s="6" t="n">
        <f aca="false">'Raw Data'!F438</f>
        <v>1</v>
      </c>
      <c r="F438" s="6" t="n">
        <f aca="false">'Raw Data'!G438</f>
        <v>0</v>
      </c>
      <c r="G438" s="6" t="n">
        <f aca="false">'Raw Data'!H438</f>
        <v>1</v>
      </c>
      <c r="H438" s="6" t="n">
        <f aca="false">'Raw Data'!I438</f>
        <v>0</v>
      </c>
      <c r="I438" s="6" t="n">
        <f aca="false">'Raw Data'!J438</f>
        <v>0</v>
      </c>
      <c r="J438" s="6" t="n">
        <f aca="false">'Raw Data'!K438</f>
        <v>0</v>
      </c>
      <c r="K438" s="6" t="n">
        <f aca="false">'Raw Data'!L438</f>
        <v>2</v>
      </c>
      <c r="L438" s="6" t="n">
        <f aca="false">F438*E438</f>
        <v>0</v>
      </c>
      <c r="N438" s="0" t="n">
        <v>1</v>
      </c>
      <c r="O438" s="6" t="n">
        <f aca="false">D438</f>
        <v>4.336666667</v>
      </c>
      <c r="P438" s="6" t="n">
        <f aca="false">E438</f>
        <v>1</v>
      </c>
      <c r="Q438" s="6" t="n">
        <f aca="false">F438</f>
        <v>0</v>
      </c>
      <c r="R438" s="6" t="n">
        <f aca="false">G438</f>
        <v>1</v>
      </c>
      <c r="S438" s="6" t="n">
        <f aca="false">H438</f>
        <v>0</v>
      </c>
      <c r="T438" s="6" t="n">
        <f aca="false">I438</f>
        <v>0</v>
      </c>
      <c r="U438" s="6" t="n">
        <f aca="false">L438</f>
        <v>0</v>
      </c>
      <c r="W438" s="6" t="n">
        <f aca="false">D438</f>
        <v>4.336666667</v>
      </c>
      <c r="X438" s="6" t="n">
        <f aca="false">E438</f>
        <v>1</v>
      </c>
      <c r="Y438" s="6" t="n">
        <f aca="false">F438</f>
        <v>0</v>
      </c>
      <c r="Z438" s="6" t="n">
        <f aca="false">L438</f>
        <v>0</v>
      </c>
      <c r="AA438" s="6" t="n">
        <f aca="false">G438</f>
        <v>1</v>
      </c>
      <c r="AC438" s="6" t="n">
        <f aca="false">D438</f>
        <v>4.336666667</v>
      </c>
      <c r="AD438" s="6" t="n">
        <f aca="false">E438</f>
        <v>1</v>
      </c>
      <c r="AE438" s="6" t="n">
        <f aca="false">G438</f>
        <v>1</v>
      </c>
      <c r="AF438" s="6" t="n">
        <f aca="false">H438</f>
        <v>0</v>
      </c>
      <c r="AG438" s="6" t="n">
        <f aca="false">I438</f>
        <v>0</v>
      </c>
      <c r="AH438" s="6" t="n">
        <f aca="false">L438</f>
        <v>0</v>
      </c>
    </row>
    <row r="439" customFormat="false" ht="15" hidden="false" customHeight="false" outlineLevel="0" collapsed="false">
      <c r="A439" s="0" t="str">
        <f aca="false">'Raw Data'!C439</f>
        <v>South Loop</v>
      </c>
      <c r="B439" s="5" t="n">
        <f aca="false">'Raw Data'!A439</f>
        <v>40358</v>
      </c>
      <c r="C439" s="6" t="n">
        <f aca="false">'Raw Data'!D439</f>
        <v>422.672580978012</v>
      </c>
      <c r="D439" s="6" t="n">
        <f aca="false">'Raw Data'!E439</f>
        <v>3.391875</v>
      </c>
      <c r="E439" s="6" t="n">
        <f aca="false">'Raw Data'!F439</f>
        <v>1</v>
      </c>
      <c r="F439" s="6" t="n">
        <f aca="false">'Raw Data'!G439</f>
        <v>0</v>
      </c>
      <c r="G439" s="6" t="n">
        <f aca="false">'Raw Data'!H439</f>
        <v>1</v>
      </c>
      <c r="H439" s="6" t="n">
        <f aca="false">'Raw Data'!I439</f>
        <v>1</v>
      </c>
      <c r="I439" s="6" t="n">
        <f aca="false">'Raw Data'!J439</f>
        <v>0</v>
      </c>
      <c r="J439" s="6" t="n">
        <f aca="false">'Raw Data'!K439</f>
        <v>0</v>
      </c>
      <c r="K439" s="6" t="n">
        <f aca="false">'Raw Data'!L439</f>
        <v>2</v>
      </c>
      <c r="L439" s="6" t="n">
        <f aca="false">F439*E439</f>
        <v>0</v>
      </c>
      <c r="N439" s="0" t="n">
        <v>1</v>
      </c>
      <c r="O439" s="6" t="n">
        <f aca="false">D439</f>
        <v>3.391875</v>
      </c>
      <c r="P439" s="6" t="n">
        <f aca="false">E439</f>
        <v>1</v>
      </c>
      <c r="Q439" s="6" t="n">
        <f aca="false">F439</f>
        <v>0</v>
      </c>
      <c r="R439" s="6" t="n">
        <f aca="false">G439</f>
        <v>1</v>
      </c>
      <c r="S439" s="6" t="n">
        <f aca="false">H439</f>
        <v>1</v>
      </c>
      <c r="T439" s="6" t="n">
        <f aca="false">I439</f>
        <v>0</v>
      </c>
      <c r="U439" s="6" t="n">
        <f aca="false">L439</f>
        <v>0</v>
      </c>
      <c r="W439" s="6" t="n">
        <f aca="false">D439</f>
        <v>3.391875</v>
      </c>
      <c r="X439" s="6" t="n">
        <f aca="false">E439</f>
        <v>1</v>
      </c>
      <c r="Y439" s="6" t="n">
        <f aca="false">F439</f>
        <v>0</v>
      </c>
      <c r="Z439" s="6" t="n">
        <f aca="false">L439</f>
        <v>0</v>
      </c>
      <c r="AA439" s="6" t="n">
        <f aca="false">G439</f>
        <v>1</v>
      </c>
      <c r="AC439" s="6" t="n">
        <f aca="false">D439</f>
        <v>3.391875</v>
      </c>
      <c r="AD439" s="6" t="n">
        <f aca="false">E439</f>
        <v>1</v>
      </c>
      <c r="AE439" s="6" t="n">
        <f aca="false">G439</f>
        <v>1</v>
      </c>
      <c r="AF439" s="6" t="n">
        <f aca="false">H439</f>
        <v>1</v>
      </c>
      <c r="AG439" s="6" t="n">
        <f aca="false">I439</f>
        <v>0</v>
      </c>
      <c r="AH439" s="6" t="n">
        <f aca="false">L439</f>
        <v>0</v>
      </c>
    </row>
    <row r="440" customFormat="false" ht="15" hidden="false" customHeight="false" outlineLevel="0" collapsed="false">
      <c r="A440" s="0" t="str">
        <f aca="false">'Raw Data'!C440</f>
        <v>South Loop</v>
      </c>
      <c r="B440" s="5" t="n">
        <f aca="false">'Raw Data'!A440</f>
        <v>40365</v>
      </c>
      <c r="C440" s="6" t="n">
        <f aca="false">'Raw Data'!D440</f>
        <v>305.531070369645</v>
      </c>
      <c r="D440" s="6" t="n">
        <f aca="false">'Raw Data'!E440</f>
        <v>3.578125</v>
      </c>
      <c r="E440" s="6" t="n">
        <f aca="false">'Raw Data'!F440</f>
        <v>1</v>
      </c>
      <c r="F440" s="6" t="n">
        <f aca="false">'Raw Data'!G440</f>
        <v>0</v>
      </c>
      <c r="G440" s="6" t="n">
        <f aca="false">'Raw Data'!H440</f>
        <v>0</v>
      </c>
      <c r="H440" s="6" t="n">
        <f aca="false">'Raw Data'!I440</f>
        <v>1</v>
      </c>
      <c r="I440" s="6" t="n">
        <f aca="false">'Raw Data'!J440</f>
        <v>0</v>
      </c>
      <c r="J440" s="6" t="n">
        <f aca="false">'Raw Data'!K440</f>
        <v>0</v>
      </c>
      <c r="K440" s="6" t="n">
        <f aca="false">'Raw Data'!L440</f>
        <v>2</v>
      </c>
      <c r="L440" s="6" t="n">
        <f aca="false">F440*E440</f>
        <v>0</v>
      </c>
      <c r="N440" s="0" t="n">
        <v>1</v>
      </c>
      <c r="O440" s="6" t="n">
        <f aca="false">D440</f>
        <v>3.578125</v>
      </c>
      <c r="P440" s="6" t="n">
        <f aca="false">E440</f>
        <v>1</v>
      </c>
      <c r="Q440" s="6" t="n">
        <f aca="false">F440</f>
        <v>0</v>
      </c>
      <c r="R440" s="6" t="n">
        <f aca="false">G440</f>
        <v>0</v>
      </c>
      <c r="S440" s="6" t="n">
        <f aca="false">H440</f>
        <v>1</v>
      </c>
      <c r="T440" s="6" t="n">
        <f aca="false">I440</f>
        <v>0</v>
      </c>
      <c r="U440" s="6" t="n">
        <f aca="false">L440</f>
        <v>0</v>
      </c>
      <c r="W440" s="6" t="n">
        <f aca="false">D440</f>
        <v>3.578125</v>
      </c>
      <c r="X440" s="6" t="n">
        <f aca="false">E440</f>
        <v>1</v>
      </c>
      <c r="Y440" s="6" t="n">
        <f aca="false">F440</f>
        <v>0</v>
      </c>
      <c r="Z440" s="6" t="n">
        <f aca="false">L440</f>
        <v>0</v>
      </c>
      <c r="AA440" s="6" t="n">
        <f aca="false">G440</f>
        <v>0</v>
      </c>
      <c r="AC440" s="6" t="n">
        <f aca="false">D440</f>
        <v>3.578125</v>
      </c>
      <c r="AD440" s="6" t="n">
        <f aca="false">E440</f>
        <v>1</v>
      </c>
      <c r="AE440" s="6" t="n">
        <f aca="false">G440</f>
        <v>0</v>
      </c>
      <c r="AF440" s="6" t="n">
        <f aca="false">H440</f>
        <v>1</v>
      </c>
      <c r="AG440" s="6" t="n">
        <f aca="false">I440</f>
        <v>0</v>
      </c>
      <c r="AH440" s="6" t="n">
        <f aca="false">L440</f>
        <v>0</v>
      </c>
    </row>
    <row r="441" customFormat="false" ht="15" hidden="false" customHeight="false" outlineLevel="0" collapsed="false">
      <c r="A441" s="0" t="str">
        <f aca="false">'Raw Data'!C441</f>
        <v>South Loop</v>
      </c>
      <c r="B441" s="5" t="n">
        <f aca="false">'Raw Data'!A441</f>
        <v>40372</v>
      </c>
      <c r="C441" s="6" t="n">
        <f aca="false">'Raw Data'!D441</f>
        <v>363.062972898447</v>
      </c>
      <c r="D441" s="6" t="n">
        <f aca="false">'Raw Data'!E441</f>
        <v>2.947857143</v>
      </c>
      <c r="E441" s="6" t="n">
        <f aca="false">'Raw Data'!F441</f>
        <v>1</v>
      </c>
      <c r="F441" s="6" t="n">
        <f aca="false">'Raw Data'!G441</f>
        <v>0</v>
      </c>
      <c r="G441" s="6" t="n">
        <f aca="false">'Raw Data'!H441</f>
        <v>0</v>
      </c>
      <c r="H441" s="6" t="n">
        <f aca="false">'Raw Data'!I441</f>
        <v>1</v>
      </c>
      <c r="I441" s="6" t="n">
        <f aca="false">'Raw Data'!J441</f>
        <v>0</v>
      </c>
      <c r="J441" s="6" t="n">
        <f aca="false">'Raw Data'!K441</f>
        <v>0</v>
      </c>
      <c r="K441" s="6" t="n">
        <f aca="false">'Raw Data'!L441</f>
        <v>2</v>
      </c>
      <c r="L441" s="6" t="n">
        <f aca="false">F441*E441</f>
        <v>0</v>
      </c>
      <c r="N441" s="0" t="n">
        <v>1</v>
      </c>
      <c r="O441" s="6" t="n">
        <f aca="false">D441</f>
        <v>2.947857143</v>
      </c>
      <c r="P441" s="6" t="n">
        <f aca="false">E441</f>
        <v>1</v>
      </c>
      <c r="Q441" s="6" t="n">
        <f aca="false">F441</f>
        <v>0</v>
      </c>
      <c r="R441" s="6" t="n">
        <f aca="false">G441</f>
        <v>0</v>
      </c>
      <c r="S441" s="6" t="n">
        <f aca="false">H441</f>
        <v>1</v>
      </c>
      <c r="T441" s="6" t="n">
        <f aca="false">I441</f>
        <v>0</v>
      </c>
      <c r="U441" s="6" t="n">
        <f aca="false">L441</f>
        <v>0</v>
      </c>
      <c r="W441" s="6" t="n">
        <f aca="false">D441</f>
        <v>2.947857143</v>
      </c>
      <c r="X441" s="6" t="n">
        <f aca="false">E441</f>
        <v>1</v>
      </c>
      <c r="Y441" s="6" t="n">
        <f aca="false">F441</f>
        <v>0</v>
      </c>
      <c r="Z441" s="6" t="n">
        <f aca="false">L441</f>
        <v>0</v>
      </c>
      <c r="AA441" s="6" t="n">
        <f aca="false">G441</f>
        <v>0</v>
      </c>
      <c r="AC441" s="6" t="n">
        <f aca="false">D441</f>
        <v>2.947857143</v>
      </c>
      <c r="AD441" s="6" t="n">
        <f aca="false">E441</f>
        <v>1</v>
      </c>
      <c r="AE441" s="6" t="n">
        <f aca="false">G441</f>
        <v>0</v>
      </c>
      <c r="AF441" s="6" t="n">
        <f aca="false">H441</f>
        <v>1</v>
      </c>
      <c r="AG441" s="6" t="n">
        <f aca="false">I441</f>
        <v>0</v>
      </c>
      <c r="AH441" s="6" t="n">
        <f aca="false">L441</f>
        <v>0</v>
      </c>
    </row>
    <row r="442" customFormat="false" ht="15" hidden="false" customHeight="false" outlineLevel="0" collapsed="false">
      <c r="A442" s="0" t="str">
        <f aca="false">'Raw Data'!C442</f>
        <v>West Bloomfield</v>
      </c>
      <c r="B442" s="5" t="n">
        <f aca="false">'Raw Data'!A442</f>
        <v>40302</v>
      </c>
      <c r="C442" s="6" t="n">
        <f aca="false">'Raw Data'!D442</f>
        <v>232.263046701275</v>
      </c>
      <c r="D442" s="6" t="n">
        <f aca="false">'Raw Data'!E442</f>
        <v>4.167777778</v>
      </c>
      <c r="E442" s="6" t="n">
        <f aca="false">'Raw Data'!F442</f>
        <v>1</v>
      </c>
      <c r="F442" s="6" t="n">
        <f aca="false">'Raw Data'!G442</f>
        <v>0</v>
      </c>
      <c r="G442" s="6" t="n">
        <f aca="false">'Raw Data'!H442</f>
        <v>0</v>
      </c>
      <c r="H442" s="6" t="n">
        <f aca="false">'Raw Data'!I442</f>
        <v>0</v>
      </c>
      <c r="I442" s="6" t="n">
        <f aca="false">'Raw Data'!J442</f>
        <v>0</v>
      </c>
      <c r="J442" s="6" t="n">
        <f aca="false">'Raw Data'!K442</f>
        <v>1</v>
      </c>
      <c r="K442" s="6" t="n">
        <f aca="false">'Raw Data'!L442</f>
        <v>4</v>
      </c>
      <c r="L442" s="6" t="n">
        <f aca="false">F442*E442</f>
        <v>0</v>
      </c>
      <c r="N442" s="0" t="n">
        <v>1</v>
      </c>
      <c r="O442" s="6" t="n">
        <f aca="false">D442</f>
        <v>4.167777778</v>
      </c>
      <c r="P442" s="6" t="n">
        <f aca="false">E442</f>
        <v>1</v>
      </c>
      <c r="Q442" s="6" t="n">
        <f aca="false">F442</f>
        <v>0</v>
      </c>
      <c r="R442" s="6" t="n">
        <f aca="false">G442</f>
        <v>0</v>
      </c>
      <c r="S442" s="6" t="n">
        <f aca="false">H442</f>
        <v>0</v>
      </c>
      <c r="T442" s="6" t="n">
        <f aca="false">I442</f>
        <v>0</v>
      </c>
      <c r="U442" s="6" t="n">
        <f aca="false">L442</f>
        <v>0</v>
      </c>
      <c r="W442" s="6" t="n">
        <f aca="false">D442</f>
        <v>4.167777778</v>
      </c>
      <c r="X442" s="6" t="n">
        <f aca="false">E442</f>
        <v>1</v>
      </c>
      <c r="Y442" s="6" t="n">
        <f aca="false">F442</f>
        <v>0</v>
      </c>
      <c r="Z442" s="6" t="n">
        <f aca="false">L442</f>
        <v>0</v>
      </c>
      <c r="AA442" s="6" t="n">
        <f aca="false">G442</f>
        <v>0</v>
      </c>
      <c r="AC442" s="6" t="n">
        <f aca="false">D442</f>
        <v>4.167777778</v>
      </c>
      <c r="AD442" s="6" t="n">
        <f aca="false">E442</f>
        <v>1</v>
      </c>
      <c r="AE442" s="6" t="n">
        <f aca="false">G442</f>
        <v>0</v>
      </c>
      <c r="AF442" s="6" t="n">
        <f aca="false">H442</f>
        <v>0</v>
      </c>
      <c r="AG442" s="6" t="n">
        <f aca="false">I442</f>
        <v>0</v>
      </c>
      <c r="AH442" s="6" t="n">
        <f aca="false">L442</f>
        <v>0</v>
      </c>
    </row>
    <row r="443" customFormat="false" ht="15" hidden="false" customHeight="false" outlineLevel="0" collapsed="false">
      <c r="A443" s="0" t="str">
        <f aca="false">'Raw Data'!C443</f>
        <v>West Bloomfield</v>
      </c>
      <c r="B443" s="5" t="n">
        <f aca="false">'Raw Data'!A443</f>
        <v>40309</v>
      </c>
      <c r="C443" s="6" t="n">
        <f aca="false">'Raw Data'!D443</f>
        <v>221.152009147193</v>
      </c>
      <c r="D443" s="6" t="n">
        <f aca="false">'Raw Data'!E443</f>
        <v>4.167777778</v>
      </c>
      <c r="E443" s="6" t="n">
        <f aca="false">'Raw Data'!F443</f>
        <v>1</v>
      </c>
      <c r="F443" s="6" t="n">
        <f aca="false">'Raw Data'!G443</f>
        <v>0</v>
      </c>
      <c r="G443" s="6" t="n">
        <f aca="false">'Raw Data'!H443</f>
        <v>0</v>
      </c>
      <c r="H443" s="6" t="n">
        <f aca="false">'Raw Data'!I443</f>
        <v>0</v>
      </c>
      <c r="I443" s="6" t="n">
        <f aca="false">'Raw Data'!J443</f>
        <v>0</v>
      </c>
      <c r="J443" s="6" t="n">
        <f aca="false">'Raw Data'!K443</f>
        <v>1</v>
      </c>
      <c r="K443" s="6" t="n">
        <f aca="false">'Raw Data'!L443</f>
        <v>4</v>
      </c>
      <c r="L443" s="6" t="n">
        <f aca="false">F443*E443</f>
        <v>0</v>
      </c>
      <c r="N443" s="0" t="n">
        <v>1</v>
      </c>
      <c r="O443" s="6" t="n">
        <f aca="false">D443</f>
        <v>4.167777778</v>
      </c>
      <c r="P443" s="6" t="n">
        <f aca="false">E443</f>
        <v>1</v>
      </c>
      <c r="Q443" s="6" t="n">
        <f aca="false">F443</f>
        <v>0</v>
      </c>
      <c r="R443" s="6" t="n">
        <f aca="false">G443</f>
        <v>0</v>
      </c>
      <c r="S443" s="6" t="n">
        <f aca="false">H443</f>
        <v>0</v>
      </c>
      <c r="T443" s="6" t="n">
        <f aca="false">I443</f>
        <v>0</v>
      </c>
      <c r="U443" s="6" t="n">
        <f aca="false">L443</f>
        <v>0</v>
      </c>
      <c r="W443" s="6" t="n">
        <f aca="false">D443</f>
        <v>4.167777778</v>
      </c>
      <c r="X443" s="6" t="n">
        <f aca="false">E443</f>
        <v>1</v>
      </c>
      <c r="Y443" s="6" t="n">
        <f aca="false">F443</f>
        <v>0</v>
      </c>
      <c r="Z443" s="6" t="n">
        <f aca="false">L443</f>
        <v>0</v>
      </c>
      <c r="AA443" s="6" t="n">
        <f aca="false">G443</f>
        <v>0</v>
      </c>
      <c r="AC443" s="6" t="n">
        <f aca="false">D443</f>
        <v>4.167777778</v>
      </c>
      <c r="AD443" s="6" t="n">
        <f aca="false">E443</f>
        <v>1</v>
      </c>
      <c r="AE443" s="6" t="n">
        <f aca="false">G443</f>
        <v>0</v>
      </c>
      <c r="AF443" s="6" t="n">
        <f aca="false">H443</f>
        <v>0</v>
      </c>
      <c r="AG443" s="6" t="n">
        <f aca="false">I443</f>
        <v>0</v>
      </c>
      <c r="AH443" s="6" t="n">
        <f aca="false">L443</f>
        <v>0</v>
      </c>
    </row>
    <row r="444" customFormat="false" ht="15" hidden="false" customHeight="false" outlineLevel="0" collapsed="false">
      <c r="A444" s="0" t="str">
        <f aca="false">'Raw Data'!C444</f>
        <v>West Bloomfield</v>
      </c>
      <c r="B444" s="5" t="n">
        <f aca="false">'Raw Data'!A444</f>
        <v>40316</v>
      </c>
      <c r="C444" s="6" t="n">
        <f aca="false">'Raw Data'!D444</f>
        <v>283.473952294401</v>
      </c>
      <c r="D444" s="6" t="n">
        <f aca="false">'Raw Data'!E444</f>
        <v>4</v>
      </c>
      <c r="E444" s="6" t="n">
        <f aca="false">'Raw Data'!F444</f>
        <v>1</v>
      </c>
      <c r="F444" s="6" t="n">
        <f aca="false">'Raw Data'!G444</f>
        <v>0</v>
      </c>
      <c r="G444" s="6" t="n">
        <f aca="false">'Raw Data'!H444</f>
        <v>0</v>
      </c>
      <c r="H444" s="6" t="n">
        <f aca="false">'Raw Data'!I444</f>
        <v>0</v>
      </c>
      <c r="I444" s="6" t="n">
        <f aca="false">'Raw Data'!J444</f>
        <v>0</v>
      </c>
      <c r="J444" s="6" t="n">
        <f aca="false">'Raw Data'!K444</f>
        <v>1</v>
      </c>
      <c r="K444" s="6" t="n">
        <f aca="false">'Raw Data'!L444</f>
        <v>4</v>
      </c>
      <c r="L444" s="6" t="n">
        <f aca="false">F444*E444</f>
        <v>0</v>
      </c>
      <c r="N444" s="0" t="n">
        <v>1</v>
      </c>
      <c r="O444" s="6" t="n">
        <f aca="false">D444</f>
        <v>4</v>
      </c>
      <c r="P444" s="6" t="n">
        <f aca="false">E444</f>
        <v>1</v>
      </c>
      <c r="Q444" s="6" t="n">
        <f aca="false">F444</f>
        <v>0</v>
      </c>
      <c r="R444" s="6" t="n">
        <f aca="false">G444</f>
        <v>0</v>
      </c>
      <c r="S444" s="6" t="n">
        <f aca="false">H444</f>
        <v>0</v>
      </c>
      <c r="T444" s="6" t="n">
        <f aca="false">I444</f>
        <v>0</v>
      </c>
      <c r="U444" s="6" t="n">
        <f aca="false">L444</f>
        <v>0</v>
      </c>
      <c r="W444" s="6" t="n">
        <f aca="false">D444</f>
        <v>4</v>
      </c>
      <c r="X444" s="6" t="n">
        <f aca="false">E444</f>
        <v>1</v>
      </c>
      <c r="Y444" s="6" t="n">
        <f aca="false">F444</f>
        <v>0</v>
      </c>
      <c r="Z444" s="6" t="n">
        <f aca="false">L444</f>
        <v>0</v>
      </c>
      <c r="AA444" s="6" t="n">
        <f aca="false">G444</f>
        <v>0</v>
      </c>
      <c r="AC444" s="6" t="n">
        <f aca="false">D444</f>
        <v>4</v>
      </c>
      <c r="AD444" s="6" t="n">
        <f aca="false">E444</f>
        <v>1</v>
      </c>
      <c r="AE444" s="6" t="n">
        <f aca="false">G444</f>
        <v>0</v>
      </c>
      <c r="AF444" s="6" t="n">
        <f aca="false">H444</f>
        <v>0</v>
      </c>
      <c r="AG444" s="6" t="n">
        <f aca="false">I444</f>
        <v>0</v>
      </c>
      <c r="AH444" s="6" t="n">
        <f aca="false">L444</f>
        <v>0</v>
      </c>
    </row>
    <row r="445" customFormat="false" ht="15" hidden="false" customHeight="false" outlineLevel="0" collapsed="false">
      <c r="A445" s="0" t="str">
        <f aca="false">'Raw Data'!C445</f>
        <v>West Bloomfield</v>
      </c>
      <c r="B445" s="5" t="n">
        <f aca="false">'Raw Data'!A445</f>
        <v>40323</v>
      </c>
      <c r="C445" s="6" t="n">
        <f aca="false">'Raw Data'!D445</f>
        <v>238.084820384268</v>
      </c>
      <c r="D445" s="6" t="n">
        <f aca="false">'Raw Data'!E445</f>
        <v>3.834444444</v>
      </c>
      <c r="E445" s="6" t="n">
        <f aca="false">'Raw Data'!F445</f>
        <v>1</v>
      </c>
      <c r="F445" s="6" t="n">
        <f aca="false">'Raw Data'!G445</f>
        <v>0</v>
      </c>
      <c r="G445" s="6" t="n">
        <f aca="false">'Raw Data'!H445</f>
        <v>0</v>
      </c>
      <c r="H445" s="6" t="n">
        <f aca="false">'Raw Data'!I445</f>
        <v>0</v>
      </c>
      <c r="I445" s="6" t="n">
        <f aca="false">'Raw Data'!J445</f>
        <v>0</v>
      </c>
      <c r="J445" s="6" t="n">
        <f aca="false">'Raw Data'!K445</f>
        <v>1</v>
      </c>
      <c r="K445" s="6" t="n">
        <f aca="false">'Raw Data'!L445</f>
        <v>4</v>
      </c>
      <c r="L445" s="6" t="n">
        <f aca="false">F445*E445</f>
        <v>0</v>
      </c>
      <c r="N445" s="0" t="n">
        <v>1</v>
      </c>
      <c r="O445" s="6" t="n">
        <f aca="false">D445</f>
        <v>3.834444444</v>
      </c>
      <c r="P445" s="6" t="n">
        <f aca="false">E445</f>
        <v>1</v>
      </c>
      <c r="Q445" s="6" t="n">
        <f aca="false">F445</f>
        <v>0</v>
      </c>
      <c r="R445" s="6" t="n">
        <f aca="false">G445</f>
        <v>0</v>
      </c>
      <c r="S445" s="6" t="n">
        <f aca="false">H445</f>
        <v>0</v>
      </c>
      <c r="T445" s="6" t="n">
        <f aca="false">I445</f>
        <v>0</v>
      </c>
      <c r="U445" s="6" t="n">
        <f aca="false">L445</f>
        <v>0</v>
      </c>
      <c r="W445" s="6" t="n">
        <f aca="false">D445</f>
        <v>3.834444444</v>
      </c>
      <c r="X445" s="6" t="n">
        <f aca="false">E445</f>
        <v>1</v>
      </c>
      <c r="Y445" s="6" t="n">
        <f aca="false">F445</f>
        <v>0</v>
      </c>
      <c r="Z445" s="6" t="n">
        <f aca="false">L445</f>
        <v>0</v>
      </c>
      <c r="AA445" s="6" t="n">
        <f aca="false">G445</f>
        <v>0</v>
      </c>
      <c r="AC445" s="6" t="n">
        <f aca="false">D445</f>
        <v>3.834444444</v>
      </c>
      <c r="AD445" s="6" t="n">
        <f aca="false">E445</f>
        <v>1</v>
      </c>
      <c r="AE445" s="6" t="n">
        <f aca="false">G445</f>
        <v>0</v>
      </c>
      <c r="AF445" s="6" t="n">
        <f aca="false">H445</f>
        <v>0</v>
      </c>
      <c r="AG445" s="6" t="n">
        <f aca="false">I445</f>
        <v>0</v>
      </c>
      <c r="AH445" s="6" t="n">
        <f aca="false">L445</f>
        <v>0</v>
      </c>
    </row>
    <row r="446" customFormat="false" ht="15" hidden="false" customHeight="false" outlineLevel="0" collapsed="false">
      <c r="A446" s="0" t="str">
        <f aca="false">'Raw Data'!C446</f>
        <v>West Bloomfield</v>
      </c>
      <c r="B446" s="5" t="n">
        <f aca="false">'Raw Data'!A446</f>
        <v>40330</v>
      </c>
      <c r="C446" s="6" t="n">
        <f aca="false">'Raw Data'!D446</f>
        <v>252.732579428452</v>
      </c>
      <c r="D446" s="6" t="n">
        <f aca="false">'Raw Data'!E446</f>
        <v>4</v>
      </c>
      <c r="E446" s="6" t="n">
        <f aca="false">'Raw Data'!F446</f>
        <v>1</v>
      </c>
      <c r="F446" s="6" t="n">
        <f aca="false">'Raw Data'!G446</f>
        <v>0</v>
      </c>
      <c r="G446" s="6" t="n">
        <f aca="false">'Raw Data'!H446</f>
        <v>0</v>
      </c>
      <c r="H446" s="6" t="n">
        <f aca="false">'Raw Data'!I446</f>
        <v>0</v>
      </c>
      <c r="I446" s="6" t="n">
        <f aca="false">'Raw Data'!J446</f>
        <v>0</v>
      </c>
      <c r="J446" s="6" t="n">
        <f aca="false">'Raw Data'!K446</f>
        <v>1</v>
      </c>
      <c r="K446" s="6" t="n">
        <f aca="false">'Raw Data'!L446</f>
        <v>4</v>
      </c>
      <c r="L446" s="6" t="n">
        <f aca="false">F446*E446</f>
        <v>0</v>
      </c>
      <c r="N446" s="0" t="n">
        <v>1</v>
      </c>
      <c r="O446" s="6" t="n">
        <f aca="false">D446</f>
        <v>4</v>
      </c>
      <c r="P446" s="6" t="n">
        <f aca="false">E446</f>
        <v>1</v>
      </c>
      <c r="Q446" s="6" t="n">
        <f aca="false">F446</f>
        <v>0</v>
      </c>
      <c r="R446" s="6" t="n">
        <f aca="false">G446</f>
        <v>0</v>
      </c>
      <c r="S446" s="6" t="n">
        <f aca="false">H446</f>
        <v>0</v>
      </c>
      <c r="T446" s="6" t="n">
        <f aca="false">I446</f>
        <v>0</v>
      </c>
      <c r="U446" s="6" t="n">
        <f aca="false">L446</f>
        <v>0</v>
      </c>
      <c r="W446" s="6" t="n">
        <f aca="false">D446</f>
        <v>4</v>
      </c>
      <c r="X446" s="6" t="n">
        <f aca="false">E446</f>
        <v>1</v>
      </c>
      <c r="Y446" s="6" t="n">
        <f aca="false">F446</f>
        <v>0</v>
      </c>
      <c r="Z446" s="6" t="n">
        <f aca="false">L446</f>
        <v>0</v>
      </c>
      <c r="AA446" s="6" t="n">
        <f aca="false">G446</f>
        <v>0</v>
      </c>
      <c r="AC446" s="6" t="n">
        <f aca="false">D446</f>
        <v>4</v>
      </c>
      <c r="AD446" s="6" t="n">
        <f aca="false">E446</f>
        <v>1</v>
      </c>
      <c r="AE446" s="6" t="n">
        <f aca="false">G446</f>
        <v>0</v>
      </c>
      <c r="AF446" s="6" t="n">
        <f aca="false">H446</f>
        <v>0</v>
      </c>
      <c r="AG446" s="6" t="n">
        <f aca="false">I446</f>
        <v>0</v>
      </c>
      <c r="AH446" s="6" t="n">
        <f aca="false">L446</f>
        <v>0</v>
      </c>
    </row>
    <row r="447" customFormat="false" ht="15" hidden="false" customHeight="false" outlineLevel="0" collapsed="false">
      <c r="A447" s="0" t="str">
        <f aca="false">'Raw Data'!C447</f>
        <v>West Bloomfield</v>
      </c>
      <c r="B447" s="5" t="n">
        <f aca="false">'Raw Data'!A447</f>
        <v>40337</v>
      </c>
      <c r="C447" s="6" t="n">
        <f aca="false">'Raw Data'!D447</f>
        <v>299.903177065708</v>
      </c>
      <c r="D447" s="6" t="n">
        <f aca="false">'Raw Data'!E447</f>
        <v>4.55</v>
      </c>
      <c r="E447" s="6" t="n">
        <f aca="false">'Raw Data'!F447</f>
        <v>1</v>
      </c>
      <c r="F447" s="6" t="n">
        <f aca="false">'Raw Data'!G447</f>
        <v>0</v>
      </c>
      <c r="G447" s="6" t="n">
        <f aca="false">'Raw Data'!H447</f>
        <v>0</v>
      </c>
      <c r="H447" s="6" t="n">
        <f aca="false">'Raw Data'!I447</f>
        <v>0</v>
      </c>
      <c r="I447" s="6" t="n">
        <f aca="false">'Raw Data'!J447</f>
        <v>0</v>
      </c>
      <c r="J447" s="6" t="n">
        <f aca="false">'Raw Data'!K447</f>
        <v>1</v>
      </c>
      <c r="K447" s="6" t="n">
        <f aca="false">'Raw Data'!L447</f>
        <v>4</v>
      </c>
      <c r="L447" s="6" t="n">
        <f aca="false">F447*E447</f>
        <v>0</v>
      </c>
      <c r="N447" s="0" t="n">
        <v>1</v>
      </c>
      <c r="O447" s="6" t="n">
        <f aca="false">D447</f>
        <v>4.55</v>
      </c>
      <c r="P447" s="6" t="n">
        <f aca="false">E447</f>
        <v>1</v>
      </c>
      <c r="Q447" s="6" t="n">
        <f aca="false">F447</f>
        <v>0</v>
      </c>
      <c r="R447" s="6" t="n">
        <f aca="false">G447</f>
        <v>0</v>
      </c>
      <c r="S447" s="6" t="n">
        <f aca="false">H447</f>
        <v>0</v>
      </c>
      <c r="T447" s="6" t="n">
        <f aca="false">I447</f>
        <v>0</v>
      </c>
      <c r="U447" s="6" t="n">
        <f aca="false">L447</f>
        <v>0</v>
      </c>
      <c r="W447" s="6" t="n">
        <f aca="false">D447</f>
        <v>4.55</v>
      </c>
      <c r="X447" s="6" t="n">
        <f aca="false">E447</f>
        <v>1</v>
      </c>
      <c r="Y447" s="6" t="n">
        <f aca="false">F447</f>
        <v>0</v>
      </c>
      <c r="Z447" s="6" t="n">
        <f aca="false">L447</f>
        <v>0</v>
      </c>
      <c r="AA447" s="6" t="n">
        <f aca="false">G447</f>
        <v>0</v>
      </c>
      <c r="AC447" s="6" t="n">
        <f aca="false">D447</f>
        <v>4.55</v>
      </c>
      <c r="AD447" s="6" t="n">
        <f aca="false">E447</f>
        <v>1</v>
      </c>
      <c r="AE447" s="6" t="n">
        <f aca="false">G447</f>
        <v>0</v>
      </c>
      <c r="AF447" s="6" t="n">
        <f aca="false">H447</f>
        <v>0</v>
      </c>
      <c r="AG447" s="6" t="n">
        <f aca="false">I447</f>
        <v>0</v>
      </c>
      <c r="AH447" s="6" t="n">
        <f aca="false">L447</f>
        <v>0</v>
      </c>
    </row>
    <row r="448" customFormat="false" ht="15" hidden="false" customHeight="false" outlineLevel="0" collapsed="false">
      <c r="A448" s="0" t="str">
        <f aca="false">'Raw Data'!C448</f>
        <v>West Bloomfield</v>
      </c>
      <c r="B448" s="5" t="n">
        <f aca="false">'Raw Data'!A448</f>
        <v>40344</v>
      </c>
      <c r="C448" s="6" t="n">
        <f aca="false">'Raw Data'!D448</f>
        <v>289.222654094865</v>
      </c>
      <c r="D448" s="6" t="n">
        <f aca="false">'Raw Data'!E448</f>
        <v>4.55</v>
      </c>
      <c r="E448" s="6" t="n">
        <f aca="false">'Raw Data'!F448</f>
        <v>1</v>
      </c>
      <c r="F448" s="6" t="n">
        <f aca="false">'Raw Data'!G448</f>
        <v>0</v>
      </c>
      <c r="G448" s="6" t="n">
        <f aca="false">'Raw Data'!H448</f>
        <v>0</v>
      </c>
      <c r="H448" s="6" t="n">
        <f aca="false">'Raw Data'!I448</f>
        <v>0</v>
      </c>
      <c r="I448" s="6" t="n">
        <f aca="false">'Raw Data'!J448</f>
        <v>0</v>
      </c>
      <c r="J448" s="6" t="n">
        <f aca="false">'Raw Data'!K448</f>
        <v>1</v>
      </c>
      <c r="K448" s="6" t="n">
        <f aca="false">'Raw Data'!L448</f>
        <v>4</v>
      </c>
      <c r="L448" s="6" t="n">
        <f aca="false">F448*E448</f>
        <v>0</v>
      </c>
      <c r="N448" s="0" t="n">
        <v>1</v>
      </c>
      <c r="O448" s="6" t="n">
        <f aca="false">D448</f>
        <v>4.55</v>
      </c>
      <c r="P448" s="6" t="n">
        <f aca="false">E448</f>
        <v>1</v>
      </c>
      <c r="Q448" s="6" t="n">
        <f aca="false">F448</f>
        <v>0</v>
      </c>
      <c r="R448" s="6" t="n">
        <f aca="false">G448</f>
        <v>0</v>
      </c>
      <c r="S448" s="6" t="n">
        <f aca="false">H448</f>
        <v>0</v>
      </c>
      <c r="T448" s="6" t="n">
        <f aca="false">I448</f>
        <v>0</v>
      </c>
      <c r="U448" s="6" t="n">
        <f aca="false">L448</f>
        <v>0</v>
      </c>
      <c r="W448" s="6" t="n">
        <f aca="false">D448</f>
        <v>4.55</v>
      </c>
      <c r="X448" s="6" t="n">
        <f aca="false">E448</f>
        <v>1</v>
      </c>
      <c r="Y448" s="6" t="n">
        <f aca="false">F448</f>
        <v>0</v>
      </c>
      <c r="Z448" s="6" t="n">
        <f aca="false">L448</f>
        <v>0</v>
      </c>
      <c r="AA448" s="6" t="n">
        <f aca="false">G448</f>
        <v>0</v>
      </c>
      <c r="AC448" s="6" t="n">
        <f aca="false">D448</f>
        <v>4.55</v>
      </c>
      <c r="AD448" s="6" t="n">
        <f aca="false">E448</f>
        <v>1</v>
      </c>
      <c r="AE448" s="6" t="n">
        <f aca="false">G448</f>
        <v>0</v>
      </c>
      <c r="AF448" s="6" t="n">
        <f aca="false">H448</f>
        <v>0</v>
      </c>
      <c r="AG448" s="6" t="n">
        <f aca="false">I448</f>
        <v>0</v>
      </c>
      <c r="AH448" s="6" t="n">
        <f aca="false">L448</f>
        <v>0</v>
      </c>
    </row>
    <row r="449" customFormat="false" ht="15" hidden="false" customHeight="false" outlineLevel="0" collapsed="false">
      <c r="A449" s="0" t="str">
        <f aca="false">'Raw Data'!C449</f>
        <v>West Bloomfield</v>
      </c>
      <c r="B449" s="5" t="n">
        <f aca="false">'Raw Data'!A449</f>
        <v>40351</v>
      </c>
      <c r="C449" s="6" t="n">
        <f aca="false">'Raw Data'!D449</f>
        <v>400.74006383608</v>
      </c>
      <c r="D449" s="6" t="n">
        <f aca="false">'Raw Data'!E449</f>
        <v>4.55</v>
      </c>
      <c r="E449" s="6" t="n">
        <f aca="false">'Raw Data'!F449</f>
        <v>1</v>
      </c>
      <c r="F449" s="6" t="n">
        <f aca="false">'Raw Data'!G449</f>
        <v>0</v>
      </c>
      <c r="G449" s="6" t="n">
        <f aca="false">'Raw Data'!H449</f>
        <v>1</v>
      </c>
      <c r="H449" s="6" t="n">
        <f aca="false">'Raw Data'!I449</f>
        <v>0</v>
      </c>
      <c r="I449" s="6" t="n">
        <f aca="false">'Raw Data'!J449</f>
        <v>0</v>
      </c>
      <c r="J449" s="6" t="n">
        <f aca="false">'Raw Data'!K449</f>
        <v>1</v>
      </c>
      <c r="K449" s="6" t="n">
        <f aca="false">'Raw Data'!L449</f>
        <v>4</v>
      </c>
      <c r="L449" s="6" t="n">
        <f aca="false">F449*E449</f>
        <v>0</v>
      </c>
      <c r="N449" s="0" t="n">
        <v>1</v>
      </c>
      <c r="O449" s="6" t="n">
        <f aca="false">D449</f>
        <v>4.55</v>
      </c>
      <c r="P449" s="6" t="n">
        <f aca="false">E449</f>
        <v>1</v>
      </c>
      <c r="Q449" s="6" t="n">
        <f aca="false">F449</f>
        <v>0</v>
      </c>
      <c r="R449" s="6" t="n">
        <f aca="false">G449</f>
        <v>1</v>
      </c>
      <c r="S449" s="6" t="n">
        <f aca="false">H449</f>
        <v>0</v>
      </c>
      <c r="T449" s="6" t="n">
        <f aca="false">I449</f>
        <v>0</v>
      </c>
      <c r="U449" s="6" t="n">
        <f aca="false">L449</f>
        <v>0</v>
      </c>
      <c r="W449" s="6" t="n">
        <f aca="false">D449</f>
        <v>4.55</v>
      </c>
      <c r="X449" s="6" t="n">
        <f aca="false">E449</f>
        <v>1</v>
      </c>
      <c r="Y449" s="6" t="n">
        <f aca="false">F449</f>
        <v>0</v>
      </c>
      <c r="Z449" s="6" t="n">
        <f aca="false">L449</f>
        <v>0</v>
      </c>
      <c r="AA449" s="6" t="n">
        <f aca="false">G449</f>
        <v>1</v>
      </c>
      <c r="AC449" s="6" t="n">
        <f aca="false">D449</f>
        <v>4.55</v>
      </c>
      <c r="AD449" s="6" t="n">
        <f aca="false">E449</f>
        <v>1</v>
      </c>
      <c r="AE449" s="6" t="n">
        <f aca="false">G449</f>
        <v>1</v>
      </c>
      <c r="AF449" s="6" t="n">
        <f aca="false">H449</f>
        <v>0</v>
      </c>
      <c r="AG449" s="6" t="n">
        <f aca="false">I449</f>
        <v>0</v>
      </c>
      <c r="AH449" s="6" t="n">
        <f aca="false">L449</f>
        <v>0</v>
      </c>
    </row>
    <row r="450" customFormat="false" ht="15" hidden="false" customHeight="false" outlineLevel="0" collapsed="false">
      <c r="A450" s="0" t="str">
        <f aca="false">'Raw Data'!C450</f>
        <v>West Bloomfield</v>
      </c>
      <c r="B450" s="5" t="n">
        <f aca="false">'Raw Data'!A450</f>
        <v>40358</v>
      </c>
      <c r="C450" s="6" t="n">
        <f aca="false">'Raw Data'!D450</f>
        <v>311.814590281209</v>
      </c>
      <c r="D450" s="6" t="n">
        <f aca="false">'Raw Data'!E450</f>
        <v>3.723333333</v>
      </c>
      <c r="E450" s="6" t="n">
        <f aca="false">'Raw Data'!F450</f>
        <v>1</v>
      </c>
      <c r="F450" s="6" t="n">
        <f aca="false">'Raw Data'!G450</f>
        <v>0</v>
      </c>
      <c r="G450" s="6" t="n">
        <f aca="false">'Raw Data'!H450</f>
        <v>0</v>
      </c>
      <c r="H450" s="6" t="n">
        <f aca="false">'Raw Data'!I450</f>
        <v>1</v>
      </c>
      <c r="I450" s="6" t="n">
        <f aca="false">'Raw Data'!J450</f>
        <v>0</v>
      </c>
      <c r="J450" s="6" t="n">
        <f aca="false">'Raw Data'!K450</f>
        <v>1</v>
      </c>
      <c r="K450" s="6" t="n">
        <f aca="false">'Raw Data'!L450</f>
        <v>4</v>
      </c>
      <c r="L450" s="6" t="n">
        <f aca="false">F450*E450</f>
        <v>0</v>
      </c>
      <c r="N450" s="0" t="n">
        <v>1</v>
      </c>
      <c r="O450" s="6" t="n">
        <f aca="false">D450</f>
        <v>3.723333333</v>
      </c>
      <c r="P450" s="6" t="n">
        <f aca="false">E450</f>
        <v>1</v>
      </c>
      <c r="Q450" s="6" t="n">
        <f aca="false">F450</f>
        <v>0</v>
      </c>
      <c r="R450" s="6" t="n">
        <f aca="false">G450</f>
        <v>0</v>
      </c>
      <c r="S450" s="6" t="n">
        <f aca="false">H450</f>
        <v>1</v>
      </c>
      <c r="T450" s="6" t="n">
        <f aca="false">I450</f>
        <v>0</v>
      </c>
      <c r="U450" s="6" t="n">
        <f aca="false">L450</f>
        <v>0</v>
      </c>
      <c r="W450" s="6" t="n">
        <f aca="false">D450</f>
        <v>3.723333333</v>
      </c>
      <c r="X450" s="6" t="n">
        <f aca="false">E450</f>
        <v>1</v>
      </c>
      <c r="Y450" s="6" t="n">
        <f aca="false">F450</f>
        <v>0</v>
      </c>
      <c r="Z450" s="6" t="n">
        <f aca="false">L450</f>
        <v>0</v>
      </c>
      <c r="AA450" s="6" t="n">
        <f aca="false">G450</f>
        <v>0</v>
      </c>
      <c r="AC450" s="6" t="n">
        <f aca="false">D450</f>
        <v>3.723333333</v>
      </c>
      <c r="AD450" s="6" t="n">
        <f aca="false">E450</f>
        <v>1</v>
      </c>
      <c r="AE450" s="6" t="n">
        <f aca="false">G450</f>
        <v>0</v>
      </c>
      <c r="AF450" s="6" t="n">
        <f aca="false">H450</f>
        <v>1</v>
      </c>
      <c r="AG450" s="6" t="n">
        <f aca="false">I450</f>
        <v>0</v>
      </c>
      <c r="AH450" s="6" t="n">
        <f aca="false">L450</f>
        <v>0</v>
      </c>
    </row>
    <row r="451" customFormat="false" ht="15" hidden="false" customHeight="false" outlineLevel="0" collapsed="false">
      <c r="A451" s="0" t="str">
        <f aca="false">'Raw Data'!C451</f>
        <v>West Bloomfield</v>
      </c>
      <c r="B451" s="5" t="n">
        <f aca="false">'Raw Data'!A451</f>
        <v>40365</v>
      </c>
      <c r="C451" s="6" t="n">
        <f aca="false">'Raw Data'!D451</f>
        <v>338.575069198578</v>
      </c>
      <c r="D451" s="6" t="n">
        <f aca="false">'Raw Data'!E451</f>
        <v>3.572307692</v>
      </c>
      <c r="E451" s="6" t="n">
        <f aca="false">'Raw Data'!F451</f>
        <v>1</v>
      </c>
      <c r="F451" s="6" t="n">
        <f aca="false">'Raw Data'!G451</f>
        <v>0</v>
      </c>
      <c r="G451" s="6" t="n">
        <f aca="false">'Raw Data'!H451</f>
        <v>0</v>
      </c>
      <c r="H451" s="6" t="n">
        <f aca="false">'Raw Data'!I451</f>
        <v>1</v>
      </c>
      <c r="I451" s="6" t="n">
        <f aca="false">'Raw Data'!J451</f>
        <v>0</v>
      </c>
      <c r="J451" s="6" t="n">
        <f aca="false">'Raw Data'!K451</f>
        <v>1</v>
      </c>
      <c r="K451" s="6" t="n">
        <f aca="false">'Raw Data'!L451</f>
        <v>4</v>
      </c>
      <c r="L451" s="6" t="n">
        <f aca="false">F451*E451</f>
        <v>0</v>
      </c>
      <c r="N451" s="0" t="n">
        <v>1</v>
      </c>
      <c r="O451" s="6" t="n">
        <f aca="false">D451</f>
        <v>3.572307692</v>
      </c>
      <c r="P451" s="6" t="n">
        <f aca="false">E451</f>
        <v>1</v>
      </c>
      <c r="Q451" s="6" t="n">
        <f aca="false">F451</f>
        <v>0</v>
      </c>
      <c r="R451" s="6" t="n">
        <f aca="false">G451</f>
        <v>0</v>
      </c>
      <c r="S451" s="6" t="n">
        <f aca="false">H451</f>
        <v>1</v>
      </c>
      <c r="T451" s="6" t="n">
        <f aca="false">I451</f>
        <v>0</v>
      </c>
      <c r="U451" s="6" t="n">
        <f aca="false">L451</f>
        <v>0</v>
      </c>
      <c r="W451" s="6" t="n">
        <f aca="false">D451</f>
        <v>3.572307692</v>
      </c>
      <c r="X451" s="6" t="n">
        <f aca="false">E451</f>
        <v>1</v>
      </c>
      <c r="Y451" s="6" t="n">
        <f aca="false">F451</f>
        <v>0</v>
      </c>
      <c r="Z451" s="6" t="n">
        <f aca="false">L451</f>
        <v>0</v>
      </c>
      <c r="AA451" s="6" t="n">
        <f aca="false">G451</f>
        <v>0</v>
      </c>
      <c r="AC451" s="6" t="n">
        <f aca="false">D451</f>
        <v>3.572307692</v>
      </c>
      <c r="AD451" s="6" t="n">
        <f aca="false">E451</f>
        <v>1</v>
      </c>
      <c r="AE451" s="6" t="n">
        <f aca="false">G451</f>
        <v>0</v>
      </c>
      <c r="AF451" s="6" t="n">
        <f aca="false">H451</f>
        <v>1</v>
      </c>
      <c r="AG451" s="6" t="n">
        <f aca="false">I451</f>
        <v>0</v>
      </c>
      <c r="AH451" s="6" t="n">
        <f aca="false">L451</f>
        <v>0</v>
      </c>
    </row>
    <row r="452" customFormat="false" ht="15" hidden="false" customHeight="false" outlineLevel="0" collapsed="false">
      <c r="A452" s="0" t="str">
        <f aca="false">'Raw Data'!C452</f>
        <v>West Bloomfield</v>
      </c>
      <c r="B452" s="5" t="n">
        <f aca="false">'Raw Data'!A452</f>
        <v>40372</v>
      </c>
      <c r="C452" s="6" t="n">
        <f aca="false">'Raw Data'!D452</f>
        <v>214.461939370935</v>
      </c>
      <c r="D452" s="6" t="n">
        <f aca="false">'Raw Data'!E452</f>
        <v>3.572307692</v>
      </c>
      <c r="E452" s="6" t="n">
        <f aca="false">'Raw Data'!F452</f>
        <v>1</v>
      </c>
      <c r="F452" s="6" t="n">
        <f aca="false">'Raw Data'!G452</f>
        <v>0</v>
      </c>
      <c r="G452" s="6" t="n">
        <f aca="false">'Raw Data'!H452</f>
        <v>0</v>
      </c>
      <c r="H452" s="6" t="n">
        <f aca="false">'Raw Data'!I452</f>
        <v>1</v>
      </c>
      <c r="I452" s="6" t="n">
        <f aca="false">'Raw Data'!J452</f>
        <v>0</v>
      </c>
      <c r="J452" s="6" t="n">
        <f aca="false">'Raw Data'!K452</f>
        <v>1</v>
      </c>
      <c r="K452" s="6" t="n">
        <f aca="false">'Raw Data'!L452</f>
        <v>4</v>
      </c>
      <c r="L452" s="6" t="n">
        <f aca="false">F452*E452</f>
        <v>0</v>
      </c>
      <c r="N452" s="0" t="n">
        <v>1</v>
      </c>
      <c r="O452" s="6" t="n">
        <f aca="false">D452</f>
        <v>3.572307692</v>
      </c>
      <c r="P452" s="6" t="n">
        <f aca="false">E452</f>
        <v>1</v>
      </c>
      <c r="Q452" s="6" t="n">
        <f aca="false">F452</f>
        <v>0</v>
      </c>
      <c r="R452" s="6" t="n">
        <f aca="false">G452</f>
        <v>0</v>
      </c>
      <c r="S452" s="6" t="n">
        <f aca="false">H452</f>
        <v>1</v>
      </c>
      <c r="T452" s="6" t="n">
        <f aca="false">I452</f>
        <v>0</v>
      </c>
      <c r="U452" s="6" t="n">
        <f aca="false">L452</f>
        <v>0</v>
      </c>
      <c r="W452" s="6" t="n">
        <f aca="false">D452</f>
        <v>3.572307692</v>
      </c>
      <c r="X452" s="6" t="n">
        <f aca="false">E452</f>
        <v>1</v>
      </c>
      <c r="Y452" s="6" t="n">
        <f aca="false">F452</f>
        <v>0</v>
      </c>
      <c r="Z452" s="6" t="n">
        <f aca="false">L452</f>
        <v>0</v>
      </c>
      <c r="AA452" s="6" t="n">
        <f aca="false">G452</f>
        <v>0</v>
      </c>
      <c r="AC452" s="6" t="n">
        <f aca="false">D452</f>
        <v>3.572307692</v>
      </c>
      <c r="AD452" s="6" t="n">
        <f aca="false">E452</f>
        <v>1</v>
      </c>
      <c r="AE452" s="6" t="n">
        <f aca="false">G452</f>
        <v>0</v>
      </c>
      <c r="AF452" s="6" t="n">
        <f aca="false">H452</f>
        <v>1</v>
      </c>
      <c r="AG452" s="6" t="n">
        <f aca="false">I452</f>
        <v>0</v>
      </c>
      <c r="AH452" s="6" t="n">
        <f aca="false">L452</f>
        <v>0</v>
      </c>
    </row>
    <row r="453" customFormat="false" ht="15" hidden="false" customHeight="false" outlineLevel="0" collapsed="false">
      <c r="A453" s="0" t="str">
        <f aca="false">'Raw Data'!C453</f>
        <v>Wheaton</v>
      </c>
      <c r="B453" s="5" t="n">
        <f aca="false">'Raw Data'!A453</f>
        <v>40302</v>
      </c>
      <c r="C453" s="6" t="n">
        <f aca="false">'Raw Data'!D453</f>
        <v>268.607458409254</v>
      </c>
      <c r="D453" s="6" t="n">
        <f aca="false">'Raw Data'!E453</f>
        <v>4.612222222</v>
      </c>
      <c r="E453" s="6" t="n">
        <f aca="false">'Raw Data'!F453</f>
        <v>1</v>
      </c>
      <c r="F453" s="6" t="n">
        <f aca="false">'Raw Data'!G453</f>
        <v>0</v>
      </c>
      <c r="G453" s="6" t="n">
        <f aca="false">'Raw Data'!H453</f>
        <v>0</v>
      </c>
      <c r="H453" s="6" t="n">
        <f aca="false">'Raw Data'!I453</f>
        <v>0</v>
      </c>
      <c r="I453" s="6" t="n">
        <f aca="false">'Raw Data'!J453</f>
        <v>0</v>
      </c>
      <c r="J453" s="6" t="n">
        <f aca="false">'Raw Data'!K453</f>
        <v>2</v>
      </c>
      <c r="K453" s="6" t="n">
        <f aca="false">'Raw Data'!L453</f>
        <v>4</v>
      </c>
      <c r="L453" s="6" t="n">
        <f aca="false">F453*E453</f>
        <v>0</v>
      </c>
      <c r="N453" s="0" t="n">
        <v>1</v>
      </c>
      <c r="O453" s="6" t="n">
        <f aca="false">D453</f>
        <v>4.612222222</v>
      </c>
      <c r="P453" s="6" t="n">
        <f aca="false">E453</f>
        <v>1</v>
      </c>
      <c r="Q453" s="6" t="n">
        <f aca="false">F453</f>
        <v>0</v>
      </c>
      <c r="R453" s="6" t="n">
        <f aca="false">G453</f>
        <v>0</v>
      </c>
      <c r="S453" s="6" t="n">
        <f aca="false">H453</f>
        <v>0</v>
      </c>
      <c r="T453" s="6" t="n">
        <f aca="false">I453</f>
        <v>0</v>
      </c>
      <c r="U453" s="6" t="n">
        <f aca="false">L453</f>
        <v>0</v>
      </c>
      <c r="W453" s="6" t="n">
        <f aca="false">D453</f>
        <v>4.612222222</v>
      </c>
      <c r="X453" s="6" t="n">
        <f aca="false">E453</f>
        <v>1</v>
      </c>
      <c r="Y453" s="6" t="n">
        <f aca="false">F453</f>
        <v>0</v>
      </c>
      <c r="Z453" s="6" t="n">
        <f aca="false">L453</f>
        <v>0</v>
      </c>
      <c r="AA453" s="6" t="n">
        <f aca="false">G453</f>
        <v>0</v>
      </c>
      <c r="AC453" s="6" t="n">
        <f aca="false">D453</f>
        <v>4.612222222</v>
      </c>
      <c r="AD453" s="6" t="n">
        <f aca="false">E453</f>
        <v>1</v>
      </c>
      <c r="AE453" s="6" t="n">
        <f aca="false">G453</f>
        <v>0</v>
      </c>
      <c r="AF453" s="6" t="n">
        <f aca="false">H453</f>
        <v>0</v>
      </c>
      <c r="AG453" s="6" t="n">
        <f aca="false">I453</f>
        <v>0</v>
      </c>
      <c r="AH453" s="6" t="n">
        <f aca="false">L453</f>
        <v>0</v>
      </c>
    </row>
    <row r="454" customFormat="false" ht="15" hidden="false" customHeight="false" outlineLevel="0" collapsed="false">
      <c r="A454" s="0" t="str">
        <f aca="false">'Raw Data'!C454</f>
        <v>Wheaton</v>
      </c>
      <c r="B454" s="5" t="n">
        <f aca="false">'Raw Data'!A454</f>
        <v>40309</v>
      </c>
      <c r="C454" s="6" t="n">
        <f aca="false">'Raw Data'!D454</f>
        <v>341.008167731421</v>
      </c>
      <c r="D454" s="6" t="n">
        <f aca="false">'Raw Data'!E454</f>
        <v>4.612222222</v>
      </c>
      <c r="E454" s="6" t="n">
        <f aca="false">'Raw Data'!F454</f>
        <v>1</v>
      </c>
      <c r="F454" s="6" t="n">
        <f aca="false">'Raw Data'!G454</f>
        <v>0</v>
      </c>
      <c r="G454" s="6" t="n">
        <f aca="false">'Raw Data'!H454</f>
        <v>0</v>
      </c>
      <c r="H454" s="6" t="n">
        <f aca="false">'Raw Data'!I454</f>
        <v>0</v>
      </c>
      <c r="I454" s="6" t="n">
        <f aca="false">'Raw Data'!J454</f>
        <v>0</v>
      </c>
      <c r="J454" s="6" t="n">
        <f aca="false">'Raw Data'!K454</f>
        <v>2</v>
      </c>
      <c r="K454" s="6" t="n">
        <f aca="false">'Raw Data'!L454</f>
        <v>4</v>
      </c>
      <c r="L454" s="6" t="n">
        <f aca="false">F454*E454</f>
        <v>0</v>
      </c>
      <c r="N454" s="0" t="n">
        <v>1</v>
      </c>
      <c r="O454" s="6" t="n">
        <f aca="false">D454</f>
        <v>4.612222222</v>
      </c>
      <c r="P454" s="6" t="n">
        <f aca="false">E454</f>
        <v>1</v>
      </c>
      <c r="Q454" s="6" t="n">
        <f aca="false">F454</f>
        <v>0</v>
      </c>
      <c r="R454" s="6" t="n">
        <f aca="false">G454</f>
        <v>0</v>
      </c>
      <c r="S454" s="6" t="n">
        <f aca="false">H454</f>
        <v>0</v>
      </c>
      <c r="T454" s="6" t="n">
        <f aca="false">I454</f>
        <v>0</v>
      </c>
      <c r="U454" s="6" t="n">
        <f aca="false">L454</f>
        <v>0</v>
      </c>
      <c r="W454" s="6" t="n">
        <f aca="false">D454</f>
        <v>4.612222222</v>
      </c>
      <c r="X454" s="6" t="n">
        <f aca="false">E454</f>
        <v>1</v>
      </c>
      <c r="Y454" s="6" t="n">
        <f aca="false">F454</f>
        <v>0</v>
      </c>
      <c r="Z454" s="6" t="n">
        <f aca="false">L454</f>
        <v>0</v>
      </c>
      <c r="AA454" s="6" t="n">
        <f aca="false">G454</f>
        <v>0</v>
      </c>
      <c r="AC454" s="6" t="n">
        <f aca="false">D454</f>
        <v>4.612222222</v>
      </c>
      <c r="AD454" s="6" t="n">
        <f aca="false">E454</f>
        <v>1</v>
      </c>
      <c r="AE454" s="6" t="n">
        <f aca="false">G454</f>
        <v>0</v>
      </c>
      <c r="AF454" s="6" t="n">
        <f aca="false">H454</f>
        <v>0</v>
      </c>
      <c r="AG454" s="6" t="n">
        <f aca="false">I454</f>
        <v>0</v>
      </c>
      <c r="AH454" s="6" t="n">
        <f aca="false">L454</f>
        <v>0</v>
      </c>
    </row>
    <row r="455" customFormat="false" ht="15" hidden="false" customHeight="false" outlineLevel="0" collapsed="false">
      <c r="A455" s="0" t="str">
        <f aca="false">'Raw Data'!C455</f>
        <v>Wheaton</v>
      </c>
      <c r="B455" s="5" t="n">
        <f aca="false">'Raw Data'!A455</f>
        <v>40316</v>
      </c>
      <c r="C455" s="6" t="n">
        <f aca="false">'Raw Data'!D455</f>
        <v>175.190338479696</v>
      </c>
      <c r="D455" s="6" t="n">
        <f aca="false">'Raw Data'!E455</f>
        <v>4.067777778</v>
      </c>
      <c r="E455" s="6" t="n">
        <f aca="false">'Raw Data'!F455</f>
        <v>1</v>
      </c>
      <c r="F455" s="6" t="n">
        <f aca="false">'Raw Data'!G455</f>
        <v>0</v>
      </c>
      <c r="G455" s="6" t="n">
        <f aca="false">'Raw Data'!H455</f>
        <v>0</v>
      </c>
      <c r="H455" s="6" t="n">
        <f aca="false">'Raw Data'!I455</f>
        <v>0</v>
      </c>
      <c r="I455" s="6" t="n">
        <f aca="false">'Raw Data'!J455</f>
        <v>0</v>
      </c>
      <c r="J455" s="6" t="n">
        <f aca="false">'Raw Data'!K455</f>
        <v>2</v>
      </c>
      <c r="K455" s="6" t="n">
        <f aca="false">'Raw Data'!L455</f>
        <v>4</v>
      </c>
      <c r="L455" s="6" t="n">
        <f aca="false">F455*E455</f>
        <v>0</v>
      </c>
      <c r="N455" s="0" t="n">
        <v>1</v>
      </c>
      <c r="O455" s="6" t="n">
        <f aca="false">D455</f>
        <v>4.067777778</v>
      </c>
      <c r="P455" s="6" t="n">
        <f aca="false">E455</f>
        <v>1</v>
      </c>
      <c r="Q455" s="6" t="n">
        <f aca="false">F455</f>
        <v>0</v>
      </c>
      <c r="R455" s="6" t="n">
        <f aca="false">G455</f>
        <v>0</v>
      </c>
      <c r="S455" s="6" t="n">
        <f aca="false">H455</f>
        <v>0</v>
      </c>
      <c r="T455" s="6" t="n">
        <f aca="false">I455</f>
        <v>0</v>
      </c>
      <c r="U455" s="6" t="n">
        <f aca="false">L455</f>
        <v>0</v>
      </c>
      <c r="W455" s="6" t="n">
        <f aca="false">D455</f>
        <v>4.067777778</v>
      </c>
      <c r="X455" s="6" t="n">
        <f aca="false">E455</f>
        <v>1</v>
      </c>
      <c r="Y455" s="6" t="n">
        <f aca="false">F455</f>
        <v>0</v>
      </c>
      <c r="Z455" s="6" t="n">
        <f aca="false">L455</f>
        <v>0</v>
      </c>
      <c r="AA455" s="6" t="n">
        <f aca="false">G455</f>
        <v>0</v>
      </c>
      <c r="AC455" s="6" t="n">
        <f aca="false">D455</f>
        <v>4.067777778</v>
      </c>
      <c r="AD455" s="6" t="n">
        <f aca="false">E455</f>
        <v>1</v>
      </c>
      <c r="AE455" s="6" t="n">
        <f aca="false">G455</f>
        <v>0</v>
      </c>
      <c r="AF455" s="6" t="n">
        <f aca="false">H455</f>
        <v>0</v>
      </c>
      <c r="AG455" s="6" t="n">
        <f aca="false">I455</f>
        <v>0</v>
      </c>
      <c r="AH455" s="6" t="n">
        <f aca="false">L455</f>
        <v>0</v>
      </c>
    </row>
    <row r="456" customFormat="false" ht="15" hidden="false" customHeight="false" outlineLevel="0" collapsed="false">
      <c r="A456" s="0" t="str">
        <f aca="false">'Raw Data'!C456</f>
        <v>Wheaton</v>
      </c>
      <c r="B456" s="5" t="n">
        <f aca="false">'Raw Data'!A456</f>
        <v>40323</v>
      </c>
      <c r="C456" s="6" t="n">
        <f aca="false">'Raw Data'!D456</f>
        <v>219.937874537013</v>
      </c>
      <c r="D456" s="6" t="n">
        <f aca="false">'Raw Data'!E456</f>
        <v>4.067777778</v>
      </c>
      <c r="E456" s="6" t="n">
        <f aca="false">'Raw Data'!F456</f>
        <v>1</v>
      </c>
      <c r="F456" s="6" t="n">
        <f aca="false">'Raw Data'!G456</f>
        <v>0</v>
      </c>
      <c r="G456" s="6" t="n">
        <f aca="false">'Raw Data'!H456</f>
        <v>0</v>
      </c>
      <c r="H456" s="6" t="n">
        <f aca="false">'Raw Data'!I456</f>
        <v>0</v>
      </c>
      <c r="I456" s="6" t="n">
        <f aca="false">'Raw Data'!J456</f>
        <v>0</v>
      </c>
      <c r="J456" s="6" t="n">
        <f aca="false">'Raw Data'!K456</f>
        <v>2</v>
      </c>
      <c r="K456" s="6" t="n">
        <f aca="false">'Raw Data'!L456</f>
        <v>4</v>
      </c>
      <c r="L456" s="6" t="n">
        <f aca="false">F456*E456</f>
        <v>0</v>
      </c>
      <c r="N456" s="0" t="n">
        <v>1</v>
      </c>
      <c r="O456" s="6" t="n">
        <f aca="false">D456</f>
        <v>4.067777778</v>
      </c>
      <c r="P456" s="6" t="n">
        <f aca="false">E456</f>
        <v>1</v>
      </c>
      <c r="Q456" s="6" t="n">
        <f aca="false">F456</f>
        <v>0</v>
      </c>
      <c r="R456" s="6" t="n">
        <f aca="false">G456</f>
        <v>0</v>
      </c>
      <c r="S456" s="6" t="n">
        <f aca="false">H456</f>
        <v>0</v>
      </c>
      <c r="T456" s="6" t="n">
        <f aca="false">I456</f>
        <v>0</v>
      </c>
      <c r="U456" s="6" t="n">
        <f aca="false">L456</f>
        <v>0</v>
      </c>
      <c r="W456" s="6" t="n">
        <f aca="false">D456</f>
        <v>4.067777778</v>
      </c>
      <c r="X456" s="6" t="n">
        <f aca="false">E456</f>
        <v>1</v>
      </c>
      <c r="Y456" s="6" t="n">
        <f aca="false">F456</f>
        <v>0</v>
      </c>
      <c r="Z456" s="6" t="n">
        <f aca="false">L456</f>
        <v>0</v>
      </c>
      <c r="AA456" s="6" t="n">
        <f aca="false">G456</f>
        <v>0</v>
      </c>
      <c r="AC456" s="6" t="n">
        <f aca="false">D456</f>
        <v>4.067777778</v>
      </c>
      <c r="AD456" s="6" t="n">
        <f aca="false">E456</f>
        <v>1</v>
      </c>
      <c r="AE456" s="6" t="n">
        <f aca="false">G456</f>
        <v>0</v>
      </c>
      <c r="AF456" s="6" t="n">
        <f aca="false">H456</f>
        <v>0</v>
      </c>
      <c r="AG456" s="6" t="n">
        <f aca="false">I456</f>
        <v>0</v>
      </c>
      <c r="AH456" s="6" t="n">
        <f aca="false">L456</f>
        <v>0</v>
      </c>
    </row>
    <row r="457" customFormat="false" ht="15" hidden="false" customHeight="false" outlineLevel="0" collapsed="false">
      <c r="A457" s="0" t="str">
        <f aca="false">'Raw Data'!C457</f>
        <v>Wheaton</v>
      </c>
      <c r="B457" s="5" t="n">
        <f aca="false">'Raw Data'!A457</f>
        <v>40330</v>
      </c>
      <c r="C457" s="6" t="n">
        <f aca="false">'Raw Data'!D457</f>
        <v>306.684173440907</v>
      </c>
      <c r="D457" s="6" t="n">
        <f aca="false">'Raw Data'!E457</f>
        <v>3.705384615</v>
      </c>
      <c r="E457" s="6" t="n">
        <f aca="false">'Raw Data'!F457</f>
        <v>1</v>
      </c>
      <c r="F457" s="6" t="n">
        <f aca="false">'Raw Data'!G457</f>
        <v>0</v>
      </c>
      <c r="G457" s="6" t="n">
        <f aca="false">'Raw Data'!H457</f>
        <v>0</v>
      </c>
      <c r="H457" s="6" t="n">
        <f aca="false">'Raw Data'!I457</f>
        <v>0</v>
      </c>
      <c r="I457" s="6" t="n">
        <f aca="false">'Raw Data'!J457</f>
        <v>0</v>
      </c>
      <c r="J457" s="6" t="n">
        <f aca="false">'Raw Data'!K457</f>
        <v>2</v>
      </c>
      <c r="K457" s="6" t="n">
        <f aca="false">'Raw Data'!L457</f>
        <v>4</v>
      </c>
      <c r="L457" s="6" t="n">
        <f aca="false">F457*E457</f>
        <v>0</v>
      </c>
      <c r="N457" s="0" t="n">
        <v>1</v>
      </c>
      <c r="O457" s="6" t="n">
        <f aca="false">D457</f>
        <v>3.705384615</v>
      </c>
      <c r="P457" s="6" t="n">
        <f aca="false">E457</f>
        <v>1</v>
      </c>
      <c r="Q457" s="6" t="n">
        <f aca="false">F457</f>
        <v>0</v>
      </c>
      <c r="R457" s="6" t="n">
        <f aca="false">G457</f>
        <v>0</v>
      </c>
      <c r="S457" s="6" t="n">
        <f aca="false">H457</f>
        <v>0</v>
      </c>
      <c r="T457" s="6" t="n">
        <f aca="false">I457</f>
        <v>0</v>
      </c>
      <c r="U457" s="6" t="n">
        <f aca="false">L457</f>
        <v>0</v>
      </c>
      <c r="W457" s="6" t="n">
        <f aca="false">D457</f>
        <v>3.705384615</v>
      </c>
      <c r="X457" s="6" t="n">
        <f aca="false">E457</f>
        <v>1</v>
      </c>
      <c r="Y457" s="6" t="n">
        <f aca="false">F457</f>
        <v>0</v>
      </c>
      <c r="Z457" s="6" t="n">
        <f aca="false">L457</f>
        <v>0</v>
      </c>
      <c r="AA457" s="6" t="n">
        <f aca="false">G457</f>
        <v>0</v>
      </c>
      <c r="AC457" s="6" t="n">
        <f aca="false">D457</f>
        <v>3.705384615</v>
      </c>
      <c r="AD457" s="6" t="n">
        <f aca="false">E457</f>
        <v>1</v>
      </c>
      <c r="AE457" s="6" t="n">
        <f aca="false">G457</f>
        <v>0</v>
      </c>
      <c r="AF457" s="6" t="n">
        <f aca="false">H457</f>
        <v>0</v>
      </c>
      <c r="AG457" s="6" t="n">
        <f aca="false">I457</f>
        <v>0</v>
      </c>
      <c r="AH457" s="6" t="n">
        <f aca="false">L457</f>
        <v>0</v>
      </c>
    </row>
    <row r="458" customFormat="false" ht="15" hidden="false" customHeight="false" outlineLevel="0" collapsed="false">
      <c r="A458" s="0" t="str">
        <f aca="false">'Raw Data'!C458</f>
        <v>Wheaton</v>
      </c>
      <c r="B458" s="5" t="n">
        <f aca="false">'Raw Data'!A458</f>
        <v>40337</v>
      </c>
      <c r="C458" s="6" t="n">
        <f aca="false">'Raw Data'!D458</f>
        <v>215.114334512072</v>
      </c>
      <c r="D458" s="6" t="n">
        <f aca="false">'Raw Data'!E458</f>
        <v>4.104285714</v>
      </c>
      <c r="E458" s="6" t="n">
        <f aca="false">'Raw Data'!F458</f>
        <v>1</v>
      </c>
      <c r="F458" s="6" t="n">
        <f aca="false">'Raw Data'!G458</f>
        <v>0</v>
      </c>
      <c r="G458" s="6" t="n">
        <f aca="false">'Raw Data'!H458</f>
        <v>0</v>
      </c>
      <c r="H458" s="6" t="n">
        <f aca="false">'Raw Data'!I458</f>
        <v>0</v>
      </c>
      <c r="I458" s="6" t="n">
        <f aca="false">'Raw Data'!J458</f>
        <v>0</v>
      </c>
      <c r="J458" s="6" t="n">
        <f aca="false">'Raw Data'!K458</f>
        <v>2</v>
      </c>
      <c r="K458" s="6" t="n">
        <f aca="false">'Raw Data'!L458</f>
        <v>4</v>
      </c>
      <c r="L458" s="6" t="n">
        <f aca="false">F458*E458</f>
        <v>0</v>
      </c>
      <c r="N458" s="0" t="n">
        <v>1</v>
      </c>
      <c r="O458" s="6" t="n">
        <f aca="false">D458</f>
        <v>4.104285714</v>
      </c>
      <c r="P458" s="6" t="n">
        <f aca="false">E458</f>
        <v>1</v>
      </c>
      <c r="Q458" s="6" t="n">
        <f aca="false">F458</f>
        <v>0</v>
      </c>
      <c r="R458" s="6" t="n">
        <f aca="false">G458</f>
        <v>0</v>
      </c>
      <c r="S458" s="6" t="n">
        <f aca="false">H458</f>
        <v>0</v>
      </c>
      <c r="T458" s="6" t="n">
        <f aca="false">I458</f>
        <v>0</v>
      </c>
      <c r="U458" s="6" t="n">
        <f aca="false">L458</f>
        <v>0</v>
      </c>
      <c r="W458" s="6" t="n">
        <f aca="false">D458</f>
        <v>4.104285714</v>
      </c>
      <c r="X458" s="6" t="n">
        <f aca="false">E458</f>
        <v>1</v>
      </c>
      <c r="Y458" s="6" t="n">
        <f aca="false">F458</f>
        <v>0</v>
      </c>
      <c r="Z458" s="6" t="n">
        <f aca="false">L458</f>
        <v>0</v>
      </c>
      <c r="AA458" s="6" t="n">
        <f aca="false">G458</f>
        <v>0</v>
      </c>
      <c r="AC458" s="6" t="n">
        <f aca="false">D458</f>
        <v>4.104285714</v>
      </c>
      <c r="AD458" s="6" t="n">
        <f aca="false">E458</f>
        <v>1</v>
      </c>
      <c r="AE458" s="6" t="n">
        <f aca="false">G458</f>
        <v>0</v>
      </c>
      <c r="AF458" s="6" t="n">
        <f aca="false">H458</f>
        <v>0</v>
      </c>
      <c r="AG458" s="6" t="n">
        <f aca="false">I458</f>
        <v>0</v>
      </c>
      <c r="AH458" s="6" t="n">
        <f aca="false">L458</f>
        <v>0</v>
      </c>
    </row>
    <row r="459" customFormat="false" ht="15" hidden="false" customHeight="false" outlineLevel="0" collapsed="false">
      <c r="A459" s="0" t="str">
        <f aca="false">'Raw Data'!C459</f>
        <v>Wheaton</v>
      </c>
      <c r="B459" s="5" t="n">
        <f aca="false">'Raw Data'!A459</f>
        <v>40344</v>
      </c>
      <c r="C459" s="6" t="n">
        <f aca="false">'Raw Data'!D459</f>
        <v>196.44880610037</v>
      </c>
      <c r="D459" s="6" t="n">
        <f aca="false">'Raw Data'!E459</f>
        <v>4.39</v>
      </c>
      <c r="E459" s="6" t="n">
        <f aca="false">'Raw Data'!F459</f>
        <v>1</v>
      </c>
      <c r="F459" s="6" t="n">
        <f aca="false">'Raw Data'!G459</f>
        <v>0</v>
      </c>
      <c r="G459" s="6" t="n">
        <f aca="false">'Raw Data'!H459</f>
        <v>1</v>
      </c>
      <c r="H459" s="6" t="n">
        <f aca="false">'Raw Data'!I459</f>
        <v>0</v>
      </c>
      <c r="I459" s="6" t="n">
        <f aca="false">'Raw Data'!J459</f>
        <v>0</v>
      </c>
      <c r="J459" s="6" t="n">
        <f aca="false">'Raw Data'!K459</f>
        <v>2</v>
      </c>
      <c r="K459" s="6" t="n">
        <f aca="false">'Raw Data'!L459</f>
        <v>4</v>
      </c>
      <c r="L459" s="6" t="n">
        <f aca="false">F459*E459</f>
        <v>0</v>
      </c>
      <c r="N459" s="0" t="n">
        <v>1</v>
      </c>
      <c r="O459" s="6" t="n">
        <f aca="false">D459</f>
        <v>4.39</v>
      </c>
      <c r="P459" s="6" t="n">
        <f aca="false">E459</f>
        <v>1</v>
      </c>
      <c r="Q459" s="6" t="n">
        <f aca="false">F459</f>
        <v>0</v>
      </c>
      <c r="R459" s="6" t="n">
        <f aca="false">G459</f>
        <v>1</v>
      </c>
      <c r="S459" s="6" t="n">
        <f aca="false">H459</f>
        <v>0</v>
      </c>
      <c r="T459" s="6" t="n">
        <f aca="false">I459</f>
        <v>0</v>
      </c>
      <c r="U459" s="6" t="n">
        <f aca="false">L459</f>
        <v>0</v>
      </c>
      <c r="W459" s="6" t="n">
        <f aca="false">D459</f>
        <v>4.39</v>
      </c>
      <c r="X459" s="6" t="n">
        <f aca="false">E459</f>
        <v>1</v>
      </c>
      <c r="Y459" s="6" t="n">
        <f aca="false">F459</f>
        <v>0</v>
      </c>
      <c r="Z459" s="6" t="n">
        <f aca="false">L459</f>
        <v>0</v>
      </c>
      <c r="AA459" s="6" t="n">
        <f aca="false">G459</f>
        <v>1</v>
      </c>
      <c r="AC459" s="6" t="n">
        <f aca="false">D459</f>
        <v>4.39</v>
      </c>
      <c r="AD459" s="6" t="n">
        <f aca="false">E459</f>
        <v>1</v>
      </c>
      <c r="AE459" s="6" t="n">
        <f aca="false">G459</f>
        <v>1</v>
      </c>
      <c r="AF459" s="6" t="n">
        <f aca="false">H459</f>
        <v>0</v>
      </c>
      <c r="AG459" s="6" t="n">
        <f aca="false">I459</f>
        <v>0</v>
      </c>
      <c r="AH459" s="6" t="n">
        <f aca="false">L459</f>
        <v>0</v>
      </c>
    </row>
    <row r="460" customFormat="false" ht="15" hidden="false" customHeight="false" outlineLevel="0" collapsed="false">
      <c r="A460" s="0" t="str">
        <f aca="false">'Raw Data'!C460</f>
        <v>Wheaton</v>
      </c>
      <c r="B460" s="5" t="n">
        <f aca="false">'Raw Data'!A460</f>
        <v>40351</v>
      </c>
      <c r="C460" s="6" t="n">
        <f aca="false">'Raw Data'!D460</f>
        <v>366.058958972934</v>
      </c>
      <c r="D460" s="6" t="n">
        <f aca="false">'Raw Data'!E460</f>
        <v>4.082307692</v>
      </c>
      <c r="E460" s="6" t="n">
        <f aca="false">'Raw Data'!F460</f>
        <v>1</v>
      </c>
      <c r="F460" s="6" t="n">
        <f aca="false">'Raw Data'!G460</f>
        <v>0</v>
      </c>
      <c r="G460" s="6" t="n">
        <f aca="false">'Raw Data'!H460</f>
        <v>0</v>
      </c>
      <c r="H460" s="6" t="n">
        <f aca="false">'Raw Data'!I460</f>
        <v>1</v>
      </c>
      <c r="I460" s="6" t="n">
        <f aca="false">'Raw Data'!J460</f>
        <v>0</v>
      </c>
      <c r="J460" s="6" t="n">
        <f aca="false">'Raw Data'!K460</f>
        <v>2</v>
      </c>
      <c r="K460" s="6" t="n">
        <f aca="false">'Raw Data'!L460</f>
        <v>4</v>
      </c>
      <c r="L460" s="6" t="n">
        <f aca="false">F460*E460</f>
        <v>0</v>
      </c>
      <c r="N460" s="0" t="n">
        <v>1</v>
      </c>
      <c r="O460" s="6" t="n">
        <f aca="false">D460</f>
        <v>4.082307692</v>
      </c>
      <c r="P460" s="6" t="n">
        <f aca="false">E460</f>
        <v>1</v>
      </c>
      <c r="Q460" s="6" t="n">
        <f aca="false">F460</f>
        <v>0</v>
      </c>
      <c r="R460" s="6" t="n">
        <f aca="false">G460</f>
        <v>0</v>
      </c>
      <c r="S460" s="6" t="n">
        <f aca="false">H460</f>
        <v>1</v>
      </c>
      <c r="T460" s="6" t="n">
        <f aca="false">I460</f>
        <v>0</v>
      </c>
      <c r="U460" s="6" t="n">
        <f aca="false">L460</f>
        <v>0</v>
      </c>
      <c r="W460" s="6" t="n">
        <f aca="false">D460</f>
        <v>4.082307692</v>
      </c>
      <c r="X460" s="6" t="n">
        <f aca="false">E460</f>
        <v>1</v>
      </c>
      <c r="Y460" s="6" t="n">
        <f aca="false">F460</f>
        <v>0</v>
      </c>
      <c r="Z460" s="6" t="n">
        <f aca="false">L460</f>
        <v>0</v>
      </c>
      <c r="AA460" s="6" t="n">
        <f aca="false">G460</f>
        <v>0</v>
      </c>
      <c r="AC460" s="6" t="n">
        <f aca="false">D460</f>
        <v>4.082307692</v>
      </c>
      <c r="AD460" s="6" t="n">
        <f aca="false">E460</f>
        <v>1</v>
      </c>
      <c r="AE460" s="6" t="n">
        <f aca="false">G460</f>
        <v>0</v>
      </c>
      <c r="AF460" s="6" t="n">
        <f aca="false">H460</f>
        <v>1</v>
      </c>
      <c r="AG460" s="6" t="n">
        <f aca="false">I460</f>
        <v>0</v>
      </c>
      <c r="AH460" s="6" t="n">
        <f aca="false">L460</f>
        <v>0</v>
      </c>
    </row>
    <row r="461" customFormat="false" ht="15" hidden="false" customHeight="false" outlineLevel="0" collapsed="false">
      <c r="A461" s="0" t="str">
        <f aca="false">'Raw Data'!C461</f>
        <v>Wheaton</v>
      </c>
      <c r="B461" s="5" t="n">
        <f aca="false">'Raw Data'!A461</f>
        <v>40358</v>
      </c>
      <c r="C461" s="6" t="n">
        <f aca="false">'Raw Data'!D461</f>
        <v>260.076694713571</v>
      </c>
      <c r="D461" s="6" t="n">
        <f aca="false">'Raw Data'!E461</f>
        <v>4.056666667</v>
      </c>
      <c r="E461" s="6" t="n">
        <f aca="false">'Raw Data'!F461</f>
        <v>1</v>
      </c>
      <c r="F461" s="6" t="n">
        <f aca="false">'Raw Data'!G461</f>
        <v>0</v>
      </c>
      <c r="G461" s="6" t="n">
        <f aca="false">'Raw Data'!H461</f>
        <v>0</v>
      </c>
      <c r="H461" s="6" t="n">
        <f aca="false">'Raw Data'!I461</f>
        <v>1</v>
      </c>
      <c r="I461" s="6" t="n">
        <f aca="false">'Raw Data'!J461</f>
        <v>0</v>
      </c>
      <c r="J461" s="6" t="n">
        <f aca="false">'Raw Data'!K461</f>
        <v>2</v>
      </c>
      <c r="K461" s="6" t="n">
        <f aca="false">'Raw Data'!L461</f>
        <v>4</v>
      </c>
      <c r="L461" s="6" t="n">
        <f aca="false">F461*E461</f>
        <v>0</v>
      </c>
      <c r="N461" s="0" t="n">
        <v>1</v>
      </c>
      <c r="O461" s="6" t="n">
        <f aca="false">D461</f>
        <v>4.056666667</v>
      </c>
      <c r="P461" s="6" t="n">
        <f aca="false">E461</f>
        <v>1</v>
      </c>
      <c r="Q461" s="6" t="n">
        <f aca="false">F461</f>
        <v>0</v>
      </c>
      <c r="R461" s="6" t="n">
        <f aca="false">G461</f>
        <v>0</v>
      </c>
      <c r="S461" s="6" t="n">
        <f aca="false">H461</f>
        <v>1</v>
      </c>
      <c r="T461" s="6" t="n">
        <f aca="false">I461</f>
        <v>0</v>
      </c>
      <c r="U461" s="6" t="n">
        <f aca="false">L461</f>
        <v>0</v>
      </c>
      <c r="W461" s="6" t="n">
        <f aca="false">D461</f>
        <v>4.056666667</v>
      </c>
      <c r="X461" s="6" t="n">
        <f aca="false">E461</f>
        <v>1</v>
      </c>
      <c r="Y461" s="6" t="n">
        <f aca="false">F461</f>
        <v>0</v>
      </c>
      <c r="Z461" s="6" t="n">
        <f aca="false">L461</f>
        <v>0</v>
      </c>
      <c r="AA461" s="6" t="n">
        <f aca="false">G461</f>
        <v>0</v>
      </c>
      <c r="AC461" s="6" t="n">
        <f aca="false">D461</f>
        <v>4.056666667</v>
      </c>
      <c r="AD461" s="6" t="n">
        <f aca="false">E461</f>
        <v>1</v>
      </c>
      <c r="AE461" s="6" t="n">
        <f aca="false">G461</f>
        <v>0</v>
      </c>
      <c r="AF461" s="6" t="n">
        <f aca="false">H461</f>
        <v>1</v>
      </c>
      <c r="AG461" s="6" t="n">
        <f aca="false">I461</f>
        <v>0</v>
      </c>
      <c r="AH461" s="6" t="n">
        <f aca="false">L461</f>
        <v>0</v>
      </c>
    </row>
    <row r="462" customFormat="false" ht="15" hidden="false" customHeight="false" outlineLevel="0" collapsed="false">
      <c r="A462" s="0" t="str">
        <f aca="false">'Raw Data'!C462</f>
        <v>Wheaton</v>
      </c>
      <c r="B462" s="5" t="n">
        <f aca="false">'Raw Data'!A462</f>
        <v>40365</v>
      </c>
      <c r="C462" s="6" t="n">
        <f aca="false">'Raw Data'!D462</f>
        <v>345.848851077878</v>
      </c>
      <c r="D462" s="6" t="n">
        <f aca="false">'Raw Data'!E462</f>
        <v>3.633846154</v>
      </c>
      <c r="E462" s="6" t="n">
        <f aca="false">'Raw Data'!F462</f>
        <v>1</v>
      </c>
      <c r="F462" s="6" t="n">
        <f aca="false">'Raw Data'!G462</f>
        <v>0</v>
      </c>
      <c r="G462" s="6" t="n">
        <f aca="false">'Raw Data'!H462</f>
        <v>0</v>
      </c>
      <c r="H462" s="6" t="n">
        <f aca="false">'Raw Data'!I462</f>
        <v>1</v>
      </c>
      <c r="I462" s="6" t="n">
        <f aca="false">'Raw Data'!J462</f>
        <v>0</v>
      </c>
      <c r="J462" s="6" t="n">
        <f aca="false">'Raw Data'!K462</f>
        <v>2</v>
      </c>
      <c r="K462" s="6" t="n">
        <f aca="false">'Raw Data'!L462</f>
        <v>4</v>
      </c>
      <c r="L462" s="6" t="n">
        <f aca="false">F462*E462</f>
        <v>0</v>
      </c>
      <c r="N462" s="0" t="n">
        <v>1</v>
      </c>
      <c r="O462" s="6" t="n">
        <f aca="false">D462</f>
        <v>3.633846154</v>
      </c>
      <c r="P462" s="6" t="n">
        <f aca="false">E462</f>
        <v>1</v>
      </c>
      <c r="Q462" s="6" t="n">
        <f aca="false">F462</f>
        <v>0</v>
      </c>
      <c r="R462" s="6" t="n">
        <f aca="false">G462</f>
        <v>0</v>
      </c>
      <c r="S462" s="6" t="n">
        <f aca="false">H462</f>
        <v>1</v>
      </c>
      <c r="T462" s="6" t="n">
        <f aca="false">I462</f>
        <v>0</v>
      </c>
      <c r="U462" s="6" t="n">
        <f aca="false">L462</f>
        <v>0</v>
      </c>
      <c r="W462" s="6" t="n">
        <f aca="false">D462</f>
        <v>3.633846154</v>
      </c>
      <c r="X462" s="6" t="n">
        <f aca="false">E462</f>
        <v>1</v>
      </c>
      <c r="Y462" s="6" t="n">
        <f aca="false">F462</f>
        <v>0</v>
      </c>
      <c r="Z462" s="6" t="n">
        <f aca="false">L462</f>
        <v>0</v>
      </c>
      <c r="AA462" s="6" t="n">
        <f aca="false">G462</f>
        <v>0</v>
      </c>
      <c r="AC462" s="6" t="n">
        <f aca="false">D462</f>
        <v>3.633846154</v>
      </c>
      <c r="AD462" s="6" t="n">
        <f aca="false">E462</f>
        <v>1</v>
      </c>
      <c r="AE462" s="6" t="n">
        <f aca="false">G462</f>
        <v>0</v>
      </c>
      <c r="AF462" s="6" t="n">
        <f aca="false">H462</f>
        <v>1</v>
      </c>
      <c r="AG462" s="6" t="n">
        <f aca="false">I462</f>
        <v>0</v>
      </c>
      <c r="AH462" s="6" t="n">
        <f aca="false">L462</f>
        <v>0</v>
      </c>
    </row>
    <row r="463" customFormat="false" ht="15" hidden="false" customHeight="false" outlineLevel="0" collapsed="false">
      <c r="A463" s="0" t="str">
        <f aca="false">'Raw Data'!C463</f>
        <v>Wheaton</v>
      </c>
      <c r="B463" s="5" t="n">
        <f aca="false">'Raw Data'!A463</f>
        <v>40372</v>
      </c>
      <c r="C463" s="6" t="n">
        <f aca="false">'Raw Data'!D463</f>
        <v>346.951213954335</v>
      </c>
      <c r="D463" s="6" t="n">
        <f aca="false">'Raw Data'!E463</f>
        <v>3.659285714</v>
      </c>
      <c r="E463" s="6" t="n">
        <f aca="false">'Raw Data'!F463</f>
        <v>1</v>
      </c>
      <c r="F463" s="6" t="n">
        <f aca="false">'Raw Data'!G463</f>
        <v>0</v>
      </c>
      <c r="G463" s="6" t="n">
        <f aca="false">'Raw Data'!H463</f>
        <v>0</v>
      </c>
      <c r="H463" s="6" t="n">
        <f aca="false">'Raw Data'!I463</f>
        <v>0</v>
      </c>
      <c r="I463" s="6" t="n">
        <f aca="false">'Raw Data'!J463</f>
        <v>1</v>
      </c>
      <c r="J463" s="6" t="n">
        <f aca="false">'Raw Data'!K463</f>
        <v>2</v>
      </c>
      <c r="K463" s="6" t="n">
        <f aca="false">'Raw Data'!L463</f>
        <v>4</v>
      </c>
      <c r="L463" s="6" t="n">
        <f aca="false">F463*E463</f>
        <v>0</v>
      </c>
      <c r="N463" s="0" t="n">
        <v>1</v>
      </c>
      <c r="O463" s="6" t="n">
        <f aca="false">D463</f>
        <v>3.659285714</v>
      </c>
      <c r="P463" s="6" t="n">
        <f aca="false">E463</f>
        <v>1</v>
      </c>
      <c r="Q463" s="6" t="n">
        <f aca="false">F463</f>
        <v>0</v>
      </c>
      <c r="R463" s="6" t="n">
        <f aca="false">G463</f>
        <v>0</v>
      </c>
      <c r="S463" s="6" t="n">
        <f aca="false">H463</f>
        <v>0</v>
      </c>
      <c r="T463" s="6" t="n">
        <f aca="false">I463</f>
        <v>1</v>
      </c>
      <c r="U463" s="6" t="n">
        <f aca="false">L463</f>
        <v>0</v>
      </c>
      <c r="W463" s="6" t="n">
        <f aca="false">D463</f>
        <v>3.659285714</v>
      </c>
      <c r="X463" s="6" t="n">
        <f aca="false">E463</f>
        <v>1</v>
      </c>
      <c r="Y463" s="6" t="n">
        <f aca="false">F463</f>
        <v>0</v>
      </c>
      <c r="Z463" s="6" t="n">
        <f aca="false">L463</f>
        <v>0</v>
      </c>
      <c r="AA463" s="6" t="n">
        <f aca="false">G463</f>
        <v>0</v>
      </c>
      <c r="AC463" s="6" t="n">
        <f aca="false">D463</f>
        <v>3.659285714</v>
      </c>
      <c r="AD463" s="6" t="n">
        <f aca="false">E463</f>
        <v>1</v>
      </c>
      <c r="AE463" s="6" t="n">
        <f aca="false">G463</f>
        <v>0</v>
      </c>
      <c r="AF463" s="6" t="n">
        <f aca="false">H463</f>
        <v>0</v>
      </c>
      <c r="AG463" s="6" t="n">
        <f aca="false">I463</f>
        <v>1</v>
      </c>
      <c r="AH463" s="6" t="n">
        <f aca="false">L463</f>
        <v>0</v>
      </c>
    </row>
    <row r="464" customFormat="false" ht="15" hidden="false" customHeight="false" outlineLevel="0" collapsed="false">
      <c r="A464" s="0" t="str">
        <f aca="false">'Raw Data'!C464</f>
        <v>Willowbrook</v>
      </c>
      <c r="B464" s="5" t="n">
        <f aca="false">'Raw Data'!A464</f>
        <v>40302</v>
      </c>
      <c r="C464" s="6" t="n">
        <f aca="false">'Raw Data'!D464</f>
        <v>236.517109496755</v>
      </c>
      <c r="D464" s="6" t="n">
        <f aca="false">'Raw Data'!E464</f>
        <v>4.55</v>
      </c>
      <c r="E464" s="6" t="n">
        <f aca="false">'Raw Data'!F464</f>
        <v>1</v>
      </c>
      <c r="F464" s="6" t="n">
        <f aca="false">'Raw Data'!G464</f>
        <v>0</v>
      </c>
      <c r="G464" s="6" t="n">
        <f aca="false">'Raw Data'!H464</f>
        <v>0</v>
      </c>
      <c r="H464" s="6" t="n">
        <f aca="false">'Raw Data'!I464</f>
        <v>0</v>
      </c>
      <c r="I464" s="6" t="n">
        <f aca="false">'Raw Data'!J464</f>
        <v>0</v>
      </c>
      <c r="J464" s="6" t="n">
        <f aca="false">'Raw Data'!K464</f>
        <v>3</v>
      </c>
      <c r="K464" s="6" t="n">
        <f aca="false">'Raw Data'!L464</f>
        <v>3</v>
      </c>
      <c r="L464" s="6" t="n">
        <f aca="false">F464*E464</f>
        <v>0</v>
      </c>
      <c r="N464" s="0" t="n">
        <v>1</v>
      </c>
      <c r="O464" s="6" t="n">
        <f aca="false">D464</f>
        <v>4.55</v>
      </c>
      <c r="P464" s="6" t="n">
        <f aca="false">E464</f>
        <v>1</v>
      </c>
      <c r="Q464" s="6" t="n">
        <f aca="false">F464</f>
        <v>0</v>
      </c>
      <c r="R464" s="6" t="n">
        <f aca="false">G464</f>
        <v>0</v>
      </c>
      <c r="S464" s="6" t="n">
        <f aca="false">H464</f>
        <v>0</v>
      </c>
      <c r="T464" s="6" t="n">
        <f aca="false">I464</f>
        <v>0</v>
      </c>
      <c r="U464" s="6" t="n">
        <f aca="false">L464</f>
        <v>0</v>
      </c>
      <c r="W464" s="6" t="n">
        <f aca="false">D464</f>
        <v>4.55</v>
      </c>
      <c r="X464" s="6" t="n">
        <f aca="false">E464</f>
        <v>1</v>
      </c>
      <c r="Y464" s="6" t="n">
        <f aca="false">F464</f>
        <v>0</v>
      </c>
      <c r="Z464" s="6" t="n">
        <f aca="false">L464</f>
        <v>0</v>
      </c>
      <c r="AA464" s="6" t="n">
        <f aca="false">G464</f>
        <v>0</v>
      </c>
      <c r="AC464" s="6" t="n">
        <f aca="false">D464</f>
        <v>4.55</v>
      </c>
      <c r="AD464" s="6" t="n">
        <f aca="false">E464</f>
        <v>1</v>
      </c>
      <c r="AE464" s="6" t="n">
        <f aca="false">G464</f>
        <v>0</v>
      </c>
      <c r="AF464" s="6" t="n">
        <f aca="false">H464</f>
        <v>0</v>
      </c>
      <c r="AG464" s="6" t="n">
        <f aca="false">I464</f>
        <v>0</v>
      </c>
      <c r="AH464" s="6" t="n">
        <f aca="false">L464</f>
        <v>0</v>
      </c>
    </row>
    <row r="465" customFormat="false" ht="15" hidden="false" customHeight="false" outlineLevel="0" collapsed="false">
      <c r="A465" s="0" t="str">
        <f aca="false">'Raw Data'!C465</f>
        <v>Willowbrook</v>
      </c>
      <c r="B465" s="5" t="n">
        <f aca="false">'Raw Data'!A465</f>
        <v>40309</v>
      </c>
      <c r="C465" s="6" t="n">
        <f aca="false">'Raw Data'!D465</f>
        <v>200.760714779494</v>
      </c>
      <c r="D465" s="6" t="n">
        <f aca="false">'Raw Data'!E465</f>
        <v>4.096666667</v>
      </c>
      <c r="E465" s="6" t="n">
        <f aca="false">'Raw Data'!F465</f>
        <v>1</v>
      </c>
      <c r="F465" s="6" t="n">
        <f aca="false">'Raw Data'!G465</f>
        <v>0</v>
      </c>
      <c r="G465" s="6" t="n">
        <f aca="false">'Raw Data'!H465</f>
        <v>0</v>
      </c>
      <c r="H465" s="6" t="n">
        <f aca="false">'Raw Data'!I465</f>
        <v>0</v>
      </c>
      <c r="I465" s="6" t="n">
        <f aca="false">'Raw Data'!J465</f>
        <v>0</v>
      </c>
      <c r="J465" s="6" t="n">
        <f aca="false">'Raw Data'!K465</f>
        <v>3</v>
      </c>
      <c r="K465" s="6" t="n">
        <f aca="false">'Raw Data'!L465</f>
        <v>3</v>
      </c>
      <c r="L465" s="6" t="n">
        <f aca="false">F465*E465</f>
        <v>0</v>
      </c>
      <c r="N465" s="0" t="n">
        <v>1</v>
      </c>
      <c r="O465" s="6" t="n">
        <f aca="false">D465</f>
        <v>4.096666667</v>
      </c>
      <c r="P465" s="6" t="n">
        <f aca="false">E465</f>
        <v>1</v>
      </c>
      <c r="Q465" s="6" t="n">
        <f aca="false">F465</f>
        <v>0</v>
      </c>
      <c r="R465" s="6" t="n">
        <f aca="false">G465</f>
        <v>0</v>
      </c>
      <c r="S465" s="6" t="n">
        <f aca="false">H465</f>
        <v>0</v>
      </c>
      <c r="T465" s="6" t="n">
        <f aca="false">I465</f>
        <v>0</v>
      </c>
      <c r="U465" s="6" t="n">
        <f aca="false">L465</f>
        <v>0</v>
      </c>
      <c r="W465" s="6" t="n">
        <f aca="false">D465</f>
        <v>4.096666667</v>
      </c>
      <c r="X465" s="6" t="n">
        <f aca="false">E465</f>
        <v>1</v>
      </c>
      <c r="Y465" s="6" t="n">
        <f aca="false">F465</f>
        <v>0</v>
      </c>
      <c r="Z465" s="6" t="n">
        <f aca="false">L465</f>
        <v>0</v>
      </c>
      <c r="AA465" s="6" t="n">
        <f aca="false">G465</f>
        <v>0</v>
      </c>
      <c r="AC465" s="6" t="n">
        <f aca="false">D465</f>
        <v>4.096666667</v>
      </c>
      <c r="AD465" s="6" t="n">
        <f aca="false">E465</f>
        <v>1</v>
      </c>
      <c r="AE465" s="6" t="n">
        <f aca="false">G465</f>
        <v>0</v>
      </c>
      <c r="AF465" s="6" t="n">
        <f aca="false">H465</f>
        <v>0</v>
      </c>
      <c r="AG465" s="6" t="n">
        <f aca="false">I465</f>
        <v>0</v>
      </c>
      <c r="AH465" s="6" t="n">
        <f aca="false">L465</f>
        <v>0</v>
      </c>
    </row>
    <row r="466" customFormat="false" ht="15" hidden="false" customHeight="false" outlineLevel="0" collapsed="false">
      <c r="A466" s="0" t="str">
        <f aca="false">'Raw Data'!C466</f>
        <v>Willowbrook</v>
      </c>
      <c r="B466" s="5" t="n">
        <f aca="false">'Raw Data'!A466</f>
        <v>40316</v>
      </c>
      <c r="C466" s="6" t="n">
        <f aca="false">'Raw Data'!D466</f>
        <v>255.702234729595</v>
      </c>
      <c r="D466" s="6" t="n">
        <f aca="false">'Raw Data'!E466</f>
        <v>3.936666667</v>
      </c>
      <c r="E466" s="6" t="n">
        <f aca="false">'Raw Data'!F466</f>
        <v>1</v>
      </c>
      <c r="F466" s="6" t="n">
        <f aca="false">'Raw Data'!G466</f>
        <v>0</v>
      </c>
      <c r="G466" s="6" t="n">
        <f aca="false">'Raw Data'!H466</f>
        <v>0</v>
      </c>
      <c r="H466" s="6" t="n">
        <f aca="false">'Raw Data'!I466</f>
        <v>0</v>
      </c>
      <c r="I466" s="6" t="n">
        <f aca="false">'Raw Data'!J466</f>
        <v>0</v>
      </c>
      <c r="J466" s="6" t="n">
        <f aca="false">'Raw Data'!K466</f>
        <v>3</v>
      </c>
      <c r="K466" s="6" t="n">
        <f aca="false">'Raw Data'!L466</f>
        <v>3</v>
      </c>
      <c r="L466" s="6" t="n">
        <f aca="false">F466*E466</f>
        <v>0</v>
      </c>
      <c r="N466" s="0" t="n">
        <v>1</v>
      </c>
      <c r="O466" s="6" t="n">
        <f aca="false">D466</f>
        <v>3.936666667</v>
      </c>
      <c r="P466" s="6" t="n">
        <f aca="false">E466</f>
        <v>1</v>
      </c>
      <c r="Q466" s="6" t="n">
        <f aca="false">F466</f>
        <v>0</v>
      </c>
      <c r="R466" s="6" t="n">
        <f aca="false">G466</f>
        <v>0</v>
      </c>
      <c r="S466" s="6" t="n">
        <f aca="false">H466</f>
        <v>0</v>
      </c>
      <c r="T466" s="6" t="n">
        <f aca="false">I466</f>
        <v>0</v>
      </c>
      <c r="U466" s="6" t="n">
        <f aca="false">L466</f>
        <v>0</v>
      </c>
      <c r="W466" s="6" t="n">
        <f aca="false">D466</f>
        <v>3.936666667</v>
      </c>
      <c r="X466" s="6" t="n">
        <f aca="false">E466</f>
        <v>1</v>
      </c>
      <c r="Y466" s="6" t="n">
        <f aca="false">F466</f>
        <v>0</v>
      </c>
      <c r="Z466" s="6" t="n">
        <f aca="false">L466</f>
        <v>0</v>
      </c>
      <c r="AA466" s="6" t="n">
        <f aca="false">G466</f>
        <v>0</v>
      </c>
      <c r="AC466" s="6" t="n">
        <f aca="false">D466</f>
        <v>3.936666667</v>
      </c>
      <c r="AD466" s="6" t="n">
        <f aca="false">E466</f>
        <v>1</v>
      </c>
      <c r="AE466" s="6" t="n">
        <f aca="false">G466</f>
        <v>0</v>
      </c>
      <c r="AF466" s="6" t="n">
        <f aca="false">H466</f>
        <v>0</v>
      </c>
      <c r="AG466" s="6" t="n">
        <f aca="false">I466</f>
        <v>0</v>
      </c>
      <c r="AH466" s="6" t="n">
        <f aca="false">L466</f>
        <v>0</v>
      </c>
    </row>
    <row r="467" customFormat="false" ht="15" hidden="false" customHeight="false" outlineLevel="0" collapsed="false">
      <c r="A467" s="0" t="str">
        <f aca="false">'Raw Data'!C467</f>
        <v>Willowbrook</v>
      </c>
      <c r="B467" s="5" t="n">
        <f aca="false">'Raw Data'!A467</f>
        <v>40323</v>
      </c>
      <c r="C467" s="6" t="n">
        <f aca="false">'Raw Data'!D467</f>
        <v>269.472927337945</v>
      </c>
      <c r="D467" s="6" t="n">
        <f aca="false">'Raw Data'!E467</f>
        <v>3.84</v>
      </c>
      <c r="E467" s="6" t="n">
        <f aca="false">'Raw Data'!F467</f>
        <v>1</v>
      </c>
      <c r="F467" s="6" t="n">
        <f aca="false">'Raw Data'!G467</f>
        <v>0</v>
      </c>
      <c r="G467" s="6" t="n">
        <f aca="false">'Raw Data'!H467</f>
        <v>0</v>
      </c>
      <c r="H467" s="6" t="n">
        <f aca="false">'Raw Data'!I467</f>
        <v>0</v>
      </c>
      <c r="I467" s="6" t="n">
        <f aca="false">'Raw Data'!J467</f>
        <v>0</v>
      </c>
      <c r="J467" s="6" t="n">
        <f aca="false">'Raw Data'!K467</f>
        <v>3</v>
      </c>
      <c r="K467" s="6" t="n">
        <f aca="false">'Raw Data'!L467</f>
        <v>3</v>
      </c>
      <c r="L467" s="6" t="n">
        <f aca="false">F467*E467</f>
        <v>0</v>
      </c>
      <c r="N467" s="0" t="n">
        <v>1</v>
      </c>
      <c r="O467" s="6" t="n">
        <f aca="false">D467</f>
        <v>3.84</v>
      </c>
      <c r="P467" s="6" t="n">
        <f aca="false">E467</f>
        <v>1</v>
      </c>
      <c r="Q467" s="6" t="n">
        <f aca="false">F467</f>
        <v>0</v>
      </c>
      <c r="R467" s="6" t="n">
        <f aca="false">G467</f>
        <v>0</v>
      </c>
      <c r="S467" s="6" t="n">
        <f aca="false">H467</f>
        <v>0</v>
      </c>
      <c r="T467" s="6" t="n">
        <f aca="false">I467</f>
        <v>0</v>
      </c>
      <c r="U467" s="6" t="n">
        <f aca="false">L467</f>
        <v>0</v>
      </c>
      <c r="W467" s="6" t="n">
        <f aca="false">D467</f>
        <v>3.84</v>
      </c>
      <c r="X467" s="6" t="n">
        <f aca="false">E467</f>
        <v>1</v>
      </c>
      <c r="Y467" s="6" t="n">
        <f aca="false">F467</f>
        <v>0</v>
      </c>
      <c r="Z467" s="6" t="n">
        <f aca="false">L467</f>
        <v>0</v>
      </c>
      <c r="AA467" s="6" t="n">
        <f aca="false">G467</f>
        <v>0</v>
      </c>
      <c r="AC467" s="6" t="n">
        <f aca="false">D467</f>
        <v>3.84</v>
      </c>
      <c r="AD467" s="6" t="n">
        <f aca="false">E467</f>
        <v>1</v>
      </c>
      <c r="AE467" s="6" t="n">
        <f aca="false">G467</f>
        <v>0</v>
      </c>
      <c r="AF467" s="6" t="n">
        <f aca="false">H467</f>
        <v>0</v>
      </c>
      <c r="AG467" s="6" t="n">
        <f aca="false">I467</f>
        <v>0</v>
      </c>
      <c r="AH467" s="6" t="n">
        <f aca="false">L467</f>
        <v>0</v>
      </c>
    </row>
    <row r="468" customFormat="false" ht="15" hidden="false" customHeight="false" outlineLevel="0" collapsed="false">
      <c r="A468" s="0" t="str">
        <f aca="false">'Raw Data'!C468</f>
        <v>Willowbrook</v>
      </c>
      <c r="B468" s="5" t="n">
        <f aca="false">'Raw Data'!A468</f>
        <v>40330</v>
      </c>
      <c r="C468" s="6" t="n">
        <f aca="false">'Raw Data'!D468</f>
        <v>199.047573971388</v>
      </c>
      <c r="D468" s="6" t="n">
        <f aca="false">'Raw Data'!E468</f>
        <v>3.73</v>
      </c>
      <c r="E468" s="6" t="n">
        <f aca="false">'Raw Data'!F468</f>
        <v>1</v>
      </c>
      <c r="F468" s="6" t="n">
        <f aca="false">'Raw Data'!G468</f>
        <v>0</v>
      </c>
      <c r="G468" s="6" t="n">
        <f aca="false">'Raw Data'!H468</f>
        <v>0</v>
      </c>
      <c r="H468" s="6" t="n">
        <f aca="false">'Raw Data'!I468</f>
        <v>0</v>
      </c>
      <c r="I468" s="6" t="n">
        <f aca="false">'Raw Data'!J468</f>
        <v>0</v>
      </c>
      <c r="J468" s="6" t="n">
        <f aca="false">'Raw Data'!K468</f>
        <v>3</v>
      </c>
      <c r="K468" s="6" t="n">
        <f aca="false">'Raw Data'!L468</f>
        <v>3</v>
      </c>
      <c r="L468" s="6" t="n">
        <f aca="false">F468*E468</f>
        <v>0</v>
      </c>
      <c r="N468" s="0" t="n">
        <v>1</v>
      </c>
      <c r="O468" s="6" t="n">
        <f aca="false">D468</f>
        <v>3.73</v>
      </c>
      <c r="P468" s="6" t="n">
        <f aca="false">E468</f>
        <v>1</v>
      </c>
      <c r="Q468" s="6" t="n">
        <f aca="false">F468</f>
        <v>0</v>
      </c>
      <c r="R468" s="6" t="n">
        <f aca="false">G468</f>
        <v>0</v>
      </c>
      <c r="S468" s="6" t="n">
        <f aca="false">H468</f>
        <v>0</v>
      </c>
      <c r="T468" s="6" t="n">
        <f aca="false">I468</f>
        <v>0</v>
      </c>
      <c r="U468" s="6" t="n">
        <f aca="false">L468</f>
        <v>0</v>
      </c>
      <c r="W468" s="6" t="n">
        <f aca="false">D468</f>
        <v>3.73</v>
      </c>
      <c r="X468" s="6" t="n">
        <f aca="false">E468</f>
        <v>1</v>
      </c>
      <c r="Y468" s="6" t="n">
        <f aca="false">F468</f>
        <v>0</v>
      </c>
      <c r="Z468" s="6" t="n">
        <f aca="false">L468</f>
        <v>0</v>
      </c>
      <c r="AA468" s="6" t="n">
        <f aca="false">G468</f>
        <v>0</v>
      </c>
      <c r="AC468" s="6" t="n">
        <f aca="false">D468</f>
        <v>3.73</v>
      </c>
      <c r="AD468" s="6" t="n">
        <f aca="false">E468</f>
        <v>1</v>
      </c>
      <c r="AE468" s="6" t="n">
        <f aca="false">G468</f>
        <v>0</v>
      </c>
      <c r="AF468" s="6" t="n">
        <f aca="false">H468</f>
        <v>0</v>
      </c>
      <c r="AG468" s="6" t="n">
        <f aca="false">I468</f>
        <v>0</v>
      </c>
      <c r="AH468" s="6" t="n">
        <f aca="false">L468</f>
        <v>0</v>
      </c>
    </row>
    <row r="469" customFormat="false" ht="15" hidden="false" customHeight="false" outlineLevel="0" collapsed="false">
      <c r="A469" s="0" t="str">
        <f aca="false">'Raw Data'!C469</f>
        <v>Willowbrook</v>
      </c>
      <c r="B469" s="5" t="n">
        <f aca="false">'Raw Data'!A469</f>
        <v>40337</v>
      </c>
      <c r="C469" s="6" t="n">
        <f aca="false">'Raw Data'!D469</f>
        <v>239.131775916577</v>
      </c>
      <c r="D469" s="6" t="n">
        <f aca="false">'Raw Data'!E469</f>
        <v>4.34</v>
      </c>
      <c r="E469" s="6" t="n">
        <f aca="false">'Raw Data'!F469</f>
        <v>1</v>
      </c>
      <c r="F469" s="6" t="n">
        <f aca="false">'Raw Data'!G469</f>
        <v>0</v>
      </c>
      <c r="G469" s="6" t="n">
        <f aca="false">'Raw Data'!H469</f>
        <v>0</v>
      </c>
      <c r="H469" s="6" t="n">
        <f aca="false">'Raw Data'!I469</f>
        <v>0</v>
      </c>
      <c r="I469" s="6" t="n">
        <f aca="false">'Raw Data'!J469</f>
        <v>0</v>
      </c>
      <c r="J469" s="6" t="n">
        <f aca="false">'Raw Data'!K469</f>
        <v>3</v>
      </c>
      <c r="K469" s="6" t="n">
        <f aca="false">'Raw Data'!L469</f>
        <v>3</v>
      </c>
      <c r="L469" s="6" t="n">
        <f aca="false">F469*E469</f>
        <v>0</v>
      </c>
      <c r="N469" s="0" t="n">
        <v>1</v>
      </c>
      <c r="O469" s="6" t="n">
        <f aca="false">D469</f>
        <v>4.34</v>
      </c>
      <c r="P469" s="6" t="n">
        <f aca="false">E469</f>
        <v>1</v>
      </c>
      <c r="Q469" s="6" t="n">
        <f aca="false">F469</f>
        <v>0</v>
      </c>
      <c r="R469" s="6" t="n">
        <f aca="false">G469</f>
        <v>0</v>
      </c>
      <c r="S469" s="6" t="n">
        <f aca="false">H469</f>
        <v>0</v>
      </c>
      <c r="T469" s="6" t="n">
        <f aca="false">I469</f>
        <v>0</v>
      </c>
      <c r="U469" s="6" t="n">
        <f aca="false">L469</f>
        <v>0</v>
      </c>
      <c r="W469" s="6" t="n">
        <f aca="false">D469</f>
        <v>4.34</v>
      </c>
      <c r="X469" s="6" t="n">
        <f aca="false">E469</f>
        <v>1</v>
      </c>
      <c r="Y469" s="6" t="n">
        <f aca="false">F469</f>
        <v>0</v>
      </c>
      <c r="Z469" s="6" t="n">
        <f aca="false">L469</f>
        <v>0</v>
      </c>
      <c r="AA469" s="6" t="n">
        <f aca="false">G469</f>
        <v>0</v>
      </c>
      <c r="AC469" s="6" t="n">
        <f aca="false">D469</f>
        <v>4.34</v>
      </c>
      <c r="AD469" s="6" t="n">
        <f aca="false">E469</f>
        <v>1</v>
      </c>
      <c r="AE469" s="6" t="n">
        <f aca="false">G469</f>
        <v>0</v>
      </c>
      <c r="AF469" s="6" t="n">
        <f aca="false">H469</f>
        <v>0</v>
      </c>
      <c r="AG469" s="6" t="n">
        <f aca="false">I469</f>
        <v>0</v>
      </c>
      <c r="AH469" s="6" t="n">
        <f aca="false">L469</f>
        <v>0</v>
      </c>
    </row>
    <row r="470" customFormat="false" ht="15" hidden="false" customHeight="false" outlineLevel="0" collapsed="false">
      <c r="A470" s="0" t="str">
        <f aca="false">'Raw Data'!C470</f>
        <v>Willowbrook</v>
      </c>
      <c r="B470" s="5" t="n">
        <f aca="false">'Raw Data'!A470</f>
        <v>40344</v>
      </c>
      <c r="C470" s="6" t="n">
        <f aca="false">'Raw Data'!D470</f>
        <v>257.535112311343</v>
      </c>
      <c r="D470" s="6" t="n">
        <f aca="false">'Raw Data'!E470</f>
        <v>4.096666667</v>
      </c>
      <c r="E470" s="6" t="n">
        <f aca="false">'Raw Data'!F470</f>
        <v>1</v>
      </c>
      <c r="F470" s="6" t="n">
        <f aca="false">'Raw Data'!G470</f>
        <v>0</v>
      </c>
      <c r="G470" s="6" t="n">
        <f aca="false">'Raw Data'!H470</f>
        <v>0</v>
      </c>
      <c r="H470" s="6" t="n">
        <f aca="false">'Raw Data'!I470</f>
        <v>0</v>
      </c>
      <c r="I470" s="6" t="n">
        <f aca="false">'Raw Data'!J470</f>
        <v>0</v>
      </c>
      <c r="J470" s="6" t="n">
        <f aca="false">'Raw Data'!K470</f>
        <v>3</v>
      </c>
      <c r="K470" s="6" t="n">
        <f aca="false">'Raw Data'!L470</f>
        <v>3</v>
      </c>
      <c r="L470" s="6" t="n">
        <f aca="false">F470*E470</f>
        <v>0</v>
      </c>
      <c r="N470" s="0" t="n">
        <v>1</v>
      </c>
      <c r="O470" s="6" t="n">
        <f aca="false">D470</f>
        <v>4.096666667</v>
      </c>
      <c r="P470" s="6" t="n">
        <f aca="false">E470</f>
        <v>1</v>
      </c>
      <c r="Q470" s="6" t="n">
        <f aca="false">F470</f>
        <v>0</v>
      </c>
      <c r="R470" s="6" t="n">
        <f aca="false">G470</f>
        <v>0</v>
      </c>
      <c r="S470" s="6" t="n">
        <f aca="false">H470</f>
        <v>0</v>
      </c>
      <c r="T470" s="6" t="n">
        <f aca="false">I470</f>
        <v>0</v>
      </c>
      <c r="U470" s="6" t="n">
        <f aca="false">L470</f>
        <v>0</v>
      </c>
      <c r="W470" s="6" t="n">
        <f aca="false">D470</f>
        <v>4.096666667</v>
      </c>
      <c r="X470" s="6" t="n">
        <f aca="false">E470</f>
        <v>1</v>
      </c>
      <c r="Y470" s="6" t="n">
        <f aca="false">F470</f>
        <v>0</v>
      </c>
      <c r="Z470" s="6" t="n">
        <f aca="false">L470</f>
        <v>0</v>
      </c>
      <c r="AA470" s="6" t="n">
        <f aca="false">G470</f>
        <v>0</v>
      </c>
      <c r="AC470" s="6" t="n">
        <f aca="false">D470</f>
        <v>4.096666667</v>
      </c>
      <c r="AD470" s="6" t="n">
        <f aca="false">E470</f>
        <v>1</v>
      </c>
      <c r="AE470" s="6" t="n">
        <f aca="false">G470</f>
        <v>0</v>
      </c>
      <c r="AF470" s="6" t="n">
        <f aca="false">H470</f>
        <v>0</v>
      </c>
      <c r="AG470" s="6" t="n">
        <f aca="false">I470</f>
        <v>0</v>
      </c>
      <c r="AH470" s="6" t="n">
        <f aca="false">L470</f>
        <v>0</v>
      </c>
    </row>
    <row r="471" customFormat="false" ht="15" hidden="false" customHeight="false" outlineLevel="0" collapsed="false">
      <c r="A471" s="0" t="str">
        <f aca="false">'Raw Data'!C471</f>
        <v>Willowbrook</v>
      </c>
      <c r="B471" s="5" t="n">
        <f aca="false">'Raw Data'!A471</f>
        <v>40351</v>
      </c>
      <c r="C471" s="6" t="n">
        <f aca="false">'Raw Data'!D471</f>
        <v>467.473526848349</v>
      </c>
      <c r="D471" s="6" t="n">
        <f aca="false">'Raw Data'!E471</f>
        <v>4.096666667</v>
      </c>
      <c r="E471" s="6" t="n">
        <f aca="false">'Raw Data'!F471</f>
        <v>1</v>
      </c>
      <c r="F471" s="6" t="n">
        <f aca="false">'Raw Data'!G471</f>
        <v>0</v>
      </c>
      <c r="G471" s="6" t="n">
        <f aca="false">'Raw Data'!H471</f>
        <v>1</v>
      </c>
      <c r="H471" s="6" t="n">
        <f aca="false">'Raw Data'!I471</f>
        <v>0</v>
      </c>
      <c r="I471" s="6" t="n">
        <f aca="false">'Raw Data'!J471</f>
        <v>0</v>
      </c>
      <c r="J471" s="6" t="n">
        <f aca="false">'Raw Data'!K471</f>
        <v>3</v>
      </c>
      <c r="K471" s="6" t="n">
        <f aca="false">'Raw Data'!L471</f>
        <v>3</v>
      </c>
      <c r="L471" s="6" t="n">
        <f aca="false">F471*E471</f>
        <v>0</v>
      </c>
      <c r="N471" s="0" t="n">
        <v>1</v>
      </c>
      <c r="O471" s="6" t="n">
        <f aca="false">D471</f>
        <v>4.096666667</v>
      </c>
      <c r="P471" s="6" t="n">
        <f aca="false">E471</f>
        <v>1</v>
      </c>
      <c r="Q471" s="6" t="n">
        <f aca="false">F471</f>
        <v>0</v>
      </c>
      <c r="R471" s="6" t="n">
        <f aca="false">G471</f>
        <v>1</v>
      </c>
      <c r="S471" s="6" t="n">
        <f aca="false">H471</f>
        <v>0</v>
      </c>
      <c r="T471" s="6" t="n">
        <f aca="false">I471</f>
        <v>0</v>
      </c>
      <c r="U471" s="6" t="n">
        <f aca="false">L471</f>
        <v>0</v>
      </c>
      <c r="W471" s="6" t="n">
        <f aca="false">D471</f>
        <v>4.096666667</v>
      </c>
      <c r="X471" s="6" t="n">
        <f aca="false">E471</f>
        <v>1</v>
      </c>
      <c r="Y471" s="6" t="n">
        <f aca="false">F471</f>
        <v>0</v>
      </c>
      <c r="Z471" s="6" t="n">
        <f aca="false">L471</f>
        <v>0</v>
      </c>
      <c r="AA471" s="6" t="n">
        <f aca="false">G471</f>
        <v>1</v>
      </c>
      <c r="AC471" s="6" t="n">
        <f aca="false">D471</f>
        <v>4.096666667</v>
      </c>
      <c r="AD471" s="6" t="n">
        <f aca="false">E471</f>
        <v>1</v>
      </c>
      <c r="AE471" s="6" t="n">
        <f aca="false">G471</f>
        <v>1</v>
      </c>
      <c r="AF471" s="6" t="n">
        <f aca="false">H471</f>
        <v>0</v>
      </c>
      <c r="AG471" s="6" t="n">
        <f aca="false">I471</f>
        <v>0</v>
      </c>
      <c r="AH471" s="6" t="n">
        <f aca="false">L471</f>
        <v>0</v>
      </c>
    </row>
    <row r="472" customFormat="false" ht="15" hidden="false" customHeight="false" outlineLevel="0" collapsed="false">
      <c r="A472" s="0" t="str">
        <f aca="false">'Raw Data'!C472</f>
        <v>Willowbrook</v>
      </c>
      <c r="B472" s="5" t="n">
        <f aca="false">'Raw Data'!A472</f>
        <v>40358</v>
      </c>
      <c r="C472" s="6" t="n">
        <f aca="false">'Raw Data'!D472</f>
        <v>487.999117481312</v>
      </c>
      <c r="D472" s="6" t="n">
        <f aca="false">'Raw Data'!E472</f>
        <v>4.34</v>
      </c>
      <c r="E472" s="6" t="n">
        <f aca="false">'Raw Data'!F472</f>
        <v>1</v>
      </c>
      <c r="F472" s="6" t="n">
        <f aca="false">'Raw Data'!G472</f>
        <v>0</v>
      </c>
      <c r="G472" s="6" t="n">
        <f aca="false">'Raw Data'!H472</f>
        <v>1</v>
      </c>
      <c r="H472" s="6" t="n">
        <f aca="false">'Raw Data'!I472</f>
        <v>1</v>
      </c>
      <c r="I472" s="6" t="n">
        <f aca="false">'Raw Data'!J472</f>
        <v>0</v>
      </c>
      <c r="J472" s="6" t="n">
        <f aca="false">'Raw Data'!K472</f>
        <v>3</v>
      </c>
      <c r="K472" s="6" t="n">
        <f aca="false">'Raw Data'!L472</f>
        <v>3</v>
      </c>
      <c r="L472" s="6" t="n">
        <f aca="false">F472*E472</f>
        <v>0</v>
      </c>
      <c r="N472" s="0" t="n">
        <v>1</v>
      </c>
      <c r="O472" s="6" t="n">
        <f aca="false">D472</f>
        <v>4.34</v>
      </c>
      <c r="P472" s="6" t="n">
        <f aca="false">E472</f>
        <v>1</v>
      </c>
      <c r="Q472" s="6" t="n">
        <f aca="false">F472</f>
        <v>0</v>
      </c>
      <c r="R472" s="6" t="n">
        <f aca="false">G472</f>
        <v>1</v>
      </c>
      <c r="S472" s="6" t="n">
        <f aca="false">H472</f>
        <v>1</v>
      </c>
      <c r="T472" s="6" t="n">
        <f aca="false">I472</f>
        <v>0</v>
      </c>
      <c r="U472" s="6" t="n">
        <f aca="false">L472</f>
        <v>0</v>
      </c>
      <c r="W472" s="6" t="n">
        <f aca="false">D472</f>
        <v>4.34</v>
      </c>
      <c r="X472" s="6" t="n">
        <f aca="false">E472</f>
        <v>1</v>
      </c>
      <c r="Y472" s="6" t="n">
        <f aca="false">F472</f>
        <v>0</v>
      </c>
      <c r="Z472" s="6" t="n">
        <f aca="false">L472</f>
        <v>0</v>
      </c>
      <c r="AA472" s="6" t="n">
        <f aca="false">G472</f>
        <v>1</v>
      </c>
      <c r="AC472" s="6" t="n">
        <f aca="false">D472</f>
        <v>4.34</v>
      </c>
      <c r="AD472" s="6" t="n">
        <f aca="false">E472</f>
        <v>1</v>
      </c>
      <c r="AE472" s="6" t="n">
        <f aca="false">G472</f>
        <v>1</v>
      </c>
      <c r="AF472" s="6" t="n">
        <f aca="false">H472</f>
        <v>1</v>
      </c>
      <c r="AG472" s="6" t="n">
        <f aca="false">I472</f>
        <v>0</v>
      </c>
      <c r="AH472" s="6" t="n">
        <f aca="false">L472</f>
        <v>0</v>
      </c>
    </row>
    <row r="473" customFormat="false" ht="15" hidden="false" customHeight="false" outlineLevel="0" collapsed="false">
      <c r="A473" s="0" t="str">
        <f aca="false">'Raw Data'!C473</f>
        <v>Willowbrook</v>
      </c>
      <c r="B473" s="5" t="n">
        <f aca="false">'Raw Data'!A473</f>
        <v>40365</v>
      </c>
      <c r="C473" s="6" t="n">
        <f aca="false">'Raw Data'!D473</f>
        <v>296.342386924319</v>
      </c>
      <c r="D473" s="6" t="n">
        <f aca="false">'Raw Data'!E473</f>
        <v>3.681333333</v>
      </c>
      <c r="E473" s="6" t="n">
        <f aca="false">'Raw Data'!F473</f>
        <v>1</v>
      </c>
      <c r="F473" s="6" t="n">
        <f aca="false">'Raw Data'!G473</f>
        <v>0</v>
      </c>
      <c r="G473" s="6" t="n">
        <f aca="false">'Raw Data'!H473</f>
        <v>0</v>
      </c>
      <c r="H473" s="6" t="n">
        <f aca="false">'Raw Data'!I473</f>
        <v>1</v>
      </c>
      <c r="I473" s="6" t="n">
        <f aca="false">'Raw Data'!J473</f>
        <v>0</v>
      </c>
      <c r="J473" s="6" t="n">
        <f aca="false">'Raw Data'!K473</f>
        <v>3</v>
      </c>
      <c r="K473" s="6" t="n">
        <f aca="false">'Raw Data'!L473</f>
        <v>3</v>
      </c>
      <c r="L473" s="6" t="n">
        <f aca="false">F473*E473</f>
        <v>0</v>
      </c>
      <c r="N473" s="0" t="n">
        <v>1</v>
      </c>
      <c r="O473" s="6" t="n">
        <f aca="false">D473</f>
        <v>3.681333333</v>
      </c>
      <c r="P473" s="6" t="n">
        <f aca="false">E473</f>
        <v>1</v>
      </c>
      <c r="Q473" s="6" t="n">
        <f aca="false">F473</f>
        <v>0</v>
      </c>
      <c r="R473" s="6" t="n">
        <f aca="false">G473</f>
        <v>0</v>
      </c>
      <c r="S473" s="6" t="n">
        <f aca="false">H473</f>
        <v>1</v>
      </c>
      <c r="T473" s="6" t="n">
        <f aca="false">I473</f>
        <v>0</v>
      </c>
      <c r="U473" s="6" t="n">
        <f aca="false">L473</f>
        <v>0</v>
      </c>
      <c r="W473" s="6" t="n">
        <f aca="false">D473</f>
        <v>3.681333333</v>
      </c>
      <c r="X473" s="6" t="n">
        <f aca="false">E473</f>
        <v>1</v>
      </c>
      <c r="Y473" s="6" t="n">
        <f aca="false">F473</f>
        <v>0</v>
      </c>
      <c r="Z473" s="6" t="n">
        <f aca="false">L473</f>
        <v>0</v>
      </c>
      <c r="AA473" s="6" t="n">
        <f aca="false">G473</f>
        <v>0</v>
      </c>
      <c r="AC473" s="6" t="n">
        <f aca="false">D473</f>
        <v>3.681333333</v>
      </c>
      <c r="AD473" s="6" t="n">
        <f aca="false">E473</f>
        <v>1</v>
      </c>
      <c r="AE473" s="6" t="n">
        <f aca="false">G473</f>
        <v>0</v>
      </c>
      <c r="AF473" s="6" t="n">
        <f aca="false">H473</f>
        <v>1</v>
      </c>
      <c r="AG473" s="6" t="n">
        <f aca="false">I473</f>
        <v>0</v>
      </c>
      <c r="AH473" s="6" t="n">
        <f aca="false">L473</f>
        <v>0</v>
      </c>
    </row>
    <row r="474" customFormat="false" ht="15" hidden="false" customHeight="false" outlineLevel="0" collapsed="false">
      <c r="A474" s="0" t="str">
        <f aca="false">'Raw Data'!C474</f>
        <v>Willowbrook</v>
      </c>
      <c r="B474" s="5" t="n">
        <f aca="false">'Raw Data'!A474</f>
        <v>40372</v>
      </c>
      <c r="C474" s="6" t="n">
        <f aca="false">'Raw Data'!D474</f>
        <v>329.350007517417</v>
      </c>
      <c r="D474" s="6" t="n">
        <f aca="false">'Raw Data'!E474</f>
        <v>3.950625</v>
      </c>
      <c r="E474" s="6" t="n">
        <f aca="false">'Raw Data'!F474</f>
        <v>1</v>
      </c>
      <c r="F474" s="6" t="n">
        <f aca="false">'Raw Data'!G474</f>
        <v>0</v>
      </c>
      <c r="G474" s="6" t="n">
        <f aca="false">'Raw Data'!H474</f>
        <v>0</v>
      </c>
      <c r="H474" s="6" t="n">
        <f aca="false">'Raw Data'!I474</f>
        <v>1</v>
      </c>
      <c r="I474" s="6" t="n">
        <f aca="false">'Raw Data'!J474</f>
        <v>0</v>
      </c>
      <c r="J474" s="6" t="n">
        <f aca="false">'Raw Data'!K474</f>
        <v>3</v>
      </c>
      <c r="K474" s="6" t="n">
        <f aca="false">'Raw Data'!L474</f>
        <v>3</v>
      </c>
      <c r="L474" s="6" t="n">
        <f aca="false">F474*E474</f>
        <v>0</v>
      </c>
      <c r="N474" s="0" t="n">
        <v>1</v>
      </c>
      <c r="O474" s="6" t="n">
        <f aca="false">D474</f>
        <v>3.950625</v>
      </c>
      <c r="P474" s="6" t="n">
        <f aca="false">E474</f>
        <v>1</v>
      </c>
      <c r="Q474" s="6" t="n">
        <f aca="false">F474</f>
        <v>0</v>
      </c>
      <c r="R474" s="6" t="n">
        <f aca="false">G474</f>
        <v>0</v>
      </c>
      <c r="S474" s="6" t="n">
        <f aca="false">H474</f>
        <v>1</v>
      </c>
      <c r="T474" s="6" t="n">
        <f aca="false">I474</f>
        <v>0</v>
      </c>
      <c r="U474" s="6" t="n">
        <f aca="false">L474</f>
        <v>0</v>
      </c>
      <c r="W474" s="6" t="n">
        <f aca="false">D474</f>
        <v>3.950625</v>
      </c>
      <c r="X474" s="6" t="n">
        <f aca="false">E474</f>
        <v>1</v>
      </c>
      <c r="Y474" s="6" t="n">
        <f aca="false">F474</f>
        <v>0</v>
      </c>
      <c r="Z474" s="6" t="n">
        <f aca="false">L474</f>
        <v>0</v>
      </c>
      <c r="AA474" s="6" t="n">
        <f aca="false">G474</f>
        <v>0</v>
      </c>
      <c r="AC474" s="6" t="n">
        <f aca="false">D474</f>
        <v>3.950625</v>
      </c>
      <c r="AD474" s="6" t="n">
        <f aca="false">E474</f>
        <v>1</v>
      </c>
      <c r="AE474" s="6" t="n">
        <f aca="false">G474</f>
        <v>0</v>
      </c>
      <c r="AF474" s="6" t="n">
        <f aca="false">H474</f>
        <v>1</v>
      </c>
      <c r="AG474" s="6" t="n">
        <f aca="false">I474</f>
        <v>0</v>
      </c>
      <c r="AH474" s="6" t="n">
        <f aca="false">L474</f>
        <v>0</v>
      </c>
    </row>
    <row r="475" customFormat="false" ht="15" hidden="false" customHeight="false" outlineLevel="0" collapsed="false">
      <c r="A475" s="0" t="str">
        <f aca="false">'Raw Data'!C475</f>
        <v>Bedford</v>
      </c>
      <c r="B475" s="5" t="n">
        <f aca="false">'Raw Data'!A475</f>
        <v>40302</v>
      </c>
      <c r="C475" s="6" t="n">
        <f aca="false">'Raw Data'!D475</f>
        <v>185.930677851694</v>
      </c>
      <c r="D475" s="6" t="n">
        <f aca="false">'Raw Data'!E475</f>
        <v>4.204285714</v>
      </c>
      <c r="E475" s="6" t="n">
        <f aca="false">'Raw Data'!F475</f>
        <v>0</v>
      </c>
      <c r="F475" s="6" t="n">
        <f aca="false">'Raw Data'!G475</f>
        <v>0</v>
      </c>
      <c r="G475" s="6" t="n">
        <f aca="false">'Raw Data'!H475</f>
        <v>0</v>
      </c>
      <c r="H475" s="6" t="n">
        <f aca="false">'Raw Data'!I475</f>
        <v>0</v>
      </c>
      <c r="I475" s="6" t="n">
        <f aca="false">'Raw Data'!J475</f>
        <v>0</v>
      </c>
      <c r="J475" s="6" t="n">
        <f aca="false">'Raw Data'!K475</f>
        <v>2</v>
      </c>
      <c r="K475" s="6" t="n">
        <f aca="false">'Raw Data'!L475</f>
        <v>5</v>
      </c>
      <c r="L475" s="6" t="n">
        <f aca="false">F475*E475</f>
        <v>0</v>
      </c>
      <c r="N475" s="0" t="n">
        <v>1</v>
      </c>
      <c r="O475" s="6" t="n">
        <f aca="false">D475</f>
        <v>4.204285714</v>
      </c>
      <c r="P475" s="6" t="n">
        <f aca="false">E475</f>
        <v>0</v>
      </c>
      <c r="Q475" s="6" t="n">
        <f aca="false">F475</f>
        <v>0</v>
      </c>
      <c r="R475" s="6" t="n">
        <f aca="false">G475</f>
        <v>0</v>
      </c>
      <c r="S475" s="6" t="n">
        <f aca="false">H475</f>
        <v>0</v>
      </c>
      <c r="T475" s="6" t="n">
        <f aca="false">I475</f>
        <v>0</v>
      </c>
      <c r="U475" s="6" t="n">
        <f aca="false">L475</f>
        <v>0</v>
      </c>
      <c r="W475" s="6" t="n">
        <f aca="false">D475</f>
        <v>4.204285714</v>
      </c>
      <c r="X475" s="6" t="n">
        <f aca="false">E475</f>
        <v>0</v>
      </c>
      <c r="Y475" s="6" t="n">
        <f aca="false">F475</f>
        <v>0</v>
      </c>
      <c r="Z475" s="6" t="n">
        <f aca="false">L475</f>
        <v>0</v>
      </c>
      <c r="AA475" s="6" t="n">
        <f aca="false">G475</f>
        <v>0</v>
      </c>
      <c r="AC475" s="6" t="n">
        <f aca="false">D475</f>
        <v>4.204285714</v>
      </c>
      <c r="AD475" s="6" t="n">
        <f aca="false">E475</f>
        <v>0</v>
      </c>
      <c r="AE475" s="6" t="n">
        <f aca="false">G475</f>
        <v>0</v>
      </c>
      <c r="AF475" s="6" t="n">
        <f aca="false">H475</f>
        <v>0</v>
      </c>
      <c r="AG475" s="6" t="n">
        <f aca="false">I475</f>
        <v>0</v>
      </c>
      <c r="AH475" s="6" t="n">
        <f aca="false">L475</f>
        <v>0</v>
      </c>
    </row>
    <row r="476" customFormat="false" ht="15" hidden="false" customHeight="false" outlineLevel="0" collapsed="false">
      <c r="A476" s="0" t="str">
        <f aca="false">'Raw Data'!C476</f>
        <v>Bedford</v>
      </c>
      <c r="B476" s="5" t="n">
        <f aca="false">'Raw Data'!A476</f>
        <v>40309</v>
      </c>
      <c r="C476" s="6" t="n">
        <f aca="false">'Raw Data'!D476</f>
        <v>139.781382170431</v>
      </c>
      <c r="D476" s="6" t="n">
        <f aca="false">'Raw Data'!E476</f>
        <v>4.204285714</v>
      </c>
      <c r="E476" s="6" t="n">
        <f aca="false">'Raw Data'!F476</f>
        <v>0</v>
      </c>
      <c r="F476" s="6" t="n">
        <f aca="false">'Raw Data'!G476</f>
        <v>0</v>
      </c>
      <c r="G476" s="6" t="n">
        <f aca="false">'Raw Data'!H476</f>
        <v>0</v>
      </c>
      <c r="H476" s="6" t="n">
        <f aca="false">'Raw Data'!I476</f>
        <v>0</v>
      </c>
      <c r="I476" s="6" t="n">
        <f aca="false">'Raw Data'!J476</f>
        <v>0</v>
      </c>
      <c r="J476" s="6" t="n">
        <f aca="false">'Raw Data'!K476</f>
        <v>2</v>
      </c>
      <c r="K476" s="6" t="n">
        <f aca="false">'Raw Data'!L476</f>
        <v>5</v>
      </c>
      <c r="L476" s="6" t="n">
        <f aca="false">F476*E476</f>
        <v>0</v>
      </c>
      <c r="N476" s="0" t="n">
        <v>1</v>
      </c>
      <c r="O476" s="6" t="n">
        <f aca="false">D476</f>
        <v>4.204285714</v>
      </c>
      <c r="P476" s="6" t="n">
        <f aca="false">E476</f>
        <v>0</v>
      </c>
      <c r="Q476" s="6" t="n">
        <f aca="false">F476</f>
        <v>0</v>
      </c>
      <c r="R476" s="6" t="n">
        <f aca="false">G476</f>
        <v>0</v>
      </c>
      <c r="S476" s="6" t="n">
        <f aca="false">H476</f>
        <v>0</v>
      </c>
      <c r="T476" s="6" t="n">
        <f aca="false">I476</f>
        <v>0</v>
      </c>
      <c r="U476" s="6" t="n">
        <f aca="false">L476</f>
        <v>0</v>
      </c>
      <c r="W476" s="6" t="n">
        <f aca="false">D476</f>
        <v>4.204285714</v>
      </c>
      <c r="X476" s="6" t="n">
        <f aca="false">E476</f>
        <v>0</v>
      </c>
      <c r="Y476" s="6" t="n">
        <f aca="false">F476</f>
        <v>0</v>
      </c>
      <c r="Z476" s="6" t="n">
        <f aca="false">L476</f>
        <v>0</v>
      </c>
      <c r="AA476" s="6" t="n">
        <f aca="false">G476</f>
        <v>0</v>
      </c>
      <c r="AC476" s="6" t="n">
        <f aca="false">D476</f>
        <v>4.204285714</v>
      </c>
      <c r="AD476" s="6" t="n">
        <f aca="false">E476</f>
        <v>0</v>
      </c>
      <c r="AE476" s="6" t="n">
        <f aca="false">G476</f>
        <v>0</v>
      </c>
      <c r="AF476" s="6" t="n">
        <f aca="false">H476</f>
        <v>0</v>
      </c>
      <c r="AG476" s="6" t="n">
        <f aca="false">I476</f>
        <v>0</v>
      </c>
      <c r="AH476" s="6" t="n">
        <f aca="false">L476</f>
        <v>0</v>
      </c>
    </row>
    <row r="477" customFormat="false" ht="15" hidden="false" customHeight="false" outlineLevel="0" collapsed="false">
      <c r="A477" s="0" t="str">
        <f aca="false">'Raw Data'!C477</f>
        <v>Bedford</v>
      </c>
      <c r="B477" s="5" t="n">
        <f aca="false">'Raw Data'!A477</f>
        <v>40316</v>
      </c>
      <c r="C477" s="6" t="n">
        <f aca="false">'Raw Data'!D477</f>
        <v>148.036294226258</v>
      </c>
      <c r="D477" s="6" t="n">
        <f aca="false">'Raw Data'!E477</f>
        <v>3.756666667</v>
      </c>
      <c r="E477" s="6" t="n">
        <f aca="false">'Raw Data'!F477</f>
        <v>0</v>
      </c>
      <c r="F477" s="6" t="n">
        <f aca="false">'Raw Data'!G477</f>
        <v>0</v>
      </c>
      <c r="G477" s="6" t="n">
        <f aca="false">'Raw Data'!H477</f>
        <v>0</v>
      </c>
      <c r="H477" s="6" t="n">
        <f aca="false">'Raw Data'!I477</f>
        <v>0</v>
      </c>
      <c r="I477" s="6" t="n">
        <f aca="false">'Raw Data'!J477</f>
        <v>0</v>
      </c>
      <c r="J477" s="6" t="n">
        <f aca="false">'Raw Data'!K477</f>
        <v>2</v>
      </c>
      <c r="K477" s="6" t="n">
        <f aca="false">'Raw Data'!L477</f>
        <v>5</v>
      </c>
      <c r="L477" s="6" t="n">
        <f aca="false">F477*E477</f>
        <v>0</v>
      </c>
      <c r="N477" s="0" t="n">
        <v>1</v>
      </c>
      <c r="O477" s="6" t="n">
        <f aca="false">D477</f>
        <v>3.756666667</v>
      </c>
      <c r="P477" s="6" t="n">
        <f aca="false">E477</f>
        <v>0</v>
      </c>
      <c r="Q477" s="6" t="n">
        <f aca="false">F477</f>
        <v>0</v>
      </c>
      <c r="R477" s="6" t="n">
        <f aca="false">G477</f>
        <v>0</v>
      </c>
      <c r="S477" s="6" t="n">
        <f aca="false">H477</f>
        <v>0</v>
      </c>
      <c r="T477" s="6" t="n">
        <f aca="false">I477</f>
        <v>0</v>
      </c>
      <c r="U477" s="6" t="n">
        <f aca="false">L477</f>
        <v>0</v>
      </c>
      <c r="W477" s="6" t="n">
        <f aca="false">D477</f>
        <v>3.756666667</v>
      </c>
      <c r="X477" s="6" t="n">
        <f aca="false">E477</f>
        <v>0</v>
      </c>
      <c r="Y477" s="6" t="n">
        <f aca="false">F477</f>
        <v>0</v>
      </c>
      <c r="Z477" s="6" t="n">
        <f aca="false">L477</f>
        <v>0</v>
      </c>
      <c r="AA477" s="6" t="n">
        <f aca="false">G477</f>
        <v>0</v>
      </c>
      <c r="AC477" s="6" t="n">
        <f aca="false">D477</f>
        <v>3.756666667</v>
      </c>
      <c r="AD477" s="6" t="n">
        <f aca="false">E477</f>
        <v>0</v>
      </c>
      <c r="AE477" s="6" t="n">
        <f aca="false">G477</f>
        <v>0</v>
      </c>
      <c r="AF477" s="6" t="n">
        <f aca="false">H477</f>
        <v>0</v>
      </c>
      <c r="AG477" s="6" t="n">
        <f aca="false">I477</f>
        <v>0</v>
      </c>
      <c r="AH477" s="6" t="n">
        <f aca="false">L477</f>
        <v>0</v>
      </c>
    </row>
    <row r="478" customFormat="false" ht="15" hidden="false" customHeight="false" outlineLevel="0" collapsed="false">
      <c r="A478" s="0" t="str">
        <f aca="false">'Raw Data'!C478</f>
        <v>Bedford</v>
      </c>
      <c r="B478" s="5" t="n">
        <f aca="false">'Raw Data'!A478</f>
        <v>40323</v>
      </c>
      <c r="C478" s="6" t="n">
        <f aca="false">'Raw Data'!D478</f>
        <v>188.053327652258</v>
      </c>
      <c r="D478" s="6" t="n">
        <f aca="false">'Raw Data'!E478</f>
        <v>3.861428571</v>
      </c>
      <c r="E478" s="6" t="n">
        <f aca="false">'Raw Data'!F478</f>
        <v>0</v>
      </c>
      <c r="F478" s="6" t="n">
        <f aca="false">'Raw Data'!G478</f>
        <v>0</v>
      </c>
      <c r="G478" s="6" t="n">
        <f aca="false">'Raw Data'!H478</f>
        <v>0</v>
      </c>
      <c r="H478" s="6" t="n">
        <f aca="false">'Raw Data'!I478</f>
        <v>0</v>
      </c>
      <c r="I478" s="6" t="n">
        <f aca="false">'Raw Data'!J478</f>
        <v>0</v>
      </c>
      <c r="J478" s="6" t="n">
        <f aca="false">'Raw Data'!K478</f>
        <v>2</v>
      </c>
      <c r="K478" s="6" t="n">
        <f aca="false">'Raw Data'!L478</f>
        <v>5</v>
      </c>
      <c r="L478" s="6" t="n">
        <f aca="false">F478*E478</f>
        <v>0</v>
      </c>
      <c r="N478" s="0" t="n">
        <v>1</v>
      </c>
      <c r="O478" s="6" t="n">
        <f aca="false">D478</f>
        <v>3.861428571</v>
      </c>
      <c r="P478" s="6" t="n">
        <f aca="false">E478</f>
        <v>0</v>
      </c>
      <c r="Q478" s="6" t="n">
        <f aca="false">F478</f>
        <v>0</v>
      </c>
      <c r="R478" s="6" t="n">
        <f aca="false">G478</f>
        <v>0</v>
      </c>
      <c r="S478" s="6" t="n">
        <f aca="false">H478</f>
        <v>0</v>
      </c>
      <c r="T478" s="6" t="n">
        <f aca="false">I478</f>
        <v>0</v>
      </c>
      <c r="U478" s="6" t="n">
        <f aca="false">L478</f>
        <v>0</v>
      </c>
      <c r="W478" s="6" t="n">
        <f aca="false">D478</f>
        <v>3.861428571</v>
      </c>
      <c r="X478" s="6" t="n">
        <f aca="false">E478</f>
        <v>0</v>
      </c>
      <c r="Y478" s="6" t="n">
        <f aca="false">F478</f>
        <v>0</v>
      </c>
      <c r="Z478" s="6" t="n">
        <f aca="false">L478</f>
        <v>0</v>
      </c>
      <c r="AA478" s="6" t="n">
        <f aca="false">G478</f>
        <v>0</v>
      </c>
      <c r="AC478" s="6" t="n">
        <f aca="false">D478</f>
        <v>3.861428571</v>
      </c>
      <c r="AD478" s="6" t="n">
        <f aca="false">E478</f>
        <v>0</v>
      </c>
      <c r="AE478" s="6" t="n">
        <f aca="false">G478</f>
        <v>0</v>
      </c>
      <c r="AF478" s="6" t="n">
        <f aca="false">H478</f>
        <v>0</v>
      </c>
      <c r="AG478" s="6" t="n">
        <f aca="false">I478</f>
        <v>0</v>
      </c>
      <c r="AH478" s="6" t="n">
        <f aca="false">L478</f>
        <v>0</v>
      </c>
    </row>
    <row r="479" customFormat="false" ht="15" hidden="false" customHeight="false" outlineLevel="0" collapsed="false">
      <c r="A479" s="0" t="str">
        <f aca="false">'Raw Data'!C479</f>
        <v>Bedford</v>
      </c>
      <c r="B479" s="5" t="n">
        <f aca="false">'Raw Data'!A479</f>
        <v>40330</v>
      </c>
      <c r="C479" s="6" t="n">
        <f aca="false">'Raw Data'!D479</f>
        <v>186.240545787565</v>
      </c>
      <c r="D479" s="6" t="n">
        <f aca="false">'Raw Data'!E479</f>
        <v>3.861428571</v>
      </c>
      <c r="E479" s="6" t="n">
        <f aca="false">'Raw Data'!F479</f>
        <v>0</v>
      </c>
      <c r="F479" s="6" t="n">
        <f aca="false">'Raw Data'!G479</f>
        <v>0</v>
      </c>
      <c r="G479" s="6" t="n">
        <f aca="false">'Raw Data'!H479</f>
        <v>0</v>
      </c>
      <c r="H479" s="6" t="n">
        <f aca="false">'Raw Data'!I479</f>
        <v>0</v>
      </c>
      <c r="I479" s="6" t="n">
        <f aca="false">'Raw Data'!J479</f>
        <v>0</v>
      </c>
      <c r="J479" s="6" t="n">
        <f aca="false">'Raw Data'!K479</f>
        <v>2</v>
      </c>
      <c r="K479" s="6" t="n">
        <f aca="false">'Raw Data'!L479</f>
        <v>5</v>
      </c>
      <c r="L479" s="6" t="n">
        <f aca="false">F479*E479</f>
        <v>0</v>
      </c>
      <c r="N479" s="0" t="n">
        <v>1</v>
      </c>
      <c r="O479" s="6" t="n">
        <f aca="false">D479</f>
        <v>3.861428571</v>
      </c>
      <c r="P479" s="6" t="n">
        <f aca="false">E479</f>
        <v>0</v>
      </c>
      <c r="Q479" s="6" t="n">
        <f aca="false">F479</f>
        <v>0</v>
      </c>
      <c r="R479" s="6" t="n">
        <f aca="false">G479</f>
        <v>0</v>
      </c>
      <c r="S479" s="6" t="n">
        <f aca="false">H479</f>
        <v>0</v>
      </c>
      <c r="T479" s="6" t="n">
        <f aca="false">I479</f>
        <v>0</v>
      </c>
      <c r="U479" s="6" t="n">
        <f aca="false">L479</f>
        <v>0</v>
      </c>
      <c r="W479" s="6" t="n">
        <f aca="false">D479</f>
        <v>3.861428571</v>
      </c>
      <c r="X479" s="6" t="n">
        <f aca="false">E479</f>
        <v>0</v>
      </c>
      <c r="Y479" s="6" t="n">
        <f aca="false">F479</f>
        <v>0</v>
      </c>
      <c r="Z479" s="6" t="n">
        <f aca="false">L479</f>
        <v>0</v>
      </c>
      <c r="AA479" s="6" t="n">
        <f aca="false">G479</f>
        <v>0</v>
      </c>
      <c r="AC479" s="6" t="n">
        <f aca="false">D479</f>
        <v>3.861428571</v>
      </c>
      <c r="AD479" s="6" t="n">
        <f aca="false">E479</f>
        <v>0</v>
      </c>
      <c r="AE479" s="6" t="n">
        <f aca="false">G479</f>
        <v>0</v>
      </c>
      <c r="AF479" s="6" t="n">
        <f aca="false">H479</f>
        <v>0</v>
      </c>
      <c r="AG479" s="6" t="n">
        <f aca="false">I479</f>
        <v>0</v>
      </c>
      <c r="AH479" s="6" t="n">
        <f aca="false">L479</f>
        <v>0</v>
      </c>
    </row>
    <row r="480" customFormat="false" ht="15" hidden="false" customHeight="false" outlineLevel="0" collapsed="false">
      <c r="A480" s="0" t="str">
        <f aca="false">'Raw Data'!C480</f>
        <v>Bedford</v>
      </c>
      <c r="B480" s="5" t="n">
        <f aca="false">'Raw Data'!A480</f>
        <v>40337</v>
      </c>
      <c r="C480" s="6" t="n">
        <f aca="false">'Raw Data'!D480</f>
        <v>167.509567609417</v>
      </c>
      <c r="D480" s="6" t="n">
        <f aca="false">'Raw Data'!E480</f>
        <v>4.204285714</v>
      </c>
      <c r="E480" s="6" t="n">
        <f aca="false">'Raw Data'!F480</f>
        <v>0</v>
      </c>
      <c r="F480" s="6" t="n">
        <f aca="false">'Raw Data'!G480</f>
        <v>0</v>
      </c>
      <c r="G480" s="6" t="n">
        <f aca="false">'Raw Data'!H480</f>
        <v>0</v>
      </c>
      <c r="H480" s="6" t="n">
        <f aca="false">'Raw Data'!I480</f>
        <v>0</v>
      </c>
      <c r="I480" s="6" t="n">
        <f aca="false">'Raw Data'!J480</f>
        <v>0</v>
      </c>
      <c r="J480" s="6" t="n">
        <f aca="false">'Raw Data'!K480</f>
        <v>2</v>
      </c>
      <c r="K480" s="6" t="n">
        <f aca="false">'Raw Data'!L480</f>
        <v>5</v>
      </c>
      <c r="L480" s="6" t="n">
        <f aca="false">F480*E480</f>
        <v>0</v>
      </c>
      <c r="N480" s="0" t="n">
        <v>1</v>
      </c>
      <c r="O480" s="6" t="n">
        <f aca="false">D480</f>
        <v>4.204285714</v>
      </c>
      <c r="P480" s="6" t="n">
        <f aca="false">E480</f>
        <v>0</v>
      </c>
      <c r="Q480" s="6" t="n">
        <f aca="false">F480</f>
        <v>0</v>
      </c>
      <c r="R480" s="6" t="n">
        <f aca="false">G480</f>
        <v>0</v>
      </c>
      <c r="S480" s="6" t="n">
        <f aca="false">H480</f>
        <v>0</v>
      </c>
      <c r="T480" s="6" t="n">
        <f aca="false">I480</f>
        <v>0</v>
      </c>
      <c r="U480" s="6" t="n">
        <f aca="false">L480</f>
        <v>0</v>
      </c>
      <c r="W480" s="6" t="n">
        <f aca="false">D480</f>
        <v>4.204285714</v>
      </c>
      <c r="X480" s="6" t="n">
        <f aca="false">E480</f>
        <v>0</v>
      </c>
      <c r="Y480" s="6" t="n">
        <f aca="false">F480</f>
        <v>0</v>
      </c>
      <c r="Z480" s="6" t="n">
        <f aca="false">L480</f>
        <v>0</v>
      </c>
      <c r="AA480" s="6" t="n">
        <f aca="false">G480</f>
        <v>0</v>
      </c>
      <c r="AC480" s="6" t="n">
        <f aca="false">D480</f>
        <v>4.204285714</v>
      </c>
      <c r="AD480" s="6" t="n">
        <f aca="false">E480</f>
        <v>0</v>
      </c>
      <c r="AE480" s="6" t="n">
        <f aca="false">G480</f>
        <v>0</v>
      </c>
      <c r="AF480" s="6" t="n">
        <f aca="false">H480</f>
        <v>0</v>
      </c>
      <c r="AG480" s="6" t="n">
        <f aca="false">I480</f>
        <v>0</v>
      </c>
      <c r="AH480" s="6" t="n">
        <f aca="false">L480</f>
        <v>0</v>
      </c>
    </row>
    <row r="481" customFormat="false" ht="15" hidden="false" customHeight="false" outlineLevel="0" collapsed="false">
      <c r="A481" s="0" t="str">
        <f aca="false">'Raw Data'!C481</f>
        <v>Bedford</v>
      </c>
      <c r="B481" s="5" t="n">
        <f aca="false">'Raw Data'!A481</f>
        <v>40344</v>
      </c>
      <c r="C481" s="6" t="n">
        <f aca="false">'Raw Data'!D481</f>
        <v>106.252154385917</v>
      </c>
      <c r="D481" s="6" t="n">
        <f aca="false">'Raw Data'!E481</f>
        <v>4.156666667</v>
      </c>
      <c r="E481" s="6" t="n">
        <f aca="false">'Raw Data'!F481</f>
        <v>0</v>
      </c>
      <c r="F481" s="6" t="n">
        <f aca="false">'Raw Data'!G481</f>
        <v>0</v>
      </c>
      <c r="G481" s="6" t="n">
        <f aca="false">'Raw Data'!H481</f>
        <v>0</v>
      </c>
      <c r="H481" s="6" t="n">
        <f aca="false">'Raw Data'!I481</f>
        <v>0</v>
      </c>
      <c r="I481" s="6" t="n">
        <f aca="false">'Raw Data'!J481</f>
        <v>0</v>
      </c>
      <c r="J481" s="6" t="n">
        <f aca="false">'Raw Data'!K481</f>
        <v>2</v>
      </c>
      <c r="K481" s="6" t="n">
        <f aca="false">'Raw Data'!L481</f>
        <v>5</v>
      </c>
      <c r="L481" s="6" t="n">
        <f aca="false">F481*E481</f>
        <v>0</v>
      </c>
      <c r="N481" s="0" t="n">
        <v>1</v>
      </c>
      <c r="O481" s="6" t="n">
        <f aca="false">D481</f>
        <v>4.156666667</v>
      </c>
      <c r="P481" s="6" t="n">
        <f aca="false">E481</f>
        <v>0</v>
      </c>
      <c r="Q481" s="6" t="n">
        <f aca="false">F481</f>
        <v>0</v>
      </c>
      <c r="R481" s="6" t="n">
        <f aca="false">G481</f>
        <v>0</v>
      </c>
      <c r="S481" s="6" t="n">
        <f aca="false">H481</f>
        <v>0</v>
      </c>
      <c r="T481" s="6" t="n">
        <f aca="false">I481</f>
        <v>0</v>
      </c>
      <c r="U481" s="6" t="n">
        <f aca="false">L481</f>
        <v>0</v>
      </c>
      <c r="W481" s="6" t="n">
        <f aca="false">D481</f>
        <v>4.156666667</v>
      </c>
      <c r="X481" s="6" t="n">
        <f aca="false">E481</f>
        <v>0</v>
      </c>
      <c r="Y481" s="6" t="n">
        <f aca="false">F481</f>
        <v>0</v>
      </c>
      <c r="Z481" s="6" t="n">
        <f aca="false">L481</f>
        <v>0</v>
      </c>
      <c r="AA481" s="6" t="n">
        <f aca="false">G481</f>
        <v>0</v>
      </c>
      <c r="AC481" s="6" t="n">
        <f aca="false">D481</f>
        <v>4.156666667</v>
      </c>
      <c r="AD481" s="6" t="n">
        <f aca="false">E481</f>
        <v>0</v>
      </c>
      <c r="AE481" s="6" t="n">
        <f aca="false">G481</f>
        <v>0</v>
      </c>
      <c r="AF481" s="6" t="n">
        <f aca="false">H481</f>
        <v>0</v>
      </c>
      <c r="AG481" s="6" t="n">
        <f aca="false">I481</f>
        <v>0</v>
      </c>
      <c r="AH481" s="6" t="n">
        <f aca="false">L481</f>
        <v>0</v>
      </c>
    </row>
    <row r="482" customFormat="false" ht="15" hidden="false" customHeight="false" outlineLevel="0" collapsed="false">
      <c r="A482" s="0" t="str">
        <f aca="false">'Raw Data'!C482</f>
        <v>Bedford</v>
      </c>
      <c r="B482" s="5" t="n">
        <f aca="false">'Raw Data'!A482</f>
        <v>40351</v>
      </c>
      <c r="C482" s="6" t="n">
        <f aca="false">'Raw Data'!D482</f>
        <v>167.944791879811</v>
      </c>
      <c r="D482" s="6" t="n">
        <f aca="false">'Raw Data'!E482</f>
        <v>4.115</v>
      </c>
      <c r="E482" s="6" t="n">
        <f aca="false">'Raw Data'!F482</f>
        <v>0</v>
      </c>
      <c r="F482" s="6" t="n">
        <f aca="false">'Raw Data'!G482</f>
        <v>0</v>
      </c>
      <c r="G482" s="6" t="n">
        <f aca="false">'Raw Data'!H482</f>
        <v>0</v>
      </c>
      <c r="H482" s="6" t="n">
        <f aca="false">'Raw Data'!I482</f>
        <v>0</v>
      </c>
      <c r="I482" s="6" t="n">
        <f aca="false">'Raw Data'!J482</f>
        <v>0</v>
      </c>
      <c r="J482" s="6" t="n">
        <f aca="false">'Raw Data'!K482</f>
        <v>2</v>
      </c>
      <c r="K482" s="6" t="n">
        <f aca="false">'Raw Data'!L482</f>
        <v>5</v>
      </c>
      <c r="L482" s="6" t="n">
        <f aca="false">F482*E482</f>
        <v>0</v>
      </c>
      <c r="N482" s="0" t="n">
        <v>1</v>
      </c>
      <c r="O482" s="6" t="n">
        <f aca="false">D482</f>
        <v>4.115</v>
      </c>
      <c r="P482" s="6" t="n">
        <f aca="false">E482</f>
        <v>0</v>
      </c>
      <c r="Q482" s="6" t="n">
        <f aca="false">F482</f>
        <v>0</v>
      </c>
      <c r="R482" s="6" t="n">
        <f aca="false">G482</f>
        <v>0</v>
      </c>
      <c r="S482" s="6" t="n">
        <f aca="false">H482</f>
        <v>0</v>
      </c>
      <c r="T482" s="6" t="n">
        <f aca="false">I482</f>
        <v>0</v>
      </c>
      <c r="U482" s="6" t="n">
        <f aca="false">L482</f>
        <v>0</v>
      </c>
      <c r="W482" s="6" t="n">
        <f aca="false">D482</f>
        <v>4.115</v>
      </c>
      <c r="X482" s="6" t="n">
        <f aca="false">E482</f>
        <v>0</v>
      </c>
      <c r="Y482" s="6" t="n">
        <f aca="false">F482</f>
        <v>0</v>
      </c>
      <c r="Z482" s="6" t="n">
        <f aca="false">L482</f>
        <v>0</v>
      </c>
      <c r="AA482" s="6" t="n">
        <f aca="false">G482</f>
        <v>0</v>
      </c>
      <c r="AC482" s="6" t="n">
        <f aca="false">D482</f>
        <v>4.115</v>
      </c>
      <c r="AD482" s="6" t="n">
        <f aca="false">E482</f>
        <v>0</v>
      </c>
      <c r="AE482" s="6" t="n">
        <f aca="false">G482</f>
        <v>0</v>
      </c>
      <c r="AF482" s="6" t="n">
        <f aca="false">H482</f>
        <v>0</v>
      </c>
      <c r="AG482" s="6" t="n">
        <f aca="false">I482</f>
        <v>0</v>
      </c>
      <c r="AH482" s="6" t="n">
        <f aca="false">L482</f>
        <v>0</v>
      </c>
    </row>
    <row r="483" customFormat="false" ht="15" hidden="false" customHeight="false" outlineLevel="0" collapsed="false">
      <c r="A483" s="0" t="str">
        <f aca="false">'Raw Data'!C483</f>
        <v>Bedford</v>
      </c>
      <c r="B483" s="5" t="n">
        <f aca="false">'Raw Data'!A483</f>
        <v>40358</v>
      </c>
      <c r="C483" s="6" t="n">
        <f aca="false">'Raw Data'!D483</f>
        <v>87.516367526594</v>
      </c>
      <c r="D483" s="6" t="n">
        <f aca="false">'Raw Data'!E483</f>
        <v>4.204285714</v>
      </c>
      <c r="E483" s="6" t="n">
        <f aca="false">'Raw Data'!F483</f>
        <v>0</v>
      </c>
      <c r="F483" s="6" t="n">
        <f aca="false">'Raw Data'!G483</f>
        <v>0</v>
      </c>
      <c r="G483" s="6" t="n">
        <f aca="false">'Raw Data'!H483</f>
        <v>0</v>
      </c>
      <c r="H483" s="6" t="n">
        <f aca="false">'Raw Data'!I483</f>
        <v>0</v>
      </c>
      <c r="I483" s="6" t="n">
        <f aca="false">'Raw Data'!J483</f>
        <v>0</v>
      </c>
      <c r="J483" s="6" t="n">
        <f aca="false">'Raw Data'!K483</f>
        <v>2</v>
      </c>
      <c r="K483" s="6" t="n">
        <f aca="false">'Raw Data'!L483</f>
        <v>5</v>
      </c>
      <c r="L483" s="6" t="n">
        <f aca="false">F483*E483</f>
        <v>0</v>
      </c>
      <c r="N483" s="0" t="n">
        <v>1</v>
      </c>
      <c r="O483" s="6" t="n">
        <f aca="false">D483</f>
        <v>4.204285714</v>
      </c>
      <c r="P483" s="6" t="n">
        <f aca="false">E483</f>
        <v>0</v>
      </c>
      <c r="Q483" s="6" t="n">
        <f aca="false">F483</f>
        <v>0</v>
      </c>
      <c r="R483" s="6" t="n">
        <f aca="false">G483</f>
        <v>0</v>
      </c>
      <c r="S483" s="6" t="n">
        <f aca="false">H483</f>
        <v>0</v>
      </c>
      <c r="T483" s="6" t="n">
        <f aca="false">I483</f>
        <v>0</v>
      </c>
      <c r="U483" s="6" t="n">
        <f aca="false">L483</f>
        <v>0</v>
      </c>
      <c r="W483" s="6" t="n">
        <f aca="false">D483</f>
        <v>4.204285714</v>
      </c>
      <c r="X483" s="6" t="n">
        <f aca="false">E483</f>
        <v>0</v>
      </c>
      <c r="Y483" s="6" t="n">
        <f aca="false">F483</f>
        <v>0</v>
      </c>
      <c r="Z483" s="6" t="n">
        <f aca="false">L483</f>
        <v>0</v>
      </c>
      <c r="AA483" s="6" t="n">
        <f aca="false">G483</f>
        <v>0</v>
      </c>
      <c r="AC483" s="6" t="n">
        <f aca="false">D483</f>
        <v>4.204285714</v>
      </c>
      <c r="AD483" s="6" t="n">
        <f aca="false">E483</f>
        <v>0</v>
      </c>
      <c r="AE483" s="6" t="n">
        <f aca="false">G483</f>
        <v>0</v>
      </c>
      <c r="AF483" s="6" t="n">
        <f aca="false">H483</f>
        <v>0</v>
      </c>
      <c r="AG483" s="6" t="n">
        <f aca="false">I483</f>
        <v>0</v>
      </c>
      <c r="AH483" s="6" t="n">
        <f aca="false">L483</f>
        <v>0</v>
      </c>
    </row>
    <row r="484" customFormat="false" ht="15" hidden="false" customHeight="false" outlineLevel="0" collapsed="false">
      <c r="A484" s="0" t="str">
        <f aca="false">'Raw Data'!C484</f>
        <v>Bedford</v>
      </c>
      <c r="B484" s="5" t="n">
        <f aca="false">'Raw Data'!A484</f>
        <v>40365</v>
      </c>
      <c r="C484" s="6" t="n">
        <f aca="false">'Raw Data'!D484</f>
        <v>171.45285503752</v>
      </c>
      <c r="D484" s="6" t="n">
        <f aca="false">'Raw Data'!E484</f>
        <v>3.78</v>
      </c>
      <c r="E484" s="6" t="n">
        <f aca="false">'Raw Data'!F484</f>
        <v>0</v>
      </c>
      <c r="F484" s="6" t="n">
        <f aca="false">'Raw Data'!G484</f>
        <v>0</v>
      </c>
      <c r="G484" s="6" t="n">
        <f aca="false">'Raw Data'!H484</f>
        <v>0</v>
      </c>
      <c r="H484" s="6" t="n">
        <f aca="false">'Raw Data'!I484</f>
        <v>0</v>
      </c>
      <c r="I484" s="6" t="n">
        <f aca="false">'Raw Data'!J484</f>
        <v>0</v>
      </c>
      <c r="J484" s="6" t="n">
        <f aca="false">'Raw Data'!K484</f>
        <v>2</v>
      </c>
      <c r="K484" s="6" t="n">
        <f aca="false">'Raw Data'!L484</f>
        <v>5</v>
      </c>
      <c r="L484" s="6" t="n">
        <f aca="false">F484*E484</f>
        <v>0</v>
      </c>
      <c r="N484" s="0" t="n">
        <v>1</v>
      </c>
      <c r="O484" s="6" t="n">
        <f aca="false">D484</f>
        <v>3.78</v>
      </c>
      <c r="P484" s="6" t="n">
        <f aca="false">E484</f>
        <v>0</v>
      </c>
      <c r="Q484" s="6" t="n">
        <f aca="false">F484</f>
        <v>0</v>
      </c>
      <c r="R484" s="6" t="n">
        <f aca="false">G484</f>
        <v>0</v>
      </c>
      <c r="S484" s="6" t="n">
        <f aca="false">H484</f>
        <v>0</v>
      </c>
      <c r="T484" s="6" t="n">
        <f aca="false">I484</f>
        <v>0</v>
      </c>
      <c r="U484" s="6" t="n">
        <f aca="false">L484</f>
        <v>0</v>
      </c>
      <c r="W484" s="6" t="n">
        <f aca="false">D484</f>
        <v>3.78</v>
      </c>
      <c r="X484" s="6" t="n">
        <f aca="false">E484</f>
        <v>0</v>
      </c>
      <c r="Y484" s="6" t="n">
        <f aca="false">F484</f>
        <v>0</v>
      </c>
      <c r="Z484" s="6" t="n">
        <f aca="false">L484</f>
        <v>0</v>
      </c>
      <c r="AA484" s="6" t="n">
        <f aca="false">G484</f>
        <v>0</v>
      </c>
      <c r="AC484" s="6" t="n">
        <f aca="false">D484</f>
        <v>3.78</v>
      </c>
      <c r="AD484" s="6" t="n">
        <f aca="false">E484</f>
        <v>0</v>
      </c>
      <c r="AE484" s="6" t="n">
        <f aca="false">G484</f>
        <v>0</v>
      </c>
      <c r="AF484" s="6" t="n">
        <f aca="false">H484</f>
        <v>0</v>
      </c>
      <c r="AG484" s="6" t="n">
        <f aca="false">I484</f>
        <v>0</v>
      </c>
      <c r="AH484" s="6" t="n">
        <f aca="false">L484</f>
        <v>0</v>
      </c>
    </row>
    <row r="485" customFormat="false" ht="15" hidden="false" customHeight="false" outlineLevel="0" collapsed="false">
      <c r="A485" s="0" t="str">
        <f aca="false">'Raw Data'!C485</f>
        <v>Bedford</v>
      </c>
      <c r="B485" s="5" t="n">
        <f aca="false">'Raw Data'!A485</f>
        <v>40372</v>
      </c>
      <c r="C485" s="6" t="n">
        <f aca="false">'Raw Data'!D485</f>
        <v>116.255381785723</v>
      </c>
      <c r="D485" s="6" t="n">
        <f aca="false">'Raw Data'!E485</f>
        <v>3.273333333</v>
      </c>
      <c r="E485" s="6" t="n">
        <f aca="false">'Raw Data'!F485</f>
        <v>0</v>
      </c>
      <c r="F485" s="6" t="n">
        <f aca="false">'Raw Data'!G485</f>
        <v>0</v>
      </c>
      <c r="G485" s="6" t="n">
        <f aca="false">'Raw Data'!H485</f>
        <v>0</v>
      </c>
      <c r="H485" s="6" t="n">
        <f aca="false">'Raw Data'!I485</f>
        <v>0</v>
      </c>
      <c r="I485" s="6" t="n">
        <f aca="false">'Raw Data'!J485</f>
        <v>0</v>
      </c>
      <c r="J485" s="6" t="n">
        <f aca="false">'Raw Data'!K485</f>
        <v>2</v>
      </c>
      <c r="K485" s="6" t="n">
        <f aca="false">'Raw Data'!L485</f>
        <v>5</v>
      </c>
      <c r="L485" s="6" t="n">
        <f aca="false">F485*E485</f>
        <v>0</v>
      </c>
      <c r="N485" s="0" t="n">
        <v>1</v>
      </c>
      <c r="O485" s="6" t="n">
        <f aca="false">D485</f>
        <v>3.273333333</v>
      </c>
      <c r="P485" s="6" t="n">
        <f aca="false">E485</f>
        <v>0</v>
      </c>
      <c r="Q485" s="6" t="n">
        <f aca="false">F485</f>
        <v>0</v>
      </c>
      <c r="R485" s="6" t="n">
        <f aca="false">G485</f>
        <v>0</v>
      </c>
      <c r="S485" s="6" t="n">
        <f aca="false">H485</f>
        <v>0</v>
      </c>
      <c r="T485" s="6" t="n">
        <f aca="false">I485</f>
        <v>0</v>
      </c>
      <c r="U485" s="6" t="n">
        <f aca="false">L485</f>
        <v>0</v>
      </c>
      <c r="W485" s="6" t="n">
        <f aca="false">D485</f>
        <v>3.273333333</v>
      </c>
      <c r="X485" s="6" t="n">
        <f aca="false">E485</f>
        <v>0</v>
      </c>
      <c r="Y485" s="6" t="n">
        <f aca="false">F485</f>
        <v>0</v>
      </c>
      <c r="Z485" s="6" t="n">
        <f aca="false">L485</f>
        <v>0</v>
      </c>
      <c r="AA485" s="6" t="n">
        <f aca="false">G485</f>
        <v>0</v>
      </c>
      <c r="AC485" s="6" t="n">
        <f aca="false">D485</f>
        <v>3.273333333</v>
      </c>
      <c r="AD485" s="6" t="n">
        <f aca="false">E485</f>
        <v>0</v>
      </c>
      <c r="AE485" s="6" t="n">
        <f aca="false">G485</f>
        <v>0</v>
      </c>
      <c r="AF485" s="6" t="n">
        <f aca="false">H485</f>
        <v>0</v>
      </c>
      <c r="AG485" s="6" t="n">
        <f aca="false">I485</f>
        <v>0</v>
      </c>
      <c r="AH485" s="6" t="n">
        <f aca="false">L485</f>
        <v>0</v>
      </c>
    </row>
    <row r="486" customFormat="false" ht="15" hidden="false" customHeight="false" outlineLevel="0" collapsed="false">
      <c r="A486" s="0" t="str">
        <f aca="false">'Raw Data'!C486</f>
        <v>Bellingham</v>
      </c>
      <c r="B486" s="5" t="n">
        <f aca="false">'Raw Data'!A486</f>
        <v>40302</v>
      </c>
      <c r="C486" s="6" t="n">
        <f aca="false">'Raw Data'!D486</f>
        <v>156.184987143156</v>
      </c>
      <c r="D486" s="6" t="n">
        <f aca="false">'Raw Data'!E486</f>
        <v>4.204285714</v>
      </c>
      <c r="E486" s="6" t="n">
        <f aca="false">'Raw Data'!F486</f>
        <v>0</v>
      </c>
      <c r="F486" s="6" t="n">
        <f aca="false">'Raw Data'!G486</f>
        <v>0</v>
      </c>
      <c r="G486" s="6" t="n">
        <f aca="false">'Raw Data'!H486</f>
        <v>0</v>
      </c>
      <c r="H486" s="6" t="n">
        <f aca="false">'Raw Data'!I486</f>
        <v>0</v>
      </c>
      <c r="I486" s="6" t="n">
        <f aca="false">'Raw Data'!J486</f>
        <v>0</v>
      </c>
      <c r="J486" s="6" t="n">
        <f aca="false">'Raw Data'!K486</f>
        <v>2</v>
      </c>
      <c r="K486" s="6" t="n">
        <f aca="false">'Raw Data'!L486</f>
        <v>0</v>
      </c>
      <c r="L486" s="6" t="n">
        <f aca="false">F486*E486</f>
        <v>0</v>
      </c>
      <c r="N486" s="0" t="n">
        <v>1</v>
      </c>
      <c r="O486" s="6" t="n">
        <f aca="false">D486</f>
        <v>4.204285714</v>
      </c>
      <c r="P486" s="6" t="n">
        <f aca="false">E486</f>
        <v>0</v>
      </c>
      <c r="Q486" s="6" t="n">
        <f aca="false">F486</f>
        <v>0</v>
      </c>
      <c r="R486" s="6" t="n">
        <f aca="false">G486</f>
        <v>0</v>
      </c>
      <c r="S486" s="6" t="n">
        <f aca="false">H486</f>
        <v>0</v>
      </c>
      <c r="T486" s="6" t="n">
        <f aca="false">I486</f>
        <v>0</v>
      </c>
      <c r="U486" s="6" t="n">
        <f aca="false">L486</f>
        <v>0</v>
      </c>
      <c r="W486" s="6" t="n">
        <f aca="false">D486</f>
        <v>4.204285714</v>
      </c>
      <c r="X486" s="6" t="n">
        <f aca="false">E486</f>
        <v>0</v>
      </c>
      <c r="Y486" s="6" t="n">
        <f aca="false">F486</f>
        <v>0</v>
      </c>
      <c r="Z486" s="6" t="n">
        <f aca="false">L486</f>
        <v>0</v>
      </c>
      <c r="AA486" s="6" t="n">
        <f aca="false">G486</f>
        <v>0</v>
      </c>
      <c r="AC486" s="6" t="n">
        <f aca="false">D486</f>
        <v>4.204285714</v>
      </c>
      <c r="AD486" s="6" t="n">
        <f aca="false">E486</f>
        <v>0</v>
      </c>
      <c r="AE486" s="6" t="n">
        <f aca="false">G486</f>
        <v>0</v>
      </c>
      <c r="AF486" s="6" t="n">
        <f aca="false">H486</f>
        <v>0</v>
      </c>
      <c r="AG486" s="6" t="n">
        <f aca="false">I486</f>
        <v>0</v>
      </c>
      <c r="AH486" s="6" t="n">
        <f aca="false">L486</f>
        <v>0</v>
      </c>
    </row>
    <row r="487" customFormat="false" ht="15" hidden="false" customHeight="false" outlineLevel="0" collapsed="false">
      <c r="A487" s="0" t="str">
        <f aca="false">'Raw Data'!C487</f>
        <v>Bellingham</v>
      </c>
      <c r="B487" s="5" t="n">
        <f aca="false">'Raw Data'!A487</f>
        <v>40309</v>
      </c>
      <c r="C487" s="6" t="n">
        <f aca="false">'Raw Data'!D487</f>
        <v>208.035439039288</v>
      </c>
      <c r="D487" s="6" t="n">
        <f aca="false">'Raw Data'!E487</f>
        <v>4.118571429</v>
      </c>
      <c r="E487" s="6" t="n">
        <f aca="false">'Raw Data'!F487</f>
        <v>0</v>
      </c>
      <c r="F487" s="6" t="n">
        <f aca="false">'Raw Data'!G487</f>
        <v>0</v>
      </c>
      <c r="G487" s="6" t="n">
        <f aca="false">'Raw Data'!H487</f>
        <v>0</v>
      </c>
      <c r="H487" s="6" t="n">
        <f aca="false">'Raw Data'!I487</f>
        <v>0</v>
      </c>
      <c r="I487" s="6" t="n">
        <f aca="false">'Raw Data'!J487</f>
        <v>0</v>
      </c>
      <c r="J487" s="6" t="n">
        <f aca="false">'Raw Data'!K487</f>
        <v>2</v>
      </c>
      <c r="K487" s="6" t="n">
        <f aca="false">'Raw Data'!L487</f>
        <v>0</v>
      </c>
      <c r="L487" s="6" t="n">
        <f aca="false">F487*E487</f>
        <v>0</v>
      </c>
      <c r="N487" s="0" t="n">
        <v>1</v>
      </c>
      <c r="O487" s="6" t="n">
        <f aca="false">D487</f>
        <v>4.118571429</v>
      </c>
      <c r="P487" s="6" t="n">
        <f aca="false">E487</f>
        <v>0</v>
      </c>
      <c r="Q487" s="6" t="n">
        <f aca="false">F487</f>
        <v>0</v>
      </c>
      <c r="R487" s="6" t="n">
        <f aca="false">G487</f>
        <v>0</v>
      </c>
      <c r="S487" s="6" t="n">
        <f aca="false">H487</f>
        <v>0</v>
      </c>
      <c r="T487" s="6" t="n">
        <f aca="false">I487</f>
        <v>0</v>
      </c>
      <c r="U487" s="6" t="n">
        <f aca="false">L487</f>
        <v>0</v>
      </c>
      <c r="W487" s="6" t="n">
        <f aca="false">D487</f>
        <v>4.118571429</v>
      </c>
      <c r="X487" s="6" t="n">
        <f aca="false">E487</f>
        <v>0</v>
      </c>
      <c r="Y487" s="6" t="n">
        <f aca="false">F487</f>
        <v>0</v>
      </c>
      <c r="Z487" s="6" t="n">
        <f aca="false">L487</f>
        <v>0</v>
      </c>
      <c r="AA487" s="6" t="n">
        <f aca="false">G487</f>
        <v>0</v>
      </c>
      <c r="AC487" s="6" t="n">
        <f aca="false">D487</f>
        <v>4.118571429</v>
      </c>
      <c r="AD487" s="6" t="n">
        <f aca="false">E487</f>
        <v>0</v>
      </c>
      <c r="AE487" s="6" t="n">
        <f aca="false">G487</f>
        <v>0</v>
      </c>
      <c r="AF487" s="6" t="n">
        <f aca="false">H487</f>
        <v>0</v>
      </c>
      <c r="AG487" s="6" t="n">
        <f aca="false">I487</f>
        <v>0</v>
      </c>
      <c r="AH487" s="6" t="n">
        <f aca="false">L487</f>
        <v>0</v>
      </c>
    </row>
    <row r="488" customFormat="false" ht="15" hidden="false" customHeight="false" outlineLevel="0" collapsed="false">
      <c r="A488" s="0" t="str">
        <f aca="false">'Raw Data'!C488</f>
        <v>Bellingham</v>
      </c>
      <c r="B488" s="5" t="n">
        <f aca="false">'Raw Data'!A488</f>
        <v>40316</v>
      </c>
      <c r="C488" s="6" t="n">
        <f aca="false">'Raw Data'!D488</f>
        <v>165.139201278736</v>
      </c>
      <c r="D488" s="6" t="n">
        <f aca="false">'Raw Data'!E488</f>
        <v>3.861428571</v>
      </c>
      <c r="E488" s="6" t="n">
        <f aca="false">'Raw Data'!F488</f>
        <v>0</v>
      </c>
      <c r="F488" s="6" t="n">
        <f aca="false">'Raw Data'!G488</f>
        <v>0</v>
      </c>
      <c r="G488" s="6" t="n">
        <f aca="false">'Raw Data'!H488</f>
        <v>0</v>
      </c>
      <c r="H488" s="6" t="n">
        <f aca="false">'Raw Data'!I488</f>
        <v>0</v>
      </c>
      <c r="I488" s="6" t="n">
        <f aca="false">'Raw Data'!J488</f>
        <v>0</v>
      </c>
      <c r="J488" s="6" t="n">
        <f aca="false">'Raw Data'!K488</f>
        <v>2</v>
      </c>
      <c r="K488" s="6" t="n">
        <f aca="false">'Raw Data'!L488</f>
        <v>0</v>
      </c>
      <c r="L488" s="6" t="n">
        <f aca="false">F488*E488</f>
        <v>0</v>
      </c>
      <c r="N488" s="0" t="n">
        <v>1</v>
      </c>
      <c r="O488" s="6" t="n">
        <f aca="false">D488</f>
        <v>3.861428571</v>
      </c>
      <c r="P488" s="6" t="n">
        <f aca="false">E488</f>
        <v>0</v>
      </c>
      <c r="Q488" s="6" t="n">
        <f aca="false">F488</f>
        <v>0</v>
      </c>
      <c r="R488" s="6" t="n">
        <f aca="false">G488</f>
        <v>0</v>
      </c>
      <c r="S488" s="6" t="n">
        <f aca="false">H488</f>
        <v>0</v>
      </c>
      <c r="T488" s="6" t="n">
        <f aca="false">I488</f>
        <v>0</v>
      </c>
      <c r="U488" s="6" t="n">
        <f aca="false">L488</f>
        <v>0</v>
      </c>
      <c r="W488" s="6" t="n">
        <f aca="false">D488</f>
        <v>3.861428571</v>
      </c>
      <c r="X488" s="6" t="n">
        <f aca="false">E488</f>
        <v>0</v>
      </c>
      <c r="Y488" s="6" t="n">
        <f aca="false">F488</f>
        <v>0</v>
      </c>
      <c r="Z488" s="6" t="n">
        <f aca="false">L488</f>
        <v>0</v>
      </c>
      <c r="AA488" s="6" t="n">
        <f aca="false">G488</f>
        <v>0</v>
      </c>
      <c r="AC488" s="6" t="n">
        <f aca="false">D488</f>
        <v>3.861428571</v>
      </c>
      <c r="AD488" s="6" t="n">
        <f aca="false">E488</f>
        <v>0</v>
      </c>
      <c r="AE488" s="6" t="n">
        <f aca="false">G488</f>
        <v>0</v>
      </c>
      <c r="AF488" s="6" t="n">
        <f aca="false">H488</f>
        <v>0</v>
      </c>
      <c r="AG488" s="6" t="n">
        <f aca="false">I488</f>
        <v>0</v>
      </c>
      <c r="AH488" s="6" t="n">
        <f aca="false">L488</f>
        <v>0</v>
      </c>
    </row>
    <row r="489" customFormat="false" ht="15" hidden="false" customHeight="false" outlineLevel="0" collapsed="false">
      <c r="A489" s="0" t="str">
        <f aca="false">'Raw Data'!C489</f>
        <v>Bellingham</v>
      </c>
      <c r="B489" s="5" t="n">
        <f aca="false">'Raw Data'!A489</f>
        <v>40323</v>
      </c>
      <c r="C489" s="6" t="n">
        <f aca="false">'Raw Data'!D489</f>
        <v>165.867914195461</v>
      </c>
      <c r="D489" s="6" t="n">
        <f aca="false">'Raw Data'!E489</f>
        <v>3.861428571</v>
      </c>
      <c r="E489" s="6" t="n">
        <f aca="false">'Raw Data'!F489</f>
        <v>0</v>
      </c>
      <c r="F489" s="6" t="n">
        <f aca="false">'Raw Data'!G489</f>
        <v>0</v>
      </c>
      <c r="G489" s="6" t="n">
        <f aca="false">'Raw Data'!H489</f>
        <v>0</v>
      </c>
      <c r="H489" s="6" t="n">
        <f aca="false">'Raw Data'!I489</f>
        <v>0</v>
      </c>
      <c r="I489" s="6" t="n">
        <f aca="false">'Raw Data'!J489</f>
        <v>0</v>
      </c>
      <c r="J489" s="6" t="n">
        <f aca="false">'Raw Data'!K489</f>
        <v>2</v>
      </c>
      <c r="K489" s="6" t="n">
        <f aca="false">'Raw Data'!L489</f>
        <v>0</v>
      </c>
      <c r="L489" s="6" t="n">
        <f aca="false">F489*E489</f>
        <v>0</v>
      </c>
      <c r="N489" s="0" t="n">
        <v>1</v>
      </c>
      <c r="O489" s="6" t="n">
        <f aca="false">D489</f>
        <v>3.861428571</v>
      </c>
      <c r="P489" s="6" t="n">
        <f aca="false">E489</f>
        <v>0</v>
      </c>
      <c r="Q489" s="6" t="n">
        <f aca="false">F489</f>
        <v>0</v>
      </c>
      <c r="R489" s="6" t="n">
        <f aca="false">G489</f>
        <v>0</v>
      </c>
      <c r="S489" s="6" t="n">
        <f aca="false">H489</f>
        <v>0</v>
      </c>
      <c r="T489" s="6" t="n">
        <f aca="false">I489</f>
        <v>0</v>
      </c>
      <c r="U489" s="6" t="n">
        <f aca="false">L489</f>
        <v>0</v>
      </c>
      <c r="W489" s="6" t="n">
        <f aca="false">D489</f>
        <v>3.861428571</v>
      </c>
      <c r="X489" s="6" t="n">
        <f aca="false">E489</f>
        <v>0</v>
      </c>
      <c r="Y489" s="6" t="n">
        <f aca="false">F489</f>
        <v>0</v>
      </c>
      <c r="Z489" s="6" t="n">
        <f aca="false">L489</f>
        <v>0</v>
      </c>
      <c r="AA489" s="6" t="n">
        <f aca="false">G489</f>
        <v>0</v>
      </c>
      <c r="AC489" s="6" t="n">
        <f aca="false">D489</f>
        <v>3.861428571</v>
      </c>
      <c r="AD489" s="6" t="n">
        <f aca="false">E489</f>
        <v>0</v>
      </c>
      <c r="AE489" s="6" t="n">
        <f aca="false">G489</f>
        <v>0</v>
      </c>
      <c r="AF489" s="6" t="n">
        <f aca="false">H489</f>
        <v>0</v>
      </c>
      <c r="AG489" s="6" t="n">
        <f aca="false">I489</f>
        <v>0</v>
      </c>
      <c r="AH489" s="6" t="n">
        <f aca="false">L489</f>
        <v>0</v>
      </c>
    </row>
    <row r="490" customFormat="false" ht="15" hidden="false" customHeight="false" outlineLevel="0" collapsed="false">
      <c r="A490" s="0" t="str">
        <f aca="false">'Raw Data'!C490</f>
        <v>Bellingham</v>
      </c>
      <c r="B490" s="5" t="n">
        <f aca="false">'Raw Data'!A490</f>
        <v>40330</v>
      </c>
      <c r="C490" s="6" t="n">
        <f aca="false">'Raw Data'!D490</f>
        <v>134.33644365251</v>
      </c>
      <c r="D490" s="6" t="n">
        <f aca="false">'Raw Data'!E490</f>
        <v>3.756666667</v>
      </c>
      <c r="E490" s="6" t="n">
        <f aca="false">'Raw Data'!F490</f>
        <v>0</v>
      </c>
      <c r="F490" s="6" t="n">
        <f aca="false">'Raw Data'!G490</f>
        <v>0</v>
      </c>
      <c r="G490" s="6" t="n">
        <f aca="false">'Raw Data'!H490</f>
        <v>0</v>
      </c>
      <c r="H490" s="6" t="n">
        <f aca="false">'Raw Data'!I490</f>
        <v>0</v>
      </c>
      <c r="I490" s="6" t="n">
        <f aca="false">'Raw Data'!J490</f>
        <v>0</v>
      </c>
      <c r="J490" s="6" t="n">
        <f aca="false">'Raw Data'!K490</f>
        <v>2</v>
      </c>
      <c r="K490" s="6" t="n">
        <f aca="false">'Raw Data'!L490</f>
        <v>0</v>
      </c>
      <c r="L490" s="6" t="n">
        <f aca="false">F490*E490</f>
        <v>0</v>
      </c>
      <c r="N490" s="0" t="n">
        <v>1</v>
      </c>
      <c r="O490" s="6" t="n">
        <f aca="false">D490</f>
        <v>3.756666667</v>
      </c>
      <c r="P490" s="6" t="n">
        <f aca="false">E490</f>
        <v>0</v>
      </c>
      <c r="Q490" s="6" t="n">
        <f aca="false">F490</f>
        <v>0</v>
      </c>
      <c r="R490" s="6" t="n">
        <f aca="false">G490</f>
        <v>0</v>
      </c>
      <c r="S490" s="6" t="n">
        <f aca="false">H490</f>
        <v>0</v>
      </c>
      <c r="T490" s="6" t="n">
        <f aca="false">I490</f>
        <v>0</v>
      </c>
      <c r="U490" s="6" t="n">
        <f aca="false">L490</f>
        <v>0</v>
      </c>
      <c r="W490" s="6" t="n">
        <f aca="false">D490</f>
        <v>3.756666667</v>
      </c>
      <c r="X490" s="6" t="n">
        <f aca="false">E490</f>
        <v>0</v>
      </c>
      <c r="Y490" s="6" t="n">
        <f aca="false">F490</f>
        <v>0</v>
      </c>
      <c r="Z490" s="6" t="n">
        <f aca="false">L490</f>
        <v>0</v>
      </c>
      <c r="AA490" s="6" t="n">
        <f aca="false">G490</f>
        <v>0</v>
      </c>
      <c r="AC490" s="6" t="n">
        <f aca="false">D490</f>
        <v>3.756666667</v>
      </c>
      <c r="AD490" s="6" t="n">
        <f aca="false">E490</f>
        <v>0</v>
      </c>
      <c r="AE490" s="6" t="n">
        <f aca="false">G490</f>
        <v>0</v>
      </c>
      <c r="AF490" s="6" t="n">
        <f aca="false">H490</f>
        <v>0</v>
      </c>
      <c r="AG490" s="6" t="n">
        <f aca="false">I490</f>
        <v>0</v>
      </c>
      <c r="AH490" s="6" t="n">
        <f aca="false">L490</f>
        <v>0</v>
      </c>
    </row>
    <row r="491" customFormat="false" ht="15" hidden="false" customHeight="false" outlineLevel="0" collapsed="false">
      <c r="A491" s="0" t="str">
        <f aca="false">'Raw Data'!C491</f>
        <v>Bellingham</v>
      </c>
      <c r="B491" s="5" t="n">
        <f aca="false">'Raw Data'!A491</f>
        <v>40337</v>
      </c>
      <c r="C491" s="6" t="n">
        <f aca="false">'Raw Data'!D491</f>
        <v>187.078950606853</v>
      </c>
      <c r="D491" s="6" t="n">
        <f aca="false">'Raw Data'!E491</f>
        <v>4.204285714</v>
      </c>
      <c r="E491" s="6" t="n">
        <f aca="false">'Raw Data'!F491</f>
        <v>0</v>
      </c>
      <c r="F491" s="6" t="n">
        <f aca="false">'Raw Data'!G491</f>
        <v>0</v>
      </c>
      <c r="G491" s="6" t="n">
        <f aca="false">'Raw Data'!H491</f>
        <v>0</v>
      </c>
      <c r="H491" s="6" t="n">
        <f aca="false">'Raw Data'!I491</f>
        <v>0</v>
      </c>
      <c r="I491" s="6" t="n">
        <f aca="false">'Raw Data'!J491</f>
        <v>0</v>
      </c>
      <c r="J491" s="6" t="n">
        <f aca="false">'Raw Data'!K491</f>
        <v>2</v>
      </c>
      <c r="K491" s="6" t="n">
        <f aca="false">'Raw Data'!L491</f>
        <v>0</v>
      </c>
      <c r="L491" s="6" t="n">
        <f aca="false">F491*E491</f>
        <v>0</v>
      </c>
      <c r="N491" s="0" t="n">
        <v>1</v>
      </c>
      <c r="O491" s="6" t="n">
        <f aca="false">D491</f>
        <v>4.204285714</v>
      </c>
      <c r="P491" s="6" t="n">
        <f aca="false">E491</f>
        <v>0</v>
      </c>
      <c r="Q491" s="6" t="n">
        <f aca="false">F491</f>
        <v>0</v>
      </c>
      <c r="R491" s="6" t="n">
        <f aca="false">G491</f>
        <v>0</v>
      </c>
      <c r="S491" s="6" t="n">
        <f aca="false">H491</f>
        <v>0</v>
      </c>
      <c r="T491" s="6" t="n">
        <f aca="false">I491</f>
        <v>0</v>
      </c>
      <c r="U491" s="6" t="n">
        <f aca="false">L491</f>
        <v>0</v>
      </c>
      <c r="W491" s="6" t="n">
        <f aca="false">D491</f>
        <v>4.204285714</v>
      </c>
      <c r="X491" s="6" t="n">
        <f aca="false">E491</f>
        <v>0</v>
      </c>
      <c r="Y491" s="6" t="n">
        <f aca="false">F491</f>
        <v>0</v>
      </c>
      <c r="Z491" s="6" t="n">
        <f aca="false">L491</f>
        <v>0</v>
      </c>
      <c r="AA491" s="6" t="n">
        <f aca="false">G491</f>
        <v>0</v>
      </c>
      <c r="AC491" s="6" t="n">
        <f aca="false">D491</f>
        <v>4.204285714</v>
      </c>
      <c r="AD491" s="6" t="n">
        <f aca="false">E491</f>
        <v>0</v>
      </c>
      <c r="AE491" s="6" t="n">
        <f aca="false">G491</f>
        <v>0</v>
      </c>
      <c r="AF491" s="6" t="n">
        <f aca="false">H491</f>
        <v>0</v>
      </c>
      <c r="AG491" s="6" t="n">
        <f aca="false">I491</f>
        <v>0</v>
      </c>
      <c r="AH491" s="6" t="n">
        <f aca="false">L491</f>
        <v>0</v>
      </c>
    </row>
    <row r="492" customFormat="false" ht="15" hidden="false" customHeight="false" outlineLevel="0" collapsed="false">
      <c r="A492" s="0" t="str">
        <f aca="false">'Raw Data'!C492</f>
        <v>Bellingham</v>
      </c>
      <c r="B492" s="5" t="n">
        <f aca="false">'Raw Data'!A492</f>
        <v>40344</v>
      </c>
      <c r="C492" s="6" t="n">
        <f aca="false">'Raw Data'!D492</f>
        <v>230.614038575193</v>
      </c>
      <c r="D492" s="6" t="n">
        <f aca="false">'Raw Data'!E492</f>
        <v>4.204285714</v>
      </c>
      <c r="E492" s="6" t="n">
        <f aca="false">'Raw Data'!F492</f>
        <v>0</v>
      </c>
      <c r="F492" s="6" t="n">
        <f aca="false">'Raw Data'!G492</f>
        <v>0</v>
      </c>
      <c r="G492" s="6" t="n">
        <f aca="false">'Raw Data'!H492</f>
        <v>0</v>
      </c>
      <c r="H492" s="6" t="n">
        <f aca="false">'Raw Data'!I492</f>
        <v>0</v>
      </c>
      <c r="I492" s="6" t="n">
        <f aca="false">'Raw Data'!J492</f>
        <v>0</v>
      </c>
      <c r="J492" s="6" t="n">
        <f aca="false">'Raw Data'!K492</f>
        <v>2</v>
      </c>
      <c r="K492" s="6" t="n">
        <f aca="false">'Raw Data'!L492</f>
        <v>0</v>
      </c>
      <c r="L492" s="6" t="n">
        <f aca="false">F492*E492</f>
        <v>0</v>
      </c>
      <c r="N492" s="0" t="n">
        <v>1</v>
      </c>
      <c r="O492" s="6" t="n">
        <f aca="false">D492</f>
        <v>4.204285714</v>
      </c>
      <c r="P492" s="6" t="n">
        <f aca="false">E492</f>
        <v>0</v>
      </c>
      <c r="Q492" s="6" t="n">
        <f aca="false">F492</f>
        <v>0</v>
      </c>
      <c r="R492" s="6" t="n">
        <f aca="false">G492</f>
        <v>0</v>
      </c>
      <c r="S492" s="6" t="n">
        <f aca="false">H492</f>
        <v>0</v>
      </c>
      <c r="T492" s="6" t="n">
        <f aca="false">I492</f>
        <v>0</v>
      </c>
      <c r="U492" s="6" t="n">
        <f aca="false">L492</f>
        <v>0</v>
      </c>
      <c r="W492" s="6" t="n">
        <f aca="false">D492</f>
        <v>4.204285714</v>
      </c>
      <c r="X492" s="6" t="n">
        <f aca="false">E492</f>
        <v>0</v>
      </c>
      <c r="Y492" s="6" t="n">
        <f aca="false">F492</f>
        <v>0</v>
      </c>
      <c r="Z492" s="6" t="n">
        <f aca="false">L492</f>
        <v>0</v>
      </c>
      <c r="AA492" s="6" t="n">
        <f aca="false">G492</f>
        <v>0</v>
      </c>
      <c r="AC492" s="6" t="n">
        <f aca="false">D492</f>
        <v>4.204285714</v>
      </c>
      <c r="AD492" s="6" t="n">
        <f aca="false">E492</f>
        <v>0</v>
      </c>
      <c r="AE492" s="6" t="n">
        <f aca="false">G492</f>
        <v>0</v>
      </c>
      <c r="AF492" s="6" t="n">
        <f aca="false">H492</f>
        <v>0</v>
      </c>
      <c r="AG492" s="6" t="n">
        <f aca="false">I492</f>
        <v>0</v>
      </c>
      <c r="AH492" s="6" t="n">
        <f aca="false">L492</f>
        <v>0</v>
      </c>
    </row>
    <row r="493" customFormat="false" ht="15" hidden="false" customHeight="false" outlineLevel="0" collapsed="false">
      <c r="A493" s="0" t="str">
        <f aca="false">'Raw Data'!C493</f>
        <v>Bellingham</v>
      </c>
      <c r="B493" s="5" t="n">
        <f aca="false">'Raw Data'!A493</f>
        <v>40351</v>
      </c>
      <c r="C493" s="6" t="n">
        <f aca="false">'Raw Data'!D493</f>
        <v>150.454271531646</v>
      </c>
      <c r="D493" s="6" t="n">
        <f aca="false">'Raw Data'!E493</f>
        <v>4.204285714</v>
      </c>
      <c r="E493" s="6" t="n">
        <f aca="false">'Raw Data'!F493</f>
        <v>0</v>
      </c>
      <c r="F493" s="6" t="n">
        <f aca="false">'Raw Data'!G493</f>
        <v>0</v>
      </c>
      <c r="G493" s="6" t="n">
        <f aca="false">'Raw Data'!H493</f>
        <v>0</v>
      </c>
      <c r="H493" s="6" t="n">
        <f aca="false">'Raw Data'!I493</f>
        <v>0</v>
      </c>
      <c r="I493" s="6" t="n">
        <f aca="false">'Raw Data'!J493</f>
        <v>0</v>
      </c>
      <c r="J493" s="6" t="n">
        <f aca="false">'Raw Data'!K493</f>
        <v>2</v>
      </c>
      <c r="K493" s="6" t="n">
        <f aca="false">'Raw Data'!L493</f>
        <v>0</v>
      </c>
      <c r="L493" s="6" t="n">
        <f aca="false">F493*E493</f>
        <v>0</v>
      </c>
      <c r="N493" s="0" t="n">
        <v>1</v>
      </c>
      <c r="O493" s="6" t="n">
        <f aca="false">D493</f>
        <v>4.204285714</v>
      </c>
      <c r="P493" s="6" t="n">
        <f aca="false">E493</f>
        <v>0</v>
      </c>
      <c r="Q493" s="6" t="n">
        <f aca="false">F493</f>
        <v>0</v>
      </c>
      <c r="R493" s="6" t="n">
        <f aca="false">G493</f>
        <v>0</v>
      </c>
      <c r="S493" s="6" t="n">
        <f aca="false">H493</f>
        <v>0</v>
      </c>
      <c r="T493" s="6" t="n">
        <f aca="false">I493</f>
        <v>0</v>
      </c>
      <c r="U493" s="6" t="n">
        <f aca="false">L493</f>
        <v>0</v>
      </c>
      <c r="W493" s="6" t="n">
        <f aca="false">D493</f>
        <v>4.204285714</v>
      </c>
      <c r="X493" s="6" t="n">
        <f aca="false">E493</f>
        <v>0</v>
      </c>
      <c r="Y493" s="6" t="n">
        <f aca="false">F493</f>
        <v>0</v>
      </c>
      <c r="Z493" s="6" t="n">
        <f aca="false">L493</f>
        <v>0</v>
      </c>
      <c r="AA493" s="6" t="n">
        <f aca="false">G493</f>
        <v>0</v>
      </c>
      <c r="AC493" s="6" t="n">
        <f aca="false">D493</f>
        <v>4.204285714</v>
      </c>
      <c r="AD493" s="6" t="n">
        <f aca="false">E493</f>
        <v>0</v>
      </c>
      <c r="AE493" s="6" t="n">
        <f aca="false">G493</f>
        <v>0</v>
      </c>
      <c r="AF493" s="6" t="n">
        <f aca="false">H493</f>
        <v>0</v>
      </c>
      <c r="AG493" s="6" t="n">
        <f aca="false">I493</f>
        <v>0</v>
      </c>
      <c r="AH493" s="6" t="n">
        <f aca="false">L493</f>
        <v>0</v>
      </c>
    </row>
    <row r="494" customFormat="false" ht="15" hidden="false" customHeight="false" outlineLevel="0" collapsed="false">
      <c r="A494" s="0" t="str">
        <f aca="false">'Raw Data'!C494</f>
        <v>Bellingham</v>
      </c>
      <c r="B494" s="5" t="n">
        <f aca="false">'Raw Data'!A494</f>
        <v>40358</v>
      </c>
      <c r="C494" s="6" t="n">
        <f aca="false">'Raw Data'!D494</f>
        <v>303.291028840078</v>
      </c>
      <c r="D494" s="6" t="n">
        <f aca="false">'Raw Data'!E494</f>
        <v>3.823333333</v>
      </c>
      <c r="E494" s="6" t="n">
        <f aca="false">'Raw Data'!F494</f>
        <v>0</v>
      </c>
      <c r="F494" s="6" t="n">
        <f aca="false">'Raw Data'!G494</f>
        <v>0</v>
      </c>
      <c r="G494" s="6" t="n">
        <f aca="false">'Raw Data'!H494</f>
        <v>0</v>
      </c>
      <c r="H494" s="6" t="n">
        <f aca="false">'Raw Data'!I494</f>
        <v>0</v>
      </c>
      <c r="I494" s="6" t="n">
        <f aca="false">'Raw Data'!J494</f>
        <v>0</v>
      </c>
      <c r="J494" s="6" t="n">
        <f aca="false">'Raw Data'!K494</f>
        <v>2</v>
      </c>
      <c r="K494" s="6" t="n">
        <f aca="false">'Raw Data'!L494</f>
        <v>0</v>
      </c>
      <c r="L494" s="6" t="n">
        <f aca="false">F494*E494</f>
        <v>0</v>
      </c>
      <c r="N494" s="0" t="n">
        <v>1</v>
      </c>
      <c r="O494" s="6" t="n">
        <f aca="false">D494</f>
        <v>3.823333333</v>
      </c>
      <c r="P494" s="6" t="n">
        <f aca="false">E494</f>
        <v>0</v>
      </c>
      <c r="Q494" s="6" t="n">
        <f aca="false">F494</f>
        <v>0</v>
      </c>
      <c r="R494" s="6" t="n">
        <f aca="false">G494</f>
        <v>0</v>
      </c>
      <c r="S494" s="6" t="n">
        <f aca="false">H494</f>
        <v>0</v>
      </c>
      <c r="T494" s="6" t="n">
        <f aca="false">I494</f>
        <v>0</v>
      </c>
      <c r="U494" s="6" t="n">
        <f aca="false">L494</f>
        <v>0</v>
      </c>
      <c r="W494" s="6" t="n">
        <f aca="false">D494</f>
        <v>3.823333333</v>
      </c>
      <c r="X494" s="6" t="n">
        <f aca="false">E494</f>
        <v>0</v>
      </c>
      <c r="Y494" s="6" t="n">
        <f aca="false">F494</f>
        <v>0</v>
      </c>
      <c r="Z494" s="6" t="n">
        <f aca="false">L494</f>
        <v>0</v>
      </c>
      <c r="AA494" s="6" t="n">
        <f aca="false">G494</f>
        <v>0</v>
      </c>
      <c r="AC494" s="6" t="n">
        <f aca="false">D494</f>
        <v>3.823333333</v>
      </c>
      <c r="AD494" s="6" t="n">
        <f aca="false">E494</f>
        <v>0</v>
      </c>
      <c r="AE494" s="6" t="n">
        <f aca="false">G494</f>
        <v>0</v>
      </c>
      <c r="AF494" s="6" t="n">
        <f aca="false">H494</f>
        <v>0</v>
      </c>
      <c r="AG494" s="6" t="n">
        <f aca="false">I494</f>
        <v>0</v>
      </c>
      <c r="AH494" s="6" t="n">
        <f aca="false">L494</f>
        <v>0</v>
      </c>
    </row>
    <row r="495" customFormat="false" ht="15" hidden="false" customHeight="false" outlineLevel="0" collapsed="false">
      <c r="A495" s="0" t="str">
        <f aca="false">'Raw Data'!C495</f>
        <v>Bellingham</v>
      </c>
      <c r="B495" s="5" t="n">
        <f aca="false">'Raw Data'!A495</f>
        <v>40365</v>
      </c>
      <c r="C495" s="6" t="n">
        <f aca="false">'Raw Data'!D495</f>
        <v>256.181447335885</v>
      </c>
      <c r="D495" s="6" t="n">
        <f aca="false">'Raw Data'!E495</f>
        <v>3.096</v>
      </c>
      <c r="E495" s="6" t="n">
        <f aca="false">'Raw Data'!F495</f>
        <v>0</v>
      </c>
      <c r="F495" s="6" t="n">
        <f aca="false">'Raw Data'!G495</f>
        <v>0</v>
      </c>
      <c r="G495" s="6" t="n">
        <f aca="false">'Raw Data'!H495</f>
        <v>0</v>
      </c>
      <c r="H495" s="6" t="n">
        <f aca="false">'Raw Data'!I495</f>
        <v>0</v>
      </c>
      <c r="I495" s="6" t="n">
        <f aca="false">'Raw Data'!J495</f>
        <v>0</v>
      </c>
      <c r="J495" s="6" t="n">
        <f aca="false">'Raw Data'!K495</f>
        <v>2</v>
      </c>
      <c r="K495" s="6" t="n">
        <f aca="false">'Raw Data'!L495</f>
        <v>0</v>
      </c>
      <c r="L495" s="6" t="n">
        <f aca="false">F495*E495</f>
        <v>0</v>
      </c>
      <c r="N495" s="0" t="n">
        <v>1</v>
      </c>
      <c r="O495" s="6" t="n">
        <f aca="false">D495</f>
        <v>3.096</v>
      </c>
      <c r="P495" s="6" t="n">
        <f aca="false">E495</f>
        <v>0</v>
      </c>
      <c r="Q495" s="6" t="n">
        <f aca="false">F495</f>
        <v>0</v>
      </c>
      <c r="R495" s="6" t="n">
        <f aca="false">G495</f>
        <v>0</v>
      </c>
      <c r="S495" s="6" t="n">
        <f aca="false">H495</f>
        <v>0</v>
      </c>
      <c r="T495" s="6" t="n">
        <f aca="false">I495</f>
        <v>0</v>
      </c>
      <c r="U495" s="6" t="n">
        <f aca="false">L495</f>
        <v>0</v>
      </c>
      <c r="W495" s="6" t="n">
        <f aca="false">D495</f>
        <v>3.096</v>
      </c>
      <c r="X495" s="6" t="n">
        <f aca="false">E495</f>
        <v>0</v>
      </c>
      <c r="Y495" s="6" t="n">
        <f aca="false">F495</f>
        <v>0</v>
      </c>
      <c r="Z495" s="6" t="n">
        <f aca="false">L495</f>
        <v>0</v>
      </c>
      <c r="AA495" s="6" t="n">
        <f aca="false">G495</f>
        <v>0</v>
      </c>
      <c r="AC495" s="6" t="n">
        <f aca="false">D495</f>
        <v>3.096</v>
      </c>
      <c r="AD495" s="6" t="n">
        <f aca="false">E495</f>
        <v>0</v>
      </c>
      <c r="AE495" s="6" t="n">
        <f aca="false">G495</f>
        <v>0</v>
      </c>
      <c r="AF495" s="6" t="n">
        <f aca="false">H495</f>
        <v>0</v>
      </c>
      <c r="AG495" s="6" t="n">
        <f aca="false">I495</f>
        <v>0</v>
      </c>
      <c r="AH495" s="6" t="n">
        <f aca="false">L495</f>
        <v>0</v>
      </c>
    </row>
    <row r="496" customFormat="false" ht="15" hidden="false" customHeight="false" outlineLevel="0" collapsed="false">
      <c r="A496" s="0" t="str">
        <f aca="false">'Raw Data'!C496</f>
        <v>Bellingham</v>
      </c>
      <c r="B496" s="5" t="n">
        <f aca="false">'Raw Data'!A496</f>
        <v>40372</v>
      </c>
      <c r="C496" s="6" t="n">
        <f aca="false">'Raw Data'!D496</f>
        <v>241.452942534632</v>
      </c>
      <c r="D496" s="6" t="n">
        <f aca="false">'Raw Data'!E496</f>
        <v>3.096</v>
      </c>
      <c r="E496" s="6" t="n">
        <f aca="false">'Raw Data'!F496</f>
        <v>0</v>
      </c>
      <c r="F496" s="6" t="n">
        <f aca="false">'Raw Data'!G496</f>
        <v>0</v>
      </c>
      <c r="G496" s="6" t="n">
        <f aca="false">'Raw Data'!H496</f>
        <v>0</v>
      </c>
      <c r="H496" s="6" t="n">
        <f aca="false">'Raw Data'!I496</f>
        <v>0</v>
      </c>
      <c r="I496" s="6" t="n">
        <f aca="false">'Raw Data'!J496</f>
        <v>0</v>
      </c>
      <c r="J496" s="6" t="n">
        <f aca="false">'Raw Data'!K496</f>
        <v>2</v>
      </c>
      <c r="K496" s="6" t="n">
        <f aca="false">'Raw Data'!L496</f>
        <v>0</v>
      </c>
      <c r="L496" s="6" t="n">
        <f aca="false">F496*E496</f>
        <v>0</v>
      </c>
      <c r="N496" s="0" t="n">
        <v>1</v>
      </c>
      <c r="O496" s="6" t="n">
        <f aca="false">D496</f>
        <v>3.096</v>
      </c>
      <c r="P496" s="6" t="n">
        <f aca="false">E496</f>
        <v>0</v>
      </c>
      <c r="Q496" s="6" t="n">
        <f aca="false">F496</f>
        <v>0</v>
      </c>
      <c r="R496" s="6" t="n">
        <f aca="false">G496</f>
        <v>0</v>
      </c>
      <c r="S496" s="6" t="n">
        <f aca="false">H496</f>
        <v>0</v>
      </c>
      <c r="T496" s="6" t="n">
        <f aca="false">I496</f>
        <v>0</v>
      </c>
      <c r="U496" s="6" t="n">
        <f aca="false">L496</f>
        <v>0</v>
      </c>
      <c r="W496" s="6" t="n">
        <f aca="false">D496</f>
        <v>3.096</v>
      </c>
      <c r="X496" s="6" t="n">
        <f aca="false">E496</f>
        <v>0</v>
      </c>
      <c r="Y496" s="6" t="n">
        <f aca="false">F496</f>
        <v>0</v>
      </c>
      <c r="Z496" s="6" t="n">
        <f aca="false">L496</f>
        <v>0</v>
      </c>
      <c r="AA496" s="6" t="n">
        <f aca="false">G496</f>
        <v>0</v>
      </c>
      <c r="AC496" s="6" t="n">
        <f aca="false">D496</f>
        <v>3.096</v>
      </c>
      <c r="AD496" s="6" t="n">
        <f aca="false">E496</f>
        <v>0</v>
      </c>
      <c r="AE496" s="6" t="n">
        <f aca="false">G496</f>
        <v>0</v>
      </c>
      <c r="AF496" s="6" t="n">
        <f aca="false">H496</f>
        <v>0</v>
      </c>
      <c r="AG496" s="6" t="n">
        <f aca="false">I496</f>
        <v>0</v>
      </c>
      <c r="AH496" s="6" t="n">
        <f aca="false">L496</f>
        <v>0</v>
      </c>
    </row>
    <row r="497" customFormat="false" ht="15" hidden="false" customHeight="false" outlineLevel="0" collapsed="false">
      <c r="A497" s="0" t="str">
        <f aca="false">'Raw Data'!C497</f>
        <v>Cranston (aka Garden City Center)</v>
      </c>
      <c r="B497" s="5" t="n">
        <f aca="false">'Raw Data'!A497</f>
        <v>40302</v>
      </c>
      <c r="C497" s="6" t="n">
        <f aca="false">'Raw Data'!D497</f>
        <v>170.869653251196</v>
      </c>
      <c r="D497" s="6" t="n">
        <f aca="false">'Raw Data'!E497</f>
        <v>4.204285714</v>
      </c>
      <c r="E497" s="6" t="n">
        <f aca="false">'Raw Data'!F497</f>
        <v>0</v>
      </c>
      <c r="F497" s="6" t="n">
        <f aca="false">'Raw Data'!G497</f>
        <v>0</v>
      </c>
      <c r="G497" s="6" t="n">
        <f aca="false">'Raw Data'!H497</f>
        <v>0</v>
      </c>
      <c r="H497" s="6" t="n">
        <f aca="false">'Raw Data'!I497</f>
        <v>0</v>
      </c>
      <c r="I497" s="6" t="n">
        <f aca="false">'Raw Data'!J497</f>
        <v>0</v>
      </c>
      <c r="J497" s="6" t="n">
        <f aca="false">'Raw Data'!K497</f>
        <v>1</v>
      </c>
      <c r="K497" s="6" t="n">
        <f aca="false">'Raw Data'!L497</f>
        <v>1</v>
      </c>
      <c r="L497" s="6" t="n">
        <f aca="false">F497*E497</f>
        <v>0</v>
      </c>
      <c r="N497" s="0" t="n">
        <v>1</v>
      </c>
      <c r="O497" s="6" t="n">
        <f aca="false">D497</f>
        <v>4.204285714</v>
      </c>
      <c r="P497" s="6" t="n">
        <f aca="false">E497</f>
        <v>0</v>
      </c>
      <c r="Q497" s="6" t="n">
        <f aca="false">F497</f>
        <v>0</v>
      </c>
      <c r="R497" s="6" t="n">
        <f aca="false">G497</f>
        <v>0</v>
      </c>
      <c r="S497" s="6" t="n">
        <f aca="false">H497</f>
        <v>0</v>
      </c>
      <c r="T497" s="6" t="n">
        <f aca="false">I497</f>
        <v>0</v>
      </c>
      <c r="U497" s="6" t="n">
        <f aca="false">L497</f>
        <v>0</v>
      </c>
      <c r="W497" s="6" t="n">
        <f aca="false">D497</f>
        <v>4.204285714</v>
      </c>
      <c r="X497" s="6" t="n">
        <f aca="false">E497</f>
        <v>0</v>
      </c>
      <c r="Y497" s="6" t="n">
        <f aca="false">F497</f>
        <v>0</v>
      </c>
      <c r="Z497" s="6" t="n">
        <f aca="false">L497</f>
        <v>0</v>
      </c>
      <c r="AA497" s="6" t="n">
        <f aca="false">G497</f>
        <v>0</v>
      </c>
      <c r="AC497" s="6" t="n">
        <f aca="false">D497</f>
        <v>4.204285714</v>
      </c>
      <c r="AD497" s="6" t="n">
        <f aca="false">E497</f>
        <v>0</v>
      </c>
      <c r="AE497" s="6" t="n">
        <f aca="false">G497</f>
        <v>0</v>
      </c>
      <c r="AF497" s="6" t="n">
        <f aca="false">H497</f>
        <v>0</v>
      </c>
      <c r="AG497" s="6" t="n">
        <f aca="false">I497</f>
        <v>0</v>
      </c>
      <c r="AH497" s="6" t="n">
        <f aca="false">L497</f>
        <v>0</v>
      </c>
    </row>
    <row r="498" customFormat="false" ht="15" hidden="false" customHeight="false" outlineLevel="0" collapsed="false">
      <c r="A498" s="0" t="str">
        <f aca="false">'Raw Data'!C498</f>
        <v>Cranston (aka Garden City Center)</v>
      </c>
      <c r="B498" s="5" t="n">
        <f aca="false">'Raw Data'!A498</f>
        <v>40309</v>
      </c>
      <c r="C498" s="6" t="n">
        <f aca="false">'Raw Data'!D498</f>
        <v>181.321860676307</v>
      </c>
      <c r="D498" s="6" t="n">
        <f aca="false">'Raw Data'!E498</f>
        <v>4.144285714</v>
      </c>
      <c r="E498" s="6" t="n">
        <f aca="false">'Raw Data'!F498</f>
        <v>0</v>
      </c>
      <c r="F498" s="6" t="n">
        <f aca="false">'Raw Data'!G498</f>
        <v>0</v>
      </c>
      <c r="G498" s="6" t="n">
        <f aca="false">'Raw Data'!H498</f>
        <v>0</v>
      </c>
      <c r="H498" s="6" t="n">
        <f aca="false">'Raw Data'!I498</f>
        <v>0</v>
      </c>
      <c r="I498" s="6" t="n">
        <f aca="false">'Raw Data'!J498</f>
        <v>0</v>
      </c>
      <c r="J498" s="6" t="n">
        <f aca="false">'Raw Data'!K498</f>
        <v>1</v>
      </c>
      <c r="K498" s="6" t="n">
        <f aca="false">'Raw Data'!L498</f>
        <v>1</v>
      </c>
      <c r="L498" s="6" t="n">
        <f aca="false">F498*E498</f>
        <v>0</v>
      </c>
      <c r="N498" s="0" t="n">
        <v>1</v>
      </c>
      <c r="O498" s="6" t="n">
        <f aca="false">D498</f>
        <v>4.144285714</v>
      </c>
      <c r="P498" s="6" t="n">
        <f aca="false">E498</f>
        <v>0</v>
      </c>
      <c r="Q498" s="6" t="n">
        <f aca="false">F498</f>
        <v>0</v>
      </c>
      <c r="R498" s="6" t="n">
        <f aca="false">G498</f>
        <v>0</v>
      </c>
      <c r="S498" s="6" t="n">
        <f aca="false">H498</f>
        <v>0</v>
      </c>
      <c r="T498" s="6" t="n">
        <f aca="false">I498</f>
        <v>0</v>
      </c>
      <c r="U498" s="6" t="n">
        <f aca="false">L498</f>
        <v>0</v>
      </c>
      <c r="W498" s="6" t="n">
        <f aca="false">D498</f>
        <v>4.144285714</v>
      </c>
      <c r="X498" s="6" t="n">
        <f aca="false">E498</f>
        <v>0</v>
      </c>
      <c r="Y498" s="6" t="n">
        <f aca="false">F498</f>
        <v>0</v>
      </c>
      <c r="Z498" s="6" t="n">
        <f aca="false">L498</f>
        <v>0</v>
      </c>
      <c r="AA498" s="6" t="n">
        <f aca="false">G498</f>
        <v>0</v>
      </c>
      <c r="AC498" s="6" t="n">
        <f aca="false">D498</f>
        <v>4.144285714</v>
      </c>
      <c r="AD498" s="6" t="n">
        <f aca="false">E498</f>
        <v>0</v>
      </c>
      <c r="AE498" s="6" t="n">
        <f aca="false">G498</f>
        <v>0</v>
      </c>
      <c r="AF498" s="6" t="n">
        <f aca="false">H498</f>
        <v>0</v>
      </c>
      <c r="AG498" s="6" t="n">
        <f aca="false">I498</f>
        <v>0</v>
      </c>
      <c r="AH498" s="6" t="n">
        <f aca="false">L498</f>
        <v>0</v>
      </c>
    </row>
    <row r="499" customFormat="false" ht="15" hidden="false" customHeight="false" outlineLevel="0" collapsed="false">
      <c r="A499" s="0" t="str">
        <f aca="false">'Raw Data'!C499</f>
        <v>Cranston (aka Garden City Center)</v>
      </c>
      <c r="B499" s="5" t="n">
        <f aca="false">'Raw Data'!A499</f>
        <v>40316</v>
      </c>
      <c r="C499" s="6" t="n">
        <f aca="false">'Raw Data'!D499</f>
        <v>207.629133814365</v>
      </c>
      <c r="D499" s="6" t="n">
        <f aca="false">'Raw Data'!E499</f>
        <v>3.861428571</v>
      </c>
      <c r="E499" s="6" t="n">
        <f aca="false">'Raw Data'!F499</f>
        <v>0</v>
      </c>
      <c r="F499" s="6" t="n">
        <f aca="false">'Raw Data'!G499</f>
        <v>0</v>
      </c>
      <c r="G499" s="6" t="n">
        <f aca="false">'Raw Data'!H499</f>
        <v>0</v>
      </c>
      <c r="H499" s="6" t="n">
        <f aca="false">'Raw Data'!I499</f>
        <v>0</v>
      </c>
      <c r="I499" s="6" t="n">
        <f aca="false">'Raw Data'!J499</f>
        <v>0</v>
      </c>
      <c r="J499" s="6" t="n">
        <f aca="false">'Raw Data'!K499</f>
        <v>1</v>
      </c>
      <c r="K499" s="6" t="n">
        <f aca="false">'Raw Data'!L499</f>
        <v>1</v>
      </c>
      <c r="L499" s="6" t="n">
        <f aca="false">F499*E499</f>
        <v>0</v>
      </c>
      <c r="N499" s="0" t="n">
        <v>1</v>
      </c>
      <c r="O499" s="6" t="n">
        <f aca="false">D499</f>
        <v>3.861428571</v>
      </c>
      <c r="P499" s="6" t="n">
        <f aca="false">E499</f>
        <v>0</v>
      </c>
      <c r="Q499" s="6" t="n">
        <f aca="false">F499</f>
        <v>0</v>
      </c>
      <c r="R499" s="6" t="n">
        <f aca="false">G499</f>
        <v>0</v>
      </c>
      <c r="S499" s="6" t="n">
        <f aca="false">H499</f>
        <v>0</v>
      </c>
      <c r="T499" s="6" t="n">
        <f aca="false">I499</f>
        <v>0</v>
      </c>
      <c r="U499" s="6" t="n">
        <f aca="false">L499</f>
        <v>0</v>
      </c>
      <c r="W499" s="6" t="n">
        <f aca="false">D499</f>
        <v>3.861428571</v>
      </c>
      <c r="X499" s="6" t="n">
        <f aca="false">E499</f>
        <v>0</v>
      </c>
      <c r="Y499" s="6" t="n">
        <f aca="false">F499</f>
        <v>0</v>
      </c>
      <c r="Z499" s="6" t="n">
        <f aca="false">L499</f>
        <v>0</v>
      </c>
      <c r="AA499" s="6" t="n">
        <f aca="false">G499</f>
        <v>0</v>
      </c>
      <c r="AC499" s="6" t="n">
        <f aca="false">D499</f>
        <v>3.861428571</v>
      </c>
      <c r="AD499" s="6" t="n">
        <f aca="false">E499</f>
        <v>0</v>
      </c>
      <c r="AE499" s="6" t="n">
        <f aca="false">G499</f>
        <v>0</v>
      </c>
      <c r="AF499" s="6" t="n">
        <f aca="false">H499</f>
        <v>0</v>
      </c>
      <c r="AG499" s="6" t="n">
        <f aca="false">I499</f>
        <v>0</v>
      </c>
      <c r="AH499" s="6" t="n">
        <f aca="false">L499</f>
        <v>0</v>
      </c>
    </row>
    <row r="500" customFormat="false" ht="15" hidden="false" customHeight="false" outlineLevel="0" collapsed="false">
      <c r="A500" s="0" t="str">
        <f aca="false">'Raw Data'!C500</f>
        <v>Cranston (aka Garden City Center)</v>
      </c>
      <c r="B500" s="5" t="n">
        <f aca="false">'Raw Data'!A500</f>
        <v>40323</v>
      </c>
      <c r="C500" s="6" t="n">
        <f aca="false">'Raw Data'!D500</f>
        <v>275.83140617629</v>
      </c>
      <c r="D500" s="6" t="n">
        <f aca="false">'Raw Data'!E500</f>
        <v>3.861428571</v>
      </c>
      <c r="E500" s="6" t="n">
        <f aca="false">'Raw Data'!F500</f>
        <v>0</v>
      </c>
      <c r="F500" s="6" t="n">
        <f aca="false">'Raw Data'!G500</f>
        <v>0</v>
      </c>
      <c r="G500" s="6" t="n">
        <f aca="false">'Raw Data'!H500</f>
        <v>0</v>
      </c>
      <c r="H500" s="6" t="n">
        <f aca="false">'Raw Data'!I500</f>
        <v>0</v>
      </c>
      <c r="I500" s="6" t="n">
        <f aca="false">'Raw Data'!J500</f>
        <v>0</v>
      </c>
      <c r="J500" s="6" t="n">
        <f aca="false">'Raw Data'!K500</f>
        <v>1</v>
      </c>
      <c r="K500" s="6" t="n">
        <f aca="false">'Raw Data'!L500</f>
        <v>1</v>
      </c>
      <c r="L500" s="6" t="n">
        <f aca="false">F500*E500</f>
        <v>0</v>
      </c>
      <c r="N500" s="0" t="n">
        <v>1</v>
      </c>
      <c r="O500" s="6" t="n">
        <f aca="false">D500</f>
        <v>3.861428571</v>
      </c>
      <c r="P500" s="6" t="n">
        <f aca="false">E500</f>
        <v>0</v>
      </c>
      <c r="Q500" s="6" t="n">
        <f aca="false">F500</f>
        <v>0</v>
      </c>
      <c r="R500" s="6" t="n">
        <f aca="false">G500</f>
        <v>0</v>
      </c>
      <c r="S500" s="6" t="n">
        <f aca="false">H500</f>
        <v>0</v>
      </c>
      <c r="T500" s="6" t="n">
        <f aca="false">I500</f>
        <v>0</v>
      </c>
      <c r="U500" s="6" t="n">
        <f aca="false">L500</f>
        <v>0</v>
      </c>
      <c r="W500" s="6" t="n">
        <f aca="false">D500</f>
        <v>3.861428571</v>
      </c>
      <c r="X500" s="6" t="n">
        <f aca="false">E500</f>
        <v>0</v>
      </c>
      <c r="Y500" s="6" t="n">
        <f aca="false">F500</f>
        <v>0</v>
      </c>
      <c r="Z500" s="6" t="n">
        <f aca="false">L500</f>
        <v>0</v>
      </c>
      <c r="AA500" s="6" t="n">
        <f aca="false">G500</f>
        <v>0</v>
      </c>
      <c r="AC500" s="6" t="n">
        <f aca="false">D500</f>
        <v>3.861428571</v>
      </c>
      <c r="AD500" s="6" t="n">
        <f aca="false">E500</f>
        <v>0</v>
      </c>
      <c r="AE500" s="6" t="n">
        <f aca="false">G500</f>
        <v>0</v>
      </c>
      <c r="AF500" s="6" t="n">
        <f aca="false">H500</f>
        <v>0</v>
      </c>
      <c r="AG500" s="6" t="n">
        <f aca="false">I500</f>
        <v>0</v>
      </c>
      <c r="AH500" s="6" t="n">
        <f aca="false">L500</f>
        <v>0</v>
      </c>
    </row>
    <row r="501" customFormat="false" ht="15" hidden="false" customHeight="false" outlineLevel="0" collapsed="false">
      <c r="A501" s="0" t="str">
        <f aca="false">'Raw Data'!C501</f>
        <v>Cranston (aka Garden City Center)</v>
      </c>
      <c r="B501" s="5" t="n">
        <f aca="false">'Raw Data'!A501</f>
        <v>40330</v>
      </c>
      <c r="C501" s="6" t="n">
        <f aca="false">'Raw Data'!D501</f>
        <v>265.699112308127</v>
      </c>
      <c r="D501" s="6" t="n">
        <f aca="false">'Raw Data'!E501</f>
        <v>3.861428571</v>
      </c>
      <c r="E501" s="6" t="n">
        <f aca="false">'Raw Data'!F501</f>
        <v>0</v>
      </c>
      <c r="F501" s="6" t="n">
        <f aca="false">'Raw Data'!G501</f>
        <v>0</v>
      </c>
      <c r="G501" s="6" t="n">
        <f aca="false">'Raw Data'!H501</f>
        <v>0</v>
      </c>
      <c r="H501" s="6" t="n">
        <f aca="false">'Raw Data'!I501</f>
        <v>0</v>
      </c>
      <c r="I501" s="6" t="n">
        <f aca="false">'Raw Data'!J501</f>
        <v>0</v>
      </c>
      <c r="J501" s="6" t="n">
        <f aca="false">'Raw Data'!K501</f>
        <v>1</v>
      </c>
      <c r="K501" s="6" t="n">
        <f aca="false">'Raw Data'!L501</f>
        <v>1</v>
      </c>
      <c r="L501" s="6" t="n">
        <f aca="false">F501*E501</f>
        <v>0</v>
      </c>
      <c r="N501" s="0" t="n">
        <v>1</v>
      </c>
      <c r="O501" s="6" t="n">
        <f aca="false">D501</f>
        <v>3.861428571</v>
      </c>
      <c r="P501" s="6" t="n">
        <f aca="false">E501</f>
        <v>0</v>
      </c>
      <c r="Q501" s="6" t="n">
        <f aca="false">F501</f>
        <v>0</v>
      </c>
      <c r="R501" s="6" t="n">
        <f aca="false">G501</f>
        <v>0</v>
      </c>
      <c r="S501" s="6" t="n">
        <f aca="false">H501</f>
        <v>0</v>
      </c>
      <c r="T501" s="6" t="n">
        <f aca="false">I501</f>
        <v>0</v>
      </c>
      <c r="U501" s="6" t="n">
        <f aca="false">L501</f>
        <v>0</v>
      </c>
      <c r="W501" s="6" t="n">
        <f aca="false">D501</f>
        <v>3.861428571</v>
      </c>
      <c r="X501" s="6" t="n">
        <f aca="false">E501</f>
        <v>0</v>
      </c>
      <c r="Y501" s="6" t="n">
        <f aca="false">F501</f>
        <v>0</v>
      </c>
      <c r="Z501" s="6" t="n">
        <f aca="false">L501</f>
        <v>0</v>
      </c>
      <c r="AA501" s="6" t="n">
        <f aca="false">G501</f>
        <v>0</v>
      </c>
      <c r="AC501" s="6" t="n">
        <f aca="false">D501</f>
        <v>3.861428571</v>
      </c>
      <c r="AD501" s="6" t="n">
        <f aca="false">E501</f>
        <v>0</v>
      </c>
      <c r="AE501" s="6" t="n">
        <f aca="false">G501</f>
        <v>0</v>
      </c>
      <c r="AF501" s="6" t="n">
        <f aca="false">H501</f>
        <v>0</v>
      </c>
      <c r="AG501" s="6" t="n">
        <f aca="false">I501</f>
        <v>0</v>
      </c>
      <c r="AH501" s="6" t="n">
        <f aca="false">L501</f>
        <v>0</v>
      </c>
    </row>
    <row r="502" customFormat="false" ht="15" hidden="false" customHeight="false" outlineLevel="0" collapsed="false">
      <c r="A502" s="0" t="str">
        <f aca="false">'Raw Data'!C502</f>
        <v>Cranston (aka Garden City Center)</v>
      </c>
      <c r="B502" s="5" t="n">
        <f aca="false">'Raw Data'!A502</f>
        <v>40337</v>
      </c>
      <c r="C502" s="6" t="n">
        <f aca="false">'Raw Data'!D502</f>
        <v>175.779947873571</v>
      </c>
      <c r="D502" s="6" t="n">
        <f aca="false">'Raw Data'!E502</f>
        <v>4.204285714</v>
      </c>
      <c r="E502" s="6" t="n">
        <f aca="false">'Raw Data'!F502</f>
        <v>0</v>
      </c>
      <c r="F502" s="6" t="n">
        <f aca="false">'Raw Data'!G502</f>
        <v>0</v>
      </c>
      <c r="G502" s="6" t="n">
        <f aca="false">'Raw Data'!H502</f>
        <v>0</v>
      </c>
      <c r="H502" s="6" t="n">
        <f aca="false">'Raw Data'!I502</f>
        <v>0</v>
      </c>
      <c r="I502" s="6" t="n">
        <f aca="false">'Raw Data'!J502</f>
        <v>0</v>
      </c>
      <c r="J502" s="6" t="n">
        <f aca="false">'Raw Data'!K502</f>
        <v>1</v>
      </c>
      <c r="K502" s="6" t="n">
        <f aca="false">'Raw Data'!L502</f>
        <v>1</v>
      </c>
      <c r="L502" s="6" t="n">
        <f aca="false">F502*E502</f>
        <v>0</v>
      </c>
      <c r="N502" s="0" t="n">
        <v>1</v>
      </c>
      <c r="O502" s="6" t="n">
        <f aca="false">D502</f>
        <v>4.204285714</v>
      </c>
      <c r="P502" s="6" t="n">
        <f aca="false">E502</f>
        <v>0</v>
      </c>
      <c r="Q502" s="6" t="n">
        <f aca="false">F502</f>
        <v>0</v>
      </c>
      <c r="R502" s="6" t="n">
        <f aca="false">G502</f>
        <v>0</v>
      </c>
      <c r="S502" s="6" t="n">
        <f aca="false">H502</f>
        <v>0</v>
      </c>
      <c r="T502" s="6" t="n">
        <f aca="false">I502</f>
        <v>0</v>
      </c>
      <c r="U502" s="6" t="n">
        <f aca="false">L502</f>
        <v>0</v>
      </c>
      <c r="W502" s="6" t="n">
        <f aca="false">D502</f>
        <v>4.204285714</v>
      </c>
      <c r="X502" s="6" t="n">
        <f aca="false">E502</f>
        <v>0</v>
      </c>
      <c r="Y502" s="6" t="n">
        <f aca="false">F502</f>
        <v>0</v>
      </c>
      <c r="Z502" s="6" t="n">
        <f aca="false">L502</f>
        <v>0</v>
      </c>
      <c r="AA502" s="6" t="n">
        <f aca="false">G502</f>
        <v>0</v>
      </c>
      <c r="AC502" s="6" t="n">
        <f aca="false">D502</f>
        <v>4.204285714</v>
      </c>
      <c r="AD502" s="6" t="n">
        <f aca="false">E502</f>
        <v>0</v>
      </c>
      <c r="AE502" s="6" t="n">
        <f aca="false">G502</f>
        <v>0</v>
      </c>
      <c r="AF502" s="6" t="n">
        <f aca="false">H502</f>
        <v>0</v>
      </c>
      <c r="AG502" s="6" t="n">
        <f aca="false">I502</f>
        <v>0</v>
      </c>
      <c r="AH502" s="6" t="n">
        <f aca="false">L502</f>
        <v>0</v>
      </c>
    </row>
    <row r="503" customFormat="false" ht="15" hidden="false" customHeight="false" outlineLevel="0" collapsed="false">
      <c r="A503" s="0" t="str">
        <f aca="false">'Raw Data'!C503</f>
        <v>Cranston (aka Garden City Center)</v>
      </c>
      <c r="B503" s="5" t="n">
        <f aca="false">'Raw Data'!A503</f>
        <v>40344</v>
      </c>
      <c r="C503" s="6" t="n">
        <f aca="false">'Raw Data'!D503</f>
        <v>259.857644050599</v>
      </c>
      <c r="D503" s="6" t="n">
        <f aca="false">'Raw Data'!E503</f>
        <v>4.204285714</v>
      </c>
      <c r="E503" s="6" t="n">
        <f aca="false">'Raw Data'!F503</f>
        <v>0</v>
      </c>
      <c r="F503" s="6" t="n">
        <f aca="false">'Raw Data'!G503</f>
        <v>0</v>
      </c>
      <c r="G503" s="6" t="n">
        <f aca="false">'Raw Data'!H503</f>
        <v>0</v>
      </c>
      <c r="H503" s="6" t="n">
        <f aca="false">'Raw Data'!I503</f>
        <v>0</v>
      </c>
      <c r="I503" s="6" t="n">
        <f aca="false">'Raw Data'!J503</f>
        <v>0</v>
      </c>
      <c r="J503" s="6" t="n">
        <f aca="false">'Raw Data'!K503</f>
        <v>1</v>
      </c>
      <c r="K503" s="6" t="n">
        <f aca="false">'Raw Data'!L503</f>
        <v>1</v>
      </c>
      <c r="L503" s="6" t="n">
        <f aca="false">F503*E503</f>
        <v>0</v>
      </c>
      <c r="N503" s="0" t="n">
        <v>1</v>
      </c>
      <c r="O503" s="6" t="n">
        <f aca="false">D503</f>
        <v>4.204285714</v>
      </c>
      <c r="P503" s="6" t="n">
        <f aca="false">E503</f>
        <v>0</v>
      </c>
      <c r="Q503" s="6" t="n">
        <f aca="false">F503</f>
        <v>0</v>
      </c>
      <c r="R503" s="6" t="n">
        <f aca="false">G503</f>
        <v>0</v>
      </c>
      <c r="S503" s="6" t="n">
        <f aca="false">H503</f>
        <v>0</v>
      </c>
      <c r="T503" s="6" t="n">
        <f aca="false">I503</f>
        <v>0</v>
      </c>
      <c r="U503" s="6" t="n">
        <f aca="false">L503</f>
        <v>0</v>
      </c>
      <c r="W503" s="6" t="n">
        <f aca="false">D503</f>
        <v>4.204285714</v>
      </c>
      <c r="X503" s="6" t="n">
        <f aca="false">E503</f>
        <v>0</v>
      </c>
      <c r="Y503" s="6" t="n">
        <f aca="false">F503</f>
        <v>0</v>
      </c>
      <c r="Z503" s="6" t="n">
        <f aca="false">L503</f>
        <v>0</v>
      </c>
      <c r="AA503" s="6" t="n">
        <f aca="false">G503</f>
        <v>0</v>
      </c>
      <c r="AC503" s="6" t="n">
        <f aca="false">D503</f>
        <v>4.204285714</v>
      </c>
      <c r="AD503" s="6" t="n">
        <f aca="false">E503</f>
        <v>0</v>
      </c>
      <c r="AE503" s="6" t="n">
        <f aca="false">G503</f>
        <v>0</v>
      </c>
      <c r="AF503" s="6" t="n">
        <f aca="false">H503</f>
        <v>0</v>
      </c>
      <c r="AG503" s="6" t="n">
        <f aca="false">I503</f>
        <v>0</v>
      </c>
      <c r="AH503" s="6" t="n">
        <f aca="false">L503</f>
        <v>0</v>
      </c>
    </row>
    <row r="504" customFormat="false" ht="15" hidden="false" customHeight="false" outlineLevel="0" collapsed="false">
      <c r="A504" s="0" t="str">
        <f aca="false">'Raw Data'!C504</f>
        <v>Cranston (aka Garden City Center)</v>
      </c>
      <c r="B504" s="5" t="n">
        <f aca="false">'Raw Data'!A504</f>
        <v>40351</v>
      </c>
      <c r="C504" s="6" t="n">
        <f aca="false">'Raw Data'!D504</f>
        <v>178.217582102709</v>
      </c>
      <c r="D504" s="6" t="n">
        <f aca="false">'Raw Data'!E504</f>
        <v>4.204285714</v>
      </c>
      <c r="E504" s="6" t="n">
        <f aca="false">'Raw Data'!F504</f>
        <v>0</v>
      </c>
      <c r="F504" s="6" t="n">
        <f aca="false">'Raw Data'!G504</f>
        <v>0</v>
      </c>
      <c r="G504" s="6" t="n">
        <f aca="false">'Raw Data'!H504</f>
        <v>0</v>
      </c>
      <c r="H504" s="6" t="n">
        <f aca="false">'Raw Data'!I504</f>
        <v>0</v>
      </c>
      <c r="I504" s="6" t="n">
        <f aca="false">'Raw Data'!J504</f>
        <v>0</v>
      </c>
      <c r="J504" s="6" t="n">
        <f aca="false">'Raw Data'!K504</f>
        <v>1</v>
      </c>
      <c r="K504" s="6" t="n">
        <f aca="false">'Raw Data'!L504</f>
        <v>1</v>
      </c>
      <c r="L504" s="6" t="n">
        <f aca="false">F504*E504</f>
        <v>0</v>
      </c>
      <c r="N504" s="0" t="n">
        <v>1</v>
      </c>
      <c r="O504" s="6" t="n">
        <f aca="false">D504</f>
        <v>4.204285714</v>
      </c>
      <c r="P504" s="6" t="n">
        <f aca="false">E504</f>
        <v>0</v>
      </c>
      <c r="Q504" s="6" t="n">
        <f aca="false">F504</f>
        <v>0</v>
      </c>
      <c r="R504" s="6" t="n">
        <f aca="false">G504</f>
        <v>0</v>
      </c>
      <c r="S504" s="6" t="n">
        <f aca="false">H504</f>
        <v>0</v>
      </c>
      <c r="T504" s="6" t="n">
        <f aca="false">I504</f>
        <v>0</v>
      </c>
      <c r="U504" s="6" t="n">
        <f aca="false">L504</f>
        <v>0</v>
      </c>
      <c r="W504" s="6" t="n">
        <f aca="false">D504</f>
        <v>4.204285714</v>
      </c>
      <c r="X504" s="6" t="n">
        <f aca="false">E504</f>
        <v>0</v>
      </c>
      <c r="Y504" s="6" t="n">
        <f aca="false">F504</f>
        <v>0</v>
      </c>
      <c r="Z504" s="6" t="n">
        <f aca="false">L504</f>
        <v>0</v>
      </c>
      <c r="AA504" s="6" t="n">
        <f aca="false">G504</f>
        <v>0</v>
      </c>
      <c r="AC504" s="6" t="n">
        <f aca="false">D504</f>
        <v>4.204285714</v>
      </c>
      <c r="AD504" s="6" t="n">
        <f aca="false">E504</f>
        <v>0</v>
      </c>
      <c r="AE504" s="6" t="n">
        <f aca="false">G504</f>
        <v>0</v>
      </c>
      <c r="AF504" s="6" t="n">
        <f aca="false">H504</f>
        <v>0</v>
      </c>
      <c r="AG504" s="6" t="n">
        <f aca="false">I504</f>
        <v>0</v>
      </c>
      <c r="AH504" s="6" t="n">
        <f aca="false">L504</f>
        <v>0</v>
      </c>
    </row>
    <row r="505" customFormat="false" ht="15" hidden="false" customHeight="false" outlineLevel="0" collapsed="false">
      <c r="A505" s="0" t="str">
        <f aca="false">'Raw Data'!C505</f>
        <v>Cranston (aka Garden City Center)</v>
      </c>
      <c r="B505" s="5" t="n">
        <f aca="false">'Raw Data'!A505</f>
        <v>40358</v>
      </c>
      <c r="C505" s="6" t="n">
        <f aca="false">'Raw Data'!D505</f>
        <v>257.449038987498</v>
      </c>
      <c r="D505" s="6" t="n">
        <f aca="false">'Raw Data'!E505</f>
        <v>4.204285714</v>
      </c>
      <c r="E505" s="6" t="n">
        <f aca="false">'Raw Data'!F505</f>
        <v>0</v>
      </c>
      <c r="F505" s="6" t="n">
        <f aca="false">'Raw Data'!G505</f>
        <v>0</v>
      </c>
      <c r="G505" s="6" t="n">
        <f aca="false">'Raw Data'!H505</f>
        <v>0</v>
      </c>
      <c r="H505" s="6" t="n">
        <f aca="false">'Raw Data'!I505</f>
        <v>0</v>
      </c>
      <c r="I505" s="6" t="n">
        <f aca="false">'Raw Data'!J505</f>
        <v>0</v>
      </c>
      <c r="J505" s="6" t="n">
        <f aca="false">'Raw Data'!K505</f>
        <v>1</v>
      </c>
      <c r="K505" s="6" t="n">
        <f aca="false">'Raw Data'!L505</f>
        <v>1</v>
      </c>
      <c r="L505" s="6" t="n">
        <f aca="false">F505*E505</f>
        <v>0</v>
      </c>
      <c r="N505" s="0" t="n">
        <v>1</v>
      </c>
      <c r="O505" s="6" t="n">
        <f aca="false">D505</f>
        <v>4.204285714</v>
      </c>
      <c r="P505" s="6" t="n">
        <f aca="false">E505</f>
        <v>0</v>
      </c>
      <c r="Q505" s="6" t="n">
        <f aca="false">F505</f>
        <v>0</v>
      </c>
      <c r="R505" s="6" t="n">
        <f aca="false">G505</f>
        <v>0</v>
      </c>
      <c r="S505" s="6" t="n">
        <f aca="false">H505</f>
        <v>0</v>
      </c>
      <c r="T505" s="6" t="n">
        <f aca="false">I505</f>
        <v>0</v>
      </c>
      <c r="U505" s="6" t="n">
        <f aca="false">L505</f>
        <v>0</v>
      </c>
      <c r="W505" s="6" t="n">
        <f aca="false">D505</f>
        <v>4.204285714</v>
      </c>
      <c r="X505" s="6" t="n">
        <f aca="false">E505</f>
        <v>0</v>
      </c>
      <c r="Y505" s="6" t="n">
        <f aca="false">F505</f>
        <v>0</v>
      </c>
      <c r="Z505" s="6" t="n">
        <f aca="false">L505</f>
        <v>0</v>
      </c>
      <c r="AA505" s="6" t="n">
        <f aca="false">G505</f>
        <v>0</v>
      </c>
      <c r="AC505" s="6" t="n">
        <f aca="false">D505</f>
        <v>4.204285714</v>
      </c>
      <c r="AD505" s="6" t="n">
        <f aca="false">E505</f>
        <v>0</v>
      </c>
      <c r="AE505" s="6" t="n">
        <f aca="false">G505</f>
        <v>0</v>
      </c>
      <c r="AF505" s="6" t="n">
        <f aca="false">H505</f>
        <v>0</v>
      </c>
      <c r="AG505" s="6" t="n">
        <f aca="false">I505</f>
        <v>0</v>
      </c>
      <c r="AH505" s="6" t="n">
        <f aca="false">L505</f>
        <v>0</v>
      </c>
    </row>
    <row r="506" customFormat="false" ht="15" hidden="false" customHeight="false" outlineLevel="0" collapsed="false">
      <c r="A506" s="0" t="str">
        <f aca="false">'Raw Data'!C506</f>
        <v>Cranston (aka Garden City Center)</v>
      </c>
      <c r="B506" s="5" t="n">
        <f aca="false">'Raw Data'!A506</f>
        <v>40365</v>
      </c>
      <c r="C506" s="6" t="n">
        <f aca="false">'Raw Data'!D506</f>
        <v>157.424348231485</v>
      </c>
      <c r="D506" s="6" t="n">
        <f aca="false">'Raw Data'!E506</f>
        <v>3.78</v>
      </c>
      <c r="E506" s="6" t="n">
        <f aca="false">'Raw Data'!F506</f>
        <v>0</v>
      </c>
      <c r="F506" s="6" t="n">
        <f aca="false">'Raw Data'!G506</f>
        <v>0</v>
      </c>
      <c r="G506" s="6" t="n">
        <f aca="false">'Raw Data'!H506</f>
        <v>0</v>
      </c>
      <c r="H506" s="6" t="n">
        <f aca="false">'Raw Data'!I506</f>
        <v>0</v>
      </c>
      <c r="I506" s="6" t="n">
        <f aca="false">'Raw Data'!J506</f>
        <v>0</v>
      </c>
      <c r="J506" s="6" t="n">
        <f aca="false">'Raw Data'!K506</f>
        <v>1</v>
      </c>
      <c r="K506" s="6" t="n">
        <f aca="false">'Raw Data'!L506</f>
        <v>1</v>
      </c>
      <c r="L506" s="6" t="n">
        <f aca="false">F506*E506</f>
        <v>0</v>
      </c>
      <c r="N506" s="0" t="n">
        <v>1</v>
      </c>
      <c r="O506" s="6" t="n">
        <f aca="false">D506</f>
        <v>3.78</v>
      </c>
      <c r="P506" s="6" t="n">
        <f aca="false">E506</f>
        <v>0</v>
      </c>
      <c r="Q506" s="6" t="n">
        <f aca="false">F506</f>
        <v>0</v>
      </c>
      <c r="R506" s="6" t="n">
        <f aca="false">G506</f>
        <v>0</v>
      </c>
      <c r="S506" s="6" t="n">
        <f aca="false">H506</f>
        <v>0</v>
      </c>
      <c r="T506" s="6" t="n">
        <f aca="false">I506</f>
        <v>0</v>
      </c>
      <c r="U506" s="6" t="n">
        <f aca="false">L506</f>
        <v>0</v>
      </c>
      <c r="W506" s="6" t="n">
        <f aca="false">D506</f>
        <v>3.78</v>
      </c>
      <c r="X506" s="6" t="n">
        <f aca="false">E506</f>
        <v>0</v>
      </c>
      <c r="Y506" s="6" t="n">
        <f aca="false">F506</f>
        <v>0</v>
      </c>
      <c r="Z506" s="6" t="n">
        <f aca="false">L506</f>
        <v>0</v>
      </c>
      <c r="AA506" s="6" t="n">
        <f aca="false">G506</f>
        <v>0</v>
      </c>
      <c r="AC506" s="6" t="n">
        <f aca="false">D506</f>
        <v>3.78</v>
      </c>
      <c r="AD506" s="6" t="n">
        <f aca="false">E506</f>
        <v>0</v>
      </c>
      <c r="AE506" s="6" t="n">
        <f aca="false">G506</f>
        <v>0</v>
      </c>
      <c r="AF506" s="6" t="n">
        <f aca="false">H506</f>
        <v>0</v>
      </c>
      <c r="AG506" s="6" t="n">
        <f aca="false">I506</f>
        <v>0</v>
      </c>
      <c r="AH506" s="6" t="n">
        <f aca="false">L506</f>
        <v>0</v>
      </c>
    </row>
    <row r="507" customFormat="false" ht="15" hidden="false" customHeight="false" outlineLevel="0" collapsed="false">
      <c r="A507" s="0" t="str">
        <f aca="false">'Raw Data'!C507</f>
        <v>Cranston (aka Garden City Center)</v>
      </c>
      <c r="B507" s="5" t="n">
        <f aca="false">'Raw Data'!A507</f>
        <v>40372</v>
      </c>
      <c r="C507" s="6" t="n">
        <f aca="false">'Raw Data'!D507</f>
        <v>217.675860325827</v>
      </c>
      <c r="D507" s="6" t="n">
        <f aca="false">'Raw Data'!E507</f>
        <v>3.424285714</v>
      </c>
      <c r="E507" s="6" t="n">
        <f aca="false">'Raw Data'!F507</f>
        <v>0</v>
      </c>
      <c r="F507" s="6" t="n">
        <f aca="false">'Raw Data'!G507</f>
        <v>0</v>
      </c>
      <c r="G507" s="6" t="n">
        <f aca="false">'Raw Data'!H507</f>
        <v>0</v>
      </c>
      <c r="H507" s="6" t="n">
        <f aca="false">'Raw Data'!I507</f>
        <v>0</v>
      </c>
      <c r="I507" s="6" t="n">
        <f aca="false">'Raw Data'!J507</f>
        <v>0</v>
      </c>
      <c r="J507" s="6" t="n">
        <f aca="false">'Raw Data'!K507</f>
        <v>1</v>
      </c>
      <c r="K507" s="6" t="n">
        <f aca="false">'Raw Data'!L507</f>
        <v>1</v>
      </c>
      <c r="L507" s="6" t="n">
        <f aca="false">F507*E507</f>
        <v>0</v>
      </c>
      <c r="N507" s="0" t="n">
        <v>1</v>
      </c>
      <c r="O507" s="6" t="n">
        <f aca="false">D507</f>
        <v>3.424285714</v>
      </c>
      <c r="P507" s="6" t="n">
        <f aca="false">E507</f>
        <v>0</v>
      </c>
      <c r="Q507" s="6" t="n">
        <f aca="false">F507</f>
        <v>0</v>
      </c>
      <c r="R507" s="6" t="n">
        <f aca="false">G507</f>
        <v>0</v>
      </c>
      <c r="S507" s="6" t="n">
        <f aca="false">H507</f>
        <v>0</v>
      </c>
      <c r="T507" s="6" t="n">
        <f aca="false">I507</f>
        <v>0</v>
      </c>
      <c r="U507" s="6" t="n">
        <f aca="false">L507</f>
        <v>0</v>
      </c>
      <c r="W507" s="6" t="n">
        <f aca="false">D507</f>
        <v>3.424285714</v>
      </c>
      <c r="X507" s="6" t="n">
        <f aca="false">E507</f>
        <v>0</v>
      </c>
      <c r="Y507" s="6" t="n">
        <f aca="false">F507</f>
        <v>0</v>
      </c>
      <c r="Z507" s="6" t="n">
        <f aca="false">L507</f>
        <v>0</v>
      </c>
      <c r="AA507" s="6" t="n">
        <f aca="false">G507</f>
        <v>0</v>
      </c>
      <c r="AC507" s="6" t="n">
        <f aca="false">D507</f>
        <v>3.424285714</v>
      </c>
      <c r="AD507" s="6" t="n">
        <f aca="false">E507</f>
        <v>0</v>
      </c>
      <c r="AE507" s="6" t="n">
        <f aca="false">G507</f>
        <v>0</v>
      </c>
      <c r="AF507" s="6" t="n">
        <f aca="false">H507</f>
        <v>0</v>
      </c>
      <c r="AG507" s="6" t="n">
        <f aca="false">I507</f>
        <v>0</v>
      </c>
      <c r="AH507" s="6" t="n">
        <f aca="false">L507</f>
        <v>0</v>
      </c>
    </row>
    <row r="508" customFormat="false" ht="15" hidden="false" customHeight="false" outlineLevel="0" collapsed="false">
      <c r="A508" s="0" t="str">
        <f aca="false">'Raw Data'!C508</f>
        <v>Framingham</v>
      </c>
      <c r="B508" s="5" t="n">
        <f aca="false">'Raw Data'!A508</f>
        <v>40302</v>
      </c>
      <c r="C508" s="6" t="n">
        <f aca="false">'Raw Data'!D508</f>
        <v>111.156143733219</v>
      </c>
      <c r="D508" s="6" t="n">
        <f aca="false">'Raw Data'!E508</f>
        <v>4.204285714</v>
      </c>
      <c r="E508" s="6" t="n">
        <f aca="false">'Raw Data'!F508</f>
        <v>0</v>
      </c>
      <c r="F508" s="6" t="n">
        <f aca="false">'Raw Data'!G508</f>
        <v>0</v>
      </c>
      <c r="G508" s="6" t="n">
        <f aca="false">'Raw Data'!H508</f>
        <v>0</v>
      </c>
      <c r="H508" s="6" t="n">
        <f aca="false">'Raw Data'!I508</f>
        <v>0</v>
      </c>
      <c r="I508" s="6" t="n">
        <f aca="false">'Raw Data'!J508</f>
        <v>0</v>
      </c>
      <c r="J508" s="6" t="n">
        <f aca="false">'Raw Data'!K508</f>
        <v>2</v>
      </c>
      <c r="K508" s="6" t="n">
        <f aca="false">'Raw Data'!L508</f>
        <v>1</v>
      </c>
      <c r="L508" s="6" t="n">
        <f aca="false">F508*E508</f>
        <v>0</v>
      </c>
      <c r="N508" s="0" t="n">
        <v>1</v>
      </c>
      <c r="O508" s="6" t="n">
        <f aca="false">D508</f>
        <v>4.204285714</v>
      </c>
      <c r="P508" s="6" t="n">
        <f aca="false">E508</f>
        <v>0</v>
      </c>
      <c r="Q508" s="6" t="n">
        <f aca="false">F508</f>
        <v>0</v>
      </c>
      <c r="R508" s="6" t="n">
        <f aca="false">G508</f>
        <v>0</v>
      </c>
      <c r="S508" s="6" t="n">
        <f aca="false">H508</f>
        <v>0</v>
      </c>
      <c r="T508" s="6" t="n">
        <f aca="false">I508</f>
        <v>0</v>
      </c>
      <c r="U508" s="6" t="n">
        <f aca="false">L508</f>
        <v>0</v>
      </c>
      <c r="W508" s="6" t="n">
        <f aca="false">D508</f>
        <v>4.204285714</v>
      </c>
      <c r="X508" s="6" t="n">
        <f aca="false">E508</f>
        <v>0</v>
      </c>
      <c r="Y508" s="6" t="n">
        <f aca="false">F508</f>
        <v>0</v>
      </c>
      <c r="Z508" s="6" t="n">
        <f aca="false">L508</f>
        <v>0</v>
      </c>
      <c r="AA508" s="6" t="n">
        <f aca="false">G508</f>
        <v>0</v>
      </c>
      <c r="AC508" s="6" t="n">
        <f aca="false">D508</f>
        <v>4.204285714</v>
      </c>
      <c r="AD508" s="6" t="n">
        <f aca="false">E508</f>
        <v>0</v>
      </c>
      <c r="AE508" s="6" t="n">
        <f aca="false">G508</f>
        <v>0</v>
      </c>
      <c r="AF508" s="6" t="n">
        <f aca="false">H508</f>
        <v>0</v>
      </c>
      <c r="AG508" s="6" t="n">
        <f aca="false">I508</f>
        <v>0</v>
      </c>
      <c r="AH508" s="6" t="n">
        <f aca="false">L508</f>
        <v>0</v>
      </c>
    </row>
    <row r="509" customFormat="false" ht="15" hidden="false" customHeight="false" outlineLevel="0" collapsed="false">
      <c r="A509" s="0" t="str">
        <f aca="false">'Raw Data'!C509</f>
        <v>Framingham</v>
      </c>
      <c r="B509" s="5" t="n">
        <f aca="false">'Raw Data'!A509</f>
        <v>40309</v>
      </c>
      <c r="C509" s="6" t="n">
        <f aca="false">'Raw Data'!D509</f>
        <v>193.775091185813</v>
      </c>
      <c r="D509" s="6" t="n">
        <f aca="false">'Raw Data'!E509</f>
        <v>4.204285714</v>
      </c>
      <c r="E509" s="6" t="n">
        <f aca="false">'Raw Data'!F509</f>
        <v>0</v>
      </c>
      <c r="F509" s="6" t="n">
        <f aca="false">'Raw Data'!G509</f>
        <v>0</v>
      </c>
      <c r="G509" s="6" t="n">
        <f aca="false">'Raw Data'!H509</f>
        <v>0</v>
      </c>
      <c r="H509" s="6" t="n">
        <f aca="false">'Raw Data'!I509</f>
        <v>0</v>
      </c>
      <c r="I509" s="6" t="n">
        <f aca="false">'Raw Data'!J509</f>
        <v>0</v>
      </c>
      <c r="J509" s="6" t="n">
        <f aca="false">'Raw Data'!K509</f>
        <v>2</v>
      </c>
      <c r="K509" s="6" t="n">
        <f aca="false">'Raw Data'!L509</f>
        <v>1</v>
      </c>
      <c r="L509" s="6" t="n">
        <f aca="false">F509*E509</f>
        <v>0</v>
      </c>
      <c r="N509" s="0" t="n">
        <v>1</v>
      </c>
      <c r="O509" s="6" t="n">
        <f aca="false">D509</f>
        <v>4.204285714</v>
      </c>
      <c r="P509" s="6" t="n">
        <f aca="false">E509</f>
        <v>0</v>
      </c>
      <c r="Q509" s="6" t="n">
        <f aca="false">F509</f>
        <v>0</v>
      </c>
      <c r="R509" s="6" t="n">
        <f aca="false">G509</f>
        <v>0</v>
      </c>
      <c r="S509" s="6" t="n">
        <f aca="false">H509</f>
        <v>0</v>
      </c>
      <c r="T509" s="6" t="n">
        <f aca="false">I509</f>
        <v>0</v>
      </c>
      <c r="U509" s="6" t="n">
        <f aca="false">L509</f>
        <v>0</v>
      </c>
      <c r="W509" s="6" t="n">
        <f aca="false">D509</f>
        <v>4.204285714</v>
      </c>
      <c r="X509" s="6" t="n">
        <f aca="false">E509</f>
        <v>0</v>
      </c>
      <c r="Y509" s="6" t="n">
        <f aca="false">F509</f>
        <v>0</v>
      </c>
      <c r="Z509" s="6" t="n">
        <f aca="false">L509</f>
        <v>0</v>
      </c>
      <c r="AA509" s="6" t="n">
        <f aca="false">G509</f>
        <v>0</v>
      </c>
      <c r="AC509" s="6" t="n">
        <f aca="false">D509</f>
        <v>4.204285714</v>
      </c>
      <c r="AD509" s="6" t="n">
        <f aca="false">E509</f>
        <v>0</v>
      </c>
      <c r="AE509" s="6" t="n">
        <f aca="false">G509</f>
        <v>0</v>
      </c>
      <c r="AF509" s="6" t="n">
        <f aca="false">H509</f>
        <v>0</v>
      </c>
      <c r="AG509" s="6" t="n">
        <f aca="false">I509</f>
        <v>0</v>
      </c>
      <c r="AH509" s="6" t="n">
        <f aca="false">L509</f>
        <v>0</v>
      </c>
    </row>
    <row r="510" customFormat="false" ht="15" hidden="false" customHeight="false" outlineLevel="0" collapsed="false">
      <c r="A510" s="0" t="str">
        <f aca="false">'Raw Data'!C510</f>
        <v>Framingham</v>
      </c>
      <c r="B510" s="5" t="n">
        <f aca="false">'Raw Data'!A510</f>
        <v>40316</v>
      </c>
      <c r="C510" s="6" t="n">
        <f aca="false">'Raw Data'!D510</f>
        <v>119.110888478872</v>
      </c>
      <c r="D510" s="6" t="n">
        <f aca="false">'Raw Data'!E510</f>
        <v>3.861428571</v>
      </c>
      <c r="E510" s="6" t="n">
        <f aca="false">'Raw Data'!F510</f>
        <v>0</v>
      </c>
      <c r="F510" s="6" t="n">
        <f aca="false">'Raw Data'!G510</f>
        <v>0</v>
      </c>
      <c r="G510" s="6" t="n">
        <f aca="false">'Raw Data'!H510</f>
        <v>0</v>
      </c>
      <c r="H510" s="6" t="n">
        <f aca="false">'Raw Data'!I510</f>
        <v>0</v>
      </c>
      <c r="I510" s="6" t="n">
        <f aca="false">'Raw Data'!J510</f>
        <v>0</v>
      </c>
      <c r="J510" s="6" t="n">
        <f aca="false">'Raw Data'!K510</f>
        <v>2</v>
      </c>
      <c r="K510" s="6" t="n">
        <f aca="false">'Raw Data'!L510</f>
        <v>1</v>
      </c>
      <c r="L510" s="6" t="n">
        <f aca="false">F510*E510</f>
        <v>0</v>
      </c>
      <c r="N510" s="0" t="n">
        <v>1</v>
      </c>
      <c r="O510" s="6" t="n">
        <f aca="false">D510</f>
        <v>3.861428571</v>
      </c>
      <c r="P510" s="6" t="n">
        <f aca="false">E510</f>
        <v>0</v>
      </c>
      <c r="Q510" s="6" t="n">
        <f aca="false">F510</f>
        <v>0</v>
      </c>
      <c r="R510" s="6" t="n">
        <f aca="false">G510</f>
        <v>0</v>
      </c>
      <c r="S510" s="6" t="n">
        <f aca="false">H510</f>
        <v>0</v>
      </c>
      <c r="T510" s="6" t="n">
        <f aca="false">I510</f>
        <v>0</v>
      </c>
      <c r="U510" s="6" t="n">
        <f aca="false">L510</f>
        <v>0</v>
      </c>
      <c r="W510" s="6" t="n">
        <f aca="false">D510</f>
        <v>3.861428571</v>
      </c>
      <c r="X510" s="6" t="n">
        <f aca="false">E510</f>
        <v>0</v>
      </c>
      <c r="Y510" s="6" t="n">
        <f aca="false">F510</f>
        <v>0</v>
      </c>
      <c r="Z510" s="6" t="n">
        <f aca="false">L510</f>
        <v>0</v>
      </c>
      <c r="AA510" s="6" t="n">
        <f aca="false">G510</f>
        <v>0</v>
      </c>
      <c r="AC510" s="6" t="n">
        <f aca="false">D510</f>
        <v>3.861428571</v>
      </c>
      <c r="AD510" s="6" t="n">
        <f aca="false">E510</f>
        <v>0</v>
      </c>
      <c r="AE510" s="6" t="n">
        <f aca="false">G510</f>
        <v>0</v>
      </c>
      <c r="AF510" s="6" t="n">
        <f aca="false">H510</f>
        <v>0</v>
      </c>
      <c r="AG510" s="6" t="n">
        <f aca="false">I510</f>
        <v>0</v>
      </c>
      <c r="AH510" s="6" t="n">
        <f aca="false">L510</f>
        <v>0</v>
      </c>
    </row>
    <row r="511" customFormat="false" ht="15" hidden="false" customHeight="false" outlineLevel="0" collapsed="false">
      <c r="A511" s="0" t="str">
        <f aca="false">'Raw Data'!C511</f>
        <v>Framingham</v>
      </c>
      <c r="B511" s="5" t="n">
        <f aca="false">'Raw Data'!A511</f>
        <v>40323</v>
      </c>
      <c r="C511" s="6" t="n">
        <f aca="false">'Raw Data'!D511</f>
        <v>260.311467185814</v>
      </c>
      <c r="D511" s="6" t="n">
        <f aca="false">'Raw Data'!E511</f>
        <v>3.861428571</v>
      </c>
      <c r="E511" s="6" t="n">
        <f aca="false">'Raw Data'!F511</f>
        <v>0</v>
      </c>
      <c r="F511" s="6" t="n">
        <f aca="false">'Raw Data'!G511</f>
        <v>0</v>
      </c>
      <c r="G511" s="6" t="n">
        <f aca="false">'Raw Data'!H511</f>
        <v>0</v>
      </c>
      <c r="H511" s="6" t="n">
        <f aca="false">'Raw Data'!I511</f>
        <v>0</v>
      </c>
      <c r="I511" s="6" t="n">
        <f aca="false">'Raw Data'!J511</f>
        <v>0</v>
      </c>
      <c r="J511" s="6" t="n">
        <f aca="false">'Raw Data'!K511</f>
        <v>2</v>
      </c>
      <c r="K511" s="6" t="n">
        <f aca="false">'Raw Data'!L511</f>
        <v>1</v>
      </c>
      <c r="L511" s="6" t="n">
        <f aca="false">F511*E511</f>
        <v>0</v>
      </c>
      <c r="N511" s="0" t="n">
        <v>1</v>
      </c>
      <c r="O511" s="6" t="n">
        <f aca="false">D511</f>
        <v>3.861428571</v>
      </c>
      <c r="P511" s="6" t="n">
        <f aca="false">E511</f>
        <v>0</v>
      </c>
      <c r="Q511" s="6" t="n">
        <f aca="false">F511</f>
        <v>0</v>
      </c>
      <c r="R511" s="6" t="n">
        <f aca="false">G511</f>
        <v>0</v>
      </c>
      <c r="S511" s="6" t="n">
        <f aca="false">H511</f>
        <v>0</v>
      </c>
      <c r="T511" s="6" t="n">
        <f aca="false">I511</f>
        <v>0</v>
      </c>
      <c r="U511" s="6" t="n">
        <f aca="false">L511</f>
        <v>0</v>
      </c>
      <c r="W511" s="6" t="n">
        <f aca="false">D511</f>
        <v>3.861428571</v>
      </c>
      <c r="X511" s="6" t="n">
        <f aca="false">E511</f>
        <v>0</v>
      </c>
      <c r="Y511" s="6" t="n">
        <f aca="false">F511</f>
        <v>0</v>
      </c>
      <c r="Z511" s="6" t="n">
        <f aca="false">L511</f>
        <v>0</v>
      </c>
      <c r="AA511" s="6" t="n">
        <f aca="false">G511</f>
        <v>0</v>
      </c>
      <c r="AC511" s="6" t="n">
        <f aca="false">D511</f>
        <v>3.861428571</v>
      </c>
      <c r="AD511" s="6" t="n">
        <f aca="false">E511</f>
        <v>0</v>
      </c>
      <c r="AE511" s="6" t="n">
        <f aca="false">G511</f>
        <v>0</v>
      </c>
      <c r="AF511" s="6" t="n">
        <f aca="false">H511</f>
        <v>0</v>
      </c>
      <c r="AG511" s="6" t="n">
        <f aca="false">I511</f>
        <v>0</v>
      </c>
      <c r="AH511" s="6" t="n">
        <f aca="false">L511</f>
        <v>0</v>
      </c>
    </row>
    <row r="512" customFormat="false" ht="15" hidden="false" customHeight="false" outlineLevel="0" collapsed="false">
      <c r="A512" s="0" t="str">
        <f aca="false">'Raw Data'!C512</f>
        <v>Framingham</v>
      </c>
      <c r="B512" s="5" t="n">
        <f aca="false">'Raw Data'!A512</f>
        <v>40330</v>
      </c>
      <c r="C512" s="6" t="n">
        <f aca="false">'Raw Data'!D512</f>
        <v>227.599175199816</v>
      </c>
      <c r="D512" s="6" t="n">
        <f aca="false">'Raw Data'!E512</f>
        <v>3.861428571</v>
      </c>
      <c r="E512" s="6" t="n">
        <f aca="false">'Raw Data'!F512</f>
        <v>0</v>
      </c>
      <c r="F512" s="6" t="n">
        <f aca="false">'Raw Data'!G512</f>
        <v>0</v>
      </c>
      <c r="G512" s="6" t="n">
        <f aca="false">'Raw Data'!H512</f>
        <v>0</v>
      </c>
      <c r="H512" s="6" t="n">
        <f aca="false">'Raw Data'!I512</f>
        <v>0</v>
      </c>
      <c r="I512" s="6" t="n">
        <f aca="false">'Raw Data'!J512</f>
        <v>0</v>
      </c>
      <c r="J512" s="6" t="n">
        <f aca="false">'Raw Data'!K512</f>
        <v>1</v>
      </c>
      <c r="K512" s="6" t="n">
        <f aca="false">'Raw Data'!L512</f>
        <v>1</v>
      </c>
      <c r="L512" s="6" t="n">
        <f aca="false">F512*E512</f>
        <v>0</v>
      </c>
      <c r="N512" s="0" t="n">
        <v>1</v>
      </c>
      <c r="O512" s="6" t="n">
        <f aca="false">D512</f>
        <v>3.861428571</v>
      </c>
      <c r="P512" s="6" t="n">
        <f aca="false">E512</f>
        <v>0</v>
      </c>
      <c r="Q512" s="6" t="n">
        <f aca="false">F512</f>
        <v>0</v>
      </c>
      <c r="R512" s="6" t="n">
        <f aca="false">G512</f>
        <v>0</v>
      </c>
      <c r="S512" s="6" t="n">
        <f aca="false">H512</f>
        <v>0</v>
      </c>
      <c r="T512" s="6" t="n">
        <f aca="false">I512</f>
        <v>0</v>
      </c>
      <c r="U512" s="6" t="n">
        <f aca="false">L512</f>
        <v>0</v>
      </c>
      <c r="W512" s="6" t="n">
        <f aca="false">D512</f>
        <v>3.861428571</v>
      </c>
      <c r="X512" s="6" t="n">
        <f aca="false">E512</f>
        <v>0</v>
      </c>
      <c r="Y512" s="6" t="n">
        <f aca="false">F512</f>
        <v>0</v>
      </c>
      <c r="Z512" s="6" t="n">
        <f aca="false">L512</f>
        <v>0</v>
      </c>
      <c r="AA512" s="6" t="n">
        <f aca="false">G512</f>
        <v>0</v>
      </c>
      <c r="AC512" s="6" t="n">
        <f aca="false">D512</f>
        <v>3.861428571</v>
      </c>
      <c r="AD512" s="6" t="n">
        <f aca="false">E512</f>
        <v>0</v>
      </c>
      <c r="AE512" s="6" t="n">
        <f aca="false">G512</f>
        <v>0</v>
      </c>
      <c r="AF512" s="6" t="n">
        <f aca="false">H512</f>
        <v>0</v>
      </c>
      <c r="AG512" s="6" t="n">
        <f aca="false">I512</f>
        <v>0</v>
      </c>
      <c r="AH512" s="6" t="n">
        <f aca="false">L512</f>
        <v>0</v>
      </c>
    </row>
    <row r="513" customFormat="false" ht="15" hidden="false" customHeight="false" outlineLevel="0" collapsed="false">
      <c r="A513" s="0" t="str">
        <f aca="false">'Raw Data'!C513</f>
        <v>Framingham</v>
      </c>
      <c r="B513" s="5" t="n">
        <f aca="false">'Raw Data'!A513</f>
        <v>40337</v>
      </c>
      <c r="C513" s="6" t="n">
        <f aca="false">'Raw Data'!D513</f>
        <v>161.893084709714</v>
      </c>
      <c r="D513" s="6" t="n">
        <f aca="false">'Raw Data'!E513</f>
        <v>4.204285714</v>
      </c>
      <c r="E513" s="6" t="n">
        <f aca="false">'Raw Data'!F513</f>
        <v>0</v>
      </c>
      <c r="F513" s="6" t="n">
        <f aca="false">'Raw Data'!G513</f>
        <v>0</v>
      </c>
      <c r="G513" s="6" t="n">
        <f aca="false">'Raw Data'!H513</f>
        <v>0</v>
      </c>
      <c r="H513" s="6" t="n">
        <f aca="false">'Raw Data'!I513</f>
        <v>0</v>
      </c>
      <c r="I513" s="6" t="n">
        <f aca="false">'Raw Data'!J513</f>
        <v>0</v>
      </c>
      <c r="J513" s="6" t="n">
        <f aca="false">'Raw Data'!K513</f>
        <v>1</v>
      </c>
      <c r="K513" s="6" t="n">
        <f aca="false">'Raw Data'!L513</f>
        <v>1</v>
      </c>
      <c r="L513" s="6" t="n">
        <f aca="false">F513*E513</f>
        <v>0</v>
      </c>
      <c r="N513" s="0" t="n">
        <v>1</v>
      </c>
      <c r="O513" s="6" t="n">
        <f aca="false">D513</f>
        <v>4.204285714</v>
      </c>
      <c r="P513" s="6" t="n">
        <f aca="false">E513</f>
        <v>0</v>
      </c>
      <c r="Q513" s="6" t="n">
        <f aca="false">F513</f>
        <v>0</v>
      </c>
      <c r="R513" s="6" t="n">
        <f aca="false">G513</f>
        <v>0</v>
      </c>
      <c r="S513" s="6" t="n">
        <f aca="false">H513</f>
        <v>0</v>
      </c>
      <c r="T513" s="6" t="n">
        <f aca="false">I513</f>
        <v>0</v>
      </c>
      <c r="U513" s="6" t="n">
        <f aca="false">L513</f>
        <v>0</v>
      </c>
      <c r="W513" s="6" t="n">
        <f aca="false">D513</f>
        <v>4.204285714</v>
      </c>
      <c r="X513" s="6" t="n">
        <f aca="false">E513</f>
        <v>0</v>
      </c>
      <c r="Y513" s="6" t="n">
        <f aca="false">F513</f>
        <v>0</v>
      </c>
      <c r="Z513" s="6" t="n">
        <f aca="false">L513</f>
        <v>0</v>
      </c>
      <c r="AA513" s="6" t="n">
        <f aca="false">G513</f>
        <v>0</v>
      </c>
      <c r="AC513" s="6" t="n">
        <f aca="false">D513</f>
        <v>4.204285714</v>
      </c>
      <c r="AD513" s="6" t="n">
        <f aca="false">E513</f>
        <v>0</v>
      </c>
      <c r="AE513" s="6" t="n">
        <f aca="false">G513</f>
        <v>0</v>
      </c>
      <c r="AF513" s="6" t="n">
        <f aca="false">H513</f>
        <v>0</v>
      </c>
      <c r="AG513" s="6" t="n">
        <f aca="false">I513</f>
        <v>0</v>
      </c>
      <c r="AH513" s="6" t="n">
        <f aca="false">L513</f>
        <v>0</v>
      </c>
    </row>
    <row r="514" customFormat="false" ht="15" hidden="false" customHeight="false" outlineLevel="0" collapsed="false">
      <c r="A514" s="0" t="str">
        <f aca="false">'Raw Data'!C514</f>
        <v>Framingham</v>
      </c>
      <c r="B514" s="5" t="n">
        <f aca="false">'Raw Data'!A514</f>
        <v>40344</v>
      </c>
      <c r="C514" s="6" t="n">
        <f aca="false">'Raw Data'!D514</f>
        <v>141.378595231298</v>
      </c>
      <c r="D514" s="6" t="n">
        <f aca="false">'Raw Data'!E514</f>
        <v>4.204285714</v>
      </c>
      <c r="E514" s="6" t="n">
        <f aca="false">'Raw Data'!F514</f>
        <v>0</v>
      </c>
      <c r="F514" s="6" t="n">
        <f aca="false">'Raw Data'!G514</f>
        <v>0</v>
      </c>
      <c r="G514" s="6" t="n">
        <f aca="false">'Raw Data'!H514</f>
        <v>0</v>
      </c>
      <c r="H514" s="6" t="n">
        <f aca="false">'Raw Data'!I514</f>
        <v>0</v>
      </c>
      <c r="I514" s="6" t="n">
        <f aca="false">'Raw Data'!J514</f>
        <v>0</v>
      </c>
      <c r="J514" s="6" t="n">
        <f aca="false">'Raw Data'!K514</f>
        <v>1</v>
      </c>
      <c r="K514" s="6" t="n">
        <f aca="false">'Raw Data'!L514</f>
        <v>1</v>
      </c>
      <c r="L514" s="6" t="n">
        <f aca="false">F514*E514</f>
        <v>0</v>
      </c>
      <c r="N514" s="0" t="n">
        <v>1</v>
      </c>
      <c r="O514" s="6" t="n">
        <f aca="false">D514</f>
        <v>4.204285714</v>
      </c>
      <c r="P514" s="6" t="n">
        <f aca="false">E514</f>
        <v>0</v>
      </c>
      <c r="Q514" s="6" t="n">
        <f aca="false">F514</f>
        <v>0</v>
      </c>
      <c r="R514" s="6" t="n">
        <f aca="false">G514</f>
        <v>0</v>
      </c>
      <c r="S514" s="6" t="n">
        <f aca="false">H514</f>
        <v>0</v>
      </c>
      <c r="T514" s="6" t="n">
        <f aca="false">I514</f>
        <v>0</v>
      </c>
      <c r="U514" s="6" t="n">
        <f aca="false">L514</f>
        <v>0</v>
      </c>
      <c r="W514" s="6" t="n">
        <f aca="false">D514</f>
        <v>4.204285714</v>
      </c>
      <c r="X514" s="6" t="n">
        <f aca="false">E514</f>
        <v>0</v>
      </c>
      <c r="Y514" s="6" t="n">
        <f aca="false">F514</f>
        <v>0</v>
      </c>
      <c r="Z514" s="6" t="n">
        <f aca="false">L514</f>
        <v>0</v>
      </c>
      <c r="AA514" s="6" t="n">
        <f aca="false">G514</f>
        <v>0</v>
      </c>
      <c r="AC514" s="6" t="n">
        <f aca="false">D514</f>
        <v>4.204285714</v>
      </c>
      <c r="AD514" s="6" t="n">
        <f aca="false">E514</f>
        <v>0</v>
      </c>
      <c r="AE514" s="6" t="n">
        <f aca="false">G514</f>
        <v>0</v>
      </c>
      <c r="AF514" s="6" t="n">
        <f aca="false">H514</f>
        <v>0</v>
      </c>
      <c r="AG514" s="6" t="n">
        <f aca="false">I514</f>
        <v>0</v>
      </c>
      <c r="AH514" s="6" t="n">
        <f aca="false">L514</f>
        <v>0</v>
      </c>
    </row>
    <row r="515" customFormat="false" ht="15" hidden="false" customHeight="false" outlineLevel="0" collapsed="false">
      <c r="A515" s="0" t="str">
        <f aca="false">'Raw Data'!C515</f>
        <v>Framingham</v>
      </c>
      <c r="B515" s="5" t="n">
        <f aca="false">'Raw Data'!A515</f>
        <v>40351</v>
      </c>
      <c r="C515" s="6" t="n">
        <f aca="false">'Raw Data'!D515</f>
        <v>231.124385946328</v>
      </c>
      <c r="D515" s="6" t="n">
        <f aca="false">'Raw Data'!E515</f>
        <v>4.204285714</v>
      </c>
      <c r="E515" s="6" t="n">
        <f aca="false">'Raw Data'!F515</f>
        <v>0</v>
      </c>
      <c r="F515" s="6" t="n">
        <f aca="false">'Raw Data'!G515</f>
        <v>0</v>
      </c>
      <c r="G515" s="6" t="n">
        <f aca="false">'Raw Data'!H515</f>
        <v>0</v>
      </c>
      <c r="H515" s="6" t="n">
        <f aca="false">'Raw Data'!I515</f>
        <v>0</v>
      </c>
      <c r="I515" s="6" t="n">
        <f aca="false">'Raw Data'!J515</f>
        <v>0</v>
      </c>
      <c r="J515" s="6" t="n">
        <f aca="false">'Raw Data'!K515</f>
        <v>1</v>
      </c>
      <c r="K515" s="6" t="n">
        <f aca="false">'Raw Data'!L515</f>
        <v>1</v>
      </c>
      <c r="L515" s="6" t="n">
        <f aca="false">F515*E515</f>
        <v>0</v>
      </c>
      <c r="N515" s="0" t="n">
        <v>1</v>
      </c>
      <c r="O515" s="6" t="n">
        <f aca="false">D515</f>
        <v>4.204285714</v>
      </c>
      <c r="P515" s="6" t="n">
        <f aca="false">E515</f>
        <v>0</v>
      </c>
      <c r="Q515" s="6" t="n">
        <f aca="false">F515</f>
        <v>0</v>
      </c>
      <c r="R515" s="6" t="n">
        <f aca="false">G515</f>
        <v>0</v>
      </c>
      <c r="S515" s="6" t="n">
        <f aca="false">H515</f>
        <v>0</v>
      </c>
      <c r="T515" s="6" t="n">
        <f aca="false">I515</f>
        <v>0</v>
      </c>
      <c r="U515" s="6" t="n">
        <f aca="false">L515</f>
        <v>0</v>
      </c>
      <c r="W515" s="6" t="n">
        <f aca="false">D515</f>
        <v>4.204285714</v>
      </c>
      <c r="X515" s="6" t="n">
        <f aca="false">E515</f>
        <v>0</v>
      </c>
      <c r="Y515" s="6" t="n">
        <f aca="false">F515</f>
        <v>0</v>
      </c>
      <c r="Z515" s="6" t="n">
        <f aca="false">L515</f>
        <v>0</v>
      </c>
      <c r="AA515" s="6" t="n">
        <f aca="false">G515</f>
        <v>0</v>
      </c>
      <c r="AC515" s="6" t="n">
        <f aca="false">D515</f>
        <v>4.204285714</v>
      </c>
      <c r="AD515" s="6" t="n">
        <f aca="false">E515</f>
        <v>0</v>
      </c>
      <c r="AE515" s="6" t="n">
        <f aca="false">G515</f>
        <v>0</v>
      </c>
      <c r="AF515" s="6" t="n">
        <f aca="false">H515</f>
        <v>0</v>
      </c>
      <c r="AG515" s="6" t="n">
        <f aca="false">I515</f>
        <v>0</v>
      </c>
      <c r="AH515" s="6" t="n">
        <f aca="false">L515</f>
        <v>0</v>
      </c>
    </row>
    <row r="516" customFormat="false" ht="15" hidden="false" customHeight="false" outlineLevel="0" collapsed="false">
      <c r="A516" s="0" t="str">
        <f aca="false">'Raw Data'!C516</f>
        <v>Framingham</v>
      </c>
      <c r="B516" s="5" t="n">
        <f aca="false">'Raw Data'!A516</f>
        <v>40358</v>
      </c>
      <c r="C516" s="6" t="n">
        <f aca="false">'Raw Data'!D516</f>
        <v>198.164900164451</v>
      </c>
      <c r="D516" s="6" t="n">
        <f aca="false">'Raw Data'!E516</f>
        <v>4.204285714</v>
      </c>
      <c r="E516" s="6" t="n">
        <f aca="false">'Raw Data'!F516</f>
        <v>0</v>
      </c>
      <c r="F516" s="6" t="n">
        <f aca="false">'Raw Data'!G516</f>
        <v>0</v>
      </c>
      <c r="G516" s="6" t="n">
        <f aca="false">'Raw Data'!H516</f>
        <v>0</v>
      </c>
      <c r="H516" s="6" t="n">
        <f aca="false">'Raw Data'!I516</f>
        <v>0</v>
      </c>
      <c r="I516" s="6" t="n">
        <f aca="false">'Raw Data'!J516</f>
        <v>0</v>
      </c>
      <c r="J516" s="6" t="n">
        <f aca="false">'Raw Data'!K516</f>
        <v>1</v>
      </c>
      <c r="K516" s="6" t="n">
        <f aca="false">'Raw Data'!L516</f>
        <v>1</v>
      </c>
      <c r="L516" s="6" t="n">
        <f aca="false">F516*E516</f>
        <v>0</v>
      </c>
      <c r="N516" s="0" t="n">
        <v>1</v>
      </c>
      <c r="O516" s="6" t="n">
        <f aca="false">D516</f>
        <v>4.204285714</v>
      </c>
      <c r="P516" s="6" t="n">
        <f aca="false">E516</f>
        <v>0</v>
      </c>
      <c r="Q516" s="6" t="n">
        <f aca="false">F516</f>
        <v>0</v>
      </c>
      <c r="R516" s="6" t="n">
        <f aca="false">G516</f>
        <v>0</v>
      </c>
      <c r="S516" s="6" t="n">
        <f aca="false">H516</f>
        <v>0</v>
      </c>
      <c r="T516" s="6" t="n">
        <f aca="false">I516</f>
        <v>0</v>
      </c>
      <c r="U516" s="6" t="n">
        <f aca="false">L516</f>
        <v>0</v>
      </c>
      <c r="W516" s="6" t="n">
        <f aca="false">D516</f>
        <v>4.204285714</v>
      </c>
      <c r="X516" s="6" t="n">
        <f aca="false">E516</f>
        <v>0</v>
      </c>
      <c r="Y516" s="6" t="n">
        <f aca="false">F516</f>
        <v>0</v>
      </c>
      <c r="Z516" s="6" t="n">
        <f aca="false">L516</f>
        <v>0</v>
      </c>
      <c r="AA516" s="6" t="n">
        <f aca="false">G516</f>
        <v>0</v>
      </c>
      <c r="AC516" s="6" t="n">
        <f aca="false">D516</f>
        <v>4.204285714</v>
      </c>
      <c r="AD516" s="6" t="n">
        <f aca="false">E516</f>
        <v>0</v>
      </c>
      <c r="AE516" s="6" t="n">
        <f aca="false">G516</f>
        <v>0</v>
      </c>
      <c r="AF516" s="6" t="n">
        <f aca="false">H516</f>
        <v>0</v>
      </c>
      <c r="AG516" s="6" t="n">
        <f aca="false">I516</f>
        <v>0</v>
      </c>
      <c r="AH516" s="6" t="n">
        <f aca="false">L516</f>
        <v>0</v>
      </c>
    </row>
    <row r="517" customFormat="false" ht="15" hidden="false" customHeight="false" outlineLevel="0" collapsed="false">
      <c r="A517" s="0" t="str">
        <f aca="false">'Raw Data'!C517</f>
        <v>Framingham</v>
      </c>
      <c r="B517" s="5" t="n">
        <f aca="false">'Raw Data'!A517</f>
        <v>40365</v>
      </c>
      <c r="C517" s="6" t="n">
        <f aca="false">'Raw Data'!D517</f>
        <v>279.109448057766</v>
      </c>
      <c r="D517" s="6" t="n">
        <f aca="false">'Raw Data'!E517</f>
        <v>3.78</v>
      </c>
      <c r="E517" s="6" t="n">
        <f aca="false">'Raw Data'!F517</f>
        <v>0</v>
      </c>
      <c r="F517" s="6" t="n">
        <f aca="false">'Raw Data'!G517</f>
        <v>0</v>
      </c>
      <c r="G517" s="6" t="n">
        <f aca="false">'Raw Data'!H517</f>
        <v>0</v>
      </c>
      <c r="H517" s="6" t="n">
        <f aca="false">'Raw Data'!I517</f>
        <v>0</v>
      </c>
      <c r="I517" s="6" t="n">
        <f aca="false">'Raw Data'!J517</f>
        <v>0</v>
      </c>
      <c r="J517" s="6" t="n">
        <f aca="false">'Raw Data'!K517</f>
        <v>1</v>
      </c>
      <c r="K517" s="6" t="n">
        <f aca="false">'Raw Data'!L517</f>
        <v>1</v>
      </c>
      <c r="L517" s="6" t="n">
        <f aca="false">F517*E517</f>
        <v>0</v>
      </c>
      <c r="N517" s="0" t="n">
        <v>1</v>
      </c>
      <c r="O517" s="6" t="n">
        <f aca="false">D517</f>
        <v>3.78</v>
      </c>
      <c r="P517" s="6" t="n">
        <f aca="false">E517</f>
        <v>0</v>
      </c>
      <c r="Q517" s="6" t="n">
        <f aca="false">F517</f>
        <v>0</v>
      </c>
      <c r="R517" s="6" t="n">
        <f aca="false">G517</f>
        <v>0</v>
      </c>
      <c r="S517" s="6" t="n">
        <f aca="false">H517</f>
        <v>0</v>
      </c>
      <c r="T517" s="6" t="n">
        <f aca="false">I517</f>
        <v>0</v>
      </c>
      <c r="U517" s="6" t="n">
        <f aca="false">L517</f>
        <v>0</v>
      </c>
      <c r="W517" s="6" t="n">
        <f aca="false">D517</f>
        <v>3.78</v>
      </c>
      <c r="X517" s="6" t="n">
        <f aca="false">E517</f>
        <v>0</v>
      </c>
      <c r="Y517" s="6" t="n">
        <f aca="false">F517</f>
        <v>0</v>
      </c>
      <c r="Z517" s="6" t="n">
        <f aca="false">L517</f>
        <v>0</v>
      </c>
      <c r="AA517" s="6" t="n">
        <f aca="false">G517</f>
        <v>0</v>
      </c>
      <c r="AC517" s="6" t="n">
        <f aca="false">D517</f>
        <v>3.78</v>
      </c>
      <c r="AD517" s="6" t="n">
        <f aca="false">E517</f>
        <v>0</v>
      </c>
      <c r="AE517" s="6" t="n">
        <f aca="false">G517</f>
        <v>0</v>
      </c>
      <c r="AF517" s="6" t="n">
        <f aca="false">H517</f>
        <v>0</v>
      </c>
      <c r="AG517" s="6" t="n">
        <f aca="false">I517</f>
        <v>0</v>
      </c>
      <c r="AH517" s="6" t="n">
        <f aca="false">L517</f>
        <v>0</v>
      </c>
    </row>
    <row r="518" customFormat="false" ht="15" hidden="false" customHeight="false" outlineLevel="0" collapsed="false">
      <c r="A518" s="0" t="str">
        <f aca="false">'Raw Data'!C518</f>
        <v>Framingham</v>
      </c>
      <c r="B518" s="5" t="n">
        <f aca="false">'Raw Data'!A518</f>
        <v>40372</v>
      </c>
      <c r="C518" s="6" t="n">
        <f aca="false">'Raw Data'!D518</f>
        <v>147.976193745743</v>
      </c>
      <c r="D518" s="6" t="n">
        <f aca="false">'Raw Data'!E518</f>
        <v>3.78</v>
      </c>
      <c r="E518" s="6" t="n">
        <f aca="false">'Raw Data'!F518</f>
        <v>0</v>
      </c>
      <c r="F518" s="6" t="n">
        <f aca="false">'Raw Data'!G518</f>
        <v>0</v>
      </c>
      <c r="G518" s="6" t="n">
        <f aca="false">'Raw Data'!H518</f>
        <v>0</v>
      </c>
      <c r="H518" s="6" t="n">
        <f aca="false">'Raw Data'!I518</f>
        <v>0</v>
      </c>
      <c r="I518" s="6" t="n">
        <f aca="false">'Raw Data'!J518</f>
        <v>0</v>
      </c>
      <c r="J518" s="6" t="n">
        <f aca="false">'Raw Data'!K518</f>
        <v>1</v>
      </c>
      <c r="K518" s="6" t="n">
        <f aca="false">'Raw Data'!L518</f>
        <v>1</v>
      </c>
      <c r="L518" s="6" t="n">
        <f aca="false">F518*E518</f>
        <v>0</v>
      </c>
      <c r="N518" s="0" t="n">
        <v>1</v>
      </c>
      <c r="O518" s="6" t="n">
        <f aca="false">D518</f>
        <v>3.78</v>
      </c>
      <c r="P518" s="6" t="n">
        <f aca="false">E518</f>
        <v>0</v>
      </c>
      <c r="Q518" s="6" t="n">
        <f aca="false">F518</f>
        <v>0</v>
      </c>
      <c r="R518" s="6" t="n">
        <f aca="false">G518</f>
        <v>0</v>
      </c>
      <c r="S518" s="6" t="n">
        <f aca="false">H518</f>
        <v>0</v>
      </c>
      <c r="T518" s="6" t="n">
        <f aca="false">I518</f>
        <v>0</v>
      </c>
      <c r="U518" s="6" t="n">
        <f aca="false">L518</f>
        <v>0</v>
      </c>
      <c r="W518" s="6" t="n">
        <f aca="false">D518</f>
        <v>3.78</v>
      </c>
      <c r="X518" s="6" t="n">
        <f aca="false">E518</f>
        <v>0</v>
      </c>
      <c r="Y518" s="6" t="n">
        <f aca="false">F518</f>
        <v>0</v>
      </c>
      <c r="Z518" s="6" t="n">
        <f aca="false">L518</f>
        <v>0</v>
      </c>
      <c r="AA518" s="6" t="n">
        <f aca="false">G518</f>
        <v>0</v>
      </c>
      <c r="AC518" s="6" t="n">
        <f aca="false">D518</f>
        <v>3.78</v>
      </c>
      <c r="AD518" s="6" t="n">
        <f aca="false">E518</f>
        <v>0</v>
      </c>
      <c r="AE518" s="6" t="n">
        <f aca="false">G518</f>
        <v>0</v>
      </c>
      <c r="AF518" s="6" t="n">
        <f aca="false">H518</f>
        <v>0</v>
      </c>
      <c r="AG518" s="6" t="n">
        <f aca="false">I518</f>
        <v>0</v>
      </c>
      <c r="AH518" s="6" t="n">
        <f aca="false">L518</f>
        <v>0</v>
      </c>
    </row>
    <row r="519" customFormat="false" ht="15" hidden="false" customHeight="false" outlineLevel="0" collapsed="false">
      <c r="A519" s="0" t="str">
        <f aca="false">'Raw Data'!C519</f>
        <v>Fresh Pond</v>
      </c>
      <c r="B519" s="5" t="n">
        <f aca="false">'Raw Data'!A519</f>
        <v>40302</v>
      </c>
      <c r="C519" s="6" t="n">
        <f aca="false">'Raw Data'!D519</f>
        <v>183.651390673674</v>
      </c>
      <c r="D519" s="6" t="n">
        <f aca="false">'Raw Data'!E519</f>
        <v>4.6275</v>
      </c>
      <c r="E519" s="6" t="n">
        <f aca="false">'Raw Data'!F519</f>
        <v>0</v>
      </c>
      <c r="F519" s="6" t="n">
        <f aca="false">'Raw Data'!G519</f>
        <v>0</v>
      </c>
      <c r="G519" s="6" t="n">
        <f aca="false">'Raw Data'!H519</f>
        <v>0</v>
      </c>
      <c r="H519" s="6" t="n">
        <f aca="false">'Raw Data'!I519</f>
        <v>0</v>
      </c>
      <c r="I519" s="6" t="n">
        <f aca="false">'Raw Data'!J519</f>
        <v>0</v>
      </c>
      <c r="J519" s="6" t="n">
        <f aca="false">'Raw Data'!K519</f>
        <v>1</v>
      </c>
      <c r="K519" s="6" t="n">
        <f aca="false">'Raw Data'!L519</f>
        <v>1</v>
      </c>
      <c r="L519" s="6" t="n">
        <f aca="false">F519*E519</f>
        <v>0</v>
      </c>
      <c r="N519" s="0" t="n">
        <v>1</v>
      </c>
      <c r="O519" s="6" t="n">
        <f aca="false">D519</f>
        <v>4.6275</v>
      </c>
      <c r="P519" s="6" t="n">
        <f aca="false">E519</f>
        <v>0</v>
      </c>
      <c r="Q519" s="6" t="n">
        <f aca="false">F519</f>
        <v>0</v>
      </c>
      <c r="R519" s="6" t="n">
        <f aca="false">G519</f>
        <v>0</v>
      </c>
      <c r="S519" s="6" t="n">
        <f aca="false">H519</f>
        <v>0</v>
      </c>
      <c r="T519" s="6" t="n">
        <f aca="false">I519</f>
        <v>0</v>
      </c>
      <c r="U519" s="6" t="n">
        <f aca="false">L519</f>
        <v>0</v>
      </c>
      <c r="W519" s="6" t="n">
        <f aca="false">D519</f>
        <v>4.6275</v>
      </c>
      <c r="X519" s="6" t="n">
        <f aca="false">E519</f>
        <v>0</v>
      </c>
      <c r="Y519" s="6" t="n">
        <f aca="false">F519</f>
        <v>0</v>
      </c>
      <c r="Z519" s="6" t="n">
        <f aca="false">L519</f>
        <v>0</v>
      </c>
      <c r="AA519" s="6" t="n">
        <f aca="false">G519</f>
        <v>0</v>
      </c>
      <c r="AC519" s="6" t="n">
        <f aca="false">D519</f>
        <v>4.6275</v>
      </c>
      <c r="AD519" s="6" t="n">
        <f aca="false">E519</f>
        <v>0</v>
      </c>
      <c r="AE519" s="6" t="n">
        <f aca="false">G519</f>
        <v>0</v>
      </c>
      <c r="AF519" s="6" t="n">
        <f aca="false">H519</f>
        <v>0</v>
      </c>
      <c r="AG519" s="6" t="n">
        <f aca="false">I519</f>
        <v>0</v>
      </c>
      <c r="AH519" s="6" t="n">
        <f aca="false">L519</f>
        <v>0</v>
      </c>
    </row>
    <row r="520" customFormat="false" ht="15" hidden="false" customHeight="false" outlineLevel="0" collapsed="false">
      <c r="A520" s="0" t="str">
        <f aca="false">'Raw Data'!C520</f>
        <v>Fresh Pond</v>
      </c>
      <c r="B520" s="5" t="n">
        <f aca="false">'Raw Data'!A520</f>
        <v>40309</v>
      </c>
      <c r="C520" s="6" t="n">
        <f aca="false">'Raw Data'!D520</f>
        <v>197.100669957554</v>
      </c>
      <c r="D520" s="6" t="n">
        <f aca="false">'Raw Data'!E520</f>
        <v>4.204285714</v>
      </c>
      <c r="E520" s="6" t="n">
        <f aca="false">'Raw Data'!F520</f>
        <v>0</v>
      </c>
      <c r="F520" s="6" t="n">
        <f aca="false">'Raw Data'!G520</f>
        <v>0</v>
      </c>
      <c r="G520" s="6" t="n">
        <f aca="false">'Raw Data'!H520</f>
        <v>0</v>
      </c>
      <c r="H520" s="6" t="n">
        <f aca="false">'Raw Data'!I520</f>
        <v>0</v>
      </c>
      <c r="I520" s="6" t="n">
        <f aca="false">'Raw Data'!J520</f>
        <v>0</v>
      </c>
      <c r="J520" s="6" t="n">
        <f aca="false">'Raw Data'!K520</f>
        <v>1</v>
      </c>
      <c r="K520" s="6" t="n">
        <f aca="false">'Raw Data'!L520</f>
        <v>1</v>
      </c>
      <c r="L520" s="6" t="n">
        <f aca="false">F520*E520</f>
        <v>0</v>
      </c>
      <c r="N520" s="0" t="n">
        <v>1</v>
      </c>
      <c r="O520" s="6" t="n">
        <f aca="false">D520</f>
        <v>4.204285714</v>
      </c>
      <c r="P520" s="6" t="n">
        <f aca="false">E520</f>
        <v>0</v>
      </c>
      <c r="Q520" s="6" t="n">
        <f aca="false">F520</f>
        <v>0</v>
      </c>
      <c r="R520" s="6" t="n">
        <f aca="false">G520</f>
        <v>0</v>
      </c>
      <c r="S520" s="6" t="n">
        <f aca="false">H520</f>
        <v>0</v>
      </c>
      <c r="T520" s="6" t="n">
        <f aca="false">I520</f>
        <v>0</v>
      </c>
      <c r="U520" s="6" t="n">
        <f aca="false">L520</f>
        <v>0</v>
      </c>
      <c r="W520" s="6" t="n">
        <f aca="false">D520</f>
        <v>4.204285714</v>
      </c>
      <c r="X520" s="6" t="n">
        <f aca="false">E520</f>
        <v>0</v>
      </c>
      <c r="Y520" s="6" t="n">
        <f aca="false">F520</f>
        <v>0</v>
      </c>
      <c r="Z520" s="6" t="n">
        <f aca="false">L520</f>
        <v>0</v>
      </c>
      <c r="AA520" s="6" t="n">
        <f aca="false">G520</f>
        <v>0</v>
      </c>
      <c r="AC520" s="6" t="n">
        <f aca="false">D520</f>
        <v>4.204285714</v>
      </c>
      <c r="AD520" s="6" t="n">
        <f aca="false">E520</f>
        <v>0</v>
      </c>
      <c r="AE520" s="6" t="n">
        <f aca="false">G520</f>
        <v>0</v>
      </c>
      <c r="AF520" s="6" t="n">
        <f aca="false">H520</f>
        <v>0</v>
      </c>
      <c r="AG520" s="6" t="n">
        <f aca="false">I520</f>
        <v>0</v>
      </c>
      <c r="AH520" s="6" t="n">
        <f aca="false">L520</f>
        <v>0</v>
      </c>
    </row>
    <row r="521" customFormat="false" ht="15" hidden="false" customHeight="false" outlineLevel="0" collapsed="false">
      <c r="A521" s="0" t="str">
        <f aca="false">'Raw Data'!C521</f>
        <v>Fresh Pond</v>
      </c>
      <c r="B521" s="5" t="n">
        <f aca="false">'Raw Data'!A521</f>
        <v>40316</v>
      </c>
      <c r="C521" s="6" t="n">
        <f aca="false">'Raw Data'!D521</f>
        <v>199.905158662154</v>
      </c>
      <c r="D521" s="6" t="n">
        <f aca="false">'Raw Data'!E521</f>
        <v>3.861428571</v>
      </c>
      <c r="E521" s="6" t="n">
        <f aca="false">'Raw Data'!F521</f>
        <v>0</v>
      </c>
      <c r="F521" s="6" t="n">
        <f aca="false">'Raw Data'!G521</f>
        <v>0</v>
      </c>
      <c r="G521" s="6" t="n">
        <f aca="false">'Raw Data'!H521</f>
        <v>0</v>
      </c>
      <c r="H521" s="6" t="n">
        <f aca="false">'Raw Data'!I521</f>
        <v>0</v>
      </c>
      <c r="I521" s="6" t="n">
        <f aca="false">'Raw Data'!J521</f>
        <v>0</v>
      </c>
      <c r="J521" s="6" t="n">
        <f aca="false">'Raw Data'!K521</f>
        <v>1</v>
      </c>
      <c r="K521" s="6" t="n">
        <f aca="false">'Raw Data'!L521</f>
        <v>1</v>
      </c>
      <c r="L521" s="6" t="n">
        <f aca="false">F521*E521</f>
        <v>0</v>
      </c>
      <c r="N521" s="0" t="n">
        <v>1</v>
      </c>
      <c r="O521" s="6" t="n">
        <f aca="false">D521</f>
        <v>3.861428571</v>
      </c>
      <c r="P521" s="6" t="n">
        <f aca="false">E521</f>
        <v>0</v>
      </c>
      <c r="Q521" s="6" t="n">
        <f aca="false">F521</f>
        <v>0</v>
      </c>
      <c r="R521" s="6" t="n">
        <f aca="false">G521</f>
        <v>0</v>
      </c>
      <c r="S521" s="6" t="n">
        <f aca="false">H521</f>
        <v>0</v>
      </c>
      <c r="T521" s="6" t="n">
        <f aca="false">I521</f>
        <v>0</v>
      </c>
      <c r="U521" s="6" t="n">
        <f aca="false">L521</f>
        <v>0</v>
      </c>
      <c r="W521" s="6" t="n">
        <f aca="false">D521</f>
        <v>3.861428571</v>
      </c>
      <c r="X521" s="6" t="n">
        <f aca="false">E521</f>
        <v>0</v>
      </c>
      <c r="Y521" s="6" t="n">
        <f aca="false">F521</f>
        <v>0</v>
      </c>
      <c r="Z521" s="6" t="n">
        <f aca="false">L521</f>
        <v>0</v>
      </c>
      <c r="AA521" s="6" t="n">
        <f aca="false">G521</f>
        <v>0</v>
      </c>
      <c r="AC521" s="6" t="n">
        <f aca="false">D521</f>
        <v>3.861428571</v>
      </c>
      <c r="AD521" s="6" t="n">
        <f aca="false">E521</f>
        <v>0</v>
      </c>
      <c r="AE521" s="6" t="n">
        <f aca="false">G521</f>
        <v>0</v>
      </c>
      <c r="AF521" s="6" t="n">
        <f aca="false">H521</f>
        <v>0</v>
      </c>
      <c r="AG521" s="6" t="n">
        <f aca="false">I521</f>
        <v>0</v>
      </c>
      <c r="AH521" s="6" t="n">
        <f aca="false">L521</f>
        <v>0</v>
      </c>
    </row>
    <row r="522" customFormat="false" ht="15" hidden="false" customHeight="false" outlineLevel="0" collapsed="false">
      <c r="A522" s="0" t="str">
        <f aca="false">'Raw Data'!C522</f>
        <v>Fresh Pond</v>
      </c>
      <c r="B522" s="5" t="n">
        <f aca="false">'Raw Data'!A522</f>
        <v>40323</v>
      </c>
      <c r="C522" s="6" t="n">
        <f aca="false">'Raw Data'!D522</f>
        <v>196.189163880011</v>
      </c>
      <c r="D522" s="6" t="n">
        <f aca="false">'Raw Data'!E522</f>
        <v>4.065</v>
      </c>
      <c r="E522" s="6" t="n">
        <f aca="false">'Raw Data'!F522</f>
        <v>0</v>
      </c>
      <c r="F522" s="6" t="n">
        <f aca="false">'Raw Data'!G522</f>
        <v>0</v>
      </c>
      <c r="G522" s="6" t="n">
        <f aca="false">'Raw Data'!H522</f>
        <v>0</v>
      </c>
      <c r="H522" s="6" t="n">
        <f aca="false">'Raw Data'!I522</f>
        <v>0</v>
      </c>
      <c r="I522" s="6" t="n">
        <f aca="false">'Raw Data'!J522</f>
        <v>0</v>
      </c>
      <c r="J522" s="6" t="n">
        <f aca="false">'Raw Data'!K522</f>
        <v>1</v>
      </c>
      <c r="K522" s="6" t="n">
        <f aca="false">'Raw Data'!L522</f>
        <v>1</v>
      </c>
      <c r="L522" s="6" t="n">
        <f aca="false">F522*E522</f>
        <v>0</v>
      </c>
      <c r="N522" s="0" t="n">
        <v>1</v>
      </c>
      <c r="O522" s="6" t="n">
        <f aca="false">D522</f>
        <v>4.065</v>
      </c>
      <c r="P522" s="6" t="n">
        <f aca="false">E522</f>
        <v>0</v>
      </c>
      <c r="Q522" s="6" t="n">
        <f aca="false">F522</f>
        <v>0</v>
      </c>
      <c r="R522" s="6" t="n">
        <f aca="false">G522</f>
        <v>0</v>
      </c>
      <c r="S522" s="6" t="n">
        <f aca="false">H522</f>
        <v>0</v>
      </c>
      <c r="T522" s="6" t="n">
        <f aca="false">I522</f>
        <v>0</v>
      </c>
      <c r="U522" s="6" t="n">
        <f aca="false">L522</f>
        <v>0</v>
      </c>
      <c r="W522" s="6" t="n">
        <f aca="false">D522</f>
        <v>4.065</v>
      </c>
      <c r="X522" s="6" t="n">
        <f aca="false">E522</f>
        <v>0</v>
      </c>
      <c r="Y522" s="6" t="n">
        <f aca="false">F522</f>
        <v>0</v>
      </c>
      <c r="Z522" s="6" t="n">
        <f aca="false">L522</f>
        <v>0</v>
      </c>
      <c r="AA522" s="6" t="n">
        <f aca="false">G522</f>
        <v>0</v>
      </c>
      <c r="AC522" s="6" t="n">
        <f aca="false">D522</f>
        <v>4.065</v>
      </c>
      <c r="AD522" s="6" t="n">
        <f aca="false">E522</f>
        <v>0</v>
      </c>
      <c r="AE522" s="6" t="n">
        <f aca="false">G522</f>
        <v>0</v>
      </c>
      <c r="AF522" s="6" t="n">
        <f aca="false">H522</f>
        <v>0</v>
      </c>
      <c r="AG522" s="6" t="n">
        <f aca="false">I522</f>
        <v>0</v>
      </c>
      <c r="AH522" s="6" t="n">
        <f aca="false">L522</f>
        <v>0</v>
      </c>
    </row>
    <row r="523" customFormat="false" ht="15" hidden="false" customHeight="false" outlineLevel="0" collapsed="false">
      <c r="A523" s="0" t="str">
        <f aca="false">'Raw Data'!C523</f>
        <v>Fresh Pond</v>
      </c>
      <c r="B523" s="5" t="n">
        <f aca="false">'Raw Data'!A523</f>
        <v>40330</v>
      </c>
      <c r="C523" s="6" t="n">
        <f aca="false">'Raw Data'!D523</f>
        <v>153.558982685457</v>
      </c>
      <c r="D523" s="6" t="n">
        <f aca="false">'Raw Data'!E523</f>
        <v>3.861428571</v>
      </c>
      <c r="E523" s="6" t="n">
        <f aca="false">'Raw Data'!F523</f>
        <v>0</v>
      </c>
      <c r="F523" s="6" t="n">
        <f aca="false">'Raw Data'!G523</f>
        <v>0</v>
      </c>
      <c r="G523" s="6" t="n">
        <f aca="false">'Raw Data'!H523</f>
        <v>0</v>
      </c>
      <c r="H523" s="6" t="n">
        <f aca="false">'Raw Data'!I523</f>
        <v>0</v>
      </c>
      <c r="I523" s="6" t="n">
        <f aca="false">'Raw Data'!J523</f>
        <v>0</v>
      </c>
      <c r="J523" s="6" t="n">
        <f aca="false">'Raw Data'!K523</f>
        <v>1</v>
      </c>
      <c r="K523" s="6" t="n">
        <f aca="false">'Raw Data'!L523</f>
        <v>1</v>
      </c>
      <c r="L523" s="6" t="n">
        <f aca="false">F523*E523</f>
        <v>0</v>
      </c>
      <c r="N523" s="0" t="n">
        <v>1</v>
      </c>
      <c r="O523" s="6" t="n">
        <f aca="false">D523</f>
        <v>3.861428571</v>
      </c>
      <c r="P523" s="6" t="n">
        <f aca="false">E523</f>
        <v>0</v>
      </c>
      <c r="Q523" s="6" t="n">
        <f aca="false">F523</f>
        <v>0</v>
      </c>
      <c r="R523" s="6" t="n">
        <f aca="false">G523</f>
        <v>0</v>
      </c>
      <c r="S523" s="6" t="n">
        <f aca="false">H523</f>
        <v>0</v>
      </c>
      <c r="T523" s="6" t="n">
        <f aca="false">I523</f>
        <v>0</v>
      </c>
      <c r="U523" s="6" t="n">
        <f aca="false">L523</f>
        <v>0</v>
      </c>
      <c r="W523" s="6" t="n">
        <f aca="false">D523</f>
        <v>3.861428571</v>
      </c>
      <c r="X523" s="6" t="n">
        <f aca="false">E523</f>
        <v>0</v>
      </c>
      <c r="Y523" s="6" t="n">
        <f aca="false">F523</f>
        <v>0</v>
      </c>
      <c r="Z523" s="6" t="n">
        <f aca="false">L523</f>
        <v>0</v>
      </c>
      <c r="AA523" s="6" t="n">
        <f aca="false">G523</f>
        <v>0</v>
      </c>
      <c r="AC523" s="6" t="n">
        <f aca="false">D523</f>
        <v>3.861428571</v>
      </c>
      <c r="AD523" s="6" t="n">
        <f aca="false">E523</f>
        <v>0</v>
      </c>
      <c r="AE523" s="6" t="n">
        <f aca="false">G523</f>
        <v>0</v>
      </c>
      <c r="AF523" s="6" t="n">
        <f aca="false">H523</f>
        <v>0</v>
      </c>
      <c r="AG523" s="6" t="n">
        <f aca="false">I523</f>
        <v>0</v>
      </c>
      <c r="AH523" s="6" t="n">
        <f aca="false">L523</f>
        <v>0</v>
      </c>
    </row>
    <row r="524" customFormat="false" ht="15" hidden="false" customHeight="false" outlineLevel="0" collapsed="false">
      <c r="A524" s="0" t="str">
        <f aca="false">'Raw Data'!C524</f>
        <v>Fresh Pond</v>
      </c>
      <c r="B524" s="5" t="n">
        <f aca="false">'Raw Data'!A524</f>
        <v>40337</v>
      </c>
      <c r="C524" s="6" t="n">
        <f aca="false">'Raw Data'!D524</f>
        <v>175.435311154907</v>
      </c>
      <c r="D524" s="6" t="n">
        <f aca="false">'Raw Data'!E524</f>
        <v>4.204285714</v>
      </c>
      <c r="E524" s="6" t="n">
        <f aca="false">'Raw Data'!F524</f>
        <v>0</v>
      </c>
      <c r="F524" s="6" t="n">
        <f aca="false">'Raw Data'!G524</f>
        <v>0</v>
      </c>
      <c r="G524" s="6" t="n">
        <f aca="false">'Raw Data'!H524</f>
        <v>0</v>
      </c>
      <c r="H524" s="6" t="n">
        <f aca="false">'Raw Data'!I524</f>
        <v>0</v>
      </c>
      <c r="I524" s="6" t="n">
        <f aca="false">'Raw Data'!J524</f>
        <v>0</v>
      </c>
      <c r="J524" s="6" t="n">
        <f aca="false">'Raw Data'!K524</f>
        <v>1</v>
      </c>
      <c r="K524" s="6" t="n">
        <f aca="false">'Raw Data'!L524</f>
        <v>1</v>
      </c>
      <c r="L524" s="6" t="n">
        <f aca="false">F524*E524</f>
        <v>0</v>
      </c>
      <c r="N524" s="0" t="n">
        <v>1</v>
      </c>
      <c r="O524" s="6" t="n">
        <f aca="false">D524</f>
        <v>4.204285714</v>
      </c>
      <c r="P524" s="6" t="n">
        <f aca="false">E524</f>
        <v>0</v>
      </c>
      <c r="Q524" s="6" t="n">
        <f aca="false">F524</f>
        <v>0</v>
      </c>
      <c r="R524" s="6" t="n">
        <f aca="false">G524</f>
        <v>0</v>
      </c>
      <c r="S524" s="6" t="n">
        <f aca="false">H524</f>
        <v>0</v>
      </c>
      <c r="T524" s="6" t="n">
        <f aca="false">I524</f>
        <v>0</v>
      </c>
      <c r="U524" s="6" t="n">
        <f aca="false">L524</f>
        <v>0</v>
      </c>
      <c r="W524" s="6" t="n">
        <f aca="false">D524</f>
        <v>4.204285714</v>
      </c>
      <c r="X524" s="6" t="n">
        <f aca="false">E524</f>
        <v>0</v>
      </c>
      <c r="Y524" s="6" t="n">
        <f aca="false">F524</f>
        <v>0</v>
      </c>
      <c r="Z524" s="6" t="n">
        <f aca="false">L524</f>
        <v>0</v>
      </c>
      <c r="AA524" s="6" t="n">
        <f aca="false">G524</f>
        <v>0</v>
      </c>
      <c r="AC524" s="6" t="n">
        <f aca="false">D524</f>
        <v>4.204285714</v>
      </c>
      <c r="AD524" s="6" t="n">
        <f aca="false">E524</f>
        <v>0</v>
      </c>
      <c r="AE524" s="6" t="n">
        <f aca="false">G524</f>
        <v>0</v>
      </c>
      <c r="AF524" s="6" t="n">
        <f aca="false">H524</f>
        <v>0</v>
      </c>
      <c r="AG524" s="6" t="n">
        <f aca="false">I524</f>
        <v>0</v>
      </c>
      <c r="AH524" s="6" t="n">
        <f aca="false">L524</f>
        <v>0</v>
      </c>
    </row>
    <row r="525" customFormat="false" ht="15" hidden="false" customHeight="false" outlineLevel="0" collapsed="false">
      <c r="A525" s="0" t="str">
        <f aca="false">'Raw Data'!C525</f>
        <v>Fresh Pond</v>
      </c>
      <c r="B525" s="5" t="n">
        <f aca="false">'Raw Data'!A525</f>
        <v>40344</v>
      </c>
      <c r="C525" s="6" t="n">
        <f aca="false">'Raw Data'!D525</f>
        <v>176.744715257114</v>
      </c>
      <c r="D525" s="6" t="n">
        <f aca="false">'Raw Data'!E525</f>
        <v>4.6275</v>
      </c>
      <c r="E525" s="6" t="n">
        <f aca="false">'Raw Data'!F525</f>
        <v>0</v>
      </c>
      <c r="F525" s="6" t="n">
        <f aca="false">'Raw Data'!G525</f>
        <v>0</v>
      </c>
      <c r="G525" s="6" t="n">
        <f aca="false">'Raw Data'!H525</f>
        <v>0</v>
      </c>
      <c r="H525" s="6" t="n">
        <f aca="false">'Raw Data'!I525</f>
        <v>0</v>
      </c>
      <c r="I525" s="6" t="n">
        <f aca="false">'Raw Data'!J525</f>
        <v>0</v>
      </c>
      <c r="J525" s="6" t="n">
        <f aca="false">'Raw Data'!K525</f>
        <v>1</v>
      </c>
      <c r="K525" s="6" t="n">
        <f aca="false">'Raw Data'!L525</f>
        <v>1</v>
      </c>
      <c r="L525" s="6" t="n">
        <f aca="false">F525*E525</f>
        <v>0</v>
      </c>
      <c r="N525" s="0" t="n">
        <v>1</v>
      </c>
      <c r="O525" s="6" t="n">
        <f aca="false">D525</f>
        <v>4.6275</v>
      </c>
      <c r="P525" s="6" t="n">
        <f aca="false">E525</f>
        <v>0</v>
      </c>
      <c r="Q525" s="6" t="n">
        <f aca="false">F525</f>
        <v>0</v>
      </c>
      <c r="R525" s="6" t="n">
        <f aca="false">G525</f>
        <v>0</v>
      </c>
      <c r="S525" s="6" t="n">
        <f aca="false">H525</f>
        <v>0</v>
      </c>
      <c r="T525" s="6" t="n">
        <f aca="false">I525</f>
        <v>0</v>
      </c>
      <c r="U525" s="6" t="n">
        <f aca="false">L525</f>
        <v>0</v>
      </c>
      <c r="W525" s="6" t="n">
        <f aca="false">D525</f>
        <v>4.6275</v>
      </c>
      <c r="X525" s="6" t="n">
        <f aca="false">E525</f>
        <v>0</v>
      </c>
      <c r="Y525" s="6" t="n">
        <f aca="false">F525</f>
        <v>0</v>
      </c>
      <c r="Z525" s="6" t="n">
        <f aca="false">L525</f>
        <v>0</v>
      </c>
      <c r="AA525" s="6" t="n">
        <f aca="false">G525</f>
        <v>0</v>
      </c>
      <c r="AC525" s="6" t="n">
        <f aca="false">D525</f>
        <v>4.6275</v>
      </c>
      <c r="AD525" s="6" t="n">
        <f aca="false">E525</f>
        <v>0</v>
      </c>
      <c r="AE525" s="6" t="n">
        <f aca="false">G525</f>
        <v>0</v>
      </c>
      <c r="AF525" s="6" t="n">
        <f aca="false">H525</f>
        <v>0</v>
      </c>
      <c r="AG525" s="6" t="n">
        <f aca="false">I525</f>
        <v>0</v>
      </c>
      <c r="AH525" s="6" t="n">
        <f aca="false">L525</f>
        <v>0</v>
      </c>
    </row>
    <row r="526" customFormat="false" ht="15" hidden="false" customHeight="false" outlineLevel="0" collapsed="false">
      <c r="A526" s="0" t="str">
        <f aca="false">'Raw Data'!C526</f>
        <v>Fresh Pond</v>
      </c>
      <c r="B526" s="5" t="n">
        <f aca="false">'Raw Data'!A526</f>
        <v>40351</v>
      </c>
      <c r="C526" s="6" t="n">
        <f aca="false">'Raw Data'!D526</f>
        <v>137.508794678612</v>
      </c>
      <c r="D526" s="6" t="n">
        <f aca="false">'Raw Data'!E526</f>
        <v>4.204285714</v>
      </c>
      <c r="E526" s="6" t="n">
        <f aca="false">'Raw Data'!F526</f>
        <v>0</v>
      </c>
      <c r="F526" s="6" t="n">
        <f aca="false">'Raw Data'!G526</f>
        <v>0</v>
      </c>
      <c r="G526" s="6" t="n">
        <f aca="false">'Raw Data'!H526</f>
        <v>0</v>
      </c>
      <c r="H526" s="6" t="n">
        <f aca="false">'Raw Data'!I526</f>
        <v>0</v>
      </c>
      <c r="I526" s="6" t="n">
        <f aca="false">'Raw Data'!J526</f>
        <v>0</v>
      </c>
      <c r="J526" s="6" t="n">
        <f aca="false">'Raw Data'!K526</f>
        <v>1</v>
      </c>
      <c r="K526" s="6" t="n">
        <f aca="false">'Raw Data'!L526</f>
        <v>1</v>
      </c>
      <c r="L526" s="6" t="n">
        <f aca="false">F526*E526</f>
        <v>0</v>
      </c>
      <c r="N526" s="0" t="n">
        <v>1</v>
      </c>
      <c r="O526" s="6" t="n">
        <f aca="false">D526</f>
        <v>4.204285714</v>
      </c>
      <c r="P526" s="6" t="n">
        <f aca="false">E526</f>
        <v>0</v>
      </c>
      <c r="Q526" s="6" t="n">
        <f aca="false">F526</f>
        <v>0</v>
      </c>
      <c r="R526" s="6" t="n">
        <f aca="false">G526</f>
        <v>0</v>
      </c>
      <c r="S526" s="6" t="n">
        <f aca="false">H526</f>
        <v>0</v>
      </c>
      <c r="T526" s="6" t="n">
        <f aca="false">I526</f>
        <v>0</v>
      </c>
      <c r="U526" s="6" t="n">
        <f aca="false">L526</f>
        <v>0</v>
      </c>
      <c r="W526" s="6" t="n">
        <f aca="false">D526</f>
        <v>4.204285714</v>
      </c>
      <c r="X526" s="6" t="n">
        <f aca="false">E526</f>
        <v>0</v>
      </c>
      <c r="Y526" s="6" t="n">
        <f aca="false">F526</f>
        <v>0</v>
      </c>
      <c r="Z526" s="6" t="n">
        <f aca="false">L526</f>
        <v>0</v>
      </c>
      <c r="AA526" s="6" t="n">
        <f aca="false">G526</f>
        <v>0</v>
      </c>
      <c r="AC526" s="6" t="n">
        <f aca="false">D526</f>
        <v>4.204285714</v>
      </c>
      <c r="AD526" s="6" t="n">
        <f aca="false">E526</f>
        <v>0</v>
      </c>
      <c r="AE526" s="6" t="n">
        <f aca="false">G526</f>
        <v>0</v>
      </c>
      <c r="AF526" s="6" t="n">
        <f aca="false">H526</f>
        <v>0</v>
      </c>
      <c r="AG526" s="6" t="n">
        <f aca="false">I526</f>
        <v>0</v>
      </c>
      <c r="AH526" s="6" t="n">
        <f aca="false">L526</f>
        <v>0</v>
      </c>
    </row>
    <row r="527" customFormat="false" ht="15" hidden="false" customHeight="false" outlineLevel="0" collapsed="false">
      <c r="A527" s="0" t="str">
        <f aca="false">'Raw Data'!C527</f>
        <v>Fresh Pond</v>
      </c>
      <c r="B527" s="5" t="n">
        <f aca="false">'Raw Data'!A527</f>
        <v>40358</v>
      </c>
      <c r="C527" s="6" t="n">
        <f aca="false">'Raw Data'!D527</f>
        <v>165.452342539899</v>
      </c>
      <c r="D527" s="6" t="n">
        <f aca="false">'Raw Data'!E527</f>
        <v>4.044545455</v>
      </c>
      <c r="E527" s="6" t="n">
        <f aca="false">'Raw Data'!F527</f>
        <v>0</v>
      </c>
      <c r="F527" s="6" t="n">
        <f aca="false">'Raw Data'!G527</f>
        <v>0</v>
      </c>
      <c r="G527" s="6" t="n">
        <f aca="false">'Raw Data'!H527</f>
        <v>0</v>
      </c>
      <c r="H527" s="6" t="n">
        <f aca="false">'Raw Data'!I527</f>
        <v>0</v>
      </c>
      <c r="I527" s="6" t="n">
        <f aca="false">'Raw Data'!J527</f>
        <v>0</v>
      </c>
      <c r="J527" s="6" t="n">
        <f aca="false">'Raw Data'!K527</f>
        <v>1</v>
      </c>
      <c r="K527" s="6" t="n">
        <f aca="false">'Raw Data'!L527</f>
        <v>1</v>
      </c>
      <c r="L527" s="6" t="n">
        <f aca="false">F527*E527</f>
        <v>0</v>
      </c>
      <c r="N527" s="0" t="n">
        <v>1</v>
      </c>
      <c r="O527" s="6" t="n">
        <f aca="false">D527</f>
        <v>4.044545455</v>
      </c>
      <c r="P527" s="6" t="n">
        <f aca="false">E527</f>
        <v>0</v>
      </c>
      <c r="Q527" s="6" t="n">
        <f aca="false">F527</f>
        <v>0</v>
      </c>
      <c r="R527" s="6" t="n">
        <f aca="false">G527</f>
        <v>0</v>
      </c>
      <c r="S527" s="6" t="n">
        <f aca="false">H527</f>
        <v>0</v>
      </c>
      <c r="T527" s="6" t="n">
        <f aca="false">I527</f>
        <v>0</v>
      </c>
      <c r="U527" s="6" t="n">
        <f aca="false">L527</f>
        <v>0</v>
      </c>
      <c r="W527" s="6" t="n">
        <f aca="false">D527</f>
        <v>4.044545455</v>
      </c>
      <c r="X527" s="6" t="n">
        <f aca="false">E527</f>
        <v>0</v>
      </c>
      <c r="Y527" s="6" t="n">
        <f aca="false">F527</f>
        <v>0</v>
      </c>
      <c r="Z527" s="6" t="n">
        <f aca="false">L527</f>
        <v>0</v>
      </c>
      <c r="AA527" s="6" t="n">
        <f aca="false">G527</f>
        <v>0</v>
      </c>
      <c r="AC527" s="6" t="n">
        <f aca="false">D527</f>
        <v>4.044545455</v>
      </c>
      <c r="AD527" s="6" t="n">
        <f aca="false">E527</f>
        <v>0</v>
      </c>
      <c r="AE527" s="6" t="n">
        <f aca="false">G527</f>
        <v>0</v>
      </c>
      <c r="AF527" s="6" t="n">
        <f aca="false">H527</f>
        <v>0</v>
      </c>
      <c r="AG527" s="6" t="n">
        <f aca="false">I527</f>
        <v>0</v>
      </c>
      <c r="AH527" s="6" t="n">
        <f aca="false">L527</f>
        <v>0</v>
      </c>
    </row>
    <row r="528" customFormat="false" ht="15" hidden="false" customHeight="false" outlineLevel="0" collapsed="false">
      <c r="A528" s="0" t="str">
        <f aca="false">'Raw Data'!C528</f>
        <v>Fresh Pond</v>
      </c>
      <c r="B528" s="5" t="n">
        <f aca="false">'Raw Data'!A528</f>
        <v>40365</v>
      </c>
      <c r="C528" s="6" t="n">
        <f aca="false">'Raw Data'!D528</f>
        <v>219.325368441501</v>
      </c>
      <c r="D528" s="6" t="n">
        <f aca="false">'Raw Data'!E528</f>
        <v>3.504545455</v>
      </c>
      <c r="E528" s="6" t="n">
        <f aca="false">'Raw Data'!F528</f>
        <v>0</v>
      </c>
      <c r="F528" s="6" t="n">
        <f aca="false">'Raw Data'!G528</f>
        <v>0</v>
      </c>
      <c r="G528" s="6" t="n">
        <f aca="false">'Raw Data'!H528</f>
        <v>0</v>
      </c>
      <c r="H528" s="6" t="n">
        <f aca="false">'Raw Data'!I528</f>
        <v>0</v>
      </c>
      <c r="I528" s="6" t="n">
        <f aca="false">'Raw Data'!J528</f>
        <v>0</v>
      </c>
      <c r="J528" s="6" t="n">
        <f aca="false">'Raw Data'!K528</f>
        <v>1</v>
      </c>
      <c r="K528" s="6" t="n">
        <f aca="false">'Raw Data'!L528</f>
        <v>1</v>
      </c>
      <c r="L528" s="6" t="n">
        <f aca="false">F528*E528</f>
        <v>0</v>
      </c>
      <c r="N528" s="0" t="n">
        <v>1</v>
      </c>
      <c r="O528" s="6" t="n">
        <f aca="false">D528</f>
        <v>3.504545455</v>
      </c>
      <c r="P528" s="6" t="n">
        <f aca="false">E528</f>
        <v>0</v>
      </c>
      <c r="Q528" s="6" t="n">
        <f aca="false">F528</f>
        <v>0</v>
      </c>
      <c r="R528" s="6" t="n">
        <f aca="false">G528</f>
        <v>0</v>
      </c>
      <c r="S528" s="6" t="n">
        <f aca="false">H528</f>
        <v>0</v>
      </c>
      <c r="T528" s="6" t="n">
        <f aca="false">I528</f>
        <v>0</v>
      </c>
      <c r="U528" s="6" t="n">
        <f aca="false">L528</f>
        <v>0</v>
      </c>
      <c r="W528" s="6" t="n">
        <f aca="false">D528</f>
        <v>3.504545455</v>
      </c>
      <c r="X528" s="6" t="n">
        <f aca="false">E528</f>
        <v>0</v>
      </c>
      <c r="Y528" s="6" t="n">
        <f aca="false">F528</f>
        <v>0</v>
      </c>
      <c r="Z528" s="6" t="n">
        <f aca="false">L528</f>
        <v>0</v>
      </c>
      <c r="AA528" s="6" t="n">
        <f aca="false">G528</f>
        <v>0</v>
      </c>
      <c r="AC528" s="6" t="n">
        <f aca="false">D528</f>
        <v>3.504545455</v>
      </c>
      <c r="AD528" s="6" t="n">
        <f aca="false">E528</f>
        <v>0</v>
      </c>
      <c r="AE528" s="6" t="n">
        <f aca="false">G528</f>
        <v>0</v>
      </c>
      <c r="AF528" s="6" t="n">
        <f aca="false">H528</f>
        <v>0</v>
      </c>
      <c r="AG528" s="6" t="n">
        <f aca="false">I528</f>
        <v>0</v>
      </c>
      <c r="AH528" s="6" t="n">
        <f aca="false">L528</f>
        <v>0</v>
      </c>
    </row>
    <row r="529" customFormat="false" ht="15" hidden="false" customHeight="false" outlineLevel="0" collapsed="false">
      <c r="A529" s="0" t="str">
        <f aca="false">'Raw Data'!C529</f>
        <v>Fresh Pond</v>
      </c>
      <c r="B529" s="5" t="n">
        <f aca="false">'Raw Data'!A529</f>
        <v>40372</v>
      </c>
      <c r="C529" s="6" t="n">
        <f aca="false">'Raw Data'!D529</f>
        <v>162.067383890691</v>
      </c>
      <c r="D529" s="6" t="n">
        <f aca="false">'Raw Data'!E529</f>
        <v>3.504545455</v>
      </c>
      <c r="E529" s="6" t="n">
        <f aca="false">'Raw Data'!F529</f>
        <v>0</v>
      </c>
      <c r="F529" s="6" t="n">
        <f aca="false">'Raw Data'!G529</f>
        <v>0</v>
      </c>
      <c r="G529" s="6" t="n">
        <f aca="false">'Raw Data'!H529</f>
        <v>0</v>
      </c>
      <c r="H529" s="6" t="n">
        <f aca="false">'Raw Data'!I529</f>
        <v>0</v>
      </c>
      <c r="I529" s="6" t="n">
        <f aca="false">'Raw Data'!J529</f>
        <v>0</v>
      </c>
      <c r="J529" s="6" t="n">
        <f aca="false">'Raw Data'!K529</f>
        <v>1</v>
      </c>
      <c r="K529" s="6" t="n">
        <f aca="false">'Raw Data'!L529</f>
        <v>1</v>
      </c>
      <c r="L529" s="6" t="n">
        <f aca="false">F529*E529</f>
        <v>0</v>
      </c>
      <c r="N529" s="0" t="n">
        <v>1</v>
      </c>
      <c r="O529" s="6" t="n">
        <f aca="false">D529</f>
        <v>3.504545455</v>
      </c>
      <c r="P529" s="6" t="n">
        <f aca="false">E529</f>
        <v>0</v>
      </c>
      <c r="Q529" s="6" t="n">
        <f aca="false">F529</f>
        <v>0</v>
      </c>
      <c r="R529" s="6" t="n">
        <f aca="false">G529</f>
        <v>0</v>
      </c>
      <c r="S529" s="6" t="n">
        <f aca="false">H529</f>
        <v>0</v>
      </c>
      <c r="T529" s="6" t="n">
        <f aca="false">I529</f>
        <v>0</v>
      </c>
      <c r="U529" s="6" t="n">
        <f aca="false">L529</f>
        <v>0</v>
      </c>
      <c r="W529" s="6" t="n">
        <f aca="false">D529</f>
        <v>3.504545455</v>
      </c>
      <c r="X529" s="6" t="n">
        <f aca="false">E529</f>
        <v>0</v>
      </c>
      <c r="Y529" s="6" t="n">
        <f aca="false">F529</f>
        <v>0</v>
      </c>
      <c r="Z529" s="6" t="n">
        <f aca="false">L529</f>
        <v>0</v>
      </c>
      <c r="AA529" s="6" t="n">
        <f aca="false">G529</f>
        <v>0</v>
      </c>
      <c r="AC529" s="6" t="n">
        <f aca="false">D529</f>
        <v>3.504545455</v>
      </c>
      <c r="AD529" s="6" t="n">
        <f aca="false">E529</f>
        <v>0</v>
      </c>
      <c r="AE529" s="6" t="n">
        <f aca="false">G529</f>
        <v>0</v>
      </c>
      <c r="AF529" s="6" t="n">
        <f aca="false">H529</f>
        <v>0</v>
      </c>
      <c r="AG529" s="6" t="n">
        <f aca="false">I529</f>
        <v>0</v>
      </c>
      <c r="AH529" s="6" t="n">
        <f aca="false">L529</f>
        <v>0</v>
      </c>
    </row>
    <row r="530" customFormat="false" ht="15" hidden="false" customHeight="false" outlineLevel="0" collapsed="false">
      <c r="A530" s="0" t="str">
        <f aca="false">'Raw Data'!C530</f>
        <v>Hadley</v>
      </c>
      <c r="B530" s="5" t="n">
        <f aca="false">'Raw Data'!A530</f>
        <v>40302</v>
      </c>
      <c r="C530" s="6" t="n">
        <f aca="false">'Raw Data'!D530</f>
        <v>104.755668952299</v>
      </c>
      <c r="D530" s="6" t="n">
        <f aca="false">'Raw Data'!E530</f>
        <v>4.647142857</v>
      </c>
      <c r="E530" s="6" t="n">
        <f aca="false">'Raw Data'!F530</f>
        <v>0</v>
      </c>
      <c r="F530" s="6" t="n">
        <f aca="false">'Raw Data'!G530</f>
        <v>0</v>
      </c>
      <c r="G530" s="6" t="n">
        <f aca="false">'Raw Data'!H530</f>
        <v>0</v>
      </c>
      <c r="H530" s="6" t="n">
        <f aca="false">'Raw Data'!I530</f>
        <v>0</v>
      </c>
      <c r="I530" s="6" t="n">
        <f aca="false">'Raw Data'!J530</f>
        <v>0</v>
      </c>
      <c r="J530" s="6" t="n">
        <f aca="false">'Raw Data'!K530</f>
        <v>0</v>
      </c>
      <c r="K530" s="6" t="n">
        <f aca="false">'Raw Data'!L530</f>
        <v>3</v>
      </c>
      <c r="L530" s="6" t="n">
        <f aca="false">F530*E530</f>
        <v>0</v>
      </c>
      <c r="N530" s="0" t="n">
        <v>1</v>
      </c>
      <c r="O530" s="6" t="n">
        <f aca="false">D530</f>
        <v>4.647142857</v>
      </c>
      <c r="P530" s="6" t="n">
        <f aca="false">E530</f>
        <v>0</v>
      </c>
      <c r="Q530" s="6" t="n">
        <f aca="false">F530</f>
        <v>0</v>
      </c>
      <c r="R530" s="6" t="n">
        <f aca="false">G530</f>
        <v>0</v>
      </c>
      <c r="S530" s="6" t="n">
        <f aca="false">H530</f>
        <v>0</v>
      </c>
      <c r="T530" s="6" t="n">
        <f aca="false">I530</f>
        <v>0</v>
      </c>
      <c r="U530" s="6" t="n">
        <f aca="false">L530</f>
        <v>0</v>
      </c>
      <c r="W530" s="6" t="n">
        <f aca="false">D530</f>
        <v>4.647142857</v>
      </c>
      <c r="X530" s="6" t="n">
        <f aca="false">E530</f>
        <v>0</v>
      </c>
      <c r="Y530" s="6" t="n">
        <f aca="false">F530</f>
        <v>0</v>
      </c>
      <c r="Z530" s="6" t="n">
        <f aca="false">L530</f>
        <v>0</v>
      </c>
      <c r="AA530" s="6" t="n">
        <f aca="false">G530</f>
        <v>0</v>
      </c>
      <c r="AC530" s="6" t="n">
        <f aca="false">D530</f>
        <v>4.647142857</v>
      </c>
      <c r="AD530" s="6" t="n">
        <f aca="false">E530</f>
        <v>0</v>
      </c>
      <c r="AE530" s="6" t="n">
        <f aca="false">G530</f>
        <v>0</v>
      </c>
      <c r="AF530" s="6" t="n">
        <f aca="false">H530</f>
        <v>0</v>
      </c>
      <c r="AG530" s="6" t="n">
        <f aca="false">I530</f>
        <v>0</v>
      </c>
      <c r="AH530" s="6" t="n">
        <f aca="false">L530</f>
        <v>0</v>
      </c>
    </row>
    <row r="531" customFormat="false" ht="15" hidden="false" customHeight="false" outlineLevel="0" collapsed="false">
      <c r="A531" s="0" t="str">
        <f aca="false">'Raw Data'!C531</f>
        <v>Hadley</v>
      </c>
      <c r="B531" s="5" t="n">
        <f aca="false">'Raw Data'!A531</f>
        <v>40309</v>
      </c>
      <c r="C531" s="6" t="n">
        <f aca="false">'Raw Data'!D531</f>
        <v>202.083553871665</v>
      </c>
      <c r="D531" s="6" t="n">
        <f aca="false">'Raw Data'!E531</f>
        <v>4.6275</v>
      </c>
      <c r="E531" s="6" t="n">
        <f aca="false">'Raw Data'!F531</f>
        <v>0</v>
      </c>
      <c r="F531" s="6" t="n">
        <f aca="false">'Raw Data'!G531</f>
        <v>0</v>
      </c>
      <c r="G531" s="6" t="n">
        <f aca="false">'Raw Data'!H531</f>
        <v>0</v>
      </c>
      <c r="H531" s="6" t="n">
        <f aca="false">'Raw Data'!I531</f>
        <v>0</v>
      </c>
      <c r="I531" s="6" t="n">
        <f aca="false">'Raw Data'!J531</f>
        <v>0</v>
      </c>
      <c r="J531" s="6" t="n">
        <f aca="false">'Raw Data'!K531</f>
        <v>0</v>
      </c>
      <c r="K531" s="6" t="n">
        <f aca="false">'Raw Data'!L531</f>
        <v>3</v>
      </c>
      <c r="L531" s="6" t="n">
        <f aca="false">F531*E531</f>
        <v>0</v>
      </c>
      <c r="N531" s="0" t="n">
        <v>1</v>
      </c>
      <c r="O531" s="6" t="n">
        <f aca="false">D531</f>
        <v>4.6275</v>
      </c>
      <c r="P531" s="6" t="n">
        <f aca="false">E531</f>
        <v>0</v>
      </c>
      <c r="Q531" s="6" t="n">
        <f aca="false">F531</f>
        <v>0</v>
      </c>
      <c r="R531" s="6" t="n">
        <f aca="false">G531</f>
        <v>0</v>
      </c>
      <c r="S531" s="6" t="n">
        <f aca="false">H531</f>
        <v>0</v>
      </c>
      <c r="T531" s="6" t="n">
        <f aca="false">I531</f>
        <v>0</v>
      </c>
      <c r="U531" s="6" t="n">
        <f aca="false">L531</f>
        <v>0</v>
      </c>
      <c r="W531" s="6" t="n">
        <f aca="false">D531</f>
        <v>4.6275</v>
      </c>
      <c r="X531" s="6" t="n">
        <f aca="false">E531</f>
        <v>0</v>
      </c>
      <c r="Y531" s="6" t="n">
        <f aca="false">F531</f>
        <v>0</v>
      </c>
      <c r="Z531" s="6" t="n">
        <f aca="false">L531</f>
        <v>0</v>
      </c>
      <c r="AA531" s="6" t="n">
        <f aca="false">G531</f>
        <v>0</v>
      </c>
      <c r="AC531" s="6" t="n">
        <f aca="false">D531</f>
        <v>4.6275</v>
      </c>
      <c r="AD531" s="6" t="n">
        <f aca="false">E531</f>
        <v>0</v>
      </c>
      <c r="AE531" s="6" t="n">
        <f aca="false">G531</f>
        <v>0</v>
      </c>
      <c r="AF531" s="6" t="n">
        <f aca="false">H531</f>
        <v>0</v>
      </c>
      <c r="AG531" s="6" t="n">
        <f aca="false">I531</f>
        <v>0</v>
      </c>
      <c r="AH531" s="6" t="n">
        <f aca="false">L531</f>
        <v>0</v>
      </c>
    </row>
    <row r="532" customFormat="false" ht="15" hidden="false" customHeight="false" outlineLevel="0" collapsed="false">
      <c r="A532" s="0" t="str">
        <f aca="false">'Raw Data'!C532</f>
        <v>Hadley</v>
      </c>
      <c r="B532" s="5" t="n">
        <f aca="false">'Raw Data'!A532</f>
        <v>40316</v>
      </c>
      <c r="C532" s="6" t="n">
        <f aca="false">'Raw Data'!D532</f>
        <v>142.121763281226</v>
      </c>
      <c r="D532" s="6" t="n">
        <f aca="false">'Raw Data'!E532</f>
        <v>4.004285714</v>
      </c>
      <c r="E532" s="6" t="n">
        <f aca="false">'Raw Data'!F532</f>
        <v>0</v>
      </c>
      <c r="F532" s="6" t="n">
        <f aca="false">'Raw Data'!G532</f>
        <v>0</v>
      </c>
      <c r="G532" s="6" t="n">
        <f aca="false">'Raw Data'!H532</f>
        <v>0</v>
      </c>
      <c r="H532" s="6" t="n">
        <f aca="false">'Raw Data'!I532</f>
        <v>0</v>
      </c>
      <c r="I532" s="6" t="n">
        <f aca="false">'Raw Data'!J532</f>
        <v>0</v>
      </c>
      <c r="J532" s="6" t="n">
        <f aca="false">'Raw Data'!K532</f>
        <v>0</v>
      </c>
      <c r="K532" s="6" t="n">
        <f aca="false">'Raw Data'!L532</f>
        <v>3</v>
      </c>
      <c r="L532" s="6" t="n">
        <f aca="false">F532*E532</f>
        <v>0</v>
      </c>
      <c r="N532" s="0" t="n">
        <v>1</v>
      </c>
      <c r="O532" s="6" t="n">
        <f aca="false">D532</f>
        <v>4.004285714</v>
      </c>
      <c r="P532" s="6" t="n">
        <f aca="false">E532</f>
        <v>0</v>
      </c>
      <c r="Q532" s="6" t="n">
        <f aca="false">F532</f>
        <v>0</v>
      </c>
      <c r="R532" s="6" t="n">
        <f aca="false">G532</f>
        <v>0</v>
      </c>
      <c r="S532" s="6" t="n">
        <f aca="false">H532</f>
        <v>0</v>
      </c>
      <c r="T532" s="6" t="n">
        <f aca="false">I532</f>
        <v>0</v>
      </c>
      <c r="U532" s="6" t="n">
        <f aca="false">L532</f>
        <v>0</v>
      </c>
      <c r="W532" s="6" t="n">
        <f aca="false">D532</f>
        <v>4.004285714</v>
      </c>
      <c r="X532" s="6" t="n">
        <f aca="false">E532</f>
        <v>0</v>
      </c>
      <c r="Y532" s="6" t="n">
        <f aca="false">F532</f>
        <v>0</v>
      </c>
      <c r="Z532" s="6" t="n">
        <f aca="false">L532</f>
        <v>0</v>
      </c>
      <c r="AA532" s="6" t="n">
        <f aca="false">G532</f>
        <v>0</v>
      </c>
      <c r="AC532" s="6" t="n">
        <f aca="false">D532</f>
        <v>4.004285714</v>
      </c>
      <c r="AD532" s="6" t="n">
        <f aca="false">E532</f>
        <v>0</v>
      </c>
      <c r="AE532" s="6" t="n">
        <f aca="false">G532</f>
        <v>0</v>
      </c>
      <c r="AF532" s="6" t="n">
        <f aca="false">H532</f>
        <v>0</v>
      </c>
      <c r="AG532" s="6" t="n">
        <f aca="false">I532</f>
        <v>0</v>
      </c>
      <c r="AH532" s="6" t="n">
        <f aca="false">L532</f>
        <v>0</v>
      </c>
    </row>
    <row r="533" customFormat="false" ht="15" hidden="false" customHeight="false" outlineLevel="0" collapsed="false">
      <c r="A533" s="0" t="str">
        <f aca="false">'Raw Data'!C533</f>
        <v>Hadley</v>
      </c>
      <c r="B533" s="5" t="n">
        <f aca="false">'Raw Data'!A533</f>
        <v>40323</v>
      </c>
      <c r="C533" s="6" t="n">
        <f aca="false">'Raw Data'!D533</f>
        <v>223.053791296669</v>
      </c>
      <c r="D533" s="6" t="n">
        <f aca="false">'Raw Data'!E533</f>
        <v>3.861428571</v>
      </c>
      <c r="E533" s="6" t="n">
        <f aca="false">'Raw Data'!F533</f>
        <v>0</v>
      </c>
      <c r="F533" s="6" t="n">
        <f aca="false">'Raw Data'!G533</f>
        <v>0</v>
      </c>
      <c r="G533" s="6" t="n">
        <f aca="false">'Raw Data'!H533</f>
        <v>0</v>
      </c>
      <c r="H533" s="6" t="n">
        <f aca="false">'Raw Data'!I533</f>
        <v>0</v>
      </c>
      <c r="I533" s="6" t="n">
        <f aca="false">'Raw Data'!J533</f>
        <v>0</v>
      </c>
      <c r="J533" s="6" t="n">
        <f aca="false">'Raw Data'!K533</f>
        <v>0</v>
      </c>
      <c r="K533" s="6" t="n">
        <f aca="false">'Raw Data'!L533</f>
        <v>3</v>
      </c>
      <c r="L533" s="6" t="n">
        <f aca="false">F533*E533</f>
        <v>0</v>
      </c>
      <c r="N533" s="0" t="n">
        <v>1</v>
      </c>
      <c r="O533" s="6" t="n">
        <f aca="false">D533</f>
        <v>3.861428571</v>
      </c>
      <c r="P533" s="6" t="n">
        <f aca="false">E533</f>
        <v>0</v>
      </c>
      <c r="Q533" s="6" t="n">
        <f aca="false">F533</f>
        <v>0</v>
      </c>
      <c r="R533" s="6" t="n">
        <f aca="false">G533</f>
        <v>0</v>
      </c>
      <c r="S533" s="6" t="n">
        <f aca="false">H533</f>
        <v>0</v>
      </c>
      <c r="T533" s="6" t="n">
        <f aca="false">I533</f>
        <v>0</v>
      </c>
      <c r="U533" s="6" t="n">
        <f aca="false">L533</f>
        <v>0</v>
      </c>
      <c r="W533" s="6" t="n">
        <f aca="false">D533</f>
        <v>3.861428571</v>
      </c>
      <c r="X533" s="6" t="n">
        <f aca="false">E533</f>
        <v>0</v>
      </c>
      <c r="Y533" s="6" t="n">
        <f aca="false">F533</f>
        <v>0</v>
      </c>
      <c r="Z533" s="6" t="n">
        <f aca="false">L533</f>
        <v>0</v>
      </c>
      <c r="AA533" s="6" t="n">
        <f aca="false">G533</f>
        <v>0</v>
      </c>
      <c r="AC533" s="6" t="n">
        <f aca="false">D533</f>
        <v>3.861428571</v>
      </c>
      <c r="AD533" s="6" t="n">
        <f aca="false">E533</f>
        <v>0</v>
      </c>
      <c r="AE533" s="6" t="n">
        <f aca="false">G533</f>
        <v>0</v>
      </c>
      <c r="AF533" s="6" t="n">
        <f aca="false">H533</f>
        <v>0</v>
      </c>
      <c r="AG533" s="6" t="n">
        <f aca="false">I533</f>
        <v>0</v>
      </c>
      <c r="AH533" s="6" t="n">
        <f aca="false">L533</f>
        <v>0</v>
      </c>
    </row>
    <row r="534" customFormat="false" ht="15" hidden="false" customHeight="false" outlineLevel="0" collapsed="false">
      <c r="A534" s="0" t="str">
        <f aca="false">'Raw Data'!C534</f>
        <v>Hadley</v>
      </c>
      <c r="B534" s="5" t="n">
        <f aca="false">'Raw Data'!A534</f>
        <v>40330</v>
      </c>
      <c r="C534" s="6" t="n">
        <f aca="false">'Raw Data'!D534</f>
        <v>256.429872881119</v>
      </c>
      <c r="D534" s="6" t="n">
        <f aca="false">'Raw Data'!E534</f>
        <v>3.861428571</v>
      </c>
      <c r="E534" s="6" t="n">
        <f aca="false">'Raw Data'!F534</f>
        <v>0</v>
      </c>
      <c r="F534" s="6" t="n">
        <f aca="false">'Raw Data'!G534</f>
        <v>0</v>
      </c>
      <c r="G534" s="6" t="n">
        <f aca="false">'Raw Data'!H534</f>
        <v>0</v>
      </c>
      <c r="H534" s="6" t="n">
        <f aca="false">'Raw Data'!I534</f>
        <v>0</v>
      </c>
      <c r="I534" s="6" t="n">
        <f aca="false">'Raw Data'!J534</f>
        <v>0</v>
      </c>
      <c r="J534" s="6" t="n">
        <f aca="false">'Raw Data'!K534</f>
        <v>0</v>
      </c>
      <c r="K534" s="6" t="n">
        <f aca="false">'Raw Data'!L534</f>
        <v>3</v>
      </c>
      <c r="L534" s="6" t="n">
        <f aca="false">F534*E534</f>
        <v>0</v>
      </c>
      <c r="N534" s="0" t="n">
        <v>1</v>
      </c>
      <c r="O534" s="6" t="n">
        <f aca="false">D534</f>
        <v>3.861428571</v>
      </c>
      <c r="P534" s="6" t="n">
        <f aca="false">E534</f>
        <v>0</v>
      </c>
      <c r="Q534" s="6" t="n">
        <f aca="false">F534</f>
        <v>0</v>
      </c>
      <c r="R534" s="6" t="n">
        <f aca="false">G534</f>
        <v>0</v>
      </c>
      <c r="S534" s="6" t="n">
        <f aca="false">H534</f>
        <v>0</v>
      </c>
      <c r="T534" s="6" t="n">
        <f aca="false">I534</f>
        <v>0</v>
      </c>
      <c r="U534" s="6" t="n">
        <f aca="false">L534</f>
        <v>0</v>
      </c>
      <c r="W534" s="6" t="n">
        <f aca="false">D534</f>
        <v>3.861428571</v>
      </c>
      <c r="X534" s="6" t="n">
        <f aca="false">E534</f>
        <v>0</v>
      </c>
      <c r="Y534" s="6" t="n">
        <f aca="false">F534</f>
        <v>0</v>
      </c>
      <c r="Z534" s="6" t="n">
        <f aca="false">L534</f>
        <v>0</v>
      </c>
      <c r="AA534" s="6" t="n">
        <f aca="false">G534</f>
        <v>0</v>
      </c>
      <c r="AC534" s="6" t="n">
        <f aca="false">D534</f>
        <v>3.861428571</v>
      </c>
      <c r="AD534" s="6" t="n">
        <f aca="false">E534</f>
        <v>0</v>
      </c>
      <c r="AE534" s="6" t="n">
        <f aca="false">G534</f>
        <v>0</v>
      </c>
      <c r="AF534" s="6" t="n">
        <f aca="false">H534</f>
        <v>0</v>
      </c>
      <c r="AG534" s="6" t="n">
        <f aca="false">I534</f>
        <v>0</v>
      </c>
      <c r="AH534" s="6" t="n">
        <f aca="false">L534</f>
        <v>0</v>
      </c>
    </row>
    <row r="535" customFormat="false" ht="15" hidden="false" customHeight="false" outlineLevel="0" collapsed="false">
      <c r="A535" s="0" t="str">
        <f aca="false">'Raw Data'!C535</f>
        <v>Hadley</v>
      </c>
      <c r="B535" s="5" t="n">
        <f aca="false">'Raw Data'!A535</f>
        <v>40337</v>
      </c>
      <c r="C535" s="6" t="n">
        <f aca="false">'Raw Data'!D535</f>
        <v>168.201909197671</v>
      </c>
      <c r="D535" s="6" t="n">
        <f aca="false">'Raw Data'!E535</f>
        <v>4.6275</v>
      </c>
      <c r="E535" s="6" t="n">
        <f aca="false">'Raw Data'!F535</f>
        <v>0</v>
      </c>
      <c r="F535" s="6" t="n">
        <f aca="false">'Raw Data'!G535</f>
        <v>0</v>
      </c>
      <c r="G535" s="6" t="n">
        <f aca="false">'Raw Data'!H535</f>
        <v>0</v>
      </c>
      <c r="H535" s="6" t="n">
        <f aca="false">'Raw Data'!I535</f>
        <v>0</v>
      </c>
      <c r="I535" s="6" t="n">
        <f aca="false">'Raw Data'!J535</f>
        <v>0</v>
      </c>
      <c r="J535" s="6" t="n">
        <f aca="false">'Raw Data'!K535</f>
        <v>0</v>
      </c>
      <c r="K535" s="6" t="n">
        <f aca="false">'Raw Data'!L535</f>
        <v>3</v>
      </c>
      <c r="L535" s="6" t="n">
        <f aca="false">F535*E535</f>
        <v>0</v>
      </c>
      <c r="N535" s="0" t="n">
        <v>1</v>
      </c>
      <c r="O535" s="6" t="n">
        <f aca="false">D535</f>
        <v>4.6275</v>
      </c>
      <c r="P535" s="6" t="n">
        <f aca="false">E535</f>
        <v>0</v>
      </c>
      <c r="Q535" s="6" t="n">
        <f aca="false">F535</f>
        <v>0</v>
      </c>
      <c r="R535" s="6" t="n">
        <f aca="false">G535</f>
        <v>0</v>
      </c>
      <c r="S535" s="6" t="n">
        <f aca="false">H535</f>
        <v>0</v>
      </c>
      <c r="T535" s="6" t="n">
        <f aca="false">I535</f>
        <v>0</v>
      </c>
      <c r="U535" s="6" t="n">
        <f aca="false">L535</f>
        <v>0</v>
      </c>
      <c r="W535" s="6" t="n">
        <f aca="false">D535</f>
        <v>4.6275</v>
      </c>
      <c r="X535" s="6" t="n">
        <f aca="false">E535</f>
        <v>0</v>
      </c>
      <c r="Y535" s="6" t="n">
        <f aca="false">F535</f>
        <v>0</v>
      </c>
      <c r="Z535" s="6" t="n">
        <f aca="false">L535</f>
        <v>0</v>
      </c>
      <c r="AA535" s="6" t="n">
        <f aca="false">G535</f>
        <v>0</v>
      </c>
      <c r="AC535" s="6" t="n">
        <f aca="false">D535</f>
        <v>4.6275</v>
      </c>
      <c r="AD535" s="6" t="n">
        <f aca="false">E535</f>
        <v>0</v>
      </c>
      <c r="AE535" s="6" t="n">
        <f aca="false">G535</f>
        <v>0</v>
      </c>
      <c r="AF535" s="6" t="n">
        <f aca="false">H535</f>
        <v>0</v>
      </c>
      <c r="AG535" s="6" t="n">
        <f aca="false">I535</f>
        <v>0</v>
      </c>
      <c r="AH535" s="6" t="n">
        <f aca="false">L535</f>
        <v>0</v>
      </c>
    </row>
    <row r="536" customFormat="false" ht="15" hidden="false" customHeight="false" outlineLevel="0" collapsed="false">
      <c r="A536" s="0" t="str">
        <f aca="false">'Raw Data'!C536</f>
        <v>Hadley</v>
      </c>
      <c r="B536" s="5" t="n">
        <f aca="false">'Raw Data'!A536</f>
        <v>40344</v>
      </c>
      <c r="C536" s="6" t="n">
        <f aca="false">'Raw Data'!D536</f>
        <v>100.665419089582</v>
      </c>
      <c r="D536" s="6" t="n">
        <f aca="false">'Raw Data'!E536</f>
        <v>4.84</v>
      </c>
      <c r="E536" s="6" t="n">
        <f aca="false">'Raw Data'!F536</f>
        <v>0</v>
      </c>
      <c r="F536" s="6" t="n">
        <f aca="false">'Raw Data'!G536</f>
        <v>0</v>
      </c>
      <c r="G536" s="6" t="n">
        <f aca="false">'Raw Data'!H536</f>
        <v>0</v>
      </c>
      <c r="H536" s="6" t="n">
        <f aca="false">'Raw Data'!I536</f>
        <v>0</v>
      </c>
      <c r="I536" s="6" t="n">
        <f aca="false">'Raw Data'!J536</f>
        <v>0</v>
      </c>
      <c r="J536" s="6" t="n">
        <f aca="false">'Raw Data'!K536</f>
        <v>0</v>
      </c>
      <c r="K536" s="6" t="n">
        <f aca="false">'Raw Data'!L536</f>
        <v>3</v>
      </c>
      <c r="L536" s="6" t="n">
        <f aca="false">F536*E536</f>
        <v>0</v>
      </c>
      <c r="N536" s="0" t="n">
        <v>1</v>
      </c>
      <c r="O536" s="6" t="n">
        <f aca="false">D536</f>
        <v>4.84</v>
      </c>
      <c r="P536" s="6" t="n">
        <f aca="false">E536</f>
        <v>0</v>
      </c>
      <c r="Q536" s="6" t="n">
        <f aca="false">F536</f>
        <v>0</v>
      </c>
      <c r="R536" s="6" t="n">
        <f aca="false">G536</f>
        <v>0</v>
      </c>
      <c r="S536" s="6" t="n">
        <f aca="false">H536</f>
        <v>0</v>
      </c>
      <c r="T536" s="6" t="n">
        <f aca="false">I536</f>
        <v>0</v>
      </c>
      <c r="U536" s="6" t="n">
        <f aca="false">L536</f>
        <v>0</v>
      </c>
      <c r="W536" s="6" t="n">
        <f aca="false">D536</f>
        <v>4.84</v>
      </c>
      <c r="X536" s="6" t="n">
        <f aca="false">E536</f>
        <v>0</v>
      </c>
      <c r="Y536" s="6" t="n">
        <f aca="false">F536</f>
        <v>0</v>
      </c>
      <c r="Z536" s="6" t="n">
        <f aca="false">L536</f>
        <v>0</v>
      </c>
      <c r="AA536" s="6" t="n">
        <f aca="false">G536</f>
        <v>0</v>
      </c>
      <c r="AC536" s="6" t="n">
        <f aca="false">D536</f>
        <v>4.84</v>
      </c>
      <c r="AD536" s="6" t="n">
        <f aca="false">E536</f>
        <v>0</v>
      </c>
      <c r="AE536" s="6" t="n">
        <f aca="false">G536</f>
        <v>0</v>
      </c>
      <c r="AF536" s="6" t="n">
        <f aca="false">H536</f>
        <v>0</v>
      </c>
      <c r="AG536" s="6" t="n">
        <f aca="false">I536</f>
        <v>0</v>
      </c>
      <c r="AH536" s="6" t="n">
        <f aca="false">L536</f>
        <v>0</v>
      </c>
    </row>
    <row r="537" customFormat="false" ht="15" hidden="false" customHeight="false" outlineLevel="0" collapsed="false">
      <c r="A537" s="0" t="str">
        <f aca="false">'Raw Data'!C537</f>
        <v>Hadley</v>
      </c>
      <c r="B537" s="5" t="n">
        <f aca="false">'Raw Data'!A537</f>
        <v>40351</v>
      </c>
      <c r="C537" s="6" t="n">
        <f aca="false">'Raw Data'!D537</f>
        <v>230.247506124038</v>
      </c>
      <c r="D537" s="6" t="n">
        <f aca="false">'Raw Data'!E537</f>
        <v>4.6275</v>
      </c>
      <c r="E537" s="6" t="n">
        <f aca="false">'Raw Data'!F537</f>
        <v>0</v>
      </c>
      <c r="F537" s="6" t="n">
        <f aca="false">'Raw Data'!G537</f>
        <v>0</v>
      </c>
      <c r="G537" s="6" t="n">
        <f aca="false">'Raw Data'!H537</f>
        <v>0</v>
      </c>
      <c r="H537" s="6" t="n">
        <f aca="false">'Raw Data'!I537</f>
        <v>0</v>
      </c>
      <c r="I537" s="6" t="n">
        <f aca="false">'Raw Data'!J537</f>
        <v>0</v>
      </c>
      <c r="J537" s="6" t="n">
        <f aca="false">'Raw Data'!K537</f>
        <v>0</v>
      </c>
      <c r="K537" s="6" t="n">
        <f aca="false">'Raw Data'!L537</f>
        <v>3</v>
      </c>
      <c r="L537" s="6" t="n">
        <f aca="false">F537*E537</f>
        <v>0</v>
      </c>
      <c r="N537" s="0" t="n">
        <v>1</v>
      </c>
      <c r="O537" s="6" t="n">
        <f aca="false">D537</f>
        <v>4.6275</v>
      </c>
      <c r="P537" s="6" t="n">
        <f aca="false">E537</f>
        <v>0</v>
      </c>
      <c r="Q537" s="6" t="n">
        <f aca="false">F537</f>
        <v>0</v>
      </c>
      <c r="R537" s="6" t="n">
        <f aca="false">G537</f>
        <v>0</v>
      </c>
      <c r="S537" s="6" t="n">
        <f aca="false">H537</f>
        <v>0</v>
      </c>
      <c r="T537" s="6" t="n">
        <f aca="false">I537</f>
        <v>0</v>
      </c>
      <c r="U537" s="6" t="n">
        <f aca="false">L537</f>
        <v>0</v>
      </c>
      <c r="W537" s="6" t="n">
        <f aca="false">D537</f>
        <v>4.6275</v>
      </c>
      <c r="X537" s="6" t="n">
        <f aca="false">E537</f>
        <v>0</v>
      </c>
      <c r="Y537" s="6" t="n">
        <f aca="false">F537</f>
        <v>0</v>
      </c>
      <c r="Z537" s="6" t="n">
        <f aca="false">L537</f>
        <v>0</v>
      </c>
      <c r="AA537" s="6" t="n">
        <f aca="false">G537</f>
        <v>0</v>
      </c>
      <c r="AC537" s="6" t="n">
        <f aca="false">D537</f>
        <v>4.6275</v>
      </c>
      <c r="AD537" s="6" t="n">
        <f aca="false">E537</f>
        <v>0</v>
      </c>
      <c r="AE537" s="6" t="n">
        <f aca="false">G537</f>
        <v>0</v>
      </c>
      <c r="AF537" s="6" t="n">
        <f aca="false">H537</f>
        <v>0</v>
      </c>
      <c r="AG537" s="6" t="n">
        <f aca="false">I537</f>
        <v>0</v>
      </c>
      <c r="AH537" s="6" t="n">
        <f aca="false">L537</f>
        <v>0</v>
      </c>
    </row>
    <row r="538" customFormat="false" ht="15" hidden="false" customHeight="false" outlineLevel="0" collapsed="false">
      <c r="A538" s="0" t="str">
        <f aca="false">'Raw Data'!C538</f>
        <v>Hadley</v>
      </c>
      <c r="B538" s="5" t="n">
        <f aca="false">'Raw Data'!A538</f>
        <v>40358</v>
      </c>
      <c r="C538" s="6" t="n">
        <f aca="false">'Raw Data'!D538</f>
        <v>122.384532220139</v>
      </c>
      <c r="D538" s="6" t="n">
        <f aca="false">'Raw Data'!E538</f>
        <v>4.6275</v>
      </c>
      <c r="E538" s="6" t="n">
        <f aca="false">'Raw Data'!F538</f>
        <v>0</v>
      </c>
      <c r="F538" s="6" t="n">
        <f aca="false">'Raw Data'!G538</f>
        <v>0</v>
      </c>
      <c r="G538" s="6" t="n">
        <f aca="false">'Raw Data'!H538</f>
        <v>0</v>
      </c>
      <c r="H538" s="6" t="n">
        <f aca="false">'Raw Data'!I538</f>
        <v>0</v>
      </c>
      <c r="I538" s="6" t="n">
        <f aca="false">'Raw Data'!J538</f>
        <v>0</v>
      </c>
      <c r="J538" s="6" t="n">
        <f aca="false">'Raw Data'!K538</f>
        <v>0</v>
      </c>
      <c r="K538" s="6" t="n">
        <f aca="false">'Raw Data'!L538</f>
        <v>3</v>
      </c>
      <c r="L538" s="6" t="n">
        <f aca="false">F538*E538</f>
        <v>0</v>
      </c>
      <c r="N538" s="0" t="n">
        <v>1</v>
      </c>
      <c r="O538" s="6" t="n">
        <f aca="false">D538</f>
        <v>4.6275</v>
      </c>
      <c r="P538" s="6" t="n">
        <f aca="false">E538</f>
        <v>0</v>
      </c>
      <c r="Q538" s="6" t="n">
        <f aca="false">F538</f>
        <v>0</v>
      </c>
      <c r="R538" s="6" t="n">
        <f aca="false">G538</f>
        <v>0</v>
      </c>
      <c r="S538" s="6" t="n">
        <f aca="false">H538</f>
        <v>0</v>
      </c>
      <c r="T538" s="6" t="n">
        <f aca="false">I538</f>
        <v>0</v>
      </c>
      <c r="U538" s="6" t="n">
        <f aca="false">L538</f>
        <v>0</v>
      </c>
      <c r="W538" s="6" t="n">
        <f aca="false">D538</f>
        <v>4.6275</v>
      </c>
      <c r="X538" s="6" t="n">
        <f aca="false">E538</f>
        <v>0</v>
      </c>
      <c r="Y538" s="6" t="n">
        <f aca="false">F538</f>
        <v>0</v>
      </c>
      <c r="Z538" s="6" t="n">
        <f aca="false">L538</f>
        <v>0</v>
      </c>
      <c r="AA538" s="6" t="n">
        <f aca="false">G538</f>
        <v>0</v>
      </c>
      <c r="AC538" s="6" t="n">
        <f aca="false">D538</f>
        <v>4.6275</v>
      </c>
      <c r="AD538" s="6" t="n">
        <f aca="false">E538</f>
        <v>0</v>
      </c>
      <c r="AE538" s="6" t="n">
        <f aca="false">G538</f>
        <v>0</v>
      </c>
      <c r="AF538" s="6" t="n">
        <f aca="false">H538</f>
        <v>0</v>
      </c>
      <c r="AG538" s="6" t="n">
        <f aca="false">I538</f>
        <v>0</v>
      </c>
      <c r="AH538" s="6" t="n">
        <f aca="false">L538</f>
        <v>0</v>
      </c>
    </row>
    <row r="539" customFormat="false" ht="15" hidden="false" customHeight="false" outlineLevel="0" collapsed="false">
      <c r="A539" s="0" t="str">
        <f aca="false">'Raw Data'!C539</f>
        <v>Hadley</v>
      </c>
      <c r="B539" s="5" t="n">
        <f aca="false">'Raw Data'!A539</f>
        <v>40365</v>
      </c>
      <c r="C539" s="6" t="n">
        <f aca="false">'Raw Data'!D539</f>
        <v>175.45722745969</v>
      </c>
      <c r="D539" s="6" t="n">
        <f aca="false">'Raw Data'!E539</f>
        <v>4.25625</v>
      </c>
      <c r="E539" s="6" t="n">
        <f aca="false">'Raw Data'!F539</f>
        <v>0</v>
      </c>
      <c r="F539" s="6" t="n">
        <f aca="false">'Raw Data'!G539</f>
        <v>0</v>
      </c>
      <c r="G539" s="6" t="n">
        <f aca="false">'Raw Data'!H539</f>
        <v>0</v>
      </c>
      <c r="H539" s="6" t="n">
        <f aca="false">'Raw Data'!I539</f>
        <v>0</v>
      </c>
      <c r="I539" s="6" t="n">
        <f aca="false">'Raw Data'!J539</f>
        <v>0</v>
      </c>
      <c r="J539" s="6" t="n">
        <f aca="false">'Raw Data'!K539</f>
        <v>0</v>
      </c>
      <c r="K539" s="6" t="n">
        <f aca="false">'Raw Data'!L539</f>
        <v>3</v>
      </c>
      <c r="L539" s="6" t="n">
        <f aca="false">F539*E539</f>
        <v>0</v>
      </c>
      <c r="N539" s="0" t="n">
        <v>1</v>
      </c>
      <c r="O539" s="6" t="n">
        <f aca="false">D539</f>
        <v>4.25625</v>
      </c>
      <c r="P539" s="6" t="n">
        <f aca="false">E539</f>
        <v>0</v>
      </c>
      <c r="Q539" s="6" t="n">
        <f aca="false">F539</f>
        <v>0</v>
      </c>
      <c r="R539" s="6" t="n">
        <f aca="false">G539</f>
        <v>0</v>
      </c>
      <c r="S539" s="6" t="n">
        <f aca="false">H539</f>
        <v>0</v>
      </c>
      <c r="T539" s="6" t="n">
        <f aca="false">I539</f>
        <v>0</v>
      </c>
      <c r="U539" s="6" t="n">
        <f aca="false">L539</f>
        <v>0</v>
      </c>
      <c r="W539" s="6" t="n">
        <f aca="false">D539</f>
        <v>4.25625</v>
      </c>
      <c r="X539" s="6" t="n">
        <f aca="false">E539</f>
        <v>0</v>
      </c>
      <c r="Y539" s="6" t="n">
        <f aca="false">F539</f>
        <v>0</v>
      </c>
      <c r="Z539" s="6" t="n">
        <f aca="false">L539</f>
        <v>0</v>
      </c>
      <c r="AA539" s="6" t="n">
        <f aca="false">G539</f>
        <v>0</v>
      </c>
      <c r="AC539" s="6" t="n">
        <f aca="false">D539</f>
        <v>4.25625</v>
      </c>
      <c r="AD539" s="6" t="n">
        <f aca="false">E539</f>
        <v>0</v>
      </c>
      <c r="AE539" s="6" t="n">
        <f aca="false">G539</f>
        <v>0</v>
      </c>
      <c r="AF539" s="6" t="n">
        <f aca="false">H539</f>
        <v>0</v>
      </c>
      <c r="AG539" s="6" t="n">
        <f aca="false">I539</f>
        <v>0</v>
      </c>
      <c r="AH539" s="6" t="n">
        <f aca="false">L539</f>
        <v>0</v>
      </c>
    </row>
    <row r="540" customFormat="false" ht="15" hidden="false" customHeight="false" outlineLevel="0" collapsed="false">
      <c r="A540" s="0" t="str">
        <f aca="false">'Raw Data'!C540</f>
        <v>Hadley</v>
      </c>
      <c r="B540" s="5" t="n">
        <f aca="false">'Raw Data'!A540</f>
        <v>40372</v>
      </c>
      <c r="C540" s="6" t="n">
        <f aca="false">'Raw Data'!D540</f>
        <v>105.880894035425</v>
      </c>
      <c r="D540" s="6" t="n">
        <f aca="false">'Raw Data'!E540</f>
        <v>3.95</v>
      </c>
      <c r="E540" s="6" t="n">
        <f aca="false">'Raw Data'!F540</f>
        <v>0</v>
      </c>
      <c r="F540" s="6" t="n">
        <f aca="false">'Raw Data'!G540</f>
        <v>0</v>
      </c>
      <c r="G540" s="6" t="n">
        <f aca="false">'Raw Data'!H540</f>
        <v>0</v>
      </c>
      <c r="H540" s="6" t="n">
        <f aca="false">'Raw Data'!I540</f>
        <v>0</v>
      </c>
      <c r="I540" s="6" t="n">
        <f aca="false">'Raw Data'!J540</f>
        <v>0</v>
      </c>
      <c r="J540" s="6" t="n">
        <f aca="false">'Raw Data'!K540</f>
        <v>0</v>
      </c>
      <c r="K540" s="6" t="n">
        <f aca="false">'Raw Data'!L540</f>
        <v>3</v>
      </c>
      <c r="L540" s="6" t="n">
        <f aca="false">F540*E540</f>
        <v>0</v>
      </c>
      <c r="N540" s="0" t="n">
        <v>1</v>
      </c>
      <c r="O540" s="6" t="n">
        <f aca="false">D540</f>
        <v>3.95</v>
      </c>
      <c r="P540" s="6" t="n">
        <f aca="false">E540</f>
        <v>0</v>
      </c>
      <c r="Q540" s="6" t="n">
        <f aca="false">F540</f>
        <v>0</v>
      </c>
      <c r="R540" s="6" t="n">
        <f aca="false">G540</f>
        <v>0</v>
      </c>
      <c r="S540" s="6" t="n">
        <f aca="false">H540</f>
        <v>0</v>
      </c>
      <c r="T540" s="6" t="n">
        <f aca="false">I540</f>
        <v>0</v>
      </c>
      <c r="U540" s="6" t="n">
        <f aca="false">L540</f>
        <v>0</v>
      </c>
      <c r="W540" s="6" t="n">
        <f aca="false">D540</f>
        <v>3.95</v>
      </c>
      <c r="X540" s="6" t="n">
        <f aca="false">E540</f>
        <v>0</v>
      </c>
      <c r="Y540" s="6" t="n">
        <f aca="false">F540</f>
        <v>0</v>
      </c>
      <c r="Z540" s="6" t="n">
        <f aca="false">L540</f>
        <v>0</v>
      </c>
      <c r="AA540" s="6" t="n">
        <f aca="false">G540</f>
        <v>0</v>
      </c>
      <c r="AC540" s="6" t="n">
        <f aca="false">D540</f>
        <v>3.95</v>
      </c>
      <c r="AD540" s="6" t="n">
        <f aca="false">E540</f>
        <v>0</v>
      </c>
      <c r="AE540" s="6" t="n">
        <f aca="false">G540</f>
        <v>0</v>
      </c>
      <c r="AF540" s="6" t="n">
        <f aca="false">H540</f>
        <v>0</v>
      </c>
      <c r="AG540" s="6" t="n">
        <f aca="false">I540</f>
        <v>0</v>
      </c>
      <c r="AH540" s="6" t="n">
        <f aca="false">L540</f>
        <v>0</v>
      </c>
    </row>
    <row r="541" customFormat="false" ht="15" hidden="false" customHeight="false" outlineLevel="0" collapsed="false">
      <c r="A541" s="0" t="str">
        <f aca="false">'Raw Data'!C541</f>
        <v>Hingham</v>
      </c>
      <c r="B541" s="5" t="n">
        <f aca="false">'Raw Data'!A541</f>
        <v>40302</v>
      </c>
      <c r="C541" s="6" t="n">
        <f aca="false">'Raw Data'!D541</f>
        <v>169.330437836457</v>
      </c>
      <c r="D541" s="6" t="n">
        <f aca="false">'Raw Data'!E541</f>
        <v>4.6275</v>
      </c>
      <c r="E541" s="6" t="n">
        <f aca="false">'Raw Data'!F541</f>
        <v>0</v>
      </c>
      <c r="F541" s="6" t="n">
        <f aca="false">'Raw Data'!G541</f>
        <v>0</v>
      </c>
      <c r="G541" s="6" t="n">
        <f aca="false">'Raw Data'!H541</f>
        <v>0</v>
      </c>
      <c r="H541" s="6" t="n">
        <f aca="false">'Raw Data'!I541</f>
        <v>0</v>
      </c>
      <c r="I541" s="6" t="n">
        <f aca="false">'Raw Data'!J541</f>
        <v>0</v>
      </c>
      <c r="J541" s="6" t="n">
        <f aca="false">'Raw Data'!K541</f>
        <v>1</v>
      </c>
      <c r="K541" s="6" t="n">
        <f aca="false">'Raw Data'!L541</f>
        <v>0</v>
      </c>
      <c r="L541" s="6" t="n">
        <f aca="false">F541*E541</f>
        <v>0</v>
      </c>
      <c r="N541" s="0" t="n">
        <v>1</v>
      </c>
      <c r="O541" s="6" t="n">
        <f aca="false">D541</f>
        <v>4.6275</v>
      </c>
      <c r="P541" s="6" t="n">
        <f aca="false">E541</f>
        <v>0</v>
      </c>
      <c r="Q541" s="6" t="n">
        <f aca="false">F541</f>
        <v>0</v>
      </c>
      <c r="R541" s="6" t="n">
        <f aca="false">G541</f>
        <v>0</v>
      </c>
      <c r="S541" s="6" t="n">
        <f aca="false">H541</f>
        <v>0</v>
      </c>
      <c r="T541" s="6" t="n">
        <f aca="false">I541</f>
        <v>0</v>
      </c>
      <c r="U541" s="6" t="n">
        <f aca="false">L541</f>
        <v>0</v>
      </c>
      <c r="W541" s="6" t="n">
        <f aca="false">D541</f>
        <v>4.6275</v>
      </c>
      <c r="X541" s="6" t="n">
        <f aca="false">E541</f>
        <v>0</v>
      </c>
      <c r="Y541" s="6" t="n">
        <f aca="false">F541</f>
        <v>0</v>
      </c>
      <c r="Z541" s="6" t="n">
        <f aca="false">L541</f>
        <v>0</v>
      </c>
      <c r="AA541" s="6" t="n">
        <f aca="false">G541</f>
        <v>0</v>
      </c>
      <c r="AC541" s="6" t="n">
        <f aca="false">D541</f>
        <v>4.6275</v>
      </c>
      <c r="AD541" s="6" t="n">
        <f aca="false">E541</f>
        <v>0</v>
      </c>
      <c r="AE541" s="6" t="n">
        <f aca="false">G541</f>
        <v>0</v>
      </c>
      <c r="AF541" s="6" t="n">
        <f aca="false">H541</f>
        <v>0</v>
      </c>
      <c r="AG541" s="6" t="n">
        <f aca="false">I541</f>
        <v>0</v>
      </c>
      <c r="AH541" s="6" t="n">
        <f aca="false">L541</f>
        <v>0</v>
      </c>
    </row>
    <row r="542" customFormat="false" ht="15" hidden="false" customHeight="false" outlineLevel="0" collapsed="false">
      <c r="A542" s="0" t="str">
        <f aca="false">'Raw Data'!C542</f>
        <v>Hingham</v>
      </c>
      <c r="B542" s="5" t="n">
        <f aca="false">'Raw Data'!A542</f>
        <v>40309</v>
      </c>
      <c r="C542" s="6" t="n">
        <f aca="false">'Raw Data'!D542</f>
        <v>120.302848778305</v>
      </c>
      <c r="D542" s="6" t="n">
        <f aca="false">'Raw Data'!E542</f>
        <v>4.204285714</v>
      </c>
      <c r="E542" s="6" t="n">
        <f aca="false">'Raw Data'!F542</f>
        <v>0</v>
      </c>
      <c r="F542" s="6" t="n">
        <f aca="false">'Raw Data'!G542</f>
        <v>0</v>
      </c>
      <c r="G542" s="6" t="n">
        <f aca="false">'Raw Data'!H542</f>
        <v>0</v>
      </c>
      <c r="H542" s="6" t="n">
        <f aca="false">'Raw Data'!I542</f>
        <v>0</v>
      </c>
      <c r="I542" s="6" t="n">
        <f aca="false">'Raw Data'!J542</f>
        <v>0</v>
      </c>
      <c r="J542" s="6" t="n">
        <f aca="false">'Raw Data'!K542</f>
        <v>1</v>
      </c>
      <c r="K542" s="6" t="n">
        <f aca="false">'Raw Data'!L542</f>
        <v>0</v>
      </c>
      <c r="L542" s="6" t="n">
        <f aca="false">F542*E542</f>
        <v>0</v>
      </c>
      <c r="N542" s="0" t="n">
        <v>1</v>
      </c>
      <c r="O542" s="6" t="n">
        <f aca="false">D542</f>
        <v>4.204285714</v>
      </c>
      <c r="P542" s="6" t="n">
        <f aca="false">E542</f>
        <v>0</v>
      </c>
      <c r="Q542" s="6" t="n">
        <f aca="false">F542</f>
        <v>0</v>
      </c>
      <c r="R542" s="6" t="n">
        <f aca="false">G542</f>
        <v>0</v>
      </c>
      <c r="S542" s="6" t="n">
        <f aca="false">H542</f>
        <v>0</v>
      </c>
      <c r="T542" s="6" t="n">
        <f aca="false">I542</f>
        <v>0</v>
      </c>
      <c r="U542" s="6" t="n">
        <f aca="false">L542</f>
        <v>0</v>
      </c>
      <c r="W542" s="6" t="n">
        <f aca="false">D542</f>
        <v>4.204285714</v>
      </c>
      <c r="X542" s="6" t="n">
        <f aca="false">E542</f>
        <v>0</v>
      </c>
      <c r="Y542" s="6" t="n">
        <f aca="false">F542</f>
        <v>0</v>
      </c>
      <c r="Z542" s="6" t="n">
        <f aca="false">L542</f>
        <v>0</v>
      </c>
      <c r="AA542" s="6" t="n">
        <f aca="false">G542</f>
        <v>0</v>
      </c>
      <c r="AC542" s="6" t="n">
        <f aca="false">D542</f>
        <v>4.204285714</v>
      </c>
      <c r="AD542" s="6" t="n">
        <f aca="false">E542</f>
        <v>0</v>
      </c>
      <c r="AE542" s="6" t="n">
        <f aca="false">G542</f>
        <v>0</v>
      </c>
      <c r="AF542" s="6" t="n">
        <f aca="false">H542</f>
        <v>0</v>
      </c>
      <c r="AG542" s="6" t="n">
        <f aca="false">I542</f>
        <v>0</v>
      </c>
      <c r="AH542" s="6" t="n">
        <f aca="false">L542</f>
        <v>0</v>
      </c>
    </row>
    <row r="543" customFormat="false" ht="15" hidden="false" customHeight="false" outlineLevel="0" collapsed="false">
      <c r="A543" s="0" t="str">
        <f aca="false">'Raw Data'!C543</f>
        <v>Hingham</v>
      </c>
      <c r="B543" s="5" t="n">
        <f aca="false">'Raw Data'!A543</f>
        <v>40316</v>
      </c>
      <c r="C543" s="6" t="n">
        <f aca="false">'Raw Data'!D543</f>
        <v>152.072856465927</v>
      </c>
      <c r="D543" s="6" t="n">
        <f aca="false">'Raw Data'!E543</f>
        <v>4.065</v>
      </c>
      <c r="E543" s="6" t="n">
        <f aca="false">'Raw Data'!F543</f>
        <v>0</v>
      </c>
      <c r="F543" s="6" t="n">
        <f aca="false">'Raw Data'!G543</f>
        <v>0</v>
      </c>
      <c r="G543" s="6" t="n">
        <f aca="false">'Raw Data'!H543</f>
        <v>0</v>
      </c>
      <c r="H543" s="6" t="n">
        <f aca="false">'Raw Data'!I543</f>
        <v>0</v>
      </c>
      <c r="I543" s="6" t="n">
        <f aca="false">'Raw Data'!J543</f>
        <v>0</v>
      </c>
      <c r="J543" s="6" t="n">
        <f aca="false">'Raw Data'!K543</f>
        <v>1</v>
      </c>
      <c r="K543" s="6" t="n">
        <f aca="false">'Raw Data'!L543</f>
        <v>0</v>
      </c>
      <c r="L543" s="6" t="n">
        <f aca="false">F543*E543</f>
        <v>0</v>
      </c>
      <c r="N543" s="0" t="n">
        <v>1</v>
      </c>
      <c r="O543" s="6" t="n">
        <f aca="false">D543</f>
        <v>4.065</v>
      </c>
      <c r="P543" s="6" t="n">
        <f aca="false">E543</f>
        <v>0</v>
      </c>
      <c r="Q543" s="6" t="n">
        <f aca="false">F543</f>
        <v>0</v>
      </c>
      <c r="R543" s="6" t="n">
        <f aca="false">G543</f>
        <v>0</v>
      </c>
      <c r="S543" s="6" t="n">
        <f aca="false">H543</f>
        <v>0</v>
      </c>
      <c r="T543" s="6" t="n">
        <f aca="false">I543</f>
        <v>0</v>
      </c>
      <c r="U543" s="6" t="n">
        <f aca="false">L543</f>
        <v>0</v>
      </c>
      <c r="W543" s="6" t="n">
        <f aca="false">D543</f>
        <v>4.065</v>
      </c>
      <c r="X543" s="6" t="n">
        <f aca="false">E543</f>
        <v>0</v>
      </c>
      <c r="Y543" s="6" t="n">
        <f aca="false">F543</f>
        <v>0</v>
      </c>
      <c r="Z543" s="6" t="n">
        <f aca="false">L543</f>
        <v>0</v>
      </c>
      <c r="AA543" s="6" t="n">
        <f aca="false">G543</f>
        <v>0</v>
      </c>
      <c r="AC543" s="6" t="n">
        <f aca="false">D543</f>
        <v>4.065</v>
      </c>
      <c r="AD543" s="6" t="n">
        <f aca="false">E543</f>
        <v>0</v>
      </c>
      <c r="AE543" s="6" t="n">
        <f aca="false">G543</f>
        <v>0</v>
      </c>
      <c r="AF543" s="6" t="n">
        <f aca="false">H543</f>
        <v>0</v>
      </c>
      <c r="AG543" s="6" t="n">
        <f aca="false">I543</f>
        <v>0</v>
      </c>
      <c r="AH543" s="6" t="n">
        <f aca="false">L543</f>
        <v>0</v>
      </c>
    </row>
    <row r="544" customFormat="false" ht="15" hidden="false" customHeight="false" outlineLevel="0" collapsed="false">
      <c r="A544" s="0" t="str">
        <f aca="false">'Raw Data'!C544</f>
        <v>Hingham</v>
      </c>
      <c r="B544" s="5" t="n">
        <f aca="false">'Raw Data'!A544</f>
        <v>40323</v>
      </c>
      <c r="C544" s="6" t="n">
        <f aca="false">'Raw Data'!D544</f>
        <v>184.579439258358</v>
      </c>
      <c r="D544" s="6" t="n">
        <f aca="false">'Raw Data'!E544</f>
        <v>4.461428571</v>
      </c>
      <c r="E544" s="6" t="n">
        <f aca="false">'Raw Data'!F544</f>
        <v>0</v>
      </c>
      <c r="F544" s="6" t="n">
        <f aca="false">'Raw Data'!G544</f>
        <v>0</v>
      </c>
      <c r="G544" s="6" t="n">
        <f aca="false">'Raw Data'!H544</f>
        <v>0</v>
      </c>
      <c r="H544" s="6" t="n">
        <f aca="false">'Raw Data'!I544</f>
        <v>0</v>
      </c>
      <c r="I544" s="6" t="n">
        <f aca="false">'Raw Data'!J544</f>
        <v>0</v>
      </c>
      <c r="J544" s="6" t="n">
        <f aca="false">'Raw Data'!K544</f>
        <v>1</v>
      </c>
      <c r="K544" s="6" t="n">
        <f aca="false">'Raw Data'!L544</f>
        <v>0</v>
      </c>
      <c r="L544" s="6" t="n">
        <f aca="false">F544*E544</f>
        <v>0</v>
      </c>
      <c r="N544" s="0" t="n">
        <v>1</v>
      </c>
      <c r="O544" s="6" t="n">
        <f aca="false">D544</f>
        <v>4.461428571</v>
      </c>
      <c r="P544" s="6" t="n">
        <f aca="false">E544</f>
        <v>0</v>
      </c>
      <c r="Q544" s="6" t="n">
        <f aca="false">F544</f>
        <v>0</v>
      </c>
      <c r="R544" s="6" t="n">
        <f aca="false">G544</f>
        <v>0</v>
      </c>
      <c r="S544" s="6" t="n">
        <f aca="false">H544</f>
        <v>0</v>
      </c>
      <c r="T544" s="6" t="n">
        <f aca="false">I544</f>
        <v>0</v>
      </c>
      <c r="U544" s="6" t="n">
        <f aca="false">L544</f>
        <v>0</v>
      </c>
      <c r="W544" s="6" t="n">
        <f aca="false">D544</f>
        <v>4.461428571</v>
      </c>
      <c r="X544" s="6" t="n">
        <f aca="false">E544</f>
        <v>0</v>
      </c>
      <c r="Y544" s="6" t="n">
        <f aca="false">F544</f>
        <v>0</v>
      </c>
      <c r="Z544" s="6" t="n">
        <f aca="false">L544</f>
        <v>0</v>
      </c>
      <c r="AA544" s="6" t="n">
        <f aca="false">G544</f>
        <v>0</v>
      </c>
      <c r="AC544" s="6" t="n">
        <f aca="false">D544</f>
        <v>4.461428571</v>
      </c>
      <c r="AD544" s="6" t="n">
        <f aca="false">E544</f>
        <v>0</v>
      </c>
      <c r="AE544" s="6" t="n">
        <f aca="false">G544</f>
        <v>0</v>
      </c>
      <c r="AF544" s="6" t="n">
        <f aca="false">H544</f>
        <v>0</v>
      </c>
      <c r="AG544" s="6" t="n">
        <f aca="false">I544</f>
        <v>0</v>
      </c>
      <c r="AH544" s="6" t="n">
        <f aca="false">L544</f>
        <v>0</v>
      </c>
    </row>
    <row r="545" customFormat="false" ht="15" hidden="false" customHeight="false" outlineLevel="0" collapsed="false">
      <c r="A545" s="0" t="str">
        <f aca="false">'Raw Data'!C545</f>
        <v>Hingham</v>
      </c>
      <c r="B545" s="5" t="n">
        <f aca="false">'Raw Data'!A545</f>
        <v>40330</v>
      </c>
      <c r="C545" s="6" t="n">
        <f aca="false">'Raw Data'!D545</f>
        <v>154.566869131377</v>
      </c>
      <c r="D545" s="6" t="n">
        <f aca="false">'Raw Data'!E545</f>
        <v>3.861428571</v>
      </c>
      <c r="E545" s="6" t="n">
        <f aca="false">'Raw Data'!F545</f>
        <v>0</v>
      </c>
      <c r="F545" s="6" t="n">
        <f aca="false">'Raw Data'!G545</f>
        <v>0</v>
      </c>
      <c r="G545" s="6" t="n">
        <f aca="false">'Raw Data'!H545</f>
        <v>0</v>
      </c>
      <c r="H545" s="6" t="n">
        <f aca="false">'Raw Data'!I545</f>
        <v>0</v>
      </c>
      <c r="I545" s="6" t="n">
        <f aca="false">'Raw Data'!J545</f>
        <v>0</v>
      </c>
      <c r="J545" s="6" t="n">
        <f aca="false">'Raw Data'!K545</f>
        <v>1</v>
      </c>
      <c r="K545" s="6" t="n">
        <f aca="false">'Raw Data'!L545</f>
        <v>0</v>
      </c>
      <c r="L545" s="6" t="n">
        <f aca="false">F545*E545</f>
        <v>0</v>
      </c>
      <c r="N545" s="0" t="n">
        <v>1</v>
      </c>
      <c r="O545" s="6" t="n">
        <f aca="false">D545</f>
        <v>3.861428571</v>
      </c>
      <c r="P545" s="6" t="n">
        <f aca="false">E545</f>
        <v>0</v>
      </c>
      <c r="Q545" s="6" t="n">
        <f aca="false">F545</f>
        <v>0</v>
      </c>
      <c r="R545" s="6" t="n">
        <f aca="false">G545</f>
        <v>0</v>
      </c>
      <c r="S545" s="6" t="n">
        <f aca="false">H545</f>
        <v>0</v>
      </c>
      <c r="T545" s="6" t="n">
        <f aca="false">I545</f>
        <v>0</v>
      </c>
      <c r="U545" s="6" t="n">
        <f aca="false">L545</f>
        <v>0</v>
      </c>
      <c r="W545" s="6" t="n">
        <f aca="false">D545</f>
        <v>3.861428571</v>
      </c>
      <c r="X545" s="6" t="n">
        <f aca="false">E545</f>
        <v>0</v>
      </c>
      <c r="Y545" s="6" t="n">
        <f aca="false">F545</f>
        <v>0</v>
      </c>
      <c r="Z545" s="6" t="n">
        <f aca="false">L545</f>
        <v>0</v>
      </c>
      <c r="AA545" s="6" t="n">
        <f aca="false">G545</f>
        <v>0</v>
      </c>
      <c r="AC545" s="6" t="n">
        <f aca="false">D545</f>
        <v>3.861428571</v>
      </c>
      <c r="AD545" s="6" t="n">
        <f aca="false">E545</f>
        <v>0</v>
      </c>
      <c r="AE545" s="6" t="n">
        <f aca="false">G545</f>
        <v>0</v>
      </c>
      <c r="AF545" s="6" t="n">
        <f aca="false">H545</f>
        <v>0</v>
      </c>
      <c r="AG545" s="6" t="n">
        <f aca="false">I545</f>
        <v>0</v>
      </c>
      <c r="AH545" s="6" t="n">
        <f aca="false">L545</f>
        <v>0</v>
      </c>
    </row>
    <row r="546" customFormat="false" ht="15" hidden="false" customHeight="false" outlineLevel="0" collapsed="false">
      <c r="A546" s="0" t="str">
        <f aca="false">'Raw Data'!C546</f>
        <v>Hingham</v>
      </c>
      <c r="B546" s="5" t="n">
        <f aca="false">'Raw Data'!A546</f>
        <v>40337</v>
      </c>
      <c r="C546" s="6" t="n">
        <f aca="false">'Raw Data'!D546</f>
        <v>70.2258250835163</v>
      </c>
      <c r="D546" s="6" t="n">
        <f aca="false">'Raw Data'!E546</f>
        <v>4.6275</v>
      </c>
      <c r="E546" s="6" t="n">
        <f aca="false">'Raw Data'!F546</f>
        <v>0</v>
      </c>
      <c r="F546" s="6" t="n">
        <f aca="false">'Raw Data'!G546</f>
        <v>0</v>
      </c>
      <c r="G546" s="6" t="n">
        <f aca="false">'Raw Data'!H546</f>
        <v>0</v>
      </c>
      <c r="H546" s="6" t="n">
        <f aca="false">'Raw Data'!I546</f>
        <v>0</v>
      </c>
      <c r="I546" s="6" t="n">
        <f aca="false">'Raw Data'!J546</f>
        <v>0</v>
      </c>
      <c r="J546" s="6" t="n">
        <f aca="false">'Raw Data'!K546</f>
        <v>1</v>
      </c>
      <c r="K546" s="6" t="n">
        <f aca="false">'Raw Data'!L546</f>
        <v>0</v>
      </c>
      <c r="L546" s="6" t="n">
        <f aca="false">F546*E546</f>
        <v>0</v>
      </c>
      <c r="N546" s="0" t="n">
        <v>1</v>
      </c>
      <c r="O546" s="6" t="n">
        <f aca="false">D546</f>
        <v>4.6275</v>
      </c>
      <c r="P546" s="6" t="n">
        <f aca="false">E546</f>
        <v>0</v>
      </c>
      <c r="Q546" s="6" t="n">
        <f aca="false">F546</f>
        <v>0</v>
      </c>
      <c r="R546" s="6" t="n">
        <f aca="false">G546</f>
        <v>0</v>
      </c>
      <c r="S546" s="6" t="n">
        <f aca="false">H546</f>
        <v>0</v>
      </c>
      <c r="T546" s="6" t="n">
        <f aca="false">I546</f>
        <v>0</v>
      </c>
      <c r="U546" s="6" t="n">
        <f aca="false">L546</f>
        <v>0</v>
      </c>
      <c r="W546" s="6" t="n">
        <f aca="false">D546</f>
        <v>4.6275</v>
      </c>
      <c r="X546" s="6" t="n">
        <f aca="false">E546</f>
        <v>0</v>
      </c>
      <c r="Y546" s="6" t="n">
        <f aca="false">F546</f>
        <v>0</v>
      </c>
      <c r="Z546" s="6" t="n">
        <f aca="false">L546</f>
        <v>0</v>
      </c>
      <c r="AA546" s="6" t="n">
        <f aca="false">G546</f>
        <v>0</v>
      </c>
      <c r="AC546" s="6" t="n">
        <f aca="false">D546</f>
        <v>4.6275</v>
      </c>
      <c r="AD546" s="6" t="n">
        <f aca="false">E546</f>
        <v>0</v>
      </c>
      <c r="AE546" s="6" t="n">
        <f aca="false">G546</f>
        <v>0</v>
      </c>
      <c r="AF546" s="6" t="n">
        <f aca="false">H546</f>
        <v>0</v>
      </c>
      <c r="AG546" s="6" t="n">
        <f aca="false">I546</f>
        <v>0</v>
      </c>
      <c r="AH546" s="6" t="n">
        <f aca="false">L546</f>
        <v>0</v>
      </c>
    </row>
    <row r="547" customFormat="false" ht="15" hidden="false" customHeight="false" outlineLevel="0" collapsed="false">
      <c r="A547" s="0" t="str">
        <f aca="false">'Raw Data'!C547</f>
        <v>Hingham</v>
      </c>
      <c r="B547" s="5" t="n">
        <f aca="false">'Raw Data'!A547</f>
        <v>40344</v>
      </c>
      <c r="C547" s="6" t="n">
        <f aca="false">'Raw Data'!D547</f>
        <v>149.169702827921</v>
      </c>
      <c r="D547" s="6" t="n">
        <f aca="false">'Raw Data'!E547</f>
        <v>4.6275</v>
      </c>
      <c r="E547" s="6" t="n">
        <f aca="false">'Raw Data'!F547</f>
        <v>0</v>
      </c>
      <c r="F547" s="6" t="n">
        <f aca="false">'Raw Data'!G547</f>
        <v>0</v>
      </c>
      <c r="G547" s="6" t="n">
        <f aca="false">'Raw Data'!H547</f>
        <v>0</v>
      </c>
      <c r="H547" s="6" t="n">
        <f aca="false">'Raw Data'!I547</f>
        <v>0</v>
      </c>
      <c r="I547" s="6" t="n">
        <f aca="false">'Raw Data'!J547</f>
        <v>0</v>
      </c>
      <c r="J547" s="6" t="n">
        <f aca="false">'Raw Data'!K547</f>
        <v>1</v>
      </c>
      <c r="K547" s="6" t="n">
        <f aca="false">'Raw Data'!L547</f>
        <v>0</v>
      </c>
      <c r="L547" s="6" t="n">
        <f aca="false">F547*E547</f>
        <v>0</v>
      </c>
      <c r="N547" s="0" t="n">
        <v>1</v>
      </c>
      <c r="O547" s="6" t="n">
        <f aca="false">D547</f>
        <v>4.6275</v>
      </c>
      <c r="P547" s="6" t="n">
        <f aca="false">E547</f>
        <v>0</v>
      </c>
      <c r="Q547" s="6" t="n">
        <f aca="false">F547</f>
        <v>0</v>
      </c>
      <c r="R547" s="6" t="n">
        <f aca="false">G547</f>
        <v>0</v>
      </c>
      <c r="S547" s="6" t="n">
        <f aca="false">H547</f>
        <v>0</v>
      </c>
      <c r="T547" s="6" t="n">
        <f aca="false">I547</f>
        <v>0</v>
      </c>
      <c r="U547" s="6" t="n">
        <f aca="false">L547</f>
        <v>0</v>
      </c>
      <c r="W547" s="6" t="n">
        <f aca="false">D547</f>
        <v>4.6275</v>
      </c>
      <c r="X547" s="6" t="n">
        <f aca="false">E547</f>
        <v>0</v>
      </c>
      <c r="Y547" s="6" t="n">
        <f aca="false">F547</f>
        <v>0</v>
      </c>
      <c r="Z547" s="6" t="n">
        <f aca="false">L547</f>
        <v>0</v>
      </c>
      <c r="AA547" s="6" t="n">
        <f aca="false">G547</f>
        <v>0</v>
      </c>
      <c r="AC547" s="6" t="n">
        <f aca="false">D547</f>
        <v>4.6275</v>
      </c>
      <c r="AD547" s="6" t="n">
        <f aca="false">E547</f>
        <v>0</v>
      </c>
      <c r="AE547" s="6" t="n">
        <f aca="false">G547</f>
        <v>0</v>
      </c>
      <c r="AF547" s="6" t="n">
        <f aca="false">H547</f>
        <v>0</v>
      </c>
      <c r="AG547" s="6" t="n">
        <f aca="false">I547</f>
        <v>0</v>
      </c>
      <c r="AH547" s="6" t="n">
        <f aca="false">L547</f>
        <v>0</v>
      </c>
    </row>
    <row r="548" customFormat="false" ht="15" hidden="false" customHeight="false" outlineLevel="0" collapsed="false">
      <c r="A548" s="0" t="str">
        <f aca="false">'Raw Data'!C548</f>
        <v>Hingham</v>
      </c>
      <c r="B548" s="5" t="n">
        <f aca="false">'Raw Data'!A548</f>
        <v>40351</v>
      </c>
      <c r="C548" s="6" t="n">
        <f aca="false">'Raw Data'!D548</f>
        <v>224.324098993998</v>
      </c>
      <c r="D548" s="6" t="n">
        <f aca="false">'Raw Data'!E548</f>
        <v>4.204285714</v>
      </c>
      <c r="E548" s="6" t="n">
        <f aca="false">'Raw Data'!F548</f>
        <v>0</v>
      </c>
      <c r="F548" s="6" t="n">
        <f aca="false">'Raw Data'!G548</f>
        <v>0</v>
      </c>
      <c r="G548" s="6" t="n">
        <f aca="false">'Raw Data'!H548</f>
        <v>0</v>
      </c>
      <c r="H548" s="6" t="n">
        <f aca="false">'Raw Data'!I548</f>
        <v>0</v>
      </c>
      <c r="I548" s="6" t="n">
        <f aca="false">'Raw Data'!J548</f>
        <v>0</v>
      </c>
      <c r="J548" s="6" t="n">
        <f aca="false">'Raw Data'!K548</f>
        <v>1</v>
      </c>
      <c r="K548" s="6" t="n">
        <f aca="false">'Raw Data'!L548</f>
        <v>0</v>
      </c>
      <c r="L548" s="6" t="n">
        <f aca="false">F548*E548</f>
        <v>0</v>
      </c>
      <c r="N548" s="0" t="n">
        <v>1</v>
      </c>
      <c r="O548" s="6" t="n">
        <f aca="false">D548</f>
        <v>4.204285714</v>
      </c>
      <c r="P548" s="6" t="n">
        <f aca="false">E548</f>
        <v>0</v>
      </c>
      <c r="Q548" s="6" t="n">
        <f aca="false">F548</f>
        <v>0</v>
      </c>
      <c r="R548" s="6" t="n">
        <f aca="false">G548</f>
        <v>0</v>
      </c>
      <c r="S548" s="6" t="n">
        <f aca="false">H548</f>
        <v>0</v>
      </c>
      <c r="T548" s="6" t="n">
        <f aca="false">I548</f>
        <v>0</v>
      </c>
      <c r="U548" s="6" t="n">
        <f aca="false">L548</f>
        <v>0</v>
      </c>
      <c r="W548" s="6" t="n">
        <f aca="false">D548</f>
        <v>4.204285714</v>
      </c>
      <c r="X548" s="6" t="n">
        <f aca="false">E548</f>
        <v>0</v>
      </c>
      <c r="Y548" s="6" t="n">
        <f aca="false">F548</f>
        <v>0</v>
      </c>
      <c r="Z548" s="6" t="n">
        <f aca="false">L548</f>
        <v>0</v>
      </c>
      <c r="AA548" s="6" t="n">
        <f aca="false">G548</f>
        <v>0</v>
      </c>
      <c r="AC548" s="6" t="n">
        <f aca="false">D548</f>
        <v>4.204285714</v>
      </c>
      <c r="AD548" s="6" t="n">
        <f aca="false">E548</f>
        <v>0</v>
      </c>
      <c r="AE548" s="6" t="n">
        <f aca="false">G548</f>
        <v>0</v>
      </c>
      <c r="AF548" s="6" t="n">
        <f aca="false">H548</f>
        <v>0</v>
      </c>
      <c r="AG548" s="6" t="n">
        <f aca="false">I548</f>
        <v>0</v>
      </c>
      <c r="AH548" s="6" t="n">
        <f aca="false">L548</f>
        <v>0</v>
      </c>
    </row>
    <row r="549" customFormat="false" ht="15" hidden="false" customHeight="false" outlineLevel="0" collapsed="false">
      <c r="A549" s="0" t="str">
        <f aca="false">'Raw Data'!C549</f>
        <v>Hingham</v>
      </c>
      <c r="B549" s="5" t="n">
        <f aca="false">'Raw Data'!A549</f>
        <v>40358</v>
      </c>
      <c r="C549" s="6" t="n">
        <f aca="false">'Raw Data'!D549</f>
        <v>215.388546873508</v>
      </c>
      <c r="D549" s="6" t="n">
        <f aca="false">'Raw Data'!E549</f>
        <v>4.6275</v>
      </c>
      <c r="E549" s="6" t="n">
        <f aca="false">'Raw Data'!F549</f>
        <v>0</v>
      </c>
      <c r="F549" s="6" t="n">
        <f aca="false">'Raw Data'!G549</f>
        <v>0</v>
      </c>
      <c r="G549" s="6" t="n">
        <f aca="false">'Raw Data'!H549</f>
        <v>0</v>
      </c>
      <c r="H549" s="6" t="n">
        <f aca="false">'Raw Data'!I549</f>
        <v>0</v>
      </c>
      <c r="I549" s="6" t="n">
        <f aca="false">'Raw Data'!J549</f>
        <v>0</v>
      </c>
      <c r="J549" s="6" t="n">
        <f aca="false">'Raw Data'!K549</f>
        <v>1</v>
      </c>
      <c r="K549" s="6" t="n">
        <f aca="false">'Raw Data'!L549</f>
        <v>0</v>
      </c>
      <c r="L549" s="6" t="n">
        <f aca="false">F549*E549</f>
        <v>0</v>
      </c>
      <c r="N549" s="0" t="n">
        <v>1</v>
      </c>
      <c r="O549" s="6" t="n">
        <f aca="false">D549</f>
        <v>4.6275</v>
      </c>
      <c r="P549" s="6" t="n">
        <f aca="false">E549</f>
        <v>0</v>
      </c>
      <c r="Q549" s="6" t="n">
        <f aca="false">F549</f>
        <v>0</v>
      </c>
      <c r="R549" s="6" t="n">
        <f aca="false">G549</f>
        <v>0</v>
      </c>
      <c r="S549" s="6" t="n">
        <f aca="false">H549</f>
        <v>0</v>
      </c>
      <c r="T549" s="6" t="n">
        <f aca="false">I549</f>
        <v>0</v>
      </c>
      <c r="U549" s="6" t="n">
        <f aca="false">L549</f>
        <v>0</v>
      </c>
      <c r="W549" s="6" t="n">
        <f aca="false">D549</f>
        <v>4.6275</v>
      </c>
      <c r="X549" s="6" t="n">
        <f aca="false">E549</f>
        <v>0</v>
      </c>
      <c r="Y549" s="6" t="n">
        <f aca="false">F549</f>
        <v>0</v>
      </c>
      <c r="Z549" s="6" t="n">
        <f aca="false">L549</f>
        <v>0</v>
      </c>
      <c r="AA549" s="6" t="n">
        <f aca="false">G549</f>
        <v>0</v>
      </c>
      <c r="AC549" s="6" t="n">
        <f aca="false">D549</f>
        <v>4.6275</v>
      </c>
      <c r="AD549" s="6" t="n">
        <f aca="false">E549</f>
        <v>0</v>
      </c>
      <c r="AE549" s="6" t="n">
        <f aca="false">G549</f>
        <v>0</v>
      </c>
      <c r="AF549" s="6" t="n">
        <f aca="false">H549</f>
        <v>0</v>
      </c>
      <c r="AG549" s="6" t="n">
        <f aca="false">I549</f>
        <v>0</v>
      </c>
      <c r="AH549" s="6" t="n">
        <f aca="false">L549</f>
        <v>0</v>
      </c>
    </row>
    <row r="550" customFormat="false" ht="15" hidden="false" customHeight="false" outlineLevel="0" collapsed="false">
      <c r="A550" s="0" t="str">
        <f aca="false">'Raw Data'!C550</f>
        <v>Hingham</v>
      </c>
      <c r="B550" s="5" t="n">
        <f aca="false">'Raw Data'!A550</f>
        <v>40365</v>
      </c>
      <c r="C550" s="6" t="n">
        <f aca="false">'Raw Data'!D550</f>
        <v>169.506545440507</v>
      </c>
      <c r="D550" s="6" t="n">
        <f aca="false">'Raw Data'!E550</f>
        <v>3.745</v>
      </c>
      <c r="E550" s="6" t="n">
        <f aca="false">'Raw Data'!F550</f>
        <v>0</v>
      </c>
      <c r="F550" s="6" t="n">
        <f aca="false">'Raw Data'!G550</f>
        <v>0</v>
      </c>
      <c r="G550" s="6" t="n">
        <f aca="false">'Raw Data'!H550</f>
        <v>0</v>
      </c>
      <c r="H550" s="6" t="n">
        <f aca="false">'Raw Data'!I550</f>
        <v>0</v>
      </c>
      <c r="I550" s="6" t="n">
        <f aca="false">'Raw Data'!J550</f>
        <v>0</v>
      </c>
      <c r="J550" s="6" t="n">
        <f aca="false">'Raw Data'!K550</f>
        <v>1</v>
      </c>
      <c r="K550" s="6" t="n">
        <f aca="false">'Raw Data'!L550</f>
        <v>0</v>
      </c>
      <c r="L550" s="6" t="n">
        <f aca="false">F550*E550</f>
        <v>0</v>
      </c>
      <c r="N550" s="0" t="n">
        <v>1</v>
      </c>
      <c r="O550" s="6" t="n">
        <f aca="false">D550</f>
        <v>3.745</v>
      </c>
      <c r="P550" s="6" t="n">
        <f aca="false">E550</f>
        <v>0</v>
      </c>
      <c r="Q550" s="6" t="n">
        <f aca="false">F550</f>
        <v>0</v>
      </c>
      <c r="R550" s="6" t="n">
        <f aca="false">G550</f>
        <v>0</v>
      </c>
      <c r="S550" s="6" t="n">
        <f aca="false">H550</f>
        <v>0</v>
      </c>
      <c r="T550" s="6" t="n">
        <f aca="false">I550</f>
        <v>0</v>
      </c>
      <c r="U550" s="6" t="n">
        <f aca="false">L550</f>
        <v>0</v>
      </c>
      <c r="W550" s="6" t="n">
        <f aca="false">D550</f>
        <v>3.745</v>
      </c>
      <c r="X550" s="6" t="n">
        <f aca="false">E550</f>
        <v>0</v>
      </c>
      <c r="Y550" s="6" t="n">
        <f aca="false">F550</f>
        <v>0</v>
      </c>
      <c r="Z550" s="6" t="n">
        <f aca="false">L550</f>
        <v>0</v>
      </c>
      <c r="AA550" s="6" t="n">
        <f aca="false">G550</f>
        <v>0</v>
      </c>
      <c r="AC550" s="6" t="n">
        <f aca="false">D550</f>
        <v>3.745</v>
      </c>
      <c r="AD550" s="6" t="n">
        <f aca="false">E550</f>
        <v>0</v>
      </c>
      <c r="AE550" s="6" t="n">
        <f aca="false">G550</f>
        <v>0</v>
      </c>
      <c r="AF550" s="6" t="n">
        <f aca="false">H550</f>
        <v>0</v>
      </c>
      <c r="AG550" s="6" t="n">
        <f aca="false">I550</f>
        <v>0</v>
      </c>
      <c r="AH550" s="6" t="n">
        <f aca="false">L550</f>
        <v>0</v>
      </c>
    </row>
    <row r="551" customFormat="false" ht="15" hidden="false" customHeight="false" outlineLevel="0" collapsed="false">
      <c r="A551" s="0" t="str">
        <f aca="false">'Raw Data'!C551</f>
        <v>Hingham</v>
      </c>
      <c r="B551" s="5" t="n">
        <f aca="false">'Raw Data'!A551</f>
        <v>40372</v>
      </c>
      <c r="C551" s="6" t="n">
        <f aca="false">'Raw Data'!D551</f>
        <v>210.362182258157</v>
      </c>
      <c r="D551" s="6" t="n">
        <f aca="false">'Raw Data'!E551</f>
        <v>3.504545455</v>
      </c>
      <c r="E551" s="6" t="n">
        <f aca="false">'Raw Data'!F551</f>
        <v>0</v>
      </c>
      <c r="F551" s="6" t="n">
        <f aca="false">'Raw Data'!G551</f>
        <v>0</v>
      </c>
      <c r="G551" s="6" t="n">
        <f aca="false">'Raw Data'!H551</f>
        <v>0</v>
      </c>
      <c r="H551" s="6" t="n">
        <f aca="false">'Raw Data'!I551</f>
        <v>0</v>
      </c>
      <c r="I551" s="6" t="n">
        <f aca="false">'Raw Data'!J551</f>
        <v>0</v>
      </c>
      <c r="J551" s="6" t="n">
        <f aca="false">'Raw Data'!K551</f>
        <v>1</v>
      </c>
      <c r="K551" s="6" t="n">
        <f aca="false">'Raw Data'!L551</f>
        <v>0</v>
      </c>
      <c r="L551" s="6" t="n">
        <f aca="false">F551*E551</f>
        <v>0</v>
      </c>
      <c r="N551" s="0" t="n">
        <v>1</v>
      </c>
      <c r="O551" s="6" t="n">
        <f aca="false">D551</f>
        <v>3.504545455</v>
      </c>
      <c r="P551" s="6" t="n">
        <f aca="false">E551</f>
        <v>0</v>
      </c>
      <c r="Q551" s="6" t="n">
        <f aca="false">F551</f>
        <v>0</v>
      </c>
      <c r="R551" s="6" t="n">
        <f aca="false">G551</f>
        <v>0</v>
      </c>
      <c r="S551" s="6" t="n">
        <f aca="false">H551</f>
        <v>0</v>
      </c>
      <c r="T551" s="6" t="n">
        <f aca="false">I551</f>
        <v>0</v>
      </c>
      <c r="U551" s="6" t="n">
        <f aca="false">L551</f>
        <v>0</v>
      </c>
      <c r="W551" s="6" t="n">
        <f aca="false">D551</f>
        <v>3.504545455</v>
      </c>
      <c r="X551" s="6" t="n">
        <f aca="false">E551</f>
        <v>0</v>
      </c>
      <c r="Y551" s="6" t="n">
        <f aca="false">F551</f>
        <v>0</v>
      </c>
      <c r="Z551" s="6" t="n">
        <f aca="false">L551</f>
        <v>0</v>
      </c>
      <c r="AA551" s="6" t="n">
        <f aca="false">G551</f>
        <v>0</v>
      </c>
      <c r="AC551" s="6" t="n">
        <f aca="false">D551</f>
        <v>3.504545455</v>
      </c>
      <c r="AD551" s="6" t="n">
        <f aca="false">E551</f>
        <v>0</v>
      </c>
      <c r="AE551" s="6" t="n">
        <f aca="false">G551</f>
        <v>0</v>
      </c>
      <c r="AF551" s="6" t="n">
        <f aca="false">H551</f>
        <v>0</v>
      </c>
      <c r="AG551" s="6" t="n">
        <f aca="false">I551</f>
        <v>0</v>
      </c>
      <c r="AH551" s="6" t="n">
        <f aca="false">L551</f>
        <v>0</v>
      </c>
    </row>
    <row r="552" customFormat="false" ht="15" hidden="false" customHeight="false" outlineLevel="0" collapsed="false">
      <c r="A552" s="0" t="str">
        <f aca="false">'Raw Data'!C552</f>
        <v>Newtonville</v>
      </c>
      <c r="B552" s="5" t="n">
        <f aca="false">'Raw Data'!A552</f>
        <v>40302</v>
      </c>
      <c r="C552" s="6" t="n">
        <f aca="false">'Raw Data'!D552</f>
        <v>221.568122737417</v>
      </c>
      <c r="D552" s="6" t="n">
        <f aca="false">'Raw Data'!E552</f>
        <v>4.24</v>
      </c>
      <c r="E552" s="6" t="n">
        <f aca="false">'Raw Data'!F552</f>
        <v>0</v>
      </c>
      <c r="F552" s="6" t="n">
        <f aca="false">'Raw Data'!G552</f>
        <v>0</v>
      </c>
      <c r="G552" s="6" t="n">
        <f aca="false">'Raw Data'!H552</f>
        <v>0</v>
      </c>
      <c r="H552" s="6" t="n">
        <f aca="false">'Raw Data'!I552</f>
        <v>0</v>
      </c>
      <c r="I552" s="6" t="n">
        <f aca="false">'Raw Data'!J552</f>
        <v>0</v>
      </c>
      <c r="J552" s="6" t="n">
        <f aca="false">'Raw Data'!K552</f>
        <v>2</v>
      </c>
      <c r="K552" s="6" t="n">
        <f aca="false">'Raw Data'!L552</f>
        <v>4</v>
      </c>
      <c r="L552" s="6" t="n">
        <f aca="false">F552*E552</f>
        <v>0</v>
      </c>
      <c r="N552" s="0" t="n">
        <v>1</v>
      </c>
      <c r="O552" s="6" t="n">
        <f aca="false">D552</f>
        <v>4.24</v>
      </c>
      <c r="P552" s="6" t="n">
        <f aca="false">E552</f>
        <v>0</v>
      </c>
      <c r="Q552" s="6" t="n">
        <f aca="false">F552</f>
        <v>0</v>
      </c>
      <c r="R552" s="6" t="n">
        <f aca="false">G552</f>
        <v>0</v>
      </c>
      <c r="S552" s="6" t="n">
        <f aca="false">H552</f>
        <v>0</v>
      </c>
      <c r="T552" s="6" t="n">
        <f aca="false">I552</f>
        <v>0</v>
      </c>
      <c r="U552" s="6" t="n">
        <f aca="false">L552</f>
        <v>0</v>
      </c>
      <c r="W552" s="6" t="n">
        <f aca="false">D552</f>
        <v>4.24</v>
      </c>
      <c r="X552" s="6" t="n">
        <f aca="false">E552</f>
        <v>0</v>
      </c>
      <c r="Y552" s="6" t="n">
        <f aca="false">F552</f>
        <v>0</v>
      </c>
      <c r="Z552" s="6" t="n">
        <f aca="false">L552</f>
        <v>0</v>
      </c>
      <c r="AA552" s="6" t="n">
        <f aca="false">G552</f>
        <v>0</v>
      </c>
      <c r="AC552" s="6" t="n">
        <f aca="false">D552</f>
        <v>4.24</v>
      </c>
      <c r="AD552" s="6" t="n">
        <f aca="false">E552</f>
        <v>0</v>
      </c>
      <c r="AE552" s="6" t="n">
        <f aca="false">G552</f>
        <v>0</v>
      </c>
      <c r="AF552" s="6" t="n">
        <f aca="false">H552</f>
        <v>0</v>
      </c>
      <c r="AG552" s="6" t="n">
        <f aca="false">I552</f>
        <v>0</v>
      </c>
      <c r="AH552" s="6" t="n">
        <f aca="false">L552</f>
        <v>0</v>
      </c>
    </row>
    <row r="553" customFormat="false" ht="15" hidden="false" customHeight="false" outlineLevel="0" collapsed="false">
      <c r="A553" s="0" t="str">
        <f aca="false">'Raw Data'!C553</f>
        <v>Newtonville</v>
      </c>
      <c r="B553" s="5" t="n">
        <f aca="false">'Raw Data'!A553</f>
        <v>40309</v>
      </c>
      <c r="C553" s="6" t="n">
        <f aca="false">'Raw Data'!D553</f>
        <v>202.832694760185</v>
      </c>
      <c r="D553" s="6" t="n">
        <f aca="false">'Raw Data'!E553</f>
        <v>4.24</v>
      </c>
      <c r="E553" s="6" t="n">
        <f aca="false">'Raw Data'!F553</f>
        <v>0</v>
      </c>
      <c r="F553" s="6" t="n">
        <f aca="false">'Raw Data'!G553</f>
        <v>0</v>
      </c>
      <c r="G553" s="6" t="n">
        <f aca="false">'Raw Data'!H553</f>
        <v>0</v>
      </c>
      <c r="H553" s="6" t="n">
        <f aca="false">'Raw Data'!I553</f>
        <v>0</v>
      </c>
      <c r="I553" s="6" t="n">
        <f aca="false">'Raw Data'!J553</f>
        <v>0</v>
      </c>
      <c r="J553" s="6" t="n">
        <f aca="false">'Raw Data'!K553</f>
        <v>2</v>
      </c>
      <c r="K553" s="6" t="n">
        <f aca="false">'Raw Data'!L553</f>
        <v>4</v>
      </c>
      <c r="L553" s="6" t="n">
        <f aca="false">F553*E553</f>
        <v>0</v>
      </c>
      <c r="N553" s="0" t="n">
        <v>1</v>
      </c>
      <c r="O553" s="6" t="n">
        <f aca="false">D553</f>
        <v>4.24</v>
      </c>
      <c r="P553" s="6" t="n">
        <f aca="false">E553</f>
        <v>0</v>
      </c>
      <c r="Q553" s="6" t="n">
        <f aca="false">F553</f>
        <v>0</v>
      </c>
      <c r="R553" s="6" t="n">
        <f aca="false">G553</f>
        <v>0</v>
      </c>
      <c r="S553" s="6" t="n">
        <f aca="false">H553</f>
        <v>0</v>
      </c>
      <c r="T553" s="6" t="n">
        <f aca="false">I553</f>
        <v>0</v>
      </c>
      <c r="U553" s="6" t="n">
        <f aca="false">L553</f>
        <v>0</v>
      </c>
      <c r="W553" s="6" t="n">
        <f aca="false">D553</f>
        <v>4.24</v>
      </c>
      <c r="X553" s="6" t="n">
        <f aca="false">E553</f>
        <v>0</v>
      </c>
      <c r="Y553" s="6" t="n">
        <f aca="false">F553</f>
        <v>0</v>
      </c>
      <c r="Z553" s="6" t="n">
        <f aca="false">L553</f>
        <v>0</v>
      </c>
      <c r="AA553" s="6" t="n">
        <f aca="false">G553</f>
        <v>0</v>
      </c>
      <c r="AC553" s="6" t="n">
        <f aca="false">D553</f>
        <v>4.24</v>
      </c>
      <c r="AD553" s="6" t="n">
        <f aca="false">E553</f>
        <v>0</v>
      </c>
      <c r="AE553" s="6" t="n">
        <f aca="false">G553</f>
        <v>0</v>
      </c>
      <c r="AF553" s="6" t="n">
        <f aca="false">H553</f>
        <v>0</v>
      </c>
      <c r="AG553" s="6" t="n">
        <f aca="false">I553</f>
        <v>0</v>
      </c>
      <c r="AH553" s="6" t="n">
        <f aca="false">L553</f>
        <v>0</v>
      </c>
    </row>
    <row r="554" customFormat="false" ht="15" hidden="false" customHeight="false" outlineLevel="0" collapsed="false">
      <c r="A554" s="0" t="str">
        <f aca="false">'Raw Data'!C554</f>
        <v>Newtonville</v>
      </c>
      <c r="B554" s="5" t="n">
        <f aca="false">'Raw Data'!A554</f>
        <v>40316</v>
      </c>
      <c r="C554" s="6" t="n">
        <f aca="false">'Raw Data'!D554</f>
        <v>208.254155482065</v>
      </c>
      <c r="D554" s="6" t="n">
        <f aca="false">'Raw Data'!E554</f>
        <v>4.065</v>
      </c>
      <c r="E554" s="6" t="n">
        <f aca="false">'Raw Data'!F554</f>
        <v>0</v>
      </c>
      <c r="F554" s="6" t="n">
        <f aca="false">'Raw Data'!G554</f>
        <v>0</v>
      </c>
      <c r="G554" s="6" t="n">
        <f aca="false">'Raw Data'!H554</f>
        <v>0</v>
      </c>
      <c r="H554" s="6" t="n">
        <f aca="false">'Raw Data'!I554</f>
        <v>0</v>
      </c>
      <c r="I554" s="6" t="n">
        <f aca="false">'Raw Data'!J554</f>
        <v>0</v>
      </c>
      <c r="J554" s="6" t="n">
        <f aca="false">'Raw Data'!K554</f>
        <v>2</v>
      </c>
      <c r="K554" s="6" t="n">
        <f aca="false">'Raw Data'!L554</f>
        <v>4</v>
      </c>
      <c r="L554" s="6" t="n">
        <f aca="false">F554*E554</f>
        <v>0</v>
      </c>
      <c r="N554" s="0" t="n">
        <v>1</v>
      </c>
      <c r="O554" s="6" t="n">
        <f aca="false">D554</f>
        <v>4.065</v>
      </c>
      <c r="P554" s="6" t="n">
        <f aca="false">E554</f>
        <v>0</v>
      </c>
      <c r="Q554" s="6" t="n">
        <f aca="false">F554</f>
        <v>0</v>
      </c>
      <c r="R554" s="6" t="n">
        <f aca="false">G554</f>
        <v>0</v>
      </c>
      <c r="S554" s="6" t="n">
        <f aca="false">H554</f>
        <v>0</v>
      </c>
      <c r="T554" s="6" t="n">
        <f aca="false">I554</f>
        <v>0</v>
      </c>
      <c r="U554" s="6" t="n">
        <f aca="false">L554</f>
        <v>0</v>
      </c>
      <c r="W554" s="6" t="n">
        <f aca="false">D554</f>
        <v>4.065</v>
      </c>
      <c r="X554" s="6" t="n">
        <f aca="false">E554</f>
        <v>0</v>
      </c>
      <c r="Y554" s="6" t="n">
        <f aca="false">F554</f>
        <v>0</v>
      </c>
      <c r="Z554" s="6" t="n">
        <f aca="false">L554</f>
        <v>0</v>
      </c>
      <c r="AA554" s="6" t="n">
        <f aca="false">G554</f>
        <v>0</v>
      </c>
      <c r="AC554" s="6" t="n">
        <f aca="false">D554</f>
        <v>4.065</v>
      </c>
      <c r="AD554" s="6" t="n">
        <f aca="false">E554</f>
        <v>0</v>
      </c>
      <c r="AE554" s="6" t="n">
        <f aca="false">G554</f>
        <v>0</v>
      </c>
      <c r="AF554" s="6" t="n">
        <f aca="false">H554</f>
        <v>0</v>
      </c>
      <c r="AG554" s="6" t="n">
        <f aca="false">I554</f>
        <v>0</v>
      </c>
      <c r="AH554" s="6" t="n">
        <f aca="false">L554</f>
        <v>0</v>
      </c>
    </row>
    <row r="555" customFormat="false" ht="15" hidden="false" customHeight="false" outlineLevel="0" collapsed="false">
      <c r="A555" s="0" t="str">
        <f aca="false">'Raw Data'!C555</f>
        <v>Newtonville</v>
      </c>
      <c r="B555" s="5" t="n">
        <f aca="false">'Raw Data'!A555</f>
        <v>40323</v>
      </c>
      <c r="C555" s="6" t="n">
        <f aca="false">'Raw Data'!D555</f>
        <v>129.618618346615</v>
      </c>
      <c r="D555" s="6" t="n">
        <f aca="false">'Raw Data'!E555</f>
        <v>3.861428571</v>
      </c>
      <c r="E555" s="6" t="n">
        <f aca="false">'Raw Data'!F555</f>
        <v>0</v>
      </c>
      <c r="F555" s="6" t="n">
        <f aca="false">'Raw Data'!G555</f>
        <v>0</v>
      </c>
      <c r="G555" s="6" t="n">
        <f aca="false">'Raw Data'!H555</f>
        <v>0</v>
      </c>
      <c r="H555" s="6" t="n">
        <f aca="false">'Raw Data'!I555</f>
        <v>0</v>
      </c>
      <c r="I555" s="6" t="n">
        <f aca="false">'Raw Data'!J555</f>
        <v>0</v>
      </c>
      <c r="J555" s="6" t="n">
        <f aca="false">'Raw Data'!K555</f>
        <v>2</v>
      </c>
      <c r="K555" s="6" t="n">
        <f aca="false">'Raw Data'!L555</f>
        <v>4</v>
      </c>
      <c r="L555" s="6" t="n">
        <f aca="false">F555*E555</f>
        <v>0</v>
      </c>
      <c r="N555" s="0" t="n">
        <v>1</v>
      </c>
      <c r="O555" s="6" t="n">
        <f aca="false">D555</f>
        <v>3.861428571</v>
      </c>
      <c r="P555" s="6" t="n">
        <f aca="false">E555</f>
        <v>0</v>
      </c>
      <c r="Q555" s="6" t="n">
        <f aca="false">F555</f>
        <v>0</v>
      </c>
      <c r="R555" s="6" t="n">
        <f aca="false">G555</f>
        <v>0</v>
      </c>
      <c r="S555" s="6" t="n">
        <f aca="false">H555</f>
        <v>0</v>
      </c>
      <c r="T555" s="6" t="n">
        <f aca="false">I555</f>
        <v>0</v>
      </c>
      <c r="U555" s="6" t="n">
        <f aca="false">L555</f>
        <v>0</v>
      </c>
      <c r="W555" s="6" t="n">
        <f aca="false">D555</f>
        <v>3.861428571</v>
      </c>
      <c r="X555" s="6" t="n">
        <f aca="false">E555</f>
        <v>0</v>
      </c>
      <c r="Y555" s="6" t="n">
        <f aca="false">F555</f>
        <v>0</v>
      </c>
      <c r="Z555" s="6" t="n">
        <f aca="false">L555</f>
        <v>0</v>
      </c>
      <c r="AA555" s="6" t="n">
        <f aca="false">G555</f>
        <v>0</v>
      </c>
      <c r="AC555" s="6" t="n">
        <f aca="false">D555</f>
        <v>3.861428571</v>
      </c>
      <c r="AD555" s="6" t="n">
        <f aca="false">E555</f>
        <v>0</v>
      </c>
      <c r="AE555" s="6" t="n">
        <f aca="false">G555</f>
        <v>0</v>
      </c>
      <c r="AF555" s="6" t="n">
        <f aca="false">H555</f>
        <v>0</v>
      </c>
      <c r="AG555" s="6" t="n">
        <f aca="false">I555</f>
        <v>0</v>
      </c>
      <c r="AH555" s="6" t="n">
        <f aca="false">L555</f>
        <v>0</v>
      </c>
    </row>
    <row r="556" customFormat="false" ht="15" hidden="false" customHeight="false" outlineLevel="0" collapsed="false">
      <c r="A556" s="0" t="str">
        <f aca="false">'Raw Data'!C556</f>
        <v>Newtonville</v>
      </c>
      <c r="B556" s="5" t="n">
        <f aca="false">'Raw Data'!A556</f>
        <v>40330</v>
      </c>
      <c r="C556" s="6" t="n">
        <f aca="false">'Raw Data'!D556</f>
        <v>145.55554708939</v>
      </c>
      <c r="D556" s="6" t="n">
        <f aca="false">'Raw Data'!E556</f>
        <v>4.065</v>
      </c>
      <c r="E556" s="6" t="n">
        <f aca="false">'Raw Data'!F556</f>
        <v>0</v>
      </c>
      <c r="F556" s="6" t="n">
        <f aca="false">'Raw Data'!G556</f>
        <v>0</v>
      </c>
      <c r="G556" s="6" t="n">
        <f aca="false">'Raw Data'!H556</f>
        <v>0</v>
      </c>
      <c r="H556" s="6" t="n">
        <f aca="false">'Raw Data'!I556</f>
        <v>0</v>
      </c>
      <c r="I556" s="6" t="n">
        <f aca="false">'Raw Data'!J556</f>
        <v>0</v>
      </c>
      <c r="J556" s="6" t="n">
        <f aca="false">'Raw Data'!K556</f>
        <v>2</v>
      </c>
      <c r="K556" s="6" t="n">
        <f aca="false">'Raw Data'!L556</f>
        <v>4</v>
      </c>
      <c r="L556" s="6" t="n">
        <f aca="false">F556*E556</f>
        <v>0</v>
      </c>
      <c r="N556" s="0" t="n">
        <v>1</v>
      </c>
      <c r="O556" s="6" t="n">
        <f aca="false">D556</f>
        <v>4.065</v>
      </c>
      <c r="P556" s="6" t="n">
        <f aca="false">E556</f>
        <v>0</v>
      </c>
      <c r="Q556" s="6" t="n">
        <f aca="false">F556</f>
        <v>0</v>
      </c>
      <c r="R556" s="6" t="n">
        <f aca="false">G556</f>
        <v>0</v>
      </c>
      <c r="S556" s="6" t="n">
        <f aca="false">H556</f>
        <v>0</v>
      </c>
      <c r="T556" s="6" t="n">
        <f aca="false">I556</f>
        <v>0</v>
      </c>
      <c r="U556" s="6" t="n">
        <f aca="false">L556</f>
        <v>0</v>
      </c>
      <c r="W556" s="6" t="n">
        <f aca="false">D556</f>
        <v>4.065</v>
      </c>
      <c r="X556" s="6" t="n">
        <f aca="false">E556</f>
        <v>0</v>
      </c>
      <c r="Y556" s="6" t="n">
        <f aca="false">F556</f>
        <v>0</v>
      </c>
      <c r="Z556" s="6" t="n">
        <f aca="false">L556</f>
        <v>0</v>
      </c>
      <c r="AA556" s="6" t="n">
        <f aca="false">G556</f>
        <v>0</v>
      </c>
      <c r="AC556" s="6" t="n">
        <f aca="false">D556</f>
        <v>4.065</v>
      </c>
      <c r="AD556" s="6" t="n">
        <f aca="false">E556</f>
        <v>0</v>
      </c>
      <c r="AE556" s="6" t="n">
        <f aca="false">G556</f>
        <v>0</v>
      </c>
      <c r="AF556" s="6" t="n">
        <f aca="false">H556</f>
        <v>0</v>
      </c>
      <c r="AG556" s="6" t="n">
        <f aca="false">I556</f>
        <v>0</v>
      </c>
      <c r="AH556" s="6" t="n">
        <f aca="false">L556</f>
        <v>0</v>
      </c>
    </row>
    <row r="557" customFormat="false" ht="15" hidden="false" customHeight="false" outlineLevel="0" collapsed="false">
      <c r="A557" s="0" t="str">
        <f aca="false">'Raw Data'!C557</f>
        <v>Newtonville</v>
      </c>
      <c r="B557" s="5" t="n">
        <f aca="false">'Raw Data'!A557</f>
        <v>40337</v>
      </c>
      <c r="C557" s="6" t="n">
        <f aca="false">'Raw Data'!D557</f>
        <v>206.058247131961</v>
      </c>
      <c r="D557" s="6" t="n">
        <f aca="false">'Raw Data'!E557</f>
        <v>4.718571429</v>
      </c>
      <c r="E557" s="6" t="n">
        <f aca="false">'Raw Data'!F557</f>
        <v>0</v>
      </c>
      <c r="F557" s="6" t="n">
        <f aca="false">'Raw Data'!G557</f>
        <v>0</v>
      </c>
      <c r="G557" s="6" t="n">
        <f aca="false">'Raw Data'!H557</f>
        <v>0</v>
      </c>
      <c r="H557" s="6" t="n">
        <f aca="false">'Raw Data'!I557</f>
        <v>0</v>
      </c>
      <c r="I557" s="6" t="n">
        <f aca="false">'Raw Data'!J557</f>
        <v>0</v>
      </c>
      <c r="J557" s="6" t="n">
        <f aca="false">'Raw Data'!K557</f>
        <v>2</v>
      </c>
      <c r="K557" s="6" t="n">
        <f aca="false">'Raw Data'!L557</f>
        <v>4</v>
      </c>
      <c r="L557" s="6" t="n">
        <f aca="false">F557*E557</f>
        <v>0</v>
      </c>
      <c r="N557" s="0" t="n">
        <v>1</v>
      </c>
      <c r="O557" s="6" t="n">
        <f aca="false">D557</f>
        <v>4.718571429</v>
      </c>
      <c r="P557" s="6" t="n">
        <f aca="false">E557</f>
        <v>0</v>
      </c>
      <c r="Q557" s="6" t="n">
        <f aca="false">F557</f>
        <v>0</v>
      </c>
      <c r="R557" s="6" t="n">
        <f aca="false">G557</f>
        <v>0</v>
      </c>
      <c r="S557" s="6" t="n">
        <f aca="false">H557</f>
        <v>0</v>
      </c>
      <c r="T557" s="6" t="n">
        <f aca="false">I557</f>
        <v>0</v>
      </c>
      <c r="U557" s="6" t="n">
        <f aca="false">L557</f>
        <v>0</v>
      </c>
      <c r="W557" s="6" t="n">
        <f aca="false">D557</f>
        <v>4.718571429</v>
      </c>
      <c r="X557" s="6" t="n">
        <f aca="false">E557</f>
        <v>0</v>
      </c>
      <c r="Y557" s="6" t="n">
        <f aca="false">F557</f>
        <v>0</v>
      </c>
      <c r="Z557" s="6" t="n">
        <f aca="false">L557</f>
        <v>0</v>
      </c>
      <c r="AA557" s="6" t="n">
        <f aca="false">G557</f>
        <v>0</v>
      </c>
      <c r="AC557" s="6" t="n">
        <f aca="false">D557</f>
        <v>4.718571429</v>
      </c>
      <c r="AD557" s="6" t="n">
        <f aca="false">E557</f>
        <v>0</v>
      </c>
      <c r="AE557" s="6" t="n">
        <f aca="false">G557</f>
        <v>0</v>
      </c>
      <c r="AF557" s="6" t="n">
        <f aca="false">H557</f>
        <v>0</v>
      </c>
      <c r="AG557" s="6" t="n">
        <f aca="false">I557</f>
        <v>0</v>
      </c>
      <c r="AH557" s="6" t="n">
        <f aca="false">L557</f>
        <v>0</v>
      </c>
    </row>
    <row r="558" customFormat="false" ht="15" hidden="false" customHeight="false" outlineLevel="0" collapsed="false">
      <c r="A558" s="0" t="str">
        <f aca="false">'Raw Data'!C558</f>
        <v>Newtonville</v>
      </c>
      <c r="B558" s="5" t="n">
        <f aca="false">'Raw Data'!A558</f>
        <v>40344</v>
      </c>
      <c r="C558" s="6" t="n">
        <f aca="false">'Raw Data'!D558</f>
        <v>164.598748956727</v>
      </c>
      <c r="D558" s="6" t="n">
        <f aca="false">'Raw Data'!E558</f>
        <v>4.84</v>
      </c>
      <c r="E558" s="6" t="n">
        <f aca="false">'Raw Data'!F558</f>
        <v>0</v>
      </c>
      <c r="F558" s="6" t="n">
        <f aca="false">'Raw Data'!G558</f>
        <v>0</v>
      </c>
      <c r="G558" s="6" t="n">
        <f aca="false">'Raw Data'!H558</f>
        <v>0</v>
      </c>
      <c r="H558" s="6" t="n">
        <f aca="false">'Raw Data'!I558</f>
        <v>0</v>
      </c>
      <c r="I558" s="6" t="n">
        <f aca="false">'Raw Data'!J558</f>
        <v>0</v>
      </c>
      <c r="J558" s="6" t="n">
        <f aca="false">'Raw Data'!K558</f>
        <v>2</v>
      </c>
      <c r="K558" s="6" t="n">
        <f aca="false">'Raw Data'!L558</f>
        <v>4</v>
      </c>
      <c r="L558" s="6" t="n">
        <f aca="false">F558*E558</f>
        <v>0</v>
      </c>
      <c r="N558" s="0" t="n">
        <v>1</v>
      </c>
      <c r="O558" s="6" t="n">
        <f aca="false">D558</f>
        <v>4.84</v>
      </c>
      <c r="P558" s="6" t="n">
        <f aca="false">E558</f>
        <v>0</v>
      </c>
      <c r="Q558" s="6" t="n">
        <f aca="false">F558</f>
        <v>0</v>
      </c>
      <c r="R558" s="6" t="n">
        <f aca="false">G558</f>
        <v>0</v>
      </c>
      <c r="S558" s="6" t="n">
        <f aca="false">H558</f>
        <v>0</v>
      </c>
      <c r="T558" s="6" t="n">
        <f aca="false">I558</f>
        <v>0</v>
      </c>
      <c r="U558" s="6" t="n">
        <f aca="false">L558</f>
        <v>0</v>
      </c>
      <c r="W558" s="6" t="n">
        <f aca="false">D558</f>
        <v>4.84</v>
      </c>
      <c r="X558" s="6" t="n">
        <f aca="false">E558</f>
        <v>0</v>
      </c>
      <c r="Y558" s="6" t="n">
        <f aca="false">F558</f>
        <v>0</v>
      </c>
      <c r="Z558" s="6" t="n">
        <f aca="false">L558</f>
        <v>0</v>
      </c>
      <c r="AA558" s="6" t="n">
        <f aca="false">G558</f>
        <v>0</v>
      </c>
      <c r="AC558" s="6" t="n">
        <f aca="false">D558</f>
        <v>4.84</v>
      </c>
      <c r="AD558" s="6" t="n">
        <f aca="false">E558</f>
        <v>0</v>
      </c>
      <c r="AE558" s="6" t="n">
        <f aca="false">G558</f>
        <v>0</v>
      </c>
      <c r="AF558" s="6" t="n">
        <f aca="false">H558</f>
        <v>0</v>
      </c>
      <c r="AG558" s="6" t="n">
        <f aca="false">I558</f>
        <v>0</v>
      </c>
      <c r="AH558" s="6" t="n">
        <f aca="false">L558</f>
        <v>0</v>
      </c>
    </row>
    <row r="559" customFormat="false" ht="15" hidden="false" customHeight="false" outlineLevel="0" collapsed="false">
      <c r="A559" s="0" t="str">
        <f aca="false">'Raw Data'!C559</f>
        <v>Newtonville</v>
      </c>
      <c r="B559" s="5" t="n">
        <f aca="false">'Raw Data'!A559</f>
        <v>40351</v>
      </c>
      <c r="C559" s="6" t="n">
        <f aca="false">'Raw Data'!D559</f>
        <v>181.200278962401</v>
      </c>
      <c r="D559" s="6" t="n">
        <f aca="false">'Raw Data'!E559</f>
        <v>4.718571429</v>
      </c>
      <c r="E559" s="6" t="n">
        <f aca="false">'Raw Data'!F559</f>
        <v>0</v>
      </c>
      <c r="F559" s="6" t="n">
        <f aca="false">'Raw Data'!G559</f>
        <v>0</v>
      </c>
      <c r="G559" s="6" t="n">
        <f aca="false">'Raw Data'!H559</f>
        <v>0</v>
      </c>
      <c r="H559" s="6" t="n">
        <f aca="false">'Raw Data'!I559</f>
        <v>0</v>
      </c>
      <c r="I559" s="6" t="n">
        <f aca="false">'Raw Data'!J559</f>
        <v>0</v>
      </c>
      <c r="J559" s="6" t="n">
        <f aca="false">'Raw Data'!K559</f>
        <v>2</v>
      </c>
      <c r="K559" s="6" t="n">
        <f aca="false">'Raw Data'!L559</f>
        <v>4</v>
      </c>
      <c r="L559" s="6" t="n">
        <f aca="false">F559*E559</f>
        <v>0</v>
      </c>
      <c r="N559" s="0" t="n">
        <v>1</v>
      </c>
      <c r="O559" s="6" t="n">
        <f aca="false">D559</f>
        <v>4.718571429</v>
      </c>
      <c r="P559" s="6" t="n">
        <f aca="false">E559</f>
        <v>0</v>
      </c>
      <c r="Q559" s="6" t="n">
        <f aca="false">F559</f>
        <v>0</v>
      </c>
      <c r="R559" s="6" t="n">
        <f aca="false">G559</f>
        <v>0</v>
      </c>
      <c r="S559" s="6" t="n">
        <f aca="false">H559</f>
        <v>0</v>
      </c>
      <c r="T559" s="6" t="n">
        <f aca="false">I559</f>
        <v>0</v>
      </c>
      <c r="U559" s="6" t="n">
        <f aca="false">L559</f>
        <v>0</v>
      </c>
      <c r="W559" s="6" t="n">
        <f aca="false">D559</f>
        <v>4.718571429</v>
      </c>
      <c r="X559" s="6" t="n">
        <f aca="false">E559</f>
        <v>0</v>
      </c>
      <c r="Y559" s="6" t="n">
        <f aca="false">F559</f>
        <v>0</v>
      </c>
      <c r="Z559" s="6" t="n">
        <f aca="false">L559</f>
        <v>0</v>
      </c>
      <c r="AA559" s="6" t="n">
        <f aca="false">G559</f>
        <v>0</v>
      </c>
      <c r="AC559" s="6" t="n">
        <f aca="false">D559</f>
        <v>4.718571429</v>
      </c>
      <c r="AD559" s="6" t="n">
        <f aca="false">E559</f>
        <v>0</v>
      </c>
      <c r="AE559" s="6" t="n">
        <f aca="false">G559</f>
        <v>0</v>
      </c>
      <c r="AF559" s="6" t="n">
        <f aca="false">H559</f>
        <v>0</v>
      </c>
      <c r="AG559" s="6" t="n">
        <f aca="false">I559</f>
        <v>0</v>
      </c>
      <c r="AH559" s="6" t="n">
        <f aca="false">L559</f>
        <v>0</v>
      </c>
    </row>
    <row r="560" customFormat="false" ht="15" hidden="false" customHeight="false" outlineLevel="0" collapsed="false">
      <c r="A560" s="0" t="str">
        <f aca="false">'Raw Data'!C560</f>
        <v>Newtonville</v>
      </c>
      <c r="B560" s="5" t="n">
        <f aca="false">'Raw Data'!A560</f>
        <v>40358</v>
      </c>
      <c r="C560" s="6" t="n">
        <f aca="false">'Raw Data'!D560</f>
        <v>231.439086213573</v>
      </c>
      <c r="D560" s="6" t="n">
        <f aca="false">'Raw Data'!E560</f>
        <v>4.718571429</v>
      </c>
      <c r="E560" s="6" t="n">
        <f aca="false">'Raw Data'!F560</f>
        <v>0</v>
      </c>
      <c r="F560" s="6" t="n">
        <f aca="false">'Raw Data'!G560</f>
        <v>0</v>
      </c>
      <c r="G560" s="6" t="n">
        <f aca="false">'Raw Data'!H560</f>
        <v>0</v>
      </c>
      <c r="H560" s="6" t="n">
        <f aca="false">'Raw Data'!I560</f>
        <v>0</v>
      </c>
      <c r="I560" s="6" t="n">
        <f aca="false">'Raw Data'!J560</f>
        <v>0</v>
      </c>
      <c r="J560" s="6" t="n">
        <f aca="false">'Raw Data'!K560</f>
        <v>2</v>
      </c>
      <c r="K560" s="6" t="n">
        <f aca="false">'Raw Data'!L560</f>
        <v>4</v>
      </c>
      <c r="L560" s="6" t="n">
        <f aca="false">F560*E560</f>
        <v>0</v>
      </c>
      <c r="N560" s="0" t="n">
        <v>1</v>
      </c>
      <c r="O560" s="6" t="n">
        <f aca="false">D560</f>
        <v>4.718571429</v>
      </c>
      <c r="P560" s="6" t="n">
        <f aca="false">E560</f>
        <v>0</v>
      </c>
      <c r="Q560" s="6" t="n">
        <f aca="false">F560</f>
        <v>0</v>
      </c>
      <c r="R560" s="6" t="n">
        <f aca="false">G560</f>
        <v>0</v>
      </c>
      <c r="S560" s="6" t="n">
        <f aca="false">H560</f>
        <v>0</v>
      </c>
      <c r="T560" s="6" t="n">
        <f aca="false">I560</f>
        <v>0</v>
      </c>
      <c r="U560" s="6" t="n">
        <f aca="false">L560</f>
        <v>0</v>
      </c>
      <c r="W560" s="6" t="n">
        <f aca="false">D560</f>
        <v>4.718571429</v>
      </c>
      <c r="X560" s="6" t="n">
        <f aca="false">E560</f>
        <v>0</v>
      </c>
      <c r="Y560" s="6" t="n">
        <f aca="false">F560</f>
        <v>0</v>
      </c>
      <c r="Z560" s="6" t="n">
        <f aca="false">L560</f>
        <v>0</v>
      </c>
      <c r="AA560" s="6" t="n">
        <f aca="false">G560</f>
        <v>0</v>
      </c>
      <c r="AC560" s="6" t="n">
        <f aca="false">D560</f>
        <v>4.718571429</v>
      </c>
      <c r="AD560" s="6" t="n">
        <f aca="false">E560</f>
        <v>0</v>
      </c>
      <c r="AE560" s="6" t="n">
        <f aca="false">G560</f>
        <v>0</v>
      </c>
      <c r="AF560" s="6" t="n">
        <f aca="false">H560</f>
        <v>0</v>
      </c>
      <c r="AG560" s="6" t="n">
        <f aca="false">I560</f>
        <v>0</v>
      </c>
      <c r="AH560" s="6" t="n">
        <f aca="false">L560</f>
        <v>0</v>
      </c>
    </row>
    <row r="561" customFormat="false" ht="15" hidden="false" customHeight="false" outlineLevel="0" collapsed="false">
      <c r="A561" s="0" t="str">
        <f aca="false">'Raw Data'!C561</f>
        <v>Newtonville</v>
      </c>
      <c r="B561" s="5" t="n">
        <f aca="false">'Raw Data'!A561</f>
        <v>40365</v>
      </c>
      <c r="C561" s="6" t="n">
        <f aca="false">'Raw Data'!D561</f>
        <v>47.559851899868</v>
      </c>
      <c r="D561" s="6" t="n">
        <f aca="false">'Raw Data'!E561</f>
        <v>4.294285714</v>
      </c>
      <c r="E561" s="6" t="n">
        <f aca="false">'Raw Data'!F561</f>
        <v>0</v>
      </c>
      <c r="F561" s="6" t="n">
        <f aca="false">'Raw Data'!G561</f>
        <v>0</v>
      </c>
      <c r="G561" s="6" t="n">
        <f aca="false">'Raw Data'!H561</f>
        <v>0</v>
      </c>
      <c r="H561" s="6" t="n">
        <f aca="false">'Raw Data'!I561</f>
        <v>0</v>
      </c>
      <c r="I561" s="6" t="n">
        <f aca="false">'Raw Data'!J561</f>
        <v>0</v>
      </c>
      <c r="J561" s="6" t="n">
        <f aca="false">'Raw Data'!K561</f>
        <v>2</v>
      </c>
      <c r="K561" s="6" t="n">
        <f aca="false">'Raw Data'!L561</f>
        <v>4</v>
      </c>
      <c r="L561" s="6" t="n">
        <f aca="false">F561*E561</f>
        <v>0</v>
      </c>
      <c r="N561" s="0" t="n">
        <v>1</v>
      </c>
      <c r="O561" s="6" t="n">
        <f aca="false">D561</f>
        <v>4.294285714</v>
      </c>
      <c r="P561" s="6" t="n">
        <f aca="false">E561</f>
        <v>0</v>
      </c>
      <c r="Q561" s="6" t="n">
        <f aca="false">F561</f>
        <v>0</v>
      </c>
      <c r="R561" s="6" t="n">
        <f aca="false">G561</f>
        <v>0</v>
      </c>
      <c r="S561" s="6" t="n">
        <f aca="false">H561</f>
        <v>0</v>
      </c>
      <c r="T561" s="6" t="n">
        <f aca="false">I561</f>
        <v>0</v>
      </c>
      <c r="U561" s="6" t="n">
        <f aca="false">L561</f>
        <v>0</v>
      </c>
      <c r="W561" s="6" t="n">
        <f aca="false">D561</f>
        <v>4.294285714</v>
      </c>
      <c r="X561" s="6" t="n">
        <f aca="false">E561</f>
        <v>0</v>
      </c>
      <c r="Y561" s="6" t="n">
        <f aca="false">F561</f>
        <v>0</v>
      </c>
      <c r="Z561" s="6" t="n">
        <f aca="false">L561</f>
        <v>0</v>
      </c>
      <c r="AA561" s="6" t="n">
        <f aca="false">G561</f>
        <v>0</v>
      </c>
      <c r="AC561" s="6" t="n">
        <f aca="false">D561</f>
        <v>4.294285714</v>
      </c>
      <c r="AD561" s="6" t="n">
        <f aca="false">E561</f>
        <v>0</v>
      </c>
      <c r="AE561" s="6" t="n">
        <f aca="false">G561</f>
        <v>0</v>
      </c>
      <c r="AF561" s="6" t="n">
        <f aca="false">H561</f>
        <v>0</v>
      </c>
      <c r="AG561" s="6" t="n">
        <f aca="false">I561</f>
        <v>0</v>
      </c>
      <c r="AH561" s="6" t="n">
        <f aca="false">L561</f>
        <v>0</v>
      </c>
    </row>
    <row r="562" customFormat="false" ht="15" hidden="false" customHeight="false" outlineLevel="0" collapsed="false">
      <c r="A562" s="0" t="str">
        <f aca="false">'Raw Data'!C562</f>
        <v>Newtonville</v>
      </c>
      <c r="B562" s="5" t="n">
        <f aca="false">'Raw Data'!A562</f>
        <v>40372</v>
      </c>
      <c r="C562" s="6" t="n">
        <f aca="false">'Raw Data'!D562</f>
        <v>222.812189491706</v>
      </c>
      <c r="D562" s="6" t="n">
        <f aca="false">'Raw Data'!E562</f>
        <v>3.424285714</v>
      </c>
      <c r="E562" s="6" t="n">
        <f aca="false">'Raw Data'!F562</f>
        <v>0</v>
      </c>
      <c r="F562" s="6" t="n">
        <f aca="false">'Raw Data'!G562</f>
        <v>0</v>
      </c>
      <c r="G562" s="6" t="n">
        <f aca="false">'Raw Data'!H562</f>
        <v>0</v>
      </c>
      <c r="H562" s="6" t="n">
        <f aca="false">'Raw Data'!I562</f>
        <v>0</v>
      </c>
      <c r="I562" s="6" t="n">
        <f aca="false">'Raw Data'!J562</f>
        <v>0</v>
      </c>
      <c r="J562" s="6" t="n">
        <f aca="false">'Raw Data'!K562</f>
        <v>2</v>
      </c>
      <c r="K562" s="6" t="n">
        <f aca="false">'Raw Data'!L562</f>
        <v>4</v>
      </c>
      <c r="L562" s="6" t="n">
        <f aca="false">F562*E562</f>
        <v>0</v>
      </c>
      <c r="N562" s="0" t="n">
        <v>1</v>
      </c>
      <c r="O562" s="6" t="n">
        <f aca="false">D562</f>
        <v>3.424285714</v>
      </c>
      <c r="P562" s="6" t="n">
        <f aca="false">E562</f>
        <v>0</v>
      </c>
      <c r="Q562" s="6" t="n">
        <f aca="false">F562</f>
        <v>0</v>
      </c>
      <c r="R562" s="6" t="n">
        <f aca="false">G562</f>
        <v>0</v>
      </c>
      <c r="S562" s="6" t="n">
        <f aca="false">H562</f>
        <v>0</v>
      </c>
      <c r="T562" s="6" t="n">
        <f aca="false">I562</f>
        <v>0</v>
      </c>
      <c r="U562" s="6" t="n">
        <f aca="false">L562</f>
        <v>0</v>
      </c>
      <c r="W562" s="6" t="n">
        <f aca="false">D562</f>
        <v>3.424285714</v>
      </c>
      <c r="X562" s="6" t="n">
        <f aca="false">E562</f>
        <v>0</v>
      </c>
      <c r="Y562" s="6" t="n">
        <f aca="false">F562</f>
        <v>0</v>
      </c>
      <c r="Z562" s="6" t="n">
        <f aca="false">L562</f>
        <v>0</v>
      </c>
      <c r="AA562" s="6" t="n">
        <f aca="false">G562</f>
        <v>0</v>
      </c>
      <c r="AC562" s="6" t="n">
        <f aca="false">D562</f>
        <v>3.424285714</v>
      </c>
      <c r="AD562" s="6" t="n">
        <f aca="false">E562</f>
        <v>0</v>
      </c>
      <c r="AE562" s="6" t="n">
        <f aca="false">G562</f>
        <v>0</v>
      </c>
      <c r="AF562" s="6" t="n">
        <f aca="false">H562</f>
        <v>0</v>
      </c>
      <c r="AG562" s="6" t="n">
        <f aca="false">I562</f>
        <v>0</v>
      </c>
      <c r="AH562" s="6" t="n">
        <f aca="false">L562</f>
        <v>0</v>
      </c>
    </row>
    <row r="563" customFormat="false" ht="15" hidden="false" customHeight="false" outlineLevel="0" collapsed="false">
      <c r="A563" s="0" t="str">
        <f aca="false">'Raw Data'!C563</f>
        <v>Portland ME (aka Portland)</v>
      </c>
      <c r="B563" s="5" t="n">
        <f aca="false">'Raw Data'!A563</f>
        <v>40302</v>
      </c>
      <c r="C563" s="6" t="n">
        <f aca="false">'Raw Data'!D563</f>
        <v>148.395353516327</v>
      </c>
      <c r="D563" s="6" t="n">
        <f aca="false">'Raw Data'!E563</f>
        <v>4.6275</v>
      </c>
      <c r="E563" s="6" t="n">
        <f aca="false">'Raw Data'!F563</f>
        <v>0</v>
      </c>
      <c r="F563" s="6" t="n">
        <f aca="false">'Raw Data'!G563</f>
        <v>0</v>
      </c>
      <c r="G563" s="6" t="n">
        <f aca="false">'Raw Data'!H563</f>
        <v>0</v>
      </c>
      <c r="H563" s="6" t="n">
        <f aca="false">'Raw Data'!I563</f>
        <v>0</v>
      </c>
      <c r="I563" s="6" t="n">
        <f aca="false">'Raw Data'!J563</f>
        <v>0</v>
      </c>
      <c r="J563" s="6" t="n">
        <f aca="false">'Raw Data'!K563</f>
        <v>0</v>
      </c>
      <c r="K563" s="6" t="n">
        <f aca="false">'Raw Data'!L563</f>
        <v>4</v>
      </c>
      <c r="L563" s="6" t="n">
        <f aca="false">F563*E563</f>
        <v>0</v>
      </c>
      <c r="N563" s="0" t="n">
        <v>1</v>
      </c>
      <c r="O563" s="6" t="n">
        <f aca="false">D563</f>
        <v>4.6275</v>
      </c>
      <c r="P563" s="6" t="n">
        <f aca="false">E563</f>
        <v>0</v>
      </c>
      <c r="Q563" s="6" t="n">
        <f aca="false">F563</f>
        <v>0</v>
      </c>
      <c r="R563" s="6" t="n">
        <f aca="false">G563</f>
        <v>0</v>
      </c>
      <c r="S563" s="6" t="n">
        <f aca="false">H563</f>
        <v>0</v>
      </c>
      <c r="T563" s="6" t="n">
        <f aca="false">I563</f>
        <v>0</v>
      </c>
      <c r="U563" s="6" t="n">
        <f aca="false">L563</f>
        <v>0</v>
      </c>
      <c r="W563" s="6" t="n">
        <f aca="false">D563</f>
        <v>4.6275</v>
      </c>
      <c r="X563" s="6" t="n">
        <f aca="false">E563</f>
        <v>0</v>
      </c>
      <c r="Y563" s="6" t="n">
        <f aca="false">F563</f>
        <v>0</v>
      </c>
      <c r="Z563" s="6" t="n">
        <f aca="false">L563</f>
        <v>0</v>
      </c>
      <c r="AA563" s="6" t="n">
        <f aca="false">G563</f>
        <v>0</v>
      </c>
      <c r="AC563" s="6" t="n">
        <f aca="false">D563</f>
        <v>4.6275</v>
      </c>
      <c r="AD563" s="6" t="n">
        <f aca="false">E563</f>
        <v>0</v>
      </c>
      <c r="AE563" s="6" t="n">
        <f aca="false">G563</f>
        <v>0</v>
      </c>
      <c r="AF563" s="6" t="n">
        <f aca="false">H563</f>
        <v>0</v>
      </c>
      <c r="AG563" s="6" t="n">
        <f aca="false">I563</f>
        <v>0</v>
      </c>
      <c r="AH563" s="6" t="n">
        <f aca="false">L563</f>
        <v>0</v>
      </c>
    </row>
    <row r="564" customFormat="false" ht="15" hidden="false" customHeight="false" outlineLevel="0" collapsed="false">
      <c r="A564" s="0" t="str">
        <f aca="false">'Raw Data'!C564</f>
        <v>Portland ME (aka Portland)</v>
      </c>
      <c r="B564" s="5" t="n">
        <f aca="false">'Raw Data'!A564</f>
        <v>40309</v>
      </c>
      <c r="C564" s="6" t="n">
        <f aca="false">'Raw Data'!D564</f>
        <v>182.425078741369</v>
      </c>
      <c r="D564" s="6" t="n">
        <f aca="false">'Raw Data'!E564</f>
        <v>4.6275</v>
      </c>
      <c r="E564" s="6" t="n">
        <f aca="false">'Raw Data'!F564</f>
        <v>0</v>
      </c>
      <c r="F564" s="6" t="n">
        <f aca="false">'Raw Data'!G564</f>
        <v>0</v>
      </c>
      <c r="G564" s="6" t="n">
        <f aca="false">'Raw Data'!H564</f>
        <v>0</v>
      </c>
      <c r="H564" s="6" t="n">
        <f aca="false">'Raw Data'!I564</f>
        <v>0</v>
      </c>
      <c r="I564" s="6" t="n">
        <f aca="false">'Raw Data'!J564</f>
        <v>0</v>
      </c>
      <c r="J564" s="6" t="n">
        <f aca="false">'Raw Data'!K564</f>
        <v>0</v>
      </c>
      <c r="K564" s="6" t="n">
        <f aca="false">'Raw Data'!L564</f>
        <v>4</v>
      </c>
      <c r="L564" s="6" t="n">
        <f aca="false">F564*E564</f>
        <v>0</v>
      </c>
      <c r="N564" s="0" t="n">
        <v>1</v>
      </c>
      <c r="O564" s="6" t="n">
        <f aca="false">D564</f>
        <v>4.6275</v>
      </c>
      <c r="P564" s="6" t="n">
        <f aca="false">E564</f>
        <v>0</v>
      </c>
      <c r="Q564" s="6" t="n">
        <f aca="false">F564</f>
        <v>0</v>
      </c>
      <c r="R564" s="6" t="n">
        <f aca="false">G564</f>
        <v>0</v>
      </c>
      <c r="S564" s="6" t="n">
        <f aca="false">H564</f>
        <v>0</v>
      </c>
      <c r="T564" s="6" t="n">
        <f aca="false">I564</f>
        <v>0</v>
      </c>
      <c r="U564" s="6" t="n">
        <f aca="false">L564</f>
        <v>0</v>
      </c>
      <c r="W564" s="6" t="n">
        <f aca="false">D564</f>
        <v>4.6275</v>
      </c>
      <c r="X564" s="6" t="n">
        <f aca="false">E564</f>
        <v>0</v>
      </c>
      <c r="Y564" s="6" t="n">
        <f aca="false">F564</f>
        <v>0</v>
      </c>
      <c r="Z564" s="6" t="n">
        <f aca="false">L564</f>
        <v>0</v>
      </c>
      <c r="AA564" s="6" t="n">
        <f aca="false">G564</f>
        <v>0</v>
      </c>
      <c r="AC564" s="6" t="n">
        <f aca="false">D564</f>
        <v>4.6275</v>
      </c>
      <c r="AD564" s="6" t="n">
        <f aca="false">E564</f>
        <v>0</v>
      </c>
      <c r="AE564" s="6" t="n">
        <f aca="false">G564</f>
        <v>0</v>
      </c>
      <c r="AF564" s="6" t="n">
        <f aca="false">H564</f>
        <v>0</v>
      </c>
      <c r="AG564" s="6" t="n">
        <f aca="false">I564</f>
        <v>0</v>
      </c>
      <c r="AH564" s="6" t="n">
        <f aca="false">L564</f>
        <v>0</v>
      </c>
    </row>
    <row r="565" customFormat="false" ht="15" hidden="false" customHeight="false" outlineLevel="0" collapsed="false">
      <c r="A565" s="0" t="str">
        <f aca="false">'Raw Data'!C565</f>
        <v>Portland ME (aka Portland)</v>
      </c>
      <c r="B565" s="5" t="n">
        <f aca="false">'Raw Data'!A565</f>
        <v>40316</v>
      </c>
      <c r="C565" s="6" t="n">
        <f aca="false">'Raw Data'!D565</f>
        <v>178.364998735917</v>
      </c>
      <c r="D565" s="6" t="n">
        <f aca="false">'Raw Data'!E565</f>
        <v>4.065</v>
      </c>
      <c r="E565" s="6" t="n">
        <f aca="false">'Raw Data'!F565</f>
        <v>0</v>
      </c>
      <c r="F565" s="6" t="n">
        <f aca="false">'Raw Data'!G565</f>
        <v>0</v>
      </c>
      <c r="G565" s="6" t="n">
        <f aca="false">'Raw Data'!H565</f>
        <v>0</v>
      </c>
      <c r="H565" s="6" t="n">
        <f aca="false">'Raw Data'!I565</f>
        <v>0</v>
      </c>
      <c r="I565" s="6" t="n">
        <f aca="false">'Raw Data'!J565</f>
        <v>0</v>
      </c>
      <c r="J565" s="6" t="n">
        <f aca="false">'Raw Data'!K565</f>
        <v>0</v>
      </c>
      <c r="K565" s="6" t="n">
        <f aca="false">'Raw Data'!L565</f>
        <v>4</v>
      </c>
      <c r="L565" s="6" t="n">
        <f aca="false">F565*E565</f>
        <v>0</v>
      </c>
      <c r="N565" s="0" t="n">
        <v>1</v>
      </c>
      <c r="O565" s="6" t="n">
        <f aca="false">D565</f>
        <v>4.065</v>
      </c>
      <c r="P565" s="6" t="n">
        <f aca="false">E565</f>
        <v>0</v>
      </c>
      <c r="Q565" s="6" t="n">
        <f aca="false">F565</f>
        <v>0</v>
      </c>
      <c r="R565" s="6" t="n">
        <f aca="false">G565</f>
        <v>0</v>
      </c>
      <c r="S565" s="6" t="n">
        <f aca="false">H565</f>
        <v>0</v>
      </c>
      <c r="T565" s="6" t="n">
        <f aca="false">I565</f>
        <v>0</v>
      </c>
      <c r="U565" s="6" t="n">
        <f aca="false">L565</f>
        <v>0</v>
      </c>
      <c r="W565" s="6" t="n">
        <f aca="false">D565</f>
        <v>4.065</v>
      </c>
      <c r="X565" s="6" t="n">
        <f aca="false">E565</f>
        <v>0</v>
      </c>
      <c r="Y565" s="6" t="n">
        <f aca="false">F565</f>
        <v>0</v>
      </c>
      <c r="Z565" s="6" t="n">
        <f aca="false">L565</f>
        <v>0</v>
      </c>
      <c r="AA565" s="6" t="n">
        <f aca="false">G565</f>
        <v>0</v>
      </c>
      <c r="AC565" s="6" t="n">
        <f aca="false">D565</f>
        <v>4.065</v>
      </c>
      <c r="AD565" s="6" t="n">
        <f aca="false">E565</f>
        <v>0</v>
      </c>
      <c r="AE565" s="6" t="n">
        <f aca="false">G565</f>
        <v>0</v>
      </c>
      <c r="AF565" s="6" t="n">
        <f aca="false">H565</f>
        <v>0</v>
      </c>
      <c r="AG565" s="6" t="n">
        <f aca="false">I565</f>
        <v>0</v>
      </c>
      <c r="AH565" s="6" t="n">
        <f aca="false">L565</f>
        <v>0</v>
      </c>
    </row>
    <row r="566" customFormat="false" ht="15" hidden="false" customHeight="false" outlineLevel="0" collapsed="false">
      <c r="A566" s="0" t="str">
        <f aca="false">'Raw Data'!C566</f>
        <v>Portland ME (aka Portland)</v>
      </c>
      <c r="B566" s="5" t="n">
        <f aca="false">'Raw Data'!A566</f>
        <v>40323</v>
      </c>
      <c r="C566" s="6" t="n">
        <f aca="false">'Raw Data'!D566</f>
        <v>172.816010665747</v>
      </c>
      <c r="D566" s="6" t="n">
        <f aca="false">'Raw Data'!E566</f>
        <v>4.065</v>
      </c>
      <c r="E566" s="6" t="n">
        <f aca="false">'Raw Data'!F566</f>
        <v>0</v>
      </c>
      <c r="F566" s="6" t="n">
        <f aca="false">'Raw Data'!G566</f>
        <v>0</v>
      </c>
      <c r="G566" s="6" t="n">
        <f aca="false">'Raw Data'!H566</f>
        <v>0</v>
      </c>
      <c r="H566" s="6" t="n">
        <f aca="false">'Raw Data'!I566</f>
        <v>0</v>
      </c>
      <c r="I566" s="6" t="n">
        <f aca="false">'Raw Data'!J566</f>
        <v>0</v>
      </c>
      <c r="J566" s="6" t="n">
        <f aca="false">'Raw Data'!K566</f>
        <v>0</v>
      </c>
      <c r="K566" s="6" t="n">
        <f aca="false">'Raw Data'!L566</f>
        <v>4</v>
      </c>
      <c r="L566" s="6" t="n">
        <f aca="false">F566*E566</f>
        <v>0</v>
      </c>
      <c r="N566" s="0" t="n">
        <v>1</v>
      </c>
      <c r="O566" s="6" t="n">
        <f aca="false">D566</f>
        <v>4.065</v>
      </c>
      <c r="P566" s="6" t="n">
        <f aca="false">E566</f>
        <v>0</v>
      </c>
      <c r="Q566" s="6" t="n">
        <f aca="false">F566</f>
        <v>0</v>
      </c>
      <c r="R566" s="6" t="n">
        <f aca="false">G566</f>
        <v>0</v>
      </c>
      <c r="S566" s="6" t="n">
        <f aca="false">H566</f>
        <v>0</v>
      </c>
      <c r="T566" s="6" t="n">
        <f aca="false">I566</f>
        <v>0</v>
      </c>
      <c r="U566" s="6" t="n">
        <f aca="false">L566</f>
        <v>0</v>
      </c>
      <c r="W566" s="6" t="n">
        <f aca="false">D566</f>
        <v>4.065</v>
      </c>
      <c r="X566" s="6" t="n">
        <f aca="false">E566</f>
        <v>0</v>
      </c>
      <c r="Y566" s="6" t="n">
        <f aca="false">F566</f>
        <v>0</v>
      </c>
      <c r="Z566" s="6" t="n">
        <f aca="false">L566</f>
        <v>0</v>
      </c>
      <c r="AA566" s="6" t="n">
        <f aca="false">G566</f>
        <v>0</v>
      </c>
      <c r="AC566" s="6" t="n">
        <f aca="false">D566</f>
        <v>4.065</v>
      </c>
      <c r="AD566" s="6" t="n">
        <f aca="false">E566</f>
        <v>0</v>
      </c>
      <c r="AE566" s="6" t="n">
        <f aca="false">G566</f>
        <v>0</v>
      </c>
      <c r="AF566" s="6" t="n">
        <f aca="false">H566</f>
        <v>0</v>
      </c>
      <c r="AG566" s="6" t="n">
        <f aca="false">I566</f>
        <v>0</v>
      </c>
      <c r="AH566" s="6" t="n">
        <f aca="false">L566</f>
        <v>0</v>
      </c>
    </row>
    <row r="567" customFormat="false" ht="15" hidden="false" customHeight="false" outlineLevel="0" collapsed="false">
      <c r="A567" s="0" t="str">
        <f aca="false">'Raw Data'!C567</f>
        <v>Portland ME (aka Portland)</v>
      </c>
      <c r="B567" s="5" t="n">
        <f aca="false">'Raw Data'!A567</f>
        <v>40330</v>
      </c>
      <c r="C567" s="6" t="n">
        <f aca="false">'Raw Data'!D567</f>
        <v>306.850543086761</v>
      </c>
      <c r="D567" s="6" t="n">
        <f aca="false">'Raw Data'!E567</f>
        <v>4.065</v>
      </c>
      <c r="E567" s="6" t="n">
        <f aca="false">'Raw Data'!F567</f>
        <v>0</v>
      </c>
      <c r="F567" s="6" t="n">
        <f aca="false">'Raw Data'!G567</f>
        <v>0</v>
      </c>
      <c r="G567" s="6" t="n">
        <f aca="false">'Raw Data'!H567</f>
        <v>0</v>
      </c>
      <c r="H567" s="6" t="n">
        <f aca="false">'Raw Data'!I567</f>
        <v>0</v>
      </c>
      <c r="I567" s="6" t="n">
        <f aca="false">'Raw Data'!J567</f>
        <v>0</v>
      </c>
      <c r="J567" s="6" t="n">
        <f aca="false">'Raw Data'!K567</f>
        <v>0</v>
      </c>
      <c r="K567" s="6" t="n">
        <f aca="false">'Raw Data'!L567</f>
        <v>4</v>
      </c>
      <c r="L567" s="6" t="n">
        <f aca="false">F567*E567</f>
        <v>0</v>
      </c>
      <c r="N567" s="0" t="n">
        <v>1</v>
      </c>
      <c r="O567" s="6" t="n">
        <f aca="false">D567</f>
        <v>4.065</v>
      </c>
      <c r="P567" s="6" t="n">
        <f aca="false">E567</f>
        <v>0</v>
      </c>
      <c r="Q567" s="6" t="n">
        <f aca="false">F567</f>
        <v>0</v>
      </c>
      <c r="R567" s="6" t="n">
        <f aca="false">G567</f>
        <v>0</v>
      </c>
      <c r="S567" s="6" t="n">
        <f aca="false">H567</f>
        <v>0</v>
      </c>
      <c r="T567" s="6" t="n">
        <f aca="false">I567</f>
        <v>0</v>
      </c>
      <c r="U567" s="6" t="n">
        <f aca="false">L567</f>
        <v>0</v>
      </c>
      <c r="W567" s="6" t="n">
        <f aca="false">D567</f>
        <v>4.065</v>
      </c>
      <c r="X567" s="6" t="n">
        <f aca="false">E567</f>
        <v>0</v>
      </c>
      <c r="Y567" s="6" t="n">
        <f aca="false">F567</f>
        <v>0</v>
      </c>
      <c r="Z567" s="6" t="n">
        <f aca="false">L567</f>
        <v>0</v>
      </c>
      <c r="AA567" s="6" t="n">
        <f aca="false">G567</f>
        <v>0</v>
      </c>
      <c r="AC567" s="6" t="n">
        <f aca="false">D567</f>
        <v>4.065</v>
      </c>
      <c r="AD567" s="6" t="n">
        <f aca="false">E567</f>
        <v>0</v>
      </c>
      <c r="AE567" s="6" t="n">
        <f aca="false">G567</f>
        <v>0</v>
      </c>
      <c r="AF567" s="6" t="n">
        <f aca="false">H567</f>
        <v>0</v>
      </c>
      <c r="AG567" s="6" t="n">
        <f aca="false">I567</f>
        <v>0</v>
      </c>
      <c r="AH567" s="6" t="n">
        <f aca="false">L567</f>
        <v>0</v>
      </c>
    </row>
    <row r="568" customFormat="false" ht="15" hidden="false" customHeight="false" outlineLevel="0" collapsed="false">
      <c r="A568" s="0" t="str">
        <f aca="false">'Raw Data'!C568</f>
        <v>Portland ME (aka Portland)</v>
      </c>
      <c r="B568" s="5" t="n">
        <f aca="false">'Raw Data'!A568</f>
        <v>40337</v>
      </c>
      <c r="C568" s="6" t="n">
        <f aca="false">'Raw Data'!D568</f>
        <v>172.191374476945</v>
      </c>
      <c r="D568" s="6" t="n">
        <f aca="false">'Raw Data'!E568</f>
        <v>4.6275</v>
      </c>
      <c r="E568" s="6" t="n">
        <f aca="false">'Raw Data'!F568</f>
        <v>0</v>
      </c>
      <c r="F568" s="6" t="n">
        <f aca="false">'Raw Data'!G568</f>
        <v>0</v>
      </c>
      <c r="G568" s="6" t="n">
        <f aca="false">'Raw Data'!H568</f>
        <v>0</v>
      </c>
      <c r="H568" s="6" t="n">
        <f aca="false">'Raw Data'!I568</f>
        <v>0</v>
      </c>
      <c r="I568" s="6" t="n">
        <f aca="false">'Raw Data'!J568</f>
        <v>0</v>
      </c>
      <c r="J568" s="6" t="n">
        <f aca="false">'Raw Data'!K568</f>
        <v>0</v>
      </c>
      <c r="K568" s="6" t="n">
        <f aca="false">'Raw Data'!L568</f>
        <v>4</v>
      </c>
      <c r="L568" s="6" t="n">
        <f aca="false">F568*E568</f>
        <v>0</v>
      </c>
      <c r="N568" s="0" t="n">
        <v>1</v>
      </c>
      <c r="O568" s="6" t="n">
        <f aca="false">D568</f>
        <v>4.6275</v>
      </c>
      <c r="P568" s="6" t="n">
        <f aca="false">E568</f>
        <v>0</v>
      </c>
      <c r="Q568" s="6" t="n">
        <f aca="false">F568</f>
        <v>0</v>
      </c>
      <c r="R568" s="6" t="n">
        <f aca="false">G568</f>
        <v>0</v>
      </c>
      <c r="S568" s="6" t="n">
        <f aca="false">H568</f>
        <v>0</v>
      </c>
      <c r="T568" s="6" t="n">
        <f aca="false">I568</f>
        <v>0</v>
      </c>
      <c r="U568" s="6" t="n">
        <f aca="false">L568</f>
        <v>0</v>
      </c>
      <c r="W568" s="6" t="n">
        <f aca="false">D568</f>
        <v>4.6275</v>
      </c>
      <c r="X568" s="6" t="n">
        <f aca="false">E568</f>
        <v>0</v>
      </c>
      <c r="Y568" s="6" t="n">
        <f aca="false">F568</f>
        <v>0</v>
      </c>
      <c r="Z568" s="6" t="n">
        <f aca="false">L568</f>
        <v>0</v>
      </c>
      <c r="AA568" s="6" t="n">
        <f aca="false">G568</f>
        <v>0</v>
      </c>
      <c r="AC568" s="6" t="n">
        <f aca="false">D568</f>
        <v>4.6275</v>
      </c>
      <c r="AD568" s="6" t="n">
        <f aca="false">E568</f>
        <v>0</v>
      </c>
      <c r="AE568" s="6" t="n">
        <f aca="false">G568</f>
        <v>0</v>
      </c>
      <c r="AF568" s="6" t="n">
        <f aca="false">H568</f>
        <v>0</v>
      </c>
      <c r="AG568" s="6" t="n">
        <f aca="false">I568</f>
        <v>0</v>
      </c>
      <c r="AH568" s="6" t="n">
        <f aca="false">L568</f>
        <v>0</v>
      </c>
    </row>
    <row r="569" customFormat="false" ht="15" hidden="false" customHeight="false" outlineLevel="0" collapsed="false">
      <c r="A569" s="0" t="str">
        <f aca="false">'Raw Data'!C569</f>
        <v>Portland ME (aka Portland)</v>
      </c>
      <c r="B569" s="5" t="n">
        <f aca="false">'Raw Data'!A569</f>
        <v>40344</v>
      </c>
      <c r="C569" s="6" t="n">
        <f aca="false">'Raw Data'!D569</f>
        <v>198.375692184898</v>
      </c>
      <c r="D569" s="6" t="n">
        <f aca="false">'Raw Data'!E569</f>
        <v>4.6275</v>
      </c>
      <c r="E569" s="6" t="n">
        <f aca="false">'Raw Data'!F569</f>
        <v>0</v>
      </c>
      <c r="F569" s="6" t="n">
        <f aca="false">'Raw Data'!G569</f>
        <v>0</v>
      </c>
      <c r="G569" s="6" t="n">
        <f aca="false">'Raw Data'!H569</f>
        <v>0</v>
      </c>
      <c r="H569" s="6" t="n">
        <f aca="false">'Raw Data'!I569</f>
        <v>0</v>
      </c>
      <c r="I569" s="6" t="n">
        <f aca="false">'Raw Data'!J569</f>
        <v>0</v>
      </c>
      <c r="J569" s="6" t="n">
        <f aca="false">'Raw Data'!K569</f>
        <v>0</v>
      </c>
      <c r="K569" s="6" t="n">
        <f aca="false">'Raw Data'!L569</f>
        <v>4</v>
      </c>
      <c r="L569" s="6" t="n">
        <f aca="false">F569*E569</f>
        <v>0</v>
      </c>
      <c r="N569" s="0" t="n">
        <v>1</v>
      </c>
      <c r="O569" s="6" t="n">
        <f aca="false">D569</f>
        <v>4.6275</v>
      </c>
      <c r="P569" s="6" t="n">
        <f aca="false">E569</f>
        <v>0</v>
      </c>
      <c r="Q569" s="6" t="n">
        <f aca="false">F569</f>
        <v>0</v>
      </c>
      <c r="R569" s="6" t="n">
        <f aca="false">G569</f>
        <v>0</v>
      </c>
      <c r="S569" s="6" t="n">
        <f aca="false">H569</f>
        <v>0</v>
      </c>
      <c r="T569" s="6" t="n">
        <f aca="false">I569</f>
        <v>0</v>
      </c>
      <c r="U569" s="6" t="n">
        <f aca="false">L569</f>
        <v>0</v>
      </c>
      <c r="W569" s="6" t="n">
        <f aca="false">D569</f>
        <v>4.6275</v>
      </c>
      <c r="X569" s="6" t="n">
        <f aca="false">E569</f>
        <v>0</v>
      </c>
      <c r="Y569" s="6" t="n">
        <f aca="false">F569</f>
        <v>0</v>
      </c>
      <c r="Z569" s="6" t="n">
        <f aca="false">L569</f>
        <v>0</v>
      </c>
      <c r="AA569" s="6" t="n">
        <f aca="false">G569</f>
        <v>0</v>
      </c>
      <c r="AC569" s="6" t="n">
        <f aca="false">D569</f>
        <v>4.6275</v>
      </c>
      <c r="AD569" s="6" t="n">
        <f aca="false">E569</f>
        <v>0</v>
      </c>
      <c r="AE569" s="6" t="n">
        <f aca="false">G569</f>
        <v>0</v>
      </c>
      <c r="AF569" s="6" t="n">
        <f aca="false">H569</f>
        <v>0</v>
      </c>
      <c r="AG569" s="6" t="n">
        <f aca="false">I569</f>
        <v>0</v>
      </c>
      <c r="AH569" s="6" t="n">
        <f aca="false">L569</f>
        <v>0</v>
      </c>
    </row>
    <row r="570" customFormat="false" ht="15" hidden="false" customHeight="false" outlineLevel="0" collapsed="false">
      <c r="A570" s="0" t="str">
        <f aca="false">'Raw Data'!C570</f>
        <v>Portland ME (aka Portland)</v>
      </c>
      <c r="B570" s="5" t="n">
        <f aca="false">'Raw Data'!A570</f>
        <v>40351</v>
      </c>
      <c r="C570" s="6" t="n">
        <f aca="false">'Raw Data'!D570</f>
        <v>142.52067416187</v>
      </c>
      <c r="D570" s="6" t="n">
        <f aca="false">'Raw Data'!E570</f>
        <v>4.6275</v>
      </c>
      <c r="E570" s="6" t="n">
        <f aca="false">'Raw Data'!F570</f>
        <v>0</v>
      </c>
      <c r="F570" s="6" t="n">
        <f aca="false">'Raw Data'!G570</f>
        <v>0</v>
      </c>
      <c r="G570" s="6" t="n">
        <f aca="false">'Raw Data'!H570</f>
        <v>0</v>
      </c>
      <c r="H570" s="6" t="n">
        <f aca="false">'Raw Data'!I570</f>
        <v>0</v>
      </c>
      <c r="I570" s="6" t="n">
        <f aca="false">'Raw Data'!J570</f>
        <v>0</v>
      </c>
      <c r="J570" s="6" t="n">
        <f aca="false">'Raw Data'!K570</f>
        <v>0</v>
      </c>
      <c r="K570" s="6" t="n">
        <f aca="false">'Raw Data'!L570</f>
        <v>4</v>
      </c>
      <c r="L570" s="6" t="n">
        <f aca="false">F570*E570</f>
        <v>0</v>
      </c>
      <c r="N570" s="0" t="n">
        <v>1</v>
      </c>
      <c r="O570" s="6" t="n">
        <f aca="false">D570</f>
        <v>4.6275</v>
      </c>
      <c r="P570" s="6" t="n">
        <f aca="false">E570</f>
        <v>0</v>
      </c>
      <c r="Q570" s="6" t="n">
        <f aca="false">F570</f>
        <v>0</v>
      </c>
      <c r="R570" s="6" t="n">
        <f aca="false">G570</f>
        <v>0</v>
      </c>
      <c r="S570" s="6" t="n">
        <f aca="false">H570</f>
        <v>0</v>
      </c>
      <c r="T570" s="6" t="n">
        <f aca="false">I570</f>
        <v>0</v>
      </c>
      <c r="U570" s="6" t="n">
        <f aca="false">L570</f>
        <v>0</v>
      </c>
      <c r="W570" s="6" t="n">
        <f aca="false">D570</f>
        <v>4.6275</v>
      </c>
      <c r="X570" s="6" t="n">
        <f aca="false">E570</f>
        <v>0</v>
      </c>
      <c r="Y570" s="6" t="n">
        <f aca="false">F570</f>
        <v>0</v>
      </c>
      <c r="Z570" s="6" t="n">
        <f aca="false">L570</f>
        <v>0</v>
      </c>
      <c r="AA570" s="6" t="n">
        <f aca="false">G570</f>
        <v>0</v>
      </c>
      <c r="AC570" s="6" t="n">
        <f aca="false">D570</f>
        <v>4.6275</v>
      </c>
      <c r="AD570" s="6" t="n">
        <f aca="false">E570</f>
        <v>0</v>
      </c>
      <c r="AE570" s="6" t="n">
        <f aca="false">G570</f>
        <v>0</v>
      </c>
      <c r="AF570" s="6" t="n">
        <f aca="false">H570</f>
        <v>0</v>
      </c>
      <c r="AG570" s="6" t="n">
        <f aca="false">I570</f>
        <v>0</v>
      </c>
      <c r="AH570" s="6" t="n">
        <f aca="false">L570</f>
        <v>0</v>
      </c>
    </row>
    <row r="571" customFormat="false" ht="15" hidden="false" customHeight="false" outlineLevel="0" collapsed="false">
      <c r="A571" s="0" t="str">
        <f aca="false">'Raw Data'!C571</f>
        <v>Portland ME (aka Portland)</v>
      </c>
      <c r="B571" s="5" t="n">
        <f aca="false">'Raw Data'!A571</f>
        <v>40358</v>
      </c>
      <c r="C571" s="6" t="n">
        <f aca="false">'Raw Data'!D571</f>
        <v>192.350317337321</v>
      </c>
      <c r="D571" s="6" t="n">
        <f aca="false">'Raw Data'!E571</f>
        <v>4.6275</v>
      </c>
      <c r="E571" s="6" t="n">
        <f aca="false">'Raw Data'!F571</f>
        <v>0</v>
      </c>
      <c r="F571" s="6" t="n">
        <f aca="false">'Raw Data'!G571</f>
        <v>0</v>
      </c>
      <c r="G571" s="6" t="n">
        <f aca="false">'Raw Data'!H571</f>
        <v>0</v>
      </c>
      <c r="H571" s="6" t="n">
        <f aca="false">'Raw Data'!I571</f>
        <v>0</v>
      </c>
      <c r="I571" s="6" t="n">
        <f aca="false">'Raw Data'!J571</f>
        <v>0</v>
      </c>
      <c r="J571" s="6" t="n">
        <f aca="false">'Raw Data'!K571</f>
        <v>0</v>
      </c>
      <c r="K571" s="6" t="n">
        <f aca="false">'Raw Data'!L571</f>
        <v>4</v>
      </c>
      <c r="L571" s="6" t="n">
        <f aca="false">F571*E571</f>
        <v>0</v>
      </c>
      <c r="N571" s="0" t="n">
        <v>1</v>
      </c>
      <c r="O571" s="6" t="n">
        <f aca="false">D571</f>
        <v>4.6275</v>
      </c>
      <c r="P571" s="6" t="n">
        <f aca="false">E571</f>
        <v>0</v>
      </c>
      <c r="Q571" s="6" t="n">
        <f aca="false">F571</f>
        <v>0</v>
      </c>
      <c r="R571" s="6" t="n">
        <f aca="false">G571</f>
        <v>0</v>
      </c>
      <c r="S571" s="6" t="n">
        <f aca="false">H571</f>
        <v>0</v>
      </c>
      <c r="T571" s="6" t="n">
        <f aca="false">I571</f>
        <v>0</v>
      </c>
      <c r="U571" s="6" t="n">
        <f aca="false">L571</f>
        <v>0</v>
      </c>
      <c r="W571" s="6" t="n">
        <f aca="false">D571</f>
        <v>4.6275</v>
      </c>
      <c r="X571" s="6" t="n">
        <f aca="false">E571</f>
        <v>0</v>
      </c>
      <c r="Y571" s="6" t="n">
        <f aca="false">F571</f>
        <v>0</v>
      </c>
      <c r="Z571" s="6" t="n">
        <f aca="false">L571</f>
        <v>0</v>
      </c>
      <c r="AA571" s="6" t="n">
        <f aca="false">G571</f>
        <v>0</v>
      </c>
      <c r="AC571" s="6" t="n">
        <f aca="false">D571</f>
        <v>4.6275</v>
      </c>
      <c r="AD571" s="6" t="n">
        <f aca="false">E571</f>
        <v>0</v>
      </c>
      <c r="AE571" s="6" t="n">
        <f aca="false">G571</f>
        <v>0</v>
      </c>
      <c r="AF571" s="6" t="n">
        <f aca="false">H571</f>
        <v>0</v>
      </c>
      <c r="AG571" s="6" t="n">
        <f aca="false">I571</f>
        <v>0</v>
      </c>
      <c r="AH571" s="6" t="n">
        <f aca="false">L571</f>
        <v>0</v>
      </c>
    </row>
    <row r="572" customFormat="false" ht="15" hidden="false" customHeight="false" outlineLevel="0" collapsed="false">
      <c r="A572" s="0" t="str">
        <f aca="false">'Raw Data'!C572</f>
        <v>Portland ME (aka Portland)</v>
      </c>
      <c r="B572" s="5" t="n">
        <f aca="false">'Raw Data'!A572</f>
        <v>40365</v>
      </c>
      <c r="C572" s="6" t="n">
        <f aca="false">'Raw Data'!D572</f>
        <v>241.553895636722</v>
      </c>
      <c r="D572" s="6" t="n">
        <f aca="false">'Raw Data'!E572</f>
        <v>4.25625</v>
      </c>
      <c r="E572" s="6" t="n">
        <f aca="false">'Raw Data'!F572</f>
        <v>0</v>
      </c>
      <c r="F572" s="6" t="n">
        <f aca="false">'Raw Data'!G572</f>
        <v>0</v>
      </c>
      <c r="G572" s="6" t="n">
        <f aca="false">'Raw Data'!H572</f>
        <v>0</v>
      </c>
      <c r="H572" s="6" t="n">
        <f aca="false">'Raw Data'!I572</f>
        <v>0</v>
      </c>
      <c r="I572" s="6" t="n">
        <f aca="false">'Raw Data'!J572</f>
        <v>0</v>
      </c>
      <c r="J572" s="6" t="n">
        <f aca="false">'Raw Data'!K572</f>
        <v>0</v>
      </c>
      <c r="K572" s="6" t="n">
        <f aca="false">'Raw Data'!L572</f>
        <v>4</v>
      </c>
      <c r="L572" s="6" t="n">
        <f aca="false">F572*E572</f>
        <v>0</v>
      </c>
      <c r="N572" s="0" t="n">
        <v>1</v>
      </c>
      <c r="O572" s="6" t="n">
        <f aca="false">D572</f>
        <v>4.25625</v>
      </c>
      <c r="P572" s="6" t="n">
        <f aca="false">E572</f>
        <v>0</v>
      </c>
      <c r="Q572" s="6" t="n">
        <f aca="false">F572</f>
        <v>0</v>
      </c>
      <c r="R572" s="6" t="n">
        <f aca="false">G572</f>
        <v>0</v>
      </c>
      <c r="S572" s="6" t="n">
        <f aca="false">H572</f>
        <v>0</v>
      </c>
      <c r="T572" s="6" t="n">
        <f aca="false">I572</f>
        <v>0</v>
      </c>
      <c r="U572" s="6" t="n">
        <f aca="false">L572</f>
        <v>0</v>
      </c>
      <c r="W572" s="6" t="n">
        <f aca="false">D572</f>
        <v>4.25625</v>
      </c>
      <c r="X572" s="6" t="n">
        <f aca="false">E572</f>
        <v>0</v>
      </c>
      <c r="Y572" s="6" t="n">
        <f aca="false">F572</f>
        <v>0</v>
      </c>
      <c r="Z572" s="6" t="n">
        <f aca="false">L572</f>
        <v>0</v>
      </c>
      <c r="AA572" s="6" t="n">
        <f aca="false">G572</f>
        <v>0</v>
      </c>
      <c r="AC572" s="6" t="n">
        <f aca="false">D572</f>
        <v>4.25625</v>
      </c>
      <c r="AD572" s="6" t="n">
        <f aca="false">E572</f>
        <v>0</v>
      </c>
      <c r="AE572" s="6" t="n">
        <f aca="false">G572</f>
        <v>0</v>
      </c>
      <c r="AF572" s="6" t="n">
        <f aca="false">H572</f>
        <v>0</v>
      </c>
      <c r="AG572" s="6" t="n">
        <f aca="false">I572</f>
        <v>0</v>
      </c>
      <c r="AH572" s="6" t="n">
        <f aca="false">L572</f>
        <v>0</v>
      </c>
    </row>
    <row r="573" customFormat="false" ht="15" hidden="false" customHeight="false" outlineLevel="0" collapsed="false">
      <c r="A573" s="0" t="str">
        <f aca="false">'Raw Data'!C573</f>
        <v>Portland ME (aka Portland)</v>
      </c>
      <c r="B573" s="5" t="n">
        <f aca="false">'Raw Data'!A573</f>
        <v>40372</v>
      </c>
      <c r="C573" s="6" t="n">
        <f aca="false">'Raw Data'!D573</f>
        <v>292.155542070656</v>
      </c>
      <c r="D573" s="6" t="n">
        <f aca="false">'Raw Data'!E573</f>
        <v>3.78</v>
      </c>
      <c r="E573" s="6" t="n">
        <f aca="false">'Raw Data'!F573</f>
        <v>0</v>
      </c>
      <c r="F573" s="6" t="n">
        <f aca="false">'Raw Data'!G573</f>
        <v>0</v>
      </c>
      <c r="G573" s="6" t="n">
        <f aca="false">'Raw Data'!H573</f>
        <v>0</v>
      </c>
      <c r="H573" s="6" t="n">
        <f aca="false">'Raw Data'!I573</f>
        <v>0</v>
      </c>
      <c r="I573" s="6" t="n">
        <f aca="false">'Raw Data'!J573</f>
        <v>0</v>
      </c>
      <c r="J573" s="6" t="n">
        <f aca="false">'Raw Data'!K573</f>
        <v>0</v>
      </c>
      <c r="K573" s="6" t="n">
        <f aca="false">'Raw Data'!L573</f>
        <v>4</v>
      </c>
      <c r="L573" s="6" t="n">
        <f aca="false">F573*E573</f>
        <v>0</v>
      </c>
      <c r="N573" s="0" t="n">
        <v>1</v>
      </c>
      <c r="O573" s="6" t="n">
        <f aca="false">D573</f>
        <v>3.78</v>
      </c>
      <c r="P573" s="6" t="n">
        <f aca="false">E573</f>
        <v>0</v>
      </c>
      <c r="Q573" s="6" t="n">
        <f aca="false">F573</f>
        <v>0</v>
      </c>
      <c r="R573" s="6" t="n">
        <f aca="false">G573</f>
        <v>0</v>
      </c>
      <c r="S573" s="6" t="n">
        <f aca="false">H573</f>
        <v>0</v>
      </c>
      <c r="T573" s="6" t="n">
        <f aca="false">I573</f>
        <v>0</v>
      </c>
      <c r="U573" s="6" t="n">
        <f aca="false">L573</f>
        <v>0</v>
      </c>
      <c r="W573" s="6" t="n">
        <f aca="false">D573</f>
        <v>3.78</v>
      </c>
      <c r="X573" s="6" t="n">
        <f aca="false">E573</f>
        <v>0</v>
      </c>
      <c r="Y573" s="6" t="n">
        <f aca="false">F573</f>
        <v>0</v>
      </c>
      <c r="Z573" s="6" t="n">
        <f aca="false">L573</f>
        <v>0</v>
      </c>
      <c r="AA573" s="6" t="n">
        <f aca="false">G573</f>
        <v>0</v>
      </c>
      <c r="AC573" s="6" t="n">
        <f aca="false">D573</f>
        <v>3.78</v>
      </c>
      <c r="AD573" s="6" t="n">
        <f aca="false">E573</f>
        <v>0</v>
      </c>
      <c r="AE573" s="6" t="n">
        <f aca="false">G573</f>
        <v>0</v>
      </c>
      <c r="AF573" s="6" t="n">
        <f aca="false">H573</f>
        <v>0</v>
      </c>
      <c r="AG573" s="6" t="n">
        <f aca="false">I573</f>
        <v>0</v>
      </c>
      <c r="AH573" s="6" t="n">
        <f aca="false">L573</f>
        <v>0</v>
      </c>
    </row>
    <row r="574" customFormat="false" ht="15" hidden="false" customHeight="false" outlineLevel="0" collapsed="false">
      <c r="A574" s="0" t="str">
        <f aca="false">'Raw Data'!C574</f>
        <v>River Street</v>
      </c>
      <c r="B574" s="5" t="n">
        <f aca="false">'Raw Data'!A574</f>
        <v>40302</v>
      </c>
      <c r="C574" s="6" t="n">
        <f aca="false">'Raw Data'!D574</f>
        <v>162.854388321081</v>
      </c>
      <c r="D574" s="6" t="n">
        <f aca="false">'Raw Data'!E574</f>
        <v>4.161428571</v>
      </c>
      <c r="E574" s="6" t="n">
        <f aca="false">'Raw Data'!F574</f>
        <v>0</v>
      </c>
      <c r="F574" s="6" t="n">
        <f aca="false">'Raw Data'!G574</f>
        <v>0</v>
      </c>
      <c r="G574" s="6" t="n">
        <f aca="false">'Raw Data'!H574</f>
        <v>0</v>
      </c>
      <c r="H574" s="6" t="n">
        <f aca="false">'Raw Data'!I574</f>
        <v>0</v>
      </c>
      <c r="I574" s="6" t="n">
        <f aca="false">'Raw Data'!J574</f>
        <v>0</v>
      </c>
      <c r="J574" s="6" t="n">
        <f aca="false">'Raw Data'!K574</f>
        <v>1</v>
      </c>
      <c r="K574" s="6" t="n">
        <f aca="false">'Raw Data'!L574</f>
        <v>1</v>
      </c>
      <c r="L574" s="6" t="n">
        <f aca="false">F574*E574</f>
        <v>0</v>
      </c>
      <c r="N574" s="0" t="n">
        <v>1</v>
      </c>
      <c r="O574" s="6" t="n">
        <f aca="false">D574</f>
        <v>4.161428571</v>
      </c>
      <c r="P574" s="6" t="n">
        <f aca="false">E574</f>
        <v>0</v>
      </c>
      <c r="Q574" s="6" t="n">
        <f aca="false">F574</f>
        <v>0</v>
      </c>
      <c r="R574" s="6" t="n">
        <f aca="false">G574</f>
        <v>0</v>
      </c>
      <c r="S574" s="6" t="n">
        <f aca="false">H574</f>
        <v>0</v>
      </c>
      <c r="T574" s="6" t="n">
        <f aca="false">I574</f>
        <v>0</v>
      </c>
      <c r="U574" s="6" t="n">
        <f aca="false">L574</f>
        <v>0</v>
      </c>
      <c r="W574" s="6" t="n">
        <f aca="false">D574</f>
        <v>4.161428571</v>
      </c>
      <c r="X574" s="6" t="n">
        <f aca="false">E574</f>
        <v>0</v>
      </c>
      <c r="Y574" s="6" t="n">
        <f aca="false">F574</f>
        <v>0</v>
      </c>
      <c r="Z574" s="6" t="n">
        <f aca="false">L574</f>
        <v>0</v>
      </c>
      <c r="AA574" s="6" t="n">
        <f aca="false">G574</f>
        <v>0</v>
      </c>
      <c r="AC574" s="6" t="n">
        <f aca="false">D574</f>
        <v>4.161428571</v>
      </c>
      <c r="AD574" s="6" t="n">
        <f aca="false">E574</f>
        <v>0</v>
      </c>
      <c r="AE574" s="6" t="n">
        <f aca="false">G574</f>
        <v>0</v>
      </c>
      <c r="AF574" s="6" t="n">
        <f aca="false">H574</f>
        <v>0</v>
      </c>
      <c r="AG574" s="6" t="n">
        <f aca="false">I574</f>
        <v>0</v>
      </c>
      <c r="AH574" s="6" t="n">
        <f aca="false">L574</f>
        <v>0</v>
      </c>
    </row>
    <row r="575" customFormat="false" ht="15" hidden="false" customHeight="false" outlineLevel="0" collapsed="false">
      <c r="A575" s="0" t="str">
        <f aca="false">'Raw Data'!C575</f>
        <v>River Street</v>
      </c>
      <c r="B575" s="5" t="n">
        <f aca="false">'Raw Data'!A575</f>
        <v>40309</v>
      </c>
      <c r="C575" s="6" t="n">
        <f aca="false">'Raw Data'!D575</f>
        <v>215.700147004324</v>
      </c>
      <c r="D575" s="6" t="n">
        <f aca="false">'Raw Data'!E575</f>
        <v>4.117142857</v>
      </c>
      <c r="E575" s="6" t="n">
        <f aca="false">'Raw Data'!F575</f>
        <v>0</v>
      </c>
      <c r="F575" s="6" t="n">
        <f aca="false">'Raw Data'!G575</f>
        <v>0</v>
      </c>
      <c r="G575" s="6" t="n">
        <f aca="false">'Raw Data'!H575</f>
        <v>0</v>
      </c>
      <c r="H575" s="6" t="n">
        <f aca="false">'Raw Data'!I575</f>
        <v>0</v>
      </c>
      <c r="I575" s="6" t="n">
        <f aca="false">'Raw Data'!J575</f>
        <v>0</v>
      </c>
      <c r="J575" s="6" t="n">
        <f aca="false">'Raw Data'!K575</f>
        <v>1</v>
      </c>
      <c r="K575" s="6" t="n">
        <f aca="false">'Raw Data'!L575</f>
        <v>1</v>
      </c>
      <c r="L575" s="6" t="n">
        <f aca="false">F575*E575</f>
        <v>0</v>
      </c>
      <c r="N575" s="0" t="n">
        <v>1</v>
      </c>
      <c r="O575" s="6" t="n">
        <f aca="false">D575</f>
        <v>4.117142857</v>
      </c>
      <c r="P575" s="6" t="n">
        <f aca="false">E575</f>
        <v>0</v>
      </c>
      <c r="Q575" s="6" t="n">
        <f aca="false">F575</f>
        <v>0</v>
      </c>
      <c r="R575" s="6" t="n">
        <f aca="false">G575</f>
        <v>0</v>
      </c>
      <c r="S575" s="6" t="n">
        <f aca="false">H575</f>
        <v>0</v>
      </c>
      <c r="T575" s="6" t="n">
        <f aca="false">I575</f>
        <v>0</v>
      </c>
      <c r="U575" s="6" t="n">
        <f aca="false">L575</f>
        <v>0</v>
      </c>
      <c r="W575" s="6" t="n">
        <f aca="false">D575</f>
        <v>4.117142857</v>
      </c>
      <c r="X575" s="6" t="n">
        <f aca="false">E575</f>
        <v>0</v>
      </c>
      <c r="Y575" s="6" t="n">
        <f aca="false">F575</f>
        <v>0</v>
      </c>
      <c r="Z575" s="6" t="n">
        <f aca="false">L575</f>
        <v>0</v>
      </c>
      <c r="AA575" s="6" t="n">
        <f aca="false">G575</f>
        <v>0</v>
      </c>
      <c r="AC575" s="6" t="n">
        <f aca="false">D575</f>
        <v>4.117142857</v>
      </c>
      <c r="AD575" s="6" t="n">
        <f aca="false">E575</f>
        <v>0</v>
      </c>
      <c r="AE575" s="6" t="n">
        <f aca="false">G575</f>
        <v>0</v>
      </c>
      <c r="AF575" s="6" t="n">
        <f aca="false">H575</f>
        <v>0</v>
      </c>
      <c r="AG575" s="6" t="n">
        <f aca="false">I575</f>
        <v>0</v>
      </c>
      <c r="AH575" s="6" t="n">
        <f aca="false">L575</f>
        <v>0</v>
      </c>
    </row>
    <row r="576" customFormat="false" ht="15" hidden="false" customHeight="false" outlineLevel="0" collapsed="false">
      <c r="A576" s="0" t="str">
        <f aca="false">'Raw Data'!C576</f>
        <v>River Street</v>
      </c>
      <c r="B576" s="5" t="n">
        <f aca="false">'Raw Data'!A576</f>
        <v>40316</v>
      </c>
      <c r="C576" s="6" t="n">
        <f aca="false">'Raw Data'!D576</f>
        <v>241.179305406364</v>
      </c>
      <c r="D576" s="6" t="n">
        <f aca="false">'Raw Data'!E576</f>
        <v>3.818571429</v>
      </c>
      <c r="E576" s="6" t="n">
        <f aca="false">'Raw Data'!F576</f>
        <v>0</v>
      </c>
      <c r="F576" s="6" t="n">
        <f aca="false">'Raw Data'!G576</f>
        <v>0</v>
      </c>
      <c r="G576" s="6" t="n">
        <f aca="false">'Raw Data'!H576</f>
        <v>0</v>
      </c>
      <c r="H576" s="6" t="n">
        <f aca="false">'Raw Data'!I576</f>
        <v>0</v>
      </c>
      <c r="I576" s="6" t="n">
        <f aca="false">'Raw Data'!J576</f>
        <v>0</v>
      </c>
      <c r="J576" s="6" t="n">
        <f aca="false">'Raw Data'!K576</f>
        <v>1</v>
      </c>
      <c r="K576" s="6" t="n">
        <f aca="false">'Raw Data'!L576</f>
        <v>1</v>
      </c>
      <c r="L576" s="6" t="n">
        <f aca="false">F576*E576</f>
        <v>0</v>
      </c>
      <c r="N576" s="0" t="n">
        <v>1</v>
      </c>
      <c r="O576" s="6" t="n">
        <f aca="false">D576</f>
        <v>3.818571429</v>
      </c>
      <c r="P576" s="6" t="n">
        <f aca="false">E576</f>
        <v>0</v>
      </c>
      <c r="Q576" s="6" t="n">
        <f aca="false">F576</f>
        <v>0</v>
      </c>
      <c r="R576" s="6" t="n">
        <f aca="false">G576</f>
        <v>0</v>
      </c>
      <c r="S576" s="6" t="n">
        <f aca="false">H576</f>
        <v>0</v>
      </c>
      <c r="T576" s="6" t="n">
        <f aca="false">I576</f>
        <v>0</v>
      </c>
      <c r="U576" s="6" t="n">
        <f aca="false">L576</f>
        <v>0</v>
      </c>
      <c r="W576" s="6" t="n">
        <f aca="false">D576</f>
        <v>3.818571429</v>
      </c>
      <c r="X576" s="6" t="n">
        <f aca="false">E576</f>
        <v>0</v>
      </c>
      <c r="Y576" s="6" t="n">
        <f aca="false">F576</f>
        <v>0</v>
      </c>
      <c r="Z576" s="6" t="n">
        <f aca="false">L576</f>
        <v>0</v>
      </c>
      <c r="AA576" s="6" t="n">
        <f aca="false">G576</f>
        <v>0</v>
      </c>
      <c r="AC576" s="6" t="n">
        <f aca="false">D576</f>
        <v>3.818571429</v>
      </c>
      <c r="AD576" s="6" t="n">
        <f aca="false">E576</f>
        <v>0</v>
      </c>
      <c r="AE576" s="6" t="n">
        <f aca="false">G576</f>
        <v>0</v>
      </c>
      <c r="AF576" s="6" t="n">
        <f aca="false">H576</f>
        <v>0</v>
      </c>
      <c r="AG576" s="6" t="n">
        <f aca="false">I576</f>
        <v>0</v>
      </c>
      <c r="AH576" s="6" t="n">
        <f aca="false">L576</f>
        <v>0</v>
      </c>
    </row>
    <row r="577" customFormat="false" ht="15" hidden="false" customHeight="false" outlineLevel="0" collapsed="false">
      <c r="A577" s="0" t="str">
        <f aca="false">'Raw Data'!C577</f>
        <v>River Street</v>
      </c>
      <c r="B577" s="5" t="n">
        <f aca="false">'Raw Data'!A577</f>
        <v>40323</v>
      </c>
      <c r="C577" s="6" t="n">
        <f aca="false">'Raw Data'!D577</f>
        <v>127.699721558249</v>
      </c>
      <c r="D577" s="6" t="n">
        <f aca="false">'Raw Data'!E577</f>
        <v>3.818571429</v>
      </c>
      <c r="E577" s="6" t="n">
        <f aca="false">'Raw Data'!F577</f>
        <v>0</v>
      </c>
      <c r="F577" s="6" t="n">
        <f aca="false">'Raw Data'!G577</f>
        <v>0</v>
      </c>
      <c r="G577" s="6" t="n">
        <f aca="false">'Raw Data'!H577</f>
        <v>0</v>
      </c>
      <c r="H577" s="6" t="n">
        <f aca="false">'Raw Data'!I577</f>
        <v>0</v>
      </c>
      <c r="I577" s="6" t="n">
        <f aca="false">'Raw Data'!J577</f>
        <v>0</v>
      </c>
      <c r="J577" s="6" t="n">
        <f aca="false">'Raw Data'!K577</f>
        <v>1</v>
      </c>
      <c r="K577" s="6" t="n">
        <f aca="false">'Raw Data'!L577</f>
        <v>1</v>
      </c>
      <c r="L577" s="6" t="n">
        <f aca="false">F577*E577</f>
        <v>0</v>
      </c>
      <c r="N577" s="0" t="n">
        <v>1</v>
      </c>
      <c r="O577" s="6" t="n">
        <f aca="false">D577</f>
        <v>3.818571429</v>
      </c>
      <c r="P577" s="6" t="n">
        <f aca="false">E577</f>
        <v>0</v>
      </c>
      <c r="Q577" s="6" t="n">
        <f aca="false">F577</f>
        <v>0</v>
      </c>
      <c r="R577" s="6" t="n">
        <f aca="false">G577</f>
        <v>0</v>
      </c>
      <c r="S577" s="6" t="n">
        <f aca="false">H577</f>
        <v>0</v>
      </c>
      <c r="T577" s="6" t="n">
        <f aca="false">I577</f>
        <v>0</v>
      </c>
      <c r="U577" s="6" t="n">
        <f aca="false">L577</f>
        <v>0</v>
      </c>
      <c r="W577" s="6" t="n">
        <f aca="false">D577</f>
        <v>3.818571429</v>
      </c>
      <c r="X577" s="6" t="n">
        <f aca="false">E577</f>
        <v>0</v>
      </c>
      <c r="Y577" s="6" t="n">
        <f aca="false">F577</f>
        <v>0</v>
      </c>
      <c r="Z577" s="6" t="n">
        <f aca="false">L577</f>
        <v>0</v>
      </c>
      <c r="AA577" s="6" t="n">
        <f aca="false">G577</f>
        <v>0</v>
      </c>
      <c r="AC577" s="6" t="n">
        <f aca="false">D577</f>
        <v>3.818571429</v>
      </c>
      <c r="AD577" s="6" t="n">
        <f aca="false">E577</f>
        <v>0</v>
      </c>
      <c r="AE577" s="6" t="n">
        <f aca="false">G577</f>
        <v>0</v>
      </c>
      <c r="AF577" s="6" t="n">
        <f aca="false">H577</f>
        <v>0</v>
      </c>
      <c r="AG577" s="6" t="n">
        <f aca="false">I577</f>
        <v>0</v>
      </c>
      <c r="AH577" s="6" t="n">
        <f aca="false">L577</f>
        <v>0</v>
      </c>
    </row>
    <row r="578" customFormat="false" ht="15" hidden="false" customHeight="false" outlineLevel="0" collapsed="false">
      <c r="A578" s="0" t="str">
        <f aca="false">'Raw Data'!C578</f>
        <v>River Street</v>
      </c>
      <c r="B578" s="5" t="n">
        <f aca="false">'Raw Data'!A578</f>
        <v>40330</v>
      </c>
      <c r="C578" s="6" t="n">
        <f aca="false">'Raw Data'!D578</f>
        <v>101.569836340686</v>
      </c>
      <c r="D578" s="6" t="n">
        <f aca="false">'Raw Data'!E578</f>
        <v>3.818571429</v>
      </c>
      <c r="E578" s="6" t="n">
        <f aca="false">'Raw Data'!F578</f>
        <v>0</v>
      </c>
      <c r="F578" s="6" t="n">
        <f aca="false">'Raw Data'!G578</f>
        <v>0</v>
      </c>
      <c r="G578" s="6" t="n">
        <f aca="false">'Raw Data'!H578</f>
        <v>0</v>
      </c>
      <c r="H578" s="6" t="n">
        <f aca="false">'Raw Data'!I578</f>
        <v>0</v>
      </c>
      <c r="I578" s="6" t="n">
        <f aca="false">'Raw Data'!J578</f>
        <v>0</v>
      </c>
      <c r="J578" s="6" t="n">
        <f aca="false">'Raw Data'!K578</f>
        <v>1</v>
      </c>
      <c r="K578" s="6" t="n">
        <f aca="false">'Raw Data'!L578</f>
        <v>1</v>
      </c>
      <c r="L578" s="6" t="n">
        <f aca="false">F578*E578</f>
        <v>0</v>
      </c>
      <c r="N578" s="0" t="n">
        <v>1</v>
      </c>
      <c r="O578" s="6" t="n">
        <f aca="false">D578</f>
        <v>3.818571429</v>
      </c>
      <c r="P578" s="6" t="n">
        <f aca="false">E578</f>
        <v>0</v>
      </c>
      <c r="Q578" s="6" t="n">
        <f aca="false">F578</f>
        <v>0</v>
      </c>
      <c r="R578" s="6" t="n">
        <f aca="false">G578</f>
        <v>0</v>
      </c>
      <c r="S578" s="6" t="n">
        <f aca="false">H578</f>
        <v>0</v>
      </c>
      <c r="T578" s="6" t="n">
        <f aca="false">I578</f>
        <v>0</v>
      </c>
      <c r="U578" s="6" t="n">
        <f aca="false">L578</f>
        <v>0</v>
      </c>
      <c r="W578" s="6" t="n">
        <f aca="false">D578</f>
        <v>3.818571429</v>
      </c>
      <c r="X578" s="6" t="n">
        <f aca="false">E578</f>
        <v>0</v>
      </c>
      <c r="Y578" s="6" t="n">
        <f aca="false">F578</f>
        <v>0</v>
      </c>
      <c r="Z578" s="6" t="n">
        <f aca="false">L578</f>
        <v>0</v>
      </c>
      <c r="AA578" s="6" t="n">
        <f aca="false">G578</f>
        <v>0</v>
      </c>
      <c r="AC578" s="6" t="n">
        <f aca="false">D578</f>
        <v>3.818571429</v>
      </c>
      <c r="AD578" s="6" t="n">
        <f aca="false">E578</f>
        <v>0</v>
      </c>
      <c r="AE578" s="6" t="n">
        <f aca="false">G578</f>
        <v>0</v>
      </c>
      <c r="AF578" s="6" t="n">
        <f aca="false">H578</f>
        <v>0</v>
      </c>
      <c r="AG578" s="6" t="n">
        <f aca="false">I578</f>
        <v>0</v>
      </c>
      <c r="AH578" s="6" t="n">
        <f aca="false">L578</f>
        <v>0</v>
      </c>
    </row>
    <row r="579" customFormat="false" ht="15" hidden="false" customHeight="false" outlineLevel="0" collapsed="false">
      <c r="A579" s="0" t="str">
        <f aca="false">'Raw Data'!C579</f>
        <v>River Street</v>
      </c>
      <c r="B579" s="5" t="n">
        <f aca="false">'Raw Data'!A579</f>
        <v>40337</v>
      </c>
      <c r="C579" s="6" t="n">
        <f aca="false">'Raw Data'!D579</f>
        <v>176.670404976573</v>
      </c>
      <c r="D579" s="6" t="n">
        <f aca="false">'Raw Data'!E579</f>
        <v>4.161428571</v>
      </c>
      <c r="E579" s="6" t="n">
        <f aca="false">'Raw Data'!F579</f>
        <v>0</v>
      </c>
      <c r="F579" s="6" t="n">
        <f aca="false">'Raw Data'!G579</f>
        <v>0</v>
      </c>
      <c r="G579" s="6" t="n">
        <f aca="false">'Raw Data'!H579</f>
        <v>0</v>
      </c>
      <c r="H579" s="6" t="n">
        <f aca="false">'Raw Data'!I579</f>
        <v>0</v>
      </c>
      <c r="I579" s="6" t="n">
        <f aca="false">'Raw Data'!J579</f>
        <v>0</v>
      </c>
      <c r="J579" s="6" t="n">
        <f aca="false">'Raw Data'!K579</f>
        <v>1</v>
      </c>
      <c r="K579" s="6" t="n">
        <f aca="false">'Raw Data'!L579</f>
        <v>1</v>
      </c>
      <c r="L579" s="6" t="n">
        <f aca="false">F579*E579</f>
        <v>0</v>
      </c>
      <c r="N579" s="0" t="n">
        <v>1</v>
      </c>
      <c r="O579" s="6" t="n">
        <f aca="false">D579</f>
        <v>4.161428571</v>
      </c>
      <c r="P579" s="6" t="n">
        <f aca="false">E579</f>
        <v>0</v>
      </c>
      <c r="Q579" s="6" t="n">
        <f aca="false">F579</f>
        <v>0</v>
      </c>
      <c r="R579" s="6" t="n">
        <f aca="false">G579</f>
        <v>0</v>
      </c>
      <c r="S579" s="6" t="n">
        <f aca="false">H579</f>
        <v>0</v>
      </c>
      <c r="T579" s="6" t="n">
        <f aca="false">I579</f>
        <v>0</v>
      </c>
      <c r="U579" s="6" t="n">
        <f aca="false">L579</f>
        <v>0</v>
      </c>
      <c r="W579" s="6" t="n">
        <f aca="false">D579</f>
        <v>4.161428571</v>
      </c>
      <c r="X579" s="6" t="n">
        <f aca="false">E579</f>
        <v>0</v>
      </c>
      <c r="Y579" s="6" t="n">
        <f aca="false">F579</f>
        <v>0</v>
      </c>
      <c r="Z579" s="6" t="n">
        <f aca="false">L579</f>
        <v>0</v>
      </c>
      <c r="AA579" s="6" t="n">
        <f aca="false">G579</f>
        <v>0</v>
      </c>
      <c r="AC579" s="6" t="n">
        <f aca="false">D579</f>
        <v>4.161428571</v>
      </c>
      <c r="AD579" s="6" t="n">
        <f aca="false">E579</f>
        <v>0</v>
      </c>
      <c r="AE579" s="6" t="n">
        <f aca="false">G579</f>
        <v>0</v>
      </c>
      <c r="AF579" s="6" t="n">
        <f aca="false">H579</f>
        <v>0</v>
      </c>
      <c r="AG579" s="6" t="n">
        <f aca="false">I579</f>
        <v>0</v>
      </c>
      <c r="AH579" s="6" t="n">
        <f aca="false">L579</f>
        <v>0</v>
      </c>
    </row>
    <row r="580" customFormat="false" ht="15" hidden="false" customHeight="false" outlineLevel="0" collapsed="false">
      <c r="A580" s="0" t="str">
        <f aca="false">'Raw Data'!C580</f>
        <v>River Street</v>
      </c>
      <c r="B580" s="5" t="n">
        <f aca="false">'Raw Data'!A580</f>
        <v>40344</v>
      </c>
      <c r="C580" s="6" t="n">
        <f aca="false">'Raw Data'!D580</f>
        <v>198.147006584438</v>
      </c>
      <c r="D580" s="6" t="n">
        <f aca="false">'Raw Data'!E580</f>
        <v>4.161428571</v>
      </c>
      <c r="E580" s="6" t="n">
        <f aca="false">'Raw Data'!F580</f>
        <v>0</v>
      </c>
      <c r="F580" s="6" t="n">
        <f aca="false">'Raw Data'!G580</f>
        <v>0</v>
      </c>
      <c r="G580" s="6" t="n">
        <f aca="false">'Raw Data'!H580</f>
        <v>0</v>
      </c>
      <c r="H580" s="6" t="n">
        <f aca="false">'Raw Data'!I580</f>
        <v>0</v>
      </c>
      <c r="I580" s="6" t="n">
        <f aca="false">'Raw Data'!J580</f>
        <v>0</v>
      </c>
      <c r="J580" s="6" t="n">
        <f aca="false">'Raw Data'!K580</f>
        <v>1</v>
      </c>
      <c r="K580" s="6" t="n">
        <f aca="false">'Raw Data'!L580</f>
        <v>1</v>
      </c>
      <c r="L580" s="6" t="n">
        <f aca="false">F580*E580</f>
        <v>0</v>
      </c>
      <c r="N580" s="0" t="n">
        <v>1</v>
      </c>
      <c r="O580" s="6" t="n">
        <f aca="false">D580</f>
        <v>4.161428571</v>
      </c>
      <c r="P580" s="6" t="n">
        <f aca="false">E580</f>
        <v>0</v>
      </c>
      <c r="Q580" s="6" t="n">
        <f aca="false">F580</f>
        <v>0</v>
      </c>
      <c r="R580" s="6" t="n">
        <f aca="false">G580</f>
        <v>0</v>
      </c>
      <c r="S580" s="6" t="n">
        <f aca="false">H580</f>
        <v>0</v>
      </c>
      <c r="T580" s="6" t="n">
        <f aca="false">I580</f>
        <v>0</v>
      </c>
      <c r="U580" s="6" t="n">
        <f aca="false">L580</f>
        <v>0</v>
      </c>
      <c r="W580" s="6" t="n">
        <f aca="false">D580</f>
        <v>4.161428571</v>
      </c>
      <c r="X580" s="6" t="n">
        <f aca="false">E580</f>
        <v>0</v>
      </c>
      <c r="Y580" s="6" t="n">
        <f aca="false">F580</f>
        <v>0</v>
      </c>
      <c r="Z580" s="6" t="n">
        <f aca="false">L580</f>
        <v>0</v>
      </c>
      <c r="AA580" s="6" t="n">
        <f aca="false">G580</f>
        <v>0</v>
      </c>
      <c r="AC580" s="6" t="n">
        <f aca="false">D580</f>
        <v>4.161428571</v>
      </c>
      <c r="AD580" s="6" t="n">
        <f aca="false">E580</f>
        <v>0</v>
      </c>
      <c r="AE580" s="6" t="n">
        <f aca="false">G580</f>
        <v>0</v>
      </c>
      <c r="AF580" s="6" t="n">
        <f aca="false">H580</f>
        <v>0</v>
      </c>
      <c r="AG580" s="6" t="n">
        <f aca="false">I580</f>
        <v>0</v>
      </c>
      <c r="AH580" s="6" t="n">
        <f aca="false">L580</f>
        <v>0</v>
      </c>
    </row>
    <row r="581" customFormat="false" ht="15" hidden="false" customHeight="false" outlineLevel="0" collapsed="false">
      <c r="A581" s="0" t="str">
        <f aca="false">'Raw Data'!C581</f>
        <v>River Street</v>
      </c>
      <c r="B581" s="5" t="n">
        <f aca="false">'Raw Data'!A581</f>
        <v>40351</v>
      </c>
      <c r="C581" s="6" t="n">
        <f aca="false">'Raw Data'!D581</f>
        <v>197.211741527949</v>
      </c>
      <c r="D581" s="6" t="n">
        <f aca="false">'Raw Data'!E581</f>
        <v>4.161428571</v>
      </c>
      <c r="E581" s="6" t="n">
        <f aca="false">'Raw Data'!F581</f>
        <v>0</v>
      </c>
      <c r="F581" s="6" t="n">
        <f aca="false">'Raw Data'!G581</f>
        <v>0</v>
      </c>
      <c r="G581" s="6" t="n">
        <f aca="false">'Raw Data'!H581</f>
        <v>0</v>
      </c>
      <c r="H581" s="6" t="n">
        <f aca="false">'Raw Data'!I581</f>
        <v>0</v>
      </c>
      <c r="I581" s="6" t="n">
        <f aca="false">'Raw Data'!J581</f>
        <v>0</v>
      </c>
      <c r="J581" s="6" t="n">
        <f aca="false">'Raw Data'!K581</f>
        <v>1</v>
      </c>
      <c r="K581" s="6" t="n">
        <f aca="false">'Raw Data'!L581</f>
        <v>1</v>
      </c>
      <c r="L581" s="6" t="n">
        <f aca="false">F581*E581</f>
        <v>0</v>
      </c>
      <c r="N581" s="0" t="n">
        <v>1</v>
      </c>
      <c r="O581" s="6" t="n">
        <f aca="false">D581</f>
        <v>4.161428571</v>
      </c>
      <c r="P581" s="6" t="n">
        <f aca="false">E581</f>
        <v>0</v>
      </c>
      <c r="Q581" s="6" t="n">
        <f aca="false">F581</f>
        <v>0</v>
      </c>
      <c r="R581" s="6" t="n">
        <f aca="false">G581</f>
        <v>0</v>
      </c>
      <c r="S581" s="6" t="n">
        <f aca="false">H581</f>
        <v>0</v>
      </c>
      <c r="T581" s="6" t="n">
        <f aca="false">I581</f>
        <v>0</v>
      </c>
      <c r="U581" s="6" t="n">
        <f aca="false">L581</f>
        <v>0</v>
      </c>
      <c r="W581" s="6" t="n">
        <f aca="false">D581</f>
        <v>4.161428571</v>
      </c>
      <c r="X581" s="6" t="n">
        <f aca="false">E581</f>
        <v>0</v>
      </c>
      <c r="Y581" s="6" t="n">
        <f aca="false">F581</f>
        <v>0</v>
      </c>
      <c r="Z581" s="6" t="n">
        <f aca="false">L581</f>
        <v>0</v>
      </c>
      <c r="AA581" s="6" t="n">
        <f aca="false">G581</f>
        <v>0</v>
      </c>
      <c r="AC581" s="6" t="n">
        <f aca="false">D581</f>
        <v>4.161428571</v>
      </c>
      <c r="AD581" s="6" t="n">
        <f aca="false">E581</f>
        <v>0</v>
      </c>
      <c r="AE581" s="6" t="n">
        <f aca="false">G581</f>
        <v>0</v>
      </c>
      <c r="AF581" s="6" t="n">
        <f aca="false">H581</f>
        <v>0</v>
      </c>
      <c r="AG581" s="6" t="n">
        <f aca="false">I581</f>
        <v>0</v>
      </c>
      <c r="AH581" s="6" t="n">
        <f aca="false">L581</f>
        <v>0</v>
      </c>
    </row>
    <row r="582" customFormat="false" ht="15" hidden="false" customHeight="false" outlineLevel="0" collapsed="false">
      <c r="A582" s="0" t="str">
        <f aca="false">'Raw Data'!C582</f>
        <v>River Street</v>
      </c>
      <c r="B582" s="5" t="n">
        <f aca="false">'Raw Data'!A582</f>
        <v>40358</v>
      </c>
      <c r="C582" s="6" t="n">
        <f aca="false">'Raw Data'!D582</f>
        <v>119.291103197302</v>
      </c>
      <c r="D582" s="6" t="n">
        <f aca="false">'Raw Data'!E582</f>
        <v>4.161428571</v>
      </c>
      <c r="E582" s="6" t="n">
        <f aca="false">'Raw Data'!F582</f>
        <v>0</v>
      </c>
      <c r="F582" s="6" t="n">
        <f aca="false">'Raw Data'!G582</f>
        <v>0</v>
      </c>
      <c r="G582" s="6" t="n">
        <f aca="false">'Raw Data'!H582</f>
        <v>0</v>
      </c>
      <c r="H582" s="6" t="n">
        <f aca="false">'Raw Data'!I582</f>
        <v>0</v>
      </c>
      <c r="I582" s="6" t="n">
        <f aca="false">'Raw Data'!J582</f>
        <v>0</v>
      </c>
      <c r="J582" s="6" t="n">
        <f aca="false">'Raw Data'!K582</f>
        <v>1</v>
      </c>
      <c r="K582" s="6" t="n">
        <f aca="false">'Raw Data'!L582</f>
        <v>1</v>
      </c>
      <c r="L582" s="6" t="n">
        <f aca="false">F582*E582</f>
        <v>0</v>
      </c>
      <c r="N582" s="0" t="n">
        <v>1</v>
      </c>
      <c r="O582" s="6" t="n">
        <f aca="false">D582</f>
        <v>4.161428571</v>
      </c>
      <c r="P582" s="6" t="n">
        <f aca="false">E582</f>
        <v>0</v>
      </c>
      <c r="Q582" s="6" t="n">
        <f aca="false">F582</f>
        <v>0</v>
      </c>
      <c r="R582" s="6" t="n">
        <f aca="false">G582</f>
        <v>0</v>
      </c>
      <c r="S582" s="6" t="n">
        <f aca="false">H582</f>
        <v>0</v>
      </c>
      <c r="T582" s="6" t="n">
        <f aca="false">I582</f>
        <v>0</v>
      </c>
      <c r="U582" s="6" t="n">
        <f aca="false">L582</f>
        <v>0</v>
      </c>
      <c r="W582" s="6" t="n">
        <f aca="false">D582</f>
        <v>4.161428571</v>
      </c>
      <c r="X582" s="6" t="n">
        <f aca="false">E582</f>
        <v>0</v>
      </c>
      <c r="Y582" s="6" t="n">
        <f aca="false">F582</f>
        <v>0</v>
      </c>
      <c r="Z582" s="6" t="n">
        <f aca="false">L582</f>
        <v>0</v>
      </c>
      <c r="AA582" s="6" t="n">
        <f aca="false">G582</f>
        <v>0</v>
      </c>
      <c r="AC582" s="6" t="n">
        <f aca="false">D582</f>
        <v>4.161428571</v>
      </c>
      <c r="AD582" s="6" t="n">
        <f aca="false">E582</f>
        <v>0</v>
      </c>
      <c r="AE582" s="6" t="n">
        <f aca="false">G582</f>
        <v>0</v>
      </c>
      <c r="AF582" s="6" t="n">
        <f aca="false">H582</f>
        <v>0</v>
      </c>
      <c r="AG582" s="6" t="n">
        <f aca="false">I582</f>
        <v>0</v>
      </c>
      <c r="AH582" s="6" t="n">
        <f aca="false">L582</f>
        <v>0</v>
      </c>
    </row>
    <row r="583" customFormat="false" ht="15" hidden="false" customHeight="false" outlineLevel="0" collapsed="false">
      <c r="A583" s="0" t="str">
        <f aca="false">'Raw Data'!C583</f>
        <v>River Street</v>
      </c>
      <c r="B583" s="5" t="n">
        <f aca="false">'Raw Data'!A583</f>
        <v>40365</v>
      </c>
      <c r="C583" s="6" t="n">
        <f aca="false">'Raw Data'!D583</f>
        <v>265.369405471857</v>
      </c>
      <c r="D583" s="6" t="n">
        <f aca="false">'Raw Data'!E583</f>
        <v>3.78</v>
      </c>
      <c r="E583" s="6" t="n">
        <f aca="false">'Raw Data'!F583</f>
        <v>0</v>
      </c>
      <c r="F583" s="6" t="n">
        <f aca="false">'Raw Data'!G583</f>
        <v>0</v>
      </c>
      <c r="G583" s="6" t="n">
        <f aca="false">'Raw Data'!H583</f>
        <v>0</v>
      </c>
      <c r="H583" s="6" t="n">
        <f aca="false">'Raw Data'!I583</f>
        <v>0</v>
      </c>
      <c r="I583" s="6" t="n">
        <f aca="false">'Raw Data'!J583</f>
        <v>0</v>
      </c>
      <c r="J583" s="6" t="n">
        <f aca="false">'Raw Data'!K583</f>
        <v>1</v>
      </c>
      <c r="K583" s="6" t="n">
        <f aca="false">'Raw Data'!L583</f>
        <v>1</v>
      </c>
      <c r="L583" s="6" t="n">
        <f aca="false">F583*E583</f>
        <v>0</v>
      </c>
      <c r="N583" s="0" t="n">
        <v>1</v>
      </c>
      <c r="O583" s="6" t="n">
        <f aca="false">D583</f>
        <v>3.78</v>
      </c>
      <c r="P583" s="6" t="n">
        <f aca="false">E583</f>
        <v>0</v>
      </c>
      <c r="Q583" s="6" t="n">
        <f aca="false">F583</f>
        <v>0</v>
      </c>
      <c r="R583" s="6" t="n">
        <f aca="false">G583</f>
        <v>0</v>
      </c>
      <c r="S583" s="6" t="n">
        <f aca="false">H583</f>
        <v>0</v>
      </c>
      <c r="T583" s="6" t="n">
        <f aca="false">I583</f>
        <v>0</v>
      </c>
      <c r="U583" s="6" t="n">
        <f aca="false">L583</f>
        <v>0</v>
      </c>
      <c r="W583" s="6" t="n">
        <f aca="false">D583</f>
        <v>3.78</v>
      </c>
      <c r="X583" s="6" t="n">
        <f aca="false">E583</f>
        <v>0</v>
      </c>
      <c r="Y583" s="6" t="n">
        <f aca="false">F583</f>
        <v>0</v>
      </c>
      <c r="Z583" s="6" t="n">
        <f aca="false">L583</f>
        <v>0</v>
      </c>
      <c r="AA583" s="6" t="n">
        <f aca="false">G583</f>
        <v>0</v>
      </c>
      <c r="AC583" s="6" t="n">
        <f aca="false">D583</f>
        <v>3.78</v>
      </c>
      <c r="AD583" s="6" t="n">
        <f aca="false">E583</f>
        <v>0</v>
      </c>
      <c r="AE583" s="6" t="n">
        <f aca="false">G583</f>
        <v>0</v>
      </c>
      <c r="AF583" s="6" t="n">
        <f aca="false">H583</f>
        <v>0</v>
      </c>
      <c r="AG583" s="6" t="n">
        <f aca="false">I583</f>
        <v>0</v>
      </c>
      <c r="AH583" s="6" t="n">
        <f aca="false">L583</f>
        <v>0</v>
      </c>
    </row>
    <row r="584" customFormat="false" ht="15" hidden="false" customHeight="false" outlineLevel="0" collapsed="false">
      <c r="A584" s="0" t="str">
        <f aca="false">'Raw Data'!C584</f>
        <v>River Street</v>
      </c>
      <c r="B584" s="5" t="n">
        <f aca="false">'Raw Data'!A584</f>
        <v>40372</v>
      </c>
      <c r="C584" s="6" t="n">
        <f aca="false">'Raw Data'!D584</f>
        <v>125.211047046825</v>
      </c>
      <c r="D584" s="6" t="n">
        <f aca="false">'Raw Data'!E584</f>
        <v>3.78</v>
      </c>
      <c r="E584" s="6" t="n">
        <f aca="false">'Raw Data'!F584</f>
        <v>0</v>
      </c>
      <c r="F584" s="6" t="n">
        <f aca="false">'Raw Data'!G584</f>
        <v>0</v>
      </c>
      <c r="G584" s="6" t="n">
        <f aca="false">'Raw Data'!H584</f>
        <v>0</v>
      </c>
      <c r="H584" s="6" t="n">
        <f aca="false">'Raw Data'!I584</f>
        <v>0</v>
      </c>
      <c r="I584" s="6" t="n">
        <f aca="false">'Raw Data'!J584</f>
        <v>0</v>
      </c>
      <c r="J584" s="6" t="n">
        <f aca="false">'Raw Data'!K584</f>
        <v>1</v>
      </c>
      <c r="K584" s="6" t="n">
        <f aca="false">'Raw Data'!L584</f>
        <v>1</v>
      </c>
      <c r="L584" s="6" t="n">
        <f aca="false">F584*E584</f>
        <v>0</v>
      </c>
      <c r="N584" s="0" t="n">
        <v>1</v>
      </c>
      <c r="O584" s="6" t="n">
        <f aca="false">D584</f>
        <v>3.78</v>
      </c>
      <c r="P584" s="6" t="n">
        <f aca="false">E584</f>
        <v>0</v>
      </c>
      <c r="Q584" s="6" t="n">
        <f aca="false">F584</f>
        <v>0</v>
      </c>
      <c r="R584" s="6" t="n">
        <f aca="false">G584</f>
        <v>0</v>
      </c>
      <c r="S584" s="6" t="n">
        <f aca="false">H584</f>
        <v>0</v>
      </c>
      <c r="T584" s="6" t="n">
        <f aca="false">I584</f>
        <v>0</v>
      </c>
      <c r="U584" s="6" t="n">
        <f aca="false">L584</f>
        <v>0</v>
      </c>
      <c r="W584" s="6" t="n">
        <f aca="false">D584</f>
        <v>3.78</v>
      </c>
      <c r="X584" s="6" t="n">
        <f aca="false">E584</f>
        <v>0</v>
      </c>
      <c r="Y584" s="6" t="n">
        <f aca="false">F584</f>
        <v>0</v>
      </c>
      <c r="Z584" s="6" t="n">
        <f aca="false">L584</f>
        <v>0</v>
      </c>
      <c r="AA584" s="6" t="n">
        <f aca="false">G584</f>
        <v>0</v>
      </c>
      <c r="AC584" s="6" t="n">
        <f aca="false">D584</f>
        <v>3.78</v>
      </c>
      <c r="AD584" s="6" t="n">
        <f aca="false">E584</f>
        <v>0</v>
      </c>
      <c r="AE584" s="6" t="n">
        <f aca="false">G584</f>
        <v>0</v>
      </c>
      <c r="AF584" s="6" t="n">
        <f aca="false">H584</f>
        <v>0</v>
      </c>
      <c r="AG584" s="6" t="n">
        <f aca="false">I584</f>
        <v>0</v>
      </c>
      <c r="AH584" s="6" t="n">
        <f aca="false">L584</f>
        <v>0</v>
      </c>
    </row>
    <row r="585" customFormat="false" ht="15" hidden="false" customHeight="false" outlineLevel="0" collapsed="false">
      <c r="A585" s="0" t="str">
        <f aca="false">'Raw Data'!C585</f>
        <v>University</v>
      </c>
      <c r="B585" s="5" t="n">
        <f aca="false">'Raw Data'!A585</f>
        <v>40302</v>
      </c>
      <c r="C585" s="6" t="n">
        <f aca="false">'Raw Data'!D585</f>
        <v>190.008235148047</v>
      </c>
      <c r="D585" s="6" t="n">
        <f aca="false">'Raw Data'!E585</f>
        <v>4.204285714</v>
      </c>
      <c r="E585" s="6" t="n">
        <f aca="false">'Raw Data'!F585</f>
        <v>0</v>
      </c>
      <c r="F585" s="6" t="n">
        <f aca="false">'Raw Data'!G585</f>
        <v>0</v>
      </c>
      <c r="G585" s="6" t="n">
        <f aca="false">'Raw Data'!H585</f>
        <v>0</v>
      </c>
      <c r="H585" s="6" t="n">
        <f aca="false">'Raw Data'!I585</f>
        <v>0</v>
      </c>
      <c r="I585" s="6" t="n">
        <f aca="false">'Raw Data'!J585</f>
        <v>0</v>
      </c>
      <c r="J585" s="6" t="n">
        <f aca="false">'Raw Data'!K585</f>
        <v>2</v>
      </c>
      <c r="K585" s="6" t="n">
        <f aca="false">'Raw Data'!L585</f>
        <v>2</v>
      </c>
      <c r="L585" s="6" t="n">
        <f aca="false">F585*E585</f>
        <v>0</v>
      </c>
      <c r="N585" s="0" t="n">
        <v>1</v>
      </c>
      <c r="O585" s="6" t="n">
        <f aca="false">D585</f>
        <v>4.204285714</v>
      </c>
      <c r="P585" s="6" t="n">
        <f aca="false">E585</f>
        <v>0</v>
      </c>
      <c r="Q585" s="6" t="n">
        <f aca="false">F585</f>
        <v>0</v>
      </c>
      <c r="R585" s="6" t="n">
        <f aca="false">G585</f>
        <v>0</v>
      </c>
      <c r="S585" s="6" t="n">
        <f aca="false">H585</f>
        <v>0</v>
      </c>
      <c r="T585" s="6" t="n">
        <f aca="false">I585</f>
        <v>0</v>
      </c>
      <c r="U585" s="6" t="n">
        <f aca="false">L585</f>
        <v>0</v>
      </c>
      <c r="W585" s="6" t="n">
        <f aca="false">D585</f>
        <v>4.204285714</v>
      </c>
      <c r="X585" s="6" t="n">
        <f aca="false">E585</f>
        <v>0</v>
      </c>
      <c r="Y585" s="6" t="n">
        <f aca="false">F585</f>
        <v>0</v>
      </c>
      <c r="Z585" s="6" t="n">
        <f aca="false">L585</f>
        <v>0</v>
      </c>
      <c r="AA585" s="6" t="n">
        <f aca="false">G585</f>
        <v>0</v>
      </c>
      <c r="AC585" s="6" t="n">
        <f aca="false">D585</f>
        <v>4.204285714</v>
      </c>
      <c r="AD585" s="6" t="n">
        <f aca="false">E585</f>
        <v>0</v>
      </c>
      <c r="AE585" s="6" t="n">
        <f aca="false">G585</f>
        <v>0</v>
      </c>
      <c r="AF585" s="6" t="n">
        <f aca="false">H585</f>
        <v>0</v>
      </c>
      <c r="AG585" s="6" t="n">
        <f aca="false">I585</f>
        <v>0</v>
      </c>
      <c r="AH585" s="6" t="n">
        <f aca="false">L585</f>
        <v>0</v>
      </c>
    </row>
    <row r="586" customFormat="false" ht="15" hidden="false" customHeight="false" outlineLevel="0" collapsed="false">
      <c r="A586" s="0" t="str">
        <f aca="false">'Raw Data'!C586</f>
        <v>University</v>
      </c>
      <c r="B586" s="5" t="n">
        <f aca="false">'Raw Data'!A586</f>
        <v>40309</v>
      </c>
      <c r="C586" s="6" t="n">
        <f aca="false">'Raw Data'!D586</f>
        <v>222.043779193877</v>
      </c>
      <c r="D586" s="6" t="n">
        <f aca="false">'Raw Data'!E586</f>
        <v>4.15</v>
      </c>
      <c r="E586" s="6" t="n">
        <f aca="false">'Raw Data'!F586</f>
        <v>0</v>
      </c>
      <c r="F586" s="6" t="n">
        <f aca="false">'Raw Data'!G586</f>
        <v>0</v>
      </c>
      <c r="G586" s="6" t="n">
        <f aca="false">'Raw Data'!H586</f>
        <v>0</v>
      </c>
      <c r="H586" s="6" t="n">
        <f aca="false">'Raw Data'!I586</f>
        <v>0</v>
      </c>
      <c r="I586" s="6" t="n">
        <f aca="false">'Raw Data'!J586</f>
        <v>0</v>
      </c>
      <c r="J586" s="6" t="n">
        <f aca="false">'Raw Data'!K586</f>
        <v>2</v>
      </c>
      <c r="K586" s="6" t="n">
        <f aca="false">'Raw Data'!L586</f>
        <v>2</v>
      </c>
      <c r="L586" s="6" t="n">
        <f aca="false">F586*E586</f>
        <v>0</v>
      </c>
      <c r="N586" s="0" t="n">
        <v>1</v>
      </c>
      <c r="O586" s="6" t="n">
        <f aca="false">D586</f>
        <v>4.15</v>
      </c>
      <c r="P586" s="6" t="n">
        <f aca="false">E586</f>
        <v>0</v>
      </c>
      <c r="Q586" s="6" t="n">
        <f aca="false">F586</f>
        <v>0</v>
      </c>
      <c r="R586" s="6" t="n">
        <f aca="false">G586</f>
        <v>0</v>
      </c>
      <c r="S586" s="6" t="n">
        <f aca="false">H586</f>
        <v>0</v>
      </c>
      <c r="T586" s="6" t="n">
        <f aca="false">I586</f>
        <v>0</v>
      </c>
      <c r="U586" s="6" t="n">
        <f aca="false">L586</f>
        <v>0</v>
      </c>
      <c r="W586" s="6" t="n">
        <f aca="false">D586</f>
        <v>4.15</v>
      </c>
      <c r="X586" s="6" t="n">
        <f aca="false">E586</f>
        <v>0</v>
      </c>
      <c r="Y586" s="6" t="n">
        <f aca="false">F586</f>
        <v>0</v>
      </c>
      <c r="Z586" s="6" t="n">
        <f aca="false">L586</f>
        <v>0</v>
      </c>
      <c r="AA586" s="6" t="n">
        <f aca="false">G586</f>
        <v>0</v>
      </c>
      <c r="AC586" s="6" t="n">
        <f aca="false">D586</f>
        <v>4.15</v>
      </c>
      <c r="AD586" s="6" t="n">
        <f aca="false">E586</f>
        <v>0</v>
      </c>
      <c r="AE586" s="6" t="n">
        <f aca="false">G586</f>
        <v>0</v>
      </c>
      <c r="AF586" s="6" t="n">
        <f aca="false">H586</f>
        <v>0</v>
      </c>
      <c r="AG586" s="6" t="n">
        <f aca="false">I586</f>
        <v>0</v>
      </c>
      <c r="AH586" s="6" t="n">
        <f aca="false">L586</f>
        <v>0</v>
      </c>
    </row>
    <row r="587" customFormat="false" ht="15" hidden="false" customHeight="false" outlineLevel="0" collapsed="false">
      <c r="A587" s="0" t="str">
        <f aca="false">'Raw Data'!C587</f>
        <v>University</v>
      </c>
      <c r="B587" s="5" t="n">
        <f aca="false">'Raw Data'!A587</f>
        <v>40316</v>
      </c>
      <c r="C587" s="6" t="n">
        <f aca="false">'Raw Data'!D587</f>
        <v>157.426160892373</v>
      </c>
      <c r="D587" s="6" t="n">
        <f aca="false">'Raw Data'!E587</f>
        <v>4.065</v>
      </c>
      <c r="E587" s="6" t="n">
        <f aca="false">'Raw Data'!F587</f>
        <v>0</v>
      </c>
      <c r="F587" s="6" t="n">
        <f aca="false">'Raw Data'!G587</f>
        <v>0</v>
      </c>
      <c r="G587" s="6" t="n">
        <f aca="false">'Raw Data'!H587</f>
        <v>0</v>
      </c>
      <c r="H587" s="6" t="n">
        <f aca="false">'Raw Data'!I587</f>
        <v>0</v>
      </c>
      <c r="I587" s="6" t="n">
        <f aca="false">'Raw Data'!J587</f>
        <v>0</v>
      </c>
      <c r="J587" s="6" t="n">
        <f aca="false">'Raw Data'!K587</f>
        <v>2</v>
      </c>
      <c r="K587" s="6" t="n">
        <f aca="false">'Raw Data'!L587</f>
        <v>2</v>
      </c>
      <c r="L587" s="6" t="n">
        <f aca="false">F587*E587</f>
        <v>0</v>
      </c>
      <c r="N587" s="0" t="n">
        <v>1</v>
      </c>
      <c r="O587" s="6" t="n">
        <f aca="false">D587</f>
        <v>4.065</v>
      </c>
      <c r="P587" s="6" t="n">
        <f aca="false">E587</f>
        <v>0</v>
      </c>
      <c r="Q587" s="6" t="n">
        <f aca="false">F587</f>
        <v>0</v>
      </c>
      <c r="R587" s="6" t="n">
        <f aca="false">G587</f>
        <v>0</v>
      </c>
      <c r="S587" s="6" t="n">
        <f aca="false">H587</f>
        <v>0</v>
      </c>
      <c r="T587" s="6" t="n">
        <f aca="false">I587</f>
        <v>0</v>
      </c>
      <c r="U587" s="6" t="n">
        <f aca="false">L587</f>
        <v>0</v>
      </c>
      <c r="W587" s="6" t="n">
        <f aca="false">D587</f>
        <v>4.065</v>
      </c>
      <c r="X587" s="6" t="n">
        <f aca="false">E587</f>
        <v>0</v>
      </c>
      <c r="Y587" s="6" t="n">
        <f aca="false">F587</f>
        <v>0</v>
      </c>
      <c r="Z587" s="6" t="n">
        <f aca="false">L587</f>
        <v>0</v>
      </c>
      <c r="AA587" s="6" t="n">
        <f aca="false">G587</f>
        <v>0</v>
      </c>
      <c r="AC587" s="6" t="n">
        <f aca="false">D587</f>
        <v>4.065</v>
      </c>
      <c r="AD587" s="6" t="n">
        <f aca="false">E587</f>
        <v>0</v>
      </c>
      <c r="AE587" s="6" t="n">
        <f aca="false">G587</f>
        <v>0</v>
      </c>
      <c r="AF587" s="6" t="n">
        <f aca="false">H587</f>
        <v>0</v>
      </c>
      <c r="AG587" s="6" t="n">
        <f aca="false">I587</f>
        <v>0</v>
      </c>
      <c r="AH587" s="6" t="n">
        <f aca="false">L587</f>
        <v>0</v>
      </c>
    </row>
    <row r="588" customFormat="false" ht="15" hidden="false" customHeight="false" outlineLevel="0" collapsed="false">
      <c r="A588" s="0" t="str">
        <f aca="false">'Raw Data'!C588</f>
        <v>University</v>
      </c>
      <c r="B588" s="5" t="n">
        <f aca="false">'Raw Data'!A588</f>
        <v>40323</v>
      </c>
      <c r="C588" s="6" t="n">
        <f aca="false">'Raw Data'!D588</f>
        <v>170.976569064545</v>
      </c>
      <c r="D588" s="6" t="n">
        <f aca="false">'Raw Data'!E588</f>
        <v>4.004285714</v>
      </c>
      <c r="E588" s="6" t="n">
        <f aca="false">'Raw Data'!F588</f>
        <v>0</v>
      </c>
      <c r="F588" s="6" t="n">
        <f aca="false">'Raw Data'!G588</f>
        <v>0</v>
      </c>
      <c r="G588" s="6" t="n">
        <f aca="false">'Raw Data'!H588</f>
        <v>0</v>
      </c>
      <c r="H588" s="6" t="n">
        <f aca="false">'Raw Data'!I588</f>
        <v>0</v>
      </c>
      <c r="I588" s="6" t="n">
        <f aca="false">'Raw Data'!J588</f>
        <v>0</v>
      </c>
      <c r="J588" s="6" t="n">
        <f aca="false">'Raw Data'!K588</f>
        <v>2</v>
      </c>
      <c r="K588" s="6" t="n">
        <f aca="false">'Raw Data'!L588</f>
        <v>2</v>
      </c>
      <c r="L588" s="6" t="n">
        <f aca="false">F588*E588</f>
        <v>0</v>
      </c>
      <c r="N588" s="0" t="n">
        <v>1</v>
      </c>
      <c r="O588" s="6" t="n">
        <f aca="false">D588</f>
        <v>4.004285714</v>
      </c>
      <c r="P588" s="6" t="n">
        <f aca="false">E588</f>
        <v>0</v>
      </c>
      <c r="Q588" s="6" t="n">
        <f aca="false">F588</f>
        <v>0</v>
      </c>
      <c r="R588" s="6" t="n">
        <f aca="false">G588</f>
        <v>0</v>
      </c>
      <c r="S588" s="6" t="n">
        <f aca="false">H588</f>
        <v>0</v>
      </c>
      <c r="T588" s="6" t="n">
        <f aca="false">I588</f>
        <v>0</v>
      </c>
      <c r="U588" s="6" t="n">
        <f aca="false">L588</f>
        <v>0</v>
      </c>
      <c r="W588" s="6" t="n">
        <f aca="false">D588</f>
        <v>4.004285714</v>
      </c>
      <c r="X588" s="6" t="n">
        <f aca="false">E588</f>
        <v>0</v>
      </c>
      <c r="Y588" s="6" t="n">
        <f aca="false">F588</f>
        <v>0</v>
      </c>
      <c r="Z588" s="6" t="n">
        <f aca="false">L588</f>
        <v>0</v>
      </c>
      <c r="AA588" s="6" t="n">
        <f aca="false">G588</f>
        <v>0</v>
      </c>
      <c r="AC588" s="6" t="n">
        <f aca="false">D588</f>
        <v>4.004285714</v>
      </c>
      <c r="AD588" s="6" t="n">
        <f aca="false">E588</f>
        <v>0</v>
      </c>
      <c r="AE588" s="6" t="n">
        <f aca="false">G588</f>
        <v>0</v>
      </c>
      <c r="AF588" s="6" t="n">
        <f aca="false">H588</f>
        <v>0</v>
      </c>
      <c r="AG588" s="6" t="n">
        <f aca="false">I588</f>
        <v>0</v>
      </c>
      <c r="AH588" s="6" t="n">
        <f aca="false">L588</f>
        <v>0</v>
      </c>
    </row>
    <row r="589" customFormat="false" ht="15" hidden="false" customHeight="false" outlineLevel="0" collapsed="false">
      <c r="A589" s="0" t="str">
        <f aca="false">'Raw Data'!C589</f>
        <v>University</v>
      </c>
      <c r="B589" s="5" t="n">
        <f aca="false">'Raw Data'!A589</f>
        <v>40330</v>
      </c>
      <c r="C589" s="6" t="n">
        <f aca="false">'Raw Data'!D589</f>
        <v>167.899485448928</v>
      </c>
      <c r="D589" s="6" t="n">
        <f aca="false">'Raw Data'!E589</f>
        <v>4.065</v>
      </c>
      <c r="E589" s="6" t="n">
        <f aca="false">'Raw Data'!F589</f>
        <v>0</v>
      </c>
      <c r="F589" s="6" t="n">
        <f aca="false">'Raw Data'!G589</f>
        <v>0</v>
      </c>
      <c r="G589" s="6" t="n">
        <f aca="false">'Raw Data'!H589</f>
        <v>0</v>
      </c>
      <c r="H589" s="6" t="n">
        <f aca="false">'Raw Data'!I589</f>
        <v>0</v>
      </c>
      <c r="I589" s="6" t="n">
        <f aca="false">'Raw Data'!J589</f>
        <v>0</v>
      </c>
      <c r="J589" s="6" t="n">
        <f aca="false">'Raw Data'!K589</f>
        <v>2</v>
      </c>
      <c r="K589" s="6" t="n">
        <f aca="false">'Raw Data'!L589</f>
        <v>2</v>
      </c>
      <c r="L589" s="6" t="n">
        <f aca="false">F589*E589</f>
        <v>0</v>
      </c>
      <c r="N589" s="0" t="n">
        <v>1</v>
      </c>
      <c r="O589" s="6" t="n">
        <f aca="false">D589</f>
        <v>4.065</v>
      </c>
      <c r="P589" s="6" t="n">
        <f aca="false">E589</f>
        <v>0</v>
      </c>
      <c r="Q589" s="6" t="n">
        <f aca="false">F589</f>
        <v>0</v>
      </c>
      <c r="R589" s="6" t="n">
        <f aca="false">G589</f>
        <v>0</v>
      </c>
      <c r="S589" s="6" t="n">
        <f aca="false">H589</f>
        <v>0</v>
      </c>
      <c r="T589" s="6" t="n">
        <f aca="false">I589</f>
        <v>0</v>
      </c>
      <c r="U589" s="6" t="n">
        <f aca="false">L589</f>
        <v>0</v>
      </c>
      <c r="W589" s="6" t="n">
        <f aca="false">D589</f>
        <v>4.065</v>
      </c>
      <c r="X589" s="6" t="n">
        <f aca="false">E589</f>
        <v>0</v>
      </c>
      <c r="Y589" s="6" t="n">
        <f aca="false">F589</f>
        <v>0</v>
      </c>
      <c r="Z589" s="6" t="n">
        <f aca="false">L589</f>
        <v>0</v>
      </c>
      <c r="AA589" s="6" t="n">
        <f aca="false">G589</f>
        <v>0</v>
      </c>
      <c r="AC589" s="6" t="n">
        <f aca="false">D589</f>
        <v>4.065</v>
      </c>
      <c r="AD589" s="6" t="n">
        <f aca="false">E589</f>
        <v>0</v>
      </c>
      <c r="AE589" s="6" t="n">
        <f aca="false">G589</f>
        <v>0</v>
      </c>
      <c r="AF589" s="6" t="n">
        <f aca="false">H589</f>
        <v>0</v>
      </c>
      <c r="AG589" s="6" t="n">
        <f aca="false">I589</f>
        <v>0</v>
      </c>
      <c r="AH589" s="6" t="n">
        <f aca="false">L589</f>
        <v>0</v>
      </c>
    </row>
    <row r="590" customFormat="false" ht="15" hidden="false" customHeight="false" outlineLevel="0" collapsed="false">
      <c r="A590" s="0" t="str">
        <f aca="false">'Raw Data'!C590</f>
        <v>University</v>
      </c>
      <c r="B590" s="5" t="n">
        <f aca="false">'Raw Data'!A590</f>
        <v>40337</v>
      </c>
      <c r="C590" s="6" t="n">
        <f aca="false">'Raw Data'!D590</f>
        <v>117.628665058892</v>
      </c>
      <c r="D590" s="6" t="n">
        <f aca="false">'Raw Data'!E590</f>
        <v>4.6275</v>
      </c>
      <c r="E590" s="6" t="n">
        <f aca="false">'Raw Data'!F590</f>
        <v>0</v>
      </c>
      <c r="F590" s="6" t="n">
        <f aca="false">'Raw Data'!G590</f>
        <v>0</v>
      </c>
      <c r="G590" s="6" t="n">
        <f aca="false">'Raw Data'!H590</f>
        <v>0</v>
      </c>
      <c r="H590" s="6" t="n">
        <f aca="false">'Raw Data'!I590</f>
        <v>0</v>
      </c>
      <c r="I590" s="6" t="n">
        <f aca="false">'Raw Data'!J590</f>
        <v>0</v>
      </c>
      <c r="J590" s="6" t="n">
        <f aca="false">'Raw Data'!K590</f>
        <v>2</v>
      </c>
      <c r="K590" s="6" t="n">
        <f aca="false">'Raw Data'!L590</f>
        <v>2</v>
      </c>
      <c r="L590" s="6" t="n">
        <f aca="false">F590*E590</f>
        <v>0</v>
      </c>
      <c r="N590" s="0" t="n">
        <v>1</v>
      </c>
      <c r="O590" s="6" t="n">
        <f aca="false">D590</f>
        <v>4.6275</v>
      </c>
      <c r="P590" s="6" t="n">
        <f aca="false">E590</f>
        <v>0</v>
      </c>
      <c r="Q590" s="6" t="n">
        <f aca="false">F590</f>
        <v>0</v>
      </c>
      <c r="R590" s="6" t="n">
        <f aca="false">G590</f>
        <v>0</v>
      </c>
      <c r="S590" s="6" t="n">
        <f aca="false">H590</f>
        <v>0</v>
      </c>
      <c r="T590" s="6" t="n">
        <f aca="false">I590</f>
        <v>0</v>
      </c>
      <c r="U590" s="6" t="n">
        <f aca="false">L590</f>
        <v>0</v>
      </c>
      <c r="W590" s="6" t="n">
        <f aca="false">D590</f>
        <v>4.6275</v>
      </c>
      <c r="X590" s="6" t="n">
        <f aca="false">E590</f>
        <v>0</v>
      </c>
      <c r="Y590" s="6" t="n">
        <f aca="false">F590</f>
        <v>0</v>
      </c>
      <c r="Z590" s="6" t="n">
        <f aca="false">L590</f>
        <v>0</v>
      </c>
      <c r="AA590" s="6" t="n">
        <f aca="false">G590</f>
        <v>0</v>
      </c>
      <c r="AC590" s="6" t="n">
        <f aca="false">D590</f>
        <v>4.6275</v>
      </c>
      <c r="AD590" s="6" t="n">
        <f aca="false">E590</f>
        <v>0</v>
      </c>
      <c r="AE590" s="6" t="n">
        <f aca="false">G590</f>
        <v>0</v>
      </c>
      <c r="AF590" s="6" t="n">
        <f aca="false">H590</f>
        <v>0</v>
      </c>
      <c r="AG590" s="6" t="n">
        <f aca="false">I590</f>
        <v>0</v>
      </c>
      <c r="AH590" s="6" t="n">
        <f aca="false">L590</f>
        <v>0</v>
      </c>
    </row>
    <row r="591" customFormat="false" ht="15" hidden="false" customHeight="false" outlineLevel="0" collapsed="false">
      <c r="A591" s="0" t="str">
        <f aca="false">'Raw Data'!C591</f>
        <v>University</v>
      </c>
      <c r="B591" s="5" t="n">
        <f aca="false">'Raw Data'!A591</f>
        <v>40344</v>
      </c>
      <c r="C591" s="6" t="n">
        <f aca="false">'Raw Data'!D591</f>
        <v>264.004779748343</v>
      </c>
      <c r="D591" s="6" t="n">
        <f aca="false">'Raw Data'!E591</f>
        <v>4.204285714</v>
      </c>
      <c r="E591" s="6" t="n">
        <f aca="false">'Raw Data'!F591</f>
        <v>0</v>
      </c>
      <c r="F591" s="6" t="n">
        <f aca="false">'Raw Data'!G591</f>
        <v>0</v>
      </c>
      <c r="G591" s="6" t="n">
        <f aca="false">'Raw Data'!H591</f>
        <v>0</v>
      </c>
      <c r="H591" s="6" t="n">
        <f aca="false">'Raw Data'!I591</f>
        <v>0</v>
      </c>
      <c r="I591" s="6" t="n">
        <f aca="false">'Raw Data'!J591</f>
        <v>0</v>
      </c>
      <c r="J591" s="6" t="n">
        <f aca="false">'Raw Data'!K591</f>
        <v>2</v>
      </c>
      <c r="K591" s="6" t="n">
        <f aca="false">'Raw Data'!L591</f>
        <v>2</v>
      </c>
      <c r="L591" s="6" t="n">
        <f aca="false">F591*E591</f>
        <v>0</v>
      </c>
      <c r="N591" s="0" t="n">
        <v>1</v>
      </c>
      <c r="O591" s="6" t="n">
        <f aca="false">D591</f>
        <v>4.204285714</v>
      </c>
      <c r="P591" s="6" t="n">
        <f aca="false">E591</f>
        <v>0</v>
      </c>
      <c r="Q591" s="6" t="n">
        <f aca="false">F591</f>
        <v>0</v>
      </c>
      <c r="R591" s="6" t="n">
        <f aca="false">G591</f>
        <v>0</v>
      </c>
      <c r="S591" s="6" t="n">
        <f aca="false">H591</f>
        <v>0</v>
      </c>
      <c r="T591" s="6" t="n">
        <f aca="false">I591</f>
        <v>0</v>
      </c>
      <c r="U591" s="6" t="n">
        <f aca="false">L591</f>
        <v>0</v>
      </c>
      <c r="W591" s="6" t="n">
        <f aca="false">D591</f>
        <v>4.204285714</v>
      </c>
      <c r="X591" s="6" t="n">
        <f aca="false">E591</f>
        <v>0</v>
      </c>
      <c r="Y591" s="6" t="n">
        <f aca="false">F591</f>
        <v>0</v>
      </c>
      <c r="Z591" s="6" t="n">
        <f aca="false">L591</f>
        <v>0</v>
      </c>
      <c r="AA591" s="6" t="n">
        <f aca="false">G591</f>
        <v>0</v>
      </c>
      <c r="AC591" s="6" t="n">
        <f aca="false">D591</f>
        <v>4.204285714</v>
      </c>
      <c r="AD591" s="6" t="n">
        <f aca="false">E591</f>
        <v>0</v>
      </c>
      <c r="AE591" s="6" t="n">
        <f aca="false">G591</f>
        <v>0</v>
      </c>
      <c r="AF591" s="6" t="n">
        <f aca="false">H591</f>
        <v>0</v>
      </c>
      <c r="AG591" s="6" t="n">
        <f aca="false">I591</f>
        <v>0</v>
      </c>
      <c r="AH591" s="6" t="n">
        <f aca="false">L591</f>
        <v>0</v>
      </c>
    </row>
    <row r="592" customFormat="false" ht="15" hidden="false" customHeight="false" outlineLevel="0" collapsed="false">
      <c r="A592" s="0" t="str">
        <f aca="false">'Raw Data'!C592</f>
        <v>University</v>
      </c>
      <c r="B592" s="5" t="n">
        <f aca="false">'Raw Data'!A592</f>
        <v>40351</v>
      </c>
      <c r="C592" s="6" t="n">
        <f aca="false">'Raw Data'!D592</f>
        <v>166.378661111465</v>
      </c>
      <c r="D592" s="6" t="n">
        <f aca="false">'Raw Data'!E592</f>
        <v>4.6275</v>
      </c>
      <c r="E592" s="6" t="n">
        <f aca="false">'Raw Data'!F592</f>
        <v>0</v>
      </c>
      <c r="F592" s="6" t="n">
        <f aca="false">'Raw Data'!G592</f>
        <v>0</v>
      </c>
      <c r="G592" s="6" t="n">
        <f aca="false">'Raw Data'!H592</f>
        <v>0</v>
      </c>
      <c r="H592" s="6" t="n">
        <f aca="false">'Raw Data'!I592</f>
        <v>0</v>
      </c>
      <c r="I592" s="6" t="n">
        <f aca="false">'Raw Data'!J592</f>
        <v>0</v>
      </c>
      <c r="J592" s="6" t="n">
        <f aca="false">'Raw Data'!K592</f>
        <v>2</v>
      </c>
      <c r="K592" s="6" t="n">
        <f aca="false">'Raw Data'!L592</f>
        <v>2</v>
      </c>
      <c r="L592" s="6" t="n">
        <f aca="false">F592*E592</f>
        <v>0</v>
      </c>
      <c r="N592" s="0" t="n">
        <v>1</v>
      </c>
      <c r="O592" s="6" t="n">
        <f aca="false">D592</f>
        <v>4.6275</v>
      </c>
      <c r="P592" s="6" t="n">
        <f aca="false">E592</f>
        <v>0</v>
      </c>
      <c r="Q592" s="6" t="n">
        <f aca="false">F592</f>
        <v>0</v>
      </c>
      <c r="R592" s="6" t="n">
        <f aca="false">G592</f>
        <v>0</v>
      </c>
      <c r="S592" s="6" t="n">
        <f aca="false">H592</f>
        <v>0</v>
      </c>
      <c r="T592" s="6" t="n">
        <f aca="false">I592</f>
        <v>0</v>
      </c>
      <c r="U592" s="6" t="n">
        <f aca="false">L592</f>
        <v>0</v>
      </c>
      <c r="W592" s="6" t="n">
        <f aca="false">D592</f>
        <v>4.6275</v>
      </c>
      <c r="X592" s="6" t="n">
        <f aca="false">E592</f>
        <v>0</v>
      </c>
      <c r="Y592" s="6" t="n">
        <f aca="false">F592</f>
        <v>0</v>
      </c>
      <c r="Z592" s="6" t="n">
        <f aca="false">L592</f>
        <v>0</v>
      </c>
      <c r="AA592" s="6" t="n">
        <f aca="false">G592</f>
        <v>0</v>
      </c>
      <c r="AC592" s="6" t="n">
        <f aca="false">D592</f>
        <v>4.6275</v>
      </c>
      <c r="AD592" s="6" t="n">
        <f aca="false">E592</f>
        <v>0</v>
      </c>
      <c r="AE592" s="6" t="n">
        <f aca="false">G592</f>
        <v>0</v>
      </c>
      <c r="AF592" s="6" t="n">
        <f aca="false">H592</f>
        <v>0</v>
      </c>
      <c r="AG592" s="6" t="n">
        <f aca="false">I592</f>
        <v>0</v>
      </c>
      <c r="AH592" s="6" t="n">
        <f aca="false">L592</f>
        <v>0</v>
      </c>
    </row>
    <row r="593" customFormat="false" ht="15" hidden="false" customHeight="false" outlineLevel="0" collapsed="false">
      <c r="A593" s="0" t="str">
        <f aca="false">'Raw Data'!C593</f>
        <v>University</v>
      </c>
      <c r="B593" s="5" t="n">
        <f aca="false">'Raw Data'!A593</f>
        <v>40358</v>
      </c>
      <c r="C593" s="6" t="n">
        <f aca="false">'Raw Data'!D593</f>
        <v>187.329269473785</v>
      </c>
      <c r="D593" s="6" t="n">
        <f aca="false">'Raw Data'!E593</f>
        <v>4.156666667</v>
      </c>
      <c r="E593" s="6" t="n">
        <f aca="false">'Raw Data'!F593</f>
        <v>0</v>
      </c>
      <c r="F593" s="6" t="n">
        <f aca="false">'Raw Data'!G593</f>
        <v>0</v>
      </c>
      <c r="G593" s="6" t="n">
        <f aca="false">'Raw Data'!H593</f>
        <v>0</v>
      </c>
      <c r="H593" s="6" t="n">
        <f aca="false">'Raw Data'!I593</f>
        <v>0</v>
      </c>
      <c r="I593" s="6" t="n">
        <f aca="false">'Raw Data'!J593</f>
        <v>0</v>
      </c>
      <c r="J593" s="6" t="n">
        <f aca="false">'Raw Data'!K593</f>
        <v>2</v>
      </c>
      <c r="K593" s="6" t="n">
        <f aca="false">'Raw Data'!L593</f>
        <v>2</v>
      </c>
      <c r="L593" s="6" t="n">
        <f aca="false">F593*E593</f>
        <v>0</v>
      </c>
      <c r="N593" s="0" t="n">
        <v>1</v>
      </c>
      <c r="O593" s="6" t="n">
        <f aca="false">D593</f>
        <v>4.156666667</v>
      </c>
      <c r="P593" s="6" t="n">
        <f aca="false">E593</f>
        <v>0</v>
      </c>
      <c r="Q593" s="6" t="n">
        <f aca="false">F593</f>
        <v>0</v>
      </c>
      <c r="R593" s="6" t="n">
        <f aca="false">G593</f>
        <v>0</v>
      </c>
      <c r="S593" s="6" t="n">
        <f aca="false">H593</f>
        <v>0</v>
      </c>
      <c r="T593" s="6" t="n">
        <f aca="false">I593</f>
        <v>0</v>
      </c>
      <c r="U593" s="6" t="n">
        <f aca="false">L593</f>
        <v>0</v>
      </c>
      <c r="W593" s="6" t="n">
        <f aca="false">D593</f>
        <v>4.156666667</v>
      </c>
      <c r="X593" s="6" t="n">
        <f aca="false">E593</f>
        <v>0</v>
      </c>
      <c r="Y593" s="6" t="n">
        <f aca="false">F593</f>
        <v>0</v>
      </c>
      <c r="Z593" s="6" t="n">
        <f aca="false">L593</f>
        <v>0</v>
      </c>
      <c r="AA593" s="6" t="n">
        <f aca="false">G593</f>
        <v>0</v>
      </c>
      <c r="AC593" s="6" t="n">
        <f aca="false">D593</f>
        <v>4.156666667</v>
      </c>
      <c r="AD593" s="6" t="n">
        <f aca="false">E593</f>
        <v>0</v>
      </c>
      <c r="AE593" s="6" t="n">
        <f aca="false">G593</f>
        <v>0</v>
      </c>
      <c r="AF593" s="6" t="n">
        <f aca="false">H593</f>
        <v>0</v>
      </c>
      <c r="AG593" s="6" t="n">
        <f aca="false">I593</f>
        <v>0</v>
      </c>
      <c r="AH593" s="6" t="n">
        <f aca="false">L593</f>
        <v>0</v>
      </c>
    </row>
    <row r="594" customFormat="false" ht="15" hidden="false" customHeight="false" outlineLevel="0" collapsed="false">
      <c r="A594" s="0" t="str">
        <f aca="false">'Raw Data'!C594</f>
        <v>University</v>
      </c>
      <c r="B594" s="5" t="n">
        <f aca="false">'Raw Data'!A594</f>
        <v>40365</v>
      </c>
      <c r="C594" s="6" t="n">
        <f aca="false">'Raw Data'!D594</f>
        <v>300.728005674014</v>
      </c>
      <c r="D594" s="6" t="n">
        <f aca="false">'Raw Data'!E594</f>
        <v>3.78</v>
      </c>
      <c r="E594" s="6" t="n">
        <f aca="false">'Raw Data'!F594</f>
        <v>0</v>
      </c>
      <c r="F594" s="6" t="n">
        <f aca="false">'Raw Data'!G594</f>
        <v>0</v>
      </c>
      <c r="G594" s="6" t="n">
        <f aca="false">'Raw Data'!H594</f>
        <v>0</v>
      </c>
      <c r="H594" s="6" t="n">
        <f aca="false">'Raw Data'!I594</f>
        <v>0</v>
      </c>
      <c r="I594" s="6" t="n">
        <f aca="false">'Raw Data'!J594</f>
        <v>0</v>
      </c>
      <c r="J594" s="6" t="n">
        <f aca="false">'Raw Data'!K594</f>
        <v>2</v>
      </c>
      <c r="K594" s="6" t="n">
        <f aca="false">'Raw Data'!L594</f>
        <v>2</v>
      </c>
      <c r="L594" s="6" t="n">
        <f aca="false">F594*E594</f>
        <v>0</v>
      </c>
      <c r="N594" s="0" t="n">
        <v>1</v>
      </c>
      <c r="O594" s="6" t="n">
        <f aca="false">D594</f>
        <v>3.78</v>
      </c>
      <c r="P594" s="6" t="n">
        <f aca="false">E594</f>
        <v>0</v>
      </c>
      <c r="Q594" s="6" t="n">
        <f aca="false">F594</f>
        <v>0</v>
      </c>
      <c r="R594" s="6" t="n">
        <f aca="false">G594</f>
        <v>0</v>
      </c>
      <c r="S594" s="6" t="n">
        <f aca="false">H594</f>
        <v>0</v>
      </c>
      <c r="T594" s="6" t="n">
        <f aca="false">I594</f>
        <v>0</v>
      </c>
      <c r="U594" s="6" t="n">
        <f aca="false">L594</f>
        <v>0</v>
      </c>
      <c r="W594" s="6" t="n">
        <f aca="false">D594</f>
        <v>3.78</v>
      </c>
      <c r="X594" s="6" t="n">
        <f aca="false">E594</f>
        <v>0</v>
      </c>
      <c r="Y594" s="6" t="n">
        <f aca="false">F594</f>
        <v>0</v>
      </c>
      <c r="Z594" s="6" t="n">
        <f aca="false">L594</f>
        <v>0</v>
      </c>
      <c r="AA594" s="6" t="n">
        <f aca="false">G594</f>
        <v>0</v>
      </c>
      <c r="AC594" s="6" t="n">
        <f aca="false">D594</f>
        <v>3.78</v>
      </c>
      <c r="AD594" s="6" t="n">
        <f aca="false">E594</f>
        <v>0</v>
      </c>
      <c r="AE594" s="6" t="n">
        <f aca="false">G594</f>
        <v>0</v>
      </c>
      <c r="AF594" s="6" t="n">
        <f aca="false">H594</f>
        <v>0</v>
      </c>
      <c r="AG594" s="6" t="n">
        <f aca="false">I594</f>
        <v>0</v>
      </c>
      <c r="AH594" s="6" t="n">
        <f aca="false">L594</f>
        <v>0</v>
      </c>
    </row>
    <row r="595" customFormat="false" ht="15" hidden="false" customHeight="false" outlineLevel="0" collapsed="false">
      <c r="A595" s="0" t="str">
        <f aca="false">'Raw Data'!C595</f>
        <v>University</v>
      </c>
      <c r="B595" s="5" t="n">
        <f aca="false">'Raw Data'!A595</f>
        <v>40372</v>
      </c>
      <c r="C595" s="6" t="n">
        <f aca="false">'Raw Data'!D595</f>
        <v>156.652164013519</v>
      </c>
      <c r="D595" s="6" t="n">
        <f aca="false">'Raw Data'!E595</f>
        <v>3.61875</v>
      </c>
      <c r="E595" s="6" t="n">
        <f aca="false">'Raw Data'!F595</f>
        <v>0</v>
      </c>
      <c r="F595" s="6" t="n">
        <f aca="false">'Raw Data'!G595</f>
        <v>0</v>
      </c>
      <c r="G595" s="6" t="n">
        <f aca="false">'Raw Data'!H595</f>
        <v>0</v>
      </c>
      <c r="H595" s="6" t="n">
        <f aca="false">'Raw Data'!I595</f>
        <v>0</v>
      </c>
      <c r="I595" s="6" t="n">
        <f aca="false">'Raw Data'!J595</f>
        <v>0</v>
      </c>
      <c r="J595" s="6" t="n">
        <f aca="false">'Raw Data'!K595</f>
        <v>2</v>
      </c>
      <c r="K595" s="6" t="n">
        <f aca="false">'Raw Data'!L595</f>
        <v>2</v>
      </c>
      <c r="L595" s="6" t="n">
        <f aca="false">F595*E595</f>
        <v>0</v>
      </c>
      <c r="N595" s="0" t="n">
        <v>1</v>
      </c>
      <c r="O595" s="6" t="n">
        <f aca="false">D595</f>
        <v>3.61875</v>
      </c>
      <c r="P595" s="6" t="n">
        <f aca="false">E595</f>
        <v>0</v>
      </c>
      <c r="Q595" s="6" t="n">
        <f aca="false">F595</f>
        <v>0</v>
      </c>
      <c r="R595" s="6" t="n">
        <f aca="false">G595</f>
        <v>0</v>
      </c>
      <c r="S595" s="6" t="n">
        <f aca="false">H595</f>
        <v>0</v>
      </c>
      <c r="T595" s="6" t="n">
        <f aca="false">I595</f>
        <v>0</v>
      </c>
      <c r="U595" s="6" t="n">
        <f aca="false">L595</f>
        <v>0</v>
      </c>
      <c r="W595" s="6" t="n">
        <f aca="false">D595</f>
        <v>3.61875</v>
      </c>
      <c r="X595" s="6" t="n">
        <f aca="false">E595</f>
        <v>0</v>
      </c>
      <c r="Y595" s="6" t="n">
        <f aca="false">F595</f>
        <v>0</v>
      </c>
      <c r="Z595" s="6" t="n">
        <f aca="false">L595</f>
        <v>0</v>
      </c>
      <c r="AA595" s="6" t="n">
        <f aca="false">G595</f>
        <v>0</v>
      </c>
      <c r="AC595" s="6" t="n">
        <f aca="false">D595</f>
        <v>3.61875</v>
      </c>
      <c r="AD595" s="6" t="n">
        <f aca="false">E595</f>
        <v>0</v>
      </c>
      <c r="AE595" s="6" t="n">
        <f aca="false">G595</f>
        <v>0</v>
      </c>
      <c r="AF595" s="6" t="n">
        <f aca="false">H595</f>
        <v>0</v>
      </c>
      <c r="AG595" s="6" t="n">
        <f aca="false">I595</f>
        <v>0</v>
      </c>
      <c r="AH595" s="6" t="n">
        <f aca="false">L595</f>
        <v>0</v>
      </c>
    </row>
    <row r="596" customFormat="false" ht="15" hidden="false" customHeight="false" outlineLevel="0" collapsed="false">
      <c r="A596" s="0" t="str">
        <f aca="false">'Raw Data'!C596</f>
        <v>West Hartford</v>
      </c>
      <c r="B596" s="5" t="n">
        <f aca="false">'Raw Data'!A596</f>
        <v>40302</v>
      </c>
      <c r="C596" s="6" t="n">
        <f aca="false">'Raw Data'!D596</f>
        <v>176.313606393435</v>
      </c>
      <c r="D596" s="6" t="n">
        <f aca="false">'Raw Data'!E596</f>
        <v>4.718571429</v>
      </c>
      <c r="E596" s="6" t="n">
        <f aca="false">'Raw Data'!F596</f>
        <v>0</v>
      </c>
      <c r="F596" s="6" t="n">
        <f aca="false">'Raw Data'!G596</f>
        <v>0</v>
      </c>
      <c r="G596" s="6" t="n">
        <f aca="false">'Raw Data'!H596</f>
        <v>0</v>
      </c>
      <c r="H596" s="6" t="n">
        <f aca="false">'Raw Data'!I596</f>
        <v>0</v>
      </c>
      <c r="I596" s="6" t="n">
        <f aca="false">'Raw Data'!J596</f>
        <v>0</v>
      </c>
      <c r="J596" s="6" t="n">
        <f aca="false">'Raw Data'!K596</f>
        <v>2</v>
      </c>
      <c r="K596" s="6" t="n">
        <f aca="false">'Raw Data'!L596</f>
        <v>3</v>
      </c>
      <c r="L596" s="6" t="n">
        <f aca="false">F596*E596</f>
        <v>0</v>
      </c>
      <c r="N596" s="0" t="n">
        <v>1</v>
      </c>
      <c r="O596" s="6" t="n">
        <f aca="false">D596</f>
        <v>4.718571429</v>
      </c>
      <c r="P596" s="6" t="n">
        <f aca="false">E596</f>
        <v>0</v>
      </c>
      <c r="Q596" s="6" t="n">
        <f aca="false">F596</f>
        <v>0</v>
      </c>
      <c r="R596" s="6" t="n">
        <f aca="false">G596</f>
        <v>0</v>
      </c>
      <c r="S596" s="6" t="n">
        <f aca="false">H596</f>
        <v>0</v>
      </c>
      <c r="T596" s="6" t="n">
        <f aca="false">I596</f>
        <v>0</v>
      </c>
      <c r="U596" s="6" t="n">
        <f aca="false">L596</f>
        <v>0</v>
      </c>
      <c r="W596" s="6" t="n">
        <f aca="false">D596</f>
        <v>4.718571429</v>
      </c>
      <c r="X596" s="6" t="n">
        <f aca="false">E596</f>
        <v>0</v>
      </c>
      <c r="Y596" s="6" t="n">
        <f aca="false">F596</f>
        <v>0</v>
      </c>
      <c r="Z596" s="6" t="n">
        <f aca="false">L596</f>
        <v>0</v>
      </c>
      <c r="AA596" s="6" t="n">
        <f aca="false">G596</f>
        <v>0</v>
      </c>
      <c r="AC596" s="6" t="n">
        <f aca="false">D596</f>
        <v>4.718571429</v>
      </c>
      <c r="AD596" s="6" t="n">
        <f aca="false">E596</f>
        <v>0</v>
      </c>
      <c r="AE596" s="6" t="n">
        <f aca="false">G596</f>
        <v>0</v>
      </c>
      <c r="AF596" s="6" t="n">
        <f aca="false">H596</f>
        <v>0</v>
      </c>
      <c r="AG596" s="6" t="n">
        <f aca="false">I596</f>
        <v>0</v>
      </c>
      <c r="AH596" s="6" t="n">
        <f aca="false">L596</f>
        <v>0</v>
      </c>
    </row>
    <row r="597" customFormat="false" ht="15" hidden="false" customHeight="false" outlineLevel="0" collapsed="false">
      <c r="A597" s="0" t="str">
        <f aca="false">'Raw Data'!C597</f>
        <v>West Hartford</v>
      </c>
      <c r="B597" s="5" t="n">
        <f aca="false">'Raw Data'!A597</f>
        <v>40309</v>
      </c>
      <c r="C597" s="6" t="n">
        <f aca="false">'Raw Data'!D597</f>
        <v>124.660512656504</v>
      </c>
      <c r="D597" s="6" t="n">
        <f aca="false">'Raw Data'!E597</f>
        <v>4.718571429</v>
      </c>
      <c r="E597" s="6" t="n">
        <f aca="false">'Raw Data'!F597</f>
        <v>0</v>
      </c>
      <c r="F597" s="6" t="n">
        <f aca="false">'Raw Data'!G597</f>
        <v>0</v>
      </c>
      <c r="G597" s="6" t="n">
        <f aca="false">'Raw Data'!H597</f>
        <v>0</v>
      </c>
      <c r="H597" s="6" t="n">
        <f aca="false">'Raw Data'!I597</f>
        <v>0</v>
      </c>
      <c r="I597" s="6" t="n">
        <f aca="false">'Raw Data'!J597</f>
        <v>0</v>
      </c>
      <c r="J597" s="6" t="n">
        <f aca="false">'Raw Data'!K597</f>
        <v>2</v>
      </c>
      <c r="K597" s="6" t="n">
        <f aca="false">'Raw Data'!L597</f>
        <v>3</v>
      </c>
      <c r="L597" s="6" t="n">
        <f aca="false">F597*E597</f>
        <v>0</v>
      </c>
      <c r="N597" s="0" t="n">
        <v>1</v>
      </c>
      <c r="O597" s="6" t="n">
        <f aca="false">D597</f>
        <v>4.718571429</v>
      </c>
      <c r="P597" s="6" t="n">
        <f aca="false">E597</f>
        <v>0</v>
      </c>
      <c r="Q597" s="6" t="n">
        <f aca="false">F597</f>
        <v>0</v>
      </c>
      <c r="R597" s="6" t="n">
        <f aca="false">G597</f>
        <v>0</v>
      </c>
      <c r="S597" s="6" t="n">
        <f aca="false">H597</f>
        <v>0</v>
      </c>
      <c r="T597" s="6" t="n">
        <f aca="false">I597</f>
        <v>0</v>
      </c>
      <c r="U597" s="6" t="n">
        <f aca="false">L597</f>
        <v>0</v>
      </c>
      <c r="W597" s="6" t="n">
        <f aca="false">D597</f>
        <v>4.718571429</v>
      </c>
      <c r="X597" s="6" t="n">
        <f aca="false">E597</f>
        <v>0</v>
      </c>
      <c r="Y597" s="6" t="n">
        <f aca="false">F597</f>
        <v>0</v>
      </c>
      <c r="Z597" s="6" t="n">
        <f aca="false">L597</f>
        <v>0</v>
      </c>
      <c r="AA597" s="6" t="n">
        <f aca="false">G597</f>
        <v>0</v>
      </c>
      <c r="AC597" s="6" t="n">
        <f aca="false">D597</f>
        <v>4.718571429</v>
      </c>
      <c r="AD597" s="6" t="n">
        <f aca="false">E597</f>
        <v>0</v>
      </c>
      <c r="AE597" s="6" t="n">
        <f aca="false">G597</f>
        <v>0</v>
      </c>
      <c r="AF597" s="6" t="n">
        <f aca="false">H597</f>
        <v>0</v>
      </c>
      <c r="AG597" s="6" t="n">
        <f aca="false">I597</f>
        <v>0</v>
      </c>
      <c r="AH597" s="6" t="n">
        <f aca="false">L597</f>
        <v>0</v>
      </c>
    </row>
    <row r="598" customFormat="false" ht="15" hidden="false" customHeight="false" outlineLevel="0" collapsed="false">
      <c r="A598" s="0" t="str">
        <f aca="false">'Raw Data'!C598</f>
        <v>West Hartford</v>
      </c>
      <c r="B598" s="5" t="n">
        <f aca="false">'Raw Data'!A598</f>
        <v>40316</v>
      </c>
      <c r="C598" s="6" t="n">
        <f aca="false">'Raw Data'!D598</f>
        <v>193.135070379834</v>
      </c>
      <c r="D598" s="6" t="n">
        <f aca="false">'Raw Data'!E598</f>
        <v>4.065</v>
      </c>
      <c r="E598" s="6" t="n">
        <f aca="false">'Raw Data'!F598</f>
        <v>0</v>
      </c>
      <c r="F598" s="6" t="n">
        <f aca="false">'Raw Data'!G598</f>
        <v>0</v>
      </c>
      <c r="G598" s="6" t="n">
        <f aca="false">'Raw Data'!H598</f>
        <v>0</v>
      </c>
      <c r="H598" s="6" t="n">
        <f aca="false">'Raw Data'!I598</f>
        <v>0</v>
      </c>
      <c r="I598" s="6" t="n">
        <f aca="false">'Raw Data'!J598</f>
        <v>0</v>
      </c>
      <c r="J598" s="6" t="n">
        <f aca="false">'Raw Data'!K598</f>
        <v>2</v>
      </c>
      <c r="K598" s="6" t="n">
        <f aca="false">'Raw Data'!L598</f>
        <v>3</v>
      </c>
      <c r="L598" s="6" t="n">
        <f aca="false">F598*E598</f>
        <v>0</v>
      </c>
      <c r="N598" s="0" t="n">
        <v>1</v>
      </c>
      <c r="O598" s="6" t="n">
        <f aca="false">D598</f>
        <v>4.065</v>
      </c>
      <c r="P598" s="6" t="n">
        <f aca="false">E598</f>
        <v>0</v>
      </c>
      <c r="Q598" s="6" t="n">
        <f aca="false">F598</f>
        <v>0</v>
      </c>
      <c r="R598" s="6" t="n">
        <f aca="false">G598</f>
        <v>0</v>
      </c>
      <c r="S598" s="6" t="n">
        <f aca="false">H598</f>
        <v>0</v>
      </c>
      <c r="T598" s="6" t="n">
        <f aca="false">I598</f>
        <v>0</v>
      </c>
      <c r="U598" s="6" t="n">
        <f aca="false">L598</f>
        <v>0</v>
      </c>
      <c r="W598" s="6" t="n">
        <f aca="false">D598</f>
        <v>4.065</v>
      </c>
      <c r="X598" s="6" t="n">
        <f aca="false">E598</f>
        <v>0</v>
      </c>
      <c r="Y598" s="6" t="n">
        <f aca="false">F598</f>
        <v>0</v>
      </c>
      <c r="Z598" s="6" t="n">
        <f aca="false">L598</f>
        <v>0</v>
      </c>
      <c r="AA598" s="6" t="n">
        <f aca="false">G598</f>
        <v>0</v>
      </c>
      <c r="AC598" s="6" t="n">
        <f aca="false">D598</f>
        <v>4.065</v>
      </c>
      <c r="AD598" s="6" t="n">
        <f aca="false">E598</f>
        <v>0</v>
      </c>
      <c r="AE598" s="6" t="n">
        <f aca="false">G598</f>
        <v>0</v>
      </c>
      <c r="AF598" s="6" t="n">
        <f aca="false">H598</f>
        <v>0</v>
      </c>
      <c r="AG598" s="6" t="n">
        <f aca="false">I598</f>
        <v>0</v>
      </c>
      <c r="AH598" s="6" t="n">
        <f aca="false">L598</f>
        <v>0</v>
      </c>
    </row>
    <row r="599" customFormat="false" ht="15" hidden="false" customHeight="false" outlineLevel="0" collapsed="false">
      <c r="A599" s="0" t="str">
        <f aca="false">'Raw Data'!C599</f>
        <v>West Hartford</v>
      </c>
      <c r="B599" s="5" t="n">
        <f aca="false">'Raw Data'!A599</f>
        <v>40323</v>
      </c>
      <c r="C599" s="6" t="n">
        <f aca="false">'Raw Data'!D599</f>
        <v>207.478135992443</v>
      </c>
      <c r="D599" s="6" t="n">
        <f aca="false">'Raw Data'!E599</f>
        <v>4.161428571</v>
      </c>
      <c r="E599" s="6" t="n">
        <f aca="false">'Raw Data'!F599</f>
        <v>0</v>
      </c>
      <c r="F599" s="6" t="n">
        <f aca="false">'Raw Data'!G599</f>
        <v>0</v>
      </c>
      <c r="G599" s="6" t="n">
        <f aca="false">'Raw Data'!H599</f>
        <v>0</v>
      </c>
      <c r="H599" s="6" t="n">
        <f aca="false">'Raw Data'!I599</f>
        <v>0</v>
      </c>
      <c r="I599" s="6" t="n">
        <f aca="false">'Raw Data'!J599</f>
        <v>0</v>
      </c>
      <c r="J599" s="6" t="n">
        <f aca="false">'Raw Data'!K599</f>
        <v>2</v>
      </c>
      <c r="K599" s="6" t="n">
        <f aca="false">'Raw Data'!L599</f>
        <v>3</v>
      </c>
      <c r="L599" s="6" t="n">
        <f aca="false">F599*E599</f>
        <v>0</v>
      </c>
      <c r="N599" s="0" t="n">
        <v>1</v>
      </c>
      <c r="O599" s="6" t="n">
        <f aca="false">D599</f>
        <v>4.161428571</v>
      </c>
      <c r="P599" s="6" t="n">
        <f aca="false">E599</f>
        <v>0</v>
      </c>
      <c r="Q599" s="6" t="n">
        <f aca="false">F599</f>
        <v>0</v>
      </c>
      <c r="R599" s="6" t="n">
        <f aca="false">G599</f>
        <v>0</v>
      </c>
      <c r="S599" s="6" t="n">
        <f aca="false">H599</f>
        <v>0</v>
      </c>
      <c r="T599" s="6" t="n">
        <f aca="false">I599</f>
        <v>0</v>
      </c>
      <c r="U599" s="6" t="n">
        <f aca="false">L599</f>
        <v>0</v>
      </c>
      <c r="W599" s="6" t="n">
        <f aca="false">D599</f>
        <v>4.161428571</v>
      </c>
      <c r="X599" s="6" t="n">
        <f aca="false">E599</f>
        <v>0</v>
      </c>
      <c r="Y599" s="6" t="n">
        <f aca="false">F599</f>
        <v>0</v>
      </c>
      <c r="Z599" s="6" t="n">
        <f aca="false">L599</f>
        <v>0</v>
      </c>
      <c r="AA599" s="6" t="n">
        <f aca="false">G599</f>
        <v>0</v>
      </c>
      <c r="AC599" s="6" t="n">
        <f aca="false">D599</f>
        <v>4.161428571</v>
      </c>
      <c r="AD599" s="6" t="n">
        <f aca="false">E599</f>
        <v>0</v>
      </c>
      <c r="AE599" s="6" t="n">
        <f aca="false">G599</f>
        <v>0</v>
      </c>
      <c r="AF599" s="6" t="n">
        <f aca="false">H599</f>
        <v>0</v>
      </c>
      <c r="AG599" s="6" t="n">
        <f aca="false">I599</f>
        <v>0</v>
      </c>
      <c r="AH599" s="6" t="n">
        <f aca="false">L599</f>
        <v>0</v>
      </c>
    </row>
    <row r="600" customFormat="false" ht="15" hidden="false" customHeight="false" outlineLevel="0" collapsed="false">
      <c r="A600" s="0" t="str">
        <f aca="false">'Raw Data'!C600</f>
        <v>West Hartford</v>
      </c>
      <c r="B600" s="5" t="n">
        <f aca="false">'Raw Data'!A600</f>
        <v>40330</v>
      </c>
      <c r="C600" s="6" t="n">
        <f aca="false">'Raw Data'!D600</f>
        <v>149.303325205346</v>
      </c>
      <c r="D600" s="6" t="n">
        <f aca="false">'Raw Data'!E600</f>
        <v>4.161428571</v>
      </c>
      <c r="E600" s="6" t="n">
        <f aca="false">'Raw Data'!F600</f>
        <v>0</v>
      </c>
      <c r="F600" s="6" t="n">
        <f aca="false">'Raw Data'!G600</f>
        <v>0</v>
      </c>
      <c r="G600" s="6" t="n">
        <f aca="false">'Raw Data'!H600</f>
        <v>0</v>
      </c>
      <c r="H600" s="6" t="n">
        <f aca="false">'Raw Data'!I600</f>
        <v>0</v>
      </c>
      <c r="I600" s="6" t="n">
        <f aca="false">'Raw Data'!J600</f>
        <v>0</v>
      </c>
      <c r="J600" s="6" t="n">
        <f aca="false">'Raw Data'!K600</f>
        <v>2</v>
      </c>
      <c r="K600" s="6" t="n">
        <f aca="false">'Raw Data'!L600</f>
        <v>3</v>
      </c>
      <c r="L600" s="6" t="n">
        <f aca="false">F600*E600</f>
        <v>0</v>
      </c>
      <c r="N600" s="0" t="n">
        <v>1</v>
      </c>
      <c r="O600" s="6" t="n">
        <f aca="false">D600</f>
        <v>4.161428571</v>
      </c>
      <c r="P600" s="6" t="n">
        <f aca="false">E600</f>
        <v>0</v>
      </c>
      <c r="Q600" s="6" t="n">
        <f aca="false">F600</f>
        <v>0</v>
      </c>
      <c r="R600" s="6" t="n">
        <f aca="false">G600</f>
        <v>0</v>
      </c>
      <c r="S600" s="6" t="n">
        <f aca="false">H600</f>
        <v>0</v>
      </c>
      <c r="T600" s="6" t="n">
        <f aca="false">I600</f>
        <v>0</v>
      </c>
      <c r="U600" s="6" t="n">
        <f aca="false">L600</f>
        <v>0</v>
      </c>
      <c r="W600" s="6" t="n">
        <f aca="false">D600</f>
        <v>4.161428571</v>
      </c>
      <c r="X600" s="6" t="n">
        <f aca="false">E600</f>
        <v>0</v>
      </c>
      <c r="Y600" s="6" t="n">
        <f aca="false">F600</f>
        <v>0</v>
      </c>
      <c r="Z600" s="6" t="n">
        <f aca="false">L600</f>
        <v>0</v>
      </c>
      <c r="AA600" s="6" t="n">
        <f aca="false">G600</f>
        <v>0</v>
      </c>
      <c r="AC600" s="6" t="n">
        <f aca="false">D600</f>
        <v>4.161428571</v>
      </c>
      <c r="AD600" s="6" t="n">
        <f aca="false">E600</f>
        <v>0</v>
      </c>
      <c r="AE600" s="6" t="n">
        <f aca="false">G600</f>
        <v>0</v>
      </c>
      <c r="AF600" s="6" t="n">
        <f aca="false">H600</f>
        <v>0</v>
      </c>
      <c r="AG600" s="6" t="n">
        <f aca="false">I600</f>
        <v>0</v>
      </c>
      <c r="AH600" s="6" t="n">
        <f aca="false">L600</f>
        <v>0</v>
      </c>
    </row>
    <row r="601" customFormat="false" ht="15" hidden="false" customHeight="false" outlineLevel="0" collapsed="false">
      <c r="A601" s="0" t="str">
        <f aca="false">'Raw Data'!C601</f>
        <v>West Hartford</v>
      </c>
      <c r="B601" s="5" t="n">
        <f aca="false">'Raw Data'!A601</f>
        <v>40337</v>
      </c>
      <c r="C601" s="6" t="n">
        <f aca="false">'Raw Data'!D601</f>
        <v>131.209511423149</v>
      </c>
      <c r="D601" s="6" t="n">
        <f aca="false">'Raw Data'!E601</f>
        <v>4.718571429</v>
      </c>
      <c r="E601" s="6" t="n">
        <f aca="false">'Raw Data'!F601</f>
        <v>0</v>
      </c>
      <c r="F601" s="6" t="n">
        <f aca="false">'Raw Data'!G601</f>
        <v>0</v>
      </c>
      <c r="G601" s="6" t="n">
        <f aca="false">'Raw Data'!H601</f>
        <v>0</v>
      </c>
      <c r="H601" s="6" t="n">
        <f aca="false">'Raw Data'!I601</f>
        <v>0</v>
      </c>
      <c r="I601" s="6" t="n">
        <f aca="false">'Raw Data'!J601</f>
        <v>0</v>
      </c>
      <c r="J601" s="6" t="n">
        <f aca="false">'Raw Data'!K601</f>
        <v>2</v>
      </c>
      <c r="K601" s="6" t="n">
        <f aca="false">'Raw Data'!L601</f>
        <v>3</v>
      </c>
      <c r="L601" s="6" t="n">
        <f aca="false">F601*E601</f>
        <v>0</v>
      </c>
      <c r="N601" s="0" t="n">
        <v>1</v>
      </c>
      <c r="O601" s="6" t="n">
        <f aca="false">D601</f>
        <v>4.718571429</v>
      </c>
      <c r="P601" s="6" t="n">
        <f aca="false">E601</f>
        <v>0</v>
      </c>
      <c r="Q601" s="6" t="n">
        <f aca="false">F601</f>
        <v>0</v>
      </c>
      <c r="R601" s="6" t="n">
        <f aca="false">G601</f>
        <v>0</v>
      </c>
      <c r="S601" s="6" t="n">
        <f aca="false">H601</f>
        <v>0</v>
      </c>
      <c r="T601" s="6" t="n">
        <f aca="false">I601</f>
        <v>0</v>
      </c>
      <c r="U601" s="6" t="n">
        <f aca="false">L601</f>
        <v>0</v>
      </c>
      <c r="W601" s="6" t="n">
        <f aca="false">D601</f>
        <v>4.718571429</v>
      </c>
      <c r="X601" s="6" t="n">
        <f aca="false">E601</f>
        <v>0</v>
      </c>
      <c r="Y601" s="6" t="n">
        <f aca="false">F601</f>
        <v>0</v>
      </c>
      <c r="Z601" s="6" t="n">
        <f aca="false">L601</f>
        <v>0</v>
      </c>
      <c r="AA601" s="6" t="n">
        <f aca="false">G601</f>
        <v>0</v>
      </c>
      <c r="AC601" s="6" t="n">
        <f aca="false">D601</f>
        <v>4.718571429</v>
      </c>
      <c r="AD601" s="6" t="n">
        <f aca="false">E601</f>
        <v>0</v>
      </c>
      <c r="AE601" s="6" t="n">
        <f aca="false">G601</f>
        <v>0</v>
      </c>
      <c r="AF601" s="6" t="n">
        <f aca="false">H601</f>
        <v>0</v>
      </c>
      <c r="AG601" s="6" t="n">
        <f aca="false">I601</f>
        <v>0</v>
      </c>
      <c r="AH601" s="6" t="n">
        <f aca="false">L601</f>
        <v>0</v>
      </c>
    </row>
    <row r="602" customFormat="false" ht="15" hidden="false" customHeight="false" outlineLevel="0" collapsed="false">
      <c r="A602" s="0" t="str">
        <f aca="false">'Raw Data'!C602</f>
        <v>West Hartford</v>
      </c>
      <c r="B602" s="5" t="n">
        <f aca="false">'Raw Data'!A602</f>
        <v>40344</v>
      </c>
      <c r="C602" s="6" t="n">
        <f aca="false">'Raw Data'!D602</f>
        <v>252.698866752192</v>
      </c>
      <c r="D602" s="6" t="n">
        <f aca="false">'Raw Data'!E602</f>
        <v>4.718571429</v>
      </c>
      <c r="E602" s="6" t="n">
        <f aca="false">'Raw Data'!F602</f>
        <v>0</v>
      </c>
      <c r="F602" s="6" t="n">
        <f aca="false">'Raw Data'!G602</f>
        <v>0</v>
      </c>
      <c r="G602" s="6" t="n">
        <f aca="false">'Raw Data'!H602</f>
        <v>0</v>
      </c>
      <c r="H602" s="6" t="n">
        <f aca="false">'Raw Data'!I602</f>
        <v>0</v>
      </c>
      <c r="I602" s="6" t="n">
        <f aca="false">'Raw Data'!J602</f>
        <v>0</v>
      </c>
      <c r="J602" s="6" t="n">
        <f aca="false">'Raw Data'!K602</f>
        <v>2</v>
      </c>
      <c r="K602" s="6" t="n">
        <f aca="false">'Raw Data'!L602</f>
        <v>3</v>
      </c>
      <c r="L602" s="6" t="n">
        <f aca="false">F602*E602</f>
        <v>0</v>
      </c>
      <c r="N602" s="0" t="n">
        <v>1</v>
      </c>
      <c r="O602" s="6" t="n">
        <f aca="false">D602</f>
        <v>4.718571429</v>
      </c>
      <c r="P602" s="6" t="n">
        <f aca="false">E602</f>
        <v>0</v>
      </c>
      <c r="Q602" s="6" t="n">
        <f aca="false">F602</f>
        <v>0</v>
      </c>
      <c r="R602" s="6" t="n">
        <f aca="false">G602</f>
        <v>0</v>
      </c>
      <c r="S602" s="6" t="n">
        <f aca="false">H602</f>
        <v>0</v>
      </c>
      <c r="T602" s="6" t="n">
        <f aca="false">I602</f>
        <v>0</v>
      </c>
      <c r="U602" s="6" t="n">
        <f aca="false">L602</f>
        <v>0</v>
      </c>
      <c r="W602" s="6" t="n">
        <f aca="false">D602</f>
        <v>4.718571429</v>
      </c>
      <c r="X602" s="6" t="n">
        <f aca="false">E602</f>
        <v>0</v>
      </c>
      <c r="Y602" s="6" t="n">
        <f aca="false">F602</f>
        <v>0</v>
      </c>
      <c r="Z602" s="6" t="n">
        <f aca="false">L602</f>
        <v>0</v>
      </c>
      <c r="AA602" s="6" t="n">
        <f aca="false">G602</f>
        <v>0</v>
      </c>
      <c r="AC602" s="6" t="n">
        <f aca="false">D602</f>
        <v>4.718571429</v>
      </c>
      <c r="AD602" s="6" t="n">
        <f aca="false">E602</f>
        <v>0</v>
      </c>
      <c r="AE602" s="6" t="n">
        <f aca="false">G602</f>
        <v>0</v>
      </c>
      <c r="AF602" s="6" t="n">
        <f aca="false">H602</f>
        <v>0</v>
      </c>
      <c r="AG602" s="6" t="n">
        <f aca="false">I602</f>
        <v>0</v>
      </c>
      <c r="AH602" s="6" t="n">
        <f aca="false">L602</f>
        <v>0</v>
      </c>
    </row>
    <row r="603" customFormat="false" ht="15" hidden="false" customHeight="false" outlineLevel="0" collapsed="false">
      <c r="A603" s="0" t="str">
        <f aca="false">'Raw Data'!C603</f>
        <v>West Hartford</v>
      </c>
      <c r="B603" s="5" t="n">
        <f aca="false">'Raw Data'!A603</f>
        <v>40351</v>
      </c>
      <c r="C603" s="6" t="n">
        <f aca="false">'Raw Data'!D603</f>
        <v>150.174107786752</v>
      </c>
      <c r="D603" s="6" t="n">
        <f aca="false">'Raw Data'!E603</f>
        <v>4.718571429</v>
      </c>
      <c r="E603" s="6" t="n">
        <f aca="false">'Raw Data'!F603</f>
        <v>0</v>
      </c>
      <c r="F603" s="6" t="n">
        <f aca="false">'Raw Data'!G603</f>
        <v>0</v>
      </c>
      <c r="G603" s="6" t="n">
        <f aca="false">'Raw Data'!H603</f>
        <v>0</v>
      </c>
      <c r="H603" s="6" t="n">
        <f aca="false">'Raw Data'!I603</f>
        <v>0</v>
      </c>
      <c r="I603" s="6" t="n">
        <f aca="false">'Raw Data'!J603</f>
        <v>0</v>
      </c>
      <c r="J603" s="6" t="n">
        <f aca="false">'Raw Data'!K603</f>
        <v>2</v>
      </c>
      <c r="K603" s="6" t="n">
        <f aca="false">'Raw Data'!L603</f>
        <v>3</v>
      </c>
      <c r="L603" s="6" t="n">
        <f aca="false">F603*E603</f>
        <v>0</v>
      </c>
      <c r="N603" s="0" t="n">
        <v>1</v>
      </c>
      <c r="O603" s="6" t="n">
        <f aca="false">D603</f>
        <v>4.718571429</v>
      </c>
      <c r="P603" s="6" t="n">
        <f aca="false">E603</f>
        <v>0</v>
      </c>
      <c r="Q603" s="6" t="n">
        <f aca="false">F603</f>
        <v>0</v>
      </c>
      <c r="R603" s="6" t="n">
        <f aca="false">G603</f>
        <v>0</v>
      </c>
      <c r="S603" s="6" t="n">
        <f aca="false">H603</f>
        <v>0</v>
      </c>
      <c r="T603" s="6" t="n">
        <f aca="false">I603</f>
        <v>0</v>
      </c>
      <c r="U603" s="6" t="n">
        <f aca="false">L603</f>
        <v>0</v>
      </c>
      <c r="W603" s="6" t="n">
        <f aca="false">D603</f>
        <v>4.718571429</v>
      </c>
      <c r="X603" s="6" t="n">
        <f aca="false">E603</f>
        <v>0</v>
      </c>
      <c r="Y603" s="6" t="n">
        <f aca="false">F603</f>
        <v>0</v>
      </c>
      <c r="Z603" s="6" t="n">
        <f aca="false">L603</f>
        <v>0</v>
      </c>
      <c r="AA603" s="6" t="n">
        <f aca="false">G603</f>
        <v>0</v>
      </c>
      <c r="AC603" s="6" t="n">
        <f aca="false">D603</f>
        <v>4.718571429</v>
      </c>
      <c r="AD603" s="6" t="n">
        <f aca="false">E603</f>
        <v>0</v>
      </c>
      <c r="AE603" s="6" t="n">
        <f aca="false">G603</f>
        <v>0</v>
      </c>
      <c r="AF603" s="6" t="n">
        <f aca="false">H603</f>
        <v>0</v>
      </c>
      <c r="AG603" s="6" t="n">
        <f aca="false">I603</f>
        <v>0</v>
      </c>
      <c r="AH603" s="6" t="n">
        <f aca="false">L603</f>
        <v>0</v>
      </c>
    </row>
    <row r="604" customFormat="false" ht="15" hidden="false" customHeight="false" outlineLevel="0" collapsed="false">
      <c r="A604" s="0" t="str">
        <f aca="false">'Raw Data'!C604</f>
        <v>West Hartford</v>
      </c>
      <c r="B604" s="5" t="n">
        <f aca="false">'Raw Data'!A604</f>
        <v>40358</v>
      </c>
      <c r="C604" s="6" t="n">
        <f aca="false">'Raw Data'!D604</f>
        <v>222.385792857827</v>
      </c>
      <c r="D604" s="6" t="n">
        <f aca="false">'Raw Data'!E604</f>
        <v>4.718571429</v>
      </c>
      <c r="E604" s="6" t="n">
        <f aca="false">'Raw Data'!F604</f>
        <v>0</v>
      </c>
      <c r="F604" s="6" t="n">
        <f aca="false">'Raw Data'!G604</f>
        <v>0</v>
      </c>
      <c r="G604" s="6" t="n">
        <f aca="false">'Raw Data'!H604</f>
        <v>0</v>
      </c>
      <c r="H604" s="6" t="n">
        <f aca="false">'Raw Data'!I604</f>
        <v>0</v>
      </c>
      <c r="I604" s="6" t="n">
        <f aca="false">'Raw Data'!J604</f>
        <v>0</v>
      </c>
      <c r="J604" s="6" t="n">
        <f aca="false">'Raw Data'!K604</f>
        <v>2</v>
      </c>
      <c r="K604" s="6" t="n">
        <f aca="false">'Raw Data'!L604</f>
        <v>3</v>
      </c>
      <c r="L604" s="6" t="n">
        <f aca="false">F604*E604</f>
        <v>0</v>
      </c>
      <c r="N604" s="0" t="n">
        <v>1</v>
      </c>
      <c r="O604" s="6" t="n">
        <f aca="false">D604</f>
        <v>4.718571429</v>
      </c>
      <c r="P604" s="6" t="n">
        <f aca="false">E604</f>
        <v>0</v>
      </c>
      <c r="Q604" s="6" t="n">
        <f aca="false">F604</f>
        <v>0</v>
      </c>
      <c r="R604" s="6" t="n">
        <f aca="false">G604</f>
        <v>0</v>
      </c>
      <c r="S604" s="6" t="n">
        <f aca="false">H604</f>
        <v>0</v>
      </c>
      <c r="T604" s="6" t="n">
        <f aca="false">I604</f>
        <v>0</v>
      </c>
      <c r="U604" s="6" t="n">
        <f aca="false">L604</f>
        <v>0</v>
      </c>
      <c r="W604" s="6" t="n">
        <f aca="false">D604</f>
        <v>4.718571429</v>
      </c>
      <c r="X604" s="6" t="n">
        <f aca="false">E604</f>
        <v>0</v>
      </c>
      <c r="Y604" s="6" t="n">
        <f aca="false">F604</f>
        <v>0</v>
      </c>
      <c r="Z604" s="6" t="n">
        <f aca="false">L604</f>
        <v>0</v>
      </c>
      <c r="AA604" s="6" t="n">
        <f aca="false">G604</f>
        <v>0</v>
      </c>
      <c r="AC604" s="6" t="n">
        <f aca="false">D604</f>
        <v>4.718571429</v>
      </c>
      <c r="AD604" s="6" t="n">
        <f aca="false">E604</f>
        <v>0</v>
      </c>
      <c r="AE604" s="6" t="n">
        <f aca="false">G604</f>
        <v>0</v>
      </c>
      <c r="AF604" s="6" t="n">
        <f aca="false">H604</f>
        <v>0</v>
      </c>
      <c r="AG604" s="6" t="n">
        <f aca="false">I604</f>
        <v>0</v>
      </c>
      <c r="AH604" s="6" t="n">
        <f aca="false">L604</f>
        <v>0</v>
      </c>
    </row>
    <row r="605" customFormat="false" ht="15" hidden="false" customHeight="false" outlineLevel="0" collapsed="false">
      <c r="A605" s="0" t="str">
        <f aca="false">'Raw Data'!C605</f>
        <v>West Hartford</v>
      </c>
      <c r="B605" s="5" t="n">
        <f aca="false">'Raw Data'!A605</f>
        <v>40365</v>
      </c>
      <c r="C605" s="6" t="n">
        <f aca="false">'Raw Data'!D605</f>
        <v>128.870545870174</v>
      </c>
      <c r="D605" s="6" t="n">
        <f aca="false">'Raw Data'!E605</f>
        <v>4.345</v>
      </c>
      <c r="E605" s="6" t="n">
        <f aca="false">'Raw Data'!F605</f>
        <v>0</v>
      </c>
      <c r="F605" s="6" t="n">
        <f aca="false">'Raw Data'!G605</f>
        <v>0</v>
      </c>
      <c r="G605" s="6" t="n">
        <f aca="false">'Raw Data'!H605</f>
        <v>0</v>
      </c>
      <c r="H605" s="6" t="n">
        <f aca="false">'Raw Data'!I605</f>
        <v>0</v>
      </c>
      <c r="I605" s="6" t="n">
        <f aca="false">'Raw Data'!J605</f>
        <v>0</v>
      </c>
      <c r="J605" s="6" t="n">
        <f aca="false">'Raw Data'!K605</f>
        <v>2</v>
      </c>
      <c r="K605" s="6" t="n">
        <f aca="false">'Raw Data'!L605</f>
        <v>3</v>
      </c>
      <c r="L605" s="6" t="n">
        <f aca="false">F605*E605</f>
        <v>0</v>
      </c>
      <c r="N605" s="0" t="n">
        <v>1</v>
      </c>
      <c r="O605" s="6" t="n">
        <f aca="false">D605</f>
        <v>4.345</v>
      </c>
      <c r="P605" s="6" t="n">
        <f aca="false">E605</f>
        <v>0</v>
      </c>
      <c r="Q605" s="6" t="n">
        <f aca="false">F605</f>
        <v>0</v>
      </c>
      <c r="R605" s="6" t="n">
        <f aca="false">G605</f>
        <v>0</v>
      </c>
      <c r="S605" s="6" t="n">
        <f aca="false">H605</f>
        <v>0</v>
      </c>
      <c r="T605" s="6" t="n">
        <f aca="false">I605</f>
        <v>0</v>
      </c>
      <c r="U605" s="6" t="n">
        <f aca="false">L605</f>
        <v>0</v>
      </c>
      <c r="W605" s="6" t="n">
        <f aca="false">D605</f>
        <v>4.345</v>
      </c>
      <c r="X605" s="6" t="n">
        <f aca="false">E605</f>
        <v>0</v>
      </c>
      <c r="Y605" s="6" t="n">
        <f aca="false">F605</f>
        <v>0</v>
      </c>
      <c r="Z605" s="6" t="n">
        <f aca="false">L605</f>
        <v>0</v>
      </c>
      <c r="AA605" s="6" t="n">
        <f aca="false">G605</f>
        <v>0</v>
      </c>
      <c r="AC605" s="6" t="n">
        <f aca="false">D605</f>
        <v>4.345</v>
      </c>
      <c r="AD605" s="6" t="n">
        <f aca="false">E605</f>
        <v>0</v>
      </c>
      <c r="AE605" s="6" t="n">
        <f aca="false">G605</f>
        <v>0</v>
      </c>
      <c r="AF605" s="6" t="n">
        <f aca="false">H605</f>
        <v>0</v>
      </c>
      <c r="AG605" s="6" t="n">
        <f aca="false">I605</f>
        <v>0</v>
      </c>
      <c r="AH605" s="6" t="n">
        <f aca="false">L605</f>
        <v>0</v>
      </c>
    </row>
    <row r="606" customFormat="false" ht="15" hidden="false" customHeight="false" outlineLevel="0" collapsed="false">
      <c r="A606" s="0" t="str">
        <f aca="false">'Raw Data'!C606</f>
        <v>West Hartford</v>
      </c>
      <c r="B606" s="5" t="n">
        <f aca="false">'Raw Data'!A606</f>
        <v>40372</v>
      </c>
      <c r="C606" s="6" t="n">
        <f aca="false">'Raw Data'!D606</f>
        <v>192.985990285985</v>
      </c>
      <c r="D606" s="6" t="n">
        <f aca="false">'Raw Data'!E606</f>
        <v>3.722857143</v>
      </c>
      <c r="E606" s="6" t="n">
        <f aca="false">'Raw Data'!F606</f>
        <v>0</v>
      </c>
      <c r="F606" s="6" t="n">
        <f aca="false">'Raw Data'!G606</f>
        <v>0</v>
      </c>
      <c r="G606" s="6" t="n">
        <f aca="false">'Raw Data'!H606</f>
        <v>0</v>
      </c>
      <c r="H606" s="6" t="n">
        <f aca="false">'Raw Data'!I606</f>
        <v>0</v>
      </c>
      <c r="I606" s="6" t="n">
        <f aca="false">'Raw Data'!J606</f>
        <v>0</v>
      </c>
      <c r="J606" s="6" t="n">
        <f aca="false">'Raw Data'!K606</f>
        <v>2</v>
      </c>
      <c r="K606" s="6" t="n">
        <f aca="false">'Raw Data'!L606</f>
        <v>3</v>
      </c>
      <c r="L606" s="6" t="n">
        <f aca="false">F606*E606</f>
        <v>0</v>
      </c>
      <c r="N606" s="0" t="n">
        <v>1</v>
      </c>
      <c r="O606" s="6" t="n">
        <f aca="false">D606</f>
        <v>3.722857143</v>
      </c>
      <c r="P606" s="6" t="n">
        <f aca="false">E606</f>
        <v>0</v>
      </c>
      <c r="Q606" s="6" t="n">
        <f aca="false">F606</f>
        <v>0</v>
      </c>
      <c r="R606" s="6" t="n">
        <f aca="false">G606</f>
        <v>0</v>
      </c>
      <c r="S606" s="6" t="n">
        <f aca="false">H606</f>
        <v>0</v>
      </c>
      <c r="T606" s="6" t="n">
        <f aca="false">I606</f>
        <v>0</v>
      </c>
      <c r="U606" s="6" t="n">
        <f aca="false">L606</f>
        <v>0</v>
      </c>
      <c r="W606" s="6" t="n">
        <f aca="false">D606</f>
        <v>3.722857143</v>
      </c>
      <c r="X606" s="6" t="n">
        <f aca="false">E606</f>
        <v>0</v>
      </c>
      <c r="Y606" s="6" t="n">
        <f aca="false">F606</f>
        <v>0</v>
      </c>
      <c r="Z606" s="6" t="n">
        <f aca="false">L606</f>
        <v>0</v>
      </c>
      <c r="AA606" s="6" t="n">
        <f aca="false">G606</f>
        <v>0</v>
      </c>
      <c r="AC606" s="6" t="n">
        <f aca="false">D606</f>
        <v>3.722857143</v>
      </c>
      <c r="AD606" s="6" t="n">
        <f aca="false">E606</f>
        <v>0</v>
      </c>
      <c r="AE606" s="6" t="n">
        <f aca="false">G606</f>
        <v>0</v>
      </c>
      <c r="AF606" s="6" t="n">
        <f aca="false">H606</f>
        <v>0</v>
      </c>
      <c r="AG606" s="6" t="n">
        <f aca="false">I606</f>
        <v>0</v>
      </c>
      <c r="AH606" s="6" t="n">
        <f aca="false">L606</f>
        <v>0</v>
      </c>
    </row>
    <row r="607" customFormat="false" ht="15" hidden="false" customHeight="false" outlineLevel="0" collapsed="false">
      <c r="A607" s="0" t="str">
        <f aca="false">'Raw Data'!C607</f>
        <v>Woburn</v>
      </c>
      <c r="B607" s="5" t="n">
        <f aca="false">'Raw Data'!A607</f>
        <v>40302</v>
      </c>
      <c r="C607" s="6" t="n">
        <f aca="false">'Raw Data'!D607</f>
        <v>228.230214360368</v>
      </c>
      <c r="D607" s="6" t="n">
        <f aca="false">'Raw Data'!E607</f>
        <v>4.204285714</v>
      </c>
      <c r="E607" s="6" t="n">
        <f aca="false">'Raw Data'!F607</f>
        <v>0</v>
      </c>
      <c r="F607" s="6" t="n">
        <f aca="false">'Raw Data'!G607</f>
        <v>0</v>
      </c>
      <c r="G607" s="6" t="n">
        <f aca="false">'Raw Data'!H607</f>
        <v>0</v>
      </c>
      <c r="H607" s="6" t="n">
        <f aca="false">'Raw Data'!I607</f>
        <v>0</v>
      </c>
      <c r="I607" s="6" t="n">
        <f aca="false">'Raw Data'!J607</f>
        <v>0</v>
      </c>
      <c r="J607" s="6" t="n">
        <f aca="false">'Raw Data'!K607</f>
        <v>3</v>
      </c>
      <c r="K607" s="6" t="n">
        <f aca="false">'Raw Data'!L607</f>
        <v>3</v>
      </c>
      <c r="L607" s="6" t="n">
        <f aca="false">F607*E607</f>
        <v>0</v>
      </c>
      <c r="N607" s="0" t="n">
        <v>1</v>
      </c>
      <c r="O607" s="6" t="n">
        <f aca="false">D607</f>
        <v>4.204285714</v>
      </c>
      <c r="P607" s="6" t="n">
        <f aca="false">E607</f>
        <v>0</v>
      </c>
      <c r="Q607" s="6" t="n">
        <f aca="false">F607</f>
        <v>0</v>
      </c>
      <c r="R607" s="6" t="n">
        <f aca="false">G607</f>
        <v>0</v>
      </c>
      <c r="S607" s="6" t="n">
        <f aca="false">H607</f>
        <v>0</v>
      </c>
      <c r="T607" s="6" t="n">
        <f aca="false">I607</f>
        <v>0</v>
      </c>
      <c r="U607" s="6" t="n">
        <f aca="false">L607</f>
        <v>0</v>
      </c>
      <c r="W607" s="6" t="n">
        <f aca="false">D607</f>
        <v>4.204285714</v>
      </c>
      <c r="X607" s="6" t="n">
        <f aca="false">E607</f>
        <v>0</v>
      </c>
      <c r="Y607" s="6" t="n">
        <f aca="false">F607</f>
        <v>0</v>
      </c>
      <c r="Z607" s="6" t="n">
        <f aca="false">L607</f>
        <v>0</v>
      </c>
      <c r="AA607" s="6" t="n">
        <f aca="false">G607</f>
        <v>0</v>
      </c>
      <c r="AC607" s="6" t="n">
        <f aca="false">D607</f>
        <v>4.204285714</v>
      </c>
      <c r="AD607" s="6" t="n">
        <f aca="false">E607</f>
        <v>0</v>
      </c>
      <c r="AE607" s="6" t="n">
        <f aca="false">G607</f>
        <v>0</v>
      </c>
      <c r="AF607" s="6" t="n">
        <f aca="false">H607</f>
        <v>0</v>
      </c>
      <c r="AG607" s="6" t="n">
        <f aca="false">I607</f>
        <v>0</v>
      </c>
      <c r="AH607" s="6" t="n">
        <f aca="false">L607</f>
        <v>0</v>
      </c>
    </row>
    <row r="608" customFormat="false" ht="15" hidden="false" customHeight="false" outlineLevel="0" collapsed="false">
      <c r="A608" s="0" t="str">
        <f aca="false">'Raw Data'!C608</f>
        <v>Woburn</v>
      </c>
      <c r="B608" s="5" t="n">
        <f aca="false">'Raw Data'!A608</f>
        <v>40309</v>
      </c>
      <c r="C608" s="6" t="n">
        <f aca="false">'Raw Data'!D608</f>
        <v>242.10110366</v>
      </c>
      <c r="D608" s="6" t="n">
        <f aca="false">'Raw Data'!E608</f>
        <v>4.19</v>
      </c>
      <c r="E608" s="6" t="n">
        <f aca="false">'Raw Data'!F608</f>
        <v>0</v>
      </c>
      <c r="F608" s="6" t="n">
        <f aca="false">'Raw Data'!G608</f>
        <v>0</v>
      </c>
      <c r="G608" s="6" t="n">
        <f aca="false">'Raw Data'!H608</f>
        <v>0</v>
      </c>
      <c r="H608" s="6" t="n">
        <f aca="false">'Raw Data'!I608</f>
        <v>0</v>
      </c>
      <c r="I608" s="6" t="n">
        <f aca="false">'Raw Data'!J608</f>
        <v>0</v>
      </c>
      <c r="J608" s="6" t="n">
        <f aca="false">'Raw Data'!K608</f>
        <v>3</v>
      </c>
      <c r="K608" s="6" t="n">
        <f aca="false">'Raw Data'!L608</f>
        <v>3</v>
      </c>
      <c r="L608" s="6" t="n">
        <f aca="false">F608*E608</f>
        <v>0</v>
      </c>
      <c r="N608" s="0" t="n">
        <v>1</v>
      </c>
      <c r="O608" s="6" t="n">
        <f aca="false">D608</f>
        <v>4.19</v>
      </c>
      <c r="P608" s="6" t="n">
        <f aca="false">E608</f>
        <v>0</v>
      </c>
      <c r="Q608" s="6" t="n">
        <f aca="false">F608</f>
        <v>0</v>
      </c>
      <c r="R608" s="6" t="n">
        <f aca="false">G608</f>
        <v>0</v>
      </c>
      <c r="S608" s="6" t="n">
        <f aca="false">H608</f>
        <v>0</v>
      </c>
      <c r="T608" s="6" t="n">
        <f aca="false">I608</f>
        <v>0</v>
      </c>
      <c r="U608" s="6" t="n">
        <f aca="false">L608</f>
        <v>0</v>
      </c>
      <c r="W608" s="6" t="n">
        <f aca="false">D608</f>
        <v>4.19</v>
      </c>
      <c r="X608" s="6" t="n">
        <f aca="false">E608</f>
        <v>0</v>
      </c>
      <c r="Y608" s="6" t="n">
        <f aca="false">F608</f>
        <v>0</v>
      </c>
      <c r="Z608" s="6" t="n">
        <f aca="false">L608</f>
        <v>0</v>
      </c>
      <c r="AA608" s="6" t="n">
        <f aca="false">G608</f>
        <v>0</v>
      </c>
      <c r="AC608" s="6" t="n">
        <f aca="false">D608</f>
        <v>4.19</v>
      </c>
      <c r="AD608" s="6" t="n">
        <f aca="false">E608</f>
        <v>0</v>
      </c>
      <c r="AE608" s="6" t="n">
        <f aca="false">G608</f>
        <v>0</v>
      </c>
      <c r="AF608" s="6" t="n">
        <f aca="false">H608</f>
        <v>0</v>
      </c>
      <c r="AG608" s="6" t="n">
        <f aca="false">I608</f>
        <v>0</v>
      </c>
      <c r="AH608" s="6" t="n">
        <f aca="false">L608</f>
        <v>0</v>
      </c>
    </row>
    <row r="609" customFormat="false" ht="15" hidden="false" customHeight="false" outlineLevel="0" collapsed="false">
      <c r="A609" s="0" t="str">
        <f aca="false">'Raw Data'!C609</f>
        <v>Woburn</v>
      </c>
      <c r="B609" s="5" t="n">
        <f aca="false">'Raw Data'!A609</f>
        <v>40316</v>
      </c>
      <c r="C609" s="6" t="n">
        <f aca="false">'Raw Data'!D609</f>
        <v>251.043064599515</v>
      </c>
      <c r="D609" s="6" t="n">
        <f aca="false">'Raw Data'!E609</f>
        <v>3.861428571</v>
      </c>
      <c r="E609" s="6" t="n">
        <f aca="false">'Raw Data'!F609</f>
        <v>0</v>
      </c>
      <c r="F609" s="6" t="n">
        <f aca="false">'Raw Data'!G609</f>
        <v>0</v>
      </c>
      <c r="G609" s="6" t="n">
        <f aca="false">'Raw Data'!H609</f>
        <v>0</v>
      </c>
      <c r="H609" s="6" t="n">
        <f aca="false">'Raw Data'!I609</f>
        <v>0</v>
      </c>
      <c r="I609" s="6" t="n">
        <f aca="false">'Raw Data'!J609</f>
        <v>0</v>
      </c>
      <c r="J609" s="6" t="n">
        <f aca="false">'Raw Data'!K609</f>
        <v>3</v>
      </c>
      <c r="K609" s="6" t="n">
        <f aca="false">'Raw Data'!L609</f>
        <v>3</v>
      </c>
      <c r="L609" s="6" t="n">
        <f aca="false">F609*E609</f>
        <v>0</v>
      </c>
      <c r="N609" s="0" t="n">
        <v>1</v>
      </c>
      <c r="O609" s="6" t="n">
        <f aca="false">D609</f>
        <v>3.861428571</v>
      </c>
      <c r="P609" s="6" t="n">
        <f aca="false">E609</f>
        <v>0</v>
      </c>
      <c r="Q609" s="6" t="n">
        <f aca="false">F609</f>
        <v>0</v>
      </c>
      <c r="R609" s="6" t="n">
        <f aca="false">G609</f>
        <v>0</v>
      </c>
      <c r="S609" s="6" t="n">
        <f aca="false">H609</f>
        <v>0</v>
      </c>
      <c r="T609" s="6" t="n">
        <f aca="false">I609</f>
        <v>0</v>
      </c>
      <c r="U609" s="6" t="n">
        <f aca="false">L609</f>
        <v>0</v>
      </c>
      <c r="W609" s="6" t="n">
        <f aca="false">D609</f>
        <v>3.861428571</v>
      </c>
      <c r="X609" s="6" t="n">
        <f aca="false">E609</f>
        <v>0</v>
      </c>
      <c r="Y609" s="6" t="n">
        <f aca="false">F609</f>
        <v>0</v>
      </c>
      <c r="Z609" s="6" t="n">
        <f aca="false">L609</f>
        <v>0</v>
      </c>
      <c r="AA609" s="6" t="n">
        <f aca="false">G609</f>
        <v>0</v>
      </c>
      <c r="AC609" s="6" t="n">
        <f aca="false">D609</f>
        <v>3.861428571</v>
      </c>
      <c r="AD609" s="6" t="n">
        <f aca="false">E609</f>
        <v>0</v>
      </c>
      <c r="AE609" s="6" t="n">
        <f aca="false">G609</f>
        <v>0</v>
      </c>
      <c r="AF609" s="6" t="n">
        <f aca="false">H609</f>
        <v>0</v>
      </c>
      <c r="AG609" s="6" t="n">
        <f aca="false">I609</f>
        <v>0</v>
      </c>
      <c r="AH609" s="6" t="n">
        <f aca="false">L609</f>
        <v>0</v>
      </c>
    </row>
    <row r="610" customFormat="false" ht="15" hidden="false" customHeight="false" outlineLevel="0" collapsed="false">
      <c r="A610" s="0" t="str">
        <f aca="false">'Raw Data'!C610</f>
        <v>Woburn</v>
      </c>
      <c r="B610" s="5" t="n">
        <f aca="false">'Raw Data'!A610</f>
        <v>40323</v>
      </c>
      <c r="C610" s="6" t="n">
        <f aca="false">'Raw Data'!D610</f>
        <v>189.581955708766</v>
      </c>
      <c r="D610" s="6" t="n">
        <f aca="false">'Raw Data'!E610</f>
        <v>3.861428571</v>
      </c>
      <c r="E610" s="6" t="n">
        <f aca="false">'Raw Data'!F610</f>
        <v>0</v>
      </c>
      <c r="F610" s="6" t="n">
        <f aca="false">'Raw Data'!G610</f>
        <v>0</v>
      </c>
      <c r="G610" s="6" t="n">
        <f aca="false">'Raw Data'!H610</f>
        <v>0</v>
      </c>
      <c r="H610" s="6" t="n">
        <f aca="false">'Raw Data'!I610</f>
        <v>0</v>
      </c>
      <c r="I610" s="6" t="n">
        <f aca="false">'Raw Data'!J610</f>
        <v>0</v>
      </c>
      <c r="J610" s="6" t="n">
        <f aca="false">'Raw Data'!K610</f>
        <v>3</v>
      </c>
      <c r="K610" s="6" t="n">
        <f aca="false">'Raw Data'!L610</f>
        <v>3</v>
      </c>
      <c r="L610" s="6" t="n">
        <f aca="false">F610*E610</f>
        <v>0</v>
      </c>
      <c r="N610" s="0" t="n">
        <v>1</v>
      </c>
      <c r="O610" s="6" t="n">
        <f aca="false">D610</f>
        <v>3.861428571</v>
      </c>
      <c r="P610" s="6" t="n">
        <f aca="false">E610</f>
        <v>0</v>
      </c>
      <c r="Q610" s="6" t="n">
        <f aca="false">F610</f>
        <v>0</v>
      </c>
      <c r="R610" s="6" t="n">
        <f aca="false">G610</f>
        <v>0</v>
      </c>
      <c r="S610" s="6" t="n">
        <f aca="false">H610</f>
        <v>0</v>
      </c>
      <c r="T610" s="6" t="n">
        <f aca="false">I610</f>
        <v>0</v>
      </c>
      <c r="U610" s="6" t="n">
        <f aca="false">L610</f>
        <v>0</v>
      </c>
      <c r="W610" s="6" t="n">
        <f aca="false">D610</f>
        <v>3.861428571</v>
      </c>
      <c r="X610" s="6" t="n">
        <f aca="false">E610</f>
        <v>0</v>
      </c>
      <c r="Y610" s="6" t="n">
        <f aca="false">F610</f>
        <v>0</v>
      </c>
      <c r="Z610" s="6" t="n">
        <f aca="false">L610</f>
        <v>0</v>
      </c>
      <c r="AA610" s="6" t="n">
        <f aca="false">G610</f>
        <v>0</v>
      </c>
      <c r="AC610" s="6" t="n">
        <f aca="false">D610</f>
        <v>3.861428571</v>
      </c>
      <c r="AD610" s="6" t="n">
        <f aca="false">E610</f>
        <v>0</v>
      </c>
      <c r="AE610" s="6" t="n">
        <f aca="false">G610</f>
        <v>0</v>
      </c>
      <c r="AF610" s="6" t="n">
        <f aca="false">H610</f>
        <v>0</v>
      </c>
      <c r="AG610" s="6" t="n">
        <f aca="false">I610</f>
        <v>0</v>
      </c>
      <c r="AH610" s="6" t="n">
        <f aca="false">L610</f>
        <v>0</v>
      </c>
    </row>
    <row r="611" customFormat="false" ht="15" hidden="false" customHeight="false" outlineLevel="0" collapsed="false">
      <c r="A611" s="0" t="str">
        <f aca="false">'Raw Data'!C611</f>
        <v>Woburn</v>
      </c>
      <c r="B611" s="5" t="n">
        <f aca="false">'Raw Data'!A611</f>
        <v>40330</v>
      </c>
      <c r="C611" s="6" t="n">
        <f aca="false">'Raw Data'!D611</f>
        <v>133.330688938241</v>
      </c>
      <c r="D611" s="6" t="n">
        <f aca="false">'Raw Data'!E611</f>
        <v>3.861428571</v>
      </c>
      <c r="E611" s="6" t="n">
        <f aca="false">'Raw Data'!F611</f>
        <v>0</v>
      </c>
      <c r="F611" s="6" t="n">
        <f aca="false">'Raw Data'!G611</f>
        <v>0</v>
      </c>
      <c r="G611" s="6" t="n">
        <f aca="false">'Raw Data'!H611</f>
        <v>0</v>
      </c>
      <c r="H611" s="6" t="n">
        <f aca="false">'Raw Data'!I611</f>
        <v>0</v>
      </c>
      <c r="I611" s="6" t="n">
        <f aca="false">'Raw Data'!J611</f>
        <v>0</v>
      </c>
      <c r="J611" s="6" t="n">
        <f aca="false">'Raw Data'!K611</f>
        <v>3</v>
      </c>
      <c r="K611" s="6" t="n">
        <f aca="false">'Raw Data'!L611</f>
        <v>3</v>
      </c>
      <c r="L611" s="6" t="n">
        <f aca="false">F611*E611</f>
        <v>0</v>
      </c>
      <c r="N611" s="0" t="n">
        <v>1</v>
      </c>
      <c r="O611" s="6" t="n">
        <f aca="false">D611</f>
        <v>3.861428571</v>
      </c>
      <c r="P611" s="6" t="n">
        <f aca="false">E611</f>
        <v>0</v>
      </c>
      <c r="Q611" s="6" t="n">
        <f aca="false">F611</f>
        <v>0</v>
      </c>
      <c r="R611" s="6" t="n">
        <f aca="false">G611</f>
        <v>0</v>
      </c>
      <c r="S611" s="6" t="n">
        <f aca="false">H611</f>
        <v>0</v>
      </c>
      <c r="T611" s="6" t="n">
        <f aca="false">I611</f>
        <v>0</v>
      </c>
      <c r="U611" s="6" t="n">
        <f aca="false">L611</f>
        <v>0</v>
      </c>
      <c r="W611" s="6" t="n">
        <f aca="false">D611</f>
        <v>3.861428571</v>
      </c>
      <c r="X611" s="6" t="n">
        <f aca="false">E611</f>
        <v>0</v>
      </c>
      <c r="Y611" s="6" t="n">
        <f aca="false">F611</f>
        <v>0</v>
      </c>
      <c r="Z611" s="6" t="n">
        <f aca="false">L611</f>
        <v>0</v>
      </c>
      <c r="AA611" s="6" t="n">
        <f aca="false">G611</f>
        <v>0</v>
      </c>
      <c r="AC611" s="6" t="n">
        <f aca="false">D611</f>
        <v>3.861428571</v>
      </c>
      <c r="AD611" s="6" t="n">
        <f aca="false">E611</f>
        <v>0</v>
      </c>
      <c r="AE611" s="6" t="n">
        <f aca="false">G611</f>
        <v>0</v>
      </c>
      <c r="AF611" s="6" t="n">
        <f aca="false">H611</f>
        <v>0</v>
      </c>
      <c r="AG611" s="6" t="n">
        <f aca="false">I611</f>
        <v>0</v>
      </c>
      <c r="AH611" s="6" t="n">
        <f aca="false">L611</f>
        <v>0</v>
      </c>
    </row>
    <row r="612" customFormat="false" ht="15" hidden="false" customHeight="false" outlineLevel="0" collapsed="false">
      <c r="A612" s="0" t="str">
        <f aca="false">'Raw Data'!C612</f>
        <v>Woburn</v>
      </c>
      <c r="B612" s="5" t="n">
        <f aca="false">'Raw Data'!A612</f>
        <v>40337</v>
      </c>
      <c r="C612" s="6" t="n">
        <f aca="false">'Raw Data'!D612</f>
        <v>68.8775792729443</v>
      </c>
      <c r="D612" s="6" t="n">
        <f aca="false">'Raw Data'!E612</f>
        <v>4.19</v>
      </c>
      <c r="E612" s="6" t="n">
        <f aca="false">'Raw Data'!F612</f>
        <v>0</v>
      </c>
      <c r="F612" s="6" t="n">
        <f aca="false">'Raw Data'!G612</f>
        <v>0</v>
      </c>
      <c r="G612" s="6" t="n">
        <f aca="false">'Raw Data'!H612</f>
        <v>0</v>
      </c>
      <c r="H612" s="6" t="n">
        <f aca="false">'Raw Data'!I612</f>
        <v>0</v>
      </c>
      <c r="I612" s="6" t="n">
        <f aca="false">'Raw Data'!J612</f>
        <v>0</v>
      </c>
      <c r="J612" s="6" t="n">
        <f aca="false">'Raw Data'!K612</f>
        <v>3</v>
      </c>
      <c r="K612" s="6" t="n">
        <f aca="false">'Raw Data'!L612</f>
        <v>3</v>
      </c>
      <c r="L612" s="6" t="n">
        <f aca="false">F612*E612</f>
        <v>0</v>
      </c>
      <c r="N612" s="0" t="n">
        <v>1</v>
      </c>
      <c r="O612" s="6" t="n">
        <f aca="false">D612</f>
        <v>4.19</v>
      </c>
      <c r="P612" s="6" t="n">
        <f aca="false">E612</f>
        <v>0</v>
      </c>
      <c r="Q612" s="6" t="n">
        <f aca="false">F612</f>
        <v>0</v>
      </c>
      <c r="R612" s="6" t="n">
        <f aca="false">G612</f>
        <v>0</v>
      </c>
      <c r="S612" s="6" t="n">
        <f aca="false">H612</f>
        <v>0</v>
      </c>
      <c r="T612" s="6" t="n">
        <f aca="false">I612</f>
        <v>0</v>
      </c>
      <c r="U612" s="6" t="n">
        <f aca="false">L612</f>
        <v>0</v>
      </c>
      <c r="W612" s="6" t="n">
        <f aca="false">D612</f>
        <v>4.19</v>
      </c>
      <c r="X612" s="6" t="n">
        <f aca="false">E612</f>
        <v>0</v>
      </c>
      <c r="Y612" s="6" t="n">
        <f aca="false">F612</f>
        <v>0</v>
      </c>
      <c r="Z612" s="6" t="n">
        <f aca="false">L612</f>
        <v>0</v>
      </c>
      <c r="AA612" s="6" t="n">
        <f aca="false">G612</f>
        <v>0</v>
      </c>
      <c r="AC612" s="6" t="n">
        <f aca="false">D612</f>
        <v>4.19</v>
      </c>
      <c r="AD612" s="6" t="n">
        <f aca="false">E612</f>
        <v>0</v>
      </c>
      <c r="AE612" s="6" t="n">
        <f aca="false">G612</f>
        <v>0</v>
      </c>
      <c r="AF612" s="6" t="n">
        <f aca="false">H612</f>
        <v>0</v>
      </c>
      <c r="AG612" s="6" t="n">
        <f aca="false">I612</f>
        <v>0</v>
      </c>
      <c r="AH612" s="6" t="n">
        <f aca="false">L612</f>
        <v>0</v>
      </c>
    </row>
    <row r="613" customFormat="false" ht="15" hidden="false" customHeight="false" outlineLevel="0" collapsed="false">
      <c r="A613" s="0" t="str">
        <f aca="false">'Raw Data'!C613</f>
        <v>Woburn</v>
      </c>
      <c r="B613" s="5" t="n">
        <f aca="false">'Raw Data'!A613</f>
        <v>40344</v>
      </c>
      <c r="C613" s="6" t="n">
        <f aca="false">'Raw Data'!D613</f>
        <v>261.52228220237</v>
      </c>
      <c r="D613" s="6" t="n">
        <f aca="false">'Raw Data'!E613</f>
        <v>4.204285714</v>
      </c>
      <c r="E613" s="6" t="n">
        <f aca="false">'Raw Data'!F613</f>
        <v>0</v>
      </c>
      <c r="F613" s="6" t="n">
        <f aca="false">'Raw Data'!G613</f>
        <v>0</v>
      </c>
      <c r="G613" s="6" t="n">
        <f aca="false">'Raw Data'!H613</f>
        <v>0</v>
      </c>
      <c r="H613" s="6" t="n">
        <f aca="false">'Raw Data'!I613</f>
        <v>0</v>
      </c>
      <c r="I613" s="6" t="n">
        <f aca="false">'Raw Data'!J613</f>
        <v>0</v>
      </c>
      <c r="J613" s="6" t="n">
        <f aca="false">'Raw Data'!K613</f>
        <v>3</v>
      </c>
      <c r="K613" s="6" t="n">
        <f aca="false">'Raw Data'!L613</f>
        <v>3</v>
      </c>
      <c r="L613" s="6" t="n">
        <f aca="false">F613*E613</f>
        <v>0</v>
      </c>
      <c r="N613" s="0" t="n">
        <v>1</v>
      </c>
      <c r="O613" s="6" t="n">
        <f aca="false">D613</f>
        <v>4.204285714</v>
      </c>
      <c r="P613" s="6" t="n">
        <f aca="false">E613</f>
        <v>0</v>
      </c>
      <c r="Q613" s="6" t="n">
        <f aca="false">F613</f>
        <v>0</v>
      </c>
      <c r="R613" s="6" t="n">
        <f aca="false">G613</f>
        <v>0</v>
      </c>
      <c r="S613" s="6" t="n">
        <f aca="false">H613</f>
        <v>0</v>
      </c>
      <c r="T613" s="6" t="n">
        <f aca="false">I613</f>
        <v>0</v>
      </c>
      <c r="U613" s="6" t="n">
        <f aca="false">L613</f>
        <v>0</v>
      </c>
      <c r="W613" s="6" t="n">
        <f aca="false">D613</f>
        <v>4.204285714</v>
      </c>
      <c r="X613" s="6" t="n">
        <f aca="false">E613</f>
        <v>0</v>
      </c>
      <c r="Y613" s="6" t="n">
        <f aca="false">F613</f>
        <v>0</v>
      </c>
      <c r="Z613" s="6" t="n">
        <f aca="false">L613</f>
        <v>0</v>
      </c>
      <c r="AA613" s="6" t="n">
        <f aca="false">G613</f>
        <v>0</v>
      </c>
      <c r="AC613" s="6" t="n">
        <f aca="false">D613</f>
        <v>4.204285714</v>
      </c>
      <c r="AD613" s="6" t="n">
        <f aca="false">E613</f>
        <v>0</v>
      </c>
      <c r="AE613" s="6" t="n">
        <f aca="false">G613</f>
        <v>0</v>
      </c>
      <c r="AF613" s="6" t="n">
        <f aca="false">H613</f>
        <v>0</v>
      </c>
      <c r="AG613" s="6" t="n">
        <f aca="false">I613</f>
        <v>0</v>
      </c>
      <c r="AH613" s="6" t="n">
        <f aca="false">L613</f>
        <v>0</v>
      </c>
    </row>
    <row r="614" customFormat="false" ht="15" hidden="false" customHeight="false" outlineLevel="0" collapsed="false">
      <c r="A614" s="0" t="str">
        <f aca="false">'Raw Data'!C614</f>
        <v>Woburn</v>
      </c>
      <c r="B614" s="5" t="n">
        <f aca="false">'Raw Data'!A614</f>
        <v>40351</v>
      </c>
      <c r="C614" s="6" t="n">
        <f aca="false">'Raw Data'!D614</f>
        <v>91.499003303075</v>
      </c>
      <c r="D614" s="6" t="n">
        <f aca="false">'Raw Data'!E614</f>
        <v>4.204285714</v>
      </c>
      <c r="E614" s="6" t="n">
        <f aca="false">'Raw Data'!F614</f>
        <v>0</v>
      </c>
      <c r="F614" s="6" t="n">
        <f aca="false">'Raw Data'!G614</f>
        <v>0</v>
      </c>
      <c r="G614" s="6" t="n">
        <f aca="false">'Raw Data'!H614</f>
        <v>0</v>
      </c>
      <c r="H614" s="6" t="n">
        <f aca="false">'Raw Data'!I614</f>
        <v>0</v>
      </c>
      <c r="I614" s="6" t="n">
        <f aca="false">'Raw Data'!J614</f>
        <v>0</v>
      </c>
      <c r="J614" s="6" t="n">
        <f aca="false">'Raw Data'!K614</f>
        <v>3</v>
      </c>
      <c r="K614" s="6" t="n">
        <f aca="false">'Raw Data'!L614</f>
        <v>3</v>
      </c>
      <c r="L614" s="6" t="n">
        <f aca="false">F614*E614</f>
        <v>0</v>
      </c>
      <c r="N614" s="0" t="n">
        <v>1</v>
      </c>
      <c r="O614" s="6" t="n">
        <f aca="false">D614</f>
        <v>4.204285714</v>
      </c>
      <c r="P614" s="6" t="n">
        <f aca="false">E614</f>
        <v>0</v>
      </c>
      <c r="Q614" s="6" t="n">
        <f aca="false">F614</f>
        <v>0</v>
      </c>
      <c r="R614" s="6" t="n">
        <f aca="false">G614</f>
        <v>0</v>
      </c>
      <c r="S614" s="6" t="n">
        <f aca="false">H614</f>
        <v>0</v>
      </c>
      <c r="T614" s="6" t="n">
        <f aca="false">I614</f>
        <v>0</v>
      </c>
      <c r="U614" s="6" t="n">
        <f aca="false">L614</f>
        <v>0</v>
      </c>
      <c r="W614" s="6" t="n">
        <f aca="false">D614</f>
        <v>4.204285714</v>
      </c>
      <c r="X614" s="6" t="n">
        <f aca="false">E614</f>
        <v>0</v>
      </c>
      <c r="Y614" s="6" t="n">
        <f aca="false">F614</f>
        <v>0</v>
      </c>
      <c r="Z614" s="6" t="n">
        <f aca="false">L614</f>
        <v>0</v>
      </c>
      <c r="AA614" s="6" t="n">
        <f aca="false">G614</f>
        <v>0</v>
      </c>
      <c r="AC614" s="6" t="n">
        <f aca="false">D614</f>
        <v>4.204285714</v>
      </c>
      <c r="AD614" s="6" t="n">
        <f aca="false">E614</f>
        <v>0</v>
      </c>
      <c r="AE614" s="6" t="n">
        <f aca="false">G614</f>
        <v>0</v>
      </c>
      <c r="AF614" s="6" t="n">
        <f aca="false">H614</f>
        <v>0</v>
      </c>
      <c r="AG614" s="6" t="n">
        <f aca="false">I614</f>
        <v>0</v>
      </c>
      <c r="AH614" s="6" t="n">
        <f aca="false">L614</f>
        <v>0</v>
      </c>
    </row>
    <row r="615" customFormat="false" ht="15" hidden="false" customHeight="false" outlineLevel="0" collapsed="false">
      <c r="A615" s="0" t="str">
        <f aca="false">'Raw Data'!C615</f>
        <v>Woburn</v>
      </c>
      <c r="B615" s="5" t="n">
        <f aca="false">'Raw Data'!A615</f>
        <v>40358</v>
      </c>
      <c r="C615" s="6" t="n">
        <f aca="false">'Raw Data'!D615</f>
        <v>96.4249705067834</v>
      </c>
      <c r="D615" s="6" t="n">
        <f aca="false">'Raw Data'!E615</f>
        <v>4.204285714</v>
      </c>
      <c r="E615" s="6" t="n">
        <f aca="false">'Raw Data'!F615</f>
        <v>0</v>
      </c>
      <c r="F615" s="6" t="n">
        <f aca="false">'Raw Data'!G615</f>
        <v>0</v>
      </c>
      <c r="G615" s="6" t="n">
        <f aca="false">'Raw Data'!H615</f>
        <v>0</v>
      </c>
      <c r="H615" s="6" t="n">
        <f aca="false">'Raw Data'!I615</f>
        <v>0</v>
      </c>
      <c r="I615" s="6" t="n">
        <f aca="false">'Raw Data'!J615</f>
        <v>0</v>
      </c>
      <c r="J615" s="6" t="n">
        <f aca="false">'Raw Data'!K615</f>
        <v>3</v>
      </c>
      <c r="K615" s="6" t="n">
        <f aca="false">'Raw Data'!L615</f>
        <v>3</v>
      </c>
      <c r="L615" s="6" t="n">
        <f aca="false">F615*E615</f>
        <v>0</v>
      </c>
      <c r="N615" s="0" t="n">
        <v>1</v>
      </c>
      <c r="O615" s="6" t="n">
        <f aca="false">D615</f>
        <v>4.204285714</v>
      </c>
      <c r="P615" s="6" t="n">
        <f aca="false">E615</f>
        <v>0</v>
      </c>
      <c r="Q615" s="6" t="n">
        <f aca="false">F615</f>
        <v>0</v>
      </c>
      <c r="R615" s="6" t="n">
        <f aca="false">G615</f>
        <v>0</v>
      </c>
      <c r="S615" s="6" t="n">
        <f aca="false">H615</f>
        <v>0</v>
      </c>
      <c r="T615" s="6" t="n">
        <f aca="false">I615</f>
        <v>0</v>
      </c>
      <c r="U615" s="6" t="n">
        <f aca="false">L615</f>
        <v>0</v>
      </c>
      <c r="W615" s="6" t="n">
        <f aca="false">D615</f>
        <v>4.204285714</v>
      </c>
      <c r="X615" s="6" t="n">
        <f aca="false">E615</f>
        <v>0</v>
      </c>
      <c r="Y615" s="6" t="n">
        <f aca="false">F615</f>
        <v>0</v>
      </c>
      <c r="Z615" s="6" t="n">
        <f aca="false">L615</f>
        <v>0</v>
      </c>
      <c r="AA615" s="6" t="n">
        <f aca="false">G615</f>
        <v>0</v>
      </c>
      <c r="AC615" s="6" t="n">
        <f aca="false">D615</f>
        <v>4.204285714</v>
      </c>
      <c r="AD615" s="6" t="n">
        <f aca="false">E615</f>
        <v>0</v>
      </c>
      <c r="AE615" s="6" t="n">
        <f aca="false">G615</f>
        <v>0</v>
      </c>
      <c r="AF615" s="6" t="n">
        <f aca="false">H615</f>
        <v>0</v>
      </c>
      <c r="AG615" s="6" t="n">
        <f aca="false">I615</f>
        <v>0</v>
      </c>
      <c r="AH615" s="6" t="n">
        <f aca="false">L615</f>
        <v>0</v>
      </c>
    </row>
    <row r="616" customFormat="false" ht="15" hidden="false" customHeight="false" outlineLevel="0" collapsed="false">
      <c r="A616" s="0" t="str">
        <f aca="false">'Raw Data'!C616</f>
        <v>Woburn</v>
      </c>
      <c r="B616" s="5" t="n">
        <f aca="false">'Raw Data'!A616</f>
        <v>40365</v>
      </c>
      <c r="C616" s="6" t="n">
        <f aca="false">'Raw Data'!D616</f>
        <v>177.001646849435</v>
      </c>
      <c r="D616" s="6" t="n">
        <f aca="false">'Raw Data'!E616</f>
        <v>3.78</v>
      </c>
      <c r="E616" s="6" t="n">
        <f aca="false">'Raw Data'!F616</f>
        <v>0</v>
      </c>
      <c r="F616" s="6" t="n">
        <f aca="false">'Raw Data'!G616</f>
        <v>0</v>
      </c>
      <c r="G616" s="6" t="n">
        <f aca="false">'Raw Data'!H616</f>
        <v>0</v>
      </c>
      <c r="H616" s="6" t="n">
        <f aca="false">'Raw Data'!I616</f>
        <v>0</v>
      </c>
      <c r="I616" s="6" t="n">
        <f aca="false">'Raw Data'!J616</f>
        <v>0</v>
      </c>
      <c r="J616" s="6" t="n">
        <f aca="false">'Raw Data'!K616</f>
        <v>3</v>
      </c>
      <c r="K616" s="6" t="n">
        <f aca="false">'Raw Data'!L616</f>
        <v>3</v>
      </c>
      <c r="L616" s="6" t="n">
        <f aca="false">F616*E616</f>
        <v>0</v>
      </c>
      <c r="N616" s="0" t="n">
        <v>1</v>
      </c>
      <c r="O616" s="6" t="n">
        <f aca="false">D616</f>
        <v>3.78</v>
      </c>
      <c r="P616" s="6" t="n">
        <f aca="false">E616</f>
        <v>0</v>
      </c>
      <c r="Q616" s="6" t="n">
        <f aca="false">F616</f>
        <v>0</v>
      </c>
      <c r="R616" s="6" t="n">
        <f aca="false">G616</f>
        <v>0</v>
      </c>
      <c r="S616" s="6" t="n">
        <f aca="false">H616</f>
        <v>0</v>
      </c>
      <c r="T616" s="6" t="n">
        <f aca="false">I616</f>
        <v>0</v>
      </c>
      <c r="U616" s="6" t="n">
        <f aca="false">L616</f>
        <v>0</v>
      </c>
      <c r="W616" s="6" t="n">
        <f aca="false">D616</f>
        <v>3.78</v>
      </c>
      <c r="X616" s="6" t="n">
        <f aca="false">E616</f>
        <v>0</v>
      </c>
      <c r="Y616" s="6" t="n">
        <f aca="false">F616</f>
        <v>0</v>
      </c>
      <c r="Z616" s="6" t="n">
        <f aca="false">L616</f>
        <v>0</v>
      </c>
      <c r="AA616" s="6" t="n">
        <f aca="false">G616</f>
        <v>0</v>
      </c>
      <c r="AC616" s="6" t="n">
        <f aca="false">D616</f>
        <v>3.78</v>
      </c>
      <c r="AD616" s="6" t="n">
        <f aca="false">E616</f>
        <v>0</v>
      </c>
      <c r="AE616" s="6" t="n">
        <f aca="false">G616</f>
        <v>0</v>
      </c>
      <c r="AF616" s="6" t="n">
        <f aca="false">H616</f>
        <v>0</v>
      </c>
      <c r="AG616" s="6" t="n">
        <f aca="false">I616</f>
        <v>0</v>
      </c>
      <c r="AH616" s="6" t="n">
        <f aca="false">L616</f>
        <v>0</v>
      </c>
    </row>
    <row r="617" customFormat="false" ht="15" hidden="false" customHeight="false" outlineLevel="0" collapsed="false">
      <c r="A617" s="0" t="str">
        <f aca="false">'Raw Data'!C617</f>
        <v>Woburn</v>
      </c>
      <c r="B617" s="5" t="n">
        <f aca="false">'Raw Data'!A617</f>
        <v>40372</v>
      </c>
      <c r="C617" s="6" t="n">
        <f aca="false">'Raw Data'!D617</f>
        <v>136.888509701885</v>
      </c>
      <c r="D617" s="6" t="n">
        <f aca="false">'Raw Data'!E617</f>
        <v>3.745</v>
      </c>
      <c r="E617" s="6" t="n">
        <f aca="false">'Raw Data'!F617</f>
        <v>0</v>
      </c>
      <c r="F617" s="6" t="n">
        <f aca="false">'Raw Data'!G617</f>
        <v>0</v>
      </c>
      <c r="G617" s="6" t="n">
        <f aca="false">'Raw Data'!H617</f>
        <v>0</v>
      </c>
      <c r="H617" s="6" t="n">
        <f aca="false">'Raw Data'!I617</f>
        <v>0</v>
      </c>
      <c r="I617" s="6" t="n">
        <f aca="false">'Raw Data'!J617</f>
        <v>0</v>
      </c>
      <c r="J617" s="6" t="n">
        <f aca="false">'Raw Data'!K617</f>
        <v>3</v>
      </c>
      <c r="K617" s="6" t="n">
        <f aca="false">'Raw Data'!L617</f>
        <v>3</v>
      </c>
      <c r="L617" s="6" t="n">
        <f aca="false">F617*E617</f>
        <v>0</v>
      </c>
      <c r="N617" s="0" t="n">
        <v>1</v>
      </c>
      <c r="O617" s="6" t="n">
        <f aca="false">D617</f>
        <v>3.745</v>
      </c>
      <c r="P617" s="6" t="n">
        <f aca="false">E617</f>
        <v>0</v>
      </c>
      <c r="Q617" s="6" t="n">
        <f aca="false">F617</f>
        <v>0</v>
      </c>
      <c r="R617" s="6" t="n">
        <f aca="false">G617</f>
        <v>0</v>
      </c>
      <c r="S617" s="6" t="n">
        <f aca="false">H617</f>
        <v>0</v>
      </c>
      <c r="T617" s="6" t="n">
        <f aca="false">I617</f>
        <v>0</v>
      </c>
      <c r="U617" s="6" t="n">
        <f aca="false">L617</f>
        <v>0</v>
      </c>
      <c r="W617" s="6" t="n">
        <f aca="false">D617</f>
        <v>3.745</v>
      </c>
      <c r="X617" s="6" t="n">
        <f aca="false">E617</f>
        <v>0</v>
      </c>
      <c r="Y617" s="6" t="n">
        <f aca="false">F617</f>
        <v>0</v>
      </c>
      <c r="Z617" s="6" t="n">
        <f aca="false">L617</f>
        <v>0</v>
      </c>
      <c r="AA617" s="6" t="n">
        <f aca="false">G617</f>
        <v>0</v>
      </c>
      <c r="AC617" s="6" t="n">
        <f aca="false">D617</f>
        <v>3.745</v>
      </c>
      <c r="AD617" s="6" t="n">
        <f aca="false">E617</f>
        <v>0</v>
      </c>
      <c r="AE617" s="6" t="n">
        <f aca="false">G617</f>
        <v>0</v>
      </c>
      <c r="AF617" s="6" t="n">
        <f aca="false">H617</f>
        <v>0</v>
      </c>
      <c r="AG617" s="6" t="n">
        <f aca="false">I617</f>
        <v>0</v>
      </c>
      <c r="AH617" s="6" t="n">
        <f aca="false">L617</f>
        <v>0</v>
      </c>
    </row>
    <row r="618" customFormat="false" ht="15" hidden="false" customHeight="false" outlineLevel="0" collapsed="false">
      <c r="A618" s="0" t="str">
        <f aca="false">'Raw Data'!C618</f>
        <v>Fresno</v>
      </c>
      <c r="B618" s="5" t="n">
        <f aca="false">'Raw Data'!A618</f>
        <v>40302</v>
      </c>
      <c r="C618" s="6" t="n">
        <f aca="false">'Raw Data'!D618</f>
        <v>194.926799376765</v>
      </c>
      <c r="D618" s="6" t="n">
        <f aca="false">'Raw Data'!E618</f>
        <v>4.504285714</v>
      </c>
      <c r="E618" s="6" t="n">
        <f aca="false">'Raw Data'!F618</f>
        <v>1</v>
      </c>
      <c r="F618" s="6" t="n">
        <f aca="false">'Raw Data'!G618</f>
        <v>0</v>
      </c>
      <c r="G618" s="6" t="n">
        <f aca="false">'Raw Data'!H618</f>
        <v>0</v>
      </c>
      <c r="H618" s="6" t="n">
        <f aca="false">'Raw Data'!I618</f>
        <v>0</v>
      </c>
      <c r="I618" s="6" t="n">
        <f aca="false">'Raw Data'!J618</f>
        <v>0</v>
      </c>
      <c r="J618" s="6" t="n">
        <f aca="false">'Raw Data'!K618</f>
        <v>2</v>
      </c>
      <c r="K618" s="6" t="n">
        <f aca="false">'Raw Data'!L618</f>
        <v>0</v>
      </c>
      <c r="L618" s="6" t="n">
        <f aca="false">F618*E618</f>
        <v>0</v>
      </c>
      <c r="N618" s="0" t="n">
        <v>1</v>
      </c>
      <c r="O618" s="6" t="n">
        <f aca="false">D618</f>
        <v>4.504285714</v>
      </c>
      <c r="P618" s="6" t="n">
        <f aca="false">E618</f>
        <v>1</v>
      </c>
      <c r="Q618" s="6" t="n">
        <f aca="false">F618</f>
        <v>0</v>
      </c>
      <c r="R618" s="6" t="n">
        <f aca="false">G618</f>
        <v>0</v>
      </c>
      <c r="S618" s="6" t="n">
        <f aca="false">H618</f>
        <v>0</v>
      </c>
      <c r="T618" s="6" t="n">
        <f aca="false">I618</f>
        <v>0</v>
      </c>
      <c r="U618" s="6" t="n">
        <f aca="false">L618</f>
        <v>0</v>
      </c>
      <c r="W618" s="6" t="n">
        <f aca="false">D618</f>
        <v>4.504285714</v>
      </c>
      <c r="X618" s="6" t="n">
        <f aca="false">E618</f>
        <v>1</v>
      </c>
      <c r="Y618" s="6" t="n">
        <f aca="false">F618</f>
        <v>0</v>
      </c>
      <c r="Z618" s="6" t="n">
        <f aca="false">L618</f>
        <v>0</v>
      </c>
      <c r="AA618" s="6" t="n">
        <f aca="false">G618</f>
        <v>0</v>
      </c>
      <c r="AC618" s="6" t="n">
        <f aca="false">D618</f>
        <v>4.504285714</v>
      </c>
      <c r="AD618" s="6" t="n">
        <f aca="false">E618</f>
        <v>1</v>
      </c>
      <c r="AE618" s="6" t="n">
        <f aca="false">G618</f>
        <v>0</v>
      </c>
      <c r="AF618" s="6" t="n">
        <f aca="false">H618</f>
        <v>0</v>
      </c>
      <c r="AG618" s="6" t="n">
        <f aca="false">I618</f>
        <v>0</v>
      </c>
      <c r="AH618" s="6" t="n">
        <f aca="false">L618</f>
        <v>0</v>
      </c>
    </row>
    <row r="619" customFormat="false" ht="15" hidden="false" customHeight="false" outlineLevel="0" collapsed="false">
      <c r="A619" s="0" t="str">
        <f aca="false">'Raw Data'!C619</f>
        <v>Fresno</v>
      </c>
      <c r="B619" s="5" t="n">
        <f aca="false">'Raw Data'!A619</f>
        <v>40309</v>
      </c>
      <c r="C619" s="6" t="n">
        <f aca="false">'Raw Data'!D619</f>
        <v>215.841633870839</v>
      </c>
      <c r="D619" s="6" t="n">
        <f aca="false">'Raw Data'!E619</f>
        <v>4.59</v>
      </c>
      <c r="E619" s="6" t="n">
        <f aca="false">'Raw Data'!F619</f>
        <v>1</v>
      </c>
      <c r="F619" s="6" t="n">
        <f aca="false">'Raw Data'!G619</f>
        <v>0</v>
      </c>
      <c r="G619" s="6" t="n">
        <f aca="false">'Raw Data'!H619</f>
        <v>0</v>
      </c>
      <c r="H619" s="6" t="n">
        <f aca="false">'Raw Data'!I619</f>
        <v>0</v>
      </c>
      <c r="I619" s="6" t="n">
        <f aca="false">'Raw Data'!J619</f>
        <v>0</v>
      </c>
      <c r="J619" s="6" t="n">
        <f aca="false">'Raw Data'!K619</f>
        <v>2</v>
      </c>
      <c r="K619" s="6" t="n">
        <f aca="false">'Raw Data'!L619</f>
        <v>0</v>
      </c>
      <c r="L619" s="6" t="n">
        <f aca="false">F619*E619</f>
        <v>0</v>
      </c>
      <c r="N619" s="0" t="n">
        <v>1</v>
      </c>
      <c r="O619" s="6" t="n">
        <f aca="false">D619</f>
        <v>4.59</v>
      </c>
      <c r="P619" s="6" t="n">
        <f aca="false">E619</f>
        <v>1</v>
      </c>
      <c r="Q619" s="6" t="n">
        <f aca="false">F619</f>
        <v>0</v>
      </c>
      <c r="R619" s="6" t="n">
        <f aca="false">G619</f>
        <v>0</v>
      </c>
      <c r="S619" s="6" t="n">
        <f aca="false">H619</f>
        <v>0</v>
      </c>
      <c r="T619" s="6" t="n">
        <f aca="false">I619</f>
        <v>0</v>
      </c>
      <c r="U619" s="6" t="n">
        <f aca="false">L619</f>
        <v>0</v>
      </c>
      <c r="W619" s="6" t="n">
        <f aca="false">D619</f>
        <v>4.59</v>
      </c>
      <c r="X619" s="6" t="n">
        <f aca="false">E619</f>
        <v>1</v>
      </c>
      <c r="Y619" s="6" t="n">
        <f aca="false">F619</f>
        <v>0</v>
      </c>
      <c r="Z619" s="6" t="n">
        <f aca="false">L619</f>
        <v>0</v>
      </c>
      <c r="AA619" s="6" t="n">
        <f aca="false">G619</f>
        <v>0</v>
      </c>
      <c r="AC619" s="6" t="n">
        <f aca="false">D619</f>
        <v>4.59</v>
      </c>
      <c r="AD619" s="6" t="n">
        <f aca="false">E619</f>
        <v>1</v>
      </c>
      <c r="AE619" s="6" t="n">
        <f aca="false">G619</f>
        <v>0</v>
      </c>
      <c r="AF619" s="6" t="n">
        <f aca="false">H619</f>
        <v>0</v>
      </c>
      <c r="AG619" s="6" t="n">
        <f aca="false">I619</f>
        <v>0</v>
      </c>
      <c r="AH619" s="6" t="n">
        <f aca="false">L619</f>
        <v>0</v>
      </c>
    </row>
    <row r="620" customFormat="false" ht="15" hidden="false" customHeight="false" outlineLevel="0" collapsed="false">
      <c r="A620" s="0" t="str">
        <f aca="false">'Raw Data'!C620</f>
        <v>Fresno</v>
      </c>
      <c r="B620" s="5" t="n">
        <f aca="false">'Raw Data'!A620</f>
        <v>40316</v>
      </c>
      <c r="C620" s="6" t="n">
        <f aca="false">'Raw Data'!D620</f>
        <v>336.954932688983</v>
      </c>
      <c r="D620" s="6" t="n">
        <f aca="false">'Raw Data'!E620</f>
        <v>4.39</v>
      </c>
      <c r="E620" s="6" t="n">
        <f aca="false">'Raw Data'!F620</f>
        <v>1</v>
      </c>
      <c r="F620" s="6" t="n">
        <f aca="false">'Raw Data'!G620</f>
        <v>0</v>
      </c>
      <c r="G620" s="6" t="n">
        <f aca="false">'Raw Data'!H620</f>
        <v>0</v>
      </c>
      <c r="H620" s="6" t="n">
        <f aca="false">'Raw Data'!I620</f>
        <v>0</v>
      </c>
      <c r="I620" s="6" t="n">
        <f aca="false">'Raw Data'!J620</f>
        <v>0</v>
      </c>
      <c r="J620" s="6" t="n">
        <f aca="false">'Raw Data'!K620</f>
        <v>2</v>
      </c>
      <c r="K620" s="6" t="n">
        <f aca="false">'Raw Data'!L620</f>
        <v>0</v>
      </c>
      <c r="L620" s="6" t="n">
        <f aca="false">F620*E620</f>
        <v>0</v>
      </c>
      <c r="N620" s="0" t="n">
        <v>1</v>
      </c>
      <c r="O620" s="6" t="n">
        <f aca="false">D620</f>
        <v>4.39</v>
      </c>
      <c r="P620" s="6" t="n">
        <f aca="false">E620</f>
        <v>1</v>
      </c>
      <c r="Q620" s="6" t="n">
        <f aca="false">F620</f>
        <v>0</v>
      </c>
      <c r="R620" s="6" t="n">
        <f aca="false">G620</f>
        <v>0</v>
      </c>
      <c r="S620" s="6" t="n">
        <f aca="false">H620</f>
        <v>0</v>
      </c>
      <c r="T620" s="6" t="n">
        <f aca="false">I620</f>
        <v>0</v>
      </c>
      <c r="U620" s="6" t="n">
        <f aca="false">L620</f>
        <v>0</v>
      </c>
      <c r="W620" s="6" t="n">
        <f aca="false">D620</f>
        <v>4.39</v>
      </c>
      <c r="X620" s="6" t="n">
        <f aca="false">E620</f>
        <v>1</v>
      </c>
      <c r="Y620" s="6" t="n">
        <f aca="false">F620</f>
        <v>0</v>
      </c>
      <c r="Z620" s="6" t="n">
        <f aca="false">L620</f>
        <v>0</v>
      </c>
      <c r="AA620" s="6" t="n">
        <f aca="false">G620</f>
        <v>0</v>
      </c>
      <c r="AC620" s="6" t="n">
        <f aca="false">D620</f>
        <v>4.39</v>
      </c>
      <c r="AD620" s="6" t="n">
        <f aca="false">E620</f>
        <v>1</v>
      </c>
      <c r="AE620" s="6" t="n">
        <f aca="false">G620</f>
        <v>0</v>
      </c>
      <c r="AF620" s="6" t="n">
        <f aca="false">H620</f>
        <v>0</v>
      </c>
      <c r="AG620" s="6" t="n">
        <f aca="false">I620</f>
        <v>0</v>
      </c>
      <c r="AH620" s="6" t="n">
        <f aca="false">L620</f>
        <v>0</v>
      </c>
    </row>
    <row r="621" customFormat="false" ht="15" hidden="false" customHeight="false" outlineLevel="0" collapsed="false">
      <c r="A621" s="0" t="str">
        <f aca="false">'Raw Data'!C621</f>
        <v>Fresno</v>
      </c>
      <c r="B621" s="5" t="n">
        <f aca="false">'Raw Data'!A621</f>
        <v>40323</v>
      </c>
      <c r="C621" s="6" t="n">
        <f aca="false">'Raw Data'!D621</f>
        <v>225.762943261431</v>
      </c>
      <c r="D621" s="6" t="n">
        <f aca="false">'Raw Data'!E621</f>
        <v>4.123333333</v>
      </c>
      <c r="E621" s="6" t="n">
        <f aca="false">'Raw Data'!F621</f>
        <v>1</v>
      </c>
      <c r="F621" s="6" t="n">
        <f aca="false">'Raw Data'!G621</f>
        <v>0</v>
      </c>
      <c r="G621" s="6" t="n">
        <f aca="false">'Raw Data'!H621</f>
        <v>0</v>
      </c>
      <c r="H621" s="6" t="n">
        <f aca="false">'Raw Data'!I621</f>
        <v>0</v>
      </c>
      <c r="I621" s="6" t="n">
        <f aca="false">'Raw Data'!J621</f>
        <v>0</v>
      </c>
      <c r="J621" s="6" t="n">
        <f aca="false">'Raw Data'!K621</f>
        <v>2</v>
      </c>
      <c r="K621" s="6" t="n">
        <f aca="false">'Raw Data'!L621</f>
        <v>0</v>
      </c>
      <c r="L621" s="6" t="n">
        <f aca="false">F621*E621</f>
        <v>0</v>
      </c>
      <c r="N621" s="0" t="n">
        <v>1</v>
      </c>
      <c r="O621" s="6" t="n">
        <f aca="false">D621</f>
        <v>4.123333333</v>
      </c>
      <c r="P621" s="6" t="n">
        <f aca="false">E621</f>
        <v>1</v>
      </c>
      <c r="Q621" s="6" t="n">
        <f aca="false">F621</f>
        <v>0</v>
      </c>
      <c r="R621" s="6" t="n">
        <f aca="false">G621</f>
        <v>0</v>
      </c>
      <c r="S621" s="6" t="n">
        <f aca="false">H621</f>
        <v>0</v>
      </c>
      <c r="T621" s="6" t="n">
        <f aca="false">I621</f>
        <v>0</v>
      </c>
      <c r="U621" s="6" t="n">
        <f aca="false">L621</f>
        <v>0</v>
      </c>
      <c r="W621" s="6" t="n">
        <f aca="false">D621</f>
        <v>4.123333333</v>
      </c>
      <c r="X621" s="6" t="n">
        <f aca="false">E621</f>
        <v>1</v>
      </c>
      <c r="Y621" s="6" t="n">
        <f aca="false">F621</f>
        <v>0</v>
      </c>
      <c r="Z621" s="6" t="n">
        <f aca="false">L621</f>
        <v>0</v>
      </c>
      <c r="AA621" s="6" t="n">
        <f aca="false">G621</f>
        <v>0</v>
      </c>
      <c r="AC621" s="6" t="n">
        <f aca="false">D621</f>
        <v>4.123333333</v>
      </c>
      <c r="AD621" s="6" t="n">
        <f aca="false">E621</f>
        <v>1</v>
      </c>
      <c r="AE621" s="6" t="n">
        <f aca="false">G621</f>
        <v>0</v>
      </c>
      <c r="AF621" s="6" t="n">
        <f aca="false">H621</f>
        <v>0</v>
      </c>
      <c r="AG621" s="6" t="n">
        <f aca="false">I621</f>
        <v>0</v>
      </c>
      <c r="AH621" s="6" t="n">
        <f aca="false">L621</f>
        <v>0</v>
      </c>
    </row>
    <row r="622" customFormat="false" ht="15" hidden="false" customHeight="false" outlineLevel="0" collapsed="false">
      <c r="A622" s="0" t="str">
        <f aca="false">'Raw Data'!C622</f>
        <v>Fresno</v>
      </c>
      <c r="B622" s="5" t="n">
        <f aca="false">'Raw Data'!A622</f>
        <v>40330</v>
      </c>
      <c r="C622" s="6" t="n">
        <f aca="false">'Raw Data'!D622</f>
        <v>234.177599289833</v>
      </c>
      <c r="D622" s="6" t="n">
        <f aca="false">'Raw Data'!E622</f>
        <v>4.04</v>
      </c>
      <c r="E622" s="6" t="n">
        <f aca="false">'Raw Data'!F622</f>
        <v>1</v>
      </c>
      <c r="F622" s="6" t="n">
        <f aca="false">'Raw Data'!G622</f>
        <v>0</v>
      </c>
      <c r="G622" s="6" t="n">
        <f aca="false">'Raw Data'!H622</f>
        <v>0</v>
      </c>
      <c r="H622" s="6" t="n">
        <f aca="false">'Raw Data'!I622</f>
        <v>0</v>
      </c>
      <c r="I622" s="6" t="n">
        <f aca="false">'Raw Data'!J622</f>
        <v>0</v>
      </c>
      <c r="J622" s="6" t="n">
        <f aca="false">'Raw Data'!K622</f>
        <v>2</v>
      </c>
      <c r="K622" s="6" t="n">
        <f aca="false">'Raw Data'!L622</f>
        <v>0</v>
      </c>
      <c r="L622" s="6" t="n">
        <f aca="false">F622*E622</f>
        <v>0</v>
      </c>
      <c r="N622" s="0" t="n">
        <v>1</v>
      </c>
      <c r="O622" s="6" t="n">
        <f aca="false">D622</f>
        <v>4.04</v>
      </c>
      <c r="P622" s="6" t="n">
        <f aca="false">E622</f>
        <v>1</v>
      </c>
      <c r="Q622" s="6" t="n">
        <f aca="false">F622</f>
        <v>0</v>
      </c>
      <c r="R622" s="6" t="n">
        <f aca="false">G622</f>
        <v>0</v>
      </c>
      <c r="S622" s="6" t="n">
        <f aca="false">H622</f>
        <v>0</v>
      </c>
      <c r="T622" s="6" t="n">
        <f aca="false">I622</f>
        <v>0</v>
      </c>
      <c r="U622" s="6" t="n">
        <f aca="false">L622</f>
        <v>0</v>
      </c>
      <c r="W622" s="6" t="n">
        <f aca="false">D622</f>
        <v>4.04</v>
      </c>
      <c r="X622" s="6" t="n">
        <f aca="false">E622</f>
        <v>1</v>
      </c>
      <c r="Y622" s="6" t="n">
        <f aca="false">F622</f>
        <v>0</v>
      </c>
      <c r="Z622" s="6" t="n">
        <f aca="false">L622</f>
        <v>0</v>
      </c>
      <c r="AA622" s="6" t="n">
        <f aca="false">G622</f>
        <v>0</v>
      </c>
      <c r="AC622" s="6" t="n">
        <f aca="false">D622</f>
        <v>4.04</v>
      </c>
      <c r="AD622" s="6" t="n">
        <f aca="false">E622</f>
        <v>1</v>
      </c>
      <c r="AE622" s="6" t="n">
        <f aca="false">G622</f>
        <v>0</v>
      </c>
      <c r="AF622" s="6" t="n">
        <f aca="false">H622</f>
        <v>0</v>
      </c>
      <c r="AG622" s="6" t="n">
        <f aca="false">I622</f>
        <v>0</v>
      </c>
      <c r="AH622" s="6" t="n">
        <f aca="false">L622</f>
        <v>0</v>
      </c>
    </row>
    <row r="623" customFormat="false" ht="15" hidden="false" customHeight="false" outlineLevel="0" collapsed="false">
      <c r="A623" s="0" t="str">
        <f aca="false">'Raw Data'!C623</f>
        <v>Fresno</v>
      </c>
      <c r="B623" s="5" t="n">
        <f aca="false">'Raw Data'!A623</f>
        <v>40337</v>
      </c>
      <c r="C623" s="6" t="n">
        <f aca="false">'Raw Data'!D623</f>
        <v>299.468644038449</v>
      </c>
      <c r="D623" s="6" t="n">
        <f aca="false">'Raw Data'!E623</f>
        <v>4.895555556</v>
      </c>
      <c r="E623" s="6" t="n">
        <f aca="false">'Raw Data'!F623</f>
        <v>1</v>
      </c>
      <c r="F623" s="6" t="n">
        <f aca="false">'Raw Data'!G623</f>
        <v>0</v>
      </c>
      <c r="G623" s="6" t="n">
        <f aca="false">'Raw Data'!H623</f>
        <v>0</v>
      </c>
      <c r="H623" s="6" t="n">
        <f aca="false">'Raw Data'!I623</f>
        <v>0</v>
      </c>
      <c r="I623" s="6" t="n">
        <f aca="false">'Raw Data'!J623</f>
        <v>0</v>
      </c>
      <c r="J623" s="6" t="n">
        <f aca="false">'Raw Data'!K623</f>
        <v>2</v>
      </c>
      <c r="K623" s="6" t="n">
        <f aca="false">'Raw Data'!L623</f>
        <v>0</v>
      </c>
      <c r="L623" s="6" t="n">
        <f aca="false">F623*E623</f>
        <v>0</v>
      </c>
      <c r="N623" s="0" t="n">
        <v>1</v>
      </c>
      <c r="O623" s="6" t="n">
        <f aca="false">D623</f>
        <v>4.895555556</v>
      </c>
      <c r="P623" s="6" t="n">
        <f aca="false">E623</f>
        <v>1</v>
      </c>
      <c r="Q623" s="6" t="n">
        <f aca="false">F623</f>
        <v>0</v>
      </c>
      <c r="R623" s="6" t="n">
        <f aca="false">G623</f>
        <v>0</v>
      </c>
      <c r="S623" s="6" t="n">
        <f aca="false">H623</f>
        <v>0</v>
      </c>
      <c r="T623" s="6" t="n">
        <f aca="false">I623</f>
        <v>0</v>
      </c>
      <c r="U623" s="6" t="n">
        <f aca="false">L623</f>
        <v>0</v>
      </c>
      <c r="W623" s="6" t="n">
        <f aca="false">D623</f>
        <v>4.895555556</v>
      </c>
      <c r="X623" s="6" t="n">
        <f aca="false">E623</f>
        <v>1</v>
      </c>
      <c r="Y623" s="6" t="n">
        <f aca="false">F623</f>
        <v>0</v>
      </c>
      <c r="Z623" s="6" t="n">
        <f aca="false">L623</f>
        <v>0</v>
      </c>
      <c r="AA623" s="6" t="n">
        <f aca="false">G623</f>
        <v>0</v>
      </c>
      <c r="AC623" s="6" t="n">
        <f aca="false">D623</f>
        <v>4.895555556</v>
      </c>
      <c r="AD623" s="6" t="n">
        <f aca="false">E623</f>
        <v>1</v>
      </c>
      <c r="AE623" s="6" t="n">
        <f aca="false">G623</f>
        <v>0</v>
      </c>
      <c r="AF623" s="6" t="n">
        <f aca="false">H623</f>
        <v>0</v>
      </c>
      <c r="AG623" s="6" t="n">
        <f aca="false">I623</f>
        <v>0</v>
      </c>
      <c r="AH623" s="6" t="n">
        <f aca="false">L623</f>
        <v>0</v>
      </c>
    </row>
    <row r="624" customFormat="false" ht="15" hidden="false" customHeight="false" outlineLevel="0" collapsed="false">
      <c r="A624" s="0" t="str">
        <f aca="false">'Raw Data'!C624</f>
        <v>Fresno</v>
      </c>
      <c r="B624" s="5" t="n">
        <f aca="false">'Raw Data'!A624</f>
        <v>40344</v>
      </c>
      <c r="C624" s="6" t="n">
        <f aca="false">'Raw Data'!D624</f>
        <v>153.635025276657</v>
      </c>
      <c r="D624" s="6" t="n">
        <f aca="false">'Raw Data'!E624</f>
        <v>4.88</v>
      </c>
      <c r="E624" s="6" t="n">
        <f aca="false">'Raw Data'!F624</f>
        <v>1</v>
      </c>
      <c r="F624" s="6" t="n">
        <f aca="false">'Raw Data'!G624</f>
        <v>0</v>
      </c>
      <c r="G624" s="6" t="n">
        <f aca="false">'Raw Data'!H624</f>
        <v>0</v>
      </c>
      <c r="H624" s="6" t="n">
        <f aca="false">'Raw Data'!I624</f>
        <v>0</v>
      </c>
      <c r="I624" s="6" t="n">
        <f aca="false">'Raw Data'!J624</f>
        <v>0</v>
      </c>
      <c r="J624" s="6" t="n">
        <f aca="false">'Raw Data'!K624</f>
        <v>2</v>
      </c>
      <c r="K624" s="6" t="n">
        <f aca="false">'Raw Data'!L624</f>
        <v>0</v>
      </c>
      <c r="L624" s="6" t="n">
        <f aca="false">F624*E624</f>
        <v>0</v>
      </c>
      <c r="N624" s="0" t="n">
        <v>1</v>
      </c>
      <c r="O624" s="6" t="n">
        <f aca="false">D624</f>
        <v>4.88</v>
      </c>
      <c r="P624" s="6" t="n">
        <f aca="false">E624</f>
        <v>1</v>
      </c>
      <c r="Q624" s="6" t="n">
        <f aca="false">F624</f>
        <v>0</v>
      </c>
      <c r="R624" s="6" t="n">
        <f aca="false">G624</f>
        <v>0</v>
      </c>
      <c r="S624" s="6" t="n">
        <f aca="false">H624</f>
        <v>0</v>
      </c>
      <c r="T624" s="6" t="n">
        <f aca="false">I624</f>
        <v>0</v>
      </c>
      <c r="U624" s="6" t="n">
        <f aca="false">L624</f>
        <v>0</v>
      </c>
      <c r="W624" s="6" t="n">
        <f aca="false">D624</f>
        <v>4.88</v>
      </c>
      <c r="X624" s="6" t="n">
        <f aca="false">E624</f>
        <v>1</v>
      </c>
      <c r="Y624" s="6" t="n">
        <f aca="false">F624</f>
        <v>0</v>
      </c>
      <c r="Z624" s="6" t="n">
        <f aca="false">L624</f>
        <v>0</v>
      </c>
      <c r="AA624" s="6" t="n">
        <f aca="false">G624</f>
        <v>0</v>
      </c>
      <c r="AC624" s="6" t="n">
        <f aca="false">D624</f>
        <v>4.88</v>
      </c>
      <c r="AD624" s="6" t="n">
        <f aca="false">E624</f>
        <v>1</v>
      </c>
      <c r="AE624" s="6" t="n">
        <f aca="false">G624</f>
        <v>0</v>
      </c>
      <c r="AF624" s="6" t="n">
        <f aca="false">H624</f>
        <v>0</v>
      </c>
      <c r="AG624" s="6" t="n">
        <f aca="false">I624</f>
        <v>0</v>
      </c>
      <c r="AH624" s="6" t="n">
        <f aca="false">L624</f>
        <v>0</v>
      </c>
    </row>
    <row r="625" customFormat="false" ht="15" hidden="false" customHeight="false" outlineLevel="0" collapsed="false">
      <c r="A625" s="0" t="str">
        <f aca="false">'Raw Data'!C625</f>
        <v>Fresno</v>
      </c>
      <c r="B625" s="5" t="n">
        <f aca="false">'Raw Data'!A625</f>
        <v>40351</v>
      </c>
      <c r="C625" s="6" t="n">
        <f aca="false">'Raw Data'!D625</f>
        <v>368.847022627243</v>
      </c>
      <c r="D625" s="6" t="n">
        <f aca="false">'Raw Data'!E625</f>
        <v>4.871818182</v>
      </c>
      <c r="E625" s="6" t="n">
        <f aca="false">'Raw Data'!F625</f>
        <v>1</v>
      </c>
      <c r="F625" s="6" t="n">
        <f aca="false">'Raw Data'!G625</f>
        <v>0</v>
      </c>
      <c r="G625" s="6" t="n">
        <f aca="false">'Raw Data'!H625</f>
        <v>1</v>
      </c>
      <c r="H625" s="6" t="n">
        <f aca="false">'Raw Data'!I625</f>
        <v>0</v>
      </c>
      <c r="I625" s="6" t="n">
        <f aca="false">'Raw Data'!J625</f>
        <v>0</v>
      </c>
      <c r="J625" s="6" t="n">
        <f aca="false">'Raw Data'!K625</f>
        <v>2</v>
      </c>
      <c r="K625" s="6" t="n">
        <f aca="false">'Raw Data'!L625</f>
        <v>0</v>
      </c>
      <c r="L625" s="6" t="n">
        <f aca="false">F625*E625</f>
        <v>0</v>
      </c>
      <c r="N625" s="0" t="n">
        <v>1</v>
      </c>
      <c r="O625" s="6" t="n">
        <f aca="false">D625</f>
        <v>4.871818182</v>
      </c>
      <c r="P625" s="6" t="n">
        <f aca="false">E625</f>
        <v>1</v>
      </c>
      <c r="Q625" s="6" t="n">
        <f aca="false">F625</f>
        <v>0</v>
      </c>
      <c r="R625" s="6" t="n">
        <f aca="false">G625</f>
        <v>1</v>
      </c>
      <c r="S625" s="6" t="n">
        <f aca="false">H625</f>
        <v>0</v>
      </c>
      <c r="T625" s="6" t="n">
        <f aca="false">I625</f>
        <v>0</v>
      </c>
      <c r="U625" s="6" t="n">
        <f aca="false">L625</f>
        <v>0</v>
      </c>
      <c r="W625" s="6" t="n">
        <f aca="false">D625</f>
        <v>4.871818182</v>
      </c>
      <c r="X625" s="6" t="n">
        <f aca="false">E625</f>
        <v>1</v>
      </c>
      <c r="Y625" s="6" t="n">
        <f aca="false">F625</f>
        <v>0</v>
      </c>
      <c r="Z625" s="6" t="n">
        <f aca="false">L625</f>
        <v>0</v>
      </c>
      <c r="AA625" s="6" t="n">
        <f aca="false">G625</f>
        <v>1</v>
      </c>
      <c r="AC625" s="6" t="n">
        <f aca="false">D625</f>
        <v>4.871818182</v>
      </c>
      <c r="AD625" s="6" t="n">
        <f aca="false">E625</f>
        <v>1</v>
      </c>
      <c r="AE625" s="6" t="n">
        <f aca="false">G625</f>
        <v>1</v>
      </c>
      <c r="AF625" s="6" t="n">
        <f aca="false">H625</f>
        <v>0</v>
      </c>
      <c r="AG625" s="6" t="n">
        <f aca="false">I625</f>
        <v>0</v>
      </c>
      <c r="AH625" s="6" t="n">
        <f aca="false">L625</f>
        <v>0</v>
      </c>
    </row>
    <row r="626" customFormat="false" ht="15" hidden="false" customHeight="false" outlineLevel="0" collapsed="false">
      <c r="A626" s="0" t="str">
        <f aca="false">'Raw Data'!C626</f>
        <v>Fresno</v>
      </c>
      <c r="B626" s="5" t="n">
        <f aca="false">'Raw Data'!A626</f>
        <v>40358</v>
      </c>
      <c r="C626" s="6" t="n">
        <f aca="false">'Raw Data'!D626</f>
        <v>343.445029903185</v>
      </c>
      <c r="D626" s="6" t="n">
        <f aca="false">'Raw Data'!E626</f>
        <v>4.508181818</v>
      </c>
      <c r="E626" s="6" t="n">
        <f aca="false">'Raw Data'!F626</f>
        <v>1</v>
      </c>
      <c r="F626" s="6" t="n">
        <f aca="false">'Raw Data'!G626</f>
        <v>0</v>
      </c>
      <c r="G626" s="6" t="n">
        <f aca="false">'Raw Data'!H626</f>
        <v>0</v>
      </c>
      <c r="H626" s="6" t="n">
        <f aca="false">'Raw Data'!I626</f>
        <v>1</v>
      </c>
      <c r="I626" s="6" t="n">
        <f aca="false">'Raw Data'!J626</f>
        <v>0</v>
      </c>
      <c r="J626" s="6" t="n">
        <f aca="false">'Raw Data'!K626</f>
        <v>2</v>
      </c>
      <c r="K626" s="6" t="n">
        <f aca="false">'Raw Data'!L626</f>
        <v>0</v>
      </c>
      <c r="L626" s="6" t="n">
        <f aca="false">F626*E626</f>
        <v>0</v>
      </c>
      <c r="N626" s="0" t="n">
        <v>1</v>
      </c>
      <c r="O626" s="6" t="n">
        <f aca="false">D626</f>
        <v>4.508181818</v>
      </c>
      <c r="P626" s="6" t="n">
        <f aca="false">E626</f>
        <v>1</v>
      </c>
      <c r="Q626" s="6" t="n">
        <f aca="false">F626</f>
        <v>0</v>
      </c>
      <c r="R626" s="6" t="n">
        <f aca="false">G626</f>
        <v>0</v>
      </c>
      <c r="S626" s="6" t="n">
        <f aca="false">H626</f>
        <v>1</v>
      </c>
      <c r="T626" s="6" t="n">
        <f aca="false">I626</f>
        <v>0</v>
      </c>
      <c r="U626" s="6" t="n">
        <f aca="false">L626</f>
        <v>0</v>
      </c>
      <c r="W626" s="6" t="n">
        <f aca="false">D626</f>
        <v>4.508181818</v>
      </c>
      <c r="X626" s="6" t="n">
        <f aca="false">E626</f>
        <v>1</v>
      </c>
      <c r="Y626" s="6" t="n">
        <f aca="false">F626</f>
        <v>0</v>
      </c>
      <c r="Z626" s="6" t="n">
        <f aca="false">L626</f>
        <v>0</v>
      </c>
      <c r="AA626" s="6" t="n">
        <f aca="false">G626</f>
        <v>0</v>
      </c>
      <c r="AC626" s="6" t="n">
        <f aca="false">D626</f>
        <v>4.508181818</v>
      </c>
      <c r="AD626" s="6" t="n">
        <f aca="false">E626</f>
        <v>1</v>
      </c>
      <c r="AE626" s="6" t="n">
        <f aca="false">G626</f>
        <v>0</v>
      </c>
      <c r="AF626" s="6" t="n">
        <f aca="false">H626</f>
        <v>1</v>
      </c>
      <c r="AG626" s="6" t="n">
        <f aca="false">I626</f>
        <v>0</v>
      </c>
      <c r="AH626" s="6" t="n">
        <f aca="false">L626</f>
        <v>0</v>
      </c>
    </row>
    <row r="627" customFormat="false" ht="15" hidden="false" customHeight="false" outlineLevel="0" collapsed="false">
      <c r="A627" s="0" t="str">
        <f aca="false">'Raw Data'!C627</f>
        <v>Fresno</v>
      </c>
      <c r="B627" s="5" t="n">
        <f aca="false">'Raw Data'!A627</f>
        <v>40365</v>
      </c>
      <c r="C627" s="6" t="n">
        <f aca="false">'Raw Data'!D627</f>
        <v>191.470281395277</v>
      </c>
      <c r="D627" s="6" t="n">
        <f aca="false">'Raw Data'!E627</f>
        <v>4.353636364</v>
      </c>
      <c r="E627" s="6" t="n">
        <f aca="false">'Raw Data'!F627</f>
        <v>1</v>
      </c>
      <c r="F627" s="6" t="n">
        <f aca="false">'Raw Data'!G627</f>
        <v>0</v>
      </c>
      <c r="G627" s="6" t="n">
        <f aca="false">'Raw Data'!H627</f>
        <v>0</v>
      </c>
      <c r="H627" s="6" t="n">
        <f aca="false">'Raw Data'!I627</f>
        <v>1</v>
      </c>
      <c r="I627" s="6" t="n">
        <f aca="false">'Raw Data'!J627</f>
        <v>0</v>
      </c>
      <c r="J627" s="6" t="n">
        <f aca="false">'Raw Data'!K627</f>
        <v>2</v>
      </c>
      <c r="K627" s="6" t="n">
        <f aca="false">'Raw Data'!L627</f>
        <v>0</v>
      </c>
      <c r="L627" s="6" t="n">
        <f aca="false">F627*E627</f>
        <v>0</v>
      </c>
      <c r="N627" s="0" t="n">
        <v>1</v>
      </c>
      <c r="O627" s="6" t="n">
        <f aca="false">D627</f>
        <v>4.353636364</v>
      </c>
      <c r="P627" s="6" t="n">
        <f aca="false">E627</f>
        <v>1</v>
      </c>
      <c r="Q627" s="6" t="n">
        <f aca="false">F627</f>
        <v>0</v>
      </c>
      <c r="R627" s="6" t="n">
        <f aca="false">G627</f>
        <v>0</v>
      </c>
      <c r="S627" s="6" t="n">
        <f aca="false">H627</f>
        <v>1</v>
      </c>
      <c r="T627" s="6" t="n">
        <f aca="false">I627</f>
        <v>0</v>
      </c>
      <c r="U627" s="6" t="n">
        <f aca="false">L627</f>
        <v>0</v>
      </c>
      <c r="W627" s="6" t="n">
        <f aca="false">D627</f>
        <v>4.353636364</v>
      </c>
      <c r="X627" s="6" t="n">
        <f aca="false">E627</f>
        <v>1</v>
      </c>
      <c r="Y627" s="6" t="n">
        <f aca="false">F627</f>
        <v>0</v>
      </c>
      <c r="Z627" s="6" t="n">
        <f aca="false">L627</f>
        <v>0</v>
      </c>
      <c r="AA627" s="6" t="n">
        <f aca="false">G627</f>
        <v>0</v>
      </c>
      <c r="AC627" s="6" t="n">
        <f aca="false">D627</f>
        <v>4.353636364</v>
      </c>
      <c r="AD627" s="6" t="n">
        <f aca="false">E627</f>
        <v>1</v>
      </c>
      <c r="AE627" s="6" t="n">
        <f aca="false">G627</f>
        <v>0</v>
      </c>
      <c r="AF627" s="6" t="n">
        <f aca="false">H627</f>
        <v>1</v>
      </c>
      <c r="AG627" s="6" t="n">
        <f aca="false">I627</f>
        <v>0</v>
      </c>
      <c r="AH627" s="6" t="n">
        <f aca="false">L627</f>
        <v>0</v>
      </c>
    </row>
    <row r="628" customFormat="false" ht="15" hidden="false" customHeight="false" outlineLevel="0" collapsed="false">
      <c r="A628" s="0" t="str">
        <f aca="false">'Raw Data'!C628</f>
        <v>Fresno</v>
      </c>
      <c r="B628" s="5" t="n">
        <f aca="false">'Raw Data'!A628</f>
        <v>40372</v>
      </c>
      <c r="C628" s="6" t="n">
        <f aca="false">'Raw Data'!D628</f>
        <v>297.374939492749</v>
      </c>
      <c r="D628" s="6" t="n">
        <f aca="false">'Raw Data'!E628</f>
        <v>3.99</v>
      </c>
      <c r="E628" s="6" t="n">
        <f aca="false">'Raw Data'!F628</f>
        <v>1</v>
      </c>
      <c r="F628" s="6" t="n">
        <f aca="false">'Raw Data'!G628</f>
        <v>0</v>
      </c>
      <c r="G628" s="6" t="n">
        <f aca="false">'Raw Data'!H628</f>
        <v>0</v>
      </c>
      <c r="H628" s="6" t="n">
        <f aca="false">'Raw Data'!I628</f>
        <v>1</v>
      </c>
      <c r="I628" s="6" t="n">
        <f aca="false">'Raw Data'!J628</f>
        <v>0</v>
      </c>
      <c r="J628" s="6" t="n">
        <f aca="false">'Raw Data'!K628</f>
        <v>2</v>
      </c>
      <c r="K628" s="6" t="n">
        <f aca="false">'Raw Data'!L628</f>
        <v>0</v>
      </c>
      <c r="L628" s="6" t="n">
        <f aca="false">F628*E628</f>
        <v>0</v>
      </c>
      <c r="N628" s="0" t="n">
        <v>1</v>
      </c>
      <c r="O628" s="6" t="n">
        <f aca="false">D628</f>
        <v>3.99</v>
      </c>
      <c r="P628" s="6" t="n">
        <f aca="false">E628</f>
        <v>1</v>
      </c>
      <c r="Q628" s="6" t="n">
        <f aca="false">F628</f>
        <v>0</v>
      </c>
      <c r="R628" s="6" t="n">
        <f aca="false">G628</f>
        <v>0</v>
      </c>
      <c r="S628" s="6" t="n">
        <f aca="false">H628</f>
        <v>1</v>
      </c>
      <c r="T628" s="6" t="n">
        <f aca="false">I628</f>
        <v>0</v>
      </c>
      <c r="U628" s="6" t="n">
        <f aca="false">L628</f>
        <v>0</v>
      </c>
      <c r="W628" s="6" t="n">
        <f aca="false">D628</f>
        <v>3.99</v>
      </c>
      <c r="X628" s="6" t="n">
        <f aca="false">E628</f>
        <v>1</v>
      </c>
      <c r="Y628" s="6" t="n">
        <f aca="false">F628</f>
        <v>0</v>
      </c>
      <c r="Z628" s="6" t="n">
        <f aca="false">L628</f>
        <v>0</v>
      </c>
      <c r="AA628" s="6" t="n">
        <f aca="false">G628</f>
        <v>0</v>
      </c>
      <c r="AC628" s="6" t="n">
        <f aca="false">D628</f>
        <v>3.99</v>
      </c>
      <c r="AD628" s="6" t="n">
        <f aca="false">E628</f>
        <v>1</v>
      </c>
      <c r="AE628" s="6" t="n">
        <f aca="false">G628</f>
        <v>0</v>
      </c>
      <c r="AF628" s="6" t="n">
        <f aca="false">H628</f>
        <v>1</v>
      </c>
      <c r="AG628" s="6" t="n">
        <f aca="false">I628</f>
        <v>0</v>
      </c>
      <c r="AH628" s="6" t="n">
        <f aca="false">L628</f>
        <v>0</v>
      </c>
    </row>
    <row r="629" customFormat="false" ht="15" hidden="false" customHeight="false" outlineLevel="0" collapsed="false">
      <c r="A629" s="0" t="str">
        <f aca="false">'Raw Data'!C629</f>
        <v>Los Altos</v>
      </c>
      <c r="B629" s="5" t="n">
        <f aca="false">'Raw Data'!A629</f>
        <v>40302</v>
      </c>
      <c r="C629" s="6" t="n">
        <f aca="false">'Raw Data'!D629</f>
        <v>251.380890951168</v>
      </c>
      <c r="D629" s="6" t="n">
        <f aca="false">'Raw Data'!E629</f>
        <v>4.856666667</v>
      </c>
      <c r="E629" s="6" t="n">
        <f aca="false">'Raw Data'!F629</f>
        <v>1</v>
      </c>
      <c r="F629" s="6" t="n">
        <f aca="false">'Raw Data'!G629</f>
        <v>0</v>
      </c>
      <c r="G629" s="6" t="n">
        <f aca="false">'Raw Data'!H629</f>
        <v>0</v>
      </c>
      <c r="H629" s="6" t="n">
        <f aca="false">'Raw Data'!I629</f>
        <v>0</v>
      </c>
      <c r="I629" s="6" t="n">
        <f aca="false">'Raw Data'!J629</f>
        <v>0</v>
      </c>
      <c r="J629" s="6" t="n">
        <f aca="false">'Raw Data'!K629</f>
        <v>1</v>
      </c>
      <c r="K629" s="6" t="n">
        <f aca="false">'Raw Data'!L629</f>
        <v>5</v>
      </c>
      <c r="L629" s="6" t="n">
        <f aca="false">F629*E629</f>
        <v>0</v>
      </c>
      <c r="N629" s="0" t="n">
        <v>1</v>
      </c>
      <c r="O629" s="6" t="n">
        <f aca="false">D629</f>
        <v>4.856666667</v>
      </c>
      <c r="P629" s="6" t="n">
        <f aca="false">E629</f>
        <v>1</v>
      </c>
      <c r="Q629" s="6" t="n">
        <f aca="false">F629</f>
        <v>0</v>
      </c>
      <c r="R629" s="6" t="n">
        <f aca="false">G629</f>
        <v>0</v>
      </c>
      <c r="S629" s="6" t="n">
        <f aca="false">H629</f>
        <v>0</v>
      </c>
      <c r="T629" s="6" t="n">
        <f aca="false">I629</f>
        <v>0</v>
      </c>
      <c r="U629" s="6" t="n">
        <f aca="false">L629</f>
        <v>0</v>
      </c>
      <c r="W629" s="6" t="n">
        <f aca="false">D629</f>
        <v>4.856666667</v>
      </c>
      <c r="X629" s="6" t="n">
        <f aca="false">E629</f>
        <v>1</v>
      </c>
      <c r="Y629" s="6" t="n">
        <f aca="false">F629</f>
        <v>0</v>
      </c>
      <c r="Z629" s="6" t="n">
        <f aca="false">L629</f>
        <v>0</v>
      </c>
      <c r="AA629" s="6" t="n">
        <f aca="false">G629</f>
        <v>0</v>
      </c>
      <c r="AC629" s="6" t="n">
        <f aca="false">D629</f>
        <v>4.856666667</v>
      </c>
      <c r="AD629" s="6" t="n">
        <f aca="false">E629</f>
        <v>1</v>
      </c>
      <c r="AE629" s="6" t="n">
        <f aca="false">G629</f>
        <v>0</v>
      </c>
      <c r="AF629" s="6" t="n">
        <f aca="false">H629</f>
        <v>0</v>
      </c>
      <c r="AG629" s="6" t="n">
        <f aca="false">I629</f>
        <v>0</v>
      </c>
      <c r="AH629" s="6" t="n">
        <f aca="false">L629</f>
        <v>0</v>
      </c>
    </row>
    <row r="630" customFormat="false" ht="15" hidden="false" customHeight="false" outlineLevel="0" collapsed="false">
      <c r="A630" s="0" t="str">
        <f aca="false">'Raw Data'!C630</f>
        <v>Los Altos</v>
      </c>
      <c r="B630" s="5" t="n">
        <f aca="false">'Raw Data'!A630</f>
        <v>40309</v>
      </c>
      <c r="C630" s="6" t="n">
        <f aca="false">'Raw Data'!D630</f>
        <v>195.138236902233</v>
      </c>
      <c r="D630" s="6" t="n">
        <f aca="false">'Raw Data'!E630</f>
        <v>4.680909091</v>
      </c>
      <c r="E630" s="6" t="n">
        <f aca="false">'Raw Data'!F630</f>
        <v>1</v>
      </c>
      <c r="F630" s="6" t="n">
        <f aca="false">'Raw Data'!G630</f>
        <v>0</v>
      </c>
      <c r="G630" s="6" t="n">
        <f aca="false">'Raw Data'!H630</f>
        <v>0</v>
      </c>
      <c r="H630" s="6" t="n">
        <f aca="false">'Raw Data'!I630</f>
        <v>0</v>
      </c>
      <c r="I630" s="6" t="n">
        <f aca="false">'Raw Data'!J630</f>
        <v>0</v>
      </c>
      <c r="J630" s="6" t="n">
        <f aca="false">'Raw Data'!K630</f>
        <v>1</v>
      </c>
      <c r="K630" s="6" t="n">
        <f aca="false">'Raw Data'!L630</f>
        <v>5</v>
      </c>
      <c r="L630" s="6" t="n">
        <f aca="false">F630*E630</f>
        <v>0</v>
      </c>
      <c r="N630" s="0" t="n">
        <v>1</v>
      </c>
      <c r="O630" s="6" t="n">
        <f aca="false">D630</f>
        <v>4.680909091</v>
      </c>
      <c r="P630" s="6" t="n">
        <f aca="false">E630</f>
        <v>1</v>
      </c>
      <c r="Q630" s="6" t="n">
        <f aca="false">F630</f>
        <v>0</v>
      </c>
      <c r="R630" s="6" t="n">
        <f aca="false">G630</f>
        <v>0</v>
      </c>
      <c r="S630" s="6" t="n">
        <f aca="false">H630</f>
        <v>0</v>
      </c>
      <c r="T630" s="6" t="n">
        <f aca="false">I630</f>
        <v>0</v>
      </c>
      <c r="U630" s="6" t="n">
        <f aca="false">L630</f>
        <v>0</v>
      </c>
      <c r="W630" s="6" t="n">
        <f aca="false">D630</f>
        <v>4.680909091</v>
      </c>
      <c r="X630" s="6" t="n">
        <f aca="false">E630</f>
        <v>1</v>
      </c>
      <c r="Y630" s="6" t="n">
        <f aca="false">F630</f>
        <v>0</v>
      </c>
      <c r="Z630" s="6" t="n">
        <f aca="false">L630</f>
        <v>0</v>
      </c>
      <c r="AA630" s="6" t="n">
        <f aca="false">G630</f>
        <v>0</v>
      </c>
      <c r="AC630" s="6" t="n">
        <f aca="false">D630</f>
        <v>4.680909091</v>
      </c>
      <c r="AD630" s="6" t="n">
        <f aca="false">E630</f>
        <v>1</v>
      </c>
      <c r="AE630" s="6" t="n">
        <f aca="false">G630</f>
        <v>0</v>
      </c>
      <c r="AF630" s="6" t="n">
        <f aca="false">H630</f>
        <v>0</v>
      </c>
      <c r="AG630" s="6" t="n">
        <f aca="false">I630</f>
        <v>0</v>
      </c>
      <c r="AH630" s="6" t="n">
        <f aca="false">L630</f>
        <v>0</v>
      </c>
    </row>
    <row r="631" customFormat="false" ht="15" hidden="false" customHeight="false" outlineLevel="0" collapsed="false">
      <c r="A631" s="0" t="str">
        <f aca="false">'Raw Data'!C631</f>
        <v>Los Altos</v>
      </c>
      <c r="B631" s="5" t="n">
        <f aca="false">'Raw Data'!A631</f>
        <v>40316</v>
      </c>
      <c r="C631" s="6" t="n">
        <f aca="false">'Raw Data'!D631</f>
        <v>322.474185986922</v>
      </c>
      <c r="D631" s="6" t="n">
        <f aca="false">'Raw Data'!E631</f>
        <v>4.59</v>
      </c>
      <c r="E631" s="6" t="n">
        <f aca="false">'Raw Data'!F631</f>
        <v>1</v>
      </c>
      <c r="F631" s="6" t="n">
        <f aca="false">'Raw Data'!G631</f>
        <v>0</v>
      </c>
      <c r="G631" s="6" t="n">
        <f aca="false">'Raw Data'!H631</f>
        <v>0</v>
      </c>
      <c r="H631" s="6" t="n">
        <f aca="false">'Raw Data'!I631</f>
        <v>0</v>
      </c>
      <c r="I631" s="6" t="n">
        <f aca="false">'Raw Data'!J631</f>
        <v>0</v>
      </c>
      <c r="J631" s="6" t="n">
        <f aca="false">'Raw Data'!K631</f>
        <v>1</v>
      </c>
      <c r="K631" s="6" t="n">
        <f aca="false">'Raw Data'!L631</f>
        <v>5</v>
      </c>
      <c r="L631" s="6" t="n">
        <f aca="false">F631*E631</f>
        <v>0</v>
      </c>
      <c r="N631" s="0" t="n">
        <v>1</v>
      </c>
      <c r="O631" s="6" t="n">
        <f aca="false">D631</f>
        <v>4.59</v>
      </c>
      <c r="P631" s="6" t="n">
        <f aca="false">E631</f>
        <v>1</v>
      </c>
      <c r="Q631" s="6" t="n">
        <f aca="false">F631</f>
        <v>0</v>
      </c>
      <c r="R631" s="6" t="n">
        <f aca="false">G631</f>
        <v>0</v>
      </c>
      <c r="S631" s="6" t="n">
        <f aca="false">H631</f>
        <v>0</v>
      </c>
      <c r="T631" s="6" t="n">
        <f aca="false">I631</f>
        <v>0</v>
      </c>
      <c r="U631" s="6" t="n">
        <f aca="false">L631</f>
        <v>0</v>
      </c>
      <c r="W631" s="6" t="n">
        <f aca="false">D631</f>
        <v>4.59</v>
      </c>
      <c r="X631" s="6" t="n">
        <f aca="false">E631</f>
        <v>1</v>
      </c>
      <c r="Y631" s="6" t="n">
        <f aca="false">F631</f>
        <v>0</v>
      </c>
      <c r="Z631" s="6" t="n">
        <f aca="false">L631</f>
        <v>0</v>
      </c>
      <c r="AA631" s="6" t="n">
        <f aca="false">G631</f>
        <v>0</v>
      </c>
      <c r="AC631" s="6" t="n">
        <f aca="false">D631</f>
        <v>4.59</v>
      </c>
      <c r="AD631" s="6" t="n">
        <f aca="false">E631</f>
        <v>1</v>
      </c>
      <c r="AE631" s="6" t="n">
        <f aca="false">G631</f>
        <v>0</v>
      </c>
      <c r="AF631" s="6" t="n">
        <f aca="false">H631</f>
        <v>0</v>
      </c>
      <c r="AG631" s="6" t="n">
        <f aca="false">I631</f>
        <v>0</v>
      </c>
      <c r="AH631" s="6" t="n">
        <f aca="false">L631</f>
        <v>0</v>
      </c>
    </row>
    <row r="632" customFormat="false" ht="15" hidden="false" customHeight="false" outlineLevel="0" collapsed="false">
      <c r="A632" s="0" t="str">
        <f aca="false">'Raw Data'!C632</f>
        <v>Los Altos</v>
      </c>
      <c r="B632" s="5" t="n">
        <f aca="false">'Raw Data'!A632</f>
        <v>40323</v>
      </c>
      <c r="C632" s="6" t="n">
        <f aca="false">'Raw Data'!D632</f>
        <v>199.272030345296</v>
      </c>
      <c r="D632" s="6" t="n">
        <f aca="false">'Raw Data'!E632</f>
        <v>4.59</v>
      </c>
      <c r="E632" s="6" t="n">
        <f aca="false">'Raw Data'!F632</f>
        <v>1</v>
      </c>
      <c r="F632" s="6" t="n">
        <f aca="false">'Raw Data'!G632</f>
        <v>0</v>
      </c>
      <c r="G632" s="6" t="n">
        <f aca="false">'Raw Data'!H632</f>
        <v>0</v>
      </c>
      <c r="H632" s="6" t="n">
        <f aca="false">'Raw Data'!I632</f>
        <v>0</v>
      </c>
      <c r="I632" s="6" t="n">
        <f aca="false">'Raw Data'!J632</f>
        <v>0</v>
      </c>
      <c r="J632" s="6" t="n">
        <f aca="false">'Raw Data'!K632</f>
        <v>1</v>
      </c>
      <c r="K632" s="6" t="n">
        <f aca="false">'Raw Data'!L632</f>
        <v>5</v>
      </c>
      <c r="L632" s="6" t="n">
        <f aca="false">F632*E632</f>
        <v>0</v>
      </c>
      <c r="N632" s="0" t="n">
        <v>1</v>
      </c>
      <c r="O632" s="6" t="n">
        <f aca="false">D632</f>
        <v>4.59</v>
      </c>
      <c r="P632" s="6" t="n">
        <f aca="false">E632</f>
        <v>1</v>
      </c>
      <c r="Q632" s="6" t="n">
        <f aca="false">F632</f>
        <v>0</v>
      </c>
      <c r="R632" s="6" t="n">
        <f aca="false">G632</f>
        <v>0</v>
      </c>
      <c r="S632" s="6" t="n">
        <f aca="false">H632</f>
        <v>0</v>
      </c>
      <c r="T632" s="6" t="n">
        <f aca="false">I632</f>
        <v>0</v>
      </c>
      <c r="U632" s="6" t="n">
        <f aca="false">L632</f>
        <v>0</v>
      </c>
      <c r="W632" s="6" t="n">
        <f aca="false">D632</f>
        <v>4.59</v>
      </c>
      <c r="X632" s="6" t="n">
        <f aca="false">E632</f>
        <v>1</v>
      </c>
      <c r="Y632" s="6" t="n">
        <f aca="false">F632</f>
        <v>0</v>
      </c>
      <c r="Z632" s="6" t="n">
        <f aca="false">L632</f>
        <v>0</v>
      </c>
      <c r="AA632" s="6" t="n">
        <f aca="false">G632</f>
        <v>0</v>
      </c>
      <c r="AC632" s="6" t="n">
        <f aca="false">D632</f>
        <v>4.59</v>
      </c>
      <c r="AD632" s="6" t="n">
        <f aca="false">E632</f>
        <v>1</v>
      </c>
      <c r="AE632" s="6" t="n">
        <f aca="false">G632</f>
        <v>0</v>
      </c>
      <c r="AF632" s="6" t="n">
        <f aca="false">H632</f>
        <v>0</v>
      </c>
      <c r="AG632" s="6" t="n">
        <f aca="false">I632</f>
        <v>0</v>
      </c>
      <c r="AH632" s="6" t="n">
        <f aca="false">L632</f>
        <v>0</v>
      </c>
    </row>
    <row r="633" customFormat="false" ht="15" hidden="false" customHeight="false" outlineLevel="0" collapsed="false">
      <c r="A633" s="0" t="str">
        <f aca="false">'Raw Data'!C633</f>
        <v>Los Altos</v>
      </c>
      <c r="B633" s="5" t="n">
        <f aca="false">'Raw Data'!A633</f>
        <v>40330</v>
      </c>
      <c r="C633" s="6" t="n">
        <f aca="false">'Raw Data'!D633</f>
        <v>250.416072254189</v>
      </c>
      <c r="D633" s="6" t="n">
        <f aca="false">'Raw Data'!E633</f>
        <v>4.59</v>
      </c>
      <c r="E633" s="6" t="n">
        <f aca="false">'Raw Data'!F633</f>
        <v>1</v>
      </c>
      <c r="F633" s="6" t="n">
        <f aca="false">'Raw Data'!G633</f>
        <v>0</v>
      </c>
      <c r="G633" s="6" t="n">
        <f aca="false">'Raw Data'!H633</f>
        <v>0</v>
      </c>
      <c r="H633" s="6" t="n">
        <f aca="false">'Raw Data'!I633</f>
        <v>0</v>
      </c>
      <c r="I633" s="6" t="n">
        <f aca="false">'Raw Data'!J633</f>
        <v>0</v>
      </c>
      <c r="J633" s="6" t="n">
        <f aca="false">'Raw Data'!K633</f>
        <v>1</v>
      </c>
      <c r="K633" s="6" t="n">
        <f aca="false">'Raw Data'!L633</f>
        <v>5</v>
      </c>
      <c r="L633" s="6" t="n">
        <f aca="false">F633*E633</f>
        <v>0</v>
      </c>
      <c r="N633" s="0" t="n">
        <v>1</v>
      </c>
      <c r="O633" s="6" t="n">
        <f aca="false">D633</f>
        <v>4.59</v>
      </c>
      <c r="P633" s="6" t="n">
        <f aca="false">E633</f>
        <v>1</v>
      </c>
      <c r="Q633" s="6" t="n">
        <f aca="false">F633</f>
        <v>0</v>
      </c>
      <c r="R633" s="6" t="n">
        <f aca="false">G633</f>
        <v>0</v>
      </c>
      <c r="S633" s="6" t="n">
        <f aca="false">H633</f>
        <v>0</v>
      </c>
      <c r="T633" s="6" t="n">
        <f aca="false">I633</f>
        <v>0</v>
      </c>
      <c r="U633" s="6" t="n">
        <f aca="false">L633</f>
        <v>0</v>
      </c>
      <c r="W633" s="6" t="n">
        <f aca="false">D633</f>
        <v>4.59</v>
      </c>
      <c r="X633" s="6" t="n">
        <f aca="false">E633</f>
        <v>1</v>
      </c>
      <c r="Y633" s="6" t="n">
        <f aca="false">F633</f>
        <v>0</v>
      </c>
      <c r="Z633" s="6" t="n">
        <f aca="false">L633</f>
        <v>0</v>
      </c>
      <c r="AA633" s="6" t="n">
        <f aca="false">G633</f>
        <v>0</v>
      </c>
      <c r="AC633" s="6" t="n">
        <f aca="false">D633</f>
        <v>4.59</v>
      </c>
      <c r="AD633" s="6" t="n">
        <f aca="false">E633</f>
        <v>1</v>
      </c>
      <c r="AE633" s="6" t="n">
        <f aca="false">G633</f>
        <v>0</v>
      </c>
      <c r="AF633" s="6" t="n">
        <f aca="false">H633</f>
        <v>0</v>
      </c>
      <c r="AG633" s="6" t="n">
        <f aca="false">I633</f>
        <v>0</v>
      </c>
      <c r="AH633" s="6" t="n">
        <f aca="false">L633</f>
        <v>0</v>
      </c>
    </row>
    <row r="634" customFormat="false" ht="15" hidden="false" customHeight="false" outlineLevel="0" collapsed="false">
      <c r="A634" s="0" t="str">
        <f aca="false">'Raw Data'!C634</f>
        <v>Los Altos</v>
      </c>
      <c r="B634" s="5" t="n">
        <f aca="false">'Raw Data'!A634</f>
        <v>40337</v>
      </c>
      <c r="C634" s="6" t="n">
        <f aca="false">'Raw Data'!D634</f>
        <v>249.017022008743</v>
      </c>
      <c r="D634" s="6" t="n">
        <f aca="false">'Raw Data'!E634</f>
        <v>4.950833333</v>
      </c>
      <c r="E634" s="6" t="n">
        <f aca="false">'Raw Data'!F634</f>
        <v>1</v>
      </c>
      <c r="F634" s="6" t="n">
        <f aca="false">'Raw Data'!G634</f>
        <v>0</v>
      </c>
      <c r="G634" s="6" t="n">
        <f aca="false">'Raw Data'!H634</f>
        <v>0</v>
      </c>
      <c r="H634" s="6" t="n">
        <f aca="false">'Raw Data'!I634</f>
        <v>0</v>
      </c>
      <c r="I634" s="6" t="n">
        <f aca="false">'Raw Data'!J634</f>
        <v>0</v>
      </c>
      <c r="J634" s="6" t="n">
        <f aca="false">'Raw Data'!K634</f>
        <v>1</v>
      </c>
      <c r="K634" s="6" t="n">
        <f aca="false">'Raw Data'!L634</f>
        <v>5</v>
      </c>
      <c r="L634" s="6" t="n">
        <f aca="false">F634*E634</f>
        <v>0</v>
      </c>
      <c r="N634" s="0" t="n">
        <v>1</v>
      </c>
      <c r="O634" s="6" t="n">
        <f aca="false">D634</f>
        <v>4.950833333</v>
      </c>
      <c r="P634" s="6" t="n">
        <f aca="false">E634</f>
        <v>1</v>
      </c>
      <c r="Q634" s="6" t="n">
        <f aca="false">F634</f>
        <v>0</v>
      </c>
      <c r="R634" s="6" t="n">
        <f aca="false">G634</f>
        <v>0</v>
      </c>
      <c r="S634" s="6" t="n">
        <f aca="false">H634</f>
        <v>0</v>
      </c>
      <c r="T634" s="6" t="n">
        <f aca="false">I634</f>
        <v>0</v>
      </c>
      <c r="U634" s="6" t="n">
        <f aca="false">L634</f>
        <v>0</v>
      </c>
      <c r="W634" s="6" t="n">
        <f aca="false">D634</f>
        <v>4.950833333</v>
      </c>
      <c r="X634" s="6" t="n">
        <f aca="false">E634</f>
        <v>1</v>
      </c>
      <c r="Y634" s="6" t="n">
        <f aca="false">F634</f>
        <v>0</v>
      </c>
      <c r="Z634" s="6" t="n">
        <f aca="false">L634</f>
        <v>0</v>
      </c>
      <c r="AA634" s="6" t="n">
        <f aca="false">G634</f>
        <v>0</v>
      </c>
      <c r="AC634" s="6" t="n">
        <f aca="false">D634</f>
        <v>4.950833333</v>
      </c>
      <c r="AD634" s="6" t="n">
        <f aca="false">E634</f>
        <v>1</v>
      </c>
      <c r="AE634" s="6" t="n">
        <f aca="false">G634</f>
        <v>0</v>
      </c>
      <c r="AF634" s="6" t="n">
        <f aca="false">H634</f>
        <v>0</v>
      </c>
      <c r="AG634" s="6" t="n">
        <f aca="false">I634</f>
        <v>0</v>
      </c>
      <c r="AH634" s="6" t="n">
        <f aca="false">L634</f>
        <v>0</v>
      </c>
    </row>
    <row r="635" customFormat="false" ht="15" hidden="false" customHeight="false" outlineLevel="0" collapsed="false">
      <c r="A635" s="0" t="str">
        <f aca="false">'Raw Data'!C635</f>
        <v>Los Altos</v>
      </c>
      <c r="B635" s="5" t="n">
        <f aca="false">'Raw Data'!A635</f>
        <v>40344</v>
      </c>
      <c r="C635" s="6" t="n">
        <f aca="false">'Raw Data'!D635</f>
        <v>284.496941938692</v>
      </c>
      <c r="D635" s="6" t="n">
        <f aca="false">'Raw Data'!E635</f>
        <v>4.775</v>
      </c>
      <c r="E635" s="6" t="n">
        <f aca="false">'Raw Data'!F635</f>
        <v>1</v>
      </c>
      <c r="F635" s="6" t="n">
        <f aca="false">'Raw Data'!G635</f>
        <v>0</v>
      </c>
      <c r="G635" s="6" t="n">
        <f aca="false">'Raw Data'!H635</f>
        <v>1</v>
      </c>
      <c r="H635" s="6" t="n">
        <f aca="false">'Raw Data'!I635</f>
        <v>0</v>
      </c>
      <c r="I635" s="6" t="n">
        <f aca="false">'Raw Data'!J635</f>
        <v>0</v>
      </c>
      <c r="J635" s="6" t="n">
        <f aca="false">'Raw Data'!K635</f>
        <v>1</v>
      </c>
      <c r="K635" s="6" t="n">
        <f aca="false">'Raw Data'!L635</f>
        <v>5</v>
      </c>
      <c r="L635" s="6" t="n">
        <f aca="false">F635*E635</f>
        <v>0</v>
      </c>
      <c r="N635" s="0" t="n">
        <v>1</v>
      </c>
      <c r="O635" s="6" t="n">
        <f aca="false">D635</f>
        <v>4.775</v>
      </c>
      <c r="P635" s="6" t="n">
        <f aca="false">E635</f>
        <v>1</v>
      </c>
      <c r="Q635" s="6" t="n">
        <f aca="false">F635</f>
        <v>0</v>
      </c>
      <c r="R635" s="6" t="n">
        <f aca="false">G635</f>
        <v>1</v>
      </c>
      <c r="S635" s="6" t="n">
        <f aca="false">H635</f>
        <v>0</v>
      </c>
      <c r="T635" s="6" t="n">
        <f aca="false">I635</f>
        <v>0</v>
      </c>
      <c r="U635" s="6" t="n">
        <f aca="false">L635</f>
        <v>0</v>
      </c>
      <c r="W635" s="6" t="n">
        <f aca="false">D635</f>
        <v>4.775</v>
      </c>
      <c r="X635" s="6" t="n">
        <f aca="false">E635</f>
        <v>1</v>
      </c>
      <c r="Y635" s="6" t="n">
        <f aca="false">F635</f>
        <v>0</v>
      </c>
      <c r="Z635" s="6" t="n">
        <f aca="false">L635</f>
        <v>0</v>
      </c>
      <c r="AA635" s="6" t="n">
        <f aca="false">G635</f>
        <v>1</v>
      </c>
      <c r="AC635" s="6" t="n">
        <f aca="false">D635</f>
        <v>4.775</v>
      </c>
      <c r="AD635" s="6" t="n">
        <f aca="false">E635</f>
        <v>1</v>
      </c>
      <c r="AE635" s="6" t="n">
        <f aca="false">G635</f>
        <v>1</v>
      </c>
      <c r="AF635" s="6" t="n">
        <f aca="false">H635</f>
        <v>0</v>
      </c>
      <c r="AG635" s="6" t="n">
        <f aca="false">I635</f>
        <v>0</v>
      </c>
      <c r="AH635" s="6" t="n">
        <f aca="false">L635</f>
        <v>0</v>
      </c>
    </row>
    <row r="636" customFormat="false" ht="15" hidden="false" customHeight="false" outlineLevel="0" collapsed="false">
      <c r="A636" s="0" t="str">
        <f aca="false">'Raw Data'!C636</f>
        <v>Los Altos</v>
      </c>
      <c r="B636" s="5" t="n">
        <f aca="false">'Raw Data'!A636</f>
        <v>40351</v>
      </c>
      <c r="C636" s="6" t="n">
        <f aca="false">'Raw Data'!D636</f>
        <v>256.237681000226</v>
      </c>
      <c r="D636" s="6" t="n">
        <f aca="false">'Raw Data'!E636</f>
        <v>4.674615385</v>
      </c>
      <c r="E636" s="6" t="n">
        <f aca="false">'Raw Data'!F636</f>
        <v>1</v>
      </c>
      <c r="F636" s="6" t="n">
        <f aca="false">'Raw Data'!G636</f>
        <v>0</v>
      </c>
      <c r="G636" s="6" t="n">
        <f aca="false">'Raw Data'!H636</f>
        <v>0</v>
      </c>
      <c r="H636" s="6" t="n">
        <f aca="false">'Raw Data'!I636</f>
        <v>1</v>
      </c>
      <c r="I636" s="6" t="n">
        <f aca="false">'Raw Data'!J636</f>
        <v>0</v>
      </c>
      <c r="J636" s="6" t="n">
        <f aca="false">'Raw Data'!K636</f>
        <v>1</v>
      </c>
      <c r="K636" s="6" t="n">
        <f aca="false">'Raw Data'!L636</f>
        <v>5</v>
      </c>
      <c r="L636" s="6" t="n">
        <f aca="false">F636*E636</f>
        <v>0</v>
      </c>
      <c r="N636" s="0" t="n">
        <v>1</v>
      </c>
      <c r="O636" s="6" t="n">
        <f aca="false">D636</f>
        <v>4.674615385</v>
      </c>
      <c r="P636" s="6" t="n">
        <f aca="false">E636</f>
        <v>1</v>
      </c>
      <c r="Q636" s="6" t="n">
        <f aca="false">F636</f>
        <v>0</v>
      </c>
      <c r="R636" s="6" t="n">
        <f aca="false">G636</f>
        <v>0</v>
      </c>
      <c r="S636" s="6" t="n">
        <f aca="false">H636</f>
        <v>1</v>
      </c>
      <c r="T636" s="6" t="n">
        <f aca="false">I636</f>
        <v>0</v>
      </c>
      <c r="U636" s="6" t="n">
        <f aca="false">L636</f>
        <v>0</v>
      </c>
      <c r="W636" s="6" t="n">
        <f aca="false">D636</f>
        <v>4.674615385</v>
      </c>
      <c r="X636" s="6" t="n">
        <f aca="false">E636</f>
        <v>1</v>
      </c>
      <c r="Y636" s="6" t="n">
        <f aca="false">F636</f>
        <v>0</v>
      </c>
      <c r="Z636" s="6" t="n">
        <f aca="false">L636</f>
        <v>0</v>
      </c>
      <c r="AA636" s="6" t="n">
        <f aca="false">G636</f>
        <v>0</v>
      </c>
      <c r="AC636" s="6" t="n">
        <f aca="false">D636</f>
        <v>4.674615385</v>
      </c>
      <c r="AD636" s="6" t="n">
        <f aca="false">E636</f>
        <v>1</v>
      </c>
      <c r="AE636" s="6" t="n">
        <f aca="false">G636</f>
        <v>0</v>
      </c>
      <c r="AF636" s="6" t="n">
        <f aca="false">H636</f>
        <v>1</v>
      </c>
      <c r="AG636" s="6" t="n">
        <f aca="false">I636</f>
        <v>0</v>
      </c>
      <c r="AH636" s="6" t="n">
        <f aca="false">L636</f>
        <v>0</v>
      </c>
    </row>
    <row r="637" customFormat="false" ht="15" hidden="false" customHeight="false" outlineLevel="0" collapsed="false">
      <c r="A637" s="0" t="str">
        <f aca="false">'Raw Data'!C637</f>
        <v>Los Altos</v>
      </c>
      <c r="B637" s="5" t="n">
        <f aca="false">'Raw Data'!A637</f>
        <v>40358</v>
      </c>
      <c r="C637" s="6" t="n">
        <f aca="false">'Raw Data'!D637</f>
        <v>328.054590772526</v>
      </c>
      <c r="D637" s="6" t="n">
        <f aca="false">'Raw Data'!E637</f>
        <v>4.398333333</v>
      </c>
      <c r="E637" s="6" t="n">
        <f aca="false">'Raw Data'!F637</f>
        <v>1</v>
      </c>
      <c r="F637" s="6" t="n">
        <f aca="false">'Raw Data'!G637</f>
        <v>0</v>
      </c>
      <c r="G637" s="6" t="n">
        <f aca="false">'Raw Data'!H637</f>
        <v>0</v>
      </c>
      <c r="H637" s="6" t="n">
        <f aca="false">'Raw Data'!I637</f>
        <v>1</v>
      </c>
      <c r="I637" s="6" t="n">
        <f aca="false">'Raw Data'!J637</f>
        <v>0</v>
      </c>
      <c r="J637" s="6" t="n">
        <f aca="false">'Raw Data'!K637</f>
        <v>1</v>
      </c>
      <c r="K637" s="6" t="n">
        <f aca="false">'Raw Data'!L637</f>
        <v>5</v>
      </c>
      <c r="L637" s="6" t="n">
        <f aca="false">F637*E637</f>
        <v>0</v>
      </c>
      <c r="N637" s="0" t="n">
        <v>1</v>
      </c>
      <c r="O637" s="6" t="n">
        <f aca="false">D637</f>
        <v>4.398333333</v>
      </c>
      <c r="P637" s="6" t="n">
        <f aca="false">E637</f>
        <v>1</v>
      </c>
      <c r="Q637" s="6" t="n">
        <f aca="false">F637</f>
        <v>0</v>
      </c>
      <c r="R637" s="6" t="n">
        <f aca="false">G637</f>
        <v>0</v>
      </c>
      <c r="S637" s="6" t="n">
        <f aca="false">H637</f>
        <v>1</v>
      </c>
      <c r="T637" s="6" t="n">
        <f aca="false">I637</f>
        <v>0</v>
      </c>
      <c r="U637" s="6" t="n">
        <f aca="false">L637</f>
        <v>0</v>
      </c>
      <c r="W637" s="6" t="n">
        <f aca="false">D637</f>
        <v>4.398333333</v>
      </c>
      <c r="X637" s="6" t="n">
        <f aca="false">E637</f>
        <v>1</v>
      </c>
      <c r="Y637" s="6" t="n">
        <f aca="false">F637</f>
        <v>0</v>
      </c>
      <c r="Z637" s="6" t="n">
        <f aca="false">L637</f>
        <v>0</v>
      </c>
      <c r="AA637" s="6" t="n">
        <f aca="false">G637</f>
        <v>0</v>
      </c>
      <c r="AC637" s="6" t="n">
        <f aca="false">D637</f>
        <v>4.398333333</v>
      </c>
      <c r="AD637" s="6" t="n">
        <f aca="false">E637</f>
        <v>1</v>
      </c>
      <c r="AE637" s="6" t="n">
        <f aca="false">G637</f>
        <v>0</v>
      </c>
      <c r="AF637" s="6" t="n">
        <f aca="false">H637</f>
        <v>1</v>
      </c>
      <c r="AG637" s="6" t="n">
        <f aca="false">I637</f>
        <v>0</v>
      </c>
      <c r="AH637" s="6" t="n">
        <f aca="false">L637</f>
        <v>0</v>
      </c>
    </row>
    <row r="638" customFormat="false" ht="15" hidden="false" customHeight="false" outlineLevel="0" collapsed="false">
      <c r="A638" s="0" t="str">
        <f aca="false">'Raw Data'!C638</f>
        <v>Los Altos</v>
      </c>
      <c r="B638" s="5" t="n">
        <f aca="false">'Raw Data'!A638</f>
        <v>40365</v>
      </c>
      <c r="C638" s="6" t="n">
        <f aca="false">'Raw Data'!D638</f>
        <v>287.570828139194</v>
      </c>
      <c r="D638" s="6" t="n">
        <f aca="false">'Raw Data'!E638</f>
        <v>4.456666667</v>
      </c>
      <c r="E638" s="6" t="n">
        <f aca="false">'Raw Data'!F638</f>
        <v>1</v>
      </c>
      <c r="F638" s="6" t="n">
        <f aca="false">'Raw Data'!G638</f>
        <v>0</v>
      </c>
      <c r="G638" s="6" t="n">
        <f aca="false">'Raw Data'!H638</f>
        <v>0</v>
      </c>
      <c r="H638" s="6" t="n">
        <f aca="false">'Raw Data'!I638</f>
        <v>1</v>
      </c>
      <c r="I638" s="6" t="n">
        <f aca="false">'Raw Data'!J638</f>
        <v>0</v>
      </c>
      <c r="J638" s="6" t="n">
        <f aca="false">'Raw Data'!K638</f>
        <v>1</v>
      </c>
      <c r="K638" s="6" t="n">
        <f aca="false">'Raw Data'!L638</f>
        <v>5</v>
      </c>
      <c r="L638" s="6" t="n">
        <f aca="false">F638*E638</f>
        <v>0</v>
      </c>
      <c r="N638" s="0" t="n">
        <v>1</v>
      </c>
      <c r="O638" s="6" t="n">
        <f aca="false">D638</f>
        <v>4.456666667</v>
      </c>
      <c r="P638" s="6" t="n">
        <f aca="false">E638</f>
        <v>1</v>
      </c>
      <c r="Q638" s="6" t="n">
        <f aca="false">F638</f>
        <v>0</v>
      </c>
      <c r="R638" s="6" t="n">
        <f aca="false">G638</f>
        <v>0</v>
      </c>
      <c r="S638" s="6" t="n">
        <f aca="false">H638</f>
        <v>1</v>
      </c>
      <c r="T638" s="6" t="n">
        <f aca="false">I638</f>
        <v>0</v>
      </c>
      <c r="U638" s="6" t="n">
        <f aca="false">L638</f>
        <v>0</v>
      </c>
      <c r="W638" s="6" t="n">
        <f aca="false">D638</f>
        <v>4.456666667</v>
      </c>
      <c r="X638" s="6" t="n">
        <f aca="false">E638</f>
        <v>1</v>
      </c>
      <c r="Y638" s="6" t="n">
        <f aca="false">F638</f>
        <v>0</v>
      </c>
      <c r="Z638" s="6" t="n">
        <f aca="false">L638</f>
        <v>0</v>
      </c>
      <c r="AA638" s="6" t="n">
        <f aca="false">G638</f>
        <v>0</v>
      </c>
      <c r="AC638" s="6" t="n">
        <f aca="false">D638</f>
        <v>4.456666667</v>
      </c>
      <c r="AD638" s="6" t="n">
        <f aca="false">E638</f>
        <v>1</v>
      </c>
      <c r="AE638" s="6" t="n">
        <f aca="false">G638</f>
        <v>0</v>
      </c>
      <c r="AF638" s="6" t="n">
        <f aca="false">H638</f>
        <v>1</v>
      </c>
      <c r="AG638" s="6" t="n">
        <f aca="false">I638</f>
        <v>0</v>
      </c>
      <c r="AH638" s="6" t="n">
        <f aca="false">L638</f>
        <v>0</v>
      </c>
    </row>
    <row r="639" customFormat="false" ht="15" hidden="false" customHeight="false" outlineLevel="0" collapsed="false">
      <c r="A639" s="0" t="str">
        <f aca="false">'Raw Data'!C639</f>
        <v>Los Altos</v>
      </c>
      <c r="B639" s="5" t="n">
        <f aca="false">'Raw Data'!A639</f>
        <v>40372</v>
      </c>
      <c r="C639" s="6" t="n">
        <f aca="false">'Raw Data'!D639</f>
        <v>228.812651369272</v>
      </c>
      <c r="D639" s="6" t="n">
        <f aca="false">'Raw Data'!E639</f>
        <v>4.456666667</v>
      </c>
      <c r="E639" s="6" t="n">
        <f aca="false">'Raw Data'!F639</f>
        <v>1</v>
      </c>
      <c r="F639" s="6" t="n">
        <f aca="false">'Raw Data'!G639</f>
        <v>0</v>
      </c>
      <c r="G639" s="6" t="n">
        <f aca="false">'Raw Data'!H639</f>
        <v>0</v>
      </c>
      <c r="H639" s="6" t="n">
        <f aca="false">'Raw Data'!I639</f>
        <v>0</v>
      </c>
      <c r="I639" s="6" t="n">
        <f aca="false">'Raw Data'!J639</f>
        <v>1</v>
      </c>
      <c r="J639" s="6" t="n">
        <f aca="false">'Raw Data'!K639</f>
        <v>1</v>
      </c>
      <c r="K639" s="6" t="n">
        <f aca="false">'Raw Data'!L639</f>
        <v>5</v>
      </c>
      <c r="L639" s="6" t="n">
        <f aca="false">F639*E639</f>
        <v>0</v>
      </c>
      <c r="N639" s="0" t="n">
        <v>1</v>
      </c>
      <c r="O639" s="6" t="n">
        <f aca="false">D639</f>
        <v>4.456666667</v>
      </c>
      <c r="P639" s="6" t="n">
        <f aca="false">E639</f>
        <v>1</v>
      </c>
      <c r="Q639" s="6" t="n">
        <f aca="false">F639</f>
        <v>0</v>
      </c>
      <c r="R639" s="6" t="n">
        <f aca="false">G639</f>
        <v>0</v>
      </c>
      <c r="S639" s="6" t="n">
        <f aca="false">H639</f>
        <v>0</v>
      </c>
      <c r="T639" s="6" t="n">
        <f aca="false">I639</f>
        <v>1</v>
      </c>
      <c r="U639" s="6" t="n">
        <f aca="false">L639</f>
        <v>0</v>
      </c>
      <c r="W639" s="6" t="n">
        <f aca="false">D639</f>
        <v>4.456666667</v>
      </c>
      <c r="X639" s="6" t="n">
        <f aca="false">E639</f>
        <v>1</v>
      </c>
      <c r="Y639" s="6" t="n">
        <f aca="false">F639</f>
        <v>0</v>
      </c>
      <c r="Z639" s="6" t="n">
        <f aca="false">L639</f>
        <v>0</v>
      </c>
      <c r="AA639" s="6" t="n">
        <f aca="false">G639</f>
        <v>0</v>
      </c>
      <c r="AC639" s="6" t="n">
        <f aca="false">D639</f>
        <v>4.456666667</v>
      </c>
      <c r="AD639" s="6" t="n">
        <f aca="false">E639</f>
        <v>1</v>
      </c>
      <c r="AE639" s="6" t="n">
        <f aca="false">G639</f>
        <v>0</v>
      </c>
      <c r="AF639" s="6" t="n">
        <f aca="false">H639</f>
        <v>0</v>
      </c>
      <c r="AG639" s="6" t="n">
        <f aca="false">I639</f>
        <v>1</v>
      </c>
      <c r="AH639" s="6" t="n">
        <f aca="false">L639</f>
        <v>0</v>
      </c>
    </row>
    <row r="640" customFormat="false" ht="15" hidden="false" customHeight="false" outlineLevel="0" collapsed="false">
      <c r="A640" s="0" t="str">
        <f aca="false">'Raw Data'!C640</f>
        <v>Napa</v>
      </c>
      <c r="B640" s="5" t="n">
        <f aca="false">'Raw Data'!A640</f>
        <v>40302</v>
      </c>
      <c r="C640" s="6" t="n">
        <f aca="false">'Raw Data'!D640</f>
        <v>253.619983961863</v>
      </c>
      <c r="D640" s="6" t="n">
        <f aca="false">'Raw Data'!E640</f>
        <v>4.623333333</v>
      </c>
      <c r="E640" s="6" t="n">
        <f aca="false">'Raw Data'!F640</f>
        <v>1</v>
      </c>
      <c r="F640" s="6" t="n">
        <f aca="false">'Raw Data'!G640</f>
        <v>0</v>
      </c>
      <c r="G640" s="6" t="n">
        <f aca="false">'Raw Data'!H640</f>
        <v>0</v>
      </c>
      <c r="H640" s="6" t="n">
        <f aca="false">'Raw Data'!I640</f>
        <v>1</v>
      </c>
      <c r="I640" s="6" t="n">
        <f aca="false">'Raw Data'!J640</f>
        <v>0</v>
      </c>
      <c r="J640" s="6" t="n">
        <f aca="false">'Raw Data'!K640</f>
        <v>3</v>
      </c>
      <c r="K640" s="6" t="n">
        <f aca="false">'Raw Data'!L640</f>
        <v>2</v>
      </c>
      <c r="L640" s="6" t="n">
        <f aca="false">F640*E640</f>
        <v>0</v>
      </c>
      <c r="N640" s="0" t="n">
        <v>1</v>
      </c>
      <c r="O640" s="6" t="n">
        <f aca="false">D640</f>
        <v>4.623333333</v>
      </c>
      <c r="P640" s="6" t="n">
        <f aca="false">E640</f>
        <v>1</v>
      </c>
      <c r="Q640" s="6" t="n">
        <f aca="false">F640</f>
        <v>0</v>
      </c>
      <c r="R640" s="6" t="n">
        <f aca="false">G640</f>
        <v>0</v>
      </c>
      <c r="S640" s="6" t="n">
        <f aca="false">H640</f>
        <v>1</v>
      </c>
      <c r="T640" s="6" t="n">
        <f aca="false">I640</f>
        <v>0</v>
      </c>
      <c r="U640" s="6" t="n">
        <f aca="false">L640</f>
        <v>0</v>
      </c>
      <c r="W640" s="6" t="n">
        <f aca="false">D640</f>
        <v>4.623333333</v>
      </c>
      <c r="X640" s="6" t="n">
        <f aca="false">E640</f>
        <v>1</v>
      </c>
      <c r="Y640" s="6" t="n">
        <f aca="false">F640</f>
        <v>0</v>
      </c>
      <c r="Z640" s="6" t="n">
        <f aca="false">L640</f>
        <v>0</v>
      </c>
      <c r="AA640" s="6" t="n">
        <f aca="false">G640</f>
        <v>0</v>
      </c>
      <c r="AC640" s="6" t="n">
        <f aca="false">D640</f>
        <v>4.623333333</v>
      </c>
      <c r="AD640" s="6" t="n">
        <f aca="false">E640</f>
        <v>1</v>
      </c>
      <c r="AE640" s="6" t="n">
        <f aca="false">G640</f>
        <v>0</v>
      </c>
      <c r="AF640" s="6" t="n">
        <f aca="false">H640</f>
        <v>1</v>
      </c>
      <c r="AG640" s="6" t="n">
        <f aca="false">I640</f>
        <v>0</v>
      </c>
      <c r="AH640" s="6" t="n">
        <f aca="false">L640</f>
        <v>0</v>
      </c>
    </row>
    <row r="641" customFormat="false" ht="15" hidden="false" customHeight="false" outlineLevel="0" collapsed="false">
      <c r="A641" s="0" t="str">
        <f aca="false">'Raw Data'!C641</f>
        <v>Napa</v>
      </c>
      <c r="B641" s="5" t="n">
        <f aca="false">'Raw Data'!A641</f>
        <v>40309</v>
      </c>
      <c r="C641" s="6" t="n">
        <f aca="false">'Raw Data'!D641</f>
        <v>321.749221311333</v>
      </c>
      <c r="D641" s="6" t="n">
        <f aca="false">'Raw Data'!E641</f>
        <v>4.623333333</v>
      </c>
      <c r="E641" s="6" t="n">
        <f aca="false">'Raw Data'!F641</f>
        <v>1</v>
      </c>
      <c r="F641" s="6" t="n">
        <f aca="false">'Raw Data'!G641</f>
        <v>0</v>
      </c>
      <c r="G641" s="6" t="n">
        <f aca="false">'Raw Data'!H641</f>
        <v>0</v>
      </c>
      <c r="H641" s="6" t="n">
        <f aca="false">'Raw Data'!I641</f>
        <v>0</v>
      </c>
      <c r="I641" s="6" t="n">
        <f aca="false">'Raw Data'!J641</f>
        <v>1</v>
      </c>
      <c r="J641" s="6" t="n">
        <f aca="false">'Raw Data'!K641</f>
        <v>3</v>
      </c>
      <c r="K641" s="6" t="n">
        <f aca="false">'Raw Data'!L641</f>
        <v>2</v>
      </c>
      <c r="L641" s="6" t="n">
        <f aca="false">F641*E641</f>
        <v>0</v>
      </c>
      <c r="N641" s="0" t="n">
        <v>1</v>
      </c>
      <c r="O641" s="6" t="n">
        <f aca="false">D641</f>
        <v>4.623333333</v>
      </c>
      <c r="P641" s="6" t="n">
        <f aca="false">E641</f>
        <v>1</v>
      </c>
      <c r="Q641" s="6" t="n">
        <f aca="false">F641</f>
        <v>0</v>
      </c>
      <c r="R641" s="6" t="n">
        <f aca="false">G641</f>
        <v>0</v>
      </c>
      <c r="S641" s="6" t="n">
        <f aca="false">H641</f>
        <v>0</v>
      </c>
      <c r="T641" s="6" t="n">
        <f aca="false">I641</f>
        <v>1</v>
      </c>
      <c r="U641" s="6" t="n">
        <f aca="false">L641</f>
        <v>0</v>
      </c>
      <c r="W641" s="6" t="n">
        <f aca="false">D641</f>
        <v>4.623333333</v>
      </c>
      <c r="X641" s="6" t="n">
        <f aca="false">E641</f>
        <v>1</v>
      </c>
      <c r="Y641" s="6" t="n">
        <f aca="false">F641</f>
        <v>0</v>
      </c>
      <c r="Z641" s="6" t="n">
        <f aca="false">L641</f>
        <v>0</v>
      </c>
      <c r="AA641" s="6" t="n">
        <f aca="false">G641</f>
        <v>0</v>
      </c>
      <c r="AC641" s="6" t="n">
        <f aca="false">D641</f>
        <v>4.623333333</v>
      </c>
      <c r="AD641" s="6" t="n">
        <f aca="false">E641</f>
        <v>1</v>
      </c>
      <c r="AE641" s="6" t="n">
        <f aca="false">G641</f>
        <v>0</v>
      </c>
      <c r="AF641" s="6" t="n">
        <f aca="false">H641</f>
        <v>0</v>
      </c>
      <c r="AG641" s="6" t="n">
        <f aca="false">I641</f>
        <v>1</v>
      </c>
      <c r="AH641" s="6" t="n">
        <f aca="false">L641</f>
        <v>0</v>
      </c>
    </row>
    <row r="642" customFormat="false" ht="15" hidden="false" customHeight="false" outlineLevel="0" collapsed="false">
      <c r="A642" s="0" t="str">
        <f aca="false">'Raw Data'!C642</f>
        <v>Napa</v>
      </c>
      <c r="B642" s="5" t="n">
        <f aca="false">'Raw Data'!A642</f>
        <v>40316</v>
      </c>
      <c r="C642" s="6" t="n">
        <f aca="false">'Raw Data'!D642</f>
        <v>231.566745816806</v>
      </c>
      <c r="D642" s="6" t="n">
        <f aca="false">'Raw Data'!E642</f>
        <v>4.29</v>
      </c>
      <c r="E642" s="6" t="n">
        <f aca="false">'Raw Data'!F642</f>
        <v>1</v>
      </c>
      <c r="F642" s="6" t="n">
        <f aca="false">'Raw Data'!G642</f>
        <v>0</v>
      </c>
      <c r="G642" s="6" t="n">
        <f aca="false">'Raw Data'!H642</f>
        <v>0</v>
      </c>
      <c r="H642" s="6" t="n">
        <f aca="false">'Raw Data'!I642</f>
        <v>0</v>
      </c>
      <c r="I642" s="6" t="n">
        <f aca="false">'Raw Data'!J642</f>
        <v>1</v>
      </c>
      <c r="J642" s="6" t="n">
        <f aca="false">'Raw Data'!K642</f>
        <v>3</v>
      </c>
      <c r="K642" s="6" t="n">
        <f aca="false">'Raw Data'!L642</f>
        <v>2</v>
      </c>
      <c r="L642" s="6" t="n">
        <f aca="false">F642*E642</f>
        <v>0</v>
      </c>
      <c r="N642" s="0" t="n">
        <v>1</v>
      </c>
      <c r="O642" s="6" t="n">
        <f aca="false">D642</f>
        <v>4.29</v>
      </c>
      <c r="P642" s="6" t="n">
        <f aca="false">E642</f>
        <v>1</v>
      </c>
      <c r="Q642" s="6" t="n">
        <f aca="false">F642</f>
        <v>0</v>
      </c>
      <c r="R642" s="6" t="n">
        <f aca="false">G642</f>
        <v>0</v>
      </c>
      <c r="S642" s="6" t="n">
        <f aca="false">H642</f>
        <v>0</v>
      </c>
      <c r="T642" s="6" t="n">
        <f aca="false">I642</f>
        <v>1</v>
      </c>
      <c r="U642" s="6" t="n">
        <f aca="false">L642</f>
        <v>0</v>
      </c>
      <c r="W642" s="6" t="n">
        <f aca="false">D642</f>
        <v>4.29</v>
      </c>
      <c r="X642" s="6" t="n">
        <f aca="false">E642</f>
        <v>1</v>
      </c>
      <c r="Y642" s="6" t="n">
        <f aca="false">F642</f>
        <v>0</v>
      </c>
      <c r="Z642" s="6" t="n">
        <f aca="false">L642</f>
        <v>0</v>
      </c>
      <c r="AA642" s="6" t="n">
        <f aca="false">G642</f>
        <v>0</v>
      </c>
      <c r="AC642" s="6" t="n">
        <f aca="false">D642</f>
        <v>4.29</v>
      </c>
      <c r="AD642" s="6" t="n">
        <f aca="false">E642</f>
        <v>1</v>
      </c>
      <c r="AE642" s="6" t="n">
        <f aca="false">G642</f>
        <v>0</v>
      </c>
      <c r="AF642" s="6" t="n">
        <f aca="false">H642</f>
        <v>0</v>
      </c>
      <c r="AG642" s="6" t="n">
        <f aca="false">I642</f>
        <v>1</v>
      </c>
      <c r="AH642" s="6" t="n">
        <f aca="false">L642</f>
        <v>0</v>
      </c>
    </row>
    <row r="643" customFormat="false" ht="15" hidden="false" customHeight="false" outlineLevel="0" collapsed="false">
      <c r="A643" s="0" t="str">
        <f aca="false">'Raw Data'!C643</f>
        <v>Napa</v>
      </c>
      <c r="B643" s="5" t="n">
        <f aca="false">'Raw Data'!A643</f>
        <v>40323</v>
      </c>
      <c r="C643" s="6" t="n">
        <f aca="false">'Raw Data'!D643</f>
        <v>183.85014679131</v>
      </c>
      <c r="D643" s="6" t="n">
        <f aca="false">'Raw Data'!E643</f>
        <v>4.29</v>
      </c>
      <c r="E643" s="6" t="n">
        <f aca="false">'Raw Data'!F643</f>
        <v>1</v>
      </c>
      <c r="F643" s="6" t="n">
        <f aca="false">'Raw Data'!G643</f>
        <v>0</v>
      </c>
      <c r="G643" s="6" t="n">
        <f aca="false">'Raw Data'!H643</f>
        <v>0</v>
      </c>
      <c r="H643" s="6" t="n">
        <f aca="false">'Raw Data'!I643</f>
        <v>0</v>
      </c>
      <c r="I643" s="6" t="n">
        <f aca="false">'Raw Data'!J643</f>
        <v>0</v>
      </c>
      <c r="J643" s="6" t="n">
        <f aca="false">'Raw Data'!K643</f>
        <v>3</v>
      </c>
      <c r="K643" s="6" t="n">
        <f aca="false">'Raw Data'!L643</f>
        <v>2</v>
      </c>
      <c r="L643" s="6" t="n">
        <f aca="false">F643*E643</f>
        <v>0</v>
      </c>
      <c r="N643" s="0" t="n">
        <v>1</v>
      </c>
      <c r="O643" s="6" t="n">
        <f aca="false">D643</f>
        <v>4.29</v>
      </c>
      <c r="P643" s="6" t="n">
        <f aca="false">E643</f>
        <v>1</v>
      </c>
      <c r="Q643" s="6" t="n">
        <f aca="false">F643</f>
        <v>0</v>
      </c>
      <c r="R643" s="6" t="n">
        <f aca="false">G643</f>
        <v>0</v>
      </c>
      <c r="S643" s="6" t="n">
        <f aca="false">H643</f>
        <v>0</v>
      </c>
      <c r="T643" s="6" t="n">
        <f aca="false">I643</f>
        <v>0</v>
      </c>
      <c r="U643" s="6" t="n">
        <f aca="false">L643</f>
        <v>0</v>
      </c>
      <c r="W643" s="6" t="n">
        <f aca="false">D643</f>
        <v>4.29</v>
      </c>
      <c r="X643" s="6" t="n">
        <f aca="false">E643</f>
        <v>1</v>
      </c>
      <c r="Y643" s="6" t="n">
        <f aca="false">F643</f>
        <v>0</v>
      </c>
      <c r="Z643" s="6" t="n">
        <f aca="false">L643</f>
        <v>0</v>
      </c>
      <c r="AA643" s="6" t="n">
        <f aca="false">G643</f>
        <v>0</v>
      </c>
      <c r="AC643" s="6" t="n">
        <f aca="false">D643</f>
        <v>4.29</v>
      </c>
      <c r="AD643" s="6" t="n">
        <f aca="false">E643</f>
        <v>1</v>
      </c>
      <c r="AE643" s="6" t="n">
        <f aca="false">G643</f>
        <v>0</v>
      </c>
      <c r="AF643" s="6" t="n">
        <f aca="false">H643</f>
        <v>0</v>
      </c>
      <c r="AG643" s="6" t="n">
        <f aca="false">I643</f>
        <v>0</v>
      </c>
      <c r="AH643" s="6" t="n">
        <f aca="false">L643</f>
        <v>0</v>
      </c>
    </row>
    <row r="644" customFormat="false" ht="15" hidden="false" customHeight="false" outlineLevel="0" collapsed="false">
      <c r="A644" s="0" t="str">
        <f aca="false">'Raw Data'!C644</f>
        <v>Napa</v>
      </c>
      <c r="B644" s="5" t="n">
        <f aca="false">'Raw Data'!A644</f>
        <v>40330</v>
      </c>
      <c r="C644" s="6" t="n">
        <f aca="false">'Raw Data'!D644</f>
        <v>228.740467089158</v>
      </c>
      <c r="D644" s="6" t="n">
        <f aca="false">'Raw Data'!E644</f>
        <v>4.29</v>
      </c>
      <c r="E644" s="6" t="n">
        <f aca="false">'Raw Data'!F644</f>
        <v>1</v>
      </c>
      <c r="F644" s="6" t="n">
        <f aca="false">'Raw Data'!G644</f>
        <v>0</v>
      </c>
      <c r="G644" s="6" t="n">
        <f aca="false">'Raw Data'!H644</f>
        <v>0</v>
      </c>
      <c r="H644" s="6" t="n">
        <f aca="false">'Raw Data'!I644</f>
        <v>0</v>
      </c>
      <c r="I644" s="6" t="n">
        <f aca="false">'Raw Data'!J644</f>
        <v>0</v>
      </c>
      <c r="J644" s="6" t="n">
        <f aca="false">'Raw Data'!K644</f>
        <v>3</v>
      </c>
      <c r="K644" s="6" t="n">
        <f aca="false">'Raw Data'!L644</f>
        <v>2</v>
      </c>
      <c r="L644" s="6" t="n">
        <f aca="false">F644*E644</f>
        <v>0</v>
      </c>
      <c r="N644" s="0" t="n">
        <v>1</v>
      </c>
      <c r="O644" s="6" t="n">
        <f aca="false">D644</f>
        <v>4.29</v>
      </c>
      <c r="P644" s="6" t="n">
        <f aca="false">E644</f>
        <v>1</v>
      </c>
      <c r="Q644" s="6" t="n">
        <f aca="false">F644</f>
        <v>0</v>
      </c>
      <c r="R644" s="6" t="n">
        <f aca="false">G644</f>
        <v>0</v>
      </c>
      <c r="S644" s="6" t="n">
        <f aca="false">H644</f>
        <v>0</v>
      </c>
      <c r="T644" s="6" t="n">
        <f aca="false">I644</f>
        <v>0</v>
      </c>
      <c r="U644" s="6" t="n">
        <f aca="false">L644</f>
        <v>0</v>
      </c>
      <c r="W644" s="6" t="n">
        <f aca="false">D644</f>
        <v>4.29</v>
      </c>
      <c r="X644" s="6" t="n">
        <f aca="false">E644</f>
        <v>1</v>
      </c>
      <c r="Y644" s="6" t="n">
        <f aca="false">F644</f>
        <v>0</v>
      </c>
      <c r="Z644" s="6" t="n">
        <f aca="false">L644</f>
        <v>0</v>
      </c>
      <c r="AA644" s="6" t="n">
        <f aca="false">G644</f>
        <v>0</v>
      </c>
      <c r="AC644" s="6" t="n">
        <f aca="false">D644</f>
        <v>4.29</v>
      </c>
      <c r="AD644" s="6" t="n">
        <f aca="false">E644</f>
        <v>1</v>
      </c>
      <c r="AE644" s="6" t="n">
        <f aca="false">G644</f>
        <v>0</v>
      </c>
      <c r="AF644" s="6" t="n">
        <f aca="false">H644</f>
        <v>0</v>
      </c>
      <c r="AG644" s="6" t="n">
        <f aca="false">I644</f>
        <v>0</v>
      </c>
      <c r="AH644" s="6" t="n">
        <f aca="false">L644</f>
        <v>0</v>
      </c>
    </row>
    <row r="645" customFormat="false" ht="15" hidden="false" customHeight="false" outlineLevel="0" collapsed="false">
      <c r="A645" s="0" t="str">
        <f aca="false">'Raw Data'!C645</f>
        <v>Napa</v>
      </c>
      <c r="B645" s="5" t="n">
        <f aca="false">'Raw Data'!A645</f>
        <v>40337</v>
      </c>
      <c r="C645" s="6" t="n">
        <f aca="false">'Raw Data'!D645</f>
        <v>234.027954048131</v>
      </c>
      <c r="D645" s="6" t="n">
        <f aca="false">'Raw Data'!E645</f>
        <v>4.624166667</v>
      </c>
      <c r="E645" s="6" t="n">
        <f aca="false">'Raw Data'!F645</f>
        <v>1</v>
      </c>
      <c r="F645" s="6" t="n">
        <f aca="false">'Raw Data'!G645</f>
        <v>0</v>
      </c>
      <c r="G645" s="6" t="n">
        <f aca="false">'Raw Data'!H645</f>
        <v>0</v>
      </c>
      <c r="H645" s="6" t="n">
        <f aca="false">'Raw Data'!I645</f>
        <v>0</v>
      </c>
      <c r="I645" s="6" t="n">
        <f aca="false">'Raw Data'!J645</f>
        <v>0</v>
      </c>
      <c r="J645" s="6" t="n">
        <f aca="false">'Raw Data'!K645</f>
        <v>3</v>
      </c>
      <c r="K645" s="6" t="n">
        <f aca="false">'Raw Data'!L645</f>
        <v>2</v>
      </c>
      <c r="L645" s="6" t="n">
        <f aca="false">F645*E645</f>
        <v>0</v>
      </c>
      <c r="N645" s="0" t="n">
        <v>1</v>
      </c>
      <c r="O645" s="6" t="n">
        <f aca="false">D645</f>
        <v>4.624166667</v>
      </c>
      <c r="P645" s="6" t="n">
        <f aca="false">E645</f>
        <v>1</v>
      </c>
      <c r="Q645" s="6" t="n">
        <f aca="false">F645</f>
        <v>0</v>
      </c>
      <c r="R645" s="6" t="n">
        <f aca="false">G645</f>
        <v>0</v>
      </c>
      <c r="S645" s="6" t="n">
        <f aca="false">H645</f>
        <v>0</v>
      </c>
      <c r="T645" s="6" t="n">
        <f aca="false">I645</f>
        <v>0</v>
      </c>
      <c r="U645" s="6" t="n">
        <f aca="false">L645</f>
        <v>0</v>
      </c>
      <c r="W645" s="6" t="n">
        <f aca="false">D645</f>
        <v>4.624166667</v>
      </c>
      <c r="X645" s="6" t="n">
        <f aca="false">E645</f>
        <v>1</v>
      </c>
      <c r="Y645" s="6" t="n">
        <f aca="false">F645</f>
        <v>0</v>
      </c>
      <c r="Z645" s="6" t="n">
        <f aca="false">L645</f>
        <v>0</v>
      </c>
      <c r="AA645" s="6" t="n">
        <f aca="false">G645</f>
        <v>0</v>
      </c>
      <c r="AC645" s="6" t="n">
        <f aca="false">D645</f>
        <v>4.624166667</v>
      </c>
      <c r="AD645" s="6" t="n">
        <f aca="false">E645</f>
        <v>1</v>
      </c>
      <c r="AE645" s="6" t="n">
        <f aca="false">G645</f>
        <v>0</v>
      </c>
      <c r="AF645" s="6" t="n">
        <f aca="false">H645</f>
        <v>0</v>
      </c>
      <c r="AG645" s="6" t="n">
        <f aca="false">I645</f>
        <v>0</v>
      </c>
      <c r="AH645" s="6" t="n">
        <f aca="false">L645</f>
        <v>0</v>
      </c>
    </row>
    <row r="646" customFormat="false" ht="15" hidden="false" customHeight="false" outlineLevel="0" collapsed="false">
      <c r="A646" s="0" t="str">
        <f aca="false">'Raw Data'!C646</f>
        <v>Napa</v>
      </c>
      <c r="B646" s="5" t="n">
        <f aca="false">'Raw Data'!A646</f>
        <v>40344</v>
      </c>
      <c r="C646" s="6" t="n">
        <f aca="false">'Raw Data'!D646</f>
        <v>294.770440435822</v>
      </c>
      <c r="D646" s="6" t="n">
        <f aca="false">'Raw Data'!E646</f>
        <v>4.64</v>
      </c>
      <c r="E646" s="6" t="n">
        <f aca="false">'Raw Data'!F646</f>
        <v>1</v>
      </c>
      <c r="F646" s="6" t="n">
        <f aca="false">'Raw Data'!G646</f>
        <v>0</v>
      </c>
      <c r="G646" s="6" t="n">
        <f aca="false">'Raw Data'!H646</f>
        <v>0</v>
      </c>
      <c r="H646" s="6" t="n">
        <f aca="false">'Raw Data'!I646</f>
        <v>0</v>
      </c>
      <c r="I646" s="6" t="n">
        <f aca="false">'Raw Data'!J646</f>
        <v>0</v>
      </c>
      <c r="J646" s="6" t="n">
        <f aca="false">'Raw Data'!K646</f>
        <v>3</v>
      </c>
      <c r="K646" s="6" t="n">
        <f aca="false">'Raw Data'!L646</f>
        <v>2</v>
      </c>
      <c r="L646" s="6" t="n">
        <f aca="false">F646*E646</f>
        <v>0</v>
      </c>
      <c r="N646" s="0" t="n">
        <v>1</v>
      </c>
      <c r="O646" s="6" t="n">
        <f aca="false">D646</f>
        <v>4.64</v>
      </c>
      <c r="P646" s="6" t="n">
        <f aca="false">E646</f>
        <v>1</v>
      </c>
      <c r="Q646" s="6" t="n">
        <f aca="false">F646</f>
        <v>0</v>
      </c>
      <c r="R646" s="6" t="n">
        <f aca="false">G646</f>
        <v>0</v>
      </c>
      <c r="S646" s="6" t="n">
        <f aca="false">H646</f>
        <v>0</v>
      </c>
      <c r="T646" s="6" t="n">
        <f aca="false">I646</f>
        <v>0</v>
      </c>
      <c r="U646" s="6" t="n">
        <f aca="false">L646</f>
        <v>0</v>
      </c>
      <c r="W646" s="6" t="n">
        <f aca="false">D646</f>
        <v>4.64</v>
      </c>
      <c r="X646" s="6" t="n">
        <f aca="false">E646</f>
        <v>1</v>
      </c>
      <c r="Y646" s="6" t="n">
        <f aca="false">F646</f>
        <v>0</v>
      </c>
      <c r="Z646" s="6" t="n">
        <f aca="false">L646</f>
        <v>0</v>
      </c>
      <c r="AA646" s="6" t="n">
        <f aca="false">G646</f>
        <v>0</v>
      </c>
      <c r="AC646" s="6" t="n">
        <f aca="false">D646</f>
        <v>4.64</v>
      </c>
      <c r="AD646" s="6" t="n">
        <f aca="false">E646</f>
        <v>1</v>
      </c>
      <c r="AE646" s="6" t="n">
        <f aca="false">G646</f>
        <v>0</v>
      </c>
      <c r="AF646" s="6" t="n">
        <f aca="false">H646</f>
        <v>0</v>
      </c>
      <c r="AG646" s="6" t="n">
        <f aca="false">I646</f>
        <v>0</v>
      </c>
      <c r="AH646" s="6" t="n">
        <f aca="false">L646</f>
        <v>0</v>
      </c>
    </row>
    <row r="647" customFormat="false" ht="15" hidden="false" customHeight="false" outlineLevel="0" collapsed="false">
      <c r="A647" s="0" t="str">
        <f aca="false">'Raw Data'!C647</f>
        <v>Napa</v>
      </c>
      <c r="B647" s="5" t="n">
        <f aca="false">'Raw Data'!A647</f>
        <v>40351</v>
      </c>
      <c r="C647" s="6" t="n">
        <f aca="false">'Raw Data'!D647</f>
        <v>204.075147949348</v>
      </c>
      <c r="D647" s="6" t="n">
        <f aca="false">'Raw Data'!E647</f>
        <v>4.64</v>
      </c>
      <c r="E647" s="6" t="n">
        <f aca="false">'Raw Data'!F647</f>
        <v>1</v>
      </c>
      <c r="F647" s="6" t="n">
        <f aca="false">'Raw Data'!G647</f>
        <v>0</v>
      </c>
      <c r="G647" s="6" t="n">
        <f aca="false">'Raw Data'!H647</f>
        <v>0</v>
      </c>
      <c r="H647" s="6" t="n">
        <f aca="false">'Raw Data'!I647</f>
        <v>0</v>
      </c>
      <c r="I647" s="6" t="n">
        <f aca="false">'Raw Data'!J647</f>
        <v>0</v>
      </c>
      <c r="J647" s="6" t="n">
        <f aca="false">'Raw Data'!K647</f>
        <v>3</v>
      </c>
      <c r="K647" s="6" t="n">
        <f aca="false">'Raw Data'!L647</f>
        <v>2</v>
      </c>
      <c r="L647" s="6" t="n">
        <f aca="false">F647*E647</f>
        <v>0</v>
      </c>
      <c r="N647" s="0" t="n">
        <v>1</v>
      </c>
      <c r="O647" s="6" t="n">
        <f aca="false">D647</f>
        <v>4.64</v>
      </c>
      <c r="P647" s="6" t="n">
        <f aca="false">E647</f>
        <v>1</v>
      </c>
      <c r="Q647" s="6" t="n">
        <f aca="false">F647</f>
        <v>0</v>
      </c>
      <c r="R647" s="6" t="n">
        <f aca="false">G647</f>
        <v>0</v>
      </c>
      <c r="S647" s="6" t="n">
        <f aca="false">H647</f>
        <v>0</v>
      </c>
      <c r="T647" s="6" t="n">
        <f aca="false">I647</f>
        <v>0</v>
      </c>
      <c r="U647" s="6" t="n">
        <f aca="false">L647</f>
        <v>0</v>
      </c>
      <c r="W647" s="6" t="n">
        <f aca="false">D647</f>
        <v>4.64</v>
      </c>
      <c r="X647" s="6" t="n">
        <f aca="false">E647</f>
        <v>1</v>
      </c>
      <c r="Y647" s="6" t="n">
        <f aca="false">F647</f>
        <v>0</v>
      </c>
      <c r="Z647" s="6" t="n">
        <f aca="false">L647</f>
        <v>0</v>
      </c>
      <c r="AA647" s="6" t="n">
        <f aca="false">G647</f>
        <v>0</v>
      </c>
      <c r="AC647" s="6" t="n">
        <f aca="false">D647</f>
        <v>4.64</v>
      </c>
      <c r="AD647" s="6" t="n">
        <f aca="false">E647</f>
        <v>1</v>
      </c>
      <c r="AE647" s="6" t="n">
        <f aca="false">G647</f>
        <v>0</v>
      </c>
      <c r="AF647" s="6" t="n">
        <f aca="false">H647</f>
        <v>0</v>
      </c>
      <c r="AG647" s="6" t="n">
        <f aca="false">I647</f>
        <v>0</v>
      </c>
      <c r="AH647" s="6" t="n">
        <f aca="false">L647</f>
        <v>0</v>
      </c>
    </row>
    <row r="648" customFormat="false" ht="15" hidden="false" customHeight="false" outlineLevel="0" collapsed="false">
      <c r="A648" s="0" t="str">
        <f aca="false">'Raw Data'!C648</f>
        <v>Napa</v>
      </c>
      <c r="B648" s="5" t="n">
        <f aca="false">'Raw Data'!A648</f>
        <v>40358</v>
      </c>
      <c r="C648" s="6" t="n">
        <f aca="false">'Raw Data'!D648</f>
        <v>276.717746974029</v>
      </c>
      <c r="D648" s="6" t="n">
        <f aca="false">'Raw Data'!E648</f>
        <v>4.64</v>
      </c>
      <c r="E648" s="6" t="n">
        <f aca="false">'Raw Data'!F648</f>
        <v>1</v>
      </c>
      <c r="F648" s="6" t="n">
        <f aca="false">'Raw Data'!G648</f>
        <v>0</v>
      </c>
      <c r="G648" s="6" t="n">
        <f aca="false">'Raw Data'!H648</f>
        <v>0</v>
      </c>
      <c r="H648" s="6" t="n">
        <f aca="false">'Raw Data'!I648</f>
        <v>0</v>
      </c>
      <c r="I648" s="6" t="n">
        <f aca="false">'Raw Data'!J648</f>
        <v>0</v>
      </c>
      <c r="J648" s="6" t="n">
        <f aca="false">'Raw Data'!K648</f>
        <v>3</v>
      </c>
      <c r="K648" s="6" t="n">
        <f aca="false">'Raw Data'!L648</f>
        <v>2</v>
      </c>
      <c r="L648" s="6" t="n">
        <f aca="false">F648*E648</f>
        <v>0</v>
      </c>
      <c r="N648" s="0" t="n">
        <v>1</v>
      </c>
      <c r="O648" s="6" t="n">
        <f aca="false">D648</f>
        <v>4.64</v>
      </c>
      <c r="P648" s="6" t="n">
        <f aca="false">E648</f>
        <v>1</v>
      </c>
      <c r="Q648" s="6" t="n">
        <f aca="false">F648</f>
        <v>0</v>
      </c>
      <c r="R648" s="6" t="n">
        <f aca="false">G648</f>
        <v>0</v>
      </c>
      <c r="S648" s="6" t="n">
        <f aca="false">H648</f>
        <v>0</v>
      </c>
      <c r="T648" s="6" t="n">
        <f aca="false">I648</f>
        <v>0</v>
      </c>
      <c r="U648" s="6" t="n">
        <f aca="false">L648</f>
        <v>0</v>
      </c>
      <c r="W648" s="6" t="n">
        <f aca="false">D648</f>
        <v>4.64</v>
      </c>
      <c r="X648" s="6" t="n">
        <f aca="false">E648</f>
        <v>1</v>
      </c>
      <c r="Y648" s="6" t="n">
        <f aca="false">F648</f>
        <v>0</v>
      </c>
      <c r="Z648" s="6" t="n">
        <f aca="false">L648</f>
        <v>0</v>
      </c>
      <c r="AA648" s="6" t="n">
        <f aca="false">G648</f>
        <v>0</v>
      </c>
      <c r="AC648" s="6" t="n">
        <f aca="false">D648</f>
        <v>4.64</v>
      </c>
      <c r="AD648" s="6" t="n">
        <f aca="false">E648</f>
        <v>1</v>
      </c>
      <c r="AE648" s="6" t="n">
        <f aca="false">G648</f>
        <v>0</v>
      </c>
      <c r="AF648" s="6" t="n">
        <f aca="false">H648</f>
        <v>0</v>
      </c>
      <c r="AG648" s="6" t="n">
        <f aca="false">I648</f>
        <v>0</v>
      </c>
      <c r="AH648" s="6" t="n">
        <f aca="false">L648</f>
        <v>0</v>
      </c>
    </row>
    <row r="649" customFormat="false" ht="15" hidden="false" customHeight="false" outlineLevel="0" collapsed="false">
      <c r="A649" s="0" t="str">
        <f aca="false">'Raw Data'!C649</f>
        <v>Napa</v>
      </c>
      <c r="B649" s="5" t="n">
        <f aca="false">'Raw Data'!A649</f>
        <v>40365</v>
      </c>
      <c r="C649" s="6" t="n">
        <f aca="false">'Raw Data'!D649</f>
        <v>209.418913097375</v>
      </c>
      <c r="D649" s="6" t="n">
        <f aca="false">'Raw Data'!E649</f>
        <v>4.47</v>
      </c>
      <c r="E649" s="6" t="n">
        <f aca="false">'Raw Data'!F649</f>
        <v>1</v>
      </c>
      <c r="F649" s="6" t="n">
        <f aca="false">'Raw Data'!G649</f>
        <v>0</v>
      </c>
      <c r="G649" s="6" t="n">
        <f aca="false">'Raw Data'!H649</f>
        <v>0</v>
      </c>
      <c r="H649" s="6" t="n">
        <f aca="false">'Raw Data'!I649</f>
        <v>0</v>
      </c>
      <c r="I649" s="6" t="n">
        <f aca="false">'Raw Data'!J649</f>
        <v>0</v>
      </c>
      <c r="J649" s="6" t="n">
        <f aca="false">'Raw Data'!K649</f>
        <v>3</v>
      </c>
      <c r="K649" s="6" t="n">
        <f aca="false">'Raw Data'!L649</f>
        <v>2</v>
      </c>
      <c r="L649" s="6" t="n">
        <f aca="false">F649*E649</f>
        <v>0</v>
      </c>
      <c r="N649" s="0" t="n">
        <v>1</v>
      </c>
      <c r="O649" s="6" t="n">
        <f aca="false">D649</f>
        <v>4.47</v>
      </c>
      <c r="P649" s="6" t="n">
        <f aca="false">E649</f>
        <v>1</v>
      </c>
      <c r="Q649" s="6" t="n">
        <f aca="false">F649</f>
        <v>0</v>
      </c>
      <c r="R649" s="6" t="n">
        <f aca="false">G649</f>
        <v>0</v>
      </c>
      <c r="S649" s="6" t="n">
        <f aca="false">H649</f>
        <v>0</v>
      </c>
      <c r="T649" s="6" t="n">
        <f aca="false">I649</f>
        <v>0</v>
      </c>
      <c r="U649" s="6" t="n">
        <f aca="false">L649</f>
        <v>0</v>
      </c>
      <c r="W649" s="6" t="n">
        <f aca="false">D649</f>
        <v>4.47</v>
      </c>
      <c r="X649" s="6" t="n">
        <f aca="false">E649</f>
        <v>1</v>
      </c>
      <c r="Y649" s="6" t="n">
        <f aca="false">F649</f>
        <v>0</v>
      </c>
      <c r="Z649" s="6" t="n">
        <f aca="false">L649</f>
        <v>0</v>
      </c>
      <c r="AA649" s="6" t="n">
        <f aca="false">G649</f>
        <v>0</v>
      </c>
      <c r="AC649" s="6" t="n">
        <f aca="false">D649</f>
        <v>4.47</v>
      </c>
      <c r="AD649" s="6" t="n">
        <f aca="false">E649</f>
        <v>1</v>
      </c>
      <c r="AE649" s="6" t="n">
        <f aca="false">G649</f>
        <v>0</v>
      </c>
      <c r="AF649" s="6" t="n">
        <f aca="false">H649</f>
        <v>0</v>
      </c>
      <c r="AG649" s="6" t="n">
        <f aca="false">I649</f>
        <v>0</v>
      </c>
      <c r="AH649" s="6" t="n">
        <f aca="false">L649</f>
        <v>0</v>
      </c>
    </row>
    <row r="650" customFormat="false" ht="15" hidden="false" customHeight="false" outlineLevel="0" collapsed="false">
      <c r="A650" s="0" t="str">
        <f aca="false">'Raw Data'!C650</f>
        <v>Napa</v>
      </c>
      <c r="B650" s="5" t="n">
        <f aca="false">'Raw Data'!A650</f>
        <v>40372</v>
      </c>
      <c r="C650" s="6" t="n">
        <f aca="false">'Raw Data'!D650</f>
        <v>250.023670759649</v>
      </c>
      <c r="D650" s="6" t="n">
        <f aca="false">'Raw Data'!E650</f>
        <v>4.426363636</v>
      </c>
      <c r="E650" s="6" t="n">
        <f aca="false">'Raw Data'!F650</f>
        <v>1</v>
      </c>
      <c r="F650" s="6" t="n">
        <f aca="false">'Raw Data'!G650</f>
        <v>0</v>
      </c>
      <c r="G650" s="6" t="n">
        <f aca="false">'Raw Data'!H650</f>
        <v>0</v>
      </c>
      <c r="H650" s="6" t="n">
        <f aca="false">'Raw Data'!I650</f>
        <v>0</v>
      </c>
      <c r="I650" s="6" t="n">
        <f aca="false">'Raw Data'!J650</f>
        <v>0</v>
      </c>
      <c r="J650" s="6" t="n">
        <f aca="false">'Raw Data'!K650</f>
        <v>3</v>
      </c>
      <c r="K650" s="6" t="n">
        <f aca="false">'Raw Data'!L650</f>
        <v>2</v>
      </c>
      <c r="L650" s="6" t="n">
        <f aca="false">F650*E650</f>
        <v>0</v>
      </c>
      <c r="N650" s="0" t="n">
        <v>1</v>
      </c>
      <c r="O650" s="6" t="n">
        <f aca="false">D650</f>
        <v>4.426363636</v>
      </c>
      <c r="P650" s="6" t="n">
        <f aca="false">E650</f>
        <v>1</v>
      </c>
      <c r="Q650" s="6" t="n">
        <f aca="false">F650</f>
        <v>0</v>
      </c>
      <c r="R650" s="6" t="n">
        <f aca="false">G650</f>
        <v>0</v>
      </c>
      <c r="S650" s="6" t="n">
        <f aca="false">H650</f>
        <v>0</v>
      </c>
      <c r="T650" s="6" t="n">
        <f aca="false">I650</f>
        <v>0</v>
      </c>
      <c r="U650" s="6" t="n">
        <f aca="false">L650</f>
        <v>0</v>
      </c>
      <c r="W650" s="6" t="n">
        <f aca="false">D650</f>
        <v>4.426363636</v>
      </c>
      <c r="X650" s="6" t="n">
        <f aca="false">E650</f>
        <v>1</v>
      </c>
      <c r="Y650" s="6" t="n">
        <f aca="false">F650</f>
        <v>0</v>
      </c>
      <c r="Z650" s="6" t="n">
        <f aca="false">L650</f>
        <v>0</v>
      </c>
      <c r="AA650" s="6" t="n">
        <f aca="false">G650</f>
        <v>0</v>
      </c>
      <c r="AC650" s="6" t="n">
        <f aca="false">D650</f>
        <v>4.426363636</v>
      </c>
      <c r="AD650" s="6" t="n">
        <f aca="false">E650</f>
        <v>1</v>
      </c>
      <c r="AE650" s="6" t="n">
        <f aca="false">G650</f>
        <v>0</v>
      </c>
      <c r="AF650" s="6" t="n">
        <f aca="false">H650</f>
        <v>0</v>
      </c>
      <c r="AG650" s="6" t="n">
        <f aca="false">I650</f>
        <v>0</v>
      </c>
      <c r="AH650" s="6" t="n">
        <f aca="false">L650</f>
        <v>0</v>
      </c>
    </row>
    <row r="651" customFormat="false" ht="15" hidden="false" customHeight="false" outlineLevel="0" collapsed="false">
      <c r="A651" s="0" t="str">
        <f aca="false">'Raw Data'!C651</f>
        <v>Petaluma</v>
      </c>
      <c r="B651" s="5" t="n">
        <f aca="false">'Raw Data'!A651</f>
        <v>40302</v>
      </c>
      <c r="C651" s="6" t="n">
        <f aca="false">'Raw Data'!D651</f>
        <v>312.597270986709</v>
      </c>
      <c r="D651" s="6" t="n">
        <f aca="false">'Raw Data'!E651</f>
        <v>4.680909091</v>
      </c>
      <c r="E651" s="6" t="n">
        <f aca="false">'Raw Data'!F651</f>
        <v>1</v>
      </c>
      <c r="F651" s="6" t="n">
        <f aca="false">'Raw Data'!G651</f>
        <v>0</v>
      </c>
      <c r="G651" s="6" t="n">
        <f aca="false">'Raw Data'!H651</f>
        <v>0</v>
      </c>
      <c r="H651" s="6" t="n">
        <f aca="false">'Raw Data'!I651</f>
        <v>0</v>
      </c>
      <c r="I651" s="6" t="n">
        <f aca="false">'Raw Data'!J651</f>
        <v>0</v>
      </c>
      <c r="J651" s="6" t="n">
        <f aca="false">'Raw Data'!K651</f>
        <v>2</v>
      </c>
      <c r="K651" s="6" t="n">
        <f aca="false">'Raw Data'!L651</f>
        <v>5</v>
      </c>
      <c r="L651" s="6" t="n">
        <f aca="false">F651*E651</f>
        <v>0</v>
      </c>
      <c r="N651" s="0" t="n">
        <v>1</v>
      </c>
      <c r="O651" s="6" t="n">
        <f aca="false">D651</f>
        <v>4.680909091</v>
      </c>
      <c r="P651" s="6" t="n">
        <f aca="false">E651</f>
        <v>1</v>
      </c>
      <c r="Q651" s="6" t="n">
        <f aca="false">F651</f>
        <v>0</v>
      </c>
      <c r="R651" s="6" t="n">
        <f aca="false">G651</f>
        <v>0</v>
      </c>
      <c r="S651" s="6" t="n">
        <f aca="false">H651</f>
        <v>0</v>
      </c>
      <c r="T651" s="6" t="n">
        <f aca="false">I651</f>
        <v>0</v>
      </c>
      <c r="U651" s="6" t="n">
        <f aca="false">L651</f>
        <v>0</v>
      </c>
      <c r="W651" s="6" t="n">
        <f aca="false">D651</f>
        <v>4.680909091</v>
      </c>
      <c r="X651" s="6" t="n">
        <f aca="false">E651</f>
        <v>1</v>
      </c>
      <c r="Y651" s="6" t="n">
        <f aca="false">F651</f>
        <v>0</v>
      </c>
      <c r="Z651" s="6" t="n">
        <f aca="false">L651</f>
        <v>0</v>
      </c>
      <c r="AA651" s="6" t="n">
        <f aca="false">G651</f>
        <v>0</v>
      </c>
      <c r="AC651" s="6" t="n">
        <f aca="false">D651</f>
        <v>4.680909091</v>
      </c>
      <c r="AD651" s="6" t="n">
        <f aca="false">E651</f>
        <v>1</v>
      </c>
      <c r="AE651" s="6" t="n">
        <f aca="false">G651</f>
        <v>0</v>
      </c>
      <c r="AF651" s="6" t="n">
        <f aca="false">H651</f>
        <v>0</v>
      </c>
      <c r="AG651" s="6" t="n">
        <f aca="false">I651</f>
        <v>0</v>
      </c>
      <c r="AH651" s="6" t="n">
        <f aca="false">L651</f>
        <v>0</v>
      </c>
    </row>
    <row r="652" customFormat="false" ht="15" hidden="false" customHeight="false" outlineLevel="0" collapsed="false">
      <c r="A652" s="0" t="str">
        <f aca="false">'Raw Data'!C652</f>
        <v>Petaluma</v>
      </c>
      <c r="B652" s="5" t="n">
        <f aca="false">'Raw Data'!A652</f>
        <v>40309</v>
      </c>
      <c r="C652" s="6" t="n">
        <f aca="false">'Raw Data'!D652</f>
        <v>267.80241742307</v>
      </c>
      <c r="D652" s="6" t="n">
        <f aca="false">'Raw Data'!E652</f>
        <v>4.680909091</v>
      </c>
      <c r="E652" s="6" t="n">
        <f aca="false">'Raw Data'!F652</f>
        <v>1</v>
      </c>
      <c r="F652" s="6" t="n">
        <f aca="false">'Raw Data'!G652</f>
        <v>0</v>
      </c>
      <c r="G652" s="6" t="n">
        <f aca="false">'Raw Data'!H652</f>
        <v>1</v>
      </c>
      <c r="H652" s="6" t="n">
        <f aca="false">'Raw Data'!I652</f>
        <v>0</v>
      </c>
      <c r="I652" s="6" t="n">
        <f aca="false">'Raw Data'!J652</f>
        <v>0</v>
      </c>
      <c r="J652" s="6" t="n">
        <f aca="false">'Raw Data'!K652</f>
        <v>2</v>
      </c>
      <c r="K652" s="6" t="n">
        <f aca="false">'Raw Data'!L652</f>
        <v>5</v>
      </c>
      <c r="L652" s="6" t="n">
        <f aca="false">F652*E652</f>
        <v>0</v>
      </c>
      <c r="N652" s="0" t="n">
        <v>1</v>
      </c>
      <c r="O652" s="6" t="n">
        <f aca="false">D652</f>
        <v>4.680909091</v>
      </c>
      <c r="P652" s="6" t="n">
        <f aca="false">E652</f>
        <v>1</v>
      </c>
      <c r="Q652" s="6" t="n">
        <f aca="false">F652</f>
        <v>0</v>
      </c>
      <c r="R652" s="6" t="n">
        <f aca="false">G652</f>
        <v>1</v>
      </c>
      <c r="S652" s="6" t="n">
        <f aca="false">H652</f>
        <v>0</v>
      </c>
      <c r="T652" s="6" t="n">
        <f aca="false">I652</f>
        <v>0</v>
      </c>
      <c r="U652" s="6" t="n">
        <f aca="false">L652</f>
        <v>0</v>
      </c>
      <c r="W652" s="6" t="n">
        <f aca="false">D652</f>
        <v>4.680909091</v>
      </c>
      <c r="X652" s="6" t="n">
        <f aca="false">E652</f>
        <v>1</v>
      </c>
      <c r="Y652" s="6" t="n">
        <f aca="false">F652</f>
        <v>0</v>
      </c>
      <c r="Z652" s="6" t="n">
        <f aca="false">L652</f>
        <v>0</v>
      </c>
      <c r="AA652" s="6" t="n">
        <f aca="false">G652</f>
        <v>1</v>
      </c>
      <c r="AC652" s="6" t="n">
        <f aca="false">D652</f>
        <v>4.680909091</v>
      </c>
      <c r="AD652" s="6" t="n">
        <f aca="false">E652</f>
        <v>1</v>
      </c>
      <c r="AE652" s="6" t="n">
        <f aca="false">G652</f>
        <v>1</v>
      </c>
      <c r="AF652" s="6" t="n">
        <f aca="false">H652</f>
        <v>0</v>
      </c>
      <c r="AG652" s="6" t="n">
        <f aca="false">I652</f>
        <v>0</v>
      </c>
      <c r="AH652" s="6" t="n">
        <f aca="false">L652</f>
        <v>0</v>
      </c>
    </row>
    <row r="653" customFormat="false" ht="15" hidden="false" customHeight="false" outlineLevel="0" collapsed="false">
      <c r="A653" s="0" t="str">
        <f aca="false">'Raw Data'!C653</f>
        <v>Petaluma</v>
      </c>
      <c r="B653" s="5" t="n">
        <f aca="false">'Raw Data'!A653</f>
        <v>40316</v>
      </c>
      <c r="C653" s="6" t="n">
        <f aca="false">'Raw Data'!D653</f>
        <v>293.289511300438</v>
      </c>
      <c r="D653" s="6" t="n">
        <f aca="false">'Raw Data'!E653</f>
        <v>4.59</v>
      </c>
      <c r="E653" s="6" t="n">
        <f aca="false">'Raw Data'!F653</f>
        <v>1</v>
      </c>
      <c r="F653" s="6" t="n">
        <f aca="false">'Raw Data'!G653</f>
        <v>0</v>
      </c>
      <c r="G653" s="6" t="n">
        <f aca="false">'Raw Data'!H653</f>
        <v>0</v>
      </c>
      <c r="H653" s="6" t="n">
        <f aca="false">'Raw Data'!I653</f>
        <v>1</v>
      </c>
      <c r="I653" s="6" t="n">
        <f aca="false">'Raw Data'!J653</f>
        <v>0</v>
      </c>
      <c r="J653" s="6" t="n">
        <f aca="false">'Raw Data'!K653</f>
        <v>2</v>
      </c>
      <c r="K653" s="6" t="n">
        <f aca="false">'Raw Data'!L653</f>
        <v>5</v>
      </c>
      <c r="L653" s="6" t="n">
        <f aca="false">F653*E653</f>
        <v>0</v>
      </c>
      <c r="N653" s="0" t="n">
        <v>1</v>
      </c>
      <c r="O653" s="6" t="n">
        <f aca="false">D653</f>
        <v>4.59</v>
      </c>
      <c r="P653" s="6" t="n">
        <f aca="false">E653</f>
        <v>1</v>
      </c>
      <c r="Q653" s="6" t="n">
        <f aca="false">F653</f>
        <v>0</v>
      </c>
      <c r="R653" s="6" t="n">
        <f aca="false">G653</f>
        <v>0</v>
      </c>
      <c r="S653" s="6" t="n">
        <f aca="false">H653</f>
        <v>1</v>
      </c>
      <c r="T653" s="6" t="n">
        <f aca="false">I653</f>
        <v>0</v>
      </c>
      <c r="U653" s="6" t="n">
        <f aca="false">L653</f>
        <v>0</v>
      </c>
      <c r="W653" s="6" t="n">
        <f aca="false">D653</f>
        <v>4.59</v>
      </c>
      <c r="X653" s="6" t="n">
        <f aca="false">E653</f>
        <v>1</v>
      </c>
      <c r="Y653" s="6" t="n">
        <f aca="false">F653</f>
        <v>0</v>
      </c>
      <c r="Z653" s="6" t="n">
        <f aca="false">L653</f>
        <v>0</v>
      </c>
      <c r="AA653" s="6" t="n">
        <f aca="false">G653</f>
        <v>0</v>
      </c>
      <c r="AC653" s="6" t="n">
        <f aca="false">D653</f>
        <v>4.59</v>
      </c>
      <c r="AD653" s="6" t="n">
        <f aca="false">E653</f>
        <v>1</v>
      </c>
      <c r="AE653" s="6" t="n">
        <f aca="false">G653</f>
        <v>0</v>
      </c>
      <c r="AF653" s="6" t="n">
        <f aca="false">H653</f>
        <v>1</v>
      </c>
      <c r="AG653" s="6" t="n">
        <f aca="false">I653</f>
        <v>0</v>
      </c>
      <c r="AH653" s="6" t="n">
        <f aca="false">L653</f>
        <v>0</v>
      </c>
    </row>
    <row r="654" customFormat="false" ht="15" hidden="false" customHeight="false" outlineLevel="0" collapsed="false">
      <c r="A654" s="0" t="str">
        <f aca="false">'Raw Data'!C654</f>
        <v>Petaluma</v>
      </c>
      <c r="B654" s="5" t="n">
        <f aca="false">'Raw Data'!A654</f>
        <v>40323</v>
      </c>
      <c r="C654" s="6" t="n">
        <f aca="false">'Raw Data'!D654</f>
        <v>313.505665364716</v>
      </c>
      <c r="D654" s="6" t="n">
        <f aca="false">'Raw Data'!E654</f>
        <v>4.59</v>
      </c>
      <c r="E654" s="6" t="n">
        <f aca="false">'Raw Data'!F654</f>
        <v>1</v>
      </c>
      <c r="F654" s="6" t="n">
        <f aca="false">'Raw Data'!G654</f>
        <v>0</v>
      </c>
      <c r="G654" s="6" t="n">
        <f aca="false">'Raw Data'!H654</f>
        <v>0</v>
      </c>
      <c r="H654" s="6" t="n">
        <f aca="false">'Raw Data'!I654</f>
        <v>1</v>
      </c>
      <c r="I654" s="6" t="n">
        <f aca="false">'Raw Data'!J654</f>
        <v>0</v>
      </c>
      <c r="J654" s="6" t="n">
        <f aca="false">'Raw Data'!K654</f>
        <v>2</v>
      </c>
      <c r="K654" s="6" t="n">
        <f aca="false">'Raw Data'!L654</f>
        <v>5</v>
      </c>
      <c r="L654" s="6" t="n">
        <f aca="false">F654*E654</f>
        <v>0</v>
      </c>
      <c r="N654" s="0" t="n">
        <v>1</v>
      </c>
      <c r="O654" s="6" t="n">
        <f aca="false">D654</f>
        <v>4.59</v>
      </c>
      <c r="P654" s="6" t="n">
        <f aca="false">E654</f>
        <v>1</v>
      </c>
      <c r="Q654" s="6" t="n">
        <f aca="false">F654</f>
        <v>0</v>
      </c>
      <c r="R654" s="6" t="n">
        <f aca="false">G654</f>
        <v>0</v>
      </c>
      <c r="S654" s="6" t="n">
        <f aca="false">H654</f>
        <v>1</v>
      </c>
      <c r="T654" s="6" t="n">
        <f aca="false">I654</f>
        <v>0</v>
      </c>
      <c r="U654" s="6" t="n">
        <f aca="false">L654</f>
        <v>0</v>
      </c>
      <c r="W654" s="6" t="n">
        <f aca="false">D654</f>
        <v>4.59</v>
      </c>
      <c r="X654" s="6" t="n">
        <f aca="false">E654</f>
        <v>1</v>
      </c>
      <c r="Y654" s="6" t="n">
        <f aca="false">F654</f>
        <v>0</v>
      </c>
      <c r="Z654" s="6" t="n">
        <f aca="false">L654</f>
        <v>0</v>
      </c>
      <c r="AA654" s="6" t="n">
        <f aca="false">G654</f>
        <v>0</v>
      </c>
      <c r="AC654" s="6" t="n">
        <f aca="false">D654</f>
        <v>4.59</v>
      </c>
      <c r="AD654" s="6" t="n">
        <f aca="false">E654</f>
        <v>1</v>
      </c>
      <c r="AE654" s="6" t="n">
        <f aca="false">G654</f>
        <v>0</v>
      </c>
      <c r="AF654" s="6" t="n">
        <f aca="false">H654</f>
        <v>1</v>
      </c>
      <c r="AG654" s="6" t="n">
        <f aca="false">I654</f>
        <v>0</v>
      </c>
      <c r="AH654" s="6" t="n">
        <f aca="false">L654</f>
        <v>0</v>
      </c>
    </row>
    <row r="655" customFormat="false" ht="15" hidden="false" customHeight="false" outlineLevel="0" collapsed="false">
      <c r="A655" s="0" t="str">
        <f aca="false">'Raw Data'!C655</f>
        <v>Petaluma</v>
      </c>
      <c r="B655" s="5" t="n">
        <f aca="false">'Raw Data'!A655</f>
        <v>40330</v>
      </c>
      <c r="C655" s="6" t="n">
        <f aca="false">'Raw Data'!D655</f>
        <v>299.49439186701</v>
      </c>
      <c r="D655" s="6" t="n">
        <f aca="false">'Raw Data'!E655</f>
        <v>4.59</v>
      </c>
      <c r="E655" s="6" t="n">
        <f aca="false">'Raw Data'!F655</f>
        <v>1</v>
      </c>
      <c r="F655" s="6" t="n">
        <f aca="false">'Raw Data'!G655</f>
        <v>0</v>
      </c>
      <c r="G655" s="6" t="n">
        <f aca="false">'Raw Data'!H655</f>
        <v>0</v>
      </c>
      <c r="H655" s="6" t="n">
        <f aca="false">'Raw Data'!I655</f>
        <v>1</v>
      </c>
      <c r="I655" s="6" t="n">
        <f aca="false">'Raw Data'!J655</f>
        <v>0</v>
      </c>
      <c r="J655" s="6" t="n">
        <f aca="false">'Raw Data'!K655</f>
        <v>2</v>
      </c>
      <c r="K655" s="6" t="n">
        <f aca="false">'Raw Data'!L655</f>
        <v>5</v>
      </c>
      <c r="L655" s="6" t="n">
        <f aca="false">F655*E655</f>
        <v>0</v>
      </c>
      <c r="N655" s="0" t="n">
        <v>1</v>
      </c>
      <c r="O655" s="6" t="n">
        <f aca="false">D655</f>
        <v>4.59</v>
      </c>
      <c r="P655" s="6" t="n">
        <f aca="false">E655</f>
        <v>1</v>
      </c>
      <c r="Q655" s="6" t="n">
        <f aca="false">F655</f>
        <v>0</v>
      </c>
      <c r="R655" s="6" t="n">
        <f aca="false">G655</f>
        <v>0</v>
      </c>
      <c r="S655" s="6" t="n">
        <f aca="false">H655</f>
        <v>1</v>
      </c>
      <c r="T655" s="6" t="n">
        <f aca="false">I655</f>
        <v>0</v>
      </c>
      <c r="U655" s="6" t="n">
        <f aca="false">L655</f>
        <v>0</v>
      </c>
      <c r="W655" s="6" t="n">
        <f aca="false">D655</f>
        <v>4.59</v>
      </c>
      <c r="X655" s="6" t="n">
        <f aca="false">E655</f>
        <v>1</v>
      </c>
      <c r="Y655" s="6" t="n">
        <f aca="false">F655</f>
        <v>0</v>
      </c>
      <c r="Z655" s="6" t="n">
        <f aca="false">L655</f>
        <v>0</v>
      </c>
      <c r="AA655" s="6" t="n">
        <f aca="false">G655</f>
        <v>0</v>
      </c>
      <c r="AC655" s="6" t="n">
        <f aca="false">D655</f>
        <v>4.59</v>
      </c>
      <c r="AD655" s="6" t="n">
        <f aca="false">E655</f>
        <v>1</v>
      </c>
      <c r="AE655" s="6" t="n">
        <f aca="false">G655</f>
        <v>0</v>
      </c>
      <c r="AF655" s="6" t="n">
        <f aca="false">H655</f>
        <v>1</v>
      </c>
      <c r="AG655" s="6" t="n">
        <f aca="false">I655</f>
        <v>0</v>
      </c>
      <c r="AH655" s="6" t="n">
        <f aca="false">L655</f>
        <v>0</v>
      </c>
    </row>
    <row r="656" customFormat="false" ht="15" hidden="false" customHeight="false" outlineLevel="0" collapsed="false">
      <c r="A656" s="0" t="str">
        <f aca="false">'Raw Data'!C656</f>
        <v>Petaluma</v>
      </c>
      <c r="B656" s="5" t="n">
        <f aca="false">'Raw Data'!A656</f>
        <v>40337</v>
      </c>
      <c r="C656" s="6" t="n">
        <f aca="false">'Raw Data'!D656</f>
        <v>277.553103993772</v>
      </c>
      <c r="D656" s="6" t="n">
        <f aca="false">'Raw Data'!E656</f>
        <v>4.974545455</v>
      </c>
      <c r="E656" s="6" t="n">
        <f aca="false">'Raw Data'!F656</f>
        <v>1</v>
      </c>
      <c r="F656" s="6" t="n">
        <f aca="false">'Raw Data'!G656</f>
        <v>0</v>
      </c>
      <c r="G656" s="6" t="n">
        <f aca="false">'Raw Data'!H656</f>
        <v>0</v>
      </c>
      <c r="H656" s="6" t="n">
        <f aca="false">'Raw Data'!I656</f>
        <v>0</v>
      </c>
      <c r="I656" s="6" t="n">
        <f aca="false">'Raw Data'!J656</f>
        <v>1</v>
      </c>
      <c r="J656" s="6" t="n">
        <f aca="false">'Raw Data'!K656</f>
        <v>2</v>
      </c>
      <c r="K656" s="6" t="n">
        <f aca="false">'Raw Data'!L656</f>
        <v>5</v>
      </c>
      <c r="L656" s="6" t="n">
        <f aca="false">F656*E656</f>
        <v>0</v>
      </c>
      <c r="N656" s="0" t="n">
        <v>1</v>
      </c>
      <c r="O656" s="6" t="n">
        <f aca="false">D656</f>
        <v>4.974545455</v>
      </c>
      <c r="P656" s="6" t="n">
        <f aca="false">E656</f>
        <v>1</v>
      </c>
      <c r="Q656" s="6" t="n">
        <f aca="false">F656</f>
        <v>0</v>
      </c>
      <c r="R656" s="6" t="n">
        <f aca="false">G656</f>
        <v>0</v>
      </c>
      <c r="S656" s="6" t="n">
        <f aca="false">H656</f>
        <v>0</v>
      </c>
      <c r="T656" s="6" t="n">
        <f aca="false">I656</f>
        <v>1</v>
      </c>
      <c r="U656" s="6" t="n">
        <f aca="false">L656</f>
        <v>0</v>
      </c>
      <c r="W656" s="6" t="n">
        <f aca="false">D656</f>
        <v>4.974545455</v>
      </c>
      <c r="X656" s="6" t="n">
        <f aca="false">E656</f>
        <v>1</v>
      </c>
      <c r="Y656" s="6" t="n">
        <f aca="false">F656</f>
        <v>0</v>
      </c>
      <c r="Z656" s="6" t="n">
        <f aca="false">L656</f>
        <v>0</v>
      </c>
      <c r="AA656" s="6" t="n">
        <f aca="false">G656</f>
        <v>0</v>
      </c>
      <c r="AC656" s="6" t="n">
        <f aca="false">D656</f>
        <v>4.974545455</v>
      </c>
      <c r="AD656" s="6" t="n">
        <f aca="false">E656</f>
        <v>1</v>
      </c>
      <c r="AE656" s="6" t="n">
        <f aca="false">G656</f>
        <v>0</v>
      </c>
      <c r="AF656" s="6" t="n">
        <f aca="false">H656</f>
        <v>0</v>
      </c>
      <c r="AG656" s="6" t="n">
        <f aca="false">I656</f>
        <v>1</v>
      </c>
      <c r="AH656" s="6" t="n">
        <f aca="false">L656</f>
        <v>0</v>
      </c>
    </row>
    <row r="657" customFormat="false" ht="15" hidden="false" customHeight="false" outlineLevel="0" collapsed="false">
      <c r="A657" s="0" t="str">
        <f aca="false">'Raw Data'!C657</f>
        <v>Petaluma</v>
      </c>
      <c r="B657" s="5" t="n">
        <f aca="false">'Raw Data'!A657</f>
        <v>40344</v>
      </c>
      <c r="C657" s="6" t="n">
        <f aca="false">'Raw Data'!D657</f>
        <v>298.396110879562</v>
      </c>
      <c r="D657" s="6" t="n">
        <f aca="false">'Raw Data'!E657</f>
        <v>4.931666667</v>
      </c>
      <c r="E657" s="6" t="n">
        <f aca="false">'Raw Data'!F657</f>
        <v>1</v>
      </c>
      <c r="F657" s="6" t="n">
        <f aca="false">'Raw Data'!G657</f>
        <v>0</v>
      </c>
      <c r="G657" s="6" t="n">
        <f aca="false">'Raw Data'!H657</f>
        <v>0</v>
      </c>
      <c r="H657" s="6" t="n">
        <f aca="false">'Raw Data'!I657</f>
        <v>0</v>
      </c>
      <c r="I657" s="6" t="n">
        <f aca="false">'Raw Data'!J657</f>
        <v>1</v>
      </c>
      <c r="J657" s="6" t="n">
        <f aca="false">'Raw Data'!K657</f>
        <v>2</v>
      </c>
      <c r="K657" s="6" t="n">
        <f aca="false">'Raw Data'!L657</f>
        <v>5</v>
      </c>
      <c r="L657" s="6" t="n">
        <f aca="false">F657*E657</f>
        <v>0</v>
      </c>
      <c r="N657" s="0" t="n">
        <v>1</v>
      </c>
      <c r="O657" s="6" t="n">
        <f aca="false">D657</f>
        <v>4.931666667</v>
      </c>
      <c r="P657" s="6" t="n">
        <f aca="false">E657</f>
        <v>1</v>
      </c>
      <c r="Q657" s="6" t="n">
        <f aca="false">F657</f>
        <v>0</v>
      </c>
      <c r="R657" s="6" t="n">
        <f aca="false">G657</f>
        <v>0</v>
      </c>
      <c r="S657" s="6" t="n">
        <f aca="false">H657</f>
        <v>0</v>
      </c>
      <c r="T657" s="6" t="n">
        <f aca="false">I657</f>
        <v>1</v>
      </c>
      <c r="U657" s="6" t="n">
        <f aca="false">L657</f>
        <v>0</v>
      </c>
      <c r="W657" s="6" t="n">
        <f aca="false">D657</f>
        <v>4.931666667</v>
      </c>
      <c r="X657" s="6" t="n">
        <f aca="false">E657</f>
        <v>1</v>
      </c>
      <c r="Y657" s="6" t="n">
        <f aca="false">F657</f>
        <v>0</v>
      </c>
      <c r="Z657" s="6" t="n">
        <f aca="false">L657</f>
        <v>0</v>
      </c>
      <c r="AA657" s="6" t="n">
        <f aca="false">G657</f>
        <v>0</v>
      </c>
      <c r="AC657" s="6" t="n">
        <f aca="false">D657</f>
        <v>4.931666667</v>
      </c>
      <c r="AD657" s="6" t="n">
        <f aca="false">E657</f>
        <v>1</v>
      </c>
      <c r="AE657" s="6" t="n">
        <f aca="false">G657</f>
        <v>0</v>
      </c>
      <c r="AF657" s="6" t="n">
        <f aca="false">H657</f>
        <v>0</v>
      </c>
      <c r="AG657" s="6" t="n">
        <f aca="false">I657</f>
        <v>1</v>
      </c>
      <c r="AH657" s="6" t="n">
        <f aca="false">L657</f>
        <v>0</v>
      </c>
    </row>
    <row r="658" customFormat="false" ht="15" hidden="false" customHeight="false" outlineLevel="0" collapsed="false">
      <c r="A658" s="0" t="str">
        <f aca="false">'Raw Data'!C658</f>
        <v>Petaluma</v>
      </c>
      <c r="B658" s="5" t="n">
        <f aca="false">'Raw Data'!A658</f>
        <v>40351</v>
      </c>
      <c r="C658" s="6" t="n">
        <f aca="false">'Raw Data'!D658</f>
        <v>338.87436363012</v>
      </c>
      <c r="D658" s="6" t="n">
        <f aca="false">'Raw Data'!E658</f>
        <v>4.931666667</v>
      </c>
      <c r="E658" s="6" t="n">
        <f aca="false">'Raw Data'!F658</f>
        <v>1</v>
      </c>
      <c r="F658" s="6" t="n">
        <f aca="false">'Raw Data'!G658</f>
        <v>0</v>
      </c>
      <c r="G658" s="6" t="n">
        <f aca="false">'Raw Data'!H658</f>
        <v>0</v>
      </c>
      <c r="H658" s="6" t="n">
        <f aca="false">'Raw Data'!I658</f>
        <v>0</v>
      </c>
      <c r="I658" s="6" t="n">
        <f aca="false">'Raw Data'!J658</f>
        <v>0</v>
      </c>
      <c r="J658" s="6" t="n">
        <f aca="false">'Raw Data'!K658</f>
        <v>2</v>
      </c>
      <c r="K658" s="6" t="n">
        <f aca="false">'Raw Data'!L658</f>
        <v>5</v>
      </c>
      <c r="L658" s="6" t="n">
        <f aca="false">F658*E658</f>
        <v>0</v>
      </c>
      <c r="N658" s="0" t="n">
        <v>1</v>
      </c>
      <c r="O658" s="6" t="n">
        <f aca="false">D658</f>
        <v>4.931666667</v>
      </c>
      <c r="P658" s="6" t="n">
        <f aca="false">E658</f>
        <v>1</v>
      </c>
      <c r="Q658" s="6" t="n">
        <f aca="false">F658</f>
        <v>0</v>
      </c>
      <c r="R658" s="6" t="n">
        <f aca="false">G658</f>
        <v>0</v>
      </c>
      <c r="S658" s="6" t="n">
        <f aca="false">H658</f>
        <v>0</v>
      </c>
      <c r="T658" s="6" t="n">
        <f aca="false">I658</f>
        <v>0</v>
      </c>
      <c r="U658" s="6" t="n">
        <f aca="false">L658</f>
        <v>0</v>
      </c>
      <c r="W658" s="6" t="n">
        <f aca="false">D658</f>
        <v>4.931666667</v>
      </c>
      <c r="X658" s="6" t="n">
        <f aca="false">E658</f>
        <v>1</v>
      </c>
      <c r="Y658" s="6" t="n">
        <f aca="false">F658</f>
        <v>0</v>
      </c>
      <c r="Z658" s="6" t="n">
        <f aca="false">L658</f>
        <v>0</v>
      </c>
      <c r="AA658" s="6" t="n">
        <f aca="false">G658</f>
        <v>0</v>
      </c>
      <c r="AC658" s="6" t="n">
        <f aca="false">D658</f>
        <v>4.931666667</v>
      </c>
      <c r="AD658" s="6" t="n">
        <f aca="false">E658</f>
        <v>1</v>
      </c>
      <c r="AE658" s="6" t="n">
        <f aca="false">G658</f>
        <v>0</v>
      </c>
      <c r="AF658" s="6" t="n">
        <f aca="false">H658</f>
        <v>0</v>
      </c>
      <c r="AG658" s="6" t="n">
        <f aca="false">I658</f>
        <v>0</v>
      </c>
      <c r="AH658" s="6" t="n">
        <f aca="false">L658</f>
        <v>0</v>
      </c>
    </row>
    <row r="659" customFormat="false" ht="15" hidden="false" customHeight="false" outlineLevel="0" collapsed="false">
      <c r="A659" s="0" t="str">
        <f aca="false">'Raw Data'!C659</f>
        <v>Petaluma</v>
      </c>
      <c r="B659" s="5" t="n">
        <f aca="false">'Raw Data'!A659</f>
        <v>40358</v>
      </c>
      <c r="C659" s="6" t="n">
        <f aca="false">'Raw Data'!D659</f>
        <v>188.772557907822</v>
      </c>
      <c r="D659" s="6" t="n">
        <f aca="false">'Raw Data'!E659</f>
        <v>4.944545455</v>
      </c>
      <c r="E659" s="6" t="n">
        <f aca="false">'Raw Data'!F659</f>
        <v>1</v>
      </c>
      <c r="F659" s="6" t="n">
        <f aca="false">'Raw Data'!G659</f>
        <v>0</v>
      </c>
      <c r="G659" s="6" t="n">
        <f aca="false">'Raw Data'!H659</f>
        <v>0</v>
      </c>
      <c r="H659" s="6" t="n">
        <f aca="false">'Raw Data'!I659</f>
        <v>0</v>
      </c>
      <c r="I659" s="6" t="n">
        <f aca="false">'Raw Data'!J659</f>
        <v>0</v>
      </c>
      <c r="J659" s="6" t="n">
        <f aca="false">'Raw Data'!K659</f>
        <v>2</v>
      </c>
      <c r="K659" s="6" t="n">
        <f aca="false">'Raw Data'!L659</f>
        <v>5</v>
      </c>
      <c r="L659" s="6" t="n">
        <f aca="false">F659*E659</f>
        <v>0</v>
      </c>
      <c r="N659" s="0" t="n">
        <v>1</v>
      </c>
      <c r="O659" s="6" t="n">
        <f aca="false">D659</f>
        <v>4.944545455</v>
      </c>
      <c r="P659" s="6" t="n">
        <f aca="false">E659</f>
        <v>1</v>
      </c>
      <c r="Q659" s="6" t="n">
        <f aca="false">F659</f>
        <v>0</v>
      </c>
      <c r="R659" s="6" t="n">
        <f aca="false">G659</f>
        <v>0</v>
      </c>
      <c r="S659" s="6" t="n">
        <f aca="false">H659</f>
        <v>0</v>
      </c>
      <c r="T659" s="6" t="n">
        <f aca="false">I659</f>
        <v>0</v>
      </c>
      <c r="U659" s="6" t="n">
        <f aca="false">L659</f>
        <v>0</v>
      </c>
      <c r="W659" s="6" t="n">
        <f aca="false">D659</f>
        <v>4.944545455</v>
      </c>
      <c r="X659" s="6" t="n">
        <f aca="false">E659</f>
        <v>1</v>
      </c>
      <c r="Y659" s="6" t="n">
        <f aca="false">F659</f>
        <v>0</v>
      </c>
      <c r="Z659" s="6" t="n">
        <f aca="false">L659</f>
        <v>0</v>
      </c>
      <c r="AA659" s="6" t="n">
        <f aca="false">G659</f>
        <v>0</v>
      </c>
      <c r="AC659" s="6" t="n">
        <f aca="false">D659</f>
        <v>4.944545455</v>
      </c>
      <c r="AD659" s="6" t="n">
        <f aca="false">E659</f>
        <v>1</v>
      </c>
      <c r="AE659" s="6" t="n">
        <f aca="false">G659</f>
        <v>0</v>
      </c>
      <c r="AF659" s="6" t="n">
        <f aca="false">H659</f>
        <v>0</v>
      </c>
      <c r="AG659" s="6" t="n">
        <f aca="false">I659</f>
        <v>0</v>
      </c>
      <c r="AH659" s="6" t="n">
        <f aca="false">L659</f>
        <v>0</v>
      </c>
    </row>
    <row r="660" customFormat="false" ht="15" hidden="false" customHeight="false" outlineLevel="0" collapsed="false">
      <c r="A660" s="0" t="str">
        <f aca="false">'Raw Data'!C660</f>
        <v>Petaluma</v>
      </c>
      <c r="B660" s="5" t="n">
        <f aca="false">'Raw Data'!A660</f>
        <v>40365</v>
      </c>
      <c r="C660" s="6" t="n">
        <f aca="false">'Raw Data'!D660</f>
        <v>337.00987515792</v>
      </c>
      <c r="D660" s="6" t="n">
        <f aca="false">'Raw Data'!E660</f>
        <v>4.79</v>
      </c>
      <c r="E660" s="6" t="n">
        <f aca="false">'Raw Data'!F660</f>
        <v>1</v>
      </c>
      <c r="F660" s="6" t="n">
        <f aca="false">'Raw Data'!G660</f>
        <v>0</v>
      </c>
      <c r="G660" s="6" t="n">
        <f aca="false">'Raw Data'!H660</f>
        <v>0</v>
      </c>
      <c r="H660" s="6" t="n">
        <f aca="false">'Raw Data'!I660</f>
        <v>0</v>
      </c>
      <c r="I660" s="6" t="n">
        <f aca="false">'Raw Data'!J660</f>
        <v>0</v>
      </c>
      <c r="J660" s="6" t="n">
        <f aca="false">'Raw Data'!K660</f>
        <v>2</v>
      </c>
      <c r="K660" s="6" t="n">
        <f aca="false">'Raw Data'!L660</f>
        <v>5</v>
      </c>
      <c r="L660" s="6" t="n">
        <f aca="false">F660*E660</f>
        <v>0</v>
      </c>
      <c r="N660" s="0" t="n">
        <v>1</v>
      </c>
      <c r="O660" s="6" t="n">
        <f aca="false">D660</f>
        <v>4.79</v>
      </c>
      <c r="P660" s="6" t="n">
        <f aca="false">E660</f>
        <v>1</v>
      </c>
      <c r="Q660" s="6" t="n">
        <f aca="false">F660</f>
        <v>0</v>
      </c>
      <c r="R660" s="6" t="n">
        <f aca="false">G660</f>
        <v>0</v>
      </c>
      <c r="S660" s="6" t="n">
        <f aca="false">H660</f>
        <v>0</v>
      </c>
      <c r="T660" s="6" t="n">
        <f aca="false">I660</f>
        <v>0</v>
      </c>
      <c r="U660" s="6" t="n">
        <f aca="false">L660</f>
        <v>0</v>
      </c>
      <c r="W660" s="6" t="n">
        <f aca="false">D660</f>
        <v>4.79</v>
      </c>
      <c r="X660" s="6" t="n">
        <f aca="false">E660</f>
        <v>1</v>
      </c>
      <c r="Y660" s="6" t="n">
        <f aca="false">F660</f>
        <v>0</v>
      </c>
      <c r="Z660" s="6" t="n">
        <f aca="false">L660</f>
        <v>0</v>
      </c>
      <c r="AA660" s="6" t="n">
        <f aca="false">G660</f>
        <v>0</v>
      </c>
      <c r="AC660" s="6" t="n">
        <f aca="false">D660</f>
        <v>4.79</v>
      </c>
      <c r="AD660" s="6" t="n">
        <f aca="false">E660</f>
        <v>1</v>
      </c>
      <c r="AE660" s="6" t="n">
        <f aca="false">G660</f>
        <v>0</v>
      </c>
      <c r="AF660" s="6" t="n">
        <f aca="false">H660</f>
        <v>0</v>
      </c>
      <c r="AG660" s="6" t="n">
        <f aca="false">I660</f>
        <v>0</v>
      </c>
      <c r="AH660" s="6" t="n">
        <f aca="false">L660</f>
        <v>0</v>
      </c>
    </row>
    <row r="661" customFormat="false" ht="15" hidden="false" customHeight="false" outlineLevel="0" collapsed="false">
      <c r="A661" s="0" t="str">
        <f aca="false">'Raw Data'!C661</f>
        <v>Petaluma</v>
      </c>
      <c r="B661" s="5" t="n">
        <f aca="false">'Raw Data'!A661</f>
        <v>40372</v>
      </c>
      <c r="C661" s="6" t="n">
        <f aca="false">'Raw Data'!D661</f>
        <v>268.174898376177</v>
      </c>
      <c r="D661" s="6" t="n">
        <f aca="false">'Raw Data'!E661</f>
        <v>4.79</v>
      </c>
      <c r="E661" s="6" t="n">
        <f aca="false">'Raw Data'!F661</f>
        <v>1</v>
      </c>
      <c r="F661" s="6" t="n">
        <f aca="false">'Raw Data'!G661</f>
        <v>0</v>
      </c>
      <c r="G661" s="6" t="n">
        <f aca="false">'Raw Data'!H661</f>
        <v>0</v>
      </c>
      <c r="H661" s="6" t="n">
        <f aca="false">'Raw Data'!I661</f>
        <v>0</v>
      </c>
      <c r="I661" s="6" t="n">
        <f aca="false">'Raw Data'!J661</f>
        <v>0</v>
      </c>
      <c r="J661" s="6" t="n">
        <f aca="false">'Raw Data'!K661</f>
        <v>2</v>
      </c>
      <c r="K661" s="6" t="n">
        <f aca="false">'Raw Data'!L661</f>
        <v>5</v>
      </c>
      <c r="L661" s="6" t="n">
        <f aca="false">F661*E661</f>
        <v>0</v>
      </c>
      <c r="N661" s="0" t="n">
        <v>1</v>
      </c>
      <c r="O661" s="6" t="n">
        <f aca="false">D661</f>
        <v>4.79</v>
      </c>
      <c r="P661" s="6" t="n">
        <f aca="false">E661</f>
        <v>1</v>
      </c>
      <c r="Q661" s="6" t="n">
        <f aca="false">F661</f>
        <v>0</v>
      </c>
      <c r="R661" s="6" t="n">
        <f aca="false">G661</f>
        <v>0</v>
      </c>
      <c r="S661" s="6" t="n">
        <f aca="false">H661</f>
        <v>0</v>
      </c>
      <c r="T661" s="6" t="n">
        <f aca="false">I661</f>
        <v>0</v>
      </c>
      <c r="U661" s="6" t="n">
        <f aca="false">L661</f>
        <v>0</v>
      </c>
      <c r="W661" s="6" t="n">
        <f aca="false">D661</f>
        <v>4.79</v>
      </c>
      <c r="X661" s="6" t="n">
        <f aca="false">E661</f>
        <v>1</v>
      </c>
      <c r="Y661" s="6" t="n">
        <f aca="false">F661</f>
        <v>0</v>
      </c>
      <c r="Z661" s="6" t="n">
        <f aca="false">L661</f>
        <v>0</v>
      </c>
      <c r="AA661" s="6" t="n">
        <f aca="false">G661</f>
        <v>0</v>
      </c>
      <c r="AC661" s="6" t="n">
        <f aca="false">D661</f>
        <v>4.79</v>
      </c>
      <c r="AD661" s="6" t="n">
        <f aca="false">E661</f>
        <v>1</v>
      </c>
      <c r="AE661" s="6" t="n">
        <f aca="false">G661</f>
        <v>0</v>
      </c>
      <c r="AF661" s="6" t="n">
        <f aca="false">H661</f>
        <v>0</v>
      </c>
      <c r="AG661" s="6" t="n">
        <f aca="false">I661</f>
        <v>0</v>
      </c>
      <c r="AH661" s="6" t="n">
        <f aca="false">L661</f>
        <v>0</v>
      </c>
    </row>
    <row r="662" customFormat="false" ht="15" hidden="false" customHeight="false" outlineLevel="0" collapsed="false">
      <c r="A662" s="0" t="str">
        <f aca="false">'Raw Data'!C662</f>
        <v>Redwood City</v>
      </c>
      <c r="B662" s="5" t="n">
        <f aca="false">'Raw Data'!A662</f>
        <v>40302</v>
      </c>
      <c r="C662" s="6" t="n">
        <f aca="false">'Raw Data'!D662</f>
        <v>234.365130758632</v>
      </c>
      <c r="D662" s="6" t="n">
        <f aca="false">'Raw Data'!E662</f>
        <v>4.87</v>
      </c>
      <c r="E662" s="6" t="n">
        <f aca="false">'Raw Data'!F662</f>
        <v>1</v>
      </c>
      <c r="F662" s="6" t="n">
        <f aca="false">'Raw Data'!G662</f>
        <v>0</v>
      </c>
      <c r="G662" s="6" t="n">
        <f aca="false">'Raw Data'!H662</f>
        <v>0</v>
      </c>
      <c r="H662" s="6" t="n">
        <f aca="false">'Raw Data'!I662</f>
        <v>0</v>
      </c>
      <c r="I662" s="6" t="n">
        <f aca="false">'Raw Data'!J662</f>
        <v>0</v>
      </c>
      <c r="J662" s="6" t="n">
        <f aca="false">'Raw Data'!K662</f>
        <v>3</v>
      </c>
      <c r="K662" s="6" t="n">
        <f aca="false">'Raw Data'!L662</f>
        <v>4</v>
      </c>
      <c r="L662" s="6" t="n">
        <f aca="false">F662*E662</f>
        <v>0</v>
      </c>
      <c r="N662" s="0" t="n">
        <v>1</v>
      </c>
      <c r="O662" s="6" t="n">
        <f aca="false">D662</f>
        <v>4.87</v>
      </c>
      <c r="P662" s="6" t="n">
        <f aca="false">E662</f>
        <v>1</v>
      </c>
      <c r="Q662" s="6" t="n">
        <f aca="false">F662</f>
        <v>0</v>
      </c>
      <c r="R662" s="6" t="n">
        <f aca="false">G662</f>
        <v>0</v>
      </c>
      <c r="S662" s="6" t="n">
        <f aca="false">H662</f>
        <v>0</v>
      </c>
      <c r="T662" s="6" t="n">
        <f aca="false">I662</f>
        <v>0</v>
      </c>
      <c r="U662" s="6" t="n">
        <f aca="false">L662</f>
        <v>0</v>
      </c>
      <c r="W662" s="6" t="n">
        <f aca="false">D662</f>
        <v>4.87</v>
      </c>
      <c r="X662" s="6" t="n">
        <f aca="false">E662</f>
        <v>1</v>
      </c>
      <c r="Y662" s="6" t="n">
        <f aca="false">F662</f>
        <v>0</v>
      </c>
      <c r="Z662" s="6" t="n">
        <f aca="false">L662</f>
        <v>0</v>
      </c>
      <c r="AA662" s="6" t="n">
        <f aca="false">G662</f>
        <v>0</v>
      </c>
      <c r="AC662" s="6" t="n">
        <f aca="false">D662</f>
        <v>4.87</v>
      </c>
      <c r="AD662" s="6" t="n">
        <f aca="false">E662</f>
        <v>1</v>
      </c>
      <c r="AE662" s="6" t="n">
        <f aca="false">G662</f>
        <v>0</v>
      </c>
      <c r="AF662" s="6" t="n">
        <f aca="false">H662</f>
        <v>0</v>
      </c>
      <c r="AG662" s="6" t="n">
        <f aca="false">I662</f>
        <v>0</v>
      </c>
      <c r="AH662" s="6" t="n">
        <f aca="false">L662</f>
        <v>0</v>
      </c>
    </row>
    <row r="663" customFormat="false" ht="15" hidden="false" customHeight="false" outlineLevel="0" collapsed="false">
      <c r="A663" s="0" t="str">
        <f aca="false">'Raw Data'!C663</f>
        <v>Redwood City</v>
      </c>
      <c r="B663" s="5" t="n">
        <f aca="false">'Raw Data'!A663</f>
        <v>40309</v>
      </c>
      <c r="C663" s="6" t="n">
        <f aca="false">'Raw Data'!D663</f>
        <v>316.102453573399</v>
      </c>
      <c r="D663" s="6" t="n">
        <f aca="false">'Raw Data'!E663</f>
        <v>4.79</v>
      </c>
      <c r="E663" s="6" t="n">
        <f aca="false">'Raw Data'!F663</f>
        <v>1</v>
      </c>
      <c r="F663" s="6" t="n">
        <f aca="false">'Raw Data'!G663</f>
        <v>0</v>
      </c>
      <c r="G663" s="6" t="n">
        <f aca="false">'Raw Data'!H663</f>
        <v>0</v>
      </c>
      <c r="H663" s="6" t="n">
        <f aca="false">'Raw Data'!I663</f>
        <v>0</v>
      </c>
      <c r="I663" s="6" t="n">
        <f aca="false">'Raw Data'!J663</f>
        <v>0</v>
      </c>
      <c r="J663" s="6" t="n">
        <f aca="false">'Raw Data'!K663</f>
        <v>3</v>
      </c>
      <c r="K663" s="6" t="n">
        <f aca="false">'Raw Data'!L663</f>
        <v>4</v>
      </c>
      <c r="L663" s="6" t="n">
        <f aca="false">F663*E663</f>
        <v>0</v>
      </c>
      <c r="N663" s="0" t="n">
        <v>1</v>
      </c>
      <c r="O663" s="6" t="n">
        <f aca="false">D663</f>
        <v>4.79</v>
      </c>
      <c r="P663" s="6" t="n">
        <f aca="false">E663</f>
        <v>1</v>
      </c>
      <c r="Q663" s="6" t="n">
        <f aca="false">F663</f>
        <v>0</v>
      </c>
      <c r="R663" s="6" t="n">
        <f aca="false">G663</f>
        <v>0</v>
      </c>
      <c r="S663" s="6" t="n">
        <f aca="false">H663</f>
        <v>0</v>
      </c>
      <c r="T663" s="6" t="n">
        <f aca="false">I663</f>
        <v>0</v>
      </c>
      <c r="U663" s="6" t="n">
        <f aca="false">L663</f>
        <v>0</v>
      </c>
      <c r="W663" s="6" t="n">
        <f aca="false">D663</f>
        <v>4.79</v>
      </c>
      <c r="X663" s="6" t="n">
        <f aca="false">E663</f>
        <v>1</v>
      </c>
      <c r="Y663" s="6" t="n">
        <f aca="false">F663</f>
        <v>0</v>
      </c>
      <c r="Z663" s="6" t="n">
        <f aca="false">L663</f>
        <v>0</v>
      </c>
      <c r="AA663" s="6" t="n">
        <f aca="false">G663</f>
        <v>0</v>
      </c>
      <c r="AC663" s="6" t="n">
        <f aca="false">D663</f>
        <v>4.79</v>
      </c>
      <c r="AD663" s="6" t="n">
        <f aca="false">E663</f>
        <v>1</v>
      </c>
      <c r="AE663" s="6" t="n">
        <f aca="false">G663</f>
        <v>0</v>
      </c>
      <c r="AF663" s="6" t="n">
        <f aca="false">H663</f>
        <v>0</v>
      </c>
      <c r="AG663" s="6" t="n">
        <f aca="false">I663</f>
        <v>0</v>
      </c>
      <c r="AH663" s="6" t="n">
        <f aca="false">L663</f>
        <v>0</v>
      </c>
    </row>
    <row r="664" customFormat="false" ht="15" hidden="false" customHeight="false" outlineLevel="0" collapsed="false">
      <c r="A664" s="0" t="str">
        <f aca="false">'Raw Data'!C664</f>
        <v>Redwood City</v>
      </c>
      <c r="B664" s="5" t="n">
        <f aca="false">'Raw Data'!A664</f>
        <v>40316</v>
      </c>
      <c r="C664" s="6" t="n">
        <f aca="false">'Raw Data'!D664</f>
        <v>318.197018148128</v>
      </c>
      <c r="D664" s="6" t="n">
        <f aca="false">'Raw Data'!E664</f>
        <v>4.19</v>
      </c>
      <c r="E664" s="6" t="n">
        <f aca="false">'Raw Data'!F664</f>
        <v>1</v>
      </c>
      <c r="F664" s="6" t="n">
        <f aca="false">'Raw Data'!G664</f>
        <v>0</v>
      </c>
      <c r="G664" s="6" t="n">
        <f aca="false">'Raw Data'!H664</f>
        <v>0</v>
      </c>
      <c r="H664" s="6" t="n">
        <f aca="false">'Raw Data'!I664</f>
        <v>0</v>
      </c>
      <c r="I664" s="6" t="n">
        <f aca="false">'Raw Data'!J664</f>
        <v>0</v>
      </c>
      <c r="J664" s="6" t="n">
        <f aca="false">'Raw Data'!K664</f>
        <v>3</v>
      </c>
      <c r="K664" s="6" t="n">
        <f aca="false">'Raw Data'!L664</f>
        <v>4</v>
      </c>
      <c r="L664" s="6" t="n">
        <f aca="false">F664*E664</f>
        <v>0</v>
      </c>
      <c r="N664" s="0" t="n">
        <v>1</v>
      </c>
      <c r="O664" s="6" t="n">
        <f aca="false">D664</f>
        <v>4.19</v>
      </c>
      <c r="P664" s="6" t="n">
        <f aca="false">E664</f>
        <v>1</v>
      </c>
      <c r="Q664" s="6" t="n">
        <f aca="false">F664</f>
        <v>0</v>
      </c>
      <c r="R664" s="6" t="n">
        <f aca="false">G664</f>
        <v>0</v>
      </c>
      <c r="S664" s="6" t="n">
        <f aca="false">H664</f>
        <v>0</v>
      </c>
      <c r="T664" s="6" t="n">
        <f aca="false">I664</f>
        <v>0</v>
      </c>
      <c r="U664" s="6" t="n">
        <f aca="false">L664</f>
        <v>0</v>
      </c>
      <c r="W664" s="6" t="n">
        <f aca="false">D664</f>
        <v>4.19</v>
      </c>
      <c r="X664" s="6" t="n">
        <f aca="false">E664</f>
        <v>1</v>
      </c>
      <c r="Y664" s="6" t="n">
        <f aca="false">F664</f>
        <v>0</v>
      </c>
      <c r="Z664" s="6" t="n">
        <f aca="false">L664</f>
        <v>0</v>
      </c>
      <c r="AA664" s="6" t="n">
        <f aca="false">G664</f>
        <v>0</v>
      </c>
      <c r="AC664" s="6" t="n">
        <f aca="false">D664</f>
        <v>4.19</v>
      </c>
      <c r="AD664" s="6" t="n">
        <f aca="false">E664</f>
        <v>1</v>
      </c>
      <c r="AE664" s="6" t="n">
        <f aca="false">G664</f>
        <v>0</v>
      </c>
      <c r="AF664" s="6" t="n">
        <f aca="false">H664</f>
        <v>0</v>
      </c>
      <c r="AG664" s="6" t="n">
        <f aca="false">I664</f>
        <v>0</v>
      </c>
      <c r="AH664" s="6" t="n">
        <f aca="false">L664</f>
        <v>0</v>
      </c>
    </row>
    <row r="665" customFormat="false" ht="15" hidden="false" customHeight="false" outlineLevel="0" collapsed="false">
      <c r="A665" s="0" t="str">
        <f aca="false">'Raw Data'!C665</f>
        <v>Redwood City</v>
      </c>
      <c r="B665" s="5" t="n">
        <f aca="false">'Raw Data'!A665</f>
        <v>40323</v>
      </c>
      <c r="C665" s="6" t="n">
        <f aca="false">'Raw Data'!D665</f>
        <v>239.788278790966</v>
      </c>
      <c r="D665" s="6" t="n">
        <f aca="false">'Raw Data'!E665</f>
        <v>4.19</v>
      </c>
      <c r="E665" s="6" t="n">
        <f aca="false">'Raw Data'!F665</f>
        <v>1</v>
      </c>
      <c r="F665" s="6" t="n">
        <f aca="false">'Raw Data'!G665</f>
        <v>0</v>
      </c>
      <c r="G665" s="6" t="n">
        <f aca="false">'Raw Data'!H665</f>
        <v>0</v>
      </c>
      <c r="H665" s="6" t="n">
        <f aca="false">'Raw Data'!I665</f>
        <v>0</v>
      </c>
      <c r="I665" s="6" t="n">
        <f aca="false">'Raw Data'!J665</f>
        <v>0</v>
      </c>
      <c r="J665" s="6" t="n">
        <f aca="false">'Raw Data'!K665</f>
        <v>3</v>
      </c>
      <c r="K665" s="6" t="n">
        <f aca="false">'Raw Data'!L665</f>
        <v>4</v>
      </c>
      <c r="L665" s="6" t="n">
        <f aca="false">F665*E665</f>
        <v>0</v>
      </c>
      <c r="N665" s="0" t="n">
        <v>1</v>
      </c>
      <c r="O665" s="6" t="n">
        <f aca="false">D665</f>
        <v>4.19</v>
      </c>
      <c r="P665" s="6" t="n">
        <f aca="false">E665</f>
        <v>1</v>
      </c>
      <c r="Q665" s="6" t="n">
        <f aca="false">F665</f>
        <v>0</v>
      </c>
      <c r="R665" s="6" t="n">
        <f aca="false">G665</f>
        <v>0</v>
      </c>
      <c r="S665" s="6" t="n">
        <f aca="false">H665</f>
        <v>0</v>
      </c>
      <c r="T665" s="6" t="n">
        <f aca="false">I665</f>
        <v>0</v>
      </c>
      <c r="U665" s="6" t="n">
        <f aca="false">L665</f>
        <v>0</v>
      </c>
      <c r="W665" s="6" t="n">
        <f aca="false">D665</f>
        <v>4.19</v>
      </c>
      <c r="X665" s="6" t="n">
        <f aca="false">E665</f>
        <v>1</v>
      </c>
      <c r="Y665" s="6" t="n">
        <f aca="false">F665</f>
        <v>0</v>
      </c>
      <c r="Z665" s="6" t="n">
        <f aca="false">L665</f>
        <v>0</v>
      </c>
      <c r="AA665" s="6" t="n">
        <f aca="false">G665</f>
        <v>0</v>
      </c>
      <c r="AC665" s="6" t="n">
        <f aca="false">D665</f>
        <v>4.19</v>
      </c>
      <c r="AD665" s="6" t="n">
        <f aca="false">E665</f>
        <v>1</v>
      </c>
      <c r="AE665" s="6" t="n">
        <f aca="false">G665</f>
        <v>0</v>
      </c>
      <c r="AF665" s="6" t="n">
        <f aca="false">H665</f>
        <v>0</v>
      </c>
      <c r="AG665" s="6" t="n">
        <f aca="false">I665</f>
        <v>0</v>
      </c>
      <c r="AH665" s="6" t="n">
        <f aca="false">L665</f>
        <v>0</v>
      </c>
    </row>
    <row r="666" customFormat="false" ht="15" hidden="false" customHeight="false" outlineLevel="0" collapsed="false">
      <c r="A666" s="0" t="str">
        <f aca="false">'Raw Data'!C666</f>
        <v>Redwood City</v>
      </c>
      <c r="B666" s="5" t="n">
        <f aca="false">'Raw Data'!A666</f>
        <v>40330</v>
      </c>
      <c r="C666" s="6" t="n">
        <f aca="false">'Raw Data'!D666</f>
        <v>207.65387551549</v>
      </c>
      <c r="D666" s="6" t="n">
        <f aca="false">'Raw Data'!E666</f>
        <v>4.426363636</v>
      </c>
      <c r="E666" s="6" t="n">
        <f aca="false">'Raw Data'!F666</f>
        <v>1</v>
      </c>
      <c r="F666" s="6" t="n">
        <f aca="false">'Raw Data'!G666</f>
        <v>0</v>
      </c>
      <c r="G666" s="6" t="n">
        <f aca="false">'Raw Data'!H666</f>
        <v>0</v>
      </c>
      <c r="H666" s="6" t="n">
        <f aca="false">'Raw Data'!I666</f>
        <v>0</v>
      </c>
      <c r="I666" s="6" t="n">
        <f aca="false">'Raw Data'!J666</f>
        <v>0</v>
      </c>
      <c r="J666" s="6" t="n">
        <f aca="false">'Raw Data'!K666</f>
        <v>3</v>
      </c>
      <c r="K666" s="6" t="n">
        <f aca="false">'Raw Data'!L666</f>
        <v>4</v>
      </c>
      <c r="L666" s="6" t="n">
        <f aca="false">F666*E666</f>
        <v>0</v>
      </c>
      <c r="N666" s="0" t="n">
        <v>1</v>
      </c>
      <c r="O666" s="6" t="n">
        <f aca="false">D666</f>
        <v>4.426363636</v>
      </c>
      <c r="P666" s="6" t="n">
        <f aca="false">E666</f>
        <v>1</v>
      </c>
      <c r="Q666" s="6" t="n">
        <f aca="false">F666</f>
        <v>0</v>
      </c>
      <c r="R666" s="6" t="n">
        <f aca="false">G666</f>
        <v>0</v>
      </c>
      <c r="S666" s="6" t="n">
        <f aca="false">H666</f>
        <v>0</v>
      </c>
      <c r="T666" s="6" t="n">
        <f aca="false">I666</f>
        <v>0</v>
      </c>
      <c r="U666" s="6" t="n">
        <f aca="false">L666</f>
        <v>0</v>
      </c>
      <c r="W666" s="6" t="n">
        <f aca="false">D666</f>
        <v>4.426363636</v>
      </c>
      <c r="X666" s="6" t="n">
        <f aca="false">E666</f>
        <v>1</v>
      </c>
      <c r="Y666" s="6" t="n">
        <f aca="false">F666</f>
        <v>0</v>
      </c>
      <c r="Z666" s="6" t="n">
        <f aca="false">L666</f>
        <v>0</v>
      </c>
      <c r="AA666" s="6" t="n">
        <f aca="false">G666</f>
        <v>0</v>
      </c>
      <c r="AC666" s="6" t="n">
        <f aca="false">D666</f>
        <v>4.426363636</v>
      </c>
      <c r="AD666" s="6" t="n">
        <f aca="false">E666</f>
        <v>1</v>
      </c>
      <c r="AE666" s="6" t="n">
        <f aca="false">G666</f>
        <v>0</v>
      </c>
      <c r="AF666" s="6" t="n">
        <f aca="false">H666</f>
        <v>0</v>
      </c>
      <c r="AG666" s="6" t="n">
        <f aca="false">I666</f>
        <v>0</v>
      </c>
      <c r="AH666" s="6" t="n">
        <f aca="false">L666</f>
        <v>0</v>
      </c>
    </row>
    <row r="667" customFormat="false" ht="15" hidden="false" customHeight="false" outlineLevel="0" collapsed="false">
      <c r="A667" s="0" t="str">
        <f aca="false">'Raw Data'!C667</f>
        <v>Redwood City</v>
      </c>
      <c r="B667" s="5" t="n">
        <f aca="false">'Raw Data'!A667</f>
        <v>40337</v>
      </c>
      <c r="C667" s="6" t="n">
        <f aca="false">'Raw Data'!D667</f>
        <v>188.493464915174</v>
      </c>
      <c r="D667" s="6" t="n">
        <f aca="false">'Raw Data'!E667</f>
        <v>4.899090909</v>
      </c>
      <c r="E667" s="6" t="n">
        <f aca="false">'Raw Data'!F667</f>
        <v>1</v>
      </c>
      <c r="F667" s="6" t="n">
        <f aca="false">'Raw Data'!G667</f>
        <v>0</v>
      </c>
      <c r="G667" s="6" t="n">
        <f aca="false">'Raw Data'!H667</f>
        <v>0</v>
      </c>
      <c r="H667" s="6" t="n">
        <f aca="false">'Raw Data'!I667</f>
        <v>0</v>
      </c>
      <c r="I667" s="6" t="n">
        <f aca="false">'Raw Data'!J667</f>
        <v>0</v>
      </c>
      <c r="J667" s="6" t="n">
        <f aca="false">'Raw Data'!K667</f>
        <v>3</v>
      </c>
      <c r="K667" s="6" t="n">
        <f aca="false">'Raw Data'!L667</f>
        <v>4</v>
      </c>
      <c r="L667" s="6" t="n">
        <f aca="false">F667*E667</f>
        <v>0</v>
      </c>
      <c r="N667" s="0" t="n">
        <v>1</v>
      </c>
      <c r="O667" s="6" t="n">
        <f aca="false">D667</f>
        <v>4.899090909</v>
      </c>
      <c r="P667" s="6" t="n">
        <f aca="false">E667</f>
        <v>1</v>
      </c>
      <c r="Q667" s="6" t="n">
        <f aca="false">F667</f>
        <v>0</v>
      </c>
      <c r="R667" s="6" t="n">
        <f aca="false">G667</f>
        <v>0</v>
      </c>
      <c r="S667" s="6" t="n">
        <f aca="false">H667</f>
        <v>0</v>
      </c>
      <c r="T667" s="6" t="n">
        <f aca="false">I667</f>
        <v>0</v>
      </c>
      <c r="U667" s="6" t="n">
        <f aca="false">L667</f>
        <v>0</v>
      </c>
      <c r="W667" s="6" t="n">
        <f aca="false">D667</f>
        <v>4.899090909</v>
      </c>
      <c r="X667" s="6" t="n">
        <f aca="false">E667</f>
        <v>1</v>
      </c>
      <c r="Y667" s="6" t="n">
        <f aca="false">F667</f>
        <v>0</v>
      </c>
      <c r="Z667" s="6" t="n">
        <f aca="false">L667</f>
        <v>0</v>
      </c>
      <c r="AA667" s="6" t="n">
        <f aca="false">G667</f>
        <v>0</v>
      </c>
      <c r="AC667" s="6" t="n">
        <f aca="false">D667</f>
        <v>4.899090909</v>
      </c>
      <c r="AD667" s="6" t="n">
        <f aca="false">E667</f>
        <v>1</v>
      </c>
      <c r="AE667" s="6" t="n">
        <f aca="false">G667</f>
        <v>0</v>
      </c>
      <c r="AF667" s="6" t="n">
        <f aca="false">H667</f>
        <v>0</v>
      </c>
      <c r="AG667" s="6" t="n">
        <f aca="false">I667</f>
        <v>0</v>
      </c>
      <c r="AH667" s="6" t="n">
        <f aca="false">L667</f>
        <v>0</v>
      </c>
    </row>
    <row r="668" customFormat="false" ht="15" hidden="false" customHeight="false" outlineLevel="0" collapsed="false">
      <c r="A668" s="0" t="str">
        <f aca="false">'Raw Data'!C668</f>
        <v>Redwood City</v>
      </c>
      <c r="B668" s="5" t="n">
        <f aca="false">'Raw Data'!A668</f>
        <v>40344</v>
      </c>
      <c r="C668" s="6" t="n">
        <f aca="false">'Raw Data'!D668</f>
        <v>792.516251378851</v>
      </c>
      <c r="D668" s="6" t="n">
        <f aca="false">'Raw Data'!E668</f>
        <v>4.471666667</v>
      </c>
      <c r="E668" s="6" t="n">
        <f aca="false">'Raw Data'!F668</f>
        <v>1</v>
      </c>
      <c r="F668" s="6" t="n">
        <f aca="false">'Raw Data'!G668</f>
        <v>1</v>
      </c>
      <c r="G668" s="6" t="n">
        <f aca="false">'Raw Data'!H668</f>
        <v>1</v>
      </c>
      <c r="H668" s="6" t="n">
        <f aca="false">'Raw Data'!I668</f>
        <v>0</v>
      </c>
      <c r="I668" s="6" t="n">
        <f aca="false">'Raw Data'!J668</f>
        <v>0</v>
      </c>
      <c r="J668" s="6" t="n">
        <f aca="false">'Raw Data'!K668</f>
        <v>3</v>
      </c>
      <c r="K668" s="6" t="n">
        <f aca="false">'Raw Data'!L668</f>
        <v>4</v>
      </c>
      <c r="L668" s="6" t="n">
        <f aca="false">F668*E668</f>
        <v>1</v>
      </c>
      <c r="N668" s="0" t="n">
        <v>1</v>
      </c>
      <c r="O668" s="6" t="n">
        <f aca="false">D668</f>
        <v>4.471666667</v>
      </c>
      <c r="P668" s="6" t="n">
        <f aca="false">E668</f>
        <v>1</v>
      </c>
      <c r="Q668" s="6" t="n">
        <f aca="false">F668</f>
        <v>1</v>
      </c>
      <c r="R668" s="6" t="n">
        <f aca="false">G668</f>
        <v>1</v>
      </c>
      <c r="S668" s="6" t="n">
        <f aca="false">H668</f>
        <v>0</v>
      </c>
      <c r="T668" s="6" t="n">
        <f aca="false">I668</f>
        <v>0</v>
      </c>
      <c r="U668" s="6" t="n">
        <f aca="false">L668</f>
        <v>1</v>
      </c>
      <c r="W668" s="6" t="n">
        <f aca="false">D668</f>
        <v>4.471666667</v>
      </c>
      <c r="X668" s="6" t="n">
        <f aca="false">E668</f>
        <v>1</v>
      </c>
      <c r="Y668" s="6" t="n">
        <f aca="false">F668</f>
        <v>1</v>
      </c>
      <c r="Z668" s="6" t="n">
        <f aca="false">L668</f>
        <v>1</v>
      </c>
      <c r="AA668" s="6" t="n">
        <f aca="false">G668</f>
        <v>1</v>
      </c>
      <c r="AC668" s="6" t="n">
        <f aca="false">D668</f>
        <v>4.471666667</v>
      </c>
      <c r="AD668" s="6" t="n">
        <f aca="false">E668</f>
        <v>1</v>
      </c>
      <c r="AE668" s="6" t="n">
        <f aca="false">G668</f>
        <v>1</v>
      </c>
      <c r="AF668" s="6" t="n">
        <f aca="false">H668</f>
        <v>0</v>
      </c>
      <c r="AG668" s="6" t="n">
        <f aca="false">I668</f>
        <v>0</v>
      </c>
      <c r="AH668" s="6" t="n">
        <f aca="false">L668</f>
        <v>1</v>
      </c>
    </row>
    <row r="669" customFormat="false" ht="15" hidden="false" customHeight="false" outlineLevel="0" collapsed="false">
      <c r="A669" s="0" t="str">
        <f aca="false">'Raw Data'!C669</f>
        <v>Redwood City</v>
      </c>
      <c r="B669" s="5" t="n">
        <f aca="false">'Raw Data'!A669</f>
        <v>40351</v>
      </c>
      <c r="C669" s="6" t="n">
        <f aca="false">'Raw Data'!D669</f>
        <v>798.554516320263</v>
      </c>
      <c r="D669" s="6" t="n">
        <f aca="false">'Raw Data'!E669</f>
        <v>4.281666667</v>
      </c>
      <c r="E669" s="6" t="n">
        <f aca="false">'Raw Data'!F669</f>
        <v>1</v>
      </c>
      <c r="F669" s="6" t="n">
        <f aca="false">'Raw Data'!G669</f>
        <v>1</v>
      </c>
      <c r="G669" s="6" t="n">
        <f aca="false">'Raw Data'!H669</f>
        <v>0</v>
      </c>
      <c r="H669" s="6" t="n">
        <f aca="false">'Raw Data'!I669</f>
        <v>1</v>
      </c>
      <c r="I669" s="6" t="n">
        <f aca="false">'Raw Data'!J669</f>
        <v>0</v>
      </c>
      <c r="J669" s="6" t="n">
        <f aca="false">'Raw Data'!K669</f>
        <v>3</v>
      </c>
      <c r="K669" s="6" t="n">
        <f aca="false">'Raw Data'!L669</f>
        <v>4</v>
      </c>
      <c r="L669" s="6" t="n">
        <f aca="false">F669*E669</f>
        <v>1</v>
      </c>
      <c r="N669" s="0" t="n">
        <v>1</v>
      </c>
      <c r="O669" s="6" t="n">
        <f aca="false">D669</f>
        <v>4.281666667</v>
      </c>
      <c r="P669" s="6" t="n">
        <f aca="false">E669</f>
        <v>1</v>
      </c>
      <c r="Q669" s="6" t="n">
        <f aca="false">F669</f>
        <v>1</v>
      </c>
      <c r="R669" s="6" t="n">
        <f aca="false">G669</f>
        <v>0</v>
      </c>
      <c r="S669" s="6" t="n">
        <f aca="false">H669</f>
        <v>1</v>
      </c>
      <c r="T669" s="6" t="n">
        <f aca="false">I669</f>
        <v>0</v>
      </c>
      <c r="U669" s="6" t="n">
        <f aca="false">L669</f>
        <v>1</v>
      </c>
      <c r="W669" s="6" t="n">
        <f aca="false">D669</f>
        <v>4.281666667</v>
      </c>
      <c r="X669" s="6" t="n">
        <f aca="false">E669</f>
        <v>1</v>
      </c>
      <c r="Y669" s="6" t="n">
        <f aca="false">F669</f>
        <v>1</v>
      </c>
      <c r="Z669" s="6" t="n">
        <f aca="false">L669</f>
        <v>1</v>
      </c>
      <c r="AA669" s="6" t="n">
        <f aca="false">G669</f>
        <v>0</v>
      </c>
      <c r="AC669" s="6" t="n">
        <f aca="false">D669</f>
        <v>4.281666667</v>
      </c>
      <c r="AD669" s="6" t="n">
        <f aca="false">E669</f>
        <v>1</v>
      </c>
      <c r="AE669" s="6" t="n">
        <f aca="false">G669</f>
        <v>0</v>
      </c>
      <c r="AF669" s="6" t="n">
        <f aca="false">H669</f>
        <v>1</v>
      </c>
      <c r="AG669" s="6" t="n">
        <f aca="false">I669</f>
        <v>0</v>
      </c>
      <c r="AH669" s="6" t="n">
        <f aca="false">L669</f>
        <v>1</v>
      </c>
    </row>
    <row r="670" customFormat="false" ht="15" hidden="false" customHeight="false" outlineLevel="0" collapsed="false">
      <c r="A670" s="0" t="str">
        <f aca="false">'Raw Data'!C670</f>
        <v>Redwood City</v>
      </c>
      <c r="B670" s="5" t="n">
        <f aca="false">'Raw Data'!A670</f>
        <v>40358</v>
      </c>
      <c r="C670" s="6" t="n">
        <f aca="false">'Raw Data'!D670</f>
        <v>836.321945628103</v>
      </c>
      <c r="D670" s="6" t="n">
        <f aca="false">'Raw Data'!E670</f>
        <v>4.281666667</v>
      </c>
      <c r="E670" s="6" t="n">
        <f aca="false">'Raw Data'!F670</f>
        <v>1</v>
      </c>
      <c r="F670" s="6" t="n">
        <f aca="false">'Raw Data'!G670</f>
        <v>1</v>
      </c>
      <c r="G670" s="6" t="n">
        <f aca="false">'Raw Data'!H670</f>
        <v>0</v>
      </c>
      <c r="H670" s="6" t="n">
        <f aca="false">'Raw Data'!I670</f>
        <v>1</v>
      </c>
      <c r="I670" s="6" t="n">
        <f aca="false">'Raw Data'!J670</f>
        <v>0</v>
      </c>
      <c r="J670" s="6" t="n">
        <f aca="false">'Raw Data'!K670</f>
        <v>3</v>
      </c>
      <c r="K670" s="6" t="n">
        <f aca="false">'Raw Data'!L670</f>
        <v>4</v>
      </c>
      <c r="L670" s="6" t="n">
        <f aca="false">F670*E670</f>
        <v>1</v>
      </c>
      <c r="N670" s="0" t="n">
        <v>1</v>
      </c>
      <c r="O670" s="6" t="n">
        <f aca="false">D670</f>
        <v>4.281666667</v>
      </c>
      <c r="P670" s="6" t="n">
        <f aca="false">E670</f>
        <v>1</v>
      </c>
      <c r="Q670" s="6" t="n">
        <f aca="false">F670</f>
        <v>1</v>
      </c>
      <c r="R670" s="6" t="n">
        <f aca="false">G670</f>
        <v>0</v>
      </c>
      <c r="S670" s="6" t="n">
        <f aca="false">H670</f>
        <v>1</v>
      </c>
      <c r="T670" s="6" t="n">
        <f aca="false">I670</f>
        <v>0</v>
      </c>
      <c r="U670" s="6" t="n">
        <f aca="false">L670</f>
        <v>1</v>
      </c>
      <c r="W670" s="6" t="n">
        <f aca="false">D670</f>
        <v>4.281666667</v>
      </c>
      <c r="X670" s="6" t="n">
        <f aca="false">E670</f>
        <v>1</v>
      </c>
      <c r="Y670" s="6" t="n">
        <f aca="false">F670</f>
        <v>1</v>
      </c>
      <c r="Z670" s="6" t="n">
        <f aca="false">L670</f>
        <v>1</v>
      </c>
      <c r="AA670" s="6" t="n">
        <f aca="false">G670</f>
        <v>0</v>
      </c>
      <c r="AC670" s="6" t="n">
        <f aca="false">D670</f>
        <v>4.281666667</v>
      </c>
      <c r="AD670" s="6" t="n">
        <f aca="false">E670</f>
        <v>1</v>
      </c>
      <c r="AE670" s="6" t="n">
        <f aca="false">G670</f>
        <v>0</v>
      </c>
      <c r="AF670" s="6" t="n">
        <f aca="false">H670</f>
        <v>1</v>
      </c>
      <c r="AG670" s="6" t="n">
        <f aca="false">I670</f>
        <v>0</v>
      </c>
      <c r="AH670" s="6" t="n">
        <f aca="false">L670</f>
        <v>1</v>
      </c>
    </row>
    <row r="671" customFormat="false" ht="15" hidden="false" customHeight="false" outlineLevel="0" collapsed="false">
      <c r="A671" s="0" t="str">
        <f aca="false">'Raw Data'!C671</f>
        <v>Redwood City</v>
      </c>
      <c r="B671" s="5" t="n">
        <f aca="false">'Raw Data'!A671</f>
        <v>40365</v>
      </c>
      <c r="C671" s="6" t="n">
        <f aca="false">'Raw Data'!D671</f>
        <v>756.35635073696</v>
      </c>
      <c r="D671" s="6" t="n">
        <f aca="false">'Raw Data'!E671</f>
        <v>4.723333333</v>
      </c>
      <c r="E671" s="6" t="n">
        <f aca="false">'Raw Data'!F671</f>
        <v>1</v>
      </c>
      <c r="F671" s="6" t="n">
        <f aca="false">'Raw Data'!G671</f>
        <v>1</v>
      </c>
      <c r="G671" s="6" t="n">
        <f aca="false">'Raw Data'!H671</f>
        <v>0</v>
      </c>
      <c r="H671" s="6" t="n">
        <f aca="false">'Raw Data'!I671</f>
        <v>1</v>
      </c>
      <c r="I671" s="6" t="n">
        <f aca="false">'Raw Data'!J671</f>
        <v>0</v>
      </c>
      <c r="J671" s="6" t="n">
        <f aca="false">'Raw Data'!K671</f>
        <v>3</v>
      </c>
      <c r="K671" s="6" t="n">
        <f aca="false">'Raw Data'!L671</f>
        <v>4</v>
      </c>
      <c r="L671" s="6" t="n">
        <f aca="false">F671*E671</f>
        <v>1</v>
      </c>
      <c r="N671" s="0" t="n">
        <v>1</v>
      </c>
      <c r="O671" s="6" t="n">
        <f aca="false">D671</f>
        <v>4.723333333</v>
      </c>
      <c r="P671" s="6" t="n">
        <f aca="false">E671</f>
        <v>1</v>
      </c>
      <c r="Q671" s="6" t="n">
        <f aca="false">F671</f>
        <v>1</v>
      </c>
      <c r="R671" s="6" t="n">
        <f aca="false">G671</f>
        <v>0</v>
      </c>
      <c r="S671" s="6" t="n">
        <f aca="false">H671</f>
        <v>1</v>
      </c>
      <c r="T671" s="6" t="n">
        <f aca="false">I671</f>
        <v>0</v>
      </c>
      <c r="U671" s="6" t="n">
        <f aca="false">L671</f>
        <v>1</v>
      </c>
      <c r="W671" s="6" t="n">
        <f aca="false">D671</f>
        <v>4.723333333</v>
      </c>
      <c r="X671" s="6" t="n">
        <f aca="false">E671</f>
        <v>1</v>
      </c>
      <c r="Y671" s="6" t="n">
        <f aca="false">F671</f>
        <v>1</v>
      </c>
      <c r="Z671" s="6" t="n">
        <f aca="false">L671</f>
        <v>1</v>
      </c>
      <c r="AA671" s="6" t="n">
        <f aca="false">G671</f>
        <v>0</v>
      </c>
      <c r="AC671" s="6" t="n">
        <f aca="false">D671</f>
        <v>4.723333333</v>
      </c>
      <c r="AD671" s="6" t="n">
        <f aca="false">E671</f>
        <v>1</v>
      </c>
      <c r="AE671" s="6" t="n">
        <f aca="false">G671</f>
        <v>0</v>
      </c>
      <c r="AF671" s="6" t="n">
        <f aca="false">H671</f>
        <v>1</v>
      </c>
      <c r="AG671" s="6" t="n">
        <f aca="false">I671</f>
        <v>0</v>
      </c>
      <c r="AH671" s="6" t="n">
        <f aca="false">L671</f>
        <v>1</v>
      </c>
    </row>
    <row r="672" customFormat="false" ht="15" hidden="false" customHeight="false" outlineLevel="0" collapsed="false">
      <c r="A672" s="0" t="str">
        <f aca="false">'Raw Data'!C672</f>
        <v>Redwood City</v>
      </c>
      <c r="B672" s="5" t="n">
        <f aca="false">'Raw Data'!A672</f>
        <v>40372</v>
      </c>
      <c r="C672" s="6" t="n">
        <f aca="false">'Raw Data'!D672</f>
        <v>726.370037744683</v>
      </c>
      <c r="D672" s="6" t="n">
        <f aca="false">'Raw Data'!E672</f>
        <v>4.728461538</v>
      </c>
      <c r="E672" s="6" t="n">
        <f aca="false">'Raw Data'!F672</f>
        <v>1</v>
      </c>
      <c r="F672" s="6" t="n">
        <f aca="false">'Raw Data'!G672</f>
        <v>1</v>
      </c>
      <c r="G672" s="6" t="n">
        <f aca="false">'Raw Data'!H672</f>
        <v>0</v>
      </c>
      <c r="H672" s="6" t="n">
        <f aca="false">'Raw Data'!I672</f>
        <v>0</v>
      </c>
      <c r="I672" s="6" t="n">
        <f aca="false">'Raw Data'!J672</f>
        <v>1</v>
      </c>
      <c r="J672" s="6" t="n">
        <f aca="false">'Raw Data'!K672</f>
        <v>3</v>
      </c>
      <c r="K672" s="6" t="n">
        <f aca="false">'Raw Data'!L672</f>
        <v>4</v>
      </c>
      <c r="L672" s="6" t="n">
        <f aca="false">F672*E672</f>
        <v>1</v>
      </c>
      <c r="N672" s="0" t="n">
        <v>1</v>
      </c>
      <c r="O672" s="6" t="n">
        <f aca="false">D672</f>
        <v>4.728461538</v>
      </c>
      <c r="P672" s="6" t="n">
        <f aca="false">E672</f>
        <v>1</v>
      </c>
      <c r="Q672" s="6" t="n">
        <f aca="false">F672</f>
        <v>1</v>
      </c>
      <c r="R672" s="6" t="n">
        <f aca="false">G672</f>
        <v>0</v>
      </c>
      <c r="S672" s="6" t="n">
        <f aca="false">H672</f>
        <v>0</v>
      </c>
      <c r="T672" s="6" t="n">
        <f aca="false">I672</f>
        <v>1</v>
      </c>
      <c r="U672" s="6" t="n">
        <f aca="false">L672</f>
        <v>1</v>
      </c>
      <c r="W672" s="6" t="n">
        <f aca="false">D672</f>
        <v>4.728461538</v>
      </c>
      <c r="X672" s="6" t="n">
        <f aca="false">E672</f>
        <v>1</v>
      </c>
      <c r="Y672" s="6" t="n">
        <f aca="false">F672</f>
        <v>1</v>
      </c>
      <c r="Z672" s="6" t="n">
        <f aca="false">L672</f>
        <v>1</v>
      </c>
      <c r="AA672" s="6" t="n">
        <f aca="false">G672</f>
        <v>0</v>
      </c>
      <c r="AC672" s="6" t="n">
        <f aca="false">D672</f>
        <v>4.728461538</v>
      </c>
      <c r="AD672" s="6" t="n">
        <f aca="false">E672</f>
        <v>1</v>
      </c>
      <c r="AE672" s="6" t="n">
        <f aca="false">G672</f>
        <v>0</v>
      </c>
      <c r="AF672" s="6" t="n">
        <f aca="false">H672</f>
        <v>0</v>
      </c>
      <c r="AG672" s="6" t="n">
        <f aca="false">I672</f>
        <v>1</v>
      </c>
      <c r="AH672" s="6" t="n">
        <f aca="false">L672</f>
        <v>1</v>
      </c>
    </row>
    <row r="673" customFormat="false" ht="15" hidden="false" customHeight="false" outlineLevel="0" collapsed="false">
      <c r="A673" s="0" t="str">
        <f aca="false">'Raw Data'!C673</f>
        <v>Roseville</v>
      </c>
      <c r="B673" s="5" t="n">
        <f aca="false">'Raw Data'!A673</f>
        <v>40302</v>
      </c>
      <c r="C673" s="6" t="n">
        <f aca="false">'Raw Data'!D673</f>
        <v>285.521117038441</v>
      </c>
      <c r="D673" s="6" t="n">
        <f aca="false">'Raw Data'!E673</f>
        <v>4.623333333</v>
      </c>
      <c r="E673" s="6" t="n">
        <f aca="false">'Raw Data'!F673</f>
        <v>1</v>
      </c>
      <c r="F673" s="6" t="n">
        <f aca="false">'Raw Data'!G673</f>
        <v>0</v>
      </c>
      <c r="G673" s="6" t="n">
        <f aca="false">'Raw Data'!H673</f>
        <v>0</v>
      </c>
      <c r="H673" s="6" t="n">
        <f aca="false">'Raw Data'!I673</f>
        <v>1</v>
      </c>
      <c r="I673" s="6" t="n">
        <f aca="false">'Raw Data'!J673</f>
        <v>0</v>
      </c>
      <c r="J673" s="6" t="n">
        <f aca="false">'Raw Data'!K673</f>
        <v>2</v>
      </c>
      <c r="K673" s="6" t="n">
        <f aca="false">'Raw Data'!L673</f>
        <v>1</v>
      </c>
      <c r="L673" s="6" t="n">
        <f aca="false">F673*E673</f>
        <v>0</v>
      </c>
      <c r="N673" s="0" t="n">
        <v>1</v>
      </c>
      <c r="O673" s="6" t="n">
        <f aca="false">D673</f>
        <v>4.623333333</v>
      </c>
      <c r="P673" s="6" t="n">
        <f aca="false">E673</f>
        <v>1</v>
      </c>
      <c r="Q673" s="6" t="n">
        <f aca="false">F673</f>
        <v>0</v>
      </c>
      <c r="R673" s="6" t="n">
        <f aca="false">G673</f>
        <v>0</v>
      </c>
      <c r="S673" s="6" t="n">
        <f aca="false">H673</f>
        <v>1</v>
      </c>
      <c r="T673" s="6" t="n">
        <f aca="false">I673</f>
        <v>0</v>
      </c>
      <c r="U673" s="6" t="n">
        <f aca="false">L673</f>
        <v>0</v>
      </c>
      <c r="W673" s="6" t="n">
        <f aca="false">D673</f>
        <v>4.623333333</v>
      </c>
      <c r="X673" s="6" t="n">
        <f aca="false">E673</f>
        <v>1</v>
      </c>
      <c r="Y673" s="6" t="n">
        <f aca="false">F673</f>
        <v>0</v>
      </c>
      <c r="Z673" s="6" t="n">
        <f aca="false">L673</f>
        <v>0</v>
      </c>
      <c r="AA673" s="6" t="n">
        <f aca="false">G673</f>
        <v>0</v>
      </c>
      <c r="AC673" s="6" t="n">
        <f aca="false">D673</f>
        <v>4.623333333</v>
      </c>
      <c r="AD673" s="6" t="n">
        <f aca="false">E673</f>
        <v>1</v>
      </c>
      <c r="AE673" s="6" t="n">
        <f aca="false">G673</f>
        <v>0</v>
      </c>
      <c r="AF673" s="6" t="n">
        <f aca="false">H673</f>
        <v>1</v>
      </c>
      <c r="AG673" s="6" t="n">
        <f aca="false">I673</f>
        <v>0</v>
      </c>
      <c r="AH673" s="6" t="n">
        <f aca="false">L673</f>
        <v>0</v>
      </c>
    </row>
    <row r="674" customFormat="false" ht="15" hidden="false" customHeight="false" outlineLevel="0" collapsed="false">
      <c r="A674" s="0" t="str">
        <f aca="false">'Raw Data'!C674</f>
        <v>Roseville</v>
      </c>
      <c r="B674" s="5" t="n">
        <f aca="false">'Raw Data'!A674</f>
        <v>40309</v>
      </c>
      <c r="C674" s="6" t="n">
        <f aca="false">'Raw Data'!D674</f>
        <v>289.121278797788</v>
      </c>
      <c r="D674" s="6" t="n">
        <f aca="false">'Raw Data'!E674</f>
        <v>4.680909091</v>
      </c>
      <c r="E674" s="6" t="n">
        <f aca="false">'Raw Data'!F674</f>
        <v>1</v>
      </c>
      <c r="F674" s="6" t="n">
        <f aca="false">'Raw Data'!G674</f>
        <v>0</v>
      </c>
      <c r="G674" s="6" t="n">
        <f aca="false">'Raw Data'!H674</f>
        <v>0</v>
      </c>
      <c r="H674" s="6" t="n">
        <f aca="false">'Raw Data'!I674</f>
        <v>1</v>
      </c>
      <c r="I674" s="6" t="n">
        <f aca="false">'Raw Data'!J674</f>
        <v>0</v>
      </c>
      <c r="J674" s="6" t="n">
        <f aca="false">'Raw Data'!K674</f>
        <v>2</v>
      </c>
      <c r="K674" s="6" t="n">
        <f aca="false">'Raw Data'!L674</f>
        <v>1</v>
      </c>
      <c r="L674" s="6" t="n">
        <f aca="false">F674*E674</f>
        <v>0</v>
      </c>
      <c r="N674" s="0" t="n">
        <v>1</v>
      </c>
      <c r="O674" s="6" t="n">
        <f aca="false">D674</f>
        <v>4.680909091</v>
      </c>
      <c r="P674" s="6" t="n">
        <f aca="false">E674</f>
        <v>1</v>
      </c>
      <c r="Q674" s="6" t="n">
        <f aca="false">F674</f>
        <v>0</v>
      </c>
      <c r="R674" s="6" t="n">
        <f aca="false">G674</f>
        <v>0</v>
      </c>
      <c r="S674" s="6" t="n">
        <f aca="false">H674</f>
        <v>1</v>
      </c>
      <c r="T674" s="6" t="n">
        <f aca="false">I674</f>
        <v>0</v>
      </c>
      <c r="U674" s="6" t="n">
        <f aca="false">L674</f>
        <v>0</v>
      </c>
      <c r="W674" s="6" t="n">
        <f aca="false">D674</f>
        <v>4.680909091</v>
      </c>
      <c r="X674" s="6" t="n">
        <f aca="false">E674</f>
        <v>1</v>
      </c>
      <c r="Y674" s="6" t="n">
        <f aca="false">F674</f>
        <v>0</v>
      </c>
      <c r="Z674" s="6" t="n">
        <f aca="false">L674</f>
        <v>0</v>
      </c>
      <c r="AA674" s="6" t="n">
        <f aca="false">G674</f>
        <v>0</v>
      </c>
      <c r="AC674" s="6" t="n">
        <f aca="false">D674</f>
        <v>4.680909091</v>
      </c>
      <c r="AD674" s="6" t="n">
        <f aca="false">E674</f>
        <v>1</v>
      </c>
      <c r="AE674" s="6" t="n">
        <f aca="false">G674</f>
        <v>0</v>
      </c>
      <c r="AF674" s="6" t="n">
        <f aca="false">H674</f>
        <v>1</v>
      </c>
      <c r="AG674" s="6" t="n">
        <f aca="false">I674</f>
        <v>0</v>
      </c>
      <c r="AH674" s="6" t="n">
        <f aca="false">L674</f>
        <v>0</v>
      </c>
    </row>
    <row r="675" customFormat="false" ht="15" hidden="false" customHeight="false" outlineLevel="0" collapsed="false">
      <c r="A675" s="0" t="str">
        <f aca="false">'Raw Data'!C675</f>
        <v>Roseville</v>
      </c>
      <c r="B675" s="5" t="n">
        <f aca="false">'Raw Data'!A675</f>
        <v>40316</v>
      </c>
      <c r="C675" s="6" t="n">
        <f aca="false">'Raw Data'!D675</f>
        <v>311.481392482803</v>
      </c>
      <c r="D675" s="6" t="n">
        <f aca="false">'Raw Data'!E675</f>
        <v>4.062727273</v>
      </c>
      <c r="E675" s="6" t="n">
        <f aca="false">'Raw Data'!F675</f>
        <v>1</v>
      </c>
      <c r="F675" s="6" t="n">
        <f aca="false">'Raw Data'!G675</f>
        <v>0</v>
      </c>
      <c r="G675" s="6" t="n">
        <f aca="false">'Raw Data'!H675</f>
        <v>0</v>
      </c>
      <c r="H675" s="6" t="n">
        <f aca="false">'Raw Data'!I675</f>
        <v>1</v>
      </c>
      <c r="I675" s="6" t="n">
        <f aca="false">'Raw Data'!J675</f>
        <v>0</v>
      </c>
      <c r="J675" s="6" t="n">
        <f aca="false">'Raw Data'!K675</f>
        <v>2</v>
      </c>
      <c r="K675" s="6" t="n">
        <f aca="false">'Raw Data'!L675</f>
        <v>1</v>
      </c>
      <c r="L675" s="6" t="n">
        <f aca="false">F675*E675</f>
        <v>0</v>
      </c>
      <c r="N675" s="0" t="n">
        <v>1</v>
      </c>
      <c r="O675" s="6" t="n">
        <f aca="false">D675</f>
        <v>4.062727273</v>
      </c>
      <c r="P675" s="6" t="n">
        <f aca="false">E675</f>
        <v>1</v>
      </c>
      <c r="Q675" s="6" t="n">
        <f aca="false">F675</f>
        <v>0</v>
      </c>
      <c r="R675" s="6" t="n">
        <f aca="false">G675</f>
        <v>0</v>
      </c>
      <c r="S675" s="6" t="n">
        <f aca="false">H675</f>
        <v>1</v>
      </c>
      <c r="T675" s="6" t="n">
        <f aca="false">I675</f>
        <v>0</v>
      </c>
      <c r="U675" s="6" t="n">
        <f aca="false">L675</f>
        <v>0</v>
      </c>
      <c r="W675" s="6" t="n">
        <f aca="false">D675</f>
        <v>4.062727273</v>
      </c>
      <c r="X675" s="6" t="n">
        <f aca="false">E675</f>
        <v>1</v>
      </c>
      <c r="Y675" s="6" t="n">
        <f aca="false">F675</f>
        <v>0</v>
      </c>
      <c r="Z675" s="6" t="n">
        <f aca="false">L675</f>
        <v>0</v>
      </c>
      <c r="AA675" s="6" t="n">
        <f aca="false">G675</f>
        <v>0</v>
      </c>
      <c r="AC675" s="6" t="n">
        <f aca="false">D675</f>
        <v>4.062727273</v>
      </c>
      <c r="AD675" s="6" t="n">
        <f aca="false">E675</f>
        <v>1</v>
      </c>
      <c r="AE675" s="6" t="n">
        <f aca="false">G675</f>
        <v>0</v>
      </c>
      <c r="AF675" s="6" t="n">
        <f aca="false">H675</f>
        <v>1</v>
      </c>
      <c r="AG675" s="6" t="n">
        <f aca="false">I675</f>
        <v>0</v>
      </c>
      <c r="AH675" s="6" t="n">
        <f aca="false">L675</f>
        <v>0</v>
      </c>
    </row>
    <row r="676" customFormat="false" ht="15" hidden="false" customHeight="false" outlineLevel="0" collapsed="false">
      <c r="A676" s="0" t="str">
        <f aca="false">'Raw Data'!C676</f>
        <v>Roseville</v>
      </c>
      <c r="B676" s="5" t="n">
        <f aca="false">'Raw Data'!A676</f>
        <v>40323</v>
      </c>
      <c r="C676" s="6" t="n">
        <f aca="false">'Raw Data'!D676</f>
        <v>260.138713681469</v>
      </c>
      <c r="D676" s="6" t="n">
        <f aca="false">'Raw Data'!E676</f>
        <v>4.062727273</v>
      </c>
      <c r="E676" s="6" t="n">
        <f aca="false">'Raw Data'!F676</f>
        <v>1</v>
      </c>
      <c r="F676" s="6" t="n">
        <f aca="false">'Raw Data'!G676</f>
        <v>0</v>
      </c>
      <c r="G676" s="6" t="n">
        <f aca="false">'Raw Data'!H676</f>
        <v>0</v>
      </c>
      <c r="H676" s="6" t="n">
        <f aca="false">'Raw Data'!I676</f>
        <v>0</v>
      </c>
      <c r="I676" s="6" t="n">
        <f aca="false">'Raw Data'!J676</f>
        <v>1</v>
      </c>
      <c r="J676" s="6" t="n">
        <f aca="false">'Raw Data'!K676</f>
        <v>2</v>
      </c>
      <c r="K676" s="6" t="n">
        <f aca="false">'Raw Data'!L676</f>
        <v>1</v>
      </c>
      <c r="L676" s="6" t="n">
        <f aca="false">F676*E676</f>
        <v>0</v>
      </c>
      <c r="N676" s="0" t="n">
        <v>1</v>
      </c>
      <c r="O676" s="6" t="n">
        <f aca="false">D676</f>
        <v>4.062727273</v>
      </c>
      <c r="P676" s="6" t="n">
        <f aca="false">E676</f>
        <v>1</v>
      </c>
      <c r="Q676" s="6" t="n">
        <f aca="false">F676</f>
        <v>0</v>
      </c>
      <c r="R676" s="6" t="n">
        <f aca="false">G676</f>
        <v>0</v>
      </c>
      <c r="S676" s="6" t="n">
        <f aca="false">H676</f>
        <v>0</v>
      </c>
      <c r="T676" s="6" t="n">
        <f aca="false">I676</f>
        <v>1</v>
      </c>
      <c r="U676" s="6" t="n">
        <f aca="false">L676</f>
        <v>0</v>
      </c>
      <c r="W676" s="6" t="n">
        <f aca="false">D676</f>
        <v>4.062727273</v>
      </c>
      <c r="X676" s="6" t="n">
        <f aca="false">E676</f>
        <v>1</v>
      </c>
      <c r="Y676" s="6" t="n">
        <f aca="false">F676</f>
        <v>0</v>
      </c>
      <c r="Z676" s="6" t="n">
        <f aca="false">L676</f>
        <v>0</v>
      </c>
      <c r="AA676" s="6" t="n">
        <f aca="false">G676</f>
        <v>0</v>
      </c>
      <c r="AC676" s="6" t="n">
        <f aca="false">D676</f>
        <v>4.062727273</v>
      </c>
      <c r="AD676" s="6" t="n">
        <f aca="false">E676</f>
        <v>1</v>
      </c>
      <c r="AE676" s="6" t="n">
        <f aca="false">G676</f>
        <v>0</v>
      </c>
      <c r="AF676" s="6" t="n">
        <f aca="false">H676</f>
        <v>0</v>
      </c>
      <c r="AG676" s="6" t="n">
        <f aca="false">I676</f>
        <v>1</v>
      </c>
      <c r="AH676" s="6" t="n">
        <f aca="false">L676</f>
        <v>0</v>
      </c>
    </row>
    <row r="677" customFormat="false" ht="15" hidden="false" customHeight="false" outlineLevel="0" collapsed="false">
      <c r="A677" s="0" t="str">
        <f aca="false">'Raw Data'!C677</f>
        <v>Roseville</v>
      </c>
      <c r="B677" s="5" t="n">
        <f aca="false">'Raw Data'!A677</f>
        <v>40330</v>
      </c>
      <c r="C677" s="6" t="n">
        <f aca="false">'Raw Data'!D677</f>
        <v>301.972105083035</v>
      </c>
      <c r="D677" s="6" t="n">
        <f aca="false">'Raw Data'!E677</f>
        <v>4.29</v>
      </c>
      <c r="E677" s="6" t="n">
        <f aca="false">'Raw Data'!F677</f>
        <v>1</v>
      </c>
      <c r="F677" s="6" t="n">
        <f aca="false">'Raw Data'!G677</f>
        <v>0</v>
      </c>
      <c r="G677" s="6" t="n">
        <f aca="false">'Raw Data'!H677</f>
        <v>0</v>
      </c>
      <c r="H677" s="6" t="n">
        <f aca="false">'Raw Data'!I677</f>
        <v>0</v>
      </c>
      <c r="I677" s="6" t="n">
        <f aca="false">'Raw Data'!J677</f>
        <v>1</v>
      </c>
      <c r="J677" s="6" t="n">
        <f aca="false">'Raw Data'!K677</f>
        <v>2</v>
      </c>
      <c r="K677" s="6" t="n">
        <f aca="false">'Raw Data'!L677</f>
        <v>1</v>
      </c>
      <c r="L677" s="6" t="n">
        <f aca="false">F677*E677</f>
        <v>0</v>
      </c>
      <c r="N677" s="0" t="n">
        <v>1</v>
      </c>
      <c r="O677" s="6" t="n">
        <f aca="false">D677</f>
        <v>4.29</v>
      </c>
      <c r="P677" s="6" t="n">
        <f aca="false">E677</f>
        <v>1</v>
      </c>
      <c r="Q677" s="6" t="n">
        <f aca="false">F677</f>
        <v>0</v>
      </c>
      <c r="R677" s="6" t="n">
        <f aca="false">G677</f>
        <v>0</v>
      </c>
      <c r="S677" s="6" t="n">
        <f aca="false">H677</f>
        <v>0</v>
      </c>
      <c r="T677" s="6" t="n">
        <f aca="false">I677</f>
        <v>1</v>
      </c>
      <c r="U677" s="6" t="n">
        <f aca="false">L677</f>
        <v>0</v>
      </c>
      <c r="W677" s="6" t="n">
        <f aca="false">D677</f>
        <v>4.29</v>
      </c>
      <c r="X677" s="6" t="n">
        <f aca="false">E677</f>
        <v>1</v>
      </c>
      <c r="Y677" s="6" t="n">
        <f aca="false">F677</f>
        <v>0</v>
      </c>
      <c r="Z677" s="6" t="n">
        <f aca="false">L677</f>
        <v>0</v>
      </c>
      <c r="AA677" s="6" t="n">
        <f aca="false">G677</f>
        <v>0</v>
      </c>
      <c r="AC677" s="6" t="n">
        <f aca="false">D677</f>
        <v>4.29</v>
      </c>
      <c r="AD677" s="6" t="n">
        <f aca="false">E677</f>
        <v>1</v>
      </c>
      <c r="AE677" s="6" t="n">
        <f aca="false">G677</f>
        <v>0</v>
      </c>
      <c r="AF677" s="6" t="n">
        <f aca="false">H677</f>
        <v>0</v>
      </c>
      <c r="AG677" s="6" t="n">
        <f aca="false">I677</f>
        <v>1</v>
      </c>
      <c r="AH677" s="6" t="n">
        <f aca="false">L677</f>
        <v>0</v>
      </c>
    </row>
    <row r="678" customFormat="false" ht="15" hidden="false" customHeight="false" outlineLevel="0" collapsed="false">
      <c r="A678" s="0" t="str">
        <f aca="false">'Raw Data'!C678</f>
        <v>Roseville</v>
      </c>
      <c r="B678" s="5" t="n">
        <f aca="false">'Raw Data'!A678</f>
        <v>40337</v>
      </c>
      <c r="C678" s="6" t="n">
        <f aca="false">'Raw Data'!D678</f>
        <v>301.022556440908</v>
      </c>
      <c r="D678" s="6" t="n">
        <f aca="false">'Raw Data'!E678</f>
        <v>4.604545455</v>
      </c>
      <c r="E678" s="6" t="n">
        <f aca="false">'Raw Data'!F678</f>
        <v>1</v>
      </c>
      <c r="F678" s="6" t="n">
        <f aca="false">'Raw Data'!G678</f>
        <v>0</v>
      </c>
      <c r="G678" s="6" t="n">
        <f aca="false">'Raw Data'!H678</f>
        <v>0</v>
      </c>
      <c r="H678" s="6" t="n">
        <f aca="false">'Raw Data'!I678</f>
        <v>0</v>
      </c>
      <c r="I678" s="6" t="n">
        <f aca="false">'Raw Data'!J678</f>
        <v>0</v>
      </c>
      <c r="J678" s="6" t="n">
        <f aca="false">'Raw Data'!K678</f>
        <v>2</v>
      </c>
      <c r="K678" s="6" t="n">
        <f aca="false">'Raw Data'!L678</f>
        <v>1</v>
      </c>
      <c r="L678" s="6" t="n">
        <f aca="false">F678*E678</f>
        <v>0</v>
      </c>
      <c r="N678" s="0" t="n">
        <v>1</v>
      </c>
      <c r="O678" s="6" t="n">
        <f aca="false">D678</f>
        <v>4.604545455</v>
      </c>
      <c r="P678" s="6" t="n">
        <f aca="false">E678</f>
        <v>1</v>
      </c>
      <c r="Q678" s="6" t="n">
        <f aca="false">F678</f>
        <v>0</v>
      </c>
      <c r="R678" s="6" t="n">
        <f aca="false">G678</f>
        <v>0</v>
      </c>
      <c r="S678" s="6" t="n">
        <f aca="false">H678</f>
        <v>0</v>
      </c>
      <c r="T678" s="6" t="n">
        <f aca="false">I678</f>
        <v>0</v>
      </c>
      <c r="U678" s="6" t="n">
        <f aca="false">L678</f>
        <v>0</v>
      </c>
      <c r="W678" s="6" t="n">
        <f aca="false">D678</f>
        <v>4.604545455</v>
      </c>
      <c r="X678" s="6" t="n">
        <f aca="false">E678</f>
        <v>1</v>
      </c>
      <c r="Y678" s="6" t="n">
        <f aca="false">F678</f>
        <v>0</v>
      </c>
      <c r="Z678" s="6" t="n">
        <f aca="false">L678</f>
        <v>0</v>
      </c>
      <c r="AA678" s="6" t="n">
        <f aca="false">G678</f>
        <v>0</v>
      </c>
      <c r="AC678" s="6" t="n">
        <f aca="false">D678</f>
        <v>4.604545455</v>
      </c>
      <c r="AD678" s="6" t="n">
        <f aca="false">E678</f>
        <v>1</v>
      </c>
      <c r="AE678" s="6" t="n">
        <f aca="false">G678</f>
        <v>0</v>
      </c>
      <c r="AF678" s="6" t="n">
        <f aca="false">H678</f>
        <v>0</v>
      </c>
      <c r="AG678" s="6" t="n">
        <f aca="false">I678</f>
        <v>0</v>
      </c>
      <c r="AH678" s="6" t="n">
        <f aca="false">L678</f>
        <v>0</v>
      </c>
    </row>
    <row r="679" customFormat="false" ht="15" hidden="false" customHeight="false" outlineLevel="0" collapsed="false">
      <c r="A679" s="0" t="str">
        <f aca="false">'Raw Data'!C679</f>
        <v>Roseville</v>
      </c>
      <c r="B679" s="5" t="n">
        <f aca="false">'Raw Data'!A679</f>
        <v>40344</v>
      </c>
      <c r="C679" s="6" t="n">
        <f aca="false">'Raw Data'!D679</f>
        <v>223.206160000532</v>
      </c>
      <c r="D679" s="6" t="n">
        <f aca="false">'Raw Data'!E679</f>
        <v>4.32</v>
      </c>
      <c r="E679" s="6" t="n">
        <f aca="false">'Raw Data'!F679</f>
        <v>1</v>
      </c>
      <c r="F679" s="6" t="n">
        <f aca="false">'Raw Data'!G679</f>
        <v>0</v>
      </c>
      <c r="G679" s="6" t="n">
        <f aca="false">'Raw Data'!H679</f>
        <v>0</v>
      </c>
      <c r="H679" s="6" t="n">
        <f aca="false">'Raw Data'!I679</f>
        <v>0</v>
      </c>
      <c r="I679" s="6" t="n">
        <f aca="false">'Raw Data'!J679</f>
        <v>0</v>
      </c>
      <c r="J679" s="6" t="n">
        <f aca="false">'Raw Data'!K679</f>
        <v>2</v>
      </c>
      <c r="K679" s="6" t="n">
        <f aca="false">'Raw Data'!L679</f>
        <v>1</v>
      </c>
      <c r="L679" s="6" t="n">
        <f aca="false">F679*E679</f>
        <v>0</v>
      </c>
      <c r="N679" s="0" t="n">
        <v>1</v>
      </c>
      <c r="O679" s="6" t="n">
        <f aca="false">D679</f>
        <v>4.32</v>
      </c>
      <c r="P679" s="6" t="n">
        <f aca="false">E679</f>
        <v>1</v>
      </c>
      <c r="Q679" s="6" t="n">
        <f aca="false">F679</f>
        <v>0</v>
      </c>
      <c r="R679" s="6" t="n">
        <f aca="false">G679</f>
        <v>0</v>
      </c>
      <c r="S679" s="6" t="n">
        <f aca="false">H679</f>
        <v>0</v>
      </c>
      <c r="T679" s="6" t="n">
        <f aca="false">I679</f>
        <v>0</v>
      </c>
      <c r="U679" s="6" t="n">
        <f aca="false">L679</f>
        <v>0</v>
      </c>
      <c r="W679" s="6" t="n">
        <f aca="false">D679</f>
        <v>4.32</v>
      </c>
      <c r="X679" s="6" t="n">
        <f aca="false">E679</f>
        <v>1</v>
      </c>
      <c r="Y679" s="6" t="n">
        <f aca="false">F679</f>
        <v>0</v>
      </c>
      <c r="Z679" s="6" t="n">
        <f aca="false">L679</f>
        <v>0</v>
      </c>
      <c r="AA679" s="6" t="n">
        <f aca="false">G679</f>
        <v>0</v>
      </c>
      <c r="AC679" s="6" t="n">
        <f aca="false">D679</f>
        <v>4.32</v>
      </c>
      <c r="AD679" s="6" t="n">
        <f aca="false">E679</f>
        <v>1</v>
      </c>
      <c r="AE679" s="6" t="n">
        <f aca="false">G679</f>
        <v>0</v>
      </c>
      <c r="AF679" s="6" t="n">
        <f aca="false">H679</f>
        <v>0</v>
      </c>
      <c r="AG679" s="6" t="n">
        <f aca="false">I679</f>
        <v>0</v>
      </c>
      <c r="AH679" s="6" t="n">
        <f aca="false">L679</f>
        <v>0</v>
      </c>
    </row>
    <row r="680" customFormat="false" ht="15" hidden="false" customHeight="false" outlineLevel="0" collapsed="false">
      <c r="A680" s="0" t="str">
        <f aca="false">'Raw Data'!C680</f>
        <v>Roseville</v>
      </c>
      <c r="B680" s="5" t="n">
        <f aca="false">'Raw Data'!A680</f>
        <v>40351</v>
      </c>
      <c r="C680" s="6" t="n">
        <f aca="false">'Raw Data'!D680</f>
        <v>246.452850365609</v>
      </c>
      <c r="D680" s="6" t="n">
        <f aca="false">'Raw Data'!E680</f>
        <v>4.598333333</v>
      </c>
      <c r="E680" s="6" t="n">
        <f aca="false">'Raw Data'!F680</f>
        <v>1</v>
      </c>
      <c r="F680" s="6" t="n">
        <f aca="false">'Raw Data'!G680</f>
        <v>0</v>
      </c>
      <c r="G680" s="6" t="n">
        <f aca="false">'Raw Data'!H680</f>
        <v>0</v>
      </c>
      <c r="H680" s="6" t="n">
        <f aca="false">'Raw Data'!I680</f>
        <v>0</v>
      </c>
      <c r="I680" s="6" t="n">
        <f aca="false">'Raw Data'!J680</f>
        <v>0</v>
      </c>
      <c r="J680" s="6" t="n">
        <f aca="false">'Raw Data'!K680</f>
        <v>2</v>
      </c>
      <c r="K680" s="6" t="n">
        <f aca="false">'Raw Data'!L680</f>
        <v>1</v>
      </c>
      <c r="L680" s="6" t="n">
        <f aca="false">F680*E680</f>
        <v>0</v>
      </c>
      <c r="N680" s="0" t="n">
        <v>1</v>
      </c>
      <c r="O680" s="6" t="n">
        <f aca="false">D680</f>
        <v>4.598333333</v>
      </c>
      <c r="P680" s="6" t="n">
        <f aca="false">E680</f>
        <v>1</v>
      </c>
      <c r="Q680" s="6" t="n">
        <f aca="false">F680</f>
        <v>0</v>
      </c>
      <c r="R680" s="6" t="n">
        <f aca="false">G680</f>
        <v>0</v>
      </c>
      <c r="S680" s="6" t="n">
        <f aca="false">H680</f>
        <v>0</v>
      </c>
      <c r="T680" s="6" t="n">
        <f aca="false">I680</f>
        <v>0</v>
      </c>
      <c r="U680" s="6" t="n">
        <f aca="false">L680</f>
        <v>0</v>
      </c>
      <c r="W680" s="6" t="n">
        <f aca="false">D680</f>
        <v>4.598333333</v>
      </c>
      <c r="X680" s="6" t="n">
        <f aca="false">E680</f>
        <v>1</v>
      </c>
      <c r="Y680" s="6" t="n">
        <f aca="false">F680</f>
        <v>0</v>
      </c>
      <c r="Z680" s="6" t="n">
        <f aca="false">L680</f>
        <v>0</v>
      </c>
      <c r="AA680" s="6" t="n">
        <f aca="false">G680</f>
        <v>0</v>
      </c>
      <c r="AC680" s="6" t="n">
        <f aca="false">D680</f>
        <v>4.598333333</v>
      </c>
      <c r="AD680" s="6" t="n">
        <f aca="false">E680</f>
        <v>1</v>
      </c>
      <c r="AE680" s="6" t="n">
        <f aca="false">G680</f>
        <v>0</v>
      </c>
      <c r="AF680" s="6" t="n">
        <f aca="false">H680</f>
        <v>0</v>
      </c>
      <c r="AG680" s="6" t="n">
        <f aca="false">I680</f>
        <v>0</v>
      </c>
      <c r="AH680" s="6" t="n">
        <f aca="false">L680</f>
        <v>0</v>
      </c>
    </row>
    <row r="681" customFormat="false" ht="15" hidden="false" customHeight="false" outlineLevel="0" collapsed="false">
      <c r="A681" s="0" t="str">
        <f aca="false">'Raw Data'!C681</f>
        <v>Roseville</v>
      </c>
      <c r="B681" s="5" t="n">
        <f aca="false">'Raw Data'!A681</f>
        <v>40358</v>
      </c>
      <c r="C681" s="6" t="n">
        <f aca="false">'Raw Data'!D681</f>
        <v>223.32784024475</v>
      </c>
      <c r="D681" s="6" t="n">
        <f aca="false">'Raw Data'!E681</f>
        <v>4.111818182</v>
      </c>
      <c r="E681" s="6" t="n">
        <f aca="false">'Raw Data'!F681</f>
        <v>1</v>
      </c>
      <c r="F681" s="6" t="n">
        <f aca="false">'Raw Data'!G681</f>
        <v>0</v>
      </c>
      <c r="G681" s="6" t="n">
        <f aca="false">'Raw Data'!H681</f>
        <v>0</v>
      </c>
      <c r="H681" s="6" t="n">
        <f aca="false">'Raw Data'!I681</f>
        <v>0</v>
      </c>
      <c r="I681" s="6" t="n">
        <f aca="false">'Raw Data'!J681</f>
        <v>0</v>
      </c>
      <c r="J681" s="6" t="n">
        <f aca="false">'Raw Data'!K681</f>
        <v>2</v>
      </c>
      <c r="K681" s="6" t="n">
        <f aca="false">'Raw Data'!L681</f>
        <v>1</v>
      </c>
      <c r="L681" s="6" t="n">
        <f aca="false">F681*E681</f>
        <v>0</v>
      </c>
      <c r="N681" s="0" t="n">
        <v>1</v>
      </c>
      <c r="O681" s="6" t="n">
        <f aca="false">D681</f>
        <v>4.111818182</v>
      </c>
      <c r="P681" s="6" t="n">
        <f aca="false">E681</f>
        <v>1</v>
      </c>
      <c r="Q681" s="6" t="n">
        <f aca="false">F681</f>
        <v>0</v>
      </c>
      <c r="R681" s="6" t="n">
        <f aca="false">G681</f>
        <v>0</v>
      </c>
      <c r="S681" s="6" t="n">
        <f aca="false">H681</f>
        <v>0</v>
      </c>
      <c r="T681" s="6" t="n">
        <f aca="false">I681</f>
        <v>0</v>
      </c>
      <c r="U681" s="6" t="n">
        <f aca="false">L681</f>
        <v>0</v>
      </c>
      <c r="W681" s="6" t="n">
        <f aca="false">D681</f>
        <v>4.111818182</v>
      </c>
      <c r="X681" s="6" t="n">
        <f aca="false">E681</f>
        <v>1</v>
      </c>
      <c r="Y681" s="6" t="n">
        <f aca="false">F681</f>
        <v>0</v>
      </c>
      <c r="Z681" s="6" t="n">
        <f aca="false">L681</f>
        <v>0</v>
      </c>
      <c r="AA681" s="6" t="n">
        <f aca="false">G681</f>
        <v>0</v>
      </c>
      <c r="AC681" s="6" t="n">
        <f aca="false">D681</f>
        <v>4.111818182</v>
      </c>
      <c r="AD681" s="6" t="n">
        <f aca="false">E681</f>
        <v>1</v>
      </c>
      <c r="AE681" s="6" t="n">
        <f aca="false">G681</f>
        <v>0</v>
      </c>
      <c r="AF681" s="6" t="n">
        <f aca="false">H681</f>
        <v>0</v>
      </c>
      <c r="AG681" s="6" t="n">
        <f aca="false">I681</f>
        <v>0</v>
      </c>
      <c r="AH681" s="6" t="n">
        <f aca="false">L681</f>
        <v>0</v>
      </c>
    </row>
    <row r="682" customFormat="false" ht="15" hidden="false" customHeight="false" outlineLevel="0" collapsed="false">
      <c r="A682" s="0" t="str">
        <f aca="false">'Raw Data'!C682</f>
        <v>Roseville</v>
      </c>
      <c r="B682" s="5" t="n">
        <f aca="false">'Raw Data'!A682</f>
        <v>40365</v>
      </c>
      <c r="C682" s="6" t="n">
        <f aca="false">'Raw Data'!D682</f>
        <v>276.779009890334</v>
      </c>
      <c r="D682" s="6" t="n">
        <f aca="false">'Raw Data'!E682</f>
        <v>3.96</v>
      </c>
      <c r="E682" s="6" t="n">
        <f aca="false">'Raw Data'!F682</f>
        <v>1</v>
      </c>
      <c r="F682" s="6" t="n">
        <f aca="false">'Raw Data'!G682</f>
        <v>0</v>
      </c>
      <c r="G682" s="6" t="n">
        <f aca="false">'Raw Data'!H682</f>
        <v>0</v>
      </c>
      <c r="H682" s="6" t="n">
        <f aca="false">'Raw Data'!I682</f>
        <v>0</v>
      </c>
      <c r="I682" s="6" t="n">
        <f aca="false">'Raw Data'!J682</f>
        <v>0</v>
      </c>
      <c r="J682" s="6" t="n">
        <f aca="false">'Raw Data'!K682</f>
        <v>2</v>
      </c>
      <c r="K682" s="6" t="n">
        <f aca="false">'Raw Data'!L682</f>
        <v>1</v>
      </c>
      <c r="L682" s="6" t="n">
        <f aca="false">F682*E682</f>
        <v>0</v>
      </c>
      <c r="N682" s="0" t="n">
        <v>1</v>
      </c>
      <c r="O682" s="6" t="n">
        <f aca="false">D682</f>
        <v>3.96</v>
      </c>
      <c r="P682" s="6" t="n">
        <f aca="false">E682</f>
        <v>1</v>
      </c>
      <c r="Q682" s="6" t="n">
        <f aca="false">F682</f>
        <v>0</v>
      </c>
      <c r="R682" s="6" t="n">
        <f aca="false">G682</f>
        <v>0</v>
      </c>
      <c r="S682" s="6" t="n">
        <f aca="false">H682</f>
        <v>0</v>
      </c>
      <c r="T682" s="6" t="n">
        <f aca="false">I682</f>
        <v>0</v>
      </c>
      <c r="U682" s="6" t="n">
        <f aca="false">L682</f>
        <v>0</v>
      </c>
      <c r="W682" s="6" t="n">
        <f aca="false">D682</f>
        <v>3.96</v>
      </c>
      <c r="X682" s="6" t="n">
        <f aca="false">E682</f>
        <v>1</v>
      </c>
      <c r="Y682" s="6" t="n">
        <f aca="false">F682</f>
        <v>0</v>
      </c>
      <c r="Z682" s="6" t="n">
        <f aca="false">L682</f>
        <v>0</v>
      </c>
      <c r="AA682" s="6" t="n">
        <f aca="false">G682</f>
        <v>0</v>
      </c>
      <c r="AC682" s="6" t="n">
        <f aca="false">D682</f>
        <v>3.96</v>
      </c>
      <c r="AD682" s="6" t="n">
        <f aca="false">E682</f>
        <v>1</v>
      </c>
      <c r="AE682" s="6" t="n">
        <f aca="false">G682</f>
        <v>0</v>
      </c>
      <c r="AF682" s="6" t="n">
        <f aca="false">H682</f>
        <v>0</v>
      </c>
      <c r="AG682" s="6" t="n">
        <f aca="false">I682</f>
        <v>0</v>
      </c>
      <c r="AH682" s="6" t="n">
        <f aca="false">L682</f>
        <v>0</v>
      </c>
    </row>
    <row r="683" customFormat="false" ht="15" hidden="false" customHeight="false" outlineLevel="0" collapsed="false">
      <c r="A683" s="0" t="str">
        <f aca="false">'Raw Data'!C683</f>
        <v>Roseville</v>
      </c>
      <c r="B683" s="5" t="n">
        <f aca="false">'Raw Data'!A683</f>
        <v>40372</v>
      </c>
      <c r="C683" s="6" t="n">
        <f aca="false">'Raw Data'!D683</f>
        <v>268.593039903425</v>
      </c>
      <c r="D683" s="6" t="n">
        <f aca="false">'Raw Data'!E683</f>
        <v>3.96</v>
      </c>
      <c r="E683" s="6" t="n">
        <f aca="false">'Raw Data'!F683</f>
        <v>1</v>
      </c>
      <c r="F683" s="6" t="n">
        <f aca="false">'Raw Data'!G683</f>
        <v>0</v>
      </c>
      <c r="G683" s="6" t="n">
        <f aca="false">'Raw Data'!H683</f>
        <v>0</v>
      </c>
      <c r="H683" s="6" t="n">
        <f aca="false">'Raw Data'!I683</f>
        <v>0</v>
      </c>
      <c r="I683" s="6" t="n">
        <f aca="false">'Raw Data'!J683</f>
        <v>0</v>
      </c>
      <c r="J683" s="6" t="n">
        <f aca="false">'Raw Data'!K683</f>
        <v>2</v>
      </c>
      <c r="K683" s="6" t="n">
        <f aca="false">'Raw Data'!L683</f>
        <v>1</v>
      </c>
      <c r="L683" s="6" t="n">
        <f aca="false">F683*E683</f>
        <v>0</v>
      </c>
      <c r="N683" s="0" t="n">
        <v>1</v>
      </c>
      <c r="O683" s="6" t="n">
        <f aca="false">D683</f>
        <v>3.96</v>
      </c>
      <c r="P683" s="6" t="n">
        <f aca="false">E683</f>
        <v>1</v>
      </c>
      <c r="Q683" s="6" t="n">
        <f aca="false">F683</f>
        <v>0</v>
      </c>
      <c r="R683" s="6" t="n">
        <f aca="false">G683</f>
        <v>0</v>
      </c>
      <c r="S683" s="6" t="n">
        <f aca="false">H683</f>
        <v>0</v>
      </c>
      <c r="T683" s="6" t="n">
        <f aca="false">I683</f>
        <v>0</v>
      </c>
      <c r="U683" s="6" t="n">
        <f aca="false">L683</f>
        <v>0</v>
      </c>
      <c r="W683" s="6" t="n">
        <f aca="false">D683</f>
        <v>3.96</v>
      </c>
      <c r="X683" s="6" t="n">
        <f aca="false">E683</f>
        <v>1</v>
      </c>
      <c r="Y683" s="6" t="n">
        <f aca="false">F683</f>
        <v>0</v>
      </c>
      <c r="Z683" s="6" t="n">
        <f aca="false">L683</f>
        <v>0</v>
      </c>
      <c r="AA683" s="6" t="n">
        <f aca="false">G683</f>
        <v>0</v>
      </c>
      <c r="AC683" s="6" t="n">
        <f aca="false">D683</f>
        <v>3.96</v>
      </c>
      <c r="AD683" s="6" t="n">
        <f aca="false">E683</f>
        <v>1</v>
      </c>
      <c r="AE683" s="6" t="n">
        <f aca="false">G683</f>
        <v>0</v>
      </c>
      <c r="AF683" s="6" t="n">
        <f aca="false">H683</f>
        <v>0</v>
      </c>
      <c r="AG683" s="6" t="n">
        <f aca="false">I683</f>
        <v>0</v>
      </c>
      <c r="AH683" s="6" t="n">
        <f aca="false">L683</f>
        <v>0</v>
      </c>
    </row>
    <row r="684" customFormat="false" ht="15" hidden="false" customHeight="false" outlineLevel="0" collapsed="false">
      <c r="A684" s="0" t="str">
        <f aca="false">'Raw Data'!C684</f>
        <v>Sacramento</v>
      </c>
      <c r="B684" s="5" t="n">
        <f aca="false">'Raw Data'!A684</f>
        <v>40302</v>
      </c>
      <c r="C684" s="6" t="n">
        <f aca="false">'Raw Data'!D684</f>
        <v>287.796295460026</v>
      </c>
      <c r="D684" s="6" t="n">
        <f aca="false">'Raw Data'!E684</f>
        <v>4.59</v>
      </c>
      <c r="E684" s="6" t="n">
        <f aca="false">'Raw Data'!F684</f>
        <v>1</v>
      </c>
      <c r="F684" s="6" t="n">
        <f aca="false">'Raw Data'!G684</f>
        <v>0</v>
      </c>
      <c r="G684" s="6" t="n">
        <f aca="false">'Raw Data'!H684</f>
        <v>0</v>
      </c>
      <c r="H684" s="6" t="n">
        <f aca="false">'Raw Data'!I684</f>
        <v>0</v>
      </c>
      <c r="I684" s="6" t="n">
        <f aca="false">'Raw Data'!J684</f>
        <v>0</v>
      </c>
      <c r="J684" s="6" t="n">
        <f aca="false">'Raw Data'!K684</f>
        <v>3</v>
      </c>
      <c r="K684" s="6" t="n">
        <f aca="false">'Raw Data'!L684</f>
        <v>0</v>
      </c>
      <c r="L684" s="6" t="n">
        <f aca="false">F684*E684</f>
        <v>0</v>
      </c>
      <c r="N684" s="0" t="n">
        <v>1</v>
      </c>
      <c r="O684" s="6" t="n">
        <f aca="false">D684</f>
        <v>4.59</v>
      </c>
      <c r="P684" s="6" t="n">
        <f aca="false">E684</f>
        <v>1</v>
      </c>
      <c r="Q684" s="6" t="n">
        <f aca="false">F684</f>
        <v>0</v>
      </c>
      <c r="R684" s="6" t="n">
        <f aca="false">G684</f>
        <v>0</v>
      </c>
      <c r="S684" s="6" t="n">
        <f aca="false">H684</f>
        <v>0</v>
      </c>
      <c r="T684" s="6" t="n">
        <f aca="false">I684</f>
        <v>0</v>
      </c>
      <c r="U684" s="6" t="n">
        <f aca="false">L684</f>
        <v>0</v>
      </c>
      <c r="W684" s="6" t="n">
        <f aca="false">D684</f>
        <v>4.59</v>
      </c>
      <c r="X684" s="6" t="n">
        <f aca="false">E684</f>
        <v>1</v>
      </c>
      <c r="Y684" s="6" t="n">
        <f aca="false">F684</f>
        <v>0</v>
      </c>
      <c r="Z684" s="6" t="n">
        <f aca="false">L684</f>
        <v>0</v>
      </c>
      <c r="AA684" s="6" t="n">
        <f aca="false">G684</f>
        <v>0</v>
      </c>
      <c r="AC684" s="6" t="n">
        <f aca="false">D684</f>
        <v>4.59</v>
      </c>
      <c r="AD684" s="6" t="n">
        <f aca="false">E684</f>
        <v>1</v>
      </c>
      <c r="AE684" s="6" t="n">
        <f aca="false">G684</f>
        <v>0</v>
      </c>
      <c r="AF684" s="6" t="n">
        <f aca="false">H684</f>
        <v>0</v>
      </c>
      <c r="AG684" s="6" t="n">
        <f aca="false">I684</f>
        <v>0</v>
      </c>
      <c r="AH684" s="6" t="n">
        <f aca="false">L684</f>
        <v>0</v>
      </c>
    </row>
    <row r="685" customFormat="false" ht="15" hidden="false" customHeight="false" outlineLevel="0" collapsed="false">
      <c r="A685" s="0" t="str">
        <f aca="false">'Raw Data'!C685</f>
        <v>Sacramento</v>
      </c>
      <c r="B685" s="5" t="n">
        <f aca="false">'Raw Data'!A685</f>
        <v>40309</v>
      </c>
      <c r="C685" s="6" t="n">
        <f aca="false">'Raw Data'!D685</f>
        <v>280.224475856021</v>
      </c>
      <c r="D685" s="6" t="n">
        <f aca="false">'Raw Data'!E685</f>
        <v>4.59</v>
      </c>
      <c r="E685" s="6" t="n">
        <f aca="false">'Raw Data'!F685</f>
        <v>1</v>
      </c>
      <c r="F685" s="6" t="n">
        <f aca="false">'Raw Data'!G685</f>
        <v>0</v>
      </c>
      <c r="G685" s="6" t="n">
        <f aca="false">'Raw Data'!H685</f>
        <v>0</v>
      </c>
      <c r="H685" s="6" t="n">
        <f aca="false">'Raw Data'!I685</f>
        <v>0</v>
      </c>
      <c r="I685" s="6" t="n">
        <f aca="false">'Raw Data'!J685</f>
        <v>0</v>
      </c>
      <c r="J685" s="6" t="n">
        <f aca="false">'Raw Data'!K685</f>
        <v>3</v>
      </c>
      <c r="K685" s="6" t="n">
        <f aca="false">'Raw Data'!L685</f>
        <v>0</v>
      </c>
      <c r="L685" s="6" t="n">
        <f aca="false">F685*E685</f>
        <v>0</v>
      </c>
      <c r="N685" s="0" t="n">
        <v>1</v>
      </c>
      <c r="O685" s="6" t="n">
        <f aca="false">D685</f>
        <v>4.59</v>
      </c>
      <c r="P685" s="6" t="n">
        <f aca="false">E685</f>
        <v>1</v>
      </c>
      <c r="Q685" s="6" t="n">
        <f aca="false">F685</f>
        <v>0</v>
      </c>
      <c r="R685" s="6" t="n">
        <f aca="false">G685</f>
        <v>0</v>
      </c>
      <c r="S685" s="6" t="n">
        <f aca="false">H685</f>
        <v>0</v>
      </c>
      <c r="T685" s="6" t="n">
        <f aca="false">I685</f>
        <v>0</v>
      </c>
      <c r="U685" s="6" t="n">
        <f aca="false">L685</f>
        <v>0</v>
      </c>
      <c r="W685" s="6" t="n">
        <f aca="false">D685</f>
        <v>4.59</v>
      </c>
      <c r="X685" s="6" t="n">
        <f aca="false">E685</f>
        <v>1</v>
      </c>
      <c r="Y685" s="6" t="n">
        <f aca="false">F685</f>
        <v>0</v>
      </c>
      <c r="Z685" s="6" t="n">
        <f aca="false">L685</f>
        <v>0</v>
      </c>
      <c r="AA685" s="6" t="n">
        <f aca="false">G685</f>
        <v>0</v>
      </c>
      <c r="AC685" s="6" t="n">
        <f aca="false">D685</f>
        <v>4.59</v>
      </c>
      <c r="AD685" s="6" t="n">
        <f aca="false">E685</f>
        <v>1</v>
      </c>
      <c r="AE685" s="6" t="n">
        <f aca="false">G685</f>
        <v>0</v>
      </c>
      <c r="AF685" s="6" t="n">
        <f aca="false">H685</f>
        <v>0</v>
      </c>
      <c r="AG685" s="6" t="n">
        <f aca="false">I685</f>
        <v>0</v>
      </c>
      <c r="AH685" s="6" t="n">
        <f aca="false">L685</f>
        <v>0</v>
      </c>
    </row>
    <row r="686" customFormat="false" ht="15" hidden="false" customHeight="false" outlineLevel="0" collapsed="false">
      <c r="A686" s="0" t="str">
        <f aca="false">'Raw Data'!C686</f>
        <v>Sacramento</v>
      </c>
      <c r="B686" s="5" t="n">
        <f aca="false">'Raw Data'!A686</f>
        <v>40316</v>
      </c>
      <c r="C686" s="6" t="n">
        <f aca="false">'Raw Data'!D686</f>
        <v>314.64079844727</v>
      </c>
      <c r="D686" s="6" t="n">
        <f aca="false">'Raw Data'!E686</f>
        <v>3.901111111</v>
      </c>
      <c r="E686" s="6" t="n">
        <f aca="false">'Raw Data'!F686</f>
        <v>1</v>
      </c>
      <c r="F686" s="6" t="n">
        <f aca="false">'Raw Data'!G686</f>
        <v>0</v>
      </c>
      <c r="G686" s="6" t="n">
        <f aca="false">'Raw Data'!H686</f>
        <v>0</v>
      </c>
      <c r="H686" s="6" t="n">
        <f aca="false">'Raw Data'!I686</f>
        <v>0</v>
      </c>
      <c r="I686" s="6" t="n">
        <f aca="false">'Raw Data'!J686</f>
        <v>0</v>
      </c>
      <c r="J686" s="6" t="n">
        <f aca="false">'Raw Data'!K686</f>
        <v>3</v>
      </c>
      <c r="K686" s="6" t="n">
        <f aca="false">'Raw Data'!L686</f>
        <v>0</v>
      </c>
      <c r="L686" s="6" t="n">
        <f aca="false">F686*E686</f>
        <v>0</v>
      </c>
      <c r="N686" s="0" t="n">
        <v>1</v>
      </c>
      <c r="O686" s="6" t="n">
        <f aca="false">D686</f>
        <v>3.901111111</v>
      </c>
      <c r="P686" s="6" t="n">
        <f aca="false">E686</f>
        <v>1</v>
      </c>
      <c r="Q686" s="6" t="n">
        <f aca="false">F686</f>
        <v>0</v>
      </c>
      <c r="R686" s="6" t="n">
        <f aca="false">G686</f>
        <v>0</v>
      </c>
      <c r="S686" s="6" t="n">
        <f aca="false">H686</f>
        <v>0</v>
      </c>
      <c r="T686" s="6" t="n">
        <f aca="false">I686</f>
        <v>0</v>
      </c>
      <c r="U686" s="6" t="n">
        <f aca="false">L686</f>
        <v>0</v>
      </c>
      <c r="W686" s="6" t="n">
        <f aca="false">D686</f>
        <v>3.901111111</v>
      </c>
      <c r="X686" s="6" t="n">
        <f aca="false">E686</f>
        <v>1</v>
      </c>
      <c r="Y686" s="6" t="n">
        <f aca="false">F686</f>
        <v>0</v>
      </c>
      <c r="Z686" s="6" t="n">
        <f aca="false">L686</f>
        <v>0</v>
      </c>
      <c r="AA686" s="6" t="n">
        <f aca="false">G686</f>
        <v>0</v>
      </c>
      <c r="AC686" s="6" t="n">
        <f aca="false">D686</f>
        <v>3.901111111</v>
      </c>
      <c r="AD686" s="6" t="n">
        <f aca="false">E686</f>
        <v>1</v>
      </c>
      <c r="AE686" s="6" t="n">
        <f aca="false">G686</f>
        <v>0</v>
      </c>
      <c r="AF686" s="6" t="n">
        <f aca="false">H686</f>
        <v>0</v>
      </c>
      <c r="AG686" s="6" t="n">
        <f aca="false">I686</f>
        <v>0</v>
      </c>
      <c r="AH686" s="6" t="n">
        <f aca="false">L686</f>
        <v>0</v>
      </c>
    </row>
    <row r="687" customFormat="false" ht="15" hidden="false" customHeight="false" outlineLevel="0" collapsed="false">
      <c r="A687" s="0" t="str">
        <f aca="false">'Raw Data'!C687</f>
        <v>Sacramento</v>
      </c>
      <c r="B687" s="5" t="n">
        <f aca="false">'Raw Data'!A687</f>
        <v>40323</v>
      </c>
      <c r="C687" s="6" t="n">
        <f aca="false">'Raw Data'!D687</f>
        <v>223.71117533238</v>
      </c>
      <c r="D687" s="6" t="n">
        <f aca="false">'Raw Data'!E687</f>
        <v>4.19</v>
      </c>
      <c r="E687" s="6" t="n">
        <f aca="false">'Raw Data'!F687</f>
        <v>1</v>
      </c>
      <c r="F687" s="6" t="n">
        <f aca="false">'Raw Data'!G687</f>
        <v>0</v>
      </c>
      <c r="G687" s="6" t="n">
        <f aca="false">'Raw Data'!H687</f>
        <v>0</v>
      </c>
      <c r="H687" s="6" t="n">
        <f aca="false">'Raw Data'!I687</f>
        <v>0</v>
      </c>
      <c r="I687" s="6" t="n">
        <f aca="false">'Raw Data'!J687</f>
        <v>0</v>
      </c>
      <c r="J687" s="6" t="n">
        <f aca="false">'Raw Data'!K687</f>
        <v>3</v>
      </c>
      <c r="K687" s="6" t="n">
        <f aca="false">'Raw Data'!L687</f>
        <v>0</v>
      </c>
      <c r="L687" s="6" t="n">
        <f aca="false">F687*E687</f>
        <v>0</v>
      </c>
      <c r="N687" s="0" t="n">
        <v>1</v>
      </c>
      <c r="O687" s="6" t="n">
        <f aca="false">D687</f>
        <v>4.19</v>
      </c>
      <c r="P687" s="6" t="n">
        <f aca="false">E687</f>
        <v>1</v>
      </c>
      <c r="Q687" s="6" t="n">
        <f aca="false">F687</f>
        <v>0</v>
      </c>
      <c r="R687" s="6" t="n">
        <f aca="false">G687</f>
        <v>0</v>
      </c>
      <c r="S687" s="6" t="n">
        <f aca="false">H687</f>
        <v>0</v>
      </c>
      <c r="T687" s="6" t="n">
        <f aca="false">I687</f>
        <v>0</v>
      </c>
      <c r="U687" s="6" t="n">
        <f aca="false">L687</f>
        <v>0</v>
      </c>
      <c r="W687" s="6" t="n">
        <f aca="false">D687</f>
        <v>4.19</v>
      </c>
      <c r="X687" s="6" t="n">
        <f aca="false">E687</f>
        <v>1</v>
      </c>
      <c r="Y687" s="6" t="n">
        <f aca="false">F687</f>
        <v>0</v>
      </c>
      <c r="Z687" s="6" t="n">
        <f aca="false">L687</f>
        <v>0</v>
      </c>
      <c r="AA687" s="6" t="n">
        <f aca="false">G687</f>
        <v>0</v>
      </c>
      <c r="AC687" s="6" t="n">
        <f aca="false">D687</f>
        <v>4.19</v>
      </c>
      <c r="AD687" s="6" t="n">
        <f aca="false">E687</f>
        <v>1</v>
      </c>
      <c r="AE687" s="6" t="n">
        <f aca="false">G687</f>
        <v>0</v>
      </c>
      <c r="AF687" s="6" t="n">
        <f aca="false">H687</f>
        <v>0</v>
      </c>
      <c r="AG687" s="6" t="n">
        <f aca="false">I687</f>
        <v>0</v>
      </c>
      <c r="AH687" s="6" t="n">
        <f aca="false">L687</f>
        <v>0</v>
      </c>
    </row>
    <row r="688" customFormat="false" ht="15" hidden="false" customHeight="false" outlineLevel="0" collapsed="false">
      <c r="A688" s="0" t="str">
        <f aca="false">'Raw Data'!C688</f>
        <v>Sacramento</v>
      </c>
      <c r="B688" s="5" t="n">
        <f aca="false">'Raw Data'!A688</f>
        <v>40330</v>
      </c>
      <c r="C688" s="6" t="n">
        <f aca="false">'Raw Data'!D688</f>
        <v>192.681365934027</v>
      </c>
      <c r="D688" s="6" t="n">
        <f aca="false">'Raw Data'!E688</f>
        <v>3.901111111</v>
      </c>
      <c r="E688" s="6" t="n">
        <f aca="false">'Raw Data'!F688</f>
        <v>1</v>
      </c>
      <c r="F688" s="6" t="n">
        <f aca="false">'Raw Data'!G688</f>
        <v>0</v>
      </c>
      <c r="G688" s="6" t="n">
        <f aca="false">'Raw Data'!H688</f>
        <v>0</v>
      </c>
      <c r="H688" s="6" t="n">
        <f aca="false">'Raw Data'!I688</f>
        <v>0</v>
      </c>
      <c r="I688" s="6" t="n">
        <f aca="false">'Raw Data'!J688</f>
        <v>0</v>
      </c>
      <c r="J688" s="6" t="n">
        <f aca="false">'Raw Data'!K688</f>
        <v>3</v>
      </c>
      <c r="K688" s="6" t="n">
        <f aca="false">'Raw Data'!L688</f>
        <v>0</v>
      </c>
      <c r="L688" s="6" t="n">
        <f aca="false">F688*E688</f>
        <v>0</v>
      </c>
      <c r="N688" s="0" t="n">
        <v>1</v>
      </c>
      <c r="O688" s="6" t="n">
        <f aca="false">D688</f>
        <v>3.901111111</v>
      </c>
      <c r="P688" s="6" t="n">
        <f aca="false">E688</f>
        <v>1</v>
      </c>
      <c r="Q688" s="6" t="n">
        <f aca="false">F688</f>
        <v>0</v>
      </c>
      <c r="R688" s="6" t="n">
        <f aca="false">G688</f>
        <v>0</v>
      </c>
      <c r="S688" s="6" t="n">
        <f aca="false">H688</f>
        <v>0</v>
      </c>
      <c r="T688" s="6" t="n">
        <f aca="false">I688</f>
        <v>0</v>
      </c>
      <c r="U688" s="6" t="n">
        <f aca="false">L688</f>
        <v>0</v>
      </c>
      <c r="W688" s="6" t="n">
        <f aca="false">D688</f>
        <v>3.901111111</v>
      </c>
      <c r="X688" s="6" t="n">
        <f aca="false">E688</f>
        <v>1</v>
      </c>
      <c r="Y688" s="6" t="n">
        <f aca="false">F688</f>
        <v>0</v>
      </c>
      <c r="Z688" s="6" t="n">
        <f aca="false">L688</f>
        <v>0</v>
      </c>
      <c r="AA688" s="6" t="n">
        <f aca="false">G688</f>
        <v>0</v>
      </c>
      <c r="AC688" s="6" t="n">
        <f aca="false">D688</f>
        <v>3.901111111</v>
      </c>
      <c r="AD688" s="6" t="n">
        <f aca="false">E688</f>
        <v>1</v>
      </c>
      <c r="AE688" s="6" t="n">
        <f aca="false">G688</f>
        <v>0</v>
      </c>
      <c r="AF688" s="6" t="n">
        <f aca="false">H688</f>
        <v>0</v>
      </c>
      <c r="AG688" s="6" t="n">
        <f aca="false">I688</f>
        <v>0</v>
      </c>
      <c r="AH688" s="6" t="n">
        <f aca="false">L688</f>
        <v>0</v>
      </c>
    </row>
    <row r="689" customFormat="false" ht="15" hidden="false" customHeight="false" outlineLevel="0" collapsed="false">
      <c r="A689" s="0" t="str">
        <f aca="false">'Raw Data'!C689</f>
        <v>Sacramento</v>
      </c>
      <c r="B689" s="5" t="n">
        <f aca="false">'Raw Data'!A689</f>
        <v>40337</v>
      </c>
      <c r="C689" s="6" t="n">
        <f aca="false">'Raw Data'!D689</f>
        <v>169.334527373481</v>
      </c>
      <c r="D689" s="6" t="n">
        <f aca="false">'Raw Data'!E689</f>
        <v>4.222222222</v>
      </c>
      <c r="E689" s="6" t="n">
        <f aca="false">'Raw Data'!F689</f>
        <v>1</v>
      </c>
      <c r="F689" s="6" t="n">
        <f aca="false">'Raw Data'!G689</f>
        <v>0</v>
      </c>
      <c r="G689" s="6" t="n">
        <f aca="false">'Raw Data'!H689</f>
        <v>0</v>
      </c>
      <c r="H689" s="6" t="n">
        <f aca="false">'Raw Data'!I689</f>
        <v>0</v>
      </c>
      <c r="I689" s="6" t="n">
        <f aca="false">'Raw Data'!J689</f>
        <v>0</v>
      </c>
      <c r="J689" s="6" t="n">
        <f aca="false">'Raw Data'!K689</f>
        <v>3</v>
      </c>
      <c r="K689" s="6" t="n">
        <f aca="false">'Raw Data'!L689</f>
        <v>0</v>
      </c>
      <c r="L689" s="6" t="n">
        <f aca="false">F689*E689</f>
        <v>0</v>
      </c>
      <c r="N689" s="0" t="n">
        <v>1</v>
      </c>
      <c r="O689" s="6" t="n">
        <f aca="false">D689</f>
        <v>4.222222222</v>
      </c>
      <c r="P689" s="6" t="n">
        <f aca="false">E689</f>
        <v>1</v>
      </c>
      <c r="Q689" s="6" t="n">
        <f aca="false">F689</f>
        <v>0</v>
      </c>
      <c r="R689" s="6" t="n">
        <f aca="false">G689</f>
        <v>0</v>
      </c>
      <c r="S689" s="6" t="n">
        <f aca="false">H689</f>
        <v>0</v>
      </c>
      <c r="T689" s="6" t="n">
        <f aca="false">I689</f>
        <v>0</v>
      </c>
      <c r="U689" s="6" t="n">
        <f aca="false">L689</f>
        <v>0</v>
      </c>
      <c r="W689" s="6" t="n">
        <f aca="false">D689</f>
        <v>4.222222222</v>
      </c>
      <c r="X689" s="6" t="n">
        <f aca="false">E689</f>
        <v>1</v>
      </c>
      <c r="Y689" s="6" t="n">
        <f aca="false">F689</f>
        <v>0</v>
      </c>
      <c r="Z689" s="6" t="n">
        <f aca="false">L689</f>
        <v>0</v>
      </c>
      <c r="AA689" s="6" t="n">
        <f aca="false">G689</f>
        <v>0</v>
      </c>
      <c r="AC689" s="6" t="n">
        <f aca="false">D689</f>
        <v>4.222222222</v>
      </c>
      <c r="AD689" s="6" t="n">
        <f aca="false">E689</f>
        <v>1</v>
      </c>
      <c r="AE689" s="6" t="n">
        <f aca="false">G689</f>
        <v>0</v>
      </c>
      <c r="AF689" s="6" t="n">
        <f aca="false">H689</f>
        <v>0</v>
      </c>
      <c r="AG689" s="6" t="n">
        <f aca="false">I689</f>
        <v>0</v>
      </c>
      <c r="AH689" s="6" t="n">
        <f aca="false">L689</f>
        <v>0</v>
      </c>
    </row>
    <row r="690" customFormat="false" ht="15" hidden="false" customHeight="false" outlineLevel="0" collapsed="false">
      <c r="A690" s="0" t="str">
        <f aca="false">'Raw Data'!C690</f>
        <v>Sacramento</v>
      </c>
      <c r="B690" s="5" t="n">
        <f aca="false">'Raw Data'!A690</f>
        <v>40344</v>
      </c>
      <c r="C690" s="6" t="n">
        <f aca="false">'Raw Data'!D690</f>
        <v>249.792049272943</v>
      </c>
      <c r="D690" s="6" t="n">
        <f aca="false">'Raw Data'!E690</f>
        <v>4.534444444</v>
      </c>
      <c r="E690" s="6" t="n">
        <f aca="false">'Raw Data'!F690</f>
        <v>1</v>
      </c>
      <c r="F690" s="6" t="n">
        <f aca="false">'Raw Data'!G690</f>
        <v>0</v>
      </c>
      <c r="G690" s="6" t="n">
        <f aca="false">'Raw Data'!H690</f>
        <v>0</v>
      </c>
      <c r="H690" s="6" t="n">
        <f aca="false">'Raw Data'!I690</f>
        <v>0</v>
      </c>
      <c r="I690" s="6" t="n">
        <f aca="false">'Raw Data'!J690</f>
        <v>0</v>
      </c>
      <c r="J690" s="6" t="n">
        <f aca="false">'Raw Data'!K690</f>
        <v>3</v>
      </c>
      <c r="K690" s="6" t="n">
        <f aca="false">'Raw Data'!L690</f>
        <v>0</v>
      </c>
      <c r="L690" s="6" t="n">
        <f aca="false">F690*E690</f>
        <v>0</v>
      </c>
      <c r="N690" s="0" t="n">
        <v>1</v>
      </c>
      <c r="O690" s="6" t="n">
        <f aca="false">D690</f>
        <v>4.534444444</v>
      </c>
      <c r="P690" s="6" t="n">
        <f aca="false">E690</f>
        <v>1</v>
      </c>
      <c r="Q690" s="6" t="n">
        <f aca="false">F690</f>
        <v>0</v>
      </c>
      <c r="R690" s="6" t="n">
        <f aca="false">G690</f>
        <v>0</v>
      </c>
      <c r="S690" s="6" t="n">
        <f aca="false">H690</f>
        <v>0</v>
      </c>
      <c r="T690" s="6" t="n">
        <f aca="false">I690</f>
        <v>0</v>
      </c>
      <c r="U690" s="6" t="n">
        <f aca="false">L690</f>
        <v>0</v>
      </c>
      <c r="W690" s="6" t="n">
        <f aca="false">D690</f>
        <v>4.534444444</v>
      </c>
      <c r="X690" s="6" t="n">
        <f aca="false">E690</f>
        <v>1</v>
      </c>
      <c r="Y690" s="6" t="n">
        <f aca="false">F690</f>
        <v>0</v>
      </c>
      <c r="Z690" s="6" t="n">
        <f aca="false">L690</f>
        <v>0</v>
      </c>
      <c r="AA690" s="6" t="n">
        <f aca="false">G690</f>
        <v>0</v>
      </c>
      <c r="AC690" s="6" t="n">
        <f aca="false">D690</f>
        <v>4.534444444</v>
      </c>
      <c r="AD690" s="6" t="n">
        <f aca="false">E690</f>
        <v>1</v>
      </c>
      <c r="AE690" s="6" t="n">
        <f aca="false">G690</f>
        <v>0</v>
      </c>
      <c r="AF690" s="6" t="n">
        <f aca="false">H690</f>
        <v>0</v>
      </c>
      <c r="AG690" s="6" t="n">
        <f aca="false">I690</f>
        <v>0</v>
      </c>
      <c r="AH690" s="6" t="n">
        <f aca="false">L690</f>
        <v>0</v>
      </c>
    </row>
    <row r="691" customFormat="false" ht="15" hidden="false" customHeight="false" outlineLevel="0" collapsed="false">
      <c r="A691" s="0" t="str">
        <f aca="false">'Raw Data'!C691</f>
        <v>Sacramento</v>
      </c>
      <c r="B691" s="5" t="n">
        <f aca="false">'Raw Data'!A691</f>
        <v>40351</v>
      </c>
      <c r="C691" s="6" t="n">
        <f aca="false">'Raw Data'!D691</f>
        <v>159.104393440132</v>
      </c>
      <c r="D691" s="6" t="n">
        <f aca="false">'Raw Data'!E691</f>
        <v>4.56</v>
      </c>
      <c r="E691" s="6" t="n">
        <f aca="false">'Raw Data'!F691</f>
        <v>1</v>
      </c>
      <c r="F691" s="6" t="n">
        <f aca="false">'Raw Data'!G691</f>
        <v>0</v>
      </c>
      <c r="G691" s="6" t="n">
        <f aca="false">'Raw Data'!H691</f>
        <v>0</v>
      </c>
      <c r="H691" s="6" t="n">
        <f aca="false">'Raw Data'!I691</f>
        <v>0</v>
      </c>
      <c r="I691" s="6" t="n">
        <f aca="false">'Raw Data'!J691</f>
        <v>0</v>
      </c>
      <c r="J691" s="6" t="n">
        <f aca="false">'Raw Data'!K691</f>
        <v>3</v>
      </c>
      <c r="K691" s="6" t="n">
        <f aca="false">'Raw Data'!L691</f>
        <v>0</v>
      </c>
      <c r="L691" s="6" t="n">
        <f aca="false">F691*E691</f>
        <v>0</v>
      </c>
      <c r="N691" s="0" t="n">
        <v>1</v>
      </c>
      <c r="O691" s="6" t="n">
        <f aca="false">D691</f>
        <v>4.56</v>
      </c>
      <c r="P691" s="6" t="n">
        <f aca="false">E691</f>
        <v>1</v>
      </c>
      <c r="Q691" s="6" t="n">
        <f aca="false">F691</f>
        <v>0</v>
      </c>
      <c r="R691" s="6" t="n">
        <f aca="false">G691</f>
        <v>0</v>
      </c>
      <c r="S691" s="6" t="n">
        <f aca="false">H691</f>
        <v>0</v>
      </c>
      <c r="T691" s="6" t="n">
        <f aca="false">I691</f>
        <v>0</v>
      </c>
      <c r="U691" s="6" t="n">
        <f aca="false">L691</f>
        <v>0</v>
      </c>
      <c r="W691" s="6" t="n">
        <f aca="false">D691</f>
        <v>4.56</v>
      </c>
      <c r="X691" s="6" t="n">
        <f aca="false">E691</f>
        <v>1</v>
      </c>
      <c r="Y691" s="6" t="n">
        <f aca="false">F691</f>
        <v>0</v>
      </c>
      <c r="Z691" s="6" t="n">
        <f aca="false">L691</f>
        <v>0</v>
      </c>
      <c r="AA691" s="6" t="n">
        <f aca="false">G691</f>
        <v>0</v>
      </c>
      <c r="AC691" s="6" t="n">
        <f aca="false">D691</f>
        <v>4.56</v>
      </c>
      <c r="AD691" s="6" t="n">
        <f aca="false">E691</f>
        <v>1</v>
      </c>
      <c r="AE691" s="6" t="n">
        <f aca="false">G691</f>
        <v>0</v>
      </c>
      <c r="AF691" s="6" t="n">
        <f aca="false">H691</f>
        <v>0</v>
      </c>
      <c r="AG691" s="6" t="n">
        <f aca="false">I691</f>
        <v>0</v>
      </c>
      <c r="AH691" s="6" t="n">
        <f aca="false">L691</f>
        <v>0</v>
      </c>
    </row>
    <row r="692" customFormat="false" ht="15" hidden="false" customHeight="false" outlineLevel="0" collapsed="false">
      <c r="A692" s="0" t="str">
        <f aca="false">'Raw Data'!C692</f>
        <v>Sacramento</v>
      </c>
      <c r="B692" s="5" t="n">
        <f aca="false">'Raw Data'!A692</f>
        <v>40358</v>
      </c>
      <c r="C692" s="6" t="n">
        <f aca="false">'Raw Data'!D692</f>
        <v>226.899353768905</v>
      </c>
      <c r="D692" s="6" t="n">
        <f aca="false">'Raw Data'!E692</f>
        <v>4.178888889</v>
      </c>
      <c r="E692" s="6" t="n">
        <f aca="false">'Raw Data'!F692</f>
        <v>1</v>
      </c>
      <c r="F692" s="6" t="n">
        <f aca="false">'Raw Data'!G692</f>
        <v>0</v>
      </c>
      <c r="G692" s="6" t="n">
        <f aca="false">'Raw Data'!H692</f>
        <v>0</v>
      </c>
      <c r="H692" s="6" t="n">
        <f aca="false">'Raw Data'!I692</f>
        <v>0</v>
      </c>
      <c r="I692" s="6" t="n">
        <f aca="false">'Raw Data'!J692</f>
        <v>0</v>
      </c>
      <c r="J692" s="6" t="n">
        <f aca="false">'Raw Data'!K692</f>
        <v>3</v>
      </c>
      <c r="K692" s="6" t="n">
        <f aca="false">'Raw Data'!L692</f>
        <v>0</v>
      </c>
      <c r="L692" s="6" t="n">
        <f aca="false">F692*E692</f>
        <v>0</v>
      </c>
      <c r="N692" s="0" t="n">
        <v>1</v>
      </c>
      <c r="O692" s="6" t="n">
        <f aca="false">D692</f>
        <v>4.178888889</v>
      </c>
      <c r="P692" s="6" t="n">
        <f aca="false">E692</f>
        <v>1</v>
      </c>
      <c r="Q692" s="6" t="n">
        <f aca="false">F692</f>
        <v>0</v>
      </c>
      <c r="R692" s="6" t="n">
        <f aca="false">G692</f>
        <v>0</v>
      </c>
      <c r="S692" s="6" t="n">
        <f aca="false">H692</f>
        <v>0</v>
      </c>
      <c r="T692" s="6" t="n">
        <f aca="false">I692</f>
        <v>0</v>
      </c>
      <c r="U692" s="6" t="n">
        <f aca="false">L692</f>
        <v>0</v>
      </c>
      <c r="W692" s="6" t="n">
        <f aca="false">D692</f>
        <v>4.178888889</v>
      </c>
      <c r="X692" s="6" t="n">
        <f aca="false">E692</f>
        <v>1</v>
      </c>
      <c r="Y692" s="6" t="n">
        <f aca="false">F692</f>
        <v>0</v>
      </c>
      <c r="Z692" s="6" t="n">
        <f aca="false">L692</f>
        <v>0</v>
      </c>
      <c r="AA692" s="6" t="n">
        <f aca="false">G692</f>
        <v>0</v>
      </c>
      <c r="AC692" s="6" t="n">
        <f aca="false">D692</f>
        <v>4.178888889</v>
      </c>
      <c r="AD692" s="6" t="n">
        <f aca="false">E692</f>
        <v>1</v>
      </c>
      <c r="AE692" s="6" t="n">
        <f aca="false">G692</f>
        <v>0</v>
      </c>
      <c r="AF692" s="6" t="n">
        <f aca="false">H692</f>
        <v>0</v>
      </c>
      <c r="AG692" s="6" t="n">
        <f aca="false">I692</f>
        <v>0</v>
      </c>
      <c r="AH692" s="6" t="n">
        <f aca="false">L692</f>
        <v>0</v>
      </c>
    </row>
    <row r="693" customFormat="false" ht="15" hidden="false" customHeight="false" outlineLevel="0" collapsed="false">
      <c r="A693" s="0" t="str">
        <f aca="false">'Raw Data'!C693</f>
        <v>Sacramento</v>
      </c>
      <c r="B693" s="5" t="n">
        <f aca="false">'Raw Data'!A693</f>
        <v>40365</v>
      </c>
      <c r="C693" s="6" t="n">
        <f aca="false">'Raw Data'!D693</f>
        <v>252.183449405112</v>
      </c>
      <c r="D693" s="6" t="n">
        <f aca="false">'Raw Data'!E693</f>
        <v>3.99</v>
      </c>
      <c r="E693" s="6" t="n">
        <f aca="false">'Raw Data'!F693</f>
        <v>1</v>
      </c>
      <c r="F693" s="6" t="n">
        <f aca="false">'Raw Data'!G693</f>
        <v>0</v>
      </c>
      <c r="G693" s="6" t="n">
        <f aca="false">'Raw Data'!H693</f>
        <v>0</v>
      </c>
      <c r="H693" s="6" t="n">
        <f aca="false">'Raw Data'!I693</f>
        <v>0</v>
      </c>
      <c r="I693" s="6" t="n">
        <f aca="false">'Raw Data'!J693</f>
        <v>0</v>
      </c>
      <c r="J693" s="6" t="n">
        <f aca="false">'Raw Data'!K693</f>
        <v>3</v>
      </c>
      <c r="K693" s="6" t="n">
        <f aca="false">'Raw Data'!L693</f>
        <v>0</v>
      </c>
      <c r="L693" s="6" t="n">
        <f aca="false">F693*E693</f>
        <v>0</v>
      </c>
      <c r="N693" s="0" t="n">
        <v>1</v>
      </c>
      <c r="O693" s="6" t="n">
        <f aca="false">D693</f>
        <v>3.99</v>
      </c>
      <c r="P693" s="6" t="n">
        <f aca="false">E693</f>
        <v>1</v>
      </c>
      <c r="Q693" s="6" t="n">
        <f aca="false">F693</f>
        <v>0</v>
      </c>
      <c r="R693" s="6" t="n">
        <f aca="false">G693</f>
        <v>0</v>
      </c>
      <c r="S693" s="6" t="n">
        <f aca="false">H693</f>
        <v>0</v>
      </c>
      <c r="T693" s="6" t="n">
        <f aca="false">I693</f>
        <v>0</v>
      </c>
      <c r="U693" s="6" t="n">
        <f aca="false">L693</f>
        <v>0</v>
      </c>
      <c r="W693" s="6" t="n">
        <f aca="false">D693</f>
        <v>3.99</v>
      </c>
      <c r="X693" s="6" t="n">
        <f aca="false">E693</f>
        <v>1</v>
      </c>
      <c r="Y693" s="6" t="n">
        <f aca="false">F693</f>
        <v>0</v>
      </c>
      <c r="Z693" s="6" t="n">
        <f aca="false">L693</f>
        <v>0</v>
      </c>
      <c r="AA693" s="6" t="n">
        <f aca="false">G693</f>
        <v>0</v>
      </c>
      <c r="AC693" s="6" t="n">
        <f aca="false">D693</f>
        <v>3.99</v>
      </c>
      <c r="AD693" s="6" t="n">
        <f aca="false">E693</f>
        <v>1</v>
      </c>
      <c r="AE693" s="6" t="n">
        <f aca="false">G693</f>
        <v>0</v>
      </c>
      <c r="AF693" s="6" t="n">
        <f aca="false">H693</f>
        <v>0</v>
      </c>
      <c r="AG693" s="6" t="n">
        <f aca="false">I693</f>
        <v>0</v>
      </c>
      <c r="AH693" s="6" t="n">
        <f aca="false">L693</f>
        <v>0</v>
      </c>
    </row>
    <row r="694" customFormat="false" ht="15" hidden="false" customHeight="false" outlineLevel="0" collapsed="false">
      <c r="A694" s="0" t="str">
        <f aca="false">'Raw Data'!C694</f>
        <v>Sacramento</v>
      </c>
      <c r="B694" s="5" t="n">
        <f aca="false">'Raw Data'!A694</f>
        <v>40372</v>
      </c>
      <c r="C694" s="6" t="n">
        <f aca="false">'Raw Data'!D694</f>
        <v>284.162550252956</v>
      </c>
      <c r="D694" s="6" t="n">
        <f aca="false">'Raw Data'!E694</f>
        <v>3.99</v>
      </c>
      <c r="E694" s="6" t="n">
        <f aca="false">'Raw Data'!F694</f>
        <v>1</v>
      </c>
      <c r="F694" s="6" t="n">
        <f aca="false">'Raw Data'!G694</f>
        <v>0</v>
      </c>
      <c r="G694" s="6" t="n">
        <f aca="false">'Raw Data'!H694</f>
        <v>0</v>
      </c>
      <c r="H694" s="6" t="n">
        <f aca="false">'Raw Data'!I694</f>
        <v>0</v>
      </c>
      <c r="I694" s="6" t="n">
        <f aca="false">'Raw Data'!J694</f>
        <v>0</v>
      </c>
      <c r="J694" s="6" t="n">
        <f aca="false">'Raw Data'!K694</f>
        <v>3</v>
      </c>
      <c r="K694" s="6" t="n">
        <f aca="false">'Raw Data'!L694</f>
        <v>0</v>
      </c>
      <c r="L694" s="6" t="n">
        <f aca="false">F694*E694</f>
        <v>0</v>
      </c>
      <c r="N694" s="0" t="n">
        <v>1</v>
      </c>
      <c r="O694" s="6" t="n">
        <f aca="false">D694</f>
        <v>3.99</v>
      </c>
      <c r="P694" s="6" t="n">
        <f aca="false">E694</f>
        <v>1</v>
      </c>
      <c r="Q694" s="6" t="n">
        <f aca="false">F694</f>
        <v>0</v>
      </c>
      <c r="R694" s="6" t="n">
        <f aca="false">G694</f>
        <v>0</v>
      </c>
      <c r="S694" s="6" t="n">
        <f aca="false">H694</f>
        <v>0</v>
      </c>
      <c r="T694" s="6" t="n">
        <f aca="false">I694</f>
        <v>0</v>
      </c>
      <c r="U694" s="6" t="n">
        <f aca="false">L694</f>
        <v>0</v>
      </c>
      <c r="W694" s="6" t="n">
        <f aca="false">D694</f>
        <v>3.99</v>
      </c>
      <c r="X694" s="6" t="n">
        <f aca="false">E694</f>
        <v>1</v>
      </c>
      <c r="Y694" s="6" t="n">
        <f aca="false">F694</f>
        <v>0</v>
      </c>
      <c r="Z694" s="6" t="n">
        <f aca="false">L694</f>
        <v>0</v>
      </c>
      <c r="AA694" s="6" t="n">
        <f aca="false">G694</f>
        <v>0</v>
      </c>
      <c r="AC694" s="6" t="n">
        <f aca="false">D694</f>
        <v>3.99</v>
      </c>
      <c r="AD694" s="6" t="n">
        <f aca="false">E694</f>
        <v>1</v>
      </c>
      <c r="AE694" s="6" t="n">
        <f aca="false">G694</f>
        <v>0</v>
      </c>
      <c r="AF694" s="6" t="n">
        <f aca="false">H694</f>
        <v>0</v>
      </c>
      <c r="AG694" s="6" t="n">
        <f aca="false">I694</f>
        <v>0</v>
      </c>
      <c r="AH694" s="6" t="n">
        <f aca="false">L694</f>
        <v>0</v>
      </c>
    </row>
    <row r="695" customFormat="false" ht="15" hidden="false" customHeight="false" outlineLevel="0" collapsed="false">
      <c r="A695" s="0" t="str">
        <f aca="false">'Raw Data'!C695</f>
        <v>San Mateo</v>
      </c>
      <c r="B695" s="5" t="n">
        <f aca="false">'Raw Data'!A695</f>
        <v>40302</v>
      </c>
      <c r="C695" s="6" t="n">
        <f aca="false">'Raw Data'!D695</f>
        <v>274.467198643044</v>
      </c>
      <c r="D695" s="6" t="n">
        <f aca="false">'Raw Data'!E695</f>
        <v>4.87</v>
      </c>
      <c r="E695" s="6" t="n">
        <f aca="false">'Raw Data'!F695</f>
        <v>1</v>
      </c>
      <c r="F695" s="6" t="n">
        <f aca="false">'Raw Data'!G695</f>
        <v>0</v>
      </c>
      <c r="G695" s="6" t="n">
        <f aca="false">'Raw Data'!H695</f>
        <v>0</v>
      </c>
      <c r="H695" s="6" t="n">
        <f aca="false">'Raw Data'!I695</f>
        <v>1</v>
      </c>
      <c r="I695" s="6" t="n">
        <f aca="false">'Raw Data'!J695</f>
        <v>0</v>
      </c>
      <c r="J695" s="6" t="n">
        <f aca="false">'Raw Data'!K695</f>
        <v>1</v>
      </c>
      <c r="K695" s="6" t="n">
        <f aca="false">'Raw Data'!L695</f>
        <v>3</v>
      </c>
      <c r="L695" s="6" t="n">
        <f aca="false">F695*E695</f>
        <v>0</v>
      </c>
      <c r="N695" s="0" t="n">
        <v>1</v>
      </c>
      <c r="O695" s="6" t="n">
        <f aca="false">D695</f>
        <v>4.87</v>
      </c>
      <c r="P695" s="6" t="n">
        <f aca="false">E695</f>
        <v>1</v>
      </c>
      <c r="Q695" s="6" t="n">
        <f aca="false">F695</f>
        <v>0</v>
      </c>
      <c r="R695" s="6" t="n">
        <f aca="false">G695</f>
        <v>0</v>
      </c>
      <c r="S695" s="6" t="n">
        <f aca="false">H695</f>
        <v>1</v>
      </c>
      <c r="T695" s="6" t="n">
        <f aca="false">I695</f>
        <v>0</v>
      </c>
      <c r="U695" s="6" t="n">
        <f aca="false">L695</f>
        <v>0</v>
      </c>
      <c r="W695" s="6" t="n">
        <f aca="false">D695</f>
        <v>4.87</v>
      </c>
      <c r="X695" s="6" t="n">
        <f aca="false">E695</f>
        <v>1</v>
      </c>
      <c r="Y695" s="6" t="n">
        <f aca="false">F695</f>
        <v>0</v>
      </c>
      <c r="Z695" s="6" t="n">
        <f aca="false">L695</f>
        <v>0</v>
      </c>
      <c r="AA695" s="6" t="n">
        <f aca="false">G695</f>
        <v>0</v>
      </c>
      <c r="AC695" s="6" t="n">
        <f aca="false">D695</f>
        <v>4.87</v>
      </c>
      <c r="AD695" s="6" t="n">
        <f aca="false">E695</f>
        <v>1</v>
      </c>
      <c r="AE695" s="6" t="n">
        <f aca="false">G695</f>
        <v>0</v>
      </c>
      <c r="AF695" s="6" t="n">
        <f aca="false">H695</f>
        <v>1</v>
      </c>
      <c r="AG695" s="6" t="n">
        <f aca="false">I695</f>
        <v>0</v>
      </c>
      <c r="AH695" s="6" t="n">
        <f aca="false">L695</f>
        <v>0</v>
      </c>
    </row>
    <row r="696" customFormat="false" ht="15" hidden="false" customHeight="false" outlineLevel="0" collapsed="false">
      <c r="A696" s="0" t="str">
        <f aca="false">'Raw Data'!C696</f>
        <v>San Mateo</v>
      </c>
      <c r="B696" s="5" t="n">
        <f aca="false">'Raw Data'!A696</f>
        <v>40309</v>
      </c>
      <c r="C696" s="6" t="n">
        <f aca="false">'Raw Data'!D696</f>
        <v>306.910566107299</v>
      </c>
      <c r="D696" s="6" t="n">
        <f aca="false">'Raw Data'!E696</f>
        <v>4.87</v>
      </c>
      <c r="E696" s="6" t="n">
        <f aca="false">'Raw Data'!F696</f>
        <v>1</v>
      </c>
      <c r="F696" s="6" t="n">
        <f aca="false">'Raw Data'!G696</f>
        <v>0</v>
      </c>
      <c r="G696" s="6" t="n">
        <f aca="false">'Raw Data'!H696</f>
        <v>0</v>
      </c>
      <c r="H696" s="6" t="n">
        <f aca="false">'Raw Data'!I696</f>
        <v>1</v>
      </c>
      <c r="I696" s="6" t="n">
        <f aca="false">'Raw Data'!J696</f>
        <v>0</v>
      </c>
      <c r="J696" s="6" t="n">
        <f aca="false">'Raw Data'!K696</f>
        <v>1</v>
      </c>
      <c r="K696" s="6" t="n">
        <f aca="false">'Raw Data'!L696</f>
        <v>3</v>
      </c>
      <c r="L696" s="6" t="n">
        <f aca="false">F696*E696</f>
        <v>0</v>
      </c>
      <c r="N696" s="0" t="n">
        <v>1</v>
      </c>
      <c r="O696" s="6" t="n">
        <f aca="false">D696</f>
        <v>4.87</v>
      </c>
      <c r="P696" s="6" t="n">
        <f aca="false">E696</f>
        <v>1</v>
      </c>
      <c r="Q696" s="6" t="n">
        <f aca="false">F696</f>
        <v>0</v>
      </c>
      <c r="R696" s="6" t="n">
        <f aca="false">G696</f>
        <v>0</v>
      </c>
      <c r="S696" s="6" t="n">
        <f aca="false">H696</f>
        <v>1</v>
      </c>
      <c r="T696" s="6" t="n">
        <f aca="false">I696</f>
        <v>0</v>
      </c>
      <c r="U696" s="6" t="n">
        <f aca="false">L696</f>
        <v>0</v>
      </c>
      <c r="W696" s="6" t="n">
        <f aca="false">D696</f>
        <v>4.87</v>
      </c>
      <c r="X696" s="6" t="n">
        <f aca="false">E696</f>
        <v>1</v>
      </c>
      <c r="Y696" s="6" t="n">
        <f aca="false">F696</f>
        <v>0</v>
      </c>
      <c r="Z696" s="6" t="n">
        <f aca="false">L696</f>
        <v>0</v>
      </c>
      <c r="AA696" s="6" t="n">
        <f aca="false">G696</f>
        <v>0</v>
      </c>
      <c r="AC696" s="6" t="n">
        <f aca="false">D696</f>
        <v>4.87</v>
      </c>
      <c r="AD696" s="6" t="n">
        <f aca="false">E696</f>
        <v>1</v>
      </c>
      <c r="AE696" s="6" t="n">
        <f aca="false">G696</f>
        <v>0</v>
      </c>
      <c r="AF696" s="6" t="n">
        <f aca="false">H696</f>
        <v>1</v>
      </c>
      <c r="AG696" s="6" t="n">
        <f aca="false">I696</f>
        <v>0</v>
      </c>
      <c r="AH696" s="6" t="n">
        <f aca="false">L696</f>
        <v>0</v>
      </c>
    </row>
    <row r="697" customFormat="false" ht="15" hidden="false" customHeight="false" outlineLevel="0" collapsed="false">
      <c r="A697" s="0" t="str">
        <f aca="false">'Raw Data'!C697</f>
        <v>San Mateo</v>
      </c>
      <c r="B697" s="5" t="n">
        <f aca="false">'Raw Data'!A697</f>
        <v>40316</v>
      </c>
      <c r="C697" s="6" t="n">
        <f aca="false">'Raw Data'!D697</f>
        <v>367.714065098252</v>
      </c>
      <c r="D697" s="6" t="n">
        <f aca="false">'Raw Data'!E697</f>
        <v>4.55</v>
      </c>
      <c r="E697" s="6" t="n">
        <f aca="false">'Raw Data'!F697</f>
        <v>1</v>
      </c>
      <c r="F697" s="6" t="n">
        <f aca="false">'Raw Data'!G697</f>
        <v>0</v>
      </c>
      <c r="G697" s="6" t="n">
        <f aca="false">'Raw Data'!H697</f>
        <v>0</v>
      </c>
      <c r="H697" s="6" t="n">
        <f aca="false">'Raw Data'!I697</f>
        <v>0</v>
      </c>
      <c r="I697" s="6" t="n">
        <f aca="false">'Raw Data'!J697</f>
        <v>1</v>
      </c>
      <c r="J697" s="6" t="n">
        <f aca="false">'Raw Data'!K697</f>
        <v>1</v>
      </c>
      <c r="K697" s="6" t="n">
        <f aca="false">'Raw Data'!L697</f>
        <v>3</v>
      </c>
      <c r="L697" s="6" t="n">
        <f aca="false">F697*E697</f>
        <v>0</v>
      </c>
      <c r="N697" s="0" t="n">
        <v>1</v>
      </c>
      <c r="O697" s="6" t="n">
        <f aca="false">D697</f>
        <v>4.55</v>
      </c>
      <c r="P697" s="6" t="n">
        <f aca="false">E697</f>
        <v>1</v>
      </c>
      <c r="Q697" s="6" t="n">
        <f aca="false">F697</f>
        <v>0</v>
      </c>
      <c r="R697" s="6" t="n">
        <f aca="false">G697</f>
        <v>0</v>
      </c>
      <c r="S697" s="6" t="n">
        <f aca="false">H697</f>
        <v>0</v>
      </c>
      <c r="T697" s="6" t="n">
        <f aca="false">I697</f>
        <v>1</v>
      </c>
      <c r="U697" s="6" t="n">
        <f aca="false">L697</f>
        <v>0</v>
      </c>
      <c r="W697" s="6" t="n">
        <f aca="false">D697</f>
        <v>4.55</v>
      </c>
      <c r="X697" s="6" t="n">
        <f aca="false">E697</f>
        <v>1</v>
      </c>
      <c r="Y697" s="6" t="n">
        <f aca="false">F697</f>
        <v>0</v>
      </c>
      <c r="Z697" s="6" t="n">
        <f aca="false">L697</f>
        <v>0</v>
      </c>
      <c r="AA697" s="6" t="n">
        <f aca="false">G697</f>
        <v>0</v>
      </c>
      <c r="AC697" s="6" t="n">
        <f aca="false">D697</f>
        <v>4.55</v>
      </c>
      <c r="AD697" s="6" t="n">
        <f aca="false">E697</f>
        <v>1</v>
      </c>
      <c r="AE697" s="6" t="n">
        <f aca="false">G697</f>
        <v>0</v>
      </c>
      <c r="AF697" s="6" t="n">
        <f aca="false">H697</f>
        <v>0</v>
      </c>
      <c r="AG697" s="6" t="n">
        <f aca="false">I697</f>
        <v>1</v>
      </c>
      <c r="AH697" s="6" t="n">
        <f aca="false">L697</f>
        <v>0</v>
      </c>
    </row>
    <row r="698" customFormat="false" ht="15" hidden="false" customHeight="false" outlineLevel="0" collapsed="false">
      <c r="A698" s="0" t="str">
        <f aca="false">'Raw Data'!C698</f>
        <v>San Mateo</v>
      </c>
      <c r="B698" s="5" t="n">
        <f aca="false">'Raw Data'!A698</f>
        <v>40323</v>
      </c>
      <c r="C698" s="6" t="n">
        <f aca="false">'Raw Data'!D698</f>
        <v>276.849438758382</v>
      </c>
      <c r="D698" s="6" t="n">
        <f aca="false">'Raw Data'!E698</f>
        <v>4.55</v>
      </c>
      <c r="E698" s="6" t="n">
        <f aca="false">'Raw Data'!F698</f>
        <v>1</v>
      </c>
      <c r="F698" s="6" t="n">
        <f aca="false">'Raw Data'!G698</f>
        <v>0</v>
      </c>
      <c r="G698" s="6" t="n">
        <f aca="false">'Raw Data'!H698</f>
        <v>0</v>
      </c>
      <c r="H698" s="6" t="n">
        <f aca="false">'Raw Data'!I698</f>
        <v>0</v>
      </c>
      <c r="I698" s="6" t="n">
        <f aca="false">'Raw Data'!J698</f>
        <v>1</v>
      </c>
      <c r="J698" s="6" t="n">
        <f aca="false">'Raw Data'!K698</f>
        <v>1</v>
      </c>
      <c r="K698" s="6" t="n">
        <f aca="false">'Raw Data'!L698</f>
        <v>3</v>
      </c>
      <c r="L698" s="6" t="n">
        <f aca="false">F698*E698</f>
        <v>0</v>
      </c>
      <c r="N698" s="0" t="n">
        <v>1</v>
      </c>
      <c r="O698" s="6" t="n">
        <f aca="false">D698</f>
        <v>4.55</v>
      </c>
      <c r="P698" s="6" t="n">
        <f aca="false">E698</f>
        <v>1</v>
      </c>
      <c r="Q698" s="6" t="n">
        <f aca="false">F698</f>
        <v>0</v>
      </c>
      <c r="R698" s="6" t="n">
        <f aca="false">G698</f>
        <v>0</v>
      </c>
      <c r="S698" s="6" t="n">
        <f aca="false">H698</f>
        <v>0</v>
      </c>
      <c r="T698" s="6" t="n">
        <f aca="false">I698</f>
        <v>1</v>
      </c>
      <c r="U698" s="6" t="n">
        <f aca="false">L698</f>
        <v>0</v>
      </c>
      <c r="W698" s="6" t="n">
        <f aca="false">D698</f>
        <v>4.55</v>
      </c>
      <c r="X698" s="6" t="n">
        <f aca="false">E698</f>
        <v>1</v>
      </c>
      <c r="Y698" s="6" t="n">
        <f aca="false">F698</f>
        <v>0</v>
      </c>
      <c r="Z698" s="6" t="n">
        <f aca="false">L698</f>
        <v>0</v>
      </c>
      <c r="AA698" s="6" t="n">
        <f aca="false">G698</f>
        <v>0</v>
      </c>
      <c r="AC698" s="6" t="n">
        <f aca="false">D698</f>
        <v>4.55</v>
      </c>
      <c r="AD698" s="6" t="n">
        <f aca="false">E698</f>
        <v>1</v>
      </c>
      <c r="AE698" s="6" t="n">
        <f aca="false">G698</f>
        <v>0</v>
      </c>
      <c r="AF698" s="6" t="n">
        <f aca="false">H698</f>
        <v>0</v>
      </c>
      <c r="AG698" s="6" t="n">
        <f aca="false">I698</f>
        <v>1</v>
      </c>
      <c r="AH698" s="6" t="n">
        <f aca="false">L698</f>
        <v>0</v>
      </c>
    </row>
    <row r="699" customFormat="false" ht="15" hidden="false" customHeight="false" outlineLevel="0" collapsed="false">
      <c r="A699" s="0" t="str">
        <f aca="false">'Raw Data'!C699</f>
        <v>San Mateo</v>
      </c>
      <c r="B699" s="5" t="n">
        <f aca="false">'Raw Data'!A699</f>
        <v>40330</v>
      </c>
      <c r="C699" s="6" t="n">
        <f aca="false">'Raw Data'!D699</f>
        <v>196.713476898536</v>
      </c>
      <c r="D699" s="6" t="n">
        <f aca="false">'Raw Data'!E699</f>
        <v>4.55</v>
      </c>
      <c r="E699" s="6" t="n">
        <f aca="false">'Raw Data'!F699</f>
        <v>1</v>
      </c>
      <c r="F699" s="6" t="n">
        <f aca="false">'Raw Data'!G699</f>
        <v>0</v>
      </c>
      <c r="G699" s="6" t="n">
        <f aca="false">'Raw Data'!H699</f>
        <v>0</v>
      </c>
      <c r="H699" s="6" t="n">
        <f aca="false">'Raw Data'!I699</f>
        <v>0</v>
      </c>
      <c r="I699" s="6" t="n">
        <f aca="false">'Raw Data'!J699</f>
        <v>0</v>
      </c>
      <c r="J699" s="6" t="n">
        <f aca="false">'Raw Data'!K699</f>
        <v>1</v>
      </c>
      <c r="K699" s="6" t="n">
        <f aca="false">'Raw Data'!L699</f>
        <v>3</v>
      </c>
      <c r="L699" s="6" t="n">
        <f aca="false">F699*E699</f>
        <v>0</v>
      </c>
      <c r="N699" s="0" t="n">
        <v>1</v>
      </c>
      <c r="O699" s="6" t="n">
        <f aca="false">D699</f>
        <v>4.55</v>
      </c>
      <c r="P699" s="6" t="n">
        <f aca="false">E699</f>
        <v>1</v>
      </c>
      <c r="Q699" s="6" t="n">
        <f aca="false">F699</f>
        <v>0</v>
      </c>
      <c r="R699" s="6" t="n">
        <f aca="false">G699</f>
        <v>0</v>
      </c>
      <c r="S699" s="6" t="n">
        <f aca="false">H699</f>
        <v>0</v>
      </c>
      <c r="T699" s="6" t="n">
        <f aca="false">I699</f>
        <v>0</v>
      </c>
      <c r="U699" s="6" t="n">
        <f aca="false">L699</f>
        <v>0</v>
      </c>
      <c r="W699" s="6" t="n">
        <f aca="false">D699</f>
        <v>4.55</v>
      </c>
      <c r="X699" s="6" t="n">
        <f aca="false">E699</f>
        <v>1</v>
      </c>
      <c r="Y699" s="6" t="n">
        <f aca="false">F699</f>
        <v>0</v>
      </c>
      <c r="Z699" s="6" t="n">
        <f aca="false">L699</f>
        <v>0</v>
      </c>
      <c r="AA699" s="6" t="n">
        <f aca="false">G699</f>
        <v>0</v>
      </c>
      <c r="AC699" s="6" t="n">
        <f aca="false">D699</f>
        <v>4.55</v>
      </c>
      <c r="AD699" s="6" t="n">
        <f aca="false">E699</f>
        <v>1</v>
      </c>
      <c r="AE699" s="6" t="n">
        <f aca="false">G699</f>
        <v>0</v>
      </c>
      <c r="AF699" s="6" t="n">
        <f aca="false">H699</f>
        <v>0</v>
      </c>
      <c r="AG699" s="6" t="n">
        <f aca="false">I699</f>
        <v>0</v>
      </c>
      <c r="AH699" s="6" t="n">
        <f aca="false">L699</f>
        <v>0</v>
      </c>
    </row>
    <row r="700" customFormat="false" ht="15" hidden="false" customHeight="false" outlineLevel="0" collapsed="false">
      <c r="A700" s="0" t="str">
        <f aca="false">'Raw Data'!C700</f>
        <v>San Mateo</v>
      </c>
      <c r="B700" s="5" t="n">
        <f aca="false">'Raw Data'!A700</f>
        <v>40337</v>
      </c>
      <c r="C700" s="6" t="n">
        <f aca="false">'Raw Data'!D700</f>
        <v>231.294739270578</v>
      </c>
      <c r="D700" s="6" t="n">
        <f aca="false">'Raw Data'!E700</f>
        <v>4.623333333</v>
      </c>
      <c r="E700" s="6" t="n">
        <f aca="false">'Raw Data'!F700</f>
        <v>1</v>
      </c>
      <c r="F700" s="6" t="n">
        <f aca="false">'Raw Data'!G700</f>
        <v>0</v>
      </c>
      <c r="G700" s="6" t="n">
        <f aca="false">'Raw Data'!H700</f>
        <v>0</v>
      </c>
      <c r="H700" s="6" t="n">
        <f aca="false">'Raw Data'!I700</f>
        <v>0</v>
      </c>
      <c r="I700" s="6" t="n">
        <f aca="false">'Raw Data'!J700</f>
        <v>0</v>
      </c>
      <c r="J700" s="6" t="n">
        <f aca="false">'Raw Data'!K700</f>
        <v>1</v>
      </c>
      <c r="K700" s="6" t="n">
        <f aca="false">'Raw Data'!L700</f>
        <v>3</v>
      </c>
      <c r="L700" s="6" t="n">
        <f aca="false">F700*E700</f>
        <v>0</v>
      </c>
      <c r="N700" s="0" t="n">
        <v>1</v>
      </c>
      <c r="O700" s="6" t="n">
        <f aca="false">D700</f>
        <v>4.623333333</v>
      </c>
      <c r="P700" s="6" t="n">
        <f aca="false">E700</f>
        <v>1</v>
      </c>
      <c r="Q700" s="6" t="n">
        <f aca="false">F700</f>
        <v>0</v>
      </c>
      <c r="R700" s="6" t="n">
        <f aca="false">G700</f>
        <v>0</v>
      </c>
      <c r="S700" s="6" t="n">
        <f aca="false">H700</f>
        <v>0</v>
      </c>
      <c r="T700" s="6" t="n">
        <f aca="false">I700</f>
        <v>0</v>
      </c>
      <c r="U700" s="6" t="n">
        <f aca="false">L700</f>
        <v>0</v>
      </c>
      <c r="W700" s="6" t="n">
        <f aca="false">D700</f>
        <v>4.623333333</v>
      </c>
      <c r="X700" s="6" t="n">
        <f aca="false">E700</f>
        <v>1</v>
      </c>
      <c r="Y700" s="6" t="n">
        <f aca="false">F700</f>
        <v>0</v>
      </c>
      <c r="Z700" s="6" t="n">
        <f aca="false">L700</f>
        <v>0</v>
      </c>
      <c r="AA700" s="6" t="n">
        <f aca="false">G700</f>
        <v>0</v>
      </c>
      <c r="AC700" s="6" t="n">
        <f aca="false">D700</f>
        <v>4.623333333</v>
      </c>
      <c r="AD700" s="6" t="n">
        <f aca="false">E700</f>
        <v>1</v>
      </c>
      <c r="AE700" s="6" t="n">
        <f aca="false">G700</f>
        <v>0</v>
      </c>
      <c r="AF700" s="6" t="n">
        <f aca="false">H700</f>
        <v>0</v>
      </c>
      <c r="AG700" s="6" t="n">
        <f aca="false">I700</f>
        <v>0</v>
      </c>
      <c r="AH700" s="6" t="n">
        <f aca="false">L700</f>
        <v>0</v>
      </c>
    </row>
    <row r="701" customFormat="false" ht="15" hidden="false" customHeight="false" outlineLevel="0" collapsed="false">
      <c r="A701" s="0" t="str">
        <f aca="false">'Raw Data'!C701</f>
        <v>San Mateo</v>
      </c>
      <c r="B701" s="5" t="n">
        <f aca="false">'Raw Data'!A701</f>
        <v>40344</v>
      </c>
      <c r="C701" s="6" t="n">
        <f aca="false">'Raw Data'!D701</f>
        <v>265.904492772442</v>
      </c>
      <c r="D701" s="6" t="n">
        <f aca="false">'Raw Data'!E701</f>
        <v>4.944545455</v>
      </c>
      <c r="E701" s="6" t="n">
        <f aca="false">'Raw Data'!F701</f>
        <v>1</v>
      </c>
      <c r="F701" s="6" t="n">
        <f aca="false">'Raw Data'!G701</f>
        <v>0</v>
      </c>
      <c r="G701" s="6" t="n">
        <f aca="false">'Raw Data'!H701</f>
        <v>0</v>
      </c>
      <c r="H701" s="6" t="n">
        <f aca="false">'Raw Data'!I701</f>
        <v>0</v>
      </c>
      <c r="I701" s="6" t="n">
        <f aca="false">'Raw Data'!J701</f>
        <v>0</v>
      </c>
      <c r="J701" s="6" t="n">
        <f aca="false">'Raw Data'!K701</f>
        <v>1</v>
      </c>
      <c r="K701" s="6" t="n">
        <f aca="false">'Raw Data'!L701</f>
        <v>3</v>
      </c>
      <c r="L701" s="6" t="n">
        <f aca="false">F701*E701</f>
        <v>0</v>
      </c>
      <c r="N701" s="0" t="n">
        <v>1</v>
      </c>
      <c r="O701" s="6" t="n">
        <f aca="false">D701</f>
        <v>4.944545455</v>
      </c>
      <c r="P701" s="6" t="n">
        <f aca="false">E701</f>
        <v>1</v>
      </c>
      <c r="Q701" s="6" t="n">
        <f aca="false">F701</f>
        <v>0</v>
      </c>
      <c r="R701" s="6" t="n">
        <f aca="false">G701</f>
        <v>0</v>
      </c>
      <c r="S701" s="6" t="n">
        <f aca="false">H701</f>
        <v>0</v>
      </c>
      <c r="T701" s="6" t="n">
        <f aca="false">I701</f>
        <v>0</v>
      </c>
      <c r="U701" s="6" t="n">
        <f aca="false">L701</f>
        <v>0</v>
      </c>
      <c r="W701" s="6" t="n">
        <f aca="false">D701</f>
        <v>4.944545455</v>
      </c>
      <c r="X701" s="6" t="n">
        <f aca="false">E701</f>
        <v>1</v>
      </c>
      <c r="Y701" s="6" t="n">
        <f aca="false">F701</f>
        <v>0</v>
      </c>
      <c r="Z701" s="6" t="n">
        <f aca="false">L701</f>
        <v>0</v>
      </c>
      <c r="AA701" s="6" t="n">
        <f aca="false">G701</f>
        <v>0</v>
      </c>
      <c r="AC701" s="6" t="n">
        <f aca="false">D701</f>
        <v>4.944545455</v>
      </c>
      <c r="AD701" s="6" t="n">
        <f aca="false">E701</f>
        <v>1</v>
      </c>
      <c r="AE701" s="6" t="n">
        <f aca="false">G701</f>
        <v>0</v>
      </c>
      <c r="AF701" s="6" t="n">
        <f aca="false">H701</f>
        <v>0</v>
      </c>
      <c r="AG701" s="6" t="n">
        <f aca="false">I701</f>
        <v>0</v>
      </c>
      <c r="AH701" s="6" t="n">
        <f aca="false">L701</f>
        <v>0</v>
      </c>
    </row>
    <row r="702" customFormat="false" ht="15" hidden="false" customHeight="false" outlineLevel="0" collapsed="false">
      <c r="A702" s="0" t="str">
        <f aca="false">'Raw Data'!C702</f>
        <v>San Mateo</v>
      </c>
      <c r="B702" s="5" t="n">
        <f aca="false">'Raw Data'!A702</f>
        <v>40351</v>
      </c>
      <c r="C702" s="6" t="n">
        <f aca="false">'Raw Data'!D702</f>
        <v>312.810869866985</v>
      </c>
      <c r="D702" s="6" t="n">
        <f aca="false">'Raw Data'!E702</f>
        <v>4.859230769</v>
      </c>
      <c r="E702" s="6" t="n">
        <f aca="false">'Raw Data'!F702</f>
        <v>1</v>
      </c>
      <c r="F702" s="6" t="n">
        <f aca="false">'Raw Data'!G702</f>
        <v>0</v>
      </c>
      <c r="G702" s="6" t="n">
        <f aca="false">'Raw Data'!H702</f>
        <v>0</v>
      </c>
      <c r="H702" s="6" t="n">
        <f aca="false">'Raw Data'!I702</f>
        <v>0</v>
      </c>
      <c r="I702" s="6" t="n">
        <f aca="false">'Raw Data'!J702</f>
        <v>0</v>
      </c>
      <c r="J702" s="6" t="n">
        <f aca="false">'Raw Data'!K702</f>
        <v>1</v>
      </c>
      <c r="K702" s="6" t="n">
        <f aca="false">'Raw Data'!L702</f>
        <v>3</v>
      </c>
      <c r="L702" s="6" t="n">
        <f aca="false">F702*E702</f>
        <v>0</v>
      </c>
      <c r="N702" s="0" t="n">
        <v>1</v>
      </c>
      <c r="O702" s="6" t="n">
        <f aca="false">D702</f>
        <v>4.859230769</v>
      </c>
      <c r="P702" s="6" t="n">
        <f aca="false">E702</f>
        <v>1</v>
      </c>
      <c r="Q702" s="6" t="n">
        <f aca="false">F702</f>
        <v>0</v>
      </c>
      <c r="R702" s="6" t="n">
        <f aca="false">G702</f>
        <v>0</v>
      </c>
      <c r="S702" s="6" t="n">
        <f aca="false">H702</f>
        <v>0</v>
      </c>
      <c r="T702" s="6" t="n">
        <f aca="false">I702</f>
        <v>0</v>
      </c>
      <c r="U702" s="6" t="n">
        <f aca="false">L702</f>
        <v>0</v>
      </c>
      <c r="W702" s="6" t="n">
        <f aca="false">D702</f>
        <v>4.859230769</v>
      </c>
      <c r="X702" s="6" t="n">
        <f aca="false">E702</f>
        <v>1</v>
      </c>
      <c r="Y702" s="6" t="n">
        <f aca="false">F702</f>
        <v>0</v>
      </c>
      <c r="Z702" s="6" t="n">
        <f aca="false">L702</f>
        <v>0</v>
      </c>
      <c r="AA702" s="6" t="n">
        <f aca="false">G702</f>
        <v>0</v>
      </c>
      <c r="AC702" s="6" t="n">
        <f aca="false">D702</f>
        <v>4.859230769</v>
      </c>
      <c r="AD702" s="6" t="n">
        <f aca="false">E702</f>
        <v>1</v>
      </c>
      <c r="AE702" s="6" t="n">
        <f aca="false">G702</f>
        <v>0</v>
      </c>
      <c r="AF702" s="6" t="n">
        <f aca="false">H702</f>
        <v>0</v>
      </c>
      <c r="AG702" s="6" t="n">
        <f aca="false">I702</f>
        <v>0</v>
      </c>
      <c r="AH702" s="6" t="n">
        <f aca="false">L702</f>
        <v>0</v>
      </c>
    </row>
    <row r="703" customFormat="false" ht="15" hidden="false" customHeight="false" outlineLevel="0" collapsed="false">
      <c r="A703" s="0" t="str">
        <f aca="false">'Raw Data'!C703</f>
        <v>San Mateo</v>
      </c>
      <c r="B703" s="5" t="n">
        <f aca="false">'Raw Data'!A703</f>
        <v>40358</v>
      </c>
      <c r="C703" s="6" t="n">
        <f aca="false">'Raw Data'!D703</f>
        <v>244.898589926268</v>
      </c>
      <c r="D703" s="6" t="n">
        <f aca="false">'Raw Data'!E703</f>
        <v>4.859230769</v>
      </c>
      <c r="E703" s="6" t="n">
        <f aca="false">'Raw Data'!F703</f>
        <v>1</v>
      </c>
      <c r="F703" s="6" t="n">
        <f aca="false">'Raw Data'!G703</f>
        <v>0</v>
      </c>
      <c r="G703" s="6" t="n">
        <f aca="false">'Raw Data'!H703</f>
        <v>0</v>
      </c>
      <c r="H703" s="6" t="n">
        <f aca="false">'Raw Data'!I703</f>
        <v>0</v>
      </c>
      <c r="I703" s="6" t="n">
        <f aca="false">'Raw Data'!J703</f>
        <v>0</v>
      </c>
      <c r="J703" s="6" t="n">
        <f aca="false">'Raw Data'!K703</f>
        <v>1</v>
      </c>
      <c r="K703" s="6" t="n">
        <f aca="false">'Raw Data'!L703</f>
        <v>3</v>
      </c>
      <c r="L703" s="6" t="n">
        <f aca="false">F703*E703</f>
        <v>0</v>
      </c>
      <c r="N703" s="0" t="n">
        <v>1</v>
      </c>
      <c r="O703" s="6" t="n">
        <f aca="false">D703</f>
        <v>4.859230769</v>
      </c>
      <c r="P703" s="6" t="n">
        <f aca="false">E703</f>
        <v>1</v>
      </c>
      <c r="Q703" s="6" t="n">
        <f aca="false">F703</f>
        <v>0</v>
      </c>
      <c r="R703" s="6" t="n">
        <f aca="false">G703</f>
        <v>0</v>
      </c>
      <c r="S703" s="6" t="n">
        <f aca="false">H703</f>
        <v>0</v>
      </c>
      <c r="T703" s="6" t="n">
        <f aca="false">I703</f>
        <v>0</v>
      </c>
      <c r="U703" s="6" t="n">
        <f aca="false">L703</f>
        <v>0</v>
      </c>
      <c r="W703" s="6" t="n">
        <f aca="false">D703</f>
        <v>4.859230769</v>
      </c>
      <c r="X703" s="6" t="n">
        <f aca="false">E703</f>
        <v>1</v>
      </c>
      <c r="Y703" s="6" t="n">
        <f aca="false">F703</f>
        <v>0</v>
      </c>
      <c r="Z703" s="6" t="n">
        <f aca="false">L703</f>
        <v>0</v>
      </c>
      <c r="AA703" s="6" t="n">
        <f aca="false">G703</f>
        <v>0</v>
      </c>
      <c r="AC703" s="6" t="n">
        <f aca="false">D703</f>
        <v>4.859230769</v>
      </c>
      <c r="AD703" s="6" t="n">
        <f aca="false">E703</f>
        <v>1</v>
      </c>
      <c r="AE703" s="6" t="n">
        <f aca="false">G703</f>
        <v>0</v>
      </c>
      <c r="AF703" s="6" t="n">
        <f aca="false">H703</f>
        <v>0</v>
      </c>
      <c r="AG703" s="6" t="n">
        <f aca="false">I703</f>
        <v>0</v>
      </c>
      <c r="AH703" s="6" t="n">
        <f aca="false">L703</f>
        <v>0</v>
      </c>
    </row>
    <row r="704" customFormat="false" ht="15" hidden="false" customHeight="false" outlineLevel="0" collapsed="false">
      <c r="A704" s="0" t="str">
        <f aca="false">'Raw Data'!C704</f>
        <v>San Mateo</v>
      </c>
      <c r="B704" s="5" t="n">
        <f aca="false">'Raw Data'!A704</f>
        <v>40365</v>
      </c>
      <c r="C704" s="6" t="n">
        <f aca="false">'Raw Data'!D704</f>
        <v>206.597447097145</v>
      </c>
      <c r="D704" s="6" t="n">
        <f aca="false">'Raw Data'!E704</f>
        <v>4.728461538</v>
      </c>
      <c r="E704" s="6" t="n">
        <f aca="false">'Raw Data'!F704</f>
        <v>1</v>
      </c>
      <c r="F704" s="6" t="n">
        <f aca="false">'Raw Data'!G704</f>
        <v>0</v>
      </c>
      <c r="G704" s="6" t="n">
        <f aca="false">'Raw Data'!H704</f>
        <v>0</v>
      </c>
      <c r="H704" s="6" t="n">
        <f aca="false">'Raw Data'!I704</f>
        <v>0</v>
      </c>
      <c r="I704" s="6" t="n">
        <f aca="false">'Raw Data'!J704</f>
        <v>0</v>
      </c>
      <c r="J704" s="6" t="n">
        <f aca="false">'Raw Data'!K704</f>
        <v>1</v>
      </c>
      <c r="K704" s="6" t="n">
        <f aca="false">'Raw Data'!L704</f>
        <v>3</v>
      </c>
      <c r="L704" s="6" t="n">
        <f aca="false">F704*E704</f>
        <v>0</v>
      </c>
      <c r="N704" s="0" t="n">
        <v>1</v>
      </c>
      <c r="O704" s="6" t="n">
        <f aca="false">D704</f>
        <v>4.728461538</v>
      </c>
      <c r="P704" s="6" t="n">
        <f aca="false">E704</f>
        <v>1</v>
      </c>
      <c r="Q704" s="6" t="n">
        <f aca="false">F704</f>
        <v>0</v>
      </c>
      <c r="R704" s="6" t="n">
        <f aca="false">G704</f>
        <v>0</v>
      </c>
      <c r="S704" s="6" t="n">
        <f aca="false">H704</f>
        <v>0</v>
      </c>
      <c r="T704" s="6" t="n">
        <f aca="false">I704</f>
        <v>0</v>
      </c>
      <c r="U704" s="6" t="n">
        <f aca="false">L704</f>
        <v>0</v>
      </c>
      <c r="W704" s="6" t="n">
        <f aca="false">D704</f>
        <v>4.728461538</v>
      </c>
      <c r="X704" s="6" t="n">
        <f aca="false">E704</f>
        <v>1</v>
      </c>
      <c r="Y704" s="6" t="n">
        <f aca="false">F704</f>
        <v>0</v>
      </c>
      <c r="Z704" s="6" t="n">
        <f aca="false">L704</f>
        <v>0</v>
      </c>
      <c r="AA704" s="6" t="n">
        <f aca="false">G704</f>
        <v>0</v>
      </c>
      <c r="AC704" s="6" t="n">
        <f aca="false">D704</f>
        <v>4.728461538</v>
      </c>
      <c r="AD704" s="6" t="n">
        <f aca="false">E704</f>
        <v>1</v>
      </c>
      <c r="AE704" s="6" t="n">
        <f aca="false">G704</f>
        <v>0</v>
      </c>
      <c r="AF704" s="6" t="n">
        <f aca="false">H704</f>
        <v>0</v>
      </c>
      <c r="AG704" s="6" t="n">
        <f aca="false">I704</f>
        <v>0</v>
      </c>
      <c r="AH704" s="6" t="n">
        <f aca="false">L704</f>
        <v>0</v>
      </c>
    </row>
    <row r="705" customFormat="false" ht="15" hidden="false" customHeight="false" outlineLevel="0" collapsed="false">
      <c r="A705" s="0" t="str">
        <f aca="false">'Raw Data'!C705</f>
        <v>San Mateo</v>
      </c>
      <c r="B705" s="5" t="n">
        <f aca="false">'Raw Data'!A705</f>
        <v>40372</v>
      </c>
      <c r="C705" s="6" t="n">
        <f aca="false">'Raw Data'!D705</f>
        <v>325.825477699304</v>
      </c>
      <c r="D705" s="6" t="n">
        <f aca="false">'Raw Data'!E705</f>
        <v>4.728461538</v>
      </c>
      <c r="E705" s="6" t="n">
        <f aca="false">'Raw Data'!F705</f>
        <v>1</v>
      </c>
      <c r="F705" s="6" t="n">
        <f aca="false">'Raw Data'!G705</f>
        <v>0</v>
      </c>
      <c r="G705" s="6" t="n">
        <f aca="false">'Raw Data'!H705</f>
        <v>0</v>
      </c>
      <c r="H705" s="6" t="n">
        <f aca="false">'Raw Data'!I705</f>
        <v>0</v>
      </c>
      <c r="I705" s="6" t="n">
        <f aca="false">'Raw Data'!J705</f>
        <v>0</v>
      </c>
      <c r="J705" s="6" t="n">
        <f aca="false">'Raw Data'!K705</f>
        <v>1</v>
      </c>
      <c r="K705" s="6" t="n">
        <f aca="false">'Raw Data'!L705</f>
        <v>3</v>
      </c>
      <c r="L705" s="6" t="n">
        <f aca="false">F705*E705</f>
        <v>0</v>
      </c>
      <c r="N705" s="0" t="n">
        <v>1</v>
      </c>
      <c r="O705" s="6" t="n">
        <f aca="false">D705</f>
        <v>4.728461538</v>
      </c>
      <c r="P705" s="6" t="n">
        <f aca="false">E705</f>
        <v>1</v>
      </c>
      <c r="Q705" s="6" t="n">
        <f aca="false">F705</f>
        <v>0</v>
      </c>
      <c r="R705" s="6" t="n">
        <f aca="false">G705</f>
        <v>0</v>
      </c>
      <c r="S705" s="6" t="n">
        <f aca="false">H705</f>
        <v>0</v>
      </c>
      <c r="T705" s="6" t="n">
        <f aca="false">I705</f>
        <v>0</v>
      </c>
      <c r="U705" s="6" t="n">
        <f aca="false">L705</f>
        <v>0</v>
      </c>
      <c r="W705" s="6" t="n">
        <f aca="false">D705</f>
        <v>4.728461538</v>
      </c>
      <c r="X705" s="6" t="n">
        <f aca="false">E705</f>
        <v>1</v>
      </c>
      <c r="Y705" s="6" t="n">
        <f aca="false">F705</f>
        <v>0</v>
      </c>
      <c r="Z705" s="6" t="n">
        <f aca="false">L705</f>
        <v>0</v>
      </c>
      <c r="AA705" s="6" t="n">
        <f aca="false">G705</f>
        <v>0</v>
      </c>
      <c r="AC705" s="6" t="n">
        <f aca="false">D705</f>
        <v>4.728461538</v>
      </c>
      <c r="AD705" s="6" t="n">
        <f aca="false">E705</f>
        <v>1</v>
      </c>
      <c r="AE705" s="6" t="n">
        <f aca="false">G705</f>
        <v>0</v>
      </c>
      <c r="AF705" s="6" t="n">
        <f aca="false">H705</f>
        <v>0</v>
      </c>
      <c r="AG705" s="6" t="n">
        <f aca="false">I705</f>
        <v>0</v>
      </c>
      <c r="AH705" s="6" t="n">
        <f aca="false">L705</f>
        <v>0</v>
      </c>
    </row>
    <row r="706" customFormat="false" ht="15" hidden="false" customHeight="false" outlineLevel="0" collapsed="false">
      <c r="A706" s="0" t="str">
        <f aca="false">'Raw Data'!C706</f>
        <v>San Rafael</v>
      </c>
      <c r="B706" s="5" t="n">
        <f aca="false">'Raw Data'!A706</f>
        <v>40302</v>
      </c>
      <c r="C706" s="6" t="n">
        <f aca="false">'Raw Data'!D706</f>
        <v>271.986858559626</v>
      </c>
      <c r="D706" s="6" t="n">
        <f aca="false">'Raw Data'!E706</f>
        <v>4.79</v>
      </c>
      <c r="E706" s="6" t="n">
        <f aca="false">'Raw Data'!F706</f>
        <v>1</v>
      </c>
      <c r="F706" s="6" t="n">
        <f aca="false">'Raw Data'!G706</f>
        <v>0</v>
      </c>
      <c r="G706" s="6" t="n">
        <f aca="false">'Raw Data'!H706</f>
        <v>0</v>
      </c>
      <c r="H706" s="6" t="n">
        <f aca="false">'Raw Data'!I706</f>
        <v>0</v>
      </c>
      <c r="I706" s="6" t="n">
        <f aca="false">'Raw Data'!J706</f>
        <v>0</v>
      </c>
      <c r="J706" s="6" t="n">
        <f aca="false">'Raw Data'!K706</f>
        <v>1</v>
      </c>
      <c r="K706" s="6" t="n">
        <f aca="false">'Raw Data'!L706</f>
        <v>1</v>
      </c>
      <c r="L706" s="6" t="n">
        <f aca="false">F706*E706</f>
        <v>0</v>
      </c>
      <c r="N706" s="0" t="n">
        <v>1</v>
      </c>
      <c r="O706" s="6" t="n">
        <f aca="false">D706</f>
        <v>4.79</v>
      </c>
      <c r="P706" s="6" t="n">
        <f aca="false">E706</f>
        <v>1</v>
      </c>
      <c r="Q706" s="6" t="n">
        <f aca="false">F706</f>
        <v>0</v>
      </c>
      <c r="R706" s="6" t="n">
        <f aca="false">G706</f>
        <v>0</v>
      </c>
      <c r="S706" s="6" t="n">
        <f aca="false">H706</f>
        <v>0</v>
      </c>
      <c r="T706" s="6" t="n">
        <f aca="false">I706</f>
        <v>0</v>
      </c>
      <c r="U706" s="6" t="n">
        <f aca="false">L706</f>
        <v>0</v>
      </c>
      <c r="W706" s="6" t="n">
        <f aca="false">D706</f>
        <v>4.79</v>
      </c>
      <c r="X706" s="6" t="n">
        <f aca="false">E706</f>
        <v>1</v>
      </c>
      <c r="Y706" s="6" t="n">
        <f aca="false">F706</f>
        <v>0</v>
      </c>
      <c r="Z706" s="6" t="n">
        <f aca="false">L706</f>
        <v>0</v>
      </c>
      <c r="AA706" s="6" t="n">
        <f aca="false">G706</f>
        <v>0</v>
      </c>
      <c r="AC706" s="6" t="n">
        <f aca="false">D706</f>
        <v>4.79</v>
      </c>
      <c r="AD706" s="6" t="n">
        <f aca="false">E706</f>
        <v>1</v>
      </c>
      <c r="AE706" s="6" t="n">
        <f aca="false">G706</f>
        <v>0</v>
      </c>
      <c r="AF706" s="6" t="n">
        <f aca="false">H706</f>
        <v>0</v>
      </c>
      <c r="AG706" s="6" t="n">
        <f aca="false">I706</f>
        <v>0</v>
      </c>
      <c r="AH706" s="6" t="n">
        <f aca="false">L706</f>
        <v>0</v>
      </c>
    </row>
    <row r="707" customFormat="false" ht="15" hidden="false" customHeight="false" outlineLevel="0" collapsed="false">
      <c r="A707" s="0" t="str">
        <f aca="false">'Raw Data'!C707</f>
        <v>San Rafael</v>
      </c>
      <c r="B707" s="5" t="n">
        <f aca="false">'Raw Data'!A707</f>
        <v>40309</v>
      </c>
      <c r="C707" s="6" t="n">
        <f aca="false">'Raw Data'!D707</f>
        <v>211.821610246487</v>
      </c>
      <c r="D707" s="6" t="n">
        <f aca="false">'Raw Data'!E707</f>
        <v>4.79</v>
      </c>
      <c r="E707" s="6" t="n">
        <f aca="false">'Raw Data'!F707</f>
        <v>1</v>
      </c>
      <c r="F707" s="6" t="n">
        <f aca="false">'Raw Data'!G707</f>
        <v>0</v>
      </c>
      <c r="G707" s="6" t="n">
        <f aca="false">'Raw Data'!H707</f>
        <v>0</v>
      </c>
      <c r="H707" s="6" t="n">
        <f aca="false">'Raw Data'!I707</f>
        <v>0</v>
      </c>
      <c r="I707" s="6" t="n">
        <f aca="false">'Raw Data'!J707</f>
        <v>0</v>
      </c>
      <c r="J707" s="6" t="n">
        <f aca="false">'Raw Data'!K707</f>
        <v>1</v>
      </c>
      <c r="K707" s="6" t="n">
        <f aca="false">'Raw Data'!L707</f>
        <v>1</v>
      </c>
      <c r="L707" s="6" t="n">
        <f aca="false">F707*E707</f>
        <v>0</v>
      </c>
      <c r="N707" s="0" t="n">
        <v>1</v>
      </c>
      <c r="O707" s="6" t="n">
        <f aca="false">D707</f>
        <v>4.79</v>
      </c>
      <c r="P707" s="6" t="n">
        <f aca="false">E707</f>
        <v>1</v>
      </c>
      <c r="Q707" s="6" t="n">
        <f aca="false">F707</f>
        <v>0</v>
      </c>
      <c r="R707" s="6" t="n">
        <f aca="false">G707</f>
        <v>0</v>
      </c>
      <c r="S707" s="6" t="n">
        <f aca="false">H707</f>
        <v>0</v>
      </c>
      <c r="T707" s="6" t="n">
        <f aca="false">I707</f>
        <v>0</v>
      </c>
      <c r="U707" s="6" t="n">
        <f aca="false">L707</f>
        <v>0</v>
      </c>
      <c r="W707" s="6" t="n">
        <f aca="false">D707</f>
        <v>4.79</v>
      </c>
      <c r="X707" s="6" t="n">
        <f aca="false">E707</f>
        <v>1</v>
      </c>
      <c r="Y707" s="6" t="n">
        <f aca="false">F707</f>
        <v>0</v>
      </c>
      <c r="Z707" s="6" t="n">
        <f aca="false">L707</f>
        <v>0</v>
      </c>
      <c r="AA707" s="6" t="n">
        <f aca="false">G707</f>
        <v>0</v>
      </c>
      <c r="AC707" s="6" t="n">
        <f aca="false">D707</f>
        <v>4.79</v>
      </c>
      <c r="AD707" s="6" t="n">
        <f aca="false">E707</f>
        <v>1</v>
      </c>
      <c r="AE707" s="6" t="n">
        <f aca="false">G707</f>
        <v>0</v>
      </c>
      <c r="AF707" s="6" t="n">
        <f aca="false">H707</f>
        <v>0</v>
      </c>
      <c r="AG707" s="6" t="n">
        <f aca="false">I707</f>
        <v>0</v>
      </c>
      <c r="AH707" s="6" t="n">
        <f aca="false">L707</f>
        <v>0</v>
      </c>
    </row>
    <row r="708" customFormat="false" ht="15" hidden="false" customHeight="false" outlineLevel="0" collapsed="false">
      <c r="A708" s="0" t="str">
        <f aca="false">'Raw Data'!C708</f>
        <v>San Rafael</v>
      </c>
      <c r="B708" s="5" t="n">
        <f aca="false">'Raw Data'!A708</f>
        <v>40316</v>
      </c>
      <c r="C708" s="6" t="n">
        <f aca="false">'Raw Data'!D708</f>
        <v>296.291778899209</v>
      </c>
      <c r="D708" s="6" t="n">
        <f aca="false">'Raw Data'!E708</f>
        <v>4.482307692</v>
      </c>
      <c r="E708" s="6" t="n">
        <f aca="false">'Raw Data'!F708</f>
        <v>1</v>
      </c>
      <c r="F708" s="6" t="n">
        <f aca="false">'Raw Data'!G708</f>
        <v>0</v>
      </c>
      <c r="G708" s="6" t="n">
        <f aca="false">'Raw Data'!H708</f>
        <v>1</v>
      </c>
      <c r="H708" s="6" t="n">
        <f aca="false">'Raw Data'!I708</f>
        <v>0</v>
      </c>
      <c r="I708" s="6" t="n">
        <f aca="false">'Raw Data'!J708</f>
        <v>0</v>
      </c>
      <c r="J708" s="6" t="n">
        <f aca="false">'Raw Data'!K708</f>
        <v>1</v>
      </c>
      <c r="K708" s="6" t="n">
        <f aca="false">'Raw Data'!L708</f>
        <v>1</v>
      </c>
      <c r="L708" s="6" t="n">
        <f aca="false">F708*E708</f>
        <v>0</v>
      </c>
      <c r="N708" s="0" t="n">
        <v>1</v>
      </c>
      <c r="O708" s="6" t="n">
        <f aca="false">D708</f>
        <v>4.482307692</v>
      </c>
      <c r="P708" s="6" t="n">
        <f aca="false">E708</f>
        <v>1</v>
      </c>
      <c r="Q708" s="6" t="n">
        <f aca="false">F708</f>
        <v>0</v>
      </c>
      <c r="R708" s="6" t="n">
        <f aca="false">G708</f>
        <v>1</v>
      </c>
      <c r="S708" s="6" t="n">
        <f aca="false">H708</f>
        <v>0</v>
      </c>
      <c r="T708" s="6" t="n">
        <f aca="false">I708</f>
        <v>0</v>
      </c>
      <c r="U708" s="6" t="n">
        <f aca="false">L708</f>
        <v>0</v>
      </c>
      <c r="W708" s="6" t="n">
        <f aca="false">D708</f>
        <v>4.482307692</v>
      </c>
      <c r="X708" s="6" t="n">
        <f aca="false">E708</f>
        <v>1</v>
      </c>
      <c r="Y708" s="6" t="n">
        <f aca="false">F708</f>
        <v>0</v>
      </c>
      <c r="Z708" s="6" t="n">
        <f aca="false">L708</f>
        <v>0</v>
      </c>
      <c r="AA708" s="6" t="n">
        <f aca="false">G708</f>
        <v>1</v>
      </c>
      <c r="AC708" s="6" t="n">
        <f aca="false">D708</f>
        <v>4.482307692</v>
      </c>
      <c r="AD708" s="6" t="n">
        <f aca="false">E708</f>
        <v>1</v>
      </c>
      <c r="AE708" s="6" t="n">
        <f aca="false">G708</f>
        <v>1</v>
      </c>
      <c r="AF708" s="6" t="n">
        <f aca="false">H708</f>
        <v>0</v>
      </c>
      <c r="AG708" s="6" t="n">
        <f aca="false">I708</f>
        <v>0</v>
      </c>
      <c r="AH708" s="6" t="n">
        <f aca="false">L708</f>
        <v>0</v>
      </c>
    </row>
    <row r="709" customFormat="false" ht="15" hidden="false" customHeight="false" outlineLevel="0" collapsed="false">
      <c r="A709" s="0" t="str">
        <f aca="false">'Raw Data'!C709</f>
        <v>San Rafael</v>
      </c>
      <c r="B709" s="5" t="n">
        <f aca="false">'Raw Data'!A709</f>
        <v>40323</v>
      </c>
      <c r="C709" s="6" t="n">
        <f aca="false">'Raw Data'!D709</f>
        <v>351.67272160725</v>
      </c>
      <c r="D709" s="6" t="n">
        <f aca="false">'Raw Data'!E709</f>
        <v>4.482307692</v>
      </c>
      <c r="E709" s="6" t="n">
        <f aca="false">'Raw Data'!F709</f>
        <v>1</v>
      </c>
      <c r="F709" s="6" t="n">
        <f aca="false">'Raw Data'!G709</f>
        <v>0</v>
      </c>
      <c r="G709" s="6" t="n">
        <f aca="false">'Raw Data'!H709</f>
        <v>0</v>
      </c>
      <c r="H709" s="6" t="n">
        <f aca="false">'Raw Data'!I709</f>
        <v>1</v>
      </c>
      <c r="I709" s="6" t="n">
        <f aca="false">'Raw Data'!J709</f>
        <v>0</v>
      </c>
      <c r="J709" s="6" t="n">
        <f aca="false">'Raw Data'!K709</f>
        <v>1</v>
      </c>
      <c r="K709" s="6" t="n">
        <f aca="false">'Raw Data'!L709</f>
        <v>1</v>
      </c>
      <c r="L709" s="6" t="n">
        <f aca="false">F709*E709</f>
        <v>0</v>
      </c>
      <c r="N709" s="0" t="n">
        <v>1</v>
      </c>
      <c r="O709" s="6" t="n">
        <f aca="false">D709</f>
        <v>4.482307692</v>
      </c>
      <c r="P709" s="6" t="n">
        <f aca="false">E709</f>
        <v>1</v>
      </c>
      <c r="Q709" s="6" t="n">
        <f aca="false">F709</f>
        <v>0</v>
      </c>
      <c r="R709" s="6" t="n">
        <f aca="false">G709</f>
        <v>0</v>
      </c>
      <c r="S709" s="6" t="n">
        <f aca="false">H709</f>
        <v>1</v>
      </c>
      <c r="T709" s="6" t="n">
        <f aca="false">I709</f>
        <v>0</v>
      </c>
      <c r="U709" s="6" t="n">
        <f aca="false">L709</f>
        <v>0</v>
      </c>
      <c r="W709" s="6" t="n">
        <f aca="false">D709</f>
        <v>4.482307692</v>
      </c>
      <c r="X709" s="6" t="n">
        <f aca="false">E709</f>
        <v>1</v>
      </c>
      <c r="Y709" s="6" t="n">
        <f aca="false">F709</f>
        <v>0</v>
      </c>
      <c r="Z709" s="6" t="n">
        <f aca="false">L709</f>
        <v>0</v>
      </c>
      <c r="AA709" s="6" t="n">
        <f aca="false">G709</f>
        <v>0</v>
      </c>
      <c r="AC709" s="6" t="n">
        <f aca="false">D709</f>
        <v>4.482307692</v>
      </c>
      <c r="AD709" s="6" t="n">
        <f aca="false">E709</f>
        <v>1</v>
      </c>
      <c r="AE709" s="6" t="n">
        <f aca="false">G709</f>
        <v>0</v>
      </c>
      <c r="AF709" s="6" t="n">
        <f aca="false">H709</f>
        <v>1</v>
      </c>
      <c r="AG709" s="6" t="n">
        <f aca="false">I709</f>
        <v>0</v>
      </c>
      <c r="AH709" s="6" t="n">
        <f aca="false">L709</f>
        <v>0</v>
      </c>
    </row>
    <row r="710" customFormat="false" ht="15" hidden="false" customHeight="false" outlineLevel="0" collapsed="false">
      <c r="A710" s="0" t="str">
        <f aca="false">'Raw Data'!C710</f>
        <v>San Rafael</v>
      </c>
      <c r="B710" s="5" t="n">
        <f aca="false">'Raw Data'!A710</f>
        <v>40330</v>
      </c>
      <c r="C710" s="6" t="n">
        <f aca="false">'Raw Data'!D710</f>
        <v>480.661682295321</v>
      </c>
      <c r="D710" s="6" t="n">
        <f aca="false">'Raw Data'!E710</f>
        <v>4.482307692</v>
      </c>
      <c r="E710" s="6" t="n">
        <f aca="false">'Raw Data'!F710</f>
        <v>1</v>
      </c>
      <c r="F710" s="6" t="n">
        <f aca="false">'Raw Data'!G710</f>
        <v>0</v>
      </c>
      <c r="G710" s="6" t="n">
        <f aca="false">'Raw Data'!H710</f>
        <v>1</v>
      </c>
      <c r="H710" s="6" t="n">
        <f aca="false">'Raw Data'!I710</f>
        <v>1</v>
      </c>
      <c r="I710" s="6" t="n">
        <f aca="false">'Raw Data'!J710</f>
        <v>0</v>
      </c>
      <c r="J710" s="6" t="n">
        <f aca="false">'Raw Data'!K710</f>
        <v>1</v>
      </c>
      <c r="K710" s="6" t="n">
        <f aca="false">'Raw Data'!L710</f>
        <v>1</v>
      </c>
      <c r="L710" s="6" t="n">
        <f aca="false">F710*E710</f>
        <v>0</v>
      </c>
      <c r="N710" s="0" t="n">
        <v>1</v>
      </c>
      <c r="O710" s="6" t="n">
        <f aca="false">D710</f>
        <v>4.482307692</v>
      </c>
      <c r="P710" s="6" t="n">
        <f aca="false">E710</f>
        <v>1</v>
      </c>
      <c r="Q710" s="6" t="n">
        <f aca="false">F710</f>
        <v>0</v>
      </c>
      <c r="R710" s="6" t="n">
        <f aca="false">G710</f>
        <v>1</v>
      </c>
      <c r="S710" s="6" t="n">
        <f aca="false">H710</f>
        <v>1</v>
      </c>
      <c r="T710" s="6" t="n">
        <f aca="false">I710</f>
        <v>0</v>
      </c>
      <c r="U710" s="6" t="n">
        <f aca="false">L710</f>
        <v>0</v>
      </c>
      <c r="W710" s="6" t="n">
        <f aca="false">D710</f>
        <v>4.482307692</v>
      </c>
      <c r="X710" s="6" t="n">
        <f aca="false">E710</f>
        <v>1</v>
      </c>
      <c r="Y710" s="6" t="n">
        <f aca="false">F710</f>
        <v>0</v>
      </c>
      <c r="Z710" s="6" t="n">
        <f aca="false">L710</f>
        <v>0</v>
      </c>
      <c r="AA710" s="6" t="n">
        <f aca="false">G710</f>
        <v>1</v>
      </c>
      <c r="AC710" s="6" t="n">
        <f aca="false">D710</f>
        <v>4.482307692</v>
      </c>
      <c r="AD710" s="6" t="n">
        <f aca="false">E710</f>
        <v>1</v>
      </c>
      <c r="AE710" s="6" t="n">
        <f aca="false">G710</f>
        <v>1</v>
      </c>
      <c r="AF710" s="6" t="n">
        <f aca="false">H710</f>
        <v>1</v>
      </c>
      <c r="AG710" s="6" t="n">
        <f aca="false">I710</f>
        <v>0</v>
      </c>
      <c r="AH710" s="6" t="n">
        <f aca="false">L710</f>
        <v>0</v>
      </c>
    </row>
    <row r="711" customFormat="false" ht="15" hidden="false" customHeight="false" outlineLevel="0" collapsed="false">
      <c r="A711" s="0" t="str">
        <f aca="false">'Raw Data'!C711</f>
        <v>San Rafael</v>
      </c>
      <c r="B711" s="5" t="n">
        <f aca="false">'Raw Data'!A711</f>
        <v>40337</v>
      </c>
      <c r="C711" s="6" t="n">
        <f aca="false">'Raw Data'!D711</f>
        <v>405.280858461912</v>
      </c>
      <c r="D711" s="6" t="n">
        <f aca="false">'Raw Data'!E711</f>
        <v>4.888461538</v>
      </c>
      <c r="E711" s="6" t="n">
        <f aca="false">'Raw Data'!F711</f>
        <v>1</v>
      </c>
      <c r="F711" s="6" t="n">
        <f aca="false">'Raw Data'!G711</f>
        <v>0</v>
      </c>
      <c r="G711" s="6" t="n">
        <f aca="false">'Raw Data'!H711</f>
        <v>1</v>
      </c>
      <c r="H711" s="6" t="n">
        <f aca="false">'Raw Data'!I711</f>
        <v>1</v>
      </c>
      <c r="I711" s="6" t="n">
        <f aca="false">'Raw Data'!J711</f>
        <v>0</v>
      </c>
      <c r="J711" s="6" t="n">
        <f aca="false">'Raw Data'!K711</f>
        <v>1</v>
      </c>
      <c r="K711" s="6" t="n">
        <f aca="false">'Raw Data'!L711</f>
        <v>1</v>
      </c>
      <c r="L711" s="6" t="n">
        <f aca="false">F711*E711</f>
        <v>0</v>
      </c>
      <c r="N711" s="0" t="n">
        <v>1</v>
      </c>
      <c r="O711" s="6" t="n">
        <f aca="false">D711</f>
        <v>4.888461538</v>
      </c>
      <c r="P711" s="6" t="n">
        <f aca="false">E711</f>
        <v>1</v>
      </c>
      <c r="Q711" s="6" t="n">
        <f aca="false">F711</f>
        <v>0</v>
      </c>
      <c r="R711" s="6" t="n">
        <f aca="false">G711</f>
        <v>1</v>
      </c>
      <c r="S711" s="6" t="n">
        <f aca="false">H711</f>
        <v>1</v>
      </c>
      <c r="T711" s="6" t="n">
        <f aca="false">I711</f>
        <v>0</v>
      </c>
      <c r="U711" s="6" t="n">
        <f aca="false">L711</f>
        <v>0</v>
      </c>
      <c r="W711" s="6" t="n">
        <f aca="false">D711</f>
        <v>4.888461538</v>
      </c>
      <c r="X711" s="6" t="n">
        <f aca="false">E711</f>
        <v>1</v>
      </c>
      <c r="Y711" s="6" t="n">
        <f aca="false">F711</f>
        <v>0</v>
      </c>
      <c r="Z711" s="6" t="n">
        <f aca="false">L711</f>
        <v>0</v>
      </c>
      <c r="AA711" s="6" t="n">
        <f aca="false">G711</f>
        <v>1</v>
      </c>
      <c r="AC711" s="6" t="n">
        <f aca="false">D711</f>
        <v>4.888461538</v>
      </c>
      <c r="AD711" s="6" t="n">
        <f aca="false">E711</f>
        <v>1</v>
      </c>
      <c r="AE711" s="6" t="n">
        <f aca="false">G711</f>
        <v>1</v>
      </c>
      <c r="AF711" s="6" t="n">
        <f aca="false">H711</f>
        <v>1</v>
      </c>
      <c r="AG711" s="6" t="n">
        <f aca="false">I711</f>
        <v>0</v>
      </c>
      <c r="AH711" s="6" t="n">
        <f aca="false">L711</f>
        <v>0</v>
      </c>
    </row>
    <row r="712" customFormat="false" ht="15" hidden="false" customHeight="false" outlineLevel="0" collapsed="false">
      <c r="A712" s="0" t="str">
        <f aca="false">'Raw Data'!C712</f>
        <v>San Rafael</v>
      </c>
      <c r="B712" s="5" t="n">
        <f aca="false">'Raw Data'!A712</f>
        <v>40344</v>
      </c>
      <c r="C712" s="6" t="n">
        <f aca="false">'Raw Data'!D712</f>
        <v>320.550741998474</v>
      </c>
      <c r="D712" s="6" t="n">
        <f aca="false">'Raw Data'!E712</f>
        <v>4.859230769</v>
      </c>
      <c r="E712" s="6" t="n">
        <f aca="false">'Raw Data'!F712</f>
        <v>1</v>
      </c>
      <c r="F712" s="6" t="n">
        <f aca="false">'Raw Data'!G712</f>
        <v>0</v>
      </c>
      <c r="G712" s="6" t="n">
        <f aca="false">'Raw Data'!H712</f>
        <v>0</v>
      </c>
      <c r="H712" s="6" t="n">
        <f aca="false">'Raw Data'!I712</f>
        <v>1</v>
      </c>
      <c r="I712" s="6" t="n">
        <f aca="false">'Raw Data'!J712</f>
        <v>1</v>
      </c>
      <c r="J712" s="6" t="n">
        <f aca="false">'Raw Data'!K712</f>
        <v>1</v>
      </c>
      <c r="K712" s="6" t="n">
        <f aca="false">'Raw Data'!L712</f>
        <v>1</v>
      </c>
      <c r="L712" s="6" t="n">
        <f aca="false">F712*E712</f>
        <v>0</v>
      </c>
      <c r="N712" s="0" t="n">
        <v>1</v>
      </c>
      <c r="O712" s="6" t="n">
        <f aca="false">D712</f>
        <v>4.859230769</v>
      </c>
      <c r="P712" s="6" t="n">
        <f aca="false">E712</f>
        <v>1</v>
      </c>
      <c r="Q712" s="6" t="n">
        <f aca="false">F712</f>
        <v>0</v>
      </c>
      <c r="R712" s="6" t="n">
        <f aca="false">G712</f>
        <v>0</v>
      </c>
      <c r="S712" s="6" t="n">
        <f aca="false">H712</f>
        <v>1</v>
      </c>
      <c r="T712" s="6" t="n">
        <f aca="false">I712</f>
        <v>1</v>
      </c>
      <c r="U712" s="6" t="n">
        <f aca="false">L712</f>
        <v>0</v>
      </c>
      <c r="W712" s="6" t="n">
        <f aca="false">D712</f>
        <v>4.859230769</v>
      </c>
      <c r="X712" s="6" t="n">
        <f aca="false">E712</f>
        <v>1</v>
      </c>
      <c r="Y712" s="6" t="n">
        <f aca="false">F712</f>
        <v>0</v>
      </c>
      <c r="Z712" s="6" t="n">
        <f aca="false">L712</f>
        <v>0</v>
      </c>
      <c r="AA712" s="6" t="n">
        <f aca="false">G712</f>
        <v>0</v>
      </c>
      <c r="AC712" s="6" t="n">
        <f aca="false">D712</f>
        <v>4.859230769</v>
      </c>
      <c r="AD712" s="6" t="n">
        <f aca="false">E712</f>
        <v>1</v>
      </c>
      <c r="AE712" s="6" t="n">
        <f aca="false">G712</f>
        <v>0</v>
      </c>
      <c r="AF712" s="6" t="n">
        <f aca="false">H712</f>
        <v>1</v>
      </c>
      <c r="AG712" s="6" t="n">
        <f aca="false">I712</f>
        <v>1</v>
      </c>
      <c r="AH712" s="6" t="n">
        <f aca="false">L712</f>
        <v>0</v>
      </c>
    </row>
    <row r="713" customFormat="false" ht="15" hidden="false" customHeight="false" outlineLevel="0" collapsed="false">
      <c r="A713" s="0" t="str">
        <f aca="false">'Raw Data'!C713</f>
        <v>San Rafael</v>
      </c>
      <c r="B713" s="5" t="n">
        <f aca="false">'Raw Data'!A713</f>
        <v>40351</v>
      </c>
      <c r="C713" s="6" t="n">
        <f aca="false">'Raw Data'!D713</f>
        <v>508.396560804713</v>
      </c>
      <c r="D713" s="6" t="n">
        <f aca="false">'Raw Data'!E713</f>
        <v>4.598333333</v>
      </c>
      <c r="E713" s="6" t="n">
        <f aca="false">'Raw Data'!F713</f>
        <v>1</v>
      </c>
      <c r="F713" s="6" t="n">
        <f aca="false">'Raw Data'!G713</f>
        <v>0</v>
      </c>
      <c r="G713" s="6" t="n">
        <f aca="false">'Raw Data'!H713</f>
        <v>1</v>
      </c>
      <c r="H713" s="6" t="n">
        <f aca="false">'Raw Data'!I713</f>
        <v>1</v>
      </c>
      <c r="I713" s="6" t="n">
        <f aca="false">'Raw Data'!J713</f>
        <v>1</v>
      </c>
      <c r="J713" s="6" t="n">
        <f aca="false">'Raw Data'!K713</f>
        <v>1</v>
      </c>
      <c r="K713" s="6" t="n">
        <f aca="false">'Raw Data'!L713</f>
        <v>1</v>
      </c>
      <c r="L713" s="6" t="n">
        <f aca="false">F713*E713</f>
        <v>0</v>
      </c>
      <c r="N713" s="0" t="n">
        <v>1</v>
      </c>
      <c r="O713" s="6" t="n">
        <f aca="false">D713</f>
        <v>4.598333333</v>
      </c>
      <c r="P713" s="6" t="n">
        <f aca="false">E713</f>
        <v>1</v>
      </c>
      <c r="Q713" s="6" t="n">
        <f aca="false">F713</f>
        <v>0</v>
      </c>
      <c r="R713" s="6" t="n">
        <f aca="false">G713</f>
        <v>1</v>
      </c>
      <c r="S713" s="6" t="n">
        <f aca="false">H713</f>
        <v>1</v>
      </c>
      <c r="T713" s="6" t="n">
        <f aca="false">I713</f>
        <v>1</v>
      </c>
      <c r="U713" s="6" t="n">
        <f aca="false">L713</f>
        <v>0</v>
      </c>
      <c r="W713" s="6" t="n">
        <f aca="false">D713</f>
        <v>4.598333333</v>
      </c>
      <c r="X713" s="6" t="n">
        <f aca="false">E713</f>
        <v>1</v>
      </c>
      <c r="Y713" s="6" t="n">
        <f aca="false">F713</f>
        <v>0</v>
      </c>
      <c r="Z713" s="6" t="n">
        <f aca="false">L713</f>
        <v>0</v>
      </c>
      <c r="AA713" s="6" t="n">
        <f aca="false">G713</f>
        <v>1</v>
      </c>
      <c r="AC713" s="6" t="n">
        <f aca="false">D713</f>
        <v>4.598333333</v>
      </c>
      <c r="AD713" s="6" t="n">
        <f aca="false">E713</f>
        <v>1</v>
      </c>
      <c r="AE713" s="6" t="n">
        <f aca="false">G713</f>
        <v>1</v>
      </c>
      <c r="AF713" s="6" t="n">
        <f aca="false">H713</f>
        <v>1</v>
      </c>
      <c r="AG713" s="6" t="n">
        <f aca="false">I713</f>
        <v>1</v>
      </c>
      <c r="AH713" s="6" t="n">
        <f aca="false">L713</f>
        <v>0</v>
      </c>
    </row>
    <row r="714" customFormat="false" ht="15" hidden="false" customHeight="false" outlineLevel="0" collapsed="false">
      <c r="A714" s="0" t="str">
        <f aca="false">'Raw Data'!C714</f>
        <v>San Rafael</v>
      </c>
      <c r="B714" s="5" t="n">
        <f aca="false">'Raw Data'!A714</f>
        <v>40358</v>
      </c>
      <c r="C714" s="6" t="n">
        <f aca="false">'Raw Data'!D714</f>
        <v>298.111948596833</v>
      </c>
      <c r="D714" s="6" t="n">
        <f aca="false">'Raw Data'!E714</f>
        <v>4.859230769</v>
      </c>
      <c r="E714" s="6" t="n">
        <f aca="false">'Raw Data'!F714</f>
        <v>1</v>
      </c>
      <c r="F714" s="6" t="n">
        <f aca="false">'Raw Data'!G714</f>
        <v>0</v>
      </c>
      <c r="G714" s="6" t="n">
        <f aca="false">'Raw Data'!H714</f>
        <v>0</v>
      </c>
      <c r="H714" s="6" t="n">
        <f aca="false">'Raw Data'!I714</f>
        <v>1</v>
      </c>
      <c r="I714" s="6" t="n">
        <f aca="false">'Raw Data'!J714</f>
        <v>1</v>
      </c>
      <c r="J714" s="6" t="n">
        <f aca="false">'Raw Data'!K714</f>
        <v>1</v>
      </c>
      <c r="K714" s="6" t="n">
        <f aca="false">'Raw Data'!L714</f>
        <v>1</v>
      </c>
      <c r="L714" s="6" t="n">
        <f aca="false">F714*E714</f>
        <v>0</v>
      </c>
      <c r="N714" s="0" t="n">
        <v>1</v>
      </c>
      <c r="O714" s="6" t="n">
        <f aca="false">D714</f>
        <v>4.859230769</v>
      </c>
      <c r="P714" s="6" t="n">
        <f aca="false">E714</f>
        <v>1</v>
      </c>
      <c r="Q714" s="6" t="n">
        <f aca="false">F714</f>
        <v>0</v>
      </c>
      <c r="R714" s="6" t="n">
        <f aca="false">G714</f>
        <v>0</v>
      </c>
      <c r="S714" s="6" t="n">
        <f aca="false">H714</f>
        <v>1</v>
      </c>
      <c r="T714" s="6" t="n">
        <f aca="false">I714</f>
        <v>1</v>
      </c>
      <c r="U714" s="6" t="n">
        <f aca="false">L714</f>
        <v>0</v>
      </c>
      <c r="W714" s="6" t="n">
        <f aca="false">D714</f>
        <v>4.859230769</v>
      </c>
      <c r="X714" s="6" t="n">
        <f aca="false">E714</f>
        <v>1</v>
      </c>
      <c r="Y714" s="6" t="n">
        <f aca="false">F714</f>
        <v>0</v>
      </c>
      <c r="Z714" s="6" t="n">
        <f aca="false">L714</f>
        <v>0</v>
      </c>
      <c r="AA714" s="6" t="n">
        <f aca="false">G714</f>
        <v>0</v>
      </c>
      <c r="AC714" s="6" t="n">
        <f aca="false">D714</f>
        <v>4.859230769</v>
      </c>
      <c r="AD714" s="6" t="n">
        <f aca="false">E714</f>
        <v>1</v>
      </c>
      <c r="AE714" s="6" t="n">
        <f aca="false">G714</f>
        <v>0</v>
      </c>
      <c r="AF714" s="6" t="n">
        <f aca="false">H714</f>
        <v>1</v>
      </c>
      <c r="AG714" s="6" t="n">
        <f aca="false">I714</f>
        <v>1</v>
      </c>
      <c r="AH714" s="6" t="n">
        <f aca="false">L714</f>
        <v>0</v>
      </c>
    </row>
    <row r="715" customFormat="false" ht="15" hidden="false" customHeight="false" outlineLevel="0" collapsed="false">
      <c r="A715" s="0" t="str">
        <f aca="false">'Raw Data'!C715</f>
        <v>San Rafael</v>
      </c>
      <c r="B715" s="5" t="n">
        <f aca="false">'Raw Data'!A715</f>
        <v>40365</v>
      </c>
      <c r="C715" s="6" t="n">
        <f aca="false">'Raw Data'!D715</f>
        <v>371.032441793863</v>
      </c>
      <c r="D715" s="6" t="n">
        <f aca="false">'Raw Data'!E715</f>
        <v>4.728461538</v>
      </c>
      <c r="E715" s="6" t="n">
        <f aca="false">'Raw Data'!F715</f>
        <v>1</v>
      </c>
      <c r="F715" s="6" t="n">
        <f aca="false">'Raw Data'!G715</f>
        <v>0</v>
      </c>
      <c r="G715" s="6" t="n">
        <f aca="false">'Raw Data'!H715</f>
        <v>0</v>
      </c>
      <c r="H715" s="6" t="n">
        <f aca="false">'Raw Data'!I715</f>
        <v>1</v>
      </c>
      <c r="I715" s="6" t="n">
        <f aca="false">'Raw Data'!J715</f>
        <v>1</v>
      </c>
      <c r="J715" s="6" t="n">
        <f aca="false">'Raw Data'!K715</f>
        <v>1</v>
      </c>
      <c r="K715" s="6" t="n">
        <f aca="false">'Raw Data'!L715</f>
        <v>1</v>
      </c>
      <c r="L715" s="6" t="n">
        <f aca="false">F715*E715</f>
        <v>0</v>
      </c>
      <c r="N715" s="0" t="n">
        <v>1</v>
      </c>
      <c r="O715" s="6" t="n">
        <f aca="false">D715</f>
        <v>4.728461538</v>
      </c>
      <c r="P715" s="6" t="n">
        <f aca="false">E715</f>
        <v>1</v>
      </c>
      <c r="Q715" s="6" t="n">
        <f aca="false">F715</f>
        <v>0</v>
      </c>
      <c r="R715" s="6" t="n">
        <f aca="false">G715</f>
        <v>0</v>
      </c>
      <c r="S715" s="6" t="n">
        <f aca="false">H715</f>
        <v>1</v>
      </c>
      <c r="T715" s="6" t="n">
        <f aca="false">I715</f>
        <v>1</v>
      </c>
      <c r="U715" s="6" t="n">
        <f aca="false">L715</f>
        <v>0</v>
      </c>
      <c r="W715" s="6" t="n">
        <f aca="false">D715</f>
        <v>4.728461538</v>
      </c>
      <c r="X715" s="6" t="n">
        <f aca="false">E715</f>
        <v>1</v>
      </c>
      <c r="Y715" s="6" t="n">
        <f aca="false">F715</f>
        <v>0</v>
      </c>
      <c r="Z715" s="6" t="n">
        <f aca="false">L715</f>
        <v>0</v>
      </c>
      <c r="AA715" s="6" t="n">
        <f aca="false">G715</f>
        <v>0</v>
      </c>
      <c r="AC715" s="6" t="n">
        <f aca="false">D715</f>
        <v>4.728461538</v>
      </c>
      <c r="AD715" s="6" t="n">
        <f aca="false">E715</f>
        <v>1</v>
      </c>
      <c r="AE715" s="6" t="n">
        <f aca="false">G715</f>
        <v>0</v>
      </c>
      <c r="AF715" s="6" t="n">
        <f aca="false">H715</f>
        <v>1</v>
      </c>
      <c r="AG715" s="6" t="n">
        <f aca="false">I715</f>
        <v>1</v>
      </c>
      <c r="AH715" s="6" t="n">
        <f aca="false">L715</f>
        <v>0</v>
      </c>
    </row>
    <row r="716" customFormat="false" ht="15" hidden="false" customHeight="false" outlineLevel="0" collapsed="false">
      <c r="A716" s="0" t="str">
        <f aca="false">'Raw Data'!C716</f>
        <v>San Rafael</v>
      </c>
      <c r="B716" s="5" t="n">
        <f aca="false">'Raw Data'!A716</f>
        <v>40372</v>
      </c>
      <c r="C716" s="6" t="n">
        <f aca="false">'Raw Data'!D716</f>
        <v>395.26814475963</v>
      </c>
      <c r="D716" s="6" t="n">
        <f aca="false">'Raw Data'!E716</f>
        <v>4.728461538</v>
      </c>
      <c r="E716" s="6" t="n">
        <f aca="false">'Raw Data'!F716</f>
        <v>1</v>
      </c>
      <c r="F716" s="6" t="n">
        <f aca="false">'Raw Data'!G716</f>
        <v>0</v>
      </c>
      <c r="G716" s="6" t="n">
        <f aca="false">'Raw Data'!H716</f>
        <v>0</v>
      </c>
      <c r="H716" s="6" t="n">
        <f aca="false">'Raw Data'!I716</f>
        <v>1</v>
      </c>
      <c r="I716" s="6" t="n">
        <f aca="false">'Raw Data'!J716</f>
        <v>1</v>
      </c>
      <c r="J716" s="6" t="n">
        <f aca="false">'Raw Data'!K716</f>
        <v>1</v>
      </c>
      <c r="K716" s="6" t="n">
        <f aca="false">'Raw Data'!L716</f>
        <v>1</v>
      </c>
      <c r="L716" s="6" t="n">
        <f aca="false">F716*E716</f>
        <v>0</v>
      </c>
      <c r="N716" s="0" t="n">
        <v>1</v>
      </c>
      <c r="O716" s="6" t="n">
        <f aca="false">D716</f>
        <v>4.728461538</v>
      </c>
      <c r="P716" s="6" t="n">
        <f aca="false">E716</f>
        <v>1</v>
      </c>
      <c r="Q716" s="6" t="n">
        <f aca="false">F716</f>
        <v>0</v>
      </c>
      <c r="R716" s="6" t="n">
        <f aca="false">G716</f>
        <v>0</v>
      </c>
      <c r="S716" s="6" t="n">
        <f aca="false">H716</f>
        <v>1</v>
      </c>
      <c r="T716" s="6" t="n">
        <f aca="false">I716</f>
        <v>1</v>
      </c>
      <c r="U716" s="6" t="n">
        <f aca="false">L716</f>
        <v>0</v>
      </c>
      <c r="W716" s="6" t="n">
        <f aca="false">D716</f>
        <v>4.728461538</v>
      </c>
      <c r="X716" s="6" t="n">
        <f aca="false">E716</f>
        <v>1</v>
      </c>
      <c r="Y716" s="6" t="n">
        <f aca="false">F716</f>
        <v>0</v>
      </c>
      <c r="Z716" s="6" t="n">
        <f aca="false">L716</f>
        <v>0</v>
      </c>
      <c r="AA716" s="6" t="n">
        <f aca="false">G716</f>
        <v>0</v>
      </c>
      <c r="AC716" s="6" t="n">
        <f aca="false">D716</f>
        <v>4.728461538</v>
      </c>
      <c r="AD716" s="6" t="n">
        <f aca="false">E716</f>
        <v>1</v>
      </c>
      <c r="AE716" s="6" t="n">
        <f aca="false">G716</f>
        <v>0</v>
      </c>
      <c r="AF716" s="6" t="n">
        <f aca="false">H716</f>
        <v>1</v>
      </c>
      <c r="AG716" s="6" t="n">
        <f aca="false">I716</f>
        <v>1</v>
      </c>
      <c r="AH716" s="6" t="n">
        <f aca="false">L716</f>
        <v>0</v>
      </c>
    </row>
    <row r="717" customFormat="false" ht="15" hidden="false" customHeight="false" outlineLevel="0" collapsed="false">
      <c r="A717" s="0" t="str">
        <f aca="false">'Raw Data'!C717</f>
        <v>San Ramon</v>
      </c>
      <c r="B717" s="5" t="n">
        <f aca="false">'Raw Data'!A717</f>
        <v>40302</v>
      </c>
      <c r="C717" s="6" t="n">
        <f aca="false">'Raw Data'!D717</f>
        <v>269.888391445661</v>
      </c>
      <c r="D717" s="6" t="n">
        <f aca="false">'Raw Data'!E717</f>
        <v>4.64</v>
      </c>
      <c r="E717" s="6" t="n">
        <f aca="false">'Raw Data'!F717</f>
        <v>1</v>
      </c>
      <c r="F717" s="6" t="n">
        <f aca="false">'Raw Data'!G717</f>
        <v>0</v>
      </c>
      <c r="G717" s="6" t="n">
        <f aca="false">'Raw Data'!H717</f>
        <v>0</v>
      </c>
      <c r="H717" s="6" t="n">
        <f aca="false">'Raw Data'!I717</f>
        <v>0</v>
      </c>
      <c r="I717" s="6" t="n">
        <f aca="false">'Raw Data'!J717</f>
        <v>0</v>
      </c>
      <c r="J717" s="6" t="n">
        <f aca="false">'Raw Data'!K717</f>
        <v>2</v>
      </c>
      <c r="K717" s="6" t="n">
        <f aca="false">'Raw Data'!L717</f>
        <v>4</v>
      </c>
      <c r="L717" s="6" t="n">
        <f aca="false">F717*E717</f>
        <v>0</v>
      </c>
      <c r="N717" s="0" t="n">
        <v>1</v>
      </c>
      <c r="O717" s="6" t="n">
        <f aca="false">D717</f>
        <v>4.64</v>
      </c>
      <c r="P717" s="6" t="n">
        <f aca="false">E717</f>
        <v>1</v>
      </c>
      <c r="Q717" s="6" t="n">
        <f aca="false">F717</f>
        <v>0</v>
      </c>
      <c r="R717" s="6" t="n">
        <f aca="false">G717</f>
        <v>0</v>
      </c>
      <c r="S717" s="6" t="n">
        <f aca="false">H717</f>
        <v>0</v>
      </c>
      <c r="T717" s="6" t="n">
        <f aca="false">I717</f>
        <v>0</v>
      </c>
      <c r="U717" s="6" t="n">
        <f aca="false">L717</f>
        <v>0</v>
      </c>
      <c r="W717" s="6" t="n">
        <f aca="false">D717</f>
        <v>4.64</v>
      </c>
      <c r="X717" s="6" t="n">
        <f aca="false">E717</f>
        <v>1</v>
      </c>
      <c r="Y717" s="6" t="n">
        <f aca="false">F717</f>
        <v>0</v>
      </c>
      <c r="Z717" s="6" t="n">
        <f aca="false">L717</f>
        <v>0</v>
      </c>
      <c r="AA717" s="6" t="n">
        <f aca="false">G717</f>
        <v>0</v>
      </c>
      <c r="AC717" s="6" t="n">
        <f aca="false">D717</f>
        <v>4.64</v>
      </c>
      <c r="AD717" s="6" t="n">
        <f aca="false">E717</f>
        <v>1</v>
      </c>
      <c r="AE717" s="6" t="n">
        <f aca="false">G717</f>
        <v>0</v>
      </c>
      <c r="AF717" s="6" t="n">
        <f aca="false">H717</f>
        <v>0</v>
      </c>
      <c r="AG717" s="6" t="n">
        <f aca="false">I717</f>
        <v>0</v>
      </c>
      <c r="AH717" s="6" t="n">
        <f aca="false">L717</f>
        <v>0</v>
      </c>
    </row>
    <row r="718" customFormat="false" ht="15" hidden="false" customHeight="false" outlineLevel="0" collapsed="false">
      <c r="A718" s="0" t="str">
        <f aca="false">'Raw Data'!C718</f>
        <v>San Ramon</v>
      </c>
      <c r="B718" s="5" t="n">
        <f aca="false">'Raw Data'!A718</f>
        <v>40309</v>
      </c>
      <c r="C718" s="6" t="n">
        <f aca="false">'Raw Data'!D718</f>
        <v>184.353486054676</v>
      </c>
      <c r="D718" s="6" t="n">
        <f aca="false">'Raw Data'!E718</f>
        <v>4.64</v>
      </c>
      <c r="E718" s="6" t="n">
        <f aca="false">'Raw Data'!F718</f>
        <v>1</v>
      </c>
      <c r="F718" s="6" t="n">
        <f aca="false">'Raw Data'!G718</f>
        <v>0</v>
      </c>
      <c r="G718" s="6" t="n">
        <f aca="false">'Raw Data'!H718</f>
        <v>0</v>
      </c>
      <c r="H718" s="6" t="n">
        <f aca="false">'Raw Data'!I718</f>
        <v>0</v>
      </c>
      <c r="I718" s="6" t="n">
        <f aca="false">'Raw Data'!J718</f>
        <v>0</v>
      </c>
      <c r="J718" s="6" t="n">
        <f aca="false">'Raw Data'!K718</f>
        <v>2</v>
      </c>
      <c r="K718" s="6" t="n">
        <f aca="false">'Raw Data'!L718</f>
        <v>4</v>
      </c>
      <c r="L718" s="6" t="n">
        <f aca="false">F718*E718</f>
        <v>0</v>
      </c>
      <c r="N718" s="0" t="n">
        <v>1</v>
      </c>
      <c r="O718" s="6" t="n">
        <f aca="false">D718</f>
        <v>4.64</v>
      </c>
      <c r="P718" s="6" t="n">
        <f aca="false">E718</f>
        <v>1</v>
      </c>
      <c r="Q718" s="6" t="n">
        <f aca="false">F718</f>
        <v>0</v>
      </c>
      <c r="R718" s="6" t="n">
        <f aca="false">G718</f>
        <v>0</v>
      </c>
      <c r="S718" s="6" t="n">
        <f aca="false">H718</f>
        <v>0</v>
      </c>
      <c r="T718" s="6" t="n">
        <f aca="false">I718</f>
        <v>0</v>
      </c>
      <c r="U718" s="6" t="n">
        <f aca="false">L718</f>
        <v>0</v>
      </c>
      <c r="W718" s="6" t="n">
        <f aca="false">D718</f>
        <v>4.64</v>
      </c>
      <c r="X718" s="6" t="n">
        <f aca="false">E718</f>
        <v>1</v>
      </c>
      <c r="Y718" s="6" t="n">
        <f aca="false">F718</f>
        <v>0</v>
      </c>
      <c r="Z718" s="6" t="n">
        <f aca="false">L718</f>
        <v>0</v>
      </c>
      <c r="AA718" s="6" t="n">
        <f aca="false">G718</f>
        <v>0</v>
      </c>
      <c r="AC718" s="6" t="n">
        <f aca="false">D718</f>
        <v>4.64</v>
      </c>
      <c r="AD718" s="6" t="n">
        <f aca="false">E718</f>
        <v>1</v>
      </c>
      <c r="AE718" s="6" t="n">
        <f aca="false">G718</f>
        <v>0</v>
      </c>
      <c r="AF718" s="6" t="n">
        <f aca="false">H718</f>
        <v>0</v>
      </c>
      <c r="AG718" s="6" t="n">
        <f aca="false">I718</f>
        <v>0</v>
      </c>
      <c r="AH718" s="6" t="n">
        <f aca="false">L718</f>
        <v>0</v>
      </c>
    </row>
    <row r="719" customFormat="false" ht="15" hidden="false" customHeight="false" outlineLevel="0" collapsed="false">
      <c r="A719" s="0" t="str">
        <f aca="false">'Raw Data'!C719</f>
        <v>San Ramon</v>
      </c>
      <c r="B719" s="5" t="n">
        <f aca="false">'Raw Data'!A719</f>
        <v>40316</v>
      </c>
      <c r="C719" s="6" t="n">
        <f aca="false">'Raw Data'!D719</f>
        <v>246.550858319092</v>
      </c>
      <c r="D719" s="6" t="n">
        <f aca="false">'Raw Data'!E719</f>
        <v>4.301111111</v>
      </c>
      <c r="E719" s="6" t="n">
        <f aca="false">'Raw Data'!F719</f>
        <v>1</v>
      </c>
      <c r="F719" s="6" t="n">
        <f aca="false">'Raw Data'!G719</f>
        <v>0</v>
      </c>
      <c r="G719" s="6" t="n">
        <f aca="false">'Raw Data'!H719</f>
        <v>0</v>
      </c>
      <c r="H719" s="6" t="n">
        <f aca="false">'Raw Data'!I719</f>
        <v>0</v>
      </c>
      <c r="I719" s="6" t="n">
        <f aca="false">'Raw Data'!J719</f>
        <v>0</v>
      </c>
      <c r="J719" s="6" t="n">
        <f aca="false">'Raw Data'!K719</f>
        <v>2</v>
      </c>
      <c r="K719" s="6" t="n">
        <f aca="false">'Raw Data'!L719</f>
        <v>4</v>
      </c>
      <c r="L719" s="6" t="n">
        <f aca="false">F719*E719</f>
        <v>0</v>
      </c>
      <c r="N719" s="0" t="n">
        <v>1</v>
      </c>
      <c r="O719" s="6" t="n">
        <f aca="false">D719</f>
        <v>4.301111111</v>
      </c>
      <c r="P719" s="6" t="n">
        <f aca="false">E719</f>
        <v>1</v>
      </c>
      <c r="Q719" s="6" t="n">
        <f aca="false">F719</f>
        <v>0</v>
      </c>
      <c r="R719" s="6" t="n">
        <f aca="false">G719</f>
        <v>0</v>
      </c>
      <c r="S719" s="6" t="n">
        <f aca="false">H719</f>
        <v>0</v>
      </c>
      <c r="T719" s="6" t="n">
        <f aca="false">I719</f>
        <v>0</v>
      </c>
      <c r="U719" s="6" t="n">
        <f aca="false">L719</f>
        <v>0</v>
      </c>
      <c r="W719" s="6" t="n">
        <f aca="false">D719</f>
        <v>4.301111111</v>
      </c>
      <c r="X719" s="6" t="n">
        <f aca="false">E719</f>
        <v>1</v>
      </c>
      <c r="Y719" s="6" t="n">
        <f aca="false">F719</f>
        <v>0</v>
      </c>
      <c r="Z719" s="6" t="n">
        <f aca="false">L719</f>
        <v>0</v>
      </c>
      <c r="AA719" s="6" t="n">
        <f aca="false">G719</f>
        <v>0</v>
      </c>
      <c r="AC719" s="6" t="n">
        <f aca="false">D719</f>
        <v>4.301111111</v>
      </c>
      <c r="AD719" s="6" t="n">
        <f aca="false">E719</f>
        <v>1</v>
      </c>
      <c r="AE719" s="6" t="n">
        <f aca="false">G719</f>
        <v>0</v>
      </c>
      <c r="AF719" s="6" t="n">
        <f aca="false">H719</f>
        <v>0</v>
      </c>
      <c r="AG719" s="6" t="n">
        <f aca="false">I719</f>
        <v>0</v>
      </c>
      <c r="AH719" s="6" t="n">
        <f aca="false">L719</f>
        <v>0</v>
      </c>
    </row>
    <row r="720" customFormat="false" ht="15" hidden="false" customHeight="false" outlineLevel="0" collapsed="false">
      <c r="A720" s="0" t="str">
        <f aca="false">'Raw Data'!C720</f>
        <v>San Ramon</v>
      </c>
      <c r="B720" s="5" t="n">
        <f aca="false">'Raw Data'!A720</f>
        <v>40323</v>
      </c>
      <c r="C720" s="6" t="n">
        <f aca="false">'Raw Data'!D720</f>
        <v>274.775018935152</v>
      </c>
      <c r="D720" s="6" t="n">
        <f aca="false">'Raw Data'!E720</f>
        <v>4.19</v>
      </c>
      <c r="E720" s="6" t="n">
        <f aca="false">'Raw Data'!F720</f>
        <v>1</v>
      </c>
      <c r="F720" s="6" t="n">
        <f aca="false">'Raw Data'!G720</f>
        <v>0</v>
      </c>
      <c r="G720" s="6" t="n">
        <f aca="false">'Raw Data'!H720</f>
        <v>0</v>
      </c>
      <c r="H720" s="6" t="n">
        <f aca="false">'Raw Data'!I720</f>
        <v>0</v>
      </c>
      <c r="I720" s="6" t="n">
        <f aca="false">'Raw Data'!J720</f>
        <v>0</v>
      </c>
      <c r="J720" s="6" t="n">
        <f aca="false">'Raw Data'!K720</f>
        <v>2</v>
      </c>
      <c r="K720" s="6" t="n">
        <f aca="false">'Raw Data'!L720</f>
        <v>4</v>
      </c>
      <c r="L720" s="6" t="n">
        <f aca="false">F720*E720</f>
        <v>0</v>
      </c>
      <c r="N720" s="0" t="n">
        <v>1</v>
      </c>
      <c r="O720" s="6" t="n">
        <f aca="false">D720</f>
        <v>4.19</v>
      </c>
      <c r="P720" s="6" t="n">
        <f aca="false">E720</f>
        <v>1</v>
      </c>
      <c r="Q720" s="6" t="n">
        <f aca="false">F720</f>
        <v>0</v>
      </c>
      <c r="R720" s="6" t="n">
        <f aca="false">G720</f>
        <v>0</v>
      </c>
      <c r="S720" s="6" t="n">
        <f aca="false">H720</f>
        <v>0</v>
      </c>
      <c r="T720" s="6" t="n">
        <f aca="false">I720</f>
        <v>0</v>
      </c>
      <c r="U720" s="6" t="n">
        <f aca="false">L720</f>
        <v>0</v>
      </c>
      <c r="W720" s="6" t="n">
        <f aca="false">D720</f>
        <v>4.19</v>
      </c>
      <c r="X720" s="6" t="n">
        <f aca="false">E720</f>
        <v>1</v>
      </c>
      <c r="Y720" s="6" t="n">
        <f aca="false">F720</f>
        <v>0</v>
      </c>
      <c r="Z720" s="6" t="n">
        <f aca="false">L720</f>
        <v>0</v>
      </c>
      <c r="AA720" s="6" t="n">
        <f aca="false">G720</f>
        <v>0</v>
      </c>
      <c r="AC720" s="6" t="n">
        <f aca="false">D720</f>
        <v>4.19</v>
      </c>
      <c r="AD720" s="6" t="n">
        <f aca="false">E720</f>
        <v>1</v>
      </c>
      <c r="AE720" s="6" t="n">
        <f aca="false">G720</f>
        <v>0</v>
      </c>
      <c r="AF720" s="6" t="n">
        <f aca="false">H720</f>
        <v>0</v>
      </c>
      <c r="AG720" s="6" t="n">
        <f aca="false">I720</f>
        <v>0</v>
      </c>
      <c r="AH720" s="6" t="n">
        <f aca="false">L720</f>
        <v>0</v>
      </c>
    </row>
    <row r="721" customFormat="false" ht="15" hidden="false" customHeight="false" outlineLevel="0" collapsed="false">
      <c r="A721" s="0" t="str">
        <f aca="false">'Raw Data'!C721</f>
        <v>San Ramon</v>
      </c>
      <c r="B721" s="5" t="n">
        <f aca="false">'Raw Data'!A721</f>
        <v>40330</v>
      </c>
      <c r="C721" s="6" t="n">
        <f aca="false">'Raw Data'!D721</f>
        <v>200.093467610995</v>
      </c>
      <c r="D721" s="6" t="n">
        <f aca="false">'Raw Data'!E721</f>
        <v>4.123333333</v>
      </c>
      <c r="E721" s="6" t="n">
        <f aca="false">'Raw Data'!F721</f>
        <v>1</v>
      </c>
      <c r="F721" s="6" t="n">
        <f aca="false">'Raw Data'!G721</f>
        <v>0</v>
      </c>
      <c r="G721" s="6" t="n">
        <f aca="false">'Raw Data'!H721</f>
        <v>0</v>
      </c>
      <c r="H721" s="6" t="n">
        <f aca="false">'Raw Data'!I721</f>
        <v>0</v>
      </c>
      <c r="I721" s="6" t="n">
        <f aca="false">'Raw Data'!J721</f>
        <v>0</v>
      </c>
      <c r="J721" s="6" t="n">
        <f aca="false">'Raw Data'!K721</f>
        <v>2</v>
      </c>
      <c r="K721" s="6" t="n">
        <f aca="false">'Raw Data'!L721</f>
        <v>4</v>
      </c>
      <c r="L721" s="6" t="n">
        <f aca="false">F721*E721</f>
        <v>0</v>
      </c>
      <c r="N721" s="0" t="n">
        <v>1</v>
      </c>
      <c r="O721" s="6" t="n">
        <f aca="false">D721</f>
        <v>4.123333333</v>
      </c>
      <c r="P721" s="6" t="n">
        <f aca="false">E721</f>
        <v>1</v>
      </c>
      <c r="Q721" s="6" t="n">
        <f aca="false">F721</f>
        <v>0</v>
      </c>
      <c r="R721" s="6" t="n">
        <f aca="false">G721</f>
        <v>0</v>
      </c>
      <c r="S721" s="6" t="n">
        <f aca="false">H721</f>
        <v>0</v>
      </c>
      <c r="T721" s="6" t="n">
        <f aca="false">I721</f>
        <v>0</v>
      </c>
      <c r="U721" s="6" t="n">
        <f aca="false">L721</f>
        <v>0</v>
      </c>
      <c r="W721" s="6" t="n">
        <f aca="false">D721</f>
        <v>4.123333333</v>
      </c>
      <c r="X721" s="6" t="n">
        <f aca="false">E721</f>
        <v>1</v>
      </c>
      <c r="Y721" s="6" t="n">
        <f aca="false">F721</f>
        <v>0</v>
      </c>
      <c r="Z721" s="6" t="n">
        <f aca="false">L721</f>
        <v>0</v>
      </c>
      <c r="AA721" s="6" t="n">
        <f aca="false">G721</f>
        <v>0</v>
      </c>
      <c r="AC721" s="6" t="n">
        <f aca="false">D721</f>
        <v>4.123333333</v>
      </c>
      <c r="AD721" s="6" t="n">
        <f aca="false">E721</f>
        <v>1</v>
      </c>
      <c r="AE721" s="6" t="n">
        <f aca="false">G721</f>
        <v>0</v>
      </c>
      <c r="AF721" s="6" t="n">
        <f aca="false">H721</f>
        <v>0</v>
      </c>
      <c r="AG721" s="6" t="n">
        <f aca="false">I721</f>
        <v>0</v>
      </c>
      <c r="AH721" s="6" t="n">
        <f aca="false">L721</f>
        <v>0</v>
      </c>
    </row>
    <row r="722" customFormat="false" ht="15" hidden="false" customHeight="false" outlineLevel="0" collapsed="false">
      <c r="A722" s="0" t="str">
        <f aca="false">'Raw Data'!C722</f>
        <v>San Ramon</v>
      </c>
      <c r="B722" s="5" t="n">
        <f aca="false">'Raw Data'!A722</f>
        <v>40337</v>
      </c>
      <c r="C722" s="6" t="n">
        <f aca="false">'Raw Data'!D722</f>
        <v>265.840314930875</v>
      </c>
      <c r="D722" s="6" t="n">
        <f aca="false">'Raw Data'!E722</f>
        <v>4.79</v>
      </c>
      <c r="E722" s="6" t="n">
        <f aca="false">'Raw Data'!F722</f>
        <v>1</v>
      </c>
      <c r="F722" s="6" t="n">
        <f aca="false">'Raw Data'!G722</f>
        <v>0</v>
      </c>
      <c r="G722" s="6" t="n">
        <f aca="false">'Raw Data'!H722</f>
        <v>0</v>
      </c>
      <c r="H722" s="6" t="n">
        <f aca="false">'Raw Data'!I722</f>
        <v>0</v>
      </c>
      <c r="I722" s="6" t="n">
        <f aca="false">'Raw Data'!J722</f>
        <v>0</v>
      </c>
      <c r="J722" s="6" t="n">
        <f aca="false">'Raw Data'!K722</f>
        <v>2</v>
      </c>
      <c r="K722" s="6" t="n">
        <f aca="false">'Raw Data'!L722</f>
        <v>4</v>
      </c>
      <c r="L722" s="6" t="n">
        <f aca="false">F722*E722</f>
        <v>0</v>
      </c>
      <c r="N722" s="0" t="n">
        <v>1</v>
      </c>
      <c r="O722" s="6" t="n">
        <f aca="false">D722</f>
        <v>4.79</v>
      </c>
      <c r="P722" s="6" t="n">
        <f aca="false">E722</f>
        <v>1</v>
      </c>
      <c r="Q722" s="6" t="n">
        <f aca="false">F722</f>
        <v>0</v>
      </c>
      <c r="R722" s="6" t="n">
        <f aca="false">G722</f>
        <v>0</v>
      </c>
      <c r="S722" s="6" t="n">
        <f aca="false">H722</f>
        <v>0</v>
      </c>
      <c r="T722" s="6" t="n">
        <f aca="false">I722</f>
        <v>0</v>
      </c>
      <c r="U722" s="6" t="n">
        <f aca="false">L722</f>
        <v>0</v>
      </c>
      <c r="W722" s="6" t="n">
        <f aca="false">D722</f>
        <v>4.79</v>
      </c>
      <c r="X722" s="6" t="n">
        <f aca="false">E722</f>
        <v>1</v>
      </c>
      <c r="Y722" s="6" t="n">
        <f aca="false">F722</f>
        <v>0</v>
      </c>
      <c r="Z722" s="6" t="n">
        <f aca="false">L722</f>
        <v>0</v>
      </c>
      <c r="AA722" s="6" t="n">
        <f aca="false">G722</f>
        <v>0</v>
      </c>
      <c r="AC722" s="6" t="n">
        <f aca="false">D722</f>
        <v>4.79</v>
      </c>
      <c r="AD722" s="6" t="n">
        <f aca="false">E722</f>
        <v>1</v>
      </c>
      <c r="AE722" s="6" t="n">
        <f aca="false">G722</f>
        <v>0</v>
      </c>
      <c r="AF722" s="6" t="n">
        <f aca="false">H722</f>
        <v>0</v>
      </c>
      <c r="AG722" s="6" t="n">
        <f aca="false">I722</f>
        <v>0</v>
      </c>
      <c r="AH722" s="6" t="n">
        <f aca="false">L722</f>
        <v>0</v>
      </c>
    </row>
    <row r="723" customFormat="false" ht="15" hidden="false" customHeight="false" outlineLevel="0" collapsed="false">
      <c r="A723" s="0" t="str">
        <f aca="false">'Raw Data'!C723</f>
        <v>San Ramon</v>
      </c>
      <c r="B723" s="5" t="n">
        <f aca="false">'Raw Data'!A723</f>
        <v>40344</v>
      </c>
      <c r="C723" s="6" t="n">
        <f aca="false">'Raw Data'!D723</f>
        <v>203.943146361504</v>
      </c>
      <c r="D723" s="6" t="n">
        <f aca="false">'Raw Data'!E723</f>
        <v>4.79</v>
      </c>
      <c r="E723" s="6" t="n">
        <f aca="false">'Raw Data'!F723</f>
        <v>1</v>
      </c>
      <c r="F723" s="6" t="n">
        <f aca="false">'Raw Data'!G723</f>
        <v>0</v>
      </c>
      <c r="G723" s="6" t="n">
        <f aca="false">'Raw Data'!H723</f>
        <v>0</v>
      </c>
      <c r="H723" s="6" t="n">
        <f aca="false">'Raw Data'!I723</f>
        <v>0</v>
      </c>
      <c r="I723" s="6" t="n">
        <f aca="false">'Raw Data'!J723</f>
        <v>0</v>
      </c>
      <c r="J723" s="6" t="n">
        <f aca="false">'Raw Data'!K723</f>
        <v>2</v>
      </c>
      <c r="K723" s="6" t="n">
        <f aca="false">'Raw Data'!L723</f>
        <v>4</v>
      </c>
      <c r="L723" s="6" t="n">
        <f aca="false">F723*E723</f>
        <v>0</v>
      </c>
      <c r="N723" s="0" t="n">
        <v>1</v>
      </c>
      <c r="O723" s="6" t="n">
        <f aca="false">D723</f>
        <v>4.79</v>
      </c>
      <c r="P723" s="6" t="n">
        <f aca="false">E723</f>
        <v>1</v>
      </c>
      <c r="Q723" s="6" t="n">
        <f aca="false">F723</f>
        <v>0</v>
      </c>
      <c r="R723" s="6" t="n">
        <f aca="false">G723</f>
        <v>0</v>
      </c>
      <c r="S723" s="6" t="n">
        <f aca="false">H723</f>
        <v>0</v>
      </c>
      <c r="T723" s="6" t="n">
        <f aca="false">I723</f>
        <v>0</v>
      </c>
      <c r="U723" s="6" t="n">
        <f aca="false">L723</f>
        <v>0</v>
      </c>
      <c r="W723" s="6" t="n">
        <f aca="false">D723</f>
        <v>4.79</v>
      </c>
      <c r="X723" s="6" t="n">
        <f aca="false">E723</f>
        <v>1</v>
      </c>
      <c r="Y723" s="6" t="n">
        <f aca="false">F723</f>
        <v>0</v>
      </c>
      <c r="Z723" s="6" t="n">
        <f aca="false">L723</f>
        <v>0</v>
      </c>
      <c r="AA723" s="6" t="n">
        <f aca="false">G723</f>
        <v>0</v>
      </c>
      <c r="AC723" s="6" t="n">
        <f aca="false">D723</f>
        <v>4.79</v>
      </c>
      <c r="AD723" s="6" t="n">
        <f aca="false">E723</f>
        <v>1</v>
      </c>
      <c r="AE723" s="6" t="n">
        <f aca="false">G723</f>
        <v>0</v>
      </c>
      <c r="AF723" s="6" t="n">
        <f aca="false">H723</f>
        <v>0</v>
      </c>
      <c r="AG723" s="6" t="n">
        <f aca="false">I723</f>
        <v>0</v>
      </c>
      <c r="AH723" s="6" t="n">
        <f aca="false">L723</f>
        <v>0</v>
      </c>
    </row>
    <row r="724" customFormat="false" ht="15" hidden="false" customHeight="false" outlineLevel="0" collapsed="false">
      <c r="A724" s="0" t="str">
        <f aca="false">'Raw Data'!C724</f>
        <v>San Ramon</v>
      </c>
      <c r="B724" s="5" t="n">
        <f aca="false">'Raw Data'!A724</f>
        <v>40351</v>
      </c>
      <c r="C724" s="6" t="n">
        <f aca="false">'Raw Data'!D724</f>
        <v>253.766736866671</v>
      </c>
      <c r="D724" s="6" t="n">
        <f aca="false">'Raw Data'!E724</f>
        <v>4.904285714</v>
      </c>
      <c r="E724" s="6" t="n">
        <f aca="false">'Raw Data'!F724</f>
        <v>1</v>
      </c>
      <c r="F724" s="6" t="n">
        <f aca="false">'Raw Data'!G724</f>
        <v>0</v>
      </c>
      <c r="G724" s="6" t="n">
        <f aca="false">'Raw Data'!H724</f>
        <v>0</v>
      </c>
      <c r="H724" s="6" t="n">
        <f aca="false">'Raw Data'!I724</f>
        <v>0</v>
      </c>
      <c r="I724" s="6" t="n">
        <f aca="false">'Raw Data'!J724</f>
        <v>0</v>
      </c>
      <c r="J724" s="6" t="n">
        <f aca="false">'Raw Data'!K724</f>
        <v>2</v>
      </c>
      <c r="K724" s="6" t="n">
        <f aca="false">'Raw Data'!L724</f>
        <v>4</v>
      </c>
      <c r="L724" s="6" t="n">
        <f aca="false">F724*E724</f>
        <v>0</v>
      </c>
      <c r="N724" s="0" t="n">
        <v>1</v>
      </c>
      <c r="O724" s="6" t="n">
        <f aca="false">D724</f>
        <v>4.904285714</v>
      </c>
      <c r="P724" s="6" t="n">
        <f aca="false">E724</f>
        <v>1</v>
      </c>
      <c r="Q724" s="6" t="n">
        <f aca="false">F724</f>
        <v>0</v>
      </c>
      <c r="R724" s="6" t="n">
        <f aca="false">G724</f>
        <v>0</v>
      </c>
      <c r="S724" s="6" t="n">
        <f aca="false">H724</f>
        <v>0</v>
      </c>
      <c r="T724" s="6" t="n">
        <f aca="false">I724</f>
        <v>0</v>
      </c>
      <c r="U724" s="6" t="n">
        <f aca="false">L724</f>
        <v>0</v>
      </c>
      <c r="W724" s="6" t="n">
        <f aca="false">D724</f>
        <v>4.904285714</v>
      </c>
      <c r="X724" s="6" t="n">
        <f aca="false">E724</f>
        <v>1</v>
      </c>
      <c r="Y724" s="6" t="n">
        <f aca="false">F724</f>
        <v>0</v>
      </c>
      <c r="Z724" s="6" t="n">
        <f aca="false">L724</f>
        <v>0</v>
      </c>
      <c r="AA724" s="6" t="n">
        <f aca="false">G724</f>
        <v>0</v>
      </c>
      <c r="AC724" s="6" t="n">
        <f aca="false">D724</f>
        <v>4.904285714</v>
      </c>
      <c r="AD724" s="6" t="n">
        <f aca="false">E724</f>
        <v>1</v>
      </c>
      <c r="AE724" s="6" t="n">
        <f aca="false">G724</f>
        <v>0</v>
      </c>
      <c r="AF724" s="6" t="n">
        <f aca="false">H724</f>
        <v>0</v>
      </c>
      <c r="AG724" s="6" t="n">
        <f aca="false">I724</f>
        <v>0</v>
      </c>
      <c r="AH724" s="6" t="n">
        <f aca="false">L724</f>
        <v>0</v>
      </c>
    </row>
    <row r="725" customFormat="false" ht="15" hidden="false" customHeight="false" outlineLevel="0" collapsed="false">
      <c r="A725" s="0" t="str">
        <f aca="false">'Raw Data'!C725</f>
        <v>San Ramon</v>
      </c>
      <c r="B725" s="5" t="n">
        <f aca="false">'Raw Data'!A725</f>
        <v>40358</v>
      </c>
      <c r="C725" s="6" t="n">
        <f aca="false">'Raw Data'!D725</f>
        <v>294.93384633609</v>
      </c>
      <c r="D725" s="6" t="n">
        <f aca="false">'Raw Data'!E725</f>
        <v>4.623333333</v>
      </c>
      <c r="E725" s="6" t="n">
        <f aca="false">'Raw Data'!F725</f>
        <v>1</v>
      </c>
      <c r="F725" s="6" t="n">
        <f aca="false">'Raw Data'!G725</f>
        <v>0</v>
      </c>
      <c r="G725" s="6" t="n">
        <f aca="false">'Raw Data'!H725</f>
        <v>0</v>
      </c>
      <c r="H725" s="6" t="n">
        <f aca="false">'Raw Data'!I725</f>
        <v>0</v>
      </c>
      <c r="I725" s="6" t="n">
        <f aca="false">'Raw Data'!J725</f>
        <v>0</v>
      </c>
      <c r="J725" s="6" t="n">
        <f aca="false">'Raw Data'!K725</f>
        <v>2</v>
      </c>
      <c r="K725" s="6" t="n">
        <f aca="false">'Raw Data'!L725</f>
        <v>4</v>
      </c>
      <c r="L725" s="6" t="n">
        <f aca="false">F725*E725</f>
        <v>0</v>
      </c>
      <c r="N725" s="0" t="n">
        <v>1</v>
      </c>
      <c r="O725" s="6" t="n">
        <f aca="false">D725</f>
        <v>4.623333333</v>
      </c>
      <c r="P725" s="6" t="n">
        <f aca="false">E725</f>
        <v>1</v>
      </c>
      <c r="Q725" s="6" t="n">
        <f aca="false">F725</f>
        <v>0</v>
      </c>
      <c r="R725" s="6" t="n">
        <f aca="false">G725</f>
        <v>0</v>
      </c>
      <c r="S725" s="6" t="n">
        <f aca="false">H725</f>
        <v>0</v>
      </c>
      <c r="T725" s="6" t="n">
        <f aca="false">I725</f>
        <v>0</v>
      </c>
      <c r="U725" s="6" t="n">
        <f aca="false">L725</f>
        <v>0</v>
      </c>
      <c r="W725" s="6" t="n">
        <f aca="false">D725</f>
        <v>4.623333333</v>
      </c>
      <c r="X725" s="6" t="n">
        <f aca="false">E725</f>
        <v>1</v>
      </c>
      <c r="Y725" s="6" t="n">
        <f aca="false">F725</f>
        <v>0</v>
      </c>
      <c r="Z725" s="6" t="n">
        <f aca="false">L725</f>
        <v>0</v>
      </c>
      <c r="AA725" s="6" t="n">
        <f aca="false">G725</f>
        <v>0</v>
      </c>
      <c r="AC725" s="6" t="n">
        <f aca="false">D725</f>
        <v>4.623333333</v>
      </c>
      <c r="AD725" s="6" t="n">
        <f aca="false">E725</f>
        <v>1</v>
      </c>
      <c r="AE725" s="6" t="n">
        <f aca="false">G725</f>
        <v>0</v>
      </c>
      <c r="AF725" s="6" t="n">
        <f aca="false">H725</f>
        <v>0</v>
      </c>
      <c r="AG725" s="6" t="n">
        <f aca="false">I725</f>
        <v>0</v>
      </c>
      <c r="AH725" s="6" t="n">
        <f aca="false">L725</f>
        <v>0</v>
      </c>
    </row>
    <row r="726" customFormat="false" ht="15" hidden="false" customHeight="false" outlineLevel="0" collapsed="false">
      <c r="A726" s="0" t="str">
        <f aca="false">'Raw Data'!C726</f>
        <v>San Ramon</v>
      </c>
      <c r="B726" s="5" t="n">
        <f aca="false">'Raw Data'!A726</f>
        <v>40365</v>
      </c>
      <c r="C726" s="6" t="n">
        <f aca="false">'Raw Data'!D726</f>
        <v>191.137251590627</v>
      </c>
      <c r="D726" s="6" t="n">
        <f aca="false">'Raw Data'!E726</f>
        <v>4.47</v>
      </c>
      <c r="E726" s="6" t="n">
        <f aca="false">'Raw Data'!F726</f>
        <v>1</v>
      </c>
      <c r="F726" s="6" t="n">
        <f aca="false">'Raw Data'!G726</f>
        <v>0</v>
      </c>
      <c r="G726" s="6" t="n">
        <f aca="false">'Raw Data'!H726</f>
        <v>0</v>
      </c>
      <c r="H726" s="6" t="n">
        <f aca="false">'Raw Data'!I726</f>
        <v>0</v>
      </c>
      <c r="I726" s="6" t="n">
        <f aca="false">'Raw Data'!J726</f>
        <v>0</v>
      </c>
      <c r="J726" s="6" t="n">
        <f aca="false">'Raw Data'!K726</f>
        <v>2</v>
      </c>
      <c r="K726" s="6" t="n">
        <f aca="false">'Raw Data'!L726</f>
        <v>4</v>
      </c>
      <c r="L726" s="6" t="n">
        <f aca="false">F726*E726</f>
        <v>0</v>
      </c>
      <c r="N726" s="0" t="n">
        <v>1</v>
      </c>
      <c r="O726" s="6" t="n">
        <f aca="false">D726</f>
        <v>4.47</v>
      </c>
      <c r="P726" s="6" t="n">
        <f aca="false">E726</f>
        <v>1</v>
      </c>
      <c r="Q726" s="6" t="n">
        <f aca="false">F726</f>
        <v>0</v>
      </c>
      <c r="R726" s="6" t="n">
        <f aca="false">G726</f>
        <v>0</v>
      </c>
      <c r="S726" s="6" t="n">
        <f aca="false">H726</f>
        <v>0</v>
      </c>
      <c r="T726" s="6" t="n">
        <f aca="false">I726</f>
        <v>0</v>
      </c>
      <c r="U726" s="6" t="n">
        <f aca="false">L726</f>
        <v>0</v>
      </c>
      <c r="W726" s="6" t="n">
        <f aca="false">D726</f>
        <v>4.47</v>
      </c>
      <c r="X726" s="6" t="n">
        <f aca="false">E726</f>
        <v>1</v>
      </c>
      <c r="Y726" s="6" t="n">
        <f aca="false">F726</f>
        <v>0</v>
      </c>
      <c r="Z726" s="6" t="n">
        <f aca="false">L726</f>
        <v>0</v>
      </c>
      <c r="AA726" s="6" t="n">
        <f aca="false">G726</f>
        <v>0</v>
      </c>
      <c r="AC726" s="6" t="n">
        <f aca="false">D726</f>
        <v>4.47</v>
      </c>
      <c r="AD726" s="6" t="n">
        <f aca="false">E726</f>
        <v>1</v>
      </c>
      <c r="AE726" s="6" t="n">
        <f aca="false">G726</f>
        <v>0</v>
      </c>
      <c r="AF726" s="6" t="n">
        <f aca="false">H726</f>
        <v>0</v>
      </c>
      <c r="AG726" s="6" t="n">
        <f aca="false">I726</f>
        <v>0</v>
      </c>
      <c r="AH726" s="6" t="n">
        <f aca="false">L726</f>
        <v>0</v>
      </c>
    </row>
    <row r="727" customFormat="false" ht="15" hidden="false" customHeight="false" outlineLevel="0" collapsed="false">
      <c r="A727" s="0" t="str">
        <f aca="false">'Raw Data'!C727</f>
        <v>San Ramon</v>
      </c>
      <c r="B727" s="5" t="n">
        <f aca="false">'Raw Data'!A727</f>
        <v>40372</v>
      </c>
      <c r="C727" s="6" t="n">
        <f aca="false">'Raw Data'!D727</f>
        <v>199.482094098591</v>
      </c>
      <c r="D727" s="6" t="n">
        <f aca="false">'Raw Data'!E727</f>
        <v>4.426363636</v>
      </c>
      <c r="E727" s="6" t="n">
        <f aca="false">'Raw Data'!F727</f>
        <v>1</v>
      </c>
      <c r="F727" s="6" t="n">
        <f aca="false">'Raw Data'!G727</f>
        <v>0</v>
      </c>
      <c r="G727" s="6" t="n">
        <f aca="false">'Raw Data'!H727</f>
        <v>0</v>
      </c>
      <c r="H727" s="6" t="n">
        <f aca="false">'Raw Data'!I727</f>
        <v>0</v>
      </c>
      <c r="I727" s="6" t="n">
        <f aca="false">'Raw Data'!J727</f>
        <v>0</v>
      </c>
      <c r="J727" s="6" t="n">
        <f aca="false">'Raw Data'!K727</f>
        <v>2</v>
      </c>
      <c r="K727" s="6" t="n">
        <f aca="false">'Raw Data'!L727</f>
        <v>4</v>
      </c>
      <c r="L727" s="6" t="n">
        <f aca="false">F727*E727</f>
        <v>0</v>
      </c>
      <c r="N727" s="0" t="n">
        <v>1</v>
      </c>
      <c r="O727" s="6" t="n">
        <f aca="false">D727</f>
        <v>4.426363636</v>
      </c>
      <c r="P727" s="6" t="n">
        <f aca="false">E727</f>
        <v>1</v>
      </c>
      <c r="Q727" s="6" t="n">
        <f aca="false">F727</f>
        <v>0</v>
      </c>
      <c r="R727" s="6" t="n">
        <f aca="false">G727</f>
        <v>0</v>
      </c>
      <c r="S727" s="6" t="n">
        <f aca="false">H727</f>
        <v>0</v>
      </c>
      <c r="T727" s="6" t="n">
        <f aca="false">I727</f>
        <v>0</v>
      </c>
      <c r="U727" s="6" t="n">
        <f aca="false">L727</f>
        <v>0</v>
      </c>
      <c r="W727" s="6" t="n">
        <f aca="false">D727</f>
        <v>4.426363636</v>
      </c>
      <c r="X727" s="6" t="n">
        <f aca="false">E727</f>
        <v>1</v>
      </c>
      <c r="Y727" s="6" t="n">
        <f aca="false">F727</f>
        <v>0</v>
      </c>
      <c r="Z727" s="6" t="n">
        <f aca="false">L727</f>
        <v>0</v>
      </c>
      <c r="AA727" s="6" t="n">
        <f aca="false">G727</f>
        <v>0</v>
      </c>
      <c r="AC727" s="6" t="n">
        <f aca="false">D727</f>
        <v>4.426363636</v>
      </c>
      <c r="AD727" s="6" t="n">
        <f aca="false">E727</f>
        <v>1</v>
      </c>
      <c r="AE727" s="6" t="n">
        <f aca="false">G727</f>
        <v>0</v>
      </c>
      <c r="AF727" s="6" t="n">
        <f aca="false">H727</f>
        <v>0</v>
      </c>
      <c r="AG727" s="6" t="n">
        <f aca="false">I727</f>
        <v>0</v>
      </c>
      <c r="AH727" s="6" t="n">
        <f aca="false">L727</f>
        <v>0</v>
      </c>
    </row>
    <row r="728" customFormat="false" ht="15" hidden="false" customHeight="false" outlineLevel="0" collapsed="false">
      <c r="A728" s="0" t="str">
        <f aca="false">'Raw Data'!C728</f>
        <v>Santa Cruz</v>
      </c>
      <c r="B728" s="5" t="n">
        <f aca="false">'Raw Data'!A728</f>
        <v>40302</v>
      </c>
      <c r="C728" s="6" t="n">
        <f aca="false">'Raw Data'!D728</f>
        <v>367.882551114591</v>
      </c>
      <c r="D728" s="6" t="n">
        <f aca="false">'Raw Data'!E728</f>
        <v>4.362727273</v>
      </c>
      <c r="E728" s="6" t="n">
        <f aca="false">'Raw Data'!F728</f>
        <v>1</v>
      </c>
      <c r="F728" s="6" t="n">
        <f aca="false">'Raw Data'!G728</f>
        <v>0</v>
      </c>
      <c r="G728" s="6" t="n">
        <f aca="false">'Raw Data'!H728</f>
        <v>0</v>
      </c>
      <c r="H728" s="6" t="n">
        <f aca="false">'Raw Data'!I728</f>
        <v>0</v>
      </c>
      <c r="I728" s="6" t="n">
        <f aca="false">'Raw Data'!J728</f>
        <v>1</v>
      </c>
      <c r="J728" s="6" t="n">
        <f aca="false">'Raw Data'!K728</f>
        <v>3</v>
      </c>
      <c r="K728" s="6" t="n">
        <f aca="false">'Raw Data'!L728</f>
        <v>4</v>
      </c>
      <c r="L728" s="6" t="n">
        <f aca="false">F728*E728</f>
        <v>0</v>
      </c>
      <c r="N728" s="0" t="n">
        <v>1</v>
      </c>
      <c r="O728" s="6" t="n">
        <f aca="false">D728</f>
        <v>4.362727273</v>
      </c>
      <c r="P728" s="6" t="n">
        <f aca="false">E728</f>
        <v>1</v>
      </c>
      <c r="Q728" s="6" t="n">
        <f aca="false">F728</f>
        <v>0</v>
      </c>
      <c r="R728" s="6" t="n">
        <f aca="false">G728</f>
        <v>0</v>
      </c>
      <c r="S728" s="6" t="n">
        <f aca="false">H728</f>
        <v>0</v>
      </c>
      <c r="T728" s="6" t="n">
        <f aca="false">I728</f>
        <v>1</v>
      </c>
      <c r="U728" s="6" t="n">
        <f aca="false">L728</f>
        <v>0</v>
      </c>
      <c r="W728" s="6" t="n">
        <f aca="false">D728</f>
        <v>4.362727273</v>
      </c>
      <c r="X728" s="6" t="n">
        <f aca="false">E728</f>
        <v>1</v>
      </c>
      <c r="Y728" s="6" t="n">
        <f aca="false">F728</f>
        <v>0</v>
      </c>
      <c r="Z728" s="6" t="n">
        <f aca="false">L728</f>
        <v>0</v>
      </c>
      <c r="AA728" s="6" t="n">
        <f aca="false">G728</f>
        <v>0</v>
      </c>
      <c r="AC728" s="6" t="n">
        <f aca="false">D728</f>
        <v>4.362727273</v>
      </c>
      <c r="AD728" s="6" t="n">
        <f aca="false">E728</f>
        <v>1</v>
      </c>
      <c r="AE728" s="6" t="n">
        <f aca="false">G728</f>
        <v>0</v>
      </c>
      <c r="AF728" s="6" t="n">
        <f aca="false">H728</f>
        <v>0</v>
      </c>
      <c r="AG728" s="6" t="n">
        <f aca="false">I728</f>
        <v>1</v>
      </c>
      <c r="AH728" s="6" t="n">
        <f aca="false">L728</f>
        <v>0</v>
      </c>
    </row>
    <row r="729" customFormat="false" ht="15" hidden="false" customHeight="false" outlineLevel="0" collapsed="false">
      <c r="A729" s="0" t="str">
        <f aca="false">'Raw Data'!C729</f>
        <v>Santa Cruz</v>
      </c>
      <c r="B729" s="5" t="n">
        <f aca="false">'Raw Data'!A729</f>
        <v>40309</v>
      </c>
      <c r="C729" s="6" t="n">
        <f aca="false">'Raw Data'!D729</f>
        <v>341.209245544916</v>
      </c>
      <c r="D729" s="6" t="n">
        <f aca="false">'Raw Data'!E729</f>
        <v>4.47</v>
      </c>
      <c r="E729" s="6" t="n">
        <f aca="false">'Raw Data'!F729</f>
        <v>1</v>
      </c>
      <c r="F729" s="6" t="n">
        <f aca="false">'Raw Data'!G729</f>
        <v>0</v>
      </c>
      <c r="G729" s="6" t="n">
        <f aca="false">'Raw Data'!H729</f>
        <v>0</v>
      </c>
      <c r="H729" s="6" t="n">
        <f aca="false">'Raw Data'!I729</f>
        <v>0</v>
      </c>
      <c r="I729" s="6" t="n">
        <f aca="false">'Raw Data'!J729</f>
        <v>1</v>
      </c>
      <c r="J729" s="6" t="n">
        <f aca="false">'Raw Data'!K729</f>
        <v>3</v>
      </c>
      <c r="K729" s="6" t="n">
        <f aca="false">'Raw Data'!L729</f>
        <v>4</v>
      </c>
      <c r="L729" s="6" t="n">
        <f aca="false">F729*E729</f>
        <v>0</v>
      </c>
      <c r="N729" s="0" t="n">
        <v>1</v>
      </c>
      <c r="O729" s="6" t="n">
        <f aca="false">D729</f>
        <v>4.47</v>
      </c>
      <c r="P729" s="6" t="n">
        <f aca="false">E729</f>
        <v>1</v>
      </c>
      <c r="Q729" s="6" t="n">
        <f aca="false">F729</f>
        <v>0</v>
      </c>
      <c r="R729" s="6" t="n">
        <f aca="false">G729</f>
        <v>0</v>
      </c>
      <c r="S729" s="6" t="n">
        <f aca="false">H729</f>
        <v>0</v>
      </c>
      <c r="T729" s="6" t="n">
        <f aca="false">I729</f>
        <v>1</v>
      </c>
      <c r="U729" s="6" t="n">
        <f aca="false">L729</f>
        <v>0</v>
      </c>
      <c r="W729" s="6" t="n">
        <f aca="false">D729</f>
        <v>4.47</v>
      </c>
      <c r="X729" s="6" t="n">
        <f aca="false">E729</f>
        <v>1</v>
      </c>
      <c r="Y729" s="6" t="n">
        <f aca="false">F729</f>
        <v>0</v>
      </c>
      <c r="Z729" s="6" t="n">
        <f aca="false">L729</f>
        <v>0</v>
      </c>
      <c r="AA729" s="6" t="n">
        <f aca="false">G729</f>
        <v>0</v>
      </c>
      <c r="AC729" s="6" t="n">
        <f aca="false">D729</f>
        <v>4.47</v>
      </c>
      <c r="AD729" s="6" t="n">
        <f aca="false">E729</f>
        <v>1</v>
      </c>
      <c r="AE729" s="6" t="n">
        <f aca="false">G729</f>
        <v>0</v>
      </c>
      <c r="AF729" s="6" t="n">
        <f aca="false">H729</f>
        <v>0</v>
      </c>
      <c r="AG729" s="6" t="n">
        <f aca="false">I729</f>
        <v>1</v>
      </c>
      <c r="AH729" s="6" t="n">
        <f aca="false">L729</f>
        <v>0</v>
      </c>
    </row>
    <row r="730" customFormat="false" ht="15" hidden="false" customHeight="false" outlineLevel="0" collapsed="false">
      <c r="A730" s="0" t="str">
        <f aca="false">'Raw Data'!C730</f>
        <v>Santa Cruz</v>
      </c>
      <c r="B730" s="5" t="n">
        <f aca="false">'Raw Data'!A730</f>
        <v>40316</v>
      </c>
      <c r="C730" s="6" t="n">
        <f aca="false">'Raw Data'!D730</f>
        <v>244.492495367469</v>
      </c>
      <c r="D730" s="6" t="n">
        <f aca="false">'Raw Data'!E730</f>
        <v>4.062727273</v>
      </c>
      <c r="E730" s="6" t="n">
        <f aca="false">'Raw Data'!F730</f>
        <v>1</v>
      </c>
      <c r="F730" s="6" t="n">
        <f aca="false">'Raw Data'!G730</f>
        <v>0</v>
      </c>
      <c r="G730" s="6" t="n">
        <f aca="false">'Raw Data'!H730</f>
        <v>0</v>
      </c>
      <c r="H730" s="6" t="n">
        <f aca="false">'Raw Data'!I730</f>
        <v>0</v>
      </c>
      <c r="I730" s="6" t="n">
        <f aca="false">'Raw Data'!J730</f>
        <v>0</v>
      </c>
      <c r="J730" s="6" t="n">
        <f aca="false">'Raw Data'!K730</f>
        <v>3</v>
      </c>
      <c r="K730" s="6" t="n">
        <f aca="false">'Raw Data'!L730</f>
        <v>4</v>
      </c>
      <c r="L730" s="6" t="n">
        <f aca="false">F730*E730</f>
        <v>0</v>
      </c>
      <c r="N730" s="0" t="n">
        <v>1</v>
      </c>
      <c r="O730" s="6" t="n">
        <f aca="false">D730</f>
        <v>4.062727273</v>
      </c>
      <c r="P730" s="6" t="n">
        <f aca="false">E730</f>
        <v>1</v>
      </c>
      <c r="Q730" s="6" t="n">
        <f aca="false">F730</f>
        <v>0</v>
      </c>
      <c r="R730" s="6" t="n">
        <f aca="false">G730</f>
        <v>0</v>
      </c>
      <c r="S730" s="6" t="n">
        <f aca="false">H730</f>
        <v>0</v>
      </c>
      <c r="T730" s="6" t="n">
        <f aca="false">I730</f>
        <v>0</v>
      </c>
      <c r="U730" s="6" t="n">
        <f aca="false">L730</f>
        <v>0</v>
      </c>
      <c r="W730" s="6" t="n">
        <f aca="false">D730</f>
        <v>4.062727273</v>
      </c>
      <c r="X730" s="6" t="n">
        <f aca="false">E730</f>
        <v>1</v>
      </c>
      <c r="Y730" s="6" t="n">
        <f aca="false">F730</f>
        <v>0</v>
      </c>
      <c r="Z730" s="6" t="n">
        <f aca="false">L730</f>
        <v>0</v>
      </c>
      <c r="AA730" s="6" t="n">
        <f aca="false">G730</f>
        <v>0</v>
      </c>
      <c r="AC730" s="6" t="n">
        <f aca="false">D730</f>
        <v>4.062727273</v>
      </c>
      <c r="AD730" s="6" t="n">
        <f aca="false">E730</f>
        <v>1</v>
      </c>
      <c r="AE730" s="6" t="n">
        <f aca="false">G730</f>
        <v>0</v>
      </c>
      <c r="AF730" s="6" t="n">
        <f aca="false">H730</f>
        <v>0</v>
      </c>
      <c r="AG730" s="6" t="n">
        <f aca="false">I730</f>
        <v>0</v>
      </c>
      <c r="AH730" s="6" t="n">
        <f aca="false">L730</f>
        <v>0</v>
      </c>
    </row>
    <row r="731" customFormat="false" ht="15" hidden="false" customHeight="false" outlineLevel="0" collapsed="false">
      <c r="A731" s="0" t="str">
        <f aca="false">'Raw Data'!C731</f>
        <v>Santa Cruz</v>
      </c>
      <c r="B731" s="5" t="n">
        <f aca="false">'Raw Data'!A731</f>
        <v>40323</v>
      </c>
      <c r="C731" s="6" t="n">
        <f aca="false">'Raw Data'!D731</f>
        <v>216.822372308463</v>
      </c>
      <c r="D731" s="6" t="n">
        <f aca="false">'Raw Data'!E731</f>
        <v>4.062727273</v>
      </c>
      <c r="E731" s="6" t="n">
        <f aca="false">'Raw Data'!F731</f>
        <v>1</v>
      </c>
      <c r="F731" s="6" t="n">
        <f aca="false">'Raw Data'!G731</f>
        <v>0</v>
      </c>
      <c r="G731" s="6" t="n">
        <f aca="false">'Raw Data'!H731</f>
        <v>0</v>
      </c>
      <c r="H731" s="6" t="n">
        <f aca="false">'Raw Data'!I731</f>
        <v>0</v>
      </c>
      <c r="I731" s="6" t="n">
        <f aca="false">'Raw Data'!J731</f>
        <v>0</v>
      </c>
      <c r="J731" s="6" t="n">
        <f aca="false">'Raw Data'!K731</f>
        <v>3</v>
      </c>
      <c r="K731" s="6" t="n">
        <f aca="false">'Raw Data'!L731</f>
        <v>4</v>
      </c>
      <c r="L731" s="6" t="n">
        <f aca="false">F731*E731</f>
        <v>0</v>
      </c>
      <c r="N731" s="0" t="n">
        <v>1</v>
      </c>
      <c r="O731" s="6" t="n">
        <f aca="false">D731</f>
        <v>4.062727273</v>
      </c>
      <c r="P731" s="6" t="n">
        <f aca="false">E731</f>
        <v>1</v>
      </c>
      <c r="Q731" s="6" t="n">
        <f aca="false">F731</f>
        <v>0</v>
      </c>
      <c r="R731" s="6" t="n">
        <f aca="false">G731</f>
        <v>0</v>
      </c>
      <c r="S731" s="6" t="n">
        <f aca="false">H731</f>
        <v>0</v>
      </c>
      <c r="T731" s="6" t="n">
        <f aca="false">I731</f>
        <v>0</v>
      </c>
      <c r="U731" s="6" t="n">
        <f aca="false">L731</f>
        <v>0</v>
      </c>
      <c r="W731" s="6" t="n">
        <f aca="false">D731</f>
        <v>4.062727273</v>
      </c>
      <c r="X731" s="6" t="n">
        <f aca="false">E731</f>
        <v>1</v>
      </c>
      <c r="Y731" s="6" t="n">
        <f aca="false">F731</f>
        <v>0</v>
      </c>
      <c r="Z731" s="6" t="n">
        <f aca="false">L731</f>
        <v>0</v>
      </c>
      <c r="AA731" s="6" t="n">
        <f aca="false">G731</f>
        <v>0</v>
      </c>
      <c r="AC731" s="6" t="n">
        <f aca="false">D731</f>
        <v>4.062727273</v>
      </c>
      <c r="AD731" s="6" t="n">
        <f aca="false">E731</f>
        <v>1</v>
      </c>
      <c r="AE731" s="6" t="n">
        <f aca="false">G731</f>
        <v>0</v>
      </c>
      <c r="AF731" s="6" t="n">
        <f aca="false">H731</f>
        <v>0</v>
      </c>
      <c r="AG731" s="6" t="n">
        <f aca="false">I731</f>
        <v>0</v>
      </c>
      <c r="AH731" s="6" t="n">
        <f aca="false">L731</f>
        <v>0</v>
      </c>
    </row>
    <row r="732" customFormat="false" ht="15" hidden="false" customHeight="false" outlineLevel="0" collapsed="false">
      <c r="A732" s="0" t="str">
        <f aca="false">'Raw Data'!C732</f>
        <v>Santa Cruz</v>
      </c>
      <c r="B732" s="5" t="n">
        <f aca="false">'Raw Data'!A732</f>
        <v>40330</v>
      </c>
      <c r="C732" s="6" t="n">
        <f aca="false">'Raw Data'!D732</f>
        <v>213.287156209106</v>
      </c>
      <c r="D732" s="6" t="n">
        <f aca="false">'Raw Data'!E732</f>
        <v>4.062727273</v>
      </c>
      <c r="E732" s="6" t="n">
        <f aca="false">'Raw Data'!F732</f>
        <v>1</v>
      </c>
      <c r="F732" s="6" t="n">
        <f aca="false">'Raw Data'!G732</f>
        <v>0</v>
      </c>
      <c r="G732" s="6" t="n">
        <f aca="false">'Raw Data'!H732</f>
        <v>0</v>
      </c>
      <c r="H732" s="6" t="n">
        <f aca="false">'Raw Data'!I732</f>
        <v>0</v>
      </c>
      <c r="I732" s="6" t="n">
        <f aca="false">'Raw Data'!J732</f>
        <v>0</v>
      </c>
      <c r="J732" s="6" t="n">
        <f aca="false">'Raw Data'!K732</f>
        <v>3</v>
      </c>
      <c r="K732" s="6" t="n">
        <f aca="false">'Raw Data'!L732</f>
        <v>4</v>
      </c>
      <c r="L732" s="6" t="n">
        <f aca="false">F732*E732</f>
        <v>0</v>
      </c>
      <c r="N732" s="0" t="n">
        <v>1</v>
      </c>
      <c r="O732" s="6" t="n">
        <f aca="false">D732</f>
        <v>4.062727273</v>
      </c>
      <c r="P732" s="6" t="n">
        <f aca="false">E732</f>
        <v>1</v>
      </c>
      <c r="Q732" s="6" t="n">
        <f aca="false">F732</f>
        <v>0</v>
      </c>
      <c r="R732" s="6" t="n">
        <f aca="false">G732</f>
        <v>0</v>
      </c>
      <c r="S732" s="6" t="n">
        <f aca="false">H732</f>
        <v>0</v>
      </c>
      <c r="T732" s="6" t="n">
        <f aca="false">I732</f>
        <v>0</v>
      </c>
      <c r="U732" s="6" t="n">
        <f aca="false">L732</f>
        <v>0</v>
      </c>
      <c r="W732" s="6" t="n">
        <f aca="false">D732</f>
        <v>4.062727273</v>
      </c>
      <c r="X732" s="6" t="n">
        <f aca="false">E732</f>
        <v>1</v>
      </c>
      <c r="Y732" s="6" t="n">
        <f aca="false">F732</f>
        <v>0</v>
      </c>
      <c r="Z732" s="6" t="n">
        <f aca="false">L732</f>
        <v>0</v>
      </c>
      <c r="AA732" s="6" t="n">
        <f aca="false">G732</f>
        <v>0</v>
      </c>
      <c r="AC732" s="6" t="n">
        <f aca="false">D732</f>
        <v>4.062727273</v>
      </c>
      <c r="AD732" s="6" t="n">
        <f aca="false">E732</f>
        <v>1</v>
      </c>
      <c r="AE732" s="6" t="n">
        <f aca="false">G732</f>
        <v>0</v>
      </c>
      <c r="AF732" s="6" t="n">
        <f aca="false">H732</f>
        <v>0</v>
      </c>
      <c r="AG732" s="6" t="n">
        <f aca="false">I732</f>
        <v>0</v>
      </c>
      <c r="AH732" s="6" t="n">
        <f aca="false">L732</f>
        <v>0</v>
      </c>
    </row>
    <row r="733" customFormat="false" ht="15" hidden="false" customHeight="false" outlineLevel="0" collapsed="false">
      <c r="A733" s="0" t="str">
        <f aca="false">'Raw Data'!C733</f>
        <v>Santa Cruz</v>
      </c>
      <c r="B733" s="5" t="n">
        <f aca="false">'Raw Data'!A733</f>
        <v>40337</v>
      </c>
      <c r="C733" s="6" t="n">
        <f aca="false">'Raw Data'!D733</f>
        <v>272.760305545292</v>
      </c>
      <c r="D733" s="6" t="n">
        <f aca="false">'Raw Data'!E733</f>
        <v>4.272</v>
      </c>
      <c r="E733" s="6" t="n">
        <f aca="false">'Raw Data'!F733</f>
        <v>1</v>
      </c>
      <c r="F733" s="6" t="n">
        <f aca="false">'Raw Data'!G733</f>
        <v>0</v>
      </c>
      <c r="G733" s="6" t="n">
        <f aca="false">'Raw Data'!H733</f>
        <v>0</v>
      </c>
      <c r="H733" s="6" t="n">
        <f aca="false">'Raw Data'!I733</f>
        <v>0</v>
      </c>
      <c r="I733" s="6" t="n">
        <f aca="false">'Raw Data'!J733</f>
        <v>0</v>
      </c>
      <c r="J733" s="6" t="n">
        <f aca="false">'Raw Data'!K733</f>
        <v>3</v>
      </c>
      <c r="K733" s="6" t="n">
        <f aca="false">'Raw Data'!L733</f>
        <v>4</v>
      </c>
      <c r="L733" s="6" t="n">
        <f aca="false">F733*E733</f>
        <v>0</v>
      </c>
      <c r="N733" s="0" t="n">
        <v>1</v>
      </c>
      <c r="O733" s="6" t="n">
        <f aca="false">D733</f>
        <v>4.272</v>
      </c>
      <c r="P733" s="6" t="n">
        <f aca="false">E733</f>
        <v>1</v>
      </c>
      <c r="Q733" s="6" t="n">
        <f aca="false">F733</f>
        <v>0</v>
      </c>
      <c r="R733" s="6" t="n">
        <f aca="false">G733</f>
        <v>0</v>
      </c>
      <c r="S733" s="6" t="n">
        <f aca="false">H733</f>
        <v>0</v>
      </c>
      <c r="T733" s="6" t="n">
        <f aca="false">I733</f>
        <v>0</v>
      </c>
      <c r="U733" s="6" t="n">
        <f aca="false">L733</f>
        <v>0</v>
      </c>
      <c r="W733" s="6" t="n">
        <f aca="false">D733</f>
        <v>4.272</v>
      </c>
      <c r="X733" s="6" t="n">
        <f aca="false">E733</f>
        <v>1</v>
      </c>
      <c r="Y733" s="6" t="n">
        <f aca="false">F733</f>
        <v>0</v>
      </c>
      <c r="Z733" s="6" t="n">
        <f aca="false">L733</f>
        <v>0</v>
      </c>
      <c r="AA733" s="6" t="n">
        <f aca="false">G733</f>
        <v>0</v>
      </c>
      <c r="AC733" s="6" t="n">
        <f aca="false">D733</f>
        <v>4.272</v>
      </c>
      <c r="AD733" s="6" t="n">
        <f aca="false">E733</f>
        <v>1</v>
      </c>
      <c r="AE733" s="6" t="n">
        <f aca="false">G733</f>
        <v>0</v>
      </c>
      <c r="AF733" s="6" t="n">
        <f aca="false">H733</f>
        <v>0</v>
      </c>
      <c r="AG733" s="6" t="n">
        <f aca="false">I733</f>
        <v>0</v>
      </c>
      <c r="AH733" s="6" t="n">
        <f aca="false">L733</f>
        <v>0</v>
      </c>
    </row>
    <row r="734" customFormat="false" ht="15" hidden="false" customHeight="false" outlineLevel="0" collapsed="false">
      <c r="A734" s="0" t="str">
        <f aca="false">'Raw Data'!C734</f>
        <v>Santa Cruz</v>
      </c>
      <c r="B734" s="5" t="n">
        <f aca="false">'Raw Data'!A734</f>
        <v>40344</v>
      </c>
      <c r="C734" s="6" t="n">
        <f aca="false">'Raw Data'!D734</f>
        <v>305.208739636935</v>
      </c>
      <c r="D734" s="6" t="n">
        <f aca="false">'Raw Data'!E734</f>
        <v>4.178888889</v>
      </c>
      <c r="E734" s="6" t="n">
        <f aca="false">'Raw Data'!F734</f>
        <v>1</v>
      </c>
      <c r="F734" s="6" t="n">
        <f aca="false">'Raw Data'!G734</f>
        <v>0</v>
      </c>
      <c r="G734" s="6" t="n">
        <f aca="false">'Raw Data'!H734</f>
        <v>0</v>
      </c>
      <c r="H734" s="6" t="n">
        <f aca="false">'Raw Data'!I734</f>
        <v>0</v>
      </c>
      <c r="I734" s="6" t="n">
        <f aca="false">'Raw Data'!J734</f>
        <v>0</v>
      </c>
      <c r="J734" s="6" t="n">
        <f aca="false">'Raw Data'!K734</f>
        <v>3</v>
      </c>
      <c r="K734" s="6" t="n">
        <f aca="false">'Raw Data'!L734</f>
        <v>4</v>
      </c>
      <c r="L734" s="6" t="n">
        <f aca="false">F734*E734</f>
        <v>0</v>
      </c>
      <c r="N734" s="0" t="n">
        <v>1</v>
      </c>
      <c r="O734" s="6" t="n">
        <f aca="false">D734</f>
        <v>4.178888889</v>
      </c>
      <c r="P734" s="6" t="n">
        <f aca="false">E734</f>
        <v>1</v>
      </c>
      <c r="Q734" s="6" t="n">
        <f aca="false">F734</f>
        <v>0</v>
      </c>
      <c r="R734" s="6" t="n">
        <f aca="false">G734</f>
        <v>0</v>
      </c>
      <c r="S734" s="6" t="n">
        <f aca="false">H734</f>
        <v>0</v>
      </c>
      <c r="T734" s="6" t="n">
        <f aca="false">I734</f>
        <v>0</v>
      </c>
      <c r="U734" s="6" t="n">
        <f aca="false">L734</f>
        <v>0</v>
      </c>
      <c r="W734" s="6" t="n">
        <f aca="false">D734</f>
        <v>4.178888889</v>
      </c>
      <c r="X734" s="6" t="n">
        <f aca="false">E734</f>
        <v>1</v>
      </c>
      <c r="Y734" s="6" t="n">
        <f aca="false">F734</f>
        <v>0</v>
      </c>
      <c r="Z734" s="6" t="n">
        <f aca="false">L734</f>
        <v>0</v>
      </c>
      <c r="AA734" s="6" t="n">
        <f aca="false">G734</f>
        <v>0</v>
      </c>
      <c r="AC734" s="6" t="n">
        <f aca="false">D734</f>
        <v>4.178888889</v>
      </c>
      <c r="AD734" s="6" t="n">
        <f aca="false">E734</f>
        <v>1</v>
      </c>
      <c r="AE734" s="6" t="n">
        <f aca="false">G734</f>
        <v>0</v>
      </c>
      <c r="AF734" s="6" t="n">
        <f aca="false">H734</f>
        <v>0</v>
      </c>
      <c r="AG734" s="6" t="n">
        <f aca="false">I734</f>
        <v>0</v>
      </c>
      <c r="AH734" s="6" t="n">
        <f aca="false">L734</f>
        <v>0</v>
      </c>
    </row>
    <row r="735" customFormat="false" ht="15" hidden="false" customHeight="false" outlineLevel="0" collapsed="false">
      <c r="A735" s="0" t="str">
        <f aca="false">'Raw Data'!C735</f>
        <v>Santa Cruz</v>
      </c>
      <c r="B735" s="5" t="n">
        <f aca="false">'Raw Data'!A735</f>
        <v>40351</v>
      </c>
      <c r="C735" s="6" t="n">
        <f aca="false">'Raw Data'!D735</f>
        <v>267.969240735801</v>
      </c>
      <c r="D735" s="6" t="n">
        <f aca="false">'Raw Data'!E735</f>
        <v>3.614444444</v>
      </c>
      <c r="E735" s="6" t="n">
        <f aca="false">'Raw Data'!F735</f>
        <v>1</v>
      </c>
      <c r="F735" s="6" t="n">
        <f aca="false">'Raw Data'!G735</f>
        <v>0</v>
      </c>
      <c r="G735" s="6" t="n">
        <f aca="false">'Raw Data'!H735</f>
        <v>0</v>
      </c>
      <c r="H735" s="6" t="n">
        <f aca="false">'Raw Data'!I735</f>
        <v>0</v>
      </c>
      <c r="I735" s="6" t="n">
        <f aca="false">'Raw Data'!J735</f>
        <v>0</v>
      </c>
      <c r="J735" s="6" t="n">
        <f aca="false">'Raw Data'!K735</f>
        <v>3</v>
      </c>
      <c r="K735" s="6" t="n">
        <f aca="false">'Raw Data'!L735</f>
        <v>4</v>
      </c>
      <c r="L735" s="6" t="n">
        <f aca="false">F735*E735</f>
        <v>0</v>
      </c>
      <c r="N735" s="0" t="n">
        <v>1</v>
      </c>
      <c r="O735" s="6" t="n">
        <f aca="false">D735</f>
        <v>3.614444444</v>
      </c>
      <c r="P735" s="6" t="n">
        <f aca="false">E735</f>
        <v>1</v>
      </c>
      <c r="Q735" s="6" t="n">
        <f aca="false">F735</f>
        <v>0</v>
      </c>
      <c r="R735" s="6" t="n">
        <f aca="false">G735</f>
        <v>0</v>
      </c>
      <c r="S735" s="6" t="n">
        <f aca="false">H735</f>
        <v>0</v>
      </c>
      <c r="T735" s="6" t="n">
        <f aca="false">I735</f>
        <v>0</v>
      </c>
      <c r="U735" s="6" t="n">
        <f aca="false">L735</f>
        <v>0</v>
      </c>
      <c r="W735" s="6" t="n">
        <f aca="false">D735</f>
        <v>3.614444444</v>
      </c>
      <c r="X735" s="6" t="n">
        <f aca="false">E735</f>
        <v>1</v>
      </c>
      <c r="Y735" s="6" t="n">
        <f aca="false">F735</f>
        <v>0</v>
      </c>
      <c r="Z735" s="6" t="n">
        <f aca="false">L735</f>
        <v>0</v>
      </c>
      <c r="AA735" s="6" t="n">
        <f aca="false">G735</f>
        <v>0</v>
      </c>
      <c r="AC735" s="6" t="n">
        <f aca="false">D735</f>
        <v>3.614444444</v>
      </c>
      <c r="AD735" s="6" t="n">
        <f aca="false">E735</f>
        <v>1</v>
      </c>
      <c r="AE735" s="6" t="n">
        <f aca="false">G735</f>
        <v>0</v>
      </c>
      <c r="AF735" s="6" t="n">
        <f aca="false">H735</f>
        <v>0</v>
      </c>
      <c r="AG735" s="6" t="n">
        <f aca="false">I735</f>
        <v>0</v>
      </c>
      <c r="AH735" s="6" t="n">
        <f aca="false">L735</f>
        <v>0</v>
      </c>
    </row>
    <row r="736" customFormat="false" ht="15" hidden="false" customHeight="false" outlineLevel="0" collapsed="false">
      <c r="A736" s="0" t="str">
        <f aca="false">'Raw Data'!C736</f>
        <v>Santa Cruz</v>
      </c>
      <c r="B736" s="5" t="n">
        <f aca="false">'Raw Data'!A736</f>
        <v>40358</v>
      </c>
      <c r="C736" s="6" t="n">
        <f aca="false">'Raw Data'!D736</f>
        <v>262.369060407634</v>
      </c>
      <c r="D736" s="6" t="n">
        <f aca="false">'Raw Data'!E736</f>
        <v>3.671818182</v>
      </c>
      <c r="E736" s="6" t="n">
        <f aca="false">'Raw Data'!F736</f>
        <v>1</v>
      </c>
      <c r="F736" s="6" t="n">
        <f aca="false">'Raw Data'!G736</f>
        <v>0</v>
      </c>
      <c r="G736" s="6" t="n">
        <f aca="false">'Raw Data'!H736</f>
        <v>0</v>
      </c>
      <c r="H736" s="6" t="n">
        <f aca="false">'Raw Data'!I736</f>
        <v>0</v>
      </c>
      <c r="I736" s="6" t="n">
        <f aca="false">'Raw Data'!J736</f>
        <v>0</v>
      </c>
      <c r="J736" s="6" t="n">
        <f aca="false">'Raw Data'!K736</f>
        <v>3</v>
      </c>
      <c r="K736" s="6" t="n">
        <f aca="false">'Raw Data'!L736</f>
        <v>4</v>
      </c>
      <c r="L736" s="6" t="n">
        <f aca="false">F736*E736</f>
        <v>0</v>
      </c>
      <c r="N736" s="0" t="n">
        <v>1</v>
      </c>
      <c r="O736" s="6" t="n">
        <f aca="false">D736</f>
        <v>3.671818182</v>
      </c>
      <c r="P736" s="6" t="n">
        <f aca="false">E736</f>
        <v>1</v>
      </c>
      <c r="Q736" s="6" t="n">
        <f aca="false">F736</f>
        <v>0</v>
      </c>
      <c r="R736" s="6" t="n">
        <f aca="false">G736</f>
        <v>0</v>
      </c>
      <c r="S736" s="6" t="n">
        <f aca="false">H736</f>
        <v>0</v>
      </c>
      <c r="T736" s="6" t="n">
        <f aca="false">I736</f>
        <v>0</v>
      </c>
      <c r="U736" s="6" t="n">
        <f aca="false">L736</f>
        <v>0</v>
      </c>
      <c r="W736" s="6" t="n">
        <f aca="false">D736</f>
        <v>3.671818182</v>
      </c>
      <c r="X736" s="6" t="n">
        <f aca="false">E736</f>
        <v>1</v>
      </c>
      <c r="Y736" s="6" t="n">
        <f aca="false">F736</f>
        <v>0</v>
      </c>
      <c r="Z736" s="6" t="n">
        <f aca="false">L736</f>
        <v>0</v>
      </c>
      <c r="AA736" s="6" t="n">
        <f aca="false">G736</f>
        <v>0</v>
      </c>
      <c r="AC736" s="6" t="n">
        <f aca="false">D736</f>
        <v>3.671818182</v>
      </c>
      <c r="AD736" s="6" t="n">
        <f aca="false">E736</f>
        <v>1</v>
      </c>
      <c r="AE736" s="6" t="n">
        <f aca="false">G736</f>
        <v>0</v>
      </c>
      <c r="AF736" s="6" t="n">
        <f aca="false">H736</f>
        <v>0</v>
      </c>
      <c r="AG736" s="6" t="n">
        <f aca="false">I736</f>
        <v>0</v>
      </c>
      <c r="AH736" s="6" t="n">
        <f aca="false">L736</f>
        <v>0</v>
      </c>
    </row>
    <row r="737" customFormat="false" ht="15" hidden="false" customHeight="false" outlineLevel="0" collapsed="false">
      <c r="A737" s="0" t="str">
        <f aca="false">'Raw Data'!C737</f>
        <v>Santa Cruz</v>
      </c>
      <c r="B737" s="5" t="n">
        <f aca="false">'Raw Data'!A737</f>
        <v>40365</v>
      </c>
      <c r="C737" s="6" t="n">
        <f aca="false">'Raw Data'!D737</f>
        <v>245.129466487478</v>
      </c>
      <c r="D737" s="6" t="n">
        <f aca="false">'Raw Data'!E737</f>
        <v>3.671818182</v>
      </c>
      <c r="E737" s="6" t="n">
        <f aca="false">'Raw Data'!F737</f>
        <v>1</v>
      </c>
      <c r="F737" s="6" t="n">
        <f aca="false">'Raw Data'!G737</f>
        <v>0</v>
      </c>
      <c r="G737" s="6" t="n">
        <f aca="false">'Raw Data'!H737</f>
        <v>0</v>
      </c>
      <c r="H737" s="6" t="n">
        <f aca="false">'Raw Data'!I737</f>
        <v>0</v>
      </c>
      <c r="I737" s="6" t="n">
        <f aca="false">'Raw Data'!J737</f>
        <v>0</v>
      </c>
      <c r="J737" s="6" t="n">
        <f aca="false">'Raw Data'!K737</f>
        <v>3</v>
      </c>
      <c r="K737" s="6" t="n">
        <f aca="false">'Raw Data'!L737</f>
        <v>4</v>
      </c>
      <c r="L737" s="6" t="n">
        <f aca="false">F737*E737</f>
        <v>0</v>
      </c>
      <c r="N737" s="0" t="n">
        <v>1</v>
      </c>
      <c r="O737" s="6" t="n">
        <f aca="false">D737</f>
        <v>3.671818182</v>
      </c>
      <c r="P737" s="6" t="n">
        <f aca="false">E737</f>
        <v>1</v>
      </c>
      <c r="Q737" s="6" t="n">
        <f aca="false">F737</f>
        <v>0</v>
      </c>
      <c r="R737" s="6" t="n">
        <f aca="false">G737</f>
        <v>0</v>
      </c>
      <c r="S737" s="6" t="n">
        <f aca="false">H737</f>
        <v>0</v>
      </c>
      <c r="T737" s="6" t="n">
        <f aca="false">I737</f>
        <v>0</v>
      </c>
      <c r="U737" s="6" t="n">
        <f aca="false">L737</f>
        <v>0</v>
      </c>
      <c r="W737" s="6" t="n">
        <f aca="false">D737</f>
        <v>3.671818182</v>
      </c>
      <c r="X737" s="6" t="n">
        <f aca="false">E737</f>
        <v>1</v>
      </c>
      <c r="Y737" s="6" t="n">
        <f aca="false">F737</f>
        <v>0</v>
      </c>
      <c r="Z737" s="6" t="n">
        <f aca="false">L737</f>
        <v>0</v>
      </c>
      <c r="AA737" s="6" t="n">
        <f aca="false">G737</f>
        <v>0</v>
      </c>
      <c r="AC737" s="6" t="n">
        <f aca="false">D737</f>
        <v>3.671818182</v>
      </c>
      <c r="AD737" s="6" t="n">
        <f aca="false">E737</f>
        <v>1</v>
      </c>
      <c r="AE737" s="6" t="n">
        <f aca="false">G737</f>
        <v>0</v>
      </c>
      <c r="AF737" s="6" t="n">
        <f aca="false">H737</f>
        <v>0</v>
      </c>
      <c r="AG737" s="6" t="n">
        <f aca="false">I737</f>
        <v>0</v>
      </c>
      <c r="AH737" s="6" t="n">
        <f aca="false">L737</f>
        <v>0</v>
      </c>
    </row>
    <row r="738" customFormat="false" ht="15" hidden="false" customHeight="false" outlineLevel="0" collapsed="false">
      <c r="A738" s="0" t="str">
        <f aca="false">'Raw Data'!C738</f>
        <v>Santa Cruz</v>
      </c>
      <c r="B738" s="5" t="n">
        <f aca="false">'Raw Data'!A738</f>
        <v>40372</v>
      </c>
      <c r="C738" s="6" t="n">
        <f aca="false">'Raw Data'!D738</f>
        <v>301.267577898118</v>
      </c>
      <c r="D738" s="6" t="n">
        <f aca="false">'Raw Data'!E738</f>
        <v>3.482857143</v>
      </c>
      <c r="E738" s="6" t="n">
        <f aca="false">'Raw Data'!F738</f>
        <v>1</v>
      </c>
      <c r="F738" s="6" t="n">
        <f aca="false">'Raw Data'!G738</f>
        <v>0</v>
      </c>
      <c r="G738" s="6" t="n">
        <f aca="false">'Raw Data'!H738</f>
        <v>0</v>
      </c>
      <c r="H738" s="6" t="n">
        <f aca="false">'Raw Data'!I738</f>
        <v>0</v>
      </c>
      <c r="I738" s="6" t="n">
        <f aca="false">'Raw Data'!J738</f>
        <v>0</v>
      </c>
      <c r="J738" s="6" t="n">
        <f aca="false">'Raw Data'!K738</f>
        <v>3</v>
      </c>
      <c r="K738" s="6" t="n">
        <f aca="false">'Raw Data'!L738</f>
        <v>4</v>
      </c>
      <c r="L738" s="6" t="n">
        <f aca="false">F738*E738</f>
        <v>0</v>
      </c>
      <c r="N738" s="0" t="n">
        <v>1</v>
      </c>
      <c r="O738" s="6" t="n">
        <f aca="false">D738</f>
        <v>3.482857143</v>
      </c>
      <c r="P738" s="6" t="n">
        <f aca="false">E738</f>
        <v>1</v>
      </c>
      <c r="Q738" s="6" t="n">
        <f aca="false">F738</f>
        <v>0</v>
      </c>
      <c r="R738" s="6" t="n">
        <f aca="false">G738</f>
        <v>0</v>
      </c>
      <c r="S738" s="6" t="n">
        <f aca="false">H738</f>
        <v>0</v>
      </c>
      <c r="T738" s="6" t="n">
        <f aca="false">I738</f>
        <v>0</v>
      </c>
      <c r="U738" s="6" t="n">
        <f aca="false">L738</f>
        <v>0</v>
      </c>
      <c r="W738" s="6" t="n">
        <f aca="false">D738</f>
        <v>3.482857143</v>
      </c>
      <c r="X738" s="6" t="n">
        <f aca="false">E738</f>
        <v>1</v>
      </c>
      <c r="Y738" s="6" t="n">
        <f aca="false">F738</f>
        <v>0</v>
      </c>
      <c r="Z738" s="6" t="n">
        <f aca="false">L738</f>
        <v>0</v>
      </c>
      <c r="AA738" s="6" t="n">
        <f aca="false">G738</f>
        <v>0</v>
      </c>
      <c r="AC738" s="6" t="n">
        <f aca="false">D738</f>
        <v>3.482857143</v>
      </c>
      <c r="AD738" s="6" t="n">
        <f aca="false">E738</f>
        <v>1</v>
      </c>
      <c r="AE738" s="6" t="n">
        <f aca="false">G738</f>
        <v>0</v>
      </c>
      <c r="AF738" s="6" t="n">
        <f aca="false">H738</f>
        <v>0</v>
      </c>
      <c r="AG738" s="6" t="n">
        <f aca="false">I738</f>
        <v>0</v>
      </c>
      <c r="AH738" s="6" t="n">
        <f aca="false">L738</f>
        <v>0</v>
      </c>
    </row>
    <row r="739" customFormat="false" ht="15" hidden="false" customHeight="false" outlineLevel="0" collapsed="false">
      <c r="A739" s="0" t="str">
        <f aca="false">'Raw Data'!C739</f>
        <v>Santa Rosa</v>
      </c>
      <c r="B739" s="5" t="n">
        <f aca="false">'Raw Data'!A739</f>
        <v>40302</v>
      </c>
      <c r="C739" s="6" t="n">
        <f aca="false">'Raw Data'!D739</f>
        <v>213.961757449925</v>
      </c>
      <c r="D739" s="6" t="n">
        <f aca="false">'Raw Data'!E739</f>
        <v>4.656666667</v>
      </c>
      <c r="E739" s="6" t="n">
        <f aca="false">'Raw Data'!F739</f>
        <v>1</v>
      </c>
      <c r="F739" s="6" t="n">
        <f aca="false">'Raw Data'!G739</f>
        <v>0</v>
      </c>
      <c r="G739" s="6" t="n">
        <f aca="false">'Raw Data'!H739</f>
        <v>0</v>
      </c>
      <c r="H739" s="6" t="n">
        <f aca="false">'Raw Data'!I739</f>
        <v>0</v>
      </c>
      <c r="I739" s="6" t="n">
        <f aca="false">'Raw Data'!J739</f>
        <v>0</v>
      </c>
      <c r="J739" s="6" t="n">
        <f aca="false">'Raw Data'!K739</f>
        <v>1</v>
      </c>
      <c r="K739" s="6" t="n">
        <f aca="false">'Raw Data'!L739</f>
        <v>1</v>
      </c>
      <c r="L739" s="6" t="n">
        <f aca="false">F739*E739</f>
        <v>0</v>
      </c>
      <c r="N739" s="0" t="n">
        <v>1</v>
      </c>
      <c r="O739" s="6" t="n">
        <f aca="false">D739</f>
        <v>4.656666667</v>
      </c>
      <c r="P739" s="6" t="n">
        <f aca="false">E739</f>
        <v>1</v>
      </c>
      <c r="Q739" s="6" t="n">
        <f aca="false">F739</f>
        <v>0</v>
      </c>
      <c r="R739" s="6" t="n">
        <f aca="false">G739</f>
        <v>0</v>
      </c>
      <c r="S739" s="6" t="n">
        <f aca="false">H739</f>
        <v>0</v>
      </c>
      <c r="T739" s="6" t="n">
        <f aca="false">I739</f>
        <v>0</v>
      </c>
      <c r="U739" s="6" t="n">
        <f aca="false">L739</f>
        <v>0</v>
      </c>
      <c r="W739" s="6" t="n">
        <f aca="false">D739</f>
        <v>4.656666667</v>
      </c>
      <c r="X739" s="6" t="n">
        <f aca="false">E739</f>
        <v>1</v>
      </c>
      <c r="Y739" s="6" t="n">
        <f aca="false">F739</f>
        <v>0</v>
      </c>
      <c r="Z739" s="6" t="n">
        <f aca="false">L739</f>
        <v>0</v>
      </c>
      <c r="AA739" s="6" t="n">
        <f aca="false">G739</f>
        <v>0</v>
      </c>
      <c r="AC739" s="6" t="n">
        <f aca="false">D739</f>
        <v>4.656666667</v>
      </c>
      <c r="AD739" s="6" t="n">
        <f aca="false">E739</f>
        <v>1</v>
      </c>
      <c r="AE739" s="6" t="n">
        <f aca="false">G739</f>
        <v>0</v>
      </c>
      <c r="AF739" s="6" t="n">
        <f aca="false">H739</f>
        <v>0</v>
      </c>
      <c r="AG739" s="6" t="n">
        <f aca="false">I739</f>
        <v>0</v>
      </c>
      <c r="AH739" s="6" t="n">
        <f aca="false">L739</f>
        <v>0</v>
      </c>
    </row>
    <row r="740" customFormat="false" ht="15" hidden="false" customHeight="false" outlineLevel="0" collapsed="false">
      <c r="A740" s="0" t="str">
        <f aca="false">'Raw Data'!C740</f>
        <v>Santa Rosa</v>
      </c>
      <c r="B740" s="5" t="n">
        <f aca="false">'Raw Data'!A740</f>
        <v>40309</v>
      </c>
      <c r="C740" s="6" t="n">
        <f aca="false">'Raw Data'!D740</f>
        <v>222.401867647872</v>
      </c>
      <c r="D740" s="6" t="n">
        <f aca="false">'Raw Data'!E740</f>
        <v>4.67</v>
      </c>
      <c r="E740" s="6" t="n">
        <f aca="false">'Raw Data'!F740</f>
        <v>1</v>
      </c>
      <c r="F740" s="6" t="n">
        <f aca="false">'Raw Data'!G740</f>
        <v>0</v>
      </c>
      <c r="G740" s="6" t="n">
        <f aca="false">'Raw Data'!H740</f>
        <v>0</v>
      </c>
      <c r="H740" s="6" t="n">
        <f aca="false">'Raw Data'!I740</f>
        <v>0</v>
      </c>
      <c r="I740" s="6" t="n">
        <f aca="false">'Raw Data'!J740</f>
        <v>0</v>
      </c>
      <c r="J740" s="6" t="n">
        <f aca="false">'Raw Data'!K740</f>
        <v>1</v>
      </c>
      <c r="K740" s="6" t="n">
        <f aca="false">'Raw Data'!L740</f>
        <v>1</v>
      </c>
      <c r="L740" s="6" t="n">
        <f aca="false">F740*E740</f>
        <v>0</v>
      </c>
      <c r="N740" s="0" t="n">
        <v>1</v>
      </c>
      <c r="O740" s="6" t="n">
        <f aca="false">D740</f>
        <v>4.67</v>
      </c>
      <c r="P740" s="6" t="n">
        <f aca="false">E740</f>
        <v>1</v>
      </c>
      <c r="Q740" s="6" t="n">
        <f aca="false">F740</f>
        <v>0</v>
      </c>
      <c r="R740" s="6" t="n">
        <f aca="false">G740</f>
        <v>0</v>
      </c>
      <c r="S740" s="6" t="n">
        <f aca="false">H740</f>
        <v>0</v>
      </c>
      <c r="T740" s="6" t="n">
        <f aca="false">I740</f>
        <v>0</v>
      </c>
      <c r="U740" s="6" t="n">
        <f aca="false">L740</f>
        <v>0</v>
      </c>
      <c r="W740" s="6" t="n">
        <f aca="false">D740</f>
        <v>4.67</v>
      </c>
      <c r="X740" s="6" t="n">
        <f aca="false">E740</f>
        <v>1</v>
      </c>
      <c r="Y740" s="6" t="n">
        <f aca="false">F740</f>
        <v>0</v>
      </c>
      <c r="Z740" s="6" t="n">
        <f aca="false">L740</f>
        <v>0</v>
      </c>
      <c r="AA740" s="6" t="n">
        <f aca="false">G740</f>
        <v>0</v>
      </c>
      <c r="AC740" s="6" t="n">
        <f aca="false">D740</f>
        <v>4.67</v>
      </c>
      <c r="AD740" s="6" t="n">
        <f aca="false">E740</f>
        <v>1</v>
      </c>
      <c r="AE740" s="6" t="n">
        <f aca="false">G740</f>
        <v>0</v>
      </c>
      <c r="AF740" s="6" t="n">
        <f aca="false">H740</f>
        <v>0</v>
      </c>
      <c r="AG740" s="6" t="n">
        <f aca="false">I740</f>
        <v>0</v>
      </c>
      <c r="AH740" s="6" t="n">
        <f aca="false">L740</f>
        <v>0</v>
      </c>
    </row>
    <row r="741" customFormat="false" ht="15" hidden="false" customHeight="false" outlineLevel="0" collapsed="false">
      <c r="A741" s="0" t="str">
        <f aca="false">'Raw Data'!C741</f>
        <v>Santa Rosa</v>
      </c>
      <c r="B741" s="5" t="n">
        <f aca="false">'Raw Data'!A741</f>
        <v>40316</v>
      </c>
      <c r="C741" s="6" t="n">
        <f aca="false">'Raw Data'!D741</f>
        <v>347.524024114994</v>
      </c>
      <c r="D741" s="6" t="n">
        <f aca="false">'Raw Data'!E741</f>
        <v>4.244545455</v>
      </c>
      <c r="E741" s="6" t="n">
        <f aca="false">'Raw Data'!F741</f>
        <v>1</v>
      </c>
      <c r="F741" s="6" t="n">
        <f aca="false">'Raw Data'!G741</f>
        <v>0</v>
      </c>
      <c r="G741" s="6" t="n">
        <f aca="false">'Raw Data'!H741</f>
        <v>1</v>
      </c>
      <c r="H741" s="6" t="n">
        <f aca="false">'Raw Data'!I741</f>
        <v>0</v>
      </c>
      <c r="I741" s="6" t="n">
        <f aca="false">'Raw Data'!J741</f>
        <v>0</v>
      </c>
      <c r="J741" s="6" t="n">
        <f aca="false">'Raw Data'!K741</f>
        <v>1</v>
      </c>
      <c r="K741" s="6" t="n">
        <f aca="false">'Raw Data'!L741</f>
        <v>1</v>
      </c>
      <c r="L741" s="6" t="n">
        <f aca="false">F741*E741</f>
        <v>0</v>
      </c>
      <c r="N741" s="0" t="n">
        <v>1</v>
      </c>
      <c r="O741" s="6" t="n">
        <f aca="false">D741</f>
        <v>4.244545455</v>
      </c>
      <c r="P741" s="6" t="n">
        <f aca="false">E741</f>
        <v>1</v>
      </c>
      <c r="Q741" s="6" t="n">
        <f aca="false">F741</f>
        <v>0</v>
      </c>
      <c r="R741" s="6" t="n">
        <f aca="false">G741</f>
        <v>1</v>
      </c>
      <c r="S741" s="6" t="n">
        <f aca="false">H741</f>
        <v>0</v>
      </c>
      <c r="T741" s="6" t="n">
        <f aca="false">I741</f>
        <v>0</v>
      </c>
      <c r="U741" s="6" t="n">
        <f aca="false">L741</f>
        <v>0</v>
      </c>
      <c r="W741" s="6" t="n">
        <f aca="false">D741</f>
        <v>4.244545455</v>
      </c>
      <c r="X741" s="6" t="n">
        <f aca="false">E741</f>
        <v>1</v>
      </c>
      <c r="Y741" s="6" t="n">
        <f aca="false">F741</f>
        <v>0</v>
      </c>
      <c r="Z741" s="6" t="n">
        <f aca="false">L741</f>
        <v>0</v>
      </c>
      <c r="AA741" s="6" t="n">
        <f aca="false">G741</f>
        <v>1</v>
      </c>
      <c r="AC741" s="6" t="n">
        <f aca="false">D741</f>
        <v>4.244545455</v>
      </c>
      <c r="AD741" s="6" t="n">
        <f aca="false">E741</f>
        <v>1</v>
      </c>
      <c r="AE741" s="6" t="n">
        <f aca="false">G741</f>
        <v>1</v>
      </c>
      <c r="AF741" s="6" t="n">
        <f aca="false">H741</f>
        <v>0</v>
      </c>
      <c r="AG741" s="6" t="n">
        <f aca="false">I741</f>
        <v>0</v>
      </c>
      <c r="AH741" s="6" t="n">
        <f aca="false">L741</f>
        <v>0</v>
      </c>
    </row>
    <row r="742" customFormat="false" ht="15" hidden="false" customHeight="false" outlineLevel="0" collapsed="false">
      <c r="A742" s="0" t="str">
        <f aca="false">'Raw Data'!C742</f>
        <v>Santa Rosa</v>
      </c>
      <c r="B742" s="5" t="n">
        <f aca="false">'Raw Data'!A742</f>
        <v>40323</v>
      </c>
      <c r="C742" s="6" t="n">
        <f aca="false">'Raw Data'!D742</f>
        <v>380.599581857327</v>
      </c>
      <c r="D742" s="6" t="n">
        <f aca="false">'Raw Data'!E742</f>
        <v>4.571818182</v>
      </c>
      <c r="E742" s="6" t="n">
        <f aca="false">'Raw Data'!F742</f>
        <v>1</v>
      </c>
      <c r="F742" s="6" t="n">
        <f aca="false">'Raw Data'!G742</f>
        <v>0</v>
      </c>
      <c r="G742" s="6" t="n">
        <f aca="false">'Raw Data'!H742</f>
        <v>0</v>
      </c>
      <c r="H742" s="6" t="n">
        <f aca="false">'Raw Data'!I742</f>
        <v>1</v>
      </c>
      <c r="I742" s="6" t="n">
        <f aca="false">'Raw Data'!J742</f>
        <v>0</v>
      </c>
      <c r="J742" s="6" t="n">
        <f aca="false">'Raw Data'!K742</f>
        <v>1</v>
      </c>
      <c r="K742" s="6" t="n">
        <f aca="false">'Raw Data'!L742</f>
        <v>1</v>
      </c>
      <c r="L742" s="6" t="n">
        <f aca="false">F742*E742</f>
        <v>0</v>
      </c>
      <c r="N742" s="0" t="n">
        <v>1</v>
      </c>
      <c r="O742" s="6" t="n">
        <f aca="false">D742</f>
        <v>4.571818182</v>
      </c>
      <c r="P742" s="6" t="n">
        <f aca="false">E742</f>
        <v>1</v>
      </c>
      <c r="Q742" s="6" t="n">
        <f aca="false">F742</f>
        <v>0</v>
      </c>
      <c r="R742" s="6" t="n">
        <f aca="false">G742</f>
        <v>0</v>
      </c>
      <c r="S742" s="6" t="n">
        <f aca="false">H742</f>
        <v>1</v>
      </c>
      <c r="T742" s="6" t="n">
        <f aca="false">I742</f>
        <v>0</v>
      </c>
      <c r="U742" s="6" t="n">
        <f aca="false">L742</f>
        <v>0</v>
      </c>
      <c r="W742" s="6" t="n">
        <f aca="false">D742</f>
        <v>4.571818182</v>
      </c>
      <c r="X742" s="6" t="n">
        <f aca="false">E742</f>
        <v>1</v>
      </c>
      <c r="Y742" s="6" t="n">
        <f aca="false">F742</f>
        <v>0</v>
      </c>
      <c r="Z742" s="6" t="n">
        <f aca="false">L742</f>
        <v>0</v>
      </c>
      <c r="AA742" s="6" t="n">
        <f aca="false">G742</f>
        <v>0</v>
      </c>
      <c r="AC742" s="6" t="n">
        <f aca="false">D742</f>
        <v>4.571818182</v>
      </c>
      <c r="AD742" s="6" t="n">
        <f aca="false">E742</f>
        <v>1</v>
      </c>
      <c r="AE742" s="6" t="n">
        <f aca="false">G742</f>
        <v>0</v>
      </c>
      <c r="AF742" s="6" t="n">
        <f aca="false">H742</f>
        <v>1</v>
      </c>
      <c r="AG742" s="6" t="n">
        <f aca="false">I742</f>
        <v>0</v>
      </c>
      <c r="AH742" s="6" t="n">
        <f aca="false">L742</f>
        <v>0</v>
      </c>
    </row>
    <row r="743" customFormat="false" ht="15" hidden="false" customHeight="false" outlineLevel="0" collapsed="false">
      <c r="A743" s="0" t="str">
        <f aca="false">'Raw Data'!C743</f>
        <v>Santa Rosa</v>
      </c>
      <c r="B743" s="5" t="n">
        <f aca="false">'Raw Data'!A743</f>
        <v>40330</v>
      </c>
      <c r="C743" s="6" t="n">
        <f aca="false">'Raw Data'!D743</f>
        <v>341.865556094834</v>
      </c>
      <c r="D743" s="6" t="n">
        <f aca="false">'Raw Data'!E743</f>
        <v>4.571818182</v>
      </c>
      <c r="E743" s="6" t="n">
        <f aca="false">'Raw Data'!F743</f>
        <v>1</v>
      </c>
      <c r="F743" s="6" t="n">
        <f aca="false">'Raw Data'!G743</f>
        <v>0</v>
      </c>
      <c r="G743" s="6" t="n">
        <f aca="false">'Raw Data'!H743</f>
        <v>0</v>
      </c>
      <c r="H743" s="6" t="n">
        <f aca="false">'Raw Data'!I743</f>
        <v>1</v>
      </c>
      <c r="I743" s="6" t="n">
        <f aca="false">'Raw Data'!J743</f>
        <v>0</v>
      </c>
      <c r="J743" s="6" t="n">
        <f aca="false">'Raw Data'!K743</f>
        <v>1</v>
      </c>
      <c r="K743" s="6" t="n">
        <f aca="false">'Raw Data'!L743</f>
        <v>1</v>
      </c>
      <c r="L743" s="6" t="n">
        <f aca="false">F743*E743</f>
        <v>0</v>
      </c>
      <c r="N743" s="0" t="n">
        <v>1</v>
      </c>
      <c r="O743" s="6" t="n">
        <f aca="false">D743</f>
        <v>4.571818182</v>
      </c>
      <c r="P743" s="6" t="n">
        <f aca="false">E743</f>
        <v>1</v>
      </c>
      <c r="Q743" s="6" t="n">
        <f aca="false">F743</f>
        <v>0</v>
      </c>
      <c r="R743" s="6" t="n">
        <f aca="false">G743</f>
        <v>0</v>
      </c>
      <c r="S743" s="6" t="n">
        <f aca="false">H743</f>
        <v>1</v>
      </c>
      <c r="T743" s="6" t="n">
        <f aca="false">I743</f>
        <v>0</v>
      </c>
      <c r="U743" s="6" t="n">
        <f aca="false">L743</f>
        <v>0</v>
      </c>
      <c r="W743" s="6" t="n">
        <f aca="false">D743</f>
        <v>4.571818182</v>
      </c>
      <c r="X743" s="6" t="n">
        <f aca="false">E743</f>
        <v>1</v>
      </c>
      <c r="Y743" s="6" t="n">
        <f aca="false">F743</f>
        <v>0</v>
      </c>
      <c r="Z743" s="6" t="n">
        <f aca="false">L743</f>
        <v>0</v>
      </c>
      <c r="AA743" s="6" t="n">
        <f aca="false">G743</f>
        <v>0</v>
      </c>
      <c r="AC743" s="6" t="n">
        <f aca="false">D743</f>
        <v>4.571818182</v>
      </c>
      <c r="AD743" s="6" t="n">
        <f aca="false">E743</f>
        <v>1</v>
      </c>
      <c r="AE743" s="6" t="n">
        <f aca="false">G743</f>
        <v>0</v>
      </c>
      <c r="AF743" s="6" t="n">
        <f aca="false">H743</f>
        <v>1</v>
      </c>
      <c r="AG743" s="6" t="n">
        <f aca="false">I743</f>
        <v>0</v>
      </c>
      <c r="AH743" s="6" t="n">
        <f aca="false">L743</f>
        <v>0</v>
      </c>
    </row>
    <row r="744" customFormat="false" ht="15" hidden="false" customHeight="false" outlineLevel="0" collapsed="false">
      <c r="A744" s="0" t="str">
        <f aca="false">'Raw Data'!C744</f>
        <v>Santa Rosa</v>
      </c>
      <c r="B744" s="5" t="n">
        <f aca="false">'Raw Data'!A744</f>
        <v>40337</v>
      </c>
      <c r="C744" s="6" t="n">
        <f aca="false">'Raw Data'!D744</f>
        <v>357.297762827181</v>
      </c>
      <c r="D744" s="6" t="n">
        <f aca="false">'Raw Data'!E744</f>
        <v>4.616666667</v>
      </c>
      <c r="E744" s="6" t="n">
        <f aca="false">'Raw Data'!F744</f>
        <v>1</v>
      </c>
      <c r="F744" s="6" t="n">
        <f aca="false">'Raw Data'!G744</f>
        <v>0</v>
      </c>
      <c r="G744" s="6" t="n">
        <f aca="false">'Raw Data'!H744</f>
        <v>0</v>
      </c>
      <c r="H744" s="6" t="n">
        <f aca="false">'Raw Data'!I744</f>
        <v>1</v>
      </c>
      <c r="I744" s="6" t="n">
        <f aca="false">'Raw Data'!J744</f>
        <v>0</v>
      </c>
      <c r="J744" s="6" t="n">
        <f aca="false">'Raw Data'!K744</f>
        <v>1</v>
      </c>
      <c r="K744" s="6" t="n">
        <f aca="false">'Raw Data'!L744</f>
        <v>1</v>
      </c>
      <c r="L744" s="6" t="n">
        <f aca="false">F744*E744</f>
        <v>0</v>
      </c>
      <c r="N744" s="0" t="n">
        <v>1</v>
      </c>
      <c r="O744" s="6" t="n">
        <f aca="false">D744</f>
        <v>4.616666667</v>
      </c>
      <c r="P744" s="6" t="n">
        <f aca="false">E744</f>
        <v>1</v>
      </c>
      <c r="Q744" s="6" t="n">
        <f aca="false">F744</f>
        <v>0</v>
      </c>
      <c r="R744" s="6" t="n">
        <f aca="false">G744</f>
        <v>0</v>
      </c>
      <c r="S744" s="6" t="n">
        <f aca="false">H744</f>
        <v>1</v>
      </c>
      <c r="T744" s="6" t="n">
        <f aca="false">I744</f>
        <v>0</v>
      </c>
      <c r="U744" s="6" t="n">
        <f aca="false">L744</f>
        <v>0</v>
      </c>
      <c r="W744" s="6" t="n">
        <f aca="false">D744</f>
        <v>4.616666667</v>
      </c>
      <c r="X744" s="6" t="n">
        <f aca="false">E744</f>
        <v>1</v>
      </c>
      <c r="Y744" s="6" t="n">
        <f aca="false">F744</f>
        <v>0</v>
      </c>
      <c r="Z744" s="6" t="n">
        <f aca="false">L744</f>
        <v>0</v>
      </c>
      <c r="AA744" s="6" t="n">
        <f aca="false">G744</f>
        <v>0</v>
      </c>
      <c r="AC744" s="6" t="n">
        <f aca="false">D744</f>
        <v>4.616666667</v>
      </c>
      <c r="AD744" s="6" t="n">
        <f aca="false">E744</f>
        <v>1</v>
      </c>
      <c r="AE744" s="6" t="n">
        <f aca="false">G744</f>
        <v>0</v>
      </c>
      <c r="AF744" s="6" t="n">
        <f aca="false">H744</f>
        <v>1</v>
      </c>
      <c r="AG744" s="6" t="n">
        <f aca="false">I744</f>
        <v>0</v>
      </c>
      <c r="AH744" s="6" t="n">
        <f aca="false">L744</f>
        <v>0</v>
      </c>
    </row>
    <row r="745" customFormat="false" ht="15" hidden="false" customHeight="false" outlineLevel="0" collapsed="false">
      <c r="A745" s="0" t="str">
        <f aca="false">'Raw Data'!C745</f>
        <v>Santa Rosa</v>
      </c>
      <c r="B745" s="5" t="n">
        <f aca="false">'Raw Data'!A745</f>
        <v>40344</v>
      </c>
      <c r="C745" s="6" t="n">
        <f aca="false">'Raw Data'!D745</f>
        <v>278.123863662605</v>
      </c>
      <c r="D745" s="6" t="n">
        <f aca="false">'Raw Data'!E745</f>
        <v>4.931666667</v>
      </c>
      <c r="E745" s="6" t="n">
        <f aca="false">'Raw Data'!F745</f>
        <v>1</v>
      </c>
      <c r="F745" s="6" t="n">
        <f aca="false">'Raw Data'!G745</f>
        <v>0</v>
      </c>
      <c r="G745" s="6" t="n">
        <f aca="false">'Raw Data'!H745</f>
        <v>0</v>
      </c>
      <c r="H745" s="6" t="n">
        <f aca="false">'Raw Data'!I745</f>
        <v>0</v>
      </c>
      <c r="I745" s="6" t="n">
        <f aca="false">'Raw Data'!J745</f>
        <v>1</v>
      </c>
      <c r="J745" s="6" t="n">
        <f aca="false">'Raw Data'!K745</f>
        <v>1</v>
      </c>
      <c r="K745" s="6" t="n">
        <f aca="false">'Raw Data'!L745</f>
        <v>1</v>
      </c>
      <c r="L745" s="6" t="n">
        <f aca="false">F745*E745</f>
        <v>0</v>
      </c>
      <c r="N745" s="0" t="n">
        <v>1</v>
      </c>
      <c r="O745" s="6" t="n">
        <f aca="false">D745</f>
        <v>4.931666667</v>
      </c>
      <c r="P745" s="6" t="n">
        <f aca="false">E745</f>
        <v>1</v>
      </c>
      <c r="Q745" s="6" t="n">
        <f aca="false">F745</f>
        <v>0</v>
      </c>
      <c r="R745" s="6" t="n">
        <f aca="false">G745</f>
        <v>0</v>
      </c>
      <c r="S745" s="6" t="n">
        <f aca="false">H745</f>
        <v>0</v>
      </c>
      <c r="T745" s="6" t="n">
        <f aca="false">I745</f>
        <v>1</v>
      </c>
      <c r="U745" s="6" t="n">
        <f aca="false">L745</f>
        <v>0</v>
      </c>
      <c r="W745" s="6" t="n">
        <f aca="false">D745</f>
        <v>4.931666667</v>
      </c>
      <c r="X745" s="6" t="n">
        <f aca="false">E745</f>
        <v>1</v>
      </c>
      <c r="Y745" s="6" t="n">
        <f aca="false">F745</f>
        <v>0</v>
      </c>
      <c r="Z745" s="6" t="n">
        <f aca="false">L745</f>
        <v>0</v>
      </c>
      <c r="AA745" s="6" t="n">
        <f aca="false">G745</f>
        <v>0</v>
      </c>
      <c r="AC745" s="6" t="n">
        <f aca="false">D745</f>
        <v>4.931666667</v>
      </c>
      <c r="AD745" s="6" t="n">
        <f aca="false">E745</f>
        <v>1</v>
      </c>
      <c r="AE745" s="6" t="n">
        <f aca="false">G745</f>
        <v>0</v>
      </c>
      <c r="AF745" s="6" t="n">
        <f aca="false">H745</f>
        <v>0</v>
      </c>
      <c r="AG745" s="6" t="n">
        <f aca="false">I745</f>
        <v>1</v>
      </c>
      <c r="AH745" s="6" t="n">
        <f aca="false">L745</f>
        <v>0</v>
      </c>
    </row>
    <row r="746" customFormat="false" ht="15" hidden="false" customHeight="false" outlineLevel="0" collapsed="false">
      <c r="A746" s="0" t="str">
        <f aca="false">'Raw Data'!C746</f>
        <v>Santa Rosa</v>
      </c>
      <c r="B746" s="5" t="n">
        <f aca="false">'Raw Data'!A746</f>
        <v>40351</v>
      </c>
      <c r="C746" s="6" t="n">
        <f aca="false">'Raw Data'!D746</f>
        <v>284.426844134346</v>
      </c>
      <c r="D746" s="6" t="n">
        <f aca="false">'Raw Data'!E746</f>
        <v>4.931666667</v>
      </c>
      <c r="E746" s="6" t="n">
        <f aca="false">'Raw Data'!F746</f>
        <v>1</v>
      </c>
      <c r="F746" s="6" t="n">
        <f aca="false">'Raw Data'!G746</f>
        <v>0</v>
      </c>
      <c r="G746" s="6" t="n">
        <f aca="false">'Raw Data'!H746</f>
        <v>0</v>
      </c>
      <c r="H746" s="6" t="n">
        <f aca="false">'Raw Data'!I746</f>
        <v>0</v>
      </c>
      <c r="I746" s="6" t="n">
        <f aca="false">'Raw Data'!J746</f>
        <v>1</v>
      </c>
      <c r="J746" s="6" t="n">
        <f aca="false">'Raw Data'!K746</f>
        <v>1</v>
      </c>
      <c r="K746" s="6" t="n">
        <f aca="false">'Raw Data'!L746</f>
        <v>1</v>
      </c>
      <c r="L746" s="6" t="n">
        <f aca="false">F746*E746</f>
        <v>0</v>
      </c>
      <c r="N746" s="0" t="n">
        <v>1</v>
      </c>
      <c r="O746" s="6" t="n">
        <f aca="false">D746</f>
        <v>4.931666667</v>
      </c>
      <c r="P746" s="6" t="n">
        <f aca="false">E746</f>
        <v>1</v>
      </c>
      <c r="Q746" s="6" t="n">
        <f aca="false">F746</f>
        <v>0</v>
      </c>
      <c r="R746" s="6" t="n">
        <f aca="false">G746</f>
        <v>0</v>
      </c>
      <c r="S746" s="6" t="n">
        <f aca="false">H746</f>
        <v>0</v>
      </c>
      <c r="T746" s="6" t="n">
        <f aca="false">I746</f>
        <v>1</v>
      </c>
      <c r="U746" s="6" t="n">
        <f aca="false">L746</f>
        <v>0</v>
      </c>
      <c r="W746" s="6" t="n">
        <f aca="false">D746</f>
        <v>4.931666667</v>
      </c>
      <c r="X746" s="6" t="n">
        <f aca="false">E746</f>
        <v>1</v>
      </c>
      <c r="Y746" s="6" t="n">
        <f aca="false">F746</f>
        <v>0</v>
      </c>
      <c r="Z746" s="6" t="n">
        <f aca="false">L746</f>
        <v>0</v>
      </c>
      <c r="AA746" s="6" t="n">
        <f aca="false">G746</f>
        <v>0</v>
      </c>
      <c r="AC746" s="6" t="n">
        <f aca="false">D746</f>
        <v>4.931666667</v>
      </c>
      <c r="AD746" s="6" t="n">
        <f aca="false">E746</f>
        <v>1</v>
      </c>
      <c r="AE746" s="6" t="n">
        <f aca="false">G746</f>
        <v>0</v>
      </c>
      <c r="AF746" s="6" t="n">
        <f aca="false">H746</f>
        <v>0</v>
      </c>
      <c r="AG746" s="6" t="n">
        <f aca="false">I746</f>
        <v>1</v>
      </c>
      <c r="AH746" s="6" t="n">
        <f aca="false">L746</f>
        <v>0</v>
      </c>
    </row>
    <row r="747" customFormat="false" ht="15" hidden="false" customHeight="false" outlineLevel="0" collapsed="false">
      <c r="A747" s="0" t="str">
        <f aca="false">'Raw Data'!C747</f>
        <v>Santa Rosa</v>
      </c>
      <c r="B747" s="5" t="n">
        <f aca="false">'Raw Data'!A747</f>
        <v>40358</v>
      </c>
      <c r="C747" s="6" t="n">
        <f aca="false">'Raw Data'!D747</f>
        <v>260.204105402353</v>
      </c>
      <c r="D747" s="6" t="n">
        <f aca="false">'Raw Data'!E747</f>
        <v>4.944545455</v>
      </c>
      <c r="E747" s="6" t="n">
        <f aca="false">'Raw Data'!F747</f>
        <v>1</v>
      </c>
      <c r="F747" s="6" t="n">
        <f aca="false">'Raw Data'!G747</f>
        <v>0</v>
      </c>
      <c r="G747" s="6" t="n">
        <f aca="false">'Raw Data'!H747</f>
        <v>0</v>
      </c>
      <c r="H747" s="6" t="n">
        <f aca="false">'Raw Data'!I747</f>
        <v>0</v>
      </c>
      <c r="I747" s="6" t="n">
        <f aca="false">'Raw Data'!J747</f>
        <v>0</v>
      </c>
      <c r="J747" s="6" t="n">
        <f aca="false">'Raw Data'!K747</f>
        <v>1</v>
      </c>
      <c r="K747" s="6" t="n">
        <f aca="false">'Raw Data'!L747</f>
        <v>1</v>
      </c>
      <c r="L747" s="6" t="n">
        <f aca="false">F747*E747</f>
        <v>0</v>
      </c>
      <c r="N747" s="0" t="n">
        <v>1</v>
      </c>
      <c r="O747" s="6" t="n">
        <f aca="false">D747</f>
        <v>4.944545455</v>
      </c>
      <c r="P747" s="6" t="n">
        <f aca="false">E747</f>
        <v>1</v>
      </c>
      <c r="Q747" s="6" t="n">
        <f aca="false">F747</f>
        <v>0</v>
      </c>
      <c r="R747" s="6" t="n">
        <f aca="false">G747</f>
        <v>0</v>
      </c>
      <c r="S747" s="6" t="n">
        <f aca="false">H747</f>
        <v>0</v>
      </c>
      <c r="T747" s="6" t="n">
        <f aca="false">I747</f>
        <v>0</v>
      </c>
      <c r="U747" s="6" t="n">
        <f aca="false">L747</f>
        <v>0</v>
      </c>
      <c r="W747" s="6" t="n">
        <f aca="false">D747</f>
        <v>4.944545455</v>
      </c>
      <c r="X747" s="6" t="n">
        <f aca="false">E747</f>
        <v>1</v>
      </c>
      <c r="Y747" s="6" t="n">
        <f aca="false">F747</f>
        <v>0</v>
      </c>
      <c r="Z747" s="6" t="n">
        <f aca="false">L747</f>
        <v>0</v>
      </c>
      <c r="AA747" s="6" t="n">
        <f aca="false">G747</f>
        <v>0</v>
      </c>
      <c r="AC747" s="6" t="n">
        <f aca="false">D747</f>
        <v>4.944545455</v>
      </c>
      <c r="AD747" s="6" t="n">
        <f aca="false">E747</f>
        <v>1</v>
      </c>
      <c r="AE747" s="6" t="n">
        <f aca="false">G747</f>
        <v>0</v>
      </c>
      <c r="AF747" s="6" t="n">
        <f aca="false">H747</f>
        <v>0</v>
      </c>
      <c r="AG747" s="6" t="n">
        <f aca="false">I747</f>
        <v>0</v>
      </c>
      <c r="AH747" s="6" t="n">
        <f aca="false">L747</f>
        <v>0</v>
      </c>
    </row>
    <row r="748" customFormat="false" ht="15" hidden="false" customHeight="false" outlineLevel="0" collapsed="false">
      <c r="A748" s="0" t="str">
        <f aca="false">'Raw Data'!C748</f>
        <v>Santa Rosa</v>
      </c>
      <c r="B748" s="5" t="n">
        <f aca="false">'Raw Data'!A748</f>
        <v>40365</v>
      </c>
      <c r="C748" s="6" t="n">
        <f aca="false">'Raw Data'!D748</f>
        <v>320.309696753089</v>
      </c>
      <c r="D748" s="6" t="n">
        <f aca="false">'Raw Data'!E748</f>
        <v>4.728461538</v>
      </c>
      <c r="E748" s="6" t="n">
        <f aca="false">'Raw Data'!F748</f>
        <v>1</v>
      </c>
      <c r="F748" s="6" t="n">
        <f aca="false">'Raw Data'!G748</f>
        <v>0</v>
      </c>
      <c r="G748" s="6" t="n">
        <f aca="false">'Raw Data'!H748</f>
        <v>0</v>
      </c>
      <c r="H748" s="6" t="n">
        <f aca="false">'Raw Data'!I748</f>
        <v>0</v>
      </c>
      <c r="I748" s="6" t="n">
        <f aca="false">'Raw Data'!J748</f>
        <v>0</v>
      </c>
      <c r="J748" s="6" t="n">
        <f aca="false">'Raw Data'!K748</f>
        <v>1</v>
      </c>
      <c r="K748" s="6" t="n">
        <f aca="false">'Raw Data'!L748</f>
        <v>1</v>
      </c>
      <c r="L748" s="6" t="n">
        <f aca="false">F748*E748</f>
        <v>0</v>
      </c>
      <c r="N748" s="0" t="n">
        <v>1</v>
      </c>
      <c r="O748" s="6" t="n">
        <f aca="false">D748</f>
        <v>4.728461538</v>
      </c>
      <c r="P748" s="6" t="n">
        <f aca="false">E748</f>
        <v>1</v>
      </c>
      <c r="Q748" s="6" t="n">
        <f aca="false">F748</f>
        <v>0</v>
      </c>
      <c r="R748" s="6" t="n">
        <f aca="false">G748</f>
        <v>0</v>
      </c>
      <c r="S748" s="6" t="n">
        <f aca="false">H748</f>
        <v>0</v>
      </c>
      <c r="T748" s="6" t="n">
        <f aca="false">I748</f>
        <v>0</v>
      </c>
      <c r="U748" s="6" t="n">
        <f aca="false">L748</f>
        <v>0</v>
      </c>
      <c r="W748" s="6" t="n">
        <f aca="false">D748</f>
        <v>4.728461538</v>
      </c>
      <c r="X748" s="6" t="n">
        <f aca="false">E748</f>
        <v>1</v>
      </c>
      <c r="Y748" s="6" t="n">
        <f aca="false">F748</f>
        <v>0</v>
      </c>
      <c r="Z748" s="6" t="n">
        <f aca="false">L748</f>
        <v>0</v>
      </c>
      <c r="AA748" s="6" t="n">
        <f aca="false">G748</f>
        <v>0</v>
      </c>
      <c r="AC748" s="6" t="n">
        <f aca="false">D748</f>
        <v>4.728461538</v>
      </c>
      <c r="AD748" s="6" t="n">
        <f aca="false">E748</f>
        <v>1</v>
      </c>
      <c r="AE748" s="6" t="n">
        <f aca="false">G748</f>
        <v>0</v>
      </c>
      <c r="AF748" s="6" t="n">
        <f aca="false">H748</f>
        <v>0</v>
      </c>
      <c r="AG748" s="6" t="n">
        <f aca="false">I748</f>
        <v>0</v>
      </c>
      <c r="AH748" s="6" t="n">
        <f aca="false">L748</f>
        <v>0</v>
      </c>
    </row>
    <row r="749" customFormat="false" ht="15" hidden="false" customHeight="false" outlineLevel="0" collapsed="false">
      <c r="A749" s="0" t="str">
        <f aca="false">'Raw Data'!C749</f>
        <v>Santa Rosa</v>
      </c>
      <c r="B749" s="5" t="n">
        <f aca="false">'Raw Data'!A749</f>
        <v>40372</v>
      </c>
      <c r="C749" s="6" t="n">
        <f aca="false">'Raw Data'!D749</f>
        <v>259.132032509319</v>
      </c>
      <c r="D749" s="6" t="n">
        <f aca="false">'Raw Data'!E749</f>
        <v>4.723333333</v>
      </c>
      <c r="E749" s="6" t="n">
        <f aca="false">'Raw Data'!F749</f>
        <v>1</v>
      </c>
      <c r="F749" s="6" t="n">
        <f aca="false">'Raw Data'!G749</f>
        <v>0</v>
      </c>
      <c r="G749" s="6" t="n">
        <f aca="false">'Raw Data'!H749</f>
        <v>0</v>
      </c>
      <c r="H749" s="6" t="n">
        <f aca="false">'Raw Data'!I749</f>
        <v>0</v>
      </c>
      <c r="I749" s="6" t="n">
        <f aca="false">'Raw Data'!J749</f>
        <v>0</v>
      </c>
      <c r="J749" s="6" t="n">
        <f aca="false">'Raw Data'!K749</f>
        <v>1</v>
      </c>
      <c r="K749" s="6" t="n">
        <f aca="false">'Raw Data'!L749</f>
        <v>1</v>
      </c>
      <c r="L749" s="6" t="n">
        <f aca="false">F749*E749</f>
        <v>0</v>
      </c>
      <c r="N749" s="0" t="n">
        <v>1</v>
      </c>
      <c r="O749" s="6" t="n">
        <f aca="false">D749</f>
        <v>4.723333333</v>
      </c>
      <c r="P749" s="6" t="n">
        <f aca="false">E749</f>
        <v>1</v>
      </c>
      <c r="Q749" s="6" t="n">
        <f aca="false">F749</f>
        <v>0</v>
      </c>
      <c r="R749" s="6" t="n">
        <f aca="false">G749</f>
        <v>0</v>
      </c>
      <c r="S749" s="6" t="n">
        <f aca="false">H749</f>
        <v>0</v>
      </c>
      <c r="T749" s="6" t="n">
        <f aca="false">I749</f>
        <v>0</v>
      </c>
      <c r="U749" s="6" t="n">
        <f aca="false">L749</f>
        <v>0</v>
      </c>
      <c r="W749" s="6" t="n">
        <f aca="false">D749</f>
        <v>4.723333333</v>
      </c>
      <c r="X749" s="6" t="n">
        <f aca="false">E749</f>
        <v>1</v>
      </c>
      <c r="Y749" s="6" t="n">
        <f aca="false">F749</f>
        <v>0</v>
      </c>
      <c r="Z749" s="6" t="n">
        <f aca="false">L749</f>
        <v>0</v>
      </c>
      <c r="AA749" s="6" t="n">
        <f aca="false">G749</f>
        <v>0</v>
      </c>
      <c r="AC749" s="6" t="n">
        <f aca="false">D749</f>
        <v>4.723333333</v>
      </c>
      <c r="AD749" s="6" t="n">
        <f aca="false">E749</f>
        <v>1</v>
      </c>
      <c r="AE749" s="6" t="n">
        <f aca="false">G749</f>
        <v>0</v>
      </c>
      <c r="AF749" s="6" t="n">
        <f aca="false">H749</f>
        <v>0</v>
      </c>
      <c r="AG749" s="6" t="n">
        <f aca="false">I749</f>
        <v>0</v>
      </c>
      <c r="AH749" s="6" t="n">
        <f aca="false">L749</f>
        <v>0</v>
      </c>
    </row>
    <row r="750" customFormat="false" ht="15" hidden="false" customHeight="false" outlineLevel="0" collapsed="false">
      <c r="A750" s="0" t="str">
        <f aca="false">'Raw Data'!C750</f>
        <v>SoMa</v>
      </c>
      <c r="B750" s="5" t="n">
        <f aca="false">'Raw Data'!A750</f>
        <v>40302</v>
      </c>
      <c r="C750" s="6" t="n">
        <f aca="false">'Raw Data'!D750</f>
        <v>355.859007607774</v>
      </c>
      <c r="D750" s="6" t="n">
        <f aca="false">'Raw Data'!E750</f>
        <v>5.09</v>
      </c>
      <c r="E750" s="6" t="n">
        <f aca="false">'Raw Data'!F750</f>
        <v>1</v>
      </c>
      <c r="F750" s="6" t="n">
        <f aca="false">'Raw Data'!G750</f>
        <v>0</v>
      </c>
      <c r="G750" s="6" t="n">
        <f aca="false">'Raw Data'!H750</f>
        <v>0</v>
      </c>
      <c r="H750" s="6" t="n">
        <f aca="false">'Raw Data'!I750</f>
        <v>1</v>
      </c>
      <c r="I750" s="6" t="n">
        <f aca="false">'Raw Data'!J750</f>
        <v>0</v>
      </c>
      <c r="J750" s="6" t="n">
        <f aca="false">'Raw Data'!K750</f>
        <v>0</v>
      </c>
      <c r="K750" s="6" t="n">
        <f aca="false">'Raw Data'!L750</f>
        <v>4</v>
      </c>
      <c r="L750" s="6" t="n">
        <f aca="false">F750*E750</f>
        <v>0</v>
      </c>
      <c r="N750" s="0" t="n">
        <v>1</v>
      </c>
      <c r="O750" s="6" t="n">
        <f aca="false">D750</f>
        <v>5.09</v>
      </c>
      <c r="P750" s="6" t="n">
        <f aca="false">E750</f>
        <v>1</v>
      </c>
      <c r="Q750" s="6" t="n">
        <f aca="false">F750</f>
        <v>0</v>
      </c>
      <c r="R750" s="6" t="n">
        <f aca="false">G750</f>
        <v>0</v>
      </c>
      <c r="S750" s="6" t="n">
        <f aca="false">H750</f>
        <v>1</v>
      </c>
      <c r="T750" s="6" t="n">
        <f aca="false">I750</f>
        <v>0</v>
      </c>
      <c r="U750" s="6" t="n">
        <f aca="false">L750</f>
        <v>0</v>
      </c>
      <c r="W750" s="6" t="n">
        <f aca="false">D750</f>
        <v>5.09</v>
      </c>
      <c r="X750" s="6" t="n">
        <f aca="false">E750</f>
        <v>1</v>
      </c>
      <c r="Y750" s="6" t="n">
        <f aca="false">F750</f>
        <v>0</v>
      </c>
      <c r="Z750" s="6" t="n">
        <f aca="false">L750</f>
        <v>0</v>
      </c>
      <c r="AA750" s="6" t="n">
        <f aca="false">G750</f>
        <v>0</v>
      </c>
      <c r="AC750" s="6" t="n">
        <f aca="false">D750</f>
        <v>5.09</v>
      </c>
      <c r="AD750" s="6" t="n">
        <f aca="false">E750</f>
        <v>1</v>
      </c>
      <c r="AE750" s="6" t="n">
        <f aca="false">G750</f>
        <v>0</v>
      </c>
      <c r="AF750" s="6" t="n">
        <f aca="false">H750</f>
        <v>1</v>
      </c>
      <c r="AG750" s="6" t="n">
        <f aca="false">I750</f>
        <v>0</v>
      </c>
      <c r="AH750" s="6" t="n">
        <f aca="false">L750</f>
        <v>0</v>
      </c>
    </row>
    <row r="751" customFormat="false" ht="15" hidden="false" customHeight="false" outlineLevel="0" collapsed="false">
      <c r="A751" s="0" t="str">
        <f aca="false">'Raw Data'!C751</f>
        <v>SoMa</v>
      </c>
      <c r="B751" s="5" t="n">
        <f aca="false">'Raw Data'!A751</f>
        <v>40309</v>
      </c>
      <c r="C751" s="6" t="n">
        <f aca="false">'Raw Data'!D751</f>
        <v>364.876914400496</v>
      </c>
      <c r="D751" s="6" t="n">
        <f aca="false">'Raw Data'!E751</f>
        <v>5.09</v>
      </c>
      <c r="E751" s="6" t="n">
        <f aca="false">'Raw Data'!F751</f>
        <v>1</v>
      </c>
      <c r="F751" s="6" t="n">
        <f aca="false">'Raw Data'!G751</f>
        <v>0</v>
      </c>
      <c r="G751" s="6" t="n">
        <f aca="false">'Raw Data'!H751</f>
        <v>0</v>
      </c>
      <c r="H751" s="6" t="n">
        <f aca="false">'Raw Data'!I751</f>
        <v>1</v>
      </c>
      <c r="I751" s="6" t="n">
        <f aca="false">'Raw Data'!J751</f>
        <v>0</v>
      </c>
      <c r="J751" s="6" t="n">
        <f aca="false">'Raw Data'!K751</f>
        <v>0</v>
      </c>
      <c r="K751" s="6" t="n">
        <f aca="false">'Raw Data'!L751</f>
        <v>4</v>
      </c>
      <c r="L751" s="6" t="n">
        <f aca="false">F751*E751</f>
        <v>0</v>
      </c>
      <c r="N751" s="0" t="n">
        <v>1</v>
      </c>
      <c r="O751" s="6" t="n">
        <f aca="false">D751</f>
        <v>5.09</v>
      </c>
      <c r="P751" s="6" t="n">
        <f aca="false">E751</f>
        <v>1</v>
      </c>
      <c r="Q751" s="6" t="n">
        <f aca="false">F751</f>
        <v>0</v>
      </c>
      <c r="R751" s="6" t="n">
        <f aca="false">G751</f>
        <v>0</v>
      </c>
      <c r="S751" s="6" t="n">
        <f aca="false">H751</f>
        <v>1</v>
      </c>
      <c r="T751" s="6" t="n">
        <f aca="false">I751</f>
        <v>0</v>
      </c>
      <c r="U751" s="6" t="n">
        <f aca="false">L751</f>
        <v>0</v>
      </c>
      <c r="W751" s="6" t="n">
        <f aca="false">D751</f>
        <v>5.09</v>
      </c>
      <c r="X751" s="6" t="n">
        <f aca="false">E751</f>
        <v>1</v>
      </c>
      <c r="Y751" s="6" t="n">
        <f aca="false">F751</f>
        <v>0</v>
      </c>
      <c r="Z751" s="6" t="n">
        <f aca="false">L751</f>
        <v>0</v>
      </c>
      <c r="AA751" s="6" t="n">
        <f aca="false">G751</f>
        <v>0</v>
      </c>
      <c r="AC751" s="6" t="n">
        <f aca="false">D751</f>
        <v>5.09</v>
      </c>
      <c r="AD751" s="6" t="n">
        <f aca="false">E751</f>
        <v>1</v>
      </c>
      <c r="AE751" s="6" t="n">
        <f aca="false">G751</f>
        <v>0</v>
      </c>
      <c r="AF751" s="6" t="n">
        <f aca="false">H751</f>
        <v>1</v>
      </c>
      <c r="AG751" s="6" t="n">
        <f aca="false">I751</f>
        <v>0</v>
      </c>
      <c r="AH751" s="6" t="n">
        <f aca="false">L751</f>
        <v>0</v>
      </c>
    </row>
    <row r="752" customFormat="false" ht="15" hidden="false" customHeight="false" outlineLevel="0" collapsed="false">
      <c r="A752" s="0" t="str">
        <f aca="false">'Raw Data'!C752</f>
        <v>SoMa</v>
      </c>
      <c r="B752" s="5" t="n">
        <f aca="false">'Raw Data'!A752</f>
        <v>40316</v>
      </c>
      <c r="C752" s="6" t="n">
        <f aca="false">'Raw Data'!D752</f>
        <v>247.341197632124</v>
      </c>
      <c r="D752" s="6" t="n">
        <f aca="false">'Raw Data'!E752</f>
        <v>4.426363636</v>
      </c>
      <c r="E752" s="6" t="n">
        <f aca="false">'Raw Data'!F752</f>
        <v>1</v>
      </c>
      <c r="F752" s="6" t="n">
        <f aca="false">'Raw Data'!G752</f>
        <v>0</v>
      </c>
      <c r="G752" s="6" t="n">
        <f aca="false">'Raw Data'!H752</f>
        <v>0</v>
      </c>
      <c r="H752" s="6" t="n">
        <f aca="false">'Raw Data'!I752</f>
        <v>1</v>
      </c>
      <c r="I752" s="6" t="n">
        <f aca="false">'Raw Data'!J752</f>
        <v>1</v>
      </c>
      <c r="J752" s="6" t="n">
        <f aca="false">'Raw Data'!K752</f>
        <v>0</v>
      </c>
      <c r="K752" s="6" t="n">
        <f aca="false">'Raw Data'!L752</f>
        <v>4</v>
      </c>
      <c r="L752" s="6" t="n">
        <f aca="false">F752*E752</f>
        <v>0</v>
      </c>
      <c r="N752" s="0" t="n">
        <v>1</v>
      </c>
      <c r="O752" s="6" t="n">
        <f aca="false">D752</f>
        <v>4.426363636</v>
      </c>
      <c r="P752" s="6" t="n">
        <f aca="false">E752</f>
        <v>1</v>
      </c>
      <c r="Q752" s="6" t="n">
        <f aca="false">F752</f>
        <v>0</v>
      </c>
      <c r="R752" s="6" t="n">
        <f aca="false">G752</f>
        <v>0</v>
      </c>
      <c r="S752" s="6" t="n">
        <f aca="false">H752</f>
        <v>1</v>
      </c>
      <c r="T752" s="6" t="n">
        <f aca="false">I752</f>
        <v>1</v>
      </c>
      <c r="U752" s="6" t="n">
        <f aca="false">L752</f>
        <v>0</v>
      </c>
      <c r="W752" s="6" t="n">
        <f aca="false">D752</f>
        <v>4.426363636</v>
      </c>
      <c r="X752" s="6" t="n">
        <f aca="false">E752</f>
        <v>1</v>
      </c>
      <c r="Y752" s="6" t="n">
        <f aca="false">F752</f>
        <v>0</v>
      </c>
      <c r="Z752" s="6" t="n">
        <f aca="false">L752</f>
        <v>0</v>
      </c>
      <c r="AA752" s="6" t="n">
        <f aca="false">G752</f>
        <v>0</v>
      </c>
      <c r="AC752" s="6" t="n">
        <f aca="false">D752</f>
        <v>4.426363636</v>
      </c>
      <c r="AD752" s="6" t="n">
        <f aca="false">E752</f>
        <v>1</v>
      </c>
      <c r="AE752" s="6" t="n">
        <f aca="false">G752</f>
        <v>0</v>
      </c>
      <c r="AF752" s="6" t="n">
        <f aca="false">H752</f>
        <v>1</v>
      </c>
      <c r="AG752" s="6" t="n">
        <f aca="false">I752</f>
        <v>1</v>
      </c>
      <c r="AH752" s="6" t="n">
        <f aca="false">L752</f>
        <v>0</v>
      </c>
    </row>
    <row r="753" customFormat="false" ht="15" hidden="false" customHeight="false" outlineLevel="0" collapsed="false">
      <c r="A753" s="0" t="str">
        <f aca="false">'Raw Data'!C753</f>
        <v>SoMa</v>
      </c>
      <c r="B753" s="5" t="n">
        <f aca="false">'Raw Data'!A753</f>
        <v>40323</v>
      </c>
      <c r="C753" s="6" t="n">
        <f aca="false">'Raw Data'!D753</f>
        <v>378.14340968232</v>
      </c>
      <c r="D753" s="6" t="n">
        <f aca="false">'Raw Data'!E753</f>
        <v>4.426363636</v>
      </c>
      <c r="E753" s="6" t="n">
        <f aca="false">'Raw Data'!F753</f>
        <v>1</v>
      </c>
      <c r="F753" s="6" t="n">
        <f aca="false">'Raw Data'!G753</f>
        <v>0</v>
      </c>
      <c r="G753" s="6" t="n">
        <f aca="false">'Raw Data'!H753</f>
        <v>0</v>
      </c>
      <c r="H753" s="6" t="n">
        <f aca="false">'Raw Data'!I753</f>
        <v>0</v>
      </c>
      <c r="I753" s="6" t="n">
        <f aca="false">'Raw Data'!J753</f>
        <v>1</v>
      </c>
      <c r="J753" s="6" t="n">
        <f aca="false">'Raw Data'!K753</f>
        <v>0</v>
      </c>
      <c r="K753" s="6" t="n">
        <f aca="false">'Raw Data'!L753</f>
        <v>4</v>
      </c>
      <c r="L753" s="6" t="n">
        <f aca="false">F753*E753</f>
        <v>0</v>
      </c>
      <c r="N753" s="0" t="n">
        <v>1</v>
      </c>
      <c r="O753" s="6" t="n">
        <f aca="false">D753</f>
        <v>4.426363636</v>
      </c>
      <c r="P753" s="6" t="n">
        <f aca="false">E753</f>
        <v>1</v>
      </c>
      <c r="Q753" s="6" t="n">
        <f aca="false">F753</f>
        <v>0</v>
      </c>
      <c r="R753" s="6" t="n">
        <f aca="false">G753</f>
        <v>0</v>
      </c>
      <c r="S753" s="6" t="n">
        <f aca="false">H753</f>
        <v>0</v>
      </c>
      <c r="T753" s="6" t="n">
        <f aca="false">I753</f>
        <v>1</v>
      </c>
      <c r="U753" s="6" t="n">
        <f aca="false">L753</f>
        <v>0</v>
      </c>
      <c r="W753" s="6" t="n">
        <f aca="false">D753</f>
        <v>4.426363636</v>
      </c>
      <c r="X753" s="6" t="n">
        <f aca="false">E753</f>
        <v>1</v>
      </c>
      <c r="Y753" s="6" t="n">
        <f aca="false">F753</f>
        <v>0</v>
      </c>
      <c r="Z753" s="6" t="n">
        <f aca="false">L753</f>
        <v>0</v>
      </c>
      <c r="AA753" s="6" t="n">
        <f aca="false">G753</f>
        <v>0</v>
      </c>
      <c r="AC753" s="6" t="n">
        <f aca="false">D753</f>
        <v>4.426363636</v>
      </c>
      <c r="AD753" s="6" t="n">
        <f aca="false">E753</f>
        <v>1</v>
      </c>
      <c r="AE753" s="6" t="n">
        <f aca="false">G753</f>
        <v>0</v>
      </c>
      <c r="AF753" s="6" t="n">
        <f aca="false">H753</f>
        <v>0</v>
      </c>
      <c r="AG753" s="6" t="n">
        <f aca="false">I753</f>
        <v>1</v>
      </c>
      <c r="AH753" s="6" t="n">
        <f aca="false">L753</f>
        <v>0</v>
      </c>
    </row>
    <row r="754" customFormat="false" ht="15" hidden="false" customHeight="false" outlineLevel="0" collapsed="false">
      <c r="A754" s="0" t="str">
        <f aca="false">'Raw Data'!C754</f>
        <v>SoMa</v>
      </c>
      <c r="B754" s="5" t="n">
        <f aca="false">'Raw Data'!A754</f>
        <v>40330</v>
      </c>
      <c r="C754" s="6" t="n">
        <f aca="false">'Raw Data'!D754</f>
        <v>343.977416085023</v>
      </c>
      <c r="D754" s="6" t="n">
        <f aca="false">'Raw Data'!E754</f>
        <v>4.426363636</v>
      </c>
      <c r="E754" s="6" t="n">
        <f aca="false">'Raw Data'!F754</f>
        <v>1</v>
      </c>
      <c r="F754" s="6" t="n">
        <f aca="false">'Raw Data'!G754</f>
        <v>0</v>
      </c>
      <c r="G754" s="6" t="n">
        <f aca="false">'Raw Data'!H754</f>
        <v>0</v>
      </c>
      <c r="H754" s="6" t="n">
        <f aca="false">'Raw Data'!I754</f>
        <v>0</v>
      </c>
      <c r="I754" s="6" t="n">
        <f aca="false">'Raw Data'!J754</f>
        <v>1</v>
      </c>
      <c r="J754" s="6" t="n">
        <f aca="false">'Raw Data'!K754</f>
        <v>0</v>
      </c>
      <c r="K754" s="6" t="n">
        <f aca="false">'Raw Data'!L754</f>
        <v>4</v>
      </c>
      <c r="L754" s="6" t="n">
        <f aca="false">F754*E754</f>
        <v>0</v>
      </c>
      <c r="N754" s="0" t="n">
        <v>1</v>
      </c>
      <c r="O754" s="6" t="n">
        <f aca="false">D754</f>
        <v>4.426363636</v>
      </c>
      <c r="P754" s="6" t="n">
        <f aca="false">E754</f>
        <v>1</v>
      </c>
      <c r="Q754" s="6" t="n">
        <f aca="false">F754</f>
        <v>0</v>
      </c>
      <c r="R754" s="6" t="n">
        <f aca="false">G754</f>
        <v>0</v>
      </c>
      <c r="S754" s="6" t="n">
        <f aca="false">H754</f>
        <v>0</v>
      </c>
      <c r="T754" s="6" t="n">
        <f aca="false">I754</f>
        <v>1</v>
      </c>
      <c r="U754" s="6" t="n">
        <f aca="false">L754</f>
        <v>0</v>
      </c>
      <c r="W754" s="6" t="n">
        <f aca="false">D754</f>
        <v>4.426363636</v>
      </c>
      <c r="X754" s="6" t="n">
        <f aca="false">E754</f>
        <v>1</v>
      </c>
      <c r="Y754" s="6" t="n">
        <f aca="false">F754</f>
        <v>0</v>
      </c>
      <c r="Z754" s="6" t="n">
        <f aca="false">L754</f>
        <v>0</v>
      </c>
      <c r="AA754" s="6" t="n">
        <f aca="false">G754</f>
        <v>0</v>
      </c>
      <c r="AC754" s="6" t="n">
        <f aca="false">D754</f>
        <v>4.426363636</v>
      </c>
      <c r="AD754" s="6" t="n">
        <f aca="false">E754</f>
        <v>1</v>
      </c>
      <c r="AE754" s="6" t="n">
        <f aca="false">G754</f>
        <v>0</v>
      </c>
      <c r="AF754" s="6" t="n">
        <f aca="false">H754</f>
        <v>0</v>
      </c>
      <c r="AG754" s="6" t="n">
        <f aca="false">I754</f>
        <v>1</v>
      </c>
      <c r="AH754" s="6" t="n">
        <f aca="false">L754</f>
        <v>0</v>
      </c>
    </row>
    <row r="755" customFormat="false" ht="15" hidden="false" customHeight="false" outlineLevel="0" collapsed="false">
      <c r="A755" s="0" t="str">
        <f aca="false">'Raw Data'!C755</f>
        <v>SoMa</v>
      </c>
      <c r="B755" s="5" t="n">
        <f aca="false">'Raw Data'!A755</f>
        <v>40337</v>
      </c>
      <c r="C755" s="6" t="n">
        <f aca="false">'Raw Data'!D755</f>
        <v>169.041134322311</v>
      </c>
      <c r="D755" s="6" t="n">
        <f aca="false">'Raw Data'!E755</f>
        <v>4.890909091</v>
      </c>
      <c r="E755" s="6" t="n">
        <f aca="false">'Raw Data'!F755</f>
        <v>1</v>
      </c>
      <c r="F755" s="6" t="n">
        <f aca="false">'Raw Data'!G755</f>
        <v>0</v>
      </c>
      <c r="G755" s="6" t="n">
        <f aca="false">'Raw Data'!H755</f>
        <v>0</v>
      </c>
      <c r="H755" s="6" t="n">
        <f aca="false">'Raw Data'!I755</f>
        <v>0</v>
      </c>
      <c r="I755" s="6" t="n">
        <f aca="false">'Raw Data'!J755</f>
        <v>0</v>
      </c>
      <c r="J755" s="6" t="n">
        <f aca="false">'Raw Data'!K755</f>
        <v>0</v>
      </c>
      <c r="K755" s="6" t="n">
        <f aca="false">'Raw Data'!L755</f>
        <v>4</v>
      </c>
      <c r="L755" s="6" t="n">
        <f aca="false">F755*E755</f>
        <v>0</v>
      </c>
      <c r="N755" s="0" t="n">
        <v>1</v>
      </c>
      <c r="O755" s="6" t="n">
        <f aca="false">D755</f>
        <v>4.890909091</v>
      </c>
      <c r="P755" s="6" t="n">
        <f aca="false">E755</f>
        <v>1</v>
      </c>
      <c r="Q755" s="6" t="n">
        <f aca="false">F755</f>
        <v>0</v>
      </c>
      <c r="R755" s="6" t="n">
        <f aca="false">G755</f>
        <v>0</v>
      </c>
      <c r="S755" s="6" t="n">
        <f aca="false">H755</f>
        <v>0</v>
      </c>
      <c r="T755" s="6" t="n">
        <f aca="false">I755</f>
        <v>0</v>
      </c>
      <c r="U755" s="6" t="n">
        <f aca="false">L755</f>
        <v>0</v>
      </c>
      <c r="W755" s="6" t="n">
        <f aca="false">D755</f>
        <v>4.890909091</v>
      </c>
      <c r="X755" s="6" t="n">
        <f aca="false">E755</f>
        <v>1</v>
      </c>
      <c r="Y755" s="6" t="n">
        <f aca="false">F755</f>
        <v>0</v>
      </c>
      <c r="Z755" s="6" t="n">
        <f aca="false">L755</f>
        <v>0</v>
      </c>
      <c r="AA755" s="6" t="n">
        <f aca="false">G755</f>
        <v>0</v>
      </c>
      <c r="AC755" s="6" t="n">
        <f aca="false">D755</f>
        <v>4.890909091</v>
      </c>
      <c r="AD755" s="6" t="n">
        <f aca="false">E755</f>
        <v>1</v>
      </c>
      <c r="AE755" s="6" t="n">
        <f aca="false">G755</f>
        <v>0</v>
      </c>
      <c r="AF755" s="6" t="n">
        <f aca="false">H755</f>
        <v>0</v>
      </c>
      <c r="AG755" s="6" t="n">
        <f aca="false">I755</f>
        <v>0</v>
      </c>
      <c r="AH755" s="6" t="n">
        <f aca="false">L755</f>
        <v>0</v>
      </c>
    </row>
    <row r="756" customFormat="false" ht="15" hidden="false" customHeight="false" outlineLevel="0" collapsed="false">
      <c r="A756" s="0" t="str">
        <f aca="false">'Raw Data'!C756</f>
        <v>SoMa</v>
      </c>
      <c r="B756" s="5" t="n">
        <f aca="false">'Raw Data'!A756</f>
        <v>40344</v>
      </c>
      <c r="C756" s="6" t="n">
        <f aca="false">'Raw Data'!D756</f>
        <v>220.893248100551</v>
      </c>
      <c r="D756" s="6" t="n">
        <f aca="false">'Raw Data'!E756</f>
        <v>4.871818182</v>
      </c>
      <c r="E756" s="6" t="n">
        <f aca="false">'Raw Data'!F756</f>
        <v>1</v>
      </c>
      <c r="F756" s="6" t="n">
        <f aca="false">'Raw Data'!G756</f>
        <v>0</v>
      </c>
      <c r="G756" s="6" t="n">
        <f aca="false">'Raw Data'!H756</f>
        <v>0</v>
      </c>
      <c r="H756" s="6" t="n">
        <f aca="false">'Raw Data'!I756</f>
        <v>0</v>
      </c>
      <c r="I756" s="6" t="n">
        <f aca="false">'Raw Data'!J756</f>
        <v>0</v>
      </c>
      <c r="J756" s="6" t="n">
        <f aca="false">'Raw Data'!K756</f>
        <v>0</v>
      </c>
      <c r="K756" s="6" t="n">
        <f aca="false">'Raw Data'!L756</f>
        <v>4</v>
      </c>
      <c r="L756" s="6" t="n">
        <f aca="false">F756*E756</f>
        <v>0</v>
      </c>
      <c r="N756" s="0" t="n">
        <v>1</v>
      </c>
      <c r="O756" s="6" t="n">
        <f aca="false">D756</f>
        <v>4.871818182</v>
      </c>
      <c r="P756" s="6" t="n">
        <f aca="false">E756</f>
        <v>1</v>
      </c>
      <c r="Q756" s="6" t="n">
        <f aca="false">F756</f>
        <v>0</v>
      </c>
      <c r="R756" s="6" t="n">
        <f aca="false">G756</f>
        <v>0</v>
      </c>
      <c r="S756" s="6" t="n">
        <f aca="false">H756</f>
        <v>0</v>
      </c>
      <c r="T756" s="6" t="n">
        <f aca="false">I756</f>
        <v>0</v>
      </c>
      <c r="U756" s="6" t="n">
        <f aca="false">L756</f>
        <v>0</v>
      </c>
      <c r="W756" s="6" t="n">
        <f aca="false">D756</f>
        <v>4.871818182</v>
      </c>
      <c r="X756" s="6" t="n">
        <f aca="false">E756</f>
        <v>1</v>
      </c>
      <c r="Y756" s="6" t="n">
        <f aca="false">F756</f>
        <v>0</v>
      </c>
      <c r="Z756" s="6" t="n">
        <f aca="false">L756</f>
        <v>0</v>
      </c>
      <c r="AA756" s="6" t="n">
        <f aca="false">G756</f>
        <v>0</v>
      </c>
      <c r="AC756" s="6" t="n">
        <f aca="false">D756</f>
        <v>4.871818182</v>
      </c>
      <c r="AD756" s="6" t="n">
        <f aca="false">E756</f>
        <v>1</v>
      </c>
      <c r="AE756" s="6" t="n">
        <f aca="false">G756</f>
        <v>0</v>
      </c>
      <c r="AF756" s="6" t="n">
        <f aca="false">H756</f>
        <v>0</v>
      </c>
      <c r="AG756" s="6" t="n">
        <f aca="false">I756</f>
        <v>0</v>
      </c>
      <c r="AH756" s="6" t="n">
        <f aca="false">L756</f>
        <v>0</v>
      </c>
    </row>
    <row r="757" customFormat="false" ht="15" hidden="false" customHeight="false" outlineLevel="0" collapsed="false">
      <c r="A757" s="0" t="str">
        <f aca="false">'Raw Data'!C757</f>
        <v>SoMa</v>
      </c>
      <c r="B757" s="5" t="n">
        <f aca="false">'Raw Data'!A757</f>
        <v>40351</v>
      </c>
      <c r="C757" s="6" t="n">
        <f aca="false">'Raw Data'!D757</f>
        <v>189.657883951202</v>
      </c>
      <c r="D757" s="6" t="n">
        <f aca="false">'Raw Data'!E757</f>
        <v>4.871818182</v>
      </c>
      <c r="E757" s="6" t="n">
        <f aca="false">'Raw Data'!F757</f>
        <v>1</v>
      </c>
      <c r="F757" s="6" t="n">
        <f aca="false">'Raw Data'!G757</f>
        <v>0</v>
      </c>
      <c r="G757" s="6" t="n">
        <f aca="false">'Raw Data'!H757</f>
        <v>0</v>
      </c>
      <c r="H757" s="6" t="n">
        <f aca="false">'Raw Data'!I757</f>
        <v>0</v>
      </c>
      <c r="I757" s="6" t="n">
        <f aca="false">'Raw Data'!J757</f>
        <v>0</v>
      </c>
      <c r="J757" s="6" t="n">
        <f aca="false">'Raw Data'!K757</f>
        <v>0</v>
      </c>
      <c r="K757" s="6" t="n">
        <f aca="false">'Raw Data'!L757</f>
        <v>4</v>
      </c>
      <c r="L757" s="6" t="n">
        <f aca="false">F757*E757</f>
        <v>0</v>
      </c>
      <c r="N757" s="0" t="n">
        <v>1</v>
      </c>
      <c r="O757" s="6" t="n">
        <f aca="false">D757</f>
        <v>4.871818182</v>
      </c>
      <c r="P757" s="6" t="n">
        <f aca="false">E757</f>
        <v>1</v>
      </c>
      <c r="Q757" s="6" t="n">
        <f aca="false">F757</f>
        <v>0</v>
      </c>
      <c r="R757" s="6" t="n">
        <f aca="false">G757</f>
        <v>0</v>
      </c>
      <c r="S757" s="6" t="n">
        <f aca="false">H757</f>
        <v>0</v>
      </c>
      <c r="T757" s="6" t="n">
        <f aca="false">I757</f>
        <v>0</v>
      </c>
      <c r="U757" s="6" t="n">
        <f aca="false">L757</f>
        <v>0</v>
      </c>
      <c r="W757" s="6" t="n">
        <f aca="false">D757</f>
        <v>4.871818182</v>
      </c>
      <c r="X757" s="6" t="n">
        <f aca="false">E757</f>
        <v>1</v>
      </c>
      <c r="Y757" s="6" t="n">
        <f aca="false">F757</f>
        <v>0</v>
      </c>
      <c r="Z757" s="6" t="n">
        <f aca="false">L757</f>
        <v>0</v>
      </c>
      <c r="AA757" s="6" t="n">
        <f aca="false">G757</f>
        <v>0</v>
      </c>
      <c r="AC757" s="6" t="n">
        <f aca="false">D757</f>
        <v>4.871818182</v>
      </c>
      <c r="AD757" s="6" t="n">
        <f aca="false">E757</f>
        <v>1</v>
      </c>
      <c r="AE757" s="6" t="n">
        <f aca="false">G757</f>
        <v>0</v>
      </c>
      <c r="AF757" s="6" t="n">
        <f aca="false">H757</f>
        <v>0</v>
      </c>
      <c r="AG757" s="6" t="n">
        <f aca="false">I757</f>
        <v>0</v>
      </c>
      <c r="AH757" s="6" t="n">
        <f aca="false">L757</f>
        <v>0</v>
      </c>
    </row>
    <row r="758" customFormat="false" ht="15" hidden="false" customHeight="false" outlineLevel="0" collapsed="false">
      <c r="A758" s="0" t="str">
        <f aca="false">'Raw Data'!C758</f>
        <v>SoMa</v>
      </c>
      <c r="B758" s="5" t="n">
        <f aca="false">'Raw Data'!A758</f>
        <v>40358</v>
      </c>
      <c r="C758" s="6" t="n">
        <f aca="false">'Raw Data'!D758</f>
        <v>173.358359351338</v>
      </c>
      <c r="D758" s="6" t="n">
        <f aca="false">'Raw Data'!E758</f>
        <v>4.871818182</v>
      </c>
      <c r="E758" s="6" t="n">
        <f aca="false">'Raw Data'!F758</f>
        <v>1</v>
      </c>
      <c r="F758" s="6" t="n">
        <f aca="false">'Raw Data'!G758</f>
        <v>0</v>
      </c>
      <c r="G758" s="6" t="n">
        <f aca="false">'Raw Data'!H758</f>
        <v>0</v>
      </c>
      <c r="H758" s="6" t="n">
        <f aca="false">'Raw Data'!I758</f>
        <v>0</v>
      </c>
      <c r="I758" s="6" t="n">
        <f aca="false">'Raw Data'!J758</f>
        <v>0</v>
      </c>
      <c r="J758" s="6" t="n">
        <f aca="false">'Raw Data'!K758</f>
        <v>0</v>
      </c>
      <c r="K758" s="6" t="n">
        <f aca="false">'Raw Data'!L758</f>
        <v>4</v>
      </c>
      <c r="L758" s="6" t="n">
        <f aca="false">F758*E758</f>
        <v>0</v>
      </c>
      <c r="N758" s="0" t="n">
        <v>1</v>
      </c>
      <c r="O758" s="6" t="n">
        <f aca="false">D758</f>
        <v>4.871818182</v>
      </c>
      <c r="P758" s="6" t="n">
        <f aca="false">E758</f>
        <v>1</v>
      </c>
      <c r="Q758" s="6" t="n">
        <f aca="false">F758</f>
        <v>0</v>
      </c>
      <c r="R758" s="6" t="n">
        <f aca="false">G758</f>
        <v>0</v>
      </c>
      <c r="S758" s="6" t="n">
        <f aca="false">H758</f>
        <v>0</v>
      </c>
      <c r="T758" s="6" t="n">
        <f aca="false">I758</f>
        <v>0</v>
      </c>
      <c r="U758" s="6" t="n">
        <f aca="false">L758</f>
        <v>0</v>
      </c>
      <c r="W758" s="6" t="n">
        <f aca="false">D758</f>
        <v>4.871818182</v>
      </c>
      <c r="X758" s="6" t="n">
        <f aca="false">E758</f>
        <v>1</v>
      </c>
      <c r="Y758" s="6" t="n">
        <f aca="false">F758</f>
        <v>0</v>
      </c>
      <c r="Z758" s="6" t="n">
        <f aca="false">L758</f>
        <v>0</v>
      </c>
      <c r="AA758" s="6" t="n">
        <f aca="false">G758</f>
        <v>0</v>
      </c>
      <c r="AC758" s="6" t="n">
        <f aca="false">D758</f>
        <v>4.871818182</v>
      </c>
      <c r="AD758" s="6" t="n">
        <f aca="false">E758</f>
        <v>1</v>
      </c>
      <c r="AE758" s="6" t="n">
        <f aca="false">G758</f>
        <v>0</v>
      </c>
      <c r="AF758" s="6" t="n">
        <f aca="false">H758</f>
        <v>0</v>
      </c>
      <c r="AG758" s="6" t="n">
        <f aca="false">I758</f>
        <v>0</v>
      </c>
      <c r="AH758" s="6" t="n">
        <f aca="false">L758</f>
        <v>0</v>
      </c>
    </row>
    <row r="759" customFormat="false" ht="15" hidden="false" customHeight="false" outlineLevel="0" collapsed="false">
      <c r="A759" s="0" t="str">
        <f aca="false">'Raw Data'!C759</f>
        <v>SoMa</v>
      </c>
      <c r="B759" s="5" t="n">
        <f aca="false">'Raw Data'!A759</f>
        <v>40365</v>
      </c>
      <c r="C759" s="6" t="n">
        <f aca="false">'Raw Data'!D759</f>
        <v>216.333226334112</v>
      </c>
      <c r="D759" s="6" t="n">
        <f aca="false">'Raw Data'!E759</f>
        <v>4.717272727</v>
      </c>
      <c r="E759" s="6" t="n">
        <f aca="false">'Raw Data'!F759</f>
        <v>1</v>
      </c>
      <c r="F759" s="6" t="n">
        <f aca="false">'Raw Data'!G759</f>
        <v>0</v>
      </c>
      <c r="G759" s="6" t="n">
        <f aca="false">'Raw Data'!H759</f>
        <v>0</v>
      </c>
      <c r="H759" s="6" t="n">
        <f aca="false">'Raw Data'!I759</f>
        <v>0</v>
      </c>
      <c r="I759" s="6" t="n">
        <f aca="false">'Raw Data'!J759</f>
        <v>0</v>
      </c>
      <c r="J759" s="6" t="n">
        <f aca="false">'Raw Data'!K759</f>
        <v>0</v>
      </c>
      <c r="K759" s="6" t="n">
        <f aca="false">'Raw Data'!L759</f>
        <v>4</v>
      </c>
      <c r="L759" s="6" t="n">
        <f aca="false">F759*E759</f>
        <v>0</v>
      </c>
      <c r="N759" s="0" t="n">
        <v>1</v>
      </c>
      <c r="O759" s="6" t="n">
        <f aca="false">D759</f>
        <v>4.717272727</v>
      </c>
      <c r="P759" s="6" t="n">
        <f aca="false">E759</f>
        <v>1</v>
      </c>
      <c r="Q759" s="6" t="n">
        <f aca="false">F759</f>
        <v>0</v>
      </c>
      <c r="R759" s="6" t="n">
        <f aca="false">G759</f>
        <v>0</v>
      </c>
      <c r="S759" s="6" t="n">
        <f aca="false">H759</f>
        <v>0</v>
      </c>
      <c r="T759" s="6" t="n">
        <f aca="false">I759</f>
        <v>0</v>
      </c>
      <c r="U759" s="6" t="n">
        <f aca="false">L759</f>
        <v>0</v>
      </c>
      <c r="W759" s="6" t="n">
        <f aca="false">D759</f>
        <v>4.717272727</v>
      </c>
      <c r="X759" s="6" t="n">
        <f aca="false">E759</f>
        <v>1</v>
      </c>
      <c r="Y759" s="6" t="n">
        <f aca="false">F759</f>
        <v>0</v>
      </c>
      <c r="Z759" s="6" t="n">
        <f aca="false">L759</f>
        <v>0</v>
      </c>
      <c r="AA759" s="6" t="n">
        <f aca="false">G759</f>
        <v>0</v>
      </c>
      <c r="AC759" s="6" t="n">
        <f aca="false">D759</f>
        <v>4.717272727</v>
      </c>
      <c r="AD759" s="6" t="n">
        <f aca="false">E759</f>
        <v>1</v>
      </c>
      <c r="AE759" s="6" t="n">
        <f aca="false">G759</f>
        <v>0</v>
      </c>
      <c r="AF759" s="6" t="n">
        <f aca="false">H759</f>
        <v>0</v>
      </c>
      <c r="AG759" s="6" t="n">
        <f aca="false">I759</f>
        <v>0</v>
      </c>
      <c r="AH759" s="6" t="n">
        <f aca="false">L759</f>
        <v>0</v>
      </c>
    </row>
    <row r="760" customFormat="false" ht="15" hidden="false" customHeight="false" outlineLevel="0" collapsed="false">
      <c r="A760" s="0" t="str">
        <f aca="false">'Raw Data'!C760</f>
        <v>SoMa</v>
      </c>
      <c r="B760" s="5" t="n">
        <f aca="false">'Raw Data'!A760</f>
        <v>40372</v>
      </c>
      <c r="C760" s="6" t="n">
        <f aca="false">'Raw Data'!D760</f>
        <v>210.163197535823</v>
      </c>
      <c r="D760" s="6" t="n">
        <f aca="false">'Raw Data'!E760</f>
        <v>4.717272727</v>
      </c>
      <c r="E760" s="6" t="n">
        <f aca="false">'Raw Data'!F760</f>
        <v>1</v>
      </c>
      <c r="F760" s="6" t="n">
        <f aca="false">'Raw Data'!G760</f>
        <v>0</v>
      </c>
      <c r="G760" s="6" t="n">
        <f aca="false">'Raw Data'!H760</f>
        <v>0</v>
      </c>
      <c r="H760" s="6" t="n">
        <f aca="false">'Raw Data'!I760</f>
        <v>0</v>
      </c>
      <c r="I760" s="6" t="n">
        <f aca="false">'Raw Data'!J760</f>
        <v>0</v>
      </c>
      <c r="J760" s="6" t="n">
        <f aca="false">'Raw Data'!K760</f>
        <v>0</v>
      </c>
      <c r="K760" s="6" t="n">
        <f aca="false">'Raw Data'!L760</f>
        <v>4</v>
      </c>
      <c r="L760" s="6" t="n">
        <f aca="false">F760*E760</f>
        <v>0</v>
      </c>
      <c r="N760" s="0" t="n">
        <v>1</v>
      </c>
      <c r="O760" s="6" t="n">
        <f aca="false">D760</f>
        <v>4.717272727</v>
      </c>
      <c r="P760" s="6" t="n">
        <f aca="false">E760</f>
        <v>1</v>
      </c>
      <c r="Q760" s="6" t="n">
        <f aca="false">F760</f>
        <v>0</v>
      </c>
      <c r="R760" s="6" t="n">
        <f aca="false">G760</f>
        <v>0</v>
      </c>
      <c r="S760" s="6" t="n">
        <f aca="false">H760</f>
        <v>0</v>
      </c>
      <c r="T760" s="6" t="n">
        <f aca="false">I760</f>
        <v>0</v>
      </c>
      <c r="U760" s="6" t="n">
        <f aca="false">L760</f>
        <v>0</v>
      </c>
      <c r="W760" s="6" t="n">
        <f aca="false">D760</f>
        <v>4.717272727</v>
      </c>
      <c r="X760" s="6" t="n">
        <f aca="false">E760</f>
        <v>1</v>
      </c>
      <c r="Y760" s="6" t="n">
        <f aca="false">F760</f>
        <v>0</v>
      </c>
      <c r="Z760" s="6" t="n">
        <f aca="false">L760</f>
        <v>0</v>
      </c>
      <c r="AA760" s="6" t="n">
        <f aca="false">G760</f>
        <v>0</v>
      </c>
      <c r="AC760" s="6" t="n">
        <f aca="false">D760</f>
        <v>4.717272727</v>
      </c>
      <c r="AD760" s="6" t="n">
        <f aca="false">E760</f>
        <v>1</v>
      </c>
      <c r="AE760" s="6" t="n">
        <f aca="false">G760</f>
        <v>0</v>
      </c>
      <c r="AF760" s="6" t="n">
        <f aca="false">H760</f>
        <v>0</v>
      </c>
      <c r="AG760" s="6" t="n">
        <f aca="false">I760</f>
        <v>0</v>
      </c>
      <c r="AH760" s="6" t="n">
        <f aca="false">L760</f>
        <v>0</v>
      </c>
    </row>
    <row r="761" customFormat="false" ht="15" hidden="false" customHeight="false" outlineLevel="0" collapsed="false">
      <c r="A761" s="0" t="str">
        <f aca="false">'Raw Data'!C761</f>
        <v>Stevens Creek (aka Cupertino)</v>
      </c>
      <c r="B761" s="5" t="n">
        <f aca="false">'Raw Data'!A761</f>
        <v>40302</v>
      </c>
      <c r="C761" s="6" t="n">
        <f aca="false">'Raw Data'!D761</f>
        <v>321.263859450252</v>
      </c>
      <c r="D761" s="6" t="n">
        <f aca="false">'Raw Data'!E761</f>
        <v>4.59</v>
      </c>
      <c r="E761" s="6" t="n">
        <f aca="false">'Raw Data'!F761</f>
        <v>1</v>
      </c>
      <c r="F761" s="6" t="n">
        <f aca="false">'Raw Data'!G761</f>
        <v>0</v>
      </c>
      <c r="G761" s="6" t="n">
        <f aca="false">'Raw Data'!H761</f>
        <v>0</v>
      </c>
      <c r="H761" s="6" t="n">
        <f aca="false">'Raw Data'!I761</f>
        <v>1</v>
      </c>
      <c r="I761" s="6" t="n">
        <f aca="false">'Raw Data'!J761</f>
        <v>0</v>
      </c>
      <c r="J761" s="6" t="n">
        <f aca="false">'Raw Data'!K761</f>
        <v>1</v>
      </c>
      <c r="K761" s="6" t="n">
        <f aca="false">'Raw Data'!L761</f>
        <v>2</v>
      </c>
      <c r="L761" s="6" t="n">
        <f aca="false">F761*E761</f>
        <v>0</v>
      </c>
      <c r="N761" s="0" t="n">
        <v>1</v>
      </c>
      <c r="O761" s="6" t="n">
        <f aca="false">D761</f>
        <v>4.59</v>
      </c>
      <c r="P761" s="6" t="n">
        <f aca="false">E761</f>
        <v>1</v>
      </c>
      <c r="Q761" s="6" t="n">
        <f aca="false">F761</f>
        <v>0</v>
      </c>
      <c r="R761" s="6" t="n">
        <f aca="false">G761</f>
        <v>0</v>
      </c>
      <c r="S761" s="6" t="n">
        <f aca="false">H761</f>
        <v>1</v>
      </c>
      <c r="T761" s="6" t="n">
        <f aca="false">I761</f>
        <v>0</v>
      </c>
      <c r="U761" s="6" t="n">
        <f aca="false">L761</f>
        <v>0</v>
      </c>
      <c r="W761" s="6" t="n">
        <f aca="false">D761</f>
        <v>4.59</v>
      </c>
      <c r="X761" s="6" t="n">
        <f aca="false">E761</f>
        <v>1</v>
      </c>
      <c r="Y761" s="6" t="n">
        <f aca="false">F761</f>
        <v>0</v>
      </c>
      <c r="Z761" s="6" t="n">
        <f aca="false">L761</f>
        <v>0</v>
      </c>
      <c r="AA761" s="6" t="n">
        <f aca="false">G761</f>
        <v>0</v>
      </c>
      <c r="AC761" s="6" t="n">
        <f aca="false">D761</f>
        <v>4.59</v>
      </c>
      <c r="AD761" s="6" t="n">
        <f aca="false">E761</f>
        <v>1</v>
      </c>
      <c r="AE761" s="6" t="n">
        <f aca="false">G761</f>
        <v>0</v>
      </c>
      <c r="AF761" s="6" t="n">
        <f aca="false">H761</f>
        <v>1</v>
      </c>
      <c r="AG761" s="6" t="n">
        <f aca="false">I761</f>
        <v>0</v>
      </c>
      <c r="AH761" s="6" t="n">
        <f aca="false">L761</f>
        <v>0</v>
      </c>
    </row>
    <row r="762" customFormat="false" ht="15" hidden="false" customHeight="false" outlineLevel="0" collapsed="false">
      <c r="A762" s="0" t="str">
        <f aca="false">'Raw Data'!C762</f>
        <v>Stevens Creek (aka Cupertino)</v>
      </c>
      <c r="B762" s="5" t="n">
        <f aca="false">'Raw Data'!A762</f>
        <v>40309</v>
      </c>
      <c r="C762" s="6" t="n">
        <f aca="false">'Raw Data'!D762</f>
        <v>426.239305635777</v>
      </c>
      <c r="D762" s="6" t="n">
        <f aca="false">'Raw Data'!E762</f>
        <v>4.608181818</v>
      </c>
      <c r="E762" s="6" t="n">
        <f aca="false">'Raw Data'!F762</f>
        <v>1</v>
      </c>
      <c r="F762" s="6" t="n">
        <f aca="false">'Raw Data'!G762</f>
        <v>0</v>
      </c>
      <c r="G762" s="6" t="n">
        <f aca="false">'Raw Data'!H762</f>
        <v>0</v>
      </c>
      <c r="H762" s="6" t="n">
        <f aca="false">'Raw Data'!I762</f>
        <v>1</v>
      </c>
      <c r="I762" s="6" t="n">
        <f aca="false">'Raw Data'!J762</f>
        <v>0</v>
      </c>
      <c r="J762" s="6" t="n">
        <f aca="false">'Raw Data'!K762</f>
        <v>1</v>
      </c>
      <c r="K762" s="6" t="n">
        <f aca="false">'Raw Data'!L762</f>
        <v>2</v>
      </c>
      <c r="L762" s="6" t="n">
        <f aca="false">F762*E762</f>
        <v>0</v>
      </c>
      <c r="N762" s="0" t="n">
        <v>1</v>
      </c>
      <c r="O762" s="6" t="n">
        <f aca="false">D762</f>
        <v>4.608181818</v>
      </c>
      <c r="P762" s="6" t="n">
        <f aca="false">E762</f>
        <v>1</v>
      </c>
      <c r="Q762" s="6" t="n">
        <f aca="false">F762</f>
        <v>0</v>
      </c>
      <c r="R762" s="6" t="n">
        <f aca="false">G762</f>
        <v>0</v>
      </c>
      <c r="S762" s="6" t="n">
        <f aca="false">H762</f>
        <v>1</v>
      </c>
      <c r="T762" s="6" t="n">
        <f aca="false">I762</f>
        <v>0</v>
      </c>
      <c r="U762" s="6" t="n">
        <f aca="false">L762</f>
        <v>0</v>
      </c>
      <c r="W762" s="6" t="n">
        <f aca="false">D762</f>
        <v>4.608181818</v>
      </c>
      <c r="X762" s="6" t="n">
        <f aca="false">E762</f>
        <v>1</v>
      </c>
      <c r="Y762" s="6" t="n">
        <f aca="false">F762</f>
        <v>0</v>
      </c>
      <c r="Z762" s="6" t="n">
        <f aca="false">L762</f>
        <v>0</v>
      </c>
      <c r="AA762" s="6" t="n">
        <f aca="false">G762</f>
        <v>0</v>
      </c>
      <c r="AC762" s="6" t="n">
        <f aca="false">D762</f>
        <v>4.608181818</v>
      </c>
      <c r="AD762" s="6" t="n">
        <f aca="false">E762</f>
        <v>1</v>
      </c>
      <c r="AE762" s="6" t="n">
        <f aca="false">G762</f>
        <v>0</v>
      </c>
      <c r="AF762" s="6" t="n">
        <f aca="false">H762</f>
        <v>1</v>
      </c>
      <c r="AG762" s="6" t="n">
        <f aca="false">I762</f>
        <v>0</v>
      </c>
      <c r="AH762" s="6" t="n">
        <f aca="false">L762</f>
        <v>0</v>
      </c>
    </row>
    <row r="763" customFormat="false" ht="15" hidden="false" customHeight="false" outlineLevel="0" collapsed="false">
      <c r="A763" s="0" t="str">
        <f aca="false">'Raw Data'!C763</f>
        <v>Stevens Creek (aka Cupertino)</v>
      </c>
      <c r="B763" s="5" t="n">
        <f aca="false">'Raw Data'!A763</f>
        <v>40316</v>
      </c>
      <c r="C763" s="6" t="n">
        <f aca="false">'Raw Data'!D763</f>
        <v>237.750020544913</v>
      </c>
      <c r="D763" s="6" t="n">
        <f aca="false">'Raw Data'!E763</f>
        <v>4.482307692</v>
      </c>
      <c r="E763" s="6" t="n">
        <f aca="false">'Raw Data'!F763</f>
        <v>1</v>
      </c>
      <c r="F763" s="6" t="n">
        <f aca="false">'Raw Data'!G763</f>
        <v>0</v>
      </c>
      <c r="G763" s="6" t="n">
        <f aca="false">'Raw Data'!H763</f>
        <v>0</v>
      </c>
      <c r="H763" s="6" t="n">
        <f aca="false">'Raw Data'!I763</f>
        <v>1</v>
      </c>
      <c r="I763" s="6" t="n">
        <f aca="false">'Raw Data'!J763</f>
        <v>1</v>
      </c>
      <c r="J763" s="6" t="n">
        <f aca="false">'Raw Data'!K763</f>
        <v>1</v>
      </c>
      <c r="K763" s="6" t="n">
        <f aca="false">'Raw Data'!L763</f>
        <v>2</v>
      </c>
      <c r="L763" s="6" t="n">
        <f aca="false">F763*E763</f>
        <v>0</v>
      </c>
      <c r="N763" s="0" t="n">
        <v>1</v>
      </c>
      <c r="O763" s="6" t="n">
        <f aca="false">D763</f>
        <v>4.482307692</v>
      </c>
      <c r="P763" s="6" t="n">
        <f aca="false">E763</f>
        <v>1</v>
      </c>
      <c r="Q763" s="6" t="n">
        <f aca="false">F763</f>
        <v>0</v>
      </c>
      <c r="R763" s="6" t="n">
        <f aca="false">G763</f>
        <v>0</v>
      </c>
      <c r="S763" s="6" t="n">
        <f aca="false">H763</f>
        <v>1</v>
      </c>
      <c r="T763" s="6" t="n">
        <f aca="false">I763</f>
        <v>1</v>
      </c>
      <c r="U763" s="6" t="n">
        <f aca="false">L763</f>
        <v>0</v>
      </c>
      <c r="W763" s="6" t="n">
        <f aca="false">D763</f>
        <v>4.482307692</v>
      </c>
      <c r="X763" s="6" t="n">
        <f aca="false">E763</f>
        <v>1</v>
      </c>
      <c r="Y763" s="6" t="n">
        <f aca="false">F763</f>
        <v>0</v>
      </c>
      <c r="Z763" s="6" t="n">
        <f aca="false">L763</f>
        <v>0</v>
      </c>
      <c r="AA763" s="6" t="n">
        <f aca="false">G763</f>
        <v>0</v>
      </c>
      <c r="AC763" s="6" t="n">
        <f aca="false">D763</f>
        <v>4.482307692</v>
      </c>
      <c r="AD763" s="6" t="n">
        <f aca="false">E763</f>
        <v>1</v>
      </c>
      <c r="AE763" s="6" t="n">
        <f aca="false">G763</f>
        <v>0</v>
      </c>
      <c r="AF763" s="6" t="n">
        <f aca="false">H763</f>
        <v>1</v>
      </c>
      <c r="AG763" s="6" t="n">
        <f aca="false">I763</f>
        <v>1</v>
      </c>
      <c r="AH763" s="6" t="n">
        <f aca="false">L763</f>
        <v>0</v>
      </c>
    </row>
    <row r="764" customFormat="false" ht="15" hidden="false" customHeight="false" outlineLevel="0" collapsed="false">
      <c r="A764" s="0" t="str">
        <f aca="false">'Raw Data'!C764</f>
        <v>Stevens Creek (aka Cupertino)</v>
      </c>
      <c r="B764" s="5" t="n">
        <f aca="false">'Raw Data'!A764</f>
        <v>40323</v>
      </c>
      <c r="C764" s="6" t="n">
        <f aca="false">'Raw Data'!D764</f>
        <v>297.373327631735</v>
      </c>
      <c r="D764" s="6" t="n">
        <f aca="false">'Raw Data'!E764</f>
        <v>4.482307692</v>
      </c>
      <c r="E764" s="6" t="n">
        <f aca="false">'Raw Data'!F764</f>
        <v>1</v>
      </c>
      <c r="F764" s="6" t="n">
        <f aca="false">'Raw Data'!G764</f>
        <v>0</v>
      </c>
      <c r="G764" s="6" t="n">
        <f aca="false">'Raw Data'!H764</f>
        <v>0</v>
      </c>
      <c r="H764" s="6" t="n">
        <f aca="false">'Raw Data'!I764</f>
        <v>0</v>
      </c>
      <c r="I764" s="6" t="n">
        <f aca="false">'Raw Data'!J764</f>
        <v>1</v>
      </c>
      <c r="J764" s="6" t="n">
        <f aca="false">'Raw Data'!K764</f>
        <v>1</v>
      </c>
      <c r="K764" s="6" t="n">
        <f aca="false">'Raw Data'!L764</f>
        <v>2</v>
      </c>
      <c r="L764" s="6" t="n">
        <f aca="false">F764*E764</f>
        <v>0</v>
      </c>
      <c r="N764" s="0" t="n">
        <v>1</v>
      </c>
      <c r="O764" s="6" t="n">
        <f aca="false">D764</f>
        <v>4.482307692</v>
      </c>
      <c r="P764" s="6" t="n">
        <f aca="false">E764</f>
        <v>1</v>
      </c>
      <c r="Q764" s="6" t="n">
        <f aca="false">F764</f>
        <v>0</v>
      </c>
      <c r="R764" s="6" t="n">
        <f aca="false">G764</f>
        <v>0</v>
      </c>
      <c r="S764" s="6" t="n">
        <f aca="false">H764</f>
        <v>0</v>
      </c>
      <c r="T764" s="6" t="n">
        <f aca="false">I764</f>
        <v>1</v>
      </c>
      <c r="U764" s="6" t="n">
        <f aca="false">L764</f>
        <v>0</v>
      </c>
      <c r="W764" s="6" t="n">
        <f aca="false">D764</f>
        <v>4.482307692</v>
      </c>
      <c r="X764" s="6" t="n">
        <f aca="false">E764</f>
        <v>1</v>
      </c>
      <c r="Y764" s="6" t="n">
        <f aca="false">F764</f>
        <v>0</v>
      </c>
      <c r="Z764" s="6" t="n">
        <f aca="false">L764</f>
        <v>0</v>
      </c>
      <c r="AA764" s="6" t="n">
        <f aca="false">G764</f>
        <v>0</v>
      </c>
      <c r="AC764" s="6" t="n">
        <f aca="false">D764</f>
        <v>4.482307692</v>
      </c>
      <c r="AD764" s="6" t="n">
        <f aca="false">E764</f>
        <v>1</v>
      </c>
      <c r="AE764" s="6" t="n">
        <f aca="false">G764</f>
        <v>0</v>
      </c>
      <c r="AF764" s="6" t="n">
        <f aca="false">H764</f>
        <v>0</v>
      </c>
      <c r="AG764" s="6" t="n">
        <f aca="false">I764</f>
        <v>1</v>
      </c>
      <c r="AH764" s="6" t="n">
        <f aca="false">L764</f>
        <v>0</v>
      </c>
    </row>
    <row r="765" customFormat="false" ht="15" hidden="false" customHeight="false" outlineLevel="0" collapsed="false">
      <c r="A765" s="0" t="str">
        <f aca="false">'Raw Data'!C765</f>
        <v>Stevens Creek (aka Cupertino)</v>
      </c>
      <c r="B765" s="5" t="n">
        <f aca="false">'Raw Data'!A765</f>
        <v>40330</v>
      </c>
      <c r="C765" s="6" t="n">
        <f aca="false">'Raw Data'!D765</f>
        <v>396.94922232825</v>
      </c>
      <c r="D765" s="6" t="n">
        <f aca="false">'Raw Data'!E765</f>
        <v>4.482307692</v>
      </c>
      <c r="E765" s="6" t="n">
        <f aca="false">'Raw Data'!F765</f>
        <v>1</v>
      </c>
      <c r="F765" s="6" t="n">
        <f aca="false">'Raw Data'!G765</f>
        <v>0</v>
      </c>
      <c r="G765" s="6" t="n">
        <f aca="false">'Raw Data'!H765</f>
        <v>0</v>
      </c>
      <c r="H765" s="6" t="n">
        <f aca="false">'Raw Data'!I765</f>
        <v>0</v>
      </c>
      <c r="I765" s="6" t="n">
        <f aca="false">'Raw Data'!J765</f>
        <v>1</v>
      </c>
      <c r="J765" s="6" t="n">
        <f aca="false">'Raw Data'!K765</f>
        <v>1</v>
      </c>
      <c r="K765" s="6" t="n">
        <f aca="false">'Raw Data'!L765</f>
        <v>2</v>
      </c>
      <c r="L765" s="6" t="n">
        <f aca="false">F765*E765</f>
        <v>0</v>
      </c>
      <c r="N765" s="0" t="n">
        <v>1</v>
      </c>
      <c r="O765" s="6" t="n">
        <f aca="false">D765</f>
        <v>4.482307692</v>
      </c>
      <c r="P765" s="6" t="n">
        <f aca="false">E765</f>
        <v>1</v>
      </c>
      <c r="Q765" s="6" t="n">
        <f aca="false">F765</f>
        <v>0</v>
      </c>
      <c r="R765" s="6" t="n">
        <f aca="false">G765</f>
        <v>0</v>
      </c>
      <c r="S765" s="6" t="n">
        <f aca="false">H765</f>
        <v>0</v>
      </c>
      <c r="T765" s="6" t="n">
        <f aca="false">I765</f>
        <v>1</v>
      </c>
      <c r="U765" s="6" t="n">
        <f aca="false">L765</f>
        <v>0</v>
      </c>
      <c r="W765" s="6" t="n">
        <f aca="false">D765</f>
        <v>4.482307692</v>
      </c>
      <c r="X765" s="6" t="n">
        <f aca="false">E765</f>
        <v>1</v>
      </c>
      <c r="Y765" s="6" t="n">
        <f aca="false">F765</f>
        <v>0</v>
      </c>
      <c r="Z765" s="6" t="n">
        <f aca="false">L765</f>
        <v>0</v>
      </c>
      <c r="AA765" s="6" t="n">
        <f aca="false">G765</f>
        <v>0</v>
      </c>
      <c r="AC765" s="6" t="n">
        <f aca="false">D765</f>
        <v>4.482307692</v>
      </c>
      <c r="AD765" s="6" t="n">
        <f aca="false">E765</f>
        <v>1</v>
      </c>
      <c r="AE765" s="6" t="n">
        <f aca="false">G765</f>
        <v>0</v>
      </c>
      <c r="AF765" s="6" t="n">
        <f aca="false">H765</f>
        <v>0</v>
      </c>
      <c r="AG765" s="6" t="n">
        <f aca="false">I765</f>
        <v>1</v>
      </c>
      <c r="AH765" s="6" t="n">
        <f aca="false">L765</f>
        <v>0</v>
      </c>
    </row>
    <row r="766" customFormat="false" ht="15" hidden="false" customHeight="false" outlineLevel="0" collapsed="false">
      <c r="A766" s="0" t="str">
        <f aca="false">'Raw Data'!C766</f>
        <v>Stevens Creek (aka Cupertino)</v>
      </c>
      <c r="B766" s="5" t="n">
        <f aca="false">'Raw Data'!A766</f>
        <v>40337</v>
      </c>
      <c r="C766" s="6" t="n">
        <f aca="false">'Raw Data'!D766</f>
        <v>138.819651063657</v>
      </c>
      <c r="D766" s="6" t="n">
        <f aca="false">'Raw Data'!E766</f>
        <v>4.866923077</v>
      </c>
      <c r="E766" s="6" t="n">
        <f aca="false">'Raw Data'!F766</f>
        <v>1</v>
      </c>
      <c r="F766" s="6" t="n">
        <f aca="false">'Raw Data'!G766</f>
        <v>0</v>
      </c>
      <c r="G766" s="6" t="n">
        <f aca="false">'Raw Data'!H766</f>
        <v>0</v>
      </c>
      <c r="H766" s="6" t="n">
        <f aca="false">'Raw Data'!I766</f>
        <v>0</v>
      </c>
      <c r="I766" s="6" t="n">
        <f aca="false">'Raw Data'!J766</f>
        <v>0</v>
      </c>
      <c r="J766" s="6" t="n">
        <f aca="false">'Raw Data'!K766</f>
        <v>1</v>
      </c>
      <c r="K766" s="6" t="n">
        <f aca="false">'Raw Data'!L766</f>
        <v>2</v>
      </c>
      <c r="L766" s="6" t="n">
        <f aca="false">F766*E766</f>
        <v>0</v>
      </c>
      <c r="N766" s="0" t="n">
        <v>1</v>
      </c>
      <c r="O766" s="6" t="n">
        <f aca="false">D766</f>
        <v>4.866923077</v>
      </c>
      <c r="P766" s="6" t="n">
        <f aca="false">E766</f>
        <v>1</v>
      </c>
      <c r="Q766" s="6" t="n">
        <f aca="false">F766</f>
        <v>0</v>
      </c>
      <c r="R766" s="6" t="n">
        <f aca="false">G766</f>
        <v>0</v>
      </c>
      <c r="S766" s="6" t="n">
        <f aca="false">H766</f>
        <v>0</v>
      </c>
      <c r="T766" s="6" t="n">
        <f aca="false">I766</f>
        <v>0</v>
      </c>
      <c r="U766" s="6" t="n">
        <f aca="false">L766</f>
        <v>0</v>
      </c>
      <c r="W766" s="6" t="n">
        <f aca="false">D766</f>
        <v>4.866923077</v>
      </c>
      <c r="X766" s="6" t="n">
        <f aca="false">E766</f>
        <v>1</v>
      </c>
      <c r="Y766" s="6" t="n">
        <f aca="false">F766</f>
        <v>0</v>
      </c>
      <c r="Z766" s="6" t="n">
        <f aca="false">L766</f>
        <v>0</v>
      </c>
      <c r="AA766" s="6" t="n">
        <f aca="false">G766</f>
        <v>0</v>
      </c>
      <c r="AC766" s="6" t="n">
        <f aca="false">D766</f>
        <v>4.866923077</v>
      </c>
      <c r="AD766" s="6" t="n">
        <f aca="false">E766</f>
        <v>1</v>
      </c>
      <c r="AE766" s="6" t="n">
        <f aca="false">G766</f>
        <v>0</v>
      </c>
      <c r="AF766" s="6" t="n">
        <f aca="false">H766</f>
        <v>0</v>
      </c>
      <c r="AG766" s="6" t="n">
        <f aca="false">I766</f>
        <v>0</v>
      </c>
      <c r="AH766" s="6" t="n">
        <f aca="false">L766</f>
        <v>0</v>
      </c>
    </row>
    <row r="767" customFormat="false" ht="15" hidden="false" customHeight="false" outlineLevel="0" collapsed="false">
      <c r="A767" s="0" t="str">
        <f aca="false">'Raw Data'!C767</f>
        <v>Stevens Creek (aka Cupertino)</v>
      </c>
      <c r="B767" s="5" t="n">
        <f aca="false">'Raw Data'!A767</f>
        <v>40344</v>
      </c>
      <c r="C767" s="6" t="n">
        <f aca="false">'Raw Data'!D767</f>
        <v>707.66887456326</v>
      </c>
      <c r="D767" s="6" t="n">
        <f aca="false">'Raw Data'!E767</f>
        <v>4.153846154</v>
      </c>
      <c r="E767" s="6" t="n">
        <f aca="false">'Raw Data'!F767</f>
        <v>1</v>
      </c>
      <c r="F767" s="6" t="n">
        <f aca="false">'Raw Data'!G767</f>
        <v>1</v>
      </c>
      <c r="G767" s="6" t="n">
        <f aca="false">'Raw Data'!H767</f>
        <v>0</v>
      </c>
      <c r="H767" s="6" t="n">
        <f aca="false">'Raw Data'!I767</f>
        <v>0</v>
      </c>
      <c r="I767" s="6" t="n">
        <f aca="false">'Raw Data'!J767</f>
        <v>0</v>
      </c>
      <c r="J767" s="6" t="n">
        <f aca="false">'Raw Data'!K767</f>
        <v>1</v>
      </c>
      <c r="K767" s="6" t="n">
        <f aca="false">'Raw Data'!L767</f>
        <v>2</v>
      </c>
      <c r="L767" s="6" t="n">
        <f aca="false">F767*E767</f>
        <v>1</v>
      </c>
      <c r="N767" s="0" t="n">
        <v>1</v>
      </c>
      <c r="O767" s="6" t="n">
        <f aca="false">D767</f>
        <v>4.153846154</v>
      </c>
      <c r="P767" s="6" t="n">
        <f aca="false">E767</f>
        <v>1</v>
      </c>
      <c r="Q767" s="6" t="n">
        <f aca="false">F767</f>
        <v>1</v>
      </c>
      <c r="R767" s="6" t="n">
        <f aca="false">G767</f>
        <v>0</v>
      </c>
      <c r="S767" s="6" t="n">
        <f aca="false">H767</f>
        <v>0</v>
      </c>
      <c r="T767" s="6" t="n">
        <f aca="false">I767</f>
        <v>0</v>
      </c>
      <c r="U767" s="6" t="n">
        <f aca="false">L767</f>
        <v>1</v>
      </c>
      <c r="W767" s="6" t="n">
        <f aca="false">D767</f>
        <v>4.153846154</v>
      </c>
      <c r="X767" s="6" t="n">
        <f aca="false">E767</f>
        <v>1</v>
      </c>
      <c r="Y767" s="6" t="n">
        <f aca="false">F767</f>
        <v>1</v>
      </c>
      <c r="Z767" s="6" t="n">
        <f aca="false">L767</f>
        <v>1</v>
      </c>
      <c r="AA767" s="6" t="n">
        <f aca="false">G767</f>
        <v>0</v>
      </c>
      <c r="AC767" s="6" t="n">
        <f aca="false">D767</f>
        <v>4.153846154</v>
      </c>
      <c r="AD767" s="6" t="n">
        <f aca="false">E767</f>
        <v>1</v>
      </c>
      <c r="AE767" s="6" t="n">
        <f aca="false">G767</f>
        <v>0</v>
      </c>
      <c r="AF767" s="6" t="n">
        <f aca="false">H767</f>
        <v>0</v>
      </c>
      <c r="AG767" s="6" t="n">
        <f aca="false">I767</f>
        <v>0</v>
      </c>
      <c r="AH767" s="6" t="n">
        <f aca="false">L767</f>
        <v>1</v>
      </c>
    </row>
    <row r="768" customFormat="false" ht="15" hidden="false" customHeight="false" outlineLevel="0" collapsed="false">
      <c r="A768" s="0" t="str">
        <f aca="false">'Raw Data'!C768</f>
        <v>Stevens Creek (aka Cupertino)</v>
      </c>
      <c r="B768" s="5" t="n">
        <f aca="false">'Raw Data'!A768</f>
        <v>40351</v>
      </c>
      <c r="C768" s="6" t="n">
        <f aca="false">'Raw Data'!D768</f>
        <v>636.791415479701</v>
      </c>
      <c r="D768" s="6" t="n">
        <f aca="false">'Raw Data'!E768</f>
        <v>4.120769231</v>
      </c>
      <c r="E768" s="6" t="n">
        <f aca="false">'Raw Data'!F768</f>
        <v>1</v>
      </c>
      <c r="F768" s="6" t="n">
        <f aca="false">'Raw Data'!G768</f>
        <v>1</v>
      </c>
      <c r="G768" s="6" t="n">
        <f aca="false">'Raw Data'!H768</f>
        <v>0</v>
      </c>
      <c r="H768" s="6" t="n">
        <f aca="false">'Raw Data'!I768</f>
        <v>0</v>
      </c>
      <c r="I768" s="6" t="n">
        <f aca="false">'Raw Data'!J768</f>
        <v>0</v>
      </c>
      <c r="J768" s="6" t="n">
        <f aca="false">'Raw Data'!K768</f>
        <v>1</v>
      </c>
      <c r="K768" s="6" t="n">
        <f aca="false">'Raw Data'!L768</f>
        <v>2</v>
      </c>
      <c r="L768" s="6" t="n">
        <f aca="false">F768*E768</f>
        <v>1</v>
      </c>
      <c r="N768" s="0" t="n">
        <v>1</v>
      </c>
      <c r="O768" s="6" t="n">
        <f aca="false">D768</f>
        <v>4.120769231</v>
      </c>
      <c r="P768" s="6" t="n">
        <f aca="false">E768</f>
        <v>1</v>
      </c>
      <c r="Q768" s="6" t="n">
        <f aca="false">F768</f>
        <v>1</v>
      </c>
      <c r="R768" s="6" t="n">
        <f aca="false">G768</f>
        <v>0</v>
      </c>
      <c r="S768" s="6" t="n">
        <f aca="false">H768</f>
        <v>0</v>
      </c>
      <c r="T768" s="6" t="n">
        <f aca="false">I768</f>
        <v>0</v>
      </c>
      <c r="U768" s="6" t="n">
        <f aca="false">L768</f>
        <v>1</v>
      </c>
      <c r="W768" s="6" t="n">
        <f aca="false">D768</f>
        <v>4.120769231</v>
      </c>
      <c r="X768" s="6" t="n">
        <f aca="false">E768</f>
        <v>1</v>
      </c>
      <c r="Y768" s="6" t="n">
        <f aca="false">F768</f>
        <v>1</v>
      </c>
      <c r="Z768" s="6" t="n">
        <f aca="false">L768</f>
        <v>1</v>
      </c>
      <c r="AA768" s="6" t="n">
        <f aca="false">G768</f>
        <v>0</v>
      </c>
      <c r="AC768" s="6" t="n">
        <f aca="false">D768</f>
        <v>4.120769231</v>
      </c>
      <c r="AD768" s="6" t="n">
        <f aca="false">E768</f>
        <v>1</v>
      </c>
      <c r="AE768" s="6" t="n">
        <f aca="false">G768</f>
        <v>0</v>
      </c>
      <c r="AF768" s="6" t="n">
        <f aca="false">H768</f>
        <v>0</v>
      </c>
      <c r="AG768" s="6" t="n">
        <f aca="false">I768</f>
        <v>0</v>
      </c>
      <c r="AH768" s="6" t="n">
        <f aca="false">L768</f>
        <v>1</v>
      </c>
    </row>
    <row r="769" customFormat="false" ht="15" hidden="false" customHeight="false" outlineLevel="0" collapsed="false">
      <c r="A769" s="0" t="str">
        <f aca="false">'Raw Data'!C769</f>
        <v>Stevens Creek (aka Cupertino)</v>
      </c>
      <c r="B769" s="5" t="n">
        <f aca="false">'Raw Data'!A769</f>
        <v>40358</v>
      </c>
      <c r="C769" s="6" t="n">
        <f aca="false">'Raw Data'!D769</f>
        <v>740.160658328604</v>
      </c>
      <c r="D769" s="6" t="n">
        <f aca="false">'Raw Data'!E769</f>
        <v>4.120769231</v>
      </c>
      <c r="E769" s="6" t="n">
        <f aca="false">'Raw Data'!F769</f>
        <v>1</v>
      </c>
      <c r="F769" s="6" t="n">
        <f aca="false">'Raw Data'!G769</f>
        <v>1</v>
      </c>
      <c r="G769" s="6" t="n">
        <f aca="false">'Raw Data'!H769</f>
        <v>0</v>
      </c>
      <c r="H769" s="6" t="n">
        <f aca="false">'Raw Data'!I769</f>
        <v>0</v>
      </c>
      <c r="I769" s="6" t="n">
        <f aca="false">'Raw Data'!J769</f>
        <v>0</v>
      </c>
      <c r="J769" s="6" t="n">
        <f aca="false">'Raw Data'!K769</f>
        <v>1</v>
      </c>
      <c r="K769" s="6" t="n">
        <f aca="false">'Raw Data'!L769</f>
        <v>2</v>
      </c>
      <c r="L769" s="6" t="n">
        <f aca="false">F769*E769</f>
        <v>1</v>
      </c>
      <c r="N769" s="0" t="n">
        <v>1</v>
      </c>
      <c r="O769" s="6" t="n">
        <f aca="false">D769</f>
        <v>4.120769231</v>
      </c>
      <c r="P769" s="6" t="n">
        <f aca="false">E769</f>
        <v>1</v>
      </c>
      <c r="Q769" s="6" t="n">
        <f aca="false">F769</f>
        <v>1</v>
      </c>
      <c r="R769" s="6" t="n">
        <f aca="false">G769</f>
        <v>0</v>
      </c>
      <c r="S769" s="6" t="n">
        <f aca="false">H769</f>
        <v>0</v>
      </c>
      <c r="T769" s="6" t="n">
        <f aca="false">I769</f>
        <v>0</v>
      </c>
      <c r="U769" s="6" t="n">
        <f aca="false">L769</f>
        <v>1</v>
      </c>
      <c r="W769" s="6" t="n">
        <f aca="false">D769</f>
        <v>4.120769231</v>
      </c>
      <c r="X769" s="6" t="n">
        <f aca="false">E769</f>
        <v>1</v>
      </c>
      <c r="Y769" s="6" t="n">
        <f aca="false">F769</f>
        <v>1</v>
      </c>
      <c r="Z769" s="6" t="n">
        <f aca="false">L769</f>
        <v>1</v>
      </c>
      <c r="AA769" s="6" t="n">
        <f aca="false">G769</f>
        <v>0</v>
      </c>
      <c r="AC769" s="6" t="n">
        <f aca="false">D769</f>
        <v>4.120769231</v>
      </c>
      <c r="AD769" s="6" t="n">
        <f aca="false">E769</f>
        <v>1</v>
      </c>
      <c r="AE769" s="6" t="n">
        <f aca="false">G769</f>
        <v>0</v>
      </c>
      <c r="AF769" s="6" t="n">
        <f aca="false">H769</f>
        <v>0</v>
      </c>
      <c r="AG769" s="6" t="n">
        <f aca="false">I769</f>
        <v>0</v>
      </c>
      <c r="AH769" s="6" t="n">
        <f aca="false">L769</f>
        <v>1</v>
      </c>
    </row>
    <row r="770" customFormat="false" ht="15" hidden="false" customHeight="false" outlineLevel="0" collapsed="false">
      <c r="A770" s="0" t="str">
        <f aca="false">'Raw Data'!C770</f>
        <v>Stevens Creek (aka Cupertino)</v>
      </c>
      <c r="B770" s="5" t="n">
        <f aca="false">'Raw Data'!A770</f>
        <v>40365</v>
      </c>
      <c r="C770" s="6" t="n">
        <f aca="false">'Raw Data'!D770</f>
        <v>734.229924836268</v>
      </c>
      <c r="D770" s="6" t="n">
        <f aca="false">'Raw Data'!E770</f>
        <v>4.732307692</v>
      </c>
      <c r="E770" s="6" t="n">
        <f aca="false">'Raw Data'!F770</f>
        <v>1</v>
      </c>
      <c r="F770" s="6" t="n">
        <f aca="false">'Raw Data'!G770</f>
        <v>1</v>
      </c>
      <c r="G770" s="6" t="n">
        <f aca="false">'Raw Data'!H770</f>
        <v>0</v>
      </c>
      <c r="H770" s="6" t="n">
        <f aca="false">'Raw Data'!I770</f>
        <v>0</v>
      </c>
      <c r="I770" s="6" t="n">
        <f aca="false">'Raw Data'!J770</f>
        <v>0</v>
      </c>
      <c r="J770" s="6" t="n">
        <f aca="false">'Raw Data'!K770</f>
        <v>1</v>
      </c>
      <c r="K770" s="6" t="n">
        <f aca="false">'Raw Data'!L770</f>
        <v>2</v>
      </c>
      <c r="L770" s="6" t="n">
        <f aca="false">F770*E770</f>
        <v>1</v>
      </c>
      <c r="N770" s="0" t="n">
        <v>1</v>
      </c>
      <c r="O770" s="6" t="n">
        <f aca="false">D770</f>
        <v>4.732307692</v>
      </c>
      <c r="P770" s="6" t="n">
        <f aca="false">E770</f>
        <v>1</v>
      </c>
      <c r="Q770" s="6" t="n">
        <f aca="false">F770</f>
        <v>1</v>
      </c>
      <c r="R770" s="6" t="n">
        <f aca="false">G770</f>
        <v>0</v>
      </c>
      <c r="S770" s="6" t="n">
        <f aca="false">H770</f>
        <v>0</v>
      </c>
      <c r="T770" s="6" t="n">
        <f aca="false">I770</f>
        <v>0</v>
      </c>
      <c r="U770" s="6" t="n">
        <f aca="false">L770</f>
        <v>1</v>
      </c>
      <c r="W770" s="6" t="n">
        <f aca="false">D770</f>
        <v>4.732307692</v>
      </c>
      <c r="X770" s="6" t="n">
        <f aca="false">E770</f>
        <v>1</v>
      </c>
      <c r="Y770" s="6" t="n">
        <f aca="false">F770</f>
        <v>1</v>
      </c>
      <c r="Z770" s="6" t="n">
        <f aca="false">L770</f>
        <v>1</v>
      </c>
      <c r="AA770" s="6" t="n">
        <f aca="false">G770</f>
        <v>0</v>
      </c>
      <c r="AC770" s="6" t="n">
        <f aca="false">D770</f>
        <v>4.732307692</v>
      </c>
      <c r="AD770" s="6" t="n">
        <f aca="false">E770</f>
        <v>1</v>
      </c>
      <c r="AE770" s="6" t="n">
        <f aca="false">G770</f>
        <v>0</v>
      </c>
      <c r="AF770" s="6" t="n">
        <f aca="false">H770</f>
        <v>0</v>
      </c>
      <c r="AG770" s="6" t="n">
        <f aca="false">I770</f>
        <v>0</v>
      </c>
      <c r="AH770" s="6" t="n">
        <f aca="false">L770</f>
        <v>1</v>
      </c>
    </row>
    <row r="771" customFormat="false" ht="15" hidden="false" customHeight="false" outlineLevel="0" collapsed="false">
      <c r="A771" s="0" t="str">
        <f aca="false">'Raw Data'!C771</f>
        <v>Stevens Creek (aka Cupertino)</v>
      </c>
      <c r="B771" s="5" t="n">
        <f aca="false">'Raw Data'!A771</f>
        <v>40372</v>
      </c>
      <c r="C771" s="6" t="n">
        <f aca="false">'Raw Data'!D771</f>
        <v>617.708646560797</v>
      </c>
      <c r="D771" s="6" t="n">
        <f aca="false">'Raw Data'!E771</f>
        <v>4.728461538</v>
      </c>
      <c r="E771" s="6" t="n">
        <f aca="false">'Raw Data'!F771</f>
        <v>1</v>
      </c>
      <c r="F771" s="6" t="n">
        <f aca="false">'Raw Data'!G771</f>
        <v>1</v>
      </c>
      <c r="G771" s="6" t="n">
        <f aca="false">'Raw Data'!H771</f>
        <v>0</v>
      </c>
      <c r="H771" s="6" t="n">
        <f aca="false">'Raw Data'!I771</f>
        <v>0</v>
      </c>
      <c r="I771" s="6" t="n">
        <f aca="false">'Raw Data'!J771</f>
        <v>0</v>
      </c>
      <c r="J771" s="6" t="n">
        <f aca="false">'Raw Data'!K771</f>
        <v>1</v>
      </c>
      <c r="K771" s="6" t="n">
        <f aca="false">'Raw Data'!L771</f>
        <v>2</v>
      </c>
      <c r="L771" s="6" t="n">
        <f aca="false">F771*E771</f>
        <v>1</v>
      </c>
      <c r="N771" s="0" t="n">
        <v>1</v>
      </c>
      <c r="O771" s="6" t="n">
        <f aca="false">D771</f>
        <v>4.728461538</v>
      </c>
      <c r="P771" s="6" t="n">
        <f aca="false">E771</f>
        <v>1</v>
      </c>
      <c r="Q771" s="6" t="n">
        <f aca="false">F771</f>
        <v>1</v>
      </c>
      <c r="R771" s="6" t="n">
        <f aca="false">G771</f>
        <v>0</v>
      </c>
      <c r="S771" s="6" t="n">
        <f aca="false">H771</f>
        <v>0</v>
      </c>
      <c r="T771" s="6" t="n">
        <f aca="false">I771</f>
        <v>0</v>
      </c>
      <c r="U771" s="6" t="n">
        <f aca="false">L771</f>
        <v>1</v>
      </c>
      <c r="W771" s="6" t="n">
        <f aca="false">D771</f>
        <v>4.728461538</v>
      </c>
      <c r="X771" s="6" t="n">
        <f aca="false">E771</f>
        <v>1</v>
      </c>
      <c r="Y771" s="6" t="n">
        <f aca="false">F771</f>
        <v>1</v>
      </c>
      <c r="Z771" s="6" t="n">
        <f aca="false">L771</f>
        <v>1</v>
      </c>
      <c r="AA771" s="6" t="n">
        <f aca="false">G771</f>
        <v>0</v>
      </c>
      <c r="AC771" s="6" t="n">
        <f aca="false">D771</f>
        <v>4.728461538</v>
      </c>
      <c r="AD771" s="6" t="n">
        <f aca="false">E771</f>
        <v>1</v>
      </c>
      <c r="AE771" s="6" t="n">
        <f aca="false">G771</f>
        <v>0</v>
      </c>
      <c r="AF771" s="6" t="n">
        <f aca="false">H771</f>
        <v>0</v>
      </c>
      <c r="AG771" s="6" t="n">
        <f aca="false">I771</f>
        <v>0</v>
      </c>
      <c r="AH771" s="6" t="n">
        <f aca="false">L771</f>
        <v>1</v>
      </c>
    </row>
    <row r="772" customFormat="false" ht="15" hidden="false" customHeight="false" outlineLevel="0" collapsed="false">
      <c r="A772" s="0" t="str">
        <f aca="false">'Raw Data'!C772</f>
        <v>Walnut Creek</v>
      </c>
      <c r="B772" s="5" t="n">
        <f aca="false">'Raw Data'!A772</f>
        <v>40302</v>
      </c>
      <c r="C772" s="6" t="n">
        <f aca="false">'Raw Data'!D772</f>
        <v>161.064127867517</v>
      </c>
      <c r="D772" s="6" t="n">
        <f aca="false">'Raw Data'!E772</f>
        <v>4.623333333</v>
      </c>
      <c r="E772" s="6" t="n">
        <f aca="false">'Raw Data'!F772</f>
        <v>1</v>
      </c>
      <c r="F772" s="6" t="n">
        <f aca="false">'Raw Data'!G772</f>
        <v>0</v>
      </c>
      <c r="G772" s="6" t="n">
        <f aca="false">'Raw Data'!H772</f>
        <v>0</v>
      </c>
      <c r="H772" s="6" t="n">
        <f aca="false">'Raw Data'!I772</f>
        <v>0</v>
      </c>
      <c r="I772" s="6" t="n">
        <f aca="false">'Raw Data'!J772</f>
        <v>0</v>
      </c>
      <c r="J772" s="6" t="n">
        <f aca="false">'Raw Data'!K772</f>
        <v>2</v>
      </c>
      <c r="K772" s="6" t="n">
        <f aca="false">'Raw Data'!L772</f>
        <v>0</v>
      </c>
      <c r="L772" s="6" t="n">
        <f aca="false">F772*E772</f>
        <v>0</v>
      </c>
      <c r="N772" s="0" t="n">
        <v>1</v>
      </c>
      <c r="O772" s="6" t="n">
        <f aca="false">D772</f>
        <v>4.623333333</v>
      </c>
      <c r="P772" s="6" t="n">
        <f aca="false">E772</f>
        <v>1</v>
      </c>
      <c r="Q772" s="6" t="n">
        <f aca="false">F772</f>
        <v>0</v>
      </c>
      <c r="R772" s="6" t="n">
        <f aca="false">G772</f>
        <v>0</v>
      </c>
      <c r="S772" s="6" t="n">
        <f aca="false">H772</f>
        <v>0</v>
      </c>
      <c r="T772" s="6" t="n">
        <f aca="false">I772</f>
        <v>0</v>
      </c>
      <c r="U772" s="6" t="n">
        <f aca="false">L772</f>
        <v>0</v>
      </c>
      <c r="W772" s="6" t="n">
        <f aca="false">D772</f>
        <v>4.623333333</v>
      </c>
      <c r="X772" s="6" t="n">
        <f aca="false">E772</f>
        <v>1</v>
      </c>
      <c r="Y772" s="6" t="n">
        <f aca="false">F772</f>
        <v>0</v>
      </c>
      <c r="Z772" s="6" t="n">
        <f aca="false">L772</f>
        <v>0</v>
      </c>
      <c r="AA772" s="6" t="n">
        <f aca="false">G772</f>
        <v>0</v>
      </c>
      <c r="AC772" s="6" t="n">
        <f aca="false">D772</f>
        <v>4.623333333</v>
      </c>
      <c r="AD772" s="6" t="n">
        <f aca="false">E772</f>
        <v>1</v>
      </c>
      <c r="AE772" s="6" t="n">
        <f aca="false">G772</f>
        <v>0</v>
      </c>
      <c r="AF772" s="6" t="n">
        <f aca="false">H772</f>
        <v>0</v>
      </c>
      <c r="AG772" s="6" t="n">
        <f aca="false">I772</f>
        <v>0</v>
      </c>
      <c r="AH772" s="6" t="n">
        <f aca="false">L772</f>
        <v>0</v>
      </c>
    </row>
    <row r="773" customFormat="false" ht="15" hidden="false" customHeight="false" outlineLevel="0" collapsed="false">
      <c r="A773" s="0" t="str">
        <f aca="false">'Raw Data'!C773</f>
        <v>Walnut Creek</v>
      </c>
      <c r="B773" s="5" t="n">
        <f aca="false">'Raw Data'!A773</f>
        <v>40309</v>
      </c>
      <c r="C773" s="6" t="n">
        <f aca="false">'Raw Data'!D773</f>
        <v>227.284097213415</v>
      </c>
      <c r="D773" s="6" t="n">
        <f aca="false">'Raw Data'!E773</f>
        <v>4.680909091</v>
      </c>
      <c r="E773" s="6" t="n">
        <f aca="false">'Raw Data'!F773</f>
        <v>1</v>
      </c>
      <c r="F773" s="6" t="n">
        <f aca="false">'Raw Data'!G773</f>
        <v>0</v>
      </c>
      <c r="G773" s="6" t="n">
        <f aca="false">'Raw Data'!H773</f>
        <v>0</v>
      </c>
      <c r="H773" s="6" t="n">
        <f aca="false">'Raw Data'!I773</f>
        <v>0</v>
      </c>
      <c r="I773" s="6" t="n">
        <f aca="false">'Raw Data'!J773</f>
        <v>0</v>
      </c>
      <c r="J773" s="6" t="n">
        <f aca="false">'Raw Data'!K773</f>
        <v>2</v>
      </c>
      <c r="K773" s="6" t="n">
        <f aca="false">'Raw Data'!L773</f>
        <v>0</v>
      </c>
      <c r="L773" s="6" t="n">
        <f aca="false">F773*E773</f>
        <v>0</v>
      </c>
      <c r="N773" s="0" t="n">
        <v>1</v>
      </c>
      <c r="O773" s="6" t="n">
        <f aca="false">D773</f>
        <v>4.680909091</v>
      </c>
      <c r="P773" s="6" t="n">
        <f aca="false">E773</f>
        <v>1</v>
      </c>
      <c r="Q773" s="6" t="n">
        <f aca="false">F773</f>
        <v>0</v>
      </c>
      <c r="R773" s="6" t="n">
        <f aca="false">G773</f>
        <v>0</v>
      </c>
      <c r="S773" s="6" t="n">
        <f aca="false">H773</f>
        <v>0</v>
      </c>
      <c r="T773" s="6" t="n">
        <f aca="false">I773</f>
        <v>0</v>
      </c>
      <c r="U773" s="6" t="n">
        <f aca="false">L773</f>
        <v>0</v>
      </c>
      <c r="W773" s="6" t="n">
        <f aca="false">D773</f>
        <v>4.680909091</v>
      </c>
      <c r="X773" s="6" t="n">
        <f aca="false">E773</f>
        <v>1</v>
      </c>
      <c r="Y773" s="6" t="n">
        <f aca="false">F773</f>
        <v>0</v>
      </c>
      <c r="Z773" s="6" t="n">
        <f aca="false">L773</f>
        <v>0</v>
      </c>
      <c r="AA773" s="6" t="n">
        <f aca="false">G773</f>
        <v>0</v>
      </c>
      <c r="AC773" s="6" t="n">
        <f aca="false">D773</f>
        <v>4.680909091</v>
      </c>
      <c r="AD773" s="6" t="n">
        <f aca="false">E773</f>
        <v>1</v>
      </c>
      <c r="AE773" s="6" t="n">
        <f aca="false">G773</f>
        <v>0</v>
      </c>
      <c r="AF773" s="6" t="n">
        <f aca="false">H773</f>
        <v>0</v>
      </c>
      <c r="AG773" s="6" t="n">
        <f aca="false">I773</f>
        <v>0</v>
      </c>
      <c r="AH773" s="6" t="n">
        <f aca="false">L773</f>
        <v>0</v>
      </c>
    </row>
    <row r="774" customFormat="false" ht="15" hidden="false" customHeight="false" outlineLevel="0" collapsed="false">
      <c r="A774" s="0" t="str">
        <f aca="false">'Raw Data'!C774</f>
        <v>Walnut Creek</v>
      </c>
      <c r="B774" s="5" t="n">
        <f aca="false">'Raw Data'!A774</f>
        <v>40316</v>
      </c>
      <c r="C774" s="6" t="n">
        <f aca="false">'Raw Data'!D774</f>
        <v>269.70609159207</v>
      </c>
      <c r="D774" s="6" t="n">
        <f aca="false">'Raw Data'!E774</f>
        <v>4.482307692</v>
      </c>
      <c r="E774" s="6" t="n">
        <f aca="false">'Raw Data'!F774</f>
        <v>1</v>
      </c>
      <c r="F774" s="6" t="n">
        <f aca="false">'Raw Data'!G774</f>
        <v>0</v>
      </c>
      <c r="G774" s="6" t="n">
        <f aca="false">'Raw Data'!H774</f>
        <v>0</v>
      </c>
      <c r="H774" s="6" t="n">
        <f aca="false">'Raw Data'!I774</f>
        <v>0</v>
      </c>
      <c r="I774" s="6" t="n">
        <f aca="false">'Raw Data'!J774</f>
        <v>0</v>
      </c>
      <c r="J774" s="6" t="n">
        <f aca="false">'Raw Data'!K774</f>
        <v>2</v>
      </c>
      <c r="K774" s="6" t="n">
        <f aca="false">'Raw Data'!L774</f>
        <v>0</v>
      </c>
      <c r="L774" s="6" t="n">
        <f aca="false">F774*E774</f>
        <v>0</v>
      </c>
      <c r="N774" s="0" t="n">
        <v>1</v>
      </c>
      <c r="O774" s="6" t="n">
        <f aca="false">D774</f>
        <v>4.482307692</v>
      </c>
      <c r="P774" s="6" t="n">
        <f aca="false">E774</f>
        <v>1</v>
      </c>
      <c r="Q774" s="6" t="n">
        <f aca="false">F774</f>
        <v>0</v>
      </c>
      <c r="R774" s="6" t="n">
        <f aca="false">G774</f>
        <v>0</v>
      </c>
      <c r="S774" s="6" t="n">
        <f aca="false">H774</f>
        <v>0</v>
      </c>
      <c r="T774" s="6" t="n">
        <f aca="false">I774</f>
        <v>0</v>
      </c>
      <c r="U774" s="6" t="n">
        <f aca="false">L774</f>
        <v>0</v>
      </c>
      <c r="W774" s="6" t="n">
        <f aca="false">D774</f>
        <v>4.482307692</v>
      </c>
      <c r="X774" s="6" t="n">
        <f aca="false">E774</f>
        <v>1</v>
      </c>
      <c r="Y774" s="6" t="n">
        <f aca="false">F774</f>
        <v>0</v>
      </c>
      <c r="Z774" s="6" t="n">
        <f aca="false">L774</f>
        <v>0</v>
      </c>
      <c r="AA774" s="6" t="n">
        <f aca="false">G774</f>
        <v>0</v>
      </c>
      <c r="AC774" s="6" t="n">
        <f aca="false">D774</f>
        <v>4.482307692</v>
      </c>
      <c r="AD774" s="6" t="n">
        <f aca="false">E774</f>
        <v>1</v>
      </c>
      <c r="AE774" s="6" t="n">
        <f aca="false">G774</f>
        <v>0</v>
      </c>
      <c r="AF774" s="6" t="n">
        <f aca="false">H774</f>
        <v>0</v>
      </c>
      <c r="AG774" s="6" t="n">
        <f aca="false">I774</f>
        <v>0</v>
      </c>
      <c r="AH774" s="6" t="n">
        <f aca="false">L774</f>
        <v>0</v>
      </c>
    </row>
    <row r="775" customFormat="false" ht="15" hidden="false" customHeight="false" outlineLevel="0" collapsed="false">
      <c r="A775" s="0" t="str">
        <f aca="false">'Raw Data'!C775</f>
        <v>Walnut Creek</v>
      </c>
      <c r="B775" s="5" t="n">
        <f aca="false">'Raw Data'!A775</f>
        <v>40323</v>
      </c>
      <c r="C775" s="6" t="n">
        <f aca="false">'Raw Data'!D775</f>
        <v>311.636851149669</v>
      </c>
      <c r="D775" s="6" t="n">
        <f aca="false">'Raw Data'!E775</f>
        <v>4.482307692</v>
      </c>
      <c r="E775" s="6" t="n">
        <f aca="false">'Raw Data'!F775</f>
        <v>1</v>
      </c>
      <c r="F775" s="6" t="n">
        <f aca="false">'Raw Data'!G775</f>
        <v>0</v>
      </c>
      <c r="G775" s="6" t="n">
        <f aca="false">'Raw Data'!H775</f>
        <v>0</v>
      </c>
      <c r="H775" s="6" t="n">
        <f aca="false">'Raw Data'!I775</f>
        <v>0</v>
      </c>
      <c r="I775" s="6" t="n">
        <f aca="false">'Raw Data'!J775</f>
        <v>0</v>
      </c>
      <c r="J775" s="6" t="n">
        <f aca="false">'Raw Data'!K775</f>
        <v>2</v>
      </c>
      <c r="K775" s="6" t="n">
        <f aca="false">'Raw Data'!L775</f>
        <v>0</v>
      </c>
      <c r="L775" s="6" t="n">
        <f aca="false">F775*E775</f>
        <v>0</v>
      </c>
      <c r="N775" s="0" t="n">
        <v>1</v>
      </c>
      <c r="O775" s="6" t="n">
        <f aca="false">D775</f>
        <v>4.482307692</v>
      </c>
      <c r="P775" s="6" t="n">
        <f aca="false">E775</f>
        <v>1</v>
      </c>
      <c r="Q775" s="6" t="n">
        <f aca="false">F775</f>
        <v>0</v>
      </c>
      <c r="R775" s="6" t="n">
        <f aca="false">G775</f>
        <v>0</v>
      </c>
      <c r="S775" s="6" t="n">
        <f aca="false">H775</f>
        <v>0</v>
      </c>
      <c r="T775" s="6" t="n">
        <f aca="false">I775</f>
        <v>0</v>
      </c>
      <c r="U775" s="6" t="n">
        <f aca="false">L775</f>
        <v>0</v>
      </c>
      <c r="W775" s="6" t="n">
        <f aca="false">D775</f>
        <v>4.482307692</v>
      </c>
      <c r="X775" s="6" t="n">
        <f aca="false">E775</f>
        <v>1</v>
      </c>
      <c r="Y775" s="6" t="n">
        <f aca="false">F775</f>
        <v>0</v>
      </c>
      <c r="Z775" s="6" t="n">
        <f aca="false">L775</f>
        <v>0</v>
      </c>
      <c r="AA775" s="6" t="n">
        <f aca="false">G775</f>
        <v>0</v>
      </c>
      <c r="AC775" s="6" t="n">
        <f aca="false">D775</f>
        <v>4.482307692</v>
      </c>
      <c r="AD775" s="6" t="n">
        <f aca="false">E775</f>
        <v>1</v>
      </c>
      <c r="AE775" s="6" t="n">
        <f aca="false">G775</f>
        <v>0</v>
      </c>
      <c r="AF775" s="6" t="n">
        <f aca="false">H775</f>
        <v>0</v>
      </c>
      <c r="AG775" s="6" t="n">
        <f aca="false">I775</f>
        <v>0</v>
      </c>
      <c r="AH775" s="6" t="n">
        <f aca="false">L775</f>
        <v>0</v>
      </c>
    </row>
    <row r="776" customFormat="false" ht="15" hidden="false" customHeight="false" outlineLevel="0" collapsed="false">
      <c r="A776" s="0" t="str">
        <f aca="false">'Raw Data'!C776</f>
        <v>Walnut Creek</v>
      </c>
      <c r="B776" s="5" t="n">
        <f aca="false">'Raw Data'!A776</f>
        <v>40330</v>
      </c>
      <c r="C776" s="6" t="n">
        <f aca="false">'Raw Data'!D776</f>
        <v>211.914276165617</v>
      </c>
      <c r="D776" s="6" t="n">
        <f aca="false">'Raw Data'!E776</f>
        <v>4.29</v>
      </c>
      <c r="E776" s="6" t="n">
        <f aca="false">'Raw Data'!F776</f>
        <v>1</v>
      </c>
      <c r="F776" s="6" t="n">
        <f aca="false">'Raw Data'!G776</f>
        <v>0</v>
      </c>
      <c r="G776" s="6" t="n">
        <f aca="false">'Raw Data'!H776</f>
        <v>0</v>
      </c>
      <c r="H776" s="6" t="n">
        <f aca="false">'Raw Data'!I776</f>
        <v>0</v>
      </c>
      <c r="I776" s="6" t="n">
        <f aca="false">'Raw Data'!J776</f>
        <v>0</v>
      </c>
      <c r="J776" s="6" t="n">
        <f aca="false">'Raw Data'!K776</f>
        <v>2</v>
      </c>
      <c r="K776" s="6" t="n">
        <f aca="false">'Raw Data'!L776</f>
        <v>0</v>
      </c>
      <c r="L776" s="6" t="n">
        <f aca="false">F776*E776</f>
        <v>0</v>
      </c>
      <c r="N776" s="0" t="n">
        <v>1</v>
      </c>
      <c r="O776" s="6" t="n">
        <f aca="false">D776</f>
        <v>4.29</v>
      </c>
      <c r="P776" s="6" t="n">
        <f aca="false">E776</f>
        <v>1</v>
      </c>
      <c r="Q776" s="6" t="n">
        <f aca="false">F776</f>
        <v>0</v>
      </c>
      <c r="R776" s="6" t="n">
        <f aca="false">G776</f>
        <v>0</v>
      </c>
      <c r="S776" s="6" t="n">
        <f aca="false">H776</f>
        <v>0</v>
      </c>
      <c r="T776" s="6" t="n">
        <f aca="false">I776</f>
        <v>0</v>
      </c>
      <c r="U776" s="6" t="n">
        <f aca="false">L776</f>
        <v>0</v>
      </c>
      <c r="W776" s="6" t="n">
        <f aca="false">D776</f>
        <v>4.29</v>
      </c>
      <c r="X776" s="6" t="n">
        <f aca="false">E776</f>
        <v>1</v>
      </c>
      <c r="Y776" s="6" t="n">
        <f aca="false">F776</f>
        <v>0</v>
      </c>
      <c r="Z776" s="6" t="n">
        <f aca="false">L776</f>
        <v>0</v>
      </c>
      <c r="AA776" s="6" t="n">
        <f aca="false">G776</f>
        <v>0</v>
      </c>
      <c r="AC776" s="6" t="n">
        <f aca="false">D776</f>
        <v>4.29</v>
      </c>
      <c r="AD776" s="6" t="n">
        <f aca="false">E776</f>
        <v>1</v>
      </c>
      <c r="AE776" s="6" t="n">
        <f aca="false">G776</f>
        <v>0</v>
      </c>
      <c r="AF776" s="6" t="n">
        <f aca="false">H776</f>
        <v>0</v>
      </c>
      <c r="AG776" s="6" t="n">
        <f aca="false">I776</f>
        <v>0</v>
      </c>
      <c r="AH776" s="6" t="n">
        <f aca="false">L776</f>
        <v>0</v>
      </c>
    </row>
    <row r="777" customFormat="false" ht="15" hidden="false" customHeight="false" outlineLevel="0" collapsed="false">
      <c r="A777" s="0" t="str">
        <f aca="false">'Raw Data'!C777</f>
        <v>Walnut Creek</v>
      </c>
      <c r="B777" s="5" t="n">
        <f aca="false">'Raw Data'!A777</f>
        <v>40337</v>
      </c>
      <c r="C777" s="6" t="n">
        <f aca="false">'Raw Data'!D777</f>
        <v>252.792686888734</v>
      </c>
      <c r="D777" s="6" t="n">
        <f aca="false">'Raw Data'!E777</f>
        <v>4.907692308</v>
      </c>
      <c r="E777" s="6" t="n">
        <f aca="false">'Raw Data'!F777</f>
        <v>1</v>
      </c>
      <c r="F777" s="6" t="n">
        <f aca="false">'Raw Data'!G777</f>
        <v>0</v>
      </c>
      <c r="G777" s="6" t="n">
        <f aca="false">'Raw Data'!H777</f>
        <v>0</v>
      </c>
      <c r="H777" s="6" t="n">
        <f aca="false">'Raw Data'!I777</f>
        <v>0</v>
      </c>
      <c r="I777" s="6" t="n">
        <f aca="false">'Raw Data'!J777</f>
        <v>0</v>
      </c>
      <c r="J777" s="6" t="n">
        <f aca="false">'Raw Data'!K777</f>
        <v>2</v>
      </c>
      <c r="K777" s="6" t="n">
        <f aca="false">'Raw Data'!L777</f>
        <v>0</v>
      </c>
      <c r="L777" s="6" t="n">
        <f aca="false">F777*E777</f>
        <v>0</v>
      </c>
      <c r="N777" s="0" t="n">
        <v>1</v>
      </c>
      <c r="O777" s="6" t="n">
        <f aca="false">D777</f>
        <v>4.907692308</v>
      </c>
      <c r="P777" s="6" t="n">
        <f aca="false">E777</f>
        <v>1</v>
      </c>
      <c r="Q777" s="6" t="n">
        <f aca="false">F777</f>
        <v>0</v>
      </c>
      <c r="R777" s="6" t="n">
        <f aca="false">G777</f>
        <v>0</v>
      </c>
      <c r="S777" s="6" t="n">
        <f aca="false">H777</f>
        <v>0</v>
      </c>
      <c r="T777" s="6" t="n">
        <f aca="false">I777</f>
        <v>0</v>
      </c>
      <c r="U777" s="6" t="n">
        <f aca="false">L777</f>
        <v>0</v>
      </c>
      <c r="W777" s="6" t="n">
        <f aca="false">D777</f>
        <v>4.907692308</v>
      </c>
      <c r="X777" s="6" t="n">
        <f aca="false">E777</f>
        <v>1</v>
      </c>
      <c r="Y777" s="6" t="n">
        <f aca="false">F777</f>
        <v>0</v>
      </c>
      <c r="Z777" s="6" t="n">
        <f aca="false">L777</f>
        <v>0</v>
      </c>
      <c r="AA777" s="6" t="n">
        <f aca="false">G777</f>
        <v>0</v>
      </c>
      <c r="AC777" s="6" t="n">
        <f aca="false">D777</f>
        <v>4.907692308</v>
      </c>
      <c r="AD777" s="6" t="n">
        <f aca="false">E777</f>
        <v>1</v>
      </c>
      <c r="AE777" s="6" t="n">
        <f aca="false">G777</f>
        <v>0</v>
      </c>
      <c r="AF777" s="6" t="n">
        <f aca="false">H777</f>
        <v>0</v>
      </c>
      <c r="AG777" s="6" t="n">
        <f aca="false">I777</f>
        <v>0</v>
      </c>
      <c r="AH777" s="6" t="n">
        <f aca="false">L777</f>
        <v>0</v>
      </c>
    </row>
    <row r="778" customFormat="false" ht="15" hidden="false" customHeight="false" outlineLevel="0" collapsed="false">
      <c r="A778" s="0" t="str">
        <f aca="false">'Raw Data'!C778</f>
        <v>Walnut Creek</v>
      </c>
      <c r="B778" s="5" t="n">
        <f aca="false">'Raw Data'!A778</f>
        <v>40344</v>
      </c>
      <c r="C778" s="6" t="n">
        <f aca="false">'Raw Data'!D778</f>
        <v>709.087682354278</v>
      </c>
      <c r="D778" s="6" t="n">
        <f aca="false">'Raw Data'!E778</f>
        <v>4.859230769</v>
      </c>
      <c r="E778" s="6" t="n">
        <f aca="false">'Raw Data'!F778</f>
        <v>1</v>
      </c>
      <c r="F778" s="6" t="n">
        <f aca="false">'Raw Data'!G778</f>
        <v>1</v>
      </c>
      <c r="G778" s="6" t="n">
        <f aca="false">'Raw Data'!H778</f>
        <v>0</v>
      </c>
      <c r="H778" s="6" t="n">
        <f aca="false">'Raw Data'!I778</f>
        <v>0</v>
      </c>
      <c r="I778" s="6" t="n">
        <f aca="false">'Raw Data'!J778</f>
        <v>0</v>
      </c>
      <c r="J778" s="6" t="n">
        <f aca="false">'Raw Data'!K778</f>
        <v>2</v>
      </c>
      <c r="K778" s="6" t="n">
        <f aca="false">'Raw Data'!L778</f>
        <v>0</v>
      </c>
      <c r="L778" s="6" t="n">
        <f aca="false">F778*E778</f>
        <v>1</v>
      </c>
      <c r="N778" s="0" t="n">
        <v>1</v>
      </c>
      <c r="O778" s="6" t="n">
        <f aca="false">D778</f>
        <v>4.859230769</v>
      </c>
      <c r="P778" s="6" t="n">
        <f aca="false">E778</f>
        <v>1</v>
      </c>
      <c r="Q778" s="6" t="n">
        <f aca="false">F778</f>
        <v>1</v>
      </c>
      <c r="R778" s="6" t="n">
        <f aca="false">G778</f>
        <v>0</v>
      </c>
      <c r="S778" s="6" t="n">
        <f aca="false">H778</f>
        <v>0</v>
      </c>
      <c r="T778" s="6" t="n">
        <f aca="false">I778</f>
        <v>0</v>
      </c>
      <c r="U778" s="6" t="n">
        <f aca="false">L778</f>
        <v>1</v>
      </c>
      <c r="W778" s="6" t="n">
        <f aca="false">D778</f>
        <v>4.859230769</v>
      </c>
      <c r="X778" s="6" t="n">
        <f aca="false">E778</f>
        <v>1</v>
      </c>
      <c r="Y778" s="6" t="n">
        <f aca="false">F778</f>
        <v>1</v>
      </c>
      <c r="Z778" s="6" t="n">
        <f aca="false">L778</f>
        <v>1</v>
      </c>
      <c r="AA778" s="6" t="n">
        <f aca="false">G778</f>
        <v>0</v>
      </c>
      <c r="AC778" s="6" t="n">
        <f aca="false">D778</f>
        <v>4.859230769</v>
      </c>
      <c r="AD778" s="6" t="n">
        <f aca="false">E778</f>
        <v>1</v>
      </c>
      <c r="AE778" s="6" t="n">
        <f aca="false">G778</f>
        <v>0</v>
      </c>
      <c r="AF778" s="6" t="n">
        <f aca="false">H778</f>
        <v>0</v>
      </c>
      <c r="AG778" s="6" t="n">
        <f aca="false">I778</f>
        <v>0</v>
      </c>
      <c r="AH778" s="6" t="n">
        <f aca="false">L778</f>
        <v>1</v>
      </c>
    </row>
    <row r="779" customFormat="false" ht="15" hidden="false" customHeight="false" outlineLevel="0" collapsed="false">
      <c r="A779" s="0" t="str">
        <f aca="false">'Raw Data'!C779</f>
        <v>Walnut Creek</v>
      </c>
      <c r="B779" s="5" t="n">
        <f aca="false">'Raw Data'!A779</f>
        <v>40351</v>
      </c>
      <c r="C779" s="6" t="n">
        <f aca="false">'Raw Data'!D779</f>
        <v>736.30154065279</v>
      </c>
      <c r="D779" s="6" t="n">
        <f aca="false">'Raw Data'!E779</f>
        <v>4.29</v>
      </c>
      <c r="E779" s="6" t="n">
        <f aca="false">'Raw Data'!F779</f>
        <v>1</v>
      </c>
      <c r="F779" s="6" t="n">
        <f aca="false">'Raw Data'!G779</f>
        <v>1</v>
      </c>
      <c r="G779" s="6" t="n">
        <f aca="false">'Raw Data'!H779</f>
        <v>0</v>
      </c>
      <c r="H779" s="6" t="n">
        <f aca="false">'Raw Data'!I779</f>
        <v>0</v>
      </c>
      <c r="I779" s="6" t="n">
        <f aca="false">'Raw Data'!J779</f>
        <v>0</v>
      </c>
      <c r="J779" s="6" t="n">
        <f aca="false">'Raw Data'!K779</f>
        <v>2</v>
      </c>
      <c r="K779" s="6" t="n">
        <f aca="false">'Raw Data'!L779</f>
        <v>0</v>
      </c>
      <c r="L779" s="6" t="n">
        <f aca="false">F779*E779</f>
        <v>1</v>
      </c>
      <c r="N779" s="0" t="n">
        <v>1</v>
      </c>
      <c r="O779" s="6" t="n">
        <f aca="false">D779</f>
        <v>4.29</v>
      </c>
      <c r="P779" s="6" t="n">
        <f aca="false">E779</f>
        <v>1</v>
      </c>
      <c r="Q779" s="6" t="n">
        <f aca="false">F779</f>
        <v>1</v>
      </c>
      <c r="R779" s="6" t="n">
        <f aca="false">G779</f>
        <v>0</v>
      </c>
      <c r="S779" s="6" t="n">
        <f aca="false">H779</f>
        <v>0</v>
      </c>
      <c r="T779" s="6" t="n">
        <f aca="false">I779</f>
        <v>0</v>
      </c>
      <c r="U779" s="6" t="n">
        <f aca="false">L779</f>
        <v>1</v>
      </c>
      <c r="W779" s="6" t="n">
        <f aca="false">D779</f>
        <v>4.29</v>
      </c>
      <c r="X779" s="6" t="n">
        <f aca="false">E779</f>
        <v>1</v>
      </c>
      <c r="Y779" s="6" t="n">
        <f aca="false">F779</f>
        <v>1</v>
      </c>
      <c r="Z779" s="6" t="n">
        <f aca="false">L779</f>
        <v>1</v>
      </c>
      <c r="AA779" s="6" t="n">
        <f aca="false">G779</f>
        <v>0</v>
      </c>
      <c r="AC779" s="6" t="n">
        <f aca="false">D779</f>
        <v>4.29</v>
      </c>
      <c r="AD779" s="6" t="n">
        <f aca="false">E779</f>
        <v>1</v>
      </c>
      <c r="AE779" s="6" t="n">
        <f aca="false">G779</f>
        <v>0</v>
      </c>
      <c r="AF779" s="6" t="n">
        <f aca="false">H779</f>
        <v>0</v>
      </c>
      <c r="AG779" s="6" t="n">
        <f aca="false">I779</f>
        <v>0</v>
      </c>
      <c r="AH779" s="6" t="n">
        <f aca="false">L779</f>
        <v>1</v>
      </c>
    </row>
    <row r="780" customFormat="false" ht="15" hidden="false" customHeight="false" outlineLevel="0" collapsed="false">
      <c r="A780" s="0" t="str">
        <f aca="false">'Raw Data'!C780</f>
        <v>Walnut Creek</v>
      </c>
      <c r="B780" s="5" t="n">
        <f aca="false">'Raw Data'!A780</f>
        <v>40358</v>
      </c>
      <c r="C780" s="6" t="n">
        <f aca="false">'Raw Data'!D780</f>
        <v>663.243682505147</v>
      </c>
      <c r="D780" s="6" t="n">
        <f aca="false">'Raw Data'!E780</f>
        <v>4.846923077</v>
      </c>
      <c r="E780" s="6" t="n">
        <f aca="false">'Raw Data'!F780</f>
        <v>1</v>
      </c>
      <c r="F780" s="6" t="n">
        <f aca="false">'Raw Data'!G780</f>
        <v>1</v>
      </c>
      <c r="G780" s="6" t="n">
        <f aca="false">'Raw Data'!H780</f>
        <v>0</v>
      </c>
      <c r="H780" s="6" t="n">
        <f aca="false">'Raw Data'!I780</f>
        <v>0</v>
      </c>
      <c r="I780" s="6" t="n">
        <f aca="false">'Raw Data'!J780</f>
        <v>0</v>
      </c>
      <c r="J780" s="6" t="n">
        <f aca="false">'Raw Data'!K780</f>
        <v>2</v>
      </c>
      <c r="K780" s="6" t="n">
        <f aca="false">'Raw Data'!L780</f>
        <v>0</v>
      </c>
      <c r="L780" s="6" t="n">
        <f aca="false">F780*E780</f>
        <v>1</v>
      </c>
      <c r="N780" s="0" t="n">
        <v>1</v>
      </c>
      <c r="O780" s="6" t="n">
        <f aca="false">D780</f>
        <v>4.846923077</v>
      </c>
      <c r="P780" s="6" t="n">
        <f aca="false">E780</f>
        <v>1</v>
      </c>
      <c r="Q780" s="6" t="n">
        <f aca="false">F780</f>
        <v>1</v>
      </c>
      <c r="R780" s="6" t="n">
        <f aca="false">G780</f>
        <v>0</v>
      </c>
      <c r="S780" s="6" t="n">
        <f aca="false">H780</f>
        <v>0</v>
      </c>
      <c r="T780" s="6" t="n">
        <f aca="false">I780</f>
        <v>0</v>
      </c>
      <c r="U780" s="6" t="n">
        <f aca="false">L780</f>
        <v>1</v>
      </c>
      <c r="W780" s="6" t="n">
        <f aca="false">D780</f>
        <v>4.846923077</v>
      </c>
      <c r="X780" s="6" t="n">
        <f aca="false">E780</f>
        <v>1</v>
      </c>
      <c r="Y780" s="6" t="n">
        <f aca="false">F780</f>
        <v>1</v>
      </c>
      <c r="Z780" s="6" t="n">
        <f aca="false">L780</f>
        <v>1</v>
      </c>
      <c r="AA780" s="6" t="n">
        <f aca="false">G780</f>
        <v>0</v>
      </c>
      <c r="AC780" s="6" t="n">
        <f aca="false">D780</f>
        <v>4.846923077</v>
      </c>
      <c r="AD780" s="6" t="n">
        <f aca="false">E780</f>
        <v>1</v>
      </c>
      <c r="AE780" s="6" t="n">
        <f aca="false">G780</f>
        <v>0</v>
      </c>
      <c r="AF780" s="6" t="n">
        <f aca="false">H780</f>
        <v>0</v>
      </c>
      <c r="AG780" s="6" t="n">
        <f aca="false">I780</f>
        <v>0</v>
      </c>
      <c r="AH780" s="6" t="n">
        <f aca="false">L780</f>
        <v>1</v>
      </c>
    </row>
    <row r="781" customFormat="false" ht="15" hidden="false" customHeight="false" outlineLevel="0" collapsed="false">
      <c r="A781" s="0" t="str">
        <f aca="false">'Raw Data'!C781</f>
        <v>Walnut Creek</v>
      </c>
      <c r="B781" s="5" t="n">
        <f aca="false">'Raw Data'!A781</f>
        <v>40365</v>
      </c>
      <c r="C781" s="6" t="n">
        <f aca="false">'Raw Data'!D781</f>
        <v>739.004010201696</v>
      </c>
      <c r="D781" s="6" t="n">
        <f aca="false">'Raw Data'!E781</f>
        <v>4.499090909</v>
      </c>
      <c r="E781" s="6" t="n">
        <f aca="false">'Raw Data'!F781</f>
        <v>1</v>
      </c>
      <c r="F781" s="6" t="n">
        <f aca="false">'Raw Data'!G781</f>
        <v>1</v>
      </c>
      <c r="G781" s="6" t="n">
        <f aca="false">'Raw Data'!H781</f>
        <v>0</v>
      </c>
      <c r="H781" s="6" t="n">
        <f aca="false">'Raw Data'!I781</f>
        <v>0</v>
      </c>
      <c r="I781" s="6" t="n">
        <f aca="false">'Raw Data'!J781</f>
        <v>0</v>
      </c>
      <c r="J781" s="6" t="n">
        <f aca="false">'Raw Data'!K781</f>
        <v>2</v>
      </c>
      <c r="K781" s="6" t="n">
        <f aca="false">'Raw Data'!L781</f>
        <v>0</v>
      </c>
      <c r="L781" s="6" t="n">
        <f aca="false">F781*E781</f>
        <v>1</v>
      </c>
      <c r="N781" s="0" t="n">
        <v>1</v>
      </c>
      <c r="O781" s="6" t="n">
        <f aca="false">D781</f>
        <v>4.499090909</v>
      </c>
      <c r="P781" s="6" t="n">
        <f aca="false">E781</f>
        <v>1</v>
      </c>
      <c r="Q781" s="6" t="n">
        <f aca="false">F781</f>
        <v>1</v>
      </c>
      <c r="R781" s="6" t="n">
        <f aca="false">G781</f>
        <v>0</v>
      </c>
      <c r="S781" s="6" t="n">
        <f aca="false">H781</f>
        <v>0</v>
      </c>
      <c r="T781" s="6" t="n">
        <f aca="false">I781</f>
        <v>0</v>
      </c>
      <c r="U781" s="6" t="n">
        <f aca="false">L781</f>
        <v>1</v>
      </c>
      <c r="W781" s="6" t="n">
        <f aca="false">D781</f>
        <v>4.499090909</v>
      </c>
      <c r="X781" s="6" t="n">
        <f aca="false">E781</f>
        <v>1</v>
      </c>
      <c r="Y781" s="6" t="n">
        <f aca="false">F781</f>
        <v>1</v>
      </c>
      <c r="Z781" s="6" t="n">
        <f aca="false">L781</f>
        <v>1</v>
      </c>
      <c r="AA781" s="6" t="n">
        <f aca="false">G781</f>
        <v>0</v>
      </c>
      <c r="AC781" s="6" t="n">
        <f aca="false">D781</f>
        <v>4.499090909</v>
      </c>
      <c r="AD781" s="6" t="n">
        <f aca="false">E781</f>
        <v>1</v>
      </c>
      <c r="AE781" s="6" t="n">
        <f aca="false">G781</f>
        <v>0</v>
      </c>
      <c r="AF781" s="6" t="n">
        <f aca="false">H781</f>
        <v>0</v>
      </c>
      <c r="AG781" s="6" t="n">
        <f aca="false">I781</f>
        <v>0</v>
      </c>
      <c r="AH781" s="6" t="n">
        <f aca="false">L781</f>
        <v>1</v>
      </c>
    </row>
    <row r="782" customFormat="false" ht="15" hidden="false" customHeight="false" outlineLevel="0" collapsed="false">
      <c r="A782" s="0" t="str">
        <f aca="false">'Raw Data'!C782</f>
        <v>Walnut Creek</v>
      </c>
      <c r="B782" s="5" t="n">
        <f aca="false">'Raw Data'!A782</f>
        <v>40372</v>
      </c>
      <c r="C782" s="6" t="n">
        <f aca="false">'Raw Data'!D782</f>
        <v>681.152221750279</v>
      </c>
      <c r="D782" s="6" t="n">
        <f aca="false">'Raw Data'!E782</f>
        <v>4.55</v>
      </c>
      <c r="E782" s="6" t="n">
        <f aca="false">'Raw Data'!F782</f>
        <v>1</v>
      </c>
      <c r="F782" s="6" t="n">
        <f aca="false">'Raw Data'!G782</f>
        <v>1</v>
      </c>
      <c r="G782" s="6" t="n">
        <f aca="false">'Raw Data'!H782</f>
        <v>0</v>
      </c>
      <c r="H782" s="6" t="n">
        <f aca="false">'Raw Data'!I782</f>
        <v>0</v>
      </c>
      <c r="I782" s="6" t="n">
        <f aca="false">'Raw Data'!J782</f>
        <v>0</v>
      </c>
      <c r="J782" s="6" t="n">
        <f aca="false">'Raw Data'!K782</f>
        <v>2</v>
      </c>
      <c r="K782" s="6" t="n">
        <f aca="false">'Raw Data'!L782</f>
        <v>0</v>
      </c>
      <c r="L782" s="6" t="n">
        <f aca="false">F782*E782</f>
        <v>1</v>
      </c>
      <c r="N782" s="0" t="n">
        <v>1</v>
      </c>
      <c r="O782" s="6" t="n">
        <f aca="false">D782</f>
        <v>4.55</v>
      </c>
      <c r="P782" s="6" t="n">
        <f aca="false">E782</f>
        <v>1</v>
      </c>
      <c r="Q782" s="6" t="n">
        <f aca="false">F782</f>
        <v>1</v>
      </c>
      <c r="R782" s="6" t="n">
        <f aca="false">G782</f>
        <v>0</v>
      </c>
      <c r="S782" s="6" t="n">
        <f aca="false">H782</f>
        <v>0</v>
      </c>
      <c r="T782" s="6" t="n">
        <f aca="false">I782</f>
        <v>0</v>
      </c>
      <c r="U782" s="6" t="n">
        <f aca="false">L782</f>
        <v>1</v>
      </c>
      <c r="W782" s="6" t="n">
        <f aca="false">D782</f>
        <v>4.55</v>
      </c>
      <c r="X782" s="6" t="n">
        <f aca="false">E782</f>
        <v>1</v>
      </c>
      <c r="Y782" s="6" t="n">
        <f aca="false">F782</f>
        <v>1</v>
      </c>
      <c r="Z782" s="6" t="n">
        <f aca="false">L782</f>
        <v>1</v>
      </c>
      <c r="AA782" s="6" t="n">
        <f aca="false">G782</f>
        <v>0</v>
      </c>
      <c r="AC782" s="6" t="n">
        <f aca="false">D782</f>
        <v>4.55</v>
      </c>
      <c r="AD782" s="6" t="n">
        <f aca="false">E782</f>
        <v>1</v>
      </c>
      <c r="AE782" s="6" t="n">
        <f aca="false">G782</f>
        <v>0</v>
      </c>
      <c r="AF782" s="6" t="n">
        <f aca="false">H782</f>
        <v>0</v>
      </c>
      <c r="AG782" s="6" t="n">
        <f aca="false">I782</f>
        <v>0</v>
      </c>
      <c r="AH782" s="6" t="n">
        <f aca="false">L782</f>
        <v>1</v>
      </c>
    </row>
    <row r="783" customFormat="false" ht="15" hidden="false" customHeight="false" outlineLevel="0" collapsed="false">
      <c r="A783" s="0" t="str">
        <f aca="false">'Raw Data'!C783</f>
        <v>Bowery</v>
      </c>
      <c r="B783" s="5" t="n">
        <f aca="false">'Raw Data'!A783</f>
        <v>40302</v>
      </c>
      <c r="C783" s="6" t="n">
        <f aca="false">'Raw Data'!D783</f>
        <v>127.978546530786</v>
      </c>
      <c r="D783" s="6" t="n">
        <f aca="false">'Raw Data'!E783</f>
        <v>4.632857143</v>
      </c>
      <c r="E783" s="6" t="n">
        <f aca="false">'Raw Data'!F783</f>
        <v>0</v>
      </c>
      <c r="F783" s="6" t="n">
        <f aca="false">'Raw Data'!G783</f>
        <v>0</v>
      </c>
      <c r="G783" s="6" t="n">
        <f aca="false">'Raw Data'!H783</f>
        <v>0</v>
      </c>
      <c r="H783" s="6" t="n">
        <f aca="false">'Raw Data'!I783</f>
        <v>0</v>
      </c>
      <c r="I783" s="6" t="n">
        <f aca="false">'Raw Data'!J783</f>
        <v>0</v>
      </c>
      <c r="J783" s="6" t="n">
        <f aca="false">'Raw Data'!K783</f>
        <v>1</v>
      </c>
      <c r="K783" s="6" t="n">
        <f aca="false">'Raw Data'!L783</f>
        <v>2</v>
      </c>
      <c r="L783" s="6" t="n">
        <f aca="false">F783*E783</f>
        <v>0</v>
      </c>
      <c r="N783" s="0" t="n">
        <v>1</v>
      </c>
      <c r="O783" s="6" t="n">
        <f aca="false">D783</f>
        <v>4.632857143</v>
      </c>
      <c r="P783" s="6" t="n">
        <f aca="false">E783</f>
        <v>0</v>
      </c>
      <c r="Q783" s="6" t="n">
        <f aca="false">F783</f>
        <v>0</v>
      </c>
      <c r="R783" s="6" t="n">
        <f aca="false">G783</f>
        <v>0</v>
      </c>
      <c r="S783" s="6" t="n">
        <f aca="false">H783</f>
        <v>0</v>
      </c>
      <c r="T783" s="6" t="n">
        <f aca="false">I783</f>
        <v>0</v>
      </c>
      <c r="U783" s="6" t="n">
        <f aca="false">L783</f>
        <v>0</v>
      </c>
      <c r="W783" s="6" t="n">
        <f aca="false">D783</f>
        <v>4.632857143</v>
      </c>
      <c r="X783" s="6" t="n">
        <f aca="false">E783</f>
        <v>0</v>
      </c>
      <c r="Y783" s="6" t="n">
        <f aca="false">F783</f>
        <v>0</v>
      </c>
      <c r="Z783" s="6" t="n">
        <f aca="false">L783</f>
        <v>0</v>
      </c>
      <c r="AA783" s="6" t="n">
        <f aca="false">G783</f>
        <v>0</v>
      </c>
      <c r="AC783" s="6" t="n">
        <f aca="false">D783</f>
        <v>4.632857143</v>
      </c>
      <c r="AD783" s="6" t="n">
        <f aca="false">E783</f>
        <v>0</v>
      </c>
      <c r="AE783" s="6" t="n">
        <f aca="false">G783</f>
        <v>0</v>
      </c>
      <c r="AF783" s="6" t="n">
        <f aca="false">H783</f>
        <v>0</v>
      </c>
      <c r="AG783" s="6" t="n">
        <f aca="false">I783</f>
        <v>0</v>
      </c>
      <c r="AH783" s="6" t="n">
        <f aca="false">L783</f>
        <v>0</v>
      </c>
    </row>
    <row r="784" customFormat="false" ht="15" hidden="false" customHeight="false" outlineLevel="0" collapsed="false">
      <c r="A784" s="0" t="str">
        <f aca="false">'Raw Data'!C784</f>
        <v>Bowery</v>
      </c>
      <c r="B784" s="5" t="n">
        <f aca="false">'Raw Data'!A784</f>
        <v>40309</v>
      </c>
      <c r="C784" s="6" t="n">
        <f aca="false">'Raw Data'!D784</f>
        <v>152.534660173958</v>
      </c>
      <c r="D784" s="6" t="n">
        <f aca="false">'Raw Data'!E784</f>
        <v>4.9275</v>
      </c>
      <c r="E784" s="6" t="n">
        <f aca="false">'Raw Data'!F784</f>
        <v>0</v>
      </c>
      <c r="F784" s="6" t="n">
        <f aca="false">'Raw Data'!G784</f>
        <v>0</v>
      </c>
      <c r="G784" s="6" t="n">
        <f aca="false">'Raw Data'!H784</f>
        <v>0</v>
      </c>
      <c r="H784" s="6" t="n">
        <f aca="false">'Raw Data'!I784</f>
        <v>0</v>
      </c>
      <c r="I784" s="6" t="n">
        <f aca="false">'Raw Data'!J784</f>
        <v>0</v>
      </c>
      <c r="J784" s="6" t="n">
        <f aca="false">'Raw Data'!K784</f>
        <v>1</v>
      </c>
      <c r="K784" s="6" t="n">
        <f aca="false">'Raw Data'!L784</f>
        <v>2</v>
      </c>
      <c r="L784" s="6" t="n">
        <f aca="false">F784*E784</f>
        <v>0</v>
      </c>
      <c r="N784" s="0" t="n">
        <v>1</v>
      </c>
      <c r="O784" s="6" t="n">
        <f aca="false">D784</f>
        <v>4.9275</v>
      </c>
      <c r="P784" s="6" t="n">
        <f aca="false">E784</f>
        <v>0</v>
      </c>
      <c r="Q784" s="6" t="n">
        <f aca="false">F784</f>
        <v>0</v>
      </c>
      <c r="R784" s="6" t="n">
        <f aca="false">G784</f>
        <v>0</v>
      </c>
      <c r="S784" s="6" t="n">
        <f aca="false">H784</f>
        <v>0</v>
      </c>
      <c r="T784" s="6" t="n">
        <f aca="false">I784</f>
        <v>0</v>
      </c>
      <c r="U784" s="6" t="n">
        <f aca="false">L784</f>
        <v>0</v>
      </c>
      <c r="W784" s="6" t="n">
        <f aca="false">D784</f>
        <v>4.9275</v>
      </c>
      <c r="X784" s="6" t="n">
        <f aca="false">E784</f>
        <v>0</v>
      </c>
      <c r="Y784" s="6" t="n">
        <f aca="false">F784</f>
        <v>0</v>
      </c>
      <c r="Z784" s="6" t="n">
        <f aca="false">L784</f>
        <v>0</v>
      </c>
      <c r="AA784" s="6" t="n">
        <f aca="false">G784</f>
        <v>0</v>
      </c>
      <c r="AC784" s="6" t="n">
        <f aca="false">D784</f>
        <v>4.9275</v>
      </c>
      <c r="AD784" s="6" t="n">
        <f aca="false">E784</f>
        <v>0</v>
      </c>
      <c r="AE784" s="6" t="n">
        <f aca="false">G784</f>
        <v>0</v>
      </c>
      <c r="AF784" s="6" t="n">
        <f aca="false">H784</f>
        <v>0</v>
      </c>
      <c r="AG784" s="6" t="n">
        <f aca="false">I784</f>
        <v>0</v>
      </c>
      <c r="AH784" s="6" t="n">
        <f aca="false">L784</f>
        <v>0</v>
      </c>
    </row>
    <row r="785" customFormat="false" ht="15" hidden="false" customHeight="false" outlineLevel="0" collapsed="false">
      <c r="A785" s="0" t="str">
        <f aca="false">'Raw Data'!C785</f>
        <v>Bowery</v>
      </c>
      <c r="B785" s="5" t="n">
        <f aca="false">'Raw Data'!A785</f>
        <v>40316</v>
      </c>
      <c r="C785" s="6" t="n">
        <f aca="false">'Raw Data'!D785</f>
        <v>250.596457115236</v>
      </c>
      <c r="D785" s="6" t="n">
        <f aca="false">'Raw Data'!E785</f>
        <v>4.36875</v>
      </c>
      <c r="E785" s="6" t="n">
        <f aca="false">'Raw Data'!F785</f>
        <v>0</v>
      </c>
      <c r="F785" s="6" t="n">
        <f aca="false">'Raw Data'!G785</f>
        <v>0</v>
      </c>
      <c r="G785" s="6" t="n">
        <f aca="false">'Raw Data'!H785</f>
        <v>0</v>
      </c>
      <c r="H785" s="6" t="n">
        <f aca="false">'Raw Data'!I785</f>
        <v>0</v>
      </c>
      <c r="I785" s="6" t="n">
        <f aca="false">'Raw Data'!J785</f>
        <v>0</v>
      </c>
      <c r="J785" s="6" t="n">
        <f aca="false">'Raw Data'!K785</f>
        <v>1</v>
      </c>
      <c r="K785" s="6" t="n">
        <f aca="false">'Raw Data'!L785</f>
        <v>2</v>
      </c>
      <c r="L785" s="6" t="n">
        <f aca="false">F785*E785</f>
        <v>0</v>
      </c>
      <c r="N785" s="0" t="n">
        <v>1</v>
      </c>
      <c r="O785" s="6" t="n">
        <f aca="false">D785</f>
        <v>4.36875</v>
      </c>
      <c r="P785" s="6" t="n">
        <f aca="false">E785</f>
        <v>0</v>
      </c>
      <c r="Q785" s="6" t="n">
        <f aca="false">F785</f>
        <v>0</v>
      </c>
      <c r="R785" s="6" t="n">
        <f aca="false">G785</f>
        <v>0</v>
      </c>
      <c r="S785" s="6" t="n">
        <f aca="false">H785</f>
        <v>0</v>
      </c>
      <c r="T785" s="6" t="n">
        <f aca="false">I785</f>
        <v>0</v>
      </c>
      <c r="U785" s="6" t="n">
        <f aca="false">L785</f>
        <v>0</v>
      </c>
      <c r="W785" s="6" t="n">
        <f aca="false">D785</f>
        <v>4.36875</v>
      </c>
      <c r="X785" s="6" t="n">
        <f aca="false">E785</f>
        <v>0</v>
      </c>
      <c r="Y785" s="6" t="n">
        <f aca="false">F785</f>
        <v>0</v>
      </c>
      <c r="Z785" s="6" t="n">
        <f aca="false">L785</f>
        <v>0</v>
      </c>
      <c r="AA785" s="6" t="n">
        <f aca="false">G785</f>
        <v>0</v>
      </c>
      <c r="AC785" s="6" t="n">
        <f aca="false">D785</f>
        <v>4.36875</v>
      </c>
      <c r="AD785" s="6" t="n">
        <f aca="false">E785</f>
        <v>0</v>
      </c>
      <c r="AE785" s="6" t="n">
        <f aca="false">G785</f>
        <v>0</v>
      </c>
      <c r="AF785" s="6" t="n">
        <f aca="false">H785</f>
        <v>0</v>
      </c>
      <c r="AG785" s="6" t="n">
        <f aca="false">I785</f>
        <v>0</v>
      </c>
      <c r="AH785" s="6" t="n">
        <f aca="false">L785</f>
        <v>0</v>
      </c>
    </row>
    <row r="786" customFormat="false" ht="15" hidden="false" customHeight="false" outlineLevel="0" collapsed="false">
      <c r="A786" s="0" t="str">
        <f aca="false">'Raw Data'!C786</f>
        <v>Bowery</v>
      </c>
      <c r="B786" s="5" t="n">
        <f aca="false">'Raw Data'!A786</f>
        <v>40323</v>
      </c>
      <c r="C786" s="6" t="n">
        <f aca="false">'Raw Data'!D786</f>
        <v>230.187753216358</v>
      </c>
      <c r="D786" s="6" t="n">
        <f aca="false">'Raw Data'!E786</f>
        <v>4.208571429</v>
      </c>
      <c r="E786" s="6" t="n">
        <f aca="false">'Raw Data'!F786</f>
        <v>1</v>
      </c>
      <c r="F786" s="6" t="n">
        <f aca="false">'Raw Data'!G786</f>
        <v>0</v>
      </c>
      <c r="G786" s="6" t="n">
        <f aca="false">'Raw Data'!H786</f>
        <v>0</v>
      </c>
      <c r="H786" s="6" t="n">
        <f aca="false">'Raw Data'!I786</f>
        <v>0</v>
      </c>
      <c r="I786" s="6" t="n">
        <f aca="false">'Raw Data'!J786</f>
        <v>0</v>
      </c>
      <c r="J786" s="6" t="n">
        <f aca="false">'Raw Data'!K786</f>
        <v>1</v>
      </c>
      <c r="K786" s="6" t="n">
        <f aca="false">'Raw Data'!L786</f>
        <v>2</v>
      </c>
      <c r="L786" s="6" t="n">
        <f aca="false">F786*E786</f>
        <v>0</v>
      </c>
      <c r="N786" s="0" t="n">
        <v>1</v>
      </c>
      <c r="O786" s="6" t="n">
        <f aca="false">D786</f>
        <v>4.208571429</v>
      </c>
      <c r="P786" s="6" t="n">
        <f aca="false">E786</f>
        <v>1</v>
      </c>
      <c r="Q786" s="6" t="n">
        <f aca="false">F786</f>
        <v>0</v>
      </c>
      <c r="R786" s="6" t="n">
        <f aca="false">G786</f>
        <v>0</v>
      </c>
      <c r="S786" s="6" t="n">
        <f aca="false">H786</f>
        <v>0</v>
      </c>
      <c r="T786" s="6" t="n">
        <f aca="false">I786</f>
        <v>0</v>
      </c>
      <c r="U786" s="6" t="n">
        <f aca="false">L786</f>
        <v>0</v>
      </c>
      <c r="W786" s="6" t="n">
        <f aca="false">D786</f>
        <v>4.208571429</v>
      </c>
      <c r="X786" s="6" t="n">
        <f aca="false">E786</f>
        <v>1</v>
      </c>
      <c r="Y786" s="6" t="n">
        <f aca="false">F786</f>
        <v>0</v>
      </c>
      <c r="Z786" s="6" t="n">
        <f aca="false">L786</f>
        <v>0</v>
      </c>
      <c r="AA786" s="6" t="n">
        <f aca="false">G786</f>
        <v>0</v>
      </c>
      <c r="AC786" s="6" t="n">
        <f aca="false">D786</f>
        <v>4.208571429</v>
      </c>
      <c r="AD786" s="6" t="n">
        <f aca="false">E786</f>
        <v>1</v>
      </c>
      <c r="AE786" s="6" t="n">
        <f aca="false">G786</f>
        <v>0</v>
      </c>
      <c r="AF786" s="6" t="n">
        <f aca="false">H786</f>
        <v>0</v>
      </c>
      <c r="AG786" s="6" t="n">
        <f aca="false">I786</f>
        <v>0</v>
      </c>
      <c r="AH786" s="6" t="n">
        <f aca="false">L786</f>
        <v>0</v>
      </c>
    </row>
    <row r="787" customFormat="false" ht="15" hidden="false" customHeight="false" outlineLevel="0" collapsed="false">
      <c r="A787" s="0" t="str">
        <f aca="false">'Raw Data'!C787</f>
        <v>Bowery</v>
      </c>
      <c r="B787" s="5" t="n">
        <f aca="false">'Raw Data'!A787</f>
        <v>40330</v>
      </c>
      <c r="C787" s="6" t="n">
        <f aca="false">'Raw Data'!D787</f>
        <v>258.266482498791</v>
      </c>
      <c r="D787" s="6" t="n">
        <f aca="false">'Raw Data'!E787</f>
        <v>4.208571429</v>
      </c>
      <c r="E787" s="6" t="n">
        <f aca="false">'Raw Data'!F787</f>
        <v>1</v>
      </c>
      <c r="F787" s="6" t="n">
        <f aca="false">'Raw Data'!G787</f>
        <v>0</v>
      </c>
      <c r="G787" s="6" t="n">
        <f aca="false">'Raw Data'!H787</f>
        <v>0</v>
      </c>
      <c r="H787" s="6" t="n">
        <f aca="false">'Raw Data'!I787</f>
        <v>0</v>
      </c>
      <c r="I787" s="6" t="n">
        <f aca="false">'Raw Data'!J787</f>
        <v>0</v>
      </c>
      <c r="J787" s="6" t="n">
        <f aca="false">'Raw Data'!K787</f>
        <v>1</v>
      </c>
      <c r="K787" s="6" t="n">
        <f aca="false">'Raw Data'!L787</f>
        <v>2</v>
      </c>
      <c r="L787" s="6" t="n">
        <f aca="false">F787*E787</f>
        <v>0</v>
      </c>
      <c r="N787" s="0" t="n">
        <v>1</v>
      </c>
      <c r="O787" s="6" t="n">
        <f aca="false">D787</f>
        <v>4.208571429</v>
      </c>
      <c r="P787" s="6" t="n">
        <f aca="false">E787</f>
        <v>1</v>
      </c>
      <c r="Q787" s="6" t="n">
        <f aca="false">F787</f>
        <v>0</v>
      </c>
      <c r="R787" s="6" t="n">
        <f aca="false">G787</f>
        <v>0</v>
      </c>
      <c r="S787" s="6" t="n">
        <f aca="false">H787</f>
        <v>0</v>
      </c>
      <c r="T787" s="6" t="n">
        <f aca="false">I787</f>
        <v>0</v>
      </c>
      <c r="U787" s="6" t="n">
        <f aca="false">L787</f>
        <v>0</v>
      </c>
      <c r="W787" s="6" t="n">
        <f aca="false">D787</f>
        <v>4.208571429</v>
      </c>
      <c r="X787" s="6" t="n">
        <f aca="false">E787</f>
        <v>1</v>
      </c>
      <c r="Y787" s="6" t="n">
        <f aca="false">F787</f>
        <v>0</v>
      </c>
      <c r="Z787" s="6" t="n">
        <f aca="false">L787</f>
        <v>0</v>
      </c>
      <c r="AA787" s="6" t="n">
        <f aca="false">G787</f>
        <v>0</v>
      </c>
      <c r="AC787" s="6" t="n">
        <f aca="false">D787</f>
        <v>4.208571429</v>
      </c>
      <c r="AD787" s="6" t="n">
        <f aca="false">E787</f>
        <v>1</v>
      </c>
      <c r="AE787" s="6" t="n">
        <f aca="false">G787</f>
        <v>0</v>
      </c>
      <c r="AF787" s="6" t="n">
        <f aca="false">H787</f>
        <v>0</v>
      </c>
      <c r="AG787" s="6" t="n">
        <f aca="false">I787</f>
        <v>0</v>
      </c>
      <c r="AH787" s="6" t="n">
        <f aca="false">L787</f>
        <v>0</v>
      </c>
    </row>
    <row r="788" customFormat="false" ht="15" hidden="false" customHeight="false" outlineLevel="0" collapsed="false">
      <c r="A788" s="0" t="str">
        <f aca="false">'Raw Data'!C788</f>
        <v>Bowery</v>
      </c>
      <c r="B788" s="5" t="n">
        <f aca="false">'Raw Data'!A788</f>
        <v>40337</v>
      </c>
      <c r="C788" s="6" t="n">
        <f aca="false">'Raw Data'!D788</f>
        <v>120.971747224715</v>
      </c>
      <c r="D788" s="6" t="n">
        <f aca="false">'Raw Data'!E788</f>
        <v>4.632857143</v>
      </c>
      <c r="E788" s="6" t="n">
        <f aca="false">'Raw Data'!F788</f>
        <v>1</v>
      </c>
      <c r="F788" s="6" t="n">
        <f aca="false">'Raw Data'!G788</f>
        <v>0</v>
      </c>
      <c r="G788" s="6" t="n">
        <f aca="false">'Raw Data'!H788</f>
        <v>0</v>
      </c>
      <c r="H788" s="6" t="n">
        <f aca="false">'Raw Data'!I788</f>
        <v>0</v>
      </c>
      <c r="I788" s="6" t="n">
        <f aca="false">'Raw Data'!J788</f>
        <v>0</v>
      </c>
      <c r="J788" s="6" t="n">
        <f aca="false">'Raw Data'!K788</f>
        <v>1</v>
      </c>
      <c r="K788" s="6" t="n">
        <f aca="false">'Raw Data'!L788</f>
        <v>2</v>
      </c>
      <c r="L788" s="6" t="n">
        <f aca="false">F788*E788</f>
        <v>0</v>
      </c>
      <c r="N788" s="0" t="n">
        <v>1</v>
      </c>
      <c r="O788" s="6" t="n">
        <f aca="false">D788</f>
        <v>4.632857143</v>
      </c>
      <c r="P788" s="6" t="n">
        <f aca="false">E788</f>
        <v>1</v>
      </c>
      <c r="Q788" s="6" t="n">
        <f aca="false">F788</f>
        <v>0</v>
      </c>
      <c r="R788" s="6" t="n">
        <f aca="false">G788</f>
        <v>0</v>
      </c>
      <c r="S788" s="6" t="n">
        <f aca="false">H788</f>
        <v>0</v>
      </c>
      <c r="T788" s="6" t="n">
        <f aca="false">I788</f>
        <v>0</v>
      </c>
      <c r="U788" s="6" t="n">
        <f aca="false">L788</f>
        <v>0</v>
      </c>
      <c r="W788" s="6" t="n">
        <f aca="false">D788</f>
        <v>4.632857143</v>
      </c>
      <c r="X788" s="6" t="n">
        <f aca="false">E788</f>
        <v>1</v>
      </c>
      <c r="Y788" s="6" t="n">
        <f aca="false">F788</f>
        <v>0</v>
      </c>
      <c r="Z788" s="6" t="n">
        <f aca="false">L788</f>
        <v>0</v>
      </c>
      <c r="AA788" s="6" t="n">
        <f aca="false">G788</f>
        <v>0</v>
      </c>
      <c r="AC788" s="6" t="n">
        <f aca="false">D788</f>
        <v>4.632857143</v>
      </c>
      <c r="AD788" s="6" t="n">
        <f aca="false">E788</f>
        <v>1</v>
      </c>
      <c r="AE788" s="6" t="n">
        <f aca="false">G788</f>
        <v>0</v>
      </c>
      <c r="AF788" s="6" t="n">
        <f aca="false">H788</f>
        <v>0</v>
      </c>
      <c r="AG788" s="6" t="n">
        <f aca="false">I788</f>
        <v>0</v>
      </c>
      <c r="AH788" s="6" t="n">
        <f aca="false">L788</f>
        <v>0</v>
      </c>
    </row>
    <row r="789" customFormat="false" ht="15" hidden="false" customHeight="false" outlineLevel="0" collapsed="false">
      <c r="A789" s="0" t="str">
        <f aca="false">'Raw Data'!C789</f>
        <v>Bowery</v>
      </c>
      <c r="B789" s="5" t="n">
        <f aca="false">'Raw Data'!A789</f>
        <v>40344</v>
      </c>
      <c r="C789" s="6" t="n">
        <f aca="false">'Raw Data'!D789</f>
        <v>323.955242577775</v>
      </c>
      <c r="D789" s="6" t="n">
        <f aca="false">'Raw Data'!E789</f>
        <v>4.645555556</v>
      </c>
      <c r="E789" s="6" t="n">
        <f aca="false">'Raw Data'!F789</f>
        <v>1</v>
      </c>
      <c r="F789" s="6" t="n">
        <f aca="false">'Raw Data'!G789</f>
        <v>0</v>
      </c>
      <c r="G789" s="6" t="n">
        <f aca="false">'Raw Data'!H789</f>
        <v>1</v>
      </c>
      <c r="H789" s="6" t="n">
        <f aca="false">'Raw Data'!I789</f>
        <v>0</v>
      </c>
      <c r="I789" s="6" t="n">
        <f aca="false">'Raw Data'!J789</f>
        <v>0</v>
      </c>
      <c r="J789" s="6" t="n">
        <f aca="false">'Raw Data'!K789</f>
        <v>1</v>
      </c>
      <c r="K789" s="6" t="n">
        <f aca="false">'Raw Data'!L789</f>
        <v>2</v>
      </c>
      <c r="L789" s="6" t="n">
        <f aca="false">F789*E789</f>
        <v>0</v>
      </c>
      <c r="N789" s="0" t="n">
        <v>1</v>
      </c>
      <c r="O789" s="6" t="n">
        <f aca="false">D789</f>
        <v>4.645555556</v>
      </c>
      <c r="P789" s="6" t="n">
        <f aca="false">E789</f>
        <v>1</v>
      </c>
      <c r="Q789" s="6" t="n">
        <f aca="false">F789</f>
        <v>0</v>
      </c>
      <c r="R789" s="6" t="n">
        <f aca="false">G789</f>
        <v>1</v>
      </c>
      <c r="S789" s="6" t="n">
        <f aca="false">H789</f>
        <v>0</v>
      </c>
      <c r="T789" s="6" t="n">
        <f aca="false">I789</f>
        <v>0</v>
      </c>
      <c r="U789" s="6" t="n">
        <f aca="false">L789</f>
        <v>0</v>
      </c>
      <c r="W789" s="6" t="n">
        <f aca="false">D789</f>
        <v>4.645555556</v>
      </c>
      <c r="X789" s="6" t="n">
        <f aca="false">E789</f>
        <v>1</v>
      </c>
      <c r="Y789" s="6" t="n">
        <f aca="false">F789</f>
        <v>0</v>
      </c>
      <c r="Z789" s="6" t="n">
        <f aca="false">L789</f>
        <v>0</v>
      </c>
      <c r="AA789" s="6" t="n">
        <f aca="false">G789</f>
        <v>1</v>
      </c>
      <c r="AC789" s="6" t="n">
        <f aca="false">D789</f>
        <v>4.645555556</v>
      </c>
      <c r="AD789" s="6" t="n">
        <f aca="false">E789</f>
        <v>1</v>
      </c>
      <c r="AE789" s="6" t="n">
        <f aca="false">G789</f>
        <v>1</v>
      </c>
      <c r="AF789" s="6" t="n">
        <f aca="false">H789</f>
        <v>0</v>
      </c>
      <c r="AG789" s="6" t="n">
        <f aca="false">I789</f>
        <v>0</v>
      </c>
      <c r="AH789" s="6" t="n">
        <f aca="false">L789</f>
        <v>0</v>
      </c>
    </row>
    <row r="790" customFormat="false" ht="15" hidden="false" customHeight="false" outlineLevel="0" collapsed="false">
      <c r="A790" s="0" t="str">
        <f aca="false">'Raw Data'!C790</f>
        <v>Bowery</v>
      </c>
      <c r="B790" s="5" t="n">
        <f aca="false">'Raw Data'!A790</f>
        <v>40351</v>
      </c>
      <c r="C790" s="6" t="n">
        <f aca="false">'Raw Data'!D790</f>
        <v>332.539582844654</v>
      </c>
      <c r="D790" s="6" t="n">
        <f aca="false">'Raw Data'!E790</f>
        <v>4.12</v>
      </c>
      <c r="E790" s="6" t="n">
        <f aca="false">'Raw Data'!F790</f>
        <v>1</v>
      </c>
      <c r="F790" s="6" t="n">
        <f aca="false">'Raw Data'!G790</f>
        <v>0</v>
      </c>
      <c r="G790" s="6" t="n">
        <f aca="false">'Raw Data'!H790</f>
        <v>0</v>
      </c>
      <c r="H790" s="6" t="n">
        <f aca="false">'Raw Data'!I790</f>
        <v>1</v>
      </c>
      <c r="I790" s="6" t="n">
        <f aca="false">'Raw Data'!J790</f>
        <v>0</v>
      </c>
      <c r="J790" s="6" t="n">
        <f aca="false">'Raw Data'!K790</f>
        <v>1</v>
      </c>
      <c r="K790" s="6" t="n">
        <f aca="false">'Raw Data'!L790</f>
        <v>2</v>
      </c>
      <c r="L790" s="6" t="n">
        <f aca="false">F790*E790</f>
        <v>0</v>
      </c>
      <c r="N790" s="0" t="n">
        <v>1</v>
      </c>
      <c r="O790" s="6" t="n">
        <f aca="false">D790</f>
        <v>4.12</v>
      </c>
      <c r="P790" s="6" t="n">
        <f aca="false">E790</f>
        <v>1</v>
      </c>
      <c r="Q790" s="6" t="n">
        <f aca="false">F790</f>
        <v>0</v>
      </c>
      <c r="R790" s="6" t="n">
        <f aca="false">G790</f>
        <v>0</v>
      </c>
      <c r="S790" s="6" t="n">
        <f aca="false">H790</f>
        <v>1</v>
      </c>
      <c r="T790" s="6" t="n">
        <f aca="false">I790</f>
        <v>0</v>
      </c>
      <c r="U790" s="6" t="n">
        <f aca="false">L790</f>
        <v>0</v>
      </c>
      <c r="W790" s="6" t="n">
        <f aca="false">D790</f>
        <v>4.12</v>
      </c>
      <c r="X790" s="6" t="n">
        <f aca="false">E790</f>
        <v>1</v>
      </c>
      <c r="Y790" s="6" t="n">
        <f aca="false">F790</f>
        <v>0</v>
      </c>
      <c r="Z790" s="6" t="n">
        <f aca="false">L790</f>
        <v>0</v>
      </c>
      <c r="AA790" s="6" t="n">
        <f aca="false">G790</f>
        <v>0</v>
      </c>
      <c r="AC790" s="6" t="n">
        <f aca="false">D790</f>
        <v>4.12</v>
      </c>
      <c r="AD790" s="6" t="n">
        <f aca="false">E790</f>
        <v>1</v>
      </c>
      <c r="AE790" s="6" t="n">
        <f aca="false">G790</f>
        <v>0</v>
      </c>
      <c r="AF790" s="6" t="n">
        <f aca="false">H790</f>
        <v>1</v>
      </c>
      <c r="AG790" s="6" t="n">
        <f aca="false">I790</f>
        <v>0</v>
      </c>
      <c r="AH790" s="6" t="n">
        <f aca="false">L790</f>
        <v>0</v>
      </c>
    </row>
    <row r="791" customFormat="false" ht="15" hidden="false" customHeight="false" outlineLevel="0" collapsed="false">
      <c r="A791" s="0" t="str">
        <f aca="false">'Raw Data'!C791</f>
        <v>Bowery</v>
      </c>
      <c r="B791" s="5" t="n">
        <f aca="false">'Raw Data'!A791</f>
        <v>40358</v>
      </c>
      <c r="C791" s="6" t="n">
        <f aca="false">'Raw Data'!D791</f>
        <v>318.754802063313</v>
      </c>
      <c r="D791" s="6" t="n">
        <f aca="false">'Raw Data'!E791</f>
        <v>4.12</v>
      </c>
      <c r="E791" s="6" t="n">
        <f aca="false">'Raw Data'!F791</f>
        <v>1</v>
      </c>
      <c r="F791" s="6" t="n">
        <f aca="false">'Raw Data'!G791</f>
        <v>0</v>
      </c>
      <c r="G791" s="6" t="n">
        <f aca="false">'Raw Data'!H791</f>
        <v>0</v>
      </c>
      <c r="H791" s="6" t="n">
        <f aca="false">'Raw Data'!I791</f>
        <v>1</v>
      </c>
      <c r="I791" s="6" t="n">
        <f aca="false">'Raw Data'!J791</f>
        <v>0</v>
      </c>
      <c r="J791" s="6" t="n">
        <f aca="false">'Raw Data'!K791</f>
        <v>1</v>
      </c>
      <c r="K791" s="6" t="n">
        <f aca="false">'Raw Data'!L791</f>
        <v>2</v>
      </c>
      <c r="L791" s="6" t="n">
        <f aca="false">F791*E791</f>
        <v>0</v>
      </c>
      <c r="N791" s="0" t="n">
        <v>1</v>
      </c>
      <c r="O791" s="6" t="n">
        <f aca="false">D791</f>
        <v>4.12</v>
      </c>
      <c r="P791" s="6" t="n">
        <f aca="false">E791</f>
        <v>1</v>
      </c>
      <c r="Q791" s="6" t="n">
        <f aca="false">F791</f>
        <v>0</v>
      </c>
      <c r="R791" s="6" t="n">
        <f aca="false">G791</f>
        <v>0</v>
      </c>
      <c r="S791" s="6" t="n">
        <f aca="false">H791</f>
        <v>1</v>
      </c>
      <c r="T791" s="6" t="n">
        <f aca="false">I791</f>
        <v>0</v>
      </c>
      <c r="U791" s="6" t="n">
        <f aca="false">L791</f>
        <v>0</v>
      </c>
      <c r="W791" s="6" t="n">
        <f aca="false">D791</f>
        <v>4.12</v>
      </c>
      <c r="X791" s="6" t="n">
        <f aca="false">E791</f>
        <v>1</v>
      </c>
      <c r="Y791" s="6" t="n">
        <f aca="false">F791</f>
        <v>0</v>
      </c>
      <c r="Z791" s="6" t="n">
        <f aca="false">L791</f>
        <v>0</v>
      </c>
      <c r="AA791" s="6" t="n">
        <f aca="false">G791</f>
        <v>0</v>
      </c>
      <c r="AC791" s="6" t="n">
        <f aca="false">D791</f>
        <v>4.12</v>
      </c>
      <c r="AD791" s="6" t="n">
        <f aca="false">E791</f>
        <v>1</v>
      </c>
      <c r="AE791" s="6" t="n">
        <f aca="false">G791</f>
        <v>0</v>
      </c>
      <c r="AF791" s="6" t="n">
        <f aca="false">H791</f>
        <v>1</v>
      </c>
      <c r="AG791" s="6" t="n">
        <f aca="false">I791</f>
        <v>0</v>
      </c>
      <c r="AH791" s="6" t="n">
        <f aca="false">L791</f>
        <v>0</v>
      </c>
    </row>
    <row r="792" customFormat="false" ht="15" hidden="false" customHeight="false" outlineLevel="0" collapsed="false">
      <c r="A792" s="0" t="str">
        <f aca="false">'Raw Data'!C792</f>
        <v>Bowery</v>
      </c>
      <c r="B792" s="5" t="n">
        <f aca="false">'Raw Data'!A792</f>
        <v>40365</v>
      </c>
      <c r="C792" s="6" t="n">
        <f aca="false">'Raw Data'!D792</f>
        <v>333.848052011466</v>
      </c>
      <c r="D792" s="6" t="n">
        <f aca="false">'Raw Data'!E792</f>
        <v>3.311111111</v>
      </c>
      <c r="E792" s="6" t="n">
        <f aca="false">'Raw Data'!F792</f>
        <v>1</v>
      </c>
      <c r="F792" s="6" t="n">
        <f aca="false">'Raw Data'!G792</f>
        <v>0</v>
      </c>
      <c r="G792" s="6" t="n">
        <f aca="false">'Raw Data'!H792</f>
        <v>0</v>
      </c>
      <c r="H792" s="6" t="n">
        <f aca="false">'Raw Data'!I792</f>
        <v>1</v>
      </c>
      <c r="I792" s="6" t="n">
        <f aca="false">'Raw Data'!J792</f>
        <v>0</v>
      </c>
      <c r="J792" s="6" t="n">
        <f aca="false">'Raw Data'!K792</f>
        <v>1</v>
      </c>
      <c r="K792" s="6" t="n">
        <f aca="false">'Raw Data'!L792</f>
        <v>2</v>
      </c>
      <c r="L792" s="6" t="n">
        <f aca="false">F792*E792</f>
        <v>0</v>
      </c>
      <c r="N792" s="0" t="n">
        <v>1</v>
      </c>
      <c r="O792" s="6" t="n">
        <f aca="false">D792</f>
        <v>3.311111111</v>
      </c>
      <c r="P792" s="6" t="n">
        <f aca="false">E792</f>
        <v>1</v>
      </c>
      <c r="Q792" s="6" t="n">
        <f aca="false">F792</f>
        <v>0</v>
      </c>
      <c r="R792" s="6" t="n">
        <f aca="false">G792</f>
        <v>0</v>
      </c>
      <c r="S792" s="6" t="n">
        <f aca="false">H792</f>
        <v>1</v>
      </c>
      <c r="T792" s="6" t="n">
        <f aca="false">I792</f>
        <v>0</v>
      </c>
      <c r="U792" s="6" t="n">
        <f aca="false">L792</f>
        <v>0</v>
      </c>
      <c r="W792" s="6" t="n">
        <f aca="false">D792</f>
        <v>3.311111111</v>
      </c>
      <c r="X792" s="6" t="n">
        <f aca="false">E792</f>
        <v>1</v>
      </c>
      <c r="Y792" s="6" t="n">
        <f aca="false">F792</f>
        <v>0</v>
      </c>
      <c r="Z792" s="6" t="n">
        <f aca="false">L792</f>
        <v>0</v>
      </c>
      <c r="AA792" s="6" t="n">
        <f aca="false">G792</f>
        <v>0</v>
      </c>
      <c r="AC792" s="6" t="n">
        <f aca="false">D792</f>
        <v>3.311111111</v>
      </c>
      <c r="AD792" s="6" t="n">
        <f aca="false">E792</f>
        <v>1</v>
      </c>
      <c r="AE792" s="6" t="n">
        <f aca="false">G792</f>
        <v>0</v>
      </c>
      <c r="AF792" s="6" t="n">
        <f aca="false">H792</f>
        <v>1</v>
      </c>
      <c r="AG792" s="6" t="n">
        <f aca="false">I792</f>
        <v>0</v>
      </c>
      <c r="AH792" s="6" t="n">
        <f aca="false">L792</f>
        <v>0</v>
      </c>
    </row>
    <row r="793" customFormat="false" ht="15" hidden="false" customHeight="false" outlineLevel="0" collapsed="false">
      <c r="A793" s="0" t="str">
        <f aca="false">'Raw Data'!C793</f>
        <v>Bowery</v>
      </c>
      <c r="B793" s="5" t="n">
        <f aca="false">'Raw Data'!A793</f>
        <v>40372</v>
      </c>
      <c r="C793" s="6" t="n">
        <f aca="false">'Raw Data'!D793</f>
        <v>335.281314647376</v>
      </c>
      <c r="D793" s="6" t="n">
        <f aca="false">'Raw Data'!E793</f>
        <v>3.147</v>
      </c>
      <c r="E793" s="6" t="n">
        <f aca="false">'Raw Data'!F793</f>
        <v>1</v>
      </c>
      <c r="F793" s="6" t="n">
        <f aca="false">'Raw Data'!G793</f>
        <v>0</v>
      </c>
      <c r="G793" s="6" t="n">
        <f aca="false">'Raw Data'!H793</f>
        <v>0</v>
      </c>
      <c r="H793" s="6" t="n">
        <f aca="false">'Raw Data'!I793</f>
        <v>0</v>
      </c>
      <c r="I793" s="6" t="n">
        <f aca="false">'Raw Data'!J793</f>
        <v>1</v>
      </c>
      <c r="J793" s="6" t="n">
        <f aca="false">'Raw Data'!K793</f>
        <v>1</v>
      </c>
      <c r="K793" s="6" t="n">
        <f aca="false">'Raw Data'!L793</f>
        <v>2</v>
      </c>
      <c r="L793" s="6" t="n">
        <f aca="false">F793*E793</f>
        <v>0</v>
      </c>
      <c r="N793" s="0" t="n">
        <v>1</v>
      </c>
      <c r="O793" s="6" t="n">
        <f aca="false">D793</f>
        <v>3.147</v>
      </c>
      <c r="P793" s="6" t="n">
        <f aca="false">E793</f>
        <v>1</v>
      </c>
      <c r="Q793" s="6" t="n">
        <f aca="false">F793</f>
        <v>0</v>
      </c>
      <c r="R793" s="6" t="n">
        <f aca="false">G793</f>
        <v>0</v>
      </c>
      <c r="S793" s="6" t="n">
        <f aca="false">H793</f>
        <v>0</v>
      </c>
      <c r="T793" s="6" t="n">
        <f aca="false">I793</f>
        <v>1</v>
      </c>
      <c r="U793" s="6" t="n">
        <f aca="false">L793</f>
        <v>0</v>
      </c>
      <c r="W793" s="6" t="n">
        <f aca="false">D793</f>
        <v>3.147</v>
      </c>
      <c r="X793" s="6" t="n">
        <f aca="false">E793</f>
        <v>1</v>
      </c>
      <c r="Y793" s="6" t="n">
        <f aca="false">F793</f>
        <v>0</v>
      </c>
      <c r="Z793" s="6" t="n">
        <f aca="false">L793</f>
        <v>0</v>
      </c>
      <c r="AA793" s="6" t="n">
        <f aca="false">G793</f>
        <v>0</v>
      </c>
      <c r="AC793" s="6" t="n">
        <f aca="false">D793</f>
        <v>3.147</v>
      </c>
      <c r="AD793" s="6" t="n">
        <f aca="false">E793</f>
        <v>1</v>
      </c>
      <c r="AE793" s="6" t="n">
        <f aca="false">G793</f>
        <v>0</v>
      </c>
      <c r="AF793" s="6" t="n">
        <f aca="false">H793</f>
        <v>0</v>
      </c>
      <c r="AG793" s="6" t="n">
        <f aca="false">I793</f>
        <v>1</v>
      </c>
      <c r="AH793" s="6" t="n">
        <f aca="false">L793</f>
        <v>0</v>
      </c>
    </row>
    <row r="794" customFormat="false" ht="15" hidden="false" customHeight="false" outlineLevel="0" collapsed="false">
      <c r="A794" s="0" t="str">
        <f aca="false">'Raw Data'!C794</f>
        <v>Chelsea</v>
      </c>
      <c r="B794" s="5" t="n">
        <f aca="false">'Raw Data'!A794</f>
        <v>40302</v>
      </c>
      <c r="C794" s="6" t="n">
        <f aca="false">'Raw Data'!D794</f>
        <v>169.601608456882</v>
      </c>
      <c r="D794" s="6" t="n">
        <f aca="false">'Raw Data'!E794</f>
        <v>4.24</v>
      </c>
      <c r="E794" s="6" t="n">
        <f aca="false">'Raw Data'!F794</f>
        <v>0</v>
      </c>
      <c r="F794" s="6" t="n">
        <f aca="false">'Raw Data'!G794</f>
        <v>0</v>
      </c>
      <c r="G794" s="6" t="n">
        <f aca="false">'Raw Data'!H794</f>
        <v>0</v>
      </c>
      <c r="H794" s="6" t="n">
        <f aca="false">'Raw Data'!I794</f>
        <v>0</v>
      </c>
      <c r="I794" s="6" t="n">
        <f aca="false">'Raw Data'!J794</f>
        <v>0</v>
      </c>
      <c r="J794" s="6" t="n">
        <f aca="false">'Raw Data'!K794</f>
        <v>2</v>
      </c>
      <c r="K794" s="6" t="n">
        <f aca="false">'Raw Data'!L794</f>
        <v>1</v>
      </c>
      <c r="L794" s="6" t="n">
        <f aca="false">F794*E794</f>
        <v>0</v>
      </c>
      <c r="N794" s="0" t="n">
        <v>1</v>
      </c>
      <c r="O794" s="6" t="n">
        <f aca="false">D794</f>
        <v>4.24</v>
      </c>
      <c r="P794" s="6" t="n">
        <f aca="false">E794</f>
        <v>0</v>
      </c>
      <c r="Q794" s="6" t="n">
        <f aca="false">F794</f>
        <v>0</v>
      </c>
      <c r="R794" s="6" t="n">
        <f aca="false">G794</f>
        <v>0</v>
      </c>
      <c r="S794" s="6" t="n">
        <f aca="false">H794</f>
        <v>0</v>
      </c>
      <c r="T794" s="6" t="n">
        <f aca="false">I794</f>
        <v>0</v>
      </c>
      <c r="U794" s="6" t="n">
        <f aca="false">L794</f>
        <v>0</v>
      </c>
      <c r="W794" s="6" t="n">
        <f aca="false">D794</f>
        <v>4.24</v>
      </c>
      <c r="X794" s="6" t="n">
        <f aca="false">E794</f>
        <v>0</v>
      </c>
      <c r="Y794" s="6" t="n">
        <f aca="false">F794</f>
        <v>0</v>
      </c>
      <c r="Z794" s="6" t="n">
        <f aca="false">L794</f>
        <v>0</v>
      </c>
      <c r="AA794" s="6" t="n">
        <f aca="false">G794</f>
        <v>0</v>
      </c>
      <c r="AC794" s="6" t="n">
        <f aca="false">D794</f>
        <v>4.24</v>
      </c>
      <c r="AD794" s="6" t="n">
        <f aca="false">E794</f>
        <v>0</v>
      </c>
      <c r="AE794" s="6" t="n">
        <f aca="false">G794</f>
        <v>0</v>
      </c>
      <c r="AF794" s="6" t="n">
        <f aca="false">H794</f>
        <v>0</v>
      </c>
      <c r="AG794" s="6" t="n">
        <f aca="false">I794</f>
        <v>0</v>
      </c>
      <c r="AH794" s="6" t="n">
        <f aca="false">L794</f>
        <v>0</v>
      </c>
    </row>
    <row r="795" customFormat="false" ht="15" hidden="false" customHeight="false" outlineLevel="0" collapsed="false">
      <c r="A795" s="0" t="str">
        <f aca="false">'Raw Data'!C795</f>
        <v>Chelsea</v>
      </c>
      <c r="B795" s="5" t="n">
        <f aca="false">'Raw Data'!A795</f>
        <v>40309</v>
      </c>
      <c r="C795" s="6" t="n">
        <f aca="false">'Raw Data'!D795</f>
        <v>209.397148810628</v>
      </c>
      <c r="D795" s="6" t="n">
        <f aca="false">'Raw Data'!E795</f>
        <v>4.228333333</v>
      </c>
      <c r="E795" s="6" t="n">
        <f aca="false">'Raw Data'!F795</f>
        <v>0</v>
      </c>
      <c r="F795" s="6" t="n">
        <f aca="false">'Raw Data'!G795</f>
        <v>0</v>
      </c>
      <c r="G795" s="6" t="n">
        <f aca="false">'Raw Data'!H795</f>
        <v>0</v>
      </c>
      <c r="H795" s="6" t="n">
        <f aca="false">'Raw Data'!I795</f>
        <v>0</v>
      </c>
      <c r="I795" s="6" t="n">
        <f aca="false">'Raw Data'!J795</f>
        <v>0</v>
      </c>
      <c r="J795" s="6" t="n">
        <f aca="false">'Raw Data'!K795</f>
        <v>2</v>
      </c>
      <c r="K795" s="6" t="n">
        <f aca="false">'Raw Data'!L795</f>
        <v>1</v>
      </c>
      <c r="L795" s="6" t="n">
        <f aca="false">F795*E795</f>
        <v>0</v>
      </c>
      <c r="N795" s="0" t="n">
        <v>1</v>
      </c>
      <c r="O795" s="6" t="n">
        <f aca="false">D795</f>
        <v>4.228333333</v>
      </c>
      <c r="P795" s="6" t="n">
        <f aca="false">E795</f>
        <v>0</v>
      </c>
      <c r="Q795" s="6" t="n">
        <f aca="false">F795</f>
        <v>0</v>
      </c>
      <c r="R795" s="6" t="n">
        <f aca="false">G795</f>
        <v>0</v>
      </c>
      <c r="S795" s="6" t="n">
        <f aca="false">H795</f>
        <v>0</v>
      </c>
      <c r="T795" s="6" t="n">
        <f aca="false">I795</f>
        <v>0</v>
      </c>
      <c r="U795" s="6" t="n">
        <f aca="false">L795</f>
        <v>0</v>
      </c>
      <c r="W795" s="6" t="n">
        <f aca="false">D795</f>
        <v>4.228333333</v>
      </c>
      <c r="X795" s="6" t="n">
        <f aca="false">E795</f>
        <v>0</v>
      </c>
      <c r="Y795" s="6" t="n">
        <f aca="false">F795</f>
        <v>0</v>
      </c>
      <c r="Z795" s="6" t="n">
        <f aca="false">L795</f>
        <v>0</v>
      </c>
      <c r="AA795" s="6" t="n">
        <f aca="false">G795</f>
        <v>0</v>
      </c>
      <c r="AC795" s="6" t="n">
        <f aca="false">D795</f>
        <v>4.228333333</v>
      </c>
      <c r="AD795" s="6" t="n">
        <f aca="false">E795</f>
        <v>0</v>
      </c>
      <c r="AE795" s="6" t="n">
        <f aca="false">G795</f>
        <v>0</v>
      </c>
      <c r="AF795" s="6" t="n">
        <f aca="false">H795</f>
        <v>0</v>
      </c>
      <c r="AG795" s="6" t="n">
        <f aca="false">I795</f>
        <v>0</v>
      </c>
      <c r="AH795" s="6" t="n">
        <f aca="false">L795</f>
        <v>0</v>
      </c>
    </row>
    <row r="796" customFormat="false" ht="15" hidden="false" customHeight="false" outlineLevel="0" collapsed="false">
      <c r="A796" s="0" t="str">
        <f aca="false">'Raw Data'!C796</f>
        <v>Chelsea</v>
      </c>
      <c r="B796" s="5" t="n">
        <f aca="false">'Raw Data'!A796</f>
        <v>40316</v>
      </c>
      <c r="C796" s="6" t="n">
        <f aca="false">'Raw Data'!D796</f>
        <v>196.349603946756</v>
      </c>
      <c r="D796" s="6" t="n">
        <f aca="false">'Raw Data'!E796</f>
        <v>3.995</v>
      </c>
      <c r="E796" s="6" t="n">
        <f aca="false">'Raw Data'!F796</f>
        <v>0</v>
      </c>
      <c r="F796" s="6" t="n">
        <f aca="false">'Raw Data'!G796</f>
        <v>0</v>
      </c>
      <c r="G796" s="6" t="n">
        <f aca="false">'Raw Data'!H796</f>
        <v>0</v>
      </c>
      <c r="H796" s="6" t="n">
        <f aca="false">'Raw Data'!I796</f>
        <v>0</v>
      </c>
      <c r="I796" s="6" t="n">
        <f aca="false">'Raw Data'!J796</f>
        <v>0</v>
      </c>
      <c r="J796" s="6" t="n">
        <f aca="false">'Raw Data'!K796</f>
        <v>2</v>
      </c>
      <c r="K796" s="6" t="n">
        <f aca="false">'Raw Data'!L796</f>
        <v>1</v>
      </c>
      <c r="L796" s="6" t="n">
        <f aca="false">F796*E796</f>
        <v>0</v>
      </c>
      <c r="N796" s="0" t="n">
        <v>1</v>
      </c>
      <c r="O796" s="6" t="n">
        <f aca="false">D796</f>
        <v>3.995</v>
      </c>
      <c r="P796" s="6" t="n">
        <f aca="false">E796</f>
        <v>0</v>
      </c>
      <c r="Q796" s="6" t="n">
        <f aca="false">F796</f>
        <v>0</v>
      </c>
      <c r="R796" s="6" t="n">
        <f aca="false">G796</f>
        <v>0</v>
      </c>
      <c r="S796" s="6" t="n">
        <f aca="false">H796</f>
        <v>0</v>
      </c>
      <c r="T796" s="6" t="n">
        <f aca="false">I796</f>
        <v>0</v>
      </c>
      <c r="U796" s="6" t="n">
        <f aca="false">L796</f>
        <v>0</v>
      </c>
      <c r="W796" s="6" t="n">
        <f aca="false">D796</f>
        <v>3.995</v>
      </c>
      <c r="X796" s="6" t="n">
        <f aca="false">E796</f>
        <v>0</v>
      </c>
      <c r="Y796" s="6" t="n">
        <f aca="false">F796</f>
        <v>0</v>
      </c>
      <c r="Z796" s="6" t="n">
        <f aca="false">L796</f>
        <v>0</v>
      </c>
      <c r="AA796" s="6" t="n">
        <f aca="false">G796</f>
        <v>0</v>
      </c>
      <c r="AC796" s="6" t="n">
        <f aca="false">D796</f>
        <v>3.995</v>
      </c>
      <c r="AD796" s="6" t="n">
        <f aca="false">E796</f>
        <v>0</v>
      </c>
      <c r="AE796" s="6" t="n">
        <f aca="false">G796</f>
        <v>0</v>
      </c>
      <c r="AF796" s="6" t="n">
        <f aca="false">H796</f>
        <v>0</v>
      </c>
      <c r="AG796" s="6" t="n">
        <f aca="false">I796</f>
        <v>0</v>
      </c>
      <c r="AH796" s="6" t="n">
        <f aca="false">L796</f>
        <v>0</v>
      </c>
    </row>
    <row r="797" customFormat="false" ht="15" hidden="false" customHeight="false" outlineLevel="0" collapsed="false">
      <c r="A797" s="0" t="str">
        <f aca="false">'Raw Data'!C797</f>
        <v>Chelsea</v>
      </c>
      <c r="B797" s="5" t="n">
        <f aca="false">'Raw Data'!A797</f>
        <v>40323</v>
      </c>
      <c r="C797" s="6" t="n">
        <f aca="false">'Raw Data'!D797</f>
        <v>358.380552167768</v>
      </c>
      <c r="D797" s="6" t="n">
        <f aca="false">'Raw Data'!E797</f>
        <v>3.995</v>
      </c>
      <c r="E797" s="6" t="n">
        <f aca="false">'Raw Data'!F797</f>
        <v>1</v>
      </c>
      <c r="F797" s="6" t="n">
        <f aca="false">'Raw Data'!G797</f>
        <v>0</v>
      </c>
      <c r="G797" s="6" t="n">
        <f aca="false">'Raw Data'!H797</f>
        <v>0</v>
      </c>
      <c r="H797" s="6" t="n">
        <f aca="false">'Raw Data'!I797</f>
        <v>0</v>
      </c>
      <c r="I797" s="6" t="n">
        <f aca="false">'Raw Data'!J797</f>
        <v>0</v>
      </c>
      <c r="J797" s="6" t="n">
        <f aca="false">'Raw Data'!K797</f>
        <v>2</v>
      </c>
      <c r="K797" s="6" t="n">
        <f aca="false">'Raw Data'!L797</f>
        <v>1</v>
      </c>
      <c r="L797" s="6" t="n">
        <f aca="false">F797*E797</f>
        <v>0</v>
      </c>
      <c r="N797" s="0" t="n">
        <v>1</v>
      </c>
      <c r="O797" s="6" t="n">
        <f aca="false">D797</f>
        <v>3.995</v>
      </c>
      <c r="P797" s="6" t="n">
        <f aca="false">E797</f>
        <v>1</v>
      </c>
      <c r="Q797" s="6" t="n">
        <f aca="false">F797</f>
        <v>0</v>
      </c>
      <c r="R797" s="6" t="n">
        <f aca="false">G797</f>
        <v>0</v>
      </c>
      <c r="S797" s="6" t="n">
        <f aca="false">H797</f>
        <v>0</v>
      </c>
      <c r="T797" s="6" t="n">
        <f aca="false">I797</f>
        <v>0</v>
      </c>
      <c r="U797" s="6" t="n">
        <f aca="false">L797</f>
        <v>0</v>
      </c>
      <c r="W797" s="6" t="n">
        <f aca="false">D797</f>
        <v>3.995</v>
      </c>
      <c r="X797" s="6" t="n">
        <f aca="false">E797</f>
        <v>1</v>
      </c>
      <c r="Y797" s="6" t="n">
        <f aca="false">F797</f>
        <v>0</v>
      </c>
      <c r="Z797" s="6" t="n">
        <f aca="false">L797</f>
        <v>0</v>
      </c>
      <c r="AA797" s="6" t="n">
        <f aca="false">G797</f>
        <v>0</v>
      </c>
      <c r="AC797" s="6" t="n">
        <f aca="false">D797</f>
        <v>3.995</v>
      </c>
      <c r="AD797" s="6" t="n">
        <f aca="false">E797</f>
        <v>1</v>
      </c>
      <c r="AE797" s="6" t="n">
        <f aca="false">G797</f>
        <v>0</v>
      </c>
      <c r="AF797" s="6" t="n">
        <f aca="false">H797</f>
        <v>0</v>
      </c>
      <c r="AG797" s="6" t="n">
        <f aca="false">I797</f>
        <v>0</v>
      </c>
      <c r="AH797" s="6" t="n">
        <f aca="false">L797</f>
        <v>0</v>
      </c>
    </row>
    <row r="798" customFormat="false" ht="15" hidden="false" customHeight="false" outlineLevel="0" collapsed="false">
      <c r="A798" s="0" t="str">
        <f aca="false">'Raw Data'!C798</f>
        <v>Chelsea</v>
      </c>
      <c r="B798" s="5" t="n">
        <f aca="false">'Raw Data'!A798</f>
        <v>40330</v>
      </c>
      <c r="C798" s="6" t="n">
        <f aca="false">'Raw Data'!D798</f>
        <v>198.009539360178</v>
      </c>
      <c r="D798" s="6" t="n">
        <f aca="false">'Raw Data'!E798</f>
        <v>3.995</v>
      </c>
      <c r="E798" s="6" t="n">
        <f aca="false">'Raw Data'!F798</f>
        <v>1</v>
      </c>
      <c r="F798" s="6" t="n">
        <f aca="false">'Raw Data'!G798</f>
        <v>0</v>
      </c>
      <c r="G798" s="6" t="n">
        <f aca="false">'Raw Data'!H798</f>
        <v>0</v>
      </c>
      <c r="H798" s="6" t="n">
        <f aca="false">'Raw Data'!I798</f>
        <v>0</v>
      </c>
      <c r="I798" s="6" t="n">
        <f aca="false">'Raw Data'!J798</f>
        <v>0</v>
      </c>
      <c r="J798" s="6" t="n">
        <f aca="false">'Raw Data'!K798</f>
        <v>2</v>
      </c>
      <c r="K798" s="6" t="n">
        <f aca="false">'Raw Data'!L798</f>
        <v>1</v>
      </c>
      <c r="L798" s="6" t="n">
        <f aca="false">F798*E798</f>
        <v>0</v>
      </c>
      <c r="N798" s="0" t="n">
        <v>1</v>
      </c>
      <c r="O798" s="6" t="n">
        <f aca="false">D798</f>
        <v>3.995</v>
      </c>
      <c r="P798" s="6" t="n">
        <f aca="false">E798</f>
        <v>1</v>
      </c>
      <c r="Q798" s="6" t="n">
        <f aca="false">F798</f>
        <v>0</v>
      </c>
      <c r="R798" s="6" t="n">
        <f aca="false">G798</f>
        <v>0</v>
      </c>
      <c r="S798" s="6" t="n">
        <f aca="false">H798</f>
        <v>0</v>
      </c>
      <c r="T798" s="6" t="n">
        <f aca="false">I798</f>
        <v>0</v>
      </c>
      <c r="U798" s="6" t="n">
        <f aca="false">L798</f>
        <v>0</v>
      </c>
      <c r="W798" s="6" t="n">
        <f aca="false">D798</f>
        <v>3.995</v>
      </c>
      <c r="X798" s="6" t="n">
        <f aca="false">E798</f>
        <v>1</v>
      </c>
      <c r="Y798" s="6" t="n">
        <f aca="false">F798</f>
        <v>0</v>
      </c>
      <c r="Z798" s="6" t="n">
        <f aca="false">L798</f>
        <v>0</v>
      </c>
      <c r="AA798" s="6" t="n">
        <f aca="false">G798</f>
        <v>0</v>
      </c>
      <c r="AC798" s="6" t="n">
        <f aca="false">D798</f>
        <v>3.995</v>
      </c>
      <c r="AD798" s="6" t="n">
        <f aca="false">E798</f>
        <v>1</v>
      </c>
      <c r="AE798" s="6" t="n">
        <f aca="false">G798</f>
        <v>0</v>
      </c>
      <c r="AF798" s="6" t="n">
        <f aca="false">H798</f>
        <v>0</v>
      </c>
      <c r="AG798" s="6" t="n">
        <f aca="false">I798</f>
        <v>0</v>
      </c>
      <c r="AH798" s="6" t="n">
        <f aca="false">L798</f>
        <v>0</v>
      </c>
    </row>
    <row r="799" customFormat="false" ht="15" hidden="false" customHeight="false" outlineLevel="0" collapsed="false">
      <c r="A799" s="0" t="str">
        <f aca="false">'Raw Data'!C799</f>
        <v>Chelsea</v>
      </c>
      <c r="B799" s="5" t="n">
        <f aca="false">'Raw Data'!A799</f>
        <v>40337</v>
      </c>
      <c r="C799" s="6" t="n">
        <f aca="false">'Raw Data'!D799</f>
        <v>166.407799612155</v>
      </c>
      <c r="D799" s="6" t="n">
        <f aca="false">'Raw Data'!E799</f>
        <v>4.24</v>
      </c>
      <c r="E799" s="6" t="n">
        <f aca="false">'Raw Data'!F799</f>
        <v>1</v>
      </c>
      <c r="F799" s="6" t="n">
        <f aca="false">'Raw Data'!G799</f>
        <v>0</v>
      </c>
      <c r="G799" s="6" t="n">
        <f aca="false">'Raw Data'!H799</f>
        <v>0</v>
      </c>
      <c r="H799" s="6" t="n">
        <f aca="false">'Raw Data'!I799</f>
        <v>0</v>
      </c>
      <c r="I799" s="6" t="n">
        <f aca="false">'Raw Data'!J799</f>
        <v>0</v>
      </c>
      <c r="J799" s="6" t="n">
        <f aca="false">'Raw Data'!K799</f>
        <v>2</v>
      </c>
      <c r="K799" s="6" t="n">
        <f aca="false">'Raw Data'!L799</f>
        <v>1</v>
      </c>
      <c r="L799" s="6" t="n">
        <f aca="false">F799*E799</f>
        <v>0</v>
      </c>
      <c r="N799" s="0" t="n">
        <v>1</v>
      </c>
      <c r="O799" s="6" t="n">
        <f aca="false">D799</f>
        <v>4.24</v>
      </c>
      <c r="P799" s="6" t="n">
        <f aca="false">E799</f>
        <v>1</v>
      </c>
      <c r="Q799" s="6" t="n">
        <f aca="false">F799</f>
        <v>0</v>
      </c>
      <c r="R799" s="6" t="n">
        <f aca="false">G799</f>
        <v>0</v>
      </c>
      <c r="S799" s="6" t="n">
        <f aca="false">H799</f>
        <v>0</v>
      </c>
      <c r="T799" s="6" t="n">
        <f aca="false">I799</f>
        <v>0</v>
      </c>
      <c r="U799" s="6" t="n">
        <f aca="false">L799</f>
        <v>0</v>
      </c>
      <c r="W799" s="6" t="n">
        <f aca="false">D799</f>
        <v>4.24</v>
      </c>
      <c r="X799" s="6" t="n">
        <f aca="false">E799</f>
        <v>1</v>
      </c>
      <c r="Y799" s="6" t="n">
        <f aca="false">F799</f>
        <v>0</v>
      </c>
      <c r="Z799" s="6" t="n">
        <f aca="false">L799</f>
        <v>0</v>
      </c>
      <c r="AA799" s="6" t="n">
        <f aca="false">G799</f>
        <v>0</v>
      </c>
      <c r="AC799" s="6" t="n">
        <f aca="false">D799</f>
        <v>4.24</v>
      </c>
      <c r="AD799" s="6" t="n">
        <f aca="false">E799</f>
        <v>1</v>
      </c>
      <c r="AE799" s="6" t="n">
        <f aca="false">G799</f>
        <v>0</v>
      </c>
      <c r="AF799" s="6" t="n">
        <f aca="false">H799</f>
        <v>0</v>
      </c>
      <c r="AG799" s="6" t="n">
        <f aca="false">I799</f>
        <v>0</v>
      </c>
      <c r="AH799" s="6" t="n">
        <f aca="false">L799</f>
        <v>0</v>
      </c>
    </row>
    <row r="800" customFormat="false" ht="15" hidden="false" customHeight="false" outlineLevel="0" collapsed="false">
      <c r="A800" s="0" t="str">
        <f aca="false">'Raw Data'!C800</f>
        <v>Chelsea</v>
      </c>
      <c r="B800" s="5" t="n">
        <f aca="false">'Raw Data'!A800</f>
        <v>40344</v>
      </c>
      <c r="C800" s="6" t="n">
        <f aca="false">'Raw Data'!D800</f>
        <v>299.873208502453</v>
      </c>
      <c r="D800" s="6" t="n">
        <f aca="false">'Raw Data'!E800</f>
        <v>4.24</v>
      </c>
      <c r="E800" s="6" t="n">
        <f aca="false">'Raw Data'!F800</f>
        <v>1</v>
      </c>
      <c r="F800" s="6" t="n">
        <f aca="false">'Raw Data'!G800</f>
        <v>0</v>
      </c>
      <c r="G800" s="6" t="n">
        <f aca="false">'Raw Data'!H800</f>
        <v>1</v>
      </c>
      <c r="H800" s="6" t="n">
        <f aca="false">'Raw Data'!I800</f>
        <v>0</v>
      </c>
      <c r="I800" s="6" t="n">
        <f aca="false">'Raw Data'!J800</f>
        <v>0</v>
      </c>
      <c r="J800" s="6" t="n">
        <f aca="false">'Raw Data'!K800</f>
        <v>2</v>
      </c>
      <c r="K800" s="6" t="n">
        <f aca="false">'Raw Data'!L800</f>
        <v>1</v>
      </c>
      <c r="L800" s="6" t="n">
        <f aca="false">F800*E800</f>
        <v>0</v>
      </c>
      <c r="N800" s="0" t="n">
        <v>1</v>
      </c>
      <c r="O800" s="6" t="n">
        <f aca="false">D800</f>
        <v>4.24</v>
      </c>
      <c r="P800" s="6" t="n">
        <f aca="false">E800</f>
        <v>1</v>
      </c>
      <c r="Q800" s="6" t="n">
        <f aca="false">F800</f>
        <v>0</v>
      </c>
      <c r="R800" s="6" t="n">
        <f aca="false">G800</f>
        <v>1</v>
      </c>
      <c r="S800" s="6" t="n">
        <f aca="false">H800</f>
        <v>0</v>
      </c>
      <c r="T800" s="6" t="n">
        <f aca="false">I800</f>
        <v>0</v>
      </c>
      <c r="U800" s="6" t="n">
        <f aca="false">L800</f>
        <v>0</v>
      </c>
      <c r="W800" s="6" t="n">
        <f aca="false">D800</f>
        <v>4.24</v>
      </c>
      <c r="X800" s="6" t="n">
        <f aca="false">E800</f>
        <v>1</v>
      </c>
      <c r="Y800" s="6" t="n">
        <f aca="false">F800</f>
        <v>0</v>
      </c>
      <c r="Z800" s="6" t="n">
        <f aca="false">L800</f>
        <v>0</v>
      </c>
      <c r="AA800" s="6" t="n">
        <f aca="false">G800</f>
        <v>1</v>
      </c>
      <c r="AC800" s="6" t="n">
        <f aca="false">D800</f>
        <v>4.24</v>
      </c>
      <c r="AD800" s="6" t="n">
        <f aca="false">E800</f>
        <v>1</v>
      </c>
      <c r="AE800" s="6" t="n">
        <f aca="false">G800</f>
        <v>1</v>
      </c>
      <c r="AF800" s="6" t="n">
        <f aca="false">H800</f>
        <v>0</v>
      </c>
      <c r="AG800" s="6" t="n">
        <f aca="false">I800</f>
        <v>0</v>
      </c>
      <c r="AH800" s="6" t="n">
        <f aca="false">L800</f>
        <v>0</v>
      </c>
    </row>
    <row r="801" customFormat="false" ht="15" hidden="false" customHeight="false" outlineLevel="0" collapsed="false">
      <c r="A801" s="0" t="str">
        <f aca="false">'Raw Data'!C801</f>
        <v>Chelsea</v>
      </c>
      <c r="B801" s="5" t="n">
        <f aca="false">'Raw Data'!A801</f>
        <v>40351</v>
      </c>
      <c r="C801" s="6" t="n">
        <f aca="false">'Raw Data'!D801</f>
        <v>344.855699582453</v>
      </c>
      <c r="D801" s="6" t="n">
        <f aca="false">'Raw Data'!E801</f>
        <v>4.24</v>
      </c>
      <c r="E801" s="6" t="n">
        <f aca="false">'Raw Data'!F801</f>
        <v>1</v>
      </c>
      <c r="F801" s="6" t="n">
        <f aca="false">'Raw Data'!G801</f>
        <v>0</v>
      </c>
      <c r="G801" s="6" t="n">
        <f aca="false">'Raw Data'!H801</f>
        <v>0</v>
      </c>
      <c r="H801" s="6" t="n">
        <f aca="false">'Raw Data'!I801</f>
        <v>1</v>
      </c>
      <c r="I801" s="6" t="n">
        <f aca="false">'Raw Data'!J801</f>
        <v>0</v>
      </c>
      <c r="J801" s="6" t="n">
        <f aca="false">'Raw Data'!K801</f>
        <v>2</v>
      </c>
      <c r="K801" s="6" t="n">
        <f aca="false">'Raw Data'!L801</f>
        <v>1</v>
      </c>
      <c r="L801" s="6" t="n">
        <f aca="false">F801*E801</f>
        <v>0</v>
      </c>
      <c r="N801" s="0" t="n">
        <v>1</v>
      </c>
      <c r="O801" s="6" t="n">
        <f aca="false">D801</f>
        <v>4.24</v>
      </c>
      <c r="P801" s="6" t="n">
        <f aca="false">E801</f>
        <v>1</v>
      </c>
      <c r="Q801" s="6" t="n">
        <f aca="false">F801</f>
        <v>0</v>
      </c>
      <c r="R801" s="6" t="n">
        <f aca="false">G801</f>
        <v>0</v>
      </c>
      <c r="S801" s="6" t="n">
        <f aca="false">H801</f>
        <v>1</v>
      </c>
      <c r="T801" s="6" t="n">
        <f aca="false">I801</f>
        <v>0</v>
      </c>
      <c r="U801" s="6" t="n">
        <f aca="false">L801</f>
        <v>0</v>
      </c>
      <c r="W801" s="6" t="n">
        <f aca="false">D801</f>
        <v>4.24</v>
      </c>
      <c r="X801" s="6" t="n">
        <f aca="false">E801</f>
        <v>1</v>
      </c>
      <c r="Y801" s="6" t="n">
        <f aca="false">F801</f>
        <v>0</v>
      </c>
      <c r="Z801" s="6" t="n">
        <f aca="false">L801</f>
        <v>0</v>
      </c>
      <c r="AA801" s="6" t="n">
        <f aca="false">G801</f>
        <v>0</v>
      </c>
      <c r="AC801" s="6" t="n">
        <f aca="false">D801</f>
        <v>4.24</v>
      </c>
      <c r="AD801" s="6" t="n">
        <f aca="false">E801</f>
        <v>1</v>
      </c>
      <c r="AE801" s="6" t="n">
        <f aca="false">G801</f>
        <v>0</v>
      </c>
      <c r="AF801" s="6" t="n">
        <f aca="false">H801</f>
        <v>1</v>
      </c>
      <c r="AG801" s="6" t="n">
        <f aca="false">I801</f>
        <v>0</v>
      </c>
      <c r="AH801" s="6" t="n">
        <f aca="false">L801</f>
        <v>0</v>
      </c>
    </row>
    <row r="802" customFormat="false" ht="15" hidden="false" customHeight="false" outlineLevel="0" collapsed="false">
      <c r="A802" s="0" t="str">
        <f aca="false">'Raw Data'!C802</f>
        <v>Chelsea</v>
      </c>
      <c r="B802" s="5" t="n">
        <f aca="false">'Raw Data'!A802</f>
        <v>40358</v>
      </c>
      <c r="C802" s="6" t="n">
        <f aca="false">'Raw Data'!D802</f>
        <v>340.266963214007</v>
      </c>
      <c r="D802" s="6" t="n">
        <f aca="false">'Raw Data'!E802</f>
        <v>4.24</v>
      </c>
      <c r="E802" s="6" t="n">
        <f aca="false">'Raw Data'!F802</f>
        <v>1</v>
      </c>
      <c r="F802" s="6" t="n">
        <f aca="false">'Raw Data'!G802</f>
        <v>0</v>
      </c>
      <c r="G802" s="6" t="n">
        <f aca="false">'Raw Data'!H802</f>
        <v>0</v>
      </c>
      <c r="H802" s="6" t="n">
        <f aca="false">'Raw Data'!I802</f>
        <v>1</v>
      </c>
      <c r="I802" s="6" t="n">
        <f aca="false">'Raw Data'!J802</f>
        <v>0</v>
      </c>
      <c r="J802" s="6" t="n">
        <f aca="false">'Raw Data'!K802</f>
        <v>2</v>
      </c>
      <c r="K802" s="6" t="n">
        <f aca="false">'Raw Data'!L802</f>
        <v>1</v>
      </c>
      <c r="L802" s="6" t="n">
        <f aca="false">F802*E802</f>
        <v>0</v>
      </c>
      <c r="N802" s="0" t="n">
        <v>1</v>
      </c>
      <c r="O802" s="6" t="n">
        <f aca="false">D802</f>
        <v>4.24</v>
      </c>
      <c r="P802" s="6" t="n">
        <f aca="false">E802</f>
        <v>1</v>
      </c>
      <c r="Q802" s="6" t="n">
        <f aca="false">F802</f>
        <v>0</v>
      </c>
      <c r="R802" s="6" t="n">
        <f aca="false">G802</f>
        <v>0</v>
      </c>
      <c r="S802" s="6" t="n">
        <f aca="false">H802</f>
        <v>1</v>
      </c>
      <c r="T802" s="6" t="n">
        <f aca="false">I802</f>
        <v>0</v>
      </c>
      <c r="U802" s="6" t="n">
        <f aca="false">L802</f>
        <v>0</v>
      </c>
      <c r="W802" s="6" t="n">
        <f aca="false">D802</f>
        <v>4.24</v>
      </c>
      <c r="X802" s="6" t="n">
        <f aca="false">E802</f>
        <v>1</v>
      </c>
      <c r="Y802" s="6" t="n">
        <f aca="false">F802</f>
        <v>0</v>
      </c>
      <c r="Z802" s="6" t="n">
        <f aca="false">L802</f>
        <v>0</v>
      </c>
      <c r="AA802" s="6" t="n">
        <f aca="false">G802</f>
        <v>0</v>
      </c>
      <c r="AC802" s="6" t="n">
        <f aca="false">D802</f>
        <v>4.24</v>
      </c>
      <c r="AD802" s="6" t="n">
        <f aca="false">E802</f>
        <v>1</v>
      </c>
      <c r="AE802" s="6" t="n">
        <f aca="false">G802</f>
        <v>0</v>
      </c>
      <c r="AF802" s="6" t="n">
        <f aca="false">H802</f>
        <v>1</v>
      </c>
      <c r="AG802" s="6" t="n">
        <f aca="false">I802</f>
        <v>0</v>
      </c>
      <c r="AH802" s="6" t="n">
        <f aca="false">L802</f>
        <v>0</v>
      </c>
    </row>
    <row r="803" customFormat="false" ht="15" hidden="false" customHeight="false" outlineLevel="0" collapsed="false">
      <c r="A803" s="0" t="str">
        <f aca="false">'Raw Data'!C803</f>
        <v>Chelsea</v>
      </c>
      <c r="B803" s="5" t="n">
        <f aca="false">'Raw Data'!A803</f>
        <v>40365</v>
      </c>
      <c r="C803" s="6" t="n">
        <f aca="false">'Raw Data'!D803</f>
        <v>262.281177180939</v>
      </c>
      <c r="D803" s="6" t="n">
        <f aca="false">'Raw Data'!E803</f>
        <v>3.745</v>
      </c>
      <c r="E803" s="6" t="n">
        <f aca="false">'Raw Data'!F803</f>
        <v>1</v>
      </c>
      <c r="F803" s="6" t="n">
        <f aca="false">'Raw Data'!G803</f>
        <v>0</v>
      </c>
      <c r="G803" s="6" t="n">
        <f aca="false">'Raw Data'!H803</f>
        <v>0</v>
      </c>
      <c r="H803" s="6" t="n">
        <f aca="false">'Raw Data'!I803</f>
        <v>1</v>
      </c>
      <c r="I803" s="6" t="n">
        <f aca="false">'Raw Data'!J803</f>
        <v>0</v>
      </c>
      <c r="J803" s="6" t="n">
        <f aca="false">'Raw Data'!K803</f>
        <v>2</v>
      </c>
      <c r="K803" s="6" t="n">
        <f aca="false">'Raw Data'!L803</f>
        <v>1</v>
      </c>
      <c r="L803" s="6" t="n">
        <f aca="false">F803*E803</f>
        <v>0</v>
      </c>
      <c r="N803" s="0" t="n">
        <v>1</v>
      </c>
      <c r="O803" s="6" t="n">
        <f aca="false">D803</f>
        <v>3.745</v>
      </c>
      <c r="P803" s="6" t="n">
        <f aca="false">E803</f>
        <v>1</v>
      </c>
      <c r="Q803" s="6" t="n">
        <f aca="false">F803</f>
        <v>0</v>
      </c>
      <c r="R803" s="6" t="n">
        <f aca="false">G803</f>
        <v>0</v>
      </c>
      <c r="S803" s="6" t="n">
        <f aca="false">H803</f>
        <v>1</v>
      </c>
      <c r="T803" s="6" t="n">
        <f aca="false">I803</f>
        <v>0</v>
      </c>
      <c r="U803" s="6" t="n">
        <f aca="false">L803</f>
        <v>0</v>
      </c>
      <c r="W803" s="6" t="n">
        <f aca="false">D803</f>
        <v>3.745</v>
      </c>
      <c r="X803" s="6" t="n">
        <f aca="false">E803</f>
        <v>1</v>
      </c>
      <c r="Y803" s="6" t="n">
        <f aca="false">F803</f>
        <v>0</v>
      </c>
      <c r="Z803" s="6" t="n">
        <f aca="false">L803</f>
        <v>0</v>
      </c>
      <c r="AA803" s="6" t="n">
        <f aca="false">G803</f>
        <v>0</v>
      </c>
      <c r="AC803" s="6" t="n">
        <f aca="false">D803</f>
        <v>3.745</v>
      </c>
      <c r="AD803" s="6" t="n">
        <f aca="false">E803</f>
        <v>1</v>
      </c>
      <c r="AE803" s="6" t="n">
        <f aca="false">G803</f>
        <v>0</v>
      </c>
      <c r="AF803" s="6" t="n">
        <f aca="false">H803</f>
        <v>1</v>
      </c>
      <c r="AG803" s="6" t="n">
        <f aca="false">I803</f>
        <v>0</v>
      </c>
      <c r="AH803" s="6" t="n">
        <f aca="false">L803</f>
        <v>0</v>
      </c>
    </row>
    <row r="804" customFormat="false" ht="15" hidden="false" customHeight="false" outlineLevel="0" collapsed="false">
      <c r="A804" s="0" t="str">
        <f aca="false">'Raw Data'!C804</f>
        <v>Chelsea</v>
      </c>
      <c r="B804" s="5" t="n">
        <f aca="false">'Raw Data'!A804</f>
        <v>40372</v>
      </c>
      <c r="C804" s="6" t="n">
        <f aca="false">'Raw Data'!D804</f>
        <v>235.868486084286</v>
      </c>
      <c r="D804" s="6" t="n">
        <f aca="false">'Raw Data'!E804</f>
        <v>3.745</v>
      </c>
      <c r="E804" s="6" t="n">
        <f aca="false">'Raw Data'!F804</f>
        <v>1</v>
      </c>
      <c r="F804" s="6" t="n">
        <f aca="false">'Raw Data'!G804</f>
        <v>0</v>
      </c>
      <c r="G804" s="6" t="n">
        <f aca="false">'Raw Data'!H804</f>
        <v>0</v>
      </c>
      <c r="H804" s="6" t="n">
        <f aca="false">'Raw Data'!I804</f>
        <v>0</v>
      </c>
      <c r="I804" s="6" t="n">
        <f aca="false">'Raw Data'!J804</f>
        <v>1</v>
      </c>
      <c r="J804" s="6" t="n">
        <f aca="false">'Raw Data'!K804</f>
        <v>1</v>
      </c>
      <c r="K804" s="6" t="n">
        <f aca="false">'Raw Data'!L804</f>
        <v>1</v>
      </c>
      <c r="L804" s="6" t="n">
        <f aca="false">F804*E804</f>
        <v>0</v>
      </c>
      <c r="N804" s="0" t="n">
        <v>1</v>
      </c>
      <c r="O804" s="6" t="n">
        <f aca="false">D804</f>
        <v>3.745</v>
      </c>
      <c r="P804" s="6" t="n">
        <f aca="false">E804</f>
        <v>1</v>
      </c>
      <c r="Q804" s="6" t="n">
        <f aca="false">F804</f>
        <v>0</v>
      </c>
      <c r="R804" s="6" t="n">
        <f aca="false">G804</f>
        <v>0</v>
      </c>
      <c r="S804" s="6" t="n">
        <f aca="false">H804</f>
        <v>0</v>
      </c>
      <c r="T804" s="6" t="n">
        <f aca="false">I804</f>
        <v>1</v>
      </c>
      <c r="U804" s="6" t="n">
        <f aca="false">L804</f>
        <v>0</v>
      </c>
      <c r="W804" s="6" t="n">
        <f aca="false">D804</f>
        <v>3.745</v>
      </c>
      <c r="X804" s="6" t="n">
        <f aca="false">E804</f>
        <v>1</v>
      </c>
      <c r="Y804" s="6" t="n">
        <f aca="false">F804</f>
        <v>0</v>
      </c>
      <c r="Z804" s="6" t="n">
        <f aca="false">L804</f>
        <v>0</v>
      </c>
      <c r="AA804" s="6" t="n">
        <f aca="false">G804</f>
        <v>0</v>
      </c>
      <c r="AC804" s="6" t="n">
        <f aca="false">D804</f>
        <v>3.745</v>
      </c>
      <c r="AD804" s="6" t="n">
        <f aca="false">E804</f>
        <v>1</v>
      </c>
      <c r="AE804" s="6" t="n">
        <f aca="false">G804</f>
        <v>0</v>
      </c>
      <c r="AF804" s="6" t="n">
        <f aca="false">H804</f>
        <v>0</v>
      </c>
      <c r="AG804" s="6" t="n">
        <f aca="false">I804</f>
        <v>1</v>
      </c>
      <c r="AH804" s="6" t="n">
        <f aca="false">L804</f>
        <v>0</v>
      </c>
    </row>
    <row r="805" customFormat="false" ht="15" hidden="false" customHeight="false" outlineLevel="0" collapsed="false">
      <c r="A805" s="0" t="str">
        <f aca="false">'Raw Data'!C805</f>
        <v>Columbus Circle</v>
      </c>
      <c r="B805" s="5" t="n">
        <f aca="false">'Raw Data'!A805</f>
        <v>40302</v>
      </c>
      <c r="C805" s="6" t="n">
        <f aca="false">'Raw Data'!D805</f>
        <v>203.797548653418</v>
      </c>
      <c r="D805" s="6" t="n">
        <f aca="false">'Raw Data'!E805</f>
        <v>4.204285714</v>
      </c>
      <c r="E805" s="6" t="n">
        <f aca="false">'Raw Data'!F805</f>
        <v>0</v>
      </c>
      <c r="F805" s="6" t="n">
        <f aca="false">'Raw Data'!G805</f>
        <v>0</v>
      </c>
      <c r="G805" s="6" t="n">
        <f aca="false">'Raw Data'!H805</f>
        <v>0</v>
      </c>
      <c r="H805" s="6" t="n">
        <f aca="false">'Raw Data'!I805</f>
        <v>0</v>
      </c>
      <c r="I805" s="6" t="n">
        <f aca="false">'Raw Data'!J805</f>
        <v>0</v>
      </c>
      <c r="J805" s="6" t="n">
        <f aca="false">'Raw Data'!K805</f>
        <v>2</v>
      </c>
      <c r="K805" s="6" t="n">
        <f aca="false">'Raw Data'!L805</f>
        <v>1</v>
      </c>
      <c r="L805" s="6" t="n">
        <f aca="false">F805*E805</f>
        <v>0</v>
      </c>
      <c r="N805" s="0" t="n">
        <v>1</v>
      </c>
      <c r="O805" s="6" t="n">
        <f aca="false">D805</f>
        <v>4.204285714</v>
      </c>
      <c r="P805" s="6" t="n">
        <f aca="false">E805</f>
        <v>0</v>
      </c>
      <c r="Q805" s="6" t="n">
        <f aca="false">F805</f>
        <v>0</v>
      </c>
      <c r="R805" s="6" t="n">
        <f aca="false">G805</f>
        <v>0</v>
      </c>
      <c r="S805" s="6" t="n">
        <f aca="false">H805</f>
        <v>0</v>
      </c>
      <c r="T805" s="6" t="n">
        <f aca="false">I805</f>
        <v>0</v>
      </c>
      <c r="U805" s="6" t="n">
        <f aca="false">L805</f>
        <v>0</v>
      </c>
      <c r="W805" s="6" t="n">
        <f aca="false">D805</f>
        <v>4.204285714</v>
      </c>
      <c r="X805" s="6" t="n">
        <f aca="false">E805</f>
        <v>0</v>
      </c>
      <c r="Y805" s="6" t="n">
        <f aca="false">F805</f>
        <v>0</v>
      </c>
      <c r="Z805" s="6" t="n">
        <f aca="false">L805</f>
        <v>0</v>
      </c>
      <c r="AA805" s="6" t="n">
        <f aca="false">G805</f>
        <v>0</v>
      </c>
      <c r="AC805" s="6" t="n">
        <f aca="false">D805</f>
        <v>4.204285714</v>
      </c>
      <c r="AD805" s="6" t="n">
        <f aca="false">E805</f>
        <v>0</v>
      </c>
      <c r="AE805" s="6" t="n">
        <f aca="false">G805</f>
        <v>0</v>
      </c>
      <c r="AF805" s="6" t="n">
        <f aca="false">H805</f>
        <v>0</v>
      </c>
      <c r="AG805" s="6" t="n">
        <f aca="false">I805</f>
        <v>0</v>
      </c>
      <c r="AH805" s="6" t="n">
        <f aca="false">L805</f>
        <v>0</v>
      </c>
    </row>
    <row r="806" customFormat="false" ht="15" hidden="false" customHeight="false" outlineLevel="0" collapsed="false">
      <c r="A806" s="0" t="str">
        <f aca="false">'Raw Data'!C806</f>
        <v>Columbus Circle</v>
      </c>
      <c r="B806" s="5" t="n">
        <f aca="false">'Raw Data'!A806</f>
        <v>40309</v>
      </c>
      <c r="C806" s="6" t="n">
        <f aca="false">'Raw Data'!D806</f>
        <v>219.291499893423</v>
      </c>
      <c r="D806" s="6" t="n">
        <f aca="false">'Raw Data'!E806</f>
        <v>4.823333333</v>
      </c>
      <c r="E806" s="6" t="n">
        <f aca="false">'Raw Data'!F806</f>
        <v>0</v>
      </c>
      <c r="F806" s="6" t="n">
        <f aca="false">'Raw Data'!G806</f>
        <v>0</v>
      </c>
      <c r="G806" s="6" t="n">
        <f aca="false">'Raw Data'!H806</f>
        <v>0</v>
      </c>
      <c r="H806" s="6" t="n">
        <f aca="false">'Raw Data'!I806</f>
        <v>0</v>
      </c>
      <c r="I806" s="6" t="n">
        <f aca="false">'Raw Data'!J806</f>
        <v>0</v>
      </c>
      <c r="J806" s="6" t="n">
        <f aca="false">'Raw Data'!K806</f>
        <v>2</v>
      </c>
      <c r="K806" s="6" t="n">
        <f aca="false">'Raw Data'!L806</f>
        <v>1</v>
      </c>
      <c r="L806" s="6" t="n">
        <f aca="false">F806*E806</f>
        <v>0</v>
      </c>
      <c r="N806" s="0" t="n">
        <v>1</v>
      </c>
      <c r="O806" s="6" t="n">
        <f aca="false">D806</f>
        <v>4.823333333</v>
      </c>
      <c r="P806" s="6" t="n">
        <f aca="false">E806</f>
        <v>0</v>
      </c>
      <c r="Q806" s="6" t="n">
        <f aca="false">F806</f>
        <v>0</v>
      </c>
      <c r="R806" s="6" t="n">
        <f aca="false">G806</f>
        <v>0</v>
      </c>
      <c r="S806" s="6" t="n">
        <f aca="false">H806</f>
        <v>0</v>
      </c>
      <c r="T806" s="6" t="n">
        <f aca="false">I806</f>
        <v>0</v>
      </c>
      <c r="U806" s="6" t="n">
        <f aca="false">L806</f>
        <v>0</v>
      </c>
      <c r="W806" s="6" t="n">
        <f aca="false">D806</f>
        <v>4.823333333</v>
      </c>
      <c r="X806" s="6" t="n">
        <f aca="false">E806</f>
        <v>0</v>
      </c>
      <c r="Y806" s="6" t="n">
        <f aca="false">F806</f>
        <v>0</v>
      </c>
      <c r="Z806" s="6" t="n">
        <f aca="false">L806</f>
        <v>0</v>
      </c>
      <c r="AA806" s="6" t="n">
        <f aca="false">G806</f>
        <v>0</v>
      </c>
      <c r="AC806" s="6" t="n">
        <f aca="false">D806</f>
        <v>4.823333333</v>
      </c>
      <c r="AD806" s="6" t="n">
        <f aca="false">E806</f>
        <v>0</v>
      </c>
      <c r="AE806" s="6" t="n">
        <f aca="false">G806</f>
        <v>0</v>
      </c>
      <c r="AF806" s="6" t="n">
        <f aca="false">H806</f>
        <v>0</v>
      </c>
      <c r="AG806" s="6" t="n">
        <f aca="false">I806</f>
        <v>0</v>
      </c>
      <c r="AH806" s="6" t="n">
        <f aca="false">L806</f>
        <v>0</v>
      </c>
    </row>
    <row r="807" customFormat="false" ht="15" hidden="false" customHeight="false" outlineLevel="0" collapsed="false">
      <c r="A807" s="0" t="str">
        <f aca="false">'Raw Data'!C807</f>
        <v>Columbus Circle</v>
      </c>
      <c r="B807" s="5" t="n">
        <f aca="false">'Raw Data'!A807</f>
        <v>40316</v>
      </c>
      <c r="C807" s="6" t="n">
        <f aca="false">'Raw Data'!D807</f>
        <v>294.082433742423</v>
      </c>
      <c r="D807" s="6" t="n">
        <f aca="false">'Raw Data'!E807</f>
        <v>4.12</v>
      </c>
      <c r="E807" s="6" t="n">
        <f aca="false">'Raw Data'!F807</f>
        <v>0</v>
      </c>
      <c r="F807" s="6" t="n">
        <f aca="false">'Raw Data'!G807</f>
        <v>0</v>
      </c>
      <c r="G807" s="6" t="n">
        <f aca="false">'Raw Data'!H807</f>
        <v>0</v>
      </c>
      <c r="H807" s="6" t="n">
        <f aca="false">'Raw Data'!I807</f>
        <v>0</v>
      </c>
      <c r="I807" s="6" t="n">
        <f aca="false">'Raw Data'!J807</f>
        <v>0</v>
      </c>
      <c r="J807" s="6" t="n">
        <f aca="false">'Raw Data'!K807</f>
        <v>2</v>
      </c>
      <c r="K807" s="6" t="n">
        <f aca="false">'Raw Data'!L807</f>
        <v>1</v>
      </c>
      <c r="L807" s="6" t="n">
        <f aca="false">F807*E807</f>
        <v>0</v>
      </c>
      <c r="N807" s="0" t="n">
        <v>1</v>
      </c>
      <c r="O807" s="6" t="n">
        <f aca="false">D807</f>
        <v>4.12</v>
      </c>
      <c r="P807" s="6" t="n">
        <f aca="false">E807</f>
        <v>0</v>
      </c>
      <c r="Q807" s="6" t="n">
        <f aca="false">F807</f>
        <v>0</v>
      </c>
      <c r="R807" s="6" t="n">
        <f aca="false">G807</f>
        <v>0</v>
      </c>
      <c r="S807" s="6" t="n">
        <f aca="false">H807</f>
        <v>0</v>
      </c>
      <c r="T807" s="6" t="n">
        <f aca="false">I807</f>
        <v>0</v>
      </c>
      <c r="U807" s="6" t="n">
        <f aca="false">L807</f>
        <v>0</v>
      </c>
      <c r="W807" s="6" t="n">
        <f aca="false">D807</f>
        <v>4.12</v>
      </c>
      <c r="X807" s="6" t="n">
        <f aca="false">E807</f>
        <v>0</v>
      </c>
      <c r="Y807" s="6" t="n">
        <f aca="false">F807</f>
        <v>0</v>
      </c>
      <c r="Z807" s="6" t="n">
        <f aca="false">L807</f>
        <v>0</v>
      </c>
      <c r="AA807" s="6" t="n">
        <f aca="false">G807</f>
        <v>0</v>
      </c>
      <c r="AC807" s="6" t="n">
        <f aca="false">D807</f>
        <v>4.12</v>
      </c>
      <c r="AD807" s="6" t="n">
        <f aca="false">E807</f>
        <v>0</v>
      </c>
      <c r="AE807" s="6" t="n">
        <f aca="false">G807</f>
        <v>0</v>
      </c>
      <c r="AF807" s="6" t="n">
        <f aca="false">H807</f>
        <v>0</v>
      </c>
      <c r="AG807" s="6" t="n">
        <f aca="false">I807</f>
        <v>0</v>
      </c>
      <c r="AH807" s="6" t="n">
        <f aca="false">L807</f>
        <v>0</v>
      </c>
    </row>
    <row r="808" customFormat="false" ht="15" hidden="false" customHeight="false" outlineLevel="0" collapsed="false">
      <c r="A808" s="0" t="str">
        <f aca="false">'Raw Data'!C808</f>
        <v>Columbus Circle</v>
      </c>
      <c r="B808" s="5" t="n">
        <f aca="false">'Raw Data'!A808</f>
        <v>40323</v>
      </c>
      <c r="C808" s="6" t="n">
        <f aca="false">'Raw Data'!D808</f>
        <v>337.729749040516</v>
      </c>
      <c r="D808" s="6" t="n">
        <f aca="false">'Raw Data'!E808</f>
        <v>3.924285714</v>
      </c>
      <c r="E808" s="6" t="n">
        <f aca="false">'Raw Data'!F808</f>
        <v>1</v>
      </c>
      <c r="F808" s="6" t="n">
        <f aca="false">'Raw Data'!G808</f>
        <v>0</v>
      </c>
      <c r="G808" s="6" t="n">
        <f aca="false">'Raw Data'!H808</f>
        <v>0</v>
      </c>
      <c r="H808" s="6" t="n">
        <f aca="false">'Raw Data'!I808</f>
        <v>0</v>
      </c>
      <c r="I808" s="6" t="n">
        <f aca="false">'Raw Data'!J808</f>
        <v>0</v>
      </c>
      <c r="J808" s="6" t="n">
        <f aca="false">'Raw Data'!K808</f>
        <v>2</v>
      </c>
      <c r="K808" s="6" t="n">
        <f aca="false">'Raw Data'!L808</f>
        <v>1</v>
      </c>
      <c r="L808" s="6" t="n">
        <f aca="false">F808*E808</f>
        <v>0</v>
      </c>
      <c r="N808" s="0" t="n">
        <v>1</v>
      </c>
      <c r="O808" s="6" t="n">
        <f aca="false">D808</f>
        <v>3.924285714</v>
      </c>
      <c r="P808" s="6" t="n">
        <f aca="false">E808</f>
        <v>1</v>
      </c>
      <c r="Q808" s="6" t="n">
        <f aca="false">F808</f>
        <v>0</v>
      </c>
      <c r="R808" s="6" t="n">
        <f aca="false">G808</f>
        <v>0</v>
      </c>
      <c r="S808" s="6" t="n">
        <f aca="false">H808</f>
        <v>0</v>
      </c>
      <c r="T808" s="6" t="n">
        <f aca="false">I808</f>
        <v>0</v>
      </c>
      <c r="U808" s="6" t="n">
        <f aca="false">L808</f>
        <v>0</v>
      </c>
      <c r="W808" s="6" t="n">
        <f aca="false">D808</f>
        <v>3.924285714</v>
      </c>
      <c r="X808" s="6" t="n">
        <f aca="false">E808</f>
        <v>1</v>
      </c>
      <c r="Y808" s="6" t="n">
        <f aca="false">F808</f>
        <v>0</v>
      </c>
      <c r="Z808" s="6" t="n">
        <f aca="false">L808</f>
        <v>0</v>
      </c>
      <c r="AA808" s="6" t="n">
        <f aca="false">G808</f>
        <v>0</v>
      </c>
      <c r="AC808" s="6" t="n">
        <f aca="false">D808</f>
        <v>3.924285714</v>
      </c>
      <c r="AD808" s="6" t="n">
        <f aca="false">E808</f>
        <v>1</v>
      </c>
      <c r="AE808" s="6" t="n">
        <f aca="false">G808</f>
        <v>0</v>
      </c>
      <c r="AF808" s="6" t="n">
        <f aca="false">H808</f>
        <v>0</v>
      </c>
      <c r="AG808" s="6" t="n">
        <f aca="false">I808</f>
        <v>0</v>
      </c>
      <c r="AH808" s="6" t="n">
        <f aca="false">L808</f>
        <v>0</v>
      </c>
    </row>
    <row r="809" customFormat="false" ht="15" hidden="false" customHeight="false" outlineLevel="0" collapsed="false">
      <c r="A809" s="0" t="str">
        <f aca="false">'Raw Data'!C809</f>
        <v>Columbus Circle</v>
      </c>
      <c r="B809" s="5" t="n">
        <f aca="false">'Raw Data'!A809</f>
        <v>40330</v>
      </c>
      <c r="C809" s="6" t="n">
        <f aca="false">'Raw Data'!D809</f>
        <v>198.84945852895</v>
      </c>
      <c r="D809" s="6" t="n">
        <f aca="false">'Raw Data'!E809</f>
        <v>3.924285714</v>
      </c>
      <c r="E809" s="6" t="n">
        <f aca="false">'Raw Data'!F809</f>
        <v>1</v>
      </c>
      <c r="F809" s="6" t="n">
        <f aca="false">'Raw Data'!G809</f>
        <v>0</v>
      </c>
      <c r="G809" s="6" t="n">
        <f aca="false">'Raw Data'!H809</f>
        <v>0</v>
      </c>
      <c r="H809" s="6" t="n">
        <f aca="false">'Raw Data'!I809</f>
        <v>0</v>
      </c>
      <c r="I809" s="6" t="n">
        <f aca="false">'Raw Data'!J809</f>
        <v>0</v>
      </c>
      <c r="J809" s="6" t="n">
        <f aca="false">'Raw Data'!K809</f>
        <v>2</v>
      </c>
      <c r="K809" s="6" t="n">
        <f aca="false">'Raw Data'!L809</f>
        <v>1</v>
      </c>
      <c r="L809" s="6" t="n">
        <f aca="false">F809*E809</f>
        <v>0</v>
      </c>
      <c r="N809" s="0" t="n">
        <v>1</v>
      </c>
      <c r="O809" s="6" t="n">
        <f aca="false">D809</f>
        <v>3.924285714</v>
      </c>
      <c r="P809" s="6" t="n">
        <f aca="false">E809</f>
        <v>1</v>
      </c>
      <c r="Q809" s="6" t="n">
        <f aca="false">F809</f>
        <v>0</v>
      </c>
      <c r="R809" s="6" t="n">
        <f aca="false">G809</f>
        <v>0</v>
      </c>
      <c r="S809" s="6" t="n">
        <f aca="false">H809</f>
        <v>0</v>
      </c>
      <c r="T809" s="6" t="n">
        <f aca="false">I809</f>
        <v>0</v>
      </c>
      <c r="U809" s="6" t="n">
        <f aca="false">L809</f>
        <v>0</v>
      </c>
      <c r="W809" s="6" t="n">
        <f aca="false">D809</f>
        <v>3.924285714</v>
      </c>
      <c r="X809" s="6" t="n">
        <f aca="false">E809</f>
        <v>1</v>
      </c>
      <c r="Y809" s="6" t="n">
        <f aca="false">F809</f>
        <v>0</v>
      </c>
      <c r="Z809" s="6" t="n">
        <f aca="false">L809</f>
        <v>0</v>
      </c>
      <c r="AA809" s="6" t="n">
        <f aca="false">G809</f>
        <v>0</v>
      </c>
      <c r="AC809" s="6" t="n">
        <f aca="false">D809</f>
        <v>3.924285714</v>
      </c>
      <c r="AD809" s="6" t="n">
        <f aca="false">E809</f>
        <v>1</v>
      </c>
      <c r="AE809" s="6" t="n">
        <f aca="false">G809</f>
        <v>0</v>
      </c>
      <c r="AF809" s="6" t="n">
        <f aca="false">H809</f>
        <v>0</v>
      </c>
      <c r="AG809" s="6" t="n">
        <f aca="false">I809</f>
        <v>0</v>
      </c>
      <c r="AH809" s="6" t="n">
        <f aca="false">L809</f>
        <v>0</v>
      </c>
    </row>
    <row r="810" customFormat="false" ht="15" hidden="false" customHeight="false" outlineLevel="0" collapsed="false">
      <c r="A810" s="0" t="str">
        <f aca="false">'Raw Data'!C810</f>
        <v>Columbus Circle</v>
      </c>
      <c r="B810" s="5" t="n">
        <f aca="false">'Raw Data'!A810</f>
        <v>40337</v>
      </c>
      <c r="C810" s="6" t="n">
        <f aca="false">'Raw Data'!D810</f>
        <v>224.22524285786</v>
      </c>
      <c r="D810" s="6" t="n">
        <f aca="false">'Raw Data'!E810</f>
        <v>4.204285714</v>
      </c>
      <c r="E810" s="6" t="n">
        <f aca="false">'Raw Data'!F810</f>
        <v>1</v>
      </c>
      <c r="F810" s="6" t="n">
        <f aca="false">'Raw Data'!G810</f>
        <v>0</v>
      </c>
      <c r="G810" s="6" t="n">
        <f aca="false">'Raw Data'!H810</f>
        <v>0</v>
      </c>
      <c r="H810" s="6" t="n">
        <f aca="false">'Raw Data'!I810</f>
        <v>0</v>
      </c>
      <c r="I810" s="6" t="n">
        <f aca="false">'Raw Data'!J810</f>
        <v>0</v>
      </c>
      <c r="J810" s="6" t="n">
        <f aca="false">'Raw Data'!K810</f>
        <v>2</v>
      </c>
      <c r="K810" s="6" t="n">
        <f aca="false">'Raw Data'!L810</f>
        <v>1</v>
      </c>
      <c r="L810" s="6" t="n">
        <f aca="false">F810*E810</f>
        <v>0</v>
      </c>
      <c r="N810" s="0" t="n">
        <v>1</v>
      </c>
      <c r="O810" s="6" t="n">
        <f aca="false">D810</f>
        <v>4.204285714</v>
      </c>
      <c r="P810" s="6" t="n">
        <f aca="false">E810</f>
        <v>1</v>
      </c>
      <c r="Q810" s="6" t="n">
        <f aca="false">F810</f>
        <v>0</v>
      </c>
      <c r="R810" s="6" t="n">
        <f aca="false">G810</f>
        <v>0</v>
      </c>
      <c r="S810" s="6" t="n">
        <f aca="false">H810</f>
        <v>0</v>
      </c>
      <c r="T810" s="6" t="n">
        <f aca="false">I810</f>
        <v>0</v>
      </c>
      <c r="U810" s="6" t="n">
        <f aca="false">L810</f>
        <v>0</v>
      </c>
      <c r="W810" s="6" t="n">
        <f aca="false">D810</f>
        <v>4.204285714</v>
      </c>
      <c r="X810" s="6" t="n">
        <f aca="false">E810</f>
        <v>1</v>
      </c>
      <c r="Y810" s="6" t="n">
        <f aca="false">F810</f>
        <v>0</v>
      </c>
      <c r="Z810" s="6" t="n">
        <f aca="false">L810</f>
        <v>0</v>
      </c>
      <c r="AA810" s="6" t="n">
        <f aca="false">G810</f>
        <v>0</v>
      </c>
      <c r="AC810" s="6" t="n">
        <f aca="false">D810</f>
        <v>4.204285714</v>
      </c>
      <c r="AD810" s="6" t="n">
        <f aca="false">E810</f>
        <v>1</v>
      </c>
      <c r="AE810" s="6" t="n">
        <f aca="false">G810</f>
        <v>0</v>
      </c>
      <c r="AF810" s="6" t="n">
        <f aca="false">H810</f>
        <v>0</v>
      </c>
      <c r="AG810" s="6" t="n">
        <f aca="false">I810</f>
        <v>0</v>
      </c>
      <c r="AH810" s="6" t="n">
        <f aca="false">L810</f>
        <v>0</v>
      </c>
    </row>
    <row r="811" customFormat="false" ht="15" hidden="false" customHeight="false" outlineLevel="0" collapsed="false">
      <c r="A811" s="0" t="str">
        <f aca="false">'Raw Data'!C811</f>
        <v>Columbus Circle</v>
      </c>
      <c r="B811" s="5" t="n">
        <f aca="false">'Raw Data'!A811</f>
        <v>40344</v>
      </c>
      <c r="C811" s="6" t="n">
        <f aca="false">'Raw Data'!D811</f>
        <v>258.85789097402</v>
      </c>
      <c r="D811" s="6" t="n">
        <f aca="false">'Raw Data'!E811</f>
        <v>4.204285714</v>
      </c>
      <c r="E811" s="6" t="n">
        <f aca="false">'Raw Data'!F811</f>
        <v>1</v>
      </c>
      <c r="F811" s="6" t="n">
        <f aca="false">'Raw Data'!G811</f>
        <v>0</v>
      </c>
      <c r="G811" s="6" t="n">
        <f aca="false">'Raw Data'!H811</f>
        <v>0</v>
      </c>
      <c r="H811" s="6" t="n">
        <f aca="false">'Raw Data'!I811</f>
        <v>0</v>
      </c>
      <c r="I811" s="6" t="n">
        <f aca="false">'Raw Data'!J811</f>
        <v>0</v>
      </c>
      <c r="J811" s="6" t="n">
        <f aca="false">'Raw Data'!K811</f>
        <v>2</v>
      </c>
      <c r="K811" s="6" t="n">
        <f aca="false">'Raw Data'!L811</f>
        <v>1</v>
      </c>
      <c r="L811" s="6" t="n">
        <f aca="false">F811*E811</f>
        <v>0</v>
      </c>
      <c r="N811" s="0" t="n">
        <v>1</v>
      </c>
      <c r="O811" s="6" t="n">
        <f aca="false">D811</f>
        <v>4.204285714</v>
      </c>
      <c r="P811" s="6" t="n">
        <f aca="false">E811</f>
        <v>1</v>
      </c>
      <c r="Q811" s="6" t="n">
        <f aca="false">F811</f>
        <v>0</v>
      </c>
      <c r="R811" s="6" t="n">
        <f aca="false">G811</f>
        <v>0</v>
      </c>
      <c r="S811" s="6" t="n">
        <f aca="false">H811</f>
        <v>0</v>
      </c>
      <c r="T811" s="6" t="n">
        <f aca="false">I811</f>
        <v>0</v>
      </c>
      <c r="U811" s="6" t="n">
        <f aca="false">L811</f>
        <v>0</v>
      </c>
      <c r="W811" s="6" t="n">
        <f aca="false">D811</f>
        <v>4.204285714</v>
      </c>
      <c r="X811" s="6" t="n">
        <f aca="false">E811</f>
        <v>1</v>
      </c>
      <c r="Y811" s="6" t="n">
        <f aca="false">F811</f>
        <v>0</v>
      </c>
      <c r="Z811" s="6" t="n">
        <f aca="false">L811</f>
        <v>0</v>
      </c>
      <c r="AA811" s="6" t="n">
        <f aca="false">G811</f>
        <v>0</v>
      </c>
      <c r="AC811" s="6" t="n">
        <f aca="false">D811</f>
        <v>4.204285714</v>
      </c>
      <c r="AD811" s="6" t="n">
        <f aca="false">E811</f>
        <v>1</v>
      </c>
      <c r="AE811" s="6" t="n">
        <f aca="false">G811</f>
        <v>0</v>
      </c>
      <c r="AF811" s="6" t="n">
        <f aca="false">H811</f>
        <v>0</v>
      </c>
      <c r="AG811" s="6" t="n">
        <f aca="false">I811</f>
        <v>0</v>
      </c>
      <c r="AH811" s="6" t="n">
        <f aca="false">L811</f>
        <v>0</v>
      </c>
    </row>
    <row r="812" customFormat="false" ht="15" hidden="false" customHeight="false" outlineLevel="0" collapsed="false">
      <c r="A812" s="0" t="str">
        <f aca="false">'Raw Data'!C812</f>
        <v>Columbus Circle</v>
      </c>
      <c r="B812" s="5" t="n">
        <f aca="false">'Raw Data'!A812</f>
        <v>40351</v>
      </c>
      <c r="C812" s="6" t="n">
        <f aca="false">'Raw Data'!D812</f>
        <v>259.401734767679</v>
      </c>
      <c r="D812" s="6" t="n">
        <f aca="false">'Raw Data'!E812</f>
        <v>3.801111111</v>
      </c>
      <c r="E812" s="6" t="n">
        <f aca="false">'Raw Data'!F812</f>
        <v>1</v>
      </c>
      <c r="F812" s="6" t="n">
        <f aca="false">'Raw Data'!G812</f>
        <v>0</v>
      </c>
      <c r="G812" s="6" t="n">
        <f aca="false">'Raw Data'!H812</f>
        <v>0</v>
      </c>
      <c r="H812" s="6" t="n">
        <f aca="false">'Raw Data'!I812</f>
        <v>0</v>
      </c>
      <c r="I812" s="6" t="n">
        <f aca="false">'Raw Data'!J812</f>
        <v>0</v>
      </c>
      <c r="J812" s="6" t="n">
        <f aca="false">'Raw Data'!K812</f>
        <v>2</v>
      </c>
      <c r="K812" s="6" t="n">
        <f aca="false">'Raw Data'!L812</f>
        <v>1</v>
      </c>
      <c r="L812" s="6" t="n">
        <f aca="false">F812*E812</f>
        <v>0</v>
      </c>
      <c r="N812" s="0" t="n">
        <v>1</v>
      </c>
      <c r="O812" s="6" t="n">
        <f aca="false">D812</f>
        <v>3.801111111</v>
      </c>
      <c r="P812" s="6" t="n">
        <f aca="false">E812</f>
        <v>1</v>
      </c>
      <c r="Q812" s="6" t="n">
        <f aca="false">F812</f>
        <v>0</v>
      </c>
      <c r="R812" s="6" t="n">
        <f aca="false">G812</f>
        <v>0</v>
      </c>
      <c r="S812" s="6" t="n">
        <f aca="false">H812</f>
        <v>0</v>
      </c>
      <c r="T812" s="6" t="n">
        <f aca="false">I812</f>
        <v>0</v>
      </c>
      <c r="U812" s="6" t="n">
        <f aca="false">L812</f>
        <v>0</v>
      </c>
      <c r="W812" s="6" t="n">
        <f aca="false">D812</f>
        <v>3.801111111</v>
      </c>
      <c r="X812" s="6" t="n">
        <f aca="false">E812</f>
        <v>1</v>
      </c>
      <c r="Y812" s="6" t="n">
        <f aca="false">F812</f>
        <v>0</v>
      </c>
      <c r="Z812" s="6" t="n">
        <f aca="false">L812</f>
        <v>0</v>
      </c>
      <c r="AA812" s="6" t="n">
        <f aca="false">G812</f>
        <v>0</v>
      </c>
      <c r="AC812" s="6" t="n">
        <f aca="false">D812</f>
        <v>3.801111111</v>
      </c>
      <c r="AD812" s="6" t="n">
        <f aca="false">E812</f>
        <v>1</v>
      </c>
      <c r="AE812" s="6" t="n">
        <f aca="false">G812</f>
        <v>0</v>
      </c>
      <c r="AF812" s="6" t="n">
        <f aca="false">H812</f>
        <v>0</v>
      </c>
      <c r="AG812" s="6" t="n">
        <f aca="false">I812</f>
        <v>0</v>
      </c>
      <c r="AH812" s="6" t="n">
        <f aca="false">L812</f>
        <v>0</v>
      </c>
    </row>
    <row r="813" customFormat="false" ht="15" hidden="false" customHeight="false" outlineLevel="0" collapsed="false">
      <c r="A813" s="0" t="str">
        <f aca="false">'Raw Data'!C813</f>
        <v>Columbus Circle</v>
      </c>
      <c r="B813" s="5" t="n">
        <f aca="false">'Raw Data'!A813</f>
        <v>40358</v>
      </c>
      <c r="C813" s="6" t="n">
        <f aca="false">'Raw Data'!D813</f>
        <v>206.174593167848</v>
      </c>
      <c r="D813" s="6" t="n">
        <f aca="false">'Raw Data'!E813</f>
        <v>3.93375</v>
      </c>
      <c r="E813" s="6" t="n">
        <f aca="false">'Raw Data'!F813</f>
        <v>1</v>
      </c>
      <c r="F813" s="6" t="n">
        <f aca="false">'Raw Data'!G813</f>
        <v>0</v>
      </c>
      <c r="G813" s="6" t="n">
        <f aca="false">'Raw Data'!H813</f>
        <v>0</v>
      </c>
      <c r="H813" s="6" t="n">
        <f aca="false">'Raw Data'!I813</f>
        <v>0</v>
      </c>
      <c r="I813" s="6" t="n">
        <f aca="false">'Raw Data'!J813</f>
        <v>0</v>
      </c>
      <c r="J813" s="6" t="n">
        <f aca="false">'Raw Data'!K813</f>
        <v>2</v>
      </c>
      <c r="K813" s="6" t="n">
        <f aca="false">'Raw Data'!L813</f>
        <v>1</v>
      </c>
      <c r="L813" s="6" t="n">
        <f aca="false">F813*E813</f>
        <v>0</v>
      </c>
      <c r="N813" s="0" t="n">
        <v>1</v>
      </c>
      <c r="O813" s="6" t="n">
        <f aca="false">D813</f>
        <v>3.93375</v>
      </c>
      <c r="P813" s="6" t="n">
        <f aca="false">E813</f>
        <v>1</v>
      </c>
      <c r="Q813" s="6" t="n">
        <f aca="false">F813</f>
        <v>0</v>
      </c>
      <c r="R813" s="6" t="n">
        <f aca="false">G813</f>
        <v>0</v>
      </c>
      <c r="S813" s="6" t="n">
        <f aca="false">H813</f>
        <v>0</v>
      </c>
      <c r="T813" s="6" t="n">
        <f aca="false">I813</f>
        <v>0</v>
      </c>
      <c r="U813" s="6" t="n">
        <f aca="false">L813</f>
        <v>0</v>
      </c>
      <c r="W813" s="6" t="n">
        <f aca="false">D813</f>
        <v>3.93375</v>
      </c>
      <c r="X813" s="6" t="n">
        <f aca="false">E813</f>
        <v>1</v>
      </c>
      <c r="Y813" s="6" t="n">
        <f aca="false">F813</f>
        <v>0</v>
      </c>
      <c r="Z813" s="6" t="n">
        <f aca="false">L813</f>
        <v>0</v>
      </c>
      <c r="AA813" s="6" t="n">
        <f aca="false">G813</f>
        <v>0</v>
      </c>
      <c r="AC813" s="6" t="n">
        <f aca="false">D813</f>
        <v>3.93375</v>
      </c>
      <c r="AD813" s="6" t="n">
        <f aca="false">E813</f>
        <v>1</v>
      </c>
      <c r="AE813" s="6" t="n">
        <f aca="false">G813</f>
        <v>0</v>
      </c>
      <c r="AF813" s="6" t="n">
        <f aca="false">H813</f>
        <v>0</v>
      </c>
      <c r="AG813" s="6" t="n">
        <f aca="false">I813</f>
        <v>0</v>
      </c>
      <c r="AH813" s="6" t="n">
        <f aca="false">L813</f>
        <v>0</v>
      </c>
    </row>
    <row r="814" customFormat="false" ht="15" hidden="false" customHeight="false" outlineLevel="0" collapsed="false">
      <c r="A814" s="0" t="str">
        <f aca="false">'Raw Data'!C814</f>
        <v>Columbus Circle</v>
      </c>
      <c r="B814" s="5" t="n">
        <f aca="false">'Raw Data'!A814</f>
        <v>40365</v>
      </c>
      <c r="C814" s="6" t="n">
        <f aca="false">'Raw Data'!D814</f>
        <v>304.468359547576</v>
      </c>
      <c r="D814" s="6" t="n">
        <f aca="false">'Raw Data'!E814</f>
        <v>3.311111111</v>
      </c>
      <c r="E814" s="6" t="n">
        <f aca="false">'Raw Data'!F814</f>
        <v>1</v>
      </c>
      <c r="F814" s="6" t="n">
        <f aca="false">'Raw Data'!G814</f>
        <v>0</v>
      </c>
      <c r="G814" s="6" t="n">
        <f aca="false">'Raw Data'!H814</f>
        <v>0</v>
      </c>
      <c r="H814" s="6" t="n">
        <f aca="false">'Raw Data'!I814</f>
        <v>0</v>
      </c>
      <c r="I814" s="6" t="n">
        <f aca="false">'Raw Data'!J814</f>
        <v>0</v>
      </c>
      <c r="J814" s="6" t="n">
        <f aca="false">'Raw Data'!K814</f>
        <v>2</v>
      </c>
      <c r="K814" s="6" t="n">
        <f aca="false">'Raw Data'!L814</f>
        <v>1</v>
      </c>
      <c r="L814" s="6" t="n">
        <f aca="false">F814*E814</f>
        <v>0</v>
      </c>
      <c r="N814" s="0" t="n">
        <v>1</v>
      </c>
      <c r="O814" s="6" t="n">
        <f aca="false">D814</f>
        <v>3.311111111</v>
      </c>
      <c r="P814" s="6" t="n">
        <f aca="false">E814</f>
        <v>1</v>
      </c>
      <c r="Q814" s="6" t="n">
        <f aca="false">F814</f>
        <v>0</v>
      </c>
      <c r="R814" s="6" t="n">
        <f aca="false">G814</f>
        <v>0</v>
      </c>
      <c r="S814" s="6" t="n">
        <f aca="false">H814</f>
        <v>0</v>
      </c>
      <c r="T814" s="6" t="n">
        <f aca="false">I814</f>
        <v>0</v>
      </c>
      <c r="U814" s="6" t="n">
        <f aca="false">L814</f>
        <v>0</v>
      </c>
      <c r="W814" s="6" t="n">
        <f aca="false">D814</f>
        <v>3.311111111</v>
      </c>
      <c r="X814" s="6" t="n">
        <f aca="false">E814</f>
        <v>1</v>
      </c>
      <c r="Y814" s="6" t="n">
        <f aca="false">F814</f>
        <v>0</v>
      </c>
      <c r="Z814" s="6" t="n">
        <f aca="false">L814</f>
        <v>0</v>
      </c>
      <c r="AA814" s="6" t="n">
        <f aca="false">G814</f>
        <v>0</v>
      </c>
      <c r="AC814" s="6" t="n">
        <f aca="false">D814</f>
        <v>3.311111111</v>
      </c>
      <c r="AD814" s="6" t="n">
        <f aca="false">E814</f>
        <v>1</v>
      </c>
      <c r="AE814" s="6" t="n">
        <f aca="false">G814</f>
        <v>0</v>
      </c>
      <c r="AF814" s="6" t="n">
        <f aca="false">H814</f>
        <v>0</v>
      </c>
      <c r="AG814" s="6" t="n">
        <f aca="false">I814</f>
        <v>0</v>
      </c>
      <c r="AH814" s="6" t="n">
        <f aca="false">L814</f>
        <v>0</v>
      </c>
    </row>
    <row r="815" customFormat="false" ht="15" hidden="false" customHeight="false" outlineLevel="0" collapsed="false">
      <c r="A815" s="0" t="str">
        <f aca="false">'Raw Data'!C815</f>
        <v>Columbus Circle</v>
      </c>
      <c r="B815" s="5" t="n">
        <f aca="false">'Raw Data'!A815</f>
        <v>40372</v>
      </c>
      <c r="C815" s="6" t="n">
        <f aca="false">'Raw Data'!D815</f>
        <v>331.181811798126</v>
      </c>
      <c r="D815" s="6" t="n">
        <f aca="false">'Raw Data'!E815</f>
        <v>3.147</v>
      </c>
      <c r="E815" s="6" t="n">
        <f aca="false">'Raw Data'!F815</f>
        <v>1</v>
      </c>
      <c r="F815" s="6" t="n">
        <f aca="false">'Raw Data'!G815</f>
        <v>0</v>
      </c>
      <c r="G815" s="6" t="n">
        <f aca="false">'Raw Data'!H815</f>
        <v>0</v>
      </c>
      <c r="H815" s="6" t="n">
        <f aca="false">'Raw Data'!I815</f>
        <v>0</v>
      </c>
      <c r="I815" s="6" t="n">
        <f aca="false">'Raw Data'!J815</f>
        <v>0</v>
      </c>
      <c r="J815" s="6" t="n">
        <f aca="false">'Raw Data'!K815</f>
        <v>2</v>
      </c>
      <c r="K815" s="6" t="n">
        <f aca="false">'Raw Data'!L815</f>
        <v>1</v>
      </c>
      <c r="L815" s="6" t="n">
        <f aca="false">F815*E815</f>
        <v>0</v>
      </c>
      <c r="N815" s="0" t="n">
        <v>1</v>
      </c>
      <c r="O815" s="6" t="n">
        <f aca="false">D815</f>
        <v>3.147</v>
      </c>
      <c r="P815" s="6" t="n">
        <f aca="false">E815</f>
        <v>1</v>
      </c>
      <c r="Q815" s="6" t="n">
        <f aca="false">F815</f>
        <v>0</v>
      </c>
      <c r="R815" s="6" t="n">
        <f aca="false">G815</f>
        <v>0</v>
      </c>
      <c r="S815" s="6" t="n">
        <f aca="false">H815</f>
        <v>0</v>
      </c>
      <c r="T815" s="6" t="n">
        <f aca="false">I815</f>
        <v>0</v>
      </c>
      <c r="U815" s="6" t="n">
        <f aca="false">L815</f>
        <v>0</v>
      </c>
      <c r="W815" s="6" t="n">
        <f aca="false">D815</f>
        <v>3.147</v>
      </c>
      <c r="X815" s="6" t="n">
        <f aca="false">E815</f>
        <v>1</v>
      </c>
      <c r="Y815" s="6" t="n">
        <f aca="false">F815</f>
        <v>0</v>
      </c>
      <c r="Z815" s="6" t="n">
        <f aca="false">L815</f>
        <v>0</v>
      </c>
      <c r="AA815" s="6" t="n">
        <f aca="false">G815</f>
        <v>0</v>
      </c>
      <c r="AC815" s="6" t="n">
        <f aca="false">D815</f>
        <v>3.147</v>
      </c>
      <c r="AD815" s="6" t="n">
        <f aca="false">E815</f>
        <v>1</v>
      </c>
      <c r="AE815" s="6" t="n">
        <f aca="false">G815</f>
        <v>0</v>
      </c>
      <c r="AF815" s="6" t="n">
        <f aca="false">H815</f>
        <v>0</v>
      </c>
      <c r="AG815" s="6" t="n">
        <f aca="false">I815</f>
        <v>0</v>
      </c>
      <c r="AH815" s="6" t="n">
        <f aca="false">L815</f>
        <v>0</v>
      </c>
    </row>
    <row r="816" customFormat="false" ht="15" hidden="false" customHeight="false" outlineLevel="0" collapsed="false">
      <c r="A816" s="0" t="str">
        <f aca="false">'Raw Data'!C816</f>
        <v>Edgewater</v>
      </c>
      <c r="B816" s="5" t="n">
        <f aca="false">'Raw Data'!A816</f>
        <v>40302</v>
      </c>
      <c r="C816" s="6" t="n">
        <f aca="false">'Raw Data'!D816</f>
        <v>280.665061517423</v>
      </c>
      <c r="D816" s="6" t="n">
        <f aca="false">'Raw Data'!E816</f>
        <v>4.161428571</v>
      </c>
      <c r="E816" s="6" t="n">
        <f aca="false">'Raw Data'!F816</f>
        <v>0</v>
      </c>
      <c r="F816" s="6" t="n">
        <f aca="false">'Raw Data'!G816</f>
        <v>0</v>
      </c>
      <c r="G816" s="6" t="n">
        <f aca="false">'Raw Data'!H816</f>
        <v>0</v>
      </c>
      <c r="H816" s="6" t="n">
        <f aca="false">'Raw Data'!I816</f>
        <v>1</v>
      </c>
      <c r="I816" s="6" t="n">
        <f aca="false">'Raw Data'!J816</f>
        <v>0</v>
      </c>
      <c r="J816" s="6" t="n">
        <f aca="false">'Raw Data'!K816</f>
        <v>2</v>
      </c>
      <c r="K816" s="6" t="n">
        <f aca="false">'Raw Data'!L816</f>
        <v>0</v>
      </c>
      <c r="L816" s="6" t="n">
        <f aca="false">F816*E816</f>
        <v>0</v>
      </c>
      <c r="N816" s="0" t="n">
        <v>1</v>
      </c>
      <c r="O816" s="6" t="n">
        <f aca="false">D816</f>
        <v>4.161428571</v>
      </c>
      <c r="P816" s="6" t="n">
        <f aca="false">E816</f>
        <v>0</v>
      </c>
      <c r="Q816" s="6" t="n">
        <f aca="false">F816</f>
        <v>0</v>
      </c>
      <c r="R816" s="6" t="n">
        <f aca="false">G816</f>
        <v>0</v>
      </c>
      <c r="S816" s="6" t="n">
        <f aca="false">H816</f>
        <v>1</v>
      </c>
      <c r="T816" s="6" t="n">
        <f aca="false">I816</f>
        <v>0</v>
      </c>
      <c r="U816" s="6" t="n">
        <f aca="false">L816</f>
        <v>0</v>
      </c>
      <c r="W816" s="6" t="n">
        <f aca="false">D816</f>
        <v>4.161428571</v>
      </c>
      <c r="X816" s="6" t="n">
        <f aca="false">E816</f>
        <v>0</v>
      </c>
      <c r="Y816" s="6" t="n">
        <f aca="false">F816</f>
        <v>0</v>
      </c>
      <c r="Z816" s="6" t="n">
        <f aca="false">L816</f>
        <v>0</v>
      </c>
      <c r="AA816" s="6" t="n">
        <f aca="false">G816</f>
        <v>0</v>
      </c>
      <c r="AC816" s="6" t="n">
        <f aca="false">D816</f>
        <v>4.161428571</v>
      </c>
      <c r="AD816" s="6" t="n">
        <f aca="false">E816</f>
        <v>0</v>
      </c>
      <c r="AE816" s="6" t="n">
        <f aca="false">G816</f>
        <v>0</v>
      </c>
      <c r="AF816" s="6" t="n">
        <f aca="false">H816</f>
        <v>1</v>
      </c>
      <c r="AG816" s="6" t="n">
        <f aca="false">I816</f>
        <v>0</v>
      </c>
      <c r="AH816" s="6" t="n">
        <f aca="false">L816</f>
        <v>0</v>
      </c>
    </row>
    <row r="817" customFormat="false" ht="15" hidden="false" customHeight="false" outlineLevel="0" collapsed="false">
      <c r="A817" s="0" t="str">
        <f aca="false">'Raw Data'!C817</f>
        <v>Edgewater</v>
      </c>
      <c r="B817" s="5" t="n">
        <f aca="false">'Raw Data'!A817</f>
        <v>40309</v>
      </c>
      <c r="C817" s="6" t="n">
        <f aca="false">'Raw Data'!D817</f>
        <v>340.355661813914</v>
      </c>
      <c r="D817" s="6" t="n">
        <f aca="false">'Raw Data'!E817</f>
        <v>4.161428571</v>
      </c>
      <c r="E817" s="6" t="n">
        <f aca="false">'Raw Data'!F817</f>
        <v>0</v>
      </c>
      <c r="F817" s="6" t="n">
        <f aca="false">'Raw Data'!G817</f>
        <v>0</v>
      </c>
      <c r="G817" s="6" t="n">
        <f aca="false">'Raw Data'!H817</f>
        <v>0</v>
      </c>
      <c r="H817" s="6" t="n">
        <f aca="false">'Raw Data'!I817</f>
        <v>0</v>
      </c>
      <c r="I817" s="6" t="n">
        <f aca="false">'Raw Data'!J817</f>
        <v>1</v>
      </c>
      <c r="J817" s="6" t="n">
        <f aca="false">'Raw Data'!K817</f>
        <v>2</v>
      </c>
      <c r="K817" s="6" t="n">
        <f aca="false">'Raw Data'!L817</f>
        <v>0</v>
      </c>
      <c r="L817" s="6" t="n">
        <f aca="false">F817*E817</f>
        <v>0</v>
      </c>
      <c r="N817" s="0" t="n">
        <v>1</v>
      </c>
      <c r="O817" s="6" t="n">
        <f aca="false">D817</f>
        <v>4.161428571</v>
      </c>
      <c r="P817" s="6" t="n">
        <f aca="false">E817</f>
        <v>0</v>
      </c>
      <c r="Q817" s="6" t="n">
        <f aca="false">F817</f>
        <v>0</v>
      </c>
      <c r="R817" s="6" t="n">
        <f aca="false">G817</f>
        <v>0</v>
      </c>
      <c r="S817" s="6" t="n">
        <f aca="false">H817</f>
        <v>0</v>
      </c>
      <c r="T817" s="6" t="n">
        <f aca="false">I817</f>
        <v>1</v>
      </c>
      <c r="U817" s="6" t="n">
        <f aca="false">L817</f>
        <v>0</v>
      </c>
      <c r="W817" s="6" t="n">
        <f aca="false">D817</f>
        <v>4.161428571</v>
      </c>
      <c r="X817" s="6" t="n">
        <f aca="false">E817</f>
        <v>0</v>
      </c>
      <c r="Y817" s="6" t="n">
        <f aca="false">F817</f>
        <v>0</v>
      </c>
      <c r="Z817" s="6" t="n">
        <f aca="false">L817</f>
        <v>0</v>
      </c>
      <c r="AA817" s="6" t="n">
        <f aca="false">G817</f>
        <v>0</v>
      </c>
      <c r="AC817" s="6" t="n">
        <f aca="false">D817</f>
        <v>4.161428571</v>
      </c>
      <c r="AD817" s="6" t="n">
        <f aca="false">E817</f>
        <v>0</v>
      </c>
      <c r="AE817" s="6" t="n">
        <f aca="false">G817</f>
        <v>0</v>
      </c>
      <c r="AF817" s="6" t="n">
        <f aca="false">H817</f>
        <v>0</v>
      </c>
      <c r="AG817" s="6" t="n">
        <f aca="false">I817</f>
        <v>1</v>
      </c>
      <c r="AH817" s="6" t="n">
        <f aca="false">L817</f>
        <v>0</v>
      </c>
    </row>
    <row r="818" customFormat="false" ht="15" hidden="false" customHeight="false" outlineLevel="0" collapsed="false">
      <c r="A818" s="0" t="str">
        <f aca="false">'Raw Data'!C818</f>
        <v>Edgewater</v>
      </c>
      <c r="B818" s="5" t="n">
        <f aca="false">'Raw Data'!A818</f>
        <v>40316</v>
      </c>
      <c r="C818" s="6" t="n">
        <f aca="false">'Raw Data'!D818</f>
        <v>293.192482907672</v>
      </c>
      <c r="D818" s="6" t="n">
        <f aca="false">'Raw Data'!E818</f>
        <v>3.945</v>
      </c>
      <c r="E818" s="6" t="n">
        <f aca="false">'Raw Data'!F818</f>
        <v>0</v>
      </c>
      <c r="F818" s="6" t="n">
        <f aca="false">'Raw Data'!G818</f>
        <v>0</v>
      </c>
      <c r="G818" s="6" t="n">
        <f aca="false">'Raw Data'!H818</f>
        <v>0</v>
      </c>
      <c r="H818" s="6" t="n">
        <f aca="false">'Raw Data'!I818</f>
        <v>0</v>
      </c>
      <c r="I818" s="6" t="n">
        <f aca="false">'Raw Data'!J818</f>
        <v>1</v>
      </c>
      <c r="J818" s="6" t="n">
        <f aca="false">'Raw Data'!K818</f>
        <v>2</v>
      </c>
      <c r="K818" s="6" t="n">
        <f aca="false">'Raw Data'!L818</f>
        <v>0</v>
      </c>
      <c r="L818" s="6" t="n">
        <f aca="false">F818*E818</f>
        <v>0</v>
      </c>
      <c r="N818" s="0" t="n">
        <v>1</v>
      </c>
      <c r="O818" s="6" t="n">
        <f aca="false">D818</f>
        <v>3.945</v>
      </c>
      <c r="P818" s="6" t="n">
        <f aca="false">E818</f>
        <v>0</v>
      </c>
      <c r="Q818" s="6" t="n">
        <f aca="false">F818</f>
        <v>0</v>
      </c>
      <c r="R818" s="6" t="n">
        <f aca="false">G818</f>
        <v>0</v>
      </c>
      <c r="S818" s="6" t="n">
        <f aca="false">H818</f>
        <v>0</v>
      </c>
      <c r="T818" s="6" t="n">
        <f aca="false">I818</f>
        <v>1</v>
      </c>
      <c r="U818" s="6" t="n">
        <f aca="false">L818</f>
        <v>0</v>
      </c>
      <c r="W818" s="6" t="n">
        <f aca="false">D818</f>
        <v>3.945</v>
      </c>
      <c r="X818" s="6" t="n">
        <f aca="false">E818</f>
        <v>0</v>
      </c>
      <c r="Y818" s="6" t="n">
        <f aca="false">F818</f>
        <v>0</v>
      </c>
      <c r="Z818" s="6" t="n">
        <f aca="false">L818</f>
        <v>0</v>
      </c>
      <c r="AA818" s="6" t="n">
        <f aca="false">G818</f>
        <v>0</v>
      </c>
      <c r="AC818" s="6" t="n">
        <f aca="false">D818</f>
        <v>3.945</v>
      </c>
      <c r="AD818" s="6" t="n">
        <f aca="false">E818</f>
        <v>0</v>
      </c>
      <c r="AE818" s="6" t="n">
        <f aca="false">G818</f>
        <v>0</v>
      </c>
      <c r="AF818" s="6" t="n">
        <f aca="false">H818</f>
        <v>0</v>
      </c>
      <c r="AG818" s="6" t="n">
        <f aca="false">I818</f>
        <v>1</v>
      </c>
      <c r="AH818" s="6" t="n">
        <f aca="false">L818</f>
        <v>0</v>
      </c>
    </row>
    <row r="819" customFormat="false" ht="15" hidden="false" customHeight="false" outlineLevel="0" collapsed="false">
      <c r="A819" s="0" t="str">
        <f aca="false">'Raw Data'!C819</f>
        <v>Edgewater</v>
      </c>
      <c r="B819" s="5" t="n">
        <f aca="false">'Raw Data'!A819</f>
        <v>40323</v>
      </c>
      <c r="C819" s="6" t="n">
        <f aca="false">'Raw Data'!D819</f>
        <v>247.648212891632</v>
      </c>
      <c r="D819" s="6" t="n">
        <f aca="false">'Raw Data'!E819</f>
        <v>4.237142857</v>
      </c>
      <c r="E819" s="6" t="n">
        <f aca="false">'Raw Data'!F819</f>
        <v>1</v>
      </c>
      <c r="F819" s="6" t="n">
        <f aca="false">'Raw Data'!G819</f>
        <v>0</v>
      </c>
      <c r="G819" s="6" t="n">
        <f aca="false">'Raw Data'!H819</f>
        <v>0</v>
      </c>
      <c r="H819" s="6" t="n">
        <f aca="false">'Raw Data'!I819</f>
        <v>0</v>
      </c>
      <c r="I819" s="6" t="n">
        <f aca="false">'Raw Data'!J819</f>
        <v>0</v>
      </c>
      <c r="J819" s="6" t="n">
        <f aca="false">'Raw Data'!K819</f>
        <v>2</v>
      </c>
      <c r="K819" s="6" t="n">
        <f aca="false">'Raw Data'!L819</f>
        <v>0</v>
      </c>
      <c r="L819" s="6" t="n">
        <f aca="false">F819*E819</f>
        <v>0</v>
      </c>
      <c r="N819" s="0" t="n">
        <v>1</v>
      </c>
      <c r="O819" s="6" t="n">
        <f aca="false">D819</f>
        <v>4.237142857</v>
      </c>
      <c r="P819" s="6" t="n">
        <f aca="false">E819</f>
        <v>1</v>
      </c>
      <c r="Q819" s="6" t="n">
        <f aca="false">F819</f>
        <v>0</v>
      </c>
      <c r="R819" s="6" t="n">
        <f aca="false">G819</f>
        <v>0</v>
      </c>
      <c r="S819" s="6" t="n">
        <f aca="false">H819</f>
        <v>0</v>
      </c>
      <c r="T819" s="6" t="n">
        <f aca="false">I819</f>
        <v>0</v>
      </c>
      <c r="U819" s="6" t="n">
        <f aca="false">L819</f>
        <v>0</v>
      </c>
      <c r="W819" s="6" t="n">
        <f aca="false">D819</f>
        <v>4.237142857</v>
      </c>
      <c r="X819" s="6" t="n">
        <f aca="false">E819</f>
        <v>1</v>
      </c>
      <c r="Y819" s="6" t="n">
        <f aca="false">F819</f>
        <v>0</v>
      </c>
      <c r="Z819" s="6" t="n">
        <f aca="false">L819</f>
        <v>0</v>
      </c>
      <c r="AA819" s="6" t="n">
        <f aca="false">G819</f>
        <v>0</v>
      </c>
      <c r="AC819" s="6" t="n">
        <f aca="false">D819</f>
        <v>4.237142857</v>
      </c>
      <c r="AD819" s="6" t="n">
        <f aca="false">E819</f>
        <v>1</v>
      </c>
      <c r="AE819" s="6" t="n">
        <f aca="false">G819</f>
        <v>0</v>
      </c>
      <c r="AF819" s="6" t="n">
        <f aca="false">H819</f>
        <v>0</v>
      </c>
      <c r="AG819" s="6" t="n">
        <f aca="false">I819</f>
        <v>0</v>
      </c>
      <c r="AH819" s="6" t="n">
        <f aca="false">L819</f>
        <v>0</v>
      </c>
    </row>
    <row r="820" customFormat="false" ht="15" hidden="false" customHeight="false" outlineLevel="0" collapsed="false">
      <c r="A820" s="0" t="str">
        <f aca="false">'Raw Data'!C820</f>
        <v>Edgewater</v>
      </c>
      <c r="B820" s="5" t="n">
        <f aca="false">'Raw Data'!A820</f>
        <v>40330</v>
      </c>
      <c r="C820" s="6" t="n">
        <f aca="false">'Raw Data'!D820</f>
        <v>236.229835959744</v>
      </c>
      <c r="D820" s="6" t="n">
        <f aca="false">'Raw Data'!E820</f>
        <v>4.45625</v>
      </c>
      <c r="E820" s="6" t="n">
        <f aca="false">'Raw Data'!F820</f>
        <v>1</v>
      </c>
      <c r="F820" s="6" t="n">
        <f aca="false">'Raw Data'!G820</f>
        <v>0</v>
      </c>
      <c r="G820" s="6" t="n">
        <f aca="false">'Raw Data'!H820</f>
        <v>0</v>
      </c>
      <c r="H820" s="6" t="n">
        <f aca="false">'Raw Data'!I820</f>
        <v>0</v>
      </c>
      <c r="I820" s="6" t="n">
        <f aca="false">'Raw Data'!J820</f>
        <v>0</v>
      </c>
      <c r="J820" s="6" t="n">
        <f aca="false">'Raw Data'!K820</f>
        <v>2</v>
      </c>
      <c r="K820" s="6" t="n">
        <f aca="false">'Raw Data'!L820</f>
        <v>0</v>
      </c>
      <c r="L820" s="6" t="n">
        <f aca="false">F820*E820</f>
        <v>0</v>
      </c>
      <c r="N820" s="0" t="n">
        <v>1</v>
      </c>
      <c r="O820" s="6" t="n">
        <f aca="false">D820</f>
        <v>4.45625</v>
      </c>
      <c r="P820" s="6" t="n">
        <f aca="false">E820</f>
        <v>1</v>
      </c>
      <c r="Q820" s="6" t="n">
        <f aca="false">F820</f>
        <v>0</v>
      </c>
      <c r="R820" s="6" t="n">
        <f aca="false">G820</f>
        <v>0</v>
      </c>
      <c r="S820" s="6" t="n">
        <f aca="false">H820</f>
        <v>0</v>
      </c>
      <c r="T820" s="6" t="n">
        <f aca="false">I820</f>
        <v>0</v>
      </c>
      <c r="U820" s="6" t="n">
        <f aca="false">L820</f>
        <v>0</v>
      </c>
      <c r="W820" s="6" t="n">
        <f aca="false">D820</f>
        <v>4.45625</v>
      </c>
      <c r="X820" s="6" t="n">
        <f aca="false">E820</f>
        <v>1</v>
      </c>
      <c r="Y820" s="6" t="n">
        <f aca="false">F820</f>
        <v>0</v>
      </c>
      <c r="Z820" s="6" t="n">
        <f aca="false">L820</f>
        <v>0</v>
      </c>
      <c r="AA820" s="6" t="n">
        <f aca="false">G820</f>
        <v>0</v>
      </c>
      <c r="AC820" s="6" t="n">
        <f aca="false">D820</f>
        <v>4.45625</v>
      </c>
      <c r="AD820" s="6" t="n">
        <f aca="false">E820</f>
        <v>1</v>
      </c>
      <c r="AE820" s="6" t="n">
        <f aca="false">G820</f>
        <v>0</v>
      </c>
      <c r="AF820" s="6" t="n">
        <f aca="false">H820</f>
        <v>0</v>
      </c>
      <c r="AG820" s="6" t="n">
        <f aca="false">I820</f>
        <v>0</v>
      </c>
      <c r="AH820" s="6" t="n">
        <f aca="false">L820</f>
        <v>0</v>
      </c>
    </row>
    <row r="821" customFormat="false" ht="15" hidden="false" customHeight="false" outlineLevel="0" collapsed="false">
      <c r="A821" s="0" t="str">
        <f aca="false">'Raw Data'!C821</f>
        <v>Edgewater</v>
      </c>
      <c r="B821" s="5" t="n">
        <f aca="false">'Raw Data'!A821</f>
        <v>40337</v>
      </c>
      <c r="C821" s="6" t="n">
        <f aca="false">'Raw Data'!D821</f>
        <v>272.235643453488</v>
      </c>
      <c r="D821" s="6" t="n">
        <f aca="false">'Raw Data'!E821</f>
        <v>4.732857143</v>
      </c>
      <c r="E821" s="6" t="n">
        <f aca="false">'Raw Data'!F821</f>
        <v>1</v>
      </c>
      <c r="F821" s="6" t="n">
        <f aca="false">'Raw Data'!G821</f>
        <v>0</v>
      </c>
      <c r="G821" s="6" t="n">
        <f aca="false">'Raw Data'!H821</f>
        <v>0</v>
      </c>
      <c r="H821" s="6" t="n">
        <f aca="false">'Raw Data'!I821</f>
        <v>0</v>
      </c>
      <c r="I821" s="6" t="n">
        <f aca="false">'Raw Data'!J821</f>
        <v>0</v>
      </c>
      <c r="J821" s="6" t="n">
        <f aca="false">'Raw Data'!K821</f>
        <v>2</v>
      </c>
      <c r="K821" s="6" t="n">
        <f aca="false">'Raw Data'!L821</f>
        <v>0</v>
      </c>
      <c r="L821" s="6" t="n">
        <f aca="false">F821*E821</f>
        <v>0</v>
      </c>
      <c r="N821" s="0" t="n">
        <v>1</v>
      </c>
      <c r="O821" s="6" t="n">
        <f aca="false">D821</f>
        <v>4.732857143</v>
      </c>
      <c r="P821" s="6" t="n">
        <f aca="false">E821</f>
        <v>1</v>
      </c>
      <c r="Q821" s="6" t="n">
        <f aca="false">F821</f>
        <v>0</v>
      </c>
      <c r="R821" s="6" t="n">
        <f aca="false">G821</f>
        <v>0</v>
      </c>
      <c r="S821" s="6" t="n">
        <f aca="false">H821</f>
        <v>0</v>
      </c>
      <c r="T821" s="6" t="n">
        <f aca="false">I821</f>
        <v>0</v>
      </c>
      <c r="U821" s="6" t="n">
        <f aca="false">L821</f>
        <v>0</v>
      </c>
      <c r="W821" s="6" t="n">
        <f aca="false">D821</f>
        <v>4.732857143</v>
      </c>
      <c r="X821" s="6" t="n">
        <f aca="false">E821</f>
        <v>1</v>
      </c>
      <c r="Y821" s="6" t="n">
        <f aca="false">F821</f>
        <v>0</v>
      </c>
      <c r="Z821" s="6" t="n">
        <f aca="false">L821</f>
        <v>0</v>
      </c>
      <c r="AA821" s="6" t="n">
        <f aca="false">G821</f>
        <v>0</v>
      </c>
      <c r="AC821" s="6" t="n">
        <f aca="false">D821</f>
        <v>4.732857143</v>
      </c>
      <c r="AD821" s="6" t="n">
        <f aca="false">E821</f>
        <v>1</v>
      </c>
      <c r="AE821" s="6" t="n">
        <f aca="false">G821</f>
        <v>0</v>
      </c>
      <c r="AF821" s="6" t="n">
        <f aca="false">H821</f>
        <v>0</v>
      </c>
      <c r="AG821" s="6" t="n">
        <f aca="false">I821</f>
        <v>0</v>
      </c>
      <c r="AH821" s="6" t="n">
        <f aca="false">L821</f>
        <v>0</v>
      </c>
    </row>
    <row r="822" customFormat="false" ht="15" hidden="false" customHeight="false" outlineLevel="0" collapsed="false">
      <c r="A822" s="0" t="str">
        <f aca="false">'Raw Data'!C822</f>
        <v>Edgewater</v>
      </c>
      <c r="B822" s="5" t="n">
        <f aca="false">'Raw Data'!A822</f>
        <v>40344</v>
      </c>
      <c r="C822" s="6" t="n">
        <f aca="false">'Raw Data'!D822</f>
        <v>183.675207762487</v>
      </c>
      <c r="D822" s="6" t="n">
        <f aca="false">'Raw Data'!E822</f>
        <v>4.161428571</v>
      </c>
      <c r="E822" s="6" t="n">
        <f aca="false">'Raw Data'!F822</f>
        <v>1</v>
      </c>
      <c r="F822" s="6" t="n">
        <f aca="false">'Raw Data'!G822</f>
        <v>0</v>
      </c>
      <c r="G822" s="6" t="n">
        <f aca="false">'Raw Data'!H822</f>
        <v>0</v>
      </c>
      <c r="H822" s="6" t="n">
        <f aca="false">'Raw Data'!I822</f>
        <v>0</v>
      </c>
      <c r="I822" s="6" t="n">
        <f aca="false">'Raw Data'!J822</f>
        <v>0</v>
      </c>
      <c r="J822" s="6" t="n">
        <f aca="false">'Raw Data'!K822</f>
        <v>2</v>
      </c>
      <c r="K822" s="6" t="n">
        <f aca="false">'Raw Data'!L822</f>
        <v>0</v>
      </c>
      <c r="L822" s="6" t="n">
        <f aca="false">F822*E822</f>
        <v>0</v>
      </c>
      <c r="N822" s="0" t="n">
        <v>1</v>
      </c>
      <c r="O822" s="6" t="n">
        <f aca="false">D822</f>
        <v>4.161428571</v>
      </c>
      <c r="P822" s="6" t="n">
        <f aca="false">E822</f>
        <v>1</v>
      </c>
      <c r="Q822" s="6" t="n">
        <f aca="false">F822</f>
        <v>0</v>
      </c>
      <c r="R822" s="6" t="n">
        <f aca="false">G822</f>
        <v>0</v>
      </c>
      <c r="S822" s="6" t="n">
        <f aca="false">H822</f>
        <v>0</v>
      </c>
      <c r="T822" s="6" t="n">
        <f aca="false">I822</f>
        <v>0</v>
      </c>
      <c r="U822" s="6" t="n">
        <f aca="false">L822</f>
        <v>0</v>
      </c>
      <c r="W822" s="6" t="n">
        <f aca="false">D822</f>
        <v>4.161428571</v>
      </c>
      <c r="X822" s="6" t="n">
        <f aca="false">E822</f>
        <v>1</v>
      </c>
      <c r="Y822" s="6" t="n">
        <f aca="false">F822</f>
        <v>0</v>
      </c>
      <c r="Z822" s="6" t="n">
        <f aca="false">L822</f>
        <v>0</v>
      </c>
      <c r="AA822" s="6" t="n">
        <f aca="false">G822</f>
        <v>0</v>
      </c>
      <c r="AC822" s="6" t="n">
        <f aca="false">D822</f>
        <v>4.161428571</v>
      </c>
      <c r="AD822" s="6" t="n">
        <f aca="false">E822</f>
        <v>1</v>
      </c>
      <c r="AE822" s="6" t="n">
        <f aca="false">G822</f>
        <v>0</v>
      </c>
      <c r="AF822" s="6" t="n">
        <f aca="false">H822</f>
        <v>0</v>
      </c>
      <c r="AG822" s="6" t="n">
        <f aca="false">I822</f>
        <v>0</v>
      </c>
      <c r="AH822" s="6" t="n">
        <f aca="false">L822</f>
        <v>0</v>
      </c>
    </row>
    <row r="823" customFormat="false" ht="15" hidden="false" customHeight="false" outlineLevel="0" collapsed="false">
      <c r="A823" s="0" t="str">
        <f aca="false">'Raw Data'!C823</f>
        <v>Edgewater</v>
      </c>
      <c r="B823" s="5" t="n">
        <f aca="false">'Raw Data'!A823</f>
        <v>40351</v>
      </c>
      <c r="C823" s="6" t="n">
        <f aca="false">'Raw Data'!D823</f>
        <v>252.506659121916</v>
      </c>
      <c r="D823" s="6" t="n">
        <f aca="false">'Raw Data'!E823</f>
        <v>4.19</v>
      </c>
      <c r="E823" s="6" t="n">
        <f aca="false">'Raw Data'!F823</f>
        <v>1</v>
      </c>
      <c r="F823" s="6" t="n">
        <f aca="false">'Raw Data'!G823</f>
        <v>0</v>
      </c>
      <c r="G823" s="6" t="n">
        <f aca="false">'Raw Data'!H823</f>
        <v>0</v>
      </c>
      <c r="H823" s="6" t="n">
        <f aca="false">'Raw Data'!I823</f>
        <v>0</v>
      </c>
      <c r="I823" s="6" t="n">
        <f aca="false">'Raw Data'!J823</f>
        <v>0</v>
      </c>
      <c r="J823" s="6" t="n">
        <f aca="false">'Raw Data'!K823</f>
        <v>2</v>
      </c>
      <c r="K823" s="6" t="n">
        <f aca="false">'Raw Data'!L823</f>
        <v>0</v>
      </c>
      <c r="L823" s="6" t="n">
        <f aca="false">F823*E823</f>
        <v>0</v>
      </c>
      <c r="N823" s="0" t="n">
        <v>1</v>
      </c>
      <c r="O823" s="6" t="n">
        <f aca="false">D823</f>
        <v>4.19</v>
      </c>
      <c r="P823" s="6" t="n">
        <f aca="false">E823</f>
        <v>1</v>
      </c>
      <c r="Q823" s="6" t="n">
        <f aca="false">F823</f>
        <v>0</v>
      </c>
      <c r="R823" s="6" t="n">
        <f aca="false">G823</f>
        <v>0</v>
      </c>
      <c r="S823" s="6" t="n">
        <f aca="false">H823</f>
        <v>0</v>
      </c>
      <c r="T823" s="6" t="n">
        <f aca="false">I823</f>
        <v>0</v>
      </c>
      <c r="U823" s="6" t="n">
        <f aca="false">L823</f>
        <v>0</v>
      </c>
      <c r="W823" s="6" t="n">
        <f aca="false">D823</f>
        <v>4.19</v>
      </c>
      <c r="X823" s="6" t="n">
        <f aca="false">E823</f>
        <v>1</v>
      </c>
      <c r="Y823" s="6" t="n">
        <f aca="false">F823</f>
        <v>0</v>
      </c>
      <c r="Z823" s="6" t="n">
        <f aca="false">L823</f>
        <v>0</v>
      </c>
      <c r="AA823" s="6" t="n">
        <f aca="false">G823</f>
        <v>0</v>
      </c>
      <c r="AC823" s="6" t="n">
        <f aca="false">D823</f>
        <v>4.19</v>
      </c>
      <c r="AD823" s="6" t="n">
        <f aca="false">E823</f>
        <v>1</v>
      </c>
      <c r="AE823" s="6" t="n">
        <f aca="false">G823</f>
        <v>0</v>
      </c>
      <c r="AF823" s="6" t="n">
        <f aca="false">H823</f>
        <v>0</v>
      </c>
      <c r="AG823" s="6" t="n">
        <f aca="false">I823</f>
        <v>0</v>
      </c>
      <c r="AH823" s="6" t="n">
        <f aca="false">L823</f>
        <v>0</v>
      </c>
    </row>
    <row r="824" customFormat="false" ht="15" hidden="false" customHeight="false" outlineLevel="0" collapsed="false">
      <c r="A824" s="0" t="str">
        <f aca="false">'Raw Data'!C824</f>
        <v>Edgewater</v>
      </c>
      <c r="B824" s="5" t="n">
        <f aca="false">'Raw Data'!A824</f>
        <v>40358</v>
      </c>
      <c r="C824" s="6" t="n">
        <f aca="false">'Raw Data'!D824</f>
        <v>289.860531375412</v>
      </c>
      <c r="D824" s="6" t="n">
        <f aca="false">'Raw Data'!E824</f>
        <v>4.161428571</v>
      </c>
      <c r="E824" s="6" t="n">
        <f aca="false">'Raw Data'!F824</f>
        <v>1</v>
      </c>
      <c r="F824" s="6" t="n">
        <f aca="false">'Raw Data'!G824</f>
        <v>0</v>
      </c>
      <c r="G824" s="6" t="n">
        <f aca="false">'Raw Data'!H824</f>
        <v>0</v>
      </c>
      <c r="H824" s="6" t="n">
        <f aca="false">'Raw Data'!I824</f>
        <v>0</v>
      </c>
      <c r="I824" s="6" t="n">
        <f aca="false">'Raw Data'!J824</f>
        <v>0</v>
      </c>
      <c r="J824" s="6" t="n">
        <f aca="false">'Raw Data'!K824</f>
        <v>2</v>
      </c>
      <c r="K824" s="6" t="n">
        <f aca="false">'Raw Data'!L824</f>
        <v>0</v>
      </c>
      <c r="L824" s="6" t="n">
        <f aca="false">F824*E824</f>
        <v>0</v>
      </c>
      <c r="N824" s="0" t="n">
        <v>1</v>
      </c>
      <c r="O824" s="6" t="n">
        <f aca="false">D824</f>
        <v>4.161428571</v>
      </c>
      <c r="P824" s="6" t="n">
        <f aca="false">E824</f>
        <v>1</v>
      </c>
      <c r="Q824" s="6" t="n">
        <f aca="false">F824</f>
        <v>0</v>
      </c>
      <c r="R824" s="6" t="n">
        <f aca="false">G824</f>
        <v>0</v>
      </c>
      <c r="S824" s="6" t="n">
        <f aca="false">H824</f>
        <v>0</v>
      </c>
      <c r="T824" s="6" t="n">
        <f aca="false">I824</f>
        <v>0</v>
      </c>
      <c r="U824" s="6" t="n">
        <f aca="false">L824</f>
        <v>0</v>
      </c>
      <c r="W824" s="6" t="n">
        <f aca="false">D824</f>
        <v>4.161428571</v>
      </c>
      <c r="X824" s="6" t="n">
        <f aca="false">E824</f>
        <v>1</v>
      </c>
      <c r="Y824" s="6" t="n">
        <f aca="false">F824</f>
        <v>0</v>
      </c>
      <c r="Z824" s="6" t="n">
        <f aca="false">L824</f>
        <v>0</v>
      </c>
      <c r="AA824" s="6" t="n">
        <f aca="false">G824</f>
        <v>0</v>
      </c>
      <c r="AC824" s="6" t="n">
        <f aca="false">D824</f>
        <v>4.161428571</v>
      </c>
      <c r="AD824" s="6" t="n">
        <f aca="false">E824</f>
        <v>1</v>
      </c>
      <c r="AE824" s="6" t="n">
        <f aca="false">G824</f>
        <v>0</v>
      </c>
      <c r="AF824" s="6" t="n">
        <f aca="false">H824</f>
        <v>0</v>
      </c>
      <c r="AG824" s="6" t="n">
        <f aca="false">I824</f>
        <v>0</v>
      </c>
      <c r="AH824" s="6" t="n">
        <f aca="false">L824</f>
        <v>0</v>
      </c>
    </row>
    <row r="825" customFormat="false" ht="15" hidden="false" customHeight="false" outlineLevel="0" collapsed="false">
      <c r="A825" s="0" t="str">
        <f aca="false">'Raw Data'!C825</f>
        <v>Edgewater</v>
      </c>
      <c r="B825" s="5" t="n">
        <f aca="false">'Raw Data'!A825</f>
        <v>40365</v>
      </c>
      <c r="C825" s="6" t="n">
        <f aca="false">'Raw Data'!D825</f>
        <v>200.913864350894</v>
      </c>
      <c r="D825" s="6" t="n">
        <f aca="false">'Raw Data'!E825</f>
        <v>3.78</v>
      </c>
      <c r="E825" s="6" t="n">
        <f aca="false">'Raw Data'!F825</f>
        <v>1</v>
      </c>
      <c r="F825" s="6" t="n">
        <f aca="false">'Raw Data'!G825</f>
        <v>0</v>
      </c>
      <c r="G825" s="6" t="n">
        <f aca="false">'Raw Data'!H825</f>
        <v>0</v>
      </c>
      <c r="H825" s="6" t="n">
        <f aca="false">'Raw Data'!I825</f>
        <v>0</v>
      </c>
      <c r="I825" s="6" t="n">
        <f aca="false">'Raw Data'!J825</f>
        <v>0</v>
      </c>
      <c r="J825" s="6" t="n">
        <f aca="false">'Raw Data'!K825</f>
        <v>2</v>
      </c>
      <c r="K825" s="6" t="n">
        <f aca="false">'Raw Data'!L825</f>
        <v>0</v>
      </c>
      <c r="L825" s="6" t="n">
        <f aca="false">F825*E825</f>
        <v>0</v>
      </c>
      <c r="N825" s="0" t="n">
        <v>1</v>
      </c>
      <c r="O825" s="6" t="n">
        <f aca="false">D825</f>
        <v>3.78</v>
      </c>
      <c r="P825" s="6" t="n">
        <f aca="false">E825</f>
        <v>1</v>
      </c>
      <c r="Q825" s="6" t="n">
        <f aca="false">F825</f>
        <v>0</v>
      </c>
      <c r="R825" s="6" t="n">
        <f aca="false">G825</f>
        <v>0</v>
      </c>
      <c r="S825" s="6" t="n">
        <f aca="false">H825</f>
        <v>0</v>
      </c>
      <c r="T825" s="6" t="n">
        <f aca="false">I825</f>
        <v>0</v>
      </c>
      <c r="U825" s="6" t="n">
        <f aca="false">L825</f>
        <v>0</v>
      </c>
      <c r="W825" s="6" t="n">
        <f aca="false">D825</f>
        <v>3.78</v>
      </c>
      <c r="X825" s="6" t="n">
        <f aca="false">E825</f>
        <v>1</v>
      </c>
      <c r="Y825" s="6" t="n">
        <f aca="false">F825</f>
        <v>0</v>
      </c>
      <c r="Z825" s="6" t="n">
        <f aca="false">L825</f>
        <v>0</v>
      </c>
      <c r="AA825" s="6" t="n">
        <f aca="false">G825</f>
        <v>0</v>
      </c>
      <c r="AC825" s="6" t="n">
        <f aca="false">D825</f>
        <v>3.78</v>
      </c>
      <c r="AD825" s="6" t="n">
        <f aca="false">E825</f>
        <v>1</v>
      </c>
      <c r="AE825" s="6" t="n">
        <f aca="false">G825</f>
        <v>0</v>
      </c>
      <c r="AF825" s="6" t="n">
        <f aca="false">H825</f>
        <v>0</v>
      </c>
      <c r="AG825" s="6" t="n">
        <f aca="false">I825</f>
        <v>0</v>
      </c>
      <c r="AH825" s="6" t="n">
        <f aca="false">L825</f>
        <v>0</v>
      </c>
    </row>
    <row r="826" customFormat="false" ht="15" hidden="false" customHeight="false" outlineLevel="0" collapsed="false">
      <c r="A826" s="0" t="str">
        <f aca="false">'Raw Data'!C826</f>
        <v>Edgewater</v>
      </c>
      <c r="B826" s="5" t="n">
        <f aca="false">'Raw Data'!A826</f>
        <v>40372</v>
      </c>
      <c r="C826" s="6" t="n">
        <f aca="false">'Raw Data'!D826</f>
        <v>135.167376186512</v>
      </c>
      <c r="D826" s="6" t="n">
        <f aca="false">'Raw Data'!E826</f>
        <v>3.78</v>
      </c>
      <c r="E826" s="6" t="n">
        <f aca="false">'Raw Data'!F826</f>
        <v>1</v>
      </c>
      <c r="F826" s="6" t="n">
        <f aca="false">'Raw Data'!G826</f>
        <v>0</v>
      </c>
      <c r="G826" s="6" t="n">
        <f aca="false">'Raw Data'!H826</f>
        <v>0</v>
      </c>
      <c r="H826" s="6" t="n">
        <f aca="false">'Raw Data'!I826</f>
        <v>0</v>
      </c>
      <c r="I826" s="6" t="n">
        <f aca="false">'Raw Data'!J826</f>
        <v>0</v>
      </c>
      <c r="J826" s="6" t="n">
        <f aca="false">'Raw Data'!K826</f>
        <v>2</v>
      </c>
      <c r="K826" s="6" t="n">
        <f aca="false">'Raw Data'!L826</f>
        <v>0</v>
      </c>
      <c r="L826" s="6" t="n">
        <f aca="false">F826*E826</f>
        <v>0</v>
      </c>
      <c r="N826" s="0" t="n">
        <v>1</v>
      </c>
      <c r="O826" s="6" t="n">
        <f aca="false">D826</f>
        <v>3.78</v>
      </c>
      <c r="P826" s="6" t="n">
        <f aca="false">E826</f>
        <v>1</v>
      </c>
      <c r="Q826" s="6" t="n">
        <f aca="false">F826</f>
        <v>0</v>
      </c>
      <c r="R826" s="6" t="n">
        <f aca="false">G826</f>
        <v>0</v>
      </c>
      <c r="S826" s="6" t="n">
        <f aca="false">H826</f>
        <v>0</v>
      </c>
      <c r="T826" s="6" t="n">
        <f aca="false">I826</f>
        <v>0</v>
      </c>
      <c r="U826" s="6" t="n">
        <f aca="false">L826</f>
        <v>0</v>
      </c>
      <c r="W826" s="6" t="n">
        <f aca="false">D826</f>
        <v>3.78</v>
      </c>
      <c r="X826" s="6" t="n">
        <f aca="false">E826</f>
        <v>1</v>
      </c>
      <c r="Y826" s="6" t="n">
        <f aca="false">F826</f>
        <v>0</v>
      </c>
      <c r="Z826" s="6" t="n">
        <f aca="false">L826</f>
        <v>0</v>
      </c>
      <c r="AA826" s="6" t="n">
        <f aca="false">G826</f>
        <v>0</v>
      </c>
      <c r="AC826" s="6" t="n">
        <f aca="false">D826</f>
        <v>3.78</v>
      </c>
      <c r="AD826" s="6" t="n">
        <f aca="false">E826</f>
        <v>1</v>
      </c>
      <c r="AE826" s="6" t="n">
        <f aca="false">G826</f>
        <v>0</v>
      </c>
      <c r="AF826" s="6" t="n">
        <f aca="false">H826</f>
        <v>0</v>
      </c>
      <c r="AG826" s="6" t="n">
        <f aca="false">I826</f>
        <v>0</v>
      </c>
      <c r="AH826" s="6" t="n">
        <f aca="false">L826</f>
        <v>0</v>
      </c>
    </row>
    <row r="827" customFormat="false" ht="15" hidden="false" customHeight="false" outlineLevel="0" collapsed="false">
      <c r="A827" s="0" t="str">
        <f aca="false">'Raw Data'!C827</f>
        <v>Jericho</v>
      </c>
      <c r="B827" s="5" t="n">
        <f aca="false">'Raw Data'!A827</f>
        <v>40302</v>
      </c>
      <c r="C827" s="6" t="n">
        <f aca="false">'Raw Data'!D827</f>
        <v>89.8233375479258</v>
      </c>
      <c r="D827" s="6" t="n">
        <f aca="false">'Raw Data'!E827</f>
        <v>4.856666667</v>
      </c>
      <c r="E827" s="6" t="n">
        <f aca="false">'Raw Data'!F827</f>
        <v>0</v>
      </c>
      <c r="F827" s="6" t="n">
        <f aca="false">'Raw Data'!G827</f>
        <v>0</v>
      </c>
      <c r="G827" s="6" t="n">
        <f aca="false">'Raw Data'!H827</f>
        <v>0</v>
      </c>
      <c r="H827" s="6" t="n">
        <f aca="false">'Raw Data'!I827</f>
        <v>0</v>
      </c>
      <c r="I827" s="6" t="n">
        <f aca="false">'Raw Data'!J827</f>
        <v>0</v>
      </c>
      <c r="J827" s="6" t="n">
        <f aca="false">'Raw Data'!K827</f>
        <v>1</v>
      </c>
      <c r="K827" s="6" t="n">
        <f aca="false">'Raw Data'!L827</f>
        <v>1</v>
      </c>
      <c r="L827" s="6" t="n">
        <f aca="false">F827*E827</f>
        <v>0</v>
      </c>
      <c r="N827" s="0" t="n">
        <v>1</v>
      </c>
      <c r="O827" s="6" t="n">
        <f aca="false">D827</f>
        <v>4.856666667</v>
      </c>
      <c r="P827" s="6" t="n">
        <f aca="false">E827</f>
        <v>0</v>
      </c>
      <c r="Q827" s="6" t="n">
        <f aca="false">F827</f>
        <v>0</v>
      </c>
      <c r="R827" s="6" t="n">
        <f aca="false">G827</f>
        <v>0</v>
      </c>
      <c r="S827" s="6" t="n">
        <f aca="false">H827</f>
        <v>0</v>
      </c>
      <c r="T827" s="6" t="n">
        <f aca="false">I827</f>
        <v>0</v>
      </c>
      <c r="U827" s="6" t="n">
        <f aca="false">L827</f>
        <v>0</v>
      </c>
      <c r="W827" s="6" t="n">
        <f aca="false">D827</f>
        <v>4.856666667</v>
      </c>
      <c r="X827" s="6" t="n">
        <f aca="false">E827</f>
        <v>0</v>
      </c>
      <c r="Y827" s="6" t="n">
        <f aca="false">F827</f>
        <v>0</v>
      </c>
      <c r="Z827" s="6" t="n">
        <f aca="false">L827</f>
        <v>0</v>
      </c>
      <c r="AA827" s="6" t="n">
        <f aca="false">G827</f>
        <v>0</v>
      </c>
      <c r="AC827" s="6" t="n">
        <f aca="false">D827</f>
        <v>4.856666667</v>
      </c>
      <c r="AD827" s="6" t="n">
        <f aca="false">E827</f>
        <v>0</v>
      </c>
      <c r="AE827" s="6" t="n">
        <f aca="false">G827</f>
        <v>0</v>
      </c>
      <c r="AF827" s="6" t="n">
        <f aca="false">H827</f>
        <v>0</v>
      </c>
      <c r="AG827" s="6" t="n">
        <f aca="false">I827</f>
        <v>0</v>
      </c>
      <c r="AH827" s="6" t="n">
        <f aca="false">L827</f>
        <v>0</v>
      </c>
    </row>
    <row r="828" customFormat="false" ht="15" hidden="false" customHeight="false" outlineLevel="0" collapsed="false">
      <c r="A828" s="0" t="str">
        <f aca="false">'Raw Data'!C828</f>
        <v>Jericho</v>
      </c>
      <c r="B828" s="5" t="n">
        <f aca="false">'Raw Data'!A828</f>
        <v>40309</v>
      </c>
      <c r="C828" s="6" t="n">
        <f aca="false">'Raw Data'!D828</f>
        <v>171.571862388496</v>
      </c>
      <c r="D828" s="6" t="n">
        <f aca="false">'Raw Data'!E828</f>
        <v>4.856666667</v>
      </c>
      <c r="E828" s="6" t="n">
        <f aca="false">'Raw Data'!F828</f>
        <v>0</v>
      </c>
      <c r="F828" s="6" t="n">
        <f aca="false">'Raw Data'!G828</f>
        <v>0</v>
      </c>
      <c r="G828" s="6" t="n">
        <f aca="false">'Raw Data'!H828</f>
        <v>0</v>
      </c>
      <c r="H828" s="6" t="n">
        <f aca="false">'Raw Data'!I828</f>
        <v>0</v>
      </c>
      <c r="I828" s="6" t="n">
        <f aca="false">'Raw Data'!J828</f>
        <v>0</v>
      </c>
      <c r="J828" s="6" t="n">
        <f aca="false">'Raw Data'!K828</f>
        <v>1</v>
      </c>
      <c r="K828" s="6" t="n">
        <f aca="false">'Raw Data'!L828</f>
        <v>1</v>
      </c>
      <c r="L828" s="6" t="n">
        <f aca="false">F828*E828</f>
        <v>0</v>
      </c>
      <c r="N828" s="0" t="n">
        <v>1</v>
      </c>
      <c r="O828" s="6" t="n">
        <f aca="false">D828</f>
        <v>4.856666667</v>
      </c>
      <c r="P828" s="6" t="n">
        <f aca="false">E828</f>
        <v>0</v>
      </c>
      <c r="Q828" s="6" t="n">
        <f aca="false">F828</f>
        <v>0</v>
      </c>
      <c r="R828" s="6" t="n">
        <f aca="false">G828</f>
        <v>0</v>
      </c>
      <c r="S828" s="6" t="n">
        <f aca="false">H828</f>
        <v>0</v>
      </c>
      <c r="T828" s="6" t="n">
        <f aca="false">I828</f>
        <v>0</v>
      </c>
      <c r="U828" s="6" t="n">
        <f aca="false">L828</f>
        <v>0</v>
      </c>
      <c r="W828" s="6" t="n">
        <f aca="false">D828</f>
        <v>4.856666667</v>
      </c>
      <c r="X828" s="6" t="n">
        <f aca="false">E828</f>
        <v>0</v>
      </c>
      <c r="Y828" s="6" t="n">
        <f aca="false">F828</f>
        <v>0</v>
      </c>
      <c r="Z828" s="6" t="n">
        <f aca="false">L828</f>
        <v>0</v>
      </c>
      <c r="AA828" s="6" t="n">
        <f aca="false">G828</f>
        <v>0</v>
      </c>
      <c r="AC828" s="6" t="n">
        <f aca="false">D828</f>
        <v>4.856666667</v>
      </c>
      <c r="AD828" s="6" t="n">
        <f aca="false">E828</f>
        <v>0</v>
      </c>
      <c r="AE828" s="6" t="n">
        <f aca="false">G828</f>
        <v>0</v>
      </c>
      <c r="AF828" s="6" t="n">
        <f aca="false">H828</f>
        <v>0</v>
      </c>
      <c r="AG828" s="6" t="n">
        <f aca="false">I828</f>
        <v>0</v>
      </c>
      <c r="AH828" s="6" t="n">
        <f aca="false">L828</f>
        <v>0</v>
      </c>
    </row>
    <row r="829" customFormat="false" ht="15" hidden="false" customHeight="false" outlineLevel="0" collapsed="false">
      <c r="A829" s="0" t="str">
        <f aca="false">'Raw Data'!C829</f>
        <v>Jericho</v>
      </c>
      <c r="B829" s="5" t="n">
        <f aca="false">'Raw Data'!A829</f>
        <v>40316</v>
      </c>
      <c r="C829" s="6" t="n">
        <f aca="false">'Raw Data'!D829</f>
        <v>197.55094390305</v>
      </c>
      <c r="D829" s="6" t="n">
        <f aca="false">'Raw Data'!E829</f>
        <v>4.35</v>
      </c>
      <c r="E829" s="6" t="n">
        <f aca="false">'Raw Data'!F829</f>
        <v>0</v>
      </c>
      <c r="F829" s="6" t="n">
        <f aca="false">'Raw Data'!G829</f>
        <v>0</v>
      </c>
      <c r="G829" s="6" t="n">
        <f aca="false">'Raw Data'!H829</f>
        <v>0</v>
      </c>
      <c r="H829" s="6" t="n">
        <f aca="false">'Raw Data'!I829</f>
        <v>0</v>
      </c>
      <c r="I829" s="6" t="n">
        <f aca="false">'Raw Data'!J829</f>
        <v>0</v>
      </c>
      <c r="J829" s="6" t="n">
        <f aca="false">'Raw Data'!K829</f>
        <v>1</v>
      </c>
      <c r="K829" s="6" t="n">
        <f aca="false">'Raw Data'!L829</f>
        <v>1</v>
      </c>
      <c r="L829" s="6" t="n">
        <f aca="false">F829*E829</f>
        <v>0</v>
      </c>
      <c r="N829" s="0" t="n">
        <v>1</v>
      </c>
      <c r="O829" s="6" t="n">
        <f aca="false">D829</f>
        <v>4.35</v>
      </c>
      <c r="P829" s="6" t="n">
        <f aca="false">E829</f>
        <v>0</v>
      </c>
      <c r="Q829" s="6" t="n">
        <f aca="false">F829</f>
        <v>0</v>
      </c>
      <c r="R829" s="6" t="n">
        <f aca="false">G829</f>
        <v>0</v>
      </c>
      <c r="S829" s="6" t="n">
        <f aca="false">H829</f>
        <v>0</v>
      </c>
      <c r="T829" s="6" t="n">
        <f aca="false">I829</f>
        <v>0</v>
      </c>
      <c r="U829" s="6" t="n">
        <f aca="false">L829</f>
        <v>0</v>
      </c>
      <c r="W829" s="6" t="n">
        <f aca="false">D829</f>
        <v>4.35</v>
      </c>
      <c r="X829" s="6" t="n">
        <f aca="false">E829</f>
        <v>0</v>
      </c>
      <c r="Y829" s="6" t="n">
        <f aca="false">F829</f>
        <v>0</v>
      </c>
      <c r="Z829" s="6" t="n">
        <f aca="false">L829</f>
        <v>0</v>
      </c>
      <c r="AA829" s="6" t="n">
        <f aca="false">G829</f>
        <v>0</v>
      </c>
      <c r="AC829" s="6" t="n">
        <f aca="false">D829</f>
        <v>4.35</v>
      </c>
      <c r="AD829" s="6" t="n">
        <f aca="false">E829</f>
        <v>0</v>
      </c>
      <c r="AE829" s="6" t="n">
        <f aca="false">G829</f>
        <v>0</v>
      </c>
      <c r="AF829" s="6" t="n">
        <f aca="false">H829</f>
        <v>0</v>
      </c>
      <c r="AG829" s="6" t="n">
        <f aca="false">I829</f>
        <v>0</v>
      </c>
      <c r="AH829" s="6" t="n">
        <f aca="false">L829</f>
        <v>0</v>
      </c>
    </row>
    <row r="830" customFormat="false" ht="15" hidden="false" customHeight="false" outlineLevel="0" collapsed="false">
      <c r="A830" s="0" t="str">
        <f aca="false">'Raw Data'!C830</f>
        <v>Jericho</v>
      </c>
      <c r="B830" s="5" t="n">
        <f aca="false">'Raw Data'!A830</f>
        <v>40323</v>
      </c>
      <c r="C830" s="6" t="n">
        <f aca="false">'Raw Data'!D830</f>
        <v>268.894477918179</v>
      </c>
      <c r="D830" s="6" t="n">
        <f aca="false">'Raw Data'!E830</f>
        <v>4.35</v>
      </c>
      <c r="E830" s="6" t="n">
        <f aca="false">'Raw Data'!F830</f>
        <v>1</v>
      </c>
      <c r="F830" s="6" t="n">
        <f aca="false">'Raw Data'!G830</f>
        <v>0</v>
      </c>
      <c r="G830" s="6" t="n">
        <f aca="false">'Raw Data'!H830</f>
        <v>0</v>
      </c>
      <c r="H830" s="6" t="n">
        <f aca="false">'Raw Data'!I830</f>
        <v>0</v>
      </c>
      <c r="I830" s="6" t="n">
        <f aca="false">'Raw Data'!J830</f>
        <v>0</v>
      </c>
      <c r="J830" s="6" t="n">
        <f aca="false">'Raw Data'!K830</f>
        <v>1</v>
      </c>
      <c r="K830" s="6" t="n">
        <f aca="false">'Raw Data'!L830</f>
        <v>1</v>
      </c>
      <c r="L830" s="6" t="n">
        <f aca="false">F830*E830</f>
        <v>0</v>
      </c>
      <c r="N830" s="0" t="n">
        <v>1</v>
      </c>
      <c r="O830" s="6" t="n">
        <f aca="false">D830</f>
        <v>4.35</v>
      </c>
      <c r="P830" s="6" t="n">
        <f aca="false">E830</f>
        <v>1</v>
      </c>
      <c r="Q830" s="6" t="n">
        <f aca="false">F830</f>
        <v>0</v>
      </c>
      <c r="R830" s="6" t="n">
        <f aca="false">G830</f>
        <v>0</v>
      </c>
      <c r="S830" s="6" t="n">
        <f aca="false">H830</f>
        <v>0</v>
      </c>
      <c r="T830" s="6" t="n">
        <f aca="false">I830</f>
        <v>0</v>
      </c>
      <c r="U830" s="6" t="n">
        <f aca="false">L830</f>
        <v>0</v>
      </c>
      <c r="W830" s="6" t="n">
        <f aca="false">D830</f>
        <v>4.35</v>
      </c>
      <c r="X830" s="6" t="n">
        <f aca="false">E830</f>
        <v>1</v>
      </c>
      <c r="Y830" s="6" t="n">
        <f aca="false">F830</f>
        <v>0</v>
      </c>
      <c r="Z830" s="6" t="n">
        <f aca="false">L830</f>
        <v>0</v>
      </c>
      <c r="AA830" s="6" t="n">
        <f aca="false">G830</f>
        <v>0</v>
      </c>
      <c r="AC830" s="6" t="n">
        <f aca="false">D830</f>
        <v>4.35</v>
      </c>
      <c r="AD830" s="6" t="n">
        <f aca="false">E830</f>
        <v>1</v>
      </c>
      <c r="AE830" s="6" t="n">
        <f aca="false">G830</f>
        <v>0</v>
      </c>
      <c r="AF830" s="6" t="n">
        <f aca="false">H830</f>
        <v>0</v>
      </c>
      <c r="AG830" s="6" t="n">
        <f aca="false">I830</f>
        <v>0</v>
      </c>
      <c r="AH830" s="6" t="n">
        <f aca="false">L830</f>
        <v>0</v>
      </c>
    </row>
    <row r="831" customFormat="false" ht="15" hidden="false" customHeight="false" outlineLevel="0" collapsed="false">
      <c r="A831" s="0" t="str">
        <f aca="false">'Raw Data'!C831</f>
        <v>Jericho</v>
      </c>
      <c r="B831" s="5" t="n">
        <f aca="false">'Raw Data'!A831</f>
        <v>40330</v>
      </c>
      <c r="C831" s="6" t="n">
        <f aca="false">'Raw Data'!D831</f>
        <v>173.20825666981</v>
      </c>
      <c r="D831" s="6" t="n">
        <f aca="false">'Raw Data'!E831</f>
        <v>4.145</v>
      </c>
      <c r="E831" s="6" t="n">
        <f aca="false">'Raw Data'!F831</f>
        <v>1</v>
      </c>
      <c r="F831" s="6" t="n">
        <f aca="false">'Raw Data'!G831</f>
        <v>0</v>
      </c>
      <c r="G831" s="6" t="n">
        <f aca="false">'Raw Data'!H831</f>
        <v>0</v>
      </c>
      <c r="H831" s="6" t="n">
        <f aca="false">'Raw Data'!I831</f>
        <v>0</v>
      </c>
      <c r="I831" s="6" t="n">
        <f aca="false">'Raw Data'!J831</f>
        <v>0</v>
      </c>
      <c r="J831" s="6" t="n">
        <f aca="false">'Raw Data'!K831</f>
        <v>1</v>
      </c>
      <c r="K831" s="6" t="n">
        <f aca="false">'Raw Data'!L831</f>
        <v>1</v>
      </c>
      <c r="L831" s="6" t="n">
        <f aca="false">F831*E831</f>
        <v>0</v>
      </c>
      <c r="N831" s="0" t="n">
        <v>1</v>
      </c>
      <c r="O831" s="6" t="n">
        <f aca="false">D831</f>
        <v>4.145</v>
      </c>
      <c r="P831" s="6" t="n">
        <f aca="false">E831</f>
        <v>1</v>
      </c>
      <c r="Q831" s="6" t="n">
        <f aca="false">F831</f>
        <v>0</v>
      </c>
      <c r="R831" s="6" t="n">
        <f aca="false">G831</f>
        <v>0</v>
      </c>
      <c r="S831" s="6" t="n">
        <f aca="false">H831</f>
        <v>0</v>
      </c>
      <c r="T831" s="6" t="n">
        <f aca="false">I831</f>
        <v>0</v>
      </c>
      <c r="U831" s="6" t="n">
        <f aca="false">L831</f>
        <v>0</v>
      </c>
      <c r="W831" s="6" t="n">
        <f aca="false">D831</f>
        <v>4.145</v>
      </c>
      <c r="X831" s="6" t="n">
        <f aca="false">E831</f>
        <v>1</v>
      </c>
      <c r="Y831" s="6" t="n">
        <f aca="false">F831</f>
        <v>0</v>
      </c>
      <c r="Z831" s="6" t="n">
        <f aca="false">L831</f>
        <v>0</v>
      </c>
      <c r="AA831" s="6" t="n">
        <f aca="false">G831</f>
        <v>0</v>
      </c>
      <c r="AC831" s="6" t="n">
        <f aca="false">D831</f>
        <v>4.145</v>
      </c>
      <c r="AD831" s="6" t="n">
        <f aca="false">E831</f>
        <v>1</v>
      </c>
      <c r="AE831" s="6" t="n">
        <f aca="false">G831</f>
        <v>0</v>
      </c>
      <c r="AF831" s="6" t="n">
        <f aca="false">H831</f>
        <v>0</v>
      </c>
      <c r="AG831" s="6" t="n">
        <f aca="false">I831</f>
        <v>0</v>
      </c>
      <c r="AH831" s="6" t="n">
        <f aca="false">L831</f>
        <v>0</v>
      </c>
    </row>
    <row r="832" customFormat="false" ht="15" hidden="false" customHeight="false" outlineLevel="0" collapsed="false">
      <c r="A832" s="0" t="str">
        <f aca="false">'Raw Data'!C832</f>
        <v>Jericho</v>
      </c>
      <c r="B832" s="5" t="n">
        <f aca="false">'Raw Data'!A832</f>
        <v>40337</v>
      </c>
      <c r="C832" s="6" t="n">
        <f aca="false">'Raw Data'!D832</f>
        <v>299.933906910167</v>
      </c>
      <c r="D832" s="6" t="n">
        <f aca="false">'Raw Data'!E832</f>
        <v>4.64</v>
      </c>
      <c r="E832" s="6" t="n">
        <f aca="false">'Raw Data'!F832</f>
        <v>1</v>
      </c>
      <c r="F832" s="6" t="n">
        <f aca="false">'Raw Data'!G832</f>
        <v>0</v>
      </c>
      <c r="G832" s="6" t="n">
        <f aca="false">'Raw Data'!H832</f>
        <v>0</v>
      </c>
      <c r="H832" s="6" t="n">
        <f aca="false">'Raw Data'!I832</f>
        <v>0</v>
      </c>
      <c r="I832" s="6" t="n">
        <f aca="false">'Raw Data'!J832</f>
        <v>0</v>
      </c>
      <c r="J832" s="6" t="n">
        <f aca="false">'Raw Data'!K832</f>
        <v>1</v>
      </c>
      <c r="K832" s="6" t="n">
        <f aca="false">'Raw Data'!L832</f>
        <v>1</v>
      </c>
      <c r="L832" s="6" t="n">
        <f aca="false">F832*E832</f>
        <v>0</v>
      </c>
      <c r="N832" s="0" t="n">
        <v>1</v>
      </c>
      <c r="O832" s="6" t="n">
        <f aca="false">D832</f>
        <v>4.64</v>
      </c>
      <c r="P832" s="6" t="n">
        <f aca="false">E832</f>
        <v>1</v>
      </c>
      <c r="Q832" s="6" t="n">
        <f aca="false">F832</f>
        <v>0</v>
      </c>
      <c r="R832" s="6" t="n">
        <f aca="false">G832</f>
        <v>0</v>
      </c>
      <c r="S832" s="6" t="n">
        <f aca="false">H832</f>
        <v>0</v>
      </c>
      <c r="T832" s="6" t="n">
        <f aca="false">I832</f>
        <v>0</v>
      </c>
      <c r="U832" s="6" t="n">
        <f aca="false">L832</f>
        <v>0</v>
      </c>
      <c r="W832" s="6" t="n">
        <f aca="false">D832</f>
        <v>4.64</v>
      </c>
      <c r="X832" s="6" t="n">
        <f aca="false">E832</f>
        <v>1</v>
      </c>
      <c r="Y832" s="6" t="n">
        <f aca="false">F832</f>
        <v>0</v>
      </c>
      <c r="Z832" s="6" t="n">
        <f aca="false">L832</f>
        <v>0</v>
      </c>
      <c r="AA832" s="6" t="n">
        <f aca="false">G832</f>
        <v>0</v>
      </c>
      <c r="AC832" s="6" t="n">
        <f aca="false">D832</f>
        <v>4.64</v>
      </c>
      <c r="AD832" s="6" t="n">
        <f aca="false">E832</f>
        <v>1</v>
      </c>
      <c r="AE832" s="6" t="n">
        <f aca="false">G832</f>
        <v>0</v>
      </c>
      <c r="AF832" s="6" t="n">
        <f aca="false">H832</f>
        <v>0</v>
      </c>
      <c r="AG832" s="6" t="n">
        <f aca="false">I832</f>
        <v>0</v>
      </c>
      <c r="AH832" s="6" t="n">
        <f aca="false">L832</f>
        <v>0</v>
      </c>
    </row>
    <row r="833" customFormat="false" ht="15" hidden="false" customHeight="false" outlineLevel="0" collapsed="false">
      <c r="A833" s="0" t="str">
        <f aca="false">'Raw Data'!C833</f>
        <v>Jericho</v>
      </c>
      <c r="B833" s="5" t="n">
        <f aca="false">'Raw Data'!A833</f>
        <v>40344</v>
      </c>
      <c r="C833" s="6" t="n">
        <f aca="false">'Raw Data'!D833</f>
        <v>244.482619811102</v>
      </c>
      <c r="D833" s="6" t="n">
        <f aca="false">'Raw Data'!E833</f>
        <v>4.19</v>
      </c>
      <c r="E833" s="6" t="n">
        <f aca="false">'Raw Data'!F833</f>
        <v>1</v>
      </c>
      <c r="F833" s="6" t="n">
        <f aca="false">'Raw Data'!G833</f>
        <v>0</v>
      </c>
      <c r="G833" s="6" t="n">
        <f aca="false">'Raw Data'!H833</f>
        <v>0</v>
      </c>
      <c r="H833" s="6" t="n">
        <f aca="false">'Raw Data'!I833</f>
        <v>0</v>
      </c>
      <c r="I833" s="6" t="n">
        <f aca="false">'Raw Data'!J833</f>
        <v>0</v>
      </c>
      <c r="J833" s="6" t="n">
        <f aca="false">'Raw Data'!K833</f>
        <v>1</v>
      </c>
      <c r="K833" s="6" t="n">
        <f aca="false">'Raw Data'!L833</f>
        <v>1</v>
      </c>
      <c r="L833" s="6" t="n">
        <f aca="false">F833*E833</f>
        <v>0</v>
      </c>
      <c r="N833" s="0" t="n">
        <v>1</v>
      </c>
      <c r="O833" s="6" t="n">
        <f aca="false">D833</f>
        <v>4.19</v>
      </c>
      <c r="P833" s="6" t="n">
        <f aca="false">E833</f>
        <v>1</v>
      </c>
      <c r="Q833" s="6" t="n">
        <f aca="false">F833</f>
        <v>0</v>
      </c>
      <c r="R833" s="6" t="n">
        <f aca="false">G833</f>
        <v>0</v>
      </c>
      <c r="S833" s="6" t="n">
        <f aca="false">H833</f>
        <v>0</v>
      </c>
      <c r="T833" s="6" t="n">
        <f aca="false">I833</f>
        <v>0</v>
      </c>
      <c r="U833" s="6" t="n">
        <f aca="false">L833</f>
        <v>0</v>
      </c>
      <c r="W833" s="6" t="n">
        <f aca="false">D833</f>
        <v>4.19</v>
      </c>
      <c r="X833" s="6" t="n">
        <f aca="false">E833</f>
        <v>1</v>
      </c>
      <c r="Y833" s="6" t="n">
        <f aca="false">F833</f>
        <v>0</v>
      </c>
      <c r="Z833" s="6" t="n">
        <f aca="false">L833</f>
        <v>0</v>
      </c>
      <c r="AA833" s="6" t="n">
        <f aca="false">G833</f>
        <v>0</v>
      </c>
      <c r="AC833" s="6" t="n">
        <f aca="false">D833</f>
        <v>4.19</v>
      </c>
      <c r="AD833" s="6" t="n">
        <f aca="false">E833</f>
        <v>1</v>
      </c>
      <c r="AE833" s="6" t="n">
        <f aca="false">G833</f>
        <v>0</v>
      </c>
      <c r="AF833" s="6" t="n">
        <f aca="false">H833</f>
        <v>0</v>
      </c>
      <c r="AG833" s="6" t="n">
        <f aca="false">I833</f>
        <v>0</v>
      </c>
      <c r="AH833" s="6" t="n">
        <f aca="false">L833</f>
        <v>0</v>
      </c>
    </row>
    <row r="834" customFormat="false" ht="15" hidden="false" customHeight="false" outlineLevel="0" collapsed="false">
      <c r="A834" s="0" t="str">
        <f aca="false">'Raw Data'!C834</f>
        <v>Jericho</v>
      </c>
      <c r="B834" s="5" t="n">
        <f aca="false">'Raw Data'!A834</f>
        <v>40351</v>
      </c>
      <c r="C834" s="6" t="n">
        <f aca="false">'Raw Data'!D834</f>
        <v>440.970021952033</v>
      </c>
      <c r="D834" s="6" t="n">
        <f aca="false">'Raw Data'!E834</f>
        <v>4.19</v>
      </c>
      <c r="E834" s="6" t="n">
        <f aca="false">'Raw Data'!F834</f>
        <v>1</v>
      </c>
      <c r="F834" s="6" t="n">
        <f aca="false">'Raw Data'!G834</f>
        <v>0</v>
      </c>
      <c r="G834" s="6" t="n">
        <f aca="false">'Raw Data'!H834</f>
        <v>1</v>
      </c>
      <c r="H834" s="6" t="n">
        <f aca="false">'Raw Data'!I834</f>
        <v>0</v>
      </c>
      <c r="I834" s="6" t="n">
        <f aca="false">'Raw Data'!J834</f>
        <v>0</v>
      </c>
      <c r="J834" s="6" t="n">
        <f aca="false">'Raw Data'!K834</f>
        <v>1</v>
      </c>
      <c r="K834" s="6" t="n">
        <f aca="false">'Raw Data'!L834</f>
        <v>1</v>
      </c>
      <c r="L834" s="6" t="n">
        <f aca="false">F834*E834</f>
        <v>0</v>
      </c>
      <c r="N834" s="0" t="n">
        <v>1</v>
      </c>
      <c r="O834" s="6" t="n">
        <f aca="false">D834</f>
        <v>4.19</v>
      </c>
      <c r="P834" s="6" t="n">
        <f aca="false">E834</f>
        <v>1</v>
      </c>
      <c r="Q834" s="6" t="n">
        <f aca="false">F834</f>
        <v>0</v>
      </c>
      <c r="R834" s="6" t="n">
        <f aca="false">G834</f>
        <v>1</v>
      </c>
      <c r="S834" s="6" t="n">
        <f aca="false">H834</f>
        <v>0</v>
      </c>
      <c r="T834" s="6" t="n">
        <f aca="false">I834</f>
        <v>0</v>
      </c>
      <c r="U834" s="6" t="n">
        <f aca="false">L834</f>
        <v>0</v>
      </c>
      <c r="W834" s="6" t="n">
        <f aca="false">D834</f>
        <v>4.19</v>
      </c>
      <c r="X834" s="6" t="n">
        <f aca="false">E834</f>
        <v>1</v>
      </c>
      <c r="Y834" s="6" t="n">
        <f aca="false">F834</f>
        <v>0</v>
      </c>
      <c r="Z834" s="6" t="n">
        <f aca="false">L834</f>
        <v>0</v>
      </c>
      <c r="AA834" s="6" t="n">
        <f aca="false">G834</f>
        <v>1</v>
      </c>
      <c r="AC834" s="6" t="n">
        <f aca="false">D834</f>
        <v>4.19</v>
      </c>
      <c r="AD834" s="6" t="n">
        <f aca="false">E834</f>
        <v>1</v>
      </c>
      <c r="AE834" s="6" t="n">
        <f aca="false">G834</f>
        <v>1</v>
      </c>
      <c r="AF834" s="6" t="n">
        <f aca="false">H834</f>
        <v>0</v>
      </c>
      <c r="AG834" s="6" t="n">
        <f aca="false">I834</f>
        <v>0</v>
      </c>
      <c r="AH834" s="6" t="n">
        <f aca="false">L834</f>
        <v>0</v>
      </c>
    </row>
    <row r="835" customFormat="false" ht="15" hidden="false" customHeight="false" outlineLevel="0" collapsed="false">
      <c r="A835" s="0" t="str">
        <f aca="false">'Raw Data'!C835</f>
        <v>Jericho</v>
      </c>
      <c r="B835" s="5" t="n">
        <f aca="false">'Raw Data'!A835</f>
        <v>40358</v>
      </c>
      <c r="C835" s="6" t="n">
        <f aca="false">'Raw Data'!D835</f>
        <v>269.934801592333</v>
      </c>
      <c r="D835" s="6" t="n">
        <f aca="false">'Raw Data'!E835</f>
        <v>3.94</v>
      </c>
      <c r="E835" s="6" t="n">
        <f aca="false">'Raw Data'!F835</f>
        <v>1</v>
      </c>
      <c r="F835" s="6" t="n">
        <f aca="false">'Raw Data'!G835</f>
        <v>0</v>
      </c>
      <c r="G835" s="6" t="n">
        <f aca="false">'Raw Data'!H835</f>
        <v>0</v>
      </c>
      <c r="H835" s="6" t="n">
        <f aca="false">'Raw Data'!I835</f>
        <v>1</v>
      </c>
      <c r="I835" s="6" t="n">
        <f aca="false">'Raw Data'!J835</f>
        <v>0</v>
      </c>
      <c r="J835" s="6" t="n">
        <f aca="false">'Raw Data'!K835</f>
        <v>1</v>
      </c>
      <c r="K835" s="6" t="n">
        <f aca="false">'Raw Data'!L835</f>
        <v>1</v>
      </c>
      <c r="L835" s="6" t="n">
        <f aca="false">F835*E835</f>
        <v>0</v>
      </c>
      <c r="N835" s="0" t="n">
        <v>1</v>
      </c>
      <c r="O835" s="6" t="n">
        <f aca="false">D835</f>
        <v>3.94</v>
      </c>
      <c r="P835" s="6" t="n">
        <f aca="false">E835</f>
        <v>1</v>
      </c>
      <c r="Q835" s="6" t="n">
        <f aca="false">F835</f>
        <v>0</v>
      </c>
      <c r="R835" s="6" t="n">
        <f aca="false">G835</f>
        <v>0</v>
      </c>
      <c r="S835" s="6" t="n">
        <f aca="false">H835</f>
        <v>1</v>
      </c>
      <c r="T835" s="6" t="n">
        <f aca="false">I835</f>
        <v>0</v>
      </c>
      <c r="U835" s="6" t="n">
        <f aca="false">L835</f>
        <v>0</v>
      </c>
      <c r="W835" s="6" t="n">
        <f aca="false">D835</f>
        <v>3.94</v>
      </c>
      <c r="X835" s="6" t="n">
        <f aca="false">E835</f>
        <v>1</v>
      </c>
      <c r="Y835" s="6" t="n">
        <f aca="false">F835</f>
        <v>0</v>
      </c>
      <c r="Z835" s="6" t="n">
        <f aca="false">L835</f>
        <v>0</v>
      </c>
      <c r="AA835" s="6" t="n">
        <f aca="false">G835</f>
        <v>0</v>
      </c>
      <c r="AC835" s="6" t="n">
        <f aca="false">D835</f>
        <v>3.94</v>
      </c>
      <c r="AD835" s="6" t="n">
        <f aca="false">E835</f>
        <v>1</v>
      </c>
      <c r="AE835" s="6" t="n">
        <f aca="false">G835</f>
        <v>0</v>
      </c>
      <c r="AF835" s="6" t="n">
        <f aca="false">H835</f>
        <v>1</v>
      </c>
      <c r="AG835" s="6" t="n">
        <f aca="false">I835</f>
        <v>0</v>
      </c>
      <c r="AH835" s="6" t="n">
        <f aca="false">L835</f>
        <v>0</v>
      </c>
    </row>
    <row r="836" customFormat="false" ht="15" hidden="false" customHeight="false" outlineLevel="0" collapsed="false">
      <c r="A836" s="0" t="str">
        <f aca="false">'Raw Data'!C836</f>
        <v>Jericho</v>
      </c>
      <c r="B836" s="5" t="n">
        <f aca="false">'Raw Data'!A836</f>
        <v>40365</v>
      </c>
      <c r="C836" s="6" t="n">
        <f aca="false">'Raw Data'!D836</f>
        <v>334.963217787163</v>
      </c>
      <c r="D836" s="6" t="n">
        <f aca="false">'Raw Data'!E836</f>
        <v>4.179</v>
      </c>
      <c r="E836" s="6" t="n">
        <f aca="false">'Raw Data'!F836</f>
        <v>1</v>
      </c>
      <c r="F836" s="6" t="n">
        <f aca="false">'Raw Data'!G836</f>
        <v>0</v>
      </c>
      <c r="G836" s="6" t="n">
        <f aca="false">'Raw Data'!H836</f>
        <v>0</v>
      </c>
      <c r="H836" s="6" t="n">
        <f aca="false">'Raw Data'!I836</f>
        <v>1</v>
      </c>
      <c r="I836" s="6" t="n">
        <f aca="false">'Raw Data'!J836</f>
        <v>0</v>
      </c>
      <c r="J836" s="6" t="n">
        <f aca="false">'Raw Data'!K836</f>
        <v>1</v>
      </c>
      <c r="K836" s="6" t="n">
        <f aca="false">'Raw Data'!L836</f>
        <v>1</v>
      </c>
      <c r="L836" s="6" t="n">
        <f aca="false">F836*E836</f>
        <v>0</v>
      </c>
      <c r="N836" s="0" t="n">
        <v>1</v>
      </c>
      <c r="O836" s="6" t="n">
        <f aca="false">D836</f>
        <v>4.179</v>
      </c>
      <c r="P836" s="6" t="n">
        <f aca="false">E836</f>
        <v>1</v>
      </c>
      <c r="Q836" s="6" t="n">
        <f aca="false">F836</f>
        <v>0</v>
      </c>
      <c r="R836" s="6" t="n">
        <f aca="false">G836</f>
        <v>0</v>
      </c>
      <c r="S836" s="6" t="n">
        <f aca="false">H836</f>
        <v>1</v>
      </c>
      <c r="T836" s="6" t="n">
        <f aca="false">I836</f>
        <v>0</v>
      </c>
      <c r="U836" s="6" t="n">
        <f aca="false">L836</f>
        <v>0</v>
      </c>
      <c r="W836" s="6" t="n">
        <f aca="false">D836</f>
        <v>4.179</v>
      </c>
      <c r="X836" s="6" t="n">
        <f aca="false">E836</f>
        <v>1</v>
      </c>
      <c r="Y836" s="6" t="n">
        <f aca="false">F836</f>
        <v>0</v>
      </c>
      <c r="Z836" s="6" t="n">
        <f aca="false">L836</f>
        <v>0</v>
      </c>
      <c r="AA836" s="6" t="n">
        <f aca="false">G836</f>
        <v>0</v>
      </c>
      <c r="AC836" s="6" t="n">
        <f aca="false">D836</f>
        <v>4.179</v>
      </c>
      <c r="AD836" s="6" t="n">
        <f aca="false">E836</f>
        <v>1</v>
      </c>
      <c r="AE836" s="6" t="n">
        <f aca="false">G836</f>
        <v>0</v>
      </c>
      <c r="AF836" s="6" t="n">
        <f aca="false">H836</f>
        <v>1</v>
      </c>
      <c r="AG836" s="6" t="n">
        <f aca="false">I836</f>
        <v>0</v>
      </c>
      <c r="AH836" s="6" t="n">
        <f aca="false">L836</f>
        <v>0</v>
      </c>
    </row>
    <row r="837" customFormat="false" ht="15" hidden="false" customHeight="false" outlineLevel="0" collapsed="false">
      <c r="A837" s="0" t="str">
        <f aca="false">'Raw Data'!C837</f>
        <v>Jericho</v>
      </c>
      <c r="B837" s="5" t="n">
        <f aca="false">'Raw Data'!A837</f>
        <v>40372</v>
      </c>
      <c r="C837" s="6" t="n">
        <f aca="false">'Raw Data'!D837</f>
        <v>357.748460330396</v>
      </c>
      <c r="D837" s="6" t="n">
        <f aca="false">'Raw Data'!E837</f>
        <v>4.179</v>
      </c>
      <c r="E837" s="6" t="n">
        <f aca="false">'Raw Data'!F837</f>
        <v>1</v>
      </c>
      <c r="F837" s="6" t="n">
        <f aca="false">'Raw Data'!G837</f>
        <v>0</v>
      </c>
      <c r="G837" s="6" t="n">
        <f aca="false">'Raw Data'!H837</f>
        <v>0</v>
      </c>
      <c r="H837" s="6" t="n">
        <f aca="false">'Raw Data'!I837</f>
        <v>1</v>
      </c>
      <c r="I837" s="6" t="n">
        <f aca="false">'Raw Data'!J837</f>
        <v>0</v>
      </c>
      <c r="J837" s="6" t="n">
        <f aca="false">'Raw Data'!K837</f>
        <v>1</v>
      </c>
      <c r="K837" s="6" t="n">
        <f aca="false">'Raw Data'!L837</f>
        <v>1</v>
      </c>
      <c r="L837" s="6" t="n">
        <f aca="false">F837*E837</f>
        <v>0</v>
      </c>
      <c r="N837" s="0" t="n">
        <v>1</v>
      </c>
      <c r="O837" s="6" t="n">
        <f aca="false">D837</f>
        <v>4.179</v>
      </c>
      <c r="P837" s="6" t="n">
        <f aca="false">E837</f>
        <v>1</v>
      </c>
      <c r="Q837" s="6" t="n">
        <f aca="false">F837</f>
        <v>0</v>
      </c>
      <c r="R837" s="6" t="n">
        <f aca="false">G837</f>
        <v>0</v>
      </c>
      <c r="S837" s="6" t="n">
        <f aca="false">H837</f>
        <v>1</v>
      </c>
      <c r="T837" s="6" t="n">
        <f aca="false">I837</f>
        <v>0</v>
      </c>
      <c r="U837" s="6" t="n">
        <f aca="false">L837</f>
        <v>0</v>
      </c>
      <c r="W837" s="6" t="n">
        <f aca="false">D837</f>
        <v>4.179</v>
      </c>
      <c r="X837" s="6" t="n">
        <f aca="false">E837</f>
        <v>1</v>
      </c>
      <c r="Y837" s="6" t="n">
        <f aca="false">F837</f>
        <v>0</v>
      </c>
      <c r="Z837" s="6" t="n">
        <f aca="false">L837</f>
        <v>0</v>
      </c>
      <c r="AA837" s="6" t="n">
        <f aca="false">G837</f>
        <v>0</v>
      </c>
      <c r="AC837" s="6" t="n">
        <f aca="false">D837</f>
        <v>4.179</v>
      </c>
      <c r="AD837" s="6" t="n">
        <f aca="false">E837</f>
        <v>1</v>
      </c>
      <c r="AE837" s="6" t="n">
        <f aca="false">G837</f>
        <v>0</v>
      </c>
      <c r="AF837" s="6" t="n">
        <f aca="false">H837</f>
        <v>1</v>
      </c>
      <c r="AG837" s="6" t="n">
        <f aca="false">I837</f>
        <v>0</v>
      </c>
      <c r="AH837" s="6" t="n">
        <f aca="false">L837</f>
        <v>0</v>
      </c>
    </row>
    <row r="838" customFormat="false" ht="15" hidden="false" customHeight="false" outlineLevel="0" collapsed="false">
      <c r="A838" s="0" t="str">
        <f aca="false">'Raw Data'!C838</f>
        <v>Middletown</v>
      </c>
      <c r="B838" s="5" t="n">
        <f aca="false">'Raw Data'!A838</f>
        <v>40302</v>
      </c>
      <c r="C838" s="6" t="n">
        <f aca="false">'Raw Data'!D838</f>
        <v>230.502944709593</v>
      </c>
      <c r="D838" s="6" t="n">
        <f aca="false">'Raw Data'!E838</f>
        <v>5.29</v>
      </c>
      <c r="E838" s="6" t="n">
        <f aca="false">'Raw Data'!F838</f>
        <v>0</v>
      </c>
      <c r="F838" s="6" t="n">
        <f aca="false">'Raw Data'!G838</f>
        <v>0</v>
      </c>
      <c r="G838" s="6" t="n">
        <f aca="false">'Raw Data'!H838</f>
        <v>0</v>
      </c>
      <c r="H838" s="6" t="n">
        <f aca="false">'Raw Data'!I838</f>
        <v>1</v>
      </c>
      <c r="I838" s="6" t="n">
        <f aca="false">'Raw Data'!J838</f>
        <v>0</v>
      </c>
      <c r="J838" s="6" t="n">
        <f aca="false">'Raw Data'!K838</f>
        <v>2</v>
      </c>
      <c r="K838" s="6" t="n">
        <f aca="false">'Raw Data'!L838</f>
        <v>5</v>
      </c>
      <c r="L838" s="6" t="n">
        <f aca="false">F838*E838</f>
        <v>0</v>
      </c>
      <c r="N838" s="0" t="n">
        <v>1</v>
      </c>
      <c r="O838" s="6" t="n">
        <f aca="false">D838</f>
        <v>5.29</v>
      </c>
      <c r="P838" s="6" t="n">
        <f aca="false">E838</f>
        <v>0</v>
      </c>
      <c r="Q838" s="6" t="n">
        <f aca="false">F838</f>
        <v>0</v>
      </c>
      <c r="R838" s="6" t="n">
        <f aca="false">G838</f>
        <v>0</v>
      </c>
      <c r="S838" s="6" t="n">
        <f aca="false">H838</f>
        <v>1</v>
      </c>
      <c r="T838" s="6" t="n">
        <f aca="false">I838</f>
        <v>0</v>
      </c>
      <c r="U838" s="6" t="n">
        <f aca="false">L838</f>
        <v>0</v>
      </c>
      <c r="W838" s="6" t="n">
        <f aca="false">D838</f>
        <v>5.29</v>
      </c>
      <c r="X838" s="6" t="n">
        <f aca="false">E838</f>
        <v>0</v>
      </c>
      <c r="Y838" s="6" t="n">
        <f aca="false">F838</f>
        <v>0</v>
      </c>
      <c r="Z838" s="6" t="n">
        <f aca="false">L838</f>
        <v>0</v>
      </c>
      <c r="AA838" s="6" t="n">
        <f aca="false">G838</f>
        <v>0</v>
      </c>
      <c r="AC838" s="6" t="n">
        <f aca="false">D838</f>
        <v>5.29</v>
      </c>
      <c r="AD838" s="6" t="n">
        <f aca="false">E838</f>
        <v>0</v>
      </c>
      <c r="AE838" s="6" t="n">
        <f aca="false">G838</f>
        <v>0</v>
      </c>
      <c r="AF838" s="6" t="n">
        <f aca="false">H838</f>
        <v>1</v>
      </c>
      <c r="AG838" s="6" t="n">
        <f aca="false">I838</f>
        <v>0</v>
      </c>
      <c r="AH838" s="6" t="n">
        <f aca="false">L838</f>
        <v>0</v>
      </c>
    </row>
    <row r="839" customFormat="false" ht="15" hidden="false" customHeight="false" outlineLevel="0" collapsed="false">
      <c r="A839" s="0" t="str">
        <f aca="false">'Raw Data'!C839</f>
        <v>Middletown</v>
      </c>
      <c r="B839" s="5" t="n">
        <f aca="false">'Raw Data'!A839</f>
        <v>40309</v>
      </c>
      <c r="C839" s="6" t="n">
        <f aca="false">'Raw Data'!D839</f>
        <v>363.785354206026</v>
      </c>
      <c r="D839" s="6" t="n">
        <f aca="false">'Raw Data'!E839</f>
        <v>4.39</v>
      </c>
      <c r="E839" s="6" t="n">
        <f aca="false">'Raw Data'!F839</f>
        <v>0</v>
      </c>
      <c r="F839" s="6" t="n">
        <f aca="false">'Raw Data'!G839</f>
        <v>0</v>
      </c>
      <c r="G839" s="6" t="n">
        <f aca="false">'Raw Data'!H839</f>
        <v>0</v>
      </c>
      <c r="H839" s="6" t="n">
        <f aca="false">'Raw Data'!I839</f>
        <v>0</v>
      </c>
      <c r="I839" s="6" t="n">
        <f aca="false">'Raw Data'!J839</f>
        <v>1</v>
      </c>
      <c r="J839" s="6" t="n">
        <f aca="false">'Raw Data'!K839</f>
        <v>2</v>
      </c>
      <c r="K839" s="6" t="n">
        <f aca="false">'Raw Data'!L839</f>
        <v>5</v>
      </c>
      <c r="L839" s="6" t="n">
        <f aca="false">F839*E839</f>
        <v>0</v>
      </c>
      <c r="N839" s="0" t="n">
        <v>1</v>
      </c>
      <c r="O839" s="6" t="n">
        <f aca="false">D839</f>
        <v>4.39</v>
      </c>
      <c r="P839" s="6" t="n">
        <f aca="false">E839</f>
        <v>0</v>
      </c>
      <c r="Q839" s="6" t="n">
        <f aca="false">F839</f>
        <v>0</v>
      </c>
      <c r="R839" s="6" t="n">
        <f aca="false">G839</f>
        <v>0</v>
      </c>
      <c r="S839" s="6" t="n">
        <f aca="false">H839</f>
        <v>0</v>
      </c>
      <c r="T839" s="6" t="n">
        <f aca="false">I839</f>
        <v>1</v>
      </c>
      <c r="U839" s="6" t="n">
        <f aca="false">L839</f>
        <v>0</v>
      </c>
      <c r="W839" s="6" t="n">
        <f aca="false">D839</f>
        <v>4.39</v>
      </c>
      <c r="X839" s="6" t="n">
        <f aca="false">E839</f>
        <v>0</v>
      </c>
      <c r="Y839" s="6" t="n">
        <f aca="false">F839</f>
        <v>0</v>
      </c>
      <c r="Z839" s="6" t="n">
        <f aca="false">L839</f>
        <v>0</v>
      </c>
      <c r="AA839" s="6" t="n">
        <f aca="false">G839</f>
        <v>0</v>
      </c>
      <c r="AC839" s="6" t="n">
        <f aca="false">D839</f>
        <v>4.39</v>
      </c>
      <c r="AD839" s="6" t="n">
        <f aca="false">E839</f>
        <v>0</v>
      </c>
      <c r="AE839" s="6" t="n">
        <f aca="false">G839</f>
        <v>0</v>
      </c>
      <c r="AF839" s="6" t="n">
        <f aca="false">H839</f>
        <v>0</v>
      </c>
      <c r="AG839" s="6" t="n">
        <f aca="false">I839</f>
        <v>1</v>
      </c>
      <c r="AH839" s="6" t="n">
        <f aca="false">L839</f>
        <v>0</v>
      </c>
    </row>
    <row r="840" customFormat="false" ht="15" hidden="false" customHeight="false" outlineLevel="0" collapsed="false">
      <c r="A840" s="0" t="str">
        <f aca="false">'Raw Data'!C840</f>
        <v>Middletown</v>
      </c>
      <c r="B840" s="5" t="n">
        <f aca="false">'Raw Data'!A840</f>
        <v>40316</v>
      </c>
      <c r="C840" s="6" t="n">
        <f aca="false">'Raw Data'!D840</f>
        <v>268.408648872421</v>
      </c>
      <c r="D840" s="6" t="n">
        <f aca="false">'Raw Data'!E840</f>
        <v>4.79</v>
      </c>
      <c r="E840" s="6" t="n">
        <f aca="false">'Raw Data'!F840</f>
        <v>0</v>
      </c>
      <c r="F840" s="6" t="n">
        <f aca="false">'Raw Data'!G840</f>
        <v>0</v>
      </c>
      <c r="G840" s="6" t="n">
        <f aca="false">'Raw Data'!H840</f>
        <v>0</v>
      </c>
      <c r="H840" s="6" t="n">
        <f aca="false">'Raw Data'!I840</f>
        <v>0</v>
      </c>
      <c r="I840" s="6" t="n">
        <f aca="false">'Raw Data'!J840</f>
        <v>1</v>
      </c>
      <c r="J840" s="6" t="n">
        <f aca="false">'Raw Data'!K840</f>
        <v>2</v>
      </c>
      <c r="K840" s="6" t="n">
        <f aca="false">'Raw Data'!L840</f>
        <v>5</v>
      </c>
      <c r="L840" s="6" t="n">
        <f aca="false">F840*E840</f>
        <v>0</v>
      </c>
      <c r="N840" s="0" t="n">
        <v>1</v>
      </c>
      <c r="O840" s="6" t="n">
        <f aca="false">D840</f>
        <v>4.79</v>
      </c>
      <c r="P840" s="6" t="n">
        <f aca="false">E840</f>
        <v>0</v>
      </c>
      <c r="Q840" s="6" t="n">
        <f aca="false">F840</f>
        <v>0</v>
      </c>
      <c r="R840" s="6" t="n">
        <f aca="false">G840</f>
        <v>0</v>
      </c>
      <c r="S840" s="6" t="n">
        <f aca="false">H840</f>
        <v>0</v>
      </c>
      <c r="T840" s="6" t="n">
        <f aca="false">I840</f>
        <v>1</v>
      </c>
      <c r="U840" s="6" t="n">
        <f aca="false">L840</f>
        <v>0</v>
      </c>
      <c r="W840" s="6" t="n">
        <f aca="false">D840</f>
        <v>4.79</v>
      </c>
      <c r="X840" s="6" t="n">
        <f aca="false">E840</f>
        <v>0</v>
      </c>
      <c r="Y840" s="6" t="n">
        <f aca="false">F840</f>
        <v>0</v>
      </c>
      <c r="Z840" s="6" t="n">
        <f aca="false">L840</f>
        <v>0</v>
      </c>
      <c r="AA840" s="6" t="n">
        <f aca="false">G840</f>
        <v>0</v>
      </c>
      <c r="AC840" s="6" t="n">
        <f aca="false">D840</f>
        <v>4.79</v>
      </c>
      <c r="AD840" s="6" t="n">
        <f aca="false">E840</f>
        <v>0</v>
      </c>
      <c r="AE840" s="6" t="n">
        <f aca="false">G840</f>
        <v>0</v>
      </c>
      <c r="AF840" s="6" t="n">
        <f aca="false">H840</f>
        <v>0</v>
      </c>
      <c r="AG840" s="6" t="n">
        <f aca="false">I840</f>
        <v>1</v>
      </c>
      <c r="AH840" s="6" t="n">
        <f aca="false">L840</f>
        <v>0</v>
      </c>
    </row>
    <row r="841" customFormat="false" ht="15" hidden="false" customHeight="false" outlineLevel="0" collapsed="false">
      <c r="A841" s="0" t="str">
        <f aca="false">'Raw Data'!C841</f>
        <v>Middletown</v>
      </c>
      <c r="B841" s="5" t="n">
        <f aca="false">'Raw Data'!A841</f>
        <v>40323</v>
      </c>
      <c r="C841" s="6" t="n">
        <f aca="false">'Raw Data'!D841</f>
        <v>211.23872621364</v>
      </c>
      <c r="D841" s="6" t="n">
        <f aca="false">'Raw Data'!E841</f>
        <v>4.39</v>
      </c>
      <c r="E841" s="6" t="n">
        <f aca="false">'Raw Data'!F841</f>
        <v>1</v>
      </c>
      <c r="F841" s="6" t="n">
        <f aca="false">'Raw Data'!G841</f>
        <v>0</v>
      </c>
      <c r="G841" s="6" t="n">
        <f aca="false">'Raw Data'!H841</f>
        <v>0</v>
      </c>
      <c r="H841" s="6" t="n">
        <f aca="false">'Raw Data'!I841</f>
        <v>0</v>
      </c>
      <c r="I841" s="6" t="n">
        <f aca="false">'Raw Data'!J841</f>
        <v>0</v>
      </c>
      <c r="J841" s="6" t="n">
        <f aca="false">'Raw Data'!K841</f>
        <v>2</v>
      </c>
      <c r="K841" s="6" t="n">
        <f aca="false">'Raw Data'!L841</f>
        <v>5</v>
      </c>
      <c r="L841" s="6" t="n">
        <f aca="false">F841*E841</f>
        <v>0</v>
      </c>
      <c r="N841" s="0" t="n">
        <v>1</v>
      </c>
      <c r="O841" s="6" t="n">
        <f aca="false">D841</f>
        <v>4.39</v>
      </c>
      <c r="P841" s="6" t="n">
        <f aca="false">E841</f>
        <v>1</v>
      </c>
      <c r="Q841" s="6" t="n">
        <f aca="false">F841</f>
        <v>0</v>
      </c>
      <c r="R841" s="6" t="n">
        <f aca="false">G841</f>
        <v>0</v>
      </c>
      <c r="S841" s="6" t="n">
        <f aca="false">H841</f>
        <v>0</v>
      </c>
      <c r="T841" s="6" t="n">
        <f aca="false">I841</f>
        <v>0</v>
      </c>
      <c r="U841" s="6" t="n">
        <f aca="false">L841</f>
        <v>0</v>
      </c>
      <c r="W841" s="6" t="n">
        <f aca="false">D841</f>
        <v>4.39</v>
      </c>
      <c r="X841" s="6" t="n">
        <f aca="false">E841</f>
        <v>1</v>
      </c>
      <c r="Y841" s="6" t="n">
        <f aca="false">F841</f>
        <v>0</v>
      </c>
      <c r="Z841" s="6" t="n">
        <f aca="false">L841</f>
        <v>0</v>
      </c>
      <c r="AA841" s="6" t="n">
        <f aca="false">G841</f>
        <v>0</v>
      </c>
      <c r="AC841" s="6" t="n">
        <f aca="false">D841</f>
        <v>4.39</v>
      </c>
      <c r="AD841" s="6" t="n">
        <f aca="false">E841</f>
        <v>1</v>
      </c>
      <c r="AE841" s="6" t="n">
        <f aca="false">G841</f>
        <v>0</v>
      </c>
      <c r="AF841" s="6" t="n">
        <f aca="false">H841</f>
        <v>0</v>
      </c>
      <c r="AG841" s="6" t="n">
        <f aca="false">I841</f>
        <v>0</v>
      </c>
      <c r="AH841" s="6" t="n">
        <f aca="false">L841</f>
        <v>0</v>
      </c>
    </row>
    <row r="842" customFormat="false" ht="15" hidden="false" customHeight="false" outlineLevel="0" collapsed="false">
      <c r="A842" s="0" t="str">
        <f aca="false">'Raw Data'!C842</f>
        <v>Middletown</v>
      </c>
      <c r="B842" s="5" t="n">
        <f aca="false">'Raw Data'!A842</f>
        <v>40330</v>
      </c>
      <c r="C842" s="6" t="n">
        <f aca="false">'Raw Data'!D842</f>
        <v>223.08315295727</v>
      </c>
      <c r="D842" s="6" t="n">
        <f aca="false">'Raw Data'!E842</f>
        <v>4.79</v>
      </c>
      <c r="E842" s="6" t="n">
        <f aca="false">'Raw Data'!F842</f>
        <v>1</v>
      </c>
      <c r="F842" s="6" t="n">
        <f aca="false">'Raw Data'!G842</f>
        <v>0</v>
      </c>
      <c r="G842" s="6" t="n">
        <f aca="false">'Raw Data'!H842</f>
        <v>0</v>
      </c>
      <c r="H842" s="6" t="n">
        <f aca="false">'Raw Data'!I842</f>
        <v>0</v>
      </c>
      <c r="I842" s="6" t="n">
        <f aca="false">'Raw Data'!J842</f>
        <v>0</v>
      </c>
      <c r="J842" s="6" t="n">
        <f aca="false">'Raw Data'!K842</f>
        <v>2</v>
      </c>
      <c r="K842" s="6" t="n">
        <f aca="false">'Raw Data'!L842</f>
        <v>5</v>
      </c>
      <c r="L842" s="6" t="n">
        <f aca="false">F842*E842</f>
        <v>0</v>
      </c>
      <c r="N842" s="0" t="n">
        <v>1</v>
      </c>
      <c r="O842" s="6" t="n">
        <f aca="false">D842</f>
        <v>4.79</v>
      </c>
      <c r="P842" s="6" t="n">
        <f aca="false">E842</f>
        <v>1</v>
      </c>
      <c r="Q842" s="6" t="n">
        <f aca="false">F842</f>
        <v>0</v>
      </c>
      <c r="R842" s="6" t="n">
        <f aca="false">G842</f>
        <v>0</v>
      </c>
      <c r="S842" s="6" t="n">
        <f aca="false">H842</f>
        <v>0</v>
      </c>
      <c r="T842" s="6" t="n">
        <f aca="false">I842</f>
        <v>0</v>
      </c>
      <c r="U842" s="6" t="n">
        <f aca="false">L842</f>
        <v>0</v>
      </c>
      <c r="W842" s="6" t="n">
        <f aca="false">D842</f>
        <v>4.79</v>
      </c>
      <c r="X842" s="6" t="n">
        <f aca="false">E842</f>
        <v>1</v>
      </c>
      <c r="Y842" s="6" t="n">
        <f aca="false">F842</f>
        <v>0</v>
      </c>
      <c r="Z842" s="6" t="n">
        <f aca="false">L842</f>
        <v>0</v>
      </c>
      <c r="AA842" s="6" t="n">
        <f aca="false">G842</f>
        <v>0</v>
      </c>
      <c r="AC842" s="6" t="n">
        <f aca="false">D842</f>
        <v>4.79</v>
      </c>
      <c r="AD842" s="6" t="n">
        <f aca="false">E842</f>
        <v>1</v>
      </c>
      <c r="AE842" s="6" t="n">
        <f aca="false">G842</f>
        <v>0</v>
      </c>
      <c r="AF842" s="6" t="n">
        <f aca="false">H842</f>
        <v>0</v>
      </c>
      <c r="AG842" s="6" t="n">
        <f aca="false">I842</f>
        <v>0</v>
      </c>
      <c r="AH842" s="6" t="n">
        <f aca="false">L842</f>
        <v>0</v>
      </c>
    </row>
    <row r="843" customFormat="false" ht="15" hidden="false" customHeight="false" outlineLevel="0" collapsed="false">
      <c r="A843" s="0" t="str">
        <f aca="false">'Raw Data'!C843</f>
        <v>Middletown</v>
      </c>
      <c r="B843" s="5" t="n">
        <f aca="false">'Raw Data'!A843</f>
        <v>40337</v>
      </c>
      <c r="C843" s="6" t="n">
        <f aca="false">'Raw Data'!D843</f>
        <v>351.970747356567</v>
      </c>
      <c r="D843" s="6" t="n">
        <f aca="false">'Raw Data'!E843</f>
        <v>5.29</v>
      </c>
      <c r="E843" s="6" t="n">
        <f aca="false">'Raw Data'!F843</f>
        <v>1</v>
      </c>
      <c r="F843" s="6" t="n">
        <f aca="false">'Raw Data'!G843</f>
        <v>0</v>
      </c>
      <c r="G843" s="6" t="n">
        <f aca="false">'Raw Data'!H843</f>
        <v>0</v>
      </c>
      <c r="H843" s="6" t="n">
        <f aca="false">'Raw Data'!I843</f>
        <v>0</v>
      </c>
      <c r="I843" s="6" t="n">
        <f aca="false">'Raw Data'!J843</f>
        <v>0</v>
      </c>
      <c r="J843" s="6" t="n">
        <f aca="false">'Raw Data'!K843</f>
        <v>2</v>
      </c>
      <c r="K843" s="6" t="n">
        <f aca="false">'Raw Data'!L843</f>
        <v>5</v>
      </c>
      <c r="L843" s="6" t="n">
        <f aca="false">F843*E843</f>
        <v>0</v>
      </c>
      <c r="N843" s="0" t="n">
        <v>1</v>
      </c>
      <c r="O843" s="6" t="n">
        <f aca="false">D843</f>
        <v>5.29</v>
      </c>
      <c r="P843" s="6" t="n">
        <f aca="false">E843</f>
        <v>1</v>
      </c>
      <c r="Q843" s="6" t="n">
        <f aca="false">F843</f>
        <v>0</v>
      </c>
      <c r="R843" s="6" t="n">
        <f aca="false">G843</f>
        <v>0</v>
      </c>
      <c r="S843" s="6" t="n">
        <f aca="false">H843</f>
        <v>0</v>
      </c>
      <c r="T843" s="6" t="n">
        <f aca="false">I843</f>
        <v>0</v>
      </c>
      <c r="U843" s="6" t="n">
        <f aca="false">L843</f>
        <v>0</v>
      </c>
      <c r="W843" s="6" t="n">
        <f aca="false">D843</f>
        <v>5.29</v>
      </c>
      <c r="X843" s="6" t="n">
        <f aca="false">E843</f>
        <v>1</v>
      </c>
      <c r="Y843" s="6" t="n">
        <f aca="false">F843</f>
        <v>0</v>
      </c>
      <c r="Z843" s="6" t="n">
        <f aca="false">L843</f>
        <v>0</v>
      </c>
      <c r="AA843" s="6" t="n">
        <f aca="false">G843</f>
        <v>0</v>
      </c>
      <c r="AC843" s="6" t="n">
        <f aca="false">D843</f>
        <v>5.29</v>
      </c>
      <c r="AD843" s="6" t="n">
        <f aca="false">E843</f>
        <v>1</v>
      </c>
      <c r="AE843" s="6" t="n">
        <f aca="false">G843</f>
        <v>0</v>
      </c>
      <c r="AF843" s="6" t="n">
        <f aca="false">H843</f>
        <v>0</v>
      </c>
      <c r="AG843" s="6" t="n">
        <f aca="false">I843</f>
        <v>0</v>
      </c>
      <c r="AH843" s="6" t="n">
        <f aca="false">L843</f>
        <v>0</v>
      </c>
    </row>
    <row r="844" customFormat="false" ht="15" hidden="false" customHeight="false" outlineLevel="0" collapsed="false">
      <c r="A844" s="0" t="str">
        <f aca="false">'Raw Data'!C844</f>
        <v>Middletown</v>
      </c>
      <c r="B844" s="5" t="n">
        <f aca="false">'Raw Data'!A844</f>
        <v>40344</v>
      </c>
      <c r="C844" s="6" t="n">
        <f aca="false">'Raw Data'!D844</f>
        <v>168.565047429384</v>
      </c>
      <c r="D844" s="6" t="n">
        <f aca="false">'Raw Data'!E844</f>
        <v>5.83</v>
      </c>
      <c r="E844" s="6" t="n">
        <f aca="false">'Raw Data'!F844</f>
        <v>1</v>
      </c>
      <c r="F844" s="6" t="n">
        <f aca="false">'Raw Data'!G844</f>
        <v>0</v>
      </c>
      <c r="G844" s="6" t="n">
        <f aca="false">'Raw Data'!H844</f>
        <v>0</v>
      </c>
      <c r="H844" s="6" t="n">
        <f aca="false">'Raw Data'!I844</f>
        <v>0</v>
      </c>
      <c r="I844" s="6" t="n">
        <f aca="false">'Raw Data'!J844</f>
        <v>0</v>
      </c>
      <c r="J844" s="6" t="n">
        <f aca="false">'Raw Data'!K844</f>
        <v>2</v>
      </c>
      <c r="K844" s="6" t="n">
        <f aca="false">'Raw Data'!L844</f>
        <v>5</v>
      </c>
      <c r="L844" s="6" t="n">
        <f aca="false">F844*E844</f>
        <v>0</v>
      </c>
      <c r="N844" s="0" t="n">
        <v>1</v>
      </c>
      <c r="O844" s="6" t="n">
        <f aca="false">D844</f>
        <v>5.83</v>
      </c>
      <c r="P844" s="6" t="n">
        <f aca="false">E844</f>
        <v>1</v>
      </c>
      <c r="Q844" s="6" t="n">
        <f aca="false">F844</f>
        <v>0</v>
      </c>
      <c r="R844" s="6" t="n">
        <f aca="false">G844</f>
        <v>0</v>
      </c>
      <c r="S844" s="6" t="n">
        <f aca="false">H844</f>
        <v>0</v>
      </c>
      <c r="T844" s="6" t="n">
        <f aca="false">I844</f>
        <v>0</v>
      </c>
      <c r="U844" s="6" t="n">
        <f aca="false">L844</f>
        <v>0</v>
      </c>
      <c r="W844" s="6" t="n">
        <f aca="false">D844</f>
        <v>5.83</v>
      </c>
      <c r="X844" s="6" t="n">
        <f aca="false">E844</f>
        <v>1</v>
      </c>
      <c r="Y844" s="6" t="n">
        <f aca="false">F844</f>
        <v>0</v>
      </c>
      <c r="Z844" s="6" t="n">
        <f aca="false">L844</f>
        <v>0</v>
      </c>
      <c r="AA844" s="6" t="n">
        <f aca="false">G844</f>
        <v>0</v>
      </c>
      <c r="AC844" s="6" t="n">
        <f aca="false">D844</f>
        <v>5.83</v>
      </c>
      <c r="AD844" s="6" t="n">
        <f aca="false">E844</f>
        <v>1</v>
      </c>
      <c r="AE844" s="6" t="n">
        <f aca="false">G844</f>
        <v>0</v>
      </c>
      <c r="AF844" s="6" t="n">
        <f aca="false">H844</f>
        <v>0</v>
      </c>
      <c r="AG844" s="6" t="n">
        <f aca="false">I844</f>
        <v>0</v>
      </c>
      <c r="AH844" s="6" t="n">
        <f aca="false">L844</f>
        <v>0</v>
      </c>
    </row>
    <row r="845" customFormat="false" ht="15" hidden="false" customHeight="false" outlineLevel="0" collapsed="false">
      <c r="A845" s="0" t="str">
        <f aca="false">'Raw Data'!C845</f>
        <v>Middletown</v>
      </c>
      <c r="B845" s="5" t="n">
        <f aca="false">'Raw Data'!A845</f>
        <v>40351</v>
      </c>
      <c r="C845" s="6" t="n">
        <f aca="false">'Raw Data'!D845</f>
        <v>241.954932776865</v>
      </c>
      <c r="D845" s="6" t="n">
        <f aca="false">'Raw Data'!E845</f>
        <v>6.19</v>
      </c>
      <c r="E845" s="6" t="n">
        <f aca="false">'Raw Data'!F845</f>
        <v>1</v>
      </c>
      <c r="F845" s="6" t="n">
        <f aca="false">'Raw Data'!G845</f>
        <v>0</v>
      </c>
      <c r="G845" s="6" t="n">
        <f aca="false">'Raw Data'!H845</f>
        <v>0</v>
      </c>
      <c r="H845" s="6" t="n">
        <f aca="false">'Raw Data'!I845</f>
        <v>0</v>
      </c>
      <c r="I845" s="6" t="n">
        <f aca="false">'Raw Data'!J845</f>
        <v>0</v>
      </c>
      <c r="J845" s="6" t="n">
        <f aca="false">'Raw Data'!K845</f>
        <v>2</v>
      </c>
      <c r="K845" s="6" t="n">
        <f aca="false">'Raw Data'!L845</f>
        <v>5</v>
      </c>
      <c r="L845" s="6" t="n">
        <f aca="false">F845*E845</f>
        <v>0</v>
      </c>
      <c r="N845" s="0" t="n">
        <v>1</v>
      </c>
      <c r="O845" s="6" t="n">
        <f aca="false">D845</f>
        <v>6.19</v>
      </c>
      <c r="P845" s="6" t="n">
        <f aca="false">E845</f>
        <v>1</v>
      </c>
      <c r="Q845" s="6" t="n">
        <f aca="false">F845</f>
        <v>0</v>
      </c>
      <c r="R845" s="6" t="n">
        <f aca="false">G845</f>
        <v>0</v>
      </c>
      <c r="S845" s="6" t="n">
        <f aca="false">H845</f>
        <v>0</v>
      </c>
      <c r="T845" s="6" t="n">
        <f aca="false">I845</f>
        <v>0</v>
      </c>
      <c r="U845" s="6" t="n">
        <f aca="false">L845</f>
        <v>0</v>
      </c>
      <c r="W845" s="6" t="n">
        <f aca="false">D845</f>
        <v>6.19</v>
      </c>
      <c r="X845" s="6" t="n">
        <f aca="false">E845</f>
        <v>1</v>
      </c>
      <c r="Y845" s="6" t="n">
        <f aca="false">F845</f>
        <v>0</v>
      </c>
      <c r="Z845" s="6" t="n">
        <f aca="false">L845</f>
        <v>0</v>
      </c>
      <c r="AA845" s="6" t="n">
        <f aca="false">G845</f>
        <v>0</v>
      </c>
      <c r="AC845" s="6" t="n">
        <f aca="false">D845</f>
        <v>6.19</v>
      </c>
      <c r="AD845" s="6" t="n">
        <f aca="false">E845</f>
        <v>1</v>
      </c>
      <c r="AE845" s="6" t="n">
        <f aca="false">G845</f>
        <v>0</v>
      </c>
      <c r="AF845" s="6" t="n">
        <f aca="false">H845</f>
        <v>0</v>
      </c>
      <c r="AG845" s="6" t="n">
        <f aca="false">I845</f>
        <v>0</v>
      </c>
      <c r="AH845" s="6" t="n">
        <f aca="false">L845</f>
        <v>0</v>
      </c>
    </row>
    <row r="846" customFormat="false" ht="15" hidden="false" customHeight="false" outlineLevel="0" collapsed="false">
      <c r="A846" s="0" t="str">
        <f aca="false">'Raw Data'!C846</f>
        <v>Middletown</v>
      </c>
      <c r="B846" s="5" t="n">
        <f aca="false">'Raw Data'!A846</f>
        <v>40358</v>
      </c>
      <c r="C846" s="6" t="n">
        <f aca="false">'Raw Data'!D846</f>
        <v>184.858088267719</v>
      </c>
      <c r="D846" s="6" t="n">
        <f aca="false">'Raw Data'!E846</f>
        <v>5.59</v>
      </c>
      <c r="E846" s="6" t="n">
        <f aca="false">'Raw Data'!F846</f>
        <v>1</v>
      </c>
      <c r="F846" s="6" t="n">
        <f aca="false">'Raw Data'!G846</f>
        <v>0</v>
      </c>
      <c r="G846" s="6" t="n">
        <f aca="false">'Raw Data'!H846</f>
        <v>0</v>
      </c>
      <c r="H846" s="6" t="n">
        <f aca="false">'Raw Data'!I846</f>
        <v>0</v>
      </c>
      <c r="I846" s="6" t="n">
        <f aca="false">'Raw Data'!J846</f>
        <v>0</v>
      </c>
      <c r="J846" s="6" t="n">
        <f aca="false">'Raw Data'!K846</f>
        <v>2</v>
      </c>
      <c r="K846" s="6" t="n">
        <f aca="false">'Raw Data'!L846</f>
        <v>5</v>
      </c>
      <c r="L846" s="6" t="n">
        <f aca="false">F846*E846</f>
        <v>0</v>
      </c>
      <c r="N846" s="0" t="n">
        <v>1</v>
      </c>
      <c r="O846" s="6" t="n">
        <f aca="false">D846</f>
        <v>5.59</v>
      </c>
      <c r="P846" s="6" t="n">
        <f aca="false">E846</f>
        <v>1</v>
      </c>
      <c r="Q846" s="6" t="n">
        <f aca="false">F846</f>
        <v>0</v>
      </c>
      <c r="R846" s="6" t="n">
        <f aca="false">G846</f>
        <v>0</v>
      </c>
      <c r="S846" s="6" t="n">
        <f aca="false">H846</f>
        <v>0</v>
      </c>
      <c r="T846" s="6" t="n">
        <f aca="false">I846</f>
        <v>0</v>
      </c>
      <c r="U846" s="6" t="n">
        <f aca="false">L846</f>
        <v>0</v>
      </c>
      <c r="W846" s="6" t="n">
        <f aca="false">D846</f>
        <v>5.59</v>
      </c>
      <c r="X846" s="6" t="n">
        <f aca="false">E846</f>
        <v>1</v>
      </c>
      <c r="Y846" s="6" t="n">
        <f aca="false">F846</f>
        <v>0</v>
      </c>
      <c r="Z846" s="6" t="n">
        <f aca="false">L846</f>
        <v>0</v>
      </c>
      <c r="AA846" s="6" t="n">
        <f aca="false">G846</f>
        <v>0</v>
      </c>
      <c r="AC846" s="6" t="n">
        <f aca="false">D846</f>
        <v>5.59</v>
      </c>
      <c r="AD846" s="6" t="n">
        <f aca="false">E846</f>
        <v>1</v>
      </c>
      <c r="AE846" s="6" t="n">
        <f aca="false">G846</f>
        <v>0</v>
      </c>
      <c r="AF846" s="6" t="n">
        <f aca="false">H846</f>
        <v>0</v>
      </c>
      <c r="AG846" s="6" t="n">
        <f aca="false">I846</f>
        <v>0</v>
      </c>
      <c r="AH846" s="6" t="n">
        <f aca="false">L846</f>
        <v>0</v>
      </c>
    </row>
    <row r="847" customFormat="false" ht="15" hidden="false" customHeight="false" outlineLevel="0" collapsed="false">
      <c r="A847" s="0" t="str">
        <f aca="false">'Raw Data'!C847</f>
        <v>Middletown</v>
      </c>
      <c r="B847" s="5" t="n">
        <f aca="false">'Raw Data'!A847</f>
        <v>40365</v>
      </c>
      <c r="C847" s="6" t="n">
        <f aca="false">'Raw Data'!D847</f>
        <v>200.077022302822</v>
      </c>
      <c r="D847" s="6" t="n">
        <f aca="false">'Raw Data'!E847</f>
        <v>4.6225</v>
      </c>
      <c r="E847" s="6" t="n">
        <f aca="false">'Raw Data'!F847</f>
        <v>1</v>
      </c>
      <c r="F847" s="6" t="n">
        <f aca="false">'Raw Data'!G847</f>
        <v>0</v>
      </c>
      <c r="G847" s="6" t="n">
        <f aca="false">'Raw Data'!H847</f>
        <v>0</v>
      </c>
      <c r="H847" s="6" t="n">
        <f aca="false">'Raw Data'!I847</f>
        <v>0</v>
      </c>
      <c r="I847" s="6" t="n">
        <f aca="false">'Raw Data'!J847</f>
        <v>0</v>
      </c>
      <c r="J847" s="6" t="n">
        <f aca="false">'Raw Data'!K847</f>
        <v>2</v>
      </c>
      <c r="K847" s="6" t="n">
        <f aca="false">'Raw Data'!L847</f>
        <v>5</v>
      </c>
      <c r="L847" s="6" t="n">
        <f aca="false">F847*E847</f>
        <v>0</v>
      </c>
      <c r="N847" s="0" t="n">
        <v>1</v>
      </c>
      <c r="O847" s="6" t="n">
        <f aca="false">D847</f>
        <v>4.6225</v>
      </c>
      <c r="P847" s="6" t="n">
        <f aca="false">E847</f>
        <v>1</v>
      </c>
      <c r="Q847" s="6" t="n">
        <f aca="false">F847</f>
        <v>0</v>
      </c>
      <c r="R847" s="6" t="n">
        <f aca="false">G847</f>
        <v>0</v>
      </c>
      <c r="S847" s="6" t="n">
        <f aca="false">H847</f>
        <v>0</v>
      </c>
      <c r="T847" s="6" t="n">
        <f aca="false">I847</f>
        <v>0</v>
      </c>
      <c r="U847" s="6" t="n">
        <f aca="false">L847</f>
        <v>0</v>
      </c>
      <c r="W847" s="6" t="n">
        <f aca="false">D847</f>
        <v>4.6225</v>
      </c>
      <c r="X847" s="6" t="n">
        <f aca="false">E847</f>
        <v>1</v>
      </c>
      <c r="Y847" s="6" t="n">
        <f aca="false">F847</f>
        <v>0</v>
      </c>
      <c r="Z847" s="6" t="n">
        <f aca="false">L847</f>
        <v>0</v>
      </c>
      <c r="AA847" s="6" t="n">
        <f aca="false">G847</f>
        <v>0</v>
      </c>
      <c r="AC847" s="6" t="n">
        <f aca="false">D847</f>
        <v>4.6225</v>
      </c>
      <c r="AD847" s="6" t="n">
        <f aca="false">E847</f>
        <v>1</v>
      </c>
      <c r="AE847" s="6" t="n">
        <f aca="false">G847</f>
        <v>0</v>
      </c>
      <c r="AF847" s="6" t="n">
        <f aca="false">H847</f>
        <v>0</v>
      </c>
      <c r="AG847" s="6" t="n">
        <f aca="false">I847</f>
        <v>0</v>
      </c>
      <c r="AH847" s="6" t="n">
        <f aca="false">L847</f>
        <v>0</v>
      </c>
    </row>
    <row r="848" customFormat="false" ht="15" hidden="false" customHeight="false" outlineLevel="0" collapsed="false">
      <c r="A848" s="0" t="str">
        <f aca="false">'Raw Data'!C848</f>
        <v>Middletown</v>
      </c>
      <c r="B848" s="5" t="n">
        <f aca="false">'Raw Data'!A848</f>
        <v>40372</v>
      </c>
      <c r="C848" s="6" t="n">
        <f aca="false">'Raw Data'!D848</f>
        <v>181.751290233517</v>
      </c>
      <c r="D848" s="6" t="n">
        <f aca="false">'Raw Data'!E848</f>
        <v>4.6225</v>
      </c>
      <c r="E848" s="6" t="n">
        <f aca="false">'Raw Data'!F848</f>
        <v>1</v>
      </c>
      <c r="F848" s="6" t="n">
        <f aca="false">'Raw Data'!G848</f>
        <v>0</v>
      </c>
      <c r="G848" s="6" t="n">
        <f aca="false">'Raw Data'!H848</f>
        <v>0</v>
      </c>
      <c r="H848" s="6" t="n">
        <f aca="false">'Raw Data'!I848</f>
        <v>0</v>
      </c>
      <c r="I848" s="6" t="n">
        <f aca="false">'Raw Data'!J848</f>
        <v>0</v>
      </c>
      <c r="J848" s="6" t="n">
        <f aca="false">'Raw Data'!K848</f>
        <v>2</v>
      </c>
      <c r="K848" s="6" t="n">
        <f aca="false">'Raw Data'!L848</f>
        <v>5</v>
      </c>
      <c r="L848" s="6" t="n">
        <f aca="false">F848*E848</f>
        <v>0</v>
      </c>
      <c r="N848" s="0" t="n">
        <v>1</v>
      </c>
      <c r="O848" s="6" t="n">
        <f aca="false">D848</f>
        <v>4.6225</v>
      </c>
      <c r="P848" s="6" t="n">
        <f aca="false">E848</f>
        <v>1</v>
      </c>
      <c r="Q848" s="6" t="n">
        <f aca="false">F848</f>
        <v>0</v>
      </c>
      <c r="R848" s="6" t="n">
        <f aca="false">G848</f>
        <v>0</v>
      </c>
      <c r="S848" s="6" t="n">
        <f aca="false">H848</f>
        <v>0</v>
      </c>
      <c r="T848" s="6" t="n">
        <f aca="false">I848</f>
        <v>0</v>
      </c>
      <c r="U848" s="6" t="n">
        <f aca="false">L848</f>
        <v>0</v>
      </c>
      <c r="W848" s="6" t="n">
        <f aca="false">D848</f>
        <v>4.6225</v>
      </c>
      <c r="X848" s="6" t="n">
        <f aca="false">E848</f>
        <v>1</v>
      </c>
      <c r="Y848" s="6" t="n">
        <f aca="false">F848</f>
        <v>0</v>
      </c>
      <c r="Z848" s="6" t="n">
        <f aca="false">L848</f>
        <v>0</v>
      </c>
      <c r="AA848" s="6" t="n">
        <f aca="false">G848</f>
        <v>0</v>
      </c>
      <c r="AC848" s="6" t="n">
        <f aca="false">D848</f>
        <v>4.6225</v>
      </c>
      <c r="AD848" s="6" t="n">
        <f aca="false">E848</f>
        <v>1</v>
      </c>
      <c r="AE848" s="6" t="n">
        <f aca="false">G848</f>
        <v>0</v>
      </c>
      <c r="AF848" s="6" t="n">
        <f aca="false">H848</f>
        <v>0</v>
      </c>
      <c r="AG848" s="6" t="n">
        <f aca="false">I848</f>
        <v>0</v>
      </c>
      <c r="AH848" s="6" t="n">
        <f aca="false">L848</f>
        <v>0</v>
      </c>
    </row>
    <row r="849" customFormat="false" ht="15" hidden="false" customHeight="false" outlineLevel="0" collapsed="false">
      <c r="A849" s="0" t="str">
        <f aca="false">'Raw Data'!C849</f>
        <v>Rose City</v>
      </c>
      <c r="B849" s="5" t="n">
        <f aca="false">'Raw Data'!A849</f>
        <v>40302</v>
      </c>
      <c r="C849" s="6" t="n">
        <f aca="false">'Raw Data'!D849</f>
        <v>154.701250586176</v>
      </c>
      <c r="D849" s="6" t="n">
        <f aca="false">'Raw Data'!E849</f>
        <v>4.732857143</v>
      </c>
      <c r="E849" s="6" t="n">
        <f aca="false">'Raw Data'!F849</f>
        <v>0</v>
      </c>
      <c r="F849" s="6" t="n">
        <f aca="false">'Raw Data'!G849</f>
        <v>0</v>
      </c>
      <c r="G849" s="6" t="n">
        <f aca="false">'Raw Data'!H849</f>
        <v>0</v>
      </c>
      <c r="H849" s="6" t="n">
        <f aca="false">'Raw Data'!I849</f>
        <v>0</v>
      </c>
      <c r="I849" s="6" t="n">
        <f aca="false">'Raw Data'!J849</f>
        <v>0</v>
      </c>
      <c r="J849" s="6" t="n">
        <f aca="false">'Raw Data'!K849</f>
        <v>1</v>
      </c>
      <c r="K849" s="6" t="n">
        <f aca="false">'Raw Data'!L849</f>
        <v>5</v>
      </c>
      <c r="L849" s="6" t="n">
        <f aca="false">F849*E849</f>
        <v>0</v>
      </c>
      <c r="N849" s="0" t="n">
        <v>1</v>
      </c>
      <c r="O849" s="6" t="n">
        <f aca="false">D849</f>
        <v>4.732857143</v>
      </c>
      <c r="P849" s="6" t="n">
        <f aca="false">E849</f>
        <v>0</v>
      </c>
      <c r="Q849" s="6" t="n">
        <f aca="false">F849</f>
        <v>0</v>
      </c>
      <c r="R849" s="6" t="n">
        <f aca="false">G849</f>
        <v>0</v>
      </c>
      <c r="S849" s="6" t="n">
        <f aca="false">H849</f>
        <v>0</v>
      </c>
      <c r="T849" s="6" t="n">
        <f aca="false">I849</f>
        <v>0</v>
      </c>
      <c r="U849" s="6" t="n">
        <f aca="false">L849</f>
        <v>0</v>
      </c>
      <c r="W849" s="6" t="n">
        <f aca="false">D849</f>
        <v>4.732857143</v>
      </c>
      <c r="X849" s="6" t="n">
        <f aca="false">E849</f>
        <v>0</v>
      </c>
      <c r="Y849" s="6" t="n">
        <f aca="false">F849</f>
        <v>0</v>
      </c>
      <c r="Z849" s="6" t="n">
        <f aca="false">L849</f>
        <v>0</v>
      </c>
      <c r="AA849" s="6" t="n">
        <f aca="false">G849</f>
        <v>0</v>
      </c>
      <c r="AC849" s="6" t="n">
        <f aca="false">D849</f>
        <v>4.732857143</v>
      </c>
      <c r="AD849" s="6" t="n">
        <f aca="false">E849</f>
        <v>0</v>
      </c>
      <c r="AE849" s="6" t="n">
        <f aca="false">G849</f>
        <v>0</v>
      </c>
      <c r="AF849" s="6" t="n">
        <f aca="false">H849</f>
        <v>0</v>
      </c>
      <c r="AG849" s="6" t="n">
        <f aca="false">I849</f>
        <v>0</v>
      </c>
      <c r="AH849" s="6" t="n">
        <f aca="false">L849</f>
        <v>0</v>
      </c>
    </row>
    <row r="850" customFormat="false" ht="15" hidden="false" customHeight="false" outlineLevel="0" collapsed="false">
      <c r="A850" s="0" t="str">
        <f aca="false">'Raw Data'!C850</f>
        <v>Rose City</v>
      </c>
      <c r="B850" s="5" t="n">
        <f aca="false">'Raw Data'!A850</f>
        <v>40309</v>
      </c>
      <c r="C850" s="6" t="n">
        <f aca="false">'Raw Data'!D850</f>
        <v>120.081656526838</v>
      </c>
      <c r="D850" s="6" t="n">
        <f aca="false">'Raw Data'!E850</f>
        <v>4.03</v>
      </c>
      <c r="E850" s="6" t="n">
        <f aca="false">'Raw Data'!F850</f>
        <v>0</v>
      </c>
      <c r="F850" s="6" t="n">
        <f aca="false">'Raw Data'!G850</f>
        <v>0</v>
      </c>
      <c r="G850" s="6" t="n">
        <f aca="false">'Raw Data'!H850</f>
        <v>0</v>
      </c>
      <c r="H850" s="6" t="n">
        <f aca="false">'Raw Data'!I850</f>
        <v>0</v>
      </c>
      <c r="I850" s="6" t="n">
        <f aca="false">'Raw Data'!J850</f>
        <v>0</v>
      </c>
      <c r="J850" s="6" t="n">
        <f aca="false">'Raw Data'!K850</f>
        <v>1</v>
      </c>
      <c r="K850" s="6" t="n">
        <f aca="false">'Raw Data'!L850</f>
        <v>5</v>
      </c>
      <c r="L850" s="6" t="n">
        <f aca="false">F850*E850</f>
        <v>0</v>
      </c>
      <c r="N850" s="0" t="n">
        <v>1</v>
      </c>
      <c r="O850" s="6" t="n">
        <f aca="false">D850</f>
        <v>4.03</v>
      </c>
      <c r="P850" s="6" t="n">
        <f aca="false">E850</f>
        <v>0</v>
      </c>
      <c r="Q850" s="6" t="n">
        <f aca="false">F850</f>
        <v>0</v>
      </c>
      <c r="R850" s="6" t="n">
        <f aca="false">G850</f>
        <v>0</v>
      </c>
      <c r="S850" s="6" t="n">
        <f aca="false">H850</f>
        <v>0</v>
      </c>
      <c r="T850" s="6" t="n">
        <f aca="false">I850</f>
        <v>0</v>
      </c>
      <c r="U850" s="6" t="n">
        <f aca="false">L850</f>
        <v>0</v>
      </c>
      <c r="W850" s="6" t="n">
        <f aca="false">D850</f>
        <v>4.03</v>
      </c>
      <c r="X850" s="6" t="n">
        <f aca="false">E850</f>
        <v>0</v>
      </c>
      <c r="Y850" s="6" t="n">
        <f aca="false">F850</f>
        <v>0</v>
      </c>
      <c r="Z850" s="6" t="n">
        <f aca="false">L850</f>
        <v>0</v>
      </c>
      <c r="AA850" s="6" t="n">
        <f aca="false">G850</f>
        <v>0</v>
      </c>
      <c r="AC850" s="6" t="n">
        <f aca="false">D850</f>
        <v>4.03</v>
      </c>
      <c r="AD850" s="6" t="n">
        <f aca="false">E850</f>
        <v>0</v>
      </c>
      <c r="AE850" s="6" t="n">
        <f aca="false">G850</f>
        <v>0</v>
      </c>
      <c r="AF850" s="6" t="n">
        <f aca="false">H850</f>
        <v>0</v>
      </c>
      <c r="AG850" s="6" t="n">
        <f aca="false">I850</f>
        <v>0</v>
      </c>
      <c r="AH850" s="6" t="n">
        <f aca="false">L850</f>
        <v>0</v>
      </c>
    </row>
    <row r="851" customFormat="false" ht="15" hidden="false" customHeight="false" outlineLevel="0" collapsed="false">
      <c r="A851" s="0" t="str">
        <f aca="false">'Raw Data'!C851</f>
        <v>Rose City</v>
      </c>
      <c r="B851" s="5" t="n">
        <f aca="false">'Raw Data'!A851</f>
        <v>40316</v>
      </c>
      <c r="C851" s="6" t="n">
        <f aca="false">'Raw Data'!D851</f>
        <v>284.829203019676</v>
      </c>
      <c r="D851" s="6" t="n">
        <f aca="false">'Raw Data'!E851</f>
        <v>3.666363636</v>
      </c>
      <c r="E851" s="6" t="n">
        <f aca="false">'Raw Data'!F851</f>
        <v>0</v>
      </c>
      <c r="F851" s="6" t="n">
        <f aca="false">'Raw Data'!G851</f>
        <v>0</v>
      </c>
      <c r="G851" s="6" t="n">
        <f aca="false">'Raw Data'!H851</f>
        <v>0</v>
      </c>
      <c r="H851" s="6" t="n">
        <f aca="false">'Raw Data'!I851</f>
        <v>0</v>
      </c>
      <c r="I851" s="6" t="n">
        <f aca="false">'Raw Data'!J851</f>
        <v>0</v>
      </c>
      <c r="J851" s="6" t="n">
        <f aca="false">'Raw Data'!K851</f>
        <v>1</v>
      </c>
      <c r="K851" s="6" t="n">
        <f aca="false">'Raw Data'!L851</f>
        <v>5</v>
      </c>
      <c r="L851" s="6" t="n">
        <f aca="false">F851*E851</f>
        <v>0</v>
      </c>
      <c r="N851" s="0" t="n">
        <v>1</v>
      </c>
      <c r="O851" s="6" t="n">
        <f aca="false">D851</f>
        <v>3.666363636</v>
      </c>
      <c r="P851" s="6" t="n">
        <f aca="false">E851</f>
        <v>0</v>
      </c>
      <c r="Q851" s="6" t="n">
        <f aca="false">F851</f>
        <v>0</v>
      </c>
      <c r="R851" s="6" t="n">
        <f aca="false">G851</f>
        <v>0</v>
      </c>
      <c r="S851" s="6" t="n">
        <f aca="false">H851</f>
        <v>0</v>
      </c>
      <c r="T851" s="6" t="n">
        <f aca="false">I851</f>
        <v>0</v>
      </c>
      <c r="U851" s="6" t="n">
        <f aca="false">L851</f>
        <v>0</v>
      </c>
      <c r="W851" s="6" t="n">
        <f aca="false">D851</f>
        <v>3.666363636</v>
      </c>
      <c r="X851" s="6" t="n">
        <f aca="false">E851</f>
        <v>0</v>
      </c>
      <c r="Y851" s="6" t="n">
        <f aca="false">F851</f>
        <v>0</v>
      </c>
      <c r="Z851" s="6" t="n">
        <f aca="false">L851</f>
        <v>0</v>
      </c>
      <c r="AA851" s="6" t="n">
        <f aca="false">G851</f>
        <v>0</v>
      </c>
      <c r="AC851" s="6" t="n">
        <f aca="false">D851</f>
        <v>3.666363636</v>
      </c>
      <c r="AD851" s="6" t="n">
        <f aca="false">E851</f>
        <v>0</v>
      </c>
      <c r="AE851" s="6" t="n">
        <f aca="false">G851</f>
        <v>0</v>
      </c>
      <c r="AF851" s="6" t="n">
        <f aca="false">H851</f>
        <v>0</v>
      </c>
      <c r="AG851" s="6" t="n">
        <f aca="false">I851</f>
        <v>0</v>
      </c>
      <c r="AH851" s="6" t="n">
        <f aca="false">L851</f>
        <v>0</v>
      </c>
    </row>
    <row r="852" customFormat="false" ht="15" hidden="false" customHeight="false" outlineLevel="0" collapsed="false">
      <c r="A852" s="0" t="str">
        <f aca="false">'Raw Data'!C852</f>
        <v>Rose City</v>
      </c>
      <c r="B852" s="5" t="n">
        <f aca="false">'Raw Data'!A852</f>
        <v>40323</v>
      </c>
      <c r="C852" s="6" t="n">
        <f aca="false">'Raw Data'!D852</f>
        <v>248.174714446629</v>
      </c>
      <c r="D852" s="6" t="n">
        <f aca="false">'Raw Data'!E852</f>
        <v>3.666363636</v>
      </c>
      <c r="E852" s="6" t="n">
        <f aca="false">'Raw Data'!F852</f>
        <v>1</v>
      </c>
      <c r="F852" s="6" t="n">
        <f aca="false">'Raw Data'!G852</f>
        <v>0</v>
      </c>
      <c r="G852" s="6" t="n">
        <f aca="false">'Raw Data'!H852</f>
        <v>0</v>
      </c>
      <c r="H852" s="6" t="n">
        <f aca="false">'Raw Data'!I852</f>
        <v>0</v>
      </c>
      <c r="I852" s="6" t="n">
        <f aca="false">'Raw Data'!J852</f>
        <v>0</v>
      </c>
      <c r="J852" s="6" t="n">
        <f aca="false">'Raw Data'!K852</f>
        <v>1</v>
      </c>
      <c r="K852" s="6" t="n">
        <f aca="false">'Raw Data'!L852</f>
        <v>5</v>
      </c>
      <c r="L852" s="6" t="n">
        <f aca="false">F852*E852</f>
        <v>0</v>
      </c>
      <c r="N852" s="0" t="n">
        <v>1</v>
      </c>
      <c r="O852" s="6" t="n">
        <f aca="false">D852</f>
        <v>3.666363636</v>
      </c>
      <c r="P852" s="6" t="n">
        <f aca="false">E852</f>
        <v>1</v>
      </c>
      <c r="Q852" s="6" t="n">
        <f aca="false">F852</f>
        <v>0</v>
      </c>
      <c r="R852" s="6" t="n">
        <f aca="false">G852</f>
        <v>0</v>
      </c>
      <c r="S852" s="6" t="n">
        <f aca="false">H852</f>
        <v>0</v>
      </c>
      <c r="T852" s="6" t="n">
        <f aca="false">I852</f>
        <v>0</v>
      </c>
      <c r="U852" s="6" t="n">
        <f aca="false">L852</f>
        <v>0</v>
      </c>
      <c r="W852" s="6" t="n">
        <f aca="false">D852</f>
        <v>3.666363636</v>
      </c>
      <c r="X852" s="6" t="n">
        <f aca="false">E852</f>
        <v>1</v>
      </c>
      <c r="Y852" s="6" t="n">
        <f aca="false">F852</f>
        <v>0</v>
      </c>
      <c r="Z852" s="6" t="n">
        <f aca="false">L852</f>
        <v>0</v>
      </c>
      <c r="AA852" s="6" t="n">
        <f aca="false">G852</f>
        <v>0</v>
      </c>
      <c r="AC852" s="6" t="n">
        <f aca="false">D852</f>
        <v>3.666363636</v>
      </c>
      <c r="AD852" s="6" t="n">
        <f aca="false">E852</f>
        <v>1</v>
      </c>
      <c r="AE852" s="6" t="n">
        <f aca="false">G852</f>
        <v>0</v>
      </c>
      <c r="AF852" s="6" t="n">
        <f aca="false">H852</f>
        <v>0</v>
      </c>
      <c r="AG852" s="6" t="n">
        <f aca="false">I852</f>
        <v>0</v>
      </c>
      <c r="AH852" s="6" t="n">
        <f aca="false">L852</f>
        <v>0</v>
      </c>
    </row>
    <row r="853" customFormat="false" ht="15" hidden="false" customHeight="false" outlineLevel="0" collapsed="false">
      <c r="A853" s="0" t="str">
        <f aca="false">'Raw Data'!C853</f>
        <v>Rose City</v>
      </c>
      <c r="B853" s="5" t="n">
        <f aca="false">'Raw Data'!A853</f>
        <v>40330</v>
      </c>
      <c r="C853" s="6" t="n">
        <f aca="false">'Raw Data'!D853</f>
        <v>278.146967665002</v>
      </c>
      <c r="D853" s="6" t="n">
        <f aca="false">'Raw Data'!E853</f>
        <v>3.794</v>
      </c>
      <c r="E853" s="6" t="n">
        <f aca="false">'Raw Data'!F853</f>
        <v>1</v>
      </c>
      <c r="F853" s="6" t="n">
        <f aca="false">'Raw Data'!G853</f>
        <v>0</v>
      </c>
      <c r="G853" s="6" t="n">
        <f aca="false">'Raw Data'!H853</f>
        <v>0</v>
      </c>
      <c r="H853" s="6" t="n">
        <f aca="false">'Raw Data'!I853</f>
        <v>0</v>
      </c>
      <c r="I853" s="6" t="n">
        <f aca="false">'Raw Data'!J853</f>
        <v>0</v>
      </c>
      <c r="J853" s="6" t="n">
        <f aca="false">'Raw Data'!K853</f>
        <v>1</v>
      </c>
      <c r="K853" s="6" t="n">
        <f aca="false">'Raw Data'!L853</f>
        <v>5</v>
      </c>
      <c r="L853" s="6" t="n">
        <f aca="false">F853*E853</f>
        <v>0</v>
      </c>
      <c r="N853" s="0" t="n">
        <v>1</v>
      </c>
      <c r="O853" s="6" t="n">
        <f aca="false">D853</f>
        <v>3.794</v>
      </c>
      <c r="P853" s="6" t="n">
        <f aca="false">E853</f>
        <v>1</v>
      </c>
      <c r="Q853" s="6" t="n">
        <f aca="false">F853</f>
        <v>0</v>
      </c>
      <c r="R853" s="6" t="n">
        <f aca="false">G853</f>
        <v>0</v>
      </c>
      <c r="S853" s="6" t="n">
        <f aca="false">H853</f>
        <v>0</v>
      </c>
      <c r="T853" s="6" t="n">
        <f aca="false">I853</f>
        <v>0</v>
      </c>
      <c r="U853" s="6" t="n">
        <f aca="false">L853</f>
        <v>0</v>
      </c>
      <c r="W853" s="6" t="n">
        <f aca="false">D853</f>
        <v>3.794</v>
      </c>
      <c r="X853" s="6" t="n">
        <f aca="false">E853</f>
        <v>1</v>
      </c>
      <c r="Y853" s="6" t="n">
        <f aca="false">F853</f>
        <v>0</v>
      </c>
      <c r="Z853" s="6" t="n">
        <f aca="false">L853</f>
        <v>0</v>
      </c>
      <c r="AA853" s="6" t="n">
        <f aca="false">G853</f>
        <v>0</v>
      </c>
      <c r="AC853" s="6" t="n">
        <f aca="false">D853</f>
        <v>3.794</v>
      </c>
      <c r="AD853" s="6" t="n">
        <f aca="false">E853</f>
        <v>1</v>
      </c>
      <c r="AE853" s="6" t="n">
        <f aca="false">G853</f>
        <v>0</v>
      </c>
      <c r="AF853" s="6" t="n">
        <f aca="false">H853</f>
        <v>0</v>
      </c>
      <c r="AG853" s="6" t="n">
        <f aca="false">I853</f>
        <v>0</v>
      </c>
      <c r="AH853" s="6" t="n">
        <f aca="false">L853</f>
        <v>0</v>
      </c>
    </row>
    <row r="854" customFormat="false" ht="15" hidden="false" customHeight="false" outlineLevel="0" collapsed="false">
      <c r="A854" s="0" t="str">
        <f aca="false">'Raw Data'!C854</f>
        <v>Rose City</v>
      </c>
      <c r="B854" s="5" t="n">
        <f aca="false">'Raw Data'!A854</f>
        <v>40337</v>
      </c>
      <c r="C854" s="6" t="n">
        <f aca="false">'Raw Data'!D854</f>
        <v>275.661268527828</v>
      </c>
      <c r="D854" s="6" t="n">
        <f aca="false">'Raw Data'!E854</f>
        <v>4.03</v>
      </c>
      <c r="E854" s="6" t="n">
        <f aca="false">'Raw Data'!F854</f>
        <v>1</v>
      </c>
      <c r="F854" s="6" t="n">
        <f aca="false">'Raw Data'!G854</f>
        <v>0</v>
      </c>
      <c r="G854" s="6" t="n">
        <f aca="false">'Raw Data'!H854</f>
        <v>0</v>
      </c>
      <c r="H854" s="6" t="n">
        <f aca="false">'Raw Data'!I854</f>
        <v>0</v>
      </c>
      <c r="I854" s="6" t="n">
        <f aca="false">'Raw Data'!J854</f>
        <v>0</v>
      </c>
      <c r="J854" s="6" t="n">
        <f aca="false">'Raw Data'!K854</f>
        <v>1</v>
      </c>
      <c r="K854" s="6" t="n">
        <f aca="false">'Raw Data'!L854</f>
        <v>5</v>
      </c>
      <c r="L854" s="6" t="n">
        <f aca="false">F854*E854</f>
        <v>0</v>
      </c>
      <c r="N854" s="0" t="n">
        <v>1</v>
      </c>
      <c r="O854" s="6" t="n">
        <f aca="false">D854</f>
        <v>4.03</v>
      </c>
      <c r="P854" s="6" t="n">
        <f aca="false">E854</f>
        <v>1</v>
      </c>
      <c r="Q854" s="6" t="n">
        <f aca="false">F854</f>
        <v>0</v>
      </c>
      <c r="R854" s="6" t="n">
        <f aca="false">G854</f>
        <v>0</v>
      </c>
      <c r="S854" s="6" t="n">
        <f aca="false">H854</f>
        <v>0</v>
      </c>
      <c r="T854" s="6" t="n">
        <f aca="false">I854</f>
        <v>0</v>
      </c>
      <c r="U854" s="6" t="n">
        <f aca="false">L854</f>
        <v>0</v>
      </c>
      <c r="W854" s="6" t="n">
        <f aca="false">D854</f>
        <v>4.03</v>
      </c>
      <c r="X854" s="6" t="n">
        <f aca="false">E854</f>
        <v>1</v>
      </c>
      <c r="Y854" s="6" t="n">
        <f aca="false">F854</f>
        <v>0</v>
      </c>
      <c r="Z854" s="6" t="n">
        <f aca="false">L854</f>
        <v>0</v>
      </c>
      <c r="AA854" s="6" t="n">
        <f aca="false">G854</f>
        <v>0</v>
      </c>
      <c r="AC854" s="6" t="n">
        <f aca="false">D854</f>
        <v>4.03</v>
      </c>
      <c r="AD854" s="6" t="n">
        <f aca="false">E854</f>
        <v>1</v>
      </c>
      <c r="AE854" s="6" t="n">
        <f aca="false">G854</f>
        <v>0</v>
      </c>
      <c r="AF854" s="6" t="n">
        <f aca="false">H854</f>
        <v>0</v>
      </c>
      <c r="AG854" s="6" t="n">
        <f aca="false">I854</f>
        <v>0</v>
      </c>
      <c r="AH854" s="6" t="n">
        <f aca="false">L854</f>
        <v>0</v>
      </c>
    </row>
    <row r="855" customFormat="false" ht="15" hidden="false" customHeight="false" outlineLevel="0" collapsed="false">
      <c r="A855" s="0" t="str">
        <f aca="false">'Raw Data'!C855</f>
        <v>Rose City</v>
      </c>
      <c r="B855" s="5" t="n">
        <f aca="false">'Raw Data'!A855</f>
        <v>40344</v>
      </c>
      <c r="C855" s="6" t="n">
        <f aca="false">'Raw Data'!D855</f>
        <v>325.039732755255</v>
      </c>
      <c r="D855" s="6" t="n">
        <f aca="false">'Raw Data'!E855</f>
        <v>3.63</v>
      </c>
      <c r="E855" s="6" t="n">
        <f aca="false">'Raw Data'!F855</f>
        <v>1</v>
      </c>
      <c r="F855" s="6" t="n">
        <f aca="false">'Raw Data'!G855</f>
        <v>0</v>
      </c>
      <c r="G855" s="6" t="n">
        <f aca="false">'Raw Data'!H855</f>
        <v>1</v>
      </c>
      <c r="H855" s="6" t="n">
        <f aca="false">'Raw Data'!I855</f>
        <v>0</v>
      </c>
      <c r="I855" s="6" t="n">
        <f aca="false">'Raw Data'!J855</f>
        <v>0</v>
      </c>
      <c r="J855" s="6" t="n">
        <f aca="false">'Raw Data'!K855</f>
        <v>1</v>
      </c>
      <c r="K855" s="6" t="n">
        <f aca="false">'Raw Data'!L855</f>
        <v>5</v>
      </c>
      <c r="L855" s="6" t="n">
        <f aca="false">F855*E855</f>
        <v>0</v>
      </c>
      <c r="N855" s="0" t="n">
        <v>1</v>
      </c>
      <c r="O855" s="6" t="n">
        <f aca="false">D855</f>
        <v>3.63</v>
      </c>
      <c r="P855" s="6" t="n">
        <f aca="false">E855</f>
        <v>1</v>
      </c>
      <c r="Q855" s="6" t="n">
        <f aca="false">F855</f>
        <v>0</v>
      </c>
      <c r="R855" s="6" t="n">
        <f aca="false">G855</f>
        <v>1</v>
      </c>
      <c r="S855" s="6" t="n">
        <f aca="false">H855</f>
        <v>0</v>
      </c>
      <c r="T855" s="6" t="n">
        <f aca="false">I855</f>
        <v>0</v>
      </c>
      <c r="U855" s="6" t="n">
        <f aca="false">L855</f>
        <v>0</v>
      </c>
      <c r="W855" s="6" t="n">
        <f aca="false">D855</f>
        <v>3.63</v>
      </c>
      <c r="X855" s="6" t="n">
        <f aca="false">E855</f>
        <v>1</v>
      </c>
      <c r="Y855" s="6" t="n">
        <f aca="false">F855</f>
        <v>0</v>
      </c>
      <c r="Z855" s="6" t="n">
        <f aca="false">L855</f>
        <v>0</v>
      </c>
      <c r="AA855" s="6" t="n">
        <f aca="false">G855</f>
        <v>1</v>
      </c>
      <c r="AC855" s="6" t="n">
        <f aca="false">D855</f>
        <v>3.63</v>
      </c>
      <c r="AD855" s="6" t="n">
        <f aca="false">E855</f>
        <v>1</v>
      </c>
      <c r="AE855" s="6" t="n">
        <f aca="false">G855</f>
        <v>1</v>
      </c>
      <c r="AF855" s="6" t="n">
        <f aca="false">H855</f>
        <v>0</v>
      </c>
      <c r="AG855" s="6" t="n">
        <f aca="false">I855</f>
        <v>0</v>
      </c>
      <c r="AH855" s="6" t="n">
        <f aca="false">L855</f>
        <v>0</v>
      </c>
    </row>
    <row r="856" customFormat="false" ht="15" hidden="false" customHeight="false" outlineLevel="0" collapsed="false">
      <c r="A856" s="0" t="str">
        <f aca="false">'Raw Data'!C856</f>
        <v>Rose City</v>
      </c>
      <c r="B856" s="5" t="n">
        <f aca="false">'Raw Data'!A856</f>
        <v>40351</v>
      </c>
      <c r="C856" s="6" t="n">
        <f aca="false">'Raw Data'!D856</f>
        <v>336.944472290603</v>
      </c>
      <c r="D856" s="6" t="n">
        <f aca="false">'Raw Data'!E856</f>
        <v>4.03</v>
      </c>
      <c r="E856" s="6" t="n">
        <f aca="false">'Raw Data'!F856</f>
        <v>1</v>
      </c>
      <c r="F856" s="6" t="n">
        <f aca="false">'Raw Data'!G856</f>
        <v>0</v>
      </c>
      <c r="G856" s="6" t="n">
        <f aca="false">'Raw Data'!H856</f>
        <v>0</v>
      </c>
      <c r="H856" s="6" t="n">
        <f aca="false">'Raw Data'!I856</f>
        <v>1</v>
      </c>
      <c r="I856" s="6" t="n">
        <f aca="false">'Raw Data'!J856</f>
        <v>0</v>
      </c>
      <c r="J856" s="6" t="n">
        <f aca="false">'Raw Data'!K856</f>
        <v>1</v>
      </c>
      <c r="K856" s="6" t="n">
        <f aca="false">'Raw Data'!L856</f>
        <v>5</v>
      </c>
      <c r="L856" s="6" t="n">
        <f aca="false">F856*E856</f>
        <v>0</v>
      </c>
      <c r="N856" s="0" t="n">
        <v>1</v>
      </c>
      <c r="O856" s="6" t="n">
        <f aca="false">D856</f>
        <v>4.03</v>
      </c>
      <c r="P856" s="6" t="n">
        <f aca="false">E856</f>
        <v>1</v>
      </c>
      <c r="Q856" s="6" t="n">
        <f aca="false">F856</f>
        <v>0</v>
      </c>
      <c r="R856" s="6" t="n">
        <f aca="false">G856</f>
        <v>0</v>
      </c>
      <c r="S856" s="6" t="n">
        <f aca="false">H856</f>
        <v>1</v>
      </c>
      <c r="T856" s="6" t="n">
        <f aca="false">I856</f>
        <v>0</v>
      </c>
      <c r="U856" s="6" t="n">
        <f aca="false">L856</f>
        <v>0</v>
      </c>
      <c r="W856" s="6" t="n">
        <f aca="false">D856</f>
        <v>4.03</v>
      </c>
      <c r="X856" s="6" t="n">
        <f aca="false">E856</f>
        <v>1</v>
      </c>
      <c r="Y856" s="6" t="n">
        <f aca="false">F856</f>
        <v>0</v>
      </c>
      <c r="Z856" s="6" t="n">
        <f aca="false">L856</f>
        <v>0</v>
      </c>
      <c r="AA856" s="6" t="n">
        <f aca="false">G856</f>
        <v>0</v>
      </c>
      <c r="AC856" s="6" t="n">
        <f aca="false">D856</f>
        <v>4.03</v>
      </c>
      <c r="AD856" s="6" t="n">
        <f aca="false">E856</f>
        <v>1</v>
      </c>
      <c r="AE856" s="6" t="n">
        <f aca="false">G856</f>
        <v>0</v>
      </c>
      <c r="AF856" s="6" t="n">
        <f aca="false">H856</f>
        <v>1</v>
      </c>
      <c r="AG856" s="6" t="n">
        <f aca="false">I856</f>
        <v>0</v>
      </c>
      <c r="AH856" s="6" t="n">
        <f aca="false">L856</f>
        <v>0</v>
      </c>
    </row>
    <row r="857" customFormat="false" ht="15" hidden="false" customHeight="false" outlineLevel="0" collapsed="false">
      <c r="A857" s="0" t="str">
        <f aca="false">'Raw Data'!C857</f>
        <v>Rose City</v>
      </c>
      <c r="B857" s="5" t="n">
        <f aca="false">'Raw Data'!A857</f>
        <v>40358</v>
      </c>
      <c r="C857" s="6" t="n">
        <f aca="false">'Raw Data'!D857</f>
        <v>304.843724408636</v>
      </c>
      <c r="D857" s="6" t="n">
        <f aca="false">'Raw Data'!E857</f>
        <v>4.212222222</v>
      </c>
      <c r="E857" s="6" t="n">
        <f aca="false">'Raw Data'!F857</f>
        <v>1</v>
      </c>
      <c r="F857" s="6" t="n">
        <f aca="false">'Raw Data'!G857</f>
        <v>0</v>
      </c>
      <c r="G857" s="6" t="n">
        <f aca="false">'Raw Data'!H857</f>
        <v>0</v>
      </c>
      <c r="H857" s="6" t="n">
        <f aca="false">'Raw Data'!I857</f>
        <v>1</v>
      </c>
      <c r="I857" s="6" t="n">
        <f aca="false">'Raw Data'!J857</f>
        <v>0</v>
      </c>
      <c r="J857" s="6" t="n">
        <f aca="false">'Raw Data'!K857</f>
        <v>1</v>
      </c>
      <c r="K857" s="6" t="n">
        <f aca="false">'Raw Data'!L857</f>
        <v>5</v>
      </c>
      <c r="L857" s="6" t="n">
        <f aca="false">F857*E857</f>
        <v>0</v>
      </c>
      <c r="N857" s="0" t="n">
        <v>1</v>
      </c>
      <c r="O857" s="6" t="n">
        <f aca="false">D857</f>
        <v>4.212222222</v>
      </c>
      <c r="P857" s="6" t="n">
        <f aca="false">E857</f>
        <v>1</v>
      </c>
      <c r="Q857" s="6" t="n">
        <f aca="false">F857</f>
        <v>0</v>
      </c>
      <c r="R857" s="6" t="n">
        <f aca="false">G857</f>
        <v>0</v>
      </c>
      <c r="S857" s="6" t="n">
        <f aca="false">H857</f>
        <v>1</v>
      </c>
      <c r="T857" s="6" t="n">
        <f aca="false">I857</f>
        <v>0</v>
      </c>
      <c r="U857" s="6" t="n">
        <f aca="false">L857</f>
        <v>0</v>
      </c>
      <c r="W857" s="6" t="n">
        <f aca="false">D857</f>
        <v>4.212222222</v>
      </c>
      <c r="X857" s="6" t="n">
        <f aca="false">E857</f>
        <v>1</v>
      </c>
      <c r="Y857" s="6" t="n">
        <f aca="false">F857</f>
        <v>0</v>
      </c>
      <c r="Z857" s="6" t="n">
        <f aca="false">L857</f>
        <v>0</v>
      </c>
      <c r="AA857" s="6" t="n">
        <f aca="false">G857</f>
        <v>0</v>
      </c>
      <c r="AC857" s="6" t="n">
        <f aca="false">D857</f>
        <v>4.212222222</v>
      </c>
      <c r="AD857" s="6" t="n">
        <f aca="false">E857</f>
        <v>1</v>
      </c>
      <c r="AE857" s="6" t="n">
        <f aca="false">G857</f>
        <v>0</v>
      </c>
      <c r="AF857" s="6" t="n">
        <f aca="false">H857</f>
        <v>1</v>
      </c>
      <c r="AG857" s="6" t="n">
        <f aca="false">I857</f>
        <v>0</v>
      </c>
      <c r="AH857" s="6" t="n">
        <f aca="false">L857</f>
        <v>0</v>
      </c>
    </row>
    <row r="858" customFormat="false" ht="15" hidden="false" customHeight="false" outlineLevel="0" collapsed="false">
      <c r="A858" s="0" t="str">
        <f aca="false">'Raw Data'!C858</f>
        <v>Rose City</v>
      </c>
      <c r="B858" s="5" t="n">
        <f aca="false">'Raw Data'!A858</f>
        <v>40365</v>
      </c>
      <c r="C858" s="6" t="n">
        <f aca="false">'Raw Data'!D858</f>
        <v>257.52693757002</v>
      </c>
      <c r="D858" s="6" t="n">
        <f aca="false">'Raw Data'!E858</f>
        <v>4.02</v>
      </c>
      <c r="E858" s="6" t="n">
        <f aca="false">'Raw Data'!F858</f>
        <v>1</v>
      </c>
      <c r="F858" s="6" t="n">
        <f aca="false">'Raw Data'!G858</f>
        <v>0</v>
      </c>
      <c r="G858" s="6" t="n">
        <f aca="false">'Raw Data'!H858</f>
        <v>0</v>
      </c>
      <c r="H858" s="6" t="n">
        <f aca="false">'Raw Data'!I858</f>
        <v>1</v>
      </c>
      <c r="I858" s="6" t="n">
        <f aca="false">'Raw Data'!J858</f>
        <v>0</v>
      </c>
      <c r="J858" s="6" t="n">
        <f aca="false">'Raw Data'!K858</f>
        <v>1</v>
      </c>
      <c r="K858" s="6" t="n">
        <f aca="false">'Raw Data'!L858</f>
        <v>5</v>
      </c>
      <c r="L858" s="6" t="n">
        <f aca="false">F858*E858</f>
        <v>0</v>
      </c>
      <c r="N858" s="0" t="n">
        <v>1</v>
      </c>
      <c r="O858" s="6" t="n">
        <f aca="false">D858</f>
        <v>4.02</v>
      </c>
      <c r="P858" s="6" t="n">
        <f aca="false">E858</f>
        <v>1</v>
      </c>
      <c r="Q858" s="6" t="n">
        <f aca="false">F858</f>
        <v>0</v>
      </c>
      <c r="R858" s="6" t="n">
        <f aca="false">G858</f>
        <v>0</v>
      </c>
      <c r="S858" s="6" t="n">
        <f aca="false">H858</f>
        <v>1</v>
      </c>
      <c r="T858" s="6" t="n">
        <f aca="false">I858</f>
        <v>0</v>
      </c>
      <c r="U858" s="6" t="n">
        <f aca="false">L858</f>
        <v>0</v>
      </c>
      <c r="W858" s="6" t="n">
        <f aca="false">D858</f>
        <v>4.02</v>
      </c>
      <c r="X858" s="6" t="n">
        <f aca="false">E858</f>
        <v>1</v>
      </c>
      <c r="Y858" s="6" t="n">
        <f aca="false">F858</f>
        <v>0</v>
      </c>
      <c r="Z858" s="6" t="n">
        <f aca="false">L858</f>
        <v>0</v>
      </c>
      <c r="AA858" s="6" t="n">
        <f aca="false">G858</f>
        <v>0</v>
      </c>
      <c r="AC858" s="6" t="n">
        <f aca="false">D858</f>
        <v>4.02</v>
      </c>
      <c r="AD858" s="6" t="n">
        <f aca="false">E858</f>
        <v>1</v>
      </c>
      <c r="AE858" s="6" t="n">
        <f aca="false">G858</f>
        <v>0</v>
      </c>
      <c r="AF858" s="6" t="n">
        <f aca="false">H858</f>
        <v>1</v>
      </c>
      <c r="AG858" s="6" t="n">
        <f aca="false">I858</f>
        <v>0</v>
      </c>
      <c r="AH858" s="6" t="n">
        <f aca="false">L858</f>
        <v>0</v>
      </c>
    </row>
    <row r="859" customFormat="false" ht="15" hidden="false" customHeight="false" outlineLevel="0" collapsed="false">
      <c r="A859" s="0" t="str">
        <f aca="false">'Raw Data'!C859</f>
        <v>Rose City</v>
      </c>
      <c r="B859" s="5" t="n">
        <f aca="false">'Raw Data'!A859</f>
        <v>40372</v>
      </c>
      <c r="C859" s="6" t="n">
        <f aca="false">'Raw Data'!D859</f>
        <v>280.496073228982</v>
      </c>
      <c r="D859" s="6" t="n">
        <f aca="false">'Raw Data'!E859</f>
        <v>4.01625</v>
      </c>
      <c r="E859" s="6" t="n">
        <f aca="false">'Raw Data'!F859</f>
        <v>1</v>
      </c>
      <c r="F859" s="6" t="n">
        <f aca="false">'Raw Data'!G859</f>
        <v>0</v>
      </c>
      <c r="G859" s="6" t="n">
        <f aca="false">'Raw Data'!H859</f>
        <v>0</v>
      </c>
      <c r="H859" s="6" t="n">
        <f aca="false">'Raw Data'!I859</f>
        <v>0</v>
      </c>
      <c r="I859" s="6" t="n">
        <f aca="false">'Raw Data'!J859</f>
        <v>1</v>
      </c>
      <c r="J859" s="6" t="n">
        <f aca="false">'Raw Data'!K859</f>
        <v>1</v>
      </c>
      <c r="K859" s="6" t="n">
        <f aca="false">'Raw Data'!L859</f>
        <v>5</v>
      </c>
      <c r="L859" s="6" t="n">
        <f aca="false">F859*E859</f>
        <v>0</v>
      </c>
      <c r="N859" s="0" t="n">
        <v>1</v>
      </c>
      <c r="O859" s="6" t="n">
        <f aca="false">D859</f>
        <v>4.01625</v>
      </c>
      <c r="P859" s="6" t="n">
        <f aca="false">E859</f>
        <v>1</v>
      </c>
      <c r="Q859" s="6" t="n">
        <f aca="false">F859</f>
        <v>0</v>
      </c>
      <c r="R859" s="6" t="n">
        <f aca="false">G859</f>
        <v>0</v>
      </c>
      <c r="S859" s="6" t="n">
        <f aca="false">H859</f>
        <v>0</v>
      </c>
      <c r="T859" s="6" t="n">
        <f aca="false">I859</f>
        <v>1</v>
      </c>
      <c r="U859" s="6" t="n">
        <f aca="false">L859</f>
        <v>0</v>
      </c>
      <c r="W859" s="6" t="n">
        <f aca="false">D859</f>
        <v>4.01625</v>
      </c>
      <c r="X859" s="6" t="n">
        <f aca="false">E859</f>
        <v>1</v>
      </c>
      <c r="Y859" s="6" t="n">
        <f aca="false">F859</f>
        <v>0</v>
      </c>
      <c r="Z859" s="6" t="n">
        <f aca="false">L859</f>
        <v>0</v>
      </c>
      <c r="AA859" s="6" t="n">
        <f aca="false">G859</f>
        <v>0</v>
      </c>
      <c r="AC859" s="6" t="n">
        <f aca="false">D859</f>
        <v>4.01625</v>
      </c>
      <c r="AD859" s="6" t="n">
        <f aca="false">E859</f>
        <v>1</v>
      </c>
      <c r="AE859" s="6" t="n">
        <f aca="false">G859</f>
        <v>0</v>
      </c>
      <c r="AF859" s="6" t="n">
        <f aca="false">H859</f>
        <v>0</v>
      </c>
      <c r="AG859" s="6" t="n">
        <f aca="false">I859</f>
        <v>1</v>
      </c>
      <c r="AH859" s="6" t="n">
        <f aca="false">L859</f>
        <v>0</v>
      </c>
    </row>
    <row r="860" customFormat="false" ht="15" hidden="false" customHeight="false" outlineLevel="0" collapsed="false">
      <c r="A860" s="0" t="str">
        <f aca="false">'Raw Data'!C860</f>
        <v>Union Square</v>
      </c>
      <c r="B860" s="5" t="n">
        <f aca="false">'Raw Data'!A860</f>
        <v>40302</v>
      </c>
      <c r="C860" s="6" t="n">
        <f aca="false">'Raw Data'!D860</f>
        <v>234.368173921646</v>
      </c>
      <c r="D860" s="6" t="n">
        <f aca="false">'Raw Data'!E860</f>
        <v>4.204285714</v>
      </c>
      <c r="E860" s="6" t="n">
        <f aca="false">'Raw Data'!F860</f>
        <v>0</v>
      </c>
      <c r="F860" s="6" t="n">
        <f aca="false">'Raw Data'!G860</f>
        <v>0</v>
      </c>
      <c r="G860" s="6" t="n">
        <f aca="false">'Raw Data'!H860</f>
        <v>0</v>
      </c>
      <c r="H860" s="6" t="n">
        <f aca="false">'Raw Data'!I860</f>
        <v>0</v>
      </c>
      <c r="I860" s="6" t="n">
        <f aca="false">'Raw Data'!J860</f>
        <v>0</v>
      </c>
      <c r="J860" s="6" t="n">
        <f aca="false">'Raw Data'!K860</f>
        <v>1</v>
      </c>
      <c r="K860" s="6" t="n">
        <f aca="false">'Raw Data'!L860</f>
        <v>2</v>
      </c>
      <c r="L860" s="6" t="n">
        <f aca="false">F860*E860</f>
        <v>0</v>
      </c>
      <c r="N860" s="0" t="n">
        <v>1</v>
      </c>
      <c r="O860" s="6" t="n">
        <f aca="false">D860</f>
        <v>4.204285714</v>
      </c>
      <c r="P860" s="6" t="n">
        <f aca="false">E860</f>
        <v>0</v>
      </c>
      <c r="Q860" s="6" t="n">
        <f aca="false">F860</f>
        <v>0</v>
      </c>
      <c r="R860" s="6" t="n">
        <f aca="false">G860</f>
        <v>0</v>
      </c>
      <c r="S860" s="6" t="n">
        <f aca="false">H860</f>
        <v>0</v>
      </c>
      <c r="T860" s="6" t="n">
        <f aca="false">I860</f>
        <v>0</v>
      </c>
      <c r="U860" s="6" t="n">
        <f aca="false">L860</f>
        <v>0</v>
      </c>
      <c r="W860" s="6" t="n">
        <f aca="false">D860</f>
        <v>4.204285714</v>
      </c>
      <c r="X860" s="6" t="n">
        <f aca="false">E860</f>
        <v>0</v>
      </c>
      <c r="Y860" s="6" t="n">
        <f aca="false">F860</f>
        <v>0</v>
      </c>
      <c r="Z860" s="6" t="n">
        <f aca="false">L860</f>
        <v>0</v>
      </c>
      <c r="AA860" s="6" t="n">
        <f aca="false">G860</f>
        <v>0</v>
      </c>
      <c r="AC860" s="6" t="n">
        <f aca="false">D860</f>
        <v>4.204285714</v>
      </c>
      <c r="AD860" s="6" t="n">
        <f aca="false">E860</f>
        <v>0</v>
      </c>
      <c r="AE860" s="6" t="n">
        <f aca="false">G860</f>
        <v>0</v>
      </c>
      <c r="AF860" s="6" t="n">
        <f aca="false">H860</f>
        <v>0</v>
      </c>
      <c r="AG860" s="6" t="n">
        <f aca="false">I860</f>
        <v>0</v>
      </c>
      <c r="AH860" s="6" t="n">
        <f aca="false">L860</f>
        <v>0</v>
      </c>
    </row>
    <row r="861" customFormat="false" ht="15" hidden="false" customHeight="false" outlineLevel="0" collapsed="false">
      <c r="A861" s="0" t="str">
        <f aca="false">'Raw Data'!C861</f>
        <v>Union Square</v>
      </c>
      <c r="B861" s="5" t="n">
        <f aca="false">'Raw Data'!A861</f>
        <v>40309</v>
      </c>
      <c r="C861" s="6" t="n">
        <f aca="false">'Raw Data'!D861</f>
        <v>240.358251747784</v>
      </c>
      <c r="D861" s="6" t="n">
        <f aca="false">'Raw Data'!E861</f>
        <v>4.181666667</v>
      </c>
      <c r="E861" s="6" t="n">
        <f aca="false">'Raw Data'!F861</f>
        <v>0</v>
      </c>
      <c r="F861" s="6" t="n">
        <f aca="false">'Raw Data'!G861</f>
        <v>0</v>
      </c>
      <c r="G861" s="6" t="n">
        <f aca="false">'Raw Data'!H861</f>
        <v>0</v>
      </c>
      <c r="H861" s="6" t="n">
        <f aca="false">'Raw Data'!I861</f>
        <v>0</v>
      </c>
      <c r="I861" s="6" t="n">
        <f aca="false">'Raw Data'!J861</f>
        <v>0</v>
      </c>
      <c r="J861" s="6" t="n">
        <f aca="false">'Raw Data'!K861</f>
        <v>1</v>
      </c>
      <c r="K861" s="6" t="n">
        <f aca="false">'Raw Data'!L861</f>
        <v>2</v>
      </c>
      <c r="L861" s="6" t="n">
        <f aca="false">F861*E861</f>
        <v>0</v>
      </c>
      <c r="N861" s="0" t="n">
        <v>1</v>
      </c>
      <c r="O861" s="6" t="n">
        <f aca="false">D861</f>
        <v>4.181666667</v>
      </c>
      <c r="P861" s="6" t="n">
        <f aca="false">E861</f>
        <v>0</v>
      </c>
      <c r="Q861" s="6" t="n">
        <f aca="false">F861</f>
        <v>0</v>
      </c>
      <c r="R861" s="6" t="n">
        <f aca="false">G861</f>
        <v>0</v>
      </c>
      <c r="S861" s="6" t="n">
        <f aca="false">H861</f>
        <v>0</v>
      </c>
      <c r="T861" s="6" t="n">
        <f aca="false">I861</f>
        <v>0</v>
      </c>
      <c r="U861" s="6" t="n">
        <f aca="false">L861</f>
        <v>0</v>
      </c>
      <c r="W861" s="6" t="n">
        <f aca="false">D861</f>
        <v>4.181666667</v>
      </c>
      <c r="X861" s="6" t="n">
        <f aca="false">E861</f>
        <v>0</v>
      </c>
      <c r="Y861" s="6" t="n">
        <f aca="false">F861</f>
        <v>0</v>
      </c>
      <c r="Z861" s="6" t="n">
        <f aca="false">L861</f>
        <v>0</v>
      </c>
      <c r="AA861" s="6" t="n">
        <f aca="false">G861</f>
        <v>0</v>
      </c>
      <c r="AC861" s="6" t="n">
        <f aca="false">D861</f>
        <v>4.181666667</v>
      </c>
      <c r="AD861" s="6" t="n">
        <f aca="false">E861</f>
        <v>0</v>
      </c>
      <c r="AE861" s="6" t="n">
        <f aca="false">G861</f>
        <v>0</v>
      </c>
      <c r="AF861" s="6" t="n">
        <f aca="false">H861</f>
        <v>0</v>
      </c>
      <c r="AG861" s="6" t="n">
        <f aca="false">I861</f>
        <v>0</v>
      </c>
      <c r="AH861" s="6" t="n">
        <f aca="false">L861</f>
        <v>0</v>
      </c>
    </row>
    <row r="862" customFormat="false" ht="15" hidden="false" customHeight="false" outlineLevel="0" collapsed="false">
      <c r="A862" s="0" t="str">
        <f aca="false">'Raw Data'!C862</f>
        <v>Union Square</v>
      </c>
      <c r="B862" s="5" t="n">
        <f aca="false">'Raw Data'!A862</f>
        <v>40316</v>
      </c>
      <c r="C862" s="6" t="n">
        <f aca="false">'Raw Data'!D862</f>
        <v>212.82588288713</v>
      </c>
      <c r="D862" s="6" t="n">
        <f aca="false">'Raw Data'!E862</f>
        <v>3.924285714</v>
      </c>
      <c r="E862" s="6" t="n">
        <f aca="false">'Raw Data'!F862</f>
        <v>0</v>
      </c>
      <c r="F862" s="6" t="n">
        <f aca="false">'Raw Data'!G862</f>
        <v>0</v>
      </c>
      <c r="G862" s="6" t="n">
        <f aca="false">'Raw Data'!H862</f>
        <v>0</v>
      </c>
      <c r="H862" s="6" t="n">
        <f aca="false">'Raw Data'!I862</f>
        <v>0</v>
      </c>
      <c r="I862" s="6" t="n">
        <f aca="false">'Raw Data'!J862</f>
        <v>0</v>
      </c>
      <c r="J862" s="6" t="n">
        <f aca="false">'Raw Data'!K862</f>
        <v>1</v>
      </c>
      <c r="K862" s="6" t="n">
        <f aca="false">'Raw Data'!L862</f>
        <v>2</v>
      </c>
      <c r="L862" s="6" t="n">
        <f aca="false">F862*E862</f>
        <v>0</v>
      </c>
      <c r="N862" s="0" t="n">
        <v>1</v>
      </c>
      <c r="O862" s="6" t="n">
        <f aca="false">D862</f>
        <v>3.924285714</v>
      </c>
      <c r="P862" s="6" t="n">
        <f aca="false">E862</f>
        <v>0</v>
      </c>
      <c r="Q862" s="6" t="n">
        <f aca="false">F862</f>
        <v>0</v>
      </c>
      <c r="R862" s="6" t="n">
        <f aca="false">G862</f>
        <v>0</v>
      </c>
      <c r="S862" s="6" t="n">
        <f aca="false">H862</f>
        <v>0</v>
      </c>
      <c r="T862" s="6" t="n">
        <f aca="false">I862</f>
        <v>0</v>
      </c>
      <c r="U862" s="6" t="n">
        <f aca="false">L862</f>
        <v>0</v>
      </c>
      <c r="W862" s="6" t="n">
        <f aca="false">D862</f>
        <v>3.924285714</v>
      </c>
      <c r="X862" s="6" t="n">
        <f aca="false">E862</f>
        <v>0</v>
      </c>
      <c r="Y862" s="6" t="n">
        <f aca="false">F862</f>
        <v>0</v>
      </c>
      <c r="Z862" s="6" t="n">
        <f aca="false">L862</f>
        <v>0</v>
      </c>
      <c r="AA862" s="6" t="n">
        <f aca="false">G862</f>
        <v>0</v>
      </c>
      <c r="AC862" s="6" t="n">
        <f aca="false">D862</f>
        <v>3.924285714</v>
      </c>
      <c r="AD862" s="6" t="n">
        <f aca="false">E862</f>
        <v>0</v>
      </c>
      <c r="AE862" s="6" t="n">
        <f aca="false">G862</f>
        <v>0</v>
      </c>
      <c r="AF862" s="6" t="n">
        <f aca="false">H862</f>
        <v>0</v>
      </c>
      <c r="AG862" s="6" t="n">
        <f aca="false">I862</f>
        <v>0</v>
      </c>
      <c r="AH862" s="6" t="n">
        <f aca="false">L862</f>
        <v>0</v>
      </c>
    </row>
    <row r="863" customFormat="false" ht="15" hidden="false" customHeight="false" outlineLevel="0" collapsed="false">
      <c r="A863" s="0" t="str">
        <f aca="false">'Raw Data'!C863</f>
        <v>Union Square</v>
      </c>
      <c r="B863" s="5" t="n">
        <f aca="false">'Raw Data'!A863</f>
        <v>40323</v>
      </c>
      <c r="C863" s="6" t="n">
        <f aca="false">'Raw Data'!D863</f>
        <v>213.593335516837</v>
      </c>
      <c r="D863" s="6" t="n">
        <f aca="false">'Raw Data'!E863</f>
        <v>3.884285714</v>
      </c>
      <c r="E863" s="6" t="n">
        <f aca="false">'Raw Data'!F863</f>
        <v>1</v>
      </c>
      <c r="F863" s="6" t="n">
        <f aca="false">'Raw Data'!G863</f>
        <v>0</v>
      </c>
      <c r="G863" s="6" t="n">
        <f aca="false">'Raw Data'!H863</f>
        <v>0</v>
      </c>
      <c r="H863" s="6" t="n">
        <f aca="false">'Raw Data'!I863</f>
        <v>0</v>
      </c>
      <c r="I863" s="6" t="n">
        <f aca="false">'Raw Data'!J863</f>
        <v>0</v>
      </c>
      <c r="J863" s="6" t="n">
        <f aca="false">'Raw Data'!K863</f>
        <v>1</v>
      </c>
      <c r="K863" s="6" t="n">
        <f aca="false">'Raw Data'!L863</f>
        <v>2</v>
      </c>
      <c r="L863" s="6" t="n">
        <f aca="false">F863*E863</f>
        <v>0</v>
      </c>
      <c r="N863" s="0" t="n">
        <v>1</v>
      </c>
      <c r="O863" s="6" t="n">
        <f aca="false">D863</f>
        <v>3.884285714</v>
      </c>
      <c r="P863" s="6" t="n">
        <f aca="false">E863</f>
        <v>1</v>
      </c>
      <c r="Q863" s="6" t="n">
        <f aca="false">F863</f>
        <v>0</v>
      </c>
      <c r="R863" s="6" t="n">
        <f aca="false">G863</f>
        <v>0</v>
      </c>
      <c r="S863" s="6" t="n">
        <f aca="false">H863</f>
        <v>0</v>
      </c>
      <c r="T863" s="6" t="n">
        <f aca="false">I863</f>
        <v>0</v>
      </c>
      <c r="U863" s="6" t="n">
        <f aca="false">L863</f>
        <v>0</v>
      </c>
      <c r="W863" s="6" t="n">
        <f aca="false">D863</f>
        <v>3.884285714</v>
      </c>
      <c r="X863" s="6" t="n">
        <f aca="false">E863</f>
        <v>1</v>
      </c>
      <c r="Y863" s="6" t="n">
        <f aca="false">F863</f>
        <v>0</v>
      </c>
      <c r="Z863" s="6" t="n">
        <f aca="false">L863</f>
        <v>0</v>
      </c>
      <c r="AA863" s="6" t="n">
        <f aca="false">G863</f>
        <v>0</v>
      </c>
      <c r="AC863" s="6" t="n">
        <f aca="false">D863</f>
        <v>3.884285714</v>
      </c>
      <c r="AD863" s="6" t="n">
        <f aca="false">E863</f>
        <v>1</v>
      </c>
      <c r="AE863" s="6" t="n">
        <f aca="false">G863</f>
        <v>0</v>
      </c>
      <c r="AF863" s="6" t="n">
        <f aca="false">H863</f>
        <v>0</v>
      </c>
      <c r="AG863" s="6" t="n">
        <f aca="false">I863</f>
        <v>0</v>
      </c>
      <c r="AH863" s="6" t="n">
        <f aca="false">L863</f>
        <v>0</v>
      </c>
    </row>
    <row r="864" customFormat="false" ht="15" hidden="false" customHeight="false" outlineLevel="0" collapsed="false">
      <c r="A864" s="0" t="str">
        <f aca="false">'Raw Data'!C864</f>
        <v>Union Square</v>
      </c>
      <c r="B864" s="5" t="n">
        <f aca="false">'Raw Data'!A864</f>
        <v>40330</v>
      </c>
      <c r="C864" s="6" t="n">
        <f aca="false">'Raw Data'!D864</f>
        <v>202.78247809056</v>
      </c>
      <c r="D864" s="6" t="n">
        <f aca="false">'Raw Data'!E864</f>
        <v>3.464</v>
      </c>
      <c r="E864" s="6" t="n">
        <f aca="false">'Raw Data'!F864</f>
        <v>1</v>
      </c>
      <c r="F864" s="6" t="n">
        <f aca="false">'Raw Data'!G864</f>
        <v>0</v>
      </c>
      <c r="G864" s="6" t="n">
        <f aca="false">'Raw Data'!H864</f>
        <v>0</v>
      </c>
      <c r="H864" s="6" t="n">
        <f aca="false">'Raw Data'!I864</f>
        <v>0</v>
      </c>
      <c r="I864" s="6" t="n">
        <f aca="false">'Raw Data'!J864</f>
        <v>0</v>
      </c>
      <c r="J864" s="6" t="n">
        <f aca="false">'Raw Data'!K864</f>
        <v>1</v>
      </c>
      <c r="K864" s="6" t="n">
        <f aca="false">'Raw Data'!L864</f>
        <v>2</v>
      </c>
      <c r="L864" s="6" t="n">
        <f aca="false">F864*E864</f>
        <v>0</v>
      </c>
      <c r="N864" s="0" t="n">
        <v>1</v>
      </c>
      <c r="O864" s="6" t="n">
        <f aca="false">D864</f>
        <v>3.464</v>
      </c>
      <c r="P864" s="6" t="n">
        <f aca="false">E864</f>
        <v>1</v>
      </c>
      <c r="Q864" s="6" t="n">
        <f aca="false">F864</f>
        <v>0</v>
      </c>
      <c r="R864" s="6" t="n">
        <f aca="false">G864</f>
        <v>0</v>
      </c>
      <c r="S864" s="6" t="n">
        <f aca="false">H864</f>
        <v>0</v>
      </c>
      <c r="T864" s="6" t="n">
        <f aca="false">I864</f>
        <v>0</v>
      </c>
      <c r="U864" s="6" t="n">
        <f aca="false">L864</f>
        <v>0</v>
      </c>
      <c r="W864" s="6" t="n">
        <f aca="false">D864</f>
        <v>3.464</v>
      </c>
      <c r="X864" s="6" t="n">
        <f aca="false">E864</f>
        <v>1</v>
      </c>
      <c r="Y864" s="6" t="n">
        <f aca="false">F864</f>
        <v>0</v>
      </c>
      <c r="Z864" s="6" t="n">
        <f aca="false">L864</f>
        <v>0</v>
      </c>
      <c r="AA864" s="6" t="n">
        <f aca="false">G864</f>
        <v>0</v>
      </c>
      <c r="AC864" s="6" t="n">
        <f aca="false">D864</f>
        <v>3.464</v>
      </c>
      <c r="AD864" s="6" t="n">
        <f aca="false">E864</f>
        <v>1</v>
      </c>
      <c r="AE864" s="6" t="n">
        <f aca="false">G864</f>
        <v>0</v>
      </c>
      <c r="AF864" s="6" t="n">
        <f aca="false">H864</f>
        <v>0</v>
      </c>
      <c r="AG864" s="6" t="n">
        <f aca="false">I864</f>
        <v>0</v>
      </c>
      <c r="AH864" s="6" t="n">
        <f aca="false">L864</f>
        <v>0</v>
      </c>
    </row>
    <row r="865" customFormat="false" ht="15" hidden="false" customHeight="false" outlineLevel="0" collapsed="false">
      <c r="A865" s="0" t="str">
        <f aca="false">'Raw Data'!C865</f>
        <v>Union Square</v>
      </c>
      <c r="B865" s="5" t="n">
        <f aca="false">'Raw Data'!A865</f>
        <v>40337</v>
      </c>
      <c r="C865" s="6" t="n">
        <f aca="false">'Raw Data'!D865</f>
        <v>172.892990985798</v>
      </c>
      <c r="D865" s="6" t="n">
        <f aca="false">'Raw Data'!E865</f>
        <v>3.66</v>
      </c>
      <c r="E865" s="6" t="n">
        <f aca="false">'Raw Data'!F865</f>
        <v>1</v>
      </c>
      <c r="F865" s="6" t="n">
        <f aca="false">'Raw Data'!G865</f>
        <v>0</v>
      </c>
      <c r="G865" s="6" t="n">
        <f aca="false">'Raw Data'!H865</f>
        <v>0</v>
      </c>
      <c r="H865" s="6" t="n">
        <f aca="false">'Raw Data'!I865</f>
        <v>0</v>
      </c>
      <c r="I865" s="6" t="n">
        <f aca="false">'Raw Data'!J865</f>
        <v>0</v>
      </c>
      <c r="J865" s="6" t="n">
        <f aca="false">'Raw Data'!K865</f>
        <v>1</v>
      </c>
      <c r="K865" s="6" t="n">
        <f aca="false">'Raw Data'!L865</f>
        <v>2</v>
      </c>
      <c r="L865" s="6" t="n">
        <f aca="false">F865*E865</f>
        <v>0</v>
      </c>
      <c r="N865" s="0" t="n">
        <v>1</v>
      </c>
      <c r="O865" s="6" t="n">
        <f aca="false">D865</f>
        <v>3.66</v>
      </c>
      <c r="P865" s="6" t="n">
        <f aca="false">E865</f>
        <v>1</v>
      </c>
      <c r="Q865" s="6" t="n">
        <f aca="false">F865</f>
        <v>0</v>
      </c>
      <c r="R865" s="6" t="n">
        <f aca="false">G865</f>
        <v>0</v>
      </c>
      <c r="S865" s="6" t="n">
        <f aca="false">H865</f>
        <v>0</v>
      </c>
      <c r="T865" s="6" t="n">
        <f aca="false">I865</f>
        <v>0</v>
      </c>
      <c r="U865" s="6" t="n">
        <f aca="false">L865</f>
        <v>0</v>
      </c>
      <c r="W865" s="6" t="n">
        <f aca="false">D865</f>
        <v>3.66</v>
      </c>
      <c r="X865" s="6" t="n">
        <f aca="false">E865</f>
        <v>1</v>
      </c>
      <c r="Y865" s="6" t="n">
        <f aca="false">F865</f>
        <v>0</v>
      </c>
      <c r="Z865" s="6" t="n">
        <f aca="false">L865</f>
        <v>0</v>
      </c>
      <c r="AA865" s="6" t="n">
        <f aca="false">G865</f>
        <v>0</v>
      </c>
      <c r="AC865" s="6" t="n">
        <f aca="false">D865</f>
        <v>3.66</v>
      </c>
      <c r="AD865" s="6" t="n">
        <f aca="false">E865</f>
        <v>1</v>
      </c>
      <c r="AE865" s="6" t="n">
        <f aca="false">G865</f>
        <v>0</v>
      </c>
      <c r="AF865" s="6" t="n">
        <f aca="false">H865</f>
        <v>0</v>
      </c>
      <c r="AG865" s="6" t="n">
        <f aca="false">I865</f>
        <v>0</v>
      </c>
      <c r="AH865" s="6" t="n">
        <f aca="false">L865</f>
        <v>0</v>
      </c>
    </row>
    <row r="866" customFormat="false" ht="15" hidden="false" customHeight="false" outlineLevel="0" collapsed="false">
      <c r="A866" s="0" t="str">
        <f aca="false">'Raw Data'!C866</f>
        <v>Union Square</v>
      </c>
      <c r="B866" s="5" t="n">
        <f aca="false">'Raw Data'!A866</f>
        <v>40344</v>
      </c>
      <c r="C866" s="6" t="n">
        <f aca="false">'Raw Data'!D866</f>
        <v>270.365728405721</v>
      </c>
      <c r="D866" s="6" t="n">
        <f aca="false">'Raw Data'!E866</f>
        <v>3.623333333</v>
      </c>
      <c r="E866" s="6" t="n">
        <f aca="false">'Raw Data'!F866</f>
        <v>1</v>
      </c>
      <c r="F866" s="6" t="n">
        <f aca="false">'Raw Data'!G866</f>
        <v>0</v>
      </c>
      <c r="G866" s="6" t="n">
        <f aca="false">'Raw Data'!H866</f>
        <v>0</v>
      </c>
      <c r="H866" s="6" t="n">
        <f aca="false">'Raw Data'!I866</f>
        <v>0</v>
      </c>
      <c r="I866" s="6" t="n">
        <f aca="false">'Raw Data'!J866</f>
        <v>0</v>
      </c>
      <c r="J866" s="6" t="n">
        <f aca="false">'Raw Data'!K866</f>
        <v>1</v>
      </c>
      <c r="K866" s="6" t="n">
        <f aca="false">'Raw Data'!L866</f>
        <v>2</v>
      </c>
      <c r="L866" s="6" t="n">
        <f aca="false">F866*E866</f>
        <v>0</v>
      </c>
      <c r="N866" s="0" t="n">
        <v>1</v>
      </c>
      <c r="O866" s="6" t="n">
        <f aca="false">D866</f>
        <v>3.623333333</v>
      </c>
      <c r="P866" s="6" t="n">
        <f aca="false">E866</f>
        <v>1</v>
      </c>
      <c r="Q866" s="6" t="n">
        <f aca="false">F866</f>
        <v>0</v>
      </c>
      <c r="R866" s="6" t="n">
        <f aca="false">G866</f>
        <v>0</v>
      </c>
      <c r="S866" s="6" t="n">
        <f aca="false">H866</f>
        <v>0</v>
      </c>
      <c r="T866" s="6" t="n">
        <f aca="false">I866</f>
        <v>0</v>
      </c>
      <c r="U866" s="6" t="n">
        <f aca="false">L866</f>
        <v>0</v>
      </c>
      <c r="W866" s="6" t="n">
        <f aca="false">D866</f>
        <v>3.623333333</v>
      </c>
      <c r="X866" s="6" t="n">
        <f aca="false">E866</f>
        <v>1</v>
      </c>
      <c r="Y866" s="6" t="n">
        <f aca="false">F866</f>
        <v>0</v>
      </c>
      <c r="Z866" s="6" t="n">
        <f aca="false">L866</f>
        <v>0</v>
      </c>
      <c r="AA866" s="6" t="n">
        <f aca="false">G866</f>
        <v>0</v>
      </c>
      <c r="AC866" s="6" t="n">
        <f aca="false">D866</f>
        <v>3.623333333</v>
      </c>
      <c r="AD866" s="6" t="n">
        <f aca="false">E866</f>
        <v>1</v>
      </c>
      <c r="AE866" s="6" t="n">
        <f aca="false">G866</f>
        <v>0</v>
      </c>
      <c r="AF866" s="6" t="n">
        <f aca="false">H866</f>
        <v>0</v>
      </c>
      <c r="AG866" s="6" t="n">
        <f aca="false">I866</f>
        <v>0</v>
      </c>
      <c r="AH866" s="6" t="n">
        <f aca="false">L866</f>
        <v>0</v>
      </c>
    </row>
    <row r="867" customFormat="false" ht="15" hidden="false" customHeight="false" outlineLevel="0" collapsed="false">
      <c r="A867" s="0" t="str">
        <f aca="false">'Raw Data'!C867</f>
        <v>Union Square</v>
      </c>
      <c r="B867" s="5" t="n">
        <f aca="false">'Raw Data'!A867</f>
        <v>40351</v>
      </c>
      <c r="C867" s="6" t="n">
        <f aca="false">'Raw Data'!D867</f>
        <v>280.23676981467</v>
      </c>
      <c r="D867" s="6" t="n">
        <f aca="false">'Raw Data'!E867</f>
        <v>3.96</v>
      </c>
      <c r="E867" s="6" t="n">
        <f aca="false">'Raw Data'!F867</f>
        <v>1</v>
      </c>
      <c r="F867" s="6" t="n">
        <f aca="false">'Raw Data'!G867</f>
        <v>0</v>
      </c>
      <c r="G867" s="6" t="n">
        <f aca="false">'Raw Data'!H867</f>
        <v>0</v>
      </c>
      <c r="H867" s="6" t="n">
        <f aca="false">'Raw Data'!I867</f>
        <v>0</v>
      </c>
      <c r="I867" s="6" t="n">
        <f aca="false">'Raw Data'!J867</f>
        <v>0</v>
      </c>
      <c r="J867" s="6" t="n">
        <f aca="false">'Raw Data'!K867</f>
        <v>1</v>
      </c>
      <c r="K867" s="6" t="n">
        <f aca="false">'Raw Data'!L867</f>
        <v>2</v>
      </c>
      <c r="L867" s="6" t="n">
        <f aca="false">F867*E867</f>
        <v>0</v>
      </c>
      <c r="N867" s="0" t="n">
        <v>1</v>
      </c>
      <c r="O867" s="6" t="n">
        <f aca="false">D867</f>
        <v>3.96</v>
      </c>
      <c r="P867" s="6" t="n">
        <f aca="false">E867</f>
        <v>1</v>
      </c>
      <c r="Q867" s="6" t="n">
        <f aca="false">F867</f>
        <v>0</v>
      </c>
      <c r="R867" s="6" t="n">
        <f aca="false">G867</f>
        <v>0</v>
      </c>
      <c r="S867" s="6" t="n">
        <f aca="false">H867</f>
        <v>0</v>
      </c>
      <c r="T867" s="6" t="n">
        <f aca="false">I867</f>
        <v>0</v>
      </c>
      <c r="U867" s="6" t="n">
        <f aca="false">L867</f>
        <v>0</v>
      </c>
      <c r="W867" s="6" t="n">
        <f aca="false">D867</f>
        <v>3.96</v>
      </c>
      <c r="X867" s="6" t="n">
        <f aca="false">E867</f>
        <v>1</v>
      </c>
      <c r="Y867" s="6" t="n">
        <f aca="false">F867</f>
        <v>0</v>
      </c>
      <c r="Z867" s="6" t="n">
        <f aca="false">L867</f>
        <v>0</v>
      </c>
      <c r="AA867" s="6" t="n">
        <f aca="false">G867</f>
        <v>0</v>
      </c>
      <c r="AC867" s="6" t="n">
        <f aca="false">D867</f>
        <v>3.96</v>
      </c>
      <c r="AD867" s="6" t="n">
        <f aca="false">E867</f>
        <v>1</v>
      </c>
      <c r="AE867" s="6" t="n">
        <f aca="false">G867</f>
        <v>0</v>
      </c>
      <c r="AF867" s="6" t="n">
        <f aca="false">H867</f>
        <v>0</v>
      </c>
      <c r="AG867" s="6" t="n">
        <f aca="false">I867</f>
        <v>0</v>
      </c>
      <c r="AH867" s="6" t="n">
        <f aca="false">L867</f>
        <v>0</v>
      </c>
    </row>
    <row r="868" customFormat="false" ht="15" hidden="false" customHeight="false" outlineLevel="0" collapsed="false">
      <c r="A868" s="0" t="str">
        <f aca="false">'Raw Data'!C868</f>
        <v>Union Square</v>
      </c>
      <c r="B868" s="5" t="n">
        <f aca="false">'Raw Data'!A868</f>
        <v>40358</v>
      </c>
      <c r="C868" s="6" t="n">
        <f aca="false">'Raw Data'!D868</f>
        <v>350.550990808566</v>
      </c>
      <c r="D868" s="6" t="n">
        <f aca="false">'Raw Data'!E868</f>
        <v>3.629</v>
      </c>
      <c r="E868" s="6" t="n">
        <f aca="false">'Raw Data'!F868</f>
        <v>1</v>
      </c>
      <c r="F868" s="6" t="n">
        <f aca="false">'Raw Data'!G868</f>
        <v>0</v>
      </c>
      <c r="G868" s="6" t="n">
        <f aca="false">'Raw Data'!H868</f>
        <v>1</v>
      </c>
      <c r="H868" s="6" t="n">
        <f aca="false">'Raw Data'!I868</f>
        <v>0</v>
      </c>
      <c r="I868" s="6" t="n">
        <f aca="false">'Raw Data'!J868</f>
        <v>0</v>
      </c>
      <c r="J868" s="6" t="n">
        <f aca="false">'Raw Data'!K868</f>
        <v>1</v>
      </c>
      <c r="K868" s="6" t="n">
        <f aca="false">'Raw Data'!L868</f>
        <v>2</v>
      </c>
      <c r="L868" s="6" t="n">
        <f aca="false">F868*E868</f>
        <v>0</v>
      </c>
      <c r="N868" s="0" t="n">
        <v>1</v>
      </c>
      <c r="O868" s="6" t="n">
        <f aca="false">D868</f>
        <v>3.629</v>
      </c>
      <c r="P868" s="6" t="n">
        <f aca="false">E868</f>
        <v>1</v>
      </c>
      <c r="Q868" s="6" t="n">
        <f aca="false">F868</f>
        <v>0</v>
      </c>
      <c r="R868" s="6" t="n">
        <f aca="false">G868</f>
        <v>1</v>
      </c>
      <c r="S868" s="6" t="n">
        <f aca="false">H868</f>
        <v>0</v>
      </c>
      <c r="T868" s="6" t="n">
        <f aca="false">I868</f>
        <v>0</v>
      </c>
      <c r="U868" s="6" t="n">
        <f aca="false">L868</f>
        <v>0</v>
      </c>
      <c r="W868" s="6" t="n">
        <f aca="false">D868</f>
        <v>3.629</v>
      </c>
      <c r="X868" s="6" t="n">
        <f aca="false">E868</f>
        <v>1</v>
      </c>
      <c r="Y868" s="6" t="n">
        <f aca="false">F868</f>
        <v>0</v>
      </c>
      <c r="Z868" s="6" t="n">
        <f aca="false">L868</f>
        <v>0</v>
      </c>
      <c r="AA868" s="6" t="n">
        <f aca="false">G868</f>
        <v>1</v>
      </c>
      <c r="AC868" s="6" t="n">
        <f aca="false">D868</f>
        <v>3.629</v>
      </c>
      <c r="AD868" s="6" t="n">
        <f aca="false">E868</f>
        <v>1</v>
      </c>
      <c r="AE868" s="6" t="n">
        <f aca="false">G868</f>
        <v>1</v>
      </c>
      <c r="AF868" s="6" t="n">
        <f aca="false">H868</f>
        <v>0</v>
      </c>
      <c r="AG868" s="6" t="n">
        <f aca="false">I868</f>
        <v>0</v>
      </c>
      <c r="AH868" s="6" t="n">
        <f aca="false">L868</f>
        <v>0</v>
      </c>
    </row>
    <row r="869" customFormat="false" ht="15" hidden="false" customHeight="false" outlineLevel="0" collapsed="false">
      <c r="A869" s="0" t="str">
        <f aca="false">'Raw Data'!C869</f>
        <v>Union Square</v>
      </c>
      <c r="B869" s="5" t="n">
        <f aca="false">'Raw Data'!A869</f>
        <v>40365</v>
      </c>
      <c r="C869" s="6" t="n">
        <f aca="false">'Raw Data'!D869</f>
        <v>351.30307609864</v>
      </c>
      <c r="D869" s="6" t="n">
        <f aca="false">'Raw Data'!E869</f>
        <v>3.005</v>
      </c>
      <c r="E869" s="6" t="n">
        <f aca="false">'Raw Data'!F869</f>
        <v>1</v>
      </c>
      <c r="F869" s="6" t="n">
        <f aca="false">'Raw Data'!G869</f>
        <v>0</v>
      </c>
      <c r="G869" s="6" t="n">
        <f aca="false">'Raw Data'!H869</f>
        <v>0</v>
      </c>
      <c r="H869" s="6" t="n">
        <f aca="false">'Raw Data'!I869</f>
        <v>1</v>
      </c>
      <c r="I869" s="6" t="n">
        <f aca="false">'Raw Data'!J869</f>
        <v>0</v>
      </c>
      <c r="J869" s="6" t="n">
        <f aca="false">'Raw Data'!K869</f>
        <v>1</v>
      </c>
      <c r="K869" s="6" t="n">
        <f aca="false">'Raw Data'!L869</f>
        <v>2</v>
      </c>
      <c r="L869" s="6" t="n">
        <f aca="false">F869*E869</f>
        <v>0</v>
      </c>
      <c r="N869" s="0" t="n">
        <v>1</v>
      </c>
      <c r="O869" s="6" t="n">
        <f aca="false">D869</f>
        <v>3.005</v>
      </c>
      <c r="P869" s="6" t="n">
        <f aca="false">E869</f>
        <v>1</v>
      </c>
      <c r="Q869" s="6" t="n">
        <f aca="false">F869</f>
        <v>0</v>
      </c>
      <c r="R869" s="6" t="n">
        <f aca="false">G869</f>
        <v>0</v>
      </c>
      <c r="S869" s="6" t="n">
        <f aca="false">H869</f>
        <v>1</v>
      </c>
      <c r="T869" s="6" t="n">
        <f aca="false">I869</f>
        <v>0</v>
      </c>
      <c r="U869" s="6" t="n">
        <f aca="false">L869</f>
        <v>0</v>
      </c>
      <c r="W869" s="6" t="n">
        <f aca="false">D869</f>
        <v>3.005</v>
      </c>
      <c r="X869" s="6" t="n">
        <f aca="false">E869</f>
        <v>1</v>
      </c>
      <c r="Y869" s="6" t="n">
        <f aca="false">F869</f>
        <v>0</v>
      </c>
      <c r="Z869" s="6" t="n">
        <f aca="false">L869</f>
        <v>0</v>
      </c>
      <c r="AA869" s="6" t="n">
        <f aca="false">G869</f>
        <v>0</v>
      </c>
      <c r="AC869" s="6" t="n">
        <f aca="false">D869</f>
        <v>3.005</v>
      </c>
      <c r="AD869" s="6" t="n">
        <f aca="false">E869</f>
        <v>1</v>
      </c>
      <c r="AE869" s="6" t="n">
        <f aca="false">G869</f>
        <v>0</v>
      </c>
      <c r="AF869" s="6" t="n">
        <f aca="false">H869</f>
        <v>1</v>
      </c>
      <c r="AG869" s="6" t="n">
        <f aca="false">I869</f>
        <v>0</v>
      </c>
      <c r="AH869" s="6" t="n">
        <f aca="false">L869</f>
        <v>0</v>
      </c>
    </row>
    <row r="870" customFormat="false" ht="15" hidden="false" customHeight="false" outlineLevel="0" collapsed="false">
      <c r="A870" s="0" t="str">
        <f aca="false">'Raw Data'!C870</f>
        <v>Union Square</v>
      </c>
      <c r="B870" s="5" t="n">
        <f aca="false">'Raw Data'!A870</f>
        <v>40372</v>
      </c>
      <c r="C870" s="6" t="n">
        <f aca="false">'Raw Data'!D870</f>
        <v>313.28718565791</v>
      </c>
      <c r="D870" s="6" t="n">
        <f aca="false">'Raw Data'!E870</f>
        <v>3.142</v>
      </c>
      <c r="E870" s="6" t="n">
        <f aca="false">'Raw Data'!F870</f>
        <v>1</v>
      </c>
      <c r="F870" s="6" t="n">
        <f aca="false">'Raw Data'!G870</f>
        <v>0</v>
      </c>
      <c r="G870" s="6" t="n">
        <f aca="false">'Raw Data'!H870</f>
        <v>0</v>
      </c>
      <c r="H870" s="6" t="n">
        <f aca="false">'Raw Data'!I870</f>
        <v>1</v>
      </c>
      <c r="I870" s="6" t="n">
        <f aca="false">'Raw Data'!J870</f>
        <v>0</v>
      </c>
      <c r="J870" s="6" t="n">
        <f aca="false">'Raw Data'!K870</f>
        <v>1</v>
      </c>
      <c r="K870" s="6" t="n">
        <f aca="false">'Raw Data'!L870</f>
        <v>2</v>
      </c>
      <c r="L870" s="6" t="n">
        <f aca="false">F870*E870</f>
        <v>0</v>
      </c>
      <c r="N870" s="0" t="n">
        <v>1</v>
      </c>
      <c r="O870" s="6" t="n">
        <f aca="false">D870</f>
        <v>3.142</v>
      </c>
      <c r="P870" s="6" t="n">
        <f aca="false">E870</f>
        <v>1</v>
      </c>
      <c r="Q870" s="6" t="n">
        <f aca="false">F870</f>
        <v>0</v>
      </c>
      <c r="R870" s="6" t="n">
        <f aca="false">G870</f>
        <v>0</v>
      </c>
      <c r="S870" s="6" t="n">
        <f aca="false">H870</f>
        <v>1</v>
      </c>
      <c r="T870" s="6" t="n">
        <f aca="false">I870</f>
        <v>0</v>
      </c>
      <c r="U870" s="6" t="n">
        <f aca="false">L870</f>
        <v>0</v>
      </c>
      <c r="W870" s="6" t="n">
        <f aca="false">D870</f>
        <v>3.142</v>
      </c>
      <c r="X870" s="6" t="n">
        <f aca="false">E870</f>
        <v>1</v>
      </c>
      <c r="Y870" s="6" t="n">
        <f aca="false">F870</f>
        <v>0</v>
      </c>
      <c r="Z870" s="6" t="n">
        <f aca="false">L870</f>
        <v>0</v>
      </c>
      <c r="AA870" s="6" t="n">
        <f aca="false">G870</f>
        <v>0</v>
      </c>
      <c r="AC870" s="6" t="n">
        <f aca="false">D870</f>
        <v>3.142</v>
      </c>
      <c r="AD870" s="6" t="n">
        <f aca="false">E870</f>
        <v>1</v>
      </c>
      <c r="AE870" s="6" t="n">
        <f aca="false">G870</f>
        <v>0</v>
      </c>
      <c r="AF870" s="6" t="n">
        <f aca="false">H870</f>
        <v>1</v>
      </c>
      <c r="AG870" s="6" t="n">
        <f aca="false">I870</f>
        <v>0</v>
      </c>
      <c r="AH870" s="6" t="n">
        <f aca="false">L870</f>
        <v>0</v>
      </c>
    </row>
    <row r="871" customFormat="false" ht="15" hidden="false" customHeight="false" outlineLevel="0" collapsed="false">
      <c r="A871" s="0" t="str">
        <f aca="false">'Raw Data'!C871</f>
        <v>West Orange</v>
      </c>
      <c r="B871" s="5" t="n">
        <f aca="false">'Raw Data'!A871</f>
        <v>40302</v>
      </c>
      <c r="C871" s="6" t="n">
        <f aca="false">'Raw Data'!D871</f>
        <v>206.854851600265</v>
      </c>
      <c r="D871" s="6" t="n">
        <f aca="false">'Raw Data'!E871</f>
        <v>4.732857143</v>
      </c>
      <c r="E871" s="6" t="n">
        <f aca="false">'Raw Data'!F871</f>
        <v>0</v>
      </c>
      <c r="F871" s="6" t="n">
        <f aca="false">'Raw Data'!G871</f>
        <v>0</v>
      </c>
      <c r="G871" s="6" t="n">
        <f aca="false">'Raw Data'!H871</f>
        <v>0</v>
      </c>
      <c r="H871" s="6" t="n">
        <f aca="false">'Raw Data'!I871</f>
        <v>0</v>
      </c>
      <c r="I871" s="6" t="n">
        <f aca="false">'Raw Data'!J871</f>
        <v>0</v>
      </c>
      <c r="J871" s="6" t="n">
        <f aca="false">'Raw Data'!K871</f>
        <v>2</v>
      </c>
      <c r="K871" s="6" t="n">
        <f aca="false">'Raw Data'!L871</f>
        <v>3</v>
      </c>
      <c r="L871" s="6" t="n">
        <f aca="false">F871*E871</f>
        <v>0</v>
      </c>
      <c r="N871" s="0" t="n">
        <v>1</v>
      </c>
      <c r="O871" s="6" t="n">
        <f aca="false">D871</f>
        <v>4.732857143</v>
      </c>
      <c r="P871" s="6" t="n">
        <f aca="false">E871</f>
        <v>0</v>
      </c>
      <c r="Q871" s="6" t="n">
        <f aca="false">F871</f>
        <v>0</v>
      </c>
      <c r="R871" s="6" t="n">
        <f aca="false">G871</f>
        <v>0</v>
      </c>
      <c r="S871" s="6" t="n">
        <f aca="false">H871</f>
        <v>0</v>
      </c>
      <c r="T871" s="6" t="n">
        <f aca="false">I871</f>
        <v>0</v>
      </c>
      <c r="U871" s="6" t="n">
        <f aca="false">L871</f>
        <v>0</v>
      </c>
      <c r="W871" s="6" t="n">
        <f aca="false">D871</f>
        <v>4.732857143</v>
      </c>
      <c r="X871" s="6" t="n">
        <f aca="false">E871</f>
        <v>0</v>
      </c>
      <c r="Y871" s="6" t="n">
        <f aca="false">F871</f>
        <v>0</v>
      </c>
      <c r="Z871" s="6" t="n">
        <f aca="false">L871</f>
        <v>0</v>
      </c>
      <c r="AA871" s="6" t="n">
        <f aca="false">G871</f>
        <v>0</v>
      </c>
      <c r="AC871" s="6" t="n">
        <f aca="false">D871</f>
        <v>4.732857143</v>
      </c>
      <c r="AD871" s="6" t="n">
        <f aca="false">E871</f>
        <v>0</v>
      </c>
      <c r="AE871" s="6" t="n">
        <f aca="false">G871</f>
        <v>0</v>
      </c>
      <c r="AF871" s="6" t="n">
        <f aca="false">H871</f>
        <v>0</v>
      </c>
      <c r="AG871" s="6" t="n">
        <f aca="false">I871</f>
        <v>0</v>
      </c>
      <c r="AH871" s="6" t="n">
        <f aca="false">L871</f>
        <v>0</v>
      </c>
    </row>
    <row r="872" customFormat="false" ht="15" hidden="false" customHeight="false" outlineLevel="0" collapsed="false">
      <c r="A872" s="0" t="str">
        <f aca="false">'Raw Data'!C872</f>
        <v>West Orange</v>
      </c>
      <c r="B872" s="5" t="n">
        <f aca="false">'Raw Data'!A872</f>
        <v>40309</v>
      </c>
      <c r="C872" s="6" t="n">
        <f aca="false">'Raw Data'!D872</f>
        <v>142.74466259605</v>
      </c>
      <c r="D872" s="6" t="n">
        <f aca="false">'Raw Data'!E872</f>
        <v>4.161428571</v>
      </c>
      <c r="E872" s="6" t="n">
        <f aca="false">'Raw Data'!F872</f>
        <v>0</v>
      </c>
      <c r="F872" s="6" t="n">
        <f aca="false">'Raw Data'!G872</f>
        <v>0</v>
      </c>
      <c r="G872" s="6" t="n">
        <f aca="false">'Raw Data'!H872</f>
        <v>0</v>
      </c>
      <c r="H872" s="6" t="n">
        <f aca="false">'Raw Data'!I872</f>
        <v>0</v>
      </c>
      <c r="I872" s="6" t="n">
        <f aca="false">'Raw Data'!J872</f>
        <v>0</v>
      </c>
      <c r="J872" s="6" t="n">
        <f aca="false">'Raw Data'!K872</f>
        <v>2</v>
      </c>
      <c r="K872" s="6" t="n">
        <f aca="false">'Raw Data'!L872</f>
        <v>3</v>
      </c>
      <c r="L872" s="6" t="n">
        <f aca="false">F872*E872</f>
        <v>0</v>
      </c>
      <c r="N872" s="0" t="n">
        <v>1</v>
      </c>
      <c r="O872" s="6" t="n">
        <f aca="false">D872</f>
        <v>4.161428571</v>
      </c>
      <c r="P872" s="6" t="n">
        <f aca="false">E872</f>
        <v>0</v>
      </c>
      <c r="Q872" s="6" t="n">
        <f aca="false">F872</f>
        <v>0</v>
      </c>
      <c r="R872" s="6" t="n">
        <f aca="false">G872</f>
        <v>0</v>
      </c>
      <c r="S872" s="6" t="n">
        <f aca="false">H872</f>
        <v>0</v>
      </c>
      <c r="T872" s="6" t="n">
        <f aca="false">I872</f>
        <v>0</v>
      </c>
      <c r="U872" s="6" t="n">
        <f aca="false">L872</f>
        <v>0</v>
      </c>
      <c r="W872" s="6" t="n">
        <f aca="false">D872</f>
        <v>4.161428571</v>
      </c>
      <c r="X872" s="6" t="n">
        <f aca="false">E872</f>
        <v>0</v>
      </c>
      <c r="Y872" s="6" t="n">
        <f aca="false">F872</f>
        <v>0</v>
      </c>
      <c r="Z872" s="6" t="n">
        <f aca="false">L872</f>
        <v>0</v>
      </c>
      <c r="AA872" s="6" t="n">
        <f aca="false">G872</f>
        <v>0</v>
      </c>
      <c r="AC872" s="6" t="n">
        <f aca="false">D872</f>
        <v>4.161428571</v>
      </c>
      <c r="AD872" s="6" t="n">
        <f aca="false">E872</f>
        <v>0</v>
      </c>
      <c r="AE872" s="6" t="n">
        <f aca="false">G872</f>
        <v>0</v>
      </c>
      <c r="AF872" s="6" t="n">
        <f aca="false">H872</f>
        <v>0</v>
      </c>
      <c r="AG872" s="6" t="n">
        <f aca="false">I872</f>
        <v>0</v>
      </c>
      <c r="AH872" s="6" t="n">
        <f aca="false">L872</f>
        <v>0</v>
      </c>
    </row>
    <row r="873" customFormat="false" ht="15" hidden="false" customHeight="false" outlineLevel="0" collapsed="false">
      <c r="A873" s="0" t="str">
        <f aca="false">'Raw Data'!C873</f>
        <v>West Orange</v>
      </c>
      <c r="B873" s="5" t="n">
        <f aca="false">'Raw Data'!A873</f>
        <v>40316</v>
      </c>
      <c r="C873" s="6" t="n">
        <f aca="false">'Raw Data'!D873</f>
        <v>227.909862700159</v>
      </c>
      <c r="D873" s="6" t="n">
        <f aca="false">'Raw Data'!E873</f>
        <v>3.881428571</v>
      </c>
      <c r="E873" s="6" t="n">
        <f aca="false">'Raw Data'!F873</f>
        <v>0</v>
      </c>
      <c r="F873" s="6" t="n">
        <f aca="false">'Raw Data'!G873</f>
        <v>0</v>
      </c>
      <c r="G873" s="6" t="n">
        <f aca="false">'Raw Data'!H873</f>
        <v>0</v>
      </c>
      <c r="H873" s="6" t="n">
        <f aca="false">'Raw Data'!I873</f>
        <v>0</v>
      </c>
      <c r="I873" s="6" t="n">
        <f aca="false">'Raw Data'!J873</f>
        <v>0</v>
      </c>
      <c r="J873" s="6" t="n">
        <f aca="false">'Raw Data'!K873</f>
        <v>2</v>
      </c>
      <c r="K873" s="6" t="n">
        <f aca="false">'Raw Data'!L873</f>
        <v>3</v>
      </c>
      <c r="L873" s="6" t="n">
        <f aca="false">F873*E873</f>
        <v>0</v>
      </c>
      <c r="N873" s="0" t="n">
        <v>1</v>
      </c>
      <c r="O873" s="6" t="n">
        <f aca="false">D873</f>
        <v>3.881428571</v>
      </c>
      <c r="P873" s="6" t="n">
        <f aca="false">E873</f>
        <v>0</v>
      </c>
      <c r="Q873" s="6" t="n">
        <f aca="false">F873</f>
        <v>0</v>
      </c>
      <c r="R873" s="6" t="n">
        <f aca="false">G873</f>
        <v>0</v>
      </c>
      <c r="S873" s="6" t="n">
        <f aca="false">H873</f>
        <v>0</v>
      </c>
      <c r="T873" s="6" t="n">
        <f aca="false">I873</f>
        <v>0</v>
      </c>
      <c r="U873" s="6" t="n">
        <f aca="false">L873</f>
        <v>0</v>
      </c>
      <c r="W873" s="6" t="n">
        <f aca="false">D873</f>
        <v>3.881428571</v>
      </c>
      <c r="X873" s="6" t="n">
        <f aca="false">E873</f>
        <v>0</v>
      </c>
      <c r="Y873" s="6" t="n">
        <f aca="false">F873</f>
        <v>0</v>
      </c>
      <c r="Z873" s="6" t="n">
        <f aca="false">L873</f>
        <v>0</v>
      </c>
      <c r="AA873" s="6" t="n">
        <f aca="false">G873</f>
        <v>0</v>
      </c>
      <c r="AC873" s="6" t="n">
        <f aca="false">D873</f>
        <v>3.881428571</v>
      </c>
      <c r="AD873" s="6" t="n">
        <f aca="false">E873</f>
        <v>0</v>
      </c>
      <c r="AE873" s="6" t="n">
        <f aca="false">G873</f>
        <v>0</v>
      </c>
      <c r="AF873" s="6" t="n">
        <f aca="false">H873</f>
        <v>0</v>
      </c>
      <c r="AG873" s="6" t="n">
        <f aca="false">I873</f>
        <v>0</v>
      </c>
      <c r="AH873" s="6" t="n">
        <f aca="false">L873</f>
        <v>0</v>
      </c>
    </row>
    <row r="874" customFormat="false" ht="15" hidden="false" customHeight="false" outlineLevel="0" collapsed="false">
      <c r="A874" s="0" t="str">
        <f aca="false">'Raw Data'!C874</f>
        <v>West Orange</v>
      </c>
      <c r="B874" s="5" t="n">
        <f aca="false">'Raw Data'!A874</f>
        <v>40323</v>
      </c>
      <c r="C874" s="6" t="n">
        <f aca="false">'Raw Data'!D874</f>
        <v>223.912638990611</v>
      </c>
      <c r="D874" s="6" t="n">
        <f aca="false">'Raw Data'!E874</f>
        <v>4.145</v>
      </c>
      <c r="E874" s="6" t="n">
        <f aca="false">'Raw Data'!F874</f>
        <v>1</v>
      </c>
      <c r="F874" s="6" t="n">
        <f aca="false">'Raw Data'!G874</f>
        <v>0</v>
      </c>
      <c r="G874" s="6" t="n">
        <f aca="false">'Raw Data'!H874</f>
        <v>0</v>
      </c>
      <c r="H874" s="6" t="n">
        <f aca="false">'Raw Data'!I874</f>
        <v>0</v>
      </c>
      <c r="I874" s="6" t="n">
        <f aca="false">'Raw Data'!J874</f>
        <v>0</v>
      </c>
      <c r="J874" s="6" t="n">
        <f aca="false">'Raw Data'!K874</f>
        <v>2</v>
      </c>
      <c r="K874" s="6" t="n">
        <f aca="false">'Raw Data'!L874</f>
        <v>3</v>
      </c>
      <c r="L874" s="6" t="n">
        <f aca="false">F874*E874</f>
        <v>0</v>
      </c>
      <c r="N874" s="0" t="n">
        <v>1</v>
      </c>
      <c r="O874" s="6" t="n">
        <f aca="false">D874</f>
        <v>4.145</v>
      </c>
      <c r="P874" s="6" t="n">
        <f aca="false">E874</f>
        <v>1</v>
      </c>
      <c r="Q874" s="6" t="n">
        <f aca="false">F874</f>
        <v>0</v>
      </c>
      <c r="R874" s="6" t="n">
        <f aca="false">G874</f>
        <v>0</v>
      </c>
      <c r="S874" s="6" t="n">
        <f aca="false">H874</f>
        <v>0</v>
      </c>
      <c r="T874" s="6" t="n">
        <f aca="false">I874</f>
        <v>0</v>
      </c>
      <c r="U874" s="6" t="n">
        <f aca="false">L874</f>
        <v>0</v>
      </c>
      <c r="W874" s="6" t="n">
        <f aca="false">D874</f>
        <v>4.145</v>
      </c>
      <c r="X874" s="6" t="n">
        <f aca="false">E874</f>
        <v>1</v>
      </c>
      <c r="Y874" s="6" t="n">
        <f aca="false">F874</f>
        <v>0</v>
      </c>
      <c r="Z874" s="6" t="n">
        <f aca="false">L874</f>
        <v>0</v>
      </c>
      <c r="AA874" s="6" t="n">
        <f aca="false">G874</f>
        <v>0</v>
      </c>
      <c r="AC874" s="6" t="n">
        <f aca="false">D874</f>
        <v>4.145</v>
      </c>
      <c r="AD874" s="6" t="n">
        <f aca="false">E874</f>
        <v>1</v>
      </c>
      <c r="AE874" s="6" t="n">
        <f aca="false">G874</f>
        <v>0</v>
      </c>
      <c r="AF874" s="6" t="n">
        <f aca="false">H874</f>
        <v>0</v>
      </c>
      <c r="AG874" s="6" t="n">
        <f aca="false">I874</f>
        <v>0</v>
      </c>
      <c r="AH874" s="6" t="n">
        <f aca="false">L874</f>
        <v>0</v>
      </c>
    </row>
    <row r="875" customFormat="false" ht="15" hidden="false" customHeight="false" outlineLevel="0" collapsed="false">
      <c r="A875" s="0" t="str">
        <f aca="false">'Raw Data'!C875</f>
        <v>West Orange</v>
      </c>
      <c r="B875" s="5" t="n">
        <f aca="false">'Raw Data'!A875</f>
        <v>40330</v>
      </c>
      <c r="C875" s="6" t="n">
        <f aca="false">'Raw Data'!D875</f>
        <v>220.865050263559</v>
      </c>
      <c r="D875" s="6" t="n">
        <f aca="false">'Raw Data'!E875</f>
        <v>3.881428571</v>
      </c>
      <c r="E875" s="6" t="n">
        <f aca="false">'Raw Data'!F875</f>
        <v>1</v>
      </c>
      <c r="F875" s="6" t="n">
        <f aca="false">'Raw Data'!G875</f>
        <v>0</v>
      </c>
      <c r="G875" s="6" t="n">
        <f aca="false">'Raw Data'!H875</f>
        <v>0</v>
      </c>
      <c r="H875" s="6" t="n">
        <f aca="false">'Raw Data'!I875</f>
        <v>0</v>
      </c>
      <c r="I875" s="6" t="n">
        <f aca="false">'Raw Data'!J875</f>
        <v>0</v>
      </c>
      <c r="J875" s="6" t="n">
        <f aca="false">'Raw Data'!K875</f>
        <v>2</v>
      </c>
      <c r="K875" s="6" t="n">
        <f aca="false">'Raw Data'!L875</f>
        <v>3</v>
      </c>
      <c r="L875" s="6" t="n">
        <f aca="false">F875*E875</f>
        <v>0</v>
      </c>
      <c r="N875" s="0" t="n">
        <v>1</v>
      </c>
      <c r="O875" s="6" t="n">
        <f aca="false">D875</f>
        <v>3.881428571</v>
      </c>
      <c r="P875" s="6" t="n">
        <f aca="false">E875</f>
        <v>1</v>
      </c>
      <c r="Q875" s="6" t="n">
        <f aca="false">F875</f>
        <v>0</v>
      </c>
      <c r="R875" s="6" t="n">
        <f aca="false">G875</f>
        <v>0</v>
      </c>
      <c r="S875" s="6" t="n">
        <f aca="false">H875</f>
        <v>0</v>
      </c>
      <c r="T875" s="6" t="n">
        <f aca="false">I875</f>
        <v>0</v>
      </c>
      <c r="U875" s="6" t="n">
        <f aca="false">L875</f>
        <v>0</v>
      </c>
      <c r="W875" s="6" t="n">
        <f aca="false">D875</f>
        <v>3.881428571</v>
      </c>
      <c r="X875" s="6" t="n">
        <f aca="false">E875</f>
        <v>1</v>
      </c>
      <c r="Y875" s="6" t="n">
        <f aca="false">F875</f>
        <v>0</v>
      </c>
      <c r="Z875" s="6" t="n">
        <f aca="false">L875</f>
        <v>0</v>
      </c>
      <c r="AA875" s="6" t="n">
        <f aca="false">G875</f>
        <v>0</v>
      </c>
      <c r="AC875" s="6" t="n">
        <f aca="false">D875</f>
        <v>3.881428571</v>
      </c>
      <c r="AD875" s="6" t="n">
        <f aca="false">E875</f>
        <v>1</v>
      </c>
      <c r="AE875" s="6" t="n">
        <f aca="false">G875</f>
        <v>0</v>
      </c>
      <c r="AF875" s="6" t="n">
        <f aca="false">H875</f>
        <v>0</v>
      </c>
      <c r="AG875" s="6" t="n">
        <f aca="false">I875</f>
        <v>0</v>
      </c>
      <c r="AH875" s="6" t="n">
        <f aca="false">L875</f>
        <v>0</v>
      </c>
    </row>
    <row r="876" customFormat="false" ht="15" hidden="false" customHeight="false" outlineLevel="0" collapsed="false">
      <c r="A876" s="0" t="str">
        <f aca="false">'Raw Data'!C876</f>
        <v>West Orange</v>
      </c>
      <c r="B876" s="5" t="n">
        <f aca="false">'Raw Data'!A876</f>
        <v>40337</v>
      </c>
      <c r="C876" s="6" t="n">
        <f aca="false">'Raw Data'!D876</f>
        <v>229.219501334717</v>
      </c>
      <c r="D876" s="6" t="n">
        <f aca="false">'Raw Data'!E876</f>
        <v>4.19</v>
      </c>
      <c r="E876" s="6" t="n">
        <f aca="false">'Raw Data'!F876</f>
        <v>1</v>
      </c>
      <c r="F876" s="6" t="n">
        <f aca="false">'Raw Data'!G876</f>
        <v>0</v>
      </c>
      <c r="G876" s="6" t="n">
        <f aca="false">'Raw Data'!H876</f>
        <v>0</v>
      </c>
      <c r="H876" s="6" t="n">
        <f aca="false">'Raw Data'!I876</f>
        <v>0</v>
      </c>
      <c r="I876" s="6" t="n">
        <f aca="false">'Raw Data'!J876</f>
        <v>0</v>
      </c>
      <c r="J876" s="6" t="n">
        <f aca="false">'Raw Data'!K876</f>
        <v>2</v>
      </c>
      <c r="K876" s="6" t="n">
        <f aca="false">'Raw Data'!L876</f>
        <v>3</v>
      </c>
      <c r="L876" s="6" t="n">
        <f aca="false">F876*E876</f>
        <v>0</v>
      </c>
      <c r="N876" s="0" t="n">
        <v>1</v>
      </c>
      <c r="O876" s="6" t="n">
        <f aca="false">D876</f>
        <v>4.19</v>
      </c>
      <c r="P876" s="6" t="n">
        <f aca="false">E876</f>
        <v>1</v>
      </c>
      <c r="Q876" s="6" t="n">
        <f aca="false">F876</f>
        <v>0</v>
      </c>
      <c r="R876" s="6" t="n">
        <f aca="false">G876</f>
        <v>0</v>
      </c>
      <c r="S876" s="6" t="n">
        <f aca="false">H876</f>
        <v>0</v>
      </c>
      <c r="T876" s="6" t="n">
        <f aca="false">I876</f>
        <v>0</v>
      </c>
      <c r="U876" s="6" t="n">
        <f aca="false">L876</f>
        <v>0</v>
      </c>
      <c r="W876" s="6" t="n">
        <f aca="false">D876</f>
        <v>4.19</v>
      </c>
      <c r="X876" s="6" t="n">
        <f aca="false">E876</f>
        <v>1</v>
      </c>
      <c r="Y876" s="6" t="n">
        <f aca="false">F876</f>
        <v>0</v>
      </c>
      <c r="Z876" s="6" t="n">
        <f aca="false">L876</f>
        <v>0</v>
      </c>
      <c r="AA876" s="6" t="n">
        <f aca="false">G876</f>
        <v>0</v>
      </c>
      <c r="AC876" s="6" t="n">
        <f aca="false">D876</f>
        <v>4.19</v>
      </c>
      <c r="AD876" s="6" t="n">
        <f aca="false">E876</f>
        <v>1</v>
      </c>
      <c r="AE876" s="6" t="n">
        <f aca="false">G876</f>
        <v>0</v>
      </c>
      <c r="AF876" s="6" t="n">
        <f aca="false">H876</f>
        <v>0</v>
      </c>
      <c r="AG876" s="6" t="n">
        <f aca="false">I876</f>
        <v>0</v>
      </c>
      <c r="AH876" s="6" t="n">
        <f aca="false">L876</f>
        <v>0</v>
      </c>
    </row>
    <row r="877" customFormat="false" ht="15" hidden="false" customHeight="false" outlineLevel="0" collapsed="false">
      <c r="A877" s="0" t="str">
        <f aca="false">'Raw Data'!C877</f>
        <v>West Orange</v>
      </c>
      <c r="B877" s="5" t="n">
        <f aca="false">'Raw Data'!A877</f>
        <v>40344</v>
      </c>
      <c r="C877" s="6" t="n">
        <f aca="false">'Raw Data'!D877</f>
        <v>224.888537106716</v>
      </c>
      <c r="D877" s="6" t="n">
        <f aca="false">'Raw Data'!E877</f>
        <v>4.161428571</v>
      </c>
      <c r="E877" s="6" t="n">
        <f aca="false">'Raw Data'!F877</f>
        <v>1</v>
      </c>
      <c r="F877" s="6" t="n">
        <f aca="false">'Raw Data'!G877</f>
        <v>0</v>
      </c>
      <c r="G877" s="6" t="n">
        <f aca="false">'Raw Data'!H877</f>
        <v>0</v>
      </c>
      <c r="H877" s="6" t="n">
        <f aca="false">'Raw Data'!I877</f>
        <v>0</v>
      </c>
      <c r="I877" s="6" t="n">
        <f aca="false">'Raw Data'!J877</f>
        <v>0</v>
      </c>
      <c r="J877" s="6" t="n">
        <f aca="false">'Raw Data'!K877</f>
        <v>2</v>
      </c>
      <c r="K877" s="6" t="n">
        <f aca="false">'Raw Data'!L877</f>
        <v>3</v>
      </c>
      <c r="L877" s="6" t="n">
        <f aca="false">F877*E877</f>
        <v>0</v>
      </c>
      <c r="N877" s="0" t="n">
        <v>1</v>
      </c>
      <c r="O877" s="6" t="n">
        <f aca="false">D877</f>
        <v>4.161428571</v>
      </c>
      <c r="P877" s="6" t="n">
        <f aca="false">E877</f>
        <v>1</v>
      </c>
      <c r="Q877" s="6" t="n">
        <f aca="false">F877</f>
        <v>0</v>
      </c>
      <c r="R877" s="6" t="n">
        <f aca="false">G877</f>
        <v>0</v>
      </c>
      <c r="S877" s="6" t="n">
        <f aca="false">H877</f>
        <v>0</v>
      </c>
      <c r="T877" s="6" t="n">
        <f aca="false">I877</f>
        <v>0</v>
      </c>
      <c r="U877" s="6" t="n">
        <f aca="false">L877</f>
        <v>0</v>
      </c>
      <c r="W877" s="6" t="n">
        <f aca="false">D877</f>
        <v>4.161428571</v>
      </c>
      <c r="X877" s="6" t="n">
        <f aca="false">E877</f>
        <v>1</v>
      </c>
      <c r="Y877" s="6" t="n">
        <f aca="false">F877</f>
        <v>0</v>
      </c>
      <c r="Z877" s="6" t="n">
        <f aca="false">L877</f>
        <v>0</v>
      </c>
      <c r="AA877" s="6" t="n">
        <f aca="false">G877</f>
        <v>0</v>
      </c>
      <c r="AC877" s="6" t="n">
        <f aca="false">D877</f>
        <v>4.161428571</v>
      </c>
      <c r="AD877" s="6" t="n">
        <f aca="false">E877</f>
        <v>1</v>
      </c>
      <c r="AE877" s="6" t="n">
        <f aca="false">G877</f>
        <v>0</v>
      </c>
      <c r="AF877" s="6" t="n">
        <f aca="false">H877</f>
        <v>0</v>
      </c>
      <c r="AG877" s="6" t="n">
        <f aca="false">I877</f>
        <v>0</v>
      </c>
      <c r="AH877" s="6" t="n">
        <f aca="false">L877</f>
        <v>0</v>
      </c>
    </row>
    <row r="878" customFormat="false" ht="15" hidden="false" customHeight="false" outlineLevel="0" collapsed="false">
      <c r="A878" s="0" t="str">
        <f aca="false">'Raw Data'!C878</f>
        <v>West Orange</v>
      </c>
      <c r="B878" s="5" t="n">
        <f aca="false">'Raw Data'!A878</f>
        <v>40351</v>
      </c>
      <c r="C878" s="6" t="n">
        <f aca="false">'Raw Data'!D878</f>
        <v>241.56974188162</v>
      </c>
      <c r="D878" s="6" t="n">
        <f aca="false">'Raw Data'!E878</f>
        <v>4.161428571</v>
      </c>
      <c r="E878" s="6" t="n">
        <f aca="false">'Raw Data'!F878</f>
        <v>1</v>
      </c>
      <c r="F878" s="6" t="n">
        <f aca="false">'Raw Data'!G878</f>
        <v>0</v>
      </c>
      <c r="G878" s="6" t="n">
        <f aca="false">'Raw Data'!H878</f>
        <v>0</v>
      </c>
      <c r="H878" s="6" t="n">
        <f aca="false">'Raw Data'!I878</f>
        <v>0</v>
      </c>
      <c r="I878" s="6" t="n">
        <f aca="false">'Raw Data'!J878</f>
        <v>0</v>
      </c>
      <c r="J878" s="6" t="n">
        <f aca="false">'Raw Data'!K878</f>
        <v>2</v>
      </c>
      <c r="K878" s="6" t="n">
        <f aca="false">'Raw Data'!L878</f>
        <v>3</v>
      </c>
      <c r="L878" s="6" t="n">
        <f aca="false">F878*E878</f>
        <v>0</v>
      </c>
      <c r="N878" s="0" t="n">
        <v>1</v>
      </c>
      <c r="O878" s="6" t="n">
        <f aca="false">D878</f>
        <v>4.161428571</v>
      </c>
      <c r="P878" s="6" t="n">
        <f aca="false">E878</f>
        <v>1</v>
      </c>
      <c r="Q878" s="6" t="n">
        <f aca="false">F878</f>
        <v>0</v>
      </c>
      <c r="R878" s="6" t="n">
        <f aca="false">G878</f>
        <v>0</v>
      </c>
      <c r="S878" s="6" t="n">
        <f aca="false">H878</f>
        <v>0</v>
      </c>
      <c r="T878" s="6" t="n">
        <f aca="false">I878</f>
        <v>0</v>
      </c>
      <c r="U878" s="6" t="n">
        <f aca="false">L878</f>
        <v>0</v>
      </c>
      <c r="W878" s="6" t="n">
        <f aca="false">D878</f>
        <v>4.161428571</v>
      </c>
      <c r="X878" s="6" t="n">
        <f aca="false">E878</f>
        <v>1</v>
      </c>
      <c r="Y878" s="6" t="n">
        <f aca="false">F878</f>
        <v>0</v>
      </c>
      <c r="Z878" s="6" t="n">
        <f aca="false">L878</f>
        <v>0</v>
      </c>
      <c r="AA878" s="6" t="n">
        <f aca="false">G878</f>
        <v>0</v>
      </c>
      <c r="AC878" s="6" t="n">
        <f aca="false">D878</f>
        <v>4.161428571</v>
      </c>
      <c r="AD878" s="6" t="n">
        <f aca="false">E878</f>
        <v>1</v>
      </c>
      <c r="AE878" s="6" t="n">
        <f aca="false">G878</f>
        <v>0</v>
      </c>
      <c r="AF878" s="6" t="n">
        <f aca="false">H878</f>
        <v>0</v>
      </c>
      <c r="AG878" s="6" t="n">
        <f aca="false">I878</f>
        <v>0</v>
      </c>
      <c r="AH878" s="6" t="n">
        <f aca="false">L878</f>
        <v>0</v>
      </c>
    </row>
    <row r="879" customFormat="false" ht="15" hidden="false" customHeight="false" outlineLevel="0" collapsed="false">
      <c r="A879" s="0" t="str">
        <f aca="false">'Raw Data'!C879</f>
        <v>West Orange</v>
      </c>
      <c r="B879" s="5" t="n">
        <f aca="false">'Raw Data'!A879</f>
        <v>40358</v>
      </c>
      <c r="C879" s="6" t="n">
        <f aca="false">'Raw Data'!D879</f>
        <v>230.100481233273</v>
      </c>
      <c r="D879" s="6" t="n">
        <f aca="false">'Raw Data'!E879</f>
        <v>4.161428571</v>
      </c>
      <c r="E879" s="6" t="n">
        <f aca="false">'Raw Data'!F879</f>
        <v>1</v>
      </c>
      <c r="F879" s="6" t="n">
        <f aca="false">'Raw Data'!G879</f>
        <v>0</v>
      </c>
      <c r="G879" s="6" t="n">
        <f aca="false">'Raw Data'!H879</f>
        <v>0</v>
      </c>
      <c r="H879" s="6" t="n">
        <f aca="false">'Raw Data'!I879</f>
        <v>0</v>
      </c>
      <c r="I879" s="6" t="n">
        <f aca="false">'Raw Data'!J879</f>
        <v>0</v>
      </c>
      <c r="J879" s="6" t="n">
        <f aca="false">'Raw Data'!K879</f>
        <v>2</v>
      </c>
      <c r="K879" s="6" t="n">
        <f aca="false">'Raw Data'!L879</f>
        <v>3</v>
      </c>
      <c r="L879" s="6" t="n">
        <f aca="false">F879*E879</f>
        <v>0</v>
      </c>
      <c r="N879" s="0" t="n">
        <v>1</v>
      </c>
      <c r="O879" s="6" t="n">
        <f aca="false">D879</f>
        <v>4.161428571</v>
      </c>
      <c r="P879" s="6" t="n">
        <f aca="false">E879</f>
        <v>1</v>
      </c>
      <c r="Q879" s="6" t="n">
        <f aca="false">F879</f>
        <v>0</v>
      </c>
      <c r="R879" s="6" t="n">
        <f aca="false">G879</f>
        <v>0</v>
      </c>
      <c r="S879" s="6" t="n">
        <f aca="false">H879</f>
        <v>0</v>
      </c>
      <c r="T879" s="6" t="n">
        <f aca="false">I879</f>
        <v>0</v>
      </c>
      <c r="U879" s="6" t="n">
        <f aca="false">L879</f>
        <v>0</v>
      </c>
      <c r="W879" s="6" t="n">
        <f aca="false">D879</f>
        <v>4.161428571</v>
      </c>
      <c r="X879" s="6" t="n">
        <f aca="false">E879</f>
        <v>1</v>
      </c>
      <c r="Y879" s="6" t="n">
        <f aca="false">F879</f>
        <v>0</v>
      </c>
      <c r="Z879" s="6" t="n">
        <f aca="false">L879</f>
        <v>0</v>
      </c>
      <c r="AA879" s="6" t="n">
        <f aca="false">G879</f>
        <v>0</v>
      </c>
      <c r="AC879" s="6" t="n">
        <f aca="false">D879</f>
        <v>4.161428571</v>
      </c>
      <c r="AD879" s="6" t="n">
        <f aca="false">E879</f>
        <v>1</v>
      </c>
      <c r="AE879" s="6" t="n">
        <f aca="false">G879</f>
        <v>0</v>
      </c>
      <c r="AF879" s="6" t="n">
        <f aca="false">H879</f>
        <v>0</v>
      </c>
      <c r="AG879" s="6" t="n">
        <f aca="false">I879</f>
        <v>0</v>
      </c>
      <c r="AH879" s="6" t="n">
        <f aca="false">L879</f>
        <v>0</v>
      </c>
    </row>
    <row r="880" customFormat="false" ht="15" hidden="false" customHeight="false" outlineLevel="0" collapsed="false">
      <c r="A880" s="0" t="str">
        <f aca="false">'Raw Data'!C880</f>
        <v>West Orange</v>
      </c>
      <c r="B880" s="5" t="n">
        <f aca="false">'Raw Data'!A880</f>
        <v>40365</v>
      </c>
      <c r="C880" s="6" t="n">
        <f aca="false">'Raw Data'!D880</f>
        <v>308.246585568921</v>
      </c>
      <c r="D880" s="6" t="n">
        <f aca="false">'Raw Data'!E880</f>
        <v>3.745</v>
      </c>
      <c r="E880" s="6" t="n">
        <f aca="false">'Raw Data'!F880</f>
        <v>1</v>
      </c>
      <c r="F880" s="6" t="n">
        <f aca="false">'Raw Data'!G880</f>
        <v>0</v>
      </c>
      <c r="G880" s="6" t="n">
        <f aca="false">'Raw Data'!H880</f>
        <v>0</v>
      </c>
      <c r="H880" s="6" t="n">
        <f aca="false">'Raw Data'!I880</f>
        <v>0</v>
      </c>
      <c r="I880" s="6" t="n">
        <f aca="false">'Raw Data'!J880</f>
        <v>0</v>
      </c>
      <c r="J880" s="6" t="n">
        <f aca="false">'Raw Data'!K880</f>
        <v>2</v>
      </c>
      <c r="K880" s="6" t="n">
        <f aca="false">'Raw Data'!L880</f>
        <v>3</v>
      </c>
      <c r="L880" s="6" t="n">
        <f aca="false">F880*E880</f>
        <v>0</v>
      </c>
      <c r="N880" s="0" t="n">
        <v>1</v>
      </c>
      <c r="O880" s="6" t="n">
        <f aca="false">D880</f>
        <v>3.745</v>
      </c>
      <c r="P880" s="6" t="n">
        <f aca="false">E880</f>
        <v>1</v>
      </c>
      <c r="Q880" s="6" t="n">
        <f aca="false">F880</f>
        <v>0</v>
      </c>
      <c r="R880" s="6" t="n">
        <f aca="false">G880</f>
        <v>0</v>
      </c>
      <c r="S880" s="6" t="n">
        <f aca="false">H880</f>
        <v>0</v>
      </c>
      <c r="T880" s="6" t="n">
        <f aca="false">I880</f>
        <v>0</v>
      </c>
      <c r="U880" s="6" t="n">
        <f aca="false">L880</f>
        <v>0</v>
      </c>
      <c r="W880" s="6" t="n">
        <f aca="false">D880</f>
        <v>3.745</v>
      </c>
      <c r="X880" s="6" t="n">
        <f aca="false">E880</f>
        <v>1</v>
      </c>
      <c r="Y880" s="6" t="n">
        <f aca="false">F880</f>
        <v>0</v>
      </c>
      <c r="Z880" s="6" t="n">
        <f aca="false">L880</f>
        <v>0</v>
      </c>
      <c r="AA880" s="6" t="n">
        <f aca="false">G880</f>
        <v>0</v>
      </c>
      <c r="AC880" s="6" t="n">
        <f aca="false">D880</f>
        <v>3.745</v>
      </c>
      <c r="AD880" s="6" t="n">
        <f aca="false">E880</f>
        <v>1</v>
      </c>
      <c r="AE880" s="6" t="n">
        <f aca="false">G880</f>
        <v>0</v>
      </c>
      <c r="AF880" s="6" t="n">
        <f aca="false">H880</f>
        <v>0</v>
      </c>
      <c r="AG880" s="6" t="n">
        <f aca="false">I880</f>
        <v>0</v>
      </c>
      <c r="AH880" s="6" t="n">
        <f aca="false">L880</f>
        <v>0</v>
      </c>
    </row>
    <row r="881" customFormat="false" ht="15" hidden="false" customHeight="false" outlineLevel="0" collapsed="false">
      <c r="A881" s="0" t="str">
        <f aca="false">'Raw Data'!C881</f>
        <v>West Orange</v>
      </c>
      <c r="B881" s="5" t="n">
        <f aca="false">'Raw Data'!A881</f>
        <v>40372</v>
      </c>
      <c r="C881" s="6" t="n">
        <f aca="false">'Raw Data'!D881</f>
        <v>326.652946057765</v>
      </c>
      <c r="D881" s="6" t="n">
        <f aca="false">'Raw Data'!E881</f>
        <v>3.745</v>
      </c>
      <c r="E881" s="6" t="n">
        <f aca="false">'Raw Data'!F881</f>
        <v>1</v>
      </c>
      <c r="F881" s="6" t="n">
        <f aca="false">'Raw Data'!G881</f>
        <v>0</v>
      </c>
      <c r="G881" s="6" t="n">
        <f aca="false">'Raw Data'!H881</f>
        <v>0</v>
      </c>
      <c r="H881" s="6" t="n">
        <f aca="false">'Raw Data'!I881</f>
        <v>0</v>
      </c>
      <c r="I881" s="6" t="n">
        <f aca="false">'Raw Data'!J881</f>
        <v>0</v>
      </c>
      <c r="J881" s="6" t="n">
        <f aca="false">'Raw Data'!K881</f>
        <v>2</v>
      </c>
      <c r="K881" s="6" t="n">
        <f aca="false">'Raw Data'!L881</f>
        <v>3</v>
      </c>
      <c r="L881" s="6" t="n">
        <f aca="false">F881*E881</f>
        <v>0</v>
      </c>
      <c r="N881" s="0" t="n">
        <v>1</v>
      </c>
      <c r="O881" s="6" t="n">
        <f aca="false">D881</f>
        <v>3.745</v>
      </c>
      <c r="P881" s="6" t="n">
        <f aca="false">E881</f>
        <v>1</v>
      </c>
      <c r="Q881" s="6" t="n">
        <f aca="false">F881</f>
        <v>0</v>
      </c>
      <c r="R881" s="6" t="n">
        <f aca="false">G881</f>
        <v>0</v>
      </c>
      <c r="S881" s="6" t="n">
        <f aca="false">H881</f>
        <v>0</v>
      </c>
      <c r="T881" s="6" t="n">
        <f aca="false">I881</f>
        <v>0</v>
      </c>
      <c r="U881" s="6" t="n">
        <f aca="false">L881</f>
        <v>0</v>
      </c>
      <c r="W881" s="6" t="n">
        <f aca="false">D881</f>
        <v>3.745</v>
      </c>
      <c r="X881" s="6" t="n">
        <f aca="false">E881</f>
        <v>1</v>
      </c>
      <c r="Y881" s="6" t="n">
        <f aca="false">F881</f>
        <v>0</v>
      </c>
      <c r="Z881" s="6" t="n">
        <f aca="false">L881</f>
        <v>0</v>
      </c>
      <c r="AA881" s="6" t="n">
        <f aca="false">G881</f>
        <v>0</v>
      </c>
      <c r="AC881" s="6" t="n">
        <f aca="false">D881</f>
        <v>3.745</v>
      </c>
      <c r="AD881" s="6" t="n">
        <f aca="false">E881</f>
        <v>1</v>
      </c>
      <c r="AE881" s="6" t="n">
        <f aca="false">G881</f>
        <v>0</v>
      </c>
      <c r="AF881" s="6" t="n">
        <f aca="false">H881</f>
        <v>0</v>
      </c>
      <c r="AG881" s="6" t="n">
        <f aca="false">I881</f>
        <v>0</v>
      </c>
      <c r="AH881" s="6" t="n">
        <f aca="false">L881</f>
        <v>0</v>
      </c>
    </row>
    <row r="882" customFormat="false" ht="15" hidden="false" customHeight="false" outlineLevel="0" collapsed="false">
      <c r="A882" s="0" t="str">
        <f aca="false">'Raw Data'!C882</f>
        <v>White Plains</v>
      </c>
      <c r="B882" s="5" t="n">
        <f aca="false">'Raw Data'!A882</f>
        <v>40302</v>
      </c>
      <c r="C882" s="6" t="n">
        <f aca="false">'Raw Data'!D882</f>
        <v>120.518992945255</v>
      </c>
      <c r="D882" s="6" t="n">
        <f aca="false">'Raw Data'!E882</f>
        <v>4.161428571</v>
      </c>
      <c r="E882" s="6" t="n">
        <f aca="false">'Raw Data'!F882</f>
        <v>0</v>
      </c>
      <c r="F882" s="6" t="n">
        <f aca="false">'Raw Data'!G882</f>
        <v>0</v>
      </c>
      <c r="G882" s="6" t="n">
        <f aca="false">'Raw Data'!H882</f>
        <v>0</v>
      </c>
      <c r="H882" s="6" t="n">
        <f aca="false">'Raw Data'!I882</f>
        <v>0</v>
      </c>
      <c r="I882" s="6" t="n">
        <f aca="false">'Raw Data'!J882</f>
        <v>1</v>
      </c>
      <c r="J882" s="6" t="n">
        <f aca="false">'Raw Data'!K882</f>
        <v>1</v>
      </c>
      <c r="K882" s="6" t="n">
        <f aca="false">'Raw Data'!L882</f>
        <v>1</v>
      </c>
      <c r="L882" s="6" t="n">
        <f aca="false">F882*E882</f>
        <v>0</v>
      </c>
      <c r="N882" s="0" t="n">
        <v>1</v>
      </c>
      <c r="O882" s="6" t="n">
        <f aca="false">D882</f>
        <v>4.161428571</v>
      </c>
      <c r="P882" s="6" t="n">
        <f aca="false">E882</f>
        <v>0</v>
      </c>
      <c r="Q882" s="6" t="n">
        <f aca="false">F882</f>
        <v>0</v>
      </c>
      <c r="R882" s="6" t="n">
        <f aca="false">G882</f>
        <v>0</v>
      </c>
      <c r="S882" s="6" t="n">
        <f aca="false">H882</f>
        <v>0</v>
      </c>
      <c r="T882" s="6" t="n">
        <f aca="false">I882</f>
        <v>1</v>
      </c>
      <c r="U882" s="6" t="n">
        <f aca="false">L882</f>
        <v>0</v>
      </c>
      <c r="W882" s="6" t="n">
        <f aca="false">D882</f>
        <v>4.161428571</v>
      </c>
      <c r="X882" s="6" t="n">
        <f aca="false">E882</f>
        <v>0</v>
      </c>
      <c r="Y882" s="6" t="n">
        <f aca="false">F882</f>
        <v>0</v>
      </c>
      <c r="Z882" s="6" t="n">
        <f aca="false">L882</f>
        <v>0</v>
      </c>
      <c r="AA882" s="6" t="n">
        <f aca="false">G882</f>
        <v>0</v>
      </c>
      <c r="AC882" s="6" t="n">
        <f aca="false">D882</f>
        <v>4.161428571</v>
      </c>
      <c r="AD882" s="6" t="n">
        <f aca="false">E882</f>
        <v>0</v>
      </c>
      <c r="AE882" s="6" t="n">
        <f aca="false">G882</f>
        <v>0</v>
      </c>
      <c r="AF882" s="6" t="n">
        <f aca="false">H882</f>
        <v>0</v>
      </c>
      <c r="AG882" s="6" t="n">
        <f aca="false">I882</f>
        <v>1</v>
      </c>
      <c r="AH882" s="6" t="n">
        <f aca="false">L882</f>
        <v>0</v>
      </c>
    </row>
    <row r="883" customFormat="false" ht="15" hidden="false" customHeight="false" outlineLevel="0" collapsed="false">
      <c r="A883" s="0" t="str">
        <f aca="false">'Raw Data'!C883</f>
        <v>White Plains</v>
      </c>
      <c r="B883" s="5" t="n">
        <f aca="false">'Raw Data'!A883</f>
        <v>40309</v>
      </c>
      <c r="C883" s="6" t="n">
        <f aca="false">'Raw Data'!D883</f>
        <v>199.315991033702</v>
      </c>
      <c r="D883" s="6" t="n">
        <f aca="false">'Raw Data'!E883</f>
        <v>4.128571429</v>
      </c>
      <c r="E883" s="6" t="n">
        <f aca="false">'Raw Data'!F883</f>
        <v>0</v>
      </c>
      <c r="F883" s="6" t="n">
        <f aca="false">'Raw Data'!G883</f>
        <v>0</v>
      </c>
      <c r="G883" s="6" t="n">
        <f aca="false">'Raw Data'!H883</f>
        <v>0</v>
      </c>
      <c r="H883" s="6" t="n">
        <f aca="false">'Raw Data'!I883</f>
        <v>0</v>
      </c>
      <c r="I883" s="6" t="n">
        <f aca="false">'Raw Data'!J883</f>
        <v>1</v>
      </c>
      <c r="J883" s="6" t="n">
        <f aca="false">'Raw Data'!K883</f>
        <v>1</v>
      </c>
      <c r="K883" s="6" t="n">
        <f aca="false">'Raw Data'!L883</f>
        <v>1</v>
      </c>
      <c r="L883" s="6" t="n">
        <f aca="false">F883*E883</f>
        <v>0</v>
      </c>
      <c r="N883" s="0" t="n">
        <v>1</v>
      </c>
      <c r="O883" s="6" t="n">
        <f aca="false">D883</f>
        <v>4.128571429</v>
      </c>
      <c r="P883" s="6" t="n">
        <f aca="false">E883</f>
        <v>0</v>
      </c>
      <c r="Q883" s="6" t="n">
        <f aca="false">F883</f>
        <v>0</v>
      </c>
      <c r="R883" s="6" t="n">
        <f aca="false">G883</f>
        <v>0</v>
      </c>
      <c r="S883" s="6" t="n">
        <f aca="false">H883</f>
        <v>0</v>
      </c>
      <c r="T883" s="6" t="n">
        <f aca="false">I883</f>
        <v>1</v>
      </c>
      <c r="U883" s="6" t="n">
        <f aca="false">L883</f>
        <v>0</v>
      </c>
      <c r="W883" s="6" t="n">
        <f aca="false">D883</f>
        <v>4.128571429</v>
      </c>
      <c r="X883" s="6" t="n">
        <f aca="false">E883</f>
        <v>0</v>
      </c>
      <c r="Y883" s="6" t="n">
        <f aca="false">F883</f>
        <v>0</v>
      </c>
      <c r="Z883" s="6" t="n">
        <f aca="false">L883</f>
        <v>0</v>
      </c>
      <c r="AA883" s="6" t="n">
        <f aca="false">G883</f>
        <v>0</v>
      </c>
      <c r="AC883" s="6" t="n">
        <f aca="false">D883</f>
        <v>4.128571429</v>
      </c>
      <c r="AD883" s="6" t="n">
        <f aca="false">E883</f>
        <v>0</v>
      </c>
      <c r="AE883" s="6" t="n">
        <f aca="false">G883</f>
        <v>0</v>
      </c>
      <c r="AF883" s="6" t="n">
        <f aca="false">H883</f>
        <v>0</v>
      </c>
      <c r="AG883" s="6" t="n">
        <f aca="false">I883</f>
        <v>1</v>
      </c>
      <c r="AH883" s="6" t="n">
        <f aca="false">L883</f>
        <v>0</v>
      </c>
    </row>
    <row r="884" customFormat="false" ht="15" hidden="false" customHeight="false" outlineLevel="0" collapsed="false">
      <c r="A884" s="0" t="str">
        <f aca="false">'Raw Data'!C884</f>
        <v>White Plains</v>
      </c>
      <c r="B884" s="5" t="n">
        <f aca="false">'Raw Data'!A884</f>
        <v>40316</v>
      </c>
      <c r="C884" s="6" t="n">
        <f aca="false">'Raw Data'!D884</f>
        <v>265.207807417214</v>
      </c>
      <c r="D884" s="6" t="n">
        <f aca="false">'Raw Data'!E884</f>
        <v>3.881428571</v>
      </c>
      <c r="E884" s="6" t="n">
        <f aca="false">'Raw Data'!F884</f>
        <v>0</v>
      </c>
      <c r="F884" s="6" t="n">
        <f aca="false">'Raw Data'!G884</f>
        <v>0</v>
      </c>
      <c r="G884" s="6" t="n">
        <f aca="false">'Raw Data'!H884</f>
        <v>0</v>
      </c>
      <c r="H884" s="6" t="n">
        <f aca="false">'Raw Data'!I884</f>
        <v>0</v>
      </c>
      <c r="I884" s="6" t="n">
        <f aca="false">'Raw Data'!J884</f>
        <v>0</v>
      </c>
      <c r="J884" s="6" t="n">
        <f aca="false">'Raw Data'!K884</f>
        <v>1</v>
      </c>
      <c r="K884" s="6" t="n">
        <f aca="false">'Raw Data'!L884</f>
        <v>1</v>
      </c>
      <c r="L884" s="6" t="n">
        <f aca="false">F884*E884</f>
        <v>0</v>
      </c>
      <c r="N884" s="0" t="n">
        <v>1</v>
      </c>
      <c r="O884" s="6" t="n">
        <f aca="false">D884</f>
        <v>3.881428571</v>
      </c>
      <c r="P884" s="6" t="n">
        <f aca="false">E884</f>
        <v>0</v>
      </c>
      <c r="Q884" s="6" t="n">
        <f aca="false">F884</f>
        <v>0</v>
      </c>
      <c r="R884" s="6" t="n">
        <f aca="false">G884</f>
        <v>0</v>
      </c>
      <c r="S884" s="6" t="n">
        <f aca="false">H884</f>
        <v>0</v>
      </c>
      <c r="T884" s="6" t="n">
        <f aca="false">I884</f>
        <v>0</v>
      </c>
      <c r="U884" s="6" t="n">
        <f aca="false">L884</f>
        <v>0</v>
      </c>
      <c r="W884" s="6" t="n">
        <f aca="false">D884</f>
        <v>3.881428571</v>
      </c>
      <c r="X884" s="6" t="n">
        <f aca="false">E884</f>
        <v>0</v>
      </c>
      <c r="Y884" s="6" t="n">
        <f aca="false">F884</f>
        <v>0</v>
      </c>
      <c r="Z884" s="6" t="n">
        <f aca="false">L884</f>
        <v>0</v>
      </c>
      <c r="AA884" s="6" t="n">
        <f aca="false">G884</f>
        <v>0</v>
      </c>
      <c r="AC884" s="6" t="n">
        <f aca="false">D884</f>
        <v>3.881428571</v>
      </c>
      <c r="AD884" s="6" t="n">
        <f aca="false">E884</f>
        <v>0</v>
      </c>
      <c r="AE884" s="6" t="n">
        <f aca="false">G884</f>
        <v>0</v>
      </c>
      <c r="AF884" s="6" t="n">
        <f aca="false">H884</f>
        <v>0</v>
      </c>
      <c r="AG884" s="6" t="n">
        <f aca="false">I884</f>
        <v>0</v>
      </c>
      <c r="AH884" s="6" t="n">
        <f aca="false">L884</f>
        <v>0</v>
      </c>
    </row>
    <row r="885" customFormat="false" ht="15" hidden="false" customHeight="false" outlineLevel="0" collapsed="false">
      <c r="A885" s="0" t="str">
        <f aca="false">'Raw Data'!C885</f>
        <v>White Plains</v>
      </c>
      <c r="B885" s="5" t="n">
        <f aca="false">'Raw Data'!A885</f>
        <v>40323</v>
      </c>
      <c r="C885" s="6" t="n">
        <f aca="false">'Raw Data'!D885</f>
        <v>292.620087994381</v>
      </c>
      <c r="D885" s="6" t="n">
        <f aca="false">'Raw Data'!E885</f>
        <v>3.881428571</v>
      </c>
      <c r="E885" s="6" t="n">
        <f aca="false">'Raw Data'!F885</f>
        <v>1</v>
      </c>
      <c r="F885" s="6" t="n">
        <f aca="false">'Raw Data'!G885</f>
        <v>0</v>
      </c>
      <c r="G885" s="6" t="n">
        <f aca="false">'Raw Data'!H885</f>
        <v>0</v>
      </c>
      <c r="H885" s="6" t="n">
        <f aca="false">'Raw Data'!I885</f>
        <v>0</v>
      </c>
      <c r="I885" s="6" t="n">
        <f aca="false">'Raw Data'!J885</f>
        <v>0</v>
      </c>
      <c r="J885" s="6" t="n">
        <f aca="false">'Raw Data'!K885</f>
        <v>1</v>
      </c>
      <c r="K885" s="6" t="n">
        <f aca="false">'Raw Data'!L885</f>
        <v>1</v>
      </c>
      <c r="L885" s="6" t="n">
        <f aca="false">F885*E885</f>
        <v>0</v>
      </c>
      <c r="N885" s="0" t="n">
        <v>1</v>
      </c>
      <c r="O885" s="6" t="n">
        <f aca="false">D885</f>
        <v>3.881428571</v>
      </c>
      <c r="P885" s="6" t="n">
        <f aca="false">E885</f>
        <v>1</v>
      </c>
      <c r="Q885" s="6" t="n">
        <f aca="false">F885</f>
        <v>0</v>
      </c>
      <c r="R885" s="6" t="n">
        <f aca="false">G885</f>
        <v>0</v>
      </c>
      <c r="S885" s="6" t="n">
        <f aca="false">H885</f>
        <v>0</v>
      </c>
      <c r="T885" s="6" t="n">
        <f aca="false">I885</f>
        <v>0</v>
      </c>
      <c r="U885" s="6" t="n">
        <f aca="false">L885</f>
        <v>0</v>
      </c>
      <c r="W885" s="6" t="n">
        <f aca="false">D885</f>
        <v>3.881428571</v>
      </c>
      <c r="X885" s="6" t="n">
        <f aca="false">E885</f>
        <v>1</v>
      </c>
      <c r="Y885" s="6" t="n">
        <f aca="false">F885</f>
        <v>0</v>
      </c>
      <c r="Z885" s="6" t="n">
        <f aca="false">L885</f>
        <v>0</v>
      </c>
      <c r="AA885" s="6" t="n">
        <f aca="false">G885</f>
        <v>0</v>
      </c>
      <c r="AC885" s="6" t="n">
        <f aca="false">D885</f>
        <v>3.881428571</v>
      </c>
      <c r="AD885" s="6" t="n">
        <f aca="false">E885</f>
        <v>1</v>
      </c>
      <c r="AE885" s="6" t="n">
        <f aca="false">G885</f>
        <v>0</v>
      </c>
      <c r="AF885" s="6" t="n">
        <f aca="false">H885</f>
        <v>0</v>
      </c>
      <c r="AG885" s="6" t="n">
        <f aca="false">I885</f>
        <v>0</v>
      </c>
      <c r="AH885" s="6" t="n">
        <f aca="false">L885</f>
        <v>0</v>
      </c>
    </row>
    <row r="886" customFormat="false" ht="15" hidden="false" customHeight="false" outlineLevel="0" collapsed="false">
      <c r="A886" s="0" t="str">
        <f aca="false">'Raw Data'!C886</f>
        <v>White Plains</v>
      </c>
      <c r="B886" s="5" t="n">
        <f aca="false">'Raw Data'!A886</f>
        <v>40330</v>
      </c>
      <c r="C886" s="6" t="n">
        <f aca="false">'Raw Data'!D886</f>
        <v>296.429275213255</v>
      </c>
      <c r="D886" s="6" t="n">
        <f aca="false">'Raw Data'!E886</f>
        <v>3.881428571</v>
      </c>
      <c r="E886" s="6" t="n">
        <f aca="false">'Raw Data'!F886</f>
        <v>1</v>
      </c>
      <c r="F886" s="6" t="n">
        <f aca="false">'Raw Data'!G886</f>
        <v>0</v>
      </c>
      <c r="G886" s="6" t="n">
        <f aca="false">'Raw Data'!H886</f>
        <v>0</v>
      </c>
      <c r="H886" s="6" t="n">
        <f aca="false">'Raw Data'!I886</f>
        <v>0</v>
      </c>
      <c r="I886" s="6" t="n">
        <f aca="false">'Raw Data'!J886</f>
        <v>0</v>
      </c>
      <c r="J886" s="6" t="n">
        <f aca="false">'Raw Data'!K886</f>
        <v>1</v>
      </c>
      <c r="K886" s="6" t="n">
        <f aca="false">'Raw Data'!L886</f>
        <v>1</v>
      </c>
      <c r="L886" s="6" t="n">
        <f aca="false">F886*E886</f>
        <v>0</v>
      </c>
      <c r="N886" s="0" t="n">
        <v>1</v>
      </c>
      <c r="O886" s="6" t="n">
        <f aca="false">D886</f>
        <v>3.881428571</v>
      </c>
      <c r="P886" s="6" t="n">
        <f aca="false">E886</f>
        <v>1</v>
      </c>
      <c r="Q886" s="6" t="n">
        <f aca="false">F886</f>
        <v>0</v>
      </c>
      <c r="R886" s="6" t="n">
        <f aca="false">G886</f>
        <v>0</v>
      </c>
      <c r="S886" s="6" t="n">
        <f aca="false">H886</f>
        <v>0</v>
      </c>
      <c r="T886" s="6" t="n">
        <f aca="false">I886</f>
        <v>0</v>
      </c>
      <c r="U886" s="6" t="n">
        <f aca="false">L886</f>
        <v>0</v>
      </c>
      <c r="W886" s="6" t="n">
        <f aca="false">D886</f>
        <v>3.881428571</v>
      </c>
      <c r="X886" s="6" t="n">
        <f aca="false">E886</f>
        <v>1</v>
      </c>
      <c r="Y886" s="6" t="n">
        <f aca="false">F886</f>
        <v>0</v>
      </c>
      <c r="Z886" s="6" t="n">
        <f aca="false">L886</f>
        <v>0</v>
      </c>
      <c r="AA886" s="6" t="n">
        <f aca="false">G886</f>
        <v>0</v>
      </c>
      <c r="AC886" s="6" t="n">
        <f aca="false">D886</f>
        <v>3.881428571</v>
      </c>
      <c r="AD886" s="6" t="n">
        <f aca="false">E886</f>
        <v>1</v>
      </c>
      <c r="AE886" s="6" t="n">
        <f aca="false">G886</f>
        <v>0</v>
      </c>
      <c r="AF886" s="6" t="n">
        <f aca="false">H886</f>
        <v>0</v>
      </c>
      <c r="AG886" s="6" t="n">
        <f aca="false">I886</f>
        <v>0</v>
      </c>
      <c r="AH886" s="6" t="n">
        <f aca="false">L886</f>
        <v>0</v>
      </c>
    </row>
    <row r="887" customFormat="false" ht="15" hidden="false" customHeight="false" outlineLevel="0" collapsed="false">
      <c r="A887" s="0" t="str">
        <f aca="false">'Raw Data'!C887</f>
        <v>White Plains</v>
      </c>
      <c r="B887" s="5" t="n">
        <f aca="false">'Raw Data'!A887</f>
        <v>40337</v>
      </c>
      <c r="C887" s="6" t="n">
        <f aca="false">'Raw Data'!D887</f>
        <v>349.296497627869</v>
      </c>
      <c r="D887" s="6" t="n">
        <f aca="false">'Raw Data'!E887</f>
        <v>4.125714286</v>
      </c>
      <c r="E887" s="6" t="n">
        <f aca="false">'Raw Data'!F887</f>
        <v>1</v>
      </c>
      <c r="F887" s="6" t="n">
        <f aca="false">'Raw Data'!G887</f>
        <v>0</v>
      </c>
      <c r="G887" s="6" t="n">
        <f aca="false">'Raw Data'!H887</f>
        <v>1</v>
      </c>
      <c r="H887" s="6" t="n">
        <f aca="false">'Raw Data'!I887</f>
        <v>0</v>
      </c>
      <c r="I887" s="6" t="n">
        <f aca="false">'Raw Data'!J887</f>
        <v>0</v>
      </c>
      <c r="J887" s="6" t="n">
        <f aca="false">'Raw Data'!K887</f>
        <v>1</v>
      </c>
      <c r="K887" s="6" t="n">
        <f aca="false">'Raw Data'!L887</f>
        <v>1</v>
      </c>
      <c r="L887" s="6" t="n">
        <f aca="false">F887*E887</f>
        <v>0</v>
      </c>
      <c r="N887" s="0" t="n">
        <v>1</v>
      </c>
      <c r="O887" s="6" t="n">
        <f aca="false">D887</f>
        <v>4.125714286</v>
      </c>
      <c r="P887" s="6" t="n">
        <f aca="false">E887</f>
        <v>1</v>
      </c>
      <c r="Q887" s="6" t="n">
        <f aca="false">F887</f>
        <v>0</v>
      </c>
      <c r="R887" s="6" t="n">
        <f aca="false">G887</f>
        <v>1</v>
      </c>
      <c r="S887" s="6" t="n">
        <f aca="false">H887</f>
        <v>0</v>
      </c>
      <c r="T887" s="6" t="n">
        <f aca="false">I887</f>
        <v>0</v>
      </c>
      <c r="U887" s="6" t="n">
        <f aca="false">L887</f>
        <v>0</v>
      </c>
      <c r="W887" s="6" t="n">
        <f aca="false">D887</f>
        <v>4.125714286</v>
      </c>
      <c r="X887" s="6" t="n">
        <f aca="false">E887</f>
        <v>1</v>
      </c>
      <c r="Y887" s="6" t="n">
        <f aca="false">F887</f>
        <v>0</v>
      </c>
      <c r="Z887" s="6" t="n">
        <f aca="false">L887</f>
        <v>0</v>
      </c>
      <c r="AA887" s="6" t="n">
        <f aca="false">G887</f>
        <v>1</v>
      </c>
      <c r="AC887" s="6" t="n">
        <f aca="false">D887</f>
        <v>4.125714286</v>
      </c>
      <c r="AD887" s="6" t="n">
        <f aca="false">E887</f>
        <v>1</v>
      </c>
      <c r="AE887" s="6" t="n">
        <f aca="false">G887</f>
        <v>1</v>
      </c>
      <c r="AF887" s="6" t="n">
        <f aca="false">H887</f>
        <v>0</v>
      </c>
      <c r="AG887" s="6" t="n">
        <f aca="false">I887</f>
        <v>0</v>
      </c>
      <c r="AH887" s="6" t="n">
        <f aca="false">L887</f>
        <v>0</v>
      </c>
    </row>
    <row r="888" customFormat="false" ht="15" hidden="false" customHeight="false" outlineLevel="0" collapsed="false">
      <c r="A888" s="0" t="str">
        <f aca="false">'Raw Data'!C888</f>
        <v>White Plains</v>
      </c>
      <c r="B888" s="5" t="n">
        <f aca="false">'Raw Data'!A888</f>
        <v>40344</v>
      </c>
      <c r="C888" s="6" t="n">
        <f aca="false">'Raw Data'!D888</f>
        <v>284.123614747547</v>
      </c>
      <c r="D888" s="6" t="n">
        <f aca="false">'Raw Data'!E888</f>
        <v>4.161428571</v>
      </c>
      <c r="E888" s="6" t="n">
        <f aca="false">'Raw Data'!F888</f>
        <v>1</v>
      </c>
      <c r="F888" s="6" t="n">
        <f aca="false">'Raw Data'!G888</f>
        <v>0</v>
      </c>
      <c r="G888" s="6" t="n">
        <f aca="false">'Raw Data'!H888</f>
        <v>0</v>
      </c>
      <c r="H888" s="6" t="n">
        <f aca="false">'Raw Data'!I888</f>
        <v>1</v>
      </c>
      <c r="I888" s="6" t="n">
        <f aca="false">'Raw Data'!J888</f>
        <v>0</v>
      </c>
      <c r="J888" s="6" t="n">
        <f aca="false">'Raw Data'!K888</f>
        <v>1</v>
      </c>
      <c r="K888" s="6" t="n">
        <f aca="false">'Raw Data'!L888</f>
        <v>1</v>
      </c>
      <c r="L888" s="6" t="n">
        <f aca="false">F888*E888</f>
        <v>0</v>
      </c>
      <c r="N888" s="0" t="n">
        <v>1</v>
      </c>
      <c r="O888" s="6" t="n">
        <f aca="false">D888</f>
        <v>4.161428571</v>
      </c>
      <c r="P888" s="6" t="n">
        <f aca="false">E888</f>
        <v>1</v>
      </c>
      <c r="Q888" s="6" t="n">
        <f aca="false">F888</f>
        <v>0</v>
      </c>
      <c r="R888" s="6" t="n">
        <f aca="false">G888</f>
        <v>0</v>
      </c>
      <c r="S888" s="6" t="n">
        <f aca="false">H888</f>
        <v>1</v>
      </c>
      <c r="T888" s="6" t="n">
        <f aca="false">I888</f>
        <v>0</v>
      </c>
      <c r="U888" s="6" t="n">
        <f aca="false">L888</f>
        <v>0</v>
      </c>
      <c r="W888" s="6" t="n">
        <f aca="false">D888</f>
        <v>4.161428571</v>
      </c>
      <c r="X888" s="6" t="n">
        <f aca="false">E888</f>
        <v>1</v>
      </c>
      <c r="Y888" s="6" t="n">
        <f aca="false">F888</f>
        <v>0</v>
      </c>
      <c r="Z888" s="6" t="n">
        <f aca="false">L888</f>
        <v>0</v>
      </c>
      <c r="AA888" s="6" t="n">
        <f aca="false">G888</f>
        <v>0</v>
      </c>
      <c r="AC888" s="6" t="n">
        <f aca="false">D888</f>
        <v>4.161428571</v>
      </c>
      <c r="AD888" s="6" t="n">
        <f aca="false">E888</f>
        <v>1</v>
      </c>
      <c r="AE888" s="6" t="n">
        <f aca="false">G888</f>
        <v>0</v>
      </c>
      <c r="AF888" s="6" t="n">
        <f aca="false">H888</f>
        <v>1</v>
      </c>
      <c r="AG888" s="6" t="n">
        <f aca="false">I888</f>
        <v>0</v>
      </c>
      <c r="AH888" s="6" t="n">
        <f aca="false">L888</f>
        <v>0</v>
      </c>
    </row>
    <row r="889" customFormat="false" ht="15" hidden="false" customHeight="false" outlineLevel="0" collapsed="false">
      <c r="A889" s="0" t="str">
        <f aca="false">'Raw Data'!C889</f>
        <v>White Plains</v>
      </c>
      <c r="B889" s="5" t="n">
        <f aca="false">'Raw Data'!A889</f>
        <v>40351</v>
      </c>
      <c r="C889" s="6" t="n">
        <f aca="false">'Raw Data'!D889</f>
        <v>302.026824430316</v>
      </c>
      <c r="D889" s="6" t="n">
        <f aca="false">'Raw Data'!E889</f>
        <v>4.161428571</v>
      </c>
      <c r="E889" s="6" t="n">
        <f aca="false">'Raw Data'!F889</f>
        <v>1</v>
      </c>
      <c r="F889" s="6" t="n">
        <f aca="false">'Raw Data'!G889</f>
        <v>0</v>
      </c>
      <c r="G889" s="6" t="n">
        <f aca="false">'Raw Data'!H889</f>
        <v>0</v>
      </c>
      <c r="H889" s="6" t="n">
        <f aca="false">'Raw Data'!I889</f>
        <v>1</v>
      </c>
      <c r="I889" s="6" t="n">
        <f aca="false">'Raw Data'!J889</f>
        <v>0</v>
      </c>
      <c r="J889" s="6" t="n">
        <f aca="false">'Raw Data'!K889</f>
        <v>1</v>
      </c>
      <c r="K889" s="6" t="n">
        <f aca="false">'Raw Data'!L889</f>
        <v>1</v>
      </c>
      <c r="L889" s="6" t="n">
        <f aca="false">F889*E889</f>
        <v>0</v>
      </c>
      <c r="N889" s="0" t="n">
        <v>1</v>
      </c>
      <c r="O889" s="6" t="n">
        <f aca="false">D889</f>
        <v>4.161428571</v>
      </c>
      <c r="P889" s="6" t="n">
        <f aca="false">E889</f>
        <v>1</v>
      </c>
      <c r="Q889" s="6" t="n">
        <f aca="false">F889</f>
        <v>0</v>
      </c>
      <c r="R889" s="6" t="n">
        <f aca="false">G889</f>
        <v>0</v>
      </c>
      <c r="S889" s="6" t="n">
        <f aca="false">H889</f>
        <v>1</v>
      </c>
      <c r="T889" s="6" t="n">
        <f aca="false">I889</f>
        <v>0</v>
      </c>
      <c r="U889" s="6" t="n">
        <f aca="false">L889</f>
        <v>0</v>
      </c>
      <c r="W889" s="6" t="n">
        <f aca="false">D889</f>
        <v>4.161428571</v>
      </c>
      <c r="X889" s="6" t="n">
        <f aca="false">E889</f>
        <v>1</v>
      </c>
      <c r="Y889" s="6" t="n">
        <f aca="false">F889</f>
        <v>0</v>
      </c>
      <c r="Z889" s="6" t="n">
        <f aca="false">L889</f>
        <v>0</v>
      </c>
      <c r="AA889" s="6" t="n">
        <f aca="false">G889</f>
        <v>0</v>
      </c>
      <c r="AC889" s="6" t="n">
        <f aca="false">D889</f>
        <v>4.161428571</v>
      </c>
      <c r="AD889" s="6" t="n">
        <f aca="false">E889</f>
        <v>1</v>
      </c>
      <c r="AE889" s="6" t="n">
        <f aca="false">G889</f>
        <v>0</v>
      </c>
      <c r="AF889" s="6" t="n">
        <f aca="false">H889</f>
        <v>1</v>
      </c>
      <c r="AG889" s="6" t="n">
        <f aca="false">I889</f>
        <v>0</v>
      </c>
      <c r="AH889" s="6" t="n">
        <f aca="false">L889</f>
        <v>0</v>
      </c>
    </row>
    <row r="890" customFormat="false" ht="15" hidden="false" customHeight="false" outlineLevel="0" collapsed="false">
      <c r="A890" s="0" t="str">
        <f aca="false">'Raw Data'!C890</f>
        <v>White Plains</v>
      </c>
      <c r="B890" s="5" t="n">
        <f aca="false">'Raw Data'!A890</f>
        <v>40358</v>
      </c>
      <c r="C890" s="6" t="n">
        <f aca="false">'Raw Data'!D890</f>
        <v>262.657035952143</v>
      </c>
      <c r="D890" s="6" t="n">
        <f aca="false">'Raw Data'!E890</f>
        <v>4.161428571</v>
      </c>
      <c r="E890" s="6" t="n">
        <f aca="false">'Raw Data'!F890</f>
        <v>1</v>
      </c>
      <c r="F890" s="6" t="n">
        <f aca="false">'Raw Data'!G890</f>
        <v>0</v>
      </c>
      <c r="G890" s="6" t="n">
        <f aca="false">'Raw Data'!H890</f>
        <v>0</v>
      </c>
      <c r="H890" s="6" t="n">
        <f aca="false">'Raw Data'!I890</f>
        <v>1</v>
      </c>
      <c r="I890" s="6" t="n">
        <f aca="false">'Raw Data'!J890</f>
        <v>0</v>
      </c>
      <c r="J890" s="6" t="n">
        <f aca="false">'Raw Data'!K890</f>
        <v>1</v>
      </c>
      <c r="K890" s="6" t="n">
        <f aca="false">'Raw Data'!L890</f>
        <v>1</v>
      </c>
      <c r="L890" s="6" t="n">
        <f aca="false">F890*E890</f>
        <v>0</v>
      </c>
      <c r="N890" s="0" t="n">
        <v>1</v>
      </c>
      <c r="O890" s="6" t="n">
        <f aca="false">D890</f>
        <v>4.161428571</v>
      </c>
      <c r="P890" s="6" t="n">
        <f aca="false">E890</f>
        <v>1</v>
      </c>
      <c r="Q890" s="6" t="n">
        <f aca="false">F890</f>
        <v>0</v>
      </c>
      <c r="R890" s="6" t="n">
        <f aca="false">G890</f>
        <v>0</v>
      </c>
      <c r="S890" s="6" t="n">
        <f aca="false">H890</f>
        <v>1</v>
      </c>
      <c r="T890" s="6" t="n">
        <f aca="false">I890</f>
        <v>0</v>
      </c>
      <c r="U890" s="6" t="n">
        <f aca="false">L890</f>
        <v>0</v>
      </c>
      <c r="W890" s="6" t="n">
        <f aca="false">D890</f>
        <v>4.161428571</v>
      </c>
      <c r="X890" s="6" t="n">
        <f aca="false">E890</f>
        <v>1</v>
      </c>
      <c r="Y890" s="6" t="n">
        <f aca="false">F890</f>
        <v>0</v>
      </c>
      <c r="Z890" s="6" t="n">
        <f aca="false">L890</f>
        <v>0</v>
      </c>
      <c r="AA890" s="6" t="n">
        <f aca="false">G890</f>
        <v>0</v>
      </c>
      <c r="AC890" s="6" t="n">
        <f aca="false">D890</f>
        <v>4.161428571</v>
      </c>
      <c r="AD890" s="6" t="n">
        <f aca="false">E890</f>
        <v>1</v>
      </c>
      <c r="AE890" s="6" t="n">
        <f aca="false">G890</f>
        <v>0</v>
      </c>
      <c r="AF890" s="6" t="n">
        <f aca="false">H890</f>
        <v>1</v>
      </c>
      <c r="AG890" s="6" t="n">
        <f aca="false">I890</f>
        <v>0</v>
      </c>
      <c r="AH890" s="6" t="n">
        <f aca="false">L890</f>
        <v>0</v>
      </c>
    </row>
    <row r="891" customFormat="false" ht="15" hidden="false" customHeight="false" outlineLevel="0" collapsed="false">
      <c r="A891" s="0" t="str">
        <f aca="false">'Raw Data'!C891</f>
        <v>White Plains</v>
      </c>
      <c r="B891" s="5" t="n">
        <f aca="false">'Raw Data'!A891</f>
        <v>40365</v>
      </c>
      <c r="C891" s="6" t="n">
        <f aca="false">'Raw Data'!D891</f>
        <v>377.139476472588</v>
      </c>
      <c r="D891" s="6" t="n">
        <f aca="false">'Raw Data'!E891</f>
        <v>3.826666667</v>
      </c>
      <c r="E891" s="6" t="n">
        <f aca="false">'Raw Data'!F891</f>
        <v>1</v>
      </c>
      <c r="F891" s="6" t="n">
        <f aca="false">'Raw Data'!G891</f>
        <v>0</v>
      </c>
      <c r="G891" s="6" t="n">
        <f aca="false">'Raw Data'!H891</f>
        <v>0</v>
      </c>
      <c r="H891" s="6" t="n">
        <f aca="false">'Raw Data'!I891</f>
        <v>0</v>
      </c>
      <c r="I891" s="6" t="n">
        <f aca="false">'Raw Data'!J891</f>
        <v>1</v>
      </c>
      <c r="J891" s="6" t="n">
        <f aca="false">'Raw Data'!K891</f>
        <v>1</v>
      </c>
      <c r="K891" s="6" t="n">
        <f aca="false">'Raw Data'!L891</f>
        <v>1</v>
      </c>
      <c r="L891" s="6" t="n">
        <f aca="false">F891*E891</f>
        <v>0</v>
      </c>
      <c r="N891" s="0" t="n">
        <v>1</v>
      </c>
      <c r="O891" s="6" t="n">
        <f aca="false">D891</f>
        <v>3.826666667</v>
      </c>
      <c r="P891" s="6" t="n">
        <f aca="false">E891</f>
        <v>1</v>
      </c>
      <c r="Q891" s="6" t="n">
        <f aca="false">F891</f>
        <v>0</v>
      </c>
      <c r="R891" s="6" t="n">
        <f aca="false">G891</f>
        <v>0</v>
      </c>
      <c r="S891" s="6" t="n">
        <f aca="false">H891</f>
        <v>0</v>
      </c>
      <c r="T891" s="6" t="n">
        <f aca="false">I891</f>
        <v>1</v>
      </c>
      <c r="U891" s="6" t="n">
        <f aca="false">L891</f>
        <v>0</v>
      </c>
      <c r="W891" s="6" t="n">
        <f aca="false">D891</f>
        <v>3.826666667</v>
      </c>
      <c r="X891" s="6" t="n">
        <f aca="false">E891</f>
        <v>1</v>
      </c>
      <c r="Y891" s="6" t="n">
        <f aca="false">F891</f>
        <v>0</v>
      </c>
      <c r="Z891" s="6" t="n">
        <f aca="false">L891</f>
        <v>0</v>
      </c>
      <c r="AA891" s="6" t="n">
        <f aca="false">G891</f>
        <v>0</v>
      </c>
      <c r="AC891" s="6" t="n">
        <f aca="false">D891</f>
        <v>3.826666667</v>
      </c>
      <c r="AD891" s="6" t="n">
        <f aca="false">E891</f>
        <v>1</v>
      </c>
      <c r="AE891" s="6" t="n">
        <f aca="false">G891</f>
        <v>0</v>
      </c>
      <c r="AF891" s="6" t="n">
        <f aca="false">H891</f>
        <v>0</v>
      </c>
      <c r="AG891" s="6" t="n">
        <f aca="false">I891</f>
        <v>1</v>
      </c>
      <c r="AH891" s="6" t="n">
        <f aca="false">L891</f>
        <v>0</v>
      </c>
    </row>
    <row r="892" customFormat="false" ht="15" hidden="false" customHeight="false" outlineLevel="0" collapsed="false">
      <c r="A892" s="0" t="str">
        <f aca="false">'Raw Data'!C892</f>
        <v>White Plains</v>
      </c>
      <c r="B892" s="5" t="n">
        <f aca="false">'Raw Data'!A892</f>
        <v>40372</v>
      </c>
      <c r="C892" s="6" t="n">
        <f aca="false">'Raw Data'!D892</f>
        <v>327.866691513203</v>
      </c>
      <c r="D892" s="6" t="n">
        <f aca="false">'Raw Data'!E892</f>
        <v>3.518571429</v>
      </c>
      <c r="E892" s="6" t="n">
        <f aca="false">'Raw Data'!F892</f>
        <v>1</v>
      </c>
      <c r="F892" s="6" t="n">
        <f aca="false">'Raw Data'!G892</f>
        <v>0</v>
      </c>
      <c r="G892" s="6" t="n">
        <f aca="false">'Raw Data'!H892</f>
        <v>0</v>
      </c>
      <c r="H892" s="6" t="n">
        <f aca="false">'Raw Data'!I892</f>
        <v>0</v>
      </c>
      <c r="I892" s="6" t="n">
        <f aca="false">'Raw Data'!J892</f>
        <v>1</v>
      </c>
      <c r="J892" s="6" t="n">
        <f aca="false">'Raw Data'!K892</f>
        <v>1</v>
      </c>
      <c r="K892" s="6" t="n">
        <f aca="false">'Raw Data'!L892</f>
        <v>1</v>
      </c>
      <c r="L892" s="6" t="n">
        <f aca="false">F892*E892</f>
        <v>0</v>
      </c>
      <c r="N892" s="0" t="n">
        <v>1</v>
      </c>
      <c r="O892" s="6" t="n">
        <f aca="false">D892</f>
        <v>3.518571429</v>
      </c>
      <c r="P892" s="6" t="n">
        <f aca="false">E892</f>
        <v>1</v>
      </c>
      <c r="Q892" s="6" t="n">
        <f aca="false">F892</f>
        <v>0</v>
      </c>
      <c r="R892" s="6" t="n">
        <f aca="false">G892</f>
        <v>0</v>
      </c>
      <c r="S892" s="6" t="n">
        <f aca="false">H892</f>
        <v>0</v>
      </c>
      <c r="T892" s="6" t="n">
        <f aca="false">I892</f>
        <v>1</v>
      </c>
      <c r="U892" s="6" t="n">
        <f aca="false">L892</f>
        <v>0</v>
      </c>
      <c r="W892" s="6" t="n">
        <f aca="false">D892</f>
        <v>3.518571429</v>
      </c>
      <c r="X892" s="6" t="n">
        <f aca="false">E892</f>
        <v>1</v>
      </c>
      <c r="Y892" s="6" t="n">
        <f aca="false">F892</f>
        <v>0</v>
      </c>
      <c r="Z892" s="6" t="n">
        <f aca="false">L892</f>
        <v>0</v>
      </c>
      <c r="AA892" s="6" t="n">
        <f aca="false">G892</f>
        <v>0</v>
      </c>
      <c r="AC892" s="6" t="n">
        <f aca="false">D892</f>
        <v>3.518571429</v>
      </c>
      <c r="AD892" s="6" t="n">
        <f aca="false">E892</f>
        <v>1</v>
      </c>
      <c r="AE892" s="6" t="n">
        <f aca="false">G892</f>
        <v>0</v>
      </c>
      <c r="AF892" s="6" t="n">
        <f aca="false">H892</f>
        <v>0</v>
      </c>
      <c r="AG892" s="6" t="n">
        <f aca="false">I892</f>
        <v>1</v>
      </c>
      <c r="AH892" s="6" t="n">
        <f aca="false">L892</f>
        <v>0</v>
      </c>
    </row>
    <row r="893" customFormat="false" ht="15" hidden="false" customHeight="false" outlineLevel="0" collapsed="false">
      <c r="A893" s="0" t="str">
        <f aca="false">'Raw Data'!C893</f>
        <v>Bellevue</v>
      </c>
      <c r="B893" s="5" t="n">
        <f aca="false">'Raw Data'!A893</f>
        <v>40302</v>
      </c>
      <c r="C893" s="6" t="n">
        <f aca="false">'Raw Data'!D893</f>
        <v>178.296705853579</v>
      </c>
      <c r="D893" s="6" t="n">
        <f aca="false">'Raw Data'!E893</f>
        <v>4.836153846</v>
      </c>
      <c r="E893" s="6" t="n">
        <f aca="false">'Raw Data'!F893</f>
        <v>1</v>
      </c>
      <c r="F893" s="6" t="n">
        <f aca="false">'Raw Data'!G893</f>
        <v>0</v>
      </c>
      <c r="G893" s="6" t="n">
        <f aca="false">'Raw Data'!H893</f>
        <v>0</v>
      </c>
      <c r="H893" s="6" t="n">
        <f aca="false">'Raw Data'!I893</f>
        <v>0</v>
      </c>
      <c r="I893" s="6" t="n">
        <f aca="false">'Raw Data'!J893</f>
        <v>0</v>
      </c>
      <c r="J893" s="6" t="n">
        <f aca="false">'Raw Data'!K893</f>
        <v>1</v>
      </c>
      <c r="K893" s="6" t="n">
        <f aca="false">'Raw Data'!L893</f>
        <v>2</v>
      </c>
      <c r="L893" s="6" t="n">
        <f aca="false">F893*E893</f>
        <v>0</v>
      </c>
      <c r="N893" s="0" t="n">
        <v>1</v>
      </c>
      <c r="O893" s="6" t="n">
        <f aca="false">D893</f>
        <v>4.836153846</v>
      </c>
      <c r="P893" s="6" t="n">
        <f aca="false">E893</f>
        <v>1</v>
      </c>
      <c r="Q893" s="6" t="n">
        <f aca="false">F893</f>
        <v>0</v>
      </c>
      <c r="R893" s="6" t="n">
        <f aca="false">G893</f>
        <v>0</v>
      </c>
      <c r="S893" s="6" t="n">
        <f aca="false">H893</f>
        <v>0</v>
      </c>
      <c r="T893" s="6" t="n">
        <f aca="false">I893</f>
        <v>0</v>
      </c>
      <c r="U893" s="6" t="n">
        <f aca="false">L893</f>
        <v>0</v>
      </c>
      <c r="W893" s="6" t="n">
        <f aca="false">D893</f>
        <v>4.836153846</v>
      </c>
      <c r="X893" s="6" t="n">
        <f aca="false">E893</f>
        <v>1</v>
      </c>
      <c r="Y893" s="6" t="n">
        <f aca="false">F893</f>
        <v>0</v>
      </c>
      <c r="Z893" s="6" t="n">
        <f aca="false">L893</f>
        <v>0</v>
      </c>
      <c r="AA893" s="6" t="n">
        <f aca="false">G893</f>
        <v>0</v>
      </c>
      <c r="AC893" s="6" t="n">
        <f aca="false">D893</f>
        <v>4.836153846</v>
      </c>
      <c r="AD893" s="6" t="n">
        <f aca="false">E893</f>
        <v>1</v>
      </c>
      <c r="AE893" s="6" t="n">
        <f aca="false">G893</f>
        <v>0</v>
      </c>
      <c r="AF893" s="6" t="n">
        <f aca="false">H893</f>
        <v>0</v>
      </c>
      <c r="AG893" s="6" t="n">
        <f aca="false">I893</f>
        <v>0</v>
      </c>
      <c r="AH893" s="6" t="n">
        <f aca="false">L893</f>
        <v>0</v>
      </c>
    </row>
    <row r="894" customFormat="false" ht="15" hidden="false" customHeight="false" outlineLevel="0" collapsed="false">
      <c r="A894" s="0" t="str">
        <f aca="false">'Raw Data'!C894</f>
        <v>Bellevue</v>
      </c>
      <c r="B894" s="5" t="n">
        <f aca="false">'Raw Data'!A894</f>
        <v>40309</v>
      </c>
      <c r="C894" s="6" t="n">
        <f aca="false">'Raw Data'!D894</f>
        <v>198.506340000082</v>
      </c>
      <c r="D894" s="6" t="n">
        <f aca="false">'Raw Data'!E894</f>
        <v>4.216666667</v>
      </c>
      <c r="E894" s="6" t="n">
        <f aca="false">'Raw Data'!F894</f>
        <v>1</v>
      </c>
      <c r="F894" s="6" t="n">
        <f aca="false">'Raw Data'!G894</f>
        <v>0</v>
      </c>
      <c r="G894" s="6" t="n">
        <f aca="false">'Raw Data'!H894</f>
        <v>0</v>
      </c>
      <c r="H894" s="6" t="n">
        <f aca="false">'Raw Data'!I894</f>
        <v>0</v>
      </c>
      <c r="I894" s="6" t="n">
        <f aca="false">'Raw Data'!J894</f>
        <v>0</v>
      </c>
      <c r="J894" s="6" t="n">
        <f aca="false">'Raw Data'!K894</f>
        <v>1</v>
      </c>
      <c r="K894" s="6" t="n">
        <f aca="false">'Raw Data'!L894</f>
        <v>2</v>
      </c>
      <c r="L894" s="6" t="n">
        <f aca="false">F894*E894</f>
        <v>0</v>
      </c>
      <c r="N894" s="0" t="n">
        <v>1</v>
      </c>
      <c r="O894" s="6" t="n">
        <f aca="false">D894</f>
        <v>4.216666667</v>
      </c>
      <c r="P894" s="6" t="n">
        <f aca="false">E894</f>
        <v>1</v>
      </c>
      <c r="Q894" s="6" t="n">
        <f aca="false">F894</f>
        <v>0</v>
      </c>
      <c r="R894" s="6" t="n">
        <f aca="false">G894</f>
        <v>0</v>
      </c>
      <c r="S894" s="6" t="n">
        <f aca="false">H894</f>
        <v>0</v>
      </c>
      <c r="T894" s="6" t="n">
        <f aca="false">I894</f>
        <v>0</v>
      </c>
      <c r="U894" s="6" t="n">
        <f aca="false">L894</f>
        <v>0</v>
      </c>
      <c r="W894" s="6" t="n">
        <f aca="false">D894</f>
        <v>4.216666667</v>
      </c>
      <c r="X894" s="6" t="n">
        <f aca="false">E894</f>
        <v>1</v>
      </c>
      <c r="Y894" s="6" t="n">
        <f aca="false">F894</f>
        <v>0</v>
      </c>
      <c r="Z894" s="6" t="n">
        <f aca="false">L894</f>
        <v>0</v>
      </c>
      <c r="AA894" s="6" t="n">
        <f aca="false">G894</f>
        <v>0</v>
      </c>
      <c r="AC894" s="6" t="n">
        <f aca="false">D894</f>
        <v>4.216666667</v>
      </c>
      <c r="AD894" s="6" t="n">
        <f aca="false">E894</f>
        <v>1</v>
      </c>
      <c r="AE894" s="6" t="n">
        <f aca="false">G894</f>
        <v>0</v>
      </c>
      <c r="AF894" s="6" t="n">
        <f aca="false">H894</f>
        <v>0</v>
      </c>
      <c r="AG894" s="6" t="n">
        <f aca="false">I894</f>
        <v>0</v>
      </c>
      <c r="AH894" s="6" t="n">
        <f aca="false">L894</f>
        <v>0</v>
      </c>
    </row>
    <row r="895" customFormat="false" ht="15" hidden="false" customHeight="false" outlineLevel="0" collapsed="false">
      <c r="A895" s="0" t="str">
        <f aca="false">'Raw Data'!C895</f>
        <v>Bellevue</v>
      </c>
      <c r="B895" s="5" t="n">
        <f aca="false">'Raw Data'!A895</f>
        <v>40316</v>
      </c>
      <c r="C895" s="6" t="n">
        <f aca="false">'Raw Data'!D895</f>
        <v>329.454349465027</v>
      </c>
      <c r="D895" s="6" t="n">
        <f aca="false">'Raw Data'!E895</f>
        <v>4.10875</v>
      </c>
      <c r="E895" s="6" t="n">
        <f aca="false">'Raw Data'!F895</f>
        <v>1</v>
      </c>
      <c r="F895" s="6" t="n">
        <f aca="false">'Raw Data'!G895</f>
        <v>0</v>
      </c>
      <c r="G895" s="6" t="n">
        <f aca="false">'Raw Data'!H895</f>
        <v>0</v>
      </c>
      <c r="H895" s="6" t="n">
        <f aca="false">'Raw Data'!I895</f>
        <v>0</v>
      </c>
      <c r="I895" s="6" t="n">
        <f aca="false">'Raw Data'!J895</f>
        <v>0</v>
      </c>
      <c r="J895" s="6" t="n">
        <f aca="false">'Raw Data'!K895</f>
        <v>1</v>
      </c>
      <c r="K895" s="6" t="n">
        <f aca="false">'Raw Data'!L895</f>
        <v>2</v>
      </c>
      <c r="L895" s="6" t="n">
        <f aca="false">F895*E895</f>
        <v>0</v>
      </c>
      <c r="N895" s="0" t="n">
        <v>1</v>
      </c>
      <c r="O895" s="6" t="n">
        <f aca="false">D895</f>
        <v>4.10875</v>
      </c>
      <c r="P895" s="6" t="n">
        <f aca="false">E895</f>
        <v>1</v>
      </c>
      <c r="Q895" s="6" t="n">
        <f aca="false">F895</f>
        <v>0</v>
      </c>
      <c r="R895" s="6" t="n">
        <f aca="false">G895</f>
        <v>0</v>
      </c>
      <c r="S895" s="6" t="n">
        <f aca="false">H895</f>
        <v>0</v>
      </c>
      <c r="T895" s="6" t="n">
        <f aca="false">I895</f>
        <v>0</v>
      </c>
      <c r="U895" s="6" t="n">
        <f aca="false">L895</f>
        <v>0</v>
      </c>
      <c r="W895" s="6" t="n">
        <f aca="false">D895</f>
        <v>4.10875</v>
      </c>
      <c r="X895" s="6" t="n">
        <f aca="false">E895</f>
        <v>1</v>
      </c>
      <c r="Y895" s="6" t="n">
        <f aca="false">F895</f>
        <v>0</v>
      </c>
      <c r="Z895" s="6" t="n">
        <f aca="false">L895</f>
        <v>0</v>
      </c>
      <c r="AA895" s="6" t="n">
        <f aca="false">G895</f>
        <v>0</v>
      </c>
      <c r="AC895" s="6" t="n">
        <f aca="false">D895</f>
        <v>4.10875</v>
      </c>
      <c r="AD895" s="6" t="n">
        <f aca="false">E895</f>
        <v>1</v>
      </c>
      <c r="AE895" s="6" t="n">
        <f aca="false">G895</f>
        <v>0</v>
      </c>
      <c r="AF895" s="6" t="n">
        <f aca="false">H895</f>
        <v>0</v>
      </c>
      <c r="AG895" s="6" t="n">
        <f aca="false">I895</f>
        <v>0</v>
      </c>
      <c r="AH895" s="6" t="n">
        <f aca="false">L895</f>
        <v>0</v>
      </c>
    </row>
    <row r="896" customFormat="false" ht="15" hidden="false" customHeight="false" outlineLevel="0" collapsed="false">
      <c r="A896" s="0" t="str">
        <f aca="false">'Raw Data'!C896</f>
        <v>Bellevue</v>
      </c>
      <c r="B896" s="5" t="n">
        <f aca="false">'Raw Data'!A896</f>
        <v>40323</v>
      </c>
      <c r="C896" s="6" t="n">
        <f aca="false">'Raw Data'!D896</f>
        <v>241.513705335494</v>
      </c>
      <c r="D896" s="6" t="n">
        <f aca="false">'Raw Data'!E896</f>
        <v>4.10875</v>
      </c>
      <c r="E896" s="6" t="n">
        <f aca="false">'Raw Data'!F896</f>
        <v>1</v>
      </c>
      <c r="F896" s="6" t="n">
        <f aca="false">'Raw Data'!G896</f>
        <v>0</v>
      </c>
      <c r="G896" s="6" t="n">
        <f aca="false">'Raw Data'!H896</f>
        <v>0</v>
      </c>
      <c r="H896" s="6" t="n">
        <f aca="false">'Raw Data'!I896</f>
        <v>0</v>
      </c>
      <c r="I896" s="6" t="n">
        <f aca="false">'Raw Data'!J896</f>
        <v>0</v>
      </c>
      <c r="J896" s="6" t="n">
        <f aca="false">'Raw Data'!K896</f>
        <v>1</v>
      </c>
      <c r="K896" s="6" t="n">
        <f aca="false">'Raw Data'!L896</f>
        <v>2</v>
      </c>
      <c r="L896" s="6" t="n">
        <f aca="false">F896*E896</f>
        <v>0</v>
      </c>
      <c r="N896" s="0" t="n">
        <v>1</v>
      </c>
      <c r="O896" s="6" t="n">
        <f aca="false">D896</f>
        <v>4.10875</v>
      </c>
      <c r="P896" s="6" t="n">
        <f aca="false">E896</f>
        <v>1</v>
      </c>
      <c r="Q896" s="6" t="n">
        <f aca="false">F896</f>
        <v>0</v>
      </c>
      <c r="R896" s="6" t="n">
        <f aca="false">G896</f>
        <v>0</v>
      </c>
      <c r="S896" s="6" t="n">
        <f aca="false">H896</f>
        <v>0</v>
      </c>
      <c r="T896" s="6" t="n">
        <f aca="false">I896</f>
        <v>0</v>
      </c>
      <c r="U896" s="6" t="n">
        <f aca="false">L896</f>
        <v>0</v>
      </c>
      <c r="W896" s="6" t="n">
        <f aca="false">D896</f>
        <v>4.10875</v>
      </c>
      <c r="X896" s="6" t="n">
        <f aca="false">E896</f>
        <v>1</v>
      </c>
      <c r="Y896" s="6" t="n">
        <f aca="false">F896</f>
        <v>0</v>
      </c>
      <c r="Z896" s="6" t="n">
        <f aca="false">L896</f>
        <v>0</v>
      </c>
      <c r="AA896" s="6" t="n">
        <f aca="false">G896</f>
        <v>0</v>
      </c>
      <c r="AC896" s="6" t="n">
        <f aca="false">D896</f>
        <v>4.10875</v>
      </c>
      <c r="AD896" s="6" t="n">
        <f aca="false">E896</f>
        <v>1</v>
      </c>
      <c r="AE896" s="6" t="n">
        <f aca="false">G896</f>
        <v>0</v>
      </c>
      <c r="AF896" s="6" t="n">
        <f aca="false">H896</f>
        <v>0</v>
      </c>
      <c r="AG896" s="6" t="n">
        <f aca="false">I896</f>
        <v>0</v>
      </c>
      <c r="AH896" s="6" t="n">
        <f aca="false">L896</f>
        <v>0</v>
      </c>
    </row>
    <row r="897" customFormat="false" ht="15" hidden="false" customHeight="false" outlineLevel="0" collapsed="false">
      <c r="A897" s="0" t="str">
        <f aca="false">'Raw Data'!C897</f>
        <v>Bellevue</v>
      </c>
      <c r="B897" s="5" t="n">
        <f aca="false">'Raw Data'!A897</f>
        <v>40330</v>
      </c>
      <c r="C897" s="6" t="n">
        <f aca="false">'Raw Data'!D897</f>
        <v>180.82678849893</v>
      </c>
      <c r="D897" s="6" t="n">
        <f aca="false">'Raw Data'!E897</f>
        <v>4.10875</v>
      </c>
      <c r="E897" s="6" t="n">
        <f aca="false">'Raw Data'!F897</f>
        <v>1</v>
      </c>
      <c r="F897" s="6" t="n">
        <f aca="false">'Raw Data'!G897</f>
        <v>0</v>
      </c>
      <c r="G897" s="6" t="n">
        <f aca="false">'Raw Data'!H897</f>
        <v>0</v>
      </c>
      <c r="H897" s="6" t="n">
        <f aca="false">'Raw Data'!I897</f>
        <v>0</v>
      </c>
      <c r="I897" s="6" t="n">
        <f aca="false">'Raw Data'!J897</f>
        <v>0</v>
      </c>
      <c r="J897" s="6" t="n">
        <f aca="false">'Raw Data'!K897</f>
        <v>1</v>
      </c>
      <c r="K897" s="6" t="n">
        <f aca="false">'Raw Data'!L897</f>
        <v>2</v>
      </c>
      <c r="L897" s="6" t="n">
        <f aca="false">F897*E897</f>
        <v>0</v>
      </c>
      <c r="N897" s="0" t="n">
        <v>1</v>
      </c>
      <c r="O897" s="6" t="n">
        <f aca="false">D897</f>
        <v>4.10875</v>
      </c>
      <c r="P897" s="6" t="n">
        <f aca="false">E897</f>
        <v>1</v>
      </c>
      <c r="Q897" s="6" t="n">
        <f aca="false">F897</f>
        <v>0</v>
      </c>
      <c r="R897" s="6" t="n">
        <f aca="false">G897</f>
        <v>0</v>
      </c>
      <c r="S897" s="6" t="n">
        <f aca="false">H897</f>
        <v>0</v>
      </c>
      <c r="T897" s="6" t="n">
        <f aca="false">I897</f>
        <v>0</v>
      </c>
      <c r="U897" s="6" t="n">
        <f aca="false">L897</f>
        <v>0</v>
      </c>
      <c r="W897" s="6" t="n">
        <f aca="false">D897</f>
        <v>4.10875</v>
      </c>
      <c r="X897" s="6" t="n">
        <f aca="false">E897</f>
        <v>1</v>
      </c>
      <c r="Y897" s="6" t="n">
        <f aca="false">F897</f>
        <v>0</v>
      </c>
      <c r="Z897" s="6" t="n">
        <f aca="false">L897</f>
        <v>0</v>
      </c>
      <c r="AA897" s="6" t="n">
        <f aca="false">G897</f>
        <v>0</v>
      </c>
      <c r="AC897" s="6" t="n">
        <f aca="false">D897</f>
        <v>4.10875</v>
      </c>
      <c r="AD897" s="6" t="n">
        <f aca="false">E897</f>
        <v>1</v>
      </c>
      <c r="AE897" s="6" t="n">
        <f aca="false">G897</f>
        <v>0</v>
      </c>
      <c r="AF897" s="6" t="n">
        <f aca="false">H897</f>
        <v>0</v>
      </c>
      <c r="AG897" s="6" t="n">
        <f aca="false">I897</f>
        <v>0</v>
      </c>
      <c r="AH897" s="6" t="n">
        <f aca="false">L897</f>
        <v>0</v>
      </c>
    </row>
    <row r="898" customFormat="false" ht="15" hidden="false" customHeight="false" outlineLevel="0" collapsed="false">
      <c r="A898" s="0" t="str">
        <f aca="false">'Raw Data'!C898</f>
        <v>Bellevue</v>
      </c>
      <c r="B898" s="5" t="n">
        <f aca="false">'Raw Data'!A898</f>
        <v>40337</v>
      </c>
      <c r="C898" s="6" t="n">
        <f aca="false">'Raw Data'!D898</f>
        <v>226.095866642017</v>
      </c>
      <c r="D898" s="6" t="n">
        <f aca="false">'Raw Data'!E898</f>
        <v>4.563333333</v>
      </c>
      <c r="E898" s="6" t="n">
        <f aca="false">'Raw Data'!F898</f>
        <v>1</v>
      </c>
      <c r="F898" s="6" t="n">
        <f aca="false">'Raw Data'!G898</f>
        <v>0</v>
      </c>
      <c r="G898" s="6" t="n">
        <f aca="false">'Raw Data'!H898</f>
        <v>0</v>
      </c>
      <c r="H898" s="6" t="n">
        <f aca="false">'Raw Data'!I898</f>
        <v>0</v>
      </c>
      <c r="I898" s="6" t="n">
        <f aca="false">'Raw Data'!J898</f>
        <v>0</v>
      </c>
      <c r="J898" s="6" t="n">
        <f aca="false">'Raw Data'!K898</f>
        <v>1</v>
      </c>
      <c r="K898" s="6" t="n">
        <f aca="false">'Raw Data'!L898</f>
        <v>2</v>
      </c>
      <c r="L898" s="6" t="n">
        <f aca="false">F898*E898</f>
        <v>0</v>
      </c>
      <c r="N898" s="0" t="n">
        <v>1</v>
      </c>
      <c r="O898" s="6" t="n">
        <f aca="false">D898</f>
        <v>4.563333333</v>
      </c>
      <c r="P898" s="6" t="n">
        <f aca="false">E898</f>
        <v>1</v>
      </c>
      <c r="Q898" s="6" t="n">
        <f aca="false">F898</f>
        <v>0</v>
      </c>
      <c r="R898" s="6" t="n">
        <f aca="false">G898</f>
        <v>0</v>
      </c>
      <c r="S898" s="6" t="n">
        <f aca="false">H898</f>
        <v>0</v>
      </c>
      <c r="T898" s="6" t="n">
        <f aca="false">I898</f>
        <v>0</v>
      </c>
      <c r="U898" s="6" t="n">
        <f aca="false">L898</f>
        <v>0</v>
      </c>
      <c r="W898" s="6" t="n">
        <f aca="false">D898</f>
        <v>4.563333333</v>
      </c>
      <c r="X898" s="6" t="n">
        <f aca="false">E898</f>
        <v>1</v>
      </c>
      <c r="Y898" s="6" t="n">
        <f aca="false">F898</f>
        <v>0</v>
      </c>
      <c r="Z898" s="6" t="n">
        <f aca="false">L898</f>
        <v>0</v>
      </c>
      <c r="AA898" s="6" t="n">
        <f aca="false">G898</f>
        <v>0</v>
      </c>
      <c r="AC898" s="6" t="n">
        <f aca="false">D898</f>
        <v>4.563333333</v>
      </c>
      <c r="AD898" s="6" t="n">
        <f aca="false">E898</f>
        <v>1</v>
      </c>
      <c r="AE898" s="6" t="n">
        <f aca="false">G898</f>
        <v>0</v>
      </c>
      <c r="AF898" s="6" t="n">
        <f aca="false">H898</f>
        <v>0</v>
      </c>
      <c r="AG898" s="6" t="n">
        <f aca="false">I898</f>
        <v>0</v>
      </c>
      <c r="AH898" s="6" t="n">
        <f aca="false">L898</f>
        <v>0</v>
      </c>
    </row>
    <row r="899" customFormat="false" ht="15" hidden="false" customHeight="false" outlineLevel="0" collapsed="false">
      <c r="A899" s="0" t="str">
        <f aca="false">'Raw Data'!C899</f>
        <v>Bellevue</v>
      </c>
      <c r="B899" s="5" t="n">
        <f aca="false">'Raw Data'!A899</f>
        <v>40344</v>
      </c>
      <c r="C899" s="6" t="n">
        <f aca="false">'Raw Data'!D899</f>
        <v>257.029967293295</v>
      </c>
      <c r="D899" s="6" t="n">
        <f aca="false">'Raw Data'!E899</f>
        <v>4.318571429</v>
      </c>
      <c r="E899" s="6" t="n">
        <f aca="false">'Raw Data'!F899</f>
        <v>1</v>
      </c>
      <c r="F899" s="6" t="n">
        <f aca="false">'Raw Data'!G899</f>
        <v>0</v>
      </c>
      <c r="G899" s="6" t="n">
        <f aca="false">'Raw Data'!H899</f>
        <v>0</v>
      </c>
      <c r="H899" s="6" t="n">
        <f aca="false">'Raw Data'!I899</f>
        <v>0</v>
      </c>
      <c r="I899" s="6" t="n">
        <f aca="false">'Raw Data'!J899</f>
        <v>0</v>
      </c>
      <c r="J899" s="6" t="n">
        <f aca="false">'Raw Data'!K899</f>
        <v>1</v>
      </c>
      <c r="K899" s="6" t="n">
        <f aca="false">'Raw Data'!L899</f>
        <v>2</v>
      </c>
      <c r="L899" s="6" t="n">
        <f aca="false">F899*E899</f>
        <v>0</v>
      </c>
      <c r="N899" s="0" t="n">
        <v>1</v>
      </c>
      <c r="O899" s="6" t="n">
        <f aca="false">D899</f>
        <v>4.318571429</v>
      </c>
      <c r="P899" s="6" t="n">
        <f aca="false">E899</f>
        <v>1</v>
      </c>
      <c r="Q899" s="6" t="n">
        <f aca="false">F899</f>
        <v>0</v>
      </c>
      <c r="R899" s="6" t="n">
        <f aca="false">G899</f>
        <v>0</v>
      </c>
      <c r="S899" s="6" t="n">
        <f aca="false">H899</f>
        <v>0</v>
      </c>
      <c r="T899" s="6" t="n">
        <f aca="false">I899</f>
        <v>0</v>
      </c>
      <c r="U899" s="6" t="n">
        <f aca="false">L899</f>
        <v>0</v>
      </c>
      <c r="W899" s="6" t="n">
        <f aca="false">D899</f>
        <v>4.318571429</v>
      </c>
      <c r="X899" s="6" t="n">
        <f aca="false">E899</f>
        <v>1</v>
      </c>
      <c r="Y899" s="6" t="n">
        <f aca="false">F899</f>
        <v>0</v>
      </c>
      <c r="Z899" s="6" t="n">
        <f aca="false">L899</f>
        <v>0</v>
      </c>
      <c r="AA899" s="6" t="n">
        <f aca="false">G899</f>
        <v>0</v>
      </c>
      <c r="AC899" s="6" t="n">
        <f aca="false">D899</f>
        <v>4.318571429</v>
      </c>
      <c r="AD899" s="6" t="n">
        <f aca="false">E899</f>
        <v>1</v>
      </c>
      <c r="AE899" s="6" t="n">
        <f aca="false">G899</f>
        <v>0</v>
      </c>
      <c r="AF899" s="6" t="n">
        <f aca="false">H899</f>
        <v>0</v>
      </c>
      <c r="AG899" s="6" t="n">
        <f aca="false">I899</f>
        <v>0</v>
      </c>
      <c r="AH899" s="6" t="n">
        <f aca="false">L899</f>
        <v>0</v>
      </c>
    </row>
    <row r="900" customFormat="false" ht="15" hidden="false" customHeight="false" outlineLevel="0" collapsed="false">
      <c r="A900" s="0" t="str">
        <f aca="false">'Raw Data'!C900</f>
        <v>Bellevue</v>
      </c>
      <c r="B900" s="5" t="n">
        <f aca="false">'Raw Data'!A900</f>
        <v>40351</v>
      </c>
      <c r="C900" s="6" t="n">
        <f aca="false">'Raw Data'!D900</f>
        <v>751.927131851851</v>
      </c>
      <c r="D900" s="6" t="n">
        <f aca="false">'Raw Data'!E900</f>
        <v>4.073333333</v>
      </c>
      <c r="E900" s="6" t="n">
        <f aca="false">'Raw Data'!F900</f>
        <v>1</v>
      </c>
      <c r="F900" s="6" t="n">
        <f aca="false">'Raw Data'!G900</f>
        <v>1</v>
      </c>
      <c r="G900" s="6" t="n">
        <f aca="false">'Raw Data'!H900</f>
        <v>1</v>
      </c>
      <c r="H900" s="6" t="n">
        <f aca="false">'Raw Data'!I900</f>
        <v>0</v>
      </c>
      <c r="I900" s="6" t="n">
        <f aca="false">'Raw Data'!J900</f>
        <v>0</v>
      </c>
      <c r="J900" s="6" t="n">
        <f aca="false">'Raw Data'!K900</f>
        <v>1</v>
      </c>
      <c r="K900" s="6" t="n">
        <f aca="false">'Raw Data'!L900</f>
        <v>2</v>
      </c>
      <c r="L900" s="6" t="n">
        <f aca="false">F900*E900</f>
        <v>1</v>
      </c>
      <c r="N900" s="0" t="n">
        <v>1</v>
      </c>
      <c r="O900" s="6" t="n">
        <f aca="false">D900</f>
        <v>4.073333333</v>
      </c>
      <c r="P900" s="6" t="n">
        <f aca="false">E900</f>
        <v>1</v>
      </c>
      <c r="Q900" s="6" t="n">
        <f aca="false">F900</f>
        <v>1</v>
      </c>
      <c r="R900" s="6" t="n">
        <f aca="false">G900</f>
        <v>1</v>
      </c>
      <c r="S900" s="6" t="n">
        <f aca="false">H900</f>
        <v>0</v>
      </c>
      <c r="T900" s="6" t="n">
        <f aca="false">I900</f>
        <v>0</v>
      </c>
      <c r="U900" s="6" t="n">
        <f aca="false">L900</f>
        <v>1</v>
      </c>
      <c r="W900" s="6" t="n">
        <f aca="false">D900</f>
        <v>4.073333333</v>
      </c>
      <c r="X900" s="6" t="n">
        <f aca="false">E900</f>
        <v>1</v>
      </c>
      <c r="Y900" s="6" t="n">
        <f aca="false">F900</f>
        <v>1</v>
      </c>
      <c r="Z900" s="6" t="n">
        <f aca="false">L900</f>
        <v>1</v>
      </c>
      <c r="AA900" s="6" t="n">
        <f aca="false">G900</f>
        <v>1</v>
      </c>
      <c r="AC900" s="6" t="n">
        <f aca="false">D900</f>
        <v>4.073333333</v>
      </c>
      <c r="AD900" s="6" t="n">
        <f aca="false">E900</f>
        <v>1</v>
      </c>
      <c r="AE900" s="6" t="n">
        <f aca="false">G900</f>
        <v>1</v>
      </c>
      <c r="AF900" s="6" t="n">
        <f aca="false">H900</f>
        <v>0</v>
      </c>
      <c r="AG900" s="6" t="n">
        <f aca="false">I900</f>
        <v>0</v>
      </c>
      <c r="AH900" s="6" t="n">
        <f aca="false">L900</f>
        <v>1</v>
      </c>
    </row>
    <row r="901" customFormat="false" ht="15" hidden="false" customHeight="false" outlineLevel="0" collapsed="false">
      <c r="A901" s="0" t="str">
        <f aca="false">'Raw Data'!C901</f>
        <v>Bellevue</v>
      </c>
      <c r="B901" s="5" t="n">
        <f aca="false">'Raw Data'!A901</f>
        <v>40358</v>
      </c>
      <c r="C901" s="6" t="n">
        <f aca="false">'Raw Data'!D901</f>
        <v>789.091870287685</v>
      </c>
      <c r="D901" s="6" t="n">
        <f aca="false">'Raw Data'!E901</f>
        <v>3.394</v>
      </c>
      <c r="E901" s="6" t="n">
        <f aca="false">'Raw Data'!F901</f>
        <v>1</v>
      </c>
      <c r="F901" s="6" t="n">
        <f aca="false">'Raw Data'!G901</f>
        <v>1</v>
      </c>
      <c r="G901" s="6" t="n">
        <f aca="false">'Raw Data'!H901</f>
        <v>0</v>
      </c>
      <c r="H901" s="6" t="n">
        <f aca="false">'Raw Data'!I901</f>
        <v>1</v>
      </c>
      <c r="I901" s="6" t="n">
        <f aca="false">'Raw Data'!J901</f>
        <v>0</v>
      </c>
      <c r="J901" s="6" t="n">
        <f aca="false">'Raw Data'!K901</f>
        <v>1</v>
      </c>
      <c r="K901" s="6" t="n">
        <f aca="false">'Raw Data'!L901</f>
        <v>2</v>
      </c>
      <c r="L901" s="6" t="n">
        <f aca="false">F901*E901</f>
        <v>1</v>
      </c>
      <c r="N901" s="0" t="n">
        <v>1</v>
      </c>
      <c r="O901" s="6" t="n">
        <f aca="false">D901</f>
        <v>3.394</v>
      </c>
      <c r="P901" s="6" t="n">
        <f aca="false">E901</f>
        <v>1</v>
      </c>
      <c r="Q901" s="6" t="n">
        <f aca="false">F901</f>
        <v>1</v>
      </c>
      <c r="R901" s="6" t="n">
        <f aca="false">G901</f>
        <v>0</v>
      </c>
      <c r="S901" s="6" t="n">
        <f aca="false">H901</f>
        <v>1</v>
      </c>
      <c r="T901" s="6" t="n">
        <f aca="false">I901</f>
        <v>0</v>
      </c>
      <c r="U901" s="6" t="n">
        <f aca="false">L901</f>
        <v>1</v>
      </c>
      <c r="W901" s="6" t="n">
        <f aca="false">D901</f>
        <v>3.394</v>
      </c>
      <c r="X901" s="6" t="n">
        <f aca="false">E901</f>
        <v>1</v>
      </c>
      <c r="Y901" s="6" t="n">
        <f aca="false">F901</f>
        <v>1</v>
      </c>
      <c r="Z901" s="6" t="n">
        <f aca="false">L901</f>
        <v>1</v>
      </c>
      <c r="AA901" s="6" t="n">
        <f aca="false">G901</f>
        <v>0</v>
      </c>
      <c r="AC901" s="6" t="n">
        <f aca="false">D901</f>
        <v>3.394</v>
      </c>
      <c r="AD901" s="6" t="n">
        <f aca="false">E901</f>
        <v>1</v>
      </c>
      <c r="AE901" s="6" t="n">
        <f aca="false">G901</f>
        <v>0</v>
      </c>
      <c r="AF901" s="6" t="n">
        <f aca="false">H901</f>
        <v>1</v>
      </c>
      <c r="AG901" s="6" t="n">
        <f aca="false">I901</f>
        <v>0</v>
      </c>
      <c r="AH901" s="6" t="n">
        <f aca="false">L901</f>
        <v>1</v>
      </c>
    </row>
    <row r="902" customFormat="false" ht="15" hidden="false" customHeight="false" outlineLevel="0" collapsed="false">
      <c r="A902" s="0" t="str">
        <f aca="false">'Raw Data'!C902</f>
        <v>Bellevue</v>
      </c>
      <c r="B902" s="5" t="n">
        <f aca="false">'Raw Data'!A902</f>
        <v>40365</v>
      </c>
      <c r="C902" s="6" t="n">
        <f aca="false">'Raw Data'!D902</f>
        <v>831.144896026972</v>
      </c>
      <c r="D902" s="6" t="n">
        <f aca="false">'Raw Data'!E902</f>
        <v>3.526875</v>
      </c>
      <c r="E902" s="6" t="n">
        <f aca="false">'Raw Data'!F902</f>
        <v>1</v>
      </c>
      <c r="F902" s="6" t="n">
        <f aca="false">'Raw Data'!G902</f>
        <v>1</v>
      </c>
      <c r="G902" s="6" t="n">
        <f aca="false">'Raw Data'!H902</f>
        <v>0</v>
      </c>
      <c r="H902" s="6" t="n">
        <f aca="false">'Raw Data'!I902</f>
        <v>1</v>
      </c>
      <c r="I902" s="6" t="n">
        <f aca="false">'Raw Data'!J902</f>
        <v>0</v>
      </c>
      <c r="J902" s="6" t="n">
        <f aca="false">'Raw Data'!K902</f>
        <v>1</v>
      </c>
      <c r="K902" s="6" t="n">
        <f aca="false">'Raw Data'!L902</f>
        <v>2</v>
      </c>
      <c r="L902" s="6" t="n">
        <f aca="false">F902*E902</f>
        <v>1</v>
      </c>
      <c r="N902" s="0" t="n">
        <v>1</v>
      </c>
      <c r="O902" s="6" t="n">
        <f aca="false">D902</f>
        <v>3.526875</v>
      </c>
      <c r="P902" s="6" t="n">
        <f aca="false">E902</f>
        <v>1</v>
      </c>
      <c r="Q902" s="6" t="n">
        <f aca="false">F902</f>
        <v>1</v>
      </c>
      <c r="R902" s="6" t="n">
        <f aca="false">G902</f>
        <v>0</v>
      </c>
      <c r="S902" s="6" t="n">
        <f aca="false">H902</f>
        <v>1</v>
      </c>
      <c r="T902" s="6" t="n">
        <f aca="false">I902</f>
        <v>0</v>
      </c>
      <c r="U902" s="6" t="n">
        <f aca="false">L902</f>
        <v>1</v>
      </c>
      <c r="W902" s="6" t="n">
        <f aca="false">D902</f>
        <v>3.526875</v>
      </c>
      <c r="X902" s="6" t="n">
        <f aca="false">E902</f>
        <v>1</v>
      </c>
      <c r="Y902" s="6" t="n">
        <f aca="false">F902</f>
        <v>1</v>
      </c>
      <c r="Z902" s="6" t="n">
        <f aca="false">L902</f>
        <v>1</v>
      </c>
      <c r="AA902" s="6" t="n">
        <f aca="false">G902</f>
        <v>0</v>
      </c>
      <c r="AC902" s="6" t="n">
        <f aca="false">D902</f>
        <v>3.526875</v>
      </c>
      <c r="AD902" s="6" t="n">
        <f aca="false">E902</f>
        <v>1</v>
      </c>
      <c r="AE902" s="6" t="n">
        <f aca="false">G902</f>
        <v>0</v>
      </c>
      <c r="AF902" s="6" t="n">
        <f aca="false">H902</f>
        <v>1</v>
      </c>
      <c r="AG902" s="6" t="n">
        <f aca="false">I902</f>
        <v>0</v>
      </c>
      <c r="AH902" s="6" t="n">
        <f aca="false">L902</f>
        <v>1</v>
      </c>
    </row>
    <row r="903" customFormat="false" ht="15" hidden="false" customHeight="false" outlineLevel="0" collapsed="false">
      <c r="A903" s="0" t="str">
        <f aca="false">'Raw Data'!C903</f>
        <v>Bellevue</v>
      </c>
      <c r="B903" s="5" t="n">
        <f aca="false">'Raw Data'!A903</f>
        <v>40372</v>
      </c>
      <c r="C903" s="6" t="n">
        <f aca="false">'Raw Data'!D903</f>
        <v>725.730070068589</v>
      </c>
      <c r="D903" s="6" t="n">
        <f aca="false">'Raw Data'!E903</f>
        <v>2.889285714</v>
      </c>
      <c r="E903" s="6" t="n">
        <f aca="false">'Raw Data'!F903</f>
        <v>1</v>
      </c>
      <c r="F903" s="6" t="n">
        <f aca="false">'Raw Data'!G903</f>
        <v>1</v>
      </c>
      <c r="G903" s="6" t="n">
        <f aca="false">'Raw Data'!H903</f>
        <v>0</v>
      </c>
      <c r="H903" s="6" t="n">
        <f aca="false">'Raw Data'!I903</f>
        <v>1</v>
      </c>
      <c r="I903" s="6" t="n">
        <f aca="false">'Raw Data'!J903</f>
        <v>0</v>
      </c>
      <c r="J903" s="6" t="n">
        <f aca="false">'Raw Data'!K903</f>
        <v>1</v>
      </c>
      <c r="K903" s="6" t="n">
        <f aca="false">'Raw Data'!L903</f>
        <v>2</v>
      </c>
      <c r="L903" s="6" t="n">
        <f aca="false">F903*E903</f>
        <v>1</v>
      </c>
      <c r="N903" s="0" t="n">
        <v>1</v>
      </c>
      <c r="O903" s="6" t="n">
        <f aca="false">D903</f>
        <v>2.889285714</v>
      </c>
      <c r="P903" s="6" t="n">
        <f aca="false">E903</f>
        <v>1</v>
      </c>
      <c r="Q903" s="6" t="n">
        <f aca="false">F903</f>
        <v>1</v>
      </c>
      <c r="R903" s="6" t="n">
        <f aca="false">G903</f>
        <v>0</v>
      </c>
      <c r="S903" s="6" t="n">
        <f aca="false">H903</f>
        <v>1</v>
      </c>
      <c r="T903" s="6" t="n">
        <f aca="false">I903</f>
        <v>0</v>
      </c>
      <c r="U903" s="6" t="n">
        <f aca="false">L903</f>
        <v>1</v>
      </c>
      <c r="W903" s="6" t="n">
        <f aca="false">D903</f>
        <v>2.889285714</v>
      </c>
      <c r="X903" s="6" t="n">
        <f aca="false">E903</f>
        <v>1</v>
      </c>
      <c r="Y903" s="6" t="n">
        <f aca="false">F903</f>
        <v>1</v>
      </c>
      <c r="Z903" s="6" t="n">
        <f aca="false">L903</f>
        <v>1</v>
      </c>
      <c r="AA903" s="6" t="n">
        <f aca="false">G903</f>
        <v>0</v>
      </c>
      <c r="AC903" s="6" t="n">
        <f aca="false">D903</f>
        <v>2.889285714</v>
      </c>
      <c r="AD903" s="6" t="n">
        <f aca="false">E903</f>
        <v>1</v>
      </c>
      <c r="AE903" s="6" t="n">
        <f aca="false">G903</f>
        <v>0</v>
      </c>
      <c r="AF903" s="6" t="n">
        <f aca="false">H903</f>
        <v>1</v>
      </c>
      <c r="AG903" s="6" t="n">
        <f aca="false">I903</f>
        <v>0</v>
      </c>
      <c r="AH903" s="6" t="n">
        <f aca="false">L903</f>
        <v>1</v>
      </c>
    </row>
    <row r="904" customFormat="false" ht="15" hidden="false" customHeight="false" outlineLevel="0" collapsed="false">
      <c r="A904" s="0" t="str">
        <f aca="false">'Raw Data'!C904</f>
        <v>Bend</v>
      </c>
      <c r="B904" s="5" t="n">
        <f aca="false">'Raw Data'!A904</f>
        <v>40302</v>
      </c>
      <c r="C904" s="6" t="n">
        <f aca="false">'Raw Data'!D904</f>
        <v>222.522639710935</v>
      </c>
      <c r="D904" s="6" t="n">
        <f aca="false">'Raw Data'!E904</f>
        <v>4.6775</v>
      </c>
      <c r="E904" s="6" t="n">
        <f aca="false">'Raw Data'!F904</f>
        <v>1</v>
      </c>
      <c r="F904" s="6" t="n">
        <f aca="false">'Raw Data'!G904</f>
        <v>0</v>
      </c>
      <c r="G904" s="6" t="n">
        <f aca="false">'Raw Data'!H904</f>
        <v>0</v>
      </c>
      <c r="H904" s="6" t="n">
        <f aca="false">'Raw Data'!I904</f>
        <v>0</v>
      </c>
      <c r="I904" s="6" t="n">
        <f aca="false">'Raw Data'!J904</f>
        <v>0</v>
      </c>
      <c r="J904" s="6" t="n">
        <f aca="false">'Raw Data'!K904</f>
        <v>0</v>
      </c>
      <c r="K904" s="6" t="n">
        <f aca="false">'Raw Data'!L904</f>
        <v>2</v>
      </c>
      <c r="L904" s="6" t="n">
        <f aca="false">F904*E904</f>
        <v>0</v>
      </c>
      <c r="N904" s="0" t="n">
        <v>1</v>
      </c>
      <c r="O904" s="6" t="n">
        <f aca="false">D904</f>
        <v>4.6775</v>
      </c>
      <c r="P904" s="6" t="n">
        <f aca="false">E904</f>
        <v>1</v>
      </c>
      <c r="Q904" s="6" t="n">
        <f aca="false">F904</f>
        <v>0</v>
      </c>
      <c r="R904" s="6" t="n">
        <f aca="false">G904</f>
        <v>0</v>
      </c>
      <c r="S904" s="6" t="n">
        <f aca="false">H904</f>
        <v>0</v>
      </c>
      <c r="T904" s="6" t="n">
        <f aca="false">I904</f>
        <v>0</v>
      </c>
      <c r="U904" s="6" t="n">
        <f aca="false">L904</f>
        <v>0</v>
      </c>
      <c r="W904" s="6" t="n">
        <f aca="false">D904</f>
        <v>4.6775</v>
      </c>
      <c r="X904" s="6" t="n">
        <f aca="false">E904</f>
        <v>1</v>
      </c>
      <c r="Y904" s="6" t="n">
        <f aca="false">F904</f>
        <v>0</v>
      </c>
      <c r="Z904" s="6" t="n">
        <f aca="false">L904</f>
        <v>0</v>
      </c>
      <c r="AA904" s="6" t="n">
        <f aca="false">G904</f>
        <v>0</v>
      </c>
      <c r="AC904" s="6" t="n">
        <f aca="false">D904</f>
        <v>4.6775</v>
      </c>
      <c r="AD904" s="6" t="n">
        <f aca="false">E904</f>
        <v>1</v>
      </c>
      <c r="AE904" s="6" t="n">
        <f aca="false">G904</f>
        <v>0</v>
      </c>
      <c r="AF904" s="6" t="n">
        <f aca="false">H904</f>
        <v>0</v>
      </c>
      <c r="AG904" s="6" t="n">
        <f aca="false">I904</f>
        <v>0</v>
      </c>
      <c r="AH904" s="6" t="n">
        <f aca="false">L904</f>
        <v>0</v>
      </c>
    </row>
    <row r="905" customFormat="false" ht="15" hidden="false" customHeight="false" outlineLevel="0" collapsed="false">
      <c r="A905" s="0" t="str">
        <f aca="false">'Raw Data'!C905</f>
        <v>Bend</v>
      </c>
      <c r="B905" s="5" t="n">
        <f aca="false">'Raw Data'!A905</f>
        <v>40309</v>
      </c>
      <c r="C905" s="6" t="n">
        <f aca="false">'Raw Data'!D905</f>
        <v>242.032806871918</v>
      </c>
      <c r="D905" s="6" t="n">
        <f aca="false">'Raw Data'!E905</f>
        <v>4.204285714</v>
      </c>
      <c r="E905" s="6" t="n">
        <f aca="false">'Raw Data'!F905</f>
        <v>1</v>
      </c>
      <c r="F905" s="6" t="n">
        <f aca="false">'Raw Data'!G905</f>
        <v>0</v>
      </c>
      <c r="G905" s="6" t="n">
        <f aca="false">'Raw Data'!H905</f>
        <v>0</v>
      </c>
      <c r="H905" s="6" t="n">
        <f aca="false">'Raw Data'!I905</f>
        <v>0</v>
      </c>
      <c r="I905" s="6" t="n">
        <f aca="false">'Raw Data'!J905</f>
        <v>0</v>
      </c>
      <c r="J905" s="6" t="n">
        <f aca="false">'Raw Data'!K905</f>
        <v>0</v>
      </c>
      <c r="K905" s="6" t="n">
        <f aca="false">'Raw Data'!L905</f>
        <v>2</v>
      </c>
      <c r="L905" s="6" t="n">
        <f aca="false">F905*E905</f>
        <v>0</v>
      </c>
      <c r="N905" s="0" t="n">
        <v>1</v>
      </c>
      <c r="O905" s="6" t="n">
        <f aca="false">D905</f>
        <v>4.204285714</v>
      </c>
      <c r="P905" s="6" t="n">
        <f aca="false">E905</f>
        <v>1</v>
      </c>
      <c r="Q905" s="6" t="n">
        <f aca="false">F905</f>
        <v>0</v>
      </c>
      <c r="R905" s="6" t="n">
        <f aca="false">G905</f>
        <v>0</v>
      </c>
      <c r="S905" s="6" t="n">
        <f aca="false">H905</f>
        <v>0</v>
      </c>
      <c r="T905" s="6" t="n">
        <f aca="false">I905</f>
        <v>0</v>
      </c>
      <c r="U905" s="6" t="n">
        <f aca="false">L905</f>
        <v>0</v>
      </c>
      <c r="W905" s="6" t="n">
        <f aca="false">D905</f>
        <v>4.204285714</v>
      </c>
      <c r="X905" s="6" t="n">
        <f aca="false">E905</f>
        <v>1</v>
      </c>
      <c r="Y905" s="6" t="n">
        <f aca="false">F905</f>
        <v>0</v>
      </c>
      <c r="Z905" s="6" t="n">
        <f aca="false">L905</f>
        <v>0</v>
      </c>
      <c r="AA905" s="6" t="n">
        <f aca="false">G905</f>
        <v>0</v>
      </c>
      <c r="AC905" s="6" t="n">
        <f aca="false">D905</f>
        <v>4.204285714</v>
      </c>
      <c r="AD905" s="6" t="n">
        <f aca="false">E905</f>
        <v>1</v>
      </c>
      <c r="AE905" s="6" t="n">
        <f aca="false">G905</f>
        <v>0</v>
      </c>
      <c r="AF905" s="6" t="n">
        <f aca="false">H905</f>
        <v>0</v>
      </c>
      <c r="AG905" s="6" t="n">
        <f aca="false">I905</f>
        <v>0</v>
      </c>
      <c r="AH905" s="6" t="n">
        <f aca="false">L905</f>
        <v>0</v>
      </c>
    </row>
    <row r="906" customFormat="false" ht="15" hidden="false" customHeight="false" outlineLevel="0" collapsed="false">
      <c r="A906" s="0" t="str">
        <f aca="false">'Raw Data'!C906</f>
        <v>Bend</v>
      </c>
      <c r="B906" s="5" t="n">
        <f aca="false">'Raw Data'!A906</f>
        <v>40316</v>
      </c>
      <c r="C906" s="6" t="n">
        <f aca="false">'Raw Data'!D906</f>
        <v>222.572241332122</v>
      </c>
      <c r="D906" s="6" t="n">
        <f aca="false">'Raw Data'!E906</f>
        <v>4.2025</v>
      </c>
      <c r="E906" s="6" t="n">
        <f aca="false">'Raw Data'!F906</f>
        <v>1</v>
      </c>
      <c r="F906" s="6" t="n">
        <f aca="false">'Raw Data'!G906</f>
        <v>0</v>
      </c>
      <c r="G906" s="6" t="n">
        <f aca="false">'Raw Data'!H906</f>
        <v>0</v>
      </c>
      <c r="H906" s="6" t="n">
        <f aca="false">'Raw Data'!I906</f>
        <v>0</v>
      </c>
      <c r="I906" s="6" t="n">
        <f aca="false">'Raw Data'!J906</f>
        <v>0</v>
      </c>
      <c r="J906" s="6" t="n">
        <f aca="false">'Raw Data'!K906</f>
        <v>0</v>
      </c>
      <c r="K906" s="6" t="n">
        <f aca="false">'Raw Data'!L906</f>
        <v>2</v>
      </c>
      <c r="L906" s="6" t="n">
        <f aca="false">F906*E906</f>
        <v>0</v>
      </c>
      <c r="N906" s="0" t="n">
        <v>1</v>
      </c>
      <c r="O906" s="6" t="n">
        <f aca="false">D906</f>
        <v>4.2025</v>
      </c>
      <c r="P906" s="6" t="n">
        <f aca="false">E906</f>
        <v>1</v>
      </c>
      <c r="Q906" s="6" t="n">
        <f aca="false">F906</f>
        <v>0</v>
      </c>
      <c r="R906" s="6" t="n">
        <f aca="false">G906</f>
        <v>0</v>
      </c>
      <c r="S906" s="6" t="n">
        <f aca="false">H906</f>
        <v>0</v>
      </c>
      <c r="T906" s="6" t="n">
        <f aca="false">I906</f>
        <v>0</v>
      </c>
      <c r="U906" s="6" t="n">
        <f aca="false">L906</f>
        <v>0</v>
      </c>
      <c r="W906" s="6" t="n">
        <f aca="false">D906</f>
        <v>4.2025</v>
      </c>
      <c r="X906" s="6" t="n">
        <f aca="false">E906</f>
        <v>1</v>
      </c>
      <c r="Y906" s="6" t="n">
        <f aca="false">F906</f>
        <v>0</v>
      </c>
      <c r="Z906" s="6" t="n">
        <f aca="false">L906</f>
        <v>0</v>
      </c>
      <c r="AA906" s="6" t="n">
        <f aca="false">G906</f>
        <v>0</v>
      </c>
      <c r="AC906" s="6" t="n">
        <f aca="false">D906</f>
        <v>4.2025</v>
      </c>
      <c r="AD906" s="6" t="n">
        <f aca="false">E906</f>
        <v>1</v>
      </c>
      <c r="AE906" s="6" t="n">
        <f aca="false">G906</f>
        <v>0</v>
      </c>
      <c r="AF906" s="6" t="n">
        <f aca="false">H906</f>
        <v>0</v>
      </c>
      <c r="AG906" s="6" t="n">
        <f aca="false">I906</f>
        <v>0</v>
      </c>
      <c r="AH906" s="6" t="n">
        <f aca="false">L906</f>
        <v>0</v>
      </c>
    </row>
    <row r="907" customFormat="false" ht="15" hidden="false" customHeight="false" outlineLevel="0" collapsed="false">
      <c r="A907" s="0" t="str">
        <f aca="false">'Raw Data'!C907</f>
        <v>Bend</v>
      </c>
      <c r="B907" s="5" t="n">
        <f aca="false">'Raw Data'!A907</f>
        <v>40323</v>
      </c>
      <c r="C907" s="6" t="n">
        <f aca="false">'Raw Data'!D907</f>
        <v>240.304799947912</v>
      </c>
      <c r="D907" s="6" t="n">
        <f aca="false">'Raw Data'!E907</f>
        <v>3.578888889</v>
      </c>
      <c r="E907" s="6" t="n">
        <f aca="false">'Raw Data'!F907</f>
        <v>1</v>
      </c>
      <c r="F907" s="6" t="n">
        <f aca="false">'Raw Data'!G907</f>
        <v>0</v>
      </c>
      <c r="G907" s="6" t="n">
        <f aca="false">'Raw Data'!H907</f>
        <v>0</v>
      </c>
      <c r="H907" s="6" t="n">
        <f aca="false">'Raw Data'!I907</f>
        <v>0</v>
      </c>
      <c r="I907" s="6" t="n">
        <f aca="false">'Raw Data'!J907</f>
        <v>0</v>
      </c>
      <c r="J907" s="6" t="n">
        <f aca="false">'Raw Data'!K907</f>
        <v>0</v>
      </c>
      <c r="K907" s="6" t="n">
        <f aca="false">'Raw Data'!L907</f>
        <v>2</v>
      </c>
      <c r="L907" s="6" t="n">
        <f aca="false">F907*E907</f>
        <v>0</v>
      </c>
      <c r="N907" s="0" t="n">
        <v>1</v>
      </c>
      <c r="O907" s="6" t="n">
        <f aca="false">D907</f>
        <v>3.578888889</v>
      </c>
      <c r="P907" s="6" t="n">
        <f aca="false">E907</f>
        <v>1</v>
      </c>
      <c r="Q907" s="6" t="n">
        <f aca="false">F907</f>
        <v>0</v>
      </c>
      <c r="R907" s="6" t="n">
        <f aca="false">G907</f>
        <v>0</v>
      </c>
      <c r="S907" s="6" t="n">
        <f aca="false">H907</f>
        <v>0</v>
      </c>
      <c r="T907" s="6" t="n">
        <f aca="false">I907</f>
        <v>0</v>
      </c>
      <c r="U907" s="6" t="n">
        <f aca="false">L907</f>
        <v>0</v>
      </c>
      <c r="W907" s="6" t="n">
        <f aca="false">D907</f>
        <v>3.578888889</v>
      </c>
      <c r="X907" s="6" t="n">
        <f aca="false">E907</f>
        <v>1</v>
      </c>
      <c r="Y907" s="6" t="n">
        <f aca="false">F907</f>
        <v>0</v>
      </c>
      <c r="Z907" s="6" t="n">
        <f aca="false">L907</f>
        <v>0</v>
      </c>
      <c r="AA907" s="6" t="n">
        <f aca="false">G907</f>
        <v>0</v>
      </c>
      <c r="AC907" s="6" t="n">
        <f aca="false">D907</f>
        <v>3.578888889</v>
      </c>
      <c r="AD907" s="6" t="n">
        <f aca="false">E907</f>
        <v>1</v>
      </c>
      <c r="AE907" s="6" t="n">
        <f aca="false">G907</f>
        <v>0</v>
      </c>
      <c r="AF907" s="6" t="n">
        <f aca="false">H907</f>
        <v>0</v>
      </c>
      <c r="AG907" s="6" t="n">
        <f aca="false">I907</f>
        <v>0</v>
      </c>
      <c r="AH907" s="6" t="n">
        <f aca="false">L907</f>
        <v>0</v>
      </c>
    </row>
    <row r="908" customFormat="false" ht="15" hidden="false" customHeight="false" outlineLevel="0" collapsed="false">
      <c r="A908" s="0" t="str">
        <f aca="false">'Raw Data'!C908</f>
        <v>Bend</v>
      </c>
      <c r="B908" s="5" t="n">
        <f aca="false">'Raw Data'!A908</f>
        <v>40330</v>
      </c>
      <c r="C908" s="6" t="n">
        <f aca="false">'Raw Data'!D908</f>
        <v>297.322606857285</v>
      </c>
      <c r="D908" s="6" t="n">
        <f aca="false">'Raw Data'!E908</f>
        <v>4.045555556</v>
      </c>
      <c r="E908" s="6" t="n">
        <f aca="false">'Raw Data'!F908</f>
        <v>1</v>
      </c>
      <c r="F908" s="6" t="n">
        <f aca="false">'Raw Data'!G908</f>
        <v>0</v>
      </c>
      <c r="G908" s="6" t="n">
        <f aca="false">'Raw Data'!H908</f>
        <v>0</v>
      </c>
      <c r="H908" s="6" t="n">
        <f aca="false">'Raw Data'!I908</f>
        <v>0</v>
      </c>
      <c r="I908" s="6" t="n">
        <f aca="false">'Raw Data'!J908</f>
        <v>0</v>
      </c>
      <c r="J908" s="6" t="n">
        <f aca="false">'Raw Data'!K908</f>
        <v>0</v>
      </c>
      <c r="K908" s="6" t="n">
        <f aca="false">'Raw Data'!L908</f>
        <v>2</v>
      </c>
      <c r="L908" s="6" t="n">
        <f aca="false">F908*E908</f>
        <v>0</v>
      </c>
      <c r="N908" s="0" t="n">
        <v>1</v>
      </c>
      <c r="O908" s="6" t="n">
        <f aca="false">D908</f>
        <v>4.045555556</v>
      </c>
      <c r="P908" s="6" t="n">
        <f aca="false">E908</f>
        <v>1</v>
      </c>
      <c r="Q908" s="6" t="n">
        <f aca="false">F908</f>
        <v>0</v>
      </c>
      <c r="R908" s="6" t="n">
        <f aca="false">G908</f>
        <v>0</v>
      </c>
      <c r="S908" s="6" t="n">
        <f aca="false">H908</f>
        <v>0</v>
      </c>
      <c r="T908" s="6" t="n">
        <f aca="false">I908</f>
        <v>0</v>
      </c>
      <c r="U908" s="6" t="n">
        <f aca="false">L908</f>
        <v>0</v>
      </c>
      <c r="W908" s="6" t="n">
        <f aca="false">D908</f>
        <v>4.045555556</v>
      </c>
      <c r="X908" s="6" t="n">
        <f aca="false">E908</f>
        <v>1</v>
      </c>
      <c r="Y908" s="6" t="n">
        <f aca="false">F908</f>
        <v>0</v>
      </c>
      <c r="Z908" s="6" t="n">
        <f aca="false">L908</f>
        <v>0</v>
      </c>
      <c r="AA908" s="6" t="n">
        <f aca="false">G908</f>
        <v>0</v>
      </c>
      <c r="AC908" s="6" t="n">
        <f aca="false">D908</f>
        <v>4.045555556</v>
      </c>
      <c r="AD908" s="6" t="n">
        <f aca="false">E908</f>
        <v>1</v>
      </c>
      <c r="AE908" s="6" t="n">
        <f aca="false">G908</f>
        <v>0</v>
      </c>
      <c r="AF908" s="6" t="n">
        <f aca="false">H908</f>
        <v>0</v>
      </c>
      <c r="AG908" s="6" t="n">
        <f aca="false">I908</f>
        <v>0</v>
      </c>
      <c r="AH908" s="6" t="n">
        <f aca="false">L908</f>
        <v>0</v>
      </c>
    </row>
    <row r="909" customFormat="false" ht="15" hidden="false" customHeight="false" outlineLevel="0" collapsed="false">
      <c r="A909" s="0" t="str">
        <f aca="false">'Raw Data'!C909</f>
        <v>Bend</v>
      </c>
      <c r="B909" s="5" t="n">
        <f aca="false">'Raw Data'!A909</f>
        <v>40337</v>
      </c>
      <c r="C909" s="6" t="n">
        <f aca="false">'Raw Data'!D909</f>
        <v>214.811878243018</v>
      </c>
      <c r="D909" s="6" t="n">
        <f aca="false">'Raw Data'!E909</f>
        <v>4.467777778</v>
      </c>
      <c r="E909" s="6" t="n">
        <f aca="false">'Raw Data'!F909</f>
        <v>1</v>
      </c>
      <c r="F909" s="6" t="n">
        <f aca="false">'Raw Data'!G909</f>
        <v>0</v>
      </c>
      <c r="G909" s="6" t="n">
        <f aca="false">'Raw Data'!H909</f>
        <v>0</v>
      </c>
      <c r="H909" s="6" t="n">
        <f aca="false">'Raw Data'!I909</f>
        <v>0</v>
      </c>
      <c r="I909" s="6" t="n">
        <f aca="false">'Raw Data'!J909</f>
        <v>0</v>
      </c>
      <c r="J909" s="6" t="n">
        <f aca="false">'Raw Data'!K909</f>
        <v>0</v>
      </c>
      <c r="K909" s="6" t="n">
        <f aca="false">'Raw Data'!L909</f>
        <v>2</v>
      </c>
      <c r="L909" s="6" t="n">
        <f aca="false">F909*E909</f>
        <v>0</v>
      </c>
      <c r="N909" s="0" t="n">
        <v>1</v>
      </c>
      <c r="O909" s="6" t="n">
        <f aca="false">D909</f>
        <v>4.467777778</v>
      </c>
      <c r="P909" s="6" t="n">
        <f aca="false">E909</f>
        <v>1</v>
      </c>
      <c r="Q909" s="6" t="n">
        <f aca="false">F909</f>
        <v>0</v>
      </c>
      <c r="R909" s="6" t="n">
        <f aca="false">G909</f>
        <v>0</v>
      </c>
      <c r="S909" s="6" t="n">
        <f aca="false">H909</f>
        <v>0</v>
      </c>
      <c r="T909" s="6" t="n">
        <f aca="false">I909</f>
        <v>0</v>
      </c>
      <c r="U909" s="6" t="n">
        <f aca="false">L909</f>
        <v>0</v>
      </c>
      <c r="W909" s="6" t="n">
        <f aca="false">D909</f>
        <v>4.467777778</v>
      </c>
      <c r="X909" s="6" t="n">
        <f aca="false">E909</f>
        <v>1</v>
      </c>
      <c r="Y909" s="6" t="n">
        <f aca="false">F909</f>
        <v>0</v>
      </c>
      <c r="Z909" s="6" t="n">
        <f aca="false">L909</f>
        <v>0</v>
      </c>
      <c r="AA909" s="6" t="n">
        <f aca="false">G909</f>
        <v>0</v>
      </c>
      <c r="AC909" s="6" t="n">
        <f aca="false">D909</f>
        <v>4.467777778</v>
      </c>
      <c r="AD909" s="6" t="n">
        <f aca="false">E909</f>
        <v>1</v>
      </c>
      <c r="AE909" s="6" t="n">
        <f aca="false">G909</f>
        <v>0</v>
      </c>
      <c r="AF909" s="6" t="n">
        <f aca="false">H909</f>
        <v>0</v>
      </c>
      <c r="AG909" s="6" t="n">
        <f aca="false">I909</f>
        <v>0</v>
      </c>
      <c r="AH909" s="6" t="n">
        <f aca="false">L909</f>
        <v>0</v>
      </c>
    </row>
    <row r="910" customFormat="false" ht="15" hidden="false" customHeight="false" outlineLevel="0" collapsed="false">
      <c r="A910" s="0" t="str">
        <f aca="false">'Raw Data'!C910</f>
        <v>Bend</v>
      </c>
      <c r="B910" s="5" t="n">
        <f aca="false">'Raw Data'!A910</f>
        <v>40344</v>
      </c>
      <c r="C910" s="6" t="n">
        <f aca="false">'Raw Data'!D910</f>
        <v>224.80509659551</v>
      </c>
      <c r="D910" s="6" t="n">
        <f aca="false">'Raw Data'!E910</f>
        <v>3.701111111</v>
      </c>
      <c r="E910" s="6" t="n">
        <f aca="false">'Raw Data'!F910</f>
        <v>1</v>
      </c>
      <c r="F910" s="6" t="n">
        <f aca="false">'Raw Data'!G910</f>
        <v>0</v>
      </c>
      <c r="G910" s="6" t="n">
        <f aca="false">'Raw Data'!H910</f>
        <v>0</v>
      </c>
      <c r="H910" s="6" t="n">
        <f aca="false">'Raw Data'!I910</f>
        <v>0</v>
      </c>
      <c r="I910" s="6" t="n">
        <f aca="false">'Raw Data'!J910</f>
        <v>0</v>
      </c>
      <c r="J910" s="6" t="n">
        <f aca="false">'Raw Data'!K910</f>
        <v>0</v>
      </c>
      <c r="K910" s="6" t="n">
        <f aca="false">'Raw Data'!L910</f>
        <v>2</v>
      </c>
      <c r="L910" s="6" t="n">
        <f aca="false">F910*E910</f>
        <v>0</v>
      </c>
      <c r="N910" s="0" t="n">
        <v>1</v>
      </c>
      <c r="O910" s="6" t="n">
        <f aca="false">D910</f>
        <v>3.701111111</v>
      </c>
      <c r="P910" s="6" t="n">
        <f aca="false">E910</f>
        <v>1</v>
      </c>
      <c r="Q910" s="6" t="n">
        <f aca="false">F910</f>
        <v>0</v>
      </c>
      <c r="R910" s="6" t="n">
        <f aca="false">G910</f>
        <v>0</v>
      </c>
      <c r="S910" s="6" t="n">
        <f aca="false">H910</f>
        <v>0</v>
      </c>
      <c r="T910" s="6" t="n">
        <f aca="false">I910</f>
        <v>0</v>
      </c>
      <c r="U910" s="6" t="n">
        <f aca="false">L910</f>
        <v>0</v>
      </c>
      <c r="W910" s="6" t="n">
        <f aca="false">D910</f>
        <v>3.701111111</v>
      </c>
      <c r="X910" s="6" t="n">
        <f aca="false">E910</f>
        <v>1</v>
      </c>
      <c r="Y910" s="6" t="n">
        <f aca="false">F910</f>
        <v>0</v>
      </c>
      <c r="Z910" s="6" t="n">
        <f aca="false">L910</f>
        <v>0</v>
      </c>
      <c r="AA910" s="6" t="n">
        <f aca="false">G910</f>
        <v>0</v>
      </c>
      <c r="AC910" s="6" t="n">
        <f aca="false">D910</f>
        <v>3.701111111</v>
      </c>
      <c r="AD910" s="6" t="n">
        <f aca="false">E910</f>
        <v>1</v>
      </c>
      <c r="AE910" s="6" t="n">
        <f aca="false">G910</f>
        <v>0</v>
      </c>
      <c r="AF910" s="6" t="n">
        <f aca="false">H910</f>
        <v>0</v>
      </c>
      <c r="AG910" s="6" t="n">
        <f aca="false">I910</f>
        <v>0</v>
      </c>
      <c r="AH910" s="6" t="n">
        <f aca="false">L910</f>
        <v>0</v>
      </c>
    </row>
    <row r="911" customFormat="false" ht="15" hidden="false" customHeight="false" outlineLevel="0" collapsed="false">
      <c r="A911" s="0" t="str">
        <f aca="false">'Raw Data'!C911</f>
        <v>Bend</v>
      </c>
      <c r="B911" s="5" t="n">
        <f aca="false">'Raw Data'!A911</f>
        <v>40351</v>
      </c>
      <c r="C911" s="6" t="n">
        <f aca="false">'Raw Data'!D911</f>
        <v>242.091662690739</v>
      </c>
      <c r="D911" s="6" t="n">
        <f aca="false">'Raw Data'!E911</f>
        <v>3.89</v>
      </c>
      <c r="E911" s="6" t="n">
        <f aca="false">'Raw Data'!F911</f>
        <v>1</v>
      </c>
      <c r="F911" s="6" t="n">
        <f aca="false">'Raw Data'!G911</f>
        <v>0</v>
      </c>
      <c r="G911" s="6" t="n">
        <f aca="false">'Raw Data'!H911</f>
        <v>0</v>
      </c>
      <c r="H911" s="6" t="n">
        <f aca="false">'Raw Data'!I911</f>
        <v>0</v>
      </c>
      <c r="I911" s="6" t="n">
        <f aca="false">'Raw Data'!J911</f>
        <v>0</v>
      </c>
      <c r="J911" s="6" t="n">
        <f aca="false">'Raw Data'!K911</f>
        <v>0</v>
      </c>
      <c r="K911" s="6" t="n">
        <f aca="false">'Raw Data'!L911</f>
        <v>2</v>
      </c>
      <c r="L911" s="6" t="n">
        <f aca="false">F911*E911</f>
        <v>0</v>
      </c>
      <c r="N911" s="0" t="n">
        <v>1</v>
      </c>
      <c r="O911" s="6" t="n">
        <f aca="false">D911</f>
        <v>3.89</v>
      </c>
      <c r="P911" s="6" t="n">
        <f aca="false">E911</f>
        <v>1</v>
      </c>
      <c r="Q911" s="6" t="n">
        <f aca="false">F911</f>
        <v>0</v>
      </c>
      <c r="R911" s="6" t="n">
        <f aca="false">G911</f>
        <v>0</v>
      </c>
      <c r="S911" s="6" t="n">
        <f aca="false">H911</f>
        <v>0</v>
      </c>
      <c r="T911" s="6" t="n">
        <f aca="false">I911</f>
        <v>0</v>
      </c>
      <c r="U911" s="6" t="n">
        <f aca="false">L911</f>
        <v>0</v>
      </c>
      <c r="W911" s="6" t="n">
        <f aca="false">D911</f>
        <v>3.89</v>
      </c>
      <c r="X911" s="6" t="n">
        <f aca="false">E911</f>
        <v>1</v>
      </c>
      <c r="Y911" s="6" t="n">
        <f aca="false">F911</f>
        <v>0</v>
      </c>
      <c r="Z911" s="6" t="n">
        <f aca="false">L911</f>
        <v>0</v>
      </c>
      <c r="AA911" s="6" t="n">
        <f aca="false">G911</f>
        <v>0</v>
      </c>
      <c r="AC911" s="6" t="n">
        <f aca="false">D911</f>
        <v>3.89</v>
      </c>
      <c r="AD911" s="6" t="n">
        <f aca="false">E911</f>
        <v>1</v>
      </c>
      <c r="AE911" s="6" t="n">
        <f aca="false">G911</f>
        <v>0</v>
      </c>
      <c r="AF911" s="6" t="n">
        <f aca="false">H911</f>
        <v>0</v>
      </c>
      <c r="AG911" s="6" t="n">
        <f aca="false">I911</f>
        <v>0</v>
      </c>
      <c r="AH911" s="6" t="n">
        <f aca="false">L911</f>
        <v>0</v>
      </c>
    </row>
    <row r="912" customFormat="false" ht="15" hidden="false" customHeight="false" outlineLevel="0" collapsed="false">
      <c r="A912" s="0" t="str">
        <f aca="false">'Raw Data'!C912</f>
        <v>Bend</v>
      </c>
      <c r="B912" s="5" t="n">
        <f aca="false">'Raw Data'!A912</f>
        <v>40358</v>
      </c>
      <c r="C912" s="6" t="n">
        <f aca="false">'Raw Data'!D912</f>
        <v>221.63976625681</v>
      </c>
      <c r="D912" s="6" t="n">
        <f aca="false">'Raw Data'!E912</f>
        <v>3.758181818</v>
      </c>
      <c r="E912" s="6" t="n">
        <f aca="false">'Raw Data'!F912</f>
        <v>1</v>
      </c>
      <c r="F912" s="6" t="n">
        <f aca="false">'Raw Data'!G912</f>
        <v>0</v>
      </c>
      <c r="G912" s="6" t="n">
        <f aca="false">'Raw Data'!H912</f>
        <v>0</v>
      </c>
      <c r="H912" s="6" t="n">
        <f aca="false">'Raw Data'!I912</f>
        <v>0</v>
      </c>
      <c r="I912" s="6" t="n">
        <f aca="false">'Raw Data'!J912</f>
        <v>0</v>
      </c>
      <c r="J912" s="6" t="n">
        <f aca="false">'Raw Data'!K912</f>
        <v>0</v>
      </c>
      <c r="K912" s="6" t="n">
        <f aca="false">'Raw Data'!L912</f>
        <v>2</v>
      </c>
      <c r="L912" s="6" t="n">
        <f aca="false">F912*E912</f>
        <v>0</v>
      </c>
      <c r="N912" s="0" t="n">
        <v>1</v>
      </c>
      <c r="O912" s="6" t="n">
        <f aca="false">D912</f>
        <v>3.758181818</v>
      </c>
      <c r="P912" s="6" t="n">
        <f aca="false">E912</f>
        <v>1</v>
      </c>
      <c r="Q912" s="6" t="n">
        <f aca="false">F912</f>
        <v>0</v>
      </c>
      <c r="R912" s="6" t="n">
        <f aca="false">G912</f>
        <v>0</v>
      </c>
      <c r="S912" s="6" t="n">
        <f aca="false">H912</f>
        <v>0</v>
      </c>
      <c r="T912" s="6" t="n">
        <f aca="false">I912</f>
        <v>0</v>
      </c>
      <c r="U912" s="6" t="n">
        <f aca="false">L912</f>
        <v>0</v>
      </c>
      <c r="W912" s="6" t="n">
        <f aca="false">D912</f>
        <v>3.758181818</v>
      </c>
      <c r="X912" s="6" t="n">
        <f aca="false">E912</f>
        <v>1</v>
      </c>
      <c r="Y912" s="6" t="n">
        <f aca="false">F912</f>
        <v>0</v>
      </c>
      <c r="Z912" s="6" t="n">
        <f aca="false">L912</f>
        <v>0</v>
      </c>
      <c r="AA912" s="6" t="n">
        <f aca="false">G912</f>
        <v>0</v>
      </c>
      <c r="AC912" s="6" t="n">
        <f aca="false">D912</f>
        <v>3.758181818</v>
      </c>
      <c r="AD912" s="6" t="n">
        <f aca="false">E912</f>
        <v>1</v>
      </c>
      <c r="AE912" s="6" t="n">
        <f aca="false">G912</f>
        <v>0</v>
      </c>
      <c r="AF912" s="6" t="n">
        <f aca="false">H912</f>
        <v>0</v>
      </c>
      <c r="AG912" s="6" t="n">
        <f aca="false">I912</f>
        <v>0</v>
      </c>
      <c r="AH912" s="6" t="n">
        <f aca="false">L912</f>
        <v>0</v>
      </c>
    </row>
    <row r="913" customFormat="false" ht="15" hidden="false" customHeight="false" outlineLevel="0" collapsed="false">
      <c r="A913" s="0" t="str">
        <f aca="false">'Raw Data'!C913</f>
        <v>Bend</v>
      </c>
      <c r="B913" s="5" t="n">
        <f aca="false">'Raw Data'!A913</f>
        <v>40365</v>
      </c>
      <c r="C913" s="6" t="n">
        <f aca="false">'Raw Data'!D913</f>
        <v>269.995177716116</v>
      </c>
      <c r="D913" s="6" t="n">
        <f aca="false">'Raw Data'!E913</f>
        <v>2.995384615</v>
      </c>
      <c r="E913" s="6" t="n">
        <f aca="false">'Raw Data'!F913</f>
        <v>1</v>
      </c>
      <c r="F913" s="6" t="n">
        <f aca="false">'Raw Data'!G913</f>
        <v>0</v>
      </c>
      <c r="G913" s="6" t="n">
        <f aca="false">'Raw Data'!H913</f>
        <v>0</v>
      </c>
      <c r="H913" s="6" t="n">
        <f aca="false">'Raw Data'!I913</f>
        <v>0</v>
      </c>
      <c r="I913" s="6" t="n">
        <f aca="false">'Raw Data'!J913</f>
        <v>0</v>
      </c>
      <c r="J913" s="6" t="n">
        <f aca="false">'Raw Data'!K913</f>
        <v>0</v>
      </c>
      <c r="K913" s="6" t="n">
        <f aca="false">'Raw Data'!L913</f>
        <v>2</v>
      </c>
      <c r="L913" s="6" t="n">
        <f aca="false">F913*E913</f>
        <v>0</v>
      </c>
      <c r="N913" s="0" t="n">
        <v>1</v>
      </c>
      <c r="O913" s="6" t="n">
        <f aca="false">D913</f>
        <v>2.995384615</v>
      </c>
      <c r="P913" s="6" t="n">
        <f aca="false">E913</f>
        <v>1</v>
      </c>
      <c r="Q913" s="6" t="n">
        <f aca="false">F913</f>
        <v>0</v>
      </c>
      <c r="R913" s="6" t="n">
        <f aca="false">G913</f>
        <v>0</v>
      </c>
      <c r="S913" s="6" t="n">
        <f aca="false">H913</f>
        <v>0</v>
      </c>
      <c r="T913" s="6" t="n">
        <f aca="false">I913</f>
        <v>0</v>
      </c>
      <c r="U913" s="6" t="n">
        <f aca="false">L913</f>
        <v>0</v>
      </c>
      <c r="W913" s="6" t="n">
        <f aca="false">D913</f>
        <v>2.995384615</v>
      </c>
      <c r="X913" s="6" t="n">
        <f aca="false">E913</f>
        <v>1</v>
      </c>
      <c r="Y913" s="6" t="n">
        <f aca="false">F913</f>
        <v>0</v>
      </c>
      <c r="Z913" s="6" t="n">
        <f aca="false">L913</f>
        <v>0</v>
      </c>
      <c r="AA913" s="6" t="n">
        <f aca="false">G913</f>
        <v>0</v>
      </c>
      <c r="AC913" s="6" t="n">
        <f aca="false">D913</f>
        <v>2.995384615</v>
      </c>
      <c r="AD913" s="6" t="n">
        <f aca="false">E913</f>
        <v>1</v>
      </c>
      <c r="AE913" s="6" t="n">
        <f aca="false">G913</f>
        <v>0</v>
      </c>
      <c r="AF913" s="6" t="n">
        <f aca="false">H913</f>
        <v>0</v>
      </c>
      <c r="AG913" s="6" t="n">
        <f aca="false">I913</f>
        <v>0</v>
      </c>
      <c r="AH913" s="6" t="n">
        <f aca="false">L913</f>
        <v>0</v>
      </c>
    </row>
    <row r="914" customFormat="false" ht="15" hidden="false" customHeight="false" outlineLevel="0" collapsed="false">
      <c r="A914" s="0" t="str">
        <f aca="false">'Raw Data'!C914</f>
        <v>Bend</v>
      </c>
      <c r="B914" s="5" t="n">
        <f aca="false">'Raw Data'!A914</f>
        <v>40372</v>
      </c>
      <c r="C914" s="6" t="n">
        <f aca="false">'Raw Data'!D914</f>
        <v>320.585125329584</v>
      </c>
      <c r="D914" s="6" t="n">
        <f aca="false">'Raw Data'!E914</f>
        <v>2.995384615</v>
      </c>
      <c r="E914" s="6" t="n">
        <f aca="false">'Raw Data'!F914</f>
        <v>1</v>
      </c>
      <c r="F914" s="6" t="n">
        <f aca="false">'Raw Data'!G914</f>
        <v>0</v>
      </c>
      <c r="G914" s="6" t="n">
        <f aca="false">'Raw Data'!H914</f>
        <v>0</v>
      </c>
      <c r="H914" s="6" t="n">
        <f aca="false">'Raw Data'!I914</f>
        <v>0</v>
      </c>
      <c r="I914" s="6" t="n">
        <f aca="false">'Raw Data'!J914</f>
        <v>0</v>
      </c>
      <c r="J914" s="6" t="n">
        <f aca="false">'Raw Data'!K914</f>
        <v>0</v>
      </c>
      <c r="K914" s="6" t="n">
        <f aca="false">'Raw Data'!L914</f>
        <v>2</v>
      </c>
      <c r="L914" s="6" t="n">
        <f aca="false">F914*E914</f>
        <v>0</v>
      </c>
      <c r="N914" s="0" t="n">
        <v>1</v>
      </c>
      <c r="O914" s="6" t="n">
        <f aca="false">D914</f>
        <v>2.995384615</v>
      </c>
      <c r="P914" s="6" t="n">
        <f aca="false">E914</f>
        <v>1</v>
      </c>
      <c r="Q914" s="6" t="n">
        <f aca="false">F914</f>
        <v>0</v>
      </c>
      <c r="R914" s="6" t="n">
        <f aca="false">G914</f>
        <v>0</v>
      </c>
      <c r="S914" s="6" t="n">
        <f aca="false">H914</f>
        <v>0</v>
      </c>
      <c r="T914" s="6" t="n">
        <f aca="false">I914</f>
        <v>0</v>
      </c>
      <c r="U914" s="6" t="n">
        <f aca="false">L914</f>
        <v>0</v>
      </c>
      <c r="W914" s="6" t="n">
        <f aca="false">D914</f>
        <v>2.995384615</v>
      </c>
      <c r="X914" s="6" t="n">
        <f aca="false">E914</f>
        <v>1</v>
      </c>
      <c r="Y914" s="6" t="n">
        <f aca="false">F914</f>
        <v>0</v>
      </c>
      <c r="Z914" s="6" t="n">
        <f aca="false">L914</f>
        <v>0</v>
      </c>
      <c r="AA914" s="6" t="n">
        <f aca="false">G914</f>
        <v>0</v>
      </c>
      <c r="AC914" s="6" t="n">
        <f aca="false">D914</f>
        <v>2.995384615</v>
      </c>
      <c r="AD914" s="6" t="n">
        <f aca="false">E914</f>
        <v>1</v>
      </c>
      <c r="AE914" s="6" t="n">
        <f aca="false">G914</f>
        <v>0</v>
      </c>
      <c r="AF914" s="6" t="n">
        <f aca="false">H914</f>
        <v>0</v>
      </c>
      <c r="AG914" s="6" t="n">
        <f aca="false">I914</f>
        <v>0</v>
      </c>
      <c r="AH914" s="6" t="n">
        <f aca="false">L914</f>
        <v>0</v>
      </c>
    </row>
    <row r="915" customFormat="false" ht="15" hidden="false" customHeight="false" outlineLevel="0" collapsed="false">
      <c r="A915" s="0" t="str">
        <f aca="false">'Raw Data'!C915</f>
        <v>Bridgeport</v>
      </c>
      <c r="B915" s="5" t="n">
        <f aca="false">'Raw Data'!A915</f>
        <v>40302</v>
      </c>
      <c r="C915" s="6" t="n">
        <f aca="false">'Raw Data'!D915</f>
        <v>248.681358525504</v>
      </c>
      <c r="D915" s="6" t="n">
        <f aca="false">'Raw Data'!E915</f>
        <v>4.573333333</v>
      </c>
      <c r="E915" s="6" t="n">
        <f aca="false">'Raw Data'!F915</f>
        <v>1</v>
      </c>
      <c r="F915" s="6" t="n">
        <f aca="false">'Raw Data'!G915</f>
        <v>0</v>
      </c>
      <c r="G915" s="6" t="n">
        <f aca="false">'Raw Data'!H915</f>
        <v>0</v>
      </c>
      <c r="H915" s="6" t="n">
        <f aca="false">'Raw Data'!I915</f>
        <v>0</v>
      </c>
      <c r="I915" s="6" t="n">
        <f aca="false">'Raw Data'!J915</f>
        <v>0</v>
      </c>
      <c r="J915" s="6" t="n">
        <f aca="false">'Raw Data'!K915</f>
        <v>1</v>
      </c>
      <c r="K915" s="6" t="n">
        <f aca="false">'Raw Data'!L915</f>
        <v>0</v>
      </c>
      <c r="L915" s="6" t="n">
        <f aca="false">F915*E915</f>
        <v>0</v>
      </c>
      <c r="N915" s="0" t="n">
        <v>1</v>
      </c>
      <c r="O915" s="6" t="n">
        <f aca="false">D915</f>
        <v>4.573333333</v>
      </c>
      <c r="P915" s="6" t="n">
        <f aca="false">E915</f>
        <v>1</v>
      </c>
      <c r="Q915" s="6" t="n">
        <f aca="false">F915</f>
        <v>0</v>
      </c>
      <c r="R915" s="6" t="n">
        <f aca="false">G915</f>
        <v>0</v>
      </c>
      <c r="S915" s="6" t="n">
        <f aca="false">H915</f>
        <v>0</v>
      </c>
      <c r="T915" s="6" t="n">
        <f aca="false">I915</f>
        <v>0</v>
      </c>
      <c r="U915" s="6" t="n">
        <f aca="false">L915</f>
        <v>0</v>
      </c>
      <c r="W915" s="6" t="n">
        <f aca="false">D915</f>
        <v>4.573333333</v>
      </c>
      <c r="X915" s="6" t="n">
        <f aca="false">E915</f>
        <v>1</v>
      </c>
      <c r="Y915" s="6" t="n">
        <f aca="false">F915</f>
        <v>0</v>
      </c>
      <c r="Z915" s="6" t="n">
        <f aca="false">L915</f>
        <v>0</v>
      </c>
      <c r="AA915" s="6" t="n">
        <f aca="false">G915</f>
        <v>0</v>
      </c>
      <c r="AC915" s="6" t="n">
        <f aca="false">D915</f>
        <v>4.573333333</v>
      </c>
      <c r="AD915" s="6" t="n">
        <f aca="false">E915</f>
        <v>1</v>
      </c>
      <c r="AE915" s="6" t="n">
        <f aca="false">G915</f>
        <v>0</v>
      </c>
      <c r="AF915" s="6" t="n">
        <f aca="false">H915</f>
        <v>0</v>
      </c>
      <c r="AG915" s="6" t="n">
        <f aca="false">I915</f>
        <v>0</v>
      </c>
      <c r="AH915" s="6" t="n">
        <f aca="false">L915</f>
        <v>0</v>
      </c>
    </row>
    <row r="916" customFormat="false" ht="15" hidden="false" customHeight="false" outlineLevel="0" collapsed="false">
      <c r="A916" s="0" t="str">
        <f aca="false">'Raw Data'!C916</f>
        <v>Bridgeport</v>
      </c>
      <c r="B916" s="5" t="n">
        <f aca="false">'Raw Data'!A916</f>
        <v>40309</v>
      </c>
      <c r="C916" s="6" t="n">
        <f aca="false">'Raw Data'!D916</f>
        <v>240.503059206417</v>
      </c>
      <c r="D916" s="6" t="n">
        <f aca="false">'Raw Data'!E916</f>
        <v>4.262727273</v>
      </c>
      <c r="E916" s="6" t="n">
        <f aca="false">'Raw Data'!F916</f>
        <v>1</v>
      </c>
      <c r="F916" s="6" t="n">
        <f aca="false">'Raw Data'!G916</f>
        <v>0</v>
      </c>
      <c r="G916" s="6" t="n">
        <f aca="false">'Raw Data'!H916</f>
        <v>0</v>
      </c>
      <c r="H916" s="6" t="n">
        <f aca="false">'Raw Data'!I916</f>
        <v>0</v>
      </c>
      <c r="I916" s="6" t="n">
        <f aca="false">'Raw Data'!J916</f>
        <v>0</v>
      </c>
      <c r="J916" s="6" t="n">
        <f aca="false">'Raw Data'!K916</f>
        <v>1</v>
      </c>
      <c r="K916" s="6" t="n">
        <f aca="false">'Raw Data'!L916</f>
        <v>0</v>
      </c>
      <c r="L916" s="6" t="n">
        <f aca="false">F916*E916</f>
        <v>0</v>
      </c>
      <c r="N916" s="0" t="n">
        <v>1</v>
      </c>
      <c r="O916" s="6" t="n">
        <f aca="false">D916</f>
        <v>4.262727273</v>
      </c>
      <c r="P916" s="6" t="n">
        <f aca="false">E916</f>
        <v>1</v>
      </c>
      <c r="Q916" s="6" t="n">
        <f aca="false">F916</f>
        <v>0</v>
      </c>
      <c r="R916" s="6" t="n">
        <f aca="false">G916</f>
        <v>0</v>
      </c>
      <c r="S916" s="6" t="n">
        <f aca="false">H916</f>
        <v>0</v>
      </c>
      <c r="T916" s="6" t="n">
        <f aca="false">I916</f>
        <v>0</v>
      </c>
      <c r="U916" s="6" t="n">
        <f aca="false">L916</f>
        <v>0</v>
      </c>
      <c r="W916" s="6" t="n">
        <f aca="false">D916</f>
        <v>4.262727273</v>
      </c>
      <c r="X916" s="6" t="n">
        <f aca="false">E916</f>
        <v>1</v>
      </c>
      <c r="Y916" s="6" t="n">
        <f aca="false">F916</f>
        <v>0</v>
      </c>
      <c r="Z916" s="6" t="n">
        <f aca="false">L916</f>
        <v>0</v>
      </c>
      <c r="AA916" s="6" t="n">
        <f aca="false">G916</f>
        <v>0</v>
      </c>
      <c r="AC916" s="6" t="n">
        <f aca="false">D916</f>
        <v>4.262727273</v>
      </c>
      <c r="AD916" s="6" t="n">
        <f aca="false">E916</f>
        <v>1</v>
      </c>
      <c r="AE916" s="6" t="n">
        <f aca="false">G916</f>
        <v>0</v>
      </c>
      <c r="AF916" s="6" t="n">
        <f aca="false">H916</f>
        <v>0</v>
      </c>
      <c r="AG916" s="6" t="n">
        <f aca="false">I916</f>
        <v>0</v>
      </c>
      <c r="AH916" s="6" t="n">
        <f aca="false">L916</f>
        <v>0</v>
      </c>
    </row>
    <row r="917" customFormat="false" ht="15" hidden="false" customHeight="false" outlineLevel="0" collapsed="false">
      <c r="A917" s="0" t="str">
        <f aca="false">'Raw Data'!C917</f>
        <v>Bridgeport</v>
      </c>
      <c r="B917" s="5" t="n">
        <f aca="false">'Raw Data'!A917</f>
        <v>40316</v>
      </c>
      <c r="C917" s="6" t="n">
        <f aca="false">'Raw Data'!D917</f>
        <v>278.554631847517</v>
      </c>
      <c r="D917" s="6" t="n">
        <f aca="false">'Raw Data'!E917</f>
        <v>4.171818182</v>
      </c>
      <c r="E917" s="6" t="n">
        <f aca="false">'Raw Data'!F917</f>
        <v>1</v>
      </c>
      <c r="F917" s="6" t="n">
        <f aca="false">'Raw Data'!G917</f>
        <v>0</v>
      </c>
      <c r="G917" s="6" t="n">
        <f aca="false">'Raw Data'!H917</f>
        <v>0</v>
      </c>
      <c r="H917" s="6" t="n">
        <f aca="false">'Raw Data'!I917</f>
        <v>0</v>
      </c>
      <c r="I917" s="6" t="n">
        <f aca="false">'Raw Data'!J917</f>
        <v>0</v>
      </c>
      <c r="J917" s="6" t="n">
        <f aca="false">'Raw Data'!K917</f>
        <v>1</v>
      </c>
      <c r="K917" s="6" t="n">
        <f aca="false">'Raw Data'!L917</f>
        <v>0</v>
      </c>
      <c r="L917" s="6" t="n">
        <f aca="false">F917*E917</f>
        <v>0</v>
      </c>
      <c r="N917" s="0" t="n">
        <v>1</v>
      </c>
      <c r="O917" s="6" t="n">
        <f aca="false">D917</f>
        <v>4.171818182</v>
      </c>
      <c r="P917" s="6" t="n">
        <f aca="false">E917</f>
        <v>1</v>
      </c>
      <c r="Q917" s="6" t="n">
        <f aca="false">F917</f>
        <v>0</v>
      </c>
      <c r="R917" s="6" t="n">
        <f aca="false">G917</f>
        <v>0</v>
      </c>
      <c r="S917" s="6" t="n">
        <f aca="false">H917</f>
        <v>0</v>
      </c>
      <c r="T917" s="6" t="n">
        <f aca="false">I917</f>
        <v>0</v>
      </c>
      <c r="U917" s="6" t="n">
        <f aca="false">L917</f>
        <v>0</v>
      </c>
      <c r="W917" s="6" t="n">
        <f aca="false">D917</f>
        <v>4.171818182</v>
      </c>
      <c r="X917" s="6" t="n">
        <f aca="false">E917</f>
        <v>1</v>
      </c>
      <c r="Y917" s="6" t="n">
        <f aca="false">F917</f>
        <v>0</v>
      </c>
      <c r="Z917" s="6" t="n">
        <f aca="false">L917</f>
        <v>0</v>
      </c>
      <c r="AA917" s="6" t="n">
        <f aca="false">G917</f>
        <v>0</v>
      </c>
      <c r="AC917" s="6" t="n">
        <f aca="false">D917</f>
        <v>4.171818182</v>
      </c>
      <c r="AD917" s="6" t="n">
        <f aca="false">E917</f>
        <v>1</v>
      </c>
      <c r="AE917" s="6" t="n">
        <f aca="false">G917</f>
        <v>0</v>
      </c>
      <c r="AF917" s="6" t="n">
        <f aca="false">H917</f>
        <v>0</v>
      </c>
      <c r="AG917" s="6" t="n">
        <f aca="false">I917</f>
        <v>0</v>
      </c>
      <c r="AH917" s="6" t="n">
        <f aca="false">L917</f>
        <v>0</v>
      </c>
    </row>
    <row r="918" customFormat="false" ht="15" hidden="false" customHeight="false" outlineLevel="0" collapsed="false">
      <c r="A918" s="0" t="str">
        <f aca="false">'Raw Data'!C918</f>
        <v>Bridgeport</v>
      </c>
      <c r="B918" s="5" t="n">
        <f aca="false">'Raw Data'!A918</f>
        <v>40323</v>
      </c>
      <c r="C918" s="6" t="n">
        <f aca="false">'Raw Data'!D918</f>
        <v>204.652404458513</v>
      </c>
      <c r="D918" s="6" t="n">
        <f aca="false">'Raw Data'!E918</f>
        <v>4.198333333</v>
      </c>
      <c r="E918" s="6" t="n">
        <f aca="false">'Raw Data'!F918</f>
        <v>1</v>
      </c>
      <c r="F918" s="6" t="n">
        <f aca="false">'Raw Data'!G918</f>
        <v>0</v>
      </c>
      <c r="G918" s="6" t="n">
        <f aca="false">'Raw Data'!H918</f>
        <v>0</v>
      </c>
      <c r="H918" s="6" t="n">
        <f aca="false">'Raw Data'!I918</f>
        <v>0</v>
      </c>
      <c r="I918" s="6" t="n">
        <f aca="false">'Raw Data'!J918</f>
        <v>0</v>
      </c>
      <c r="J918" s="6" t="n">
        <f aca="false">'Raw Data'!K918</f>
        <v>1</v>
      </c>
      <c r="K918" s="6" t="n">
        <f aca="false">'Raw Data'!L918</f>
        <v>0</v>
      </c>
      <c r="L918" s="6" t="n">
        <f aca="false">F918*E918</f>
        <v>0</v>
      </c>
      <c r="N918" s="0" t="n">
        <v>1</v>
      </c>
      <c r="O918" s="6" t="n">
        <f aca="false">D918</f>
        <v>4.198333333</v>
      </c>
      <c r="P918" s="6" t="n">
        <f aca="false">E918</f>
        <v>1</v>
      </c>
      <c r="Q918" s="6" t="n">
        <f aca="false">F918</f>
        <v>0</v>
      </c>
      <c r="R918" s="6" t="n">
        <f aca="false">G918</f>
        <v>0</v>
      </c>
      <c r="S918" s="6" t="n">
        <f aca="false">H918</f>
        <v>0</v>
      </c>
      <c r="T918" s="6" t="n">
        <f aca="false">I918</f>
        <v>0</v>
      </c>
      <c r="U918" s="6" t="n">
        <f aca="false">L918</f>
        <v>0</v>
      </c>
      <c r="W918" s="6" t="n">
        <f aca="false">D918</f>
        <v>4.198333333</v>
      </c>
      <c r="X918" s="6" t="n">
        <f aca="false">E918</f>
        <v>1</v>
      </c>
      <c r="Y918" s="6" t="n">
        <f aca="false">F918</f>
        <v>0</v>
      </c>
      <c r="Z918" s="6" t="n">
        <f aca="false">L918</f>
        <v>0</v>
      </c>
      <c r="AA918" s="6" t="n">
        <f aca="false">G918</f>
        <v>0</v>
      </c>
      <c r="AC918" s="6" t="n">
        <f aca="false">D918</f>
        <v>4.198333333</v>
      </c>
      <c r="AD918" s="6" t="n">
        <f aca="false">E918</f>
        <v>1</v>
      </c>
      <c r="AE918" s="6" t="n">
        <f aca="false">G918</f>
        <v>0</v>
      </c>
      <c r="AF918" s="6" t="n">
        <f aca="false">H918</f>
        <v>0</v>
      </c>
      <c r="AG918" s="6" t="n">
        <f aca="false">I918</f>
        <v>0</v>
      </c>
      <c r="AH918" s="6" t="n">
        <f aca="false">L918</f>
        <v>0</v>
      </c>
    </row>
    <row r="919" customFormat="false" ht="15" hidden="false" customHeight="false" outlineLevel="0" collapsed="false">
      <c r="A919" s="0" t="str">
        <f aca="false">'Raw Data'!C919</f>
        <v>Bridgeport</v>
      </c>
      <c r="B919" s="5" t="n">
        <f aca="false">'Raw Data'!A919</f>
        <v>40330</v>
      </c>
      <c r="C919" s="6" t="n">
        <f aca="false">'Raw Data'!D919</f>
        <v>266.284354732413</v>
      </c>
      <c r="D919" s="6" t="n">
        <f aca="false">'Raw Data'!E919</f>
        <v>4.171818182</v>
      </c>
      <c r="E919" s="6" t="n">
        <f aca="false">'Raw Data'!F919</f>
        <v>1</v>
      </c>
      <c r="F919" s="6" t="n">
        <f aca="false">'Raw Data'!G919</f>
        <v>0</v>
      </c>
      <c r="G919" s="6" t="n">
        <f aca="false">'Raw Data'!H919</f>
        <v>0</v>
      </c>
      <c r="H919" s="6" t="n">
        <f aca="false">'Raw Data'!I919</f>
        <v>0</v>
      </c>
      <c r="I919" s="6" t="n">
        <f aca="false">'Raw Data'!J919</f>
        <v>0</v>
      </c>
      <c r="J919" s="6" t="n">
        <f aca="false">'Raw Data'!K919</f>
        <v>1</v>
      </c>
      <c r="K919" s="6" t="n">
        <f aca="false">'Raw Data'!L919</f>
        <v>0</v>
      </c>
      <c r="L919" s="6" t="n">
        <f aca="false">F919*E919</f>
        <v>0</v>
      </c>
      <c r="N919" s="0" t="n">
        <v>1</v>
      </c>
      <c r="O919" s="6" t="n">
        <f aca="false">D919</f>
        <v>4.171818182</v>
      </c>
      <c r="P919" s="6" t="n">
        <f aca="false">E919</f>
        <v>1</v>
      </c>
      <c r="Q919" s="6" t="n">
        <f aca="false">F919</f>
        <v>0</v>
      </c>
      <c r="R919" s="6" t="n">
        <f aca="false">G919</f>
        <v>0</v>
      </c>
      <c r="S919" s="6" t="n">
        <f aca="false">H919</f>
        <v>0</v>
      </c>
      <c r="T919" s="6" t="n">
        <f aca="false">I919</f>
        <v>0</v>
      </c>
      <c r="U919" s="6" t="n">
        <f aca="false">L919</f>
        <v>0</v>
      </c>
      <c r="W919" s="6" t="n">
        <f aca="false">D919</f>
        <v>4.171818182</v>
      </c>
      <c r="X919" s="6" t="n">
        <f aca="false">E919</f>
        <v>1</v>
      </c>
      <c r="Y919" s="6" t="n">
        <f aca="false">F919</f>
        <v>0</v>
      </c>
      <c r="Z919" s="6" t="n">
        <f aca="false">L919</f>
        <v>0</v>
      </c>
      <c r="AA919" s="6" t="n">
        <f aca="false">G919</f>
        <v>0</v>
      </c>
      <c r="AC919" s="6" t="n">
        <f aca="false">D919</f>
        <v>4.171818182</v>
      </c>
      <c r="AD919" s="6" t="n">
        <f aca="false">E919</f>
        <v>1</v>
      </c>
      <c r="AE919" s="6" t="n">
        <f aca="false">G919</f>
        <v>0</v>
      </c>
      <c r="AF919" s="6" t="n">
        <f aca="false">H919</f>
        <v>0</v>
      </c>
      <c r="AG919" s="6" t="n">
        <f aca="false">I919</f>
        <v>0</v>
      </c>
      <c r="AH919" s="6" t="n">
        <f aca="false">L919</f>
        <v>0</v>
      </c>
    </row>
    <row r="920" customFormat="false" ht="15" hidden="false" customHeight="false" outlineLevel="0" collapsed="false">
      <c r="A920" s="0" t="str">
        <f aca="false">'Raw Data'!C920</f>
        <v>Bridgeport</v>
      </c>
      <c r="B920" s="5" t="n">
        <f aca="false">'Raw Data'!A920</f>
        <v>40337</v>
      </c>
      <c r="C920" s="6" t="n">
        <f aca="false">'Raw Data'!D920</f>
        <v>175.165357968174</v>
      </c>
      <c r="D920" s="6" t="n">
        <f aca="false">'Raw Data'!E920</f>
        <v>4.197142857</v>
      </c>
      <c r="E920" s="6" t="n">
        <f aca="false">'Raw Data'!F920</f>
        <v>1</v>
      </c>
      <c r="F920" s="6" t="n">
        <f aca="false">'Raw Data'!G920</f>
        <v>0</v>
      </c>
      <c r="G920" s="6" t="n">
        <f aca="false">'Raw Data'!H920</f>
        <v>0</v>
      </c>
      <c r="H920" s="6" t="n">
        <f aca="false">'Raw Data'!I920</f>
        <v>0</v>
      </c>
      <c r="I920" s="6" t="n">
        <f aca="false">'Raw Data'!J920</f>
        <v>0</v>
      </c>
      <c r="J920" s="6" t="n">
        <f aca="false">'Raw Data'!K920</f>
        <v>1</v>
      </c>
      <c r="K920" s="6" t="n">
        <f aca="false">'Raw Data'!L920</f>
        <v>0</v>
      </c>
      <c r="L920" s="6" t="n">
        <f aca="false">F920*E920</f>
        <v>0</v>
      </c>
      <c r="N920" s="0" t="n">
        <v>1</v>
      </c>
      <c r="O920" s="6" t="n">
        <f aca="false">D920</f>
        <v>4.197142857</v>
      </c>
      <c r="P920" s="6" t="n">
        <f aca="false">E920</f>
        <v>1</v>
      </c>
      <c r="Q920" s="6" t="n">
        <f aca="false">F920</f>
        <v>0</v>
      </c>
      <c r="R920" s="6" t="n">
        <f aca="false">G920</f>
        <v>0</v>
      </c>
      <c r="S920" s="6" t="n">
        <f aca="false">H920</f>
        <v>0</v>
      </c>
      <c r="T920" s="6" t="n">
        <f aca="false">I920</f>
        <v>0</v>
      </c>
      <c r="U920" s="6" t="n">
        <f aca="false">L920</f>
        <v>0</v>
      </c>
      <c r="W920" s="6" t="n">
        <f aca="false">D920</f>
        <v>4.197142857</v>
      </c>
      <c r="X920" s="6" t="n">
        <f aca="false">E920</f>
        <v>1</v>
      </c>
      <c r="Y920" s="6" t="n">
        <f aca="false">F920</f>
        <v>0</v>
      </c>
      <c r="Z920" s="6" t="n">
        <f aca="false">L920</f>
        <v>0</v>
      </c>
      <c r="AA920" s="6" t="n">
        <f aca="false">G920</f>
        <v>0</v>
      </c>
      <c r="AC920" s="6" t="n">
        <f aca="false">D920</f>
        <v>4.197142857</v>
      </c>
      <c r="AD920" s="6" t="n">
        <f aca="false">E920</f>
        <v>1</v>
      </c>
      <c r="AE920" s="6" t="n">
        <f aca="false">G920</f>
        <v>0</v>
      </c>
      <c r="AF920" s="6" t="n">
        <f aca="false">H920</f>
        <v>0</v>
      </c>
      <c r="AG920" s="6" t="n">
        <f aca="false">I920</f>
        <v>0</v>
      </c>
      <c r="AH920" s="6" t="n">
        <f aca="false">L920</f>
        <v>0</v>
      </c>
    </row>
    <row r="921" customFormat="false" ht="15" hidden="false" customHeight="false" outlineLevel="0" collapsed="false">
      <c r="A921" s="0" t="str">
        <f aca="false">'Raw Data'!C921</f>
        <v>Bridgeport</v>
      </c>
      <c r="B921" s="5" t="n">
        <f aca="false">'Raw Data'!A921</f>
        <v>40344</v>
      </c>
      <c r="C921" s="6" t="n">
        <f aca="false">'Raw Data'!D921</f>
        <v>280.712399599475</v>
      </c>
      <c r="D921" s="6" t="n">
        <f aca="false">'Raw Data'!E921</f>
        <v>3.947142857</v>
      </c>
      <c r="E921" s="6" t="n">
        <f aca="false">'Raw Data'!F921</f>
        <v>1</v>
      </c>
      <c r="F921" s="6" t="n">
        <f aca="false">'Raw Data'!G921</f>
        <v>0</v>
      </c>
      <c r="G921" s="6" t="n">
        <f aca="false">'Raw Data'!H921</f>
        <v>0</v>
      </c>
      <c r="H921" s="6" t="n">
        <f aca="false">'Raw Data'!I921</f>
        <v>0</v>
      </c>
      <c r="I921" s="6" t="n">
        <f aca="false">'Raw Data'!J921</f>
        <v>0</v>
      </c>
      <c r="J921" s="6" t="n">
        <f aca="false">'Raw Data'!K921</f>
        <v>1</v>
      </c>
      <c r="K921" s="6" t="n">
        <f aca="false">'Raw Data'!L921</f>
        <v>0</v>
      </c>
      <c r="L921" s="6" t="n">
        <f aca="false">F921*E921</f>
        <v>0</v>
      </c>
      <c r="N921" s="0" t="n">
        <v>1</v>
      </c>
      <c r="O921" s="6" t="n">
        <f aca="false">D921</f>
        <v>3.947142857</v>
      </c>
      <c r="P921" s="6" t="n">
        <f aca="false">E921</f>
        <v>1</v>
      </c>
      <c r="Q921" s="6" t="n">
        <f aca="false">F921</f>
        <v>0</v>
      </c>
      <c r="R921" s="6" t="n">
        <f aca="false">G921</f>
        <v>0</v>
      </c>
      <c r="S921" s="6" t="n">
        <f aca="false">H921</f>
        <v>0</v>
      </c>
      <c r="T921" s="6" t="n">
        <f aca="false">I921</f>
        <v>0</v>
      </c>
      <c r="U921" s="6" t="n">
        <f aca="false">L921</f>
        <v>0</v>
      </c>
      <c r="W921" s="6" t="n">
        <f aca="false">D921</f>
        <v>3.947142857</v>
      </c>
      <c r="X921" s="6" t="n">
        <f aca="false">E921</f>
        <v>1</v>
      </c>
      <c r="Y921" s="6" t="n">
        <f aca="false">F921</f>
        <v>0</v>
      </c>
      <c r="Z921" s="6" t="n">
        <f aca="false">L921</f>
        <v>0</v>
      </c>
      <c r="AA921" s="6" t="n">
        <f aca="false">G921</f>
        <v>0</v>
      </c>
      <c r="AC921" s="6" t="n">
        <f aca="false">D921</f>
        <v>3.947142857</v>
      </c>
      <c r="AD921" s="6" t="n">
        <f aca="false">E921</f>
        <v>1</v>
      </c>
      <c r="AE921" s="6" t="n">
        <f aca="false">G921</f>
        <v>0</v>
      </c>
      <c r="AF921" s="6" t="n">
        <f aca="false">H921</f>
        <v>0</v>
      </c>
      <c r="AG921" s="6" t="n">
        <f aca="false">I921</f>
        <v>0</v>
      </c>
      <c r="AH921" s="6" t="n">
        <f aca="false">L921</f>
        <v>0</v>
      </c>
    </row>
    <row r="922" customFormat="false" ht="15" hidden="false" customHeight="false" outlineLevel="0" collapsed="false">
      <c r="A922" s="0" t="str">
        <f aca="false">'Raw Data'!C922</f>
        <v>Bridgeport</v>
      </c>
      <c r="B922" s="5" t="n">
        <f aca="false">'Raw Data'!A922</f>
        <v>40351</v>
      </c>
      <c r="C922" s="6" t="n">
        <f aca="false">'Raw Data'!D922</f>
        <v>712.72454513583</v>
      </c>
      <c r="D922" s="6" t="n">
        <f aca="false">'Raw Data'!E922</f>
        <v>3.182307692</v>
      </c>
      <c r="E922" s="6" t="n">
        <f aca="false">'Raw Data'!F922</f>
        <v>1</v>
      </c>
      <c r="F922" s="6" t="n">
        <f aca="false">'Raw Data'!G922</f>
        <v>1</v>
      </c>
      <c r="G922" s="6" t="n">
        <f aca="false">'Raw Data'!H922</f>
        <v>0</v>
      </c>
      <c r="H922" s="6" t="n">
        <f aca="false">'Raw Data'!I922</f>
        <v>0</v>
      </c>
      <c r="I922" s="6" t="n">
        <f aca="false">'Raw Data'!J922</f>
        <v>0</v>
      </c>
      <c r="J922" s="6" t="n">
        <f aca="false">'Raw Data'!K922</f>
        <v>1</v>
      </c>
      <c r="K922" s="6" t="n">
        <f aca="false">'Raw Data'!L922</f>
        <v>0</v>
      </c>
      <c r="L922" s="6" t="n">
        <f aca="false">F922*E922</f>
        <v>1</v>
      </c>
      <c r="N922" s="0" t="n">
        <v>1</v>
      </c>
      <c r="O922" s="6" t="n">
        <f aca="false">D922</f>
        <v>3.182307692</v>
      </c>
      <c r="P922" s="6" t="n">
        <f aca="false">E922</f>
        <v>1</v>
      </c>
      <c r="Q922" s="6" t="n">
        <f aca="false">F922</f>
        <v>1</v>
      </c>
      <c r="R922" s="6" t="n">
        <f aca="false">G922</f>
        <v>0</v>
      </c>
      <c r="S922" s="6" t="n">
        <f aca="false">H922</f>
        <v>0</v>
      </c>
      <c r="T922" s="6" t="n">
        <f aca="false">I922</f>
        <v>0</v>
      </c>
      <c r="U922" s="6" t="n">
        <f aca="false">L922</f>
        <v>1</v>
      </c>
      <c r="W922" s="6" t="n">
        <f aca="false">D922</f>
        <v>3.182307692</v>
      </c>
      <c r="X922" s="6" t="n">
        <f aca="false">E922</f>
        <v>1</v>
      </c>
      <c r="Y922" s="6" t="n">
        <f aca="false">F922</f>
        <v>1</v>
      </c>
      <c r="Z922" s="6" t="n">
        <f aca="false">L922</f>
        <v>1</v>
      </c>
      <c r="AA922" s="6" t="n">
        <f aca="false">G922</f>
        <v>0</v>
      </c>
      <c r="AC922" s="6" t="n">
        <f aca="false">D922</f>
        <v>3.182307692</v>
      </c>
      <c r="AD922" s="6" t="n">
        <f aca="false">E922</f>
        <v>1</v>
      </c>
      <c r="AE922" s="6" t="n">
        <f aca="false">G922</f>
        <v>0</v>
      </c>
      <c r="AF922" s="6" t="n">
        <f aca="false">H922</f>
        <v>0</v>
      </c>
      <c r="AG922" s="6" t="n">
        <f aca="false">I922</f>
        <v>0</v>
      </c>
      <c r="AH922" s="6" t="n">
        <f aca="false">L922</f>
        <v>1</v>
      </c>
    </row>
    <row r="923" customFormat="false" ht="15" hidden="false" customHeight="false" outlineLevel="0" collapsed="false">
      <c r="A923" s="0" t="str">
        <f aca="false">'Raw Data'!C923</f>
        <v>Bridgeport</v>
      </c>
      <c r="B923" s="5" t="n">
        <f aca="false">'Raw Data'!A923</f>
        <v>40358</v>
      </c>
      <c r="C923" s="6" t="n">
        <f aca="false">'Raw Data'!D923</f>
        <v>648.383248705256</v>
      </c>
      <c r="D923" s="6" t="n">
        <f aca="false">'Raw Data'!E923</f>
        <v>3.59</v>
      </c>
      <c r="E923" s="6" t="n">
        <f aca="false">'Raw Data'!F923</f>
        <v>1</v>
      </c>
      <c r="F923" s="6" t="n">
        <f aca="false">'Raw Data'!G923</f>
        <v>1</v>
      </c>
      <c r="G923" s="6" t="n">
        <f aca="false">'Raw Data'!H923</f>
        <v>0</v>
      </c>
      <c r="H923" s="6" t="n">
        <f aca="false">'Raw Data'!I923</f>
        <v>0</v>
      </c>
      <c r="I923" s="6" t="n">
        <f aca="false">'Raw Data'!J923</f>
        <v>0</v>
      </c>
      <c r="J923" s="6" t="n">
        <f aca="false">'Raw Data'!K923</f>
        <v>1</v>
      </c>
      <c r="K923" s="6" t="n">
        <f aca="false">'Raw Data'!L923</f>
        <v>0</v>
      </c>
      <c r="L923" s="6" t="n">
        <f aca="false">F923*E923</f>
        <v>1</v>
      </c>
      <c r="N923" s="0" t="n">
        <v>1</v>
      </c>
      <c r="O923" s="6" t="n">
        <f aca="false">D923</f>
        <v>3.59</v>
      </c>
      <c r="P923" s="6" t="n">
        <f aca="false">E923</f>
        <v>1</v>
      </c>
      <c r="Q923" s="6" t="n">
        <f aca="false">F923</f>
        <v>1</v>
      </c>
      <c r="R923" s="6" t="n">
        <f aca="false">G923</f>
        <v>0</v>
      </c>
      <c r="S923" s="6" t="n">
        <f aca="false">H923</f>
        <v>0</v>
      </c>
      <c r="T923" s="6" t="n">
        <f aca="false">I923</f>
        <v>0</v>
      </c>
      <c r="U923" s="6" t="n">
        <f aca="false">L923</f>
        <v>1</v>
      </c>
      <c r="W923" s="6" t="n">
        <f aca="false">D923</f>
        <v>3.59</v>
      </c>
      <c r="X923" s="6" t="n">
        <f aca="false">E923</f>
        <v>1</v>
      </c>
      <c r="Y923" s="6" t="n">
        <f aca="false">F923</f>
        <v>1</v>
      </c>
      <c r="Z923" s="6" t="n">
        <f aca="false">L923</f>
        <v>1</v>
      </c>
      <c r="AA923" s="6" t="n">
        <f aca="false">G923</f>
        <v>0</v>
      </c>
      <c r="AC923" s="6" t="n">
        <f aca="false">D923</f>
        <v>3.59</v>
      </c>
      <c r="AD923" s="6" t="n">
        <f aca="false">E923</f>
        <v>1</v>
      </c>
      <c r="AE923" s="6" t="n">
        <f aca="false">G923</f>
        <v>0</v>
      </c>
      <c r="AF923" s="6" t="n">
        <f aca="false">H923</f>
        <v>0</v>
      </c>
      <c r="AG923" s="6" t="n">
        <f aca="false">I923</f>
        <v>0</v>
      </c>
      <c r="AH923" s="6" t="n">
        <f aca="false">L923</f>
        <v>1</v>
      </c>
    </row>
    <row r="924" customFormat="false" ht="15" hidden="false" customHeight="false" outlineLevel="0" collapsed="false">
      <c r="A924" s="0" t="str">
        <f aca="false">'Raw Data'!C924</f>
        <v>Bridgeport</v>
      </c>
      <c r="B924" s="5" t="n">
        <f aca="false">'Raw Data'!A924</f>
        <v>40365</v>
      </c>
      <c r="C924" s="6" t="n">
        <f aca="false">'Raw Data'!D924</f>
        <v>776.293905732336</v>
      </c>
      <c r="D924" s="6" t="n">
        <f aca="false">'Raw Data'!E924</f>
        <v>3.315</v>
      </c>
      <c r="E924" s="6" t="n">
        <f aca="false">'Raw Data'!F924</f>
        <v>1</v>
      </c>
      <c r="F924" s="6" t="n">
        <f aca="false">'Raw Data'!G924</f>
        <v>1</v>
      </c>
      <c r="G924" s="6" t="n">
        <f aca="false">'Raw Data'!H924</f>
        <v>0</v>
      </c>
      <c r="H924" s="6" t="n">
        <f aca="false">'Raw Data'!I924</f>
        <v>0</v>
      </c>
      <c r="I924" s="6" t="n">
        <f aca="false">'Raw Data'!J924</f>
        <v>0</v>
      </c>
      <c r="J924" s="6" t="n">
        <f aca="false">'Raw Data'!K924</f>
        <v>1</v>
      </c>
      <c r="K924" s="6" t="n">
        <f aca="false">'Raw Data'!L924</f>
        <v>0</v>
      </c>
      <c r="L924" s="6" t="n">
        <f aca="false">F924*E924</f>
        <v>1</v>
      </c>
      <c r="N924" s="0" t="n">
        <v>1</v>
      </c>
      <c r="O924" s="6" t="n">
        <f aca="false">D924</f>
        <v>3.315</v>
      </c>
      <c r="P924" s="6" t="n">
        <f aca="false">E924</f>
        <v>1</v>
      </c>
      <c r="Q924" s="6" t="n">
        <f aca="false">F924</f>
        <v>1</v>
      </c>
      <c r="R924" s="6" t="n">
        <f aca="false">G924</f>
        <v>0</v>
      </c>
      <c r="S924" s="6" t="n">
        <f aca="false">H924</f>
        <v>0</v>
      </c>
      <c r="T924" s="6" t="n">
        <f aca="false">I924</f>
        <v>0</v>
      </c>
      <c r="U924" s="6" t="n">
        <f aca="false">L924</f>
        <v>1</v>
      </c>
      <c r="W924" s="6" t="n">
        <f aca="false">D924</f>
        <v>3.315</v>
      </c>
      <c r="X924" s="6" t="n">
        <f aca="false">E924</f>
        <v>1</v>
      </c>
      <c r="Y924" s="6" t="n">
        <f aca="false">F924</f>
        <v>1</v>
      </c>
      <c r="Z924" s="6" t="n">
        <f aca="false">L924</f>
        <v>1</v>
      </c>
      <c r="AA924" s="6" t="n">
        <f aca="false">G924</f>
        <v>0</v>
      </c>
      <c r="AC924" s="6" t="n">
        <f aca="false">D924</f>
        <v>3.315</v>
      </c>
      <c r="AD924" s="6" t="n">
        <f aca="false">E924</f>
        <v>1</v>
      </c>
      <c r="AE924" s="6" t="n">
        <f aca="false">G924</f>
        <v>0</v>
      </c>
      <c r="AF924" s="6" t="n">
        <f aca="false">H924</f>
        <v>0</v>
      </c>
      <c r="AG924" s="6" t="n">
        <f aca="false">I924</f>
        <v>0</v>
      </c>
      <c r="AH924" s="6" t="n">
        <f aca="false">L924</f>
        <v>1</v>
      </c>
    </row>
    <row r="925" customFormat="false" ht="15" hidden="false" customHeight="false" outlineLevel="0" collapsed="false">
      <c r="A925" s="0" t="str">
        <f aca="false">'Raw Data'!C925</f>
        <v>Bridgeport</v>
      </c>
      <c r="B925" s="5" t="n">
        <f aca="false">'Raw Data'!A925</f>
        <v>40372</v>
      </c>
      <c r="C925" s="6" t="n">
        <f aca="false">'Raw Data'!D925</f>
        <v>737.209162982271</v>
      </c>
      <c r="D925" s="6" t="n">
        <f aca="false">'Raw Data'!E925</f>
        <v>3.030714286</v>
      </c>
      <c r="E925" s="6" t="n">
        <f aca="false">'Raw Data'!F925</f>
        <v>1</v>
      </c>
      <c r="F925" s="6" t="n">
        <f aca="false">'Raw Data'!G925</f>
        <v>1</v>
      </c>
      <c r="G925" s="6" t="n">
        <f aca="false">'Raw Data'!H925</f>
        <v>0</v>
      </c>
      <c r="H925" s="6" t="n">
        <f aca="false">'Raw Data'!I925</f>
        <v>0</v>
      </c>
      <c r="I925" s="6" t="n">
        <f aca="false">'Raw Data'!J925</f>
        <v>0</v>
      </c>
      <c r="J925" s="6" t="n">
        <f aca="false">'Raw Data'!K925</f>
        <v>1</v>
      </c>
      <c r="K925" s="6" t="n">
        <f aca="false">'Raw Data'!L925</f>
        <v>0</v>
      </c>
      <c r="L925" s="6" t="n">
        <f aca="false">F925*E925</f>
        <v>1</v>
      </c>
      <c r="N925" s="0" t="n">
        <v>1</v>
      </c>
      <c r="O925" s="6" t="n">
        <f aca="false">D925</f>
        <v>3.030714286</v>
      </c>
      <c r="P925" s="6" t="n">
        <f aca="false">E925</f>
        <v>1</v>
      </c>
      <c r="Q925" s="6" t="n">
        <f aca="false">F925</f>
        <v>1</v>
      </c>
      <c r="R925" s="6" t="n">
        <f aca="false">G925</f>
        <v>0</v>
      </c>
      <c r="S925" s="6" t="n">
        <f aca="false">H925</f>
        <v>0</v>
      </c>
      <c r="T925" s="6" t="n">
        <f aca="false">I925</f>
        <v>0</v>
      </c>
      <c r="U925" s="6" t="n">
        <f aca="false">L925</f>
        <v>1</v>
      </c>
      <c r="W925" s="6" t="n">
        <f aca="false">D925</f>
        <v>3.030714286</v>
      </c>
      <c r="X925" s="6" t="n">
        <f aca="false">E925</f>
        <v>1</v>
      </c>
      <c r="Y925" s="6" t="n">
        <f aca="false">F925</f>
        <v>1</v>
      </c>
      <c r="Z925" s="6" t="n">
        <f aca="false">L925</f>
        <v>1</v>
      </c>
      <c r="AA925" s="6" t="n">
        <f aca="false">G925</f>
        <v>0</v>
      </c>
      <c r="AC925" s="6" t="n">
        <f aca="false">D925</f>
        <v>3.030714286</v>
      </c>
      <c r="AD925" s="6" t="n">
        <f aca="false">E925</f>
        <v>1</v>
      </c>
      <c r="AE925" s="6" t="n">
        <f aca="false">G925</f>
        <v>0</v>
      </c>
      <c r="AF925" s="6" t="n">
        <f aca="false">H925</f>
        <v>0</v>
      </c>
      <c r="AG925" s="6" t="n">
        <f aca="false">I925</f>
        <v>0</v>
      </c>
      <c r="AH925" s="6" t="n">
        <f aca="false">L925</f>
        <v>1</v>
      </c>
    </row>
    <row r="926" customFormat="false" ht="15" hidden="false" customHeight="false" outlineLevel="0" collapsed="false">
      <c r="A926" s="0" t="str">
        <f aca="false">'Raw Data'!C926</f>
        <v>Fremont</v>
      </c>
      <c r="B926" s="5" t="n">
        <f aca="false">'Raw Data'!A926</f>
        <v>40302</v>
      </c>
      <c r="C926" s="6" t="n">
        <f aca="false">'Raw Data'!D926</f>
        <v>198.712000236619</v>
      </c>
      <c r="D926" s="6" t="n">
        <f aca="false">'Raw Data'!E926</f>
        <v>4.59</v>
      </c>
      <c r="E926" s="6" t="n">
        <f aca="false">'Raw Data'!F926</f>
        <v>1</v>
      </c>
      <c r="F926" s="6" t="n">
        <f aca="false">'Raw Data'!G926</f>
        <v>0</v>
      </c>
      <c r="G926" s="6" t="n">
        <f aca="false">'Raw Data'!H926</f>
        <v>0</v>
      </c>
      <c r="H926" s="6" t="n">
        <f aca="false">'Raw Data'!I926</f>
        <v>0</v>
      </c>
      <c r="I926" s="6" t="n">
        <f aca="false">'Raw Data'!J926</f>
        <v>0</v>
      </c>
      <c r="J926" s="6" t="n">
        <f aca="false">'Raw Data'!K926</f>
        <v>2</v>
      </c>
      <c r="K926" s="6" t="n">
        <f aca="false">'Raw Data'!L926</f>
        <v>4</v>
      </c>
      <c r="L926" s="6" t="n">
        <f aca="false">F926*E926</f>
        <v>0</v>
      </c>
      <c r="N926" s="0" t="n">
        <v>1</v>
      </c>
      <c r="O926" s="6" t="n">
        <f aca="false">D926</f>
        <v>4.59</v>
      </c>
      <c r="P926" s="6" t="n">
        <f aca="false">E926</f>
        <v>1</v>
      </c>
      <c r="Q926" s="6" t="n">
        <f aca="false">F926</f>
        <v>0</v>
      </c>
      <c r="R926" s="6" t="n">
        <f aca="false">G926</f>
        <v>0</v>
      </c>
      <c r="S926" s="6" t="n">
        <f aca="false">H926</f>
        <v>0</v>
      </c>
      <c r="T926" s="6" t="n">
        <f aca="false">I926</f>
        <v>0</v>
      </c>
      <c r="U926" s="6" t="n">
        <f aca="false">L926</f>
        <v>0</v>
      </c>
      <c r="W926" s="6" t="n">
        <f aca="false">D926</f>
        <v>4.59</v>
      </c>
      <c r="X926" s="6" t="n">
        <f aca="false">E926</f>
        <v>1</v>
      </c>
      <c r="Y926" s="6" t="n">
        <f aca="false">F926</f>
        <v>0</v>
      </c>
      <c r="Z926" s="6" t="n">
        <f aca="false">L926</f>
        <v>0</v>
      </c>
      <c r="AA926" s="6" t="n">
        <f aca="false">G926</f>
        <v>0</v>
      </c>
      <c r="AC926" s="6" t="n">
        <f aca="false">D926</f>
        <v>4.59</v>
      </c>
      <c r="AD926" s="6" t="n">
        <f aca="false">E926</f>
        <v>1</v>
      </c>
      <c r="AE926" s="6" t="n">
        <f aca="false">G926</f>
        <v>0</v>
      </c>
      <c r="AF926" s="6" t="n">
        <f aca="false">H926</f>
        <v>0</v>
      </c>
      <c r="AG926" s="6" t="n">
        <f aca="false">I926</f>
        <v>0</v>
      </c>
      <c r="AH926" s="6" t="n">
        <f aca="false">L926</f>
        <v>0</v>
      </c>
    </row>
    <row r="927" customFormat="false" ht="15" hidden="false" customHeight="false" outlineLevel="0" collapsed="false">
      <c r="A927" s="0" t="str">
        <f aca="false">'Raw Data'!C927</f>
        <v>Fremont</v>
      </c>
      <c r="B927" s="5" t="n">
        <f aca="false">'Raw Data'!A927</f>
        <v>40309</v>
      </c>
      <c r="C927" s="6" t="n">
        <f aca="false">'Raw Data'!D927</f>
        <v>254.849692976631</v>
      </c>
      <c r="D927" s="6" t="n">
        <f aca="false">'Raw Data'!E927</f>
        <v>4.6775</v>
      </c>
      <c r="E927" s="6" t="n">
        <f aca="false">'Raw Data'!F927</f>
        <v>1</v>
      </c>
      <c r="F927" s="6" t="n">
        <f aca="false">'Raw Data'!G927</f>
        <v>0</v>
      </c>
      <c r="G927" s="6" t="n">
        <f aca="false">'Raw Data'!H927</f>
        <v>0</v>
      </c>
      <c r="H927" s="6" t="n">
        <f aca="false">'Raw Data'!I927</f>
        <v>0</v>
      </c>
      <c r="I927" s="6" t="n">
        <f aca="false">'Raw Data'!J927</f>
        <v>0</v>
      </c>
      <c r="J927" s="6" t="n">
        <f aca="false">'Raw Data'!K927</f>
        <v>2</v>
      </c>
      <c r="K927" s="6" t="n">
        <f aca="false">'Raw Data'!L927</f>
        <v>4</v>
      </c>
      <c r="L927" s="6" t="n">
        <f aca="false">F927*E927</f>
        <v>0</v>
      </c>
      <c r="N927" s="0" t="n">
        <v>1</v>
      </c>
      <c r="O927" s="6" t="n">
        <f aca="false">D927</f>
        <v>4.6775</v>
      </c>
      <c r="P927" s="6" t="n">
        <f aca="false">E927</f>
        <v>1</v>
      </c>
      <c r="Q927" s="6" t="n">
        <f aca="false">F927</f>
        <v>0</v>
      </c>
      <c r="R927" s="6" t="n">
        <f aca="false">G927</f>
        <v>0</v>
      </c>
      <c r="S927" s="6" t="n">
        <f aca="false">H927</f>
        <v>0</v>
      </c>
      <c r="T927" s="6" t="n">
        <f aca="false">I927</f>
        <v>0</v>
      </c>
      <c r="U927" s="6" t="n">
        <f aca="false">L927</f>
        <v>0</v>
      </c>
      <c r="W927" s="6" t="n">
        <f aca="false">D927</f>
        <v>4.6775</v>
      </c>
      <c r="X927" s="6" t="n">
        <f aca="false">E927</f>
        <v>1</v>
      </c>
      <c r="Y927" s="6" t="n">
        <f aca="false">F927</f>
        <v>0</v>
      </c>
      <c r="Z927" s="6" t="n">
        <f aca="false">L927</f>
        <v>0</v>
      </c>
      <c r="AA927" s="6" t="n">
        <f aca="false">G927</f>
        <v>0</v>
      </c>
      <c r="AC927" s="6" t="n">
        <f aca="false">D927</f>
        <v>4.6775</v>
      </c>
      <c r="AD927" s="6" t="n">
        <f aca="false">E927</f>
        <v>1</v>
      </c>
      <c r="AE927" s="6" t="n">
        <f aca="false">G927</f>
        <v>0</v>
      </c>
      <c r="AF927" s="6" t="n">
        <f aca="false">H927</f>
        <v>0</v>
      </c>
      <c r="AG927" s="6" t="n">
        <f aca="false">I927</f>
        <v>0</v>
      </c>
      <c r="AH927" s="6" t="n">
        <f aca="false">L927</f>
        <v>0</v>
      </c>
    </row>
    <row r="928" customFormat="false" ht="15" hidden="false" customHeight="false" outlineLevel="0" collapsed="false">
      <c r="A928" s="0" t="str">
        <f aca="false">'Raw Data'!C928</f>
        <v>Fremont</v>
      </c>
      <c r="B928" s="5" t="n">
        <f aca="false">'Raw Data'!A928</f>
        <v>40316</v>
      </c>
      <c r="C928" s="6" t="n">
        <f aca="false">'Raw Data'!D928</f>
        <v>343.572470389301</v>
      </c>
      <c r="D928" s="6" t="n">
        <f aca="false">'Raw Data'!E928</f>
        <v>4.2025</v>
      </c>
      <c r="E928" s="6" t="n">
        <f aca="false">'Raw Data'!F928</f>
        <v>1</v>
      </c>
      <c r="F928" s="6" t="n">
        <f aca="false">'Raw Data'!G928</f>
        <v>0</v>
      </c>
      <c r="G928" s="6" t="n">
        <f aca="false">'Raw Data'!H928</f>
        <v>0</v>
      </c>
      <c r="H928" s="6" t="n">
        <f aca="false">'Raw Data'!I928</f>
        <v>0</v>
      </c>
      <c r="I928" s="6" t="n">
        <f aca="false">'Raw Data'!J928</f>
        <v>0</v>
      </c>
      <c r="J928" s="6" t="n">
        <f aca="false">'Raw Data'!K928</f>
        <v>2</v>
      </c>
      <c r="K928" s="6" t="n">
        <f aca="false">'Raw Data'!L928</f>
        <v>4</v>
      </c>
      <c r="L928" s="6" t="n">
        <f aca="false">F928*E928</f>
        <v>0</v>
      </c>
      <c r="N928" s="0" t="n">
        <v>1</v>
      </c>
      <c r="O928" s="6" t="n">
        <f aca="false">D928</f>
        <v>4.2025</v>
      </c>
      <c r="P928" s="6" t="n">
        <f aca="false">E928</f>
        <v>1</v>
      </c>
      <c r="Q928" s="6" t="n">
        <f aca="false">F928</f>
        <v>0</v>
      </c>
      <c r="R928" s="6" t="n">
        <f aca="false">G928</f>
        <v>0</v>
      </c>
      <c r="S928" s="6" t="n">
        <f aca="false">H928</f>
        <v>0</v>
      </c>
      <c r="T928" s="6" t="n">
        <f aca="false">I928</f>
        <v>0</v>
      </c>
      <c r="U928" s="6" t="n">
        <f aca="false">L928</f>
        <v>0</v>
      </c>
      <c r="W928" s="6" t="n">
        <f aca="false">D928</f>
        <v>4.2025</v>
      </c>
      <c r="X928" s="6" t="n">
        <f aca="false">E928</f>
        <v>1</v>
      </c>
      <c r="Y928" s="6" t="n">
        <f aca="false">F928</f>
        <v>0</v>
      </c>
      <c r="Z928" s="6" t="n">
        <f aca="false">L928</f>
        <v>0</v>
      </c>
      <c r="AA928" s="6" t="n">
        <f aca="false">G928</f>
        <v>0</v>
      </c>
      <c r="AC928" s="6" t="n">
        <f aca="false">D928</f>
        <v>4.2025</v>
      </c>
      <c r="AD928" s="6" t="n">
        <f aca="false">E928</f>
        <v>1</v>
      </c>
      <c r="AE928" s="6" t="n">
        <f aca="false">G928</f>
        <v>0</v>
      </c>
      <c r="AF928" s="6" t="n">
        <f aca="false">H928</f>
        <v>0</v>
      </c>
      <c r="AG928" s="6" t="n">
        <f aca="false">I928</f>
        <v>0</v>
      </c>
      <c r="AH928" s="6" t="n">
        <f aca="false">L928</f>
        <v>0</v>
      </c>
    </row>
    <row r="929" customFormat="false" ht="15" hidden="false" customHeight="false" outlineLevel="0" collapsed="false">
      <c r="A929" s="0" t="str">
        <f aca="false">'Raw Data'!C929</f>
        <v>Fremont</v>
      </c>
      <c r="B929" s="5" t="n">
        <f aca="false">'Raw Data'!A929</f>
        <v>40323</v>
      </c>
      <c r="C929" s="6" t="n">
        <f aca="false">'Raw Data'!D929</f>
        <v>291.419981269437</v>
      </c>
      <c r="D929" s="6" t="n">
        <f aca="false">'Raw Data'!E929</f>
        <v>4.512222222</v>
      </c>
      <c r="E929" s="6" t="n">
        <f aca="false">'Raw Data'!F929</f>
        <v>1</v>
      </c>
      <c r="F929" s="6" t="n">
        <f aca="false">'Raw Data'!G929</f>
        <v>0</v>
      </c>
      <c r="G929" s="6" t="n">
        <f aca="false">'Raw Data'!H929</f>
        <v>0</v>
      </c>
      <c r="H929" s="6" t="n">
        <f aca="false">'Raw Data'!I929</f>
        <v>0</v>
      </c>
      <c r="I929" s="6" t="n">
        <f aca="false">'Raw Data'!J929</f>
        <v>0</v>
      </c>
      <c r="J929" s="6" t="n">
        <f aca="false">'Raw Data'!K929</f>
        <v>2</v>
      </c>
      <c r="K929" s="6" t="n">
        <f aca="false">'Raw Data'!L929</f>
        <v>4</v>
      </c>
      <c r="L929" s="6" t="n">
        <f aca="false">F929*E929</f>
        <v>0</v>
      </c>
      <c r="N929" s="0" t="n">
        <v>1</v>
      </c>
      <c r="O929" s="6" t="n">
        <f aca="false">D929</f>
        <v>4.512222222</v>
      </c>
      <c r="P929" s="6" t="n">
        <f aca="false">E929</f>
        <v>1</v>
      </c>
      <c r="Q929" s="6" t="n">
        <f aca="false">F929</f>
        <v>0</v>
      </c>
      <c r="R929" s="6" t="n">
        <f aca="false">G929</f>
        <v>0</v>
      </c>
      <c r="S929" s="6" t="n">
        <f aca="false">H929</f>
        <v>0</v>
      </c>
      <c r="T929" s="6" t="n">
        <f aca="false">I929</f>
        <v>0</v>
      </c>
      <c r="U929" s="6" t="n">
        <f aca="false">L929</f>
        <v>0</v>
      </c>
      <c r="W929" s="6" t="n">
        <f aca="false">D929</f>
        <v>4.512222222</v>
      </c>
      <c r="X929" s="6" t="n">
        <f aca="false">E929</f>
        <v>1</v>
      </c>
      <c r="Y929" s="6" t="n">
        <f aca="false">F929</f>
        <v>0</v>
      </c>
      <c r="Z929" s="6" t="n">
        <f aca="false">L929</f>
        <v>0</v>
      </c>
      <c r="AA929" s="6" t="n">
        <f aca="false">G929</f>
        <v>0</v>
      </c>
      <c r="AC929" s="6" t="n">
        <f aca="false">D929</f>
        <v>4.512222222</v>
      </c>
      <c r="AD929" s="6" t="n">
        <f aca="false">E929</f>
        <v>1</v>
      </c>
      <c r="AE929" s="6" t="n">
        <f aca="false">G929</f>
        <v>0</v>
      </c>
      <c r="AF929" s="6" t="n">
        <f aca="false">H929</f>
        <v>0</v>
      </c>
      <c r="AG929" s="6" t="n">
        <f aca="false">I929</f>
        <v>0</v>
      </c>
      <c r="AH929" s="6" t="n">
        <f aca="false">L929</f>
        <v>0</v>
      </c>
    </row>
    <row r="930" customFormat="false" ht="15" hidden="false" customHeight="false" outlineLevel="0" collapsed="false">
      <c r="A930" s="0" t="str">
        <f aca="false">'Raw Data'!C930</f>
        <v>Fremont</v>
      </c>
      <c r="B930" s="5" t="n">
        <f aca="false">'Raw Data'!A930</f>
        <v>40330</v>
      </c>
      <c r="C930" s="6" t="n">
        <f aca="false">'Raw Data'!D930</f>
        <v>269.077154721976</v>
      </c>
      <c r="D930" s="6" t="n">
        <f aca="false">'Raw Data'!E930</f>
        <v>4.2025</v>
      </c>
      <c r="E930" s="6" t="n">
        <f aca="false">'Raw Data'!F930</f>
        <v>1</v>
      </c>
      <c r="F930" s="6" t="n">
        <f aca="false">'Raw Data'!G930</f>
        <v>0</v>
      </c>
      <c r="G930" s="6" t="n">
        <f aca="false">'Raw Data'!H930</f>
        <v>0</v>
      </c>
      <c r="H930" s="6" t="n">
        <f aca="false">'Raw Data'!I930</f>
        <v>0</v>
      </c>
      <c r="I930" s="6" t="n">
        <f aca="false">'Raw Data'!J930</f>
        <v>0</v>
      </c>
      <c r="J930" s="6" t="n">
        <f aca="false">'Raw Data'!K930</f>
        <v>2</v>
      </c>
      <c r="K930" s="6" t="n">
        <f aca="false">'Raw Data'!L930</f>
        <v>4</v>
      </c>
      <c r="L930" s="6" t="n">
        <f aca="false">F930*E930</f>
        <v>0</v>
      </c>
      <c r="N930" s="0" t="n">
        <v>1</v>
      </c>
      <c r="O930" s="6" t="n">
        <f aca="false">D930</f>
        <v>4.2025</v>
      </c>
      <c r="P930" s="6" t="n">
        <f aca="false">E930</f>
        <v>1</v>
      </c>
      <c r="Q930" s="6" t="n">
        <f aca="false">F930</f>
        <v>0</v>
      </c>
      <c r="R930" s="6" t="n">
        <f aca="false">G930</f>
        <v>0</v>
      </c>
      <c r="S930" s="6" t="n">
        <f aca="false">H930</f>
        <v>0</v>
      </c>
      <c r="T930" s="6" t="n">
        <f aca="false">I930</f>
        <v>0</v>
      </c>
      <c r="U930" s="6" t="n">
        <f aca="false">L930</f>
        <v>0</v>
      </c>
      <c r="W930" s="6" t="n">
        <f aca="false">D930</f>
        <v>4.2025</v>
      </c>
      <c r="X930" s="6" t="n">
        <f aca="false">E930</f>
        <v>1</v>
      </c>
      <c r="Y930" s="6" t="n">
        <f aca="false">F930</f>
        <v>0</v>
      </c>
      <c r="Z930" s="6" t="n">
        <f aca="false">L930</f>
        <v>0</v>
      </c>
      <c r="AA930" s="6" t="n">
        <f aca="false">G930</f>
        <v>0</v>
      </c>
      <c r="AC930" s="6" t="n">
        <f aca="false">D930</f>
        <v>4.2025</v>
      </c>
      <c r="AD930" s="6" t="n">
        <f aca="false">E930</f>
        <v>1</v>
      </c>
      <c r="AE930" s="6" t="n">
        <f aca="false">G930</f>
        <v>0</v>
      </c>
      <c r="AF930" s="6" t="n">
        <f aca="false">H930</f>
        <v>0</v>
      </c>
      <c r="AG930" s="6" t="n">
        <f aca="false">I930</f>
        <v>0</v>
      </c>
      <c r="AH930" s="6" t="n">
        <f aca="false">L930</f>
        <v>0</v>
      </c>
    </row>
    <row r="931" customFormat="false" ht="15" hidden="false" customHeight="false" outlineLevel="0" collapsed="false">
      <c r="A931" s="0" t="str">
        <f aca="false">'Raw Data'!C931</f>
        <v>Fremont</v>
      </c>
      <c r="B931" s="5" t="n">
        <f aca="false">'Raw Data'!A931</f>
        <v>40337</v>
      </c>
      <c r="C931" s="6" t="n">
        <f aca="false">'Raw Data'!D931</f>
        <v>219.24672508499</v>
      </c>
      <c r="D931" s="6" t="n">
        <f aca="false">'Raw Data'!E931</f>
        <v>4.6775</v>
      </c>
      <c r="E931" s="6" t="n">
        <f aca="false">'Raw Data'!F931</f>
        <v>1</v>
      </c>
      <c r="F931" s="6" t="n">
        <f aca="false">'Raw Data'!G931</f>
        <v>0</v>
      </c>
      <c r="G931" s="6" t="n">
        <f aca="false">'Raw Data'!H931</f>
        <v>0</v>
      </c>
      <c r="H931" s="6" t="n">
        <f aca="false">'Raw Data'!I931</f>
        <v>0</v>
      </c>
      <c r="I931" s="6" t="n">
        <f aca="false">'Raw Data'!J931</f>
        <v>0</v>
      </c>
      <c r="J931" s="6" t="n">
        <f aca="false">'Raw Data'!K931</f>
        <v>2</v>
      </c>
      <c r="K931" s="6" t="n">
        <f aca="false">'Raw Data'!L931</f>
        <v>4</v>
      </c>
      <c r="L931" s="6" t="n">
        <f aca="false">F931*E931</f>
        <v>0</v>
      </c>
      <c r="N931" s="0" t="n">
        <v>1</v>
      </c>
      <c r="O931" s="6" t="n">
        <f aca="false">D931</f>
        <v>4.6775</v>
      </c>
      <c r="P931" s="6" t="n">
        <f aca="false">E931</f>
        <v>1</v>
      </c>
      <c r="Q931" s="6" t="n">
        <f aca="false">F931</f>
        <v>0</v>
      </c>
      <c r="R931" s="6" t="n">
        <f aca="false">G931</f>
        <v>0</v>
      </c>
      <c r="S931" s="6" t="n">
        <f aca="false">H931</f>
        <v>0</v>
      </c>
      <c r="T931" s="6" t="n">
        <f aca="false">I931</f>
        <v>0</v>
      </c>
      <c r="U931" s="6" t="n">
        <f aca="false">L931</f>
        <v>0</v>
      </c>
      <c r="W931" s="6" t="n">
        <f aca="false">D931</f>
        <v>4.6775</v>
      </c>
      <c r="X931" s="6" t="n">
        <f aca="false">E931</f>
        <v>1</v>
      </c>
      <c r="Y931" s="6" t="n">
        <f aca="false">F931</f>
        <v>0</v>
      </c>
      <c r="Z931" s="6" t="n">
        <f aca="false">L931</f>
        <v>0</v>
      </c>
      <c r="AA931" s="6" t="n">
        <f aca="false">G931</f>
        <v>0</v>
      </c>
      <c r="AC931" s="6" t="n">
        <f aca="false">D931</f>
        <v>4.6775</v>
      </c>
      <c r="AD931" s="6" t="n">
        <f aca="false">E931</f>
        <v>1</v>
      </c>
      <c r="AE931" s="6" t="n">
        <f aca="false">G931</f>
        <v>0</v>
      </c>
      <c r="AF931" s="6" t="n">
        <f aca="false">H931</f>
        <v>0</v>
      </c>
      <c r="AG931" s="6" t="n">
        <f aca="false">I931</f>
        <v>0</v>
      </c>
      <c r="AH931" s="6" t="n">
        <f aca="false">L931</f>
        <v>0</v>
      </c>
    </row>
    <row r="932" customFormat="false" ht="15" hidden="false" customHeight="false" outlineLevel="0" collapsed="false">
      <c r="A932" s="0" t="str">
        <f aca="false">'Raw Data'!C932</f>
        <v>Fremont</v>
      </c>
      <c r="B932" s="5" t="n">
        <f aca="false">'Raw Data'!A932</f>
        <v>40344</v>
      </c>
      <c r="C932" s="6" t="n">
        <f aca="false">'Raw Data'!D932</f>
        <v>325.613426774262</v>
      </c>
      <c r="D932" s="6" t="n">
        <f aca="false">'Raw Data'!E932</f>
        <v>4.162727273</v>
      </c>
      <c r="E932" s="6" t="n">
        <f aca="false">'Raw Data'!F932</f>
        <v>1</v>
      </c>
      <c r="F932" s="6" t="n">
        <f aca="false">'Raw Data'!G932</f>
        <v>0</v>
      </c>
      <c r="G932" s="6" t="n">
        <f aca="false">'Raw Data'!H932</f>
        <v>0</v>
      </c>
      <c r="H932" s="6" t="n">
        <f aca="false">'Raw Data'!I932</f>
        <v>0</v>
      </c>
      <c r="I932" s="6" t="n">
        <f aca="false">'Raw Data'!J932</f>
        <v>0</v>
      </c>
      <c r="J932" s="6" t="n">
        <f aca="false">'Raw Data'!K932</f>
        <v>2</v>
      </c>
      <c r="K932" s="6" t="n">
        <f aca="false">'Raw Data'!L932</f>
        <v>4</v>
      </c>
      <c r="L932" s="6" t="n">
        <f aca="false">F932*E932</f>
        <v>0</v>
      </c>
      <c r="N932" s="0" t="n">
        <v>1</v>
      </c>
      <c r="O932" s="6" t="n">
        <f aca="false">D932</f>
        <v>4.162727273</v>
      </c>
      <c r="P932" s="6" t="n">
        <f aca="false">E932</f>
        <v>1</v>
      </c>
      <c r="Q932" s="6" t="n">
        <f aca="false">F932</f>
        <v>0</v>
      </c>
      <c r="R932" s="6" t="n">
        <f aca="false">G932</f>
        <v>0</v>
      </c>
      <c r="S932" s="6" t="n">
        <f aca="false">H932</f>
        <v>0</v>
      </c>
      <c r="T932" s="6" t="n">
        <f aca="false">I932</f>
        <v>0</v>
      </c>
      <c r="U932" s="6" t="n">
        <f aca="false">L932</f>
        <v>0</v>
      </c>
      <c r="W932" s="6" t="n">
        <f aca="false">D932</f>
        <v>4.162727273</v>
      </c>
      <c r="X932" s="6" t="n">
        <f aca="false">E932</f>
        <v>1</v>
      </c>
      <c r="Y932" s="6" t="n">
        <f aca="false">F932</f>
        <v>0</v>
      </c>
      <c r="Z932" s="6" t="n">
        <f aca="false">L932</f>
        <v>0</v>
      </c>
      <c r="AA932" s="6" t="n">
        <f aca="false">G932</f>
        <v>0</v>
      </c>
      <c r="AC932" s="6" t="n">
        <f aca="false">D932</f>
        <v>4.162727273</v>
      </c>
      <c r="AD932" s="6" t="n">
        <f aca="false">E932</f>
        <v>1</v>
      </c>
      <c r="AE932" s="6" t="n">
        <f aca="false">G932</f>
        <v>0</v>
      </c>
      <c r="AF932" s="6" t="n">
        <f aca="false">H932</f>
        <v>0</v>
      </c>
      <c r="AG932" s="6" t="n">
        <f aca="false">I932</f>
        <v>0</v>
      </c>
      <c r="AH932" s="6" t="n">
        <f aca="false">L932</f>
        <v>0</v>
      </c>
    </row>
    <row r="933" customFormat="false" ht="15" hidden="false" customHeight="false" outlineLevel="0" collapsed="false">
      <c r="A933" s="0" t="str">
        <f aca="false">'Raw Data'!C933</f>
        <v>Fremont</v>
      </c>
      <c r="B933" s="5" t="n">
        <f aca="false">'Raw Data'!A933</f>
        <v>40351</v>
      </c>
      <c r="C933" s="6" t="n">
        <f aca="false">'Raw Data'!D933</f>
        <v>296.142856016262</v>
      </c>
      <c r="D933" s="6" t="n">
        <f aca="false">'Raw Data'!E933</f>
        <v>4.667777778</v>
      </c>
      <c r="E933" s="6" t="n">
        <f aca="false">'Raw Data'!F933</f>
        <v>1</v>
      </c>
      <c r="F933" s="6" t="n">
        <f aca="false">'Raw Data'!G933</f>
        <v>0</v>
      </c>
      <c r="G933" s="6" t="n">
        <f aca="false">'Raw Data'!H933</f>
        <v>0</v>
      </c>
      <c r="H933" s="6" t="n">
        <f aca="false">'Raw Data'!I933</f>
        <v>0</v>
      </c>
      <c r="I933" s="6" t="n">
        <f aca="false">'Raw Data'!J933</f>
        <v>0</v>
      </c>
      <c r="J933" s="6" t="n">
        <f aca="false">'Raw Data'!K933</f>
        <v>2</v>
      </c>
      <c r="K933" s="6" t="n">
        <f aca="false">'Raw Data'!L933</f>
        <v>4</v>
      </c>
      <c r="L933" s="6" t="n">
        <f aca="false">F933*E933</f>
        <v>0</v>
      </c>
      <c r="N933" s="0" t="n">
        <v>1</v>
      </c>
      <c r="O933" s="6" t="n">
        <f aca="false">D933</f>
        <v>4.667777778</v>
      </c>
      <c r="P933" s="6" t="n">
        <f aca="false">E933</f>
        <v>1</v>
      </c>
      <c r="Q933" s="6" t="n">
        <f aca="false">F933</f>
        <v>0</v>
      </c>
      <c r="R933" s="6" t="n">
        <f aca="false">G933</f>
        <v>0</v>
      </c>
      <c r="S933" s="6" t="n">
        <f aca="false">H933</f>
        <v>0</v>
      </c>
      <c r="T933" s="6" t="n">
        <f aca="false">I933</f>
        <v>0</v>
      </c>
      <c r="U933" s="6" t="n">
        <f aca="false">L933</f>
        <v>0</v>
      </c>
      <c r="W933" s="6" t="n">
        <f aca="false">D933</f>
        <v>4.667777778</v>
      </c>
      <c r="X933" s="6" t="n">
        <f aca="false">E933</f>
        <v>1</v>
      </c>
      <c r="Y933" s="6" t="n">
        <f aca="false">F933</f>
        <v>0</v>
      </c>
      <c r="Z933" s="6" t="n">
        <f aca="false">L933</f>
        <v>0</v>
      </c>
      <c r="AA933" s="6" t="n">
        <f aca="false">G933</f>
        <v>0</v>
      </c>
      <c r="AC933" s="6" t="n">
        <f aca="false">D933</f>
        <v>4.667777778</v>
      </c>
      <c r="AD933" s="6" t="n">
        <f aca="false">E933</f>
        <v>1</v>
      </c>
      <c r="AE933" s="6" t="n">
        <f aca="false">G933</f>
        <v>0</v>
      </c>
      <c r="AF933" s="6" t="n">
        <f aca="false">H933</f>
        <v>0</v>
      </c>
      <c r="AG933" s="6" t="n">
        <f aca="false">I933</f>
        <v>0</v>
      </c>
      <c r="AH933" s="6" t="n">
        <f aca="false">L933</f>
        <v>0</v>
      </c>
    </row>
    <row r="934" customFormat="false" ht="15" hidden="false" customHeight="false" outlineLevel="0" collapsed="false">
      <c r="A934" s="0" t="str">
        <f aca="false">'Raw Data'!C934</f>
        <v>Fremont</v>
      </c>
      <c r="B934" s="5" t="n">
        <f aca="false">'Raw Data'!A934</f>
        <v>40358</v>
      </c>
      <c r="C934" s="6" t="n">
        <f aca="false">'Raw Data'!D934</f>
        <v>260.037774454636</v>
      </c>
      <c r="D934" s="6" t="n">
        <f aca="false">'Raw Data'!E934</f>
        <v>3.78</v>
      </c>
      <c r="E934" s="6" t="n">
        <f aca="false">'Raw Data'!F934</f>
        <v>1</v>
      </c>
      <c r="F934" s="6" t="n">
        <f aca="false">'Raw Data'!G934</f>
        <v>0</v>
      </c>
      <c r="G934" s="6" t="n">
        <f aca="false">'Raw Data'!H934</f>
        <v>0</v>
      </c>
      <c r="H934" s="6" t="n">
        <f aca="false">'Raw Data'!I934</f>
        <v>0</v>
      </c>
      <c r="I934" s="6" t="n">
        <f aca="false">'Raw Data'!J934</f>
        <v>0</v>
      </c>
      <c r="J934" s="6" t="n">
        <f aca="false">'Raw Data'!K934</f>
        <v>2</v>
      </c>
      <c r="K934" s="6" t="n">
        <f aca="false">'Raw Data'!L934</f>
        <v>4</v>
      </c>
      <c r="L934" s="6" t="n">
        <f aca="false">F934*E934</f>
        <v>0</v>
      </c>
      <c r="N934" s="0" t="n">
        <v>1</v>
      </c>
      <c r="O934" s="6" t="n">
        <f aca="false">D934</f>
        <v>3.78</v>
      </c>
      <c r="P934" s="6" t="n">
        <f aca="false">E934</f>
        <v>1</v>
      </c>
      <c r="Q934" s="6" t="n">
        <f aca="false">F934</f>
        <v>0</v>
      </c>
      <c r="R934" s="6" t="n">
        <f aca="false">G934</f>
        <v>0</v>
      </c>
      <c r="S934" s="6" t="n">
        <f aca="false">H934</f>
        <v>0</v>
      </c>
      <c r="T934" s="6" t="n">
        <f aca="false">I934</f>
        <v>0</v>
      </c>
      <c r="U934" s="6" t="n">
        <f aca="false">L934</f>
        <v>0</v>
      </c>
      <c r="W934" s="6" t="n">
        <f aca="false">D934</f>
        <v>3.78</v>
      </c>
      <c r="X934" s="6" t="n">
        <f aca="false">E934</f>
        <v>1</v>
      </c>
      <c r="Y934" s="6" t="n">
        <f aca="false">F934</f>
        <v>0</v>
      </c>
      <c r="Z934" s="6" t="n">
        <f aca="false">L934</f>
        <v>0</v>
      </c>
      <c r="AA934" s="6" t="n">
        <f aca="false">G934</f>
        <v>0</v>
      </c>
      <c r="AC934" s="6" t="n">
        <f aca="false">D934</f>
        <v>3.78</v>
      </c>
      <c r="AD934" s="6" t="n">
        <f aca="false">E934</f>
        <v>1</v>
      </c>
      <c r="AE934" s="6" t="n">
        <f aca="false">G934</f>
        <v>0</v>
      </c>
      <c r="AF934" s="6" t="n">
        <f aca="false">H934</f>
        <v>0</v>
      </c>
      <c r="AG934" s="6" t="n">
        <f aca="false">I934</f>
        <v>0</v>
      </c>
      <c r="AH934" s="6" t="n">
        <f aca="false">L934</f>
        <v>0</v>
      </c>
    </row>
    <row r="935" customFormat="false" ht="15" hidden="false" customHeight="false" outlineLevel="0" collapsed="false">
      <c r="A935" s="0" t="str">
        <f aca="false">'Raw Data'!C935</f>
        <v>Fremont</v>
      </c>
      <c r="B935" s="5" t="n">
        <f aca="false">'Raw Data'!A935</f>
        <v>40365</v>
      </c>
      <c r="C935" s="6" t="n">
        <f aca="false">'Raw Data'!D935</f>
        <v>159.474473536905</v>
      </c>
      <c r="D935" s="6" t="n">
        <f aca="false">'Raw Data'!E935</f>
        <v>3.911666667</v>
      </c>
      <c r="E935" s="6" t="n">
        <f aca="false">'Raw Data'!F935</f>
        <v>1</v>
      </c>
      <c r="F935" s="6" t="n">
        <f aca="false">'Raw Data'!G935</f>
        <v>0</v>
      </c>
      <c r="G935" s="6" t="n">
        <f aca="false">'Raw Data'!H935</f>
        <v>0</v>
      </c>
      <c r="H935" s="6" t="n">
        <f aca="false">'Raw Data'!I935</f>
        <v>0</v>
      </c>
      <c r="I935" s="6" t="n">
        <f aca="false">'Raw Data'!J935</f>
        <v>0</v>
      </c>
      <c r="J935" s="6" t="n">
        <f aca="false">'Raw Data'!K935</f>
        <v>2</v>
      </c>
      <c r="K935" s="6" t="n">
        <f aca="false">'Raw Data'!L935</f>
        <v>4</v>
      </c>
      <c r="L935" s="6" t="n">
        <f aca="false">F935*E935</f>
        <v>0</v>
      </c>
      <c r="N935" s="0" t="n">
        <v>1</v>
      </c>
      <c r="O935" s="6" t="n">
        <f aca="false">D935</f>
        <v>3.911666667</v>
      </c>
      <c r="P935" s="6" t="n">
        <f aca="false">E935</f>
        <v>1</v>
      </c>
      <c r="Q935" s="6" t="n">
        <f aca="false">F935</f>
        <v>0</v>
      </c>
      <c r="R935" s="6" t="n">
        <f aca="false">G935</f>
        <v>0</v>
      </c>
      <c r="S935" s="6" t="n">
        <f aca="false">H935</f>
        <v>0</v>
      </c>
      <c r="T935" s="6" t="n">
        <f aca="false">I935</f>
        <v>0</v>
      </c>
      <c r="U935" s="6" t="n">
        <f aca="false">L935</f>
        <v>0</v>
      </c>
      <c r="W935" s="6" t="n">
        <f aca="false">D935</f>
        <v>3.911666667</v>
      </c>
      <c r="X935" s="6" t="n">
        <f aca="false">E935</f>
        <v>1</v>
      </c>
      <c r="Y935" s="6" t="n">
        <f aca="false">F935</f>
        <v>0</v>
      </c>
      <c r="Z935" s="6" t="n">
        <f aca="false">L935</f>
        <v>0</v>
      </c>
      <c r="AA935" s="6" t="n">
        <f aca="false">G935</f>
        <v>0</v>
      </c>
      <c r="AC935" s="6" t="n">
        <f aca="false">D935</f>
        <v>3.911666667</v>
      </c>
      <c r="AD935" s="6" t="n">
        <f aca="false">E935</f>
        <v>1</v>
      </c>
      <c r="AE935" s="6" t="n">
        <f aca="false">G935</f>
        <v>0</v>
      </c>
      <c r="AF935" s="6" t="n">
        <f aca="false">H935</f>
        <v>0</v>
      </c>
      <c r="AG935" s="6" t="n">
        <f aca="false">I935</f>
        <v>0</v>
      </c>
      <c r="AH935" s="6" t="n">
        <f aca="false">L935</f>
        <v>0</v>
      </c>
    </row>
    <row r="936" customFormat="false" ht="15" hidden="false" customHeight="false" outlineLevel="0" collapsed="false">
      <c r="A936" s="0" t="str">
        <f aca="false">'Raw Data'!C936</f>
        <v>Fremont</v>
      </c>
      <c r="B936" s="5" t="n">
        <f aca="false">'Raw Data'!A936</f>
        <v>40372</v>
      </c>
      <c r="C936" s="6" t="n">
        <f aca="false">'Raw Data'!D936</f>
        <v>283.493150652335</v>
      </c>
      <c r="D936" s="6" t="n">
        <f aca="false">'Raw Data'!E936</f>
        <v>3.540909091</v>
      </c>
      <c r="E936" s="6" t="n">
        <f aca="false">'Raw Data'!F936</f>
        <v>1</v>
      </c>
      <c r="F936" s="6" t="n">
        <f aca="false">'Raw Data'!G936</f>
        <v>0</v>
      </c>
      <c r="G936" s="6" t="n">
        <f aca="false">'Raw Data'!H936</f>
        <v>0</v>
      </c>
      <c r="H936" s="6" t="n">
        <f aca="false">'Raw Data'!I936</f>
        <v>0</v>
      </c>
      <c r="I936" s="6" t="n">
        <f aca="false">'Raw Data'!J936</f>
        <v>0</v>
      </c>
      <c r="J936" s="6" t="n">
        <f aca="false">'Raw Data'!K936</f>
        <v>2</v>
      </c>
      <c r="K936" s="6" t="n">
        <f aca="false">'Raw Data'!L936</f>
        <v>4</v>
      </c>
      <c r="L936" s="6" t="n">
        <f aca="false">F936*E936</f>
        <v>0</v>
      </c>
      <c r="N936" s="0" t="n">
        <v>1</v>
      </c>
      <c r="O936" s="6" t="n">
        <f aca="false">D936</f>
        <v>3.540909091</v>
      </c>
      <c r="P936" s="6" t="n">
        <f aca="false">E936</f>
        <v>1</v>
      </c>
      <c r="Q936" s="6" t="n">
        <f aca="false">F936</f>
        <v>0</v>
      </c>
      <c r="R936" s="6" t="n">
        <f aca="false">G936</f>
        <v>0</v>
      </c>
      <c r="S936" s="6" t="n">
        <f aca="false">H936</f>
        <v>0</v>
      </c>
      <c r="T936" s="6" t="n">
        <f aca="false">I936</f>
        <v>0</v>
      </c>
      <c r="U936" s="6" t="n">
        <f aca="false">L936</f>
        <v>0</v>
      </c>
      <c r="W936" s="6" t="n">
        <f aca="false">D936</f>
        <v>3.540909091</v>
      </c>
      <c r="X936" s="6" t="n">
        <f aca="false">E936</f>
        <v>1</v>
      </c>
      <c r="Y936" s="6" t="n">
        <f aca="false">F936</f>
        <v>0</v>
      </c>
      <c r="Z936" s="6" t="n">
        <f aca="false">L936</f>
        <v>0</v>
      </c>
      <c r="AA936" s="6" t="n">
        <f aca="false">G936</f>
        <v>0</v>
      </c>
      <c r="AC936" s="6" t="n">
        <f aca="false">D936</f>
        <v>3.540909091</v>
      </c>
      <c r="AD936" s="6" t="n">
        <f aca="false">E936</f>
        <v>1</v>
      </c>
      <c r="AE936" s="6" t="n">
        <f aca="false">G936</f>
        <v>0</v>
      </c>
      <c r="AF936" s="6" t="n">
        <f aca="false">H936</f>
        <v>0</v>
      </c>
      <c r="AG936" s="6" t="n">
        <f aca="false">I936</f>
        <v>0</v>
      </c>
      <c r="AH936" s="6" t="n">
        <f aca="false">L936</f>
        <v>0</v>
      </c>
    </row>
    <row r="937" customFormat="false" ht="15" hidden="false" customHeight="false" outlineLevel="0" collapsed="false">
      <c r="A937" s="0" t="str">
        <f aca="false">'Raw Data'!C937</f>
        <v>Mill Plain</v>
      </c>
      <c r="B937" s="5" t="n">
        <f aca="false">'Raw Data'!A937</f>
        <v>40302</v>
      </c>
      <c r="C937" s="6" t="n">
        <f aca="false">'Raw Data'!D937</f>
        <v>340.724433811753</v>
      </c>
      <c r="D937" s="6" t="n">
        <f aca="false">'Raw Data'!E937</f>
        <v>4.59</v>
      </c>
      <c r="E937" s="6" t="n">
        <f aca="false">'Raw Data'!F937</f>
        <v>1</v>
      </c>
      <c r="F937" s="6" t="n">
        <f aca="false">'Raw Data'!G937</f>
        <v>0</v>
      </c>
      <c r="G937" s="6" t="n">
        <f aca="false">'Raw Data'!H937</f>
        <v>0</v>
      </c>
      <c r="H937" s="6" t="n">
        <f aca="false">'Raw Data'!I937</f>
        <v>1</v>
      </c>
      <c r="I937" s="6" t="n">
        <f aca="false">'Raw Data'!J937</f>
        <v>0</v>
      </c>
      <c r="J937" s="6" t="n">
        <f aca="false">'Raw Data'!K937</f>
        <v>1</v>
      </c>
      <c r="K937" s="6" t="n">
        <f aca="false">'Raw Data'!L937</f>
        <v>0</v>
      </c>
      <c r="L937" s="6" t="n">
        <f aca="false">F937*E937</f>
        <v>0</v>
      </c>
      <c r="N937" s="0" t="n">
        <v>1</v>
      </c>
      <c r="O937" s="6" t="n">
        <f aca="false">D937</f>
        <v>4.59</v>
      </c>
      <c r="P937" s="6" t="n">
        <f aca="false">E937</f>
        <v>1</v>
      </c>
      <c r="Q937" s="6" t="n">
        <f aca="false">F937</f>
        <v>0</v>
      </c>
      <c r="R937" s="6" t="n">
        <f aca="false">G937</f>
        <v>0</v>
      </c>
      <c r="S937" s="6" t="n">
        <f aca="false">H937</f>
        <v>1</v>
      </c>
      <c r="T937" s="6" t="n">
        <f aca="false">I937</f>
        <v>0</v>
      </c>
      <c r="U937" s="6" t="n">
        <f aca="false">L937</f>
        <v>0</v>
      </c>
      <c r="W937" s="6" t="n">
        <f aca="false">D937</f>
        <v>4.59</v>
      </c>
      <c r="X937" s="6" t="n">
        <f aca="false">E937</f>
        <v>1</v>
      </c>
      <c r="Y937" s="6" t="n">
        <f aca="false">F937</f>
        <v>0</v>
      </c>
      <c r="Z937" s="6" t="n">
        <f aca="false">L937</f>
        <v>0</v>
      </c>
      <c r="AA937" s="6" t="n">
        <f aca="false">G937</f>
        <v>0</v>
      </c>
      <c r="AC937" s="6" t="n">
        <f aca="false">D937</f>
        <v>4.59</v>
      </c>
      <c r="AD937" s="6" t="n">
        <f aca="false">E937</f>
        <v>1</v>
      </c>
      <c r="AE937" s="6" t="n">
        <f aca="false">G937</f>
        <v>0</v>
      </c>
      <c r="AF937" s="6" t="n">
        <f aca="false">H937</f>
        <v>1</v>
      </c>
      <c r="AG937" s="6" t="n">
        <f aca="false">I937</f>
        <v>0</v>
      </c>
      <c r="AH937" s="6" t="n">
        <f aca="false">L937</f>
        <v>0</v>
      </c>
    </row>
    <row r="938" customFormat="false" ht="15" hidden="false" customHeight="false" outlineLevel="0" collapsed="false">
      <c r="A938" s="0" t="str">
        <f aca="false">'Raw Data'!C938</f>
        <v>Mill Plain</v>
      </c>
      <c r="B938" s="5" t="n">
        <f aca="false">'Raw Data'!A938</f>
        <v>40309</v>
      </c>
      <c r="C938" s="6" t="n">
        <f aca="false">'Raw Data'!D938</f>
        <v>276.882353604236</v>
      </c>
      <c r="D938" s="6" t="n">
        <f aca="false">'Raw Data'!E938</f>
        <v>4.899090909</v>
      </c>
      <c r="E938" s="6" t="n">
        <f aca="false">'Raw Data'!F938</f>
        <v>1</v>
      </c>
      <c r="F938" s="6" t="n">
        <f aca="false">'Raw Data'!G938</f>
        <v>0</v>
      </c>
      <c r="G938" s="6" t="n">
        <f aca="false">'Raw Data'!H938</f>
        <v>0</v>
      </c>
      <c r="H938" s="6" t="n">
        <f aca="false">'Raw Data'!I938</f>
        <v>0</v>
      </c>
      <c r="I938" s="6" t="n">
        <f aca="false">'Raw Data'!J938</f>
        <v>1</v>
      </c>
      <c r="J938" s="6" t="n">
        <f aca="false">'Raw Data'!K938</f>
        <v>1</v>
      </c>
      <c r="K938" s="6" t="n">
        <f aca="false">'Raw Data'!L938</f>
        <v>0</v>
      </c>
      <c r="L938" s="6" t="n">
        <f aca="false">F938*E938</f>
        <v>0</v>
      </c>
      <c r="N938" s="0" t="n">
        <v>1</v>
      </c>
      <c r="O938" s="6" t="n">
        <f aca="false">D938</f>
        <v>4.899090909</v>
      </c>
      <c r="P938" s="6" t="n">
        <f aca="false">E938</f>
        <v>1</v>
      </c>
      <c r="Q938" s="6" t="n">
        <f aca="false">F938</f>
        <v>0</v>
      </c>
      <c r="R938" s="6" t="n">
        <f aca="false">G938</f>
        <v>0</v>
      </c>
      <c r="S938" s="6" t="n">
        <f aca="false">H938</f>
        <v>0</v>
      </c>
      <c r="T938" s="6" t="n">
        <f aca="false">I938</f>
        <v>1</v>
      </c>
      <c r="U938" s="6" t="n">
        <f aca="false">L938</f>
        <v>0</v>
      </c>
      <c r="W938" s="6" t="n">
        <f aca="false">D938</f>
        <v>4.899090909</v>
      </c>
      <c r="X938" s="6" t="n">
        <f aca="false">E938</f>
        <v>1</v>
      </c>
      <c r="Y938" s="6" t="n">
        <f aca="false">F938</f>
        <v>0</v>
      </c>
      <c r="Z938" s="6" t="n">
        <f aca="false">L938</f>
        <v>0</v>
      </c>
      <c r="AA938" s="6" t="n">
        <f aca="false">G938</f>
        <v>0</v>
      </c>
      <c r="AC938" s="6" t="n">
        <f aca="false">D938</f>
        <v>4.899090909</v>
      </c>
      <c r="AD938" s="6" t="n">
        <f aca="false">E938</f>
        <v>1</v>
      </c>
      <c r="AE938" s="6" t="n">
        <f aca="false">G938</f>
        <v>0</v>
      </c>
      <c r="AF938" s="6" t="n">
        <f aca="false">H938</f>
        <v>0</v>
      </c>
      <c r="AG938" s="6" t="n">
        <f aca="false">I938</f>
        <v>1</v>
      </c>
      <c r="AH938" s="6" t="n">
        <f aca="false">L938</f>
        <v>0</v>
      </c>
    </row>
    <row r="939" customFormat="false" ht="15" hidden="false" customHeight="false" outlineLevel="0" collapsed="false">
      <c r="A939" s="0" t="str">
        <f aca="false">'Raw Data'!C939</f>
        <v>Mill Plain</v>
      </c>
      <c r="B939" s="5" t="n">
        <f aca="false">'Raw Data'!A939</f>
        <v>40316</v>
      </c>
      <c r="C939" s="6" t="n">
        <f aca="false">'Raw Data'!D939</f>
        <v>469.666502841227</v>
      </c>
      <c r="D939" s="6" t="n">
        <f aca="false">'Raw Data'!E939</f>
        <v>4.399090909</v>
      </c>
      <c r="E939" s="6" t="n">
        <f aca="false">'Raw Data'!F939</f>
        <v>1</v>
      </c>
      <c r="F939" s="6" t="n">
        <f aca="false">'Raw Data'!G939</f>
        <v>0</v>
      </c>
      <c r="G939" s="6" t="n">
        <f aca="false">'Raw Data'!H939</f>
        <v>0</v>
      </c>
      <c r="H939" s="6" t="n">
        <f aca="false">'Raw Data'!I939</f>
        <v>0</v>
      </c>
      <c r="I939" s="6" t="n">
        <f aca="false">'Raw Data'!J939</f>
        <v>1</v>
      </c>
      <c r="J939" s="6" t="n">
        <f aca="false">'Raw Data'!K939</f>
        <v>1</v>
      </c>
      <c r="K939" s="6" t="n">
        <f aca="false">'Raw Data'!L939</f>
        <v>0</v>
      </c>
      <c r="L939" s="6" t="n">
        <f aca="false">F939*E939</f>
        <v>0</v>
      </c>
      <c r="N939" s="0" t="n">
        <v>1</v>
      </c>
      <c r="O939" s="6" t="n">
        <f aca="false">D939</f>
        <v>4.399090909</v>
      </c>
      <c r="P939" s="6" t="n">
        <f aca="false">E939</f>
        <v>1</v>
      </c>
      <c r="Q939" s="6" t="n">
        <f aca="false">F939</f>
        <v>0</v>
      </c>
      <c r="R939" s="6" t="n">
        <f aca="false">G939</f>
        <v>0</v>
      </c>
      <c r="S939" s="6" t="n">
        <f aca="false">H939</f>
        <v>0</v>
      </c>
      <c r="T939" s="6" t="n">
        <f aca="false">I939</f>
        <v>1</v>
      </c>
      <c r="U939" s="6" t="n">
        <f aca="false">L939</f>
        <v>0</v>
      </c>
      <c r="W939" s="6" t="n">
        <f aca="false">D939</f>
        <v>4.399090909</v>
      </c>
      <c r="X939" s="6" t="n">
        <f aca="false">E939</f>
        <v>1</v>
      </c>
      <c r="Y939" s="6" t="n">
        <f aca="false">F939</f>
        <v>0</v>
      </c>
      <c r="Z939" s="6" t="n">
        <f aca="false">L939</f>
        <v>0</v>
      </c>
      <c r="AA939" s="6" t="n">
        <f aca="false">G939</f>
        <v>0</v>
      </c>
      <c r="AC939" s="6" t="n">
        <f aca="false">D939</f>
        <v>4.399090909</v>
      </c>
      <c r="AD939" s="6" t="n">
        <f aca="false">E939</f>
        <v>1</v>
      </c>
      <c r="AE939" s="6" t="n">
        <f aca="false">G939</f>
        <v>0</v>
      </c>
      <c r="AF939" s="6" t="n">
        <f aca="false">H939</f>
        <v>0</v>
      </c>
      <c r="AG939" s="6" t="n">
        <f aca="false">I939</f>
        <v>1</v>
      </c>
      <c r="AH939" s="6" t="n">
        <f aca="false">L939</f>
        <v>0</v>
      </c>
    </row>
    <row r="940" customFormat="false" ht="15" hidden="false" customHeight="false" outlineLevel="0" collapsed="false">
      <c r="A940" s="0" t="str">
        <f aca="false">'Raw Data'!C940</f>
        <v>Mill Plain</v>
      </c>
      <c r="B940" s="5" t="n">
        <f aca="false">'Raw Data'!A940</f>
        <v>40323</v>
      </c>
      <c r="C940" s="6" t="n">
        <f aca="false">'Raw Data'!D940</f>
        <v>207.851918980809</v>
      </c>
      <c r="D940" s="6" t="n">
        <f aca="false">'Raw Data'!E940</f>
        <v>4.054285714</v>
      </c>
      <c r="E940" s="6" t="n">
        <f aca="false">'Raw Data'!F940</f>
        <v>1</v>
      </c>
      <c r="F940" s="6" t="n">
        <f aca="false">'Raw Data'!G940</f>
        <v>0</v>
      </c>
      <c r="G940" s="6" t="n">
        <f aca="false">'Raw Data'!H940</f>
        <v>0</v>
      </c>
      <c r="H940" s="6" t="n">
        <f aca="false">'Raw Data'!I940</f>
        <v>0</v>
      </c>
      <c r="I940" s="6" t="n">
        <f aca="false">'Raw Data'!J940</f>
        <v>0</v>
      </c>
      <c r="J940" s="6" t="n">
        <f aca="false">'Raw Data'!K940</f>
        <v>1</v>
      </c>
      <c r="K940" s="6" t="n">
        <f aca="false">'Raw Data'!L940</f>
        <v>0</v>
      </c>
      <c r="L940" s="6" t="n">
        <f aca="false">F940*E940</f>
        <v>0</v>
      </c>
      <c r="N940" s="0" t="n">
        <v>1</v>
      </c>
      <c r="O940" s="6" t="n">
        <f aca="false">D940</f>
        <v>4.054285714</v>
      </c>
      <c r="P940" s="6" t="n">
        <f aca="false">E940</f>
        <v>1</v>
      </c>
      <c r="Q940" s="6" t="n">
        <f aca="false">F940</f>
        <v>0</v>
      </c>
      <c r="R940" s="6" t="n">
        <f aca="false">G940</f>
        <v>0</v>
      </c>
      <c r="S940" s="6" t="n">
        <f aca="false">H940</f>
        <v>0</v>
      </c>
      <c r="T940" s="6" t="n">
        <f aca="false">I940</f>
        <v>0</v>
      </c>
      <c r="U940" s="6" t="n">
        <f aca="false">L940</f>
        <v>0</v>
      </c>
      <c r="W940" s="6" t="n">
        <f aca="false">D940</f>
        <v>4.054285714</v>
      </c>
      <c r="X940" s="6" t="n">
        <f aca="false">E940</f>
        <v>1</v>
      </c>
      <c r="Y940" s="6" t="n">
        <f aca="false">F940</f>
        <v>0</v>
      </c>
      <c r="Z940" s="6" t="n">
        <f aca="false">L940</f>
        <v>0</v>
      </c>
      <c r="AA940" s="6" t="n">
        <f aca="false">G940</f>
        <v>0</v>
      </c>
      <c r="AC940" s="6" t="n">
        <f aca="false">D940</f>
        <v>4.054285714</v>
      </c>
      <c r="AD940" s="6" t="n">
        <f aca="false">E940</f>
        <v>1</v>
      </c>
      <c r="AE940" s="6" t="n">
        <f aca="false">G940</f>
        <v>0</v>
      </c>
      <c r="AF940" s="6" t="n">
        <f aca="false">H940</f>
        <v>0</v>
      </c>
      <c r="AG940" s="6" t="n">
        <f aca="false">I940</f>
        <v>0</v>
      </c>
      <c r="AH940" s="6" t="n">
        <f aca="false">L940</f>
        <v>0</v>
      </c>
    </row>
    <row r="941" customFormat="false" ht="15" hidden="false" customHeight="false" outlineLevel="0" collapsed="false">
      <c r="A941" s="0" t="str">
        <f aca="false">'Raw Data'!C941</f>
        <v>Mill Plain</v>
      </c>
      <c r="B941" s="5" t="n">
        <f aca="false">'Raw Data'!A941</f>
        <v>40330</v>
      </c>
      <c r="C941" s="6" t="n">
        <f aca="false">'Raw Data'!D941</f>
        <v>247.335452284668</v>
      </c>
      <c r="D941" s="6" t="n">
        <f aca="false">'Raw Data'!E941</f>
        <v>4.054285714</v>
      </c>
      <c r="E941" s="6" t="n">
        <f aca="false">'Raw Data'!F941</f>
        <v>1</v>
      </c>
      <c r="F941" s="6" t="n">
        <f aca="false">'Raw Data'!G941</f>
        <v>0</v>
      </c>
      <c r="G941" s="6" t="n">
        <f aca="false">'Raw Data'!H941</f>
        <v>0</v>
      </c>
      <c r="H941" s="6" t="n">
        <f aca="false">'Raw Data'!I941</f>
        <v>0</v>
      </c>
      <c r="I941" s="6" t="n">
        <f aca="false">'Raw Data'!J941</f>
        <v>0</v>
      </c>
      <c r="J941" s="6" t="n">
        <f aca="false">'Raw Data'!K941</f>
        <v>1</v>
      </c>
      <c r="K941" s="6" t="n">
        <f aca="false">'Raw Data'!L941</f>
        <v>0</v>
      </c>
      <c r="L941" s="6" t="n">
        <f aca="false">F941*E941</f>
        <v>0</v>
      </c>
      <c r="N941" s="0" t="n">
        <v>1</v>
      </c>
      <c r="O941" s="6" t="n">
        <f aca="false">D941</f>
        <v>4.054285714</v>
      </c>
      <c r="P941" s="6" t="n">
        <f aca="false">E941</f>
        <v>1</v>
      </c>
      <c r="Q941" s="6" t="n">
        <f aca="false">F941</f>
        <v>0</v>
      </c>
      <c r="R941" s="6" t="n">
        <f aca="false">G941</f>
        <v>0</v>
      </c>
      <c r="S941" s="6" t="n">
        <f aca="false">H941</f>
        <v>0</v>
      </c>
      <c r="T941" s="6" t="n">
        <f aca="false">I941</f>
        <v>0</v>
      </c>
      <c r="U941" s="6" t="n">
        <f aca="false">L941</f>
        <v>0</v>
      </c>
      <c r="W941" s="6" t="n">
        <f aca="false">D941</f>
        <v>4.054285714</v>
      </c>
      <c r="X941" s="6" t="n">
        <f aca="false">E941</f>
        <v>1</v>
      </c>
      <c r="Y941" s="6" t="n">
        <f aca="false">F941</f>
        <v>0</v>
      </c>
      <c r="Z941" s="6" t="n">
        <f aca="false">L941</f>
        <v>0</v>
      </c>
      <c r="AA941" s="6" t="n">
        <f aca="false">G941</f>
        <v>0</v>
      </c>
      <c r="AC941" s="6" t="n">
        <f aca="false">D941</f>
        <v>4.054285714</v>
      </c>
      <c r="AD941" s="6" t="n">
        <f aca="false">E941</f>
        <v>1</v>
      </c>
      <c r="AE941" s="6" t="n">
        <f aca="false">G941</f>
        <v>0</v>
      </c>
      <c r="AF941" s="6" t="n">
        <f aca="false">H941</f>
        <v>0</v>
      </c>
      <c r="AG941" s="6" t="n">
        <f aca="false">I941</f>
        <v>0</v>
      </c>
      <c r="AH941" s="6" t="n">
        <f aca="false">L941</f>
        <v>0</v>
      </c>
    </row>
    <row r="942" customFormat="false" ht="15" hidden="false" customHeight="false" outlineLevel="0" collapsed="false">
      <c r="A942" s="0" t="str">
        <f aca="false">'Raw Data'!C942</f>
        <v>Mill Plain</v>
      </c>
      <c r="B942" s="5" t="n">
        <f aca="false">'Raw Data'!A942</f>
        <v>40337</v>
      </c>
      <c r="C942" s="6" t="n">
        <f aca="false">'Raw Data'!D942</f>
        <v>233.351887945007</v>
      </c>
      <c r="D942" s="6" t="n">
        <f aca="false">'Raw Data'!E942</f>
        <v>4.447142857</v>
      </c>
      <c r="E942" s="6" t="n">
        <f aca="false">'Raw Data'!F942</f>
        <v>1</v>
      </c>
      <c r="F942" s="6" t="n">
        <f aca="false">'Raw Data'!G942</f>
        <v>0</v>
      </c>
      <c r="G942" s="6" t="n">
        <f aca="false">'Raw Data'!H942</f>
        <v>0</v>
      </c>
      <c r="H942" s="6" t="n">
        <f aca="false">'Raw Data'!I942</f>
        <v>0</v>
      </c>
      <c r="I942" s="6" t="n">
        <f aca="false">'Raw Data'!J942</f>
        <v>0</v>
      </c>
      <c r="J942" s="6" t="n">
        <f aca="false">'Raw Data'!K942</f>
        <v>1</v>
      </c>
      <c r="K942" s="6" t="n">
        <f aca="false">'Raw Data'!L942</f>
        <v>0</v>
      </c>
      <c r="L942" s="6" t="n">
        <f aca="false">F942*E942</f>
        <v>0</v>
      </c>
      <c r="N942" s="0" t="n">
        <v>1</v>
      </c>
      <c r="O942" s="6" t="n">
        <f aca="false">D942</f>
        <v>4.447142857</v>
      </c>
      <c r="P942" s="6" t="n">
        <f aca="false">E942</f>
        <v>1</v>
      </c>
      <c r="Q942" s="6" t="n">
        <f aca="false">F942</f>
        <v>0</v>
      </c>
      <c r="R942" s="6" t="n">
        <f aca="false">G942</f>
        <v>0</v>
      </c>
      <c r="S942" s="6" t="n">
        <f aca="false">H942</f>
        <v>0</v>
      </c>
      <c r="T942" s="6" t="n">
        <f aca="false">I942</f>
        <v>0</v>
      </c>
      <c r="U942" s="6" t="n">
        <f aca="false">L942</f>
        <v>0</v>
      </c>
      <c r="W942" s="6" t="n">
        <f aca="false">D942</f>
        <v>4.447142857</v>
      </c>
      <c r="X942" s="6" t="n">
        <f aca="false">E942</f>
        <v>1</v>
      </c>
      <c r="Y942" s="6" t="n">
        <f aca="false">F942</f>
        <v>0</v>
      </c>
      <c r="Z942" s="6" t="n">
        <f aca="false">L942</f>
        <v>0</v>
      </c>
      <c r="AA942" s="6" t="n">
        <f aca="false">G942</f>
        <v>0</v>
      </c>
      <c r="AC942" s="6" t="n">
        <f aca="false">D942</f>
        <v>4.447142857</v>
      </c>
      <c r="AD942" s="6" t="n">
        <f aca="false">E942</f>
        <v>1</v>
      </c>
      <c r="AE942" s="6" t="n">
        <f aca="false">G942</f>
        <v>0</v>
      </c>
      <c r="AF942" s="6" t="n">
        <f aca="false">H942</f>
        <v>0</v>
      </c>
      <c r="AG942" s="6" t="n">
        <f aca="false">I942</f>
        <v>0</v>
      </c>
      <c r="AH942" s="6" t="n">
        <f aca="false">L942</f>
        <v>0</v>
      </c>
    </row>
    <row r="943" customFormat="false" ht="15" hidden="false" customHeight="false" outlineLevel="0" collapsed="false">
      <c r="A943" s="0" t="str">
        <f aca="false">'Raw Data'!C943</f>
        <v>Mill Plain</v>
      </c>
      <c r="B943" s="5" t="n">
        <f aca="false">'Raw Data'!A943</f>
        <v>40344</v>
      </c>
      <c r="C943" s="6" t="n">
        <f aca="false">'Raw Data'!D943</f>
        <v>247.004093334202</v>
      </c>
      <c r="D943" s="6" t="n">
        <f aca="false">'Raw Data'!E943</f>
        <v>4.174615385</v>
      </c>
      <c r="E943" s="6" t="n">
        <f aca="false">'Raw Data'!F943</f>
        <v>1</v>
      </c>
      <c r="F943" s="6" t="n">
        <f aca="false">'Raw Data'!G943</f>
        <v>0</v>
      </c>
      <c r="G943" s="6" t="n">
        <f aca="false">'Raw Data'!H943</f>
        <v>0</v>
      </c>
      <c r="H943" s="6" t="n">
        <f aca="false">'Raw Data'!I943</f>
        <v>0</v>
      </c>
      <c r="I943" s="6" t="n">
        <f aca="false">'Raw Data'!J943</f>
        <v>0</v>
      </c>
      <c r="J943" s="6" t="n">
        <f aca="false">'Raw Data'!K943</f>
        <v>1</v>
      </c>
      <c r="K943" s="6" t="n">
        <f aca="false">'Raw Data'!L943</f>
        <v>0</v>
      </c>
      <c r="L943" s="6" t="n">
        <f aca="false">F943*E943</f>
        <v>0</v>
      </c>
      <c r="N943" s="0" t="n">
        <v>1</v>
      </c>
      <c r="O943" s="6" t="n">
        <f aca="false">D943</f>
        <v>4.174615385</v>
      </c>
      <c r="P943" s="6" t="n">
        <f aca="false">E943</f>
        <v>1</v>
      </c>
      <c r="Q943" s="6" t="n">
        <f aca="false">F943</f>
        <v>0</v>
      </c>
      <c r="R943" s="6" t="n">
        <f aca="false">G943</f>
        <v>0</v>
      </c>
      <c r="S943" s="6" t="n">
        <f aca="false">H943</f>
        <v>0</v>
      </c>
      <c r="T943" s="6" t="n">
        <f aca="false">I943</f>
        <v>0</v>
      </c>
      <c r="U943" s="6" t="n">
        <f aca="false">L943</f>
        <v>0</v>
      </c>
      <c r="W943" s="6" t="n">
        <f aca="false">D943</f>
        <v>4.174615385</v>
      </c>
      <c r="X943" s="6" t="n">
        <f aca="false">E943</f>
        <v>1</v>
      </c>
      <c r="Y943" s="6" t="n">
        <f aca="false">F943</f>
        <v>0</v>
      </c>
      <c r="Z943" s="6" t="n">
        <f aca="false">L943</f>
        <v>0</v>
      </c>
      <c r="AA943" s="6" t="n">
        <f aca="false">G943</f>
        <v>0</v>
      </c>
      <c r="AC943" s="6" t="n">
        <f aca="false">D943</f>
        <v>4.174615385</v>
      </c>
      <c r="AD943" s="6" t="n">
        <f aca="false">E943</f>
        <v>1</v>
      </c>
      <c r="AE943" s="6" t="n">
        <f aca="false">G943</f>
        <v>0</v>
      </c>
      <c r="AF943" s="6" t="n">
        <f aca="false">H943</f>
        <v>0</v>
      </c>
      <c r="AG943" s="6" t="n">
        <f aca="false">I943</f>
        <v>0</v>
      </c>
      <c r="AH943" s="6" t="n">
        <f aca="false">L943</f>
        <v>0</v>
      </c>
    </row>
    <row r="944" customFormat="false" ht="15" hidden="false" customHeight="false" outlineLevel="0" collapsed="false">
      <c r="A944" s="0" t="str">
        <f aca="false">'Raw Data'!C944</f>
        <v>Mill Plain</v>
      </c>
      <c r="B944" s="5" t="n">
        <f aca="false">'Raw Data'!A944</f>
        <v>40351</v>
      </c>
      <c r="C944" s="6" t="n">
        <f aca="false">'Raw Data'!D944</f>
        <v>424.704443180685</v>
      </c>
      <c r="D944" s="6" t="n">
        <f aca="false">'Raw Data'!E944</f>
        <v>4.447142857</v>
      </c>
      <c r="E944" s="6" t="n">
        <f aca="false">'Raw Data'!F944</f>
        <v>1</v>
      </c>
      <c r="F944" s="6" t="n">
        <f aca="false">'Raw Data'!G944</f>
        <v>0</v>
      </c>
      <c r="G944" s="6" t="n">
        <f aca="false">'Raw Data'!H944</f>
        <v>1</v>
      </c>
      <c r="H944" s="6" t="n">
        <f aca="false">'Raw Data'!I944</f>
        <v>0</v>
      </c>
      <c r="I944" s="6" t="n">
        <f aca="false">'Raw Data'!J944</f>
        <v>0</v>
      </c>
      <c r="J944" s="6" t="n">
        <f aca="false">'Raw Data'!K944</f>
        <v>1</v>
      </c>
      <c r="K944" s="6" t="n">
        <f aca="false">'Raw Data'!L944</f>
        <v>0</v>
      </c>
      <c r="L944" s="6" t="n">
        <f aca="false">F944*E944</f>
        <v>0</v>
      </c>
      <c r="N944" s="0" t="n">
        <v>1</v>
      </c>
      <c r="O944" s="6" t="n">
        <f aca="false">D944</f>
        <v>4.447142857</v>
      </c>
      <c r="P944" s="6" t="n">
        <f aca="false">E944</f>
        <v>1</v>
      </c>
      <c r="Q944" s="6" t="n">
        <f aca="false">F944</f>
        <v>0</v>
      </c>
      <c r="R944" s="6" t="n">
        <f aca="false">G944</f>
        <v>1</v>
      </c>
      <c r="S944" s="6" t="n">
        <f aca="false">H944</f>
        <v>0</v>
      </c>
      <c r="T944" s="6" t="n">
        <f aca="false">I944</f>
        <v>0</v>
      </c>
      <c r="U944" s="6" t="n">
        <f aca="false">L944</f>
        <v>0</v>
      </c>
      <c r="W944" s="6" t="n">
        <f aca="false">D944</f>
        <v>4.447142857</v>
      </c>
      <c r="X944" s="6" t="n">
        <f aca="false">E944</f>
        <v>1</v>
      </c>
      <c r="Y944" s="6" t="n">
        <f aca="false">F944</f>
        <v>0</v>
      </c>
      <c r="Z944" s="6" t="n">
        <f aca="false">L944</f>
        <v>0</v>
      </c>
      <c r="AA944" s="6" t="n">
        <f aca="false">G944</f>
        <v>1</v>
      </c>
      <c r="AC944" s="6" t="n">
        <f aca="false">D944</f>
        <v>4.447142857</v>
      </c>
      <c r="AD944" s="6" t="n">
        <f aca="false">E944</f>
        <v>1</v>
      </c>
      <c r="AE944" s="6" t="n">
        <f aca="false">G944</f>
        <v>1</v>
      </c>
      <c r="AF944" s="6" t="n">
        <f aca="false">H944</f>
        <v>0</v>
      </c>
      <c r="AG944" s="6" t="n">
        <f aca="false">I944</f>
        <v>0</v>
      </c>
      <c r="AH944" s="6" t="n">
        <f aca="false">L944</f>
        <v>0</v>
      </c>
    </row>
    <row r="945" customFormat="false" ht="15" hidden="false" customHeight="false" outlineLevel="0" collapsed="false">
      <c r="A945" s="0" t="str">
        <f aca="false">'Raw Data'!C945</f>
        <v>Mill Plain</v>
      </c>
      <c r="B945" s="5" t="n">
        <f aca="false">'Raw Data'!A945</f>
        <v>40358</v>
      </c>
      <c r="C945" s="6" t="n">
        <f aca="false">'Raw Data'!D945</f>
        <v>310.582864655975</v>
      </c>
      <c r="D945" s="6" t="n">
        <f aca="false">'Raw Data'!E945</f>
        <v>4.197142857</v>
      </c>
      <c r="E945" s="6" t="n">
        <f aca="false">'Raw Data'!F945</f>
        <v>1</v>
      </c>
      <c r="F945" s="6" t="n">
        <f aca="false">'Raw Data'!G945</f>
        <v>0</v>
      </c>
      <c r="G945" s="6" t="n">
        <f aca="false">'Raw Data'!H945</f>
        <v>0</v>
      </c>
      <c r="H945" s="6" t="n">
        <f aca="false">'Raw Data'!I945</f>
        <v>1</v>
      </c>
      <c r="I945" s="6" t="n">
        <f aca="false">'Raw Data'!J945</f>
        <v>0</v>
      </c>
      <c r="J945" s="6" t="n">
        <f aca="false">'Raw Data'!K945</f>
        <v>1</v>
      </c>
      <c r="K945" s="6" t="n">
        <f aca="false">'Raw Data'!L945</f>
        <v>0</v>
      </c>
      <c r="L945" s="6" t="n">
        <f aca="false">F945*E945</f>
        <v>0</v>
      </c>
      <c r="N945" s="0" t="n">
        <v>1</v>
      </c>
      <c r="O945" s="6" t="n">
        <f aca="false">D945</f>
        <v>4.197142857</v>
      </c>
      <c r="P945" s="6" t="n">
        <f aca="false">E945</f>
        <v>1</v>
      </c>
      <c r="Q945" s="6" t="n">
        <f aca="false">F945</f>
        <v>0</v>
      </c>
      <c r="R945" s="6" t="n">
        <f aca="false">G945</f>
        <v>0</v>
      </c>
      <c r="S945" s="6" t="n">
        <f aca="false">H945</f>
        <v>1</v>
      </c>
      <c r="T945" s="6" t="n">
        <f aca="false">I945</f>
        <v>0</v>
      </c>
      <c r="U945" s="6" t="n">
        <f aca="false">L945</f>
        <v>0</v>
      </c>
      <c r="W945" s="6" t="n">
        <f aca="false">D945</f>
        <v>4.197142857</v>
      </c>
      <c r="X945" s="6" t="n">
        <f aca="false">E945</f>
        <v>1</v>
      </c>
      <c r="Y945" s="6" t="n">
        <f aca="false">F945</f>
        <v>0</v>
      </c>
      <c r="Z945" s="6" t="n">
        <f aca="false">L945</f>
        <v>0</v>
      </c>
      <c r="AA945" s="6" t="n">
        <f aca="false">G945</f>
        <v>0</v>
      </c>
      <c r="AC945" s="6" t="n">
        <f aca="false">D945</f>
        <v>4.197142857</v>
      </c>
      <c r="AD945" s="6" t="n">
        <f aca="false">E945</f>
        <v>1</v>
      </c>
      <c r="AE945" s="6" t="n">
        <f aca="false">G945</f>
        <v>0</v>
      </c>
      <c r="AF945" s="6" t="n">
        <f aca="false">H945</f>
        <v>1</v>
      </c>
      <c r="AG945" s="6" t="n">
        <f aca="false">I945</f>
        <v>0</v>
      </c>
      <c r="AH945" s="6" t="n">
        <f aca="false">L945</f>
        <v>0</v>
      </c>
    </row>
    <row r="946" customFormat="false" ht="15" hidden="false" customHeight="false" outlineLevel="0" collapsed="false">
      <c r="A946" s="0" t="str">
        <f aca="false">'Raw Data'!C946</f>
        <v>Mill Plain</v>
      </c>
      <c r="B946" s="5" t="n">
        <f aca="false">'Raw Data'!A946</f>
        <v>40365</v>
      </c>
      <c r="C946" s="6" t="n">
        <f aca="false">'Raw Data'!D946</f>
        <v>347.116864449325</v>
      </c>
      <c r="D946" s="6" t="n">
        <f aca="false">'Raw Data'!E946</f>
        <v>3.303076923</v>
      </c>
      <c r="E946" s="6" t="n">
        <f aca="false">'Raw Data'!F946</f>
        <v>1</v>
      </c>
      <c r="F946" s="6" t="n">
        <f aca="false">'Raw Data'!G946</f>
        <v>0</v>
      </c>
      <c r="G946" s="6" t="n">
        <f aca="false">'Raw Data'!H946</f>
        <v>0</v>
      </c>
      <c r="H946" s="6" t="n">
        <f aca="false">'Raw Data'!I946</f>
        <v>1</v>
      </c>
      <c r="I946" s="6" t="n">
        <f aca="false">'Raw Data'!J946</f>
        <v>0</v>
      </c>
      <c r="J946" s="6" t="n">
        <f aca="false">'Raw Data'!K946</f>
        <v>1</v>
      </c>
      <c r="K946" s="6" t="n">
        <f aca="false">'Raw Data'!L946</f>
        <v>0</v>
      </c>
      <c r="L946" s="6" t="n">
        <f aca="false">F946*E946</f>
        <v>0</v>
      </c>
      <c r="N946" s="0" t="n">
        <v>1</v>
      </c>
      <c r="O946" s="6" t="n">
        <f aca="false">D946</f>
        <v>3.303076923</v>
      </c>
      <c r="P946" s="6" t="n">
        <f aca="false">E946</f>
        <v>1</v>
      </c>
      <c r="Q946" s="6" t="n">
        <f aca="false">F946</f>
        <v>0</v>
      </c>
      <c r="R946" s="6" t="n">
        <f aca="false">G946</f>
        <v>0</v>
      </c>
      <c r="S946" s="6" t="n">
        <f aca="false">H946</f>
        <v>1</v>
      </c>
      <c r="T946" s="6" t="n">
        <f aca="false">I946</f>
        <v>0</v>
      </c>
      <c r="U946" s="6" t="n">
        <f aca="false">L946</f>
        <v>0</v>
      </c>
      <c r="W946" s="6" t="n">
        <f aca="false">D946</f>
        <v>3.303076923</v>
      </c>
      <c r="X946" s="6" t="n">
        <f aca="false">E946</f>
        <v>1</v>
      </c>
      <c r="Y946" s="6" t="n">
        <f aca="false">F946</f>
        <v>0</v>
      </c>
      <c r="Z946" s="6" t="n">
        <f aca="false">L946</f>
        <v>0</v>
      </c>
      <c r="AA946" s="6" t="n">
        <f aca="false">G946</f>
        <v>0</v>
      </c>
      <c r="AC946" s="6" t="n">
        <f aca="false">D946</f>
        <v>3.303076923</v>
      </c>
      <c r="AD946" s="6" t="n">
        <f aca="false">E946</f>
        <v>1</v>
      </c>
      <c r="AE946" s="6" t="n">
        <f aca="false">G946</f>
        <v>0</v>
      </c>
      <c r="AF946" s="6" t="n">
        <f aca="false">H946</f>
        <v>1</v>
      </c>
      <c r="AG946" s="6" t="n">
        <f aca="false">I946</f>
        <v>0</v>
      </c>
      <c r="AH946" s="6" t="n">
        <f aca="false">L946</f>
        <v>0</v>
      </c>
    </row>
    <row r="947" customFormat="false" ht="15" hidden="false" customHeight="false" outlineLevel="0" collapsed="false">
      <c r="A947" s="0" t="str">
        <f aca="false">'Raw Data'!C947</f>
        <v>Mill Plain</v>
      </c>
      <c r="B947" s="5" t="n">
        <f aca="false">'Raw Data'!A947</f>
        <v>40372</v>
      </c>
      <c r="C947" s="6" t="n">
        <f aca="false">'Raw Data'!D947</f>
        <v>331.331117050256</v>
      </c>
      <c r="D947" s="6" t="n">
        <f aca="false">'Raw Data'!E947</f>
        <v>3.637857143</v>
      </c>
      <c r="E947" s="6" t="n">
        <f aca="false">'Raw Data'!F947</f>
        <v>1</v>
      </c>
      <c r="F947" s="6" t="n">
        <f aca="false">'Raw Data'!G947</f>
        <v>0</v>
      </c>
      <c r="G947" s="6" t="n">
        <f aca="false">'Raw Data'!H947</f>
        <v>0</v>
      </c>
      <c r="H947" s="6" t="n">
        <f aca="false">'Raw Data'!I947</f>
        <v>1</v>
      </c>
      <c r="I947" s="6" t="n">
        <f aca="false">'Raw Data'!J947</f>
        <v>0</v>
      </c>
      <c r="J947" s="6" t="n">
        <f aca="false">'Raw Data'!K947</f>
        <v>1</v>
      </c>
      <c r="K947" s="6" t="n">
        <f aca="false">'Raw Data'!L947</f>
        <v>0</v>
      </c>
      <c r="L947" s="6" t="n">
        <f aca="false">F947*E947</f>
        <v>0</v>
      </c>
      <c r="N947" s="0" t="n">
        <v>1</v>
      </c>
      <c r="O947" s="6" t="n">
        <f aca="false">D947</f>
        <v>3.637857143</v>
      </c>
      <c r="P947" s="6" t="n">
        <f aca="false">E947</f>
        <v>1</v>
      </c>
      <c r="Q947" s="6" t="n">
        <f aca="false">F947</f>
        <v>0</v>
      </c>
      <c r="R947" s="6" t="n">
        <f aca="false">G947</f>
        <v>0</v>
      </c>
      <c r="S947" s="6" t="n">
        <f aca="false">H947</f>
        <v>1</v>
      </c>
      <c r="T947" s="6" t="n">
        <f aca="false">I947</f>
        <v>0</v>
      </c>
      <c r="U947" s="6" t="n">
        <f aca="false">L947</f>
        <v>0</v>
      </c>
      <c r="W947" s="6" t="n">
        <f aca="false">D947</f>
        <v>3.637857143</v>
      </c>
      <c r="X947" s="6" t="n">
        <f aca="false">E947</f>
        <v>1</v>
      </c>
      <c r="Y947" s="6" t="n">
        <f aca="false">F947</f>
        <v>0</v>
      </c>
      <c r="Z947" s="6" t="n">
        <f aca="false">L947</f>
        <v>0</v>
      </c>
      <c r="AA947" s="6" t="n">
        <f aca="false">G947</f>
        <v>0</v>
      </c>
      <c r="AC947" s="6" t="n">
        <f aca="false">D947</f>
        <v>3.637857143</v>
      </c>
      <c r="AD947" s="6" t="n">
        <f aca="false">E947</f>
        <v>1</v>
      </c>
      <c r="AE947" s="6" t="n">
        <f aca="false">G947</f>
        <v>0</v>
      </c>
      <c r="AF947" s="6" t="n">
        <f aca="false">H947</f>
        <v>1</v>
      </c>
      <c r="AG947" s="6" t="n">
        <f aca="false">I947</f>
        <v>0</v>
      </c>
      <c r="AH947" s="6" t="n">
        <f aca="false">L947</f>
        <v>0</v>
      </c>
    </row>
    <row r="948" customFormat="false" ht="15" hidden="false" customHeight="false" outlineLevel="0" collapsed="false">
      <c r="A948" s="0" t="str">
        <f aca="false">'Raw Data'!C948</f>
        <v>Redmond</v>
      </c>
      <c r="B948" s="5" t="n">
        <f aca="false">'Raw Data'!A948</f>
        <v>40302</v>
      </c>
      <c r="C948" s="6" t="n">
        <f aca="false">'Raw Data'!D948</f>
        <v>219.48420437034</v>
      </c>
      <c r="D948" s="6" t="n">
        <f aca="false">'Raw Data'!E948</f>
        <v>4.216666667</v>
      </c>
      <c r="E948" s="6" t="n">
        <f aca="false">'Raw Data'!F948</f>
        <v>1</v>
      </c>
      <c r="F948" s="6" t="n">
        <f aca="false">'Raw Data'!G948</f>
        <v>0</v>
      </c>
      <c r="G948" s="6" t="n">
        <f aca="false">'Raw Data'!H948</f>
        <v>0</v>
      </c>
      <c r="H948" s="6" t="n">
        <f aca="false">'Raw Data'!I948</f>
        <v>0</v>
      </c>
      <c r="I948" s="6" t="n">
        <f aca="false">'Raw Data'!J948</f>
        <v>0</v>
      </c>
      <c r="J948" s="6" t="n">
        <f aca="false">'Raw Data'!K948</f>
        <v>2</v>
      </c>
      <c r="K948" s="6" t="n">
        <f aca="false">'Raw Data'!L948</f>
        <v>3</v>
      </c>
      <c r="L948" s="6" t="n">
        <f aca="false">F948*E948</f>
        <v>0</v>
      </c>
      <c r="N948" s="0" t="n">
        <v>1</v>
      </c>
      <c r="O948" s="6" t="n">
        <f aca="false">D948</f>
        <v>4.216666667</v>
      </c>
      <c r="P948" s="6" t="n">
        <f aca="false">E948</f>
        <v>1</v>
      </c>
      <c r="Q948" s="6" t="n">
        <f aca="false">F948</f>
        <v>0</v>
      </c>
      <c r="R948" s="6" t="n">
        <f aca="false">G948</f>
        <v>0</v>
      </c>
      <c r="S948" s="6" t="n">
        <f aca="false">H948</f>
        <v>0</v>
      </c>
      <c r="T948" s="6" t="n">
        <f aca="false">I948</f>
        <v>0</v>
      </c>
      <c r="U948" s="6" t="n">
        <f aca="false">L948</f>
        <v>0</v>
      </c>
      <c r="W948" s="6" t="n">
        <f aca="false">D948</f>
        <v>4.216666667</v>
      </c>
      <c r="X948" s="6" t="n">
        <f aca="false">E948</f>
        <v>1</v>
      </c>
      <c r="Y948" s="6" t="n">
        <f aca="false">F948</f>
        <v>0</v>
      </c>
      <c r="Z948" s="6" t="n">
        <f aca="false">L948</f>
        <v>0</v>
      </c>
      <c r="AA948" s="6" t="n">
        <f aca="false">G948</f>
        <v>0</v>
      </c>
      <c r="AC948" s="6" t="n">
        <f aca="false">D948</f>
        <v>4.216666667</v>
      </c>
      <c r="AD948" s="6" t="n">
        <f aca="false">E948</f>
        <v>1</v>
      </c>
      <c r="AE948" s="6" t="n">
        <f aca="false">G948</f>
        <v>0</v>
      </c>
      <c r="AF948" s="6" t="n">
        <f aca="false">H948</f>
        <v>0</v>
      </c>
      <c r="AG948" s="6" t="n">
        <f aca="false">I948</f>
        <v>0</v>
      </c>
      <c r="AH948" s="6" t="n">
        <f aca="false">L948</f>
        <v>0</v>
      </c>
    </row>
    <row r="949" customFormat="false" ht="15" hidden="false" customHeight="false" outlineLevel="0" collapsed="false">
      <c r="A949" s="0" t="str">
        <f aca="false">'Raw Data'!C949</f>
        <v>Redmond</v>
      </c>
      <c r="B949" s="5" t="n">
        <f aca="false">'Raw Data'!A949</f>
        <v>40309</v>
      </c>
      <c r="C949" s="6" t="n">
        <f aca="false">'Raw Data'!D949</f>
        <v>218.554431391409</v>
      </c>
      <c r="D949" s="6" t="n">
        <f aca="false">'Raw Data'!E949</f>
        <v>4.216666667</v>
      </c>
      <c r="E949" s="6" t="n">
        <f aca="false">'Raw Data'!F949</f>
        <v>1</v>
      </c>
      <c r="F949" s="6" t="n">
        <f aca="false">'Raw Data'!G949</f>
        <v>0</v>
      </c>
      <c r="G949" s="6" t="n">
        <f aca="false">'Raw Data'!H949</f>
        <v>0</v>
      </c>
      <c r="H949" s="6" t="n">
        <f aca="false">'Raw Data'!I949</f>
        <v>0</v>
      </c>
      <c r="I949" s="6" t="n">
        <f aca="false">'Raw Data'!J949</f>
        <v>0</v>
      </c>
      <c r="J949" s="6" t="n">
        <f aca="false">'Raw Data'!K949</f>
        <v>2</v>
      </c>
      <c r="K949" s="6" t="n">
        <f aca="false">'Raw Data'!L949</f>
        <v>3</v>
      </c>
      <c r="L949" s="6" t="n">
        <f aca="false">F949*E949</f>
        <v>0</v>
      </c>
      <c r="N949" s="0" t="n">
        <v>1</v>
      </c>
      <c r="O949" s="6" t="n">
        <f aca="false">D949</f>
        <v>4.216666667</v>
      </c>
      <c r="P949" s="6" t="n">
        <f aca="false">E949</f>
        <v>1</v>
      </c>
      <c r="Q949" s="6" t="n">
        <f aca="false">F949</f>
        <v>0</v>
      </c>
      <c r="R949" s="6" t="n">
        <f aca="false">G949</f>
        <v>0</v>
      </c>
      <c r="S949" s="6" t="n">
        <f aca="false">H949</f>
        <v>0</v>
      </c>
      <c r="T949" s="6" t="n">
        <f aca="false">I949</f>
        <v>0</v>
      </c>
      <c r="U949" s="6" t="n">
        <f aca="false">L949</f>
        <v>0</v>
      </c>
      <c r="W949" s="6" t="n">
        <f aca="false">D949</f>
        <v>4.216666667</v>
      </c>
      <c r="X949" s="6" t="n">
        <f aca="false">E949</f>
        <v>1</v>
      </c>
      <c r="Y949" s="6" t="n">
        <f aca="false">F949</f>
        <v>0</v>
      </c>
      <c r="Z949" s="6" t="n">
        <f aca="false">L949</f>
        <v>0</v>
      </c>
      <c r="AA949" s="6" t="n">
        <f aca="false">G949</f>
        <v>0</v>
      </c>
      <c r="AC949" s="6" t="n">
        <f aca="false">D949</f>
        <v>4.216666667</v>
      </c>
      <c r="AD949" s="6" t="n">
        <f aca="false">E949</f>
        <v>1</v>
      </c>
      <c r="AE949" s="6" t="n">
        <f aca="false">G949</f>
        <v>0</v>
      </c>
      <c r="AF949" s="6" t="n">
        <f aca="false">H949</f>
        <v>0</v>
      </c>
      <c r="AG949" s="6" t="n">
        <f aca="false">I949</f>
        <v>0</v>
      </c>
      <c r="AH949" s="6" t="n">
        <f aca="false">L949</f>
        <v>0</v>
      </c>
    </row>
    <row r="950" customFormat="false" ht="15" hidden="false" customHeight="false" outlineLevel="0" collapsed="false">
      <c r="A950" s="0" t="str">
        <f aca="false">'Raw Data'!C950</f>
        <v>Redmond</v>
      </c>
      <c r="B950" s="5" t="n">
        <f aca="false">'Raw Data'!A950</f>
        <v>40316</v>
      </c>
      <c r="C950" s="6" t="n">
        <f aca="false">'Raw Data'!D950</f>
        <v>214.923423128443</v>
      </c>
      <c r="D950" s="6" t="n">
        <f aca="false">'Raw Data'!E950</f>
        <v>4.09</v>
      </c>
      <c r="E950" s="6" t="n">
        <f aca="false">'Raw Data'!F950</f>
        <v>1</v>
      </c>
      <c r="F950" s="6" t="n">
        <f aca="false">'Raw Data'!G950</f>
        <v>0</v>
      </c>
      <c r="G950" s="6" t="n">
        <f aca="false">'Raw Data'!H950</f>
        <v>0</v>
      </c>
      <c r="H950" s="6" t="n">
        <f aca="false">'Raw Data'!I950</f>
        <v>0</v>
      </c>
      <c r="I950" s="6" t="n">
        <f aca="false">'Raw Data'!J950</f>
        <v>0</v>
      </c>
      <c r="J950" s="6" t="n">
        <f aca="false">'Raw Data'!K950</f>
        <v>2</v>
      </c>
      <c r="K950" s="6" t="n">
        <f aca="false">'Raw Data'!L950</f>
        <v>3</v>
      </c>
      <c r="L950" s="6" t="n">
        <f aca="false">F950*E950</f>
        <v>0</v>
      </c>
      <c r="N950" s="0" t="n">
        <v>1</v>
      </c>
      <c r="O950" s="6" t="n">
        <f aca="false">D950</f>
        <v>4.09</v>
      </c>
      <c r="P950" s="6" t="n">
        <f aca="false">E950</f>
        <v>1</v>
      </c>
      <c r="Q950" s="6" t="n">
        <f aca="false">F950</f>
        <v>0</v>
      </c>
      <c r="R950" s="6" t="n">
        <f aca="false">G950</f>
        <v>0</v>
      </c>
      <c r="S950" s="6" t="n">
        <f aca="false">H950</f>
        <v>0</v>
      </c>
      <c r="T950" s="6" t="n">
        <f aca="false">I950</f>
        <v>0</v>
      </c>
      <c r="U950" s="6" t="n">
        <f aca="false">L950</f>
        <v>0</v>
      </c>
      <c r="W950" s="6" t="n">
        <f aca="false">D950</f>
        <v>4.09</v>
      </c>
      <c r="X950" s="6" t="n">
        <f aca="false">E950</f>
        <v>1</v>
      </c>
      <c r="Y950" s="6" t="n">
        <f aca="false">F950</f>
        <v>0</v>
      </c>
      <c r="Z950" s="6" t="n">
        <f aca="false">L950</f>
        <v>0</v>
      </c>
      <c r="AA950" s="6" t="n">
        <f aca="false">G950</f>
        <v>0</v>
      </c>
      <c r="AC950" s="6" t="n">
        <f aca="false">D950</f>
        <v>4.09</v>
      </c>
      <c r="AD950" s="6" t="n">
        <f aca="false">E950</f>
        <v>1</v>
      </c>
      <c r="AE950" s="6" t="n">
        <f aca="false">G950</f>
        <v>0</v>
      </c>
      <c r="AF950" s="6" t="n">
        <f aca="false">H950</f>
        <v>0</v>
      </c>
      <c r="AG950" s="6" t="n">
        <f aca="false">I950</f>
        <v>0</v>
      </c>
      <c r="AH950" s="6" t="n">
        <f aca="false">L950</f>
        <v>0</v>
      </c>
    </row>
    <row r="951" customFormat="false" ht="15" hidden="false" customHeight="false" outlineLevel="0" collapsed="false">
      <c r="A951" s="0" t="str">
        <f aca="false">'Raw Data'!C951</f>
        <v>Redmond</v>
      </c>
      <c r="B951" s="5" t="n">
        <f aca="false">'Raw Data'!A951</f>
        <v>40323</v>
      </c>
      <c r="C951" s="6" t="n">
        <f aca="false">'Raw Data'!D951</f>
        <v>221.326107398236</v>
      </c>
      <c r="D951" s="6" t="n">
        <f aca="false">'Raw Data'!E951</f>
        <v>3.79</v>
      </c>
      <c r="E951" s="6" t="n">
        <f aca="false">'Raw Data'!F951</f>
        <v>1</v>
      </c>
      <c r="F951" s="6" t="n">
        <f aca="false">'Raw Data'!G951</f>
        <v>0</v>
      </c>
      <c r="G951" s="6" t="n">
        <f aca="false">'Raw Data'!H951</f>
        <v>0</v>
      </c>
      <c r="H951" s="6" t="n">
        <f aca="false">'Raw Data'!I951</f>
        <v>0</v>
      </c>
      <c r="I951" s="6" t="n">
        <f aca="false">'Raw Data'!J951</f>
        <v>0</v>
      </c>
      <c r="J951" s="6" t="n">
        <f aca="false">'Raw Data'!K951</f>
        <v>2</v>
      </c>
      <c r="K951" s="6" t="n">
        <f aca="false">'Raw Data'!L951</f>
        <v>3</v>
      </c>
      <c r="L951" s="6" t="n">
        <f aca="false">F951*E951</f>
        <v>0</v>
      </c>
      <c r="N951" s="0" t="n">
        <v>1</v>
      </c>
      <c r="O951" s="6" t="n">
        <f aca="false">D951</f>
        <v>3.79</v>
      </c>
      <c r="P951" s="6" t="n">
        <f aca="false">E951</f>
        <v>1</v>
      </c>
      <c r="Q951" s="6" t="n">
        <f aca="false">F951</f>
        <v>0</v>
      </c>
      <c r="R951" s="6" t="n">
        <f aca="false">G951</f>
        <v>0</v>
      </c>
      <c r="S951" s="6" t="n">
        <f aca="false">H951</f>
        <v>0</v>
      </c>
      <c r="T951" s="6" t="n">
        <f aca="false">I951</f>
        <v>0</v>
      </c>
      <c r="U951" s="6" t="n">
        <f aca="false">L951</f>
        <v>0</v>
      </c>
      <c r="W951" s="6" t="n">
        <f aca="false">D951</f>
        <v>3.79</v>
      </c>
      <c r="X951" s="6" t="n">
        <f aca="false">E951</f>
        <v>1</v>
      </c>
      <c r="Y951" s="6" t="n">
        <f aca="false">F951</f>
        <v>0</v>
      </c>
      <c r="Z951" s="6" t="n">
        <f aca="false">L951</f>
        <v>0</v>
      </c>
      <c r="AA951" s="6" t="n">
        <f aca="false">G951</f>
        <v>0</v>
      </c>
      <c r="AC951" s="6" t="n">
        <f aca="false">D951</f>
        <v>3.79</v>
      </c>
      <c r="AD951" s="6" t="n">
        <f aca="false">E951</f>
        <v>1</v>
      </c>
      <c r="AE951" s="6" t="n">
        <f aca="false">G951</f>
        <v>0</v>
      </c>
      <c r="AF951" s="6" t="n">
        <f aca="false">H951</f>
        <v>0</v>
      </c>
      <c r="AG951" s="6" t="n">
        <f aca="false">I951</f>
        <v>0</v>
      </c>
      <c r="AH951" s="6" t="n">
        <f aca="false">L951</f>
        <v>0</v>
      </c>
    </row>
    <row r="952" customFormat="false" ht="15" hidden="false" customHeight="false" outlineLevel="0" collapsed="false">
      <c r="A952" s="0" t="str">
        <f aca="false">'Raw Data'!C952</f>
        <v>Redmond</v>
      </c>
      <c r="B952" s="5" t="n">
        <f aca="false">'Raw Data'!A952</f>
        <v>40330</v>
      </c>
      <c r="C952" s="6" t="n">
        <f aca="false">'Raw Data'!D952</f>
        <v>195.68177542014</v>
      </c>
      <c r="D952" s="6" t="n">
        <f aca="false">'Raw Data'!E952</f>
        <v>3.697142857</v>
      </c>
      <c r="E952" s="6" t="n">
        <f aca="false">'Raw Data'!F952</f>
        <v>1</v>
      </c>
      <c r="F952" s="6" t="n">
        <f aca="false">'Raw Data'!G952</f>
        <v>0</v>
      </c>
      <c r="G952" s="6" t="n">
        <f aca="false">'Raw Data'!H952</f>
        <v>0</v>
      </c>
      <c r="H952" s="6" t="n">
        <f aca="false">'Raw Data'!I952</f>
        <v>0</v>
      </c>
      <c r="I952" s="6" t="n">
        <f aca="false">'Raw Data'!J952</f>
        <v>0</v>
      </c>
      <c r="J952" s="6" t="n">
        <f aca="false">'Raw Data'!K952</f>
        <v>2</v>
      </c>
      <c r="K952" s="6" t="n">
        <f aca="false">'Raw Data'!L952</f>
        <v>3</v>
      </c>
      <c r="L952" s="6" t="n">
        <f aca="false">F952*E952</f>
        <v>0</v>
      </c>
      <c r="N952" s="0" t="n">
        <v>1</v>
      </c>
      <c r="O952" s="6" t="n">
        <f aca="false">D952</f>
        <v>3.697142857</v>
      </c>
      <c r="P952" s="6" t="n">
        <f aca="false">E952</f>
        <v>1</v>
      </c>
      <c r="Q952" s="6" t="n">
        <f aca="false">F952</f>
        <v>0</v>
      </c>
      <c r="R952" s="6" t="n">
        <f aca="false">G952</f>
        <v>0</v>
      </c>
      <c r="S952" s="6" t="n">
        <f aca="false">H952</f>
        <v>0</v>
      </c>
      <c r="T952" s="6" t="n">
        <f aca="false">I952</f>
        <v>0</v>
      </c>
      <c r="U952" s="6" t="n">
        <f aca="false">L952</f>
        <v>0</v>
      </c>
      <c r="W952" s="6" t="n">
        <f aca="false">D952</f>
        <v>3.697142857</v>
      </c>
      <c r="X952" s="6" t="n">
        <f aca="false">E952</f>
        <v>1</v>
      </c>
      <c r="Y952" s="6" t="n">
        <f aca="false">F952</f>
        <v>0</v>
      </c>
      <c r="Z952" s="6" t="n">
        <f aca="false">L952</f>
        <v>0</v>
      </c>
      <c r="AA952" s="6" t="n">
        <f aca="false">G952</f>
        <v>0</v>
      </c>
      <c r="AC952" s="6" t="n">
        <f aca="false">D952</f>
        <v>3.697142857</v>
      </c>
      <c r="AD952" s="6" t="n">
        <f aca="false">E952</f>
        <v>1</v>
      </c>
      <c r="AE952" s="6" t="n">
        <f aca="false">G952</f>
        <v>0</v>
      </c>
      <c r="AF952" s="6" t="n">
        <f aca="false">H952</f>
        <v>0</v>
      </c>
      <c r="AG952" s="6" t="n">
        <f aca="false">I952</f>
        <v>0</v>
      </c>
      <c r="AH952" s="6" t="n">
        <f aca="false">L952</f>
        <v>0</v>
      </c>
    </row>
    <row r="953" customFormat="false" ht="15" hidden="false" customHeight="false" outlineLevel="0" collapsed="false">
      <c r="A953" s="0" t="str">
        <f aca="false">'Raw Data'!C953</f>
        <v>Redmond</v>
      </c>
      <c r="B953" s="5" t="n">
        <f aca="false">'Raw Data'!A953</f>
        <v>40337</v>
      </c>
      <c r="C953" s="6" t="n">
        <f aca="false">'Raw Data'!D953</f>
        <v>218.676930756801</v>
      </c>
      <c r="D953" s="6" t="n">
        <f aca="false">'Raw Data'!E953</f>
        <v>4.216666667</v>
      </c>
      <c r="E953" s="6" t="n">
        <f aca="false">'Raw Data'!F953</f>
        <v>1</v>
      </c>
      <c r="F953" s="6" t="n">
        <f aca="false">'Raw Data'!G953</f>
        <v>0</v>
      </c>
      <c r="G953" s="6" t="n">
        <f aca="false">'Raw Data'!H953</f>
        <v>0</v>
      </c>
      <c r="H953" s="6" t="n">
        <f aca="false">'Raw Data'!I953</f>
        <v>0</v>
      </c>
      <c r="I953" s="6" t="n">
        <f aca="false">'Raw Data'!J953</f>
        <v>0</v>
      </c>
      <c r="J953" s="6" t="n">
        <f aca="false">'Raw Data'!K953</f>
        <v>2</v>
      </c>
      <c r="K953" s="6" t="n">
        <f aca="false">'Raw Data'!L953</f>
        <v>3</v>
      </c>
      <c r="L953" s="6" t="n">
        <f aca="false">F953*E953</f>
        <v>0</v>
      </c>
      <c r="N953" s="0" t="n">
        <v>1</v>
      </c>
      <c r="O953" s="6" t="n">
        <f aca="false">D953</f>
        <v>4.216666667</v>
      </c>
      <c r="P953" s="6" t="n">
        <f aca="false">E953</f>
        <v>1</v>
      </c>
      <c r="Q953" s="6" t="n">
        <f aca="false">F953</f>
        <v>0</v>
      </c>
      <c r="R953" s="6" t="n">
        <f aca="false">G953</f>
        <v>0</v>
      </c>
      <c r="S953" s="6" t="n">
        <f aca="false">H953</f>
        <v>0</v>
      </c>
      <c r="T953" s="6" t="n">
        <f aca="false">I953</f>
        <v>0</v>
      </c>
      <c r="U953" s="6" t="n">
        <f aca="false">L953</f>
        <v>0</v>
      </c>
      <c r="W953" s="6" t="n">
        <f aca="false">D953</f>
        <v>4.216666667</v>
      </c>
      <c r="X953" s="6" t="n">
        <f aca="false">E953</f>
        <v>1</v>
      </c>
      <c r="Y953" s="6" t="n">
        <f aca="false">F953</f>
        <v>0</v>
      </c>
      <c r="Z953" s="6" t="n">
        <f aca="false">L953</f>
        <v>0</v>
      </c>
      <c r="AA953" s="6" t="n">
        <f aca="false">G953</f>
        <v>0</v>
      </c>
      <c r="AC953" s="6" t="n">
        <f aca="false">D953</f>
        <v>4.216666667</v>
      </c>
      <c r="AD953" s="6" t="n">
        <f aca="false">E953</f>
        <v>1</v>
      </c>
      <c r="AE953" s="6" t="n">
        <f aca="false">G953</f>
        <v>0</v>
      </c>
      <c r="AF953" s="6" t="n">
        <f aca="false">H953</f>
        <v>0</v>
      </c>
      <c r="AG953" s="6" t="n">
        <f aca="false">I953</f>
        <v>0</v>
      </c>
      <c r="AH953" s="6" t="n">
        <f aca="false">L953</f>
        <v>0</v>
      </c>
    </row>
    <row r="954" customFormat="false" ht="15" hidden="false" customHeight="false" outlineLevel="0" collapsed="false">
      <c r="A954" s="0" t="str">
        <f aca="false">'Raw Data'!C954</f>
        <v>Redmond</v>
      </c>
      <c r="B954" s="5" t="n">
        <f aca="false">'Raw Data'!A954</f>
        <v>40344</v>
      </c>
      <c r="C954" s="6" t="n">
        <f aca="false">'Raw Data'!D954</f>
        <v>652.756441768676</v>
      </c>
      <c r="D954" s="6" t="n">
        <f aca="false">'Raw Data'!E954</f>
        <v>3.729333333</v>
      </c>
      <c r="E954" s="6" t="n">
        <f aca="false">'Raw Data'!F954</f>
        <v>1</v>
      </c>
      <c r="F954" s="6" t="n">
        <f aca="false">'Raw Data'!G954</f>
        <v>1</v>
      </c>
      <c r="G954" s="6" t="n">
        <f aca="false">'Raw Data'!H954</f>
        <v>0</v>
      </c>
      <c r="H954" s="6" t="n">
        <f aca="false">'Raw Data'!I954</f>
        <v>0</v>
      </c>
      <c r="I954" s="6" t="n">
        <f aca="false">'Raw Data'!J954</f>
        <v>0</v>
      </c>
      <c r="J954" s="6" t="n">
        <f aca="false">'Raw Data'!K954</f>
        <v>2</v>
      </c>
      <c r="K954" s="6" t="n">
        <f aca="false">'Raw Data'!L954</f>
        <v>3</v>
      </c>
      <c r="L954" s="6" t="n">
        <f aca="false">F954*E954</f>
        <v>1</v>
      </c>
      <c r="N954" s="0" t="n">
        <v>1</v>
      </c>
      <c r="O954" s="6" t="n">
        <f aca="false">D954</f>
        <v>3.729333333</v>
      </c>
      <c r="P954" s="6" t="n">
        <f aca="false">E954</f>
        <v>1</v>
      </c>
      <c r="Q954" s="6" t="n">
        <f aca="false">F954</f>
        <v>1</v>
      </c>
      <c r="R954" s="6" t="n">
        <f aca="false">G954</f>
        <v>0</v>
      </c>
      <c r="S954" s="6" t="n">
        <f aca="false">H954</f>
        <v>0</v>
      </c>
      <c r="T954" s="6" t="n">
        <f aca="false">I954</f>
        <v>0</v>
      </c>
      <c r="U954" s="6" t="n">
        <f aca="false">L954</f>
        <v>1</v>
      </c>
      <c r="W954" s="6" t="n">
        <f aca="false">D954</f>
        <v>3.729333333</v>
      </c>
      <c r="X954" s="6" t="n">
        <f aca="false">E954</f>
        <v>1</v>
      </c>
      <c r="Y954" s="6" t="n">
        <f aca="false">F954</f>
        <v>1</v>
      </c>
      <c r="Z954" s="6" t="n">
        <f aca="false">L954</f>
        <v>1</v>
      </c>
      <c r="AA954" s="6" t="n">
        <f aca="false">G954</f>
        <v>0</v>
      </c>
      <c r="AC954" s="6" t="n">
        <f aca="false">D954</f>
        <v>3.729333333</v>
      </c>
      <c r="AD954" s="6" t="n">
        <f aca="false">E954</f>
        <v>1</v>
      </c>
      <c r="AE954" s="6" t="n">
        <f aca="false">G954</f>
        <v>0</v>
      </c>
      <c r="AF954" s="6" t="n">
        <f aca="false">H954</f>
        <v>0</v>
      </c>
      <c r="AG954" s="6" t="n">
        <f aca="false">I954</f>
        <v>0</v>
      </c>
      <c r="AH954" s="6" t="n">
        <f aca="false">L954</f>
        <v>1</v>
      </c>
    </row>
    <row r="955" customFormat="false" ht="15" hidden="false" customHeight="false" outlineLevel="0" collapsed="false">
      <c r="A955" s="0" t="str">
        <f aca="false">'Raw Data'!C955</f>
        <v>Redmond</v>
      </c>
      <c r="B955" s="5" t="n">
        <f aca="false">'Raw Data'!A955</f>
        <v>40351</v>
      </c>
      <c r="C955" s="6" t="n">
        <f aca="false">'Raw Data'!D955</f>
        <v>891.082941488141</v>
      </c>
      <c r="D955" s="6" t="n">
        <f aca="false">'Raw Data'!E955</f>
        <v>3.594</v>
      </c>
      <c r="E955" s="6" t="n">
        <f aca="false">'Raw Data'!F955</f>
        <v>1</v>
      </c>
      <c r="F955" s="6" t="n">
        <f aca="false">'Raw Data'!G955</f>
        <v>1</v>
      </c>
      <c r="G955" s="6" t="n">
        <f aca="false">'Raw Data'!H955</f>
        <v>1</v>
      </c>
      <c r="H955" s="6" t="n">
        <f aca="false">'Raw Data'!I955</f>
        <v>0</v>
      </c>
      <c r="I955" s="6" t="n">
        <f aca="false">'Raw Data'!J955</f>
        <v>0</v>
      </c>
      <c r="J955" s="6" t="n">
        <f aca="false">'Raw Data'!K955</f>
        <v>2</v>
      </c>
      <c r="K955" s="6" t="n">
        <f aca="false">'Raw Data'!L955</f>
        <v>3</v>
      </c>
      <c r="L955" s="6" t="n">
        <f aca="false">F955*E955</f>
        <v>1</v>
      </c>
      <c r="N955" s="0" t="n">
        <v>1</v>
      </c>
      <c r="O955" s="6" t="n">
        <f aca="false">D955</f>
        <v>3.594</v>
      </c>
      <c r="P955" s="6" t="n">
        <f aca="false">E955</f>
        <v>1</v>
      </c>
      <c r="Q955" s="6" t="n">
        <f aca="false">F955</f>
        <v>1</v>
      </c>
      <c r="R955" s="6" t="n">
        <f aca="false">G955</f>
        <v>1</v>
      </c>
      <c r="S955" s="6" t="n">
        <f aca="false">H955</f>
        <v>0</v>
      </c>
      <c r="T955" s="6" t="n">
        <f aca="false">I955</f>
        <v>0</v>
      </c>
      <c r="U955" s="6" t="n">
        <f aca="false">L955</f>
        <v>1</v>
      </c>
      <c r="W955" s="6" t="n">
        <f aca="false">D955</f>
        <v>3.594</v>
      </c>
      <c r="X955" s="6" t="n">
        <f aca="false">E955</f>
        <v>1</v>
      </c>
      <c r="Y955" s="6" t="n">
        <f aca="false">F955</f>
        <v>1</v>
      </c>
      <c r="Z955" s="6" t="n">
        <f aca="false">L955</f>
        <v>1</v>
      </c>
      <c r="AA955" s="6" t="n">
        <f aca="false">G955</f>
        <v>1</v>
      </c>
      <c r="AC955" s="6" t="n">
        <f aca="false">D955</f>
        <v>3.594</v>
      </c>
      <c r="AD955" s="6" t="n">
        <f aca="false">E955</f>
        <v>1</v>
      </c>
      <c r="AE955" s="6" t="n">
        <f aca="false">G955</f>
        <v>1</v>
      </c>
      <c r="AF955" s="6" t="n">
        <f aca="false">H955</f>
        <v>0</v>
      </c>
      <c r="AG955" s="6" t="n">
        <f aca="false">I955</f>
        <v>0</v>
      </c>
      <c r="AH955" s="6" t="n">
        <f aca="false">L955</f>
        <v>1</v>
      </c>
    </row>
    <row r="956" customFormat="false" ht="15" hidden="false" customHeight="false" outlineLevel="0" collapsed="false">
      <c r="A956" s="0" t="str">
        <f aca="false">'Raw Data'!C956</f>
        <v>Redmond</v>
      </c>
      <c r="B956" s="5" t="n">
        <f aca="false">'Raw Data'!A956</f>
        <v>40358</v>
      </c>
      <c r="C956" s="6" t="n">
        <f aca="false">'Raw Data'!D956</f>
        <v>926.092564186742</v>
      </c>
      <c r="D956" s="6" t="n">
        <f aca="false">'Raw Data'!E956</f>
        <v>3.268571429</v>
      </c>
      <c r="E956" s="6" t="n">
        <f aca="false">'Raw Data'!F956</f>
        <v>1</v>
      </c>
      <c r="F956" s="6" t="n">
        <f aca="false">'Raw Data'!G956</f>
        <v>1</v>
      </c>
      <c r="G956" s="6" t="n">
        <f aca="false">'Raw Data'!H956</f>
        <v>1</v>
      </c>
      <c r="H956" s="6" t="n">
        <f aca="false">'Raw Data'!I956</f>
        <v>1</v>
      </c>
      <c r="I956" s="6" t="n">
        <f aca="false">'Raw Data'!J956</f>
        <v>0</v>
      </c>
      <c r="J956" s="6" t="n">
        <f aca="false">'Raw Data'!K956</f>
        <v>2</v>
      </c>
      <c r="K956" s="6" t="n">
        <f aca="false">'Raw Data'!L956</f>
        <v>3</v>
      </c>
      <c r="L956" s="6" t="n">
        <f aca="false">F956*E956</f>
        <v>1</v>
      </c>
      <c r="N956" s="0" t="n">
        <v>1</v>
      </c>
      <c r="O956" s="6" t="n">
        <f aca="false">D956</f>
        <v>3.268571429</v>
      </c>
      <c r="P956" s="6" t="n">
        <f aca="false">E956</f>
        <v>1</v>
      </c>
      <c r="Q956" s="6" t="n">
        <f aca="false">F956</f>
        <v>1</v>
      </c>
      <c r="R956" s="6" t="n">
        <f aca="false">G956</f>
        <v>1</v>
      </c>
      <c r="S956" s="6" t="n">
        <f aca="false">H956</f>
        <v>1</v>
      </c>
      <c r="T956" s="6" t="n">
        <f aca="false">I956</f>
        <v>0</v>
      </c>
      <c r="U956" s="6" t="n">
        <f aca="false">L956</f>
        <v>1</v>
      </c>
      <c r="W956" s="6" t="n">
        <f aca="false">D956</f>
        <v>3.268571429</v>
      </c>
      <c r="X956" s="6" t="n">
        <f aca="false">E956</f>
        <v>1</v>
      </c>
      <c r="Y956" s="6" t="n">
        <f aca="false">F956</f>
        <v>1</v>
      </c>
      <c r="Z956" s="6" t="n">
        <f aca="false">L956</f>
        <v>1</v>
      </c>
      <c r="AA956" s="6" t="n">
        <f aca="false">G956</f>
        <v>1</v>
      </c>
      <c r="AC956" s="6" t="n">
        <f aca="false">D956</f>
        <v>3.268571429</v>
      </c>
      <c r="AD956" s="6" t="n">
        <f aca="false">E956</f>
        <v>1</v>
      </c>
      <c r="AE956" s="6" t="n">
        <f aca="false">G956</f>
        <v>1</v>
      </c>
      <c r="AF956" s="6" t="n">
        <f aca="false">H956</f>
        <v>1</v>
      </c>
      <c r="AG956" s="6" t="n">
        <f aca="false">I956</f>
        <v>0</v>
      </c>
      <c r="AH956" s="6" t="n">
        <f aca="false">L956</f>
        <v>1</v>
      </c>
    </row>
    <row r="957" customFormat="false" ht="15" hidden="false" customHeight="false" outlineLevel="0" collapsed="false">
      <c r="A957" s="0" t="str">
        <f aca="false">'Raw Data'!C957</f>
        <v>Redmond</v>
      </c>
      <c r="B957" s="5" t="n">
        <f aca="false">'Raw Data'!A957</f>
        <v>40365</v>
      </c>
      <c r="C957" s="6" t="n">
        <f aca="false">'Raw Data'!D957</f>
        <v>787.333396864992</v>
      </c>
      <c r="D957" s="6" t="n">
        <f aca="false">'Raw Data'!E957</f>
        <v>3.364666667</v>
      </c>
      <c r="E957" s="6" t="n">
        <f aca="false">'Raw Data'!F957</f>
        <v>1</v>
      </c>
      <c r="F957" s="6" t="n">
        <f aca="false">'Raw Data'!G957</f>
        <v>1</v>
      </c>
      <c r="G957" s="6" t="n">
        <f aca="false">'Raw Data'!H957</f>
        <v>0</v>
      </c>
      <c r="H957" s="6" t="n">
        <f aca="false">'Raw Data'!I957</f>
        <v>1</v>
      </c>
      <c r="I957" s="6" t="n">
        <f aca="false">'Raw Data'!J957</f>
        <v>0</v>
      </c>
      <c r="J957" s="6" t="n">
        <f aca="false">'Raw Data'!K957</f>
        <v>2</v>
      </c>
      <c r="K957" s="6" t="n">
        <f aca="false">'Raw Data'!L957</f>
        <v>3</v>
      </c>
      <c r="L957" s="6" t="n">
        <f aca="false">F957*E957</f>
        <v>1</v>
      </c>
      <c r="N957" s="0" t="n">
        <v>1</v>
      </c>
      <c r="O957" s="6" t="n">
        <f aca="false">D957</f>
        <v>3.364666667</v>
      </c>
      <c r="P957" s="6" t="n">
        <f aca="false">E957</f>
        <v>1</v>
      </c>
      <c r="Q957" s="6" t="n">
        <f aca="false">F957</f>
        <v>1</v>
      </c>
      <c r="R957" s="6" t="n">
        <f aca="false">G957</f>
        <v>0</v>
      </c>
      <c r="S957" s="6" t="n">
        <f aca="false">H957</f>
        <v>1</v>
      </c>
      <c r="T957" s="6" t="n">
        <f aca="false">I957</f>
        <v>0</v>
      </c>
      <c r="U957" s="6" t="n">
        <f aca="false">L957</f>
        <v>1</v>
      </c>
      <c r="W957" s="6" t="n">
        <f aca="false">D957</f>
        <v>3.364666667</v>
      </c>
      <c r="X957" s="6" t="n">
        <f aca="false">E957</f>
        <v>1</v>
      </c>
      <c r="Y957" s="6" t="n">
        <f aca="false">F957</f>
        <v>1</v>
      </c>
      <c r="Z957" s="6" t="n">
        <f aca="false">L957</f>
        <v>1</v>
      </c>
      <c r="AA957" s="6" t="n">
        <f aca="false">G957</f>
        <v>0</v>
      </c>
      <c r="AC957" s="6" t="n">
        <f aca="false">D957</f>
        <v>3.364666667</v>
      </c>
      <c r="AD957" s="6" t="n">
        <f aca="false">E957</f>
        <v>1</v>
      </c>
      <c r="AE957" s="6" t="n">
        <f aca="false">G957</f>
        <v>0</v>
      </c>
      <c r="AF957" s="6" t="n">
        <f aca="false">H957</f>
        <v>1</v>
      </c>
      <c r="AG957" s="6" t="n">
        <f aca="false">I957</f>
        <v>0</v>
      </c>
      <c r="AH957" s="6" t="n">
        <f aca="false">L957</f>
        <v>1</v>
      </c>
    </row>
    <row r="958" customFormat="false" ht="15" hidden="false" customHeight="false" outlineLevel="0" collapsed="false">
      <c r="A958" s="0" t="str">
        <f aca="false">'Raw Data'!C958</f>
        <v>Redmond</v>
      </c>
      <c r="B958" s="5" t="n">
        <f aca="false">'Raw Data'!A958</f>
        <v>40372</v>
      </c>
      <c r="C958" s="6" t="n">
        <f aca="false">'Raw Data'!D958</f>
        <v>784.792119312042</v>
      </c>
      <c r="D958" s="6" t="n">
        <f aca="false">'Raw Data'!E958</f>
        <v>3.364666667</v>
      </c>
      <c r="E958" s="6" t="n">
        <f aca="false">'Raw Data'!F958</f>
        <v>1</v>
      </c>
      <c r="F958" s="6" t="n">
        <f aca="false">'Raw Data'!G958</f>
        <v>1</v>
      </c>
      <c r="G958" s="6" t="n">
        <f aca="false">'Raw Data'!H958</f>
        <v>0</v>
      </c>
      <c r="H958" s="6" t="n">
        <f aca="false">'Raw Data'!I958</f>
        <v>1</v>
      </c>
      <c r="I958" s="6" t="n">
        <f aca="false">'Raw Data'!J958</f>
        <v>0</v>
      </c>
      <c r="J958" s="6" t="n">
        <f aca="false">'Raw Data'!K958</f>
        <v>2</v>
      </c>
      <c r="K958" s="6" t="n">
        <f aca="false">'Raw Data'!L958</f>
        <v>3</v>
      </c>
      <c r="L958" s="6" t="n">
        <f aca="false">F958*E958</f>
        <v>1</v>
      </c>
      <c r="N958" s="0" t="n">
        <v>1</v>
      </c>
      <c r="O958" s="6" t="n">
        <f aca="false">D958</f>
        <v>3.364666667</v>
      </c>
      <c r="P958" s="6" t="n">
        <f aca="false">E958</f>
        <v>1</v>
      </c>
      <c r="Q958" s="6" t="n">
        <f aca="false">F958</f>
        <v>1</v>
      </c>
      <c r="R958" s="6" t="n">
        <f aca="false">G958</f>
        <v>0</v>
      </c>
      <c r="S958" s="6" t="n">
        <f aca="false">H958</f>
        <v>1</v>
      </c>
      <c r="T958" s="6" t="n">
        <f aca="false">I958</f>
        <v>0</v>
      </c>
      <c r="U958" s="6" t="n">
        <f aca="false">L958</f>
        <v>1</v>
      </c>
      <c r="W958" s="6" t="n">
        <f aca="false">D958</f>
        <v>3.364666667</v>
      </c>
      <c r="X958" s="6" t="n">
        <f aca="false">E958</f>
        <v>1</v>
      </c>
      <c r="Y958" s="6" t="n">
        <f aca="false">F958</f>
        <v>1</v>
      </c>
      <c r="Z958" s="6" t="n">
        <f aca="false">L958</f>
        <v>1</v>
      </c>
      <c r="AA958" s="6" t="n">
        <f aca="false">G958</f>
        <v>0</v>
      </c>
      <c r="AC958" s="6" t="n">
        <f aca="false">D958</f>
        <v>3.364666667</v>
      </c>
      <c r="AD958" s="6" t="n">
        <f aca="false">E958</f>
        <v>1</v>
      </c>
      <c r="AE958" s="6" t="n">
        <f aca="false">G958</f>
        <v>0</v>
      </c>
      <c r="AF958" s="6" t="n">
        <f aca="false">H958</f>
        <v>1</v>
      </c>
      <c r="AG958" s="6" t="n">
        <f aca="false">I958</f>
        <v>0</v>
      </c>
      <c r="AH958" s="6" t="n">
        <f aca="false">L958</f>
        <v>1</v>
      </c>
    </row>
    <row r="959" customFormat="false" ht="15" hidden="false" customHeight="false" outlineLevel="0" collapsed="false">
      <c r="A959" s="0" t="str">
        <f aca="false">'Raw Data'!C959</f>
        <v>Roosevelt Square</v>
      </c>
      <c r="B959" s="5" t="n">
        <f aca="false">'Raw Data'!A959</f>
        <v>40302</v>
      </c>
      <c r="C959" s="6" t="n">
        <f aca="false">'Raw Data'!D959</f>
        <v>304.47157961705</v>
      </c>
      <c r="D959" s="6" t="n">
        <f aca="false">'Raw Data'!E959</f>
        <v>4.523333333</v>
      </c>
      <c r="E959" s="6" t="n">
        <f aca="false">'Raw Data'!F959</f>
        <v>1</v>
      </c>
      <c r="F959" s="6" t="n">
        <f aca="false">'Raw Data'!G959</f>
        <v>0</v>
      </c>
      <c r="G959" s="6" t="n">
        <f aca="false">'Raw Data'!H959</f>
        <v>0</v>
      </c>
      <c r="H959" s="6" t="n">
        <f aca="false">'Raw Data'!I959</f>
        <v>0</v>
      </c>
      <c r="I959" s="6" t="n">
        <f aca="false">'Raw Data'!J959</f>
        <v>1</v>
      </c>
      <c r="J959" s="6" t="n">
        <f aca="false">'Raw Data'!K959</f>
        <v>3</v>
      </c>
      <c r="K959" s="6" t="n">
        <f aca="false">'Raw Data'!L959</f>
        <v>2</v>
      </c>
      <c r="L959" s="6" t="n">
        <f aca="false">F959*E959</f>
        <v>0</v>
      </c>
      <c r="N959" s="0" t="n">
        <v>1</v>
      </c>
      <c r="O959" s="6" t="n">
        <f aca="false">D959</f>
        <v>4.523333333</v>
      </c>
      <c r="P959" s="6" t="n">
        <f aca="false">E959</f>
        <v>1</v>
      </c>
      <c r="Q959" s="6" t="n">
        <f aca="false">F959</f>
        <v>0</v>
      </c>
      <c r="R959" s="6" t="n">
        <f aca="false">G959</f>
        <v>0</v>
      </c>
      <c r="S959" s="6" t="n">
        <f aca="false">H959</f>
        <v>0</v>
      </c>
      <c r="T959" s="6" t="n">
        <f aca="false">I959</f>
        <v>1</v>
      </c>
      <c r="U959" s="6" t="n">
        <f aca="false">L959</f>
        <v>0</v>
      </c>
      <c r="W959" s="6" t="n">
        <f aca="false">D959</f>
        <v>4.523333333</v>
      </c>
      <c r="X959" s="6" t="n">
        <f aca="false">E959</f>
        <v>1</v>
      </c>
      <c r="Y959" s="6" t="n">
        <f aca="false">F959</f>
        <v>0</v>
      </c>
      <c r="Z959" s="6" t="n">
        <f aca="false">L959</f>
        <v>0</v>
      </c>
      <c r="AA959" s="6" t="n">
        <f aca="false">G959</f>
        <v>0</v>
      </c>
      <c r="AC959" s="6" t="n">
        <f aca="false">D959</f>
        <v>4.523333333</v>
      </c>
      <c r="AD959" s="6" t="n">
        <f aca="false">E959</f>
        <v>1</v>
      </c>
      <c r="AE959" s="6" t="n">
        <f aca="false">G959</f>
        <v>0</v>
      </c>
      <c r="AF959" s="6" t="n">
        <f aca="false">H959</f>
        <v>0</v>
      </c>
      <c r="AG959" s="6" t="n">
        <f aca="false">I959</f>
        <v>1</v>
      </c>
      <c r="AH959" s="6" t="n">
        <f aca="false">L959</f>
        <v>0</v>
      </c>
    </row>
    <row r="960" customFormat="false" ht="15" hidden="false" customHeight="false" outlineLevel="0" collapsed="false">
      <c r="A960" s="0" t="str">
        <f aca="false">'Raw Data'!C960</f>
        <v>Roosevelt Square</v>
      </c>
      <c r="B960" s="5" t="n">
        <f aca="false">'Raw Data'!A960</f>
        <v>40309</v>
      </c>
      <c r="C960" s="6" t="n">
        <f aca="false">'Raw Data'!D960</f>
        <v>300.727119527702</v>
      </c>
      <c r="D960" s="6" t="n">
        <f aca="false">'Raw Data'!E960</f>
        <v>4.49</v>
      </c>
      <c r="E960" s="6" t="n">
        <f aca="false">'Raw Data'!F960</f>
        <v>1</v>
      </c>
      <c r="F960" s="6" t="n">
        <f aca="false">'Raw Data'!G960</f>
        <v>0</v>
      </c>
      <c r="G960" s="6" t="n">
        <f aca="false">'Raw Data'!H960</f>
        <v>0</v>
      </c>
      <c r="H960" s="6" t="n">
        <f aca="false">'Raw Data'!I960</f>
        <v>0</v>
      </c>
      <c r="I960" s="6" t="n">
        <f aca="false">'Raw Data'!J960</f>
        <v>1</v>
      </c>
      <c r="J960" s="6" t="n">
        <f aca="false">'Raw Data'!K960</f>
        <v>3</v>
      </c>
      <c r="K960" s="6" t="n">
        <f aca="false">'Raw Data'!L960</f>
        <v>2</v>
      </c>
      <c r="L960" s="6" t="n">
        <f aca="false">F960*E960</f>
        <v>0</v>
      </c>
      <c r="N960" s="0" t="n">
        <v>1</v>
      </c>
      <c r="O960" s="6" t="n">
        <f aca="false">D960</f>
        <v>4.49</v>
      </c>
      <c r="P960" s="6" t="n">
        <f aca="false">E960</f>
        <v>1</v>
      </c>
      <c r="Q960" s="6" t="n">
        <f aca="false">F960</f>
        <v>0</v>
      </c>
      <c r="R960" s="6" t="n">
        <f aca="false">G960</f>
        <v>0</v>
      </c>
      <c r="S960" s="6" t="n">
        <f aca="false">H960</f>
        <v>0</v>
      </c>
      <c r="T960" s="6" t="n">
        <f aca="false">I960</f>
        <v>1</v>
      </c>
      <c r="U960" s="6" t="n">
        <f aca="false">L960</f>
        <v>0</v>
      </c>
      <c r="W960" s="6" t="n">
        <f aca="false">D960</f>
        <v>4.49</v>
      </c>
      <c r="X960" s="6" t="n">
        <f aca="false">E960</f>
        <v>1</v>
      </c>
      <c r="Y960" s="6" t="n">
        <f aca="false">F960</f>
        <v>0</v>
      </c>
      <c r="Z960" s="6" t="n">
        <f aca="false">L960</f>
        <v>0</v>
      </c>
      <c r="AA960" s="6" t="n">
        <f aca="false">G960</f>
        <v>0</v>
      </c>
      <c r="AC960" s="6" t="n">
        <f aca="false">D960</f>
        <v>4.49</v>
      </c>
      <c r="AD960" s="6" t="n">
        <f aca="false">E960</f>
        <v>1</v>
      </c>
      <c r="AE960" s="6" t="n">
        <f aca="false">G960</f>
        <v>0</v>
      </c>
      <c r="AF960" s="6" t="n">
        <f aca="false">H960</f>
        <v>0</v>
      </c>
      <c r="AG960" s="6" t="n">
        <f aca="false">I960</f>
        <v>1</v>
      </c>
      <c r="AH960" s="6" t="n">
        <f aca="false">L960</f>
        <v>0</v>
      </c>
    </row>
    <row r="961" customFormat="false" ht="15" hidden="false" customHeight="false" outlineLevel="0" collapsed="false">
      <c r="A961" s="0" t="str">
        <f aca="false">'Raw Data'!C961</f>
        <v>Roosevelt Square</v>
      </c>
      <c r="B961" s="5" t="n">
        <f aca="false">'Raw Data'!A961</f>
        <v>40316</v>
      </c>
      <c r="C961" s="6" t="n">
        <f aca="false">'Raw Data'!D961</f>
        <v>222.53229532884</v>
      </c>
      <c r="D961" s="6" t="n">
        <f aca="false">'Raw Data'!E961</f>
        <v>4.413076923</v>
      </c>
      <c r="E961" s="6" t="n">
        <f aca="false">'Raw Data'!F961</f>
        <v>1</v>
      </c>
      <c r="F961" s="6" t="n">
        <f aca="false">'Raw Data'!G961</f>
        <v>0</v>
      </c>
      <c r="G961" s="6" t="n">
        <f aca="false">'Raw Data'!H961</f>
        <v>0</v>
      </c>
      <c r="H961" s="6" t="n">
        <f aca="false">'Raw Data'!I961</f>
        <v>0</v>
      </c>
      <c r="I961" s="6" t="n">
        <f aca="false">'Raw Data'!J961</f>
        <v>0</v>
      </c>
      <c r="J961" s="6" t="n">
        <f aca="false">'Raw Data'!K961</f>
        <v>3</v>
      </c>
      <c r="K961" s="6" t="n">
        <f aca="false">'Raw Data'!L961</f>
        <v>2</v>
      </c>
      <c r="L961" s="6" t="n">
        <f aca="false">F961*E961</f>
        <v>0</v>
      </c>
      <c r="N961" s="0" t="n">
        <v>1</v>
      </c>
      <c r="O961" s="6" t="n">
        <f aca="false">D961</f>
        <v>4.413076923</v>
      </c>
      <c r="P961" s="6" t="n">
        <f aca="false">E961</f>
        <v>1</v>
      </c>
      <c r="Q961" s="6" t="n">
        <f aca="false">F961</f>
        <v>0</v>
      </c>
      <c r="R961" s="6" t="n">
        <f aca="false">G961</f>
        <v>0</v>
      </c>
      <c r="S961" s="6" t="n">
        <f aca="false">H961</f>
        <v>0</v>
      </c>
      <c r="T961" s="6" t="n">
        <f aca="false">I961</f>
        <v>0</v>
      </c>
      <c r="U961" s="6" t="n">
        <f aca="false">L961</f>
        <v>0</v>
      </c>
      <c r="W961" s="6" t="n">
        <f aca="false">D961</f>
        <v>4.413076923</v>
      </c>
      <c r="X961" s="6" t="n">
        <f aca="false">E961</f>
        <v>1</v>
      </c>
      <c r="Y961" s="6" t="n">
        <f aca="false">F961</f>
        <v>0</v>
      </c>
      <c r="Z961" s="6" t="n">
        <f aca="false">L961</f>
        <v>0</v>
      </c>
      <c r="AA961" s="6" t="n">
        <f aca="false">G961</f>
        <v>0</v>
      </c>
      <c r="AC961" s="6" t="n">
        <f aca="false">D961</f>
        <v>4.413076923</v>
      </c>
      <c r="AD961" s="6" t="n">
        <f aca="false">E961</f>
        <v>1</v>
      </c>
      <c r="AE961" s="6" t="n">
        <f aca="false">G961</f>
        <v>0</v>
      </c>
      <c r="AF961" s="6" t="n">
        <f aca="false">H961</f>
        <v>0</v>
      </c>
      <c r="AG961" s="6" t="n">
        <f aca="false">I961</f>
        <v>0</v>
      </c>
      <c r="AH961" s="6" t="n">
        <f aca="false">L961</f>
        <v>0</v>
      </c>
    </row>
    <row r="962" customFormat="false" ht="15" hidden="false" customHeight="false" outlineLevel="0" collapsed="false">
      <c r="A962" s="0" t="str">
        <f aca="false">'Raw Data'!C962</f>
        <v>Roosevelt Square</v>
      </c>
      <c r="B962" s="5" t="n">
        <f aca="false">'Raw Data'!A962</f>
        <v>40323</v>
      </c>
      <c r="C962" s="6" t="n">
        <f aca="false">'Raw Data'!D962</f>
        <v>189.401626003676</v>
      </c>
      <c r="D962" s="6" t="n">
        <f aca="false">'Raw Data'!E962</f>
        <v>4.413076923</v>
      </c>
      <c r="E962" s="6" t="n">
        <f aca="false">'Raw Data'!F962</f>
        <v>1</v>
      </c>
      <c r="F962" s="6" t="n">
        <f aca="false">'Raw Data'!G962</f>
        <v>0</v>
      </c>
      <c r="G962" s="6" t="n">
        <f aca="false">'Raw Data'!H962</f>
        <v>0</v>
      </c>
      <c r="H962" s="6" t="n">
        <f aca="false">'Raw Data'!I962</f>
        <v>0</v>
      </c>
      <c r="I962" s="6" t="n">
        <f aca="false">'Raw Data'!J962</f>
        <v>0</v>
      </c>
      <c r="J962" s="6" t="n">
        <f aca="false">'Raw Data'!K962</f>
        <v>3</v>
      </c>
      <c r="K962" s="6" t="n">
        <f aca="false">'Raw Data'!L962</f>
        <v>2</v>
      </c>
      <c r="L962" s="6" t="n">
        <f aca="false">F962*E962</f>
        <v>0</v>
      </c>
      <c r="N962" s="0" t="n">
        <v>1</v>
      </c>
      <c r="O962" s="6" t="n">
        <f aca="false">D962</f>
        <v>4.413076923</v>
      </c>
      <c r="P962" s="6" t="n">
        <f aca="false">E962</f>
        <v>1</v>
      </c>
      <c r="Q962" s="6" t="n">
        <f aca="false">F962</f>
        <v>0</v>
      </c>
      <c r="R962" s="6" t="n">
        <f aca="false">G962</f>
        <v>0</v>
      </c>
      <c r="S962" s="6" t="n">
        <f aca="false">H962</f>
        <v>0</v>
      </c>
      <c r="T962" s="6" t="n">
        <f aca="false">I962</f>
        <v>0</v>
      </c>
      <c r="U962" s="6" t="n">
        <f aca="false">L962</f>
        <v>0</v>
      </c>
      <c r="W962" s="6" t="n">
        <f aca="false">D962</f>
        <v>4.413076923</v>
      </c>
      <c r="X962" s="6" t="n">
        <f aca="false">E962</f>
        <v>1</v>
      </c>
      <c r="Y962" s="6" t="n">
        <f aca="false">F962</f>
        <v>0</v>
      </c>
      <c r="Z962" s="6" t="n">
        <f aca="false">L962</f>
        <v>0</v>
      </c>
      <c r="AA962" s="6" t="n">
        <f aca="false">G962</f>
        <v>0</v>
      </c>
      <c r="AC962" s="6" t="n">
        <f aca="false">D962</f>
        <v>4.413076923</v>
      </c>
      <c r="AD962" s="6" t="n">
        <f aca="false">E962</f>
        <v>1</v>
      </c>
      <c r="AE962" s="6" t="n">
        <f aca="false">G962</f>
        <v>0</v>
      </c>
      <c r="AF962" s="6" t="n">
        <f aca="false">H962</f>
        <v>0</v>
      </c>
      <c r="AG962" s="6" t="n">
        <f aca="false">I962</f>
        <v>0</v>
      </c>
      <c r="AH962" s="6" t="n">
        <f aca="false">L962</f>
        <v>0</v>
      </c>
    </row>
    <row r="963" customFormat="false" ht="15" hidden="false" customHeight="false" outlineLevel="0" collapsed="false">
      <c r="A963" s="0" t="str">
        <f aca="false">'Raw Data'!C963</f>
        <v>Roosevelt Square</v>
      </c>
      <c r="B963" s="5" t="n">
        <f aca="false">'Raw Data'!A963</f>
        <v>40330</v>
      </c>
      <c r="C963" s="6" t="n">
        <f aca="false">'Raw Data'!D963</f>
        <v>207.184555334501</v>
      </c>
      <c r="D963" s="6" t="n">
        <f aca="false">'Raw Data'!E963</f>
        <v>4.196666667</v>
      </c>
      <c r="E963" s="6" t="n">
        <f aca="false">'Raw Data'!F963</f>
        <v>1</v>
      </c>
      <c r="F963" s="6" t="n">
        <f aca="false">'Raw Data'!G963</f>
        <v>0</v>
      </c>
      <c r="G963" s="6" t="n">
        <f aca="false">'Raw Data'!H963</f>
        <v>0</v>
      </c>
      <c r="H963" s="6" t="n">
        <f aca="false">'Raw Data'!I963</f>
        <v>0</v>
      </c>
      <c r="I963" s="6" t="n">
        <f aca="false">'Raw Data'!J963</f>
        <v>0</v>
      </c>
      <c r="J963" s="6" t="n">
        <f aca="false">'Raw Data'!K963</f>
        <v>3</v>
      </c>
      <c r="K963" s="6" t="n">
        <f aca="false">'Raw Data'!L963</f>
        <v>2</v>
      </c>
      <c r="L963" s="6" t="n">
        <f aca="false">F963*E963</f>
        <v>0</v>
      </c>
      <c r="N963" s="0" t="n">
        <v>1</v>
      </c>
      <c r="O963" s="6" t="n">
        <f aca="false">D963</f>
        <v>4.196666667</v>
      </c>
      <c r="P963" s="6" t="n">
        <f aca="false">E963</f>
        <v>1</v>
      </c>
      <c r="Q963" s="6" t="n">
        <f aca="false">F963</f>
        <v>0</v>
      </c>
      <c r="R963" s="6" t="n">
        <f aca="false">G963</f>
        <v>0</v>
      </c>
      <c r="S963" s="6" t="n">
        <f aca="false">H963</f>
        <v>0</v>
      </c>
      <c r="T963" s="6" t="n">
        <f aca="false">I963</f>
        <v>0</v>
      </c>
      <c r="U963" s="6" t="n">
        <f aca="false">L963</f>
        <v>0</v>
      </c>
      <c r="W963" s="6" t="n">
        <f aca="false">D963</f>
        <v>4.196666667</v>
      </c>
      <c r="X963" s="6" t="n">
        <f aca="false">E963</f>
        <v>1</v>
      </c>
      <c r="Y963" s="6" t="n">
        <f aca="false">F963</f>
        <v>0</v>
      </c>
      <c r="Z963" s="6" t="n">
        <f aca="false">L963</f>
        <v>0</v>
      </c>
      <c r="AA963" s="6" t="n">
        <f aca="false">G963</f>
        <v>0</v>
      </c>
      <c r="AC963" s="6" t="n">
        <f aca="false">D963</f>
        <v>4.196666667</v>
      </c>
      <c r="AD963" s="6" t="n">
        <f aca="false">E963</f>
        <v>1</v>
      </c>
      <c r="AE963" s="6" t="n">
        <f aca="false">G963</f>
        <v>0</v>
      </c>
      <c r="AF963" s="6" t="n">
        <f aca="false">H963</f>
        <v>0</v>
      </c>
      <c r="AG963" s="6" t="n">
        <f aca="false">I963</f>
        <v>0</v>
      </c>
      <c r="AH963" s="6" t="n">
        <f aca="false">L963</f>
        <v>0</v>
      </c>
    </row>
    <row r="964" customFormat="false" ht="15" hidden="false" customHeight="false" outlineLevel="0" collapsed="false">
      <c r="A964" s="0" t="str">
        <f aca="false">'Raw Data'!C964</f>
        <v>Roosevelt Square</v>
      </c>
      <c r="B964" s="5" t="n">
        <f aca="false">'Raw Data'!A964</f>
        <v>40337</v>
      </c>
      <c r="C964" s="6" t="n">
        <f aca="false">'Raw Data'!D964</f>
        <v>273.184067612758</v>
      </c>
      <c r="D964" s="6" t="n">
        <f aca="false">'Raw Data'!E964</f>
        <v>4.4525</v>
      </c>
      <c r="E964" s="6" t="n">
        <f aca="false">'Raw Data'!F964</f>
        <v>1</v>
      </c>
      <c r="F964" s="6" t="n">
        <f aca="false">'Raw Data'!G964</f>
        <v>0</v>
      </c>
      <c r="G964" s="6" t="n">
        <f aca="false">'Raw Data'!H964</f>
        <v>0</v>
      </c>
      <c r="H964" s="6" t="n">
        <f aca="false">'Raw Data'!I964</f>
        <v>0</v>
      </c>
      <c r="I964" s="6" t="n">
        <f aca="false">'Raw Data'!J964</f>
        <v>0</v>
      </c>
      <c r="J964" s="6" t="n">
        <f aca="false">'Raw Data'!K964</f>
        <v>3</v>
      </c>
      <c r="K964" s="6" t="n">
        <f aca="false">'Raw Data'!L964</f>
        <v>2</v>
      </c>
      <c r="L964" s="6" t="n">
        <f aca="false">F964*E964</f>
        <v>0</v>
      </c>
      <c r="N964" s="0" t="n">
        <v>1</v>
      </c>
      <c r="O964" s="6" t="n">
        <f aca="false">D964</f>
        <v>4.4525</v>
      </c>
      <c r="P964" s="6" t="n">
        <f aca="false">E964</f>
        <v>1</v>
      </c>
      <c r="Q964" s="6" t="n">
        <f aca="false">F964</f>
        <v>0</v>
      </c>
      <c r="R964" s="6" t="n">
        <f aca="false">G964</f>
        <v>0</v>
      </c>
      <c r="S964" s="6" t="n">
        <f aca="false">H964</f>
        <v>0</v>
      </c>
      <c r="T964" s="6" t="n">
        <f aca="false">I964</f>
        <v>0</v>
      </c>
      <c r="U964" s="6" t="n">
        <f aca="false">L964</f>
        <v>0</v>
      </c>
      <c r="W964" s="6" t="n">
        <f aca="false">D964</f>
        <v>4.4525</v>
      </c>
      <c r="X964" s="6" t="n">
        <f aca="false">E964</f>
        <v>1</v>
      </c>
      <c r="Y964" s="6" t="n">
        <f aca="false">F964</f>
        <v>0</v>
      </c>
      <c r="Z964" s="6" t="n">
        <f aca="false">L964</f>
        <v>0</v>
      </c>
      <c r="AA964" s="6" t="n">
        <f aca="false">G964</f>
        <v>0</v>
      </c>
      <c r="AC964" s="6" t="n">
        <f aca="false">D964</f>
        <v>4.4525</v>
      </c>
      <c r="AD964" s="6" t="n">
        <f aca="false">E964</f>
        <v>1</v>
      </c>
      <c r="AE964" s="6" t="n">
        <f aca="false">G964</f>
        <v>0</v>
      </c>
      <c r="AF964" s="6" t="n">
        <f aca="false">H964</f>
        <v>0</v>
      </c>
      <c r="AG964" s="6" t="n">
        <f aca="false">I964</f>
        <v>0</v>
      </c>
      <c r="AH964" s="6" t="n">
        <f aca="false">L964</f>
        <v>0</v>
      </c>
    </row>
    <row r="965" customFormat="false" ht="15" hidden="false" customHeight="false" outlineLevel="0" collapsed="false">
      <c r="A965" s="0" t="str">
        <f aca="false">'Raw Data'!C965</f>
        <v>Roosevelt Square</v>
      </c>
      <c r="B965" s="5" t="n">
        <f aca="false">'Raw Data'!A965</f>
        <v>40344</v>
      </c>
      <c r="C965" s="6" t="n">
        <f aca="false">'Raw Data'!D965</f>
        <v>130.910080700394</v>
      </c>
      <c r="D965" s="6" t="n">
        <f aca="false">'Raw Data'!E965</f>
        <v>4.4525</v>
      </c>
      <c r="E965" s="6" t="n">
        <f aca="false">'Raw Data'!F965</f>
        <v>1</v>
      </c>
      <c r="F965" s="6" t="n">
        <f aca="false">'Raw Data'!G965</f>
        <v>0</v>
      </c>
      <c r="G965" s="6" t="n">
        <f aca="false">'Raw Data'!H965</f>
        <v>0</v>
      </c>
      <c r="H965" s="6" t="n">
        <f aca="false">'Raw Data'!I965</f>
        <v>0</v>
      </c>
      <c r="I965" s="6" t="n">
        <f aca="false">'Raw Data'!J965</f>
        <v>0</v>
      </c>
      <c r="J965" s="6" t="n">
        <f aca="false">'Raw Data'!K965</f>
        <v>3</v>
      </c>
      <c r="K965" s="6" t="n">
        <f aca="false">'Raw Data'!L965</f>
        <v>2</v>
      </c>
      <c r="L965" s="6" t="n">
        <f aca="false">F965*E965</f>
        <v>0</v>
      </c>
      <c r="N965" s="0" t="n">
        <v>1</v>
      </c>
      <c r="O965" s="6" t="n">
        <f aca="false">D965</f>
        <v>4.4525</v>
      </c>
      <c r="P965" s="6" t="n">
        <f aca="false">E965</f>
        <v>1</v>
      </c>
      <c r="Q965" s="6" t="n">
        <f aca="false">F965</f>
        <v>0</v>
      </c>
      <c r="R965" s="6" t="n">
        <f aca="false">G965</f>
        <v>0</v>
      </c>
      <c r="S965" s="6" t="n">
        <f aca="false">H965</f>
        <v>0</v>
      </c>
      <c r="T965" s="6" t="n">
        <f aca="false">I965</f>
        <v>0</v>
      </c>
      <c r="U965" s="6" t="n">
        <f aca="false">L965</f>
        <v>0</v>
      </c>
      <c r="W965" s="6" t="n">
        <f aca="false">D965</f>
        <v>4.4525</v>
      </c>
      <c r="X965" s="6" t="n">
        <f aca="false">E965</f>
        <v>1</v>
      </c>
      <c r="Y965" s="6" t="n">
        <f aca="false">F965</f>
        <v>0</v>
      </c>
      <c r="Z965" s="6" t="n">
        <f aca="false">L965</f>
        <v>0</v>
      </c>
      <c r="AA965" s="6" t="n">
        <f aca="false">G965</f>
        <v>0</v>
      </c>
      <c r="AC965" s="6" t="n">
        <f aca="false">D965</f>
        <v>4.4525</v>
      </c>
      <c r="AD965" s="6" t="n">
        <f aca="false">E965</f>
        <v>1</v>
      </c>
      <c r="AE965" s="6" t="n">
        <f aca="false">G965</f>
        <v>0</v>
      </c>
      <c r="AF965" s="6" t="n">
        <f aca="false">H965</f>
        <v>0</v>
      </c>
      <c r="AG965" s="6" t="n">
        <f aca="false">I965</f>
        <v>0</v>
      </c>
      <c r="AH965" s="6" t="n">
        <f aca="false">L965</f>
        <v>0</v>
      </c>
    </row>
    <row r="966" customFormat="false" ht="15" hidden="false" customHeight="false" outlineLevel="0" collapsed="false">
      <c r="A966" s="0" t="str">
        <f aca="false">'Raw Data'!C966</f>
        <v>Roosevelt Square</v>
      </c>
      <c r="B966" s="5" t="n">
        <f aca="false">'Raw Data'!A966</f>
        <v>40351</v>
      </c>
      <c r="C966" s="6" t="n">
        <f aca="false">'Raw Data'!D966</f>
        <v>824.636968368501</v>
      </c>
      <c r="D966" s="6" t="n">
        <f aca="false">'Raw Data'!E966</f>
        <v>4.343125</v>
      </c>
      <c r="E966" s="6" t="n">
        <f aca="false">'Raw Data'!F966</f>
        <v>1</v>
      </c>
      <c r="F966" s="6" t="n">
        <f aca="false">'Raw Data'!G966</f>
        <v>1</v>
      </c>
      <c r="G966" s="6" t="n">
        <f aca="false">'Raw Data'!H966</f>
        <v>1</v>
      </c>
      <c r="H966" s="6" t="n">
        <f aca="false">'Raw Data'!I966</f>
        <v>0</v>
      </c>
      <c r="I966" s="6" t="n">
        <f aca="false">'Raw Data'!J966</f>
        <v>0</v>
      </c>
      <c r="J966" s="6" t="n">
        <f aca="false">'Raw Data'!K966</f>
        <v>3</v>
      </c>
      <c r="K966" s="6" t="n">
        <f aca="false">'Raw Data'!L966</f>
        <v>2</v>
      </c>
      <c r="L966" s="6" t="n">
        <f aca="false">F966*E966</f>
        <v>1</v>
      </c>
      <c r="N966" s="0" t="n">
        <v>1</v>
      </c>
      <c r="O966" s="6" t="n">
        <f aca="false">D966</f>
        <v>4.343125</v>
      </c>
      <c r="P966" s="6" t="n">
        <f aca="false">E966</f>
        <v>1</v>
      </c>
      <c r="Q966" s="6" t="n">
        <f aca="false">F966</f>
        <v>1</v>
      </c>
      <c r="R966" s="6" t="n">
        <f aca="false">G966</f>
        <v>1</v>
      </c>
      <c r="S966" s="6" t="n">
        <f aca="false">H966</f>
        <v>0</v>
      </c>
      <c r="T966" s="6" t="n">
        <f aca="false">I966</f>
        <v>0</v>
      </c>
      <c r="U966" s="6" t="n">
        <f aca="false">L966</f>
        <v>1</v>
      </c>
      <c r="W966" s="6" t="n">
        <f aca="false">D966</f>
        <v>4.343125</v>
      </c>
      <c r="X966" s="6" t="n">
        <f aca="false">E966</f>
        <v>1</v>
      </c>
      <c r="Y966" s="6" t="n">
        <f aca="false">F966</f>
        <v>1</v>
      </c>
      <c r="Z966" s="6" t="n">
        <f aca="false">L966</f>
        <v>1</v>
      </c>
      <c r="AA966" s="6" t="n">
        <f aca="false">G966</f>
        <v>1</v>
      </c>
      <c r="AC966" s="6" t="n">
        <f aca="false">D966</f>
        <v>4.343125</v>
      </c>
      <c r="AD966" s="6" t="n">
        <f aca="false">E966</f>
        <v>1</v>
      </c>
      <c r="AE966" s="6" t="n">
        <f aca="false">G966</f>
        <v>1</v>
      </c>
      <c r="AF966" s="6" t="n">
        <f aca="false">H966</f>
        <v>0</v>
      </c>
      <c r="AG966" s="6" t="n">
        <f aca="false">I966</f>
        <v>0</v>
      </c>
      <c r="AH966" s="6" t="n">
        <f aca="false">L966</f>
        <v>1</v>
      </c>
    </row>
    <row r="967" customFormat="false" ht="15" hidden="false" customHeight="false" outlineLevel="0" collapsed="false">
      <c r="A967" s="0" t="str">
        <f aca="false">'Raw Data'!C967</f>
        <v>Roosevelt Square</v>
      </c>
      <c r="B967" s="5" t="n">
        <f aca="false">'Raw Data'!A967</f>
        <v>40358</v>
      </c>
      <c r="C967" s="6" t="n">
        <f aca="false">'Raw Data'!D967</f>
        <v>885.806704649906</v>
      </c>
      <c r="D967" s="6" t="n">
        <f aca="false">'Raw Data'!E967</f>
        <v>3.7275</v>
      </c>
      <c r="E967" s="6" t="n">
        <f aca="false">'Raw Data'!F967</f>
        <v>1</v>
      </c>
      <c r="F967" s="6" t="n">
        <f aca="false">'Raw Data'!G967</f>
        <v>1</v>
      </c>
      <c r="G967" s="6" t="n">
        <f aca="false">'Raw Data'!H967</f>
        <v>1</v>
      </c>
      <c r="H967" s="6" t="n">
        <f aca="false">'Raw Data'!I967</f>
        <v>1</v>
      </c>
      <c r="I967" s="6" t="n">
        <f aca="false">'Raw Data'!J967</f>
        <v>0</v>
      </c>
      <c r="J967" s="6" t="n">
        <f aca="false">'Raw Data'!K967</f>
        <v>3</v>
      </c>
      <c r="K967" s="6" t="n">
        <f aca="false">'Raw Data'!L967</f>
        <v>2</v>
      </c>
      <c r="L967" s="6" t="n">
        <f aca="false">F967*E967</f>
        <v>1</v>
      </c>
      <c r="N967" s="0" t="n">
        <v>1</v>
      </c>
      <c r="O967" s="6" t="n">
        <f aca="false">D967</f>
        <v>3.7275</v>
      </c>
      <c r="P967" s="6" t="n">
        <f aca="false">E967</f>
        <v>1</v>
      </c>
      <c r="Q967" s="6" t="n">
        <f aca="false">F967</f>
        <v>1</v>
      </c>
      <c r="R967" s="6" t="n">
        <f aca="false">G967</f>
        <v>1</v>
      </c>
      <c r="S967" s="6" t="n">
        <f aca="false">H967</f>
        <v>1</v>
      </c>
      <c r="T967" s="6" t="n">
        <f aca="false">I967</f>
        <v>0</v>
      </c>
      <c r="U967" s="6" t="n">
        <f aca="false">L967</f>
        <v>1</v>
      </c>
      <c r="W967" s="6" t="n">
        <f aca="false">D967</f>
        <v>3.7275</v>
      </c>
      <c r="X967" s="6" t="n">
        <f aca="false">E967</f>
        <v>1</v>
      </c>
      <c r="Y967" s="6" t="n">
        <f aca="false">F967</f>
        <v>1</v>
      </c>
      <c r="Z967" s="6" t="n">
        <f aca="false">L967</f>
        <v>1</v>
      </c>
      <c r="AA967" s="6" t="n">
        <f aca="false">G967</f>
        <v>1</v>
      </c>
      <c r="AC967" s="6" t="n">
        <f aca="false">D967</f>
        <v>3.7275</v>
      </c>
      <c r="AD967" s="6" t="n">
        <f aca="false">E967</f>
        <v>1</v>
      </c>
      <c r="AE967" s="6" t="n">
        <f aca="false">G967</f>
        <v>1</v>
      </c>
      <c r="AF967" s="6" t="n">
        <f aca="false">H967</f>
        <v>1</v>
      </c>
      <c r="AG967" s="6" t="n">
        <f aca="false">I967</f>
        <v>0</v>
      </c>
      <c r="AH967" s="6" t="n">
        <f aca="false">L967</f>
        <v>1</v>
      </c>
    </row>
    <row r="968" customFormat="false" ht="15" hidden="false" customHeight="false" outlineLevel="0" collapsed="false">
      <c r="A968" s="0" t="str">
        <f aca="false">'Raw Data'!C968</f>
        <v>Roosevelt Square</v>
      </c>
      <c r="B968" s="5" t="n">
        <f aca="false">'Raw Data'!A968</f>
        <v>40365</v>
      </c>
      <c r="C968" s="6" t="n">
        <f aca="false">'Raw Data'!D968</f>
        <v>703.002274240646</v>
      </c>
      <c r="D968" s="6" t="n">
        <f aca="false">'Raw Data'!E968</f>
        <v>3.713125</v>
      </c>
      <c r="E968" s="6" t="n">
        <f aca="false">'Raw Data'!F968</f>
        <v>1</v>
      </c>
      <c r="F968" s="6" t="n">
        <f aca="false">'Raw Data'!G968</f>
        <v>1</v>
      </c>
      <c r="G968" s="6" t="n">
        <f aca="false">'Raw Data'!H968</f>
        <v>0</v>
      </c>
      <c r="H968" s="6" t="n">
        <f aca="false">'Raw Data'!I968</f>
        <v>1</v>
      </c>
      <c r="I968" s="6" t="n">
        <f aca="false">'Raw Data'!J968</f>
        <v>0</v>
      </c>
      <c r="J968" s="6" t="n">
        <f aca="false">'Raw Data'!K968</f>
        <v>3</v>
      </c>
      <c r="K968" s="6" t="n">
        <f aca="false">'Raw Data'!L968</f>
        <v>2</v>
      </c>
      <c r="L968" s="6" t="n">
        <f aca="false">F968*E968</f>
        <v>1</v>
      </c>
      <c r="N968" s="0" t="n">
        <v>1</v>
      </c>
      <c r="O968" s="6" t="n">
        <f aca="false">D968</f>
        <v>3.713125</v>
      </c>
      <c r="P968" s="6" t="n">
        <f aca="false">E968</f>
        <v>1</v>
      </c>
      <c r="Q968" s="6" t="n">
        <f aca="false">F968</f>
        <v>1</v>
      </c>
      <c r="R968" s="6" t="n">
        <f aca="false">G968</f>
        <v>0</v>
      </c>
      <c r="S968" s="6" t="n">
        <f aca="false">H968</f>
        <v>1</v>
      </c>
      <c r="T968" s="6" t="n">
        <f aca="false">I968</f>
        <v>0</v>
      </c>
      <c r="U968" s="6" t="n">
        <f aca="false">L968</f>
        <v>1</v>
      </c>
      <c r="W968" s="6" t="n">
        <f aca="false">D968</f>
        <v>3.713125</v>
      </c>
      <c r="X968" s="6" t="n">
        <f aca="false">E968</f>
        <v>1</v>
      </c>
      <c r="Y968" s="6" t="n">
        <f aca="false">F968</f>
        <v>1</v>
      </c>
      <c r="Z968" s="6" t="n">
        <f aca="false">L968</f>
        <v>1</v>
      </c>
      <c r="AA968" s="6" t="n">
        <f aca="false">G968</f>
        <v>0</v>
      </c>
      <c r="AC968" s="6" t="n">
        <f aca="false">D968</f>
        <v>3.713125</v>
      </c>
      <c r="AD968" s="6" t="n">
        <f aca="false">E968</f>
        <v>1</v>
      </c>
      <c r="AE968" s="6" t="n">
        <f aca="false">G968</f>
        <v>0</v>
      </c>
      <c r="AF968" s="6" t="n">
        <f aca="false">H968</f>
        <v>1</v>
      </c>
      <c r="AG968" s="6" t="n">
        <f aca="false">I968</f>
        <v>0</v>
      </c>
      <c r="AH968" s="6" t="n">
        <f aca="false">L968</f>
        <v>1</v>
      </c>
    </row>
    <row r="969" customFormat="false" ht="15" hidden="false" customHeight="false" outlineLevel="0" collapsed="false">
      <c r="A969" s="0" t="str">
        <f aca="false">'Raw Data'!C969</f>
        <v>Roosevelt Square</v>
      </c>
      <c r="B969" s="5" t="n">
        <f aca="false">'Raw Data'!A969</f>
        <v>40372</v>
      </c>
      <c r="C969" s="6" t="n">
        <f aca="false">'Raw Data'!D969</f>
        <v>772.207792580698</v>
      </c>
      <c r="D969" s="6" t="n">
        <f aca="false">'Raw Data'!E969</f>
        <v>3.713125</v>
      </c>
      <c r="E969" s="6" t="n">
        <f aca="false">'Raw Data'!F969</f>
        <v>1</v>
      </c>
      <c r="F969" s="6" t="n">
        <f aca="false">'Raw Data'!G969</f>
        <v>1</v>
      </c>
      <c r="G969" s="6" t="n">
        <f aca="false">'Raw Data'!H969</f>
        <v>0</v>
      </c>
      <c r="H969" s="6" t="n">
        <f aca="false">'Raw Data'!I969</f>
        <v>1</v>
      </c>
      <c r="I969" s="6" t="n">
        <f aca="false">'Raw Data'!J969</f>
        <v>0</v>
      </c>
      <c r="J969" s="6" t="n">
        <f aca="false">'Raw Data'!K969</f>
        <v>3</v>
      </c>
      <c r="K969" s="6" t="n">
        <f aca="false">'Raw Data'!L969</f>
        <v>2</v>
      </c>
      <c r="L969" s="6" t="n">
        <f aca="false">F969*E969</f>
        <v>1</v>
      </c>
      <c r="N969" s="0" t="n">
        <v>1</v>
      </c>
      <c r="O969" s="6" t="n">
        <f aca="false">D969</f>
        <v>3.713125</v>
      </c>
      <c r="P969" s="6" t="n">
        <f aca="false">E969</f>
        <v>1</v>
      </c>
      <c r="Q969" s="6" t="n">
        <f aca="false">F969</f>
        <v>1</v>
      </c>
      <c r="R969" s="6" t="n">
        <f aca="false">G969</f>
        <v>0</v>
      </c>
      <c r="S969" s="6" t="n">
        <f aca="false">H969</f>
        <v>1</v>
      </c>
      <c r="T969" s="6" t="n">
        <f aca="false">I969</f>
        <v>0</v>
      </c>
      <c r="U969" s="6" t="n">
        <f aca="false">L969</f>
        <v>1</v>
      </c>
      <c r="W969" s="6" t="n">
        <f aca="false">D969</f>
        <v>3.713125</v>
      </c>
      <c r="X969" s="6" t="n">
        <f aca="false">E969</f>
        <v>1</v>
      </c>
      <c r="Y969" s="6" t="n">
        <f aca="false">F969</f>
        <v>1</v>
      </c>
      <c r="Z969" s="6" t="n">
        <f aca="false">L969</f>
        <v>1</v>
      </c>
      <c r="AA969" s="6" t="n">
        <f aca="false">G969</f>
        <v>0</v>
      </c>
      <c r="AC969" s="6" t="n">
        <f aca="false">D969</f>
        <v>3.713125</v>
      </c>
      <c r="AD969" s="6" t="n">
        <f aca="false">E969</f>
        <v>1</v>
      </c>
      <c r="AE969" s="6" t="n">
        <f aca="false">G969</f>
        <v>0</v>
      </c>
      <c r="AF969" s="6" t="n">
        <f aca="false">H969</f>
        <v>1</v>
      </c>
      <c r="AG969" s="6" t="n">
        <f aca="false">I969</f>
        <v>0</v>
      </c>
      <c r="AH969" s="6" t="n">
        <f aca="false">L969</f>
        <v>1</v>
      </c>
    </row>
    <row r="970" customFormat="false" ht="15" hidden="false" customHeight="false" outlineLevel="0" collapsed="false">
      <c r="A970" s="0" t="str">
        <f aca="false">'Raw Data'!C970</f>
        <v>Tanasbourne</v>
      </c>
      <c r="B970" s="5" t="n">
        <f aca="false">'Raw Data'!A970</f>
        <v>40302</v>
      </c>
      <c r="C970" s="6" t="n">
        <f aca="false">'Raw Data'!D970</f>
        <v>242.796516789481</v>
      </c>
      <c r="D970" s="6" t="n">
        <f aca="false">'Raw Data'!E970</f>
        <v>4.573333333</v>
      </c>
      <c r="E970" s="6" t="n">
        <f aca="false">'Raw Data'!F970</f>
        <v>1</v>
      </c>
      <c r="F970" s="6" t="n">
        <f aca="false">'Raw Data'!G970</f>
        <v>0</v>
      </c>
      <c r="G970" s="6" t="n">
        <f aca="false">'Raw Data'!H970</f>
        <v>0</v>
      </c>
      <c r="H970" s="6" t="n">
        <f aca="false">'Raw Data'!I970</f>
        <v>0</v>
      </c>
      <c r="I970" s="6" t="n">
        <f aca="false">'Raw Data'!J970</f>
        <v>0</v>
      </c>
      <c r="J970" s="6" t="n">
        <f aca="false">'Raw Data'!K970</f>
        <v>0</v>
      </c>
      <c r="K970" s="6" t="n">
        <f aca="false">'Raw Data'!L970</f>
        <v>0</v>
      </c>
      <c r="L970" s="6" t="n">
        <f aca="false">F970*E970</f>
        <v>0</v>
      </c>
      <c r="N970" s="0" t="n">
        <v>1</v>
      </c>
      <c r="O970" s="6" t="n">
        <f aca="false">D970</f>
        <v>4.573333333</v>
      </c>
      <c r="P970" s="6" t="n">
        <f aca="false">E970</f>
        <v>1</v>
      </c>
      <c r="Q970" s="6" t="n">
        <f aca="false">F970</f>
        <v>0</v>
      </c>
      <c r="R970" s="6" t="n">
        <f aca="false">G970</f>
        <v>0</v>
      </c>
      <c r="S970" s="6" t="n">
        <f aca="false">H970</f>
        <v>0</v>
      </c>
      <c r="T970" s="6" t="n">
        <f aca="false">I970</f>
        <v>0</v>
      </c>
      <c r="U970" s="6" t="n">
        <f aca="false">L970</f>
        <v>0</v>
      </c>
      <c r="W970" s="6" t="n">
        <f aca="false">D970</f>
        <v>4.573333333</v>
      </c>
      <c r="X970" s="6" t="n">
        <f aca="false">E970</f>
        <v>1</v>
      </c>
      <c r="Y970" s="6" t="n">
        <f aca="false">F970</f>
        <v>0</v>
      </c>
      <c r="Z970" s="6" t="n">
        <f aca="false">L970</f>
        <v>0</v>
      </c>
      <c r="AA970" s="6" t="n">
        <f aca="false">G970</f>
        <v>0</v>
      </c>
      <c r="AC970" s="6" t="n">
        <f aca="false">D970</f>
        <v>4.573333333</v>
      </c>
      <c r="AD970" s="6" t="n">
        <f aca="false">E970</f>
        <v>1</v>
      </c>
      <c r="AE970" s="6" t="n">
        <f aca="false">G970</f>
        <v>0</v>
      </c>
      <c r="AF970" s="6" t="n">
        <f aca="false">H970</f>
        <v>0</v>
      </c>
      <c r="AG970" s="6" t="n">
        <f aca="false">I970</f>
        <v>0</v>
      </c>
      <c r="AH970" s="6" t="n">
        <f aca="false">L970</f>
        <v>0</v>
      </c>
    </row>
    <row r="971" customFormat="false" ht="15" hidden="false" customHeight="false" outlineLevel="0" collapsed="false">
      <c r="A971" s="0" t="str">
        <f aca="false">'Raw Data'!C971</f>
        <v>Tanasbourne</v>
      </c>
      <c r="B971" s="5" t="n">
        <f aca="false">'Raw Data'!A971</f>
        <v>40309</v>
      </c>
      <c r="C971" s="6" t="n">
        <f aca="false">'Raw Data'!D971</f>
        <v>176.136325941742</v>
      </c>
      <c r="D971" s="6" t="n">
        <f aca="false">'Raw Data'!E971</f>
        <v>4.216666667</v>
      </c>
      <c r="E971" s="6" t="n">
        <f aca="false">'Raw Data'!F971</f>
        <v>1</v>
      </c>
      <c r="F971" s="6" t="n">
        <f aca="false">'Raw Data'!G971</f>
        <v>0</v>
      </c>
      <c r="G971" s="6" t="n">
        <f aca="false">'Raw Data'!H971</f>
        <v>0</v>
      </c>
      <c r="H971" s="6" t="n">
        <f aca="false">'Raw Data'!I971</f>
        <v>0</v>
      </c>
      <c r="I971" s="6" t="n">
        <f aca="false">'Raw Data'!J971</f>
        <v>0</v>
      </c>
      <c r="J971" s="6" t="n">
        <f aca="false">'Raw Data'!K971</f>
        <v>0</v>
      </c>
      <c r="K971" s="6" t="n">
        <f aca="false">'Raw Data'!L971</f>
        <v>0</v>
      </c>
      <c r="L971" s="6" t="n">
        <f aca="false">F971*E971</f>
        <v>0</v>
      </c>
      <c r="N971" s="0" t="n">
        <v>1</v>
      </c>
      <c r="O971" s="6" t="n">
        <f aca="false">D971</f>
        <v>4.216666667</v>
      </c>
      <c r="P971" s="6" t="n">
        <f aca="false">E971</f>
        <v>1</v>
      </c>
      <c r="Q971" s="6" t="n">
        <f aca="false">F971</f>
        <v>0</v>
      </c>
      <c r="R971" s="6" t="n">
        <f aca="false">G971</f>
        <v>0</v>
      </c>
      <c r="S971" s="6" t="n">
        <f aca="false">H971</f>
        <v>0</v>
      </c>
      <c r="T971" s="6" t="n">
        <f aca="false">I971</f>
        <v>0</v>
      </c>
      <c r="U971" s="6" t="n">
        <f aca="false">L971</f>
        <v>0</v>
      </c>
      <c r="W971" s="6" t="n">
        <f aca="false">D971</f>
        <v>4.216666667</v>
      </c>
      <c r="X971" s="6" t="n">
        <f aca="false">E971</f>
        <v>1</v>
      </c>
      <c r="Y971" s="6" t="n">
        <f aca="false">F971</f>
        <v>0</v>
      </c>
      <c r="Z971" s="6" t="n">
        <f aca="false">L971</f>
        <v>0</v>
      </c>
      <c r="AA971" s="6" t="n">
        <f aca="false">G971</f>
        <v>0</v>
      </c>
      <c r="AC971" s="6" t="n">
        <f aca="false">D971</f>
        <v>4.216666667</v>
      </c>
      <c r="AD971" s="6" t="n">
        <f aca="false">E971</f>
        <v>1</v>
      </c>
      <c r="AE971" s="6" t="n">
        <f aca="false">G971</f>
        <v>0</v>
      </c>
      <c r="AF971" s="6" t="n">
        <f aca="false">H971</f>
        <v>0</v>
      </c>
      <c r="AG971" s="6" t="n">
        <f aca="false">I971</f>
        <v>0</v>
      </c>
      <c r="AH971" s="6" t="n">
        <f aca="false">L971</f>
        <v>0</v>
      </c>
    </row>
    <row r="972" customFormat="false" ht="15" hidden="false" customHeight="false" outlineLevel="0" collapsed="false">
      <c r="A972" s="0" t="str">
        <f aca="false">'Raw Data'!C972</f>
        <v>Tanasbourne</v>
      </c>
      <c r="B972" s="5" t="n">
        <f aca="false">'Raw Data'!A972</f>
        <v>40316</v>
      </c>
      <c r="C972" s="6" t="n">
        <f aca="false">'Raw Data'!D972</f>
        <v>200.17051006424</v>
      </c>
      <c r="D972" s="6" t="n">
        <f aca="false">'Raw Data'!E972</f>
        <v>4.196666667</v>
      </c>
      <c r="E972" s="6" t="n">
        <f aca="false">'Raw Data'!F972</f>
        <v>1</v>
      </c>
      <c r="F972" s="6" t="n">
        <f aca="false">'Raw Data'!G972</f>
        <v>0</v>
      </c>
      <c r="G972" s="6" t="n">
        <f aca="false">'Raw Data'!H972</f>
        <v>0</v>
      </c>
      <c r="H972" s="6" t="n">
        <f aca="false">'Raw Data'!I972</f>
        <v>0</v>
      </c>
      <c r="I972" s="6" t="n">
        <f aca="false">'Raw Data'!J972</f>
        <v>0</v>
      </c>
      <c r="J972" s="6" t="n">
        <f aca="false">'Raw Data'!K972</f>
        <v>0</v>
      </c>
      <c r="K972" s="6" t="n">
        <f aca="false">'Raw Data'!L972</f>
        <v>0</v>
      </c>
      <c r="L972" s="6" t="n">
        <f aca="false">F972*E972</f>
        <v>0</v>
      </c>
      <c r="N972" s="0" t="n">
        <v>1</v>
      </c>
      <c r="O972" s="6" t="n">
        <f aca="false">D972</f>
        <v>4.196666667</v>
      </c>
      <c r="P972" s="6" t="n">
        <f aca="false">E972</f>
        <v>1</v>
      </c>
      <c r="Q972" s="6" t="n">
        <f aca="false">F972</f>
        <v>0</v>
      </c>
      <c r="R972" s="6" t="n">
        <f aca="false">G972</f>
        <v>0</v>
      </c>
      <c r="S972" s="6" t="n">
        <f aca="false">H972</f>
        <v>0</v>
      </c>
      <c r="T972" s="6" t="n">
        <f aca="false">I972</f>
        <v>0</v>
      </c>
      <c r="U972" s="6" t="n">
        <f aca="false">L972</f>
        <v>0</v>
      </c>
      <c r="W972" s="6" t="n">
        <f aca="false">D972</f>
        <v>4.196666667</v>
      </c>
      <c r="X972" s="6" t="n">
        <f aca="false">E972</f>
        <v>1</v>
      </c>
      <c r="Y972" s="6" t="n">
        <f aca="false">F972</f>
        <v>0</v>
      </c>
      <c r="Z972" s="6" t="n">
        <f aca="false">L972</f>
        <v>0</v>
      </c>
      <c r="AA972" s="6" t="n">
        <f aca="false">G972</f>
        <v>0</v>
      </c>
      <c r="AC972" s="6" t="n">
        <f aca="false">D972</f>
        <v>4.196666667</v>
      </c>
      <c r="AD972" s="6" t="n">
        <f aca="false">E972</f>
        <v>1</v>
      </c>
      <c r="AE972" s="6" t="n">
        <f aca="false">G972</f>
        <v>0</v>
      </c>
      <c r="AF972" s="6" t="n">
        <f aca="false">H972</f>
        <v>0</v>
      </c>
      <c r="AG972" s="6" t="n">
        <f aca="false">I972</f>
        <v>0</v>
      </c>
      <c r="AH972" s="6" t="n">
        <f aca="false">L972</f>
        <v>0</v>
      </c>
    </row>
    <row r="973" customFormat="false" ht="15" hidden="false" customHeight="false" outlineLevel="0" collapsed="false">
      <c r="A973" s="0" t="str">
        <f aca="false">'Raw Data'!C973</f>
        <v>Tanasbourne</v>
      </c>
      <c r="B973" s="5" t="n">
        <f aca="false">'Raw Data'!A973</f>
        <v>40323</v>
      </c>
      <c r="C973" s="6" t="n">
        <f aca="false">'Raw Data'!D973</f>
        <v>214.129890620162</v>
      </c>
      <c r="D973" s="6" t="n">
        <f aca="false">'Raw Data'!E973</f>
        <v>4.083333333</v>
      </c>
      <c r="E973" s="6" t="n">
        <f aca="false">'Raw Data'!F973</f>
        <v>1</v>
      </c>
      <c r="F973" s="6" t="n">
        <f aca="false">'Raw Data'!G973</f>
        <v>0</v>
      </c>
      <c r="G973" s="6" t="n">
        <f aca="false">'Raw Data'!H973</f>
        <v>0</v>
      </c>
      <c r="H973" s="6" t="n">
        <f aca="false">'Raw Data'!I973</f>
        <v>0</v>
      </c>
      <c r="I973" s="6" t="n">
        <f aca="false">'Raw Data'!J973</f>
        <v>0</v>
      </c>
      <c r="J973" s="6" t="n">
        <f aca="false">'Raw Data'!K973</f>
        <v>0</v>
      </c>
      <c r="K973" s="6" t="n">
        <f aca="false">'Raw Data'!L973</f>
        <v>0</v>
      </c>
      <c r="L973" s="6" t="n">
        <f aca="false">F973*E973</f>
        <v>0</v>
      </c>
      <c r="N973" s="0" t="n">
        <v>1</v>
      </c>
      <c r="O973" s="6" t="n">
        <f aca="false">D973</f>
        <v>4.083333333</v>
      </c>
      <c r="P973" s="6" t="n">
        <f aca="false">E973</f>
        <v>1</v>
      </c>
      <c r="Q973" s="6" t="n">
        <f aca="false">F973</f>
        <v>0</v>
      </c>
      <c r="R973" s="6" t="n">
        <f aca="false">G973</f>
        <v>0</v>
      </c>
      <c r="S973" s="6" t="n">
        <f aca="false">H973</f>
        <v>0</v>
      </c>
      <c r="T973" s="6" t="n">
        <f aca="false">I973</f>
        <v>0</v>
      </c>
      <c r="U973" s="6" t="n">
        <f aca="false">L973</f>
        <v>0</v>
      </c>
      <c r="W973" s="6" t="n">
        <f aca="false">D973</f>
        <v>4.083333333</v>
      </c>
      <c r="X973" s="6" t="n">
        <f aca="false">E973</f>
        <v>1</v>
      </c>
      <c r="Y973" s="6" t="n">
        <f aca="false">F973</f>
        <v>0</v>
      </c>
      <c r="Z973" s="6" t="n">
        <f aca="false">L973</f>
        <v>0</v>
      </c>
      <c r="AA973" s="6" t="n">
        <f aca="false">G973</f>
        <v>0</v>
      </c>
      <c r="AC973" s="6" t="n">
        <f aca="false">D973</f>
        <v>4.083333333</v>
      </c>
      <c r="AD973" s="6" t="n">
        <f aca="false">E973</f>
        <v>1</v>
      </c>
      <c r="AE973" s="6" t="n">
        <f aca="false">G973</f>
        <v>0</v>
      </c>
      <c r="AF973" s="6" t="n">
        <f aca="false">H973</f>
        <v>0</v>
      </c>
      <c r="AG973" s="6" t="n">
        <f aca="false">I973</f>
        <v>0</v>
      </c>
      <c r="AH973" s="6" t="n">
        <f aca="false">L973</f>
        <v>0</v>
      </c>
    </row>
    <row r="974" customFormat="false" ht="15" hidden="false" customHeight="false" outlineLevel="0" collapsed="false">
      <c r="A974" s="0" t="str">
        <f aca="false">'Raw Data'!C974</f>
        <v>Tanasbourne</v>
      </c>
      <c r="B974" s="5" t="n">
        <f aca="false">'Raw Data'!A974</f>
        <v>40330</v>
      </c>
      <c r="C974" s="6" t="n">
        <f aca="false">'Raw Data'!D974</f>
        <v>298.773915713493</v>
      </c>
      <c r="D974" s="6" t="n">
        <f aca="false">'Raw Data'!E974</f>
        <v>4.151538462</v>
      </c>
      <c r="E974" s="6" t="n">
        <f aca="false">'Raw Data'!F974</f>
        <v>1</v>
      </c>
      <c r="F974" s="6" t="n">
        <f aca="false">'Raw Data'!G974</f>
        <v>0</v>
      </c>
      <c r="G974" s="6" t="n">
        <f aca="false">'Raw Data'!H974</f>
        <v>0</v>
      </c>
      <c r="H974" s="6" t="n">
        <f aca="false">'Raw Data'!I974</f>
        <v>0</v>
      </c>
      <c r="I974" s="6" t="n">
        <f aca="false">'Raw Data'!J974</f>
        <v>0</v>
      </c>
      <c r="J974" s="6" t="n">
        <f aca="false">'Raw Data'!K974</f>
        <v>0</v>
      </c>
      <c r="K974" s="6" t="n">
        <f aca="false">'Raw Data'!L974</f>
        <v>0</v>
      </c>
      <c r="L974" s="6" t="n">
        <f aca="false">F974*E974</f>
        <v>0</v>
      </c>
      <c r="N974" s="0" t="n">
        <v>1</v>
      </c>
      <c r="O974" s="6" t="n">
        <f aca="false">D974</f>
        <v>4.151538462</v>
      </c>
      <c r="P974" s="6" t="n">
        <f aca="false">E974</f>
        <v>1</v>
      </c>
      <c r="Q974" s="6" t="n">
        <f aca="false">F974</f>
        <v>0</v>
      </c>
      <c r="R974" s="6" t="n">
        <f aca="false">G974</f>
        <v>0</v>
      </c>
      <c r="S974" s="6" t="n">
        <f aca="false">H974</f>
        <v>0</v>
      </c>
      <c r="T974" s="6" t="n">
        <f aca="false">I974</f>
        <v>0</v>
      </c>
      <c r="U974" s="6" t="n">
        <f aca="false">L974</f>
        <v>0</v>
      </c>
      <c r="W974" s="6" t="n">
        <f aca="false">D974</f>
        <v>4.151538462</v>
      </c>
      <c r="X974" s="6" t="n">
        <f aca="false">E974</f>
        <v>1</v>
      </c>
      <c r="Y974" s="6" t="n">
        <f aca="false">F974</f>
        <v>0</v>
      </c>
      <c r="Z974" s="6" t="n">
        <f aca="false">L974</f>
        <v>0</v>
      </c>
      <c r="AA974" s="6" t="n">
        <f aca="false">G974</f>
        <v>0</v>
      </c>
      <c r="AC974" s="6" t="n">
        <f aca="false">D974</f>
        <v>4.151538462</v>
      </c>
      <c r="AD974" s="6" t="n">
        <f aca="false">E974</f>
        <v>1</v>
      </c>
      <c r="AE974" s="6" t="n">
        <f aca="false">G974</f>
        <v>0</v>
      </c>
      <c r="AF974" s="6" t="n">
        <f aca="false">H974</f>
        <v>0</v>
      </c>
      <c r="AG974" s="6" t="n">
        <f aca="false">I974</f>
        <v>0</v>
      </c>
      <c r="AH974" s="6" t="n">
        <f aca="false">L974</f>
        <v>0</v>
      </c>
    </row>
    <row r="975" customFormat="false" ht="15" hidden="false" customHeight="false" outlineLevel="0" collapsed="false">
      <c r="A975" s="0" t="str">
        <f aca="false">'Raw Data'!C975</f>
        <v>Tanasbourne</v>
      </c>
      <c r="B975" s="5" t="n">
        <f aca="false">'Raw Data'!A975</f>
        <v>40337</v>
      </c>
      <c r="C975" s="6" t="n">
        <f aca="false">'Raw Data'!D975</f>
        <v>231.330440119965</v>
      </c>
      <c r="D975" s="6" t="n">
        <f aca="false">'Raw Data'!E975</f>
        <v>4.318571429</v>
      </c>
      <c r="E975" s="6" t="n">
        <f aca="false">'Raw Data'!F975</f>
        <v>1</v>
      </c>
      <c r="F975" s="6" t="n">
        <f aca="false">'Raw Data'!G975</f>
        <v>0</v>
      </c>
      <c r="G975" s="6" t="n">
        <f aca="false">'Raw Data'!H975</f>
        <v>0</v>
      </c>
      <c r="H975" s="6" t="n">
        <f aca="false">'Raw Data'!I975</f>
        <v>0</v>
      </c>
      <c r="I975" s="6" t="n">
        <f aca="false">'Raw Data'!J975</f>
        <v>0</v>
      </c>
      <c r="J975" s="6" t="n">
        <f aca="false">'Raw Data'!K975</f>
        <v>0</v>
      </c>
      <c r="K975" s="6" t="n">
        <f aca="false">'Raw Data'!L975</f>
        <v>0</v>
      </c>
      <c r="L975" s="6" t="n">
        <f aca="false">F975*E975</f>
        <v>0</v>
      </c>
      <c r="N975" s="0" t="n">
        <v>1</v>
      </c>
      <c r="O975" s="6" t="n">
        <f aca="false">D975</f>
        <v>4.318571429</v>
      </c>
      <c r="P975" s="6" t="n">
        <f aca="false">E975</f>
        <v>1</v>
      </c>
      <c r="Q975" s="6" t="n">
        <f aca="false">F975</f>
        <v>0</v>
      </c>
      <c r="R975" s="6" t="n">
        <f aca="false">G975</f>
        <v>0</v>
      </c>
      <c r="S975" s="6" t="n">
        <f aca="false">H975</f>
        <v>0</v>
      </c>
      <c r="T975" s="6" t="n">
        <f aca="false">I975</f>
        <v>0</v>
      </c>
      <c r="U975" s="6" t="n">
        <f aca="false">L975</f>
        <v>0</v>
      </c>
      <c r="W975" s="6" t="n">
        <f aca="false">D975</f>
        <v>4.318571429</v>
      </c>
      <c r="X975" s="6" t="n">
        <f aca="false">E975</f>
        <v>1</v>
      </c>
      <c r="Y975" s="6" t="n">
        <f aca="false">F975</f>
        <v>0</v>
      </c>
      <c r="Z975" s="6" t="n">
        <f aca="false">L975</f>
        <v>0</v>
      </c>
      <c r="AA975" s="6" t="n">
        <f aca="false">G975</f>
        <v>0</v>
      </c>
      <c r="AC975" s="6" t="n">
        <f aca="false">D975</f>
        <v>4.318571429</v>
      </c>
      <c r="AD975" s="6" t="n">
        <f aca="false">E975</f>
        <v>1</v>
      </c>
      <c r="AE975" s="6" t="n">
        <f aca="false">G975</f>
        <v>0</v>
      </c>
      <c r="AF975" s="6" t="n">
        <f aca="false">H975</f>
        <v>0</v>
      </c>
      <c r="AG975" s="6" t="n">
        <f aca="false">I975</f>
        <v>0</v>
      </c>
      <c r="AH975" s="6" t="n">
        <f aca="false">L975</f>
        <v>0</v>
      </c>
    </row>
    <row r="976" customFormat="false" ht="15" hidden="false" customHeight="false" outlineLevel="0" collapsed="false">
      <c r="A976" s="0" t="str">
        <f aca="false">'Raw Data'!C976</f>
        <v>Tanasbourne</v>
      </c>
      <c r="B976" s="5" t="n">
        <f aca="false">'Raw Data'!A976</f>
        <v>40344</v>
      </c>
      <c r="C976" s="6" t="n">
        <f aca="false">'Raw Data'!D976</f>
        <v>220.28570018462</v>
      </c>
      <c r="D976" s="6" t="n">
        <f aca="false">'Raw Data'!E976</f>
        <v>4.174615385</v>
      </c>
      <c r="E976" s="6" t="n">
        <f aca="false">'Raw Data'!F976</f>
        <v>1</v>
      </c>
      <c r="F976" s="6" t="n">
        <f aca="false">'Raw Data'!G976</f>
        <v>0</v>
      </c>
      <c r="G976" s="6" t="n">
        <f aca="false">'Raw Data'!H976</f>
        <v>0</v>
      </c>
      <c r="H976" s="6" t="n">
        <f aca="false">'Raw Data'!I976</f>
        <v>0</v>
      </c>
      <c r="I976" s="6" t="n">
        <f aca="false">'Raw Data'!J976</f>
        <v>0</v>
      </c>
      <c r="J976" s="6" t="n">
        <f aca="false">'Raw Data'!K976</f>
        <v>0</v>
      </c>
      <c r="K976" s="6" t="n">
        <f aca="false">'Raw Data'!L976</f>
        <v>0</v>
      </c>
      <c r="L976" s="6" t="n">
        <f aca="false">F976*E976</f>
        <v>0</v>
      </c>
      <c r="N976" s="0" t="n">
        <v>1</v>
      </c>
      <c r="O976" s="6" t="n">
        <f aca="false">D976</f>
        <v>4.174615385</v>
      </c>
      <c r="P976" s="6" t="n">
        <f aca="false">E976</f>
        <v>1</v>
      </c>
      <c r="Q976" s="6" t="n">
        <f aca="false">F976</f>
        <v>0</v>
      </c>
      <c r="R976" s="6" t="n">
        <f aca="false">G976</f>
        <v>0</v>
      </c>
      <c r="S976" s="6" t="n">
        <f aca="false">H976</f>
        <v>0</v>
      </c>
      <c r="T976" s="6" t="n">
        <f aca="false">I976</f>
        <v>0</v>
      </c>
      <c r="U976" s="6" t="n">
        <f aca="false">L976</f>
        <v>0</v>
      </c>
      <c r="W976" s="6" t="n">
        <f aca="false">D976</f>
        <v>4.174615385</v>
      </c>
      <c r="X976" s="6" t="n">
        <f aca="false">E976</f>
        <v>1</v>
      </c>
      <c r="Y976" s="6" t="n">
        <f aca="false">F976</f>
        <v>0</v>
      </c>
      <c r="Z976" s="6" t="n">
        <f aca="false">L976</f>
        <v>0</v>
      </c>
      <c r="AA976" s="6" t="n">
        <f aca="false">G976</f>
        <v>0</v>
      </c>
      <c r="AC976" s="6" t="n">
        <f aca="false">D976</f>
        <v>4.174615385</v>
      </c>
      <c r="AD976" s="6" t="n">
        <f aca="false">E976</f>
        <v>1</v>
      </c>
      <c r="AE976" s="6" t="n">
        <f aca="false">G976</f>
        <v>0</v>
      </c>
      <c r="AF976" s="6" t="n">
        <f aca="false">H976</f>
        <v>0</v>
      </c>
      <c r="AG976" s="6" t="n">
        <f aca="false">I976</f>
        <v>0</v>
      </c>
      <c r="AH976" s="6" t="n">
        <f aca="false">L976</f>
        <v>0</v>
      </c>
    </row>
    <row r="977" customFormat="false" ht="15" hidden="false" customHeight="false" outlineLevel="0" collapsed="false">
      <c r="A977" s="0" t="str">
        <f aca="false">'Raw Data'!C977</f>
        <v>Tanasbourne</v>
      </c>
      <c r="B977" s="5" t="n">
        <f aca="false">'Raw Data'!A977</f>
        <v>40351</v>
      </c>
      <c r="C977" s="6" t="n">
        <f aca="false">'Raw Data'!D977</f>
        <v>173.379717036641</v>
      </c>
      <c r="D977" s="6" t="n">
        <f aca="false">'Raw Data'!E977</f>
        <v>4.318571429</v>
      </c>
      <c r="E977" s="6" t="n">
        <f aca="false">'Raw Data'!F977</f>
        <v>1</v>
      </c>
      <c r="F977" s="6" t="n">
        <f aca="false">'Raw Data'!G977</f>
        <v>0</v>
      </c>
      <c r="G977" s="6" t="n">
        <f aca="false">'Raw Data'!H977</f>
        <v>0</v>
      </c>
      <c r="H977" s="6" t="n">
        <f aca="false">'Raw Data'!I977</f>
        <v>0</v>
      </c>
      <c r="I977" s="6" t="n">
        <f aca="false">'Raw Data'!J977</f>
        <v>0</v>
      </c>
      <c r="J977" s="6" t="n">
        <f aca="false">'Raw Data'!K977</f>
        <v>0</v>
      </c>
      <c r="K977" s="6" t="n">
        <f aca="false">'Raw Data'!L977</f>
        <v>0</v>
      </c>
      <c r="L977" s="6" t="n">
        <f aca="false">F977*E977</f>
        <v>0</v>
      </c>
      <c r="N977" s="0" t="n">
        <v>1</v>
      </c>
      <c r="O977" s="6" t="n">
        <f aca="false">D977</f>
        <v>4.318571429</v>
      </c>
      <c r="P977" s="6" t="n">
        <f aca="false">E977</f>
        <v>1</v>
      </c>
      <c r="Q977" s="6" t="n">
        <f aca="false">F977</f>
        <v>0</v>
      </c>
      <c r="R977" s="6" t="n">
        <f aca="false">G977</f>
        <v>0</v>
      </c>
      <c r="S977" s="6" t="n">
        <f aca="false">H977</f>
        <v>0</v>
      </c>
      <c r="T977" s="6" t="n">
        <f aca="false">I977</f>
        <v>0</v>
      </c>
      <c r="U977" s="6" t="n">
        <f aca="false">L977</f>
        <v>0</v>
      </c>
      <c r="W977" s="6" t="n">
        <f aca="false">D977</f>
        <v>4.318571429</v>
      </c>
      <c r="X977" s="6" t="n">
        <f aca="false">E977</f>
        <v>1</v>
      </c>
      <c r="Y977" s="6" t="n">
        <f aca="false">F977</f>
        <v>0</v>
      </c>
      <c r="Z977" s="6" t="n">
        <f aca="false">L977</f>
        <v>0</v>
      </c>
      <c r="AA977" s="6" t="n">
        <f aca="false">G977</f>
        <v>0</v>
      </c>
      <c r="AC977" s="6" t="n">
        <f aca="false">D977</f>
        <v>4.318571429</v>
      </c>
      <c r="AD977" s="6" t="n">
        <f aca="false">E977</f>
        <v>1</v>
      </c>
      <c r="AE977" s="6" t="n">
        <f aca="false">G977</f>
        <v>0</v>
      </c>
      <c r="AF977" s="6" t="n">
        <f aca="false">H977</f>
        <v>0</v>
      </c>
      <c r="AG977" s="6" t="n">
        <f aca="false">I977</f>
        <v>0</v>
      </c>
      <c r="AH977" s="6" t="n">
        <f aca="false">L977</f>
        <v>0</v>
      </c>
    </row>
    <row r="978" customFormat="false" ht="15" hidden="false" customHeight="false" outlineLevel="0" collapsed="false">
      <c r="A978" s="0" t="str">
        <f aca="false">'Raw Data'!C978</f>
        <v>Tanasbourne</v>
      </c>
      <c r="B978" s="5" t="n">
        <f aca="false">'Raw Data'!A978</f>
        <v>40358</v>
      </c>
      <c r="C978" s="6" t="n">
        <f aca="false">'Raw Data'!D978</f>
        <v>240.301051404713</v>
      </c>
      <c r="D978" s="6" t="n">
        <f aca="false">'Raw Data'!E978</f>
        <v>4.197142857</v>
      </c>
      <c r="E978" s="6" t="n">
        <f aca="false">'Raw Data'!F978</f>
        <v>1</v>
      </c>
      <c r="F978" s="6" t="n">
        <f aca="false">'Raw Data'!G978</f>
        <v>0</v>
      </c>
      <c r="G978" s="6" t="n">
        <f aca="false">'Raw Data'!H978</f>
        <v>0</v>
      </c>
      <c r="H978" s="6" t="n">
        <f aca="false">'Raw Data'!I978</f>
        <v>0</v>
      </c>
      <c r="I978" s="6" t="n">
        <f aca="false">'Raw Data'!J978</f>
        <v>0</v>
      </c>
      <c r="J978" s="6" t="n">
        <f aca="false">'Raw Data'!K978</f>
        <v>0</v>
      </c>
      <c r="K978" s="6" t="n">
        <f aca="false">'Raw Data'!L978</f>
        <v>0</v>
      </c>
      <c r="L978" s="6" t="n">
        <f aca="false">F978*E978</f>
        <v>0</v>
      </c>
      <c r="N978" s="0" t="n">
        <v>1</v>
      </c>
      <c r="O978" s="6" t="n">
        <f aca="false">D978</f>
        <v>4.197142857</v>
      </c>
      <c r="P978" s="6" t="n">
        <f aca="false">E978</f>
        <v>1</v>
      </c>
      <c r="Q978" s="6" t="n">
        <f aca="false">F978</f>
        <v>0</v>
      </c>
      <c r="R978" s="6" t="n">
        <f aca="false">G978</f>
        <v>0</v>
      </c>
      <c r="S978" s="6" t="n">
        <f aca="false">H978</f>
        <v>0</v>
      </c>
      <c r="T978" s="6" t="n">
        <f aca="false">I978</f>
        <v>0</v>
      </c>
      <c r="U978" s="6" t="n">
        <f aca="false">L978</f>
        <v>0</v>
      </c>
      <c r="W978" s="6" t="n">
        <f aca="false">D978</f>
        <v>4.197142857</v>
      </c>
      <c r="X978" s="6" t="n">
        <f aca="false">E978</f>
        <v>1</v>
      </c>
      <c r="Y978" s="6" t="n">
        <f aca="false">F978</f>
        <v>0</v>
      </c>
      <c r="Z978" s="6" t="n">
        <f aca="false">L978</f>
        <v>0</v>
      </c>
      <c r="AA978" s="6" t="n">
        <f aca="false">G978</f>
        <v>0</v>
      </c>
      <c r="AC978" s="6" t="n">
        <f aca="false">D978</f>
        <v>4.197142857</v>
      </c>
      <c r="AD978" s="6" t="n">
        <f aca="false">E978</f>
        <v>1</v>
      </c>
      <c r="AE978" s="6" t="n">
        <f aca="false">G978</f>
        <v>0</v>
      </c>
      <c r="AF978" s="6" t="n">
        <f aca="false">H978</f>
        <v>0</v>
      </c>
      <c r="AG978" s="6" t="n">
        <f aca="false">I978</f>
        <v>0</v>
      </c>
      <c r="AH978" s="6" t="n">
        <f aca="false">L978</f>
        <v>0</v>
      </c>
    </row>
    <row r="979" customFormat="false" ht="15" hidden="false" customHeight="false" outlineLevel="0" collapsed="false">
      <c r="A979" s="0" t="str">
        <f aca="false">'Raw Data'!C979</f>
        <v>Tanasbourne</v>
      </c>
      <c r="B979" s="5" t="n">
        <f aca="false">'Raw Data'!A979</f>
        <v>40365</v>
      </c>
      <c r="C979" s="6" t="n">
        <f aca="false">'Raw Data'!D979</f>
        <v>194.69951130814</v>
      </c>
      <c r="D979" s="6" t="n">
        <f aca="false">'Raw Data'!E979</f>
        <v>3.303076923</v>
      </c>
      <c r="E979" s="6" t="n">
        <f aca="false">'Raw Data'!F979</f>
        <v>1</v>
      </c>
      <c r="F979" s="6" t="n">
        <f aca="false">'Raw Data'!G979</f>
        <v>0</v>
      </c>
      <c r="G979" s="6" t="n">
        <f aca="false">'Raw Data'!H979</f>
        <v>0</v>
      </c>
      <c r="H979" s="6" t="n">
        <f aca="false">'Raw Data'!I979</f>
        <v>0</v>
      </c>
      <c r="I979" s="6" t="n">
        <f aca="false">'Raw Data'!J979</f>
        <v>0</v>
      </c>
      <c r="J979" s="6" t="n">
        <f aca="false">'Raw Data'!K979</f>
        <v>0</v>
      </c>
      <c r="K979" s="6" t="n">
        <f aca="false">'Raw Data'!L979</f>
        <v>0</v>
      </c>
      <c r="L979" s="6" t="n">
        <f aca="false">F979*E979</f>
        <v>0</v>
      </c>
      <c r="N979" s="0" t="n">
        <v>1</v>
      </c>
      <c r="O979" s="6" t="n">
        <f aca="false">D979</f>
        <v>3.303076923</v>
      </c>
      <c r="P979" s="6" t="n">
        <f aca="false">E979</f>
        <v>1</v>
      </c>
      <c r="Q979" s="6" t="n">
        <f aca="false">F979</f>
        <v>0</v>
      </c>
      <c r="R979" s="6" t="n">
        <f aca="false">G979</f>
        <v>0</v>
      </c>
      <c r="S979" s="6" t="n">
        <f aca="false">H979</f>
        <v>0</v>
      </c>
      <c r="T979" s="6" t="n">
        <f aca="false">I979</f>
        <v>0</v>
      </c>
      <c r="U979" s="6" t="n">
        <f aca="false">L979</f>
        <v>0</v>
      </c>
      <c r="W979" s="6" t="n">
        <f aca="false">D979</f>
        <v>3.303076923</v>
      </c>
      <c r="X979" s="6" t="n">
        <f aca="false">E979</f>
        <v>1</v>
      </c>
      <c r="Y979" s="6" t="n">
        <f aca="false">F979</f>
        <v>0</v>
      </c>
      <c r="Z979" s="6" t="n">
        <f aca="false">L979</f>
        <v>0</v>
      </c>
      <c r="AA979" s="6" t="n">
        <f aca="false">G979</f>
        <v>0</v>
      </c>
      <c r="AC979" s="6" t="n">
        <f aca="false">D979</f>
        <v>3.303076923</v>
      </c>
      <c r="AD979" s="6" t="n">
        <f aca="false">E979</f>
        <v>1</v>
      </c>
      <c r="AE979" s="6" t="n">
        <f aca="false">G979</f>
        <v>0</v>
      </c>
      <c r="AF979" s="6" t="n">
        <f aca="false">H979</f>
        <v>0</v>
      </c>
      <c r="AG979" s="6" t="n">
        <f aca="false">I979</f>
        <v>0</v>
      </c>
      <c r="AH979" s="6" t="n">
        <f aca="false">L979</f>
        <v>0</v>
      </c>
    </row>
    <row r="980" customFormat="false" ht="15" hidden="false" customHeight="false" outlineLevel="0" collapsed="false">
      <c r="A980" s="0" t="str">
        <f aca="false">'Raw Data'!C980</f>
        <v>Tanasbourne</v>
      </c>
      <c r="B980" s="5" t="n">
        <f aca="false">'Raw Data'!A980</f>
        <v>40372</v>
      </c>
      <c r="C980" s="6" t="n">
        <f aca="false">'Raw Data'!D980</f>
        <v>295.796617516198</v>
      </c>
      <c r="D980" s="6" t="n">
        <f aca="false">'Raw Data'!E980</f>
        <v>3.648461538</v>
      </c>
      <c r="E980" s="6" t="n">
        <f aca="false">'Raw Data'!F980</f>
        <v>1</v>
      </c>
      <c r="F980" s="6" t="n">
        <f aca="false">'Raw Data'!G980</f>
        <v>0</v>
      </c>
      <c r="G980" s="6" t="n">
        <f aca="false">'Raw Data'!H980</f>
        <v>0</v>
      </c>
      <c r="H980" s="6" t="n">
        <f aca="false">'Raw Data'!I980</f>
        <v>0</v>
      </c>
      <c r="I980" s="6" t="n">
        <f aca="false">'Raw Data'!J980</f>
        <v>0</v>
      </c>
      <c r="J980" s="6" t="n">
        <f aca="false">'Raw Data'!K980</f>
        <v>0</v>
      </c>
      <c r="K980" s="6" t="n">
        <f aca="false">'Raw Data'!L980</f>
        <v>0</v>
      </c>
      <c r="L980" s="6" t="n">
        <f aca="false">F980*E980</f>
        <v>0</v>
      </c>
      <c r="N980" s="0" t="n">
        <v>1</v>
      </c>
      <c r="O980" s="6" t="n">
        <f aca="false">D980</f>
        <v>3.648461538</v>
      </c>
      <c r="P980" s="6" t="n">
        <f aca="false">E980</f>
        <v>1</v>
      </c>
      <c r="Q980" s="6" t="n">
        <f aca="false">F980</f>
        <v>0</v>
      </c>
      <c r="R980" s="6" t="n">
        <f aca="false">G980</f>
        <v>0</v>
      </c>
      <c r="S980" s="6" t="n">
        <f aca="false">H980</f>
        <v>0</v>
      </c>
      <c r="T980" s="6" t="n">
        <f aca="false">I980</f>
        <v>0</v>
      </c>
      <c r="U980" s="6" t="n">
        <f aca="false">L980</f>
        <v>0</v>
      </c>
      <c r="W980" s="6" t="n">
        <f aca="false">D980</f>
        <v>3.648461538</v>
      </c>
      <c r="X980" s="6" t="n">
        <f aca="false">E980</f>
        <v>1</v>
      </c>
      <c r="Y980" s="6" t="n">
        <f aca="false">F980</f>
        <v>0</v>
      </c>
      <c r="Z980" s="6" t="n">
        <f aca="false">L980</f>
        <v>0</v>
      </c>
      <c r="AA980" s="6" t="n">
        <f aca="false">G980</f>
        <v>0</v>
      </c>
      <c r="AC980" s="6" t="n">
        <f aca="false">D980</f>
        <v>3.648461538</v>
      </c>
      <c r="AD980" s="6" t="n">
        <f aca="false">E980</f>
        <v>1</v>
      </c>
      <c r="AE980" s="6" t="n">
        <f aca="false">G980</f>
        <v>0</v>
      </c>
      <c r="AF980" s="6" t="n">
        <f aca="false">H980</f>
        <v>0</v>
      </c>
      <c r="AG980" s="6" t="n">
        <f aca="false">I980</f>
        <v>0</v>
      </c>
      <c r="AH980" s="6" t="n">
        <f aca="false">L980</f>
        <v>0</v>
      </c>
    </row>
    <row r="981" customFormat="false" ht="15" hidden="false" customHeight="false" outlineLevel="0" collapsed="false">
      <c r="A981" s="0" t="str">
        <f aca="false">'Raw Data'!C981</f>
        <v>Westlake</v>
      </c>
      <c r="B981" s="5" t="n">
        <f aca="false">'Raw Data'!A981</f>
        <v>40302</v>
      </c>
      <c r="C981" s="6" t="n">
        <f aca="false">'Raw Data'!D981</f>
        <v>273.274045808323</v>
      </c>
      <c r="D981" s="6" t="n">
        <f aca="false">'Raw Data'!E981</f>
        <v>4.216666667</v>
      </c>
      <c r="E981" s="6" t="n">
        <f aca="false">'Raw Data'!F981</f>
        <v>1</v>
      </c>
      <c r="F981" s="6" t="n">
        <f aca="false">'Raw Data'!G981</f>
        <v>0</v>
      </c>
      <c r="G981" s="6" t="n">
        <f aca="false">'Raw Data'!H981</f>
        <v>0</v>
      </c>
      <c r="H981" s="6" t="n">
        <f aca="false">'Raw Data'!I981</f>
        <v>0</v>
      </c>
      <c r="I981" s="6" t="n">
        <f aca="false">'Raw Data'!J981</f>
        <v>0</v>
      </c>
      <c r="J981" s="6" t="n">
        <f aca="false">'Raw Data'!K981</f>
        <v>1</v>
      </c>
      <c r="K981" s="6" t="n">
        <f aca="false">'Raw Data'!L981</f>
        <v>0</v>
      </c>
      <c r="L981" s="6" t="n">
        <f aca="false">F981*E981</f>
        <v>0</v>
      </c>
      <c r="N981" s="0" t="n">
        <v>1</v>
      </c>
      <c r="O981" s="6" t="n">
        <f aca="false">D981</f>
        <v>4.216666667</v>
      </c>
      <c r="P981" s="6" t="n">
        <f aca="false">E981</f>
        <v>1</v>
      </c>
      <c r="Q981" s="6" t="n">
        <f aca="false">F981</f>
        <v>0</v>
      </c>
      <c r="R981" s="6" t="n">
        <f aca="false">G981</f>
        <v>0</v>
      </c>
      <c r="S981" s="6" t="n">
        <f aca="false">H981</f>
        <v>0</v>
      </c>
      <c r="T981" s="6" t="n">
        <f aca="false">I981</f>
        <v>0</v>
      </c>
      <c r="U981" s="6" t="n">
        <f aca="false">L981</f>
        <v>0</v>
      </c>
      <c r="W981" s="6" t="n">
        <f aca="false">D981</f>
        <v>4.216666667</v>
      </c>
      <c r="X981" s="6" t="n">
        <f aca="false">E981</f>
        <v>1</v>
      </c>
      <c r="Y981" s="6" t="n">
        <f aca="false">F981</f>
        <v>0</v>
      </c>
      <c r="Z981" s="6" t="n">
        <f aca="false">L981</f>
        <v>0</v>
      </c>
      <c r="AA981" s="6" t="n">
        <f aca="false">G981</f>
        <v>0</v>
      </c>
      <c r="AC981" s="6" t="n">
        <f aca="false">D981</f>
        <v>4.216666667</v>
      </c>
      <c r="AD981" s="6" t="n">
        <f aca="false">E981</f>
        <v>1</v>
      </c>
      <c r="AE981" s="6" t="n">
        <f aca="false">G981</f>
        <v>0</v>
      </c>
      <c r="AF981" s="6" t="n">
        <f aca="false">H981</f>
        <v>0</v>
      </c>
      <c r="AG981" s="6" t="n">
        <f aca="false">I981</f>
        <v>0</v>
      </c>
      <c r="AH981" s="6" t="n">
        <f aca="false">L981</f>
        <v>0</v>
      </c>
    </row>
    <row r="982" customFormat="false" ht="15" hidden="false" customHeight="false" outlineLevel="0" collapsed="false">
      <c r="A982" s="0" t="str">
        <f aca="false">'Raw Data'!C982</f>
        <v>Westlake</v>
      </c>
      <c r="B982" s="5" t="n">
        <f aca="false">'Raw Data'!A982</f>
        <v>40309</v>
      </c>
      <c r="C982" s="6" t="n">
        <f aca="false">'Raw Data'!D982</f>
        <v>228.231998032153</v>
      </c>
      <c r="D982" s="6" t="n">
        <f aca="false">'Raw Data'!E982</f>
        <v>4.45</v>
      </c>
      <c r="E982" s="6" t="n">
        <f aca="false">'Raw Data'!F982</f>
        <v>1</v>
      </c>
      <c r="F982" s="6" t="n">
        <f aca="false">'Raw Data'!G982</f>
        <v>0</v>
      </c>
      <c r="G982" s="6" t="n">
        <f aca="false">'Raw Data'!H982</f>
        <v>0</v>
      </c>
      <c r="H982" s="6" t="n">
        <f aca="false">'Raw Data'!I982</f>
        <v>0</v>
      </c>
      <c r="I982" s="6" t="n">
        <f aca="false">'Raw Data'!J982</f>
        <v>0</v>
      </c>
      <c r="J982" s="6" t="n">
        <f aca="false">'Raw Data'!K982</f>
        <v>1</v>
      </c>
      <c r="K982" s="6" t="n">
        <f aca="false">'Raw Data'!L982</f>
        <v>0</v>
      </c>
      <c r="L982" s="6" t="n">
        <f aca="false">F982*E982</f>
        <v>0</v>
      </c>
      <c r="N982" s="0" t="n">
        <v>1</v>
      </c>
      <c r="O982" s="6" t="n">
        <f aca="false">D982</f>
        <v>4.45</v>
      </c>
      <c r="P982" s="6" t="n">
        <f aca="false">E982</f>
        <v>1</v>
      </c>
      <c r="Q982" s="6" t="n">
        <f aca="false">F982</f>
        <v>0</v>
      </c>
      <c r="R982" s="6" t="n">
        <f aca="false">G982</f>
        <v>0</v>
      </c>
      <c r="S982" s="6" t="n">
        <f aca="false">H982</f>
        <v>0</v>
      </c>
      <c r="T982" s="6" t="n">
        <f aca="false">I982</f>
        <v>0</v>
      </c>
      <c r="U982" s="6" t="n">
        <f aca="false">L982</f>
        <v>0</v>
      </c>
      <c r="W982" s="6" t="n">
        <f aca="false">D982</f>
        <v>4.45</v>
      </c>
      <c r="X982" s="6" t="n">
        <f aca="false">E982</f>
        <v>1</v>
      </c>
      <c r="Y982" s="6" t="n">
        <f aca="false">F982</f>
        <v>0</v>
      </c>
      <c r="Z982" s="6" t="n">
        <f aca="false">L982</f>
        <v>0</v>
      </c>
      <c r="AA982" s="6" t="n">
        <f aca="false">G982</f>
        <v>0</v>
      </c>
      <c r="AC982" s="6" t="n">
        <f aca="false">D982</f>
        <v>4.45</v>
      </c>
      <c r="AD982" s="6" t="n">
        <f aca="false">E982</f>
        <v>1</v>
      </c>
      <c r="AE982" s="6" t="n">
        <f aca="false">G982</f>
        <v>0</v>
      </c>
      <c r="AF982" s="6" t="n">
        <f aca="false">H982</f>
        <v>0</v>
      </c>
      <c r="AG982" s="6" t="n">
        <f aca="false">I982</f>
        <v>0</v>
      </c>
      <c r="AH982" s="6" t="n">
        <f aca="false">L982</f>
        <v>0</v>
      </c>
    </row>
    <row r="983" customFormat="false" ht="15" hidden="false" customHeight="false" outlineLevel="0" collapsed="false">
      <c r="A983" s="0" t="str">
        <f aca="false">'Raw Data'!C983</f>
        <v>Westlake</v>
      </c>
      <c r="B983" s="5" t="n">
        <f aca="false">'Raw Data'!A983</f>
        <v>40316</v>
      </c>
      <c r="C983" s="6" t="n">
        <f aca="false">'Raw Data'!D983</f>
        <v>266.403120843235</v>
      </c>
      <c r="D983" s="6" t="n">
        <f aca="false">'Raw Data'!E983</f>
        <v>4.10875</v>
      </c>
      <c r="E983" s="6" t="n">
        <f aca="false">'Raw Data'!F983</f>
        <v>1</v>
      </c>
      <c r="F983" s="6" t="n">
        <f aca="false">'Raw Data'!G983</f>
        <v>0</v>
      </c>
      <c r="G983" s="6" t="n">
        <f aca="false">'Raw Data'!H983</f>
        <v>0</v>
      </c>
      <c r="H983" s="6" t="n">
        <f aca="false">'Raw Data'!I983</f>
        <v>0</v>
      </c>
      <c r="I983" s="6" t="n">
        <f aca="false">'Raw Data'!J983</f>
        <v>0</v>
      </c>
      <c r="J983" s="6" t="n">
        <f aca="false">'Raw Data'!K983</f>
        <v>1</v>
      </c>
      <c r="K983" s="6" t="n">
        <f aca="false">'Raw Data'!L983</f>
        <v>0</v>
      </c>
      <c r="L983" s="6" t="n">
        <f aca="false">F983*E983</f>
        <v>0</v>
      </c>
      <c r="N983" s="0" t="n">
        <v>1</v>
      </c>
      <c r="O983" s="6" t="n">
        <f aca="false">D983</f>
        <v>4.10875</v>
      </c>
      <c r="P983" s="6" t="n">
        <f aca="false">E983</f>
        <v>1</v>
      </c>
      <c r="Q983" s="6" t="n">
        <f aca="false">F983</f>
        <v>0</v>
      </c>
      <c r="R983" s="6" t="n">
        <f aca="false">G983</f>
        <v>0</v>
      </c>
      <c r="S983" s="6" t="n">
        <f aca="false">H983</f>
        <v>0</v>
      </c>
      <c r="T983" s="6" t="n">
        <f aca="false">I983</f>
        <v>0</v>
      </c>
      <c r="U983" s="6" t="n">
        <f aca="false">L983</f>
        <v>0</v>
      </c>
      <c r="W983" s="6" t="n">
        <f aca="false">D983</f>
        <v>4.10875</v>
      </c>
      <c r="X983" s="6" t="n">
        <f aca="false">E983</f>
        <v>1</v>
      </c>
      <c r="Y983" s="6" t="n">
        <f aca="false">F983</f>
        <v>0</v>
      </c>
      <c r="Z983" s="6" t="n">
        <f aca="false">L983</f>
        <v>0</v>
      </c>
      <c r="AA983" s="6" t="n">
        <f aca="false">G983</f>
        <v>0</v>
      </c>
      <c r="AC983" s="6" t="n">
        <f aca="false">D983</f>
        <v>4.10875</v>
      </c>
      <c r="AD983" s="6" t="n">
        <f aca="false">E983</f>
        <v>1</v>
      </c>
      <c r="AE983" s="6" t="n">
        <f aca="false">G983</f>
        <v>0</v>
      </c>
      <c r="AF983" s="6" t="n">
        <f aca="false">H983</f>
        <v>0</v>
      </c>
      <c r="AG983" s="6" t="n">
        <f aca="false">I983</f>
        <v>0</v>
      </c>
      <c r="AH983" s="6" t="n">
        <f aca="false">L983</f>
        <v>0</v>
      </c>
    </row>
    <row r="984" customFormat="false" ht="15" hidden="false" customHeight="false" outlineLevel="0" collapsed="false">
      <c r="A984" s="0" t="str">
        <f aca="false">'Raw Data'!C984</f>
        <v>Westlake</v>
      </c>
      <c r="B984" s="5" t="n">
        <f aca="false">'Raw Data'!A984</f>
        <v>40323</v>
      </c>
      <c r="C984" s="6" t="n">
        <f aca="false">'Raw Data'!D984</f>
        <v>288.415270999239</v>
      </c>
      <c r="D984" s="6" t="n">
        <f aca="false">'Raw Data'!E984</f>
        <v>4.083333333</v>
      </c>
      <c r="E984" s="6" t="n">
        <f aca="false">'Raw Data'!F984</f>
        <v>1</v>
      </c>
      <c r="F984" s="6" t="n">
        <f aca="false">'Raw Data'!G984</f>
        <v>0</v>
      </c>
      <c r="G984" s="6" t="n">
        <f aca="false">'Raw Data'!H984</f>
        <v>0</v>
      </c>
      <c r="H984" s="6" t="n">
        <f aca="false">'Raw Data'!I984</f>
        <v>0</v>
      </c>
      <c r="I984" s="6" t="n">
        <f aca="false">'Raw Data'!J984</f>
        <v>0</v>
      </c>
      <c r="J984" s="6" t="n">
        <f aca="false">'Raw Data'!K984</f>
        <v>1</v>
      </c>
      <c r="K984" s="6" t="n">
        <f aca="false">'Raw Data'!L984</f>
        <v>0</v>
      </c>
      <c r="L984" s="6" t="n">
        <f aca="false">F984*E984</f>
        <v>0</v>
      </c>
      <c r="N984" s="0" t="n">
        <v>1</v>
      </c>
      <c r="O984" s="6" t="n">
        <f aca="false">D984</f>
        <v>4.083333333</v>
      </c>
      <c r="P984" s="6" t="n">
        <f aca="false">E984</f>
        <v>1</v>
      </c>
      <c r="Q984" s="6" t="n">
        <f aca="false">F984</f>
        <v>0</v>
      </c>
      <c r="R984" s="6" t="n">
        <f aca="false">G984</f>
        <v>0</v>
      </c>
      <c r="S984" s="6" t="n">
        <f aca="false">H984</f>
        <v>0</v>
      </c>
      <c r="T984" s="6" t="n">
        <f aca="false">I984</f>
        <v>0</v>
      </c>
      <c r="U984" s="6" t="n">
        <f aca="false">L984</f>
        <v>0</v>
      </c>
      <c r="W984" s="6" t="n">
        <f aca="false">D984</f>
        <v>4.083333333</v>
      </c>
      <c r="X984" s="6" t="n">
        <f aca="false">E984</f>
        <v>1</v>
      </c>
      <c r="Y984" s="6" t="n">
        <f aca="false">F984</f>
        <v>0</v>
      </c>
      <c r="Z984" s="6" t="n">
        <f aca="false">L984</f>
        <v>0</v>
      </c>
      <c r="AA984" s="6" t="n">
        <f aca="false">G984</f>
        <v>0</v>
      </c>
      <c r="AC984" s="6" t="n">
        <f aca="false">D984</f>
        <v>4.083333333</v>
      </c>
      <c r="AD984" s="6" t="n">
        <f aca="false">E984</f>
        <v>1</v>
      </c>
      <c r="AE984" s="6" t="n">
        <f aca="false">G984</f>
        <v>0</v>
      </c>
      <c r="AF984" s="6" t="n">
        <f aca="false">H984</f>
        <v>0</v>
      </c>
      <c r="AG984" s="6" t="n">
        <f aca="false">I984</f>
        <v>0</v>
      </c>
      <c r="AH984" s="6" t="n">
        <f aca="false">L984</f>
        <v>0</v>
      </c>
    </row>
    <row r="985" customFormat="false" ht="15" hidden="false" customHeight="false" outlineLevel="0" collapsed="false">
      <c r="A985" s="0" t="str">
        <f aca="false">'Raw Data'!C985</f>
        <v>Westlake</v>
      </c>
      <c r="B985" s="5" t="n">
        <f aca="false">'Raw Data'!A985</f>
        <v>40330</v>
      </c>
      <c r="C985" s="6" t="n">
        <f aca="false">'Raw Data'!D985</f>
        <v>286.636420925321</v>
      </c>
      <c r="D985" s="6" t="n">
        <f aca="false">'Raw Data'!E985</f>
        <v>4.083333333</v>
      </c>
      <c r="E985" s="6" t="n">
        <f aca="false">'Raw Data'!F985</f>
        <v>1</v>
      </c>
      <c r="F985" s="6" t="n">
        <f aca="false">'Raw Data'!G985</f>
        <v>0</v>
      </c>
      <c r="G985" s="6" t="n">
        <f aca="false">'Raw Data'!H985</f>
        <v>0</v>
      </c>
      <c r="H985" s="6" t="n">
        <f aca="false">'Raw Data'!I985</f>
        <v>0</v>
      </c>
      <c r="I985" s="6" t="n">
        <f aca="false">'Raw Data'!J985</f>
        <v>0</v>
      </c>
      <c r="J985" s="6" t="n">
        <f aca="false">'Raw Data'!K985</f>
        <v>1</v>
      </c>
      <c r="K985" s="6" t="n">
        <f aca="false">'Raw Data'!L985</f>
        <v>0</v>
      </c>
      <c r="L985" s="6" t="n">
        <f aca="false">F985*E985</f>
        <v>0</v>
      </c>
      <c r="N985" s="0" t="n">
        <v>1</v>
      </c>
      <c r="O985" s="6" t="n">
        <f aca="false">D985</f>
        <v>4.083333333</v>
      </c>
      <c r="P985" s="6" t="n">
        <f aca="false">E985</f>
        <v>1</v>
      </c>
      <c r="Q985" s="6" t="n">
        <f aca="false">F985</f>
        <v>0</v>
      </c>
      <c r="R985" s="6" t="n">
        <f aca="false">G985</f>
        <v>0</v>
      </c>
      <c r="S985" s="6" t="n">
        <f aca="false">H985</f>
        <v>0</v>
      </c>
      <c r="T985" s="6" t="n">
        <f aca="false">I985</f>
        <v>0</v>
      </c>
      <c r="U985" s="6" t="n">
        <f aca="false">L985</f>
        <v>0</v>
      </c>
      <c r="W985" s="6" t="n">
        <f aca="false">D985</f>
        <v>4.083333333</v>
      </c>
      <c r="X985" s="6" t="n">
        <f aca="false">E985</f>
        <v>1</v>
      </c>
      <c r="Y985" s="6" t="n">
        <f aca="false">F985</f>
        <v>0</v>
      </c>
      <c r="Z985" s="6" t="n">
        <f aca="false">L985</f>
        <v>0</v>
      </c>
      <c r="AA985" s="6" t="n">
        <f aca="false">G985</f>
        <v>0</v>
      </c>
      <c r="AC985" s="6" t="n">
        <f aca="false">D985</f>
        <v>4.083333333</v>
      </c>
      <c r="AD985" s="6" t="n">
        <f aca="false">E985</f>
        <v>1</v>
      </c>
      <c r="AE985" s="6" t="n">
        <f aca="false">G985</f>
        <v>0</v>
      </c>
      <c r="AF985" s="6" t="n">
        <f aca="false">H985</f>
        <v>0</v>
      </c>
      <c r="AG985" s="6" t="n">
        <f aca="false">I985</f>
        <v>0</v>
      </c>
      <c r="AH985" s="6" t="n">
        <f aca="false">L985</f>
        <v>0</v>
      </c>
    </row>
    <row r="986" customFormat="false" ht="15" hidden="false" customHeight="false" outlineLevel="0" collapsed="false">
      <c r="A986" s="0" t="str">
        <f aca="false">'Raw Data'!C986</f>
        <v>Westlake</v>
      </c>
      <c r="B986" s="5" t="n">
        <f aca="false">'Raw Data'!A986</f>
        <v>40337</v>
      </c>
      <c r="C986" s="6" t="n">
        <f aca="false">'Raw Data'!D986</f>
        <v>258.305322567252</v>
      </c>
      <c r="D986" s="6" t="n">
        <f aca="false">'Raw Data'!E986</f>
        <v>4.4525</v>
      </c>
      <c r="E986" s="6" t="n">
        <f aca="false">'Raw Data'!F986</f>
        <v>1</v>
      </c>
      <c r="F986" s="6" t="n">
        <f aca="false">'Raw Data'!G986</f>
        <v>0</v>
      </c>
      <c r="G986" s="6" t="n">
        <f aca="false">'Raw Data'!H986</f>
        <v>0</v>
      </c>
      <c r="H986" s="6" t="n">
        <f aca="false">'Raw Data'!I986</f>
        <v>0</v>
      </c>
      <c r="I986" s="6" t="n">
        <f aca="false">'Raw Data'!J986</f>
        <v>0</v>
      </c>
      <c r="J986" s="6" t="n">
        <f aca="false">'Raw Data'!K986</f>
        <v>1</v>
      </c>
      <c r="K986" s="6" t="n">
        <f aca="false">'Raw Data'!L986</f>
        <v>0</v>
      </c>
      <c r="L986" s="6" t="n">
        <f aca="false">F986*E986</f>
        <v>0</v>
      </c>
      <c r="N986" s="0" t="n">
        <v>1</v>
      </c>
      <c r="O986" s="6" t="n">
        <f aca="false">D986</f>
        <v>4.4525</v>
      </c>
      <c r="P986" s="6" t="n">
        <f aca="false">E986</f>
        <v>1</v>
      </c>
      <c r="Q986" s="6" t="n">
        <f aca="false">F986</f>
        <v>0</v>
      </c>
      <c r="R986" s="6" t="n">
        <f aca="false">G986</f>
        <v>0</v>
      </c>
      <c r="S986" s="6" t="n">
        <f aca="false">H986</f>
        <v>0</v>
      </c>
      <c r="T986" s="6" t="n">
        <f aca="false">I986</f>
        <v>0</v>
      </c>
      <c r="U986" s="6" t="n">
        <f aca="false">L986</f>
        <v>0</v>
      </c>
      <c r="W986" s="6" t="n">
        <f aca="false">D986</f>
        <v>4.4525</v>
      </c>
      <c r="X986" s="6" t="n">
        <f aca="false">E986</f>
        <v>1</v>
      </c>
      <c r="Y986" s="6" t="n">
        <f aca="false">F986</f>
        <v>0</v>
      </c>
      <c r="Z986" s="6" t="n">
        <f aca="false">L986</f>
        <v>0</v>
      </c>
      <c r="AA986" s="6" t="n">
        <f aca="false">G986</f>
        <v>0</v>
      </c>
      <c r="AC986" s="6" t="n">
        <f aca="false">D986</f>
        <v>4.4525</v>
      </c>
      <c r="AD986" s="6" t="n">
        <f aca="false">E986</f>
        <v>1</v>
      </c>
      <c r="AE986" s="6" t="n">
        <f aca="false">G986</f>
        <v>0</v>
      </c>
      <c r="AF986" s="6" t="n">
        <f aca="false">H986</f>
        <v>0</v>
      </c>
      <c r="AG986" s="6" t="n">
        <f aca="false">I986</f>
        <v>0</v>
      </c>
      <c r="AH986" s="6" t="n">
        <f aca="false">L986</f>
        <v>0</v>
      </c>
    </row>
    <row r="987" customFormat="false" ht="15" hidden="false" customHeight="false" outlineLevel="0" collapsed="false">
      <c r="A987" s="0" t="str">
        <f aca="false">'Raw Data'!C987</f>
        <v>Westlake</v>
      </c>
      <c r="B987" s="5" t="n">
        <f aca="false">'Raw Data'!A987</f>
        <v>40344</v>
      </c>
      <c r="C987" s="6" t="n">
        <f aca="false">'Raw Data'!D987</f>
        <v>200.363876554379</v>
      </c>
      <c r="D987" s="6" t="n">
        <f aca="false">'Raw Data'!E987</f>
        <v>4.197142857</v>
      </c>
      <c r="E987" s="6" t="n">
        <f aca="false">'Raw Data'!F987</f>
        <v>1</v>
      </c>
      <c r="F987" s="6" t="n">
        <f aca="false">'Raw Data'!G987</f>
        <v>0</v>
      </c>
      <c r="G987" s="6" t="n">
        <f aca="false">'Raw Data'!H987</f>
        <v>0</v>
      </c>
      <c r="H987" s="6" t="n">
        <f aca="false">'Raw Data'!I987</f>
        <v>0</v>
      </c>
      <c r="I987" s="6" t="n">
        <f aca="false">'Raw Data'!J987</f>
        <v>0</v>
      </c>
      <c r="J987" s="6" t="n">
        <f aca="false">'Raw Data'!K987</f>
        <v>1</v>
      </c>
      <c r="K987" s="6" t="n">
        <f aca="false">'Raw Data'!L987</f>
        <v>0</v>
      </c>
      <c r="L987" s="6" t="n">
        <f aca="false">F987*E987</f>
        <v>0</v>
      </c>
      <c r="N987" s="0" t="n">
        <v>1</v>
      </c>
      <c r="O987" s="6" t="n">
        <f aca="false">D987</f>
        <v>4.197142857</v>
      </c>
      <c r="P987" s="6" t="n">
        <f aca="false">E987</f>
        <v>1</v>
      </c>
      <c r="Q987" s="6" t="n">
        <f aca="false">F987</f>
        <v>0</v>
      </c>
      <c r="R987" s="6" t="n">
        <f aca="false">G987</f>
        <v>0</v>
      </c>
      <c r="S987" s="6" t="n">
        <f aca="false">H987</f>
        <v>0</v>
      </c>
      <c r="T987" s="6" t="n">
        <f aca="false">I987</f>
        <v>0</v>
      </c>
      <c r="U987" s="6" t="n">
        <f aca="false">L987</f>
        <v>0</v>
      </c>
      <c r="W987" s="6" t="n">
        <f aca="false">D987</f>
        <v>4.197142857</v>
      </c>
      <c r="X987" s="6" t="n">
        <f aca="false">E987</f>
        <v>1</v>
      </c>
      <c r="Y987" s="6" t="n">
        <f aca="false">F987</f>
        <v>0</v>
      </c>
      <c r="Z987" s="6" t="n">
        <f aca="false">L987</f>
        <v>0</v>
      </c>
      <c r="AA987" s="6" t="n">
        <f aca="false">G987</f>
        <v>0</v>
      </c>
      <c r="AC987" s="6" t="n">
        <f aca="false">D987</f>
        <v>4.197142857</v>
      </c>
      <c r="AD987" s="6" t="n">
        <f aca="false">E987</f>
        <v>1</v>
      </c>
      <c r="AE987" s="6" t="n">
        <f aca="false">G987</f>
        <v>0</v>
      </c>
      <c r="AF987" s="6" t="n">
        <f aca="false">H987</f>
        <v>0</v>
      </c>
      <c r="AG987" s="6" t="n">
        <f aca="false">I987</f>
        <v>0</v>
      </c>
      <c r="AH987" s="6" t="n">
        <f aca="false">L987</f>
        <v>0</v>
      </c>
    </row>
    <row r="988" customFormat="false" ht="15" hidden="false" customHeight="false" outlineLevel="0" collapsed="false">
      <c r="A988" s="0" t="str">
        <f aca="false">'Raw Data'!C988</f>
        <v>Westlake</v>
      </c>
      <c r="B988" s="5" t="n">
        <f aca="false">'Raw Data'!A988</f>
        <v>40351</v>
      </c>
      <c r="C988" s="6" t="n">
        <f aca="false">'Raw Data'!D988</f>
        <v>247.313515202721</v>
      </c>
      <c r="D988" s="6" t="n">
        <f aca="false">'Raw Data'!E988</f>
        <v>4.4525</v>
      </c>
      <c r="E988" s="6" t="n">
        <f aca="false">'Raw Data'!F988</f>
        <v>1</v>
      </c>
      <c r="F988" s="6" t="n">
        <f aca="false">'Raw Data'!G988</f>
        <v>0</v>
      </c>
      <c r="G988" s="6" t="n">
        <f aca="false">'Raw Data'!H988</f>
        <v>1</v>
      </c>
      <c r="H988" s="6" t="n">
        <f aca="false">'Raw Data'!I988</f>
        <v>0</v>
      </c>
      <c r="I988" s="6" t="n">
        <f aca="false">'Raw Data'!J988</f>
        <v>0</v>
      </c>
      <c r="J988" s="6" t="n">
        <f aca="false">'Raw Data'!K988</f>
        <v>1</v>
      </c>
      <c r="K988" s="6" t="n">
        <f aca="false">'Raw Data'!L988</f>
        <v>0</v>
      </c>
      <c r="L988" s="6" t="n">
        <f aca="false">F988*E988</f>
        <v>0</v>
      </c>
      <c r="N988" s="0" t="n">
        <v>1</v>
      </c>
      <c r="O988" s="6" t="n">
        <f aca="false">D988</f>
        <v>4.4525</v>
      </c>
      <c r="P988" s="6" t="n">
        <f aca="false">E988</f>
        <v>1</v>
      </c>
      <c r="Q988" s="6" t="n">
        <f aca="false">F988</f>
        <v>0</v>
      </c>
      <c r="R988" s="6" t="n">
        <f aca="false">G988</f>
        <v>1</v>
      </c>
      <c r="S988" s="6" t="n">
        <f aca="false">H988</f>
        <v>0</v>
      </c>
      <c r="T988" s="6" t="n">
        <f aca="false">I988</f>
        <v>0</v>
      </c>
      <c r="U988" s="6" t="n">
        <f aca="false">L988</f>
        <v>0</v>
      </c>
      <c r="W988" s="6" t="n">
        <f aca="false">D988</f>
        <v>4.4525</v>
      </c>
      <c r="X988" s="6" t="n">
        <f aca="false">E988</f>
        <v>1</v>
      </c>
      <c r="Y988" s="6" t="n">
        <f aca="false">F988</f>
        <v>0</v>
      </c>
      <c r="Z988" s="6" t="n">
        <f aca="false">L988</f>
        <v>0</v>
      </c>
      <c r="AA988" s="6" t="n">
        <f aca="false">G988</f>
        <v>1</v>
      </c>
      <c r="AC988" s="6" t="n">
        <f aca="false">D988</f>
        <v>4.4525</v>
      </c>
      <c r="AD988" s="6" t="n">
        <f aca="false">E988</f>
        <v>1</v>
      </c>
      <c r="AE988" s="6" t="n">
        <f aca="false">G988</f>
        <v>1</v>
      </c>
      <c r="AF988" s="6" t="n">
        <f aca="false">H988</f>
        <v>0</v>
      </c>
      <c r="AG988" s="6" t="n">
        <f aca="false">I988</f>
        <v>0</v>
      </c>
      <c r="AH988" s="6" t="n">
        <f aca="false">L988</f>
        <v>0</v>
      </c>
    </row>
    <row r="989" customFormat="false" ht="15" hidden="false" customHeight="false" outlineLevel="0" collapsed="false">
      <c r="A989" s="0" t="str">
        <f aca="false">'Raw Data'!C989</f>
        <v>Westlake</v>
      </c>
      <c r="B989" s="5" t="n">
        <f aca="false">'Raw Data'!A989</f>
        <v>40358</v>
      </c>
      <c r="C989" s="6" t="n">
        <f aca="false">'Raw Data'!D989</f>
        <v>365.774718715315</v>
      </c>
      <c r="D989" s="6" t="n">
        <f aca="false">'Raw Data'!E989</f>
        <v>3.947142857</v>
      </c>
      <c r="E989" s="6" t="n">
        <f aca="false">'Raw Data'!F989</f>
        <v>1</v>
      </c>
      <c r="F989" s="6" t="n">
        <f aca="false">'Raw Data'!G989</f>
        <v>0</v>
      </c>
      <c r="G989" s="6" t="n">
        <f aca="false">'Raw Data'!H989</f>
        <v>1</v>
      </c>
      <c r="H989" s="6" t="n">
        <f aca="false">'Raw Data'!I989</f>
        <v>1</v>
      </c>
      <c r="I989" s="6" t="n">
        <f aca="false">'Raw Data'!J989</f>
        <v>0</v>
      </c>
      <c r="J989" s="6" t="n">
        <f aca="false">'Raw Data'!K989</f>
        <v>1</v>
      </c>
      <c r="K989" s="6" t="n">
        <f aca="false">'Raw Data'!L989</f>
        <v>0</v>
      </c>
      <c r="L989" s="6" t="n">
        <f aca="false">F989*E989</f>
        <v>0</v>
      </c>
      <c r="N989" s="0" t="n">
        <v>1</v>
      </c>
      <c r="O989" s="6" t="n">
        <f aca="false">D989</f>
        <v>3.947142857</v>
      </c>
      <c r="P989" s="6" t="n">
        <f aca="false">E989</f>
        <v>1</v>
      </c>
      <c r="Q989" s="6" t="n">
        <f aca="false">F989</f>
        <v>0</v>
      </c>
      <c r="R989" s="6" t="n">
        <f aca="false">G989</f>
        <v>1</v>
      </c>
      <c r="S989" s="6" t="n">
        <f aca="false">H989</f>
        <v>1</v>
      </c>
      <c r="T989" s="6" t="n">
        <f aca="false">I989</f>
        <v>0</v>
      </c>
      <c r="U989" s="6" t="n">
        <f aca="false">L989</f>
        <v>0</v>
      </c>
      <c r="W989" s="6" t="n">
        <f aca="false">D989</f>
        <v>3.947142857</v>
      </c>
      <c r="X989" s="6" t="n">
        <f aca="false">E989</f>
        <v>1</v>
      </c>
      <c r="Y989" s="6" t="n">
        <f aca="false">F989</f>
        <v>0</v>
      </c>
      <c r="Z989" s="6" t="n">
        <f aca="false">L989</f>
        <v>0</v>
      </c>
      <c r="AA989" s="6" t="n">
        <f aca="false">G989</f>
        <v>1</v>
      </c>
      <c r="AC989" s="6" t="n">
        <f aca="false">D989</f>
        <v>3.947142857</v>
      </c>
      <c r="AD989" s="6" t="n">
        <f aca="false">E989</f>
        <v>1</v>
      </c>
      <c r="AE989" s="6" t="n">
        <f aca="false">G989</f>
        <v>1</v>
      </c>
      <c r="AF989" s="6" t="n">
        <f aca="false">H989</f>
        <v>1</v>
      </c>
      <c r="AG989" s="6" t="n">
        <f aca="false">I989</f>
        <v>0</v>
      </c>
      <c r="AH989" s="6" t="n">
        <f aca="false">L989</f>
        <v>0</v>
      </c>
    </row>
    <row r="990" customFormat="false" ht="15" hidden="false" customHeight="false" outlineLevel="0" collapsed="false">
      <c r="A990" s="0" t="str">
        <f aca="false">'Raw Data'!C990</f>
        <v>Westlake</v>
      </c>
      <c r="B990" s="5" t="n">
        <f aca="false">'Raw Data'!A990</f>
        <v>40365</v>
      </c>
      <c r="C990" s="6" t="n">
        <f aca="false">'Raw Data'!D990</f>
        <v>314.157933256645</v>
      </c>
      <c r="D990" s="6" t="n">
        <f aca="false">'Raw Data'!E990</f>
        <v>3.637857143</v>
      </c>
      <c r="E990" s="6" t="n">
        <f aca="false">'Raw Data'!F990</f>
        <v>1</v>
      </c>
      <c r="F990" s="6" t="n">
        <f aca="false">'Raw Data'!G990</f>
        <v>0</v>
      </c>
      <c r="G990" s="6" t="n">
        <f aca="false">'Raw Data'!H990</f>
        <v>0</v>
      </c>
      <c r="H990" s="6" t="n">
        <f aca="false">'Raw Data'!I990</f>
        <v>1</v>
      </c>
      <c r="I990" s="6" t="n">
        <f aca="false">'Raw Data'!J990</f>
        <v>0</v>
      </c>
      <c r="J990" s="6" t="n">
        <f aca="false">'Raw Data'!K990</f>
        <v>1</v>
      </c>
      <c r="K990" s="6" t="n">
        <f aca="false">'Raw Data'!L990</f>
        <v>0</v>
      </c>
      <c r="L990" s="6" t="n">
        <f aca="false">F990*E990</f>
        <v>0</v>
      </c>
      <c r="N990" s="0" t="n">
        <v>1</v>
      </c>
      <c r="O990" s="6" t="n">
        <f aca="false">D990</f>
        <v>3.637857143</v>
      </c>
      <c r="P990" s="6" t="n">
        <f aca="false">E990</f>
        <v>1</v>
      </c>
      <c r="Q990" s="6" t="n">
        <f aca="false">F990</f>
        <v>0</v>
      </c>
      <c r="R990" s="6" t="n">
        <f aca="false">G990</f>
        <v>0</v>
      </c>
      <c r="S990" s="6" t="n">
        <f aca="false">H990</f>
        <v>1</v>
      </c>
      <c r="T990" s="6" t="n">
        <f aca="false">I990</f>
        <v>0</v>
      </c>
      <c r="U990" s="6" t="n">
        <f aca="false">L990</f>
        <v>0</v>
      </c>
      <c r="W990" s="6" t="n">
        <f aca="false">D990</f>
        <v>3.637857143</v>
      </c>
      <c r="X990" s="6" t="n">
        <f aca="false">E990</f>
        <v>1</v>
      </c>
      <c r="Y990" s="6" t="n">
        <f aca="false">F990</f>
        <v>0</v>
      </c>
      <c r="Z990" s="6" t="n">
        <f aca="false">L990</f>
        <v>0</v>
      </c>
      <c r="AA990" s="6" t="n">
        <f aca="false">G990</f>
        <v>0</v>
      </c>
      <c r="AC990" s="6" t="n">
        <f aca="false">D990</f>
        <v>3.637857143</v>
      </c>
      <c r="AD990" s="6" t="n">
        <f aca="false">E990</f>
        <v>1</v>
      </c>
      <c r="AE990" s="6" t="n">
        <f aca="false">G990</f>
        <v>0</v>
      </c>
      <c r="AF990" s="6" t="n">
        <f aca="false">H990</f>
        <v>1</v>
      </c>
      <c r="AG990" s="6" t="n">
        <f aca="false">I990</f>
        <v>0</v>
      </c>
      <c r="AH990" s="6" t="n">
        <f aca="false">L990</f>
        <v>0</v>
      </c>
    </row>
    <row r="991" customFormat="false" ht="15" hidden="false" customHeight="false" outlineLevel="0" collapsed="false">
      <c r="A991" s="0" t="str">
        <f aca="false">'Raw Data'!C991</f>
        <v>Westlake</v>
      </c>
      <c r="B991" s="5" t="n">
        <f aca="false">'Raw Data'!A991</f>
        <v>40372</v>
      </c>
      <c r="C991" s="6" t="n">
        <f aca="false">'Raw Data'!D991</f>
        <v>339.191806352381</v>
      </c>
      <c r="D991" s="6" t="n">
        <f aca="false">'Raw Data'!E991</f>
        <v>3.963125</v>
      </c>
      <c r="E991" s="6" t="n">
        <f aca="false">'Raw Data'!F991</f>
        <v>1</v>
      </c>
      <c r="F991" s="6" t="n">
        <f aca="false">'Raw Data'!G991</f>
        <v>0</v>
      </c>
      <c r="G991" s="6" t="n">
        <f aca="false">'Raw Data'!H991</f>
        <v>0</v>
      </c>
      <c r="H991" s="6" t="n">
        <f aca="false">'Raw Data'!I991</f>
        <v>1</v>
      </c>
      <c r="I991" s="6" t="n">
        <f aca="false">'Raw Data'!J991</f>
        <v>0</v>
      </c>
      <c r="J991" s="6" t="n">
        <f aca="false">'Raw Data'!K991</f>
        <v>1</v>
      </c>
      <c r="K991" s="6" t="n">
        <f aca="false">'Raw Data'!L991</f>
        <v>0</v>
      </c>
      <c r="L991" s="6" t="n">
        <f aca="false">F991*E991</f>
        <v>0</v>
      </c>
      <c r="N991" s="0" t="n">
        <v>1</v>
      </c>
      <c r="O991" s="6" t="n">
        <f aca="false">D991</f>
        <v>3.963125</v>
      </c>
      <c r="P991" s="6" t="n">
        <f aca="false">E991</f>
        <v>1</v>
      </c>
      <c r="Q991" s="6" t="n">
        <f aca="false">F991</f>
        <v>0</v>
      </c>
      <c r="R991" s="6" t="n">
        <f aca="false">G991</f>
        <v>0</v>
      </c>
      <c r="S991" s="6" t="n">
        <f aca="false">H991</f>
        <v>1</v>
      </c>
      <c r="T991" s="6" t="n">
        <f aca="false">I991</f>
        <v>0</v>
      </c>
      <c r="U991" s="6" t="n">
        <f aca="false">L991</f>
        <v>0</v>
      </c>
      <c r="W991" s="6" t="n">
        <f aca="false">D991</f>
        <v>3.963125</v>
      </c>
      <c r="X991" s="6" t="n">
        <f aca="false">E991</f>
        <v>1</v>
      </c>
      <c r="Y991" s="6" t="n">
        <f aca="false">F991</f>
        <v>0</v>
      </c>
      <c r="Z991" s="6" t="n">
        <f aca="false">L991</f>
        <v>0</v>
      </c>
      <c r="AA991" s="6" t="n">
        <f aca="false">G991</f>
        <v>0</v>
      </c>
      <c r="AC991" s="6" t="n">
        <f aca="false">D991</f>
        <v>3.963125</v>
      </c>
      <c r="AD991" s="6" t="n">
        <f aca="false">E991</f>
        <v>1</v>
      </c>
      <c r="AE991" s="6" t="n">
        <f aca="false">G991</f>
        <v>0</v>
      </c>
      <c r="AF991" s="6" t="n">
        <f aca="false">H991</f>
        <v>1</v>
      </c>
      <c r="AG991" s="6" t="n">
        <f aca="false">I991</f>
        <v>0</v>
      </c>
      <c r="AH991" s="6" t="n">
        <f aca="false">L991</f>
        <v>0</v>
      </c>
    </row>
    <row r="992" customFormat="false" ht="15" hidden="false" customHeight="false" outlineLevel="0" collapsed="false">
      <c r="A992" s="0" t="str">
        <f aca="false">'Raw Data'!C992</f>
        <v>Academy</v>
      </c>
      <c r="B992" s="5" t="n">
        <f aca="false">'Raw Data'!A992</f>
        <v>40302</v>
      </c>
      <c r="C992" s="6" t="n">
        <f aca="false">'Raw Data'!D992</f>
        <v>270.748899992123</v>
      </c>
      <c r="D992" s="6" t="n">
        <f aca="false">'Raw Data'!E992</f>
        <v>4.29</v>
      </c>
      <c r="E992" s="6" t="n">
        <f aca="false">'Raw Data'!F992</f>
        <v>1</v>
      </c>
      <c r="F992" s="6" t="n">
        <f aca="false">'Raw Data'!G992</f>
        <v>0</v>
      </c>
      <c r="G992" s="6" t="n">
        <f aca="false">'Raw Data'!H992</f>
        <v>0</v>
      </c>
      <c r="H992" s="6" t="n">
        <f aca="false">'Raw Data'!I992</f>
        <v>0</v>
      </c>
      <c r="I992" s="6" t="n">
        <f aca="false">'Raw Data'!J992</f>
        <v>0</v>
      </c>
      <c r="J992" s="6" t="n">
        <f aca="false">'Raw Data'!K992</f>
        <v>1</v>
      </c>
      <c r="K992" s="6" t="n">
        <f aca="false">'Raw Data'!L992</f>
        <v>2</v>
      </c>
      <c r="L992" s="6" t="n">
        <f aca="false">F992*E992</f>
        <v>0</v>
      </c>
      <c r="N992" s="0" t="n">
        <v>1</v>
      </c>
      <c r="O992" s="6" t="n">
        <f aca="false">D992</f>
        <v>4.29</v>
      </c>
      <c r="P992" s="6" t="n">
        <f aca="false">E992</f>
        <v>1</v>
      </c>
      <c r="Q992" s="6" t="n">
        <f aca="false">F992</f>
        <v>0</v>
      </c>
      <c r="R992" s="6" t="n">
        <f aca="false">G992</f>
        <v>0</v>
      </c>
      <c r="S992" s="6" t="n">
        <f aca="false">H992</f>
        <v>0</v>
      </c>
      <c r="T992" s="6" t="n">
        <f aca="false">I992</f>
        <v>0</v>
      </c>
      <c r="U992" s="6" t="n">
        <f aca="false">L992</f>
        <v>0</v>
      </c>
      <c r="W992" s="6" t="n">
        <f aca="false">D992</f>
        <v>4.29</v>
      </c>
      <c r="X992" s="6" t="n">
        <f aca="false">E992</f>
        <v>1</v>
      </c>
      <c r="Y992" s="6" t="n">
        <f aca="false">F992</f>
        <v>0</v>
      </c>
      <c r="Z992" s="6" t="n">
        <f aca="false">L992</f>
        <v>0</v>
      </c>
      <c r="AA992" s="6" t="n">
        <f aca="false">G992</f>
        <v>0</v>
      </c>
      <c r="AC992" s="6" t="n">
        <f aca="false">D992</f>
        <v>4.29</v>
      </c>
      <c r="AD992" s="6" t="n">
        <f aca="false">E992</f>
        <v>1</v>
      </c>
      <c r="AE992" s="6" t="n">
        <f aca="false">G992</f>
        <v>0</v>
      </c>
      <c r="AF992" s="6" t="n">
        <f aca="false">H992</f>
        <v>0</v>
      </c>
      <c r="AG992" s="6" t="n">
        <f aca="false">I992</f>
        <v>0</v>
      </c>
      <c r="AH992" s="6" t="n">
        <f aca="false">L992</f>
        <v>0</v>
      </c>
    </row>
    <row r="993" customFormat="false" ht="15" hidden="false" customHeight="false" outlineLevel="0" collapsed="false">
      <c r="A993" s="0" t="str">
        <f aca="false">'Raw Data'!C993</f>
        <v>Academy</v>
      </c>
      <c r="B993" s="5" t="n">
        <f aca="false">'Raw Data'!A993</f>
        <v>40309</v>
      </c>
      <c r="C993" s="6" t="n">
        <f aca="false">'Raw Data'!D993</f>
        <v>314.505824382809</v>
      </c>
      <c r="D993" s="6" t="n">
        <f aca="false">'Raw Data'!E993</f>
        <v>4.29</v>
      </c>
      <c r="E993" s="6" t="n">
        <f aca="false">'Raw Data'!F993</f>
        <v>1</v>
      </c>
      <c r="F993" s="6" t="n">
        <f aca="false">'Raw Data'!G993</f>
        <v>0</v>
      </c>
      <c r="G993" s="6" t="n">
        <f aca="false">'Raw Data'!H993</f>
        <v>1</v>
      </c>
      <c r="H993" s="6" t="n">
        <f aca="false">'Raw Data'!I993</f>
        <v>0</v>
      </c>
      <c r="I993" s="6" t="n">
        <f aca="false">'Raw Data'!J993</f>
        <v>0</v>
      </c>
      <c r="J993" s="6" t="n">
        <f aca="false">'Raw Data'!K993</f>
        <v>1</v>
      </c>
      <c r="K993" s="6" t="n">
        <f aca="false">'Raw Data'!L993</f>
        <v>2</v>
      </c>
      <c r="L993" s="6" t="n">
        <f aca="false">F993*E993</f>
        <v>0</v>
      </c>
      <c r="N993" s="0" t="n">
        <v>1</v>
      </c>
      <c r="O993" s="6" t="n">
        <f aca="false">D993</f>
        <v>4.29</v>
      </c>
      <c r="P993" s="6" t="n">
        <f aca="false">E993</f>
        <v>1</v>
      </c>
      <c r="Q993" s="6" t="n">
        <f aca="false">F993</f>
        <v>0</v>
      </c>
      <c r="R993" s="6" t="n">
        <f aca="false">G993</f>
        <v>1</v>
      </c>
      <c r="S993" s="6" t="n">
        <f aca="false">H993</f>
        <v>0</v>
      </c>
      <c r="T993" s="6" t="n">
        <f aca="false">I993</f>
        <v>0</v>
      </c>
      <c r="U993" s="6" t="n">
        <f aca="false">L993</f>
        <v>0</v>
      </c>
      <c r="W993" s="6" t="n">
        <f aca="false">D993</f>
        <v>4.29</v>
      </c>
      <c r="X993" s="6" t="n">
        <f aca="false">E993</f>
        <v>1</v>
      </c>
      <c r="Y993" s="6" t="n">
        <f aca="false">F993</f>
        <v>0</v>
      </c>
      <c r="Z993" s="6" t="n">
        <f aca="false">L993</f>
        <v>0</v>
      </c>
      <c r="AA993" s="6" t="n">
        <f aca="false">G993</f>
        <v>1</v>
      </c>
      <c r="AC993" s="6" t="n">
        <f aca="false">D993</f>
        <v>4.29</v>
      </c>
      <c r="AD993" s="6" t="n">
        <f aca="false">E993</f>
        <v>1</v>
      </c>
      <c r="AE993" s="6" t="n">
        <f aca="false">G993</f>
        <v>1</v>
      </c>
      <c r="AF993" s="6" t="n">
        <f aca="false">H993</f>
        <v>0</v>
      </c>
      <c r="AG993" s="6" t="n">
        <f aca="false">I993</f>
        <v>0</v>
      </c>
      <c r="AH993" s="6" t="n">
        <f aca="false">L993</f>
        <v>0</v>
      </c>
    </row>
    <row r="994" customFormat="false" ht="15" hidden="false" customHeight="false" outlineLevel="0" collapsed="false">
      <c r="A994" s="0" t="str">
        <f aca="false">'Raw Data'!C994</f>
        <v>Academy</v>
      </c>
      <c r="B994" s="5" t="n">
        <f aca="false">'Raw Data'!A994</f>
        <v>40316</v>
      </c>
      <c r="C994" s="6" t="n">
        <f aca="false">'Raw Data'!D994</f>
        <v>390.606979162614</v>
      </c>
      <c r="D994" s="6" t="n">
        <f aca="false">'Raw Data'!E994</f>
        <v>4.085833333</v>
      </c>
      <c r="E994" s="6" t="n">
        <f aca="false">'Raw Data'!F994</f>
        <v>1</v>
      </c>
      <c r="F994" s="6" t="n">
        <f aca="false">'Raw Data'!G994</f>
        <v>0</v>
      </c>
      <c r="G994" s="6" t="n">
        <f aca="false">'Raw Data'!H994</f>
        <v>0</v>
      </c>
      <c r="H994" s="6" t="n">
        <f aca="false">'Raw Data'!I994</f>
        <v>1</v>
      </c>
      <c r="I994" s="6" t="n">
        <f aca="false">'Raw Data'!J994</f>
        <v>0</v>
      </c>
      <c r="J994" s="6" t="n">
        <f aca="false">'Raw Data'!K994</f>
        <v>1</v>
      </c>
      <c r="K994" s="6" t="n">
        <f aca="false">'Raw Data'!L994</f>
        <v>2</v>
      </c>
      <c r="L994" s="6" t="n">
        <f aca="false">F994*E994</f>
        <v>0</v>
      </c>
      <c r="N994" s="0" t="n">
        <v>1</v>
      </c>
      <c r="O994" s="6" t="n">
        <f aca="false">D994</f>
        <v>4.085833333</v>
      </c>
      <c r="P994" s="6" t="n">
        <f aca="false">E994</f>
        <v>1</v>
      </c>
      <c r="Q994" s="6" t="n">
        <f aca="false">F994</f>
        <v>0</v>
      </c>
      <c r="R994" s="6" t="n">
        <f aca="false">G994</f>
        <v>0</v>
      </c>
      <c r="S994" s="6" t="n">
        <f aca="false">H994</f>
        <v>1</v>
      </c>
      <c r="T994" s="6" t="n">
        <f aca="false">I994</f>
        <v>0</v>
      </c>
      <c r="U994" s="6" t="n">
        <f aca="false">L994</f>
        <v>0</v>
      </c>
      <c r="W994" s="6" t="n">
        <f aca="false">D994</f>
        <v>4.085833333</v>
      </c>
      <c r="X994" s="6" t="n">
        <f aca="false">E994</f>
        <v>1</v>
      </c>
      <c r="Y994" s="6" t="n">
        <f aca="false">F994</f>
        <v>0</v>
      </c>
      <c r="Z994" s="6" t="n">
        <f aca="false">L994</f>
        <v>0</v>
      </c>
      <c r="AA994" s="6" t="n">
        <f aca="false">G994</f>
        <v>0</v>
      </c>
      <c r="AC994" s="6" t="n">
        <f aca="false">D994</f>
        <v>4.085833333</v>
      </c>
      <c r="AD994" s="6" t="n">
        <f aca="false">E994</f>
        <v>1</v>
      </c>
      <c r="AE994" s="6" t="n">
        <f aca="false">G994</f>
        <v>0</v>
      </c>
      <c r="AF994" s="6" t="n">
        <f aca="false">H994</f>
        <v>1</v>
      </c>
      <c r="AG994" s="6" t="n">
        <f aca="false">I994</f>
        <v>0</v>
      </c>
      <c r="AH994" s="6" t="n">
        <f aca="false">L994</f>
        <v>0</v>
      </c>
    </row>
    <row r="995" customFormat="false" ht="15" hidden="false" customHeight="false" outlineLevel="0" collapsed="false">
      <c r="A995" s="0" t="str">
        <f aca="false">'Raw Data'!C995</f>
        <v>Academy</v>
      </c>
      <c r="B995" s="5" t="n">
        <f aca="false">'Raw Data'!A995</f>
        <v>40323</v>
      </c>
      <c r="C995" s="6" t="n">
        <f aca="false">'Raw Data'!D995</f>
        <v>249.862379827122</v>
      </c>
      <c r="D995" s="6" t="n">
        <f aca="false">'Raw Data'!E995</f>
        <v>4.085833333</v>
      </c>
      <c r="E995" s="6" t="n">
        <f aca="false">'Raw Data'!F995</f>
        <v>1</v>
      </c>
      <c r="F995" s="6" t="n">
        <f aca="false">'Raw Data'!G995</f>
        <v>0</v>
      </c>
      <c r="G995" s="6" t="n">
        <f aca="false">'Raw Data'!H995</f>
        <v>0</v>
      </c>
      <c r="H995" s="6" t="n">
        <f aca="false">'Raw Data'!I995</f>
        <v>1</v>
      </c>
      <c r="I995" s="6" t="n">
        <f aca="false">'Raw Data'!J995</f>
        <v>0</v>
      </c>
      <c r="J995" s="6" t="n">
        <f aca="false">'Raw Data'!K995</f>
        <v>1</v>
      </c>
      <c r="K995" s="6" t="n">
        <f aca="false">'Raw Data'!L995</f>
        <v>2</v>
      </c>
      <c r="L995" s="6" t="n">
        <f aca="false">F995*E995</f>
        <v>0</v>
      </c>
      <c r="N995" s="0" t="n">
        <v>1</v>
      </c>
      <c r="O995" s="6" t="n">
        <f aca="false">D995</f>
        <v>4.085833333</v>
      </c>
      <c r="P995" s="6" t="n">
        <f aca="false">E995</f>
        <v>1</v>
      </c>
      <c r="Q995" s="6" t="n">
        <f aca="false">F995</f>
        <v>0</v>
      </c>
      <c r="R995" s="6" t="n">
        <f aca="false">G995</f>
        <v>0</v>
      </c>
      <c r="S995" s="6" t="n">
        <f aca="false">H995</f>
        <v>1</v>
      </c>
      <c r="T995" s="6" t="n">
        <f aca="false">I995</f>
        <v>0</v>
      </c>
      <c r="U995" s="6" t="n">
        <f aca="false">L995</f>
        <v>0</v>
      </c>
      <c r="W995" s="6" t="n">
        <f aca="false">D995</f>
        <v>4.085833333</v>
      </c>
      <c r="X995" s="6" t="n">
        <f aca="false">E995</f>
        <v>1</v>
      </c>
      <c r="Y995" s="6" t="n">
        <f aca="false">F995</f>
        <v>0</v>
      </c>
      <c r="Z995" s="6" t="n">
        <f aca="false">L995</f>
        <v>0</v>
      </c>
      <c r="AA995" s="6" t="n">
        <f aca="false">G995</f>
        <v>0</v>
      </c>
      <c r="AC995" s="6" t="n">
        <f aca="false">D995</f>
        <v>4.085833333</v>
      </c>
      <c r="AD995" s="6" t="n">
        <f aca="false">E995</f>
        <v>1</v>
      </c>
      <c r="AE995" s="6" t="n">
        <f aca="false">G995</f>
        <v>0</v>
      </c>
      <c r="AF995" s="6" t="n">
        <f aca="false">H995</f>
        <v>1</v>
      </c>
      <c r="AG995" s="6" t="n">
        <f aca="false">I995</f>
        <v>0</v>
      </c>
      <c r="AH995" s="6" t="n">
        <f aca="false">L995</f>
        <v>0</v>
      </c>
    </row>
    <row r="996" customFormat="false" ht="15" hidden="false" customHeight="false" outlineLevel="0" collapsed="false">
      <c r="A996" s="0" t="str">
        <f aca="false">'Raw Data'!C996</f>
        <v>Academy</v>
      </c>
      <c r="B996" s="5" t="n">
        <f aca="false">'Raw Data'!A996</f>
        <v>40330</v>
      </c>
      <c r="C996" s="6" t="n">
        <f aca="false">'Raw Data'!D996</f>
        <v>222.033894307816</v>
      </c>
      <c r="D996" s="6" t="n">
        <f aca="false">'Raw Data'!E996</f>
        <v>4.793125</v>
      </c>
      <c r="E996" s="6" t="n">
        <f aca="false">'Raw Data'!F996</f>
        <v>1</v>
      </c>
      <c r="F996" s="6" t="n">
        <f aca="false">'Raw Data'!G996</f>
        <v>0</v>
      </c>
      <c r="G996" s="6" t="n">
        <f aca="false">'Raw Data'!H996</f>
        <v>0</v>
      </c>
      <c r="H996" s="6" t="n">
        <f aca="false">'Raw Data'!I996</f>
        <v>1</v>
      </c>
      <c r="I996" s="6" t="n">
        <f aca="false">'Raw Data'!J996</f>
        <v>0</v>
      </c>
      <c r="J996" s="6" t="n">
        <f aca="false">'Raw Data'!K996</f>
        <v>1</v>
      </c>
      <c r="K996" s="6" t="n">
        <f aca="false">'Raw Data'!L996</f>
        <v>2</v>
      </c>
      <c r="L996" s="6" t="n">
        <f aca="false">F996*E996</f>
        <v>0</v>
      </c>
      <c r="N996" s="0" t="n">
        <v>1</v>
      </c>
      <c r="O996" s="6" t="n">
        <f aca="false">D996</f>
        <v>4.793125</v>
      </c>
      <c r="P996" s="6" t="n">
        <f aca="false">E996</f>
        <v>1</v>
      </c>
      <c r="Q996" s="6" t="n">
        <f aca="false">F996</f>
        <v>0</v>
      </c>
      <c r="R996" s="6" t="n">
        <f aca="false">G996</f>
        <v>0</v>
      </c>
      <c r="S996" s="6" t="n">
        <f aca="false">H996</f>
        <v>1</v>
      </c>
      <c r="T996" s="6" t="n">
        <f aca="false">I996</f>
        <v>0</v>
      </c>
      <c r="U996" s="6" t="n">
        <f aca="false">L996</f>
        <v>0</v>
      </c>
      <c r="W996" s="6" t="n">
        <f aca="false">D996</f>
        <v>4.793125</v>
      </c>
      <c r="X996" s="6" t="n">
        <f aca="false">E996</f>
        <v>1</v>
      </c>
      <c r="Y996" s="6" t="n">
        <f aca="false">F996</f>
        <v>0</v>
      </c>
      <c r="Z996" s="6" t="n">
        <f aca="false">L996</f>
        <v>0</v>
      </c>
      <c r="AA996" s="6" t="n">
        <f aca="false">G996</f>
        <v>0</v>
      </c>
      <c r="AC996" s="6" t="n">
        <f aca="false">D996</f>
        <v>4.793125</v>
      </c>
      <c r="AD996" s="6" t="n">
        <f aca="false">E996</f>
        <v>1</v>
      </c>
      <c r="AE996" s="6" t="n">
        <f aca="false">G996</f>
        <v>0</v>
      </c>
      <c r="AF996" s="6" t="n">
        <f aca="false">H996</f>
        <v>1</v>
      </c>
      <c r="AG996" s="6" t="n">
        <f aca="false">I996</f>
        <v>0</v>
      </c>
      <c r="AH996" s="6" t="n">
        <f aca="false">L996</f>
        <v>0</v>
      </c>
    </row>
    <row r="997" customFormat="false" ht="15" hidden="false" customHeight="false" outlineLevel="0" collapsed="false">
      <c r="A997" s="0" t="str">
        <f aca="false">'Raw Data'!C997</f>
        <v>Academy</v>
      </c>
      <c r="B997" s="5" t="n">
        <f aca="false">'Raw Data'!A997</f>
        <v>40337</v>
      </c>
      <c r="C997" s="6" t="n">
        <f aca="false">'Raw Data'!D997</f>
        <v>276.358197057361</v>
      </c>
      <c r="D997" s="6" t="n">
        <f aca="false">'Raw Data'!E997</f>
        <v>4.147142857</v>
      </c>
      <c r="E997" s="6" t="n">
        <f aca="false">'Raw Data'!F997</f>
        <v>1</v>
      </c>
      <c r="F997" s="6" t="n">
        <f aca="false">'Raw Data'!G997</f>
        <v>0</v>
      </c>
      <c r="G997" s="6" t="n">
        <f aca="false">'Raw Data'!H997</f>
        <v>0</v>
      </c>
      <c r="H997" s="6" t="n">
        <f aca="false">'Raw Data'!I997</f>
        <v>0</v>
      </c>
      <c r="I997" s="6" t="n">
        <f aca="false">'Raw Data'!J997</f>
        <v>1</v>
      </c>
      <c r="J997" s="6" t="n">
        <f aca="false">'Raw Data'!K997</f>
        <v>1</v>
      </c>
      <c r="K997" s="6" t="n">
        <f aca="false">'Raw Data'!L997</f>
        <v>2</v>
      </c>
      <c r="L997" s="6" t="n">
        <f aca="false">F997*E997</f>
        <v>0</v>
      </c>
      <c r="N997" s="0" t="n">
        <v>1</v>
      </c>
      <c r="O997" s="6" t="n">
        <f aca="false">D997</f>
        <v>4.147142857</v>
      </c>
      <c r="P997" s="6" t="n">
        <f aca="false">E997</f>
        <v>1</v>
      </c>
      <c r="Q997" s="6" t="n">
        <f aca="false">F997</f>
        <v>0</v>
      </c>
      <c r="R997" s="6" t="n">
        <f aca="false">G997</f>
        <v>0</v>
      </c>
      <c r="S997" s="6" t="n">
        <f aca="false">H997</f>
        <v>0</v>
      </c>
      <c r="T997" s="6" t="n">
        <f aca="false">I997</f>
        <v>1</v>
      </c>
      <c r="U997" s="6" t="n">
        <f aca="false">L997</f>
        <v>0</v>
      </c>
      <c r="W997" s="6" t="n">
        <f aca="false">D997</f>
        <v>4.147142857</v>
      </c>
      <c r="X997" s="6" t="n">
        <f aca="false">E997</f>
        <v>1</v>
      </c>
      <c r="Y997" s="6" t="n">
        <f aca="false">F997</f>
        <v>0</v>
      </c>
      <c r="Z997" s="6" t="n">
        <f aca="false">L997</f>
        <v>0</v>
      </c>
      <c r="AA997" s="6" t="n">
        <f aca="false">G997</f>
        <v>0</v>
      </c>
      <c r="AC997" s="6" t="n">
        <f aca="false">D997</f>
        <v>4.147142857</v>
      </c>
      <c r="AD997" s="6" t="n">
        <f aca="false">E997</f>
        <v>1</v>
      </c>
      <c r="AE997" s="6" t="n">
        <f aca="false">G997</f>
        <v>0</v>
      </c>
      <c r="AF997" s="6" t="n">
        <f aca="false">H997</f>
        <v>0</v>
      </c>
      <c r="AG997" s="6" t="n">
        <f aca="false">I997</f>
        <v>1</v>
      </c>
      <c r="AH997" s="6" t="n">
        <f aca="false">L997</f>
        <v>0</v>
      </c>
    </row>
    <row r="998" customFormat="false" ht="15" hidden="false" customHeight="false" outlineLevel="0" collapsed="false">
      <c r="A998" s="0" t="str">
        <f aca="false">'Raw Data'!C998</f>
        <v>Academy</v>
      </c>
      <c r="B998" s="5" t="n">
        <f aca="false">'Raw Data'!A998</f>
        <v>40344</v>
      </c>
      <c r="C998" s="6" t="n">
        <f aca="false">'Raw Data'!D998</f>
        <v>294.863181354517</v>
      </c>
      <c r="D998" s="6" t="n">
        <f aca="false">'Raw Data'!E998</f>
        <v>4.147142857</v>
      </c>
      <c r="E998" s="6" t="n">
        <f aca="false">'Raw Data'!F998</f>
        <v>1</v>
      </c>
      <c r="F998" s="6" t="n">
        <f aca="false">'Raw Data'!G998</f>
        <v>0</v>
      </c>
      <c r="G998" s="6" t="n">
        <f aca="false">'Raw Data'!H998</f>
        <v>0</v>
      </c>
      <c r="H998" s="6" t="n">
        <f aca="false">'Raw Data'!I998</f>
        <v>0</v>
      </c>
      <c r="I998" s="6" t="n">
        <f aca="false">'Raw Data'!J998</f>
        <v>1</v>
      </c>
      <c r="J998" s="6" t="n">
        <f aca="false">'Raw Data'!K998</f>
        <v>1</v>
      </c>
      <c r="K998" s="6" t="n">
        <f aca="false">'Raw Data'!L998</f>
        <v>2</v>
      </c>
      <c r="L998" s="6" t="n">
        <f aca="false">F998*E998</f>
        <v>0</v>
      </c>
      <c r="N998" s="0" t="n">
        <v>1</v>
      </c>
      <c r="O998" s="6" t="n">
        <f aca="false">D998</f>
        <v>4.147142857</v>
      </c>
      <c r="P998" s="6" t="n">
        <f aca="false">E998</f>
        <v>1</v>
      </c>
      <c r="Q998" s="6" t="n">
        <f aca="false">F998</f>
        <v>0</v>
      </c>
      <c r="R998" s="6" t="n">
        <f aca="false">G998</f>
        <v>0</v>
      </c>
      <c r="S998" s="6" t="n">
        <f aca="false">H998</f>
        <v>0</v>
      </c>
      <c r="T998" s="6" t="n">
        <f aca="false">I998</f>
        <v>1</v>
      </c>
      <c r="U998" s="6" t="n">
        <f aca="false">L998</f>
        <v>0</v>
      </c>
      <c r="W998" s="6" t="n">
        <f aca="false">D998</f>
        <v>4.147142857</v>
      </c>
      <c r="X998" s="6" t="n">
        <f aca="false">E998</f>
        <v>1</v>
      </c>
      <c r="Y998" s="6" t="n">
        <f aca="false">F998</f>
        <v>0</v>
      </c>
      <c r="Z998" s="6" t="n">
        <f aca="false">L998</f>
        <v>0</v>
      </c>
      <c r="AA998" s="6" t="n">
        <f aca="false">G998</f>
        <v>0</v>
      </c>
      <c r="AC998" s="6" t="n">
        <f aca="false">D998</f>
        <v>4.147142857</v>
      </c>
      <c r="AD998" s="6" t="n">
        <f aca="false">E998</f>
        <v>1</v>
      </c>
      <c r="AE998" s="6" t="n">
        <f aca="false">G998</f>
        <v>0</v>
      </c>
      <c r="AF998" s="6" t="n">
        <f aca="false">H998</f>
        <v>0</v>
      </c>
      <c r="AG998" s="6" t="n">
        <f aca="false">I998</f>
        <v>1</v>
      </c>
      <c r="AH998" s="6" t="n">
        <f aca="false">L998</f>
        <v>0</v>
      </c>
    </row>
    <row r="999" customFormat="false" ht="15" hidden="false" customHeight="false" outlineLevel="0" collapsed="false">
      <c r="A999" s="0" t="str">
        <f aca="false">'Raw Data'!C999</f>
        <v>Academy</v>
      </c>
      <c r="B999" s="5" t="n">
        <f aca="false">'Raw Data'!A999</f>
        <v>40351</v>
      </c>
      <c r="C999" s="6" t="n">
        <f aca="false">'Raw Data'!D999</f>
        <v>383.455807103812</v>
      </c>
      <c r="D999" s="6" t="n">
        <f aca="false">'Raw Data'!E999</f>
        <v>4.05</v>
      </c>
      <c r="E999" s="6" t="n">
        <f aca="false">'Raw Data'!F999</f>
        <v>1</v>
      </c>
      <c r="F999" s="6" t="n">
        <f aca="false">'Raw Data'!G999</f>
        <v>0</v>
      </c>
      <c r="G999" s="6" t="n">
        <f aca="false">'Raw Data'!H999</f>
        <v>1</v>
      </c>
      <c r="H999" s="6" t="n">
        <f aca="false">'Raw Data'!I999</f>
        <v>0</v>
      </c>
      <c r="I999" s="6" t="n">
        <f aca="false">'Raw Data'!J999</f>
        <v>0</v>
      </c>
      <c r="J999" s="6" t="n">
        <f aca="false">'Raw Data'!K999</f>
        <v>1</v>
      </c>
      <c r="K999" s="6" t="n">
        <f aca="false">'Raw Data'!L999</f>
        <v>2</v>
      </c>
      <c r="L999" s="6" t="n">
        <f aca="false">F999*E999</f>
        <v>0</v>
      </c>
      <c r="N999" s="0" t="n">
        <v>1</v>
      </c>
      <c r="O999" s="6" t="n">
        <f aca="false">D999</f>
        <v>4.05</v>
      </c>
      <c r="P999" s="6" t="n">
        <f aca="false">E999</f>
        <v>1</v>
      </c>
      <c r="Q999" s="6" t="n">
        <f aca="false">F999</f>
        <v>0</v>
      </c>
      <c r="R999" s="6" t="n">
        <f aca="false">G999</f>
        <v>1</v>
      </c>
      <c r="S999" s="6" t="n">
        <f aca="false">H999</f>
        <v>0</v>
      </c>
      <c r="T999" s="6" t="n">
        <f aca="false">I999</f>
        <v>0</v>
      </c>
      <c r="U999" s="6" t="n">
        <f aca="false">L999</f>
        <v>0</v>
      </c>
      <c r="W999" s="6" t="n">
        <f aca="false">D999</f>
        <v>4.05</v>
      </c>
      <c r="X999" s="6" t="n">
        <f aca="false">E999</f>
        <v>1</v>
      </c>
      <c r="Y999" s="6" t="n">
        <f aca="false">F999</f>
        <v>0</v>
      </c>
      <c r="Z999" s="6" t="n">
        <f aca="false">L999</f>
        <v>0</v>
      </c>
      <c r="AA999" s="6" t="n">
        <f aca="false">G999</f>
        <v>1</v>
      </c>
      <c r="AC999" s="6" t="n">
        <f aca="false">D999</f>
        <v>4.05</v>
      </c>
      <c r="AD999" s="6" t="n">
        <f aca="false">E999</f>
        <v>1</v>
      </c>
      <c r="AE999" s="6" t="n">
        <f aca="false">G999</f>
        <v>1</v>
      </c>
      <c r="AF999" s="6" t="n">
        <f aca="false">H999</f>
        <v>0</v>
      </c>
      <c r="AG999" s="6" t="n">
        <f aca="false">I999</f>
        <v>0</v>
      </c>
      <c r="AH999" s="6" t="n">
        <f aca="false">L999</f>
        <v>0</v>
      </c>
    </row>
    <row r="1000" customFormat="false" ht="15" hidden="false" customHeight="false" outlineLevel="0" collapsed="false">
      <c r="A1000" s="0" t="str">
        <f aca="false">'Raw Data'!C1000</f>
        <v>Academy</v>
      </c>
      <c r="B1000" s="5" t="n">
        <f aca="false">'Raw Data'!A1000</f>
        <v>40358</v>
      </c>
      <c r="C1000" s="6" t="n">
        <f aca="false">'Raw Data'!D1000</f>
        <v>300.294244575174</v>
      </c>
      <c r="D1000" s="6" t="n">
        <f aca="false">'Raw Data'!E1000</f>
        <v>4.05</v>
      </c>
      <c r="E1000" s="6" t="n">
        <f aca="false">'Raw Data'!F1000</f>
        <v>1</v>
      </c>
      <c r="F1000" s="6" t="n">
        <f aca="false">'Raw Data'!G1000</f>
        <v>0</v>
      </c>
      <c r="G1000" s="6" t="n">
        <f aca="false">'Raw Data'!H1000</f>
        <v>0</v>
      </c>
      <c r="H1000" s="6" t="n">
        <f aca="false">'Raw Data'!I1000</f>
        <v>1</v>
      </c>
      <c r="I1000" s="6" t="n">
        <f aca="false">'Raw Data'!J1000</f>
        <v>0</v>
      </c>
      <c r="J1000" s="6" t="n">
        <f aca="false">'Raw Data'!K1000</f>
        <v>1</v>
      </c>
      <c r="K1000" s="6" t="n">
        <f aca="false">'Raw Data'!L1000</f>
        <v>2</v>
      </c>
      <c r="L1000" s="6" t="n">
        <f aca="false">F1000*E1000</f>
        <v>0</v>
      </c>
      <c r="N1000" s="0" t="n">
        <v>1</v>
      </c>
      <c r="O1000" s="6" t="n">
        <f aca="false">D1000</f>
        <v>4.05</v>
      </c>
      <c r="P1000" s="6" t="n">
        <f aca="false">E1000</f>
        <v>1</v>
      </c>
      <c r="Q1000" s="6" t="n">
        <f aca="false">F1000</f>
        <v>0</v>
      </c>
      <c r="R1000" s="6" t="n">
        <f aca="false">G1000</f>
        <v>0</v>
      </c>
      <c r="S1000" s="6" t="n">
        <f aca="false">H1000</f>
        <v>1</v>
      </c>
      <c r="T1000" s="6" t="n">
        <f aca="false">I1000</f>
        <v>0</v>
      </c>
      <c r="U1000" s="6" t="n">
        <f aca="false">L1000</f>
        <v>0</v>
      </c>
      <c r="W1000" s="6" t="n">
        <f aca="false">D1000</f>
        <v>4.05</v>
      </c>
      <c r="X1000" s="6" t="n">
        <f aca="false">E1000</f>
        <v>1</v>
      </c>
      <c r="Y1000" s="6" t="n">
        <f aca="false">F1000</f>
        <v>0</v>
      </c>
      <c r="Z1000" s="6" t="n">
        <f aca="false">L1000</f>
        <v>0</v>
      </c>
      <c r="AA1000" s="6" t="n">
        <f aca="false">G1000</f>
        <v>0</v>
      </c>
      <c r="AC1000" s="6" t="n">
        <f aca="false">D1000</f>
        <v>4.05</v>
      </c>
      <c r="AD1000" s="6" t="n">
        <f aca="false">E1000</f>
        <v>1</v>
      </c>
      <c r="AE1000" s="6" t="n">
        <f aca="false">G1000</f>
        <v>0</v>
      </c>
      <c r="AF1000" s="6" t="n">
        <f aca="false">H1000</f>
        <v>1</v>
      </c>
      <c r="AG1000" s="6" t="n">
        <f aca="false">I1000</f>
        <v>0</v>
      </c>
      <c r="AH1000" s="6" t="n">
        <f aca="false">L1000</f>
        <v>0</v>
      </c>
    </row>
    <row r="1001" customFormat="false" ht="15" hidden="false" customHeight="false" outlineLevel="0" collapsed="false">
      <c r="A1001" s="0" t="str">
        <f aca="false">'Raw Data'!C1001</f>
        <v>Academy</v>
      </c>
      <c r="B1001" s="5" t="n">
        <f aca="false">'Raw Data'!A1001</f>
        <v>40365</v>
      </c>
      <c r="C1001" s="6" t="n">
        <f aca="false">'Raw Data'!D1001</f>
        <v>296.743122095153</v>
      </c>
      <c r="D1001" s="6" t="n">
        <f aca="false">'Raw Data'!E1001</f>
        <v>4.581333333</v>
      </c>
      <c r="E1001" s="6" t="n">
        <f aca="false">'Raw Data'!F1001</f>
        <v>1</v>
      </c>
      <c r="F1001" s="6" t="n">
        <f aca="false">'Raw Data'!G1001</f>
        <v>0</v>
      </c>
      <c r="G1001" s="6" t="n">
        <f aca="false">'Raw Data'!H1001</f>
        <v>0</v>
      </c>
      <c r="H1001" s="6" t="n">
        <f aca="false">'Raw Data'!I1001</f>
        <v>1</v>
      </c>
      <c r="I1001" s="6" t="n">
        <f aca="false">'Raw Data'!J1001</f>
        <v>0</v>
      </c>
      <c r="J1001" s="6" t="n">
        <f aca="false">'Raw Data'!K1001</f>
        <v>1</v>
      </c>
      <c r="K1001" s="6" t="n">
        <f aca="false">'Raw Data'!L1001</f>
        <v>2</v>
      </c>
      <c r="L1001" s="6" t="n">
        <f aca="false">F1001*E1001</f>
        <v>0</v>
      </c>
      <c r="N1001" s="0" t="n">
        <v>1</v>
      </c>
      <c r="O1001" s="6" t="n">
        <f aca="false">D1001</f>
        <v>4.581333333</v>
      </c>
      <c r="P1001" s="6" t="n">
        <f aca="false">E1001</f>
        <v>1</v>
      </c>
      <c r="Q1001" s="6" t="n">
        <f aca="false">F1001</f>
        <v>0</v>
      </c>
      <c r="R1001" s="6" t="n">
        <f aca="false">G1001</f>
        <v>0</v>
      </c>
      <c r="S1001" s="6" t="n">
        <f aca="false">H1001</f>
        <v>1</v>
      </c>
      <c r="T1001" s="6" t="n">
        <f aca="false">I1001</f>
        <v>0</v>
      </c>
      <c r="U1001" s="6" t="n">
        <f aca="false">L1001</f>
        <v>0</v>
      </c>
      <c r="W1001" s="6" t="n">
        <f aca="false">D1001</f>
        <v>4.581333333</v>
      </c>
      <c r="X1001" s="6" t="n">
        <f aca="false">E1001</f>
        <v>1</v>
      </c>
      <c r="Y1001" s="6" t="n">
        <f aca="false">F1001</f>
        <v>0</v>
      </c>
      <c r="Z1001" s="6" t="n">
        <f aca="false">L1001</f>
        <v>0</v>
      </c>
      <c r="AA1001" s="6" t="n">
        <f aca="false">G1001</f>
        <v>0</v>
      </c>
      <c r="AC1001" s="6" t="n">
        <f aca="false">D1001</f>
        <v>4.581333333</v>
      </c>
      <c r="AD1001" s="6" t="n">
        <f aca="false">E1001</f>
        <v>1</v>
      </c>
      <c r="AE1001" s="6" t="n">
        <f aca="false">G1001</f>
        <v>0</v>
      </c>
      <c r="AF1001" s="6" t="n">
        <f aca="false">H1001</f>
        <v>1</v>
      </c>
      <c r="AG1001" s="6" t="n">
        <f aca="false">I1001</f>
        <v>0</v>
      </c>
      <c r="AH1001" s="6" t="n">
        <f aca="false">L1001</f>
        <v>0</v>
      </c>
    </row>
    <row r="1002" customFormat="false" ht="15" hidden="false" customHeight="false" outlineLevel="0" collapsed="false">
      <c r="A1002" s="0" t="str">
        <f aca="false">'Raw Data'!C1002</f>
        <v>Academy</v>
      </c>
      <c r="B1002" s="5" t="n">
        <f aca="false">'Raw Data'!A1002</f>
        <v>40372</v>
      </c>
      <c r="C1002" s="6" t="n">
        <f aca="false">'Raw Data'!D1002</f>
        <v>429.797765681415</v>
      </c>
      <c r="D1002" s="6" t="n">
        <f aca="false">'Raw Data'!E1002</f>
        <v>3.556923077</v>
      </c>
      <c r="E1002" s="6" t="n">
        <f aca="false">'Raw Data'!F1002</f>
        <v>1</v>
      </c>
      <c r="F1002" s="6" t="n">
        <f aca="false">'Raw Data'!G1002</f>
        <v>0</v>
      </c>
      <c r="G1002" s="6" t="n">
        <f aca="false">'Raw Data'!H1002</f>
        <v>0</v>
      </c>
      <c r="H1002" s="6" t="n">
        <f aca="false">'Raw Data'!I1002</f>
        <v>1</v>
      </c>
      <c r="I1002" s="6" t="n">
        <f aca="false">'Raw Data'!J1002</f>
        <v>0</v>
      </c>
      <c r="J1002" s="6" t="n">
        <f aca="false">'Raw Data'!K1002</f>
        <v>1</v>
      </c>
      <c r="K1002" s="6" t="n">
        <f aca="false">'Raw Data'!L1002</f>
        <v>2</v>
      </c>
      <c r="L1002" s="6" t="n">
        <f aca="false">F1002*E1002</f>
        <v>0</v>
      </c>
      <c r="N1002" s="0" t="n">
        <v>1</v>
      </c>
      <c r="O1002" s="6" t="n">
        <f aca="false">D1002</f>
        <v>3.556923077</v>
      </c>
      <c r="P1002" s="6" t="n">
        <f aca="false">E1002</f>
        <v>1</v>
      </c>
      <c r="Q1002" s="6" t="n">
        <f aca="false">F1002</f>
        <v>0</v>
      </c>
      <c r="R1002" s="6" t="n">
        <f aca="false">G1002</f>
        <v>0</v>
      </c>
      <c r="S1002" s="6" t="n">
        <f aca="false">H1002</f>
        <v>1</v>
      </c>
      <c r="T1002" s="6" t="n">
        <f aca="false">I1002</f>
        <v>0</v>
      </c>
      <c r="U1002" s="6" t="n">
        <f aca="false">L1002</f>
        <v>0</v>
      </c>
      <c r="W1002" s="6" t="n">
        <f aca="false">D1002</f>
        <v>3.556923077</v>
      </c>
      <c r="X1002" s="6" t="n">
        <f aca="false">E1002</f>
        <v>1</v>
      </c>
      <c r="Y1002" s="6" t="n">
        <f aca="false">F1002</f>
        <v>0</v>
      </c>
      <c r="Z1002" s="6" t="n">
        <f aca="false">L1002</f>
        <v>0</v>
      </c>
      <c r="AA1002" s="6" t="n">
        <f aca="false">G1002</f>
        <v>0</v>
      </c>
      <c r="AC1002" s="6" t="n">
        <f aca="false">D1002</f>
        <v>3.556923077</v>
      </c>
      <c r="AD1002" s="6" t="n">
        <f aca="false">E1002</f>
        <v>1</v>
      </c>
      <c r="AE1002" s="6" t="n">
        <f aca="false">G1002</f>
        <v>0</v>
      </c>
      <c r="AF1002" s="6" t="n">
        <f aca="false">H1002</f>
        <v>1</v>
      </c>
      <c r="AG1002" s="6" t="n">
        <f aca="false">I1002</f>
        <v>0</v>
      </c>
      <c r="AH1002" s="6" t="n">
        <f aca="false">L1002</f>
        <v>0</v>
      </c>
    </row>
    <row r="1003" customFormat="false" ht="15" hidden="false" customHeight="false" outlineLevel="0" collapsed="false">
      <c r="A1003" s="0" t="str">
        <f aca="false">'Raw Data'!C1003</f>
        <v>Belmar</v>
      </c>
      <c r="B1003" s="5" t="n">
        <f aca="false">'Raw Data'!A1003</f>
        <v>40302</v>
      </c>
      <c r="C1003" s="6" t="n">
        <f aca="false">'Raw Data'!D1003</f>
        <v>297.217085045607</v>
      </c>
      <c r="D1003" s="6" t="n">
        <f aca="false">'Raw Data'!E1003</f>
        <v>4.29</v>
      </c>
      <c r="E1003" s="6" t="n">
        <f aca="false">'Raw Data'!F1003</f>
        <v>1</v>
      </c>
      <c r="F1003" s="6" t="n">
        <f aca="false">'Raw Data'!G1003</f>
        <v>0</v>
      </c>
      <c r="G1003" s="6" t="n">
        <f aca="false">'Raw Data'!H1003</f>
        <v>0</v>
      </c>
      <c r="H1003" s="6" t="n">
        <f aca="false">'Raw Data'!I1003</f>
        <v>0</v>
      </c>
      <c r="I1003" s="6" t="n">
        <f aca="false">'Raw Data'!J1003</f>
        <v>0</v>
      </c>
      <c r="J1003" s="6" t="n">
        <f aca="false">'Raw Data'!K1003</f>
        <v>2</v>
      </c>
      <c r="K1003" s="6" t="n">
        <f aca="false">'Raw Data'!L1003</f>
        <v>2</v>
      </c>
      <c r="L1003" s="6" t="n">
        <f aca="false">F1003*E1003</f>
        <v>0</v>
      </c>
      <c r="N1003" s="0" t="n">
        <v>1</v>
      </c>
      <c r="O1003" s="6" t="n">
        <f aca="false">D1003</f>
        <v>4.29</v>
      </c>
      <c r="P1003" s="6" t="n">
        <f aca="false">E1003</f>
        <v>1</v>
      </c>
      <c r="Q1003" s="6" t="n">
        <f aca="false">F1003</f>
        <v>0</v>
      </c>
      <c r="R1003" s="6" t="n">
        <f aca="false">G1003</f>
        <v>0</v>
      </c>
      <c r="S1003" s="6" t="n">
        <f aca="false">H1003</f>
        <v>0</v>
      </c>
      <c r="T1003" s="6" t="n">
        <f aca="false">I1003</f>
        <v>0</v>
      </c>
      <c r="U1003" s="6" t="n">
        <f aca="false">L1003</f>
        <v>0</v>
      </c>
      <c r="W1003" s="6" t="n">
        <f aca="false">D1003</f>
        <v>4.29</v>
      </c>
      <c r="X1003" s="6" t="n">
        <f aca="false">E1003</f>
        <v>1</v>
      </c>
      <c r="Y1003" s="6" t="n">
        <f aca="false">F1003</f>
        <v>0</v>
      </c>
      <c r="Z1003" s="6" t="n">
        <f aca="false">L1003</f>
        <v>0</v>
      </c>
      <c r="AA1003" s="6" t="n">
        <f aca="false">G1003</f>
        <v>0</v>
      </c>
      <c r="AC1003" s="6" t="n">
        <f aca="false">D1003</f>
        <v>4.29</v>
      </c>
      <c r="AD1003" s="6" t="n">
        <f aca="false">E1003</f>
        <v>1</v>
      </c>
      <c r="AE1003" s="6" t="n">
        <f aca="false">G1003</f>
        <v>0</v>
      </c>
      <c r="AF1003" s="6" t="n">
        <f aca="false">H1003</f>
        <v>0</v>
      </c>
      <c r="AG1003" s="6" t="n">
        <f aca="false">I1003</f>
        <v>0</v>
      </c>
      <c r="AH1003" s="6" t="n">
        <f aca="false">L1003</f>
        <v>0</v>
      </c>
    </row>
    <row r="1004" customFormat="false" ht="15" hidden="false" customHeight="false" outlineLevel="0" collapsed="false">
      <c r="A1004" s="0" t="str">
        <f aca="false">'Raw Data'!C1004</f>
        <v>Belmar</v>
      </c>
      <c r="B1004" s="5" t="n">
        <f aca="false">'Raw Data'!A1004</f>
        <v>40309</v>
      </c>
      <c r="C1004" s="6" t="n">
        <f aca="false">'Raw Data'!D1004</f>
        <v>268.405566716801</v>
      </c>
      <c r="D1004" s="6" t="n">
        <f aca="false">'Raw Data'!E1004</f>
        <v>4.29</v>
      </c>
      <c r="E1004" s="6" t="n">
        <f aca="false">'Raw Data'!F1004</f>
        <v>1</v>
      </c>
      <c r="F1004" s="6" t="n">
        <f aca="false">'Raw Data'!G1004</f>
        <v>0</v>
      </c>
      <c r="G1004" s="6" t="n">
        <f aca="false">'Raw Data'!H1004</f>
        <v>0</v>
      </c>
      <c r="H1004" s="6" t="n">
        <f aca="false">'Raw Data'!I1004</f>
        <v>0</v>
      </c>
      <c r="I1004" s="6" t="n">
        <f aca="false">'Raw Data'!J1004</f>
        <v>0</v>
      </c>
      <c r="J1004" s="6" t="n">
        <f aca="false">'Raw Data'!K1004</f>
        <v>2</v>
      </c>
      <c r="K1004" s="6" t="n">
        <f aca="false">'Raw Data'!L1004</f>
        <v>2</v>
      </c>
      <c r="L1004" s="6" t="n">
        <f aca="false">F1004*E1004</f>
        <v>0</v>
      </c>
      <c r="N1004" s="0" t="n">
        <v>1</v>
      </c>
      <c r="O1004" s="6" t="n">
        <f aca="false">D1004</f>
        <v>4.29</v>
      </c>
      <c r="P1004" s="6" t="n">
        <f aca="false">E1004</f>
        <v>1</v>
      </c>
      <c r="Q1004" s="6" t="n">
        <f aca="false">F1004</f>
        <v>0</v>
      </c>
      <c r="R1004" s="6" t="n">
        <f aca="false">G1004</f>
        <v>0</v>
      </c>
      <c r="S1004" s="6" t="n">
        <f aca="false">H1004</f>
        <v>0</v>
      </c>
      <c r="T1004" s="6" t="n">
        <f aca="false">I1004</f>
        <v>0</v>
      </c>
      <c r="U1004" s="6" t="n">
        <f aca="false">L1004</f>
        <v>0</v>
      </c>
      <c r="W1004" s="6" t="n">
        <f aca="false">D1004</f>
        <v>4.29</v>
      </c>
      <c r="X1004" s="6" t="n">
        <f aca="false">E1004</f>
        <v>1</v>
      </c>
      <c r="Y1004" s="6" t="n">
        <f aca="false">F1004</f>
        <v>0</v>
      </c>
      <c r="Z1004" s="6" t="n">
        <f aca="false">L1004</f>
        <v>0</v>
      </c>
      <c r="AA1004" s="6" t="n">
        <f aca="false">G1004</f>
        <v>0</v>
      </c>
      <c r="AC1004" s="6" t="n">
        <f aca="false">D1004</f>
        <v>4.29</v>
      </c>
      <c r="AD1004" s="6" t="n">
        <f aca="false">E1004</f>
        <v>1</v>
      </c>
      <c r="AE1004" s="6" t="n">
        <f aca="false">G1004</f>
        <v>0</v>
      </c>
      <c r="AF1004" s="6" t="n">
        <f aca="false">H1004</f>
        <v>0</v>
      </c>
      <c r="AG1004" s="6" t="n">
        <f aca="false">I1004</f>
        <v>0</v>
      </c>
      <c r="AH1004" s="6" t="n">
        <f aca="false">L1004</f>
        <v>0</v>
      </c>
    </row>
    <row r="1005" customFormat="false" ht="15" hidden="false" customHeight="false" outlineLevel="0" collapsed="false">
      <c r="A1005" s="0" t="str">
        <f aca="false">'Raw Data'!C1005</f>
        <v>Belmar</v>
      </c>
      <c r="B1005" s="5" t="n">
        <f aca="false">'Raw Data'!A1005</f>
        <v>40316</v>
      </c>
      <c r="C1005" s="6" t="n">
        <f aca="false">'Raw Data'!D1005</f>
        <v>206.027988501256</v>
      </c>
      <c r="D1005" s="6" t="n">
        <f aca="false">'Raw Data'!E1005</f>
        <v>4.085833333</v>
      </c>
      <c r="E1005" s="6" t="n">
        <f aca="false">'Raw Data'!F1005</f>
        <v>1</v>
      </c>
      <c r="F1005" s="6" t="n">
        <f aca="false">'Raw Data'!G1005</f>
        <v>0</v>
      </c>
      <c r="G1005" s="6" t="n">
        <f aca="false">'Raw Data'!H1005</f>
        <v>0</v>
      </c>
      <c r="H1005" s="6" t="n">
        <f aca="false">'Raw Data'!I1005</f>
        <v>0</v>
      </c>
      <c r="I1005" s="6" t="n">
        <f aca="false">'Raw Data'!J1005</f>
        <v>0</v>
      </c>
      <c r="J1005" s="6" t="n">
        <f aca="false">'Raw Data'!K1005</f>
        <v>2</v>
      </c>
      <c r="K1005" s="6" t="n">
        <f aca="false">'Raw Data'!L1005</f>
        <v>2</v>
      </c>
      <c r="L1005" s="6" t="n">
        <f aca="false">F1005*E1005</f>
        <v>0</v>
      </c>
      <c r="N1005" s="0" t="n">
        <v>1</v>
      </c>
      <c r="O1005" s="6" t="n">
        <f aca="false">D1005</f>
        <v>4.085833333</v>
      </c>
      <c r="P1005" s="6" t="n">
        <f aca="false">E1005</f>
        <v>1</v>
      </c>
      <c r="Q1005" s="6" t="n">
        <f aca="false">F1005</f>
        <v>0</v>
      </c>
      <c r="R1005" s="6" t="n">
        <f aca="false">G1005</f>
        <v>0</v>
      </c>
      <c r="S1005" s="6" t="n">
        <f aca="false">H1005</f>
        <v>0</v>
      </c>
      <c r="T1005" s="6" t="n">
        <f aca="false">I1005</f>
        <v>0</v>
      </c>
      <c r="U1005" s="6" t="n">
        <f aca="false">L1005</f>
        <v>0</v>
      </c>
      <c r="W1005" s="6" t="n">
        <f aca="false">D1005</f>
        <v>4.085833333</v>
      </c>
      <c r="X1005" s="6" t="n">
        <f aca="false">E1005</f>
        <v>1</v>
      </c>
      <c r="Y1005" s="6" t="n">
        <f aca="false">F1005</f>
        <v>0</v>
      </c>
      <c r="Z1005" s="6" t="n">
        <f aca="false">L1005</f>
        <v>0</v>
      </c>
      <c r="AA1005" s="6" t="n">
        <f aca="false">G1005</f>
        <v>0</v>
      </c>
      <c r="AC1005" s="6" t="n">
        <f aca="false">D1005</f>
        <v>4.085833333</v>
      </c>
      <c r="AD1005" s="6" t="n">
        <f aca="false">E1005</f>
        <v>1</v>
      </c>
      <c r="AE1005" s="6" t="n">
        <f aca="false">G1005</f>
        <v>0</v>
      </c>
      <c r="AF1005" s="6" t="n">
        <f aca="false">H1005</f>
        <v>0</v>
      </c>
      <c r="AG1005" s="6" t="n">
        <f aca="false">I1005</f>
        <v>0</v>
      </c>
      <c r="AH1005" s="6" t="n">
        <f aca="false">L1005</f>
        <v>0</v>
      </c>
    </row>
    <row r="1006" customFormat="false" ht="15" hidden="false" customHeight="false" outlineLevel="0" collapsed="false">
      <c r="A1006" s="0" t="str">
        <f aca="false">'Raw Data'!C1006</f>
        <v>Belmar</v>
      </c>
      <c r="B1006" s="5" t="n">
        <f aca="false">'Raw Data'!A1006</f>
        <v>40323</v>
      </c>
      <c r="C1006" s="6" t="n">
        <f aca="false">'Raw Data'!D1006</f>
        <v>201.967341536031</v>
      </c>
      <c r="D1006" s="6" t="n">
        <f aca="false">'Raw Data'!E1006</f>
        <v>4.085833333</v>
      </c>
      <c r="E1006" s="6" t="n">
        <f aca="false">'Raw Data'!F1006</f>
        <v>1</v>
      </c>
      <c r="F1006" s="6" t="n">
        <f aca="false">'Raw Data'!G1006</f>
        <v>0</v>
      </c>
      <c r="G1006" s="6" t="n">
        <f aca="false">'Raw Data'!H1006</f>
        <v>0</v>
      </c>
      <c r="H1006" s="6" t="n">
        <f aca="false">'Raw Data'!I1006</f>
        <v>0</v>
      </c>
      <c r="I1006" s="6" t="n">
        <f aca="false">'Raw Data'!J1006</f>
        <v>0</v>
      </c>
      <c r="J1006" s="6" t="n">
        <f aca="false">'Raw Data'!K1006</f>
        <v>2</v>
      </c>
      <c r="K1006" s="6" t="n">
        <f aca="false">'Raw Data'!L1006</f>
        <v>2</v>
      </c>
      <c r="L1006" s="6" t="n">
        <f aca="false">F1006*E1006</f>
        <v>0</v>
      </c>
      <c r="N1006" s="0" t="n">
        <v>1</v>
      </c>
      <c r="O1006" s="6" t="n">
        <f aca="false">D1006</f>
        <v>4.085833333</v>
      </c>
      <c r="P1006" s="6" t="n">
        <f aca="false">E1006</f>
        <v>1</v>
      </c>
      <c r="Q1006" s="6" t="n">
        <f aca="false">F1006</f>
        <v>0</v>
      </c>
      <c r="R1006" s="6" t="n">
        <f aca="false">G1006</f>
        <v>0</v>
      </c>
      <c r="S1006" s="6" t="n">
        <f aca="false">H1006</f>
        <v>0</v>
      </c>
      <c r="T1006" s="6" t="n">
        <f aca="false">I1006</f>
        <v>0</v>
      </c>
      <c r="U1006" s="6" t="n">
        <f aca="false">L1006</f>
        <v>0</v>
      </c>
      <c r="W1006" s="6" t="n">
        <f aca="false">D1006</f>
        <v>4.085833333</v>
      </c>
      <c r="X1006" s="6" t="n">
        <f aca="false">E1006</f>
        <v>1</v>
      </c>
      <c r="Y1006" s="6" t="n">
        <f aca="false">F1006</f>
        <v>0</v>
      </c>
      <c r="Z1006" s="6" t="n">
        <f aca="false">L1006</f>
        <v>0</v>
      </c>
      <c r="AA1006" s="6" t="n">
        <f aca="false">G1006</f>
        <v>0</v>
      </c>
      <c r="AC1006" s="6" t="n">
        <f aca="false">D1006</f>
        <v>4.085833333</v>
      </c>
      <c r="AD1006" s="6" t="n">
        <f aca="false">E1006</f>
        <v>1</v>
      </c>
      <c r="AE1006" s="6" t="n">
        <f aca="false">G1006</f>
        <v>0</v>
      </c>
      <c r="AF1006" s="6" t="n">
        <f aca="false">H1006</f>
        <v>0</v>
      </c>
      <c r="AG1006" s="6" t="n">
        <f aca="false">I1006</f>
        <v>0</v>
      </c>
      <c r="AH1006" s="6" t="n">
        <f aca="false">L1006</f>
        <v>0</v>
      </c>
    </row>
    <row r="1007" customFormat="false" ht="15" hidden="false" customHeight="false" outlineLevel="0" collapsed="false">
      <c r="A1007" s="0" t="str">
        <f aca="false">'Raw Data'!C1007</f>
        <v>Belmar</v>
      </c>
      <c r="B1007" s="5" t="n">
        <f aca="false">'Raw Data'!A1007</f>
        <v>40330</v>
      </c>
      <c r="C1007" s="6" t="n">
        <f aca="false">'Raw Data'!D1007</f>
        <v>239.726974587255</v>
      </c>
      <c r="D1007" s="6" t="n">
        <f aca="false">'Raw Data'!E1007</f>
        <v>3.84</v>
      </c>
      <c r="E1007" s="6" t="n">
        <f aca="false">'Raw Data'!F1007</f>
        <v>1</v>
      </c>
      <c r="F1007" s="6" t="n">
        <f aca="false">'Raw Data'!G1007</f>
        <v>0</v>
      </c>
      <c r="G1007" s="6" t="n">
        <f aca="false">'Raw Data'!H1007</f>
        <v>0</v>
      </c>
      <c r="H1007" s="6" t="n">
        <f aca="false">'Raw Data'!I1007</f>
        <v>0</v>
      </c>
      <c r="I1007" s="6" t="n">
        <f aca="false">'Raw Data'!J1007</f>
        <v>0</v>
      </c>
      <c r="J1007" s="6" t="n">
        <f aca="false">'Raw Data'!K1007</f>
        <v>2</v>
      </c>
      <c r="K1007" s="6" t="n">
        <f aca="false">'Raw Data'!L1007</f>
        <v>2</v>
      </c>
      <c r="L1007" s="6" t="n">
        <f aca="false">F1007*E1007</f>
        <v>0</v>
      </c>
      <c r="N1007" s="0" t="n">
        <v>1</v>
      </c>
      <c r="O1007" s="6" t="n">
        <f aca="false">D1007</f>
        <v>3.84</v>
      </c>
      <c r="P1007" s="6" t="n">
        <f aca="false">E1007</f>
        <v>1</v>
      </c>
      <c r="Q1007" s="6" t="n">
        <f aca="false">F1007</f>
        <v>0</v>
      </c>
      <c r="R1007" s="6" t="n">
        <f aca="false">G1007</f>
        <v>0</v>
      </c>
      <c r="S1007" s="6" t="n">
        <f aca="false">H1007</f>
        <v>0</v>
      </c>
      <c r="T1007" s="6" t="n">
        <f aca="false">I1007</f>
        <v>0</v>
      </c>
      <c r="U1007" s="6" t="n">
        <f aca="false">L1007</f>
        <v>0</v>
      </c>
      <c r="W1007" s="6" t="n">
        <f aca="false">D1007</f>
        <v>3.84</v>
      </c>
      <c r="X1007" s="6" t="n">
        <f aca="false">E1007</f>
        <v>1</v>
      </c>
      <c r="Y1007" s="6" t="n">
        <f aca="false">F1007</f>
        <v>0</v>
      </c>
      <c r="Z1007" s="6" t="n">
        <f aca="false">L1007</f>
        <v>0</v>
      </c>
      <c r="AA1007" s="6" t="n">
        <f aca="false">G1007</f>
        <v>0</v>
      </c>
      <c r="AC1007" s="6" t="n">
        <f aca="false">D1007</f>
        <v>3.84</v>
      </c>
      <c r="AD1007" s="6" t="n">
        <f aca="false">E1007</f>
        <v>1</v>
      </c>
      <c r="AE1007" s="6" t="n">
        <f aca="false">G1007</f>
        <v>0</v>
      </c>
      <c r="AF1007" s="6" t="n">
        <f aca="false">H1007</f>
        <v>0</v>
      </c>
      <c r="AG1007" s="6" t="n">
        <f aca="false">I1007</f>
        <v>0</v>
      </c>
      <c r="AH1007" s="6" t="n">
        <f aca="false">L1007</f>
        <v>0</v>
      </c>
    </row>
    <row r="1008" customFormat="false" ht="15" hidden="false" customHeight="false" outlineLevel="0" collapsed="false">
      <c r="A1008" s="0" t="str">
        <f aca="false">'Raw Data'!C1008</f>
        <v>Belmar</v>
      </c>
      <c r="B1008" s="5" t="n">
        <f aca="false">'Raw Data'!A1008</f>
        <v>40337</v>
      </c>
      <c r="C1008" s="6" t="n">
        <f aca="false">'Raw Data'!D1008</f>
        <v>171.392818591553</v>
      </c>
      <c r="D1008" s="6" t="n">
        <f aca="false">'Raw Data'!E1008</f>
        <v>4.259230769</v>
      </c>
      <c r="E1008" s="6" t="n">
        <f aca="false">'Raw Data'!F1008</f>
        <v>1</v>
      </c>
      <c r="F1008" s="6" t="n">
        <f aca="false">'Raw Data'!G1008</f>
        <v>0</v>
      </c>
      <c r="G1008" s="6" t="n">
        <f aca="false">'Raw Data'!H1008</f>
        <v>0</v>
      </c>
      <c r="H1008" s="6" t="n">
        <f aca="false">'Raw Data'!I1008</f>
        <v>0</v>
      </c>
      <c r="I1008" s="6" t="n">
        <f aca="false">'Raw Data'!J1008</f>
        <v>0</v>
      </c>
      <c r="J1008" s="6" t="n">
        <f aca="false">'Raw Data'!K1008</f>
        <v>2</v>
      </c>
      <c r="K1008" s="6" t="n">
        <f aca="false">'Raw Data'!L1008</f>
        <v>2</v>
      </c>
      <c r="L1008" s="6" t="n">
        <f aca="false">F1008*E1008</f>
        <v>0</v>
      </c>
      <c r="N1008" s="0" t="n">
        <v>1</v>
      </c>
      <c r="O1008" s="6" t="n">
        <f aca="false">D1008</f>
        <v>4.259230769</v>
      </c>
      <c r="P1008" s="6" t="n">
        <f aca="false">E1008</f>
        <v>1</v>
      </c>
      <c r="Q1008" s="6" t="n">
        <f aca="false">F1008</f>
        <v>0</v>
      </c>
      <c r="R1008" s="6" t="n">
        <f aca="false">G1008</f>
        <v>0</v>
      </c>
      <c r="S1008" s="6" t="n">
        <f aca="false">H1008</f>
        <v>0</v>
      </c>
      <c r="T1008" s="6" t="n">
        <f aca="false">I1008</f>
        <v>0</v>
      </c>
      <c r="U1008" s="6" t="n">
        <f aca="false">L1008</f>
        <v>0</v>
      </c>
      <c r="W1008" s="6" t="n">
        <f aca="false">D1008</f>
        <v>4.259230769</v>
      </c>
      <c r="X1008" s="6" t="n">
        <f aca="false">E1008</f>
        <v>1</v>
      </c>
      <c r="Y1008" s="6" t="n">
        <f aca="false">F1008</f>
        <v>0</v>
      </c>
      <c r="Z1008" s="6" t="n">
        <f aca="false">L1008</f>
        <v>0</v>
      </c>
      <c r="AA1008" s="6" t="n">
        <f aca="false">G1008</f>
        <v>0</v>
      </c>
      <c r="AC1008" s="6" t="n">
        <f aca="false">D1008</f>
        <v>4.259230769</v>
      </c>
      <c r="AD1008" s="6" t="n">
        <f aca="false">E1008</f>
        <v>1</v>
      </c>
      <c r="AE1008" s="6" t="n">
        <f aca="false">G1008</f>
        <v>0</v>
      </c>
      <c r="AF1008" s="6" t="n">
        <f aca="false">H1008</f>
        <v>0</v>
      </c>
      <c r="AG1008" s="6" t="n">
        <f aca="false">I1008</f>
        <v>0</v>
      </c>
      <c r="AH1008" s="6" t="n">
        <f aca="false">L1008</f>
        <v>0</v>
      </c>
    </row>
    <row r="1009" customFormat="false" ht="15" hidden="false" customHeight="false" outlineLevel="0" collapsed="false">
      <c r="A1009" s="0" t="str">
        <f aca="false">'Raw Data'!C1009</f>
        <v>Belmar</v>
      </c>
      <c r="B1009" s="5" t="n">
        <f aca="false">'Raw Data'!A1009</f>
        <v>40344</v>
      </c>
      <c r="C1009" s="6" t="n">
        <f aca="false">'Raw Data'!D1009</f>
        <v>172.745594513119</v>
      </c>
      <c r="D1009" s="6" t="n">
        <f aca="false">'Raw Data'!E1009</f>
        <v>4.99</v>
      </c>
      <c r="E1009" s="6" t="n">
        <f aca="false">'Raw Data'!F1009</f>
        <v>1</v>
      </c>
      <c r="F1009" s="6" t="n">
        <f aca="false">'Raw Data'!G1009</f>
        <v>0</v>
      </c>
      <c r="G1009" s="6" t="n">
        <f aca="false">'Raw Data'!H1009</f>
        <v>0</v>
      </c>
      <c r="H1009" s="6" t="n">
        <f aca="false">'Raw Data'!I1009</f>
        <v>0</v>
      </c>
      <c r="I1009" s="6" t="n">
        <f aca="false">'Raw Data'!J1009</f>
        <v>0</v>
      </c>
      <c r="J1009" s="6" t="n">
        <f aca="false">'Raw Data'!K1009</f>
        <v>2</v>
      </c>
      <c r="K1009" s="6" t="n">
        <f aca="false">'Raw Data'!L1009</f>
        <v>2</v>
      </c>
      <c r="L1009" s="6" t="n">
        <f aca="false">F1009*E1009</f>
        <v>0</v>
      </c>
      <c r="N1009" s="0" t="n">
        <v>1</v>
      </c>
      <c r="O1009" s="6" t="n">
        <f aca="false">D1009</f>
        <v>4.99</v>
      </c>
      <c r="P1009" s="6" t="n">
        <f aca="false">E1009</f>
        <v>1</v>
      </c>
      <c r="Q1009" s="6" t="n">
        <f aca="false">F1009</f>
        <v>0</v>
      </c>
      <c r="R1009" s="6" t="n">
        <f aca="false">G1009</f>
        <v>0</v>
      </c>
      <c r="S1009" s="6" t="n">
        <f aca="false">H1009</f>
        <v>0</v>
      </c>
      <c r="T1009" s="6" t="n">
        <f aca="false">I1009</f>
        <v>0</v>
      </c>
      <c r="U1009" s="6" t="n">
        <f aca="false">L1009</f>
        <v>0</v>
      </c>
      <c r="W1009" s="6" t="n">
        <f aca="false">D1009</f>
        <v>4.99</v>
      </c>
      <c r="X1009" s="6" t="n">
        <f aca="false">E1009</f>
        <v>1</v>
      </c>
      <c r="Y1009" s="6" t="n">
        <f aca="false">F1009</f>
        <v>0</v>
      </c>
      <c r="Z1009" s="6" t="n">
        <f aca="false">L1009</f>
        <v>0</v>
      </c>
      <c r="AA1009" s="6" t="n">
        <f aca="false">G1009</f>
        <v>0</v>
      </c>
      <c r="AC1009" s="6" t="n">
        <f aca="false">D1009</f>
        <v>4.99</v>
      </c>
      <c r="AD1009" s="6" t="n">
        <f aca="false">E1009</f>
        <v>1</v>
      </c>
      <c r="AE1009" s="6" t="n">
        <f aca="false">G1009</f>
        <v>0</v>
      </c>
      <c r="AF1009" s="6" t="n">
        <f aca="false">H1009</f>
        <v>0</v>
      </c>
      <c r="AG1009" s="6" t="n">
        <f aca="false">I1009</f>
        <v>0</v>
      </c>
      <c r="AH1009" s="6" t="n">
        <f aca="false">L1009</f>
        <v>0</v>
      </c>
    </row>
    <row r="1010" customFormat="false" ht="15" hidden="false" customHeight="false" outlineLevel="0" collapsed="false">
      <c r="A1010" s="0" t="str">
        <f aca="false">'Raw Data'!C1010</f>
        <v>Belmar</v>
      </c>
      <c r="B1010" s="5" t="n">
        <f aca="false">'Raw Data'!A1010</f>
        <v>40351</v>
      </c>
      <c r="C1010" s="6" t="n">
        <f aca="false">'Raw Data'!D1010</f>
        <v>379.204127363105</v>
      </c>
      <c r="D1010" s="6" t="n">
        <f aca="false">'Raw Data'!E1010</f>
        <v>3.768571429</v>
      </c>
      <c r="E1010" s="6" t="n">
        <f aca="false">'Raw Data'!F1010</f>
        <v>1</v>
      </c>
      <c r="F1010" s="6" t="n">
        <f aca="false">'Raw Data'!G1010</f>
        <v>0</v>
      </c>
      <c r="G1010" s="6" t="n">
        <f aca="false">'Raw Data'!H1010</f>
        <v>1</v>
      </c>
      <c r="H1010" s="6" t="n">
        <f aca="false">'Raw Data'!I1010</f>
        <v>0</v>
      </c>
      <c r="I1010" s="6" t="n">
        <f aca="false">'Raw Data'!J1010</f>
        <v>0</v>
      </c>
      <c r="J1010" s="6" t="n">
        <f aca="false">'Raw Data'!K1010</f>
        <v>2</v>
      </c>
      <c r="K1010" s="6" t="n">
        <f aca="false">'Raw Data'!L1010</f>
        <v>2</v>
      </c>
      <c r="L1010" s="6" t="n">
        <f aca="false">F1010*E1010</f>
        <v>0</v>
      </c>
      <c r="N1010" s="0" t="n">
        <v>1</v>
      </c>
      <c r="O1010" s="6" t="n">
        <f aca="false">D1010</f>
        <v>3.768571429</v>
      </c>
      <c r="P1010" s="6" t="n">
        <f aca="false">E1010</f>
        <v>1</v>
      </c>
      <c r="Q1010" s="6" t="n">
        <f aca="false">F1010</f>
        <v>0</v>
      </c>
      <c r="R1010" s="6" t="n">
        <f aca="false">G1010</f>
        <v>1</v>
      </c>
      <c r="S1010" s="6" t="n">
        <f aca="false">H1010</f>
        <v>0</v>
      </c>
      <c r="T1010" s="6" t="n">
        <f aca="false">I1010</f>
        <v>0</v>
      </c>
      <c r="U1010" s="6" t="n">
        <f aca="false">L1010</f>
        <v>0</v>
      </c>
      <c r="W1010" s="6" t="n">
        <f aca="false">D1010</f>
        <v>3.768571429</v>
      </c>
      <c r="X1010" s="6" t="n">
        <f aca="false">E1010</f>
        <v>1</v>
      </c>
      <c r="Y1010" s="6" t="n">
        <f aca="false">F1010</f>
        <v>0</v>
      </c>
      <c r="Z1010" s="6" t="n">
        <f aca="false">L1010</f>
        <v>0</v>
      </c>
      <c r="AA1010" s="6" t="n">
        <f aca="false">G1010</f>
        <v>1</v>
      </c>
      <c r="AC1010" s="6" t="n">
        <f aca="false">D1010</f>
        <v>3.768571429</v>
      </c>
      <c r="AD1010" s="6" t="n">
        <f aca="false">E1010</f>
        <v>1</v>
      </c>
      <c r="AE1010" s="6" t="n">
        <f aca="false">G1010</f>
        <v>1</v>
      </c>
      <c r="AF1010" s="6" t="n">
        <f aca="false">H1010</f>
        <v>0</v>
      </c>
      <c r="AG1010" s="6" t="n">
        <f aca="false">I1010</f>
        <v>0</v>
      </c>
      <c r="AH1010" s="6" t="n">
        <f aca="false">L1010</f>
        <v>0</v>
      </c>
    </row>
    <row r="1011" customFormat="false" ht="15" hidden="false" customHeight="false" outlineLevel="0" collapsed="false">
      <c r="A1011" s="0" t="str">
        <f aca="false">'Raw Data'!C1011</f>
        <v>Belmar</v>
      </c>
      <c r="B1011" s="5" t="n">
        <f aca="false">'Raw Data'!A1011</f>
        <v>40358</v>
      </c>
      <c r="C1011" s="6" t="n">
        <f aca="false">'Raw Data'!D1011</f>
        <v>346.149380281545</v>
      </c>
      <c r="D1011" s="6" t="n">
        <f aca="false">'Raw Data'!E1011</f>
        <v>4.7025</v>
      </c>
      <c r="E1011" s="6" t="n">
        <f aca="false">'Raw Data'!F1011</f>
        <v>1</v>
      </c>
      <c r="F1011" s="6" t="n">
        <f aca="false">'Raw Data'!G1011</f>
        <v>0</v>
      </c>
      <c r="G1011" s="6" t="n">
        <f aca="false">'Raw Data'!H1011</f>
        <v>0</v>
      </c>
      <c r="H1011" s="6" t="n">
        <f aca="false">'Raw Data'!I1011</f>
        <v>1</v>
      </c>
      <c r="I1011" s="6" t="n">
        <f aca="false">'Raw Data'!J1011</f>
        <v>0</v>
      </c>
      <c r="J1011" s="6" t="n">
        <f aca="false">'Raw Data'!K1011</f>
        <v>2</v>
      </c>
      <c r="K1011" s="6" t="n">
        <f aca="false">'Raw Data'!L1011</f>
        <v>2</v>
      </c>
      <c r="L1011" s="6" t="n">
        <f aca="false">F1011*E1011</f>
        <v>0</v>
      </c>
      <c r="N1011" s="0" t="n">
        <v>1</v>
      </c>
      <c r="O1011" s="6" t="n">
        <f aca="false">D1011</f>
        <v>4.7025</v>
      </c>
      <c r="P1011" s="6" t="n">
        <f aca="false">E1011</f>
        <v>1</v>
      </c>
      <c r="Q1011" s="6" t="n">
        <f aca="false">F1011</f>
        <v>0</v>
      </c>
      <c r="R1011" s="6" t="n">
        <f aca="false">G1011</f>
        <v>0</v>
      </c>
      <c r="S1011" s="6" t="n">
        <f aca="false">H1011</f>
        <v>1</v>
      </c>
      <c r="T1011" s="6" t="n">
        <f aca="false">I1011</f>
        <v>0</v>
      </c>
      <c r="U1011" s="6" t="n">
        <f aca="false">L1011</f>
        <v>0</v>
      </c>
      <c r="W1011" s="6" t="n">
        <f aca="false">D1011</f>
        <v>4.7025</v>
      </c>
      <c r="X1011" s="6" t="n">
        <f aca="false">E1011</f>
        <v>1</v>
      </c>
      <c r="Y1011" s="6" t="n">
        <f aca="false">F1011</f>
        <v>0</v>
      </c>
      <c r="Z1011" s="6" t="n">
        <f aca="false">L1011</f>
        <v>0</v>
      </c>
      <c r="AA1011" s="6" t="n">
        <f aca="false">G1011</f>
        <v>0</v>
      </c>
      <c r="AC1011" s="6" t="n">
        <f aca="false">D1011</f>
        <v>4.7025</v>
      </c>
      <c r="AD1011" s="6" t="n">
        <f aca="false">E1011</f>
        <v>1</v>
      </c>
      <c r="AE1011" s="6" t="n">
        <f aca="false">G1011</f>
        <v>0</v>
      </c>
      <c r="AF1011" s="6" t="n">
        <f aca="false">H1011</f>
        <v>1</v>
      </c>
      <c r="AG1011" s="6" t="n">
        <f aca="false">I1011</f>
        <v>0</v>
      </c>
      <c r="AH1011" s="6" t="n">
        <f aca="false">L1011</f>
        <v>0</v>
      </c>
    </row>
    <row r="1012" customFormat="false" ht="15" hidden="false" customHeight="false" outlineLevel="0" collapsed="false">
      <c r="A1012" s="0" t="str">
        <f aca="false">'Raw Data'!C1012</f>
        <v>Belmar</v>
      </c>
      <c r="B1012" s="5" t="n">
        <f aca="false">'Raw Data'!A1012</f>
        <v>40365</v>
      </c>
      <c r="C1012" s="6" t="n">
        <f aca="false">'Raw Data'!D1012</f>
        <v>371.485301537995</v>
      </c>
      <c r="D1012" s="6" t="n">
        <f aca="false">'Raw Data'!E1012</f>
        <v>3.587857143</v>
      </c>
      <c r="E1012" s="6" t="n">
        <f aca="false">'Raw Data'!F1012</f>
        <v>1</v>
      </c>
      <c r="F1012" s="6" t="n">
        <f aca="false">'Raw Data'!G1012</f>
        <v>0</v>
      </c>
      <c r="G1012" s="6" t="n">
        <f aca="false">'Raw Data'!H1012</f>
        <v>0</v>
      </c>
      <c r="H1012" s="6" t="n">
        <f aca="false">'Raw Data'!I1012</f>
        <v>1</v>
      </c>
      <c r="I1012" s="6" t="n">
        <f aca="false">'Raw Data'!J1012</f>
        <v>0</v>
      </c>
      <c r="J1012" s="6" t="n">
        <f aca="false">'Raw Data'!K1012</f>
        <v>2</v>
      </c>
      <c r="K1012" s="6" t="n">
        <f aca="false">'Raw Data'!L1012</f>
        <v>2</v>
      </c>
      <c r="L1012" s="6" t="n">
        <f aca="false">F1012*E1012</f>
        <v>0</v>
      </c>
      <c r="N1012" s="0" t="n">
        <v>1</v>
      </c>
      <c r="O1012" s="6" t="n">
        <f aca="false">D1012</f>
        <v>3.587857143</v>
      </c>
      <c r="P1012" s="6" t="n">
        <f aca="false">E1012</f>
        <v>1</v>
      </c>
      <c r="Q1012" s="6" t="n">
        <f aca="false">F1012</f>
        <v>0</v>
      </c>
      <c r="R1012" s="6" t="n">
        <f aca="false">G1012</f>
        <v>0</v>
      </c>
      <c r="S1012" s="6" t="n">
        <f aca="false">H1012</f>
        <v>1</v>
      </c>
      <c r="T1012" s="6" t="n">
        <f aca="false">I1012</f>
        <v>0</v>
      </c>
      <c r="U1012" s="6" t="n">
        <f aca="false">L1012</f>
        <v>0</v>
      </c>
      <c r="W1012" s="6" t="n">
        <f aca="false">D1012</f>
        <v>3.587857143</v>
      </c>
      <c r="X1012" s="6" t="n">
        <f aca="false">E1012</f>
        <v>1</v>
      </c>
      <c r="Y1012" s="6" t="n">
        <f aca="false">F1012</f>
        <v>0</v>
      </c>
      <c r="Z1012" s="6" t="n">
        <f aca="false">L1012</f>
        <v>0</v>
      </c>
      <c r="AA1012" s="6" t="n">
        <f aca="false">G1012</f>
        <v>0</v>
      </c>
      <c r="AC1012" s="6" t="n">
        <f aca="false">D1012</f>
        <v>3.587857143</v>
      </c>
      <c r="AD1012" s="6" t="n">
        <f aca="false">E1012</f>
        <v>1</v>
      </c>
      <c r="AE1012" s="6" t="n">
        <f aca="false">G1012</f>
        <v>0</v>
      </c>
      <c r="AF1012" s="6" t="n">
        <f aca="false">H1012</f>
        <v>1</v>
      </c>
      <c r="AG1012" s="6" t="n">
        <f aca="false">I1012</f>
        <v>0</v>
      </c>
      <c r="AH1012" s="6" t="n">
        <f aca="false">L1012</f>
        <v>0</v>
      </c>
    </row>
    <row r="1013" customFormat="false" ht="15" hidden="false" customHeight="false" outlineLevel="0" collapsed="false">
      <c r="A1013" s="0" t="str">
        <f aca="false">'Raw Data'!C1013</f>
        <v>Belmar</v>
      </c>
      <c r="B1013" s="5" t="n">
        <f aca="false">'Raw Data'!A1013</f>
        <v>40372</v>
      </c>
      <c r="C1013" s="6" t="n">
        <f aca="false">'Raw Data'!D1013</f>
        <v>302.607085168187</v>
      </c>
      <c r="D1013" s="6" t="n">
        <f aca="false">'Raw Data'!E1013</f>
        <v>3.845</v>
      </c>
      <c r="E1013" s="6" t="n">
        <f aca="false">'Raw Data'!F1013</f>
        <v>1</v>
      </c>
      <c r="F1013" s="6" t="n">
        <f aca="false">'Raw Data'!G1013</f>
        <v>0</v>
      </c>
      <c r="G1013" s="6" t="n">
        <f aca="false">'Raw Data'!H1013</f>
        <v>0</v>
      </c>
      <c r="H1013" s="6" t="n">
        <f aca="false">'Raw Data'!I1013</f>
        <v>1</v>
      </c>
      <c r="I1013" s="6" t="n">
        <f aca="false">'Raw Data'!J1013</f>
        <v>0</v>
      </c>
      <c r="J1013" s="6" t="n">
        <f aca="false">'Raw Data'!K1013</f>
        <v>2</v>
      </c>
      <c r="K1013" s="6" t="n">
        <f aca="false">'Raw Data'!L1013</f>
        <v>2</v>
      </c>
      <c r="L1013" s="6" t="n">
        <f aca="false">F1013*E1013</f>
        <v>0</v>
      </c>
      <c r="N1013" s="0" t="n">
        <v>1</v>
      </c>
      <c r="O1013" s="6" t="n">
        <f aca="false">D1013</f>
        <v>3.845</v>
      </c>
      <c r="P1013" s="6" t="n">
        <f aca="false">E1013</f>
        <v>1</v>
      </c>
      <c r="Q1013" s="6" t="n">
        <f aca="false">F1013</f>
        <v>0</v>
      </c>
      <c r="R1013" s="6" t="n">
        <f aca="false">G1013</f>
        <v>0</v>
      </c>
      <c r="S1013" s="6" t="n">
        <f aca="false">H1013</f>
        <v>1</v>
      </c>
      <c r="T1013" s="6" t="n">
        <f aca="false">I1013</f>
        <v>0</v>
      </c>
      <c r="U1013" s="6" t="n">
        <f aca="false">L1013</f>
        <v>0</v>
      </c>
      <c r="W1013" s="6" t="n">
        <f aca="false">D1013</f>
        <v>3.845</v>
      </c>
      <c r="X1013" s="6" t="n">
        <f aca="false">E1013</f>
        <v>1</v>
      </c>
      <c r="Y1013" s="6" t="n">
        <f aca="false">F1013</f>
        <v>0</v>
      </c>
      <c r="Z1013" s="6" t="n">
        <f aca="false">L1013</f>
        <v>0</v>
      </c>
      <c r="AA1013" s="6" t="n">
        <f aca="false">G1013</f>
        <v>0</v>
      </c>
      <c r="AC1013" s="6" t="n">
        <f aca="false">D1013</f>
        <v>3.845</v>
      </c>
      <c r="AD1013" s="6" t="n">
        <f aca="false">E1013</f>
        <v>1</v>
      </c>
      <c r="AE1013" s="6" t="n">
        <f aca="false">G1013</f>
        <v>0</v>
      </c>
      <c r="AF1013" s="6" t="n">
        <f aca="false">H1013</f>
        <v>1</v>
      </c>
      <c r="AG1013" s="6" t="n">
        <f aca="false">I1013</f>
        <v>0</v>
      </c>
      <c r="AH1013" s="6" t="n">
        <f aca="false">L1013</f>
        <v>0</v>
      </c>
    </row>
    <row r="1014" customFormat="false" ht="15" hidden="false" customHeight="false" outlineLevel="0" collapsed="false">
      <c r="A1014" s="0" t="str">
        <f aca="false">'Raw Data'!C1014</f>
        <v>Cerrillos (aka Santa Fe)</v>
      </c>
      <c r="B1014" s="5" t="n">
        <f aca="false">'Raw Data'!A1014</f>
        <v>40302</v>
      </c>
      <c r="C1014" s="6" t="n">
        <f aca="false">'Raw Data'!D1014</f>
        <v>145.783360792157</v>
      </c>
      <c r="D1014" s="6" t="n">
        <f aca="false">'Raw Data'!E1014</f>
        <v>5.39</v>
      </c>
      <c r="E1014" s="6" t="n">
        <f aca="false">'Raw Data'!F1014</f>
        <v>1</v>
      </c>
      <c r="F1014" s="6" t="n">
        <f aca="false">'Raw Data'!G1014</f>
        <v>0</v>
      </c>
      <c r="G1014" s="6" t="n">
        <f aca="false">'Raw Data'!H1014</f>
        <v>0</v>
      </c>
      <c r="H1014" s="6" t="n">
        <f aca="false">'Raw Data'!I1014</f>
        <v>0</v>
      </c>
      <c r="I1014" s="6" t="n">
        <f aca="false">'Raw Data'!J1014</f>
        <v>0</v>
      </c>
      <c r="J1014" s="6" t="n">
        <f aca="false">'Raw Data'!K1014</f>
        <v>1</v>
      </c>
      <c r="K1014" s="6" t="n">
        <f aca="false">'Raw Data'!L1014</f>
        <v>1</v>
      </c>
      <c r="L1014" s="6" t="n">
        <f aca="false">F1014*E1014</f>
        <v>0</v>
      </c>
      <c r="N1014" s="0" t="n">
        <v>1</v>
      </c>
      <c r="O1014" s="6" t="n">
        <f aca="false">D1014</f>
        <v>5.39</v>
      </c>
      <c r="P1014" s="6" t="n">
        <f aca="false">E1014</f>
        <v>1</v>
      </c>
      <c r="Q1014" s="6" t="n">
        <f aca="false">F1014</f>
        <v>0</v>
      </c>
      <c r="R1014" s="6" t="n">
        <f aca="false">G1014</f>
        <v>0</v>
      </c>
      <c r="S1014" s="6" t="n">
        <f aca="false">H1014</f>
        <v>0</v>
      </c>
      <c r="T1014" s="6" t="n">
        <f aca="false">I1014</f>
        <v>0</v>
      </c>
      <c r="U1014" s="6" t="n">
        <f aca="false">L1014</f>
        <v>0</v>
      </c>
      <c r="W1014" s="6" t="n">
        <f aca="false">D1014</f>
        <v>5.39</v>
      </c>
      <c r="X1014" s="6" t="n">
        <f aca="false">E1014</f>
        <v>1</v>
      </c>
      <c r="Y1014" s="6" t="n">
        <f aca="false">F1014</f>
        <v>0</v>
      </c>
      <c r="Z1014" s="6" t="n">
        <f aca="false">L1014</f>
        <v>0</v>
      </c>
      <c r="AA1014" s="6" t="n">
        <f aca="false">G1014</f>
        <v>0</v>
      </c>
      <c r="AC1014" s="6" t="n">
        <f aca="false">D1014</f>
        <v>5.39</v>
      </c>
      <c r="AD1014" s="6" t="n">
        <f aca="false">E1014</f>
        <v>1</v>
      </c>
      <c r="AE1014" s="6" t="n">
        <f aca="false">G1014</f>
        <v>0</v>
      </c>
      <c r="AF1014" s="6" t="n">
        <f aca="false">H1014</f>
        <v>0</v>
      </c>
      <c r="AG1014" s="6" t="n">
        <f aca="false">I1014</f>
        <v>0</v>
      </c>
      <c r="AH1014" s="6" t="n">
        <f aca="false">L1014</f>
        <v>0</v>
      </c>
    </row>
    <row r="1015" customFormat="false" ht="15" hidden="false" customHeight="false" outlineLevel="0" collapsed="false">
      <c r="A1015" s="0" t="str">
        <f aca="false">'Raw Data'!C1015</f>
        <v>Cerrillos (aka Santa Fe)</v>
      </c>
      <c r="B1015" s="5" t="n">
        <f aca="false">'Raw Data'!A1015</f>
        <v>40309</v>
      </c>
      <c r="C1015" s="6" t="n">
        <f aca="false">'Raw Data'!D1015</f>
        <v>309.052762469541</v>
      </c>
      <c r="D1015" s="6" t="n">
        <f aca="false">'Raw Data'!E1015</f>
        <v>5.018571429</v>
      </c>
      <c r="E1015" s="6" t="n">
        <f aca="false">'Raw Data'!F1015</f>
        <v>1</v>
      </c>
      <c r="F1015" s="6" t="n">
        <f aca="false">'Raw Data'!G1015</f>
        <v>0</v>
      </c>
      <c r="G1015" s="6" t="n">
        <f aca="false">'Raw Data'!H1015</f>
        <v>0</v>
      </c>
      <c r="H1015" s="6" t="n">
        <f aca="false">'Raw Data'!I1015</f>
        <v>0</v>
      </c>
      <c r="I1015" s="6" t="n">
        <f aca="false">'Raw Data'!J1015</f>
        <v>0</v>
      </c>
      <c r="J1015" s="6" t="n">
        <f aca="false">'Raw Data'!K1015</f>
        <v>1</v>
      </c>
      <c r="K1015" s="6" t="n">
        <f aca="false">'Raw Data'!L1015</f>
        <v>1</v>
      </c>
      <c r="L1015" s="6" t="n">
        <f aca="false">F1015*E1015</f>
        <v>0</v>
      </c>
      <c r="N1015" s="0" t="n">
        <v>1</v>
      </c>
      <c r="O1015" s="6" t="n">
        <f aca="false">D1015</f>
        <v>5.018571429</v>
      </c>
      <c r="P1015" s="6" t="n">
        <f aca="false">E1015</f>
        <v>1</v>
      </c>
      <c r="Q1015" s="6" t="n">
        <f aca="false">F1015</f>
        <v>0</v>
      </c>
      <c r="R1015" s="6" t="n">
        <f aca="false">G1015</f>
        <v>0</v>
      </c>
      <c r="S1015" s="6" t="n">
        <f aca="false">H1015</f>
        <v>0</v>
      </c>
      <c r="T1015" s="6" t="n">
        <f aca="false">I1015</f>
        <v>0</v>
      </c>
      <c r="U1015" s="6" t="n">
        <f aca="false">L1015</f>
        <v>0</v>
      </c>
      <c r="W1015" s="6" t="n">
        <f aca="false">D1015</f>
        <v>5.018571429</v>
      </c>
      <c r="X1015" s="6" t="n">
        <f aca="false">E1015</f>
        <v>1</v>
      </c>
      <c r="Y1015" s="6" t="n">
        <f aca="false">F1015</f>
        <v>0</v>
      </c>
      <c r="Z1015" s="6" t="n">
        <f aca="false">L1015</f>
        <v>0</v>
      </c>
      <c r="AA1015" s="6" t="n">
        <f aca="false">G1015</f>
        <v>0</v>
      </c>
      <c r="AC1015" s="6" t="n">
        <f aca="false">D1015</f>
        <v>5.018571429</v>
      </c>
      <c r="AD1015" s="6" t="n">
        <f aca="false">E1015</f>
        <v>1</v>
      </c>
      <c r="AE1015" s="6" t="n">
        <f aca="false">G1015</f>
        <v>0</v>
      </c>
      <c r="AF1015" s="6" t="n">
        <f aca="false">H1015</f>
        <v>0</v>
      </c>
      <c r="AG1015" s="6" t="n">
        <f aca="false">I1015</f>
        <v>0</v>
      </c>
      <c r="AH1015" s="6" t="n">
        <f aca="false">L1015</f>
        <v>0</v>
      </c>
    </row>
    <row r="1016" customFormat="false" ht="15" hidden="false" customHeight="false" outlineLevel="0" collapsed="false">
      <c r="A1016" s="0" t="str">
        <f aca="false">'Raw Data'!C1016</f>
        <v>Cerrillos (aka Santa Fe)</v>
      </c>
      <c r="B1016" s="5" t="n">
        <f aca="false">'Raw Data'!A1016</f>
        <v>40316</v>
      </c>
      <c r="C1016" s="6" t="n">
        <f aca="false">'Raw Data'!D1016</f>
        <v>154.597880847853</v>
      </c>
      <c r="D1016" s="6" t="n">
        <f aca="false">'Raw Data'!E1016</f>
        <v>5.215</v>
      </c>
      <c r="E1016" s="6" t="n">
        <f aca="false">'Raw Data'!F1016</f>
        <v>1</v>
      </c>
      <c r="F1016" s="6" t="n">
        <f aca="false">'Raw Data'!G1016</f>
        <v>0</v>
      </c>
      <c r="G1016" s="6" t="n">
        <f aca="false">'Raw Data'!H1016</f>
        <v>0</v>
      </c>
      <c r="H1016" s="6" t="n">
        <f aca="false">'Raw Data'!I1016</f>
        <v>0</v>
      </c>
      <c r="I1016" s="6" t="n">
        <f aca="false">'Raw Data'!J1016</f>
        <v>0</v>
      </c>
      <c r="J1016" s="6" t="n">
        <f aca="false">'Raw Data'!K1016</f>
        <v>1</v>
      </c>
      <c r="K1016" s="6" t="n">
        <f aca="false">'Raw Data'!L1016</f>
        <v>1</v>
      </c>
      <c r="L1016" s="6" t="n">
        <f aca="false">F1016*E1016</f>
        <v>0</v>
      </c>
      <c r="N1016" s="0" t="n">
        <v>1</v>
      </c>
      <c r="O1016" s="6" t="n">
        <f aca="false">D1016</f>
        <v>5.215</v>
      </c>
      <c r="P1016" s="6" t="n">
        <f aca="false">E1016</f>
        <v>1</v>
      </c>
      <c r="Q1016" s="6" t="n">
        <f aca="false">F1016</f>
        <v>0</v>
      </c>
      <c r="R1016" s="6" t="n">
        <f aca="false">G1016</f>
        <v>0</v>
      </c>
      <c r="S1016" s="6" t="n">
        <f aca="false">H1016</f>
        <v>0</v>
      </c>
      <c r="T1016" s="6" t="n">
        <f aca="false">I1016</f>
        <v>0</v>
      </c>
      <c r="U1016" s="6" t="n">
        <f aca="false">L1016</f>
        <v>0</v>
      </c>
      <c r="W1016" s="6" t="n">
        <f aca="false">D1016</f>
        <v>5.215</v>
      </c>
      <c r="X1016" s="6" t="n">
        <f aca="false">E1016</f>
        <v>1</v>
      </c>
      <c r="Y1016" s="6" t="n">
        <f aca="false">F1016</f>
        <v>0</v>
      </c>
      <c r="Z1016" s="6" t="n">
        <f aca="false">L1016</f>
        <v>0</v>
      </c>
      <c r="AA1016" s="6" t="n">
        <f aca="false">G1016</f>
        <v>0</v>
      </c>
      <c r="AC1016" s="6" t="n">
        <f aca="false">D1016</f>
        <v>5.215</v>
      </c>
      <c r="AD1016" s="6" t="n">
        <f aca="false">E1016</f>
        <v>1</v>
      </c>
      <c r="AE1016" s="6" t="n">
        <f aca="false">G1016</f>
        <v>0</v>
      </c>
      <c r="AF1016" s="6" t="n">
        <f aca="false">H1016</f>
        <v>0</v>
      </c>
      <c r="AG1016" s="6" t="n">
        <f aca="false">I1016</f>
        <v>0</v>
      </c>
      <c r="AH1016" s="6" t="n">
        <f aca="false">L1016</f>
        <v>0</v>
      </c>
    </row>
    <row r="1017" customFormat="false" ht="15" hidden="false" customHeight="false" outlineLevel="0" collapsed="false">
      <c r="A1017" s="0" t="str">
        <f aca="false">'Raw Data'!C1017</f>
        <v>Cerrillos (aka Santa Fe)</v>
      </c>
      <c r="B1017" s="5" t="n">
        <f aca="false">'Raw Data'!A1017</f>
        <v>40323</v>
      </c>
      <c r="C1017" s="6" t="n">
        <f aca="false">'Raw Data'!D1017</f>
        <v>247.725645613501</v>
      </c>
      <c r="D1017" s="6" t="n">
        <f aca="false">'Raw Data'!E1017</f>
        <v>4.881666667</v>
      </c>
      <c r="E1017" s="6" t="n">
        <f aca="false">'Raw Data'!F1017</f>
        <v>1</v>
      </c>
      <c r="F1017" s="6" t="n">
        <f aca="false">'Raw Data'!G1017</f>
        <v>0</v>
      </c>
      <c r="G1017" s="6" t="n">
        <f aca="false">'Raw Data'!H1017</f>
        <v>0</v>
      </c>
      <c r="H1017" s="6" t="n">
        <f aca="false">'Raw Data'!I1017</f>
        <v>0</v>
      </c>
      <c r="I1017" s="6" t="n">
        <f aca="false">'Raw Data'!J1017</f>
        <v>0</v>
      </c>
      <c r="J1017" s="6" t="n">
        <f aca="false">'Raw Data'!K1017</f>
        <v>1</v>
      </c>
      <c r="K1017" s="6" t="n">
        <f aca="false">'Raw Data'!L1017</f>
        <v>1</v>
      </c>
      <c r="L1017" s="6" t="n">
        <f aca="false">F1017*E1017</f>
        <v>0</v>
      </c>
      <c r="N1017" s="0" t="n">
        <v>1</v>
      </c>
      <c r="O1017" s="6" t="n">
        <f aca="false">D1017</f>
        <v>4.881666667</v>
      </c>
      <c r="P1017" s="6" t="n">
        <f aca="false">E1017</f>
        <v>1</v>
      </c>
      <c r="Q1017" s="6" t="n">
        <f aca="false">F1017</f>
        <v>0</v>
      </c>
      <c r="R1017" s="6" t="n">
        <f aca="false">G1017</f>
        <v>0</v>
      </c>
      <c r="S1017" s="6" t="n">
        <f aca="false">H1017</f>
        <v>0</v>
      </c>
      <c r="T1017" s="6" t="n">
        <f aca="false">I1017</f>
        <v>0</v>
      </c>
      <c r="U1017" s="6" t="n">
        <f aca="false">L1017</f>
        <v>0</v>
      </c>
      <c r="W1017" s="6" t="n">
        <f aca="false">D1017</f>
        <v>4.881666667</v>
      </c>
      <c r="X1017" s="6" t="n">
        <f aca="false">E1017</f>
        <v>1</v>
      </c>
      <c r="Y1017" s="6" t="n">
        <f aca="false">F1017</f>
        <v>0</v>
      </c>
      <c r="Z1017" s="6" t="n">
        <f aca="false">L1017</f>
        <v>0</v>
      </c>
      <c r="AA1017" s="6" t="n">
        <f aca="false">G1017</f>
        <v>0</v>
      </c>
      <c r="AC1017" s="6" t="n">
        <f aca="false">D1017</f>
        <v>4.881666667</v>
      </c>
      <c r="AD1017" s="6" t="n">
        <f aca="false">E1017</f>
        <v>1</v>
      </c>
      <c r="AE1017" s="6" t="n">
        <f aca="false">G1017</f>
        <v>0</v>
      </c>
      <c r="AF1017" s="6" t="n">
        <f aca="false">H1017</f>
        <v>0</v>
      </c>
      <c r="AG1017" s="6" t="n">
        <f aca="false">I1017</f>
        <v>0</v>
      </c>
      <c r="AH1017" s="6" t="n">
        <f aca="false">L1017</f>
        <v>0</v>
      </c>
    </row>
    <row r="1018" customFormat="false" ht="15" hidden="false" customHeight="false" outlineLevel="0" collapsed="false">
      <c r="A1018" s="0" t="str">
        <f aca="false">'Raw Data'!C1018</f>
        <v>Cerrillos (aka Santa Fe)</v>
      </c>
      <c r="B1018" s="5" t="n">
        <f aca="false">'Raw Data'!A1018</f>
        <v>40330</v>
      </c>
      <c r="C1018" s="6" t="n">
        <f aca="false">'Raw Data'!D1018</f>
        <v>227.992363294727</v>
      </c>
      <c r="D1018" s="6" t="n">
        <f aca="false">'Raw Data'!E1018</f>
        <v>3.966666667</v>
      </c>
      <c r="E1018" s="6" t="n">
        <f aca="false">'Raw Data'!F1018</f>
        <v>1</v>
      </c>
      <c r="F1018" s="6" t="n">
        <f aca="false">'Raw Data'!G1018</f>
        <v>0</v>
      </c>
      <c r="G1018" s="6" t="n">
        <f aca="false">'Raw Data'!H1018</f>
        <v>0</v>
      </c>
      <c r="H1018" s="6" t="n">
        <f aca="false">'Raw Data'!I1018</f>
        <v>0</v>
      </c>
      <c r="I1018" s="6" t="n">
        <f aca="false">'Raw Data'!J1018</f>
        <v>0</v>
      </c>
      <c r="J1018" s="6" t="n">
        <f aca="false">'Raw Data'!K1018</f>
        <v>1</v>
      </c>
      <c r="K1018" s="6" t="n">
        <f aca="false">'Raw Data'!L1018</f>
        <v>1</v>
      </c>
      <c r="L1018" s="6" t="n">
        <f aca="false">F1018*E1018</f>
        <v>0</v>
      </c>
      <c r="N1018" s="0" t="n">
        <v>1</v>
      </c>
      <c r="O1018" s="6" t="n">
        <f aca="false">D1018</f>
        <v>3.966666667</v>
      </c>
      <c r="P1018" s="6" t="n">
        <f aca="false">E1018</f>
        <v>1</v>
      </c>
      <c r="Q1018" s="6" t="n">
        <f aca="false">F1018</f>
        <v>0</v>
      </c>
      <c r="R1018" s="6" t="n">
        <f aca="false">G1018</f>
        <v>0</v>
      </c>
      <c r="S1018" s="6" t="n">
        <f aca="false">H1018</f>
        <v>0</v>
      </c>
      <c r="T1018" s="6" t="n">
        <f aca="false">I1018</f>
        <v>0</v>
      </c>
      <c r="U1018" s="6" t="n">
        <f aca="false">L1018</f>
        <v>0</v>
      </c>
      <c r="W1018" s="6" t="n">
        <f aca="false">D1018</f>
        <v>3.966666667</v>
      </c>
      <c r="X1018" s="6" t="n">
        <f aca="false">E1018</f>
        <v>1</v>
      </c>
      <c r="Y1018" s="6" t="n">
        <f aca="false">F1018</f>
        <v>0</v>
      </c>
      <c r="Z1018" s="6" t="n">
        <f aca="false">L1018</f>
        <v>0</v>
      </c>
      <c r="AA1018" s="6" t="n">
        <f aca="false">G1018</f>
        <v>0</v>
      </c>
      <c r="AC1018" s="6" t="n">
        <f aca="false">D1018</f>
        <v>3.966666667</v>
      </c>
      <c r="AD1018" s="6" t="n">
        <f aca="false">E1018</f>
        <v>1</v>
      </c>
      <c r="AE1018" s="6" t="n">
        <f aca="false">G1018</f>
        <v>0</v>
      </c>
      <c r="AF1018" s="6" t="n">
        <f aca="false">H1018</f>
        <v>0</v>
      </c>
      <c r="AG1018" s="6" t="n">
        <f aca="false">I1018</f>
        <v>0</v>
      </c>
      <c r="AH1018" s="6" t="n">
        <f aca="false">L1018</f>
        <v>0</v>
      </c>
    </row>
    <row r="1019" customFormat="false" ht="15" hidden="false" customHeight="false" outlineLevel="0" collapsed="false">
      <c r="A1019" s="0" t="str">
        <f aca="false">'Raw Data'!C1019</f>
        <v>Cerrillos (aka Santa Fe)</v>
      </c>
      <c r="B1019" s="5" t="n">
        <f aca="false">'Raw Data'!A1019</f>
        <v>40337</v>
      </c>
      <c r="C1019" s="6" t="n">
        <f aca="false">'Raw Data'!D1019</f>
        <v>226.596496846634</v>
      </c>
      <c r="D1019" s="6" t="n">
        <f aca="false">'Raw Data'!E1019</f>
        <v>3.997692308</v>
      </c>
      <c r="E1019" s="6" t="n">
        <f aca="false">'Raw Data'!F1019</f>
        <v>1</v>
      </c>
      <c r="F1019" s="6" t="n">
        <f aca="false">'Raw Data'!G1019</f>
        <v>0</v>
      </c>
      <c r="G1019" s="6" t="n">
        <f aca="false">'Raw Data'!H1019</f>
        <v>0</v>
      </c>
      <c r="H1019" s="6" t="n">
        <f aca="false">'Raw Data'!I1019</f>
        <v>0</v>
      </c>
      <c r="I1019" s="6" t="n">
        <f aca="false">'Raw Data'!J1019</f>
        <v>0</v>
      </c>
      <c r="J1019" s="6" t="n">
        <f aca="false">'Raw Data'!K1019</f>
        <v>1</v>
      </c>
      <c r="K1019" s="6" t="n">
        <f aca="false">'Raw Data'!L1019</f>
        <v>1</v>
      </c>
      <c r="L1019" s="6" t="n">
        <f aca="false">F1019*E1019</f>
        <v>0</v>
      </c>
      <c r="N1019" s="0" t="n">
        <v>1</v>
      </c>
      <c r="O1019" s="6" t="n">
        <f aca="false">D1019</f>
        <v>3.997692308</v>
      </c>
      <c r="P1019" s="6" t="n">
        <f aca="false">E1019</f>
        <v>1</v>
      </c>
      <c r="Q1019" s="6" t="n">
        <f aca="false">F1019</f>
        <v>0</v>
      </c>
      <c r="R1019" s="6" t="n">
        <f aca="false">G1019</f>
        <v>0</v>
      </c>
      <c r="S1019" s="6" t="n">
        <f aca="false">H1019</f>
        <v>0</v>
      </c>
      <c r="T1019" s="6" t="n">
        <f aca="false">I1019</f>
        <v>0</v>
      </c>
      <c r="U1019" s="6" t="n">
        <f aca="false">L1019</f>
        <v>0</v>
      </c>
      <c r="W1019" s="6" t="n">
        <f aca="false">D1019</f>
        <v>3.997692308</v>
      </c>
      <c r="X1019" s="6" t="n">
        <f aca="false">E1019</f>
        <v>1</v>
      </c>
      <c r="Y1019" s="6" t="n">
        <f aca="false">F1019</f>
        <v>0</v>
      </c>
      <c r="Z1019" s="6" t="n">
        <f aca="false">L1019</f>
        <v>0</v>
      </c>
      <c r="AA1019" s="6" t="n">
        <f aca="false">G1019</f>
        <v>0</v>
      </c>
      <c r="AC1019" s="6" t="n">
        <f aca="false">D1019</f>
        <v>3.997692308</v>
      </c>
      <c r="AD1019" s="6" t="n">
        <f aca="false">E1019</f>
        <v>1</v>
      </c>
      <c r="AE1019" s="6" t="n">
        <f aca="false">G1019</f>
        <v>0</v>
      </c>
      <c r="AF1019" s="6" t="n">
        <f aca="false">H1019</f>
        <v>0</v>
      </c>
      <c r="AG1019" s="6" t="n">
        <f aca="false">I1019</f>
        <v>0</v>
      </c>
      <c r="AH1019" s="6" t="n">
        <f aca="false">L1019</f>
        <v>0</v>
      </c>
    </row>
    <row r="1020" customFormat="false" ht="15" hidden="false" customHeight="false" outlineLevel="0" collapsed="false">
      <c r="A1020" s="0" t="str">
        <f aca="false">'Raw Data'!C1020</f>
        <v>Cerrillos (aka Santa Fe)</v>
      </c>
      <c r="B1020" s="5" t="n">
        <f aca="false">'Raw Data'!A1020</f>
        <v>40344</v>
      </c>
      <c r="C1020" s="6" t="n">
        <f aca="false">'Raw Data'!D1020</f>
        <v>233.315210820971</v>
      </c>
      <c r="D1020" s="6" t="n">
        <f aca="false">'Raw Data'!E1020</f>
        <v>4.895882353</v>
      </c>
      <c r="E1020" s="6" t="n">
        <f aca="false">'Raw Data'!F1020</f>
        <v>1</v>
      </c>
      <c r="F1020" s="6" t="n">
        <f aca="false">'Raw Data'!G1020</f>
        <v>0</v>
      </c>
      <c r="G1020" s="6" t="n">
        <f aca="false">'Raw Data'!H1020</f>
        <v>0</v>
      </c>
      <c r="H1020" s="6" t="n">
        <f aca="false">'Raw Data'!I1020</f>
        <v>0</v>
      </c>
      <c r="I1020" s="6" t="n">
        <f aca="false">'Raw Data'!J1020</f>
        <v>0</v>
      </c>
      <c r="J1020" s="6" t="n">
        <f aca="false">'Raw Data'!K1020</f>
        <v>1</v>
      </c>
      <c r="K1020" s="6" t="n">
        <f aca="false">'Raw Data'!L1020</f>
        <v>1</v>
      </c>
      <c r="L1020" s="6" t="n">
        <f aca="false">F1020*E1020</f>
        <v>0</v>
      </c>
      <c r="N1020" s="0" t="n">
        <v>1</v>
      </c>
      <c r="O1020" s="6" t="n">
        <f aca="false">D1020</f>
        <v>4.895882353</v>
      </c>
      <c r="P1020" s="6" t="n">
        <f aca="false">E1020</f>
        <v>1</v>
      </c>
      <c r="Q1020" s="6" t="n">
        <f aca="false">F1020</f>
        <v>0</v>
      </c>
      <c r="R1020" s="6" t="n">
        <f aca="false">G1020</f>
        <v>0</v>
      </c>
      <c r="S1020" s="6" t="n">
        <f aca="false">H1020</f>
        <v>0</v>
      </c>
      <c r="T1020" s="6" t="n">
        <f aca="false">I1020</f>
        <v>0</v>
      </c>
      <c r="U1020" s="6" t="n">
        <f aca="false">L1020</f>
        <v>0</v>
      </c>
      <c r="W1020" s="6" t="n">
        <f aca="false">D1020</f>
        <v>4.895882353</v>
      </c>
      <c r="X1020" s="6" t="n">
        <f aca="false">E1020</f>
        <v>1</v>
      </c>
      <c r="Y1020" s="6" t="n">
        <f aca="false">F1020</f>
        <v>0</v>
      </c>
      <c r="Z1020" s="6" t="n">
        <f aca="false">L1020</f>
        <v>0</v>
      </c>
      <c r="AA1020" s="6" t="n">
        <f aca="false">G1020</f>
        <v>0</v>
      </c>
      <c r="AC1020" s="6" t="n">
        <f aca="false">D1020</f>
        <v>4.895882353</v>
      </c>
      <c r="AD1020" s="6" t="n">
        <f aca="false">E1020</f>
        <v>1</v>
      </c>
      <c r="AE1020" s="6" t="n">
        <f aca="false">G1020</f>
        <v>0</v>
      </c>
      <c r="AF1020" s="6" t="n">
        <f aca="false">H1020</f>
        <v>0</v>
      </c>
      <c r="AG1020" s="6" t="n">
        <f aca="false">I1020</f>
        <v>0</v>
      </c>
      <c r="AH1020" s="6" t="n">
        <f aca="false">L1020</f>
        <v>0</v>
      </c>
    </row>
    <row r="1021" customFormat="false" ht="15" hidden="false" customHeight="false" outlineLevel="0" collapsed="false">
      <c r="A1021" s="0" t="str">
        <f aca="false">'Raw Data'!C1021</f>
        <v>Cerrillos (aka Santa Fe)</v>
      </c>
      <c r="B1021" s="5" t="n">
        <f aca="false">'Raw Data'!A1021</f>
        <v>40351</v>
      </c>
      <c r="C1021" s="6" t="n">
        <f aca="false">'Raw Data'!D1021</f>
        <v>215.207226205082</v>
      </c>
      <c r="D1021" s="6" t="n">
        <f aca="false">'Raw Data'!E1021</f>
        <v>4.9275</v>
      </c>
      <c r="E1021" s="6" t="n">
        <f aca="false">'Raw Data'!F1021</f>
        <v>1</v>
      </c>
      <c r="F1021" s="6" t="n">
        <f aca="false">'Raw Data'!G1021</f>
        <v>0</v>
      </c>
      <c r="G1021" s="6" t="n">
        <f aca="false">'Raw Data'!H1021</f>
        <v>0</v>
      </c>
      <c r="H1021" s="6" t="n">
        <f aca="false">'Raw Data'!I1021</f>
        <v>0</v>
      </c>
      <c r="I1021" s="6" t="n">
        <f aca="false">'Raw Data'!J1021</f>
        <v>0</v>
      </c>
      <c r="J1021" s="6" t="n">
        <f aca="false">'Raw Data'!K1021</f>
        <v>1</v>
      </c>
      <c r="K1021" s="6" t="n">
        <f aca="false">'Raw Data'!L1021</f>
        <v>1</v>
      </c>
      <c r="L1021" s="6" t="n">
        <f aca="false">F1021*E1021</f>
        <v>0</v>
      </c>
      <c r="N1021" s="0" t="n">
        <v>1</v>
      </c>
      <c r="O1021" s="6" t="n">
        <f aca="false">D1021</f>
        <v>4.9275</v>
      </c>
      <c r="P1021" s="6" t="n">
        <f aca="false">E1021</f>
        <v>1</v>
      </c>
      <c r="Q1021" s="6" t="n">
        <f aca="false">F1021</f>
        <v>0</v>
      </c>
      <c r="R1021" s="6" t="n">
        <f aca="false">G1021</f>
        <v>0</v>
      </c>
      <c r="S1021" s="6" t="n">
        <f aca="false">H1021</f>
        <v>0</v>
      </c>
      <c r="T1021" s="6" t="n">
        <f aca="false">I1021</f>
        <v>0</v>
      </c>
      <c r="U1021" s="6" t="n">
        <f aca="false">L1021</f>
        <v>0</v>
      </c>
      <c r="W1021" s="6" t="n">
        <f aca="false">D1021</f>
        <v>4.9275</v>
      </c>
      <c r="X1021" s="6" t="n">
        <f aca="false">E1021</f>
        <v>1</v>
      </c>
      <c r="Y1021" s="6" t="n">
        <f aca="false">F1021</f>
        <v>0</v>
      </c>
      <c r="Z1021" s="6" t="n">
        <f aca="false">L1021</f>
        <v>0</v>
      </c>
      <c r="AA1021" s="6" t="n">
        <f aca="false">G1021</f>
        <v>0</v>
      </c>
      <c r="AC1021" s="6" t="n">
        <f aca="false">D1021</f>
        <v>4.9275</v>
      </c>
      <c r="AD1021" s="6" t="n">
        <f aca="false">E1021</f>
        <v>1</v>
      </c>
      <c r="AE1021" s="6" t="n">
        <f aca="false">G1021</f>
        <v>0</v>
      </c>
      <c r="AF1021" s="6" t="n">
        <f aca="false">H1021</f>
        <v>0</v>
      </c>
      <c r="AG1021" s="6" t="n">
        <f aca="false">I1021</f>
        <v>0</v>
      </c>
      <c r="AH1021" s="6" t="n">
        <f aca="false">L1021</f>
        <v>0</v>
      </c>
    </row>
    <row r="1022" customFormat="false" ht="15" hidden="false" customHeight="false" outlineLevel="0" collapsed="false">
      <c r="A1022" s="0" t="str">
        <f aca="false">'Raw Data'!C1022</f>
        <v>Cerrillos (aka Santa Fe)</v>
      </c>
      <c r="B1022" s="5" t="n">
        <f aca="false">'Raw Data'!A1022</f>
        <v>40358</v>
      </c>
      <c r="C1022" s="6" t="n">
        <f aca="false">'Raw Data'!D1022</f>
        <v>233.414541175179</v>
      </c>
      <c r="D1022" s="6" t="n">
        <f aca="false">'Raw Data'!E1022</f>
        <v>4.316666667</v>
      </c>
      <c r="E1022" s="6" t="n">
        <f aca="false">'Raw Data'!F1022</f>
        <v>1</v>
      </c>
      <c r="F1022" s="6" t="n">
        <f aca="false">'Raw Data'!G1022</f>
        <v>0</v>
      </c>
      <c r="G1022" s="6" t="n">
        <f aca="false">'Raw Data'!H1022</f>
        <v>0</v>
      </c>
      <c r="H1022" s="6" t="n">
        <f aca="false">'Raw Data'!I1022</f>
        <v>0</v>
      </c>
      <c r="I1022" s="6" t="n">
        <f aca="false">'Raw Data'!J1022</f>
        <v>0</v>
      </c>
      <c r="J1022" s="6" t="n">
        <f aca="false">'Raw Data'!K1022</f>
        <v>1</v>
      </c>
      <c r="K1022" s="6" t="n">
        <f aca="false">'Raw Data'!L1022</f>
        <v>1</v>
      </c>
      <c r="L1022" s="6" t="n">
        <f aca="false">F1022*E1022</f>
        <v>0</v>
      </c>
      <c r="N1022" s="0" t="n">
        <v>1</v>
      </c>
      <c r="O1022" s="6" t="n">
        <f aca="false">D1022</f>
        <v>4.316666667</v>
      </c>
      <c r="P1022" s="6" t="n">
        <f aca="false">E1022</f>
        <v>1</v>
      </c>
      <c r="Q1022" s="6" t="n">
        <f aca="false">F1022</f>
        <v>0</v>
      </c>
      <c r="R1022" s="6" t="n">
        <f aca="false">G1022</f>
        <v>0</v>
      </c>
      <c r="S1022" s="6" t="n">
        <f aca="false">H1022</f>
        <v>0</v>
      </c>
      <c r="T1022" s="6" t="n">
        <f aca="false">I1022</f>
        <v>0</v>
      </c>
      <c r="U1022" s="6" t="n">
        <f aca="false">L1022</f>
        <v>0</v>
      </c>
      <c r="W1022" s="6" t="n">
        <f aca="false">D1022</f>
        <v>4.316666667</v>
      </c>
      <c r="X1022" s="6" t="n">
        <f aca="false">E1022</f>
        <v>1</v>
      </c>
      <c r="Y1022" s="6" t="n">
        <f aca="false">F1022</f>
        <v>0</v>
      </c>
      <c r="Z1022" s="6" t="n">
        <f aca="false">L1022</f>
        <v>0</v>
      </c>
      <c r="AA1022" s="6" t="n">
        <f aca="false">G1022</f>
        <v>0</v>
      </c>
      <c r="AC1022" s="6" t="n">
        <f aca="false">D1022</f>
        <v>4.316666667</v>
      </c>
      <c r="AD1022" s="6" t="n">
        <f aca="false">E1022</f>
        <v>1</v>
      </c>
      <c r="AE1022" s="6" t="n">
        <f aca="false">G1022</f>
        <v>0</v>
      </c>
      <c r="AF1022" s="6" t="n">
        <f aca="false">H1022</f>
        <v>0</v>
      </c>
      <c r="AG1022" s="6" t="n">
        <f aca="false">I1022</f>
        <v>0</v>
      </c>
      <c r="AH1022" s="6" t="n">
        <f aca="false">L1022</f>
        <v>0</v>
      </c>
    </row>
    <row r="1023" customFormat="false" ht="15" hidden="false" customHeight="false" outlineLevel="0" collapsed="false">
      <c r="A1023" s="0" t="str">
        <f aca="false">'Raw Data'!C1023</f>
        <v>Cerrillos (aka Santa Fe)</v>
      </c>
      <c r="B1023" s="5" t="n">
        <f aca="false">'Raw Data'!A1023</f>
        <v>40365</v>
      </c>
      <c r="C1023" s="6" t="n">
        <f aca="false">'Raw Data'!D1023</f>
        <v>297.117692315788</v>
      </c>
      <c r="D1023" s="6" t="n">
        <f aca="false">'Raw Data'!E1023</f>
        <v>4.121333333</v>
      </c>
      <c r="E1023" s="6" t="n">
        <f aca="false">'Raw Data'!F1023</f>
        <v>1</v>
      </c>
      <c r="F1023" s="6" t="n">
        <f aca="false">'Raw Data'!G1023</f>
        <v>0</v>
      </c>
      <c r="G1023" s="6" t="n">
        <f aca="false">'Raw Data'!H1023</f>
        <v>0</v>
      </c>
      <c r="H1023" s="6" t="n">
        <f aca="false">'Raw Data'!I1023</f>
        <v>0</v>
      </c>
      <c r="I1023" s="6" t="n">
        <f aca="false">'Raw Data'!J1023</f>
        <v>0</v>
      </c>
      <c r="J1023" s="6" t="n">
        <f aca="false">'Raw Data'!K1023</f>
        <v>1</v>
      </c>
      <c r="K1023" s="6" t="n">
        <f aca="false">'Raw Data'!L1023</f>
        <v>1</v>
      </c>
      <c r="L1023" s="6" t="n">
        <f aca="false">F1023*E1023</f>
        <v>0</v>
      </c>
      <c r="N1023" s="0" t="n">
        <v>1</v>
      </c>
      <c r="O1023" s="6" t="n">
        <f aca="false">D1023</f>
        <v>4.121333333</v>
      </c>
      <c r="P1023" s="6" t="n">
        <f aca="false">E1023</f>
        <v>1</v>
      </c>
      <c r="Q1023" s="6" t="n">
        <f aca="false">F1023</f>
        <v>0</v>
      </c>
      <c r="R1023" s="6" t="n">
        <f aca="false">G1023</f>
        <v>0</v>
      </c>
      <c r="S1023" s="6" t="n">
        <f aca="false">H1023</f>
        <v>0</v>
      </c>
      <c r="T1023" s="6" t="n">
        <f aca="false">I1023</f>
        <v>0</v>
      </c>
      <c r="U1023" s="6" t="n">
        <f aca="false">L1023</f>
        <v>0</v>
      </c>
      <c r="W1023" s="6" t="n">
        <f aca="false">D1023</f>
        <v>4.121333333</v>
      </c>
      <c r="X1023" s="6" t="n">
        <f aca="false">E1023</f>
        <v>1</v>
      </c>
      <c r="Y1023" s="6" t="n">
        <f aca="false">F1023</f>
        <v>0</v>
      </c>
      <c r="Z1023" s="6" t="n">
        <f aca="false">L1023</f>
        <v>0</v>
      </c>
      <c r="AA1023" s="6" t="n">
        <f aca="false">G1023</f>
        <v>0</v>
      </c>
      <c r="AC1023" s="6" t="n">
        <f aca="false">D1023</f>
        <v>4.121333333</v>
      </c>
      <c r="AD1023" s="6" t="n">
        <f aca="false">E1023</f>
        <v>1</v>
      </c>
      <c r="AE1023" s="6" t="n">
        <f aca="false">G1023</f>
        <v>0</v>
      </c>
      <c r="AF1023" s="6" t="n">
        <f aca="false">H1023</f>
        <v>0</v>
      </c>
      <c r="AG1023" s="6" t="n">
        <f aca="false">I1023</f>
        <v>0</v>
      </c>
      <c r="AH1023" s="6" t="n">
        <f aca="false">L1023</f>
        <v>0</v>
      </c>
    </row>
    <row r="1024" customFormat="false" ht="15" hidden="false" customHeight="false" outlineLevel="0" collapsed="false">
      <c r="A1024" s="0" t="str">
        <f aca="false">'Raw Data'!C1024</f>
        <v>Cerrillos (aka Santa Fe)</v>
      </c>
      <c r="B1024" s="5" t="n">
        <f aca="false">'Raw Data'!A1024</f>
        <v>40372</v>
      </c>
      <c r="C1024" s="6" t="n">
        <f aca="false">'Raw Data'!D1024</f>
        <v>258.462308843328</v>
      </c>
      <c r="D1024" s="6" t="n">
        <f aca="false">'Raw Data'!E1024</f>
        <v>4.680666667</v>
      </c>
      <c r="E1024" s="6" t="n">
        <f aca="false">'Raw Data'!F1024</f>
        <v>1</v>
      </c>
      <c r="F1024" s="6" t="n">
        <f aca="false">'Raw Data'!G1024</f>
        <v>0</v>
      </c>
      <c r="G1024" s="6" t="n">
        <f aca="false">'Raw Data'!H1024</f>
        <v>0</v>
      </c>
      <c r="H1024" s="6" t="n">
        <f aca="false">'Raw Data'!I1024</f>
        <v>0</v>
      </c>
      <c r="I1024" s="6" t="n">
        <f aca="false">'Raw Data'!J1024</f>
        <v>0</v>
      </c>
      <c r="J1024" s="6" t="n">
        <f aca="false">'Raw Data'!K1024</f>
        <v>1</v>
      </c>
      <c r="K1024" s="6" t="n">
        <f aca="false">'Raw Data'!L1024</f>
        <v>1</v>
      </c>
      <c r="L1024" s="6" t="n">
        <f aca="false">F1024*E1024</f>
        <v>0</v>
      </c>
      <c r="N1024" s="0" t="n">
        <v>1</v>
      </c>
      <c r="O1024" s="6" t="n">
        <f aca="false">D1024</f>
        <v>4.680666667</v>
      </c>
      <c r="P1024" s="6" t="n">
        <f aca="false">E1024</f>
        <v>1</v>
      </c>
      <c r="Q1024" s="6" t="n">
        <f aca="false">F1024</f>
        <v>0</v>
      </c>
      <c r="R1024" s="6" t="n">
        <f aca="false">G1024</f>
        <v>0</v>
      </c>
      <c r="S1024" s="6" t="n">
        <f aca="false">H1024</f>
        <v>0</v>
      </c>
      <c r="T1024" s="6" t="n">
        <f aca="false">I1024</f>
        <v>0</v>
      </c>
      <c r="U1024" s="6" t="n">
        <f aca="false">L1024</f>
        <v>0</v>
      </c>
      <c r="W1024" s="6" t="n">
        <f aca="false">D1024</f>
        <v>4.680666667</v>
      </c>
      <c r="X1024" s="6" t="n">
        <f aca="false">E1024</f>
        <v>1</v>
      </c>
      <c r="Y1024" s="6" t="n">
        <f aca="false">F1024</f>
        <v>0</v>
      </c>
      <c r="Z1024" s="6" t="n">
        <f aca="false">L1024</f>
        <v>0</v>
      </c>
      <c r="AA1024" s="6" t="n">
        <f aca="false">G1024</f>
        <v>0</v>
      </c>
      <c r="AC1024" s="6" t="n">
        <f aca="false">D1024</f>
        <v>4.680666667</v>
      </c>
      <c r="AD1024" s="6" t="n">
        <f aca="false">E1024</f>
        <v>1</v>
      </c>
      <c r="AE1024" s="6" t="n">
        <f aca="false">G1024</f>
        <v>0</v>
      </c>
      <c r="AF1024" s="6" t="n">
        <f aca="false">H1024</f>
        <v>0</v>
      </c>
      <c r="AG1024" s="6" t="n">
        <f aca="false">I1024</f>
        <v>0</v>
      </c>
      <c r="AH1024" s="6" t="n">
        <f aca="false">L1024</f>
        <v>0</v>
      </c>
    </row>
    <row r="1025" customFormat="false" ht="15" hidden="false" customHeight="false" outlineLevel="0" collapsed="false">
      <c r="A1025" s="0" t="str">
        <f aca="false">'Raw Data'!C1025</f>
        <v>Fort Collins</v>
      </c>
      <c r="B1025" s="5" t="n">
        <f aca="false">'Raw Data'!A1025</f>
        <v>40302</v>
      </c>
      <c r="C1025" s="6" t="n">
        <f aca="false">'Raw Data'!D1025</f>
        <v>336.221332227382</v>
      </c>
      <c r="D1025" s="6" t="n">
        <f aca="false">'Raw Data'!E1025</f>
        <v>4.317272727</v>
      </c>
      <c r="E1025" s="6" t="n">
        <f aca="false">'Raw Data'!F1025</f>
        <v>1</v>
      </c>
      <c r="F1025" s="6" t="n">
        <f aca="false">'Raw Data'!G1025</f>
        <v>0</v>
      </c>
      <c r="G1025" s="6" t="n">
        <f aca="false">'Raw Data'!H1025</f>
        <v>0</v>
      </c>
      <c r="H1025" s="6" t="n">
        <f aca="false">'Raw Data'!I1025</f>
        <v>0</v>
      </c>
      <c r="I1025" s="6" t="n">
        <f aca="false">'Raw Data'!J1025</f>
        <v>1</v>
      </c>
      <c r="J1025" s="6" t="n">
        <f aca="false">'Raw Data'!K1025</f>
        <v>2</v>
      </c>
      <c r="K1025" s="6" t="n">
        <f aca="false">'Raw Data'!L1025</f>
        <v>4</v>
      </c>
      <c r="L1025" s="6" t="n">
        <f aca="false">F1025*E1025</f>
        <v>0</v>
      </c>
      <c r="N1025" s="0" t="n">
        <v>1</v>
      </c>
      <c r="O1025" s="6" t="n">
        <f aca="false">D1025</f>
        <v>4.317272727</v>
      </c>
      <c r="P1025" s="6" t="n">
        <f aca="false">E1025</f>
        <v>1</v>
      </c>
      <c r="Q1025" s="6" t="n">
        <f aca="false">F1025</f>
        <v>0</v>
      </c>
      <c r="R1025" s="6" t="n">
        <f aca="false">G1025</f>
        <v>0</v>
      </c>
      <c r="S1025" s="6" t="n">
        <f aca="false">H1025</f>
        <v>0</v>
      </c>
      <c r="T1025" s="6" t="n">
        <f aca="false">I1025</f>
        <v>1</v>
      </c>
      <c r="U1025" s="6" t="n">
        <f aca="false">L1025</f>
        <v>0</v>
      </c>
      <c r="W1025" s="6" t="n">
        <f aca="false">D1025</f>
        <v>4.317272727</v>
      </c>
      <c r="X1025" s="6" t="n">
        <f aca="false">E1025</f>
        <v>1</v>
      </c>
      <c r="Y1025" s="6" t="n">
        <f aca="false">F1025</f>
        <v>0</v>
      </c>
      <c r="Z1025" s="6" t="n">
        <f aca="false">L1025</f>
        <v>0</v>
      </c>
      <c r="AA1025" s="6" t="n">
        <f aca="false">G1025</f>
        <v>0</v>
      </c>
      <c r="AC1025" s="6" t="n">
        <f aca="false">D1025</f>
        <v>4.317272727</v>
      </c>
      <c r="AD1025" s="6" t="n">
        <f aca="false">E1025</f>
        <v>1</v>
      </c>
      <c r="AE1025" s="6" t="n">
        <f aca="false">G1025</f>
        <v>0</v>
      </c>
      <c r="AF1025" s="6" t="n">
        <f aca="false">H1025</f>
        <v>0</v>
      </c>
      <c r="AG1025" s="6" t="n">
        <f aca="false">I1025</f>
        <v>1</v>
      </c>
      <c r="AH1025" s="6" t="n">
        <f aca="false">L1025</f>
        <v>0</v>
      </c>
    </row>
    <row r="1026" customFormat="false" ht="15" hidden="false" customHeight="false" outlineLevel="0" collapsed="false">
      <c r="A1026" s="0" t="str">
        <f aca="false">'Raw Data'!C1026</f>
        <v>Fort Collins</v>
      </c>
      <c r="B1026" s="5" t="n">
        <f aca="false">'Raw Data'!A1026</f>
        <v>40309</v>
      </c>
      <c r="C1026" s="6" t="n">
        <f aca="false">'Raw Data'!D1026</f>
        <v>364.174539041513</v>
      </c>
      <c r="D1026" s="6" t="n">
        <f aca="false">'Raw Data'!E1026</f>
        <v>4.523333333</v>
      </c>
      <c r="E1026" s="6" t="n">
        <f aca="false">'Raw Data'!F1026</f>
        <v>1</v>
      </c>
      <c r="F1026" s="6" t="n">
        <f aca="false">'Raw Data'!G1026</f>
        <v>0</v>
      </c>
      <c r="G1026" s="6" t="n">
        <f aca="false">'Raw Data'!H1026</f>
        <v>0</v>
      </c>
      <c r="H1026" s="6" t="n">
        <f aca="false">'Raw Data'!I1026</f>
        <v>0</v>
      </c>
      <c r="I1026" s="6" t="n">
        <f aca="false">'Raw Data'!J1026</f>
        <v>1</v>
      </c>
      <c r="J1026" s="6" t="n">
        <f aca="false">'Raw Data'!K1026</f>
        <v>2</v>
      </c>
      <c r="K1026" s="6" t="n">
        <f aca="false">'Raw Data'!L1026</f>
        <v>4</v>
      </c>
      <c r="L1026" s="6" t="n">
        <f aca="false">F1026*E1026</f>
        <v>0</v>
      </c>
      <c r="N1026" s="0" t="n">
        <v>1</v>
      </c>
      <c r="O1026" s="6" t="n">
        <f aca="false">D1026</f>
        <v>4.523333333</v>
      </c>
      <c r="P1026" s="6" t="n">
        <f aca="false">E1026</f>
        <v>1</v>
      </c>
      <c r="Q1026" s="6" t="n">
        <f aca="false">F1026</f>
        <v>0</v>
      </c>
      <c r="R1026" s="6" t="n">
        <f aca="false">G1026</f>
        <v>0</v>
      </c>
      <c r="S1026" s="6" t="n">
        <f aca="false">H1026</f>
        <v>0</v>
      </c>
      <c r="T1026" s="6" t="n">
        <f aca="false">I1026</f>
        <v>1</v>
      </c>
      <c r="U1026" s="6" t="n">
        <f aca="false">L1026</f>
        <v>0</v>
      </c>
      <c r="W1026" s="6" t="n">
        <f aca="false">D1026</f>
        <v>4.523333333</v>
      </c>
      <c r="X1026" s="6" t="n">
        <f aca="false">E1026</f>
        <v>1</v>
      </c>
      <c r="Y1026" s="6" t="n">
        <f aca="false">F1026</f>
        <v>0</v>
      </c>
      <c r="Z1026" s="6" t="n">
        <f aca="false">L1026</f>
        <v>0</v>
      </c>
      <c r="AA1026" s="6" t="n">
        <f aca="false">G1026</f>
        <v>0</v>
      </c>
      <c r="AC1026" s="6" t="n">
        <f aca="false">D1026</f>
        <v>4.523333333</v>
      </c>
      <c r="AD1026" s="6" t="n">
        <f aca="false">E1026</f>
        <v>1</v>
      </c>
      <c r="AE1026" s="6" t="n">
        <f aca="false">G1026</f>
        <v>0</v>
      </c>
      <c r="AF1026" s="6" t="n">
        <f aca="false">H1026</f>
        <v>0</v>
      </c>
      <c r="AG1026" s="6" t="n">
        <f aca="false">I1026</f>
        <v>1</v>
      </c>
      <c r="AH1026" s="6" t="n">
        <f aca="false">L1026</f>
        <v>0</v>
      </c>
    </row>
    <row r="1027" customFormat="false" ht="15" hidden="false" customHeight="false" outlineLevel="0" collapsed="false">
      <c r="A1027" s="0" t="str">
        <f aca="false">'Raw Data'!C1027</f>
        <v>Fort Collins</v>
      </c>
      <c r="B1027" s="5" t="n">
        <f aca="false">'Raw Data'!A1027</f>
        <v>40316</v>
      </c>
      <c r="C1027" s="6" t="n">
        <f aca="false">'Raw Data'!D1027</f>
        <v>291.194798828485</v>
      </c>
      <c r="D1027" s="6" t="n">
        <f aca="false">'Raw Data'!E1027</f>
        <v>4.946923077</v>
      </c>
      <c r="E1027" s="6" t="n">
        <f aca="false">'Raw Data'!F1027</f>
        <v>1</v>
      </c>
      <c r="F1027" s="6" t="n">
        <f aca="false">'Raw Data'!G1027</f>
        <v>0</v>
      </c>
      <c r="G1027" s="6" t="n">
        <f aca="false">'Raw Data'!H1027</f>
        <v>1</v>
      </c>
      <c r="H1027" s="6" t="n">
        <f aca="false">'Raw Data'!I1027</f>
        <v>0</v>
      </c>
      <c r="I1027" s="6" t="n">
        <f aca="false">'Raw Data'!J1027</f>
        <v>0</v>
      </c>
      <c r="J1027" s="6" t="n">
        <f aca="false">'Raw Data'!K1027</f>
        <v>2</v>
      </c>
      <c r="K1027" s="6" t="n">
        <f aca="false">'Raw Data'!L1027</f>
        <v>4</v>
      </c>
      <c r="L1027" s="6" t="n">
        <f aca="false">F1027*E1027</f>
        <v>0</v>
      </c>
      <c r="N1027" s="0" t="n">
        <v>1</v>
      </c>
      <c r="O1027" s="6" t="n">
        <f aca="false">D1027</f>
        <v>4.946923077</v>
      </c>
      <c r="P1027" s="6" t="n">
        <f aca="false">E1027</f>
        <v>1</v>
      </c>
      <c r="Q1027" s="6" t="n">
        <f aca="false">F1027</f>
        <v>0</v>
      </c>
      <c r="R1027" s="6" t="n">
        <f aca="false">G1027</f>
        <v>1</v>
      </c>
      <c r="S1027" s="6" t="n">
        <f aca="false">H1027</f>
        <v>0</v>
      </c>
      <c r="T1027" s="6" t="n">
        <f aca="false">I1027</f>
        <v>0</v>
      </c>
      <c r="U1027" s="6" t="n">
        <f aca="false">L1027</f>
        <v>0</v>
      </c>
      <c r="W1027" s="6" t="n">
        <f aca="false">D1027</f>
        <v>4.946923077</v>
      </c>
      <c r="X1027" s="6" t="n">
        <f aca="false">E1027</f>
        <v>1</v>
      </c>
      <c r="Y1027" s="6" t="n">
        <f aca="false">F1027</f>
        <v>0</v>
      </c>
      <c r="Z1027" s="6" t="n">
        <f aca="false">L1027</f>
        <v>0</v>
      </c>
      <c r="AA1027" s="6" t="n">
        <f aca="false">G1027</f>
        <v>1</v>
      </c>
      <c r="AC1027" s="6" t="n">
        <f aca="false">D1027</f>
        <v>4.946923077</v>
      </c>
      <c r="AD1027" s="6" t="n">
        <f aca="false">E1027</f>
        <v>1</v>
      </c>
      <c r="AE1027" s="6" t="n">
        <f aca="false">G1027</f>
        <v>1</v>
      </c>
      <c r="AF1027" s="6" t="n">
        <f aca="false">H1027</f>
        <v>0</v>
      </c>
      <c r="AG1027" s="6" t="n">
        <f aca="false">I1027</f>
        <v>0</v>
      </c>
      <c r="AH1027" s="6" t="n">
        <f aca="false">L1027</f>
        <v>0</v>
      </c>
    </row>
    <row r="1028" customFormat="false" ht="15" hidden="false" customHeight="false" outlineLevel="0" collapsed="false">
      <c r="A1028" s="0" t="str">
        <f aca="false">'Raw Data'!C1028</f>
        <v>Fort Collins</v>
      </c>
      <c r="B1028" s="5" t="n">
        <f aca="false">'Raw Data'!A1028</f>
        <v>40323</v>
      </c>
      <c r="C1028" s="6" t="n">
        <f aca="false">'Raw Data'!D1028</f>
        <v>279.629642512198</v>
      </c>
      <c r="D1028" s="6" t="n">
        <f aca="false">'Raw Data'!E1028</f>
        <v>4.693846154</v>
      </c>
      <c r="E1028" s="6" t="n">
        <f aca="false">'Raw Data'!F1028</f>
        <v>1</v>
      </c>
      <c r="F1028" s="6" t="n">
        <f aca="false">'Raw Data'!G1028</f>
        <v>0</v>
      </c>
      <c r="G1028" s="6" t="n">
        <f aca="false">'Raw Data'!H1028</f>
        <v>0</v>
      </c>
      <c r="H1028" s="6" t="n">
        <f aca="false">'Raw Data'!I1028</f>
        <v>1</v>
      </c>
      <c r="I1028" s="6" t="n">
        <f aca="false">'Raw Data'!J1028</f>
        <v>0</v>
      </c>
      <c r="J1028" s="6" t="n">
        <f aca="false">'Raw Data'!K1028</f>
        <v>2</v>
      </c>
      <c r="K1028" s="6" t="n">
        <f aca="false">'Raw Data'!L1028</f>
        <v>4</v>
      </c>
      <c r="L1028" s="6" t="n">
        <f aca="false">F1028*E1028</f>
        <v>0</v>
      </c>
      <c r="N1028" s="0" t="n">
        <v>1</v>
      </c>
      <c r="O1028" s="6" t="n">
        <f aca="false">D1028</f>
        <v>4.693846154</v>
      </c>
      <c r="P1028" s="6" t="n">
        <f aca="false">E1028</f>
        <v>1</v>
      </c>
      <c r="Q1028" s="6" t="n">
        <f aca="false">F1028</f>
        <v>0</v>
      </c>
      <c r="R1028" s="6" t="n">
        <f aca="false">G1028</f>
        <v>0</v>
      </c>
      <c r="S1028" s="6" t="n">
        <f aca="false">H1028</f>
        <v>1</v>
      </c>
      <c r="T1028" s="6" t="n">
        <f aca="false">I1028</f>
        <v>0</v>
      </c>
      <c r="U1028" s="6" t="n">
        <f aca="false">L1028</f>
        <v>0</v>
      </c>
      <c r="W1028" s="6" t="n">
        <f aca="false">D1028</f>
        <v>4.693846154</v>
      </c>
      <c r="X1028" s="6" t="n">
        <f aca="false">E1028</f>
        <v>1</v>
      </c>
      <c r="Y1028" s="6" t="n">
        <f aca="false">F1028</f>
        <v>0</v>
      </c>
      <c r="Z1028" s="6" t="n">
        <f aca="false">L1028</f>
        <v>0</v>
      </c>
      <c r="AA1028" s="6" t="n">
        <f aca="false">G1028</f>
        <v>0</v>
      </c>
      <c r="AC1028" s="6" t="n">
        <f aca="false">D1028</f>
        <v>4.693846154</v>
      </c>
      <c r="AD1028" s="6" t="n">
        <f aca="false">E1028</f>
        <v>1</v>
      </c>
      <c r="AE1028" s="6" t="n">
        <f aca="false">G1028</f>
        <v>0</v>
      </c>
      <c r="AF1028" s="6" t="n">
        <f aca="false">H1028</f>
        <v>1</v>
      </c>
      <c r="AG1028" s="6" t="n">
        <f aca="false">I1028</f>
        <v>0</v>
      </c>
      <c r="AH1028" s="6" t="n">
        <f aca="false">L1028</f>
        <v>0</v>
      </c>
    </row>
    <row r="1029" customFormat="false" ht="15" hidden="false" customHeight="false" outlineLevel="0" collapsed="false">
      <c r="A1029" s="0" t="str">
        <f aca="false">'Raw Data'!C1029</f>
        <v>Fort Collins</v>
      </c>
      <c r="B1029" s="5" t="n">
        <f aca="false">'Raw Data'!A1029</f>
        <v>40330</v>
      </c>
      <c r="C1029" s="6" t="n">
        <f aca="false">'Raw Data'!D1029</f>
        <v>328.564645072214</v>
      </c>
      <c r="D1029" s="6" t="n">
        <f aca="false">'Raw Data'!E1029</f>
        <v>4.843571429</v>
      </c>
      <c r="E1029" s="6" t="n">
        <f aca="false">'Raw Data'!F1029</f>
        <v>1</v>
      </c>
      <c r="F1029" s="6" t="n">
        <f aca="false">'Raw Data'!G1029</f>
        <v>0</v>
      </c>
      <c r="G1029" s="6" t="n">
        <f aca="false">'Raw Data'!H1029</f>
        <v>0</v>
      </c>
      <c r="H1029" s="6" t="n">
        <f aca="false">'Raw Data'!I1029</f>
        <v>1</v>
      </c>
      <c r="I1029" s="6" t="n">
        <f aca="false">'Raw Data'!J1029</f>
        <v>0</v>
      </c>
      <c r="J1029" s="6" t="n">
        <f aca="false">'Raw Data'!K1029</f>
        <v>2</v>
      </c>
      <c r="K1029" s="6" t="n">
        <f aca="false">'Raw Data'!L1029</f>
        <v>4</v>
      </c>
      <c r="L1029" s="6" t="n">
        <f aca="false">F1029*E1029</f>
        <v>0</v>
      </c>
      <c r="N1029" s="0" t="n">
        <v>1</v>
      </c>
      <c r="O1029" s="6" t="n">
        <f aca="false">D1029</f>
        <v>4.843571429</v>
      </c>
      <c r="P1029" s="6" t="n">
        <f aca="false">E1029</f>
        <v>1</v>
      </c>
      <c r="Q1029" s="6" t="n">
        <f aca="false">F1029</f>
        <v>0</v>
      </c>
      <c r="R1029" s="6" t="n">
        <f aca="false">G1029</f>
        <v>0</v>
      </c>
      <c r="S1029" s="6" t="n">
        <f aca="false">H1029</f>
        <v>1</v>
      </c>
      <c r="T1029" s="6" t="n">
        <f aca="false">I1029</f>
        <v>0</v>
      </c>
      <c r="U1029" s="6" t="n">
        <f aca="false">L1029</f>
        <v>0</v>
      </c>
      <c r="W1029" s="6" t="n">
        <f aca="false">D1029</f>
        <v>4.843571429</v>
      </c>
      <c r="X1029" s="6" t="n">
        <f aca="false">E1029</f>
        <v>1</v>
      </c>
      <c r="Y1029" s="6" t="n">
        <f aca="false">F1029</f>
        <v>0</v>
      </c>
      <c r="Z1029" s="6" t="n">
        <f aca="false">L1029</f>
        <v>0</v>
      </c>
      <c r="AA1029" s="6" t="n">
        <f aca="false">G1029</f>
        <v>0</v>
      </c>
      <c r="AC1029" s="6" t="n">
        <f aca="false">D1029</f>
        <v>4.843571429</v>
      </c>
      <c r="AD1029" s="6" t="n">
        <f aca="false">E1029</f>
        <v>1</v>
      </c>
      <c r="AE1029" s="6" t="n">
        <f aca="false">G1029</f>
        <v>0</v>
      </c>
      <c r="AF1029" s="6" t="n">
        <f aca="false">H1029</f>
        <v>1</v>
      </c>
      <c r="AG1029" s="6" t="n">
        <f aca="false">I1029</f>
        <v>0</v>
      </c>
      <c r="AH1029" s="6" t="n">
        <f aca="false">L1029</f>
        <v>0</v>
      </c>
    </row>
    <row r="1030" customFormat="false" ht="15" hidden="false" customHeight="false" outlineLevel="0" collapsed="false">
      <c r="A1030" s="0" t="str">
        <f aca="false">'Raw Data'!C1030</f>
        <v>Fort Collins</v>
      </c>
      <c r="B1030" s="5" t="n">
        <f aca="false">'Raw Data'!A1030</f>
        <v>40337</v>
      </c>
      <c r="C1030" s="6" t="n">
        <f aca="false">'Raw Data'!D1030</f>
        <v>329.402328188213</v>
      </c>
      <c r="D1030" s="6" t="n">
        <f aca="false">'Raw Data'!E1030</f>
        <v>4.7025</v>
      </c>
      <c r="E1030" s="6" t="n">
        <f aca="false">'Raw Data'!F1030</f>
        <v>1</v>
      </c>
      <c r="F1030" s="6" t="n">
        <f aca="false">'Raw Data'!G1030</f>
        <v>0</v>
      </c>
      <c r="G1030" s="6" t="n">
        <f aca="false">'Raw Data'!H1030</f>
        <v>0</v>
      </c>
      <c r="H1030" s="6" t="n">
        <f aca="false">'Raw Data'!I1030</f>
        <v>1</v>
      </c>
      <c r="I1030" s="6" t="n">
        <f aca="false">'Raw Data'!J1030</f>
        <v>0</v>
      </c>
      <c r="J1030" s="6" t="n">
        <f aca="false">'Raw Data'!K1030</f>
        <v>2</v>
      </c>
      <c r="K1030" s="6" t="n">
        <f aca="false">'Raw Data'!L1030</f>
        <v>4</v>
      </c>
      <c r="L1030" s="6" t="n">
        <f aca="false">F1030*E1030</f>
        <v>0</v>
      </c>
      <c r="N1030" s="0" t="n">
        <v>1</v>
      </c>
      <c r="O1030" s="6" t="n">
        <f aca="false">D1030</f>
        <v>4.7025</v>
      </c>
      <c r="P1030" s="6" t="n">
        <f aca="false">E1030</f>
        <v>1</v>
      </c>
      <c r="Q1030" s="6" t="n">
        <f aca="false">F1030</f>
        <v>0</v>
      </c>
      <c r="R1030" s="6" t="n">
        <f aca="false">G1030</f>
        <v>0</v>
      </c>
      <c r="S1030" s="6" t="n">
        <f aca="false">H1030</f>
        <v>1</v>
      </c>
      <c r="T1030" s="6" t="n">
        <f aca="false">I1030</f>
        <v>0</v>
      </c>
      <c r="U1030" s="6" t="n">
        <f aca="false">L1030</f>
        <v>0</v>
      </c>
      <c r="W1030" s="6" t="n">
        <f aca="false">D1030</f>
        <v>4.7025</v>
      </c>
      <c r="X1030" s="6" t="n">
        <f aca="false">E1030</f>
        <v>1</v>
      </c>
      <c r="Y1030" s="6" t="n">
        <f aca="false">F1030</f>
        <v>0</v>
      </c>
      <c r="Z1030" s="6" t="n">
        <f aca="false">L1030</f>
        <v>0</v>
      </c>
      <c r="AA1030" s="6" t="n">
        <f aca="false">G1030</f>
        <v>0</v>
      </c>
      <c r="AC1030" s="6" t="n">
        <f aca="false">D1030</f>
        <v>4.7025</v>
      </c>
      <c r="AD1030" s="6" t="n">
        <f aca="false">E1030</f>
        <v>1</v>
      </c>
      <c r="AE1030" s="6" t="n">
        <f aca="false">G1030</f>
        <v>0</v>
      </c>
      <c r="AF1030" s="6" t="n">
        <f aca="false">H1030</f>
        <v>1</v>
      </c>
      <c r="AG1030" s="6" t="n">
        <f aca="false">I1030</f>
        <v>0</v>
      </c>
      <c r="AH1030" s="6" t="n">
        <f aca="false">L1030</f>
        <v>0</v>
      </c>
    </row>
    <row r="1031" customFormat="false" ht="15" hidden="false" customHeight="false" outlineLevel="0" collapsed="false">
      <c r="A1031" s="0" t="str">
        <f aca="false">'Raw Data'!C1031</f>
        <v>Fort Collins</v>
      </c>
      <c r="B1031" s="5" t="n">
        <f aca="false">'Raw Data'!A1031</f>
        <v>40344</v>
      </c>
      <c r="C1031" s="6" t="n">
        <f aca="false">'Raw Data'!D1031</f>
        <v>211.372934654636</v>
      </c>
      <c r="D1031" s="6" t="n">
        <f aca="false">'Raw Data'!E1031</f>
        <v>4.895882353</v>
      </c>
      <c r="E1031" s="6" t="n">
        <f aca="false">'Raw Data'!F1031</f>
        <v>1</v>
      </c>
      <c r="F1031" s="6" t="n">
        <f aca="false">'Raw Data'!G1031</f>
        <v>0</v>
      </c>
      <c r="G1031" s="6" t="n">
        <f aca="false">'Raw Data'!H1031</f>
        <v>0</v>
      </c>
      <c r="H1031" s="6" t="n">
        <f aca="false">'Raw Data'!I1031</f>
        <v>0</v>
      </c>
      <c r="I1031" s="6" t="n">
        <f aca="false">'Raw Data'!J1031</f>
        <v>1</v>
      </c>
      <c r="J1031" s="6" t="n">
        <f aca="false">'Raw Data'!K1031</f>
        <v>2</v>
      </c>
      <c r="K1031" s="6" t="n">
        <f aca="false">'Raw Data'!L1031</f>
        <v>4</v>
      </c>
      <c r="L1031" s="6" t="n">
        <f aca="false">F1031*E1031</f>
        <v>0</v>
      </c>
      <c r="N1031" s="0" t="n">
        <v>1</v>
      </c>
      <c r="O1031" s="6" t="n">
        <f aca="false">D1031</f>
        <v>4.895882353</v>
      </c>
      <c r="P1031" s="6" t="n">
        <f aca="false">E1031</f>
        <v>1</v>
      </c>
      <c r="Q1031" s="6" t="n">
        <f aca="false">F1031</f>
        <v>0</v>
      </c>
      <c r="R1031" s="6" t="n">
        <f aca="false">G1031</f>
        <v>0</v>
      </c>
      <c r="S1031" s="6" t="n">
        <f aca="false">H1031</f>
        <v>0</v>
      </c>
      <c r="T1031" s="6" t="n">
        <f aca="false">I1031</f>
        <v>1</v>
      </c>
      <c r="U1031" s="6" t="n">
        <f aca="false">L1031</f>
        <v>0</v>
      </c>
      <c r="W1031" s="6" t="n">
        <f aca="false">D1031</f>
        <v>4.895882353</v>
      </c>
      <c r="X1031" s="6" t="n">
        <f aca="false">E1031</f>
        <v>1</v>
      </c>
      <c r="Y1031" s="6" t="n">
        <f aca="false">F1031</f>
        <v>0</v>
      </c>
      <c r="Z1031" s="6" t="n">
        <f aca="false">L1031</f>
        <v>0</v>
      </c>
      <c r="AA1031" s="6" t="n">
        <f aca="false">G1031</f>
        <v>0</v>
      </c>
      <c r="AC1031" s="6" t="n">
        <f aca="false">D1031</f>
        <v>4.895882353</v>
      </c>
      <c r="AD1031" s="6" t="n">
        <f aca="false">E1031</f>
        <v>1</v>
      </c>
      <c r="AE1031" s="6" t="n">
        <f aca="false">G1031</f>
        <v>0</v>
      </c>
      <c r="AF1031" s="6" t="n">
        <f aca="false">H1031</f>
        <v>0</v>
      </c>
      <c r="AG1031" s="6" t="n">
        <f aca="false">I1031</f>
        <v>1</v>
      </c>
      <c r="AH1031" s="6" t="n">
        <f aca="false">L1031</f>
        <v>0</v>
      </c>
    </row>
    <row r="1032" customFormat="false" ht="15" hidden="false" customHeight="false" outlineLevel="0" collapsed="false">
      <c r="A1032" s="0" t="str">
        <f aca="false">'Raw Data'!C1032</f>
        <v>Fort Collins</v>
      </c>
      <c r="B1032" s="5" t="n">
        <f aca="false">'Raw Data'!A1032</f>
        <v>40351</v>
      </c>
      <c r="C1032" s="6" t="n">
        <f aca="false">'Raw Data'!D1032</f>
        <v>428.350160527556</v>
      </c>
      <c r="D1032" s="6" t="n">
        <f aca="false">'Raw Data'!E1032</f>
        <v>4.025714286</v>
      </c>
      <c r="E1032" s="6" t="n">
        <f aca="false">'Raw Data'!F1032</f>
        <v>1</v>
      </c>
      <c r="F1032" s="6" t="n">
        <f aca="false">'Raw Data'!G1032</f>
        <v>0</v>
      </c>
      <c r="G1032" s="6" t="n">
        <f aca="false">'Raw Data'!H1032</f>
        <v>1</v>
      </c>
      <c r="H1032" s="6" t="n">
        <f aca="false">'Raw Data'!I1032</f>
        <v>0</v>
      </c>
      <c r="I1032" s="6" t="n">
        <f aca="false">'Raw Data'!J1032</f>
        <v>1</v>
      </c>
      <c r="J1032" s="6" t="n">
        <f aca="false">'Raw Data'!K1032</f>
        <v>2</v>
      </c>
      <c r="K1032" s="6" t="n">
        <f aca="false">'Raw Data'!L1032</f>
        <v>4</v>
      </c>
      <c r="L1032" s="6" t="n">
        <f aca="false">F1032*E1032</f>
        <v>0</v>
      </c>
      <c r="N1032" s="0" t="n">
        <v>1</v>
      </c>
      <c r="O1032" s="6" t="n">
        <f aca="false">D1032</f>
        <v>4.025714286</v>
      </c>
      <c r="P1032" s="6" t="n">
        <f aca="false">E1032</f>
        <v>1</v>
      </c>
      <c r="Q1032" s="6" t="n">
        <f aca="false">F1032</f>
        <v>0</v>
      </c>
      <c r="R1032" s="6" t="n">
        <f aca="false">G1032</f>
        <v>1</v>
      </c>
      <c r="S1032" s="6" t="n">
        <f aca="false">H1032</f>
        <v>0</v>
      </c>
      <c r="T1032" s="6" t="n">
        <f aca="false">I1032</f>
        <v>1</v>
      </c>
      <c r="U1032" s="6" t="n">
        <f aca="false">L1032</f>
        <v>0</v>
      </c>
      <c r="W1032" s="6" t="n">
        <f aca="false">D1032</f>
        <v>4.025714286</v>
      </c>
      <c r="X1032" s="6" t="n">
        <f aca="false">E1032</f>
        <v>1</v>
      </c>
      <c r="Y1032" s="6" t="n">
        <f aca="false">F1032</f>
        <v>0</v>
      </c>
      <c r="Z1032" s="6" t="n">
        <f aca="false">L1032</f>
        <v>0</v>
      </c>
      <c r="AA1032" s="6" t="n">
        <f aca="false">G1032</f>
        <v>1</v>
      </c>
      <c r="AC1032" s="6" t="n">
        <f aca="false">D1032</f>
        <v>4.025714286</v>
      </c>
      <c r="AD1032" s="6" t="n">
        <f aca="false">E1032</f>
        <v>1</v>
      </c>
      <c r="AE1032" s="6" t="n">
        <f aca="false">G1032</f>
        <v>1</v>
      </c>
      <c r="AF1032" s="6" t="n">
        <f aca="false">H1032</f>
        <v>0</v>
      </c>
      <c r="AG1032" s="6" t="n">
        <f aca="false">I1032</f>
        <v>1</v>
      </c>
      <c r="AH1032" s="6" t="n">
        <f aca="false">L1032</f>
        <v>0</v>
      </c>
    </row>
    <row r="1033" customFormat="false" ht="15" hidden="false" customHeight="false" outlineLevel="0" collapsed="false">
      <c r="A1033" s="0" t="str">
        <f aca="false">'Raw Data'!C1033</f>
        <v>Fort Collins</v>
      </c>
      <c r="B1033" s="5" t="n">
        <f aca="false">'Raw Data'!A1033</f>
        <v>40358</v>
      </c>
      <c r="C1033" s="6" t="n">
        <f aca="false">'Raw Data'!D1033</f>
        <v>412.791784429063</v>
      </c>
      <c r="D1033" s="6" t="n">
        <f aca="false">'Raw Data'!E1033</f>
        <v>4.836666667</v>
      </c>
      <c r="E1033" s="6" t="n">
        <f aca="false">'Raw Data'!F1033</f>
        <v>1</v>
      </c>
      <c r="F1033" s="6" t="n">
        <f aca="false">'Raw Data'!G1033</f>
        <v>0</v>
      </c>
      <c r="G1033" s="6" t="n">
        <f aca="false">'Raw Data'!H1033</f>
        <v>1</v>
      </c>
      <c r="H1033" s="6" t="n">
        <f aca="false">'Raw Data'!I1033</f>
        <v>1</v>
      </c>
      <c r="I1033" s="6" t="n">
        <f aca="false">'Raw Data'!J1033</f>
        <v>0</v>
      </c>
      <c r="J1033" s="6" t="n">
        <f aca="false">'Raw Data'!K1033</f>
        <v>2</v>
      </c>
      <c r="K1033" s="6" t="n">
        <f aca="false">'Raw Data'!L1033</f>
        <v>4</v>
      </c>
      <c r="L1033" s="6" t="n">
        <f aca="false">F1033*E1033</f>
        <v>0</v>
      </c>
      <c r="N1033" s="0" t="n">
        <v>1</v>
      </c>
      <c r="O1033" s="6" t="n">
        <f aca="false">D1033</f>
        <v>4.836666667</v>
      </c>
      <c r="P1033" s="6" t="n">
        <f aca="false">E1033</f>
        <v>1</v>
      </c>
      <c r="Q1033" s="6" t="n">
        <f aca="false">F1033</f>
        <v>0</v>
      </c>
      <c r="R1033" s="6" t="n">
        <f aca="false">G1033</f>
        <v>1</v>
      </c>
      <c r="S1033" s="6" t="n">
        <f aca="false">H1033</f>
        <v>1</v>
      </c>
      <c r="T1033" s="6" t="n">
        <f aca="false">I1033</f>
        <v>0</v>
      </c>
      <c r="U1033" s="6" t="n">
        <f aca="false">L1033</f>
        <v>0</v>
      </c>
      <c r="W1033" s="6" t="n">
        <f aca="false">D1033</f>
        <v>4.836666667</v>
      </c>
      <c r="X1033" s="6" t="n">
        <f aca="false">E1033</f>
        <v>1</v>
      </c>
      <c r="Y1033" s="6" t="n">
        <f aca="false">F1033</f>
        <v>0</v>
      </c>
      <c r="Z1033" s="6" t="n">
        <f aca="false">L1033</f>
        <v>0</v>
      </c>
      <c r="AA1033" s="6" t="n">
        <f aca="false">G1033</f>
        <v>1</v>
      </c>
      <c r="AC1033" s="6" t="n">
        <f aca="false">D1033</f>
        <v>4.836666667</v>
      </c>
      <c r="AD1033" s="6" t="n">
        <f aca="false">E1033</f>
        <v>1</v>
      </c>
      <c r="AE1033" s="6" t="n">
        <f aca="false">G1033</f>
        <v>1</v>
      </c>
      <c r="AF1033" s="6" t="n">
        <f aca="false">H1033</f>
        <v>1</v>
      </c>
      <c r="AG1033" s="6" t="n">
        <f aca="false">I1033</f>
        <v>0</v>
      </c>
      <c r="AH1033" s="6" t="n">
        <f aca="false">L1033</f>
        <v>0</v>
      </c>
    </row>
    <row r="1034" customFormat="false" ht="15" hidden="false" customHeight="false" outlineLevel="0" collapsed="false">
      <c r="A1034" s="0" t="str">
        <f aca="false">'Raw Data'!C1034</f>
        <v>Fort Collins</v>
      </c>
      <c r="B1034" s="5" t="n">
        <f aca="false">'Raw Data'!A1034</f>
        <v>40365</v>
      </c>
      <c r="C1034" s="6" t="n">
        <f aca="false">'Raw Data'!D1034</f>
        <v>328.221083027482</v>
      </c>
      <c r="D1034" s="6" t="n">
        <f aca="false">'Raw Data'!E1034</f>
        <v>4.247333333</v>
      </c>
      <c r="E1034" s="6" t="n">
        <f aca="false">'Raw Data'!F1034</f>
        <v>1</v>
      </c>
      <c r="F1034" s="6" t="n">
        <f aca="false">'Raw Data'!G1034</f>
        <v>0</v>
      </c>
      <c r="G1034" s="6" t="n">
        <f aca="false">'Raw Data'!H1034</f>
        <v>0</v>
      </c>
      <c r="H1034" s="6" t="n">
        <f aca="false">'Raw Data'!I1034</f>
        <v>1</v>
      </c>
      <c r="I1034" s="6" t="n">
        <f aca="false">'Raw Data'!J1034</f>
        <v>0</v>
      </c>
      <c r="J1034" s="6" t="n">
        <f aca="false">'Raw Data'!K1034</f>
        <v>2</v>
      </c>
      <c r="K1034" s="6" t="n">
        <f aca="false">'Raw Data'!L1034</f>
        <v>4</v>
      </c>
      <c r="L1034" s="6" t="n">
        <f aca="false">F1034*E1034</f>
        <v>0</v>
      </c>
      <c r="N1034" s="0" t="n">
        <v>1</v>
      </c>
      <c r="O1034" s="6" t="n">
        <f aca="false">D1034</f>
        <v>4.247333333</v>
      </c>
      <c r="P1034" s="6" t="n">
        <f aca="false">E1034</f>
        <v>1</v>
      </c>
      <c r="Q1034" s="6" t="n">
        <f aca="false">F1034</f>
        <v>0</v>
      </c>
      <c r="R1034" s="6" t="n">
        <f aca="false">G1034</f>
        <v>0</v>
      </c>
      <c r="S1034" s="6" t="n">
        <f aca="false">H1034</f>
        <v>1</v>
      </c>
      <c r="T1034" s="6" t="n">
        <f aca="false">I1034</f>
        <v>0</v>
      </c>
      <c r="U1034" s="6" t="n">
        <f aca="false">L1034</f>
        <v>0</v>
      </c>
      <c r="W1034" s="6" t="n">
        <f aca="false">D1034</f>
        <v>4.247333333</v>
      </c>
      <c r="X1034" s="6" t="n">
        <f aca="false">E1034</f>
        <v>1</v>
      </c>
      <c r="Y1034" s="6" t="n">
        <f aca="false">F1034</f>
        <v>0</v>
      </c>
      <c r="Z1034" s="6" t="n">
        <f aca="false">L1034</f>
        <v>0</v>
      </c>
      <c r="AA1034" s="6" t="n">
        <f aca="false">G1034</f>
        <v>0</v>
      </c>
      <c r="AC1034" s="6" t="n">
        <f aca="false">D1034</f>
        <v>4.247333333</v>
      </c>
      <c r="AD1034" s="6" t="n">
        <f aca="false">E1034</f>
        <v>1</v>
      </c>
      <c r="AE1034" s="6" t="n">
        <f aca="false">G1034</f>
        <v>0</v>
      </c>
      <c r="AF1034" s="6" t="n">
        <f aca="false">H1034</f>
        <v>1</v>
      </c>
      <c r="AG1034" s="6" t="n">
        <f aca="false">I1034</f>
        <v>0</v>
      </c>
      <c r="AH1034" s="6" t="n">
        <f aca="false">L1034</f>
        <v>0</v>
      </c>
    </row>
    <row r="1035" customFormat="false" ht="15" hidden="false" customHeight="false" outlineLevel="0" collapsed="false">
      <c r="A1035" s="0" t="str">
        <f aca="false">'Raw Data'!C1035</f>
        <v>Fort Collins</v>
      </c>
      <c r="B1035" s="5" t="n">
        <f aca="false">'Raw Data'!A1035</f>
        <v>40372</v>
      </c>
      <c r="C1035" s="6" t="n">
        <f aca="false">'Raw Data'!D1035</f>
        <v>269.833989335756</v>
      </c>
      <c r="D1035" s="6" t="n">
        <f aca="false">'Raw Data'!E1035</f>
        <v>4.544375</v>
      </c>
      <c r="E1035" s="6" t="n">
        <f aca="false">'Raw Data'!F1035</f>
        <v>1</v>
      </c>
      <c r="F1035" s="6" t="n">
        <f aca="false">'Raw Data'!G1035</f>
        <v>0</v>
      </c>
      <c r="G1035" s="6" t="n">
        <f aca="false">'Raw Data'!H1035</f>
        <v>0</v>
      </c>
      <c r="H1035" s="6" t="n">
        <f aca="false">'Raw Data'!I1035</f>
        <v>1</v>
      </c>
      <c r="I1035" s="6" t="n">
        <f aca="false">'Raw Data'!J1035</f>
        <v>0</v>
      </c>
      <c r="J1035" s="6" t="n">
        <f aca="false">'Raw Data'!K1035</f>
        <v>2</v>
      </c>
      <c r="K1035" s="6" t="n">
        <f aca="false">'Raw Data'!L1035</f>
        <v>4</v>
      </c>
      <c r="L1035" s="6" t="n">
        <f aca="false">F1035*E1035</f>
        <v>0</v>
      </c>
      <c r="N1035" s="0" t="n">
        <v>1</v>
      </c>
      <c r="O1035" s="6" t="n">
        <f aca="false">D1035</f>
        <v>4.544375</v>
      </c>
      <c r="P1035" s="6" t="n">
        <f aca="false">E1035</f>
        <v>1</v>
      </c>
      <c r="Q1035" s="6" t="n">
        <f aca="false">F1035</f>
        <v>0</v>
      </c>
      <c r="R1035" s="6" t="n">
        <f aca="false">G1035</f>
        <v>0</v>
      </c>
      <c r="S1035" s="6" t="n">
        <f aca="false">H1035</f>
        <v>1</v>
      </c>
      <c r="T1035" s="6" t="n">
        <f aca="false">I1035</f>
        <v>0</v>
      </c>
      <c r="U1035" s="6" t="n">
        <f aca="false">L1035</f>
        <v>0</v>
      </c>
      <c r="W1035" s="6" t="n">
        <f aca="false">D1035</f>
        <v>4.544375</v>
      </c>
      <c r="X1035" s="6" t="n">
        <f aca="false">E1035</f>
        <v>1</v>
      </c>
      <c r="Y1035" s="6" t="n">
        <f aca="false">F1035</f>
        <v>0</v>
      </c>
      <c r="Z1035" s="6" t="n">
        <f aca="false">L1035</f>
        <v>0</v>
      </c>
      <c r="AA1035" s="6" t="n">
        <f aca="false">G1035</f>
        <v>0</v>
      </c>
      <c r="AC1035" s="6" t="n">
        <f aca="false">D1035</f>
        <v>4.544375</v>
      </c>
      <c r="AD1035" s="6" t="n">
        <f aca="false">E1035</f>
        <v>1</v>
      </c>
      <c r="AE1035" s="6" t="n">
        <f aca="false">G1035</f>
        <v>0</v>
      </c>
      <c r="AF1035" s="6" t="n">
        <f aca="false">H1035</f>
        <v>1</v>
      </c>
      <c r="AG1035" s="6" t="n">
        <f aca="false">I1035</f>
        <v>0</v>
      </c>
      <c r="AH1035" s="6" t="n">
        <f aca="false">L1035</f>
        <v>0</v>
      </c>
    </row>
    <row r="1036" customFormat="false" ht="15" hidden="false" customHeight="false" outlineLevel="0" collapsed="false">
      <c r="A1036" s="0" t="str">
        <f aca="false">'Raw Data'!C1036</f>
        <v>Highlands Ranch</v>
      </c>
      <c r="B1036" s="5" t="n">
        <f aca="false">'Raw Data'!A1036</f>
        <v>40302</v>
      </c>
      <c r="C1036" s="6" t="n">
        <f aca="false">'Raw Data'!D1036</f>
        <v>286.138291909528</v>
      </c>
      <c r="D1036" s="6" t="n">
        <f aca="false">'Raw Data'!E1036</f>
        <v>4.062727273</v>
      </c>
      <c r="E1036" s="6" t="n">
        <f aca="false">'Raw Data'!F1036</f>
        <v>1</v>
      </c>
      <c r="F1036" s="6" t="n">
        <f aca="false">'Raw Data'!G1036</f>
        <v>0</v>
      </c>
      <c r="G1036" s="6" t="n">
        <f aca="false">'Raw Data'!H1036</f>
        <v>0</v>
      </c>
      <c r="H1036" s="6" t="n">
        <f aca="false">'Raw Data'!I1036</f>
        <v>0</v>
      </c>
      <c r="I1036" s="6" t="n">
        <f aca="false">'Raw Data'!J1036</f>
        <v>0</v>
      </c>
      <c r="J1036" s="6" t="n">
        <f aca="false">'Raw Data'!K1036</f>
        <v>0</v>
      </c>
      <c r="K1036" s="6" t="n">
        <f aca="false">'Raw Data'!L1036</f>
        <v>3</v>
      </c>
      <c r="L1036" s="6" t="n">
        <f aca="false">F1036*E1036</f>
        <v>0</v>
      </c>
      <c r="N1036" s="0" t="n">
        <v>1</v>
      </c>
      <c r="O1036" s="6" t="n">
        <f aca="false">D1036</f>
        <v>4.062727273</v>
      </c>
      <c r="P1036" s="6" t="n">
        <f aca="false">E1036</f>
        <v>1</v>
      </c>
      <c r="Q1036" s="6" t="n">
        <f aca="false">F1036</f>
        <v>0</v>
      </c>
      <c r="R1036" s="6" t="n">
        <f aca="false">G1036</f>
        <v>0</v>
      </c>
      <c r="S1036" s="6" t="n">
        <f aca="false">H1036</f>
        <v>0</v>
      </c>
      <c r="T1036" s="6" t="n">
        <f aca="false">I1036</f>
        <v>0</v>
      </c>
      <c r="U1036" s="6" t="n">
        <f aca="false">L1036</f>
        <v>0</v>
      </c>
      <c r="W1036" s="6" t="n">
        <f aca="false">D1036</f>
        <v>4.062727273</v>
      </c>
      <c r="X1036" s="6" t="n">
        <f aca="false">E1036</f>
        <v>1</v>
      </c>
      <c r="Y1036" s="6" t="n">
        <f aca="false">F1036</f>
        <v>0</v>
      </c>
      <c r="Z1036" s="6" t="n">
        <f aca="false">L1036</f>
        <v>0</v>
      </c>
      <c r="AA1036" s="6" t="n">
        <f aca="false">G1036</f>
        <v>0</v>
      </c>
      <c r="AC1036" s="6" t="n">
        <f aca="false">D1036</f>
        <v>4.062727273</v>
      </c>
      <c r="AD1036" s="6" t="n">
        <f aca="false">E1036</f>
        <v>1</v>
      </c>
      <c r="AE1036" s="6" t="n">
        <f aca="false">G1036</f>
        <v>0</v>
      </c>
      <c r="AF1036" s="6" t="n">
        <f aca="false">H1036</f>
        <v>0</v>
      </c>
      <c r="AG1036" s="6" t="n">
        <f aca="false">I1036</f>
        <v>0</v>
      </c>
      <c r="AH1036" s="6" t="n">
        <f aca="false">L1036</f>
        <v>0</v>
      </c>
    </row>
    <row r="1037" customFormat="false" ht="15" hidden="false" customHeight="false" outlineLevel="0" collapsed="false">
      <c r="A1037" s="0" t="str">
        <f aca="false">'Raw Data'!C1037</f>
        <v>Highlands Ranch</v>
      </c>
      <c r="B1037" s="5" t="n">
        <f aca="false">'Raw Data'!A1037</f>
        <v>40309</v>
      </c>
      <c r="C1037" s="6" t="n">
        <f aca="false">'Raw Data'!D1037</f>
        <v>100.099760829136</v>
      </c>
      <c r="D1037" s="6" t="n">
        <f aca="false">'Raw Data'!E1037</f>
        <v>4.723333333</v>
      </c>
      <c r="E1037" s="6" t="n">
        <f aca="false">'Raw Data'!F1037</f>
        <v>1</v>
      </c>
      <c r="F1037" s="6" t="n">
        <f aca="false">'Raw Data'!G1037</f>
        <v>0</v>
      </c>
      <c r="G1037" s="6" t="n">
        <f aca="false">'Raw Data'!H1037</f>
        <v>0</v>
      </c>
      <c r="H1037" s="6" t="n">
        <f aca="false">'Raw Data'!I1037</f>
        <v>0</v>
      </c>
      <c r="I1037" s="6" t="n">
        <f aca="false">'Raw Data'!J1037</f>
        <v>0</v>
      </c>
      <c r="J1037" s="6" t="n">
        <f aca="false">'Raw Data'!K1037</f>
        <v>0</v>
      </c>
      <c r="K1037" s="6" t="n">
        <f aca="false">'Raw Data'!L1037</f>
        <v>3</v>
      </c>
      <c r="L1037" s="6" t="n">
        <f aca="false">F1037*E1037</f>
        <v>0</v>
      </c>
      <c r="N1037" s="0" t="n">
        <v>1</v>
      </c>
      <c r="O1037" s="6" t="n">
        <f aca="false">D1037</f>
        <v>4.723333333</v>
      </c>
      <c r="P1037" s="6" t="n">
        <f aca="false">E1037</f>
        <v>1</v>
      </c>
      <c r="Q1037" s="6" t="n">
        <f aca="false">F1037</f>
        <v>0</v>
      </c>
      <c r="R1037" s="6" t="n">
        <f aca="false">G1037</f>
        <v>0</v>
      </c>
      <c r="S1037" s="6" t="n">
        <f aca="false">H1037</f>
        <v>0</v>
      </c>
      <c r="T1037" s="6" t="n">
        <f aca="false">I1037</f>
        <v>0</v>
      </c>
      <c r="U1037" s="6" t="n">
        <f aca="false">L1037</f>
        <v>0</v>
      </c>
      <c r="W1037" s="6" t="n">
        <f aca="false">D1037</f>
        <v>4.723333333</v>
      </c>
      <c r="X1037" s="6" t="n">
        <f aca="false">E1037</f>
        <v>1</v>
      </c>
      <c r="Y1037" s="6" t="n">
        <f aca="false">F1037</f>
        <v>0</v>
      </c>
      <c r="Z1037" s="6" t="n">
        <f aca="false">L1037</f>
        <v>0</v>
      </c>
      <c r="AA1037" s="6" t="n">
        <f aca="false">G1037</f>
        <v>0</v>
      </c>
      <c r="AC1037" s="6" t="n">
        <f aca="false">D1037</f>
        <v>4.723333333</v>
      </c>
      <c r="AD1037" s="6" t="n">
        <f aca="false">E1037</f>
        <v>1</v>
      </c>
      <c r="AE1037" s="6" t="n">
        <f aca="false">G1037</f>
        <v>0</v>
      </c>
      <c r="AF1037" s="6" t="n">
        <f aca="false">H1037</f>
        <v>0</v>
      </c>
      <c r="AG1037" s="6" t="n">
        <f aca="false">I1037</f>
        <v>0</v>
      </c>
      <c r="AH1037" s="6" t="n">
        <f aca="false">L1037</f>
        <v>0</v>
      </c>
    </row>
    <row r="1038" customFormat="false" ht="15" hidden="false" customHeight="false" outlineLevel="0" collapsed="false">
      <c r="A1038" s="0" t="str">
        <f aca="false">'Raw Data'!C1038</f>
        <v>Highlands Ranch</v>
      </c>
      <c r="B1038" s="5" t="n">
        <f aca="false">'Raw Data'!A1038</f>
        <v>40316</v>
      </c>
      <c r="C1038" s="6" t="n">
        <f aca="false">'Raw Data'!D1038</f>
        <v>202.211777814886</v>
      </c>
      <c r="D1038" s="6" t="n">
        <f aca="false">'Raw Data'!E1038</f>
        <v>4.094545455</v>
      </c>
      <c r="E1038" s="6" t="n">
        <f aca="false">'Raw Data'!F1038</f>
        <v>1</v>
      </c>
      <c r="F1038" s="6" t="n">
        <f aca="false">'Raw Data'!G1038</f>
        <v>0</v>
      </c>
      <c r="G1038" s="6" t="n">
        <f aca="false">'Raw Data'!H1038</f>
        <v>0</v>
      </c>
      <c r="H1038" s="6" t="n">
        <f aca="false">'Raw Data'!I1038</f>
        <v>0</v>
      </c>
      <c r="I1038" s="6" t="n">
        <f aca="false">'Raw Data'!J1038</f>
        <v>0</v>
      </c>
      <c r="J1038" s="6" t="n">
        <f aca="false">'Raw Data'!K1038</f>
        <v>0</v>
      </c>
      <c r="K1038" s="6" t="n">
        <f aca="false">'Raw Data'!L1038</f>
        <v>3</v>
      </c>
      <c r="L1038" s="6" t="n">
        <f aca="false">F1038*E1038</f>
        <v>0</v>
      </c>
      <c r="N1038" s="0" t="n">
        <v>1</v>
      </c>
      <c r="O1038" s="6" t="n">
        <f aca="false">D1038</f>
        <v>4.094545455</v>
      </c>
      <c r="P1038" s="6" t="n">
        <f aca="false">E1038</f>
        <v>1</v>
      </c>
      <c r="Q1038" s="6" t="n">
        <f aca="false">F1038</f>
        <v>0</v>
      </c>
      <c r="R1038" s="6" t="n">
        <f aca="false">G1038</f>
        <v>0</v>
      </c>
      <c r="S1038" s="6" t="n">
        <f aca="false">H1038</f>
        <v>0</v>
      </c>
      <c r="T1038" s="6" t="n">
        <f aca="false">I1038</f>
        <v>0</v>
      </c>
      <c r="U1038" s="6" t="n">
        <f aca="false">L1038</f>
        <v>0</v>
      </c>
      <c r="W1038" s="6" t="n">
        <f aca="false">D1038</f>
        <v>4.094545455</v>
      </c>
      <c r="X1038" s="6" t="n">
        <f aca="false">E1038</f>
        <v>1</v>
      </c>
      <c r="Y1038" s="6" t="n">
        <f aca="false">F1038</f>
        <v>0</v>
      </c>
      <c r="Z1038" s="6" t="n">
        <f aca="false">L1038</f>
        <v>0</v>
      </c>
      <c r="AA1038" s="6" t="n">
        <f aca="false">G1038</f>
        <v>0</v>
      </c>
      <c r="AC1038" s="6" t="n">
        <f aca="false">D1038</f>
        <v>4.094545455</v>
      </c>
      <c r="AD1038" s="6" t="n">
        <f aca="false">E1038</f>
        <v>1</v>
      </c>
      <c r="AE1038" s="6" t="n">
        <f aca="false">G1038</f>
        <v>0</v>
      </c>
      <c r="AF1038" s="6" t="n">
        <f aca="false">H1038</f>
        <v>0</v>
      </c>
      <c r="AG1038" s="6" t="n">
        <f aca="false">I1038</f>
        <v>0</v>
      </c>
      <c r="AH1038" s="6" t="n">
        <f aca="false">L1038</f>
        <v>0</v>
      </c>
    </row>
    <row r="1039" customFormat="false" ht="15" hidden="false" customHeight="false" outlineLevel="0" collapsed="false">
      <c r="A1039" s="0" t="str">
        <f aca="false">'Raw Data'!C1039</f>
        <v>Highlands Ranch</v>
      </c>
      <c r="B1039" s="5" t="n">
        <f aca="false">'Raw Data'!A1039</f>
        <v>40323</v>
      </c>
      <c r="C1039" s="6" t="n">
        <f aca="false">'Raw Data'!D1039</f>
        <v>277.051843529044</v>
      </c>
      <c r="D1039" s="6" t="n">
        <f aca="false">'Raw Data'!E1039</f>
        <v>4.058181818</v>
      </c>
      <c r="E1039" s="6" t="n">
        <f aca="false">'Raw Data'!F1039</f>
        <v>1</v>
      </c>
      <c r="F1039" s="6" t="n">
        <f aca="false">'Raw Data'!G1039</f>
        <v>0</v>
      </c>
      <c r="G1039" s="6" t="n">
        <f aca="false">'Raw Data'!H1039</f>
        <v>1</v>
      </c>
      <c r="H1039" s="6" t="n">
        <f aca="false">'Raw Data'!I1039</f>
        <v>0</v>
      </c>
      <c r="I1039" s="6" t="n">
        <f aca="false">'Raw Data'!J1039</f>
        <v>0</v>
      </c>
      <c r="J1039" s="6" t="n">
        <f aca="false">'Raw Data'!K1039</f>
        <v>0</v>
      </c>
      <c r="K1039" s="6" t="n">
        <f aca="false">'Raw Data'!L1039</f>
        <v>3</v>
      </c>
      <c r="L1039" s="6" t="n">
        <f aca="false">F1039*E1039</f>
        <v>0</v>
      </c>
      <c r="N1039" s="0" t="n">
        <v>1</v>
      </c>
      <c r="O1039" s="6" t="n">
        <f aca="false">D1039</f>
        <v>4.058181818</v>
      </c>
      <c r="P1039" s="6" t="n">
        <f aca="false">E1039</f>
        <v>1</v>
      </c>
      <c r="Q1039" s="6" t="n">
        <f aca="false">F1039</f>
        <v>0</v>
      </c>
      <c r="R1039" s="6" t="n">
        <f aca="false">G1039</f>
        <v>1</v>
      </c>
      <c r="S1039" s="6" t="n">
        <f aca="false">H1039</f>
        <v>0</v>
      </c>
      <c r="T1039" s="6" t="n">
        <f aca="false">I1039</f>
        <v>0</v>
      </c>
      <c r="U1039" s="6" t="n">
        <f aca="false">L1039</f>
        <v>0</v>
      </c>
      <c r="W1039" s="6" t="n">
        <f aca="false">D1039</f>
        <v>4.058181818</v>
      </c>
      <c r="X1039" s="6" t="n">
        <f aca="false">E1039</f>
        <v>1</v>
      </c>
      <c r="Y1039" s="6" t="n">
        <f aca="false">F1039</f>
        <v>0</v>
      </c>
      <c r="Z1039" s="6" t="n">
        <f aca="false">L1039</f>
        <v>0</v>
      </c>
      <c r="AA1039" s="6" t="n">
        <f aca="false">G1039</f>
        <v>1</v>
      </c>
      <c r="AC1039" s="6" t="n">
        <f aca="false">D1039</f>
        <v>4.058181818</v>
      </c>
      <c r="AD1039" s="6" t="n">
        <f aca="false">E1039</f>
        <v>1</v>
      </c>
      <c r="AE1039" s="6" t="n">
        <f aca="false">G1039</f>
        <v>1</v>
      </c>
      <c r="AF1039" s="6" t="n">
        <f aca="false">H1039</f>
        <v>0</v>
      </c>
      <c r="AG1039" s="6" t="n">
        <f aca="false">I1039</f>
        <v>0</v>
      </c>
      <c r="AH1039" s="6" t="n">
        <f aca="false">L1039</f>
        <v>0</v>
      </c>
    </row>
    <row r="1040" customFormat="false" ht="15" hidden="false" customHeight="false" outlineLevel="0" collapsed="false">
      <c r="A1040" s="0" t="str">
        <f aca="false">'Raw Data'!C1040</f>
        <v>Highlands Ranch</v>
      </c>
      <c r="B1040" s="5" t="n">
        <f aca="false">'Raw Data'!A1040</f>
        <v>40330</v>
      </c>
      <c r="C1040" s="6" t="n">
        <f aca="false">'Raw Data'!D1040</f>
        <v>432.890252583771</v>
      </c>
      <c r="D1040" s="6" t="n">
        <f aca="false">'Raw Data'!E1040</f>
        <v>3.84</v>
      </c>
      <c r="E1040" s="6" t="n">
        <f aca="false">'Raw Data'!F1040</f>
        <v>1</v>
      </c>
      <c r="F1040" s="6" t="n">
        <f aca="false">'Raw Data'!G1040</f>
        <v>0</v>
      </c>
      <c r="G1040" s="6" t="n">
        <f aca="false">'Raw Data'!H1040</f>
        <v>1</v>
      </c>
      <c r="H1040" s="6" t="n">
        <f aca="false">'Raw Data'!I1040</f>
        <v>1</v>
      </c>
      <c r="I1040" s="6" t="n">
        <f aca="false">'Raw Data'!J1040</f>
        <v>0</v>
      </c>
      <c r="J1040" s="6" t="n">
        <f aca="false">'Raw Data'!K1040</f>
        <v>0</v>
      </c>
      <c r="K1040" s="6" t="n">
        <f aca="false">'Raw Data'!L1040</f>
        <v>3</v>
      </c>
      <c r="L1040" s="6" t="n">
        <f aca="false">F1040*E1040</f>
        <v>0</v>
      </c>
      <c r="N1040" s="0" t="n">
        <v>1</v>
      </c>
      <c r="O1040" s="6" t="n">
        <f aca="false">D1040</f>
        <v>3.84</v>
      </c>
      <c r="P1040" s="6" t="n">
        <f aca="false">E1040</f>
        <v>1</v>
      </c>
      <c r="Q1040" s="6" t="n">
        <f aca="false">F1040</f>
        <v>0</v>
      </c>
      <c r="R1040" s="6" t="n">
        <f aca="false">G1040</f>
        <v>1</v>
      </c>
      <c r="S1040" s="6" t="n">
        <f aca="false">H1040</f>
        <v>1</v>
      </c>
      <c r="T1040" s="6" t="n">
        <f aca="false">I1040</f>
        <v>0</v>
      </c>
      <c r="U1040" s="6" t="n">
        <f aca="false">L1040</f>
        <v>0</v>
      </c>
      <c r="W1040" s="6" t="n">
        <f aca="false">D1040</f>
        <v>3.84</v>
      </c>
      <c r="X1040" s="6" t="n">
        <f aca="false">E1040</f>
        <v>1</v>
      </c>
      <c r="Y1040" s="6" t="n">
        <f aca="false">F1040</f>
        <v>0</v>
      </c>
      <c r="Z1040" s="6" t="n">
        <f aca="false">L1040</f>
        <v>0</v>
      </c>
      <c r="AA1040" s="6" t="n">
        <f aca="false">G1040</f>
        <v>1</v>
      </c>
      <c r="AC1040" s="6" t="n">
        <f aca="false">D1040</f>
        <v>3.84</v>
      </c>
      <c r="AD1040" s="6" t="n">
        <f aca="false">E1040</f>
        <v>1</v>
      </c>
      <c r="AE1040" s="6" t="n">
        <f aca="false">G1040</f>
        <v>1</v>
      </c>
      <c r="AF1040" s="6" t="n">
        <f aca="false">H1040</f>
        <v>1</v>
      </c>
      <c r="AG1040" s="6" t="n">
        <f aca="false">I1040</f>
        <v>0</v>
      </c>
      <c r="AH1040" s="6" t="n">
        <f aca="false">L1040</f>
        <v>0</v>
      </c>
    </row>
    <row r="1041" customFormat="false" ht="15" hidden="false" customHeight="false" outlineLevel="0" collapsed="false">
      <c r="A1041" s="0" t="str">
        <f aca="false">'Raw Data'!C1041</f>
        <v>Highlands Ranch</v>
      </c>
      <c r="B1041" s="5" t="n">
        <f aca="false">'Raw Data'!A1041</f>
        <v>40337</v>
      </c>
      <c r="C1041" s="6" t="n">
        <f aca="false">'Raw Data'!D1041</f>
        <v>427.792626135055</v>
      </c>
      <c r="D1041" s="6" t="n">
        <f aca="false">'Raw Data'!E1041</f>
        <v>5.166923077</v>
      </c>
      <c r="E1041" s="6" t="n">
        <f aca="false">'Raw Data'!F1041</f>
        <v>1</v>
      </c>
      <c r="F1041" s="6" t="n">
        <f aca="false">'Raw Data'!G1041</f>
        <v>0</v>
      </c>
      <c r="G1041" s="6" t="n">
        <f aca="false">'Raw Data'!H1041</f>
        <v>1</v>
      </c>
      <c r="H1041" s="6" t="n">
        <f aca="false">'Raw Data'!I1041</f>
        <v>1</v>
      </c>
      <c r="I1041" s="6" t="n">
        <f aca="false">'Raw Data'!J1041</f>
        <v>0</v>
      </c>
      <c r="J1041" s="6" t="n">
        <f aca="false">'Raw Data'!K1041</f>
        <v>0</v>
      </c>
      <c r="K1041" s="6" t="n">
        <f aca="false">'Raw Data'!L1041</f>
        <v>3</v>
      </c>
      <c r="L1041" s="6" t="n">
        <f aca="false">F1041*E1041</f>
        <v>0</v>
      </c>
      <c r="N1041" s="0" t="n">
        <v>1</v>
      </c>
      <c r="O1041" s="6" t="n">
        <f aca="false">D1041</f>
        <v>5.166923077</v>
      </c>
      <c r="P1041" s="6" t="n">
        <f aca="false">E1041</f>
        <v>1</v>
      </c>
      <c r="Q1041" s="6" t="n">
        <f aca="false">F1041</f>
        <v>0</v>
      </c>
      <c r="R1041" s="6" t="n">
        <f aca="false">G1041</f>
        <v>1</v>
      </c>
      <c r="S1041" s="6" t="n">
        <f aca="false">H1041</f>
        <v>1</v>
      </c>
      <c r="T1041" s="6" t="n">
        <f aca="false">I1041</f>
        <v>0</v>
      </c>
      <c r="U1041" s="6" t="n">
        <f aca="false">L1041</f>
        <v>0</v>
      </c>
      <c r="W1041" s="6" t="n">
        <f aca="false">D1041</f>
        <v>5.166923077</v>
      </c>
      <c r="X1041" s="6" t="n">
        <f aca="false">E1041</f>
        <v>1</v>
      </c>
      <c r="Y1041" s="6" t="n">
        <f aca="false">F1041</f>
        <v>0</v>
      </c>
      <c r="Z1041" s="6" t="n">
        <f aca="false">L1041</f>
        <v>0</v>
      </c>
      <c r="AA1041" s="6" t="n">
        <f aca="false">G1041</f>
        <v>1</v>
      </c>
      <c r="AC1041" s="6" t="n">
        <f aca="false">D1041</f>
        <v>5.166923077</v>
      </c>
      <c r="AD1041" s="6" t="n">
        <f aca="false">E1041</f>
        <v>1</v>
      </c>
      <c r="AE1041" s="6" t="n">
        <f aca="false">G1041</f>
        <v>1</v>
      </c>
      <c r="AF1041" s="6" t="n">
        <f aca="false">H1041</f>
        <v>1</v>
      </c>
      <c r="AG1041" s="6" t="n">
        <f aca="false">I1041</f>
        <v>0</v>
      </c>
      <c r="AH1041" s="6" t="n">
        <f aca="false">L1041</f>
        <v>0</v>
      </c>
    </row>
    <row r="1042" customFormat="false" ht="15" hidden="false" customHeight="false" outlineLevel="0" collapsed="false">
      <c r="A1042" s="0" t="str">
        <f aca="false">'Raw Data'!C1042</f>
        <v>Highlands Ranch</v>
      </c>
      <c r="B1042" s="5" t="n">
        <f aca="false">'Raw Data'!A1042</f>
        <v>40344</v>
      </c>
      <c r="C1042" s="6" t="n">
        <f aca="false">'Raw Data'!D1042</f>
        <v>241.046743930231</v>
      </c>
      <c r="D1042" s="6" t="n">
        <f aca="false">'Raw Data'!E1042</f>
        <v>4.05</v>
      </c>
      <c r="E1042" s="6" t="n">
        <f aca="false">'Raw Data'!F1042</f>
        <v>1</v>
      </c>
      <c r="F1042" s="6" t="n">
        <f aca="false">'Raw Data'!G1042</f>
        <v>0</v>
      </c>
      <c r="G1042" s="6" t="n">
        <f aca="false">'Raw Data'!H1042</f>
        <v>0</v>
      </c>
      <c r="H1042" s="6" t="n">
        <f aca="false">'Raw Data'!I1042</f>
        <v>1</v>
      </c>
      <c r="I1042" s="6" t="n">
        <f aca="false">'Raw Data'!J1042</f>
        <v>0</v>
      </c>
      <c r="J1042" s="6" t="n">
        <f aca="false">'Raw Data'!K1042</f>
        <v>0</v>
      </c>
      <c r="K1042" s="6" t="n">
        <f aca="false">'Raw Data'!L1042</f>
        <v>3</v>
      </c>
      <c r="L1042" s="6" t="n">
        <f aca="false">F1042*E1042</f>
        <v>0</v>
      </c>
      <c r="N1042" s="0" t="n">
        <v>1</v>
      </c>
      <c r="O1042" s="6" t="n">
        <f aca="false">D1042</f>
        <v>4.05</v>
      </c>
      <c r="P1042" s="6" t="n">
        <f aca="false">E1042</f>
        <v>1</v>
      </c>
      <c r="Q1042" s="6" t="n">
        <f aca="false">F1042</f>
        <v>0</v>
      </c>
      <c r="R1042" s="6" t="n">
        <f aca="false">G1042</f>
        <v>0</v>
      </c>
      <c r="S1042" s="6" t="n">
        <f aca="false">H1042</f>
        <v>1</v>
      </c>
      <c r="T1042" s="6" t="n">
        <f aca="false">I1042</f>
        <v>0</v>
      </c>
      <c r="U1042" s="6" t="n">
        <f aca="false">L1042</f>
        <v>0</v>
      </c>
      <c r="W1042" s="6" t="n">
        <f aca="false">D1042</f>
        <v>4.05</v>
      </c>
      <c r="X1042" s="6" t="n">
        <f aca="false">E1042</f>
        <v>1</v>
      </c>
      <c r="Y1042" s="6" t="n">
        <f aca="false">F1042</f>
        <v>0</v>
      </c>
      <c r="Z1042" s="6" t="n">
        <f aca="false">L1042</f>
        <v>0</v>
      </c>
      <c r="AA1042" s="6" t="n">
        <f aca="false">G1042</f>
        <v>0</v>
      </c>
      <c r="AC1042" s="6" t="n">
        <f aca="false">D1042</f>
        <v>4.05</v>
      </c>
      <c r="AD1042" s="6" t="n">
        <f aca="false">E1042</f>
        <v>1</v>
      </c>
      <c r="AE1042" s="6" t="n">
        <f aca="false">G1042</f>
        <v>0</v>
      </c>
      <c r="AF1042" s="6" t="n">
        <f aca="false">H1042</f>
        <v>1</v>
      </c>
      <c r="AG1042" s="6" t="n">
        <f aca="false">I1042</f>
        <v>0</v>
      </c>
      <c r="AH1042" s="6" t="n">
        <f aca="false">L1042</f>
        <v>0</v>
      </c>
    </row>
    <row r="1043" customFormat="false" ht="15" hidden="false" customHeight="false" outlineLevel="0" collapsed="false">
      <c r="A1043" s="0" t="str">
        <f aca="false">'Raw Data'!C1043</f>
        <v>Highlands Ranch</v>
      </c>
      <c r="B1043" s="5" t="n">
        <f aca="false">'Raw Data'!A1043</f>
        <v>40351</v>
      </c>
      <c r="C1043" s="6" t="n">
        <f aca="false">'Raw Data'!D1043</f>
        <v>556.55004166699</v>
      </c>
      <c r="D1043" s="6" t="n">
        <f aca="false">'Raw Data'!E1043</f>
        <v>3.851538462</v>
      </c>
      <c r="E1043" s="6" t="n">
        <f aca="false">'Raw Data'!F1043</f>
        <v>1</v>
      </c>
      <c r="F1043" s="6" t="n">
        <f aca="false">'Raw Data'!G1043</f>
        <v>0</v>
      </c>
      <c r="G1043" s="6" t="n">
        <f aca="false">'Raw Data'!H1043</f>
        <v>1</v>
      </c>
      <c r="H1043" s="6" t="n">
        <f aca="false">'Raw Data'!I1043</f>
        <v>1</v>
      </c>
      <c r="I1043" s="6" t="n">
        <f aca="false">'Raw Data'!J1043</f>
        <v>1</v>
      </c>
      <c r="J1043" s="6" t="n">
        <f aca="false">'Raw Data'!K1043</f>
        <v>0</v>
      </c>
      <c r="K1043" s="6" t="n">
        <f aca="false">'Raw Data'!L1043</f>
        <v>3</v>
      </c>
      <c r="L1043" s="6" t="n">
        <f aca="false">F1043*E1043</f>
        <v>0</v>
      </c>
      <c r="N1043" s="0" t="n">
        <v>1</v>
      </c>
      <c r="O1043" s="6" t="n">
        <f aca="false">D1043</f>
        <v>3.851538462</v>
      </c>
      <c r="P1043" s="6" t="n">
        <f aca="false">E1043</f>
        <v>1</v>
      </c>
      <c r="Q1043" s="6" t="n">
        <f aca="false">F1043</f>
        <v>0</v>
      </c>
      <c r="R1043" s="6" t="n">
        <f aca="false">G1043</f>
        <v>1</v>
      </c>
      <c r="S1043" s="6" t="n">
        <f aca="false">H1043</f>
        <v>1</v>
      </c>
      <c r="T1043" s="6" t="n">
        <f aca="false">I1043</f>
        <v>1</v>
      </c>
      <c r="U1043" s="6" t="n">
        <f aca="false">L1043</f>
        <v>0</v>
      </c>
      <c r="W1043" s="6" t="n">
        <f aca="false">D1043</f>
        <v>3.851538462</v>
      </c>
      <c r="X1043" s="6" t="n">
        <f aca="false">E1043</f>
        <v>1</v>
      </c>
      <c r="Y1043" s="6" t="n">
        <f aca="false">F1043</f>
        <v>0</v>
      </c>
      <c r="Z1043" s="6" t="n">
        <f aca="false">L1043</f>
        <v>0</v>
      </c>
      <c r="AA1043" s="6" t="n">
        <f aca="false">G1043</f>
        <v>1</v>
      </c>
      <c r="AC1043" s="6" t="n">
        <f aca="false">D1043</f>
        <v>3.851538462</v>
      </c>
      <c r="AD1043" s="6" t="n">
        <f aca="false">E1043</f>
        <v>1</v>
      </c>
      <c r="AE1043" s="6" t="n">
        <f aca="false">G1043</f>
        <v>1</v>
      </c>
      <c r="AF1043" s="6" t="n">
        <f aca="false">H1043</f>
        <v>1</v>
      </c>
      <c r="AG1043" s="6" t="n">
        <f aca="false">I1043</f>
        <v>1</v>
      </c>
      <c r="AH1043" s="6" t="n">
        <f aca="false">L1043</f>
        <v>0</v>
      </c>
    </row>
    <row r="1044" customFormat="false" ht="15" hidden="false" customHeight="false" outlineLevel="0" collapsed="false">
      <c r="A1044" s="0" t="str">
        <f aca="false">'Raw Data'!C1044</f>
        <v>Highlands Ranch</v>
      </c>
      <c r="B1044" s="5" t="n">
        <f aca="false">'Raw Data'!A1044</f>
        <v>40358</v>
      </c>
      <c r="C1044" s="6" t="n">
        <f aca="false">'Raw Data'!D1044</f>
        <v>309.999666291099</v>
      </c>
      <c r="D1044" s="6" t="n">
        <f aca="false">'Raw Data'!E1044</f>
        <v>3.851538462</v>
      </c>
      <c r="E1044" s="6" t="n">
        <f aca="false">'Raw Data'!F1044</f>
        <v>1</v>
      </c>
      <c r="F1044" s="6" t="n">
        <f aca="false">'Raw Data'!G1044</f>
        <v>0</v>
      </c>
      <c r="G1044" s="6" t="n">
        <f aca="false">'Raw Data'!H1044</f>
        <v>0</v>
      </c>
      <c r="H1044" s="6" t="n">
        <f aca="false">'Raw Data'!I1044</f>
        <v>1</v>
      </c>
      <c r="I1044" s="6" t="n">
        <f aca="false">'Raw Data'!J1044</f>
        <v>1</v>
      </c>
      <c r="J1044" s="6" t="n">
        <f aca="false">'Raw Data'!K1044</f>
        <v>0</v>
      </c>
      <c r="K1044" s="6" t="n">
        <f aca="false">'Raw Data'!L1044</f>
        <v>3</v>
      </c>
      <c r="L1044" s="6" t="n">
        <f aca="false">F1044*E1044</f>
        <v>0</v>
      </c>
      <c r="N1044" s="0" t="n">
        <v>1</v>
      </c>
      <c r="O1044" s="6" t="n">
        <f aca="false">D1044</f>
        <v>3.851538462</v>
      </c>
      <c r="P1044" s="6" t="n">
        <f aca="false">E1044</f>
        <v>1</v>
      </c>
      <c r="Q1044" s="6" t="n">
        <f aca="false">F1044</f>
        <v>0</v>
      </c>
      <c r="R1044" s="6" t="n">
        <f aca="false">G1044</f>
        <v>0</v>
      </c>
      <c r="S1044" s="6" t="n">
        <f aca="false">H1044</f>
        <v>1</v>
      </c>
      <c r="T1044" s="6" t="n">
        <f aca="false">I1044</f>
        <v>1</v>
      </c>
      <c r="U1044" s="6" t="n">
        <f aca="false">L1044</f>
        <v>0</v>
      </c>
      <c r="W1044" s="6" t="n">
        <f aca="false">D1044</f>
        <v>3.851538462</v>
      </c>
      <c r="X1044" s="6" t="n">
        <f aca="false">E1044</f>
        <v>1</v>
      </c>
      <c r="Y1044" s="6" t="n">
        <f aca="false">F1044</f>
        <v>0</v>
      </c>
      <c r="Z1044" s="6" t="n">
        <f aca="false">L1044</f>
        <v>0</v>
      </c>
      <c r="AA1044" s="6" t="n">
        <f aca="false">G1044</f>
        <v>0</v>
      </c>
      <c r="AC1044" s="6" t="n">
        <f aca="false">D1044</f>
        <v>3.851538462</v>
      </c>
      <c r="AD1044" s="6" t="n">
        <f aca="false">E1044</f>
        <v>1</v>
      </c>
      <c r="AE1044" s="6" t="n">
        <f aca="false">G1044</f>
        <v>0</v>
      </c>
      <c r="AF1044" s="6" t="n">
        <f aca="false">H1044</f>
        <v>1</v>
      </c>
      <c r="AG1044" s="6" t="n">
        <f aca="false">I1044</f>
        <v>1</v>
      </c>
      <c r="AH1044" s="6" t="n">
        <f aca="false">L1044</f>
        <v>0</v>
      </c>
    </row>
    <row r="1045" customFormat="false" ht="15" hidden="false" customHeight="false" outlineLevel="0" collapsed="false">
      <c r="A1045" s="0" t="str">
        <f aca="false">'Raw Data'!C1045</f>
        <v>Highlands Ranch</v>
      </c>
      <c r="B1045" s="5" t="n">
        <f aca="false">'Raw Data'!A1045</f>
        <v>40365</v>
      </c>
      <c r="C1045" s="6" t="n">
        <f aca="false">'Raw Data'!D1045</f>
        <v>409.7356779298</v>
      </c>
      <c r="D1045" s="6" t="n">
        <f aca="false">'Raw Data'!E1045</f>
        <v>4.444285714</v>
      </c>
      <c r="E1045" s="6" t="n">
        <f aca="false">'Raw Data'!F1045</f>
        <v>1</v>
      </c>
      <c r="F1045" s="6" t="n">
        <f aca="false">'Raw Data'!G1045</f>
        <v>0</v>
      </c>
      <c r="G1045" s="6" t="n">
        <f aca="false">'Raw Data'!H1045</f>
        <v>0</v>
      </c>
      <c r="H1045" s="6" t="n">
        <f aca="false">'Raw Data'!I1045</f>
        <v>1</v>
      </c>
      <c r="I1045" s="6" t="n">
        <f aca="false">'Raw Data'!J1045</f>
        <v>1</v>
      </c>
      <c r="J1045" s="6" t="n">
        <f aca="false">'Raw Data'!K1045</f>
        <v>0</v>
      </c>
      <c r="K1045" s="6" t="n">
        <f aca="false">'Raw Data'!L1045</f>
        <v>3</v>
      </c>
      <c r="L1045" s="6" t="n">
        <f aca="false">F1045*E1045</f>
        <v>0</v>
      </c>
      <c r="N1045" s="0" t="n">
        <v>1</v>
      </c>
      <c r="O1045" s="6" t="n">
        <f aca="false">D1045</f>
        <v>4.444285714</v>
      </c>
      <c r="P1045" s="6" t="n">
        <f aca="false">E1045</f>
        <v>1</v>
      </c>
      <c r="Q1045" s="6" t="n">
        <f aca="false">F1045</f>
        <v>0</v>
      </c>
      <c r="R1045" s="6" t="n">
        <f aca="false">G1045</f>
        <v>0</v>
      </c>
      <c r="S1045" s="6" t="n">
        <f aca="false">H1045</f>
        <v>1</v>
      </c>
      <c r="T1045" s="6" t="n">
        <f aca="false">I1045</f>
        <v>1</v>
      </c>
      <c r="U1045" s="6" t="n">
        <f aca="false">L1045</f>
        <v>0</v>
      </c>
      <c r="W1045" s="6" t="n">
        <f aca="false">D1045</f>
        <v>4.444285714</v>
      </c>
      <c r="X1045" s="6" t="n">
        <f aca="false">E1045</f>
        <v>1</v>
      </c>
      <c r="Y1045" s="6" t="n">
        <f aca="false">F1045</f>
        <v>0</v>
      </c>
      <c r="Z1045" s="6" t="n">
        <f aca="false">L1045</f>
        <v>0</v>
      </c>
      <c r="AA1045" s="6" t="n">
        <f aca="false">G1045</f>
        <v>0</v>
      </c>
      <c r="AC1045" s="6" t="n">
        <f aca="false">D1045</f>
        <v>4.444285714</v>
      </c>
      <c r="AD1045" s="6" t="n">
        <f aca="false">E1045</f>
        <v>1</v>
      </c>
      <c r="AE1045" s="6" t="n">
        <f aca="false">G1045</f>
        <v>0</v>
      </c>
      <c r="AF1045" s="6" t="n">
        <f aca="false">H1045</f>
        <v>1</v>
      </c>
      <c r="AG1045" s="6" t="n">
        <f aca="false">I1045</f>
        <v>1</v>
      </c>
      <c r="AH1045" s="6" t="n">
        <f aca="false">L1045</f>
        <v>0</v>
      </c>
    </row>
    <row r="1046" customFormat="false" ht="15" hidden="false" customHeight="false" outlineLevel="0" collapsed="false">
      <c r="A1046" s="0" t="str">
        <f aca="false">'Raw Data'!C1046</f>
        <v>Highlands Ranch</v>
      </c>
      <c r="B1046" s="5" t="n">
        <f aca="false">'Raw Data'!A1046</f>
        <v>40372</v>
      </c>
      <c r="C1046" s="6" t="n">
        <f aca="false">'Raw Data'!D1046</f>
        <v>347.358257893989</v>
      </c>
      <c r="D1046" s="6" t="n">
        <f aca="false">'Raw Data'!E1046</f>
        <v>4.314666667</v>
      </c>
      <c r="E1046" s="6" t="n">
        <f aca="false">'Raw Data'!F1046</f>
        <v>1</v>
      </c>
      <c r="F1046" s="6" t="n">
        <f aca="false">'Raw Data'!G1046</f>
        <v>0</v>
      </c>
      <c r="G1046" s="6" t="n">
        <f aca="false">'Raw Data'!H1046</f>
        <v>0</v>
      </c>
      <c r="H1046" s="6" t="n">
        <f aca="false">'Raw Data'!I1046</f>
        <v>1</v>
      </c>
      <c r="I1046" s="6" t="n">
        <f aca="false">'Raw Data'!J1046</f>
        <v>1</v>
      </c>
      <c r="J1046" s="6" t="n">
        <f aca="false">'Raw Data'!K1046</f>
        <v>0</v>
      </c>
      <c r="K1046" s="6" t="n">
        <f aca="false">'Raw Data'!L1046</f>
        <v>3</v>
      </c>
      <c r="L1046" s="6" t="n">
        <f aca="false">F1046*E1046</f>
        <v>0</v>
      </c>
      <c r="N1046" s="0" t="n">
        <v>1</v>
      </c>
      <c r="O1046" s="6" t="n">
        <f aca="false">D1046</f>
        <v>4.314666667</v>
      </c>
      <c r="P1046" s="6" t="n">
        <f aca="false">E1046</f>
        <v>1</v>
      </c>
      <c r="Q1046" s="6" t="n">
        <f aca="false">F1046</f>
        <v>0</v>
      </c>
      <c r="R1046" s="6" t="n">
        <f aca="false">G1046</f>
        <v>0</v>
      </c>
      <c r="S1046" s="6" t="n">
        <f aca="false">H1046</f>
        <v>1</v>
      </c>
      <c r="T1046" s="6" t="n">
        <f aca="false">I1046</f>
        <v>1</v>
      </c>
      <c r="U1046" s="6" t="n">
        <f aca="false">L1046</f>
        <v>0</v>
      </c>
      <c r="W1046" s="6" t="n">
        <f aca="false">D1046</f>
        <v>4.314666667</v>
      </c>
      <c r="X1046" s="6" t="n">
        <f aca="false">E1046</f>
        <v>1</v>
      </c>
      <c r="Y1046" s="6" t="n">
        <f aca="false">F1046</f>
        <v>0</v>
      </c>
      <c r="Z1046" s="6" t="n">
        <f aca="false">L1046</f>
        <v>0</v>
      </c>
      <c r="AA1046" s="6" t="n">
        <f aca="false">G1046</f>
        <v>0</v>
      </c>
      <c r="AC1046" s="6" t="n">
        <f aca="false">D1046</f>
        <v>4.314666667</v>
      </c>
      <c r="AD1046" s="6" t="n">
        <f aca="false">E1046</f>
        <v>1</v>
      </c>
      <c r="AE1046" s="6" t="n">
        <f aca="false">G1046</f>
        <v>0</v>
      </c>
      <c r="AF1046" s="6" t="n">
        <f aca="false">H1046</f>
        <v>1</v>
      </c>
      <c r="AG1046" s="6" t="n">
        <f aca="false">I1046</f>
        <v>1</v>
      </c>
      <c r="AH1046" s="6" t="n">
        <f aca="false">L1046</f>
        <v>0</v>
      </c>
    </row>
    <row r="1047" customFormat="false" ht="15" hidden="false" customHeight="false" outlineLevel="0" collapsed="false">
      <c r="A1047" s="0" t="str">
        <f aca="false">'Raw Data'!C1047</f>
        <v>Metcalf</v>
      </c>
      <c r="B1047" s="5" t="n">
        <f aca="false">'Raw Data'!A1047</f>
        <v>40302</v>
      </c>
      <c r="C1047" s="6" t="n">
        <f aca="false">'Raw Data'!D1047</f>
        <v>305.04944445265</v>
      </c>
      <c r="D1047" s="6" t="n">
        <f aca="false">'Raw Data'!E1047</f>
        <v>4.39</v>
      </c>
      <c r="E1047" s="6" t="n">
        <f aca="false">'Raw Data'!F1047</f>
        <v>1</v>
      </c>
      <c r="F1047" s="6" t="n">
        <f aca="false">'Raw Data'!G1047</f>
        <v>0</v>
      </c>
      <c r="G1047" s="6" t="n">
        <f aca="false">'Raw Data'!H1047</f>
        <v>0</v>
      </c>
      <c r="H1047" s="6" t="n">
        <f aca="false">'Raw Data'!I1047</f>
        <v>0</v>
      </c>
      <c r="I1047" s="6" t="n">
        <f aca="false">'Raw Data'!J1047</f>
        <v>0</v>
      </c>
      <c r="J1047" s="6" t="n">
        <f aca="false">'Raw Data'!K1047</f>
        <v>1</v>
      </c>
      <c r="K1047" s="6" t="n">
        <f aca="false">'Raw Data'!L1047</f>
        <v>0</v>
      </c>
      <c r="L1047" s="6" t="n">
        <f aca="false">F1047*E1047</f>
        <v>0</v>
      </c>
      <c r="N1047" s="0" t="n">
        <v>1</v>
      </c>
      <c r="O1047" s="6" t="n">
        <f aca="false">D1047</f>
        <v>4.39</v>
      </c>
      <c r="P1047" s="6" t="n">
        <f aca="false">E1047</f>
        <v>1</v>
      </c>
      <c r="Q1047" s="6" t="n">
        <f aca="false">F1047</f>
        <v>0</v>
      </c>
      <c r="R1047" s="6" t="n">
        <f aca="false">G1047</f>
        <v>0</v>
      </c>
      <c r="S1047" s="6" t="n">
        <f aca="false">H1047</f>
        <v>0</v>
      </c>
      <c r="T1047" s="6" t="n">
        <f aca="false">I1047</f>
        <v>0</v>
      </c>
      <c r="U1047" s="6" t="n">
        <f aca="false">L1047</f>
        <v>0</v>
      </c>
      <c r="W1047" s="6" t="n">
        <f aca="false">D1047</f>
        <v>4.39</v>
      </c>
      <c r="X1047" s="6" t="n">
        <f aca="false">E1047</f>
        <v>1</v>
      </c>
      <c r="Y1047" s="6" t="n">
        <f aca="false">F1047</f>
        <v>0</v>
      </c>
      <c r="Z1047" s="6" t="n">
        <f aca="false">L1047</f>
        <v>0</v>
      </c>
      <c r="AA1047" s="6" t="n">
        <f aca="false">G1047</f>
        <v>0</v>
      </c>
      <c r="AC1047" s="6" t="n">
        <f aca="false">D1047</f>
        <v>4.39</v>
      </c>
      <c r="AD1047" s="6" t="n">
        <f aca="false">E1047</f>
        <v>1</v>
      </c>
      <c r="AE1047" s="6" t="n">
        <f aca="false">G1047</f>
        <v>0</v>
      </c>
      <c r="AF1047" s="6" t="n">
        <f aca="false">H1047</f>
        <v>0</v>
      </c>
      <c r="AG1047" s="6" t="n">
        <f aca="false">I1047</f>
        <v>0</v>
      </c>
      <c r="AH1047" s="6" t="n">
        <f aca="false">L1047</f>
        <v>0</v>
      </c>
    </row>
    <row r="1048" customFormat="false" ht="15" hidden="false" customHeight="false" outlineLevel="0" collapsed="false">
      <c r="A1048" s="0" t="str">
        <f aca="false">'Raw Data'!C1048</f>
        <v>Metcalf</v>
      </c>
      <c r="B1048" s="5" t="n">
        <f aca="false">'Raw Data'!A1048</f>
        <v>40309</v>
      </c>
      <c r="C1048" s="6" t="n">
        <f aca="false">'Raw Data'!D1048</f>
        <v>219.655352170991</v>
      </c>
      <c r="D1048" s="6" t="n">
        <f aca="false">'Raw Data'!E1048</f>
        <v>4.34</v>
      </c>
      <c r="E1048" s="6" t="n">
        <f aca="false">'Raw Data'!F1048</f>
        <v>1</v>
      </c>
      <c r="F1048" s="6" t="n">
        <f aca="false">'Raw Data'!G1048</f>
        <v>0</v>
      </c>
      <c r="G1048" s="6" t="n">
        <f aca="false">'Raw Data'!H1048</f>
        <v>0</v>
      </c>
      <c r="H1048" s="6" t="n">
        <f aca="false">'Raw Data'!I1048</f>
        <v>0</v>
      </c>
      <c r="I1048" s="6" t="n">
        <f aca="false">'Raw Data'!J1048</f>
        <v>0</v>
      </c>
      <c r="J1048" s="6" t="n">
        <f aca="false">'Raw Data'!K1048</f>
        <v>1</v>
      </c>
      <c r="K1048" s="6" t="n">
        <f aca="false">'Raw Data'!L1048</f>
        <v>0</v>
      </c>
      <c r="L1048" s="6" t="n">
        <f aca="false">F1048*E1048</f>
        <v>0</v>
      </c>
      <c r="N1048" s="0" t="n">
        <v>1</v>
      </c>
      <c r="O1048" s="6" t="n">
        <f aca="false">D1048</f>
        <v>4.34</v>
      </c>
      <c r="P1048" s="6" t="n">
        <f aca="false">E1048</f>
        <v>1</v>
      </c>
      <c r="Q1048" s="6" t="n">
        <f aca="false">F1048</f>
        <v>0</v>
      </c>
      <c r="R1048" s="6" t="n">
        <f aca="false">G1048</f>
        <v>0</v>
      </c>
      <c r="S1048" s="6" t="n">
        <f aca="false">H1048</f>
        <v>0</v>
      </c>
      <c r="T1048" s="6" t="n">
        <f aca="false">I1048</f>
        <v>0</v>
      </c>
      <c r="U1048" s="6" t="n">
        <f aca="false">L1048</f>
        <v>0</v>
      </c>
      <c r="W1048" s="6" t="n">
        <f aca="false">D1048</f>
        <v>4.34</v>
      </c>
      <c r="X1048" s="6" t="n">
        <f aca="false">E1048</f>
        <v>1</v>
      </c>
      <c r="Y1048" s="6" t="n">
        <f aca="false">F1048</f>
        <v>0</v>
      </c>
      <c r="Z1048" s="6" t="n">
        <f aca="false">L1048</f>
        <v>0</v>
      </c>
      <c r="AA1048" s="6" t="n">
        <f aca="false">G1048</f>
        <v>0</v>
      </c>
      <c r="AC1048" s="6" t="n">
        <f aca="false">D1048</f>
        <v>4.34</v>
      </c>
      <c r="AD1048" s="6" t="n">
        <f aca="false">E1048</f>
        <v>1</v>
      </c>
      <c r="AE1048" s="6" t="n">
        <f aca="false">G1048</f>
        <v>0</v>
      </c>
      <c r="AF1048" s="6" t="n">
        <f aca="false">H1048</f>
        <v>0</v>
      </c>
      <c r="AG1048" s="6" t="n">
        <f aca="false">I1048</f>
        <v>0</v>
      </c>
      <c r="AH1048" s="6" t="n">
        <f aca="false">L1048</f>
        <v>0</v>
      </c>
    </row>
    <row r="1049" customFormat="false" ht="15" hidden="false" customHeight="false" outlineLevel="0" collapsed="false">
      <c r="A1049" s="0" t="str">
        <f aca="false">'Raw Data'!C1049</f>
        <v>Metcalf</v>
      </c>
      <c r="B1049" s="5" t="n">
        <f aca="false">'Raw Data'!A1049</f>
        <v>40316</v>
      </c>
      <c r="C1049" s="6" t="n">
        <f aca="false">'Raw Data'!D1049</f>
        <v>239.053167313939</v>
      </c>
      <c r="D1049" s="6" t="n">
        <f aca="false">'Raw Data'!E1049</f>
        <v>4.095</v>
      </c>
      <c r="E1049" s="6" t="n">
        <f aca="false">'Raw Data'!F1049</f>
        <v>1</v>
      </c>
      <c r="F1049" s="6" t="n">
        <f aca="false">'Raw Data'!G1049</f>
        <v>0</v>
      </c>
      <c r="G1049" s="6" t="n">
        <f aca="false">'Raw Data'!H1049</f>
        <v>0</v>
      </c>
      <c r="H1049" s="6" t="n">
        <f aca="false">'Raw Data'!I1049</f>
        <v>0</v>
      </c>
      <c r="I1049" s="6" t="n">
        <f aca="false">'Raw Data'!J1049</f>
        <v>0</v>
      </c>
      <c r="J1049" s="6" t="n">
        <f aca="false">'Raw Data'!K1049</f>
        <v>1</v>
      </c>
      <c r="K1049" s="6" t="n">
        <f aca="false">'Raw Data'!L1049</f>
        <v>0</v>
      </c>
      <c r="L1049" s="6" t="n">
        <f aca="false">F1049*E1049</f>
        <v>0</v>
      </c>
      <c r="N1049" s="0" t="n">
        <v>1</v>
      </c>
      <c r="O1049" s="6" t="n">
        <f aca="false">D1049</f>
        <v>4.095</v>
      </c>
      <c r="P1049" s="6" t="n">
        <f aca="false">E1049</f>
        <v>1</v>
      </c>
      <c r="Q1049" s="6" t="n">
        <f aca="false">F1049</f>
        <v>0</v>
      </c>
      <c r="R1049" s="6" t="n">
        <f aca="false">G1049</f>
        <v>0</v>
      </c>
      <c r="S1049" s="6" t="n">
        <f aca="false">H1049</f>
        <v>0</v>
      </c>
      <c r="T1049" s="6" t="n">
        <f aca="false">I1049</f>
        <v>0</v>
      </c>
      <c r="U1049" s="6" t="n">
        <f aca="false">L1049</f>
        <v>0</v>
      </c>
      <c r="W1049" s="6" t="n">
        <f aca="false">D1049</f>
        <v>4.095</v>
      </c>
      <c r="X1049" s="6" t="n">
        <f aca="false">E1049</f>
        <v>1</v>
      </c>
      <c r="Y1049" s="6" t="n">
        <f aca="false">F1049</f>
        <v>0</v>
      </c>
      <c r="Z1049" s="6" t="n">
        <f aca="false">L1049</f>
        <v>0</v>
      </c>
      <c r="AA1049" s="6" t="n">
        <f aca="false">G1049</f>
        <v>0</v>
      </c>
      <c r="AC1049" s="6" t="n">
        <f aca="false">D1049</f>
        <v>4.095</v>
      </c>
      <c r="AD1049" s="6" t="n">
        <f aca="false">E1049</f>
        <v>1</v>
      </c>
      <c r="AE1049" s="6" t="n">
        <f aca="false">G1049</f>
        <v>0</v>
      </c>
      <c r="AF1049" s="6" t="n">
        <f aca="false">H1049</f>
        <v>0</v>
      </c>
      <c r="AG1049" s="6" t="n">
        <f aca="false">I1049</f>
        <v>0</v>
      </c>
      <c r="AH1049" s="6" t="n">
        <f aca="false">L1049</f>
        <v>0</v>
      </c>
    </row>
    <row r="1050" customFormat="false" ht="15" hidden="false" customHeight="false" outlineLevel="0" collapsed="false">
      <c r="A1050" s="0" t="str">
        <f aca="false">'Raw Data'!C1050</f>
        <v>Metcalf</v>
      </c>
      <c r="B1050" s="5" t="n">
        <f aca="false">'Raw Data'!A1050</f>
        <v>40323</v>
      </c>
      <c r="C1050" s="6" t="n">
        <f aca="false">'Raw Data'!D1050</f>
        <v>249.140475527411</v>
      </c>
      <c r="D1050" s="6" t="n">
        <f aca="false">'Raw Data'!E1050</f>
        <v>3.814</v>
      </c>
      <c r="E1050" s="6" t="n">
        <f aca="false">'Raw Data'!F1050</f>
        <v>1</v>
      </c>
      <c r="F1050" s="6" t="n">
        <f aca="false">'Raw Data'!G1050</f>
        <v>0</v>
      </c>
      <c r="G1050" s="6" t="n">
        <f aca="false">'Raw Data'!H1050</f>
        <v>0</v>
      </c>
      <c r="H1050" s="6" t="n">
        <f aca="false">'Raw Data'!I1050</f>
        <v>0</v>
      </c>
      <c r="I1050" s="6" t="n">
        <f aca="false">'Raw Data'!J1050</f>
        <v>0</v>
      </c>
      <c r="J1050" s="6" t="n">
        <f aca="false">'Raw Data'!K1050</f>
        <v>1</v>
      </c>
      <c r="K1050" s="6" t="n">
        <f aca="false">'Raw Data'!L1050</f>
        <v>0</v>
      </c>
      <c r="L1050" s="6" t="n">
        <f aca="false">F1050*E1050</f>
        <v>0</v>
      </c>
      <c r="N1050" s="0" t="n">
        <v>1</v>
      </c>
      <c r="O1050" s="6" t="n">
        <f aca="false">D1050</f>
        <v>3.814</v>
      </c>
      <c r="P1050" s="6" t="n">
        <f aca="false">E1050</f>
        <v>1</v>
      </c>
      <c r="Q1050" s="6" t="n">
        <f aca="false">F1050</f>
        <v>0</v>
      </c>
      <c r="R1050" s="6" t="n">
        <f aca="false">G1050</f>
        <v>0</v>
      </c>
      <c r="S1050" s="6" t="n">
        <f aca="false">H1050</f>
        <v>0</v>
      </c>
      <c r="T1050" s="6" t="n">
        <f aca="false">I1050</f>
        <v>0</v>
      </c>
      <c r="U1050" s="6" t="n">
        <f aca="false">L1050</f>
        <v>0</v>
      </c>
      <c r="W1050" s="6" t="n">
        <f aca="false">D1050</f>
        <v>3.814</v>
      </c>
      <c r="X1050" s="6" t="n">
        <f aca="false">E1050</f>
        <v>1</v>
      </c>
      <c r="Y1050" s="6" t="n">
        <f aca="false">F1050</f>
        <v>0</v>
      </c>
      <c r="Z1050" s="6" t="n">
        <f aca="false">L1050</f>
        <v>0</v>
      </c>
      <c r="AA1050" s="6" t="n">
        <f aca="false">G1050</f>
        <v>0</v>
      </c>
      <c r="AC1050" s="6" t="n">
        <f aca="false">D1050</f>
        <v>3.814</v>
      </c>
      <c r="AD1050" s="6" t="n">
        <f aca="false">E1050</f>
        <v>1</v>
      </c>
      <c r="AE1050" s="6" t="n">
        <f aca="false">G1050</f>
        <v>0</v>
      </c>
      <c r="AF1050" s="6" t="n">
        <f aca="false">H1050</f>
        <v>0</v>
      </c>
      <c r="AG1050" s="6" t="n">
        <f aca="false">I1050</f>
        <v>0</v>
      </c>
      <c r="AH1050" s="6" t="n">
        <f aca="false">L1050</f>
        <v>0</v>
      </c>
    </row>
    <row r="1051" customFormat="false" ht="15" hidden="false" customHeight="false" outlineLevel="0" collapsed="false">
      <c r="A1051" s="0" t="str">
        <f aca="false">'Raw Data'!C1051</f>
        <v>Metcalf</v>
      </c>
      <c r="B1051" s="5" t="n">
        <f aca="false">'Raw Data'!A1051</f>
        <v>40330</v>
      </c>
      <c r="C1051" s="6" t="n">
        <f aca="false">'Raw Data'!D1051</f>
        <v>263.475311657863</v>
      </c>
      <c r="D1051" s="6" t="n">
        <f aca="false">'Raw Data'!E1051</f>
        <v>3.814</v>
      </c>
      <c r="E1051" s="6" t="n">
        <f aca="false">'Raw Data'!F1051</f>
        <v>1</v>
      </c>
      <c r="F1051" s="6" t="n">
        <f aca="false">'Raw Data'!G1051</f>
        <v>0</v>
      </c>
      <c r="G1051" s="6" t="n">
        <f aca="false">'Raw Data'!H1051</f>
        <v>0</v>
      </c>
      <c r="H1051" s="6" t="n">
        <f aca="false">'Raw Data'!I1051</f>
        <v>0</v>
      </c>
      <c r="I1051" s="6" t="n">
        <f aca="false">'Raw Data'!J1051</f>
        <v>0</v>
      </c>
      <c r="J1051" s="6" t="n">
        <f aca="false">'Raw Data'!K1051</f>
        <v>1</v>
      </c>
      <c r="K1051" s="6" t="n">
        <f aca="false">'Raw Data'!L1051</f>
        <v>0</v>
      </c>
      <c r="L1051" s="6" t="n">
        <f aca="false">F1051*E1051</f>
        <v>0</v>
      </c>
      <c r="N1051" s="0" t="n">
        <v>1</v>
      </c>
      <c r="O1051" s="6" t="n">
        <f aca="false">D1051</f>
        <v>3.814</v>
      </c>
      <c r="P1051" s="6" t="n">
        <f aca="false">E1051</f>
        <v>1</v>
      </c>
      <c r="Q1051" s="6" t="n">
        <f aca="false">F1051</f>
        <v>0</v>
      </c>
      <c r="R1051" s="6" t="n">
        <f aca="false">G1051</f>
        <v>0</v>
      </c>
      <c r="S1051" s="6" t="n">
        <f aca="false">H1051</f>
        <v>0</v>
      </c>
      <c r="T1051" s="6" t="n">
        <f aca="false">I1051</f>
        <v>0</v>
      </c>
      <c r="U1051" s="6" t="n">
        <f aca="false">L1051</f>
        <v>0</v>
      </c>
      <c r="W1051" s="6" t="n">
        <f aca="false">D1051</f>
        <v>3.814</v>
      </c>
      <c r="X1051" s="6" t="n">
        <f aca="false">E1051</f>
        <v>1</v>
      </c>
      <c r="Y1051" s="6" t="n">
        <f aca="false">F1051</f>
        <v>0</v>
      </c>
      <c r="Z1051" s="6" t="n">
        <f aca="false">L1051</f>
        <v>0</v>
      </c>
      <c r="AA1051" s="6" t="n">
        <f aca="false">G1051</f>
        <v>0</v>
      </c>
      <c r="AC1051" s="6" t="n">
        <f aca="false">D1051</f>
        <v>3.814</v>
      </c>
      <c r="AD1051" s="6" t="n">
        <f aca="false">E1051</f>
        <v>1</v>
      </c>
      <c r="AE1051" s="6" t="n">
        <f aca="false">G1051</f>
        <v>0</v>
      </c>
      <c r="AF1051" s="6" t="n">
        <f aca="false">H1051</f>
        <v>0</v>
      </c>
      <c r="AG1051" s="6" t="n">
        <f aca="false">I1051</f>
        <v>0</v>
      </c>
      <c r="AH1051" s="6" t="n">
        <f aca="false">L1051</f>
        <v>0</v>
      </c>
    </row>
    <row r="1052" customFormat="false" ht="15" hidden="false" customHeight="false" outlineLevel="0" collapsed="false">
      <c r="A1052" s="0" t="str">
        <f aca="false">'Raw Data'!C1052</f>
        <v>Metcalf</v>
      </c>
      <c r="B1052" s="5" t="n">
        <f aca="false">'Raw Data'!A1052</f>
        <v>40337</v>
      </c>
      <c r="C1052" s="6" t="n">
        <f aca="false">'Raw Data'!D1052</f>
        <v>666.729351514893</v>
      </c>
      <c r="D1052" s="6" t="n">
        <f aca="false">'Raw Data'!E1052</f>
        <v>3.326</v>
      </c>
      <c r="E1052" s="6" t="n">
        <f aca="false">'Raw Data'!F1052</f>
        <v>1</v>
      </c>
      <c r="F1052" s="6" t="n">
        <f aca="false">'Raw Data'!G1052</f>
        <v>1</v>
      </c>
      <c r="G1052" s="6" t="n">
        <f aca="false">'Raw Data'!H1052</f>
        <v>0</v>
      </c>
      <c r="H1052" s="6" t="n">
        <f aca="false">'Raw Data'!I1052</f>
        <v>0</v>
      </c>
      <c r="I1052" s="6" t="n">
        <f aca="false">'Raw Data'!J1052</f>
        <v>0</v>
      </c>
      <c r="J1052" s="6" t="n">
        <f aca="false">'Raw Data'!K1052</f>
        <v>1</v>
      </c>
      <c r="K1052" s="6" t="n">
        <f aca="false">'Raw Data'!L1052</f>
        <v>0</v>
      </c>
      <c r="L1052" s="6" t="n">
        <f aca="false">F1052*E1052</f>
        <v>1</v>
      </c>
      <c r="N1052" s="0" t="n">
        <v>1</v>
      </c>
      <c r="O1052" s="6" t="n">
        <f aca="false">D1052</f>
        <v>3.326</v>
      </c>
      <c r="P1052" s="6" t="n">
        <f aca="false">E1052</f>
        <v>1</v>
      </c>
      <c r="Q1052" s="6" t="n">
        <f aca="false">F1052</f>
        <v>1</v>
      </c>
      <c r="R1052" s="6" t="n">
        <f aca="false">G1052</f>
        <v>0</v>
      </c>
      <c r="S1052" s="6" t="n">
        <f aca="false">H1052</f>
        <v>0</v>
      </c>
      <c r="T1052" s="6" t="n">
        <f aca="false">I1052</f>
        <v>0</v>
      </c>
      <c r="U1052" s="6" t="n">
        <f aca="false">L1052</f>
        <v>1</v>
      </c>
      <c r="W1052" s="6" t="n">
        <f aca="false">D1052</f>
        <v>3.326</v>
      </c>
      <c r="X1052" s="6" t="n">
        <f aca="false">E1052</f>
        <v>1</v>
      </c>
      <c r="Y1052" s="6" t="n">
        <f aca="false">F1052</f>
        <v>1</v>
      </c>
      <c r="Z1052" s="6" t="n">
        <f aca="false">L1052</f>
        <v>1</v>
      </c>
      <c r="AA1052" s="6" t="n">
        <f aca="false">G1052</f>
        <v>0</v>
      </c>
      <c r="AC1052" s="6" t="n">
        <f aca="false">D1052</f>
        <v>3.326</v>
      </c>
      <c r="AD1052" s="6" t="n">
        <f aca="false">E1052</f>
        <v>1</v>
      </c>
      <c r="AE1052" s="6" t="n">
        <f aca="false">G1052</f>
        <v>0</v>
      </c>
      <c r="AF1052" s="6" t="n">
        <f aca="false">H1052</f>
        <v>0</v>
      </c>
      <c r="AG1052" s="6" t="n">
        <f aca="false">I1052</f>
        <v>0</v>
      </c>
      <c r="AH1052" s="6" t="n">
        <f aca="false">L1052</f>
        <v>1</v>
      </c>
    </row>
    <row r="1053" customFormat="false" ht="15" hidden="false" customHeight="false" outlineLevel="0" collapsed="false">
      <c r="A1053" s="0" t="str">
        <f aca="false">'Raw Data'!C1053</f>
        <v>Metcalf</v>
      </c>
      <c r="B1053" s="5" t="n">
        <f aca="false">'Raw Data'!A1053</f>
        <v>40344</v>
      </c>
      <c r="C1053" s="6" t="n">
        <f aca="false">'Raw Data'!D1053</f>
        <v>711.86493990728</v>
      </c>
      <c r="D1053" s="6" t="n">
        <f aca="false">'Raw Data'!E1053</f>
        <v>3.198666667</v>
      </c>
      <c r="E1053" s="6" t="n">
        <f aca="false">'Raw Data'!F1053</f>
        <v>1</v>
      </c>
      <c r="F1053" s="6" t="n">
        <f aca="false">'Raw Data'!G1053</f>
        <v>1</v>
      </c>
      <c r="G1053" s="6" t="n">
        <f aca="false">'Raw Data'!H1053</f>
        <v>0</v>
      </c>
      <c r="H1053" s="6" t="n">
        <f aca="false">'Raw Data'!I1053</f>
        <v>0</v>
      </c>
      <c r="I1053" s="6" t="n">
        <f aca="false">'Raw Data'!J1053</f>
        <v>0</v>
      </c>
      <c r="J1053" s="6" t="n">
        <f aca="false">'Raw Data'!K1053</f>
        <v>1</v>
      </c>
      <c r="K1053" s="6" t="n">
        <f aca="false">'Raw Data'!L1053</f>
        <v>0</v>
      </c>
      <c r="L1053" s="6" t="n">
        <f aca="false">F1053*E1053</f>
        <v>1</v>
      </c>
      <c r="N1053" s="0" t="n">
        <v>1</v>
      </c>
      <c r="O1053" s="6" t="n">
        <f aca="false">D1053</f>
        <v>3.198666667</v>
      </c>
      <c r="P1053" s="6" t="n">
        <f aca="false">E1053</f>
        <v>1</v>
      </c>
      <c r="Q1053" s="6" t="n">
        <f aca="false">F1053</f>
        <v>1</v>
      </c>
      <c r="R1053" s="6" t="n">
        <f aca="false">G1053</f>
        <v>0</v>
      </c>
      <c r="S1053" s="6" t="n">
        <f aca="false">H1053</f>
        <v>0</v>
      </c>
      <c r="T1053" s="6" t="n">
        <f aca="false">I1053</f>
        <v>0</v>
      </c>
      <c r="U1053" s="6" t="n">
        <f aca="false">L1053</f>
        <v>1</v>
      </c>
      <c r="W1053" s="6" t="n">
        <f aca="false">D1053</f>
        <v>3.198666667</v>
      </c>
      <c r="X1053" s="6" t="n">
        <f aca="false">E1053</f>
        <v>1</v>
      </c>
      <c r="Y1053" s="6" t="n">
        <f aca="false">F1053</f>
        <v>1</v>
      </c>
      <c r="Z1053" s="6" t="n">
        <f aca="false">L1053</f>
        <v>1</v>
      </c>
      <c r="AA1053" s="6" t="n">
        <f aca="false">G1053</f>
        <v>0</v>
      </c>
      <c r="AC1053" s="6" t="n">
        <f aca="false">D1053</f>
        <v>3.198666667</v>
      </c>
      <c r="AD1053" s="6" t="n">
        <f aca="false">E1053</f>
        <v>1</v>
      </c>
      <c r="AE1053" s="6" t="n">
        <f aca="false">G1053</f>
        <v>0</v>
      </c>
      <c r="AF1053" s="6" t="n">
        <f aca="false">H1053</f>
        <v>0</v>
      </c>
      <c r="AG1053" s="6" t="n">
        <f aca="false">I1053</f>
        <v>0</v>
      </c>
      <c r="AH1053" s="6" t="n">
        <f aca="false">L1053</f>
        <v>1</v>
      </c>
    </row>
    <row r="1054" customFormat="false" ht="15" hidden="false" customHeight="false" outlineLevel="0" collapsed="false">
      <c r="A1054" s="0" t="str">
        <f aca="false">'Raw Data'!C1054</f>
        <v>Metcalf</v>
      </c>
      <c r="B1054" s="5" t="n">
        <f aca="false">'Raw Data'!A1054</f>
        <v>40351</v>
      </c>
      <c r="C1054" s="6" t="n">
        <f aca="false">'Raw Data'!D1054</f>
        <v>328.157804033539</v>
      </c>
      <c r="D1054" s="6" t="n">
        <f aca="false">'Raw Data'!E1054</f>
        <v>4.366666667</v>
      </c>
      <c r="E1054" s="6" t="n">
        <f aca="false">'Raw Data'!F1054</f>
        <v>1</v>
      </c>
      <c r="F1054" s="6" t="n">
        <f aca="false">'Raw Data'!G1054</f>
        <v>0</v>
      </c>
      <c r="G1054" s="6" t="n">
        <f aca="false">'Raw Data'!H1054</f>
        <v>0</v>
      </c>
      <c r="H1054" s="6" t="n">
        <f aca="false">'Raw Data'!I1054</f>
        <v>0</v>
      </c>
      <c r="I1054" s="6" t="n">
        <f aca="false">'Raw Data'!J1054</f>
        <v>0</v>
      </c>
      <c r="J1054" s="6" t="n">
        <f aca="false">'Raw Data'!K1054</f>
        <v>1</v>
      </c>
      <c r="K1054" s="6" t="n">
        <f aca="false">'Raw Data'!L1054</f>
        <v>0</v>
      </c>
      <c r="L1054" s="6" t="n">
        <f aca="false">F1054*E1054</f>
        <v>0</v>
      </c>
      <c r="N1054" s="0" t="n">
        <v>1</v>
      </c>
      <c r="O1054" s="6" t="n">
        <f aca="false">D1054</f>
        <v>4.366666667</v>
      </c>
      <c r="P1054" s="6" t="n">
        <f aca="false">E1054</f>
        <v>1</v>
      </c>
      <c r="Q1054" s="6" t="n">
        <f aca="false">F1054</f>
        <v>0</v>
      </c>
      <c r="R1054" s="6" t="n">
        <f aca="false">G1054</f>
        <v>0</v>
      </c>
      <c r="S1054" s="6" t="n">
        <f aca="false">H1054</f>
        <v>0</v>
      </c>
      <c r="T1054" s="6" t="n">
        <f aca="false">I1054</f>
        <v>0</v>
      </c>
      <c r="U1054" s="6" t="n">
        <f aca="false">L1054</f>
        <v>0</v>
      </c>
      <c r="W1054" s="6" t="n">
        <f aca="false">D1054</f>
        <v>4.366666667</v>
      </c>
      <c r="X1054" s="6" t="n">
        <f aca="false">E1054</f>
        <v>1</v>
      </c>
      <c r="Y1054" s="6" t="n">
        <f aca="false">F1054</f>
        <v>0</v>
      </c>
      <c r="Z1054" s="6" t="n">
        <f aca="false">L1054</f>
        <v>0</v>
      </c>
      <c r="AA1054" s="6" t="n">
        <f aca="false">G1054</f>
        <v>0</v>
      </c>
      <c r="AC1054" s="6" t="n">
        <f aca="false">D1054</f>
        <v>4.366666667</v>
      </c>
      <c r="AD1054" s="6" t="n">
        <f aca="false">E1054</f>
        <v>1</v>
      </c>
      <c r="AE1054" s="6" t="n">
        <f aca="false">G1054</f>
        <v>0</v>
      </c>
      <c r="AF1054" s="6" t="n">
        <f aca="false">H1054</f>
        <v>0</v>
      </c>
      <c r="AG1054" s="6" t="n">
        <f aca="false">I1054</f>
        <v>0</v>
      </c>
      <c r="AH1054" s="6" t="n">
        <f aca="false">L1054</f>
        <v>0</v>
      </c>
    </row>
    <row r="1055" customFormat="false" ht="15" hidden="false" customHeight="false" outlineLevel="0" collapsed="false">
      <c r="A1055" s="0" t="str">
        <f aca="false">'Raw Data'!C1055</f>
        <v>Metcalf</v>
      </c>
      <c r="B1055" s="5" t="n">
        <f aca="false">'Raw Data'!A1055</f>
        <v>40358</v>
      </c>
      <c r="C1055" s="6" t="n">
        <f aca="false">'Raw Data'!D1055</f>
        <v>144.595220434296</v>
      </c>
      <c r="D1055" s="6" t="n">
        <f aca="false">'Raw Data'!E1055</f>
        <v>3.979090909</v>
      </c>
      <c r="E1055" s="6" t="n">
        <f aca="false">'Raw Data'!F1055</f>
        <v>1</v>
      </c>
      <c r="F1055" s="6" t="n">
        <f aca="false">'Raw Data'!G1055</f>
        <v>0</v>
      </c>
      <c r="G1055" s="6" t="n">
        <f aca="false">'Raw Data'!H1055</f>
        <v>0</v>
      </c>
      <c r="H1055" s="6" t="n">
        <f aca="false">'Raw Data'!I1055</f>
        <v>0</v>
      </c>
      <c r="I1055" s="6" t="n">
        <f aca="false">'Raw Data'!J1055</f>
        <v>0</v>
      </c>
      <c r="J1055" s="6" t="n">
        <f aca="false">'Raw Data'!K1055</f>
        <v>1</v>
      </c>
      <c r="K1055" s="6" t="n">
        <f aca="false">'Raw Data'!L1055</f>
        <v>0</v>
      </c>
      <c r="L1055" s="6" t="n">
        <f aca="false">F1055*E1055</f>
        <v>0</v>
      </c>
      <c r="N1055" s="0" t="n">
        <v>1</v>
      </c>
      <c r="O1055" s="6" t="n">
        <f aca="false">D1055</f>
        <v>3.979090909</v>
      </c>
      <c r="P1055" s="6" t="n">
        <f aca="false">E1055</f>
        <v>1</v>
      </c>
      <c r="Q1055" s="6" t="n">
        <f aca="false">F1055</f>
        <v>0</v>
      </c>
      <c r="R1055" s="6" t="n">
        <f aca="false">G1055</f>
        <v>0</v>
      </c>
      <c r="S1055" s="6" t="n">
        <f aca="false">H1055</f>
        <v>0</v>
      </c>
      <c r="T1055" s="6" t="n">
        <f aca="false">I1055</f>
        <v>0</v>
      </c>
      <c r="U1055" s="6" t="n">
        <f aca="false">L1055</f>
        <v>0</v>
      </c>
      <c r="W1055" s="6" t="n">
        <f aca="false">D1055</f>
        <v>3.979090909</v>
      </c>
      <c r="X1055" s="6" t="n">
        <f aca="false">E1055</f>
        <v>1</v>
      </c>
      <c r="Y1055" s="6" t="n">
        <f aca="false">F1055</f>
        <v>0</v>
      </c>
      <c r="Z1055" s="6" t="n">
        <f aca="false">L1055</f>
        <v>0</v>
      </c>
      <c r="AA1055" s="6" t="n">
        <f aca="false">G1055</f>
        <v>0</v>
      </c>
      <c r="AC1055" s="6" t="n">
        <f aca="false">D1055</f>
        <v>3.979090909</v>
      </c>
      <c r="AD1055" s="6" t="n">
        <f aca="false">E1055</f>
        <v>1</v>
      </c>
      <c r="AE1055" s="6" t="n">
        <f aca="false">G1055</f>
        <v>0</v>
      </c>
      <c r="AF1055" s="6" t="n">
        <f aca="false">H1055</f>
        <v>0</v>
      </c>
      <c r="AG1055" s="6" t="n">
        <f aca="false">I1055</f>
        <v>0</v>
      </c>
      <c r="AH1055" s="6" t="n">
        <f aca="false">L1055</f>
        <v>0</v>
      </c>
    </row>
    <row r="1056" customFormat="false" ht="15" hidden="false" customHeight="false" outlineLevel="0" collapsed="false">
      <c r="A1056" s="0" t="str">
        <f aca="false">'Raw Data'!C1056</f>
        <v>Metcalf</v>
      </c>
      <c r="B1056" s="5" t="n">
        <f aca="false">'Raw Data'!A1056</f>
        <v>40365</v>
      </c>
      <c r="C1056" s="6" t="n">
        <f aca="false">'Raw Data'!D1056</f>
        <v>266.129567222719</v>
      </c>
      <c r="D1056" s="6" t="n">
        <f aca="false">'Raw Data'!E1056</f>
        <v>4.956153846</v>
      </c>
      <c r="E1056" s="6" t="n">
        <f aca="false">'Raw Data'!F1056</f>
        <v>1</v>
      </c>
      <c r="F1056" s="6" t="n">
        <f aca="false">'Raw Data'!G1056</f>
        <v>0</v>
      </c>
      <c r="G1056" s="6" t="n">
        <f aca="false">'Raw Data'!H1056</f>
        <v>0</v>
      </c>
      <c r="H1056" s="6" t="n">
        <f aca="false">'Raw Data'!I1056</f>
        <v>0</v>
      </c>
      <c r="I1056" s="6" t="n">
        <f aca="false">'Raw Data'!J1056</f>
        <v>0</v>
      </c>
      <c r="J1056" s="6" t="n">
        <f aca="false">'Raw Data'!K1056</f>
        <v>1</v>
      </c>
      <c r="K1056" s="6" t="n">
        <f aca="false">'Raw Data'!L1056</f>
        <v>0</v>
      </c>
      <c r="L1056" s="6" t="n">
        <f aca="false">F1056*E1056</f>
        <v>0</v>
      </c>
      <c r="N1056" s="0" t="n">
        <v>1</v>
      </c>
      <c r="O1056" s="6" t="n">
        <f aca="false">D1056</f>
        <v>4.956153846</v>
      </c>
      <c r="P1056" s="6" t="n">
        <f aca="false">E1056</f>
        <v>1</v>
      </c>
      <c r="Q1056" s="6" t="n">
        <f aca="false">F1056</f>
        <v>0</v>
      </c>
      <c r="R1056" s="6" t="n">
        <f aca="false">G1056</f>
        <v>0</v>
      </c>
      <c r="S1056" s="6" t="n">
        <f aca="false">H1056</f>
        <v>0</v>
      </c>
      <c r="T1056" s="6" t="n">
        <f aca="false">I1056</f>
        <v>0</v>
      </c>
      <c r="U1056" s="6" t="n">
        <f aca="false">L1056</f>
        <v>0</v>
      </c>
      <c r="W1056" s="6" t="n">
        <f aca="false">D1056</f>
        <v>4.956153846</v>
      </c>
      <c r="X1056" s="6" t="n">
        <f aca="false">E1056</f>
        <v>1</v>
      </c>
      <c r="Y1056" s="6" t="n">
        <f aca="false">F1056</f>
        <v>0</v>
      </c>
      <c r="Z1056" s="6" t="n">
        <f aca="false">L1056</f>
        <v>0</v>
      </c>
      <c r="AA1056" s="6" t="n">
        <f aca="false">G1056</f>
        <v>0</v>
      </c>
      <c r="AC1056" s="6" t="n">
        <f aca="false">D1056</f>
        <v>4.956153846</v>
      </c>
      <c r="AD1056" s="6" t="n">
        <f aca="false">E1056</f>
        <v>1</v>
      </c>
      <c r="AE1056" s="6" t="n">
        <f aca="false">G1056</f>
        <v>0</v>
      </c>
      <c r="AF1056" s="6" t="n">
        <f aca="false">H1056</f>
        <v>0</v>
      </c>
      <c r="AG1056" s="6" t="n">
        <f aca="false">I1056</f>
        <v>0</v>
      </c>
      <c r="AH1056" s="6" t="n">
        <f aca="false">L1056</f>
        <v>0</v>
      </c>
    </row>
    <row r="1057" customFormat="false" ht="15" hidden="false" customHeight="false" outlineLevel="0" collapsed="false">
      <c r="A1057" s="0" t="str">
        <f aca="false">'Raw Data'!C1057</f>
        <v>Metcalf</v>
      </c>
      <c r="B1057" s="5" t="n">
        <f aca="false">'Raw Data'!A1057</f>
        <v>40372</v>
      </c>
      <c r="C1057" s="6" t="n">
        <f aca="false">'Raw Data'!D1057</f>
        <v>277.187467722705</v>
      </c>
      <c r="D1057" s="6" t="n">
        <f aca="false">'Raw Data'!E1057</f>
        <v>3.813636364</v>
      </c>
      <c r="E1057" s="6" t="n">
        <f aca="false">'Raw Data'!F1057</f>
        <v>1</v>
      </c>
      <c r="F1057" s="6" t="n">
        <f aca="false">'Raw Data'!G1057</f>
        <v>0</v>
      </c>
      <c r="G1057" s="6" t="n">
        <f aca="false">'Raw Data'!H1057</f>
        <v>0</v>
      </c>
      <c r="H1057" s="6" t="n">
        <f aca="false">'Raw Data'!I1057</f>
        <v>0</v>
      </c>
      <c r="I1057" s="6" t="n">
        <f aca="false">'Raw Data'!J1057</f>
        <v>0</v>
      </c>
      <c r="J1057" s="6" t="n">
        <f aca="false">'Raw Data'!K1057</f>
        <v>1</v>
      </c>
      <c r="K1057" s="6" t="n">
        <f aca="false">'Raw Data'!L1057</f>
        <v>0</v>
      </c>
      <c r="L1057" s="6" t="n">
        <f aca="false">F1057*E1057</f>
        <v>0</v>
      </c>
      <c r="N1057" s="0" t="n">
        <v>1</v>
      </c>
      <c r="O1057" s="6" t="n">
        <f aca="false">D1057</f>
        <v>3.813636364</v>
      </c>
      <c r="P1057" s="6" t="n">
        <f aca="false">E1057</f>
        <v>1</v>
      </c>
      <c r="Q1057" s="6" t="n">
        <f aca="false">F1057</f>
        <v>0</v>
      </c>
      <c r="R1057" s="6" t="n">
        <f aca="false">G1057</f>
        <v>0</v>
      </c>
      <c r="S1057" s="6" t="n">
        <f aca="false">H1057</f>
        <v>0</v>
      </c>
      <c r="T1057" s="6" t="n">
        <f aca="false">I1057</f>
        <v>0</v>
      </c>
      <c r="U1057" s="6" t="n">
        <f aca="false">L1057</f>
        <v>0</v>
      </c>
      <c r="W1057" s="6" t="n">
        <f aca="false">D1057</f>
        <v>3.813636364</v>
      </c>
      <c r="X1057" s="6" t="n">
        <f aca="false">E1057</f>
        <v>1</v>
      </c>
      <c r="Y1057" s="6" t="n">
        <f aca="false">F1057</f>
        <v>0</v>
      </c>
      <c r="Z1057" s="6" t="n">
        <f aca="false">L1057</f>
        <v>0</v>
      </c>
      <c r="AA1057" s="6" t="n">
        <f aca="false">G1057</f>
        <v>0</v>
      </c>
      <c r="AC1057" s="6" t="n">
        <f aca="false">D1057</f>
        <v>3.813636364</v>
      </c>
      <c r="AD1057" s="6" t="n">
        <f aca="false">E1057</f>
        <v>1</v>
      </c>
      <c r="AE1057" s="6" t="n">
        <f aca="false">G1057</f>
        <v>0</v>
      </c>
      <c r="AF1057" s="6" t="n">
        <f aca="false">H1057</f>
        <v>0</v>
      </c>
      <c r="AG1057" s="6" t="n">
        <f aca="false">I1057</f>
        <v>0</v>
      </c>
      <c r="AH1057" s="6" t="n">
        <f aca="false">L1057</f>
        <v>0</v>
      </c>
    </row>
    <row r="1058" customFormat="false" ht="15" hidden="false" customHeight="false" outlineLevel="0" collapsed="false">
      <c r="A1058" s="0" t="str">
        <f aca="false">'Raw Data'!C1058</f>
        <v>Pearl</v>
      </c>
      <c r="B1058" s="5" t="n">
        <f aca="false">'Raw Data'!A1058</f>
        <v>40302</v>
      </c>
      <c r="C1058" s="6" t="n">
        <f aca="false">'Raw Data'!D1058</f>
        <v>153.977799671602</v>
      </c>
      <c r="D1058" s="6" t="n">
        <f aca="false">'Raw Data'!E1058</f>
        <v>5.018571429</v>
      </c>
      <c r="E1058" s="6" t="n">
        <f aca="false">'Raw Data'!F1058</f>
        <v>1</v>
      </c>
      <c r="F1058" s="6" t="n">
        <f aca="false">'Raw Data'!G1058</f>
        <v>0</v>
      </c>
      <c r="G1058" s="6" t="n">
        <f aca="false">'Raw Data'!H1058</f>
        <v>0</v>
      </c>
      <c r="H1058" s="6" t="n">
        <f aca="false">'Raw Data'!I1058</f>
        <v>0</v>
      </c>
      <c r="I1058" s="6" t="n">
        <f aca="false">'Raw Data'!J1058</f>
        <v>0</v>
      </c>
      <c r="J1058" s="6" t="n">
        <f aca="false">'Raw Data'!K1058</f>
        <v>1</v>
      </c>
      <c r="K1058" s="6" t="n">
        <f aca="false">'Raw Data'!L1058</f>
        <v>2</v>
      </c>
      <c r="L1058" s="6" t="n">
        <f aca="false">F1058*E1058</f>
        <v>0</v>
      </c>
      <c r="N1058" s="0" t="n">
        <v>1</v>
      </c>
      <c r="O1058" s="6" t="n">
        <f aca="false">D1058</f>
        <v>5.018571429</v>
      </c>
      <c r="P1058" s="6" t="n">
        <f aca="false">E1058</f>
        <v>1</v>
      </c>
      <c r="Q1058" s="6" t="n">
        <f aca="false">F1058</f>
        <v>0</v>
      </c>
      <c r="R1058" s="6" t="n">
        <f aca="false">G1058</f>
        <v>0</v>
      </c>
      <c r="S1058" s="6" t="n">
        <f aca="false">H1058</f>
        <v>0</v>
      </c>
      <c r="T1058" s="6" t="n">
        <f aca="false">I1058</f>
        <v>0</v>
      </c>
      <c r="U1058" s="6" t="n">
        <f aca="false">L1058</f>
        <v>0</v>
      </c>
      <c r="W1058" s="6" t="n">
        <f aca="false">D1058</f>
        <v>5.018571429</v>
      </c>
      <c r="X1058" s="6" t="n">
        <f aca="false">E1058</f>
        <v>1</v>
      </c>
      <c r="Y1058" s="6" t="n">
        <f aca="false">F1058</f>
        <v>0</v>
      </c>
      <c r="Z1058" s="6" t="n">
        <f aca="false">L1058</f>
        <v>0</v>
      </c>
      <c r="AA1058" s="6" t="n">
        <f aca="false">G1058</f>
        <v>0</v>
      </c>
      <c r="AC1058" s="6" t="n">
        <f aca="false">D1058</f>
        <v>5.018571429</v>
      </c>
      <c r="AD1058" s="6" t="n">
        <f aca="false">E1058</f>
        <v>1</v>
      </c>
      <c r="AE1058" s="6" t="n">
        <f aca="false">G1058</f>
        <v>0</v>
      </c>
      <c r="AF1058" s="6" t="n">
        <f aca="false">H1058</f>
        <v>0</v>
      </c>
      <c r="AG1058" s="6" t="n">
        <f aca="false">I1058</f>
        <v>0</v>
      </c>
      <c r="AH1058" s="6" t="n">
        <f aca="false">L1058</f>
        <v>0</v>
      </c>
    </row>
    <row r="1059" customFormat="false" ht="15" hidden="false" customHeight="false" outlineLevel="0" collapsed="false">
      <c r="A1059" s="0" t="str">
        <f aca="false">'Raw Data'!C1059</f>
        <v>Pearl</v>
      </c>
      <c r="B1059" s="5" t="n">
        <f aca="false">'Raw Data'!A1059</f>
        <v>40309</v>
      </c>
      <c r="C1059" s="6" t="n">
        <f aca="false">'Raw Data'!D1059</f>
        <v>232.914862091978</v>
      </c>
      <c r="D1059" s="6" t="n">
        <f aca="false">'Raw Data'!E1059</f>
        <v>5.018571429</v>
      </c>
      <c r="E1059" s="6" t="n">
        <f aca="false">'Raw Data'!F1059</f>
        <v>1</v>
      </c>
      <c r="F1059" s="6" t="n">
        <f aca="false">'Raw Data'!G1059</f>
        <v>0</v>
      </c>
      <c r="G1059" s="6" t="n">
        <f aca="false">'Raw Data'!H1059</f>
        <v>0</v>
      </c>
      <c r="H1059" s="6" t="n">
        <f aca="false">'Raw Data'!I1059</f>
        <v>0</v>
      </c>
      <c r="I1059" s="6" t="n">
        <f aca="false">'Raw Data'!J1059</f>
        <v>0</v>
      </c>
      <c r="J1059" s="6" t="n">
        <f aca="false">'Raw Data'!K1059</f>
        <v>1</v>
      </c>
      <c r="K1059" s="6" t="n">
        <f aca="false">'Raw Data'!L1059</f>
        <v>2</v>
      </c>
      <c r="L1059" s="6" t="n">
        <f aca="false">F1059*E1059</f>
        <v>0</v>
      </c>
      <c r="N1059" s="0" t="n">
        <v>1</v>
      </c>
      <c r="O1059" s="6" t="n">
        <f aca="false">D1059</f>
        <v>5.018571429</v>
      </c>
      <c r="P1059" s="6" t="n">
        <f aca="false">E1059</f>
        <v>1</v>
      </c>
      <c r="Q1059" s="6" t="n">
        <f aca="false">F1059</f>
        <v>0</v>
      </c>
      <c r="R1059" s="6" t="n">
        <f aca="false">G1059</f>
        <v>0</v>
      </c>
      <c r="S1059" s="6" t="n">
        <f aca="false">H1059</f>
        <v>0</v>
      </c>
      <c r="T1059" s="6" t="n">
        <f aca="false">I1059</f>
        <v>0</v>
      </c>
      <c r="U1059" s="6" t="n">
        <f aca="false">L1059</f>
        <v>0</v>
      </c>
      <c r="W1059" s="6" t="n">
        <f aca="false">D1059</f>
        <v>5.018571429</v>
      </c>
      <c r="X1059" s="6" t="n">
        <f aca="false">E1059</f>
        <v>1</v>
      </c>
      <c r="Y1059" s="6" t="n">
        <f aca="false">F1059</f>
        <v>0</v>
      </c>
      <c r="Z1059" s="6" t="n">
        <f aca="false">L1059</f>
        <v>0</v>
      </c>
      <c r="AA1059" s="6" t="n">
        <f aca="false">G1059</f>
        <v>0</v>
      </c>
      <c r="AC1059" s="6" t="n">
        <f aca="false">D1059</f>
        <v>5.018571429</v>
      </c>
      <c r="AD1059" s="6" t="n">
        <f aca="false">E1059</f>
        <v>1</v>
      </c>
      <c r="AE1059" s="6" t="n">
        <f aca="false">G1059</f>
        <v>0</v>
      </c>
      <c r="AF1059" s="6" t="n">
        <f aca="false">H1059</f>
        <v>0</v>
      </c>
      <c r="AG1059" s="6" t="n">
        <f aca="false">I1059</f>
        <v>0</v>
      </c>
      <c r="AH1059" s="6" t="n">
        <f aca="false">L1059</f>
        <v>0</v>
      </c>
    </row>
    <row r="1060" customFormat="false" ht="15" hidden="false" customHeight="false" outlineLevel="0" collapsed="false">
      <c r="A1060" s="0" t="str">
        <f aca="false">'Raw Data'!C1060</f>
        <v>Pearl</v>
      </c>
      <c r="B1060" s="5" t="n">
        <f aca="false">'Raw Data'!A1060</f>
        <v>40316</v>
      </c>
      <c r="C1060" s="6" t="n">
        <f aca="false">'Raw Data'!D1060</f>
        <v>308.276751999772</v>
      </c>
      <c r="D1060" s="6" t="n">
        <f aca="false">'Raw Data'!E1060</f>
        <v>4.463529412</v>
      </c>
      <c r="E1060" s="6" t="n">
        <f aca="false">'Raw Data'!F1060</f>
        <v>1</v>
      </c>
      <c r="F1060" s="6" t="n">
        <f aca="false">'Raw Data'!G1060</f>
        <v>0</v>
      </c>
      <c r="G1060" s="6" t="n">
        <f aca="false">'Raw Data'!H1060</f>
        <v>1</v>
      </c>
      <c r="H1060" s="6" t="n">
        <f aca="false">'Raw Data'!I1060</f>
        <v>0</v>
      </c>
      <c r="I1060" s="6" t="n">
        <f aca="false">'Raw Data'!J1060</f>
        <v>0</v>
      </c>
      <c r="J1060" s="6" t="n">
        <f aca="false">'Raw Data'!K1060</f>
        <v>1</v>
      </c>
      <c r="K1060" s="6" t="n">
        <f aca="false">'Raw Data'!L1060</f>
        <v>2</v>
      </c>
      <c r="L1060" s="6" t="n">
        <f aca="false">F1060*E1060</f>
        <v>0</v>
      </c>
      <c r="N1060" s="0" t="n">
        <v>1</v>
      </c>
      <c r="O1060" s="6" t="n">
        <f aca="false">D1060</f>
        <v>4.463529412</v>
      </c>
      <c r="P1060" s="6" t="n">
        <f aca="false">E1060</f>
        <v>1</v>
      </c>
      <c r="Q1060" s="6" t="n">
        <f aca="false">F1060</f>
        <v>0</v>
      </c>
      <c r="R1060" s="6" t="n">
        <f aca="false">G1060</f>
        <v>1</v>
      </c>
      <c r="S1060" s="6" t="n">
        <f aca="false">H1060</f>
        <v>0</v>
      </c>
      <c r="T1060" s="6" t="n">
        <f aca="false">I1060</f>
        <v>0</v>
      </c>
      <c r="U1060" s="6" t="n">
        <f aca="false">L1060</f>
        <v>0</v>
      </c>
      <c r="W1060" s="6" t="n">
        <f aca="false">D1060</f>
        <v>4.463529412</v>
      </c>
      <c r="X1060" s="6" t="n">
        <f aca="false">E1060</f>
        <v>1</v>
      </c>
      <c r="Y1060" s="6" t="n">
        <f aca="false">F1060</f>
        <v>0</v>
      </c>
      <c r="Z1060" s="6" t="n">
        <f aca="false">L1060</f>
        <v>0</v>
      </c>
      <c r="AA1060" s="6" t="n">
        <f aca="false">G1060</f>
        <v>1</v>
      </c>
      <c r="AC1060" s="6" t="n">
        <f aca="false">D1060</f>
        <v>4.463529412</v>
      </c>
      <c r="AD1060" s="6" t="n">
        <f aca="false">E1060</f>
        <v>1</v>
      </c>
      <c r="AE1060" s="6" t="n">
        <f aca="false">G1060</f>
        <v>1</v>
      </c>
      <c r="AF1060" s="6" t="n">
        <f aca="false">H1060</f>
        <v>0</v>
      </c>
      <c r="AG1060" s="6" t="n">
        <f aca="false">I1060</f>
        <v>0</v>
      </c>
      <c r="AH1060" s="6" t="n">
        <f aca="false">L1060</f>
        <v>0</v>
      </c>
    </row>
    <row r="1061" customFormat="false" ht="15" hidden="false" customHeight="false" outlineLevel="0" collapsed="false">
      <c r="A1061" s="0" t="str">
        <f aca="false">'Raw Data'!C1061</f>
        <v>Pearl</v>
      </c>
      <c r="B1061" s="5" t="n">
        <f aca="false">'Raw Data'!A1061</f>
        <v>40323</v>
      </c>
      <c r="C1061" s="6" t="n">
        <f aca="false">'Raw Data'!D1061</f>
        <v>272.205700820949</v>
      </c>
      <c r="D1061" s="6" t="n">
        <f aca="false">'Raw Data'!E1061</f>
        <v>5.010588235</v>
      </c>
      <c r="E1061" s="6" t="n">
        <f aca="false">'Raw Data'!F1061</f>
        <v>1</v>
      </c>
      <c r="F1061" s="6" t="n">
        <f aca="false">'Raw Data'!G1061</f>
        <v>0</v>
      </c>
      <c r="G1061" s="6" t="n">
        <f aca="false">'Raw Data'!H1061</f>
        <v>0</v>
      </c>
      <c r="H1061" s="6" t="n">
        <f aca="false">'Raw Data'!I1061</f>
        <v>1</v>
      </c>
      <c r="I1061" s="6" t="n">
        <f aca="false">'Raw Data'!J1061</f>
        <v>0</v>
      </c>
      <c r="J1061" s="6" t="n">
        <f aca="false">'Raw Data'!K1061</f>
        <v>1</v>
      </c>
      <c r="K1061" s="6" t="n">
        <f aca="false">'Raw Data'!L1061</f>
        <v>2</v>
      </c>
      <c r="L1061" s="6" t="n">
        <f aca="false">F1061*E1061</f>
        <v>0</v>
      </c>
      <c r="N1061" s="0" t="n">
        <v>1</v>
      </c>
      <c r="O1061" s="6" t="n">
        <f aca="false">D1061</f>
        <v>5.010588235</v>
      </c>
      <c r="P1061" s="6" t="n">
        <f aca="false">E1061</f>
        <v>1</v>
      </c>
      <c r="Q1061" s="6" t="n">
        <f aca="false">F1061</f>
        <v>0</v>
      </c>
      <c r="R1061" s="6" t="n">
        <f aca="false">G1061</f>
        <v>0</v>
      </c>
      <c r="S1061" s="6" t="n">
        <f aca="false">H1061</f>
        <v>1</v>
      </c>
      <c r="T1061" s="6" t="n">
        <f aca="false">I1061</f>
        <v>0</v>
      </c>
      <c r="U1061" s="6" t="n">
        <f aca="false">L1061</f>
        <v>0</v>
      </c>
      <c r="W1061" s="6" t="n">
        <f aca="false">D1061</f>
        <v>5.010588235</v>
      </c>
      <c r="X1061" s="6" t="n">
        <f aca="false">E1061</f>
        <v>1</v>
      </c>
      <c r="Y1061" s="6" t="n">
        <f aca="false">F1061</f>
        <v>0</v>
      </c>
      <c r="Z1061" s="6" t="n">
        <f aca="false">L1061</f>
        <v>0</v>
      </c>
      <c r="AA1061" s="6" t="n">
        <f aca="false">G1061</f>
        <v>0</v>
      </c>
      <c r="AC1061" s="6" t="n">
        <f aca="false">D1061</f>
        <v>5.010588235</v>
      </c>
      <c r="AD1061" s="6" t="n">
        <f aca="false">E1061</f>
        <v>1</v>
      </c>
      <c r="AE1061" s="6" t="n">
        <f aca="false">G1061</f>
        <v>0</v>
      </c>
      <c r="AF1061" s="6" t="n">
        <f aca="false">H1061</f>
        <v>1</v>
      </c>
      <c r="AG1061" s="6" t="n">
        <f aca="false">I1061</f>
        <v>0</v>
      </c>
      <c r="AH1061" s="6" t="n">
        <f aca="false">L1061</f>
        <v>0</v>
      </c>
    </row>
    <row r="1062" customFormat="false" ht="15" hidden="false" customHeight="false" outlineLevel="0" collapsed="false">
      <c r="A1062" s="0" t="str">
        <f aca="false">'Raw Data'!C1062</f>
        <v>Pearl</v>
      </c>
      <c r="B1062" s="5" t="n">
        <f aca="false">'Raw Data'!A1062</f>
        <v>40330</v>
      </c>
      <c r="C1062" s="6" t="n">
        <f aca="false">'Raw Data'!D1062</f>
        <v>355.871245735596</v>
      </c>
      <c r="D1062" s="6" t="n">
        <f aca="false">'Raw Data'!E1062</f>
        <v>4.881666667</v>
      </c>
      <c r="E1062" s="6" t="n">
        <f aca="false">'Raw Data'!F1062</f>
        <v>1</v>
      </c>
      <c r="F1062" s="6" t="n">
        <f aca="false">'Raw Data'!G1062</f>
        <v>0</v>
      </c>
      <c r="G1062" s="6" t="n">
        <f aca="false">'Raw Data'!H1062</f>
        <v>0</v>
      </c>
      <c r="H1062" s="6" t="n">
        <f aca="false">'Raw Data'!I1062</f>
        <v>1</v>
      </c>
      <c r="I1062" s="6" t="n">
        <f aca="false">'Raw Data'!J1062</f>
        <v>0</v>
      </c>
      <c r="J1062" s="6" t="n">
        <f aca="false">'Raw Data'!K1062</f>
        <v>1</v>
      </c>
      <c r="K1062" s="6" t="n">
        <f aca="false">'Raw Data'!L1062</f>
        <v>2</v>
      </c>
      <c r="L1062" s="6" t="n">
        <f aca="false">F1062*E1062</f>
        <v>0</v>
      </c>
      <c r="N1062" s="0" t="n">
        <v>1</v>
      </c>
      <c r="O1062" s="6" t="n">
        <f aca="false">D1062</f>
        <v>4.881666667</v>
      </c>
      <c r="P1062" s="6" t="n">
        <f aca="false">E1062</f>
        <v>1</v>
      </c>
      <c r="Q1062" s="6" t="n">
        <f aca="false">F1062</f>
        <v>0</v>
      </c>
      <c r="R1062" s="6" t="n">
        <f aca="false">G1062</f>
        <v>0</v>
      </c>
      <c r="S1062" s="6" t="n">
        <f aca="false">H1062</f>
        <v>1</v>
      </c>
      <c r="T1062" s="6" t="n">
        <f aca="false">I1062</f>
        <v>0</v>
      </c>
      <c r="U1062" s="6" t="n">
        <f aca="false">L1062</f>
        <v>0</v>
      </c>
      <c r="W1062" s="6" t="n">
        <f aca="false">D1062</f>
        <v>4.881666667</v>
      </c>
      <c r="X1062" s="6" t="n">
        <f aca="false">E1062</f>
        <v>1</v>
      </c>
      <c r="Y1062" s="6" t="n">
        <f aca="false">F1062</f>
        <v>0</v>
      </c>
      <c r="Z1062" s="6" t="n">
        <f aca="false">L1062</f>
        <v>0</v>
      </c>
      <c r="AA1062" s="6" t="n">
        <f aca="false">G1062</f>
        <v>0</v>
      </c>
      <c r="AC1062" s="6" t="n">
        <f aca="false">D1062</f>
        <v>4.881666667</v>
      </c>
      <c r="AD1062" s="6" t="n">
        <f aca="false">E1062</f>
        <v>1</v>
      </c>
      <c r="AE1062" s="6" t="n">
        <f aca="false">G1062</f>
        <v>0</v>
      </c>
      <c r="AF1062" s="6" t="n">
        <f aca="false">H1062</f>
        <v>1</v>
      </c>
      <c r="AG1062" s="6" t="n">
        <f aca="false">I1062</f>
        <v>0</v>
      </c>
      <c r="AH1062" s="6" t="n">
        <f aca="false">L1062</f>
        <v>0</v>
      </c>
    </row>
    <row r="1063" customFormat="false" ht="15" hidden="false" customHeight="false" outlineLevel="0" collapsed="false">
      <c r="A1063" s="0" t="str">
        <f aca="false">'Raw Data'!C1063</f>
        <v>Pearl</v>
      </c>
      <c r="B1063" s="5" t="n">
        <f aca="false">'Raw Data'!A1063</f>
        <v>40337</v>
      </c>
      <c r="C1063" s="6" t="n">
        <f aca="false">'Raw Data'!D1063</f>
        <v>337.175763139981</v>
      </c>
      <c r="D1063" s="6" t="n">
        <f aca="false">'Raw Data'!E1063</f>
        <v>4.832941176</v>
      </c>
      <c r="E1063" s="6" t="n">
        <f aca="false">'Raw Data'!F1063</f>
        <v>1</v>
      </c>
      <c r="F1063" s="6" t="n">
        <f aca="false">'Raw Data'!G1063</f>
        <v>0</v>
      </c>
      <c r="G1063" s="6" t="n">
        <f aca="false">'Raw Data'!H1063</f>
        <v>0</v>
      </c>
      <c r="H1063" s="6" t="n">
        <f aca="false">'Raw Data'!I1063</f>
        <v>1</v>
      </c>
      <c r="I1063" s="6" t="n">
        <f aca="false">'Raw Data'!J1063</f>
        <v>0</v>
      </c>
      <c r="J1063" s="6" t="n">
        <f aca="false">'Raw Data'!K1063</f>
        <v>1</v>
      </c>
      <c r="K1063" s="6" t="n">
        <f aca="false">'Raw Data'!L1063</f>
        <v>2</v>
      </c>
      <c r="L1063" s="6" t="n">
        <f aca="false">F1063*E1063</f>
        <v>0</v>
      </c>
      <c r="N1063" s="0" t="n">
        <v>1</v>
      </c>
      <c r="O1063" s="6" t="n">
        <f aca="false">D1063</f>
        <v>4.832941176</v>
      </c>
      <c r="P1063" s="6" t="n">
        <f aca="false">E1063</f>
        <v>1</v>
      </c>
      <c r="Q1063" s="6" t="n">
        <f aca="false">F1063</f>
        <v>0</v>
      </c>
      <c r="R1063" s="6" t="n">
        <f aca="false">G1063</f>
        <v>0</v>
      </c>
      <c r="S1063" s="6" t="n">
        <f aca="false">H1063</f>
        <v>1</v>
      </c>
      <c r="T1063" s="6" t="n">
        <f aca="false">I1063</f>
        <v>0</v>
      </c>
      <c r="U1063" s="6" t="n">
        <f aca="false">L1063</f>
        <v>0</v>
      </c>
      <c r="W1063" s="6" t="n">
        <f aca="false">D1063</f>
        <v>4.832941176</v>
      </c>
      <c r="X1063" s="6" t="n">
        <f aca="false">E1063</f>
        <v>1</v>
      </c>
      <c r="Y1063" s="6" t="n">
        <f aca="false">F1063</f>
        <v>0</v>
      </c>
      <c r="Z1063" s="6" t="n">
        <f aca="false">L1063</f>
        <v>0</v>
      </c>
      <c r="AA1063" s="6" t="n">
        <f aca="false">G1063</f>
        <v>0</v>
      </c>
      <c r="AC1063" s="6" t="n">
        <f aca="false">D1063</f>
        <v>4.832941176</v>
      </c>
      <c r="AD1063" s="6" t="n">
        <f aca="false">E1063</f>
        <v>1</v>
      </c>
      <c r="AE1063" s="6" t="n">
        <f aca="false">G1063</f>
        <v>0</v>
      </c>
      <c r="AF1063" s="6" t="n">
        <f aca="false">H1063</f>
        <v>1</v>
      </c>
      <c r="AG1063" s="6" t="n">
        <f aca="false">I1063</f>
        <v>0</v>
      </c>
      <c r="AH1063" s="6" t="n">
        <f aca="false">L1063</f>
        <v>0</v>
      </c>
    </row>
    <row r="1064" customFormat="false" ht="15" hidden="false" customHeight="false" outlineLevel="0" collapsed="false">
      <c r="A1064" s="0" t="str">
        <f aca="false">'Raw Data'!C1064</f>
        <v>Pearl</v>
      </c>
      <c r="B1064" s="5" t="n">
        <f aca="false">'Raw Data'!A1064</f>
        <v>40344</v>
      </c>
      <c r="C1064" s="6" t="n">
        <f aca="false">'Raw Data'!D1064</f>
        <v>361.361552027582</v>
      </c>
      <c r="D1064" s="6" t="n">
        <f aca="false">'Raw Data'!E1064</f>
        <v>5.230555556</v>
      </c>
      <c r="E1064" s="6" t="n">
        <f aca="false">'Raw Data'!F1064</f>
        <v>1</v>
      </c>
      <c r="F1064" s="6" t="n">
        <f aca="false">'Raw Data'!G1064</f>
        <v>0</v>
      </c>
      <c r="G1064" s="6" t="n">
        <f aca="false">'Raw Data'!H1064</f>
        <v>1</v>
      </c>
      <c r="H1064" s="6" t="n">
        <f aca="false">'Raw Data'!I1064</f>
        <v>0</v>
      </c>
      <c r="I1064" s="6" t="n">
        <f aca="false">'Raw Data'!J1064</f>
        <v>1</v>
      </c>
      <c r="J1064" s="6" t="n">
        <f aca="false">'Raw Data'!K1064</f>
        <v>1</v>
      </c>
      <c r="K1064" s="6" t="n">
        <f aca="false">'Raw Data'!L1064</f>
        <v>2</v>
      </c>
      <c r="L1064" s="6" t="n">
        <f aca="false">F1064*E1064</f>
        <v>0</v>
      </c>
      <c r="N1064" s="0" t="n">
        <v>1</v>
      </c>
      <c r="O1064" s="6" t="n">
        <f aca="false">D1064</f>
        <v>5.230555556</v>
      </c>
      <c r="P1064" s="6" t="n">
        <f aca="false">E1064</f>
        <v>1</v>
      </c>
      <c r="Q1064" s="6" t="n">
        <f aca="false">F1064</f>
        <v>0</v>
      </c>
      <c r="R1064" s="6" t="n">
        <f aca="false">G1064</f>
        <v>1</v>
      </c>
      <c r="S1064" s="6" t="n">
        <f aca="false">H1064</f>
        <v>0</v>
      </c>
      <c r="T1064" s="6" t="n">
        <f aca="false">I1064</f>
        <v>1</v>
      </c>
      <c r="U1064" s="6" t="n">
        <f aca="false">L1064</f>
        <v>0</v>
      </c>
      <c r="W1064" s="6" t="n">
        <f aca="false">D1064</f>
        <v>5.230555556</v>
      </c>
      <c r="X1064" s="6" t="n">
        <f aca="false">E1064</f>
        <v>1</v>
      </c>
      <c r="Y1064" s="6" t="n">
        <f aca="false">F1064</f>
        <v>0</v>
      </c>
      <c r="Z1064" s="6" t="n">
        <f aca="false">L1064</f>
        <v>0</v>
      </c>
      <c r="AA1064" s="6" t="n">
        <f aca="false">G1064</f>
        <v>1</v>
      </c>
      <c r="AC1064" s="6" t="n">
        <f aca="false">D1064</f>
        <v>5.230555556</v>
      </c>
      <c r="AD1064" s="6" t="n">
        <f aca="false">E1064</f>
        <v>1</v>
      </c>
      <c r="AE1064" s="6" t="n">
        <f aca="false">G1064</f>
        <v>1</v>
      </c>
      <c r="AF1064" s="6" t="n">
        <f aca="false">H1064</f>
        <v>0</v>
      </c>
      <c r="AG1064" s="6" t="n">
        <f aca="false">I1064</f>
        <v>1</v>
      </c>
      <c r="AH1064" s="6" t="n">
        <f aca="false">L1064</f>
        <v>0</v>
      </c>
    </row>
    <row r="1065" customFormat="false" ht="15" hidden="false" customHeight="false" outlineLevel="0" collapsed="false">
      <c r="A1065" s="0" t="str">
        <f aca="false">'Raw Data'!C1065</f>
        <v>Pearl</v>
      </c>
      <c r="B1065" s="5" t="n">
        <f aca="false">'Raw Data'!A1065</f>
        <v>40351</v>
      </c>
      <c r="C1065" s="6" t="n">
        <f aca="false">'Raw Data'!D1065</f>
        <v>1041.20025637098</v>
      </c>
      <c r="D1065" s="6" t="n">
        <f aca="false">'Raw Data'!E1065</f>
        <v>4.083529412</v>
      </c>
      <c r="E1065" s="6" t="n">
        <f aca="false">'Raw Data'!F1065</f>
        <v>1</v>
      </c>
      <c r="F1065" s="6" t="n">
        <f aca="false">'Raw Data'!G1065</f>
        <v>1</v>
      </c>
      <c r="G1065" s="6" t="n">
        <f aca="false">'Raw Data'!H1065</f>
        <v>1</v>
      </c>
      <c r="H1065" s="6" t="n">
        <f aca="false">'Raw Data'!I1065</f>
        <v>1</v>
      </c>
      <c r="I1065" s="6" t="n">
        <f aca="false">'Raw Data'!J1065</f>
        <v>1</v>
      </c>
      <c r="J1065" s="6" t="n">
        <f aca="false">'Raw Data'!K1065</f>
        <v>1</v>
      </c>
      <c r="K1065" s="6" t="n">
        <f aca="false">'Raw Data'!L1065</f>
        <v>2</v>
      </c>
      <c r="L1065" s="6" t="n">
        <f aca="false">F1065*E1065</f>
        <v>1</v>
      </c>
      <c r="N1065" s="0" t="n">
        <v>1</v>
      </c>
      <c r="O1065" s="6" t="n">
        <f aca="false">D1065</f>
        <v>4.083529412</v>
      </c>
      <c r="P1065" s="6" t="n">
        <f aca="false">E1065</f>
        <v>1</v>
      </c>
      <c r="Q1065" s="6" t="n">
        <f aca="false">F1065</f>
        <v>1</v>
      </c>
      <c r="R1065" s="6" t="n">
        <f aca="false">G1065</f>
        <v>1</v>
      </c>
      <c r="S1065" s="6" t="n">
        <f aca="false">H1065</f>
        <v>1</v>
      </c>
      <c r="T1065" s="6" t="n">
        <f aca="false">I1065</f>
        <v>1</v>
      </c>
      <c r="U1065" s="6" t="n">
        <f aca="false">L1065</f>
        <v>1</v>
      </c>
      <c r="W1065" s="6" t="n">
        <f aca="false">D1065</f>
        <v>4.083529412</v>
      </c>
      <c r="X1065" s="6" t="n">
        <f aca="false">E1065</f>
        <v>1</v>
      </c>
      <c r="Y1065" s="6" t="n">
        <f aca="false">F1065</f>
        <v>1</v>
      </c>
      <c r="Z1065" s="6" t="n">
        <f aca="false">L1065</f>
        <v>1</v>
      </c>
      <c r="AA1065" s="6" t="n">
        <f aca="false">G1065</f>
        <v>1</v>
      </c>
      <c r="AC1065" s="6" t="n">
        <f aca="false">D1065</f>
        <v>4.083529412</v>
      </c>
      <c r="AD1065" s="6" t="n">
        <f aca="false">E1065</f>
        <v>1</v>
      </c>
      <c r="AE1065" s="6" t="n">
        <f aca="false">G1065</f>
        <v>1</v>
      </c>
      <c r="AF1065" s="6" t="n">
        <f aca="false">H1065</f>
        <v>1</v>
      </c>
      <c r="AG1065" s="6" t="n">
        <f aca="false">I1065</f>
        <v>1</v>
      </c>
      <c r="AH1065" s="6" t="n">
        <f aca="false">L1065</f>
        <v>1</v>
      </c>
    </row>
    <row r="1066" customFormat="false" ht="15" hidden="false" customHeight="false" outlineLevel="0" collapsed="false">
      <c r="A1066" s="0" t="str">
        <f aca="false">'Raw Data'!C1066</f>
        <v>Pearl</v>
      </c>
      <c r="B1066" s="5" t="n">
        <f aca="false">'Raw Data'!A1066</f>
        <v>40358</v>
      </c>
      <c r="C1066" s="6" t="n">
        <f aca="false">'Raw Data'!D1066</f>
        <v>753.387987248907</v>
      </c>
      <c r="D1066" s="6" t="n">
        <f aca="false">'Raw Data'!E1066</f>
        <v>4.083529412</v>
      </c>
      <c r="E1066" s="6" t="n">
        <f aca="false">'Raw Data'!F1066</f>
        <v>1</v>
      </c>
      <c r="F1066" s="6" t="n">
        <f aca="false">'Raw Data'!G1066</f>
        <v>1</v>
      </c>
      <c r="G1066" s="6" t="n">
        <f aca="false">'Raw Data'!H1066</f>
        <v>0</v>
      </c>
      <c r="H1066" s="6" t="n">
        <f aca="false">'Raw Data'!I1066</f>
        <v>1</v>
      </c>
      <c r="I1066" s="6" t="n">
        <f aca="false">'Raw Data'!J1066</f>
        <v>0</v>
      </c>
      <c r="J1066" s="6" t="n">
        <f aca="false">'Raw Data'!K1066</f>
        <v>1</v>
      </c>
      <c r="K1066" s="6" t="n">
        <f aca="false">'Raw Data'!L1066</f>
        <v>2</v>
      </c>
      <c r="L1066" s="6" t="n">
        <f aca="false">F1066*E1066</f>
        <v>1</v>
      </c>
      <c r="N1066" s="0" t="n">
        <v>1</v>
      </c>
      <c r="O1066" s="6" t="n">
        <f aca="false">D1066</f>
        <v>4.083529412</v>
      </c>
      <c r="P1066" s="6" t="n">
        <f aca="false">E1066</f>
        <v>1</v>
      </c>
      <c r="Q1066" s="6" t="n">
        <f aca="false">F1066</f>
        <v>1</v>
      </c>
      <c r="R1066" s="6" t="n">
        <f aca="false">G1066</f>
        <v>0</v>
      </c>
      <c r="S1066" s="6" t="n">
        <f aca="false">H1066</f>
        <v>1</v>
      </c>
      <c r="T1066" s="6" t="n">
        <f aca="false">I1066</f>
        <v>0</v>
      </c>
      <c r="U1066" s="6" t="n">
        <f aca="false">L1066</f>
        <v>1</v>
      </c>
      <c r="W1066" s="6" t="n">
        <f aca="false">D1066</f>
        <v>4.083529412</v>
      </c>
      <c r="X1066" s="6" t="n">
        <f aca="false">E1066</f>
        <v>1</v>
      </c>
      <c r="Y1066" s="6" t="n">
        <f aca="false">F1066</f>
        <v>1</v>
      </c>
      <c r="Z1066" s="6" t="n">
        <f aca="false">L1066</f>
        <v>1</v>
      </c>
      <c r="AA1066" s="6" t="n">
        <f aca="false">G1066</f>
        <v>0</v>
      </c>
      <c r="AC1066" s="6" t="n">
        <f aca="false">D1066</f>
        <v>4.083529412</v>
      </c>
      <c r="AD1066" s="6" t="n">
        <f aca="false">E1066</f>
        <v>1</v>
      </c>
      <c r="AE1066" s="6" t="n">
        <f aca="false">G1066</f>
        <v>0</v>
      </c>
      <c r="AF1066" s="6" t="n">
        <f aca="false">H1066</f>
        <v>1</v>
      </c>
      <c r="AG1066" s="6" t="n">
        <f aca="false">I1066</f>
        <v>0</v>
      </c>
      <c r="AH1066" s="6" t="n">
        <f aca="false">L1066</f>
        <v>1</v>
      </c>
    </row>
    <row r="1067" customFormat="false" ht="15" hidden="false" customHeight="false" outlineLevel="0" collapsed="false">
      <c r="A1067" s="0" t="str">
        <f aca="false">'Raw Data'!C1067</f>
        <v>Pearl</v>
      </c>
      <c r="B1067" s="5" t="n">
        <f aca="false">'Raw Data'!A1067</f>
        <v>40365</v>
      </c>
      <c r="C1067" s="6" t="n">
        <f aca="false">'Raw Data'!D1067</f>
        <v>192.077597710293</v>
      </c>
      <c r="D1067" s="6" t="n">
        <f aca="false">'Raw Data'!E1067</f>
        <v>4.747058824</v>
      </c>
      <c r="E1067" s="6" t="n">
        <f aca="false">'Raw Data'!F1067</f>
        <v>1</v>
      </c>
      <c r="F1067" s="6" t="n">
        <f aca="false">'Raw Data'!G1067</f>
        <v>0</v>
      </c>
      <c r="G1067" s="6" t="n">
        <f aca="false">'Raw Data'!H1067</f>
        <v>0</v>
      </c>
      <c r="H1067" s="6" t="n">
        <f aca="false">'Raw Data'!I1067</f>
        <v>1</v>
      </c>
      <c r="I1067" s="6" t="n">
        <f aca="false">'Raw Data'!J1067</f>
        <v>0</v>
      </c>
      <c r="J1067" s="6" t="n">
        <f aca="false">'Raw Data'!K1067</f>
        <v>1</v>
      </c>
      <c r="K1067" s="6" t="n">
        <f aca="false">'Raw Data'!L1067</f>
        <v>2</v>
      </c>
      <c r="L1067" s="6" t="n">
        <f aca="false">F1067*E1067</f>
        <v>0</v>
      </c>
      <c r="N1067" s="0" t="n">
        <v>1</v>
      </c>
      <c r="O1067" s="6" t="n">
        <f aca="false">D1067</f>
        <v>4.747058824</v>
      </c>
      <c r="P1067" s="6" t="n">
        <f aca="false">E1067</f>
        <v>1</v>
      </c>
      <c r="Q1067" s="6" t="n">
        <f aca="false">F1067</f>
        <v>0</v>
      </c>
      <c r="R1067" s="6" t="n">
        <f aca="false">G1067</f>
        <v>0</v>
      </c>
      <c r="S1067" s="6" t="n">
        <f aca="false">H1067</f>
        <v>1</v>
      </c>
      <c r="T1067" s="6" t="n">
        <f aca="false">I1067</f>
        <v>0</v>
      </c>
      <c r="U1067" s="6" t="n">
        <f aca="false">L1067</f>
        <v>0</v>
      </c>
      <c r="W1067" s="6" t="n">
        <f aca="false">D1067</f>
        <v>4.747058824</v>
      </c>
      <c r="X1067" s="6" t="n">
        <f aca="false">E1067</f>
        <v>1</v>
      </c>
      <c r="Y1067" s="6" t="n">
        <f aca="false">F1067</f>
        <v>0</v>
      </c>
      <c r="Z1067" s="6" t="n">
        <f aca="false">L1067</f>
        <v>0</v>
      </c>
      <c r="AA1067" s="6" t="n">
        <f aca="false">G1067</f>
        <v>0</v>
      </c>
      <c r="AC1067" s="6" t="n">
        <f aca="false">D1067</f>
        <v>4.747058824</v>
      </c>
      <c r="AD1067" s="6" t="n">
        <f aca="false">E1067</f>
        <v>1</v>
      </c>
      <c r="AE1067" s="6" t="n">
        <f aca="false">G1067</f>
        <v>0</v>
      </c>
      <c r="AF1067" s="6" t="n">
        <f aca="false">H1067</f>
        <v>1</v>
      </c>
      <c r="AG1067" s="6" t="n">
        <f aca="false">I1067</f>
        <v>0</v>
      </c>
      <c r="AH1067" s="6" t="n">
        <f aca="false">L1067</f>
        <v>0</v>
      </c>
    </row>
    <row r="1068" customFormat="false" ht="15" hidden="false" customHeight="false" outlineLevel="0" collapsed="false">
      <c r="A1068" s="0" t="str">
        <f aca="false">'Raw Data'!C1068</f>
        <v>Pearl</v>
      </c>
      <c r="B1068" s="5" t="n">
        <f aca="false">'Raw Data'!A1068</f>
        <v>40372</v>
      </c>
      <c r="C1068" s="6" t="n">
        <f aca="false">'Raw Data'!D1068</f>
        <v>390.6428764121</v>
      </c>
      <c r="D1068" s="6" t="n">
        <f aca="false">'Raw Data'!E1068</f>
        <v>4.148</v>
      </c>
      <c r="E1068" s="6" t="n">
        <f aca="false">'Raw Data'!F1068</f>
        <v>1</v>
      </c>
      <c r="F1068" s="6" t="n">
        <f aca="false">'Raw Data'!G1068</f>
        <v>0</v>
      </c>
      <c r="G1068" s="6" t="n">
        <f aca="false">'Raw Data'!H1068</f>
        <v>0</v>
      </c>
      <c r="H1068" s="6" t="n">
        <f aca="false">'Raw Data'!I1068</f>
        <v>1</v>
      </c>
      <c r="I1068" s="6" t="n">
        <f aca="false">'Raw Data'!J1068</f>
        <v>1</v>
      </c>
      <c r="J1068" s="6" t="n">
        <f aca="false">'Raw Data'!K1068</f>
        <v>1</v>
      </c>
      <c r="K1068" s="6" t="n">
        <f aca="false">'Raw Data'!L1068</f>
        <v>2</v>
      </c>
      <c r="L1068" s="6" t="n">
        <f aca="false">F1068*E1068</f>
        <v>0</v>
      </c>
      <c r="N1068" s="0" t="n">
        <v>1</v>
      </c>
      <c r="O1068" s="6" t="n">
        <f aca="false">D1068</f>
        <v>4.148</v>
      </c>
      <c r="P1068" s="6" t="n">
        <f aca="false">E1068</f>
        <v>1</v>
      </c>
      <c r="Q1068" s="6" t="n">
        <f aca="false">F1068</f>
        <v>0</v>
      </c>
      <c r="R1068" s="6" t="n">
        <f aca="false">G1068</f>
        <v>0</v>
      </c>
      <c r="S1068" s="6" t="n">
        <f aca="false">H1068</f>
        <v>1</v>
      </c>
      <c r="T1068" s="6" t="n">
        <f aca="false">I1068</f>
        <v>1</v>
      </c>
      <c r="U1068" s="6" t="n">
        <f aca="false">L1068</f>
        <v>0</v>
      </c>
      <c r="W1068" s="6" t="n">
        <f aca="false">D1068</f>
        <v>4.148</v>
      </c>
      <c r="X1068" s="6" t="n">
        <f aca="false">E1068</f>
        <v>1</v>
      </c>
      <c r="Y1068" s="6" t="n">
        <f aca="false">F1068</f>
        <v>0</v>
      </c>
      <c r="Z1068" s="6" t="n">
        <f aca="false">L1068</f>
        <v>0</v>
      </c>
      <c r="AA1068" s="6" t="n">
        <f aca="false">G1068</f>
        <v>0</v>
      </c>
      <c r="AC1068" s="6" t="n">
        <f aca="false">D1068</f>
        <v>4.148</v>
      </c>
      <c r="AD1068" s="6" t="n">
        <f aca="false">E1068</f>
        <v>1</v>
      </c>
      <c r="AE1068" s="6" t="n">
        <f aca="false">G1068</f>
        <v>0</v>
      </c>
      <c r="AF1068" s="6" t="n">
        <f aca="false">H1068</f>
        <v>1</v>
      </c>
      <c r="AG1068" s="6" t="n">
        <f aca="false">I1068</f>
        <v>1</v>
      </c>
      <c r="AH1068" s="6" t="n">
        <f aca="false">L1068</f>
        <v>0</v>
      </c>
    </row>
    <row r="1069" customFormat="false" ht="15" hidden="false" customHeight="false" outlineLevel="0" collapsed="false">
      <c r="A1069" s="0" t="str">
        <f aca="false">'Raw Data'!C1069</f>
        <v>Pike's Peak</v>
      </c>
      <c r="B1069" s="5" t="n">
        <f aca="false">'Raw Data'!A1069</f>
        <v>40302</v>
      </c>
      <c r="C1069" s="6" t="n">
        <f aca="false">'Raw Data'!D1069</f>
        <v>256.291549063372</v>
      </c>
      <c r="D1069" s="6" t="n">
        <f aca="false">'Raw Data'!E1069</f>
        <v>4.499090909</v>
      </c>
      <c r="E1069" s="6" t="n">
        <f aca="false">'Raw Data'!F1069</f>
        <v>1</v>
      </c>
      <c r="F1069" s="6" t="n">
        <f aca="false">'Raw Data'!G1069</f>
        <v>0</v>
      </c>
      <c r="G1069" s="6" t="n">
        <f aca="false">'Raw Data'!H1069</f>
        <v>0</v>
      </c>
      <c r="H1069" s="6" t="n">
        <f aca="false">'Raw Data'!I1069</f>
        <v>0</v>
      </c>
      <c r="I1069" s="6" t="n">
        <f aca="false">'Raw Data'!J1069</f>
        <v>0</v>
      </c>
      <c r="J1069" s="6" t="n">
        <f aca="false">'Raw Data'!K1069</f>
        <v>2</v>
      </c>
      <c r="K1069" s="6" t="n">
        <f aca="false">'Raw Data'!L1069</f>
        <v>4</v>
      </c>
      <c r="L1069" s="6" t="n">
        <f aca="false">F1069*E1069</f>
        <v>0</v>
      </c>
      <c r="N1069" s="0" t="n">
        <v>1</v>
      </c>
      <c r="O1069" s="6" t="n">
        <f aca="false">D1069</f>
        <v>4.499090909</v>
      </c>
      <c r="P1069" s="6" t="n">
        <f aca="false">E1069</f>
        <v>1</v>
      </c>
      <c r="Q1069" s="6" t="n">
        <f aca="false">F1069</f>
        <v>0</v>
      </c>
      <c r="R1069" s="6" t="n">
        <f aca="false">G1069</f>
        <v>0</v>
      </c>
      <c r="S1069" s="6" t="n">
        <f aca="false">H1069</f>
        <v>0</v>
      </c>
      <c r="T1069" s="6" t="n">
        <f aca="false">I1069</f>
        <v>0</v>
      </c>
      <c r="U1069" s="6" t="n">
        <f aca="false">L1069</f>
        <v>0</v>
      </c>
      <c r="W1069" s="6" t="n">
        <f aca="false">D1069</f>
        <v>4.499090909</v>
      </c>
      <c r="X1069" s="6" t="n">
        <f aca="false">E1069</f>
        <v>1</v>
      </c>
      <c r="Y1069" s="6" t="n">
        <f aca="false">F1069</f>
        <v>0</v>
      </c>
      <c r="Z1069" s="6" t="n">
        <f aca="false">L1069</f>
        <v>0</v>
      </c>
      <c r="AA1069" s="6" t="n">
        <f aca="false">G1069</f>
        <v>0</v>
      </c>
      <c r="AC1069" s="6" t="n">
        <f aca="false">D1069</f>
        <v>4.499090909</v>
      </c>
      <c r="AD1069" s="6" t="n">
        <f aca="false">E1069</f>
        <v>1</v>
      </c>
      <c r="AE1069" s="6" t="n">
        <f aca="false">G1069</f>
        <v>0</v>
      </c>
      <c r="AF1069" s="6" t="n">
        <f aca="false">H1069</f>
        <v>0</v>
      </c>
      <c r="AG1069" s="6" t="n">
        <f aca="false">I1069</f>
        <v>0</v>
      </c>
      <c r="AH1069" s="6" t="n">
        <f aca="false">L1069</f>
        <v>0</v>
      </c>
    </row>
    <row r="1070" customFormat="false" ht="15" hidden="false" customHeight="false" outlineLevel="0" collapsed="false">
      <c r="A1070" s="0" t="str">
        <f aca="false">'Raw Data'!C1070</f>
        <v>Pike's Peak</v>
      </c>
      <c r="B1070" s="5" t="n">
        <f aca="false">'Raw Data'!A1070</f>
        <v>40309</v>
      </c>
      <c r="C1070" s="6" t="n">
        <f aca="false">'Raw Data'!D1070</f>
        <v>184.679316694638</v>
      </c>
      <c r="D1070" s="6" t="n">
        <f aca="false">'Raw Data'!E1070</f>
        <v>5.483333333</v>
      </c>
      <c r="E1070" s="6" t="n">
        <f aca="false">'Raw Data'!F1070</f>
        <v>1</v>
      </c>
      <c r="F1070" s="6" t="n">
        <f aca="false">'Raw Data'!G1070</f>
        <v>0</v>
      </c>
      <c r="G1070" s="6" t="n">
        <f aca="false">'Raw Data'!H1070</f>
        <v>0</v>
      </c>
      <c r="H1070" s="6" t="n">
        <f aca="false">'Raw Data'!I1070</f>
        <v>0</v>
      </c>
      <c r="I1070" s="6" t="n">
        <f aca="false">'Raw Data'!J1070</f>
        <v>0</v>
      </c>
      <c r="J1070" s="6" t="n">
        <f aca="false">'Raw Data'!K1070</f>
        <v>2</v>
      </c>
      <c r="K1070" s="6" t="n">
        <f aca="false">'Raw Data'!L1070</f>
        <v>4</v>
      </c>
      <c r="L1070" s="6" t="n">
        <f aca="false">F1070*E1070</f>
        <v>0</v>
      </c>
      <c r="N1070" s="0" t="n">
        <v>1</v>
      </c>
      <c r="O1070" s="6" t="n">
        <f aca="false">D1070</f>
        <v>5.483333333</v>
      </c>
      <c r="P1070" s="6" t="n">
        <f aca="false">E1070</f>
        <v>1</v>
      </c>
      <c r="Q1070" s="6" t="n">
        <f aca="false">F1070</f>
        <v>0</v>
      </c>
      <c r="R1070" s="6" t="n">
        <f aca="false">G1070</f>
        <v>0</v>
      </c>
      <c r="S1070" s="6" t="n">
        <f aca="false">H1070</f>
        <v>0</v>
      </c>
      <c r="T1070" s="6" t="n">
        <f aca="false">I1070</f>
        <v>0</v>
      </c>
      <c r="U1070" s="6" t="n">
        <f aca="false">L1070</f>
        <v>0</v>
      </c>
      <c r="W1070" s="6" t="n">
        <f aca="false">D1070</f>
        <v>5.483333333</v>
      </c>
      <c r="X1070" s="6" t="n">
        <f aca="false">E1070</f>
        <v>1</v>
      </c>
      <c r="Y1070" s="6" t="n">
        <f aca="false">F1070</f>
        <v>0</v>
      </c>
      <c r="Z1070" s="6" t="n">
        <f aca="false">L1070</f>
        <v>0</v>
      </c>
      <c r="AA1070" s="6" t="n">
        <f aca="false">G1070</f>
        <v>0</v>
      </c>
      <c r="AC1070" s="6" t="n">
        <f aca="false">D1070</f>
        <v>5.483333333</v>
      </c>
      <c r="AD1070" s="6" t="n">
        <f aca="false">E1070</f>
        <v>1</v>
      </c>
      <c r="AE1070" s="6" t="n">
        <f aca="false">G1070</f>
        <v>0</v>
      </c>
      <c r="AF1070" s="6" t="n">
        <f aca="false">H1070</f>
        <v>0</v>
      </c>
      <c r="AG1070" s="6" t="n">
        <f aca="false">I1070</f>
        <v>0</v>
      </c>
      <c r="AH1070" s="6" t="n">
        <f aca="false">L1070</f>
        <v>0</v>
      </c>
    </row>
    <row r="1071" customFormat="false" ht="15" hidden="false" customHeight="false" outlineLevel="0" collapsed="false">
      <c r="A1071" s="0" t="str">
        <f aca="false">'Raw Data'!C1071</f>
        <v>Pike's Peak</v>
      </c>
      <c r="B1071" s="5" t="n">
        <f aca="false">'Raw Data'!A1071</f>
        <v>40316</v>
      </c>
      <c r="C1071" s="6" t="n">
        <f aca="false">'Raw Data'!D1071</f>
        <v>259.952867571588</v>
      </c>
      <c r="D1071" s="6" t="n">
        <f aca="false">'Raw Data'!E1071</f>
        <v>4.293846154</v>
      </c>
      <c r="E1071" s="6" t="n">
        <f aca="false">'Raw Data'!F1071</f>
        <v>1</v>
      </c>
      <c r="F1071" s="6" t="n">
        <f aca="false">'Raw Data'!G1071</f>
        <v>0</v>
      </c>
      <c r="G1071" s="6" t="n">
        <f aca="false">'Raw Data'!H1071</f>
        <v>0</v>
      </c>
      <c r="H1071" s="6" t="n">
        <f aca="false">'Raw Data'!I1071</f>
        <v>0</v>
      </c>
      <c r="I1071" s="6" t="n">
        <f aca="false">'Raw Data'!J1071</f>
        <v>0</v>
      </c>
      <c r="J1071" s="6" t="n">
        <f aca="false">'Raw Data'!K1071</f>
        <v>2</v>
      </c>
      <c r="K1071" s="6" t="n">
        <f aca="false">'Raw Data'!L1071</f>
        <v>4</v>
      </c>
      <c r="L1071" s="6" t="n">
        <f aca="false">F1071*E1071</f>
        <v>0</v>
      </c>
      <c r="N1071" s="0" t="n">
        <v>1</v>
      </c>
      <c r="O1071" s="6" t="n">
        <f aca="false">D1071</f>
        <v>4.293846154</v>
      </c>
      <c r="P1071" s="6" t="n">
        <f aca="false">E1071</f>
        <v>1</v>
      </c>
      <c r="Q1071" s="6" t="n">
        <f aca="false">F1071</f>
        <v>0</v>
      </c>
      <c r="R1071" s="6" t="n">
        <f aca="false">G1071</f>
        <v>0</v>
      </c>
      <c r="S1071" s="6" t="n">
        <f aca="false">H1071</f>
        <v>0</v>
      </c>
      <c r="T1071" s="6" t="n">
        <f aca="false">I1071</f>
        <v>0</v>
      </c>
      <c r="U1071" s="6" t="n">
        <f aca="false">L1071</f>
        <v>0</v>
      </c>
      <c r="W1071" s="6" t="n">
        <f aca="false">D1071</f>
        <v>4.293846154</v>
      </c>
      <c r="X1071" s="6" t="n">
        <f aca="false">E1071</f>
        <v>1</v>
      </c>
      <c r="Y1071" s="6" t="n">
        <f aca="false">F1071</f>
        <v>0</v>
      </c>
      <c r="Z1071" s="6" t="n">
        <f aca="false">L1071</f>
        <v>0</v>
      </c>
      <c r="AA1071" s="6" t="n">
        <f aca="false">G1071</f>
        <v>0</v>
      </c>
      <c r="AC1071" s="6" t="n">
        <f aca="false">D1071</f>
        <v>4.293846154</v>
      </c>
      <c r="AD1071" s="6" t="n">
        <f aca="false">E1071</f>
        <v>1</v>
      </c>
      <c r="AE1071" s="6" t="n">
        <f aca="false">G1071</f>
        <v>0</v>
      </c>
      <c r="AF1071" s="6" t="n">
        <f aca="false">H1071</f>
        <v>0</v>
      </c>
      <c r="AG1071" s="6" t="n">
        <f aca="false">I1071</f>
        <v>0</v>
      </c>
      <c r="AH1071" s="6" t="n">
        <f aca="false">L1071</f>
        <v>0</v>
      </c>
    </row>
    <row r="1072" customFormat="false" ht="15" hidden="false" customHeight="false" outlineLevel="0" collapsed="false">
      <c r="A1072" s="0" t="str">
        <f aca="false">'Raw Data'!C1072</f>
        <v>Pike's Peak</v>
      </c>
      <c r="B1072" s="5" t="n">
        <f aca="false">'Raw Data'!A1072</f>
        <v>40323</v>
      </c>
      <c r="C1072" s="6" t="n">
        <f aca="false">'Raw Data'!D1072</f>
        <v>325.841919080723</v>
      </c>
      <c r="D1072" s="6" t="n">
        <f aca="false">'Raw Data'!E1072</f>
        <v>4.058181818</v>
      </c>
      <c r="E1072" s="6" t="n">
        <f aca="false">'Raw Data'!F1072</f>
        <v>1</v>
      </c>
      <c r="F1072" s="6" t="n">
        <f aca="false">'Raw Data'!G1072</f>
        <v>0</v>
      </c>
      <c r="G1072" s="6" t="n">
        <f aca="false">'Raw Data'!H1072</f>
        <v>0</v>
      </c>
      <c r="H1072" s="6" t="n">
        <f aca="false">'Raw Data'!I1072</f>
        <v>0</v>
      </c>
      <c r="I1072" s="6" t="n">
        <f aca="false">'Raw Data'!J1072</f>
        <v>0</v>
      </c>
      <c r="J1072" s="6" t="n">
        <f aca="false">'Raw Data'!K1072</f>
        <v>2</v>
      </c>
      <c r="K1072" s="6" t="n">
        <f aca="false">'Raw Data'!L1072</f>
        <v>4</v>
      </c>
      <c r="L1072" s="6" t="n">
        <f aca="false">F1072*E1072</f>
        <v>0</v>
      </c>
      <c r="N1072" s="0" t="n">
        <v>1</v>
      </c>
      <c r="O1072" s="6" t="n">
        <f aca="false">D1072</f>
        <v>4.058181818</v>
      </c>
      <c r="P1072" s="6" t="n">
        <f aca="false">E1072</f>
        <v>1</v>
      </c>
      <c r="Q1072" s="6" t="n">
        <f aca="false">F1072</f>
        <v>0</v>
      </c>
      <c r="R1072" s="6" t="n">
        <f aca="false">G1072</f>
        <v>0</v>
      </c>
      <c r="S1072" s="6" t="n">
        <f aca="false">H1072</f>
        <v>0</v>
      </c>
      <c r="T1072" s="6" t="n">
        <f aca="false">I1072</f>
        <v>0</v>
      </c>
      <c r="U1072" s="6" t="n">
        <f aca="false">L1072</f>
        <v>0</v>
      </c>
      <c r="W1072" s="6" t="n">
        <f aca="false">D1072</f>
        <v>4.058181818</v>
      </c>
      <c r="X1072" s="6" t="n">
        <f aca="false">E1072</f>
        <v>1</v>
      </c>
      <c r="Y1072" s="6" t="n">
        <f aca="false">F1072</f>
        <v>0</v>
      </c>
      <c r="Z1072" s="6" t="n">
        <f aca="false">L1072</f>
        <v>0</v>
      </c>
      <c r="AA1072" s="6" t="n">
        <f aca="false">G1072</f>
        <v>0</v>
      </c>
      <c r="AC1072" s="6" t="n">
        <f aca="false">D1072</f>
        <v>4.058181818</v>
      </c>
      <c r="AD1072" s="6" t="n">
        <f aca="false">E1072</f>
        <v>1</v>
      </c>
      <c r="AE1072" s="6" t="n">
        <f aca="false">G1072</f>
        <v>0</v>
      </c>
      <c r="AF1072" s="6" t="n">
        <f aca="false">H1072</f>
        <v>0</v>
      </c>
      <c r="AG1072" s="6" t="n">
        <f aca="false">I1072</f>
        <v>0</v>
      </c>
      <c r="AH1072" s="6" t="n">
        <f aca="false">L1072</f>
        <v>0</v>
      </c>
    </row>
    <row r="1073" customFormat="false" ht="15" hidden="false" customHeight="false" outlineLevel="0" collapsed="false">
      <c r="A1073" s="0" t="str">
        <f aca="false">'Raw Data'!C1073</f>
        <v>Pike's Peak</v>
      </c>
      <c r="B1073" s="5" t="n">
        <f aca="false">'Raw Data'!A1073</f>
        <v>40330</v>
      </c>
      <c r="C1073" s="6" t="n">
        <f aca="false">'Raw Data'!D1073</f>
        <v>291.772689416078</v>
      </c>
      <c r="D1073" s="6" t="n">
        <f aca="false">'Raw Data'!E1073</f>
        <v>4.025</v>
      </c>
      <c r="E1073" s="6" t="n">
        <f aca="false">'Raw Data'!F1073</f>
        <v>1</v>
      </c>
      <c r="F1073" s="6" t="n">
        <f aca="false">'Raw Data'!G1073</f>
        <v>0</v>
      </c>
      <c r="G1073" s="6" t="n">
        <f aca="false">'Raw Data'!H1073</f>
        <v>0</v>
      </c>
      <c r="H1073" s="6" t="n">
        <f aca="false">'Raw Data'!I1073</f>
        <v>0</v>
      </c>
      <c r="I1073" s="6" t="n">
        <f aca="false">'Raw Data'!J1073</f>
        <v>0</v>
      </c>
      <c r="J1073" s="6" t="n">
        <f aca="false">'Raw Data'!K1073</f>
        <v>2</v>
      </c>
      <c r="K1073" s="6" t="n">
        <f aca="false">'Raw Data'!L1073</f>
        <v>4</v>
      </c>
      <c r="L1073" s="6" t="n">
        <f aca="false">F1073*E1073</f>
        <v>0</v>
      </c>
      <c r="N1073" s="0" t="n">
        <v>1</v>
      </c>
      <c r="O1073" s="6" t="n">
        <f aca="false">D1073</f>
        <v>4.025</v>
      </c>
      <c r="P1073" s="6" t="n">
        <f aca="false">E1073</f>
        <v>1</v>
      </c>
      <c r="Q1073" s="6" t="n">
        <f aca="false">F1073</f>
        <v>0</v>
      </c>
      <c r="R1073" s="6" t="n">
        <f aca="false">G1073</f>
        <v>0</v>
      </c>
      <c r="S1073" s="6" t="n">
        <f aca="false">H1073</f>
        <v>0</v>
      </c>
      <c r="T1073" s="6" t="n">
        <f aca="false">I1073</f>
        <v>0</v>
      </c>
      <c r="U1073" s="6" t="n">
        <f aca="false">L1073</f>
        <v>0</v>
      </c>
      <c r="W1073" s="6" t="n">
        <f aca="false">D1073</f>
        <v>4.025</v>
      </c>
      <c r="X1073" s="6" t="n">
        <f aca="false">E1073</f>
        <v>1</v>
      </c>
      <c r="Y1073" s="6" t="n">
        <f aca="false">F1073</f>
        <v>0</v>
      </c>
      <c r="Z1073" s="6" t="n">
        <f aca="false">L1073</f>
        <v>0</v>
      </c>
      <c r="AA1073" s="6" t="n">
        <f aca="false">G1073</f>
        <v>0</v>
      </c>
      <c r="AC1073" s="6" t="n">
        <f aca="false">D1073</f>
        <v>4.025</v>
      </c>
      <c r="AD1073" s="6" t="n">
        <f aca="false">E1073</f>
        <v>1</v>
      </c>
      <c r="AE1073" s="6" t="n">
        <f aca="false">G1073</f>
        <v>0</v>
      </c>
      <c r="AF1073" s="6" t="n">
        <f aca="false">H1073</f>
        <v>0</v>
      </c>
      <c r="AG1073" s="6" t="n">
        <f aca="false">I1073</f>
        <v>0</v>
      </c>
      <c r="AH1073" s="6" t="n">
        <f aca="false">L1073</f>
        <v>0</v>
      </c>
    </row>
    <row r="1074" customFormat="false" ht="15" hidden="false" customHeight="false" outlineLevel="0" collapsed="false">
      <c r="A1074" s="0" t="str">
        <f aca="false">'Raw Data'!C1074</f>
        <v>Pike's Peak</v>
      </c>
      <c r="B1074" s="5" t="n">
        <f aca="false">'Raw Data'!A1074</f>
        <v>40337</v>
      </c>
      <c r="C1074" s="6" t="n">
        <f aca="false">'Raw Data'!D1074</f>
        <v>126.718944916272</v>
      </c>
      <c r="D1074" s="6" t="n">
        <f aca="false">'Raw Data'!E1074</f>
        <v>6.251538462</v>
      </c>
      <c r="E1074" s="6" t="n">
        <f aca="false">'Raw Data'!F1074</f>
        <v>1</v>
      </c>
      <c r="F1074" s="6" t="n">
        <f aca="false">'Raw Data'!G1074</f>
        <v>0</v>
      </c>
      <c r="G1074" s="6" t="n">
        <f aca="false">'Raw Data'!H1074</f>
        <v>0</v>
      </c>
      <c r="H1074" s="6" t="n">
        <f aca="false">'Raw Data'!I1074</f>
        <v>0</v>
      </c>
      <c r="I1074" s="6" t="n">
        <f aca="false">'Raw Data'!J1074</f>
        <v>0</v>
      </c>
      <c r="J1074" s="6" t="n">
        <f aca="false">'Raw Data'!K1074</f>
        <v>2</v>
      </c>
      <c r="K1074" s="6" t="n">
        <f aca="false">'Raw Data'!L1074</f>
        <v>4</v>
      </c>
      <c r="L1074" s="6" t="n">
        <f aca="false">F1074*E1074</f>
        <v>0</v>
      </c>
      <c r="N1074" s="0" t="n">
        <v>1</v>
      </c>
      <c r="O1074" s="6" t="n">
        <f aca="false">D1074</f>
        <v>6.251538462</v>
      </c>
      <c r="P1074" s="6" t="n">
        <f aca="false">E1074</f>
        <v>1</v>
      </c>
      <c r="Q1074" s="6" t="n">
        <f aca="false">F1074</f>
        <v>0</v>
      </c>
      <c r="R1074" s="6" t="n">
        <f aca="false">G1074</f>
        <v>0</v>
      </c>
      <c r="S1074" s="6" t="n">
        <f aca="false">H1074</f>
        <v>0</v>
      </c>
      <c r="T1074" s="6" t="n">
        <f aca="false">I1074</f>
        <v>0</v>
      </c>
      <c r="U1074" s="6" t="n">
        <f aca="false">L1074</f>
        <v>0</v>
      </c>
      <c r="W1074" s="6" t="n">
        <f aca="false">D1074</f>
        <v>6.251538462</v>
      </c>
      <c r="X1074" s="6" t="n">
        <f aca="false">E1074</f>
        <v>1</v>
      </c>
      <c r="Y1074" s="6" t="n">
        <f aca="false">F1074</f>
        <v>0</v>
      </c>
      <c r="Z1074" s="6" t="n">
        <f aca="false">L1074</f>
        <v>0</v>
      </c>
      <c r="AA1074" s="6" t="n">
        <f aca="false">G1074</f>
        <v>0</v>
      </c>
      <c r="AC1074" s="6" t="n">
        <f aca="false">D1074</f>
        <v>6.251538462</v>
      </c>
      <c r="AD1074" s="6" t="n">
        <f aca="false">E1074</f>
        <v>1</v>
      </c>
      <c r="AE1074" s="6" t="n">
        <f aca="false">G1074</f>
        <v>0</v>
      </c>
      <c r="AF1074" s="6" t="n">
        <f aca="false">H1074</f>
        <v>0</v>
      </c>
      <c r="AG1074" s="6" t="n">
        <f aca="false">I1074</f>
        <v>0</v>
      </c>
      <c r="AH1074" s="6" t="n">
        <f aca="false">L1074</f>
        <v>0</v>
      </c>
    </row>
    <row r="1075" customFormat="false" ht="15" hidden="false" customHeight="false" outlineLevel="0" collapsed="false">
      <c r="A1075" s="0" t="str">
        <f aca="false">'Raw Data'!C1075</f>
        <v>Pike's Peak</v>
      </c>
      <c r="B1075" s="5" t="n">
        <f aca="false">'Raw Data'!A1075</f>
        <v>40344</v>
      </c>
      <c r="C1075" s="6" t="n">
        <f aca="false">'Raw Data'!D1075</f>
        <v>206.701533510027</v>
      </c>
      <c r="D1075" s="6" t="n">
        <f aca="false">'Raw Data'!E1075</f>
        <v>5.671818182</v>
      </c>
      <c r="E1075" s="6" t="n">
        <f aca="false">'Raw Data'!F1075</f>
        <v>1</v>
      </c>
      <c r="F1075" s="6" t="n">
        <f aca="false">'Raw Data'!G1075</f>
        <v>0</v>
      </c>
      <c r="G1075" s="6" t="n">
        <f aca="false">'Raw Data'!H1075</f>
        <v>0</v>
      </c>
      <c r="H1075" s="6" t="n">
        <f aca="false">'Raw Data'!I1075</f>
        <v>0</v>
      </c>
      <c r="I1075" s="6" t="n">
        <f aca="false">'Raw Data'!J1075</f>
        <v>0</v>
      </c>
      <c r="J1075" s="6" t="n">
        <f aca="false">'Raw Data'!K1075</f>
        <v>2</v>
      </c>
      <c r="K1075" s="6" t="n">
        <f aca="false">'Raw Data'!L1075</f>
        <v>4</v>
      </c>
      <c r="L1075" s="6" t="n">
        <f aca="false">F1075*E1075</f>
        <v>0</v>
      </c>
      <c r="N1075" s="0" t="n">
        <v>1</v>
      </c>
      <c r="O1075" s="6" t="n">
        <f aca="false">D1075</f>
        <v>5.671818182</v>
      </c>
      <c r="P1075" s="6" t="n">
        <f aca="false">E1075</f>
        <v>1</v>
      </c>
      <c r="Q1075" s="6" t="n">
        <f aca="false">F1075</f>
        <v>0</v>
      </c>
      <c r="R1075" s="6" t="n">
        <f aca="false">G1075</f>
        <v>0</v>
      </c>
      <c r="S1075" s="6" t="n">
        <f aca="false">H1075</f>
        <v>0</v>
      </c>
      <c r="T1075" s="6" t="n">
        <f aca="false">I1075</f>
        <v>0</v>
      </c>
      <c r="U1075" s="6" t="n">
        <f aca="false">L1075</f>
        <v>0</v>
      </c>
      <c r="W1075" s="6" t="n">
        <f aca="false">D1075</f>
        <v>5.671818182</v>
      </c>
      <c r="X1075" s="6" t="n">
        <f aca="false">E1075</f>
        <v>1</v>
      </c>
      <c r="Y1075" s="6" t="n">
        <f aca="false">F1075</f>
        <v>0</v>
      </c>
      <c r="Z1075" s="6" t="n">
        <f aca="false">L1075</f>
        <v>0</v>
      </c>
      <c r="AA1075" s="6" t="n">
        <f aca="false">G1075</f>
        <v>0</v>
      </c>
      <c r="AC1075" s="6" t="n">
        <f aca="false">D1075</f>
        <v>5.671818182</v>
      </c>
      <c r="AD1075" s="6" t="n">
        <f aca="false">E1075</f>
        <v>1</v>
      </c>
      <c r="AE1075" s="6" t="n">
        <f aca="false">G1075</f>
        <v>0</v>
      </c>
      <c r="AF1075" s="6" t="n">
        <f aca="false">H1075</f>
        <v>0</v>
      </c>
      <c r="AG1075" s="6" t="n">
        <f aca="false">I1075</f>
        <v>0</v>
      </c>
      <c r="AH1075" s="6" t="n">
        <f aca="false">L1075</f>
        <v>0</v>
      </c>
    </row>
    <row r="1076" customFormat="false" ht="15" hidden="false" customHeight="false" outlineLevel="0" collapsed="false">
      <c r="A1076" s="0" t="str">
        <f aca="false">'Raw Data'!C1076</f>
        <v>Pike's Peak</v>
      </c>
      <c r="B1076" s="5" t="n">
        <f aca="false">'Raw Data'!A1076</f>
        <v>40351</v>
      </c>
      <c r="C1076" s="6" t="n">
        <f aca="false">'Raw Data'!D1076</f>
        <v>201.984892266653</v>
      </c>
      <c r="D1076" s="6" t="n">
        <f aca="false">'Raw Data'!E1076</f>
        <v>5.666923077</v>
      </c>
      <c r="E1076" s="6" t="n">
        <f aca="false">'Raw Data'!F1076</f>
        <v>1</v>
      </c>
      <c r="F1076" s="6" t="n">
        <f aca="false">'Raw Data'!G1076</f>
        <v>0</v>
      </c>
      <c r="G1076" s="6" t="n">
        <f aca="false">'Raw Data'!H1076</f>
        <v>0</v>
      </c>
      <c r="H1076" s="6" t="n">
        <f aca="false">'Raw Data'!I1076</f>
        <v>0</v>
      </c>
      <c r="I1076" s="6" t="n">
        <f aca="false">'Raw Data'!J1076</f>
        <v>0</v>
      </c>
      <c r="J1076" s="6" t="n">
        <f aca="false">'Raw Data'!K1076</f>
        <v>2</v>
      </c>
      <c r="K1076" s="6" t="n">
        <f aca="false">'Raw Data'!L1076</f>
        <v>4</v>
      </c>
      <c r="L1076" s="6" t="n">
        <f aca="false">F1076*E1076</f>
        <v>0</v>
      </c>
      <c r="N1076" s="0" t="n">
        <v>1</v>
      </c>
      <c r="O1076" s="6" t="n">
        <f aca="false">D1076</f>
        <v>5.666923077</v>
      </c>
      <c r="P1076" s="6" t="n">
        <f aca="false">E1076</f>
        <v>1</v>
      </c>
      <c r="Q1076" s="6" t="n">
        <f aca="false">F1076</f>
        <v>0</v>
      </c>
      <c r="R1076" s="6" t="n">
        <f aca="false">G1076</f>
        <v>0</v>
      </c>
      <c r="S1076" s="6" t="n">
        <f aca="false">H1076</f>
        <v>0</v>
      </c>
      <c r="T1076" s="6" t="n">
        <f aca="false">I1076</f>
        <v>0</v>
      </c>
      <c r="U1076" s="6" t="n">
        <f aca="false">L1076</f>
        <v>0</v>
      </c>
      <c r="W1076" s="6" t="n">
        <f aca="false">D1076</f>
        <v>5.666923077</v>
      </c>
      <c r="X1076" s="6" t="n">
        <f aca="false">E1076</f>
        <v>1</v>
      </c>
      <c r="Y1076" s="6" t="n">
        <f aca="false">F1076</f>
        <v>0</v>
      </c>
      <c r="Z1076" s="6" t="n">
        <f aca="false">L1076</f>
        <v>0</v>
      </c>
      <c r="AA1076" s="6" t="n">
        <f aca="false">G1076</f>
        <v>0</v>
      </c>
      <c r="AC1076" s="6" t="n">
        <f aca="false">D1076</f>
        <v>5.666923077</v>
      </c>
      <c r="AD1076" s="6" t="n">
        <f aca="false">E1076</f>
        <v>1</v>
      </c>
      <c r="AE1076" s="6" t="n">
        <f aca="false">G1076</f>
        <v>0</v>
      </c>
      <c r="AF1076" s="6" t="n">
        <f aca="false">H1076</f>
        <v>0</v>
      </c>
      <c r="AG1076" s="6" t="n">
        <f aca="false">I1076</f>
        <v>0</v>
      </c>
      <c r="AH1076" s="6" t="n">
        <f aca="false">L1076</f>
        <v>0</v>
      </c>
    </row>
    <row r="1077" customFormat="false" ht="15" hidden="false" customHeight="false" outlineLevel="0" collapsed="false">
      <c r="A1077" s="0" t="str">
        <f aca="false">'Raw Data'!C1077</f>
        <v>Pike's Peak</v>
      </c>
      <c r="B1077" s="5" t="n">
        <f aca="false">'Raw Data'!A1077</f>
        <v>40358</v>
      </c>
      <c r="C1077" s="6" t="n">
        <f aca="false">'Raw Data'!D1077</f>
        <v>303.197775699263</v>
      </c>
      <c r="D1077" s="6" t="n">
        <f aca="false">'Raw Data'!E1077</f>
        <v>3.851538462</v>
      </c>
      <c r="E1077" s="6" t="n">
        <f aca="false">'Raw Data'!F1077</f>
        <v>1</v>
      </c>
      <c r="F1077" s="6" t="n">
        <f aca="false">'Raw Data'!G1077</f>
        <v>0</v>
      </c>
      <c r="G1077" s="6" t="n">
        <f aca="false">'Raw Data'!H1077</f>
        <v>0</v>
      </c>
      <c r="H1077" s="6" t="n">
        <f aca="false">'Raw Data'!I1077</f>
        <v>0</v>
      </c>
      <c r="I1077" s="6" t="n">
        <f aca="false">'Raw Data'!J1077</f>
        <v>0</v>
      </c>
      <c r="J1077" s="6" t="n">
        <f aca="false">'Raw Data'!K1077</f>
        <v>2</v>
      </c>
      <c r="K1077" s="6" t="n">
        <f aca="false">'Raw Data'!L1077</f>
        <v>4</v>
      </c>
      <c r="L1077" s="6" t="n">
        <f aca="false">F1077*E1077</f>
        <v>0</v>
      </c>
      <c r="N1077" s="0" t="n">
        <v>1</v>
      </c>
      <c r="O1077" s="6" t="n">
        <f aca="false">D1077</f>
        <v>3.851538462</v>
      </c>
      <c r="P1077" s="6" t="n">
        <f aca="false">E1077</f>
        <v>1</v>
      </c>
      <c r="Q1077" s="6" t="n">
        <f aca="false">F1077</f>
        <v>0</v>
      </c>
      <c r="R1077" s="6" t="n">
        <f aca="false">G1077</f>
        <v>0</v>
      </c>
      <c r="S1077" s="6" t="n">
        <f aca="false">H1077</f>
        <v>0</v>
      </c>
      <c r="T1077" s="6" t="n">
        <f aca="false">I1077</f>
        <v>0</v>
      </c>
      <c r="U1077" s="6" t="n">
        <f aca="false">L1077</f>
        <v>0</v>
      </c>
      <c r="W1077" s="6" t="n">
        <f aca="false">D1077</f>
        <v>3.851538462</v>
      </c>
      <c r="X1077" s="6" t="n">
        <f aca="false">E1077</f>
        <v>1</v>
      </c>
      <c r="Y1077" s="6" t="n">
        <f aca="false">F1077</f>
        <v>0</v>
      </c>
      <c r="Z1077" s="6" t="n">
        <f aca="false">L1077</f>
        <v>0</v>
      </c>
      <c r="AA1077" s="6" t="n">
        <f aca="false">G1077</f>
        <v>0</v>
      </c>
      <c r="AC1077" s="6" t="n">
        <f aca="false">D1077</f>
        <v>3.851538462</v>
      </c>
      <c r="AD1077" s="6" t="n">
        <f aca="false">E1077</f>
        <v>1</v>
      </c>
      <c r="AE1077" s="6" t="n">
        <f aca="false">G1077</f>
        <v>0</v>
      </c>
      <c r="AF1077" s="6" t="n">
        <f aca="false">H1077</f>
        <v>0</v>
      </c>
      <c r="AG1077" s="6" t="n">
        <f aca="false">I1077</f>
        <v>0</v>
      </c>
      <c r="AH1077" s="6" t="n">
        <f aca="false">L1077</f>
        <v>0</v>
      </c>
    </row>
    <row r="1078" customFormat="false" ht="15" hidden="false" customHeight="false" outlineLevel="0" collapsed="false">
      <c r="A1078" s="0" t="str">
        <f aca="false">'Raw Data'!C1078</f>
        <v>Pike's Peak</v>
      </c>
      <c r="B1078" s="5" t="n">
        <f aca="false">'Raw Data'!A1078</f>
        <v>40365</v>
      </c>
      <c r="C1078" s="6" t="n">
        <f aca="false">'Raw Data'!D1078</f>
        <v>342.458028283521</v>
      </c>
      <c r="D1078" s="6" t="n">
        <f aca="false">'Raw Data'!E1078</f>
        <v>4.138125</v>
      </c>
      <c r="E1078" s="6" t="n">
        <f aca="false">'Raw Data'!F1078</f>
        <v>1</v>
      </c>
      <c r="F1078" s="6" t="n">
        <f aca="false">'Raw Data'!G1078</f>
        <v>0</v>
      </c>
      <c r="G1078" s="6" t="n">
        <f aca="false">'Raw Data'!H1078</f>
        <v>0</v>
      </c>
      <c r="H1078" s="6" t="n">
        <f aca="false">'Raw Data'!I1078</f>
        <v>0</v>
      </c>
      <c r="I1078" s="6" t="n">
        <f aca="false">'Raw Data'!J1078</f>
        <v>0</v>
      </c>
      <c r="J1078" s="6" t="n">
        <f aca="false">'Raw Data'!K1078</f>
        <v>2</v>
      </c>
      <c r="K1078" s="6" t="n">
        <f aca="false">'Raw Data'!L1078</f>
        <v>4</v>
      </c>
      <c r="L1078" s="6" t="n">
        <f aca="false">F1078*E1078</f>
        <v>0</v>
      </c>
      <c r="N1078" s="0" t="n">
        <v>1</v>
      </c>
      <c r="O1078" s="6" t="n">
        <f aca="false">D1078</f>
        <v>4.138125</v>
      </c>
      <c r="P1078" s="6" t="n">
        <f aca="false">E1078</f>
        <v>1</v>
      </c>
      <c r="Q1078" s="6" t="n">
        <f aca="false">F1078</f>
        <v>0</v>
      </c>
      <c r="R1078" s="6" t="n">
        <f aca="false">G1078</f>
        <v>0</v>
      </c>
      <c r="S1078" s="6" t="n">
        <f aca="false">H1078</f>
        <v>0</v>
      </c>
      <c r="T1078" s="6" t="n">
        <f aca="false">I1078</f>
        <v>0</v>
      </c>
      <c r="U1078" s="6" t="n">
        <f aca="false">L1078</f>
        <v>0</v>
      </c>
      <c r="W1078" s="6" t="n">
        <f aca="false">D1078</f>
        <v>4.138125</v>
      </c>
      <c r="X1078" s="6" t="n">
        <f aca="false">E1078</f>
        <v>1</v>
      </c>
      <c r="Y1078" s="6" t="n">
        <f aca="false">F1078</f>
        <v>0</v>
      </c>
      <c r="Z1078" s="6" t="n">
        <f aca="false">L1078</f>
        <v>0</v>
      </c>
      <c r="AA1078" s="6" t="n">
        <f aca="false">G1078</f>
        <v>0</v>
      </c>
      <c r="AC1078" s="6" t="n">
        <f aca="false">D1078</f>
        <v>4.138125</v>
      </c>
      <c r="AD1078" s="6" t="n">
        <f aca="false">E1078</f>
        <v>1</v>
      </c>
      <c r="AE1078" s="6" t="n">
        <f aca="false">G1078</f>
        <v>0</v>
      </c>
      <c r="AF1078" s="6" t="n">
        <f aca="false">H1078</f>
        <v>0</v>
      </c>
      <c r="AG1078" s="6" t="n">
        <f aca="false">I1078</f>
        <v>0</v>
      </c>
      <c r="AH1078" s="6" t="n">
        <f aca="false">L1078</f>
        <v>0</v>
      </c>
    </row>
    <row r="1079" customFormat="false" ht="15" hidden="false" customHeight="false" outlineLevel="0" collapsed="false">
      <c r="A1079" s="0" t="str">
        <f aca="false">'Raw Data'!C1079</f>
        <v>Pike's Peak</v>
      </c>
      <c r="B1079" s="5" t="n">
        <f aca="false">'Raw Data'!A1079</f>
        <v>40372</v>
      </c>
      <c r="C1079" s="6" t="n">
        <f aca="false">'Raw Data'!D1079</f>
        <v>189.924286643969</v>
      </c>
      <c r="D1079" s="6" t="n">
        <f aca="false">'Raw Data'!E1079</f>
        <v>4.138125</v>
      </c>
      <c r="E1079" s="6" t="n">
        <f aca="false">'Raw Data'!F1079</f>
        <v>1</v>
      </c>
      <c r="F1079" s="6" t="n">
        <f aca="false">'Raw Data'!G1079</f>
        <v>0</v>
      </c>
      <c r="G1079" s="6" t="n">
        <f aca="false">'Raw Data'!H1079</f>
        <v>0</v>
      </c>
      <c r="H1079" s="6" t="n">
        <f aca="false">'Raw Data'!I1079</f>
        <v>0</v>
      </c>
      <c r="I1079" s="6" t="n">
        <f aca="false">'Raw Data'!J1079</f>
        <v>0</v>
      </c>
      <c r="J1079" s="6" t="n">
        <f aca="false">'Raw Data'!K1079</f>
        <v>2</v>
      </c>
      <c r="K1079" s="6" t="n">
        <f aca="false">'Raw Data'!L1079</f>
        <v>4</v>
      </c>
      <c r="L1079" s="6" t="n">
        <f aca="false">F1079*E1079</f>
        <v>0</v>
      </c>
      <c r="N1079" s="0" t="n">
        <v>1</v>
      </c>
      <c r="O1079" s="6" t="n">
        <f aca="false">D1079</f>
        <v>4.138125</v>
      </c>
      <c r="P1079" s="6" t="n">
        <f aca="false">E1079</f>
        <v>1</v>
      </c>
      <c r="Q1079" s="6" t="n">
        <f aca="false">F1079</f>
        <v>0</v>
      </c>
      <c r="R1079" s="6" t="n">
        <f aca="false">G1079</f>
        <v>0</v>
      </c>
      <c r="S1079" s="6" t="n">
        <f aca="false">H1079</f>
        <v>0</v>
      </c>
      <c r="T1079" s="6" t="n">
        <f aca="false">I1079</f>
        <v>0</v>
      </c>
      <c r="U1079" s="6" t="n">
        <f aca="false">L1079</f>
        <v>0</v>
      </c>
      <c r="W1079" s="6" t="n">
        <f aca="false">D1079</f>
        <v>4.138125</v>
      </c>
      <c r="X1079" s="6" t="n">
        <f aca="false">E1079</f>
        <v>1</v>
      </c>
      <c r="Y1079" s="6" t="n">
        <f aca="false">F1079</f>
        <v>0</v>
      </c>
      <c r="Z1079" s="6" t="n">
        <f aca="false">L1079</f>
        <v>0</v>
      </c>
      <c r="AA1079" s="6" t="n">
        <f aca="false">G1079</f>
        <v>0</v>
      </c>
      <c r="AC1079" s="6" t="n">
        <f aca="false">D1079</f>
        <v>4.138125</v>
      </c>
      <c r="AD1079" s="6" t="n">
        <f aca="false">E1079</f>
        <v>1</v>
      </c>
      <c r="AE1079" s="6" t="n">
        <f aca="false">G1079</f>
        <v>0</v>
      </c>
      <c r="AF1079" s="6" t="n">
        <f aca="false">H1079</f>
        <v>0</v>
      </c>
      <c r="AG1079" s="6" t="n">
        <f aca="false">I1079</f>
        <v>0</v>
      </c>
      <c r="AH1079" s="6" t="n">
        <f aca="false">L1079</f>
        <v>0</v>
      </c>
    </row>
    <row r="1080" customFormat="false" ht="15" hidden="false" customHeight="false" outlineLevel="0" collapsed="false">
      <c r="A1080" s="0" t="str">
        <f aca="false">'Raw Data'!C1080</f>
        <v>Superior</v>
      </c>
      <c r="B1080" s="5" t="n">
        <f aca="false">'Raw Data'!A1080</f>
        <v>40302</v>
      </c>
      <c r="C1080" s="6" t="n">
        <f aca="false">'Raw Data'!D1080</f>
        <v>192.146936201998</v>
      </c>
      <c r="D1080" s="6" t="n">
        <f aca="false">'Raw Data'!E1080</f>
        <v>4.49</v>
      </c>
      <c r="E1080" s="6" t="n">
        <f aca="false">'Raw Data'!F1080</f>
        <v>1</v>
      </c>
      <c r="F1080" s="6" t="n">
        <f aca="false">'Raw Data'!G1080</f>
        <v>0</v>
      </c>
      <c r="G1080" s="6" t="n">
        <f aca="false">'Raw Data'!H1080</f>
        <v>0</v>
      </c>
      <c r="H1080" s="6" t="n">
        <f aca="false">'Raw Data'!I1080</f>
        <v>0</v>
      </c>
      <c r="I1080" s="6" t="n">
        <f aca="false">'Raw Data'!J1080</f>
        <v>0</v>
      </c>
      <c r="J1080" s="6" t="n">
        <f aca="false">'Raw Data'!K1080</f>
        <v>1</v>
      </c>
      <c r="K1080" s="6" t="n">
        <f aca="false">'Raw Data'!L1080</f>
        <v>4</v>
      </c>
      <c r="L1080" s="6" t="n">
        <f aca="false">F1080*E1080</f>
        <v>0</v>
      </c>
      <c r="N1080" s="0" t="n">
        <v>1</v>
      </c>
      <c r="O1080" s="6" t="n">
        <f aca="false">D1080</f>
        <v>4.49</v>
      </c>
      <c r="P1080" s="6" t="n">
        <f aca="false">E1080</f>
        <v>1</v>
      </c>
      <c r="Q1080" s="6" t="n">
        <f aca="false">F1080</f>
        <v>0</v>
      </c>
      <c r="R1080" s="6" t="n">
        <f aca="false">G1080</f>
        <v>0</v>
      </c>
      <c r="S1080" s="6" t="n">
        <f aca="false">H1080</f>
        <v>0</v>
      </c>
      <c r="T1080" s="6" t="n">
        <f aca="false">I1080</f>
        <v>0</v>
      </c>
      <c r="U1080" s="6" t="n">
        <f aca="false">L1080</f>
        <v>0</v>
      </c>
      <c r="W1080" s="6" t="n">
        <f aca="false">D1080</f>
        <v>4.49</v>
      </c>
      <c r="X1080" s="6" t="n">
        <f aca="false">E1080</f>
        <v>1</v>
      </c>
      <c r="Y1080" s="6" t="n">
        <f aca="false">F1080</f>
        <v>0</v>
      </c>
      <c r="Z1080" s="6" t="n">
        <f aca="false">L1080</f>
        <v>0</v>
      </c>
      <c r="AA1080" s="6" t="n">
        <f aca="false">G1080</f>
        <v>0</v>
      </c>
      <c r="AC1080" s="6" t="n">
        <f aca="false">D1080</f>
        <v>4.49</v>
      </c>
      <c r="AD1080" s="6" t="n">
        <f aca="false">E1080</f>
        <v>1</v>
      </c>
      <c r="AE1080" s="6" t="n">
        <f aca="false">G1080</f>
        <v>0</v>
      </c>
      <c r="AF1080" s="6" t="n">
        <f aca="false">H1080</f>
        <v>0</v>
      </c>
      <c r="AG1080" s="6" t="n">
        <f aca="false">I1080</f>
        <v>0</v>
      </c>
      <c r="AH1080" s="6" t="n">
        <f aca="false">L1080</f>
        <v>0</v>
      </c>
    </row>
    <row r="1081" customFormat="false" ht="15" hidden="false" customHeight="false" outlineLevel="0" collapsed="false">
      <c r="A1081" s="0" t="str">
        <f aca="false">'Raw Data'!C1081</f>
        <v>Superior</v>
      </c>
      <c r="B1081" s="5" t="n">
        <f aca="false">'Raw Data'!A1081</f>
        <v>40309</v>
      </c>
      <c r="C1081" s="6" t="n">
        <f aca="false">'Raw Data'!D1081</f>
        <v>166.443124243688</v>
      </c>
      <c r="D1081" s="6" t="n">
        <f aca="false">'Raw Data'!E1081</f>
        <v>4.49</v>
      </c>
      <c r="E1081" s="6" t="n">
        <f aca="false">'Raw Data'!F1081</f>
        <v>1</v>
      </c>
      <c r="F1081" s="6" t="n">
        <f aca="false">'Raw Data'!G1081</f>
        <v>0</v>
      </c>
      <c r="G1081" s="6" t="n">
        <f aca="false">'Raw Data'!H1081</f>
        <v>0</v>
      </c>
      <c r="H1081" s="6" t="n">
        <f aca="false">'Raw Data'!I1081</f>
        <v>0</v>
      </c>
      <c r="I1081" s="6" t="n">
        <f aca="false">'Raw Data'!J1081</f>
        <v>0</v>
      </c>
      <c r="J1081" s="6" t="n">
        <f aca="false">'Raw Data'!K1081</f>
        <v>1</v>
      </c>
      <c r="K1081" s="6" t="n">
        <f aca="false">'Raw Data'!L1081</f>
        <v>4</v>
      </c>
      <c r="L1081" s="6" t="n">
        <f aca="false">F1081*E1081</f>
        <v>0</v>
      </c>
      <c r="N1081" s="0" t="n">
        <v>1</v>
      </c>
      <c r="O1081" s="6" t="n">
        <f aca="false">D1081</f>
        <v>4.49</v>
      </c>
      <c r="P1081" s="6" t="n">
        <f aca="false">E1081</f>
        <v>1</v>
      </c>
      <c r="Q1081" s="6" t="n">
        <f aca="false">F1081</f>
        <v>0</v>
      </c>
      <c r="R1081" s="6" t="n">
        <f aca="false">G1081</f>
        <v>0</v>
      </c>
      <c r="S1081" s="6" t="n">
        <f aca="false">H1081</f>
        <v>0</v>
      </c>
      <c r="T1081" s="6" t="n">
        <f aca="false">I1081</f>
        <v>0</v>
      </c>
      <c r="U1081" s="6" t="n">
        <f aca="false">L1081</f>
        <v>0</v>
      </c>
      <c r="W1081" s="6" t="n">
        <f aca="false">D1081</f>
        <v>4.49</v>
      </c>
      <c r="X1081" s="6" t="n">
        <f aca="false">E1081</f>
        <v>1</v>
      </c>
      <c r="Y1081" s="6" t="n">
        <f aca="false">F1081</f>
        <v>0</v>
      </c>
      <c r="Z1081" s="6" t="n">
        <f aca="false">L1081</f>
        <v>0</v>
      </c>
      <c r="AA1081" s="6" t="n">
        <f aca="false">G1081</f>
        <v>0</v>
      </c>
      <c r="AC1081" s="6" t="n">
        <f aca="false">D1081</f>
        <v>4.49</v>
      </c>
      <c r="AD1081" s="6" t="n">
        <f aca="false">E1081</f>
        <v>1</v>
      </c>
      <c r="AE1081" s="6" t="n">
        <f aca="false">G1081</f>
        <v>0</v>
      </c>
      <c r="AF1081" s="6" t="n">
        <f aca="false">H1081</f>
        <v>0</v>
      </c>
      <c r="AG1081" s="6" t="n">
        <f aca="false">I1081</f>
        <v>0</v>
      </c>
      <c r="AH1081" s="6" t="n">
        <f aca="false">L1081</f>
        <v>0</v>
      </c>
    </row>
    <row r="1082" customFormat="false" ht="15" hidden="false" customHeight="false" outlineLevel="0" collapsed="false">
      <c r="A1082" s="0" t="str">
        <f aca="false">'Raw Data'!C1082</f>
        <v>Superior</v>
      </c>
      <c r="B1082" s="5" t="n">
        <f aca="false">'Raw Data'!A1082</f>
        <v>40316</v>
      </c>
      <c r="C1082" s="6" t="n">
        <f aca="false">'Raw Data'!D1082</f>
        <v>235.781911171713</v>
      </c>
      <c r="D1082" s="6" t="n">
        <f aca="false">'Raw Data'!E1082</f>
        <v>4.163076923</v>
      </c>
      <c r="E1082" s="6" t="n">
        <f aca="false">'Raw Data'!F1082</f>
        <v>1</v>
      </c>
      <c r="F1082" s="6" t="n">
        <f aca="false">'Raw Data'!G1082</f>
        <v>0</v>
      </c>
      <c r="G1082" s="6" t="n">
        <f aca="false">'Raw Data'!H1082</f>
        <v>0</v>
      </c>
      <c r="H1082" s="6" t="n">
        <f aca="false">'Raw Data'!I1082</f>
        <v>0</v>
      </c>
      <c r="I1082" s="6" t="n">
        <f aca="false">'Raw Data'!J1082</f>
        <v>0</v>
      </c>
      <c r="J1082" s="6" t="n">
        <f aca="false">'Raw Data'!K1082</f>
        <v>1</v>
      </c>
      <c r="K1082" s="6" t="n">
        <f aca="false">'Raw Data'!L1082</f>
        <v>4</v>
      </c>
      <c r="L1082" s="6" t="n">
        <f aca="false">F1082*E1082</f>
        <v>0</v>
      </c>
      <c r="N1082" s="0" t="n">
        <v>1</v>
      </c>
      <c r="O1082" s="6" t="n">
        <f aca="false">D1082</f>
        <v>4.163076923</v>
      </c>
      <c r="P1082" s="6" t="n">
        <f aca="false">E1082</f>
        <v>1</v>
      </c>
      <c r="Q1082" s="6" t="n">
        <f aca="false">F1082</f>
        <v>0</v>
      </c>
      <c r="R1082" s="6" t="n">
        <f aca="false">G1082</f>
        <v>0</v>
      </c>
      <c r="S1082" s="6" t="n">
        <f aca="false">H1082</f>
        <v>0</v>
      </c>
      <c r="T1082" s="6" t="n">
        <f aca="false">I1082</f>
        <v>0</v>
      </c>
      <c r="U1082" s="6" t="n">
        <f aca="false">L1082</f>
        <v>0</v>
      </c>
      <c r="W1082" s="6" t="n">
        <f aca="false">D1082</f>
        <v>4.163076923</v>
      </c>
      <c r="X1082" s="6" t="n">
        <f aca="false">E1082</f>
        <v>1</v>
      </c>
      <c r="Y1082" s="6" t="n">
        <f aca="false">F1082</f>
        <v>0</v>
      </c>
      <c r="Z1082" s="6" t="n">
        <f aca="false">L1082</f>
        <v>0</v>
      </c>
      <c r="AA1082" s="6" t="n">
        <f aca="false">G1082</f>
        <v>0</v>
      </c>
      <c r="AC1082" s="6" t="n">
        <f aca="false">D1082</f>
        <v>4.163076923</v>
      </c>
      <c r="AD1082" s="6" t="n">
        <f aca="false">E1082</f>
        <v>1</v>
      </c>
      <c r="AE1082" s="6" t="n">
        <f aca="false">G1082</f>
        <v>0</v>
      </c>
      <c r="AF1082" s="6" t="n">
        <f aca="false">H1082</f>
        <v>0</v>
      </c>
      <c r="AG1082" s="6" t="n">
        <f aca="false">I1082</f>
        <v>0</v>
      </c>
      <c r="AH1082" s="6" t="n">
        <f aca="false">L1082</f>
        <v>0</v>
      </c>
    </row>
    <row r="1083" customFormat="false" ht="15" hidden="false" customHeight="false" outlineLevel="0" collapsed="false">
      <c r="A1083" s="0" t="str">
        <f aca="false">'Raw Data'!C1083</f>
        <v>Superior</v>
      </c>
      <c r="B1083" s="5" t="n">
        <f aca="false">'Raw Data'!A1083</f>
        <v>40323</v>
      </c>
      <c r="C1083" s="6" t="n">
        <f aca="false">'Raw Data'!D1083</f>
        <v>284.675014591995</v>
      </c>
      <c r="D1083" s="6" t="n">
        <f aca="false">'Raw Data'!E1083</f>
        <v>4.057857143</v>
      </c>
      <c r="E1083" s="6" t="n">
        <f aca="false">'Raw Data'!F1083</f>
        <v>1</v>
      </c>
      <c r="F1083" s="6" t="n">
        <f aca="false">'Raw Data'!G1083</f>
        <v>0</v>
      </c>
      <c r="G1083" s="6" t="n">
        <f aca="false">'Raw Data'!H1083</f>
        <v>0</v>
      </c>
      <c r="H1083" s="6" t="n">
        <f aca="false">'Raw Data'!I1083</f>
        <v>0</v>
      </c>
      <c r="I1083" s="6" t="n">
        <f aca="false">'Raw Data'!J1083</f>
        <v>0</v>
      </c>
      <c r="J1083" s="6" t="n">
        <f aca="false">'Raw Data'!K1083</f>
        <v>1</v>
      </c>
      <c r="K1083" s="6" t="n">
        <f aca="false">'Raw Data'!L1083</f>
        <v>4</v>
      </c>
      <c r="L1083" s="6" t="n">
        <f aca="false">F1083*E1083</f>
        <v>0</v>
      </c>
      <c r="N1083" s="0" t="n">
        <v>1</v>
      </c>
      <c r="O1083" s="6" t="n">
        <f aca="false">D1083</f>
        <v>4.057857143</v>
      </c>
      <c r="P1083" s="6" t="n">
        <f aca="false">E1083</f>
        <v>1</v>
      </c>
      <c r="Q1083" s="6" t="n">
        <f aca="false">F1083</f>
        <v>0</v>
      </c>
      <c r="R1083" s="6" t="n">
        <f aca="false">G1083</f>
        <v>0</v>
      </c>
      <c r="S1083" s="6" t="n">
        <f aca="false">H1083</f>
        <v>0</v>
      </c>
      <c r="T1083" s="6" t="n">
        <f aca="false">I1083</f>
        <v>0</v>
      </c>
      <c r="U1083" s="6" t="n">
        <f aca="false">L1083</f>
        <v>0</v>
      </c>
      <c r="W1083" s="6" t="n">
        <f aca="false">D1083</f>
        <v>4.057857143</v>
      </c>
      <c r="X1083" s="6" t="n">
        <f aca="false">E1083</f>
        <v>1</v>
      </c>
      <c r="Y1083" s="6" t="n">
        <f aca="false">F1083</f>
        <v>0</v>
      </c>
      <c r="Z1083" s="6" t="n">
        <f aca="false">L1083</f>
        <v>0</v>
      </c>
      <c r="AA1083" s="6" t="n">
        <f aca="false">G1083</f>
        <v>0</v>
      </c>
      <c r="AC1083" s="6" t="n">
        <f aca="false">D1083</f>
        <v>4.057857143</v>
      </c>
      <c r="AD1083" s="6" t="n">
        <f aca="false">E1083</f>
        <v>1</v>
      </c>
      <c r="AE1083" s="6" t="n">
        <f aca="false">G1083</f>
        <v>0</v>
      </c>
      <c r="AF1083" s="6" t="n">
        <f aca="false">H1083</f>
        <v>0</v>
      </c>
      <c r="AG1083" s="6" t="n">
        <f aca="false">I1083</f>
        <v>0</v>
      </c>
      <c r="AH1083" s="6" t="n">
        <f aca="false">L1083</f>
        <v>0</v>
      </c>
    </row>
    <row r="1084" customFormat="false" ht="15" hidden="false" customHeight="false" outlineLevel="0" collapsed="false">
      <c r="A1084" s="0" t="str">
        <f aca="false">'Raw Data'!C1084</f>
        <v>Superior</v>
      </c>
      <c r="B1084" s="5" t="n">
        <f aca="false">'Raw Data'!A1084</f>
        <v>40330</v>
      </c>
      <c r="C1084" s="6" t="n">
        <f aca="false">'Raw Data'!D1084</f>
        <v>214.075048683022</v>
      </c>
      <c r="D1084" s="6" t="n">
        <f aca="false">'Raw Data'!E1084</f>
        <v>3.966666667</v>
      </c>
      <c r="E1084" s="6" t="n">
        <f aca="false">'Raw Data'!F1084</f>
        <v>1</v>
      </c>
      <c r="F1084" s="6" t="n">
        <f aca="false">'Raw Data'!G1084</f>
        <v>0</v>
      </c>
      <c r="G1084" s="6" t="n">
        <f aca="false">'Raw Data'!H1084</f>
        <v>0</v>
      </c>
      <c r="H1084" s="6" t="n">
        <f aca="false">'Raw Data'!I1084</f>
        <v>0</v>
      </c>
      <c r="I1084" s="6" t="n">
        <f aca="false">'Raw Data'!J1084</f>
        <v>0</v>
      </c>
      <c r="J1084" s="6" t="n">
        <f aca="false">'Raw Data'!K1084</f>
        <v>1</v>
      </c>
      <c r="K1084" s="6" t="n">
        <f aca="false">'Raw Data'!L1084</f>
        <v>4</v>
      </c>
      <c r="L1084" s="6" t="n">
        <f aca="false">F1084*E1084</f>
        <v>0</v>
      </c>
      <c r="N1084" s="0" t="n">
        <v>1</v>
      </c>
      <c r="O1084" s="6" t="n">
        <f aca="false">D1084</f>
        <v>3.966666667</v>
      </c>
      <c r="P1084" s="6" t="n">
        <f aca="false">E1084</f>
        <v>1</v>
      </c>
      <c r="Q1084" s="6" t="n">
        <f aca="false">F1084</f>
        <v>0</v>
      </c>
      <c r="R1084" s="6" t="n">
        <f aca="false">G1084</f>
        <v>0</v>
      </c>
      <c r="S1084" s="6" t="n">
        <f aca="false">H1084</f>
        <v>0</v>
      </c>
      <c r="T1084" s="6" t="n">
        <f aca="false">I1084</f>
        <v>0</v>
      </c>
      <c r="U1084" s="6" t="n">
        <f aca="false">L1084</f>
        <v>0</v>
      </c>
      <c r="W1084" s="6" t="n">
        <f aca="false">D1084</f>
        <v>3.966666667</v>
      </c>
      <c r="X1084" s="6" t="n">
        <f aca="false">E1084</f>
        <v>1</v>
      </c>
      <c r="Y1084" s="6" t="n">
        <f aca="false">F1084</f>
        <v>0</v>
      </c>
      <c r="Z1084" s="6" t="n">
        <f aca="false">L1084</f>
        <v>0</v>
      </c>
      <c r="AA1084" s="6" t="n">
        <f aca="false">G1084</f>
        <v>0</v>
      </c>
      <c r="AC1084" s="6" t="n">
        <f aca="false">D1084</f>
        <v>3.966666667</v>
      </c>
      <c r="AD1084" s="6" t="n">
        <f aca="false">E1084</f>
        <v>1</v>
      </c>
      <c r="AE1084" s="6" t="n">
        <f aca="false">G1084</f>
        <v>0</v>
      </c>
      <c r="AF1084" s="6" t="n">
        <f aca="false">H1084</f>
        <v>0</v>
      </c>
      <c r="AG1084" s="6" t="n">
        <f aca="false">I1084</f>
        <v>0</v>
      </c>
      <c r="AH1084" s="6" t="n">
        <f aca="false">L1084</f>
        <v>0</v>
      </c>
    </row>
    <row r="1085" customFormat="false" ht="15" hidden="false" customHeight="false" outlineLevel="0" collapsed="false">
      <c r="A1085" s="0" t="str">
        <f aca="false">'Raw Data'!C1085</f>
        <v>Superior</v>
      </c>
      <c r="B1085" s="5" t="n">
        <f aca="false">'Raw Data'!A1085</f>
        <v>40337</v>
      </c>
      <c r="C1085" s="6" t="n">
        <f aca="false">'Raw Data'!D1085</f>
        <v>183.772631149098</v>
      </c>
      <c r="D1085" s="6" t="n">
        <f aca="false">'Raw Data'!E1085</f>
        <v>5.443846154</v>
      </c>
      <c r="E1085" s="6" t="n">
        <f aca="false">'Raw Data'!F1085</f>
        <v>1</v>
      </c>
      <c r="F1085" s="6" t="n">
        <f aca="false">'Raw Data'!G1085</f>
        <v>0</v>
      </c>
      <c r="G1085" s="6" t="n">
        <f aca="false">'Raw Data'!H1085</f>
        <v>0</v>
      </c>
      <c r="H1085" s="6" t="n">
        <f aca="false">'Raw Data'!I1085</f>
        <v>0</v>
      </c>
      <c r="I1085" s="6" t="n">
        <f aca="false">'Raw Data'!J1085</f>
        <v>0</v>
      </c>
      <c r="J1085" s="6" t="n">
        <f aca="false">'Raw Data'!K1085</f>
        <v>1</v>
      </c>
      <c r="K1085" s="6" t="n">
        <f aca="false">'Raw Data'!L1085</f>
        <v>4</v>
      </c>
      <c r="L1085" s="6" t="n">
        <f aca="false">F1085*E1085</f>
        <v>0</v>
      </c>
      <c r="N1085" s="0" t="n">
        <v>1</v>
      </c>
      <c r="O1085" s="6" t="n">
        <f aca="false">D1085</f>
        <v>5.443846154</v>
      </c>
      <c r="P1085" s="6" t="n">
        <f aca="false">E1085</f>
        <v>1</v>
      </c>
      <c r="Q1085" s="6" t="n">
        <f aca="false">F1085</f>
        <v>0</v>
      </c>
      <c r="R1085" s="6" t="n">
        <f aca="false">G1085</f>
        <v>0</v>
      </c>
      <c r="S1085" s="6" t="n">
        <f aca="false">H1085</f>
        <v>0</v>
      </c>
      <c r="T1085" s="6" t="n">
        <f aca="false">I1085</f>
        <v>0</v>
      </c>
      <c r="U1085" s="6" t="n">
        <f aca="false">L1085</f>
        <v>0</v>
      </c>
      <c r="W1085" s="6" t="n">
        <f aca="false">D1085</f>
        <v>5.443846154</v>
      </c>
      <c r="X1085" s="6" t="n">
        <f aca="false">E1085</f>
        <v>1</v>
      </c>
      <c r="Y1085" s="6" t="n">
        <f aca="false">F1085</f>
        <v>0</v>
      </c>
      <c r="Z1085" s="6" t="n">
        <f aca="false">L1085</f>
        <v>0</v>
      </c>
      <c r="AA1085" s="6" t="n">
        <f aca="false">G1085</f>
        <v>0</v>
      </c>
      <c r="AC1085" s="6" t="n">
        <f aca="false">D1085</f>
        <v>5.443846154</v>
      </c>
      <c r="AD1085" s="6" t="n">
        <f aca="false">E1085</f>
        <v>1</v>
      </c>
      <c r="AE1085" s="6" t="n">
        <f aca="false">G1085</f>
        <v>0</v>
      </c>
      <c r="AF1085" s="6" t="n">
        <f aca="false">H1085</f>
        <v>0</v>
      </c>
      <c r="AG1085" s="6" t="n">
        <f aca="false">I1085</f>
        <v>0</v>
      </c>
      <c r="AH1085" s="6" t="n">
        <f aca="false">L1085</f>
        <v>0</v>
      </c>
    </row>
    <row r="1086" customFormat="false" ht="15" hidden="false" customHeight="false" outlineLevel="0" collapsed="false">
      <c r="A1086" s="0" t="str">
        <f aca="false">'Raw Data'!C1086</f>
        <v>Superior</v>
      </c>
      <c r="B1086" s="5" t="n">
        <f aca="false">'Raw Data'!A1086</f>
        <v>40344</v>
      </c>
      <c r="C1086" s="6" t="n">
        <f aca="false">'Raw Data'!D1086</f>
        <v>289.286421252236</v>
      </c>
      <c r="D1086" s="6" t="n">
        <f aca="false">'Raw Data'!E1086</f>
        <v>4.29</v>
      </c>
      <c r="E1086" s="6" t="n">
        <f aca="false">'Raw Data'!F1086</f>
        <v>1</v>
      </c>
      <c r="F1086" s="6" t="n">
        <f aca="false">'Raw Data'!G1086</f>
        <v>0</v>
      </c>
      <c r="G1086" s="6" t="n">
        <f aca="false">'Raw Data'!H1086</f>
        <v>0</v>
      </c>
      <c r="H1086" s="6" t="n">
        <f aca="false">'Raw Data'!I1086</f>
        <v>0</v>
      </c>
      <c r="I1086" s="6" t="n">
        <f aca="false">'Raw Data'!J1086</f>
        <v>0</v>
      </c>
      <c r="J1086" s="6" t="n">
        <f aca="false">'Raw Data'!K1086</f>
        <v>1</v>
      </c>
      <c r="K1086" s="6" t="n">
        <f aca="false">'Raw Data'!L1086</f>
        <v>4</v>
      </c>
      <c r="L1086" s="6" t="n">
        <f aca="false">F1086*E1086</f>
        <v>0</v>
      </c>
      <c r="N1086" s="0" t="n">
        <v>1</v>
      </c>
      <c r="O1086" s="6" t="n">
        <f aca="false">D1086</f>
        <v>4.29</v>
      </c>
      <c r="P1086" s="6" t="n">
        <f aca="false">E1086</f>
        <v>1</v>
      </c>
      <c r="Q1086" s="6" t="n">
        <f aca="false">F1086</f>
        <v>0</v>
      </c>
      <c r="R1086" s="6" t="n">
        <f aca="false">G1086</f>
        <v>0</v>
      </c>
      <c r="S1086" s="6" t="n">
        <f aca="false">H1086</f>
        <v>0</v>
      </c>
      <c r="T1086" s="6" t="n">
        <f aca="false">I1086</f>
        <v>0</v>
      </c>
      <c r="U1086" s="6" t="n">
        <f aca="false">L1086</f>
        <v>0</v>
      </c>
      <c r="W1086" s="6" t="n">
        <f aca="false">D1086</f>
        <v>4.29</v>
      </c>
      <c r="X1086" s="6" t="n">
        <f aca="false">E1086</f>
        <v>1</v>
      </c>
      <c r="Y1086" s="6" t="n">
        <f aca="false">F1086</f>
        <v>0</v>
      </c>
      <c r="Z1086" s="6" t="n">
        <f aca="false">L1086</f>
        <v>0</v>
      </c>
      <c r="AA1086" s="6" t="n">
        <f aca="false">G1086</f>
        <v>0</v>
      </c>
      <c r="AC1086" s="6" t="n">
        <f aca="false">D1086</f>
        <v>4.29</v>
      </c>
      <c r="AD1086" s="6" t="n">
        <f aca="false">E1086</f>
        <v>1</v>
      </c>
      <c r="AE1086" s="6" t="n">
        <f aca="false">G1086</f>
        <v>0</v>
      </c>
      <c r="AF1086" s="6" t="n">
        <f aca="false">H1086</f>
        <v>0</v>
      </c>
      <c r="AG1086" s="6" t="n">
        <f aca="false">I1086</f>
        <v>0</v>
      </c>
      <c r="AH1086" s="6" t="n">
        <f aca="false">L1086</f>
        <v>0</v>
      </c>
    </row>
    <row r="1087" customFormat="false" ht="15" hidden="false" customHeight="false" outlineLevel="0" collapsed="false">
      <c r="A1087" s="0" t="str">
        <f aca="false">'Raw Data'!C1087</f>
        <v>Superior</v>
      </c>
      <c r="B1087" s="5" t="n">
        <f aca="false">'Raw Data'!A1087</f>
        <v>40351</v>
      </c>
      <c r="C1087" s="6" t="n">
        <f aca="false">'Raw Data'!D1087</f>
        <v>397.148581413618</v>
      </c>
      <c r="D1087" s="6" t="n">
        <f aca="false">'Raw Data'!E1087</f>
        <v>4.29625</v>
      </c>
      <c r="E1087" s="6" t="n">
        <f aca="false">'Raw Data'!F1087</f>
        <v>1</v>
      </c>
      <c r="F1087" s="6" t="n">
        <f aca="false">'Raw Data'!G1087</f>
        <v>0</v>
      </c>
      <c r="G1087" s="6" t="n">
        <f aca="false">'Raw Data'!H1087</f>
        <v>1</v>
      </c>
      <c r="H1087" s="6" t="n">
        <f aca="false">'Raw Data'!I1087</f>
        <v>0</v>
      </c>
      <c r="I1087" s="6" t="n">
        <f aca="false">'Raw Data'!J1087</f>
        <v>0</v>
      </c>
      <c r="J1087" s="6" t="n">
        <f aca="false">'Raw Data'!K1087</f>
        <v>1</v>
      </c>
      <c r="K1087" s="6" t="n">
        <f aca="false">'Raw Data'!L1087</f>
        <v>4</v>
      </c>
      <c r="L1087" s="6" t="n">
        <f aca="false">F1087*E1087</f>
        <v>0</v>
      </c>
      <c r="N1087" s="0" t="n">
        <v>1</v>
      </c>
      <c r="O1087" s="6" t="n">
        <f aca="false">D1087</f>
        <v>4.29625</v>
      </c>
      <c r="P1087" s="6" t="n">
        <f aca="false">E1087</f>
        <v>1</v>
      </c>
      <c r="Q1087" s="6" t="n">
        <f aca="false">F1087</f>
        <v>0</v>
      </c>
      <c r="R1087" s="6" t="n">
        <f aca="false">G1087</f>
        <v>1</v>
      </c>
      <c r="S1087" s="6" t="n">
        <f aca="false">H1087</f>
        <v>0</v>
      </c>
      <c r="T1087" s="6" t="n">
        <f aca="false">I1087</f>
        <v>0</v>
      </c>
      <c r="U1087" s="6" t="n">
        <f aca="false">L1087</f>
        <v>0</v>
      </c>
      <c r="W1087" s="6" t="n">
        <f aca="false">D1087</f>
        <v>4.29625</v>
      </c>
      <c r="X1087" s="6" t="n">
        <f aca="false">E1087</f>
        <v>1</v>
      </c>
      <c r="Y1087" s="6" t="n">
        <f aca="false">F1087</f>
        <v>0</v>
      </c>
      <c r="Z1087" s="6" t="n">
        <f aca="false">L1087</f>
        <v>0</v>
      </c>
      <c r="AA1087" s="6" t="n">
        <f aca="false">G1087</f>
        <v>1</v>
      </c>
      <c r="AC1087" s="6" t="n">
        <f aca="false">D1087</f>
        <v>4.29625</v>
      </c>
      <c r="AD1087" s="6" t="n">
        <f aca="false">E1087</f>
        <v>1</v>
      </c>
      <c r="AE1087" s="6" t="n">
        <f aca="false">G1087</f>
        <v>1</v>
      </c>
      <c r="AF1087" s="6" t="n">
        <f aca="false">H1087</f>
        <v>0</v>
      </c>
      <c r="AG1087" s="6" t="n">
        <f aca="false">I1087</f>
        <v>0</v>
      </c>
      <c r="AH1087" s="6" t="n">
        <f aca="false">L1087</f>
        <v>0</v>
      </c>
    </row>
    <row r="1088" customFormat="false" ht="15" hidden="false" customHeight="false" outlineLevel="0" collapsed="false">
      <c r="A1088" s="0" t="str">
        <f aca="false">'Raw Data'!C1088</f>
        <v>Superior</v>
      </c>
      <c r="B1088" s="5" t="n">
        <f aca="false">'Raw Data'!A1088</f>
        <v>40358</v>
      </c>
      <c r="C1088" s="6" t="n">
        <f aca="false">'Raw Data'!D1088</f>
        <v>300.046730673288</v>
      </c>
      <c r="D1088" s="6" t="n">
        <f aca="false">'Raw Data'!E1088</f>
        <v>4.403333333</v>
      </c>
      <c r="E1088" s="6" t="n">
        <f aca="false">'Raw Data'!F1088</f>
        <v>1</v>
      </c>
      <c r="F1088" s="6" t="n">
        <f aca="false">'Raw Data'!G1088</f>
        <v>0</v>
      </c>
      <c r="G1088" s="6" t="n">
        <f aca="false">'Raw Data'!H1088</f>
        <v>0</v>
      </c>
      <c r="H1088" s="6" t="n">
        <f aca="false">'Raw Data'!I1088</f>
        <v>1</v>
      </c>
      <c r="I1088" s="6" t="n">
        <f aca="false">'Raw Data'!J1088</f>
        <v>0</v>
      </c>
      <c r="J1088" s="6" t="n">
        <f aca="false">'Raw Data'!K1088</f>
        <v>1</v>
      </c>
      <c r="K1088" s="6" t="n">
        <f aca="false">'Raw Data'!L1088</f>
        <v>4</v>
      </c>
      <c r="L1088" s="6" t="n">
        <f aca="false">F1088*E1088</f>
        <v>0</v>
      </c>
      <c r="N1088" s="0" t="n">
        <v>1</v>
      </c>
      <c r="O1088" s="6" t="n">
        <f aca="false">D1088</f>
        <v>4.403333333</v>
      </c>
      <c r="P1088" s="6" t="n">
        <f aca="false">E1088</f>
        <v>1</v>
      </c>
      <c r="Q1088" s="6" t="n">
        <f aca="false">F1088</f>
        <v>0</v>
      </c>
      <c r="R1088" s="6" t="n">
        <f aca="false">G1088</f>
        <v>0</v>
      </c>
      <c r="S1088" s="6" t="n">
        <f aca="false">H1088</f>
        <v>1</v>
      </c>
      <c r="T1088" s="6" t="n">
        <f aca="false">I1088</f>
        <v>0</v>
      </c>
      <c r="U1088" s="6" t="n">
        <f aca="false">L1088</f>
        <v>0</v>
      </c>
      <c r="W1088" s="6" t="n">
        <f aca="false">D1088</f>
        <v>4.403333333</v>
      </c>
      <c r="X1088" s="6" t="n">
        <f aca="false">E1088</f>
        <v>1</v>
      </c>
      <c r="Y1088" s="6" t="n">
        <f aca="false">F1088</f>
        <v>0</v>
      </c>
      <c r="Z1088" s="6" t="n">
        <f aca="false">L1088</f>
        <v>0</v>
      </c>
      <c r="AA1088" s="6" t="n">
        <f aca="false">G1088</f>
        <v>0</v>
      </c>
      <c r="AC1088" s="6" t="n">
        <f aca="false">D1088</f>
        <v>4.403333333</v>
      </c>
      <c r="AD1088" s="6" t="n">
        <f aca="false">E1088</f>
        <v>1</v>
      </c>
      <c r="AE1088" s="6" t="n">
        <f aca="false">G1088</f>
        <v>0</v>
      </c>
      <c r="AF1088" s="6" t="n">
        <f aca="false">H1088</f>
        <v>1</v>
      </c>
      <c r="AG1088" s="6" t="n">
        <f aca="false">I1088</f>
        <v>0</v>
      </c>
      <c r="AH1088" s="6" t="n">
        <f aca="false">L1088</f>
        <v>0</v>
      </c>
    </row>
    <row r="1089" customFormat="false" ht="15" hidden="false" customHeight="false" outlineLevel="0" collapsed="false">
      <c r="A1089" s="0" t="str">
        <f aca="false">'Raw Data'!C1089</f>
        <v>Superior</v>
      </c>
      <c r="B1089" s="5" t="n">
        <f aca="false">'Raw Data'!A1089</f>
        <v>40365</v>
      </c>
      <c r="C1089" s="6" t="n">
        <f aca="false">'Raw Data'!D1089</f>
        <v>256.184386209202</v>
      </c>
      <c r="D1089" s="6" t="n">
        <f aca="false">'Raw Data'!E1089</f>
        <v>3.881333333</v>
      </c>
      <c r="E1089" s="6" t="n">
        <f aca="false">'Raw Data'!F1089</f>
        <v>1</v>
      </c>
      <c r="F1089" s="6" t="n">
        <f aca="false">'Raw Data'!G1089</f>
        <v>0</v>
      </c>
      <c r="G1089" s="6" t="n">
        <f aca="false">'Raw Data'!H1089</f>
        <v>0</v>
      </c>
      <c r="H1089" s="6" t="n">
        <f aca="false">'Raw Data'!I1089</f>
        <v>1</v>
      </c>
      <c r="I1089" s="6" t="n">
        <f aca="false">'Raw Data'!J1089</f>
        <v>0</v>
      </c>
      <c r="J1089" s="6" t="n">
        <f aca="false">'Raw Data'!K1089</f>
        <v>1</v>
      </c>
      <c r="K1089" s="6" t="n">
        <f aca="false">'Raw Data'!L1089</f>
        <v>4</v>
      </c>
      <c r="L1089" s="6" t="n">
        <f aca="false">F1089*E1089</f>
        <v>0</v>
      </c>
      <c r="N1089" s="0" t="n">
        <v>1</v>
      </c>
      <c r="O1089" s="6" t="n">
        <f aca="false">D1089</f>
        <v>3.881333333</v>
      </c>
      <c r="P1089" s="6" t="n">
        <f aca="false">E1089</f>
        <v>1</v>
      </c>
      <c r="Q1089" s="6" t="n">
        <f aca="false">F1089</f>
        <v>0</v>
      </c>
      <c r="R1089" s="6" t="n">
        <f aca="false">G1089</f>
        <v>0</v>
      </c>
      <c r="S1089" s="6" t="n">
        <f aca="false">H1089</f>
        <v>1</v>
      </c>
      <c r="T1089" s="6" t="n">
        <f aca="false">I1089</f>
        <v>0</v>
      </c>
      <c r="U1089" s="6" t="n">
        <f aca="false">L1089</f>
        <v>0</v>
      </c>
      <c r="W1089" s="6" t="n">
        <f aca="false">D1089</f>
        <v>3.881333333</v>
      </c>
      <c r="X1089" s="6" t="n">
        <f aca="false">E1089</f>
        <v>1</v>
      </c>
      <c r="Y1089" s="6" t="n">
        <f aca="false">F1089</f>
        <v>0</v>
      </c>
      <c r="Z1089" s="6" t="n">
        <f aca="false">L1089</f>
        <v>0</v>
      </c>
      <c r="AA1089" s="6" t="n">
        <f aca="false">G1089</f>
        <v>0</v>
      </c>
      <c r="AC1089" s="6" t="n">
        <f aca="false">D1089</f>
        <v>3.881333333</v>
      </c>
      <c r="AD1089" s="6" t="n">
        <f aca="false">E1089</f>
        <v>1</v>
      </c>
      <c r="AE1089" s="6" t="n">
        <f aca="false">G1089</f>
        <v>0</v>
      </c>
      <c r="AF1089" s="6" t="n">
        <f aca="false">H1089</f>
        <v>1</v>
      </c>
      <c r="AG1089" s="6" t="n">
        <f aca="false">I1089</f>
        <v>0</v>
      </c>
      <c r="AH1089" s="6" t="n">
        <f aca="false">L1089</f>
        <v>0</v>
      </c>
    </row>
    <row r="1090" customFormat="false" ht="15" hidden="false" customHeight="false" outlineLevel="0" collapsed="false">
      <c r="A1090" s="0" t="str">
        <f aca="false">'Raw Data'!C1090</f>
        <v>Superior</v>
      </c>
      <c r="B1090" s="5" t="n">
        <f aca="false">'Raw Data'!A1090</f>
        <v>40372</v>
      </c>
      <c r="C1090" s="6" t="n">
        <f aca="false">'Raw Data'!D1090</f>
        <v>318.578288972741</v>
      </c>
      <c r="D1090" s="6" t="n">
        <f aca="false">'Raw Data'!E1090</f>
        <v>4.138125</v>
      </c>
      <c r="E1090" s="6" t="n">
        <f aca="false">'Raw Data'!F1090</f>
        <v>1</v>
      </c>
      <c r="F1090" s="6" t="n">
        <f aca="false">'Raw Data'!G1090</f>
        <v>0</v>
      </c>
      <c r="G1090" s="6" t="n">
        <f aca="false">'Raw Data'!H1090</f>
        <v>0</v>
      </c>
      <c r="H1090" s="6" t="n">
        <f aca="false">'Raw Data'!I1090</f>
        <v>1</v>
      </c>
      <c r="I1090" s="6" t="n">
        <f aca="false">'Raw Data'!J1090</f>
        <v>0</v>
      </c>
      <c r="J1090" s="6" t="n">
        <f aca="false">'Raw Data'!K1090</f>
        <v>1</v>
      </c>
      <c r="K1090" s="6" t="n">
        <f aca="false">'Raw Data'!L1090</f>
        <v>4</v>
      </c>
      <c r="L1090" s="6" t="n">
        <f aca="false">F1090*E1090</f>
        <v>0</v>
      </c>
      <c r="N1090" s="0" t="n">
        <v>1</v>
      </c>
      <c r="O1090" s="6" t="n">
        <f aca="false">D1090</f>
        <v>4.138125</v>
      </c>
      <c r="P1090" s="6" t="n">
        <f aca="false">E1090</f>
        <v>1</v>
      </c>
      <c r="Q1090" s="6" t="n">
        <f aca="false">F1090</f>
        <v>0</v>
      </c>
      <c r="R1090" s="6" t="n">
        <f aca="false">G1090</f>
        <v>0</v>
      </c>
      <c r="S1090" s="6" t="n">
        <f aca="false">H1090</f>
        <v>1</v>
      </c>
      <c r="T1090" s="6" t="n">
        <f aca="false">I1090</f>
        <v>0</v>
      </c>
      <c r="U1090" s="6" t="n">
        <f aca="false">L1090</f>
        <v>0</v>
      </c>
      <c r="W1090" s="6" t="n">
        <f aca="false">D1090</f>
        <v>4.138125</v>
      </c>
      <c r="X1090" s="6" t="n">
        <f aca="false">E1090</f>
        <v>1</v>
      </c>
      <c r="Y1090" s="6" t="n">
        <f aca="false">F1090</f>
        <v>0</v>
      </c>
      <c r="Z1090" s="6" t="n">
        <f aca="false">L1090</f>
        <v>0</v>
      </c>
      <c r="AA1090" s="6" t="n">
        <f aca="false">G1090</f>
        <v>0</v>
      </c>
      <c r="AC1090" s="6" t="n">
        <f aca="false">D1090</f>
        <v>4.138125</v>
      </c>
      <c r="AD1090" s="6" t="n">
        <f aca="false">E1090</f>
        <v>1</v>
      </c>
      <c r="AE1090" s="6" t="n">
        <f aca="false">G1090</f>
        <v>0</v>
      </c>
      <c r="AF1090" s="6" t="n">
        <f aca="false">H1090</f>
        <v>1</v>
      </c>
      <c r="AG1090" s="6" t="n">
        <f aca="false">I1090</f>
        <v>0</v>
      </c>
      <c r="AH1090" s="6" t="n">
        <f aca="false">L1090</f>
        <v>0</v>
      </c>
    </row>
    <row r="1091" customFormat="false" ht="15" hidden="false" customHeight="false" outlineLevel="0" collapsed="false">
      <c r="A1091" s="0" t="str">
        <f aca="false">'Raw Data'!C1091</f>
        <v>Tamarac</v>
      </c>
      <c r="B1091" s="5" t="n">
        <f aca="false">'Raw Data'!A1091</f>
        <v>40302</v>
      </c>
      <c r="C1091" s="6" t="n">
        <f aca="false">'Raw Data'!D1091</f>
        <v>281.765154097375</v>
      </c>
      <c r="D1091" s="6" t="n">
        <f aca="false">'Raw Data'!E1091</f>
        <v>4.062727273</v>
      </c>
      <c r="E1091" s="6" t="n">
        <f aca="false">'Raw Data'!F1091</f>
        <v>1</v>
      </c>
      <c r="F1091" s="6" t="n">
        <f aca="false">'Raw Data'!G1091</f>
        <v>0</v>
      </c>
      <c r="G1091" s="6" t="n">
        <f aca="false">'Raw Data'!H1091</f>
        <v>0</v>
      </c>
      <c r="H1091" s="6" t="n">
        <f aca="false">'Raw Data'!I1091</f>
        <v>0</v>
      </c>
      <c r="I1091" s="6" t="n">
        <f aca="false">'Raw Data'!J1091</f>
        <v>0</v>
      </c>
      <c r="J1091" s="6" t="n">
        <f aca="false">'Raw Data'!K1091</f>
        <v>1</v>
      </c>
      <c r="K1091" s="6" t="n">
        <f aca="false">'Raw Data'!L1091</f>
        <v>2</v>
      </c>
      <c r="L1091" s="6" t="n">
        <f aca="false">F1091*E1091</f>
        <v>0</v>
      </c>
      <c r="N1091" s="0" t="n">
        <v>1</v>
      </c>
      <c r="O1091" s="6" t="n">
        <f aca="false">D1091</f>
        <v>4.062727273</v>
      </c>
      <c r="P1091" s="6" t="n">
        <f aca="false">E1091</f>
        <v>1</v>
      </c>
      <c r="Q1091" s="6" t="n">
        <f aca="false">F1091</f>
        <v>0</v>
      </c>
      <c r="R1091" s="6" t="n">
        <f aca="false">G1091</f>
        <v>0</v>
      </c>
      <c r="S1091" s="6" t="n">
        <f aca="false">H1091</f>
        <v>0</v>
      </c>
      <c r="T1091" s="6" t="n">
        <f aca="false">I1091</f>
        <v>0</v>
      </c>
      <c r="U1091" s="6" t="n">
        <f aca="false">L1091</f>
        <v>0</v>
      </c>
      <c r="W1091" s="6" t="n">
        <f aca="false">D1091</f>
        <v>4.062727273</v>
      </c>
      <c r="X1091" s="6" t="n">
        <f aca="false">E1091</f>
        <v>1</v>
      </c>
      <c r="Y1091" s="6" t="n">
        <f aca="false">F1091</f>
        <v>0</v>
      </c>
      <c r="Z1091" s="6" t="n">
        <f aca="false">L1091</f>
        <v>0</v>
      </c>
      <c r="AA1091" s="6" t="n">
        <f aca="false">G1091</f>
        <v>0</v>
      </c>
      <c r="AC1091" s="6" t="n">
        <f aca="false">D1091</f>
        <v>4.062727273</v>
      </c>
      <c r="AD1091" s="6" t="n">
        <f aca="false">E1091</f>
        <v>1</v>
      </c>
      <c r="AE1091" s="6" t="n">
        <f aca="false">G1091</f>
        <v>0</v>
      </c>
      <c r="AF1091" s="6" t="n">
        <f aca="false">H1091</f>
        <v>0</v>
      </c>
      <c r="AG1091" s="6" t="n">
        <f aca="false">I1091</f>
        <v>0</v>
      </c>
      <c r="AH1091" s="6" t="n">
        <f aca="false">L1091</f>
        <v>0</v>
      </c>
    </row>
    <row r="1092" customFormat="false" ht="15" hidden="false" customHeight="false" outlineLevel="0" collapsed="false">
      <c r="A1092" s="0" t="str">
        <f aca="false">'Raw Data'!C1092</f>
        <v>Tamarac</v>
      </c>
      <c r="B1092" s="5" t="n">
        <f aca="false">'Raw Data'!A1092</f>
        <v>40309</v>
      </c>
      <c r="C1092" s="6" t="n">
        <f aca="false">'Raw Data'!D1092</f>
        <v>348.466746688226</v>
      </c>
      <c r="D1092" s="6" t="n">
        <f aca="false">'Raw Data'!E1092</f>
        <v>3.851538462</v>
      </c>
      <c r="E1092" s="6" t="n">
        <f aca="false">'Raw Data'!F1092</f>
        <v>1</v>
      </c>
      <c r="F1092" s="6" t="n">
        <f aca="false">'Raw Data'!G1092</f>
        <v>0</v>
      </c>
      <c r="G1092" s="6" t="n">
        <f aca="false">'Raw Data'!H1092</f>
        <v>1</v>
      </c>
      <c r="H1092" s="6" t="n">
        <f aca="false">'Raw Data'!I1092</f>
        <v>0</v>
      </c>
      <c r="I1092" s="6" t="n">
        <f aca="false">'Raw Data'!J1092</f>
        <v>0</v>
      </c>
      <c r="J1092" s="6" t="n">
        <f aca="false">'Raw Data'!K1092</f>
        <v>1</v>
      </c>
      <c r="K1092" s="6" t="n">
        <f aca="false">'Raw Data'!L1092</f>
        <v>2</v>
      </c>
      <c r="L1092" s="6" t="n">
        <f aca="false">F1092*E1092</f>
        <v>0</v>
      </c>
      <c r="N1092" s="0" t="n">
        <v>1</v>
      </c>
      <c r="O1092" s="6" t="n">
        <f aca="false">D1092</f>
        <v>3.851538462</v>
      </c>
      <c r="P1092" s="6" t="n">
        <f aca="false">E1092</f>
        <v>1</v>
      </c>
      <c r="Q1092" s="6" t="n">
        <f aca="false">F1092</f>
        <v>0</v>
      </c>
      <c r="R1092" s="6" t="n">
        <f aca="false">G1092</f>
        <v>1</v>
      </c>
      <c r="S1092" s="6" t="n">
        <f aca="false">H1092</f>
        <v>0</v>
      </c>
      <c r="T1092" s="6" t="n">
        <f aca="false">I1092</f>
        <v>0</v>
      </c>
      <c r="U1092" s="6" t="n">
        <f aca="false">L1092</f>
        <v>0</v>
      </c>
      <c r="W1092" s="6" t="n">
        <f aca="false">D1092</f>
        <v>3.851538462</v>
      </c>
      <c r="X1092" s="6" t="n">
        <f aca="false">E1092</f>
        <v>1</v>
      </c>
      <c r="Y1092" s="6" t="n">
        <f aca="false">F1092</f>
        <v>0</v>
      </c>
      <c r="Z1092" s="6" t="n">
        <f aca="false">L1092</f>
        <v>0</v>
      </c>
      <c r="AA1092" s="6" t="n">
        <f aca="false">G1092</f>
        <v>1</v>
      </c>
      <c r="AC1092" s="6" t="n">
        <f aca="false">D1092</f>
        <v>3.851538462</v>
      </c>
      <c r="AD1092" s="6" t="n">
        <f aca="false">E1092</f>
        <v>1</v>
      </c>
      <c r="AE1092" s="6" t="n">
        <f aca="false">G1092</f>
        <v>1</v>
      </c>
      <c r="AF1092" s="6" t="n">
        <f aca="false">H1092</f>
        <v>0</v>
      </c>
      <c r="AG1092" s="6" t="n">
        <f aca="false">I1092</f>
        <v>0</v>
      </c>
      <c r="AH1092" s="6" t="n">
        <f aca="false">L1092</f>
        <v>0</v>
      </c>
    </row>
    <row r="1093" customFormat="false" ht="15" hidden="false" customHeight="false" outlineLevel="0" collapsed="false">
      <c r="A1093" s="0" t="str">
        <f aca="false">'Raw Data'!C1093</f>
        <v>Tamarac</v>
      </c>
      <c r="B1093" s="5" t="n">
        <f aca="false">'Raw Data'!A1093</f>
        <v>40316</v>
      </c>
      <c r="C1093" s="6" t="n">
        <f aca="false">'Raw Data'!D1093</f>
        <v>378.719147938433</v>
      </c>
      <c r="D1093" s="6" t="n">
        <f aca="false">'Raw Data'!E1093</f>
        <v>3.593571429</v>
      </c>
      <c r="E1093" s="6" t="n">
        <f aca="false">'Raw Data'!F1093</f>
        <v>1</v>
      </c>
      <c r="F1093" s="6" t="n">
        <f aca="false">'Raw Data'!G1093</f>
        <v>0</v>
      </c>
      <c r="G1093" s="6" t="n">
        <f aca="false">'Raw Data'!H1093</f>
        <v>0</v>
      </c>
      <c r="H1093" s="6" t="n">
        <f aca="false">'Raw Data'!I1093</f>
        <v>1</v>
      </c>
      <c r="I1093" s="6" t="n">
        <f aca="false">'Raw Data'!J1093</f>
        <v>0</v>
      </c>
      <c r="J1093" s="6" t="n">
        <f aca="false">'Raw Data'!K1093</f>
        <v>1</v>
      </c>
      <c r="K1093" s="6" t="n">
        <f aca="false">'Raw Data'!L1093</f>
        <v>2</v>
      </c>
      <c r="L1093" s="6" t="n">
        <f aca="false">F1093*E1093</f>
        <v>0</v>
      </c>
      <c r="N1093" s="0" t="n">
        <v>1</v>
      </c>
      <c r="O1093" s="6" t="n">
        <f aca="false">D1093</f>
        <v>3.593571429</v>
      </c>
      <c r="P1093" s="6" t="n">
        <f aca="false">E1093</f>
        <v>1</v>
      </c>
      <c r="Q1093" s="6" t="n">
        <f aca="false">F1093</f>
        <v>0</v>
      </c>
      <c r="R1093" s="6" t="n">
        <f aca="false">G1093</f>
        <v>0</v>
      </c>
      <c r="S1093" s="6" t="n">
        <f aca="false">H1093</f>
        <v>1</v>
      </c>
      <c r="T1093" s="6" t="n">
        <f aca="false">I1093</f>
        <v>0</v>
      </c>
      <c r="U1093" s="6" t="n">
        <f aca="false">L1093</f>
        <v>0</v>
      </c>
      <c r="W1093" s="6" t="n">
        <f aca="false">D1093</f>
        <v>3.593571429</v>
      </c>
      <c r="X1093" s="6" t="n">
        <f aca="false">E1093</f>
        <v>1</v>
      </c>
      <c r="Y1093" s="6" t="n">
        <f aca="false">F1093</f>
        <v>0</v>
      </c>
      <c r="Z1093" s="6" t="n">
        <f aca="false">L1093</f>
        <v>0</v>
      </c>
      <c r="AA1093" s="6" t="n">
        <f aca="false">G1093</f>
        <v>0</v>
      </c>
      <c r="AC1093" s="6" t="n">
        <f aca="false">D1093</f>
        <v>3.593571429</v>
      </c>
      <c r="AD1093" s="6" t="n">
        <f aca="false">E1093</f>
        <v>1</v>
      </c>
      <c r="AE1093" s="6" t="n">
        <f aca="false">G1093</f>
        <v>0</v>
      </c>
      <c r="AF1093" s="6" t="n">
        <f aca="false">H1093</f>
        <v>1</v>
      </c>
      <c r="AG1093" s="6" t="n">
        <f aca="false">I1093</f>
        <v>0</v>
      </c>
      <c r="AH1093" s="6" t="n">
        <f aca="false">L1093</f>
        <v>0</v>
      </c>
    </row>
    <row r="1094" customFormat="false" ht="15" hidden="false" customHeight="false" outlineLevel="0" collapsed="false">
      <c r="A1094" s="0" t="str">
        <f aca="false">'Raw Data'!C1094</f>
        <v>Tamarac</v>
      </c>
      <c r="B1094" s="5" t="n">
        <f aca="false">'Raw Data'!A1094</f>
        <v>40323</v>
      </c>
      <c r="C1094" s="6" t="n">
        <f aca="false">'Raw Data'!D1094</f>
        <v>360.3041564529</v>
      </c>
      <c r="D1094" s="6" t="n">
        <f aca="false">'Raw Data'!E1094</f>
        <v>4.643125</v>
      </c>
      <c r="E1094" s="6" t="n">
        <f aca="false">'Raw Data'!F1094</f>
        <v>1</v>
      </c>
      <c r="F1094" s="6" t="n">
        <f aca="false">'Raw Data'!G1094</f>
        <v>0</v>
      </c>
      <c r="G1094" s="6" t="n">
        <f aca="false">'Raw Data'!H1094</f>
        <v>0</v>
      </c>
      <c r="H1094" s="6" t="n">
        <f aca="false">'Raw Data'!I1094</f>
        <v>1</v>
      </c>
      <c r="I1094" s="6" t="n">
        <f aca="false">'Raw Data'!J1094</f>
        <v>0</v>
      </c>
      <c r="J1094" s="6" t="n">
        <f aca="false">'Raw Data'!K1094</f>
        <v>1</v>
      </c>
      <c r="K1094" s="6" t="n">
        <f aca="false">'Raw Data'!L1094</f>
        <v>2</v>
      </c>
      <c r="L1094" s="6" t="n">
        <f aca="false">F1094*E1094</f>
        <v>0</v>
      </c>
      <c r="N1094" s="0" t="n">
        <v>1</v>
      </c>
      <c r="O1094" s="6" t="n">
        <f aca="false">D1094</f>
        <v>4.643125</v>
      </c>
      <c r="P1094" s="6" t="n">
        <f aca="false">E1094</f>
        <v>1</v>
      </c>
      <c r="Q1094" s="6" t="n">
        <f aca="false">F1094</f>
        <v>0</v>
      </c>
      <c r="R1094" s="6" t="n">
        <f aca="false">G1094</f>
        <v>0</v>
      </c>
      <c r="S1094" s="6" t="n">
        <f aca="false">H1094</f>
        <v>1</v>
      </c>
      <c r="T1094" s="6" t="n">
        <f aca="false">I1094</f>
        <v>0</v>
      </c>
      <c r="U1094" s="6" t="n">
        <f aca="false">L1094</f>
        <v>0</v>
      </c>
      <c r="W1094" s="6" t="n">
        <f aca="false">D1094</f>
        <v>4.643125</v>
      </c>
      <c r="X1094" s="6" t="n">
        <f aca="false">E1094</f>
        <v>1</v>
      </c>
      <c r="Y1094" s="6" t="n">
        <f aca="false">F1094</f>
        <v>0</v>
      </c>
      <c r="Z1094" s="6" t="n">
        <f aca="false">L1094</f>
        <v>0</v>
      </c>
      <c r="AA1094" s="6" t="n">
        <f aca="false">G1094</f>
        <v>0</v>
      </c>
      <c r="AC1094" s="6" t="n">
        <f aca="false">D1094</f>
        <v>4.643125</v>
      </c>
      <c r="AD1094" s="6" t="n">
        <f aca="false">E1094</f>
        <v>1</v>
      </c>
      <c r="AE1094" s="6" t="n">
        <f aca="false">G1094</f>
        <v>0</v>
      </c>
      <c r="AF1094" s="6" t="n">
        <f aca="false">H1094</f>
        <v>1</v>
      </c>
      <c r="AG1094" s="6" t="n">
        <f aca="false">I1094</f>
        <v>0</v>
      </c>
      <c r="AH1094" s="6" t="n">
        <f aca="false">L1094</f>
        <v>0</v>
      </c>
    </row>
    <row r="1095" customFormat="false" ht="15" hidden="false" customHeight="false" outlineLevel="0" collapsed="false">
      <c r="A1095" s="0" t="str">
        <f aca="false">'Raw Data'!C1095</f>
        <v>Tamarac</v>
      </c>
      <c r="B1095" s="5" t="n">
        <f aca="false">'Raw Data'!A1095</f>
        <v>40330</v>
      </c>
      <c r="C1095" s="6" t="n">
        <f aca="false">'Raw Data'!D1095</f>
        <v>342.763355272621</v>
      </c>
      <c r="D1095" s="6" t="n">
        <f aca="false">'Raw Data'!E1095</f>
        <v>4.773333333</v>
      </c>
      <c r="E1095" s="6" t="n">
        <f aca="false">'Raw Data'!F1095</f>
        <v>1</v>
      </c>
      <c r="F1095" s="6" t="n">
        <f aca="false">'Raw Data'!G1095</f>
        <v>0</v>
      </c>
      <c r="G1095" s="6" t="n">
        <f aca="false">'Raw Data'!H1095</f>
        <v>0</v>
      </c>
      <c r="H1095" s="6" t="n">
        <f aca="false">'Raw Data'!I1095</f>
        <v>1</v>
      </c>
      <c r="I1095" s="6" t="n">
        <f aca="false">'Raw Data'!J1095</f>
        <v>0</v>
      </c>
      <c r="J1095" s="6" t="n">
        <f aca="false">'Raw Data'!K1095</f>
        <v>1</v>
      </c>
      <c r="K1095" s="6" t="n">
        <f aca="false">'Raw Data'!L1095</f>
        <v>2</v>
      </c>
      <c r="L1095" s="6" t="n">
        <f aca="false">F1095*E1095</f>
        <v>0</v>
      </c>
      <c r="N1095" s="0" t="n">
        <v>1</v>
      </c>
      <c r="O1095" s="6" t="n">
        <f aca="false">D1095</f>
        <v>4.773333333</v>
      </c>
      <c r="P1095" s="6" t="n">
        <f aca="false">E1095</f>
        <v>1</v>
      </c>
      <c r="Q1095" s="6" t="n">
        <f aca="false">F1095</f>
        <v>0</v>
      </c>
      <c r="R1095" s="6" t="n">
        <f aca="false">G1095</f>
        <v>0</v>
      </c>
      <c r="S1095" s="6" t="n">
        <f aca="false">H1095</f>
        <v>1</v>
      </c>
      <c r="T1095" s="6" t="n">
        <f aca="false">I1095</f>
        <v>0</v>
      </c>
      <c r="U1095" s="6" t="n">
        <f aca="false">L1095</f>
        <v>0</v>
      </c>
      <c r="W1095" s="6" t="n">
        <f aca="false">D1095</f>
        <v>4.773333333</v>
      </c>
      <c r="X1095" s="6" t="n">
        <f aca="false">E1095</f>
        <v>1</v>
      </c>
      <c r="Y1095" s="6" t="n">
        <f aca="false">F1095</f>
        <v>0</v>
      </c>
      <c r="Z1095" s="6" t="n">
        <f aca="false">L1095</f>
        <v>0</v>
      </c>
      <c r="AA1095" s="6" t="n">
        <f aca="false">G1095</f>
        <v>0</v>
      </c>
      <c r="AC1095" s="6" t="n">
        <f aca="false">D1095</f>
        <v>4.773333333</v>
      </c>
      <c r="AD1095" s="6" t="n">
        <f aca="false">E1095</f>
        <v>1</v>
      </c>
      <c r="AE1095" s="6" t="n">
        <f aca="false">G1095</f>
        <v>0</v>
      </c>
      <c r="AF1095" s="6" t="n">
        <f aca="false">H1095</f>
        <v>1</v>
      </c>
      <c r="AG1095" s="6" t="n">
        <f aca="false">I1095</f>
        <v>0</v>
      </c>
      <c r="AH1095" s="6" t="n">
        <f aca="false">L1095</f>
        <v>0</v>
      </c>
    </row>
    <row r="1096" customFormat="false" ht="15" hidden="false" customHeight="false" outlineLevel="0" collapsed="false">
      <c r="A1096" s="0" t="str">
        <f aca="false">'Raw Data'!C1096</f>
        <v>Tamarac</v>
      </c>
      <c r="B1096" s="5" t="n">
        <f aca="false">'Raw Data'!A1096</f>
        <v>40337</v>
      </c>
      <c r="C1096" s="6" t="n">
        <f aca="false">'Raw Data'!D1096</f>
        <v>360.594649889796</v>
      </c>
      <c r="D1096" s="6" t="n">
        <f aca="false">'Raw Data'!E1096</f>
        <v>5.454285714</v>
      </c>
      <c r="E1096" s="6" t="n">
        <f aca="false">'Raw Data'!F1096</f>
        <v>1</v>
      </c>
      <c r="F1096" s="6" t="n">
        <f aca="false">'Raw Data'!G1096</f>
        <v>0</v>
      </c>
      <c r="G1096" s="6" t="n">
        <f aca="false">'Raw Data'!H1096</f>
        <v>0</v>
      </c>
      <c r="H1096" s="6" t="n">
        <f aca="false">'Raw Data'!I1096</f>
        <v>0</v>
      </c>
      <c r="I1096" s="6" t="n">
        <f aca="false">'Raw Data'!J1096</f>
        <v>1</v>
      </c>
      <c r="J1096" s="6" t="n">
        <f aca="false">'Raw Data'!K1096</f>
        <v>1</v>
      </c>
      <c r="K1096" s="6" t="n">
        <f aca="false">'Raw Data'!L1096</f>
        <v>2</v>
      </c>
      <c r="L1096" s="6" t="n">
        <f aca="false">F1096*E1096</f>
        <v>0</v>
      </c>
      <c r="N1096" s="0" t="n">
        <v>1</v>
      </c>
      <c r="O1096" s="6" t="n">
        <f aca="false">D1096</f>
        <v>5.454285714</v>
      </c>
      <c r="P1096" s="6" t="n">
        <f aca="false">E1096</f>
        <v>1</v>
      </c>
      <c r="Q1096" s="6" t="n">
        <f aca="false">F1096</f>
        <v>0</v>
      </c>
      <c r="R1096" s="6" t="n">
        <f aca="false">G1096</f>
        <v>0</v>
      </c>
      <c r="S1096" s="6" t="n">
        <f aca="false">H1096</f>
        <v>0</v>
      </c>
      <c r="T1096" s="6" t="n">
        <f aca="false">I1096</f>
        <v>1</v>
      </c>
      <c r="U1096" s="6" t="n">
        <f aca="false">L1096</f>
        <v>0</v>
      </c>
      <c r="W1096" s="6" t="n">
        <f aca="false">D1096</f>
        <v>5.454285714</v>
      </c>
      <c r="X1096" s="6" t="n">
        <f aca="false">E1096</f>
        <v>1</v>
      </c>
      <c r="Y1096" s="6" t="n">
        <f aca="false">F1096</f>
        <v>0</v>
      </c>
      <c r="Z1096" s="6" t="n">
        <f aca="false">L1096</f>
        <v>0</v>
      </c>
      <c r="AA1096" s="6" t="n">
        <f aca="false">G1096</f>
        <v>0</v>
      </c>
      <c r="AC1096" s="6" t="n">
        <f aca="false">D1096</f>
        <v>5.454285714</v>
      </c>
      <c r="AD1096" s="6" t="n">
        <f aca="false">E1096</f>
        <v>1</v>
      </c>
      <c r="AE1096" s="6" t="n">
        <f aca="false">G1096</f>
        <v>0</v>
      </c>
      <c r="AF1096" s="6" t="n">
        <f aca="false">H1096</f>
        <v>0</v>
      </c>
      <c r="AG1096" s="6" t="n">
        <f aca="false">I1096</f>
        <v>1</v>
      </c>
      <c r="AH1096" s="6" t="n">
        <f aca="false">L1096</f>
        <v>0</v>
      </c>
    </row>
    <row r="1097" customFormat="false" ht="15" hidden="false" customHeight="false" outlineLevel="0" collapsed="false">
      <c r="A1097" s="0" t="str">
        <f aca="false">'Raw Data'!C1097</f>
        <v>Tamarac</v>
      </c>
      <c r="B1097" s="5" t="n">
        <f aca="false">'Raw Data'!A1097</f>
        <v>40344</v>
      </c>
      <c r="C1097" s="6" t="n">
        <f aca="false">'Raw Data'!D1097</f>
        <v>283.693763499371</v>
      </c>
      <c r="D1097" s="6" t="n">
        <f aca="false">'Raw Data'!E1097</f>
        <v>4.483333333</v>
      </c>
      <c r="E1097" s="6" t="n">
        <f aca="false">'Raw Data'!F1097</f>
        <v>1</v>
      </c>
      <c r="F1097" s="6" t="n">
        <f aca="false">'Raw Data'!G1097</f>
        <v>0</v>
      </c>
      <c r="G1097" s="6" t="n">
        <f aca="false">'Raw Data'!H1097</f>
        <v>0</v>
      </c>
      <c r="H1097" s="6" t="n">
        <f aca="false">'Raw Data'!I1097</f>
        <v>0</v>
      </c>
      <c r="I1097" s="6" t="n">
        <f aca="false">'Raw Data'!J1097</f>
        <v>1</v>
      </c>
      <c r="J1097" s="6" t="n">
        <f aca="false">'Raw Data'!K1097</f>
        <v>1</v>
      </c>
      <c r="K1097" s="6" t="n">
        <f aca="false">'Raw Data'!L1097</f>
        <v>2</v>
      </c>
      <c r="L1097" s="6" t="n">
        <f aca="false">F1097*E1097</f>
        <v>0</v>
      </c>
      <c r="N1097" s="0" t="n">
        <v>1</v>
      </c>
      <c r="O1097" s="6" t="n">
        <f aca="false">D1097</f>
        <v>4.483333333</v>
      </c>
      <c r="P1097" s="6" t="n">
        <f aca="false">E1097</f>
        <v>1</v>
      </c>
      <c r="Q1097" s="6" t="n">
        <f aca="false">F1097</f>
        <v>0</v>
      </c>
      <c r="R1097" s="6" t="n">
        <f aca="false">G1097</f>
        <v>0</v>
      </c>
      <c r="S1097" s="6" t="n">
        <f aca="false">H1097</f>
        <v>0</v>
      </c>
      <c r="T1097" s="6" t="n">
        <f aca="false">I1097</f>
        <v>1</v>
      </c>
      <c r="U1097" s="6" t="n">
        <f aca="false">L1097</f>
        <v>0</v>
      </c>
      <c r="W1097" s="6" t="n">
        <f aca="false">D1097</f>
        <v>4.483333333</v>
      </c>
      <c r="X1097" s="6" t="n">
        <f aca="false">E1097</f>
        <v>1</v>
      </c>
      <c r="Y1097" s="6" t="n">
        <f aca="false">F1097</f>
        <v>0</v>
      </c>
      <c r="Z1097" s="6" t="n">
        <f aca="false">L1097</f>
        <v>0</v>
      </c>
      <c r="AA1097" s="6" t="n">
        <f aca="false">G1097</f>
        <v>0</v>
      </c>
      <c r="AC1097" s="6" t="n">
        <f aca="false">D1097</f>
        <v>4.483333333</v>
      </c>
      <c r="AD1097" s="6" t="n">
        <f aca="false">E1097</f>
        <v>1</v>
      </c>
      <c r="AE1097" s="6" t="n">
        <f aca="false">G1097</f>
        <v>0</v>
      </c>
      <c r="AF1097" s="6" t="n">
        <f aca="false">H1097</f>
        <v>0</v>
      </c>
      <c r="AG1097" s="6" t="n">
        <f aca="false">I1097</f>
        <v>1</v>
      </c>
      <c r="AH1097" s="6" t="n">
        <f aca="false">L1097</f>
        <v>0</v>
      </c>
    </row>
    <row r="1098" customFormat="false" ht="15" hidden="false" customHeight="false" outlineLevel="0" collapsed="false">
      <c r="A1098" s="0" t="str">
        <f aca="false">'Raw Data'!C1098</f>
        <v>Tamarac</v>
      </c>
      <c r="B1098" s="5" t="n">
        <f aca="false">'Raw Data'!A1098</f>
        <v>40351</v>
      </c>
      <c r="C1098" s="6" t="n">
        <f aca="false">'Raw Data'!D1098</f>
        <v>248.036441056751</v>
      </c>
      <c r="D1098" s="6" t="n">
        <f aca="false">'Raw Data'!E1098</f>
        <v>4.759230769</v>
      </c>
      <c r="E1098" s="6" t="n">
        <f aca="false">'Raw Data'!F1098</f>
        <v>1</v>
      </c>
      <c r="F1098" s="6" t="n">
        <f aca="false">'Raw Data'!G1098</f>
        <v>0</v>
      </c>
      <c r="G1098" s="6" t="n">
        <f aca="false">'Raw Data'!H1098</f>
        <v>0</v>
      </c>
      <c r="H1098" s="6" t="n">
        <f aca="false">'Raw Data'!I1098</f>
        <v>0</v>
      </c>
      <c r="I1098" s="6" t="n">
        <f aca="false">'Raw Data'!J1098</f>
        <v>0</v>
      </c>
      <c r="J1098" s="6" t="n">
        <f aca="false">'Raw Data'!K1098</f>
        <v>1</v>
      </c>
      <c r="K1098" s="6" t="n">
        <f aca="false">'Raw Data'!L1098</f>
        <v>2</v>
      </c>
      <c r="L1098" s="6" t="n">
        <f aca="false">F1098*E1098</f>
        <v>0</v>
      </c>
      <c r="N1098" s="0" t="n">
        <v>1</v>
      </c>
      <c r="O1098" s="6" t="n">
        <f aca="false">D1098</f>
        <v>4.759230769</v>
      </c>
      <c r="P1098" s="6" t="n">
        <f aca="false">E1098</f>
        <v>1</v>
      </c>
      <c r="Q1098" s="6" t="n">
        <f aca="false">F1098</f>
        <v>0</v>
      </c>
      <c r="R1098" s="6" t="n">
        <f aca="false">G1098</f>
        <v>0</v>
      </c>
      <c r="S1098" s="6" t="n">
        <f aca="false">H1098</f>
        <v>0</v>
      </c>
      <c r="T1098" s="6" t="n">
        <f aca="false">I1098</f>
        <v>0</v>
      </c>
      <c r="U1098" s="6" t="n">
        <f aca="false">L1098</f>
        <v>0</v>
      </c>
      <c r="W1098" s="6" t="n">
        <f aca="false">D1098</f>
        <v>4.759230769</v>
      </c>
      <c r="X1098" s="6" t="n">
        <f aca="false">E1098</f>
        <v>1</v>
      </c>
      <c r="Y1098" s="6" t="n">
        <f aca="false">F1098</f>
        <v>0</v>
      </c>
      <c r="Z1098" s="6" t="n">
        <f aca="false">L1098</f>
        <v>0</v>
      </c>
      <c r="AA1098" s="6" t="n">
        <f aca="false">G1098</f>
        <v>0</v>
      </c>
      <c r="AC1098" s="6" t="n">
        <f aca="false">D1098</f>
        <v>4.759230769</v>
      </c>
      <c r="AD1098" s="6" t="n">
        <f aca="false">E1098</f>
        <v>1</v>
      </c>
      <c r="AE1098" s="6" t="n">
        <f aca="false">G1098</f>
        <v>0</v>
      </c>
      <c r="AF1098" s="6" t="n">
        <f aca="false">H1098</f>
        <v>0</v>
      </c>
      <c r="AG1098" s="6" t="n">
        <f aca="false">I1098</f>
        <v>0</v>
      </c>
      <c r="AH1098" s="6" t="n">
        <f aca="false">L1098</f>
        <v>0</v>
      </c>
    </row>
    <row r="1099" customFormat="false" ht="15" hidden="false" customHeight="false" outlineLevel="0" collapsed="false">
      <c r="A1099" s="0" t="str">
        <f aca="false">'Raw Data'!C1099</f>
        <v>Tamarac</v>
      </c>
      <c r="B1099" s="5" t="n">
        <f aca="false">'Raw Data'!A1099</f>
        <v>40358</v>
      </c>
      <c r="C1099" s="6" t="n">
        <f aca="false">'Raw Data'!D1099</f>
        <v>378.967575512483</v>
      </c>
      <c r="D1099" s="6" t="n">
        <f aca="false">'Raw Data'!E1099</f>
        <v>3.768571429</v>
      </c>
      <c r="E1099" s="6" t="n">
        <f aca="false">'Raw Data'!F1099</f>
        <v>1</v>
      </c>
      <c r="F1099" s="6" t="n">
        <f aca="false">'Raw Data'!G1099</f>
        <v>0</v>
      </c>
      <c r="G1099" s="6" t="n">
        <f aca="false">'Raw Data'!H1099</f>
        <v>1</v>
      </c>
      <c r="H1099" s="6" t="n">
        <f aca="false">'Raw Data'!I1099</f>
        <v>0</v>
      </c>
      <c r="I1099" s="6" t="n">
        <f aca="false">'Raw Data'!J1099</f>
        <v>0</v>
      </c>
      <c r="J1099" s="6" t="n">
        <f aca="false">'Raw Data'!K1099</f>
        <v>1</v>
      </c>
      <c r="K1099" s="6" t="n">
        <f aca="false">'Raw Data'!L1099</f>
        <v>2</v>
      </c>
      <c r="L1099" s="6" t="n">
        <f aca="false">F1099*E1099</f>
        <v>0</v>
      </c>
      <c r="N1099" s="0" t="n">
        <v>1</v>
      </c>
      <c r="O1099" s="6" t="n">
        <f aca="false">D1099</f>
        <v>3.768571429</v>
      </c>
      <c r="P1099" s="6" t="n">
        <f aca="false">E1099</f>
        <v>1</v>
      </c>
      <c r="Q1099" s="6" t="n">
        <f aca="false">F1099</f>
        <v>0</v>
      </c>
      <c r="R1099" s="6" t="n">
        <f aca="false">G1099</f>
        <v>1</v>
      </c>
      <c r="S1099" s="6" t="n">
        <f aca="false">H1099</f>
        <v>0</v>
      </c>
      <c r="T1099" s="6" t="n">
        <f aca="false">I1099</f>
        <v>0</v>
      </c>
      <c r="U1099" s="6" t="n">
        <f aca="false">L1099</f>
        <v>0</v>
      </c>
      <c r="W1099" s="6" t="n">
        <f aca="false">D1099</f>
        <v>3.768571429</v>
      </c>
      <c r="X1099" s="6" t="n">
        <f aca="false">E1099</f>
        <v>1</v>
      </c>
      <c r="Y1099" s="6" t="n">
        <f aca="false">F1099</f>
        <v>0</v>
      </c>
      <c r="Z1099" s="6" t="n">
        <f aca="false">L1099</f>
        <v>0</v>
      </c>
      <c r="AA1099" s="6" t="n">
        <f aca="false">G1099</f>
        <v>1</v>
      </c>
      <c r="AC1099" s="6" t="n">
        <f aca="false">D1099</f>
        <v>3.768571429</v>
      </c>
      <c r="AD1099" s="6" t="n">
        <f aca="false">E1099</f>
        <v>1</v>
      </c>
      <c r="AE1099" s="6" t="n">
        <f aca="false">G1099</f>
        <v>1</v>
      </c>
      <c r="AF1099" s="6" t="n">
        <f aca="false">H1099</f>
        <v>0</v>
      </c>
      <c r="AG1099" s="6" t="n">
        <f aca="false">I1099</f>
        <v>0</v>
      </c>
      <c r="AH1099" s="6" t="n">
        <f aca="false">L1099</f>
        <v>0</v>
      </c>
    </row>
    <row r="1100" customFormat="false" ht="15" hidden="false" customHeight="false" outlineLevel="0" collapsed="false">
      <c r="A1100" s="0" t="str">
        <f aca="false">'Raw Data'!C1100</f>
        <v>Tamarac</v>
      </c>
      <c r="B1100" s="5" t="n">
        <f aca="false">'Raw Data'!A1100</f>
        <v>40365</v>
      </c>
      <c r="C1100" s="6" t="n">
        <f aca="false">'Raw Data'!D1100</f>
        <v>270.206872667468</v>
      </c>
      <c r="D1100" s="6" t="n">
        <f aca="false">'Raw Data'!E1100</f>
        <v>4.950625</v>
      </c>
      <c r="E1100" s="6" t="n">
        <f aca="false">'Raw Data'!F1100</f>
        <v>1</v>
      </c>
      <c r="F1100" s="6" t="n">
        <f aca="false">'Raw Data'!G1100</f>
        <v>0</v>
      </c>
      <c r="G1100" s="6" t="n">
        <f aca="false">'Raw Data'!H1100</f>
        <v>0</v>
      </c>
      <c r="H1100" s="6" t="n">
        <f aca="false">'Raw Data'!I1100</f>
        <v>1</v>
      </c>
      <c r="I1100" s="6" t="n">
        <f aca="false">'Raw Data'!J1100</f>
        <v>0</v>
      </c>
      <c r="J1100" s="6" t="n">
        <f aca="false">'Raw Data'!K1100</f>
        <v>1</v>
      </c>
      <c r="K1100" s="6" t="n">
        <f aca="false">'Raw Data'!L1100</f>
        <v>2</v>
      </c>
      <c r="L1100" s="6" t="n">
        <f aca="false">F1100*E1100</f>
        <v>0</v>
      </c>
      <c r="N1100" s="0" t="n">
        <v>1</v>
      </c>
      <c r="O1100" s="6" t="n">
        <f aca="false">D1100</f>
        <v>4.950625</v>
      </c>
      <c r="P1100" s="6" t="n">
        <f aca="false">E1100</f>
        <v>1</v>
      </c>
      <c r="Q1100" s="6" t="n">
        <f aca="false">F1100</f>
        <v>0</v>
      </c>
      <c r="R1100" s="6" t="n">
        <f aca="false">G1100</f>
        <v>0</v>
      </c>
      <c r="S1100" s="6" t="n">
        <f aca="false">H1100</f>
        <v>1</v>
      </c>
      <c r="T1100" s="6" t="n">
        <f aca="false">I1100</f>
        <v>0</v>
      </c>
      <c r="U1100" s="6" t="n">
        <f aca="false">L1100</f>
        <v>0</v>
      </c>
      <c r="W1100" s="6" t="n">
        <f aca="false">D1100</f>
        <v>4.950625</v>
      </c>
      <c r="X1100" s="6" t="n">
        <f aca="false">E1100</f>
        <v>1</v>
      </c>
      <c r="Y1100" s="6" t="n">
        <f aca="false">F1100</f>
        <v>0</v>
      </c>
      <c r="Z1100" s="6" t="n">
        <f aca="false">L1100</f>
        <v>0</v>
      </c>
      <c r="AA1100" s="6" t="n">
        <f aca="false">G1100</f>
        <v>0</v>
      </c>
      <c r="AC1100" s="6" t="n">
        <f aca="false">D1100</f>
        <v>4.950625</v>
      </c>
      <c r="AD1100" s="6" t="n">
        <f aca="false">E1100</f>
        <v>1</v>
      </c>
      <c r="AE1100" s="6" t="n">
        <f aca="false">G1100</f>
        <v>0</v>
      </c>
      <c r="AF1100" s="6" t="n">
        <f aca="false">H1100</f>
        <v>1</v>
      </c>
      <c r="AG1100" s="6" t="n">
        <f aca="false">I1100</f>
        <v>0</v>
      </c>
      <c r="AH1100" s="6" t="n">
        <f aca="false">L1100</f>
        <v>0</v>
      </c>
    </row>
    <row r="1101" customFormat="false" ht="15" hidden="false" customHeight="false" outlineLevel="0" collapsed="false">
      <c r="A1101" s="0" t="str">
        <f aca="false">'Raw Data'!C1101</f>
        <v>Tamarac</v>
      </c>
      <c r="B1101" s="5" t="n">
        <f aca="false">'Raw Data'!A1101</f>
        <v>40372</v>
      </c>
      <c r="C1101" s="6" t="n">
        <f aca="false">'Raw Data'!D1101</f>
        <v>305.500568865987</v>
      </c>
      <c r="D1101" s="6" t="n">
        <f aca="false">'Raw Data'!E1101</f>
        <v>4.486666667</v>
      </c>
      <c r="E1101" s="6" t="n">
        <f aca="false">'Raw Data'!F1101</f>
        <v>1</v>
      </c>
      <c r="F1101" s="6" t="n">
        <f aca="false">'Raw Data'!G1101</f>
        <v>0</v>
      </c>
      <c r="G1101" s="6" t="n">
        <f aca="false">'Raw Data'!H1101</f>
        <v>0</v>
      </c>
      <c r="H1101" s="6" t="n">
        <f aca="false">'Raw Data'!I1101</f>
        <v>1</v>
      </c>
      <c r="I1101" s="6" t="n">
        <f aca="false">'Raw Data'!J1101</f>
        <v>0</v>
      </c>
      <c r="J1101" s="6" t="n">
        <f aca="false">'Raw Data'!K1101</f>
        <v>1</v>
      </c>
      <c r="K1101" s="6" t="n">
        <f aca="false">'Raw Data'!L1101</f>
        <v>2</v>
      </c>
      <c r="L1101" s="6" t="n">
        <f aca="false">F1101*E1101</f>
        <v>0</v>
      </c>
      <c r="N1101" s="0" t="n">
        <v>1</v>
      </c>
      <c r="O1101" s="6" t="n">
        <f aca="false">D1101</f>
        <v>4.486666667</v>
      </c>
      <c r="P1101" s="6" t="n">
        <f aca="false">E1101</f>
        <v>1</v>
      </c>
      <c r="Q1101" s="6" t="n">
        <f aca="false">F1101</f>
        <v>0</v>
      </c>
      <c r="R1101" s="6" t="n">
        <f aca="false">G1101</f>
        <v>0</v>
      </c>
      <c r="S1101" s="6" t="n">
        <f aca="false">H1101</f>
        <v>1</v>
      </c>
      <c r="T1101" s="6" t="n">
        <f aca="false">I1101</f>
        <v>0</v>
      </c>
      <c r="U1101" s="6" t="n">
        <f aca="false">L1101</f>
        <v>0</v>
      </c>
      <c r="W1101" s="6" t="n">
        <f aca="false">D1101</f>
        <v>4.486666667</v>
      </c>
      <c r="X1101" s="6" t="n">
        <f aca="false">E1101</f>
        <v>1</v>
      </c>
      <c r="Y1101" s="6" t="n">
        <f aca="false">F1101</f>
        <v>0</v>
      </c>
      <c r="Z1101" s="6" t="n">
        <f aca="false">L1101</f>
        <v>0</v>
      </c>
      <c r="AA1101" s="6" t="n">
        <f aca="false">G1101</f>
        <v>0</v>
      </c>
      <c r="AC1101" s="6" t="n">
        <f aca="false">D1101</f>
        <v>4.486666667</v>
      </c>
      <c r="AD1101" s="6" t="n">
        <f aca="false">E1101</f>
        <v>1</v>
      </c>
      <c r="AE1101" s="6" t="n">
        <f aca="false">G1101</f>
        <v>0</v>
      </c>
      <c r="AF1101" s="6" t="n">
        <f aca="false">H1101</f>
        <v>1</v>
      </c>
      <c r="AG1101" s="6" t="n">
        <f aca="false">I1101</f>
        <v>0</v>
      </c>
      <c r="AH1101" s="6" t="n">
        <f aca="false">L1101</f>
        <v>0</v>
      </c>
    </row>
    <row r="1102" customFormat="false" ht="15" hidden="false" customHeight="false" outlineLevel="0" collapsed="false">
      <c r="A1102" s="0" t="str">
        <f aca="false">'Raw Data'!C1102</f>
        <v>Alpharetta (aka Alpharetta Harry's)</v>
      </c>
      <c r="B1102" s="5" t="n">
        <f aca="false">'Raw Data'!A1102</f>
        <v>40302</v>
      </c>
      <c r="C1102" s="6" t="n">
        <f aca="false">'Raw Data'!D1102</f>
        <v>194.943435790062</v>
      </c>
      <c r="D1102" s="6" t="n">
        <f aca="false">'Raw Data'!E1102</f>
        <v>4.047142857</v>
      </c>
      <c r="E1102" s="6" t="n">
        <f aca="false">'Raw Data'!F1102</f>
        <v>0</v>
      </c>
      <c r="F1102" s="6" t="n">
        <f aca="false">'Raw Data'!G1102</f>
        <v>0</v>
      </c>
      <c r="G1102" s="6" t="n">
        <f aca="false">'Raw Data'!H1102</f>
        <v>0</v>
      </c>
      <c r="H1102" s="6" t="n">
        <f aca="false">'Raw Data'!I1102</f>
        <v>0</v>
      </c>
      <c r="I1102" s="6" t="n">
        <f aca="false">'Raw Data'!J1102</f>
        <v>0</v>
      </c>
      <c r="J1102" s="6" t="n">
        <f aca="false">'Raw Data'!K1102</f>
        <v>2</v>
      </c>
      <c r="K1102" s="6" t="n">
        <f aca="false">'Raw Data'!L1102</f>
        <v>3</v>
      </c>
      <c r="L1102" s="6" t="n">
        <f aca="false">F1102*E1102</f>
        <v>0</v>
      </c>
      <c r="N1102" s="0" t="n">
        <v>1</v>
      </c>
      <c r="O1102" s="6" t="n">
        <f aca="false">D1102</f>
        <v>4.047142857</v>
      </c>
      <c r="P1102" s="6" t="n">
        <f aca="false">E1102</f>
        <v>0</v>
      </c>
      <c r="Q1102" s="6" t="n">
        <f aca="false">F1102</f>
        <v>0</v>
      </c>
      <c r="R1102" s="6" t="n">
        <f aca="false">G1102</f>
        <v>0</v>
      </c>
      <c r="S1102" s="6" t="n">
        <f aca="false">H1102</f>
        <v>0</v>
      </c>
      <c r="T1102" s="6" t="n">
        <f aca="false">I1102</f>
        <v>0</v>
      </c>
      <c r="U1102" s="6" t="n">
        <f aca="false">L1102</f>
        <v>0</v>
      </c>
      <c r="W1102" s="6" t="n">
        <f aca="false">D1102</f>
        <v>4.047142857</v>
      </c>
      <c r="X1102" s="6" t="n">
        <f aca="false">E1102</f>
        <v>0</v>
      </c>
      <c r="Y1102" s="6" t="n">
        <f aca="false">F1102</f>
        <v>0</v>
      </c>
      <c r="Z1102" s="6" t="n">
        <f aca="false">L1102</f>
        <v>0</v>
      </c>
      <c r="AA1102" s="6" t="n">
        <f aca="false">G1102</f>
        <v>0</v>
      </c>
      <c r="AC1102" s="6" t="n">
        <f aca="false">D1102</f>
        <v>4.047142857</v>
      </c>
      <c r="AD1102" s="6" t="n">
        <f aca="false">E1102</f>
        <v>0</v>
      </c>
      <c r="AE1102" s="6" t="n">
        <f aca="false">G1102</f>
        <v>0</v>
      </c>
      <c r="AF1102" s="6" t="n">
        <f aca="false">H1102</f>
        <v>0</v>
      </c>
      <c r="AG1102" s="6" t="n">
        <f aca="false">I1102</f>
        <v>0</v>
      </c>
      <c r="AH1102" s="6" t="n">
        <f aca="false">L1102</f>
        <v>0</v>
      </c>
    </row>
    <row r="1103" customFormat="false" ht="15" hidden="false" customHeight="false" outlineLevel="0" collapsed="false">
      <c r="A1103" s="0" t="str">
        <f aca="false">'Raw Data'!C1103</f>
        <v>Alpharetta (aka Alpharetta Harry's)</v>
      </c>
      <c r="B1103" s="5" t="n">
        <f aca="false">'Raw Data'!A1103</f>
        <v>40309</v>
      </c>
      <c r="C1103" s="6" t="n">
        <f aca="false">'Raw Data'!D1103</f>
        <v>130.595290689436</v>
      </c>
      <c r="D1103" s="6" t="n">
        <f aca="false">'Raw Data'!E1103</f>
        <v>3.64</v>
      </c>
      <c r="E1103" s="6" t="n">
        <f aca="false">'Raw Data'!F1103</f>
        <v>0</v>
      </c>
      <c r="F1103" s="6" t="n">
        <f aca="false">'Raw Data'!G1103</f>
        <v>0</v>
      </c>
      <c r="G1103" s="6" t="n">
        <f aca="false">'Raw Data'!H1103</f>
        <v>0</v>
      </c>
      <c r="H1103" s="6" t="n">
        <f aca="false">'Raw Data'!I1103</f>
        <v>0</v>
      </c>
      <c r="I1103" s="6" t="n">
        <f aca="false">'Raw Data'!J1103</f>
        <v>0</v>
      </c>
      <c r="J1103" s="6" t="n">
        <f aca="false">'Raw Data'!K1103</f>
        <v>2</v>
      </c>
      <c r="K1103" s="6" t="n">
        <f aca="false">'Raw Data'!L1103</f>
        <v>3</v>
      </c>
      <c r="L1103" s="6" t="n">
        <f aca="false">F1103*E1103</f>
        <v>0</v>
      </c>
      <c r="N1103" s="0" t="n">
        <v>1</v>
      </c>
      <c r="O1103" s="6" t="n">
        <f aca="false">D1103</f>
        <v>3.64</v>
      </c>
      <c r="P1103" s="6" t="n">
        <f aca="false">E1103</f>
        <v>0</v>
      </c>
      <c r="Q1103" s="6" t="n">
        <f aca="false">F1103</f>
        <v>0</v>
      </c>
      <c r="R1103" s="6" t="n">
        <f aca="false">G1103</f>
        <v>0</v>
      </c>
      <c r="S1103" s="6" t="n">
        <f aca="false">H1103</f>
        <v>0</v>
      </c>
      <c r="T1103" s="6" t="n">
        <f aca="false">I1103</f>
        <v>0</v>
      </c>
      <c r="U1103" s="6" t="n">
        <f aca="false">L1103</f>
        <v>0</v>
      </c>
      <c r="W1103" s="6" t="n">
        <f aca="false">D1103</f>
        <v>3.64</v>
      </c>
      <c r="X1103" s="6" t="n">
        <f aca="false">E1103</f>
        <v>0</v>
      </c>
      <c r="Y1103" s="6" t="n">
        <f aca="false">F1103</f>
        <v>0</v>
      </c>
      <c r="Z1103" s="6" t="n">
        <f aca="false">L1103</f>
        <v>0</v>
      </c>
      <c r="AA1103" s="6" t="n">
        <f aca="false">G1103</f>
        <v>0</v>
      </c>
      <c r="AC1103" s="6" t="n">
        <f aca="false">D1103</f>
        <v>3.64</v>
      </c>
      <c r="AD1103" s="6" t="n">
        <f aca="false">E1103</f>
        <v>0</v>
      </c>
      <c r="AE1103" s="6" t="n">
        <f aca="false">G1103</f>
        <v>0</v>
      </c>
      <c r="AF1103" s="6" t="n">
        <f aca="false">H1103</f>
        <v>0</v>
      </c>
      <c r="AG1103" s="6" t="n">
        <f aca="false">I1103</f>
        <v>0</v>
      </c>
      <c r="AH1103" s="6" t="n">
        <f aca="false">L1103</f>
        <v>0</v>
      </c>
    </row>
    <row r="1104" customFormat="false" ht="15" hidden="false" customHeight="false" outlineLevel="0" collapsed="false">
      <c r="A1104" s="0" t="str">
        <f aca="false">'Raw Data'!C1104</f>
        <v>Alpharetta (aka Alpharetta Harry's)</v>
      </c>
      <c r="B1104" s="5" t="n">
        <f aca="false">'Raw Data'!A1104</f>
        <v>40316</v>
      </c>
      <c r="C1104" s="6" t="n">
        <f aca="false">'Raw Data'!D1104</f>
        <v>232.022321697341</v>
      </c>
      <c r="D1104" s="6" t="n">
        <f aca="false">'Raw Data'!E1104</f>
        <v>3.765</v>
      </c>
      <c r="E1104" s="6" t="n">
        <f aca="false">'Raw Data'!F1104</f>
        <v>0</v>
      </c>
      <c r="F1104" s="6" t="n">
        <f aca="false">'Raw Data'!G1104</f>
        <v>0</v>
      </c>
      <c r="G1104" s="6" t="n">
        <f aca="false">'Raw Data'!H1104</f>
        <v>0</v>
      </c>
      <c r="H1104" s="6" t="n">
        <f aca="false">'Raw Data'!I1104</f>
        <v>0</v>
      </c>
      <c r="I1104" s="6" t="n">
        <f aca="false">'Raw Data'!J1104</f>
        <v>0</v>
      </c>
      <c r="J1104" s="6" t="n">
        <f aca="false">'Raw Data'!K1104</f>
        <v>2</v>
      </c>
      <c r="K1104" s="6" t="n">
        <f aca="false">'Raw Data'!L1104</f>
        <v>3</v>
      </c>
      <c r="L1104" s="6" t="n">
        <f aca="false">F1104*E1104</f>
        <v>0</v>
      </c>
      <c r="N1104" s="0" t="n">
        <v>1</v>
      </c>
      <c r="O1104" s="6" t="n">
        <f aca="false">D1104</f>
        <v>3.765</v>
      </c>
      <c r="P1104" s="6" t="n">
        <f aca="false">E1104</f>
        <v>0</v>
      </c>
      <c r="Q1104" s="6" t="n">
        <f aca="false">F1104</f>
        <v>0</v>
      </c>
      <c r="R1104" s="6" t="n">
        <f aca="false">G1104</f>
        <v>0</v>
      </c>
      <c r="S1104" s="6" t="n">
        <f aca="false">H1104</f>
        <v>0</v>
      </c>
      <c r="T1104" s="6" t="n">
        <f aca="false">I1104</f>
        <v>0</v>
      </c>
      <c r="U1104" s="6" t="n">
        <f aca="false">L1104</f>
        <v>0</v>
      </c>
      <c r="W1104" s="6" t="n">
        <f aca="false">D1104</f>
        <v>3.765</v>
      </c>
      <c r="X1104" s="6" t="n">
        <f aca="false">E1104</f>
        <v>0</v>
      </c>
      <c r="Y1104" s="6" t="n">
        <f aca="false">F1104</f>
        <v>0</v>
      </c>
      <c r="Z1104" s="6" t="n">
        <f aca="false">L1104</f>
        <v>0</v>
      </c>
      <c r="AA1104" s="6" t="n">
        <f aca="false">G1104</f>
        <v>0</v>
      </c>
      <c r="AC1104" s="6" t="n">
        <f aca="false">D1104</f>
        <v>3.765</v>
      </c>
      <c r="AD1104" s="6" t="n">
        <f aca="false">E1104</f>
        <v>0</v>
      </c>
      <c r="AE1104" s="6" t="n">
        <f aca="false">G1104</f>
        <v>0</v>
      </c>
      <c r="AF1104" s="6" t="n">
        <f aca="false">H1104</f>
        <v>0</v>
      </c>
      <c r="AG1104" s="6" t="n">
        <f aca="false">I1104</f>
        <v>0</v>
      </c>
      <c r="AH1104" s="6" t="n">
        <f aca="false">L1104</f>
        <v>0</v>
      </c>
    </row>
    <row r="1105" customFormat="false" ht="15" hidden="false" customHeight="false" outlineLevel="0" collapsed="false">
      <c r="A1105" s="0" t="str">
        <f aca="false">'Raw Data'!C1105</f>
        <v>Alpharetta (aka Alpharetta Harry's)</v>
      </c>
      <c r="B1105" s="5" t="n">
        <f aca="false">'Raw Data'!A1105</f>
        <v>40323</v>
      </c>
      <c r="C1105" s="6" t="n">
        <f aca="false">'Raw Data'!D1105</f>
        <v>212.955317634339</v>
      </c>
      <c r="D1105" s="6" t="n">
        <f aca="false">'Raw Data'!E1105</f>
        <v>3.55</v>
      </c>
      <c r="E1105" s="6" t="n">
        <f aca="false">'Raw Data'!F1105</f>
        <v>0</v>
      </c>
      <c r="F1105" s="6" t="n">
        <f aca="false">'Raw Data'!G1105</f>
        <v>0</v>
      </c>
      <c r="G1105" s="6" t="n">
        <f aca="false">'Raw Data'!H1105</f>
        <v>0</v>
      </c>
      <c r="H1105" s="6" t="n">
        <f aca="false">'Raw Data'!I1105</f>
        <v>0</v>
      </c>
      <c r="I1105" s="6" t="n">
        <f aca="false">'Raw Data'!J1105</f>
        <v>0</v>
      </c>
      <c r="J1105" s="6" t="n">
        <f aca="false">'Raw Data'!K1105</f>
        <v>2</v>
      </c>
      <c r="K1105" s="6" t="n">
        <f aca="false">'Raw Data'!L1105</f>
        <v>3</v>
      </c>
      <c r="L1105" s="6" t="n">
        <f aca="false">F1105*E1105</f>
        <v>0</v>
      </c>
      <c r="N1105" s="0" t="n">
        <v>1</v>
      </c>
      <c r="O1105" s="6" t="n">
        <f aca="false">D1105</f>
        <v>3.55</v>
      </c>
      <c r="P1105" s="6" t="n">
        <f aca="false">E1105</f>
        <v>0</v>
      </c>
      <c r="Q1105" s="6" t="n">
        <f aca="false">F1105</f>
        <v>0</v>
      </c>
      <c r="R1105" s="6" t="n">
        <f aca="false">G1105</f>
        <v>0</v>
      </c>
      <c r="S1105" s="6" t="n">
        <f aca="false">H1105</f>
        <v>0</v>
      </c>
      <c r="T1105" s="6" t="n">
        <f aca="false">I1105</f>
        <v>0</v>
      </c>
      <c r="U1105" s="6" t="n">
        <f aca="false">L1105</f>
        <v>0</v>
      </c>
      <c r="W1105" s="6" t="n">
        <f aca="false">D1105</f>
        <v>3.55</v>
      </c>
      <c r="X1105" s="6" t="n">
        <f aca="false">E1105</f>
        <v>0</v>
      </c>
      <c r="Y1105" s="6" t="n">
        <f aca="false">F1105</f>
        <v>0</v>
      </c>
      <c r="Z1105" s="6" t="n">
        <f aca="false">L1105</f>
        <v>0</v>
      </c>
      <c r="AA1105" s="6" t="n">
        <f aca="false">G1105</f>
        <v>0</v>
      </c>
      <c r="AC1105" s="6" t="n">
        <f aca="false">D1105</f>
        <v>3.55</v>
      </c>
      <c r="AD1105" s="6" t="n">
        <f aca="false">E1105</f>
        <v>0</v>
      </c>
      <c r="AE1105" s="6" t="n">
        <f aca="false">G1105</f>
        <v>0</v>
      </c>
      <c r="AF1105" s="6" t="n">
        <f aca="false">H1105</f>
        <v>0</v>
      </c>
      <c r="AG1105" s="6" t="n">
        <f aca="false">I1105</f>
        <v>0</v>
      </c>
      <c r="AH1105" s="6" t="n">
        <f aca="false">L1105</f>
        <v>0</v>
      </c>
    </row>
    <row r="1106" customFormat="false" ht="15" hidden="false" customHeight="false" outlineLevel="0" collapsed="false">
      <c r="A1106" s="0" t="str">
        <f aca="false">'Raw Data'!C1106</f>
        <v>Alpharetta (aka Alpharetta Harry's)</v>
      </c>
      <c r="B1106" s="5" t="n">
        <f aca="false">'Raw Data'!A1106</f>
        <v>40330</v>
      </c>
      <c r="C1106" s="6" t="n">
        <f aca="false">'Raw Data'!D1106</f>
        <v>162.340529150627</v>
      </c>
      <c r="D1106" s="6" t="n">
        <f aca="false">'Raw Data'!E1106</f>
        <v>3.534444444</v>
      </c>
      <c r="E1106" s="6" t="n">
        <f aca="false">'Raw Data'!F1106</f>
        <v>0</v>
      </c>
      <c r="F1106" s="6" t="n">
        <f aca="false">'Raw Data'!G1106</f>
        <v>0</v>
      </c>
      <c r="G1106" s="6" t="n">
        <f aca="false">'Raw Data'!H1106</f>
        <v>0</v>
      </c>
      <c r="H1106" s="6" t="n">
        <f aca="false">'Raw Data'!I1106</f>
        <v>0</v>
      </c>
      <c r="I1106" s="6" t="n">
        <f aca="false">'Raw Data'!J1106</f>
        <v>0</v>
      </c>
      <c r="J1106" s="6" t="n">
        <f aca="false">'Raw Data'!K1106</f>
        <v>2</v>
      </c>
      <c r="K1106" s="6" t="n">
        <f aca="false">'Raw Data'!L1106</f>
        <v>3</v>
      </c>
      <c r="L1106" s="6" t="n">
        <f aca="false">F1106*E1106</f>
        <v>0</v>
      </c>
      <c r="N1106" s="0" t="n">
        <v>1</v>
      </c>
      <c r="O1106" s="6" t="n">
        <f aca="false">D1106</f>
        <v>3.534444444</v>
      </c>
      <c r="P1106" s="6" t="n">
        <f aca="false">E1106</f>
        <v>0</v>
      </c>
      <c r="Q1106" s="6" t="n">
        <f aca="false">F1106</f>
        <v>0</v>
      </c>
      <c r="R1106" s="6" t="n">
        <f aca="false">G1106</f>
        <v>0</v>
      </c>
      <c r="S1106" s="6" t="n">
        <f aca="false">H1106</f>
        <v>0</v>
      </c>
      <c r="T1106" s="6" t="n">
        <f aca="false">I1106</f>
        <v>0</v>
      </c>
      <c r="U1106" s="6" t="n">
        <f aca="false">L1106</f>
        <v>0</v>
      </c>
      <c r="W1106" s="6" t="n">
        <f aca="false">D1106</f>
        <v>3.534444444</v>
      </c>
      <c r="X1106" s="6" t="n">
        <f aca="false">E1106</f>
        <v>0</v>
      </c>
      <c r="Y1106" s="6" t="n">
        <f aca="false">F1106</f>
        <v>0</v>
      </c>
      <c r="Z1106" s="6" t="n">
        <f aca="false">L1106</f>
        <v>0</v>
      </c>
      <c r="AA1106" s="6" t="n">
        <f aca="false">G1106</f>
        <v>0</v>
      </c>
      <c r="AC1106" s="6" t="n">
        <f aca="false">D1106</f>
        <v>3.534444444</v>
      </c>
      <c r="AD1106" s="6" t="n">
        <f aca="false">E1106</f>
        <v>0</v>
      </c>
      <c r="AE1106" s="6" t="n">
        <f aca="false">G1106</f>
        <v>0</v>
      </c>
      <c r="AF1106" s="6" t="n">
        <f aca="false">H1106</f>
        <v>0</v>
      </c>
      <c r="AG1106" s="6" t="n">
        <f aca="false">I1106</f>
        <v>0</v>
      </c>
      <c r="AH1106" s="6" t="n">
        <f aca="false">L1106</f>
        <v>0</v>
      </c>
    </row>
    <row r="1107" customFormat="false" ht="15" hidden="false" customHeight="false" outlineLevel="0" collapsed="false">
      <c r="A1107" s="0" t="str">
        <f aca="false">'Raw Data'!C1107</f>
        <v>Alpharetta (aka Alpharetta Harry's)</v>
      </c>
      <c r="B1107" s="5" t="n">
        <f aca="false">'Raw Data'!A1107</f>
        <v>40337</v>
      </c>
      <c r="C1107" s="6" t="n">
        <f aca="false">'Raw Data'!D1107</f>
        <v>196.185915829739</v>
      </c>
      <c r="D1107" s="6" t="n">
        <f aca="false">'Raw Data'!E1107</f>
        <v>3.861428571</v>
      </c>
      <c r="E1107" s="6" t="n">
        <f aca="false">'Raw Data'!F1107</f>
        <v>0</v>
      </c>
      <c r="F1107" s="6" t="n">
        <f aca="false">'Raw Data'!G1107</f>
        <v>0</v>
      </c>
      <c r="G1107" s="6" t="n">
        <f aca="false">'Raw Data'!H1107</f>
        <v>0</v>
      </c>
      <c r="H1107" s="6" t="n">
        <f aca="false">'Raw Data'!I1107</f>
        <v>0</v>
      </c>
      <c r="I1107" s="6" t="n">
        <f aca="false">'Raw Data'!J1107</f>
        <v>0</v>
      </c>
      <c r="J1107" s="6" t="n">
        <f aca="false">'Raw Data'!K1107</f>
        <v>2</v>
      </c>
      <c r="K1107" s="6" t="n">
        <f aca="false">'Raw Data'!L1107</f>
        <v>3</v>
      </c>
      <c r="L1107" s="6" t="n">
        <f aca="false">F1107*E1107</f>
        <v>0</v>
      </c>
      <c r="N1107" s="0" t="n">
        <v>1</v>
      </c>
      <c r="O1107" s="6" t="n">
        <f aca="false">D1107</f>
        <v>3.861428571</v>
      </c>
      <c r="P1107" s="6" t="n">
        <f aca="false">E1107</f>
        <v>0</v>
      </c>
      <c r="Q1107" s="6" t="n">
        <f aca="false">F1107</f>
        <v>0</v>
      </c>
      <c r="R1107" s="6" t="n">
        <f aca="false">G1107</f>
        <v>0</v>
      </c>
      <c r="S1107" s="6" t="n">
        <f aca="false">H1107</f>
        <v>0</v>
      </c>
      <c r="T1107" s="6" t="n">
        <f aca="false">I1107</f>
        <v>0</v>
      </c>
      <c r="U1107" s="6" t="n">
        <f aca="false">L1107</f>
        <v>0</v>
      </c>
      <c r="W1107" s="6" t="n">
        <f aca="false">D1107</f>
        <v>3.861428571</v>
      </c>
      <c r="X1107" s="6" t="n">
        <f aca="false">E1107</f>
        <v>0</v>
      </c>
      <c r="Y1107" s="6" t="n">
        <f aca="false">F1107</f>
        <v>0</v>
      </c>
      <c r="Z1107" s="6" t="n">
        <f aca="false">L1107</f>
        <v>0</v>
      </c>
      <c r="AA1107" s="6" t="n">
        <f aca="false">G1107</f>
        <v>0</v>
      </c>
      <c r="AC1107" s="6" t="n">
        <f aca="false">D1107</f>
        <v>3.861428571</v>
      </c>
      <c r="AD1107" s="6" t="n">
        <f aca="false">E1107</f>
        <v>0</v>
      </c>
      <c r="AE1107" s="6" t="n">
        <f aca="false">G1107</f>
        <v>0</v>
      </c>
      <c r="AF1107" s="6" t="n">
        <f aca="false">H1107</f>
        <v>0</v>
      </c>
      <c r="AG1107" s="6" t="n">
        <f aca="false">I1107</f>
        <v>0</v>
      </c>
      <c r="AH1107" s="6" t="n">
        <f aca="false">L1107</f>
        <v>0</v>
      </c>
    </row>
    <row r="1108" customFormat="false" ht="15" hidden="false" customHeight="false" outlineLevel="0" collapsed="false">
      <c r="A1108" s="0" t="str">
        <f aca="false">'Raw Data'!C1108</f>
        <v>Alpharetta (aka Alpharetta Harry's)</v>
      </c>
      <c r="B1108" s="5" t="n">
        <f aca="false">'Raw Data'!A1108</f>
        <v>40344</v>
      </c>
      <c r="C1108" s="6" t="n">
        <f aca="false">'Raw Data'!D1108</f>
        <v>189.97022168515</v>
      </c>
      <c r="D1108" s="6" t="n">
        <f aca="false">'Raw Data'!E1108</f>
        <v>3.64</v>
      </c>
      <c r="E1108" s="6" t="n">
        <f aca="false">'Raw Data'!F1108</f>
        <v>0</v>
      </c>
      <c r="F1108" s="6" t="n">
        <f aca="false">'Raw Data'!G1108</f>
        <v>0</v>
      </c>
      <c r="G1108" s="6" t="n">
        <f aca="false">'Raw Data'!H1108</f>
        <v>0</v>
      </c>
      <c r="H1108" s="6" t="n">
        <f aca="false">'Raw Data'!I1108</f>
        <v>0</v>
      </c>
      <c r="I1108" s="6" t="n">
        <f aca="false">'Raw Data'!J1108</f>
        <v>0</v>
      </c>
      <c r="J1108" s="6" t="n">
        <f aca="false">'Raw Data'!K1108</f>
        <v>2</v>
      </c>
      <c r="K1108" s="6" t="n">
        <f aca="false">'Raw Data'!L1108</f>
        <v>3</v>
      </c>
      <c r="L1108" s="6" t="n">
        <f aca="false">F1108*E1108</f>
        <v>0</v>
      </c>
      <c r="N1108" s="0" t="n">
        <v>1</v>
      </c>
      <c r="O1108" s="6" t="n">
        <f aca="false">D1108</f>
        <v>3.64</v>
      </c>
      <c r="P1108" s="6" t="n">
        <f aca="false">E1108</f>
        <v>0</v>
      </c>
      <c r="Q1108" s="6" t="n">
        <f aca="false">F1108</f>
        <v>0</v>
      </c>
      <c r="R1108" s="6" t="n">
        <f aca="false">G1108</f>
        <v>0</v>
      </c>
      <c r="S1108" s="6" t="n">
        <f aca="false">H1108</f>
        <v>0</v>
      </c>
      <c r="T1108" s="6" t="n">
        <f aca="false">I1108</f>
        <v>0</v>
      </c>
      <c r="U1108" s="6" t="n">
        <f aca="false">L1108</f>
        <v>0</v>
      </c>
      <c r="W1108" s="6" t="n">
        <f aca="false">D1108</f>
        <v>3.64</v>
      </c>
      <c r="X1108" s="6" t="n">
        <f aca="false">E1108</f>
        <v>0</v>
      </c>
      <c r="Y1108" s="6" t="n">
        <f aca="false">F1108</f>
        <v>0</v>
      </c>
      <c r="Z1108" s="6" t="n">
        <f aca="false">L1108</f>
        <v>0</v>
      </c>
      <c r="AA1108" s="6" t="n">
        <f aca="false">G1108</f>
        <v>0</v>
      </c>
      <c r="AC1108" s="6" t="n">
        <f aca="false">D1108</f>
        <v>3.64</v>
      </c>
      <c r="AD1108" s="6" t="n">
        <f aca="false">E1108</f>
        <v>0</v>
      </c>
      <c r="AE1108" s="6" t="n">
        <f aca="false">G1108</f>
        <v>0</v>
      </c>
      <c r="AF1108" s="6" t="n">
        <f aca="false">H1108</f>
        <v>0</v>
      </c>
      <c r="AG1108" s="6" t="n">
        <f aca="false">I1108</f>
        <v>0</v>
      </c>
      <c r="AH1108" s="6" t="n">
        <f aca="false">L1108</f>
        <v>0</v>
      </c>
    </row>
    <row r="1109" customFormat="false" ht="15" hidden="false" customHeight="false" outlineLevel="0" collapsed="false">
      <c r="A1109" s="0" t="str">
        <f aca="false">'Raw Data'!C1109</f>
        <v>Alpharetta (aka Alpharetta Harry's)</v>
      </c>
      <c r="B1109" s="5" t="n">
        <f aca="false">'Raw Data'!A1109</f>
        <v>40351</v>
      </c>
      <c r="C1109" s="6" t="n">
        <f aca="false">'Raw Data'!D1109</f>
        <v>218.373252849237</v>
      </c>
      <c r="D1109" s="6" t="n">
        <f aca="false">'Raw Data'!E1109</f>
        <v>3.845555556</v>
      </c>
      <c r="E1109" s="6" t="n">
        <f aca="false">'Raw Data'!F1109</f>
        <v>0</v>
      </c>
      <c r="F1109" s="6" t="n">
        <f aca="false">'Raw Data'!G1109</f>
        <v>0</v>
      </c>
      <c r="G1109" s="6" t="n">
        <f aca="false">'Raw Data'!H1109</f>
        <v>0</v>
      </c>
      <c r="H1109" s="6" t="n">
        <f aca="false">'Raw Data'!I1109</f>
        <v>0</v>
      </c>
      <c r="I1109" s="6" t="n">
        <f aca="false">'Raw Data'!J1109</f>
        <v>0</v>
      </c>
      <c r="J1109" s="6" t="n">
        <f aca="false">'Raw Data'!K1109</f>
        <v>2</v>
      </c>
      <c r="K1109" s="6" t="n">
        <f aca="false">'Raw Data'!L1109</f>
        <v>3</v>
      </c>
      <c r="L1109" s="6" t="n">
        <f aca="false">F1109*E1109</f>
        <v>0</v>
      </c>
      <c r="N1109" s="0" t="n">
        <v>1</v>
      </c>
      <c r="O1109" s="6" t="n">
        <f aca="false">D1109</f>
        <v>3.845555556</v>
      </c>
      <c r="P1109" s="6" t="n">
        <f aca="false">E1109</f>
        <v>0</v>
      </c>
      <c r="Q1109" s="6" t="n">
        <f aca="false">F1109</f>
        <v>0</v>
      </c>
      <c r="R1109" s="6" t="n">
        <f aca="false">G1109</f>
        <v>0</v>
      </c>
      <c r="S1109" s="6" t="n">
        <f aca="false">H1109</f>
        <v>0</v>
      </c>
      <c r="T1109" s="6" t="n">
        <f aca="false">I1109</f>
        <v>0</v>
      </c>
      <c r="U1109" s="6" t="n">
        <f aca="false">L1109</f>
        <v>0</v>
      </c>
      <c r="W1109" s="6" t="n">
        <f aca="false">D1109</f>
        <v>3.845555556</v>
      </c>
      <c r="X1109" s="6" t="n">
        <f aca="false">E1109</f>
        <v>0</v>
      </c>
      <c r="Y1109" s="6" t="n">
        <f aca="false">F1109</f>
        <v>0</v>
      </c>
      <c r="Z1109" s="6" t="n">
        <f aca="false">L1109</f>
        <v>0</v>
      </c>
      <c r="AA1109" s="6" t="n">
        <f aca="false">G1109</f>
        <v>0</v>
      </c>
      <c r="AC1109" s="6" t="n">
        <f aca="false">D1109</f>
        <v>3.845555556</v>
      </c>
      <c r="AD1109" s="6" t="n">
        <f aca="false">E1109</f>
        <v>0</v>
      </c>
      <c r="AE1109" s="6" t="n">
        <f aca="false">G1109</f>
        <v>0</v>
      </c>
      <c r="AF1109" s="6" t="n">
        <f aca="false">H1109</f>
        <v>0</v>
      </c>
      <c r="AG1109" s="6" t="n">
        <f aca="false">I1109</f>
        <v>0</v>
      </c>
      <c r="AH1109" s="6" t="n">
        <f aca="false">L1109</f>
        <v>0</v>
      </c>
    </row>
    <row r="1110" customFormat="false" ht="15" hidden="false" customHeight="false" outlineLevel="0" collapsed="false">
      <c r="A1110" s="0" t="str">
        <f aca="false">'Raw Data'!C1110</f>
        <v>Alpharetta (aka Alpharetta Harry's)</v>
      </c>
      <c r="B1110" s="5" t="n">
        <f aca="false">'Raw Data'!A1110</f>
        <v>40358</v>
      </c>
      <c r="C1110" s="6" t="n">
        <f aca="false">'Raw Data'!D1110</f>
        <v>116.253893532967</v>
      </c>
      <c r="D1110" s="6" t="n">
        <f aca="false">'Raw Data'!E1110</f>
        <v>4.0275</v>
      </c>
      <c r="E1110" s="6" t="n">
        <f aca="false">'Raw Data'!F1110</f>
        <v>0</v>
      </c>
      <c r="F1110" s="6" t="n">
        <f aca="false">'Raw Data'!G1110</f>
        <v>0</v>
      </c>
      <c r="G1110" s="6" t="n">
        <f aca="false">'Raw Data'!H1110</f>
        <v>0</v>
      </c>
      <c r="H1110" s="6" t="n">
        <f aca="false">'Raw Data'!I1110</f>
        <v>0</v>
      </c>
      <c r="I1110" s="6" t="n">
        <f aca="false">'Raw Data'!J1110</f>
        <v>0</v>
      </c>
      <c r="J1110" s="6" t="n">
        <f aca="false">'Raw Data'!K1110</f>
        <v>2</v>
      </c>
      <c r="K1110" s="6" t="n">
        <f aca="false">'Raw Data'!L1110</f>
        <v>3</v>
      </c>
      <c r="L1110" s="6" t="n">
        <f aca="false">F1110*E1110</f>
        <v>0</v>
      </c>
      <c r="N1110" s="0" t="n">
        <v>1</v>
      </c>
      <c r="O1110" s="6" t="n">
        <f aca="false">D1110</f>
        <v>4.0275</v>
      </c>
      <c r="P1110" s="6" t="n">
        <f aca="false">E1110</f>
        <v>0</v>
      </c>
      <c r="Q1110" s="6" t="n">
        <f aca="false">F1110</f>
        <v>0</v>
      </c>
      <c r="R1110" s="6" t="n">
        <f aca="false">G1110</f>
        <v>0</v>
      </c>
      <c r="S1110" s="6" t="n">
        <f aca="false">H1110</f>
        <v>0</v>
      </c>
      <c r="T1110" s="6" t="n">
        <f aca="false">I1110</f>
        <v>0</v>
      </c>
      <c r="U1110" s="6" t="n">
        <f aca="false">L1110</f>
        <v>0</v>
      </c>
      <c r="W1110" s="6" t="n">
        <f aca="false">D1110</f>
        <v>4.0275</v>
      </c>
      <c r="X1110" s="6" t="n">
        <f aca="false">E1110</f>
        <v>0</v>
      </c>
      <c r="Y1110" s="6" t="n">
        <f aca="false">F1110</f>
        <v>0</v>
      </c>
      <c r="Z1110" s="6" t="n">
        <f aca="false">L1110</f>
        <v>0</v>
      </c>
      <c r="AA1110" s="6" t="n">
        <f aca="false">G1110</f>
        <v>0</v>
      </c>
      <c r="AC1110" s="6" t="n">
        <f aca="false">D1110</f>
        <v>4.0275</v>
      </c>
      <c r="AD1110" s="6" t="n">
        <f aca="false">E1110</f>
        <v>0</v>
      </c>
      <c r="AE1110" s="6" t="n">
        <f aca="false">G1110</f>
        <v>0</v>
      </c>
      <c r="AF1110" s="6" t="n">
        <f aca="false">H1110</f>
        <v>0</v>
      </c>
      <c r="AG1110" s="6" t="n">
        <f aca="false">I1110</f>
        <v>0</v>
      </c>
      <c r="AH1110" s="6" t="n">
        <f aca="false">L1110</f>
        <v>0</v>
      </c>
    </row>
    <row r="1111" customFormat="false" ht="15" hidden="false" customHeight="false" outlineLevel="0" collapsed="false">
      <c r="A1111" s="0" t="str">
        <f aca="false">'Raw Data'!C1111</f>
        <v>Alpharetta (aka Alpharetta Harry's)</v>
      </c>
      <c r="B1111" s="5" t="n">
        <f aca="false">'Raw Data'!A1111</f>
        <v>40365</v>
      </c>
      <c r="C1111" s="6" t="n">
        <f aca="false">'Raw Data'!D1111</f>
        <v>244.414461284145</v>
      </c>
      <c r="D1111" s="6" t="n">
        <f aca="false">'Raw Data'!E1111</f>
        <v>3.625555556</v>
      </c>
      <c r="E1111" s="6" t="n">
        <f aca="false">'Raw Data'!F1111</f>
        <v>0</v>
      </c>
      <c r="F1111" s="6" t="n">
        <f aca="false">'Raw Data'!G1111</f>
        <v>0</v>
      </c>
      <c r="G1111" s="6" t="n">
        <f aca="false">'Raw Data'!H1111</f>
        <v>0</v>
      </c>
      <c r="H1111" s="6" t="n">
        <f aca="false">'Raw Data'!I1111</f>
        <v>0</v>
      </c>
      <c r="I1111" s="6" t="n">
        <f aca="false">'Raw Data'!J1111</f>
        <v>0</v>
      </c>
      <c r="J1111" s="6" t="n">
        <f aca="false">'Raw Data'!K1111</f>
        <v>2</v>
      </c>
      <c r="K1111" s="6" t="n">
        <f aca="false">'Raw Data'!L1111</f>
        <v>3</v>
      </c>
      <c r="L1111" s="6" t="n">
        <f aca="false">F1111*E1111</f>
        <v>0</v>
      </c>
      <c r="N1111" s="0" t="n">
        <v>1</v>
      </c>
      <c r="O1111" s="6" t="n">
        <f aca="false">D1111</f>
        <v>3.625555556</v>
      </c>
      <c r="P1111" s="6" t="n">
        <f aca="false">E1111</f>
        <v>0</v>
      </c>
      <c r="Q1111" s="6" t="n">
        <f aca="false">F1111</f>
        <v>0</v>
      </c>
      <c r="R1111" s="6" t="n">
        <f aca="false">G1111</f>
        <v>0</v>
      </c>
      <c r="S1111" s="6" t="n">
        <f aca="false">H1111</f>
        <v>0</v>
      </c>
      <c r="T1111" s="6" t="n">
        <f aca="false">I1111</f>
        <v>0</v>
      </c>
      <c r="U1111" s="6" t="n">
        <f aca="false">L1111</f>
        <v>0</v>
      </c>
      <c r="W1111" s="6" t="n">
        <f aca="false">D1111</f>
        <v>3.625555556</v>
      </c>
      <c r="X1111" s="6" t="n">
        <f aca="false">E1111</f>
        <v>0</v>
      </c>
      <c r="Y1111" s="6" t="n">
        <f aca="false">F1111</f>
        <v>0</v>
      </c>
      <c r="Z1111" s="6" t="n">
        <f aca="false">L1111</f>
        <v>0</v>
      </c>
      <c r="AA1111" s="6" t="n">
        <f aca="false">G1111</f>
        <v>0</v>
      </c>
      <c r="AC1111" s="6" t="n">
        <f aca="false">D1111</f>
        <v>3.625555556</v>
      </c>
      <c r="AD1111" s="6" t="n">
        <f aca="false">E1111</f>
        <v>0</v>
      </c>
      <c r="AE1111" s="6" t="n">
        <f aca="false">G1111</f>
        <v>0</v>
      </c>
      <c r="AF1111" s="6" t="n">
        <f aca="false">H1111</f>
        <v>0</v>
      </c>
      <c r="AG1111" s="6" t="n">
        <f aca="false">I1111</f>
        <v>0</v>
      </c>
      <c r="AH1111" s="6" t="n">
        <f aca="false">L1111</f>
        <v>0</v>
      </c>
    </row>
    <row r="1112" customFormat="false" ht="15" hidden="false" customHeight="false" outlineLevel="0" collapsed="false">
      <c r="A1112" s="0" t="str">
        <f aca="false">'Raw Data'!C1112</f>
        <v>Alpharetta (aka Alpharetta Harry's)</v>
      </c>
      <c r="B1112" s="5" t="n">
        <f aca="false">'Raw Data'!A1112</f>
        <v>40372</v>
      </c>
      <c r="C1112" s="6" t="n">
        <f aca="false">'Raw Data'!D1112</f>
        <v>259.798453524139</v>
      </c>
      <c r="D1112" s="6" t="n">
        <f aca="false">'Raw Data'!E1112</f>
        <v>3.7875</v>
      </c>
      <c r="E1112" s="6" t="n">
        <f aca="false">'Raw Data'!F1112</f>
        <v>0</v>
      </c>
      <c r="F1112" s="6" t="n">
        <f aca="false">'Raw Data'!G1112</f>
        <v>0</v>
      </c>
      <c r="G1112" s="6" t="n">
        <f aca="false">'Raw Data'!H1112</f>
        <v>0</v>
      </c>
      <c r="H1112" s="6" t="n">
        <f aca="false">'Raw Data'!I1112</f>
        <v>0</v>
      </c>
      <c r="I1112" s="6" t="n">
        <f aca="false">'Raw Data'!J1112</f>
        <v>0</v>
      </c>
      <c r="J1112" s="6" t="n">
        <f aca="false">'Raw Data'!K1112</f>
        <v>2</v>
      </c>
      <c r="K1112" s="6" t="n">
        <f aca="false">'Raw Data'!L1112</f>
        <v>3</v>
      </c>
      <c r="L1112" s="6" t="n">
        <f aca="false">F1112*E1112</f>
        <v>0</v>
      </c>
      <c r="N1112" s="0" t="n">
        <v>1</v>
      </c>
      <c r="O1112" s="6" t="n">
        <f aca="false">D1112</f>
        <v>3.7875</v>
      </c>
      <c r="P1112" s="6" t="n">
        <f aca="false">E1112</f>
        <v>0</v>
      </c>
      <c r="Q1112" s="6" t="n">
        <f aca="false">F1112</f>
        <v>0</v>
      </c>
      <c r="R1112" s="6" t="n">
        <f aca="false">G1112</f>
        <v>0</v>
      </c>
      <c r="S1112" s="6" t="n">
        <f aca="false">H1112</f>
        <v>0</v>
      </c>
      <c r="T1112" s="6" t="n">
        <f aca="false">I1112</f>
        <v>0</v>
      </c>
      <c r="U1112" s="6" t="n">
        <f aca="false">L1112</f>
        <v>0</v>
      </c>
      <c r="W1112" s="6" t="n">
        <f aca="false">D1112</f>
        <v>3.7875</v>
      </c>
      <c r="X1112" s="6" t="n">
        <f aca="false">E1112</f>
        <v>0</v>
      </c>
      <c r="Y1112" s="6" t="n">
        <f aca="false">F1112</f>
        <v>0</v>
      </c>
      <c r="Z1112" s="6" t="n">
        <f aca="false">L1112</f>
        <v>0</v>
      </c>
      <c r="AA1112" s="6" t="n">
        <f aca="false">G1112</f>
        <v>0</v>
      </c>
      <c r="AC1112" s="6" t="n">
        <f aca="false">D1112</f>
        <v>3.7875</v>
      </c>
      <c r="AD1112" s="6" t="n">
        <f aca="false">E1112</f>
        <v>0</v>
      </c>
      <c r="AE1112" s="6" t="n">
        <f aca="false">G1112</f>
        <v>0</v>
      </c>
      <c r="AF1112" s="6" t="n">
        <f aca="false">H1112</f>
        <v>0</v>
      </c>
      <c r="AG1112" s="6" t="n">
        <f aca="false">I1112</f>
        <v>0</v>
      </c>
      <c r="AH1112" s="6" t="n">
        <f aca="false">L1112</f>
        <v>0</v>
      </c>
    </row>
    <row r="1113" customFormat="false" ht="15" hidden="false" customHeight="false" outlineLevel="0" collapsed="false">
      <c r="A1113" s="0" t="str">
        <f aca="false">'Raw Data'!C1113</f>
        <v>Cobb (aka Cobb Harry's)</v>
      </c>
      <c r="B1113" s="5" t="n">
        <f aca="false">'Raw Data'!A1113</f>
        <v>40302</v>
      </c>
      <c r="C1113" s="6" t="n">
        <f aca="false">'Raw Data'!D1113</f>
        <v>87.7735844355747</v>
      </c>
      <c r="D1113" s="6" t="n">
        <f aca="false">'Raw Data'!E1113</f>
        <v>4.047142857</v>
      </c>
      <c r="E1113" s="6" t="n">
        <f aca="false">'Raw Data'!F1113</f>
        <v>0</v>
      </c>
      <c r="F1113" s="6" t="n">
        <f aca="false">'Raw Data'!G1113</f>
        <v>0</v>
      </c>
      <c r="G1113" s="6" t="n">
        <f aca="false">'Raw Data'!H1113</f>
        <v>0</v>
      </c>
      <c r="H1113" s="6" t="n">
        <f aca="false">'Raw Data'!I1113</f>
        <v>0</v>
      </c>
      <c r="I1113" s="6" t="n">
        <f aca="false">'Raw Data'!J1113</f>
        <v>0</v>
      </c>
      <c r="J1113" s="6" t="n">
        <f aca="false">'Raw Data'!K1113</f>
        <v>0</v>
      </c>
      <c r="K1113" s="6" t="n">
        <f aca="false">'Raw Data'!L1113</f>
        <v>4</v>
      </c>
      <c r="L1113" s="6" t="n">
        <f aca="false">F1113*E1113</f>
        <v>0</v>
      </c>
      <c r="N1113" s="0" t="n">
        <v>1</v>
      </c>
      <c r="O1113" s="6" t="n">
        <f aca="false">D1113</f>
        <v>4.047142857</v>
      </c>
      <c r="P1113" s="6" t="n">
        <f aca="false">E1113</f>
        <v>0</v>
      </c>
      <c r="Q1113" s="6" t="n">
        <f aca="false">F1113</f>
        <v>0</v>
      </c>
      <c r="R1113" s="6" t="n">
        <f aca="false">G1113</f>
        <v>0</v>
      </c>
      <c r="S1113" s="6" t="n">
        <f aca="false">H1113</f>
        <v>0</v>
      </c>
      <c r="T1113" s="6" t="n">
        <f aca="false">I1113</f>
        <v>0</v>
      </c>
      <c r="U1113" s="6" t="n">
        <f aca="false">L1113</f>
        <v>0</v>
      </c>
      <c r="W1113" s="6" t="n">
        <f aca="false">D1113</f>
        <v>4.047142857</v>
      </c>
      <c r="X1113" s="6" t="n">
        <f aca="false">E1113</f>
        <v>0</v>
      </c>
      <c r="Y1113" s="6" t="n">
        <f aca="false">F1113</f>
        <v>0</v>
      </c>
      <c r="Z1113" s="6" t="n">
        <f aca="false">L1113</f>
        <v>0</v>
      </c>
      <c r="AA1113" s="6" t="n">
        <f aca="false">G1113</f>
        <v>0</v>
      </c>
      <c r="AC1113" s="6" t="n">
        <f aca="false">D1113</f>
        <v>4.047142857</v>
      </c>
      <c r="AD1113" s="6" t="n">
        <f aca="false">E1113</f>
        <v>0</v>
      </c>
      <c r="AE1113" s="6" t="n">
        <f aca="false">G1113</f>
        <v>0</v>
      </c>
      <c r="AF1113" s="6" t="n">
        <f aca="false">H1113</f>
        <v>0</v>
      </c>
      <c r="AG1113" s="6" t="n">
        <f aca="false">I1113</f>
        <v>0</v>
      </c>
      <c r="AH1113" s="6" t="n">
        <f aca="false">L1113</f>
        <v>0</v>
      </c>
    </row>
    <row r="1114" customFormat="false" ht="15" hidden="false" customHeight="false" outlineLevel="0" collapsed="false">
      <c r="A1114" s="0" t="str">
        <f aca="false">'Raw Data'!C1114</f>
        <v>Cobb (aka Cobb Harry's)</v>
      </c>
      <c r="B1114" s="5" t="n">
        <f aca="false">'Raw Data'!A1114</f>
        <v>40309</v>
      </c>
      <c r="C1114" s="6" t="n">
        <f aca="false">'Raw Data'!D1114</f>
        <v>245.933524310011</v>
      </c>
      <c r="D1114" s="6" t="n">
        <f aca="false">'Raw Data'!E1114</f>
        <v>3.715</v>
      </c>
      <c r="E1114" s="6" t="n">
        <f aca="false">'Raw Data'!F1114</f>
        <v>0</v>
      </c>
      <c r="F1114" s="6" t="n">
        <f aca="false">'Raw Data'!G1114</f>
        <v>0</v>
      </c>
      <c r="G1114" s="6" t="n">
        <f aca="false">'Raw Data'!H1114</f>
        <v>0</v>
      </c>
      <c r="H1114" s="6" t="n">
        <f aca="false">'Raw Data'!I1114</f>
        <v>0</v>
      </c>
      <c r="I1114" s="6" t="n">
        <f aca="false">'Raw Data'!J1114</f>
        <v>0</v>
      </c>
      <c r="J1114" s="6" t="n">
        <f aca="false">'Raw Data'!K1114</f>
        <v>0</v>
      </c>
      <c r="K1114" s="6" t="n">
        <f aca="false">'Raw Data'!L1114</f>
        <v>4</v>
      </c>
      <c r="L1114" s="6" t="n">
        <f aca="false">F1114*E1114</f>
        <v>0</v>
      </c>
      <c r="N1114" s="0" t="n">
        <v>1</v>
      </c>
      <c r="O1114" s="6" t="n">
        <f aca="false">D1114</f>
        <v>3.715</v>
      </c>
      <c r="P1114" s="6" t="n">
        <f aca="false">E1114</f>
        <v>0</v>
      </c>
      <c r="Q1114" s="6" t="n">
        <f aca="false">F1114</f>
        <v>0</v>
      </c>
      <c r="R1114" s="6" t="n">
        <f aca="false">G1114</f>
        <v>0</v>
      </c>
      <c r="S1114" s="6" t="n">
        <f aca="false">H1114</f>
        <v>0</v>
      </c>
      <c r="T1114" s="6" t="n">
        <f aca="false">I1114</f>
        <v>0</v>
      </c>
      <c r="U1114" s="6" t="n">
        <f aca="false">L1114</f>
        <v>0</v>
      </c>
      <c r="W1114" s="6" t="n">
        <f aca="false">D1114</f>
        <v>3.715</v>
      </c>
      <c r="X1114" s="6" t="n">
        <f aca="false">E1114</f>
        <v>0</v>
      </c>
      <c r="Y1114" s="6" t="n">
        <f aca="false">F1114</f>
        <v>0</v>
      </c>
      <c r="Z1114" s="6" t="n">
        <f aca="false">L1114</f>
        <v>0</v>
      </c>
      <c r="AA1114" s="6" t="n">
        <f aca="false">G1114</f>
        <v>0</v>
      </c>
      <c r="AC1114" s="6" t="n">
        <f aca="false">D1114</f>
        <v>3.715</v>
      </c>
      <c r="AD1114" s="6" t="n">
        <f aca="false">E1114</f>
        <v>0</v>
      </c>
      <c r="AE1114" s="6" t="n">
        <f aca="false">G1114</f>
        <v>0</v>
      </c>
      <c r="AF1114" s="6" t="n">
        <f aca="false">H1114</f>
        <v>0</v>
      </c>
      <c r="AG1114" s="6" t="n">
        <f aca="false">I1114</f>
        <v>0</v>
      </c>
      <c r="AH1114" s="6" t="n">
        <f aca="false">L1114</f>
        <v>0</v>
      </c>
    </row>
    <row r="1115" customFormat="false" ht="15" hidden="false" customHeight="false" outlineLevel="0" collapsed="false">
      <c r="A1115" s="0" t="str">
        <f aca="false">'Raw Data'!C1115</f>
        <v>Cobb (aka Cobb Harry's)</v>
      </c>
      <c r="B1115" s="5" t="n">
        <f aca="false">'Raw Data'!A1115</f>
        <v>40316</v>
      </c>
      <c r="C1115" s="6" t="n">
        <f aca="false">'Raw Data'!D1115</f>
        <v>210.683381887239</v>
      </c>
      <c r="D1115" s="6" t="n">
        <f aca="false">'Raw Data'!E1115</f>
        <v>3.55</v>
      </c>
      <c r="E1115" s="6" t="n">
        <f aca="false">'Raw Data'!F1115</f>
        <v>0</v>
      </c>
      <c r="F1115" s="6" t="n">
        <f aca="false">'Raw Data'!G1115</f>
        <v>0</v>
      </c>
      <c r="G1115" s="6" t="n">
        <f aca="false">'Raw Data'!H1115</f>
        <v>0</v>
      </c>
      <c r="H1115" s="6" t="n">
        <f aca="false">'Raw Data'!I1115</f>
        <v>0</v>
      </c>
      <c r="I1115" s="6" t="n">
        <f aca="false">'Raw Data'!J1115</f>
        <v>0</v>
      </c>
      <c r="J1115" s="6" t="n">
        <f aca="false">'Raw Data'!K1115</f>
        <v>0</v>
      </c>
      <c r="K1115" s="6" t="n">
        <f aca="false">'Raw Data'!L1115</f>
        <v>4</v>
      </c>
      <c r="L1115" s="6" t="n">
        <f aca="false">F1115*E1115</f>
        <v>0</v>
      </c>
      <c r="N1115" s="0" t="n">
        <v>1</v>
      </c>
      <c r="O1115" s="6" t="n">
        <f aca="false">D1115</f>
        <v>3.55</v>
      </c>
      <c r="P1115" s="6" t="n">
        <f aca="false">E1115</f>
        <v>0</v>
      </c>
      <c r="Q1115" s="6" t="n">
        <f aca="false">F1115</f>
        <v>0</v>
      </c>
      <c r="R1115" s="6" t="n">
        <f aca="false">G1115</f>
        <v>0</v>
      </c>
      <c r="S1115" s="6" t="n">
        <f aca="false">H1115</f>
        <v>0</v>
      </c>
      <c r="T1115" s="6" t="n">
        <f aca="false">I1115</f>
        <v>0</v>
      </c>
      <c r="U1115" s="6" t="n">
        <f aca="false">L1115</f>
        <v>0</v>
      </c>
      <c r="W1115" s="6" t="n">
        <f aca="false">D1115</f>
        <v>3.55</v>
      </c>
      <c r="X1115" s="6" t="n">
        <f aca="false">E1115</f>
        <v>0</v>
      </c>
      <c r="Y1115" s="6" t="n">
        <f aca="false">F1115</f>
        <v>0</v>
      </c>
      <c r="Z1115" s="6" t="n">
        <f aca="false">L1115</f>
        <v>0</v>
      </c>
      <c r="AA1115" s="6" t="n">
        <f aca="false">G1115</f>
        <v>0</v>
      </c>
      <c r="AC1115" s="6" t="n">
        <f aca="false">D1115</f>
        <v>3.55</v>
      </c>
      <c r="AD1115" s="6" t="n">
        <f aca="false">E1115</f>
        <v>0</v>
      </c>
      <c r="AE1115" s="6" t="n">
        <f aca="false">G1115</f>
        <v>0</v>
      </c>
      <c r="AF1115" s="6" t="n">
        <f aca="false">H1115</f>
        <v>0</v>
      </c>
      <c r="AG1115" s="6" t="n">
        <f aca="false">I1115</f>
        <v>0</v>
      </c>
      <c r="AH1115" s="6" t="n">
        <f aca="false">L1115</f>
        <v>0</v>
      </c>
    </row>
    <row r="1116" customFormat="false" ht="15" hidden="false" customHeight="false" outlineLevel="0" collapsed="false">
      <c r="A1116" s="0" t="str">
        <f aca="false">'Raw Data'!C1116</f>
        <v>Cobb (aka Cobb Harry's)</v>
      </c>
      <c r="B1116" s="5" t="n">
        <f aca="false">'Raw Data'!A1116</f>
        <v>40323</v>
      </c>
      <c r="C1116" s="6" t="n">
        <f aca="false">'Raw Data'!D1116</f>
        <v>178.488467406892</v>
      </c>
      <c r="D1116" s="6" t="n">
        <f aca="false">'Raw Data'!E1116</f>
        <v>3.456666667</v>
      </c>
      <c r="E1116" s="6" t="n">
        <f aca="false">'Raw Data'!F1116</f>
        <v>0</v>
      </c>
      <c r="F1116" s="6" t="n">
        <f aca="false">'Raw Data'!G1116</f>
        <v>0</v>
      </c>
      <c r="G1116" s="6" t="n">
        <f aca="false">'Raw Data'!H1116</f>
        <v>0</v>
      </c>
      <c r="H1116" s="6" t="n">
        <f aca="false">'Raw Data'!I1116</f>
        <v>0</v>
      </c>
      <c r="I1116" s="6" t="n">
        <f aca="false">'Raw Data'!J1116</f>
        <v>0</v>
      </c>
      <c r="J1116" s="6" t="n">
        <f aca="false">'Raw Data'!K1116</f>
        <v>0</v>
      </c>
      <c r="K1116" s="6" t="n">
        <f aca="false">'Raw Data'!L1116</f>
        <v>4</v>
      </c>
      <c r="L1116" s="6" t="n">
        <f aca="false">F1116*E1116</f>
        <v>0</v>
      </c>
      <c r="N1116" s="0" t="n">
        <v>1</v>
      </c>
      <c r="O1116" s="6" t="n">
        <f aca="false">D1116</f>
        <v>3.456666667</v>
      </c>
      <c r="P1116" s="6" t="n">
        <f aca="false">E1116</f>
        <v>0</v>
      </c>
      <c r="Q1116" s="6" t="n">
        <f aca="false">F1116</f>
        <v>0</v>
      </c>
      <c r="R1116" s="6" t="n">
        <f aca="false">G1116</f>
        <v>0</v>
      </c>
      <c r="S1116" s="6" t="n">
        <f aca="false">H1116</f>
        <v>0</v>
      </c>
      <c r="T1116" s="6" t="n">
        <f aca="false">I1116</f>
        <v>0</v>
      </c>
      <c r="U1116" s="6" t="n">
        <f aca="false">L1116</f>
        <v>0</v>
      </c>
      <c r="W1116" s="6" t="n">
        <f aca="false">D1116</f>
        <v>3.456666667</v>
      </c>
      <c r="X1116" s="6" t="n">
        <f aca="false">E1116</f>
        <v>0</v>
      </c>
      <c r="Y1116" s="6" t="n">
        <f aca="false">F1116</f>
        <v>0</v>
      </c>
      <c r="Z1116" s="6" t="n">
        <f aca="false">L1116</f>
        <v>0</v>
      </c>
      <c r="AA1116" s="6" t="n">
        <f aca="false">G1116</f>
        <v>0</v>
      </c>
      <c r="AC1116" s="6" t="n">
        <f aca="false">D1116</f>
        <v>3.456666667</v>
      </c>
      <c r="AD1116" s="6" t="n">
        <f aca="false">E1116</f>
        <v>0</v>
      </c>
      <c r="AE1116" s="6" t="n">
        <f aca="false">G1116</f>
        <v>0</v>
      </c>
      <c r="AF1116" s="6" t="n">
        <f aca="false">H1116</f>
        <v>0</v>
      </c>
      <c r="AG1116" s="6" t="n">
        <f aca="false">I1116</f>
        <v>0</v>
      </c>
      <c r="AH1116" s="6" t="n">
        <f aca="false">L1116</f>
        <v>0</v>
      </c>
    </row>
    <row r="1117" customFormat="false" ht="15" hidden="false" customHeight="false" outlineLevel="0" collapsed="false">
      <c r="A1117" s="0" t="str">
        <f aca="false">'Raw Data'!C1117</f>
        <v>Cobb (aka Cobb Harry's)</v>
      </c>
      <c r="B1117" s="5" t="n">
        <f aca="false">'Raw Data'!A1117</f>
        <v>40330</v>
      </c>
      <c r="C1117" s="6" t="n">
        <f aca="false">'Raw Data'!D1117</f>
        <v>167.605026542743</v>
      </c>
      <c r="D1117" s="6" t="n">
        <f aca="false">'Raw Data'!E1117</f>
        <v>3.645555556</v>
      </c>
      <c r="E1117" s="6" t="n">
        <f aca="false">'Raw Data'!F1117</f>
        <v>0</v>
      </c>
      <c r="F1117" s="6" t="n">
        <f aca="false">'Raw Data'!G1117</f>
        <v>0</v>
      </c>
      <c r="G1117" s="6" t="n">
        <f aca="false">'Raw Data'!H1117</f>
        <v>0</v>
      </c>
      <c r="H1117" s="6" t="n">
        <f aca="false">'Raw Data'!I1117</f>
        <v>0</v>
      </c>
      <c r="I1117" s="6" t="n">
        <f aca="false">'Raw Data'!J1117</f>
        <v>0</v>
      </c>
      <c r="J1117" s="6" t="n">
        <f aca="false">'Raw Data'!K1117</f>
        <v>0</v>
      </c>
      <c r="K1117" s="6" t="n">
        <f aca="false">'Raw Data'!L1117</f>
        <v>4</v>
      </c>
      <c r="L1117" s="6" t="n">
        <f aca="false">F1117*E1117</f>
        <v>0</v>
      </c>
      <c r="N1117" s="0" t="n">
        <v>1</v>
      </c>
      <c r="O1117" s="6" t="n">
        <f aca="false">D1117</f>
        <v>3.645555556</v>
      </c>
      <c r="P1117" s="6" t="n">
        <f aca="false">E1117</f>
        <v>0</v>
      </c>
      <c r="Q1117" s="6" t="n">
        <f aca="false">F1117</f>
        <v>0</v>
      </c>
      <c r="R1117" s="6" t="n">
        <f aca="false">G1117</f>
        <v>0</v>
      </c>
      <c r="S1117" s="6" t="n">
        <f aca="false">H1117</f>
        <v>0</v>
      </c>
      <c r="T1117" s="6" t="n">
        <f aca="false">I1117</f>
        <v>0</v>
      </c>
      <c r="U1117" s="6" t="n">
        <f aca="false">L1117</f>
        <v>0</v>
      </c>
      <c r="W1117" s="6" t="n">
        <f aca="false">D1117</f>
        <v>3.645555556</v>
      </c>
      <c r="X1117" s="6" t="n">
        <f aca="false">E1117</f>
        <v>0</v>
      </c>
      <c r="Y1117" s="6" t="n">
        <f aca="false">F1117</f>
        <v>0</v>
      </c>
      <c r="Z1117" s="6" t="n">
        <f aca="false">L1117</f>
        <v>0</v>
      </c>
      <c r="AA1117" s="6" t="n">
        <f aca="false">G1117</f>
        <v>0</v>
      </c>
      <c r="AC1117" s="6" t="n">
        <f aca="false">D1117</f>
        <v>3.645555556</v>
      </c>
      <c r="AD1117" s="6" t="n">
        <f aca="false">E1117</f>
        <v>0</v>
      </c>
      <c r="AE1117" s="6" t="n">
        <f aca="false">G1117</f>
        <v>0</v>
      </c>
      <c r="AF1117" s="6" t="n">
        <f aca="false">H1117</f>
        <v>0</v>
      </c>
      <c r="AG1117" s="6" t="n">
        <f aca="false">I1117</f>
        <v>0</v>
      </c>
      <c r="AH1117" s="6" t="n">
        <f aca="false">L1117</f>
        <v>0</v>
      </c>
    </row>
    <row r="1118" customFormat="false" ht="15" hidden="false" customHeight="false" outlineLevel="0" collapsed="false">
      <c r="A1118" s="0" t="str">
        <f aca="false">'Raw Data'!C1118</f>
        <v>Cobb (aka Cobb Harry's)</v>
      </c>
      <c r="B1118" s="5" t="n">
        <f aca="false">'Raw Data'!A1118</f>
        <v>40337</v>
      </c>
      <c r="C1118" s="6" t="n">
        <f aca="false">'Raw Data'!D1118</f>
        <v>198.357488590768</v>
      </c>
      <c r="D1118" s="6" t="n">
        <f aca="false">'Raw Data'!E1118</f>
        <v>3.64</v>
      </c>
      <c r="E1118" s="6" t="n">
        <f aca="false">'Raw Data'!F1118</f>
        <v>0</v>
      </c>
      <c r="F1118" s="6" t="n">
        <f aca="false">'Raw Data'!G1118</f>
        <v>0</v>
      </c>
      <c r="G1118" s="6" t="n">
        <f aca="false">'Raw Data'!H1118</f>
        <v>0</v>
      </c>
      <c r="H1118" s="6" t="n">
        <f aca="false">'Raw Data'!I1118</f>
        <v>0</v>
      </c>
      <c r="I1118" s="6" t="n">
        <f aca="false">'Raw Data'!J1118</f>
        <v>0</v>
      </c>
      <c r="J1118" s="6" t="n">
        <f aca="false">'Raw Data'!K1118</f>
        <v>0</v>
      </c>
      <c r="K1118" s="6" t="n">
        <f aca="false">'Raw Data'!L1118</f>
        <v>4</v>
      </c>
      <c r="L1118" s="6" t="n">
        <f aca="false">F1118*E1118</f>
        <v>0</v>
      </c>
      <c r="N1118" s="0" t="n">
        <v>1</v>
      </c>
      <c r="O1118" s="6" t="n">
        <f aca="false">D1118</f>
        <v>3.64</v>
      </c>
      <c r="P1118" s="6" t="n">
        <f aca="false">E1118</f>
        <v>0</v>
      </c>
      <c r="Q1118" s="6" t="n">
        <f aca="false">F1118</f>
        <v>0</v>
      </c>
      <c r="R1118" s="6" t="n">
        <f aca="false">G1118</f>
        <v>0</v>
      </c>
      <c r="S1118" s="6" t="n">
        <f aca="false">H1118</f>
        <v>0</v>
      </c>
      <c r="T1118" s="6" t="n">
        <f aca="false">I1118</f>
        <v>0</v>
      </c>
      <c r="U1118" s="6" t="n">
        <f aca="false">L1118</f>
        <v>0</v>
      </c>
      <c r="W1118" s="6" t="n">
        <f aca="false">D1118</f>
        <v>3.64</v>
      </c>
      <c r="X1118" s="6" t="n">
        <f aca="false">E1118</f>
        <v>0</v>
      </c>
      <c r="Y1118" s="6" t="n">
        <f aca="false">F1118</f>
        <v>0</v>
      </c>
      <c r="Z1118" s="6" t="n">
        <f aca="false">L1118</f>
        <v>0</v>
      </c>
      <c r="AA1118" s="6" t="n">
        <f aca="false">G1118</f>
        <v>0</v>
      </c>
      <c r="AC1118" s="6" t="n">
        <f aca="false">D1118</f>
        <v>3.64</v>
      </c>
      <c r="AD1118" s="6" t="n">
        <f aca="false">E1118</f>
        <v>0</v>
      </c>
      <c r="AE1118" s="6" t="n">
        <f aca="false">G1118</f>
        <v>0</v>
      </c>
      <c r="AF1118" s="6" t="n">
        <f aca="false">H1118</f>
        <v>0</v>
      </c>
      <c r="AG1118" s="6" t="n">
        <f aca="false">I1118</f>
        <v>0</v>
      </c>
      <c r="AH1118" s="6" t="n">
        <f aca="false">L1118</f>
        <v>0</v>
      </c>
    </row>
    <row r="1119" customFormat="false" ht="15" hidden="false" customHeight="false" outlineLevel="0" collapsed="false">
      <c r="A1119" s="0" t="str">
        <f aca="false">'Raw Data'!C1119</f>
        <v>Cobb (aka Cobb Harry's)</v>
      </c>
      <c r="B1119" s="5" t="n">
        <f aca="false">'Raw Data'!A1119</f>
        <v>40344</v>
      </c>
      <c r="C1119" s="6" t="n">
        <f aca="false">'Raw Data'!D1119</f>
        <v>238.09361478072</v>
      </c>
      <c r="D1119" s="6" t="n">
        <f aca="false">'Raw Data'!E1119</f>
        <v>3.944545455</v>
      </c>
      <c r="E1119" s="6" t="n">
        <f aca="false">'Raw Data'!F1119</f>
        <v>0</v>
      </c>
      <c r="F1119" s="6" t="n">
        <f aca="false">'Raw Data'!G1119</f>
        <v>0</v>
      </c>
      <c r="G1119" s="6" t="n">
        <f aca="false">'Raw Data'!H1119</f>
        <v>0</v>
      </c>
      <c r="H1119" s="6" t="n">
        <f aca="false">'Raw Data'!I1119</f>
        <v>0</v>
      </c>
      <c r="I1119" s="6" t="n">
        <f aca="false">'Raw Data'!J1119</f>
        <v>0</v>
      </c>
      <c r="J1119" s="6" t="n">
        <f aca="false">'Raw Data'!K1119</f>
        <v>0</v>
      </c>
      <c r="K1119" s="6" t="n">
        <f aca="false">'Raw Data'!L1119</f>
        <v>4</v>
      </c>
      <c r="L1119" s="6" t="n">
        <f aca="false">F1119*E1119</f>
        <v>0</v>
      </c>
      <c r="N1119" s="0" t="n">
        <v>1</v>
      </c>
      <c r="O1119" s="6" t="n">
        <f aca="false">D1119</f>
        <v>3.944545455</v>
      </c>
      <c r="P1119" s="6" t="n">
        <f aca="false">E1119</f>
        <v>0</v>
      </c>
      <c r="Q1119" s="6" t="n">
        <f aca="false">F1119</f>
        <v>0</v>
      </c>
      <c r="R1119" s="6" t="n">
        <f aca="false">G1119</f>
        <v>0</v>
      </c>
      <c r="S1119" s="6" t="n">
        <f aca="false">H1119</f>
        <v>0</v>
      </c>
      <c r="T1119" s="6" t="n">
        <f aca="false">I1119</f>
        <v>0</v>
      </c>
      <c r="U1119" s="6" t="n">
        <f aca="false">L1119</f>
        <v>0</v>
      </c>
      <c r="W1119" s="6" t="n">
        <f aca="false">D1119</f>
        <v>3.944545455</v>
      </c>
      <c r="X1119" s="6" t="n">
        <f aca="false">E1119</f>
        <v>0</v>
      </c>
      <c r="Y1119" s="6" t="n">
        <f aca="false">F1119</f>
        <v>0</v>
      </c>
      <c r="Z1119" s="6" t="n">
        <f aca="false">L1119</f>
        <v>0</v>
      </c>
      <c r="AA1119" s="6" t="n">
        <f aca="false">G1119</f>
        <v>0</v>
      </c>
      <c r="AC1119" s="6" t="n">
        <f aca="false">D1119</f>
        <v>3.944545455</v>
      </c>
      <c r="AD1119" s="6" t="n">
        <f aca="false">E1119</f>
        <v>0</v>
      </c>
      <c r="AE1119" s="6" t="n">
        <f aca="false">G1119</f>
        <v>0</v>
      </c>
      <c r="AF1119" s="6" t="n">
        <f aca="false">H1119</f>
        <v>0</v>
      </c>
      <c r="AG1119" s="6" t="n">
        <f aca="false">I1119</f>
        <v>0</v>
      </c>
      <c r="AH1119" s="6" t="n">
        <f aca="false">L1119</f>
        <v>0</v>
      </c>
    </row>
    <row r="1120" customFormat="false" ht="15" hidden="false" customHeight="false" outlineLevel="0" collapsed="false">
      <c r="A1120" s="0" t="str">
        <f aca="false">'Raw Data'!C1120</f>
        <v>Cobb (aka Cobb Harry's)</v>
      </c>
      <c r="B1120" s="5" t="n">
        <f aca="false">'Raw Data'!A1120</f>
        <v>40351</v>
      </c>
      <c r="C1120" s="6" t="n">
        <f aca="false">'Raw Data'!D1120</f>
        <v>175.314193607254</v>
      </c>
      <c r="D1120" s="6" t="n">
        <f aca="false">'Raw Data'!E1120</f>
        <v>3.9775</v>
      </c>
      <c r="E1120" s="6" t="n">
        <f aca="false">'Raw Data'!F1120</f>
        <v>0</v>
      </c>
      <c r="F1120" s="6" t="n">
        <f aca="false">'Raw Data'!G1120</f>
        <v>0</v>
      </c>
      <c r="G1120" s="6" t="n">
        <f aca="false">'Raw Data'!H1120</f>
        <v>0</v>
      </c>
      <c r="H1120" s="6" t="n">
        <f aca="false">'Raw Data'!I1120</f>
        <v>0</v>
      </c>
      <c r="I1120" s="6" t="n">
        <f aca="false">'Raw Data'!J1120</f>
        <v>0</v>
      </c>
      <c r="J1120" s="6" t="n">
        <f aca="false">'Raw Data'!K1120</f>
        <v>0</v>
      </c>
      <c r="K1120" s="6" t="n">
        <f aca="false">'Raw Data'!L1120</f>
        <v>4</v>
      </c>
      <c r="L1120" s="6" t="n">
        <f aca="false">F1120*E1120</f>
        <v>0</v>
      </c>
      <c r="N1120" s="0" t="n">
        <v>1</v>
      </c>
      <c r="O1120" s="6" t="n">
        <f aca="false">D1120</f>
        <v>3.9775</v>
      </c>
      <c r="P1120" s="6" t="n">
        <f aca="false">E1120</f>
        <v>0</v>
      </c>
      <c r="Q1120" s="6" t="n">
        <f aca="false">F1120</f>
        <v>0</v>
      </c>
      <c r="R1120" s="6" t="n">
        <f aca="false">G1120</f>
        <v>0</v>
      </c>
      <c r="S1120" s="6" t="n">
        <f aca="false">H1120</f>
        <v>0</v>
      </c>
      <c r="T1120" s="6" t="n">
        <f aca="false">I1120</f>
        <v>0</v>
      </c>
      <c r="U1120" s="6" t="n">
        <f aca="false">L1120</f>
        <v>0</v>
      </c>
      <c r="W1120" s="6" t="n">
        <f aca="false">D1120</f>
        <v>3.9775</v>
      </c>
      <c r="X1120" s="6" t="n">
        <f aca="false">E1120</f>
        <v>0</v>
      </c>
      <c r="Y1120" s="6" t="n">
        <f aca="false">F1120</f>
        <v>0</v>
      </c>
      <c r="Z1120" s="6" t="n">
        <f aca="false">L1120</f>
        <v>0</v>
      </c>
      <c r="AA1120" s="6" t="n">
        <f aca="false">G1120</f>
        <v>0</v>
      </c>
      <c r="AC1120" s="6" t="n">
        <f aca="false">D1120</f>
        <v>3.9775</v>
      </c>
      <c r="AD1120" s="6" t="n">
        <f aca="false">E1120</f>
        <v>0</v>
      </c>
      <c r="AE1120" s="6" t="n">
        <f aca="false">G1120</f>
        <v>0</v>
      </c>
      <c r="AF1120" s="6" t="n">
        <f aca="false">H1120</f>
        <v>0</v>
      </c>
      <c r="AG1120" s="6" t="n">
        <f aca="false">I1120</f>
        <v>0</v>
      </c>
      <c r="AH1120" s="6" t="n">
        <f aca="false">L1120</f>
        <v>0</v>
      </c>
    </row>
    <row r="1121" customFormat="false" ht="15" hidden="false" customHeight="false" outlineLevel="0" collapsed="false">
      <c r="A1121" s="0" t="str">
        <f aca="false">'Raw Data'!C1121</f>
        <v>Cobb (aka Cobb Harry's)</v>
      </c>
      <c r="B1121" s="5" t="n">
        <f aca="false">'Raw Data'!A1121</f>
        <v>40358</v>
      </c>
      <c r="C1121" s="6" t="n">
        <f aca="false">'Raw Data'!D1121</f>
        <v>191.40718785265</v>
      </c>
      <c r="D1121" s="6" t="n">
        <f aca="false">'Raw Data'!E1121</f>
        <v>4.565</v>
      </c>
      <c r="E1121" s="6" t="n">
        <f aca="false">'Raw Data'!F1121</f>
        <v>0</v>
      </c>
      <c r="F1121" s="6" t="n">
        <f aca="false">'Raw Data'!G1121</f>
        <v>0</v>
      </c>
      <c r="G1121" s="6" t="n">
        <f aca="false">'Raw Data'!H1121</f>
        <v>0</v>
      </c>
      <c r="H1121" s="6" t="n">
        <f aca="false">'Raw Data'!I1121</f>
        <v>0</v>
      </c>
      <c r="I1121" s="6" t="n">
        <f aca="false">'Raw Data'!J1121</f>
        <v>0</v>
      </c>
      <c r="J1121" s="6" t="n">
        <f aca="false">'Raw Data'!K1121</f>
        <v>0</v>
      </c>
      <c r="K1121" s="6" t="n">
        <f aca="false">'Raw Data'!L1121</f>
        <v>4</v>
      </c>
      <c r="L1121" s="6" t="n">
        <f aca="false">F1121*E1121</f>
        <v>0</v>
      </c>
      <c r="N1121" s="0" t="n">
        <v>1</v>
      </c>
      <c r="O1121" s="6" t="n">
        <f aca="false">D1121</f>
        <v>4.565</v>
      </c>
      <c r="P1121" s="6" t="n">
        <f aca="false">E1121</f>
        <v>0</v>
      </c>
      <c r="Q1121" s="6" t="n">
        <f aca="false">F1121</f>
        <v>0</v>
      </c>
      <c r="R1121" s="6" t="n">
        <f aca="false">G1121</f>
        <v>0</v>
      </c>
      <c r="S1121" s="6" t="n">
        <f aca="false">H1121</f>
        <v>0</v>
      </c>
      <c r="T1121" s="6" t="n">
        <f aca="false">I1121</f>
        <v>0</v>
      </c>
      <c r="U1121" s="6" t="n">
        <f aca="false">L1121</f>
        <v>0</v>
      </c>
      <c r="W1121" s="6" t="n">
        <f aca="false">D1121</f>
        <v>4.565</v>
      </c>
      <c r="X1121" s="6" t="n">
        <f aca="false">E1121</f>
        <v>0</v>
      </c>
      <c r="Y1121" s="6" t="n">
        <f aca="false">F1121</f>
        <v>0</v>
      </c>
      <c r="Z1121" s="6" t="n">
        <f aca="false">L1121</f>
        <v>0</v>
      </c>
      <c r="AA1121" s="6" t="n">
        <f aca="false">G1121</f>
        <v>0</v>
      </c>
      <c r="AC1121" s="6" t="n">
        <f aca="false">D1121</f>
        <v>4.565</v>
      </c>
      <c r="AD1121" s="6" t="n">
        <f aca="false">E1121</f>
        <v>0</v>
      </c>
      <c r="AE1121" s="6" t="n">
        <f aca="false">G1121</f>
        <v>0</v>
      </c>
      <c r="AF1121" s="6" t="n">
        <f aca="false">H1121</f>
        <v>0</v>
      </c>
      <c r="AG1121" s="6" t="n">
        <f aca="false">I1121</f>
        <v>0</v>
      </c>
      <c r="AH1121" s="6" t="n">
        <f aca="false">L1121</f>
        <v>0</v>
      </c>
    </row>
    <row r="1122" customFormat="false" ht="15" hidden="false" customHeight="false" outlineLevel="0" collapsed="false">
      <c r="A1122" s="0" t="str">
        <f aca="false">'Raw Data'!C1122</f>
        <v>Cobb (aka Cobb Harry's)</v>
      </c>
      <c r="B1122" s="5" t="n">
        <f aca="false">'Raw Data'!A1122</f>
        <v>40365</v>
      </c>
      <c r="C1122" s="6" t="n">
        <f aca="false">'Raw Data'!D1122</f>
        <v>145.28131779877</v>
      </c>
      <c r="D1122" s="6" t="n">
        <f aca="false">'Raw Data'!E1122</f>
        <v>3.625555556</v>
      </c>
      <c r="E1122" s="6" t="n">
        <f aca="false">'Raw Data'!F1122</f>
        <v>0</v>
      </c>
      <c r="F1122" s="6" t="n">
        <f aca="false">'Raw Data'!G1122</f>
        <v>0</v>
      </c>
      <c r="G1122" s="6" t="n">
        <f aca="false">'Raw Data'!H1122</f>
        <v>0</v>
      </c>
      <c r="H1122" s="6" t="n">
        <f aca="false">'Raw Data'!I1122</f>
        <v>0</v>
      </c>
      <c r="I1122" s="6" t="n">
        <f aca="false">'Raw Data'!J1122</f>
        <v>0</v>
      </c>
      <c r="J1122" s="6" t="n">
        <f aca="false">'Raw Data'!K1122</f>
        <v>0</v>
      </c>
      <c r="K1122" s="6" t="n">
        <f aca="false">'Raw Data'!L1122</f>
        <v>4</v>
      </c>
      <c r="L1122" s="6" t="n">
        <f aca="false">F1122*E1122</f>
        <v>0</v>
      </c>
      <c r="N1122" s="0" t="n">
        <v>1</v>
      </c>
      <c r="O1122" s="6" t="n">
        <f aca="false">D1122</f>
        <v>3.625555556</v>
      </c>
      <c r="P1122" s="6" t="n">
        <f aca="false">E1122</f>
        <v>0</v>
      </c>
      <c r="Q1122" s="6" t="n">
        <f aca="false">F1122</f>
        <v>0</v>
      </c>
      <c r="R1122" s="6" t="n">
        <f aca="false">G1122</f>
        <v>0</v>
      </c>
      <c r="S1122" s="6" t="n">
        <f aca="false">H1122</f>
        <v>0</v>
      </c>
      <c r="T1122" s="6" t="n">
        <f aca="false">I1122</f>
        <v>0</v>
      </c>
      <c r="U1122" s="6" t="n">
        <f aca="false">L1122</f>
        <v>0</v>
      </c>
      <c r="W1122" s="6" t="n">
        <f aca="false">D1122</f>
        <v>3.625555556</v>
      </c>
      <c r="X1122" s="6" t="n">
        <f aca="false">E1122</f>
        <v>0</v>
      </c>
      <c r="Y1122" s="6" t="n">
        <f aca="false">F1122</f>
        <v>0</v>
      </c>
      <c r="Z1122" s="6" t="n">
        <f aca="false">L1122</f>
        <v>0</v>
      </c>
      <c r="AA1122" s="6" t="n">
        <f aca="false">G1122</f>
        <v>0</v>
      </c>
      <c r="AC1122" s="6" t="n">
        <f aca="false">D1122</f>
        <v>3.625555556</v>
      </c>
      <c r="AD1122" s="6" t="n">
        <f aca="false">E1122</f>
        <v>0</v>
      </c>
      <c r="AE1122" s="6" t="n">
        <f aca="false">G1122</f>
        <v>0</v>
      </c>
      <c r="AF1122" s="6" t="n">
        <f aca="false">H1122</f>
        <v>0</v>
      </c>
      <c r="AG1122" s="6" t="n">
        <f aca="false">I1122</f>
        <v>0</v>
      </c>
      <c r="AH1122" s="6" t="n">
        <f aca="false">L1122</f>
        <v>0</v>
      </c>
    </row>
    <row r="1123" customFormat="false" ht="15" hidden="false" customHeight="false" outlineLevel="0" collapsed="false">
      <c r="A1123" s="0" t="str">
        <f aca="false">'Raw Data'!C1123</f>
        <v>Cobb (aka Cobb Harry's)</v>
      </c>
      <c r="B1123" s="5" t="n">
        <f aca="false">'Raw Data'!A1123</f>
        <v>40372</v>
      </c>
      <c r="C1123" s="6" t="n">
        <f aca="false">'Raw Data'!D1123</f>
        <v>275.562118844632</v>
      </c>
      <c r="D1123" s="6" t="n">
        <f aca="false">'Raw Data'!E1123</f>
        <v>3.44</v>
      </c>
      <c r="E1123" s="6" t="n">
        <f aca="false">'Raw Data'!F1123</f>
        <v>0</v>
      </c>
      <c r="F1123" s="6" t="n">
        <f aca="false">'Raw Data'!G1123</f>
        <v>0</v>
      </c>
      <c r="G1123" s="6" t="n">
        <f aca="false">'Raw Data'!H1123</f>
        <v>0</v>
      </c>
      <c r="H1123" s="6" t="n">
        <f aca="false">'Raw Data'!I1123</f>
        <v>0</v>
      </c>
      <c r="I1123" s="6" t="n">
        <f aca="false">'Raw Data'!J1123</f>
        <v>0</v>
      </c>
      <c r="J1123" s="6" t="n">
        <f aca="false">'Raw Data'!K1123</f>
        <v>0</v>
      </c>
      <c r="K1123" s="6" t="n">
        <f aca="false">'Raw Data'!L1123</f>
        <v>4</v>
      </c>
      <c r="L1123" s="6" t="n">
        <f aca="false">F1123*E1123</f>
        <v>0</v>
      </c>
      <c r="N1123" s="0" t="n">
        <v>1</v>
      </c>
      <c r="O1123" s="6" t="n">
        <f aca="false">D1123</f>
        <v>3.44</v>
      </c>
      <c r="P1123" s="6" t="n">
        <f aca="false">E1123</f>
        <v>0</v>
      </c>
      <c r="Q1123" s="6" t="n">
        <f aca="false">F1123</f>
        <v>0</v>
      </c>
      <c r="R1123" s="6" t="n">
        <f aca="false">G1123</f>
        <v>0</v>
      </c>
      <c r="S1123" s="6" t="n">
        <f aca="false">H1123</f>
        <v>0</v>
      </c>
      <c r="T1123" s="6" t="n">
        <f aca="false">I1123</f>
        <v>0</v>
      </c>
      <c r="U1123" s="6" t="n">
        <f aca="false">L1123</f>
        <v>0</v>
      </c>
      <c r="W1123" s="6" t="n">
        <f aca="false">D1123</f>
        <v>3.44</v>
      </c>
      <c r="X1123" s="6" t="n">
        <f aca="false">E1123</f>
        <v>0</v>
      </c>
      <c r="Y1123" s="6" t="n">
        <f aca="false">F1123</f>
        <v>0</v>
      </c>
      <c r="Z1123" s="6" t="n">
        <f aca="false">L1123</f>
        <v>0</v>
      </c>
      <c r="AA1123" s="6" t="n">
        <f aca="false">G1123</f>
        <v>0</v>
      </c>
      <c r="AC1123" s="6" t="n">
        <f aca="false">D1123</f>
        <v>3.44</v>
      </c>
      <c r="AD1123" s="6" t="n">
        <f aca="false">E1123</f>
        <v>0</v>
      </c>
      <c r="AE1123" s="6" t="n">
        <f aca="false">G1123</f>
        <v>0</v>
      </c>
      <c r="AF1123" s="6" t="n">
        <f aca="false">H1123</f>
        <v>0</v>
      </c>
      <c r="AG1123" s="6" t="n">
        <f aca="false">I1123</f>
        <v>0</v>
      </c>
      <c r="AH1123" s="6" t="n">
        <f aca="false">L1123</f>
        <v>0</v>
      </c>
    </row>
    <row r="1124" customFormat="false" ht="15" hidden="false" customHeight="false" outlineLevel="0" collapsed="false">
      <c r="A1124" s="0" t="str">
        <f aca="false">'Raw Data'!C1124</f>
        <v>Duluth</v>
      </c>
      <c r="B1124" s="5" t="n">
        <f aca="false">'Raw Data'!A1124</f>
        <v>40302</v>
      </c>
      <c r="C1124" s="6" t="n">
        <f aca="false">'Raw Data'!D1124</f>
        <v>230.111228724153</v>
      </c>
      <c r="D1124" s="6" t="n">
        <f aca="false">'Raw Data'!E1124</f>
        <v>3.804285714</v>
      </c>
      <c r="E1124" s="6" t="n">
        <f aca="false">'Raw Data'!F1124</f>
        <v>0</v>
      </c>
      <c r="F1124" s="6" t="n">
        <f aca="false">'Raw Data'!G1124</f>
        <v>0</v>
      </c>
      <c r="G1124" s="6" t="n">
        <f aca="false">'Raw Data'!H1124</f>
        <v>0</v>
      </c>
      <c r="H1124" s="6" t="n">
        <f aca="false">'Raw Data'!I1124</f>
        <v>0</v>
      </c>
      <c r="I1124" s="6" t="n">
        <f aca="false">'Raw Data'!J1124</f>
        <v>0</v>
      </c>
      <c r="J1124" s="6" t="n">
        <f aca="false">'Raw Data'!K1124</f>
        <v>1</v>
      </c>
      <c r="K1124" s="6" t="n">
        <f aca="false">'Raw Data'!L1124</f>
        <v>3</v>
      </c>
      <c r="L1124" s="6" t="n">
        <f aca="false">F1124*E1124</f>
        <v>0</v>
      </c>
      <c r="N1124" s="0" t="n">
        <v>1</v>
      </c>
      <c r="O1124" s="6" t="n">
        <f aca="false">D1124</f>
        <v>3.804285714</v>
      </c>
      <c r="P1124" s="6" t="n">
        <f aca="false">E1124</f>
        <v>0</v>
      </c>
      <c r="Q1124" s="6" t="n">
        <f aca="false">F1124</f>
        <v>0</v>
      </c>
      <c r="R1124" s="6" t="n">
        <f aca="false">G1124</f>
        <v>0</v>
      </c>
      <c r="S1124" s="6" t="n">
        <f aca="false">H1124</f>
        <v>0</v>
      </c>
      <c r="T1124" s="6" t="n">
        <f aca="false">I1124</f>
        <v>0</v>
      </c>
      <c r="U1124" s="6" t="n">
        <f aca="false">L1124</f>
        <v>0</v>
      </c>
      <c r="W1124" s="6" t="n">
        <f aca="false">D1124</f>
        <v>3.804285714</v>
      </c>
      <c r="X1124" s="6" t="n">
        <f aca="false">E1124</f>
        <v>0</v>
      </c>
      <c r="Y1124" s="6" t="n">
        <f aca="false">F1124</f>
        <v>0</v>
      </c>
      <c r="Z1124" s="6" t="n">
        <f aca="false">L1124</f>
        <v>0</v>
      </c>
      <c r="AA1124" s="6" t="n">
        <f aca="false">G1124</f>
        <v>0</v>
      </c>
      <c r="AC1124" s="6" t="n">
        <f aca="false">D1124</f>
        <v>3.804285714</v>
      </c>
      <c r="AD1124" s="6" t="n">
        <f aca="false">E1124</f>
        <v>0</v>
      </c>
      <c r="AE1124" s="6" t="n">
        <f aca="false">G1124</f>
        <v>0</v>
      </c>
      <c r="AF1124" s="6" t="n">
        <f aca="false">H1124</f>
        <v>0</v>
      </c>
      <c r="AG1124" s="6" t="n">
        <f aca="false">I1124</f>
        <v>0</v>
      </c>
      <c r="AH1124" s="6" t="n">
        <f aca="false">L1124</f>
        <v>0</v>
      </c>
    </row>
    <row r="1125" customFormat="false" ht="15" hidden="false" customHeight="false" outlineLevel="0" collapsed="false">
      <c r="A1125" s="0" t="str">
        <f aca="false">'Raw Data'!C1125</f>
        <v>Duluth</v>
      </c>
      <c r="B1125" s="5" t="n">
        <f aca="false">'Raw Data'!A1125</f>
        <v>40309</v>
      </c>
      <c r="C1125" s="6" t="n">
        <f aca="false">'Raw Data'!D1125</f>
        <v>168.728799522356</v>
      </c>
      <c r="D1125" s="6" t="n">
        <f aca="false">'Raw Data'!E1125</f>
        <v>3.432857143</v>
      </c>
      <c r="E1125" s="6" t="n">
        <f aca="false">'Raw Data'!F1125</f>
        <v>0</v>
      </c>
      <c r="F1125" s="6" t="n">
        <f aca="false">'Raw Data'!G1125</f>
        <v>0</v>
      </c>
      <c r="G1125" s="6" t="n">
        <f aca="false">'Raw Data'!H1125</f>
        <v>0</v>
      </c>
      <c r="H1125" s="6" t="n">
        <f aca="false">'Raw Data'!I1125</f>
        <v>0</v>
      </c>
      <c r="I1125" s="6" t="n">
        <f aca="false">'Raw Data'!J1125</f>
        <v>0</v>
      </c>
      <c r="J1125" s="6" t="n">
        <f aca="false">'Raw Data'!K1125</f>
        <v>1</v>
      </c>
      <c r="K1125" s="6" t="n">
        <f aca="false">'Raw Data'!L1125</f>
        <v>3</v>
      </c>
      <c r="L1125" s="6" t="n">
        <f aca="false">F1125*E1125</f>
        <v>0</v>
      </c>
      <c r="N1125" s="0" t="n">
        <v>1</v>
      </c>
      <c r="O1125" s="6" t="n">
        <f aca="false">D1125</f>
        <v>3.432857143</v>
      </c>
      <c r="P1125" s="6" t="n">
        <f aca="false">E1125</f>
        <v>0</v>
      </c>
      <c r="Q1125" s="6" t="n">
        <f aca="false">F1125</f>
        <v>0</v>
      </c>
      <c r="R1125" s="6" t="n">
        <f aca="false">G1125</f>
        <v>0</v>
      </c>
      <c r="S1125" s="6" t="n">
        <f aca="false">H1125</f>
        <v>0</v>
      </c>
      <c r="T1125" s="6" t="n">
        <f aca="false">I1125</f>
        <v>0</v>
      </c>
      <c r="U1125" s="6" t="n">
        <f aca="false">L1125</f>
        <v>0</v>
      </c>
      <c r="W1125" s="6" t="n">
        <f aca="false">D1125</f>
        <v>3.432857143</v>
      </c>
      <c r="X1125" s="6" t="n">
        <f aca="false">E1125</f>
        <v>0</v>
      </c>
      <c r="Y1125" s="6" t="n">
        <f aca="false">F1125</f>
        <v>0</v>
      </c>
      <c r="Z1125" s="6" t="n">
        <f aca="false">L1125</f>
        <v>0</v>
      </c>
      <c r="AA1125" s="6" t="n">
        <f aca="false">G1125</f>
        <v>0</v>
      </c>
      <c r="AC1125" s="6" t="n">
        <f aca="false">D1125</f>
        <v>3.432857143</v>
      </c>
      <c r="AD1125" s="6" t="n">
        <f aca="false">E1125</f>
        <v>0</v>
      </c>
      <c r="AE1125" s="6" t="n">
        <f aca="false">G1125</f>
        <v>0</v>
      </c>
      <c r="AF1125" s="6" t="n">
        <f aca="false">H1125</f>
        <v>0</v>
      </c>
      <c r="AG1125" s="6" t="n">
        <f aca="false">I1125</f>
        <v>0</v>
      </c>
      <c r="AH1125" s="6" t="n">
        <f aca="false">L1125</f>
        <v>0</v>
      </c>
    </row>
    <row r="1126" customFormat="false" ht="15" hidden="false" customHeight="false" outlineLevel="0" collapsed="false">
      <c r="A1126" s="0" t="str">
        <f aca="false">'Raw Data'!C1126</f>
        <v>Duluth</v>
      </c>
      <c r="B1126" s="5" t="n">
        <f aca="false">'Raw Data'!A1126</f>
        <v>40316</v>
      </c>
      <c r="C1126" s="6" t="n">
        <f aca="false">'Raw Data'!D1126</f>
        <v>245.150878998771</v>
      </c>
      <c r="D1126" s="6" t="n">
        <f aca="false">'Raw Data'!E1126</f>
        <v>3.456666667</v>
      </c>
      <c r="E1126" s="6" t="n">
        <f aca="false">'Raw Data'!F1126</f>
        <v>0</v>
      </c>
      <c r="F1126" s="6" t="n">
        <f aca="false">'Raw Data'!G1126</f>
        <v>0</v>
      </c>
      <c r="G1126" s="6" t="n">
        <f aca="false">'Raw Data'!H1126</f>
        <v>0</v>
      </c>
      <c r="H1126" s="6" t="n">
        <f aca="false">'Raw Data'!I1126</f>
        <v>0</v>
      </c>
      <c r="I1126" s="6" t="n">
        <f aca="false">'Raw Data'!J1126</f>
        <v>0</v>
      </c>
      <c r="J1126" s="6" t="n">
        <f aca="false">'Raw Data'!K1126</f>
        <v>1</v>
      </c>
      <c r="K1126" s="6" t="n">
        <f aca="false">'Raw Data'!L1126</f>
        <v>3</v>
      </c>
      <c r="L1126" s="6" t="n">
        <f aca="false">F1126*E1126</f>
        <v>0</v>
      </c>
      <c r="N1126" s="0" t="n">
        <v>1</v>
      </c>
      <c r="O1126" s="6" t="n">
        <f aca="false">D1126</f>
        <v>3.456666667</v>
      </c>
      <c r="P1126" s="6" t="n">
        <f aca="false">E1126</f>
        <v>0</v>
      </c>
      <c r="Q1126" s="6" t="n">
        <f aca="false">F1126</f>
        <v>0</v>
      </c>
      <c r="R1126" s="6" t="n">
        <f aca="false">G1126</f>
        <v>0</v>
      </c>
      <c r="S1126" s="6" t="n">
        <f aca="false">H1126</f>
        <v>0</v>
      </c>
      <c r="T1126" s="6" t="n">
        <f aca="false">I1126</f>
        <v>0</v>
      </c>
      <c r="U1126" s="6" t="n">
        <f aca="false">L1126</f>
        <v>0</v>
      </c>
      <c r="W1126" s="6" t="n">
        <f aca="false">D1126</f>
        <v>3.456666667</v>
      </c>
      <c r="X1126" s="6" t="n">
        <f aca="false">E1126</f>
        <v>0</v>
      </c>
      <c r="Y1126" s="6" t="n">
        <f aca="false">F1126</f>
        <v>0</v>
      </c>
      <c r="Z1126" s="6" t="n">
        <f aca="false">L1126</f>
        <v>0</v>
      </c>
      <c r="AA1126" s="6" t="n">
        <f aca="false">G1126</f>
        <v>0</v>
      </c>
      <c r="AC1126" s="6" t="n">
        <f aca="false">D1126</f>
        <v>3.456666667</v>
      </c>
      <c r="AD1126" s="6" t="n">
        <f aca="false">E1126</f>
        <v>0</v>
      </c>
      <c r="AE1126" s="6" t="n">
        <f aca="false">G1126</f>
        <v>0</v>
      </c>
      <c r="AF1126" s="6" t="n">
        <f aca="false">H1126</f>
        <v>0</v>
      </c>
      <c r="AG1126" s="6" t="n">
        <f aca="false">I1126</f>
        <v>0</v>
      </c>
      <c r="AH1126" s="6" t="n">
        <f aca="false">L1126</f>
        <v>0</v>
      </c>
    </row>
    <row r="1127" customFormat="false" ht="15" hidden="false" customHeight="false" outlineLevel="0" collapsed="false">
      <c r="A1127" s="0" t="str">
        <f aca="false">'Raw Data'!C1127</f>
        <v>Duluth</v>
      </c>
      <c r="B1127" s="5" t="n">
        <f aca="false">'Raw Data'!A1127</f>
        <v>40323</v>
      </c>
      <c r="C1127" s="6" t="n">
        <f aca="false">'Raw Data'!D1127</f>
        <v>228.758376733239</v>
      </c>
      <c r="D1127" s="6" t="n">
        <f aca="false">'Raw Data'!E1127</f>
        <v>3.456666667</v>
      </c>
      <c r="E1127" s="6" t="n">
        <f aca="false">'Raw Data'!F1127</f>
        <v>0</v>
      </c>
      <c r="F1127" s="6" t="n">
        <f aca="false">'Raw Data'!G1127</f>
        <v>0</v>
      </c>
      <c r="G1127" s="6" t="n">
        <f aca="false">'Raw Data'!H1127</f>
        <v>0</v>
      </c>
      <c r="H1127" s="6" t="n">
        <f aca="false">'Raw Data'!I1127</f>
        <v>0</v>
      </c>
      <c r="I1127" s="6" t="n">
        <f aca="false">'Raw Data'!J1127</f>
        <v>0</v>
      </c>
      <c r="J1127" s="6" t="n">
        <f aca="false">'Raw Data'!K1127</f>
        <v>1</v>
      </c>
      <c r="K1127" s="6" t="n">
        <f aca="false">'Raw Data'!L1127</f>
        <v>3</v>
      </c>
      <c r="L1127" s="6" t="n">
        <f aca="false">F1127*E1127</f>
        <v>0</v>
      </c>
      <c r="N1127" s="0" t="n">
        <v>1</v>
      </c>
      <c r="O1127" s="6" t="n">
        <f aca="false">D1127</f>
        <v>3.456666667</v>
      </c>
      <c r="P1127" s="6" t="n">
        <f aca="false">E1127</f>
        <v>0</v>
      </c>
      <c r="Q1127" s="6" t="n">
        <f aca="false">F1127</f>
        <v>0</v>
      </c>
      <c r="R1127" s="6" t="n">
        <f aca="false">G1127</f>
        <v>0</v>
      </c>
      <c r="S1127" s="6" t="n">
        <f aca="false">H1127</f>
        <v>0</v>
      </c>
      <c r="T1127" s="6" t="n">
        <f aca="false">I1127</f>
        <v>0</v>
      </c>
      <c r="U1127" s="6" t="n">
        <f aca="false">L1127</f>
        <v>0</v>
      </c>
      <c r="W1127" s="6" t="n">
        <f aca="false">D1127</f>
        <v>3.456666667</v>
      </c>
      <c r="X1127" s="6" t="n">
        <f aca="false">E1127</f>
        <v>0</v>
      </c>
      <c r="Y1127" s="6" t="n">
        <f aca="false">F1127</f>
        <v>0</v>
      </c>
      <c r="Z1127" s="6" t="n">
        <f aca="false">L1127</f>
        <v>0</v>
      </c>
      <c r="AA1127" s="6" t="n">
        <f aca="false">G1127</f>
        <v>0</v>
      </c>
      <c r="AC1127" s="6" t="n">
        <f aca="false">D1127</f>
        <v>3.456666667</v>
      </c>
      <c r="AD1127" s="6" t="n">
        <f aca="false">E1127</f>
        <v>0</v>
      </c>
      <c r="AE1127" s="6" t="n">
        <f aca="false">G1127</f>
        <v>0</v>
      </c>
      <c r="AF1127" s="6" t="n">
        <f aca="false">H1127</f>
        <v>0</v>
      </c>
      <c r="AG1127" s="6" t="n">
        <f aca="false">I1127</f>
        <v>0</v>
      </c>
      <c r="AH1127" s="6" t="n">
        <f aca="false">L1127</f>
        <v>0</v>
      </c>
    </row>
    <row r="1128" customFormat="false" ht="15" hidden="false" customHeight="false" outlineLevel="0" collapsed="false">
      <c r="A1128" s="0" t="str">
        <f aca="false">'Raw Data'!C1128</f>
        <v>Duluth</v>
      </c>
      <c r="B1128" s="5" t="n">
        <f aca="false">'Raw Data'!A1128</f>
        <v>40330</v>
      </c>
      <c r="C1128" s="6" t="n">
        <f aca="false">'Raw Data'!D1128</f>
        <v>79.2435850355201</v>
      </c>
      <c r="D1128" s="6" t="n">
        <f aca="false">'Raw Data'!E1128</f>
        <v>3.456666667</v>
      </c>
      <c r="E1128" s="6" t="n">
        <f aca="false">'Raw Data'!F1128</f>
        <v>0</v>
      </c>
      <c r="F1128" s="6" t="n">
        <f aca="false">'Raw Data'!G1128</f>
        <v>0</v>
      </c>
      <c r="G1128" s="6" t="n">
        <f aca="false">'Raw Data'!H1128</f>
        <v>0</v>
      </c>
      <c r="H1128" s="6" t="n">
        <f aca="false">'Raw Data'!I1128</f>
        <v>0</v>
      </c>
      <c r="I1128" s="6" t="n">
        <f aca="false">'Raw Data'!J1128</f>
        <v>0</v>
      </c>
      <c r="J1128" s="6" t="n">
        <f aca="false">'Raw Data'!K1128</f>
        <v>1</v>
      </c>
      <c r="K1128" s="6" t="n">
        <f aca="false">'Raw Data'!L1128</f>
        <v>3</v>
      </c>
      <c r="L1128" s="6" t="n">
        <f aca="false">F1128*E1128</f>
        <v>0</v>
      </c>
      <c r="N1128" s="0" t="n">
        <v>1</v>
      </c>
      <c r="O1128" s="6" t="n">
        <f aca="false">D1128</f>
        <v>3.456666667</v>
      </c>
      <c r="P1128" s="6" t="n">
        <f aca="false">E1128</f>
        <v>0</v>
      </c>
      <c r="Q1128" s="6" t="n">
        <f aca="false">F1128</f>
        <v>0</v>
      </c>
      <c r="R1128" s="6" t="n">
        <f aca="false">G1128</f>
        <v>0</v>
      </c>
      <c r="S1128" s="6" t="n">
        <f aca="false">H1128</f>
        <v>0</v>
      </c>
      <c r="T1128" s="6" t="n">
        <f aca="false">I1128</f>
        <v>0</v>
      </c>
      <c r="U1128" s="6" t="n">
        <f aca="false">L1128</f>
        <v>0</v>
      </c>
      <c r="W1128" s="6" t="n">
        <f aca="false">D1128</f>
        <v>3.456666667</v>
      </c>
      <c r="X1128" s="6" t="n">
        <f aca="false">E1128</f>
        <v>0</v>
      </c>
      <c r="Y1128" s="6" t="n">
        <f aca="false">F1128</f>
        <v>0</v>
      </c>
      <c r="Z1128" s="6" t="n">
        <f aca="false">L1128</f>
        <v>0</v>
      </c>
      <c r="AA1128" s="6" t="n">
        <f aca="false">G1128</f>
        <v>0</v>
      </c>
      <c r="AC1128" s="6" t="n">
        <f aca="false">D1128</f>
        <v>3.456666667</v>
      </c>
      <c r="AD1128" s="6" t="n">
        <f aca="false">E1128</f>
        <v>0</v>
      </c>
      <c r="AE1128" s="6" t="n">
        <f aca="false">G1128</f>
        <v>0</v>
      </c>
      <c r="AF1128" s="6" t="n">
        <f aca="false">H1128</f>
        <v>0</v>
      </c>
      <c r="AG1128" s="6" t="n">
        <f aca="false">I1128</f>
        <v>0</v>
      </c>
      <c r="AH1128" s="6" t="n">
        <f aca="false">L1128</f>
        <v>0</v>
      </c>
    </row>
    <row r="1129" customFormat="false" ht="15" hidden="false" customHeight="false" outlineLevel="0" collapsed="false">
      <c r="A1129" s="0" t="str">
        <f aca="false">'Raw Data'!C1129</f>
        <v>Duluth</v>
      </c>
      <c r="B1129" s="5" t="n">
        <f aca="false">'Raw Data'!A1129</f>
        <v>40337</v>
      </c>
      <c r="C1129" s="6" t="n">
        <f aca="false">'Raw Data'!D1129</f>
        <v>177.136491883965</v>
      </c>
      <c r="D1129" s="6" t="n">
        <f aca="false">'Raw Data'!E1129</f>
        <v>3.556666667</v>
      </c>
      <c r="E1129" s="6" t="n">
        <f aca="false">'Raw Data'!F1129</f>
        <v>0</v>
      </c>
      <c r="F1129" s="6" t="n">
        <f aca="false">'Raw Data'!G1129</f>
        <v>0</v>
      </c>
      <c r="G1129" s="6" t="n">
        <f aca="false">'Raw Data'!H1129</f>
        <v>0</v>
      </c>
      <c r="H1129" s="6" t="n">
        <f aca="false">'Raw Data'!I1129</f>
        <v>0</v>
      </c>
      <c r="I1129" s="6" t="n">
        <f aca="false">'Raw Data'!J1129</f>
        <v>0</v>
      </c>
      <c r="J1129" s="6" t="n">
        <f aca="false">'Raw Data'!K1129</f>
        <v>1</v>
      </c>
      <c r="K1129" s="6" t="n">
        <f aca="false">'Raw Data'!L1129</f>
        <v>3</v>
      </c>
      <c r="L1129" s="6" t="n">
        <f aca="false">F1129*E1129</f>
        <v>0</v>
      </c>
      <c r="N1129" s="0" t="n">
        <v>1</v>
      </c>
      <c r="O1129" s="6" t="n">
        <f aca="false">D1129</f>
        <v>3.556666667</v>
      </c>
      <c r="P1129" s="6" t="n">
        <f aca="false">E1129</f>
        <v>0</v>
      </c>
      <c r="Q1129" s="6" t="n">
        <f aca="false">F1129</f>
        <v>0</v>
      </c>
      <c r="R1129" s="6" t="n">
        <f aca="false">G1129</f>
        <v>0</v>
      </c>
      <c r="S1129" s="6" t="n">
        <f aca="false">H1129</f>
        <v>0</v>
      </c>
      <c r="T1129" s="6" t="n">
        <f aca="false">I1129</f>
        <v>0</v>
      </c>
      <c r="U1129" s="6" t="n">
        <f aca="false">L1129</f>
        <v>0</v>
      </c>
      <c r="W1129" s="6" t="n">
        <f aca="false">D1129</f>
        <v>3.556666667</v>
      </c>
      <c r="X1129" s="6" t="n">
        <f aca="false">E1129</f>
        <v>0</v>
      </c>
      <c r="Y1129" s="6" t="n">
        <f aca="false">F1129</f>
        <v>0</v>
      </c>
      <c r="Z1129" s="6" t="n">
        <f aca="false">L1129</f>
        <v>0</v>
      </c>
      <c r="AA1129" s="6" t="n">
        <f aca="false">G1129</f>
        <v>0</v>
      </c>
      <c r="AC1129" s="6" t="n">
        <f aca="false">D1129</f>
        <v>3.556666667</v>
      </c>
      <c r="AD1129" s="6" t="n">
        <f aca="false">E1129</f>
        <v>0</v>
      </c>
      <c r="AE1129" s="6" t="n">
        <f aca="false">G1129</f>
        <v>0</v>
      </c>
      <c r="AF1129" s="6" t="n">
        <f aca="false">H1129</f>
        <v>0</v>
      </c>
      <c r="AG1129" s="6" t="n">
        <f aca="false">I1129</f>
        <v>0</v>
      </c>
      <c r="AH1129" s="6" t="n">
        <f aca="false">L1129</f>
        <v>0</v>
      </c>
    </row>
    <row r="1130" customFormat="false" ht="15" hidden="false" customHeight="false" outlineLevel="0" collapsed="false">
      <c r="A1130" s="0" t="str">
        <f aca="false">'Raw Data'!C1130</f>
        <v>Duluth</v>
      </c>
      <c r="B1130" s="5" t="n">
        <f aca="false">'Raw Data'!A1130</f>
        <v>40344</v>
      </c>
      <c r="C1130" s="6" t="n">
        <f aca="false">'Raw Data'!D1130</f>
        <v>212.027145524047</v>
      </c>
      <c r="D1130" s="6" t="n">
        <f aca="false">'Raw Data'!E1130</f>
        <v>3.556666667</v>
      </c>
      <c r="E1130" s="6" t="n">
        <f aca="false">'Raw Data'!F1130</f>
        <v>0</v>
      </c>
      <c r="F1130" s="6" t="n">
        <f aca="false">'Raw Data'!G1130</f>
        <v>0</v>
      </c>
      <c r="G1130" s="6" t="n">
        <f aca="false">'Raw Data'!H1130</f>
        <v>0</v>
      </c>
      <c r="H1130" s="6" t="n">
        <f aca="false">'Raw Data'!I1130</f>
        <v>0</v>
      </c>
      <c r="I1130" s="6" t="n">
        <f aca="false">'Raw Data'!J1130</f>
        <v>0</v>
      </c>
      <c r="J1130" s="6" t="n">
        <f aca="false">'Raw Data'!K1130</f>
        <v>1</v>
      </c>
      <c r="K1130" s="6" t="n">
        <f aca="false">'Raw Data'!L1130</f>
        <v>3</v>
      </c>
      <c r="L1130" s="6" t="n">
        <f aca="false">F1130*E1130</f>
        <v>0</v>
      </c>
      <c r="N1130" s="0" t="n">
        <v>1</v>
      </c>
      <c r="O1130" s="6" t="n">
        <f aca="false">D1130</f>
        <v>3.556666667</v>
      </c>
      <c r="P1130" s="6" t="n">
        <f aca="false">E1130</f>
        <v>0</v>
      </c>
      <c r="Q1130" s="6" t="n">
        <f aca="false">F1130</f>
        <v>0</v>
      </c>
      <c r="R1130" s="6" t="n">
        <f aca="false">G1130</f>
        <v>0</v>
      </c>
      <c r="S1130" s="6" t="n">
        <f aca="false">H1130</f>
        <v>0</v>
      </c>
      <c r="T1130" s="6" t="n">
        <f aca="false">I1130</f>
        <v>0</v>
      </c>
      <c r="U1130" s="6" t="n">
        <f aca="false">L1130</f>
        <v>0</v>
      </c>
      <c r="W1130" s="6" t="n">
        <f aca="false">D1130</f>
        <v>3.556666667</v>
      </c>
      <c r="X1130" s="6" t="n">
        <f aca="false">E1130</f>
        <v>0</v>
      </c>
      <c r="Y1130" s="6" t="n">
        <f aca="false">F1130</f>
        <v>0</v>
      </c>
      <c r="Z1130" s="6" t="n">
        <f aca="false">L1130</f>
        <v>0</v>
      </c>
      <c r="AA1130" s="6" t="n">
        <f aca="false">G1130</f>
        <v>0</v>
      </c>
      <c r="AC1130" s="6" t="n">
        <f aca="false">D1130</f>
        <v>3.556666667</v>
      </c>
      <c r="AD1130" s="6" t="n">
        <f aca="false">E1130</f>
        <v>0</v>
      </c>
      <c r="AE1130" s="6" t="n">
        <f aca="false">G1130</f>
        <v>0</v>
      </c>
      <c r="AF1130" s="6" t="n">
        <f aca="false">H1130</f>
        <v>0</v>
      </c>
      <c r="AG1130" s="6" t="n">
        <f aca="false">I1130</f>
        <v>0</v>
      </c>
      <c r="AH1130" s="6" t="n">
        <f aca="false">L1130</f>
        <v>0</v>
      </c>
    </row>
    <row r="1131" customFormat="false" ht="15" hidden="false" customHeight="false" outlineLevel="0" collapsed="false">
      <c r="A1131" s="0" t="str">
        <f aca="false">'Raw Data'!C1131</f>
        <v>Duluth</v>
      </c>
      <c r="B1131" s="5" t="n">
        <f aca="false">'Raw Data'!A1131</f>
        <v>40351</v>
      </c>
      <c r="C1131" s="6" t="n">
        <f aca="false">'Raw Data'!D1131</f>
        <v>189.08602925724</v>
      </c>
      <c r="D1131" s="6" t="n">
        <f aca="false">'Raw Data'!E1131</f>
        <v>3.664444444</v>
      </c>
      <c r="E1131" s="6" t="n">
        <f aca="false">'Raw Data'!F1131</f>
        <v>0</v>
      </c>
      <c r="F1131" s="6" t="n">
        <f aca="false">'Raw Data'!G1131</f>
        <v>0</v>
      </c>
      <c r="G1131" s="6" t="n">
        <f aca="false">'Raw Data'!H1131</f>
        <v>0</v>
      </c>
      <c r="H1131" s="6" t="n">
        <f aca="false">'Raw Data'!I1131</f>
        <v>0</v>
      </c>
      <c r="I1131" s="6" t="n">
        <f aca="false">'Raw Data'!J1131</f>
        <v>0</v>
      </c>
      <c r="J1131" s="6" t="n">
        <f aca="false">'Raw Data'!K1131</f>
        <v>1</v>
      </c>
      <c r="K1131" s="6" t="n">
        <f aca="false">'Raw Data'!L1131</f>
        <v>3</v>
      </c>
      <c r="L1131" s="6" t="n">
        <f aca="false">F1131*E1131</f>
        <v>0</v>
      </c>
      <c r="N1131" s="0" t="n">
        <v>1</v>
      </c>
      <c r="O1131" s="6" t="n">
        <f aca="false">D1131</f>
        <v>3.664444444</v>
      </c>
      <c r="P1131" s="6" t="n">
        <f aca="false">E1131</f>
        <v>0</v>
      </c>
      <c r="Q1131" s="6" t="n">
        <f aca="false">F1131</f>
        <v>0</v>
      </c>
      <c r="R1131" s="6" t="n">
        <f aca="false">G1131</f>
        <v>0</v>
      </c>
      <c r="S1131" s="6" t="n">
        <f aca="false">H1131</f>
        <v>0</v>
      </c>
      <c r="T1131" s="6" t="n">
        <f aca="false">I1131</f>
        <v>0</v>
      </c>
      <c r="U1131" s="6" t="n">
        <f aca="false">L1131</f>
        <v>0</v>
      </c>
      <c r="W1131" s="6" t="n">
        <f aca="false">D1131</f>
        <v>3.664444444</v>
      </c>
      <c r="X1131" s="6" t="n">
        <f aca="false">E1131</f>
        <v>0</v>
      </c>
      <c r="Y1131" s="6" t="n">
        <f aca="false">F1131</f>
        <v>0</v>
      </c>
      <c r="Z1131" s="6" t="n">
        <f aca="false">L1131</f>
        <v>0</v>
      </c>
      <c r="AA1131" s="6" t="n">
        <f aca="false">G1131</f>
        <v>0</v>
      </c>
      <c r="AC1131" s="6" t="n">
        <f aca="false">D1131</f>
        <v>3.664444444</v>
      </c>
      <c r="AD1131" s="6" t="n">
        <f aca="false">E1131</f>
        <v>0</v>
      </c>
      <c r="AE1131" s="6" t="n">
        <f aca="false">G1131</f>
        <v>0</v>
      </c>
      <c r="AF1131" s="6" t="n">
        <f aca="false">H1131</f>
        <v>0</v>
      </c>
      <c r="AG1131" s="6" t="n">
        <f aca="false">I1131</f>
        <v>0</v>
      </c>
      <c r="AH1131" s="6" t="n">
        <f aca="false">L1131</f>
        <v>0</v>
      </c>
    </row>
    <row r="1132" customFormat="false" ht="15" hidden="false" customHeight="false" outlineLevel="0" collapsed="false">
      <c r="A1132" s="0" t="str">
        <f aca="false">'Raw Data'!C1132</f>
        <v>Duluth</v>
      </c>
      <c r="B1132" s="5" t="n">
        <f aca="false">'Raw Data'!A1132</f>
        <v>40358</v>
      </c>
      <c r="C1132" s="6" t="n">
        <f aca="false">'Raw Data'!D1132</f>
        <v>140.576264235099</v>
      </c>
      <c r="D1132" s="6" t="n">
        <f aca="false">'Raw Data'!E1132</f>
        <v>3.69</v>
      </c>
      <c r="E1132" s="6" t="n">
        <f aca="false">'Raw Data'!F1132</f>
        <v>0</v>
      </c>
      <c r="F1132" s="6" t="n">
        <f aca="false">'Raw Data'!G1132</f>
        <v>0</v>
      </c>
      <c r="G1132" s="6" t="n">
        <f aca="false">'Raw Data'!H1132</f>
        <v>0</v>
      </c>
      <c r="H1132" s="6" t="n">
        <f aca="false">'Raw Data'!I1132</f>
        <v>0</v>
      </c>
      <c r="I1132" s="6" t="n">
        <f aca="false">'Raw Data'!J1132</f>
        <v>0</v>
      </c>
      <c r="J1132" s="6" t="n">
        <f aca="false">'Raw Data'!K1132</f>
        <v>1</v>
      </c>
      <c r="K1132" s="6" t="n">
        <f aca="false">'Raw Data'!L1132</f>
        <v>3</v>
      </c>
      <c r="L1132" s="6" t="n">
        <f aca="false">F1132*E1132</f>
        <v>0</v>
      </c>
      <c r="N1132" s="0" t="n">
        <v>1</v>
      </c>
      <c r="O1132" s="6" t="n">
        <f aca="false">D1132</f>
        <v>3.69</v>
      </c>
      <c r="P1132" s="6" t="n">
        <f aca="false">E1132</f>
        <v>0</v>
      </c>
      <c r="Q1132" s="6" t="n">
        <f aca="false">F1132</f>
        <v>0</v>
      </c>
      <c r="R1132" s="6" t="n">
        <f aca="false">G1132</f>
        <v>0</v>
      </c>
      <c r="S1132" s="6" t="n">
        <f aca="false">H1132</f>
        <v>0</v>
      </c>
      <c r="T1132" s="6" t="n">
        <f aca="false">I1132</f>
        <v>0</v>
      </c>
      <c r="U1132" s="6" t="n">
        <f aca="false">L1132</f>
        <v>0</v>
      </c>
      <c r="W1132" s="6" t="n">
        <f aca="false">D1132</f>
        <v>3.69</v>
      </c>
      <c r="X1132" s="6" t="n">
        <f aca="false">E1132</f>
        <v>0</v>
      </c>
      <c r="Y1132" s="6" t="n">
        <f aca="false">F1132</f>
        <v>0</v>
      </c>
      <c r="Z1132" s="6" t="n">
        <f aca="false">L1132</f>
        <v>0</v>
      </c>
      <c r="AA1132" s="6" t="n">
        <f aca="false">G1132</f>
        <v>0</v>
      </c>
      <c r="AC1132" s="6" t="n">
        <f aca="false">D1132</f>
        <v>3.69</v>
      </c>
      <c r="AD1132" s="6" t="n">
        <f aca="false">E1132</f>
        <v>0</v>
      </c>
      <c r="AE1132" s="6" t="n">
        <f aca="false">G1132</f>
        <v>0</v>
      </c>
      <c r="AF1132" s="6" t="n">
        <f aca="false">H1132</f>
        <v>0</v>
      </c>
      <c r="AG1132" s="6" t="n">
        <f aca="false">I1132</f>
        <v>0</v>
      </c>
      <c r="AH1132" s="6" t="n">
        <f aca="false">L1132</f>
        <v>0</v>
      </c>
    </row>
    <row r="1133" customFormat="false" ht="15" hidden="false" customHeight="false" outlineLevel="0" collapsed="false">
      <c r="A1133" s="0" t="str">
        <f aca="false">'Raw Data'!C1133</f>
        <v>Duluth</v>
      </c>
      <c r="B1133" s="5" t="n">
        <f aca="false">'Raw Data'!A1133</f>
        <v>40365</v>
      </c>
      <c r="C1133" s="6" t="n">
        <f aca="false">'Raw Data'!D1133</f>
        <v>167.774612177158</v>
      </c>
      <c r="D1133" s="6" t="n">
        <f aca="false">'Raw Data'!E1133</f>
        <v>3.44</v>
      </c>
      <c r="E1133" s="6" t="n">
        <f aca="false">'Raw Data'!F1133</f>
        <v>0</v>
      </c>
      <c r="F1133" s="6" t="n">
        <f aca="false">'Raw Data'!G1133</f>
        <v>0</v>
      </c>
      <c r="G1133" s="6" t="n">
        <f aca="false">'Raw Data'!H1133</f>
        <v>0</v>
      </c>
      <c r="H1133" s="6" t="n">
        <f aca="false">'Raw Data'!I1133</f>
        <v>0</v>
      </c>
      <c r="I1133" s="6" t="n">
        <f aca="false">'Raw Data'!J1133</f>
        <v>0</v>
      </c>
      <c r="J1133" s="6" t="n">
        <f aca="false">'Raw Data'!K1133</f>
        <v>1</v>
      </c>
      <c r="K1133" s="6" t="n">
        <f aca="false">'Raw Data'!L1133</f>
        <v>3</v>
      </c>
      <c r="L1133" s="6" t="n">
        <f aca="false">F1133*E1133</f>
        <v>0</v>
      </c>
      <c r="N1133" s="0" t="n">
        <v>1</v>
      </c>
      <c r="O1133" s="6" t="n">
        <f aca="false">D1133</f>
        <v>3.44</v>
      </c>
      <c r="P1133" s="6" t="n">
        <f aca="false">E1133</f>
        <v>0</v>
      </c>
      <c r="Q1133" s="6" t="n">
        <f aca="false">F1133</f>
        <v>0</v>
      </c>
      <c r="R1133" s="6" t="n">
        <f aca="false">G1133</f>
        <v>0</v>
      </c>
      <c r="S1133" s="6" t="n">
        <f aca="false">H1133</f>
        <v>0</v>
      </c>
      <c r="T1133" s="6" t="n">
        <f aca="false">I1133</f>
        <v>0</v>
      </c>
      <c r="U1133" s="6" t="n">
        <f aca="false">L1133</f>
        <v>0</v>
      </c>
      <c r="W1133" s="6" t="n">
        <f aca="false">D1133</f>
        <v>3.44</v>
      </c>
      <c r="X1133" s="6" t="n">
        <f aca="false">E1133</f>
        <v>0</v>
      </c>
      <c r="Y1133" s="6" t="n">
        <f aca="false">F1133</f>
        <v>0</v>
      </c>
      <c r="Z1133" s="6" t="n">
        <f aca="false">L1133</f>
        <v>0</v>
      </c>
      <c r="AA1133" s="6" t="n">
        <f aca="false">G1133</f>
        <v>0</v>
      </c>
      <c r="AC1133" s="6" t="n">
        <f aca="false">D1133</f>
        <v>3.44</v>
      </c>
      <c r="AD1133" s="6" t="n">
        <f aca="false">E1133</f>
        <v>0</v>
      </c>
      <c r="AE1133" s="6" t="n">
        <f aca="false">G1133</f>
        <v>0</v>
      </c>
      <c r="AF1133" s="6" t="n">
        <f aca="false">H1133</f>
        <v>0</v>
      </c>
      <c r="AG1133" s="6" t="n">
        <f aca="false">I1133</f>
        <v>0</v>
      </c>
      <c r="AH1133" s="6" t="n">
        <f aca="false">L1133</f>
        <v>0</v>
      </c>
    </row>
    <row r="1134" customFormat="false" ht="15" hidden="false" customHeight="false" outlineLevel="0" collapsed="false">
      <c r="A1134" s="0" t="str">
        <f aca="false">'Raw Data'!C1134</f>
        <v>Duluth</v>
      </c>
      <c r="B1134" s="5" t="n">
        <f aca="false">'Raw Data'!A1134</f>
        <v>40372</v>
      </c>
      <c r="C1134" s="6" t="n">
        <f aca="false">'Raw Data'!D1134</f>
        <v>249.088755832424</v>
      </c>
      <c r="D1134" s="6" t="n">
        <f aca="false">'Raw Data'!E1134</f>
        <v>3.57875</v>
      </c>
      <c r="E1134" s="6" t="n">
        <f aca="false">'Raw Data'!F1134</f>
        <v>0</v>
      </c>
      <c r="F1134" s="6" t="n">
        <f aca="false">'Raw Data'!G1134</f>
        <v>0</v>
      </c>
      <c r="G1134" s="6" t="n">
        <f aca="false">'Raw Data'!H1134</f>
        <v>0</v>
      </c>
      <c r="H1134" s="6" t="n">
        <f aca="false">'Raw Data'!I1134</f>
        <v>0</v>
      </c>
      <c r="I1134" s="6" t="n">
        <f aca="false">'Raw Data'!J1134</f>
        <v>0</v>
      </c>
      <c r="J1134" s="6" t="n">
        <f aca="false">'Raw Data'!K1134</f>
        <v>1</v>
      </c>
      <c r="K1134" s="6" t="n">
        <f aca="false">'Raw Data'!L1134</f>
        <v>3</v>
      </c>
      <c r="L1134" s="6" t="n">
        <f aca="false">F1134*E1134</f>
        <v>0</v>
      </c>
      <c r="N1134" s="0" t="n">
        <v>1</v>
      </c>
      <c r="O1134" s="6" t="n">
        <f aca="false">D1134</f>
        <v>3.57875</v>
      </c>
      <c r="P1134" s="6" t="n">
        <f aca="false">E1134</f>
        <v>0</v>
      </c>
      <c r="Q1134" s="6" t="n">
        <f aca="false">F1134</f>
        <v>0</v>
      </c>
      <c r="R1134" s="6" t="n">
        <f aca="false">G1134</f>
        <v>0</v>
      </c>
      <c r="S1134" s="6" t="n">
        <f aca="false">H1134</f>
        <v>0</v>
      </c>
      <c r="T1134" s="6" t="n">
        <f aca="false">I1134</f>
        <v>0</v>
      </c>
      <c r="U1134" s="6" t="n">
        <f aca="false">L1134</f>
        <v>0</v>
      </c>
      <c r="W1134" s="6" t="n">
        <f aca="false">D1134</f>
        <v>3.57875</v>
      </c>
      <c r="X1134" s="6" t="n">
        <f aca="false">E1134</f>
        <v>0</v>
      </c>
      <c r="Y1134" s="6" t="n">
        <f aca="false">F1134</f>
        <v>0</v>
      </c>
      <c r="Z1134" s="6" t="n">
        <f aca="false">L1134</f>
        <v>0</v>
      </c>
      <c r="AA1134" s="6" t="n">
        <f aca="false">G1134</f>
        <v>0</v>
      </c>
      <c r="AC1134" s="6" t="n">
        <f aca="false">D1134</f>
        <v>3.57875</v>
      </c>
      <c r="AD1134" s="6" t="n">
        <f aca="false">E1134</f>
        <v>0</v>
      </c>
      <c r="AE1134" s="6" t="n">
        <f aca="false">G1134</f>
        <v>0</v>
      </c>
      <c r="AF1134" s="6" t="n">
        <f aca="false">H1134</f>
        <v>0</v>
      </c>
      <c r="AG1134" s="6" t="n">
        <f aca="false">I1134</f>
        <v>0</v>
      </c>
      <c r="AH1134" s="6" t="n">
        <f aca="false">L1134</f>
        <v>0</v>
      </c>
    </row>
    <row r="1135" customFormat="false" ht="15" hidden="false" customHeight="false" outlineLevel="0" collapsed="false">
      <c r="A1135" s="0" t="str">
        <f aca="false">'Raw Data'!C1135</f>
        <v>Green Hills</v>
      </c>
      <c r="B1135" s="5" t="n">
        <f aca="false">'Raw Data'!A1135</f>
        <v>40302</v>
      </c>
      <c r="C1135" s="6" t="n">
        <f aca="false">'Raw Data'!D1135</f>
        <v>184.181193640252</v>
      </c>
      <c r="D1135" s="6" t="n">
        <f aca="false">'Raw Data'!E1135</f>
        <v>4.07</v>
      </c>
      <c r="E1135" s="6" t="n">
        <f aca="false">'Raw Data'!F1135</f>
        <v>0</v>
      </c>
      <c r="F1135" s="6" t="n">
        <f aca="false">'Raw Data'!G1135</f>
        <v>0</v>
      </c>
      <c r="G1135" s="6" t="n">
        <f aca="false">'Raw Data'!H1135</f>
        <v>0</v>
      </c>
      <c r="H1135" s="6" t="n">
        <f aca="false">'Raw Data'!I1135</f>
        <v>0</v>
      </c>
      <c r="I1135" s="6" t="n">
        <f aca="false">'Raw Data'!J1135</f>
        <v>0</v>
      </c>
      <c r="J1135" s="6" t="n">
        <f aca="false">'Raw Data'!K1135</f>
        <v>0</v>
      </c>
      <c r="K1135" s="6" t="n">
        <f aca="false">'Raw Data'!L1135</f>
        <v>5</v>
      </c>
      <c r="L1135" s="6" t="n">
        <f aca="false">F1135*E1135</f>
        <v>0</v>
      </c>
      <c r="N1135" s="0" t="n">
        <v>1</v>
      </c>
      <c r="O1135" s="6" t="n">
        <f aca="false">D1135</f>
        <v>4.07</v>
      </c>
      <c r="P1135" s="6" t="n">
        <f aca="false">E1135</f>
        <v>0</v>
      </c>
      <c r="Q1135" s="6" t="n">
        <f aca="false">F1135</f>
        <v>0</v>
      </c>
      <c r="R1135" s="6" t="n">
        <f aca="false">G1135</f>
        <v>0</v>
      </c>
      <c r="S1135" s="6" t="n">
        <f aca="false">H1135</f>
        <v>0</v>
      </c>
      <c r="T1135" s="6" t="n">
        <f aca="false">I1135</f>
        <v>0</v>
      </c>
      <c r="U1135" s="6" t="n">
        <f aca="false">L1135</f>
        <v>0</v>
      </c>
      <c r="W1135" s="6" t="n">
        <f aca="false">D1135</f>
        <v>4.07</v>
      </c>
      <c r="X1135" s="6" t="n">
        <f aca="false">E1135</f>
        <v>0</v>
      </c>
      <c r="Y1135" s="6" t="n">
        <f aca="false">F1135</f>
        <v>0</v>
      </c>
      <c r="Z1135" s="6" t="n">
        <f aca="false">L1135</f>
        <v>0</v>
      </c>
      <c r="AA1135" s="6" t="n">
        <f aca="false">G1135</f>
        <v>0</v>
      </c>
      <c r="AC1135" s="6" t="n">
        <f aca="false">D1135</f>
        <v>4.07</v>
      </c>
      <c r="AD1135" s="6" t="n">
        <f aca="false">E1135</f>
        <v>0</v>
      </c>
      <c r="AE1135" s="6" t="n">
        <f aca="false">G1135</f>
        <v>0</v>
      </c>
      <c r="AF1135" s="6" t="n">
        <f aca="false">H1135</f>
        <v>0</v>
      </c>
      <c r="AG1135" s="6" t="n">
        <f aca="false">I1135</f>
        <v>0</v>
      </c>
      <c r="AH1135" s="6" t="n">
        <f aca="false">L1135</f>
        <v>0</v>
      </c>
    </row>
    <row r="1136" customFormat="false" ht="15" hidden="false" customHeight="false" outlineLevel="0" collapsed="false">
      <c r="A1136" s="0" t="str">
        <f aca="false">'Raw Data'!C1136</f>
        <v>Green Hills</v>
      </c>
      <c r="B1136" s="5" t="n">
        <f aca="false">'Raw Data'!A1136</f>
        <v>40309</v>
      </c>
      <c r="C1136" s="6" t="n">
        <f aca="false">'Raw Data'!D1136</f>
        <v>152.848382561013</v>
      </c>
      <c r="D1136" s="6" t="n">
        <f aca="false">'Raw Data'!E1136</f>
        <v>3.944545455</v>
      </c>
      <c r="E1136" s="6" t="n">
        <f aca="false">'Raw Data'!F1136</f>
        <v>0</v>
      </c>
      <c r="F1136" s="6" t="n">
        <f aca="false">'Raw Data'!G1136</f>
        <v>0</v>
      </c>
      <c r="G1136" s="6" t="n">
        <f aca="false">'Raw Data'!H1136</f>
        <v>0</v>
      </c>
      <c r="H1136" s="6" t="n">
        <f aca="false">'Raw Data'!I1136</f>
        <v>0</v>
      </c>
      <c r="I1136" s="6" t="n">
        <f aca="false">'Raw Data'!J1136</f>
        <v>0</v>
      </c>
      <c r="J1136" s="6" t="n">
        <f aca="false">'Raw Data'!K1136</f>
        <v>0</v>
      </c>
      <c r="K1136" s="6" t="n">
        <f aca="false">'Raw Data'!L1136</f>
        <v>5</v>
      </c>
      <c r="L1136" s="6" t="n">
        <f aca="false">F1136*E1136</f>
        <v>0</v>
      </c>
      <c r="N1136" s="0" t="n">
        <v>1</v>
      </c>
      <c r="O1136" s="6" t="n">
        <f aca="false">D1136</f>
        <v>3.944545455</v>
      </c>
      <c r="P1136" s="6" t="n">
        <f aca="false">E1136</f>
        <v>0</v>
      </c>
      <c r="Q1136" s="6" t="n">
        <f aca="false">F1136</f>
        <v>0</v>
      </c>
      <c r="R1136" s="6" t="n">
        <f aca="false">G1136</f>
        <v>0</v>
      </c>
      <c r="S1136" s="6" t="n">
        <f aca="false">H1136</f>
        <v>0</v>
      </c>
      <c r="T1136" s="6" t="n">
        <f aca="false">I1136</f>
        <v>0</v>
      </c>
      <c r="U1136" s="6" t="n">
        <f aca="false">L1136</f>
        <v>0</v>
      </c>
      <c r="W1136" s="6" t="n">
        <f aca="false">D1136</f>
        <v>3.944545455</v>
      </c>
      <c r="X1136" s="6" t="n">
        <f aca="false">E1136</f>
        <v>0</v>
      </c>
      <c r="Y1136" s="6" t="n">
        <f aca="false">F1136</f>
        <v>0</v>
      </c>
      <c r="Z1136" s="6" t="n">
        <f aca="false">L1136</f>
        <v>0</v>
      </c>
      <c r="AA1136" s="6" t="n">
        <f aca="false">G1136</f>
        <v>0</v>
      </c>
      <c r="AC1136" s="6" t="n">
        <f aca="false">D1136</f>
        <v>3.944545455</v>
      </c>
      <c r="AD1136" s="6" t="n">
        <f aca="false">E1136</f>
        <v>0</v>
      </c>
      <c r="AE1136" s="6" t="n">
        <f aca="false">G1136</f>
        <v>0</v>
      </c>
      <c r="AF1136" s="6" t="n">
        <f aca="false">H1136</f>
        <v>0</v>
      </c>
      <c r="AG1136" s="6" t="n">
        <f aca="false">I1136</f>
        <v>0</v>
      </c>
      <c r="AH1136" s="6" t="n">
        <f aca="false">L1136</f>
        <v>0</v>
      </c>
    </row>
    <row r="1137" customFormat="false" ht="15" hidden="false" customHeight="false" outlineLevel="0" collapsed="false">
      <c r="A1137" s="0" t="str">
        <f aca="false">'Raw Data'!C1137</f>
        <v>Green Hills</v>
      </c>
      <c r="B1137" s="5" t="n">
        <f aca="false">'Raw Data'!A1137</f>
        <v>40316</v>
      </c>
      <c r="C1137" s="6" t="n">
        <f aca="false">'Raw Data'!D1137</f>
        <v>180.343655385048</v>
      </c>
      <c r="D1137" s="6" t="n">
        <f aca="false">'Raw Data'!E1137</f>
        <v>3.848333333</v>
      </c>
      <c r="E1137" s="6" t="n">
        <f aca="false">'Raw Data'!F1137</f>
        <v>0</v>
      </c>
      <c r="F1137" s="6" t="n">
        <f aca="false">'Raw Data'!G1137</f>
        <v>0</v>
      </c>
      <c r="G1137" s="6" t="n">
        <f aca="false">'Raw Data'!H1137</f>
        <v>0</v>
      </c>
      <c r="H1137" s="6" t="n">
        <f aca="false">'Raw Data'!I1137</f>
        <v>0</v>
      </c>
      <c r="I1137" s="6" t="n">
        <f aca="false">'Raw Data'!J1137</f>
        <v>0</v>
      </c>
      <c r="J1137" s="6" t="n">
        <f aca="false">'Raw Data'!K1137</f>
        <v>0</v>
      </c>
      <c r="K1137" s="6" t="n">
        <f aca="false">'Raw Data'!L1137</f>
        <v>5</v>
      </c>
      <c r="L1137" s="6" t="n">
        <f aca="false">F1137*E1137</f>
        <v>0</v>
      </c>
      <c r="N1137" s="0" t="n">
        <v>1</v>
      </c>
      <c r="O1137" s="6" t="n">
        <f aca="false">D1137</f>
        <v>3.848333333</v>
      </c>
      <c r="P1137" s="6" t="n">
        <f aca="false">E1137</f>
        <v>0</v>
      </c>
      <c r="Q1137" s="6" t="n">
        <f aca="false">F1137</f>
        <v>0</v>
      </c>
      <c r="R1137" s="6" t="n">
        <f aca="false">G1137</f>
        <v>0</v>
      </c>
      <c r="S1137" s="6" t="n">
        <f aca="false">H1137</f>
        <v>0</v>
      </c>
      <c r="T1137" s="6" t="n">
        <f aca="false">I1137</f>
        <v>0</v>
      </c>
      <c r="U1137" s="6" t="n">
        <f aca="false">L1137</f>
        <v>0</v>
      </c>
      <c r="W1137" s="6" t="n">
        <f aca="false">D1137</f>
        <v>3.848333333</v>
      </c>
      <c r="X1137" s="6" t="n">
        <f aca="false">E1137</f>
        <v>0</v>
      </c>
      <c r="Y1137" s="6" t="n">
        <f aca="false">F1137</f>
        <v>0</v>
      </c>
      <c r="Z1137" s="6" t="n">
        <f aca="false">L1137</f>
        <v>0</v>
      </c>
      <c r="AA1137" s="6" t="n">
        <f aca="false">G1137</f>
        <v>0</v>
      </c>
      <c r="AC1137" s="6" t="n">
        <f aca="false">D1137</f>
        <v>3.848333333</v>
      </c>
      <c r="AD1137" s="6" t="n">
        <f aca="false">E1137</f>
        <v>0</v>
      </c>
      <c r="AE1137" s="6" t="n">
        <f aca="false">G1137</f>
        <v>0</v>
      </c>
      <c r="AF1137" s="6" t="n">
        <f aca="false">H1137</f>
        <v>0</v>
      </c>
      <c r="AG1137" s="6" t="n">
        <f aca="false">I1137</f>
        <v>0</v>
      </c>
      <c r="AH1137" s="6" t="n">
        <f aca="false">L1137</f>
        <v>0</v>
      </c>
    </row>
    <row r="1138" customFormat="false" ht="15" hidden="false" customHeight="false" outlineLevel="0" collapsed="false">
      <c r="A1138" s="0" t="str">
        <f aca="false">'Raw Data'!C1138</f>
        <v>Green Hills</v>
      </c>
      <c r="B1138" s="5" t="n">
        <f aca="false">'Raw Data'!A1138</f>
        <v>40323</v>
      </c>
      <c r="C1138" s="6" t="n">
        <f aca="false">'Raw Data'!D1138</f>
        <v>177.075839538727</v>
      </c>
      <c r="D1138" s="6" t="n">
        <f aca="false">'Raw Data'!E1138</f>
        <v>3.848333333</v>
      </c>
      <c r="E1138" s="6" t="n">
        <f aca="false">'Raw Data'!F1138</f>
        <v>0</v>
      </c>
      <c r="F1138" s="6" t="n">
        <f aca="false">'Raw Data'!G1138</f>
        <v>0</v>
      </c>
      <c r="G1138" s="6" t="n">
        <f aca="false">'Raw Data'!H1138</f>
        <v>0</v>
      </c>
      <c r="H1138" s="6" t="n">
        <f aca="false">'Raw Data'!I1138</f>
        <v>0</v>
      </c>
      <c r="I1138" s="6" t="n">
        <f aca="false">'Raw Data'!J1138</f>
        <v>0</v>
      </c>
      <c r="J1138" s="6" t="n">
        <f aca="false">'Raw Data'!K1138</f>
        <v>0</v>
      </c>
      <c r="K1138" s="6" t="n">
        <f aca="false">'Raw Data'!L1138</f>
        <v>5</v>
      </c>
      <c r="L1138" s="6" t="n">
        <f aca="false">F1138*E1138</f>
        <v>0</v>
      </c>
      <c r="N1138" s="0" t="n">
        <v>1</v>
      </c>
      <c r="O1138" s="6" t="n">
        <f aca="false">D1138</f>
        <v>3.848333333</v>
      </c>
      <c r="P1138" s="6" t="n">
        <f aca="false">E1138</f>
        <v>0</v>
      </c>
      <c r="Q1138" s="6" t="n">
        <f aca="false">F1138</f>
        <v>0</v>
      </c>
      <c r="R1138" s="6" t="n">
        <f aca="false">G1138</f>
        <v>0</v>
      </c>
      <c r="S1138" s="6" t="n">
        <f aca="false">H1138</f>
        <v>0</v>
      </c>
      <c r="T1138" s="6" t="n">
        <f aca="false">I1138</f>
        <v>0</v>
      </c>
      <c r="U1138" s="6" t="n">
        <f aca="false">L1138</f>
        <v>0</v>
      </c>
      <c r="W1138" s="6" t="n">
        <f aca="false">D1138</f>
        <v>3.848333333</v>
      </c>
      <c r="X1138" s="6" t="n">
        <f aca="false">E1138</f>
        <v>0</v>
      </c>
      <c r="Y1138" s="6" t="n">
        <f aca="false">F1138</f>
        <v>0</v>
      </c>
      <c r="Z1138" s="6" t="n">
        <f aca="false">L1138</f>
        <v>0</v>
      </c>
      <c r="AA1138" s="6" t="n">
        <f aca="false">G1138</f>
        <v>0</v>
      </c>
      <c r="AC1138" s="6" t="n">
        <f aca="false">D1138</f>
        <v>3.848333333</v>
      </c>
      <c r="AD1138" s="6" t="n">
        <f aca="false">E1138</f>
        <v>0</v>
      </c>
      <c r="AE1138" s="6" t="n">
        <f aca="false">G1138</f>
        <v>0</v>
      </c>
      <c r="AF1138" s="6" t="n">
        <f aca="false">H1138</f>
        <v>0</v>
      </c>
      <c r="AG1138" s="6" t="n">
        <f aca="false">I1138</f>
        <v>0</v>
      </c>
      <c r="AH1138" s="6" t="n">
        <f aca="false">L1138</f>
        <v>0</v>
      </c>
    </row>
    <row r="1139" customFormat="false" ht="15" hidden="false" customHeight="false" outlineLevel="0" collapsed="false">
      <c r="A1139" s="0" t="str">
        <f aca="false">'Raw Data'!C1139</f>
        <v>Green Hills</v>
      </c>
      <c r="B1139" s="5" t="n">
        <f aca="false">'Raw Data'!A1139</f>
        <v>40330</v>
      </c>
      <c r="C1139" s="6" t="n">
        <f aca="false">'Raw Data'!D1139</f>
        <v>181.742376587192</v>
      </c>
      <c r="D1139" s="6" t="n">
        <f aca="false">'Raw Data'!E1139</f>
        <v>3.953636364</v>
      </c>
      <c r="E1139" s="6" t="n">
        <f aca="false">'Raw Data'!F1139</f>
        <v>0</v>
      </c>
      <c r="F1139" s="6" t="n">
        <f aca="false">'Raw Data'!G1139</f>
        <v>0</v>
      </c>
      <c r="G1139" s="6" t="n">
        <f aca="false">'Raw Data'!H1139</f>
        <v>0</v>
      </c>
      <c r="H1139" s="6" t="n">
        <f aca="false">'Raw Data'!I1139</f>
        <v>0</v>
      </c>
      <c r="I1139" s="6" t="n">
        <f aca="false">'Raw Data'!J1139</f>
        <v>0</v>
      </c>
      <c r="J1139" s="6" t="n">
        <f aca="false">'Raw Data'!K1139</f>
        <v>0</v>
      </c>
      <c r="K1139" s="6" t="n">
        <f aca="false">'Raw Data'!L1139</f>
        <v>5</v>
      </c>
      <c r="L1139" s="6" t="n">
        <f aca="false">F1139*E1139</f>
        <v>0</v>
      </c>
      <c r="N1139" s="0" t="n">
        <v>1</v>
      </c>
      <c r="O1139" s="6" t="n">
        <f aca="false">D1139</f>
        <v>3.953636364</v>
      </c>
      <c r="P1139" s="6" t="n">
        <f aca="false">E1139</f>
        <v>0</v>
      </c>
      <c r="Q1139" s="6" t="n">
        <f aca="false">F1139</f>
        <v>0</v>
      </c>
      <c r="R1139" s="6" t="n">
        <f aca="false">G1139</f>
        <v>0</v>
      </c>
      <c r="S1139" s="6" t="n">
        <f aca="false">H1139</f>
        <v>0</v>
      </c>
      <c r="T1139" s="6" t="n">
        <f aca="false">I1139</f>
        <v>0</v>
      </c>
      <c r="U1139" s="6" t="n">
        <f aca="false">L1139</f>
        <v>0</v>
      </c>
      <c r="W1139" s="6" t="n">
        <f aca="false">D1139</f>
        <v>3.953636364</v>
      </c>
      <c r="X1139" s="6" t="n">
        <f aca="false">E1139</f>
        <v>0</v>
      </c>
      <c r="Y1139" s="6" t="n">
        <f aca="false">F1139</f>
        <v>0</v>
      </c>
      <c r="Z1139" s="6" t="n">
        <f aca="false">L1139</f>
        <v>0</v>
      </c>
      <c r="AA1139" s="6" t="n">
        <f aca="false">G1139</f>
        <v>0</v>
      </c>
      <c r="AC1139" s="6" t="n">
        <f aca="false">D1139</f>
        <v>3.953636364</v>
      </c>
      <c r="AD1139" s="6" t="n">
        <f aca="false">E1139</f>
        <v>0</v>
      </c>
      <c r="AE1139" s="6" t="n">
        <f aca="false">G1139</f>
        <v>0</v>
      </c>
      <c r="AF1139" s="6" t="n">
        <f aca="false">H1139</f>
        <v>0</v>
      </c>
      <c r="AG1139" s="6" t="n">
        <f aca="false">I1139</f>
        <v>0</v>
      </c>
      <c r="AH1139" s="6" t="n">
        <f aca="false">L1139</f>
        <v>0</v>
      </c>
    </row>
    <row r="1140" customFormat="false" ht="15" hidden="false" customHeight="false" outlineLevel="0" collapsed="false">
      <c r="A1140" s="0" t="str">
        <f aca="false">'Raw Data'!C1140</f>
        <v>Green Hills</v>
      </c>
      <c r="B1140" s="5" t="n">
        <f aca="false">'Raw Data'!A1140</f>
        <v>40337</v>
      </c>
      <c r="C1140" s="6" t="n">
        <f aca="false">'Raw Data'!D1140</f>
        <v>138.418929482596</v>
      </c>
      <c r="D1140" s="6" t="n">
        <f aca="false">'Raw Data'!E1140</f>
        <v>3.948333333</v>
      </c>
      <c r="E1140" s="6" t="n">
        <f aca="false">'Raw Data'!F1140</f>
        <v>0</v>
      </c>
      <c r="F1140" s="6" t="n">
        <f aca="false">'Raw Data'!G1140</f>
        <v>0</v>
      </c>
      <c r="G1140" s="6" t="n">
        <f aca="false">'Raw Data'!H1140</f>
        <v>0</v>
      </c>
      <c r="H1140" s="6" t="n">
        <f aca="false">'Raw Data'!I1140</f>
        <v>0</v>
      </c>
      <c r="I1140" s="6" t="n">
        <f aca="false">'Raw Data'!J1140</f>
        <v>0</v>
      </c>
      <c r="J1140" s="6" t="n">
        <f aca="false">'Raw Data'!K1140</f>
        <v>0</v>
      </c>
      <c r="K1140" s="6" t="n">
        <f aca="false">'Raw Data'!L1140</f>
        <v>5</v>
      </c>
      <c r="L1140" s="6" t="n">
        <f aca="false">F1140*E1140</f>
        <v>0</v>
      </c>
      <c r="N1140" s="0" t="n">
        <v>1</v>
      </c>
      <c r="O1140" s="6" t="n">
        <f aca="false">D1140</f>
        <v>3.948333333</v>
      </c>
      <c r="P1140" s="6" t="n">
        <f aca="false">E1140</f>
        <v>0</v>
      </c>
      <c r="Q1140" s="6" t="n">
        <f aca="false">F1140</f>
        <v>0</v>
      </c>
      <c r="R1140" s="6" t="n">
        <f aca="false">G1140</f>
        <v>0</v>
      </c>
      <c r="S1140" s="6" t="n">
        <f aca="false">H1140</f>
        <v>0</v>
      </c>
      <c r="T1140" s="6" t="n">
        <f aca="false">I1140</f>
        <v>0</v>
      </c>
      <c r="U1140" s="6" t="n">
        <f aca="false">L1140</f>
        <v>0</v>
      </c>
      <c r="W1140" s="6" t="n">
        <f aca="false">D1140</f>
        <v>3.948333333</v>
      </c>
      <c r="X1140" s="6" t="n">
        <f aca="false">E1140</f>
        <v>0</v>
      </c>
      <c r="Y1140" s="6" t="n">
        <f aca="false">F1140</f>
        <v>0</v>
      </c>
      <c r="Z1140" s="6" t="n">
        <f aca="false">L1140</f>
        <v>0</v>
      </c>
      <c r="AA1140" s="6" t="n">
        <f aca="false">G1140</f>
        <v>0</v>
      </c>
      <c r="AC1140" s="6" t="n">
        <f aca="false">D1140</f>
        <v>3.948333333</v>
      </c>
      <c r="AD1140" s="6" t="n">
        <f aca="false">E1140</f>
        <v>0</v>
      </c>
      <c r="AE1140" s="6" t="n">
        <f aca="false">G1140</f>
        <v>0</v>
      </c>
      <c r="AF1140" s="6" t="n">
        <f aca="false">H1140</f>
        <v>0</v>
      </c>
      <c r="AG1140" s="6" t="n">
        <f aca="false">I1140</f>
        <v>0</v>
      </c>
      <c r="AH1140" s="6" t="n">
        <f aca="false">L1140</f>
        <v>0</v>
      </c>
    </row>
    <row r="1141" customFormat="false" ht="15" hidden="false" customHeight="false" outlineLevel="0" collapsed="false">
      <c r="A1141" s="0" t="str">
        <f aca="false">'Raw Data'!C1141</f>
        <v>Green Hills</v>
      </c>
      <c r="B1141" s="5" t="n">
        <f aca="false">'Raw Data'!A1141</f>
        <v>40344</v>
      </c>
      <c r="C1141" s="6" t="n">
        <f aca="false">'Raw Data'!D1141</f>
        <v>215.005591507788</v>
      </c>
      <c r="D1141" s="6" t="n">
        <f aca="false">'Raw Data'!E1141</f>
        <v>3.948333333</v>
      </c>
      <c r="E1141" s="6" t="n">
        <f aca="false">'Raw Data'!F1141</f>
        <v>0</v>
      </c>
      <c r="F1141" s="6" t="n">
        <f aca="false">'Raw Data'!G1141</f>
        <v>0</v>
      </c>
      <c r="G1141" s="6" t="n">
        <f aca="false">'Raw Data'!H1141</f>
        <v>0</v>
      </c>
      <c r="H1141" s="6" t="n">
        <f aca="false">'Raw Data'!I1141</f>
        <v>0</v>
      </c>
      <c r="I1141" s="6" t="n">
        <f aca="false">'Raw Data'!J1141</f>
        <v>0</v>
      </c>
      <c r="J1141" s="6" t="n">
        <f aca="false">'Raw Data'!K1141</f>
        <v>0</v>
      </c>
      <c r="K1141" s="6" t="n">
        <f aca="false">'Raw Data'!L1141</f>
        <v>5</v>
      </c>
      <c r="L1141" s="6" t="n">
        <f aca="false">F1141*E1141</f>
        <v>0</v>
      </c>
      <c r="N1141" s="0" t="n">
        <v>1</v>
      </c>
      <c r="O1141" s="6" t="n">
        <f aca="false">D1141</f>
        <v>3.948333333</v>
      </c>
      <c r="P1141" s="6" t="n">
        <f aca="false">E1141</f>
        <v>0</v>
      </c>
      <c r="Q1141" s="6" t="n">
        <f aca="false">F1141</f>
        <v>0</v>
      </c>
      <c r="R1141" s="6" t="n">
        <f aca="false">G1141</f>
        <v>0</v>
      </c>
      <c r="S1141" s="6" t="n">
        <f aca="false">H1141</f>
        <v>0</v>
      </c>
      <c r="T1141" s="6" t="n">
        <f aca="false">I1141</f>
        <v>0</v>
      </c>
      <c r="U1141" s="6" t="n">
        <f aca="false">L1141</f>
        <v>0</v>
      </c>
      <c r="W1141" s="6" t="n">
        <f aca="false">D1141</f>
        <v>3.948333333</v>
      </c>
      <c r="X1141" s="6" t="n">
        <f aca="false">E1141</f>
        <v>0</v>
      </c>
      <c r="Y1141" s="6" t="n">
        <f aca="false">F1141</f>
        <v>0</v>
      </c>
      <c r="Z1141" s="6" t="n">
        <f aca="false">L1141</f>
        <v>0</v>
      </c>
      <c r="AA1141" s="6" t="n">
        <f aca="false">G1141</f>
        <v>0</v>
      </c>
      <c r="AC1141" s="6" t="n">
        <f aca="false">D1141</f>
        <v>3.948333333</v>
      </c>
      <c r="AD1141" s="6" t="n">
        <f aca="false">E1141</f>
        <v>0</v>
      </c>
      <c r="AE1141" s="6" t="n">
        <f aca="false">G1141</f>
        <v>0</v>
      </c>
      <c r="AF1141" s="6" t="n">
        <f aca="false">H1141</f>
        <v>0</v>
      </c>
      <c r="AG1141" s="6" t="n">
        <f aca="false">I1141</f>
        <v>0</v>
      </c>
      <c r="AH1141" s="6" t="n">
        <f aca="false">L1141</f>
        <v>0</v>
      </c>
    </row>
    <row r="1142" customFormat="false" ht="15" hidden="false" customHeight="false" outlineLevel="0" collapsed="false">
      <c r="A1142" s="0" t="str">
        <f aca="false">'Raw Data'!C1142</f>
        <v>Green Hills</v>
      </c>
      <c r="B1142" s="5" t="n">
        <f aca="false">'Raw Data'!A1142</f>
        <v>40351</v>
      </c>
      <c r="C1142" s="6" t="n">
        <f aca="false">'Raw Data'!D1142</f>
        <v>253.087218975875</v>
      </c>
      <c r="D1142" s="6" t="n">
        <f aca="false">'Raw Data'!E1142</f>
        <v>4.0175</v>
      </c>
      <c r="E1142" s="6" t="n">
        <f aca="false">'Raw Data'!F1142</f>
        <v>0</v>
      </c>
      <c r="F1142" s="6" t="n">
        <f aca="false">'Raw Data'!G1142</f>
        <v>0</v>
      </c>
      <c r="G1142" s="6" t="n">
        <f aca="false">'Raw Data'!H1142</f>
        <v>0</v>
      </c>
      <c r="H1142" s="6" t="n">
        <f aca="false">'Raw Data'!I1142</f>
        <v>0</v>
      </c>
      <c r="I1142" s="6" t="n">
        <f aca="false">'Raw Data'!J1142</f>
        <v>0</v>
      </c>
      <c r="J1142" s="6" t="n">
        <f aca="false">'Raw Data'!K1142</f>
        <v>0</v>
      </c>
      <c r="K1142" s="6" t="n">
        <f aca="false">'Raw Data'!L1142</f>
        <v>5</v>
      </c>
      <c r="L1142" s="6" t="n">
        <f aca="false">F1142*E1142</f>
        <v>0</v>
      </c>
      <c r="N1142" s="0" t="n">
        <v>1</v>
      </c>
      <c r="O1142" s="6" t="n">
        <f aca="false">D1142</f>
        <v>4.0175</v>
      </c>
      <c r="P1142" s="6" t="n">
        <f aca="false">E1142</f>
        <v>0</v>
      </c>
      <c r="Q1142" s="6" t="n">
        <f aca="false">F1142</f>
        <v>0</v>
      </c>
      <c r="R1142" s="6" t="n">
        <f aca="false">G1142</f>
        <v>0</v>
      </c>
      <c r="S1142" s="6" t="n">
        <f aca="false">H1142</f>
        <v>0</v>
      </c>
      <c r="T1142" s="6" t="n">
        <f aca="false">I1142</f>
        <v>0</v>
      </c>
      <c r="U1142" s="6" t="n">
        <f aca="false">L1142</f>
        <v>0</v>
      </c>
      <c r="W1142" s="6" t="n">
        <f aca="false">D1142</f>
        <v>4.0175</v>
      </c>
      <c r="X1142" s="6" t="n">
        <f aca="false">E1142</f>
        <v>0</v>
      </c>
      <c r="Y1142" s="6" t="n">
        <f aca="false">F1142</f>
        <v>0</v>
      </c>
      <c r="Z1142" s="6" t="n">
        <f aca="false">L1142</f>
        <v>0</v>
      </c>
      <c r="AA1142" s="6" t="n">
        <f aca="false">G1142</f>
        <v>0</v>
      </c>
      <c r="AC1142" s="6" t="n">
        <f aca="false">D1142</f>
        <v>4.0175</v>
      </c>
      <c r="AD1142" s="6" t="n">
        <f aca="false">E1142</f>
        <v>0</v>
      </c>
      <c r="AE1142" s="6" t="n">
        <f aca="false">G1142</f>
        <v>0</v>
      </c>
      <c r="AF1142" s="6" t="n">
        <f aca="false">H1142</f>
        <v>0</v>
      </c>
      <c r="AG1142" s="6" t="n">
        <f aca="false">I1142</f>
        <v>0</v>
      </c>
      <c r="AH1142" s="6" t="n">
        <f aca="false">L1142</f>
        <v>0</v>
      </c>
    </row>
    <row r="1143" customFormat="false" ht="15" hidden="false" customHeight="false" outlineLevel="0" collapsed="false">
      <c r="A1143" s="0" t="str">
        <f aca="false">'Raw Data'!C1143</f>
        <v>Green Hills</v>
      </c>
      <c r="B1143" s="5" t="n">
        <f aca="false">'Raw Data'!A1143</f>
        <v>40358</v>
      </c>
      <c r="C1143" s="6" t="n">
        <f aca="false">'Raw Data'!D1143</f>
        <v>178.858567859019</v>
      </c>
      <c r="D1143" s="6" t="n">
        <f aca="false">'Raw Data'!E1143</f>
        <v>3.780909091</v>
      </c>
      <c r="E1143" s="6" t="n">
        <f aca="false">'Raw Data'!F1143</f>
        <v>0</v>
      </c>
      <c r="F1143" s="6" t="n">
        <f aca="false">'Raw Data'!G1143</f>
        <v>0</v>
      </c>
      <c r="G1143" s="6" t="n">
        <f aca="false">'Raw Data'!H1143</f>
        <v>0</v>
      </c>
      <c r="H1143" s="6" t="n">
        <f aca="false">'Raw Data'!I1143</f>
        <v>0</v>
      </c>
      <c r="I1143" s="6" t="n">
        <f aca="false">'Raw Data'!J1143</f>
        <v>0</v>
      </c>
      <c r="J1143" s="6" t="n">
        <f aca="false">'Raw Data'!K1143</f>
        <v>0</v>
      </c>
      <c r="K1143" s="6" t="n">
        <f aca="false">'Raw Data'!L1143</f>
        <v>5</v>
      </c>
      <c r="L1143" s="6" t="n">
        <f aca="false">F1143*E1143</f>
        <v>0</v>
      </c>
      <c r="N1143" s="0" t="n">
        <v>1</v>
      </c>
      <c r="O1143" s="6" t="n">
        <f aca="false">D1143</f>
        <v>3.780909091</v>
      </c>
      <c r="P1143" s="6" t="n">
        <f aca="false">E1143</f>
        <v>0</v>
      </c>
      <c r="Q1143" s="6" t="n">
        <f aca="false">F1143</f>
        <v>0</v>
      </c>
      <c r="R1143" s="6" t="n">
        <f aca="false">G1143</f>
        <v>0</v>
      </c>
      <c r="S1143" s="6" t="n">
        <f aca="false">H1143</f>
        <v>0</v>
      </c>
      <c r="T1143" s="6" t="n">
        <f aca="false">I1143</f>
        <v>0</v>
      </c>
      <c r="U1143" s="6" t="n">
        <f aca="false">L1143</f>
        <v>0</v>
      </c>
      <c r="W1143" s="6" t="n">
        <f aca="false">D1143</f>
        <v>3.780909091</v>
      </c>
      <c r="X1143" s="6" t="n">
        <f aca="false">E1143</f>
        <v>0</v>
      </c>
      <c r="Y1143" s="6" t="n">
        <f aca="false">F1143</f>
        <v>0</v>
      </c>
      <c r="Z1143" s="6" t="n">
        <f aca="false">L1143</f>
        <v>0</v>
      </c>
      <c r="AA1143" s="6" t="n">
        <f aca="false">G1143</f>
        <v>0</v>
      </c>
      <c r="AC1143" s="6" t="n">
        <f aca="false">D1143</f>
        <v>3.780909091</v>
      </c>
      <c r="AD1143" s="6" t="n">
        <f aca="false">E1143</f>
        <v>0</v>
      </c>
      <c r="AE1143" s="6" t="n">
        <f aca="false">G1143</f>
        <v>0</v>
      </c>
      <c r="AF1143" s="6" t="n">
        <f aca="false">H1143</f>
        <v>0</v>
      </c>
      <c r="AG1143" s="6" t="n">
        <f aca="false">I1143</f>
        <v>0</v>
      </c>
      <c r="AH1143" s="6" t="n">
        <f aca="false">L1143</f>
        <v>0</v>
      </c>
    </row>
    <row r="1144" customFormat="false" ht="15" hidden="false" customHeight="false" outlineLevel="0" collapsed="false">
      <c r="A1144" s="0" t="str">
        <f aca="false">'Raw Data'!C1144</f>
        <v>Green Hills</v>
      </c>
      <c r="B1144" s="5" t="n">
        <f aca="false">'Raw Data'!A1144</f>
        <v>40365</v>
      </c>
      <c r="C1144" s="6" t="n">
        <f aca="false">'Raw Data'!D1144</f>
        <v>174.988163201293</v>
      </c>
      <c r="D1144" s="6" t="n">
        <f aca="false">'Raw Data'!E1144</f>
        <v>3.828333333</v>
      </c>
      <c r="E1144" s="6" t="n">
        <f aca="false">'Raw Data'!F1144</f>
        <v>0</v>
      </c>
      <c r="F1144" s="6" t="n">
        <f aca="false">'Raw Data'!G1144</f>
        <v>0</v>
      </c>
      <c r="G1144" s="6" t="n">
        <f aca="false">'Raw Data'!H1144</f>
        <v>0</v>
      </c>
      <c r="H1144" s="6" t="n">
        <f aca="false">'Raw Data'!I1144</f>
        <v>0</v>
      </c>
      <c r="I1144" s="6" t="n">
        <f aca="false">'Raw Data'!J1144</f>
        <v>0</v>
      </c>
      <c r="J1144" s="6" t="n">
        <f aca="false">'Raw Data'!K1144</f>
        <v>0</v>
      </c>
      <c r="K1144" s="6" t="n">
        <f aca="false">'Raw Data'!L1144</f>
        <v>5</v>
      </c>
      <c r="L1144" s="6" t="n">
        <f aca="false">F1144*E1144</f>
        <v>0</v>
      </c>
      <c r="N1144" s="0" t="n">
        <v>1</v>
      </c>
      <c r="O1144" s="6" t="n">
        <f aca="false">D1144</f>
        <v>3.828333333</v>
      </c>
      <c r="P1144" s="6" t="n">
        <f aca="false">E1144</f>
        <v>0</v>
      </c>
      <c r="Q1144" s="6" t="n">
        <f aca="false">F1144</f>
        <v>0</v>
      </c>
      <c r="R1144" s="6" t="n">
        <f aca="false">G1144</f>
        <v>0</v>
      </c>
      <c r="S1144" s="6" t="n">
        <f aca="false">H1144</f>
        <v>0</v>
      </c>
      <c r="T1144" s="6" t="n">
        <f aca="false">I1144</f>
        <v>0</v>
      </c>
      <c r="U1144" s="6" t="n">
        <f aca="false">L1144</f>
        <v>0</v>
      </c>
      <c r="W1144" s="6" t="n">
        <f aca="false">D1144</f>
        <v>3.828333333</v>
      </c>
      <c r="X1144" s="6" t="n">
        <f aca="false">E1144</f>
        <v>0</v>
      </c>
      <c r="Y1144" s="6" t="n">
        <f aca="false">F1144</f>
        <v>0</v>
      </c>
      <c r="Z1144" s="6" t="n">
        <f aca="false">L1144</f>
        <v>0</v>
      </c>
      <c r="AA1144" s="6" t="n">
        <f aca="false">G1144</f>
        <v>0</v>
      </c>
      <c r="AC1144" s="6" t="n">
        <f aca="false">D1144</f>
        <v>3.828333333</v>
      </c>
      <c r="AD1144" s="6" t="n">
        <f aca="false">E1144</f>
        <v>0</v>
      </c>
      <c r="AE1144" s="6" t="n">
        <f aca="false">G1144</f>
        <v>0</v>
      </c>
      <c r="AF1144" s="6" t="n">
        <f aca="false">H1144</f>
        <v>0</v>
      </c>
      <c r="AG1144" s="6" t="n">
        <f aca="false">I1144</f>
        <v>0</v>
      </c>
      <c r="AH1144" s="6" t="n">
        <f aca="false">L1144</f>
        <v>0</v>
      </c>
    </row>
    <row r="1145" customFormat="false" ht="15" hidden="false" customHeight="false" outlineLevel="0" collapsed="false">
      <c r="A1145" s="0" t="str">
        <f aca="false">'Raw Data'!C1145</f>
        <v>Green Hills</v>
      </c>
      <c r="B1145" s="5" t="n">
        <f aca="false">'Raw Data'!A1145</f>
        <v>40372</v>
      </c>
      <c r="C1145" s="6" t="n">
        <f aca="false">'Raw Data'!D1145</f>
        <v>168.458912634211</v>
      </c>
      <c r="D1145" s="6" t="n">
        <f aca="false">'Raw Data'!E1145</f>
        <v>3.540909091</v>
      </c>
      <c r="E1145" s="6" t="n">
        <f aca="false">'Raw Data'!F1145</f>
        <v>0</v>
      </c>
      <c r="F1145" s="6" t="n">
        <f aca="false">'Raw Data'!G1145</f>
        <v>0</v>
      </c>
      <c r="G1145" s="6" t="n">
        <f aca="false">'Raw Data'!H1145</f>
        <v>0</v>
      </c>
      <c r="H1145" s="6" t="n">
        <f aca="false">'Raw Data'!I1145</f>
        <v>0</v>
      </c>
      <c r="I1145" s="6" t="n">
        <f aca="false">'Raw Data'!J1145</f>
        <v>0</v>
      </c>
      <c r="J1145" s="6" t="n">
        <f aca="false">'Raw Data'!K1145</f>
        <v>0</v>
      </c>
      <c r="K1145" s="6" t="n">
        <f aca="false">'Raw Data'!L1145</f>
        <v>5</v>
      </c>
      <c r="L1145" s="6" t="n">
        <f aca="false">F1145*E1145</f>
        <v>0</v>
      </c>
      <c r="N1145" s="0" t="n">
        <v>1</v>
      </c>
      <c r="O1145" s="6" t="n">
        <f aca="false">D1145</f>
        <v>3.540909091</v>
      </c>
      <c r="P1145" s="6" t="n">
        <f aca="false">E1145</f>
        <v>0</v>
      </c>
      <c r="Q1145" s="6" t="n">
        <f aca="false">F1145</f>
        <v>0</v>
      </c>
      <c r="R1145" s="6" t="n">
        <f aca="false">G1145</f>
        <v>0</v>
      </c>
      <c r="S1145" s="6" t="n">
        <f aca="false">H1145</f>
        <v>0</v>
      </c>
      <c r="T1145" s="6" t="n">
        <f aca="false">I1145</f>
        <v>0</v>
      </c>
      <c r="U1145" s="6" t="n">
        <f aca="false">L1145</f>
        <v>0</v>
      </c>
      <c r="W1145" s="6" t="n">
        <f aca="false">D1145</f>
        <v>3.540909091</v>
      </c>
      <c r="X1145" s="6" t="n">
        <f aca="false">E1145</f>
        <v>0</v>
      </c>
      <c r="Y1145" s="6" t="n">
        <f aca="false">F1145</f>
        <v>0</v>
      </c>
      <c r="Z1145" s="6" t="n">
        <f aca="false">L1145</f>
        <v>0</v>
      </c>
      <c r="AA1145" s="6" t="n">
        <f aca="false">G1145</f>
        <v>0</v>
      </c>
      <c r="AC1145" s="6" t="n">
        <f aca="false">D1145</f>
        <v>3.540909091</v>
      </c>
      <c r="AD1145" s="6" t="n">
        <f aca="false">E1145</f>
        <v>0</v>
      </c>
      <c r="AE1145" s="6" t="n">
        <f aca="false">G1145</f>
        <v>0</v>
      </c>
      <c r="AF1145" s="6" t="n">
        <f aca="false">H1145</f>
        <v>0</v>
      </c>
      <c r="AG1145" s="6" t="n">
        <f aca="false">I1145</f>
        <v>0</v>
      </c>
      <c r="AH1145" s="6" t="n">
        <f aca="false">L1145</f>
        <v>0</v>
      </c>
    </row>
    <row r="1146" customFormat="false" ht="15" hidden="false" customHeight="false" outlineLevel="0" collapsed="false">
      <c r="A1146" s="0" t="str">
        <f aca="false">'Raw Data'!C1146</f>
        <v>Mountain Brook</v>
      </c>
      <c r="B1146" s="5" t="n">
        <f aca="false">'Raw Data'!A1146</f>
        <v>40302</v>
      </c>
      <c r="C1146" s="6" t="n">
        <f aca="false">'Raw Data'!D1146</f>
        <v>233.716996975795</v>
      </c>
      <c r="D1146" s="6" t="n">
        <f aca="false">'Raw Data'!E1146</f>
        <v>3.99</v>
      </c>
      <c r="E1146" s="6" t="n">
        <f aca="false">'Raw Data'!F1146</f>
        <v>0</v>
      </c>
      <c r="F1146" s="6" t="n">
        <f aca="false">'Raw Data'!G1146</f>
        <v>0</v>
      </c>
      <c r="G1146" s="6" t="n">
        <f aca="false">'Raw Data'!H1146</f>
        <v>0</v>
      </c>
      <c r="H1146" s="6" t="n">
        <f aca="false">'Raw Data'!I1146</f>
        <v>0</v>
      </c>
      <c r="I1146" s="6" t="n">
        <f aca="false">'Raw Data'!J1146</f>
        <v>0</v>
      </c>
      <c r="J1146" s="6" t="n">
        <f aca="false">'Raw Data'!K1146</f>
        <v>1</v>
      </c>
      <c r="K1146" s="6" t="n">
        <f aca="false">'Raw Data'!L1146</f>
        <v>1</v>
      </c>
      <c r="L1146" s="6" t="n">
        <f aca="false">F1146*E1146</f>
        <v>0</v>
      </c>
      <c r="N1146" s="0" t="n">
        <v>1</v>
      </c>
      <c r="O1146" s="6" t="n">
        <f aca="false">D1146</f>
        <v>3.99</v>
      </c>
      <c r="P1146" s="6" t="n">
        <f aca="false">E1146</f>
        <v>0</v>
      </c>
      <c r="Q1146" s="6" t="n">
        <f aca="false">F1146</f>
        <v>0</v>
      </c>
      <c r="R1146" s="6" t="n">
        <f aca="false">G1146</f>
        <v>0</v>
      </c>
      <c r="S1146" s="6" t="n">
        <f aca="false">H1146</f>
        <v>0</v>
      </c>
      <c r="T1146" s="6" t="n">
        <f aca="false">I1146</f>
        <v>0</v>
      </c>
      <c r="U1146" s="6" t="n">
        <f aca="false">L1146</f>
        <v>0</v>
      </c>
      <c r="W1146" s="6" t="n">
        <f aca="false">D1146</f>
        <v>3.99</v>
      </c>
      <c r="X1146" s="6" t="n">
        <f aca="false">E1146</f>
        <v>0</v>
      </c>
      <c r="Y1146" s="6" t="n">
        <f aca="false">F1146</f>
        <v>0</v>
      </c>
      <c r="Z1146" s="6" t="n">
        <f aca="false">L1146</f>
        <v>0</v>
      </c>
      <c r="AA1146" s="6" t="n">
        <f aca="false">G1146</f>
        <v>0</v>
      </c>
      <c r="AC1146" s="6" t="n">
        <f aca="false">D1146</f>
        <v>3.99</v>
      </c>
      <c r="AD1146" s="6" t="n">
        <f aca="false">E1146</f>
        <v>0</v>
      </c>
      <c r="AE1146" s="6" t="n">
        <f aca="false">G1146</f>
        <v>0</v>
      </c>
      <c r="AF1146" s="6" t="n">
        <f aca="false">H1146</f>
        <v>0</v>
      </c>
      <c r="AG1146" s="6" t="n">
        <f aca="false">I1146</f>
        <v>0</v>
      </c>
      <c r="AH1146" s="6" t="n">
        <f aca="false">L1146</f>
        <v>0</v>
      </c>
    </row>
    <row r="1147" customFormat="false" ht="15" hidden="false" customHeight="false" outlineLevel="0" collapsed="false">
      <c r="A1147" s="0" t="str">
        <f aca="false">'Raw Data'!C1147</f>
        <v>Mountain Brook</v>
      </c>
      <c r="B1147" s="5" t="n">
        <f aca="false">'Raw Data'!A1147</f>
        <v>40309</v>
      </c>
      <c r="C1147" s="6" t="n">
        <f aca="false">'Raw Data'!D1147</f>
        <v>149.62026121294</v>
      </c>
      <c r="D1147" s="6" t="n">
        <f aca="false">'Raw Data'!E1147</f>
        <v>4.04</v>
      </c>
      <c r="E1147" s="6" t="n">
        <f aca="false">'Raw Data'!F1147</f>
        <v>0</v>
      </c>
      <c r="F1147" s="6" t="n">
        <f aca="false">'Raw Data'!G1147</f>
        <v>0</v>
      </c>
      <c r="G1147" s="6" t="n">
        <f aca="false">'Raw Data'!H1147</f>
        <v>0</v>
      </c>
      <c r="H1147" s="6" t="n">
        <f aca="false">'Raw Data'!I1147</f>
        <v>0</v>
      </c>
      <c r="I1147" s="6" t="n">
        <f aca="false">'Raw Data'!J1147</f>
        <v>0</v>
      </c>
      <c r="J1147" s="6" t="n">
        <f aca="false">'Raw Data'!K1147</f>
        <v>1</v>
      </c>
      <c r="K1147" s="6" t="n">
        <f aca="false">'Raw Data'!L1147</f>
        <v>1</v>
      </c>
      <c r="L1147" s="6" t="n">
        <f aca="false">F1147*E1147</f>
        <v>0</v>
      </c>
      <c r="N1147" s="0" t="n">
        <v>1</v>
      </c>
      <c r="O1147" s="6" t="n">
        <f aca="false">D1147</f>
        <v>4.04</v>
      </c>
      <c r="P1147" s="6" t="n">
        <f aca="false">E1147</f>
        <v>0</v>
      </c>
      <c r="Q1147" s="6" t="n">
        <f aca="false">F1147</f>
        <v>0</v>
      </c>
      <c r="R1147" s="6" t="n">
        <f aca="false">G1147</f>
        <v>0</v>
      </c>
      <c r="S1147" s="6" t="n">
        <f aca="false">H1147</f>
        <v>0</v>
      </c>
      <c r="T1147" s="6" t="n">
        <f aca="false">I1147</f>
        <v>0</v>
      </c>
      <c r="U1147" s="6" t="n">
        <f aca="false">L1147</f>
        <v>0</v>
      </c>
      <c r="W1147" s="6" t="n">
        <f aca="false">D1147</f>
        <v>4.04</v>
      </c>
      <c r="X1147" s="6" t="n">
        <f aca="false">E1147</f>
        <v>0</v>
      </c>
      <c r="Y1147" s="6" t="n">
        <f aca="false">F1147</f>
        <v>0</v>
      </c>
      <c r="Z1147" s="6" t="n">
        <f aca="false">L1147</f>
        <v>0</v>
      </c>
      <c r="AA1147" s="6" t="n">
        <f aca="false">G1147</f>
        <v>0</v>
      </c>
      <c r="AC1147" s="6" t="n">
        <f aca="false">D1147</f>
        <v>4.04</v>
      </c>
      <c r="AD1147" s="6" t="n">
        <f aca="false">E1147</f>
        <v>0</v>
      </c>
      <c r="AE1147" s="6" t="n">
        <f aca="false">G1147</f>
        <v>0</v>
      </c>
      <c r="AF1147" s="6" t="n">
        <f aca="false">H1147</f>
        <v>0</v>
      </c>
      <c r="AG1147" s="6" t="n">
        <f aca="false">I1147</f>
        <v>0</v>
      </c>
      <c r="AH1147" s="6" t="n">
        <f aca="false">L1147</f>
        <v>0</v>
      </c>
    </row>
    <row r="1148" customFormat="false" ht="15" hidden="false" customHeight="false" outlineLevel="0" collapsed="false">
      <c r="A1148" s="0" t="str">
        <f aca="false">'Raw Data'!C1148</f>
        <v>Mountain Brook</v>
      </c>
      <c r="B1148" s="5" t="n">
        <f aca="false">'Raw Data'!A1148</f>
        <v>40316</v>
      </c>
      <c r="C1148" s="6" t="n">
        <f aca="false">'Raw Data'!D1148</f>
        <v>164.892311267801</v>
      </c>
      <c r="D1148" s="6" t="n">
        <f aca="false">'Raw Data'!E1148</f>
        <v>3.848333333</v>
      </c>
      <c r="E1148" s="6" t="n">
        <f aca="false">'Raw Data'!F1148</f>
        <v>0</v>
      </c>
      <c r="F1148" s="6" t="n">
        <f aca="false">'Raw Data'!G1148</f>
        <v>0</v>
      </c>
      <c r="G1148" s="6" t="n">
        <f aca="false">'Raw Data'!H1148</f>
        <v>0</v>
      </c>
      <c r="H1148" s="6" t="n">
        <f aca="false">'Raw Data'!I1148</f>
        <v>0</v>
      </c>
      <c r="I1148" s="6" t="n">
        <f aca="false">'Raw Data'!J1148</f>
        <v>0</v>
      </c>
      <c r="J1148" s="6" t="n">
        <f aca="false">'Raw Data'!K1148</f>
        <v>1</v>
      </c>
      <c r="K1148" s="6" t="n">
        <f aca="false">'Raw Data'!L1148</f>
        <v>1</v>
      </c>
      <c r="L1148" s="6" t="n">
        <f aca="false">F1148*E1148</f>
        <v>0</v>
      </c>
      <c r="N1148" s="0" t="n">
        <v>1</v>
      </c>
      <c r="O1148" s="6" t="n">
        <f aca="false">D1148</f>
        <v>3.848333333</v>
      </c>
      <c r="P1148" s="6" t="n">
        <f aca="false">E1148</f>
        <v>0</v>
      </c>
      <c r="Q1148" s="6" t="n">
        <f aca="false">F1148</f>
        <v>0</v>
      </c>
      <c r="R1148" s="6" t="n">
        <f aca="false">G1148</f>
        <v>0</v>
      </c>
      <c r="S1148" s="6" t="n">
        <f aca="false">H1148</f>
        <v>0</v>
      </c>
      <c r="T1148" s="6" t="n">
        <f aca="false">I1148</f>
        <v>0</v>
      </c>
      <c r="U1148" s="6" t="n">
        <f aca="false">L1148</f>
        <v>0</v>
      </c>
      <c r="W1148" s="6" t="n">
        <f aca="false">D1148</f>
        <v>3.848333333</v>
      </c>
      <c r="X1148" s="6" t="n">
        <f aca="false">E1148</f>
        <v>0</v>
      </c>
      <c r="Y1148" s="6" t="n">
        <f aca="false">F1148</f>
        <v>0</v>
      </c>
      <c r="Z1148" s="6" t="n">
        <f aca="false">L1148</f>
        <v>0</v>
      </c>
      <c r="AA1148" s="6" t="n">
        <f aca="false">G1148</f>
        <v>0</v>
      </c>
      <c r="AC1148" s="6" t="n">
        <f aca="false">D1148</f>
        <v>3.848333333</v>
      </c>
      <c r="AD1148" s="6" t="n">
        <f aca="false">E1148</f>
        <v>0</v>
      </c>
      <c r="AE1148" s="6" t="n">
        <f aca="false">G1148</f>
        <v>0</v>
      </c>
      <c r="AF1148" s="6" t="n">
        <f aca="false">H1148</f>
        <v>0</v>
      </c>
      <c r="AG1148" s="6" t="n">
        <f aca="false">I1148</f>
        <v>0</v>
      </c>
      <c r="AH1148" s="6" t="n">
        <f aca="false">L1148</f>
        <v>0</v>
      </c>
    </row>
    <row r="1149" customFormat="false" ht="15" hidden="false" customHeight="false" outlineLevel="0" collapsed="false">
      <c r="A1149" s="0" t="str">
        <f aca="false">'Raw Data'!C1149</f>
        <v>Mountain Brook</v>
      </c>
      <c r="B1149" s="5" t="n">
        <f aca="false">'Raw Data'!A1149</f>
        <v>40323</v>
      </c>
      <c r="C1149" s="6" t="n">
        <f aca="false">'Raw Data'!D1149</f>
        <v>212.594760613489</v>
      </c>
      <c r="D1149" s="6" t="n">
        <f aca="false">'Raw Data'!E1149</f>
        <v>3.848333333</v>
      </c>
      <c r="E1149" s="6" t="n">
        <f aca="false">'Raw Data'!F1149</f>
        <v>0</v>
      </c>
      <c r="F1149" s="6" t="n">
        <f aca="false">'Raw Data'!G1149</f>
        <v>0</v>
      </c>
      <c r="G1149" s="6" t="n">
        <f aca="false">'Raw Data'!H1149</f>
        <v>0</v>
      </c>
      <c r="H1149" s="6" t="n">
        <f aca="false">'Raw Data'!I1149</f>
        <v>0</v>
      </c>
      <c r="I1149" s="6" t="n">
        <f aca="false">'Raw Data'!J1149</f>
        <v>0</v>
      </c>
      <c r="J1149" s="6" t="n">
        <f aca="false">'Raw Data'!K1149</f>
        <v>1</v>
      </c>
      <c r="K1149" s="6" t="n">
        <f aca="false">'Raw Data'!L1149</f>
        <v>1</v>
      </c>
      <c r="L1149" s="6" t="n">
        <f aca="false">F1149*E1149</f>
        <v>0</v>
      </c>
      <c r="N1149" s="0" t="n">
        <v>1</v>
      </c>
      <c r="O1149" s="6" t="n">
        <f aca="false">D1149</f>
        <v>3.848333333</v>
      </c>
      <c r="P1149" s="6" t="n">
        <f aca="false">E1149</f>
        <v>0</v>
      </c>
      <c r="Q1149" s="6" t="n">
        <f aca="false">F1149</f>
        <v>0</v>
      </c>
      <c r="R1149" s="6" t="n">
        <f aca="false">G1149</f>
        <v>0</v>
      </c>
      <c r="S1149" s="6" t="n">
        <f aca="false">H1149</f>
        <v>0</v>
      </c>
      <c r="T1149" s="6" t="n">
        <f aca="false">I1149</f>
        <v>0</v>
      </c>
      <c r="U1149" s="6" t="n">
        <f aca="false">L1149</f>
        <v>0</v>
      </c>
      <c r="W1149" s="6" t="n">
        <f aca="false">D1149</f>
        <v>3.848333333</v>
      </c>
      <c r="X1149" s="6" t="n">
        <f aca="false">E1149</f>
        <v>0</v>
      </c>
      <c r="Y1149" s="6" t="n">
        <f aca="false">F1149</f>
        <v>0</v>
      </c>
      <c r="Z1149" s="6" t="n">
        <f aca="false">L1149</f>
        <v>0</v>
      </c>
      <c r="AA1149" s="6" t="n">
        <f aca="false">G1149</f>
        <v>0</v>
      </c>
      <c r="AC1149" s="6" t="n">
        <f aca="false">D1149</f>
        <v>3.848333333</v>
      </c>
      <c r="AD1149" s="6" t="n">
        <f aca="false">E1149</f>
        <v>0</v>
      </c>
      <c r="AE1149" s="6" t="n">
        <f aca="false">G1149</f>
        <v>0</v>
      </c>
      <c r="AF1149" s="6" t="n">
        <f aca="false">H1149</f>
        <v>0</v>
      </c>
      <c r="AG1149" s="6" t="n">
        <f aca="false">I1149</f>
        <v>0</v>
      </c>
      <c r="AH1149" s="6" t="n">
        <f aca="false">L1149</f>
        <v>0</v>
      </c>
    </row>
    <row r="1150" customFormat="false" ht="15" hidden="false" customHeight="false" outlineLevel="0" collapsed="false">
      <c r="A1150" s="0" t="str">
        <f aca="false">'Raw Data'!C1150</f>
        <v>Mountain Brook</v>
      </c>
      <c r="B1150" s="5" t="n">
        <f aca="false">'Raw Data'!A1150</f>
        <v>40330</v>
      </c>
      <c r="C1150" s="6" t="n">
        <f aca="false">'Raw Data'!D1150</f>
        <v>223.999720837136</v>
      </c>
      <c r="D1150" s="6" t="n">
        <f aca="false">'Raw Data'!E1150</f>
        <v>3.756666667</v>
      </c>
      <c r="E1150" s="6" t="n">
        <f aca="false">'Raw Data'!F1150</f>
        <v>0</v>
      </c>
      <c r="F1150" s="6" t="n">
        <f aca="false">'Raw Data'!G1150</f>
        <v>0</v>
      </c>
      <c r="G1150" s="6" t="n">
        <f aca="false">'Raw Data'!H1150</f>
        <v>0</v>
      </c>
      <c r="H1150" s="6" t="n">
        <f aca="false">'Raw Data'!I1150</f>
        <v>0</v>
      </c>
      <c r="I1150" s="6" t="n">
        <f aca="false">'Raw Data'!J1150</f>
        <v>0</v>
      </c>
      <c r="J1150" s="6" t="n">
        <f aca="false">'Raw Data'!K1150</f>
        <v>1</v>
      </c>
      <c r="K1150" s="6" t="n">
        <f aca="false">'Raw Data'!L1150</f>
        <v>1</v>
      </c>
      <c r="L1150" s="6" t="n">
        <f aca="false">F1150*E1150</f>
        <v>0</v>
      </c>
      <c r="N1150" s="0" t="n">
        <v>1</v>
      </c>
      <c r="O1150" s="6" t="n">
        <f aca="false">D1150</f>
        <v>3.756666667</v>
      </c>
      <c r="P1150" s="6" t="n">
        <f aca="false">E1150</f>
        <v>0</v>
      </c>
      <c r="Q1150" s="6" t="n">
        <f aca="false">F1150</f>
        <v>0</v>
      </c>
      <c r="R1150" s="6" t="n">
        <f aca="false">G1150</f>
        <v>0</v>
      </c>
      <c r="S1150" s="6" t="n">
        <f aca="false">H1150</f>
        <v>0</v>
      </c>
      <c r="T1150" s="6" t="n">
        <f aca="false">I1150</f>
        <v>0</v>
      </c>
      <c r="U1150" s="6" t="n">
        <f aca="false">L1150</f>
        <v>0</v>
      </c>
      <c r="W1150" s="6" t="n">
        <f aca="false">D1150</f>
        <v>3.756666667</v>
      </c>
      <c r="X1150" s="6" t="n">
        <f aca="false">E1150</f>
        <v>0</v>
      </c>
      <c r="Y1150" s="6" t="n">
        <f aca="false">F1150</f>
        <v>0</v>
      </c>
      <c r="Z1150" s="6" t="n">
        <f aca="false">L1150</f>
        <v>0</v>
      </c>
      <c r="AA1150" s="6" t="n">
        <f aca="false">G1150</f>
        <v>0</v>
      </c>
      <c r="AC1150" s="6" t="n">
        <f aca="false">D1150</f>
        <v>3.756666667</v>
      </c>
      <c r="AD1150" s="6" t="n">
        <f aca="false">E1150</f>
        <v>0</v>
      </c>
      <c r="AE1150" s="6" t="n">
        <f aca="false">G1150</f>
        <v>0</v>
      </c>
      <c r="AF1150" s="6" t="n">
        <f aca="false">H1150</f>
        <v>0</v>
      </c>
      <c r="AG1150" s="6" t="n">
        <f aca="false">I1150</f>
        <v>0</v>
      </c>
      <c r="AH1150" s="6" t="n">
        <f aca="false">L1150</f>
        <v>0</v>
      </c>
    </row>
    <row r="1151" customFormat="false" ht="15" hidden="false" customHeight="false" outlineLevel="0" collapsed="false">
      <c r="A1151" s="0" t="str">
        <f aca="false">'Raw Data'!C1151</f>
        <v>Mountain Brook</v>
      </c>
      <c r="B1151" s="5" t="n">
        <f aca="false">'Raw Data'!A1151</f>
        <v>40337</v>
      </c>
      <c r="C1151" s="6" t="n">
        <f aca="false">'Raw Data'!D1151</f>
        <v>265.761067490286</v>
      </c>
      <c r="D1151" s="6" t="n">
        <f aca="false">'Raw Data'!E1151</f>
        <v>3.665</v>
      </c>
      <c r="E1151" s="6" t="n">
        <f aca="false">'Raw Data'!F1151</f>
        <v>0</v>
      </c>
      <c r="F1151" s="6" t="n">
        <f aca="false">'Raw Data'!G1151</f>
        <v>0</v>
      </c>
      <c r="G1151" s="6" t="n">
        <f aca="false">'Raw Data'!H1151</f>
        <v>0</v>
      </c>
      <c r="H1151" s="6" t="n">
        <f aca="false">'Raw Data'!I1151</f>
        <v>0</v>
      </c>
      <c r="I1151" s="6" t="n">
        <f aca="false">'Raw Data'!J1151</f>
        <v>0</v>
      </c>
      <c r="J1151" s="6" t="n">
        <f aca="false">'Raw Data'!K1151</f>
        <v>1</v>
      </c>
      <c r="K1151" s="6" t="n">
        <f aca="false">'Raw Data'!L1151</f>
        <v>1</v>
      </c>
      <c r="L1151" s="6" t="n">
        <f aca="false">F1151*E1151</f>
        <v>0</v>
      </c>
      <c r="N1151" s="0" t="n">
        <v>1</v>
      </c>
      <c r="O1151" s="6" t="n">
        <f aca="false">D1151</f>
        <v>3.665</v>
      </c>
      <c r="P1151" s="6" t="n">
        <f aca="false">E1151</f>
        <v>0</v>
      </c>
      <c r="Q1151" s="6" t="n">
        <f aca="false">F1151</f>
        <v>0</v>
      </c>
      <c r="R1151" s="6" t="n">
        <f aca="false">G1151</f>
        <v>0</v>
      </c>
      <c r="S1151" s="6" t="n">
        <f aca="false">H1151</f>
        <v>0</v>
      </c>
      <c r="T1151" s="6" t="n">
        <f aca="false">I1151</f>
        <v>0</v>
      </c>
      <c r="U1151" s="6" t="n">
        <f aca="false">L1151</f>
        <v>0</v>
      </c>
      <c r="W1151" s="6" t="n">
        <f aca="false">D1151</f>
        <v>3.665</v>
      </c>
      <c r="X1151" s="6" t="n">
        <f aca="false">E1151</f>
        <v>0</v>
      </c>
      <c r="Y1151" s="6" t="n">
        <f aca="false">F1151</f>
        <v>0</v>
      </c>
      <c r="Z1151" s="6" t="n">
        <f aca="false">L1151</f>
        <v>0</v>
      </c>
      <c r="AA1151" s="6" t="n">
        <f aca="false">G1151</f>
        <v>0</v>
      </c>
      <c r="AC1151" s="6" t="n">
        <f aca="false">D1151</f>
        <v>3.665</v>
      </c>
      <c r="AD1151" s="6" t="n">
        <f aca="false">E1151</f>
        <v>0</v>
      </c>
      <c r="AE1151" s="6" t="n">
        <f aca="false">G1151</f>
        <v>0</v>
      </c>
      <c r="AF1151" s="6" t="n">
        <f aca="false">H1151</f>
        <v>0</v>
      </c>
      <c r="AG1151" s="6" t="n">
        <f aca="false">I1151</f>
        <v>0</v>
      </c>
      <c r="AH1151" s="6" t="n">
        <f aca="false">L1151</f>
        <v>0</v>
      </c>
    </row>
    <row r="1152" customFormat="false" ht="15" hidden="false" customHeight="false" outlineLevel="0" collapsed="false">
      <c r="A1152" s="0" t="str">
        <f aca="false">'Raw Data'!C1152</f>
        <v>Mountain Brook</v>
      </c>
      <c r="B1152" s="5" t="n">
        <f aca="false">'Raw Data'!A1152</f>
        <v>40344</v>
      </c>
      <c r="C1152" s="6" t="n">
        <f aca="false">'Raw Data'!D1152</f>
        <v>157.255226646033</v>
      </c>
      <c r="D1152" s="6" t="n">
        <f aca="false">'Raw Data'!E1152</f>
        <v>3.6</v>
      </c>
      <c r="E1152" s="6" t="n">
        <f aca="false">'Raw Data'!F1152</f>
        <v>0</v>
      </c>
      <c r="F1152" s="6" t="n">
        <f aca="false">'Raw Data'!G1152</f>
        <v>0</v>
      </c>
      <c r="G1152" s="6" t="n">
        <f aca="false">'Raw Data'!H1152</f>
        <v>0</v>
      </c>
      <c r="H1152" s="6" t="n">
        <f aca="false">'Raw Data'!I1152</f>
        <v>0</v>
      </c>
      <c r="I1152" s="6" t="n">
        <f aca="false">'Raw Data'!J1152</f>
        <v>0</v>
      </c>
      <c r="J1152" s="6" t="n">
        <f aca="false">'Raw Data'!K1152</f>
        <v>1</v>
      </c>
      <c r="K1152" s="6" t="n">
        <f aca="false">'Raw Data'!L1152</f>
        <v>1</v>
      </c>
      <c r="L1152" s="6" t="n">
        <f aca="false">F1152*E1152</f>
        <v>0</v>
      </c>
      <c r="N1152" s="0" t="n">
        <v>1</v>
      </c>
      <c r="O1152" s="6" t="n">
        <f aca="false">D1152</f>
        <v>3.6</v>
      </c>
      <c r="P1152" s="6" t="n">
        <f aca="false">E1152</f>
        <v>0</v>
      </c>
      <c r="Q1152" s="6" t="n">
        <f aca="false">F1152</f>
        <v>0</v>
      </c>
      <c r="R1152" s="6" t="n">
        <f aca="false">G1152</f>
        <v>0</v>
      </c>
      <c r="S1152" s="6" t="n">
        <f aca="false">H1152</f>
        <v>0</v>
      </c>
      <c r="T1152" s="6" t="n">
        <f aca="false">I1152</f>
        <v>0</v>
      </c>
      <c r="U1152" s="6" t="n">
        <f aca="false">L1152</f>
        <v>0</v>
      </c>
      <c r="W1152" s="6" t="n">
        <f aca="false">D1152</f>
        <v>3.6</v>
      </c>
      <c r="X1152" s="6" t="n">
        <f aca="false">E1152</f>
        <v>0</v>
      </c>
      <c r="Y1152" s="6" t="n">
        <f aca="false">F1152</f>
        <v>0</v>
      </c>
      <c r="Z1152" s="6" t="n">
        <f aca="false">L1152</f>
        <v>0</v>
      </c>
      <c r="AA1152" s="6" t="n">
        <f aca="false">G1152</f>
        <v>0</v>
      </c>
      <c r="AC1152" s="6" t="n">
        <f aca="false">D1152</f>
        <v>3.6</v>
      </c>
      <c r="AD1152" s="6" t="n">
        <f aca="false">E1152</f>
        <v>0</v>
      </c>
      <c r="AE1152" s="6" t="n">
        <f aca="false">G1152</f>
        <v>0</v>
      </c>
      <c r="AF1152" s="6" t="n">
        <f aca="false">H1152</f>
        <v>0</v>
      </c>
      <c r="AG1152" s="6" t="n">
        <f aca="false">I1152</f>
        <v>0</v>
      </c>
      <c r="AH1152" s="6" t="n">
        <f aca="false">L1152</f>
        <v>0</v>
      </c>
    </row>
    <row r="1153" customFormat="false" ht="15" hidden="false" customHeight="false" outlineLevel="0" collapsed="false">
      <c r="A1153" s="0" t="str">
        <f aca="false">'Raw Data'!C1153</f>
        <v>Mountain Brook</v>
      </c>
      <c r="B1153" s="5" t="n">
        <f aca="false">'Raw Data'!A1153</f>
        <v>40351</v>
      </c>
      <c r="C1153" s="6" t="n">
        <f aca="false">'Raw Data'!D1153</f>
        <v>178.687163075632</v>
      </c>
      <c r="D1153" s="6" t="n">
        <f aca="false">'Raw Data'!E1153</f>
        <v>4.165454545</v>
      </c>
      <c r="E1153" s="6" t="n">
        <f aca="false">'Raw Data'!F1153</f>
        <v>0</v>
      </c>
      <c r="F1153" s="6" t="n">
        <f aca="false">'Raw Data'!G1153</f>
        <v>0</v>
      </c>
      <c r="G1153" s="6" t="n">
        <f aca="false">'Raw Data'!H1153</f>
        <v>0</v>
      </c>
      <c r="H1153" s="6" t="n">
        <f aca="false">'Raw Data'!I1153</f>
        <v>0</v>
      </c>
      <c r="I1153" s="6" t="n">
        <f aca="false">'Raw Data'!J1153</f>
        <v>0</v>
      </c>
      <c r="J1153" s="6" t="n">
        <f aca="false">'Raw Data'!K1153</f>
        <v>1</v>
      </c>
      <c r="K1153" s="6" t="n">
        <f aca="false">'Raw Data'!L1153</f>
        <v>1</v>
      </c>
      <c r="L1153" s="6" t="n">
        <f aca="false">F1153*E1153</f>
        <v>0</v>
      </c>
      <c r="N1153" s="0" t="n">
        <v>1</v>
      </c>
      <c r="O1153" s="6" t="n">
        <f aca="false">D1153</f>
        <v>4.165454545</v>
      </c>
      <c r="P1153" s="6" t="n">
        <f aca="false">E1153</f>
        <v>0</v>
      </c>
      <c r="Q1153" s="6" t="n">
        <f aca="false">F1153</f>
        <v>0</v>
      </c>
      <c r="R1153" s="6" t="n">
        <f aca="false">G1153</f>
        <v>0</v>
      </c>
      <c r="S1153" s="6" t="n">
        <f aca="false">H1153</f>
        <v>0</v>
      </c>
      <c r="T1153" s="6" t="n">
        <f aca="false">I1153</f>
        <v>0</v>
      </c>
      <c r="U1153" s="6" t="n">
        <f aca="false">L1153</f>
        <v>0</v>
      </c>
      <c r="W1153" s="6" t="n">
        <f aca="false">D1153</f>
        <v>4.165454545</v>
      </c>
      <c r="X1153" s="6" t="n">
        <f aca="false">E1153</f>
        <v>0</v>
      </c>
      <c r="Y1153" s="6" t="n">
        <f aca="false">F1153</f>
        <v>0</v>
      </c>
      <c r="Z1153" s="6" t="n">
        <f aca="false">L1153</f>
        <v>0</v>
      </c>
      <c r="AA1153" s="6" t="n">
        <f aca="false">G1153</f>
        <v>0</v>
      </c>
      <c r="AC1153" s="6" t="n">
        <f aca="false">D1153</f>
        <v>4.165454545</v>
      </c>
      <c r="AD1153" s="6" t="n">
        <f aca="false">E1153</f>
        <v>0</v>
      </c>
      <c r="AE1153" s="6" t="n">
        <f aca="false">G1153</f>
        <v>0</v>
      </c>
      <c r="AF1153" s="6" t="n">
        <f aca="false">H1153</f>
        <v>0</v>
      </c>
      <c r="AG1153" s="6" t="n">
        <f aca="false">I1153</f>
        <v>0</v>
      </c>
      <c r="AH1153" s="6" t="n">
        <f aca="false">L1153</f>
        <v>0</v>
      </c>
    </row>
    <row r="1154" customFormat="false" ht="15" hidden="false" customHeight="false" outlineLevel="0" collapsed="false">
      <c r="A1154" s="0" t="str">
        <f aca="false">'Raw Data'!C1154</f>
        <v>Mountain Brook</v>
      </c>
      <c r="B1154" s="5" t="n">
        <f aca="false">'Raw Data'!A1154</f>
        <v>40358</v>
      </c>
      <c r="C1154" s="6" t="n">
        <f aca="false">'Raw Data'!D1154</f>
        <v>277.61885842195</v>
      </c>
      <c r="D1154" s="6" t="n">
        <f aca="false">'Raw Data'!E1154</f>
        <v>5.096666667</v>
      </c>
      <c r="E1154" s="6" t="n">
        <f aca="false">'Raw Data'!F1154</f>
        <v>0</v>
      </c>
      <c r="F1154" s="6" t="n">
        <f aca="false">'Raw Data'!G1154</f>
        <v>0</v>
      </c>
      <c r="G1154" s="6" t="n">
        <f aca="false">'Raw Data'!H1154</f>
        <v>0</v>
      </c>
      <c r="H1154" s="6" t="n">
        <f aca="false">'Raw Data'!I1154</f>
        <v>0</v>
      </c>
      <c r="I1154" s="6" t="n">
        <f aca="false">'Raw Data'!J1154</f>
        <v>0</v>
      </c>
      <c r="J1154" s="6" t="n">
        <f aca="false">'Raw Data'!K1154</f>
        <v>1</v>
      </c>
      <c r="K1154" s="6" t="n">
        <f aca="false">'Raw Data'!L1154</f>
        <v>1</v>
      </c>
      <c r="L1154" s="6" t="n">
        <f aca="false">F1154*E1154</f>
        <v>0</v>
      </c>
      <c r="N1154" s="0" t="n">
        <v>1</v>
      </c>
      <c r="O1154" s="6" t="n">
        <f aca="false">D1154</f>
        <v>5.096666667</v>
      </c>
      <c r="P1154" s="6" t="n">
        <f aca="false">E1154</f>
        <v>0</v>
      </c>
      <c r="Q1154" s="6" t="n">
        <f aca="false">F1154</f>
        <v>0</v>
      </c>
      <c r="R1154" s="6" t="n">
        <f aca="false">G1154</f>
        <v>0</v>
      </c>
      <c r="S1154" s="6" t="n">
        <f aca="false">H1154</f>
        <v>0</v>
      </c>
      <c r="T1154" s="6" t="n">
        <f aca="false">I1154</f>
        <v>0</v>
      </c>
      <c r="U1154" s="6" t="n">
        <f aca="false">L1154</f>
        <v>0</v>
      </c>
      <c r="W1154" s="6" t="n">
        <f aca="false">D1154</f>
        <v>5.096666667</v>
      </c>
      <c r="X1154" s="6" t="n">
        <f aca="false">E1154</f>
        <v>0</v>
      </c>
      <c r="Y1154" s="6" t="n">
        <f aca="false">F1154</f>
        <v>0</v>
      </c>
      <c r="Z1154" s="6" t="n">
        <f aca="false">L1154</f>
        <v>0</v>
      </c>
      <c r="AA1154" s="6" t="n">
        <f aca="false">G1154</f>
        <v>0</v>
      </c>
      <c r="AC1154" s="6" t="n">
        <f aca="false">D1154</f>
        <v>5.096666667</v>
      </c>
      <c r="AD1154" s="6" t="n">
        <f aca="false">E1154</f>
        <v>0</v>
      </c>
      <c r="AE1154" s="6" t="n">
        <f aca="false">G1154</f>
        <v>0</v>
      </c>
      <c r="AF1154" s="6" t="n">
        <f aca="false">H1154</f>
        <v>0</v>
      </c>
      <c r="AG1154" s="6" t="n">
        <f aca="false">I1154</f>
        <v>0</v>
      </c>
      <c r="AH1154" s="6" t="n">
        <f aca="false">L1154</f>
        <v>0</v>
      </c>
    </row>
    <row r="1155" customFormat="false" ht="15" hidden="false" customHeight="false" outlineLevel="0" collapsed="false">
      <c r="A1155" s="0" t="str">
        <f aca="false">'Raw Data'!C1155</f>
        <v>Mountain Brook</v>
      </c>
      <c r="B1155" s="5" t="n">
        <f aca="false">'Raw Data'!A1155</f>
        <v>40365</v>
      </c>
      <c r="C1155" s="6" t="n">
        <f aca="false">'Raw Data'!D1155</f>
        <v>325.654172862425</v>
      </c>
      <c r="D1155" s="6" t="n">
        <f aca="false">'Raw Data'!E1155</f>
        <v>3.491818182</v>
      </c>
      <c r="E1155" s="6" t="n">
        <f aca="false">'Raw Data'!F1155</f>
        <v>0</v>
      </c>
      <c r="F1155" s="6" t="n">
        <f aca="false">'Raw Data'!G1155</f>
        <v>0</v>
      </c>
      <c r="G1155" s="6" t="n">
        <f aca="false">'Raw Data'!H1155</f>
        <v>0</v>
      </c>
      <c r="H1155" s="6" t="n">
        <f aca="false">'Raw Data'!I1155</f>
        <v>0</v>
      </c>
      <c r="I1155" s="6" t="n">
        <f aca="false">'Raw Data'!J1155</f>
        <v>0</v>
      </c>
      <c r="J1155" s="6" t="n">
        <f aca="false">'Raw Data'!K1155</f>
        <v>1</v>
      </c>
      <c r="K1155" s="6" t="n">
        <f aca="false">'Raw Data'!L1155</f>
        <v>1</v>
      </c>
      <c r="L1155" s="6" t="n">
        <f aca="false">F1155*E1155</f>
        <v>0</v>
      </c>
      <c r="N1155" s="0" t="n">
        <v>1</v>
      </c>
      <c r="O1155" s="6" t="n">
        <f aca="false">D1155</f>
        <v>3.491818182</v>
      </c>
      <c r="P1155" s="6" t="n">
        <f aca="false">E1155</f>
        <v>0</v>
      </c>
      <c r="Q1155" s="6" t="n">
        <f aca="false">F1155</f>
        <v>0</v>
      </c>
      <c r="R1155" s="6" t="n">
        <f aca="false">G1155</f>
        <v>0</v>
      </c>
      <c r="S1155" s="6" t="n">
        <f aca="false">H1155</f>
        <v>0</v>
      </c>
      <c r="T1155" s="6" t="n">
        <f aca="false">I1155</f>
        <v>0</v>
      </c>
      <c r="U1155" s="6" t="n">
        <f aca="false">L1155</f>
        <v>0</v>
      </c>
      <c r="W1155" s="6" t="n">
        <f aca="false">D1155</f>
        <v>3.491818182</v>
      </c>
      <c r="X1155" s="6" t="n">
        <f aca="false">E1155</f>
        <v>0</v>
      </c>
      <c r="Y1155" s="6" t="n">
        <f aca="false">F1155</f>
        <v>0</v>
      </c>
      <c r="Z1155" s="6" t="n">
        <f aca="false">L1155</f>
        <v>0</v>
      </c>
      <c r="AA1155" s="6" t="n">
        <f aca="false">G1155</f>
        <v>0</v>
      </c>
      <c r="AC1155" s="6" t="n">
        <f aca="false">D1155</f>
        <v>3.491818182</v>
      </c>
      <c r="AD1155" s="6" t="n">
        <f aca="false">E1155</f>
        <v>0</v>
      </c>
      <c r="AE1155" s="6" t="n">
        <f aca="false">G1155</f>
        <v>0</v>
      </c>
      <c r="AF1155" s="6" t="n">
        <f aca="false">H1155</f>
        <v>0</v>
      </c>
      <c r="AG1155" s="6" t="n">
        <f aca="false">I1155</f>
        <v>0</v>
      </c>
      <c r="AH1155" s="6" t="n">
        <f aca="false">L1155</f>
        <v>0</v>
      </c>
    </row>
    <row r="1156" customFormat="false" ht="15" hidden="false" customHeight="false" outlineLevel="0" collapsed="false">
      <c r="A1156" s="0" t="str">
        <f aca="false">'Raw Data'!C1156</f>
        <v>Mountain Brook</v>
      </c>
      <c r="B1156" s="5" t="n">
        <f aca="false">'Raw Data'!A1156</f>
        <v>40372</v>
      </c>
      <c r="C1156" s="6" t="n">
        <f aca="false">'Raw Data'!D1156</f>
        <v>231.015296271965</v>
      </c>
      <c r="D1156" s="6" t="n">
        <f aca="false">'Raw Data'!E1156</f>
        <v>3.496</v>
      </c>
      <c r="E1156" s="6" t="n">
        <f aca="false">'Raw Data'!F1156</f>
        <v>0</v>
      </c>
      <c r="F1156" s="6" t="n">
        <f aca="false">'Raw Data'!G1156</f>
        <v>0</v>
      </c>
      <c r="G1156" s="6" t="n">
        <f aca="false">'Raw Data'!H1156</f>
        <v>0</v>
      </c>
      <c r="H1156" s="6" t="n">
        <f aca="false">'Raw Data'!I1156</f>
        <v>0</v>
      </c>
      <c r="I1156" s="6" t="n">
        <f aca="false">'Raw Data'!J1156</f>
        <v>0</v>
      </c>
      <c r="J1156" s="6" t="n">
        <f aca="false">'Raw Data'!K1156</f>
        <v>1</v>
      </c>
      <c r="K1156" s="6" t="n">
        <f aca="false">'Raw Data'!L1156</f>
        <v>1</v>
      </c>
      <c r="L1156" s="6" t="n">
        <f aca="false">F1156*E1156</f>
        <v>0</v>
      </c>
      <c r="N1156" s="0" t="n">
        <v>1</v>
      </c>
      <c r="O1156" s="6" t="n">
        <f aca="false">D1156</f>
        <v>3.496</v>
      </c>
      <c r="P1156" s="6" t="n">
        <f aca="false">E1156</f>
        <v>0</v>
      </c>
      <c r="Q1156" s="6" t="n">
        <f aca="false">F1156</f>
        <v>0</v>
      </c>
      <c r="R1156" s="6" t="n">
        <f aca="false">G1156</f>
        <v>0</v>
      </c>
      <c r="S1156" s="6" t="n">
        <f aca="false">H1156</f>
        <v>0</v>
      </c>
      <c r="T1156" s="6" t="n">
        <f aca="false">I1156</f>
        <v>0</v>
      </c>
      <c r="U1156" s="6" t="n">
        <f aca="false">L1156</f>
        <v>0</v>
      </c>
      <c r="W1156" s="6" t="n">
        <f aca="false">D1156</f>
        <v>3.496</v>
      </c>
      <c r="X1156" s="6" t="n">
        <f aca="false">E1156</f>
        <v>0</v>
      </c>
      <c r="Y1156" s="6" t="n">
        <f aca="false">F1156</f>
        <v>0</v>
      </c>
      <c r="Z1156" s="6" t="n">
        <f aca="false">L1156</f>
        <v>0</v>
      </c>
      <c r="AA1156" s="6" t="n">
        <f aca="false">G1156</f>
        <v>0</v>
      </c>
      <c r="AC1156" s="6" t="n">
        <f aca="false">D1156</f>
        <v>3.496</v>
      </c>
      <c r="AD1156" s="6" t="n">
        <f aca="false">E1156</f>
        <v>0</v>
      </c>
      <c r="AE1156" s="6" t="n">
        <f aca="false">G1156</f>
        <v>0</v>
      </c>
      <c r="AF1156" s="6" t="n">
        <f aca="false">H1156</f>
        <v>0</v>
      </c>
      <c r="AG1156" s="6" t="n">
        <f aca="false">I1156</f>
        <v>0</v>
      </c>
      <c r="AH1156" s="6" t="n">
        <f aca="false">L1156</f>
        <v>0</v>
      </c>
    </row>
    <row r="1157" customFormat="false" ht="15" hidden="false" customHeight="false" outlineLevel="0" collapsed="false">
      <c r="A1157" s="0" t="str">
        <f aca="false">'Raw Data'!C1157</f>
        <v>Ponce de Lyon</v>
      </c>
      <c r="B1157" s="5" t="n">
        <f aca="false">'Raw Data'!A1157</f>
        <v>40302</v>
      </c>
      <c r="C1157" s="6" t="n">
        <f aca="false">'Raw Data'!D1157</f>
        <v>196.785780130531</v>
      </c>
      <c r="D1157" s="6" t="n">
        <f aca="false">'Raw Data'!E1157</f>
        <v>4.047142857</v>
      </c>
      <c r="E1157" s="6" t="n">
        <f aca="false">'Raw Data'!F1157</f>
        <v>0</v>
      </c>
      <c r="F1157" s="6" t="n">
        <f aca="false">'Raw Data'!G1157</f>
        <v>0</v>
      </c>
      <c r="G1157" s="6" t="n">
        <f aca="false">'Raw Data'!H1157</f>
        <v>0</v>
      </c>
      <c r="H1157" s="6" t="n">
        <f aca="false">'Raw Data'!I1157</f>
        <v>0</v>
      </c>
      <c r="I1157" s="6" t="n">
        <f aca="false">'Raw Data'!J1157</f>
        <v>0</v>
      </c>
      <c r="J1157" s="6" t="n">
        <f aca="false">'Raw Data'!K1157</f>
        <v>2</v>
      </c>
      <c r="K1157" s="6" t="n">
        <f aca="false">'Raw Data'!L1157</f>
        <v>2</v>
      </c>
      <c r="L1157" s="6" t="n">
        <f aca="false">F1157*E1157</f>
        <v>0</v>
      </c>
      <c r="N1157" s="0" t="n">
        <v>1</v>
      </c>
      <c r="O1157" s="6" t="n">
        <f aca="false">D1157</f>
        <v>4.047142857</v>
      </c>
      <c r="P1157" s="6" t="n">
        <f aca="false">E1157</f>
        <v>0</v>
      </c>
      <c r="Q1157" s="6" t="n">
        <f aca="false">F1157</f>
        <v>0</v>
      </c>
      <c r="R1157" s="6" t="n">
        <f aca="false">G1157</f>
        <v>0</v>
      </c>
      <c r="S1157" s="6" t="n">
        <f aca="false">H1157</f>
        <v>0</v>
      </c>
      <c r="T1157" s="6" t="n">
        <f aca="false">I1157</f>
        <v>0</v>
      </c>
      <c r="U1157" s="6" t="n">
        <f aca="false">L1157</f>
        <v>0</v>
      </c>
      <c r="W1157" s="6" t="n">
        <f aca="false">D1157</f>
        <v>4.047142857</v>
      </c>
      <c r="X1157" s="6" t="n">
        <f aca="false">E1157</f>
        <v>0</v>
      </c>
      <c r="Y1157" s="6" t="n">
        <f aca="false">F1157</f>
        <v>0</v>
      </c>
      <c r="Z1157" s="6" t="n">
        <f aca="false">L1157</f>
        <v>0</v>
      </c>
      <c r="AA1157" s="6" t="n">
        <f aca="false">G1157</f>
        <v>0</v>
      </c>
      <c r="AC1157" s="6" t="n">
        <f aca="false">D1157</f>
        <v>4.047142857</v>
      </c>
      <c r="AD1157" s="6" t="n">
        <f aca="false">E1157</f>
        <v>0</v>
      </c>
      <c r="AE1157" s="6" t="n">
        <f aca="false">G1157</f>
        <v>0</v>
      </c>
      <c r="AF1157" s="6" t="n">
        <f aca="false">H1157</f>
        <v>0</v>
      </c>
      <c r="AG1157" s="6" t="n">
        <f aca="false">I1157</f>
        <v>0</v>
      </c>
      <c r="AH1157" s="6" t="n">
        <f aca="false">L1157</f>
        <v>0</v>
      </c>
    </row>
    <row r="1158" customFormat="false" ht="15" hidden="false" customHeight="false" outlineLevel="0" collapsed="false">
      <c r="A1158" s="0" t="str">
        <f aca="false">'Raw Data'!C1158</f>
        <v>Ponce de Lyon</v>
      </c>
      <c r="B1158" s="5" t="n">
        <f aca="false">'Raw Data'!A1158</f>
        <v>40309</v>
      </c>
      <c r="C1158" s="6" t="n">
        <f aca="false">'Raw Data'!D1158</f>
        <v>146.210181744286</v>
      </c>
      <c r="D1158" s="6" t="n">
        <f aca="false">'Raw Data'!E1158</f>
        <v>3.743</v>
      </c>
      <c r="E1158" s="6" t="n">
        <f aca="false">'Raw Data'!F1158</f>
        <v>0</v>
      </c>
      <c r="F1158" s="6" t="n">
        <f aca="false">'Raw Data'!G1158</f>
        <v>0</v>
      </c>
      <c r="G1158" s="6" t="n">
        <f aca="false">'Raw Data'!H1158</f>
        <v>0</v>
      </c>
      <c r="H1158" s="6" t="n">
        <f aca="false">'Raw Data'!I1158</f>
        <v>0</v>
      </c>
      <c r="I1158" s="6" t="n">
        <f aca="false">'Raw Data'!J1158</f>
        <v>0</v>
      </c>
      <c r="J1158" s="6" t="n">
        <f aca="false">'Raw Data'!K1158</f>
        <v>2</v>
      </c>
      <c r="K1158" s="6" t="n">
        <f aca="false">'Raw Data'!L1158</f>
        <v>2</v>
      </c>
      <c r="L1158" s="6" t="n">
        <f aca="false">F1158*E1158</f>
        <v>0</v>
      </c>
      <c r="N1158" s="0" t="n">
        <v>1</v>
      </c>
      <c r="O1158" s="6" t="n">
        <f aca="false">D1158</f>
        <v>3.743</v>
      </c>
      <c r="P1158" s="6" t="n">
        <f aca="false">E1158</f>
        <v>0</v>
      </c>
      <c r="Q1158" s="6" t="n">
        <f aca="false">F1158</f>
        <v>0</v>
      </c>
      <c r="R1158" s="6" t="n">
        <f aca="false">G1158</f>
        <v>0</v>
      </c>
      <c r="S1158" s="6" t="n">
        <f aca="false">H1158</f>
        <v>0</v>
      </c>
      <c r="T1158" s="6" t="n">
        <f aca="false">I1158</f>
        <v>0</v>
      </c>
      <c r="U1158" s="6" t="n">
        <f aca="false">L1158</f>
        <v>0</v>
      </c>
      <c r="W1158" s="6" t="n">
        <f aca="false">D1158</f>
        <v>3.743</v>
      </c>
      <c r="X1158" s="6" t="n">
        <f aca="false">E1158</f>
        <v>0</v>
      </c>
      <c r="Y1158" s="6" t="n">
        <f aca="false">F1158</f>
        <v>0</v>
      </c>
      <c r="Z1158" s="6" t="n">
        <f aca="false">L1158</f>
        <v>0</v>
      </c>
      <c r="AA1158" s="6" t="n">
        <f aca="false">G1158</f>
        <v>0</v>
      </c>
      <c r="AC1158" s="6" t="n">
        <f aca="false">D1158</f>
        <v>3.743</v>
      </c>
      <c r="AD1158" s="6" t="n">
        <f aca="false">E1158</f>
        <v>0</v>
      </c>
      <c r="AE1158" s="6" t="n">
        <f aca="false">G1158</f>
        <v>0</v>
      </c>
      <c r="AF1158" s="6" t="n">
        <f aca="false">H1158</f>
        <v>0</v>
      </c>
      <c r="AG1158" s="6" t="n">
        <f aca="false">I1158</f>
        <v>0</v>
      </c>
      <c r="AH1158" s="6" t="n">
        <f aca="false">L1158</f>
        <v>0</v>
      </c>
    </row>
    <row r="1159" customFormat="false" ht="15" hidden="false" customHeight="false" outlineLevel="0" collapsed="false">
      <c r="A1159" s="0" t="str">
        <f aca="false">'Raw Data'!C1159</f>
        <v>Ponce de Lyon</v>
      </c>
      <c r="B1159" s="5" t="n">
        <f aca="false">'Raw Data'!A1159</f>
        <v>40316</v>
      </c>
      <c r="C1159" s="6" t="n">
        <f aca="false">'Raw Data'!D1159</f>
        <v>139.546962262348</v>
      </c>
      <c r="D1159" s="6" t="n">
        <f aca="false">'Raw Data'!E1159</f>
        <v>3.642</v>
      </c>
      <c r="E1159" s="6" t="n">
        <f aca="false">'Raw Data'!F1159</f>
        <v>0</v>
      </c>
      <c r="F1159" s="6" t="n">
        <f aca="false">'Raw Data'!G1159</f>
        <v>0</v>
      </c>
      <c r="G1159" s="6" t="n">
        <f aca="false">'Raw Data'!H1159</f>
        <v>0</v>
      </c>
      <c r="H1159" s="6" t="n">
        <f aca="false">'Raw Data'!I1159</f>
        <v>0</v>
      </c>
      <c r="I1159" s="6" t="n">
        <f aca="false">'Raw Data'!J1159</f>
        <v>0</v>
      </c>
      <c r="J1159" s="6" t="n">
        <f aca="false">'Raw Data'!K1159</f>
        <v>2</v>
      </c>
      <c r="K1159" s="6" t="n">
        <f aca="false">'Raw Data'!L1159</f>
        <v>2</v>
      </c>
      <c r="L1159" s="6" t="n">
        <f aca="false">F1159*E1159</f>
        <v>0</v>
      </c>
      <c r="N1159" s="0" t="n">
        <v>1</v>
      </c>
      <c r="O1159" s="6" t="n">
        <f aca="false">D1159</f>
        <v>3.642</v>
      </c>
      <c r="P1159" s="6" t="n">
        <f aca="false">E1159</f>
        <v>0</v>
      </c>
      <c r="Q1159" s="6" t="n">
        <f aca="false">F1159</f>
        <v>0</v>
      </c>
      <c r="R1159" s="6" t="n">
        <f aca="false">G1159</f>
        <v>0</v>
      </c>
      <c r="S1159" s="6" t="n">
        <f aca="false">H1159</f>
        <v>0</v>
      </c>
      <c r="T1159" s="6" t="n">
        <f aca="false">I1159</f>
        <v>0</v>
      </c>
      <c r="U1159" s="6" t="n">
        <f aca="false">L1159</f>
        <v>0</v>
      </c>
      <c r="W1159" s="6" t="n">
        <f aca="false">D1159</f>
        <v>3.642</v>
      </c>
      <c r="X1159" s="6" t="n">
        <f aca="false">E1159</f>
        <v>0</v>
      </c>
      <c r="Y1159" s="6" t="n">
        <f aca="false">F1159</f>
        <v>0</v>
      </c>
      <c r="Z1159" s="6" t="n">
        <f aca="false">L1159</f>
        <v>0</v>
      </c>
      <c r="AA1159" s="6" t="n">
        <f aca="false">G1159</f>
        <v>0</v>
      </c>
      <c r="AC1159" s="6" t="n">
        <f aca="false">D1159</f>
        <v>3.642</v>
      </c>
      <c r="AD1159" s="6" t="n">
        <f aca="false">E1159</f>
        <v>0</v>
      </c>
      <c r="AE1159" s="6" t="n">
        <f aca="false">G1159</f>
        <v>0</v>
      </c>
      <c r="AF1159" s="6" t="n">
        <f aca="false">H1159</f>
        <v>0</v>
      </c>
      <c r="AG1159" s="6" t="n">
        <f aca="false">I1159</f>
        <v>0</v>
      </c>
      <c r="AH1159" s="6" t="n">
        <f aca="false">L1159</f>
        <v>0</v>
      </c>
    </row>
    <row r="1160" customFormat="false" ht="15" hidden="false" customHeight="false" outlineLevel="0" collapsed="false">
      <c r="A1160" s="0" t="str">
        <f aca="false">'Raw Data'!C1160</f>
        <v>Ponce de Lyon</v>
      </c>
      <c r="B1160" s="5" t="n">
        <f aca="false">'Raw Data'!A1160</f>
        <v>40323</v>
      </c>
      <c r="C1160" s="6" t="n">
        <f aca="false">'Raw Data'!D1160</f>
        <v>72.6276769605469</v>
      </c>
      <c r="D1160" s="6" t="n">
        <f aca="false">'Raw Data'!E1160</f>
        <v>3.55</v>
      </c>
      <c r="E1160" s="6" t="n">
        <f aca="false">'Raw Data'!F1160</f>
        <v>0</v>
      </c>
      <c r="F1160" s="6" t="n">
        <f aca="false">'Raw Data'!G1160</f>
        <v>0</v>
      </c>
      <c r="G1160" s="6" t="n">
        <f aca="false">'Raw Data'!H1160</f>
        <v>0</v>
      </c>
      <c r="H1160" s="6" t="n">
        <f aca="false">'Raw Data'!I1160</f>
        <v>0</v>
      </c>
      <c r="I1160" s="6" t="n">
        <f aca="false">'Raw Data'!J1160</f>
        <v>0</v>
      </c>
      <c r="J1160" s="6" t="n">
        <f aca="false">'Raw Data'!K1160</f>
        <v>2</v>
      </c>
      <c r="K1160" s="6" t="n">
        <f aca="false">'Raw Data'!L1160</f>
        <v>2</v>
      </c>
      <c r="L1160" s="6" t="n">
        <f aca="false">F1160*E1160</f>
        <v>0</v>
      </c>
      <c r="N1160" s="0" t="n">
        <v>1</v>
      </c>
      <c r="O1160" s="6" t="n">
        <f aca="false">D1160</f>
        <v>3.55</v>
      </c>
      <c r="P1160" s="6" t="n">
        <f aca="false">E1160</f>
        <v>0</v>
      </c>
      <c r="Q1160" s="6" t="n">
        <f aca="false">F1160</f>
        <v>0</v>
      </c>
      <c r="R1160" s="6" t="n">
        <f aca="false">G1160</f>
        <v>0</v>
      </c>
      <c r="S1160" s="6" t="n">
        <f aca="false">H1160</f>
        <v>0</v>
      </c>
      <c r="T1160" s="6" t="n">
        <f aca="false">I1160</f>
        <v>0</v>
      </c>
      <c r="U1160" s="6" t="n">
        <f aca="false">L1160</f>
        <v>0</v>
      </c>
      <c r="W1160" s="6" t="n">
        <f aca="false">D1160</f>
        <v>3.55</v>
      </c>
      <c r="X1160" s="6" t="n">
        <f aca="false">E1160</f>
        <v>0</v>
      </c>
      <c r="Y1160" s="6" t="n">
        <f aca="false">F1160</f>
        <v>0</v>
      </c>
      <c r="Z1160" s="6" t="n">
        <f aca="false">L1160</f>
        <v>0</v>
      </c>
      <c r="AA1160" s="6" t="n">
        <f aca="false">G1160</f>
        <v>0</v>
      </c>
      <c r="AC1160" s="6" t="n">
        <f aca="false">D1160</f>
        <v>3.55</v>
      </c>
      <c r="AD1160" s="6" t="n">
        <f aca="false">E1160</f>
        <v>0</v>
      </c>
      <c r="AE1160" s="6" t="n">
        <f aca="false">G1160</f>
        <v>0</v>
      </c>
      <c r="AF1160" s="6" t="n">
        <f aca="false">H1160</f>
        <v>0</v>
      </c>
      <c r="AG1160" s="6" t="n">
        <f aca="false">I1160</f>
        <v>0</v>
      </c>
      <c r="AH1160" s="6" t="n">
        <f aca="false">L1160</f>
        <v>0</v>
      </c>
    </row>
    <row r="1161" customFormat="false" ht="15" hidden="false" customHeight="false" outlineLevel="0" collapsed="false">
      <c r="A1161" s="0" t="str">
        <f aca="false">'Raw Data'!C1161</f>
        <v>Ponce de Lyon</v>
      </c>
      <c r="B1161" s="5" t="n">
        <f aca="false">'Raw Data'!A1161</f>
        <v>40330</v>
      </c>
      <c r="C1161" s="6" t="n">
        <f aca="false">'Raw Data'!D1161</f>
        <v>234.857427141606</v>
      </c>
      <c r="D1161" s="6" t="n">
        <f aca="false">'Raw Data'!E1161</f>
        <v>3.55</v>
      </c>
      <c r="E1161" s="6" t="n">
        <f aca="false">'Raw Data'!F1161</f>
        <v>0</v>
      </c>
      <c r="F1161" s="6" t="n">
        <f aca="false">'Raw Data'!G1161</f>
        <v>0</v>
      </c>
      <c r="G1161" s="6" t="n">
        <f aca="false">'Raw Data'!H1161</f>
        <v>0</v>
      </c>
      <c r="H1161" s="6" t="n">
        <f aca="false">'Raw Data'!I1161</f>
        <v>0</v>
      </c>
      <c r="I1161" s="6" t="n">
        <f aca="false">'Raw Data'!J1161</f>
        <v>0</v>
      </c>
      <c r="J1161" s="6" t="n">
        <f aca="false">'Raw Data'!K1161</f>
        <v>2</v>
      </c>
      <c r="K1161" s="6" t="n">
        <f aca="false">'Raw Data'!L1161</f>
        <v>2</v>
      </c>
      <c r="L1161" s="6" t="n">
        <f aca="false">F1161*E1161</f>
        <v>0</v>
      </c>
      <c r="N1161" s="0" t="n">
        <v>1</v>
      </c>
      <c r="O1161" s="6" t="n">
        <f aca="false">D1161</f>
        <v>3.55</v>
      </c>
      <c r="P1161" s="6" t="n">
        <f aca="false">E1161</f>
        <v>0</v>
      </c>
      <c r="Q1161" s="6" t="n">
        <f aca="false">F1161</f>
        <v>0</v>
      </c>
      <c r="R1161" s="6" t="n">
        <f aca="false">G1161</f>
        <v>0</v>
      </c>
      <c r="S1161" s="6" t="n">
        <f aca="false">H1161</f>
        <v>0</v>
      </c>
      <c r="T1161" s="6" t="n">
        <f aca="false">I1161</f>
        <v>0</v>
      </c>
      <c r="U1161" s="6" t="n">
        <f aca="false">L1161</f>
        <v>0</v>
      </c>
      <c r="W1161" s="6" t="n">
        <f aca="false">D1161</f>
        <v>3.55</v>
      </c>
      <c r="X1161" s="6" t="n">
        <f aca="false">E1161</f>
        <v>0</v>
      </c>
      <c r="Y1161" s="6" t="n">
        <f aca="false">F1161</f>
        <v>0</v>
      </c>
      <c r="Z1161" s="6" t="n">
        <f aca="false">L1161</f>
        <v>0</v>
      </c>
      <c r="AA1161" s="6" t="n">
        <f aca="false">G1161</f>
        <v>0</v>
      </c>
      <c r="AC1161" s="6" t="n">
        <f aca="false">D1161</f>
        <v>3.55</v>
      </c>
      <c r="AD1161" s="6" t="n">
        <f aca="false">E1161</f>
        <v>0</v>
      </c>
      <c r="AE1161" s="6" t="n">
        <f aca="false">G1161</f>
        <v>0</v>
      </c>
      <c r="AF1161" s="6" t="n">
        <f aca="false">H1161</f>
        <v>0</v>
      </c>
      <c r="AG1161" s="6" t="n">
        <f aca="false">I1161</f>
        <v>0</v>
      </c>
      <c r="AH1161" s="6" t="n">
        <f aca="false">L1161</f>
        <v>0</v>
      </c>
    </row>
    <row r="1162" customFormat="false" ht="15" hidden="false" customHeight="false" outlineLevel="0" collapsed="false">
      <c r="A1162" s="0" t="str">
        <f aca="false">'Raw Data'!C1162</f>
        <v>Ponce de Lyon</v>
      </c>
      <c r="B1162" s="5" t="n">
        <f aca="false">'Raw Data'!A1162</f>
        <v>40337</v>
      </c>
      <c r="C1162" s="6" t="n">
        <f aca="false">'Raw Data'!D1162</f>
        <v>236.28789581523</v>
      </c>
      <c r="D1162" s="6" t="n">
        <f aca="false">'Raw Data'!E1162</f>
        <v>3.745555556</v>
      </c>
      <c r="E1162" s="6" t="n">
        <f aca="false">'Raw Data'!F1162</f>
        <v>0</v>
      </c>
      <c r="F1162" s="6" t="n">
        <f aca="false">'Raw Data'!G1162</f>
        <v>0</v>
      </c>
      <c r="G1162" s="6" t="n">
        <f aca="false">'Raw Data'!H1162</f>
        <v>0</v>
      </c>
      <c r="H1162" s="6" t="n">
        <f aca="false">'Raw Data'!I1162</f>
        <v>0</v>
      </c>
      <c r="I1162" s="6" t="n">
        <f aca="false">'Raw Data'!J1162</f>
        <v>0</v>
      </c>
      <c r="J1162" s="6" t="n">
        <f aca="false">'Raw Data'!K1162</f>
        <v>2</v>
      </c>
      <c r="K1162" s="6" t="n">
        <f aca="false">'Raw Data'!L1162</f>
        <v>2</v>
      </c>
      <c r="L1162" s="6" t="n">
        <f aca="false">F1162*E1162</f>
        <v>0</v>
      </c>
      <c r="N1162" s="0" t="n">
        <v>1</v>
      </c>
      <c r="O1162" s="6" t="n">
        <f aca="false">D1162</f>
        <v>3.745555556</v>
      </c>
      <c r="P1162" s="6" t="n">
        <f aca="false">E1162</f>
        <v>0</v>
      </c>
      <c r="Q1162" s="6" t="n">
        <f aca="false">F1162</f>
        <v>0</v>
      </c>
      <c r="R1162" s="6" t="n">
        <f aca="false">G1162</f>
        <v>0</v>
      </c>
      <c r="S1162" s="6" t="n">
        <f aca="false">H1162</f>
        <v>0</v>
      </c>
      <c r="T1162" s="6" t="n">
        <f aca="false">I1162</f>
        <v>0</v>
      </c>
      <c r="U1162" s="6" t="n">
        <f aca="false">L1162</f>
        <v>0</v>
      </c>
      <c r="W1162" s="6" t="n">
        <f aca="false">D1162</f>
        <v>3.745555556</v>
      </c>
      <c r="X1162" s="6" t="n">
        <f aca="false">E1162</f>
        <v>0</v>
      </c>
      <c r="Y1162" s="6" t="n">
        <f aca="false">F1162</f>
        <v>0</v>
      </c>
      <c r="Z1162" s="6" t="n">
        <f aca="false">L1162</f>
        <v>0</v>
      </c>
      <c r="AA1162" s="6" t="n">
        <f aca="false">G1162</f>
        <v>0</v>
      </c>
      <c r="AC1162" s="6" t="n">
        <f aca="false">D1162</f>
        <v>3.745555556</v>
      </c>
      <c r="AD1162" s="6" t="n">
        <f aca="false">E1162</f>
        <v>0</v>
      </c>
      <c r="AE1162" s="6" t="n">
        <f aca="false">G1162</f>
        <v>0</v>
      </c>
      <c r="AF1162" s="6" t="n">
        <f aca="false">H1162</f>
        <v>0</v>
      </c>
      <c r="AG1162" s="6" t="n">
        <f aca="false">I1162</f>
        <v>0</v>
      </c>
      <c r="AH1162" s="6" t="n">
        <f aca="false">L1162</f>
        <v>0</v>
      </c>
    </row>
    <row r="1163" customFormat="false" ht="15" hidden="false" customHeight="false" outlineLevel="0" collapsed="false">
      <c r="A1163" s="0" t="str">
        <f aca="false">'Raw Data'!C1163</f>
        <v>Ponce de Lyon</v>
      </c>
      <c r="B1163" s="5" t="n">
        <f aca="false">'Raw Data'!A1163</f>
        <v>40344</v>
      </c>
      <c r="C1163" s="6" t="n">
        <f aca="false">'Raw Data'!D1163</f>
        <v>141.778699017317</v>
      </c>
      <c r="D1163" s="6" t="n">
        <f aca="false">'Raw Data'!E1163</f>
        <v>3.745555556</v>
      </c>
      <c r="E1163" s="6" t="n">
        <f aca="false">'Raw Data'!F1163</f>
        <v>0</v>
      </c>
      <c r="F1163" s="6" t="n">
        <f aca="false">'Raw Data'!G1163</f>
        <v>0</v>
      </c>
      <c r="G1163" s="6" t="n">
        <f aca="false">'Raw Data'!H1163</f>
        <v>0</v>
      </c>
      <c r="H1163" s="6" t="n">
        <f aca="false">'Raw Data'!I1163</f>
        <v>0</v>
      </c>
      <c r="I1163" s="6" t="n">
        <f aca="false">'Raw Data'!J1163</f>
        <v>0</v>
      </c>
      <c r="J1163" s="6" t="n">
        <f aca="false">'Raw Data'!K1163</f>
        <v>2</v>
      </c>
      <c r="K1163" s="6" t="n">
        <f aca="false">'Raw Data'!L1163</f>
        <v>2</v>
      </c>
      <c r="L1163" s="6" t="n">
        <f aca="false">F1163*E1163</f>
        <v>0</v>
      </c>
      <c r="N1163" s="0" t="n">
        <v>1</v>
      </c>
      <c r="O1163" s="6" t="n">
        <f aca="false">D1163</f>
        <v>3.745555556</v>
      </c>
      <c r="P1163" s="6" t="n">
        <f aca="false">E1163</f>
        <v>0</v>
      </c>
      <c r="Q1163" s="6" t="n">
        <f aca="false">F1163</f>
        <v>0</v>
      </c>
      <c r="R1163" s="6" t="n">
        <f aca="false">G1163</f>
        <v>0</v>
      </c>
      <c r="S1163" s="6" t="n">
        <f aca="false">H1163</f>
        <v>0</v>
      </c>
      <c r="T1163" s="6" t="n">
        <f aca="false">I1163</f>
        <v>0</v>
      </c>
      <c r="U1163" s="6" t="n">
        <f aca="false">L1163</f>
        <v>0</v>
      </c>
      <c r="W1163" s="6" t="n">
        <f aca="false">D1163</f>
        <v>3.745555556</v>
      </c>
      <c r="X1163" s="6" t="n">
        <f aca="false">E1163</f>
        <v>0</v>
      </c>
      <c r="Y1163" s="6" t="n">
        <f aca="false">F1163</f>
        <v>0</v>
      </c>
      <c r="Z1163" s="6" t="n">
        <f aca="false">L1163</f>
        <v>0</v>
      </c>
      <c r="AA1163" s="6" t="n">
        <f aca="false">G1163</f>
        <v>0</v>
      </c>
      <c r="AC1163" s="6" t="n">
        <f aca="false">D1163</f>
        <v>3.745555556</v>
      </c>
      <c r="AD1163" s="6" t="n">
        <f aca="false">E1163</f>
        <v>0</v>
      </c>
      <c r="AE1163" s="6" t="n">
        <f aca="false">G1163</f>
        <v>0</v>
      </c>
      <c r="AF1163" s="6" t="n">
        <f aca="false">H1163</f>
        <v>0</v>
      </c>
      <c r="AG1163" s="6" t="n">
        <f aca="false">I1163</f>
        <v>0</v>
      </c>
      <c r="AH1163" s="6" t="n">
        <f aca="false">L1163</f>
        <v>0</v>
      </c>
    </row>
    <row r="1164" customFormat="false" ht="15" hidden="false" customHeight="false" outlineLevel="0" collapsed="false">
      <c r="A1164" s="0" t="str">
        <f aca="false">'Raw Data'!C1164</f>
        <v>Ponce de Lyon</v>
      </c>
      <c r="B1164" s="5" t="n">
        <f aca="false">'Raw Data'!A1164</f>
        <v>40351</v>
      </c>
      <c r="C1164" s="6" t="n">
        <f aca="false">'Raw Data'!D1164</f>
        <v>232.581678138057</v>
      </c>
      <c r="D1164" s="6" t="n">
        <f aca="false">'Raw Data'!E1164</f>
        <v>3.847777778</v>
      </c>
      <c r="E1164" s="6" t="n">
        <f aca="false">'Raw Data'!F1164</f>
        <v>0</v>
      </c>
      <c r="F1164" s="6" t="n">
        <f aca="false">'Raw Data'!G1164</f>
        <v>0</v>
      </c>
      <c r="G1164" s="6" t="n">
        <f aca="false">'Raw Data'!H1164</f>
        <v>0</v>
      </c>
      <c r="H1164" s="6" t="n">
        <f aca="false">'Raw Data'!I1164</f>
        <v>0</v>
      </c>
      <c r="I1164" s="6" t="n">
        <f aca="false">'Raw Data'!J1164</f>
        <v>0</v>
      </c>
      <c r="J1164" s="6" t="n">
        <f aca="false">'Raw Data'!K1164</f>
        <v>2</v>
      </c>
      <c r="K1164" s="6" t="n">
        <f aca="false">'Raw Data'!L1164</f>
        <v>2</v>
      </c>
      <c r="L1164" s="6" t="n">
        <f aca="false">F1164*E1164</f>
        <v>0</v>
      </c>
      <c r="N1164" s="0" t="n">
        <v>1</v>
      </c>
      <c r="O1164" s="6" t="n">
        <f aca="false">D1164</f>
        <v>3.847777778</v>
      </c>
      <c r="P1164" s="6" t="n">
        <f aca="false">E1164</f>
        <v>0</v>
      </c>
      <c r="Q1164" s="6" t="n">
        <f aca="false">F1164</f>
        <v>0</v>
      </c>
      <c r="R1164" s="6" t="n">
        <f aca="false">G1164</f>
        <v>0</v>
      </c>
      <c r="S1164" s="6" t="n">
        <f aca="false">H1164</f>
        <v>0</v>
      </c>
      <c r="T1164" s="6" t="n">
        <f aca="false">I1164</f>
        <v>0</v>
      </c>
      <c r="U1164" s="6" t="n">
        <f aca="false">L1164</f>
        <v>0</v>
      </c>
      <c r="W1164" s="6" t="n">
        <f aca="false">D1164</f>
        <v>3.847777778</v>
      </c>
      <c r="X1164" s="6" t="n">
        <f aca="false">E1164</f>
        <v>0</v>
      </c>
      <c r="Y1164" s="6" t="n">
        <f aca="false">F1164</f>
        <v>0</v>
      </c>
      <c r="Z1164" s="6" t="n">
        <f aca="false">L1164</f>
        <v>0</v>
      </c>
      <c r="AA1164" s="6" t="n">
        <f aca="false">G1164</f>
        <v>0</v>
      </c>
      <c r="AC1164" s="6" t="n">
        <f aca="false">D1164</f>
        <v>3.847777778</v>
      </c>
      <c r="AD1164" s="6" t="n">
        <f aca="false">E1164</f>
        <v>0</v>
      </c>
      <c r="AE1164" s="6" t="n">
        <f aca="false">G1164</f>
        <v>0</v>
      </c>
      <c r="AF1164" s="6" t="n">
        <f aca="false">H1164</f>
        <v>0</v>
      </c>
      <c r="AG1164" s="6" t="n">
        <f aca="false">I1164</f>
        <v>0</v>
      </c>
      <c r="AH1164" s="6" t="n">
        <f aca="false">L1164</f>
        <v>0</v>
      </c>
    </row>
    <row r="1165" customFormat="false" ht="15" hidden="false" customHeight="false" outlineLevel="0" collapsed="false">
      <c r="A1165" s="0" t="str">
        <f aca="false">'Raw Data'!C1165</f>
        <v>Ponce de Lyon</v>
      </c>
      <c r="B1165" s="5" t="n">
        <f aca="false">'Raw Data'!A1165</f>
        <v>40358</v>
      </c>
      <c r="C1165" s="6" t="n">
        <f aca="false">'Raw Data'!D1165</f>
        <v>168.754815338146</v>
      </c>
      <c r="D1165" s="6" t="n">
        <f aca="false">'Raw Data'!E1165</f>
        <v>3.921</v>
      </c>
      <c r="E1165" s="6" t="n">
        <f aca="false">'Raw Data'!F1165</f>
        <v>0</v>
      </c>
      <c r="F1165" s="6" t="n">
        <f aca="false">'Raw Data'!G1165</f>
        <v>0</v>
      </c>
      <c r="G1165" s="6" t="n">
        <f aca="false">'Raw Data'!H1165</f>
        <v>0</v>
      </c>
      <c r="H1165" s="6" t="n">
        <f aca="false">'Raw Data'!I1165</f>
        <v>0</v>
      </c>
      <c r="I1165" s="6" t="n">
        <f aca="false">'Raw Data'!J1165</f>
        <v>0</v>
      </c>
      <c r="J1165" s="6" t="n">
        <f aca="false">'Raw Data'!K1165</f>
        <v>2</v>
      </c>
      <c r="K1165" s="6" t="n">
        <f aca="false">'Raw Data'!L1165</f>
        <v>2</v>
      </c>
      <c r="L1165" s="6" t="n">
        <f aca="false">F1165*E1165</f>
        <v>0</v>
      </c>
      <c r="N1165" s="0" t="n">
        <v>1</v>
      </c>
      <c r="O1165" s="6" t="n">
        <f aca="false">D1165</f>
        <v>3.921</v>
      </c>
      <c r="P1165" s="6" t="n">
        <f aca="false">E1165</f>
        <v>0</v>
      </c>
      <c r="Q1165" s="6" t="n">
        <f aca="false">F1165</f>
        <v>0</v>
      </c>
      <c r="R1165" s="6" t="n">
        <f aca="false">G1165</f>
        <v>0</v>
      </c>
      <c r="S1165" s="6" t="n">
        <f aca="false">H1165</f>
        <v>0</v>
      </c>
      <c r="T1165" s="6" t="n">
        <f aca="false">I1165</f>
        <v>0</v>
      </c>
      <c r="U1165" s="6" t="n">
        <f aca="false">L1165</f>
        <v>0</v>
      </c>
      <c r="W1165" s="6" t="n">
        <f aca="false">D1165</f>
        <v>3.921</v>
      </c>
      <c r="X1165" s="6" t="n">
        <f aca="false">E1165</f>
        <v>0</v>
      </c>
      <c r="Y1165" s="6" t="n">
        <f aca="false">F1165</f>
        <v>0</v>
      </c>
      <c r="Z1165" s="6" t="n">
        <f aca="false">L1165</f>
        <v>0</v>
      </c>
      <c r="AA1165" s="6" t="n">
        <f aca="false">G1165</f>
        <v>0</v>
      </c>
      <c r="AC1165" s="6" t="n">
        <f aca="false">D1165</f>
        <v>3.921</v>
      </c>
      <c r="AD1165" s="6" t="n">
        <f aca="false">E1165</f>
        <v>0</v>
      </c>
      <c r="AE1165" s="6" t="n">
        <f aca="false">G1165</f>
        <v>0</v>
      </c>
      <c r="AF1165" s="6" t="n">
        <f aca="false">H1165</f>
        <v>0</v>
      </c>
      <c r="AG1165" s="6" t="n">
        <f aca="false">I1165</f>
        <v>0</v>
      </c>
      <c r="AH1165" s="6" t="n">
        <f aca="false">L1165</f>
        <v>0</v>
      </c>
    </row>
    <row r="1166" customFormat="false" ht="15" hidden="false" customHeight="false" outlineLevel="0" collapsed="false">
      <c r="A1166" s="0" t="str">
        <f aca="false">'Raw Data'!C1166</f>
        <v>Ponce de Lyon</v>
      </c>
      <c r="B1166" s="5" t="n">
        <f aca="false">'Raw Data'!A1166</f>
        <v>40365</v>
      </c>
      <c r="C1166" s="6" t="n">
        <f aca="false">'Raw Data'!D1166</f>
        <v>232.512332489983</v>
      </c>
      <c r="D1166" s="6" t="n">
        <f aca="false">'Raw Data'!E1166</f>
        <v>3.496</v>
      </c>
      <c r="E1166" s="6" t="n">
        <f aca="false">'Raw Data'!F1166</f>
        <v>0</v>
      </c>
      <c r="F1166" s="6" t="n">
        <f aca="false">'Raw Data'!G1166</f>
        <v>0</v>
      </c>
      <c r="G1166" s="6" t="n">
        <f aca="false">'Raw Data'!H1166</f>
        <v>0</v>
      </c>
      <c r="H1166" s="6" t="n">
        <f aca="false">'Raw Data'!I1166</f>
        <v>0</v>
      </c>
      <c r="I1166" s="6" t="n">
        <f aca="false">'Raw Data'!J1166</f>
        <v>0</v>
      </c>
      <c r="J1166" s="6" t="n">
        <f aca="false">'Raw Data'!K1166</f>
        <v>2</v>
      </c>
      <c r="K1166" s="6" t="n">
        <f aca="false">'Raw Data'!L1166</f>
        <v>2</v>
      </c>
      <c r="L1166" s="6" t="n">
        <f aca="false">F1166*E1166</f>
        <v>0</v>
      </c>
      <c r="N1166" s="0" t="n">
        <v>1</v>
      </c>
      <c r="O1166" s="6" t="n">
        <f aca="false">D1166</f>
        <v>3.496</v>
      </c>
      <c r="P1166" s="6" t="n">
        <f aca="false">E1166</f>
        <v>0</v>
      </c>
      <c r="Q1166" s="6" t="n">
        <f aca="false">F1166</f>
        <v>0</v>
      </c>
      <c r="R1166" s="6" t="n">
        <f aca="false">G1166</f>
        <v>0</v>
      </c>
      <c r="S1166" s="6" t="n">
        <f aca="false">H1166</f>
        <v>0</v>
      </c>
      <c r="T1166" s="6" t="n">
        <f aca="false">I1166</f>
        <v>0</v>
      </c>
      <c r="U1166" s="6" t="n">
        <f aca="false">L1166</f>
        <v>0</v>
      </c>
      <c r="W1166" s="6" t="n">
        <f aca="false">D1166</f>
        <v>3.496</v>
      </c>
      <c r="X1166" s="6" t="n">
        <f aca="false">E1166</f>
        <v>0</v>
      </c>
      <c r="Y1166" s="6" t="n">
        <f aca="false">F1166</f>
        <v>0</v>
      </c>
      <c r="Z1166" s="6" t="n">
        <f aca="false">L1166</f>
        <v>0</v>
      </c>
      <c r="AA1166" s="6" t="n">
        <f aca="false">G1166</f>
        <v>0</v>
      </c>
      <c r="AC1166" s="6" t="n">
        <f aca="false">D1166</f>
        <v>3.496</v>
      </c>
      <c r="AD1166" s="6" t="n">
        <f aca="false">E1166</f>
        <v>0</v>
      </c>
      <c r="AE1166" s="6" t="n">
        <f aca="false">G1166</f>
        <v>0</v>
      </c>
      <c r="AF1166" s="6" t="n">
        <f aca="false">H1166</f>
        <v>0</v>
      </c>
      <c r="AG1166" s="6" t="n">
        <f aca="false">I1166</f>
        <v>0</v>
      </c>
      <c r="AH1166" s="6" t="n">
        <f aca="false">L1166</f>
        <v>0</v>
      </c>
    </row>
    <row r="1167" customFormat="false" ht="15" hidden="false" customHeight="false" outlineLevel="0" collapsed="false">
      <c r="A1167" s="0" t="str">
        <f aca="false">'Raw Data'!C1167</f>
        <v>Ponce de Lyon</v>
      </c>
      <c r="B1167" s="5" t="n">
        <f aca="false">'Raw Data'!A1167</f>
        <v>40372</v>
      </c>
      <c r="C1167" s="6" t="n">
        <f aca="false">'Raw Data'!D1167</f>
        <v>247.611300933673</v>
      </c>
      <c r="D1167" s="6" t="n">
        <f aca="false">'Raw Data'!E1167</f>
        <v>3.496</v>
      </c>
      <c r="E1167" s="6" t="n">
        <f aca="false">'Raw Data'!F1167</f>
        <v>0</v>
      </c>
      <c r="F1167" s="6" t="n">
        <f aca="false">'Raw Data'!G1167</f>
        <v>0</v>
      </c>
      <c r="G1167" s="6" t="n">
        <f aca="false">'Raw Data'!H1167</f>
        <v>0</v>
      </c>
      <c r="H1167" s="6" t="n">
        <f aca="false">'Raw Data'!I1167</f>
        <v>0</v>
      </c>
      <c r="I1167" s="6" t="n">
        <f aca="false">'Raw Data'!J1167</f>
        <v>0</v>
      </c>
      <c r="J1167" s="6" t="n">
        <f aca="false">'Raw Data'!K1167</f>
        <v>2</v>
      </c>
      <c r="K1167" s="6" t="n">
        <f aca="false">'Raw Data'!L1167</f>
        <v>2</v>
      </c>
      <c r="L1167" s="6" t="n">
        <f aca="false">F1167*E1167</f>
        <v>0</v>
      </c>
      <c r="N1167" s="0" t="n">
        <v>1</v>
      </c>
      <c r="O1167" s="6" t="n">
        <f aca="false">D1167</f>
        <v>3.496</v>
      </c>
      <c r="P1167" s="6" t="n">
        <f aca="false">E1167</f>
        <v>0</v>
      </c>
      <c r="Q1167" s="6" t="n">
        <f aca="false">F1167</f>
        <v>0</v>
      </c>
      <c r="R1167" s="6" t="n">
        <f aca="false">G1167</f>
        <v>0</v>
      </c>
      <c r="S1167" s="6" t="n">
        <f aca="false">H1167</f>
        <v>0</v>
      </c>
      <c r="T1167" s="6" t="n">
        <f aca="false">I1167</f>
        <v>0</v>
      </c>
      <c r="U1167" s="6" t="n">
        <f aca="false">L1167</f>
        <v>0</v>
      </c>
      <c r="W1167" s="6" t="n">
        <f aca="false">D1167</f>
        <v>3.496</v>
      </c>
      <c r="X1167" s="6" t="n">
        <f aca="false">E1167</f>
        <v>0</v>
      </c>
      <c r="Y1167" s="6" t="n">
        <f aca="false">F1167</f>
        <v>0</v>
      </c>
      <c r="Z1167" s="6" t="n">
        <f aca="false">L1167</f>
        <v>0</v>
      </c>
      <c r="AA1167" s="6" t="n">
        <f aca="false">G1167</f>
        <v>0</v>
      </c>
      <c r="AC1167" s="6" t="n">
        <f aca="false">D1167</f>
        <v>3.496</v>
      </c>
      <c r="AD1167" s="6" t="n">
        <f aca="false">E1167</f>
        <v>0</v>
      </c>
      <c r="AE1167" s="6" t="n">
        <f aca="false">G1167</f>
        <v>0</v>
      </c>
      <c r="AF1167" s="6" t="n">
        <f aca="false">H1167</f>
        <v>0</v>
      </c>
      <c r="AG1167" s="6" t="n">
        <f aca="false">I1167</f>
        <v>0</v>
      </c>
      <c r="AH1167" s="6" t="n">
        <f aca="false">L1167</f>
        <v>0</v>
      </c>
    </row>
    <row r="1168" customFormat="false" ht="15" hidden="false" customHeight="false" outlineLevel="0" collapsed="false">
      <c r="A1168" s="0" t="str">
        <f aca="false">'Raw Data'!C1168</f>
        <v>West Paces Ferry</v>
      </c>
      <c r="B1168" s="5" t="n">
        <f aca="false">'Raw Data'!A1168</f>
        <v>40302</v>
      </c>
      <c r="C1168" s="6" t="n">
        <f aca="false">'Raw Data'!D1168</f>
        <v>123.508710605801</v>
      </c>
      <c r="D1168" s="6" t="n">
        <f aca="false">'Raw Data'!E1168</f>
        <v>4.367777778</v>
      </c>
      <c r="E1168" s="6" t="n">
        <f aca="false">'Raw Data'!F1168</f>
        <v>0</v>
      </c>
      <c r="F1168" s="6" t="n">
        <f aca="false">'Raw Data'!G1168</f>
        <v>0</v>
      </c>
      <c r="G1168" s="6" t="n">
        <f aca="false">'Raw Data'!H1168</f>
        <v>0</v>
      </c>
      <c r="H1168" s="6" t="n">
        <f aca="false">'Raw Data'!I1168</f>
        <v>0</v>
      </c>
      <c r="I1168" s="6" t="n">
        <f aca="false">'Raw Data'!J1168</f>
        <v>0</v>
      </c>
      <c r="J1168" s="6" t="n">
        <f aca="false">'Raw Data'!K1168</f>
        <v>1</v>
      </c>
      <c r="K1168" s="6" t="n">
        <f aca="false">'Raw Data'!L1168</f>
        <v>2</v>
      </c>
      <c r="L1168" s="6" t="n">
        <f aca="false">F1168*E1168</f>
        <v>0</v>
      </c>
      <c r="N1168" s="0" t="n">
        <v>1</v>
      </c>
      <c r="O1168" s="6" t="n">
        <f aca="false">D1168</f>
        <v>4.367777778</v>
      </c>
      <c r="P1168" s="6" t="n">
        <f aca="false">E1168</f>
        <v>0</v>
      </c>
      <c r="Q1168" s="6" t="n">
        <f aca="false">F1168</f>
        <v>0</v>
      </c>
      <c r="R1168" s="6" t="n">
        <f aca="false">G1168</f>
        <v>0</v>
      </c>
      <c r="S1168" s="6" t="n">
        <f aca="false">H1168</f>
        <v>0</v>
      </c>
      <c r="T1168" s="6" t="n">
        <f aca="false">I1168</f>
        <v>0</v>
      </c>
      <c r="U1168" s="6" t="n">
        <f aca="false">L1168</f>
        <v>0</v>
      </c>
      <c r="W1168" s="6" t="n">
        <f aca="false">D1168</f>
        <v>4.367777778</v>
      </c>
      <c r="X1168" s="6" t="n">
        <f aca="false">E1168</f>
        <v>0</v>
      </c>
      <c r="Y1168" s="6" t="n">
        <f aca="false">F1168</f>
        <v>0</v>
      </c>
      <c r="Z1168" s="6" t="n">
        <f aca="false">L1168</f>
        <v>0</v>
      </c>
      <c r="AA1168" s="6" t="n">
        <f aca="false">G1168</f>
        <v>0</v>
      </c>
      <c r="AC1168" s="6" t="n">
        <f aca="false">D1168</f>
        <v>4.367777778</v>
      </c>
      <c r="AD1168" s="6" t="n">
        <f aca="false">E1168</f>
        <v>0</v>
      </c>
      <c r="AE1168" s="6" t="n">
        <f aca="false">G1168</f>
        <v>0</v>
      </c>
      <c r="AF1168" s="6" t="n">
        <f aca="false">H1168</f>
        <v>0</v>
      </c>
      <c r="AG1168" s="6" t="n">
        <f aca="false">I1168</f>
        <v>0</v>
      </c>
      <c r="AH1168" s="6" t="n">
        <f aca="false">L1168</f>
        <v>0</v>
      </c>
    </row>
    <row r="1169" customFormat="false" ht="15" hidden="false" customHeight="false" outlineLevel="0" collapsed="false">
      <c r="A1169" s="0" t="str">
        <f aca="false">'Raw Data'!C1169</f>
        <v>West Paces Ferry</v>
      </c>
      <c r="B1169" s="5" t="n">
        <f aca="false">'Raw Data'!A1169</f>
        <v>40309</v>
      </c>
      <c r="C1169" s="6" t="n">
        <f aca="false">'Raw Data'!D1169</f>
        <v>203.744525871752</v>
      </c>
      <c r="D1169" s="6" t="n">
        <f aca="false">'Raw Data'!E1169</f>
        <v>4.367777778</v>
      </c>
      <c r="E1169" s="6" t="n">
        <f aca="false">'Raw Data'!F1169</f>
        <v>0</v>
      </c>
      <c r="F1169" s="6" t="n">
        <f aca="false">'Raw Data'!G1169</f>
        <v>0</v>
      </c>
      <c r="G1169" s="6" t="n">
        <f aca="false">'Raw Data'!H1169</f>
        <v>0</v>
      </c>
      <c r="H1169" s="6" t="n">
        <f aca="false">'Raw Data'!I1169</f>
        <v>0</v>
      </c>
      <c r="I1169" s="6" t="n">
        <f aca="false">'Raw Data'!J1169</f>
        <v>0</v>
      </c>
      <c r="J1169" s="6" t="n">
        <f aca="false">'Raw Data'!K1169</f>
        <v>1</v>
      </c>
      <c r="K1169" s="6" t="n">
        <f aca="false">'Raw Data'!L1169</f>
        <v>2</v>
      </c>
      <c r="L1169" s="6" t="n">
        <f aca="false">F1169*E1169</f>
        <v>0</v>
      </c>
      <c r="N1169" s="0" t="n">
        <v>1</v>
      </c>
      <c r="O1169" s="6" t="n">
        <f aca="false">D1169</f>
        <v>4.367777778</v>
      </c>
      <c r="P1169" s="6" t="n">
        <f aca="false">E1169</f>
        <v>0</v>
      </c>
      <c r="Q1169" s="6" t="n">
        <f aca="false">F1169</f>
        <v>0</v>
      </c>
      <c r="R1169" s="6" t="n">
        <f aca="false">G1169</f>
        <v>0</v>
      </c>
      <c r="S1169" s="6" t="n">
        <f aca="false">H1169</f>
        <v>0</v>
      </c>
      <c r="T1169" s="6" t="n">
        <f aca="false">I1169</f>
        <v>0</v>
      </c>
      <c r="U1169" s="6" t="n">
        <f aca="false">L1169</f>
        <v>0</v>
      </c>
      <c r="W1169" s="6" t="n">
        <f aca="false">D1169</f>
        <v>4.367777778</v>
      </c>
      <c r="X1169" s="6" t="n">
        <f aca="false">E1169</f>
        <v>0</v>
      </c>
      <c r="Y1169" s="6" t="n">
        <f aca="false">F1169</f>
        <v>0</v>
      </c>
      <c r="Z1169" s="6" t="n">
        <f aca="false">L1169</f>
        <v>0</v>
      </c>
      <c r="AA1169" s="6" t="n">
        <f aca="false">G1169</f>
        <v>0</v>
      </c>
      <c r="AC1169" s="6" t="n">
        <f aca="false">D1169</f>
        <v>4.367777778</v>
      </c>
      <c r="AD1169" s="6" t="n">
        <f aca="false">E1169</f>
        <v>0</v>
      </c>
      <c r="AE1169" s="6" t="n">
        <f aca="false">G1169</f>
        <v>0</v>
      </c>
      <c r="AF1169" s="6" t="n">
        <f aca="false">H1169</f>
        <v>0</v>
      </c>
      <c r="AG1169" s="6" t="n">
        <f aca="false">I1169</f>
        <v>0</v>
      </c>
      <c r="AH1169" s="6" t="n">
        <f aca="false">L1169</f>
        <v>0</v>
      </c>
    </row>
    <row r="1170" customFormat="false" ht="15" hidden="false" customHeight="false" outlineLevel="0" collapsed="false">
      <c r="A1170" s="0" t="str">
        <f aca="false">'Raw Data'!C1170</f>
        <v>West Paces Ferry</v>
      </c>
      <c r="B1170" s="5" t="n">
        <f aca="false">'Raw Data'!A1170</f>
        <v>40316</v>
      </c>
      <c r="C1170" s="6" t="n">
        <f aca="false">'Raw Data'!D1170</f>
        <v>226.208601807633</v>
      </c>
      <c r="D1170" s="6" t="n">
        <f aca="false">'Raw Data'!E1170</f>
        <v>3.848333333</v>
      </c>
      <c r="E1170" s="6" t="n">
        <f aca="false">'Raw Data'!F1170</f>
        <v>0</v>
      </c>
      <c r="F1170" s="6" t="n">
        <f aca="false">'Raw Data'!G1170</f>
        <v>0</v>
      </c>
      <c r="G1170" s="6" t="n">
        <f aca="false">'Raw Data'!H1170</f>
        <v>0</v>
      </c>
      <c r="H1170" s="6" t="n">
        <f aca="false">'Raw Data'!I1170</f>
        <v>0</v>
      </c>
      <c r="I1170" s="6" t="n">
        <f aca="false">'Raw Data'!J1170</f>
        <v>0</v>
      </c>
      <c r="J1170" s="6" t="n">
        <f aca="false">'Raw Data'!K1170</f>
        <v>1</v>
      </c>
      <c r="K1170" s="6" t="n">
        <f aca="false">'Raw Data'!L1170</f>
        <v>2</v>
      </c>
      <c r="L1170" s="6" t="n">
        <f aca="false">F1170*E1170</f>
        <v>0</v>
      </c>
      <c r="N1170" s="0" t="n">
        <v>1</v>
      </c>
      <c r="O1170" s="6" t="n">
        <f aca="false">D1170</f>
        <v>3.848333333</v>
      </c>
      <c r="P1170" s="6" t="n">
        <f aca="false">E1170</f>
        <v>0</v>
      </c>
      <c r="Q1170" s="6" t="n">
        <f aca="false">F1170</f>
        <v>0</v>
      </c>
      <c r="R1170" s="6" t="n">
        <f aca="false">G1170</f>
        <v>0</v>
      </c>
      <c r="S1170" s="6" t="n">
        <f aca="false">H1170</f>
        <v>0</v>
      </c>
      <c r="T1170" s="6" t="n">
        <f aca="false">I1170</f>
        <v>0</v>
      </c>
      <c r="U1170" s="6" t="n">
        <f aca="false">L1170</f>
        <v>0</v>
      </c>
      <c r="W1170" s="6" t="n">
        <f aca="false">D1170</f>
        <v>3.848333333</v>
      </c>
      <c r="X1170" s="6" t="n">
        <f aca="false">E1170</f>
        <v>0</v>
      </c>
      <c r="Y1170" s="6" t="n">
        <f aca="false">F1170</f>
        <v>0</v>
      </c>
      <c r="Z1170" s="6" t="n">
        <f aca="false">L1170</f>
        <v>0</v>
      </c>
      <c r="AA1170" s="6" t="n">
        <f aca="false">G1170</f>
        <v>0</v>
      </c>
      <c r="AC1170" s="6" t="n">
        <f aca="false">D1170</f>
        <v>3.848333333</v>
      </c>
      <c r="AD1170" s="6" t="n">
        <f aca="false">E1170</f>
        <v>0</v>
      </c>
      <c r="AE1170" s="6" t="n">
        <f aca="false">G1170</f>
        <v>0</v>
      </c>
      <c r="AF1170" s="6" t="n">
        <f aca="false">H1170</f>
        <v>0</v>
      </c>
      <c r="AG1170" s="6" t="n">
        <f aca="false">I1170</f>
        <v>0</v>
      </c>
      <c r="AH1170" s="6" t="n">
        <f aca="false">L1170</f>
        <v>0</v>
      </c>
    </row>
    <row r="1171" customFormat="false" ht="15" hidden="false" customHeight="false" outlineLevel="0" collapsed="false">
      <c r="A1171" s="0" t="str">
        <f aca="false">'Raw Data'!C1171</f>
        <v>West Paces Ferry</v>
      </c>
      <c r="B1171" s="5" t="n">
        <f aca="false">'Raw Data'!A1171</f>
        <v>40323</v>
      </c>
      <c r="C1171" s="6" t="n">
        <f aca="false">'Raw Data'!D1171</f>
        <v>196.616235443937</v>
      </c>
      <c r="D1171" s="6" t="n">
        <f aca="false">'Raw Data'!E1171</f>
        <v>3.848333333</v>
      </c>
      <c r="E1171" s="6" t="n">
        <f aca="false">'Raw Data'!F1171</f>
        <v>0</v>
      </c>
      <c r="F1171" s="6" t="n">
        <f aca="false">'Raw Data'!G1171</f>
        <v>0</v>
      </c>
      <c r="G1171" s="6" t="n">
        <f aca="false">'Raw Data'!H1171</f>
        <v>0</v>
      </c>
      <c r="H1171" s="6" t="n">
        <f aca="false">'Raw Data'!I1171</f>
        <v>0</v>
      </c>
      <c r="I1171" s="6" t="n">
        <f aca="false">'Raw Data'!J1171</f>
        <v>0</v>
      </c>
      <c r="J1171" s="6" t="n">
        <f aca="false">'Raw Data'!K1171</f>
        <v>1</v>
      </c>
      <c r="K1171" s="6" t="n">
        <f aca="false">'Raw Data'!L1171</f>
        <v>2</v>
      </c>
      <c r="L1171" s="6" t="n">
        <f aca="false">F1171*E1171</f>
        <v>0</v>
      </c>
      <c r="N1171" s="0" t="n">
        <v>1</v>
      </c>
      <c r="O1171" s="6" t="n">
        <f aca="false">D1171</f>
        <v>3.848333333</v>
      </c>
      <c r="P1171" s="6" t="n">
        <f aca="false">E1171</f>
        <v>0</v>
      </c>
      <c r="Q1171" s="6" t="n">
        <f aca="false">F1171</f>
        <v>0</v>
      </c>
      <c r="R1171" s="6" t="n">
        <f aca="false">G1171</f>
        <v>0</v>
      </c>
      <c r="S1171" s="6" t="n">
        <f aca="false">H1171</f>
        <v>0</v>
      </c>
      <c r="T1171" s="6" t="n">
        <f aca="false">I1171</f>
        <v>0</v>
      </c>
      <c r="U1171" s="6" t="n">
        <f aca="false">L1171</f>
        <v>0</v>
      </c>
      <c r="W1171" s="6" t="n">
        <f aca="false">D1171</f>
        <v>3.848333333</v>
      </c>
      <c r="X1171" s="6" t="n">
        <f aca="false">E1171</f>
        <v>0</v>
      </c>
      <c r="Y1171" s="6" t="n">
        <f aca="false">F1171</f>
        <v>0</v>
      </c>
      <c r="Z1171" s="6" t="n">
        <f aca="false">L1171</f>
        <v>0</v>
      </c>
      <c r="AA1171" s="6" t="n">
        <f aca="false">G1171</f>
        <v>0</v>
      </c>
      <c r="AC1171" s="6" t="n">
        <f aca="false">D1171</f>
        <v>3.848333333</v>
      </c>
      <c r="AD1171" s="6" t="n">
        <f aca="false">E1171</f>
        <v>0</v>
      </c>
      <c r="AE1171" s="6" t="n">
        <f aca="false">G1171</f>
        <v>0</v>
      </c>
      <c r="AF1171" s="6" t="n">
        <f aca="false">H1171</f>
        <v>0</v>
      </c>
      <c r="AG1171" s="6" t="n">
        <f aca="false">I1171</f>
        <v>0</v>
      </c>
      <c r="AH1171" s="6" t="n">
        <f aca="false">L1171</f>
        <v>0</v>
      </c>
    </row>
    <row r="1172" customFormat="false" ht="15" hidden="false" customHeight="false" outlineLevel="0" collapsed="false">
      <c r="A1172" s="0" t="str">
        <f aca="false">'Raw Data'!C1172</f>
        <v>West Paces Ferry</v>
      </c>
      <c r="B1172" s="5" t="n">
        <f aca="false">'Raw Data'!A1172</f>
        <v>40330</v>
      </c>
      <c r="C1172" s="6" t="n">
        <f aca="false">'Raw Data'!D1172</f>
        <v>156.155423348499</v>
      </c>
      <c r="D1172" s="6" t="n">
        <f aca="false">'Raw Data'!E1172</f>
        <v>3.848333333</v>
      </c>
      <c r="E1172" s="6" t="n">
        <f aca="false">'Raw Data'!F1172</f>
        <v>0</v>
      </c>
      <c r="F1172" s="6" t="n">
        <f aca="false">'Raw Data'!G1172</f>
        <v>0</v>
      </c>
      <c r="G1172" s="6" t="n">
        <f aca="false">'Raw Data'!H1172</f>
        <v>0</v>
      </c>
      <c r="H1172" s="6" t="n">
        <f aca="false">'Raw Data'!I1172</f>
        <v>0</v>
      </c>
      <c r="I1172" s="6" t="n">
        <f aca="false">'Raw Data'!J1172</f>
        <v>0</v>
      </c>
      <c r="J1172" s="6" t="n">
        <f aca="false">'Raw Data'!K1172</f>
        <v>1</v>
      </c>
      <c r="K1172" s="6" t="n">
        <f aca="false">'Raw Data'!L1172</f>
        <v>2</v>
      </c>
      <c r="L1172" s="6" t="n">
        <f aca="false">F1172*E1172</f>
        <v>0</v>
      </c>
      <c r="N1172" s="0" t="n">
        <v>1</v>
      </c>
      <c r="O1172" s="6" t="n">
        <f aca="false">D1172</f>
        <v>3.848333333</v>
      </c>
      <c r="P1172" s="6" t="n">
        <f aca="false">E1172</f>
        <v>0</v>
      </c>
      <c r="Q1172" s="6" t="n">
        <f aca="false">F1172</f>
        <v>0</v>
      </c>
      <c r="R1172" s="6" t="n">
        <f aca="false">G1172</f>
        <v>0</v>
      </c>
      <c r="S1172" s="6" t="n">
        <f aca="false">H1172</f>
        <v>0</v>
      </c>
      <c r="T1172" s="6" t="n">
        <f aca="false">I1172</f>
        <v>0</v>
      </c>
      <c r="U1172" s="6" t="n">
        <f aca="false">L1172</f>
        <v>0</v>
      </c>
      <c r="W1172" s="6" t="n">
        <f aca="false">D1172</f>
        <v>3.848333333</v>
      </c>
      <c r="X1172" s="6" t="n">
        <f aca="false">E1172</f>
        <v>0</v>
      </c>
      <c r="Y1172" s="6" t="n">
        <f aca="false">F1172</f>
        <v>0</v>
      </c>
      <c r="Z1172" s="6" t="n">
        <f aca="false">L1172</f>
        <v>0</v>
      </c>
      <c r="AA1172" s="6" t="n">
        <f aca="false">G1172</f>
        <v>0</v>
      </c>
      <c r="AC1172" s="6" t="n">
        <f aca="false">D1172</f>
        <v>3.848333333</v>
      </c>
      <c r="AD1172" s="6" t="n">
        <f aca="false">E1172</f>
        <v>0</v>
      </c>
      <c r="AE1172" s="6" t="n">
        <f aca="false">G1172</f>
        <v>0</v>
      </c>
      <c r="AF1172" s="6" t="n">
        <f aca="false">H1172</f>
        <v>0</v>
      </c>
      <c r="AG1172" s="6" t="n">
        <f aca="false">I1172</f>
        <v>0</v>
      </c>
      <c r="AH1172" s="6" t="n">
        <f aca="false">L1172</f>
        <v>0</v>
      </c>
    </row>
    <row r="1173" customFormat="false" ht="15" hidden="false" customHeight="false" outlineLevel="0" collapsed="false">
      <c r="A1173" s="0" t="str">
        <f aca="false">'Raw Data'!C1173</f>
        <v>West Paces Ferry</v>
      </c>
      <c r="B1173" s="5" t="n">
        <f aca="false">'Raw Data'!A1173</f>
        <v>40337</v>
      </c>
      <c r="C1173" s="6" t="n">
        <f aca="false">'Raw Data'!D1173</f>
        <v>172.825130383628</v>
      </c>
      <c r="D1173" s="6" t="n">
        <f aca="false">'Raw Data'!E1173</f>
        <v>3.948333333</v>
      </c>
      <c r="E1173" s="6" t="n">
        <f aca="false">'Raw Data'!F1173</f>
        <v>0</v>
      </c>
      <c r="F1173" s="6" t="n">
        <f aca="false">'Raw Data'!G1173</f>
        <v>0</v>
      </c>
      <c r="G1173" s="6" t="n">
        <f aca="false">'Raw Data'!H1173</f>
        <v>0</v>
      </c>
      <c r="H1173" s="6" t="n">
        <f aca="false">'Raw Data'!I1173</f>
        <v>0</v>
      </c>
      <c r="I1173" s="6" t="n">
        <f aca="false">'Raw Data'!J1173</f>
        <v>0</v>
      </c>
      <c r="J1173" s="6" t="n">
        <f aca="false">'Raw Data'!K1173</f>
        <v>1</v>
      </c>
      <c r="K1173" s="6" t="n">
        <f aca="false">'Raw Data'!L1173</f>
        <v>2</v>
      </c>
      <c r="L1173" s="6" t="n">
        <f aca="false">F1173*E1173</f>
        <v>0</v>
      </c>
      <c r="N1173" s="0" t="n">
        <v>1</v>
      </c>
      <c r="O1173" s="6" t="n">
        <f aca="false">D1173</f>
        <v>3.948333333</v>
      </c>
      <c r="P1173" s="6" t="n">
        <f aca="false">E1173</f>
        <v>0</v>
      </c>
      <c r="Q1173" s="6" t="n">
        <f aca="false">F1173</f>
        <v>0</v>
      </c>
      <c r="R1173" s="6" t="n">
        <f aca="false">G1173</f>
        <v>0</v>
      </c>
      <c r="S1173" s="6" t="n">
        <f aca="false">H1173</f>
        <v>0</v>
      </c>
      <c r="T1173" s="6" t="n">
        <f aca="false">I1173</f>
        <v>0</v>
      </c>
      <c r="U1173" s="6" t="n">
        <f aca="false">L1173</f>
        <v>0</v>
      </c>
      <c r="W1173" s="6" t="n">
        <f aca="false">D1173</f>
        <v>3.948333333</v>
      </c>
      <c r="X1173" s="6" t="n">
        <f aca="false">E1173</f>
        <v>0</v>
      </c>
      <c r="Y1173" s="6" t="n">
        <f aca="false">F1173</f>
        <v>0</v>
      </c>
      <c r="Z1173" s="6" t="n">
        <f aca="false">L1173</f>
        <v>0</v>
      </c>
      <c r="AA1173" s="6" t="n">
        <f aca="false">G1173</f>
        <v>0</v>
      </c>
      <c r="AC1173" s="6" t="n">
        <f aca="false">D1173</f>
        <v>3.948333333</v>
      </c>
      <c r="AD1173" s="6" t="n">
        <f aca="false">E1173</f>
        <v>0</v>
      </c>
      <c r="AE1173" s="6" t="n">
        <f aca="false">G1173</f>
        <v>0</v>
      </c>
      <c r="AF1173" s="6" t="n">
        <f aca="false">H1173</f>
        <v>0</v>
      </c>
      <c r="AG1173" s="6" t="n">
        <f aca="false">I1173</f>
        <v>0</v>
      </c>
      <c r="AH1173" s="6" t="n">
        <f aca="false">L1173</f>
        <v>0</v>
      </c>
    </row>
    <row r="1174" customFormat="false" ht="15" hidden="false" customHeight="false" outlineLevel="0" collapsed="false">
      <c r="A1174" s="0" t="str">
        <f aca="false">'Raw Data'!C1174</f>
        <v>West Paces Ferry</v>
      </c>
      <c r="B1174" s="5" t="n">
        <f aca="false">'Raw Data'!A1174</f>
        <v>40344</v>
      </c>
      <c r="C1174" s="6" t="n">
        <f aca="false">'Raw Data'!D1174</f>
        <v>195.471216405349</v>
      </c>
      <c r="D1174" s="6" t="n">
        <f aca="false">'Raw Data'!E1174</f>
        <v>3.948333333</v>
      </c>
      <c r="E1174" s="6" t="n">
        <f aca="false">'Raw Data'!F1174</f>
        <v>0</v>
      </c>
      <c r="F1174" s="6" t="n">
        <f aca="false">'Raw Data'!G1174</f>
        <v>0</v>
      </c>
      <c r="G1174" s="6" t="n">
        <f aca="false">'Raw Data'!H1174</f>
        <v>0</v>
      </c>
      <c r="H1174" s="6" t="n">
        <f aca="false">'Raw Data'!I1174</f>
        <v>0</v>
      </c>
      <c r="I1174" s="6" t="n">
        <f aca="false">'Raw Data'!J1174</f>
        <v>0</v>
      </c>
      <c r="J1174" s="6" t="n">
        <f aca="false">'Raw Data'!K1174</f>
        <v>1</v>
      </c>
      <c r="K1174" s="6" t="n">
        <f aca="false">'Raw Data'!L1174</f>
        <v>2</v>
      </c>
      <c r="L1174" s="6" t="n">
        <f aca="false">F1174*E1174</f>
        <v>0</v>
      </c>
      <c r="N1174" s="0" t="n">
        <v>1</v>
      </c>
      <c r="O1174" s="6" t="n">
        <f aca="false">D1174</f>
        <v>3.948333333</v>
      </c>
      <c r="P1174" s="6" t="n">
        <f aca="false">E1174</f>
        <v>0</v>
      </c>
      <c r="Q1174" s="6" t="n">
        <f aca="false">F1174</f>
        <v>0</v>
      </c>
      <c r="R1174" s="6" t="n">
        <f aca="false">G1174</f>
        <v>0</v>
      </c>
      <c r="S1174" s="6" t="n">
        <f aca="false">H1174</f>
        <v>0</v>
      </c>
      <c r="T1174" s="6" t="n">
        <f aca="false">I1174</f>
        <v>0</v>
      </c>
      <c r="U1174" s="6" t="n">
        <f aca="false">L1174</f>
        <v>0</v>
      </c>
      <c r="W1174" s="6" t="n">
        <f aca="false">D1174</f>
        <v>3.948333333</v>
      </c>
      <c r="X1174" s="6" t="n">
        <f aca="false">E1174</f>
        <v>0</v>
      </c>
      <c r="Y1174" s="6" t="n">
        <f aca="false">F1174</f>
        <v>0</v>
      </c>
      <c r="Z1174" s="6" t="n">
        <f aca="false">L1174</f>
        <v>0</v>
      </c>
      <c r="AA1174" s="6" t="n">
        <f aca="false">G1174</f>
        <v>0</v>
      </c>
      <c r="AC1174" s="6" t="n">
        <f aca="false">D1174</f>
        <v>3.948333333</v>
      </c>
      <c r="AD1174" s="6" t="n">
        <f aca="false">E1174</f>
        <v>0</v>
      </c>
      <c r="AE1174" s="6" t="n">
        <f aca="false">G1174</f>
        <v>0</v>
      </c>
      <c r="AF1174" s="6" t="n">
        <f aca="false">H1174</f>
        <v>0</v>
      </c>
      <c r="AG1174" s="6" t="n">
        <f aca="false">I1174</f>
        <v>0</v>
      </c>
      <c r="AH1174" s="6" t="n">
        <f aca="false">L1174</f>
        <v>0</v>
      </c>
    </row>
    <row r="1175" customFormat="false" ht="15" hidden="false" customHeight="false" outlineLevel="0" collapsed="false">
      <c r="A1175" s="0" t="str">
        <f aca="false">'Raw Data'!C1175</f>
        <v>West Paces Ferry</v>
      </c>
      <c r="B1175" s="5" t="n">
        <f aca="false">'Raw Data'!A1175</f>
        <v>40351</v>
      </c>
      <c r="C1175" s="6" t="n">
        <f aca="false">'Raw Data'!D1175</f>
        <v>190.319457524589</v>
      </c>
      <c r="D1175" s="6" t="n">
        <f aca="false">'Raw Data'!E1175</f>
        <v>4.023333333</v>
      </c>
      <c r="E1175" s="6" t="n">
        <f aca="false">'Raw Data'!F1175</f>
        <v>0</v>
      </c>
      <c r="F1175" s="6" t="n">
        <f aca="false">'Raw Data'!G1175</f>
        <v>0</v>
      </c>
      <c r="G1175" s="6" t="n">
        <f aca="false">'Raw Data'!H1175</f>
        <v>0</v>
      </c>
      <c r="H1175" s="6" t="n">
        <f aca="false">'Raw Data'!I1175</f>
        <v>0</v>
      </c>
      <c r="I1175" s="6" t="n">
        <f aca="false">'Raw Data'!J1175</f>
        <v>0</v>
      </c>
      <c r="J1175" s="6" t="n">
        <f aca="false">'Raw Data'!K1175</f>
        <v>1</v>
      </c>
      <c r="K1175" s="6" t="n">
        <f aca="false">'Raw Data'!L1175</f>
        <v>2</v>
      </c>
      <c r="L1175" s="6" t="n">
        <f aca="false">F1175*E1175</f>
        <v>0</v>
      </c>
      <c r="N1175" s="0" t="n">
        <v>1</v>
      </c>
      <c r="O1175" s="6" t="n">
        <f aca="false">D1175</f>
        <v>4.023333333</v>
      </c>
      <c r="P1175" s="6" t="n">
        <f aca="false">E1175</f>
        <v>0</v>
      </c>
      <c r="Q1175" s="6" t="n">
        <f aca="false">F1175</f>
        <v>0</v>
      </c>
      <c r="R1175" s="6" t="n">
        <f aca="false">G1175</f>
        <v>0</v>
      </c>
      <c r="S1175" s="6" t="n">
        <f aca="false">H1175</f>
        <v>0</v>
      </c>
      <c r="T1175" s="6" t="n">
        <f aca="false">I1175</f>
        <v>0</v>
      </c>
      <c r="U1175" s="6" t="n">
        <f aca="false">L1175</f>
        <v>0</v>
      </c>
      <c r="W1175" s="6" t="n">
        <f aca="false">D1175</f>
        <v>4.023333333</v>
      </c>
      <c r="X1175" s="6" t="n">
        <f aca="false">E1175</f>
        <v>0</v>
      </c>
      <c r="Y1175" s="6" t="n">
        <f aca="false">F1175</f>
        <v>0</v>
      </c>
      <c r="Z1175" s="6" t="n">
        <f aca="false">L1175</f>
        <v>0</v>
      </c>
      <c r="AA1175" s="6" t="n">
        <f aca="false">G1175</f>
        <v>0</v>
      </c>
      <c r="AC1175" s="6" t="n">
        <f aca="false">D1175</f>
        <v>4.023333333</v>
      </c>
      <c r="AD1175" s="6" t="n">
        <f aca="false">E1175</f>
        <v>0</v>
      </c>
      <c r="AE1175" s="6" t="n">
        <f aca="false">G1175</f>
        <v>0</v>
      </c>
      <c r="AF1175" s="6" t="n">
        <f aca="false">H1175</f>
        <v>0</v>
      </c>
      <c r="AG1175" s="6" t="n">
        <f aca="false">I1175</f>
        <v>0</v>
      </c>
      <c r="AH1175" s="6" t="n">
        <f aca="false">L1175</f>
        <v>0</v>
      </c>
    </row>
    <row r="1176" customFormat="false" ht="15" hidden="false" customHeight="false" outlineLevel="0" collapsed="false">
      <c r="A1176" s="0" t="str">
        <f aca="false">'Raw Data'!C1176</f>
        <v>West Paces Ferry</v>
      </c>
      <c r="B1176" s="5" t="n">
        <f aca="false">'Raw Data'!A1176</f>
        <v>40358</v>
      </c>
      <c r="C1176" s="6" t="n">
        <f aca="false">'Raw Data'!D1176</f>
        <v>58.1405824586933</v>
      </c>
      <c r="D1176" s="6" t="n">
        <f aca="false">'Raw Data'!E1176</f>
        <v>4.171818182</v>
      </c>
      <c r="E1176" s="6" t="n">
        <f aca="false">'Raw Data'!F1176</f>
        <v>0</v>
      </c>
      <c r="F1176" s="6" t="n">
        <f aca="false">'Raw Data'!G1176</f>
        <v>0</v>
      </c>
      <c r="G1176" s="6" t="n">
        <f aca="false">'Raw Data'!H1176</f>
        <v>0</v>
      </c>
      <c r="H1176" s="6" t="n">
        <f aca="false">'Raw Data'!I1176</f>
        <v>0</v>
      </c>
      <c r="I1176" s="6" t="n">
        <f aca="false">'Raw Data'!J1176</f>
        <v>0</v>
      </c>
      <c r="J1176" s="6" t="n">
        <f aca="false">'Raw Data'!K1176</f>
        <v>1</v>
      </c>
      <c r="K1176" s="6" t="n">
        <f aca="false">'Raw Data'!L1176</f>
        <v>2</v>
      </c>
      <c r="L1176" s="6" t="n">
        <f aca="false">F1176*E1176</f>
        <v>0</v>
      </c>
      <c r="N1176" s="0" t="n">
        <v>1</v>
      </c>
      <c r="O1176" s="6" t="n">
        <f aca="false">D1176</f>
        <v>4.171818182</v>
      </c>
      <c r="P1176" s="6" t="n">
        <f aca="false">E1176</f>
        <v>0</v>
      </c>
      <c r="Q1176" s="6" t="n">
        <f aca="false">F1176</f>
        <v>0</v>
      </c>
      <c r="R1176" s="6" t="n">
        <f aca="false">G1176</f>
        <v>0</v>
      </c>
      <c r="S1176" s="6" t="n">
        <f aca="false">H1176</f>
        <v>0</v>
      </c>
      <c r="T1176" s="6" t="n">
        <f aca="false">I1176</f>
        <v>0</v>
      </c>
      <c r="U1176" s="6" t="n">
        <f aca="false">L1176</f>
        <v>0</v>
      </c>
      <c r="W1176" s="6" t="n">
        <f aca="false">D1176</f>
        <v>4.171818182</v>
      </c>
      <c r="X1176" s="6" t="n">
        <f aca="false">E1176</f>
        <v>0</v>
      </c>
      <c r="Y1176" s="6" t="n">
        <f aca="false">F1176</f>
        <v>0</v>
      </c>
      <c r="Z1176" s="6" t="n">
        <f aca="false">L1176</f>
        <v>0</v>
      </c>
      <c r="AA1176" s="6" t="n">
        <f aca="false">G1176</f>
        <v>0</v>
      </c>
      <c r="AC1176" s="6" t="n">
        <f aca="false">D1176</f>
        <v>4.171818182</v>
      </c>
      <c r="AD1176" s="6" t="n">
        <f aca="false">E1176</f>
        <v>0</v>
      </c>
      <c r="AE1176" s="6" t="n">
        <f aca="false">G1176</f>
        <v>0</v>
      </c>
      <c r="AF1176" s="6" t="n">
        <f aca="false">H1176</f>
        <v>0</v>
      </c>
      <c r="AG1176" s="6" t="n">
        <f aca="false">I1176</f>
        <v>0</v>
      </c>
      <c r="AH1176" s="6" t="n">
        <f aca="false">L1176</f>
        <v>0</v>
      </c>
    </row>
    <row r="1177" customFormat="false" ht="15" hidden="false" customHeight="false" outlineLevel="0" collapsed="false">
      <c r="A1177" s="0" t="str">
        <f aca="false">'Raw Data'!C1177</f>
        <v>West Paces Ferry</v>
      </c>
      <c r="B1177" s="5" t="n">
        <f aca="false">'Raw Data'!A1177</f>
        <v>40365</v>
      </c>
      <c r="C1177" s="6" t="n">
        <f aca="false">'Raw Data'!D1177</f>
        <v>201.36118578721</v>
      </c>
      <c r="D1177" s="6" t="n">
        <f aca="false">'Raw Data'!E1177</f>
        <v>3.828333333</v>
      </c>
      <c r="E1177" s="6" t="n">
        <f aca="false">'Raw Data'!F1177</f>
        <v>0</v>
      </c>
      <c r="F1177" s="6" t="n">
        <f aca="false">'Raw Data'!G1177</f>
        <v>0</v>
      </c>
      <c r="G1177" s="6" t="n">
        <f aca="false">'Raw Data'!H1177</f>
        <v>0</v>
      </c>
      <c r="H1177" s="6" t="n">
        <f aca="false">'Raw Data'!I1177</f>
        <v>0</v>
      </c>
      <c r="I1177" s="6" t="n">
        <f aca="false">'Raw Data'!J1177</f>
        <v>0</v>
      </c>
      <c r="J1177" s="6" t="n">
        <f aca="false">'Raw Data'!K1177</f>
        <v>1</v>
      </c>
      <c r="K1177" s="6" t="n">
        <f aca="false">'Raw Data'!L1177</f>
        <v>2</v>
      </c>
      <c r="L1177" s="6" t="n">
        <f aca="false">F1177*E1177</f>
        <v>0</v>
      </c>
      <c r="N1177" s="0" t="n">
        <v>1</v>
      </c>
      <c r="O1177" s="6" t="n">
        <f aca="false">D1177</f>
        <v>3.828333333</v>
      </c>
      <c r="P1177" s="6" t="n">
        <f aca="false">E1177</f>
        <v>0</v>
      </c>
      <c r="Q1177" s="6" t="n">
        <f aca="false">F1177</f>
        <v>0</v>
      </c>
      <c r="R1177" s="6" t="n">
        <f aca="false">G1177</f>
        <v>0</v>
      </c>
      <c r="S1177" s="6" t="n">
        <f aca="false">H1177</f>
        <v>0</v>
      </c>
      <c r="T1177" s="6" t="n">
        <f aca="false">I1177</f>
        <v>0</v>
      </c>
      <c r="U1177" s="6" t="n">
        <f aca="false">L1177</f>
        <v>0</v>
      </c>
      <c r="W1177" s="6" t="n">
        <f aca="false">D1177</f>
        <v>3.828333333</v>
      </c>
      <c r="X1177" s="6" t="n">
        <f aca="false">E1177</f>
        <v>0</v>
      </c>
      <c r="Y1177" s="6" t="n">
        <f aca="false">F1177</f>
        <v>0</v>
      </c>
      <c r="Z1177" s="6" t="n">
        <f aca="false">L1177</f>
        <v>0</v>
      </c>
      <c r="AA1177" s="6" t="n">
        <f aca="false">G1177</f>
        <v>0</v>
      </c>
      <c r="AC1177" s="6" t="n">
        <f aca="false">D1177</f>
        <v>3.828333333</v>
      </c>
      <c r="AD1177" s="6" t="n">
        <f aca="false">E1177</f>
        <v>0</v>
      </c>
      <c r="AE1177" s="6" t="n">
        <f aca="false">G1177</f>
        <v>0</v>
      </c>
      <c r="AF1177" s="6" t="n">
        <f aca="false">H1177</f>
        <v>0</v>
      </c>
      <c r="AG1177" s="6" t="n">
        <f aca="false">I1177</f>
        <v>0</v>
      </c>
      <c r="AH1177" s="6" t="n">
        <f aca="false">L1177</f>
        <v>0</v>
      </c>
    </row>
    <row r="1178" customFormat="false" ht="15" hidden="false" customHeight="false" outlineLevel="0" collapsed="false">
      <c r="A1178" s="0" t="str">
        <f aca="false">'Raw Data'!C1178</f>
        <v>West Paces Ferry</v>
      </c>
      <c r="B1178" s="5" t="n">
        <f aca="false">'Raw Data'!A1178</f>
        <v>40372</v>
      </c>
      <c r="C1178" s="6" t="n">
        <f aca="false">'Raw Data'!D1178</f>
        <v>236.721384915788</v>
      </c>
      <c r="D1178" s="6" t="n">
        <f aca="false">'Raw Data'!E1178</f>
        <v>3.828333333</v>
      </c>
      <c r="E1178" s="6" t="n">
        <f aca="false">'Raw Data'!F1178</f>
        <v>0</v>
      </c>
      <c r="F1178" s="6" t="n">
        <f aca="false">'Raw Data'!G1178</f>
        <v>0</v>
      </c>
      <c r="G1178" s="6" t="n">
        <f aca="false">'Raw Data'!H1178</f>
        <v>0</v>
      </c>
      <c r="H1178" s="6" t="n">
        <f aca="false">'Raw Data'!I1178</f>
        <v>0</v>
      </c>
      <c r="I1178" s="6" t="n">
        <f aca="false">'Raw Data'!J1178</f>
        <v>0</v>
      </c>
      <c r="J1178" s="6" t="n">
        <f aca="false">'Raw Data'!K1178</f>
        <v>1</v>
      </c>
      <c r="K1178" s="6" t="n">
        <f aca="false">'Raw Data'!L1178</f>
        <v>2</v>
      </c>
      <c r="L1178" s="6" t="n">
        <f aca="false">F1178*E1178</f>
        <v>0</v>
      </c>
      <c r="N1178" s="0" t="n">
        <v>1</v>
      </c>
      <c r="O1178" s="6" t="n">
        <f aca="false">D1178</f>
        <v>3.828333333</v>
      </c>
      <c r="P1178" s="6" t="n">
        <f aca="false">E1178</f>
        <v>0</v>
      </c>
      <c r="Q1178" s="6" t="n">
        <f aca="false">F1178</f>
        <v>0</v>
      </c>
      <c r="R1178" s="6" t="n">
        <f aca="false">G1178</f>
        <v>0</v>
      </c>
      <c r="S1178" s="6" t="n">
        <f aca="false">H1178</f>
        <v>0</v>
      </c>
      <c r="T1178" s="6" t="n">
        <f aca="false">I1178</f>
        <v>0</v>
      </c>
      <c r="U1178" s="6" t="n">
        <f aca="false">L1178</f>
        <v>0</v>
      </c>
      <c r="W1178" s="6" t="n">
        <f aca="false">D1178</f>
        <v>3.828333333</v>
      </c>
      <c r="X1178" s="6" t="n">
        <f aca="false">E1178</f>
        <v>0</v>
      </c>
      <c r="Y1178" s="6" t="n">
        <f aca="false">F1178</f>
        <v>0</v>
      </c>
      <c r="Z1178" s="6" t="n">
        <f aca="false">L1178</f>
        <v>0</v>
      </c>
      <c r="AA1178" s="6" t="n">
        <f aca="false">G1178</f>
        <v>0</v>
      </c>
      <c r="AC1178" s="6" t="n">
        <f aca="false">D1178</f>
        <v>3.828333333</v>
      </c>
      <c r="AD1178" s="6" t="n">
        <f aca="false">E1178</f>
        <v>0</v>
      </c>
      <c r="AE1178" s="6" t="n">
        <f aca="false">G1178</f>
        <v>0</v>
      </c>
      <c r="AF1178" s="6" t="n">
        <f aca="false">H1178</f>
        <v>0</v>
      </c>
      <c r="AG1178" s="6" t="n">
        <f aca="false">I1178</f>
        <v>0</v>
      </c>
      <c r="AH1178" s="6" t="n">
        <f aca="false">L1178</f>
        <v>0</v>
      </c>
    </row>
    <row r="1179" customFormat="false" ht="15" hidden="false" customHeight="false" outlineLevel="0" collapsed="false">
      <c r="A1179" s="0" t="str">
        <f aca="false">'Raw Data'!C1179</f>
        <v>Arroyo</v>
      </c>
      <c r="B1179" s="5" t="n">
        <f aca="false">'Raw Data'!A1179</f>
        <v>40302</v>
      </c>
      <c r="C1179" s="6" t="n">
        <f aca="false">'Raw Data'!D1179</f>
        <v>291.012138571325</v>
      </c>
      <c r="D1179" s="6" t="n">
        <f aca="false">'Raw Data'!E1179</f>
        <v>5.171818182</v>
      </c>
      <c r="E1179" s="6" t="n">
        <f aca="false">'Raw Data'!F1179</f>
        <v>1</v>
      </c>
      <c r="F1179" s="6" t="n">
        <f aca="false">'Raw Data'!G1179</f>
        <v>0</v>
      </c>
      <c r="G1179" s="6" t="n">
        <f aca="false">'Raw Data'!H1179</f>
        <v>0</v>
      </c>
      <c r="H1179" s="6" t="n">
        <f aca="false">'Raw Data'!I1179</f>
        <v>1</v>
      </c>
      <c r="I1179" s="6" t="n">
        <f aca="false">'Raw Data'!J1179</f>
        <v>0</v>
      </c>
      <c r="J1179" s="6" t="n">
        <f aca="false">'Raw Data'!K1179</f>
        <v>3</v>
      </c>
      <c r="K1179" s="6" t="n">
        <f aca="false">'Raw Data'!L1179</f>
        <v>2</v>
      </c>
      <c r="L1179" s="6" t="n">
        <f aca="false">F1179*E1179</f>
        <v>0</v>
      </c>
      <c r="N1179" s="0" t="n">
        <v>1</v>
      </c>
      <c r="O1179" s="6" t="n">
        <f aca="false">D1179</f>
        <v>5.171818182</v>
      </c>
      <c r="P1179" s="6" t="n">
        <f aca="false">E1179</f>
        <v>1</v>
      </c>
      <c r="Q1179" s="6" t="n">
        <f aca="false">F1179</f>
        <v>0</v>
      </c>
      <c r="R1179" s="6" t="n">
        <f aca="false">G1179</f>
        <v>0</v>
      </c>
      <c r="S1179" s="6" t="n">
        <f aca="false">H1179</f>
        <v>1</v>
      </c>
      <c r="T1179" s="6" t="n">
        <f aca="false">I1179</f>
        <v>0</v>
      </c>
      <c r="U1179" s="6" t="n">
        <f aca="false">L1179</f>
        <v>0</v>
      </c>
      <c r="W1179" s="6" t="n">
        <f aca="false">D1179</f>
        <v>5.171818182</v>
      </c>
      <c r="X1179" s="6" t="n">
        <f aca="false">E1179</f>
        <v>1</v>
      </c>
      <c r="Y1179" s="6" t="n">
        <f aca="false">F1179</f>
        <v>0</v>
      </c>
      <c r="Z1179" s="6" t="n">
        <f aca="false">L1179</f>
        <v>0</v>
      </c>
      <c r="AA1179" s="6" t="n">
        <f aca="false">G1179</f>
        <v>0</v>
      </c>
      <c r="AC1179" s="6" t="n">
        <f aca="false">D1179</f>
        <v>5.171818182</v>
      </c>
      <c r="AD1179" s="6" t="n">
        <f aca="false">E1179</f>
        <v>1</v>
      </c>
      <c r="AE1179" s="6" t="n">
        <f aca="false">G1179</f>
        <v>0</v>
      </c>
      <c r="AF1179" s="6" t="n">
        <f aca="false">H1179</f>
        <v>1</v>
      </c>
      <c r="AG1179" s="6" t="n">
        <f aca="false">I1179</f>
        <v>0</v>
      </c>
      <c r="AH1179" s="6" t="n">
        <f aca="false">L1179</f>
        <v>0</v>
      </c>
    </row>
    <row r="1180" customFormat="false" ht="15" hidden="false" customHeight="false" outlineLevel="0" collapsed="false">
      <c r="A1180" s="0" t="str">
        <f aca="false">'Raw Data'!C1180</f>
        <v>Arroyo</v>
      </c>
      <c r="B1180" s="5" t="n">
        <f aca="false">'Raw Data'!A1180</f>
        <v>40309</v>
      </c>
      <c r="C1180" s="6" t="n">
        <f aca="false">'Raw Data'!D1180</f>
        <v>392.003869385576</v>
      </c>
      <c r="D1180" s="6" t="n">
        <f aca="false">'Raw Data'!E1180</f>
        <v>4.804285714</v>
      </c>
      <c r="E1180" s="6" t="n">
        <f aca="false">'Raw Data'!F1180</f>
        <v>1</v>
      </c>
      <c r="F1180" s="6" t="n">
        <f aca="false">'Raw Data'!G1180</f>
        <v>0</v>
      </c>
      <c r="G1180" s="6" t="n">
        <f aca="false">'Raw Data'!H1180</f>
        <v>0</v>
      </c>
      <c r="H1180" s="6" t="n">
        <f aca="false">'Raw Data'!I1180</f>
        <v>0</v>
      </c>
      <c r="I1180" s="6" t="n">
        <f aca="false">'Raw Data'!J1180</f>
        <v>1</v>
      </c>
      <c r="J1180" s="6" t="n">
        <f aca="false">'Raw Data'!K1180</f>
        <v>3</v>
      </c>
      <c r="K1180" s="6" t="n">
        <f aca="false">'Raw Data'!L1180</f>
        <v>2</v>
      </c>
      <c r="L1180" s="6" t="n">
        <f aca="false">F1180*E1180</f>
        <v>0</v>
      </c>
      <c r="N1180" s="0" t="n">
        <v>1</v>
      </c>
      <c r="O1180" s="6" t="n">
        <f aca="false">D1180</f>
        <v>4.804285714</v>
      </c>
      <c r="P1180" s="6" t="n">
        <f aca="false">E1180</f>
        <v>1</v>
      </c>
      <c r="Q1180" s="6" t="n">
        <f aca="false">F1180</f>
        <v>0</v>
      </c>
      <c r="R1180" s="6" t="n">
        <f aca="false">G1180</f>
        <v>0</v>
      </c>
      <c r="S1180" s="6" t="n">
        <f aca="false">H1180</f>
        <v>0</v>
      </c>
      <c r="T1180" s="6" t="n">
        <f aca="false">I1180</f>
        <v>1</v>
      </c>
      <c r="U1180" s="6" t="n">
        <f aca="false">L1180</f>
        <v>0</v>
      </c>
      <c r="W1180" s="6" t="n">
        <f aca="false">D1180</f>
        <v>4.804285714</v>
      </c>
      <c r="X1180" s="6" t="n">
        <f aca="false">E1180</f>
        <v>1</v>
      </c>
      <c r="Y1180" s="6" t="n">
        <f aca="false">F1180</f>
        <v>0</v>
      </c>
      <c r="Z1180" s="6" t="n">
        <f aca="false">L1180</f>
        <v>0</v>
      </c>
      <c r="AA1180" s="6" t="n">
        <f aca="false">G1180</f>
        <v>0</v>
      </c>
      <c r="AC1180" s="6" t="n">
        <f aca="false">D1180</f>
        <v>4.804285714</v>
      </c>
      <c r="AD1180" s="6" t="n">
        <f aca="false">E1180</f>
        <v>1</v>
      </c>
      <c r="AE1180" s="6" t="n">
        <f aca="false">G1180</f>
        <v>0</v>
      </c>
      <c r="AF1180" s="6" t="n">
        <f aca="false">H1180</f>
        <v>0</v>
      </c>
      <c r="AG1180" s="6" t="n">
        <f aca="false">I1180</f>
        <v>1</v>
      </c>
      <c r="AH1180" s="6" t="n">
        <f aca="false">L1180</f>
        <v>0</v>
      </c>
    </row>
    <row r="1181" customFormat="false" ht="15" hidden="false" customHeight="false" outlineLevel="0" collapsed="false">
      <c r="A1181" s="0" t="str">
        <f aca="false">'Raw Data'!C1181</f>
        <v>Arroyo</v>
      </c>
      <c r="B1181" s="5" t="n">
        <f aca="false">'Raw Data'!A1181</f>
        <v>40316</v>
      </c>
      <c r="C1181" s="6" t="n">
        <f aca="false">'Raw Data'!D1181</f>
        <v>232.241759656341</v>
      </c>
      <c r="D1181" s="6" t="n">
        <f aca="false">'Raw Data'!E1181</f>
        <v>4.684615385</v>
      </c>
      <c r="E1181" s="6" t="n">
        <f aca="false">'Raw Data'!F1181</f>
        <v>1</v>
      </c>
      <c r="F1181" s="6" t="n">
        <f aca="false">'Raw Data'!G1181</f>
        <v>0</v>
      </c>
      <c r="G1181" s="6" t="n">
        <f aca="false">'Raw Data'!H1181</f>
        <v>0</v>
      </c>
      <c r="H1181" s="6" t="n">
        <f aca="false">'Raw Data'!I1181</f>
        <v>0</v>
      </c>
      <c r="I1181" s="6" t="n">
        <f aca="false">'Raw Data'!J1181</f>
        <v>1</v>
      </c>
      <c r="J1181" s="6" t="n">
        <f aca="false">'Raw Data'!K1181</f>
        <v>3</v>
      </c>
      <c r="K1181" s="6" t="n">
        <f aca="false">'Raw Data'!L1181</f>
        <v>2</v>
      </c>
      <c r="L1181" s="6" t="n">
        <f aca="false">F1181*E1181</f>
        <v>0</v>
      </c>
      <c r="N1181" s="0" t="n">
        <v>1</v>
      </c>
      <c r="O1181" s="6" t="n">
        <f aca="false">D1181</f>
        <v>4.684615385</v>
      </c>
      <c r="P1181" s="6" t="n">
        <f aca="false">E1181</f>
        <v>1</v>
      </c>
      <c r="Q1181" s="6" t="n">
        <f aca="false">F1181</f>
        <v>0</v>
      </c>
      <c r="R1181" s="6" t="n">
        <f aca="false">G1181</f>
        <v>0</v>
      </c>
      <c r="S1181" s="6" t="n">
        <f aca="false">H1181</f>
        <v>0</v>
      </c>
      <c r="T1181" s="6" t="n">
        <f aca="false">I1181</f>
        <v>1</v>
      </c>
      <c r="U1181" s="6" t="n">
        <f aca="false">L1181</f>
        <v>0</v>
      </c>
      <c r="W1181" s="6" t="n">
        <f aca="false">D1181</f>
        <v>4.684615385</v>
      </c>
      <c r="X1181" s="6" t="n">
        <f aca="false">E1181</f>
        <v>1</v>
      </c>
      <c r="Y1181" s="6" t="n">
        <f aca="false">F1181</f>
        <v>0</v>
      </c>
      <c r="Z1181" s="6" t="n">
        <f aca="false">L1181</f>
        <v>0</v>
      </c>
      <c r="AA1181" s="6" t="n">
        <f aca="false">G1181</f>
        <v>0</v>
      </c>
      <c r="AC1181" s="6" t="n">
        <f aca="false">D1181</f>
        <v>4.684615385</v>
      </c>
      <c r="AD1181" s="6" t="n">
        <f aca="false">E1181</f>
        <v>1</v>
      </c>
      <c r="AE1181" s="6" t="n">
        <f aca="false">G1181</f>
        <v>0</v>
      </c>
      <c r="AF1181" s="6" t="n">
        <f aca="false">H1181</f>
        <v>0</v>
      </c>
      <c r="AG1181" s="6" t="n">
        <f aca="false">I1181</f>
        <v>1</v>
      </c>
      <c r="AH1181" s="6" t="n">
        <f aca="false">L1181</f>
        <v>0</v>
      </c>
    </row>
    <row r="1182" customFormat="false" ht="15" hidden="false" customHeight="false" outlineLevel="0" collapsed="false">
      <c r="A1182" s="0" t="str">
        <f aca="false">'Raw Data'!C1182</f>
        <v>Arroyo</v>
      </c>
      <c r="B1182" s="5" t="n">
        <f aca="false">'Raw Data'!A1182</f>
        <v>40323</v>
      </c>
      <c r="C1182" s="6" t="n">
        <f aca="false">'Raw Data'!D1182</f>
        <v>278.487360157804</v>
      </c>
      <c r="D1182" s="6" t="n">
        <f aca="false">'Raw Data'!E1182</f>
        <v>4.357142857</v>
      </c>
      <c r="E1182" s="6" t="n">
        <f aca="false">'Raw Data'!F1182</f>
        <v>1</v>
      </c>
      <c r="F1182" s="6" t="n">
        <f aca="false">'Raw Data'!G1182</f>
        <v>0</v>
      </c>
      <c r="G1182" s="6" t="n">
        <f aca="false">'Raw Data'!H1182</f>
        <v>0</v>
      </c>
      <c r="H1182" s="6" t="n">
        <f aca="false">'Raw Data'!I1182</f>
        <v>0</v>
      </c>
      <c r="I1182" s="6" t="n">
        <f aca="false">'Raw Data'!J1182</f>
        <v>0</v>
      </c>
      <c r="J1182" s="6" t="n">
        <f aca="false">'Raw Data'!K1182</f>
        <v>3</v>
      </c>
      <c r="K1182" s="6" t="n">
        <f aca="false">'Raw Data'!L1182</f>
        <v>2</v>
      </c>
      <c r="L1182" s="6" t="n">
        <f aca="false">F1182*E1182</f>
        <v>0</v>
      </c>
      <c r="N1182" s="0" t="n">
        <v>1</v>
      </c>
      <c r="O1182" s="6" t="n">
        <f aca="false">D1182</f>
        <v>4.357142857</v>
      </c>
      <c r="P1182" s="6" t="n">
        <f aca="false">E1182</f>
        <v>1</v>
      </c>
      <c r="Q1182" s="6" t="n">
        <f aca="false">F1182</f>
        <v>0</v>
      </c>
      <c r="R1182" s="6" t="n">
        <f aca="false">G1182</f>
        <v>0</v>
      </c>
      <c r="S1182" s="6" t="n">
        <f aca="false">H1182</f>
        <v>0</v>
      </c>
      <c r="T1182" s="6" t="n">
        <f aca="false">I1182</f>
        <v>0</v>
      </c>
      <c r="U1182" s="6" t="n">
        <f aca="false">L1182</f>
        <v>0</v>
      </c>
      <c r="W1182" s="6" t="n">
        <f aca="false">D1182</f>
        <v>4.357142857</v>
      </c>
      <c r="X1182" s="6" t="n">
        <f aca="false">E1182</f>
        <v>1</v>
      </c>
      <c r="Y1182" s="6" t="n">
        <f aca="false">F1182</f>
        <v>0</v>
      </c>
      <c r="Z1182" s="6" t="n">
        <f aca="false">L1182</f>
        <v>0</v>
      </c>
      <c r="AA1182" s="6" t="n">
        <f aca="false">G1182</f>
        <v>0</v>
      </c>
      <c r="AC1182" s="6" t="n">
        <f aca="false">D1182</f>
        <v>4.357142857</v>
      </c>
      <c r="AD1182" s="6" t="n">
        <f aca="false">E1182</f>
        <v>1</v>
      </c>
      <c r="AE1182" s="6" t="n">
        <f aca="false">G1182</f>
        <v>0</v>
      </c>
      <c r="AF1182" s="6" t="n">
        <f aca="false">H1182</f>
        <v>0</v>
      </c>
      <c r="AG1182" s="6" t="n">
        <f aca="false">I1182</f>
        <v>0</v>
      </c>
      <c r="AH1182" s="6" t="n">
        <f aca="false">L1182</f>
        <v>0</v>
      </c>
    </row>
    <row r="1183" customFormat="false" ht="15" hidden="false" customHeight="false" outlineLevel="0" collapsed="false">
      <c r="A1183" s="0" t="str">
        <f aca="false">'Raw Data'!C1183</f>
        <v>Arroyo</v>
      </c>
      <c r="B1183" s="5" t="n">
        <f aca="false">'Raw Data'!A1183</f>
        <v>40330</v>
      </c>
      <c r="C1183" s="6" t="n">
        <f aca="false">'Raw Data'!D1183</f>
        <v>240.169275451782</v>
      </c>
      <c r="D1183" s="6" t="n">
        <f aca="false">'Raw Data'!E1183</f>
        <v>4.193333333</v>
      </c>
      <c r="E1183" s="6" t="n">
        <f aca="false">'Raw Data'!F1183</f>
        <v>1</v>
      </c>
      <c r="F1183" s="6" t="n">
        <f aca="false">'Raw Data'!G1183</f>
        <v>0</v>
      </c>
      <c r="G1183" s="6" t="n">
        <f aca="false">'Raw Data'!H1183</f>
        <v>0</v>
      </c>
      <c r="H1183" s="6" t="n">
        <f aca="false">'Raw Data'!I1183</f>
        <v>0</v>
      </c>
      <c r="I1183" s="6" t="n">
        <f aca="false">'Raw Data'!J1183</f>
        <v>0</v>
      </c>
      <c r="J1183" s="6" t="n">
        <f aca="false">'Raw Data'!K1183</f>
        <v>3</v>
      </c>
      <c r="K1183" s="6" t="n">
        <f aca="false">'Raw Data'!L1183</f>
        <v>2</v>
      </c>
      <c r="L1183" s="6" t="n">
        <f aca="false">F1183*E1183</f>
        <v>0</v>
      </c>
      <c r="N1183" s="0" t="n">
        <v>1</v>
      </c>
      <c r="O1183" s="6" t="n">
        <f aca="false">D1183</f>
        <v>4.193333333</v>
      </c>
      <c r="P1183" s="6" t="n">
        <f aca="false">E1183</f>
        <v>1</v>
      </c>
      <c r="Q1183" s="6" t="n">
        <f aca="false">F1183</f>
        <v>0</v>
      </c>
      <c r="R1183" s="6" t="n">
        <f aca="false">G1183</f>
        <v>0</v>
      </c>
      <c r="S1183" s="6" t="n">
        <f aca="false">H1183</f>
        <v>0</v>
      </c>
      <c r="T1183" s="6" t="n">
        <f aca="false">I1183</f>
        <v>0</v>
      </c>
      <c r="U1183" s="6" t="n">
        <f aca="false">L1183</f>
        <v>0</v>
      </c>
      <c r="W1183" s="6" t="n">
        <f aca="false">D1183</f>
        <v>4.193333333</v>
      </c>
      <c r="X1183" s="6" t="n">
        <f aca="false">E1183</f>
        <v>1</v>
      </c>
      <c r="Y1183" s="6" t="n">
        <f aca="false">F1183</f>
        <v>0</v>
      </c>
      <c r="Z1183" s="6" t="n">
        <f aca="false">L1183</f>
        <v>0</v>
      </c>
      <c r="AA1183" s="6" t="n">
        <f aca="false">G1183</f>
        <v>0</v>
      </c>
      <c r="AC1183" s="6" t="n">
        <f aca="false">D1183</f>
        <v>4.193333333</v>
      </c>
      <c r="AD1183" s="6" t="n">
        <f aca="false">E1183</f>
        <v>1</v>
      </c>
      <c r="AE1183" s="6" t="n">
        <f aca="false">G1183</f>
        <v>0</v>
      </c>
      <c r="AF1183" s="6" t="n">
        <f aca="false">H1183</f>
        <v>0</v>
      </c>
      <c r="AG1183" s="6" t="n">
        <f aca="false">I1183</f>
        <v>0</v>
      </c>
      <c r="AH1183" s="6" t="n">
        <f aca="false">L1183</f>
        <v>0</v>
      </c>
    </row>
    <row r="1184" customFormat="false" ht="15" hidden="false" customHeight="false" outlineLevel="0" collapsed="false">
      <c r="A1184" s="0" t="str">
        <f aca="false">'Raw Data'!C1184</f>
        <v>Arroyo</v>
      </c>
      <c r="B1184" s="5" t="n">
        <f aca="false">'Raw Data'!A1184</f>
        <v>40337</v>
      </c>
      <c r="C1184" s="6" t="n">
        <f aca="false">'Raw Data'!D1184</f>
        <v>229.221191238879</v>
      </c>
      <c r="D1184" s="6" t="n">
        <f aca="false">'Raw Data'!E1184</f>
        <v>4.943076923</v>
      </c>
      <c r="E1184" s="6" t="n">
        <f aca="false">'Raw Data'!F1184</f>
        <v>1</v>
      </c>
      <c r="F1184" s="6" t="n">
        <f aca="false">'Raw Data'!G1184</f>
        <v>0</v>
      </c>
      <c r="G1184" s="6" t="n">
        <f aca="false">'Raw Data'!H1184</f>
        <v>0</v>
      </c>
      <c r="H1184" s="6" t="n">
        <f aca="false">'Raw Data'!I1184</f>
        <v>0</v>
      </c>
      <c r="I1184" s="6" t="n">
        <f aca="false">'Raw Data'!J1184</f>
        <v>0</v>
      </c>
      <c r="J1184" s="6" t="n">
        <f aca="false">'Raw Data'!K1184</f>
        <v>3</v>
      </c>
      <c r="K1184" s="6" t="n">
        <f aca="false">'Raw Data'!L1184</f>
        <v>2</v>
      </c>
      <c r="L1184" s="6" t="n">
        <f aca="false">F1184*E1184</f>
        <v>0</v>
      </c>
      <c r="N1184" s="0" t="n">
        <v>1</v>
      </c>
      <c r="O1184" s="6" t="n">
        <f aca="false">D1184</f>
        <v>4.943076923</v>
      </c>
      <c r="P1184" s="6" t="n">
        <f aca="false">E1184</f>
        <v>1</v>
      </c>
      <c r="Q1184" s="6" t="n">
        <f aca="false">F1184</f>
        <v>0</v>
      </c>
      <c r="R1184" s="6" t="n">
        <f aca="false">G1184</f>
        <v>0</v>
      </c>
      <c r="S1184" s="6" t="n">
        <f aca="false">H1184</f>
        <v>0</v>
      </c>
      <c r="T1184" s="6" t="n">
        <f aca="false">I1184</f>
        <v>0</v>
      </c>
      <c r="U1184" s="6" t="n">
        <f aca="false">L1184</f>
        <v>0</v>
      </c>
      <c r="W1184" s="6" t="n">
        <f aca="false">D1184</f>
        <v>4.943076923</v>
      </c>
      <c r="X1184" s="6" t="n">
        <f aca="false">E1184</f>
        <v>1</v>
      </c>
      <c r="Y1184" s="6" t="n">
        <f aca="false">F1184</f>
        <v>0</v>
      </c>
      <c r="Z1184" s="6" t="n">
        <f aca="false">L1184</f>
        <v>0</v>
      </c>
      <c r="AA1184" s="6" t="n">
        <f aca="false">G1184</f>
        <v>0</v>
      </c>
      <c r="AC1184" s="6" t="n">
        <f aca="false">D1184</f>
        <v>4.943076923</v>
      </c>
      <c r="AD1184" s="6" t="n">
        <f aca="false">E1184</f>
        <v>1</v>
      </c>
      <c r="AE1184" s="6" t="n">
        <f aca="false">G1184</f>
        <v>0</v>
      </c>
      <c r="AF1184" s="6" t="n">
        <f aca="false">H1184</f>
        <v>0</v>
      </c>
      <c r="AG1184" s="6" t="n">
        <f aca="false">I1184</f>
        <v>0</v>
      </c>
      <c r="AH1184" s="6" t="n">
        <f aca="false">L1184</f>
        <v>0</v>
      </c>
    </row>
    <row r="1185" customFormat="false" ht="15" hidden="false" customHeight="false" outlineLevel="0" collapsed="false">
      <c r="A1185" s="0" t="str">
        <f aca="false">'Raw Data'!C1185</f>
        <v>Arroyo</v>
      </c>
      <c r="B1185" s="5" t="n">
        <f aca="false">'Raw Data'!A1185</f>
        <v>40344</v>
      </c>
      <c r="C1185" s="6" t="n">
        <f aca="false">'Raw Data'!D1185</f>
        <v>226.591724689918</v>
      </c>
      <c r="D1185" s="6" t="n">
        <f aca="false">'Raw Data'!E1185</f>
        <v>4.856666667</v>
      </c>
      <c r="E1185" s="6" t="n">
        <f aca="false">'Raw Data'!F1185</f>
        <v>1</v>
      </c>
      <c r="F1185" s="6" t="n">
        <f aca="false">'Raw Data'!G1185</f>
        <v>0</v>
      </c>
      <c r="G1185" s="6" t="n">
        <f aca="false">'Raw Data'!H1185</f>
        <v>1</v>
      </c>
      <c r="H1185" s="6" t="n">
        <f aca="false">'Raw Data'!I1185</f>
        <v>0</v>
      </c>
      <c r="I1185" s="6" t="n">
        <f aca="false">'Raw Data'!J1185</f>
        <v>0</v>
      </c>
      <c r="J1185" s="6" t="n">
        <f aca="false">'Raw Data'!K1185</f>
        <v>3</v>
      </c>
      <c r="K1185" s="6" t="n">
        <f aca="false">'Raw Data'!L1185</f>
        <v>2</v>
      </c>
      <c r="L1185" s="6" t="n">
        <f aca="false">F1185*E1185</f>
        <v>0</v>
      </c>
      <c r="N1185" s="0" t="n">
        <v>1</v>
      </c>
      <c r="O1185" s="6" t="n">
        <f aca="false">D1185</f>
        <v>4.856666667</v>
      </c>
      <c r="P1185" s="6" t="n">
        <f aca="false">E1185</f>
        <v>1</v>
      </c>
      <c r="Q1185" s="6" t="n">
        <f aca="false">F1185</f>
        <v>0</v>
      </c>
      <c r="R1185" s="6" t="n">
        <f aca="false">G1185</f>
        <v>1</v>
      </c>
      <c r="S1185" s="6" t="n">
        <f aca="false">H1185</f>
        <v>0</v>
      </c>
      <c r="T1185" s="6" t="n">
        <f aca="false">I1185</f>
        <v>0</v>
      </c>
      <c r="U1185" s="6" t="n">
        <f aca="false">L1185</f>
        <v>0</v>
      </c>
      <c r="W1185" s="6" t="n">
        <f aca="false">D1185</f>
        <v>4.856666667</v>
      </c>
      <c r="X1185" s="6" t="n">
        <f aca="false">E1185</f>
        <v>1</v>
      </c>
      <c r="Y1185" s="6" t="n">
        <f aca="false">F1185</f>
        <v>0</v>
      </c>
      <c r="Z1185" s="6" t="n">
        <f aca="false">L1185</f>
        <v>0</v>
      </c>
      <c r="AA1185" s="6" t="n">
        <f aca="false">G1185</f>
        <v>1</v>
      </c>
      <c r="AC1185" s="6" t="n">
        <f aca="false">D1185</f>
        <v>4.856666667</v>
      </c>
      <c r="AD1185" s="6" t="n">
        <f aca="false">E1185</f>
        <v>1</v>
      </c>
      <c r="AE1185" s="6" t="n">
        <f aca="false">G1185</f>
        <v>1</v>
      </c>
      <c r="AF1185" s="6" t="n">
        <f aca="false">H1185</f>
        <v>0</v>
      </c>
      <c r="AG1185" s="6" t="n">
        <f aca="false">I1185</f>
        <v>0</v>
      </c>
      <c r="AH1185" s="6" t="n">
        <f aca="false">L1185</f>
        <v>0</v>
      </c>
    </row>
    <row r="1186" customFormat="false" ht="15" hidden="false" customHeight="false" outlineLevel="0" collapsed="false">
      <c r="A1186" s="0" t="str">
        <f aca="false">'Raw Data'!C1186</f>
        <v>Arroyo</v>
      </c>
      <c r="B1186" s="5" t="n">
        <f aca="false">'Raw Data'!A1186</f>
        <v>40351</v>
      </c>
      <c r="C1186" s="6" t="n">
        <f aca="false">'Raw Data'!D1186</f>
        <v>300.134532712533</v>
      </c>
      <c r="D1186" s="6" t="n">
        <f aca="false">'Raw Data'!E1186</f>
        <v>4.856666667</v>
      </c>
      <c r="E1186" s="6" t="n">
        <f aca="false">'Raw Data'!F1186</f>
        <v>1</v>
      </c>
      <c r="F1186" s="6" t="n">
        <f aca="false">'Raw Data'!G1186</f>
        <v>0</v>
      </c>
      <c r="G1186" s="6" t="n">
        <f aca="false">'Raw Data'!H1186</f>
        <v>0</v>
      </c>
      <c r="H1186" s="6" t="n">
        <f aca="false">'Raw Data'!I1186</f>
        <v>1</v>
      </c>
      <c r="I1186" s="6" t="n">
        <f aca="false">'Raw Data'!J1186</f>
        <v>0</v>
      </c>
      <c r="J1186" s="6" t="n">
        <f aca="false">'Raw Data'!K1186</f>
        <v>3</v>
      </c>
      <c r="K1186" s="6" t="n">
        <f aca="false">'Raw Data'!L1186</f>
        <v>2</v>
      </c>
      <c r="L1186" s="6" t="n">
        <f aca="false">F1186*E1186</f>
        <v>0</v>
      </c>
      <c r="N1186" s="0" t="n">
        <v>1</v>
      </c>
      <c r="O1186" s="6" t="n">
        <f aca="false">D1186</f>
        <v>4.856666667</v>
      </c>
      <c r="P1186" s="6" t="n">
        <f aca="false">E1186</f>
        <v>1</v>
      </c>
      <c r="Q1186" s="6" t="n">
        <f aca="false">F1186</f>
        <v>0</v>
      </c>
      <c r="R1186" s="6" t="n">
        <f aca="false">G1186</f>
        <v>0</v>
      </c>
      <c r="S1186" s="6" t="n">
        <f aca="false">H1186</f>
        <v>1</v>
      </c>
      <c r="T1186" s="6" t="n">
        <f aca="false">I1186</f>
        <v>0</v>
      </c>
      <c r="U1186" s="6" t="n">
        <f aca="false">L1186</f>
        <v>0</v>
      </c>
      <c r="W1186" s="6" t="n">
        <f aca="false">D1186</f>
        <v>4.856666667</v>
      </c>
      <c r="X1186" s="6" t="n">
        <f aca="false">E1186</f>
        <v>1</v>
      </c>
      <c r="Y1186" s="6" t="n">
        <f aca="false">F1186</f>
        <v>0</v>
      </c>
      <c r="Z1186" s="6" t="n">
        <f aca="false">L1186</f>
        <v>0</v>
      </c>
      <c r="AA1186" s="6" t="n">
        <f aca="false">G1186</f>
        <v>0</v>
      </c>
      <c r="AC1186" s="6" t="n">
        <f aca="false">D1186</f>
        <v>4.856666667</v>
      </c>
      <c r="AD1186" s="6" t="n">
        <f aca="false">E1186</f>
        <v>1</v>
      </c>
      <c r="AE1186" s="6" t="n">
        <f aca="false">G1186</f>
        <v>0</v>
      </c>
      <c r="AF1186" s="6" t="n">
        <f aca="false">H1186</f>
        <v>1</v>
      </c>
      <c r="AG1186" s="6" t="n">
        <f aca="false">I1186</f>
        <v>0</v>
      </c>
      <c r="AH1186" s="6" t="n">
        <f aca="false">L1186</f>
        <v>0</v>
      </c>
    </row>
    <row r="1187" customFormat="false" ht="15" hidden="false" customHeight="false" outlineLevel="0" collapsed="false">
      <c r="A1187" s="0" t="str">
        <f aca="false">'Raw Data'!C1187</f>
        <v>Arroyo</v>
      </c>
      <c r="B1187" s="5" t="n">
        <f aca="false">'Raw Data'!A1187</f>
        <v>40358</v>
      </c>
      <c r="C1187" s="6" t="n">
        <f aca="false">'Raw Data'!D1187</f>
        <v>457.336717973649</v>
      </c>
      <c r="D1187" s="6" t="n">
        <f aca="false">'Raw Data'!E1187</f>
        <v>4.79</v>
      </c>
      <c r="E1187" s="6" t="n">
        <f aca="false">'Raw Data'!F1187</f>
        <v>1</v>
      </c>
      <c r="F1187" s="6" t="n">
        <f aca="false">'Raw Data'!G1187</f>
        <v>0</v>
      </c>
      <c r="G1187" s="6" t="n">
        <f aca="false">'Raw Data'!H1187</f>
        <v>1</v>
      </c>
      <c r="H1187" s="6" t="n">
        <f aca="false">'Raw Data'!I1187</f>
        <v>1</v>
      </c>
      <c r="I1187" s="6" t="n">
        <f aca="false">'Raw Data'!J1187</f>
        <v>0</v>
      </c>
      <c r="J1187" s="6" t="n">
        <f aca="false">'Raw Data'!K1187</f>
        <v>3</v>
      </c>
      <c r="K1187" s="6" t="n">
        <f aca="false">'Raw Data'!L1187</f>
        <v>2</v>
      </c>
      <c r="L1187" s="6" t="n">
        <f aca="false">F1187*E1187</f>
        <v>0</v>
      </c>
      <c r="N1187" s="0" t="n">
        <v>1</v>
      </c>
      <c r="O1187" s="6" t="n">
        <f aca="false">D1187</f>
        <v>4.79</v>
      </c>
      <c r="P1187" s="6" t="n">
        <f aca="false">E1187</f>
        <v>1</v>
      </c>
      <c r="Q1187" s="6" t="n">
        <f aca="false">F1187</f>
        <v>0</v>
      </c>
      <c r="R1187" s="6" t="n">
        <f aca="false">G1187</f>
        <v>1</v>
      </c>
      <c r="S1187" s="6" t="n">
        <f aca="false">H1187</f>
        <v>1</v>
      </c>
      <c r="T1187" s="6" t="n">
        <f aca="false">I1187</f>
        <v>0</v>
      </c>
      <c r="U1187" s="6" t="n">
        <f aca="false">L1187</f>
        <v>0</v>
      </c>
      <c r="W1187" s="6" t="n">
        <f aca="false">D1187</f>
        <v>4.79</v>
      </c>
      <c r="X1187" s="6" t="n">
        <f aca="false">E1187</f>
        <v>1</v>
      </c>
      <c r="Y1187" s="6" t="n">
        <f aca="false">F1187</f>
        <v>0</v>
      </c>
      <c r="Z1187" s="6" t="n">
        <f aca="false">L1187</f>
        <v>0</v>
      </c>
      <c r="AA1187" s="6" t="n">
        <f aca="false">G1187</f>
        <v>1</v>
      </c>
      <c r="AC1187" s="6" t="n">
        <f aca="false">D1187</f>
        <v>4.79</v>
      </c>
      <c r="AD1187" s="6" t="n">
        <f aca="false">E1187</f>
        <v>1</v>
      </c>
      <c r="AE1187" s="6" t="n">
        <f aca="false">G1187</f>
        <v>1</v>
      </c>
      <c r="AF1187" s="6" t="n">
        <f aca="false">H1187</f>
        <v>1</v>
      </c>
      <c r="AG1187" s="6" t="n">
        <f aca="false">I1187</f>
        <v>0</v>
      </c>
      <c r="AH1187" s="6" t="n">
        <f aca="false">L1187</f>
        <v>0</v>
      </c>
    </row>
    <row r="1188" customFormat="false" ht="15" hidden="false" customHeight="false" outlineLevel="0" collapsed="false">
      <c r="A1188" s="0" t="str">
        <f aca="false">'Raw Data'!C1188</f>
        <v>Arroyo</v>
      </c>
      <c r="B1188" s="5" t="n">
        <f aca="false">'Raw Data'!A1188</f>
        <v>40365</v>
      </c>
      <c r="C1188" s="6" t="n">
        <f aca="false">'Raw Data'!D1188</f>
        <v>368.986455009874</v>
      </c>
      <c r="D1188" s="6" t="n">
        <f aca="false">'Raw Data'!E1188</f>
        <v>3.910909091</v>
      </c>
      <c r="E1188" s="6" t="n">
        <f aca="false">'Raw Data'!F1188</f>
        <v>1</v>
      </c>
      <c r="F1188" s="6" t="n">
        <f aca="false">'Raw Data'!G1188</f>
        <v>0</v>
      </c>
      <c r="G1188" s="6" t="n">
        <f aca="false">'Raw Data'!H1188</f>
        <v>0</v>
      </c>
      <c r="H1188" s="6" t="n">
        <f aca="false">'Raw Data'!I1188</f>
        <v>1</v>
      </c>
      <c r="I1188" s="6" t="n">
        <f aca="false">'Raw Data'!J1188</f>
        <v>0</v>
      </c>
      <c r="J1188" s="6" t="n">
        <f aca="false">'Raw Data'!K1188</f>
        <v>3</v>
      </c>
      <c r="K1188" s="6" t="n">
        <f aca="false">'Raw Data'!L1188</f>
        <v>2</v>
      </c>
      <c r="L1188" s="6" t="n">
        <f aca="false">F1188*E1188</f>
        <v>0</v>
      </c>
      <c r="N1188" s="0" t="n">
        <v>1</v>
      </c>
      <c r="O1188" s="6" t="n">
        <f aca="false">D1188</f>
        <v>3.910909091</v>
      </c>
      <c r="P1188" s="6" t="n">
        <f aca="false">E1188</f>
        <v>1</v>
      </c>
      <c r="Q1188" s="6" t="n">
        <f aca="false">F1188</f>
        <v>0</v>
      </c>
      <c r="R1188" s="6" t="n">
        <f aca="false">G1188</f>
        <v>0</v>
      </c>
      <c r="S1188" s="6" t="n">
        <f aca="false">H1188</f>
        <v>1</v>
      </c>
      <c r="T1188" s="6" t="n">
        <f aca="false">I1188</f>
        <v>0</v>
      </c>
      <c r="U1188" s="6" t="n">
        <f aca="false">L1188</f>
        <v>0</v>
      </c>
      <c r="W1188" s="6" t="n">
        <f aca="false">D1188</f>
        <v>3.910909091</v>
      </c>
      <c r="X1188" s="6" t="n">
        <f aca="false">E1188</f>
        <v>1</v>
      </c>
      <c r="Y1188" s="6" t="n">
        <f aca="false">F1188</f>
        <v>0</v>
      </c>
      <c r="Z1188" s="6" t="n">
        <f aca="false">L1188</f>
        <v>0</v>
      </c>
      <c r="AA1188" s="6" t="n">
        <f aca="false">G1188</f>
        <v>0</v>
      </c>
      <c r="AC1188" s="6" t="n">
        <f aca="false">D1188</f>
        <v>3.910909091</v>
      </c>
      <c r="AD1188" s="6" t="n">
        <f aca="false">E1188</f>
        <v>1</v>
      </c>
      <c r="AE1188" s="6" t="n">
        <f aca="false">G1188</f>
        <v>0</v>
      </c>
      <c r="AF1188" s="6" t="n">
        <f aca="false">H1188</f>
        <v>1</v>
      </c>
      <c r="AG1188" s="6" t="n">
        <f aca="false">I1188</f>
        <v>0</v>
      </c>
      <c r="AH1188" s="6" t="n">
        <f aca="false">L1188</f>
        <v>0</v>
      </c>
    </row>
    <row r="1189" customFormat="false" ht="15" hidden="false" customHeight="false" outlineLevel="0" collapsed="false">
      <c r="A1189" s="0" t="str">
        <f aca="false">'Raw Data'!C1189</f>
        <v>Arroyo</v>
      </c>
      <c r="B1189" s="5" t="n">
        <f aca="false">'Raw Data'!A1189</f>
        <v>40372</v>
      </c>
      <c r="C1189" s="6" t="n">
        <f aca="false">'Raw Data'!D1189</f>
        <v>409.111526166358</v>
      </c>
      <c r="D1189" s="6" t="n">
        <f aca="false">'Raw Data'!E1189</f>
        <v>4.307692308</v>
      </c>
      <c r="E1189" s="6" t="n">
        <f aca="false">'Raw Data'!F1189</f>
        <v>1</v>
      </c>
      <c r="F1189" s="6" t="n">
        <f aca="false">'Raw Data'!G1189</f>
        <v>0</v>
      </c>
      <c r="G1189" s="6" t="n">
        <f aca="false">'Raw Data'!H1189</f>
        <v>0</v>
      </c>
      <c r="H1189" s="6" t="n">
        <f aca="false">'Raw Data'!I1189</f>
        <v>1</v>
      </c>
      <c r="I1189" s="6" t="n">
        <f aca="false">'Raw Data'!J1189</f>
        <v>1</v>
      </c>
      <c r="J1189" s="6" t="n">
        <f aca="false">'Raw Data'!K1189</f>
        <v>3</v>
      </c>
      <c r="K1189" s="6" t="n">
        <f aca="false">'Raw Data'!L1189</f>
        <v>2</v>
      </c>
      <c r="L1189" s="6" t="n">
        <f aca="false">F1189*E1189</f>
        <v>0</v>
      </c>
      <c r="N1189" s="0" t="n">
        <v>1</v>
      </c>
      <c r="O1189" s="6" t="n">
        <f aca="false">D1189</f>
        <v>4.307692308</v>
      </c>
      <c r="P1189" s="6" t="n">
        <f aca="false">E1189</f>
        <v>1</v>
      </c>
      <c r="Q1189" s="6" t="n">
        <f aca="false">F1189</f>
        <v>0</v>
      </c>
      <c r="R1189" s="6" t="n">
        <f aca="false">G1189</f>
        <v>0</v>
      </c>
      <c r="S1189" s="6" t="n">
        <f aca="false">H1189</f>
        <v>1</v>
      </c>
      <c r="T1189" s="6" t="n">
        <f aca="false">I1189</f>
        <v>1</v>
      </c>
      <c r="U1189" s="6" t="n">
        <f aca="false">L1189</f>
        <v>0</v>
      </c>
      <c r="W1189" s="6" t="n">
        <f aca="false">D1189</f>
        <v>4.307692308</v>
      </c>
      <c r="X1189" s="6" t="n">
        <f aca="false">E1189</f>
        <v>1</v>
      </c>
      <c r="Y1189" s="6" t="n">
        <f aca="false">F1189</f>
        <v>0</v>
      </c>
      <c r="Z1189" s="6" t="n">
        <f aca="false">L1189</f>
        <v>0</v>
      </c>
      <c r="AA1189" s="6" t="n">
        <f aca="false">G1189</f>
        <v>0</v>
      </c>
      <c r="AC1189" s="6" t="n">
        <f aca="false">D1189</f>
        <v>4.307692308</v>
      </c>
      <c r="AD1189" s="6" t="n">
        <f aca="false">E1189</f>
        <v>1</v>
      </c>
      <c r="AE1189" s="6" t="n">
        <f aca="false">G1189</f>
        <v>0</v>
      </c>
      <c r="AF1189" s="6" t="n">
        <f aca="false">H1189</f>
        <v>1</v>
      </c>
      <c r="AG1189" s="6" t="n">
        <f aca="false">I1189</f>
        <v>1</v>
      </c>
      <c r="AH1189" s="6" t="n">
        <f aca="false">L1189</f>
        <v>0</v>
      </c>
    </row>
    <row r="1190" customFormat="false" ht="15" hidden="false" customHeight="false" outlineLevel="0" collapsed="false">
      <c r="A1190" s="0" t="str">
        <f aca="false">'Raw Data'!C1190</f>
        <v>Fairfax</v>
      </c>
      <c r="B1190" s="5" t="n">
        <f aca="false">'Raw Data'!A1190</f>
        <v>40302</v>
      </c>
      <c r="C1190" s="6" t="n">
        <f aca="false">'Raw Data'!D1190</f>
        <v>193.071115761226</v>
      </c>
      <c r="D1190" s="6" t="n">
        <f aca="false">'Raw Data'!E1190</f>
        <v>4.823333333</v>
      </c>
      <c r="E1190" s="6" t="n">
        <f aca="false">'Raw Data'!F1190</f>
        <v>1</v>
      </c>
      <c r="F1190" s="6" t="n">
        <f aca="false">'Raw Data'!G1190</f>
        <v>0</v>
      </c>
      <c r="G1190" s="6" t="n">
        <f aca="false">'Raw Data'!H1190</f>
        <v>0</v>
      </c>
      <c r="H1190" s="6" t="n">
        <f aca="false">'Raw Data'!I1190</f>
        <v>0</v>
      </c>
      <c r="I1190" s="6" t="n">
        <f aca="false">'Raw Data'!J1190</f>
        <v>0</v>
      </c>
      <c r="J1190" s="6" t="n">
        <f aca="false">'Raw Data'!K1190</f>
        <v>2</v>
      </c>
      <c r="K1190" s="6" t="n">
        <f aca="false">'Raw Data'!L1190</f>
        <v>1</v>
      </c>
      <c r="L1190" s="6" t="n">
        <f aca="false">F1190*E1190</f>
        <v>0</v>
      </c>
      <c r="N1190" s="0" t="n">
        <v>1</v>
      </c>
      <c r="O1190" s="6" t="n">
        <f aca="false">D1190</f>
        <v>4.823333333</v>
      </c>
      <c r="P1190" s="6" t="n">
        <f aca="false">E1190</f>
        <v>1</v>
      </c>
      <c r="Q1190" s="6" t="n">
        <f aca="false">F1190</f>
        <v>0</v>
      </c>
      <c r="R1190" s="6" t="n">
        <f aca="false">G1190</f>
        <v>0</v>
      </c>
      <c r="S1190" s="6" t="n">
        <f aca="false">H1190</f>
        <v>0</v>
      </c>
      <c r="T1190" s="6" t="n">
        <f aca="false">I1190</f>
        <v>0</v>
      </c>
      <c r="U1190" s="6" t="n">
        <f aca="false">L1190</f>
        <v>0</v>
      </c>
      <c r="W1190" s="6" t="n">
        <f aca="false">D1190</f>
        <v>4.823333333</v>
      </c>
      <c r="X1190" s="6" t="n">
        <f aca="false">E1190</f>
        <v>1</v>
      </c>
      <c r="Y1190" s="6" t="n">
        <f aca="false">F1190</f>
        <v>0</v>
      </c>
      <c r="Z1190" s="6" t="n">
        <f aca="false">L1190</f>
        <v>0</v>
      </c>
      <c r="AA1190" s="6" t="n">
        <f aca="false">G1190</f>
        <v>0</v>
      </c>
      <c r="AC1190" s="6" t="n">
        <f aca="false">D1190</f>
        <v>4.823333333</v>
      </c>
      <c r="AD1190" s="6" t="n">
        <f aca="false">E1190</f>
        <v>1</v>
      </c>
      <c r="AE1190" s="6" t="n">
        <f aca="false">G1190</f>
        <v>0</v>
      </c>
      <c r="AF1190" s="6" t="n">
        <f aca="false">H1190</f>
        <v>0</v>
      </c>
      <c r="AG1190" s="6" t="n">
        <f aca="false">I1190</f>
        <v>0</v>
      </c>
      <c r="AH1190" s="6" t="n">
        <f aca="false">L1190</f>
        <v>0</v>
      </c>
    </row>
    <row r="1191" customFormat="false" ht="15" hidden="false" customHeight="false" outlineLevel="0" collapsed="false">
      <c r="A1191" s="0" t="str">
        <f aca="false">'Raw Data'!C1191</f>
        <v>Fairfax</v>
      </c>
      <c r="B1191" s="5" t="n">
        <f aca="false">'Raw Data'!A1191</f>
        <v>40309</v>
      </c>
      <c r="C1191" s="6" t="n">
        <f aca="false">'Raw Data'!D1191</f>
        <v>263.640168363798</v>
      </c>
      <c r="D1191" s="6" t="n">
        <f aca="false">'Raw Data'!E1191</f>
        <v>4.823333333</v>
      </c>
      <c r="E1191" s="6" t="n">
        <f aca="false">'Raw Data'!F1191</f>
        <v>1</v>
      </c>
      <c r="F1191" s="6" t="n">
        <f aca="false">'Raw Data'!G1191</f>
        <v>0</v>
      </c>
      <c r="G1191" s="6" t="n">
        <f aca="false">'Raw Data'!H1191</f>
        <v>0</v>
      </c>
      <c r="H1191" s="6" t="n">
        <f aca="false">'Raw Data'!I1191</f>
        <v>0</v>
      </c>
      <c r="I1191" s="6" t="n">
        <f aca="false">'Raw Data'!J1191</f>
        <v>0</v>
      </c>
      <c r="J1191" s="6" t="n">
        <f aca="false">'Raw Data'!K1191</f>
        <v>2</v>
      </c>
      <c r="K1191" s="6" t="n">
        <f aca="false">'Raw Data'!L1191</f>
        <v>1</v>
      </c>
      <c r="L1191" s="6" t="n">
        <f aca="false">F1191*E1191</f>
        <v>0</v>
      </c>
      <c r="N1191" s="0" t="n">
        <v>1</v>
      </c>
      <c r="O1191" s="6" t="n">
        <f aca="false">D1191</f>
        <v>4.823333333</v>
      </c>
      <c r="P1191" s="6" t="n">
        <f aca="false">E1191</f>
        <v>1</v>
      </c>
      <c r="Q1191" s="6" t="n">
        <f aca="false">F1191</f>
        <v>0</v>
      </c>
      <c r="R1191" s="6" t="n">
        <f aca="false">G1191</f>
        <v>0</v>
      </c>
      <c r="S1191" s="6" t="n">
        <f aca="false">H1191</f>
        <v>0</v>
      </c>
      <c r="T1191" s="6" t="n">
        <f aca="false">I1191</f>
        <v>0</v>
      </c>
      <c r="U1191" s="6" t="n">
        <f aca="false">L1191</f>
        <v>0</v>
      </c>
      <c r="W1191" s="6" t="n">
        <f aca="false">D1191</f>
        <v>4.823333333</v>
      </c>
      <c r="X1191" s="6" t="n">
        <f aca="false">E1191</f>
        <v>1</v>
      </c>
      <c r="Y1191" s="6" t="n">
        <f aca="false">F1191</f>
        <v>0</v>
      </c>
      <c r="Z1191" s="6" t="n">
        <f aca="false">L1191</f>
        <v>0</v>
      </c>
      <c r="AA1191" s="6" t="n">
        <f aca="false">G1191</f>
        <v>0</v>
      </c>
      <c r="AC1191" s="6" t="n">
        <f aca="false">D1191</f>
        <v>4.823333333</v>
      </c>
      <c r="AD1191" s="6" t="n">
        <f aca="false">E1191</f>
        <v>1</v>
      </c>
      <c r="AE1191" s="6" t="n">
        <f aca="false">G1191</f>
        <v>0</v>
      </c>
      <c r="AF1191" s="6" t="n">
        <f aca="false">H1191</f>
        <v>0</v>
      </c>
      <c r="AG1191" s="6" t="n">
        <f aca="false">I1191</f>
        <v>0</v>
      </c>
      <c r="AH1191" s="6" t="n">
        <f aca="false">L1191</f>
        <v>0</v>
      </c>
    </row>
    <row r="1192" customFormat="false" ht="15" hidden="false" customHeight="false" outlineLevel="0" collapsed="false">
      <c r="A1192" s="0" t="str">
        <f aca="false">'Raw Data'!C1192</f>
        <v>Fairfax</v>
      </c>
      <c r="B1192" s="5" t="n">
        <f aca="false">'Raw Data'!A1192</f>
        <v>40316</v>
      </c>
      <c r="C1192" s="6" t="n">
        <f aca="false">'Raw Data'!D1192</f>
        <v>176.274119713336</v>
      </c>
      <c r="D1192" s="6" t="n">
        <f aca="false">'Raw Data'!E1192</f>
        <v>4.475833333</v>
      </c>
      <c r="E1192" s="6" t="n">
        <f aca="false">'Raw Data'!F1192</f>
        <v>1</v>
      </c>
      <c r="F1192" s="6" t="n">
        <f aca="false">'Raw Data'!G1192</f>
        <v>0</v>
      </c>
      <c r="G1192" s="6" t="n">
        <f aca="false">'Raw Data'!H1192</f>
        <v>0</v>
      </c>
      <c r="H1192" s="6" t="n">
        <f aca="false">'Raw Data'!I1192</f>
        <v>0</v>
      </c>
      <c r="I1192" s="6" t="n">
        <f aca="false">'Raw Data'!J1192</f>
        <v>0</v>
      </c>
      <c r="J1192" s="6" t="n">
        <f aca="false">'Raw Data'!K1192</f>
        <v>2</v>
      </c>
      <c r="K1192" s="6" t="n">
        <f aca="false">'Raw Data'!L1192</f>
        <v>1</v>
      </c>
      <c r="L1192" s="6" t="n">
        <f aca="false">F1192*E1192</f>
        <v>0</v>
      </c>
      <c r="N1192" s="0" t="n">
        <v>1</v>
      </c>
      <c r="O1192" s="6" t="n">
        <f aca="false">D1192</f>
        <v>4.475833333</v>
      </c>
      <c r="P1192" s="6" t="n">
        <f aca="false">E1192</f>
        <v>1</v>
      </c>
      <c r="Q1192" s="6" t="n">
        <f aca="false">F1192</f>
        <v>0</v>
      </c>
      <c r="R1192" s="6" t="n">
        <f aca="false">G1192</f>
        <v>0</v>
      </c>
      <c r="S1192" s="6" t="n">
        <f aca="false">H1192</f>
        <v>0</v>
      </c>
      <c r="T1192" s="6" t="n">
        <f aca="false">I1192</f>
        <v>0</v>
      </c>
      <c r="U1192" s="6" t="n">
        <f aca="false">L1192</f>
        <v>0</v>
      </c>
      <c r="W1192" s="6" t="n">
        <f aca="false">D1192</f>
        <v>4.475833333</v>
      </c>
      <c r="X1192" s="6" t="n">
        <f aca="false">E1192</f>
        <v>1</v>
      </c>
      <c r="Y1192" s="6" t="n">
        <f aca="false">F1192</f>
        <v>0</v>
      </c>
      <c r="Z1192" s="6" t="n">
        <f aca="false">L1192</f>
        <v>0</v>
      </c>
      <c r="AA1192" s="6" t="n">
        <f aca="false">G1192</f>
        <v>0</v>
      </c>
      <c r="AC1192" s="6" t="n">
        <f aca="false">D1192</f>
        <v>4.475833333</v>
      </c>
      <c r="AD1192" s="6" t="n">
        <f aca="false">E1192</f>
        <v>1</v>
      </c>
      <c r="AE1192" s="6" t="n">
        <f aca="false">G1192</f>
        <v>0</v>
      </c>
      <c r="AF1192" s="6" t="n">
        <f aca="false">H1192</f>
        <v>0</v>
      </c>
      <c r="AG1192" s="6" t="n">
        <f aca="false">I1192</f>
        <v>0</v>
      </c>
      <c r="AH1192" s="6" t="n">
        <f aca="false">L1192</f>
        <v>0</v>
      </c>
    </row>
    <row r="1193" customFormat="false" ht="15" hidden="false" customHeight="false" outlineLevel="0" collapsed="false">
      <c r="A1193" s="0" t="str">
        <f aca="false">'Raw Data'!C1193</f>
        <v>Fairfax</v>
      </c>
      <c r="B1193" s="5" t="n">
        <f aca="false">'Raw Data'!A1193</f>
        <v>40323</v>
      </c>
      <c r="C1193" s="6" t="n">
        <f aca="false">'Raw Data'!D1193</f>
        <v>223.054092168069</v>
      </c>
      <c r="D1193" s="6" t="n">
        <f aca="false">'Raw Data'!E1193</f>
        <v>4.200714286</v>
      </c>
      <c r="E1193" s="6" t="n">
        <f aca="false">'Raw Data'!F1193</f>
        <v>1</v>
      </c>
      <c r="F1193" s="6" t="n">
        <f aca="false">'Raw Data'!G1193</f>
        <v>0</v>
      </c>
      <c r="G1193" s="6" t="n">
        <f aca="false">'Raw Data'!H1193</f>
        <v>0</v>
      </c>
      <c r="H1193" s="6" t="n">
        <f aca="false">'Raw Data'!I1193</f>
        <v>0</v>
      </c>
      <c r="I1193" s="6" t="n">
        <f aca="false">'Raw Data'!J1193</f>
        <v>0</v>
      </c>
      <c r="J1193" s="6" t="n">
        <f aca="false">'Raw Data'!K1193</f>
        <v>2</v>
      </c>
      <c r="K1193" s="6" t="n">
        <f aca="false">'Raw Data'!L1193</f>
        <v>1</v>
      </c>
      <c r="L1193" s="6" t="n">
        <f aca="false">F1193*E1193</f>
        <v>0</v>
      </c>
      <c r="N1193" s="0" t="n">
        <v>1</v>
      </c>
      <c r="O1193" s="6" t="n">
        <f aca="false">D1193</f>
        <v>4.200714286</v>
      </c>
      <c r="P1193" s="6" t="n">
        <f aca="false">E1193</f>
        <v>1</v>
      </c>
      <c r="Q1193" s="6" t="n">
        <f aca="false">F1193</f>
        <v>0</v>
      </c>
      <c r="R1193" s="6" t="n">
        <f aca="false">G1193</f>
        <v>0</v>
      </c>
      <c r="S1193" s="6" t="n">
        <f aca="false">H1193</f>
        <v>0</v>
      </c>
      <c r="T1193" s="6" t="n">
        <f aca="false">I1193</f>
        <v>0</v>
      </c>
      <c r="U1193" s="6" t="n">
        <f aca="false">L1193</f>
        <v>0</v>
      </c>
      <c r="W1193" s="6" t="n">
        <f aca="false">D1193</f>
        <v>4.200714286</v>
      </c>
      <c r="X1193" s="6" t="n">
        <f aca="false">E1193</f>
        <v>1</v>
      </c>
      <c r="Y1193" s="6" t="n">
        <f aca="false">F1193</f>
        <v>0</v>
      </c>
      <c r="Z1193" s="6" t="n">
        <f aca="false">L1193</f>
        <v>0</v>
      </c>
      <c r="AA1193" s="6" t="n">
        <f aca="false">G1193</f>
        <v>0</v>
      </c>
      <c r="AC1193" s="6" t="n">
        <f aca="false">D1193</f>
        <v>4.200714286</v>
      </c>
      <c r="AD1193" s="6" t="n">
        <f aca="false">E1193</f>
        <v>1</v>
      </c>
      <c r="AE1193" s="6" t="n">
        <f aca="false">G1193</f>
        <v>0</v>
      </c>
      <c r="AF1193" s="6" t="n">
        <f aca="false">H1193</f>
        <v>0</v>
      </c>
      <c r="AG1193" s="6" t="n">
        <f aca="false">I1193</f>
        <v>0</v>
      </c>
      <c r="AH1193" s="6" t="n">
        <f aca="false">L1193</f>
        <v>0</v>
      </c>
    </row>
    <row r="1194" customFormat="false" ht="15" hidden="false" customHeight="false" outlineLevel="0" collapsed="false">
      <c r="A1194" s="0" t="str">
        <f aca="false">'Raw Data'!C1194</f>
        <v>Fairfax</v>
      </c>
      <c r="B1194" s="5" t="n">
        <f aca="false">'Raw Data'!A1194</f>
        <v>40330</v>
      </c>
      <c r="C1194" s="6" t="n">
        <f aca="false">'Raw Data'!D1194</f>
        <v>164.639545269204</v>
      </c>
      <c r="D1194" s="6" t="n">
        <f aca="false">'Raw Data'!E1194</f>
        <v>4.343125</v>
      </c>
      <c r="E1194" s="6" t="n">
        <f aca="false">'Raw Data'!F1194</f>
        <v>1</v>
      </c>
      <c r="F1194" s="6" t="n">
        <f aca="false">'Raw Data'!G1194</f>
        <v>0</v>
      </c>
      <c r="G1194" s="6" t="n">
        <f aca="false">'Raw Data'!H1194</f>
        <v>0</v>
      </c>
      <c r="H1194" s="6" t="n">
        <f aca="false">'Raw Data'!I1194</f>
        <v>0</v>
      </c>
      <c r="I1194" s="6" t="n">
        <f aca="false">'Raw Data'!J1194</f>
        <v>0</v>
      </c>
      <c r="J1194" s="6" t="n">
        <f aca="false">'Raw Data'!K1194</f>
        <v>2</v>
      </c>
      <c r="K1194" s="6" t="n">
        <f aca="false">'Raw Data'!L1194</f>
        <v>1</v>
      </c>
      <c r="L1194" s="6" t="n">
        <f aca="false">F1194*E1194</f>
        <v>0</v>
      </c>
      <c r="N1194" s="0" t="n">
        <v>1</v>
      </c>
      <c r="O1194" s="6" t="n">
        <f aca="false">D1194</f>
        <v>4.343125</v>
      </c>
      <c r="P1194" s="6" t="n">
        <f aca="false">E1194</f>
        <v>1</v>
      </c>
      <c r="Q1194" s="6" t="n">
        <f aca="false">F1194</f>
        <v>0</v>
      </c>
      <c r="R1194" s="6" t="n">
        <f aca="false">G1194</f>
        <v>0</v>
      </c>
      <c r="S1194" s="6" t="n">
        <f aca="false">H1194</f>
        <v>0</v>
      </c>
      <c r="T1194" s="6" t="n">
        <f aca="false">I1194</f>
        <v>0</v>
      </c>
      <c r="U1194" s="6" t="n">
        <f aca="false">L1194</f>
        <v>0</v>
      </c>
      <c r="W1194" s="6" t="n">
        <f aca="false">D1194</f>
        <v>4.343125</v>
      </c>
      <c r="X1194" s="6" t="n">
        <f aca="false">E1194</f>
        <v>1</v>
      </c>
      <c r="Y1194" s="6" t="n">
        <f aca="false">F1194</f>
        <v>0</v>
      </c>
      <c r="Z1194" s="6" t="n">
        <f aca="false">L1194</f>
        <v>0</v>
      </c>
      <c r="AA1194" s="6" t="n">
        <f aca="false">G1194</f>
        <v>0</v>
      </c>
      <c r="AC1194" s="6" t="n">
        <f aca="false">D1194</f>
        <v>4.343125</v>
      </c>
      <c r="AD1194" s="6" t="n">
        <f aca="false">E1194</f>
        <v>1</v>
      </c>
      <c r="AE1194" s="6" t="n">
        <f aca="false">G1194</f>
        <v>0</v>
      </c>
      <c r="AF1194" s="6" t="n">
        <f aca="false">H1194</f>
        <v>0</v>
      </c>
      <c r="AG1194" s="6" t="n">
        <f aca="false">I1194</f>
        <v>0</v>
      </c>
      <c r="AH1194" s="6" t="n">
        <f aca="false">L1194</f>
        <v>0</v>
      </c>
    </row>
    <row r="1195" customFormat="false" ht="15" hidden="false" customHeight="false" outlineLevel="0" collapsed="false">
      <c r="A1195" s="0" t="str">
        <f aca="false">'Raw Data'!C1195</f>
        <v>Fairfax</v>
      </c>
      <c r="B1195" s="5" t="n">
        <f aca="false">'Raw Data'!A1195</f>
        <v>40337</v>
      </c>
      <c r="C1195" s="6" t="n">
        <f aca="false">'Raw Data'!D1195</f>
        <v>248.940880692599</v>
      </c>
      <c r="D1195" s="6" t="n">
        <f aca="false">'Raw Data'!E1195</f>
        <v>4.554375</v>
      </c>
      <c r="E1195" s="6" t="n">
        <f aca="false">'Raw Data'!F1195</f>
        <v>1</v>
      </c>
      <c r="F1195" s="6" t="n">
        <f aca="false">'Raw Data'!G1195</f>
        <v>0</v>
      </c>
      <c r="G1195" s="6" t="n">
        <f aca="false">'Raw Data'!H1195</f>
        <v>0</v>
      </c>
      <c r="H1195" s="6" t="n">
        <f aca="false">'Raw Data'!I1195</f>
        <v>0</v>
      </c>
      <c r="I1195" s="6" t="n">
        <f aca="false">'Raw Data'!J1195</f>
        <v>0</v>
      </c>
      <c r="J1195" s="6" t="n">
        <f aca="false">'Raw Data'!K1195</f>
        <v>2</v>
      </c>
      <c r="K1195" s="6" t="n">
        <f aca="false">'Raw Data'!L1195</f>
        <v>1</v>
      </c>
      <c r="L1195" s="6" t="n">
        <f aca="false">F1195*E1195</f>
        <v>0</v>
      </c>
      <c r="N1195" s="0" t="n">
        <v>1</v>
      </c>
      <c r="O1195" s="6" t="n">
        <f aca="false">D1195</f>
        <v>4.554375</v>
      </c>
      <c r="P1195" s="6" t="n">
        <f aca="false">E1195</f>
        <v>1</v>
      </c>
      <c r="Q1195" s="6" t="n">
        <f aca="false">F1195</f>
        <v>0</v>
      </c>
      <c r="R1195" s="6" t="n">
        <f aca="false">G1195</f>
        <v>0</v>
      </c>
      <c r="S1195" s="6" t="n">
        <f aca="false">H1195</f>
        <v>0</v>
      </c>
      <c r="T1195" s="6" t="n">
        <f aca="false">I1195</f>
        <v>0</v>
      </c>
      <c r="U1195" s="6" t="n">
        <f aca="false">L1195</f>
        <v>0</v>
      </c>
      <c r="W1195" s="6" t="n">
        <f aca="false">D1195</f>
        <v>4.554375</v>
      </c>
      <c r="X1195" s="6" t="n">
        <f aca="false">E1195</f>
        <v>1</v>
      </c>
      <c r="Y1195" s="6" t="n">
        <f aca="false">F1195</f>
        <v>0</v>
      </c>
      <c r="Z1195" s="6" t="n">
        <f aca="false">L1195</f>
        <v>0</v>
      </c>
      <c r="AA1195" s="6" t="n">
        <f aca="false">G1195</f>
        <v>0</v>
      </c>
      <c r="AC1195" s="6" t="n">
        <f aca="false">D1195</f>
        <v>4.554375</v>
      </c>
      <c r="AD1195" s="6" t="n">
        <f aca="false">E1195</f>
        <v>1</v>
      </c>
      <c r="AE1195" s="6" t="n">
        <f aca="false">G1195</f>
        <v>0</v>
      </c>
      <c r="AF1195" s="6" t="n">
        <f aca="false">H1195</f>
        <v>0</v>
      </c>
      <c r="AG1195" s="6" t="n">
        <f aca="false">I1195</f>
        <v>0</v>
      </c>
      <c r="AH1195" s="6" t="n">
        <f aca="false">L1195</f>
        <v>0</v>
      </c>
    </row>
    <row r="1196" customFormat="false" ht="15" hidden="false" customHeight="false" outlineLevel="0" collapsed="false">
      <c r="A1196" s="0" t="str">
        <f aca="false">'Raw Data'!C1196</f>
        <v>Fairfax</v>
      </c>
      <c r="B1196" s="5" t="n">
        <f aca="false">'Raw Data'!A1196</f>
        <v>40344</v>
      </c>
      <c r="C1196" s="6" t="n">
        <f aca="false">'Raw Data'!D1196</f>
        <v>373.232066775126</v>
      </c>
      <c r="D1196" s="6" t="n">
        <f aca="false">'Raw Data'!E1196</f>
        <v>4.62125</v>
      </c>
      <c r="E1196" s="6" t="n">
        <f aca="false">'Raw Data'!F1196</f>
        <v>1</v>
      </c>
      <c r="F1196" s="6" t="n">
        <f aca="false">'Raw Data'!G1196</f>
        <v>0</v>
      </c>
      <c r="G1196" s="6" t="n">
        <f aca="false">'Raw Data'!H1196</f>
        <v>1</v>
      </c>
      <c r="H1196" s="6" t="n">
        <f aca="false">'Raw Data'!I1196</f>
        <v>0</v>
      </c>
      <c r="I1196" s="6" t="n">
        <f aca="false">'Raw Data'!J1196</f>
        <v>0</v>
      </c>
      <c r="J1196" s="6" t="n">
        <f aca="false">'Raw Data'!K1196</f>
        <v>2</v>
      </c>
      <c r="K1196" s="6" t="n">
        <f aca="false">'Raw Data'!L1196</f>
        <v>1</v>
      </c>
      <c r="L1196" s="6" t="n">
        <f aca="false">F1196*E1196</f>
        <v>0</v>
      </c>
      <c r="N1196" s="0" t="n">
        <v>1</v>
      </c>
      <c r="O1196" s="6" t="n">
        <f aca="false">D1196</f>
        <v>4.62125</v>
      </c>
      <c r="P1196" s="6" t="n">
        <f aca="false">E1196</f>
        <v>1</v>
      </c>
      <c r="Q1196" s="6" t="n">
        <f aca="false">F1196</f>
        <v>0</v>
      </c>
      <c r="R1196" s="6" t="n">
        <f aca="false">G1196</f>
        <v>1</v>
      </c>
      <c r="S1196" s="6" t="n">
        <f aca="false">H1196</f>
        <v>0</v>
      </c>
      <c r="T1196" s="6" t="n">
        <f aca="false">I1196</f>
        <v>0</v>
      </c>
      <c r="U1196" s="6" t="n">
        <f aca="false">L1196</f>
        <v>0</v>
      </c>
      <c r="W1196" s="6" t="n">
        <f aca="false">D1196</f>
        <v>4.62125</v>
      </c>
      <c r="X1196" s="6" t="n">
        <f aca="false">E1196</f>
        <v>1</v>
      </c>
      <c r="Y1196" s="6" t="n">
        <f aca="false">F1196</f>
        <v>0</v>
      </c>
      <c r="Z1196" s="6" t="n">
        <f aca="false">L1196</f>
        <v>0</v>
      </c>
      <c r="AA1196" s="6" t="n">
        <f aca="false">G1196</f>
        <v>1</v>
      </c>
      <c r="AC1196" s="6" t="n">
        <f aca="false">D1196</f>
        <v>4.62125</v>
      </c>
      <c r="AD1196" s="6" t="n">
        <f aca="false">E1196</f>
        <v>1</v>
      </c>
      <c r="AE1196" s="6" t="n">
        <f aca="false">G1196</f>
        <v>1</v>
      </c>
      <c r="AF1196" s="6" t="n">
        <f aca="false">H1196</f>
        <v>0</v>
      </c>
      <c r="AG1196" s="6" t="n">
        <f aca="false">I1196</f>
        <v>0</v>
      </c>
      <c r="AH1196" s="6" t="n">
        <f aca="false">L1196</f>
        <v>0</v>
      </c>
    </row>
    <row r="1197" customFormat="false" ht="15" hidden="false" customHeight="false" outlineLevel="0" collapsed="false">
      <c r="A1197" s="0" t="str">
        <f aca="false">'Raw Data'!C1197</f>
        <v>Fairfax</v>
      </c>
      <c r="B1197" s="5" t="n">
        <f aca="false">'Raw Data'!A1197</f>
        <v>40351</v>
      </c>
      <c r="C1197" s="6" t="n">
        <f aca="false">'Raw Data'!D1197</f>
        <v>338.160304834533</v>
      </c>
      <c r="D1197" s="6" t="n">
        <f aca="false">'Raw Data'!E1197</f>
        <v>4.62125</v>
      </c>
      <c r="E1197" s="6" t="n">
        <f aca="false">'Raw Data'!F1197</f>
        <v>1</v>
      </c>
      <c r="F1197" s="6" t="n">
        <f aca="false">'Raw Data'!G1197</f>
        <v>0</v>
      </c>
      <c r="G1197" s="6" t="n">
        <f aca="false">'Raw Data'!H1197</f>
        <v>0</v>
      </c>
      <c r="H1197" s="6" t="n">
        <f aca="false">'Raw Data'!I1197</f>
        <v>1</v>
      </c>
      <c r="I1197" s="6" t="n">
        <f aca="false">'Raw Data'!J1197</f>
        <v>0</v>
      </c>
      <c r="J1197" s="6" t="n">
        <f aca="false">'Raw Data'!K1197</f>
        <v>2</v>
      </c>
      <c r="K1197" s="6" t="n">
        <f aca="false">'Raw Data'!L1197</f>
        <v>1</v>
      </c>
      <c r="L1197" s="6" t="n">
        <f aca="false">F1197*E1197</f>
        <v>0</v>
      </c>
      <c r="N1197" s="0" t="n">
        <v>1</v>
      </c>
      <c r="O1197" s="6" t="n">
        <f aca="false">D1197</f>
        <v>4.62125</v>
      </c>
      <c r="P1197" s="6" t="n">
        <f aca="false">E1197</f>
        <v>1</v>
      </c>
      <c r="Q1197" s="6" t="n">
        <f aca="false">F1197</f>
        <v>0</v>
      </c>
      <c r="R1197" s="6" t="n">
        <f aca="false">G1197</f>
        <v>0</v>
      </c>
      <c r="S1197" s="6" t="n">
        <f aca="false">H1197</f>
        <v>1</v>
      </c>
      <c r="T1197" s="6" t="n">
        <f aca="false">I1197</f>
        <v>0</v>
      </c>
      <c r="U1197" s="6" t="n">
        <f aca="false">L1197</f>
        <v>0</v>
      </c>
      <c r="W1197" s="6" t="n">
        <f aca="false">D1197</f>
        <v>4.62125</v>
      </c>
      <c r="X1197" s="6" t="n">
        <f aca="false">E1197</f>
        <v>1</v>
      </c>
      <c r="Y1197" s="6" t="n">
        <f aca="false">F1197</f>
        <v>0</v>
      </c>
      <c r="Z1197" s="6" t="n">
        <f aca="false">L1197</f>
        <v>0</v>
      </c>
      <c r="AA1197" s="6" t="n">
        <f aca="false">G1197</f>
        <v>0</v>
      </c>
      <c r="AC1197" s="6" t="n">
        <f aca="false">D1197</f>
        <v>4.62125</v>
      </c>
      <c r="AD1197" s="6" t="n">
        <f aca="false">E1197</f>
        <v>1</v>
      </c>
      <c r="AE1197" s="6" t="n">
        <f aca="false">G1197</f>
        <v>0</v>
      </c>
      <c r="AF1197" s="6" t="n">
        <f aca="false">H1197</f>
        <v>1</v>
      </c>
      <c r="AG1197" s="6" t="n">
        <f aca="false">I1197</f>
        <v>0</v>
      </c>
      <c r="AH1197" s="6" t="n">
        <f aca="false">L1197</f>
        <v>0</v>
      </c>
    </row>
    <row r="1198" customFormat="false" ht="15" hidden="false" customHeight="false" outlineLevel="0" collapsed="false">
      <c r="A1198" s="0" t="str">
        <f aca="false">'Raw Data'!C1198</f>
        <v>Fairfax</v>
      </c>
      <c r="B1198" s="5" t="n">
        <f aca="false">'Raw Data'!A1198</f>
        <v>40358</v>
      </c>
      <c r="C1198" s="6" t="n">
        <f aca="false">'Raw Data'!D1198</f>
        <v>415.114452041858</v>
      </c>
      <c r="D1198" s="6" t="n">
        <f aca="false">'Raw Data'!E1198</f>
        <v>4.62125</v>
      </c>
      <c r="E1198" s="6" t="n">
        <f aca="false">'Raw Data'!F1198</f>
        <v>1</v>
      </c>
      <c r="F1198" s="6" t="n">
        <f aca="false">'Raw Data'!G1198</f>
        <v>0</v>
      </c>
      <c r="G1198" s="6" t="n">
        <f aca="false">'Raw Data'!H1198</f>
        <v>0</v>
      </c>
      <c r="H1198" s="6" t="n">
        <f aca="false">'Raw Data'!I1198</f>
        <v>1</v>
      </c>
      <c r="I1198" s="6" t="n">
        <f aca="false">'Raw Data'!J1198</f>
        <v>0</v>
      </c>
      <c r="J1198" s="6" t="n">
        <f aca="false">'Raw Data'!K1198</f>
        <v>2</v>
      </c>
      <c r="K1198" s="6" t="n">
        <f aca="false">'Raw Data'!L1198</f>
        <v>1</v>
      </c>
      <c r="L1198" s="6" t="n">
        <f aca="false">F1198*E1198</f>
        <v>0</v>
      </c>
      <c r="N1198" s="0" t="n">
        <v>1</v>
      </c>
      <c r="O1198" s="6" t="n">
        <f aca="false">D1198</f>
        <v>4.62125</v>
      </c>
      <c r="P1198" s="6" t="n">
        <f aca="false">E1198</f>
        <v>1</v>
      </c>
      <c r="Q1198" s="6" t="n">
        <f aca="false">F1198</f>
        <v>0</v>
      </c>
      <c r="R1198" s="6" t="n">
        <f aca="false">G1198</f>
        <v>0</v>
      </c>
      <c r="S1198" s="6" t="n">
        <f aca="false">H1198</f>
        <v>1</v>
      </c>
      <c r="T1198" s="6" t="n">
        <f aca="false">I1198</f>
        <v>0</v>
      </c>
      <c r="U1198" s="6" t="n">
        <f aca="false">L1198</f>
        <v>0</v>
      </c>
      <c r="W1198" s="6" t="n">
        <f aca="false">D1198</f>
        <v>4.62125</v>
      </c>
      <c r="X1198" s="6" t="n">
        <f aca="false">E1198</f>
        <v>1</v>
      </c>
      <c r="Y1198" s="6" t="n">
        <f aca="false">F1198</f>
        <v>0</v>
      </c>
      <c r="Z1198" s="6" t="n">
        <f aca="false">L1198</f>
        <v>0</v>
      </c>
      <c r="AA1198" s="6" t="n">
        <f aca="false">G1198</f>
        <v>0</v>
      </c>
      <c r="AC1198" s="6" t="n">
        <f aca="false">D1198</f>
        <v>4.62125</v>
      </c>
      <c r="AD1198" s="6" t="n">
        <f aca="false">E1198</f>
        <v>1</v>
      </c>
      <c r="AE1198" s="6" t="n">
        <f aca="false">G1198</f>
        <v>0</v>
      </c>
      <c r="AF1198" s="6" t="n">
        <f aca="false">H1198</f>
        <v>1</v>
      </c>
      <c r="AG1198" s="6" t="n">
        <f aca="false">I1198</f>
        <v>0</v>
      </c>
      <c r="AH1198" s="6" t="n">
        <f aca="false">L1198</f>
        <v>0</v>
      </c>
    </row>
    <row r="1199" customFormat="false" ht="15" hidden="false" customHeight="false" outlineLevel="0" collapsed="false">
      <c r="A1199" s="0" t="str">
        <f aca="false">'Raw Data'!C1199</f>
        <v>Fairfax</v>
      </c>
      <c r="B1199" s="5" t="n">
        <f aca="false">'Raw Data'!A1199</f>
        <v>40365</v>
      </c>
      <c r="C1199" s="6" t="n">
        <f aca="false">'Raw Data'!D1199</f>
        <v>302.529392482098</v>
      </c>
      <c r="D1199" s="6" t="n">
        <f aca="false">'Raw Data'!E1199</f>
        <v>4.286875</v>
      </c>
      <c r="E1199" s="6" t="n">
        <f aca="false">'Raw Data'!F1199</f>
        <v>1</v>
      </c>
      <c r="F1199" s="6" t="n">
        <f aca="false">'Raw Data'!G1199</f>
        <v>0</v>
      </c>
      <c r="G1199" s="6" t="n">
        <f aca="false">'Raw Data'!H1199</f>
        <v>0</v>
      </c>
      <c r="H1199" s="6" t="n">
        <f aca="false">'Raw Data'!I1199</f>
        <v>1</v>
      </c>
      <c r="I1199" s="6" t="n">
        <f aca="false">'Raw Data'!J1199</f>
        <v>0</v>
      </c>
      <c r="J1199" s="6" t="n">
        <f aca="false">'Raw Data'!K1199</f>
        <v>2</v>
      </c>
      <c r="K1199" s="6" t="n">
        <f aca="false">'Raw Data'!L1199</f>
        <v>1</v>
      </c>
      <c r="L1199" s="6" t="n">
        <f aca="false">F1199*E1199</f>
        <v>0</v>
      </c>
      <c r="N1199" s="0" t="n">
        <v>1</v>
      </c>
      <c r="O1199" s="6" t="n">
        <f aca="false">D1199</f>
        <v>4.286875</v>
      </c>
      <c r="P1199" s="6" t="n">
        <f aca="false">E1199</f>
        <v>1</v>
      </c>
      <c r="Q1199" s="6" t="n">
        <f aca="false">F1199</f>
        <v>0</v>
      </c>
      <c r="R1199" s="6" t="n">
        <f aca="false">G1199</f>
        <v>0</v>
      </c>
      <c r="S1199" s="6" t="n">
        <f aca="false">H1199</f>
        <v>1</v>
      </c>
      <c r="T1199" s="6" t="n">
        <f aca="false">I1199</f>
        <v>0</v>
      </c>
      <c r="U1199" s="6" t="n">
        <f aca="false">L1199</f>
        <v>0</v>
      </c>
      <c r="W1199" s="6" t="n">
        <f aca="false">D1199</f>
        <v>4.286875</v>
      </c>
      <c r="X1199" s="6" t="n">
        <f aca="false">E1199</f>
        <v>1</v>
      </c>
      <c r="Y1199" s="6" t="n">
        <f aca="false">F1199</f>
        <v>0</v>
      </c>
      <c r="Z1199" s="6" t="n">
        <f aca="false">L1199</f>
        <v>0</v>
      </c>
      <c r="AA1199" s="6" t="n">
        <f aca="false">G1199</f>
        <v>0</v>
      </c>
      <c r="AC1199" s="6" t="n">
        <f aca="false">D1199</f>
        <v>4.286875</v>
      </c>
      <c r="AD1199" s="6" t="n">
        <f aca="false">E1199</f>
        <v>1</v>
      </c>
      <c r="AE1199" s="6" t="n">
        <f aca="false">G1199</f>
        <v>0</v>
      </c>
      <c r="AF1199" s="6" t="n">
        <f aca="false">H1199</f>
        <v>1</v>
      </c>
      <c r="AG1199" s="6" t="n">
        <f aca="false">I1199</f>
        <v>0</v>
      </c>
      <c r="AH1199" s="6" t="n">
        <f aca="false">L1199</f>
        <v>0</v>
      </c>
    </row>
    <row r="1200" customFormat="false" ht="15" hidden="false" customHeight="false" outlineLevel="0" collapsed="false">
      <c r="A1200" s="0" t="str">
        <f aca="false">'Raw Data'!C1200</f>
        <v>Fairfax</v>
      </c>
      <c r="B1200" s="5" t="n">
        <f aca="false">'Raw Data'!A1200</f>
        <v>40372</v>
      </c>
      <c r="C1200" s="6" t="n">
        <f aca="false">'Raw Data'!D1200</f>
        <v>287.386447027802</v>
      </c>
      <c r="D1200" s="6" t="n">
        <f aca="false">'Raw Data'!E1200</f>
        <v>4.248125</v>
      </c>
      <c r="E1200" s="6" t="n">
        <f aca="false">'Raw Data'!F1200</f>
        <v>1</v>
      </c>
      <c r="F1200" s="6" t="n">
        <f aca="false">'Raw Data'!G1200</f>
        <v>0</v>
      </c>
      <c r="G1200" s="6" t="n">
        <f aca="false">'Raw Data'!H1200</f>
        <v>0</v>
      </c>
      <c r="H1200" s="6" t="n">
        <f aca="false">'Raw Data'!I1200</f>
        <v>0</v>
      </c>
      <c r="I1200" s="6" t="n">
        <f aca="false">'Raw Data'!J1200</f>
        <v>1</v>
      </c>
      <c r="J1200" s="6" t="n">
        <f aca="false">'Raw Data'!K1200</f>
        <v>2</v>
      </c>
      <c r="K1200" s="6" t="n">
        <f aca="false">'Raw Data'!L1200</f>
        <v>1</v>
      </c>
      <c r="L1200" s="6" t="n">
        <f aca="false">F1200*E1200</f>
        <v>0</v>
      </c>
      <c r="N1200" s="0" t="n">
        <v>1</v>
      </c>
      <c r="O1200" s="6" t="n">
        <f aca="false">D1200</f>
        <v>4.248125</v>
      </c>
      <c r="P1200" s="6" t="n">
        <f aca="false">E1200</f>
        <v>1</v>
      </c>
      <c r="Q1200" s="6" t="n">
        <f aca="false">F1200</f>
        <v>0</v>
      </c>
      <c r="R1200" s="6" t="n">
        <f aca="false">G1200</f>
        <v>0</v>
      </c>
      <c r="S1200" s="6" t="n">
        <f aca="false">H1200</f>
        <v>0</v>
      </c>
      <c r="T1200" s="6" t="n">
        <f aca="false">I1200</f>
        <v>1</v>
      </c>
      <c r="U1200" s="6" t="n">
        <f aca="false">L1200</f>
        <v>0</v>
      </c>
      <c r="W1200" s="6" t="n">
        <f aca="false">D1200</f>
        <v>4.248125</v>
      </c>
      <c r="X1200" s="6" t="n">
        <f aca="false">E1200</f>
        <v>1</v>
      </c>
      <c r="Y1200" s="6" t="n">
        <f aca="false">F1200</f>
        <v>0</v>
      </c>
      <c r="Z1200" s="6" t="n">
        <f aca="false">L1200</f>
        <v>0</v>
      </c>
      <c r="AA1200" s="6" t="n">
        <f aca="false">G1200</f>
        <v>0</v>
      </c>
      <c r="AC1200" s="6" t="n">
        <f aca="false">D1200</f>
        <v>4.248125</v>
      </c>
      <c r="AD1200" s="6" t="n">
        <f aca="false">E1200</f>
        <v>1</v>
      </c>
      <c r="AE1200" s="6" t="n">
        <f aca="false">G1200</f>
        <v>0</v>
      </c>
      <c r="AF1200" s="6" t="n">
        <f aca="false">H1200</f>
        <v>0</v>
      </c>
      <c r="AG1200" s="6" t="n">
        <f aca="false">I1200</f>
        <v>1</v>
      </c>
      <c r="AH1200" s="6" t="n">
        <f aca="false">L1200</f>
        <v>0</v>
      </c>
    </row>
    <row r="1201" customFormat="false" ht="15" hidden="false" customHeight="false" outlineLevel="0" collapsed="false">
      <c r="A1201" s="0" t="str">
        <f aca="false">'Raw Data'!C1201</f>
        <v>Fort Apache</v>
      </c>
      <c r="B1201" s="5" t="n">
        <f aca="false">'Raw Data'!A1201</f>
        <v>40302</v>
      </c>
      <c r="C1201" s="6" t="n">
        <f aca="false">'Raw Data'!D1201</f>
        <v>347.91721538663</v>
      </c>
      <c r="D1201" s="6" t="n">
        <f aca="false">'Raw Data'!E1201</f>
        <v>4.659230769</v>
      </c>
      <c r="E1201" s="6" t="n">
        <f aca="false">'Raw Data'!F1201</f>
        <v>1</v>
      </c>
      <c r="F1201" s="6" t="n">
        <f aca="false">'Raw Data'!G1201</f>
        <v>0</v>
      </c>
      <c r="G1201" s="6" t="n">
        <f aca="false">'Raw Data'!H1201</f>
        <v>0</v>
      </c>
      <c r="H1201" s="6" t="n">
        <f aca="false">'Raw Data'!I1201</f>
        <v>0</v>
      </c>
      <c r="I1201" s="6" t="n">
        <f aca="false">'Raw Data'!J1201</f>
        <v>1</v>
      </c>
      <c r="J1201" s="6" t="n">
        <f aca="false">'Raw Data'!K1201</f>
        <v>1</v>
      </c>
      <c r="K1201" s="6" t="n">
        <f aca="false">'Raw Data'!L1201</f>
        <v>2</v>
      </c>
      <c r="L1201" s="6" t="n">
        <f aca="false">F1201*E1201</f>
        <v>0</v>
      </c>
      <c r="N1201" s="0" t="n">
        <v>1</v>
      </c>
      <c r="O1201" s="6" t="n">
        <f aca="false">D1201</f>
        <v>4.659230769</v>
      </c>
      <c r="P1201" s="6" t="n">
        <f aca="false">E1201</f>
        <v>1</v>
      </c>
      <c r="Q1201" s="6" t="n">
        <f aca="false">F1201</f>
        <v>0</v>
      </c>
      <c r="R1201" s="6" t="n">
        <f aca="false">G1201</f>
        <v>0</v>
      </c>
      <c r="S1201" s="6" t="n">
        <f aca="false">H1201</f>
        <v>0</v>
      </c>
      <c r="T1201" s="6" t="n">
        <f aca="false">I1201</f>
        <v>1</v>
      </c>
      <c r="U1201" s="6" t="n">
        <f aca="false">L1201</f>
        <v>0</v>
      </c>
      <c r="W1201" s="6" t="n">
        <f aca="false">D1201</f>
        <v>4.659230769</v>
      </c>
      <c r="X1201" s="6" t="n">
        <f aca="false">E1201</f>
        <v>1</v>
      </c>
      <c r="Y1201" s="6" t="n">
        <f aca="false">F1201</f>
        <v>0</v>
      </c>
      <c r="Z1201" s="6" t="n">
        <f aca="false">L1201</f>
        <v>0</v>
      </c>
      <c r="AA1201" s="6" t="n">
        <f aca="false">G1201</f>
        <v>0</v>
      </c>
      <c r="AC1201" s="6" t="n">
        <f aca="false">D1201</f>
        <v>4.659230769</v>
      </c>
      <c r="AD1201" s="6" t="n">
        <f aca="false">E1201</f>
        <v>1</v>
      </c>
      <c r="AE1201" s="6" t="n">
        <f aca="false">G1201</f>
        <v>0</v>
      </c>
      <c r="AF1201" s="6" t="n">
        <f aca="false">H1201</f>
        <v>0</v>
      </c>
      <c r="AG1201" s="6" t="n">
        <f aca="false">I1201</f>
        <v>1</v>
      </c>
      <c r="AH1201" s="6" t="n">
        <f aca="false">L1201</f>
        <v>0</v>
      </c>
    </row>
    <row r="1202" customFormat="false" ht="15" hidden="false" customHeight="false" outlineLevel="0" collapsed="false">
      <c r="A1202" s="0" t="str">
        <f aca="false">'Raw Data'!C1202</f>
        <v>Fort Apache</v>
      </c>
      <c r="B1202" s="5" t="n">
        <f aca="false">'Raw Data'!A1202</f>
        <v>40309</v>
      </c>
      <c r="C1202" s="6" t="n">
        <f aca="false">'Raw Data'!D1202</f>
        <v>203.796789390291</v>
      </c>
      <c r="D1202" s="6" t="n">
        <f aca="false">'Raw Data'!E1202</f>
        <v>4.396666667</v>
      </c>
      <c r="E1202" s="6" t="n">
        <f aca="false">'Raw Data'!F1202</f>
        <v>1</v>
      </c>
      <c r="F1202" s="6" t="n">
        <f aca="false">'Raw Data'!G1202</f>
        <v>0</v>
      </c>
      <c r="G1202" s="6" t="n">
        <f aca="false">'Raw Data'!H1202</f>
        <v>0</v>
      </c>
      <c r="H1202" s="6" t="n">
        <f aca="false">'Raw Data'!I1202</f>
        <v>0</v>
      </c>
      <c r="I1202" s="6" t="n">
        <f aca="false">'Raw Data'!J1202</f>
        <v>1</v>
      </c>
      <c r="J1202" s="6" t="n">
        <f aca="false">'Raw Data'!K1202</f>
        <v>1</v>
      </c>
      <c r="K1202" s="6" t="n">
        <f aca="false">'Raw Data'!L1202</f>
        <v>2</v>
      </c>
      <c r="L1202" s="6" t="n">
        <f aca="false">F1202*E1202</f>
        <v>0</v>
      </c>
      <c r="N1202" s="0" t="n">
        <v>1</v>
      </c>
      <c r="O1202" s="6" t="n">
        <f aca="false">D1202</f>
        <v>4.396666667</v>
      </c>
      <c r="P1202" s="6" t="n">
        <f aca="false">E1202</f>
        <v>1</v>
      </c>
      <c r="Q1202" s="6" t="n">
        <f aca="false">F1202</f>
        <v>0</v>
      </c>
      <c r="R1202" s="6" t="n">
        <f aca="false">G1202</f>
        <v>0</v>
      </c>
      <c r="S1202" s="6" t="n">
        <f aca="false">H1202</f>
        <v>0</v>
      </c>
      <c r="T1202" s="6" t="n">
        <f aca="false">I1202</f>
        <v>1</v>
      </c>
      <c r="U1202" s="6" t="n">
        <f aca="false">L1202</f>
        <v>0</v>
      </c>
      <c r="W1202" s="6" t="n">
        <f aca="false">D1202</f>
        <v>4.396666667</v>
      </c>
      <c r="X1202" s="6" t="n">
        <f aca="false">E1202</f>
        <v>1</v>
      </c>
      <c r="Y1202" s="6" t="n">
        <f aca="false">F1202</f>
        <v>0</v>
      </c>
      <c r="Z1202" s="6" t="n">
        <f aca="false">L1202</f>
        <v>0</v>
      </c>
      <c r="AA1202" s="6" t="n">
        <f aca="false">G1202</f>
        <v>0</v>
      </c>
      <c r="AC1202" s="6" t="n">
        <f aca="false">D1202</f>
        <v>4.396666667</v>
      </c>
      <c r="AD1202" s="6" t="n">
        <f aca="false">E1202</f>
        <v>1</v>
      </c>
      <c r="AE1202" s="6" t="n">
        <f aca="false">G1202</f>
        <v>0</v>
      </c>
      <c r="AF1202" s="6" t="n">
        <f aca="false">H1202</f>
        <v>0</v>
      </c>
      <c r="AG1202" s="6" t="n">
        <f aca="false">I1202</f>
        <v>1</v>
      </c>
      <c r="AH1202" s="6" t="n">
        <f aca="false">L1202</f>
        <v>0</v>
      </c>
    </row>
    <row r="1203" customFormat="false" ht="15" hidden="false" customHeight="false" outlineLevel="0" collapsed="false">
      <c r="A1203" s="0" t="str">
        <f aca="false">'Raw Data'!C1203</f>
        <v>Fort Apache</v>
      </c>
      <c r="B1203" s="5" t="n">
        <f aca="false">'Raw Data'!A1203</f>
        <v>40316</v>
      </c>
      <c r="C1203" s="6" t="n">
        <f aca="false">'Raw Data'!D1203</f>
        <v>241.462311432864</v>
      </c>
      <c r="D1203" s="6" t="n">
        <f aca="false">'Raw Data'!E1203</f>
        <v>4.153076923</v>
      </c>
      <c r="E1203" s="6" t="n">
        <f aca="false">'Raw Data'!F1203</f>
        <v>1</v>
      </c>
      <c r="F1203" s="6" t="n">
        <f aca="false">'Raw Data'!G1203</f>
        <v>0</v>
      </c>
      <c r="G1203" s="6" t="n">
        <f aca="false">'Raw Data'!H1203</f>
        <v>0</v>
      </c>
      <c r="H1203" s="6" t="n">
        <f aca="false">'Raw Data'!I1203</f>
        <v>0</v>
      </c>
      <c r="I1203" s="6" t="n">
        <f aca="false">'Raw Data'!J1203</f>
        <v>0</v>
      </c>
      <c r="J1203" s="6" t="n">
        <f aca="false">'Raw Data'!K1203</f>
        <v>1</v>
      </c>
      <c r="K1203" s="6" t="n">
        <f aca="false">'Raw Data'!L1203</f>
        <v>2</v>
      </c>
      <c r="L1203" s="6" t="n">
        <f aca="false">F1203*E1203</f>
        <v>0</v>
      </c>
      <c r="N1203" s="0" t="n">
        <v>1</v>
      </c>
      <c r="O1203" s="6" t="n">
        <f aca="false">D1203</f>
        <v>4.153076923</v>
      </c>
      <c r="P1203" s="6" t="n">
        <f aca="false">E1203</f>
        <v>1</v>
      </c>
      <c r="Q1203" s="6" t="n">
        <f aca="false">F1203</f>
        <v>0</v>
      </c>
      <c r="R1203" s="6" t="n">
        <f aca="false">G1203</f>
        <v>0</v>
      </c>
      <c r="S1203" s="6" t="n">
        <f aca="false">H1203</f>
        <v>0</v>
      </c>
      <c r="T1203" s="6" t="n">
        <f aca="false">I1203</f>
        <v>0</v>
      </c>
      <c r="U1203" s="6" t="n">
        <f aca="false">L1203</f>
        <v>0</v>
      </c>
      <c r="W1203" s="6" t="n">
        <f aca="false">D1203</f>
        <v>4.153076923</v>
      </c>
      <c r="X1203" s="6" t="n">
        <f aca="false">E1203</f>
        <v>1</v>
      </c>
      <c r="Y1203" s="6" t="n">
        <f aca="false">F1203</f>
        <v>0</v>
      </c>
      <c r="Z1203" s="6" t="n">
        <f aca="false">L1203</f>
        <v>0</v>
      </c>
      <c r="AA1203" s="6" t="n">
        <f aca="false">G1203</f>
        <v>0</v>
      </c>
      <c r="AC1203" s="6" t="n">
        <f aca="false">D1203</f>
        <v>4.153076923</v>
      </c>
      <c r="AD1203" s="6" t="n">
        <f aca="false">E1203</f>
        <v>1</v>
      </c>
      <c r="AE1203" s="6" t="n">
        <f aca="false">G1203</f>
        <v>0</v>
      </c>
      <c r="AF1203" s="6" t="n">
        <f aca="false">H1203</f>
        <v>0</v>
      </c>
      <c r="AG1203" s="6" t="n">
        <f aca="false">I1203</f>
        <v>0</v>
      </c>
      <c r="AH1203" s="6" t="n">
        <f aca="false">L1203</f>
        <v>0</v>
      </c>
    </row>
    <row r="1204" customFormat="false" ht="15" hidden="false" customHeight="false" outlineLevel="0" collapsed="false">
      <c r="A1204" s="0" t="str">
        <f aca="false">'Raw Data'!C1204</f>
        <v>Fort Apache</v>
      </c>
      <c r="B1204" s="5" t="n">
        <f aca="false">'Raw Data'!A1204</f>
        <v>40323</v>
      </c>
      <c r="C1204" s="6" t="n">
        <f aca="false">'Raw Data'!D1204</f>
        <v>233.11930465913</v>
      </c>
      <c r="D1204" s="6" t="n">
        <f aca="false">'Raw Data'!E1204</f>
        <v>4.1</v>
      </c>
      <c r="E1204" s="6" t="n">
        <f aca="false">'Raw Data'!F1204</f>
        <v>1</v>
      </c>
      <c r="F1204" s="6" t="n">
        <f aca="false">'Raw Data'!G1204</f>
        <v>0</v>
      </c>
      <c r="G1204" s="6" t="n">
        <f aca="false">'Raw Data'!H1204</f>
        <v>0</v>
      </c>
      <c r="H1204" s="6" t="n">
        <f aca="false">'Raw Data'!I1204</f>
        <v>0</v>
      </c>
      <c r="I1204" s="6" t="n">
        <f aca="false">'Raw Data'!J1204</f>
        <v>0</v>
      </c>
      <c r="J1204" s="6" t="n">
        <f aca="false">'Raw Data'!K1204</f>
        <v>1</v>
      </c>
      <c r="K1204" s="6" t="n">
        <f aca="false">'Raw Data'!L1204</f>
        <v>2</v>
      </c>
      <c r="L1204" s="6" t="n">
        <f aca="false">F1204*E1204</f>
        <v>0</v>
      </c>
      <c r="N1204" s="0" t="n">
        <v>1</v>
      </c>
      <c r="O1204" s="6" t="n">
        <f aca="false">D1204</f>
        <v>4.1</v>
      </c>
      <c r="P1204" s="6" t="n">
        <f aca="false">E1204</f>
        <v>1</v>
      </c>
      <c r="Q1204" s="6" t="n">
        <f aca="false">F1204</f>
        <v>0</v>
      </c>
      <c r="R1204" s="6" t="n">
        <f aca="false">G1204</f>
        <v>0</v>
      </c>
      <c r="S1204" s="6" t="n">
        <f aca="false">H1204</f>
        <v>0</v>
      </c>
      <c r="T1204" s="6" t="n">
        <f aca="false">I1204</f>
        <v>0</v>
      </c>
      <c r="U1204" s="6" t="n">
        <f aca="false">L1204</f>
        <v>0</v>
      </c>
      <c r="W1204" s="6" t="n">
        <f aca="false">D1204</f>
        <v>4.1</v>
      </c>
      <c r="X1204" s="6" t="n">
        <f aca="false">E1204</f>
        <v>1</v>
      </c>
      <c r="Y1204" s="6" t="n">
        <f aca="false">F1204</f>
        <v>0</v>
      </c>
      <c r="Z1204" s="6" t="n">
        <f aca="false">L1204</f>
        <v>0</v>
      </c>
      <c r="AA1204" s="6" t="n">
        <f aca="false">G1204</f>
        <v>0</v>
      </c>
      <c r="AC1204" s="6" t="n">
        <f aca="false">D1204</f>
        <v>4.1</v>
      </c>
      <c r="AD1204" s="6" t="n">
        <f aca="false">E1204</f>
        <v>1</v>
      </c>
      <c r="AE1204" s="6" t="n">
        <f aca="false">G1204</f>
        <v>0</v>
      </c>
      <c r="AF1204" s="6" t="n">
        <f aca="false">H1204</f>
        <v>0</v>
      </c>
      <c r="AG1204" s="6" t="n">
        <f aca="false">I1204</f>
        <v>0</v>
      </c>
      <c r="AH1204" s="6" t="n">
        <f aca="false">L1204</f>
        <v>0</v>
      </c>
    </row>
    <row r="1205" customFormat="false" ht="15" hidden="false" customHeight="false" outlineLevel="0" collapsed="false">
      <c r="A1205" s="0" t="str">
        <f aca="false">'Raw Data'!C1205</f>
        <v>Fort Apache</v>
      </c>
      <c r="B1205" s="5" t="n">
        <f aca="false">'Raw Data'!A1205</f>
        <v>40330</v>
      </c>
      <c r="C1205" s="6" t="n">
        <f aca="false">'Raw Data'!D1205</f>
        <v>206.841884966254</v>
      </c>
      <c r="D1205" s="6" t="n">
        <f aca="false">'Raw Data'!E1205</f>
        <v>4.142857143</v>
      </c>
      <c r="E1205" s="6" t="n">
        <f aca="false">'Raw Data'!F1205</f>
        <v>1</v>
      </c>
      <c r="F1205" s="6" t="n">
        <f aca="false">'Raw Data'!G1205</f>
        <v>0</v>
      </c>
      <c r="G1205" s="6" t="n">
        <f aca="false">'Raw Data'!H1205</f>
        <v>0</v>
      </c>
      <c r="H1205" s="6" t="n">
        <f aca="false">'Raw Data'!I1205</f>
        <v>0</v>
      </c>
      <c r="I1205" s="6" t="n">
        <f aca="false">'Raw Data'!J1205</f>
        <v>0</v>
      </c>
      <c r="J1205" s="6" t="n">
        <f aca="false">'Raw Data'!K1205</f>
        <v>1</v>
      </c>
      <c r="K1205" s="6" t="n">
        <f aca="false">'Raw Data'!L1205</f>
        <v>2</v>
      </c>
      <c r="L1205" s="6" t="n">
        <f aca="false">F1205*E1205</f>
        <v>0</v>
      </c>
      <c r="N1205" s="0" t="n">
        <v>1</v>
      </c>
      <c r="O1205" s="6" t="n">
        <f aca="false">D1205</f>
        <v>4.142857143</v>
      </c>
      <c r="P1205" s="6" t="n">
        <f aca="false">E1205</f>
        <v>1</v>
      </c>
      <c r="Q1205" s="6" t="n">
        <f aca="false">F1205</f>
        <v>0</v>
      </c>
      <c r="R1205" s="6" t="n">
        <f aca="false">G1205</f>
        <v>0</v>
      </c>
      <c r="S1205" s="6" t="n">
        <f aca="false">H1205</f>
        <v>0</v>
      </c>
      <c r="T1205" s="6" t="n">
        <f aca="false">I1205</f>
        <v>0</v>
      </c>
      <c r="U1205" s="6" t="n">
        <f aca="false">L1205</f>
        <v>0</v>
      </c>
      <c r="W1205" s="6" t="n">
        <f aca="false">D1205</f>
        <v>4.142857143</v>
      </c>
      <c r="X1205" s="6" t="n">
        <f aca="false">E1205</f>
        <v>1</v>
      </c>
      <c r="Y1205" s="6" t="n">
        <f aca="false">F1205</f>
        <v>0</v>
      </c>
      <c r="Z1205" s="6" t="n">
        <f aca="false">L1205</f>
        <v>0</v>
      </c>
      <c r="AA1205" s="6" t="n">
        <f aca="false">G1205</f>
        <v>0</v>
      </c>
      <c r="AC1205" s="6" t="n">
        <f aca="false">D1205</f>
        <v>4.142857143</v>
      </c>
      <c r="AD1205" s="6" t="n">
        <f aca="false">E1205</f>
        <v>1</v>
      </c>
      <c r="AE1205" s="6" t="n">
        <f aca="false">G1205</f>
        <v>0</v>
      </c>
      <c r="AF1205" s="6" t="n">
        <f aca="false">H1205</f>
        <v>0</v>
      </c>
      <c r="AG1205" s="6" t="n">
        <f aca="false">I1205</f>
        <v>0</v>
      </c>
      <c r="AH1205" s="6" t="n">
        <f aca="false">L1205</f>
        <v>0</v>
      </c>
    </row>
    <row r="1206" customFormat="false" ht="15" hidden="false" customHeight="false" outlineLevel="0" collapsed="false">
      <c r="A1206" s="0" t="str">
        <f aca="false">'Raw Data'!C1206</f>
        <v>Fort Apache</v>
      </c>
      <c r="B1206" s="5" t="n">
        <f aca="false">'Raw Data'!A1206</f>
        <v>40337</v>
      </c>
      <c r="C1206" s="6" t="n">
        <f aca="false">'Raw Data'!D1206</f>
        <v>268.008559541113</v>
      </c>
      <c r="D1206" s="6" t="n">
        <f aca="false">'Raw Data'!E1206</f>
        <v>4.329285714</v>
      </c>
      <c r="E1206" s="6" t="n">
        <f aca="false">'Raw Data'!F1206</f>
        <v>1</v>
      </c>
      <c r="F1206" s="6" t="n">
        <f aca="false">'Raw Data'!G1206</f>
        <v>0</v>
      </c>
      <c r="G1206" s="6" t="n">
        <f aca="false">'Raw Data'!H1206</f>
        <v>0</v>
      </c>
      <c r="H1206" s="6" t="n">
        <f aca="false">'Raw Data'!I1206</f>
        <v>0</v>
      </c>
      <c r="I1206" s="6" t="n">
        <f aca="false">'Raw Data'!J1206</f>
        <v>0</v>
      </c>
      <c r="J1206" s="6" t="n">
        <f aca="false">'Raw Data'!K1206</f>
        <v>1</v>
      </c>
      <c r="K1206" s="6" t="n">
        <f aca="false">'Raw Data'!L1206</f>
        <v>2</v>
      </c>
      <c r="L1206" s="6" t="n">
        <f aca="false">F1206*E1206</f>
        <v>0</v>
      </c>
      <c r="N1206" s="0" t="n">
        <v>1</v>
      </c>
      <c r="O1206" s="6" t="n">
        <f aca="false">D1206</f>
        <v>4.329285714</v>
      </c>
      <c r="P1206" s="6" t="n">
        <f aca="false">E1206</f>
        <v>1</v>
      </c>
      <c r="Q1206" s="6" t="n">
        <f aca="false">F1206</f>
        <v>0</v>
      </c>
      <c r="R1206" s="6" t="n">
        <f aca="false">G1206</f>
        <v>0</v>
      </c>
      <c r="S1206" s="6" t="n">
        <f aca="false">H1206</f>
        <v>0</v>
      </c>
      <c r="T1206" s="6" t="n">
        <f aca="false">I1206</f>
        <v>0</v>
      </c>
      <c r="U1206" s="6" t="n">
        <f aca="false">L1206</f>
        <v>0</v>
      </c>
      <c r="W1206" s="6" t="n">
        <f aca="false">D1206</f>
        <v>4.329285714</v>
      </c>
      <c r="X1206" s="6" t="n">
        <f aca="false">E1206</f>
        <v>1</v>
      </c>
      <c r="Y1206" s="6" t="n">
        <f aca="false">F1206</f>
        <v>0</v>
      </c>
      <c r="Z1206" s="6" t="n">
        <f aca="false">L1206</f>
        <v>0</v>
      </c>
      <c r="AA1206" s="6" t="n">
        <f aca="false">G1206</f>
        <v>0</v>
      </c>
      <c r="AC1206" s="6" t="n">
        <f aca="false">D1206</f>
        <v>4.329285714</v>
      </c>
      <c r="AD1206" s="6" t="n">
        <f aca="false">E1206</f>
        <v>1</v>
      </c>
      <c r="AE1206" s="6" t="n">
        <f aca="false">G1206</f>
        <v>0</v>
      </c>
      <c r="AF1206" s="6" t="n">
        <f aca="false">H1206</f>
        <v>0</v>
      </c>
      <c r="AG1206" s="6" t="n">
        <f aca="false">I1206</f>
        <v>0</v>
      </c>
      <c r="AH1206" s="6" t="n">
        <f aca="false">L1206</f>
        <v>0</v>
      </c>
    </row>
    <row r="1207" customFormat="false" ht="15" hidden="false" customHeight="false" outlineLevel="0" collapsed="false">
      <c r="A1207" s="0" t="str">
        <f aca="false">'Raw Data'!C1207</f>
        <v>Fort Apache</v>
      </c>
      <c r="B1207" s="5" t="n">
        <f aca="false">'Raw Data'!A1207</f>
        <v>40344</v>
      </c>
      <c r="C1207" s="6" t="n">
        <f aca="false">'Raw Data'!D1207</f>
        <v>340.762268105308</v>
      </c>
      <c r="D1207" s="6" t="n">
        <f aca="false">'Raw Data'!E1207</f>
        <v>4.331666667</v>
      </c>
      <c r="E1207" s="6" t="n">
        <f aca="false">'Raw Data'!F1207</f>
        <v>1</v>
      </c>
      <c r="F1207" s="6" t="n">
        <f aca="false">'Raw Data'!G1207</f>
        <v>0</v>
      </c>
      <c r="G1207" s="6" t="n">
        <f aca="false">'Raw Data'!H1207</f>
        <v>0</v>
      </c>
      <c r="H1207" s="6" t="n">
        <f aca="false">'Raw Data'!I1207</f>
        <v>0</v>
      </c>
      <c r="I1207" s="6" t="n">
        <f aca="false">'Raw Data'!J1207</f>
        <v>0</v>
      </c>
      <c r="J1207" s="6" t="n">
        <f aca="false">'Raw Data'!K1207</f>
        <v>1</v>
      </c>
      <c r="K1207" s="6" t="n">
        <f aca="false">'Raw Data'!L1207</f>
        <v>2</v>
      </c>
      <c r="L1207" s="6" t="n">
        <f aca="false">F1207*E1207</f>
        <v>0</v>
      </c>
      <c r="N1207" s="0" t="n">
        <v>1</v>
      </c>
      <c r="O1207" s="6" t="n">
        <f aca="false">D1207</f>
        <v>4.331666667</v>
      </c>
      <c r="P1207" s="6" t="n">
        <f aca="false">E1207</f>
        <v>1</v>
      </c>
      <c r="Q1207" s="6" t="n">
        <f aca="false">F1207</f>
        <v>0</v>
      </c>
      <c r="R1207" s="6" t="n">
        <f aca="false">G1207</f>
        <v>0</v>
      </c>
      <c r="S1207" s="6" t="n">
        <f aca="false">H1207</f>
        <v>0</v>
      </c>
      <c r="T1207" s="6" t="n">
        <f aca="false">I1207</f>
        <v>0</v>
      </c>
      <c r="U1207" s="6" t="n">
        <f aca="false">L1207</f>
        <v>0</v>
      </c>
      <c r="W1207" s="6" t="n">
        <f aca="false">D1207</f>
        <v>4.331666667</v>
      </c>
      <c r="X1207" s="6" t="n">
        <f aca="false">E1207</f>
        <v>1</v>
      </c>
      <c r="Y1207" s="6" t="n">
        <f aca="false">F1207</f>
        <v>0</v>
      </c>
      <c r="Z1207" s="6" t="n">
        <f aca="false">L1207</f>
        <v>0</v>
      </c>
      <c r="AA1207" s="6" t="n">
        <f aca="false">G1207</f>
        <v>0</v>
      </c>
      <c r="AC1207" s="6" t="n">
        <f aca="false">D1207</f>
        <v>4.331666667</v>
      </c>
      <c r="AD1207" s="6" t="n">
        <f aca="false">E1207</f>
        <v>1</v>
      </c>
      <c r="AE1207" s="6" t="n">
        <f aca="false">G1207</f>
        <v>0</v>
      </c>
      <c r="AF1207" s="6" t="n">
        <f aca="false">H1207</f>
        <v>0</v>
      </c>
      <c r="AG1207" s="6" t="n">
        <f aca="false">I1207</f>
        <v>0</v>
      </c>
      <c r="AH1207" s="6" t="n">
        <f aca="false">L1207</f>
        <v>0</v>
      </c>
    </row>
    <row r="1208" customFormat="false" ht="15" hidden="false" customHeight="false" outlineLevel="0" collapsed="false">
      <c r="A1208" s="0" t="str">
        <f aca="false">'Raw Data'!C1208</f>
        <v>Fort Apache</v>
      </c>
      <c r="B1208" s="5" t="n">
        <f aca="false">'Raw Data'!A1208</f>
        <v>40351</v>
      </c>
      <c r="C1208" s="6" t="n">
        <f aca="false">'Raw Data'!D1208</f>
        <v>299.351381567875</v>
      </c>
      <c r="D1208" s="6" t="n">
        <f aca="false">'Raw Data'!E1208</f>
        <v>4.305384615</v>
      </c>
      <c r="E1208" s="6" t="n">
        <f aca="false">'Raw Data'!F1208</f>
        <v>1</v>
      </c>
      <c r="F1208" s="6" t="n">
        <f aca="false">'Raw Data'!G1208</f>
        <v>0</v>
      </c>
      <c r="G1208" s="6" t="n">
        <f aca="false">'Raw Data'!H1208</f>
        <v>0</v>
      </c>
      <c r="H1208" s="6" t="n">
        <f aca="false">'Raw Data'!I1208</f>
        <v>0</v>
      </c>
      <c r="I1208" s="6" t="n">
        <f aca="false">'Raw Data'!J1208</f>
        <v>0</v>
      </c>
      <c r="J1208" s="6" t="n">
        <f aca="false">'Raw Data'!K1208</f>
        <v>1</v>
      </c>
      <c r="K1208" s="6" t="n">
        <f aca="false">'Raw Data'!L1208</f>
        <v>2</v>
      </c>
      <c r="L1208" s="6" t="n">
        <f aca="false">F1208*E1208</f>
        <v>0</v>
      </c>
      <c r="N1208" s="0" t="n">
        <v>1</v>
      </c>
      <c r="O1208" s="6" t="n">
        <f aca="false">D1208</f>
        <v>4.305384615</v>
      </c>
      <c r="P1208" s="6" t="n">
        <f aca="false">E1208</f>
        <v>1</v>
      </c>
      <c r="Q1208" s="6" t="n">
        <f aca="false">F1208</f>
        <v>0</v>
      </c>
      <c r="R1208" s="6" t="n">
        <f aca="false">G1208</f>
        <v>0</v>
      </c>
      <c r="S1208" s="6" t="n">
        <f aca="false">H1208</f>
        <v>0</v>
      </c>
      <c r="T1208" s="6" t="n">
        <f aca="false">I1208</f>
        <v>0</v>
      </c>
      <c r="U1208" s="6" t="n">
        <f aca="false">L1208</f>
        <v>0</v>
      </c>
      <c r="W1208" s="6" t="n">
        <f aca="false">D1208</f>
        <v>4.305384615</v>
      </c>
      <c r="X1208" s="6" t="n">
        <f aca="false">E1208</f>
        <v>1</v>
      </c>
      <c r="Y1208" s="6" t="n">
        <f aca="false">F1208</f>
        <v>0</v>
      </c>
      <c r="Z1208" s="6" t="n">
        <f aca="false">L1208</f>
        <v>0</v>
      </c>
      <c r="AA1208" s="6" t="n">
        <f aca="false">G1208</f>
        <v>0</v>
      </c>
      <c r="AC1208" s="6" t="n">
        <f aca="false">D1208</f>
        <v>4.305384615</v>
      </c>
      <c r="AD1208" s="6" t="n">
        <f aca="false">E1208</f>
        <v>1</v>
      </c>
      <c r="AE1208" s="6" t="n">
        <f aca="false">G1208</f>
        <v>0</v>
      </c>
      <c r="AF1208" s="6" t="n">
        <f aca="false">H1208</f>
        <v>0</v>
      </c>
      <c r="AG1208" s="6" t="n">
        <f aca="false">I1208</f>
        <v>0</v>
      </c>
      <c r="AH1208" s="6" t="n">
        <f aca="false">L1208</f>
        <v>0</v>
      </c>
    </row>
    <row r="1209" customFormat="false" ht="15" hidden="false" customHeight="false" outlineLevel="0" collapsed="false">
      <c r="A1209" s="0" t="str">
        <f aca="false">'Raw Data'!C1209</f>
        <v>Fort Apache</v>
      </c>
      <c r="B1209" s="5" t="n">
        <f aca="false">'Raw Data'!A1209</f>
        <v>40358</v>
      </c>
      <c r="C1209" s="6" t="n">
        <f aca="false">'Raw Data'!D1209</f>
        <v>398.973990221609</v>
      </c>
      <c r="D1209" s="6" t="n">
        <f aca="false">'Raw Data'!E1209</f>
        <v>4.44</v>
      </c>
      <c r="E1209" s="6" t="n">
        <f aca="false">'Raw Data'!F1209</f>
        <v>1</v>
      </c>
      <c r="F1209" s="6" t="n">
        <f aca="false">'Raw Data'!G1209</f>
        <v>0</v>
      </c>
      <c r="G1209" s="6" t="n">
        <f aca="false">'Raw Data'!H1209</f>
        <v>1</v>
      </c>
      <c r="H1209" s="6" t="n">
        <f aca="false">'Raw Data'!I1209</f>
        <v>0</v>
      </c>
      <c r="I1209" s="6" t="n">
        <f aca="false">'Raw Data'!J1209</f>
        <v>0</v>
      </c>
      <c r="J1209" s="6" t="n">
        <f aca="false">'Raw Data'!K1209</f>
        <v>1</v>
      </c>
      <c r="K1209" s="6" t="n">
        <f aca="false">'Raw Data'!L1209</f>
        <v>2</v>
      </c>
      <c r="L1209" s="6" t="n">
        <f aca="false">F1209*E1209</f>
        <v>0</v>
      </c>
      <c r="N1209" s="0" t="n">
        <v>1</v>
      </c>
      <c r="O1209" s="6" t="n">
        <f aca="false">D1209</f>
        <v>4.44</v>
      </c>
      <c r="P1209" s="6" t="n">
        <f aca="false">E1209</f>
        <v>1</v>
      </c>
      <c r="Q1209" s="6" t="n">
        <f aca="false">F1209</f>
        <v>0</v>
      </c>
      <c r="R1209" s="6" t="n">
        <f aca="false">G1209</f>
        <v>1</v>
      </c>
      <c r="S1209" s="6" t="n">
        <f aca="false">H1209</f>
        <v>0</v>
      </c>
      <c r="T1209" s="6" t="n">
        <f aca="false">I1209</f>
        <v>0</v>
      </c>
      <c r="U1209" s="6" t="n">
        <f aca="false">L1209</f>
        <v>0</v>
      </c>
      <c r="W1209" s="6" t="n">
        <f aca="false">D1209</f>
        <v>4.44</v>
      </c>
      <c r="X1209" s="6" t="n">
        <f aca="false">E1209</f>
        <v>1</v>
      </c>
      <c r="Y1209" s="6" t="n">
        <f aca="false">F1209</f>
        <v>0</v>
      </c>
      <c r="Z1209" s="6" t="n">
        <f aca="false">L1209</f>
        <v>0</v>
      </c>
      <c r="AA1209" s="6" t="n">
        <f aca="false">G1209</f>
        <v>1</v>
      </c>
      <c r="AC1209" s="6" t="n">
        <f aca="false">D1209</f>
        <v>4.44</v>
      </c>
      <c r="AD1209" s="6" t="n">
        <f aca="false">E1209</f>
        <v>1</v>
      </c>
      <c r="AE1209" s="6" t="n">
        <f aca="false">G1209</f>
        <v>1</v>
      </c>
      <c r="AF1209" s="6" t="n">
        <f aca="false">H1209</f>
        <v>0</v>
      </c>
      <c r="AG1209" s="6" t="n">
        <f aca="false">I1209</f>
        <v>0</v>
      </c>
      <c r="AH1209" s="6" t="n">
        <f aca="false">L1209</f>
        <v>0</v>
      </c>
    </row>
    <row r="1210" customFormat="false" ht="15" hidden="false" customHeight="false" outlineLevel="0" collapsed="false">
      <c r="A1210" s="0" t="str">
        <f aca="false">'Raw Data'!C1210</f>
        <v>Fort Apache</v>
      </c>
      <c r="B1210" s="5" t="n">
        <f aca="false">'Raw Data'!A1210</f>
        <v>40365</v>
      </c>
      <c r="C1210" s="6" t="n">
        <f aca="false">'Raw Data'!D1210</f>
        <v>317.90317570909</v>
      </c>
      <c r="D1210" s="6" t="n">
        <f aca="false">'Raw Data'!E1210</f>
        <v>3.88</v>
      </c>
      <c r="E1210" s="6" t="n">
        <f aca="false">'Raw Data'!F1210</f>
        <v>1</v>
      </c>
      <c r="F1210" s="6" t="n">
        <f aca="false">'Raw Data'!G1210</f>
        <v>0</v>
      </c>
      <c r="G1210" s="6" t="n">
        <f aca="false">'Raw Data'!H1210</f>
        <v>0</v>
      </c>
      <c r="H1210" s="6" t="n">
        <f aca="false">'Raw Data'!I1210</f>
        <v>1</v>
      </c>
      <c r="I1210" s="6" t="n">
        <f aca="false">'Raw Data'!J1210</f>
        <v>0</v>
      </c>
      <c r="J1210" s="6" t="n">
        <f aca="false">'Raw Data'!K1210</f>
        <v>1</v>
      </c>
      <c r="K1210" s="6" t="n">
        <f aca="false">'Raw Data'!L1210</f>
        <v>2</v>
      </c>
      <c r="L1210" s="6" t="n">
        <f aca="false">F1210*E1210</f>
        <v>0</v>
      </c>
      <c r="N1210" s="0" t="n">
        <v>1</v>
      </c>
      <c r="O1210" s="6" t="n">
        <f aca="false">D1210</f>
        <v>3.88</v>
      </c>
      <c r="P1210" s="6" t="n">
        <f aca="false">E1210</f>
        <v>1</v>
      </c>
      <c r="Q1210" s="6" t="n">
        <f aca="false">F1210</f>
        <v>0</v>
      </c>
      <c r="R1210" s="6" t="n">
        <f aca="false">G1210</f>
        <v>0</v>
      </c>
      <c r="S1210" s="6" t="n">
        <f aca="false">H1210</f>
        <v>1</v>
      </c>
      <c r="T1210" s="6" t="n">
        <f aca="false">I1210</f>
        <v>0</v>
      </c>
      <c r="U1210" s="6" t="n">
        <f aca="false">L1210</f>
        <v>0</v>
      </c>
      <c r="W1210" s="6" t="n">
        <f aca="false">D1210</f>
        <v>3.88</v>
      </c>
      <c r="X1210" s="6" t="n">
        <f aca="false">E1210</f>
        <v>1</v>
      </c>
      <c r="Y1210" s="6" t="n">
        <f aca="false">F1210</f>
        <v>0</v>
      </c>
      <c r="Z1210" s="6" t="n">
        <f aca="false">L1210</f>
        <v>0</v>
      </c>
      <c r="AA1210" s="6" t="n">
        <f aca="false">G1210</f>
        <v>0</v>
      </c>
      <c r="AC1210" s="6" t="n">
        <f aca="false">D1210</f>
        <v>3.88</v>
      </c>
      <c r="AD1210" s="6" t="n">
        <f aca="false">E1210</f>
        <v>1</v>
      </c>
      <c r="AE1210" s="6" t="n">
        <f aca="false">G1210</f>
        <v>0</v>
      </c>
      <c r="AF1210" s="6" t="n">
        <f aca="false">H1210</f>
        <v>1</v>
      </c>
      <c r="AG1210" s="6" t="n">
        <f aca="false">I1210</f>
        <v>0</v>
      </c>
      <c r="AH1210" s="6" t="n">
        <f aca="false">L1210</f>
        <v>0</v>
      </c>
    </row>
    <row r="1211" customFormat="false" ht="15" hidden="false" customHeight="false" outlineLevel="0" collapsed="false">
      <c r="A1211" s="0" t="str">
        <f aca="false">'Raw Data'!C1211</f>
        <v>Fort Apache</v>
      </c>
      <c r="B1211" s="5" t="n">
        <f aca="false">'Raw Data'!A1211</f>
        <v>40372</v>
      </c>
      <c r="C1211" s="6" t="n">
        <f aca="false">'Raw Data'!D1211</f>
        <v>343.421042108361</v>
      </c>
      <c r="D1211" s="6" t="n">
        <f aca="false">'Raw Data'!E1211</f>
        <v>3.846153846</v>
      </c>
      <c r="E1211" s="6" t="n">
        <f aca="false">'Raw Data'!F1211</f>
        <v>1</v>
      </c>
      <c r="F1211" s="6" t="n">
        <f aca="false">'Raw Data'!G1211</f>
        <v>0</v>
      </c>
      <c r="G1211" s="6" t="n">
        <f aca="false">'Raw Data'!H1211</f>
        <v>0</v>
      </c>
      <c r="H1211" s="6" t="n">
        <f aca="false">'Raw Data'!I1211</f>
        <v>1</v>
      </c>
      <c r="I1211" s="6" t="n">
        <f aca="false">'Raw Data'!J1211</f>
        <v>0</v>
      </c>
      <c r="J1211" s="6" t="n">
        <f aca="false">'Raw Data'!K1211</f>
        <v>1</v>
      </c>
      <c r="K1211" s="6" t="n">
        <f aca="false">'Raw Data'!L1211</f>
        <v>2</v>
      </c>
      <c r="L1211" s="6" t="n">
        <f aca="false">F1211*E1211</f>
        <v>0</v>
      </c>
      <c r="N1211" s="0" t="n">
        <v>1</v>
      </c>
      <c r="O1211" s="6" t="n">
        <f aca="false">D1211</f>
        <v>3.846153846</v>
      </c>
      <c r="P1211" s="6" t="n">
        <f aca="false">E1211</f>
        <v>1</v>
      </c>
      <c r="Q1211" s="6" t="n">
        <f aca="false">F1211</f>
        <v>0</v>
      </c>
      <c r="R1211" s="6" t="n">
        <f aca="false">G1211</f>
        <v>0</v>
      </c>
      <c r="S1211" s="6" t="n">
        <f aca="false">H1211</f>
        <v>1</v>
      </c>
      <c r="T1211" s="6" t="n">
        <f aca="false">I1211</f>
        <v>0</v>
      </c>
      <c r="U1211" s="6" t="n">
        <f aca="false">L1211</f>
        <v>0</v>
      </c>
      <c r="W1211" s="6" t="n">
        <f aca="false">D1211</f>
        <v>3.846153846</v>
      </c>
      <c r="X1211" s="6" t="n">
        <f aca="false">E1211</f>
        <v>1</v>
      </c>
      <c r="Y1211" s="6" t="n">
        <f aca="false">F1211</f>
        <v>0</v>
      </c>
      <c r="Z1211" s="6" t="n">
        <f aca="false">L1211</f>
        <v>0</v>
      </c>
      <c r="AA1211" s="6" t="n">
        <f aca="false">G1211</f>
        <v>0</v>
      </c>
      <c r="AC1211" s="6" t="n">
        <f aca="false">D1211</f>
        <v>3.846153846</v>
      </c>
      <c r="AD1211" s="6" t="n">
        <f aca="false">E1211</f>
        <v>1</v>
      </c>
      <c r="AE1211" s="6" t="n">
        <f aca="false">G1211</f>
        <v>0</v>
      </c>
      <c r="AF1211" s="6" t="n">
        <f aca="false">H1211</f>
        <v>1</v>
      </c>
      <c r="AG1211" s="6" t="n">
        <f aca="false">I1211</f>
        <v>0</v>
      </c>
      <c r="AH1211" s="6" t="n">
        <f aca="false">L1211</f>
        <v>0</v>
      </c>
    </row>
    <row r="1212" customFormat="false" ht="15" hidden="false" customHeight="false" outlineLevel="0" collapsed="false">
      <c r="A1212" s="0" t="str">
        <f aca="false">'Raw Data'!C1212</f>
        <v>Glendale</v>
      </c>
      <c r="B1212" s="5" t="n">
        <f aca="false">'Raw Data'!A1212</f>
        <v>40302</v>
      </c>
      <c r="C1212" s="6" t="n">
        <f aca="false">'Raw Data'!D1212</f>
        <v>280.803612613473</v>
      </c>
      <c r="D1212" s="6" t="n">
        <f aca="false">'Raw Data'!E1212</f>
        <v>5.066923077</v>
      </c>
      <c r="E1212" s="6" t="n">
        <f aca="false">'Raw Data'!F1212</f>
        <v>1</v>
      </c>
      <c r="F1212" s="6" t="n">
        <f aca="false">'Raw Data'!G1212</f>
        <v>0</v>
      </c>
      <c r="G1212" s="6" t="n">
        <f aca="false">'Raw Data'!H1212</f>
        <v>0</v>
      </c>
      <c r="H1212" s="6" t="n">
        <f aca="false">'Raw Data'!I1212</f>
        <v>0</v>
      </c>
      <c r="I1212" s="6" t="n">
        <f aca="false">'Raw Data'!J1212</f>
        <v>1</v>
      </c>
      <c r="J1212" s="6" t="n">
        <f aca="false">'Raw Data'!K1212</f>
        <v>2</v>
      </c>
      <c r="K1212" s="6" t="n">
        <f aca="false">'Raw Data'!L1212</f>
        <v>5</v>
      </c>
      <c r="L1212" s="6" t="n">
        <f aca="false">F1212*E1212</f>
        <v>0</v>
      </c>
      <c r="N1212" s="0" t="n">
        <v>1</v>
      </c>
      <c r="O1212" s="6" t="n">
        <f aca="false">D1212</f>
        <v>5.066923077</v>
      </c>
      <c r="P1212" s="6" t="n">
        <f aca="false">E1212</f>
        <v>1</v>
      </c>
      <c r="Q1212" s="6" t="n">
        <f aca="false">F1212</f>
        <v>0</v>
      </c>
      <c r="R1212" s="6" t="n">
        <f aca="false">G1212</f>
        <v>0</v>
      </c>
      <c r="S1212" s="6" t="n">
        <f aca="false">H1212</f>
        <v>0</v>
      </c>
      <c r="T1212" s="6" t="n">
        <f aca="false">I1212</f>
        <v>1</v>
      </c>
      <c r="U1212" s="6" t="n">
        <f aca="false">L1212</f>
        <v>0</v>
      </c>
      <c r="W1212" s="6" t="n">
        <f aca="false">D1212</f>
        <v>5.066923077</v>
      </c>
      <c r="X1212" s="6" t="n">
        <f aca="false">E1212</f>
        <v>1</v>
      </c>
      <c r="Y1212" s="6" t="n">
        <f aca="false">F1212</f>
        <v>0</v>
      </c>
      <c r="Z1212" s="6" t="n">
        <f aca="false">L1212</f>
        <v>0</v>
      </c>
      <c r="AA1212" s="6" t="n">
        <f aca="false">G1212</f>
        <v>0</v>
      </c>
      <c r="AC1212" s="6" t="n">
        <f aca="false">D1212</f>
        <v>5.066923077</v>
      </c>
      <c r="AD1212" s="6" t="n">
        <f aca="false">E1212</f>
        <v>1</v>
      </c>
      <c r="AE1212" s="6" t="n">
        <f aca="false">G1212</f>
        <v>0</v>
      </c>
      <c r="AF1212" s="6" t="n">
        <f aca="false">H1212</f>
        <v>0</v>
      </c>
      <c r="AG1212" s="6" t="n">
        <f aca="false">I1212</f>
        <v>1</v>
      </c>
      <c r="AH1212" s="6" t="n">
        <f aca="false">L1212</f>
        <v>0</v>
      </c>
    </row>
    <row r="1213" customFormat="false" ht="15" hidden="false" customHeight="false" outlineLevel="0" collapsed="false">
      <c r="A1213" s="0" t="str">
        <f aca="false">'Raw Data'!C1213</f>
        <v>Glendale</v>
      </c>
      <c r="B1213" s="5" t="n">
        <f aca="false">'Raw Data'!A1213</f>
        <v>40309</v>
      </c>
      <c r="C1213" s="6" t="n">
        <f aca="false">'Raw Data'!D1213</f>
        <v>335.641355564361</v>
      </c>
      <c r="D1213" s="6" t="n">
        <f aca="false">'Raw Data'!E1213</f>
        <v>4.62125</v>
      </c>
      <c r="E1213" s="6" t="n">
        <f aca="false">'Raw Data'!F1213</f>
        <v>1</v>
      </c>
      <c r="F1213" s="6" t="n">
        <f aca="false">'Raw Data'!G1213</f>
        <v>0</v>
      </c>
      <c r="G1213" s="6" t="n">
        <f aca="false">'Raw Data'!H1213</f>
        <v>0</v>
      </c>
      <c r="H1213" s="6" t="n">
        <f aca="false">'Raw Data'!I1213</f>
        <v>0</v>
      </c>
      <c r="I1213" s="6" t="n">
        <f aca="false">'Raw Data'!J1213</f>
        <v>1</v>
      </c>
      <c r="J1213" s="6" t="n">
        <f aca="false">'Raw Data'!K1213</f>
        <v>2</v>
      </c>
      <c r="K1213" s="6" t="n">
        <f aca="false">'Raw Data'!L1213</f>
        <v>5</v>
      </c>
      <c r="L1213" s="6" t="n">
        <f aca="false">F1213*E1213</f>
        <v>0</v>
      </c>
      <c r="N1213" s="0" t="n">
        <v>1</v>
      </c>
      <c r="O1213" s="6" t="n">
        <f aca="false">D1213</f>
        <v>4.62125</v>
      </c>
      <c r="P1213" s="6" t="n">
        <f aca="false">E1213</f>
        <v>1</v>
      </c>
      <c r="Q1213" s="6" t="n">
        <f aca="false">F1213</f>
        <v>0</v>
      </c>
      <c r="R1213" s="6" t="n">
        <f aca="false">G1213</f>
        <v>0</v>
      </c>
      <c r="S1213" s="6" t="n">
        <f aca="false">H1213</f>
        <v>0</v>
      </c>
      <c r="T1213" s="6" t="n">
        <f aca="false">I1213</f>
        <v>1</v>
      </c>
      <c r="U1213" s="6" t="n">
        <f aca="false">L1213</f>
        <v>0</v>
      </c>
      <c r="W1213" s="6" t="n">
        <f aca="false">D1213</f>
        <v>4.62125</v>
      </c>
      <c r="X1213" s="6" t="n">
        <f aca="false">E1213</f>
        <v>1</v>
      </c>
      <c r="Y1213" s="6" t="n">
        <f aca="false">F1213</f>
        <v>0</v>
      </c>
      <c r="Z1213" s="6" t="n">
        <f aca="false">L1213</f>
        <v>0</v>
      </c>
      <c r="AA1213" s="6" t="n">
        <f aca="false">G1213</f>
        <v>0</v>
      </c>
      <c r="AC1213" s="6" t="n">
        <f aca="false">D1213</f>
        <v>4.62125</v>
      </c>
      <c r="AD1213" s="6" t="n">
        <f aca="false">E1213</f>
        <v>1</v>
      </c>
      <c r="AE1213" s="6" t="n">
        <f aca="false">G1213</f>
        <v>0</v>
      </c>
      <c r="AF1213" s="6" t="n">
        <f aca="false">H1213</f>
        <v>0</v>
      </c>
      <c r="AG1213" s="6" t="n">
        <f aca="false">I1213</f>
        <v>1</v>
      </c>
      <c r="AH1213" s="6" t="n">
        <f aca="false">L1213</f>
        <v>0</v>
      </c>
    </row>
    <row r="1214" customFormat="false" ht="15" hidden="false" customHeight="false" outlineLevel="0" collapsed="false">
      <c r="A1214" s="0" t="str">
        <f aca="false">'Raw Data'!C1214</f>
        <v>Glendale</v>
      </c>
      <c r="B1214" s="5" t="n">
        <f aca="false">'Raw Data'!A1214</f>
        <v>40316</v>
      </c>
      <c r="C1214" s="6" t="n">
        <f aca="false">'Raw Data'!D1214</f>
        <v>253.821108815621</v>
      </c>
      <c r="D1214" s="6" t="n">
        <f aca="false">'Raw Data'!E1214</f>
        <v>4.130666667</v>
      </c>
      <c r="E1214" s="6" t="n">
        <f aca="false">'Raw Data'!F1214</f>
        <v>1</v>
      </c>
      <c r="F1214" s="6" t="n">
        <f aca="false">'Raw Data'!G1214</f>
        <v>0</v>
      </c>
      <c r="G1214" s="6" t="n">
        <f aca="false">'Raw Data'!H1214</f>
        <v>0</v>
      </c>
      <c r="H1214" s="6" t="n">
        <f aca="false">'Raw Data'!I1214</f>
        <v>0</v>
      </c>
      <c r="I1214" s="6" t="n">
        <f aca="false">'Raw Data'!J1214</f>
        <v>0</v>
      </c>
      <c r="J1214" s="6" t="n">
        <f aca="false">'Raw Data'!K1214</f>
        <v>2</v>
      </c>
      <c r="K1214" s="6" t="n">
        <f aca="false">'Raw Data'!L1214</f>
        <v>5</v>
      </c>
      <c r="L1214" s="6" t="n">
        <f aca="false">F1214*E1214</f>
        <v>0</v>
      </c>
      <c r="N1214" s="0" t="n">
        <v>1</v>
      </c>
      <c r="O1214" s="6" t="n">
        <f aca="false">D1214</f>
        <v>4.130666667</v>
      </c>
      <c r="P1214" s="6" t="n">
        <f aca="false">E1214</f>
        <v>1</v>
      </c>
      <c r="Q1214" s="6" t="n">
        <f aca="false">F1214</f>
        <v>0</v>
      </c>
      <c r="R1214" s="6" t="n">
        <f aca="false">G1214</f>
        <v>0</v>
      </c>
      <c r="S1214" s="6" t="n">
        <f aca="false">H1214</f>
        <v>0</v>
      </c>
      <c r="T1214" s="6" t="n">
        <f aca="false">I1214</f>
        <v>0</v>
      </c>
      <c r="U1214" s="6" t="n">
        <f aca="false">L1214</f>
        <v>0</v>
      </c>
      <c r="W1214" s="6" t="n">
        <f aca="false">D1214</f>
        <v>4.130666667</v>
      </c>
      <c r="X1214" s="6" t="n">
        <f aca="false">E1214</f>
        <v>1</v>
      </c>
      <c r="Y1214" s="6" t="n">
        <f aca="false">F1214</f>
        <v>0</v>
      </c>
      <c r="Z1214" s="6" t="n">
        <f aca="false">L1214</f>
        <v>0</v>
      </c>
      <c r="AA1214" s="6" t="n">
        <f aca="false">G1214</f>
        <v>0</v>
      </c>
      <c r="AC1214" s="6" t="n">
        <f aca="false">D1214</f>
        <v>4.130666667</v>
      </c>
      <c r="AD1214" s="6" t="n">
        <f aca="false">E1214</f>
        <v>1</v>
      </c>
      <c r="AE1214" s="6" t="n">
        <f aca="false">G1214</f>
        <v>0</v>
      </c>
      <c r="AF1214" s="6" t="n">
        <f aca="false">H1214</f>
        <v>0</v>
      </c>
      <c r="AG1214" s="6" t="n">
        <f aca="false">I1214</f>
        <v>0</v>
      </c>
      <c r="AH1214" s="6" t="n">
        <f aca="false">L1214</f>
        <v>0</v>
      </c>
    </row>
    <row r="1215" customFormat="false" ht="15" hidden="false" customHeight="false" outlineLevel="0" collapsed="false">
      <c r="A1215" s="0" t="str">
        <f aca="false">'Raw Data'!C1215</f>
        <v>Glendale</v>
      </c>
      <c r="B1215" s="5" t="n">
        <f aca="false">'Raw Data'!A1215</f>
        <v>40323</v>
      </c>
      <c r="C1215" s="6" t="n">
        <f aca="false">'Raw Data'!D1215</f>
        <v>295.806982574553</v>
      </c>
      <c r="D1215" s="6" t="n">
        <f aca="false">'Raw Data'!E1215</f>
        <v>4.1</v>
      </c>
      <c r="E1215" s="6" t="n">
        <f aca="false">'Raw Data'!F1215</f>
        <v>1</v>
      </c>
      <c r="F1215" s="6" t="n">
        <f aca="false">'Raw Data'!G1215</f>
        <v>0</v>
      </c>
      <c r="G1215" s="6" t="n">
        <f aca="false">'Raw Data'!H1215</f>
        <v>0</v>
      </c>
      <c r="H1215" s="6" t="n">
        <f aca="false">'Raw Data'!I1215</f>
        <v>0</v>
      </c>
      <c r="I1215" s="6" t="n">
        <f aca="false">'Raw Data'!J1215</f>
        <v>0</v>
      </c>
      <c r="J1215" s="6" t="n">
        <f aca="false">'Raw Data'!K1215</f>
        <v>2</v>
      </c>
      <c r="K1215" s="6" t="n">
        <f aca="false">'Raw Data'!L1215</f>
        <v>5</v>
      </c>
      <c r="L1215" s="6" t="n">
        <f aca="false">F1215*E1215</f>
        <v>0</v>
      </c>
      <c r="N1215" s="0" t="n">
        <v>1</v>
      </c>
      <c r="O1215" s="6" t="n">
        <f aca="false">D1215</f>
        <v>4.1</v>
      </c>
      <c r="P1215" s="6" t="n">
        <f aca="false">E1215</f>
        <v>1</v>
      </c>
      <c r="Q1215" s="6" t="n">
        <f aca="false">F1215</f>
        <v>0</v>
      </c>
      <c r="R1215" s="6" t="n">
        <f aca="false">G1215</f>
        <v>0</v>
      </c>
      <c r="S1215" s="6" t="n">
        <f aca="false">H1215</f>
        <v>0</v>
      </c>
      <c r="T1215" s="6" t="n">
        <f aca="false">I1215</f>
        <v>0</v>
      </c>
      <c r="U1215" s="6" t="n">
        <f aca="false">L1215</f>
        <v>0</v>
      </c>
      <c r="W1215" s="6" t="n">
        <f aca="false">D1215</f>
        <v>4.1</v>
      </c>
      <c r="X1215" s="6" t="n">
        <f aca="false">E1215</f>
        <v>1</v>
      </c>
      <c r="Y1215" s="6" t="n">
        <f aca="false">F1215</f>
        <v>0</v>
      </c>
      <c r="Z1215" s="6" t="n">
        <f aca="false">L1215</f>
        <v>0</v>
      </c>
      <c r="AA1215" s="6" t="n">
        <f aca="false">G1215</f>
        <v>0</v>
      </c>
      <c r="AC1215" s="6" t="n">
        <f aca="false">D1215</f>
        <v>4.1</v>
      </c>
      <c r="AD1215" s="6" t="n">
        <f aca="false">E1215</f>
        <v>1</v>
      </c>
      <c r="AE1215" s="6" t="n">
        <f aca="false">G1215</f>
        <v>0</v>
      </c>
      <c r="AF1215" s="6" t="n">
        <f aca="false">H1215</f>
        <v>0</v>
      </c>
      <c r="AG1215" s="6" t="n">
        <f aca="false">I1215</f>
        <v>0</v>
      </c>
      <c r="AH1215" s="6" t="n">
        <f aca="false">L1215</f>
        <v>0</v>
      </c>
    </row>
    <row r="1216" customFormat="false" ht="15" hidden="false" customHeight="false" outlineLevel="0" collapsed="false">
      <c r="A1216" s="0" t="str">
        <f aca="false">'Raw Data'!C1216</f>
        <v>Glendale</v>
      </c>
      <c r="B1216" s="5" t="n">
        <f aca="false">'Raw Data'!A1216</f>
        <v>40330</v>
      </c>
      <c r="C1216" s="6" t="n">
        <f aca="false">'Raw Data'!D1216</f>
        <v>252.159757537827</v>
      </c>
      <c r="D1216" s="6" t="n">
        <f aca="false">'Raw Data'!E1216</f>
        <v>4.142857143</v>
      </c>
      <c r="E1216" s="6" t="n">
        <f aca="false">'Raw Data'!F1216</f>
        <v>1</v>
      </c>
      <c r="F1216" s="6" t="n">
        <f aca="false">'Raw Data'!G1216</f>
        <v>0</v>
      </c>
      <c r="G1216" s="6" t="n">
        <f aca="false">'Raw Data'!H1216</f>
        <v>0</v>
      </c>
      <c r="H1216" s="6" t="n">
        <f aca="false">'Raw Data'!I1216</f>
        <v>0</v>
      </c>
      <c r="I1216" s="6" t="n">
        <f aca="false">'Raw Data'!J1216</f>
        <v>0</v>
      </c>
      <c r="J1216" s="6" t="n">
        <f aca="false">'Raw Data'!K1216</f>
        <v>2</v>
      </c>
      <c r="K1216" s="6" t="n">
        <f aca="false">'Raw Data'!L1216</f>
        <v>5</v>
      </c>
      <c r="L1216" s="6" t="n">
        <f aca="false">F1216*E1216</f>
        <v>0</v>
      </c>
      <c r="N1216" s="0" t="n">
        <v>1</v>
      </c>
      <c r="O1216" s="6" t="n">
        <f aca="false">D1216</f>
        <v>4.142857143</v>
      </c>
      <c r="P1216" s="6" t="n">
        <f aca="false">E1216</f>
        <v>1</v>
      </c>
      <c r="Q1216" s="6" t="n">
        <f aca="false">F1216</f>
        <v>0</v>
      </c>
      <c r="R1216" s="6" t="n">
        <f aca="false">G1216</f>
        <v>0</v>
      </c>
      <c r="S1216" s="6" t="n">
        <f aca="false">H1216</f>
        <v>0</v>
      </c>
      <c r="T1216" s="6" t="n">
        <f aca="false">I1216</f>
        <v>0</v>
      </c>
      <c r="U1216" s="6" t="n">
        <f aca="false">L1216</f>
        <v>0</v>
      </c>
      <c r="W1216" s="6" t="n">
        <f aca="false">D1216</f>
        <v>4.142857143</v>
      </c>
      <c r="X1216" s="6" t="n">
        <f aca="false">E1216</f>
        <v>1</v>
      </c>
      <c r="Y1216" s="6" t="n">
        <f aca="false">F1216</f>
        <v>0</v>
      </c>
      <c r="Z1216" s="6" t="n">
        <f aca="false">L1216</f>
        <v>0</v>
      </c>
      <c r="AA1216" s="6" t="n">
        <f aca="false">G1216</f>
        <v>0</v>
      </c>
      <c r="AC1216" s="6" t="n">
        <f aca="false">D1216</f>
        <v>4.142857143</v>
      </c>
      <c r="AD1216" s="6" t="n">
        <f aca="false">E1216</f>
        <v>1</v>
      </c>
      <c r="AE1216" s="6" t="n">
        <f aca="false">G1216</f>
        <v>0</v>
      </c>
      <c r="AF1216" s="6" t="n">
        <f aca="false">H1216</f>
        <v>0</v>
      </c>
      <c r="AG1216" s="6" t="n">
        <f aca="false">I1216</f>
        <v>0</v>
      </c>
      <c r="AH1216" s="6" t="n">
        <f aca="false">L1216</f>
        <v>0</v>
      </c>
    </row>
    <row r="1217" customFormat="false" ht="15" hidden="false" customHeight="false" outlineLevel="0" collapsed="false">
      <c r="A1217" s="0" t="str">
        <f aca="false">'Raw Data'!C1217</f>
        <v>Glendale</v>
      </c>
      <c r="B1217" s="5" t="n">
        <f aca="false">'Raw Data'!A1217</f>
        <v>40337</v>
      </c>
      <c r="C1217" s="6" t="n">
        <f aca="false">'Raw Data'!D1217</f>
        <v>184.0866570524</v>
      </c>
      <c r="D1217" s="6" t="n">
        <f aca="false">'Raw Data'!E1217</f>
        <v>4.314666667</v>
      </c>
      <c r="E1217" s="6" t="n">
        <f aca="false">'Raw Data'!F1217</f>
        <v>1</v>
      </c>
      <c r="F1217" s="6" t="n">
        <f aca="false">'Raw Data'!G1217</f>
        <v>0</v>
      </c>
      <c r="G1217" s="6" t="n">
        <f aca="false">'Raw Data'!H1217</f>
        <v>0</v>
      </c>
      <c r="H1217" s="6" t="n">
        <f aca="false">'Raw Data'!I1217</f>
        <v>0</v>
      </c>
      <c r="I1217" s="6" t="n">
        <f aca="false">'Raw Data'!J1217</f>
        <v>0</v>
      </c>
      <c r="J1217" s="6" t="n">
        <f aca="false">'Raw Data'!K1217</f>
        <v>2</v>
      </c>
      <c r="K1217" s="6" t="n">
        <f aca="false">'Raw Data'!L1217</f>
        <v>5</v>
      </c>
      <c r="L1217" s="6" t="n">
        <f aca="false">F1217*E1217</f>
        <v>0</v>
      </c>
      <c r="N1217" s="0" t="n">
        <v>1</v>
      </c>
      <c r="O1217" s="6" t="n">
        <f aca="false">D1217</f>
        <v>4.314666667</v>
      </c>
      <c r="P1217" s="6" t="n">
        <f aca="false">E1217</f>
        <v>1</v>
      </c>
      <c r="Q1217" s="6" t="n">
        <f aca="false">F1217</f>
        <v>0</v>
      </c>
      <c r="R1217" s="6" t="n">
        <f aca="false">G1217</f>
        <v>0</v>
      </c>
      <c r="S1217" s="6" t="n">
        <f aca="false">H1217</f>
        <v>0</v>
      </c>
      <c r="T1217" s="6" t="n">
        <f aca="false">I1217</f>
        <v>0</v>
      </c>
      <c r="U1217" s="6" t="n">
        <f aca="false">L1217</f>
        <v>0</v>
      </c>
      <c r="W1217" s="6" t="n">
        <f aca="false">D1217</f>
        <v>4.314666667</v>
      </c>
      <c r="X1217" s="6" t="n">
        <f aca="false">E1217</f>
        <v>1</v>
      </c>
      <c r="Y1217" s="6" t="n">
        <f aca="false">F1217</f>
        <v>0</v>
      </c>
      <c r="Z1217" s="6" t="n">
        <f aca="false">L1217</f>
        <v>0</v>
      </c>
      <c r="AA1217" s="6" t="n">
        <f aca="false">G1217</f>
        <v>0</v>
      </c>
      <c r="AC1217" s="6" t="n">
        <f aca="false">D1217</f>
        <v>4.314666667</v>
      </c>
      <c r="AD1217" s="6" t="n">
        <f aca="false">E1217</f>
        <v>1</v>
      </c>
      <c r="AE1217" s="6" t="n">
        <f aca="false">G1217</f>
        <v>0</v>
      </c>
      <c r="AF1217" s="6" t="n">
        <f aca="false">H1217</f>
        <v>0</v>
      </c>
      <c r="AG1217" s="6" t="n">
        <f aca="false">I1217</f>
        <v>0</v>
      </c>
      <c r="AH1217" s="6" t="n">
        <f aca="false">L1217</f>
        <v>0</v>
      </c>
    </row>
    <row r="1218" customFormat="false" ht="15" hidden="false" customHeight="false" outlineLevel="0" collapsed="false">
      <c r="A1218" s="0" t="str">
        <f aca="false">'Raw Data'!C1218</f>
        <v>Glendale</v>
      </c>
      <c r="B1218" s="5" t="n">
        <f aca="false">'Raw Data'!A1218</f>
        <v>40344</v>
      </c>
      <c r="C1218" s="6" t="n">
        <f aca="false">'Raw Data'!D1218</f>
        <v>328.610829300981</v>
      </c>
      <c r="D1218" s="6" t="n">
        <f aca="false">'Raw Data'!E1218</f>
        <v>4.396666667</v>
      </c>
      <c r="E1218" s="6" t="n">
        <f aca="false">'Raw Data'!F1218</f>
        <v>1</v>
      </c>
      <c r="F1218" s="6" t="n">
        <f aca="false">'Raw Data'!G1218</f>
        <v>0</v>
      </c>
      <c r="G1218" s="6" t="n">
        <f aca="false">'Raw Data'!H1218</f>
        <v>0</v>
      </c>
      <c r="H1218" s="6" t="n">
        <f aca="false">'Raw Data'!I1218</f>
        <v>0</v>
      </c>
      <c r="I1218" s="6" t="n">
        <f aca="false">'Raw Data'!J1218</f>
        <v>0</v>
      </c>
      <c r="J1218" s="6" t="n">
        <f aca="false">'Raw Data'!K1218</f>
        <v>2</v>
      </c>
      <c r="K1218" s="6" t="n">
        <f aca="false">'Raw Data'!L1218</f>
        <v>5</v>
      </c>
      <c r="L1218" s="6" t="n">
        <f aca="false">F1218*E1218</f>
        <v>0</v>
      </c>
      <c r="N1218" s="0" t="n">
        <v>1</v>
      </c>
      <c r="O1218" s="6" t="n">
        <f aca="false">D1218</f>
        <v>4.396666667</v>
      </c>
      <c r="P1218" s="6" t="n">
        <f aca="false">E1218</f>
        <v>1</v>
      </c>
      <c r="Q1218" s="6" t="n">
        <f aca="false">F1218</f>
        <v>0</v>
      </c>
      <c r="R1218" s="6" t="n">
        <f aca="false">G1218</f>
        <v>0</v>
      </c>
      <c r="S1218" s="6" t="n">
        <f aca="false">H1218</f>
        <v>0</v>
      </c>
      <c r="T1218" s="6" t="n">
        <f aca="false">I1218</f>
        <v>0</v>
      </c>
      <c r="U1218" s="6" t="n">
        <f aca="false">L1218</f>
        <v>0</v>
      </c>
      <c r="W1218" s="6" t="n">
        <f aca="false">D1218</f>
        <v>4.396666667</v>
      </c>
      <c r="X1218" s="6" t="n">
        <f aca="false">E1218</f>
        <v>1</v>
      </c>
      <c r="Y1218" s="6" t="n">
        <f aca="false">F1218</f>
        <v>0</v>
      </c>
      <c r="Z1218" s="6" t="n">
        <f aca="false">L1218</f>
        <v>0</v>
      </c>
      <c r="AA1218" s="6" t="n">
        <f aca="false">G1218</f>
        <v>0</v>
      </c>
      <c r="AC1218" s="6" t="n">
        <f aca="false">D1218</f>
        <v>4.396666667</v>
      </c>
      <c r="AD1218" s="6" t="n">
        <f aca="false">E1218</f>
        <v>1</v>
      </c>
      <c r="AE1218" s="6" t="n">
        <f aca="false">G1218</f>
        <v>0</v>
      </c>
      <c r="AF1218" s="6" t="n">
        <f aca="false">H1218</f>
        <v>0</v>
      </c>
      <c r="AG1218" s="6" t="n">
        <f aca="false">I1218</f>
        <v>0</v>
      </c>
      <c r="AH1218" s="6" t="n">
        <f aca="false">L1218</f>
        <v>0</v>
      </c>
    </row>
    <row r="1219" customFormat="false" ht="15" hidden="false" customHeight="false" outlineLevel="0" collapsed="false">
      <c r="A1219" s="0" t="str">
        <f aca="false">'Raw Data'!C1219</f>
        <v>Glendale</v>
      </c>
      <c r="B1219" s="5" t="n">
        <f aca="false">'Raw Data'!A1219</f>
        <v>40351</v>
      </c>
      <c r="C1219" s="6" t="n">
        <f aca="false">'Raw Data'!D1219</f>
        <v>360.376468654037</v>
      </c>
      <c r="D1219" s="6" t="n">
        <f aca="false">'Raw Data'!E1219</f>
        <v>4.62125</v>
      </c>
      <c r="E1219" s="6" t="n">
        <f aca="false">'Raw Data'!F1219</f>
        <v>1</v>
      </c>
      <c r="F1219" s="6" t="n">
        <f aca="false">'Raw Data'!G1219</f>
        <v>0</v>
      </c>
      <c r="G1219" s="6" t="n">
        <f aca="false">'Raw Data'!H1219</f>
        <v>1</v>
      </c>
      <c r="H1219" s="6" t="n">
        <f aca="false">'Raw Data'!I1219</f>
        <v>0</v>
      </c>
      <c r="I1219" s="6" t="n">
        <f aca="false">'Raw Data'!J1219</f>
        <v>0</v>
      </c>
      <c r="J1219" s="6" t="n">
        <f aca="false">'Raw Data'!K1219</f>
        <v>2</v>
      </c>
      <c r="K1219" s="6" t="n">
        <f aca="false">'Raw Data'!L1219</f>
        <v>5</v>
      </c>
      <c r="L1219" s="6" t="n">
        <f aca="false">F1219*E1219</f>
        <v>0</v>
      </c>
      <c r="N1219" s="0" t="n">
        <v>1</v>
      </c>
      <c r="O1219" s="6" t="n">
        <f aca="false">D1219</f>
        <v>4.62125</v>
      </c>
      <c r="P1219" s="6" t="n">
        <f aca="false">E1219</f>
        <v>1</v>
      </c>
      <c r="Q1219" s="6" t="n">
        <f aca="false">F1219</f>
        <v>0</v>
      </c>
      <c r="R1219" s="6" t="n">
        <f aca="false">G1219</f>
        <v>1</v>
      </c>
      <c r="S1219" s="6" t="n">
        <f aca="false">H1219</f>
        <v>0</v>
      </c>
      <c r="T1219" s="6" t="n">
        <f aca="false">I1219</f>
        <v>0</v>
      </c>
      <c r="U1219" s="6" t="n">
        <f aca="false">L1219</f>
        <v>0</v>
      </c>
      <c r="W1219" s="6" t="n">
        <f aca="false">D1219</f>
        <v>4.62125</v>
      </c>
      <c r="X1219" s="6" t="n">
        <f aca="false">E1219</f>
        <v>1</v>
      </c>
      <c r="Y1219" s="6" t="n">
        <f aca="false">F1219</f>
        <v>0</v>
      </c>
      <c r="Z1219" s="6" t="n">
        <f aca="false">L1219</f>
        <v>0</v>
      </c>
      <c r="AA1219" s="6" t="n">
        <f aca="false">G1219</f>
        <v>1</v>
      </c>
      <c r="AC1219" s="6" t="n">
        <f aca="false">D1219</f>
        <v>4.62125</v>
      </c>
      <c r="AD1219" s="6" t="n">
        <f aca="false">E1219</f>
        <v>1</v>
      </c>
      <c r="AE1219" s="6" t="n">
        <f aca="false">G1219</f>
        <v>1</v>
      </c>
      <c r="AF1219" s="6" t="n">
        <f aca="false">H1219</f>
        <v>0</v>
      </c>
      <c r="AG1219" s="6" t="n">
        <f aca="false">I1219</f>
        <v>0</v>
      </c>
      <c r="AH1219" s="6" t="n">
        <f aca="false">L1219</f>
        <v>0</v>
      </c>
    </row>
    <row r="1220" customFormat="false" ht="15" hidden="false" customHeight="false" outlineLevel="0" collapsed="false">
      <c r="A1220" s="0" t="str">
        <f aca="false">'Raw Data'!C1220</f>
        <v>Glendale</v>
      </c>
      <c r="B1220" s="5" t="n">
        <f aca="false">'Raw Data'!A1220</f>
        <v>40358</v>
      </c>
      <c r="C1220" s="6" t="n">
        <f aca="false">'Raw Data'!D1220</f>
        <v>290.588182355154</v>
      </c>
      <c r="D1220" s="6" t="n">
        <f aca="false">'Raw Data'!E1220</f>
        <v>4.897142857</v>
      </c>
      <c r="E1220" s="6" t="n">
        <f aca="false">'Raw Data'!F1220</f>
        <v>1</v>
      </c>
      <c r="F1220" s="6" t="n">
        <f aca="false">'Raw Data'!G1220</f>
        <v>0</v>
      </c>
      <c r="G1220" s="6" t="n">
        <f aca="false">'Raw Data'!H1220</f>
        <v>0</v>
      </c>
      <c r="H1220" s="6" t="n">
        <f aca="false">'Raw Data'!I1220</f>
        <v>1</v>
      </c>
      <c r="I1220" s="6" t="n">
        <f aca="false">'Raw Data'!J1220</f>
        <v>0</v>
      </c>
      <c r="J1220" s="6" t="n">
        <f aca="false">'Raw Data'!K1220</f>
        <v>2</v>
      </c>
      <c r="K1220" s="6" t="n">
        <f aca="false">'Raw Data'!L1220</f>
        <v>5</v>
      </c>
      <c r="L1220" s="6" t="n">
        <f aca="false">F1220*E1220</f>
        <v>0</v>
      </c>
      <c r="N1220" s="0" t="n">
        <v>1</v>
      </c>
      <c r="O1220" s="6" t="n">
        <f aca="false">D1220</f>
        <v>4.897142857</v>
      </c>
      <c r="P1220" s="6" t="n">
        <f aca="false">E1220</f>
        <v>1</v>
      </c>
      <c r="Q1220" s="6" t="n">
        <f aca="false">F1220</f>
        <v>0</v>
      </c>
      <c r="R1220" s="6" t="n">
        <f aca="false">G1220</f>
        <v>0</v>
      </c>
      <c r="S1220" s="6" t="n">
        <f aca="false">H1220</f>
        <v>1</v>
      </c>
      <c r="T1220" s="6" t="n">
        <f aca="false">I1220</f>
        <v>0</v>
      </c>
      <c r="U1220" s="6" t="n">
        <f aca="false">L1220</f>
        <v>0</v>
      </c>
      <c r="W1220" s="6" t="n">
        <f aca="false">D1220</f>
        <v>4.897142857</v>
      </c>
      <c r="X1220" s="6" t="n">
        <f aca="false">E1220</f>
        <v>1</v>
      </c>
      <c r="Y1220" s="6" t="n">
        <f aca="false">F1220</f>
        <v>0</v>
      </c>
      <c r="Z1220" s="6" t="n">
        <f aca="false">L1220</f>
        <v>0</v>
      </c>
      <c r="AA1220" s="6" t="n">
        <f aca="false">G1220</f>
        <v>0</v>
      </c>
      <c r="AC1220" s="6" t="n">
        <f aca="false">D1220</f>
        <v>4.897142857</v>
      </c>
      <c r="AD1220" s="6" t="n">
        <f aca="false">E1220</f>
        <v>1</v>
      </c>
      <c r="AE1220" s="6" t="n">
        <f aca="false">G1220</f>
        <v>0</v>
      </c>
      <c r="AF1220" s="6" t="n">
        <f aca="false">H1220</f>
        <v>1</v>
      </c>
      <c r="AG1220" s="6" t="n">
        <f aca="false">I1220</f>
        <v>0</v>
      </c>
      <c r="AH1220" s="6" t="n">
        <f aca="false">L1220</f>
        <v>0</v>
      </c>
    </row>
    <row r="1221" customFormat="false" ht="15" hidden="false" customHeight="false" outlineLevel="0" collapsed="false">
      <c r="A1221" s="0" t="str">
        <f aca="false">'Raw Data'!C1221</f>
        <v>Glendale</v>
      </c>
      <c r="B1221" s="5" t="n">
        <f aca="false">'Raw Data'!A1221</f>
        <v>40365</v>
      </c>
      <c r="C1221" s="6" t="n">
        <f aca="false">'Raw Data'!D1221</f>
        <v>317.507209081621</v>
      </c>
      <c r="D1221" s="6" t="n">
        <f aca="false">'Raw Data'!E1221</f>
        <v>4.2725</v>
      </c>
      <c r="E1221" s="6" t="n">
        <f aca="false">'Raw Data'!F1221</f>
        <v>1</v>
      </c>
      <c r="F1221" s="6" t="n">
        <f aca="false">'Raw Data'!G1221</f>
        <v>0</v>
      </c>
      <c r="G1221" s="6" t="n">
        <f aca="false">'Raw Data'!H1221</f>
        <v>0</v>
      </c>
      <c r="H1221" s="6" t="n">
        <f aca="false">'Raw Data'!I1221</f>
        <v>1</v>
      </c>
      <c r="I1221" s="6" t="n">
        <f aca="false">'Raw Data'!J1221</f>
        <v>0</v>
      </c>
      <c r="J1221" s="6" t="n">
        <f aca="false">'Raw Data'!K1221</f>
        <v>2</v>
      </c>
      <c r="K1221" s="6" t="n">
        <f aca="false">'Raw Data'!L1221</f>
        <v>5</v>
      </c>
      <c r="L1221" s="6" t="n">
        <f aca="false">F1221*E1221</f>
        <v>0</v>
      </c>
      <c r="N1221" s="0" t="n">
        <v>1</v>
      </c>
      <c r="O1221" s="6" t="n">
        <f aca="false">D1221</f>
        <v>4.2725</v>
      </c>
      <c r="P1221" s="6" t="n">
        <f aca="false">E1221</f>
        <v>1</v>
      </c>
      <c r="Q1221" s="6" t="n">
        <f aca="false">F1221</f>
        <v>0</v>
      </c>
      <c r="R1221" s="6" t="n">
        <f aca="false">G1221</f>
        <v>0</v>
      </c>
      <c r="S1221" s="6" t="n">
        <f aca="false">H1221</f>
        <v>1</v>
      </c>
      <c r="T1221" s="6" t="n">
        <f aca="false">I1221</f>
        <v>0</v>
      </c>
      <c r="U1221" s="6" t="n">
        <f aca="false">L1221</f>
        <v>0</v>
      </c>
      <c r="W1221" s="6" t="n">
        <f aca="false">D1221</f>
        <v>4.2725</v>
      </c>
      <c r="X1221" s="6" t="n">
        <f aca="false">E1221</f>
        <v>1</v>
      </c>
      <c r="Y1221" s="6" t="n">
        <f aca="false">F1221</f>
        <v>0</v>
      </c>
      <c r="Z1221" s="6" t="n">
        <f aca="false">L1221</f>
        <v>0</v>
      </c>
      <c r="AA1221" s="6" t="n">
        <f aca="false">G1221</f>
        <v>0</v>
      </c>
      <c r="AC1221" s="6" t="n">
        <f aca="false">D1221</f>
        <v>4.2725</v>
      </c>
      <c r="AD1221" s="6" t="n">
        <f aca="false">E1221</f>
        <v>1</v>
      </c>
      <c r="AE1221" s="6" t="n">
        <f aca="false">G1221</f>
        <v>0</v>
      </c>
      <c r="AF1221" s="6" t="n">
        <f aca="false">H1221</f>
        <v>1</v>
      </c>
      <c r="AG1221" s="6" t="n">
        <f aca="false">I1221</f>
        <v>0</v>
      </c>
      <c r="AH1221" s="6" t="n">
        <f aca="false">L1221</f>
        <v>0</v>
      </c>
    </row>
    <row r="1222" customFormat="false" ht="15" hidden="false" customHeight="false" outlineLevel="0" collapsed="false">
      <c r="A1222" s="0" t="str">
        <f aca="false">'Raw Data'!C1222</f>
        <v>Glendale</v>
      </c>
      <c r="B1222" s="5" t="n">
        <f aca="false">'Raw Data'!A1222</f>
        <v>40372</v>
      </c>
      <c r="C1222" s="6" t="n">
        <f aca="false">'Raw Data'!D1222</f>
        <v>304.352097794595</v>
      </c>
      <c r="D1222" s="6" t="n">
        <f aca="false">'Raw Data'!E1222</f>
        <v>4.202666667</v>
      </c>
      <c r="E1222" s="6" t="n">
        <f aca="false">'Raw Data'!F1222</f>
        <v>1</v>
      </c>
      <c r="F1222" s="6" t="n">
        <f aca="false">'Raw Data'!G1222</f>
        <v>0</v>
      </c>
      <c r="G1222" s="6" t="n">
        <f aca="false">'Raw Data'!H1222</f>
        <v>0</v>
      </c>
      <c r="H1222" s="6" t="n">
        <f aca="false">'Raw Data'!I1222</f>
        <v>1</v>
      </c>
      <c r="I1222" s="6" t="n">
        <f aca="false">'Raw Data'!J1222</f>
        <v>0</v>
      </c>
      <c r="J1222" s="6" t="n">
        <f aca="false">'Raw Data'!K1222</f>
        <v>2</v>
      </c>
      <c r="K1222" s="6" t="n">
        <f aca="false">'Raw Data'!L1222</f>
        <v>5</v>
      </c>
      <c r="L1222" s="6" t="n">
        <f aca="false">F1222*E1222</f>
        <v>0</v>
      </c>
      <c r="N1222" s="0" t="n">
        <v>1</v>
      </c>
      <c r="O1222" s="6" t="n">
        <f aca="false">D1222</f>
        <v>4.202666667</v>
      </c>
      <c r="P1222" s="6" t="n">
        <f aca="false">E1222</f>
        <v>1</v>
      </c>
      <c r="Q1222" s="6" t="n">
        <f aca="false">F1222</f>
        <v>0</v>
      </c>
      <c r="R1222" s="6" t="n">
        <f aca="false">G1222</f>
        <v>0</v>
      </c>
      <c r="S1222" s="6" t="n">
        <f aca="false">H1222</f>
        <v>1</v>
      </c>
      <c r="T1222" s="6" t="n">
        <f aca="false">I1222</f>
        <v>0</v>
      </c>
      <c r="U1222" s="6" t="n">
        <f aca="false">L1222</f>
        <v>0</v>
      </c>
      <c r="W1222" s="6" t="n">
        <f aca="false">D1222</f>
        <v>4.202666667</v>
      </c>
      <c r="X1222" s="6" t="n">
        <f aca="false">E1222</f>
        <v>1</v>
      </c>
      <c r="Y1222" s="6" t="n">
        <f aca="false">F1222</f>
        <v>0</v>
      </c>
      <c r="Z1222" s="6" t="n">
        <f aca="false">L1222</f>
        <v>0</v>
      </c>
      <c r="AA1222" s="6" t="n">
        <f aca="false">G1222</f>
        <v>0</v>
      </c>
      <c r="AC1222" s="6" t="n">
        <f aca="false">D1222</f>
        <v>4.202666667</v>
      </c>
      <c r="AD1222" s="6" t="n">
        <f aca="false">E1222</f>
        <v>1</v>
      </c>
      <c r="AE1222" s="6" t="n">
        <f aca="false">G1222</f>
        <v>0</v>
      </c>
      <c r="AF1222" s="6" t="n">
        <f aca="false">H1222</f>
        <v>1</v>
      </c>
      <c r="AG1222" s="6" t="n">
        <f aca="false">I1222</f>
        <v>0</v>
      </c>
      <c r="AH1222" s="6" t="n">
        <f aca="false">L1222</f>
        <v>0</v>
      </c>
    </row>
    <row r="1223" customFormat="false" ht="15" hidden="false" customHeight="false" outlineLevel="0" collapsed="false">
      <c r="A1223" s="0" t="str">
        <f aca="false">'Raw Data'!C1223</f>
        <v>Henderson</v>
      </c>
      <c r="B1223" s="5" t="n">
        <f aca="false">'Raw Data'!A1223</f>
        <v>40302</v>
      </c>
      <c r="C1223" s="6" t="n">
        <f aca="false">'Raw Data'!D1223</f>
        <v>401.502228548367</v>
      </c>
      <c r="D1223" s="6" t="n">
        <f aca="false">'Raw Data'!E1223</f>
        <v>4.659230769</v>
      </c>
      <c r="E1223" s="6" t="n">
        <f aca="false">'Raw Data'!F1223</f>
        <v>1</v>
      </c>
      <c r="F1223" s="6" t="n">
        <f aca="false">'Raw Data'!G1223</f>
        <v>0</v>
      </c>
      <c r="G1223" s="6" t="n">
        <f aca="false">'Raw Data'!H1223</f>
        <v>0</v>
      </c>
      <c r="H1223" s="6" t="n">
        <f aca="false">'Raw Data'!I1223</f>
        <v>0</v>
      </c>
      <c r="I1223" s="6" t="n">
        <f aca="false">'Raw Data'!J1223</f>
        <v>1</v>
      </c>
      <c r="J1223" s="6" t="n">
        <f aca="false">'Raw Data'!K1223</f>
        <v>0</v>
      </c>
      <c r="K1223" s="6" t="n">
        <f aca="false">'Raw Data'!L1223</f>
        <v>4</v>
      </c>
      <c r="L1223" s="6" t="n">
        <f aca="false">F1223*E1223</f>
        <v>0</v>
      </c>
      <c r="N1223" s="0" t="n">
        <v>1</v>
      </c>
      <c r="O1223" s="6" t="n">
        <f aca="false">D1223</f>
        <v>4.659230769</v>
      </c>
      <c r="P1223" s="6" t="n">
        <f aca="false">E1223</f>
        <v>1</v>
      </c>
      <c r="Q1223" s="6" t="n">
        <f aca="false">F1223</f>
        <v>0</v>
      </c>
      <c r="R1223" s="6" t="n">
        <f aca="false">G1223</f>
        <v>0</v>
      </c>
      <c r="S1223" s="6" t="n">
        <f aca="false">H1223</f>
        <v>0</v>
      </c>
      <c r="T1223" s="6" t="n">
        <f aca="false">I1223</f>
        <v>1</v>
      </c>
      <c r="U1223" s="6" t="n">
        <f aca="false">L1223</f>
        <v>0</v>
      </c>
      <c r="W1223" s="6" t="n">
        <f aca="false">D1223</f>
        <v>4.659230769</v>
      </c>
      <c r="X1223" s="6" t="n">
        <f aca="false">E1223</f>
        <v>1</v>
      </c>
      <c r="Y1223" s="6" t="n">
        <f aca="false">F1223</f>
        <v>0</v>
      </c>
      <c r="Z1223" s="6" t="n">
        <f aca="false">L1223</f>
        <v>0</v>
      </c>
      <c r="AA1223" s="6" t="n">
        <f aca="false">G1223</f>
        <v>0</v>
      </c>
      <c r="AC1223" s="6" t="n">
        <f aca="false">D1223</f>
        <v>4.659230769</v>
      </c>
      <c r="AD1223" s="6" t="n">
        <f aca="false">E1223</f>
        <v>1</v>
      </c>
      <c r="AE1223" s="6" t="n">
        <f aca="false">G1223</f>
        <v>0</v>
      </c>
      <c r="AF1223" s="6" t="n">
        <f aca="false">H1223</f>
        <v>0</v>
      </c>
      <c r="AG1223" s="6" t="n">
        <f aca="false">I1223</f>
        <v>1</v>
      </c>
      <c r="AH1223" s="6" t="n">
        <f aca="false">L1223</f>
        <v>0</v>
      </c>
    </row>
    <row r="1224" customFormat="false" ht="15" hidden="false" customHeight="false" outlineLevel="0" collapsed="false">
      <c r="A1224" s="0" t="str">
        <f aca="false">'Raw Data'!C1224</f>
        <v>Henderson</v>
      </c>
      <c r="B1224" s="5" t="n">
        <f aca="false">'Raw Data'!A1224</f>
        <v>40309</v>
      </c>
      <c r="C1224" s="6" t="n">
        <f aca="false">'Raw Data'!D1224</f>
        <v>375.915064982088</v>
      </c>
      <c r="D1224" s="6" t="n">
        <f aca="false">'Raw Data'!E1224</f>
        <v>4.482307692</v>
      </c>
      <c r="E1224" s="6" t="n">
        <f aca="false">'Raw Data'!F1224</f>
        <v>1</v>
      </c>
      <c r="F1224" s="6" t="n">
        <f aca="false">'Raw Data'!G1224</f>
        <v>0</v>
      </c>
      <c r="G1224" s="6" t="n">
        <f aca="false">'Raw Data'!H1224</f>
        <v>0</v>
      </c>
      <c r="H1224" s="6" t="n">
        <f aca="false">'Raw Data'!I1224</f>
        <v>0</v>
      </c>
      <c r="I1224" s="6" t="n">
        <f aca="false">'Raw Data'!J1224</f>
        <v>1</v>
      </c>
      <c r="J1224" s="6" t="n">
        <f aca="false">'Raw Data'!K1224</f>
        <v>0</v>
      </c>
      <c r="K1224" s="6" t="n">
        <f aca="false">'Raw Data'!L1224</f>
        <v>4</v>
      </c>
      <c r="L1224" s="6" t="n">
        <f aca="false">F1224*E1224</f>
        <v>0</v>
      </c>
      <c r="N1224" s="0" t="n">
        <v>1</v>
      </c>
      <c r="O1224" s="6" t="n">
        <f aca="false">D1224</f>
        <v>4.482307692</v>
      </c>
      <c r="P1224" s="6" t="n">
        <f aca="false">E1224</f>
        <v>1</v>
      </c>
      <c r="Q1224" s="6" t="n">
        <f aca="false">F1224</f>
        <v>0</v>
      </c>
      <c r="R1224" s="6" t="n">
        <f aca="false">G1224</f>
        <v>0</v>
      </c>
      <c r="S1224" s="6" t="n">
        <f aca="false">H1224</f>
        <v>0</v>
      </c>
      <c r="T1224" s="6" t="n">
        <f aca="false">I1224</f>
        <v>1</v>
      </c>
      <c r="U1224" s="6" t="n">
        <f aca="false">L1224</f>
        <v>0</v>
      </c>
      <c r="W1224" s="6" t="n">
        <f aca="false">D1224</f>
        <v>4.482307692</v>
      </c>
      <c r="X1224" s="6" t="n">
        <f aca="false">E1224</f>
        <v>1</v>
      </c>
      <c r="Y1224" s="6" t="n">
        <f aca="false">F1224</f>
        <v>0</v>
      </c>
      <c r="Z1224" s="6" t="n">
        <f aca="false">L1224</f>
        <v>0</v>
      </c>
      <c r="AA1224" s="6" t="n">
        <f aca="false">G1224</f>
        <v>0</v>
      </c>
      <c r="AC1224" s="6" t="n">
        <f aca="false">D1224</f>
        <v>4.482307692</v>
      </c>
      <c r="AD1224" s="6" t="n">
        <f aca="false">E1224</f>
        <v>1</v>
      </c>
      <c r="AE1224" s="6" t="n">
        <f aca="false">G1224</f>
        <v>0</v>
      </c>
      <c r="AF1224" s="6" t="n">
        <f aca="false">H1224</f>
        <v>0</v>
      </c>
      <c r="AG1224" s="6" t="n">
        <f aca="false">I1224</f>
        <v>1</v>
      </c>
      <c r="AH1224" s="6" t="n">
        <f aca="false">L1224</f>
        <v>0</v>
      </c>
    </row>
    <row r="1225" customFormat="false" ht="15" hidden="false" customHeight="false" outlineLevel="0" collapsed="false">
      <c r="A1225" s="0" t="str">
        <f aca="false">'Raw Data'!C1225</f>
        <v>Henderson</v>
      </c>
      <c r="B1225" s="5" t="n">
        <f aca="false">'Raw Data'!A1225</f>
        <v>40316</v>
      </c>
      <c r="C1225" s="6" t="n">
        <f aca="false">'Raw Data'!D1225</f>
        <v>237.302470369736</v>
      </c>
      <c r="D1225" s="6" t="n">
        <f aca="false">'Raw Data'!E1225</f>
        <v>4.117333333</v>
      </c>
      <c r="E1225" s="6" t="n">
        <f aca="false">'Raw Data'!F1225</f>
        <v>1</v>
      </c>
      <c r="F1225" s="6" t="n">
        <f aca="false">'Raw Data'!G1225</f>
        <v>0</v>
      </c>
      <c r="G1225" s="6" t="n">
        <f aca="false">'Raw Data'!H1225</f>
        <v>0</v>
      </c>
      <c r="H1225" s="6" t="n">
        <f aca="false">'Raw Data'!I1225</f>
        <v>0</v>
      </c>
      <c r="I1225" s="6" t="n">
        <f aca="false">'Raw Data'!J1225</f>
        <v>0</v>
      </c>
      <c r="J1225" s="6" t="n">
        <f aca="false">'Raw Data'!K1225</f>
        <v>0</v>
      </c>
      <c r="K1225" s="6" t="n">
        <f aca="false">'Raw Data'!L1225</f>
        <v>4</v>
      </c>
      <c r="L1225" s="6" t="n">
        <f aca="false">F1225*E1225</f>
        <v>0</v>
      </c>
      <c r="N1225" s="0" t="n">
        <v>1</v>
      </c>
      <c r="O1225" s="6" t="n">
        <f aca="false">D1225</f>
        <v>4.117333333</v>
      </c>
      <c r="P1225" s="6" t="n">
        <f aca="false">E1225</f>
        <v>1</v>
      </c>
      <c r="Q1225" s="6" t="n">
        <f aca="false">F1225</f>
        <v>0</v>
      </c>
      <c r="R1225" s="6" t="n">
        <f aca="false">G1225</f>
        <v>0</v>
      </c>
      <c r="S1225" s="6" t="n">
        <f aca="false">H1225</f>
        <v>0</v>
      </c>
      <c r="T1225" s="6" t="n">
        <f aca="false">I1225</f>
        <v>0</v>
      </c>
      <c r="U1225" s="6" t="n">
        <f aca="false">L1225</f>
        <v>0</v>
      </c>
      <c r="W1225" s="6" t="n">
        <f aca="false">D1225</f>
        <v>4.117333333</v>
      </c>
      <c r="X1225" s="6" t="n">
        <f aca="false">E1225</f>
        <v>1</v>
      </c>
      <c r="Y1225" s="6" t="n">
        <f aca="false">F1225</f>
        <v>0</v>
      </c>
      <c r="Z1225" s="6" t="n">
        <f aca="false">L1225</f>
        <v>0</v>
      </c>
      <c r="AA1225" s="6" t="n">
        <f aca="false">G1225</f>
        <v>0</v>
      </c>
      <c r="AC1225" s="6" t="n">
        <f aca="false">D1225</f>
        <v>4.117333333</v>
      </c>
      <c r="AD1225" s="6" t="n">
        <f aca="false">E1225</f>
        <v>1</v>
      </c>
      <c r="AE1225" s="6" t="n">
        <f aca="false">G1225</f>
        <v>0</v>
      </c>
      <c r="AF1225" s="6" t="n">
        <f aca="false">H1225</f>
        <v>0</v>
      </c>
      <c r="AG1225" s="6" t="n">
        <f aca="false">I1225</f>
        <v>0</v>
      </c>
      <c r="AH1225" s="6" t="n">
        <f aca="false">L1225</f>
        <v>0</v>
      </c>
    </row>
    <row r="1226" customFormat="false" ht="15" hidden="false" customHeight="false" outlineLevel="0" collapsed="false">
      <c r="A1226" s="0" t="str">
        <f aca="false">'Raw Data'!C1226</f>
        <v>Henderson</v>
      </c>
      <c r="B1226" s="5" t="n">
        <f aca="false">'Raw Data'!A1226</f>
        <v>40323</v>
      </c>
      <c r="C1226" s="6" t="n">
        <f aca="false">'Raw Data'!D1226</f>
        <v>189.991216427091</v>
      </c>
      <c r="D1226" s="6" t="n">
        <f aca="false">'Raw Data'!E1226</f>
        <v>4.1</v>
      </c>
      <c r="E1226" s="6" t="n">
        <f aca="false">'Raw Data'!F1226</f>
        <v>1</v>
      </c>
      <c r="F1226" s="6" t="n">
        <f aca="false">'Raw Data'!G1226</f>
        <v>0</v>
      </c>
      <c r="G1226" s="6" t="n">
        <f aca="false">'Raw Data'!H1226</f>
        <v>0</v>
      </c>
      <c r="H1226" s="6" t="n">
        <f aca="false">'Raw Data'!I1226</f>
        <v>0</v>
      </c>
      <c r="I1226" s="6" t="n">
        <f aca="false">'Raw Data'!J1226</f>
        <v>0</v>
      </c>
      <c r="J1226" s="6" t="n">
        <f aca="false">'Raw Data'!K1226</f>
        <v>0</v>
      </c>
      <c r="K1226" s="6" t="n">
        <f aca="false">'Raw Data'!L1226</f>
        <v>4</v>
      </c>
      <c r="L1226" s="6" t="n">
        <f aca="false">F1226*E1226</f>
        <v>0</v>
      </c>
      <c r="N1226" s="0" t="n">
        <v>1</v>
      </c>
      <c r="O1226" s="6" t="n">
        <f aca="false">D1226</f>
        <v>4.1</v>
      </c>
      <c r="P1226" s="6" t="n">
        <f aca="false">E1226</f>
        <v>1</v>
      </c>
      <c r="Q1226" s="6" t="n">
        <f aca="false">F1226</f>
        <v>0</v>
      </c>
      <c r="R1226" s="6" t="n">
        <f aca="false">G1226</f>
        <v>0</v>
      </c>
      <c r="S1226" s="6" t="n">
        <f aca="false">H1226</f>
        <v>0</v>
      </c>
      <c r="T1226" s="6" t="n">
        <f aca="false">I1226</f>
        <v>0</v>
      </c>
      <c r="U1226" s="6" t="n">
        <f aca="false">L1226</f>
        <v>0</v>
      </c>
      <c r="W1226" s="6" t="n">
        <f aca="false">D1226</f>
        <v>4.1</v>
      </c>
      <c r="X1226" s="6" t="n">
        <f aca="false">E1226</f>
        <v>1</v>
      </c>
      <c r="Y1226" s="6" t="n">
        <f aca="false">F1226</f>
        <v>0</v>
      </c>
      <c r="Z1226" s="6" t="n">
        <f aca="false">L1226</f>
        <v>0</v>
      </c>
      <c r="AA1226" s="6" t="n">
        <f aca="false">G1226</f>
        <v>0</v>
      </c>
      <c r="AC1226" s="6" t="n">
        <f aca="false">D1226</f>
        <v>4.1</v>
      </c>
      <c r="AD1226" s="6" t="n">
        <f aca="false">E1226</f>
        <v>1</v>
      </c>
      <c r="AE1226" s="6" t="n">
        <f aca="false">G1226</f>
        <v>0</v>
      </c>
      <c r="AF1226" s="6" t="n">
        <f aca="false">H1226</f>
        <v>0</v>
      </c>
      <c r="AG1226" s="6" t="n">
        <f aca="false">I1226</f>
        <v>0</v>
      </c>
      <c r="AH1226" s="6" t="n">
        <f aca="false">L1226</f>
        <v>0</v>
      </c>
    </row>
    <row r="1227" customFormat="false" ht="15" hidden="false" customHeight="false" outlineLevel="0" collapsed="false">
      <c r="A1227" s="0" t="str">
        <f aca="false">'Raw Data'!C1227</f>
        <v>Henderson</v>
      </c>
      <c r="B1227" s="5" t="n">
        <f aca="false">'Raw Data'!A1227</f>
        <v>40330</v>
      </c>
      <c r="C1227" s="6" t="n">
        <f aca="false">'Raw Data'!D1227</f>
        <v>218.773910140884</v>
      </c>
      <c r="D1227" s="6" t="n">
        <f aca="false">'Raw Data'!E1227</f>
        <v>4.14</v>
      </c>
      <c r="E1227" s="6" t="n">
        <f aca="false">'Raw Data'!F1227</f>
        <v>1</v>
      </c>
      <c r="F1227" s="6" t="n">
        <f aca="false">'Raw Data'!G1227</f>
        <v>0</v>
      </c>
      <c r="G1227" s="6" t="n">
        <f aca="false">'Raw Data'!H1227</f>
        <v>0</v>
      </c>
      <c r="H1227" s="6" t="n">
        <f aca="false">'Raw Data'!I1227</f>
        <v>0</v>
      </c>
      <c r="I1227" s="6" t="n">
        <f aca="false">'Raw Data'!J1227</f>
        <v>0</v>
      </c>
      <c r="J1227" s="6" t="n">
        <f aca="false">'Raw Data'!K1227</f>
        <v>0</v>
      </c>
      <c r="K1227" s="6" t="n">
        <f aca="false">'Raw Data'!L1227</f>
        <v>4</v>
      </c>
      <c r="L1227" s="6" t="n">
        <f aca="false">F1227*E1227</f>
        <v>0</v>
      </c>
      <c r="N1227" s="0" t="n">
        <v>1</v>
      </c>
      <c r="O1227" s="6" t="n">
        <f aca="false">D1227</f>
        <v>4.14</v>
      </c>
      <c r="P1227" s="6" t="n">
        <f aca="false">E1227</f>
        <v>1</v>
      </c>
      <c r="Q1227" s="6" t="n">
        <f aca="false">F1227</f>
        <v>0</v>
      </c>
      <c r="R1227" s="6" t="n">
        <f aca="false">G1227</f>
        <v>0</v>
      </c>
      <c r="S1227" s="6" t="n">
        <f aca="false">H1227</f>
        <v>0</v>
      </c>
      <c r="T1227" s="6" t="n">
        <f aca="false">I1227</f>
        <v>0</v>
      </c>
      <c r="U1227" s="6" t="n">
        <f aca="false">L1227</f>
        <v>0</v>
      </c>
      <c r="W1227" s="6" t="n">
        <f aca="false">D1227</f>
        <v>4.14</v>
      </c>
      <c r="X1227" s="6" t="n">
        <f aca="false">E1227</f>
        <v>1</v>
      </c>
      <c r="Y1227" s="6" t="n">
        <f aca="false">F1227</f>
        <v>0</v>
      </c>
      <c r="Z1227" s="6" t="n">
        <f aca="false">L1227</f>
        <v>0</v>
      </c>
      <c r="AA1227" s="6" t="n">
        <f aca="false">G1227</f>
        <v>0</v>
      </c>
      <c r="AC1227" s="6" t="n">
        <f aca="false">D1227</f>
        <v>4.14</v>
      </c>
      <c r="AD1227" s="6" t="n">
        <f aca="false">E1227</f>
        <v>1</v>
      </c>
      <c r="AE1227" s="6" t="n">
        <f aca="false">G1227</f>
        <v>0</v>
      </c>
      <c r="AF1227" s="6" t="n">
        <f aca="false">H1227</f>
        <v>0</v>
      </c>
      <c r="AG1227" s="6" t="n">
        <f aca="false">I1227</f>
        <v>0</v>
      </c>
      <c r="AH1227" s="6" t="n">
        <f aca="false">L1227</f>
        <v>0</v>
      </c>
    </row>
    <row r="1228" customFormat="false" ht="15" hidden="false" customHeight="false" outlineLevel="0" collapsed="false">
      <c r="A1228" s="0" t="str">
        <f aca="false">'Raw Data'!C1228</f>
        <v>Henderson</v>
      </c>
      <c r="B1228" s="5" t="n">
        <f aca="false">'Raw Data'!A1228</f>
        <v>40337</v>
      </c>
      <c r="C1228" s="6" t="n">
        <f aca="false">'Raw Data'!D1228</f>
        <v>255.953775596971</v>
      </c>
      <c r="D1228" s="6" t="n">
        <f aca="false">'Raw Data'!E1228</f>
        <v>4.200714286</v>
      </c>
      <c r="E1228" s="6" t="n">
        <f aca="false">'Raw Data'!F1228</f>
        <v>1</v>
      </c>
      <c r="F1228" s="6" t="n">
        <f aca="false">'Raw Data'!G1228</f>
        <v>0</v>
      </c>
      <c r="G1228" s="6" t="n">
        <f aca="false">'Raw Data'!H1228</f>
        <v>0</v>
      </c>
      <c r="H1228" s="6" t="n">
        <f aca="false">'Raw Data'!I1228</f>
        <v>0</v>
      </c>
      <c r="I1228" s="6" t="n">
        <f aca="false">'Raw Data'!J1228</f>
        <v>0</v>
      </c>
      <c r="J1228" s="6" t="n">
        <f aca="false">'Raw Data'!K1228</f>
        <v>0</v>
      </c>
      <c r="K1228" s="6" t="n">
        <f aca="false">'Raw Data'!L1228</f>
        <v>4</v>
      </c>
      <c r="L1228" s="6" t="n">
        <f aca="false">F1228*E1228</f>
        <v>0</v>
      </c>
      <c r="N1228" s="0" t="n">
        <v>1</v>
      </c>
      <c r="O1228" s="6" t="n">
        <f aca="false">D1228</f>
        <v>4.200714286</v>
      </c>
      <c r="P1228" s="6" t="n">
        <f aca="false">E1228</f>
        <v>1</v>
      </c>
      <c r="Q1228" s="6" t="n">
        <f aca="false">F1228</f>
        <v>0</v>
      </c>
      <c r="R1228" s="6" t="n">
        <f aca="false">G1228</f>
        <v>0</v>
      </c>
      <c r="S1228" s="6" t="n">
        <f aca="false">H1228</f>
        <v>0</v>
      </c>
      <c r="T1228" s="6" t="n">
        <f aca="false">I1228</f>
        <v>0</v>
      </c>
      <c r="U1228" s="6" t="n">
        <f aca="false">L1228</f>
        <v>0</v>
      </c>
      <c r="W1228" s="6" t="n">
        <f aca="false">D1228</f>
        <v>4.200714286</v>
      </c>
      <c r="X1228" s="6" t="n">
        <f aca="false">E1228</f>
        <v>1</v>
      </c>
      <c r="Y1228" s="6" t="n">
        <f aca="false">F1228</f>
        <v>0</v>
      </c>
      <c r="Z1228" s="6" t="n">
        <f aca="false">L1228</f>
        <v>0</v>
      </c>
      <c r="AA1228" s="6" t="n">
        <f aca="false">G1228</f>
        <v>0</v>
      </c>
      <c r="AC1228" s="6" t="n">
        <f aca="false">D1228</f>
        <v>4.200714286</v>
      </c>
      <c r="AD1228" s="6" t="n">
        <f aca="false">E1228</f>
        <v>1</v>
      </c>
      <c r="AE1228" s="6" t="n">
        <f aca="false">G1228</f>
        <v>0</v>
      </c>
      <c r="AF1228" s="6" t="n">
        <f aca="false">H1228</f>
        <v>0</v>
      </c>
      <c r="AG1228" s="6" t="n">
        <f aca="false">I1228</f>
        <v>0</v>
      </c>
      <c r="AH1228" s="6" t="n">
        <f aca="false">L1228</f>
        <v>0</v>
      </c>
    </row>
    <row r="1229" customFormat="false" ht="15" hidden="false" customHeight="false" outlineLevel="0" collapsed="false">
      <c r="A1229" s="0" t="str">
        <f aca="false">'Raw Data'!C1229</f>
        <v>Henderson</v>
      </c>
      <c r="B1229" s="5" t="n">
        <f aca="false">'Raw Data'!A1229</f>
        <v>40344</v>
      </c>
      <c r="C1229" s="6" t="n">
        <f aca="false">'Raw Data'!D1229</f>
        <v>188.096757210951</v>
      </c>
      <c r="D1229" s="6" t="n">
        <f aca="false">'Raw Data'!E1229</f>
        <v>4.316923077</v>
      </c>
      <c r="E1229" s="6" t="n">
        <f aca="false">'Raw Data'!F1229</f>
        <v>1</v>
      </c>
      <c r="F1229" s="6" t="n">
        <f aca="false">'Raw Data'!G1229</f>
        <v>0</v>
      </c>
      <c r="G1229" s="6" t="n">
        <f aca="false">'Raw Data'!H1229</f>
        <v>0</v>
      </c>
      <c r="H1229" s="6" t="n">
        <f aca="false">'Raw Data'!I1229</f>
        <v>0</v>
      </c>
      <c r="I1229" s="6" t="n">
        <f aca="false">'Raw Data'!J1229</f>
        <v>0</v>
      </c>
      <c r="J1229" s="6" t="n">
        <f aca="false">'Raw Data'!K1229</f>
        <v>0</v>
      </c>
      <c r="K1229" s="6" t="n">
        <f aca="false">'Raw Data'!L1229</f>
        <v>4</v>
      </c>
      <c r="L1229" s="6" t="n">
        <f aca="false">F1229*E1229</f>
        <v>0</v>
      </c>
      <c r="N1229" s="0" t="n">
        <v>1</v>
      </c>
      <c r="O1229" s="6" t="n">
        <f aca="false">D1229</f>
        <v>4.316923077</v>
      </c>
      <c r="P1229" s="6" t="n">
        <f aca="false">E1229</f>
        <v>1</v>
      </c>
      <c r="Q1229" s="6" t="n">
        <f aca="false">F1229</f>
        <v>0</v>
      </c>
      <c r="R1229" s="6" t="n">
        <f aca="false">G1229</f>
        <v>0</v>
      </c>
      <c r="S1229" s="6" t="n">
        <f aca="false">H1229</f>
        <v>0</v>
      </c>
      <c r="T1229" s="6" t="n">
        <f aca="false">I1229</f>
        <v>0</v>
      </c>
      <c r="U1229" s="6" t="n">
        <f aca="false">L1229</f>
        <v>0</v>
      </c>
      <c r="W1229" s="6" t="n">
        <f aca="false">D1229</f>
        <v>4.316923077</v>
      </c>
      <c r="X1229" s="6" t="n">
        <f aca="false">E1229</f>
        <v>1</v>
      </c>
      <c r="Y1229" s="6" t="n">
        <f aca="false">F1229</f>
        <v>0</v>
      </c>
      <c r="Z1229" s="6" t="n">
        <f aca="false">L1229</f>
        <v>0</v>
      </c>
      <c r="AA1229" s="6" t="n">
        <f aca="false">G1229</f>
        <v>0</v>
      </c>
      <c r="AC1229" s="6" t="n">
        <f aca="false">D1229</f>
        <v>4.316923077</v>
      </c>
      <c r="AD1229" s="6" t="n">
        <f aca="false">E1229</f>
        <v>1</v>
      </c>
      <c r="AE1229" s="6" t="n">
        <f aca="false">G1229</f>
        <v>0</v>
      </c>
      <c r="AF1229" s="6" t="n">
        <f aca="false">H1229</f>
        <v>0</v>
      </c>
      <c r="AG1229" s="6" t="n">
        <f aca="false">I1229</f>
        <v>0</v>
      </c>
      <c r="AH1229" s="6" t="n">
        <f aca="false">L1229</f>
        <v>0</v>
      </c>
    </row>
    <row r="1230" customFormat="false" ht="15" hidden="false" customHeight="false" outlineLevel="0" collapsed="false">
      <c r="A1230" s="0" t="str">
        <f aca="false">'Raw Data'!C1230</f>
        <v>Henderson</v>
      </c>
      <c r="B1230" s="5" t="n">
        <f aca="false">'Raw Data'!A1230</f>
        <v>40351</v>
      </c>
      <c r="C1230" s="6" t="n">
        <f aca="false">'Raw Data'!D1230</f>
        <v>290.119177317559</v>
      </c>
      <c r="D1230" s="6" t="n">
        <f aca="false">'Raw Data'!E1230</f>
        <v>4.142857143</v>
      </c>
      <c r="E1230" s="6" t="n">
        <f aca="false">'Raw Data'!F1230</f>
        <v>1</v>
      </c>
      <c r="F1230" s="6" t="n">
        <f aca="false">'Raw Data'!G1230</f>
        <v>0</v>
      </c>
      <c r="G1230" s="6" t="n">
        <f aca="false">'Raw Data'!H1230</f>
        <v>0</v>
      </c>
      <c r="H1230" s="6" t="n">
        <f aca="false">'Raw Data'!I1230</f>
        <v>0</v>
      </c>
      <c r="I1230" s="6" t="n">
        <f aca="false">'Raw Data'!J1230</f>
        <v>0</v>
      </c>
      <c r="J1230" s="6" t="n">
        <f aca="false">'Raw Data'!K1230</f>
        <v>0</v>
      </c>
      <c r="K1230" s="6" t="n">
        <f aca="false">'Raw Data'!L1230</f>
        <v>4</v>
      </c>
      <c r="L1230" s="6" t="n">
        <f aca="false">F1230*E1230</f>
        <v>0</v>
      </c>
      <c r="N1230" s="0" t="n">
        <v>1</v>
      </c>
      <c r="O1230" s="6" t="n">
        <f aca="false">D1230</f>
        <v>4.142857143</v>
      </c>
      <c r="P1230" s="6" t="n">
        <f aca="false">E1230</f>
        <v>1</v>
      </c>
      <c r="Q1230" s="6" t="n">
        <f aca="false">F1230</f>
        <v>0</v>
      </c>
      <c r="R1230" s="6" t="n">
        <f aca="false">G1230</f>
        <v>0</v>
      </c>
      <c r="S1230" s="6" t="n">
        <f aca="false">H1230</f>
        <v>0</v>
      </c>
      <c r="T1230" s="6" t="n">
        <f aca="false">I1230</f>
        <v>0</v>
      </c>
      <c r="U1230" s="6" t="n">
        <f aca="false">L1230</f>
        <v>0</v>
      </c>
      <c r="W1230" s="6" t="n">
        <f aca="false">D1230</f>
        <v>4.142857143</v>
      </c>
      <c r="X1230" s="6" t="n">
        <f aca="false">E1230</f>
        <v>1</v>
      </c>
      <c r="Y1230" s="6" t="n">
        <f aca="false">F1230</f>
        <v>0</v>
      </c>
      <c r="Z1230" s="6" t="n">
        <f aca="false">L1230</f>
        <v>0</v>
      </c>
      <c r="AA1230" s="6" t="n">
        <f aca="false">G1230</f>
        <v>0</v>
      </c>
      <c r="AC1230" s="6" t="n">
        <f aca="false">D1230</f>
        <v>4.142857143</v>
      </c>
      <c r="AD1230" s="6" t="n">
        <f aca="false">E1230</f>
        <v>1</v>
      </c>
      <c r="AE1230" s="6" t="n">
        <f aca="false">G1230</f>
        <v>0</v>
      </c>
      <c r="AF1230" s="6" t="n">
        <f aca="false">H1230</f>
        <v>0</v>
      </c>
      <c r="AG1230" s="6" t="n">
        <f aca="false">I1230</f>
        <v>0</v>
      </c>
      <c r="AH1230" s="6" t="n">
        <f aca="false">L1230</f>
        <v>0</v>
      </c>
    </row>
    <row r="1231" customFormat="false" ht="15" hidden="false" customHeight="false" outlineLevel="0" collapsed="false">
      <c r="A1231" s="0" t="str">
        <f aca="false">'Raw Data'!C1231</f>
        <v>Henderson</v>
      </c>
      <c r="B1231" s="5" t="n">
        <f aca="false">'Raw Data'!A1231</f>
        <v>40358</v>
      </c>
      <c r="C1231" s="6" t="n">
        <f aca="false">'Raw Data'!D1231</f>
        <v>357.721308464048</v>
      </c>
      <c r="D1231" s="6" t="n">
        <f aca="false">'Raw Data'!E1231</f>
        <v>4.069166667</v>
      </c>
      <c r="E1231" s="6" t="n">
        <f aca="false">'Raw Data'!F1231</f>
        <v>1</v>
      </c>
      <c r="F1231" s="6" t="n">
        <f aca="false">'Raw Data'!G1231</f>
        <v>0</v>
      </c>
      <c r="G1231" s="6" t="n">
        <f aca="false">'Raw Data'!H1231</f>
        <v>1</v>
      </c>
      <c r="H1231" s="6" t="n">
        <f aca="false">'Raw Data'!I1231</f>
        <v>0</v>
      </c>
      <c r="I1231" s="6" t="n">
        <f aca="false">'Raw Data'!J1231</f>
        <v>0</v>
      </c>
      <c r="J1231" s="6" t="n">
        <f aca="false">'Raw Data'!K1231</f>
        <v>0</v>
      </c>
      <c r="K1231" s="6" t="n">
        <f aca="false">'Raw Data'!L1231</f>
        <v>4</v>
      </c>
      <c r="L1231" s="6" t="n">
        <f aca="false">F1231*E1231</f>
        <v>0</v>
      </c>
      <c r="N1231" s="0" t="n">
        <v>1</v>
      </c>
      <c r="O1231" s="6" t="n">
        <f aca="false">D1231</f>
        <v>4.069166667</v>
      </c>
      <c r="P1231" s="6" t="n">
        <f aca="false">E1231</f>
        <v>1</v>
      </c>
      <c r="Q1231" s="6" t="n">
        <f aca="false">F1231</f>
        <v>0</v>
      </c>
      <c r="R1231" s="6" t="n">
        <f aca="false">G1231</f>
        <v>1</v>
      </c>
      <c r="S1231" s="6" t="n">
        <f aca="false">H1231</f>
        <v>0</v>
      </c>
      <c r="T1231" s="6" t="n">
        <f aca="false">I1231</f>
        <v>0</v>
      </c>
      <c r="U1231" s="6" t="n">
        <f aca="false">L1231</f>
        <v>0</v>
      </c>
      <c r="W1231" s="6" t="n">
        <f aca="false">D1231</f>
        <v>4.069166667</v>
      </c>
      <c r="X1231" s="6" t="n">
        <f aca="false">E1231</f>
        <v>1</v>
      </c>
      <c r="Y1231" s="6" t="n">
        <f aca="false">F1231</f>
        <v>0</v>
      </c>
      <c r="Z1231" s="6" t="n">
        <f aca="false">L1231</f>
        <v>0</v>
      </c>
      <c r="AA1231" s="6" t="n">
        <f aca="false">G1231</f>
        <v>1</v>
      </c>
      <c r="AC1231" s="6" t="n">
        <f aca="false">D1231</f>
        <v>4.069166667</v>
      </c>
      <c r="AD1231" s="6" t="n">
        <f aca="false">E1231</f>
        <v>1</v>
      </c>
      <c r="AE1231" s="6" t="n">
        <f aca="false">G1231</f>
        <v>1</v>
      </c>
      <c r="AF1231" s="6" t="n">
        <f aca="false">H1231</f>
        <v>0</v>
      </c>
      <c r="AG1231" s="6" t="n">
        <f aca="false">I1231</f>
        <v>0</v>
      </c>
      <c r="AH1231" s="6" t="n">
        <f aca="false">L1231</f>
        <v>0</v>
      </c>
    </row>
    <row r="1232" customFormat="false" ht="15" hidden="false" customHeight="false" outlineLevel="0" collapsed="false">
      <c r="A1232" s="0" t="str">
        <f aca="false">'Raw Data'!C1232</f>
        <v>Henderson</v>
      </c>
      <c r="B1232" s="5" t="n">
        <f aca="false">'Raw Data'!A1232</f>
        <v>40365</v>
      </c>
      <c r="C1232" s="6" t="n">
        <f aca="false">'Raw Data'!D1232</f>
        <v>367.787961032668</v>
      </c>
      <c r="D1232" s="6" t="n">
        <f aca="false">'Raw Data'!E1232</f>
        <v>3.984615385</v>
      </c>
      <c r="E1232" s="6" t="n">
        <f aca="false">'Raw Data'!F1232</f>
        <v>1</v>
      </c>
      <c r="F1232" s="6" t="n">
        <f aca="false">'Raw Data'!G1232</f>
        <v>0</v>
      </c>
      <c r="G1232" s="6" t="n">
        <f aca="false">'Raw Data'!H1232</f>
        <v>0</v>
      </c>
      <c r="H1232" s="6" t="n">
        <f aca="false">'Raw Data'!I1232</f>
        <v>1</v>
      </c>
      <c r="I1232" s="6" t="n">
        <f aca="false">'Raw Data'!J1232</f>
        <v>0</v>
      </c>
      <c r="J1232" s="6" t="n">
        <f aca="false">'Raw Data'!K1232</f>
        <v>0</v>
      </c>
      <c r="K1232" s="6" t="n">
        <f aca="false">'Raw Data'!L1232</f>
        <v>4</v>
      </c>
      <c r="L1232" s="6" t="n">
        <f aca="false">F1232*E1232</f>
        <v>0</v>
      </c>
      <c r="N1232" s="0" t="n">
        <v>1</v>
      </c>
      <c r="O1232" s="6" t="n">
        <f aca="false">D1232</f>
        <v>3.984615385</v>
      </c>
      <c r="P1232" s="6" t="n">
        <f aca="false">E1232</f>
        <v>1</v>
      </c>
      <c r="Q1232" s="6" t="n">
        <f aca="false">F1232</f>
        <v>0</v>
      </c>
      <c r="R1232" s="6" t="n">
        <f aca="false">G1232</f>
        <v>0</v>
      </c>
      <c r="S1232" s="6" t="n">
        <f aca="false">H1232</f>
        <v>1</v>
      </c>
      <c r="T1232" s="6" t="n">
        <f aca="false">I1232</f>
        <v>0</v>
      </c>
      <c r="U1232" s="6" t="n">
        <f aca="false">L1232</f>
        <v>0</v>
      </c>
      <c r="W1232" s="6" t="n">
        <f aca="false">D1232</f>
        <v>3.984615385</v>
      </c>
      <c r="X1232" s="6" t="n">
        <f aca="false">E1232</f>
        <v>1</v>
      </c>
      <c r="Y1232" s="6" t="n">
        <f aca="false">F1232</f>
        <v>0</v>
      </c>
      <c r="Z1232" s="6" t="n">
        <f aca="false">L1232</f>
        <v>0</v>
      </c>
      <c r="AA1232" s="6" t="n">
        <f aca="false">G1232</f>
        <v>0</v>
      </c>
      <c r="AC1232" s="6" t="n">
        <f aca="false">D1232</f>
        <v>3.984615385</v>
      </c>
      <c r="AD1232" s="6" t="n">
        <f aca="false">E1232</f>
        <v>1</v>
      </c>
      <c r="AE1232" s="6" t="n">
        <f aca="false">G1232</f>
        <v>0</v>
      </c>
      <c r="AF1232" s="6" t="n">
        <f aca="false">H1232</f>
        <v>1</v>
      </c>
      <c r="AG1232" s="6" t="n">
        <f aca="false">I1232</f>
        <v>0</v>
      </c>
      <c r="AH1232" s="6" t="n">
        <f aca="false">L1232</f>
        <v>0</v>
      </c>
    </row>
    <row r="1233" customFormat="false" ht="15" hidden="false" customHeight="false" outlineLevel="0" collapsed="false">
      <c r="A1233" s="0" t="str">
        <f aca="false">'Raw Data'!C1233</f>
        <v>Henderson</v>
      </c>
      <c r="B1233" s="5" t="n">
        <f aca="false">'Raw Data'!A1233</f>
        <v>40372</v>
      </c>
      <c r="C1233" s="6" t="n">
        <f aca="false">'Raw Data'!D1233</f>
        <v>388.246696627884</v>
      </c>
      <c r="D1233" s="6" t="n">
        <f aca="false">'Raw Data'!E1233</f>
        <v>4.2525</v>
      </c>
      <c r="E1233" s="6" t="n">
        <f aca="false">'Raw Data'!F1233</f>
        <v>1</v>
      </c>
      <c r="F1233" s="6" t="n">
        <f aca="false">'Raw Data'!G1233</f>
        <v>0</v>
      </c>
      <c r="G1233" s="6" t="n">
        <f aca="false">'Raw Data'!H1233</f>
        <v>0</v>
      </c>
      <c r="H1233" s="6" t="n">
        <f aca="false">'Raw Data'!I1233</f>
        <v>1</v>
      </c>
      <c r="I1233" s="6" t="n">
        <f aca="false">'Raw Data'!J1233</f>
        <v>0</v>
      </c>
      <c r="J1233" s="6" t="n">
        <f aca="false">'Raw Data'!K1233</f>
        <v>0</v>
      </c>
      <c r="K1233" s="6" t="n">
        <f aca="false">'Raw Data'!L1233</f>
        <v>4</v>
      </c>
      <c r="L1233" s="6" t="n">
        <f aca="false">F1233*E1233</f>
        <v>0</v>
      </c>
      <c r="N1233" s="0" t="n">
        <v>1</v>
      </c>
      <c r="O1233" s="6" t="n">
        <f aca="false">D1233</f>
        <v>4.2525</v>
      </c>
      <c r="P1233" s="6" t="n">
        <f aca="false">E1233</f>
        <v>1</v>
      </c>
      <c r="Q1233" s="6" t="n">
        <f aca="false">F1233</f>
        <v>0</v>
      </c>
      <c r="R1233" s="6" t="n">
        <f aca="false">G1233</f>
        <v>0</v>
      </c>
      <c r="S1233" s="6" t="n">
        <f aca="false">H1233</f>
        <v>1</v>
      </c>
      <c r="T1233" s="6" t="n">
        <f aca="false">I1233</f>
        <v>0</v>
      </c>
      <c r="U1233" s="6" t="n">
        <f aca="false">L1233</f>
        <v>0</v>
      </c>
      <c r="W1233" s="6" t="n">
        <f aca="false">D1233</f>
        <v>4.2525</v>
      </c>
      <c r="X1233" s="6" t="n">
        <f aca="false">E1233</f>
        <v>1</v>
      </c>
      <c r="Y1233" s="6" t="n">
        <f aca="false">F1233</f>
        <v>0</v>
      </c>
      <c r="Z1233" s="6" t="n">
        <f aca="false">L1233</f>
        <v>0</v>
      </c>
      <c r="AA1233" s="6" t="n">
        <f aca="false">G1233</f>
        <v>0</v>
      </c>
      <c r="AC1233" s="6" t="n">
        <f aca="false">D1233</f>
        <v>4.2525</v>
      </c>
      <c r="AD1233" s="6" t="n">
        <f aca="false">E1233</f>
        <v>1</v>
      </c>
      <c r="AE1233" s="6" t="n">
        <f aca="false">G1233</f>
        <v>0</v>
      </c>
      <c r="AF1233" s="6" t="n">
        <f aca="false">H1233</f>
        <v>1</v>
      </c>
      <c r="AG1233" s="6" t="n">
        <f aca="false">I1233</f>
        <v>0</v>
      </c>
      <c r="AH1233" s="6" t="n">
        <f aca="false">L1233</f>
        <v>0</v>
      </c>
    </row>
    <row r="1234" customFormat="false" ht="15" hidden="false" customHeight="false" outlineLevel="0" collapsed="false">
      <c r="A1234" s="0" t="str">
        <f aca="false">'Raw Data'!C1234</f>
        <v>Jamboree</v>
      </c>
      <c r="B1234" s="5" t="n">
        <f aca="false">'Raw Data'!A1234</f>
        <v>40302</v>
      </c>
      <c r="C1234" s="6" t="n">
        <f aca="false">'Raw Data'!D1234</f>
        <v>256.552288730344</v>
      </c>
      <c r="D1234" s="6" t="n">
        <f aca="false">'Raw Data'!E1234</f>
        <v>4.899090909</v>
      </c>
      <c r="E1234" s="6" t="n">
        <f aca="false">'Raw Data'!F1234</f>
        <v>1</v>
      </c>
      <c r="F1234" s="6" t="n">
        <f aca="false">'Raw Data'!G1234</f>
        <v>0</v>
      </c>
      <c r="G1234" s="6" t="n">
        <f aca="false">'Raw Data'!H1234</f>
        <v>0</v>
      </c>
      <c r="H1234" s="6" t="n">
        <f aca="false">'Raw Data'!I1234</f>
        <v>0</v>
      </c>
      <c r="I1234" s="6" t="n">
        <f aca="false">'Raw Data'!J1234</f>
        <v>1</v>
      </c>
      <c r="J1234" s="6" t="n">
        <f aca="false">'Raw Data'!K1234</f>
        <v>1</v>
      </c>
      <c r="K1234" s="6" t="n">
        <f aca="false">'Raw Data'!L1234</f>
        <v>2</v>
      </c>
      <c r="L1234" s="6" t="n">
        <f aca="false">F1234*E1234</f>
        <v>0</v>
      </c>
      <c r="N1234" s="0" t="n">
        <v>1</v>
      </c>
      <c r="O1234" s="6" t="n">
        <f aca="false">D1234</f>
        <v>4.899090909</v>
      </c>
      <c r="P1234" s="6" t="n">
        <f aca="false">E1234</f>
        <v>1</v>
      </c>
      <c r="Q1234" s="6" t="n">
        <f aca="false">F1234</f>
        <v>0</v>
      </c>
      <c r="R1234" s="6" t="n">
        <f aca="false">G1234</f>
        <v>0</v>
      </c>
      <c r="S1234" s="6" t="n">
        <f aca="false">H1234</f>
        <v>0</v>
      </c>
      <c r="T1234" s="6" t="n">
        <f aca="false">I1234</f>
        <v>1</v>
      </c>
      <c r="U1234" s="6" t="n">
        <f aca="false">L1234</f>
        <v>0</v>
      </c>
      <c r="W1234" s="6" t="n">
        <f aca="false">D1234</f>
        <v>4.899090909</v>
      </c>
      <c r="X1234" s="6" t="n">
        <f aca="false">E1234</f>
        <v>1</v>
      </c>
      <c r="Y1234" s="6" t="n">
        <f aca="false">F1234</f>
        <v>0</v>
      </c>
      <c r="Z1234" s="6" t="n">
        <f aca="false">L1234</f>
        <v>0</v>
      </c>
      <c r="AA1234" s="6" t="n">
        <f aca="false">G1234</f>
        <v>0</v>
      </c>
      <c r="AC1234" s="6" t="n">
        <f aca="false">D1234</f>
        <v>4.899090909</v>
      </c>
      <c r="AD1234" s="6" t="n">
        <f aca="false">E1234</f>
        <v>1</v>
      </c>
      <c r="AE1234" s="6" t="n">
        <f aca="false">G1234</f>
        <v>0</v>
      </c>
      <c r="AF1234" s="6" t="n">
        <f aca="false">H1234</f>
        <v>0</v>
      </c>
      <c r="AG1234" s="6" t="n">
        <f aca="false">I1234</f>
        <v>1</v>
      </c>
      <c r="AH1234" s="6" t="n">
        <f aca="false">L1234</f>
        <v>0</v>
      </c>
    </row>
    <row r="1235" customFormat="false" ht="15" hidden="false" customHeight="false" outlineLevel="0" collapsed="false">
      <c r="A1235" s="0" t="str">
        <f aca="false">'Raw Data'!C1235</f>
        <v>Jamboree</v>
      </c>
      <c r="B1235" s="5" t="n">
        <f aca="false">'Raw Data'!A1235</f>
        <v>40309</v>
      </c>
      <c r="C1235" s="6" t="n">
        <f aca="false">'Raw Data'!D1235</f>
        <v>325.718762683012</v>
      </c>
      <c r="D1235" s="6" t="n">
        <f aca="false">'Raw Data'!E1235</f>
        <v>4.396666667</v>
      </c>
      <c r="E1235" s="6" t="n">
        <f aca="false">'Raw Data'!F1235</f>
        <v>1</v>
      </c>
      <c r="F1235" s="6" t="n">
        <f aca="false">'Raw Data'!G1235</f>
        <v>0</v>
      </c>
      <c r="G1235" s="6" t="n">
        <f aca="false">'Raw Data'!H1235</f>
        <v>0</v>
      </c>
      <c r="H1235" s="6" t="n">
        <f aca="false">'Raw Data'!I1235</f>
        <v>0</v>
      </c>
      <c r="I1235" s="6" t="n">
        <f aca="false">'Raw Data'!J1235</f>
        <v>1</v>
      </c>
      <c r="J1235" s="6" t="n">
        <f aca="false">'Raw Data'!K1235</f>
        <v>1</v>
      </c>
      <c r="K1235" s="6" t="n">
        <f aca="false">'Raw Data'!L1235</f>
        <v>2</v>
      </c>
      <c r="L1235" s="6" t="n">
        <f aca="false">F1235*E1235</f>
        <v>0</v>
      </c>
      <c r="N1235" s="0" t="n">
        <v>1</v>
      </c>
      <c r="O1235" s="6" t="n">
        <f aca="false">D1235</f>
        <v>4.396666667</v>
      </c>
      <c r="P1235" s="6" t="n">
        <f aca="false">E1235</f>
        <v>1</v>
      </c>
      <c r="Q1235" s="6" t="n">
        <f aca="false">F1235</f>
        <v>0</v>
      </c>
      <c r="R1235" s="6" t="n">
        <f aca="false">G1235</f>
        <v>0</v>
      </c>
      <c r="S1235" s="6" t="n">
        <f aca="false">H1235</f>
        <v>0</v>
      </c>
      <c r="T1235" s="6" t="n">
        <f aca="false">I1235</f>
        <v>1</v>
      </c>
      <c r="U1235" s="6" t="n">
        <f aca="false">L1235</f>
        <v>0</v>
      </c>
      <c r="W1235" s="6" t="n">
        <f aca="false">D1235</f>
        <v>4.396666667</v>
      </c>
      <c r="X1235" s="6" t="n">
        <f aca="false">E1235</f>
        <v>1</v>
      </c>
      <c r="Y1235" s="6" t="n">
        <f aca="false">F1235</f>
        <v>0</v>
      </c>
      <c r="Z1235" s="6" t="n">
        <f aca="false">L1235</f>
        <v>0</v>
      </c>
      <c r="AA1235" s="6" t="n">
        <f aca="false">G1235</f>
        <v>0</v>
      </c>
      <c r="AC1235" s="6" t="n">
        <f aca="false">D1235</f>
        <v>4.396666667</v>
      </c>
      <c r="AD1235" s="6" t="n">
        <f aca="false">E1235</f>
        <v>1</v>
      </c>
      <c r="AE1235" s="6" t="n">
        <f aca="false">G1235</f>
        <v>0</v>
      </c>
      <c r="AF1235" s="6" t="n">
        <f aca="false">H1235</f>
        <v>0</v>
      </c>
      <c r="AG1235" s="6" t="n">
        <f aca="false">I1235</f>
        <v>1</v>
      </c>
      <c r="AH1235" s="6" t="n">
        <f aca="false">L1235</f>
        <v>0</v>
      </c>
    </row>
    <row r="1236" customFormat="false" ht="15" hidden="false" customHeight="false" outlineLevel="0" collapsed="false">
      <c r="A1236" s="0" t="str">
        <f aca="false">'Raw Data'!C1236</f>
        <v>Jamboree</v>
      </c>
      <c r="B1236" s="5" t="n">
        <f aca="false">'Raw Data'!A1236</f>
        <v>40316</v>
      </c>
      <c r="C1236" s="6" t="n">
        <f aca="false">'Raw Data'!D1236</f>
        <v>247.137806675274</v>
      </c>
      <c r="D1236" s="6" t="n">
        <f aca="false">'Raw Data'!E1236</f>
        <v>4.147333333</v>
      </c>
      <c r="E1236" s="6" t="n">
        <f aca="false">'Raw Data'!F1236</f>
        <v>1</v>
      </c>
      <c r="F1236" s="6" t="n">
        <f aca="false">'Raw Data'!G1236</f>
        <v>0</v>
      </c>
      <c r="G1236" s="6" t="n">
        <f aca="false">'Raw Data'!H1236</f>
        <v>0</v>
      </c>
      <c r="H1236" s="6" t="n">
        <f aca="false">'Raw Data'!I1236</f>
        <v>0</v>
      </c>
      <c r="I1236" s="6" t="n">
        <f aca="false">'Raw Data'!J1236</f>
        <v>0</v>
      </c>
      <c r="J1236" s="6" t="n">
        <f aca="false">'Raw Data'!K1236</f>
        <v>1</v>
      </c>
      <c r="K1236" s="6" t="n">
        <f aca="false">'Raw Data'!L1236</f>
        <v>2</v>
      </c>
      <c r="L1236" s="6" t="n">
        <f aca="false">F1236*E1236</f>
        <v>0</v>
      </c>
      <c r="N1236" s="0" t="n">
        <v>1</v>
      </c>
      <c r="O1236" s="6" t="n">
        <f aca="false">D1236</f>
        <v>4.147333333</v>
      </c>
      <c r="P1236" s="6" t="n">
        <f aca="false">E1236</f>
        <v>1</v>
      </c>
      <c r="Q1236" s="6" t="n">
        <f aca="false">F1236</f>
        <v>0</v>
      </c>
      <c r="R1236" s="6" t="n">
        <f aca="false">G1236</f>
        <v>0</v>
      </c>
      <c r="S1236" s="6" t="n">
        <f aca="false">H1236</f>
        <v>0</v>
      </c>
      <c r="T1236" s="6" t="n">
        <f aca="false">I1236</f>
        <v>0</v>
      </c>
      <c r="U1236" s="6" t="n">
        <f aca="false">L1236</f>
        <v>0</v>
      </c>
      <c r="W1236" s="6" t="n">
        <f aca="false">D1236</f>
        <v>4.147333333</v>
      </c>
      <c r="X1236" s="6" t="n">
        <f aca="false">E1236</f>
        <v>1</v>
      </c>
      <c r="Y1236" s="6" t="n">
        <f aca="false">F1236</f>
        <v>0</v>
      </c>
      <c r="Z1236" s="6" t="n">
        <f aca="false">L1236</f>
        <v>0</v>
      </c>
      <c r="AA1236" s="6" t="n">
        <f aca="false">G1236</f>
        <v>0</v>
      </c>
      <c r="AC1236" s="6" t="n">
        <f aca="false">D1236</f>
        <v>4.147333333</v>
      </c>
      <c r="AD1236" s="6" t="n">
        <f aca="false">E1236</f>
        <v>1</v>
      </c>
      <c r="AE1236" s="6" t="n">
        <f aca="false">G1236</f>
        <v>0</v>
      </c>
      <c r="AF1236" s="6" t="n">
        <f aca="false">H1236</f>
        <v>0</v>
      </c>
      <c r="AG1236" s="6" t="n">
        <f aca="false">I1236</f>
        <v>0</v>
      </c>
      <c r="AH1236" s="6" t="n">
        <f aca="false">L1236</f>
        <v>0</v>
      </c>
    </row>
    <row r="1237" customFormat="false" ht="15" hidden="false" customHeight="false" outlineLevel="0" collapsed="false">
      <c r="A1237" s="0" t="str">
        <f aca="false">'Raw Data'!C1237</f>
        <v>Jamboree</v>
      </c>
      <c r="B1237" s="5" t="n">
        <f aca="false">'Raw Data'!A1237</f>
        <v>40323</v>
      </c>
      <c r="C1237" s="6" t="n">
        <f aca="false">'Raw Data'!D1237</f>
        <v>256.537100470522</v>
      </c>
      <c r="D1237" s="6" t="n">
        <f aca="false">'Raw Data'!E1237</f>
        <v>4.1</v>
      </c>
      <c r="E1237" s="6" t="n">
        <f aca="false">'Raw Data'!F1237</f>
        <v>1</v>
      </c>
      <c r="F1237" s="6" t="n">
        <f aca="false">'Raw Data'!G1237</f>
        <v>0</v>
      </c>
      <c r="G1237" s="6" t="n">
        <f aca="false">'Raw Data'!H1237</f>
        <v>0</v>
      </c>
      <c r="H1237" s="6" t="n">
        <f aca="false">'Raw Data'!I1237</f>
        <v>0</v>
      </c>
      <c r="I1237" s="6" t="n">
        <f aca="false">'Raw Data'!J1237</f>
        <v>0</v>
      </c>
      <c r="J1237" s="6" t="n">
        <f aca="false">'Raw Data'!K1237</f>
        <v>1</v>
      </c>
      <c r="K1237" s="6" t="n">
        <f aca="false">'Raw Data'!L1237</f>
        <v>2</v>
      </c>
      <c r="L1237" s="6" t="n">
        <f aca="false">F1237*E1237</f>
        <v>0</v>
      </c>
      <c r="N1237" s="0" t="n">
        <v>1</v>
      </c>
      <c r="O1237" s="6" t="n">
        <f aca="false">D1237</f>
        <v>4.1</v>
      </c>
      <c r="P1237" s="6" t="n">
        <f aca="false">E1237</f>
        <v>1</v>
      </c>
      <c r="Q1237" s="6" t="n">
        <f aca="false">F1237</f>
        <v>0</v>
      </c>
      <c r="R1237" s="6" t="n">
        <f aca="false">G1237</f>
        <v>0</v>
      </c>
      <c r="S1237" s="6" t="n">
        <f aca="false">H1237</f>
        <v>0</v>
      </c>
      <c r="T1237" s="6" t="n">
        <f aca="false">I1237</f>
        <v>0</v>
      </c>
      <c r="U1237" s="6" t="n">
        <f aca="false">L1237</f>
        <v>0</v>
      </c>
      <c r="W1237" s="6" t="n">
        <f aca="false">D1237</f>
        <v>4.1</v>
      </c>
      <c r="X1237" s="6" t="n">
        <f aca="false">E1237</f>
        <v>1</v>
      </c>
      <c r="Y1237" s="6" t="n">
        <f aca="false">F1237</f>
        <v>0</v>
      </c>
      <c r="Z1237" s="6" t="n">
        <f aca="false">L1237</f>
        <v>0</v>
      </c>
      <c r="AA1237" s="6" t="n">
        <f aca="false">G1237</f>
        <v>0</v>
      </c>
      <c r="AC1237" s="6" t="n">
        <f aca="false">D1237</f>
        <v>4.1</v>
      </c>
      <c r="AD1237" s="6" t="n">
        <f aca="false">E1237</f>
        <v>1</v>
      </c>
      <c r="AE1237" s="6" t="n">
        <f aca="false">G1237</f>
        <v>0</v>
      </c>
      <c r="AF1237" s="6" t="n">
        <f aca="false">H1237</f>
        <v>0</v>
      </c>
      <c r="AG1237" s="6" t="n">
        <f aca="false">I1237</f>
        <v>0</v>
      </c>
      <c r="AH1237" s="6" t="n">
        <f aca="false">L1237</f>
        <v>0</v>
      </c>
    </row>
    <row r="1238" customFormat="false" ht="15" hidden="false" customHeight="false" outlineLevel="0" collapsed="false">
      <c r="A1238" s="0" t="str">
        <f aca="false">'Raw Data'!C1238</f>
        <v>Jamboree</v>
      </c>
      <c r="B1238" s="5" t="n">
        <f aca="false">'Raw Data'!A1238</f>
        <v>40330</v>
      </c>
      <c r="C1238" s="6" t="n">
        <f aca="false">'Raw Data'!D1238</f>
        <v>254.036396716152</v>
      </c>
      <c r="D1238" s="6" t="n">
        <f aca="false">'Raw Data'!E1238</f>
        <v>4.1</v>
      </c>
      <c r="E1238" s="6" t="n">
        <f aca="false">'Raw Data'!F1238</f>
        <v>1</v>
      </c>
      <c r="F1238" s="6" t="n">
        <f aca="false">'Raw Data'!G1238</f>
        <v>0</v>
      </c>
      <c r="G1238" s="6" t="n">
        <f aca="false">'Raw Data'!H1238</f>
        <v>0</v>
      </c>
      <c r="H1238" s="6" t="n">
        <f aca="false">'Raw Data'!I1238</f>
        <v>0</v>
      </c>
      <c r="I1238" s="6" t="n">
        <f aca="false">'Raw Data'!J1238</f>
        <v>0</v>
      </c>
      <c r="J1238" s="6" t="n">
        <f aca="false">'Raw Data'!K1238</f>
        <v>1</v>
      </c>
      <c r="K1238" s="6" t="n">
        <f aca="false">'Raw Data'!L1238</f>
        <v>2</v>
      </c>
      <c r="L1238" s="6" t="n">
        <f aca="false">F1238*E1238</f>
        <v>0</v>
      </c>
      <c r="N1238" s="0" t="n">
        <v>1</v>
      </c>
      <c r="O1238" s="6" t="n">
        <f aca="false">D1238</f>
        <v>4.1</v>
      </c>
      <c r="P1238" s="6" t="n">
        <f aca="false">E1238</f>
        <v>1</v>
      </c>
      <c r="Q1238" s="6" t="n">
        <f aca="false">F1238</f>
        <v>0</v>
      </c>
      <c r="R1238" s="6" t="n">
        <f aca="false">G1238</f>
        <v>0</v>
      </c>
      <c r="S1238" s="6" t="n">
        <f aca="false">H1238</f>
        <v>0</v>
      </c>
      <c r="T1238" s="6" t="n">
        <f aca="false">I1238</f>
        <v>0</v>
      </c>
      <c r="U1238" s="6" t="n">
        <f aca="false">L1238</f>
        <v>0</v>
      </c>
      <c r="W1238" s="6" t="n">
        <f aca="false">D1238</f>
        <v>4.1</v>
      </c>
      <c r="X1238" s="6" t="n">
        <f aca="false">E1238</f>
        <v>1</v>
      </c>
      <c r="Y1238" s="6" t="n">
        <f aca="false">F1238</f>
        <v>0</v>
      </c>
      <c r="Z1238" s="6" t="n">
        <f aca="false">L1238</f>
        <v>0</v>
      </c>
      <c r="AA1238" s="6" t="n">
        <f aca="false">G1238</f>
        <v>0</v>
      </c>
      <c r="AC1238" s="6" t="n">
        <f aca="false">D1238</f>
        <v>4.1</v>
      </c>
      <c r="AD1238" s="6" t="n">
        <f aca="false">E1238</f>
        <v>1</v>
      </c>
      <c r="AE1238" s="6" t="n">
        <f aca="false">G1238</f>
        <v>0</v>
      </c>
      <c r="AF1238" s="6" t="n">
        <f aca="false">H1238</f>
        <v>0</v>
      </c>
      <c r="AG1238" s="6" t="n">
        <f aca="false">I1238</f>
        <v>0</v>
      </c>
      <c r="AH1238" s="6" t="n">
        <f aca="false">L1238</f>
        <v>0</v>
      </c>
    </row>
    <row r="1239" customFormat="false" ht="15" hidden="false" customHeight="false" outlineLevel="0" collapsed="false">
      <c r="A1239" s="0" t="str">
        <f aca="false">'Raw Data'!C1239</f>
        <v>Jamboree</v>
      </c>
      <c r="B1239" s="5" t="n">
        <f aca="false">'Raw Data'!A1239</f>
        <v>40337</v>
      </c>
      <c r="C1239" s="6" t="n">
        <f aca="false">'Raw Data'!D1239</f>
        <v>335.140337314964</v>
      </c>
      <c r="D1239" s="6" t="n">
        <f aca="false">'Raw Data'!E1239</f>
        <v>4.455</v>
      </c>
      <c r="E1239" s="6" t="n">
        <f aca="false">'Raw Data'!F1239</f>
        <v>1</v>
      </c>
      <c r="F1239" s="6" t="n">
        <f aca="false">'Raw Data'!G1239</f>
        <v>0</v>
      </c>
      <c r="G1239" s="6" t="n">
        <f aca="false">'Raw Data'!H1239</f>
        <v>0</v>
      </c>
      <c r="H1239" s="6" t="n">
        <f aca="false">'Raw Data'!I1239</f>
        <v>0</v>
      </c>
      <c r="I1239" s="6" t="n">
        <f aca="false">'Raw Data'!J1239</f>
        <v>0</v>
      </c>
      <c r="J1239" s="6" t="n">
        <f aca="false">'Raw Data'!K1239</f>
        <v>1</v>
      </c>
      <c r="K1239" s="6" t="n">
        <f aca="false">'Raw Data'!L1239</f>
        <v>2</v>
      </c>
      <c r="L1239" s="6" t="n">
        <f aca="false">F1239*E1239</f>
        <v>0</v>
      </c>
      <c r="N1239" s="0" t="n">
        <v>1</v>
      </c>
      <c r="O1239" s="6" t="n">
        <f aca="false">D1239</f>
        <v>4.455</v>
      </c>
      <c r="P1239" s="6" t="n">
        <f aca="false">E1239</f>
        <v>1</v>
      </c>
      <c r="Q1239" s="6" t="n">
        <f aca="false">F1239</f>
        <v>0</v>
      </c>
      <c r="R1239" s="6" t="n">
        <f aca="false">G1239</f>
        <v>0</v>
      </c>
      <c r="S1239" s="6" t="n">
        <f aca="false">H1239</f>
        <v>0</v>
      </c>
      <c r="T1239" s="6" t="n">
        <f aca="false">I1239</f>
        <v>0</v>
      </c>
      <c r="U1239" s="6" t="n">
        <f aca="false">L1239</f>
        <v>0</v>
      </c>
      <c r="W1239" s="6" t="n">
        <f aca="false">D1239</f>
        <v>4.455</v>
      </c>
      <c r="X1239" s="6" t="n">
        <f aca="false">E1239</f>
        <v>1</v>
      </c>
      <c r="Y1239" s="6" t="n">
        <f aca="false">F1239</f>
        <v>0</v>
      </c>
      <c r="Z1239" s="6" t="n">
        <f aca="false">L1239</f>
        <v>0</v>
      </c>
      <c r="AA1239" s="6" t="n">
        <f aca="false">G1239</f>
        <v>0</v>
      </c>
      <c r="AC1239" s="6" t="n">
        <f aca="false">D1239</f>
        <v>4.455</v>
      </c>
      <c r="AD1239" s="6" t="n">
        <f aca="false">E1239</f>
        <v>1</v>
      </c>
      <c r="AE1239" s="6" t="n">
        <f aca="false">G1239</f>
        <v>0</v>
      </c>
      <c r="AF1239" s="6" t="n">
        <f aca="false">H1239</f>
        <v>0</v>
      </c>
      <c r="AG1239" s="6" t="n">
        <f aca="false">I1239</f>
        <v>0</v>
      </c>
      <c r="AH1239" s="6" t="n">
        <f aca="false">L1239</f>
        <v>0</v>
      </c>
    </row>
    <row r="1240" customFormat="false" ht="15" hidden="false" customHeight="false" outlineLevel="0" collapsed="false">
      <c r="A1240" s="0" t="str">
        <f aca="false">'Raw Data'!C1240</f>
        <v>Jamboree</v>
      </c>
      <c r="B1240" s="5" t="n">
        <f aca="false">'Raw Data'!A1240</f>
        <v>40344</v>
      </c>
      <c r="C1240" s="6" t="n">
        <f aca="false">'Raw Data'!D1240</f>
        <v>254.095010311714</v>
      </c>
      <c r="D1240" s="6" t="n">
        <f aca="false">'Raw Data'!E1240</f>
        <v>4.396666667</v>
      </c>
      <c r="E1240" s="6" t="n">
        <f aca="false">'Raw Data'!F1240</f>
        <v>1</v>
      </c>
      <c r="F1240" s="6" t="n">
        <f aca="false">'Raw Data'!G1240</f>
        <v>0</v>
      </c>
      <c r="G1240" s="6" t="n">
        <f aca="false">'Raw Data'!H1240</f>
        <v>0</v>
      </c>
      <c r="H1240" s="6" t="n">
        <f aca="false">'Raw Data'!I1240</f>
        <v>0</v>
      </c>
      <c r="I1240" s="6" t="n">
        <f aca="false">'Raw Data'!J1240</f>
        <v>0</v>
      </c>
      <c r="J1240" s="6" t="n">
        <f aca="false">'Raw Data'!K1240</f>
        <v>1</v>
      </c>
      <c r="K1240" s="6" t="n">
        <f aca="false">'Raw Data'!L1240</f>
        <v>2</v>
      </c>
      <c r="L1240" s="6" t="n">
        <f aca="false">F1240*E1240</f>
        <v>0</v>
      </c>
      <c r="N1240" s="0" t="n">
        <v>1</v>
      </c>
      <c r="O1240" s="6" t="n">
        <f aca="false">D1240</f>
        <v>4.396666667</v>
      </c>
      <c r="P1240" s="6" t="n">
        <f aca="false">E1240</f>
        <v>1</v>
      </c>
      <c r="Q1240" s="6" t="n">
        <f aca="false">F1240</f>
        <v>0</v>
      </c>
      <c r="R1240" s="6" t="n">
        <f aca="false">G1240</f>
        <v>0</v>
      </c>
      <c r="S1240" s="6" t="n">
        <f aca="false">H1240</f>
        <v>0</v>
      </c>
      <c r="T1240" s="6" t="n">
        <f aca="false">I1240</f>
        <v>0</v>
      </c>
      <c r="U1240" s="6" t="n">
        <f aca="false">L1240</f>
        <v>0</v>
      </c>
      <c r="W1240" s="6" t="n">
        <f aca="false">D1240</f>
        <v>4.396666667</v>
      </c>
      <c r="X1240" s="6" t="n">
        <f aca="false">E1240</f>
        <v>1</v>
      </c>
      <c r="Y1240" s="6" t="n">
        <f aca="false">F1240</f>
        <v>0</v>
      </c>
      <c r="Z1240" s="6" t="n">
        <f aca="false">L1240</f>
        <v>0</v>
      </c>
      <c r="AA1240" s="6" t="n">
        <f aca="false">G1240</f>
        <v>0</v>
      </c>
      <c r="AC1240" s="6" t="n">
        <f aca="false">D1240</f>
        <v>4.396666667</v>
      </c>
      <c r="AD1240" s="6" t="n">
        <f aca="false">E1240</f>
        <v>1</v>
      </c>
      <c r="AE1240" s="6" t="n">
        <f aca="false">G1240</f>
        <v>0</v>
      </c>
      <c r="AF1240" s="6" t="n">
        <f aca="false">H1240</f>
        <v>0</v>
      </c>
      <c r="AG1240" s="6" t="n">
        <f aca="false">I1240</f>
        <v>0</v>
      </c>
      <c r="AH1240" s="6" t="n">
        <f aca="false">L1240</f>
        <v>0</v>
      </c>
    </row>
    <row r="1241" customFormat="false" ht="15" hidden="false" customHeight="false" outlineLevel="0" collapsed="false">
      <c r="A1241" s="0" t="str">
        <f aca="false">'Raw Data'!C1241</f>
        <v>Jamboree</v>
      </c>
      <c r="B1241" s="5" t="n">
        <f aca="false">'Raw Data'!A1241</f>
        <v>40351</v>
      </c>
      <c r="C1241" s="6" t="n">
        <f aca="false">'Raw Data'!D1241</f>
        <v>327.023072948753</v>
      </c>
      <c r="D1241" s="6" t="n">
        <f aca="false">'Raw Data'!E1241</f>
        <v>4.345333333</v>
      </c>
      <c r="E1241" s="6" t="n">
        <f aca="false">'Raw Data'!F1241</f>
        <v>1</v>
      </c>
      <c r="F1241" s="6" t="n">
        <f aca="false">'Raw Data'!G1241</f>
        <v>0</v>
      </c>
      <c r="G1241" s="6" t="n">
        <f aca="false">'Raw Data'!H1241</f>
        <v>1</v>
      </c>
      <c r="H1241" s="6" t="n">
        <f aca="false">'Raw Data'!I1241</f>
        <v>0</v>
      </c>
      <c r="I1241" s="6" t="n">
        <f aca="false">'Raw Data'!J1241</f>
        <v>0</v>
      </c>
      <c r="J1241" s="6" t="n">
        <f aca="false">'Raw Data'!K1241</f>
        <v>1</v>
      </c>
      <c r="K1241" s="6" t="n">
        <f aca="false">'Raw Data'!L1241</f>
        <v>2</v>
      </c>
      <c r="L1241" s="6" t="n">
        <f aca="false">F1241*E1241</f>
        <v>0</v>
      </c>
      <c r="N1241" s="0" t="n">
        <v>1</v>
      </c>
      <c r="O1241" s="6" t="n">
        <f aca="false">D1241</f>
        <v>4.345333333</v>
      </c>
      <c r="P1241" s="6" t="n">
        <f aca="false">E1241</f>
        <v>1</v>
      </c>
      <c r="Q1241" s="6" t="n">
        <f aca="false">F1241</f>
        <v>0</v>
      </c>
      <c r="R1241" s="6" t="n">
        <f aca="false">G1241</f>
        <v>1</v>
      </c>
      <c r="S1241" s="6" t="n">
        <f aca="false">H1241</f>
        <v>0</v>
      </c>
      <c r="T1241" s="6" t="n">
        <f aca="false">I1241</f>
        <v>0</v>
      </c>
      <c r="U1241" s="6" t="n">
        <f aca="false">L1241</f>
        <v>0</v>
      </c>
      <c r="W1241" s="6" t="n">
        <f aca="false">D1241</f>
        <v>4.345333333</v>
      </c>
      <c r="X1241" s="6" t="n">
        <f aca="false">E1241</f>
        <v>1</v>
      </c>
      <c r="Y1241" s="6" t="n">
        <f aca="false">F1241</f>
        <v>0</v>
      </c>
      <c r="Z1241" s="6" t="n">
        <f aca="false">L1241</f>
        <v>0</v>
      </c>
      <c r="AA1241" s="6" t="n">
        <f aca="false">G1241</f>
        <v>1</v>
      </c>
      <c r="AC1241" s="6" t="n">
        <f aca="false">D1241</f>
        <v>4.345333333</v>
      </c>
      <c r="AD1241" s="6" t="n">
        <f aca="false">E1241</f>
        <v>1</v>
      </c>
      <c r="AE1241" s="6" t="n">
        <f aca="false">G1241</f>
        <v>1</v>
      </c>
      <c r="AF1241" s="6" t="n">
        <f aca="false">H1241</f>
        <v>0</v>
      </c>
      <c r="AG1241" s="6" t="n">
        <f aca="false">I1241</f>
        <v>0</v>
      </c>
      <c r="AH1241" s="6" t="n">
        <f aca="false">L1241</f>
        <v>0</v>
      </c>
    </row>
    <row r="1242" customFormat="false" ht="15" hidden="false" customHeight="false" outlineLevel="0" collapsed="false">
      <c r="A1242" s="0" t="str">
        <f aca="false">'Raw Data'!C1242</f>
        <v>Jamboree</v>
      </c>
      <c r="B1242" s="5" t="n">
        <f aca="false">'Raw Data'!A1242</f>
        <v>40358</v>
      </c>
      <c r="C1242" s="6" t="n">
        <f aca="false">'Raw Data'!D1242</f>
        <v>301.254696087796</v>
      </c>
      <c r="D1242" s="6" t="n">
        <f aca="false">'Raw Data'!E1242</f>
        <v>4.396666667</v>
      </c>
      <c r="E1242" s="6" t="n">
        <f aca="false">'Raw Data'!F1242</f>
        <v>1</v>
      </c>
      <c r="F1242" s="6" t="n">
        <f aca="false">'Raw Data'!G1242</f>
        <v>0</v>
      </c>
      <c r="G1242" s="6" t="n">
        <f aca="false">'Raw Data'!H1242</f>
        <v>0</v>
      </c>
      <c r="H1242" s="6" t="n">
        <f aca="false">'Raw Data'!I1242</f>
        <v>1</v>
      </c>
      <c r="I1242" s="6" t="n">
        <f aca="false">'Raw Data'!J1242</f>
        <v>0</v>
      </c>
      <c r="J1242" s="6" t="n">
        <f aca="false">'Raw Data'!K1242</f>
        <v>1</v>
      </c>
      <c r="K1242" s="6" t="n">
        <f aca="false">'Raw Data'!L1242</f>
        <v>2</v>
      </c>
      <c r="L1242" s="6" t="n">
        <f aca="false">F1242*E1242</f>
        <v>0</v>
      </c>
      <c r="N1242" s="0" t="n">
        <v>1</v>
      </c>
      <c r="O1242" s="6" t="n">
        <f aca="false">D1242</f>
        <v>4.396666667</v>
      </c>
      <c r="P1242" s="6" t="n">
        <f aca="false">E1242</f>
        <v>1</v>
      </c>
      <c r="Q1242" s="6" t="n">
        <f aca="false">F1242</f>
        <v>0</v>
      </c>
      <c r="R1242" s="6" t="n">
        <f aca="false">G1242</f>
        <v>0</v>
      </c>
      <c r="S1242" s="6" t="n">
        <f aca="false">H1242</f>
        <v>1</v>
      </c>
      <c r="T1242" s="6" t="n">
        <f aca="false">I1242</f>
        <v>0</v>
      </c>
      <c r="U1242" s="6" t="n">
        <f aca="false">L1242</f>
        <v>0</v>
      </c>
      <c r="W1242" s="6" t="n">
        <f aca="false">D1242</f>
        <v>4.396666667</v>
      </c>
      <c r="X1242" s="6" t="n">
        <f aca="false">E1242</f>
        <v>1</v>
      </c>
      <c r="Y1242" s="6" t="n">
        <f aca="false">F1242</f>
        <v>0</v>
      </c>
      <c r="Z1242" s="6" t="n">
        <f aca="false">L1242</f>
        <v>0</v>
      </c>
      <c r="AA1242" s="6" t="n">
        <f aca="false">G1242</f>
        <v>0</v>
      </c>
      <c r="AC1242" s="6" t="n">
        <f aca="false">D1242</f>
        <v>4.396666667</v>
      </c>
      <c r="AD1242" s="6" t="n">
        <f aca="false">E1242</f>
        <v>1</v>
      </c>
      <c r="AE1242" s="6" t="n">
        <f aca="false">G1242</f>
        <v>0</v>
      </c>
      <c r="AF1242" s="6" t="n">
        <f aca="false">H1242</f>
        <v>1</v>
      </c>
      <c r="AG1242" s="6" t="n">
        <f aca="false">I1242</f>
        <v>0</v>
      </c>
      <c r="AH1242" s="6" t="n">
        <f aca="false">L1242</f>
        <v>0</v>
      </c>
    </row>
    <row r="1243" customFormat="false" ht="15" hidden="false" customHeight="false" outlineLevel="0" collapsed="false">
      <c r="A1243" s="0" t="str">
        <f aca="false">'Raw Data'!C1243</f>
        <v>Jamboree</v>
      </c>
      <c r="B1243" s="5" t="n">
        <f aca="false">'Raw Data'!A1243</f>
        <v>40365</v>
      </c>
      <c r="C1243" s="6" t="n">
        <f aca="false">'Raw Data'!D1243</f>
        <v>333.54676087387</v>
      </c>
      <c r="D1243" s="6" t="n">
        <f aca="false">'Raw Data'!E1243</f>
        <v>4.286875</v>
      </c>
      <c r="E1243" s="6" t="n">
        <f aca="false">'Raw Data'!F1243</f>
        <v>1</v>
      </c>
      <c r="F1243" s="6" t="n">
        <f aca="false">'Raw Data'!G1243</f>
        <v>0</v>
      </c>
      <c r="G1243" s="6" t="n">
        <f aca="false">'Raw Data'!H1243</f>
        <v>0</v>
      </c>
      <c r="H1243" s="6" t="n">
        <f aca="false">'Raw Data'!I1243</f>
        <v>1</v>
      </c>
      <c r="I1243" s="6" t="n">
        <f aca="false">'Raw Data'!J1243</f>
        <v>0</v>
      </c>
      <c r="J1243" s="6" t="n">
        <f aca="false">'Raw Data'!K1243</f>
        <v>1</v>
      </c>
      <c r="K1243" s="6" t="n">
        <f aca="false">'Raw Data'!L1243</f>
        <v>2</v>
      </c>
      <c r="L1243" s="6" t="n">
        <f aca="false">F1243*E1243</f>
        <v>0</v>
      </c>
      <c r="N1243" s="0" t="n">
        <v>1</v>
      </c>
      <c r="O1243" s="6" t="n">
        <f aca="false">D1243</f>
        <v>4.286875</v>
      </c>
      <c r="P1243" s="6" t="n">
        <f aca="false">E1243</f>
        <v>1</v>
      </c>
      <c r="Q1243" s="6" t="n">
        <f aca="false">F1243</f>
        <v>0</v>
      </c>
      <c r="R1243" s="6" t="n">
        <f aca="false">G1243</f>
        <v>0</v>
      </c>
      <c r="S1243" s="6" t="n">
        <f aca="false">H1243</f>
        <v>1</v>
      </c>
      <c r="T1243" s="6" t="n">
        <f aca="false">I1243</f>
        <v>0</v>
      </c>
      <c r="U1243" s="6" t="n">
        <f aca="false">L1243</f>
        <v>0</v>
      </c>
      <c r="W1243" s="6" t="n">
        <f aca="false">D1243</f>
        <v>4.286875</v>
      </c>
      <c r="X1243" s="6" t="n">
        <f aca="false">E1243</f>
        <v>1</v>
      </c>
      <c r="Y1243" s="6" t="n">
        <f aca="false">F1243</f>
        <v>0</v>
      </c>
      <c r="Z1243" s="6" t="n">
        <f aca="false">L1243</f>
        <v>0</v>
      </c>
      <c r="AA1243" s="6" t="n">
        <f aca="false">G1243</f>
        <v>0</v>
      </c>
      <c r="AC1243" s="6" t="n">
        <f aca="false">D1243</f>
        <v>4.286875</v>
      </c>
      <c r="AD1243" s="6" t="n">
        <f aca="false">E1243</f>
        <v>1</v>
      </c>
      <c r="AE1243" s="6" t="n">
        <f aca="false">G1243</f>
        <v>0</v>
      </c>
      <c r="AF1243" s="6" t="n">
        <f aca="false">H1243</f>
        <v>1</v>
      </c>
      <c r="AG1243" s="6" t="n">
        <f aca="false">I1243</f>
        <v>0</v>
      </c>
      <c r="AH1243" s="6" t="n">
        <f aca="false">L1243</f>
        <v>0</v>
      </c>
    </row>
    <row r="1244" customFormat="false" ht="15" hidden="false" customHeight="false" outlineLevel="0" collapsed="false">
      <c r="A1244" s="0" t="str">
        <f aca="false">'Raw Data'!C1244</f>
        <v>Jamboree</v>
      </c>
      <c r="B1244" s="5" t="n">
        <f aca="false">'Raw Data'!A1244</f>
        <v>40372</v>
      </c>
      <c r="C1244" s="6" t="n">
        <f aca="false">'Raw Data'!D1244</f>
        <v>309.273176410925</v>
      </c>
      <c r="D1244" s="6" t="n">
        <f aca="false">'Raw Data'!E1244</f>
        <v>4.248125</v>
      </c>
      <c r="E1244" s="6" t="n">
        <f aca="false">'Raw Data'!F1244</f>
        <v>1</v>
      </c>
      <c r="F1244" s="6" t="n">
        <f aca="false">'Raw Data'!G1244</f>
        <v>0</v>
      </c>
      <c r="G1244" s="6" t="n">
        <f aca="false">'Raw Data'!H1244</f>
        <v>0</v>
      </c>
      <c r="H1244" s="6" t="n">
        <f aca="false">'Raw Data'!I1244</f>
        <v>1</v>
      </c>
      <c r="I1244" s="6" t="n">
        <f aca="false">'Raw Data'!J1244</f>
        <v>0</v>
      </c>
      <c r="J1244" s="6" t="n">
        <f aca="false">'Raw Data'!K1244</f>
        <v>1</v>
      </c>
      <c r="K1244" s="6" t="n">
        <f aca="false">'Raw Data'!L1244</f>
        <v>2</v>
      </c>
      <c r="L1244" s="6" t="n">
        <f aca="false">F1244*E1244</f>
        <v>0</v>
      </c>
      <c r="N1244" s="0" t="n">
        <v>1</v>
      </c>
      <c r="O1244" s="6" t="n">
        <f aca="false">D1244</f>
        <v>4.248125</v>
      </c>
      <c r="P1244" s="6" t="n">
        <f aca="false">E1244</f>
        <v>1</v>
      </c>
      <c r="Q1244" s="6" t="n">
        <f aca="false">F1244</f>
        <v>0</v>
      </c>
      <c r="R1244" s="6" t="n">
        <f aca="false">G1244</f>
        <v>0</v>
      </c>
      <c r="S1244" s="6" t="n">
        <f aca="false">H1244</f>
        <v>1</v>
      </c>
      <c r="T1244" s="6" t="n">
        <f aca="false">I1244</f>
        <v>0</v>
      </c>
      <c r="U1244" s="6" t="n">
        <f aca="false">L1244</f>
        <v>0</v>
      </c>
      <c r="W1244" s="6" t="n">
        <f aca="false">D1244</f>
        <v>4.248125</v>
      </c>
      <c r="X1244" s="6" t="n">
        <f aca="false">E1244</f>
        <v>1</v>
      </c>
      <c r="Y1244" s="6" t="n">
        <f aca="false">F1244</f>
        <v>0</v>
      </c>
      <c r="Z1244" s="6" t="n">
        <f aca="false">L1244</f>
        <v>0</v>
      </c>
      <c r="AA1244" s="6" t="n">
        <f aca="false">G1244</f>
        <v>0</v>
      </c>
      <c r="AC1244" s="6" t="n">
        <f aca="false">D1244</f>
        <v>4.248125</v>
      </c>
      <c r="AD1244" s="6" t="n">
        <f aca="false">E1244</f>
        <v>1</v>
      </c>
      <c r="AE1244" s="6" t="n">
        <f aca="false">G1244</f>
        <v>0</v>
      </c>
      <c r="AF1244" s="6" t="n">
        <f aca="false">H1244</f>
        <v>1</v>
      </c>
      <c r="AG1244" s="6" t="n">
        <f aca="false">I1244</f>
        <v>0</v>
      </c>
      <c r="AH1244" s="6" t="n">
        <f aca="false">L1244</f>
        <v>0</v>
      </c>
    </row>
    <row r="1245" customFormat="false" ht="15" hidden="false" customHeight="false" outlineLevel="0" collapsed="false">
      <c r="A1245" s="0" t="str">
        <f aca="false">'Raw Data'!C1245</f>
        <v>Las Vegas Blvd</v>
      </c>
      <c r="B1245" s="5" t="n">
        <f aca="false">'Raw Data'!A1245</f>
        <v>40302</v>
      </c>
      <c r="C1245" s="6" t="n">
        <f aca="false">'Raw Data'!D1245</f>
        <v>287.350198698677</v>
      </c>
      <c r="D1245" s="6" t="n">
        <f aca="false">'Raw Data'!E1245</f>
        <v>3.998333333</v>
      </c>
      <c r="E1245" s="6" t="n">
        <f aca="false">'Raw Data'!F1245</f>
        <v>1</v>
      </c>
      <c r="F1245" s="6" t="n">
        <f aca="false">'Raw Data'!G1245</f>
        <v>0</v>
      </c>
      <c r="G1245" s="6" t="n">
        <f aca="false">'Raw Data'!H1245</f>
        <v>0</v>
      </c>
      <c r="H1245" s="6" t="n">
        <f aca="false">'Raw Data'!I1245</f>
        <v>0</v>
      </c>
      <c r="I1245" s="6" t="n">
        <f aca="false">'Raw Data'!J1245</f>
        <v>1</v>
      </c>
      <c r="J1245" s="6" t="n">
        <f aca="false">'Raw Data'!K1245</f>
        <v>0</v>
      </c>
      <c r="K1245" s="6" t="n">
        <f aca="false">'Raw Data'!L1245</f>
        <v>1</v>
      </c>
      <c r="L1245" s="6" t="n">
        <f aca="false">F1245*E1245</f>
        <v>0</v>
      </c>
      <c r="N1245" s="0" t="n">
        <v>1</v>
      </c>
      <c r="O1245" s="6" t="n">
        <f aca="false">D1245</f>
        <v>3.998333333</v>
      </c>
      <c r="P1245" s="6" t="n">
        <f aca="false">E1245</f>
        <v>1</v>
      </c>
      <c r="Q1245" s="6" t="n">
        <f aca="false">F1245</f>
        <v>0</v>
      </c>
      <c r="R1245" s="6" t="n">
        <f aca="false">G1245</f>
        <v>0</v>
      </c>
      <c r="S1245" s="6" t="n">
        <f aca="false">H1245</f>
        <v>0</v>
      </c>
      <c r="T1245" s="6" t="n">
        <f aca="false">I1245</f>
        <v>1</v>
      </c>
      <c r="U1245" s="6" t="n">
        <f aca="false">L1245</f>
        <v>0</v>
      </c>
      <c r="W1245" s="6" t="n">
        <f aca="false">D1245</f>
        <v>3.998333333</v>
      </c>
      <c r="X1245" s="6" t="n">
        <f aca="false">E1245</f>
        <v>1</v>
      </c>
      <c r="Y1245" s="6" t="n">
        <f aca="false">F1245</f>
        <v>0</v>
      </c>
      <c r="Z1245" s="6" t="n">
        <f aca="false">L1245</f>
        <v>0</v>
      </c>
      <c r="AA1245" s="6" t="n">
        <f aca="false">G1245</f>
        <v>0</v>
      </c>
      <c r="AC1245" s="6" t="n">
        <f aca="false">D1245</f>
        <v>3.998333333</v>
      </c>
      <c r="AD1245" s="6" t="n">
        <f aca="false">E1245</f>
        <v>1</v>
      </c>
      <c r="AE1245" s="6" t="n">
        <f aca="false">G1245</f>
        <v>0</v>
      </c>
      <c r="AF1245" s="6" t="n">
        <f aca="false">H1245</f>
        <v>0</v>
      </c>
      <c r="AG1245" s="6" t="n">
        <f aca="false">I1245</f>
        <v>1</v>
      </c>
      <c r="AH1245" s="6" t="n">
        <f aca="false">L1245</f>
        <v>0</v>
      </c>
    </row>
    <row r="1246" customFormat="false" ht="15" hidden="false" customHeight="false" outlineLevel="0" collapsed="false">
      <c r="A1246" s="0" t="str">
        <f aca="false">'Raw Data'!C1246</f>
        <v>Las Vegas Blvd</v>
      </c>
      <c r="B1246" s="5" t="n">
        <f aca="false">'Raw Data'!A1246</f>
        <v>40309</v>
      </c>
      <c r="C1246" s="6" t="n">
        <f aca="false">'Raw Data'!D1246</f>
        <v>296.961369774163</v>
      </c>
      <c r="D1246" s="6" t="n">
        <f aca="false">'Raw Data'!E1246</f>
        <v>4.14</v>
      </c>
      <c r="E1246" s="6" t="n">
        <f aca="false">'Raw Data'!F1246</f>
        <v>1</v>
      </c>
      <c r="F1246" s="6" t="n">
        <f aca="false">'Raw Data'!G1246</f>
        <v>0</v>
      </c>
      <c r="G1246" s="6" t="n">
        <f aca="false">'Raw Data'!H1246</f>
        <v>0</v>
      </c>
      <c r="H1246" s="6" t="n">
        <f aca="false">'Raw Data'!I1246</f>
        <v>0</v>
      </c>
      <c r="I1246" s="6" t="n">
        <f aca="false">'Raw Data'!J1246</f>
        <v>1</v>
      </c>
      <c r="J1246" s="6" t="n">
        <f aca="false">'Raw Data'!K1246</f>
        <v>0</v>
      </c>
      <c r="K1246" s="6" t="n">
        <f aca="false">'Raw Data'!L1246</f>
        <v>1</v>
      </c>
      <c r="L1246" s="6" t="n">
        <f aca="false">F1246*E1246</f>
        <v>0</v>
      </c>
      <c r="N1246" s="0" t="n">
        <v>1</v>
      </c>
      <c r="O1246" s="6" t="n">
        <f aca="false">D1246</f>
        <v>4.14</v>
      </c>
      <c r="P1246" s="6" t="n">
        <f aca="false">E1246</f>
        <v>1</v>
      </c>
      <c r="Q1246" s="6" t="n">
        <f aca="false">F1246</f>
        <v>0</v>
      </c>
      <c r="R1246" s="6" t="n">
        <f aca="false">G1246</f>
        <v>0</v>
      </c>
      <c r="S1246" s="6" t="n">
        <f aca="false">H1246</f>
        <v>0</v>
      </c>
      <c r="T1246" s="6" t="n">
        <f aca="false">I1246</f>
        <v>1</v>
      </c>
      <c r="U1246" s="6" t="n">
        <f aca="false">L1246</f>
        <v>0</v>
      </c>
      <c r="W1246" s="6" t="n">
        <f aca="false">D1246</f>
        <v>4.14</v>
      </c>
      <c r="X1246" s="6" t="n">
        <f aca="false">E1246</f>
        <v>1</v>
      </c>
      <c r="Y1246" s="6" t="n">
        <f aca="false">F1246</f>
        <v>0</v>
      </c>
      <c r="Z1246" s="6" t="n">
        <f aca="false">L1246</f>
        <v>0</v>
      </c>
      <c r="AA1246" s="6" t="n">
        <f aca="false">G1246</f>
        <v>0</v>
      </c>
      <c r="AC1246" s="6" t="n">
        <f aca="false">D1246</f>
        <v>4.14</v>
      </c>
      <c r="AD1246" s="6" t="n">
        <f aca="false">E1246</f>
        <v>1</v>
      </c>
      <c r="AE1246" s="6" t="n">
        <f aca="false">G1246</f>
        <v>0</v>
      </c>
      <c r="AF1246" s="6" t="n">
        <f aca="false">H1246</f>
        <v>0</v>
      </c>
      <c r="AG1246" s="6" t="n">
        <f aca="false">I1246</f>
        <v>1</v>
      </c>
      <c r="AH1246" s="6" t="n">
        <f aca="false">L1246</f>
        <v>0</v>
      </c>
    </row>
    <row r="1247" customFormat="false" ht="15" hidden="false" customHeight="false" outlineLevel="0" collapsed="false">
      <c r="A1247" s="0" t="str">
        <f aca="false">'Raw Data'!C1247</f>
        <v>Las Vegas Blvd</v>
      </c>
      <c r="B1247" s="5" t="n">
        <f aca="false">'Raw Data'!A1247</f>
        <v>40316</v>
      </c>
      <c r="C1247" s="6" t="n">
        <f aca="false">'Raw Data'!D1247</f>
        <v>305.485365790556</v>
      </c>
      <c r="D1247" s="6" t="n">
        <f aca="false">'Raw Data'!E1247</f>
        <v>3.927272727</v>
      </c>
      <c r="E1247" s="6" t="n">
        <f aca="false">'Raw Data'!F1247</f>
        <v>1</v>
      </c>
      <c r="F1247" s="6" t="n">
        <f aca="false">'Raw Data'!G1247</f>
        <v>0</v>
      </c>
      <c r="G1247" s="6" t="n">
        <f aca="false">'Raw Data'!H1247</f>
        <v>0</v>
      </c>
      <c r="H1247" s="6" t="n">
        <f aca="false">'Raw Data'!I1247</f>
        <v>0</v>
      </c>
      <c r="I1247" s="6" t="n">
        <f aca="false">'Raw Data'!J1247</f>
        <v>0</v>
      </c>
      <c r="J1247" s="6" t="n">
        <f aca="false">'Raw Data'!K1247</f>
        <v>0</v>
      </c>
      <c r="K1247" s="6" t="n">
        <f aca="false">'Raw Data'!L1247</f>
        <v>1</v>
      </c>
      <c r="L1247" s="6" t="n">
        <f aca="false">F1247*E1247</f>
        <v>0</v>
      </c>
      <c r="N1247" s="0" t="n">
        <v>1</v>
      </c>
      <c r="O1247" s="6" t="n">
        <f aca="false">D1247</f>
        <v>3.927272727</v>
      </c>
      <c r="P1247" s="6" t="n">
        <f aca="false">E1247</f>
        <v>1</v>
      </c>
      <c r="Q1247" s="6" t="n">
        <f aca="false">F1247</f>
        <v>0</v>
      </c>
      <c r="R1247" s="6" t="n">
        <f aca="false">G1247</f>
        <v>0</v>
      </c>
      <c r="S1247" s="6" t="n">
        <f aca="false">H1247</f>
        <v>0</v>
      </c>
      <c r="T1247" s="6" t="n">
        <f aca="false">I1247</f>
        <v>0</v>
      </c>
      <c r="U1247" s="6" t="n">
        <f aca="false">L1247</f>
        <v>0</v>
      </c>
      <c r="W1247" s="6" t="n">
        <f aca="false">D1247</f>
        <v>3.927272727</v>
      </c>
      <c r="X1247" s="6" t="n">
        <f aca="false">E1247</f>
        <v>1</v>
      </c>
      <c r="Y1247" s="6" t="n">
        <f aca="false">F1247</f>
        <v>0</v>
      </c>
      <c r="Z1247" s="6" t="n">
        <f aca="false">L1247</f>
        <v>0</v>
      </c>
      <c r="AA1247" s="6" t="n">
        <f aca="false">G1247</f>
        <v>0</v>
      </c>
      <c r="AC1247" s="6" t="n">
        <f aca="false">D1247</f>
        <v>3.927272727</v>
      </c>
      <c r="AD1247" s="6" t="n">
        <f aca="false">E1247</f>
        <v>1</v>
      </c>
      <c r="AE1247" s="6" t="n">
        <f aca="false">G1247</f>
        <v>0</v>
      </c>
      <c r="AF1247" s="6" t="n">
        <f aca="false">H1247</f>
        <v>0</v>
      </c>
      <c r="AG1247" s="6" t="n">
        <f aca="false">I1247</f>
        <v>0</v>
      </c>
      <c r="AH1247" s="6" t="n">
        <f aca="false">L1247</f>
        <v>0</v>
      </c>
    </row>
    <row r="1248" customFormat="false" ht="15" hidden="false" customHeight="false" outlineLevel="0" collapsed="false">
      <c r="A1248" s="0" t="str">
        <f aca="false">'Raw Data'!C1248</f>
        <v>Las Vegas Blvd</v>
      </c>
      <c r="B1248" s="5" t="n">
        <f aca="false">'Raw Data'!A1248</f>
        <v>40323</v>
      </c>
      <c r="C1248" s="6" t="n">
        <f aca="false">'Raw Data'!D1248</f>
        <v>295.202044767528</v>
      </c>
      <c r="D1248" s="6" t="n">
        <f aca="false">'Raw Data'!E1248</f>
        <v>3.894545455</v>
      </c>
      <c r="E1248" s="6" t="n">
        <f aca="false">'Raw Data'!F1248</f>
        <v>1</v>
      </c>
      <c r="F1248" s="6" t="n">
        <f aca="false">'Raw Data'!G1248</f>
        <v>0</v>
      </c>
      <c r="G1248" s="6" t="n">
        <f aca="false">'Raw Data'!H1248</f>
        <v>0</v>
      </c>
      <c r="H1248" s="6" t="n">
        <f aca="false">'Raw Data'!I1248</f>
        <v>0</v>
      </c>
      <c r="I1248" s="6" t="n">
        <f aca="false">'Raw Data'!J1248</f>
        <v>0</v>
      </c>
      <c r="J1248" s="6" t="n">
        <f aca="false">'Raw Data'!K1248</f>
        <v>0</v>
      </c>
      <c r="K1248" s="6" t="n">
        <f aca="false">'Raw Data'!L1248</f>
        <v>1</v>
      </c>
      <c r="L1248" s="6" t="n">
        <f aca="false">F1248*E1248</f>
        <v>0</v>
      </c>
      <c r="N1248" s="0" t="n">
        <v>1</v>
      </c>
      <c r="O1248" s="6" t="n">
        <f aca="false">D1248</f>
        <v>3.894545455</v>
      </c>
      <c r="P1248" s="6" t="n">
        <f aca="false">E1248</f>
        <v>1</v>
      </c>
      <c r="Q1248" s="6" t="n">
        <f aca="false">F1248</f>
        <v>0</v>
      </c>
      <c r="R1248" s="6" t="n">
        <f aca="false">G1248</f>
        <v>0</v>
      </c>
      <c r="S1248" s="6" t="n">
        <f aca="false">H1248</f>
        <v>0</v>
      </c>
      <c r="T1248" s="6" t="n">
        <f aca="false">I1248</f>
        <v>0</v>
      </c>
      <c r="U1248" s="6" t="n">
        <f aca="false">L1248</f>
        <v>0</v>
      </c>
      <c r="W1248" s="6" t="n">
        <f aca="false">D1248</f>
        <v>3.894545455</v>
      </c>
      <c r="X1248" s="6" t="n">
        <f aca="false">E1248</f>
        <v>1</v>
      </c>
      <c r="Y1248" s="6" t="n">
        <f aca="false">F1248</f>
        <v>0</v>
      </c>
      <c r="Z1248" s="6" t="n">
        <f aca="false">L1248</f>
        <v>0</v>
      </c>
      <c r="AA1248" s="6" t="n">
        <f aca="false">G1248</f>
        <v>0</v>
      </c>
      <c r="AC1248" s="6" t="n">
        <f aca="false">D1248</f>
        <v>3.894545455</v>
      </c>
      <c r="AD1248" s="6" t="n">
        <f aca="false">E1248</f>
        <v>1</v>
      </c>
      <c r="AE1248" s="6" t="n">
        <f aca="false">G1248</f>
        <v>0</v>
      </c>
      <c r="AF1248" s="6" t="n">
        <f aca="false">H1248</f>
        <v>0</v>
      </c>
      <c r="AG1248" s="6" t="n">
        <f aca="false">I1248</f>
        <v>0</v>
      </c>
      <c r="AH1248" s="6" t="n">
        <f aca="false">L1248</f>
        <v>0</v>
      </c>
    </row>
    <row r="1249" customFormat="false" ht="15" hidden="false" customHeight="false" outlineLevel="0" collapsed="false">
      <c r="A1249" s="0" t="str">
        <f aca="false">'Raw Data'!C1249</f>
        <v>Las Vegas Blvd</v>
      </c>
      <c r="B1249" s="5" t="n">
        <f aca="false">'Raw Data'!A1249</f>
        <v>40330</v>
      </c>
      <c r="C1249" s="6" t="n">
        <f aca="false">'Raw Data'!D1249</f>
        <v>224.869067025156</v>
      </c>
      <c r="D1249" s="6" t="n">
        <f aca="false">'Raw Data'!E1249</f>
        <v>3.894545455</v>
      </c>
      <c r="E1249" s="6" t="n">
        <f aca="false">'Raw Data'!F1249</f>
        <v>1</v>
      </c>
      <c r="F1249" s="6" t="n">
        <f aca="false">'Raw Data'!G1249</f>
        <v>0</v>
      </c>
      <c r="G1249" s="6" t="n">
        <f aca="false">'Raw Data'!H1249</f>
        <v>0</v>
      </c>
      <c r="H1249" s="6" t="n">
        <f aca="false">'Raw Data'!I1249</f>
        <v>0</v>
      </c>
      <c r="I1249" s="6" t="n">
        <f aca="false">'Raw Data'!J1249</f>
        <v>0</v>
      </c>
      <c r="J1249" s="6" t="n">
        <f aca="false">'Raw Data'!K1249</f>
        <v>0</v>
      </c>
      <c r="K1249" s="6" t="n">
        <f aca="false">'Raw Data'!L1249</f>
        <v>1</v>
      </c>
      <c r="L1249" s="6" t="n">
        <f aca="false">F1249*E1249</f>
        <v>0</v>
      </c>
      <c r="N1249" s="0" t="n">
        <v>1</v>
      </c>
      <c r="O1249" s="6" t="n">
        <f aca="false">D1249</f>
        <v>3.894545455</v>
      </c>
      <c r="P1249" s="6" t="n">
        <f aca="false">E1249</f>
        <v>1</v>
      </c>
      <c r="Q1249" s="6" t="n">
        <f aca="false">F1249</f>
        <v>0</v>
      </c>
      <c r="R1249" s="6" t="n">
        <f aca="false">G1249</f>
        <v>0</v>
      </c>
      <c r="S1249" s="6" t="n">
        <f aca="false">H1249</f>
        <v>0</v>
      </c>
      <c r="T1249" s="6" t="n">
        <f aca="false">I1249</f>
        <v>0</v>
      </c>
      <c r="U1249" s="6" t="n">
        <f aca="false">L1249</f>
        <v>0</v>
      </c>
      <c r="W1249" s="6" t="n">
        <f aca="false">D1249</f>
        <v>3.894545455</v>
      </c>
      <c r="X1249" s="6" t="n">
        <f aca="false">E1249</f>
        <v>1</v>
      </c>
      <c r="Y1249" s="6" t="n">
        <f aca="false">F1249</f>
        <v>0</v>
      </c>
      <c r="Z1249" s="6" t="n">
        <f aca="false">L1249</f>
        <v>0</v>
      </c>
      <c r="AA1249" s="6" t="n">
        <f aca="false">G1249</f>
        <v>0</v>
      </c>
      <c r="AC1249" s="6" t="n">
        <f aca="false">D1249</f>
        <v>3.894545455</v>
      </c>
      <c r="AD1249" s="6" t="n">
        <f aca="false">E1249</f>
        <v>1</v>
      </c>
      <c r="AE1249" s="6" t="n">
        <f aca="false">G1249</f>
        <v>0</v>
      </c>
      <c r="AF1249" s="6" t="n">
        <f aca="false">H1249</f>
        <v>0</v>
      </c>
      <c r="AG1249" s="6" t="n">
        <f aca="false">I1249</f>
        <v>0</v>
      </c>
      <c r="AH1249" s="6" t="n">
        <f aca="false">L1249</f>
        <v>0</v>
      </c>
    </row>
    <row r="1250" customFormat="false" ht="15" hidden="false" customHeight="false" outlineLevel="0" collapsed="false">
      <c r="A1250" s="0" t="str">
        <f aca="false">'Raw Data'!C1250</f>
        <v>Las Vegas Blvd</v>
      </c>
      <c r="B1250" s="5" t="n">
        <f aca="false">'Raw Data'!A1250</f>
        <v>40337</v>
      </c>
      <c r="C1250" s="6" t="n">
        <f aca="false">'Raw Data'!D1250</f>
        <v>212.909659568831</v>
      </c>
      <c r="D1250" s="6" t="n">
        <f aca="false">'Raw Data'!E1250</f>
        <v>4.083636364</v>
      </c>
      <c r="E1250" s="6" t="n">
        <f aca="false">'Raw Data'!F1250</f>
        <v>1</v>
      </c>
      <c r="F1250" s="6" t="n">
        <f aca="false">'Raw Data'!G1250</f>
        <v>0</v>
      </c>
      <c r="G1250" s="6" t="n">
        <f aca="false">'Raw Data'!H1250</f>
        <v>0</v>
      </c>
      <c r="H1250" s="6" t="n">
        <f aca="false">'Raw Data'!I1250</f>
        <v>0</v>
      </c>
      <c r="I1250" s="6" t="n">
        <f aca="false">'Raw Data'!J1250</f>
        <v>0</v>
      </c>
      <c r="J1250" s="6" t="n">
        <f aca="false">'Raw Data'!K1250</f>
        <v>0</v>
      </c>
      <c r="K1250" s="6" t="n">
        <f aca="false">'Raw Data'!L1250</f>
        <v>1</v>
      </c>
      <c r="L1250" s="6" t="n">
        <f aca="false">F1250*E1250</f>
        <v>0</v>
      </c>
      <c r="N1250" s="0" t="n">
        <v>1</v>
      </c>
      <c r="O1250" s="6" t="n">
        <f aca="false">D1250</f>
        <v>4.083636364</v>
      </c>
      <c r="P1250" s="6" t="n">
        <f aca="false">E1250</f>
        <v>1</v>
      </c>
      <c r="Q1250" s="6" t="n">
        <f aca="false">F1250</f>
        <v>0</v>
      </c>
      <c r="R1250" s="6" t="n">
        <f aca="false">G1250</f>
        <v>0</v>
      </c>
      <c r="S1250" s="6" t="n">
        <f aca="false">H1250</f>
        <v>0</v>
      </c>
      <c r="T1250" s="6" t="n">
        <f aca="false">I1250</f>
        <v>0</v>
      </c>
      <c r="U1250" s="6" t="n">
        <f aca="false">L1250</f>
        <v>0</v>
      </c>
      <c r="W1250" s="6" t="n">
        <f aca="false">D1250</f>
        <v>4.083636364</v>
      </c>
      <c r="X1250" s="6" t="n">
        <f aca="false">E1250</f>
        <v>1</v>
      </c>
      <c r="Y1250" s="6" t="n">
        <f aca="false">F1250</f>
        <v>0</v>
      </c>
      <c r="Z1250" s="6" t="n">
        <f aca="false">L1250</f>
        <v>0</v>
      </c>
      <c r="AA1250" s="6" t="n">
        <f aca="false">G1250</f>
        <v>0</v>
      </c>
      <c r="AC1250" s="6" t="n">
        <f aca="false">D1250</f>
        <v>4.083636364</v>
      </c>
      <c r="AD1250" s="6" t="n">
        <f aca="false">E1250</f>
        <v>1</v>
      </c>
      <c r="AE1250" s="6" t="n">
        <f aca="false">G1250</f>
        <v>0</v>
      </c>
      <c r="AF1250" s="6" t="n">
        <f aca="false">H1250</f>
        <v>0</v>
      </c>
      <c r="AG1250" s="6" t="n">
        <f aca="false">I1250</f>
        <v>0</v>
      </c>
      <c r="AH1250" s="6" t="n">
        <f aca="false">L1250</f>
        <v>0</v>
      </c>
    </row>
    <row r="1251" customFormat="false" ht="15" hidden="false" customHeight="false" outlineLevel="0" collapsed="false">
      <c r="A1251" s="0" t="str">
        <f aca="false">'Raw Data'!C1251</f>
        <v>Las Vegas Blvd</v>
      </c>
      <c r="B1251" s="5" t="n">
        <f aca="false">'Raw Data'!A1251</f>
        <v>40344</v>
      </c>
      <c r="C1251" s="6" t="n">
        <f aca="false">'Raw Data'!D1251</f>
        <v>274.800618170394</v>
      </c>
      <c r="D1251" s="6" t="n">
        <f aca="false">'Raw Data'!E1251</f>
        <v>4.074615385</v>
      </c>
      <c r="E1251" s="6" t="n">
        <f aca="false">'Raw Data'!F1251</f>
        <v>1</v>
      </c>
      <c r="F1251" s="6" t="n">
        <f aca="false">'Raw Data'!G1251</f>
        <v>0</v>
      </c>
      <c r="G1251" s="6" t="n">
        <f aca="false">'Raw Data'!H1251</f>
        <v>0</v>
      </c>
      <c r="H1251" s="6" t="n">
        <f aca="false">'Raw Data'!I1251</f>
        <v>0</v>
      </c>
      <c r="I1251" s="6" t="n">
        <f aca="false">'Raw Data'!J1251</f>
        <v>0</v>
      </c>
      <c r="J1251" s="6" t="n">
        <f aca="false">'Raw Data'!K1251</f>
        <v>0</v>
      </c>
      <c r="K1251" s="6" t="n">
        <f aca="false">'Raw Data'!L1251</f>
        <v>1</v>
      </c>
      <c r="L1251" s="6" t="n">
        <f aca="false">F1251*E1251</f>
        <v>0</v>
      </c>
      <c r="N1251" s="0" t="n">
        <v>1</v>
      </c>
      <c r="O1251" s="6" t="n">
        <f aca="false">D1251</f>
        <v>4.074615385</v>
      </c>
      <c r="P1251" s="6" t="n">
        <f aca="false">E1251</f>
        <v>1</v>
      </c>
      <c r="Q1251" s="6" t="n">
        <f aca="false">F1251</f>
        <v>0</v>
      </c>
      <c r="R1251" s="6" t="n">
        <f aca="false">G1251</f>
        <v>0</v>
      </c>
      <c r="S1251" s="6" t="n">
        <f aca="false">H1251</f>
        <v>0</v>
      </c>
      <c r="T1251" s="6" t="n">
        <f aca="false">I1251</f>
        <v>0</v>
      </c>
      <c r="U1251" s="6" t="n">
        <f aca="false">L1251</f>
        <v>0</v>
      </c>
      <c r="W1251" s="6" t="n">
        <f aca="false">D1251</f>
        <v>4.074615385</v>
      </c>
      <c r="X1251" s="6" t="n">
        <f aca="false">E1251</f>
        <v>1</v>
      </c>
      <c r="Y1251" s="6" t="n">
        <f aca="false">F1251</f>
        <v>0</v>
      </c>
      <c r="Z1251" s="6" t="n">
        <f aca="false">L1251</f>
        <v>0</v>
      </c>
      <c r="AA1251" s="6" t="n">
        <f aca="false">G1251</f>
        <v>0</v>
      </c>
      <c r="AC1251" s="6" t="n">
        <f aca="false">D1251</f>
        <v>4.074615385</v>
      </c>
      <c r="AD1251" s="6" t="n">
        <f aca="false">E1251</f>
        <v>1</v>
      </c>
      <c r="AE1251" s="6" t="n">
        <f aca="false">G1251</f>
        <v>0</v>
      </c>
      <c r="AF1251" s="6" t="n">
        <f aca="false">H1251</f>
        <v>0</v>
      </c>
      <c r="AG1251" s="6" t="n">
        <f aca="false">I1251</f>
        <v>0</v>
      </c>
      <c r="AH1251" s="6" t="n">
        <f aca="false">L1251</f>
        <v>0</v>
      </c>
    </row>
    <row r="1252" customFormat="false" ht="15" hidden="false" customHeight="false" outlineLevel="0" collapsed="false">
      <c r="A1252" s="0" t="str">
        <f aca="false">'Raw Data'!C1252</f>
        <v>Las Vegas Blvd</v>
      </c>
      <c r="B1252" s="5" t="n">
        <f aca="false">'Raw Data'!A1252</f>
        <v>40351</v>
      </c>
      <c r="C1252" s="6" t="n">
        <f aca="false">'Raw Data'!D1252</f>
        <v>413.586002580374</v>
      </c>
      <c r="D1252" s="6" t="n">
        <f aca="false">'Raw Data'!E1252</f>
        <v>4.14</v>
      </c>
      <c r="E1252" s="6" t="n">
        <f aca="false">'Raw Data'!F1252</f>
        <v>1</v>
      </c>
      <c r="F1252" s="6" t="n">
        <f aca="false">'Raw Data'!G1252</f>
        <v>0</v>
      </c>
      <c r="G1252" s="6" t="n">
        <f aca="false">'Raw Data'!H1252</f>
        <v>1</v>
      </c>
      <c r="H1252" s="6" t="n">
        <f aca="false">'Raw Data'!I1252</f>
        <v>0</v>
      </c>
      <c r="I1252" s="6" t="n">
        <f aca="false">'Raw Data'!J1252</f>
        <v>0</v>
      </c>
      <c r="J1252" s="6" t="n">
        <f aca="false">'Raw Data'!K1252</f>
        <v>0</v>
      </c>
      <c r="K1252" s="6" t="n">
        <f aca="false">'Raw Data'!L1252</f>
        <v>1</v>
      </c>
      <c r="L1252" s="6" t="n">
        <f aca="false">F1252*E1252</f>
        <v>0</v>
      </c>
      <c r="N1252" s="0" t="n">
        <v>1</v>
      </c>
      <c r="O1252" s="6" t="n">
        <f aca="false">D1252</f>
        <v>4.14</v>
      </c>
      <c r="P1252" s="6" t="n">
        <f aca="false">E1252</f>
        <v>1</v>
      </c>
      <c r="Q1252" s="6" t="n">
        <f aca="false">F1252</f>
        <v>0</v>
      </c>
      <c r="R1252" s="6" t="n">
        <f aca="false">G1252</f>
        <v>1</v>
      </c>
      <c r="S1252" s="6" t="n">
        <f aca="false">H1252</f>
        <v>0</v>
      </c>
      <c r="T1252" s="6" t="n">
        <f aca="false">I1252</f>
        <v>0</v>
      </c>
      <c r="U1252" s="6" t="n">
        <f aca="false">L1252</f>
        <v>0</v>
      </c>
      <c r="W1252" s="6" t="n">
        <f aca="false">D1252</f>
        <v>4.14</v>
      </c>
      <c r="X1252" s="6" t="n">
        <f aca="false">E1252</f>
        <v>1</v>
      </c>
      <c r="Y1252" s="6" t="n">
        <f aca="false">F1252</f>
        <v>0</v>
      </c>
      <c r="Z1252" s="6" t="n">
        <f aca="false">L1252</f>
        <v>0</v>
      </c>
      <c r="AA1252" s="6" t="n">
        <f aca="false">G1252</f>
        <v>1</v>
      </c>
      <c r="AC1252" s="6" t="n">
        <f aca="false">D1252</f>
        <v>4.14</v>
      </c>
      <c r="AD1252" s="6" t="n">
        <f aca="false">E1252</f>
        <v>1</v>
      </c>
      <c r="AE1252" s="6" t="n">
        <f aca="false">G1252</f>
        <v>1</v>
      </c>
      <c r="AF1252" s="6" t="n">
        <f aca="false">H1252</f>
        <v>0</v>
      </c>
      <c r="AG1252" s="6" t="n">
        <f aca="false">I1252</f>
        <v>0</v>
      </c>
      <c r="AH1252" s="6" t="n">
        <f aca="false">L1252</f>
        <v>0</v>
      </c>
    </row>
    <row r="1253" customFormat="false" ht="15" hidden="false" customHeight="false" outlineLevel="0" collapsed="false">
      <c r="A1253" s="0" t="str">
        <f aca="false">'Raw Data'!C1253</f>
        <v>Las Vegas Blvd</v>
      </c>
      <c r="B1253" s="5" t="n">
        <f aca="false">'Raw Data'!A1253</f>
        <v>40358</v>
      </c>
      <c r="C1253" s="6" t="n">
        <f aca="false">'Raw Data'!D1253</f>
        <v>279.539834738027</v>
      </c>
      <c r="D1253" s="6" t="n">
        <f aca="false">'Raw Data'!E1253</f>
        <v>4.074615385</v>
      </c>
      <c r="E1253" s="6" t="n">
        <f aca="false">'Raw Data'!F1253</f>
        <v>1</v>
      </c>
      <c r="F1253" s="6" t="n">
        <f aca="false">'Raw Data'!G1253</f>
        <v>0</v>
      </c>
      <c r="G1253" s="6" t="n">
        <f aca="false">'Raw Data'!H1253</f>
        <v>0</v>
      </c>
      <c r="H1253" s="6" t="n">
        <f aca="false">'Raw Data'!I1253</f>
        <v>1</v>
      </c>
      <c r="I1253" s="6" t="n">
        <f aca="false">'Raw Data'!J1253</f>
        <v>0</v>
      </c>
      <c r="J1253" s="6" t="n">
        <f aca="false">'Raw Data'!K1253</f>
        <v>0</v>
      </c>
      <c r="K1253" s="6" t="n">
        <f aca="false">'Raw Data'!L1253</f>
        <v>1</v>
      </c>
      <c r="L1253" s="6" t="n">
        <f aca="false">F1253*E1253</f>
        <v>0</v>
      </c>
      <c r="N1253" s="0" t="n">
        <v>1</v>
      </c>
      <c r="O1253" s="6" t="n">
        <f aca="false">D1253</f>
        <v>4.074615385</v>
      </c>
      <c r="P1253" s="6" t="n">
        <f aca="false">E1253</f>
        <v>1</v>
      </c>
      <c r="Q1253" s="6" t="n">
        <f aca="false">F1253</f>
        <v>0</v>
      </c>
      <c r="R1253" s="6" t="n">
        <f aca="false">G1253</f>
        <v>0</v>
      </c>
      <c r="S1253" s="6" t="n">
        <f aca="false">H1253</f>
        <v>1</v>
      </c>
      <c r="T1253" s="6" t="n">
        <f aca="false">I1253</f>
        <v>0</v>
      </c>
      <c r="U1253" s="6" t="n">
        <f aca="false">L1253</f>
        <v>0</v>
      </c>
      <c r="W1253" s="6" t="n">
        <f aca="false">D1253</f>
        <v>4.074615385</v>
      </c>
      <c r="X1253" s="6" t="n">
        <f aca="false">E1253</f>
        <v>1</v>
      </c>
      <c r="Y1253" s="6" t="n">
        <f aca="false">F1253</f>
        <v>0</v>
      </c>
      <c r="Z1253" s="6" t="n">
        <f aca="false">L1253</f>
        <v>0</v>
      </c>
      <c r="AA1253" s="6" t="n">
        <f aca="false">G1253</f>
        <v>0</v>
      </c>
      <c r="AC1253" s="6" t="n">
        <f aca="false">D1253</f>
        <v>4.074615385</v>
      </c>
      <c r="AD1253" s="6" t="n">
        <f aca="false">E1253</f>
        <v>1</v>
      </c>
      <c r="AE1253" s="6" t="n">
        <f aca="false">G1253</f>
        <v>0</v>
      </c>
      <c r="AF1253" s="6" t="n">
        <f aca="false">H1253</f>
        <v>1</v>
      </c>
      <c r="AG1253" s="6" t="n">
        <f aca="false">I1253</f>
        <v>0</v>
      </c>
      <c r="AH1253" s="6" t="n">
        <f aca="false">L1253</f>
        <v>0</v>
      </c>
    </row>
    <row r="1254" customFormat="false" ht="15" hidden="false" customHeight="false" outlineLevel="0" collapsed="false">
      <c r="A1254" s="0" t="str">
        <f aca="false">'Raw Data'!C1254</f>
        <v>Las Vegas Blvd</v>
      </c>
      <c r="B1254" s="5" t="n">
        <f aca="false">'Raw Data'!A1254</f>
        <v>40365</v>
      </c>
      <c r="C1254" s="6" t="n">
        <f aca="false">'Raw Data'!D1254</f>
        <v>250.60871439653</v>
      </c>
      <c r="D1254" s="6" t="n">
        <f aca="false">'Raw Data'!E1254</f>
        <v>3.730714286</v>
      </c>
      <c r="E1254" s="6" t="n">
        <f aca="false">'Raw Data'!F1254</f>
        <v>1</v>
      </c>
      <c r="F1254" s="6" t="n">
        <f aca="false">'Raw Data'!G1254</f>
        <v>0</v>
      </c>
      <c r="G1254" s="6" t="n">
        <f aca="false">'Raw Data'!H1254</f>
        <v>0</v>
      </c>
      <c r="H1254" s="6" t="n">
        <f aca="false">'Raw Data'!I1254</f>
        <v>1</v>
      </c>
      <c r="I1254" s="6" t="n">
        <f aca="false">'Raw Data'!J1254</f>
        <v>0</v>
      </c>
      <c r="J1254" s="6" t="n">
        <f aca="false">'Raw Data'!K1254</f>
        <v>0</v>
      </c>
      <c r="K1254" s="6" t="n">
        <f aca="false">'Raw Data'!L1254</f>
        <v>1</v>
      </c>
      <c r="L1254" s="6" t="n">
        <f aca="false">F1254*E1254</f>
        <v>0</v>
      </c>
      <c r="N1254" s="0" t="n">
        <v>1</v>
      </c>
      <c r="O1254" s="6" t="n">
        <f aca="false">D1254</f>
        <v>3.730714286</v>
      </c>
      <c r="P1254" s="6" t="n">
        <f aca="false">E1254</f>
        <v>1</v>
      </c>
      <c r="Q1254" s="6" t="n">
        <f aca="false">F1254</f>
        <v>0</v>
      </c>
      <c r="R1254" s="6" t="n">
        <f aca="false">G1254</f>
        <v>0</v>
      </c>
      <c r="S1254" s="6" t="n">
        <f aca="false">H1254</f>
        <v>1</v>
      </c>
      <c r="T1254" s="6" t="n">
        <f aca="false">I1254</f>
        <v>0</v>
      </c>
      <c r="U1254" s="6" t="n">
        <f aca="false">L1254</f>
        <v>0</v>
      </c>
      <c r="W1254" s="6" t="n">
        <f aca="false">D1254</f>
        <v>3.730714286</v>
      </c>
      <c r="X1254" s="6" t="n">
        <f aca="false">E1254</f>
        <v>1</v>
      </c>
      <c r="Y1254" s="6" t="n">
        <f aca="false">F1254</f>
        <v>0</v>
      </c>
      <c r="Z1254" s="6" t="n">
        <f aca="false">L1254</f>
        <v>0</v>
      </c>
      <c r="AA1254" s="6" t="n">
        <f aca="false">G1254</f>
        <v>0</v>
      </c>
      <c r="AC1254" s="6" t="n">
        <f aca="false">D1254</f>
        <v>3.730714286</v>
      </c>
      <c r="AD1254" s="6" t="n">
        <f aca="false">E1254</f>
        <v>1</v>
      </c>
      <c r="AE1254" s="6" t="n">
        <f aca="false">G1254</f>
        <v>0</v>
      </c>
      <c r="AF1254" s="6" t="n">
        <f aca="false">H1254</f>
        <v>1</v>
      </c>
      <c r="AG1254" s="6" t="n">
        <f aca="false">I1254</f>
        <v>0</v>
      </c>
      <c r="AH1254" s="6" t="n">
        <f aca="false">L1254</f>
        <v>0</v>
      </c>
    </row>
    <row r="1255" customFormat="false" ht="15" hidden="false" customHeight="false" outlineLevel="0" collapsed="false">
      <c r="A1255" s="0" t="str">
        <f aca="false">'Raw Data'!C1255</f>
        <v>Las Vegas Blvd</v>
      </c>
      <c r="B1255" s="5" t="n">
        <f aca="false">'Raw Data'!A1255</f>
        <v>40372</v>
      </c>
      <c r="C1255" s="6" t="n">
        <f aca="false">'Raw Data'!D1255</f>
        <v>273.280147583363</v>
      </c>
      <c r="D1255" s="6" t="n">
        <f aca="false">'Raw Data'!E1255</f>
        <v>3.615384615</v>
      </c>
      <c r="E1255" s="6" t="n">
        <f aca="false">'Raw Data'!F1255</f>
        <v>1</v>
      </c>
      <c r="F1255" s="6" t="n">
        <f aca="false">'Raw Data'!G1255</f>
        <v>0</v>
      </c>
      <c r="G1255" s="6" t="n">
        <f aca="false">'Raw Data'!H1255</f>
        <v>0</v>
      </c>
      <c r="H1255" s="6" t="n">
        <f aca="false">'Raw Data'!I1255</f>
        <v>1</v>
      </c>
      <c r="I1255" s="6" t="n">
        <f aca="false">'Raw Data'!J1255</f>
        <v>0</v>
      </c>
      <c r="J1255" s="6" t="n">
        <f aca="false">'Raw Data'!K1255</f>
        <v>0</v>
      </c>
      <c r="K1255" s="6" t="n">
        <f aca="false">'Raw Data'!L1255</f>
        <v>1</v>
      </c>
      <c r="L1255" s="6" t="n">
        <f aca="false">F1255*E1255</f>
        <v>0</v>
      </c>
      <c r="N1255" s="0" t="n">
        <v>1</v>
      </c>
      <c r="O1255" s="6" t="n">
        <f aca="false">D1255</f>
        <v>3.615384615</v>
      </c>
      <c r="P1255" s="6" t="n">
        <f aca="false">E1255</f>
        <v>1</v>
      </c>
      <c r="Q1255" s="6" t="n">
        <f aca="false">F1255</f>
        <v>0</v>
      </c>
      <c r="R1255" s="6" t="n">
        <f aca="false">G1255</f>
        <v>0</v>
      </c>
      <c r="S1255" s="6" t="n">
        <f aca="false">H1255</f>
        <v>1</v>
      </c>
      <c r="T1255" s="6" t="n">
        <f aca="false">I1255</f>
        <v>0</v>
      </c>
      <c r="U1255" s="6" t="n">
        <f aca="false">L1255</f>
        <v>0</v>
      </c>
      <c r="W1255" s="6" t="n">
        <f aca="false">D1255</f>
        <v>3.615384615</v>
      </c>
      <c r="X1255" s="6" t="n">
        <f aca="false">E1255</f>
        <v>1</v>
      </c>
      <c r="Y1255" s="6" t="n">
        <f aca="false">F1255</f>
        <v>0</v>
      </c>
      <c r="Z1255" s="6" t="n">
        <f aca="false">L1255</f>
        <v>0</v>
      </c>
      <c r="AA1255" s="6" t="n">
        <f aca="false">G1255</f>
        <v>0</v>
      </c>
      <c r="AC1255" s="6" t="n">
        <f aca="false">D1255</f>
        <v>3.615384615</v>
      </c>
      <c r="AD1255" s="6" t="n">
        <f aca="false">E1255</f>
        <v>1</v>
      </c>
      <c r="AE1255" s="6" t="n">
        <f aca="false">G1255</f>
        <v>0</v>
      </c>
      <c r="AF1255" s="6" t="n">
        <f aca="false">H1255</f>
        <v>1</v>
      </c>
      <c r="AG1255" s="6" t="n">
        <f aca="false">I1255</f>
        <v>0</v>
      </c>
      <c r="AH1255" s="6" t="n">
        <f aca="false">L1255</f>
        <v>0</v>
      </c>
    </row>
    <row r="1256" customFormat="false" ht="15" hidden="false" customHeight="false" outlineLevel="0" collapsed="false">
      <c r="A1256" s="0" t="str">
        <f aca="false">'Raw Data'!C1256</f>
        <v>Pacific Coast Highway (aka El Segundo)</v>
      </c>
      <c r="B1256" s="5" t="n">
        <f aca="false">'Raw Data'!A1256</f>
        <v>40302</v>
      </c>
      <c r="C1256" s="6" t="n">
        <f aca="false">'Raw Data'!D1256</f>
        <v>274.489422929519</v>
      </c>
      <c r="D1256" s="6" t="n">
        <f aca="false">'Raw Data'!E1256</f>
        <v>4.518571429</v>
      </c>
      <c r="E1256" s="6" t="n">
        <f aca="false">'Raw Data'!F1256</f>
        <v>1</v>
      </c>
      <c r="F1256" s="6" t="n">
        <f aca="false">'Raw Data'!G1256</f>
        <v>0</v>
      </c>
      <c r="G1256" s="6" t="n">
        <f aca="false">'Raw Data'!H1256</f>
        <v>0</v>
      </c>
      <c r="H1256" s="6" t="n">
        <f aca="false">'Raw Data'!I1256</f>
        <v>1</v>
      </c>
      <c r="I1256" s="6" t="n">
        <f aca="false">'Raw Data'!J1256</f>
        <v>0</v>
      </c>
      <c r="J1256" s="6" t="n">
        <f aca="false">'Raw Data'!K1256</f>
        <v>1</v>
      </c>
      <c r="K1256" s="6" t="n">
        <f aca="false">'Raw Data'!L1256</f>
        <v>1</v>
      </c>
      <c r="L1256" s="6" t="n">
        <f aca="false">F1256*E1256</f>
        <v>0</v>
      </c>
      <c r="N1256" s="0" t="n">
        <v>1</v>
      </c>
      <c r="O1256" s="6" t="n">
        <f aca="false">D1256</f>
        <v>4.518571429</v>
      </c>
      <c r="P1256" s="6" t="n">
        <f aca="false">E1256</f>
        <v>1</v>
      </c>
      <c r="Q1256" s="6" t="n">
        <f aca="false">F1256</f>
        <v>0</v>
      </c>
      <c r="R1256" s="6" t="n">
        <f aca="false">G1256</f>
        <v>0</v>
      </c>
      <c r="S1256" s="6" t="n">
        <f aca="false">H1256</f>
        <v>1</v>
      </c>
      <c r="T1256" s="6" t="n">
        <f aca="false">I1256</f>
        <v>0</v>
      </c>
      <c r="U1256" s="6" t="n">
        <f aca="false">L1256</f>
        <v>0</v>
      </c>
      <c r="W1256" s="6" t="n">
        <f aca="false">D1256</f>
        <v>4.518571429</v>
      </c>
      <c r="X1256" s="6" t="n">
        <f aca="false">E1256</f>
        <v>1</v>
      </c>
      <c r="Y1256" s="6" t="n">
        <f aca="false">F1256</f>
        <v>0</v>
      </c>
      <c r="Z1256" s="6" t="n">
        <f aca="false">L1256</f>
        <v>0</v>
      </c>
      <c r="AA1256" s="6" t="n">
        <f aca="false">G1256</f>
        <v>0</v>
      </c>
      <c r="AC1256" s="6" t="n">
        <f aca="false">D1256</f>
        <v>4.518571429</v>
      </c>
      <c r="AD1256" s="6" t="n">
        <f aca="false">E1256</f>
        <v>1</v>
      </c>
      <c r="AE1256" s="6" t="n">
        <f aca="false">G1256</f>
        <v>0</v>
      </c>
      <c r="AF1256" s="6" t="n">
        <f aca="false">H1256</f>
        <v>1</v>
      </c>
      <c r="AG1256" s="6" t="n">
        <f aca="false">I1256</f>
        <v>0</v>
      </c>
      <c r="AH1256" s="6" t="n">
        <f aca="false">L1256</f>
        <v>0</v>
      </c>
    </row>
    <row r="1257" customFormat="false" ht="15" hidden="false" customHeight="false" outlineLevel="0" collapsed="false">
      <c r="A1257" s="0" t="str">
        <f aca="false">'Raw Data'!C1257</f>
        <v>Pacific Coast Highway (aka El Segundo)</v>
      </c>
      <c r="B1257" s="5" t="n">
        <f aca="false">'Raw Data'!A1257</f>
        <v>40309</v>
      </c>
      <c r="C1257" s="6" t="n">
        <f aca="false">'Raw Data'!D1257</f>
        <v>215.175613913591</v>
      </c>
      <c r="D1257" s="6" t="n">
        <f aca="false">'Raw Data'!E1257</f>
        <v>4.62125</v>
      </c>
      <c r="E1257" s="6" t="n">
        <f aca="false">'Raw Data'!F1257</f>
        <v>1</v>
      </c>
      <c r="F1257" s="6" t="n">
        <f aca="false">'Raw Data'!G1257</f>
        <v>0</v>
      </c>
      <c r="G1257" s="6" t="n">
        <f aca="false">'Raw Data'!H1257</f>
        <v>0</v>
      </c>
      <c r="H1257" s="6" t="n">
        <f aca="false">'Raw Data'!I1257</f>
        <v>0</v>
      </c>
      <c r="I1257" s="6" t="n">
        <f aca="false">'Raw Data'!J1257</f>
        <v>1</v>
      </c>
      <c r="J1257" s="6" t="n">
        <f aca="false">'Raw Data'!K1257</f>
        <v>1</v>
      </c>
      <c r="K1257" s="6" t="n">
        <f aca="false">'Raw Data'!L1257</f>
        <v>1</v>
      </c>
      <c r="L1257" s="6" t="n">
        <f aca="false">F1257*E1257</f>
        <v>0</v>
      </c>
      <c r="N1257" s="0" t="n">
        <v>1</v>
      </c>
      <c r="O1257" s="6" t="n">
        <f aca="false">D1257</f>
        <v>4.62125</v>
      </c>
      <c r="P1257" s="6" t="n">
        <f aca="false">E1257</f>
        <v>1</v>
      </c>
      <c r="Q1257" s="6" t="n">
        <f aca="false">F1257</f>
        <v>0</v>
      </c>
      <c r="R1257" s="6" t="n">
        <f aca="false">G1257</f>
        <v>0</v>
      </c>
      <c r="S1257" s="6" t="n">
        <f aca="false">H1257</f>
        <v>0</v>
      </c>
      <c r="T1257" s="6" t="n">
        <f aca="false">I1257</f>
        <v>1</v>
      </c>
      <c r="U1257" s="6" t="n">
        <f aca="false">L1257</f>
        <v>0</v>
      </c>
      <c r="W1257" s="6" t="n">
        <f aca="false">D1257</f>
        <v>4.62125</v>
      </c>
      <c r="X1257" s="6" t="n">
        <f aca="false">E1257</f>
        <v>1</v>
      </c>
      <c r="Y1257" s="6" t="n">
        <f aca="false">F1257</f>
        <v>0</v>
      </c>
      <c r="Z1257" s="6" t="n">
        <f aca="false">L1257</f>
        <v>0</v>
      </c>
      <c r="AA1257" s="6" t="n">
        <f aca="false">G1257</f>
        <v>0</v>
      </c>
      <c r="AC1257" s="6" t="n">
        <f aca="false">D1257</f>
        <v>4.62125</v>
      </c>
      <c r="AD1257" s="6" t="n">
        <f aca="false">E1257</f>
        <v>1</v>
      </c>
      <c r="AE1257" s="6" t="n">
        <f aca="false">G1257</f>
        <v>0</v>
      </c>
      <c r="AF1257" s="6" t="n">
        <f aca="false">H1257</f>
        <v>0</v>
      </c>
      <c r="AG1257" s="6" t="n">
        <f aca="false">I1257</f>
        <v>1</v>
      </c>
      <c r="AH1257" s="6" t="n">
        <f aca="false">L1257</f>
        <v>0</v>
      </c>
    </row>
    <row r="1258" customFormat="false" ht="15" hidden="false" customHeight="false" outlineLevel="0" collapsed="false">
      <c r="A1258" s="0" t="str">
        <f aca="false">'Raw Data'!C1258</f>
        <v>Pacific Coast Highway (aka El Segundo)</v>
      </c>
      <c r="B1258" s="5" t="n">
        <f aca="false">'Raw Data'!A1258</f>
        <v>40316</v>
      </c>
      <c r="C1258" s="6" t="n">
        <f aca="false">'Raw Data'!D1258</f>
        <v>359.241251930267</v>
      </c>
      <c r="D1258" s="6" t="n">
        <f aca="false">'Raw Data'!E1258</f>
        <v>4.371875</v>
      </c>
      <c r="E1258" s="6" t="n">
        <f aca="false">'Raw Data'!F1258</f>
        <v>1</v>
      </c>
      <c r="F1258" s="6" t="n">
        <f aca="false">'Raw Data'!G1258</f>
        <v>0</v>
      </c>
      <c r="G1258" s="6" t="n">
        <f aca="false">'Raw Data'!H1258</f>
        <v>0</v>
      </c>
      <c r="H1258" s="6" t="n">
        <f aca="false">'Raw Data'!I1258</f>
        <v>0</v>
      </c>
      <c r="I1258" s="6" t="n">
        <f aca="false">'Raw Data'!J1258</f>
        <v>1</v>
      </c>
      <c r="J1258" s="6" t="n">
        <f aca="false">'Raw Data'!K1258</f>
        <v>1</v>
      </c>
      <c r="K1258" s="6" t="n">
        <f aca="false">'Raw Data'!L1258</f>
        <v>1</v>
      </c>
      <c r="L1258" s="6" t="n">
        <f aca="false">F1258*E1258</f>
        <v>0</v>
      </c>
      <c r="N1258" s="0" t="n">
        <v>1</v>
      </c>
      <c r="O1258" s="6" t="n">
        <f aca="false">D1258</f>
        <v>4.371875</v>
      </c>
      <c r="P1258" s="6" t="n">
        <f aca="false">E1258</f>
        <v>1</v>
      </c>
      <c r="Q1258" s="6" t="n">
        <f aca="false">F1258</f>
        <v>0</v>
      </c>
      <c r="R1258" s="6" t="n">
        <f aca="false">G1258</f>
        <v>0</v>
      </c>
      <c r="S1258" s="6" t="n">
        <f aca="false">H1258</f>
        <v>0</v>
      </c>
      <c r="T1258" s="6" t="n">
        <f aca="false">I1258</f>
        <v>1</v>
      </c>
      <c r="U1258" s="6" t="n">
        <f aca="false">L1258</f>
        <v>0</v>
      </c>
      <c r="W1258" s="6" t="n">
        <f aca="false">D1258</f>
        <v>4.371875</v>
      </c>
      <c r="X1258" s="6" t="n">
        <f aca="false">E1258</f>
        <v>1</v>
      </c>
      <c r="Y1258" s="6" t="n">
        <f aca="false">F1258</f>
        <v>0</v>
      </c>
      <c r="Z1258" s="6" t="n">
        <f aca="false">L1258</f>
        <v>0</v>
      </c>
      <c r="AA1258" s="6" t="n">
        <f aca="false">G1258</f>
        <v>0</v>
      </c>
      <c r="AC1258" s="6" t="n">
        <f aca="false">D1258</f>
        <v>4.371875</v>
      </c>
      <c r="AD1258" s="6" t="n">
        <f aca="false">E1258</f>
        <v>1</v>
      </c>
      <c r="AE1258" s="6" t="n">
        <f aca="false">G1258</f>
        <v>0</v>
      </c>
      <c r="AF1258" s="6" t="n">
        <f aca="false">H1258</f>
        <v>0</v>
      </c>
      <c r="AG1258" s="6" t="n">
        <f aca="false">I1258</f>
        <v>1</v>
      </c>
      <c r="AH1258" s="6" t="n">
        <f aca="false">L1258</f>
        <v>0</v>
      </c>
    </row>
    <row r="1259" customFormat="false" ht="15" hidden="false" customHeight="false" outlineLevel="0" collapsed="false">
      <c r="A1259" s="0" t="str">
        <f aca="false">'Raw Data'!C1259</f>
        <v>Pacific Coast Highway (aka El Segundo)</v>
      </c>
      <c r="B1259" s="5" t="n">
        <f aca="false">'Raw Data'!A1259</f>
        <v>40323</v>
      </c>
      <c r="C1259" s="6" t="n">
        <f aca="false">'Raw Data'!D1259</f>
        <v>184.327155105049</v>
      </c>
      <c r="D1259" s="6" t="n">
        <f aca="false">'Raw Data'!E1259</f>
        <v>4.343125</v>
      </c>
      <c r="E1259" s="6" t="n">
        <f aca="false">'Raw Data'!F1259</f>
        <v>1</v>
      </c>
      <c r="F1259" s="6" t="n">
        <f aca="false">'Raw Data'!G1259</f>
        <v>0</v>
      </c>
      <c r="G1259" s="6" t="n">
        <f aca="false">'Raw Data'!H1259</f>
        <v>0</v>
      </c>
      <c r="H1259" s="6" t="n">
        <f aca="false">'Raw Data'!I1259</f>
        <v>0</v>
      </c>
      <c r="I1259" s="6" t="n">
        <f aca="false">'Raw Data'!J1259</f>
        <v>0</v>
      </c>
      <c r="J1259" s="6" t="n">
        <f aca="false">'Raw Data'!K1259</f>
        <v>1</v>
      </c>
      <c r="K1259" s="6" t="n">
        <f aca="false">'Raw Data'!L1259</f>
        <v>1</v>
      </c>
      <c r="L1259" s="6" t="n">
        <f aca="false">F1259*E1259</f>
        <v>0</v>
      </c>
      <c r="N1259" s="0" t="n">
        <v>1</v>
      </c>
      <c r="O1259" s="6" t="n">
        <f aca="false">D1259</f>
        <v>4.343125</v>
      </c>
      <c r="P1259" s="6" t="n">
        <f aca="false">E1259</f>
        <v>1</v>
      </c>
      <c r="Q1259" s="6" t="n">
        <f aca="false">F1259</f>
        <v>0</v>
      </c>
      <c r="R1259" s="6" t="n">
        <f aca="false">G1259</f>
        <v>0</v>
      </c>
      <c r="S1259" s="6" t="n">
        <f aca="false">H1259</f>
        <v>0</v>
      </c>
      <c r="T1259" s="6" t="n">
        <f aca="false">I1259</f>
        <v>0</v>
      </c>
      <c r="U1259" s="6" t="n">
        <f aca="false">L1259</f>
        <v>0</v>
      </c>
      <c r="W1259" s="6" t="n">
        <f aca="false">D1259</f>
        <v>4.343125</v>
      </c>
      <c r="X1259" s="6" t="n">
        <f aca="false">E1259</f>
        <v>1</v>
      </c>
      <c r="Y1259" s="6" t="n">
        <f aca="false">F1259</f>
        <v>0</v>
      </c>
      <c r="Z1259" s="6" t="n">
        <f aca="false">L1259</f>
        <v>0</v>
      </c>
      <c r="AA1259" s="6" t="n">
        <f aca="false">G1259</f>
        <v>0</v>
      </c>
      <c r="AC1259" s="6" t="n">
        <f aca="false">D1259</f>
        <v>4.343125</v>
      </c>
      <c r="AD1259" s="6" t="n">
        <f aca="false">E1259</f>
        <v>1</v>
      </c>
      <c r="AE1259" s="6" t="n">
        <f aca="false">G1259</f>
        <v>0</v>
      </c>
      <c r="AF1259" s="6" t="n">
        <f aca="false">H1259</f>
        <v>0</v>
      </c>
      <c r="AG1259" s="6" t="n">
        <f aca="false">I1259</f>
        <v>0</v>
      </c>
      <c r="AH1259" s="6" t="n">
        <f aca="false">L1259</f>
        <v>0</v>
      </c>
    </row>
    <row r="1260" customFormat="false" ht="15" hidden="false" customHeight="false" outlineLevel="0" collapsed="false">
      <c r="A1260" s="0" t="str">
        <f aca="false">'Raw Data'!C1260</f>
        <v>Pacific Coast Highway (aka El Segundo)</v>
      </c>
      <c r="B1260" s="5" t="n">
        <f aca="false">'Raw Data'!A1260</f>
        <v>40330</v>
      </c>
      <c r="C1260" s="6" t="n">
        <f aca="false">'Raw Data'!D1260</f>
        <v>232.621919813079</v>
      </c>
      <c r="D1260" s="6" t="n">
        <f aca="false">'Raw Data'!E1260</f>
        <v>4.1</v>
      </c>
      <c r="E1260" s="6" t="n">
        <f aca="false">'Raw Data'!F1260</f>
        <v>1</v>
      </c>
      <c r="F1260" s="6" t="n">
        <f aca="false">'Raw Data'!G1260</f>
        <v>0</v>
      </c>
      <c r="G1260" s="6" t="n">
        <f aca="false">'Raw Data'!H1260</f>
        <v>0</v>
      </c>
      <c r="H1260" s="6" t="n">
        <f aca="false">'Raw Data'!I1260</f>
        <v>0</v>
      </c>
      <c r="I1260" s="6" t="n">
        <f aca="false">'Raw Data'!J1260</f>
        <v>0</v>
      </c>
      <c r="J1260" s="6" t="n">
        <f aca="false">'Raw Data'!K1260</f>
        <v>1</v>
      </c>
      <c r="K1260" s="6" t="n">
        <f aca="false">'Raw Data'!L1260</f>
        <v>1</v>
      </c>
      <c r="L1260" s="6" t="n">
        <f aca="false">F1260*E1260</f>
        <v>0</v>
      </c>
      <c r="N1260" s="0" t="n">
        <v>1</v>
      </c>
      <c r="O1260" s="6" t="n">
        <f aca="false">D1260</f>
        <v>4.1</v>
      </c>
      <c r="P1260" s="6" t="n">
        <f aca="false">E1260</f>
        <v>1</v>
      </c>
      <c r="Q1260" s="6" t="n">
        <f aca="false">F1260</f>
        <v>0</v>
      </c>
      <c r="R1260" s="6" t="n">
        <f aca="false">G1260</f>
        <v>0</v>
      </c>
      <c r="S1260" s="6" t="n">
        <f aca="false">H1260</f>
        <v>0</v>
      </c>
      <c r="T1260" s="6" t="n">
        <f aca="false">I1260</f>
        <v>0</v>
      </c>
      <c r="U1260" s="6" t="n">
        <f aca="false">L1260</f>
        <v>0</v>
      </c>
      <c r="W1260" s="6" t="n">
        <f aca="false">D1260</f>
        <v>4.1</v>
      </c>
      <c r="X1260" s="6" t="n">
        <f aca="false">E1260</f>
        <v>1</v>
      </c>
      <c r="Y1260" s="6" t="n">
        <f aca="false">F1260</f>
        <v>0</v>
      </c>
      <c r="Z1260" s="6" t="n">
        <f aca="false">L1260</f>
        <v>0</v>
      </c>
      <c r="AA1260" s="6" t="n">
        <f aca="false">G1260</f>
        <v>0</v>
      </c>
      <c r="AC1260" s="6" t="n">
        <f aca="false">D1260</f>
        <v>4.1</v>
      </c>
      <c r="AD1260" s="6" t="n">
        <f aca="false">E1260</f>
        <v>1</v>
      </c>
      <c r="AE1260" s="6" t="n">
        <f aca="false">G1260</f>
        <v>0</v>
      </c>
      <c r="AF1260" s="6" t="n">
        <f aca="false">H1260</f>
        <v>0</v>
      </c>
      <c r="AG1260" s="6" t="n">
        <f aca="false">I1260</f>
        <v>0</v>
      </c>
      <c r="AH1260" s="6" t="n">
        <f aca="false">L1260</f>
        <v>0</v>
      </c>
    </row>
    <row r="1261" customFormat="false" ht="15" hidden="false" customHeight="false" outlineLevel="0" collapsed="false">
      <c r="A1261" s="0" t="str">
        <f aca="false">'Raw Data'!C1261</f>
        <v>Pacific Coast Highway (aka El Segundo)</v>
      </c>
      <c r="B1261" s="5" t="n">
        <f aca="false">'Raw Data'!A1261</f>
        <v>40337</v>
      </c>
      <c r="C1261" s="6" t="n">
        <f aca="false">'Raw Data'!D1261</f>
        <v>223.706830388597</v>
      </c>
      <c r="D1261" s="6" t="n">
        <f aca="false">'Raw Data'!E1261</f>
        <v>4.55</v>
      </c>
      <c r="E1261" s="6" t="n">
        <f aca="false">'Raw Data'!F1261</f>
        <v>1</v>
      </c>
      <c r="F1261" s="6" t="n">
        <f aca="false">'Raw Data'!G1261</f>
        <v>0</v>
      </c>
      <c r="G1261" s="6" t="n">
        <f aca="false">'Raw Data'!H1261</f>
        <v>0</v>
      </c>
      <c r="H1261" s="6" t="n">
        <f aca="false">'Raw Data'!I1261</f>
        <v>0</v>
      </c>
      <c r="I1261" s="6" t="n">
        <f aca="false">'Raw Data'!J1261</f>
        <v>0</v>
      </c>
      <c r="J1261" s="6" t="n">
        <f aca="false">'Raw Data'!K1261</f>
        <v>1</v>
      </c>
      <c r="K1261" s="6" t="n">
        <f aca="false">'Raw Data'!L1261</f>
        <v>1</v>
      </c>
      <c r="L1261" s="6" t="n">
        <f aca="false">F1261*E1261</f>
        <v>0</v>
      </c>
      <c r="N1261" s="0" t="n">
        <v>1</v>
      </c>
      <c r="O1261" s="6" t="n">
        <f aca="false">D1261</f>
        <v>4.55</v>
      </c>
      <c r="P1261" s="6" t="n">
        <f aca="false">E1261</f>
        <v>1</v>
      </c>
      <c r="Q1261" s="6" t="n">
        <f aca="false">F1261</f>
        <v>0</v>
      </c>
      <c r="R1261" s="6" t="n">
        <f aca="false">G1261</f>
        <v>0</v>
      </c>
      <c r="S1261" s="6" t="n">
        <f aca="false">H1261</f>
        <v>0</v>
      </c>
      <c r="T1261" s="6" t="n">
        <f aca="false">I1261</f>
        <v>0</v>
      </c>
      <c r="U1261" s="6" t="n">
        <f aca="false">L1261</f>
        <v>0</v>
      </c>
      <c r="W1261" s="6" t="n">
        <f aca="false">D1261</f>
        <v>4.55</v>
      </c>
      <c r="X1261" s="6" t="n">
        <f aca="false">E1261</f>
        <v>1</v>
      </c>
      <c r="Y1261" s="6" t="n">
        <f aca="false">F1261</f>
        <v>0</v>
      </c>
      <c r="Z1261" s="6" t="n">
        <f aca="false">L1261</f>
        <v>0</v>
      </c>
      <c r="AA1261" s="6" t="n">
        <f aca="false">G1261</f>
        <v>0</v>
      </c>
      <c r="AC1261" s="6" t="n">
        <f aca="false">D1261</f>
        <v>4.55</v>
      </c>
      <c r="AD1261" s="6" t="n">
        <f aca="false">E1261</f>
        <v>1</v>
      </c>
      <c r="AE1261" s="6" t="n">
        <f aca="false">G1261</f>
        <v>0</v>
      </c>
      <c r="AF1261" s="6" t="n">
        <f aca="false">H1261</f>
        <v>0</v>
      </c>
      <c r="AG1261" s="6" t="n">
        <f aca="false">I1261</f>
        <v>0</v>
      </c>
      <c r="AH1261" s="6" t="n">
        <f aca="false">L1261</f>
        <v>0</v>
      </c>
    </row>
    <row r="1262" customFormat="false" ht="15" hidden="false" customHeight="false" outlineLevel="0" collapsed="false">
      <c r="A1262" s="0" t="str">
        <f aca="false">'Raw Data'!C1262</f>
        <v>Pacific Coast Highway (aka El Segundo)</v>
      </c>
      <c r="B1262" s="5" t="n">
        <f aca="false">'Raw Data'!A1262</f>
        <v>40344</v>
      </c>
      <c r="C1262" s="6" t="n">
        <f aca="false">'Raw Data'!D1262</f>
        <v>219.069300378575</v>
      </c>
      <c r="D1262" s="6" t="n">
        <f aca="false">'Raw Data'!E1262</f>
        <v>4.62125</v>
      </c>
      <c r="E1262" s="6" t="n">
        <f aca="false">'Raw Data'!F1262</f>
        <v>1</v>
      </c>
      <c r="F1262" s="6" t="n">
        <f aca="false">'Raw Data'!G1262</f>
        <v>0</v>
      </c>
      <c r="G1262" s="6" t="n">
        <f aca="false">'Raw Data'!H1262</f>
        <v>0</v>
      </c>
      <c r="H1262" s="6" t="n">
        <f aca="false">'Raw Data'!I1262</f>
        <v>0</v>
      </c>
      <c r="I1262" s="6" t="n">
        <f aca="false">'Raw Data'!J1262</f>
        <v>0</v>
      </c>
      <c r="J1262" s="6" t="n">
        <f aca="false">'Raw Data'!K1262</f>
        <v>1</v>
      </c>
      <c r="K1262" s="6" t="n">
        <f aca="false">'Raw Data'!L1262</f>
        <v>1</v>
      </c>
      <c r="L1262" s="6" t="n">
        <f aca="false">F1262*E1262</f>
        <v>0</v>
      </c>
      <c r="N1262" s="0" t="n">
        <v>1</v>
      </c>
      <c r="O1262" s="6" t="n">
        <f aca="false">D1262</f>
        <v>4.62125</v>
      </c>
      <c r="P1262" s="6" t="n">
        <f aca="false">E1262</f>
        <v>1</v>
      </c>
      <c r="Q1262" s="6" t="n">
        <f aca="false">F1262</f>
        <v>0</v>
      </c>
      <c r="R1262" s="6" t="n">
        <f aca="false">G1262</f>
        <v>0</v>
      </c>
      <c r="S1262" s="6" t="n">
        <f aca="false">H1262</f>
        <v>0</v>
      </c>
      <c r="T1262" s="6" t="n">
        <f aca="false">I1262</f>
        <v>0</v>
      </c>
      <c r="U1262" s="6" t="n">
        <f aca="false">L1262</f>
        <v>0</v>
      </c>
      <c r="W1262" s="6" t="n">
        <f aca="false">D1262</f>
        <v>4.62125</v>
      </c>
      <c r="X1262" s="6" t="n">
        <f aca="false">E1262</f>
        <v>1</v>
      </c>
      <c r="Y1262" s="6" t="n">
        <f aca="false">F1262</f>
        <v>0</v>
      </c>
      <c r="Z1262" s="6" t="n">
        <f aca="false">L1262</f>
        <v>0</v>
      </c>
      <c r="AA1262" s="6" t="n">
        <f aca="false">G1262</f>
        <v>0</v>
      </c>
      <c r="AC1262" s="6" t="n">
        <f aca="false">D1262</f>
        <v>4.62125</v>
      </c>
      <c r="AD1262" s="6" t="n">
        <f aca="false">E1262</f>
        <v>1</v>
      </c>
      <c r="AE1262" s="6" t="n">
        <f aca="false">G1262</f>
        <v>0</v>
      </c>
      <c r="AF1262" s="6" t="n">
        <f aca="false">H1262</f>
        <v>0</v>
      </c>
      <c r="AG1262" s="6" t="n">
        <f aca="false">I1262</f>
        <v>0</v>
      </c>
      <c r="AH1262" s="6" t="n">
        <f aca="false">L1262</f>
        <v>0</v>
      </c>
    </row>
    <row r="1263" customFormat="false" ht="15" hidden="false" customHeight="false" outlineLevel="0" collapsed="false">
      <c r="A1263" s="0" t="str">
        <f aca="false">'Raw Data'!C1263</f>
        <v>Pacific Coast Highway (aka El Segundo)</v>
      </c>
      <c r="B1263" s="5" t="n">
        <f aca="false">'Raw Data'!A1263</f>
        <v>40351</v>
      </c>
      <c r="C1263" s="6" t="n">
        <f aca="false">'Raw Data'!D1263</f>
        <v>367.810425976205</v>
      </c>
      <c r="D1263" s="6" t="n">
        <f aca="false">'Raw Data'!E1263</f>
        <v>4.62125</v>
      </c>
      <c r="E1263" s="6" t="n">
        <f aca="false">'Raw Data'!F1263</f>
        <v>1</v>
      </c>
      <c r="F1263" s="6" t="n">
        <f aca="false">'Raw Data'!G1263</f>
        <v>0</v>
      </c>
      <c r="G1263" s="6" t="n">
        <f aca="false">'Raw Data'!H1263</f>
        <v>1</v>
      </c>
      <c r="H1263" s="6" t="n">
        <f aca="false">'Raw Data'!I1263</f>
        <v>0</v>
      </c>
      <c r="I1263" s="6" t="n">
        <f aca="false">'Raw Data'!J1263</f>
        <v>0</v>
      </c>
      <c r="J1263" s="6" t="n">
        <f aca="false">'Raw Data'!K1263</f>
        <v>1</v>
      </c>
      <c r="K1263" s="6" t="n">
        <f aca="false">'Raw Data'!L1263</f>
        <v>1</v>
      </c>
      <c r="L1263" s="6" t="n">
        <f aca="false">F1263*E1263</f>
        <v>0</v>
      </c>
      <c r="N1263" s="0" t="n">
        <v>1</v>
      </c>
      <c r="O1263" s="6" t="n">
        <f aca="false">D1263</f>
        <v>4.62125</v>
      </c>
      <c r="P1263" s="6" t="n">
        <f aca="false">E1263</f>
        <v>1</v>
      </c>
      <c r="Q1263" s="6" t="n">
        <f aca="false">F1263</f>
        <v>0</v>
      </c>
      <c r="R1263" s="6" t="n">
        <f aca="false">G1263</f>
        <v>1</v>
      </c>
      <c r="S1263" s="6" t="n">
        <f aca="false">H1263</f>
        <v>0</v>
      </c>
      <c r="T1263" s="6" t="n">
        <f aca="false">I1263</f>
        <v>0</v>
      </c>
      <c r="U1263" s="6" t="n">
        <f aca="false">L1263</f>
        <v>0</v>
      </c>
      <c r="W1263" s="6" t="n">
        <f aca="false">D1263</f>
        <v>4.62125</v>
      </c>
      <c r="X1263" s="6" t="n">
        <f aca="false">E1263</f>
        <v>1</v>
      </c>
      <c r="Y1263" s="6" t="n">
        <f aca="false">F1263</f>
        <v>0</v>
      </c>
      <c r="Z1263" s="6" t="n">
        <f aca="false">L1263</f>
        <v>0</v>
      </c>
      <c r="AA1263" s="6" t="n">
        <f aca="false">G1263</f>
        <v>1</v>
      </c>
      <c r="AC1263" s="6" t="n">
        <f aca="false">D1263</f>
        <v>4.62125</v>
      </c>
      <c r="AD1263" s="6" t="n">
        <f aca="false">E1263</f>
        <v>1</v>
      </c>
      <c r="AE1263" s="6" t="n">
        <f aca="false">G1263</f>
        <v>1</v>
      </c>
      <c r="AF1263" s="6" t="n">
        <f aca="false">H1263</f>
        <v>0</v>
      </c>
      <c r="AG1263" s="6" t="n">
        <f aca="false">I1263</f>
        <v>0</v>
      </c>
      <c r="AH1263" s="6" t="n">
        <f aca="false">L1263</f>
        <v>0</v>
      </c>
    </row>
    <row r="1264" customFormat="false" ht="15" hidden="false" customHeight="false" outlineLevel="0" collapsed="false">
      <c r="A1264" s="0" t="str">
        <f aca="false">'Raw Data'!C1264</f>
        <v>Pacific Coast Highway (aka El Segundo)</v>
      </c>
      <c r="B1264" s="5" t="n">
        <f aca="false">'Raw Data'!A1264</f>
        <v>40358</v>
      </c>
      <c r="C1264" s="6" t="n">
        <f aca="false">'Raw Data'!D1264</f>
        <v>364.882690578809</v>
      </c>
      <c r="D1264" s="6" t="n">
        <f aca="false">'Raw Data'!E1264</f>
        <v>4.62125</v>
      </c>
      <c r="E1264" s="6" t="n">
        <f aca="false">'Raw Data'!F1264</f>
        <v>1</v>
      </c>
      <c r="F1264" s="6" t="n">
        <f aca="false">'Raw Data'!G1264</f>
        <v>0</v>
      </c>
      <c r="G1264" s="6" t="n">
        <f aca="false">'Raw Data'!H1264</f>
        <v>0</v>
      </c>
      <c r="H1264" s="6" t="n">
        <f aca="false">'Raw Data'!I1264</f>
        <v>1</v>
      </c>
      <c r="I1264" s="6" t="n">
        <f aca="false">'Raw Data'!J1264</f>
        <v>0</v>
      </c>
      <c r="J1264" s="6" t="n">
        <f aca="false">'Raw Data'!K1264</f>
        <v>1</v>
      </c>
      <c r="K1264" s="6" t="n">
        <f aca="false">'Raw Data'!L1264</f>
        <v>1</v>
      </c>
      <c r="L1264" s="6" t="n">
        <f aca="false">F1264*E1264</f>
        <v>0</v>
      </c>
      <c r="N1264" s="0" t="n">
        <v>1</v>
      </c>
      <c r="O1264" s="6" t="n">
        <f aca="false">D1264</f>
        <v>4.62125</v>
      </c>
      <c r="P1264" s="6" t="n">
        <f aca="false">E1264</f>
        <v>1</v>
      </c>
      <c r="Q1264" s="6" t="n">
        <f aca="false">F1264</f>
        <v>0</v>
      </c>
      <c r="R1264" s="6" t="n">
        <f aca="false">G1264</f>
        <v>0</v>
      </c>
      <c r="S1264" s="6" t="n">
        <f aca="false">H1264</f>
        <v>1</v>
      </c>
      <c r="T1264" s="6" t="n">
        <f aca="false">I1264</f>
        <v>0</v>
      </c>
      <c r="U1264" s="6" t="n">
        <f aca="false">L1264</f>
        <v>0</v>
      </c>
      <c r="W1264" s="6" t="n">
        <f aca="false">D1264</f>
        <v>4.62125</v>
      </c>
      <c r="X1264" s="6" t="n">
        <f aca="false">E1264</f>
        <v>1</v>
      </c>
      <c r="Y1264" s="6" t="n">
        <f aca="false">F1264</f>
        <v>0</v>
      </c>
      <c r="Z1264" s="6" t="n">
        <f aca="false">L1264</f>
        <v>0</v>
      </c>
      <c r="AA1264" s="6" t="n">
        <f aca="false">G1264</f>
        <v>0</v>
      </c>
      <c r="AC1264" s="6" t="n">
        <f aca="false">D1264</f>
        <v>4.62125</v>
      </c>
      <c r="AD1264" s="6" t="n">
        <f aca="false">E1264</f>
        <v>1</v>
      </c>
      <c r="AE1264" s="6" t="n">
        <f aca="false">G1264</f>
        <v>0</v>
      </c>
      <c r="AF1264" s="6" t="n">
        <f aca="false">H1264</f>
        <v>1</v>
      </c>
      <c r="AG1264" s="6" t="n">
        <f aca="false">I1264</f>
        <v>0</v>
      </c>
      <c r="AH1264" s="6" t="n">
        <f aca="false">L1264</f>
        <v>0</v>
      </c>
    </row>
    <row r="1265" customFormat="false" ht="15" hidden="false" customHeight="false" outlineLevel="0" collapsed="false">
      <c r="A1265" s="0" t="str">
        <f aca="false">'Raw Data'!C1265</f>
        <v>Pacific Coast Highway (aka El Segundo)</v>
      </c>
      <c r="B1265" s="5" t="n">
        <f aca="false">'Raw Data'!A1265</f>
        <v>40365</v>
      </c>
      <c r="C1265" s="6" t="n">
        <f aca="false">'Raw Data'!D1265</f>
        <v>301.491053629619</v>
      </c>
      <c r="D1265" s="6" t="n">
        <f aca="false">'Raw Data'!E1265</f>
        <v>4.280625</v>
      </c>
      <c r="E1265" s="6" t="n">
        <f aca="false">'Raw Data'!F1265</f>
        <v>1</v>
      </c>
      <c r="F1265" s="6" t="n">
        <f aca="false">'Raw Data'!G1265</f>
        <v>0</v>
      </c>
      <c r="G1265" s="6" t="n">
        <f aca="false">'Raw Data'!H1265</f>
        <v>0</v>
      </c>
      <c r="H1265" s="6" t="n">
        <f aca="false">'Raw Data'!I1265</f>
        <v>1</v>
      </c>
      <c r="I1265" s="6" t="n">
        <f aca="false">'Raw Data'!J1265</f>
        <v>0</v>
      </c>
      <c r="J1265" s="6" t="n">
        <f aca="false">'Raw Data'!K1265</f>
        <v>1</v>
      </c>
      <c r="K1265" s="6" t="n">
        <f aca="false">'Raw Data'!L1265</f>
        <v>1</v>
      </c>
      <c r="L1265" s="6" t="n">
        <f aca="false">F1265*E1265</f>
        <v>0</v>
      </c>
      <c r="N1265" s="0" t="n">
        <v>1</v>
      </c>
      <c r="O1265" s="6" t="n">
        <f aca="false">D1265</f>
        <v>4.280625</v>
      </c>
      <c r="P1265" s="6" t="n">
        <f aca="false">E1265</f>
        <v>1</v>
      </c>
      <c r="Q1265" s="6" t="n">
        <f aca="false">F1265</f>
        <v>0</v>
      </c>
      <c r="R1265" s="6" t="n">
        <f aca="false">G1265</f>
        <v>0</v>
      </c>
      <c r="S1265" s="6" t="n">
        <f aca="false">H1265</f>
        <v>1</v>
      </c>
      <c r="T1265" s="6" t="n">
        <f aca="false">I1265</f>
        <v>0</v>
      </c>
      <c r="U1265" s="6" t="n">
        <f aca="false">L1265</f>
        <v>0</v>
      </c>
      <c r="W1265" s="6" t="n">
        <f aca="false">D1265</f>
        <v>4.280625</v>
      </c>
      <c r="X1265" s="6" t="n">
        <f aca="false">E1265</f>
        <v>1</v>
      </c>
      <c r="Y1265" s="6" t="n">
        <f aca="false">F1265</f>
        <v>0</v>
      </c>
      <c r="Z1265" s="6" t="n">
        <f aca="false">L1265</f>
        <v>0</v>
      </c>
      <c r="AA1265" s="6" t="n">
        <f aca="false">G1265</f>
        <v>0</v>
      </c>
      <c r="AC1265" s="6" t="n">
        <f aca="false">D1265</f>
        <v>4.280625</v>
      </c>
      <c r="AD1265" s="6" t="n">
        <f aca="false">E1265</f>
        <v>1</v>
      </c>
      <c r="AE1265" s="6" t="n">
        <f aca="false">G1265</f>
        <v>0</v>
      </c>
      <c r="AF1265" s="6" t="n">
        <f aca="false">H1265</f>
        <v>1</v>
      </c>
      <c r="AG1265" s="6" t="n">
        <f aca="false">I1265</f>
        <v>0</v>
      </c>
      <c r="AH1265" s="6" t="n">
        <f aca="false">L1265</f>
        <v>0</v>
      </c>
    </row>
    <row r="1266" customFormat="false" ht="15" hidden="false" customHeight="false" outlineLevel="0" collapsed="false">
      <c r="A1266" s="0" t="str">
        <f aca="false">'Raw Data'!C1266</f>
        <v>Pacific Coast Highway (aka El Segundo)</v>
      </c>
      <c r="B1266" s="5" t="n">
        <f aca="false">'Raw Data'!A1266</f>
        <v>40372</v>
      </c>
      <c r="C1266" s="6" t="n">
        <f aca="false">'Raw Data'!D1266</f>
        <v>430.635572688579</v>
      </c>
      <c r="D1266" s="6" t="n">
        <f aca="false">'Raw Data'!E1266</f>
        <v>4.265333333</v>
      </c>
      <c r="E1266" s="6" t="n">
        <f aca="false">'Raw Data'!F1266</f>
        <v>1</v>
      </c>
      <c r="F1266" s="6" t="n">
        <f aca="false">'Raw Data'!G1266</f>
        <v>0</v>
      </c>
      <c r="G1266" s="6" t="n">
        <f aca="false">'Raw Data'!H1266</f>
        <v>0</v>
      </c>
      <c r="H1266" s="6" t="n">
        <f aca="false">'Raw Data'!I1266</f>
        <v>1</v>
      </c>
      <c r="I1266" s="6" t="n">
        <f aca="false">'Raw Data'!J1266</f>
        <v>0</v>
      </c>
      <c r="J1266" s="6" t="n">
        <f aca="false">'Raw Data'!K1266</f>
        <v>1</v>
      </c>
      <c r="K1266" s="6" t="n">
        <f aca="false">'Raw Data'!L1266</f>
        <v>1</v>
      </c>
      <c r="L1266" s="6" t="n">
        <f aca="false">F1266*E1266</f>
        <v>0</v>
      </c>
      <c r="N1266" s="0" t="n">
        <v>1</v>
      </c>
      <c r="O1266" s="6" t="n">
        <f aca="false">D1266</f>
        <v>4.265333333</v>
      </c>
      <c r="P1266" s="6" t="n">
        <f aca="false">E1266</f>
        <v>1</v>
      </c>
      <c r="Q1266" s="6" t="n">
        <f aca="false">F1266</f>
        <v>0</v>
      </c>
      <c r="R1266" s="6" t="n">
        <f aca="false">G1266</f>
        <v>0</v>
      </c>
      <c r="S1266" s="6" t="n">
        <f aca="false">H1266</f>
        <v>1</v>
      </c>
      <c r="T1266" s="6" t="n">
        <f aca="false">I1266</f>
        <v>0</v>
      </c>
      <c r="U1266" s="6" t="n">
        <f aca="false">L1266</f>
        <v>0</v>
      </c>
      <c r="W1266" s="6" t="n">
        <f aca="false">D1266</f>
        <v>4.265333333</v>
      </c>
      <c r="X1266" s="6" t="n">
        <f aca="false">E1266</f>
        <v>1</v>
      </c>
      <c r="Y1266" s="6" t="n">
        <f aca="false">F1266</f>
        <v>0</v>
      </c>
      <c r="Z1266" s="6" t="n">
        <f aca="false">L1266</f>
        <v>0</v>
      </c>
      <c r="AA1266" s="6" t="n">
        <f aca="false">G1266</f>
        <v>0</v>
      </c>
      <c r="AC1266" s="6" t="n">
        <f aca="false">D1266</f>
        <v>4.265333333</v>
      </c>
      <c r="AD1266" s="6" t="n">
        <f aca="false">E1266</f>
        <v>1</v>
      </c>
      <c r="AE1266" s="6" t="n">
        <f aca="false">G1266</f>
        <v>0</v>
      </c>
      <c r="AF1266" s="6" t="n">
        <f aca="false">H1266</f>
        <v>1</v>
      </c>
      <c r="AG1266" s="6" t="n">
        <f aca="false">I1266</f>
        <v>0</v>
      </c>
      <c r="AH1266" s="6" t="n">
        <f aca="false">L1266</f>
        <v>0</v>
      </c>
    </row>
    <row r="1267" customFormat="false" ht="15" hidden="false" customHeight="false" outlineLevel="0" collapsed="false">
      <c r="A1267" s="0" t="str">
        <f aca="false">'Raw Data'!C1267</f>
        <v>Pasadena</v>
      </c>
      <c r="B1267" s="5" t="n">
        <f aca="false">'Raw Data'!A1267</f>
        <v>40302</v>
      </c>
      <c r="C1267" s="6" t="n">
        <f aca="false">'Raw Data'!D1267</f>
        <v>299.200909874376</v>
      </c>
      <c r="D1267" s="6" t="n">
        <f aca="false">'Raw Data'!E1267</f>
        <v>4.89</v>
      </c>
      <c r="E1267" s="6" t="n">
        <f aca="false">'Raw Data'!F1267</f>
        <v>1</v>
      </c>
      <c r="F1267" s="6" t="n">
        <f aca="false">'Raw Data'!G1267</f>
        <v>0</v>
      </c>
      <c r="G1267" s="6" t="n">
        <f aca="false">'Raw Data'!H1267</f>
        <v>0</v>
      </c>
      <c r="H1267" s="6" t="n">
        <f aca="false">'Raw Data'!I1267</f>
        <v>0</v>
      </c>
      <c r="I1267" s="6" t="n">
        <f aca="false">'Raw Data'!J1267</f>
        <v>1</v>
      </c>
      <c r="J1267" s="6" t="n">
        <f aca="false">'Raw Data'!K1267</f>
        <v>2</v>
      </c>
      <c r="K1267" s="6" t="n">
        <f aca="false">'Raw Data'!L1267</f>
        <v>3</v>
      </c>
      <c r="L1267" s="6" t="n">
        <f aca="false">F1267*E1267</f>
        <v>0</v>
      </c>
      <c r="N1267" s="0" t="n">
        <v>1</v>
      </c>
      <c r="O1267" s="6" t="n">
        <f aca="false">D1267</f>
        <v>4.89</v>
      </c>
      <c r="P1267" s="6" t="n">
        <f aca="false">E1267</f>
        <v>1</v>
      </c>
      <c r="Q1267" s="6" t="n">
        <f aca="false">F1267</f>
        <v>0</v>
      </c>
      <c r="R1267" s="6" t="n">
        <f aca="false">G1267</f>
        <v>0</v>
      </c>
      <c r="S1267" s="6" t="n">
        <f aca="false">H1267</f>
        <v>0</v>
      </c>
      <c r="T1267" s="6" t="n">
        <f aca="false">I1267</f>
        <v>1</v>
      </c>
      <c r="U1267" s="6" t="n">
        <f aca="false">L1267</f>
        <v>0</v>
      </c>
      <c r="W1267" s="6" t="n">
        <f aca="false">D1267</f>
        <v>4.89</v>
      </c>
      <c r="X1267" s="6" t="n">
        <f aca="false">E1267</f>
        <v>1</v>
      </c>
      <c r="Y1267" s="6" t="n">
        <f aca="false">F1267</f>
        <v>0</v>
      </c>
      <c r="Z1267" s="6" t="n">
        <f aca="false">L1267</f>
        <v>0</v>
      </c>
      <c r="AA1267" s="6" t="n">
        <f aca="false">G1267</f>
        <v>0</v>
      </c>
      <c r="AC1267" s="6" t="n">
        <f aca="false">D1267</f>
        <v>4.89</v>
      </c>
      <c r="AD1267" s="6" t="n">
        <f aca="false">E1267</f>
        <v>1</v>
      </c>
      <c r="AE1267" s="6" t="n">
        <f aca="false">G1267</f>
        <v>0</v>
      </c>
      <c r="AF1267" s="6" t="n">
        <f aca="false">H1267</f>
        <v>0</v>
      </c>
      <c r="AG1267" s="6" t="n">
        <f aca="false">I1267</f>
        <v>1</v>
      </c>
      <c r="AH1267" s="6" t="n">
        <f aca="false">L1267</f>
        <v>0</v>
      </c>
    </row>
    <row r="1268" customFormat="false" ht="15" hidden="false" customHeight="false" outlineLevel="0" collapsed="false">
      <c r="A1268" s="0" t="str">
        <f aca="false">'Raw Data'!C1268</f>
        <v>Pasadena</v>
      </c>
      <c r="B1268" s="5" t="n">
        <f aca="false">'Raw Data'!A1268</f>
        <v>40309</v>
      </c>
      <c r="C1268" s="6" t="n">
        <f aca="false">'Raw Data'!D1268</f>
        <v>268.365065114903</v>
      </c>
      <c r="D1268" s="6" t="n">
        <f aca="false">'Raw Data'!E1268</f>
        <v>4.566363636</v>
      </c>
      <c r="E1268" s="6" t="n">
        <f aca="false">'Raw Data'!F1268</f>
        <v>1</v>
      </c>
      <c r="F1268" s="6" t="n">
        <f aca="false">'Raw Data'!G1268</f>
        <v>0</v>
      </c>
      <c r="G1268" s="6" t="n">
        <f aca="false">'Raw Data'!H1268</f>
        <v>0</v>
      </c>
      <c r="H1268" s="6" t="n">
        <f aca="false">'Raw Data'!I1268</f>
        <v>0</v>
      </c>
      <c r="I1268" s="6" t="n">
        <f aca="false">'Raw Data'!J1268</f>
        <v>1</v>
      </c>
      <c r="J1268" s="6" t="n">
        <f aca="false">'Raw Data'!K1268</f>
        <v>2</v>
      </c>
      <c r="K1268" s="6" t="n">
        <f aca="false">'Raw Data'!L1268</f>
        <v>3</v>
      </c>
      <c r="L1268" s="6" t="n">
        <f aca="false">F1268*E1268</f>
        <v>0</v>
      </c>
      <c r="N1268" s="0" t="n">
        <v>1</v>
      </c>
      <c r="O1268" s="6" t="n">
        <f aca="false">D1268</f>
        <v>4.566363636</v>
      </c>
      <c r="P1268" s="6" t="n">
        <f aca="false">E1268</f>
        <v>1</v>
      </c>
      <c r="Q1268" s="6" t="n">
        <f aca="false">F1268</f>
        <v>0</v>
      </c>
      <c r="R1268" s="6" t="n">
        <f aca="false">G1268</f>
        <v>0</v>
      </c>
      <c r="S1268" s="6" t="n">
        <f aca="false">H1268</f>
        <v>0</v>
      </c>
      <c r="T1268" s="6" t="n">
        <f aca="false">I1268</f>
        <v>1</v>
      </c>
      <c r="U1268" s="6" t="n">
        <f aca="false">L1268</f>
        <v>0</v>
      </c>
      <c r="W1268" s="6" t="n">
        <f aca="false">D1268</f>
        <v>4.566363636</v>
      </c>
      <c r="X1268" s="6" t="n">
        <f aca="false">E1268</f>
        <v>1</v>
      </c>
      <c r="Y1268" s="6" t="n">
        <f aca="false">F1268</f>
        <v>0</v>
      </c>
      <c r="Z1268" s="6" t="n">
        <f aca="false">L1268</f>
        <v>0</v>
      </c>
      <c r="AA1268" s="6" t="n">
        <f aca="false">G1268</f>
        <v>0</v>
      </c>
      <c r="AC1268" s="6" t="n">
        <f aca="false">D1268</f>
        <v>4.566363636</v>
      </c>
      <c r="AD1268" s="6" t="n">
        <f aca="false">E1268</f>
        <v>1</v>
      </c>
      <c r="AE1268" s="6" t="n">
        <f aca="false">G1268</f>
        <v>0</v>
      </c>
      <c r="AF1268" s="6" t="n">
        <f aca="false">H1268</f>
        <v>0</v>
      </c>
      <c r="AG1268" s="6" t="n">
        <f aca="false">I1268</f>
        <v>1</v>
      </c>
      <c r="AH1268" s="6" t="n">
        <f aca="false">L1268</f>
        <v>0</v>
      </c>
    </row>
    <row r="1269" customFormat="false" ht="15" hidden="false" customHeight="false" outlineLevel="0" collapsed="false">
      <c r="A1269" s="0" t="str">
        <f aca="false">'Raw Data'!C1269</f>
        <v>Pasadena</v>
      </c>
      <c r="B1269" s="5" t="n">
        <f aca="false">'Raw Data'!A1269</f>
        <v>40316</v>
      </c>
      <c r="C1269" s="6" t="n">
        <f aca="false">'Raw Data'!D1269</f>
        <v>198.949257112747</v>
      </c>
      <c r="D1269" s="6" t="n">
        <f aca="false">'Raw Data'!E1269</f>
        <v>4.75</v>
      </c>
      <c r="E1269" s="6" t="n">
        <f aca="false">'Raw Data'!F1269</f>
        <v>1</v>
      </c>
      <c r="F1269" s="6" t="n">
        <f aca="false">'Raw Data'!G1269</f>
        <v>0</v>
      </c>
      <c r="G1269" s="6" t="n">
        <f aca="false">'Raw Data'!H1269</f>
        <v>0</v>
      </c>
      <c r="H1269" s="6" t="n">
        <f aca="false">'Raw Data'!I1269</f>
        <v>0</v>
      </c>
      <c r="I1269" s="6" t="n">
        <f aca="false">'Raw Data'!J1269</f>
        <v>0</v>
      </c>
      <c r="J1269" s="6" t="n">
        <f aca="false">'Raw Data'!K1269</f>
        <v>2</v>
      </c>
      <c r="K1269" s="6" t="n">
        <f aca="false">'Raw Data'!L1269</f>
        <v>3</v>
      </c>
      <c r="L1269" s="6" t="n">
        <f aca="false">F1269*E1269</f>
        <v>0</v>
      </c>
      <c r="N1269" s="0" t="n">
        <v>1</v>
      </c>
      <c r="O1269" s="6" t="n">
        <f aca="false">D1269</f>
        <v>4.75</v>
      </c>
      <c r="P1269" s="6" t="n">
        <f aca="false">E1269</f>
        <v>1</v>
      </c>
      <c r="Q1269" s="6" t="n">
        <f aca="false">F1269</f>
        <v>0</v>
      </c>
      <c r="R1269" s="6" t="n">
        <f aca="false">G1269</f>
        <v>0</v>
      </c>
      <c r="S1269" s="6" t="n">
        <f aca="false">H1269</f>
        <v>0</v>
      </c>
      <c r="T1269" s="6" t="n">
        <f aca="false">I1269</f>
        <v>0</v>
      </c>
      <c r="U1269" s="6" t="n">
        <f aca="false">L1269</f>
        <v>0</v>
      </c>
      <c r="W1269" s="6" t="n">
        <f aca="false">D1269</f>
        <v>4.75</v>
      </c>
      <c r="X1269" s="6" t="n">
        <f aca="false">E1269</f>
        <v>1</v>
      </c>
      <c r="Y1269" s="6" t="n">
        <f aca="false">F1269</f>
        <v>0</v>
      </c>
      <c r="Z1269" s="6" t="n">
        <f aca="false">L1269</f>
        <v>0</v>
      </c>
      <c r="AA1269" s="6" t="n">
        <f aca="false">G1269</f>
        <v>0</v>
      </c>
      <c r="AC1269" s="6" t="n">
        <f aca="false">D1269</f>
        <v>4.75</v>
      </c>
      <c r="AD1269" s="6" t="n">
        <f aca="false">E1269</f>
        <v>1</v>
      </c>
      <c r="AE1269" s="6" t="n">
        <f aca="false">G1269</f>
        <v>0</v>
      </c>
      <c r="AF1269" s="6" t="n">
        <f aca="false">H1269</f>
        <v>0</v>
      </c>
      <c r="AG1269" s="6" t="n">
        <f aca="false">I1269</f>
        <v>0</v>
      </c>
      <c r="AH1269" s="6" t="n">
        <f aca="false">L1269</f>
        <v>0</v>
      </c>
    </row>
    <row r="1270" customFormat="false" ht="15" hidden="false" customHeight="false" outlineLevel="0" collapsed="false">
      <c r="A1270" s="0" t="str">
        <f aca="false">'Raw Data'!C1270</f>
        <v>Pasadena</v>
      </c>
      <c r="B1270" s="5" t="n">
        <f aca="false">'Raw Data'!A1270</f>
        <v>40323</v>
      </c>
      <c r="C1270" s="6" t="n">
        <f aca="false">'Raw Data'!D1270</f>
        <v>199.739564726052</v>
      </c>
      <c r="D1270" s="6" t="n">
        <f aca="false">'Raw Data'!E1270</f>
        <v>4.273571429</v>
      </c>
      <c r="E1270" s="6" t="n">
        <f aca="false">'Raw Data'!F1270</f>
        <v>1</v>
      </c>
      <c r="F1270" s="6" t="n">
        <f aca="false">'Raw Data'!G1270</f>
        <v>0</v>
      </c>
      <c r="G1270" s="6" t="n">
        <f aca="false">'Raw Data'!H1270</f>
        <v>0</v>
      </c>
      <c r="H1270" s="6" t="n">
        <f aca="false">'Raw Data'!I1270</f>
        <v>0</v>
      </c>
      <c r="I1270" s="6" t="n">
        <f aca="false">'Raw Data'!J1270</f>
        <v>0</v>
      </c>
      <c r="J1270" s="6" t="n">
        <f aca="false">'Raw Data'!K1270</f>
        <v>2</v>
      </c>
      <c r="K1270" s="6" t="n">
        <f aca="false">'Raw Data'!L1270</f>
        <v>3</v>
      </c>
      <c r="L1270" s="6" t="n">
        <f aca="false">F1270*E1270</f>
        <v>0</v>
      </c>
      <c r="N1270" s="0" t="n">
        <v>1</v>
      </c>
      <c r="O1270" s="6" t="n">
        <f aca="false">D1270</f>
        <v>4.273571429</v>
      </c>
      <c r="P1270" s="6" t="n">
        <f aca="false">E1270</f>
        <v>1</v>
      </c>
      <c r="Q1270" s="6" t="n">
        <f aca="false">F1270</f>
        <v>0</v>
      </c>
      <c r="R1270" s="6" t="n">
        <f aca="false">G1270</f>
        <v>0</v>
      </c>
      <c r="S1270" s="6" t="n">
        <f aca="false">H1270</f>
        <v>0</v>
      </c>
      <c r="T1270" s="6" t="n">
        <f aca="false">I1270</f>
        <v>0</v>
      </c>
      <c r="U1270" s="6" t="n">
        <f aca="false">L1270</f>
        <v>0</v>
      </c>
      <c r="W1270" s="6" t="n">
        <f aca="false">D1270</f>
        <v>4.273571429</v>
      </c>
      <c r="X1270" s="6" t="n">
        <f aca="false">E1270</f>
        <v>1</v>
      </c>
      <c r="Y1270" s="6" t="n">
        <f aca="false">F1270</f>
        <v>0</v>
      </c>
      <c r="Z1270" s="6" t="n">
        <f aca="false">L1270</f>
        <v>0</v>
      </c>
      <c r="AA1270" s="6" t="n">
        <f aca="false">G1270</f>
        <v>0</v>
      </c>
      <c r="AC1270" s="6" t="n">
        <f aca="false">D1270</f>
        <v>4.273571429</v>
      </c>
      <c r="AD1270" s="6" t="n">
        <f aca="false">E1270</f>
        <v>1</v>
      </c>
      <c r="AE1270" s="6" t="n">
        <f aca="false">G1270</f>
        <v>0</v>
      </c>
      <c r="AF1270" s="6" t="n">
        <f aca="false">H1270</f>
        <v>0</v>
      </c>
      <c r="AG1270" s="6" t="n">
        <f aca="false">I1270</f>
        <v>0</v>
      </c>
      <c r="AH1270" s="6" t="n">
        <f aca="false">L1270</f>
        <v>0</v>
      </c>
    </row>
    <row r="1271" customFormat="false" ht="15" hidden="false" customHeight="false" outlineLevel="0" collapsed="false">
      <c r="A1271" s="0" t="str">
        <f aca="false">'Raw Data'!C1271</f>
        <v>Pasadena</v>
      </c>
      <c r="B1271" s="5" t="n">
        <f aca="false">'Raw Data'!A1271</f>
        <v>40330</v>
      </c>
      <c r="C1271" s="6" t="n">
        <f aca="false">'Raw Data'!D1271</f>
        <v>285.301753252906</v>
      </c>
      <c r="D1271" s="6" t="n">
        <f aca="false">'Raw Data'!E1271</f>
        <v>4.521428571</v>
      </c>
      <c r="E1271" s="6" t="n">
        <f aca="false">'Raw Data'!F1271</f>
        <v>1</v>
      </c>
      <c r="F1271" s="6" t="n">
        <f aca="false">'Raw Data'!G1271</f>
        <v>0</v>
      </c>
      <c r="G1271" s="6" t="n">
        <f aca="false">'Raw Data'!H1271</f>
        <v>0</v>
      </c>
      <c r="H1271" s="6" t="n">
        <f aca="false">'Raw Data'!I1271</f>
        <v>0</v>
      </c>
      <c r="I1271" s="6" t="n">
        <f aca="false">'Raw Data'!J1271</f>
        <v>0</v>
      </c>
      <c r="J1271" s="6" t="n">
        <f aca="false">'Raw Data'!K1271</f>
        <v>2</v>
      </c>
      <c r="K1271" s="6" t="n">
        <f aca="false">'Raw Data'!L1271</f>
        <v>3</v>
      </c>
      <c r="L1271" s="6" t="n">
        <f aca="false">F1271*E1271</f>
        <v>0</v>
      </c>
      <c r="N1271" s="0" t="n">
        <v>1</v>
      </c>
      <c r="O1271" s="6" t="n">
        <f aca="false">D1271</f>
        <v>4.521428571</v>
      </c>
      <c r="P1271" s="6" t="n">
        <f aca="false">E1271</f>
        <v>1</v>
      </c>
      <c r="Q1271" s="6" t="n">
        <f aca="false">F1271</f>
        <v>0</v>
      </c>
      <c r="R1271" s="6" t="n">
        <f aca="false">G1271</f>
        <v>0</v>
      </c>
      <c r="S1271" s="6" t="n">
        <f aca="false">H1271</f>
        <v>0</v>
      </c>
      <c r="T1271" s="6" t="n">
        <f aca="false">I1271</f>
        <v>0</v>
      </c>
      <c r="U1271" s="6" t="n">
        <f aca="false">L1271</f>
        <v>0</v>
      </c>
      <c r="W1271" s="6" t="n">
        <f aca="false">D1271</f>
        <v>4.521428571</v>
      </c>
      <c r="X1271" s="6" t="n">
        <f aca="false">E1271</f>
        <v>1</v>
      </c>
      <c r="Y1271" s="6" t="n">
        <f aca="false">F1271</f>
        <v>0</v>
      </c>
      <c r="Z1271" s="6" t="n">
        <f aca="false">L1271</f>
        <v>0</v>
      </c>
      <c r="AA1271" s="6" t="n">
        <f aca="false">G1271</f>
        <v>0</v>
      </c>
      <c r="AC1271" s="6" t="n">
        <f aca="false">D1271</f>
        <v>4.521428571</v>
      </c>
      <c r="AD1271" s="6" t="n">
        <f aca="false">E1271</f>
        <v>1</v>
      </c>
      <c r="AE1271" s="6" t="n">
        <f aca="false">G1271</f>
        <v>0</v>
      </c>
      <c r="AF1271" s="6" t="n">
        <f aca="false">H1271</f>
        <v>0</v>
      </c>
      <c r="AG1271" s="6" t="n">
        <f aca="false">I1271</f>
        <v>0</v>
      </c>
      <c r="AH1271" s="6" t="n">
        <f aca="false">L1271</f>
        <v>0</v>
      </c>
    </row>
    <row r="1272" customFormat="false" ht="15" hidden="false" customHeight="false" outlineLevel="0" collapsed="false">
      <c r="A1272" s="0" t="str">
        <f aca="false">'Raw Data'!C1272</f>
        <v>Pasadena</v>
      </c>
      <c r="B1272" s="5" t="n">
        <f aca="false">'Raw Data'!A1272</f>
        <v>40337</v>
      </c>
      <c r="C1272" s="6" t="n">
        <f aca="false">'Raw Data'!D1272</f>
        <v>199.936802158148</v>
      </c>
      <c r="D1272" s="6" t="n">
        <f aca="false">'Raw Data'!E1272</f>
        <v>4.246666667</v>
      </c>
      <c r="E1272" s="6" t="n">
        <f aca="false">'Raw Data'!F1272</f>
        <v>1</v>
      </c>
      <c r="F1272" s="6" t="n">
        <f aca="false">'Raw Data'!G1272</f>
        <v>0</v>
      </c>
      <c r="G1272" s="6" t="n">
        <f aca="false">'Raw Data'!H1272</f>
        <v>0</v>
      </c>
      <c r="H1272" s="6" t="n">
        <f aca="false">'Raw Data'!I1272</f>
        <v>0</v>
      </c>
      <c r="I1272" s="6" t="n">
        <f aca="false">'Raw Data'!J1272</f>
        <v>0</v>
      </c>
      <c r="J1272" s="6" t="n">
        <f aca="false">'Raw Data'!K1272</f>
        <v>2</v>
      </c>
      <c r="K1272" s="6" t="n">
        <f aca="false">'Raw Data'!L1272</f>
        <v>3</v>
      </c>
      <c r="L1272" s="6" t="n">
        <f aca="false">F1272*E1272</f>
        <v>0</v>
      </c>
      <c r="N1272" s="0" t="n">
        <v>1</v>
      </c>
      <c r="O1272" s="6" t="n">
        <f aca="false">D1272</f>
        <v>4.246666667</v>
      </c>
      <c r="P1272" s="6" t="n">
        <f aca="false">E1272</f>
        <v>1</v>
      </c>
      <c r="Q1272" s="6" t="n">
        <f aca="false">F1272</f>
        <v>0</v>
      </c>
      <c r="R1272" s="6" t="n">
        <f aca="false">G1272</f>
        <v>0</v>
      </c>
      <c r="S1272" s="6" t="n">
        <f aca="false">H1272</f>
        <v>0</v>
      </c>
      <c r="T1272" s="6" t="n">
        <f aca="false">I1272</f>
        <v>0</v>
      </c>
      <c r="U1272" s="6" t="n">
        <f aca="false">L1272</f>
        <v>0</v>
      </c>
      <c r="W1272" s="6" t="n">
        <f aca="false">D1272</f>
        <v>4.246666667</v>
      </c>
      <c r="X1272" s="6" t="n">
        <f aca="false">E1272</f>
        <v>1</v>
      </c>
      <c r="Y1272" s="6" t="n">
        <f aca="false">F1272</f>
        <v>0</v>
      </c>
      <c r="Z1272" s="6" t="n">
        <f aca="false">L1272</f>
        <v>0</v>
      </c>
      <c r="AA1272" s="6" t="n">
        <f aca="false">G1272</f>
        <v>0</v>
      </c>
      <c r="AC1272" s="6" t="n">
        <f aca="false">D1272</f>
        <v>4.246666667</v>
      </c>
      <c r="AD1272" s="6" t="n">
        <f aca="false">E1272</f>
        <v>1</v>
      </c>
      <c r="AE1272" s="6" t="n">
        <f aca="false">G1272</f>
        <v>0</v>
      </c>
      <c r="AF1272" s="6" t="n">
        <f aca="false">H1272</f>
        <v>0</v>
      </c>
      <c r="AG1272" s="6" t="n">
        <f aca="false">I1272</f>
        <v>0</v>
      </c>
      <c r="AH1272" s="6" t="n">
        <f aca="false">L1272</f>
        <v>0</v>
      </c>
    </row>
    <row r="1273" customFormat="false" ht="15" hidden="false" customHeight="false" outlineLevel="0" collapsed="false">
      <c r="A1273" s="0" t="str">
        <f aca="false">'Raw Data'!C1273</f>
        <v>Pasadena</v>
      </c>
      <c r="B1273" s="5" t="n">
        <f aca="false">'Raw Data'!A1273</f>
        <v>40344</v>
      </c>
      <c r="C1273" s="6" t="n">
        <f aca="false">'Raw Data'!D1273</f>
        <v>162.82189992113</v>
      </c>
      <c r="D1273" s="6" t="n">
        <f aca="false">'Raw Data'!E1273</f>
        <v>4.79</v>
      </c>
      <c r="E1273" s="6" t="n">
        <f aca="false">'Raw Data'!F1273</f>
        <v>1</v>
      </c>
      <c r="F1273" s="6" t="n">
        <f aca="false">'Raw Data'!G1273</f>
        <v>0</v>
      </c>
      <c r="G1273" s="6" t="n">
        <f aca="false">'Raw Data'!H1273</f>
        <v>0</v>
      </c>
      <c r="H1273" s="6" t="n">
        <f aca="false">'Raw Data'!I1273</f>
        <v>0</v>
      </c>
      <c r="I1273" s="6" t="n">
        <f aca="false">'Raw Data'!J1273</f>
        <v>0</v>
      </c>
      <c r="J1273" s="6" t="n">
        <f aca="false">'Raw Data'!K1273</f>
        <v>2</v>
      </c>
      <c r="K1273" s="6" t="n">
        <f aca="false">'Raw Data'!L1273</f>
        <v>3</v>
      </c>
      <c r="L1273" s="6" t="n">
        <f aca="false">F1273*E1273</f>
        <v>0</v>
      </c>
      <c r="N1273" s="0" t="n">
        <v>1</v>
      </c>
      <c r="O1273" s="6" t="n">
        <f aca="false">D1273</f>
        <v>4.79</v>
      </c>
      <c r="P1273" s="6" t="n">
        <f aca="false">E1273</f>
        <v>1</v>
      </c>
      <c r="Q1273" s="6" t="n">
        <f aca="false">F1273</f>
        <v>0</v>
      </c>
      <c r="R1273" s="6" t="n">
        <f aca="false">G1273</f>
        <v>0</v>
      </c>
      <c r="S1273" s="6" t="n">
        <f aca="false">H1273</f>
        <v>0</v>
      </c>
      <c r="T1273" s="6" t="n">
        <f aca="false">I1273</f>
        <v>0</v>
      </c>
      <c r="U1273" s="6" t="n">
        <f aca="false">L1273</f>
        <v>0</v>
      </c>
      <c r="W1273" s="6" t="n">
        <f aca="false">D1273</f>
        <v>4.79</v>
      </c>
      <c r="X1273" s="6" t="n">
        <f aca="false">E1273</f>
        <v>1</v>
      </c>
      <c r="Y1273" s="6" t="n">
        <f aca="false">F1273</f>
        <v>0</v>
      </c>
      <c r="Z1273" s="6" t="n">
        <f aca="false">L1273</f>
        <v>0</v>
      </c>
      <c r="AA1273" s="6" t="n">
        <f aca="false">G1273</f>
        <v>0</v>
      </c>
      <c r="AC1273" s="6" t="n">
        <f aca="false">D1273</f>
        <v>4.79</v>
      </c>
      <c r="AD1273" s="6" t="n">
        <f aca="false">E1273</f>
        <v>1</v>
      </c>
      <c r="AE1273" s="6" t="n">
        <f aca="false">G1273</f>
        <v>0</v>
      </c>
      <c r="AF1273" s="6" t="n">
        <f aca="false">H1273</f>
        <v>0</v>
      </c>
      <c r="AG1273" s="6" t="n">
        <f aca="false">I1273</f>
        <v>0</v>
      </c>
      <c r="AH1273" s="6" t="n">
        <f aca="false">L1273</f>
        <v>0</v>
      </c>
    </row>
    <row r="1274" customFormat="false" ht="15" hidden="false" customHeight="false" outlineLevel="0" collapsed="false">
      <c r="A1274" s="0" t="str">
        <f aca="false">'Raw Data'!C1274</f>
        <v>Pasadena</v>
      </c>
      <c r="B1274" s="5" t="n">
        <f aca="false">'Raw Data'!A1274</f>
        <v>40351</v>
      </c>
      <c r="C1274" s="6" t="n">
        <f aca="false">'Raw Data'!D1274</f>
        <v>289.621913536735</v>
      </c>
      <c r="D1274" s="6" t="n">
        <f aca="false">'Raw Data'!E1274</f>
        <v>4.613076923</v>
      </c>
      <c r="E1274" s="6" t="n">
        <f aca="false">'Raw Data'!F1274</f>
        <v>1</v>
      </c>
      <c r="F1274" s="6" t="n">
        <f aca="false">'Raw Data'!G1274</f>
        <v>0</v>
      </c>
      <c r="G1274" s="6" t="n">
        <f aca="false">'Raw Data'!H1274</f>
        <v>0</v>
      </c>
      <c r="H1274" s="6" t="n">
        <f aca="false">'Raw Data'!I1274</f>
        <v>0</v>
      </c>
      <c r="I1274" s="6" t="n">
        <f aca="false">'Raw Data'!J1274</f>
        <v>0</v>
      </c>
      <c r="J1274" s="6" t="n">
        <f aca="false">'Raw Data'!K1274</f>
        <v>2</v>
      </c>
      <c r="K1274" s="6" t="n">
        <f aca="false">'Raw Data'!L1274</f>
        <v>3</v>
      </c>
      <c r="L1274" s="6" t="n">
        <f aca="false">F1274*E1274</f>
        <v>0</v>
      </c>
      <c r="N1274" s="0" t="n">
        <v>1</v>
      </c>
      <c r="O1274" s="6" t="n">
        <f aca="false">D1274</f>
        <v>4.613076923</v>
      </c>
      <c r="P1274" s="6" t="n">
        <f aca="false">E1274</f>
        <v>1</v>
      </c>
      <c r="Q1274" s="6" t="n">
        <f aca="false">F1274</f>
        <v>0</v>
      </c>
      <c r="R1274" s="6" t="n">
        <f aca="false">G1274</f>
        <v>0</v>
      </c>
      <c r="S1274" s="6" t="n">
        <f aca="false">H1274</f>
        <v>0</v>
      </c>
      <c r="T1274" s="6" t="n">
        <f aca="false">I1274</f>
        <v>0</v>
      </c>
      <c r="U1274" s="6" t="n">
        <f aca="false">L1274</f>
        <v>0</v>
      </c>
      <c r="W1274" s="6" t="n">
        <f aca="false">D1274</f>
        <v>4.613076923</v>
      </c>
      <c r="X1274" s="6" t="n">
        <f aca="false">E1274</f>
        <v>1</v>
      </c>
      <c r="Y1274" s="6" t="n">
        <f aca="false">F1274</f>
        <v>0</v>
      </c>
      <c r="Z1274" s="6" t="n">
        <f aca="false">L1274</f>
        <v>0</v>
      </c>
      <c r="AA1274" s="6" t="n">
        <f aca="false">G1274</f>
        <v>0</v>
      </c>
      <c r="AC1274" s="6" t="n">
        <f aca="false">D1274</f>
        <v>4.613076923</v>
      </c>
      <c r="AD1274" s="6" t="n">
        <f aca="false">E1274</f>
        <v>1</v>
      </c>
      <c r="AE1274" s="6" t="n">
        <f aca="false">G1274</f>
        <v>0</v>
      </c>
      <c r="AF1274" s="6" t="n">
        <f aca="false">H1274</f>
        <v>0</v>
      </c>
      <c r="AG1274" s="6" t="n">
        <f aca="false">I1274</f>
        <v>0</v>
      </c>
      <c r="AH1274" s="6" t="n">
        <f aca="false">L1274</f>
        <v>0</v>
      </c>
    </row>
    <row r="1275" customFormat="false" ht="15" hidden="false" customHeight="false" outlineLevel="0" collapsed="false">
      <c r="A1275" s="0" t="str">
        <f aca="false">'Raw Data'!C1275</f>
        <v>Pasadena</v>
      </c>
      <c r="B1275" s="5" t="n">
        <f aca="false">'Raw Data'!A1275</f>
        <v>40358</v>
      </c>
      <c r="C1275" s="6" t="n">
        <f aca="false">'Raw Data'!D1275</f>
        <v>347.110378621595</v>
      </c>
      <c r="D1275" s="6" t="n">
        <f aca="false">'Raw Data'!E1275</f>
        <v>4.583076923</v>
      </c>
      <c r="E1275" s="6" t="n">
        <f aca="false">'Raw Data'!F1275</f>
        <v>1</v>
      </c>
      <c r="F1275" s="6" t="n">
        <f aca="false">'Raw Data'!G1275</f>
        <v>0</v>
      </c>
      <c r="G1275" s="6" t="n">
        <f aca="false">'Raw Data'!H1275</f>
        <v>1</v>
      </c>
      <c r="H1275" s="6" t="n">
        <f aca="false">'Raw Data'!I1275</f>
        <v>0</v>
      </c>
      <c r="I1275" s="6" t="n">
        <f aca="false">'Raw Data'!J1275</f>
        <v>0</v>
      </c>
      <c r="J1275" s="6" t="n">
        <f aca="false">'Raw Data'!K1275</f>
        <v>2</v>
      </c>
      <c r="K1275" s="6" t="n">
        <f aca="false">'Raw Data'!L1275</f>
        <v>3</v>
      </c>
      <c r="L1275" s="6" t="n">
        <f aca="false">F1275*E1275</f>
        <v>0</v>
      </c>
      <c r="N1275" s="0" t="n">
        <v>1</v>
      </c>
      <c r="O1275" s="6" t="n">
        <f aca="false">D1275</f>
        <v>4.583076923</v>
      </c>
      <c r="P1275" s="6" t="n">
        <f aca="false">E1275</f>
        <v>1</v>
      </c>
      <c r="Q1275" s="6" t="n">
        <f aca="false">F1275</f>
        <v>0</v>
      </c>
      <c r="R1275" s="6" t="n">
        <f aca="false">G1275</f>
        <v>1</v>
      </c>
      <c r="S1275" s="6" t="n">
        <f aca="false">H1275</f>
        <v>0</v>
      </c>
      <c r="T1275" s="6" t="n">
        <f aca="false">I1275</f>
        <v>0</v>
      </c>
      <c r="U1275" s="6" t="n">
        <f aca="false">L1275</f>
        <v>0</v>
      </c>
      <c r="W1275" s="6" t="n">
        <f aca="false">D1275</f>
        <v>4.583076923</v>
      </c>
      <c r="X1275" s="6" t="n">
        <f aca="false">E1275</f>
        <v>1</v>
      </c>
      <c r="Y1275" s="6" t="n">
        <f aca="false">F1275</f>
        <v>0</v>
      </c>
      <c r="Z1275" s="6" t="n">
        <f aca="false">L1275</f>
        <v>0</v>
      </c>
      <c r="AA1275" s="6" t="n">
        <f aca="false">G1275</f>
        <v>1</v>
      </c>
      <c r="AC1275" s="6" t="n">
        <f aca="false">D1275</f>
        <v>4.583076923</v>
      </c>
      <c r="AD1275" s="6" t="n">
        <f aca="false">E1275</f>
        <v>1</v>
      </c>
      <c r="AE1275" s="6" t="n">
        <f aca="false">G1275</f>
        <v>1</v>
      </c>
      <c r="AF1275" s="6" t="n">
        <f aca="false">H1275</f>
        <v>0</v>
      </c>
      <c r="AG1275" s="6" t="n">
        <f aca="false">I1275</f>
        <v>0</v>
      </c>
      <c r="AH1275" s="6" t="n">
        <f aca="false">L1275</f>
        <v>0</v>
      </c>
    </row>
    <row r="1276" customFormat="false" ht="15" hidden="false" customHeight="false" outlineLevel="0" collapsed="false">
      <c r="A1276" s="0" t="str">
        <f aca="false">'Raw Data'!C1276</f>
        <v>Pasadena</v>
      </c>
      <c r="B1276" s="5" t="n">
        <f aca="false">'Raw Data'!A1276</f>
        <v>40365</v>
      </c>
      <c r="C1276" s="6" t="n">
        <f aca="false">'Raw Data'!D1276</f>
        <v>299.168866548079</v>
      </c>
      <c r="D1276" s="6" t="n">
        <f aca="false">'Raw Data'!E1276</f>
        <v>4.198333333</v>
      </c>
      <c r="E1276" s="6" t="n">
        <f aca="false">'Raw Data'!F1276</f>
        <v>1</v>
      </c>
      <c r="F1276" s="6" t="n">
        <f aca="false">'Raw Data'!G1276</f>
        <v>0</v>
      </c>
      <c r="G1276" s="6" t="n">
        <f aca="false">'Raw Data'!H1276</f>
        <v>0</v>
      </c>
      <c r="H1276" s="6" t="n">
        <f aca="false">'Raw Data'!I1276</f>
        <v>1</v>
      </c>
      <c r="I1276" s="6" t="n">
        <f aca="false">'Raw Data'!J1276</f>
        <v>0</v>
      </c>
      <c r="J1276" s="6" t="n">
        <f aca="false">'Raw Data'!K1276</f>
        <v>2</v>
      </c>
      <c r="K1276" s="6" t="n">
        <f aca="false">'Raw Data'!L1276</f>
        <v>3</v>
      </c>
      <c r="L1276" s="6" t="n">
        <f aca="false">F1276*E1276</f>
        <v>0</v>
      </c>
      <c r="N1276" s="0" t="n">
        <v>1</v>
      </c>
      <c r="O1276" s="6" t="n">
        <f aca="false">D1276</f>
        <v>4.198333333</v>
      </c>
      <c r="P1276" s="6" t="n">
        <f aca="false">E1276</f>
        <v>1</v>
      </c>
      <c r="Q1276" s="6" t="n">
        <f aca="false">F1276</f>
        <v>0</v>
      </c>
      <c r="R1276" s="6" t="n">
        <f aca="false">G1276</f>
        <v>0</v>
      </c>
      <c r="S1276" s="6" t="n">
        <f aca="false">H1276</f>
        <v>1</v>
      </c>
      <c r="T1276" s="6" t="n">
        <f aca="false">I1276</f>
        <v>0</v>
      </c>
      <c r="U1276" s="6" t="n">
        <f aca="false">L1276</f>
        <v>0</v>
      </c>
      <c r="W1276" s="6" t="n">
        <f aca="false">D1276</f>
        <v>4.198333333</v>
      </c>
      <c r="X1276" s="6" t="n">
        <f aca="false">E1276</f>
        <v>1</v>
      </c>
      <c r="Y1276" s="6" t="n">
        <f aca="false">F1276</f>
        <v>0</v>
      </c>
      <c r="Z1276" s="6" t="n">
        <f aca="false">L1276</f>
        <v>0</v>
      </c>
      <c r="AA1276" s="6" t="n">
        <f aca="false">G1276</f>
        <v>0</v>
      </c>
      <c r="AC1276" s="6" t="n">
        <f aca="false">D1276</f>
        <v>4.198333333</v>
      </c>
      <c r="AD1276" s="6" t="n">
        <f aca="false">E1276</f>
        <v>1</v>
      </c>
      <c r="AE1276" s="6" t="n">
        <f aca="false">G1276</f>
        <v>0</v>
      </c>
      <c r="AF1276" s="6" t="n">
        <f aca="false">H1276</f>
        <v>1</v>
      </c>
      <c r="AG1276" s="6" t="n">
        <f aca="false">I1276</f>
        <v>0</v>
      </c>
      <c r="AH1276" s="6" t="n">
        <f aca="false">L1276</f>
        <v>0</v>
      </c>
    </row>
    <row r="1277" customFormat="false" ht="15" hidden="false" customHeight="false" outlineLevel="0" collapsed="false">
      <c r="A1277" s="0" t="str">
        <f aca="false">'Raw Data'!C1277</f>
        <v>Pasadena</v>
      </c>
      <c r="B1277" s="5" t="n">
        <f aca="false">'Raw Data'!A1277</f>
        <v>40372</v>
      </c>
      <c r="C1277" s="6" t="n">
        <f aca="false">'Raw Data'!D1277</f>
        <v>318.749247601807</v>
      </c>
      <c r="D1277" s="6" t="n">
        <f aca="false">'Raw Data'!E1277</f>
        <v>4.265333333</v>
      </c>
      <c r="E1277" s="6" t="n">
        <f aca="false">'Raw Data'!F1277</f>
        <v>1</v>
      </c>
      <c r="F1277" s="6" t="n">
        <f aca="false">'Raw Data'!G1277</f>
        <v>0</v>
      </c>
      <c r="G1277" s="6" t="n">
        <f aca="false">'Raw Data'!H1277</f>
        <v>0</v>
      </c>
      <c r="H1277" s="6" t="n">
        <f aca="false">'Raw Data'!I1277</f>
        <v>1</v>
      </c>
      <c r="I1277" s="6" t="n">
        <f aca="false">'Raw Data'!J1277</f>
        <v>0</v>
      </c>
      <c r="J1277" s="6" t="n">
        <f aca="false">'Raw Data'!K1277</f>
        <v>2</v>
      </c>
      <c r="K1277" s="6" t="n">
        <f aca="false">'Raw Data'!L1277</f>
        <v>3</v>
      </c>
      <c r="L1277" s="6" t="n">
        <f aca="false">F1277*E1277</f>
        <v>0</v>
      </c>
      <c r="N1277" s="0" t="n">
        <v>1</v>
      </c>
      <c r="O1277" s="6" t="n">
        <f aca="false">D1277</f>
        <v>4.265333333</v>
      </c>
      <c r="P1277" s="6" t="n">
        <f aca="false">E1277</f>
        <v>1</v>
      </c>
      <c r="Q1277" s="6" t="n">
        <f aca="false">F1277</f>
        <v>0</v>
      </c>
      <c r="R1277" s="6" t="n">
        <f aca="false">G1277</f>
        <v>0</v>
      </c>
      <c r="S1277" s="6" t="n">
        <f aca="false">H1277</f>
        <v>1</v>
      </c>
      <c r="T1277" s="6" t="n">
        <f aca="false">I1277</f>
        <v>0</v>
      </c>
      <c r="U1277" s="6" t="n">
        <f aca="false">L1277</f>
        <v>0</v>
      </c>
      <c r="W1277" s="6" t="n">
        <f aca="false">D1277</f>
        <v>4.265333333</v>
      </c>
      <c r="X1277" s="6" t="n">
        <f aca="false">E1277</f>
        <v>1</v>
      </c>
      <c r="Y1277" s="6" t="n">
        <f aca="false">F1277</f>
        <v>0</v>
      </c>
      <c r="Z1277" s="6" t="n">
        <f aca="false">L1277</f>
        <v>0</v>
      </c>
      <c r="AA1277" s="6" t="n">
        <f aca="false">G1277</f>
        <v>0</v>
      </c>
      <c r="AC1277" s="6" t="n">
        <f aca="false">D1277</f>
        <v>4.265333333</v>
      </c>
      <c r="AD1277" s="6" t="n">
        <f aca="false">E1277</f>
        <v>1</v>
      </c>
      <c r="AE1277" s="6" t="n">
        <f aca="false">G1277</f>
        <v>0</v>
      </c>
      <c r="AF1277" s="6" t="n">
        <f aca="false">H1277</f>
        <v>1</v>
      </c>
      <c r="AG1277" s="6" t="n">
        <f aca="false">I1277</f>
        <v>0</v>
      </c>
      <c r="AH1277" s="6" t="n">
        <f aca="false">L1277</f>
        <v>0</v>
      </c>
    </row>
    <row r="1278" customFormat="false" ht="15" hidden="false" customHeight="false" outlineLevel="0" collapsed="false">
      <c r="A1278" s="0" t="str">
        <f aca="false">'Raw Data'!C1278</f>
        <v>Thousand Oaks</v>
      </c>
      <c r="B1278" s="5" t="n">
        <f aca="false">'Raw Data'!A1278</f>
        <v>40302</v>
      </c>
      <c r="C1278" s="6" t="n">
        <f aca="false">'Raw Data'!D1278</f>
        <v>333.132655097278</v>
      </c>
      <c r="D1278" s="6" t="n">
        <f aca="false">'Raw Data'!E1278</f>
        <v>4.878888889</v>
      </c>
      <c r="E1278" s="6" t="n">
        <f aca="false">'Raw Data'!F1278</f>
        <v>1</v>
      </c>
      <c r="F1278" s="6" t="n">
        <f aca="false">'Raw Data'!G1278</f>
        <v>0</v>
      </c>
      <c r="G1278" s="6" t="n">
        <f aca="false">'Raw Data'!H1278</f>
        <v>0</v>
      </c>
      <c r="H1278" s="6" t="n">
        <f aca="false">'Raw Data'!I1278</f>
        <v>0</v>
      </c>
      <c r="I1278" s="6" t="n">
        <f aca="false">'Raw Data'!J1278</f>
        <v>1</v>
      </c>
      <c r="J1278" s="6" t="n">
        <f aca="false">'Raw Data'!K1278</f>
        <v>3</v>
      </c>
      <c r="K1278" s="6" t="n">
        <f aca="false">'Raw Data'!L1278</f>
        <v>1</v>
      </c>
      <c r="L1278" s="6" t="n">
        <f aca="false">F1278*E1278</f>
        <v>0</v>
      </c>
      <c r="N1278" s="0" t="n">
        <v>1</v>
      </c>
      <c r="O1278" s="6" t="n">
        <f aca="false">D1278</f>
        <v>4.878888889</v>
      </c>
      <c r="P1278" s="6" t="n">
        <f aca="false">E1278</f>
        <v>1</v>
      </c>
      <c r="Q1278" s="6" t="n">
        <f aca="false">F1278</f>
        <v>0</v>
      </c>
      <c r="R1278" s="6" t="n">
        <f aca="false">G1278</f>
        <v>0</v>
      </c>
      <c r="S1278" s="6" t="n">
        <f aca="false">H1278</f>
        <v>0</v>
      </c>
      <c r="T1278" s="6" t="n">
        <f aca="false">I1278</f>
        <v>1</v>
      </c>
      <c r="U1278" s="6" t="n">
        <f aca="false">L1278</f>
        <v>0</v>
      </c>
      <c r="W1278" s="6" t="n">
        <f aca="false">D1278</f>
        <v>4.878888889</v>
      </c>
      <c r="X1278" s="6" t="n">
        <f aca="false">E1278</f>
        <v>1</v>
      </c>
      <c r="Y1278" s="6" t="n">
        <f aca="false">F1278</f>
        <v>0</v>
      </c>
      <c r="Z1278" s="6" t="n">
        <f aca="false">L1278</f>
        <v>0</v>
      </c>
      <c r="AA1278" s="6" t="n">
        <f aca="false">G1278</f>
        <v>0</v>
      </c>
      <c r="AC1278" s="6" t="n">
        <f aca="false">D1278</f>
        <v>4.878888889</v>
      </c>
      <c r="AD1278" s="6" t="n">
        <f aca="false">E1278</f>
        <v>1</v>
      </c>
      <c r="AE1278" s="6" t="n">
        <f aca="false">G1278</f>
        <v>0</v>
      </c>
      <c r="AF1278" s="6" t="n">
        <f aca="false">H1278</f>
        <v>0</v>
      </c>
      <c r="AG1278" s="6" t="n">
        <f aca="false">I1278</f>
        <v>1</v>
      </c>
      <c r="AH1278" s="6" t="n">
        <f aca="false">L1278</f>
        <v>0</v>
      </c>
    </row>
    <row r="1279" customFormat="false" ht="15" hidden="false" customHeight="false" outlineLevel="0" collapsed="false">
      <c r="A1279" s="0" t="str">
        <f aca="false">'Raw Data'!C1279</f>
        <v>Thousand Oaks</v>
      </c>
      <c r="B1279" s="5" t="n">
        <f aca="false">'Raw Data'!A1279</f>
        <v>40309</v>
      </c>
      <c r="C1279" s="6" t="n">
        <f aca="false">'Raw Data'!D1279</f>
        <v>338.337628008382</v>
      </c>
      <c r="D1279" s="6" t="n">
        <f aca="false">'Raw Data'!E1279</f>
        <v>4.387857143</v>
      </c>
      <c r="E1279" s="6" t="n">
        <f aca="false">'Raw Data'!F1279</f>
        <v>1</v>
      </c>
      <c r="F1279" s="6" t="n">
        <f aca="false">'Raw Data'!G1279</f>
        <v>0</v>
      </c>
      <c r="G1279" s="6" t="n">
        <f aca="false">'Raw Data'!H1279</f>
        <v>0</v>
      </c>
      <c r="H1279" s="6" t="n">
        <f aca="false">'Raw Data'!I1279</f>
        <v>0</v>
      </c>
      <c r="I1279" s="6" t="n">
        <f aca="false">'Raw Data'!J1279</f>
        <v>1</v>
      </c>
      <c r="J1279" s="6" t="n">
        <f aca="false">'Raw Data'!K1279</f>
        <v>3</v>
      </c>
      <c r="K1279" s="6" t="n">
        <f aca="false">'Raw Data'!L1279</f>
        <v>1</v>
      </c>
      <c r="L1279" s="6" t="n">
        <f aca="false">F1279*E1279</f>
        <v>0</v>
      </c>
      <c r="N1279" s="0" t="n">
        <v>1</v>
      </c>
      <c r="O1279" s="6" t="n">
        <f aca="false">D1279</f>
        <v>4.387857143</v>
      </c>
      <c r="P1279" s="6" t="n">
        <f aca="false">E1279</f>
        <v>1</v>
      </c>
      <c r="Q1279" s="6" t="n">
        <f aca="false">F1279</f>
        <v>0</v>
      </c>
      <c r="R1279" s="6" t="n">
        <f aca="false">G1279</f>
        <v>0</v>
      </c>
      <c r="S1279" s="6" t="n">
        <f aca="false">H1279</f>
        <v>0</v>
      </c>
      <c r="T1279" s="6" t="n">
        <f aca="false">I1279</f>
        <v>1</v>
      </c>
      <c r="U1279" s="6" t="n">
        <f aca="false">L1279</f>
        <v>0</v>
      </c>
      <c r="W1279" s="6" t="n">
        <f aca="false">D1279</f>
        <v>4.387857143</v>
      </c>
      <c r="X1279" s="6" t="n">
        <f aca="false">E1279</f>
        <v>1</v>
      </c>
      <c r="Y1279" s="6" t="n">
        <f aca="false">F1279</f>
        <v>0</v>
      </c>
      <c r="Z1279" s="6" t="n">
        <f aca="false">L1279</f>
        <v>0</v>
      </c>
      <c r="AA1279" s="6" t="n">
        <f aca="false">G1279</f>
        <v>0</v>
      </c>
      <c r="AC1279" s="6" t="n">
        <f aca="false">D1279</f>
        <v>4.387857143</v>
      </c>
      <c r="AD1279" s="6" t="n">
        <f aca="false">E1279</f>
        <v>1</v>
      </c>
      <c r="AE1279" s="6" t="n">
        <f aca="false">G1279</f>
        <v>0</v>
      </c>
      <c r="AF1279" s="6" t="n">
        <f aca="false">H1279</f>
        <v>0</v>
      </c>
      <c r="AG1279" s="6" t="n">
        <f aca="false">I1279</f>
        <v>1</v>
      </c>
      <c r="AH1279" s="6" t="n">
        <f aca="false">L1279</f>
        <v>0</v>
      </c>
    </row>
    <row r="1280" customFormat="false" ht="15" hidden="false" customHeight="false" outlineLevel="0" collapsed="false">
      <c r="A1280" s="0" t="str">
        <f aca="false">'Raw Data'!C1280</f>
        <v>Thousand Oaks</v>
      </c>
      <c r="B1280" s="5" t="n">
        <f aca="false">'Raw Data'!A1280</f>
        <v>40316</v>
      </c>
      <c r="C1280" s="6" t="n">
        <f aca="false">'Raw Data'!D1280</f>
        <v>265.799995983037</v>
      </c>
      <c r="D1280" s="6" t="n">
        <f aca="false">'Raw Data'!E1280</f>
        <v>4.006428571</v>
      </c>
      <c r="E1280" s="6" t="n">
        <f aca="false">'Raw Data'!F1280</f>
        <v>1</v>
      </c>
      <c r="F1280" s="6" t="n">
        <f aca="false">'Raw Data'!G1280</f>
        <v>0</v>
      </c>
      <c r="G1280" s="6" t="n">
        <f aca="false">'Raw Data'!H1280</f>
        <v>0</v>
      </c>
      <c r="H1280" s="6" t="n">
        <f aca="false">'Raw Data'!I1280</f>
        <v>0</v>
      </c>
      <c r="I1280" s="6" t="n">
        <f aca="false">'Raw Data'!J1280</f>
        <v>0</v>
      </c>
      <c r="J1280" s="6" t="n">
        <f aca="false">'Raw Data'!K1280</f>
        <v>3</v>
      </c>
      <c r="K1280" s="6" t="n">
        <f aca="false">'Raw Data'!L1280</f>
        <v>1</v>
      </c>
      <c r="L1280" s="6" t="n">
        <f aca="false">F1280*E1280</f>
        <v>0</v>
      </c>
      <c r="N1280" s="0" t="n">
        <v>1</v>
      </c>
      <c r="O1280" s="6" t="n">
        <f aca="false">D1280</f>
        <v>4.006428571</v>
      </c>
      <c r="P1280" s="6" t="n">
        <f aca="false">E1280</f>
        <v>1</v>
      </c>
      <c r="Q1280" s="6" t="n">
        <f aca="false">F1280</f>
        <v>0</v>
      </c>
      <c r="R1280" s="6" t="n">
        <f aca="false">G1280</f>
        <v>0</v>
      </c>
      <c r="S1280" s="6" t="n">
        <f aca="false">H1280</f>
        <v>0</v>
      </c>
      <c r="T1280" s="6" t="n">
        <f aca="false">I1280</f>
        <v>0</v>
      </c>
      <c r="U1280" s="6" t="n">
        <f aca="false">L1280</f>
        <v>0</v>
      </c>
      <c r="W1280" s="6" t="n">
        <f aca="false">D1280</f>
        <v>4.006428571</v>
      </c>
      <c r="X1280" s="6" t="n">
        <f aca="false">E1280</f>
        <v>1</v>
      </c>
      <c r="Y1280" s="6" t="n">
        <f aca="false">F1280</f>
        <v>0</v>
      </c>
      <c r="Z1280" s="6" t="n">
        <f aca="false">L1280</f>
        <v>0</v>
      </c>
      <c r="AA1280" s="6" t="n">
        <f aca="false">G1280</f>
        <v>0</v>
      </c>
      <c r="AC1280" s="6" t="n">
        <f aca="false">D1280</f>
        <v>4.006428571</v>
      </c>
      <c r="AD1280" s="6" t="n">
        <f aca="false">E1280</f>
        <v>1</v>
      </c>
      <c r="AE1280" s="6" t="n">
        <f aca="false">G1280</f>
        <v>0</v>
      </c>
      <c r="AF1280" s="6" t="n">
        <f aca="false">H1280</f>
        <v>0</v>
      </c>
      <c r="AG1280" s="6" t="n">
        <f aca="false">I1280</f>
        <v>0</v>
      </c>
      <c r="AH1280" s="6" t="n">
        <f aca="false">L1280</f>
        <v>0</v>
      </c>
    </row>
    <row r="1281" customFormat="false" ht="15" hidden="false" customHeight="false" outlineLevel="0" collapsed="false">
      <c r="A1281" s="0" t="str">
        <f aca="false">'Raw Data'!C1281</f>
        <v>Thousand Oaks</v>
      </c>
      <c r="B1281" s="5" t="n">
        <f aca="false">'Raw Data'!A1281</f>
        <v>40323</v>
      </c>
      <c r="C1281" s="6" t="n">
        <f aca="false">'Raw Data'!D1281</f>
        <v>306.01776661582</v>
      </c>
      <c r="D1281" s="6" t="n">
        <f aca="false">'Raw Data'!E1281</f>
        <v>4.218461538</v>
      </c>
      <c r="E1281" s="6" t="n">
        <f aca="false">'Raw Data'!F1281</f>
        <v>1</v>
      </c>
      <c r="F1281" s="6" t="n">
        <f aca="false">'Raw Data'!G1281</f>
        <v>0</v>
      </c>
      <c r="G1281" s="6" t="n">
        <f aca="false">'Raw Data'!H1281</f>
        <v>0</v>
      </c>
      <c r="H1281" s="6" t="n">
        <f aca="false">'Raw Data'!I1281</f>
        <v>0</v>
      </c>
      <c r="I1281" s="6" t="n">
        <f aca="false">'Raw Data'!J1281</f>
        <v>0</v>
      </c>
      <c r="J1281" s="6" t="n">
        <f aca="false">'Raw Data'!K1281</f>
        <v>3</v>
      </c>
      <c r="K1281" s="6" t="n">
        <f aca="false">'Raw Data'!L1281</f>
        <v>1</v>
      </c>
      <c r="L1281" s="6" t="n">
        <f aca="false">F1281*E1281</f>
        <v>0</v>
      </c>
      <c r="N1281" s="0" t="n">
        <v>1</v>
      </c>
      <c r="O1281" s="6" t="n">
        <f aca="false">D1281</f>
        <v>4.218461538</v>
      </c>
      <c r="P1281" s="6" t="n">
        <f aca="false">E1281</f>
        <v>1</v>
      </c>
      <c r="Q1281" s="6" t="n">
        <f aca="false">F1281</f>
        <v>0</v>
      </c>
      <c r="R1281" s="6" t="n">
        <f aca="false">G1281</f>
        <v>0</v>
      </c>
      <c r="S1281" s="6" t="n">
        <f aca="false">H1281</f>
        <v>0</v>
      </c>
      <c r="T1281" s="6" t="n">
        <f aca="false">I1281</f>
        <v>0</v>
      </c>
      <c r="U1281" s="6" t="n">
        <f aca="false">L1281</f>
        <v>0</v>
      </c>
      <c r="W1281" s="6" t="n">
        <f aca="false">D1281</f>
        <v>4.218461538</v>
      </c>
      <c r="X1281" s="6" t="n">
        <f aca="false">E1281</f>
        <v>1</v>
      </c>
      <c r="Y1281" s="6" t="n">
        <f aca="false">F1281</f>
        <v>0</v>
      </c>
      <c r="Z1281" s="6" t="n">
        <f aca="false">L1281</f>
        <v>0</v>
      </c>
      <c r="AA1281" s="6" t="n">
        <f aca="false">G1281</f>
        <v>0</v>
      </c>
      <c r="AC1281" s="6" t="n">
        <f aca="false">D1281</f>
        <v>4.218461538</v>
      </c>
      <c r="AD1281" s="6" t="n">
        <f aca="false">E1281</f>
        <v>1</v>
      </c>
      <c r="AE1281" s="6" t="n">
        <f aca="false">G1281</f>
        <v>0</v>
      </c>
      <c r="AF1281" s="6" t="n">
        <f aca="false">H1281</f>
        <v>0</v>
      </c>
      <c r="AG1281" s="6" t="n">
        <f aca="false">I1281</f>
        <v>0</v>
      </c>
      <c r="AH1281" s="6" t="n">
        <f aca="false">L1281</f>
        <v>0</v>
      </c>
    </row>
    <row r="1282" customFormat="false" ht="15" hidden="false" customHeight="false" outlineLevel="0" collapsed="false">
      <c r="A1282" s="0" t="str">
        <f aca="false">'Raw Data'!C1282</f>
        <v>Thousand Oaks</v>
      </c>
      <c r="B1282" s="5" t="n">
        <f aca="false">'Raw Data'!A1282</f>
        <v>40330</v>
      </c>
      <c r="C1282" s="6" t="n">
        <f aca="false">'Raw Data'!D1282</f>
        <v>253.197269997935</v>
      </c>
      <c r="D1282" s="6" t="n">
        <f aca="false">'Raw Data'!E1282</f>
        <v>4.077692308</v>
      </c>
      <c r="E1282" s="6" t="n">
        <f aca="false">'Raw Data'!F1282</f>
        <v>1</v>
      </c>
      <c r="F1282" s="6" t="n">
        <f aca="false">'Raw Data'!G1282</f>
        <v>0</v>
      </c>
      <c r="G1282" s="6" t="n">
        <f aca="false">'Raw Data'!H1282</f>
        <v>0</v>
      </c>
      <c r="H1282" s="6" t="n">
        <f aca="false">'Raw Data'!I1282</f>
        <v>0</v>
      </c>
      <c r="I1282" s="6" t="n">
        <f aca="false">'Raw Data'!J1282</f>
        <v>0</v>
      </c>
      <c r="J1282" s="6" t="n">
        <f aca="false">'Raw Data'!K1282</f>
        <v>3</v>
      </c>
      <c r="K1282" s="6" t="n">
        <f aca="false">'Raw Data'!L1282</f>
        <v>1</v>
      </c>
      <c r="L1282" s="6" t="n">
        <f aca="false">F1282*E1282</f>
        <v>0</v>
      </c>
      <c r="N1282" s="0" t="n">
        <v>1</v>
      </c>
      <c r="O1282" s="6" t="n">
        <f aca="false">D1282</f>
        <v>4.077692308</v>
      </c>
      <c r="P1282" s="6" t="n">
        <f aca="false">E1282</f>
        <v>1</v>
      </c>
      <c r="Q1282" s="6" t="n">
        <f aca="false">F1282</f>
        <v>0</v>
      </c>
      <c r="R1282" s="6" t="n">
        <f aca="false">G1282</f>
        <v>0</v>
      </c>
      <c r="S1282" s="6" t="n">
        <f aca="false">H1282</f>
        <v>0</v>
      </c>
      <c r="T1282" s="6" t="n">
        <f aca="false">I1282</f>
        <v>0</v>
      </c>
      <c r="U1282" s="6" t="n">
        <f aca="false">L1282</f>
        <v>0</v>
      </c>
      <c r="W1282" s="6" t="n">
        <f aca="false">D1282</f>
        <v>4.077692308</v>
      </c>
      <c r="X1282" s="6" t="n">
        <f aca="false">E1282</f>
        <v>1</v>
      </c>
      <c r="Y1282" s="6" t="n">
        <f aca="false">F1282</f>
        <v>0</v>
      </c>
      <c r="Z1282" s="6" t="n">
        <f aca="false">L1282</f>
        <v>0</v>
      </c>
      <c r="AA1282" s="6" t="n">
        <f aca="false">G1282</f>
        <v>0</v>
      </c>
      <c r="AC1282" s="6" t="n">
        <f aca="false">D1282</f>
        <v>4.077692308</v>
      </c>
      <c r="AD1282" s="6" t="n">
        <f aca="false">E1282</f>
        <v>1</v>
      </c>
      <c r="AE1282" s="6" t="n">
        <f aca="false">G1282</f>
        <v>0</v>
      </c>
      <c r="AF1282" s="6" t="n">
        <f aca="false">H1282</f>
        <v>0</v>
      </c>
      <c r="AG1282" s="6" t="n">
        <f aca="false">I1282</f>
        <v>0</v>
      </c>
      <c r="AH1282" s="6" t="n">
        <f aca="false">L1282</f>
        <v>0</v>
      </c>
    </row>
    <row r="1283" customFormat="false" ht="15" hidden="false" customHeight="false" outlineLevel="0" collapsed="false">
      <c r="A1283" s="0" t="str">
        <f aca="false">'Raw Data'!C1283</f>
        <v>Thousand Oaks</v>
      </c>
      <c r="B1283" s="5" t="n">
        <f aca="false">'Raw Data'!A1283</f>
        <v>40337</v>
      </c>
      <c r="C1283" s="6" t="n">
        <f aca="false">'Raw Data'!D1283</f>
        <v>208.386839146861</v>
      </c>
      <c r="D1283" s="6" t="n">
        <f aca="false">'Raw Data'!E1283</f>
        <v>4.358461538</v>
      </c>
      <c r="E1283" s="6" t="n">
        <f aca="false">'Raw Data'!F1283</f>
        <v>1</v>
      </c>
      <c r="F1283" s="6" t="n">
        <f aca="false">'Raw Data'!G1283</f>
        <v>0</v>
      </c>
      <c r="G1283" s="6" t="n">
        <f aca="false">'Raw Data'!H1283</f>
        <v>0</v>
      </c>
      <c r="H1283" s="6" t="n">
        <f aca="false">'Raw Data'!I1283</f>
        <v>0</v>
      </c>
      <c r="I1283" s="6" t="n">
        <f aca="false">'Raw Data'!J1283</f>
        <v>0</v>
      </c>
      <c r="J1283" s="6" t="n">
        <f aca="false">'Raw Data'!K1283</f>
        <v>3</v>
      </c>
      <c r="K1283" s="6" t="n">
        <f aca="false">'Raw Data'!L1283</f>
        <v>1</v>
      </c>
      <c r="L1283" s="6" t="n">
        <f aca="false">F1283*E1283</f>
        <v>0</v>
      </c>
      <c r="N1283" s="0" t="n">
        <v>1</v>
      </c>
      <c r="O1283" s="6" t="n">
        <f aca="false">D1283</f>
        <v>4.358461538</v>
      </c>
      <c r="P1283" s="6" t="n">
        <f aca="false">E1283</f>
        <v>1</v>
      </c>
      <c r="Q1283" s="6" t="n">
        <f aca="false">F1283</f>
        <v>0</v>
      </c>
      <c r="R1283" s="6" t="n">
        <f aca="false">G1283</f>
        <v>0</v>
      </c>
      <c r="S1283" s="6" t="n">
        <f aca="false">H1283</f>
        <v>0</v>
      </c>
      <c r="T1283" s="6" t="n">
        <f aca="false">I1283</f>
        <v>0</v>
      </c>
      <c r="U1283" s="6" t="n">
        <f aca="false">L1283</f>
        <v>0</v>
      </c>
      <c r="W1283" s="6" t="n">
        <f aca="false">D1283</f>
        <v>4.358461538</v>
      </c>
      <c r="X1283" s="6" t="n">
        <f aca="false">E1283</f>
        <v>1</v>
      </c>
      <c r="Y1283" s="6" t="n">
        <f aca="false">F1283</f>
        <v>0</v>
      </c>
      <c r="Z1283" s="6" t="n">
        <f aca="false">L1283</f>
        <v>0</v>
      </c>
      <c r="AA1283" s="6" t="n">
        <f aca="false">G1283</f>
        <v>0</v>
      </c>
      <c r="AC1283" s="6" t="n">
        <f aca="false">D1283</f>
        <v>4.358461538</v>
      </c>
      <c r="AD1283" s="6" t="n">
        <f aca="false">E1283</f>
        <v>1</v>
      </c>
      <c r="AE1283" s="6" t="n">
        <f aca="false">G1283</f>
        <v>0</v>
      </c>
      <c r="AF1283" s="6" t="n">
        <f aca="false">H1283</f>
        <v>0</v>
      </c>
      <c r="AG1283" s="6" t="n">
        <f aca="false">I1283</f>
        <v>0</v>
      </c>
      <c r="AH1283" s="6" t="n">
        <f aca="false">L1283</f>
        <v>0</v>
      </c>
    </row>
    <row r="1284" customFormat="false" ht="15" hidden="false" customHeight="false" outlineLevel="0" collapsed="false">
      <c r="A1284" s="0" t="str">
        <f aca="false">'Raw Data'!C1284</f>
        <v>Thousand Oaks</v>
      </c>
      <c r="B1284" s="5" t="n">
        <f aca="false">'Raw Data'!A1284</f>
        <v>40344</v>
      </c>
      <c r="C1284" s="6" t="n">
        <f aca="false">'Raw Data'!D1284</f>
        <v>273.30763615258</v>
      </c>
      <c r="D1284" s="6" t="n">
        <f aca="false">'Raw Data'!E1284</f>
        <v>4.523333333</v>
      </c>
      <c r="E1284" s="6" t="n">
        <f aca="false">'Raw Data'!F1284</f>
        <v>1</v>
      </c>
      <c r="F1284" s="6" t="n">
        <f aca="false">'Raw Data'!G1284</f>
        <v>0</v>
      </c>
      <c r="G1284" s="6" t="n">
        <f aca="false">'Raw Data'!H1284</f>
        <v>0</v>
      </c>
      <c r="H1284" s="6" t="n">
        <f aca="false">'Raw Data'!I1284</f>
        <v>0</v>
      </c>
      <c r="I1284" s="6" t="n">
        <f aca="false">'Raw Data'!J1284</f>
        <v>0</v>
      </c>
      <c r="J1284" s="6" t="n">
        <f aca="false">'Raw Data'!K1284</f>
        <v>3</v>
      </c>
      <c r="K1284" s="6" t="n">
        <f aca="false">'Raw Data'!L1284</f>
        <v>1</v>
      </c>
      <c r="L1284" s="6" t="n">
        <f aca="false">F1284*E1284</f>
        <v>0</v>
      </c>
      <c r="N1284" s="0" t="n">
        <v>1</v>
      </c>
      <c r="O1284" s="6" t="n">
        <f aca="false">D1284</f>
        <v>4.523333333</v>
      </c>
      <c r="P1284" s="6" t="n">
        <f aca="false">E1284</f>
        <v>1</v>
      </c>
      <c r="Q1284" s="6" t="n">
        <f aca="false">F1284</f>
        <v>0</v>
      </c>
      <c r="R1284" s="6" t="n">
        <f aca="false">G1284</f>
        <v>0</v>
      </c>
      <c r="S1284" s="6" t="n">
        <f aca="false">H1284</f>
        <v>0</v>
      </c>
      <c r="T1284" s="6" t="n">
        <f aca="false">I1284</f>
        <v>0</v>
      </c>
      <c r="U1284" s="6" t="n">
        <f aca="false">L1284</f>
        <v>0</v>
      </c>
      <c r="W1284" s="6" t="n">
        <f aca="false">D1284</f>
        <v>4.523333333</v>
      </c>
      <c r="X1284" s="6" t="n">
        <f aca="false">E1284</f>
        <v>1</v>
      </c>
      <c r="Y1284" s="6" t="n">
        <f aca="false">F1284</f>
        <v>0</v>
      </c>
      <c r="Z1284" s="6" t="n">
        <f aca="false">L1284</f>
        <v>0</v>
      </c>
      <c r="AA1284" s="6" t="n">
        <f aca="false">G1284</f>
        <v>0</v>
      </c>
      <c r="AC1284" s="6" t="n">
        <f aca="false">D1284</f>
        <v>4.523333333</v>
      </c>
      <c r="AD1284" s="6" t="n">
        <f aca="false">E1284</f>
        <v>1</v>
      </c>
      <c r="AE1284" s="6" t="n">
        <f aca="false">G1284</f>
        <v>0</v>
      </c>
      <c r="AF1284" s="6" t="n">
        <f aca="false">H1284</f>
        <v>0</v>
      </c>
      <c r="AG1284" s="6" t="n">
        <f aca="false">I1284</f>
        <v>0</v>
      </c>
      <c r="AH1284" s="6" t="n">
        <f aca="false">L1284</f>
        <v>0</v>
      </c>
    </row>
    <row r="1285" customFormat="false" ht="15" hidden="false" customHeight="false" outlineLevel="0" collapsed="false">
      <c r="A1285" s="0" t="str">
        <f aca="false">'Raw Data'!C1285</f>
        <v>Thousand Oaks</v>
      </c>
      <c r="B1285" s="5" t="n">
        <f aca="false">'Raw Data'!A1285</f>
        <v>40351</v>
      </c>
      <c r="C1285" s="6" t="n">
        <f aca="false">'Raw Data'!D1285</f>
        <v>326.511404647303</v>
      </c>
      <c r="D1285" s="6" t="n">
        <f aca="false">'Raw Data'!E1285</f>
        <v>4.382307692</v>
      </c>
      <c r="E1285" s="6" t="n">
        <f aca="false">'Raw Data'!F1285</f>
        <v>1</v>
      </c>
      <c r="F1285" s="6" t="n">
        <f aca="false">'Raw Data'!G1285</f>
        <v>0</v>
      </c>
      <c r="G1285" s="6" t="n">
        <f aca="false">'Raw Data'!H1285</f>
        <v>1</v>
      </c>
      <c r="H1285" s="6" t="n">
        <f aca="false">'Raw Data'!I1285</f>
        <v>0</v>
      </c>
      <c r="I1285" s="6" t="n">
        <f aca="false">'Raw Data'!J1285</f>
        <v>0</v>
      </c>
      <c r="J1285" s="6" t="n">
        <f aca="false">'Raw Data'!K1285</f>
        <v>3</v>
      </c>
      <c r="K1285" s="6" t="n">
        <f aca="false">'Raw Data'!L1285</f>
        <v>1</v>
      </c>
      <c r="L1285" s="6" t="n">
        <f aca="false">F1285*E1285</f>
        <v>0</v>
      </c>
      <c r="N1285" s="0" t="n">
        <v>1</v>
      </c>
      <c r="O1285" s="6" t="n">
        <f aca="false">D1285</f>
        <v>4.382307692</v>
      </c>
      <c r="P1285" s="6" t="n">
        <f aca="false">E1285</f>
        <v>1</v>
      </c>
      <c r="Q1285" s="6" t="n">
        <f aca="false">F1285</f>
        <v>0</v>
      </c>
      <c r="R1285" s="6" t="n">
        <f aca="false">G1285</f>
        <v>1</v>
      </c>
      <c r="S1285" s="6" t="n">
        <f aca="false">H1285</f>
        <v>0</v>
      </c>
      <c r="T1285" s="6" t="n">
        <f aca="false">I1285</f>
        <v>0</v>
      </c>
      <c r="U1285" s="6" t="n">
        <f aca="false">L1285</f>
        <v>0</v>
      </c>
      <c r="W1285" s="6" t="n">
        <f aca="false">D1285</f>
        <v>4.382307692</v>
      </c>
      <c r="X1285" s="6" t="n">
        <f aca="false">E1285</f>
        <v>1</v>
      </c>
      <c r="Y1285" s="6" t="n">
        <f aca="false">F1285</f>
        <v>0</v>
      </c>
      <c r="Z1285" s="6" t="n">
        <f aca="false">L1285</f>
        <v>0</v>
      </c>
      <c r="AA1285" s="6" t="n">
        <f aca="false">G1285</f>
        <v>1</v>
      </c>
      <c r="AC1285" s="6" t="n">
        <f aca="false">D1285</f>
        <v>4.382307692</v>
      </c>
      <c r="AD1285" s="6" t="n">
        <f aca="false">E1285</f>
        <v>1</v>
      </c>
      <c r="AE1285" s="6" t="n">
        <f aca="false">G1285</f>
        <v>1</v>
      </c>
      <c r="AF1285" s="6" t="n">
        <f aca="false">H1285</f>
        <v>0</v>
      </c>
      <c r="AG1285" s="6" t="n">
        <f aca="false">I1285</f>
        <v>0</v>
      </c>
      <c r="AH1285" s="6" t="n">
        <f aca="false">L1285</f>
        <v>0</v>
      </c>
    </row>
    <row r="1286" customFormat="false" ht="15" hidden="false" customHeight="false" outlineLevel="0" collapsed="false">
      <c r="A1286" s="0" t="str">
        <f aca="false">'Raw Data'!C1286</f>
        <v>Thousand Oaks</v>
      </c>
      <c r="B1286" s="5" t="n">
        <f aca="false">'Raw Data'!A1286</f>
        <v>40358</v>
      </c>
      <c r="C1286" s="6" t="n">
        <f aca="false">'Raw Data'!D1286</f>
        <v>357.980130998756</v>
      </c>
      <c r="D1286" s="6" t="n">
        <f aca="false">'Raw Data'!E1286</f>
        <v>4.523333333</v>
      </c>
      <c r="E1286" s="6" t="n">
        <f aca="false">'Raw Data'!F1286</f>
        <v>1</v>
      </c>
      <c r="F1286" s="6" t="n">
        <f aca="false">'Raw Data'!G1286</f>
        <v>0</v>
      </c>
      <c r="G1286" s="6" t="n">
        <f aca="false">'Raw Data'!H1286</f>
        <v>0</v>
      </c>
      <c r="H1286" s="6" t="n">
        <f aca="false">'Raw Data'!I1286</f>
        <v>1</v>
      </c>
      <c r="I1286" s="6" t="n">
        <f aca="false">'Raw Data'!J1286</f>
        <v>0</v>
      </c>
      <c r="J1286" s="6" t="n">
        <f aca="false">'Raw Data'!K1286</f>
        <v>3</v>
      </c>
      <c r="K1286" s="6" t="n">
        <f aca="false">'Raw Data'!L1286</f>
        <v>1</v>
      </c>
      <c r="L1286" s="6" t="n">
        <f aca="false">F1286*E1286</f>
        <v>0</v>
      </c>
      <c r="N1286" s="0" t="n">
        <v>1</v>
      </c>
      <c r="O1286" s="6" t="n">
        <f aca="false">D1286</f>
        <v>4.523333333</v>
      </c>
      <c r="P1286" s="6" t="n">
        <f aca="false">E1286</f>
        <v>1</v>
      </c>
      <c r="Q1286" s="6" t="n">
        <f aca="false">F1286</f>
        <v>0</v>
      </c>
      <c r="R1286" s="6" t="n">
        <f aca="false">G1286</f>
        <v>0</v>
      </c>
      <c r="S1286" s="6" t="n">
        <f aca="false">H1286</f>
        <v>1</v>
      </c>
      <c r="T1286" s="6" t="n">
        <f aca="false">I1286</f>
        <v>0</v>
      </c>
      <c r="U1286" s="6" t="n">
        <f aca="false">L1286</f>
        <v>0</v>
      </c>
      <c r="W1286" s="6" t="n">
        <f aca="false">D1286</f>
        <v>4.523333333</v>
      </c>
      <c r="X1286" s="6" t="n">
        <f aca="false">E1286</f>
        <v>1</v>
      </c>
      <c r="Y1286" s="6" t="n">
        <f aca="false">F1286</f>
        <v>0</v>
      </c>
      <c r="Z1286" s="6" t="n">
        <f aca="false">L1286</f>
        <v>0</v>
      </c>
      <c r="AA1286" s="6" t="n">
        <f aca="false">G1286</f>
        <v>0</v>
      </c>
      <c r="AC1286" s="6" t="n">
        <f aca="false">D1286</f>
        <v>4.523333333</v>
      </c>
      <c r="AD1286" s="6" t="n">
        <f aca="false">E1286</f>
        <v>1</v>
      </c>
      <c r="AE1286" s="6" t="n">
        <f aca="false">G1286</f>
        <v>0</v>
      </c>
      <c r="AF1286" s="6" t="n">
        <f aca="false">H1286</f>
        <v>1</v>
      </c>
      <c r="AG1286" s="6" t="n">
        <f aca="false">I1286</f>
        <v>0</v>
      </c>
      <c r="AH1286" s="6" t="n">
        <f aca="false">L1286</f>
        <v>0</v>
      </c>
    </row>
    <row r="1287" customFormat="false" ht="15" hidden="false" customHeight="false" outlineLevel="0" collapsed="false">
      <c r="A1287" s="0" t="str">
        <f aca="false">'Raw Data'!C1287</f>
        <v>Thousand Oaks</v>
      </c>
      <c r="B1287" s="5" t="n">
        <f aca="false">'Raw Data'!A1287</f>
        <v>40365</v>
      </c>
      <c r="C1287" s="6" t="n">
        <f aca="false">'Raw Data'!D1287</f>
        <v>364.29686869111</v>
      </c>
      <c r="D1287" s="6" t="n">
        <f aca="false">'Raw Data'!E1287</f>
        <v>3.742142857</v>
      </c>
      <c r="E1287" s="6" t="n">
        <f aca="false">'Raw Data'!F1287</f>
        <v>1</v>
      </c>
      <c r="F1287" s="6" t="n">
        <f aca="false">'Raw Data'!G1287</f>
        <v>0</v>
      </c>
      <c r="G1287" s="6" t="n">
        <f aca="false">'Raw Data'!H1287</f>
        <v>0</v>
      </c>
      <c r="H1287" s="6" t="n">
        <f aca="false">'Raw Data'!I1287</f>
        <v>1</v>
      </c>
      <c r="I1287" s="6" t="n">
        <f aca="false">'Raw Data'!J1287</f>
        <v>0</v>
      </c>
      <c r="J1287" s="6" t="n">
        <f aca="false">'Raw Data'!K1287</f>
        <v>3</v>
      </c>
      <c r="K1287" s="6" t="n">
        <f aca="false">'Raw Data'!L1287</f>
        <v>1</v>
      </c>
      <c r="L1287" s="6" t="n">
        <f aca="false">F1287*E1287</f>
        <v>0</v>
      </c>
      <c r="N1287" s="0" t="n">
        <v>1</v>
      </c>
      <c r="O1287" s="6" t="n">
        <f aca="false">D1287</f>
        <v>3.742142857</v>
      </c>
      <c r="P1287" s="6" t="n">
        <f aca="false">E1287</f>
        <v>1</v>
      </c>
      <c r="Q1287" s="6" t="n">
        <f aca="false">F1287</f>
        <v>0</v>
      </c>
      <c r="R1287" s="6" t="n">
        <f aca="false">G1287</f>
        <v>0</v>
      </c>
      <c r="S1287" s="6" t="n">
        <f aca="false">H1287</f>
        <v>1</v>
      </c>
      <c r="T1287" s="6" t="n">
        <f aca="false">I1287</f>
        <v>0</v>
      </c>
      <c r="U1287" s="6" t="n">
        <f aca="false">L1287</f>
        <v>0</v>
      </c>
      <c r="W1287" s="6" t="n">
        <f aca="false">D1287</f>
        <v>3.742142857</v>
      </c>
      <c r="X1287" s="6" t="n">
        <f aca="false">E1287</f>
        <v>1</v>
      </c>
      <c r="Y1287" s="6" t="n">
        <f aca="false">F1287</f>
        <v>0</v>
      </c>
      <c r="Z1287" s="6" t="n">
        <f aca="false">L1287</f>
        <v>0</v>
      </c>
      <c r="AA1287" s="6" t="n">
        <f aca="false">G1287</f>
        <v>0</v>
      </c>
      <c r="AC1287" s="6" t="n">
        <f aca="false">D1287</f>
        <v>3.742142857</v>
      </c>
      <c r="AD1287" s="6" t="n">
        <f aca="false">E1287</f>
        <v>1</v>
      </c>
      <c r="AE1287" s="6" t="n">
        <f aca="false">G1287</f>
        <v>0</v>
      </c>
      <c r="AF1287" s="6" t="n">
        <f aca="false">H1287</f>
        <v>1</v>
      </c>
      <c r="AG1287" s="6" t="n">
        <f aca="false">I1287</f>
        <v>0</v>
      </c>
      <c r="AH1287" s="6" t="n">
        <f aca="false">L1287</f>
        <v>0</v>
      </c>
    </row>
    <row r="1288" customFormat="false" ht="15" hidden="false" customHeight="false" outlineLevel="0" collapsed="false">
      <c r="A1288" s="0" t="str">
        <f aca="false">'Raw Data'!C1288</f>
        <v>Thousand Oaks</v>
      </c>
      <c r="B1288" s="5" t="n">
        <f aca="false">'Raw Data'!A1288</f>
        <v>40372</v>
      </c>
      <c r="C1288" s="6" t="n">
        <f aca="false">'Raw Data'!D1288</f>
        <v>275.775436010846</v>
      </c>
      <c r="D1288" s="6" t="n">
        <f aca="false">'Raw Data'!E1288</f>
        <v>3.927857143</v>
      </c>
      <c r="E1288" s="6" t="n">
        <f aca="false">'Raw Data'!F1288</f>
        <v>1</v>
      </c>
      <c r="F1288" s="6" t="n">
        <f aca="false">'Raw Data'!G1288</f>
        <v>0</v>
      </c>
      <c r="G1288" s="6" t="n">
        <f aca="false">'Raw Data'!H1288</f>
        <v>0</v>
      </c>
      <c r="H1288" s="6" t="n">
        <f aca="false">'Raw Data'!I1288</f>
        <v>1</v>
      </c>
      <c r="I1288" s="6" t="n">
        <f aca="false">'Raw Data'!J1288</f>
        <v>0</v>
      </c>
      <c r="J1288" s="6" t="n">
        <f aca="false">'Raw Data'!K1288</f>
        <v>3</v>
      </c>
      <c r="K1288" s="6" t="n">
        <f aca="false">'Raw Data'!L1288</f>
        <v>1</v>
      </c>
      <c r="L1288" s="6" t="n">
        <f aca="false">F1288*E1288</f>
        <v>0</v>
      </c>
      <c r="N1288" s="0" t="n">
        <v>1</v>
      </c>
      <c r="O1288" s="6" t="n">
        <f aca="false">D1288</f>
        <v>3.927857143</v>
      </c>
      <c r="P1288" s="6" t="n">
        <f aca="false">E1288</f>
        <v>1</v>
      </c>
      <c r="Q1288" s="6" t="n">
        <f aca="false">F1288</f>
        <v>0</v>
      </c>
      <c r="R1288" s="6" t="n">
        <f aca="false">G1288</f>
        <v>0</v>
      </c>
      <c r="S1288" s="6" t="n">
        <f aca="false">H1288</f>
        <v>1</v>
      </c>
      <c r="T1288" s="6" t="n">
        <f aca="false">I1288</f>
        <v>0</v>
      </c>
      <c r="U1288" s="6" t="n">
        <f aca="false">L1288</f>
        <v>0</v>
      </c>
      <c r="W1288" s="6" t="n">
        <f aca="false">D1288</f>
        <v>3.927857143</v>
      </c>
      <c r="X1288" s="6" t="n">
        <f aca="false">E1288</f>
        <v>1</v>
      </c>
      <c r="Y1288" s="6" t="n">
        <f aca="false">F1288</f>
        <v>0</v>
      </c>
      <c r="Z1288" s="6" t="n">
        <f aca="false">L1288</f>
        <v>0</v>
      </c>
      <c r="AA1288" s="6" t="n">
        <f aca="false">G1288</f>
        <v>0</v>
      </c>
      <c r="AC1288" s="6" t="n">
        <f aca="false">D1288</f>
        <v>3.927857143</v>
      </c>
      <c r="AD1288" s="6" t="n">
        <f aca="false">E1288</f>
        <v>1</v>
      </c>
      <c r="AE1288" s="6" t="n">
        <f aca="false">G1288</f>
        <v>0</v>
      </c>
      <c r="AF1288" s="6" t="n">
        <f aca="false">H1288</f>
        <v>1</v>
      </c>
      <c r="AG1288" s="6" t="n">
        <f aca="false">I1288</f>
        <v>0</v>
      </c>
      <c r="AH1288" s="6" t="n">
        <f aca="false">L1288</f>
        <v>0</v>
      </c>
    </row>
    <row r="1289" customFormat="false" ht="15" hidden="false" customHeight="false" outlineLevel="0" collapsed="false">
      <c r="A1289" s="0" t="str">
        <f aca="false">'Raw Data'!C1289</f>
        <v>Valencia</v>
      </c>
      <c r="B1289" s="5" t="n">
        <f aca="false">'Raw Data'!A1289</f>
        <v>40302</v>
      </c>
      <c r="C1289" s="6" t="n">
        <f aca="false">'Raw Data'!D1289</f>
        <v>223.599983750506</v>
      </c>
      <c r="D1289" s="6" t="n">
        <f aca="false">'Raw Data'!E1289</f>
        <v>4.808181818</v>
      </c>
      <c r="E1289" s="6" t="n">
        <f aca="false">'Raw Data'!F1289</f>
        <v>1</v>
      </c>
      <c r="F1289" s="6" t="n">
        <f aca="false">'Raw Data'!G1289</f>
        <v>0</v>
      </c>
      <c r="G1289" s="6" t="n">
        <f aca="false">'Raw Data'!H1289</f>
        <v>0</v>
      </c>
      <c r="H1289" s="6" t="n">
        <f aca="false">'Raw Data'!I1289</f>
        <v>1</v>
      </c>
      <c r="I1289" s="6" t="n">
        <f aca="false">'Raw Data'!J1289</f>
        <v>0</v>
      </c>
      <c r="J1289" s="6" t="n">
        <f aca="false">'Raw Data'!K1289</f>
        <v>2</v>
      </c>
      <c r="K1289" s="6" t="n">
        <f aca="false">'Raw Data'!L1289</f>
        <v>4</v>
      </c>
      <c r="L1289" s="6" t="n">
        <f aca="false">F1289*E1289</f>
        <v>0</v>
      </c>
      <c r="N1289" s="0" t="n">
        <v>1</v>
      </c>
      <c r="O1289" s="6" t="n">
        <f aca="false">D1289</f>
        <v>4.808181818</v>
      </c>
      <c r="P1289" s="6" t="n">
        <f aca="false">E1289</f>
        <v>1</v>
      </c>
      <c r="Q1289" s="6" t="n">
        <f aca="false">F1289</f>
        <v>0</v>
      </c>
      <c r="R1289" s="6" t="n">
        <f aca="false">G1289</f>
        <v>0</v>
      </c>
      <c r="S1289" s="6" t="n">
        <f aca="false">H1289</f>
        <v>1</v>
      </c>
      <c r="T1289" s="6" t="n">
        <f aca="false">I1289</f>
        <v>0</v>
      </c>
      <c r="U1289" s="6" t="n">
        <f aca="false">L1289</f>
        <v>0</v>
      </c>
      <c r="W1289" s="6" t="n">
        <f aca="false">D1289</f>
        <v>4.808181818</v>
      </c>
      <c r="X1289" s="6" t="n">
        <f aca="false">E1289</f>
        <v>1</v>
      </c>
      <c r="Y1289" s="6" t="n">
        <f aca="false">F1289</f>
        <v>0</v>
      </c>
      <c r="Z1289" s="6" t="n">
        <f aca="false">L1289</f>
        <v>0</v>
      </c>
      <c r="AA1289" s="6" t="n">
        <f aca="false">G1289</f>
        <v>0</v>
      </c>
      <c r="AC1289" s="6" t="n">
        <f aca="false">D1289</f>
        <v>4.808181818</v>
      </c>
      <c r="AD1289" s="6" t="n">
        <f aca="false">E1289</f>
        <v>1</v>
      </c>
      <c r="AE1289" s="6" t="n">
        <f aca="false">G1289</f>
        <v>0</v>
      </c>
      <c r="AF1289" s="6" t="n">
        <f aca="false">H1289</f>
        <v>1</v>
      </c>
      <c r="AG1289" s="6" t="n">
        <f aca="false">I1289</f>
        <v>0</v>
      </c>
      <c r="AH1289" s="6" t="n">
        <f aca="false">L1289</f>
        <v>0</v>
      </c>
    </row>
    <row r="1290" customFormat="false" ht="15" hidden="false" customHeight="false" outlineLevel="0" collapsed="false">
      <c r="A1290" s="0" t="str">
        <f aca="false">'Raw Data'!C1290</f>
        <v>Valencia</v>
      </c>
      <c r="B1290" s="5" t="n">
        <f aca="false">'Raw Data'!A1290</f>
        <v>40309</v>
      </c>
      <c r="C1290" s="6" t="n">
        <f aca="false">'Raw Data'!D1290</f>
        <v>317.034586246341</v>
      </c>
      <c r="D1290" s="6" t="n">
        <f aca="false">'Raw Data'!E1290</f>
        <v>4.808181818</v>
      </c>
      <c r="E1290" s="6" t="n">
        <f aca="false">'Raw Data'!F1290</f>
        <v>1</v>
      </c>
      <c r="F1290" s="6" t="n">
        <f aca="false">'Raw Data'!G1290</f>
        <v>0</v>
      </c>
      <c r="G1290" s="6" t="n">
        <f aca="false">'Raw Data'!H1290</f>
        <v>0</v>
      </c>
      <c r="H1290" s="6" t="n">
        <f aca="false">'Raw Data'!I1290</f>
        <v>0</v>
      </c>
      <c r="I1290" s="6" t="n">
        <f aca="false">'Raw Data'!J1290</f>
        <v>1</v>
      </c>
      <c r="J1290" s="6" t="n">
        <f aca="false">'Raw Data'!K1290</f>
        <v>2</v>
      </c>
      <c r="K1290" s="6" t="n">
        <f aca="false">'Raw Data'!L1290</f>
        <v>4</v>
      </c>
      <c r="L1290" s="6" t="n">
        <f aca="false">F1290*E1290</f>
        <v>0</v>
      </c>
      <c r="N1290" s="0" t="n">
        <v>1</v>
      </c>
      <c r="O1290" s="6" t="n">
        <f aca="false">D1290</f>
        <v>4.808181818</v>
      </c>
      <c r="P1290" s="6" t="n">
        <f aca="false">E1290</f>
        <v>1</v>
      </c>
      <c r="Q1290" s="6" t="n">
        <f aca="false">F1290</f>
        <v>0</v>
      </c>
      <c r="R1290" s="6" t="n">
        <f aca="false">G1290</f>
        <v>0</v>
      </c>
      <c r="S1290" s="6" t="n">
        <f aca="false">H1290</f>
        <v>0</v>
      </c>
      <c r="T1290" s="6" t="n">
        <f aca="false">I1290</f>
        <v>1</v>
      </c>
      <c r="U1290" s="6" t="n">
        <f aca="false">L1290</f>
        <v>0</v>
      </c>
      <c r="W1290" s="6" t="n">
        <f aca="false">D1290</f>
        <v>4.808181818</v>
      </c>
      <c r="X1290" s="6" t="n">
        <f aca="false">E1290</f>
        <v>1</v>
      </c>
      <c r="Y1290" s="6" t="n">
        <f aca="false">F1290</f>
        <v>0</v>
      </c>
      <c r="Z1290" s="6" t="n">
        <f aca="false">L1290</f>
        <v>0</v>
      </c>
      <c r="AA1290" s="6" t="n">
        <f aca="false">G1290</f>
        <v>0</v>
      </c>
      <c r="AC1290" s="6" t="n">
        <f aca="false">D1290</f>
        <v>4.808181818</v>
      </c>
      <c r="AD1290" s="6" t="n">
        <f aca="false">E1290</f>
        <v>1</v>
      </c>
      <c r="AE1290" s="6" t="n">
        <f aca="false">G1290</f>
        <v>0</v>
      </c>
      <c r="AF1290" s="6" t="n">
        <f aca="false">H1290</f>
        <v>0</v>
      </c>
      <c r="AG1290" s="6" t="n">
        <f aca="false">I1290</f>
        <v>1</v>
      </c>
      <c r="AH1290" s="6" t="n">
        <f aca="false">L1290</f>
        <v>0</v>
      </c>
    </row>
    <row r="1291" customFormat="false" ht="15" hidden="false" customHeight="false" outlineLevel="0" collapsed="false">
      <c r="A1291" s="0" t="str">
        <f aca="false">'Raw Data'!C1291</f>
        <v>Valencia</v>
      </c>
      <c r="B1291" s="5" t="n">
        <f aca="false">'Raw Data'!A1291</f>
        <v>40316</v>
      </c>
      <c r="C1291" s="6" t="n">
        <f aca="false">'Raw Data'!D1291</f>
        <v>331.331939861407</v>
      </c>
      <c r="D1291" s="6" t="n">
        <f aca="false">'Raw Data'!E1291</f>
        <v>4.558181818</v>
      </c>
      <c r="E1291" s="6" t="n">
        <f aca="false">'Raw Data'!F1291</f>
        <v>1</v>
      </c>
      <c r="F1291" s="6" t="n">
        <f aca="false">'Raw Data'!G1291</f>
        <v>0</v>
      </c>
      <c r="G1291" s="6" t="n">
        <f aca="false">'Raw Data'!H1291</f>
        <v>0</v>
      </c>
      <c r="H1291" s="6" t="n">
        <f aca="false">'Raw Data'!I1291</f>
        <v>0</v>
      </c>
      <c r="I1291" s="6" t="n">
        <f aca="false">'Raw Data'!J1291</f>
        <v>1</v>
      </c>
      <c r="J1291" s="6" t="n">
        <f aca="false">'Raw Data'!K1291</f>
        <v>2</v>
      </c>
      <c r="K1291" s="6" t="n">
        <f aca="false">'Raw Data'!L1291</f>
        <v>4</v>
      </c>
      <c r="L1291" s="6" t="n">
        <f aca="false">F1291*E1291</f>
        <v>0</v>
      </c>
      <c r="N1291" s="0" t="n">
        <v>1</v>
      </c>
      <c r="O1291" s="6" t="n">
        <f aca="false">D1291</f>
        <v>4.558181818</v>
      </c>
      <c r="P1291" s="6" t="n">
        <f aca="false">E1291</f>
        <v>1</v>
      </c>
      <c r="Q1291" s="6" t="n">
        <f aca="false">F1291</f>
        <v>0</v>
      </c>
      <c r="R1291" s="6" t="n">
        <f aca="false">G1291</f>
        <v>0</v>
      </c>
      <c r="S1291" s="6" t="n">
        <f aca="false">H1291</f>
        <v>0</v>
      </c>
      <c r="T1291" s="6" t="n">
        <f aca="false">I1291</f>
        <v>1</v>
      </c>
      <c r="U1291" s="6" t="n">
        <f aca="false">L1291</f>
        <v>0</v>
      </c>
      <c r="W1291" s="6" t="n">
        <f aca="false">D1291</f>
        <v>4.558181818</v>
      </c>
      <c r="X1291" s="6" t="n">
        <f aca="false">E1291</f>
        <v>1</v>
      </c>
      <c r="Y1291" s="6" t="n">
        <f aca="false">F1291</f>
        <v>0</v>
      </c>
      <c r="Z1291" s="6" t="n">
        <f aca="false">L1291</f>
        <v>0</v>
      </c>
      <c r="AA1291" s="6" t="n">
        <f aca="false">G1291</f>
        <v>0</v>
      </c>
      <c r="AC1291" s="6" t="n">
        <f aca="false">D1291</f>
        <v>4.558181818</v>
      </c>
      <c r="AD1291" s="6" t="n">
        <f aca="false">E1291</f>
        <v>1</v>
      </c>
      <c r="AE1291" s="6" t="n">
        <f aca="false">G1291</f>
        <v>0</v>
      </c>
      <c r="AF1291" s="6" t="n">
        <f aca="false">H1291</f>
        <v>0</v>
      </c>
      <c r="AG1291" s="6" t="n">
        <f aca="false">I1291</f>
        <v>1</v>
      </c>
      <c r="AH1291" s="6" t="n">
        <f aca="false">L1291</f>
        <v>0</v>
      </c>
    </row>
    <row r="1292" customFormat="false" ht="15" hidden="false" customHeight="false" outlineLevel="0" collapsed="false">
      <c r="A1292" s="0" t="str">
        <f aca="false">'Raw Data'!C1292</f>
        <v>Valencia</v>
      </c>
      <c r="B1292" s="5" t="n">
        <f aca="false">'Raw Data'!A1292</f>
        <v>40323</v>
      </c>
      <c r="C1292" s="6" t="n">
        <f aca="false">'Raw Data'!D1292</f>
        <v>253.203776858438</v>
      </c>
      <c r="D1292" s="6" t="n">
        <f aca="false">'Raw Data'!E1292</f>
        <v>4.579285714</v>
      </c>
      <c r="E1292" s="6" t="n">
        <f aca="false">'Raw Data'!F1292</f>
        <v>1</v>
      </c>
      <c r="F1292" s="6" t="n">
        <f aca="false">'Raw Data'!G1292</f>
        <v>0</v>
      </c>
      <c r="G1292" s="6" t="n">
        <f aca="false">'Raw Data'!H1292</f>
        <v>0</v>
      </c>
      <c r="H1292" s="6" t="n">
        <f aca="false">'Raw Data'!I1292</f>
        <v>0</v>
      </c>
      <c r="I1292" s="6" t="n">
        <f aca="false">'Raw Data'!J1292</f>
        <v>0</v>
      </c>
      <c r="J1292" s="6" t="n">
        <f aca="false">'Raw Data'!K1292</f>
        <v>2</v>
      </c>
      <c r="K1292" s="6" t="n">
        <f aca="false">'Raw Data'!L1292</f>
        <v>4</v>
      </c>
      <c r="L1292" s="6" t="n">
        <f aca="false">F1292*E1292</f>
        <v>0</v>
      </c>
      <c r="N1292" s="0" t="n">
        <v>1</v>
      </c>
      <c r="O1292" s="6" t="n">
        <f aca="false">D1292</f>
        <v>4.579285714</v>
      </c>
      <c r="P1292" s="6" t="n">
        <f aca="false">E1292</f>
        <v>1</v>
      </c>
      <c r="Q1292" s="6" t="n">
        <f aca="false">F1292</f>
        <v>0</v>
      </c>
      <c r="R1292" s="6" t="n">
        <f aca="false">G1292</f>
        <v>0</v>
      </c>
      <c r="S1292" s="6" t="n">
        <f aca="false">H1292</f>
        <v>0</v>
      </c>
      <c r="T1292" s="6" t="n">
        <f aca="false">I1292</f>
        <v>0</v>
      </c>
      <c r="U1292" s="6" t="n">
        <f aca="false">L1292</f>
        <v>0</v>
      </c>
      <c r="W1292" s="6" t="n">
        <f aca="false">D1292</f>
        <v>4.579285714</v>
      </c>
      <c r="X1292" s="6" t="n">
        <f aca="false">E1292</f>
        <v>1</v>
      </c>
      <c r="Y1292" s="6" t="n">
        <f aca="false">F1292</f>
        <v>0</v>
      </c>
      <c r="Z1292" s="6" t="n">
        <f aca="false">L1292</f>
        <v>0</v>
      </c>
      <c r="AA1292" s="6" t="n">
        <f aca="false">G1292</f>
        <v>0</v>
      </c>
      <c r="AC1292" s="6" t="n">
        <f aca="false">D1292</f>
        <v>4.579285714</v>
      </c>
      <c r="AD1292" s="6" t="n">
        <f aca="false">E1292</f>
        <v>1</v>
      </c>
      <c r="AE1292" s="6" t="n">
        <f aca="false">G1292</f>
        <v>0</v>
      </c>
      <c r="AF1292" s="6" t="n">
        <f aca="false">H1292</f>
        <v>0</v>
      </c>
      <c r="AG1292" s="6" t="n">
        <f aca="false">I1292</f>
        <v>0</v>
      </c>
      <c r="AH1292" s="6" t="n">
        <f aca="false">L1292</f>
        <v>0</v>
      </c>
    </row>
    <row r="1293" customFormat="false" ht="15" hidden="false" customHeight="false" outlineLevel="0" collapsed="false">
      <c r="A1293" s="0" t="str">
        <f aca="false">'Raw Data'!C1293</f>
        <v>Valencia</v>
      </c>
      <c r="B1293" s="5" t="n">
        <f aca="false">'Raw Data'!A1293</f>
        <v>40330</v>
      </c>
      <c r="C1293" s="6" t="n">
        <f aca="false">'Raw Data'!D1293</f>
        <v>281.96865303568</v>
      </c>
      <c r="D1293" s="6" t="n">
        <f aca="false">'Raw Data'!E1293</f>
        <v>4.579285714</v>
      </c>
      <c r="E1293" s="6" t="n">
        <f aca="false">'Raw Data'!F1293</f>
        <v>1</v>
      </c>
      <c r="F1293" s="6" t="n">
        <f aca="false">'Raw Data'!G1293</f>
        <v>0</v>
      </c>
      <c r="G1293" s="6" t="n">
        <f aca="false">'Raw Data'!H1293</f>
        <v>0</v>
      </c>
      <c r="H1293" s="6" t="n">
        <f aca="false">'Raw Data'!I1293</f>
        <v>0</v>
      </c>
      <c r="I1293" s="6" t="n">
        <f aca="false">'Raw Data'!J1293</f>
        <v>0</v>
      </c>
      <c r="J1293" s="6" t="n">
        <f aca="false">'Raw Data'!K1293</f>
        <v>2</v>
      </c>
      <c r="K1293" s="6" t="n">
        <f aca="false">'Raw Data'!L1293</f>
        <v>4</v>
      </c>
      <c r="L1293" s="6" t="n">
        <f aca="false">F1293*E1293</f>
        <v>0</v>
      </c>
      <c r="N1293" s="0" t="n">
        <v>1</v>
      </c>
      <c r="O1293" s="6" t="n">
        <f aca="false">D1293</f>
        <v>4.579285714</v>
      </c>
      <c r="P1293" s="6" t="n">
        <f aca="false">E1293</f>
        <v>1</v>
      </c>
      <c r="Q1293" s="6" t="n">
        <f aca="false">F1293</f>
        <v>0</v>
      </c>
      <c r="R1293" s="6" t="n">
        <f aca="false">G1293</f>
        <v>0</v>
      </c>
      <c r="S1293" s="6" t="n">
        <f aca="false">H1293</f>
        <v>0</v>
      </c>
      <c r="T1293" s="6" t="n">
        <f aca="false">I1293</f>
        <v>0</v>
      </c>
      <c r="U1293" s="6" t="n">
        <f aca="false">L1293</f>
        <v>0</v>
      </c>
      <c r="W1293" s="6" t="n">
        <f aca="false">D1293</f>
        <v>4.579285714</v>
      </c>
      <c r="X1293" s="6" t="n">
        <f aca="false">E1293</f>
        <v>1</v>
      </c>
      <c r="Y1293" s="6" t="n">
        <f aca="false">F1293</f>
        <v>0</v>
      </c>
      <c r="Z1293" s="6" t="n">
        <f aca="false">L1293</f>
        <v>0</v>
      </c>
      <c r="AA1293" s="6" t="n">
        <f aca="false">G1293</f>
        <v>0</v>
      </c>
      <c r="AC1293" s="6" t="n">
        <f aca="false">D1293</f>
        <v>4.579285714</v>
      </c>
      <c r="AD1293" s="6" t="n">
        <f aca="false">E1293</f>
        <v>1</v>
      </c>
      <c r="AE1293" s="6" t="n">
        <f aca="false">G1293</f>
        <v>0</v>
      </c>
      <c r="AF1293" s="6" t="n">
        <f aca="false">H1293</f>
        <v>0</v>
      </c>
      <c r="AG1293" s="6" t="n">
        <f aca="false">I1293</f>
        <v>0</v>
      </c>
      <c r="AH1293" s="6" t="n">
        <f aca="false">L1293</f>
        <v>0</v>
      </c>
    </row>
    <row r="1294" customFormat="false" ht="15" hidden="false" customHeight="false" outlineLevel="0" collapsed="false">
      <c r="A1294" s="0" t="str">
        <f aca="false">'Raw Data'!C1294</f>
        <v>Valencia</v>
      </c>
      <c r="B1294" s="5" t="n">
        <f aca="false">'Raw Data'!A1294</f>
        <v>40337</v>
      </c>
      <c r="C1294" s="6" t="n">
        <f aca="false">'Raw Data'!D1294</f>
        <v>236.205451251985</v>
      </c>
      <c r="D1294" s="6" t="n">
        <f aca="false">'Raw Data'!E1294</f>
        <v>4.891538462</v>
      </c>
      <c r="E1294" s="6" t="n">
        <f aca="false">'Raw Data'!F1294</f>
        <v>1</v>
      </c>
      <c r="F1294" s="6" t="n">
        <f aca="false">'Raw Data'!G1294</f>
        <v>0</v>
      </c>
      <c r="G1294" s="6" t="n">
        <f aca="false">'Raw Data'!H1294</f>
        <v>0</v>
      </c>
      <c r="H1294" s="6" t="n">
        <f aca="false">'Raw Data'!I1294</f>
        <v>0</v>
      </c>
      <c r="I1294" s="6" t="n">
        <f aca="false">'Raw Data'!J1294</f>
        <v>0</v>
      </c>
      <c r="J1294" s="6" t="n">
        <f aca="false">'Raw Data'!K1294</f>
        <v>2</v>
      </c>
      <c r="K1294" s="6" t="n">
        <f aca="false">'Raw Data'!L1294</f>
        <v>4</v>
      </c>
      <c r="L1294" s="6" t="n">
        <f aca="false">F1294*E1294</f>
        <v>0</v>
      </c>
      <c r="N1294" s="0" t="n">
        <v>1</v>
      </c>
      <c r="O1294" s="6" t="n">
        <f aca="false">D1294</f>
        <v>4.891538462</v>
      </c>
      <c r="P1294" s="6" t="n">
        <f aca="false">E1294</f>
        <v>1</v>
      </c>
      <c r="Q1294" s="6" t="n">
        <f aca="false">F1294</f>
        <v>0</v>
      </c>
      <c r="R1294" s="6" t="n">
        <f aca="false">G1294</f>
        <v>0</v>
      </c>
      <c r="S1294" s="6" t="n">
        <f aca="false">H1294</f>
        <v>0</v>
      </c>
      <c r="T1294" s="6" t="n">
        <f aca="false">I1294</f>
        <v>0</v>
      </c>
      <c r="U1294" s="6" t="n">
        <f aca="false">L1294</f>
        <v>0</v>
      </c>
      <c r="W1294" s="6" t="n">
        <f aca="false">D1294</f>
        <v>4.891538462</v>
      </c>
      <c r="X1294" s="6" t="n">
        <f aca="false">E1294</f>
        <v>1</v>
      </c>
      <c r="Y1294" s="6" t="n">
        <f aca="false">F1294</f>
        <v>0</v>
      </c>
      <c r="Z1294" s="6" t="n">
        <f aca="false">L1294</f>
        <v>0</v>
      </c>
      <c r="AA1294" s="6" t="n">
        <f aca="false">G1294</f>
        <v>0</v>
      </c>
      <c r="AC1294" s="6" t="n">
        <f aca="false">D1294</f>
        <v>4.891538462</v>
      </c>
      <c r="AD1294" s="6" t="n">
        <f aca="false">E1294</f>
        <v>1</v>
      </c>
      <c r="AE1294" s="6" t="n">
        <f aca="false">G1294</f>
        <v>0</v>
      </c>
      <c r="AF1294" s="6" t="n">
        <f aca="false">H1294</f>
        <v>0</v>
      </c>
      <c r="AG1294" s="6" t="n">
        <f aca="false">I1294</f>
        <v>0</v>
      </c>
      <c r="AH1294" s="6" t="n">
        <f aca="false">L1294</f>
        <v>0</v>
      </c>
    </row>
    <row r="1295" customFormat="false" ht="15" hidden="false" customHeight="false" outlineLevel="0" collapsed="false">
      <c r="A1295" s="0" t="str">
        <f aca="false">'Raw Data'!C1295</f>
        <v>Valencia</v>
      </c>
      <c r="B1295" s="5" t="n">
        <f aca="false">'Raw Data'!A1295</f>
        <v>40344</v>
      </c>
      <c r="C1295" s="6" t="n">
        <f aca="false">'Raw Data'!D1295</f>
        <v>209.258133152729</v>
      </c>
      <c r="D1295" s="6" t="n">
        <f aca="false">'Raw Data'!E1295</f>
        <v>4.713076923</v>
      </c>
      <c r="E1295" s="6" t="n">
        <f aca="false">'Raw Data'!F1295</f>
        <v>1</v>
      </c>
      <c r="F1295" s="6" t="n">
        <f aca="false">'Raw Data'!G1295</f>
        <v>0</v>
      </c>
      <c r="G1295" s="6" t="n">
        <f aca="false">'Raw Data'!H1295</f>
        <v>0</v>
      </c>
      <c r="H1295" s="6" t="n">
        <f aca="false">'Raw Data'!I1295</f>
        <v>0</v>
      </c>
      <c r="I1295" s="6" t="n">
        <f aca="false">'Raw Data'!J1295</f>
        <v>0</v>
      </c>
      <c r="J1295" s="6" t="n">
        <f aca="false">'Raw Data'!K1295</f>
        <v>2</v>
      </c>
      <c r="K1295" s="6" t="n">
        <f aca="false">'Raw Data'!L1295</f>
        <v>4</v>
      </c>
      <c r="L1295" s="6" t="n">
        <f aca="false">F1295*E1295</f>
        <v>0</v>
      </c>
      <c r="N1295" s="0" t="n">
        <v>1</v>
      </c>
      <c r="O1295" s="6" t="n">
        <f aca="false">D1295</f>
        <v>4.713076923</v>
      </c>
      <c r="P1295" s="6" t="n">
        <f aca="false">E1295</f>
        <v>1</v>
      </c>
      <c r="Q1295" s="6" t="n">
        <f aca="false">F1295</f>
        <v>0</v>
      </c>
      <c r="R1295" s="6" t="n">
        <f aca="false">G1295</f>
        <v>0</v>
      </c>
      <c r="S1295" s="6" t="n">
        <f aca="false">H1295</f>
        <v>0</v>
      </c>
      <c r="T1295" s="6" t="n">
        <f aca="false">I1295</f>
        <v>0</v>
      </c>
      <c r="U1295" s="6" t="n">
        <f aca="false">L1295</f>
        <v>0</v>
      </c>
      <c r="W1295" s="6" t="n">
        <f aca="false">D1295</f>
        <v>4.713076923</v>
      </c>
      <c r="X1295" s="6" t="n">
        <f aca="false">E1295</f>
        <v>1</v>
      </c>
      <c r="Y1295" s="6" t="n">
        <f aca="false">F1295</f>
        <v>0</v>
      </c>
      <c r="Z1295" s="6" t="n">
        <f aca="false">L1295</f>
        <v>0</v>
      </c>
      <c r="AA1295" s="6" t="n">
        <f aca="false">G1295</f>
        <v>0</v>
      </c>
      <c r="AC1295" s="6" t="n">
        <f aca="false">D1295</f>
        <v>4.713076923</v>
      </c>
      <c r="AD1295" s="6" t="n">
        <f aca="false">E1295</f>
        <v>1</v>
      </c>
      <c r="AE1295" s="6" t="n">
        <f aca="false">G1295</f>
        <v>0</v>
      </c>
      <c r="AF1295" s="6" t="n">
        <f aca="false">H1295</f>
        <v>0</v>
      </c>
      <c r="AG1295" s="6" t="n">
        <f aca="false">I1295</f>
        <v>0</v>
      </c>
      <c r="AH1295" s="6" t="n">
        <f aca="false">L1295</f>
        <v>0</v>
      </c>
    </row>
    <row r="1296" customFormat="false" ht="15" hidden="false" customHeight="false" outlineLevel="0" collapsed="false">
      <c r="A1296" s="0" t="str">
        <f aca="false">'Raw Data'!C1296</f>
        <v>Valencia</v>
      </c>
      <c r="B1296" s="5" t="n">
        <f aca="false">'Raw Data'!A1296</f>
        <v>40351</v>
      </c>
      <c r="C1296" s="6" t="n">
        <f aca="false">'Raw Data'!D1296</f>
        <v>258.259346672333</v>
      </c>
      <c r="D1296" s="6" t="n">
        <f aca="false">'Raw Data'!E1296</f>
        <v>4.881666667</v>
      </c>
      <c r="E1296" s="6" t="n">
        <f aca="false">'Raw Data'!F1296</f>
        <v>1</v>
      </c>
      <c r="F1296" s="6" t="n">
        <f aca="false">'Raw Data'!G1296</f>
        <v>0</v>
      </c>
      <c r="G1296" s="6" t="n">
        <f aca="false">'Raw Data'!H1296</f>
        <v>0</v>
      </c>
      <c r="H1296" s="6" t="n">
        <f aca="false">'Raw Data'!I1296</f>
        <v>0</v>
      </c>
      <c r="I1296" s="6" t="n">
        <f aca="false">'Raw Data'!J1296</f>
        <v>0</v>
      </c>
      <c r="J1296" s="6" t="n">
        <f aca="false">'Raw Data'!K1296</f>
        <v>2</v>
      </c>
      <c r="K1296" s="6" t="n">
        <f aca="false">'Raw Data'!L1296</f>
        <v>4</v>
      </c>
      <c r="L1296" s="6" t="n">
        <f aca="false">F1296*E1296</f>
        <v>0</v>
      </c>
      <c r="N1296" s="0" t="n">
        <v>1</v>
      </c>
      <c r="O1296" s="6" t="n">
        <f aca="false">D1296</f>
        <v>4.881666667</v>
      </c>
      <c r="P1296" s="6" t="n">
        <f aca="false">E1296</f>
        <v>1</v>
      </c>
      <c r="Q1296" s="6" t="n">
        <f aca="false">F1296</f>
        <v>0</v>
      </c>
      <c r="R1296" s="6" t="n">
        <f aca="false">G1296</f>
        <v>0</v>
      </c>
      <c r="S1296" s="6" t="n">
        <f aca="false">H1296</f>
        <v>0</v>
      </c>
      <c r="T1296" s="6" t="n">
        <f aca="false">I1296</f>
        <v>0</v>
      </c>
      <c r="U1296" s="6" t="n">
        <f aca="false">L1296</f>
        <v>0</v>
      </c>
      <c r="W1296" s="6" t="n">
        <f aca="false">D1296</f>
        <v>4.881666667</v>
      </c>
      <c r="X1296" s="6" t="n">
        <f aca="false">E1296</f>
        <v>1</v>
      </c>
      <c r="Y1296" s="6" t="n">
        <f aca="false">F1296</f>
        <v>0</v>
      </c>
      <c r="Z1296" s="6" t="n">
        <f aca="false">L1296</f>
        <v>0</v>
      </c>
      <c r="AA1296" s="6" t="n">
        <f aca="false">G1296</f>
        <v>0</v>
      </c>
      <c r="AC1296" s="6" t="n">
        <f aca="false">D1296</f>
        <v>4.881666667</v>
      </c>
      <c r="AD1296" s="6" t="n">
        <f aca="false">E1296</f>
        <v>1</v>
      </c>
      <c r="AE1296" s="6" t="n">
        <f aca="false">G1296</f>
        <v>0</v>
      </c>
      <c r="AF1296" s="6" t="n">
        <f aca="false">H1296</f>
        <v>0</v>
      </c>
      <c r="AG1296" s="6" t="n">
        <f aca="false">I1296</f>
        <v>0</v>
      </c>
      <c r="AH1296" s="6" t="n">
        <f aca="false">L1296</f>
        <v>0</v>
      </c>
    </row>
    <row r="1297" customFormat="false" ht="15" hidden="false" customHeight="false" outlineLevel="0" collapsed="false">
      <c r="A1297" s="0" t="str">
        <f aca="false">'Raw Data'!C1297</f>
        <v>Valencia</v>
      </c>
      <c r="B1297" s="5" t="n">
        <f aca="false">'Raw Data'!A1297</f>
        <v>40358</v>
      </c>
      <c r="C1297" s="6" t="n">
        <f aca="false">'Raw Data'!D1297</f>
        <v>288.530053729689</v>
      </c>
      <c r="D1297" s="6" t="n">
        <f aca="false">'Raw Data'!E1297</f>
        <v>5.080909091</v>
      </c>
      <c r="E1297" s="6" t="n">
        <f aca="false">'Raw Data'!F1297</f>
        <v>1</v>
      </c>
      <c r="F1297" s="6" t="n">
        <f aca="false">'Raw Data'!G1297</f>
        <v>0</v>
      </c>
      <c r="G1297" s="6" t="n">
        <f aca="false">'Raw Data'!H1297</f>
        <v>1</v>
      </c>
      <c r="H1297" s="6" t="n">
        <f aca="false">'Raw Data'!I1297</f>
        <v>0</v>
      </c>
      <c r="I1297" s="6" t="n">
        <f aca="false">'Raw Data'!J1297</f>
        <v>0</v>
      </c>
      <c r="J1297" s="6" t="n">
        <f aca="false">'Raw Data'!K1297</f>
        <v>2</v>
      </c>
      <c r="K1297" s="6" t="n">
        <f aca="false">'Raw Data'!L1297</f>
        <v>4</v>
      </c>
      <c r="L1297" s="6" t="n">
        <f aca="false">F1297*E1297</f>
        <v>0</v>
      </c>
      <c r="N1297" s="0" t="n">
        <v>1</v>
      </c>
      <c r="O1297" s="6" t="n">
        <f aca="false">D1297</f>
        <v>5.080909091</v>
      </c>
      <c r="P1297" s="6" t="n">
        <f aca="false">E1297</f>
        <v>1</v>
      </c>
      <c r="Q1297" s="6" t="n">
        <f aca="false">F1297</f>
        <v>0</v>
      </c>
      <c r="R1297" s="6" t="n">
        <f aca="false">G1297</f>
        <v>1</v>
      </c>
      <c r="S1297" s="6" t="n">
        <f aca="false">H1297</f>
        <v>0</v>
      </c>
      <c r="T1297" s="6" t="n">
        <f aca="false">I1297</f>
        <v>0</v>
      </c>
      <c r="U1297" s="6" t="n">
        <f aca="false">L1297</f>
        <v>0</v>
      </c>
      <c r="W1297" s="6" t="n">
        <f aca="false">D1297</f>
        <v>5.080909091</v>
      </c>
      <c r="X1297" s="6" t="n">
        <f aca="false">E1297</f>
        <v>1</v>
      </c>
      <c r="Y1297" s="6" t="n">
        <f aca="false">F1297</f>
        <v>0</v>
      </c>
      <c r="Z1297" s="6" t="n">
        <f aca="false">L1297</f>
        <v>0</v>
      </c>
      <c r="AA1297" s="6" t="n">
        <f aca="false">G1297</f>
        <v>1</v>
      </c>
      <c r="AC1297" s="6" t="n">
        <f aca="false">D1297</f>
        <v>5.080909091</v>
      </c>
      <c r="AD1297" s="6" t="n">
        <f aca="false">E1297</f>
        <v>1</v>
      </c>
      <c r="AE1297" s="6" t="n">
        <f aca="false">G1297</f>
        <v>1</v>
      </c>
      <c r="AF1297" s="6" t="n">
        <f aca="false">H1297</f>
        <v>0</v>
      </c>
      <c r="AG1297" s="6" t="n">
        <f aca="false">I1297</f>
        <v>0</v>
      </c>
      <c r="AH1297" s="6" t="n">
        <f aca="false">L1297</f>
        <v>0</v>
      </c>
    </row>
    <row r="1298" customFormat="false" ht="15" hidden="false" customHeight="false" outlineLevel="0" collapsed="false">
      <c r="A1298" s="0" t="str">
        <f aca="false">'Raw Data'!C1298</f>
        <v>Valencia</v>
      </c>
      <c r="B1298" s="5" t="n">
        <f aca="false">'Raw Data'!A1298</f>
        <v>40365</v>
      </c>
      <c r="C1298" s="6" t="n">
        <f aca="false">'Raw Data'!D1298</f>
        <v>261.402152407955</v>
      </c>
      <c r="D1298" s="6" t="n">
        <f aca="false">'Raw Data'!E1298</f>
        <v>3.908333333</v>
      </c>
      <c r="E1298" s="6" t="n">
        <f aca="false">'Raw Data'!F1298</f>
        <v>1</v>
      </c>
      <c r="F1298" s="6" t="n">
        <f aca="false">'Raw Data'!G1298</f>
        <v>0</v>
      </c>
      <c r="G1298" s="6" t="n">
        <f aca="false">'Raw Data'!H1298</f>
        <v>0</v>
      </c>
      <c r="H1298" s="6" t="n">
        <f aca="false">'Raw Data'!I1298</f>
        <v>1</v>
      </c>
      <c r="I1298" s="6" t="n">
        <f aca="false">'Raw Data'!J1298</f>
        <v>0</v>
      </c>
      <c r="J1298" s="6" t="n">
        <f aca="false">'Raw Data'!K1298</f>
        <v>2</v>
      </c>
      <c r="K1298" s="6" t="n">
        <f aca="false">'Raw Data'!L1298</f>
        <v>4</v>
      </c>
      <c r="L1298" s="6" t="n">
        <f aca="false">F1298*E1298</f>
        <v>0</v>
      </c>
      <c r="N1298" s="0" t="n">
        <v>1</v>
      </c>
      <c r="O1298" s="6" t="n">
        <f aca="false">D1298</f>
        <v>3.908333333</v>
      </c>
      <c r="P1298" s="6" t="n">
        <f aca="false">E1298</f>
        <v>1</v>
      </c>
      <c r="Q1298" s="6" t="n">
        <f aca="false">F1298</f>
        <v>0</v>
      </c>
      <c r="R1298" s="6" t="n">
        <f aca="false">G1298</f>
        <v>0</v>
      </c>
      <c r="S1298" s="6" t="n">
        <f aca="false">H1298</f>
        <v>1</v>
      </c>
      <c r="T1298" s="6" t="n">
        <f aca="false">I1298</f>
        <v>0</v>
      </c>
      <c r="U1298" s="6" t="n">
        <f aca="false">L1298</f>
        <v>0</v>
      </c>
      <c r="W1298" s="6" t="n">
        <f aca="false">D1298</f>
        <v>3.908333333</v>
      </c>
      <c r="X1298" s="6" t="n">
        <f aca="false">E1298</f>
        <v>1</v>
      </c>
      <c r="Y1298" s="6" t="n">
        <f aca="false">F1298</f>
        <v>0</v>
      </c>
      <c r="Z1298" s="6" t="n">
        <f aca="false">L1298</f>
        <v>0</v>
      </c>
      <c r="AA1298" s="6" t="n">
        <f aca="false">G1298</f>
        <v>0</v>
      </c>
      <c r="AC1298" s="6" t="n">
        <f aca="false">D1298</f>
        <v>3.908333333</v>
      </c>
      <c r="AD1298" s="6" t="n">
        <f aca="false">E1298</f>
        <v>1</v>
      </c>
      <c r="AE1298" s="6" t="n">
        <f aca="false">G1298</f>
        <v>0</v>
      </c>
      <c r="AF1298" s="6" t="n">
        <f aca="false">H1298</f>
        <v>1</v>
      </c>
      <c r="AG1298" s="6" t="n">
        <f aca="false">I1298</f>
        <v>0</v>
      </c>
      <c r="AH1298" s="6" t="n">
        <f aca="false">L1298</f>
        <v>0</v>
      </c>
    </row>
    <row r="1299" customFormat="false" ht="15" hidden="false" customHeight="false" outlineLevel="0" collapsed="false">
      <c r="A1299" s="0" t="str">
        <f aca="false">'Raw Data'!C1299</f>
        <v>Valencia</v>
      </c>
      <c r="B1299" s="5" t="n">
        <f aca="false">'Raw Data'!A1299</f>
        <v>40372</v>
      </c>
      <c r="C1299" s="6" t="n">
        <f aca="false">'Raw Data'!D1299</f>
        <v>312.332782171368</v>
      </c>
      <c r="D1299" s="6" t="n">
        <f aca="false">'Raw Data'!E1299</f>
        <v>4.142142857</v>
      </c>
      <c r="E1299" s="6" t="n">
        <f aca="false">'Raw Data'!F1299</f>
        <v>1</v>
      </c>
      <c r="F1299" s="6" t="n">
        <f aca="false">'Raw Data'!G1299</f>
        <v>0</v>
      </c>
      <c r="G1299" s="6" t="n">
        <f aca="false">'Raw Data'!H1299</f>
        <v>0</v>
      </c>
      <c r="H1299" s="6" t="n">
        <f aca="false">'Raw Data'!I1299</f>
        <v>1</v>
      </c>
      <c r="I1299" s="6" t="n">
        <f aca="false">'Raw Data'!J1299</f>
        <v>0</v>
      </c>
      <c r="J1299" s="6" t="n">
        <f aca="false">'Raw Data'!K1299</f>
        <v>2</v>
      </c>
      <c r="K1299" s="6" t="n">
        <f aca="false">'Raw Data'!L1299</f>
        <v>4</v>
      </c>
      <c r="L1299" s="6" t="n">
        <f aca="false">F1299*E1299</f>
        <v>0</v>
      </c>
      <c r="N1299" s="0" t="n">
        <v>1</v>
      </c>
      <c r="O1299" s="6" t="n">
        <f aca="false">D1299</f>
        <v>4.142142857</v>
      </c>
      <c r="P1299" s="6" t="n">
        <f aca="false">E1299</f>
        <v>1</v>
      </c>
      <c r="Q1299" s="6" t="n">
        <f aca="false">F1299</f>
        <v>0</v>
      </c>
      <c r="R1299" s="6" t="n">
        <f aca="false">G1299</f>
        <v>0</v>
      </c>
      <c r="S1299" s="6" t="n">
        <f aca="false">H1299</f>
        <v>1</v>
      </c>
      <c r="T1299" s="6" t="n">
        <f aca="false">I1299</f>
        <v>0</v>
      </c>
      <c r="U1299" s="6" t="n">
        <f aca="false">L1299</f>
        <v>0</v>
      </c>
      <c r="W1299" s="6" t="n">
        <f aca="false">D1299</f>
        <v>4.142142857</v>
      </c>
      <c r="X1299" s="6" t="n">
        <f aca="false">E1299</f>
        <v>1</v>
      </c>
      <c r="Y1299" s="6" t="n">
        <f aca="false">F1299</f>
        <v>0</v>
      </c>
      <c r="Z1299" s="6" t="n">
        <f aca="false">L1299</f>
        <v>0</v>
      </c>
      <c r="AA1299" s="6" t="n">
        <f aca="false">G1299</f>
        <v>0</v>
      </c>
      <c r="AC1299" s="6" t="n">
        <f aca="false">D1299</f>
        <v>4.142142857</v>
      </c>
      <c r="AD1299" s="6" t="n">
        <f aca="false">E1299</f>
        <v>1</v>
      </c>
      <c r="AE1299" s="6" t="n">
        <f aca="false">G1299</f>
        <v>0</v>
      </c>
      <c r="AF1299" s="6" t="n">
        <f aca="false">H1299</f>
        <v>1</v>
      </c>
      <c r="AG1299" s="6" t="n">
        <f aca="false">I1299</f>
        <v>0</v>
      </c>
      <c r="AH1299" s="6" t="n">
        <f aca="false">L1299</f>
        <v>0</v>
      </c>
    </row>
    <row r="1300" customFormat="false" ht="15" hidden="false" customHeight="false" outlineLevel="0" collapsed="false">
      <c r="A1300" s="0" t="str">
        <f aca="false">'Raw Data'!C1300</f>
        <v>Woodland Hills</v>
      </c>
      <c r="B1300" s="5" t="n">
        <f aca="false">'Raw Data'!A1300</f>
        <v>40302</v>
      </c>
      <c r="C1300" s="6" t="n">
        <f aca="false">'Raw Data'!D1300</f>
        <v>246.842450305691</v>
      </c>
      <c r="D1300" s="6" t="n">
        <f aca="false">'Raw Data'!E1300</f>
        <v>4.734444444</v>
      </c>
      <c r="E1300" s="6" t="n">
        <f aca="false">'Raw Data'!F1300</f>
        <v>1</v>
      </c>
      <c r="F1300" s="6" t="n">
        <f aca="false">'Raw Data'!G1300</f>
        <v>0</v>
      </c>
      <c r="G1300" s="6" t="n">
        <f aca="false">'Raw Data'!H1300</f>
        <v>0</v>
      </c>
      <c r="H1300" s="6" t="n">
        <f aca="false">'Raw Data'!I1300</f>
        <v>1</v>
      </c>
      <c r="I1300" s="6" t="n">
        <f aca="false">'Raw Data'!J1300</f>
        <v>0</v>
      </c>
      <c r="J1300" s="6" t="n">
        <f aca="false">'Raw Data'!K1300</f>
        <v>1</v>
      </c>
      <c r="K1300" s="6" t="n">
        <f aca="false">'Raw Data'!L1300</f>
        <v>5</v>
      </c>
      <c r="L1300" s="6" t="n">
        <f aca="false">F1300*E1300</f>
        <v>0</v>
      </c>
      <c r="N1300" s="0" t="n">
        <v>1</v>
      </c>
      <c r="O1300" s="6" t="n">
        <f aca="false">D1300</f>
        <v>4.734444444</v>
      </c>
      <c r="P1300" s="6" t="n">
        <f aca="false">E1300</f>
        <v>1</v>
      </c>
      <c r="Q1300" s="6" t="n">
        <f aca="false">F1300</f>
        <v>0</v>
      </c>
      <c r="R1300" s="6" t="n">
        <f aca="false">G1300</f>
        <v>0</v>
      </c>
      <c r="S1300" s="6" t="n">
        <f aca="false">H1300</f>
        <v>1</v>
      </c>
      <c r="T1300" s="6" t="n">
        <f aca="false">I1300</f>
        <v>0</v>
      </c>
      <c r="U1300" s="6" t="n">
        <f aca="false">L1300</f>
        <v>0</v>
      </c>
      <c r="W1300" s="6" t="n">
        <f aca="false">D1300</f>
        <v>4.734444444</v>
      </c>
      <c r="X1300" s="6" t="n">
        <f aca="false">E1300</f>
        <v>1</v>
      </c>
      <c r="Y1300" s="6" t="n">
        <f aca="false">F1300</f>
        <v>0</v>
      </c>
      <c r="Z1300" s="6" t="n">
        <f aca="false">L1300</f>
        <v>0</v>
      </c>
      <c r="AA1300" s="6" t="n">
        <f aca="false">G1300</f>
        <v>0</v>
      </c>
      <c r="AC1300" s="6" t="n">
        <f aca="false">D1300</f>
        <v>4.734444444</v>
      </c>
      <c r="AD1300" s="6" t="n">
        <f aca="false">E1300</f>
        <v>1</v>
      </c>
      <c r="AE1300" s="6" t="n">
        <f aca="false">G1300</f>
        <v>0</v>
      </c>
      <c r="AF1300" s="6" t="n">
        <f aca="false">H1300</f>
        <v>1</v>
      </c>
      <c r="AG1300" s="6" t="n">
        <f aca="false">I1300</f>
        <v>0</v>
      </c>
      <c r="AH1300" s="6" t="n">
        <f aca="false">L1300</f>
        <v>0</v>
      </c>
    </row>
    <row r="1301" customFormat="false" ht="15" hidden="false" customHeight="false" outlineLevel="0" collapsed="false">
      <c r="A1301" s="0" t="str">
        <f aca="false">'Raw Data'!C1301</f>
        <v>Woodland Hills</v>
      </c>
      <c r="B1301" s="5" t="n">
        <f aca="false">'Raw Data'!A1301</f>
        <v>40309</v>
      </c>
      <c r="C1301" s="6" t="n">
        <f aca="false">'Raw Data'!D1301</f>
        <v>392.396703103651</v>
      </c>
      <c r="D1301" s="6" t="n">
        <f aca="false">'Raw Data'!E1301</f>
        <v>4.3</v>
      </c>
      <c r="E1301" s="6" t="n">
        <f aca="false">'Raw Data'!F1301</f>
        <v>1</v>
      </c>
      <c r="F1301" s="6" t="n">
        <f aca="false">'Raw Data'!G1301</f>
        <v>0</v>
      </c>
      <c r="G1301" s="6" t="n">
        <f aca="false">'Raw Data'!H1301</f>
        <v>0</v>
      </c>
      <c r="H1301" s="6" t="n">
        <f aca="false">'Raw Data'!I1301</f>
        <v>0</v>
      </c>
      <c r="I1301" s="6" t="n">
        <f aca="false">'Raw Data'!J1301</f>
        <v>1</v>
      </c>
      <c r="J1301" s="6" t="n">
        <f aca="false">'Raw Data'!K1301</f>
        <v>1</v>
      </c>
      <c r="K1301" s="6" t="n">
        <f aca="false">'Raw Data'!L1301</f>
        <v>5</v>
      </c>
      <c r="L1301" s="6" t="n">
        <f aca="false">F1301*E1301</f>
        <v>0</v>
      </c>
      <c r="N1301" s="0" t="n">
        <v>1</v>
      </c>
      <c r="O1301" s="6" t="n">
        <f aca="false">D1301</f>
        <v>4.3</v>
      </c>
      <c r="P1301" s="6" t="n">
        <f aca="false">E1301</f>
        <v>1</v>
      </c>
      <c r="Q1301" s="6" t="n">
        <f aca="false">F1301</f>
        <v>0</v>
      </c>
      <c r="R1301" s="6" t="n">
        <f aca="false">G1301</f>
        <v>0</v>
      </c>
      <c r="S1301" s="6" t="n">
        <f aca="false">H1301</f>
        <v>0</v>
      </c>
      <c r="T1301" s="6" t="n">
        <f aca="false">I1301</f>
        <v>1</v>
      </c>
      <c r="U1301" s="6" t="n">
        <f aca="false">L1301</f>
        <v>0</v>
      </c>
      <c r="W1301" s="6" t="n">
        <f aca="false">D1301</f>
        <v>4.3</v>
      </c>
      <c r="X1301" s="6" t="n">
        <f aca="false">E1301</f>
        <v>1</v>
      </c>
      <c r="Y1301" s="6" t="n">
        <f aca="false">F1301</f>
        <v>0</v>
      </c>
      <c r="Z1301" s="6" t="n">
        <f aca="false">L1301</f>
        <v>0</v>
      </c>
      <c r="AA1301" s="6" t="n">
        <f aca="false">G1301</f>
        <v>0</v>
      </c>
      <c r="AC1301" s="6" t="n">
        <f aca="false">D1301</f>
        <v>4.3</v>
      </c>
      <c r="AD1301" s="6" t="n">
        <f aca="false">E1301</f>
        <v>1</v>
      </c>
      <c r="AE1301" s="6" t="n">
        <f aca="false">G1301</f>
        <v>0</v>
      </c>
      <c r="AF1301" s="6" t="n">
        <f aca="false">H1301</f>
        <v>0</v>
      </c>
      <c r="AG1301" s="6" t="n">
        <f aca="false">I1301</f>
        <v>1</v>
      </c>
      <c r="AH1301" s="6" t="n">
        <f aca="false">L1301</f>
        <v>0</v>
      </c>
    </row>
    <row r="1302" customFormat="false" ht="15" hidden="false" customHeight="false" outlineLevel="0" collapsed="false">
      <c r="A1302" s="0" t="str">
        <f aca="false">'Raw Data'!C1302</f>
        <v>Woodland Hills</v>
      </c>
      <c r="B1302" s="5" t="n">
        <f aca="false">'Raw Data'!A1302</f>
        <v>40316</v>
      </c>
      <c r="C1302" s="6" t="n">
        <f aca="false">'Raw Data'!D1302</f>
        <v>312.248945949136</v>
      </c>
      <c r="D1302" s="6" t="n">
        <f aca="false">'Raw Data'!E1302</f>
        <v>3.953</v>
      </c>
      <c r="E1302" s="6" t="n">
        <f aca="false">'Raw Data'!F1302</f>
        <v>1</v>
      </c>
      <c r="F1302" s="6" t="n">
        <f aca="false">'Raw Data'!G1302</f>
        <v>0</v>
      </c>
      <c r="G1302" s="6" t="n">
        <f aca="false">'Raw Data'!H1302</f>
        <v>0</v>
      </c>
      <c r="H1302" s="6" t="n">
        <f aca="false">'Raw Data'!I1302</f>
        <v>0</v>
      </c>
      <c r="I1302" s="6" t="n">
        <f aca="false">'Raw Data'!J1302</f>
        <v>1</v>
      </c>
      <c r="J1302" s="6" t="n">
        <f aca="false">'Raw Data'!K1302</f>
        <v>1</v>
      </c>
      <c r="K1302" s="6" t="n">
        <f aca="false">'Raw Data'!L1302</f>
        <v>5</v>
      </c>
      <c r="L1302" s="6" t="n">
        <f aca="false">F1302*E1302</f>
        <v>0</v>
      </c>
      <c r="N1302" s="0" t="n">
        <v>1</v>
      </c>
      <c r="O1302" s="6" t="n">
        <f aca="false">D1302</f>
        <v>3.953</v>
      </c>
      <c r="P1302" s="6" t="n">
        <f aca="false">E1302</f>
        <v>1</v>
      </c>
      <c r="Q1302" s="6" t="n">
        <f aca="false">F1302</f>
        <v>0</v>
      </c>
      <c r="R1302" s="6" t="n">
        <f aca="false">G1302</f>
        <v>0</v>
      </c>
      <c r="S1302" s="6" t="n">
        <f aca="false">H1302</f>
        <v>0</v>
      </c>
      <c r="T1302" s="6" t="n">
        <f aca="false">I1302</f>
        <v>1</v>
      </c>
      <c r="U1302" s="6" t="n">
        <f aca="false">L1302</f>
        <v>0</v>
      </c>
      <c r="W1302" s="6" t="n">
        <f aca="false">D1302</f>
        <v>3.953</v>
      </c>
      <c r="X1302" s="6" t="n">
        <f aca="false">E1302</f>
        <v>1</v>
      </c>
      <c r="Y1302" s="6" t="n">
        <f aca="false">F1302</f>
        <v>0</v>
      </c>
      <c r="Z1302" s="6" t="n">
        <f aca="false">L1302</f>
        <v>0</v>
      </c>
      <c r="AA1302" s="6" t="n">
        <f aca="false">G1302</f>
        <v>0</v>
      </c>
      <c r="AC1302" s="6" t="n">
        <f aca="false">D1302</f>
        <v>3.953</v>
      </c>
      <c r="AD1302" s="6" t="n">
        <f aca="false">E1302</f>
        <v>1</v>
      </c>
      <c r="AE1302" s="6" t="n">
        <f aca="false">G1302</f>
        <v>0</v>
      </c>
      <c r="AF1302" s="6" t="n">
        <f aca="false">H1302</f>
        <v>0</v>
      </c>
      <c r="AG1302" s="6" t="n">
        <f aca="false">I1302</f>
        <v>1</v>
      </c>
      <c r="AH1302" s="6" t="n">
        <f aca="false">L1302</f>
        <v>0</v>
      </c>
    </row>
    <row r="1303" customFormat="false" ht="15" hidden="false" customHeight="false" outlineLevel="0" collapsed="false">
      <c r="A1303" s="0" t="str">
        <f aca="false">'Raw Data'!C1303</f>
        <v>Woodland Hills</v>
      </c>
      <c r="B1303" s="5" t="n">
        <f aca="false">'Raw Data'!A1303</f>
        <v>40323</v>
      </c>
      <c r="C1303" s="6" t="n">
        <f aca="false">'Raw Data'!D1303</f>
        <v>171.104436249284</v>
      </c>
      <c r="D1303" s="6" t="n">
        <f aca="false">'Raw Data'!E1303</f>
        <v>4.093333333</v>
      </c>
      <c r="E1303" s="6" t="n">
        <f aca="false">'Raw Data'!F1303</f>
        <v>1</v>
      </c>
      <c r="F1303" s="6" t="n">
        <f aca="false">'Raw Data'!G1303</f>
        <v>0</v>
      </c>
      <c r="G1303" s="6" t="n">
        <f aca="false">'Raw Data'!H1303</f>
        <v>0</v>
      </c>
      <c r="H1303" s="6" t="n">
        <f aca="false">'Raw Data'!I1303</f>
        <v>0</v>
      </c>
      <c r="I1303" s="6" t="n">
        <f aca="false">'Raw Data'!J1303</f>
        <v>0</v>
      </c>
      <c r="J1303" s="6" t="n">
        <f aca="false">'Raw Data'!K1303</f>
        <v>1</v>
      </c>
      <c r="K1303" s="6" t="n">
        <f aca="false">'Raw Data'!L1303</f>
        <v>5</v>
      </c>
      <c r="L1303" s="6" t="n">
        <f aca="false">F1303*E1303</f>
        <v>0</v>
      </c>
      <c r="N1303" s="0" t="n">
        <v>1</v>
      </c>
      <c r="O1303" s="6" t="n">
        <f aca="false">D1303</f>
        <v>4.093333333</v>
      </c>
      <c r="P1303" s="6" t="n">
        <f aca="false">E1303</f>
        <v>1</v>
      </c>
      <c r="Q1303" s="6" t="n">
        <f aca="false">F1303</f>
        <v>0</v>
      </c>
      <c r="R1303" s="6" t="n">
        <f aca="false">G1303</f>
        <v>0</v>
      </c>
      <c r="S1303" s="6" t="n">
        <f aca="false">H1303</f>
        <v>0</v>
      </c>
      <c r="T1303" s="6" t="n">
        <f aca="false">I1303</f>
        <v>0</v>
      </c>
      <c r="U1303" s="6" t="n">
        <f aca="false">L1303</f>
        <v>0</v>
      </c>
      <c r="W1303" s="6" t="n">
        <f aca="false">D1303</f>
        <v>4.093333333</v>
      </c>
      <c r="X1303" s="6" t="n">
        <f aca="false">E1303</f>
        <v>1</v>
      </c>
      <c r="Y1303" s="6" t="n">
        <f aca="false">F1303</f>
        <v>0</v>
      </c>
      <c r="Z1303" s="6" t="n">
        <f aca="false">L1303</f>
        <v>0</v>
      </c>
      <c r="AA1303" s="6" t="n">
        <f aca="false">G1303</f>
        <v>0</v>
      </c>
      <c r="AC1303" s="6" t="n">
        <f aca="false">D1303</f>
        <v>4.093333333</v>
      </c>
      <c r="AD1303" s="6" t="n">
        <f aca="false">E1303</f>
        <v>1</v>
      </c>
      <c r="AE1303" s="6" t="n">
        <f aca="false">G1303</f>
        <v>0</v>
      </c>
      <c r="AF1303" s="6" t="n">
        <f aca="false">H1303</f>
        <v>0</v>
      </c>
      <c r="AG1303" s="6" t="n">
        <f aca="false">I1303</f>
        <v>0</v>
      </c>
      <c r="AH1303" s="6" t="n">
        <f aca="false">L1303</f>
        <v>0</v>
      </c>
    </row>
    <row r="1304" customFormat="false" ht="15" hidden="false" customHeight="false" outlineLevel="0" collapsed="false">
      <c r="A1304" s="0" t="str">
        <f aca="false">'Raw Data'!C1304</f>
        <v>Woodland Hills</v>
      </c>
      <c r="B1304" s="5" t="n">
        <f aca="false">'Raw Data'!A1304</f>
        <v>40330</v>
      </c>
      <c r="C1304" s="6" t="n">
        <f aca="false">'Raw Data'!D1304</f>
        <v>250.181969302393</v>
      </c>
      <c r="D1304" s="6" t="n">
        <f aca="false">'Raw Data'!E1304</f>
        <v>4.26875</v>
      </c>
      <c r="E1304" s="6" t="n">
        <f aca="false">'Raw Data'!F1304</f>
        <v>1</v>
      </c>
      <c r="F1304" s="6" t="n">
        <f aca="false">'Raw Data'!G1304</f>
        <v>0</v>
      </c>
      <c r="G1304" s="6" t="n">
        <f aca="false">'Raw Data'!H1304</f>
        <v>0</v>
      </c>
      <c r="H1304" s="6" t="n">
        <f aca="false">'Raw Data'!I1304</f>
        <v>0</v>
      </c>
      <c r="I1304" s="6" t="n">
        <f aca="false">'Raw Data'!J1304</f>
        <v>0</v>
      </c>
      <c r="J1304" s="6" t="n">
        <f aca="false">'Raw Data'!K1304</f>
        <v>1</v>
      </c>
      <c r="K1304" s="6" t="n">
        <f aca="false">'Raw Data'!L1304</f>
        <v>5</v>
      </c>
      <c r="L1304" s="6" t="n">
        <f aca="false">F1304*E1304</f>
        <v>0</v>
      </c>
      <c r="N1304" s="0" t="n">
        <v>1</v>
      </c>
      <c r="O1304" s="6" t="n">
        <f aca="false">D1304</f>
        <v>4.26875</v>
      </c>
      <c r="P1304" s="6" t="n">
        <f aca="false">E1304</f>
        <v>1</v>
      </c>
      <c r="Q1304" s="6" t="n">
        <f aca="false">F1304</f>
        <v>0</v>
      </c>
      <c r="R1304" s="6" t="n">
        <f aca="false">G1304</f>
        <v>0</v>
      </c>
      <c r="S1304" s="6" t="n">
        <f aca="false">H1304</f>
        <v>0</v>
      </c>
      <c r="T1304" s="6" t="n">
        <f aca="false">I1304</f>
        <v>0</v>
      </c>
      <c r="U1304" s="6" t="n">
        <f aca="false">L1304</f>
        <v>0</v>
      </c>
      <c r="W1304" s="6" t="n">
        <f aca="false">D1304</f>
        <v>4.26875</v>
      </c>
      <c r="X1304" s="6" t="n">
        <f aca="false">E1304</f>
        <v>1</v>
      </c>
      <c r="Y1304" s="6" t="n">
        <f aca="false">F1304</f>
        <v>0</v>
      </c>
      <c r="Z1304" s="6" t="n">
        <f aca="false">L1304</f>
        <v>0</v>
      </c>
      <c r="AA1304" s="6" t="n">
        <f aca="false">G1304</f>
        <v>0</v>
      </c>
      <c r="AC1304" s="6" t="n">
        <f aca="false">D1304</f>
        <v>4.26875</v>
      </c>
      <c r="AD1304" s="6" t="n">
        <f aca="false">E1304</f>
        <v>1</v>
      </c>
      <c r="AE1304" s="6" t="n">
        <f aca="false">G1304</f>
        <v>0</v>
      </c>
      <c r="AF1304" s="6" t="n">
        <f aca="false">H1304</f>
        <v>0</v>
      </c>
      <c r="AG1304" s="6" t="n">
        <f aca="false">I1304</f>
        <v>0</v>
      </c>
      <c r="AH1304" s="6" t="n">
        <f aca="false">L1304</f>
        <v>0</v>
      </c>
    </row>
    <row r="1305" customFormat="false" ht="15" hidden="false" customHeight="false" outlineLevel="0" collapsed="false">
      <c r="A1305" s="0" t="str">
        <f aca="false">'Raw Data'!C1305</f>
        <v>Woodland Hills</v>
      </c>
      <c r="B1305" s="5" t="n">
        <f aca="false">'Raw Data'!A1305</f>
        <v>40337</v>
      </c>
      <c r="C1305" s="6" t="n">
        <f aca="false">'Raw Data'!D1305</f>
        <v>163.333482825611</v>
      </c>
      <c r="D1305" s="6" t="n">
        <f aca="false">'Raw Data'!E1305</f>
        <v>4.4</v>
      </c>
      <c r="E1305" s="6" t="n">
        <f aca="false">'Raw Data'!F1305</f>
        <v>1</v>
      </c>
      <c r="F1305" s="6" t="n">
        <f aca="false">'Raw Data'!G1305</f>
        <v>0</v>
      </c>
      <c r="G1305" s="6" t="n">
        <f aca="false">'Raw Data'!H1305</f>
        <v>0</v>
      </c>
      <c r="H1305" s="6" t="n">
        <f aca="false">'Raw Data'!I1305</f>
        <v>0</v>
      </c>
      <c r="I1305" s="6" t="n">
        <f aca="false">'Raw Data'!J1305</f>
        <v>0</v>
      </c>
      <c r="J1305" s="6" t="n">
        <f aca="false">'Raw Data'!K1305</f>
        <v>1</v>
      </c>
      <c r="K1305" s="6" t="n">
        <f aca="false">'Raw Data'!L1305</f>
        <v>5</v>
      </c>
      <c r="L1305" s="6" t="n">
        <f aca="false">F1305*E1305</f>
        <v>0</v>
      </c>
      <c r="N1305" s="0" t="n">
        <v>1</v>
      </c>
      <c r="O1305" s="6" t="n">
        <f aca="false">D1305</f>
        <v>4.4</v>
      </c>
      <c r="P1305" s="6" t="n">
        <f aca="false">E1305</f>
        <v>1</v>
      </c>
      <c r="Q1305" s="6" t="n">
        <f aca="false">F1305</f>
        <v>0</v>
      </c>
      <c r="R1305" s="6" t="n">
        <f aca="false">G1305</f>
        <v>0</v>
      </c>
      <c r="S1305" s="6" t="n">
        <f aca="false">H1305</f>
        <v>0</v>
      </c>
      <c r="T1305" s="6" t="n">
        <f aca="false">I1305</f>
        <v>0</v>
      </c>
      <c r="U1305" s="6" t="n">
        <f aca="false">L1305</f>
        <v>0</v>
      </c>
      <c r="W1305" s="6" t="n">
        <f aca="false">D1305</f>
        <v>4.4</v>
      </c>
      <c r="X1305" s="6" t="n">
        <f aca="false">E1305</f>
        <v>1</v>
      </c>
      <c r="Y1305" s="6" t="n">
        <f aca="false">F1305</f>
        <v>0</v>
      </c>
      <c r="Z1305" s="6" t="n">
        <f aca="false">L1305</f>
        <v>0</v>
      </c>
      <c r="AA1305" s="6" t="n">
        <f aca="false">G1305</f>
        <v>0</v>
      </c>
      <c r="AC1305" s="6" t="n">
        <f aca="false">D1305</f>
        <v>4.4</v>
      </c>
      <c r="AD1305" s="6" t="n">
        <f aca="false">E1305</f>
        <v>1</v>
      </c>
      <c r="AE1305" s="6" t="n">
        <f aca="false">G1305</f>
        <v>0</v>
      </c>
      <c r="AF1305" s="6" t="n">
        <f aca="false">H1305</f>
        <v>0</v>
      </c>
      <c r="AG1305" s="6" t="n">
        <f aca="false">I1305</f>
        <v>0</v>
      </c>
      <c r="AH1305" s="6" t="n">
        <f aca="false">L1305</f>
        <v>0</v>
      </c>
    </row>
    <row r="1306" customFormat="false" ht="15" hidden="false" customHeight="false" outlineLevel="0" collapsed="false">
      <c r="A1306" s="0" t="str">
        <f aca="false">'Raw Data'!C1306</f>
        <v>Woodland Hills</v>
      </c>
      <c r="B1306" s="5" t="n">
        <f aca="false">'Raw Data'!A1306</f>
        <v>40344</v>
      </c>
      <c r="C1306" s="6" t="n">
        <f aca="false">'Raw Data'!D1306</f>
        <v>332.512398343101</v>
      </c>
      <c r="D1306" s="6" t="n">
        <f aca="false">'Raw Data'!E1306</f>
        <v>4.767777778</v>
      </c>
      <c r="E1306" s="6" t="n">
        <f aca="false">'Raw Data'!F1306</f>
        <v>1</v>
      </c>
      <c r="F1306" s="6" t="n">
        <f aca="false">'Raw Data'!G1306</f>
        <v>0</v>
      </c>
      <c r="G1306" s="6" t="n">
        <f aca="false">'Raw Data'!H1306</f>
        <v>0</v>
      </c>
      <c r="H1306" s="6" t="n">
        <f aca="false">'Raw Data'!I1306</f>
        <v>0</v>
      </c>
      <c r="I1306" s="6" t="n">
        <f aca="false">'Raw Data'!J1306</f>
        <v>0</v>
      </c>
      <c r="J1306" s="6" t="n">
        <f aca="false">'Raw Data'!K1306</f>
        <v>1</v>
      </c>
      <c r="K1306" s="6" t="n">
        <f aca="false">'Raw Data'!L1306</f>
        <v>5</v>
      </c>
      <c r="L1306" s="6" t="n">
        <f aca="false">F1306*E1306</f>
        <v>0</v>
      </c>
      <c r="N1306" s="0" t="n">
        <v>1</v>
      </c>
      <c r="O1306" s="6" t="n">
        <f aca="false">D1306</f>
        <v>4.767777778</v>
      </c>
      <c r="P1306" s="6" t="n">
        <f aca="false">E1306</f>
        <v>1</v>
      </c>
      <c r="Q1306" s="6" t="n">
        <f aca="false">F1306</f>
        <v>0</v>
      </c>
      <c r="R1306" s="6" t="n">
        <f aca="false">G1306</f>
        <v>0</v>
      </c>
      <c r="S1306" s="6" t="n">
        <f aca="false">H1306</f>
        <v>0</v>
      </c>
      <c r="T1306" s="6" t="n">
        <f aca="false">I1306</f>
        <v>0</v>
      </c>
      <c r="U1306" s="6" t="n">
        <f aca="false">L1306</f>
        <v>0</v>
      </c>
      <c r="W1306" s="6" t="n">
        <f aca="false">D1306</f>
        <v>4.767777778</v>
      </c>
      <c r="X1306" s="6" t="n">
        <f aca="false">E1306</f>
        <v>1</v>
      </c>
      <c r="Y1306" s="6" t="n">
        <f aca="false">F1306</f>
        <v>0</v>
      </c>
      <c r="Z1306" s="6" t="n">
        <f aca="false">L1306</f>
        <v>0</v>
      </c>
      <c r="AA1306" s="6" t="n">
        <f aca="false">G1306</f>
        <v>0</v>
      </c>
      <c r="AC1306" s="6" t="n">
        <f aca="false">D1306</f>
        <v>4.767777778</v>
      </c>
      <c r="AD1306" s="6" t="n">
        <f aca="false">E1306</f>
        <v>1</v>
      </c>
      <c r="AE1306" s="6" t="n">
        <f aca="false">G1306</f>
        <v>0</v>
      </c>
      <c r="AF1306" s="6" t="n">
        <f aca="false">H1306</f>
        <v>0</v>
      </c>
      <c r="AG1306" s="6" t="n">
        <f aca="false">I1306</f>
        <v>0</v>
      </c>
      <c r="AH1306" s="6" t="n">
        <f aca="false">L1306</f>
        <v>0</v>
      </c>
    </row>
    <row r="1307" customFormat="false" ht="15" hidden="false" customHeight="false" outlineLevel="0" collapsed="false">
      <c r="A1307" s="0" t="str">
        <f aca="false">'Raw Data'!C1307</f>
        <v>Woodland Hills</v>
      </c>
      <c r="B1307" s="5" t="n">
        <f aca="false">'Raw Data'!A1307</f>
        <v>40351</v>
      </c>
      <c r="C1307" s="6" t="n">
        <f aca="false">'Raw Data'!D1307</f>
        <v>231.775468199284</v>
      </c>
      <c r="D1307" s="6" t="n">
        <f aca="false">'Raw Data'!E1307</f>
        <v>4.99</v>
      </c>
      <c r="E1307" s="6" t="n">
        <f aca="false">'Raw Data'!F1307</f>
        <v>1</v>
      </c>
      <c r="F1307" s="6" t="n">
        <f aca="false">'Raw Data'!G1307</f>
        <v>0</v>
      </c>
      <c r="G1307" s="6" t="n">
        <f aca="false">'Raw Data'!H1307</f>
        <v>0</v>
      </c>
      <c r="H1307" s="6" t="n">
        <f aca="false">'Raw Data'!I1307</f>
        <v>0</v>
      </c>
      <c r="I1307" s="6" t="n">
        <f aca="false">'Raw Data'!J1307</f>
        <v>0</v>
      </c>
      <c r="J1307" s="6" t="n">
        <f aca="false">'Raw Data'!K1307</f>
        <v>1</v>
      </c>
      <c r="K1307" s="6" t="n">
        <f aca="false">'Raw Data'!L1307</f>
        <v>5</v>
      </c>
      <c r="L1307" s="6" t="n">
        <f aca="false">F1307*E1307</f>
        <v>0</v>
      </c>
      <c r="N1307" s="0" t="n">
        <v>1</v>
      </c>
      <c r="O1307" s="6" t="n">
        <f aca="false">D1307</f>
        <v>4.99</v>
      </c>
      <c r="P1307" s="6" t="n">
        <f aca="false">E1307</f>
        <v>1</v>
      </c>
      <c r="Q1307" s="6" t="n">
        <f aca="false">F1307</f>
        <v>0</v>
      </c>
      <c r="R1307" s="6" t="n">
        <f aca="false">G1307</f>
        <v>0</v>
      </c>
      <c r="S1307" s="6" t="n">
        <f aca="false">H1307</f>
        <v>0</v>
      </c>
      <c r="T1307" s="6" t="n">
        <f aca="false">I1307</f>
        <v>0</v>
      </c>
      <c r="U1307" s="6" t="n">
        <f aca="false">L1307</f>
        <v>0</v>
      </c>
      <c r="W1307" s="6" t="n">
        <f aca="false">D1307</f>
        <v>4.99</v>
      </c>
      <c r="X1307" s="6" t="n">
        <f aca="false">E1307</f>
        <v>1</v>
      </c>
      <c r="Y1307" s="6" t="n">
        <f aca="false">F1307</f>
        <v>0</v>
      </c>
      <c r="Z1307" s="6" t="n">
        <f aca="false">L1307</f>
        <v>0</v>
      </c>
      <c r="AA1307" s="6" t="n">
        <f aca="false">G1307</f>
        <v>0</v>
      </c>
      <c r="AC1307" s="6" t="n">
        <f aca="false">D1307</f>
        <v>4.99</v>
      </c>
      <c r="AD1307" s="6" t="n">
        <f aca="false">E1307</f>
        <v>1</v>
      </c>
      <c r="AE1307" s="6" t="n">
        <f aca="false">G1307</f>
        <v>0</v>
      </c>
      <c r="AF1307" s="6" t="n">
        <f aca="false">H1307</f>
        <v>0</v>
      </c>
      <c r="AG1307" s="6" t="n">
        <f aca="false">I1307</f>
        <v>0</v>
      </c>
      <c r="AH1307" s="6" t="n">
        <f aca="false">L1307</f>
        <v>0</v>
      </c>
    </row>
    <row r="1308" customFormat="false" ht="15" hidden="false" customHeight="false" outlineLevel="0" collapsed="false">
      <c r="A1308" s="0" t="str">
        <f aca="false">'Raw Data'!C1308</f>
        <v>Woodland Hills</v>
      </c>
      <c r="B1308" s="5" t="n">
        <f aca="false">'Raw Data'!A1308</f>
        <v>40358</v>
      </c>
      <c r="C1308" s="6" t="n">
        <f aca="false">'Raw Data'!D1308</f>
        <v>316.407758617603</v>
      </c>
      <c r="D1308" s="6" t="n">
        <f aca="false">'Raw Data'!E1308</f>
        <v>5.156666667</v>
      </c>
      <c r="E1308" s="6" t="n">
        <f aca="false">'Raw Data'!F1308</f>
        <v>1</v>
      </c>
      <c r="F1308" s="6" t="n">
        <f aca="false">'Raw Data'!G1308</f>
        <v>0</v>
      </c>
      <c r="G1308" s="6" t="n">
        <f aca="false">'Raw Data'!H1308</f>
        <v>1</v>
      </c>
      <c r="H1308" s="6" t="n">
        <f aca="false">'Raw Data'!I1308</f>
        <v>0</v>
      </c>
      <c r="I1308" s="6" t="n">
        <f aca="false">'Raw Data'!J1308</f>
        <v>0</v>
      </c>
      <c r="J1308" s="6" t="n">
        <f aca="false">'Raw Data'!K1308</f>
        <v>1</v>
      </c>
      <c r="K1308" s="6" t="n">
        <f aca="false">'Raw Data'!L1308</f>
        <v>5</v>
      </c>
      <c r="L1308" s="6" t="n">
        <f aca="false">F1308*E1308</f>
        <v>0</v>
      </c>
      <c r="N1308" s="0" t="n">
        <v>1</v>
      </c>
      <c r="O1308" s="6" t="n">
        <f aca="false">D1308</f>
        <v>5.156666667</v>
      </c>
      <c r="P1308" s="6" t="n">
        <f aca="false">E1308</f>
        <v>1</v>
      </c>
      <c r="Q1308" s="6" t="n">
        <f aca="false">F1308</f>
        <v>0</v>
      </c>
      <c r="R1308" s="6" t="n">
        <f aca="false">G1308</f>
        <v>1</v>
      </c>
      <c r="S1308" s="6" t="n">
        <f aca="false">H1308</f>
        <v>0</v>
      </c>
      <c r="T1308" s="6" t="n">
        <f aca="false">I1308</f>
        <v>0</v>
      </c>
      <c r="U1308" s="6" t="n">
        <f aca="false">L1308</f>
        <v>0</v>
      </c>
      <c r="W1308" s="6" t="n">
        <f aca="false">D1308</f>
        <v>5.156666667</v>
      </c>
      <c r="X1308" s="6" t="n">
        <f aca="false">E1308</f>
        <v>1</v>
      </c>
      <c r="Y1308" s="6" t="n">
        <f aca="false">F1308</f>
        <v>0</v>
      </c>
      <c r="Z1308" s="6" t="n">
        <f aca="false">L1308</f>
        <v>0</v>
      </c>
      <c r="AA1308" s="6" t="n">
        <f aca="false">G1308</f>
        <v>1</v>
      </c>
      <c r="AC1308" s="6" t="n">
        <f aca="false">D1308</f>
        <v>5.156666667</v>
      </c>
      <c r="AD1308" s="6" t="n">
        <f aca="false">E1308</f>
        <v>1</v>
      </c>
      <c r="AE1308" s="6" t="n">
        <f aca="false">G1308</f>
        <v>1</v>
      </c>
      <c r="AF1308" s="6" t="n">
        <f aca="false">H1308</f>
        <v>0</v>
      </c>
      <c r="AG1308" s="6" t="n">
        <f aca="false">I1308</f>
        <v>0</v>
      </c>
      <c r="AH1308" s="6" t="n">
        <f aca="false">L1308</f>
        <v>0</v>
      </c>
    </row>
    <row r="1309" customFormat="false" ht="15" hidden="false" customHeight="false" outlineLevel="0" collapsed="false">
      <c r="A1309" s="0" t="str">
        <f aca="false">'Raw Data'!C1309</f>
        <v>Woodland Hills</v>
      </c>
      <c r="B1309" s="5" t="n">
        <f aca="false">'Raw Data'!A1309</f>
        <v>40365</v>
      </c>
      <c r="C1309" s="6" t="n">
        <f aca="false">'Raw Data'!D1309</f>
        <v>261.562925813078</v>
      </c>
      <c r="D1309" s="6" t="n">
        <f aca="false">'Raw Data'!E1309</f>
        <v>4.95</v>
      </c>
      <c r="E1309" s="6" t="n">
        <f aca="false">'Raw Data'!F1309</f>
        <v>1</v>
      </c>
      <c r="F1309" s="6" t="n">
        <f aca="false">'Raw Data'!G1309</f>
        <v>0</v>
      </c>
      <c r="G1309" s="6" t="n">
        <f aca="false">'Raw Data'!H1309</f>
        <v>0</v>
      </c>
      <c r="H1309" s="6" t="n">
        <f aca="false">'Raw Data'!I1309</f>
        <v>1</v>
      </c>
      <c r="I1309" s="6" t="n">
        <f aca="false">'Raw Data'!J1309</f>
        <v>0</v>
      </c>
      <c r="J1309" s="6" t="n">
        <f aca="false">'Raw Data'!K1309</f>
        <v>1</v>
      </c>
      <c r="K1309" s="6" t="n">
        <f aca="false">'Raw Data'!L1309</f>
        <v>5</v>
      </c>
      <c r="L1309" s="6" t="n">
        <f aca="false">F1309*E1309</f>
        <v>0</v>
      </c>
      <c r="N1309" s="0" t="n">
        <v>1</v>
      </c>
      <c r="O1309" s="6" t="n">
        <f aca="false">D1309</f>
        <v>4.95</v>
      </c>
      <c r="P1309" s="6" t="n">
        <f aca="false">E1309</f>
        <v>1</v>
      </c>
      <c r="Q1309" s="6" t="n">
        <f aca="false">F1309</f>
        <v>0</v>
      </c>
      <c r="R1309" s="6" t="n">
        <f aca="false">G1309</f>
        <v>0</v>
      </c>
      <c r="S1309" s="6" t="n">
        <f aca="false">H1309</f>
        <v>1</v>
      </c>
      <c r="T1309" s="6" t="n">
        <f aca="false">I1309</f>
        <v>0</v>
      </c>
      <c r="U1309" s="6" t="n">
        <f aca="false">L1309</f>
        <v>0</v>
      </c>
      <c r="W1309" s="6" t="n">
        <f aca="false">D1309</f>
        <v>4.95</v>
      </c>
      <c r="X1309" s="6" t="n">
        <f aca="false">E1309</f>
        <v>1</v>
      </c>
      <c r="Y1309" s="6" t="n">
        <f aca="false">F1309</f>
        <v>0</v>
      </c>
      <c r="Z1309" s="6" t="n">
        <f aca="false">L1309</f>
        <v>0</v>
      </c>
      <c r="AA1309" s="6" t="n">
        <f aca="false">G1309</f>
        <v>0</v>
      </c>
      <c r="AC1309" s="6" t="n">
        <f aca="false">D1309</f>
        <v>4.95</v>
      </c>
      <c r="AD1309" s="6" t="n">
        <f aca="false">E1309</f>
        <v>1</v>
      </c>
      <c r="AE1309" s="6" t="n">
        <f aca="false">G1309</f>
        <v>0</v>
      </c>
      <c r="AF1309" s="6" t="n">
        <f aca="false">H1309</f>
        <v>1</v>
      </c>
      <c r="AG1309" s="6" t="n">
        <f aca="false">I1309</f>
        <v>0</v>
      </c>
      <c r="AH1309" s="6" t="n">
        <f aca="false">L1309</f>
        <v>0</v>
      </c>
    </row>
    <row r="1310" customFormat="false" ht="15" hidden="false" customHeight="false" outlineLevel="0" collapsed="false">
      <c r="A1310" s="0" t="str">
        <f aca="false">'Raw Data'!C1310</f>
        <v>Woodland Hills</v>
      </c>
      <c r="B1310" s="5" t="n">
        <f aca="false">'Raw Data'!A1310</f>
        <v>40372</v>
      </c>
      <c r="C1310" s="6" t="n">
        <f aca="false">'Raw Data'!D1310</f>
        <v>324.381047185873</v>
      </c>
      <c r="D1310" s="6" t="n">
        <f aca="false">'Raw Data'!E1310</f>
        <v>4.95</v>
      </c>
      <c r="E1310" s="6" t="n">
        <f aca="false">'Raw Data'!F1310</f>
        <v>1</v>
      </c>
      <c r="F1310" s="6" t="n">
        <f aca="false">'Raw Data'!G1310</f>
        <v>0</v>
      </c>
      <c r="G1310" s="6" t="n">
        <f aca="false">'Raw Data'!H1310</f>
        <v>0</v>
      </c>
      <c r="H1310" s="6" t="n">
        <f aca="false">'Raw Data'!I1310</f>
        <v>1</v>
      </c>
      <c r="I1310" s="6" t="n">
        <f aca="false">'Raw Data'!J1310</f>
        <v>0</v>
      </c>
      <c r="J1310" s="6" t="n">
        <f aca="false">'Raw Data'!K1310</f>
        <v>1</v>
      </c>
      <c r="K1310" s="6" t="n">
        <f aca="false">'Raw Data'!L1310</f>
        <v>5</v>
      </c>
      <c r="L1310" s="6" t="n">
        <f aca="false">F1310*E1310</f>
        <v>0</v>
      </c>
      <c r="N1310" s="0" t="n">
        <v>1</v>
      </c>
      <c r="O1310" s="6" t="n">
        <f aca="false">D1310</f>
        <v>4.95</v>
      </c>
      <c r="P1310" s="6" t="n">
        <f aca="false">E1310</f>
        <v>1</v>
      </c>
      <c r="Q1310" s="6" t="n">
        <f aca="false">F1310</f>
        <v>0</v>
      </c>
      <c r="R1310" s="6" t="n">
        <f aca="false">G1310</f>
        <v>0</v>
      </c>
      <c r="S1310" s="6" t="n">
        <f aca="false">H1310</f>
        <v>1</v>
      </c>
      <c r="T1310" s="6" t="n">
        <f aca="false">I1310</f>
        <v>0</v>
      </c>
      <c r="U1310" s="6" t="n">
        <f aca="false">L1310</f>
        <v>0</v>
      </c>
      <c r="W1310" s="6" t="n">
        <f aca="false">D1310</f>
        <v>4.95</v>
      </c>
      <c r="X1310" s="6" t="n">
        <f aca="false">E1310</f>
        <v>1</v>
      </c>
      <c r="Y1310" s="6" t="n">
        <f aca="false">F1310</f>
        <v>0</v>
      </c>
      <c r="Z1310" s="6" t="n">
        <f aca="false">L1310</f>
        <v>0</v>
      </c>
      <c r="AA1310" s="6" t="n">
        <f aca="false">G1310</f>
        <v>0</v>
      </c>
      <c r="AC1310" s="6" t="n">
        <f aca="false">D1310</f>
        <v>4.95</v>
      </c>
      <c r="AD1310" s="6" t="n">
        <f aca="false">E1310</f>
        <v>1</v>
      </c>
      <c r="AE1310" s="6" t="n">
        <f aca="false">G1310</f>
        <v>0</v>
      </c>
      <c r="AF1310" s="6" t="n">
        <f aca="false">H1310</f>
        <v>1</v>
      </c>
      <c r="AG1310" s="6" t="n">
        <f aca="false">I1310</f>
        <v>0</v>
      </c>
      <c r="AH1310" s="6" t="n">
        <f aca="false">L1310</f>
        <v>0</v>
      </c>
    </row>
    <row r="1311" customFormat="false" ht="15" hidden="false" customHeight="false" outlineLevel="0" collapsed="false">
      <c r="A1311" s="0" t="str">
        <f aca="false">'Raw Data'!C1311</f>
        <v>Alamo Quarry</v>
      </c>
      <c r="B1311" s="5" t="n">
        <f aca="false">'Raw Data'!A1311</f>
        <v>40302</v>
      </c>
      <c r="C1311" s="6" t="n">
        <f aca="false">'Raw Data'!D1311</f>
        <v>186.94634432042</v>
      </c>
      <c r="D1311" s="6" t="n">
        <f aca="false">'Raw Data'!E1311</f>
        <v>4.39</v>
      </c>
      <c r="E1311" s="6" t="n">
        <f aca="false">'Raw Data'!F1311</f>
        <v>0</v>
      </c>
      <c r="F1311" s="6" t="n">
        <f aca="false">'Raw Data'!G1311</f>
        <v>0</v>
      </c>
      <c r="G1311" s="6" t="n">
        <f aca="false">'Raw Data'!H1311</f>
        <v>0</v>
      </c>
      <c r="H1311" s="6" t="n">
        <f aca="false">'Raw Data'!I1311</f>
        <v>0</v>
      </c>
      <c r="I1311" s="6" t="n">
        <f aca="false">'Raw Data'!J1311</f>
        <v>0</v>
      </c>
      <c r="J1311" s="6" t="n">
        <f aca="false">'Raw Data'!K1311</f>
        <v>0</v>
      </c>
      <c r="K1311" s="6" t="n">
        <f aca="false">'Raw Data'!L1311</f>
        <v>4</v>
      </c>
      <c r="L1311" s="6" t="n">
        <f aca="false">F1311*E1311</f>
        <v>0</v>
      </c>
      <c r="N1311" s="0" t="n">
        <v>1</v>
      </c>
      <c r="O1311" s="6" t="n">
        <f aca="false">D1311</f>
        <v>4.39</v>
      </c>
      <c r="P1311" s="6" t="n">
        <f aca="false">E1311</f>
        <v>0</v>
      </c>
      <c r="Q1311" s="6" t="n">
        <f aca="false">F1311</f>
        <v>0</v>
      </c>
      <c r="R1311" s="6" t="n">
        <f aca="false">G1311</f>
        <v>0</v>
      </c>
      <c r="S1311" s="6" t="n">
        <f aca="false">H1311</f>
        <v>0</v>
      </c>
      <c r="T1311" s="6" t="n">
        <f aca="false">I1311</f>
        <v>0</v>
      </c>
      <c r="U1311" s="6" t="n">
        <f aca="false">L1311</f>
        <v>0</v>
      </c>
      <c r="W1311" s="6" t="n">
        <f aca="false">D1311</f>
        <v>4.39</v>
      </c>
      <c r="X1311" s="6" t="n">
        <f aca="false">E1311</f>
        <v>0</v>
      </c>
      <c r="Y1311" s="6" t="n">
        <f aca="false">F1311</f>
        <v>0</v>
      </c>
      <c r="Z1311" s="6" t="n">
        <f aca="false">L1311</f>
        <v>0</v>
      </c>
      <c r="AA1311" s="6" t="n">
        <f aca="false">G1311</f>
        <v>0</v>
      </c>
      <c r="AC1311" s="6" t="n">
        <f aca="false">D1311</f>
        <v>4.39</v>
      </c>
      <c r="AD1311" s="6" t="n">
        <f aca="false">E1311</f>
        <v>0</v>
      </c>
      <c r="AE1311" s="6" t="n">
        <f aca="false">G1311</f>
        <v>0</v>
      </c>
      <c r="AF1311" s="6" t="n">
        <f aca="false">H1311</f>
        <v>0</v>
      </c>
      <c r="AG1311" s="6" t="n">
        <f aca="false">I1311</f>
        <v>0</v>
      </c>
      <c r="AH1311" s="6" t="n">
        <f aca="false">L1311</f>
        <v>0</v>
      </c>
    </row>
    <row r="1312" customFormat="false" ht="15" hidden="false" customHeight="false" outlineLevel="0" collapsed="false">
      <c r="A1312" s="0" t="str">
        <f aca="false">'Raw Data'!C1312</f>
        <v>Alamo Quarry</v>
      </c>
      <c r="B1312" s="5" t="n">
        <f aca="false">'Raw Data'!A1312</f>
        <v>40309</v>
      </c>
      <c r="C1312" s="6" t="n">
        <f aca="false">'Raw Data'!D1312</f>
        <v>179.850245991679</v>
      </c>
      <c r="D1312" s="6" t="n">
        <f aca="false">'Raw Data'!E1312</f>
        <v>4.39</v>
      </c>
      <c r="E1312" s="6" t="n">
        <f aca="false">'Raw Data'!F1312</f>
        <v>0</v>
      </c>
      <c r="F1312" s="6" t="n">
        <f aca="false">'Raw Data'!G1312</f>
        <v>0</v>
      </c>
      <c r="G1312" s="6" t="n">
        <f aca="false">'Raw Data'!H1312</f>
        <v>0</v>
      </c>
      <c r="H1312" s="6" t="n">
        <f aca="false">'Raw Data'!I1312</f>
        <v>0</v>
      </c>
      <c r="I1312" s="6" t="n">
        <f aca="false">'Raw Data'!J1312</f>
        <v>0</v>
      </c>
      <c r="J1312" s="6" t="n">
        <f aca="false">'Raw Data'!K1312</f>
        <v>0</v>
      </c>
      <c r="K1312" s="6" t="n">
        <f aca="false">'Raw Data'!L1312</f>
        <v>4</v>
      </c>
      <c r="L1312" s="6" t="n">
        <f aca="false">F1312*E1312</f>
        <v>0</v>
      </c>
      <c r="N1312" s="0" t="n">
        <v>1</v>
      </c>
      <c r="O1312" s="6" t="n">
        <f aca="false">D1312</f>
        <v>4.39</v>
      </c>
      <c r="P1312" s="6" t="n">
        <f aca="false">E1312</f>
        <v>0</v>
      </c>
      <c r="Q1312" s="6" t="n">
        <f aca="false">F1312</f>
        <v>0</v>
      </c>
      <c r="R1312" s="6" t="n">
        <f aca="false">G1312</f>
        <v>0</v>
      </c>
      <c r="S1312" s="6" t="n">
        <f aca="false">H1312</f>
        <v>0</v>
      </c>
      <c r="T1312" s="6" t="n">
        <f aca="false">I1312</f>
        <v>0</v>
      </c>
      <c r="U1312" s="6" t="n">
        <f aca="false">L1312</f>
        <v>0</v>
      </c>
      <c r="W1312" s="6" t="n">
        <f aca="false">D1312</f>
        <v>4.39</v>
      </c>
      <c r="X1312" s="6" t="n">
        <f aca="false">E1312</f>
        <v>0</v>
      </c>
      <c r="Y1312" s="6" t="n">
        <f aca="false">F1312</f>
        <v>0</v>
      </c>
      <c r="Z1312" s="6" t="n">
        <f aca="false">L1312</f>
        <v>0</v>
      </c>
      <c r="AA1312" s="6" t="n">
        <f aca="false">G1312</f>
        <v>0</v>
      </c>
      <c r="AC1312" s="6" t="n">
        <f aca="false">D1312</f>
        <v>4.39</v>
      </c>
      <c r="AD1312" s="6" t="n">
        <f aca="false">E1312</f>
        <v>0</v>
      </c>
      <c r="AE1312" s="6" t="n">
        <f aca="false">G1312</f>
        <v>0</v>
      </c>
      <c r="AF1312" s="6" t="n">
        <f aca="false">H1312</f>
        <v>0</v>
      </c>
      <c r="AG1312" s="6" t="n">
        <f aca="false">I1312</f>
        <v>0</v>
      </c>
      <c r="AH1312" s="6" t="n">
        <f aca="false">L1312</f>
        <v>0</v>
      </c>
    </row>
    <row r="1313" customFormat="false" ht="15" hidden="false" customHeight="false" outlineLevel="0" collapsed="false">
      <c r="A1313" s="0" t="str">
        <f aca="false">'Raw Data'!C1313</f>
        <v>Alamo Quarry</v>
      </c>
      <c r="B1313" s="5" t="n">
        <f aca="false">'Raw Data'!A1313</f>
        <v>40316</v>
      </c>
      <c r="C1313" s="6" t="n">
        <f aca="false">'Raw Data'!D1313</f>
        <v>133.853047235151</v>
      </c>
      <c r="D1313" s="6" t="n">
        <f aca="false">'Raw Data'!E1313</f>
        <v>3.84</v>
      </c>
      <c r="E1313" s="6" t="n">
        <f aca="false">'Raw Data'!F1313</f>
        <v>0</v>
      </c>
      <c r="F1313" s="6" t="n">
        <f aca="false">'Raw Data'!G1313</f>
        <v>0</v>
      </c>
      <c r="G1313" s="6" t="n">
        <f aca="false">'Raw Data'!H1313</f>
        <v>0</v>
      </c>
      <c r="H1313" s="6" t="n">
        <f aca="false">'Raw Data'!I1313</f>
        <v>0</v>
      </c>
      <c r="I1313" s="6" t="n">
        <f aca="false">'Raw Data'!J1313</f>
        <v>0</v>
      </c>
      <c r="J1313" s="6" t="n">
        <f aca="false">'Raw Data'!K1313</f>
        <v>0</v>
      </c>
      <c r="K1313" s="6" t="n">
        <f aca="false">'Raw Data'!L1313</f>
        <v>4</v>
      </c>
      <c r="L1313" s="6" t="n">
        <f aca="false">F1313*E1313</f>
        <v>0</v>
      </c>
      <c r="N1313" s="0" t="n">
        <v>1</v>
      </c>
      <c r="O1313" s="6" t="n">
        <f aca="false">D1313</f>
        <v>3.84</v>
      </c>
      <c r="P1313" s="6" t="n">
        <f aca="false">E1313</f>
        <v>0</v>
      </c>
      <c r="Q1313" s="6" t="n">
        <f aca="false">F1313</f>
        <v>0</v>
      </c>
      <c r="R1313" s="6" t="n">
        <f aca="false">G1313</f>
        <v>0</v>
      </c>
      <c r="S1313" s="6" t="n">
        <f aca="false">H1313</f>
        <v>0</v>
      </c>
      <c r="T1313" s="6" t="n">
        <f aca="false">I1313</f>
        <v>0</v>
      </c>
      <c r="U1313" s="6" t="n">
        <f aca="false">L1313</f>
        <v>0</v>
      </c>
      <c r="W1313" s="6" t="n">
        <f aca="false">D1313</f>
        <v>3.84</v>
      </c>
      <c r="X1313" s="6" t="n">
        <f aca="false">E1313</f>
        <v>0</v>
      </c>
      <c r="Y1313" s="6" t="n">
        <f aca="false">F1313</f>
        <v>0</v>
      </c>
      <c r="Z1313" s="6" t="n">
        <f aca="false">L1313</f>
        <v>0</v>
      </c>
      <c r="AA1313" s="6" t="n">
        <f aca="false">G1313</f>
        <v>0</v>
      </c>
      <c r="AC1313" s="6" t="n">
        <f aca="false">D1313</f>
        <v>3.84</v>
      </c>
      <c r="AD1313" s="6" t="n">
        <f aca="false">E1313</f>
        <v>0</v>
      </c>
      <c r="AE1313" s="6" t="n">
        <f aca="false">G1313</f>
        <v>0</v>
      </c>
      <c r="AF1313" s="6" t="n">
        <f aca="false">H1313</f>
        <v>0</v>
      </c>
      <c r="AG1313" s="6" t="n">
        <f aca="false">I1313</f>
        <v>0</v>
      </c>
      <c r="AH1313" s="6" t="n">
        <f aca="false">L1313</f>
        <v>0</v>
      </c>
    </row>
    <row r="1314" customFormat="false" ht="15" hidden="false" customHeight="false" outlineLevel="0" collapsed="false">
      <c r="A1314" s="0" t="str">
        <f aca="false">'Raw Data'!C1314</f>
        <v>Alamo Quarry</v>
      </c>
      <c r="B1314" s="5" t="n">
        <f aca="false">'Raw Data'!A1314</f>
        <v>40323</v>
      </c>
      <c r="C1314" s="6" t="n">
        <f aca="false">'Raw Data'!D1314</f>
        <v>202.418789469493</v>
      </c>
      <c r="D1314" s="6" t="n">
        <f aca="false">'Raw Data'!E1314</f>
        <v>3.751538462</v>
      </c>
      <c r="E1314" s="6" t="n">
        <f aca="false">'Raw Data'!F1314</f>
        <v>0</v>
      </c>
      <c r="F1314" s="6" t="n">
        <f aca="false">'Raw Data'!G1314</f>
        <v>0</v>
      </c>
      <c r="G1314" s="6" t="n">
        <f aca="false">'Raw Data'!H1314</f>
        <v>0</v>
      </c>
      <c r="H1314" s="6" t="n">
        <f aca="false">'Raw Data'!I1314</f>
        <v>0</v>
      </c>
      <c r="I1314" s="6" t="n">
        <f aca="false">'Raw Data'!J1314</f>
        <v>0</v>
      </c>
      <c r="J1314" s="6" t="n">
        <f aca="false">'Raw Data'!K1314</f>
        <v>0</v>
      </c>
      <c r="K1314" s="6" t="n">
        <f aca="false">'Raw Data'!L1314</f>
        <v>4</v>
      </c>
      <c r="L1314" s="6" t="n">
        <f aca="false">F1314*E1314</f>
        <v>0</v>
      </c>
      <c r="N1314" s="0" t="n">
        <v>1</v>
      </c>
      <c r="O1314" s="6" t="n">
        <f aca="false">D1314</f>
        <v>3.751538462</v>
      </c>
      <c r="P1314" s="6" t="n">
        <f aca="false">E1314</f>
        <v>0</v>
      </c>
      <c r="Q1314" s="6" t="n">
        <f aca="false">F1314</f>
        <v>0</v>
      </c>
      <c r="R1314" s="6" t="n">
        <f aca="false">G1314</f>
        <v>0</v>
      </c>
      <c r="S1314" s="6" t="n">
        <f aca="false">H1314</f>
        <v>0</v>
      </c>
      <c r="T1314" s="6" t="n">
        <f aca="false">I1314</f>
        <v>0</v>
      </c>
      <c r="U1314" s="6" t="n">
        <f aca="false">L1314</f>
        <v>0</v>
      </c>
      <c r="W1314" s="6" t="n">
        <f aca="false">D1314</f>
        <v>3.751538462</v>
      </c>
      <c r="X1314" s="6" t="n">
        <f aca="false">E1314</f>
        <v>0</v>
      </c>
      <c r="Y1314" s="6" t="n">
        <f aca="false">F1314</f>
        <v>0</v>
      </c>
      <c r="Z1314" s="6" t="n">
        <f aca="false">L1314</f>
        <v>0</v>
      </c>
      <c r="AA1314" s="6" t="n">
        <f aca="false">G1314</f>
        <v>0</v>
      </c>
      <c r="AC1314" s="6" t="n">
        <f aca="false">D1314</f>
        <v>3.751538462</v>
      </c>
      <c r="AD1314" s="6" t="n">
        <f aca="false">E1314</f>
        <v>0</v>
      </c>
      <c r="AE1314" s="6" t="n">
        <f aca="false">G1314</f>
        <v>0</v>
      </c>
      <c r="AF1314" s="6" t="n">
        <f aca="false">H1314</f>
        <v>0</v>
      </c>
      <c r="AG1314" s="6" t="n">
        <f aca="false">I1314</f>
        <v>0</v>
      </c>
      <c r="AH1314" s="6" t="n">
        <f aca="false">L1314</f>
        <v>0</v>
      </c>
    </row>
    <row r="1315" customFormat="false" ht="15" hidden="false" customHeight="false" outlineLevel="0" collapsed="false">
      <c r="A1315" s="0" t="str">
        <f aca="false">'Raw Data'!C1315</f>
        <v>Alamo Quarry</v>
      </c>
      <c r="B1315" s="5" t="n">
        <f aca="false">'Raw Data'!A1315</f>
        <v>40330</v>
      </c>
      <c r="C1315" s="6" t="n">
        <f aca="false">'Raw Data'!D1315</f>
        <v>235.23401257871</v>
      </c>
      <c r="D1315" s="6" t="n">
        <f aca="false">'Raw Data'!E1315</f>
        <v>3.675714286</v>
      </c>
      <c r="E1315" s="6" t="n">
        <f aca="false">'Raw Data'!F1315</f>
        <v>0</v>
      </c>
      <c r="F1315" s="6" t="n">
        <f aca="false">'Raw Data'!G1315</f>
        <v>0</v>
      </c>
      <c r="G1315" s="6" t="n">
        <f aca="false">'Raw Data'!H1315</f>
        <v>0</v>
      </c>
      <c r="H1315" s="6" t="n">
        <f aca="false">'Raw Data'!I1315</f>
        <v>0</v>
      </c>
      <c r="I1315" s="6" t="n">
        <f aca="false">'Raw Data'!J1315</f>
        <v>0</v>
      </c>
      <c r="J1315" s="6" t="n">
        <f aca="false">'Raw Data'!K1315</f>
        <v>0</v>
      </c>
      <c r="K1315" s="6" t="n">
        <f aca="false">'Raw Data'!L1315</f>
        <v>4</v>
      </c>
      <c r="L1315" s="6" t="n">
        <f aca="false">F1315*E1315</f>
        <v>0</v>
      </c>
      <c r="N1315" s="0" t="n">
        <v>1</v>
      </c>
      <c r="O1315" s="6" t="n">
        <f aca="false">D1315</f>
        <v>3.675714286</v>
      </c>
      <c r="P1315" s="6" t="n">
        <f aca="false">E1315</f>
        <v>0</v>
      </c>
      <c r="Q1315" s="6" t="n">
        <f aca="false">F1315</f>
        <v>0</v>
      </c>
      <c r="R1315" s="6" t="n">
        <f aca="false">G1315</f>
        <v>0</v>
      </c>
      <c r="S1315" s="6" t="n">
        <f aca="false">H1315</f>
        <v>0</v>
      </c>
      <c r="T1315" s="6" t="n">
        <f aca="false">I1315</f>
        <v>0</v>
      </c>
      <c r="U1315" s="6" t="n">
        <f aca="false">L1315</f>
        <v>0</v>
      </c>
      <c r="W1315" s="6" t="n">
        <f aca="false">D1315</f>
        <v>3.675714286</v>
      </c>
      <c r="X1315" s="6" t="n">
        <f aca="false">E1315</f>
        <v>0</v>
      </c>
      <c r="Y1315" s="6" t="n">
        <f aca="false">F1315</f>
        <v>0</v>
      </c>
      <c r="Z1315" s="6" t="n">
        <f aca="false">L1315</f>
        <v>0</v>
      </c>
      <c r="AA1315" s="6" t="n">
        <f aca="false">G1315</f>
        <v>0</v>
      </c>
      <c r="AC1315" s="6" t="n">
        <f aca="false">D1315</f>
        <v>3.675714286</v>
      </c>
      <c r="AD1315" s="6" t="n">
        <f aca="false">E1315</f>
        <v>0</v>
      </c>
      <c r="AE1315" s="6" t="n">
        <f aca="false">G1315</f>
        <v>0</v>
      </c>
      <c r="AF1315" s="6" t="n">
        <f aca="false">H1315</f>
        <v>0</v>
      </c>
      <c r="AG1315" s="6" t="n">
        <f aca="false">I1315</f>
        <v>0</v>
      </c>
      <c r="AH1315" s="6" t="n">
        <f aca="false">L1315</f>
        <v>0</v>
      </c>
    </row>
    <row r="1316" customFormat="false" ht="15" hidden="false" customHeight="false" outlineLevel="0" collapsed="false">
      <c r="A1316" s="0" t="str">
        <f aca="false">'Raw Data'!C1316</f>
        <v>Alamo Quarry</v>
      </c>
      <c r="B1316" s="5" t="n">
        <f aca="false">'Raw Data'!A1316</f>
        <v>40337</v>
      </c>
      <c r="C1316" s="6" t="n">
        <f aca="false">'Raw Data'!D1316</f>
        <v>145.638057140129</v>
      </c>
      <c r="D1316" s="6" t="n">
        <f aca="false">'Raw Data'!E1316</f>
        <v>4.804285714</v>
      </c>
      <c r="E1316" s="6" t="n">
        <f aca="false">'Raw Data'!F1316</f>
        <v>0</v>
      </c>
      <c r="F1316" s="6" t="n">
        <f aca="false">'Raw Data'!G1316</f>
        <v>0</v>
      </c>
      <c r="G1316" s="6" t="n">
        <f aca="false">'Raw Data'!H1316</f>
        <v>0</v>
      </c>
      <c r="H1316" s="6" t="n">
        <f aca="false">'Raw Data'!I1316</f>
        <v>0</v>
      </c>
      <c r="I1316" s="6" t="n">
        <f aca="false">'Raw Data'!J1316</f>
        <v>0</v>
      </c>
      <c r="J1316" s="6" t="n">
        <f aca="false">'Raw Data'!K1316</f>
        <v>0</v>
      </c>
      <c r="K1316" s="6" t="n">
        <f aca="false">'Raw Data'!L1316</f>
        <v>4</v>
      </c>
      <c r="L1316" s="6" t="n">
        <f aca="false">F1316*E1316</f>
        <v>0</v>
      </c>
      <c r="N1316" s="0" t="n">
        <v>1</v>
      </c>
      <c r="O1316" s="6" t="n">
        <f aca="false">D1316</f>
        <v>4.804285714</v>
      </c>
      <c r="P1316" s="6" t="n">
        <f aca="false">E1316</f>
        <v>0</v>
      </c>
      <c r="Q1316" s="6" t="n">
        <f aca="false">F1316</f>
        <v>0</v>
      </c>
      <c r="R1316" s="6" t="n">
        <f aca="false">G1316</f>
        <v>0</v>
      </c>
      <c r="S1316" s="6" t="n">
        <f aca="false">H1316</f>
        <v>0</v>
      </c>
      <c r="T1316" s="6" t="n">
        <f aca="false">I1316</f>
        <v>0</v>
      </c>
      <c r="U1316" s="6" t="n">
        <f aca="false">L1316</f>
        <v>0</v>
      </c>
      <c r="W1316" s="6" t="n">
        <f aca="false">D1316</f>
        <v>4.804285714</v>
      </c>
      <c r="X1316" s="6" t="n">
        <f aca="false">E1316</f>
        <v>0</v>
      </c>
      <c r="Y1316" s="6" t="n">
        <f aca="false">F1316</f>
        <v>0</v>
      </c>
      <c r="Z1316" s="6" t="n">
        <f aca="false">L1316</f>
        <v>0</v>
      </c>
      <c r="AA1316" s="6" t="n">
        <f aca="false">G1316</f>
        <v>0</v>
      </c>
      <c r="AC1316" s="6" t="n">
        <f aca="false">D1316</f>
        <v>4.804285714</v>
      </c>
      <c r="AD1316" s="6" t="n">
        <f aca="false">E1316</f>
        <v>0</v>
      </c>
      <c r="AE1316" s="6" t="n">
        <f aca="false">G1316</f>
        <v>0</v>
      </c>
      <c r="AF1316" s="6" t="n">
        <f aca="false">H1316</f>
        <v>0</v>
      </c>
      <c r="AG1316" s="6" t="n">
        <f aca="false">I1316</f>
        <v>0</v>
      </c>
      <c r="AH1316" s="6" t="n">
        <f aca="false">L1316</f>
        <v>0</v>
      </c>
    </row>
    <row r="1317" customFormat="false" ht="15" hidden="false" customHeight="false" outlineLevel="0" collapsed="false">
      <c r="A1317" s="0" t="str">
        <f aca="false">'Raw Data'!C1317</f>
        <v>Alamo Quarry</v>
      </c>
      <c r="B1317" s="5" t="n">
        <f aca="false">'Raw Data'!A1317</f>
        <v>40344</v>
      </c>
      <c r="C1317" s="6" t="n">
        <f aca="false">'Raw Data'!D1317</f>
        <v>179.264614060591</v>
      </c>
      <c r="D1317" s="6" t="n">
        <f aca="false">'Raw Data'!E1317</f>
        <v>4.26</v>
      </c>
      <c r="E1317" s="6" t="n">
        <f aca="false">'Raw Data'!F1317</f>
        <v>0</v>
      </c>
      <c r="F1317" s="6" t="n">
        <f aca="false">'Raw Data'!G1317</f>
        <v>0</v>
      </c>
      <c r="G1317" s="6" t="n">
        <f aca="false">'Raw Data'!H1317</f>
        <v>0</v>
      </c>
      <c r="H1317" s="6" t="n">
        <f aca="false">'Raw Data'!I1317</f>
        <v>0</v>
      </c>
      <c r="I1317" s="6" t="n">
        <f aca="false">'Raw Data'!J1317</f>
        <v>0</v>
      </c>
      <c r="J1317" s="6" t="n">
        <f aca="false">'Raw Data'!K1317</f>
        <v>0</v>
      </c>
      <c r="K1317" s="6" t="n">
        <f aca="false">'Raw Data'!L1317</f>
        <v>4</v>
      </c>
      <c r="L1317" s="6" t="n">
        <f aca="false">F1317*E1317</f>
        <v>0</v>
      </c>
      <c r="N1317" s="0" t="n">
        <v>1</v>
      </c>
      <c r="O1317" s="6" t="n">
        <f aca="false">D1317</f>
        <v>4.26</v>
      </c>
      <c r="P1317" s="6" t="n">
        <f aca="false">E1317</f>
        <v>0</v>
      </c>
      <c r="Q1317" s="6" t="n">
        <f aca="false">F1317</f>
        <v>0</v>
      </c>
      <c r="R1317" s="6" t="n">
        <f aca="false">G1317</f>
        <v>0</v>
      </c>
      <c r="S1317" s="6" t="n">
        <f aca="false">H1317</f>
        <v>0</v>
      </c>
      <c r="T1317" s="6" t="n">
        <f aca="false">I1317</f>
        <v>0</v>
      </c>
      <c r="U1317" s="6" t="n">
        <f aca="false">L1317</f>
        <v>0</v>
      </c>
      <c r="W1317" s="6" t="n">
        <f aca="false">D1317</f>
        <v>4.26</v>
      </c>
      <c r="X1317" s="6" t="n">
        <f aca="false">E1317</f>
        <v>0</v>
      </c>
      <c r="Y1317" s="6" t="n">
        <f aca="false">F1317</f>
        <v>0</v>
      </c>
      <c r="Z1317" s="6" t="n">
        <f aca="false">L1317</f>
        <v>0</v>
      </c>
      <c r="AA1317" s="6" t="n">
        <f aca="false">G1317</f>
        <v>0</v>
      </c>
      <c r="AC1317" s="6" t="n">
        <f aca="false">D1317</f>
        <v>4.26</v>
      </c>
      <c r="AD1317" s="6" t="n">
        <f aca="false">E1317</f>
        <v>0</v>
      </c>
      <c r="AE1317" s="6" t="n">
        <f aca="false">G1317</f>
        <v>0</v>
      </c>
      <c r="AF1317" s="6" t="n">
        <f aca="false">H1317</f>
        <v>0</v>
      </c>
      <c r="AG1317" s="6" t="n">
        <f aca="false">I1317</f>
        <v>0</v>
      </c>
      <c r="AH1317" s="6" t="n">
        <f aca="false">L1317</f>
        <v>0</v>
      </c>
    </row>
    <row r="1318" customFormat="false" ht="15" hidden="false" customHeight="false" outlineLevel="0" collapsed="false">
      <c r="A1318" s="0" t="str">
        <f aca="false">'Raw Data'!C1318</f>
        <v>Alamo Quarry</v>
      </c>
      <c r="B1318" s="5" t="n">
        <f aca="false">'Raw Data'!A1318</f>
        <v>40351</v>
      </c>
      <c r="C1318" s="6" t="n">
        <f aca="false">'Raw Data'!D1318</f>
        <v>220.796391642227</v>
      </c>
      <c r="D1318" s="6" t="n">
        <f aca="false">'Raw Data'!E1318</f>
        <v>4.631176471</v>
      </c>
      <c r="E1318" s="6" t="n">
        <f aca="false">'Raw Data'!F1318</f>
        <v>0</v>
      </c>
      <c r="F1318" s="6" t="n">
        <f aca="false">'Raw Data'!G1318</f>
        <v>0</v>
      </c>
      <c r="G1318" s="6" t="n">
        <f aca="false">'Raw Data'!H1318</f>
        <v>0</v>
      </c>
      <c r="H1318" s="6" t="n">
        <f aca="false">'Raw Data'!I1318</f>
        <v>0</v>
      </c>
      <c r="I1318" s="6" t="n">
        <f aca="false">'Raw Data'!J1318</f>
        <v>0</v>
      </c>
      <c r="J1318" s="6" t="n">
        <f aca="false">'Raw Data'!K1318</f>
        <v>0</v>
      </c>
      <c r="K1318" s="6" t="n">
        <f aca="false">'Raw Data'!L1318</f>
        <v>4</v>
      </c>
      <c r="L1318" s="6" t="n">
        <f aca="false">F1318*E1318</f>
        <v>0</v>
      </c>
      <c r="N1318" s="0" t="n">
        <v>1</v>
      </c>
      <c r="O1318" s="6" t="n">
        <f aca="false">D1318</f>
        <v>4.631176471</v>
      </c>
      <c r="P1318" s="6" t="n">
        <f aca="false">E1318</f>
        <v>0</v>
      </c>
      <c r="Q1318" s="6" t="n">
        <f aca="false">F1318</f>
        <v>0</v>
      </c>
      <c r="R1318" s="6" t="n">
        <f aca="false">G1318</f>
        <v>0</v>
      </c>
      <c r="S1318" s="6" t="n">
        <f aca="false">H1318</f>
        <v>0</v>
      </c>
      <c r="T1318" s="6" t="n">
        <f aca="false">I1318</f>
        <v>0</v>
      </c>
      <c r="U1318" s="6" t="n">
        <f aca="false">L1318</f>
        <v>0</v>
      </c>
      <c r="W1318" s="6" t="n">
        <f aca="false">D1318</f>
        <v>4.631176471</v>
      </c>
      <c r="X1318" s="6" t="n">
        <f aca="false">E1318</f>
        <v>0</v>
      </c>
      <c r="Y1318" s="6" t="n">
        <f aca="false">F1318</f>
        <v>0</v>
      </c>
      <c r="Z1318" s="6" t="n">
        <f aca="false">L1318</f>
        <v>0</v>
      </c>
      <c r="AA1318" s="6" t="n">
        <f aca="false">G1318</f>
        <v>0</v>
      </c>
      <c r="AC1318" s="6" t="n">
        <f aca="false">D1318</f>
        <v>4.631176471</v>
      </c>
      <c r="AD1318" s="6" t="n">
        <f aca="false">E1318</f>
        <v>0</v>
      </c>
      <c r="AE1318" s="6" t="n">
        <f aca="false">G1318</f>
        <v>0</v>
      </c>
      <c r="AF1318" s="6" t="n">
        <f aca="false">H1318</f>
        <v>0</v>
      </c>
      <c r="AG1318" s="6" t="n">
        <f aca="false">I1318</f>
        <v>0</v>
      </c>
      <c r="AH1318" s="6" t="n">
        <f aca="false">L1318</f>
        <v>0</v>
      </c>
    </row>
    <row r="1319" customFormat="false" ht="15" hidden="false" customHeight="false" outlineLevel="0" collapsed="false">
      <c r="A1319" s="0" t="str">
        <f aca="false">'Raw Data'!C1319</f>
        <v>Alamo Quarry</v>
      </c>
      <c r="B1319" s="5" t="n">
        <f aca="false">'Raw Data'!A1319</f>
        <v>40358</v>
      </c>
      <c r="C1319" s="6" t="n">
        <f aca="false">'Raw Data'!D1319</f>
        <v>199.024647896943</v>
      </c>
      <c r="D1319" s="6" t="n">
        <f aca="false">'Raw Data'!E1319</f>
        <v>4.631176471</v>
      </c>
      <c r="E1319" s="6" t="n">
        <f aca="false">'Raw Data'!F1319</f>
        <v>0</v>
      </c>
      <c r="F1319" s="6" t="n">
        <f aca="false">'Raw Data'!G1319</f>
        <v>0</v>
      </c>
      <c r="G1319" s="6" t="n">
        <f aca="false">'Raw Data'!H1319</f>
        <v>0</v>
      </c>
      <c r="H1319" s="6" t="n">
        <f aca="false">'Raw Data'!I1319</f>
        <v>0</v>
      </c>
      <c r="I1319" s="6" t="n">
        <f aca="false">'Raw Data'!J1319</f>
        <v>0</v>
      </c>
      <c r="J1319" s="6" t="n">
        <f aca="false">'Raw Data'!K1319</f>
        <v>0</v>
      </c>
      <c r="K1319" s="6" t="n">
        <f aca="false">'Raw Data'!L1319</f>
        <v>4</v>
      </c>
      <c r="L1319" s="6" t="n">
        <f aca="false">F1319*E1319</f>
        <v>0</v>
      </c>
      <c r="N1319" s="0" t="n">
        <v>1</v>
      </c>
      <c r="O1319" s="6" t="n">
        <f aca="false">D1319</f>
        <v>4.631176471</v>
      </c>
      <c r="P1319" s="6" t="n">
        <f aca="false">E1319</f>
        <v>0</v>
      </c>
      <c r="Q1319" s="6" t="n">
        <f aca="false">F1319</f>
        <v>0</v>
      </c>
      <c r="R1319" s="6" t="n">
        <f aca="false">G1319</f>
        <v>0</v>
      </c>
      <c r="S1319" s="6" t="n">
        <f aca="false">H1319</f>
        <v>0</v>
      </c>
      <c r="T1319" s="6" t="n">
        <f aca="false">I1319</f>
        <v>0</v>
      </c>
      <c r="U1319" s="6" t="n">
        <f aca="false">L1319</f>
        <v>0</v>
      </c>
      <c r="W1319" s="6" t="n">
        <f aca="false">D1319</f>
        <v>4.631176471</v>
      </c>
      <c r="X1319" s="6" t="n">
        <f aca="false">E1319</f>
        <v>0</v>
      </c>
      <c r="Y1319" s="6" t="n">
        <f aca="false">F1319</f>
        <v>0</v>
      </c>
      <c r="Z1319" s="6" t="n">
        <f aca="false">L1319</f>
        <v>0</v>
      </c>
      <c r="AA1319" s="6" t="n">
        <f aca="false">G1319</f>
        <v>0</v>
      </c>
      <c r="AC1319" s="6" t="n">
        <f aca="false">D1319</f>
        <v>4.631176471</v>
      </c>
      <c r="AD1319" s="6" t="n">
        <f aca="false">E1319</f>
        <v>0</v>
      </c>
      <c r="AE1319" s="6" t="n">
        <f aca="false">G1319</f>
        <v>0</v>
      </c>
      <c r="AF1319" s="6" t="n">
        <f aca="false">H1319</f>
        <v>0</v>
      </c>
      <c r="AG1319" s="6" t="n">
        <f aca="false">I1319</f>
        <v>0</v>
      </c>
      <c r="AH1319" s="6" t="n">
        <f aca="false">L1319</f>
        <v>0</v>
      </c>
    </row>
    <row r="1320" customFormat="false" ht="15" hidden="false" customHeight="false" outlineLevel="0" collapsed="false">
      <c r="A1320" s="0" t="str">
        <f aca="false">'Raw Data'!C1320</f>
        <v>Alamo Quarry</v>
      </c>
      <c r="B1320" s="5" t="n">
        <f aca="false">'Raw Data'!A1320</f>
        <v>40365</v>
      </c>
      <c r="C1320" s="6" t="n">
        <f aca="false">'Raw Data'!D1320</f>
        <v>113.136783353201</v>
      </c>
      <c r="D1320" s="6" t="n">
        <f aca="false">'Raw Data'!E1320</f>
        <v>4.421176471</v>
      </c>
      <c r="E1320" s="6" t="n">
        <f aca="false">'Raw Data'!F1320</f>
        <v>0</v>
      </c>
      <c r="F1320" s="6" t="n">
        <f aca="false">'Raw Data'!G1320</f>
        <v>0</v>
      </c>
      <c r="G1320" s="6" t="n">
        <f aca="false">'Raw Data'!H1320</f>
        <v>0</v>
      </c>
      <c r="H1320" s="6" t="n">
        <f aca="false">'Raw Data'!I1320</f>
        <v>0</v>
      </c>
      <c r="I1320" s="6" t="n">
        <f aca="false">'Raw Data'!J1320</f>
        <v>0</v>
      </c>
      <c r="J1320" s="6" t="n">
        <f aca="false">'Raw Data'!K1320</f>
        <v>0</v>
      </c>
      <c r="K1320" s="6" t="n">
        <f aca="false">'Raw Data'!L1320</f>
        <v>4</v>
      </c>
      <c r="L1320" s="6" t="n">
        <f aca="false">F1320*E1320</f>
        <v>0</v>
      </c>
      <c r="N1320" s="0" t="n">
        <v>1</v>
      </c>
      <c r="O1320" s="6" t="n">
        <f aca="false">D1320</f>
        <v>4.421176471</v>
      </c>
      <c r="P1320" s="6" t="n">
        <f aca="false">E1320</f>
        <v>0</v>
      </c>
      <c r="Q1320" s="6" t="n">
        <f aca="false">F1320</f>
        <v>0</v>
      </c>
      <c r="R1320" s="6" t="n">
        <f aca="false">G1320</f>
        <v>0</v>
      </c>
      <c r="S1320" s="6" t="n">
        <f aca="false">H1320</f>
        <v>0</v>
      </c>
      <c r="T1320" s="6" t="n">
        <f aca="false">I1320</f>
        <v>0</v>
      </c>
      <c r="U1320" s="6" t="n">
        <f aca="false">L1320</f>
        <v>0</v>
      </c>
      <c r="W1320" s="6" t="n">
        <f aca="false">D1320</f>
        <v>4.421176471</v>
      </c>
      <c r="X1320" s="6" t="n">
        <f aca="false">E1320</f>
        <v>0</v>
      </c>
      <c r="Y1320" s="6" t="n">
        <f aca="false">F1320</f>
        <v>0</v>
      </c>
      <c r="Z1320" s="6" t="n">
        <f aca="false">L1320</f>
        <v>0</v>
      </c>
      <c r="AA1320" s="6" t="n">
        <f aca="false">G1320</f>
        <v>0</v>
      </c>
      <c r="AC1320" s="6" t="n">
        <f aca="false">D1320</f>
        <v>4.421176471</v>
      </c>
      <c r="AD1320" s="6" t="n">
        <f aca="false">E1320</f>
        <v>0</v>
      </c>
      <c r="AE1320" s="6" t="n">
        <f aca="false">G1320</f>
        <v>0</v>
      </c>
      <c r="AF1320" s="6" t="n">
        <f aca="false">H1320</f>
        <v>0</v>
      </c>
      <c r="AG1320" s="6" t="n">
        <f aca="false">I1320</f>
        <v>0</v>
      </c>
      <c r="AH1320" s="6" t="n">
        <f aca="false">L1320</f>
        <v>0</v>
      </c>
    </row>
    <row r="1321" customFormat="false" ht="15" hidden="false" customHeight="false" outlineLevel="0" collapsed="false">
      <c r="A1321" s="0" t="str">
        <f aca="false">'Raw Data'!C1321</f>
        <v>Alamo Quarry</v>
      </c>
      <c r="B1321" s="5" t="n">
        <f aca="false">'Raw Data'!A1321</f>
        <v>40372</v>
      </c>
      <c r="C1321" s="6" t="n">
        <f aca="false">'Raw Data'!D1321</f>
        <v>158.695729295327</v>
      </c>
      <c r="D1321" s="6" t="n">
        <f aca="false">'Raw Data'!E1321</f>
        <v>4.073125</v>
      </c>
      <c r="E1321" s="6" t="n">
        <f aca="false">'Raw Data'!F1321</f>
        <v>0</v>
      </c>
      <c r="F1321" s="6" t="n">
        <f aca="false">'Raw Data'!G1321</f>
        <v>0</v>
      </c>
      <c r="G1321" s="6" t="n">
        <f aca="false">'Raw Data'!H1321</f>
        <v>0</v>
      </c>
      <c r="H1321" s="6" t="n">
        <f aca="false">'Raw Data'!I1321</f>
        <v>0</v>
      </c>
      <c r="I1321" s="6" t="n">
        <f aca="false">'Raw Data'!J1321</f>
        <v>0</v>
      </c>
      <c r="J1321" s="6" t="n">
        <f aca="false">'Raw Data'!K1321</f>
        <v>0</v>
      </c>
      <c r="K1321" s="6" t="n">
        <f aca="false">'Raw Data'!L1321</f>
        <v>4</v>
      </c>
      <c r="L1321" s="6" t="n">
        <f aca="false">F1321*E1321</f>
        <v>0</v>
      </c>
      <c r="N1321" s="0" t="n">
        <v>1</v>
      </c>
      <c r="O1321" s="6" t="n">
        <f aca="false">D1321</f>
        <v>4.073125</v>
      </c>
      <c r="P1321" s="6" t="n">
        <f aca="false">E1321</f>
        <v>0</v>
      </c>
      <c r="Q1321" s="6" t="n">
        <f aca="false">F1321</f>
        <v>0</v>
      </c>
      <c r="R1321" s="6" t="n">
        <f aca="false">G1321</f>
        <v>0</v>
      </c>
      <c r="S1321" s="6" t="n">
        <f aca="false">H1321</f>
        <v>0</v>
      </c>
      <c r="T1321" s="6" t="n">
        <f aca="false">I1321</f>
        <v>0</v>
      </c>
      <c r="U1321" s="6" t="n">
        <f aca="false">L1321</f>
        <v>0</v>
      </c>
      <c r="W1321" s="6" t="n">
        <f aca="false">D1321</f>
        <v>4.073125</v>
      </c>
      <c r="X1321" s="6" t="n">
        <f aca="false">E1321</f>
        <v>0</v>
      </c>
      <c r="Y1321" s="6" t="n">
        <f aca="false">F1321</f>
        <v>0</v>
      </c>
      <c r="Z1321" s="6" t="n">
        <f aca="false">L1321</f>
        <v>0</v>
      </c>
      <c r="AA1321" s="6" t="n">
        <f aca="false">G1321</f>
        <v>0</v>
      </c>
      <c r="AC1321" s="6" t="n">
        <f aca="false">D1321</f>
        <v>4.073125</v>
      </c>
      <c r="AD1321" s="6" t="n">
        <f aca="false">E1321</f>
        <v>0</v>
      </c>
      <c r="AE1321" s="6" t="n">
        <f aca="false">G1321</f>
        <v>0</v>
      </c>
      <c r="AF1321" s="6" t="n">
        <f aca="false">H1321</f>
        <v>0</v>
      </c>
      <c r="AG1321" s="6" t="n">
        <f aca="false">I1321</f>
        <v>0</v>
      </c>
      <c r="AH1321" s="6" t="n">
        <f aca="false">L1321</f>
        <v>0</v>
      </c>
    </row>
    <row r="1322" customFormat="false" ht="15" hidden="false" customHeight="false" outlineLevel="0" collapsed="false">
      <c r="A1322" s="0" t="str">
        <f aca="false">'Raw Data'!C1322</f>
        <v>Bellaire</v>
      </c>
      <c r="B1322" s="5" t="n">
        <f aca="false">'Raw Data'!A1322</f>
        <v>40302</v>
      </c>
      <c r="C1322" s="6" t="n">
        <f aca="false">'Raw Data'!D1322</f>
        <v>202.145816681568</v>
      </c>
      <c r="D1322" s="6" t="n">
        <f aca="false">'Raw Data'!E1322</f>
        <v>4.561428571</v>
      </c>
      <c r="E1322" s="6" t="n">
        <f aca="false">'Raw Data'!F1322</f>
        <v>0</v>
      </c>
      <c r="F1322" s="6" t="n">
        <f aca="false">'Raw Data'!G1322</f>
        <v>0</v>
      </c>
      <c r="G1322" s="6" t="n">
        <f aca="false">'Raw Data'!H1322</f>
        <v>0</v>
      </c>
      <c r="H1322" s="6" t="n">
        <f aca="false">'Raw Data'!I1322</f>
        <v>0</v>
      </c>
      <c r="I1322" s="6" t="n">
        <f aca="false">'Raw Data'!J1322</f>
        <v>0</v>
      </c>
      <c r="J1322" s="6" t="n">
        <f aca="false">'Raw Data'!K1322</f>
        <v>2</v>
      </c>
      <c r="K1322" s="6" t="n">
        <f aca="false">'Raw Data'!L1322</f>
        <v>2</v>
      </c>
      <c r="L1322" s="6" t="n">
        <f aca="false">F1322*E1322</f>
        <v>0</v>
      </c>
      <c r="N1322" s="0" t="n">
        <v>1</v>
      </c>
      <c r="O1322" s="6" t="n">
        <f aca="false">D1322</f>
        <v>4.561428571</v>
      </c>
      <c r="P1322" s="6" t="n">
        <f aca="false">E1322</f>
        <v>0</v>
      </c>
      <c r="Q1322" s="6" t="n">
        <f aca="false">F1322</f>
        <v>0</v>
      </c>
      <c r="R1322" s="6" t="n">
        <f aca="false">G1322</f>
        <v>0</v>
      </c>
      <c r="S1322" s="6" t="n">
        <f aca="false">H1322</f>
        <v>0</v>
      </c>
      <c r="T1322" s="6" t="n">
        <f aca="false">I1322</f>
        <v>0</v>
      </c>
      <c r="U1322" s="6" t="n">
        <f aca="false">L1322</f>
        <v>0</v>
      </c>
      <c r="W1322" s="6" t="n">
        <f aca="false">D1322</f>
        <v>4.561428571</v>
      </c>
      <c r="X1322" s="6" t="n">
        <f aca="false">E1322</f>
        <v>0</v>
      </c>
      <c r="Y1322" s="6" t="n">
        <f aca="false">F1322</f>
        <v>0</v>
      </c>
      <c r="Z1322" s="6" t="n">
        <f aca="false">L1322</f>
        <v>0</v>
      </c>
      <c r="AA1322" s="6" t="n">
        <f aca="false">G1322</f>
        <v>0</v>
      </c>
      <c r="AC1322" s="6" t="n">
        <f aca="false">D1322</f>
        <v>4.561428571</v>
      </c>
      <c r="AD1322" s="6" t="n">
        <f aca="false">E1322</f>
        <v>0</v>
      </c>
      <c r="AE1322" s="6" t="n">
        <f aca="false">G1322</f>
        <v>0</v>
      </c>
      <c r="AF1322" s="6" t="n">
        <f aca="false">H1322</f>
        <v>0</v>
      </c>
      <c r="AG1322" s="6" t="n">
        <f aca="false">I1322</f>
        <v>0</v>
      </c>
      <c r="AH1322" s="6" t="n">
        <f aca="false">L1322</f>
        <v>0</v>
      </c>
    </row>
    <row r="1323" customFormat="false" ht="15" hidden="false" customHeight="false" outlineLevel="0" collapsed="false">
      <c r="A1323" s="0" t="str">
        <f aca="false">'Raw Data'!C1323</f>
        <v>Bellaire</v>
      </c>
      <c r="B1323" s="5" t="n">
        <f aca="false">'Raw Data'!A1323</f>
        <v>40309</v>
      </c>
      <c r="C1323" s="6" t="n">
        <f aca="false">'Raw Data'!D1323</f>
        <v>52.2131457856578</v>
      </c>
      <c r="D1323" s="6" t="n">
        <f aca="false">'Raw Data'!E1323</f>
        <v>4.561428571</v>
      </c>
      <c r="E1323" s="6" t="n">
        <f aca="false">'Raw Data'!F1323</f>
        <v>0</v>
      </c>
      <c r="F1323" s="6" t="n">
        <f aca="false">'Raw Data'!G1323</f>
        <v>0</v>
      </c>
      <c r="G1323" s="6" t="n">
        <f aca="false">'Raw Data'!H1323</f>
        <v>0</v>
      </c>
      <c r="H1323" s="6" t="n">
        <f aca="false">'Raw Data'!I1323</f>
        <v>0</v>
      </c>
      <c r="I1323" s="6" t="n">
        <f aca="false">'Raw Data'!J1323</f>
        <v>0</v>
      </c>
      <c r="J1323" s="6" t="n">
        <f aca="false">'Raw Data'!K1323</f>
        <v>2</v>
      </c>
      <c r="K1323" s="6" t="n">
        <f aca="false">'Raw Data'!L1323</f>
        <v>2</v>
      </c>
      <c r="L1323" s="6" t="n">
        <f aca="false">F1323*E1323</f>
        <v>0</v>
      </c>
      <c r="N1323" s="0" t="n">
        <v>1</v>
      </c>
      <c r="O1323" s="6" t="n">
        <f aca="false">D1323</f>
        <v>4.561428571</v>
      </c>
      <c r="P1323" s="6" t="n">
        <f aca="false">E1323</f>
        <v>0</v>
      </c>
      <c r="Q1323" s="6" t="n">
        <f aca="false">F1323</f>
        <v>0</v>
      </c>
      <c r="R1323" s="6" t="n">
        <f aca="false">G1323</f>
        <v>0</v>
      </c>
      <c r="S1323" s="6" t="n">
        <f aca="false">H1323</f>
        <v>0</v>
      </c>
      <c r="T1323" s="6" t="n">
        <f aca="false">I1323</f>
        <v>0</v>
      </c>
      <c r="U1323" s="6" t="n">
        <f aca="false">L1323</f>
        <v>0</v>
      </c>
      <c r="W1323" s="6" t="n">
        <f aca="false">D1323</f>
        <v>4.561428571</v>
      </c>
      <c r="X1323" s="6" t="n">
        <f aca="false">E1323</f>
        <v>0</v>
      </c>
      <c r="Y1323" s="6" t="n">
        <f aca="false">F1323</f>
        <v>0</v>
      </c>
      <c r="Z1323" s="6" t="n">
        <f aca="false">L1323</f>
        <v>0</v>
      </c>
      <c r="AA1323" s="6" t="n">
        <f aca="false">G1323</f>
        <v>0</v>
      </c>
      <c r="AC1323" s="6" t="n">
        <f aca="false">D1323</f>
        <v>4.561428571</v>
      </c>
      <c r="AD1323" s="6" t="n">
        <f aca="false">E1323</f>
        <v>0</v>
      </c>
      <c r="AE1323" s="6" t="n">
        <f aca="false">G1323</f>
        <v>0</v>
      </c>
      <c r="AF1323" s="6" t="n">
        <f aca="false">H1323</f>
        <v>0</v>
      </c>
      <c r="AG1323" s="6" t="n">
        <f aca="false">I1323</f>
        <v>0</v>
      </c>
      <c r="AH1323" s="6" t="n">
        <f aca="false">L1323</f>
        <v>0</v>
      </c>
    </row>
    <row r="1324" customFormat="false" ht="15" hidden="false" customHeight="false" outlineLevel="0" collapsed="false">
      <c r="A1324" s="0" t="str">
        <f aca="false">'Raw Data'!C1324</f>
        <v>Bellaire</v>
      </c>
      <c r="B1324" s="5" t="n">
        <f aca="false">'Raw Data'!A1324</f>
        <v>40316</v>
      </c>
      <c r="C1324" s="6" t="n">
        <f aca="false">'Raw Data'!D1324</f>
        <v>207.05881042358</v>
      </c>
      <c r="D1324" s="6" t="n">
        <f aca="false">'Raw Data'!E1324</f>
        <v>3.918571429</v>
      </c>
      <c r="E1324" s="6" t="n">
        <f aca="false">'Raw Data'!F1324</f>
        <v>0</v>
      </c>
      <c r="F1324" s="6" t="n">
        <f aca="false">'Raw Data'!G1324</f>
        <v>0</v>
      </c>
      <c r="G1324" s="6" t="n">
        <f aca="false">'Raw Data'!H1324</f>
        <v>0</v>
      </c>
      <c r="H1324" s="6" t="n">
        <f aca="false">'Raw Data'!I1324</f>
        <v>0</v>
      </c>
      <c r="I1324" s="6" t="n">
        <f aca="false">'Raw Data'!J1324</f>
        <v>0</v>
      </c>
      <c r="J1324" s="6" t="n">
        <f aca="false">'Raw Data'!K1324</f>
        <v>2</v>
      </c>
      <c r="K1324" s="6" t="n">
        <f aca="false">'Raw Data'!L1324</f>
        <v>2</v>
      </c>
      <c r="L1324" s="6" t="n">
        <f aca="false">F1324*E1324</f>
        <v>0</v>
      </c>
      <c r="N1324" s="0" t="n">
        <v>1</v>
      </c>
      <c r="O1324" s="6" t="n">
        <f aca="false">D1324</f>
        <v>3.918571429</v>
      </c>
      <c r="P1324" s="6" t="n">
        <f aca="false">E1324</f>
        <v>0</v>
      </c>
      <c r="Q1324" s="6" t="n">
        <f aca="false">F1324</f>
        <v>0</v>
      </c>
      <c r="R1324" s="6" t="n">
        <f aca="false">G1324</f>
        <v>0</v>
      </c>
      <c r="S1324" s="6" t="n">
        <f aca="false">H1324</f>
        <v>0</v>
      </c>
      <c r="T1324" s="6" t="n">
        <f aca="false">I1324</f>
        <v>0</v>
      </c>
      <c r="U1324" s="6" t="n">
        <f aca="false">L1324</f>
        <v>0</v>
      </c>
      <c r="W1324" s="6" t="n">
        <f aca="false">D1324</f>
        <v>3.918571429</v>
      </c>
      <c r="X1324" s="6" t="n">
        <f aca="false">E1324</f>
        <v>0</v>
      </c>
      <c r="Y1324" s="6" t="n">
        <f aca="false">F1324</f>
        <v>0</v>
      </c>
      <c r="Z1324" s="6" t="n">
        <f aca="false">L1324</f>
        <v>0</v>
      </c>
      <c r="AA1324" s="6" t="n">
        <f aca="false">G1324</f>
        <v>0</v>
      </c>
      <c r="AC1324" s="6" t="n">
        <f aca="false">D1324</f>
        <v>3.918571429</v>
      </c>
      <c r="AD1324" s="6" t="n">
        <f aca="false">E1324</f>
        <v>0</v>
      </c>
      <c r="AE1324" s="6" t="n">
        <f aca="false">G1324</f>
        <v>0</v>
      </c>
      <c r="AF1324" s="6" t="n">
        <f aca="false">H1324</f>
        <v>0</v>
      </c>
      <c r="AG1324" s="6" t="n">
        <f aca="false">I1324</f>
        <v>0</v>
      </c>
      <c r="AH1324" s="6" t="n">
        <f aca="false">L1324</f>
        <v>0</v>
      </c>
    </row>
    <row r="1325" customFormat="false" ht="15" hidden="false" customHeight="false" outlineLevel="0" collapsed="false">
      <c r="A1325" s="0" t="str">
        <f aca="false">'Raw Data'!C1325</f>
        <v>Bellaire</v>
      </c>
      <c r="B1325" s="5" t="n">
        <f aca="false">'Raw Data'!A1325</f>
        <v>40323</v>
      </c>
      <c r="C1325" s="6" t="n">
        <f aca="false">'Raw Data'!D1325</f>
        <v>152.876238856897</v>
      </c>
      <c r="D1325" s="6" t="n">
        <f aca="false">'Raw Data'!E1325</f>
        <v>3.906666667</v>
      </c>
      <c r="E1325" s="6" t="n">
        <f aca="false">'Raw Data'!F1325</f>
        <v>0</v>
      </c>
      <c r="F1325" s="6" t="n">
        <f aca="false">'Raw Data'!G1325</f>
        <v>0</v>
      </c>
      <c r="G1325" s="6" t="n">
        <f aca="false">'Raw Data'!H1325</f>
        <v>0</v>
      </c>
      <c r="H1325" s="6" t="n">
        <f aca="false">'Raw Data'!I1325</f>
        <v>0</v>
      </c>
      <c r="I1325" s="6" t="n">
        <f aca="false">'Raw Data'!J1325</f>
        <v>0</v>
      </c>
      <c r="J1325" s="6" t="n">
        <f aca="false">'Raw Data'!K1325</f>
        <v>2</v>
      </c>
      <c r="K1325" s="6" t="n">
        <f aca="false">'Raw Data'!L1325</f>
        <v>2</v>
      </c>
      <c r="L1325" s="6" t="n">
        <f aca="false">F1325*E1325</f>
        <v>0</v>
      </c>
      <c r="N1325" s="0" t="n">
        <v>1</v>
      </c>
      <c r="O1325" s="6" t="n">
        <f aca="false">D1325</f>
        <v>3.906666667</v>
      </c>
      <c r="P1325" s="6" t="n">
        <f aca="false">E1325</f>
        <v>0</v>
      </c>
      <c r="Q1325" s="6" t="n">
        <f aca="false">F1325</f>
        <v>0</v>
      </c>
      <c r="R1325" s="6" t="n">
        <f aca="false">G1325</f>
        <v>0</v>
      </c>
      <c r="S1325" s="6" t="n">
        <f aca="false">H1325</f>
        <v>0</v>
      </c>
      <c r="T1325" s="6" t="n">
        <f aca="false">I1325</f>
        <v>0</v>
      </c>
      <c r="U1325" s="6" t="n">
        <f aca="false">L1325</f>
        <v>0</v>
      </c>
      <c r="W1325" s="6" t="n">
        <f aca="false">D1325</f>
        <v>3.906666667</v>
      </c>
      <c r="X1325" s="6" t="n">
        <f aca="false">E1325</f>
        <v>0</v>
      </c>
      <c r="Y1325" s="6" t="n">
        <f aca="false">F1325</f>
        <v>0</v>
      </c>
      <c r="Z1325" s="6" t="n">
        <f aca="false">L1325</f>
        <v>0</v>
      </c>
      <c r="AA1325" s="6" t="n">
        <f aca="false">G1325</f>
        <v>0</v>
      </c>
      <c r="AC1325" s="6" t="n">
        <f aca="false">D1325</f>
        <v>3.906666667</v>
      </c>
      <c r="AD1325" s="6" t="n">
        <f aca="false">E1325</f>
        <v>0</v>
      </c>
      <c r="AE1325" s="6" t="n">
        <f aca="false">G1325</f>
        <v>0</v>
      </c>
      <c r="AF1325" s="6" t="n">
        <f aca="false">H1325</f>
        <v>0</v>
      </c>
      <c r="AG1325" s="6" t="n">
        <f aca="false">I1325</f>
        <v>0</v>
      </c>
      <c r="AH1325" s="6" t="n">
        <f aca="false">L1325</f>
        <v>0</v>
      </c>
    </row>
    <row r="1326" customFormat="false" ht="15" hidden="false" customHeight="false" outlineLevel="0" collapsed="false">
      <c r="A1326" s="0" t="str">
        <f aca="false">'Raw Data'!C1326</f>
        <v>Bellaire</v>
      </c>
      <c r="B1326" s="5" t="n">
        <f aca="false">'Raw Data'!A1326</f>
        <v>40330</v>
      </c>
      <c r="C1326" s="6" t="n">
        <f aca="false">'Raw Data'!D1326</f>
        <v>196.047162997307</v>
      </c>
      <c r="D1326" s="6" t="n">
        <f aca="false">'Raw Data'!E1326</f>
        <v>3.906666667</v>
      </c>
      <c r="E1326" s="6" t="n">
        <f aca="false">'Raw Data'!F1326</f>
        <v>0</v>
      </c>
      <c r="F1326" s="6" t="n">
        <f aca="false">'Raw Data'!G1326</f>
        <v>0</v>
      </c>
      <c r="G1326" s="6" t="n">
        <f aca="false">'Raw Data'!H1326</f>
        <v>0</v>
      </c>
      <c r="H1326" s="6" t="n">
        <f aca="false">'Raw Data'!I1326</f>
        <v>0</v>
      </c>
      <c r="I1326" s="6" t="n">
        <f aca="false">'Raw Data'!J1326</f>
        <v>0</v>
      </c>
      <c r="J1326" s="6" t="n">
        <f aca="false">'Raw Data'!K1326</f>
        <v>2</v>
      </c>
      <c r="K1326" s="6" t="n">
        <f aca="false">'Raw Data'!L1326</f>
        <v>2</v>
      </c>
      <c r="L1326" s="6" t="n">
        <f aca="false">F1326*E1326</f>
        <v>0</v>
      </c>
      <c r="N1326" s="0" t="n">
        <v>1</v>
      </c>
      <c r="O1326" s="6" t="n">
        <f aca="false">D1326</f>
        <v>3.906666667</v>
      </c>
      <c r="P1326" s="6" t="n">
        <f aca="false">E1326</f>
        <v>0</v>
      </c>
      <c r="Q1326" s="6" t="n">
        <f aca="false">F1326</f>
        <v>0</v>
      </c>
      <c r="R1326" s="6" t="n">
        <f aca="false">G1326</f>
        <v>0</v>
      </c>
      <c r="S1326" s="6" t="n">
        <f aca="false">H1326</f>
        <v>0</v>
      </c>
      <c r="T1326" s="6" t="n">
        <f aca="false">I1326</f>
        <v>0</v>
      </c>
      <c r="U1326" s="6" t="n">
        <f aca="false">L1326</f>
        <v>0</v>
      </c>
      <c r="W1326" s="6" t="n">
        <f aca="false">D1326</f>
        <v>3.906666667</v>
      </c>
      <c r="X1326" s="6" t="n">
        <f aca="false">E1326</f>
        <v>0</v>
      </c>
      <c r="Y1326" s="6" t="n">
        <f aca="false">F1326</f>
        <v>0</v>
      </c>
      <c r="Z1326" s="6" t="n">
        <f aca="false">L1326</f>
        <v>0</v>
      </c>
      <c r="AA1326" s="6" t="n">
        <f aca="false">G1326</f>
        <v>0</v>
      </c>
      <c r="AC1326" s="6" t="n">
        <f aca="false">D1326</f>
        <v>3.906666667</v>
      </c>
      <c r="AD1326" s="6" t="n">
        <f aca="false">E1326</f>
        <v>0</v>
      </c>
      <c r="AE1326" s="6" t="n">
        <f aca="false">G1326</f>
        <v>0</v>
      </c>
      <c r="AF1326" s="6" t="n">
        <f aca="false">H1326</f>
        <v>0</v>
      </c>
      <c r="AG1326" s="6" t="n">
        <f aca="false">I1326</f>
        <v>0</v>
      </c>
      <c r="AH1326" s="6" t="n">
        <f aca="false">L1326</f>
        <v>0</v>
      </c>
    </row>
    <row r="1327" customFormat="false" ht="15" hidden="false" customHeight="false" outlineLevel="0" collapsed="false">
      <c r="A1327" s="0" t="str">
        <f aca="false">'Raw Data'!C1327</f>
        <v>Bellaire</v>
      </c>
      <c r="B1327" s="5" t="n">
        <f aca="false">'Raw Data'!A1327</f>
        <v>40337</v>
      </c>
      <c r="C1327" s="6" t="n">
        <f aca="false">'Raw Data'!D1327</f>
        <v>119.1376865984</v>
      </c>
      <c r="D1327" s="6" t="n">
        <f aca="false">'Raw Data'!E1327</f>
        <v>4.49</v>
      </c>
      <c r="E1327" s="6" t="n">
        <f aca="false">'Raw Data'!F1327</f>
        <v>0</v>
      </c>
      <c r="F1327" s="6" t="n">
        <f aca="false">'Raw Data'!G1327</f>
        <v>0</v>
      </c>
      <c r="G1327" s="6" t="n">
        <f aca="false">'Raw Data'!H1327</f>
        <v>0</v>
      </c>
      <c r="H1327" s="6" t="n">
        <f aca="false">'Raw Data'!I1327</f>
        <v>0</v>
      </c>
      <c r="I1327" s="6" t="n">
        <f aca="false">'Raw Data'!J1327</f>
        <v>0</v>
      </c>
      <c r="J1327" s="6" t="n">
        <f aca="false">'Raw Data'!K1327</f>
        <v>2</v>
      </c>
      <c r="K1327" s="6" t="n">
        <f aca="false">'Raw Data'!L1327</f>
        <v>2</v>
      </c>
      <c r="L1327" s="6" t="n">
        <f aca="false">F1327*E1327</f>
        <v>0</v>
      </c>
      <c r="N1327" s="0" t="n">
        <v>1</v>
      </c>
      <c r="O1327" s="6" t="n">
        <f aca="false">D1327</f>
        <v>4.49</v>
      </c>
      <c r="P1327" s="6" t="n">
        <f aca="false">E1327</f>
        <v>0</v>
      </c>
      <c r="Q1327" s="6" t="n">
        <f aca="false">F1327</f>
        <v>0</v>
      </c>
      <c r="R1327" s="6" t="n">
        <f aca="false">G1327</f>
        <v>0</v>
      </c>
      <c r="S1327" s="6" t="n">
        <f aca="false">H1327</f>
        <v>0</v>
      </c>
      <c r="T1327" s="6" t="n">
        <f aca="false">I1327</f>
        <v>0</v>
      </c>
      <c r="U1327" s="6" t="n">
        <f aca="false">L1327</f>
        <v>0</v>
      </c>
      <c r="W1327" s="6" t="n">
        <f aca="false">D1327</f>
        <v>4.49</v>
      </c>
      <c r="X1327" s="6" t="n">
        <f aca="false">E1327</f>
        <v>0</v>
      </c>
      <c r="Y1327" s="6" t="n">
        <f aca="false">F1327</f>
        <v>0</v>
      </c>
      <c r="Z1327" s="6" t="n">
        <f aca="false">L1327</f>
        <v>0</v>
      </c>
      <c r="AA1327" s="6" t="n">
        <f aca="false">G1327</f>
        <v>0</v>
      </c>
      <c r="AC1327" s="6" t="n">
        <f aca="false">D1327</f>
        <v>4.49</v>
      </c>
      <c r="AD1327" s="6" t="n">
        <f aca="false">E1327</f>
        <v>0</v>
      </c>
      <c r="AE1327" s="6" t="n">
        <f aca="false">G1327</f>
        <v>0</v>
      </c>
      <c r="AF1327" s="6" t="n">
        <f aca="false">H1327</f>
        <v>0</v>
      </c>
      <c r="AG1327" s="6" t="n">
        <f aca="false">I1327</f>
        <v>0</v>
      </c>
      <c r="AH1327" s="6" t="n">
        <f aca="false">L1327</f>
        <v>0</v>
      </c>
    </row>
    <row r="1328" customFormat="false" ht="15" hidden="false" customHeight="false" outlineLevel="0" collapsed="false">
      <c r="A1328" s="0" t="str">
        <f aca="false">'Raw Data'!C1328</f>
        <v>Bellaire</v>
      </c>
      <c r="B1328" s="5" t="n">
        <f aca="false">'Raw Data'!A1328</f>
        <v>40344</v>
      </c>
      <c r="C1328" s="6" t="n">
        <f aca="false">'Raw Data'!D1328</f>
        <v>195.477530575144</v>
      </c>
      <c r="D1328" s="6" t="n">
        <f aca="false">'Raw Data'!E1328</f>
        <v>4.561428571</v>
      </c>
      <c r="E1328" s="6" t="n">
        <f aca="false">'Raw Data'!F1328</f>
        <v>0</v>
      </c>
      <c r="F1328" s="6" t="n">
        <f aca="false">'Raw Data'!G1328</f>
        <v>0</v>
      </c>
      <c r="G1328" s="6" t="n">
        <f aca="false">'Raw Data'!H1328</f>
        <v>0</v>
      </c>
      <c r="H1328" s="6" t="n">
        <f aca="false">'Raw Data'!I1328</f>
        <v>0</v>
      </c>
      <c r="I1328" s="6" t="n">
        <f aca="false">'Raw Data'!J1328</f>
        <v>0</v>
      </c>
      <c r="J1328" s="6" t="n">
        <f aca="false">'Raw Data'!K1328</f>
        <v>2</v>
      </c>
      <c r="K1328" s="6" t="n">
        <f aca="false">'Raw Data'!L1328</f>
        <v>2</v>
      </c>
      <c r="L1328" s="6" t="n">
        <f aca="false">F1328*E1328</f>
        <v>0</v>
      </c>
      <c r="N1328" s="0" t="n">
        <v>1</v>
      </c>
      <c r="O1328" s="6" t="n">
        <f aca="false">D1328</f>
        <v>4.561428571</v>
      </c>
      <c r="P1328" s="6" t="n">
        <f aca="false">E1328</f>
        <v>0</v>
      </c>
      <c r="Q1328" s="6" t="n">
        <f aca="false">F1328</f>
        <v>0</v>
      </c>
      <c r="R1328" s="6" t="n">
        <f aca="false">G1328</f>
        <v>0</v>
      </c>
      <c r="S1328" s="6" t="n">
        <f aca="false">H1328</f>
        <v>0</v>
      </c>
      <c r="T1328" s="6" t="n">
        <f aca="false">I1328</f>
        <v>0</v>
      </c>
      <c r="U1328" s="6" t="n">
        <f aca="false">L1328</f>
        <v>0</v>
      </c>
      <c r="W1328" s="6" t="n">
        <f aca="false">D1328</f>
        <v>4.561428571</v>
      </c>
      <c r="X1328" s="6" t="n">
        <f aca="false">E1328</f>
        <v>0</v>
      </c>
      <c r="Y1328" s="6" t="n">
        <f aca="false">F1328</f>
        <v>0</v>
      </c>
      <c r="Z1328" s="6" t="n">
        <f aca="false">L1328</f>
        <v>0</v>
      </c>
      <c r="AA1328" s="6" t="n">
        <f aca="false">G1328</f>
        <v>0</v>
      </c>
      <c r="AC1328" s="6" t="n">
        <f aca="false">D1328</f>
        <v>4.561428571</v>
      </c>
      <c r="AD1328" s="6" t="n">
        <f aca="false">E1328</f>
        <v>0</v>
      </c>
      <c r="AE1328" s="6" t="n">
        <f aca="false">G1328</f>
        <v>0</v>
      </c>
      <c r="AF1328" s="6" t="n">
        <f aca="false">H1328</f>
        <v>0</v>
      </c>
      <c r="AG1328" s="6" t="n">
        <f aca="false">I1328</f>
        <v>0</v>
      </c>
      <c r="AH1328" s="6" t="n">
        <f aca="false">L1328</f>
        <v>0</v>
      </c>
    </row>
    <row r="1329" customFormat="false" ht="15" hidden="false" customHeight="false" outlineLevel="0" collapsed="false">
      <c r="A1329" s="0" t="str">
        <f aca="false">'Raw Data'!C1329</f>
        <v>Bellaire</v>
      </c>
      <c r="B1329" s="5" t="n">
        <f aca="false">'Raw Data'!A1329</f>
        <v>40351</v>
      </c>
      <c r="C1329" s="6" t="n">
        <f aca="false">'Raw Data'!D1329</f>
        <v>225.251282686031</v>
      </c>
      <c r="D1329" s="6" t="n">
        <f aca="false">'Raw Data'!E1329</f>
        <v>4.434444444</v>
      </c>
      <c r="E1329" s="6" t="n">
        <f aca="false">'Raw Data'!F1329</f>
        <v>0</v>
      </c>
      <c r="F1329" s="6" t="n">
        <f aca="false">'Raw Data'!G1329</f>
        <v>0</v>
      </c>
      <c r="G1329" s="6" t="n">
        <f aca="false">'Raw Data'!H1329</f>
        <v>0</v>
      </c>
      <c r="H1329" s="6" t="n">
        <f aca="false">'Raw Data'!I1329</f>
        <v>0</v>
      </c>
      <c r="I1329" s="6" t="n">
        <f aca="false">'Raw Data'!J1329</f>
        <v>0</v>
      </c>
      <c r="J1329" s="6" t="n">
        <f aca="false">'Raw Data'!K1329</f>
        <v>2</v>
      </c>
      <c r="K1329" s="6" t="n">
        <f aca="false">'Raw Data'!L1329</f>
        <v>2</v>
      </c>
      <c r="L1329" s="6" t="n">
        <f aca="false">F1329*E1329</f>
        <v>0</v>
      </c>
      <c r="N1329" s="0" t="n">
        <v>1</v>
      </c>
      <c r="O1329" s="6" t="n">
        <f aca="false">D1329</f>
        <v>4.434444444</v>
      </c>
      <c r="P1329" s="6" t="n">
        <f aca="false">E1329</f>
        <v>0</v>
      </c>
      <c r="Q1329" s="6" t="n">
        <f aca="false">F1329</f>
        <v>0</v>
      </c>
      <c r="R1329" s="6" t="n">
        <f aca="false">G1329</f>
        <v>0</v>
      </c>
      <c r="S1329" s="6" t="n">
        <f aca="false">H1329</f>
        <v>0</v>
      </c>
      <c r="T1329" s="6" t="n">
        <f aca="false">I1329</f>
        <v>0</v>
      </c>
      <c r="U1329" s="6" t="n">
        <f aca="false">L1329</f>
        <v>0</v>
      </c>
      <c r="W1329" s="6" t="n">
        <f aca="false">D1329</f>
        <v>4.434444444</v>
      </c>
      <c r="X1329" s="6" t="n">
        <f aca="false">E1329</f>
        <v>0</v>
      </c>
      <c r="Y1329" s="6" t="n">
        <f aca="false">F1329</f>
        <v>0</v>
      </c>
      <c r="Z1329" s="6" t="n">
        <f aca="false">L1329</f>
        <v>0</v>
      </c>
      <c r="AA1329" s="6" t="n">
        <f aca="false">G1329</f>
        <v>0</v>
      </c>
      <c r="AC1329" s="6" t="n">
        <f aca="false">D1329</f>
        <v>4.434444444</v>
      </c>
      <c r="AD1329" s="6" t="n">
        <f aca="false">E1329</f>
        <v>0</v>
      </c>
      <c r="AE1329" s="6" t="n">
        <f aca="false">G1329</f>
        <v>0</v>
      </c>
      <c r="AF1329" s="6" t="n">
        <f aca="false">H1329</f>
        <v>0</v>
      </c>
      <c r="AG1329" s="6" t="n">
        <f aca="false">I1329</f>
        <v>0</v>
      </c>
      <c r="AH1329" s="6" t="n">
        <f aca="false">L1329</f>
        <v>0</v>
      </c>
    </row>
    <row r="1330" customFormat="false" ht="15" hidden="false" customHeight="false" outlineLevel="0" collapsed="false">
      <c r="A1330" s="0" t="str">
        <f aca="false">'Raw Data'!C1330</f>
        <v>Bellaire</v>
      </c>
      <c r="B1330" s="5" t="n">
        <f aca="false">'Raw Data'!A1330</f>
        <v>40358</v>
      </c>
      <c r="C1330" s="6" t="n">
        <f aca="false">'Raw Data'!D1330</f>
        <v>114.943961782598</v>
      </c>
      <c r="D1330" s="6" t="n">
        <f aca="false">'Raw Data'!E1330</f>
        <v>4.49</v>
      </c>
      <c r="E1330" s="6" t="n">
        <f aca="false">'Raw Data'!F1330</f>
        <v>0</v>
      </c>
      <c r="F1330" s="6" t="n">
        <f aca="false">'Raw Data'!G1330</f>
        <v>0</v>
      </c>
      <c r="G1330" s="6" t="n">
        <f aca="false">'Raw Data'!H1330</f>
        <v>0</v>
      </c>
      <c r="H1330" s="6" t="n">
        <f aca="false">'Raw Data'!I1330</f>
        <v>0</v>
      </c>
      <c r="I1330" s="6" t="n">
        <f aca="false">'Raw Data'!J1330</f>
        <v>0</v>
      </c>
      <c r="J1330" s="6" t="n">
        <f aca="false">'Raw Data'!K1330</f>
        <v>2</v>
      </c>
      <c r="K1330" s="6" t="n">
        <f aca="false">'Raw Data'!L1330</f>
        <v>2</v>
      </c>
      <c r="L1330" s="6" t="n">
        <f aca="false">F1330*E1330</f>
        <v>0</v>
      </c>
      <c r="N1330" s="0" t="n">
        <v>1</v>
      </c>
      <c r="O1330" s="6" t="n">
        <f aca="false">D1330</f>
        <v>4.49</v>
      </c>
      <c r="P1330" s="6" t="n">
        <f aca="false">E1330</f>
        <v>0</v>
      </c>
      <c r="Q1330" s="6" t="n">
        <f aca="false">F1330</f>
        <v>0</v>
      </c>
      <c r="R1330" s="6" t="n">
        <f aca="false">G1330</f>
        <v>0</v>
      </c>
      <c r="S1330" s="6" t="n">
        <f aca="false">H1330</f>
        <v>0</v>
      </c>
      <c r="T1330" s="6" t="n">
        <f aca="false">I1330</f>
        <v>0</v>
      </c>
      <c r="U1330" s="6" t="n">
        <f aca="false">L1330</f>
        <v>0</v>
      </c>
      <c r="W1330" s="6" t="n">
        <f aca="false">D1330</f>
        <v>4.49</v>
      </c>
      <c r="X1330" s="6" t="n">
        <f aca="false">E1330</f>
        <v>0</v>
      </c>
      <c r="Y1330" s="6" t="n">
        <f aca="false">F1330</f>
        <v>0</v>
      </c>
      <c r="Z1330" s="6" t="n">
        <f aca="false">L1330</f>
        <v>0</v>
      </c>
      <c r="AA1330" s="6" t="n">
        <f aca="false">G1330</f>
        <v>0</v>
      </c>
      <c r="AC1330" s="6" t="n">
        <f aca="false">D1330</f>
        <v>4.49</v>
      </c>
      <c r="AD1330" s="6" t="n">
        <f aca="false">E1330</f>
        <v>0</v>
      </c>
      <c r="AE1330" s="6" t="n">
        <f aca="false">G1330</f>
        <v>0</v>
      </c>
      <c r="AF1330" s="6" t="n">
        <f aca="false">H1330</f>
        <v>0</v>
      </c>
      <c r="AG1330" s="6" t="n">
        <f aca="false">I1330</f>
        <v>0</v>
      </c>
      <c r="AH1330" s="6" t="n">
        <f aca="false">L1330</f>
        <v>0</v>
      </c>
    </row>
    <row r="1331" customFormat="false" ht="15" hidden="false" customHeight="false" outlineLevel="0" collapsed="false">
      <c r="A1331" s="0" t="str">
        <f aca="false">'Raw Data'!C1331</f>
        <v>Bellaire</v>
      </c>
      <c r="B1331" s="5" t="n">
        <f aca="false">'Raw Data'!A1331</f>
        <v>40365</v>
      </c>
      <c r="C1331" s="6" t="n">
        <f aca="false">'Raw Data'!D1331</f>
        <v>170.280205414481</v>
      </c>
      <c r="D1331" s="6" t="n">
        <f aca="false">'Raw Data'!E1331</f>
        <v>4.347142857</v>
      </c>
      <c r="E1331" s="6" t="n">
        <f aca="false">'Raw Data'!F1331</f>
        <v>0</v>
      </c>
      <c r="F1331" s="6" t="n">
        <f aca="false">'Raw Data'!G1331</f>
        <v>0</v>
      </c>
      <c r="G1331" s="6" t="n">
        <f aca="false">'Raw Data'!H1331</f>
        <v>0</v>
      </c>
      <c r="H1331" s="6" t="n">
        <f aca="false">'Raw Data'!I1331</f>
        <v>0</v>
      </c>
      <c r="I1331" s="6" t="n">
        <f aca="false">'Raw Data'!J1331</f>
        <v>0</v>
      </c>
      <c r="J1331" s="6" t="n">
        <f aca="false">'Raw Data'!K1331</f>
        <v>2</v>
      </c>
      <c r="K1331" s="6" t="n">
        <f aca="false">'Raw Data'!L1331</f>
        <v>2</v>
      </c>
      <c r="L1331" s="6" t="n">
        <f aca="false">F1331*E1331</f>
        <v>0</v>
      </c>
      <c r="N1331" s="0" t="n">
        <v>1</v>
      </c>
      <c r="O1331" s="6" t="n">
        <f aca="false">D1331</f>
        <v>4.347142857</v>
      </c>
      <c r="P1331" s="6" t="n">
        <f aca="false">E1331</f>
        <v>0</v>
      </c>
      <c r="Q1331" s="6" t="n">
        <f aca="false">F1331</f>
        <v>0</v>
      </c>
      <c r="R1331" s="6" t="n">
        <f aca="false">G1331</f>
        <v>0</v>
      </c>
      <c r="S1331" s="6" t="n">
        <f aca="false">H1331</f>
        <v>0</v>
      </c>
      <c r="T1331" s="6" t="n">
        <f aca="false">I1331</f>
        <v>0</v>
      </c>
      <c r="U1331" s="6" t="n">
        <f aca="false">L1331</f>
        <v>0</v>
      </c>
      <c r="W1331" s="6" t="n">
        <f aca="false">D1331</f>
        <v>4.347142857</v>
      </c>
      <c r="X1331" s="6" t="n">
        <f aca="false">E1331</f>
        <v>0</v>
      </c>
      <c r="Y1331" s="6" t="n">
        <f aca="false">F1331</f>
        <v>0</v>
      </c>
      <c r="Z1331" s="6" t="n">
        <f aca="false">L1331</f>
        <v>0</v>
      </c>
      <c r="AA1331" s="6" t="n">
        <f aca="false">G1331</f>
        <v>0</v>
      </c>
      <c r="AC1331" s="6" t="n">
        <f aca="false">D1331</f>
        <v>4.347142857</v>
      </c>
      <c r="AD1331" s="6" t="n">
        <f aca="false">E1331</f>
        <v>0</v>
      </c>
      <c r="AE1331" s="6" t="n">
        <f aca="false">G1331</f>
        <v>0</v>
      </c>
      <c r="AF1331" s="6" t="n">
        <f aca="false">H1331</f>
        <v>0</v>
      </c>
      <c r="AG1331" s="6" t="n">
        <f aca="false">I1331</f>
        <v>0</v>
      </c>
      <c r="AH1331" s="6" t="n">
        <f aca="false">L1331</f>
        <v>0</v>
      </c>
    </row>
    <row r="1332" customFormat="false" ht="15" hidden="false" customHeight="false" outlineLevel="0" collapsed="false">
      <c r="A1332" s="0" t="str">
        <f aca="false">'Raw Data'!C1332</f>
        <v>Bellaire</v>
      </c>
      <c r="B1332" s="5" t="n">
        <f aca="false">'Raw Data'!A1332</f>
        <v>40372</v>
      </c>
      <c r="C1332" s="6" t="n">
        <f aca="false">'Raw Data'!D1332</f>
        <v>223.10655945634</v>
      </c>
      <c r="D1332" s="6" t="n">
        <f aca="false">'Raw Data'!E1332</f>
        <v>4.347142857</v>
      </c>
      <c r="E1332" s="6" t="n">
        <f aca="false">'Raw Data'!F1332</f>
        <v>0</v>
      </c>
      <c r="F1332" s="6" t="n">
        <f aca="false">'Raw Data'!G1332</f>
        <v>0</v>
      </c>
      <c r="G1332" s="6" t="n">
        <f aca="false">'Raw Data'!H1332</f>
        <v>0</v>
      </c>
      <c r="H1332" s="6" t="n">
        <f aca="false">'Raw Data'!I1332</f>
        <v>0</v>
      </c>
      <c r="I1332" s="6" t="n">
        <f aca="false">'Raw Data'!J1332</f>
        <v>0</v>
      </c>
      <c r="J1332" s="6" t="n">
        <f aca="false">'Raw Data'!K1332</f>
        <v>2</v>
      </c>
      <c r="K1332" s="6" t="n">
        <f aca="false">'Raw Data'!L1332</f>
        <v>2</v>
      </c>
      <c r="L1332" s="6" t="n">
        <f aca="false">F1332*E1332</f>
        <v>0</v>
      </c>
      <c r="N1332" s="0" t="n">
        <v>1</v>
      </c>
      <c r="O1332" s="6" t="n">
        <f aca="false">D1332</f>
        <v>4.347142857</v>
      </c>
      <c r="P1332" s="6" t="n">
        <f aca="false">E1332</f>
        <v>0</v>
      </c>
      <c r="Q1332" s="6" t="n">
        <f aca="false">F1332</f>
        <v>0</v>
      </c>
      <c r="R1332" s="6" t="n">
        <f aca="false">G1332</f>
        <v>0</v>
      </c>
      <c r="S1332" s="6" t="n">
        <f aca="false">H1332</f>
        <v>0</v>
      </c>
      <c r="T1332" s="6" t="n">
        <f aca="false">I1332</f>
        <v>0</v>
      </c>
      <c r="U1332" s="6" t="n">
        <f aca="false">L1332</f>
        <v>0</v>
      </c>
      <c r="W1332" s="6" t="n">
        <f aca="false">D1332</f>
        <v>4.347142857</v>
      </c>
      <c r="X1332" s="6" t="n">
        <f aca="false">E1332</f>
        <v>0</v>
      </c>
      <c r="Y1332" s="6" t="n">
        <f aca="false">F1332</f>
        <v>0</v>
      </c>
      <c r="Z1332" s="6" t="n">
        <f aca="false">L1332</f>
        <v>0</v>
      </c>
      <c r="AA1332" s="6" t="n">
        <f aca="false">G1332</f>
        <v>0</v>
      </c>
      <c r="AC1332" s="6" t="n">
        <f aca="false">D1332</f>
        <v>4.347142857</v>
      </c>
      <c r="AD1332" s="6" t="n">
        <f aca="false">E1332</f>
        <v>0</v>
      </c>
      <c r="AE1332" s="6" t="n">
        <f aca="false">G1332</f>
        <v>0</v>
      </c>
      <c r="AF1332" s="6" t="n">
        <f aca="false">H1332</f>
        <v>0</v>
      </c>
      <c r="AG1332" s="6" t="n">
        <f aca="false">I1332</f>
        <v>0</v>
      </c>
      <c r="AH1332" s="6" t="n">
        <f aca="false">L1332</f>
        <v>0</v>
      </c>
    </row>
    <row r="1333" customFormat="false" ht="15" hidden="false" customHeight="false" outlineLevel="0" collapsed="false">
      <c r="A1333" s="0" t="str">
        <f aca="false">'Raw Data'!C1333</f>
        <v>Forest</v>
      </c>
      <c r="B1333" s="5" t="n">
        <f aca="false">'Raw Data'!A1333</f>
        <v>40302</v>
      </c>
      <c r="C1333" s="6" t="n">
        <f aca="false">'Raw Data'!D1333</f>
        <v>237.395478456163</v>
      </c>
      <c r="D1333" s="6" t="n">
        <f aca="false">'Raw Data'!E1333</f>
        <v>4.656666667</v>
      </c>
      <c r="E1333" s="6" t="n">
        <f aca="false">'Raw Data'!F1333</f>
        <v>0</v>
      </c>
      <c r="F1333" s="6" t="n">
        <f aca="false">'Raw Data'!G1333</f>
        <v>0</v>
      </c>
      <c r="G1333" s="6" t="n">
        <f aca="false">'Raw Data'!H1333</f>
        <v>0</v>
      </c>
      <c r="H1333" s="6" t="n">
        <f aca="false">'Raw Data'!I1333</f>
        <v>0</v>
      </c>
      <c r="I1333" s="6" t="n">
        <f aca="false">'Raw Data'!J1333</f>
        <v>0</v>
      </c>
      <c r="J1333" s="6" t="n">
        <f aca="false">'Raw Data'!K1333</f>
        <v>1</v>
      </c>
      <c r="K1333" s="6" t="n">
        <f aca="false">'Raw Data'!L1333</f>
        <v>3</v>
      </c>
      <c r="L1333" s="6" t="n">
        <f aca="false">F1333*E1333</f>
        <v>0</v>
      </c>
      <c r="N1333" s="0" t="n">
        <v>1</v>
      </c>
      <c r="O1333" s="6" t="n">
        <f aca="false">D1333</f>
        <v>4.656666667</v>
      </c>
      <c r="P1333" s="6" t="n">
        <f aca="false">E1333</f>
        <v>0</v>
      </c>
      <c r="Q1333" s="6" t="n">
        <f aca="false">F1333</f>
        <v>0</v>
      </c>
      <c r="R1333" s="6" t="n">
        <f aca="false">G1333</f>
        <v>0</v>
      </c>
      <c r="S1333" s="6" t="n">
        <f aca="false">H1333</f>
        <v>0</v>
      </c>
      <c r="T1333" s="6" t="n">
        <f aca="false">I1333</f>
        <v>0</v>
      </c>
      <c r="U1333" s="6" t="n">
        <f aca="false">L1333</f>
        <v>0</v>
      </c>
      <c r="W1333" s="6" t="n">
        <f aca="false">D1333</f>
        <v>4.656666667</v>
      </c>
      <c r="X1333" s="6" t="n">
        <f aca="false">E1333</f>
        <v>0</v>
      </c>
      <c r="Y1333" s="6" t="n">
        <f aca="false">F1333</f>
        <v>0</v>
      </c>
      <c r="Z1333" s="6" t="n">
        <f aca="false">L1333</f>
        <v>0</v>
      </c>
      <c r="AA1333" s="6" t="n">
        <f aca="false">G1333</f>
        <v>0</v>
      </c>
      <c r="AC1333" s="6" t="n">
        <f aca="false">D1333</f>
        <v>4.656666667</v>
      </c>
      <c r="AD1333" s="6" t="n">
        <f aca="false">E1333</f>
        <v>0</v>
      </c>
      <c r="AE1333" s="6" t="n">
        <f aca="false">G1333</f>
        <v>0</v>
      </c>
      <c r="AF1333" s="6" t="n">
        <f aca="false">H1333</f>
        <v>0</v>
      </c>
      <c r="AG1333" s="6" t="n">
        <f aca="false">I1333</f>
        <v>0</v>
      </c>
      <c r="AH1333" s="6" t="n">
        <f aca="false">L1333</f>
        <v>0</v>
      </c>
    </row>
    <row r="1334" customFormat="false" ht="15" hidden="false" customHeight="false" outlineLevel="0" collapsed="false">
      <c r="A1334" s="0" t="str">
        <f aca="false">'Raw Data'!C1334</f>
        <v>Forest</v>
      </c>
      <c r="B1334" s="5" t="n">
        <f aca="false">'Raw Data'!A1334</f>
        <v>40309</v>
      </c>
      <c r="C1334" s="6" t="n">
        <f aca="false">'Raw Data'!D1334</f>
        <v>127.587485981619</v>
      </c>
      <c r="D1334" s="6" t="n">
        <f aca="false">'Raw Data'!E1334</f>
        <v>4.656666667</v>
      </c>
      <c r="E1334" s="6" t="n">
        <f aca="false">'Raw Data'!F1334</f>
        <v>0</v>
      </c>
      <c r="F1334" s="6" t="n">
        <f aca="false">'Raw Data'!G1334</f>
        <v>0</v>
      </c>
      <c r="G1334" s="6" t="n">
        <f aca="false">'Raw Data'!H1334</f>
        <v>0</v>
      </c>
      <c r="H1334" s="6" t="n">
        <f aca="false">'Raw Data'!I1334</f>
        <v>0</v>
      </c>
      <c r="I1334" s="6" t="n">
        <f aca="false">'Raw Data'!J1334</f>
        <v>0</v>
      </c>
      <c r="J1334" s="6" t="n">
        <f aca="false">'Raw Data'!K1334</f>
        <v>1</v>
      </c>
      <c r="K1334" s="6" t="n">
        <f aca="false">'Raw Data'!L1334</f>
        <v>3</v>
      </c>
      <c r="L1334" s="6" t="n">
        <f aca="false">F1334*E1334</f>
        <v>0</v>
      </c>
      <c r="N1334" s="0" t="n">
        <v>1</v>
      </c>
      <c r="O1334" s="6" t="n">
        <f aca="false">D1334</f>
        <v>4.656666667</v>
      </c>
      <c r="P1334" s="6" t="n">
        <f aca="false">E1334</f>
        <v>0</v>
      </c>
      <c r="Q1334" s="6" t="n">
        <f aca="false">F1334</f>
        <v>0</v>
      </c>
      <c r="R1334" s="6" t="n">
        <f aca="false">G1334</f>
        <v>0</v>
      </c>
      <c r="S1334" s="6" t="n">
        <f aca="false">H1334</f>
        <v>0</v>
      </c>
      <c r="T1334" s="6" t="n">
        <f aca="false">I1334</f>
        <v>0</v>
      </c>
      <c r="U1334" s="6" t="n">
        <f aca="false">L1334</f>
        <v>0</v>
      </c>
      <c r="W1334" s="6" t="n">
        <f aca="false">D1334</f>
        <v>4.656666667</v>
      </c>
      <c r="X1334" s="6" t="n">
        <f aca="false">E1334</f>
        <v>0</v>
      </c>
      <c r="Y1334" s="6" t="n">
        <f aca="false">F1334</f>
        <v>0</v>
      </c>
      <c r="Z1334" s="6" t="n">
        <f aca="false">L1334</f>
        <v>0</v>
      </c>
      <c r="AA1334" s="6" t="n">
        <f aca="false">G1334</f>
        <v>0</v>
      </c>
      <c r="AC1334" s="6" t="n">
        <f aca="false">D1334</f>
        <v>4.656666667</v>
      </c>
      <c r="AD1334" s="6" t="n">
        <f aca="false">E1334</f>
        <v>0</v>
      </c>
      <c r="AE1334" s="6" t="n">
        <f aca="false">G1334</f>
        <v>0</v>
      </c>
      <c r="AF1334" s="6" t="n">
        <f aca="false">H1334</f>
        <v>0</v>
      </c>
      <c r="AG1334" s="6" t="n">
        <f aca="false">I1334</f>
        <v>0</v>
      </c>
      <c r="AH1334" s="6" t="n">
        <f aca="false">L1334</f>
        <v>0</v>
      </c>
    </row>
    <row r="1335" customFormat="false" ht="15" hidden="false" customHeight="false" outlineLevel="0" collapsed="false">
      <c r="A1335" s="0" t="str">
        <f aca="false">'Raw Data'!C1335</f>
        <v>Forest</v>
      </c>
      <c r="B1335" s="5" t="n">
        <f aca="false">'Raw Data'!A1335</f>
        <v>40316</v>
      </c>
      <c r="C1335" s="6" t="n">
        <f aca="false">'Raw Data'!D1335</f>
        <v>225.129055894358</v>
      </c>
      <c r="D1335" s="6" t="n">
        <f aca="false">'Raw Data'!E1335</f>
        <v>4.073333333</v>
      </c>
      <c r="E1335" s="6" t="n">
        <f aca="false">'Raw Data'!F1335</f>
        <v>0</v>
      </c>
      <c r="F1335" s="6" t="n">
        <f aca="false">'Raw Data'!G1335</f>
        <v>0</v>
      </c>
      <c r="G1335" s="6" t="n">
        <f aca="false">'Raw Data'!H1335</f>
        <v>0</v>
      </c>
      <c r="H1335" s="6" t="n">
        <f aca="false">'Raw Data'!I1335</f>
        <v>0</v>
      </c>
      <c r="I1335" s="6" t="n">
        <f aca="false">'Raw Data'!J1335</f>
        <v>0</v>
      </c>
      <c r="J1335" s="6" t="n">
        <f aca="false">'Raw Data'!K1335</f>
        <v>1</v>
      </c>
      <c r="K1335" s="6" t="n">
        <f aca="false">'Raw Data'!L1335</f>
        <v>3</v>
      </c>
      <c r="L1335" s="6" t="n">
        <f aca="false">F1335*E1335</f>
        <v>0</v>
      </c>
      <c r="N1335" s="0" t="n">
        <v>1</v>
      </c>
      <c r="O1335" s="6" t="n">
        <f aca="false">D1335</f>
        <v>4.073333333</v>
      </c>
      <c r="P1335" s="6" t="n">
        <f aca="false">E1335</f>
        <v>0</v>
      </c>
      <c r="Q1335" s="6" t="n">
        <f aca="false">F1335</f>
        <v>0</v>
      </c>
      <c r="R1335" s="6" t="n">
        <f aca="false">G1335</f>
        <v>0</v>
      </c>
      <c r="S1335" s="6" t="n">
        <f aca="false">H1335</f>
        <v>0</v>
      </c>
      <c r="T1335" s="6" t="n">
        <f aca="false">I1335</f>
        <v>0</v>
      </c>
      <c r="U1335" s="6" t="n">
        <f aca="false">L1335</f>
        <v>0</v>
      </c>
      <c r="W1335" s="6" t="n">
        <f aca="false">D1335</f>
        <v>4.073333333</v>
      </c>
      <c r="X1335" s="6" t="n">
        <f aca="false">E1335</f>
        <v>0</v>
      </c>
      <c r="Y1335" s="6" t="n">
        <f aca="false">F1335</f>
        <v>0</v>
      </c>
      <c r="Z1335" s="6" t="n">
        <f aca="false">L1335</f>
        <v>0</v>
      </c>
      <c r="AA1335" s="6" t="n">
        <f aca="false">G1335</f>
        <v>0</v>
      </c>
      <c r="AC1335" s="6" t="n">
        <f aca="false">D1335</f>
        <v>4.073333333</v>
      </c>
      <c r="AD1335" s="6" t="n">
        <f aca="false">E1335</f>
        <v>0</v>
      </c>
      <c r="AE1335" s="6" t="n">
        <f aca="false">G1335</f>
        <v>0</v>
      </c>
      <c r="AF1335" s="6" t="n">
        <f aca="false">H1335</f>
        <v>0</v>
      </c>
      <c r="AG1335" s="6" t="n">
        <f aca="false">I1335</f>
        <v>0</v>
      </c>
      <c r="AH1335" s="6" t="n">
        <f aca="false">L1335</f>
        <v>0</v>
      </c>
    </row>
    <row r="1336" customFormat="false" ht="15" hidden="false" customHeight="false" outlineLevel="0" collapsed="false">
      <c r="A1336" s="0" t="str">
        <f aca="false">'Raw Data'!C1336</f>
        <v>Forest</v>
      </c>
      <c r="B1336" s="5" t="n">
        <f aca="false">'Raw Data'!A1336</f>
        <v>40323</v>
      </c>
      <c r="C1336" s="6" t="n">
        <f aca="false">'Raw Data'!D1336</f>
        <v>180.175318166903</v>
      </c>
      <c r="D1336" s="6" t="n">
        <f aca="false">'Raw Data'!E1336</f>
        <v>4.073333333</v>
      </c>
      <c r="E1336" s="6" t="n">
        <f aca="false">'Raw Data'!F1336</f>
        <v>0</v>
      </c>
      <c r="F1336" s="6" t="n">
        <f aca="false">'Raw Data'!G1336</f>
        <v>0</v>
      </c>
      <c r="G1336" s="6" t="n">
        <f aca="false">'Raw Data'!H1336</f>
        <v>0</v>
      </c>
      <c r="H1336" s="6" t="n">
        <f aca="false">'Raw Data'!I1336</f>
        <v>0</v>
      </c>
      <c r="I1336" s="6" t="n">
        <f aca="false">'Raw Data'!J1336</f>
        <v>0</v>
      </c>
      <c r="J1336" s="6" t="n">
        <f aca="false">'Raw Data'!K1336</f>
        <v>1</v>
      </c>
      <c r="K1336" s="6" t="n">
        <f aca="false">'Raw Data'!L1336</f>
        <v>3</v>
      </c>
      <c r="L1336" s="6" t="n">
        <f aca="false">F1336*E1336</f>
        <v>0</v>
      </c>
      <c r="N1336" s="0" t="n">
        <v>1</v>
      </c>
      <c r="O1336" s="6" t="n">
        <f aca="false">D1336</f>
        <v>4.073333333</v>
      </c>
      <c r="P1336" s="6" t="n">
        <f aca="false">E1336</f>
        <v>0</v>
      </c>
      <c r="Q1336" s="6" t="n">
        <f aca="false">F1336</f>
        <v>0</v>
      </c>
      <c r="R1336" s="6" t="n">
        <f aca="false">G1336</f>
        <v>0</v>
      </c>
      <c r="S1336" s="6" t="n">
        <f aca="false">H1336</f>
        <v>0</v>
      </c>
      <c r="T1336" s="6" t="n">
        <f aca="false">I1336</f>
        <v>0</v>
      </c>
      <c r="U1336" s="6" t="n">
        <f aca="false">L1336</f>
        <v>0</v>
      </c>
      <c r="W1336" s="6" t="n">
        <f aca="false">D1336</f>
        <v>4.073333333</v>
      </c>
      <c r="X1336" s="6" t="n">
        <f aca="false">E1336</f>
        <v>0</v>
      </c>
      <c r="Y1336" s="6" t="n">
        <f aca="false">F1336</f>
        <v>0</v>
      </c>
      <c r="Z1336" s="6" t="n">
        <f aca="false">L1336</f>
        <v>0</v>
      </c>
      <c r="AA1336" s="6" t="n">
        <f aca="false">G1336</f>
        <v>0</v>
      </c>
      <c r="AC1336" s="6" t="n">
        <f aca="false">D1336</f>
        <v>4.073333333</v>
      </c>
      <c r="AD1336" s="6" t="n">
        <f aca="false">E1336</f>
        <v>0</v>
      </c>
      <c r="AE1336" s="6" t="n">
        <f aca="false">G1336</f>
        <v>0</v>
      </c>
      <c r="AF1336" s="6" t="n">
        <f aca="false">H1336</f>
        <v>0</v>
      </c>
      <c r="AG1336" s="6" t="n">
        <f aca="false">I1336</f>
        <v>0</v>
      </c>
      <c r="AH1336" s="6" t="n">
        <f aca="false">L1336</f>
        <v>0</v>
      </c>
    </row>
    <row r="1337" customFormat="false" ht="15" hidden="false" customHeight="false" outlineLevel="0" collapsed="false">
      <c r="A1337" s="0" t="str">
        <f aca="false">'Raw Data'!C1337</f>
        <v>Forest</v>
      </c>
      <c r="B1337" s="5" t="n">
        <f aca="false">'Raw Data'!A1337</f>
        <v>40330</v>
      </c>
      <c r="C1337" s="6" t="n">
        <f aca="false">'Raw Data'!D1337</f>
        <v>243.546379237422</v>
      </c>
      <c r="D1337" s="6" t="n">
        <f aca="false">'Raw Data'!E1337</f>
        <v>3.99</v>
      </c>
      <c r="E1337" s="6" t="n">
        <f aca="false">'Raw Data'!F1337</f>
        <v>0</v>
      </c>
      <c r="F1337" s="6" t="n">
        <f aca="false">'Raw Data'!G1337</f>
        <v>0</v>
      </c>
      <c r="G1337" s="6" t="n">
        <f aca="false">'Raw Data'!H1337</f>
        <v>0</v>
      </c>
      <c r="H1337" s="6" t="n">
        <f aca="false">'Raw Data'!I1337</f>
        <v>0</v>
      </c>
      <c r="I1337" s="6" t="n">
        <f aca="false">'Raw Data'!J1337</f>
        <v>0</v>
      </c>
      <c r="J1337" s="6" t="n">
        <f aca="false">'Raw Data'!K1337</f>
        <v>1</v>
      </c>
      <c r="K1337" s="6" t="n">
        <f aca="false">'Raw Data'!L1337</f>
        <v>3</v>
      </c>
      <c r="L1337" s="6" t="n">
        <f aca="false">F1337*E1337</f>
        <v>0</v>
      </c>
      <c r="N1337" s="0" t="n">
        <v>1</v>
      </c>
      <c r="O1337" s="6" t="n">
        <f aca="false">D1337</f>
        <v>3.99</v>
      </c>
      <c r="P1337" s="6" t="n">
        <f aca="false">E1337</f>
        <v>0</v>
      </c>
      <c r="Q1337" s="6" t="n">
        <f aca="false">F1337</f>
        <v>0</v>
      </c>
      <c r="R1337" s="6" t="n">
        <f aca="false">G1337</f>
        <v>0</v>
      </c>
      <c r="S1337" s="6" t="n">
        <f aca="false">H1337</f>
        <v>0</v>
      </c>
      <c r="T1337" s="6" t="n">
        <f aca="false">I1337</f>
        <v>0</v>
      </c>
      <c r="U1337" s="6" t="n">
        <f aca="false">L1337</f>
        <v>0</v>
      </c>
      <c r="W1337" s="6" t="n">
        <f aca="false">D1337</f>
        <v>3.99</v>
      </c>
      <c r="X1337" s="6" t="n">
        <f aca="false">E1337</f>
        <v>0</v>
      </c>
      <c r="Y1337" s="6" t="n">
        <f aca="false">F1337</f>
        <v>0</v>
      </c>
      <c r="Z1337" s="6" t="n">
        <f aca="false">L1337</f>
        <v>0</v>
      </c>
      <c r="AA1337" s="6" t="n">
        <f aca="false">G1337</f>
        <v>0</v>
      </c>
      <c r="AC1337" s="6" t="n">
        <f aca="false">D1337</f>
        <v>3.99</v>
      </c>
      <c r="AD1337" s="6" t="n">
        <f aca="false">E1337</f>
        <v>0</v>
      </c>
      <c r="AE1337" s="6" t="n">
        <f aca="false">G1337</f>
        <v>0</v>
      </c>
      <c r="AF1337" s="6" t="n">
        <f aca="false">H1337</f>
        <v>0</v>
      </c>
      <c r="AG1337" s="6" t="n">
        <f aca="false">I1337</f>
        <v>0</v>
      </c>
      <c r="AH1337" s="6" t="n">
        <f aca="false">L1337</f>
        <v>0</v>
      </c>
    </row>
    <row r="1338" customFormat="false" ht="15" hidden="false" customHeight="false" outlineLevel="0" collapsed="false">
      <c r="A1338" s="0" t="str">
        <f aca="false">'Raw Data'!C1338</f>
        <v>Forest</v>
      </c>
      <c r="B1338" s="5" t="n">
        <f aca="false">'Raw Data'!A1338</f>
        <v>40337</v>
      </c>
      <c r="C1338" s="6" t="n">
        <f aca="false">'Raw Data'!D1338</f>
        <v>237.604479213041</v>
      </c>
      <c r="D1338" s="6" t="n">
        <f aca="false">'Raw Data'!E1338</f>
        <v>4.561428571</v>
      </c>
      <c r="E1338" s="6" t="n">
        <f aca="false">'Raw Data'!F1338</f>
        <v>0</v>
      </c>
      <c r="F1338" s="6" t="n">
        <f aca="false">'Raw Data'!G1338</f>
        <v>0</v>
      </c>
      <c r="G1338" s="6" t="n">
        <f aca="false">'Raw Data'!H1338</f>
        <v>0</v>
      </c>
      <c r="H1338" s="6" t="n">
        <f aca="false">'Raw Data'!I1338</f>
        <v>0</v>
      </c>
      <c r="I1338" s="6" t="n">
        <f aca="false">'Raw Data'!J1338</f>
        <v>0</v>
      </c>
      <c r="J1338" s="6" t="n">
        <f aca="false">'Raw Data'!K1338</f>
        <v>1</v>
      </c>
      <c r="K1338" s="6" t="n">
        <f aca="false">'Raw Data'!L1338</f>
        <v>3</v>
      </c>
      <c r="L1338" s="6" t="n">
        <f aca="false">F1338*E1338</f>
        <v>0</v>
      </c>
      <c r="N1338" s="0" t="n">
        <v>1</v>
      </c>
      <c r="O1338" s="6" t="n">
        <f aca="false">D1338</f>
        <v>4.561428571</v>
      </c>
      <c r="P1338" s="6" t="n">
        <f aca="false">E1338</f>
        <v>0</v>
      </c>
      <c r="Q1338" s="6" t="n">
        <f aca="false">F1338</f>
        <v>0</v>
      </c>
      <c r="R1338" s="6" t="n">
        <f aca="false">G1338</f>
        <v>0</v>
      </c>
      <c r="S1338" s="6" t="n">
        <f aca="false">H1338</f>
        <v>0</v>
      </c>
      <c r="T1338" s="6" t="n">
        <f aca="false">I1338</f>
        <v>0</v>
      </c>
      <c r="U1338" s="6" t="n">
        <f aca="false">L1338</f>
        <v>0</v>
      </c>
      <c r="W1338" s="6" t="n">
        <f aca="false">D1338</f>
        <v>4.561428571</v>
      </c>
      <c r="X1338" s="6" t="n">
        <f aca="false">E1338</f>
        <v>0</v>
      </c>
      <c r="Y1338" s="6" t="n">
        <f aca="false">F1338</f>
        <v>0</v>
      </c>
      <c r="Z1338" s="6" t="n">
        <f aca="false">L1338</f>
        <v>0</v>
      </c>
      <c r="AA1338" s="6" t="n">
        <f aca="false">G1338</f>
        <v>0</v>
      </c>
      <c r="AC1338" s="6" t="n">
        <f aca="false">D1338</f>
        <v>4.561428571</v>
      </c>
      <c r="AD1338" s="6" t="n">
        <f aca="false">E1338</f>
        <v>0</v>
      </c>
      <c r="AE1338" s="6" t="n">
        <f aca="false">G1338</f>
        <v>0</v>
      </c>
      <c r="AF1338" s="6" t="n">
        <f aca="false">H1338</f>
        <v>0</v>
      </c>
      <c r="AG1338" s="6" t="n">
        <f aca="false">I1338</f>
        <v>0</v>
      </c>
      <c r="AH1338" s="6" t="n">
        <f aca="false">L1338</f>
        <v>0</v>
      </c>
    </row>
    <row r="1339" customFormat="false" ht="15" hidden="false" customHeight="false" outlineLevel="0" collapsed="false">
      <c r="A1339" s="0" t="str">
        <f aca="false">'Raw Data'!C1339</f>
        <v>Forest</v>
      </c>
      <c r="B1339" s="5" t="n">
        <f aca="false">'Raw Data'!A1339</f>
        <v>40344</v>
      </c>
      <c r="C1339" s="6" t="n">
        <f aca="false">'Raw Data'!D1339</f>
        <v>191.123722603828</v>
      </c>
      <c r="D1339" s="6" t="n">
        <f aca="false">'Raw Data'!E1339</f>
        <v>3.99</v>
      </c>
      <c r="E1339" s="6" t="n">
        <f aca="false">'Raw Data'!F1339</f>
        <v>0</v>
      </c>
      <c r="F1339" s="6" t="n">
        <f aca="false">'Raw Data'!G1339</f>
        <v>0</v>
      </c>
      <c r="G1339" s="6" t="n">
        <f aca="false">'Raw Data'!H1339</f>
        <v>0</v>
      </c>
      <c r="H1339" s="6" t="n">
        <f aca="false">'Raw Data'!I1339</f>
        <v>0</v>
      </c>
      <c r="I1339" s="6" t="n">
        <f aca="false">'Raw Data'!J1339</f>
        <v>0</v>
      </c>
      <c r="J1339" s="6" t="n">
        <f aca="false">'Raw Data'!K1339</f>
        <v>1</v>
      </c>
      <c r="K1339" s="6" t="n">
        <f aca="false">'Raw Data'!L1339</f>
        <v>3</v>
      </c>
      <c r="L1339" s="6" t="n">
        <f aca="false">F1339*E1339</f>
        <v>0</v>
      </c>
      <c r="N1339" s="0" t="n">
        <v>1</v>
      </c>
      <c r="O1339" s="6" t="n">
        <f aca="false">D1339</f>
        <v>3.99</v>
      </c>
      <c r="P1339" s="6" t="n">
        <f aca="false">E1339</f>
        <v>0</v>
      </c>
      <c r="Q1339" s="6" t="n">
        <f aca="false">F1339</f>
        <v>0</v>
      </c>
      <c r="R1339" s="6" t="n">
        <f aca="false">G1339</f>
        <v>0</v>
      </c>
      <c r="S1339" s="6" t="n">
        <f aca="false">H1339</f>
        <v>0</v>
      </c>
      <c r="T1339" s="6" t="n">
        <f aca="false">I1339</f>
        <v>0</v>
      </c>
      <c r="U1339" s="6" t="n">
        <f aca="false">L1339</f>
        <v>0</v>
      </c>
      <c r="W1339" s="6" t="n">
        <f aca="false">D1339</f>
        <v>3.99</v>
      </c>
      <c r="X1339" s="6" t="n">
        <f aca="false">E1339</f>
        <v>0</v>
      </c>
      <c r="Y1339" s="6" t="n">
        <f aca="false">F1339</f>
        <v>0</v>
      </c>
      <c r="Z1339" s="6" t="n">
        <f aca="false">L1339</f>
        <v>0</v>
      </c>
      <c r="AA1339" s="6" t="n">
        <f aca="false">G1339</f>
        <v>0</v>
      </c>
      <c r="AC1339" s="6" t="n">
        <f aca="false">D1339</f>
        <v>3.99</v>
      </c>
      <c r="AD1339" s="6" t="n">
        <f aca="false">E1339</f>
        <v>0</v>
      </c>
      <c r="AE1339" s="6" t="n">
        <f aca="false">G1339</f>
        <v>0</v>
      </c>
      <c r="AF1339" s="6" t="n">
        <f aca="false">H1339</f>
        <v>0</v>
      </c>
      <c r="AG1339" s="6" t="n">
        <f aca="false">I1339</f>
        <v>0</v>
      </c>
      <c r="AH1339" s="6" t="n">
        <f aca="false">L1339</f>
        <v>0</v>
      </c>
    </row>
    <row r="1340" customFormat="false" ht="15" hidden="false" customHeight="false" outlineLevel="0" collapsed="false">
      <c r="A1340" s="0" t="str">
        <f aca="false">'Raw Data'!C1340</f>
        <v>Forest</v>
      </c>
      <c r="B1340" s="5" t="n">
        <f aca="false">'Raw Data'!A1340</f>
        <v>40351</v>
      </c>
      <c r="C1340" s="6" t="n">
        <f aca="false">'Raw Data'!D1340</f>
        <v>254.320435457141</v>
      </c>
      <c r="D1340" s="6" t="n">
        <f aca="false">'Raw Data'!E1340</f>
        <v>3.99</v>
      </c>
      <c r="E1340" s="6" t="n">
        <f aca="false">'Raw Data'!F1340</f>
        <v>0</v>
      </c>
      <c r="F1340" s="6" t="n">
        <f aca="false">'Raw Data'!G1340</f>
        <v>0</v>
      </c>
      <c r="G1340" s="6" t="n">
        <f aca="false">'Raw Data'!H1340</f>
        <v>0</v>
      </c>
      <c r="H1340" s="6" t="n">
        <f aca="false">'Raw Data'!I1340</f>
        <v>0</v>
      </c>
      <c r="I1340" s="6" t="n">
        <f aca="false">'Raw Data'!J1340</f>
        <v>0</v>
      </c>
      <c r="J1340" s="6" t="n">
        <f aca="false">'Raw Data'!K1340</f>
        <v>1</v>
      </c>
      <c r="K1340" s="6" t="n">
        <f aca="false">'Raw Data'!L1340</f>
        <v>3</v>
      </c>
      <c r="L1340" s="6" t="n">
        <f aca="false">F1340*E1340</f>
        <v>0</v>
      </c>
      <c r="N1340" s="0" t="n">
        <v>1</v>
      </c>
      <c r="O1340" s="6" t="n">
        <f aca="false">D1340</f>
        <v>3.99</v>
      </c>
      <c r="P1340" s="6" t="n">
        <f aca="false">E1340</f>
        <v>0</v>
      </c>
      <c r="Q1340" s="6" t="n">
        <f aca="false">F1340</f>
        <v>0</v>
      </c>
      <c r="R1340" s="6" t="n">
        <f aca="false">G1340</f>
        <v>0</v>
      </c>
      <c r="S1340" s="6" t="n">
        <f aca="false">H1340</f>
        <v>0</v>
      </c>
      <c r="T1340" s="6" t="n">
        <f aca="false">I1340</f>
        <v>0</v>
      </c>
      <c r="U1340" s="6" t="n">
        <f aca="false">L1340</f>
        <v>0</v>
      </c>
      <c r="W1340" s="6" t="n">
        <f aca="false">D1340</f>
        <v>3.99</v>
      </c>
      <c r="X1340" s="6" t="n">
        <f aca="false">E1340</f>
        <v>0</v>
      </c>
      <c r="Y1340" s="6" t="n">
        <f aca="false">F1340</f>
        <v>0</v>
      </c>
      <c r="Z1340" s="6" t="n">
        <f aca="false">L1340</f>
        <v>0</v>
      </c>
      <c r="AA1340" s="6" t="n">
        <f aca="false">G1340</f>
        <v>0</v>
      </c>
      <c r="AC1340" s="6" t="n">
        <f aca="false">D1340</f>
        <v>3.99</v>
      </c>
      <c r="AD1340" s="6" t="n">
        <f aca="false">E1340</f>
        <v>0</v>
      </c>
      <c r="AE1340" s="6" t="n">
        <f aca="false">G1340</f>
        <v>0</v>
      </c>
      <c r="AF1340" s="6" t="n">
        <f aca="false">H1340</f>
        <v>0</v>
      </c>
      <c r="AG1340" s="6" t="n">
        <f aca="false">I1340</f>
        <v>0</v>
      </c>
      <c r="AH1340" s="6" t="n">
        <f aca="false">L1340</f>
        <v>0</v>
      </c>
    </row>
    <row r="1341" customFormat="false" ht="15" hidden="false" customHeight="false" outlineLevel="0" collapsed="false">
      <c r="A1341" s="0" t="str">
        <f aca="false">'Raw Data'!C1341</f>
        <v>Forest</v>
      </c>
      <c r="B1341" s="5" t="n">
        <f aca="false">'Raw Data'!A1341</f>
        <v>40358</v>
      </c>
      <c r="C1341" s="6" t="n">
        <f aca="false">'Raw Data'!D1341</f>
        <v>217.857367180976</v>
      </c>
      <c r="D1341" s="6" t="n">
        <f aca="false">'Raw Data'!E1341</f>
        <v>3.99</v>
      </c>
      <c r="E1341" s="6" t="n">
        <f aca="false">'Raw Data'!F1341</f>
        <v>0</v>
      </c>
      <c r="F1341" s="6" t="n">
        <f aca="false">'Raw Data'!G1341</f>
        <v>0</v>
      </c>
      <c r="G1341" s="6" t="n">
        <f aca="false">'Raw Data'!H1341</f>
        <v>0</v>
      </c>
      <c r="H1341" s="6" t="n">
        <f aca="false">'Raw Data'!I1341</f>
        <v>0</v>
      </c>
      <c r="I1341" s="6" t="n">
        <f aca="false">'Raw Data'!J1341</f>
        <v>0</v>
      </c>
      <c r="J1341" s="6" t="n">
        <f aca="false">'Raw Data'!K1341</f>
        <v>1</v>
      </c>
      <c r="K1341" s="6" t="n">
        <f aca="false">'Raw Data'!L1341</f>
        <v>3</v>
      </c>
      <c r="L1341" s="6" t="n">
        <f aca="false">F1341*E1341</f>
        <v>0</v>
      </c>
      <c r="N1341" s="0" t="n">
        <v>1</v>
      </c>
      <c r="O1341" s="6" t="n">
        <f aca="false">D1341</f>
        <v>3.99</v>
      </c>
      <c r="P1341" s="6" t="n">
        <f aca="false">E1341</f>
        <v>0</v>
      </c>
      <c r="Q1341" s="6" t="n">
        <f aca="false">F1341</f>
        <v>0</v>
      </c>
      <c r="R1341" s="6" t="n">
        <f aca="false">G1341</f>
        <v>0</v>
      </c>
      <c r="S1341" s="6" t="n">
        <f aca="false">H1341</f>
        <v>0</v>
      </c>
      <c r="T1341" s="6" t="n">
        <f aca="false">I1341</f>
        <v>0</v>
      </c>
      <c r="U1341" s="6" t="n">
        <f aca="false">L1341</f>
        <v>0</v>
      </c>
      <c r="W1341" s="6" t="n">
        <f aca="false">D1341</f>
        <v>3.99</v>
      </c>
      <c r="X1341" s="6" t="n">
        <f aca="false">E1341</f>
        <v>0</v>
      </c>
      <c r="Y1341" s="6" t="n">
        <f aca="false">F1341</f>
        <v>0</v>
      </c>
      <c r="Z1341" s="6" t="n">
        <f aca="false">L1341</f>
        <v>0</v>
      </c>
      <c r="AA1341" s="6" t="n">
        <f aca="false">G1341</f>
        <v>0</v>
      </c>
      <c r="AC1341" s="6" t="n">
        <f aca="false">D1341</f>
        <v>3.99</v>
      </c>
      <c r="AD1341" s="6" t="n">
        <f aca="false">E1341</f>
        <v>0</v>
      </c>
      <c r="AE1341" s="6" t="n">
        <f aca="false">G1341</f>
        <v>0</v>
      </c>
      <c r="AF1341" s="6" t="n">
        <f aca="false">H1341</f>
        <v>0</v>
      </c>
      <c r="AG1341" s="6" t="n">
        <f aca="false">I1341</f>
        <v>0</v>
      </c>
      <c r="AH1341" s="6" t="n">
        <f aca="false">L1341</f>
        <v>0</v>
      </c>
    </row>
    <row r="1342" customFormat="false" ht="15" hidden="false" customHeight="false" outlineLevel="0" collapsed="false">
      <c r="A1342" s="0" t="str">
        <f aca="false">'Raw Data'!C1342</f>
        <v>Forest</v>
      </c>
      <c r="B1342" s="5" t="n">
        <f aca="false">'Raw Data'!A1342</f>
        <v>40365</v>
      </c>
      <c r="C1342" s="6" t="n">
        <f aca="false">'Raw Data'!D1342</f>
        <v>200.951267724137</v>
      </c>
      <c r="D1342" s="6" t="n">
        <f aca="false">'Raw Data'!E1342</f>
        <v>4.39</v>
      </c>
      <c r="E1342" s="6" t="n">
        <f aca="false">'Raw Data'!F1342</f>
        <v>0</v>
      </c>
      <c r="F1342" s="6" t="n">
        <f aca="false">'Raw Data'!G1342</f>
        <v>0</v>
      </c>
      <c r="G1342" s="6" t="n">
        <f aca="false">'Raw Data'!H1342</f>
        <v>0</v>
      </c>
      <c r="H1342" s="6" t="n">
        <f aca="false">'Raw Data'!I1342</f>
        <v>0</v>
      </c>
      <c r="I1342" s="6" t="n">
        <f aca="false">'Raw Data'!J1342</f>
        <v>0</v>
      </c>
      <c r="J1342" s="6" t="n">
        <f aca="false">'Raw Data'!K1342</f>
        <v>1</v>
      </c>
      <c r="K1342" s="6" t="n">
        <f aca="false">'Raw Data'!L1342</f>
        <v>3</v>
      </c>
      <c r="L1342" s="6" t="n">
        <f aca="false">F1342*E1342</f>
        <v>0</v>
      </c>
      <c r="N1342" s="0" t="n">
        <v>1</v>
      </c>
      <c r="O1342" s="6" t="n">
        <f aca="false">D1342</f>
        <v>4.39</v>
      </c>
      <c r="P1342" s="6" t="n">
        <f aca="false">E1342</f>
        <v>0</v>
      </c>
      <c r="Q1342" s="6" t="n">
        <f aca="false">F1342</f>
        <v>0</v>
      </c>
      <c r="R1342" s="6" t="n">
        <f aca="false">G1342</f>
        <v>0</v>
      </c>
      <c r="S1342" s="6" t="n">
        <f aca="false">H1342</f>
        <v>0</v>
      </c>
      <c r="T1342" s="6" t="n">
        <f aca="false">I1342</f>
        <v>0</v>
      </c>
      <c r="U1342" s="6" t="n">
        <f aca="false">L1342</f>
        <v>0</v>
      </c>
      <c r="W1342" s="6" t="n">
        <f aca="false">D1342</f>
        <v>4.39</v>
      </c>
      <c r="X1342" s="6" t="n">
        <f aca="false">E1342</f>
        <v>0</v>
      </c>
      <c r="Y1342" s="6" t="n">
        <f aca="false">F1342</f>
        <v>0</v>
      </c>
      <c r="Z1342" s="6" t="n">
        <f aca="false">L1342</f>
        <v>0</v>
      </c>
      <c r="AA1342" s="6" t="n">
        <f aca="false">G1342</f>
        <v>0</v>
      </c>
      <c r="AC1342" s="6" t="n">
        <f aca="false">D1342</f>
        <v>4.39</v>
      </c>
      <c r="AD1342" s="6" t="n">
        <f aca="false">E1342</f>
        <v>0</v>
      </c>
      <c r="AE1342" s="6" t="n">
        <f aca="false">G1342</f>
        <v>0</v>
      </c>
      <c r="AF1342" s="6" t="n">
        <f aca="false">H1342</f>
        <v>0</v>
      </c>
      <c r="AG1342" s="6" t="n">
        <f aca="false">I1342</f>
        <v>0</v>
      </c>
      <c r="AH1342" s="6" t="n">
        <f aca="false">L1342</f>
        <v>0</v>
      </c>
    </row>
    <row r="1343" customFormat="false" ht="15" hidden="false" customHeight="false" outlineLevel="0" collapsed="false">
      <c r="A1343" s="0" t="str">
        <f aca="false">'Raw Data'!C1343</f>
        <v>Forest</v>
      </c>
      <c r="B1343" s="5" t="n">
        <f aca="false">'Raw Data'!A1343</f>
        <v>40372</v>
      </c>
      <c r="C1343" s="6" t="n">
        <f aca="false">'Raw Data'!D1343</f>
        <v>120.850520450594</v>
      </c>
      <c r="D1343" s="6" t="n">
        <f aca="false">'Raw Data'!E1343</f>
        <v>4.39</v>
      </c>
      <c r="E1343" s="6" t="n">
        <f aca="false">'Raw Data'!F1343</f>
        <v>0</v>
      </c>
      <c r="F1343" s="6" t="n">
        <f aca="false">'Raw Data'!G1343</f>
        <v>0</v>
      </c>
      <c r="G1343" s="6" t="n">
        <f aca="false">'Raw Data'!H1343</f>
        <v>0</v>
      </c>
      <c r="H1343" s="6" t="n">
        <f aca="false">'Raw Data'!I1343</f>
        <v>0</v>
      </c>
      <c r="I1343" s="6" t="n">
        <f aca="false">'Raw Data'!J1343</f>
        <v>0</v>
      </c>
      <c r="J1343" s="6" t="n">
        <f aca="false">'Raw Data'!K1343</f>
        <v>1</v>
      </c>
      <c r="K1343" s="6" t="n">
        <f aca="false">'Raw Data'!L1343</f>
        <v>3</v>
      </c>
      <c r="L1343" s="6" t="n">
        <f aca="false">F1343*E1343</f>
        <v>0</v>
      </c>
      <c r="N1343" s="0" t="n">
        <v>1</v>
      </c>
      <c r="O1343" s="6" t="n">
        <f aca="false">D1343</f>
        <v>4.39</v>
      </c>
      <c r="P1343" s="6" t="n">
        <f aca="false">E1343</f>
        <v>0</v>
      </c>
      <c r="Q1343" s="6" t="n">
        <f aca="false">F1343</f>
        <v>0</v>
      </c>
      <c r="R1343" s="6" t="n">
        <f aca="false">G1343</f>
        <v>0</v>
      </c>
      <c r="S1343" s="6" t="n">
        <f aca="false">H1343</f>
        <v>0</v>
      </c>
      <c r="T1343" s="6" t="n">
        <f aca="false">I1343</f>
        <v>0</v>
      </c>
      <c r="U1343" s="6" t="n">
        <f aca="false">L1343</f>
        <v>0</v>
      </c>
      <c r="W1343" s="6" t="n">
        <f aca="false">D1343</f>
        <v>4.39</v>
      </c>
      <c r="X1343" s="6" t="n">
        <f aca="false">E1343</f>
        <v>0</v>
      </c>
      <c r="Y1343" s="6" t="n">
        <f aca="false">F1343</f>
        <v>0</v>
      </c>
      <c r="Z1343" s="6" t="n">
        <f aca="false">L1343</f>
        <v>0</v>
      </c>
      <c r="AA1343" s="6" t="n">
        <f aca="false">G1343</f>
        <v>0</v>
      </c>
      <c r="AC1343" s="6" t="n">
        <f aca="false">D1343</f>
        <v>4.39</v>
      </c>
      <c r="AD1343" s="6" t="n">
        <f aca="false">E1343</f>
        <v>0</v>
      </c>
      <c r="AE1343" s="6" t="n">
        <f aca="false">G1343</f>
        <v>0</v>
      </c>
      <c r="AF1343" s="6" t="n">
        <f aca="false">H1343</f>
        <v>0</v>
      </c>
      <c r="AG1343" s="6" t="n">
        <f aca="false">I1343</f>
        <v>0</v>
      </c>
      <c r="AH1343" s="6" t="n">
        <f aca="false">L1343</f>
        <v>0</v>
      </c>
    </row>
    <row r="1344" customFormat="false" ht="15" hidden="false" customHeight="false" outlineLevel="0" collapsed="false">
      <c r="A1344" s="0" t="str">
        <f aca="false">'Raw Data'!C1344</f>
        <v>Lamar</v>
      </c>
      <c r="B1344" s="5" t="n">
        <f aca="false">'Raw Data'!A1344</f>
        <v>40302</v>
      </c>
      <c r="C1344" s="6" t="n">
        <f aca="false">'Raw Data'!D1344</f>
        <v>273.493827005974</v>
      </c>
      <c r="D1344" s="6" t="n">
        <f aca="false">'Raw Data'!E1344</f>
        <v>4.39</v>
      </c>
      <c r="E1344" s="6" t="n">
        <f aca="false">'Raw Data'!F1344</f>
        <v>0</v>
      </c>
      <c r="F1344" s="6" t="n">
        <f aca="false">'Raw Data'!G1344</f>
        <v>0</v>
      </c>
      <c r="G1344" s="6" t="n">
        <f aca="false">'Raw Data'!H1344</f>
        <v>0</v>
      </c>
      <c r="H1344" s="6" t="n">
        <f aca="false">'Raw Data'!I1344</f>
        <v>0</v>
      </c>
      <c r="I1344" s="6" t="n">
        <f aca="false">'Raw Data'!J1344</f>
        <v>0</v>
      </c>
      <c r="J1344" s="6" t="n">
        <f aca="false">'Raw Data'!K1344</f>
        <v>0</v>
      </c>
      <c r="K1344" s="6" t="n">
        <f aca="false">'Raw Data'!L1344</f>
        <v>5</v>
      </c>
      <c r="L1344" s="6" t="n">
        <f aca="false">F1344*E1344</f>
        <v>0</v>
      </c>
      <c r="N1344" s="0" t="n">
        <v>1</v>
      </c>
      <c r="O1344" s="6" t="n">
        <f aca="false">D1344</f>
        <v>4.39</v>
      </c>
      <c r="P1344" s="6" t="n">
        <f aca="false">E1344</f>
        <v>0</v>
      </c>
      <c r="Q1344" s="6" t="n">
        <f aca="false">F1344</f>
        <v>0</v>
      </c>
      <c r="R1344" s="6" t="n">
        <f aca="false">G1344</f>
        <v>0</v>
      </c>
      <c r="S1344" s="6" t="n">
        <f aca="false">H1344</f>
        <v>0</v>
      </c>
      <c r="T1344" s="6" t="n">
        <f aca="false">I1344</f>
        <v>0</v>
      </c>
      <c r="U1344" s="6" t="n">
        <f aca="false">L1344</f>
        <v>0</v>
      </c>
      <c r="W1344" s="6" t="n">
        <f aca="false">D1344</f>
        <v>4.39</v>
      </c>
      <c r="X1344" s="6" t="n">
        <f aca="false">E1344</f>
        <v>0</v>
      </c>
      <c r="Y1344" s="6" t="n">
        <f aca="false">F1344</f>
        <v>0</v>
      </c>
      <c r="Z1344" s="6" t="n">
        <f aca="false">L1344</f>
        <v>0</v>
      </c>
      <c r="AA1344" s="6" t="n">
        <f aca="false">G1344</f>
        <v>0</v>
      </c>
      <c r="AC1344" s="6" t="n">
        <f aca="false">D1344</f>
        <v>4.39</v>
      </c>
      <c r="AD1344" s="6" t="n">
        <f aca="false">E1344</f>
        <v>0</v>
      </c>
      <c r="AE1344" s="6" t="n">
        <f aca="false">G1344</f>
        <v>0</v>
      </c>
      <c r="AF1344" s="6" t="n">
        <f aca="false">H1344</f>
        <v>0</v>
      </c>
      <c r="AG1344" s="6" t="n">
        <f aca="false">I1344</f>
        <v>0</v>
      </c>
      <c r="AH1344" s="6" t="n">
        <f aca="false">L1344</f>
        <v>0</v>
      </c>
    </row>
    <row r="1345" customFormat="false" ht="15" hidden="false" customHeight="false" outlineLevel="0" collapsed="false">
      <c r="A1345" s="0" t="str">
        <f aca="false">'Raw Data'!C1345</f>
        <v>Lamar</v>
      </c>
      <c r="B1345" s="5" t="n">
        <f aca="false">'Raw Data'!A1345</f>
        <v>40309</v>
      </c>
      <c r="C1345" s="6" t="n">
        <f aca="false">'Raw Data'!D1345</f>
        <v>92.0885807051829</v>
      </c>
      <c r="D1345" s="6" t="n">
        <f aca="false">'Raw Data'!E1345</f>
        <v>4.39</v>
      </c>
      <c r="E1345" s="6" t="n">
        <f aca="false">'Raw Data'!F1345</f>
        <v>0</v>
      </c>
      <c r="F1345" s="6" t="n">
        <f aca="false">'Raw Data'!G1345</f>
        <v>0</v>
      </c>
      <c r="G1345" s="6" t="n">
        <f aca="false">'Raw Data'!H1345</f>
        <v>0</v>
      </c>
      <c r="H1345" s="6" t="n">
        <f aca="false">'Raw Data'!I1345</f>
        <v>0</v>
      </c>
      <c r="I1345" s="6" t="n">
        <f aca="false">'Raw Data'!J1345</f>
        <v>0</v>
      </c>
      <c r="J1345" s="6" t="n">
        <f aca="false">'Raw Data'!K1345</f>
        <v>0</v>
      </c>
      <c r="K1345" s="6" t="n">
        <f aca="false">'Raw Data'!L1345</f>
        <v>5</v>
      </c>
      <c r="L1345" s="6" t="n">
        <f aca="false">F1345*E1345</f>
        <v>0</v>
      </c>
      <c r="N1345" s="0" t="n">
        <v>1</v>
      </c>
      <c r="O1345" s="6" t="n">
        <f aca="false">D1345</f>
        <v>4.39</v>
      </c>
      <c r="P1345" s="6" t="n">
        <f aca="false">E1345</f>
        <v>0</v>
      </c>
      <c r="Q1345" s="6" t="n">
        <f aca="false">F1345</f>
        <v>0</v>
      </c>
      <c r="R1345" s="6" t="n">
        <f aca="false">G1345</f>
        <v>0</v>
      </c>
      <c r="S1345" s="6" t="n">
        <f aca="false">H1345</f>
        <v>0</v>
      </c>
      <c r="T1345" s="6" t="n">
        <f aca="false">I1345</f>
        <v>0</v>
      </c>
      <c r="U1345" s="6" t="n">
        <f aca="false">L1345</f>
        <v>0</v>
      </c>
      <c r="W1345" s="6" t="n">
        <f aca="false">D1345</f>
        <v>4.39</v>
      </c>
      <c r="X1345" s="6" t="n">
        <f aca="false">E1345</f>
        <v>0</v>
      </c>
      <c r="Y1345" s="6" t="n">
        <f aca="false">F1345</f>
        <v>0</v>
      </c>
      <c r="Z1345" s="6" t="n">
        <f aca="false">L1345</f>
        <v>0</v>
      </c>
      <c r="AA1345" s="6" t="n">
        <f aca="false">G1345</f>
        <v>0</v>
      </c>
      <c r="AC1345" s="6" t="n">
        <f aca="false">D1345</f>
        <v>4.39</v>
      </c>
      <c r="AD1345" s="6" t="n">
        <f aca="false">E1345</f>
        <v>0</v>
      </c>
      <c r="AE1345" s="6" t="n">
        <f aca="false">G1345</f>
        <v>0</v>
      </c>
      <c r="AF1345" s="6" t="n">
        <f aca="false">H1345</f>
        <v>0</v>
      </c>
      <c r="AG1345" s="6" t="n">
        <f aca="false">I1345</f>
        <v>0</v>
      </c>
      <c r="AH1345" s="6" t="n">
        <f aca="false">L1345</f>
        <v>0</v>
      </c>
    </row>
    <row r="1346" customFormat="false" ht="15" hidden="false" customHeight="false" outlineLevel="0" collapsed="false">
      <c r="A1346" s="0" t="str">
        <f aca="false">'Raw Data'!C1346</f>
        <v>Lamar</v>
      </c>
      <c r="B1346" s="5" t="n">
        <f aca="false">'Raw Data'!A1346</f>
        <v>40316</v>
      </c>
      <c r="C1346" s="6" t="n">
        <f aca="false">'Raw Data'!D1346</f>
        <v>213.750887751843</v>
      </c>
      <c r="D1346" s="6" t="n">
        <f aca="false">'Raw Data'!E1346</f>
        <v>3.84</v>
      </c>
      <c r="E1346" s="6" t="n">
        <f aca="false">'Raw Data'!F1346</f>
        <v>0</v>
      </c>
      <c r="F1346" s="6" t="n">
        <f aca="false">'Raw Data'!G1346</f>
        <v>0</v>
      </c>
      <c r="G1346" s="6" t="n">
        <f aca="false">'Raw Data'!H1346</f>
        <v>0</v>
      </c>
      <c r="H1346" s="6" t="n">
        <f aca="false">'Raw Data'!I1346</f>
        <v>0</v>
      </c>
      <c r="I1346" s="6" t="n">
        <f aca="false">'Raw Data'!J1346</f>
        <v>0</v>
      </c>
      <c r="J1346" s="6" t="n">
        <f aca="false">'Raw Data'!K1346</f>
        <v>0</v>
      </c>
      <c r="K1346" s="6" t="n">
        <f aca="false">'Raw Data'!L1346</f>
        <v>5</v>
      </c>
      <c r="L1346" s="6" t="n">
        <f aca="false">F1346*E1346</f>
        <v>0</v>
      </c>
      <c r="N1346" s="0" t="n">
        <v>1</v>
      </c>
      <c r="O1346" s="6" t="n">
        <f aca="false">D1346</f>
        <v>3.84</v>
      </c>
      <c r="P1346" s="6" t="n">
        <f aca="false">E1346</f>
        <v>0</v>
      </c>
      <c r="Q1346" s="6" t="n">
        <f aca="false">F1346</f>
        <v>0</v>
      </c>
      <c r="R1346" s="6" t="n">
        <f aca="false">G1346</f>
        <v>0</v>
      </c>
      <c r="S1346" s="6" t="n">
        <f aca="false">H1346</f>
        <v>0</v>
      </c>
      <c r="T1346" s="6" t="n">
        <f aca="false">I1346</f>
        <v>0</v>
      </c>
      <c r="U1346" s="6" t="n">
        <f aca="false">L1346</f>
        <v>0</v>
      </c>
      <c r="W1346" s="6" t="n">
        <f aca="false">D1346</f>
        <v>3.84</v>
      </c>
      <c r="X1346" s="6" t="n">
        <f aca="false">E1346</f>
        <v>0</v>
      </c>
      <c r="Y1346" s="6" t="n">
        <f aca="false">F1346</f>
        <v>0</v>
      </c>
      <c r="Z1346" s="6" t="n">
        <f aca="false">L1346</f>
        <v>0</v>
      </c>
      <c r="AA1346" s="6" t="n">
        <f aca="false">G1346</f>
        <v>0</v>
      </c>
      <c r="AC1346" s="6" t="n">
        <f aca="false">D1346</f>
        <v>3.84</v>
      </c>
      <c r="AD1346" s="6" t="n">
        <f aca="false">E1346</f>
        <v>0</v>
      </c>
      <c r="AE1346" s="6" t="n">
        <f aca="false">G1346</f>
        <v>0</v>
      </c>
      <c r="AF1346" s="6" t="n">
        <f aca="false">H1346</f>
        <v>0</v>
      </c>
      <c r="AG1346" s="6" t="n">
        <f aca="false">I1346</f>
        <v>0</v>
      </c>
      <c r="AH1346" s="6" t="n">
        <f aca="false">L1346</f>
        <v>0</v>
      </c>
    </row>
    <row r="1347" customFormat="false" ht="15" hidden="false" customHeight="false" outlineLevel="0" collapsed="false">
      <c r="A1347" s="0" t="str">
        <f aca="false">'Raw Data'!C1347</f>
        <v>Lamar</v>
      </c>
      <c r="B1347" s="5" t="n">
        <f aca="false">'Raw Data'!A1347</f>
        <v>40323</v>
      </c>
      <c r="C1347" s="6" t="n">
        <f aca="false">'Raw Data'!D1347</f>
        <v>132.543487853759</v>
      </c>
      <c r="D1347" s="6" t="n">
        <f aca="false">'Raw Data'!E1347</f>
        <v>3.84</v>
      </c>
      <c r="E1347" s="6" t="n">
        <f aca="false">'Raw Data'!F1347</f>
        <v>0</v>
      </c>
      <c r="F1347" s="6" t="n">
        <f aca="false">'Raw Data'!G1347</f>
        <v>0</v>
      </c>
      <c r="G1347" s="6" t="n">
        <f aca="false">'Raw Data'!H1347</f>
        <v>0</v>
      </c>
      <c r="H1347" s="6" t="n">
        <f aca="false">'Raw Data'!I1347</f>
        <v>0</v>
      </c>
      <c r="I1347" s="6" t="n">
        <f aca="false">'Raw Data'!J1347</f>
        <v>0</v>
      </c>
      <c r="J1347" s="6" t="n">
        <f aca="false">'Raw Data'!K1347</f>
        <v>0</v>
      </c>
      <c r="K1347" s="6" t="n">
        <f aca="false">'Raw Data'!L1347</f>
        <v>5</v>
      </c>
      <c r="L1347" s="6" t="n">
        <f aca="false">F1347*E1347</f>
        <v>0</v>
      </c>
      <c r="N1347" s="0" t="n">
        <v>1</v>
      </c>
      <c r="O1347" s="6" t="n">
        <f aca="false">D1347</f>
        <v>3.84</v>
      </c>
      <c r="P1347" s="6" t="n">
        <f aca="false">E1347</f>
        <v>0</v>
      </c>
      <c r="Q1347" s="6" t="n">
        <f aca="false">F1347</f>
        <v>0</v>
      </c>
      <c r="R1347" s="6" t="n">
        <f aca="false">G1347</f>
        <v>0</v>
      </c>
      <c r="S1347" s="6" t="n">
        <f aca="false">H1347</f>
        <v>0</v>
      </c>
      <c r="T1347" s="6" t="n">
        <f aca="false">I1347</f>
        <v>0</v>
      </c>
      <c r="U1347" s="6" t="n">
        <f aca="false">L1347</f>
        <v>0</v>
      </c>
      <c r="W1347" s="6" t="n">
        <f aca="false">D1347</f>
        <v>3.84</v>
      </c>
      <c r="X1347" s="6" t="n">
        <f aca="false">E1347</f>
        <v>0</v>
      </c>
      <c r="Y1347" s="6" t="n">
        <f aca="false">F1347</f>
        <v>0</v>
      </c>
      <c r="Z1347" s="6" t="n">
        <f aca="false">L1347</f>
        <v>0</v>
      </c>
      <c r="AA1347" s="6" t="n">
        <f aca="false">G1347</f>
        <v>0</v>
      </c>
      <c r="AC1347" s="6" t="n">
        <f aca="false">D1347</f>
        <v>3.84</v>
      </c>
      <c r="AD1347" s="6" t="n">
        <f aca="false">E1347</f>
        <v>0</v>
      </c>
      <c r="AE1347" s="6" t="n">
        <f aca="false">G1347</f>
        <v>0</v>
      </c>
      <c r="AF1347" s="6" t="n">
        <f aca="false">H1347</f>
        <v>0</v>
      </c>
      <c r="AG1347" s="6" t="n">
        <f aca="false">I1347</f>
        <v>0</v>
      </c>
      <c r="AH1347" s="6" t="n">
        <f aca="false">L1347</f>
        <v>0</v>
      </c>
    </row>
    <row r="1348" customFormat="false" ht="15" hidden="false" customHeight="false" outlineLevel="0" collapsed="false">
      <c r="A1348" s="0" t="str">
        <f aca="false">'Raw Data'!C1348</f>
        <v>Lamar</v>
      </c>
      <c r="B1348" s="5" t="n">
        <f aca="false">'Raw Data'!A1348</f>
        <v>40330</v>
      </c>
      <c r="C1348" s="6" t="n">
        <f aca="false">'Raw Data'!D1348</f>
        <v>218.026278037295</v>
      </c>
      <c r="D1348" s="6" t="n">
        <f aca="false">'Raw Data'!E1348</f>
        <v>3.944545455</v>
      </c>
      <c r="E1348" s="6" t="n">
        <f aca="false">'Raw Data'!F1348</f>
        <v>0</v>
      </c>
      <c r="F1348" s="6" t="n">
        <f aca="false">'Raw Data'!G1348</f>
        <v>0</v>
      </c>
      <c r="G1348" s="6" t="n">
        <f aca="false">'Raw Data'!H1348</f>
        <v>0</v>
      </c>
      <c r="H1348" s="6" t="n">
        <f aca="false">'Raw Data'!I1348</f>
        <v>0</v>
      </c>
      <c r="I1348" s="6" t="n">
        <f aca="false">'Raw Data'!J1348</f>
        <v>0</v>
      </c>
      <c r="J1348" s="6" t="n">
        <f aca="false">'Raw Data'!K1348</f>
        <v>0</v>
      </c>
      <c r="K1348" s="6" t="n">
        <f aca="false">'Raw Data'!L1348</f>
        <v>5</v>
      </c>
      <c r="L1348" s="6" t="n">
        <f aca="false">F1348*E1348</f>
        <v>0</v>
      </c>
      <c r="N1348" s="0" t="n">
        <v>1</v>
      </c>
      <c r="O1348" s="6" t="n">
        <f aca="false">D1348</f>
        <v>3.944545455</v>
      </c>
      <c r="P1348" s="6" t="n">
        <f aca="false">E1348</f>
        <v>0</v>
      </c>
      <c r="Q1348" s="6" t="n">
        <f aca="false">F1348</f>
        <v>0</v>
      </c>
      <c r="R1348" s="6" t="n">
        <f aca="false">G1348</f>
        <v>0</v>
      </c>
      <c r="S1348" s="6" t="n">
        <f aca="false">H1348</f>
        <v>0</v>
      </c>
      <c r="T1348" s="6" t="n">
        <f aca="false">I1348</f>
        <v>0</v>
      </c>
      <c r="U1348" s="6" t="n">
        <f aca="false">L1348</f>
        <v>0</v>
      </c>
      <c r="W1348" s="6" t="n">
        <f aca="false">D1348</f>
        <v>3.944545455</v>
      </c>
      <c r="X1348" s="6" t="n">
        <f aca="false">E1348</f>
        <v>0</v>
      </c>
      <c r="Y1348" s="6" t="n">
        <f aca="false">F1348</f>
        <v>0</v>
      </c>
      <c r="Z1348" s="6" t="n">
        <f aca="false">L1348</f>
        <v>0</v>
      </c>
      <c r="AA1348" s="6" t="n">
        <f aca="false">G1348</f>
        <v>0</v>
      </c>
      <c r="AC1348" s="6" t="n">
        <f aca="false">D1348</f>
        <v>3.944545455</v>
      </c>
      <c r="AD1348" s="6" t="n">
        <f aca="false">E1348</f>
        <v>0</v>
      </c>
      <c r="AE1348" s="6" t="n">
        <f aca="false">G1348</f>
        <v>0</v>
      </c>
      <c r="AF1348" s="6" t="n">
        <f aca="false">H1348</f>
        <v>0</v>
      </c>
      <c r="AG1348" s="6" t="n">
        <f aca="false">I1348</f>
        <v>0</v>
      </c>
      <c r="AH1348" s="6" t="n">
        <f aca="false">L1348</f>
        <v>0</v>
      </c>
    </row>
    <row r="1349" customFormat="false" ht="15" hidden="false" customHeight="false" outlineLevel="0" collapsed="false">
      <c r="A1349" s="0" t="str">
        <f aca="false">'Raw Data'!C1349</f>
        <v>Lamar</v>
      </c>
      <c r="B1349" s="5" t="n">
        <f aca="false">'Raw Data'!A1349</f>
        <v>40337</v>
      </c>
      <c r="C1349" s="6" t="n">
        <f aca="false">'Raw Data'!D1349</f>
        <v>227.033600200477</v>
      </c>
      <c r="D1349" s="6" t="n">
        <f aca="false">'Raw Data'!E1349</f>
        <v>4.717272727</v>
      </c>
      <c r="E1349" s="6" t="n">
        <f aca="false">'Raw Data'!F1349</f>
        <v>0</v>
      </c>
      <c r="F1349" s="6" t="n">
        <f aca="false">'Raw Data'!G1349</f>
        <v>0</v>
      </c>
      <c r="G1349" s="6" t="n">
        <f aca="false">'Raw Data'!H1349</f>
        <v>0</v>
      </c>
      <c r="H1349" s="6" t="n">
        <f aca="false">'Raw Data'!I1349</f>
        <v>0</v>
      </c>
      <c r="I1349" s="6" t="n">
        <f aca="false">'Raw Data'!J1349</f>
        <v>0</v>
      </c>
      <c r="J1349" s="6" t="n">
        <f aca="false">'Raw Data'!K1349</f>
        <v>0</v>
      </c>
      <c r="K1349" s="6" t="n">
        <f aca="false">'Raw Data'!L1349</f>
        <v>5</v>
      </c>
      <c r="L1349" s="6" t="n">
        <f aca="false">F1349*E1349</f>
        <v>0</v>
      </c>
      <c r="N1349" s="0" t="n">
        <v>1</v>
      </c>
      <c r="O1349" s="6" t="n">
        <f aca="false">D1349</f>
        <v>4.717272727</v>
      </c>
      <c r="P1349" s="6" t="n">
        <f aca="false">E1349</f>
        <v>0</v>
      </c>
      <c r="Q1349" s="6" t="n">
        <f aca="false">F1349</f>
        <v>0</v>
      </c>
      <c r="R1349" s="6" t="n">
        <f aca="false">G1349</f>
        <v>0</v>
      </c>
      <c r="S1349" s="6" t="n">
        <f aca="false">H1349</f>
        <v>0</v>
      </c>
      <c r="T1349" s="6" t="n">
        <f aca="false">I1349</f>
        <v>0</v>
      </c>
      <c r="U1349" s="6" t="n">
        <f aca="false">L1349</f>
        <v>0</v>
      </c>
      <c r="W1349" s="6" t="n">
        <f aca="false">D1349</f>
        <v>4.717272727</v>
      </c>
      <c r="X1349" s="6" t="n">
        <f aca="false">E1349</f>
        <v>0</v>
      </c>
      <c r="Y1349" s="6" t="n">
        <f aca="false">F1349</f>
        <v>0</v>
      </c>
      <c r="Z1349" s="6" t="n">
        <f aca="false">L1349</f>
        <v>0</v>
      </c>
      <c r="AA1349" s="6" t="n">
        <f aca="false">G1349</f>
        <v>0</v>
      </c>
      <c r="AC1349" s="6" t="n">
        <f aca="false">D1349</f>
        <v>4.717272727</v>
      </c>
      <c r="AD1349" s="6" t="n">
        <f aca="false">E1349</f>
        <v>0</v>
      </c>
      <c r="AE1349" s="6" t="n">
        <f aca="false">G1349</f>
        <v>0</v>
      </c>
      <c r="AF1349" s="6" t="n">
        <f aca="false">H1349</f>
        <v>0</v>
      </c>
      <c r="AG1349" s="6" t="n">
        <f aca="false">I1349</f>
        <v>0</v>
      </c>
      <c r="AH1349" s="6" t="n">
        <f aca="false">L1349</f>
        <v>0</v>
      </c>
    </row>
    <row r="1350" customFormat="false" ht="15" hidden="false" customHeight="false" outlineLevel="0" collapsed="false">
      <c r="A1350" s="0" t="str">
        <f aca="false">'Raw Data'!C1350</f>
        <v>Lamar</v>
      </c>
      <c r="B1350" s="5" t="n">
        <f aca="false">'Raw Data'!A1350</f>
        <v>40344</v>
      </c>
      <c r="C1350" s="6" t="n">
        <f aca="false">'Raw Data'!D1350</f>
        <v>85.5142496717893</v>
      </c>
      <c r="D1350" s="6" t="n">
        <f aca="false">'Raw Data'!E1350</f>
        <v>4.717272727</v>
      </c>
      <c r="E1350" s="6" t="n">
        <f aca="false">'Raw Data'!F1350</f>
        <v>0</v>
      </c>
      <c r="F1350" s="6" t="n">
        <f aca="false">'Raw Data'!G1350</f>
        <v>0</v>
      </c>
      <c r="G1350" s="6" t="n">
        <f aca="false">'Raw Data'!H1350</f>
        <v>0</v>
      </c>
      <c r="H1350" s="6" t="n">
        <f aca="false">'Raw Data'!I1350</f>
        <v>0</v>
      </c>
      <c r="I1350" s="6" t="n">
        <f aca="false">'Raw Data'!J1350</f>
        <v>0</v>
      </c>
      <c r="J1350" s="6" t="n">
        <f aca="false">'Raw Data'!K1350</f>
        <v>0</v>
      </c>
      <c r="K1350" s="6" t="n">
        <f aca="false">'Raw Data'!L1350</f>
        <v>5</v>
      </c>
      <c r="L1350" s="6" t="n">
        <f aca="false">F1350*E1350</f>
        <v>0</v>
      </c>
      <c r="N1350" s="0" t="n">
        <v>1</v>
      </c>
      <c r="O1350" s="6" t="n">
        <f aca="false">D1350</f>
        <v>4.717272727</v>
      </c>
      <c r="P1350" s="6" t="n">
        <f aca="false">E1350</f>
        <v>0</v>
      </c>
      <c r="Q1350" s="6" t="n">
        <f aca="false">F1350</f>
        <v>0</v>
      </c>
      <c r="R1350" s="6" t="n">
        <f aca="false">G1350</f>
        <v>0</v>
      </c>
      <c r="S1350" s="6" t="n">
        <f aca="false">H1350</f>
        <v>0</v>
      </c>
      <c r="T1350" s="6" t="n">
        <f aca="false">I1350</f>
        <v>0</v>
      </c>
      <c r="U1350" s="6" t="n">
        <f aca="false">L1350</f>
        <v>0</v>
      </c>
      <c r="W1350" s="6" t="n">
        <f aca="false">D1350</f>
        <v>4.717272727</v>
      </c>
      <c r="X1350" s="6" t="n">
        <f aca="false">E1350</f>
        <v>0</v>
      </c>
      <c r="Y1350" s="6" t="n">
        <f aca="false">F1350</f>
        <v>0</v>
      </c>
      <c r="Z1350" s="6" t="n">
        <f aca="false">L1350</f>
        <v>0</v>
      </c>
      <c r="AA1350" s="6" t="n">
        <f aca="false">G1350</f>
        <v>0</v>
      </c>
      <c r="AC1350" s="6" t="n">
        <f aca="false">D1350</f>
        <v>4.717272727</v>
      </c>
      <c r="AD1350" s="6" t="n">
        <f aca="false">E1350</f>
        <v>0</v>
      </c>
      <c r="AE1350" s="6" t="n">
        <f aca="false">G1350</f>
        <v>0</v>
      </c>
      <c r="AF1350" s="6" t="n">
        <f aca="false">H1350</f>
        <v>0</v>
      </c>
      <c r="AG1350" s="6" t="n">
        <f aca="false">I1350</f>
        <v>0</v>
      </c>
      <c r="AH1350" s="6" t="n">
        <f aca="false">L1350</f>
        <v>0</v>
      </c>
    </row>
    <row r="1351" customFormat="false" ht="15" hidden="false" customHeight="false" outlineLevel="0" collapsed="false">
      <c r="A1351" s="0" t="str">
        <f aca="false">'Raw Data'!C1351</f>
        <v>Lamar</v>
      </c>
      <c r="B1351" s="5" t="n">
        <f aca="false">'Raw Data'!A1351</f>
        <v>40351</v>
      </c>
      <c r="C1351" s="6" t="n">
        <f aca="false">'Raw Data'!D1351</f>
        <v>126.255841282436</v>
      </c>
      <c r="D1351" s="6" t="n">
        <f aca="false">'Raw Data'!E1351</f>
        <v>4.717272727</v>
      </c>
      <c r="E1351" s="6" t="n">
        <f aca="false">'Raw Data'!F1351</f>
        <v>0</v>
      </c>
      <c r="F1351" s="6" t="n">
        <f aca="false">'Raw Data'!G1351</f>
        <v>0</v>
      </c>
      <c r="G1351" s="6" t="n">
        <f aca="false">'Raw Data'!H1351</f>
        <v>0</v>
      </c>
      <c r="H1351" s="6" t="n">
        <f aca="false">'Raw Data'!I1351</f>
        <v>0</v>
      </c>
      <c r="I1351" s="6" t="n">
        <f aca="false">'Raw Data'!J1351</f>
        <v>0</v>
      </c>
      <c r="J1351" s="6" t="n">
        <f aca="false">'Raw Data'!K1351</f>
        <v>0</v>
      </c>
      <c r="K1351" s="6" t="n">
        <f aca="false">'Raw Data'!L1351</f>
        <v>5</v>
      </c>
      <c r="L1351" s="6" t="n">
        <f aca="false">F1351*E1351</f>
        <v>0</v>
      </c>
      <c r="N1351" s="0" t="n">
        <v>1</v>
      </c>
      <c r="O1351" s="6" t="n">
        <f aca="false">D1351</f>
        <v>4.717272727</v>
      </c>
      <c r="P1351" s="6" t="n">
        <f aca="false">E1351</f>
        <v>0</v>
      </c>
      <c r="Q1351" s="6" t="n">
        <f aca="false">F1351</f>
        <v>0</v>
      </c>
      <c r="R1351" s="6" t="n">
        <f aca="false">G1351</f>
        <v>0</v>
      </c>
      <c r="S1351" s="6" t="n">
        <f aca="false">H1351</f>
        <v>0</v>
      </c>
      <c r="T1351" s="6" t="n">
        <f aca="false">I1351</f>
        <v>0</v>
      </c>
      <c r="U1351" s="6" t="n">
        <f aca="false">L1351</f>
        <v>0</v>
      </c>
      <c r="W1351" s="6" t="n">
        <f aca="false">D1351</f>
        <v>4.717272727</v>
      </c>
      <c r="X1351" s="6" t="n">
        <f aca="false">E1351</f>
        <v>0</v>
      </c>
      <c r="Y1351" s="6" t="n">
        <f aca="false">F1351</f>
        <v>0</v>
      </c>
      <c r="Z1351" s="6" t="n">
        <f aca="false">L1351</f>
        <v>0</v>
      </c>
      <c r="AA1351" s="6" t="n">
        <f aca="false">G1351</f>
        <v>0</v>
      </c>
      <c r="AC1351" s="6" t="n">
        <f aca="false">D1351</f>
        <v>4.717272727</v>
      </c>
      <c r="AD1351" s="6" t="n">
        <f aca="false">E1351</f>
        <v>0</v>
      </c>
      <c r="AE1351" s="6" t="n">
        <f aca="false">G1351</f>
        <v>0</v>
      </c>
      <c r="AF1351" s="6" t="n">
        <f aca="false">H1351</f>
        <v>0</v>
      </c>
      <c r="AG1351" s="6" t="n">
        <f aca="false">I1351</f>
        <v>0</v>
      </c>
      <c r="AH1351" s="6" t="n">
        <f aca="false">L1351</f>
        <v>0</v>
      </c>
    </row>
    <row r="1352" customFormat="false" ht="15" hidden="false" customHeight="false" outlineLevel="0" collapsed="false">
      <c r="A1352" s="0" t="str">
        <f aca="false">'Raw Data'!C1352</f>
        <v>Lamar</v>
      </c>
      <c r="B1352" s="5" t="n">
        <f aca="false">'Raw Data'!A1352</f>
        <v>40358</v>
      </c>
      <c r="C1352" s="6" t="n">
        <f aca="false">'Raw Data'!D1352</f>
        <v>201.418659960046</v>
      </c>
      <c r="D1352" s="6" t="n">
        <f aca="false">'Raw Data'!E1352</f>
        <v>4.717272727</v>
      </c>
      <c r="E1352" s="6" t="n">
        <f aca="false">'Raw Data'!F1352</f>
        <v>0</v>
      </c>
      <c r="F1352" s="6" t="n">
        <f aca="false">'Raw Data'!G1352</f>
        <v>0</v>
      </c>
      <c r="G1352" s="6" t="n">
        <f aca="false">'Raw Data'!H1352</f>
        <v>0</v>
      </c>
      <c r="H1352" s="6" t="n">
        <f aca="false">'Raw Data'!I1352</f>
        <v>0</v>
      </c>
      <c r="I1352" s="6" t="n">
        <f aca="false">'Raw Data'!J1352</f>
        <v>0</v>
      </c>
      <c r="J1352" s="6" t="n">
        <f aca="false">'Raw Data'!K1352</f>
        <v>0</v>
      </c>
      <c r="K1352" s="6" t="n">
        <f aca="false">'Raw Data'!L1352</f>
        <v>5</v>
      </c>
      <c r="L1352" s="6" t="n">
        <f aca="false">F1352*E1352</f>
        <v>0</v>
      </c>
      <c r="N1352" s="0" t="n">
        <v>1</v>
      </c>
      <c r="O1352" s="6" t="n">
        <f aca="false">D1352</f>
        <v>4.717272727</v>
      </c>
      <c r="P1352" s="6" t="n">
        <f aca="false">E1352</f>
        <v>0</v>
      </c>
      <c r="Q1352" s="6" t="n">
        <f aca="false">F1352</f>
        <v>0</v>
      </c>
      <c r="R1352" s="6" t="n">
        <f aca="false">G1352</f>
        <v>0</v>
      </c>
      <c r="S1352" s="6" t="n">
        <f aca="false">H1352</f>
        <v>0</v>
      </c>
      <c r="T1352" s="6" t="n">
        <f aca="false">I1352</f>
        <v>0</v>
      </c>
      <c r="U1352" s="6" t="n">
        <f aca="false">L1352</f>
        <v>0</v>
      </c>
      <c r="W1352" s="6" t="n">
        <f aca="false">D1352</f>
        <v>4.717272727</v>
      </c>
      <c r="X1352" s="6" t="n">
        <f aca="false">E1352</f>
        <v>0</v>
      </c>
      <c r="Y1352" s="6" t="n">
        <f aca="false">F1352</f>
        <v>0</v>
      </c>
      <c r="Z1352" s="6" t="n">
        <f aca="false">L1352</f>
        <v>0</v>
      </c>
      <c r="AA1352" s="6" t="n">
        <f aca="false">G1352</f>
        <v>0</v>
      </c>
      <c r="AC1352" s="6" t="n">
        <f aca="false">D1352</f>
        <v>4.717272727</v>
      </c>
      <c r="AD1352" s="6" t="n">
        <f aca="false">E1352</f>
        <v>0</v>
      </c>
      <c r="AE1352" s="6" t="n">
        <f aca="false">G1352</f>
        <v>0</v>
      </c>
      <c r="AF1352" s="6" t="n">
        <f aca="false">H1352</f>
        <v>0</v>
      </c>
      <c r="AG1352" s="6" t="n">
        <f aca="false">I1352</f>
        <v>0</v>
      </c>
      <c r="AH1352" s="6" t="n">
        <f aca="false">L1352</f>
        <v>0</v>
      </c>
    </row>
    <row r="1353" customFormat="false" ht="15" hidden="false" customHeight="false" outlineLevel="0" collapsed="false">
      <c r="A1353" s="0" t="str">
        <f aca="false">'Raw Data'!C1353</f>
        <v>Lamar</v>
      </c>
      <c r="B1353" s="5" t="n">
        <f aca="false">'Raw Data'!A1353</f>
        <v>40365</v>
      </c>
      <c r="C1353" s="6" t="n">
        <f aca="false">'Raw Data'!D1353</f>
        <v>108.883872937452</v>
      </c>
      <c r="D1353" s="6" t="n">
        <f aca="false">'Raw Data'!E1353</f>
        <v>4.535454545</v>
      </c>
      <c r="E1353" s="6" t="n">
        <f aca="false">'Raw Data'!F1353</f>
        <v>0</v>
      </c>
      <c r="F1353" s="6" t="n">
        <f aca="false">'Raw Data'!G1353</f>
        <v>0</v>
      </c>
      <c r="G1353" s="6" t="n">
        <f aca="false">'Raw Data'!H1353</f>
        <v>0</v>
      </c>
      <c r="H1353" s="6" t="n">
        <f aca="false">'Raw Data'!I1353</f>
        <v>0</v>
      </c>
      <c r="I1353" s="6" t="n">
        <f aca="false">'Raw Data'!J1353</f>
        <v>0</v>
      </c>
      <c r="J1353" s="6" t="n">
        <f aca="false">'Raw Data'!K1353</f>
        <v>0</v>
      </c>
      <c r="K1353" s="6" t="n">
        <f aca="false">'Raw Data'!L1353</f>
        <v>5</v>
      </c>
      <c r="L1353" s="6" t="n">
        <f aca="false">F1353*E1353</f>
        <v>0</v>
      </c>
      <c r="N1353" s="0" t="n">
        <v>1</v>
      </c>
      <c r="O1353" s="6" t="n">
        <f aca="false">D1353</f>
        <v>4.535454545</v>
      </c>
      <c r="P1353" s="6" t="n">
        <f aca="false">E1353</f>
        <v>0</v>
      </c>
      <c r="Q1353" s="6" t="n">
        <f aca="false">F1353</f>
        <v>0</v>
      </c>
      <c r="R1353" s="6" t="n">
        <f aca="false">G1353</f>
        <v>0</v>
      </c>
      <c r="S1353" s="6" t="n">
        <f aca="false">H1353</f>
        <v>0</v>
      </c>
      <c r="T1353" s="6" t="n">
        <f aca="false">I1353</f>
        <v>0</v>
      </c>
      <c r="U1353" s="6" t="n">
        <f aca="false">L1353</f>
        <v>0</v>
      </c>
      <c r="W1353" s="6" t="n">
        <f aca="false">D1353</f>
        <v>4.535454545</v>
      </c>
      <c r="X1353" s="6" t="n">
        <f aca="false">E1353</f>
        <v>0</v>
      </c>
      <c r="Y1353" s="6" t="n">
        <f aca="false">F1353</f>
        <v>0</v>
      </c>
      <c r="Z1353" s="6" t="n">
        <f aca="false">L1353</f>
        <v>0</v>
      </c>
      <c r="AA1353" s="6" t="n">
        <f aca="false">G1353</f>
        <v>0</v>
      </c>
      <c r="AC1353" s="6" t="n">
        <f aca="false">D1353</f>
        <v>4.535454545</v>
      </c>
      <c r="AD1353" s="6" t="n">
        <f aca="false">E1353</f>
        <v>0</v>
      </c>
      <c r="AE1353" s="6" t="n">
        <f aca="false">G1353</f>
        <v>0</v>
      </c>
      <c r="AF1353" s="6" t="n">
        <f aca="false">H1353</f>
        <v>0</v>
      </c>
      <c r="AG1353" s="6" t="n">
        <f aca="false">I1353</f>
        <v>0</v>
      </c>
      <c r="AH1353" s="6" t="n">
        <f aca="false">L1353</f>
        <v>0</v>
      </c>
    </row>
    <row r="1354" customFormat="false" ht="15" hidden="false" customHeight="false" outlineLevel="0" collapsed="false">
      <c r="A1354" s="0" t="str">
        <f aca="false">'Raw Data'!C1354</f>
        <v>Lamar</v>
      </c>
      <c r="B1354" s="5" t="n">
        <f aca="false">'Raw Data'!A1354</f>
        <v>40372</v>
      </c>
      <c r="C1354" s="6" t="n">
        <f aca="false">'Raw Data'!D1354</f>
        <v>206.904629142428</v>
      </c>
      <c r="D1354" s="6" t="n">
        <f aca="false">'Raw Data'!E1354</f>
        <v>4.535454545</v>
      </c>
      <c r="E1354" s="6" t="n">
        <f aca="false">'Raw Data'!F1354</f>
        <v>0</v>
      </c>
      <c r="F1354" s="6" t="n">
        <f aca="false">'Raw Data'!G1354</f>
        <v>0</v>
      </c>
      <c r="G1354" s="6" t="n">
        <f aca="false">'Raw Data'!H1354</f>
        <v>0</v>
      </c>
      <c r="H1354" s="6" t="n">
        <f aca="false">'Raw Data'!I1354</f>
        <v>0</v>
      </c>
      <c r="I1354" s="6" t="n">
        <f aca="false">'Raw Data'!J1354</f>
        <v>0</v>
      </c>
      <c r="J1354" s="6" t="n">
        <f aca="false">'Raw Data'!K1354</f>
        <v>0</v>
      </c>
      <c r="K1354" s="6" t="n">
        <f aca="false">'Raw Data'!L1354</f>
        <v>5</v>
      </c>
      <c r="L1354" s="6" t="n">
        <f aca="false">F1354*E1354</f>
        <v>0</v>
      </c>
      <c r="N1354" s="0" t="n">
        <v>1</v>
      </c>
      <c r="O1354" s="6" t="n">
        <f aca="false">D1354</f>
        <v>4.535454545</v>
      </c>
      <c r="P1354" s="6" t="n">
        <f aca="false">E1354</f>
        <v>0</v>
      </c>
      <c r="Q1354" s="6" t="n">
        <f aca="false">F1354</f>
        <v>0</v>
      </c>
      <c r="R1354" s="6" t="n">
        <f aca="false">G1354</f>
        <v>0</v>
      </c>
      <c r="S1354" s="6" t="n">
        <f aca="false">H1354</f>
        <v>0</v>
      </c>
      <c r="T1354" s="6" t="n">
        <f aca="false">I1354</f>
        <v>0</v>
      </c>
      <c r="U1354" s="6" t="n">
        <f aca="false">L1354</f>
        <v>0</v>
      </c>
      <c r="W1354" s="6" t="n">
        <f aca="false">D1354</f>
        <v>4.535454545</v>
      </c>
      <c r="X1354" s="6" t="n">
        <f aca="false">E1354</f>
        <v>0</v>
      </c>
      <c r="Y1354" s="6" t="n">
        <f aca="false">F1354</f>
        <v>0</v>
      </c>
      <c r="Z1354" s="6" t="n">
        <f aca="false">L1354</f>
        <v>0</v>
      </c>
      <c r="AA1354" s="6" t="n">
        <f aca="false">G1354</f>
        <v>0</v>
      </c>
      <c r="AC1354" s="6" t="n">
        <f aca="false">D1354</f>
        <v>4.535454545</v>
      </c>
      <c r="AD1354" s="6" t="n">
        <f aca="false">E1354</f>
        <v>0</v>
      </c>
      <c r="AE1354" s="6" t="n">
        <f aca="false">G1354</f>
        <v>0</v>
      </c>
      <c r="AF1354" s="6" t="n">
        <f aca="false">H1354</f>
        <v>0</v>
      </c>
      <c r="AG1354" s="6" t="n">
        <f aca="false">I1354</f>
        <v>0</v>
      </c>
      <c r="AH1354" s="6" t="n">
        <f aca="false">L1354</f>
        <v>0</v>
      </c>
    </row>
    <row r="1355" customFormat="false" ht="15" hidden="false" customHeight="false" outlineLevel="0" collapsed="false">
      <c r="A1355" s="0" t="str">
        <f aca="false">'Raw Data'!C1355</f>
        <v>Parkway (aka Arlington)</v>
      </c>
      <c r="B1355" s="5" t="n">
        <f aca="false">'Raw Data'!A1355</f>
        <v>40302</v>
      </c>
      <c r="C1355" s="6" t="n">
        <f aca="false">'Raw Data'!D1355</f>
        <v>131.669753014369</v>
      </c>
      <c r="D1355" s="6" t="n">
        <f aca="false">'Raw Data'!E1355</f>
        <v>3.99</v>
      </c>
      <c r="E1355" s="6" t="n">
        <f aca="false">'Raw Data'!F1355</f>
        <v>0</v>
      </c>
      <c r="F1355" s="6" t="n">
        <f aca="false">'Raw Data'!G1355</f>
        <v>0</v>
      </c>
      <c r="G1355" s="6" t="n">
        <f aca="false">'Raw Data'!H1355</f>
        <v>0</v>
      </c>
      <c r="H1355" s="6" t="n">
        <f aca="false">'Raw Data'!I1355</f>
        <v>0</v>
      </c>
      <c r="I1355" s="6" t="n">
        <f aca="false">'Raw Data'!J1355</f>
        <v>0</v>
      </c>
      <c r="J1355" s="6" t="n">
        <f aca="false">'Raw Data'!K1355</f>
        <v>2</v>
      </c>
      <c r="K1355" s="6" t="n">
        <f aca="false">'Raw Data'!L1355</f>
        <v>1</v>
      </c>
      <c r="L1355" s="6" t="n">
        <f aca="false">F1355*E1355</f>
        <v>0</v>
      </c>
      <c r="N1355" s="0" t="n">
        <v>1</v>
      </c>
      <c r="O1355" s="6" t="n">
        <f aca="false">D1355</f>
        <v>3.99</v>
      </c>
      <c r="P1355" s="6" t="n">
        <f aca="false">E1355</f>
        <v>0</v>
      </c>
      <c r="Q1355" s="6" t="n">
        <f aca="false">F1355</f>
        <v>0</v>
      </c>
      <c r="R1355" s="6" t="n">
        <f aca="false">G1355</f>
        <v>0</v>
      </c>
      <c r="S1355" s="6" t="n">
        <f aca="false">H1355</f>
        <v>0</v>
      </c>
      <c r="T1355" s="6" t="n">
        <f aca="false">I1355</f>
        <v>0</v>
      </c>
      <c r="U1355" s="6" t="n">
        <f aca="false">L1355</f>
        <v>0</v>
      </c>
      <c r="W1355" s="6" t="n">
        <f aca="false">D1355</f>
        <v>3.99</v>
      </c>
      <c r="X1355" s="6" t="n">
        <f aca="false">E1355</f>
        <v>0</v>
      </c>
      <c r="Y1355" s="6" t="n">
        <f aca="false">F1355</f>
        <v>0</v>
      </c>
      <c r="Z1355" s="6" t="n">
        <f aca="false">L1355</f>
        <v>0</v>
      </c>
      <c r="AA1355" s="6" t="n">
        <f aca="false">G1355</f>
        <v>0</v>
      </c>
      <c r="AC1355" s="6" t="n">
        <f aca="false">D1355</f>
        <v>3.99</v>
      </c>
      <c r="AD1355" s="6" t="n">
        <f aca="false">E1355</f>
        <v>0</v>
      </c>
      <c r="AE1355" s="6" t="n">
        <f aca="false">G1355</f>
        <v>0</v>
      </c>
      <c r="AF1355" s="6" t="n">
        <f aca="false">H1355</f>
        <v>0</v>
      </c>
      <c r="AG1355" s="6" t="n">
        <f aca="false">I1355</f>
        <v>0</v>
      </c>
      <c r="AH1355" s="6" t="n">
        <f aca="false">L1355</f>
        <v>0</v>
      </c>
    </row>
    <row r="1356" customFormat="false" ht="15" hidden="false" customHeight="false" outlineLevel="0" collapsed="false">
      <c r="A1356" s="0" t="str">
        <f aca="false">'Raw Data'!C1356</f>
        <v>Parkway (aka Arlington)</v>
      </c>
      <c r="B1356" s="5" t="n">
        <f aca="false">'Raw Data'!A1356</f>
        <v>40309</v>
      </c>
      <c r="C1356" s="6" t="n">
        <f aca="false">'Raw Data'!D1356</f>
        <v>140.282133017038</v>
      </c>
      <c r="D1356" s="6" t="n">
        <f aca="false">'Raw Data'!E1356</f>
        <v>3.99</v>
      </c>
      <c r="E1356" s="6" t="n">
        <f aca="false">'Raw Data'!F1356</f>
        <v>0</v>
      </c>
      <c r="F1356" s="6" t="n">
        <f aca="false">'Raw Data'!G1356</f>
        <v>0</v>
      </c>
      <c r="G1356" s="6" t="n">
        <f aca="false">'Raw Data'!H1356</f>
        <v>0</v>
      </c>
      <c r="H1356" s="6" t="n">
        <f aca="false">'Raw Data'!I1356</f>
        <v>0</v>
      </c>
      <c r="I1356" s="6" t="n">
        <f aca="false">'Raw Data'!J1356</f>
        <v>0</v>
      </c>
      <c r="J1356" s="6" t="n">
        <f aca="false">'Raw Data'!K1356</f>
        <v>2</v>
      </c>
      <c r="K1356" s="6" t="n">
        <f aca="false">'Raw Data'!L1356</f>
        <v>1</v>
      </c>
      <c r="L1356" s="6" t="n">
        <f aca="false">F1356*E1356</f>
        <v>0</v>
      </c>
      <c r="N1356" s="0" t="n">
        <v>1</v>
      </c>
      <c r="O1356" s="6" t="n">
        <f aca="false">D1356</f>
        <v>3.99</v>
      </c>
      <c r="P1356" s="6" t="n">
        <f aca="false">E1356</f>
        <v>0</v>
      </c>
      <c r="Q1356" s="6" t="n">
        <f aca="false">F1356</f>
        <v>0</v>
      </c>
      <c r="R1356" s="6" t="n">
        <f aca="false">G1356</f>
        <v>0</v>
      </c>
      <c r="S1356" s="6" t="n">
        <f aca="false">H1356</f>
        <v>0</v>
      </c>
      <c r="T1356" s="6" t="n">
        <f aca="false">I1356</f>
        <v>0</v>
      </c>
      <c r="U1356" s="6" t="n">
        <f aca="false">L1356</f>
        <v>0</v>
      </c>
      <c r="W1356" s="6" t="n">
        <f aca="false">D1356</f>
        <v>3.99</v>
      </c>
      <c r="X1356" s="6" t="n">
        <f aca="false">E1356</f>
        <v>0</v>
      </c>
      <c r="Y1356" s="6" t="n">
        <f aca="false">F1356</f>
        <v>0</v>
      </c>
      <c r="Z1356" s="6" t="n">
        <f aca="false">L1356</f>
        <v>0</v>
      </c>
      <c r="AA1356" s="6" t="n">
        <f aca="false">G1356</f>
        <v>0</v>
      </c>
      <c r="AC1356" s="6" t="n">
        <f aca="false">D1356</f>
        <v>3.99</v>
      </c>
      <c r="AD1356" s="6" t="n">
        <f aca="false">E1356</f>
        <v>0</v>
      </c>
      <c r="AE1356" s="6" t="n">
        <f aca="false">G1356</f>
        <v>0</v>
      </c>
      <c r="AF1356" s="6" t="n">
        <f aca="false">H1356</f>
        <v>0</v>
      </c>
      <c r="AG1356" s="6" t="n">
        <f aca="false">I1356</f>
        <v>0</v>
      </c>
      <c r="AH1356" s="6" t="n">
        <f aca="false">L1356</f>
        <v>0</v>
      </c>
    </row>
    <row r="1357" customFormat="false" ht="15" hidden="false" customHeight="false" outlineLevel="0" collapsed="false">
      <c r="A1357" s="0" t="str">
        <f aca="false">'Raw Data'!C1357</f>
        <v>Parkway (aka Arlington)</v>
      </c>
      <c r="B1357" s="5" t="n">
        <f aca="false">'Raw Data'!A1357</f>
        <v>40316</v>
      </c>
      <c r="C1357" s="6" t="n">
        <f aca="false">'Raw Data'!D1357</f>
        <v>187.402700002377</v>
      </c>
      <c r="D1357" s="6" t="n">
        <f aca="false">'Raw Data'!E1357</f>
        <v>3.74</v>
      </c>
      <c r="E1357" s="6" t="n">
        <f aca="false">'Raw Data'!F1357</f>
        <v>0</v>
      </c>
      <c r="F1357" s="6" t="n">
        <f aca="false">'Raw Data'!G1357</f>
        <v>0</v>
      </c>
      <c r="G1357" s="6" t="n">
        <f aca="false">'Raw Data'!H1357</f>
        <v>0</v>
      </c>
      <c r="H1357" s="6" t="n">
        <f aca="false">'Raw Data'!I1357</f>
        <v>0</v>
      </c>
      <c r="I1357" s="6" t="n">
        <f aca="false">'Raw Data'!J1357</f>
        <v>0</v>
      </c>
      <c r="J1357" s="6" t="n">
        <f aca="false">'Raw Data'!K1357</f>
        <v>2</v>
      </c>
      <c r="K1357" s="6" t="n">
        <f aca="false">'Raw Data'!L1357</f>
        <v>1</v>
      </c>
      <c r="L1357" s="6" t="n">
        <f aca="false">F1357*E1357</f>
        <v>0</v>
      </c>
      <c r="N1357" s="0" t="n">
        <v>1</v>
      </c>
      <c r="O1357" s="6" t="n">
        <f aca="false">D1357</f>
        <v>3.74</v>
      </c>
      <c r="P1357" s="6" t="n">
        <f aca="false">E1357</f>
        <v>0</v>
      </c>
      <c r="Q1357" s="6" t="n">
        <f aca="false">F1357</f>
        <v>0</v>
      </c>
      <c r="R1357" s="6" t="n">
        <f aca="false">G1357</f>
        <v>0</v>
      </c>
      <c r="S1357" s="6" t="n">
        <f aca="false">H1357</f>
        <v>0</v>
      </c>
      <c r="T1357" s="6" t="n">
        <f aca="false">I1357</f>
        <v>0</v>
      </c>
      <c r="U1357" s="6" t="n">
        <f aca="false">L1357</f>
        <v>0</v>
      </c>
      <c r="W1357" s="6" t="n">
        <f aca="false">D1357</f>
        <v>3.74</v>
      </c>
      <c r="X1357" s="6" t="n">
        <f aca="false">E1357</f>
        <v>0</v>
      </c>
      <c r="Y1357" s="6" t="n">
        <f aca="false">F1357</f>
        <v>0</v>
      </c>
      <c r="Z1357" s="6" t="n">
        <f aca="false">L1357</f>
        <v>0</v>
      </c>
      <c r="AA1357" s="6" t="n">
        <f aca="false">G1357</f>
        <v>0</v>
      </c>
      <c r="AC1357" s="6" t="n">
        <f aca="false">D1357</f>
        <v>3.74</v>
      </c>
      <c r="AD1357" s="6" t="n">
        <f aca="false">E1357</f>
        <v>0</v>
      </c>
      <c r="AE1357" s="6" t="n">
        <f aca="false">G1357</f>
        <v>0</v>
      </c>
      <c r="AF1357" s="6" t="n">
        <f aca="false">H1357</f>
        <v>0</v>
      </c>
      <c r="AG1357" s="6" t="n">
        <f aca="false">I1357</f>
        <v>0</v>
      </c>
      <c r="AH1357" s="6" t="n">
        <f aca="false">L1357</f>
        <v>0</v>
      </c>
    </row>
    <row r="1358" customFormat="false" ht="15" hidden="false" customHeight="false" outlineLevel="0" collapsed="false">
      <c r="A1358" s="0" t="str">
        <f aca="false">'Raw Data'!C1358</f>
        <v>Parkway (aka Arlington)</v>
      </c>
      <c r="B1358" s="5" t="n">
        <f aca="false">'Raw Data'!A1358</f>
        <v>40323</v>
      </c>
      <c r="C1358" s="6" t="n">
        <f aca="false">'Raw Data'!D1358</f>
        <v>190.10765770326</v>
      </c>
      <c r="D1358" s="6" t="n">
        <f aca="false">'Raw Data'!E1358</f>
        <v>3.74</v>
      </c>
      <c r="E1358" s="6" t="n">
        <f aca="false">'Raw Data'!F1358</f>
        <v>0</v>
      </c>
      <c r="F1358" s="6" t="n">
        <f aca="false">'Raw Data'!G1358</f>
        <v>0</v>
      </c>
      <c r="G1358" s="6" t="n">
        <f aca="false">'Raw Data'!H1358</f>
        <v>0</v>
      </c>
      <c r="H1358" s="6" t="n">
        <f aca="false">'Raw Data'!I1358</f>
        <v>0</v>
      </c>
      <c r="I1358" s="6" t="n">
        <f aca="false">'Raw Data'!J1358</f>
        <v>0</v>
      </c>
      <c r="J1358" s="6" t="n">
        <f aca="false">'Raw Data'!K1358</f>
        <v>2</v>
      </c>
      <c r="K1358" s="6" t="n">
        <f aca="false">'Raw Data'!L1358</f>
        <v>1</v>
      </c>
      <c r="L1358" s="6" t="n">
        <f aca="false">F1358*E1358</f>
        <v>0</v>
      </c>
      <c r="N1358" s="0" t="n">
        <v>1</v>
      </c>
      <c r="O1358" s="6" t="n">
        <f aca="false">D1358</f>
        <v>3.74</v>
      </c>
      <c r="P1358" s="6" t="n">
        <f aca="false">E1358</f>
        <v>0</v>
      </c>
      <c r="Q1358" s="6" t="n">
        <f aca="false">F1358</f>
        <v>0</v>
      </c>
      <c r="R1358" s="6" t="n">
        <f aca="false">G1358</f>
        <v>0</v>
      </c>
      <c r="S1358" s="6" t="n">
        <f aca="false">H1358</f>
        <v>0</v>
      </c>
      <c r="T1358" s="6" t="n">
        <f aca="false">I1358</f>
        <v>0</v>
      </c>
      <c r="U1358" s="6" t="n">
        <f aca="false">L1358</f>
        <v>0</v>
      </c>
      <c r="W1358" s="6" t="n">
        <f aca="false">D1358</f>
        <v>3.74</v>
      </c>
      <c r="X1358" s="6" t="n">
        <f aca="false">E1358</f>
        <v>0</v>
      </c>
      <c r="Y1358" s="6" t="n">
        <f aca="false">F1358</f>
        <v>0</v>
      </c>
      <c r="Z1358" s="6" t="n">
        <f aca="false">L1358</f>
        <v>0</v>
      </c>
      <c r="AA1358" s="6" t="n">
        <f aca="false">G1358</f>
        <v>0</v>
      </c>
      <c r="AC1358" s="6" t="n">
        <f aca="false">D1358</f>
        <v>3.74</v>
      </c>
      <c r="AD1358" s="6" t="n">
        <f aca="false">E1358</f>
        <v>0</v>
      </c>
      <c r="AE1358" s="6" t="n">
        <f aca="false">G1358</f>
        <v>0</v>
      </c>
      <c r="AF1358" s="6" t="n">
        <f aca="false">H1358</f>
        <v>0</v>
      </c>
      <c r="AG1358" s="6" t="n">
        <f aca="false">I1358</f>
        <v>0</v>
      </c>
      <c r="AH1358" s="6" t="n">
        <f aca="false">L1358</f>
        <v>0</v>
      </c>
    </row>
    <row r="1359" customFormat="false" ht="15" hidden="false" customHeight="false" outlineLevel="0" collapsed="false">
      <c r="A1359" s="0" t="str">
        <f aca="false">'Raw Data'!C1359</f>
        <v>Parkway (aka Arlington)</v>
      </c>
      <c r="B1359" s="5" t="n">
        <f aca="false">'Raw Data'!A1359</f>
        <v>40330</v>
      </c>
      <c r="C1359" s="6" t="n">
        <f aca="false">'Raw Data'!D1359</f>
        <v>148.669094765205</v>
      </c>
      <c r="D1359" s="6" t="n">
        <f aca="false">'Raw Data'!E1359</f>
        <v>3.74</v>
      </c>
      <c r="E1359" s="6" t="n">
        <f aca="false">'Raw Data'!F1359</f>
        <v>0</v>
      </c>
      <c r="F1359" s="6" t="n">
        <f aca="false">'Raw Data'!G1359</f>
        <v>0</v>
      </c>
      <c r="G1359" s="6" t="n">
        <f aca="false">'Raw Data'!H1359</f>
        <v>0</v>
      </c>
      <c r="H1359" s="6" t="n">
        <f aca="false">'Raw Data'!I1359</f>
        <v>0</v>
      </c>
      <c r="I1359" s="6" t="n">
        <f aca="false">'Raw Data'!J1359</f>
        <v>0</v>
      </c>
      <c r="J1359" s="6" t="n">
        <f aca="false">'Raw Data'!K1359</f>
        <v>2</v>
      </c>
      <c r="K1359" s="6" t="n">
        <f aca="false">'Raw Data'!L1359</f>
        <v>1</v>
      </c>
      <c r="L1359" s="6" t="n">
        <f aca="false">F1359*E1359</f>
        <v>0</v>
      </c>
      <c r="N1359" s="0" t="n">
        <v>1</v>
      </c>
      <c r="O1359" s="6" t="n">
        <f aca="false">D1359</f>
        <v>3.74</v>
      </c>
      <c r="P1359" s="6" t="n">
        <f aca="false">E1359</f>
        <v>0</v>
      </c>
      <c r="Q1359" s="6" t="n">
        <f aca="false">F1359</f>
        <v>0</v>
      </c>
      <c r="R1359" s="6" t="n">
        <f aca="false">G1359</f>
        <v>0</v>
      </c>
      <c r="S1359" s="6" t="n">
        <f aca="false">H1359</f>
        <v>0</v>
      </c>
      <c r="T1359" s="6" t="n">
        <f aca="false">I1359</f>
        <v>0</v>
      </c>
      <c r="U1359" s="6" t="n">
        <f aca="false">L1359</f>
        <v>0</v>
      </c>
      <c r="W1359" s="6" t="n">
        <f aca="false">D1359</f>
        <v>3.74</v>
      </c>
      <c r="X1359" s="6" t="n">
        <f aca="false">E1359</f>
        <v>0</v>
      </c>
      <c r="Y1359" s="6" t="n">
        <f aca="false">F1359</f>
        <v>0</v>
      </c>
      <c r="Z1359" s="6" t="n">
        <f aca="false">L1359</f>
        <v>0</v>
      </c>
      <c r="AA1359" s="6" t="n">
        <f aca="false">G1359</f>
        <v>0</v>
      </c>
      <c r="AC1359" s="6" t="n">
        <f aca="false">D1359</f>
        <v>3.74</v>
      </c>
      <c r="AD1359" s="6" t="n">
        <f aca="false">E1359</f>
        <v>0</v>
      </c>
      <c r="AE1359" s="6" t="n">
        <f aca="false">G1359</f>
        <v>0</v>
      </c>
      <c r="AF1359" s="6" t="n">
        <f aca="false">H1359</f>
        <v>0</v>
      </c>
      <c r="AG1359" s="6" t="n">
        <f aca="false">I1359</f>
        <v>0</v>
      </c>
      <c r="AH1359" s="6" t="n">
        <f aca="false">L1359</f>
        <v>0</v>
      </c>
    </row>
    <row r="1360" customFormat="false" ht="15" hidden="false" customHeight="false" outlineLevel="0" collapsed="false">
      <c r="A1360" s="0" t="str">
        <f aca="false">'Raw Data'!C1360</f>
        <v>Parkway (aka Arlington)</v>
      </c>
      <c r="B1360" s="5" t="n">
        <f aca="false">'Raw Data'!A1360</f>
        <v>40337</v>
      </c>
      <c r="C1360" s="6" t="n">
        <f aca="false">'Raw Data'!D1360</f>
        <v>174.013891941406</v>
      </c>
      <c r="D1360" s="6" t="n">
        <f aca="false">'Raw Data'!E1360</f>
        <v>4.434444444</v>
      </c>
      <c r="E1360" s="6" t="n">
        <f aca="false">'Raw Data'!F1360</f>
        <v>0</v>
      </c>
      <c r="F1360" s="6" t="n">
        <f aca="false">'Raw Data'!G1360</f>
        <v>0</v>
      </c>
      <c r="G1360" s="6" t="n">
        <f aca="false">'Raw Data'!H1360</f>
        <v>0</v>
      </c>
      <c r="H1360" s="6" t="n">
        <f aca="false">'Raw Data'!I1360</f>
        <v>0</v>
      </c>
      <c r="I1360" s="6" t="n">
        <f aca="false">'Raw Data'!J1360</f>
        <v>0</v>
      </c>
      <c r="J1360" s="6" t="n">
        <f aca="false">'Raw Data'!K1360</f>
        <v>2</v>
      </c>
      <c r="K1360" s="6" t="n">
        <f aca="false">'Raw Data'!L1360</f>
        <v>1</v>
      </c>
      <c r="L1360" s="6" t="n">
        <f aca="false">F1360*E1360</f>
        <v>0</v>
      </c>
      <c r="N1360" s="0" t="n">
        <v>1</v>
      </c>
      <c r="O1360" s="6" t="n">
        <f aca="false">D1360</f>
        <v>4.434444444</v>
      </c>
      <c r="P1360" s="6" t="n">
        <f aca="false">E1360</f>
        <v>0</v>
      </c>
      <c r="Q1360" s="6" t="n">
        <f aca="false">F1360</f>
        <v>0</v>
      </c>
      <c r="R1360" s="6" t="n">
        <f aca="false">G1360</f>
        <v>0</v>
      </c>
      <c r="S1360" s="6" t="n">
        <f aca="false">H1360</f>
        <v>0</v>
      </c>
      <c r="T1360" s="6" t="n">
        <f aca="false">I1360</f>
        <v>0</v>
      </c>
      <c r="U1360" s="6" t="n">
        <f aca="false">L1360</f>
        <v>0</v>
      </c>
      <c r="W1360" s="6" t="n">
        <f aca="false">D1360</f>
        <v>4.434444444</v>
      </c>
      <c r="X1360" s="6" t="n">
        <f aca="false">E1360</f>
        <v>0</v>
      </c>
      <c r="Y1360" s="6" t="n">
        <f aca="false">F1360</f>
        <v>0</v>
      </c>
      <c r="Z1360" s="6" t="n">
        <f aca="false">L1360</f>
        <v>0</v>
      </c>
      <c r="AA1360" s="6" t="n">
        <f aca="false">G1360</f>
        <v>0</v>
      </c>
      <c r="AC1360" s="6" t="n">
        <f aca="false">D1360</f>
        <v>4.434444444</v>
      </c>
      <c r="AD1360" s="6" t="n">
        <f aca="false">E1360</f>
        <v>0</v>
      </c>
      <c r="AE1360" s="6" t="n">
        <f aca="false">G1360</f>
        <v>0</v>
      </c>
      <c r="AF1360" s="6" t="n">
        <f aca="false">H1360</f>
        <v>0</v>
      </c>
      <c r="AG1360" s="6" t="n">
        <f aca="false">I1360</f>
        <v>0</v>
      </c>
      <c r="AH1360" s="6" t="n">
        <f aca="false">L1360</f>
        <v>0</v>
      </c>
    </row>
    <row r="1361" customFormat="false" ht="15" hidden="false" customHeight="false" outlineLevel="0" collapsed="false">
      <c r="A1361" s="0" t="str">
        <f aca="false">'Raw Data'!C1361</f>
        <v>Parkway (aka Arlington)</v>
      </c>
      <c r="B1361" s="5" t="n">
        <f aca="false">'Raw Data'!A1361</f>
        <v>40344</v>
      </c>
      <c r="C1361" s="6" t="n">
        <f aca="false">'Raw Data'!D1361</f>
        <v>230.167809402856</v>
      </c>
      <c r="D1361" s="6" t="n">
        <f aca="false">'Raw Data'!E1361</f>
        <v>3.99</v>
      </c>
      <c r="E1361" s="6" t="n">
        <f aca="false">'Raw Data'!F1361</f>
        <v>0</v>
      </c>
      <c r="F1361" s="6" t="n">
        <f aca="false">'Raw Data'!G1361</f>
        <v>0</v>
      </c>
      <c r="G1361" s="6" t="n">
        <f aca="false">'Raw Data'!H1361</f>
        <v>0</v>
      </c>
      <c r="H1361" s="6" t="n">
        <f aca="false">'Raw Data'!I1361</f>
        <v>0</v>
      </c>
      <c r="I1361" s="6" t="n">
        <f aca="false">'Raw Data'!J1361</f>
        <v>0</v>
      </c>
      <c r="J1361" s="6" t="n">
        <f aca="false">'Raw Data'!K1361</f>
        <v>2</v>
      </c>
      <c r="K1361" s="6" t="n">
        <f aca="false">'Raw Data'!L1361</f>
        <v>1</v>
      </c>
      <c r="L1361" s="6" t="n">
        <f aca="false">F1361*E1361</f>
        <v>0</v>
      </c>
      <c r="N1361" s="0" t="n">
        <v>1</v>
      </c>
      <c r="O1361" s="6" t="n">
        <f aca="false">D1361</f>
        <v>3.99</v>
      </c>
      <c r="P1361" s="6" t="n">
        <f aca="false">E1361</f>
        <v>0</v>
      </c>
      <c r="Q1361" s="6" t="n">
        <f aca="false">F1361</f>
        <v>0</v>
      </c>
      <c r="R1361" s="6" t="n">
        <f aca="false">G1361</f>
        <v>0</v>
      </c>
      <c r="S1361" s="6" t="n">
        <f aca="false">H1361</f>
        <v>0</v>
      </c>
      <c r="T1361" s="6" t="n">
        <f aca="false">I1361</f>
        <v>0</v>
      </c>
      <c r="U1361" s="6" t="n">
        <f aca="false">L1361</f>
        <v>0</v>
      </c>
      <c r="W1361" s="6" t="n">
        <f aca="false">D1361</f>
        <v>3.99</v>
      </c>
      <c r="X1361" s="6" t="n">
        <f aca="false">E1361</f>
        <v>0</v>
      </c>
      <c r="Y1361" s="6" t="n">
        <f aca="false">F1361</f>
        <v>0</v>
      </c>
      <c r="Z1361" s="6" t="n">
        <f aca="false">L1361</f>
        <v>0</v>
      </c>
      <c r="AA1361" s="6" t="n">
        <f aca="false">G1361</f>
        <v>0</v>
      </c>
      <c r="AC1361" s="6" t="n">
        <f aca="false">D1361</f>
        <v>3.99</v>
      </c>
      <c r="AD1361" s="6" t="n">
        <f aca="false">E1361</f>
        <v>0</v>
      </c>
      <c r="AE1361" s="6" t="n">
        <f aca="false">G1361</f>
        <v>0</v>
      </c>
      <c r="AF1361" s="6" t="n">
        <f aca="false">H1361</f>
        <v>0</v>
      </c>
      <c r="AG1361" s="6" t="n">
        <f aca="false">I1361</f>
        <v>0</v>
      </c>
      <c r="AH1361" s="6" t="n">
        <f aca="false">L1361</f>
        <v>0</v>
      </c>
    </row>
    <row r="1362" customFormat="false" ht="15" hidden="false" customHeight="false" outlineLevel="0" collapsed="false">
      <c r="A1362" s="0" t="str">
        <f aca="false">'Raw Data'!C1362</f>
        <v>Parkway (aka Arlington)</v>
      </c>
      <c r="B1362" s="5" t="n">
        <f aca="false">'Raw Data'!A1362</f>
        <v>40351</v>
      </c>
      <c r="C1362" s="6" t="n">
        <f aca="false">'Raw Data'!D1362</f>
        <v>103.596697934323</v>
      </c>
      <c r="D1362" s="6" t="n">
        <f aca="false">'Raw Data'!E1362</f>
        <v>3.99</v>
      </c>
      <c r="E1362" s="6" t="n">
        <f aca="false">'Raw Data'!F1362</f>
        <v>0</v>
      </c>
      <c r="F1362" s="6" t="n">
        <f aca="false">'Raw Data'!G1362</f>
        <v>0</v>
      </c>
      <c r="G1362" s="6" t="n">
        <f aca="false">'Raw Data'!H1362</f>
        <v>0</v>
      </c>
      <c r="H1362" s="6" t="n">
        <f aca="false">'Raw Data'!I1362</f>
        <v>0</v>
      </c>
      <c r="I1362" s="6" t="n">
        <f aca="false">'Raw Data'!J1362</f>
        <v>0</v>
      </c>
      <c r="J1362" s="6" t="n">
        <f aca="false">'Raw Data'!K1362</f>
        <v>2</v>
      </c>
      <c r="K1362" s="6" t="n">
        <f aca="false">'Raw Data'!L1362</f>
        <v>1</v>
      </c>
      <c r="L1362" s="6" t="n">
        <f aca="false">F1362*E1362</f>
        <v>0</v>
      </c>
      <c r="N1362" s="0" t="n">
        <v>1</v>
      </c>
      <c r="O1362" s="6" t="n">
        <f aca="false">D1362</f>
        <v>3.99</v>
      </c>
      <c r="P1362" s="6" t="n">
        <f aca="false">E1362</f>
        <v>0</v>
      </c>
      <c r="Q1362" s="6" t="n">
        <f aca="false">F1362</f>
        <v>0</v>
      </c>
      <c r="R1362" s="6" t="n">
        <f aca="false">G1362</f>
        <v>0</v>
      </c>
      <c r="S1362" s="6" t="n">
        <f aca="false">H1362</f>
        <v>0</v>
      </c>
      <c r="T1362" s="6" t="n">
        <f aca="false">I1362</f>
        <v>0</v>
      </c>
      <c r="U1362" s="6" t="n">
        <f aca="false">L1362</f>
        <v>0</v>
      </c>
      <c r="W1362" s="6" t="n">
        <f aca="false">D1362</f>
        <v>3.99</v>
      </c>
      <c r="X1362" s="6" t="n">
        <f aca="false">E1362</f>
        <v>0</v>
      </c>
      <c r="Y1362" s="6" t="n">
        <f aca="false">F1362</f>
        <v>0</v>
      </c>
      <c r="Z1362" s="6" t="n">
        <f aca="false">L1362</f>
        <v>0</v>
      </c>
      <c r="AA1362" s="6" t="n">
        <f aca="false">G1362</f>
        <v>0</v>
      </c>
      <c r="AC1362" s="6" t="n">
        <f aca="false">D1362</f>
        <v>3.99</v>
      </c>
      <c r="AD1362" s="6" t="n">
        <f aca="false">E1362</f>
        <v>0</v>
      </c>
      <c r="AE1362" s="6" t="n">
        <f aca="false">G1362</f>
        <v>0</v>
      </c>
      <c r="AF1362" s="6" t="n">
        <f aca="false">H1362</f>
        <v>0</v>
      </c>
      <c r="AG1362" s="6" t="n">
        <f aca="false">I1362</f>
        <v>0</v>
      </c>
      <c r="AH1362" s="6" t="n">
        <f aca="false">L1362</f>
        <v>0</v>
      </c>
    </row>
    <row r="1363" customFormat="false" ht="15" hidden="false" customHeight="false" outlineLevel="0" collapsed="false">
      <c r="A1363" s="0" t="str">
        <f aca="false">'Raw Data'!C1363</f>
        <v>Parkway (aka Arlington)</v>
      </c>
      <c r="B1363" s="5" t="n">
        <f aca="false">'Raw Data'!A1363</f>
        <v>40358</v>
      </c>
      <c r="C1363" s="6" t="n">
        <f aca="false">'Raw Data'!D1363</f>
        <v>181.251275646666</v>
      </c>
      <c r="D1363" s="6" t="n">
        <f aca="false">'Raw Data'!E1363</f>
        <v>3.99</v>
      </c>
      <c r="E1363" s="6" t="n">
        <f aca="false">'Raw Data'!F1363</f>
        <v>0</v>
      </c>
      <c r="F1363" s="6" t="n">
        <f aca="false">'Raw Data'!G1363</f>
        <v>0</v>
      </c>
      <c r="G1363" s="6" t="n">
        <f aca="false">'Raw Data'!H1363</f>
        <v>0</v>
      </c>
      <c r="H1363" s="6" t="n">
        <f aca="false">'Raw Data'!I1363</f>
        <v>0</v>
      </c>
      <c r="I1363" s="6" t="n">
        <f aca="false">'Raw Data'!J1363</f>
        <v>0</v>
      </c>
      <c r="J1363" s="6" t="n">
        <f aca="false">'Raw Data'!K1363</f>
        <v>2</v>
      </c>
      <c r="K1363" s="6" t="n">
        <f aca="false">'Raw Data'!L1363</f>
        <v>1</v>
      </c>
      <c r="L1363" s="6" t="n">
        <f aca="false">F1363*E1363</f>
        <v>0</v>
      </c>
      <c r="N1363" s="0" t="n">
        <v>1</v>
      </c>
      <c r="O1363" s="6" t="n">
        <f aca="false">D1363</f>
        <v>3.99</v>
      </c>
      <c r="P1363" s="6" t="n">
        <f aca="false">E1363</f>
        <v>0</v>
      </c>
      <c r="Q1363" s="6" t="n">
        <f aca="false">F1363</f>
        <v>0</v>
      </c>
      <c r="R1363" s="6" t="n">
        <f aca="false">G1363</f>
        <v>0</v>
      </c>
      <c r="S1363" s="6" t="n">
        <f aca="false">H1363</f>
        <v>0</v>
      </c>
      <c r="T1363" s="6" t="n">
        <f aca="false">I1363</f>
        <v>0</v>
      </c>
      <c r="U1363" s="6" t="n">
        <f aca="false">L1363</f>
        <v>0</v>
      </c>
      <c r="W1363" s="6" t="n">
        <f aca="false">D1363</f>
        <v>3.99</v>
      </c>
      <c r="X1363" s="6" t="n">
        <f aca="false">E1363</f>
        <v>0</v>
      </c>
      <c r="Y1363" s="6" t="n">
        <f aca="false">F1363</f>
        <v>0</v>
      </c>
      <c r="Z1363" s="6" t="n">
        <f aca="false">L1363</f>
        <v>0</v>
      </c>
      <c r="AA1363" s="6" t="n">
        <f aca="false">G1363</f>
        <v>0</v>
      </c>
      <c r="AC1363" s="6" t="n">
        <f aca="false">D1363</f>
        <v>3.99</v>
      </c>
      <c r="AD1363" s="6" t="n">
        <f aca="false">E1363</f>
        <v>0</v>
      </c>
      <c r="AE1363" s="6" t="n">
        <f aca="false">G1363</f>
        <v>0</v>
      </c>
      <c r="AF1363" s="6" t="n">
        <f aca="false">H1363</f>
        <v>0</v>
      </c>
      <c r="AG1363" s="6" t="n">
        <f aca="false">I1363</f>
        <v>0</v>
      </c>
      <c r="AH1363" s="6" t="n">
        <f aca="false">L1363</f>
        <v>0</v>
      </c>
    </row>
    <row r="1364" customFormat="false" ht="15" hidden="false" customHeight="false" outlineLevel="0" collapsed="false">
      <c r="A1364" s="0" t="str">
        <f aca="false">'Raw Data'!C1364</f>
        <v>Parkway (aka Arlington)</v>
      </c>
      <c r="B1364" s="5" t="n">
        <f aca="false">'Raw Data'!A1364</f>
        <v>40365</v>
      </c>
      <c r="C1364" s="6" t="n">
        <f aca="false">'Raw Data'!D1364</f>
        <v>134.425826764566</v>
      </c>
      <c r="D1364" s="6" t="n">
        <f aca="false">'Raw Data'!E1364</f>
        <v>4.59</v>
      </c>
      <c r="E1364" s="6" t="n">
        <f aca="false">'Raw Data'!F1364</f>
        <v>0</v>
      </c>
      <c r="F1364" s="6" t="n">
        <f aca="false">'Raw Data'!G1364</f>
        <v>0</v>
      </c>
      <c r="G1364" s="6" t="n">
        <f aca="false">'Raw Data'!H1364</f>
        <v>0</v>
      </c>
      <c r="H1364" s="6" t="n">
        <f aca="false">'Raw Data'!I1364</f>
        <v>0</v>
      </c>
      <c r="I1364" s="6" t="n">
        <f aca="false">'Raw Data'!J1364</f>
        <v>0</v>
      </c>
      <c r="J1364" s="6" t="n">
        <f aca="false">'Raw Data'!K1364</f>
        <v>2</v>
      </c>
      <c r="K1364" s="6" t="n">
        <f aca="false">'Raw Data'!L1364</f>
        <v>1</v>
      </c>
      <c r="L1364" s="6" t="n">
        <f aca="false">F1364*E1364</f>
        <v>0</v>
      </c>
      <c r="N1364" s="0" t="n">
        <v>1</v>
      </c>
      <c r="O1364" s="6" t="n">
        <f aca="false">D1364</f>
        <v>4.59</v>
      </c>
      <c r="P1364" s="6" t="n">
        <f aca="false">E1364</f>
        <v>0</v>
      </c>
      <c r="Q1364" s="6" t="n">
        <f aca="false">F1364</f>
        <v>0</v>
      </c>
      <c r="R1364" s="6" t="n">
        <f aca="false">G1364</f>
        <v>0</v>
      </c>
      <c r="S1364" s="6" t="n">
        <f aca="false">H1364</f>
        <v>0</v>
      </c>
      <c r="T1364" s="6" t="n">
        <f aca="false">I1364</f>
        <v>0</v>
      </c>
      <c r="U1364" s="6" t="n">
        <f aca="false">L1364</f>
        <v>0</v>
      </c>
      <c r="W1364" s="6" t="n">
        <f aca="false">D1364</f>
        <v>4.59</v>
      </c>
      <c r="X1364" s="6" t="n">
        <f aca="false">E1364</f>
        <v>0</v>
      </c>
      <c r="Y1364" s="6" t="n">
        <f aca="false">F1364</f>
        <v>0</v>
      </c>
      <c r="Z1364" s="6" t="n">
        <f aca="false">L1364</f>
        <v>0</v>
      </c>
      <c r="AA1364" s="6" t="n">
        <f aca="false">G1364</f>
        <v>0</v>
      </c>
      <c r="AC1364" s="6" t="n">
        <f aca="false">D1364</f>
        <v>4.59</v>
      </c>
      <c r="AD1364" s="6" t="n">
        <f aca="false">E1364</f>
        <v>0</v>
      </c>
      <c r="AE1364" s="6" t="n">
        <f aca="false">G1364</f>
        <v>0</v>
      </c>
      <c r="AF1364" s="6" t="n">
        <f aca="false">H1364</f>
        <v>0</v>
      </c>
      <c r="AG1364" s="6" t="n">
        <f aca="false">I1364</f>
        <v>0</v>
      </c>
      <c r="AH1364" s="6" t="n">
        <f aca="false">L1364</f>
        <v>0</v>
      </c>
    </row>
    <row r="1365" customFormat="false" ht="15" hidden="false" customHeight="false" outlineLevel="0" collapsed="false">
      <c r="A1365" s="0" t="str">
        <f aca="false">'Raw Data'!C1365</f>
        <v>Parkway (aka Arlington)</v>
      </c>
      <c r="B1365" s="5" t="n">
        <f aca="false">'Raw Data'!A1365</f>
        <v>40372</v>
      </c>
      <c r="C1365" s="6" t="n">
        <f aca="false">'Raw Data'!D1365</f>
        <v>143.392060599618</v>
      </c>
      <c r="D1365" s="6" t="n">
        <f aca="false">'Raw Data'!E1365</f>
        <v>4.59</v>
      </c>
      <c r="E1365" s="6" t="n">
        <f aca="false">'Raw Data'!F1365</f>
        <v>0</v>
      </c>
      <c r="F1365" s="6" t="n">
        <f aca="false">'Raw Data'!G1365</f>
        <v>0</v>
      </c>
      <c r="G1365" s="6" t="n">
        <f aca="false">'Raw Data'!H1365</f>
        <v>0</v>
      </c>
      <c r="H1365" s="6" t="n">
        <f aca="false">'Raw Data'!I1365</f>
        <v>0</v>
      </c>
      <c r="I1365" s="6" t="n">
        <f aca="false">'Raw Data'!J1365</f>
        <v>0</v>
      </c>
      <c r="J1365" s="6" t="n">
        <f aca="false">'Raw Data'!K1365</f>
        <v>2</v>
      </c>
      <c r="K1365" s="6" t="n">
        <f aca="false">'Raw Data'!L1365</f>
        <v>1</v>
      </c>
      <c r="L1365" s="6" t="n">
        <f aca="false">F1365*E1365</f>
        <v>0</v>
      </c>
      <c r="N1365" s="0" t="n">
        <v>1</v>
      </c>
      <c r="O1365" s="6" t="n">
        <f aca="false">D1365</f>
        <v>4.59</v>
      </c>
      <c r="P1365" s="6" t="n">
        <f aca="false">E1365</f>
        <v>0</v>
      </c>
      <c r="Q1365" s="6" t="n">
        <f aca="false">F1365</f>
        <v>0</v>
      </c>
      <c r="R1365" s="6" t="n">
        <f aca="false">G1365</f>
        <v>0</v>
      </c>
      <c r="S1365" s="6" t="n">
        <f aca="false">H1365</f>
        <v>0</v>
      </c>
      <c r="T1365" s="6" t="n">
        <f aca="false">I1365</f>
        <v>0</v>
      </c>
      <c r="U1365" s="6" t="n">
        <f aca="false">L1365</f>
        <v>0</v>
      </c>
      <c r="W1365" s="6" t="n">
        <f aca="false">D1365</f>
        <v>4.59</v>
      </c>
      <c r="X1365" s="6" t="n">
        <f aca="false">E1365</f>
        <v>0</v>
      </c>
      <c r="Y1365" s="6" t="n">
        <f aca="false">F1365</f>
        <v>0</v>
      </c>
      <c r="Z1365" s="6" t="n">
        <f aca="false">L1365</f>
        <v>0</v>
      </c>
      <c r="AA1365" s="6" t="n">
        <f aca="false">G1365</f>
        <v>0</v>
      </c>
      <c r="AC1365" s="6" t="n">
        <f aca="false">D1365</f>
        <v>4.59</v>
      </c>
      <c r="AD1365" s="6" t="n">
        <f aca="false">E1365</f>
        <v>0</v>
      </c>
      <c r="AE1365" s="6" t="n">
        <f aca="false">G1365</f>
        <v>0</v>
      </c>
      <c r="AF1365" s="6" t="n">
        <f aca="false">H1365</f>
        <v>0</v>
      </c>
      <c r="AG1365" s="6" t="n">
        <f aca="false">I1365</f>
        <v>0</v>
      </c>
      <c r="AH1365" s="6" t="n">
        <f aca="false">L1365</f>
        <v>0</v>
      </c>
    </row>
    <row r="1366" customFormat="false" ht="15" hidden="false" customHeight="false" outlineLevel="0" collapsed="false">
      <c r="A1366" s="0" t="str">
        <f aca="false">'Raw Data'!C1366</f>
        <v>Plano</v>
      </c>
      <c r="B1366" s="5" t="n">
        <f aca="false">'Raw Data'!A1366</f>
        <v>40302</v>
      </c>
      <c r="C1366" s="6" t="n">
        <f aca="false">'Raw Data'!D1366</f>
        <v>136.50867259413</v>
      </c>
      <c r="D1366" s="6" t="n">
        <f aca="false">'Raw Data'!E1366</f>
        <v>3.99</v>
      </c>
      <c r="E1366" s="6" t="n">
        <f aca="false">'Raw Data'!F1366</f>
        <v>0</v>
      </c>
      <c r="F1366" s="6" t="n">
        <f aca="false">'Raw Data'!G1366</f>
        <v>0</v>
      </c>
      <c r="G1366" s="6" t="n">
        <f aca="false">'Raw Data'!H1366</f>
        <v>0</v>
      </c>
      <c r="H1366" s="6" t="n">
        <f aca="false">'Raw Data'!I1366</f>
        <v>0</v>
      </c>
      <c r="I1366" s="6" t="n">
        <f aca="false">'Raw Data'!J1366</f>
        <v>0</v>
      </c>
      <c r="J1366" s="6" t="n">
        <f aca="false">'Raw Data'!K1366</f>
        <v>1</v>
      </c>
      <c r="K1366" s="6" t="n">
        <f aca="false">'Raw Data'!L1366</f>
        <v>1</v>
      </c>
      <c r="L1366" s="6" t="n">
        <f aca="false">F1366*E1366</f>
        <v>0</v>
      </c>
      <c r="N1366" s="0" t="n">
        <v>1</v>
      </c>
      <c r="O1366" s="6" t="n">
        <f aca="false">D1366</f>
        <v>3.99</v>
      </c>
      <c r="P1366" s="6" t="n">
        <f aca="false">E1366</f>
        <v>0</v>
      </c>
      <c r="Q1366" s="6" t="n">
        <f aca="false">F1366</f>
        <v>0</v>
      </c>
      <c r="R1366" s="6" t="n">
        <f aca="false">G1366</f>
        <v>0</v>
      </c>
      <c r="S1366" s="6" t="n">
        <f aca="false">H1366</f>
        <v>0</v>
      </c>
      <c r="T1366" s="6" t="n">
        <f aca="false">I1366</f>
        <v>0</v>
      </c>
      <c r="U1366" s="6" t="n">
        <f aca="false">L1366</f>
        <v>0</v>
      </c>
      <c r="W1366" s="6" t="n">
        <f aca="false">D1366</f>
        <v>3.99</v>
      </c>
      <c r="X1366" s="6" t="n">
        <f aca="false">E1366</f>
        <v>0</v>
      </c>
      <c r="Y1366" s="6" t="n">
        <f aca="false">F1366</f>
        <v>0</v>
      </c>
      <c r="Z1366" s="6" t="n">
        <f aca="false">L1366</f>
        <v>0</v>
      </c>
      <c r="AA1366" s="6" t="n">
        <f aca="false">G1366</f>
        <v>0</v>
      </c>
      <c r="AC1366" s="6" t="n">
        <f aca="false">D1366</f>
        <v>3.99</v>
      </c>
      <c r="AD1366" s="6" t="n">
        <f aca="false">E1366</f>
        <v>0</v>
      </c>
      <c r="AE1366" s="6" t="n">
        <f aca="false">G1366</f>
        <v>0</v>
      </c>
      <c r="AF1366" s="6" t="n">
        <f aca="false">H1366</f>
        <v>0</v>
      </c>
      <c r="AG1366" s="6" t="n">
        <f aca="false">I1366</f>
        <v>0</v>
      </c>
      <c r="AH1366" s="6" t="n">
        <f aca="false">L1366</f>
        <v>0</v>
      </c>
    </row>
    <row r="1367" customFormat="false" ht="15" hidden="false" customHeight="false" outlineLevel="0" collapsed="false">
      <c r="A1367" s="0" t="str">
        <f aca="false">'Raw Data'!C1367</f>
        <v>Plano</v>
      </c>
      <c r="B1367" s="5" t="n">
        <f aca="false">'Raw Data'!A1367</f>
        <v>40309</v>
      </c>
      <c r="C1367" s="6" t="n">
        <f aca="false">'Raw Data'!D1367</f>
        <v>221.581734224507</v>
      </c>
      <c r="D1367" s="6" t="n">
        <f aca="false">'Raw Data'!E1367</f>
        <v>3.99</v>
      </c>
      <c r="E1367" s="6" t="n">
        <f aca="false">'Raw Data'!F1367</f>
        <v>0</v>
      </c>
      <c r="F1367" s="6" t="n">
        <f aca="false">'Raw Data'!G1367</f>
        <v>0</v>
      </c>
      <c r="G1367" s="6" t="n">
        <f aca="false">'Raw Data'!H1367</f>
        <v>0</v>
      </c>
      <c r="H1367" s="6" t="n">
        <f aca="false">'Raw Data'!I1367</f>
        <v>0</v>
      </c>
      <c r="I1367" s="6" t="n">
        <f aca="false">'Raw Data'!J1367</f>
        <v>0</v>
      </c>
      <c r="J1367" s="6" t="n">
        <f aca="false">'Raw Data'!K1367</f>
        <v>1</v>
      </c>
      <c r="K1367" s="6" t="n">
        <f aca="false">'Raw Data'!L1367</f>
        <v>1</v>
      </c>
      <c r="L1367" s="6" t="n">
        <f aca="false">F1367*E1367</f>
        <v>0</v>
      </c>
      <c r="N1367" s="0" t="n">
        <v>1</v>
      </c>
      <c r="O1367" s="6" t="n">
        <f aca="false">D1367</f>
        <v>3.99</v>
      </c>
      <c r="P1367" s="6" t="n">
        <f aca="false">E1367</f>
        <v>0</v>
      </c>
      <c r="Q1367" s="6" t="n">
        <f aca="false">F1367</f>
        <v>0</v>
      </c>
      <c r="R1367" s="6" t="n">
        <f aca="false">G1367</f>
        <v>0</v>
      </c>
      <c r="S1367" s="6" t="n">
        <f aca="false">H1367</f>
        <v>0</v>
      </c>
      <c r="T1367" s="6" t="n">
        <f aca="false">I1367</f>
        <v>0</v>
      </c>
      <c r="U1367" s="6" t="n">
        <f aca="false">L1367</f>
        <v>0</v>
      </c>
      <c r="W1367" s="6" t="n">
        <f aca="false">D1367</f>
        <v>3.99</v>
      </c>
      <c r="X1367" s="6" t="n">
        <f aca="false">E1367</f>
        <v>0</v>
      </c>
      <c r="Y1367" s="6" t="n">
        <f aca="false">F1367</f>
        <v>0</v>
      </c>
      <c r="Z1367" s="6" t="n">
        <f aca="false">L1367</f>
        <v>0</v>
      </c>
      <c r="AA1367" s="6" t="n">
        <f aca="false">G1367</f>
        <v>0</v>
      </c>
      <c r="AC1367" s="6" t="n">
        <f aca="false">D1367</f>
        <v>3.99</v>
      </c>
      <c r="AD1367" s="6" t="n">
        <f aca="false">E1367</f>
        <v>0</v>
      </c>
      <c r="AE1367" s="6" t="n">
        <f aca="false">G1367</f>
        <v>0</v>
      </c>
      <c r="AF1367" s="6" t="n">
        <f aca="false">H1367</f>
        <v>0</v>
      </c>
      <c r="AG1367" s="6" t="n">
        <f aca="false">I1367</f>
        <v>0</v>
      </c>
      <c r="AH1367" s="6" t="n">
        <f aca="false">L1367</f>
        <v>0</v>
      </c>
    </row>
    <row r="1368" customFormat="false" ht="15" hidden="false" customHeight="false" outlineLevel="0" collapsed="false">
      <c r="A1368" s="0" t="str">
        <f aca="false">'Raw Data'!C1368</f>
        <v>Plano</v>
      </c>
      <c r="B1368" s="5" t="n">
        <f aca="false">'Raw Data'!A1368</f>
        <v>40316</v>
      </c>
      <c r="C1368" s="6" t="n">
        <f aca="false">'Raw Data'!D1368</f>
        <v>231.251451561304</v>
      </c>
      <c r="D1368" s="6" t="n">
        <f aca="false">'Raw Data'!E1368</f>
        <v>3.775714286</v>
      </c>
      <c r="E1368" s="6" t="n">
        <f aca="false">'Raw Data'!F1368</f>
        <v>0</v>
      </c>
      <c r="F1368" s="6" t="n">
        <f aca="false">'Raw Data'!G1368</f>
        <v>0</v>
      </c>
      <c r="G1368" s="6" t="n">
        <f aca="false">'Raw Data'!H1368</f>
        <v>0</v>
      </c>
      <c r="H1368" s="6" t="n">
        <f aca="false">'Raw Data'!I1368</f>
        <v>0</v>
      </c>
      <c r="I1368" s="6" t="n">
        <f aca="false">'Raw Data'!J1368</f>
        <v>0</v>
      </c>
      <c r="J1368" s="6" t="n">
        <f aca="false">'Raw Data'!K1368</f>
        <v>1</v>
      </c>
      <c r="K1368" s="6" t="n">
        <f aca="false">'Raw Data'!L1368</f>
        <v>1</v>
      </c>
      <c r="L1368" s="6" t="n">
        <f aca="false">F1368*E1368</f>
        <v>0</v>
      </c>
      <c r="N1368" s="0" t="n">
        <v>1</v>
      </c>
      <c r="O1368" s="6" t="n">
        <f aca="false">D1368</f>
        <v>3.775714286</v>
      </c>
      <c r="P1368" s="6" t="n">
        <f aca="false">E1368</f>
        <v>0</v>
      </c>
      <c r="Q1368" s="6" t="n">
        <f aca="false">F1368</f>
        <v>0</v>
      </c>
      <c r="R1368" s="6" t="n">
        <f aca="false">G1368</f>
        <v>0</v>
      </c>
      <c r="S1368" s="6" t="n">
        <f aca="false">H1368</f>
        <v>0</v>
      </c>
      <c r="T1368" s="6" t="n">
        <f aca="false">I1368</f>
        <v>0</v>
      </c>
      <c r="U1368" s="6" t="n">
        <f aca="false">L1368</f>
        <v>0</v>
      </c>
      <c r="W1368" s="6" t="n">
        <f aca="false">D1368</f>
        <v>3.775714286</v>
      </c>
      <c r="X1368" s="6" t="n">
        <f aca="false">E1368</f>
        <v>0</v>
      </c>
      <c r="Y1368" s="6" t="n">
        <f aca="false">F1368</f>
        <v>0</v>
      </c>
      <c r="Z1368" s="6" t="n">
        <f aca="false">L1368</f>
        <v>0</v>
      </c>
      <c r="AA1368" s="6" t="n">
        <f aca="false">G1368</f>
        <v>0</v>
      </c>
      <c r="AC1368" s="6" t="n">
        <f aca="false">D1368</f>
        <v>3.775714286</v>
      </c>
      <c r="AD1368" s="6" t="n">
        <f aca="false">E1368</f>
        <v>0</v>
      </c>
      <c r="AE1368" s="6" t="n">
        <f aca="false">G1368</f>
        <v>0</v>
      </c>
      <c r="AF1368" s="6" t="n">
        <f aca="false">H1368</f>
        <v>0</v>
      </c>
      <c r="AG1368" s="6" t="n">
        <f aca="false">I1368</f>
        <v>0</v>
      </c>
      <c r="AH1368" s="6" t="n">
        <f aca="false">L1368</f>
        <v>0</v>
      </c>
    </row>
    <row r="1369" customFormat="false" ht="15" hidden="false" customHeight="false" outlineLevel="0" collapsed="false">
      <c r="A1369" s="0" t="str">
        <f aca="false">'Raw Data'!C1369</f>
        <v>Plano</v>
      </c>
      <c r="B1369" s="5" t="n">
        <f aca="false">'Raw Data'!A1369</f>
        <v>40323</v>
      </c>
      <c r="C1369" s="6" t="n">
        <f aca="false">'Raw Data'!D1369</f>
        <v>136.011336115198</v>
      </c>
      <c r="D1369" s="6" t="n">
        <f aca="false">'Raw Data'!E1369</f>
        <v>3.775714286</v>
      </c>
      <c r="E1369" s="6" t="n">
        <f aca="false">'Raw Data'!F1369</f>
        <v>0</v>
      </c>
      <c r="F1369" s="6" t="n">
        <f aca="false">'Raw Data'!G1369</f>
        <v>0</v>
      </c>
      <c r="G1369" s="6" t="n">
        <f aca="false">'Raw Data'!H1369</f>
        <v>0</v>
      </c>
      <c r="H1369" s="6" t="n">
        <f aca="false">'Raw Data'!I1369</f>
        <v>0</v>
      </c>
      <c r="I1369" s="6" t="n">
        <f aca="false">'Raw Data'!J1369</f>
        <v>0</v>
      </c>
      <c r="J1369" s="6" t="n">
        <f aca="false">'Raw Data'!K1369</f>
        <v>1</v>
      </c>
      <c r="K1369" s="6" t="n">
        <f aca="false">'Raw Data'!L1369</f>
        <v>1</v>
      </c>
      <c r="L1369" s="6" t="n">
        <f aca="false">F1369*E1369</f>
        <v>0</v>
      </c>
      <c r="N1369" s="0" t="n">
        <v>1</v>
      </c>
      <c r="O1369" s="6" t="n">
        <f aca="false">D1369</f>
        <v>3.775714286</v>
      </c>
      <c r="P1369" s="6" t="n">
        <f aca="false">E1369</f>
        <v>0</v>
      </c>
      <c r="Q1369" s="6" t="n">
        <f aca="false">F1369</f>
        <v>0</v>
      </c>
      <c r="R1369" s="6" t="n">
        <f aca="false">G1369</f>
        <v>0</v>
      </c>
      <c r="S1369" s="6" t="n">
        <f aca="false">H1369</f>
        <v>0</v>
      </c>
      <c r="T1369" s="6" t="n">
        <f aca="false">I1369</f>
        <v>0</v>
      </c>
      <c r="U1369" s="6" t="n">
        <f aca="false">L1369</f>
        <v>0</v>
      </c>
      <c r="W1369" s="6" t="n">
        <f aca="false">D1369</f>
        <v>3.775714286</v>
      </c>
      <c r="X1369" s="6" t="n">
        <f aca="false">E1369</f>
        <v>0</v>
      </c>
      <c r="Y1369" s="6" t="n">
        <f aca="false">F1369</f>
        <v>0</v>
      </c>
      <c r="Z1369" s="6" t="n">
        <f aca="false">L1369</f>
        <v>0</v>
      </c>
      <c r="AA1369" s="6" t="n">
        <f aca="false">G1369</f>
        <v>0</v>
      </c>
      <c r="AC1369" s="6" t="n">
        <f aca="false">D1369</f>
        <v>3.775714286</v>
      </c>
      <c r="AD1369" s="6" t="n">
        <f aca="false">E1369</f>
        <v>0</v>
      </c>
      <c r="AE1369" s="6" t="n">
        <f aca="false">G1369</f>
        <v>0</v>
      </c>
      <c r="AF1369" s="6" t="n">
        <f aca="false">H1369</f>
        <v>0</v>
      </c>
      <c r="AG1369" s="6" t="n">
        <f aca="false">I1369</f>
        <v>0</v>
      </c>
      <c r="AH1369" s="6" t="n">
        <f aca="false">L1369</f>
        <v>0</v>
      </c>
    </row>
    <row r="1370" customFormat="false" ht="15" hidden="false" customHeight="false" outlineLevel="0" collapsed="false">
      <c r="A1370" s="0" t="str">
        <f aca="false">'Raw Data'!C1370</f>
        <v>Plano</v>
      </c>
      <c r="B1370" s="5" t="n">
        <f aca="false">'Raw Data'!A1370</f>
        <v>40330</v>
      </c>
      <c r="C1370" s="6" t="n">
        <f aca="false">'Raw Data'!D1370</f>
        <v>213.820018075</v>
      </c>
      <c r="D1370" s="6" t="n">
        <f aca="false">'Raw Data'!E1370</f>
        <v>3.704285714</v>
      </c>
      <c r="E1370" s="6" t="n">
        <f aca="false">'Raw Data'!F1370</f>
        <v>0</v>
      </c>
      <c r="F1370" s="6" t="n">
        <f aca="false">'Raw Data'!G1370</f>
        <v>0</v>
      </c>
      <c r="G1370" s="6" t="n">
        <f aca="false">'Raw Data'!H1370</f>
        <v>0</v>
      </c>
      <c r="H1370" s="6" t="n">
        <f aca="false">'Raw Data'!I1370</f>
        <v>0</v>
      </c>
      <c r="I1370" s="6" t="n">
        <f aca="false">'Raw Data'!J1370</f>
        <v>0</v>
      </c>
      <c r="J1370" s="6" t="n">
        <f aca="false">'Raw Data'!K1370</f>
        <v>1</v>
      </c>
      <c r="K1370" s="6" t="n">
        <f aca="false">'Raw Data'!L1370</f>
        <v>1</v>
      </c>
      <c r="L1370" s="6" t="n">
        <f aca="false">F1370*E1370</f>
        <v>0</v>
      </c>
      <c r="N1370" s="0" t="n">
        <v>1</v>
      </c>
      <c r="O1370" s="6" t="n">
        <f aca="false">D1370</f>
        <v>3.704285714</v>
      </c>
      <c r="P1370" s="6" t="n">
        <f aca="false">E1370</f>
        <v>0</v>
      </c>
      <c r="Q1370" s="6" t="n">
        <f aca="false">F1370</f>
        <v>0</v>
      </c>
      <c r="R1370" s="6" t="n">
        <f aca="false">G1370</f>
        <v>0</v>
      </c>
      <c r="S1370" s="6" t="n">
        <f aca="false">H1370</f>
        <v>0</v>
      </c>
      <c r="T1370" s="6" t="n">
        <f aca="false">I1370</f>
        <v>0</v>
      </c>
      <c r="U1370" s="6" t="n">
        <f aca="false">L1370</f>
        <v>0</v>
      </c>
      <c r="W1370" s="6" t="n">
        <f aca="false">D1370</f>
        <v>3.704285714</v>
      </c>
      <c r="X1370" s="6" t="n">
        <f aca="false">E1370</f>
        <v>0</v>
      </c>
      <c r="Y1370" s="6" t="n">
        <f aca="false">F1370</f>
        <v>0</v>
      </c>
      <c r="Z1370" s="6" t="n">
        <f aca="false">L1370</f>
        <v>0</v>
      </c>
      <c r="AA1370" s="6" t="n">
        <f aca="false">G1370</f>
        <v>0</v>
      </c>
      <c r="AC1370" s="6" t="n">
        <f aca="false">D1370</f>
        <v>3.704285714</v>
      </c>
      <c r="AD1370" s="6" t="n">
        <f aca="false">E1370</f>
        <v>0</v>
      </c>
      <c r="AE1370" s="6" t="n">
        <f aca="false">G1370</f>
        <v>0</v>
      </c>
      <c r="AF1370" s="6" t="n">
        <f aca="false">H1370</f>
        <v>0</v>
      </c>
      <c r="AG1370" s="6" t="n">
        <f aca="false">I1370</f>
        <v>0</v>
      </c>
      <c r="AH1370" s="6" t="n">
        <f aca="false">L1370</f>
        <v>0</v>
      </c>
    </row>
    <row r="1371" customFormat="false" ht="15" hidden="false" customHeight="false" outlineLevel="0" collapsed="false">
      <c r="A1371" s="0" t="str">
        <f aca="false">'Raw Data'!C1371</f>
        <v>Plano</v>
      </c>
      <c r="B1371" s="5" t="n">
        <f aca="false">'Raw Data'!A1371</f>
        <v>40337</v>
      </c>
      <c r="C1371" s="6" t="n">
        <f aca="false">'Raw Data'!D1371</f>
        <v>155.718572447858</v>
      </c>
      <c r="D1371" s="6" t="n">
        <f aca="false">'Raw Data'!E1371</f>
        <v>3.99</v>
      </c>
      <c r="E1371" s="6" t="n">
        <f aca="false">'Raw Data'!F1371</f>
        <v>0</v>
      </c>
      <c r="F1371" s="6" t="n">
        <f aca="false">'Raw Data'!G1371</f>
        <v>0</v>
      </c>
      <c r="G1371" s="6" t="n">
        <f aca="false">'Raw Data'!H1371</f>
        <v>0</v>
      </c>
      <c r="H1371" s="6" t="n">
        <f aca="false">'Raw Data'!I1371</f>
        <v>0</v>
      </c>
      <c r="I1371" s="6" t="n">
        <f aca="false">'Raw Data'!J1371</f>
        <v>0</v>
      </c>
      <c r="J1371" s="6" t="n">
        <f aca="false">'Raw Data'!K1371</f>
        <v>1</v>
      </c>
      <c r="K1371" s="6" t="n">
        <f aca="false">'Raw Data'!L1371</f>
        <v>1</v>
      </c>
      <c r="L1371" s="6" t="n">
        <f aca="false">F1371*E1371</f>
        <v>0</v>
      </c>
      <c r="N1371" s="0" t="n">
        <v>1</v>
      </c>
      <c r="O1371" s="6" t="n">
        <f aca="false">D1371</f>
        <v>3.99</v>
      </c>
      <c r="P1371" s="6" t="n">
        <f aca="false">E1371</f>
        <v>0</v>
      </c>
      <c r="Q1371" s="6" t="n">
        <f aca="false">F1371</f>
        <v>0</v>
      </c>
      <c r="R1371" s="6" t="n">
        <f aca="false">G1371</f>
        <v>0</v>
      </c>
      <c r="S1371" s="6" t="n">
        <f aca="false">H1371</f>
        <v>0</v>
      </c>
      <c r="T1371" s="6" t="n">
        <f aca="false">I1371</f>
        <v>0</v>
      </c>
      <c r="U1371" s="6" t="n">
        <f aca="false">L1371</f>
        <v>0</v>
      </c>
      <c r="W1371" s="6" t="n">
        <f aca="false">D1371</f>
        <v>3.99</v>
      </c>
      <c r="X1371" s="6" t="n">
        <f aca="false">E1371</f>
        <v>0</v>
      </c>
      <c r="Y1371" s="6" t="n">
        <f aca="false">F1371</f>
        <v>0</v>
      </c>
      <c r="Z1371" s="6" t="n">
        <f aca="false">L1371</f>
        <v>0</v>
      </c>
      <c r="AA1371" s="6" t="n">
        <f aca="false">G1371</f>
        <v>0</v>
      </c>
      <c r="AC1371" s="6" t="n">
        <f aca="false">D1371</f>
        <v>3.99</v>
      </c>
      <c r="AD1371" s="6" t="n">
        <f aca="false">E1371</f>
        <v>0</v>
      </c>
      <c r="AE1371" s="6" t="n">
        <f aca="false">G1371</f>
        <v>0</v>
      </c>
      <c r="AF1371" s="6" t="n">
        <f aca="false">H1371</f>
        <v>0</v>
      </c>
      <c r="AG1371" s="6" t="n">
        <f aca="false">I1371</f>
        <v>0</v>
      </c>
      <c r="AH1371" s="6" t="n">
        <f aca="false">L1371</f>
        <v>0</v>
      </c>
    </row>
    <row r="1372" customFormat="false" ht="15" hidden="false" customHeight="false" outlineLevel="0" collapsed="false">
      <c r="A1372" s="0" t="str">
        <f aca="false">'Raw Data'!C1372</f>
        <v>Plano</v>
      </c>
      <c r="B1372" s="5" t="n">
        <f aca="false">'Raw Data'!A1372</f>
        <v>40344</v>
      </c>
      <c r="C1372" s="6" t="n">
        <f aca="false">'Raw Data'!D1372</f>
        <v>196.578793706513</v>
      </c>
      <c r="D1372" s="6" t="n">
        <f aca="false">'Raw Data'!E1372</f>
        <v>3.99</v>
      </c>
      <c r="E1372" s="6" t="n">
        <f aca="false">'Raw Data'!F1372</f>
        <v>0</v>
      </c>
      <c r="F1372" s="6" t="n">
        <f aca="false">'Raw Data'!G1372</f>
        <v>0</v>
      </c>
      <c r="G1372" s="6" t="n">
        <f aca="false">'Raw Data'!H1372</f>
        <v>0</v>
      </c>
      <c r="H1372" s="6" t="n">
        <f aca="false">'Raw Data'!I1372</f>
        <v>0</v>
      </c>
      <c r="I1372" s="6" t="n">
        <f aca="false">'Raw Data'!J1372</f>
        <v>0</v>
      </c>
      <c r="J1372" s="6" t="n">
        <f aca="false">'Raw Data'!K1372</f>
        <v>1</v>
      </c>
      <c r="K1372" s="6" t="n">
        <f aca="false">'Raw Data'!L1372</f>
        <v>1</v>
      </c>
      <c r="L1372" s="6" t="n">
        <f aca="false">F1372*E1372</f>
        <v>0</v>
      </c>
      <c r="N1372" s="0" t="n">
        <v>1</v>
      </c>
      <c r="O1372" s="6" t="n">
        <f aca="false">D1372</f>
        <v>3.99</v>
      </c>
      <c r="P1372" s="6" t="n">
        <f aca="false">E1372</f>
        <v>0</v>
      </c>
      <c r="Q1372" s="6" t="n">
        <f aca="false">F1372</f>
        <v>0</v>
      </c>
      <c r="R1372" s="6" t="n">
        <f aca="false">G1372</f>
        <v>0</v>
      </c>
      <c r="S1372" s="6" t="n">
        <f aca="false">H1372</f>
        <v>0</v>
      </c>
      <c r="T1372" s="6" t="n">
        <f aca="false">I1372</f>
        <v>0</v>
      </c>
      <c r="U1372" s="6" t="n">
        <f aca="false">L1372</f>
        <v>0</v>
      </c>
      <c r="W1372" s="6" t="n">
        <f aca="false">D1372</f>
        <v>3.99</v>
      </c>
      <c r="X1372" s="6" t="n">
        <f aca="false">E1372</f>
        <v>0</v>
      </c>
      <c r="Y1372" s="6" t="n">
        <f aca="false">F1372</f>
        <v>0</v>
      </c>
      <c r="Z1372" s="6" t="n">
        <f aca="false">L1372</f>
        <v>0</v>
      </c>
      <c r="AA1372" s="6" t="n">
        <f aca="false">G1372</f>
        <v>0</v>
      </c>
      <c r="AC1372" s="6" t="n">
        <f aca="false">D1372</f>
        <v>3.99</v>
      </c>
      <c r="AD1372" s="6" t="n">
        <f aca="false">E1372</f>
        <v>0</v>
      </c>
      <c r="AE1372" s="6" t="n">
        <f aca="false">G1372</f>
        <v>0</v>
      </c>
      <c r="AF1372" s="6" t="n">
        <f aca="false">H1372</f>
        <v>0</v>
      </c>
      <c r="AG1372" s="6" t="n">
        <f aca="false">I1372</f>
        <v>0</v>
      </c>
      <c r="AH1372" s="6" t="n">
        <f aca="false">L1372</f>
        <v>0</v>
      </c>
    </row>
    <row r="1373" customFormat="false" ht="15" hidden="false" customHeight="false" outlineLevel="0" collapsed="false">
      <c r="A1373" s="0" t="str">
        <f aca="false">'Raw Data'!C1373</f>
        <v>Plano</v>
      </c>
      <c r="B1373" s="5" t="n">
        <f aca="false">'Raw Data'!A1373</f>
        <v>40351</v>
      </c>
      <c r="C1373" s="6" t="n">
        <f aca="false">'Raw Data'!D1373</f>
        <v>147.894127233224</v>
      </c>
      <c r="D1373" s="6" t="n">
        <f aca="false">'Raw Data'!E1373</f>
        <v>3.99</v>
      </c>
      <c r="E1373" s="6" t="n">
        <f aca="false">'Raw Data'!F1373</f>
        <v>0</v>
      </c>
      <c r="F1373" s="6" t="n">
        <f aca="false">'Raw Data'!G1373</f>
        <v>0</v>
      </c>
      <c r="G1373" s="6" t="n">
        <f aca="false">'Raw Data'!H1373</f>
        <v>0</v>
      </c>
      <c r="H1373" s="6" t="n">
        <f aca="false">'Raw Data'!I1373</f>
        <v>0</v>
      </c>
      <c r="I1373" s="6" t="n">
        <f aca="false">'Raw Data'!J1373</f>
        <v>0</v>
      </c>
      <c r="J1373" s="6" t="n">
        <f aca="false">'Raw Data'!K1373</f>
        <v>1</v>
      </c>
      <c r="K1373" s="6" t="n">
        <f aca="false">'Raw Data'!L1373</f>
        <v>1</v>
      </c>
      <c r="L1373" s="6" t="n">
        <f aca="false">F1373*E1373</f>
        <v>0</v>
      </c>
      <c r="N1373" s="0" t="n">
        <v>1</v>
      </c>
      <c r="O1373" s="6" t="n">
        <f aca="false">D1373</f>
        <v>3.99</v>
      </c>
      <c r="P1373" s="6" t="n">
        <f aca="false">E1373</f>
        <v>0</v>
      </c>
      <c r="Q1373" s="6" t="n">
        <f aca="false">F1373</f>
        <v>0</v>
      </c>
      <c r="R1373" s="6" t="n">
        <f aca="false">G1373</f>
        <v>0</v>
      </c>
      <c r="S1373" s="6" t="n">
        <f aca="false">H1373</f>
        <v>0</v>
      </c>
      <c r="T1373" s="6" t="n">
        <f aca="false">I1373</f>
        <v>0</v>
      </c>
      <c r="U1373" s="6" t="n">
        <f aca="false">L1373</f>
        <v>0</v>
      </c>
      <c r="W1373" s="6" t="n">
        <f aca="false">D1373</f>
        <v>3.99</v>
      </c>
      <c r="X1373" s="6" t="n">
        <f aca="false">E1373</f>
        <v>0</v>
      </c>
      <c r="Y1373" s="6" t="n">
        <f aca="false">F1373</f>
        <v>0</v>
      </c>
      <c r="Z1373" s="6" t="n">
        <f aca="false">L1373</f>
        <v>0</v>
      </c>
      <c r="AA1373" s="6" t="n">
        <f aca="false">G1373</f>
        <v>0</v>
      </c>
      <c r="AC1373" s="6" t="n">
        <f aca="false">D1373</f>
        <v>3.99</v>
      </c>
      <c r="AD1373" s="6" t="n">
        <f aca="false">E1373</f>
        <v>0</v>
      </c>
      <c r="AE1373" s="6" t="n">
        <f aca="false">G1373</f>
        <v>0</v>
      </c>
      <c r="AF1373" s="6" t="n">
        <f aca="false">H1373</f>
        <v>0</v>
      </c>
      <c r="AG1373" s="6" t="n">
        <f aca="false">I1373</f>
        <v>0</v>
      </c>
      <c r="AH1373" s="6" t="n">
        <f aca="false">L1373</f>
        <v>0</v>
      </c>
    </row>
    <row r="1374" customFormat="false" ht="15" hidden="false" customHeight="false" outlineLevel="0" collapsed="false">
      <c r="A1374" s="0" t="str">
        <f aca="false">'Raw Data'!C1374</f>
        <v>Plano</v>
      </c>
      <c r="B1374" s="5" t="n">
        <f aca="false">'Raw Data'!A1374</f>
        <v>40358</v>
      </c>
      <c r="C1374" s="6" t="n">
        <f aca="false">'Raw Data'!D1374</f>
        <v>218.220400053407</v>
      </c>
      <c r="D1374" s="6" t="n">
        <f aca="false">'Raw Data'!E1374</f>
        <v>3.99</v>
      </c>
      <c r="E1374" s="6" t="n">
        <f aca="false">'Raw Data'!F1374</f>
        <v>0</v>
      </c>
      <c r="F1374" s="6" t="n">
        <f aca="false">'Raw Data'!G1374</f>
        <v>0</v>
      </c>
      <c r="G1374" s="6" t="n">
        <f aca="false">'Raw Data'!H1374</f>
        <v>0</v>
      </c>
      <c r="H1374" s="6" t="n">
        <f aca="false">'Raw Data'!I1374</f>
        <v>0</v>
      </c>
      <c r="I1374" s="6" t="n">
        <f aca="false">'Raw Data'!J1374</f>
        <v>0</v>
      </c>
      <c r="J1374" s="6" t="n">
        <f aca="false">'Raw Data'!K1374</f>
        <v>1</v>
      </c>
      <c r="K1374" s="6" t="n">
        <f aca="false">'Raw Data'!L1374</f>
        <v>1</v>
      </c>
      <c r="L1374" s="6" t="n">
        <f aca="false">F1374*E1374</f>
        <v>0</v>
      </c>
      <c r="N1374" s="0" t="n">
        <v>1</v>
      </c>
      <c r="O1374" s="6" t="n">
        <f aca="false">D1374</f>
        <v>3.99</v>
      </c>
      <c r="P1374" s="6" t="n">
        <f aca="false">E1374</f>
        <v>0</v>
      </c>
      <c r="Q1374" s="6" t="n">
        <f aca="false">F1374</f>
        <v>0</v>
      </c>
      <c r="R1374" s="6" t="n">
        <f aca="false">G1374</f>
        <v>0</v>
      </c>
      <c r="S1374" s="6" t="n">
        <f aca="false">H1374</f>
        <v>0</v>
      </c>
      <c r="T1374" s="6" t="n">
        <f aca="false">I1374</f>
        <v>0</v>
      </c>
      <c r="U1374" s="6" t="n">
        <f aca="false">L1374</f>
        <v>0</v>
      </c>
      <c r="W1374" s="6" t="n">
        <f aca="false">D1374</f>
        <v>3.99</v>
      </c>
      <c r="X1374" s="6" t="n">
        <f aca="false">E1374</f>
        <v>0</v>
      </c>
      <c r="Y1374" s="6" t="n">
        <f aca="false">F1374</f>
        <v>0</v>
      </c>
      <c r="Z1374" s="6" t="n">
        <f aca="false">L1374</f>
        <v>0</v>
      </c>
      <c r="AA1374" s="6" t="n">
        <f aca="false">G1374</f>
        <v>0</v>
      </c>
      <c r="AC1374" s="6" t="n">
        <f aca="false">D1374</f>
        <v>3.99</v>
      </c>
      <c r="AD1374" s="6" t="n">
        <f aca="false">E1374</f>
        <v>0</v>
      </c>
      <c r="AE1374" s="6" t="n">
        <f aca="false">G1374</f>
        <v>0</v>
      </c>
      <c r="AF1374" s="6" t="n">
        <f aca="false">H1374</f>
        <v>0</v>
      </c>
      <c r="AG1374" s="6" t="n">
        <f aca="false">I1374</f>
        <v>0</v>
      </c>
      <c r="AH1374" s="6" t="n">
        <f aca="false">L1374</f>
        <v>0</v>
      </c>
    </row>
    <row r="1375" customFormat="false" ht="15" hidden="false" customHeight="false" outlineLevel="0" collapsed="false">
      <c r="A1375" s="0" t="str">
        <f aca="false">'Raw Data'!C1375</f>
        <v>Plano</v>
      </c>
      <c r="B1375" s="5" t="n">
        <f aca="false">'Raw Data'!A1375</f>
        <v>40365</v>
      </c>
      <c r="C1375" s="6" t="n">
        <f aca="false">'Raw Data'!D1375</f>
        <v>182.414218676552</v>
      </c>
      <c r="D1375" s="6" t="n">
        <f aca="false">'Raw Data'!E1375</f>
        <v>3.775714286</v>
      </c>
      <c r="E1375" s="6" t="n">
        <f aca="false">'Raw Data'!F1375</f>
        <v>0</v>
      </c>
      <c r="F1375" s="6" t="n">
        <f aca="false">'Raw Data'!G1375</f>
        <v>0</v>
      </c>
      <c r="G1375" s="6" t="n">
        <f aca="false">'Raw Data'!H1375</f>
        <v>0</v>
      </c>
      <c r="H1375" s="6" t="n">
        <f aca="false">'Raw Data'!I1375</f>
        <v>0</v>
      </c>
      <c r="I1375" s="6" t="n">
        <f aca="false">'Raw Data'!J1375</f>
        <v>0</v>
      </c>
      <c r="J1375" s="6" t="n">
        <f aca="false">'Raw Data'!K1375</f>
        <v>1</v>
      </c>
      <c r="K1375" s="6" t="n">
        <f aca="false">'Raw Data'!L1375</f>
        <v>1</v>
      </c>
      <c r="L1375" s="6" t="n">
        <f aca="false">F1375*E1375</f>
        <v>0</v>
      </c>
      <c r="N1375" s="0" t="n">
        <v>1</v>
      </c>
      <c r="O1375" s="6" t="n">
        <f aca="false">D1375</f>
        <v>3.775714286</v>
      </c>
      <c r="P1375" s="6" t="n">
        <f aca="false">E1375</f>
        <v>0</v>
      </c>
      <c r="Q1375" s="6" t="n">
        <f aca="false">F1375</f>
        <v>0</v>
      </c>
      <c r="R1375" s="6" t="n">
        <f aca="false">G1375</f>
        <v>0</v>
      </c>
      <c r="S1375" s="6" t="n">
        <f aca="false">H1375</f>
        <v>0</v>
      </c>
      <c r="T1375" s="6" t="n">
        <f aca="false">I1375</f>
        <v>0</v>
      </c>
      <c r="U1375" s="6" t="n">
        <f aca="false">L1375</f>
        <v>0</v>
      </c>
      <c r="W1375" s="6" t="n">
        <f aca="false">D1375</f>
        <v>3.775714286</v>
      </c>
      <c r="X1375" s="6" t="n">
        <f aca="false">E1375</f>
        <v>0</v>
      </c>
      <c r="Y1375" s="6" t="n">
        <f aca="false">F1375</f>
        <v>0</v>
      </c>
      <c r="Z1375" s="6" t="n">
        <f aca="false">L1375</f>
        <v>0</v>
      </c>
      <c r="AA1375" s="6" t="n">
        <f aca="false">G1375</f>
        <v>0</v>
      </c>
      <c r="AC1375" s="6" t="n">
        <f aca="false">D1375</f>
        <v>3.775714286</v>
      </c>
      <c r="AD1375" s="6" t="n">
        <f aca="false">E1375</f>
        <v>0</v>
      </c>
      <c r="AE1375" s="6" t="n">
        <f aca="false">G1375</f>
        <v>0</v>
      </c>
      <c r="AF1375" s="6" t="n">
        <f aca="false">H1375</f>
        <v>0</v>
      </c>
      <c r="AG1375" s="6" t="n">
        <f aca="false">I1375</f>
        <v>0</v>
      </c>
      <c r="AH1375" s="6" t="n">
        <f aca="false">L1375</f>
        <v>0</v>
      </c>
    </row>
    <row r="1376" customFormat="false" ht="15" hidden="false" customHeight="false" outlineLevel="0" collapsed="false">
      <c r="A1376" s="0" t="str">
        <f aca="false">'Raw Data'!C1376</f>
        <v>Plano</v>
      </c>
      <c r="B1376" s="5" t="n">
        <f aca="false">'Raw Data'!A1376</f>
        <v>40372</v>
      </c>
      <c r="C1376" s="6" t="n">
        <f aca="false">'Raw Data'!D1376</f>
        <v>114.825828022261</v>
      </c>
      <c r="D1376" s="6" t="n">
        <f aca="false">'Raw Data'!E1376</f>
        <v>3.775714286</v>
      </c>
      <c r="E1376" s="6" t="n">
        <f aca="false">'Raw Data'!F1376</f>
        <v>0</v>
      </c>
      <c r="F1376" s="6" t="n">
        <f aca="false">'Raw Data'!G1376</f>
        <v>0</v>
      </c>
      <c r="G1376" s="6" t="n">
        <f aca="false">'Raw Data'!H1376</f>
        <v>0</v>
      </c>
      <c r="H1376" s="6" t="n">
        <f aca="false">'Raw Data'!I1376</f>
        <v>0</v>
      </c>
      <c r="I1376" s="6" t="n">
        <f aca="false">'Raw Data'!J1376</f>
        <v>0</v>
      </c>
      <c r="J1376" s="6" t="n">
        <f aca="false">'Raw Data'!K1376</f>
        <v>1</v>
      </c>
      <c r="K1376" s="6" t="n">
        <f aca="false">'Raw Data'!L1376</f>
        <v>1</v>
      </c>
      <c r="L1376" s="6" t="n">
        <f aca="false">F1376*E1376</f>
        <v>0</v>
      </c>
      <c r="N1376" s="0" t="n">
        <v>1</v>
      </c>
      <c r="O1376" s="6" t="n">
        <f aca="false">D1376</f>
        <v>3.775714286</v>
      </c>
      <c r="P1376" s="6" t="n">
        <f aca="false">E1376</f>
        <v>0</v>
      </c>
      <c r="Q1376" s="6" t="n">
        <f aca="false">F1376</f>
        <v>0</v>
      </c>
      <c r="R1376" s="6" t="n">
        <f aca="false">G1376</f>
        <v>0</v>
      </c>
      <c r="S1376" s="6" t="n">
        <f aca="false">H1376</f>
        <v>0</v>
      </c>
      <c r="T1376" s="6" t="n">
        <f aca="false">I1376</f>
        <v>0</v>
      </c>
      <c r="U1376" s="6" t="n">
        <f aca="false">L1376</f>
        <v>0</v>
      </c>
      <c r="W1376" s="6" t="n">
        <f aca="false">D1376</f>
        <v>3.775714286</v>
      </c>
      <c r="X1376" s="6" t="n">
        <f aca="false">E1376</f>
        <v>0</v>
      </c>
      <c r="Y1376" s="6" t="n">
        <f aca="false">F1376</f>
        <v>0</v>
      </c>
      <c r="Z1376" s="6" t="n">
        <f aca="false">L1376</f>
        <v>0</v>
      </c>
      <c r="AA1376" s="6" t="n">
        <f aca="false">G1376</f>
        <v>0</v>
      </c>
      <c r="AC1376" s="6" t="n">
        <f aca="false">D1376</f>
        <v>3.775714286</v>
      </c>
      <c r="AD1376" s="6" t="n">
        <f aca="false">E1376</f>
        <v>0</v>
      </c>
      <c r="AE1376" s="6" t="n">
        <f aca="false">G1376</f>
        <v>0</v>
      </c>
      <c r="AF1376" s="6" t="n">
        <f aca="false">H1376</f>
        <v>0</v>
      </c>
      <c r="AG1376" s="6" t="n">
        <f aca="false">I1376</f>
        <v>0</v>
      </c>
      <c r="AH1376" s="6" t="n">
        <f aca="false">L1376</f>
        <v>0</v>
      </c>
    </row>
    <row r="1377" customFormat="false" ht="15" hidden="false" customHeight="false" outlineLevel="0" collapsed="false">
      <c r="A1377" s="0" t="str">
        <f aca="false">'Raw Data'!C1377</f>
        <v>Veterans</v>
      </c>
      <c r="B1377" s="5" t="n">
        <f aca="false">'Raw Data'!A1377</f>
        <v>40302</v>
      </c>
      <c r="C1377" s="6" t="n">
        <f aca="false">'Raw Data'!D1377</f>
        <v>81.3460444383771</v>
      </c>
      <c r="D1377" s="6" t="n">
        <f aca="false">'Raw Data'!E1377</f>
        <v>4.39</v>
      </c>
      <c r="E1377" s="6" t="n">
        <f aca="false">'Raw Data'!F1377</f>
        <v>0</v>
      </c>
      <c r="F1377" s="6" t="n">
        <f aca="false">'Raw Data'!G1377</f>
        <v>0</v>
      </c>
      <c r="G1377" s="6" t="n">
        <f aca="false">'Raw Data'!H1377</f>
        <v>0</v>
      </c>
      <c r="H1377" s="6" t="n">
        <f aca="false">'Raw Data'!I1377</f>
        <v>0</v>
      </c>
      <c r="I1377" s="6" t="n">
        <f aca="false">'Raw Data'!J1377</f>
        <v>0</v>
      </c>
      <c r="J1377" s="6" t="n">
        <f aca="false">'Raw Data'!K1377</f>
        <v>0</v>
      </c>
      <c r="K1377" s="6" t="n">
        <f aca="false">'Raw Data'!L1377</f>
        <v>1</v>
      </c>
      <c r="L1377" s="6" t="n">
        <f aca="false">F1377*E1377</f>
        <v>0</v>
      </c>
      <c r="N1377" s="0" t="n">
        <v>1</v>
      </c>
      <c r="O1377" s="6" t="n">
        <f aca="false">D1377</f>
        <v>4.39</v>
      </c>
      <c r="P1377" s="6" t="n">
        <f aca="false">E1377</f>
        <v>0</v>
      </c>
      <c r="Q1377" s="6" t="n">
        <f aca="false">F1377</f>
        <v>0</v>
      </c>
      <c r="R1377" s="6" t="n">
        <f aca="false">G1377</f>
        <v>0</v>
      </c>
      <c r="S1377" s="6" t="n">
        <f aca="false">H1377</f>
        <v>0</v>
      </c>
      <c r="T1377" s="6" t="n">
        <f aca="false">I1377</f>
        <v>0</v>
      </c>
      <c r="U1377" s="6" t="n">
        <f aca="false">L1377</f>
        <v>0</v>
      </c>
      <c r="W1377" s="6" t="n">
        <f aca="false">D1377</f>
        <v>4.39</v>
      </c>
      <c r="X1377" s="6" t="n">
        <f aca="false">E1377</f>
        <v>0</v>
      </c>
      <c r="Y1377" s="6" t="n">
        <f aca="false">F1377</f>
        <v>0</v>
      </c>
      <c r="Z1377" s="6" t="n">
        <f aca="false">L1377</f>
        <v>0</v>
      </c>
      <c r="AA1377" s="6" t="n">
        <f aca="false">G1377</f>
        <v>0</v>
      </c>
      <c r="AC1377" s="6" t="n">
        <f aca="false">D1377</f>
        <v>4.39</v>
      </c>
      <c r="AD1377" s="6" t="n">
        <f aca="false">E1377</f>
        <v>0</v>
      </c>
      <c r="AE1377" s="6" t="n">
        <f aca="false">G1377</f>
        <v>0</v>
      </c>
      <c r="AF1377" s="6" t="n">
        <f aca="false">H1377</f>
        <v>0</v>
      </c>
      <c r="AG1377" s="6" t="n">
        <f aca="false">I1377</f>
        <v>0</v>
      </c>
      <c r="AH1377" s="6" t="n">
        <f aca="false">L1377</f>
        <v>0</v>
      </c>
    </row>
    <row r="1378" customFormat="false" ht="15" hidden="false" customHeight="false" outlineLevel="0" collapsed="false">
      <c r="A1378" s="0" t="str">
        <f aca="false">'Raw Data'!C1378</f>
        <v>Veterans</v>
      </c>
      <c r="B1378" s="5" t="n">
        <f aca="false">'Raw Data'!A1378</f>
        <v>40309</v>
      </c>
      <c r="C1378" s="6" t="n">
        <f aca="false">'Raw Data'!D1378</f>
        <v>292.957105797738</v>
      </c>
      <c r="D1378" s="6" t="n">
        <f aca="false">'Raw Data'!E1378</f>
        <v>4.39</v>
      </c>
      <c r="E1378" s="6" t="n">
        <f aca="false">'Raw Data'!F1378</f>
        <v>0</v>
      </c>
      <c r="F1378" s="6" t="n">
        <f aca="false">'Raw Data'!G1378</f>
        <v>0</v>
      </c>
      <c r="G1378" s="6" t="n">
        <f aca="false">'Raw Data'!H1378</f>
        <v>0</v>
      </c>
      <c r="H1378" s="6" t="n">
        <f aca="false">'Raw Data'!I1378</f>
        <v>0</v>
      </c>
      <c r="I1378" s="6" t="n">
        <f aca="false">'Raw Data'!J1378</f>
        <v>0</v>
      </c>
      <c r="J1378" s="6" t="n">
        <f aca="false">'Raw Data'!K1378</f>
        <v>0</v>
      </c>
      <c r="K1378" s="6" t="n">
        <f aca="false">'Raw Data'!L1378</f>
        <v>1</v>
      </c>
      <c r="L1378" s="6" t="n">
        <f aca="false">F1378*E1378</f>
        <v>0</v>
      </c>
      <c r="N1378" s="0" t="n">
        <v>1</v>
      </c>
      <c r="O1378" s="6" t="n">
        <f aca="false">D1378</f>
        <v>4.39</v>
      </c>
      <c r="P1378" s="6" t="n">
        <f aca="false">E1378</f>
        <v>0</v>
      </c>
      <c r="Q1378" s="6" t="n">
        <f aca="false">F1378</f>
        <v>0</v>
      </c>
      <c r="R1378" s="6" t="n">
        <f aca="false">G1378</f>
        <v>0</v>
      </c>
      <c r="S1378" s="6" t="n">
        <f aca="false">H1378</f>
        <v>0</v>
      </c>
      <c r="T1378" s="6" t="n">
        <f aca="false">I1378</f>
        <v>0</v>
      </c>
      <c r="U1378" s="6" t="n">
        <f aca="false">L1378</f>
        <v>0</v>
      </c>
      <c r="W1378" s="6" t="n">
        <f aca="false">D1378</f>
        <v>4.39</v>
      </c>
      <c r="X1378" s="6" t="n">
        <f aca="false">E1378</f>
        <v>0</v>
      </c>
      <c r="Y1378" s="6" t="n">
        <f aca="false">F1378</f>
        <v>0</v>
      </c>
      <c r="Z1378" s="6" t="n">
        <f aca="false">L1378</f>
        <v>0</v>
      </c>
      <c r="AA1378" s="6" t="n">
        <f aca="false">G1378</f>
        <v>0</v>
      </c>
      <c r="AC1378" s="6" t="n">
        <f aca="false">D1378</f>
        <v>4.39</v>
      </c>
      <c r="AD1378" s="6" t="n">
        <f aca="false">E1378</f>
        <v>0</v>
      </c>
      <c r="AE1378" s="6" t="n">
        <f aca="false">G1378</f>
        <v>0</v>
      </c>
      <c r="AF1378" s="6" t="n">
        <f aca="false">H1378</f>
        <v>0</v>
      </c>
      <c r="AG1378" s="6" t="n">
        <f aca="false">I1378</f>
        <v>0</v>
      </c>
      <c r="AH1378" s="6" t="n">
        <f aca="false">L1378</f>
        <v>0</v>
      </c>
    </row>
    <row r="1379" customFormat="false" ht="15" hidden="false" customHeight="false" outlineLevel="0" collapsed="false">
      <c r="A1379" s="0" t="str">
        <f aca="false">'Raw Data'!C1379</f>
        <v>Veterans</v>
      </c>
      <c r="B1379" s="5" t="n">
        <f aca="false">'Raw Data'!A1379</f>
        <v>40316</v>
      </c>
      <c r="C1379" s="6" t="n">
        <f aca="false">'Raw Data'!D1379</f>
        <v>113.457457786556</v>
      </c>
      <c r="D1379" s="6" t="n">
        <f aca="false">'Raw Data'!E1379</f>
        <v>3.84</v>
      </c>
      <c r="E1379" s="6" t="n">
        <f aca="false">'Raw Data'!F1379</f>
        <v>0</v>
      </c>
      <c r="F1379" s="6" t="n">
        <f aca="false">'Raw Data'!G1379</f>
        <v>0</v>
      </c>
      <c r="G1379" s="6" t="n">
        <f aca="false">'Raw Data'!H1379</f>
        <v>0</v>
      </c>
      <c r="H1379" s="6" t="n">
        <f aca="false">'Raw Data'!I1379</f>
        <v>0</v>
      </c>
      <c r="I1379" s="6" t="n">
        <f aca="false">'Raw Data'!J1379</f>
        <v>0</v>
      </c>
      <c r="J1379" s="6" t="n">
        <f aca="false">'Raw Data'!K1379</f>
        <v>0</v>
      </c>
      <c r="K1379" s="6" t="n">
        <f aca="false">'Raw Data'!L1379</f>
        <v>1</v>
      </c>
      <c r="L1379" s="6" t="n">
        <f aca="false">F1379*E1379</f>
        <v>0</v>
      </c>
      <c r="N1379" s="0" t="n">
        <v>1</v>
      </c>
      <c r="O1379" s="6" t="n">
        <f aca="false">D1379</f>
        <v>3.84</v>
      </c>
      <c r="P1379" s="6" t="n">
        <f aca="false">E1379</f>
        <v>0</v>
      </c>
      <c r="Q1379" s="6" t="n">
        <f aca="false">F1379</f>
        <v>0</v>
      </c>
      <c r="R1379" s="6" t="n">
        <f aca="false">G1379</f>
        <v>0</v>
      </c>
      <c r="S1379" s="6" t="n">
        <f aca="false">H1379</f>
        <v>0</v>
      </c>
      <c r="T1379" s="6" t="n">
        <f aca="false">I1379</f>
        <v>0</v>
      </c>
      <c r="U1379" s="6" t="n">
        <f aca="false">L1379</f>
        <v>0</v>
      </c>
      <c r="W1379" s="6" t="n">
        <f aca="false">D1379</f>
        <v>3.84</v>
      </c>
      <c r="X1379" s="6" t="n">
        <f aca="false">E1379</f>
        <v>0</v>
      </c>
      <c r="Y1379" s="6" t="n">
        <f aca="false">F1379</f>
        <v>0</v>
      </c>
      <c r="Z1379" s="6" t="n">
        <f aca="false">L1379</f>
        <v>0</v>
      </c>
      <c r="AA1379" s="6" t="n">
        <f aca="false">G1379</f>
        <v>0</v>
      </c>
      <c r="AC1379" s="6" t="n">
        <f aca="false">D1379</f>
        <v>3.84</v>
      </c>
      <c r="AD1379" s="6" t="n">
        <f aca="false">E1379</f>
        <v>0</v>
      </c>
      <c r="AE1379" s="6" t="n">
        <f aca="false">G1379</f>
        <v>0</v>
      </c>
      <c r="AF1379" s="6" t="n">
        <f aca="false">H1379</f>
        <v>0</v>
      </c>
      <c r="AG1379" s="6" t="n">
        <f aca="false">I1379</f>
        <v>0</v>
      </c>
      <c r="AH1379" s="6" t="n">
        <f aca="false">L1379</f>
        <v>0</v>
      </c>
    </row>
    <row r="1380" customFormat="false" ht="15" hidden="false" customHeight="false" outlineLevel="0" collapsed="false">
      <c r="A1380" s="0" t="str">
        <f aca="false">'Raw Data'!C1380</f>
        <v>Veterans</v>
      </c>
      <c r="B1380" s="5" t="n">
        <f aca="false">'Raw Data'!A1380</f>
        <v>40323</v>
      </c>
      <c r="C1380" s="6" t="n">
        <f aca="false">'Raw Data'!D1380</f>
        <v>200.755260109891</v>
      </c>
      <c r="D1380" s="6" t="n">
        <f aca="false">'Raw Data'!E1380</f>
        <v>3.84</v>
      </c>
      <c r="E1380" s="6" t="n">
        <f aca="false">'Raw Data'!F1380</f>
        <v>0</v>
      </c>
      <c r="F1380" s="6" t="n">
        <f aca="false">'Raw Data'!G1380</f>
        <v>0</v>
      </c>
      <c r="G1380" s="6" t="n">
        <f aca="false">'Raw Data'!H1380</f>
        <v>0</v>
      </c>
      <c r="H1380" s="6" t="n">
        <f aca="false">'Raw Data'!I1380</f>
        <v>0</v>
      </c>
      <c r="I1380" s="6" t="n">
        <f aca="false">'Raw Data'!J1380</f>
        <v>0</v>
      </c>
      <c r="J1380" s="6" t="n">
        <f aca="false">'Raw Data'!K1380</f>
        <v>0</v>
      </c>
      <c r="K1380" s="6" t="n">
        <f aca="false">'Raw Data'!L1380</f>
        <v>1</v>
      </c>
      <c r="L1380" s="6" t="n">
        <f aca="false">F1380*E1380</f>
        <v>0</v>
      </c>
      <c r="N1380" s="0" t="n">
        <v>1</v>
      </c>
      <c r="O1380" s="6" t="n">
        <f aca="false">D1380</f>
        <v>3.84</v>
      </c>
      <c r="P1380" s="6" t="n">
        <f aca="false">E1380</f>
        <v>0</v>
      </c>
      <c r="Q1380" s="6" t="n">
        <f aca="false">F1380</f>
        <v>0</v>
      </c>
      <c r="R1380" s="6" t="n">
        <f aca="false">G1380</f>
        <v>0</v>
      </c>
      <c r="S1380" s="6" t="n">
        <f aca="false">H1380</f>
        <v>0</v>
      </c>
      <c r="T1380" s="6" t="n">
        <f aca="false">I1380</f>
        <v>0</v>
      </c>
      <c r="U1380" s="6" t="n">
        <f aca="false">L1380</f>
        <v>0</v>
      </c>
      <c r="W1380" s="6" t="n">
        <f aca="false">D1380</f>
        <v>3.84</v>
      </c>
      <c r="X1380" s="6" t="n">
        <f aca="false">E1380</f>
        <v>0</v>
      </c>
      <c r="Y1380" s="6" t="n">
        <f aca="false">F1380</f>
        <v>0</v>
      </c>
      <c r="Z1380" s="6" t="n">
        <f aca="false">L1380</f>
        <v>0</v>
      </c>
      <c r="AA1380" s="6" t="n">
        <f aca="false">G1380</f>
        <v>0</v>
      </c>
      <c r="AC1380" s="6" t="n">
        <f aca="false">D1380</f>
        <v>3.84</v>
      </c>
      <c r="AD1380" s="6" t="n">
        <f aca="false">E1380</f>
        <v>0</v>
      </c>
      <c r="AE1380" s="6" t="n">
        <f aca="false">G1380</f>
        <v>0</v>
      </c>
      <c r="AF1380" s="6" t="n">
        <f aca="false">H1380</f>
        <v>0</v>
      </c>
      <c r="AG1380" s="6" t="n">
        <f aca="false">I1380</f>
        <v>0</v>
      </c>
      <c r="AH1380" s="6" t="n">
        <f aca="false">L1380</f>
        <v>0</v>
      </c>
    </row>
    <row r="1381" customFormat="false" ht="15" hidden="false" customHeight="false" outlineLevel="0" collapsed="false">
      <c r="A1381" s="0" t="str">
        <f aca="false">'Raw Data'!C1381</f>
        <v>Veterans</v>
      </c>
      <c r="B1381" s="5" t="n">
        <f aca="false">'Raw Data'!A1381</f>
        <v>40330</v>
      </c>
      <c r="C1381" s="6" t="n">
        <f aca="false">'Raw Data'!D1381</f>
        <v>254.359608679942</v>
      </c>
      <c r="D1381" s="6" t="n">
        <f aca="false">'Raw Data'!E1381</f>
        <v>3.84</v>
      </c>
      <c r="E1381" s="6" t="n">
        <f aca="false">'Raw Data'!F1381</f>
        <v>0</v>
      </c>
      <c r="F1381" s="6" t="n">
        <f aca="false">'Raw Data'!G1381</f>
        <v>0</v>
      </c>
      <c r="G1381" s="6" t="n">
        <f aca="false">'Raw Data'!H1381</f>
        <v>0</v>
      </c>
      <c r="H1381" s="6" t="n">
        <f aca="false">'Raw Data'!I1381</f>
        <v>0</v>
      </c>
      <c r="I1381" s="6" t="n">
        <f aca="false">'Raw Data'!J1381</f>
        <v>0</v>
      </c>
      <c r="J1381" s="6" t="n">
        <f aca="false">'Raw Data'!K1381</f>
        <v>0</v>
      </c>
      <c r="K1381" s="6" t="n">
        <f aca="false">'Raw Data'!L1381</f>
        <v>1</v>
      </c>
      <c r="L1381" s="6" t="n">
        <f aca="false">F1381*E1381</f>
        <v>0</v>
      </c>
      <c r="N1381" s="0" t="n">
        <v>1</v>
      </c>
      <c r="O1381" s="6" t="n">
        <f aca="false">D1381</f>
        <v>3.84</v>
      </c>
      <c r="P1381" s="6" t="n">
        <f aca="false">E1381</f>
        <v>0</v>
      </c>
      <c r="Q1381" s="6" t="n">
        <f aca="false">F1381</f>
        <v>0</v>
      </c>
      <c r="R1381" s="6" t="n">
        <f aca="false">G1381</f>
        <v>0</v>
      </c>
      <c r="S1381" s="6" t="n">
        <f aca="false">H1381</f>
        <v>0</v>
      </c>
      <c r="T1381" s="6" t="n">
        <f aca="false">I1381</f>
        <v>0</v>
      </c>
      <c r="U1381" s="6" t="n">
        <f aca="false">L1381</f>
        <v>0</v>
      </c>
      <c r="W1381" s="6" t="n">
        <f aca="false">D1381</f>
        <v>3.84</v>
      </c>
      <c r="X1381" s="6" t="n">
        <f aca="false">E1381</f>
        <v>0</v>
      </c>
      <c r="Y1381" s="6" t="n">
        <f aca="false">F1381</f>
        <v>0</v>
      </c>
      <c r="Z1381" s="6" t="n">
        <f aca="false">L1381</f>
        <v>0</v>
      </c>
      <c r="AA1381" s="6" t="n">
        <f aca="false">G1381</f>
        <v>0</v>
      </c>
      <c r="AC1381" s="6" t="n">
        <f aca="false">D1381</f>
        <v>3.84</v>
      </c>
      <c r="AD1381" s="6" t="n">
        <f aca="false">E1381</f>
        <v>0</v>
      </c>
      <c r="AE1381" s="6" t="n">
        <f aca="false">G1381</f>
        <v>0</v>
      </c>
      <c r="AF1381" s="6" t="n">
        <f aca="false">H1381</f>
        <v>0</v>
      </c>
      <c r="AG1381" s="6" t="n">
        <f aca="false">I1381</f>
        <v>0</v>
      </c>
      <c r="AH1381" s="6" t="n">
        <f aca="false">L1381</f>
        <v>0</v>
      </c>
    </row>
    <row r="1382" customFormat="false" ht="15" hidden="false" customHeight="false" outlineLevel="0" collapsed="false">
      <c r="A1382" s="0" t="str">
        <f aca="false">'Raw Data'!C1382</f>
        <v>Veterans</v>
      </c>
      <c r="B1382" s="5" t="n">
        <f aca="false">'Raw Data'!A1382</f>
        <v>40337</v>
      </c>
      <c r="C1382" s="6" t="n">
        <f aca="false">'Raw Data'!D1382</f>
        <v>201.029257891376</v>
      </c>
      <c r="D1382" s="6" t="n">
        <f aca="false">'Raw Data'!E1382</f>
        <v>4.39</v>
      </c>
      <c r="E1382" s="6" t="n">
        <f aca="false">'Raw Data'!F1382</f>
        <v>0</v>
      </c>
      <c r="F1382" s="6" t="n">
        <f aca="false">'Raw Data'!G1382</f>
        <v>0</v>
      </c>
      <c r="G1382" s="6" t="n">
        <f aca="false">'Raw Data'!H1382</f>
        <v>0</v>
      </c>
      <c r="H1382" s="6" t="n">
        <f aca="false">'Raw Data'!I1382</f>
        <v>0</v>
      </c>
      <c r="I1382" s="6" t="n">
        <f aca="false">'Raw Data'!J1382</f>
        <v>0</v>
      </c>
      <c r="J1382" s="6" t="n">
        <f aca="false">'Raw Data'!K1382</f>
        <v>0</v>
      </c>
      <c r="K1382" s="6" t="n">
        <f aca="false">'Raw Data'!L1382</f>
        <v>1</v>
      </c>
      <c r="L1382" s="6" t="n">
        <f aca="false">F1382*E1382</f>
        <v>0</v>
      </c>
      <c r="N1382" s="0" t="n">
        <v>1</v>
      </c>
      <c r="O1382" s="6" t="n">
        <f aca="false">D1382</f>
        <v>4.39</v>
      </c>
      <c r="P1382" s="6" t="n">
        <f aca="false">E1382</f>
        <v>0</v>
      </c>
      <c r="Q1382" s="6" t="n">
        <f aca="false">F1382</f>
        <v>0</v>
      </c>
      <c r="R1382" s="6" t="n">
        <f aca="false">G1382</f>
        <v>0</v>
      </c>
      <c r="S1382" s="6" t="n">
        <f aca="false">H1382</f>
        <v>0</v>
      </c>
      <c r="T1382" s="6" t="n">
        <f aca="false">I1382</f>
        <v>0</v>
      </c>
      <c r="U1382" s="6" t="n">
        <f aca="false">L1382</f>
        <v>0</v>
      </c>
      <c r="W1382" s="6" t="n">
        <f aca="false">D1382</f>
        <v>4.39</v>
      </c>
      <c r="X1382" s="6" t="n">
        <f aca="false">E1382</f>
        <v>0</v>
      </c>
      <c r="Y1382" s="6" t="n">
        <f aca="false">F1382</f>
        <v>0</v>
      </c>
      <c r="Z1382" s="6" t="n">
        <f aca="false">L1382</f>
        <v>0</v>
      </c>
      <c r="AA1382" s="6" t="n">
        <f aca="false">G1382</f>
        <v>0</v>
      </c>
      <c r="AC1382" s="6" t="n">
        <f aca="false">D1382</f>
        <v>4.39</v>
      </c>
      <c r="AD1382" s="6" t="n">
        <f aca="false">E1382</f>
        <v>0</v>
      </c>
      <c r="AE1382" s="6" t="n">
        <f aca="false">G1382</f>
        <v>0</v>
      </c>
      <c r="AF1382" s="6" t="n">
        <f aca="false">H1382</f>
        <v>0</v>
      </c>
      <c r="AG1382" s="6" t="n">
        <f aca="false">I1382</f>
        <v>0</v>
      </c>
      <c r="AH1382" s="6" t="n">
        <f aca="false">L1382</f>
        <v>0</v>
      </c>
    </row>
    <row r="1383" customFormat="false" ht="15" hidden="false" customHeight="false" outlineLevel="0" collapsed="false">
      <c r="A1383" s="0" t="str">
        <f aca="false">'Raw Data'!C1383</f>
        <v>Veterans</v>
      </c>
      <c r="B1383" s="5" t="n">
        <f aca="false">'Raw Data'!A1383</f>
        <v>40344</v>
      </c>
      <c r="C1383" s="6" t="n">
        <f aca="false">'Raw Data'!D1383</f>
        <v>192.685157046473</v>
      </c>
      <c r="D1383" s="6" t="n">
        <f aca="false">'Raw Data'!E1383</f>
        <v>4.39</v>
      </c>
      <c r="E1383" s="6" t="n">
        <f aca="false">'Raw Data'!F1383</f>
        <v>0</v>
      </c>
      <c r="F1383" s="6" t="n">
        <f aca="false">'Raw Data'!G1383</f>
        <v>0</v>
      </c>
      <c r="G1383" s="6" t="n">
        <f aca="false">'Raw Data'!H1383</f>
        <v>0</v>
      </c>
      <c r="H1383" s="6" t="n">
        <f aca="false">'Raw Data'!I1383</f>
        <v>0</v>
      </c>
      <c r="I1383" s="6" t="n">
        <f aca="false">'Raw Data'!J1383</f>
        <v>0</v>
      </c>
      <c r="J1383" s="6" t="n">
        <f aca="false">'Raw Data'!K1383</f>
        <v>0</v>
      </c>
      <c r="K1383" s="6" t="n">
        <f aca="false">'Raw Data'!L1383</f>
        <v>1</v>
      </c>
      <c r="L1383" s="6" t="n">
        <f aca="false">F1383*E1383</f>
        <v>0</v>
      </c>
      <c r="N1383" s="0" t="n">
        <v>1</v>
      </c>
      <c r="O1383" s="6" t="n">
        <f aca="false">D1383</f>
        <v>4.39</v>
      </c>
      <c r="P1383" s="6" t="n">
        <f aca="false">E1383</f>
        <v>0</v>
      </c>
      <c r="Q1383" s="6" t="n">
        <f aca="false">F1383</f>
        <v>0</v>
      </c>
      <c r="R1383" s="6" t="n">
        <f aca="false">G1383</f>
        <v>0</v>
      </c>
      <c r="S1383" s="6" t="n">
        <f aca="false">H1383</f>
        <v>0</v>
      </c>
      <c r="T1383" s="6" t="n">
        <f aca="false">I1383</f>
        <v>0</v>
      </c>
      <c r="U1383" s="6" t="n">
        <f aca="false">L1383</f>
        <v>0</v>
      </c>
      <c r="W1383" s="6" t="n">
        <f aca="false">D1383</f>
        <v>4.39</v>
      </c>
      <c r="X1383" s="6" t="n">
        <f aca="false">E1383</f>
        <v>0</v>
      </c>
      <c r="Y1383" s="6" t="n">
        <f aca="false">F1383</f>
        <v>0</v>
      </c>
      <c r="Z1383" s="6" t="n">
        <f aca="false">L1383</f>
        <v>0</v>
      </c>
      <c r="AA1383" s="6" t="n">
        <f aca="false">G1383</f>
        <v>0</v>
      </c>
      <c r="AC1383" s="6" t="n">
        <f aca="false">D1383</f>
        <v>4.39</v>
      </c>
      <c r="AD1383" s="6" t="n">
        <f aca="false">E1383</f>
        <v>0</v>
      </c>
      <c r="AE1383" s="6" t="n">
        <f aca="false">G1383</f>
        <v>0</v>
      </c>
      <c r="AF1383" s="6" t="n">
        <f aca="false">H1383</f>
        <v>0</v>
      </c>
      <c r="AG1383" s="6" t="n">
        <f aca="false">I1383</f>
        <v>0</v>
      </c>
      <c r="AH1383" s="6" t="n">
        <f aca="false">L1383</f>
        <v>0</v>
      </c>
    </row>
    <row r="1384" customFormat="false" ht="15" hidden="false" customHeight="false" outlineLevel="0" collapsed="false">
      <c r="A1384" s="0" t="str">
        <f aca="false">'Raw Data'!C1384</f>
        <v>Veterans</v>
      </c>
      <c r="B1384" s="5" t="n">
        <f aca="false">'Raw Data'!A1384</f>
        <v>40351</v>
      </c>
      <c r="C1384" s="6" t="n">
        <f aca="false">'Raw Data'!D1384</f>
        <v>173.720881851359</v>
      </c>
      <c r="D1384" s="6" t="n">
        <f aca="false">'Raw Data'!E1384</f>
        <v>4.39</v>
      </c>
      <c r="E1384" s="6" t="n">
        <f aca="false">'Raw Data'!F1384</f>
        <v>0</v>
      </c>
      <c r="F1384" s="6" t="n">
        <f aca="false">'Raw Data'!G1384</f>
        <v>0</v>
      </c>
      <c r="G1384" s="6" t="n">
        <f aca="false">'Raw Data'!H1384</f>
        <v>0</v>
      </c>
      <c r="H1384" s="6" t="n">
        <f aca="false">'Raw Data'!I1384</f>
        <v>0</v>
      </c>
      <c r="I1384" s="6" t="n">
        <f aca="false">'Raw Data'!J1384</f>
        <v>0</v>
      </c>
      <c r="J1384" s="6" t="n">
        <f aca="false">'Raw Data'!K1384</f>
        <v>0</v>
      </c>
      <c r="K1384" s="6" t="n">
        <f aca="false">'Raw Data'!L1384</f>
        <v>1</v>
      </c>
      <c r="L1384" s="6" t="n">
        <f aca="false">F1384*E1384</f>
        <v>0</v>
      </c>
      <c r="N1384" s="0" t="n">
        <v>1</v>
      </c>
      <c r="O1384" s="6" t="n">
        <f aca="false">D1384</f>
        <v>4.39</v>
      </c>
      <c r="P1384" s="6" t="n">
        <f aca="false">E1384</f>
        <v>0</v>
      </c>
      <c r="Q1384" s="6" t="n">
        <f aca="false">F1384</f>
        <v>0</v>
      </c>
      <c r="R1384" s="6" t="n">
        <f aca="false">G1384</f>
        <v>0</v>
      </c>
      <c r="S1384" s="6" t="n">
        <f aca="false">H1384</f>
        <v>0</v>
      </c>
      <c r="T1384" s="6" t="n">
        <f aca="false">I1384</f>
        <v>0</v>
      </c>
      <c r="U1384" s="6" t="n">
        <f aca="false">L1384</f>
        <v>0</v>
      </c>
      <c r="W1384" s="6" t="n">
        <f aca="false">D1384</f>
        <v>4.39</v>
      </c>
      <c r="X1384" s="6" t="n">
        <f aca="false">E1384</f>
        <v>0</v>
      </c>
      <c r="Y1384" s="6" t="n">
        <f aca="false">F1384</f>
        <v>0</v>
      </c>
      <c r="Z1384" s="6" t="n">
        <f aca="false">L1384</f>
        <v>0</v>
      </c>
      <c r="AA1384" s="6" t="n">
        <f aca="false">G1384</f>
        <v>0</v>
      </c>
      <c r="AC1384" s="6" t="n">
        <f aca="false">D1384</f>
        <v>4.39</v>
      </c>
      <c r="AD1384" s="6" t="n">
        <f aca="false">E1384</f>
        <v>0</v>
      </c>
      <c r="AE1384" s="6" t="n">
        <f aca="false">G1384</f>
        <v>0</v>
      </c>
      <c r="AF1384" s="6" t="n">
        <f aca="false">H1384</f>
        <v>0</v>
      </c>
      <c r="AG1384" s="6" t="n">
        <f aca="false">I1384</f>
        <v>0</v>
      </c>
      <c r="AH1384" s="6" t="n">
        <f aca="false">L1384</f>
        <v>0</v>
      </c>
    </row>
    <row r="1385" customFormat="false" ht="15" hidden="false" customHeight="false" outlineLevel="0" collapsed="false">
      <c r="A1385" s="0" t="str">
        <f aca="false">'Raw Data'!C1385</f>
        <v>Veterans</v>
      </c>
      <c r="B1385" s="5" t="n">
        <f aca="false">'Raw Data'!A1385</f>
        <v>40358</v>
      </c>
      <c r="C1385" s="6" t="n">
        <f aca="false">'Raw Data'!D1385</f>
        <v>278.582871566513</v>
      </c>
      <c r="D1385" s="6" t="n">
        <f aca="false">'Raw Data'!E1385</f>
        <v>4.39</v>
      </c>
      <c r="E1385" s="6" t="n">
        <f aca="false">'Raw Data'!F1385</f>
        <v>0</v>
      </c>
      <c r="F1385" s="6" t="n">
        <f aca="false">'Raw Data'!G1385</f>
        <v>0</v>
      </c>
      <c r="G1385" s="6" t="n">
        <f aca="false">'Raw Data'!H1385</f>
        <v>0</v>
      </c>
      <c r="H1385" s="6" t="n">
        <f aca="false">'Raw Data'!I1385</f>
        <v>0</v>
      </c>
      <c r="I1385" s="6" t="n">
        <f aca="false">'Raw Data'!J1385</f>
        <v>0</v>
      </c>
      <c r="J1385" s="6" t="n">
        <f aca="false">'Raw Data'!K1385</f>
        <v>0</v>
      </c>
      <c r="K1385" s="6" t="n">
        <f aca="false">'Raw Data'!L1385</f>
        <v>1</v>
      </c>
      <c r="L1385" s="6" t="n">
        <f aca="false">F1385*E1385</f>
        <v>0</v>
      </c>
      <c r="N1385" s="0" t="n">
        <v>1</v>
      </c>
      <c r="O1385" s="6" t="n">
        <f aca="false">D1385</f>
        <v>4.39</v>
      </c>
      <c r="P1385" s="6" t="n">
        <f aca="false">E1385</f>
        <v>0</v>
      </c>
      <c r="Q1385" s="6" t="n">
        <f aca="false">F1385</f>
        <v>0</v>
      </c>
      <c r="R1385" s="6" t="n">
        <f aca="false">G1385</f>
        <v>0</v>
      </c>
      <c r="S1385" s="6" t="n">
        <f aca="false">H1385</f>
        <v>0</v>
      </c>
      <c r="T1385" s="6" t="n">
        <f aca="false">I1385</f>
        <v>0</v>
      </c>
      <c r="U1385" s="6" t="n">
        <f aca="false">L1385</f>
        <v>0</v>
      </c>
      <c r="W1385" s="6" t="n">
        <f aca="false">D1385</f>
        <v>4.39</v>
      </c>
      <c r="X1385" s="6" t="n">
        <f aca="false">E1385</f>
        <v>0</v>
      </c>
      <c r="Y1385" s="6" t="n">
        <f aca="false">F1385</f>
        <v>0</v>
      </c>
      <c r="Z1385" s="6" t="n">
        <f aca="false">L1385</f>
        <v>0</v>
      </c>
      <c r="AA1385" s="6" t="n">
        <f aca="false">G1385</f>
        <v>0</v>
      </c>
      <c r="AC1385" s="6" t="n">
        <f aca="false">D1385</f>
        <v>4.39</v>
      </c>
      <c r="AD1385" s="6" t="n">
        <f aca="false">E1385</f>
        <v>0</v>
      </c>
      <c r="AE1385" s="6" t="n">
        <f aca="false">G1385</f>
        <v>0</v>
      </c>
      <c r="AF1385" s="6" t="n">
        <f aca="false">H1385</f>
        <v>0</v>
      </c>
      <c r="AG1385" s="6" t="n">
        <f aca="false">I1385</f>
        <v>0</v>
      </c>
      <c r="AH1385" s="6" t="n">
        <f aca="false">L1385</f>
        <v>0</v>
      </c>
    </row>
    <row r="1386" customFormat="false" ht="15" hidden="false" customHeight="false" outlineLevel="0" collapsed="false">
      <c r="A1386" s="0" t="str">
        <f aca="false">'Raw Data'!C1386</f>
        <v>Veterans</v>
      </c>
      <c r="B1386" s="5" t="n">
        <f aca="false">'Raw Data'!A1386</f>
        <v>40365</v>
      </c>
      <c r="C1386" s="6" t="n">
        <f aca="false">'Raw Data'!D1386</f>
        <v>122.22976754875</v>
      </c>
      <c r="D1386" s="6" t="n">
        <f aca="false">'Raw Data'!E1386</f>
        <v>4.19</v>
      </c>
      <c r="E1386" s="6" t="n">
        <f aca="false">'Raw Data'!F1386</f>
        <v>0</v>
      </c>
      <c r="F1386" s="6" t="n">
        <f aca="false">'Raw Data'!G1386</f>
        <v>0</v>
      </c>
      <c r="G1386" s="6" t="n">
        <f aca="false">'Raw Data'!H1386</f>
        <v>0</v>
      </c>
      <c r="H1386" s="6" t="n">
        <f aca="false">'Raw Data'!I1386</f>
        <v>0</v>
      </c>
      <c r="I1386" s="6" t="n">
        <f aca="false">'Raw Data'!J1386</f>
        <v>0</v>
      </c>
      <c r="J1386" s="6" t="n">
        <f aca="false">'Raw Data'!K1386</f>
        <v>0</v>
      </c>
      <c r="K1386" s="6" t="n">
        <f aca="false">'Raw Data'!L1386</f>
        <v>1</v>
      </c>
      <c r="L1386" s="6" t="n">
        <f aca="false">F1386*E1386</f>
        <v>0</v>
      </c>
      <c r="N1386" s="0" t="n">
        <v>1</v>
      </c>
      <c r="O1386" s="6" t="n">
        <f aca="false">D1386</f>
        <v>4.19</v>
      </c>
      <c r="P1386" s="6" t="n">
        <f aca="false">E1386</f>
        <v>0</v>
      </c>
      <c r="Q1386" s="6" t="n">
        <f aca="false">F1386</f>
        <v>0</v>
      </c>
      <c r="R1386" s="6" t="n">
        <f aca="false">G1386</f>
        <v>0</v>
      </c>
      <c r="S1386" s="6" t="n">
        <f aca="false">H1386</f>
        <v>0</v>
      </c>
      <c r="T1386" s="6" t="n">
        <f aca="false">I1386</f>
        <v>0</v>
      </c>
      <c r="U1386" s="6" t="n">
        <f aca="false">L1386</f>
        <v>0</v>
      </c>
      <c r="W1386" s="6" t="n">
        <f aca="false">D1386</f>
        <v>4.19</v>
      </c>
      <c r="X1386" s="6" t="n">
        <f aca="false">E1386</f>
        <v>0</v>
      </c>
      <c r="Y1386" s="6" t="n">
        <f aca="false">F1386</f>
        <v>0</v>
      </c>
      <c r="Z1386" s="6" t="n">
        <f aca="false">L1386</f>
        <v>0</v>
      </c>
      <c r="AA1386" s="6" t="n">
        <f aca="false">G1386</f>
        <v>0</v>
      </c>
      <c r="AC1386" s="6" t="n">
        <f aca="false">D1386</f>
        <v>4.19</v>
      </c>
      <c r="AD1386" s="6" t="n">
        <f aca="false">E1386</f>
        <v>0</v>
      </c>
      <c r="AE1386" s="6" t="n">
        <f aca="false">G1386</f>
        <v>0</v>
      </c>
      <c r="AF1386" s="6" t="n">
        <f aca="false">H1386</f>
        <v>0</v>
      </c>
      <c r="AG1386" s="6" t="n">
        <f aca="false">I1386</f>
        <v>0</v>
      </c>
      <c r="AH1386" s="6" t="n">
        <f aca="false">L1386</f>
        <v>0</v>
      </c>
    </row>
    <row r="1387" customFormat="false" ht="15" hidden="false" customHeight="false" outlineLevel="0" collapsed="false">
      <c r="A1387" s="0" t="str">
        <f aca="false">'Raw Data'!C1387</f>
        <v>Veterans</v>
      </c>
      <c r="B1387" s="5" t="n">
        <f aca="false">'Raw Data'!A1387</f>
        <v>40372</v>
      </c>
      <c r="C1387" s="6" t="n">
        <f aca="false">'Raw Data'!D1387</f>
        <v>166.893025763623</v>
      </c>
      <c r="D1387" s="6" t="n">
        <f aca="false">'Raw Data'!E1387</f>
        <v>4.19</v>
      </c>
      <c r="E1387" s="6" t="n">
        <f aca="false">'Raw Data'!F1387</f>
        <v>0</v>
      </c>
      <c r="F1387" s="6" t="n">
        <f aca="false">'Raw Data'!G1387</f>
        <v>0</v>
      </c>
      <c r="G1387" s="6" t="n">
        <f aca="false">'Raw Data'!H1387</f>
        <v>0</v>
      </c>
      <c r="H1387" s="6" t="n">
        <f aca="false">'Raw Data'!I1387</f>
        <v>0</v>
      </c>
      <c r="I1387" s="6" t="n">
        <f aca="false">'Raw Data'!J1387</f>
        <v>0</v>
      </c>
      <c r="J1387" s="6" t="n">
        <f aca="false">'Raw Data'!K1387</f>
        <v>0</v>
      </c>
      <c r="K1387" s="6" t="n">
        <f aca="false">'Raw Data'!L1387</f>
        <v>1</v>
      </c>
      <c r="L1387" s="6" t="n">
        <f aca="false">F1387*E1387</f>
        <v>0</v>
      </c>
      <c r="N1387" s="0" t="n">
        <v>1</v>
      </c>
      <c r="O1387" s="6" t="n">
        <f aca="false">D1387</f>
        <v>4.19</v>
      </c>
      <c r="P1387" s="6" t="n">
        <f aca="false">E1387</f>
        <v>0</v>
      </c>
      <c r="Q1387" s="6" t="n">
        <f aca="false">F1387</f>
        <v>0</v>
      </c>
      <c r="R1387" s="6" t="n">
        <f aca="false">G1387</f>
        <v>0</v>
      </c>
      <c r="S1387" s="6" t="n">
        <f aca="false">H1387</f>
        <v>0</v>
      </c>
      <c r="T1387" s="6" t="n">
        <f aca="false">I1387</f>
        <v>0</v>
      </c>
      <c r="U1387" s="6" t="n">
        <f aca="false">L1387</f>
        <v>0</v>
      </c>
      <c r="W1387" s="6" t="n">
        <f aca="false">D1387</f>
        <v>4.19</v>
      </c>
      <c r="X1387" s="6" t="n">
        <f aca="false">E1387</f>
        <v>0</v>
      </c>
      <c r="Y1387" s="6" t="n">
        <f aca="false">F1387</f>
        <v>0</v>
      </c>
      <c r="Z1387" s="6" t="n">
        <f aca="false">L1387</f>
        <v>0</v>
      </c>
      <c r="AA1387" s="6" t="n">
        <f aca="false">G1387</f>
        <v>0</v>
      </c>
      <c r="AC1387" s="6" t="n">
        <f aca="false">D1387</f>
        <v>4.19</v>
      </c>
      <c r="AD1387" s="6" t="n">
        <f aca="false">E1387</f>
        <v>0</v>
      </c>
      <c r="AE1387" s="6" t="n">
        <f aca="false">G1387</f>
        <v>0</v>
      </c>
      <c r="AF1387" s="6" t="n">
        <f aca="false">H1387</f>
        <v>0</v>
      </c>
      <c r="AG1387" s="6" t="n">
        <f aca="false">I1387</f>
        <v>0</v>
      </c>
      <c r="AH1387" s="6" t="n">
        <f aca="false">L1387</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71"/>
    <col collapsed="false" customWidth="true" hidden="false" outlineLevel="0" max="2" min="2" style="0" width="14.72"/>
    <col collapsed="false" customWidth="true" hidden="false" outlineLevel="0" max="3" min="3" style="0" width="70.72"/>
    <col collapsed="false" customWidth="true" hidden="false" outlineLevel="0" max="9" min="4" style="0" width="12.72"/>
  </cols>
  <sheetData>
    <row r="1" customFormat="false" ht="17.35" hidden="false" customHeight="false" outlineLevel="0" collapsed="false">
      <c r="A1" s="1" t="s">
        <v>183</v>
      </c>
    </row>
    <row r="3" customFormat="false" ht="15" hidden="false" customHeight="false" outlineLevel="0" collapsed="false">
      <c r="A3" s="7" t="s">
        <v>184</v>
      </c>
      <c r="B3" s="7" t="s">
        <v>185</v>
      </c>
      <c r="C3" s="7" t="s">
        <v>186</v>
      </c>
    </row>
    <row r="4" customFormat="false" ht="15" hidden="false" customHeight="false" outlineLevel="0" collapsed="false">
      <c r="A4" s="8" t="s">
        <v>187</v>
      </c>
      <c r="B4" s="8" t="n">
        <f aca="false">COUNTA('Raw Data'!$C$2:$C$1387)</f>
        <v>1386</v>
      </c>
      <c r="C4" s="9" t="s">
        <v>188</v>
      </c>
    </row>
    <row r="5" customFormat="false" ht="15" hidden="false" customHeight="false" outlineLevel="0" collapsed="false">
      <c r="A5" s="8" t="s">
        <v>189</v>
      </c>
      <c r="B5" s="8" t="n">
        <f aca="false">COUNTA('Raw Data'!$A$1:$L$1)</f>
        <v>12</v>
      </c>
      <c r="C5" s="9" t="s">
        <v>190</v>
      </c>
    </row>
    <row r="6" customFormat="false" ht="15" hidden="false" customHeight="false" outlineLevel="0" collapsed="false">
      <c r="A6" s="8" t="s">
        <v>191</v>
      </c>
      <c r="B6" s="8" t="n">
        <f aca="false">SUMPRODUCT(1/COUNTIF('Raw Data'!$C$2:$C$1387,'Raw Data'!$C$2:$C$1387))</f>
        <v>126</v>
      </c>
      <c r="C6" s="9" t="s">
        <v>192</v>
      </c>
    </row>
    <row r="7" customFormat="false" ht="23.85" hidden="false" customHeight="false" outlineLevel="0" collapsed="false">
      <c r="A7" s="8" t="s">
        <v>193</v>
      </c>
      <c r="B7" s="8" t="n">
        <f aca="false">SUMPRODUCT(1/COUNTIF('Raw Data'!$A$2:$A$1387,'Raw Data'!$A$2:$A$1387))</f>
        <v>11</v>
      </c>
      <c r="C7" s="9" t="s">
        <v>194</v>
      </c>
    </row>
    <row r="8" customFormat="false" ht="15" hidden="false" customHeight="false" outlineLevel="0" collapsed="false">
      <c r="A8" s="8" t="s">
        <v>195</v>
      </c>
      <c r="B8" s="8" t="n">
        <f aca="false" t="array" ref="B8:B8">MIN(COUNTIF('Raw Data'!$C$2:$C$1387,'Raw Data'!$C$2:$C$1387))</f>
        <v>11</v>
      </c>
      <c r="C8" s="9" t="s">
        <v>196</v>
      </c>
    </row>
    <row r="9" customFormat="false" ht="15" hidden="false" customHeight="false" outlineLevel="0" collapsed="false">
      <c r="A9" s="8" t="s">
        <v>197</v>
      </c>
      <c r="B9" s="10" t="n">
        <f aca="false">MIN('Raw Data'!$A$2:$A$1387)</f>
        <v>40302</v>
      </c>
      <c r="C9" s="9"/>
    </row>
    <row r="10" customFormat="false" ht="15" hidden="false" customHeight="false" outlineLevel="0" collapsed="false">
      <c r="A10" s="8" t="s">
        <v>198</v>
      </c>
      <c r="B10" s="10" t="n">
        <f aca="false">MAX('Raw Data'!$A$2:$A$1387)</f>
        <v>40372</v>
      </c>
      <c r="C10" s="9"/>
    </row>
    <row r="11" customFormat="false" ht="15" hidden="false" customHeight="false" outlineLevel="0" collapsed="false">
      <c r="A11" s="8" t="s">
        <v>199</v>
      </c>
      <c r="B11" s="8" t="n">
        <f aca="false">COUNTBLANK('Raw Data'!$D$2:$L$1387)</f>
        <v>0</v>
      </c>
      <c r="C11" s="9" t="s">
        <v>200</v>
      </c>
    </row>
    <row r="12" customFormat="false" ht="23.85" hidden="false" customHeight="false" outlineLevel="0" collapsed="false">
      <c r="A12" s="8" t="s">
        <v>201</v>
      </c>
      <c r="B12" s="8" t="n">
        <f aca="false">COUNTBLANK('Raw Data'!$B$2:$B$1387)</f>
        <v>0</v>
      </c>
      <c r="C12" s="9" t="s">
        <v>202</v>
      </c>
    </row>
    <row r="13" customFormat="false" ht="15" hidden="false" customHeight="false" outlineLevel="0" collapsed="false">
      <c r="A13" s="8" t="s">
        <v>203</v>
      </c>
      <c r="B13" s="8" t="n">
        <f aca="false">COUNTIF('Raw Data'!$B$2:$B$1387,"NA")</f>
        <v>143</v>
      </c>
      <c r="C13" s="9" t="s">
        <v>204</v>
      </c>
    </row>
    <row r="14" customFormat="false" ht="15" hidden="false" customHeight="false" outlineLevel="0" collapsed="false">
      <c r="A14" s="8" t="s">
        <v>205</v>
      </c>
      <c r="B14" s="11" t="n">
        <v>0</v>
      </c>
      <c r="C14" s="9" t="s">
        <v>206</v>
      </c>
    </row>
    <row r="15" customFormat="false" ht="15" hidden="false" customHeight="false" outlineLevel="0" collapsed="false">
      <c r="A15" s="8" t="s">
        <v>207</v>
      </c>
      <c r="B15" s="8" t="n">
        <f aca="false">COUNTIF('Raw Data'!$D$2:$D$1387,"&lt;=0")</f>
        <v>0</v>
      </c>
      <c r="C15" s="9" t="s">
        <v>208</v>
      </c>
    </row>
    <row r="16" customFormat="false" ht="23.85" hidden="false" customHeight="false" outlineLevel="0" collapsed="false">
      <c r="A16" s="8" t="s">
        <v>209</v>
      </c>
      <c r="B16" s="11" t="n">
        <v>10</v>
      </c>
      <c r="C16" s="9" t="s">
        <v>210</v>
      </c>
    </row>
    <row r="17" customFormat="false" ht="15" hidden="false" customHeight="false" outlineLevel="0" collapsed="false">
      <c r="A17" s="8" t="s">
        <v>211</v>
      </c>
      <c r="B17" s="11" t="n">
        <v>3</v>
      </c>
      <c r="C17" s="9" t="s">
        <v>212</v>
      </c>
    </row>
    <row r="19" customFormat="false" ht="15" hidden="false" customHeight="false" outlineLevel="0" collapsed="false">
      <c r="A19" s="7" t="s">
        <v>213</v>
      </c>
    </row>
    <row r="20" customFormat="false" ht="15" hidden="false" customHeight="false" outlineLevel="0" collapsed="false">
      <c r="A20" s="4" t="s">
        <v>214</v>
      </c>
      <c r="B20" s="4" t="s">
        <v>215</v>
      </c>
      <c r="C20" s="4" t="s">
        <v>216</v>
      </c>
      <c r="D20" s="4" t="s">
        <v>217</v>
      </c>
      <c r="E20" s="4" t="s">
        <v>218</v>
      </c>
      <c r="F20" s="4" t="s">
        <v>219</v>
      </c>
      <c r="G20" s="4" t="s">
        <v>220</v>
      </c>
      <c r="H20" s="4" t="s">
        <v>221</v>
      </c>
      <c r="I20" s="4" t="s">
        <v>222</v>
      </c>
    </row>
    <row r="21" customFormat="false" ht="35.05" hidden="false" customHeight="false" outlineLevel="0" collapsed="false">
      <c r="A21" s="8" t="s">
        <v>223</v>
      </c>
      <c r="B21" s="12" t="n">
        <f aca="false">COUNT('Analysis Data'!$C$2:$C$1387)</f>
        <v>1386</v>
      </c>
      <c r="C21" s="8" t="str">
        <f aca="false">"continuous"</f>
        <v>continuous</v>
      </c>
      <c r="D21" s="13" t="n">
        <f aca="false">AVERAGE('Analysis Data'!$C$2:$C$1387)</f>
        <v>253.820717558438</v>
      </c>
      <c r="E21" s="13" t="n">
        <f aca="false">MEDIAN('Analysis Data'!$C$2:$C$1387)</f>
        <v>236.735266302157</v>
      </c>
      <c r="F21" s="13" t="n">
        <f aca="false">_xlfn.STDEV.S('Analysis Data'!$C$2:$C$1387)</f>
        <v>110.998731143039</v>
      </c>
      <c r="G21" s="13" t="n">
        <f aca="false">MIN('Analysis Data'!$C$2:$C$1387)</f>
        <v>47.559851899868</v>
      </c>
      <c r="H21" s="13" t="n">
        <f aca="false">MAX('Analysis Data'!$C$2:$C$1387)</f>
        <v>1041.20025637098</v>
      </c>
      <c r="I21" s="9" t="s">
        <v>224</v>
      </c>
    </row>
    <row r="22" customFormat="false" ht="15" hidden="false" customHeight="false" outlineLevel="0" collapsed="false">
      <c r="A22" s="8" t="s">
        <v>225</v>
      </c>
      <c r="B22" s="12" t="n">
        <f aca="false">COUNT('Analysis Data'!$D$2:$D$1387)</f>
        <v>1386</v>
      </c>
      <c r="C22" s="8" t="str">
        <f aca="false">"continuous"</f>
        <v>continuous</v>
      </c>
      <c r="D22" s="13" t="n">
        <f aca="false">AVERAGE('Analysis Data'!$D$2:$D$1387)</f>
        <v>4.10709292141053</v>
      </c>
      <c r="E22" s="13" t="n">
        <f aca="false">MEDIAN('Analysis Data'!$D$2:$D$1387)</f>
        <v>4.096666667</v>
      </c>
      <c r="F22" s="13" t="n">
        <f aca="false">_xlfn.STDEV.S('Analysis Data'!$D$2:$D$1387)</f>
        <v>0.463828367853822</v>
      </c>
      <c r="G22" s="13" t="n">
        <f aca="false">MIN('Analysis Data'!$D$2:$D$1387)</f>
        <v>2.889285714</v>
      </c>
      <c r="H22" s="13" t="n">
        <f aca="false">MAX('Analysis Data'!$D$2:$D$1387)</f>
        <v>6.251538462</v>
      </c>
      <c r="I22" s="9" t="s">
        <v>226</v>
      </c>
    </row>
    <row r="23" customFormat="false" ht="35.05" hidden="false" customHeight="false" outlineLevel="0" collapsed="false">
      <c r="A23" s="8" t="s">
        <v>227</v>
      </c>
      <c r="B23" s="12" t="n">
        <f aca="false">COUNT('Analysis Data'!$E$2:$E$1387)</f>
        <v>1386</v>
      </c>
      <c r="C23" s="8" t="n">
        <f aca="false">SUMPRODUCT(1/COUNTIF('Analysis Data'!$E$2:$E$1387,'Analysis Data'!$E$2:$E$1387))</f>
        <v>2</v>
      </c>
      <c r="D23" s="13" t="n">
        <f aca="false">AVERAGE('Analysis Data'!$E$2:$E$1387)</f>
        <v>0.54978354978355</v>
      </c>
      <c r="E23" s="13" t="n">
        <f aca="false">MEDIAN('Analysis Data'!$E$2:$E$1387)</f>
        <v>1</v>
      </c>
      <c r="F23" s="13" t="n">
        <f aca="false">_xlfn.STDEV.S('Analysis Data'!$E$2:$E$1387)</f>
        <v>0.497695001106409</v>
      </c>
      <c r="G23" s="13" t="n">
        <f aca="false">MIN('Analysis Data'!$E$2:$E$1387)</f>
        <v>0</v>
      </c>
      <c r="H23" s="13" t="n">
        <f aca="false">MAX('Analysis Data'!$E$2:$E$1387)</f>
        <v>1</v>
      </c>
      <c r="I23" s="9" t="s">
        <v>228</v>
      </c>
    </row>
    <row r="24" customFormat="false" ht="35.05" hidden="false" customHeight="false" outlineLevel="0" collapsed="false">
      <c r="A24" s="8" t="s">
        <v>27</v>
      </c>
      <c r="B24" s="12" t="n">
        <f aca="false">COUNT('Analysis Data'!$F$2:$F$1387)</f>
        <v>1386</v>
      </c>
      <c r="C24" s="8" t="n">
        <f aca="false">SUMPRODUCT(1/COUNTIF('Analysis Data'!$F$2:$F$1387,'Analysis Data'!$F$2:$F$1387))</f>
        <v>2</v>
      </c>
      <c r="D24" s="13" t="n">
        <f aca="false">AVERAGE('Analysis Data'!$F$2:$F$1387)</f>
        <v>0.0382395382395382</v>
      </c>
      <c r="E24" s="13" t="n">
        <f aca="false">MEDIAN('Analysis Data'!$F$2:$F$1387)</f>
        <v>0</v>
      </c>
      <c r="F24" s="13" t="n">
        <f aca="false">_xlfn.STDEV.S('Analysis Data'!$F$2:$F$1387)</f>
        <v>0.191843243156032</v>
      </c>
      <c r="G24" s="13" t="n">
        <f aca="false">MIN('Analysis Data'!$F$2:$F$1387)</f>
        <v>0</v>
      </c>
      <c r="H24" s="13" t="n">
        <f aca="false">MAX('Analysis Data'!$F$2:$F$1387)</f>
        <v>1</v>
      </c>
      <c r="I24" s="9" t="s">
        <v>229</v>
      </c>
    </row>
    <row r="25" customFormat="false" ht="23.85" hidden="false" customHeight="false" outlineLevel="0" collapsed="false">
      <c r="A25" s="8" t="s">
        <v>28</v>
      </c>
      <c r="B25" s="12" t="n">
        <f aca="false">COUNT('Analysis Data'!$G$2:$G$1387)</f>
        <v>1386</v>
      </c>
      <c r="C25" s="8" t="n">
        <f aca="false">SUMPRODUCT(1/COUNTIF('Analysis Data'!$G$2:$G$1387,'Analysis Data'!$G$2:$G$1387))</f>
        <v>2</v>
      </c>
      <c r="D25" s="13" t="n">
        <f aca="false">AVERAGE('Analysis Data'!$G$2:$G$1387)</f>
        <v>0.0584415584415584</v>
      </c>
      <c r="E25" s="13" t="n">
        <f aca="false">MEDIAN('Analysis Data'!$G$2:$G$1387)</f>
        <v>0</v>
      </c>
      <c r="F25" s="13" t="n">
        <f aca="false">_xlfn.STDEV.S('Analysis Data'!$G$2:$G$1387)</f>
        <v>0.234661187151611</v>
      </c>
      <c r="G25" s="13" t="n">
        <f aca="false">MIN('Analysis Data'!$G$2:$G$1387)</f>
        <v>0</v>
      </c>
      <c r="H25" s="13" t="n">
        <f aca="false">MAX('Analysis Data'!$G$2:$G$1387)</f>
        <v>1</v>
      </c>
      <c r="I25" s="9" t="s">
        <v>230</v>
      </c>
    </row>
    <row r="26" customFormat="false" ht="23.85" hidden="false" customHeight="false" outlineLevel="0" collapsed="false">
      <c r="A26" s="8" t="s">
        <v>231</v>
      </c>
      <c r="B26" s="12" t="n">
        <f aca="false">COUNT('Analysis Data'!$H$2:$H$1387)</f>
        <v>1386</v>
      </c>
      <c r="C26" s="8" t="n">
        <f aca="false">SUMPRODUCT(1/COUNTIF('Analysis Data'!$H$2:$H$1387,'Analysis Data'!$H$2:$H$1387))</f>
        <v>2</v>
      </c>
      <c r="D26" s="13" t="n">
        <f aca="false">AVERAGE('Analysis Data'!$H$2:$H$1387)</f>
        <v>0.156565656565657</v>
      </c>
      <c r="E26" s="13" t="n">
        <f aca="false">MEDIAN('Analysis Data'!$H$2:$H$1387)</f>
        <v>0</v>
      </c>
      <c r="F26" s="13" t="n">
        <f aca="false">_xlfn.STDEV.S('Analysis Data'!$H$2:$H$1387)</f>
        <v>0.363521934371416</v>
      </c>
      <c r="G26" s="13" t="n">
        <f aca="false">MIN('Analysis Data'!$H$2:$H$1387)</f>
        <v>0</v>
      </c>
      <c r="H26" s="13" t="n">
        <f aca="false">MAX('Analysis Data'!$H$2:$H$1387)</f>
        <v>1</v>
      </c>
      <c r="I26" s="9" t="s">
        <v>232</v>
      </c>
    </row>
    <row r="27" customFormat="false" ht="23.85" hidden="false" customHeight="false" outlineLevel="0" collapsed="false">
      <c r="A27" s="8" t="s">
        <v>233</v>
      </c>
      <c r="B27" s="12" t="n">
        <f aca="false">COUNT('Analysis Data'!$I$2:$I$1387)</f>
        <v>1386</v>
      </c>
      <c r="C27" s="8" t="n">
        <f aca="false">SUMPRODUCT(1/COUNTIF('Analysis Data'!$I$2:$I$1387,'Analysis Data'!$I$2:$I$1387))</f>
        <v>2</v>
      </c>
      <c r="D27" s="13" t="n">
        <f aca="false">AVERAGE('Analysis Data'!$I$2:$I$1387)</f>
        <v>0.0757575757575758</v>
      </c>
      <c r="E27" s="13" t="n">
        <f aca="false">MEDIAN('Analysis Data'!$I$2:$I$1387)</f>
        <v>0</v>
      </c>
      <c r="F27" s="13" t="n">
        <f aca="false">_xlfn.STDEV.S('Analysis Data'!$I$2:$I$1387)</f>
        <v>0.264705346091508</v>
      </c>
      <c r="G27" s="13" t="n">
        <f aca="false">MIN('Analysis Data'!$I$2:$I$1387)</f>
        <v>0</v>
      </c>
      <c r="H27" s="13" t="n">
        <f aca="false">MAX('Analysis Data'!$I$2:$I$1387)</f>
        <v>1</v>
      </c>
      <c r="I27" s="9" t="s">
        <v>234</v>
      </c>
    </row>
    <row r="28" customFormat="false" ht="23.85" hidden="false" customHeight="false" outlineLevel="0" collapsed="false">
      <c r="A28" s="8" t="s">
        <v>31</v>
      </c>
      <c r="B28" s="12" t="n">
        <f aca="false">COUNT('Analysis Data'!$J$2:$J$1387)</f>
        <v>1386</v>
      </c>
      <c r="C28" s="8" t="n">
        <f aca="false">SUMPRODUCT(1/COUNTIF('Analysis Data'!$J$2:$J$1387,'Analysis Data'!$J$2:$J$1387))</f>
        <v>5</v>
      </c>
      <c r="D28" s="13" t="n">
        <f aca="false">AVERAGE('Analysis Data'!$J$2:$J$1387)</f>
        <v>1.44877344877345</v>
      </c>
      <c r="E28" s="13" t="n">
        <f aca="false">MEDIAN('Analysis Data'!$J$2:$J$1387)</f>
        <v>1</v>
      </c>
      <c r="F28" s="13" t="n">
        <f aca="false">_xlfn.STDEV.S('Analysis Data'!$J$2:$J$1387)</f>
        <v>0.975091559104826</v>
      </c>
      <c r="G28" s="13" t="n">
        <f aca="false">MIN('Analysis Data'!$J$2:$J$1387)</f>
        <v>0</v>
      </c>
      <c r="H28" s="13" t="n">
        <f aca="false">MAX('Analysis Data'!$J$2:$J$1387)</f>
        <v>4</v>
      </c>
      <c r="I28" s="9" t="s">
        <v>235</v>
      </c>
    </row>
    <row r="29" customFormat="false" ht="23.85" hidden="false" customHeight="false" outlineLevel="0" collapsed="false">
      <c r="A29" s="8" t="s">
        <v>32</v>
      </c>
      <c r="B29" s="12" t="n">
        <f aca="false">COUNT('Analysis Data'!$K$2:$K$1387)</f>
        <v>1386</v>
      </c>
      <c r="C29" s="8" t="n">
        <f aca="false">SUMPRODUCT(1/COUNTIF('Analysis Data'!$K$2:$K$1387,'Analysis Data'!$K$2:$K$1387))</f>
        <v>6</v>
      </c>
      <c r="D29" s="13" t="n">
        <f aca="false">AVERAGE('Analysis Data'!$K$2:$K$1387)</f>
        <v>2.47619047619048</v>
      </c>
      <c r="E29" s="13" t="n">
        <f aca="false">MEDIAN('Analysis Data'!$K$2:$K$1387)</f>
        <v>2</v>
      </c>
      <c r="F29" s="13" t="n">
        <f aca="false">_xlfn.STDEV.S('Analysis Data'!$K$2:$K$1387)</f>
        <v>1.59278932179383</v>
      </c>
      <c r="G29" s="13" t="n">
        <f aca="false">MIN('Analysis Data'!$K$2:$K$1387)</f>
        <v>0</v>
      </c>
      <c r="H29" s="13" t="n">
        <f aca="false">MAX('Analysis Data'!$K$2:$K$1387)</f>
        <v>5</v>
      </c>
      <c r="I29" s="9" t="s">
        <v>235</v>
      </c>
    </row>
    <row r="31" customFormat="false" ht="15" hidden="false" customHeight="false" outlineLevel="0" collapsed="false">
      <c r="A31" s="7" t="s">
        <v>236</v>
      </c>
    </row>
    <row r="32" customFormat="false" ht="15" hidden="false" customHeight="false" outlineLevel="0" collapsed="false">
      <c r="A32" s="8" t="s">
        <v>172</v>
      </c>
      <c r="B32" s="12" t="n">
        <f aca="false">SUM('Analysis Data'!$E$2:$E$1387)</f>
        <v>762</v>
      </c>
    </row>
    <row r="33" customFormat="false" ht="15" hidden="false" customHeight="false" outlineLevel="0" collapsed="false">
      <c r="A33" s="8" t="s">
        <v>27</v>
      </c>
      <c r="B33" s="12" t="n">
        <f aca="false">SUM('Analysis Data'!$F$2:$F$1387)</f>
        <v>53</v>
      </c>
    </row>
    <row r="34" customFormat="false" ht="15" hidden="false" customHeight="false" outlineLevel="0" collapsed="false">
      <c r="A34" s="8" t="s">
        <v>28</v>
      </c>
      <c r="B34" s="12" t="n">
        <f aca="false">SUM('Analysis Data'!$G$2:$G$1387)</f>
        <v>81</v>
      </c>
    </row>
    <row r="35" customFormat="false" ht="15" hidden="false" customHeight="false" outlineLevel="0" collapsed="false">
      <c r="A35" s="8" t="s">
        <v>29</v>
      </c>
      <c r="B35" s="12" t="n">
        <f aca="false">SUM('Analysis Data'!$H$2:$H$1387)</f>
        <v>217</v>
      </c>
    </row>
    <row r="36" customFormat="false" ht="15" hidden="false" customHeight="false" outlineLevel="0" collapsed="false">
      <c r="A36" s="8" t="s">
        <v>30</v>
      </c>
      <c r="B36" s="12" t="n">
        <f aca="false">SUM('Analysis Data'!$I$2:$I$1387)</f>
        <v>105</v>
      </c>
    </row>
    <row r="37" customFormat="false" ht="15" hidden="false" customHeight="false" outlineLevel="0" collapsed="false">
      <c r="A37" s="8" t="s">
        <v>237</v>
      </c>
      <c r="B37" s="12" t="n">
        <f aca="false">SUM('Analysis Data'!$L$2:$L$1387)</f>
        <v>36</v>
      </c>
    </row>
    <row r="39" customFormat="false" ht="35.05" hidden="false" customHeight="false" outlineLevel="0" collapsed="false">
      <c r="A39" s="14" t="s">
        <v>238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11" min="2" style="0" width="12.72"/>
  </cols>
  <sheetData>
    <row r="1" customFormat="false" ht="17.35" hidden="false" customHeight="false" outlineLevel="0" collapsed="false">
      <c r="A1" s="1" t="s">
        <v>239</v>
      </c>
    </row>
    <row r="2" customFormat="false" ht="35.05" hidden="false" customHeight="false" outlineLevel="0" collapsed="false">
      <c r="A2" s="14" t="s">
        <v>240</v>
      </c>
    </row>
    <row r="4" customFormat="false" ht="15" hidden="false" customHeight="false" outlineLevel="0" collapsed="false">
      <c r="A4" s="4" t="s">
        <v>214</v>
      </c>
      <c r="B4" s="4" t="s">
        <v>217</v>
      </c>
      <c r="C4" s="4" t="s">
        <v>218</v>
      </c>
      <c r="D4" s="4" t="s">
        <v>219</v>
      </c>
      <c r="E4" s="4" t="s">
        <v>220</v>
      </c>
      <c r="F4" s="4" t="s">
        <v>221</v>
      </c>
      <c r="G4" s="4" t="s">
        <v>241</v>
      </c>
    </row>
    <row r="5" customFormat="false" ht="15" hidden="false" customHeight="false" outlineLevel="0" collapsed="false">
      <c r="A5" s="8" t="s">
        <v>223</v>
      </c>
      <c r="B5" s="13" t="n">
        <f aca="false">AVERAGE('Analysis Data'!$C$2:$C$1387)</f>
        <v>253.820717558438</v>
      </c>
      <c r="C5" s="13" t="n">
        <f aca="false">MEDIAN('Analysis Data'!$C$2:$C$1387)</f>
        <v>236.735266302157</v>
      </c>
      <c r="D5" s="13" t="n">
        <f aca="false">_xlfn.STDEV.S('Analysis Data'!$C$2:$C$1387)</f>
        <v>110.998731143039</v>
      </c>
      <c r="E5" s="13" t="n">
        <f aca="false">MIN('Analysis Data'!$C$2:$C$1387)</f>
        <v>47.559851899868</v>
      </c>
      <c r="F5" s="13" t="n">
        <f aca="false">MAX('Analysis Data'!$C$2:$C$1387)</f>
        <v>1041.20025637098</v>
      </c>
      <c r="G5" s="12" t="n">
        <f aca="false">COUNT('Analysis Data'!$C$2:$C$1387)</f>
        <v>1386</v>
      </c>
    </row>
    <row r="6" customFormat="false" ht="15" hidden="false" customHeight="false" outlineLevel="0" collapsed="false">
      <c r="A6" s="8" t="s">
        <v>225</v>
      </c>
      <c r="B6" s="13" t="n">
        <f aca="false">AVERAGE('Analysis Data'!$D$2:$D$1387)</f>
        <v>4.10709292141053</v>
      </c>
      <c r="C6" s="13" t="n">
        <f aca="false">MEDIAN('Analysis Data'!$D$2:$D$1387)</f>
        <v>4.096666667</v>
      </c>
      <c r="D6" s="13" t="n">
        <f aca="false">_xlfn.STDEV.S('Analysis Data'!$D$2:$D$1387)</f>
        <v>0.463828367853822</v>
      </c>
      <c r="E6" s="13" t="n">
        <f aca="false">MIN('Analysis Data'!$D$2:$D$1387)</f>
        <v>2.889285714</v>
      </c>
      <c r="F6" s="13" t="n">
        <f aca="false">MAX('Analysis Data'!$D$2:$D$1387)</f>
        <v>6.251538462</v>
      </c>
      <c r="G6" s="12" t="n">
        <f aca="false">COUNT('Analysis Data'!$D$2:$D$1387)</f>
        <v>1386</v>
      </c>
    </row>
    <row r="7" customFormat="false" ht="15" hidden="false" customHeight="false" outlineLevel="0" collapsed="false">
      <c r="A7" s="8" t="s">
        <v>227</v>
      </c>
      <c r="B7" s="13" t="n">
        <f aca="false">AVERAGE('Analysis Data'!$E$2:$E$1387)</f>
        <v>0.54978354978355</v>
      </c>
      <c r="C7" s="13" t="n">
        <f aca="false">MEDIAN('Analysis Data'!$E$2:$E$1387)</f>
        <v>1</v>
      </c>
      <c r="D7" s="13" t="n">
        <f aca="false">_xlfn.STDEV.S('Analysis Data'!$E$2:$E$1387)</f>
        <v>0.497695001106409</v>
      </c>
      <c r="E7" s="13" t="n">
        <f aca="false">MIN('Analysis Data'!$E$2:$E$1387)</f>
        <v>0</v>
      </c>
      <c r="F7" s="13" t="n">
        <f aca="false">MAX('Analysis Data'!$E$2:$E$1387)</f>
        <v>1</v>
      </c>
      <c r="G7" s="12" t="n">
        <f aca="false">COUNT('Analysis Data'!$E$2:$E$1387)</f>
        <v>1386</v>
      </c>
    </row>
    <row r="8" customFormat="false" ht="15" hidden="false" customHeight="false" outlineLevel="0" collapsed="false">
      <c r="A8" s="8" t="s">
        <v>27</v>
      </c>
      <c r="B8" s="13" t="n">
        <f aca="false">AVERAGE('Analysis Data'!$F$2:$F$1387)</f>
        <v>0.0382395382395382</v>
      </c>
      <c r="C8" s="13" t="n">
        <f aca="false">MEDIAN('Analysis Data'!$F$2:$F$1387)</f>
        <v>0</v>
      </c>
      <c r="D8" s="13" t="n">
        <f aca="false">_xlfn.STDEV.S('Analysis Data'!$F$2:$F$1387)</f>
        <v>0.191843243156032</v>
      </c>
      <c r="E8" s="13" t="n">
        <f aca="false">MIN('Analysis Data'!$F$2:$F$1387)</f>
        <v>0</v>
      </c>
      <c r="F8" s="13" t="n">
        <f aca="false">MAX('Analysis Data'!$F$2:$F$1387)</f>
        <v>1</v>
      </c>
      <c r="G8" s="12" t="n">
        <f aca="false">COUNT('Analysis Data'!$F$2:$F$1387)</f>
        <v>1386</v>
      </c>
    </row>
    <row r="9" customFormat="false" ht="15" hidden="false" customHeight="false" outlineLevel="0" collapsed="false">
      <c r="A9" s="8" t="s">
        <v>28</v>
      </c>
      <c r="B9" s="13" t="n">
        <f aca="false">AVERAGE('Analysis Data'!$G$2:$G$1387)</f>
        <v>0.0584415584415584</v>
      </c>
      <c r="C9" s="13" t="n">
        <f aca="false">MEDIAN('Analysis Data'!$G$2:$G$1387)</f>
        <v>0</v>
      </c>
      <c r="D9" s="13" t="n">
        <f aca="false">_xlfn.STDEV.S('Analysis Data'!$G$2:$G$1387)</f>
        <v>0.234661187151611</v>
      </c>
      <c r="E9" s="13" t="n">
        <f aca="false">MIN('Analysis Data'!$G$2:$G$1387)</f>
        <v>0</v>
      </c>
      <c r="F9" s="13" t="n">
        <f aca="false">MAX('Analysis Data'!$G$2:$G$1387)</f>
        <v>1</v>
      </c>
      <c r="G9" s="12" t="n">
        <f aca="false">COUNT('Analysis Data'!$G$2:$G$1387)</f>
        <v>1386</v>
      </c>
    </row>
    <row r="10" customFormat="false" ht="15" hidden="false" customHeight="false" outlineLevel="0" collapsed="false">
      <c r="A10" s="8" t="s">
        <v>231</v>
      </c>
      <c r="B10" s="13" t="n">
        <f aca="false">AVERAGE('Analysis Data'!$H$2:$H$1387)</f>
        <v>0.156565656565657</v>
      </c>
      <c r="C10" s="13" t="n">
        <f aca="false">MEDIAN('Analysis Data'!$H$2:$H$1387)</f>
        <v>0</v>
      </c>
      <c r="D10" s="13" t="n">
        <f aca="false">_xlfn.STDEV.S('Analysis Data'!$H$2:$H$1387)</f>
        <v>0.363521934371416</v>
      </c>
      <c r="E10" s="13" t="n">
        <f aca="false">MIN('Analysis Data'!$H$2:$H$1387)</f>
        <v>0</v>
      </c>
      <c r="F10" s="13" t="n">
        <f aca="false">MAX('Analysis Data'!$H$2:$H$1387)</f>
        <v>1</v>
      </c>
      <c r="G10" s="12" t="n">
        <f aca="false">COUNT('Analysis Data'!$H$2:$H$1387)</f>
        <v>1386</v>
      </c>
    </row>
    <row r="11" customFormat="false" ht="15" hidden="false" customHeight="false" outlineLevel="0" collapsed="false">
      <c r="A11" s="8" t="s">
        <v>233</v>
      </c>
      <c r="B11" s="13" t="n">
        <f aca="false">AVERAGE('Analysis Data'!$I$2:$I$1387)</f>
        <v>0.0757575757575758</v>
      </c>
      <c r="C11" s="13" t="n">
        <f aca="false">MEDIAN('Analysis Data'!$I$2:$I$1387)</f>
        <v>0</v>
      </c>
      <c r="D11" s="13" t="n">
        <f aca="false">_xlfn.STDEV.S('Analysis Data'!$I$2:$I$1387)</f>
        <v>0.264705346091508</v>
      </c>
      <c r="E11" s="13" t="n">
        <f aca="false">MIN('Analysis Data'!$I$2:$I$1387)</f>
        <v>0</v>
      </c>
      <c r="F11" s="13" t="n">
        <f aca="false">MAX('Analysis Data'!$I$2:$I$1387)</f>
        <v>1</v>
      </c>
      <c r="G11" s="12" t="n">
        <f aca="false">COUNT('Analysis Data'!$I$2:$I$1387)</f>
        <v>1386</v>
      </c>
    </row>
    <row r="12" customFormat="false" ht="15" hidden="false" customHeight="false" outlineLevel="0" collapsed="false">
      <c r="A12" s="8" t="s">
        <v>31</v>
      </c>
      <c r="B12" s="13" t="n">
        <f aca="false">AVERAGE('Analysis Data'!$J$2:$J$1387)</f>
        <v>1.44877344877345</v>
      </c>
      <c r="C12" s="13" t="n">
        <f aca="false">MEDIAN('Analysis Data'!$J$2:$J$1387)</f>
        <v>1</v>
      </c>
      <c r="D12" s="13" t="n">
        <f aca="false">_xlfn.STDEV.S('Analysis Data'!$J$2:$J$1387)</f>
        <v>0.975091559104826</v>
      </c>
      <c r="E12" s="13" t="n">
        <f aca="false">MIN('Analysis Data'!$J$2:$J$1387)</f>
        <v>0</v>
      </c>
      <c r="F12" s="13" t="n">
        <f aca="false">MAX('Analysis Data'!$J$2:$J$1387)</f>
        <v>4</v>
      </c>
      <c r="G12" s="12" t="n">
        <f aca="false">COUNT('Analysis Data'!$J$2:$J$1387)</f>
        <v>1386</v>
      </c>
    </row>
    <row r="13" customFormat="false" ht="15" hidden="false" customHeight="false" outlineLevel="0" collapsed="false">
      <c r="A13" s="8" t="s">
        <v>32</v>
      </c>
      <c r="B13" s="13" t="n">
        <f aca="false">AVERAGE('Analysis Data'!$K$2:$K$1387)</f>
        <v>2.47619047619048</v>
      </c>
      <c r="C13" s="13" t="n">
        <f aca="false">MEDIAN('Analysis Data'!$K$2:$K$1387)</f>
        <v>2</v>
      </c>
      <c r="D13" s="13" t="n">
        <f aca="false">_xlfn.STDEV.S('Analysis Data'!$K$2:$K$1387)</f>
        <v>1.59278932179383</v>
      </c>
      <c r="E13" s="13" t="n">
        <f aca="false">MIN('Analysis Data'!$K$2:$K$1387)</f>
        <v>0</v>
      </c>
      <c r="F13" s="13" t="n">
        <f aca="false">MAX('Analysis Data'!$K$2:$K$1387)</f>
        <v>5</v>
      </c>
      <c r="G13" s="12" t="n">
        <f aca="false">COUNT('Analysis Data'!$K$2:$K$1387)</f>
        <v>1386</v>
      </c>
    </row>
    <row r="15" customFormat="false" ht="15" hidden="false" customHeight="false" outlineLevel="0" collapsed="false">
      <c r="A15" s="7" t="s">
        <v>242</v>
      </c>
    </row>
    <row r="16" customFormat="false" ht="15" hidden="false" customHeight="false" outlineLevel="0" collapsed="false">
      <c r="A16" s="4" t="s">
        <v>243</v>
      </c>
      <c r="B16" s="4" t="s">
        <v>244</v>
      </c>
      <c r="C16" s="4" t="s">
        <v>245</v>
      </c>
      <c r="D16" s="4" t="s">
        <v>246</v>
      </c>
      <c r="E16" s="4" t="s">
        <v>247</v>
      </c>
      <c r="F16" s="4" t="s">
        <v>248</v>
      </c>
      <c r="G16" s="4" t="s">
        <v>249</v>
      </c>
      <c r="H16" s="4" t="s">
        <v>250</v>
      </c>
      <c r="I16" s="4" t="s">
        <v>251</v>
      </c>
      <c r="J16" s="4" t="s">
        <v>252</v>
      </c>
      <c r="K16" s="4" t="s">
        <v>253</v>
      </c>
    </row>
    <row r="17" customFormat="false" ht="15" hidden="false" customHeight="false" outlineLevel="0" collapsed="false">
      <c r="A17" s="8" t="s">
        <v>254</v>
      </c>
      <c r="B17" s="15" t="n">
        <f aca="false">AVERAGEIF('Analysis Data'!$G$2:$G$1387,1,'Analysis Data'!$C$2:$C$1387)</f>
        <v>400.507949663057</v>
      </c>
      <c r="C17" s="15" t="n">
        <f aca="false">AVERAGEIF('Analysis Data'!$G$2:$G$1387,0,'Analysis Data'!$C$2:$C$1387)</f>
        <v>244.715992807117</v>
      </c>
      <c r="D17" s="16" t="n">
        <f aca="false">B17-C17</f>
        <v>155.79195685594</v>
      </c>
      <c r="E17" s="12" t="n">
        <f aca="false">COUNTIF('Analysis Data'!$G$2:$G$1387,1)</f>
        <v>81</v>
      </c>
      <c r="F17" s="12" t="n">
        <f aca="false">COUNTIF('Analysis Data'!$G$2:$G$1387,0)</f>
        <v>1305</v>
      </c>
      <c r="G17" s="15" t="n">
        <f aca="false" t="array" ref="G17:G17">_xlfn.STDEV.S(IF('Analysis Data'!$G$2:$G$1387=1,'Analysis Data'!$C$2:$C$1387))</f>
        <v>162.707490928102</v>
      </c>
      <c r="H17" s="15" t="n">
        <f aca="false" t="array" ref="H17:H17">_xlfn.STDEV.S(IF('Analysis Data'!$G$2:$G$1387=0,'Analysis Data'!$C$2:$C$1387))</f>
        <v>100.2115427081</v>
      </c>
      <c r="I17" s="15" t="n">
        <f aca="false">D17/SQRT(G17^2/E17+H17^2/F17)</f>
        <v>8.51778290419356</v>
      </c>
      <c r="J17" s="15" t="n">
        <f aca="false">(G17^2/E17+H17^2/F17)^2/((G17^2/E17)^2/(E17-1)+(H17^2/F17)^2/(F17-1))</f>
        <v>83.8086654295259</v>
      </c>
      <c r="K17" s="17" t="n">
        <f aca="false">_xlfn.T.DIST.2T(ABS(I17),J17)</f>
        <v>6.0238074295436E-013</v>
      </c>
    </row>
    <row r="18" customFormat="false" ht="15" hidden="false" customHeight="false" outlineLevel="0" collapsed="false">
      <c r="A18" s="8" t="s">
        <v>29</v>
      </c>
      <c r="B18" s="15" t="n">
        <f aca="false">AVERAGEIF('Analysis Data'!$H$2:$H$1387,1,'Analysis Data'!$C$2:$C$1387)</f>
        <v>352.869754779103</v>
      </c>
      <c r="C18" s="15" t="n">
        <f aca="false">AVERAGEIF('Analysis Data'!$H$2:$H$1387,0,'Analysis Data'!$C$2:$C$1387)</f>
        <v>235.434369331847</v>
      </c>
      <c r="D18" s="16" t="n">
        <f aca="false">B18-C18</f>
        <v>117.435385447255</v>
      </c>
      <c r="E18" s="12" t="n">
        <f aca="false">COUNTIF('Analysis Data'!$H$2:$H$1387,1)</f>
        <v>217</v>
      </c>
      <c r="F18" s="12" t="n">
        <f aca="false">COUNTIF('Analysis Data'!$H$2:$H$1387,0)</f>
        <v>1169</v>
      </c>
      <c r="G18" s="15" t="n">
        <f aca="false" t="array" ref="G18:G18">_xlfn.STDEV.S(IF('Analysis Data'!$H$2:$H$1387=1,'Analysis Data'!$C$2:$C$1387))</f>
        <v>136.943469255275</v>
      </c>
      <c r="H18" s="15" t="n">
        <f aca="false" t="array" ref="H18:H18">_xlfn.STDEV.S(IF('Analysis Data'!$H$2:$H$1387=0,'Analysis Data'!$C$2:$C$1387))</f>
        <v>94.7659421455196</v>
      </c>
      <c r="I18" s="15" t="n">
        <f aca="false">D18/SQRT(G18^2/E18+H18^2/F18)</f>
        <v>12.1058400913846</v>
      </c>
      <c r="J18" s="15" t="n">
        <f aca="false">(G18^2/E18+H18^2/F18)^2/((G18^2/E18)^2/(E18-1)+(H18^2/F18)^2/(F18-1))</f>
        <v>255.734849481702</v>
      </c>
      <c r="K18" s="17" t="n">
        <f aca="false">_xlfn.T.DIST.2T(ABS(I18),J18)</f>
        <v>5.90349530150894E-027</v>
      </c>
    </row>
    <row r="19" customFormat="false" ht="15" hidden="false" customHeight="false" outlineLevel="0" collapsed="false">
      <c r="A19" s="8" t="s">
        <v>30</v>
      </c>
      <c r="B19" s="15" t="n">
        <f aca="false">AVERAGEIF('Analysis Data'!$I$2:$I$1387,1,'Analysis Data'!$C$2:$C$1387)</f>
        <v>330.686137356355</v>
      </c>
      <c r="C19" s="15" t="n">
        <f aca="false">AVERAGEIF('Analysis Data'!$I$2:$I$1387,0,'Analysis Data'!$C$2:$C$1387)</f>
        <v>247.520273312707</v>
      </c>
      <c r="D19" s="16" t="n">
        <f aca="false">B19-C19</f>
        <v>83.165864043648</v>
      </c>
      <c r="E19" s="12" t="n">
        <f aca="false">COUNTIF('Analysis Data'!$I$2:$I$1387,1)</f>
        <v>105</v>
      </c>
      <c r="F19" s="12" t="n">
        <f aca="false">COUNTIF('Analysis Data'!$I$2:$I$1387,0)</f>
        <v>1281</v>
      </c>
      <c r="G19" s="15" t="n">
        <f aca="false" t="array" ref="G19:G19">_xlfn.STDEV.S(IF('Analysis Data'!$I$2:$I$1387=1,'Analysis Data'!$C$2:$C$1387))</f>
        <v>106.116668129091</v>
      </c>
      <c r="H19" s="15" t="n">
        <f aca="false" t="array" ref="H19:H19">_xlfn.STDEV.S(IF('Analysis Data'!$I$2:$I$1387=0,'Analysis Data'!$C$2:$C$1387))</f>
        <v>109.050792178743</v>
      </c>
      <c r="I19" s="15" t="n">
        <f aca="false">D19/SQRT(G19^2/E19+H19^2/F19)</f>
        <v>7.70422147887394</v>
      </c>
      <c r="J19" s="15" t="n">
        <f aca="false">(G19^2/E19+H19^2/F19)^2/((G19^2/E19)^2/(E19-1)+(H19^2/F19)^2/(F19-1))</f>
        <v>122.709608398818</v>
      </c>
      <c r="K19" s="17" t="n">
        <f aca="false">_xlfn.T.DIST.2T(ABS(I19),J19)</f>
        <v>3.90052557654578E-012</v>
      </c>
    </row>
    <row r="20" customFormat="false" ht="15" hidden="false" customHeight="false" outlineLevel="0" collapsed="false">
      <c r="A20" s="8" t="s">
        <v>27</v>
      </c>
      <c r="B20" s="15" t="n">
        <f aca="false">AVERAGEIF('Analysis Data'!$F$2:$F$1387,1,'Analysis Data'!$C$2:$C$1387)</f>
        <v>583.924959296509</v>
      </c>
      <c r="C20" s="15" t="n">
        <f aca="false">AVERAGEIF('Analysis Data'!$F$2:$F$1387,0,'Analysis Data'!$C$2:$C$1387)</f>
        <v>240.69579271814</v>
      </c>
      <c r="D20" s="16" t="n">
        <f aca="false">B20-C20</f>
        <v>343.22916657837</v>
      </c>
      <c r="E20" s="12" t="n">
        <f aca="false">COUNTIF('Analysis Data'!$F$2:$F$1387,1)</f>
        <v>53</v>
      </c>
      <c r="F20" s="12" t="n">
        <f aca="false">COUNTIF('Analysis Data'!$F$2:$F$1387,0)</f>
        <v>1333</v>
      </c>
      <c r="G20" s="15" t="n">
        <f aca="false" t="array" ref="G20:G20">_xlfn.STDEV.S(IF('Analysis Data'!$F$2:$F$1387=1,'Analysis Data'!$C$2:$C$1387))</f>
        <v>265.976096833227</v>
      </c>
      <c r="H20" s="15" t="n">
        <f aca="false" t="array" ref="H20:H20">_xlfn.STDEV.S(IF('Analysis Data'!$F$2:$F$1387=0,'Analysis Data'!$C$2:$C$1387))</f>
        <v>74.4376802356115</v>
      </c>
      <c r="I20" s="15" t="n">
        <f aca="false">D20/SQRT(G20^2/E20+H20^2/F20)</f>
        <v>9.38003207486846</v>
      </c>
      <c r="J20" s="15" t="n">
        <f aca="false">(G20^2/E20+H20^2/F20)^2/((G20^2/E20)^2/(E20-1)+(H20^2/F20)^2/(F20-1))</f>
        <v>52.3243610463885</v>
      </c>
      <c r="K20" s="17" t="n">
        <f aca="false">_xlfn.T.DIST.2T(ABS(I20),J20)</f>
        <v>9.03691562600551E-013</v>
      </c>
    </row>
    <row r="21" customFormat="false" ht="15" hidden="false" customHeight="false" outlineLevel="0" collapsed="false">
      <c r="A21" s="8" t="s">
        <v>26</v>
      </c>
      <c r="B21" s="15" t="n">
        <f aca="false">AVERAGEIF('Analysis Data'!$E$2:$E$1387,1,'Analysis Data'!$C$2:$C$1387)</f>
        <v>298.948891862374</v>
      </c>
      <c r="C21" s="15" t="n">
        <f aca="false">AVERAGEIF('Analysis Data'!$E$2:$E$1387,0,'Analysis Data'!$C$2:$C$1387)</f>
        <v>198.712273937285</v>
      </c>
      <c r="D21" s="16" t="n">
        <f aca="false">B21-C21</f>
        <v>100.23661792509</v>
      </c>
      <c r="E21" s="12" t="n">
        <f aca="false">COUNTIF('Analysis Data'!$E$2:$E$1387,1)</f>
        <v>762</v>
      </c>
      <c r="F21" s="12" t="n">
        <f aca="false">COUNTIF('Analysis Data'!$E$2:$E$1387,0)</f>
        <v>624</v>
      </c>
      <c r="G21" s="15" t="n">
        <f aca="false" t="array" ref="G21:G21">_xlfn.STDEV.S(IF('Analysis Data'!$E$2:$E$1387=1,'Analysis Data'!$C$2:$C$1387))</f>
        <v>123.03375219784</v>
      </c>
      <c r="H21" s="15" t="n">
        <f aca="false" t="array" ref="H21:H21">_xlfn.STDEV.S(IF('Analysis Data'!$E$2:$E$1387=0,'Analysis Data'!$C$2:$C$1387))</f>
        <v>58.0280936705244</v>
      </c>
      <c r="I21" s="15" t="n">
        <f aca="false">D21/SQRT(G21^2/E21+H21^2/F21)</f>
        <v>19.9433001791221</v>
      </c>
      <c r="J21" s="15" t="n">
        <f aca="false">(G21^2/E21+H21^2/F21)^2/((G21^2/E21)^2/(E21-1)+(H21^2/F21)^2/(F21-1))</f>
        <v>1128.84613516061</v>
      </c>
      <c r="K21" s="17" t="n">
        <f aca="false">_xlfn.T.DIST.2T(ABS(I21),J21)</f>
        <v>4.85990385196243E-076</v>
      </c>
    </row>
    <row r="23" customFormat="false" ht="15" hidden="false" customHeight="false" outlineLevel="0" collapsed="false">
      <c r="A23" s="7" t="s">
        <v>255</v>
      </c>
    </row>
    <row r="24" customFormat="false" ht="15" hidden="false" customHeight="false" outlineLevel="0" collapsed="false">
      <c r="A24" s="4" t="s">
        <v>256</v>
      </c>
      <c r="B24" s="4" t="s">
        <v>257</v>
      </c>
      <c r="C24" s="4" t="s">
        <v>241</v>
      </c>
    </row>
    <row r="25" customFormat="false" ht="15" hidden="false" customHeight="false" outlineLevel="0" collapsed="false">
      <c r="A25" s="8" t="s">
        <v>258</v>
      </c>
      <c r="B25" s="15" t="n">
        <f aca="false">AVERAGEIFS('Analysis Data'!$C$2:$C$1387,'Analysis Data'!$E$2:$E$1387,0,'Analysis Data'!$F$2:$F$1387,0)</f>
        <v>198.183364781689</v>
      </c>
      <c r="C25" s="12" t="n">
        <f aca="false">COUNTIFS('Analysis Data'!$E$2:$E$1387,0,'Analysis Data'!$F$2:$F$1387,0)</f>
        <v>607</v>
      </c>
    </row>
    <row r="26" customFormat="false" ht="15" hidden="false" customHeight="false" outlineLevel="0" collapsed="false">
      <c r="A26" s="8" t="s">
        <v>259</v>
      </c>
      <c r="B26" s="15" t="n">
        <f aca="false">AVERAGEIFS('Analysis Data'!$C$2:$C$1387,'Analysis Data'!$E$2:$E$1387,0,'Analysis Data'!$F$2:$F$1387,1)</f>
        <v>217.597442022359</v>
      </c>
      <c r="C26" s="12" t="n">
        <f aca="false">COUNTIFS('Analysis Data'!$E$2:$E$1387,0,'Analysis Data'!$F$2:$F$1387,1)</f>
        <v>17</v>
      </c>
    </row>
    <row r="27" customFormat="false" ht="15" hidden="false" customHeight="false" outlineLevel="0" collapsed="false">
      <c r="A27" s="8" t="s">
        <v>260</v>
      </c>
      <c r="B27" s="15" t="n">
        <f aca="false">AVERAGEIFS('Analysis Data'!$C$2:$C$1387,'Analysis Data'!$E$2:$E$1387,1,'Analysis Data'!$F$2:$F$1387,0)</f>
        <v>276.239930125061</v>
      </c>
      <c r="C27" s="12" t="n">
        <f aca="false">COUNTIFS('Analysis Data'!$E$2:$E$1387,1,'Analysis Data'!$F$2:$F$1387,0)</f>
        <v>726</v>
      </c>
    </row>
    <row r="28" customFormat="false" ht="15" hidden="false" customHeight="false" outlineLevel="0" collapsed="false">
      <c r="A28" s="8" t="s">
        <v>261</v>
      </c>
      <c r="B28" s="15" t="n">
        <f aca="false">AVERAGEIFS('Analysis Data'!$C$2:$C$1387,'Analysis Data'!$E$2:$E$1387,1,'Analysis Data'!$F$2:$F$1387,1)</f>
        <v>756.912953564858</v>
      </c>
      <c r="C28" s="12" t="n">
        <f aca="false">COUNTIFS('Analysis Data'!$E$2:$E$1387,1,'Analysis Data'!$F$2:$F$1387,1)</f>
        <v>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72"/>
    <col collapsed="false" customWidth="true" hidden="false" outlineLevel="0" max="11" min="2" style="0" width="12.72"/>
  </cols>
  <sheetData>
    <row r="1" customFormat="false" ht="17.35" hidden="false" customHeight="false" outlineLevel="0" collapsed="false">
      <c r="A1" s="1" t="s">
        <v>262</v>
      </c>
    </row>
    <row r="3" customFormat="false" ht="15" hidden="false" customHeight="false" outlineLevel="0" collapsed="false">
      <c r="B3" s="4" t="s">
        <v>170</v>
      </c>
      <c r="C3" s="4" t="s">
        <v>171</v>
      </c>
      <c r="D3" s="4" t="s">
        <v>172</v>
      </c>
      <c r="E3" s="4" t="s">
        <v>27</v>
      </c>
      <c r="F3" s="4" t="s">
        <v>28</v>
      </c>
      <c r="G3" s="4" t="s">
        <v>29</v>
      </c>
      <c r="H3" s="4" t="s">
        <v>30</v>
      </c>
      <c r="I3" s="4" t="s">
        <v>31</v>
      </c>
      <c r="J3" s="4" t="s">
        <v>32</v>
      </c>
      <c r="K3" s="4" t="s">
        <v>237</v>
      </c>
    </row>
    <row r="4" customFormat="false" ht="15" hidden="false" customHeight="false" outlineLevel="0" collapsed="false">
      <c r="A4" s="7" t="s">
        <v>170</v>
      </c>
      <c r="B4" s="13" t="n">
        <f aca="false">CORREL('Analysis Data'!$C$2:$C$1387,'Analysis Data'!$C$2:$C$1387)</f>
        <v>1</v>
      </c>
      <c r="C4" s="13" t="n">
        <f aca="false">CORREL('Analysis Data'!$C$2:$C$1387,'Analysis Data'!$D$2:$D$1387)</f>
        <v>-0.0188285876161541</v>
      </c>
      <c r="D4" s="13" t="n">
        <f aca="false">CORREL('Analysis Data'!$C$2:$C$1387,'Analysis Data'!$E$2:$E$1387)</f>
        <v>0.449439945442645</v>
      </c>
      <c r="E4" s="13" t="n">
        <f aca="false">CORREL('Analysis Data'!$C$2:$C$1387,'Analysis Data'!$F$2:$F$1387)</f>
        <v>0.593215758270997</v>
      </c>
      <c r="F4" s="13" t="n">
        <f aca="false">CORREL('Analysis Data'!$C$2:$C$1387,'Analysis Data'!$G$2:$G$1387)</f>
        <v>0.329358049123792</v>
      </c>
      <c r="G4" s="13" t="n">
        <f aca="false">CORREL('Analysis Data'!$C$2:$C$1387,'Analysis Data'!$H$2:$H$1387)</f>
        <v>0.384602040418156</v>
      </c>
      <c r="H4" s="13" t="n">
        <f aca="false">CORREL('Analysis Data'!$C$2:$C$1387,'Analysis Data'!$I$2:$I$1387)</f>
        <v>0.198330634935856</v>
      </c>
      <c r="I4" s="13" t="n">
        <f aca="false">CORREL('Analysis Data'!$C$2:$C$1387,'Analysis Data'!$J$2:$J$1387)</f>
        <v>0.0627842506254095</v>
      </c>
      <c r="J4" s="13" t="n">
        <f aca="false">CORREL('Analysis Data'!$C$2:$C$1387,'Analysis Data'!$K$2:$K$1387)</f>
        <v>-0.0317718479104089</v>
      </c>
      <c r="K4" s="13" t="n">
        <f aca="false">CORREL('Analysis Data'!$C$2:$C$1387,'Analysis Data'!$L$2:$L$1387)</f>
        <v>0.740407305804919</v>
      </c>
    </row>
    <row r="5" customFormat="false" ht="15" hidden="false" customHeight="false" outlineLevel="0" collapsed="false">
      <c r="A5" s="7" t="s">
        <v>171</v>
      </c>
      <c r="B5" s="13" t="n">
        <f aca="false">CORREL('Analysis Data'!$D$2:$D$1387,'Analysis Data'!$C$2:$C$1387)</f>
        <v>-0.0188285876161541</v>
      </c>
      <c r="C5" s="13" t="n">
        <f aca="false">CORREL('Analysis Data'!$D$2:$D$1387,'Analysis Data'!$D$2:$D$1387)</f>
        <v>1</v>
      </c>
      <c r="D5" s="13" t="n">
        <f aca="false">CORREL('Analysis Data'!$D$2:$D$1387,'Analysis Data'!$E$2:$E$1387)</f>
        <v>0.328900409658894</v>
      </c>
      <c r="E5" s="13" t="n">
        <f aca="false">CORREL('Analysis Data'!$D$2:$D$1387,'Analysis Data'!$F$2:$F$1387)</f>
        <v>-0.0672935654074435</v>
      </c>
      <c r="F5" s="13" t="n">
        <f aca="false">CORREL('Analysis Data'!$D$2:$D$1387,'Analysis Data'!$G$2:$G$1387)</f>
        <v>0.0516644615159318</v>
      </c>
      <c r="G5" s="13" t="n">
        <f aca="false">CORREL('Analysis Data'!$D$2:$D$1387,'Analysis Data'!$H$2:$H$1387)</f>
        <v>-0.0150976197177645</v>
      </c>
      <c r="H5" s="13" t="n">
        <f aca="false">CORREL('Analysis Data'!$D$2:$D$1387,'Analysis Data'!$I$2:$I$1387)</f>
        <v>0.0879359816649733</v>
      </c>
      <c r="I5" s="13" t="n">
        <f aca="false">CORREL('Analysis Data'!$D$2:$D$1387,'Analysis Data'!$J$2:$J$1387)</f>
        <v>-0.00481238550807004</v>
      </c>
      <c r="J5" s="13" t="n">
        <f aca="false">CORREL('Analysis Data'!$D$2:$D$1387,'Analysis Data'!$K$2:$K$1387)</f>
        <v>0.0711749122224978</v>
      </c>
      <c r="K5" s="13" t="n">
        <f aca="false">CORREL('Analysis Data'!$D$2:$D$1387,'Analysis Data'!$L$2:$L$1387)</f>
        <v>-0.0582668016978584</v>
      </c>
    </row>
    <row r="6" customFormat="false" ht="15" hidden="false" customHeight="false" outlineLevel="0" collapsed="false">
      <c r="A6" s="7" t="s">
        <v>172</v>
      </c>
      <c r="B6" s="13" t="n">
        <f aca="false">CORREL('Analysis Data'!$E$2:$E$1387,'Analysis Data'!$C$2:$C$1387)</f>
        <v>0.449439945442645</v>
      </c>
      <c r="C6" s="13" t="n">
        <f aca="false">CORREL('Analysis Data'!$E$2:$E$1387,'Analysis Data'!$D$2:$D$1387)</f>
        <v>0.328900409658894</v>
      </c>
      <c r="D6" s="13" t="n">
        <f aca="false">CORREL('Analysis Data'!$E$2:$E$1387,'Analysis Data'!$E$2:$E$1387)</f>
        <v>1</v>
      </c>
      <c r="E6" s="13" t="n">
        <f aca="false">CORREL('Analysis Data'!$E$2:$E$1387,'Analysis Data'!$F$2:$F$1387)</f>
        <v>0.0518869003006587</v>
      </c>
      <c r="F6" s="13" t="n">
        <f aca="false">CORREL('Analysis Data'!$E$2:$E$1387,'Analysis Data'!$G$2:$G$1387)</f>
        <v>0.151264096530836</v>
      </c>
      <c r="G6" s="13" t="n">
        <f aca="false">CORREL('Analysis Data'!$E$2:$E$1387,'Analysis Data'!$H$2:$H$1387)</f>
        <v>0.242227438521859</v>
      </c>
      <c r="H6" s="13" t="n">
        <f aca="false">CORREL('Analysis Data'!$E$2:$E$1387,'Analysis Data'!$I$2:$I$1387)</f>
        <v>0.138508474512182</v>
      </c>
      <c r="I6" s="13" t="n">
        <f aca="false">CORREL('Analysis Data'!$E$2:$E$1387,'Analysis Data'!$J$2:$J$1387)</f>
        <v>0.0893189078417809</v>
      </c>
      <c r="J6" s="13" t="n">
        <f aca="false">CORREL('Analysis Data'!$E$2:$E$1387,'Analysis Data'!$K$2:$K$1387)</f>
        <v>0.0575112546010473</v>
      </c>
      <c r="K6" s="13" t="n">
        <f aca="false">CORREL('Analysis Data'!$E$2:$E$1387,'Analysis Data'!$L$2:$L$1387)</f>
        <v>0.147774390004518</v>
      </c>
    </row>
    <row r="7" customFormat="false" ht="15" hidden="false" customHeight="false" outlineLevel="0" collapsed="false">
      <c r="A7" s="7" t="s">
        <v>27</v>
      </c>
      <c r="B7" s="13" t="n">
        <f aca="false">CORREL('Analysis Data'!$F$2:$F$1387,'Analysis Data'!$C$2:$C$1387)</f>
        <v>0.593215758270997</v>
      </c>
      <c r="C7" s="13" t="n">
        <f aca="false">CORREL('Analysis Data'!$F$2:$F$1387,'Analysis Data'!$D$2:$D$1387)</f>
        <v>-0.0672935654074435</v>
      </c>
      <c r="D7" s="13" t="n">
        <f aca="false">CORREL('Analysis Data'!$F$2:$F$1387,'Analysis Data'!$E$2:$E$1387)</f>
        <v>0.0518869003006587</v>
      </c>
      <c r="E7" s="13" t="n">
        <f aca="false">CORREL('Analysis Data'!$F$2:$F$1387,'Analysis Data'!$F$2:$F$1387)</f>
        <v>1</v>
      </c>
      <c r="F7" s="13" t="n">
        <f aca="false">CORREL('Analysis Data'!$F$2:$F$1387,'Analysis Data'!$G$2:$G$1387)</f>
        <v>0.0786300743434362</v>
      </c>
      <c r="G7" s="13" t="n">
        <f aca="false">CORREL('Analysis Data'!$F$2:$F$1387,'Analysis Data'!$H$2:$H$1387)</f>
        <v>0.090093443263289</v>
      </c>
      <c r="H7" s="13" t="n">
        <f aca="false">CORREL('Analysis Data'!$F$2:$F$1387,'Analysis Data'!$I$2:$I$1387)</f>
        <v>-0.000215425480757903</v>
      </c>
      <c r="I7" s="13" t="n">
        <f aca="false">CORREL('Analysis Data'!$F$2:$F$1387,'Analysis Data'!$J$2:$J$1387)</f>
        <v>0.0818844630934673</v>
      </c>
      <c r="J7" s="13" t="n">
        <f aca="false">CORREL('Analysis Data'!$F$2:$F$1387,'Analysis Data'!$K$2:$K$1387)</f>
        <v>-0.0596351008890716</v>
      </c>
      <c r="K7" s="13" t="n">
        <f aca="false">CORREL('Analysis Data'!$F$2:$F$1387,'Analysis Data'!$L$2:$L$1387)</f>
        <v>0.818957766859422</v>
      </c>
    </row>
    <row r="8" customFormat="false" ht="15" hidden="false" customHeight="false" outlineLevel="0" collapsed="false">
      <c r="A8" s="7" t="s">
        <v>28</v>
      </c>
      <c r="B8" s="13" t="n">
        <f aca="false">CORREL('Analysis Data'!$G$2:$G$1387,'Analysis Data'!$C$2:$C$1387)</f>
        <v>0.329358049123792</v>
      </c>
      <c r="C8" s="13" t="n">
        <f aca="false">CORREL('Analysis Data'!$G$2:$G$1387,'Analysis Data'!$D$2:$D$1387)</f>
        <v>0.0516644615159318</v>
      </c>
      <c r="D8" s="13" t="n">
        <f aca="false">CORREL('Analysis Data'!$G$2:$G$1387,'Analysis Data'!$E$2:$E$1387)</f>
        <v>0.151264096530836</v>
      </c>
      <c r="E8" s="13" t="n">
        <f aca="false">CORREL('Analysis Data'!$G$2:$G$1387,'Analysis Data'!$F$2:$F$1387)</f>
        <v>0.0786300743434362</v>
      </c>
      <c r="F8" s="13" t="n">
        <f aca="false">CORREL('Analysis Data'!$G$2:$G$1387,'Analysis Data'!$G$2:$G$1387)</f>
        <v>1</v>
      </c>
      <c r="G8" s="13" t="n">
        <f aca="false">CORREL('Analysis Data'!$G$2:$G$1387,'Analysis Data'!$H$2:$H$1387)</f>
        <v>0.0365493171082828</v>
      </c>
      <c r="H8" s="13" t="n">
        <f aca="false">CORREL('Analysis Data'!$G$2:$G$1387,'Analysis Data'!$I$2:$I$1387)</f>
        <v>-0.0132088065101521</v>
      </c>
      <c r="I8" s="13" t="n">
        <f aca="false">CORREL('Analysis Data'!$G$2:$G$1387,'Analysis Data'!$J$2:$J$1387)</f>
        <v>-0.00110646225969071</v>
      </c>
      <c r="J8" s="13" t="n">
        <f aca="false">CORREL('Analysis Data'!$G$2:$G$1387,'Analysis Data'!$K$2:$K$1387)</f>
        <v>0.00662313838521066</v>
      </c>
      <c r="K8" s="13" t="n">
        <f aca="false">CORREL('Analysis Data'!$G$2:$G$1387,'Analysis Data'!$L$2:$L$1387)</f>
        <v>0.0946777558759428</v>
      </c>
    </row>
    <row r="9" customFormat="false" ht="15" hidden="false" customHeight="false" outlineLevel="0" collapsed="false">
      <c r="A9" s="7" t="s">
        <v>29</v>
      </c>
      <c r="B9" s="13" t="n">
        <f aca="false">CORREL('Analysis Data'!$H$2:$H$1387,'Analysis Data'!$C$2:$C$1387)</f>
        <v>0.384602040418156</v>
      </c>
      <c r="C9" s="13" t="n">
        <f aca="false">CORREL('Analysis Data'!$H$2:$H$1387,'Analysis Data'!$D$2:$D$1387)</f>
        <v>-0.0150976197177645</v>
      </c>
      <c r="D9" s="13" t="n">
        <f aca="false">CORREL('Analysis Data'!$H$2:$H$1387,'Analysis Data'!$E$2:$E$1387)</f>
        <v>0.242227438521859</v>
      </c>
      <c r="E9" s="13" t="n">
        <f aca="false">CORREL('Analysis Data'!$H$2:$H$1387,'Analysis Data'!$F$2:$F$1387)</f>
        <v>0.090093443263289</v>
      </c>
      <c r="F9" s="13" t="n">
        <f aca="false">CORREL('Analysis Data'!$H$2:$H$1387,'Analysis Data'!$G$2:$G$1387)</f>
        <v>0.0365493171082828</v>
      </c>
      <c r="G9" s="13" t="n">
        <f aca="false">CORREL('Analysis Data'!$H$2:$H$1387,'Analysis Data'!$H$2:$H$1387)</f>
        <v>1</v>
      </c>
      <c r="H9" s="13" t="n">
        <f aca="false">CORREL('Analysis Data'!$H$2:$H$1387,'Analysis Data'!$I$2:$I$1387)</f>
        <v>0.0117098190092051</v>
      </c>
      <c r="I9" s="13" t="n">
        <f aca="false">CORREL('Analysis Data'!$H$2:$H$1387,'Analysis Data'!$J$2:$J$1387)</f>
        <v>-0.00485569072534782</v>
      </c>
      <c r="J9" s="13" t="n">
        <f aca="false">CORREL('Analysis Data'!$H$2:$H$1387,'Analysis Data'!$K$2:$K$1387)</f>
        <v>0.00831323411964478</v>
      </c>
      <c r="K9" s="13" t="n">
        <f aca="false">CORREL('Analysis Data'!$H$2:$H$1387,'Analysis Data'!$L$2:$L$1387)</f>
        <v>0.104400629020619</v>
      </c>
    </row>
    <row r="10" customFormat="false" ht="15" hidden="false" customHeight="false" outlineLevel="0" collapsed="false">
      <c r="A10" s="7" t="s">
        <v>30</v>
      </c>
      <c r="B10" s="13" t="n">
        <f aca="false">CORREL('Analysis Data'!$I$2:$I$1387,'Analysis Data'!$C$2:$C$1387)</f>
        <v>0.198330634935856</v>
      </c>
      <c r="C10" s="13" t="n">
        <f aca="false">CORREL('Analysis Data'!$I$2:$I$1387,'Analysis Data'!$D$2:$D$1387)</f>
        <v>0.0879359816649733</v>
      </c>
      <c r="D10" s="13" t="n">
        <f aca="false">CORREL('Analysis Data'!$I$2:$I$1387,'Analysis Data'!$E$2:$E$1387)</f>
        <v>0.138508474512182</v>
      </c>
      <c r="E10" s="13" t="n">
        <f aca="false">CORREL('Analysis Data'!$I$2:$I$1387,'Analysis Data'!$F$2:$F$1387)</f>
        <v>-0.000215425480757903</v>
      </c>
      <c r="F10" s="13" t="n">
        <f aca="false">CORREL('Analysis Data'!$I$2:$I$1387,'Analysis Data'!$G$2:$G$1387)</f>
        <v>-0.0132088065101521</v>
      </c>
      <c r="G10" s="13" t="n">
        <f aca="false">CORREL('Analysis Data'!$I$2:$I$1387,'Analysis Data'!$H$2:$H$1387)</f>
        <v>0.0117098190092051</v>
      </c>
      <c r="H10" s="13" t="n">
        <f aca="false">CORREL('Analysis Data'!$I$2:$I$1387,'Analysis Data'!$I$2:$I$1387)</f>
        <v>1</v>
      </c>
      <c r="I10" s="13" t="n">
        <f aca="false">CORREL('Analysis Data'!$I$2:$I$1387,'Analysis Data'!$J$2:$J$1387)</f>
        <v>0.0136475298605237</v>
      </c>
      <c r="J10" s="13" t="n">
        <f aca="false">CORREL('Analysis Data'!$I$2:$I$1387,'Analysis Data'!$K$2:$K$1387)</f>
        <v>-0.0119874613124041</v>
      </c>
      <c r="K10" s="13" t="n">
        <f aca="false">CORREL('Analysis Data'!$I$2:$I$1387,'Analysis Data'!$L$2:$L$1387)</f>
        <v>-0.0124673221923249</v>
      </c>
    </row>
    <row r="11" customFormat="false" ht="15" hidden="false" customHeight="false" outlineLevel="0" collapsed="false">
      <c r="A11" s="7" t="s">
        <v>31</v>
      </c>
      <c r="B11" s="13" t="n">
        <f aca="false">CORREL('Analysis Data'!$J$2:$J$1387,'Analysis Data'!$C$2:$C$1387)</f>
        <v>0.0627842506254095</v>
      </c>
      <c r="C11" s="13" t="n">
        <f aca="false">CORREL('Analysis Data'!$J$2:$J$1387,'Analysis Data'!$D$2:$D$1387)</f>
        <v>-0.00481238550807004</v>
      </c>
      <c r="D11" s="13" t="n">
        <f aca="false">CORREL('Analysis Data'!$J$2:$J$1387,'Analysis Data'!$E$2:$E$1387)</f>
        <v>0.0893189078417809</v>
      </c>
      <c r="E11" s="13" t="n">
        <f aca="false">CORREL('Analysis Data'!$J$2:$J$1387,'Analysis Data'!$F$2:$F$1387)</f>
        <v>0.0818844630934673</v>
      </c>
      <c r="F11" s="13" t="n">
        <f aca="false">CORREL('Analysis Data'!$J$2:$J$1387,'Analysis Data'!$G$2:$G$1387)</f>
        <v>-0.00110646225969071</v>
      </c>
      <c r="G11" s="13" t="n">
        <f aca="false">CORREL('Analysis Data'!$J$2:$J$1387,'Analysis Data'!$H$2:$H$1387)</f>
        <v>-0.00485569072534782</v>
      </c>
      <c r="H11" s="13" t="n">
        <f aca="false">CORREL('Analysis Data'!$J$2:$J$1387,'Analysis Data'!$I$2:$I$1387)</f>
        <v>0.0136475298605237</v>
      </c>
      <c r="I11" s="13" t="n">
        <f aca="false">CORREL('Analysis Data'!$J$2:$J$1387,'Analysis Data'!$J$2:$J$1387)</f>
        <v>1</v>
      </c>
      <c r="J11" s="13" t="n">
        <f aca="false">CORREL('Analysis Data'!$J$2:$J$1387,'Analysis Data'!$K$2:$K$1387)</f>
        <v>-0.0856275789395811</v>
      </c>
      <c r="K11" s="13" t="n">
        <f aca="false">CORREL('Analysis Data'!$J$2:$J$1387,'Analysis Data'!$L$2:$L$1387)</f>
        <v>0.0551184898283967</v>
      </c>
    </row>
    <row r="12" customFormat="false" ht="15" hidden="false" customHeight="false" outlineLevel="0" collapsed="false">
      <c r="A12" s="7" t="s">
        <v>32</v>
      </c>
      <c r="B12" s="13" t="n">
        <f aca="false">CORREL('Analysis Data'!$K$2:$K$1387,'Analysis Data'!$C$2:$C$1387)</f>
        <v>-0.0317718479104089</v>
      </c>
      <c r="C12" s="13" t="n">
        <f aca="false">CORREL('Analysis Data'!$K$2:$K$1387,'Analysis Data'!$D$2:$D$1387)</f>
        <v>0.0711749122224978</v>
      </c>
      <c r="D12" s="13" t="n">
        <f aca="false">CORREL('Analysis Data'!$K$2:$K$1387,'Analysis Data'!$E$2:$E$1387)</f>
        <v>0.0575112546010473</v>
      </c>
      <c r="E12" s="13" t="n">
        <f aca="false">CORREL('Analysis Data'!$K$2:$K$1387,'Analysis Data'!$F$2:$F$1387)</f>
        <v>-0.0596351008890716</v>
      </c>
      <c r="F12" s="13" t="n">
        <f aca="false">CORREL('Analysis Data'!$K$2:$K$1387,'Analysis Data'!$G$2:$G$1387)</f>
        <v>0.00662313838521066</v>
      </c>
      <c r="G12" s="13" t="n">
        <f aca="false">CORREL('Analysis Data'!$K$2:$K$1387,'Analysis Data'!$H$2:$H$1387)</f>
        <v>0.00831323411964478</v>
      </c>
      <c r="H12" s="13" t="n">
        <f aca="false">CORREL('Analysis Data'!$K$2:$K$1387,'Analysis Data'!$I$2:$I$1387)</f>
        <v>-0.0119874613124041</v>
      </c>
      <c r="I12" s="13" t="n">
        <f aca="false">CORREL('Analysis Data'!$K$2:$K$1387,'Analysis Data'!$J$2:$J$1387)</f>
        <v>-0.0856275789395811</v>
      </c>
      <c r="J12" s="13" t="n">
        <f aca="false">CORREL('Analysis Data'!$K$2:$K$1387,'Analysis Data'!$K$2:$K$1387)</f>
        <v>1</v>
      </c>
      <c r="K12" s="13" t="n">
        <f aca="false">CORREL('Analysis Data'!$K$2:$K$1387,'Analysis Data'!$L$2:$L$1387)</f>
        <v>-0.0687810692461919</v>
      </c>
    </row>
    <row r="13" customFormat="false" ht="15" hidden="false" customHeight="false" outlineLevel="0" collapsed="false">
      <c r="A13" s="7" t="s">
        <v>237</v>
      </c>
      <c r="B13" s="13" t="n">
        <f aca="false">CORREL('Analysis Data'!$L$2:$L$1387,'Analysis Data'!$C$2:$C$1387)</f>
        <v>0.740407305804919</v>
      </c>
      <c r="C13" s="13" t="n">
        <f aca="false">CORREL('Analysis Data'!$L$2:$L$1387,'Analysis Data'!$D$2:$D$1387)</f>
        <v>-0.0582668016978584</v>
      </c>
      <c r="D13" s="13" t="n">
        <f aca="false">CORREL('Analysis Data'!$L$2:$L$1387,'Analysis Data'!$E$2:$E$1387)</f>
        <v>0.147774390004518</v>
      </c>
      <c r="E13" s="13" t="n">
        <f aca="false">CORREL('Analysis Data'!$L$2:$L$1387,'Analysis Data'!$F$2:$F$1387)</f>
        <v>0.818957766859422</v>
      </c>
      <c r="F13" s="13" t="n">
        <f aca="false">CORREL('Analysis Data'!$L$2:$L$1387,'Analysis Data'!$G$2:$G$1387)</f>
        <v>0.0946777558759428</v>
      </c>
      <c r="G13" s="13" t="n">
        <f aca="false">CORREL('Analysis Data'!$L$2:$L$1387,'Analysis Data'!$H$2:$H$1387)</f>
        <v>0.104400629020619</v>
      </c>
      <c r="H13" s="13" t="n">
        <f aca="false">CORREL('Analysis Data'!$L$2:$L$1387,'Analysis Data'!$I$2:$I$1387)</f>
        <v>-0.0124673221923249</v>
      </c>
      <c r="I13" s="13" t="n">
        <f aca="false">CORREL('Analysis Data'!$L$2:$L$1387,'Analysis Data'!$J$2:$J$1387)</f>
        <v>0.0551184898283967</v>
      </c>
      <c r="J13" s="13" t="n">
        <f aca="false">CORREL('Analysis Data'!$L$2:$L$1387,'Analysis Data'!$K$2:$K$1387)</f>
        <v>-0.0687810692461919</v>
      </c>
      <c r="K13" s="13" t="n">
        <f aca="false">CORREL('Analysis Data'!$L$2:$L$1387,'Analysis Data'!$L$2:$L$1387)</f>
        <v>1</v>
      </c>
    </row>
    <row r="16" customFormat="false" ht="158.2" hidden="false" customHeight="false" outlineLevel="0" collapsed="false">
      <c r="A16" s="3" t="s">
        <v>263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13" min="2" style="0" width="14.72"/>
  </cols>
  <sheetData>
    <row r="1" customFormat="false" ht="17.35" hidden="false" customHeight="false" outlineLevel="0" collapsed="false">
      <c r="A1" s="1" t="s">
        <v>264</v>
      </c>
    </row>
    <row r="2" customFormat="false" ht="35.05" hidden="false" customHeight="false" outlineLevel="0" collapsed="false">
      <c r="A2" s="3" t="s">
        <v>265</v>
      </c>
    </row>
    <row r="3" customFormat="false" ht="17.35" hidden="false" customHeight="false" outlineLevel="0" collapsed="false">
      <c r="A3" s="1" t="s">
        <v>266</v>
      </c>
    </row>
    <row r="4" customFormat="false" ht="15" hidden="false" customHeight="false" outlineLevel="0" collapsed="false">
      <c r="A4" s="3"/>
    </row>
    <row r="6" customFormat="false" ht="15" hidden="false" customHeight="false" outlineLevel="0" collapsed="false">
      <c r="A6" s="7" t="s">
        <v>267</v>
      </c>
    </row>
    <row r="7" customFormat="false" ht="15" hidden="false" customHeight="false" outlineLevel="0" collapsed="false">
      <c r="A7" s="8" t="s">
        <v>268</v>
      </c>
      <c r="B7" s="11" t="s">
        <v>269</v>
      </c>
    </row>
    <row r="8" customFormat="false" ht="15" hidden="false" customHeight="false" outlineLevel="0" collapsed="false">
      <c r="A8" s="8" t="s">
        <v>270</v>
      </c>
      <c r="B8" s="11" t="s">
        <v>271</v>
      </c>
    </row>
    <row r="10" customFormat="false" ht="15" hidden="false" customHeight="false" outlineLevel="0" collapsed="false">
      <c r="A10" s="7" t="s">
        <v>272</v>
      </c>
    </row>
    <row r="11" customFormat="false" ht="15" hidden="false" customHeight="false" outlineLevel="0" collapsed="false">
      <c r="B11" s="4" t="s">
        <v>171</v>
      </c>
      <c r="C11" s="4" t="s">
        <v>273</v>
      </c>
    </row>
    <row r="12" customFormat="false" ht="15" hidden="false" customHeight="false" outlineLevel="0" collapsed="false">
      <c r="A12" s="8" t="s">
        <v>274</v>
      </c>
      <c r="B12" s="18" t="n">
        <f aca="false" t="array" ref="B12:C16">IFERROR(LINEST('Analysis Data'!$C$2:$C$1387,'Analysis Data'!$D$2:$D$1387,TRUE(),TRUE()),"")</f>
        <v>-4.50586785857672</v>
      </c>
      <c r="C12" s="18" t="n">
        <v>272.32673554521</v>
      </c>
    </row>
    <row r="13" customFormat="false" ht="15" hidden="false" customHeight="false" outlineLevel="0" collapsed="false">
      <c r="A13" s="8" t="s">
        <v>275</v>
      </c>
      <c r="B13" s="18" t="n">
        <v>6.43155024465346</v>
      </c>
      <c r="C13" s="18" t="n">
        <v>26.5827679783173</v>
      </c>
    </row>
    <row r="14" customFormat="false" ht="15" hidden="false" customHeight="false" outlineLevel="0" collapsed="false">
      <c r="A14" s="8" t="s">
        <v>276</v>
      </c>
      <c r="B14" s="18" t="n">
        <v>0.000354515711619191</v>
      </c>
      <c r="C14" s="18" t="n">
        <v>111.01914035099</v>
      </c>
    </row>
    <row r="15" customFormat="false" ht="15" hidden="false" customHeight="false" outlineLevel="0" collapsed="false">
      <c r="A15" s="8" t="s">
        <v>277</v>
      </c>
      <c r="B15" s="18" t="n">
        <v>0.490823749611834</v>
      </c>
      <c r="C15" s="18" t="n">
        <v>1384</v>
      </c>
    </row>
    <row r="16" customFormat="false" ht="15" hidden="false" customHeight="false" outlineLevel="0" collapsed="false">
      <c r="A16" s="8" t="s">
        <v>278</v>
      </c>
      <c r="B16" s="18" t="n">
        <v>6049.52518640504</v>
      </c>
      <c r="C16" s="18" t="n">
        <v>17058145.3415935</v>
      </c>
    </row>
    <row r="19" customFormat="false" ht="15" hidden="false" customHeight="false" outlineLevel="0" collapsed="false">
      <c r="A19" s="7" t="s">
        <v>279</v>
      </c>
    </row>
    <row r="20" customFormat="false" ht="15" hidden="false" customHeight="false" outlineLevel="0" collapsed="false">
      <c r="A20" s="8" t="s">
        <v>280</v>
      </c>
      <c r="B20" s="18" t="n">
        <f aca="false">SQRT(INDEX('Baseline Models'!$B$12:$C$16,3,1))</f>
        <v>0.0188285876161541</v>
      </c>
    </row>
    <row r="21" customFormat="false" ht="15" hidden="false" customHeight="false" outlineLevel="0" collapsed="false">
      <c r="A21" s="8" t="s">
        <v>281</v>
      </c>
      <c r="B21" s="19" t="n">
        <f aca="false">INDEX('Baseline Models'!$B$12:$C$16,3,1)</f>
        <v>0.000354515711619191</v>
      </c>
    </row>
    <row r="22" customFormat="false" ht="15" hidden="false" customHeight="false" outlineLevel="0" collapsed="false">
      <c r="A22" s="8" t="s">
        <v>282</v>
      </c>
      <c r="B22" s="19" t="n">
        <f aca="false">1-(1-'Baseline Models'!$B$21)*('Baseline Models'!$B$24-1)/'Baseline Models'!$B$26</f>
        <v>-0.000367771488011259</v>
      </c>
    </row>
    <row r="23" customFormat="false" ht="15" hidden="false" customHeight="false" outlineLevel="0" collapsed="false">
      <c r="A23" s="8" t="s">
        <v>283</v>
      </c>
      <c r="B23" s="16" t="n">
        <f aca="false">INDEX('Baseline Models'!$B$12:$C$16,3,2)</f>
        <v>111.01914035099</v>
      </c>
    </row>
    <row r="24" customFormat="false" ht="15" hidden="false" customHeight="false" outlineLevel="0" collapsed="false">
      <c r="A24" s="8" t="s">
        <v>284</v>
      </c>
      <c r="B24" s="12" t="n">
        <f aca="false">COUNT('Analysis Data'!$C$2:$C$1387)</f>
        <v>1386</v>
      </c>
    </row>
    <row r="25" customFormat="false" ht="15" hidden="false" customHeight="false" outlineLevel="0" collapsed="false">
      <c r="A25" s="8" t="s">
        <v>285</v>
      </c>
      <c r="B25" s="12" t="n">
        <f aca="false">1</f>
        <v>1</v>
      </c>
    </row>
    <row r="26" customFormat="false" ht="15" hidden="false" customHeight="false" outlineLevel="0" collapsed="false">
      <c r="A26" s="8" t="s">
        <v>286</v>
      </c>
      <c r="B26" s="12" t="n">
        <f aca="false">INDEX('Baseline Models'!$B$12:$C$16,4,2)</f>
        <v>1384</v>
      </c>
    </row>
    <row r="27" customFormat="false" ht="15" hidden="false" customHeight="false" outlineLevel="0" collapsed="false">
      <c r="A27" s="8" t="s">
        <v>287</v>
      </c>
      <c r="B27" s="16" t="n">
        <f aca="false">INDEX('Baseline Models'!$B$12:$C$16,4,1)</f>
        <v>0.490823749611834</v>
      </c>
    </row>
    <row r="28" customFormat="false" ht="15" hidden="false" customHeight="false" outlineLevel="0" collapsed="false">
      <c r="A28" s="8" t="s">
        <v>288</v>
      </c>
      <c r="B28" s="17" t="n">
        <f aca="false">_xlfn.F.DIST.RT('Baseline Models'!$B$27,'Baseline Models'!$B$25,'Baseline Models'!$B$26)</f>
        <v>0.483677837141433</v>
      </c>
    </row>
    <row r="29" customFormat="false" ht="15" hidden="false" customHeight="false" outlineLevel="0" collapsed="false">
      <c r="A29" s="8" t="s">
        <v>289</v>
      </c>
      <c r="B29" s="15" t="n">
        <f aca="false">INDEX('Baseline Models'!$B$12:$C$16,5,1)</f>
        <v>6049.52518640504</v>
      </c>
    </row>
    <row r="30" customFormat="false" ht="15" hidden="false" customHeight="false" outlineLevel="0" collapsed="false">
      <c r="A30" s="8" t="s">
        <v>290</v>
      </c>
      <c r="B30" s="15" t="n">
        <f aca="false">INDEX('Baseline Models'!$B$12:$C$16,5,2)</f>
        <v>17058145.3415935</v>
      </c>
    </row>
    <row r="31" customFormat="false" ht="15" hidden="false" customHeight="false" outlineLevel="0" collapsed="false">
      <c r="A31" s="8" t="s">
        <v>291</v>
      </c>
      <c r="B31" s="15" t="n">
        <f aca="false">'Baseline Models'!$B$29+'Baseline Models'!$B$30</f>
        <v>17064194.8667799</v>
      </c>
    </row>
    <row r="33" customFormat="false" ht="15" hidden="false" customHeight="false" outlineLevel="0" collapsed="false">
      <c r="A33" s="7" t="s">
        <v>292</v>
      </c>
    </row>
    <row r="34" customFormat="false" ht="15" hidden="false" customHeight="false" outlineLevel="0" collapsed="false">
      <c r="A34" s="4" t="s">
        <v>214</v>
      </c>
      <c r="B34" s="4" t="s">
        <v>274</v>
      </c>
      <c r="C34" s="4" t="s">
        <v>275</v>
      </c>
      <c r="D34" s="4" t="s">
        <v>293</v>
      </c>
      <c r="E34" s="4" t="s">
        <v>253</v>
      </c>
      <c r="F34" s="4" t="s">
        <v>294</v>
      </c>
      <c r="G34" s="4" t="s">
        <v>295</v>
      </c>
    </row>
    <row r="35" customFormat="false" ht="15" hidden="false" customHeight="false" outlineLevel="0" collapsed="false">
      <c r="A35" s="8" t="s">
        <v>273</v>
      </c>
      <c r="B35" s="13" t="n">
        <f aca="false">INDEX('Baseline Models'!$B$12:$C$16,1,2)</f>
        <v>272.32673554521</v>
      </c>
      <c r="C35" s="13" t="n">
        <f aca="false">INDEX('Baseline Models'!$B$12:$C$16,2,2)</f>
        <v>26.5827679783173</v>
      </c>
      <c r="D35" s="15" t="n">
        <f aca="false">B35/C35</f>
        <v>10.2444837861632</v>
      </c>
      <c r="E35" s="17" t="n">
        <f aca="false">_xlfn.T.DIST.2T(ABS(D35),'Baseline Models'!$B$26)</f>
        <v>8.6387707491063E-024</v>
      </c>
      <c r="F35" s="13" t="n">
        <f aca="false">B35-_xlfn.T.INV.2T(0.05,'Baseline Models'!$B$26)*C35</f>
        <v>220.179863808522</v>
      </c>
      <c r="G35" s="13" t="n">
        <f aca="false">B35+_xlfn.T.INV.2T(0.05,'Baseline Models'!$B$26)*C35</f>
        <v>324.473607281897</v>
      </c>
    </row>
    <row r="36" customFormat="false" ht="15" hidden="false" customHeight="false" outlineLevel="0" collapsed="false">
      <c r="A36" s="8" t="s">
        <v>171</v>
      </c>
      <c r="B36" s="13" t="n">
        <f aca="false">INDEX('Baseline Models'!$B$12:$C$16,1,1)</f>
        <v>-4.50586785857672</v>
      </c>
      <c r="C36" s="13" t="n">
        <f aca="false">INDEX('Baseline Models'!$B$12:$C$16,2,1)</f>
        <v>6.43155024465346</v>
      </c>
      <c r="D36" s="15" t="n">
        <f aca="false">B36/C36</f>
        <v>-0.700588145497648</v>
      </c>
      <c r="E36" s="17" t="n">
        <f aca="false">_xlfn.T.DIST.2T(ABS(D36),'Baseline Models'!$B$26)</f>
        <v>0.483677837141433</v>
      </c>
      <c r="F36" s="13" t="n">
        <f aca="false">B36-_xlfn.T.INV.2T(0.05,'Baseline Models'!$B$26)*C36</f>
        <v>-17.1225083058607</v>
      </c>
      <c r="G36" s="13" t="n">
        <f aca="false">B36+_xlfn.T.INV.2T(0.05,'Baseline Models'!$B$26)*C36</f>
        <v>8.11077258870729</v>
      </c>
    </row>
    <row r="40" customFormat="false" ht="17.35" hidden="false" customHeight="false" outlineLevel="0" collapsed="false">
      <c r="A40" s="1" t="s">
        <v>296</v>
      </c>
    </row>
    <row r="41" customFormat="false" ht="15" hidden="false" customHeight="false" outlineLevel="0" collapsed="false">
      <c r="A41" s="3"/>
    </row>
    <row r="43" customFormat="false" ht="15" hidden="false" customHeight="false" outlineLevel="0" collapsed="false">
      <c r="A43" s="7" t="s">
        <v>267</v>
      </c>
    </row>
    <row r="44" customFormat="false" ht="15" hidden="false" customHeight="false" outlineLevel="0" collapsed="false">
      <c r="A44" s="8" t="s">
        <v>268</v>
      </c>
      <c r="B44" s="11" t="s">
        <v>269</v>
      </c>
    </row>
    <row r="45" customFormat="false" ht="15" hidden="false" customHeight="false" outlineLevel="0" collapsed="false">
      <c r="A45" s="8" t="s">
        <v>270</v>
      </c>
      <c r="B45" s="11" t="s">
        <v>297</v>
      </c>
    </row>
    <row r="47" customFormat="false" ht="15" hidden="false" customHeight="false" outlineLevel="0" collapsed="false">
      <c r="A47" s="7" t="s">
        <v>272</v>
      </c>
    </row>
    <row r="48" customFormat="false" ht="15" hidden="false" customHeight="false" outlineLevel="0" collapsed="false">
      <c r="B48" s="4" t="s">
        <v>28</v>
      </c>
      <c r="C48" s="4" t="s">
        <v>273</v>
      </c>
    </row>
    <row r="49" customFormat="false" ht="15" hidden="false" customHeight="false" outlineLevel="0" collapsed="false">
      <c r="A49" s="8" t="s">
        <v>274</v>
      </c>
      <c r="B49" s="18" t="n">
        <f aca="false" t="array" ref="B49:C53">IFERROR(LINEST('Analysis Data'!$C$2:$C$1387,'Analysis Data'!$G$2:$G$1387,TRUE(),TRUE()),"")</f>
        <v>155.79195685594</v>
      </c>
      <c r="C49" s="18" t="n">
        <v>244.715992807117</v>
      </c>
    </row>
    <row r="50" customFormat="false" ht="15" hidden="false" customHeight="false" outlineLevel="0" collapsed="false">
      <c r="A50" s="8" t="s">
        <v>275</v>
      </c>
      <c r="B50" s="18" t="n">
        <v>12.0053561625631</v>
      </c>
      <c r="C50" s="18" t="n">
        <v>2.90225750612908</v>
      </c>
    </row>
    <row r="51" customFormat="false" ht="15" hidden="false" customHeight="false" outlineLevel="0" collapsed="false">
      <c r="A51" s="8" t="s">
        <v>276</v>
      </c>
      <c r="B51" s="18" t="n">
        <v>0.10847672452263</v>
      </c>
      <c r="C51" s="18" t="n">
        <v>104.843424756189</v>
      </c>
    </row>
    <row r="52" customFormat="false" ht="15" hidden="false" customHeight="false" outlineLevel="0" collapsed="false">
      <c r="A52" s="8" t="s">
        <v>277</v>
      </c>
      <c r="B52" s="18" t="n">
        <v>168.399177978759</v>
      </c>
      <c r="C52" s="18" t="n">
        <v>1384</v>
      </c>
    </row>
    <row r="53" customFormat="false" ht="15" hidden="false" customHeight="false" outlineLevel="0" collapsed="false">
      <c r="A53" s="8" t="s">
        <v>278</v>
      </c>
      <c r="B53" s="18" t="n">
        <v>1851067.96576416</v>
      </c>
      <c r="C53" s="18" t="n">
        <v>15213126.9010158</v>
      </c>
    </row>
    <row r="56" customFormat="false" ht="15" hidden="false" customHeight="false" outlineLevel="0" collapsed="false">
      <c r="A56" s="7" t="s">
        <v>279</v>
      </c>
    </row>
    <row r="57" customFormat="false" ht="15" hidden="false" customHeight="false" outlineLevel="0" collapsed="false">
      <c r="A57" s="8" t="s">
        <v>280</v>
      </c>
      <c r="B57" s="18" t="n">
        <f aca="false">SQRT(INDEX('Baseline Models'!$B$49:$C$53,3,1))</f>
        <v>0.329358049123792</v>
      </c>
    </row>
    <row r="58" customFormat="false" ht="15" hidden="false" customHeight="false" outlineLevel="0" collapsed="false">
      <c r="A58" s="8" t="s">
        <v>281</v>
      </c>
      <c r="B58" s="19" t="n">
        <f aca="false">INDEX('Baseline Models'!$B$49:$C$53,3,1)</f>
        <v>0.10847672452263</v>
      </c>
    </row>
    <row r="59" customFormat="false" ht="15" hidden="false" customHeight="false" outlineLevel="0" collapsed="false">
      <c r="A59" s="8" t="s">
        <v>282</v>
      </c>
      <c r="B59" s="19" t="n">
        <f aca="false">1-(1-'Baseline Models'!$B$58)*('Baseline Models'!$B$61-1)/'Baseline Models'!$B$63</f>
        <v>0.107832560306245</v>
      </c>
    </row>
    <row r="60" customFormat="false" ht="15" hidden="false" customHeight="false" outlineLevel="0" collapsed="false">
      <c r="A60" s="8" t="s">
        <v>283</v>
      </c>
      <c r="B60" s="16" t="n">
        <f aca="false">INDEX('Baseline Models'!$B$49:$C$53,3,2)</f>
        <v>104.843424756189</v>
      </c>
    </row>
    <row r="61" customFormat="false" ht="15" hidden="false" customHeight="false" outlineLevel="0" collapsed="false">
      <c r="A61" s="8" t="s">
        <v>284</v>
      </c>
      <c r="B61" s="12" t="n">
        <f aca="false">COUNT('Analysis Data'!$C$2:$C$1387)</f>
        <v>1386</v>
      </c>
    </row>
    <row r="62" customFormat="false" ht="15" hidden="false" customHeight="false" outlineLevel="0" collapsed="false">
      <c r="A62" s="8" t="s">
        <v>285</v>
      </c>
      <c r="B62" s="12" t="n">
        <f aca="false">1</f>
        <v>1</v>
      </c>
    </row>
    <row r="63" customFormat="false" ht="15" hidden="false" customHeight="false" outlineLevel="0" collapsed="false">
      <c r="A63" s="8" t="s">
        <v>286</v>
      </c>
      <c r="B63" s="12" t="n">
        <f aca="false">INDEX('Baseline Models'!$B$49:$C$53,4,2)</f>
        <v>1384</v>
      </c>
    </row>
    <row r="64" customFormat="false" ht="15" hidden="false" customHeight="false" outlineLevel="0" collapsed="false">
      <c r="A64" s="8" t="s">
        <v>287</v>
      </c>
      <c r="B64" s="16" t="n">
        <f aca="false">INDEX('Baseline Models'!$B$49:$C$53,4,1)</f>
        <v>168.399177978759</v>
      </c>
    </row>
    <row r="65" customFormat="false" ht="15" hidden="false" customHeight="false" outlineLevel="0" collapsed="false">
      <c r="A65" s="8" t="s">
        <v>288</v>
      </c>
      <c r="B65" s="17" t="n">
        <f aca="false">_xlfn.F.DIST.RT('Baseline Models'!$B$64,'Baseline Models'!$B$62,'Baseline Models'!$B$63)</f>
        <v>2.00865715911252E-036</v>
      </c>
    </row>
    <row r="66" customFormat="false" ht="15" hidden="false" customHeight="false" outlineLevel="0" collapsed="false">
      <c r="A66" s="8" t="s">
        <v>289</v>
      </c>
      <c r="B66" s="15" t="n">
        <f aca="false">INDEX('Baseline Models'!$B$49:$C$53,5,1)</f>
        <v>1851067.96576416</v>
      </c>
    </row>
    <row r="67" customFormat="false" ht="15" hidden="false" customHeight="false" outlineLevel="0" collapsed="false">
      <c r="A67" s="8" t="s">
        <v>290</v>
      </c>
      <c r="B67" s="15" t="n">
        <f aca="false">INDEX('Baseline Models'!$B$49:$C$53,5,2)</f>
        <v>15213126.9010158</v>
      </c>
    </row>
    <row r="68" customFormat="false" ht="15" hidden="false" customHeight="false" outlineLevel="0" collapsed="false">
      <c r="A68" s="8" t="s">
        <v>291</v>
      </c>
      <c r="B68" s="15" t="n">
        <f aca="false">'Baseline Models'!$B$66+'Baseline Models'!$B$67</f>
        <v>17064194.8667799</v>
      </c>
    </row>
    <row r="70" customFormat="false" ht="15" hidden="false" customHeight="false" outlineLevel="0" collapsed="false">
      <c r="A70" s="7" t="s">
        <v>292</v>
      </c>
    </row>
    <row r="71" customFormat="false" ht="15" hidden="false" customHeight="false" outlineLevel="0" collapsed="false">
      <c r="A71" s="4" t="s">
        <v>214</v>
      </c>
      <c r="B71" s="4" t="s">
        <v>274</v>
      </c>
      <c r="C71" s="4" t="s">
        <v>275</v>
      </c>
      <c r="D71" s="4" t="s">
        <v>293</v>
      </c>
      <c r="E71" s="4" t="s">
        <v>253</v>
      </c>
      <c r="F71" s="4" t="s">
        <v>294</v>
      </c>
      <c r="G71" s="4" t="s">
        <v>295</v>
      </c>
    </row>
    <row r="72" customFormat="false" ht="15" hidden="false" customHeight="false" outlineLevel="0" collapsed="false">
      <c r="A72" s="8" t="s">
        <v>273</v>
      </c>
      <c r="B72" s="13" t="n">
        <f aca="false">INDEX('Baseline Models'!$B$49:$C$53,1,2)</f>
        <v>244.715992807117</v>
      </c>
      <c r="C72" s="13" t="n">
        <f aca="false">INDEX('Baseline Models'!$B$49:$C$53,2,2)</f>
        <v>2.90225750612908</v>
      </c>
      <c r="D72" s="15" t="n">
        <f aca="false">B72/C72</f>
        <v>84.3191868021076</v>
      </c>
      <c r="E72" s="17" t="n">
        <f aca="false">_xlfn.T.DIST.2T(ABS(D72),'Baseline Models'!$B$63)</f>
        <v>0</v>
      </c>
      <c r="F72" s="13" t="n">
        <f aca="false">B72-_xlfn.T.INV.2T(0.05,'Baseline Models'!$B$63)*C72</f>
        <v>239.02269367279</v>
      </c>
      <c r="G72" s="13" t="n">
        <f aca="false">B72+_xlfn.T.INV.2T(0.05,'Baseline Models'!$B$63)*C72</f>
        <v>250.409291941443</v>
      </c>
    </row>
    <row r="73" customFormat="false" ht="15" hidden="false" customHeight="false" outlineLevel="0" collapsed="false">
      <c r="A73" s="8" t="s">
        <v>28</v>
      </c>
      <c r="B73" s="13" t="n">
        <f aca="false">INDEX('Baseline Models'!$B$49:$C$53,1,1)</f>
        <v>155.79195685594</v>
      </c>
      <c r="C73" s="13" t="n">
        <f aca="false">INDEX('Baseline Models'!$B$49:$C$53,2,1)</f>
        <v>12.0053561625631</v>
      </c>
      <c r="D73" s="15" t="n">
        <f aca="false">B73/C73</f>
        <v>12.9768708854931</v>
      </c>
      <c r="E73" s="17" t="n">
        <f aca="false">_xlfn.T.DIST.2T(ABS(D73),'Baseline Models'!$B$63)</f>
        <v>2.00865715911252E-036</v>
      </c>
      <c r="F73" s="13" t="n">
        <f aca="false">B73-_xlfn.T.INV.2T(0.05,'Baseline Models'!$B$63)*C73</f>
        <v>132.241295447276</v>
      </c>
      <c r="G73" s="13" t="n">
        <f aca="false">B73+_xlfn.T.INV.2T(0.05,'Baseline Models'!$B$63)*C73</f>
        <v>179.342618264604</v>
      </c>
    </row>
    <row r="77" customFormat="false" ht="17.35" hidden="false" customHeight="false" outlineLevel="0" collapsed="false">
      <c r="A77" s="1" t="s">
        <v>298</v>
      </c>
    </row>
    <row r="78" customFormat="false" ht="15" hidden="false" customHeight="false" outlineLevel="0" collapsed="false">
      <c r="A78" s="3"/>
    </row>
    <row r="80" customFormat="false" ht="15" hidden="false" customHeight="false" outlineLevel="0" collapsed="false">
      <c r="A80" s="7" t="s">
        <v>267</v>
      </c>
    </row>
    <row r="81" customFormat="false" ht="15" hidden="false" customHeight="false" outlineLevel="0" collapsed="false">
      <c r="A81" s="8" t="s">
        <v>268</v>
      </c>
      <c r="B81" s="11" t="s">
        <v>269</v>
      </c>
    </row>
    <row r="82" customFormat="false" ht="15" hidden="false" customHeight="false" outlineLevel="0" collapsed="false">
      <c r="A82" s="8" t="s">
        <v>270</v>
      </c>
      <c r="B82" s="11" t="s">
        <v>299</v>
      </c>
    </row>
    <row r="84" customFormat="false" ht="15" hidden="false" customHeight="false" outlineLevel="0" collapsed="false">
      <c r="A84" s="7" t="s">
        <v>272</v>
      </c>
    </row>
    <row r="85" customFormat="false" ht="15" hidden="false" customHeight="false" outlineLevel="0" collapsed="false">
      <c r="B85" s="4" t="s">
        <v>27</v>
      </c>
      <c r="C85" s="4" t="s">
        <v>273</v>
      </c>
    </row>
    <row r="86" customFormat="false" ht="15" hidden="false" customHeight="false" outlineLevel="0" collapsed="false">
      <c r="A86" s="8" t="s">
        <v>274</v>
      </c>
      <c r="B86" s="18" t="n">
        <f aca="false" t="array" ref="B86:C90">IFERROR(LINEST('Analysis Data'!$C$2:$C$1387,'Analysis Data'!$F$2:$F$1387,TRUE(),TRUE()),"")</f>
        <v>343.22916657837</v>
      </c>
      <c r="C86" s="18" t="n">
        <v>240.69579271814</v>
      </c>
    </row>
    <row r="87" customFormat="false" ht="15" hidden="false" customHeight="false" outlineLevel="0" collapsed="false">
      <c r="A87" s="8" t="s">
        <v>275</v>
      </c>
      <c r="B87" s="18" t="n">
        <v>12.5205330369106</v>
      </c>
      <c r="C87" s="18" t="n">
        <v>2.44838177541503</v>
      </c>
    </row>
    <row r="88" customFormat="false" ht="15" hidden="false" customHeight="false" outlineLevel="0" collapsed="false">
      <c r="A88" s="8" t="s">
        <v>276</v>
      </c>
      <c r="B88" s="18" t="n">
        <v>0.351904935861034</v>
      </c>
      <c r="C88" s="18" t="n">
        <v>89.3910858706832</v>
      </c>
    </row>
    <row r="89" customFormat="false" ht="15" hidden="false" customHeight="false" outlineLevel="0" collapsed="false">
      <c r="A89" s="8" t="s">
        <v>277</v>
      </c>
      <c r="B89" s="18" t="n">
        <v>751.489184505251</v>
      </c>
      <c r="C89" s="18" t="n">
        <v>1384</v>
      </c>
    </row>
    <row r="90" customFormat="false" ht="15" hidden="false" customHeight="false" outlineLevel="0" collapsed="false">
      <c r="A90" s="8" t="s">
        <v>278</v>
      </c>
      <c r="B90" s="18" t="n">
        <v>6004974.40011437</v>
      </c>
      <c r="C90" s="18" t="n">
        <v>11059220.4666656</v>
      </c>
    </row>
    <row r="93" customFormat="false" ht="15" hidden="false" customHeight="false" outlineLevel="0" collapsed="false">
      <c r="A93" s="7" t="s">
        <v>279</v>
      </c>
    </row>
    <row r="94" customFormat="false" ht="15" hidden="false" customHeight="false" outlineLevel="0" collapsed="false">
      <c r="A94" s="8" t="s">
        <v>280</v>
      </c>
      <c r="B94" s="18" t="n">
        <f aca="false">SQRT(INDEX('Baseline Models'!$B$86:$C$90,3,1))</f>
        <v>0.593215758270997</v>
      </c>
    </row>
    <row r="95" customFormat="false" ht="15" hidden="false" customHeight="false" outlineLevel="0" collapsed="false">
      <c r="A95" s="8" t="s">
        <v>281</v>
      </c>
      <c r="B95" s="19" t="n">
        <f aca="false">INDEX('Baseline Models'!$B$86:$C$90,3,1)</f>
        <v>0.351904935861034</v>
      </c>
    </row>
    <row r="96" customFormat="false" ht="15" hidden="false" customHeight="false" outlineLevel="0" collapsed="false">
      <c r="A96" s="8" t="s">
        <v>282</v>
      </c>
      <c r="B96" s="19" t="n">
        <f aca="false">1-(1-'Baseline Models'!$B$95)*('Baseline Models'!$B$98-1)/'Baseline Models'!$B$100</f>
        <v>0.351436659080586</v>
      </c>
    </row>
    <row r="97" customFormat="false" ht="15" hidden="false" customHeight="false" outlineLevel="0" collapsed="false">
      <c r="A97" s="8" t="s">
        <v>283</v>
      </c>
      <c r="B97" s="16" t="n">
        <f aca="false">INDEX('Baseline Models'!$B$86:$C$90,3,2)</f>
        <v>89.3910858706832</v>
      </c>
    </row>
    <row r="98" customFormat="false" ht="15" hidden="false" customHeight="false" outlineLevel="0" collapsed="false">
      <c r="A98" s="8" t="s">
        <v>284</v>
      </c>
      <c r="B98" s="12" t="n">
        <f aca="false">COUNT('Analysis Data'!$C$2:$C$1387)</f>
        <v>1386</v>
      </c>
    </row>
    <row r="99" customFormat="false" ht="15" hidden="false" customHeight="false" outlineLevel="0" collapsed="false">
      <c r="A99" s="8" t="s">
        <v>285</v>
      </c>
      <c r="B99" s="12" t="n">
        <f aca="false">1</f>
        <v>1</v>
      </c>
    </row>
    <row r="100" customFormat="false" ht="15" hidden="false" customHeight="false" outlineLevel="0" collapsed="false">
      <c r="A100" s="8" t="s">
        <v>286</v>
      </c>
      <c r="B100" s="12" t="n">
        <f aca="false">INDEX('Baseline Models'!$B$86:$C$90,4,2)</f>
        <v>1384</v>
      </c>
    </row>
    <row r="101" customFormat="false" ht="15" hidden="false" customHeight="false" outlineLevel="0" collapsed="false">
      <c r="A101" s="8" t="s">
        <v>287</v>
      </c>
      <c r="B101" s="16" t="n">
        <f aca="false">INDEX('Baseline Models'!$B$86:$C$90,4,1)</f>
        <v>751.489184505251</v>
      </c>
    </row>
    <row r="102" customFormat="false" ht="15" hidden="false" customHeight="false" outlineLevel="0" collapsed="false">
      <c r="A102" s="8" t="s">
        <v>288</v>
      </c>
      <c r="B102" s="17" t="n">
        <f aca="false">_xlfn.F.DIST.RT('Baseline Models'!$B$101,'Baseline Models'!$B$99,'Baseline Models'!$B$100)</f>
        <v>1.62740531537551E-132</v>
      </c>
    </row>
    <row r="103" customFormat="false" ht="15" hidden="false" customHeight="false" outlineLevel="0" collapsed="false">
      <c r="A103" s="8" t="s">
        <v>289</v>
      </c>
      <c r="B103" s="15" t="n">
        <f aca="false">INDEX('Baseline Models'!$B$86:$C$90,5,1)</f>
        <v>6004974.40011437</v>
      </c>
    </row>
    <row r="104" customFormat="false" ht="15" hidden="false" customHeight="false" outlineLevel="0" collapsed="false">
      <c r="A104" s="8" t="s">
        <v>290</v>
      </c>
      <c r="B104" s="15" t="n">
        <f aca="false">INDEX('Baseline Models'!$B$86:$C$90,5,2)</f>
        <v>11059220.4666656</v>
      </c>
    </row>
    <row r="105" customFormat="false" ht="15" hidden="false" customHeight="false" outlineLevel="0" collapsed="false">
      <c r="A105" s="8" t="s">
        <v>291</v>
      </c>
      <c r="B105" s="15" t="n">
        <f aca="false">'Baseline Models'!$B$103+'Baseline Models'!$B$104</f>
        <v>17064194.8667799</v>
      </c>
    </row>
    <row r="107" customFormat="false" ht="15" hidden="false" customHeight="false" outlineLevel="0" collapsed="false">
      <c r="A107" s="7" t="s">
        <v>292</v>
      </c>
    </row>
    <row r="108" customFormat="false" ht="15" hidden="false" customHeight="false" outlineLevel="0" collapsed="false">
      <c r="A108" s="4" t="s">
        <v>214</v>
      </c>
      <c r="B108" s="4" t="s">
        <v>274</v>
      </c>
      <c r="C108" s="4" t="s">
        <v>275</v>
      </c>
      <c r="D108" s="4" t="s">
        <v>293</v>
      </c>
      <c r="E108" s="4" t="s">
        <v>253</v>
      </c>
      <c r="F108" s="4" t="s">
        <v>294</v>
      </c>
      <c r="G108" s="4" t="s">
        <v>295</v>
      </c>
    </row>
    <row r="109" customFormat="false" ht="15" hidden="false" customHeight="false" outlineLevel="0" collapsed="false">
      <c r="A109" s="8" t="s">
        <v>273</v>
      </c>
      <c r="B109" s="13" t="n">
        <f aca="false">INDEX('Baseline Models'!$B$86:$C$90,1,2)</f>
        <v>240.69579271814</v>
      </c>
      <c r="C109" s="13" t="n">
        <f aca="false">INDEX('Baseline Models'!$B$86:$C$90,2,2)</f>
        <v>2.44838177541503</v>
      </c>
      <c r="D109" s="15" t="n">
        <f aca="false">B109/C109</f>
        <v>98.3081131933924</v>
      </c>
      <c r="E109" s="17" t="n">
        <f aca="false">_xlfn.T.DIST.2T(ABS(D109),'Baseline Models'!$B$100)</f>
        <v>0</v>
      </c>
      <c r="F109" s="13" t="n">
        <f aca="false">B109-_xlfn.T.INV.2T(0.05,'Baseline Models'!$B$100)*C109</f>
        <v>235.892852312944</v>
      </c>
      <c r="G109" s="13" t="n">
        <f aca="false">B109+_xlfn.T.INV.2T(0.05,'Baseline Models'!$B$100)*C109</f>
        <v>245.498733123336</v>
      </c>
    </row>
    <row r="110" customFormat="false" ht="15" hidden="false" customHeight="false" outlineLevel="0" collapsed="false">
      <c r="A110" s="8" t="s">
        <v>27</v>
      </c>
      <c r="B110" s="13" t="n">
        <f aca="false">INDEX('Baseline Models'!$B$86:$C$90,1,1)</f>
        <v>343.22916657837</v>
      </c>
      <c r="C110" s="13" t="n">
        <f aca="false">INDEX('Baseline Models'!$B$86:$C$90,2,1)</f>
        <v>12.5205330369106</v>
      </c>
      <c r="D110" s="15" t="n">
        <f aca="false">B110/C110</f>
        <v>27.4133030571883</v>
      </c>
      <c r="E110" s="17" t="n">
        <f aca="false">_xlfn.T.DIST.2T(ABS(D110),'Baseline Models'!$B$100)</f>
        <v>1.62740531537551E-132</v>
      </c>
      <c r="F110" s="13" t="n">
        <f aca="false">B110-_xlfn.T.INV.2T(0.05,'Baseline Models'!$B$100)*C110</f>
        <v>318.667893242076</v>
      </c>
      <c r="G110" s="13" t="n">
        <f aca="false">B110+_xlfn.T.INV.2T(0.05,'Baseline Models'!$B$100)*C110</f>
        <v>367.790439914663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13" min="2" style="0" width="14.72"/>
  </cols>
  <sheetData>
    <row r="1" customFormat="false" ht="17.35" hidden="false" customHeight="false" outlineLevel="0" collapsed="false">
      <c r="A1" s="1" t="s">
        <v>300</v>
      </c>
    </row>
    <row r="2" customFormat="false" ht="35.05" hidden="false" customHeight="false" outlineLevel="0" collapsed="false">
      <c r="A2" s="3" t="s">
        <v>301</v>
      </c>
    </row>
    <row r="4" customFormat="false" ht="15" hidden="false" customHeight="false" outlineLevel="0" collapsed="false">
      <c r="A4" s="7" t="s">
        <v>267</v>
      </c>
    </row>
    <row r="5" customFormat="false" ht="15" hidden="false" customHeight="false" outlineLevel="0" collapsed="false">
      <c r="A5" s="8" t="s">
        <v>268</v>
      </c>
      <c r="B5" s="11" t="s">
        <v>269</v>
      </c>
    </row>
    <row r="6" customFormat="false" ht="15" hidden="false" customHeight="false" outlineLevel="0" collapsed="false">
      <c r="A6" s="8" t="s">
        <v>270</v>
      </c>
      <c r="B6" s="11" t="s">
        <v>302</v>
      </c>
    </row>
    <row r="8" customFormat="false" ht="15" hidden="false" customHeight="false" outlineLevel="0" collapsed="false">
      <c r="A8" s="7" t="s">
        <v>272</v>
      </c>
    </row>
    <row r="9" customFormat="false" ht="15" hidden="false" customHeight="false" outlineLevel="0" collapsed="false">
      <c r="B9" s="4" t="s">
        <v>32</v>
      </c>
      <c r="C9" s="4" t="s">
        <v>31</v>
      </c>
      <c r="D9" s="4" t="s">
        <v>174</v>
      </c>
      <c r="E9" s="4" t="s">
        <v>173</v>
      </c>
      <c r="F9" s="4" t="s">
        <v>28</v>
      </c>
      <c r="G9" s="4" t="s">
        <v>27</v>
      </c>
      <c r="H9" s="4" t="s">
        <v>172</v>
      </c>
      <c r="I9" s="4" t="s">
        <v>171</v>
      </c>
      <c r="J9" s="4" t="s">
        <v>273</v>
      </c>
    </row>
    <row r="10" customFormat="false" ht="15" hidden="false" customHeight="false" outlineLevel="0" collapsed="false">
      <c r="A10" s="8" t="s">
        <v>274</v>
      </c>
      <c r="B10" s="18" t="n">
        <f aca="false" t="array" ref="B10:J14">IFERROR(LINEST('Analysis Data'!$C$2:$C$1387,'Analysis Data'!$D$2:$K$1387,TRUE(),TRUE()),"")</f>
        <v>-1.01967115391874</v>
      </c>
      <c r="C10" s="18" t="n">
        <v>-1.59416821330369</v>
      </c>
      <c r="D10" s="18" t="n">
        <v>67.5698106099805</v>
      </c>
      <c r="E10" s="18" t="n">
        <v>73.5171709402913</v>
      </c>
      <c r="F10" s="18" t="n">
        <v>111.132849237256</v>
      </c>
      <c r="G10" s="18" t="n">
        <v>305.102122645024</v>
      </c>
      <c r="H10" s="18" t="n">
        <v>77.4369136404089</v>
      </c>
      <c r="I10" s="18" t="n">
        <v>-28.5353651097548</v>
      </c>
      <c r="J10" s="18" t="n">
        <v>298.488130552912</v>
      </c>
    </row>
    <row r="11" customFormat="false" ht="15" hidden="false" customHeight="false" outlineLevel="0" collapsed="false">
      <c r="A11" s="8" t="s">
        <v>275</v>
      </c>
      <c r="B11" s="18" t="n">
        <v>1.08402290014744</v>
      </c>
      <c r="C11" s="18" t="n">
        <v>1.7764006881234</v>
      </c>
      <c r="D11" s="18" t="n">
        <v>6.54197318111923</v>
      </c>
      <c r="E11" s="18" t="n">
        <v>4.89538385045541</v>
      </c>
      <c r="F11" s="18" t="n">
        <v>7.40369826998745</v>
      </c>
      <c r="G11" s="18" t="n">
        <v>9.05573741367079</v>
      </c>
      <c r="H11" s="18" t="n">
        <v>3.86445275326188</v>
      </c>
      <c r="I11" s="18" t="n">
        <v>3.95215265838374</v>
      </c>
      <c r="J11" s="18" t="n">
        <v>16.1830939444341</v>
      </c>
    </row>
    <row r="12" customFormat="false" ht="15" hidden="false" customHeight="false" outlineLevel="0" collapsed="false">
      <c r="A12" s="8" t="s">
        <v>276</v>
      </c>
      <c r="B12" s="18" t="n">
        <v>0.672635265779691</v>
      </c>
      <c r="C12" s="18" t="n">
        <v>63.6930252457666</v>
      </c>
      <c r="D12" s="18" t="str">
        <v/>
      </c>
      <c r="E12" s="18" t="str">
        <v/>
      </c>
      <c r="F12" s="18" t="str">
        <v/>
      </c>
      <c r="G12" s="18" t="str">
        <v/>
      </c>
      <c r="H12" s="18" t="str">
        <v/>
      </c>
      <c r="I12" s="18" t="str">
        <v/>
      </c>
      <c r="J12" s="18" t="str">
        <v/>
      </c>
    </row>
    <row r="13" customFormat="false" ht="15" hidden="false" customHeight="false" outlineLevel="0" collapsed="false">
      <c r="A13" s="8" t="s">
        <v>277</v>
      </c>
      <c r="B13" s="18" t="n">
        <v>353.664683516013</v>
      </c>
      <c r="C13" s="18" t="n">
        <v>1377</v>
      </c>
      <c r="D13" s="18" t="str">
        <v/>
      </c>
      <c r="E13" s="18" t="str">
        <v/>
      </c>
      <c r="F13" s="18" t="str">
        <v/>
      </c>
      <c r="G13" s="18" t="str">
        <v/>
      </c>
      <c r="H13" s="18" t="str">
        <v/>
      </c>
      <c r="I13" s="18" t="str">
        <v/>
      </c>
      <c r="J13" s="18" t="str">
        <v/>
      </c>
    </row>
    <row r="14" customFormat="false" ht="15" hidden="false" customHeight="false" outlineLevel="0" collapsed="false">
      <c r="A14" s="8" t="s">
        <v>278</v>
      </c>
      <c r="B14" s="18" t="n">
        <v>11477979.249533</v>
      </c>
      <c r="C14" s="18" t="n">
        <v>5586215.61724697</v>
      </c>
      <c r="D14" s="18" t="str">
        <v/>
      </c>
      <c r="E14" s="18" t="str">
        <v/>
      </c>
      <c r="F14" s="18" t="str">
        <v/>
      </c>
      <c r="G14" s="18" t="str">
        <v/>
      </c>
      <c r="H14" s="18" t="str">
        <v/>
      </c>
      <c r="I14" s="18" t="str">
        <v/>
      </c>
      <c r="J14" s="18" t="str">
        <v/>
      </c>
    </row>
    <row r="17" customFormat="false" ht="15" hidden="false" customHeight="false" outlineLevel="0" collapsed="false">
      <c r="A17" s="7" t="s">
        <v>279</v>
      </c>
    </row>
    <row r="18" customFormat="false" ht="15" hidden="false" customHeight="false" outlineLevel="0" collapsed="false">
      <c r="A18" s="8" t="s">
        <v>280</v>
      </c>
      <c r="B18" s="18" t="n">
        <f aca="false">SQRT(INDEX('Full MLR'!$B$10:$J$14,3,1))</f>
        <v>0.820143442197577</v>
      </c>
    </row>
    <row r="19" customFormat="false" ht="15" hidden="false" customHeight="false" outlineLevel="0" collapsed="false">
      <c r="A19" s="8" t="s">
        <v>281</v>
      </c>
      <c r="B19" s="19" t="n">
        <f aca="false">INDEX('Full MLR'!$B$10:$J$14,3,1)</f>
        <v>0.672635265779691</v>
      </c>
    </row>
    <row r="20" customFormat="false" ht="15" hidden="false" customHeight="false" outlineLevel="0" collapsed="false">
      <c r="A20" s="8" t="s">
        <v>282</v>
      </c>
      <c r="B20" s="19" t="n">
        <f aca="false">1-(1-'Full MLR'!$B$19)*('Full MLR'!$B$22-1)/'Full MLR'!$B$24</f>
        <v>0.670733364636799</v>
      </c>
    </row>
    <row r="21" customFormat="false" ht="15" hidden="false" customHeight="false" outlineLevel="0" collapsed="false">
      <c r="A21" s="8" t="s">
        <v>283</v>
      </c>
      <c r="B21" s="16" t="n">
        <f aca="false">INDEX('Full MLR'!$B$10:$J$14,3,2)</f>
        <v>63.6930252457666</v>
      </c>
    </row>
    <row r="22" customFormat="false" ht="15" hidden="false" customHeight="false" outlineLevel="0" collapsed="false">
      <c r="A22" s="8" t="s">
        <v>284</v>
      </c>
      <c r="B22" s="12" t="n">
        <f aca="false">COUNT('Analysis Data'!$C$2:$C$1387)</f>
        <v>1386</v>
      </c>
    </row>
    <row r="23" customFormat="false" ht="15" hidden="false" customHeight="false" outlineLevel="0" collapsed="false">
      <c r="A23" s="8" t="s">
        <v>285</v>
      </c>
      <c r="B23" s="12" t="n">
        <f aca="false">8</f>
        <v>8</v>
      </c>
    </row>
    <row r="24" customFormat="false" ht="15" hidden="false" customHeight="false" outlineLevel="0" collapsed="false">
      <c r="A24" s="8" t="s">
        <v>286</v>
      </c>
      <c r="B24" s="12" t="n">
        <f aca="false">INDEX('Full MLR'!$B$10:$J$14,4,2)</f>
        <v>1377</v>
      </c>
    </row>
    <row r="25" customFormat="false" ht="15" hidden="false" customHeight="false" outlineLevel="0" collapsed="false">
      <c r="A25" s="8" t="s">
        <v>287</v>
      </c>
      <c r="B25" s="16" t="n">
        <f aca="false">INDEX('Full MLR'!$B$10:$J$14,4,1)</f>
        <v>353.664683516013</v>
      </c>
    </row>
    <row r="26" customFormat="false" ht="15" hidden="false" customHeight="false" outlineLevel="0" collapsed="false">
      <c r="A26" s="8" t="s">
        <v>288</v>
      </c>
      <c r="B26" s="17" t="n">
        <f aca="false">_xlfn.F.DIST.RT('Full MLR'!$B$25,'Full MLR'!$B$23,'Full MLR'!$B$24)</f>
        <v>0</v>
      </c>
    </row>
    <row r="27" customFormat="false" ht="15" hidden="false" customHeight="false" outlineLevel="0" collapsed="false">
      <c r="A27" s="8" t="s">
        <v>289</v>
      </c>
      <c r="B27" s="15" t="n">
        <f aca="false">INDEX('Full MLR'!$B$10:$J$14,5,1)</f>
        <v>11477979.249533</v>
      </c>
    </row>
    <row r="28" customFormat="false" ht="15" hidden="false" customHeight="false" outlineLevel="0" collapsed="false">
      <c r="A28" s="8" t="s">
        <v>290</v>
      </c>
      <c r="B28" s="15" t="n">
        <f aca="false">INDEX('Full MLR'!$B$10:$J$14,5,2)</f>
        <v>5586215.61724697</v>
      </c>
    </row>
    <row r="29" customFormat="false" ht="15" hidden="false" customHeight="false" outlineLevel="0" collapsed="false">
      <c r="A29" s="8" t="s">
        <v>291</v>
      </c>
      <c r="B29" s="15" t="n">
        <f aca="false">'Full MLR'!$B$27+'Full MLR'!$B$28</f>
        <v>17064194.8667799</v>
      </c>
    </row>
    <row r="31" customFormat="false" ht="15" hidden="false" customHeight="false" outlineLevel="0" collapsed="false">
      <c r="A31" s="7" t="s">
        <v>292</v>
      </c>
    </row>
    <row r="32" customFormat="false" ht="15" hidden="false" customHeight="false" outlineLevel="0" collapsed="false">
      <c r="A32" s="4" t="s">
        <v>214</v>
      </c>
      <c r="B32" s="4" t="s">
        <v>274</v>
      </c>
      <c r="C32" s="4" t="s">
        <v>275</v>
      </c>
      <c r="D32" s="4" t="s">
        <v>293</v>
      </c>
      <c r="E32" s="4" t="s">
        <v>253</v>
      </c>
      <c r="F32" s="4" t="s">
        <v>294</v>
      </c>
      <c r="G32" s="4" t="s">
        <v>295</v>
      </c>
    </row>
    <row r="33" customFormat="false" ht="15" hidden="false" customHeight="false" outlineLevel="0" collapsed="false">
      <c r="A33" s="8" t="s">
        <v>273</v>
      </c>
      <c r="B33" s="13" t="n">
        <f aca="false">INDEX('Full MLR'!$B$10:$J$14,1,9)</f>
        <v>298.488130552912</v>
      </c>
      <c r="C33" s="13" t="n">
        <f aca="false">INDEX('Full MLR'!$B$10:$J$14,2,9)</f>
        <v>16.1830939444341</v>
      </c>
      <c r="D33" s="15" t="n">
        <f aca="false">B33/C33</f>
        <v>18.4444415621509</v>
      </c>
      <c r="E33" s="17" t="n">
        <f aca="false">_xlfn.T.DIST.2T(ABS(D33),'Full MLR'!$B$24)</f>
        <v>4.62342574582624E-068</v>
      </c>
      <c r="F33" s="13" t="n">
        <f aca="false">B33-_xlfn.T.INV.2T(0.05,'Full MLR'!$B$24)*C33</f>
        <v>266.74194521022</v>
      </c>
      <c r="G33" s="13" t="n">
        <f aca="false">B33+_xlfn.T.INV.2T(0.05,'Full MLR'!$B$24)*C33</f>
        <v>330.234315895604</v>
      </c>
    </row>
    <row r="34" customFormat="false" ht="15" hidden="false" customHeight="false" outlineLevel="0" collapsed="false">
      <c r="A34" s="8" t="s">
        <v>171</v>
      </c>
      <c r="B34" s="13" t="n">
        <f aca="false">INDEX('Full MLR'!$B$10:$J$14,1,8)</f>
        <v>-28.5353651097548</v>
      </c>
      <c r="C34" s="13" t="n">
        <f aca="false">INDEX('Full MLR'!$B$10:$J$14,2,8)</f>
        <v>3.95215265838374</v>
      </c>
      <c r="D34" s="15" t="n">
        <f aca="false">B34/C34</f>
        <v>-7.2202082197464</v>
      </c>
      <c r="E34" s="17" t="n">
        <f aca="false">_xlfn.T.DIST.2T(ABS(D34),'Full MLR'!$B$24)</f>
        <v>8.55578442241001E-013</v>
      </c>
      <c r="F34" s="13" t="n">
        <f aca="false">B34-_xlfn.T.INV.2T(0.05,'Full MLR'!$B$24)*C34</f>
        <v>-36.2882565671276</v>
      </c>
      <c r="G34" s="13" t="n">
        <f aca="false">B34+_xlfn.T.INV.2T(0.05,'Full MLR'!$B$24)*C34</f>
        <v>-20.782473652382</v>
      </c>
    </row>
    <row r="35" customFormat="false" ht="15" hidden="false" customHeight="false" outlineLevel="0" collapsed="false">
      <c r="A35" s="8" t="s">
        <v>172</v>
      </c>
      <c r="B35" s="13" t="n">
        <f aca="false">INDEX('Full MLR'!$B$10:$J$14,1,7)</f>
        <v>77.4369136404089</v>
      </c>
      <c r="C35" s="13" t="n">
        <f aca="false">INDEX('Full MLR'!$B$10:$J$14,2,7)</f>
        <v>3.86445275326188</v>
      </c>
      <c r="D35" s="15" t="n">
        <f aca="false">B35/C35</f>
        <v>20.0382611936571</v>
      </c>
      <c r="E35" s="17" t="n">
        <f aca="false">_xlfn.T.DIST.2T(ABS(D35),'Full MLR'!$B$24)</f>
        <v>1.39012935108661E-078</v>
      </c>
      <c r="F35" s="13" t="n">
        <f aca="false">B35-_xlfn.T.INV.2T(0.05,'Full MLR'!$B$24)*C35</f>
        <v>69.8560620569992</v>
      </c>
      <c r="G35" s="13" t="n">
        <f aca="false">B35+_xlfn.T.INV.2T(0.05,'Full MLR'!$B$24)*C35</f>
        <v>85.0177652238185</v>
      </c>
    </row>
    <row r="36" customFormat="false" ht="15" hidden="false" customHeight="false" outlineLevel="0" collapsed="false">
      <c r="A36" s="8" t="s">
        <v>27</v>
      </c>
      <c r="B36" s="13" t="n">
        <f aca="false">INDEX('Full MLR'!$B$10:$J$14,1,6)</f>
        <v>305.102122645024</v>
      </c>
      <c r="C36" s="13" t="n">
        <f aca="false">INDEX('Full MLR'!$B$10:$J$14,2,6)</f>
        <v>9.05573741367079</v>
      </c>
      <c r="D36" s="15" t="n">
        <f aca="false">B36/C36</f>
        <v>33.6915823314879</v>
      </c>
      <c r="E36" s="17" t="n">
        <f aca="false">_xlfn.T.DIST.2T(ABS(D36),'Full MLR'!$B$24)</f>
        <v>5.40012439140241E-182</v>
      </c>
      <c r="F36" s="13" t="n">
        <f aca="false">B36-_xlfn.T.INV.2T(0.05,'Full MLR'!$B$24)*C36</f>
        <v>287.337588907764</v>
      </c>
      <c r="G36" s="13" t="n">
        <f aca="false">B36+_xlfn.T.INV.2T(0.05,'Full MLR'!$B$24)*C36</f>
        <v>322.866656382284</v>
      </c>
    </row>
    <row r="37" customFormat="false" ht="15" hidden="false" customHeight="false" outlineLevel="0" collapsed="false">
      <c r="A37" s="8" t="s">
        <v>28</v>
      </c>
      <c r="B37" s="13" t="n">
        <f aca="false">INDEX('Full MLR'!$B$10:$J$14,1,5)</f>
        <v>111.132849237256</v>
      </c>
      <c r="C37" s="13" t="n">
        <f aca="false">INDEX('Full MLR'!$B$10:$J$14,2,5)</f>
        <v>7.40369826998745</v>
      </c>
      <c r="D37" s="15" t="n">
        <f aca="false">B37/C37</f>
        <v>15.010450883413</v>
      </c>
      <c r="E37" s="17" t="n">
        <f aca="false">_xlfn.T.DIST.2T(ABS(D37),'Full MLR'!$B$24)</f>
        <v>2.77852843769473E-047</v>
      </c>
      <c r="F37" s="13" t="n">
        <f aca="false">B37-_xlfn.T.INV.2T(0.05,'Full MLR'!$B$24)*C37</f>
        <v>96.6091012872401</v>
      </c>
      <c r="G37" s="13" t="n">
        <f aca="false">B37+_xlfn.T.INV.2T(0.05,'Full MLR'!$B$24)*C37</f>
        <v>125.656597187272</v>
      </c>
    </row>
    <row r="38" customFormat="false" ht="15" hidden="false" customHeight="false" outlineLevel="0" collapsed="false">
      <c r="A38" s="8" t="s">
        <v>173</v>
      </c>
      <c r="B38" s="13" t="n">
        <f aca="false">INDEX('Full MLR'!$B$10:$J$14,1,4)</f>
        <v>73.5171709402913</v>
      </c>
      <c r="C38" s="13" t="n">
        <f aca="false">INDEX('Full MLR'!$B$10:$J$14,2,4)</f>
        <v>4.89538385045541</v>
      </c>
      <c r="D38" s="15" t="n">
        <f aca="false">B38/C38</f>
        <v>15.017651972981</v>
      </c>
      <c r="E38" s="17" t="n">
        <f aca="false">_xlfn.T.DIST.2T(ABS(D38),'Full MLR'!$B$24)</f>
        <v>2.53097709388386E-047</v>
      </c>
      <c r="F38" s="13" t="n">
        <f aca="false">B38-_xlfn.T.INV.2T(0.05,'Full MLR'!$B$24)*C38</f>
        <v>63.91395393038</v>
      </c>
      <c r="G38" s="13" t="n">
        <f aca="false">B38+_xlfn.T.INV.2T(0.05,'Full MLR'!$B$24)*C38</f>
        <v>83.1203879502025</v>
      </c>
    </row>
    <row r="39" customFormat="false" ht="15" hidden="false" customHeight="false" outlineLevel="0" collapsed="false">
      <c r="A39" s="8" t="s">
        <v>174</v>
      </c>
      <c r="B39" s="13" t="n">
        <f aca="false">INDEX('Full MLR'!$B$10:$J$14,1,3)</f>
        <v>67.5698106099805</v>
      </c>
      <c r="C39" s="13" t="n">
        <f aca="false">INDEX('Full MLR'!$B$10:$J$14,2,3)</f>
        <v>6.54197318111923</v>
      </c>
      <c r="D39" s="15" t="n">
        <f aca="false">B39/C39</f>
        <v>10.3286590665021</v>
      </c>
      <c r="E39" s="17" t="n">
        <f aca="false">_xlfn.T.DIST.2T(ABS(D39),'Full MLR'!$B$24)</f>
        <v>3.87316402598214E-024</v>
      </c>
      <c r="F39" s="13" t="n">
        <f aca="false">B39-_xlfn.T.INV.2T(0.05,'Full MLR'!$B$24)*C39</f>
        <v>54.7364986470253</v>
      </c>
      <c r="G39" s="13" t="n">
        <f aca="false">B39+_xlfn.T.INV.2T(0.05,'Full MLR'!$B$24)*C39</f>
        <v>80.4031225729358</v>
      </c>
    </row>
    <row r="40" customFormat="false" ht="15" hidden="false" customHeight="false" outlineLevel="0" collapsed="false">
      <c r="A40" s="8" t="s">
        <v>31</v>
      </c>
      <c r="B40" s="13" t="n">
        <f aca="false">INDEX('Full MLR'!$B$10:$J$14,1,2)</f>
        <v>-1.59416821330369</v>
      </c>
      <c r="C40" s="13" t="n">
        <f aca="false">INDEX('Full MLR'!$B$10:$J$14,2,2)</f>
        <v>1.7764006881234</v>
      </c>
      <c r="D40" s="15" t="n">
        <f aca="false">B40/C40</f>
        <v>-0.89741476906755</v>
      </c>
      <c r="E40" s="17" t="n">
        <f aca="false">_xlfn.T.DIST.2T(ABS(D40),'Full MLR'!$B$24)</f>
        <v>0.369654507664689</v>
      </c>
      <c r="F40" s="13" t="n">
        <f aca="false">B40-_xlfn.T.INV.2T(0.05,'Full MLR'!$B$24)*C40</f>
        <v>-5.07891258182091</v>
      </c>
      <c r="G40" s="13" t="n">
        <f aca="false">B40+_xlfn.T.INV.2T(0.05,'Full MLR'!$B$24)*C40</f>
        <v>1.89057615521352</v>
      </c>
    </row>
    <row r="41" customFormat="false" ht="15" hidden="false" customHeight="false" outlineLevel="0" collapsed="false">
      <c r="A41" s="8" t="s">
        <v>32</v>
      </c>
      <c r="B41" s="13" t="n">
        <f aca="false">INDEX('Full MLR'!$B$10:$J$14,1,1)</f>
        <v>-1.01967115391874</v>
      </c>
      <c r="C41" s="13" t="n">
        <f aca="false">INDEX('Full MLR'!$B$10:$J$14,2,1)</f>
        <v>1.08402290014744</v>
      </c>
      <c r="D41" s="15" t="n">
        <f aca="false">B41/C41</f>
        <v>-0.940636174549498</v>
      </c>
      <c r="E41" s="17" t="n">
        <f aca="false">_xlfn.T.DIST.2T(ABS(D41),'Full MLR'!$B$24)</f>
        <v>0.347056315085095</v>
      </c>
      <c r="F41" s="13" t="n">
        <f aca="false">B41-_xlfn.T.INV.2T(0.05,'Full MLR'!$B$24)*C41</f>
        <v>-3.14618614678509</v>
      </c>
      <c r="G41" s="13" t="n">
        <f aca="false">B41+_xlfn.T.INV.2T(0.05,'Full MLR'!$B$24)*C41</f>
        <v>1.1068438389476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71"/>
    <col collapsed="false" customWidth="true" hidden="false" outlineLevel="0" max="9" min="2" style="0" width="13.72"/>
    <col collapsed="false" customWidth="true" hidden="false" outlineLevel="0" max="13" min="10" style="0" width="14.72"/>
  </cols>
  <sheetData>
    <row r="1" customFormat="false" ht="17.35" hidden="false" customHeight="false" outlineLevel="0" collapsed="false">
      <c r="A1" s="1" t="s">
        <v>303</v>
      </c>
    </row>
    <row r="2" customFormat="false" ht="35.05" hidden="false" customHeight="false" outlineLevel="0" collapsed="false">
      <c r="A2" s="3" t="s">
        <v>304</v>
      </c>
    </row>
    <row r="4" customFormat="false" ht="15" hidden="false" customHeight="false" outlineLevel="0" collapsed="false">
      <c r="A4" s="7" t="s">
        <v>267</v>
      </c>
    </row>
    <row r="5" customFormat="false" ht="15" hidden="false" customHeight="false" outlineLevel="0" collapsed="false">
      <c r="A5" s="8" t="s">
        <v>268</v>
      </c>
      <c r="B5" s="11" t="s">
        <v>269</v>
      </c>
    </row>
    <row r="6" customFormat="false" ht="15" hidden="false" customHeight="false" outlineLevel="0" collapsed="false">
      <c r="A6" s="8" t="s">
        <v>270</v>
      </c>
      <c r="B6" s="11" t="s">
        <v>305</v>
      </c>
    </row>
    <row r="8" customFormat="false" ht="15" hidden="false" customHeight="false" outlineLevel="0" collapsed="false">
      <c r="A8" s="7" t="s">
        <v>272</v>
      </c>
    </row>
    <row r="9" customFormat="false" ht="15" hidden="false" customHeight="false" outlineLevel="0" collapsed="false">
      <c r="B9" s="4" t="s">
        <v>174</v>
      </c>
      <c r="C9" s="4" t="s">
        <v>173</v>
      </c>
      <c r="D9" s="4" t="s">
        <v>28</v>
      </c>
      <c r="E9" s="4" t="s">
        <v>27</v>
      </c>
      <c r="F9" s="4" t="s">
        <v>172</v>
      </c>
      <c r="G9" s="4" t="s">
        <v>171</v>
      </c>
      <c r="H9" s="4" t="s">
        <v>273</v>
      </c>
    </row>
    <row r="10" customFormat="false" ht="15" hidden="false" customHeight="false" outlineLevel="0" collapsed="false">
      <c r="A10" s="8" t="s">
        <v>274</v>
      </c>
      <c r="B10" s="18" t="n">
        <f aca="false" t="array" ref="B10:H14">IFERROR(LINEST('Analysis Data'!$C$2:$C$1387,'Analysis Data'!$D$2:$I$1387,TRUE(),TRUE()),"")</f>
        <v>67.7002031094325</v>
      </c>
      <c r="C10" s="18" t="n">
        <v>73.6630938934677</v>
      </c>
      <c r="D10" s="18" t="n">
        <v>111.260533901598</v>
      </c>
      <c r="E10" s="18" t="n">
        <v>304.959715959759</v>
      </c>
      <c r="F10" s="18" t="n">
        <v>76.9512060326766</v>
      </c>
      <c r="G10" s="18" t="n">
        <v>-28.6091645577292</v>
      </c>
      <c r="H10" s="18" t="n">
        <v>294.189035948021</v>
      </c>
    </row>
    <row r="11" customFormat="false" ht="15" hidden="false" customHeight="false" outlineLevel="0" collapsed="false">
      <c r="A11" s="8" t="s">
        <v>275</v>
      </c>
      <c r="B11" s="18" t="n">
        <v>6.53921318111385</v>
      </c>
      <c r="C11" s="18" t="n">
        <v>4.89125115006411</v>
      </c>
      <c r="D11" s="18" t="n">
        <v>7.40096666178312</v>
      </c>
      <c r="E11" s="18" t="n">
        <v>9.01428021511944</v>
      </c>
      <c r="F11" s="18" t="n">
        <v>3.84080419334429</v>
      </c>
      <c r="G11" s="18" t="n">
        <v>3.94471418211324</v>
      </c>
      <c r="H11" s="18" t="n">
        <v>15.7870958879364</v>
      </c>
    </row>
    <row r="12" customFormat="false" ht="15" hidden="false" customHeight="false" outlineLevel="0" collapsed="false">
      <c r="A12" s="8" t="s">
        <v>276</v>
      </c>
      <c r="B12" s="18" t="n">
        <v>0.672265016910062</v>
      </c>
      <c r="C12" s="18" t="n">
        <v>63.6828026945559</v>
      </c>
      <c r="D12" s="18" t="str">
        <v/>
      </c>
      <c r="E12" s="18" t="str">
        <v/>
      </c>
      <c r="F12" s="18" t="str">
        <v/>
      </c>
      <c r="G12" s="18" t="str">
        <v/>
      </c>
      <c r="H12" s="18" t="str">
        <v/>
      </c>
    </row>
    <row r="13" customFormat="false" ht="15" hidden="false" customHeight="false" outlineLevel="0" collapsed="false">
      <c r="A13" s="8" t="s">
        <v>277</v>
      </c>
      <c r="B13" s="18" t="n">
        <v>471.444666245557</v>
      </c>
      <c r="C13" s="18" t="n">
        <v>1379</v>
      </c>
      <c r="D13" s="18" t="str">
        <v/>
      </c>
      <c r="E13" s="18" t="str">
        <v/>
      </c>
      <c r="F13" s="18" t="str">
        <v/>
      </c>
      <c r="G13" s="18" t="str">
        <v/>
      </c>
      <c r="H13" s="18" t="str">
        <v/>
      </c>
    </row>
    <row r="14" customFormat="false" ht="15" hidden="false" customHeight="false" outlineLevel="0" collapsed="false">
      <c r="A14" s="8" t="s">
        <v>278</v>
      </c>
      <c r="B14" s="18" t="n">
        <v>11471661.2506724</v>
      </c>
      <c r="C14" s="18" t="n">
        <v>5592533.61610753</v>
      </c>
      <c r="D14" s="18" t="str">
        <v/>
      </c>
      <c r="E14" s="18" t="str">
        <v/>
      </c>
      <c r="F14" s="18" t="str">
        <v/>
      </c>
      <c r="G14" s="18" t="str">
        <v/>
      </c>
      <c r="H14" s="18" t="str">
        <v/>
      </c>
    </row>
    <row r="17" customFormat="false" ht="15" hidden="false" customHeight="false" outlineLevel="0" collapsed="false">
      <c r="A17" s="7" t="s">
        <v>279</v>
      </c>
    </row>
    <row r="18" customFormat="false" ht="15" hidden="false" customHeight="false" outlineLevel="0" collapsed="false">
      <c r="A18" s="8" t="s">
        <v>280</v>
      </c>
      <c r="B18" s="18" t="n">
        <f aca="false">SQRT(INDEX('Variable Selection'!$B$10:$H$14,3,1))</f>
        <v>0.819917689106694</v>
      </c>
    </row>
    <row r="19" customFormat="false" ht="15" hidden="false" customHeight="false" outlineLevel="0" collapsed="false">
      <c r="A19" s="8" t="s">
        <v>281</v>
      </c>
      <c r="B19" s="19" t="n">
        <f aca="false">INDEX('Variable Selection'!$B$10:$H$14,3,1)</f>
        <v>0.672265016910062</v>
      </c>
    </row>
    <row r="20" customFormat="false" ht="15" hidden="false" customHeight="false" outlineLevel="0" collapsed="false">
      <c r="A20" s="8" t="s">
        <v>282</v>
      </c>
      <c r="B20" s="19" t="n">
        <f aca="false">1-(1-'Variable Selection'!$B$19)*('Variable Selection'!$B$22-1)/'Variable Selection'!$B$24</f>
        <v>0.670839048890816</v>
      </c>
    </row>
    <row r="21" customFormat="false" ht="15" hidden="false" customHeight="false" outlineLevel="0" collapsed="false">
      <c r="A21" s="8" t="s">
        <v>283</v>
      </c>
      <c r="B21" s="16" t="n">
        <f aca="false">INDEX('Variable Selection'!$B$10:$H$14,3,2)</f>
        <v>63.6828026945559</v>
      </c>
    </row>
    <row r="22" customFormat="false" ht="15" hidden="false" customHeight="false" outlineLevel="0" collapsed="false">
      <c r="A22" s="8" t="s">
        <v>284</v>
      </c>
      <c r="B22" s="12" t="n">
        <f aca="false">COUNT('Analysis Data'!$C$2:$C$1387)</f>
        <v>1386</v>
      </c>
    </row>
    <row r="23" customFormat="false" ht="15" hidden="false" customHeight="false" outlineLevel="0" collapsed="false">
      <c r="A23" s="8" t="s">
        <v>285</v>
      </c>
      <c r="B23" s="12" t="n">
        <f aca="false">6</f>
        <v>6</v>
      </c>
    </row>
    <row r="24" customFormat="false" ht="15" hidden="false" customHeight="false" outlineLevel="0" collapsed="false">
      <c r="A24" s="8" t="s">
        <v>286</v>
      </c>
      <c r="B24" s="12" t="n">
        <f aca="false">INDEX('Variable Selection'!$B$10:$H$14,4,2)</f>
        <v>1379</v>
      </c>
    </row>
    <row r="25" customFormat="false" ht="15" hidden="false" customHeight="false" outlineLevel="0" collapsed="false">
      <c r="A25" s="8" t="s">
        <v>287</v>
      </c>
      <c r="B25" s="16" t="n">
        <f aca="false">INDEX('Variable Selection'!$B$10:$H$14,4,1)</f>
        <v>471.444666245557</v>
      </c>
    </row>
    <row r="26" customFormat="false" ht="15" hidden="false" customHeight="false" outlineLevel="0" collapsed="false">
      <c r="A26" s="8" t="s">
        <v>288</v>
      </c>
      <c r="B26" s="17" t="n">
        <f aca="false">_xlfn.F.DIST.RT('Variable Selection'!$B$25,'Variable Selection'!$B$23,'Variable Selection'!$B$24)</f>
        <v>0</v>
      </c>
    </row>
    <row r="27" customFormat="false" ht="15" hidden="false" customHeight="false" outlineLevel="0" collapsed="false">
      <c r="A27" s="8" t="s">
        <v>289</v>
      </c>
      <c r="B27" s="15" t="n">
        <f aca="false">INDEX('Variable Selection'!$B$10:$H$14,5,1)</f>
        <v>11471661.2506724</v>
      </c>
    </row>
    <row r="28" customFormat="false" ht="15" hidden="false" customHeight="false" outlineLevel="0" collapsed="false">
      <c r="A28" s="8" t="s">
        <v>290</v>
      </c>
      <c r="B28" s="15" t="n">
        <f aca="false">INDEX('Variable Selection'!$B$10:$H$14,5,2)</f>
        <v>5592533.61610753</v>
      </c>
    </row>
    <row r="29" customFormat="false" ht="15" hidden="false" customHeight="false" outlineLevel="0" collapsed="false">
      <c r="A29" s="8" t="s">
        <v>291</v>
      </c>
      <c r="B29" s="15" t="n">
        <f aca="false">'Variable Selection'!$B$27+'Variable Selection'!$B$28</f>
        <v>17064194.8667799</v>
      </c>
    </row>
    <row r="31" customFormat="false" ht="15" hidden="false" customHeight="false" outlineLevel="0" collapsed="false">
      <c r="A31" s="7" t="s">
        <v>292</v>
      </c>
    </row>
    <row r="32" customFormat="false" ht="15" hidden="false" customHeight="false" outlineLevel="0" collapsed="false">
      <c r="A32" s="4" t="s">
        <v>214</v>
      </c>
      <c r="B32" s="4" t="s">
        <v>274</v>
      </c>
      <c r="C32" s="4" t="s">
        <v>275</v>
      </c>
      <c r="D32" s="4" t="s">
        <v>293</v>
      </c>
      <c r="E32" s="4" t="s">
        <v>253</v>
      </c>
      <c r="F32" s="4" t="s">
        <v>294</v>
      </c>
      <c r="G32" s="4" t="s">
        <v>295</v>
      </c>
    </row>
    <row r="33" customFormat="false" ht="15" hidden="false" customHeight="false" outlineLevel="0" collapsed="false">
      <c r="A33" s="8" t="s">
        <v>273</v>
      </c>
      <c r="B33" s="13" t="n">
        <f aca="false">INDEX('Variable Selection'!$B$10:$H$14,1,7)</f>
        <v>294.189035948021</v>
      </c>
      <c r="C33" s="13" t="n">
        <f aca="false">INDEX('Variable Selection'!$B$10:$H$14,2,7)</f>
        <v>15.7870958879364</v>
      </c>
      <c r="D33" s="15" t="n">
        <f aca="false">B33/C33</f>
        <v>18.6347785581529</v>
      </c>
      <c r="E33" s="17" t="n">
        <f aca="false">_xlfn.T.DIST.2T(ABS(D33),'Variable Selection'!$B$24)</f>
        <v>2.65932337308709E-069</v>
      </c>
      <c r="F33" s="13" t="n">
        <f aca="false">B33-_xlfn.T.INV.2T(0.05,'Variable Selection'!$B$24)*C33</f>
        <v>263.219714856077</v>
      </c>
      <c r="G33" s="13" t="n">
        <f aca="false">B33+_xlfn.T.INV.2T(0.05,'Variable Selection'!$B$24)*C33</f>
        <v>325.158357039964</v>
      </c>
    </row>
    <row r="34" customFormat="false" ht="15" hidden="false" customHeight="false" outlineLevel="0" collapsed="false">
      <c r="A34" s="8" t="s">
        <v>171</v>
      </c>
      <c r="B34" s="13" t="n">
        <f aca="false">INDEX('Variable Selection'!$B$10:$H$14,1,6)</f>
        <v>-28.6091645577292</v>
      </c>
      <c r="C34" s="13" t="n">
        <f aca="false">INDEX('Variable Selection'!$B$10:$H$14,2,6)</f>
        <v>3.94471418211324</v>
      </c>
      <c r="D34" s="15" t="n">
        <f aca="false">B34/C34</f>
        <v>-7.25253167579378</v>
      </c>
      <c r="E34" s="17" t="n">
        <f aca="false">_xlfn.T.DIST.2T(ABS(D34),'Variable Selection'!$B$24)</f>
        <v>6.79648648836169E-013</v>
      </c>
      <c r="F34" s="13" t="n">
        <f aca="false">B34-_xlfn.T.INV.2T(0.05,'Variable Selection'!$B$24)*C34</f>
        <v>-36.3474541702703</v>
      </c>
      <c r="G34" s="13" t="n">
        <f aca="false">B34+_xlfn.T.INV.2T(0.05,'Variable Selection'!$B$24)*C34</f>
        <v>-20.8708749451881</v>
      </c>
    </row>
    <row r="35" customFormat="false" ht="15" hidden="false" customHeight="false" outlineLevel="0" collapsed="false">
      <c r="A35" s="8" t="s">
        <v>172</v>
      </c>
      <c r="B35" s="13" t="n">
        <f aca="false">INDEX('Variable Selection'!$B$10:$H$14,1,5)</f>
        <v>76.9512060326766</v>
      </c>
      <c r="C35" s="13" t="n">
        <f aca="false">INDEX('Variable Selection'!$B$10:$H$14,2,5)</f>
        <v>3.84080419334429</v>
      </c>
      <c r="D35" s="15" t="n">
        <f aca="false">B35/C35</f>
        <v>20.0351806962784</v>
      </c>
      <c r="E35" s="17" t="n">
        <f aca="false">_xlfn.T.DIST.2T(ABS(D35),'Variable Selection'!$B$24)</f>
        <v>1.41492837449381E-078</v>
      </c>
      <c r="F35" s="13" t="n">
        <f aca="false">B35-_xlfn.T.INV.2T(0.05,'Variable Selection'!$B$24)*C35</f>
        <v>69.4167551647463</v>
      </c>
      <c r="G35" s="13" t="n">
        <f aca="false">B35+_xlfn.T.INV.2T(0.05,'Variable Selection'!$B$24)*C35</f>
        <v>84.485656900607</v>
      </c>
    </row>
    <row r="36" customFormat="false" ht="15" hidden="false" customHeight="false" outlineLevel="0" collapsed="false">
      <c r="A36" s="8" t="s">
        <v>27</v>
      </c>
      <c r="B36" s="13" t="n">
        <f aca="false">INDEX('Variable Selection'!$B$10:$H$14,1,4)</f>
        <v>304.959715959759</v>
      </c>
      <c r="C36" s="13" t="n">
        <f aca="false">INDEX('Variable Selection'!$B$10:$H$14,2,4)</f>
        <v>9.01428021511944</v>
      </c>
      <c r="D36" s="15" t="n">
        <f aca="false">B36/C36</f>
        <v>33.8307339778785</v>
      </c>
      <c r="E36" s="17" t="n">
        <f aca="false">_xlfn.T.DIST.2T(ABS(D36),'Variable Selection'!$B$24)</f>
        <v>3.54380905340772E-183</v>
      </c>
      <c r="F36" s="13" t="n">
        <f aca="false">B36-_xlfn.T.INV.2T(0.05,'Variable Selection'!$B$24)*C36</f>
        <v>287.276530884021</v>
      </c>
      <c r="G36" s="13" t="n">
        <f aca="false">B36+_xlfn.T.INV.2T(0.05,'Variable Selection'!$B$24)*C36</f>
        <v>322.642901035496</v>
      </c>
    </row>
    <row r="37" customFormat="false" ht="15" hidden="false" customHeight="false" outlineLevel="0" collapsed="false">
      <c r="A37" s="8" t="s">
        <v>28</v>
      </c>
      <c r="B37" s="13" t="n">
        <f aca="false">INDEX('Variable Selection'!$B$10:$H$14,1,3)</f>
        <v>111.260533901598</v>
      </c>
      <c r="C37" s="13" t="n">
        <f aca="false">INDEX('Variable Selection'!$B$10:$H$14,2,3)</f>
        <v>7.40096666178312</v>
      </c>
      <c r="D37" s="15" t="n">
        <f aca="false">B37/C37</f>
        <v>15.033243491843</v>
      </c>
      <c r="E37" s="17" t="n">
        <f aca="false">_xlfn.T.DIST.2T(ABS(D37),'Variable Selection'!$B$24)</f>
        <v>2.04496555250298E-047</v>
      </c>
      <c r="F37" s="13" t="n">
        <f aca="false">B37-_xlfn.T.INV.2T(0.05,'Variable Selection'!$B$24)*C37</f>
        <v>96.7421630393123</v>
      </c>
      <c r="G37" s="13" t="n">
        <f aca="false">B37+_xlfn.T.INV.2T(0.05,'Variable Selection'!$B$24)*C37</f>
        <v>125.778904763884</v>
      </c>
    </row>
    <row r="38" customFormat="false" ht="15" hidden="false" customHeight="false" outlineLevel="0" collapsed="false">
      <c r="A38" s="8" t="s">
        <v>173</v>
      </c>
      <c r="B38" s="13" t="n">
        <f aca="false">INDEX('Variable Selection'!$B$10:$H$14,1,2)</f>
        <v>73.6630938934677</v>
      </c>
      <c r="C38" s="13" t="n">
        <f aca="false">INDEX('Variable Selection'!$B$10:$H$14,2,2)</f>
        <v>4.89125115006411</v>
      </c>
      <c r="D38" s="15" t="n">
        <f aca="false">B38/C38</f>
        <v>15.0601741013651</v>
      </c>
      <c r="E38" s="17" t="n">
        <f aca="false">_xlfn.T.DIST.2T(ABS(D38),'Variable Selection'!$B$24)</f>
        <v>1.4416497075445E-047</v>
      </c>
      <c r="F38" s="13" t="n">
        <f aca="false">B38-_xlfn.T.INV.2T(0.05,'Variable Selection'!$B$24)*C38</f>
        <v>64.0679961957699</v>
      </c>
      <c r="G38" s="13" t="n">
        <f aca="false">B38+_xlfn.T.INV.2T(0.05,'Variable Selection'!$B$24)*C38</f>
        <v>83.2581915911656</v>
      </c>
    </row>
    <row r="39" customFormat="false" ht="15" hidden="false" customHeight="false" outlineLevel="0" collapsed="false">
      <c r="A39" s="8" t="s">
        <v>174</v>
      </c>
      <c r="B39" s="13" t="n">
        <f aca="false">INDEX('Variable Selection'!$B$10:$H$14,1,1)</f>
        <v>67.7002031094325</v>
      </c>
      <c r="C39" s="13" t="n">
        <f aca="false">INDEX('Variable Selection'!$B$10:$H$14,2,1)</f>
        <v>6.53921318111385</v>
      </c>
      <c r="D39" s="15" t="n">
        <f aca="false">B39/C39</f>
        <v>10.352958564642</v>
      </c>
      <c r="E39" s="17" t="n">
        <f aca="false">_xlfn.T.DIST.2T(ABS(D39),'Variable Selection'!$B$24)</f>
        <v>3.05254288344317E-024</v>
      </c>
      <c r="F39" s="13" t="n">
        <f aca="false">B39-_xlfn.T.INV.2T(0.05,'Variable Selection'!$B$24)*C39</f>
        <v>54.8723217731739</v>
      </c>
      <c r="G39" s="13" t="n">
        <f aca="false">B39+_xlfn.T.INV.2T(0.05,'Variable Selection'!$B$24)*C39</f>
        <v>80.5280844456912</v>
      </c>
    </row>
    <row r="43" customFormat="false" ht="15" hidden="false" customHeight="false" outlineLevel="0" collapsed="false">
      <c r="A43" s="7" t="s">
        <v>306</v>
      </c>
    </row>
    <row r="44" customFormat="false" ht="15" hidden="false" customHeight="false" outlineLevel="0" collapsed="false">
      <c r="A44" s="3" t="s">
        <v>307</v>
      </c>
    </row>
    <row r="45" customFormat="false" ht="15" hidden="false" customHeight="false" outlineLevel="0" collapsed="false">
      <c r="A45" s="8" t="s">
        <v>308</v>
      </c>
      <c r="B45" s="11" t="n">
        <v>2</v>
      </c>
    </row>
    <row r="46" customFormat="false" ht="15" hidden="false" customHeight="false" outlineLevel="0" collapsed="false">
      <c r="A46" s="8" t="s">
        <v>309</v>
      </c>
      <c r="B46" s="16" t="n">
        <f aca="false">(('Full MLR'!$B$19-'Variable Selection'!$B$19)/B45)/((1-'Full MLR'!$B$19)/'Full MLR'!$B$24)</f>
        <v>0.778692143937802</v>
      </c>
    </row>
    <row r="47" customFormat="false" ht="15" hidden="false" customHeight="false" outlineLevel="0" collapsed="false">
      <c r="A47" s="8" t="s">
        <v>253</v>
      </c>
      <c r="B47" s="17" t="n">
        <f aca="false">_xlfn.F.DIST.RT(B46,B45,'Full MLR'!$B$24)</f>
        <v>0.459207947873883</v>
      </c>
    </row>
    <row r="48" customFormat="false" ht="15" hidden="false" customHeight="false" outlineLevel="0" collapsed="false">
      <c r="A48" s="8" t="s">
        <v>310</v>
      </c>
      <c r="B48" s="20" t="str">
        <f aca="false">IF(B47&gt;0.1,"Remove both","Keep")</f>
        <v>Remove both</v>
      </c>
    </row>
    <row r="51" customFormat="false" ht="15" hidden="false" customHeight="false" outlineLevel="0" collapsed="false">
      <c r="A51" s="7" t="s">
        <v>311</v>
      </c>
    </row>
    <row r="52" customFormat="false" ht="15" hidden="false" customHeight="false" outlineLevel="0" collapsed="false">
      <c r="A52" s="2" t="s">
        <v>312</v>
      </c>
    </row>
    <row r="53" customFormat="false" ht="15" hidden="false" customHeight="false" outlineLevel="0" collapsed="false">
      <c r="A53" s="4" t="s">
        <v>313</v>
      </c>
      <c r="B53" s="4" t="s">
        <v>314</v>
      </c>
      <c r="C53" s="4" t="s">
        <v>214</v>
      </c>
      <c r="D53" s="4" t="s">
        <v>309</v>
      </c>
      <c r="E53" s="4" t="s">
        <v>253</v>
      </c>
      <c r="F53" s="4" t="s">
        <v>281</v>
      </c>
      <c r="G53" s="4" t="s">
        <v>315</v>
      </c>
    </row>
    <row r="54" customFormat="false" ht="15" hidden="false" customHeight="false" outlineLevel="0" collapsed="false">
      <c r="A54" s="12" t="n">
        <v>1</v>
      </c>
      <c r="B54" s="8" t="s">
        <v>316</v>
      </c>
      <c r="C54" s="8" t="s">
        <v>27</v>
      </c>
      <c r="D54" s="15" t="n">
        <v>751.489184505251</v>
      </c>
      <c r="E54" s="17" t="n">
        <v>1.62740531537534E-132</v>
      </c>
      <c r="F54" s="18" t="n">
        <v>0.351904935861034</v>
      </c>
      <c r="G54" s="18" t="n">
        <v>0.351436659080586</v>
      </c>
    </row>
    <row r="55" customFormat="false" ht="15" hidden="false" customHeight="false" outlineLevel="0" collapsed="false">
      <c r="A55" s="12" t="n">
        <v>2</v>
      </c>
      <c r="B55" s="8" t="s">
        <v>316</v>
      </c>
      <c r="C55" s="8" t="s">
        <v>172</v>
      </c>
      <c r="D55" s="15" t="n">
        <v>514.583000813965</v>
      </c>
      <c r="E55" s="17" t="n">
        <v>4.13696464994621E-097</v>
      </c>
      <c r="F55" s="18" t="n">
        <v>0.527654140388211</v>
      </c>
      <c r="G55" s="18" t="n">
        <v>0.526971066115453</v>
      </c>
    </row>
    <row r="56" customFormat="false" ht="15" hidden="false" customHeight="false" outlineLevel="0" collapsed="false">
      <c r="A56" s="12" t="n">
        <v>3</v>
      </c>
      <c r="B56" s="8" t="s">
        <v>316</v>
      </c>
      <c r="C56" s="8" t="s">
        <v>173</v>
      </c>
      <c r="D56" s="15" t="n">
        <v>190.671081843365</v>
      </c>
      <c r="E56" s="17" t="n">
        <v>1.00416866563012E-040</v>
      </c>
      <c r="F56" s="18" t="n">
        <v>0.584921484524055</v>
      </c>
      <c r="G56" s="18" t="n">
        <v>0.584020445778449</v>
      </c>
    </row>
    <row r="57" customFormat="false" ht="15" hidden="false" customHeight="false" outlineLevel="0" collapsed="false">
      <c r="A57" s="12" t="n">
        <v>4</v>
      </c>
      <c r="B57" s="8" t="s">
        <v>316</v>
      </c>
      <c r="C57" s="8" t="s">
        <v>28</v>
      </c>
      <c r="D57" s="15" t="n">
        <v>192.769660142459</v>
      </c>
      <c r="E57" s="17" t="n">
        <v>3.99349131897122E-041</v>
      </c>
      <c r="F57" s="18" t="n">
        <v>0.635764086454436</v>
      </c>
      <c r="G57" s="18" t="n">
        <v>0.63470909467009</v>
      </c>
    </row>
    <row r="58" customFormat="false" ht="15" hidden="false" customHeight="false" outlineLevel="0" collapsed="false">
      <c r="A58" s="12" t="n">
        <v>5</v>
      </c>
      <c r="B58" s="8" t="s">
        <v>316</v>
      </c>
      <c r="C58" s="8" t="s">
        <v>174</v>
      </c>
      <c r="D58" s="15" t="n">
        <v>97.3447879774989</v>
      </c>
      <c r="E58" s="17" t="n">
        <v>3.10629989444182E-022</v>
      </c>
      <c r="F58" s="18" t="n">
        <v>0.659764217003801</v>
      </c>
      <c r="G58" s="18" t="n">
        <v>0.658531478659612</v>
      </c>
    </row>
    <row r="59" customFormat="false" ht="15" hidden="false" customHeight="false" outlineLevel="0" collapsed="false">
      <c r="A59" s="12" t="n">
        <v>6</v>
      </c>
      <c r="B59" s="8" t="s">
        <v>316</v>
      </c>
      <c r="C59" s="8" t="s">
        <v>171</v>
      </c>
      <c r="D59" s="15" t="n">
        <v>52.5992157083924</v>
      </c>
      <c r="E59" s="17" t="n">
        <v>6.79648648836099E-013</v>
      </c>
      <c r="F59" s="18" t="n">
        <v>0.672265016910062</v>
      </c>
      <c r="G59" s="18" t="n">
        <v>0.670839048890816</v>
      </c>
    </row>
    <row r="60" customFormat="false" ht="15" hidden="false" customHeight="false" outlineLevel="0" collapsed="false">
      <c r="A60" s="20" t="s">
        <v>317</v>
      </c>
    </row>
    <row r="63" customFormat="false" ht="15" hidden="false" customHeight="false" outlineLevel="0" collapsed="false">
      <c r="A63" s="2" t="s">
        <v>318</v>
      </c>
    </row>
    <row r="64" customFormat="false" ht="15" hidden="false" customHeight="false" outlineLevel="0" collapsed="false">
      <c r="A64" s="4" t="s">
        <v>313</v>
      </c>
      <c r="B64" s="4" t="s">
        <v>314</v>
      </c>
      <c r="C64" s="4" t="s">
        <v>214</v>
      </c>
      <c r="D64" s="4" t="s">
        <v>309</v>
      </c>
      <c r="E64" s="4" t="s">
        <v>253</v>
      </c>
      <c r="F64" s="4" t="s">
        <v>281</v>
      </c>
      <c r="G64" s="4" t="s">
        <v>315</v>
      </c>
    </row>
    <row r="65" customFormat="false" ht="15" hidden="false" customHeight="false" outlineLevel="0" collapsed="false">
      <c r="A65" s="12" t="n">
        <v>1</v>
      </c>
      <c r="B65" s="8" t="s">
        <v>316</v>
      </c>
      <c r="C65" s="8" t="s">
        <v>175</v>
      </c>
      <c r="D65" s="15" t="n">
        <v>1679.3225411098</v>
      </c>
      <c r="E65" s="17" t="n">
        <v>4.81252002674866E-241</v>
      </c>
      <c r="F65" s="18" t="n">
        <v>0.548202978489298</v>
      </c>
      <c r="G65" s="18" t="n">
        <v>0.547876535554681</v>
      </c>
    </row>
    <row r="66" customFormat="false" ht="15" hidden="false" customHeight="false" outlineLevel="0" collapsed="false">
      <c r="A66" s="12" t="n">
        <v>2</v>
      </c>
      <c r="B66" s="8" t="s">
        <v>316</v>
      </c>
      <c r="C66" s="8" t="s">
        <v>172</v>
      </c>
      <c r="D66" s="15" t="n">
        <v>490.020297126147</v>
      </c>
      <c r="E66" s="17" t="n">
        <v>3.44464301918228E-093</v>
      </c>
      <c r="F66" s="18" t="n">
        <v>0.666402290616919</v>
      </c>
      <c r="G66" s="18" t="n">
        <v>0.665919864428368</v>
      </c>
    </row>
    <row r="67" customFormat="false" ht="15" hidden="false" customHeight="false" outlineLevel="0" collapsed="false">
      <c r="A67" s="12" t="n">
        <v>3</v>
      </c>
      <c r="B67" s="8" t="s">
        <v>316</v>
      </c>
      <c r="C67" s="8" t="s">
        <v>173</v>
      </c>
      <c r="D67" s="15" t="n">
        <v>277.201251346637</v>
      </c>
      <c r="E67" s="17" t="n">
        <v>7.23454997438783E-057</v>
      </c>
      <c r="F67" s="18" t="n">
        <v>0.722136157989734</v>
      </c>
      <c r="G67" s="18" t="n">
        <v>0.721532980329798</v>
      </c>
    </row>
    <row r="68" customFormat="false" ht="15" hidden="false" customHeight="false" outlineLevel="0" collapsed="false">
      <c r="A68" s="12" t="n">
        <v>4</v>
      </c>
      <c r="B68" s="8" t="s">
        <v>316</v>
      </c>
      <c r="C68" s="8" t="s">
        <v>28</v>
      </c>
      <c r="D68" s="15" t="n">
        <v>278.275039591073</v>
      </c>
      <c r="E68" s="17" t="n">
        <v>4.65624183502873E-057</v>
      </c>
      <c r="F68" s="18" t="n">
        <v>0.768736371812869</v>
      </c>
      <c r="G68" s="18" t="n">
        <v>0.76806652784998</v>
      </c>
    </row>
    <row r="69" customFormat="false" ht="15" hidden="false" customHeight="false" outlineLevel="0" collapsed="false">
      <c r="A69" s="12" t="n">
        <v>5</v>
      </c>
      <c r="B69" s="8" t="s">
        <v>316</v>
      </c>
      <c r="C69" s="8" t="s">
        <v>174</v>
      </c>
      <c r="D69" s="15" t="n">
        <v>203.492505295148</v>
      </c>
      <c r="E69" s="17" t="n">
        <v>3.60471738093065E-043</v>
      </c>
      <c r="F69" s="18" t="n">
        <v>0.798455751554848</v>
      </c>
      <c r="G69" s="18" t="n">
        <v>0.797725518770627</v>
      </c>
    </row>
    <row r="70" customFormat="false" ht="15" hidden="false" customHeight="false" outlineLevel="0" collapsed="false">
      <c r="A70" s="12" t="n">
        <v>6</v>
      </c>
      <c r="B70" s="8" t="s">
        <v>316</v>
      </c>
      <c r="C70" s="8" t="s">
        <v>171</v>
      </c>
      <c r="D70" s="15" t="n">
        <v>52.5642538113041</v>
      </c>
      <c r="E70" s="17" t="n">
        <v>6.91403450099444E-013</v>
      </c>
      <c r="F70" s="18" t="n">
        <v>0.805856064185786</v>
      </c>
      <c r="G70" s="18" t="n">
        <v>0.805011348003854</v>
      </c>
    </row>
    <row r="71" customFormat="false" ht="15" hidden="false" customHeight="false" outlineLevel="0" collapsed="false">
      <c r="A71" s="20" t="s">
        <v>319</v>
      </c>
    </row>
    <row r="74" customFormat="false" ht="15" hidden="false" customHeight="false" outlineLevel="0" collapsed="false">
      <c r="A74" s="2" t="s">
        <v>320</v>
      </c>
    </row>
    <row r="75" customFormat="false" ht="15" hidden="false" customHeight="false" outlineLevel="0" collapsed="false">
      <c r="A75" s="4" t="s">
        <v>313</v>
      </c>
      <c r="B75" s="4" t="s">
        <v>314</v>
      </c>
      <c r="C75" s="4" t="s">
        <v>214</v>
      </c>
      <c r="D75" s="4" t="s">
        <v>309</v>
      </c>
      <c r="E75" s="4" t="s">
        <v>253</v>
      </c>
      <c r="F75" s="4" t="s">
        <v>281</v>
      </c>
      <c r="G75" s="4" t="s">
        <v>315</v>
      </c>
    </row>
    <row r="76" customFormat="false" ht="15" hidden="false" customHeight="false" outlineLevel="0" collapsed="false">
      <c r="A76" s="12" t="n">
        <v>1</v>
      </c>
      <c r="B76" s="8" t="s">
        <v>321</v>
      </c>
      <c r="C76" s="8" t="s">
        <v>27</v>
      </c>
      <c r="D76" s="15" t="n">
        <v>0.00147422399612955</v>
      </c>
      <c r="E76" s="17" t="n">
        <v>0.969377818988338</v>
      </c>
      <c r="F76" s="18" t="n">
        <v>0.805868188417093</v>
      </c>
      <c r="G76" s="18" t="n">
        <v>0.804740334755028</v>
      </c>
    </row>
    <row r="77" customFormat="false" ht="15" hidden="false" customHeight="false" outlineLevel="0" collapsed="false">
      <c r="A77" s="12" t="n">
        <v>2</v>
      </c>
      <c r="B77" s="8" t="s">
        <v>321</v>
      </c>
      <c r="C77" s="8" t="s">
        <v>31</v>
      </c>
      <c r="D77" s="15" t="n">
        <v>0.025360199796892</v>
      </c>
      <c r="E77" s="17" t="n">
        <v>0.873496162820776</v>
      </c>
      <c r="F77" s="18" t="n">
        <v>0.805864613092817</v>
      </c>
      <c r="G77" s="18" t="n">
        <v>0.804878439139007</v>
      </c>
    </row>
    <row r="78" customFormat="false" ht="15" hidden="false" customHeight="false" outlineLevel="0" collapsed="false">
      <c r="A78" s="12" t="n">
        <v>3</v>
      </c>
      <c r="B78" s="8" t="s">
        <v>321</v>
      </c>
      <c r="C78" s="8" t="s">
        <v>32</v>
      </c>
      <c r="D78" s="15" t="n">
        <v>0.0606813321126485</v>
      </c>
      <c r="E78" s="17" t="n">
        <v>0.805458978270346</v>
      </c>
      <c r="F78" s="18" t="n">
        <v>0.805856064185786</v>
      </c>
      <c r="G78" s="18" t="n">
        <v>0.805011348003854</v>
      </c>
    </row>
    <row r="79" customFormat="false" ht="15" hidden="false" customHeight="false" outlineLevel="0" collapsed="false">
      <c r="A79" s="20" t="s">
        <v>322</v>
      </c>
    </row>
    <row r="82" customFormat="false" ht="60" hidden="false" customHeight="true" outlineLevel="0" collapsed="false">
      <c r="A82" s="3" t="s">
        <v>323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71"/>
    <col collapsed="false" customWidth="true" hidden="false" outlineLevel="0" max="8" min="2" style="0" width="15.72"/>
    <col collapsed="false" customWidth="true" hidden="false" outlineLevel="0" max="13" min="9" style="0" width="14.72"/>
  </cols>
  <sheetData>
    <row r="1" customFormat="false" ht="17.35" hidden="false" customHeight="false" outlineLevel="0" collapsed="false">
      <c r="A1" s="1" t="s">
        <v>324</v>
      </c>
    </row>
    <row r="2" customFormat="false" ht="15" hidden="false" customHeight="false" outlineLevel="0" collapsed="false">
      <c r="A2" s="3" t="s">
        <v>325</v>
      </c>
    </row>
    <row r="4" customFormat="false" ht="15" hidden="false" customHeight="false" outlineLevel="0" collapsed="false">
      <c r="A4" s="7" t="s">
        <v>267</v>
      </c>
    </row>
    <row r="5" customFormat="false" ht="15" hidden="false" customHeight="false" outlineLevel="0" collapsed="false">
      <c r="A5" s="8" t="s">
        <v>268</v>
      </c>
      <c r="B5" s="11" t="s">
        <v>269</v>
      </c>
    </row>
    <row r="6" customFormat="false" ht="15" hidden="false" customHeight="false" outlineLevel="0" collapsed="false">
      <c r="A6" s="8" t="s">
        <v>270</v>
      </c>
      <c r="B6" s="11" t="s">
        <v>326</v>
      </c>
    </row>
    <row r="8" customFormat="false" ht="15" hidden="false" customHeight="false" outlineLevel="0" collapsed="false">
      <c r="A8" s="7" t="s">
        <v>272</v>
      </c>
    </row>
    <row r="9" customFormat="false" ht="15" hidden="false" customHeight="false" outlineLevel="0" collapsed="false">
      <c r="B9" s="4" t="s">
        <v>175</v>
      </c>
      <c r="C9" s="4" t="s">
        <v>32</v>
      </c>
      <c r="D9" s="4" t="s">
        <v>31</v>
      </c>
      <c r="E9" s="4" t="s">
        <v>174</v>
      </c>
      <c r="F9" s="4" t="s">
        <v>173</v>
      </c>
      <c r="G9" s="4" t="s">
        <v>28</v>
      </c>
      <c r="H9" s="4" t="s">
        <v>27</v>
      </c>
      <c r="I9" s="4" t="s">
        <v>172</v>
      </c>
      <c r="J9" s="4" t="s">
        <v>171</v>
      </c>
      <c r="K9" s="4" t="s">
        <v>273</v>
      </c>
    </row>
    <row r="10" customFormat="false" ht="15" hidden="false" customHeight="false" outlineLevel="0" collapsed="false">
      <c r="A10" s="8" t="s">
        <v>274</v>
      </c>
      <c r="B10" s="18" t="n">
        <f aca="false" t="array" ref="B10:K14">IFERROR(LINEST('Analysis Data'!$C$2:$C$1387,'Analysis Data'!$D$2:$L$1387,TRUE(),TRUE()),"")</f>
        <v>454.0639742913</v>
      </c>
      <c r="C10" s="18" t="n">
        <v>0.216253044230344</v>
      </c>
      <c r="D10" s="18" t="n">
        <v>0.213315202844021</v>
      </c>
      <c r="E10" s="18" t="n">
        <v>74.5844005263732</v>
      </c>
      <c r="F10" s="18" t="n">
        <v>73.387811765057</v>
      </c>
      <c r="G10" s="18" t="n">
        <v>106.766532448241</v>
      </c>
      <c r="H10" s="18" t="n">
        <v>0.46542443407822</v>
      </c>
      <c r="I10" s="18" t="n">
        <v>59.3753051919969</v>
      </c>
      <c r="J10" s="18" t="n">
        <v>-22.0874163104353</v>
      </c>
      <c r="K10" s="18" t="n">
        <v>275.85607962131</v>
      </c>
    </row>
    <row r="11" customFormat="false" ht="15" hidden="false" customHeight="false" outlineLevel="0" collapsed="false">
      <c r="A11" s="8" t="s">
        <v>275</v>
      </c>
      <c r="B11" s="18" t="n">
        <v>14.7757601839064</v>
      </c>
      <c r="C11" s="18" t="n">
        <v>0.836048500458314</v>
      </c>
      <c r="D11" s="18" t="n">
        <v>1.36971950588321</v>
      </c>
      <c r="E11" s="18" t="n">
        <v>5.04479716971515</v>
      </c>
      <c r="F11" s="18" t="n">
        <v>3.77117728414427</v>
      </c>
      <c r="G11" s="18" t="n">
        <v>5.70523267726404</v>
      </c>
      <c r="H11" s="18" t="n">
        <v>12.1218091295109</v>
      </c>
      <c r="I11" s="18" t="n">
        <v>3.03445821878989</v>
      </c>
      <c r="J11" s="18" t="n">
        <v>3.05177542064046</v>
      </c>
      <c r="K11" s="18" t="n">
        <v>12.4884339577627</v>
      </c>
    </row>
    <row r="12" customFormat="false" ht="15" hidden="false" customHeight="false" outlineLevel="0" collapsed="false">
      <c r="A12" s="8" t="s">
        <v>276</v>
      </c>
      <c r="B12" s="18" t="n">
        <v>0.805868396406532</v>
      </c>
      <c r="C12" s="18" t="n">
        <v>49.0661299836184</v>
      </c>
      <c r="D12" s="18" t="str">
        <v/>
      </c>
      <c r="E12" s="18" t="str">
        <v/>
      </c>
      <c r="F12" s="18" t="str">
        <v/>
      </c>
      <c r="G12" s="18" t="str">
        <v/>
      </c>
      <c r="H12" s="18" t="str">
        <v/>
      </c>
      <c r="I12" s="18" t="str">
        <v/>
      </c>
      <c r="J12" s="18" t="str">
        <v/>
      </c>
      <c r="K12" s="18" t="str">
        <v/>
      </c>
    </row>
    <row r="13" customFormat="false" ht="15" hidden="false" customHeight="false" outlineLevel="0" collapsed="false">
      <c r="A13" s="8" t="s">
        <v>277</v>
      </c>
      <c r="B13" s="18" t="n">
        <v>634.663915800525</v>
      </c>
      <c r="C13" s="18" t="n">
        <v>1376</v>
      </c>
      <c r="D13" s="18" t="str">
        <v/>
      </c>
      <c r="E13" s="18" t="str">
        <v/>
      </c>
      <c r="F13" s="18" t="str">
        <v/>
      </c>
      <c r="G13" s="18" t="str">
        <v/>
      </c>
      <c r="H13" s="18" t="str">
        <v/>
      </c>
      <c r="I13" s="18" t="str">
        <v/>
      </c>
      <c r="J13" s="18" t="str">
        <v/>
      </c>
      <c r="K13" s="18" t="str">
        <v/>
      </c>
    </row>
    <row r="14" customFormat="false" ht="15" hidden="false" customHeight="false" outlineLevel="0" collapsed="false">
      <c r="A14" s="8" t="s">
        <v>278</v>
      </c>
      <c r="B14" s="18" t="n">
        <v>13751495.3532605</v>
      </c>
      <c r="C14" s="18" t="n">
        <v>3312699.51351941</v>
      </c>
      <c r="D14" s="18" t="str">
        <v/>
      </c>
      <c r="E14" s="18" t="str">
        <v/>
      </c>
      <c r="F14" s="18" t="str">
        <v/>
      </c>
      <c r="G14" s="18" t="str">
        <v/>
      </c>
      <c r="H14" s="18" t="str">
        <v/>
      </c>
      <c r="I14" s="18" t="str">
        <v/>
      </c>
      <c r="J14" s="18" t="str">
        <v/>
      </c>
      <c r="K14" s="18" t="str">
        <v/>
      </c>
    </row>
    <row r="17" customFormat="false" ht="15" hidden="false" customHeight="false" outlineLevel="0" collapsed="false">
      <c r="A17" s="7" t="s">
        <v>279</v>
      </c>
    </row>
    <row r="18" customFormat="false" ht="15" hidden="false" customHeight="false" outlineLevel="0" collapsed="false">
      <c r="A18" s="8" t="s">
        <v>280</v>
      </c>
      <c r="B18" s="18" t="n">
        <f aca="false">SQRT(INDEX('Interaction Analysis'!$B$10:$K$14,3,1))</f>
        <v>0.89770173020137</v>
      </c>
    </row>
    <row r="19" customFormat="false" ht="15" hidden="false" customHeight="false" outlineLevel="0" collapsed="false">
      <c r="A19" s="8" t="s">
        <v>281</v>
      </c>
      <c r="B19" s="19" t="n">
        <f aca="false">INDEX('Interaction Analysis'!$B$10:$K$14,3,1)</f>
        <v>0.805868396406532</v>
      </c>
    </row>
    <row r="20" customFormat="false" ht="15" hidden="false" customHeight="false" outlineLevel="0" collapsed="false">
      <c r="A20" s="8" t="s">
        <v>282</v>
      </c>
      <c r="B20" s="19" t="n">
        <f aca="false">1-(1-'Interaction Analysis'!$B$19)*('Interaction Analysis'!$B$22-1)/'Interaction Analysis'!$B$24</f>
        <v>0.804598640278377</v>
      </c>
    </row>
    <row r="21" customFormat="false" ht="15" hidden="false" customHeight="false" outlineLevel="0" collapsed="false">
      <c r="A21" s="8" t="s">
        <v>283</v>
      </c>
      <c r="B21" s="16" t="n">
        <f aca="false">INDEX('Interaction Analysis'!$B$10:$K$14,3,2)</f>
        <v>49.0661299836184</v>
      </c>
    </row>
    <row r="22" customFormat="false" ht="15" hidden="false" customHeight="false" outlineLevel="0" collapsed="false">
      <c r="A22" s="8" t="s">
        <v>284</v>
      </c>
      <c r="B22" s="12" t="n">
        <f aca="false">COUNT('Analysis Data'!$C$2:$C$1387)</f>
        <v>1386</v>
      </c>
    </row>
    <row r="23" customFormat="false" ht="15" hidden="false" customHeight="false" outlineLevel="0" collapsed="false">
      <c r="A23" s="8" t="s">
        <v>285</v>
      </c>
      <c r="B23" s="12" t="n">
        <f aca="false">9</f>
        <v>9</v>
      </c>
    </row>
    <row r="24" customFormat="false" ht="15" hidden="false" customHeight="false" outlineLevel="0" collapsed="false">
      <c r="A24" s="8" t="s">
        <v>286</v>
      </c>
      <c r="B24" s="12" t="n">
        <f aca="false">INDEX('Interaction Analysis'!$B$10:$K$14,4,2)</f>
        <v>1376</v>
      </c>
    </row>
    <row r="25" customFormat="false" ht="15" hidden="false" customHeight="false" outlineLevel="0" collapsed="false">
      <c r="A25" s="8" t="s">
        <v>287</v>
      </c>
      <c r="B25" s="16" t="n">
        <f aca="false">INDEX('Interaction Analysis'!$B$10:$K$14,4,1)</f>
        <v>634.663915800525</v>
      </c>
    </row>
    <row r="26" customFormat="false" ht="15" hidden="false" customHeight="false" outlineLevel="0" collapsed="false">
      <c r="A26" s="8" t="s">
        <v>288</v>
      </c>
      <c r="B26" s="17" t="n">
        <f aca="false">_xlfn.F.DIST.RT('Interaction Analysis'!$B$25,'Interaction Analysis'!$B$23,'Interaction Analysis'!$B$24)</f>
        <v>0</v>
      </c>
    </row>
    <row r="27" customFormat="false" ht="15" hidden="false" customHeight="false" outlineLevel="0" collapsed="false">
      <c r="A27" s="8" t="s">
        <v>289</v>
      </c>
      <c r="B27" s="15" t="n">
        <f aca="false">INDEX('Interaction Analysis'!$B$10:$K$14,5,1)</f>
        <v>13751495.3532605</v>
      </c>
    </row>
    <row r="28" customFormat="false" ht="15" hidden="false" customHeight="false" outlineLevel="0" collapsed="false">
      <c r="A28" s="8" t="s">
        <v>290</v>
      </c>
      <c r="B28" s="15" t="n">
        <f aca="false">INDEX('Interaction Analysis'!$B$10:$K$14,5,2)</f>
        <v>3312699.51351941</v>
      </c>
    </row>
    <row r="29" customFormat="false" ht="15" hidden="false" customHeight="false" outlineLevel="0" collapsed="false">
      <c r="A29" s="8" t="s">
        <v>291</v>
      </c>
      <c r="B29" s="15" t="n">
        <f aca="false">'Interaction Analysis'!$B$27+'Interaction Analysis'!$B$28</f>
        <v>17064194.8667799</v>
      </c>
    </row>
    <row r="31" customFormat="false" ht="15" hidden="false" customHeight="false" outlineLevel="0" collapsed="false">
      <c r="A31" s="7" t="s">
        <v>292</v>
      </c>
    </row>
    <row r="32" customFormat="false" ht="15" hidden="false" customHeight="false" outlineLevel="0" collapsed="false">
      <c r="A32" s="4" t="s">
        <v>214</v>
      </c>
      <c r="B32" s="4" t="s">
        <v>274</v>
      </c>
      <c r="C32" s="4" t="s">
        <v>275</v>
      </c>
      <c r="D32" s="4" t="s">
        <v>293</v>
      </c>
      <c r="E32" s="4" t="s">
        <v>253</v>
      </c>
      <c r="F32" s="4" t="s">
        <v>294</v>
      </c>
      <c r="G32" s="4" t="s">
        <v>295</v>
      </c>
    </row>
    <row r="33" customFormat="false" ht="15" hidden="false" customHeight="false" outlineLevel="0" collapsed="false">
      <c r="A33" s="8" t="s">
        <v>273</v>
      </c>
      <c r="B33" s="13" t="n">
        <f aca="false">INDEX('Interaction Analysis'!$B$10:$K$14,1,10)</f>
        <v>275.85607962131</v>
      </c>
      <c r="C33" s="13" t="n">
        <f aca="false">INDEX('Interaction Analysis'!$B$10:$K$14,2,10)</f>
        <v>12.4884339577627</v>
      </c>
      <c r="D33" s="15" t="n">
        <f aca="false">B33/C33</f>
        <v>22.0889248847604</v>
      </c>
      <c r="E33" s="17" t="n">
        <f aca="false">_xlfn.T.DIST.2T(ABS(D33),'Interaction Analysis'!$B$24)</f>
        <v>8.67225520734781E-093</v>
      </c>
      <c r="F33" s="13" t="n">
        <f aca="false">B33-_xlfn.T.INV.2T(0.05,'Interaction Analysis'!$B$24)*C33</f>
        <v>251.357649722939</v>
      </c>
      <c r="G33" s="13" t="n">
        <f aca="false">B33+_xlfn.T.INV.2T(0.05,'Interaction Analysis'!$B$24)*C33</f>
        <v>300.354509519682</v>
      </c>
    </row>
    <row r="34" customFormat="false" ht="15" hidden="false" customHeight="false" outlineLevel="0" collapsed="false">
      <c r="A34" s="8" t="s">
        <v>171</v>
      </c>
      <c r="B34" s="13" t="n">
        <f aca="false">INDEX('Interaction Analysis'!$B$10:$K$14,1,9)</f>
        <v>-22.0874163104353</v>
      </c>
      <c r="C34" s="13" t="n">
        <f aca="false">INDEX('Interaction Analysis'!$B$10:$K$14,2,9)</f>
        <v>3.05177542064046</v>
      </c>
      <c r="D34" s="15" t="n">
        <f aca="false">B34/C34</f>
        <v>-7.23756281705681</v>
      </c>
      <c r="E34" s="17" t="n">
        <f aca="false">_xlfn.T.DIST.2T(ABS(D34),'Interaction Analysis'!$B$24)</f>
        <v>7.56754580321107E-013</v>
      </c>
      <c r="F34" s="13" t="n">
        <f aca="false">B34-_xlfn.T.INV.2T(0.05,'Interaction Analysis'!$B$24)*C34</f>
        <v>-28.0740521417166</v>
      </c>
      <c r="G34" s="13" t="n">
        <f aca="false">B34+_xlfn.T.INV.2T(0.05,'Interaction Analysis'!$B$24)*C34</f>
        <v>-16.1007804791539</v>
      </c>
    </row>
    <row r="35" customFormat="false" ht="15" hidden="false" customHeight="false" outlineLevel="0" collapsed="false">
      <c r="A35" s="8" t="s">
        <v>172</v>
      </c>
      <c r="B35" s="13" t="n">
        <f aca="false">INDEX('Interaction Analysis'!$B$10:$K$14,1,8)</f>
        <v>59.3753051919969</v>
      </c>
      <c r="C35" s="13" t="n">
        <f aca="false">INDEX('Interaction Analysis'!$B$10:$K$14,2,8)</f>
        <v>3.03445821878989</v>
      </c>
      <c r="D35" s="15" t="n">
        <f aca="false">B35/C35</f>
        <v>19.5670201765622</v>
      </c>
      <c r="E35" s="17" t="n">
        <f aca="false">_xlfn.T.DIST.2T(ABS(D35),'Interaction Analysis'!$B$24)</f>
        <v>2.04870458041998E-075</v>
      </c>
      <c r="F35" s="13" t="n">
        <f aca="false">B35-_xlfn.T.INV.2T(0.05,'Interaction Analysis'!$B$24)*C35</f>
        <v>53.4226403339382</v>
      </c>
      <c r="G35" s="13" t="n">
        <f aca="false">B35+_xlfn.T.INV.2T(0.05,'Interaction Analysis'!$B$24)*C35</f>
        <v>65.3279700500555</v>
      </c>
    </row>
    <row r="36" customFormat="false" ht="15" hidden="false" customHeight="false" outlineLevel="0" collapsed="false">
      <c r="A36" s="8" t="s">
        <v>27</v>
      </c>
      <c r="B36" s="13" t="n">
        <f aca="false">INDEX('Interaction Analysis'!$B$10:$K$14,1,7)</f>
        <v>0.46542443407822</v>
      </c>
      <c r="C36" s="13" t="n">
        <f aca="false">INDEX('Interaction Analysis'!$B$10:$K$14,2,7)</f>
        <v>12.1218091295109</v>
      </c>
      <c r="D36" s="15" t="n">
        <f aca="false">B36/C36</f>
        <v>0.03839562470466</v>
      </c>
      <c r="E36" s="17" t="n">
        <f aca="false">_xlfn.T.DIST.2T(ABS(D36),'Interaction Analysis'!$B$24)</f>
        <v>0.969377818985718</v>
      </c>
      <c r="F36" s="13" t="n">
        <f aca="false">B36-_xlfn.T.INV.2T(0.05,'Interaction Analysis'!$B$24)*C36</f>
        <v>-23.3138013843975</v>
      </c>
      <c r="G36" s="13" t="n">
        <f aca="false">B36+_xlfn.T.INV.2T(0.05,'Interaction Analysis'!$B$24)*C36</f>
        <v>24.2446502525539</v>
      </c>
    </row>
    <row r="37" customFormat="false" ht="15" hidden="false" customHeight="false" outlineLevel="0" collapsed="false">
      <c r="A37" s="8" t="s">
        <v>28</v>
      </c>
      <c r="B37" s="13" t="n">
        <f aca="false">INDEX('Interaction Analysis'!$B$10:$K$14,1,6)</f>
        <v>106.766532448241</v>
      </c>
      <c r="C37" s="13" t="n">
        <f aca="false">INDEX('Interaction Analysis'!$B$10:$K$14,2,6)</f>
        <v>5.70523267726404</v>
      </c>
      <c r="D37" s="15" t="n">
        <f aca="false">B37/C37</f>
        <v>18.7137910910658</v>
      </c>
      <c r="E37" s="17" t="n">
        <f aca="false">_xlfn.T.DIST.2T(ABS(D37),'Interaction Analysis'!$B$24)</f>
        <v>8.46193231962786E-070</v>
      </c>
      <c r="F37" s="13" t="n">
        <f aca="false">B37-_xlfn.T.INV.2T(0.05,'Interaction Analysis'!$B$24)*C37</f>
        <v>95.5746373498996</v>
      </c>
      <c r="G37" s="13" t="n">
        <f aca="false">B37+_xlfn.T.INV.2T(0.05,'Interaction Analysis'!$B$24)*C37</f>
        <v>117.958427546583</v>
      </c>
    </row>
    <row r="38" customFormat="false" ht="15" hidden="false" customHeight="false" outlineLevel="0" collapsed="false">
      <c r="A38" s="8" t="s">
        <v>173</v>
      </c>
      <c r="B38" s="13" t="n">
        <f aca="false">INDEX('Interaction Analysis'!$B$10:$K$14,1,5)</f>
        <v>73.387811765057</v>
      </c>
      <c r="C38" s="13" t="n">
        <f aca="false">INDEX('Interaction Analysis'!$B$10:$K$14,2,5)</f>
        <v>3.77117728414427</v>
      </c>
      <c r="D38" s="15" t="n">
        <f aca="false">B38/C38</f>
        <v>19.4601860998719</v>
      </c>
      <c r="E38" s="17" t="n">
        <f aca="false">_xlfn.T.DIST.2T(ABS(D38),'Interaction Analysis'!$B$24)</f>
        <v>1.05309931354283E-074</v>
      </c>
      <c r="F38" s="13" t="n">
        <f aca="false">B38-_xlfn.T.INV.2T(0.05,'Interaction Analysis'!$B$24)*C38</f>
        <v>65.9899328442568</v>
      </c>
      <c r="G38" s="13" t="n">
        <f aca="false">B38+_xlfn.T.INV.2T(0.05,'Interaction Analysis'!$B$24)*C38</f>
        <v>80.7856906858573</v>
      </c>
    </row>
    <row r="39" customFormat="false" ht="15" hidden="false" customHeight="false" outlineLevel="0" collapsed="false">
      <c r="A39" s="8" t="s">
        <v>174</v>
      </c>
      <c r="B39" s="13" t="n">
        <f aca="false">INDEX('Interaction Analysis'!$B$10:$K$14,1,4)</f>
        <v>74.5844005263732</v>
      </c>
      <c r="C39" s="13" t="n">
        <f aca="false">INDEX('Interaction Analysis'!$B$10:$K$14,2,4)</f>
        <v>5.04479716971515</v>
      </c>
      <c r="D39" s="15" t="n">
        <f aca="false">B39/C39</f>
        <v>14.784420070269</v>
      </c>
      <c r="E39" s="17" t="n">
        <f aca="false">_xlfn.T.DIST.2T(ABS(D39),'Interaction Analysis'!$B$24)</f>
        <v>5.1416343775656E-046</v>
      </c>
      <c r="F39" s="13" t="n">
        <f aca="false">B39-_xlfn.T.INV.2T(0.05,'Interaction Analysis'!$B$24)*C39</f>
        <v>64.688074835597</v>
      </c>
      <c r="G39" s="13" t="n">
        <f aca="false">B39+_xlfn.T.INV.2T(0.05,'Interaction Analysis'!$B$24)*C39</f>
        <v>84.4807262171494</v>
      </c>
    </row>
    <row r="40" customFormat="false" ht="15" hidden="false" customHeight="false" outlineLevel="0" collapsed="false">
      <c r="A40" s="8" t="s">
        <v>31</v>
      </c>
      <c r="B40" s="13" t="n">
        <f aca="false">INDEX('Interaction Analysis'!$B$10:$K$14,1,3)</f>
        <v>0.213315202844021</v>
      </c>
      <c r="C40" s="13" t="n">
        <f aca="false">INDEX('Interaction Analysis'!$B$10:$K$14,2,3)</f>
        <v>1.36971950588321</v>
      </c>
      <c r="D40" s="15" t="n">
        <f aca="false">B40/C40</f>
        <v>0.15573641313261</v>
      </c>
      <c r="E40" s="17" t="n">
        <f aca="false">_xlfn.T.DIST.2T(ABS(D40),'Interaction Analysis'!$B$24)</f>
        <v>0.876263636784845</v>
      </c>
      <c r="F40" s="13" t="n">
        <f aca="false">B40-_xlfn.T.INV.2T(0.05,'Interaction Analysis'!$B$24)*C40</f>
        <v>-2.47364918426822</v>
      </c>
      <c r="G40" s="13" t="n">
        <f aca="false">B40+_xlfn.T.INV.2T(0.05,'Interaction Analysis'!$B$24)*C40</f>
        <v>2.90027958995626</v>
      </c>
    </row>
    <row r="41" customFormat="false" ht="15" hidden="false" customHeight="false" outlineLevel="0" collapsed="false">
      <c r="A41" s="8" t="s">
        <v>32</v>
      </c>
      <c r="B41" s="13" t="n">
        <f aca="false">INDEX('Interaction Analysis'!$B$10:$K$14,1,2)</f>
        <v>0.216253044230344</v>
      </c>
      <c r="C41" s="13" t="n">
        <f aca="false">INDEX('Interaction Analysis'!$B$10:$K$14,2,2)</f>
        <v>0.836048500458314</v>
      </c>
      <c r="D41" s="15" t="n">
        <f aca="false">B41/C41</f>
        <v>0.25866088404177</v>
      </c>
      <c r="E41" s="17" t="n">
        <f aca="false">_xlfn.T.DIST.2T(ABS(D41),'Interaction Analysis'!$B$24)</f>
        <v>0.795935588162491</v>
      </c>
      <c r="F41" s="13" t="n">
        <f aca="false">B41-_xlfn.T.INV.2T(0.05,'Interaction Analysis'!$B$24)*C41</f>
        <v>-1.42381452944531</v>
      </c>
      <c r="G41" s="13" t="n">
        <f aca="false">B41+_xlfn.T.INV.2T(0.05,'Interaction Analysis'!$B$24)*C41</f>
        <v>1.856320617906</v>
      </c>
    </row>
    <row r="42" customFormat="false" ht="15" hidden="false" customHeight="false" outlineLevel="0" collapsed="false">
      <c r="A42" s="8" t="s">
        <v>175</v>
      </c>
      <c r="B42" s="13" t="n">
        <f aca="false">INDEX('Interaction Analysis'!$B$10:$K$14,1,1)</f>
        <v>454.0639742913</v>
      </c>
      <c r="C42" s="13" t="n">
        <f aca="false">INDEX('Interaction Analysis'!$B$10:$K$14,2,1)</f>
        <v>14.7757601839064</v>
      </c>
      <c r="D42" s="15" t="n">
        <f aca="false">B42/C42</f>
        <v>30.7303291769626</v>
      </c>
      <c r="E42" s="17" t="n">
        <f aca="false">_xlfn.T.DIST.2T(ABS(D42),'Interaction Analysis'!$B$24)</f>
        <v>2.48642908695778E-158</v>
      </c>
      <c r="F42" s="13" t="n">
        <f aca="false">B42-_xlfn.T.INV.2T(0.05,'Interaction Analysis'!$B$24)*C42</f>
        <v>425.078520527854</v>
      </c>
      <c r="G42" s="13" t="n">
        <f aca="false">B42+_xlfn.T.INV.2T(0.05,'Interaction Analysis'!$B$24)*C42</f>
        <v>483.049428054746</v>
      </c>
    </row>
    <row r="46" customFormat="false" ht="17.35" hidden="false" customHeight="false" outlineLevel="0" collapsed="false">
      <c r="A46" s="1" t="s">
        <v>327</v>
      </c>
    </row>
    <row r="47" customFormat="false" ht="15" hidden="false" customHeight="false" outlineLevel="0" collapsed="false">
      <c r="A47" s="3" t="s">
        <v>328</v>
      </c>
    </row>
    <row r="49" customFormat="false" ht="15" hidden="false" customHeight="false" outlineLevel="0" collapsed="false">
      <c r="A49" s="7" t="s">
        <v>267</v>
      </c>
    </row>
    <row r="50" customFormat="false" ht="15" hidden="false" customHeight="false" outlineLevel="0" collapsed="false">
      <c r="A50" s="8" t="s">
        <v>268</v>
      </c>
      <c r="B50" s="11" t="s">
        <v>269</v>
      </c>
    </row>
    <row r="51" customFormat="false" ht="15" hidden="false" customHeight="false" outlineLevel="0" collapsed="false">
      <c r="A51" s="8" t="s">
        <v>270</v>
      </c>
      <c r="B51" s="11" t="s">
        <v>329</v>
      </c>
    </row>
    <row r="53" customFormat="false" ht="15" hidden="false" customHeight="false" outlineLevel="0" collapsed="false">
      <c r="A53" s="7" t="s">
        <v>272</v>
      </c>
    </row>
    <row r="54" customFormat="false" ht="15" hidden="false" customHeight="false" outlineLevel="0" collapsed="false">
      <c r="B54" s="4" t="s">
        <v>175</v>
      </c>
      <c r="C54" s="4" t="s">
        <v>174</v>
      </c>
      <c r="D54" s="4" t="s">
        <v>173</v>
      </c>
      <c r="E54" s="4" t="s">
        <v>28</v>
      </c>
      <c r="F54" s="4" t="s">
        <v>172</v>
      </c>
      <c r="G54" s="4" t="s">
        <v>171</v>
      </c>
      <c r="H54" s="4" t="s">
        <v>273</v>
      </c>
    </row>
    <row r="55" customFormat="false" ht="15" hidden="false" customHeight="false" outlineLevel="0" collapsed="false">
      <c r="A55" s="8" t="s">
        <v>274</v>
      </c>
      <c r="B55" s="18" t="n">
        <f aca="false" t="array" ref="B55:H59">IFERROR(LINEST('Analysis Data'!$C$2:$C$1387,'Analysis Data'!$AC$2:$AH$1387,TRUE(),TRUE()),"")</f>
        <v>454.422840810248</v>
      </c>
      <c r="C55" s="18" t="n">
        <v>74.5613741954927</v>
      </c>
      <c r="D55" s="18" t="n">
        <v>73.3773523328002</v>
      </c>
      <c r="E55" s="18" t="n">
        <v>106.758708100185</v>
      </c>
      <c r="F55" s="18" t="n">
        <v>59.4419597216005</v>
      </c>
      <c r="G55" s="18" t="n">
        <v>-22.0647870909861</v>
      </c>
      <c r="H55" s="18" t="n">
        <v>276.583338562208</v>
      </c>
    </row>
    <row r="56" customFormat="false" ht="15" hidden="false" customHeight="false" outlineLevel="0" collapsed="false">
      <c r="A56" s="8" t="s">
        <v>275</v>
      </c>
      <c r="B56" s="18" t="n">
        <v>8.46625942663008</v>
      </c>
      <c r="C56" s="18" t="n">
        <v>5.03457267882571</v>
      </c>
      <c r="D56" s="18" t="n">
        <v>3.76175055779826</v>
      </c>
      <c r="E56" s="18" t="n">
        <v>5.69692736032828</v>
      </c>
      <c r="F56" s="18" t="n">
        <v>2.9853900193934</v>
      </c>
      <c r="G56" s="18" t="n">
        <v>3.04336813669802</v>
      </c>
      <c r="H56" s="18" t="n">
        <v>12.1626816847445</v>
      </c>
    </row>
    <row r="57" customFormat="false" ht="15" hidden="false" customHeight="false" outlineLevel="0" collapsed="false">
      <c r="A57" s="8" t="s">
        <v>276</v>
      </c>
      <c r="B57" s="18" t="n">
        <v>0.805856064185786</v>
      </c>
      <c r="C57" s="18" t="n">
        <v>49.0142862432696</v>
      </c>
      <c r="D57" s="18" t="str">
        <v/>
      </c>
      <c r="E57" s="18" t="str">
        <v/>
      </c>
      <c r="F57" s="18" t="str">
        <v/>
      </c>
      <c r="G57" s="18" t="str">
        <v/>
      </c>
      <c r="H57" s="18" t="str">
        <v/>
      </c>
    </row>
    <row r="58" customFormat="false" ht="15" hidden="false" customHeight="false" outlineLevel="0" collapsed="false">
      <c r="A58" s="8" t="s">
        <v>277</v>
      </c>
      <c r="B58" s="18" t="n">
        <v>953.996243261182</v>
      </c>
      <c r="C58" s="18" t="n">
        <v>1379</v>
      </c>
      <c r="D58" s="18" t="str">
        <v/>
      </c>
      <c r="E58" s="18" t="str">
        <v/>
      </c>
      <c r="F58" s="18" t="str">
        <v/>
      </c>
      <c r="G58" s="18" t="str">
        <v/>
      </c>
      <c r="H58" s="18" t="str">
        <v/>
      </c>
    </row>
    <row r="59" customFormat="false" ht="15" hidden="false" customHeight="false" outlineLevel="0" collapsed="false">
      <c r="A59" s="8" t="s">
        <v>278</v>
      </c>
      <c r="B59" s="18" t="n">
        <v>13751284.9138426</v>
      </c>
      <c r="C59" s="18" t="n">
        <v>3312909.95293736</v>
      </c>
      <c r="D59" s="18" t="str">
        <v/>
      </c>
      <c r="E59" s="18" t="str">
        <v/>
      </c>
      <c r="F59" s="18" t="str">
        <v/>
      </c>
      <c r="G59" s="18" t="str">
        <v/>
      </c>
      <c r="H59" s="18" t="str">
        <v/>
      </c>
    </row>
    <row r="62" customFormat="false" ht="15" hidden="false" customHeight="false" outlineLevel="0" collapsed="false">
      <c r="A62" s="7" t="s">
        <v>279</v>
      </c>
    </row>
    <row r="63" customFormat="false" ht="15" hidden="false" customHeight="false" outlineLevel="0" collapsed="false">
      <c r="A63" s="8" t="s">
        <v>280</v>
      </c>
      <c r="B63" s="18" t="n">
        <f aca="false">SQRT(INDEX('Interaction Analysis'!$B$55:$H$59,3,1))</f>
        <v>0.897694861401014</v>
      </c>
    </row>
    <row r="64" customFormat="false" ht="15" hidden="false" customHeight="false" outlineLevel="0" collapsed="false">
      <c r="A64" s="8" t="s">
        <v>281</v>
      </c>
      <c r="B64" s="19" t="n">
        <f aca="false">INDEX('Interaction Analysis'!$B$55:$H$59,3,1)</f>
        <v>0.805856064185786</v>
      </c>
    </row>
    <row r="65" customFormat="false" ht="15" hidden="false" customHeight="false" outlineLevel="0" collapsed="false">
      <c r="A65" s="8" t="s">
        <v>282</v>
      </c>
      <c r="B65" s="19" t="n">
        <f aca="false">1-(1-'Interaction Analysis'!$B$64)*('Interaction Analysis'!$B$67-1)/'Interaction Analysis'!$B$69</f>
        <v>0.805011348003853</v>
      </c>
    </row>
    <row r="66" customFormat="false" ht="15" hidden="false" customHeight="false" outlineLevel="0" collapsed="false">
      <c r="A66" s="8" t="s">
        <v>283</v>
      </c>
      <c r="B66" s="16" t="n">
        <f aca="false">INDEX('Interaction Analysis'!$B$55:$H$59,3,2)</f>
        <v>49.0142862432696</v>
      </c>
    </row>
    <row r="67" customFormat="false" ht="15" hidden="false" customHeight="false" outlineLevel="0" collapsed="false">
      <c r="A67" s="8" t="s">
        <v>284</v>
      </c>
      <c r="B67" s="12" t="n">
        <f aca="false">COUNT('Analysis Data'!$C$2:$C$1387)</f>
        <v>1386</v>
      </c>
    </row>
    <row r="68" customFormat="false" ht="15" hidden="false" customHeight="false" outlineLevel="0" collapsed="false">
      <c r="A68" s="8" t="s">
        <v>285</v>
      </c>
      <c r="B68" s="12" t="n">
        <f aca="false">6</f>
        <v>6</v>
      </c>
    </row>
    <row r="69" customFormat="false" ht="15" hidden="false" customHeight="false" outlineLevel="0" collapsed="false">
      <c r="A69" s="8" t="s">
        <v>286</v>
      </c>
      <c r="B69" s="12" t="n">
        <f aca="false">INDEX('Interaction Analysis'!$B$55:$H$59,4,2)</f>
        <v>1379</v>
      </c>
    </row>
    <row r="70" customFormat="false" ht="15" hidden="false" customHeight="false" outlineLevel="0" collapsed="false">
      <c r="A70" s="8" t="s">
        <v>287</v>
      </c>
      <c r="B70" s="16" t="n">
        <f aca="false">INDEX('Interaction Analysis'!$B$55:$H$59,4,1)</f>
        <v>953.996243261182</v>
      </c>
    </row>
    <row r="71" customFormat="false" ht="15" hidden="false" customHeight="false" outlineLevel="0" collapsed="false">
      <c r="A71" s="8" t="s">
        <v>288</v>
      </c>
      <c r="B71" s="17" t="n">
        <f aca="false">_xlfn.F.DIST.RT('Interaction Analysis'!$B$70,'Interaction Analysis'!$B$68,'Interaction Analysis'!$B$69)</f>
        <v>0</v>
      </c>
    </row>
    <row r="72" customFormat="false" ht="15" hidden="false" customHeight="false" outlineLevel="0" collapsed="false">
      <c r="A72" s="8" t="s">
        <v>289</v>
      </c>
      <c r="B72" s="15" t="n">
        <f aca="false">INDEX('Interaction Analysis'!$B$55:$H$59,5,1)</f>
        <v>13751284.9138426</v>
      </c>
    </row>
    <row r="73" customFormat="false" ht="15" hidden="false" customHeight="false" outlineLevel="0" collapsed="false">
      <c r="A73" s="8" t="s">
        <v>290</v>
      </c>
      <c r="B73" s="15" t="n">
        <f aca="false">INDEX('Interaction Analysis'!$B$55:$H$59,5,2)</f>
        <v>3312909.95293736</v>
      </c>
    </row>
    <row r="74" customFormat="false" ht="15" hidden="false" customHeight="false" outlineLevel="0" collapsed="false">
      <c r="A74" s="8" t="s">
        <v>291</v>
      </c>
      <c r="B74" s="15" t="n">
        <f aca="false">'Interaction Analysis'!$B$72+'Interaction Analysis'!$B$73</f>
        <v>17064194.8667799</v>
      </c>
    </row>
    <row r="76" customFormat="false" ht="15" hidden="false" customHeight="false" outlineLevel="0" collapsed="false">
      <c r="A76" s="7" t="s">
        <v>292</v>
      </c>
    </row>
    <row r="77" customFormat="false" ht="15" hidden="false" customHeight="false" outlineLevel="0" collapsed="false">
      <c r="A77" s="4" t="s">
        <v>214</v>
      </c>
      <c r="B77" s="4" t="s">
        <v>274</v>
      </c>
      <c r="C77" s="4" t="s">
        <v>275</v>
      </c>
      <c r="D77" s="4" t="s">
        <v>293</v>
      </c>
      <c r="E77" s="4" t="s">
        <v>253</v>
      </c>
      <c r="F77" s="4" t="s">
        <v>294</v>
      </c>
      <c r="G77" s="4" t="s">
        <v>295</v>
      </c>
    </row>
    <row r="78" customFormat="false" ht="15" hidden="false" customHeight="false" outlineLevel="0" collapsed="false">
      <c r="A78" s="8" t="s">
        <v>273</v>
      </c>
      <c r="B78" s="13" t="n">
        <f aca="false">INDEX('Interaction Analysis'!$B$55:$H$59,1,7)</f>
        <v>276.583338562208</v>
      </c>
      <c r="C78" s="13" t="n">
        <f aca="false">INDEX('Interaction Analysis'!$B$55:$H$59,2,7)</f>
        <v>12.1626816847445</v>
      </c>
      <c r="D78" s="15" t="n">
        <f aca="false">B78/C78</f>
        <v>22.7403253436389</v>
      </c>
      <c r="E78" s="17" t="n">
        <f aca="false">_xlfn.T.DIST.2T(ABS(D78),'Interaction Analysis'!$B$69)</f>
        <v>1.79507183006535E-097</v>
      </c>
      <c r="F78" s="13" t="n">
        <f aca="false">B78-_xlfn.T.INV.2T(0.05,'Interaction Analysis'!$B$69)*C78</f>
        <v>252.723979177321</v>
      </c>
      <c r="G78" s="13" t="n">
        <f aca="false">B78+_xlfn.T.INV.2T(0.05,'Interaction Analysis'!$B$69)*C78</f>
        <v>300.442697947096</v>
      </c>
    </row>
    <row r="79" customFormat="false" ht="15" hidden="false" customHeight="false" outlineLevel="0" collapsed="false">
      <c r="A79" s="8" t="s">
        <v>171</v>
      </c>
      <c r="B79" s="13" t="n">
        <f aca="false">INDEX('Interaction Analysis'!$B$55:$H$59,1,6)</f>
        <v>-22.0647870909861</v>
      </c>
      <c r="C79" s="13" t="n">
        <f aca="false">INDEX('Interaction Analysis'!$B$55:$H$59,2,6)</f>
        <v>3.04336813669802</v>
      </c>
      <c r="D79" s="15" t="n">
        <f aca="false">B79/C79</f>
        <v>-7.25012095149482</v>
      </c>
      <c r="E79" s="17" t="n">
        <f aca="false">_xlfn.T.DIST.2T(ABS(D79),'Interaction Analysis'!$B$69)</f>
        <v>6.91403450099388E-013</v>
      </c>
      <c r="F79" s="13" t="n">
        <f aca="false">B79-_xlfn.T.INV.2T(0.05,'Interaction Analysis'!$B$69)*C79</f>
        <v>-28.0349190072945</v>
      </c>
      <c r="G79" s="13" t="n">
        <f aca="false">B79+_xlfn.T.INV.2T(0.05,'Interaction Analysis'!$B$69)*C79</f>
        <v>-16.0946551746776</v>
      </c>
    </row>
    <row r="80" customFormat="false" ht="15" hidden="false" customHeight="false" outlineLevel="0" collapsed="false">
      <c r="A80" s="8" t="s">
        <v>172</v>
      </c>
      <c r="B80" s="13" t="n">
        <f aca="false">INDEX('Interaction Analysis'!$B$55:$H$59,1,5)</f>
        <v>59.4419597216005</v>
      </c>
      <c r="C80" s="13" t="n">
        <f aca="false">INDEX('Interaction Analysis'!$B$55:$H$59,2,5)</f>
        <v>2.9853900193934</v>
      </c>
      <c r="D80" s="15" t="n">
        <f aca="false">B80/C80</f>
        <v>19.9109527852171</v>
      </c>
      <c r="E80" s="17" t="n">
        <f aca="false">_xlfn.T.DIST.2T(ABS(D80),'Interaction Analysis'!$B$69)</f>
        <v>9.74113101310146E-078</v>
      </c>
      <c r="F80" s="13" t="n">
        <f aca="false">B80-_xlfn.T.INV.2T(0.05,'Interaction Analysis'!$B$69)*C80</f>
        <v>53.5855626520212</v>
      </c>
      <c r="G80" s="13" t="n">
        <f aca="false">B80+_xlfn.T.INV.2T(0.05,'Interaction Analysis'!$B$69)*C80</f>
        <v>65.2983567911798</v>
      </c>
    </row>
    <row r="81" customFormat="false" ht="15" hidden="false" customHeight="false" outlineLevel="0" collapsed="false">
      <c r="A81" s="8" t="s">
        <v>28</v>
      </c>
      <c r="B81" s="13" t="n">
        <f aca="false">INDEX('Interaction Analysis'!$B$55:$H$59,1,4)</f>
        <v>106.758708100185</v>
      </c>
      <c r="C81" s="13" t="n">
        <f aca="false">INDEX('Interaction Analysis'!$B$55:$H$59,2,4)</f>
        <v>5.69692736032828</v>
      </c>
      <c r="D81" s="15" t="n">
        <f aca="false">B81/C81</f>
        <v>18.7396997271935</v>
      </c>
      <c r="E81" s="17" t="n">
        <f aca="false">_xlfn.T.DIST.2T(ABS(D81),'Interaction Analysis'!$B$69)</f>
        <v>5.53843083905001E-070</v>
      </c>
      <c r="F81" s="13" t="n">
        <f aca="false">B81-_xlfn.T.INV.2T(0.05,'Interaction Analysis'!$B$69)*C81</f>
        <v>95.5831268589069</v>
      </c>
      <c r="G81" s="13" t="n">
        <f aca="false">B81+_xlfn.T.INV.2T(0.05,'Interaction Analysis'!$B$69)*C81</f>
        <v>117.934289341464</v>
      </c>
    </row>
    <row r="82" customFormat="false" ht="15" hidden="false" customHeight="false" outlineLevel="0" collapsed="false">
      <c r="A82" s="8" t="s">
        <v>173</v>
      </c>
      <c r="B82" s="13" t="n">
        <f aca="false">INDEX('Interaction Analysis'!$B$55:$H$59,1,3)</f>
        <v>73.3773523328002</v>
      </c>
      <c r="C82" s="13" t="n">
        <f aca="false">INDEX('Interaction Analysis'!$B$55:$H$59,2,3)</f>
        <v>3.76175055779826</v>
      </c>
      <c r="D82" s="15" t="n">
        <f aca="false">B82/C82</f>
        <v>19.5061717159013</v>
      </c>
      <c r="E82" s="17" t="n">
        <f aca="false">_xlfn.T.DIST.2T(ABS(D82),'Interaction Analysis'!$B$69)</f>
        <v>4.99693974197337E-075</v>
      </c>
      <c r="F82" s="13" t="n">
        <f aca="false">B82-_xlfn.T.INV.2T(0.05,'Interaction Analysis'!$B$69)*C82</f>
        <v>65.9979798554801</v>
      </c>
      <c r="G82" s="13" t="n">
        <f aca="false">B82+_xlfn.T.INV.2T(0.05,'Interaction Analysis'!$B$69)*C82</f>
        <v>80.7567248101204</v>
      </c>
    </row>
    <row r="83" customFormat="false" ht="15" hidden="false" customHeight="false" outlineLevel="0" collapsed="false">
      <c r="A83" s="8" t="s">
        <v>174</v>
      </c>
      <c r="B83" s="13" t="n">
        <f aca="false">INDEX('Interaction Analysis'!$B$55:$H$59,1,2)</f>
        <v>74.5613741954927</v>
      </c>
      <c r="C83" s="13" t="n">
        <f aca="false">INDEX('Interaction Analysis'!$B$55:$H$59,2,2)</f>
        <v>5.03457267882571</v>
      </c>
      <c r="D83" s="15" t="n">
        <f aca="false">B83/C83</f>
        <v>14.8098714532578</v>
      </c>
      <c r="E83" s="17" t="n">
        <f aca="false">_xlfn.T.DIST.2T(ABS(D83),'Interaction Analysis'!$B$69)</f>
        <v>3.65191148444386E-046</v>
      </c>
      <c r="F83" s="13" t="n">
        <f aca="false">B83-_xlfn.T.INV.2T(0.05,'Interaction Analysis'!$B$69)*C83</f>
        <v>64.6851246966585</v>
      </c>
      <c r="G83" s="13" t="n">
        <f aca="false">B83+_xlfn.T.INV.2T(0.05,'Interaction Analysis'!$B$69)*C83</f>
        <v>84.4376236943269</v>
      </c>
    </row>
    <row r="84" customFormat="false" ht="15" hidden="false" customHeight="false" outlineLevel="0" collapsed="false">
      <c r="A84" s="8" t="s">
        <v>175</v>
      </c>
      <c r="B84" s="13" t="n">
        <f aca="false">INDEX('Interaction Analysis'!$B$55:$H$59,1,1)</f>
        <v>454.422840810248</v>
      </c>
      <c r="C84" s="13" t="n">
        <f aca="false">INDEX('Interaction Analysis'!$B$55:$H$59,2,1)</f>
        <v>8.46625942663008</v>
      </c>
      <c r="D84" s="15" t="n">
        <f aca="false">B84/C84</f>
        <v>53.6745707768994</v>
      </c>
      <c r="E84" s="17" t="n">
        <f aca="false">_xlfn.T.DIST.2T(ABS(D84),'Interaction Analysis'!$B$69)</f>
        <v>0</v>
      </c>
      <c r="F84" s="13" t="n">
        <f aca="false">B84-_xlfn.T.INV.2T(0.05,'Interaction Analysis'!$B$69)*C84</f>
        <v>437.814700307893</v>
      </c>
      <c r="G84" s="13" t="n">
        <f aca="false">B84+_xlfn.T.INV.2T(0.05,'Interaction Analysis'!$B$69)*C84</f>
        <v>471.030981312603</v>
      </c>
    </row>
    <row r="88" customFormat="false" ht="15" hidden="false" customHeight="false" outlineLevel="0" collapsed="false">
      <c r="A88" s="7" t="s">
        <v>330</v>
      </c>
    </row>
    <row r="89" customFormat="false" ht="15" hidden="false" customHeight="false" outlineLevel="0" collapsed="false">
      <c r="A89" s="4" t="s">
        <v>331</v>
      </c>
      <c r="B89" s="4" t="s">
        <v>332</v>
      </c>
      <c r="C89" s="4" t="s">
        <v>333</v>
      </c>
      <c r="D89" s="4" t="s">
        <v>334</v>
      </c>
      <c r="E89" s="4" t="s">
        <v>335</v>
      </c>
      <c r="F89" s="4" t="s">
        <v>309</v>
      </c>
      <c r="G89" s="4" t="s">
        <v>253</v>
      </c>
      <c r="H89" s="4" t="s">
        <v>336</v>
      </c>
    </row>
    <row r="90" customFormat="false" ht="15" hidden="false" customHeight="false" outlineLevel="0" collapsed="false">
      <c r="A90" s="8" t="s">
        <v>337</v>
      </c>
      <c r="B90" s="18" t="n">
        <f aca="false">'Full MLR'!$B$19</f>
        <v>0.672635265779691</v>
      </c>
      <c r="C90" s="18" t="n">
        <f aca="false">'Interaction Analysis'!$B$19</f>
        <v>0.805868396406532</v>
      </c>
      <c r="D90" s="11" t="n">
        <v>1</v>
      </c>
      <c r="E90" s="12" t="n">
        <f aca="false">'Interaction Analysis'!$B$24</f>
        <v>1376</v>
      </c>
      <c r="F90" s="16" t="n">
        <f aca="false">((C90-B90)/D90)/((1-C90)/E90)</f>
        <v>944.353131324479</v>
      </c>
      <c r="G90" s="17" t="n">
        <f aca="false">_xlfn.F.DIST.RT(F90,D90,E90)</f>
        <v>2.48642908695821E-158</v>
      </c>
      <c r="H90" s="8" t="str">
        <f aca="false">IF(G90&lt;0.05,"Significant","Not significant")</f>
        <v>Significant</v>
      </c>
    </row>
    <row r="91" customFormat="false" ht="15" hidden="false" customHeight="false" outlineLevel="0" collapsed="false">
      <c r="A91" s="8" t="s">
        <v>338</v>
      </c>
      <c r="B91" s="18" t="n">
        <f aca="false">'Variable Selection'!$B$19</f>
        <v>0.672265016910062</v>
      </c>
      <c r="C91" s="18" t="n">
        <f aca="false">'Final Model'!$B$19</f>
        <v>0.805856435962964</v>
      </c>
      <c r="D91" s="11" t="n">
        <v>1</v>
      </c>
      <c r="E91" s="12" t="n">
        <f aca="false">'Final Model'!$B$24</f>
        <v>1378</v>
      </c>
      <c r="F91" s="16" t="n">
        <f aca="false">((C91-B91)/D91)/((1-C91)/E91)</f>
        <v>948.210549074819</v>
      </c>
      <c r="G91" s="17" t="n">
        <f aca="false">_xlfn.F.DIST.RT(F91,D91,E91)</f>
        <v>7.0499843933658E-159</v>
      </c>
      <c r="H91" s="8" t="str">
        <f aca="false">IF(G91&lt;0.05,"Significant","Not significant")</f>
        <v>Significant</v>
      </c>
    </row>
    <row r="92" customFormat="false" ht="15" hidden="false" customHeight="false" outlineLevel="0" collapsed="false">
      <c r="A92" s="8" t="s">
        <v>339</v>
      </c>
      <c r="B92" s="18" t="n">
        <f aca="false">'Interaction Analysis'!$B$64</f>
        <v>0.805856064185786</v>
      </c>
      <c r="C92" s="18" t="n">
        <f aca="false">'Final Model'!$B$19</f>
        <v>0.805856435962964</v>
      </c>
      <c r="D92" s="11" t="n">
        <v>1</v>
      </c>
      <c r="E92" s="12" t="n">
        <f aca="false">'Final Model'!$B$24</f>
        <v>1378</v>
      </c>
      <c r="F92" s="16" t="n">
        <f aca="false">((C92-B92)/D92)/((1-C92)/E92)</f>
        <v>0.00263881501319675</v>
      </c>
      <c r="G92" s="17" t="n">
        <f aca="false">_xlfn.F.DIST.RT(F92,D92,E92)</f>
        <v>0.959038614762266</v>
      </c>
      <c r="H92" s="8" t="str">
        <f aca="false">IF(G92&lt;0.05,"Significant","Not significant")</f>
        <v>Not significant</v>
      </c>
    </row>
    <row r="93" customFormat="false" ht="15" hidden="false" customHeight="false" outlineLevel="0" collapsed="false">
      <c r="A93" s="8" t="s">
        <v>340</v>
      </c>
      <c r="B93" s="18" t="n">
        <f aca="false">'Final Model'!$B$19</f>
        <v>0.805856435962964</v>
      </c>
      <c r="C93" s="18" t="n">
        <f aca="false">'Interaction Analysis'!$B$19</f>
        <v>0.805868396406532</v>
      </c>
      <c r="D93" s="11" t="n">
        <v>2</v>
      </c>
      <c r="E93" s="12" t="n">
        <f aca="false">'Interaction Analysis'!$B$24</f>
        <v>1376</v>
      </c>
      <c r="F93" s="16" t="n">
        <f aca="false">((C93-B93)/D93)/((1-C93)/E93)</f>
        <v>0.0423876639474678</v>
      </c>
      <c r="G93" s="17" t="n">
        <f aca="false">_xlfn.F.DIST.RT(F93,D93,E93)</f>
        <v>0.958499384879825</v>
      </c>
      <c r="H93" s="8" t="str">
        <f aca="false">IF(G93&lt;0.05,"Significant","Not significant")</f>
        <v>Not significant</v>
      </c>
    </row>
    <row r="96" customFormat="false" ht="15" hidden="false" customHeight="false" outlineLevel="0" collapsed="false">
      <c r="A96" s="7" t="s">
        <v>341</v>
      </c>
    </row>
    <row r="97" customFormat="false" ht="15" hidden="false" customHeight="false" outlineLevel="0" collapsed="false">
      <c r="A97" s="4" t="s">
        <v>342</v>
      </c>
      <c r="B97" s="4" t="s">
        <v>274</v>
      </c>
      <c r="C97" s="4" t="s">
        <v>343</v>
      </c>
      <c r="D97" s="4" t="s">
        <v>253</v>
      </c>
      <c r="E97" s="4" t="s">
        <v>344</v>
      </c>
    </row>
    <row r="98" customFormat="false" ht="15" hidden="false" customHeight="false" outlineLevel="0" collapsed="false">
      <c r="A98" s="8" t="s">
        <v>345</v>
      </c>
      <c r="B98" s="13" t="n">
        <v>4.69098066930413</v>
      </c>
      <c r="C98" s="15" t="n">
        <v>0.55535005965634</v>
      </c>
      <c r="D98" s="17" t="n">
        <v>0.456267040252076</v>
      </c>
      <c r="E98" s="18" t="n">
        <v>0.804807236108771</v>
      </c>
    </row>
    <row r="99" customFormat="false" ht="15" hidden="false" customHeight="false" outlineLevel="0" collapsed="false">
      <c r="A99" s="8" t="s">
        <v>346</v>
      </c>
      <c r="B99" s="13" t="n">
        <v>-4.60451617484631</v>
      </c>
      <c r="C99" s="15" t="n">
        <v>0.0867163470941953</v>
      </c>
      <c r="D99" s="17" t="n">
        <v>0.768438283838876</v>
      </c>
      <c r="E99" s="18" t="n">
        <v>0.804740810437445</v>
      </c>
    </row>
    <row r="100" customFormat="false" ht="15" hidden="false" customHeight="false" outlineLevel="0" collapsed="false">
      <c r="A100" s="8" t="s">
        <v>347</v>
      </c>
      <c r="B100" s="13" t="n">
        <v>-11.1883095269544</v>
      </c>
      <c r="C100" s="15" t="n">
        <v>1.42743189135532</v>
      </c>
      <c r="D100" s="17" t="n">
        <v>0.232389754879751</v>
      </c>
      <c r="E100" s="18" t="n">
        <v>0.804930727602868</v>
      </c>
    </row>
    <row r="101" customFormat="false" ht="15" hidden="false" customHeight="false" outlineLevel="0" collapsed="false">
      <c r="A101" s="8" t="s">
        <v>348</v>
      </c>
      <c r="B101" s="13" t="n">
        <v>-8.49163249930663</v>
      </c>
      <c r="C101" s="15" t="n">
        <v>0.488559397875728</v>
      </c>
      <c r="D101" s="17" t="n">
        <v>0.484688666754165</v>
      </c>
      <c r="E101" s="18" t="n">
        <v>0.804797771744231</v>
      </c>
    </row>
    <row r="102" customFormat="false" ht="15" hidden="false" customHeight="false" outlineLevel="0" collapsed="false">
      <c r="A102" s="8" t="s">
        <v>349</v>
      </c>
      <c r="B102" s="13" t="n">
        <v>6.43427276404831</v>
      </c>
      <c r="C102" s="15" t="n">
        <v>0.240212192249934</v>
      </c>
      <c r="D102" s="17" t="n">
        <v>0.624130978561867</v>
      </c>
      <c r="E102" s="18" t="n">
        <v>0.804762572417716</v>
      </c>
    </row>
    <row r="103" customFormat="false" ht="15" hidden="false" customHeight="false" outlineLevel="0" collapsed="false">
      <c r="A103" s="8" t="s">
        <v>350</v>
      </c>
      <c r="B103" s="13" t="n">
        <v>22.315774109052</v>
      </c>
      <c r="C103" s="15" t="n">
        <v>1.24059316358534</v>
      </c>
      <c r="D103" s="17" t="n">
        <v>0.265551146143287</v>
      </c>
      <c r="E103" s="18" t="n">
        <v>0.804904283384882</v>
      </c>
    </row>
    <row r="106" customFormat="false" ht="15" hidden="false" customHeight="false" outlineLevel="0" collapsed="false">
      <c r="A106" s="7" t="s">
        <v>351</v>
      </c>
    </row>
    <row r="107" customFormat="false" ht="15" hidden="false" customHeight="false" outlineLevel="0" collapsed="false">
      <c r="A107" s="4" t="s">
        <v>352</v>
      </c>
      <c r="B107" s="4" t="s">
        <v>353</v>
      </c>
      <c r="C107" s="4" t="s">
        <v>275</v>
      </c>
      <c r="D107" s="4" t="s">
        <v>354</v>
      </c>
    </row>
    <row r="108" customFormat="false" ht="46.25" hidden="false" customHeight="false" outlineLevel="0" collapsed="false">
      <c r="A108" s="8" t="s">
        <v>355</v>
      </c>
      <c r="B108" s="16" t="n">
        <f aca="false">'Final Model'!$B$36</f>
        <v>0.620382769807777</v>
      </c>
      <c r="C108" s="15" t="n">
        <f aca="false">'Final Model'!$C$36</f>
        <v>12.076893995872</v>
      </c>
      <c r="D108" s="9" t="s">
        <v>356</v>
      </c>
    </row>
    <row r="109" customFormat="false" ht="35.05" hidden="false" customHeight="false" outlineLevel="0" collapsed="false">
      <c r="A109" s="8" t="s">
        <v>357</v>
      </c>
      <c r="B109" s="16" t="n">
        <f aca="false">'Final Model'!$B$40</f>
        <v>453.803299642174</v>
      </c>
      <c r="C109" s="15" t="n">
        <f aca="false">'Final Model'!$C$40</f>
        <v>14.737209522401</v>
      </c>
      <c r="D109" s="9" t="s">
        <v>358</v>
      </c>
    </row>
    <row r="110" customFormat="false" ht="46.25" hidden="false" customHeight="false" outlineLevel="0" collapsed="false">
      <c r="A110" s="8" t="s">
        <v>359</v>
      </c>
      <c r="B110" s="16" t="n">
        <f aca="false">'Final Model'!$B$36+'Final Model'!$B$40</f>
        <v>454.423682411982</v>
      </c>
      <c r="C110" s="15" t="n">
        <f aca="false">SQRT('Final Model'!$B$21^2*('Final Model'!$E$62+'Final Model'!$I$66+2*'Final Model'!$I$62))</f>
        <v>8.46933854389612</v>
      </c>
      <c r="D110" s="9" t="s">
        <v>360</v>
      </c>
    </row>
    <row r="111" customFormat="false" ht="15" hidden="false" customHeight="false" outlineLevel="0" collapsed="false">
      <c r="A111" s="2" t="s">
        <v>361</v>
      </c>
    </row>
    <row r="112" customFormat="false" ht="15" hidden="false" customHeight="false" outlineLevel="0" collapsed="false">
      <c r="A112" s="4" t="s">
        <v>256</v>
      </c>
      <c r="B112" s="4" t="s">
        <v>362</v>
      </c>
    </row>
    <row r="113" customFormat="false" ht="15" hidden="false" customHeight="false" outlineLevel="0" collapsed="false">
      <c r="A113" s="8" t="s">
        <v>258</v>
      </c>
      <c r="B113" s="16" t="n">
        <f aca="false">'Final Model'!$B$33+'Final Model'!$B$34*AVERAGE('Analysis Data'!$D$2:$D$1387)+'Final Model'!$B$35*0+'Final Model'!$B$36*0+'Final Model'!$B$40*0</f>
        <v>185.944938261998</v>
      </c>
    </row>
    <row r="114" customFormat="false" ht="15" hidden="false" customHeight="false" outlineLevel="0" collapsed="false">
      <c r="A114" s="8" t="s">
        <v>259</v>
      </c>
      <c r="B114" s="16" t="n">
        <f aca="false">'Final Model'!$B$33+'Final Model'!$B$34*AVERAGE('Analysis Data'!$D$2:$D$1387)+'Final Model'!$B$35*0+'Final Model'!$B$36*1+'Final Model'!$B$40*0</f>
        <v>186.565321031806</v>
      </c>
    </row>
    <row r="115" customFormat="false" ht="15" hidden="false" customHeight="false" outlineLevel="0" collapsed="false">
      <c r="A115" s="8" t="s">
        <v>260</v>
      </c>
      <c r="B115" s="16" t="n">
        <f aca="false">'Final Model'!$B$33+'Final Model'!$B$34*AVERAGE('Analysis Data'!$D$2:$D$1387)+'Final Model'!$B$35*1+'Final Model'!$B$36*0+'Final Model'!$B$40*0</f>
        <v>245.406698762483</v>
      </c>
    </row>
    <row r="116" customFormat="false" ht="15" hidden="false" customHeight="false" outlineLevel="0" collapsed="false">
      <c r="A116" s="8" t="s">
        <v>261</v>
      </c>
      <c r="B116" s="16" t="n">
        <f aca="false">'Final Model'!$B$33+'Final Model'!$B$34*AVERAGE('Analysis Data'!$D$2:$D$1387)+'Final Model'!$B$35*1+'Final Model'!$B$36*1+'Final Model'!$B$40*1</f>
        <v>699.830381174465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13" min="2" style="0" width="14.72"/>
  </cols>
  <sheetData>
    <row r="1" customFormat="false" ht="17.35" hidden="false" customHeight="false" outlineLevel="0" collapsed="false">
      <c r="A1" s="1" t="s">
        <v>363</v>
      </c>
    </row>
    <row r="2" customFormat="false" ht="35.05" hidden="false" customHeight="false" outlineLevel="0" collapsed="false">
      <c r="A2" s="3" t="s">
        <v>364</v>
      </c>
    </row>
    <row r="4" customFormat="false" ht="15" hidden="false" customHeight="false" outlineLevel="0" collapsed="false">
      <c r="A4" s="7" t="s">
        <v>267</v>
      </c>
    </row>
    <row r="5" customFormat="false" ht="15" hidden="false" customHeight="false" outlineLevel="0" collapsed="false">
      <c r="A5" s="8" t="s">
        <v>268</v>
      </c>
      <c r="B5" s="11" t="s">
        <v>269</v>
      </c>
    </row>
    <row r="6" customFormat="false" ht="15" hidden="false" customHeight="false" outlineLevel="0" collapsed="false">
      <c r="A6" s="8" t="s">
        <v>270</v>
      </c>
      <c r="B6" s="11" t="s">
        <v>365</v>
      </c>
    </row>
    <row r="8" customFormat="false" ht="15" hidden="false" customHeight="false" outlineLevel="0" collapsed="false">
      <c r="A8" s="7" t="s">
        <v>272</v>
      </c>
    </row>
    <row r="9" customFormat="false" ht="15" hidden="false" customHeight="false" outlineLevel="0" collapsed="false">
      <c r="B9" s="4" t="s">
        <v>175</v>
      </c>
      <c r="C9" s="4" t="s">
        <v>174</v>
      </c>
      <c r="D9" s="4" t="s">
        <v>173</v>
      </c>
      <c r="E9" s="4" t="s">
        <v>28</v>
      </c>
      <c r="F9" s="4" t="s">
        <v>27</v>
      </c>
      <c r="G9" s="4" t="s">
        <v>172</v>
      </c>
      <c r="H9" s="4" t="s">
        <v>171</v>
      </c>
      <c r="I9" s="4" t="s">
        <v>273</v>
      </c>
    </row>
    <row r="10" customFormat="false" ht="15" hidden="false" customHeight="false" outlineLevel="0" collapsed="false">
      <c r="A10" s="8" t="s">
        <v>274</v>
      </c>
      <c r="B10" s="18" t="n">
        <f aca="false" t="array" ref="B10:I14">IFERROR(LINEST('Analysis Data'!$C$2:$C$1387,'Analysis Data'!$O$2:$U$1387,TRUE(),TRUE()),"")</f>
        <v>453.803299642174</v>
      </c>
      <c r="C10" s="18" t="n">
        <v>74.5519638053599</v>
      </c>
      <c r="D10" s="18" t="n">
        <v>73.3697922625986</v>
      </c>
      <c r="E10" s="18" t="n">
        <v>106.752696407799</v>
      </c>
      <c r="F10" s="18" t="n">
        <v>0.620382769807777</v>
      </c>
      <c r="G10" s="18" t="n">
        <v>59.4617605004846</v>
      </c>
      <c r="H10" s="18" t="n">
        <v>-22.0663514924395</v>
      </c>
      <c r="I10" s="18" t="n">
        <v>276.573494277953</v>
      </c>
    </row>
    <row r="11" customFormat="false" ht="15" hidden="false" customHeight="false" outlineLevel="0" collapsed="false">
      <c r="A11" s="8" t="s">
        <v>275</v>
      </c>
      <c r="B11" s="18" t="n">
        <v>14.737209522401</v>
      </c>
      <c r="C11" s="18" t="n">
        <v>5.03972482076628</v>
      </c>
      <c r="D11" s="18" t="n">
        <v>3.76598837200846</v>
      </c>
      <c r="E11" s="18" t="n">
        <v>5.70019009332607</v>
      </c>
      <c r="F11" s="18" t="n">
        <v>12.076893995872</v>
      </c>
      <c r="G11" s="18" t="n">
        <v>3.01124270165132</v>
      </c>
      <c r="H11" s="18" t="n">
        <v>3.044621603735</v>
      </c>
      <c r="I11" s="18" t="n">
        <v>12.1685914921444</v>
      </c>
    </row>
    <row r="12" customFormat="false" ht="15" hidden="false" customHeight="false" outlineLevel="0" collapsed="false">
      <c r="A12" s="8" t="s">
        <v>276</v>
      </c>
      <c r="B12" s="18" t="n">
        <v>0.805856435962964</v>
      </c>
      <c r="C12" s="18" t="n">
        <v>49.0320206448701</v>
      </c>
      <c r="D12" s="18" t="str">
        <v/>
      </c>
      <c r="E12" s="18" t="str">
        <v/>
      </c>
      <c r="F12" s="18" t="str">
        <v/>
      </c>
      <c r="G12" s="18" t="str">
        <v/>
      </c>
      <c r="H12" s="18" t="str">
        <v/>
      </c>
      <c r="I12" s="18" t="str">
        <v/>
      </c>
    </row>
    <row r="13" customFormat="false" ht="15" hidden="false" customHeight="false" outlineLevel="0" collapsed="false">
      <c r="A13" s="8" t="s">
        <v>277</v>
      </c>
      <c r="B13" s="18" t="n">
        <v>817.12003343282</v>
      </c>
      <c r="C13" s="18" t="n">
        <v>1378</v>
      </c>
      <c r="D13" s="18" t="str">
        <v/>
      </c>
      <c r="E13" s="18" t="str">
        <v/>
      </c>
      <c r="F13" s="18" t="str">
        <v/>
      </c>
      <c r="G13" s="18" t="str">
        <v/>
      </c>
      <c r="H13" s="18" t="str">
        <v/>
      </c>
      <c r="I13" s="18" t="str">
        <v/>
      </c>
    </row>
    <row r="14" customFormat="false" ht="15" hidden="false" customHeight="false" outlineLevel="0" collapsed="false">
      <c r="A14" s="8" t="s">
        <v>278</v>
      </c>
      <c r="B14" s="18" t="n">
        <v>13751291.2579208</v>
      </c>
      <c r="C14" s="18" t="n">
        <v>3312903.60885914</v>
      </c>
      <c r="D14" s="18" t="str">
        <v/>
      </c>
      <c r="E14" s="18" t="str">
        <v/>
      </c>
      <c r="F14" s="18" t="str">
        <v/>
      </c>
      <c r="G14" s="18" t="str">
        <v/>
      </c>
      <c r="H14" s="18" t="str">
        <v/>
      </c>
      <c r="I14" s="18" t="str">
        <v/>
      </c>
    </row>
    <row r="17" customFormat="false" ht="15" hidden="false" customHeight="false" outlineLevel="0" collapsed="false">
      <c r="A17" s="7" t="s">
        <v>279</v>
      </c>
    </row>
    <row r="18" customFormat="false" ht="15" hidden="false" customHeight="false" outlineLevel="0" collapsed="false">
      <c r="A18" s="8" t="s">
        <v>280</v>
      </c>
      <c r="B18" s="18" t="n">
        <f aca="false">SQRT(INDEX('Final Model'!$B$10:$I$14,3,1))</f>
        <v>0.897695068474237</v>
      </c>
    </row>
    <row r="19" customFormat="false" ht="15" hidden="false" customHeight="false" outlineLevel="0" collapsed="false">
      <c r="A19" s="8" t="s">
        <v>281</v>
      </c>
      <c r="B19" s="19" t="n">
        <f aca="false">INDEX('Final Model'!$B$10:$I$14,3,1)</f>
        <v>0.805856435962964</v>
      </c>
    </row>
    <row r="20" customFormat="false" ht="15" hidden="false" customHeight="false" outlineLevel="0" collapsed="false">
      <c r="A20" s="8" t="s">
        <v>282</v>
      </c>
      <c r="B20" s="19" t="n">
        <f aca="false">1-(1-'Final Model'!$B$19)*('Final Model'!$B$22-1)/'Final Model'!$B$24</f>
        <v>0.804870220470759</v>
      </c>
    </row>
    <row r="21" customFormat="false" ht="15" hidden="false" customHeight="false" outlineLevel="0" collapsed="false">
      <c r="A21" s="8" t="s">
        <v>283</v>
      </c>
      <c r="B21" s="16" t="n">
        <f aca="false">INDEX('Final Model'!$B$10:$I$14,3,2)</f>
        <v>49.0320206448701</v>
      </c>
    </row>
    <row r="22" customFormat="false" ht="15" hidden="false" customHeight="false" outlineLevel="0" collapsed="false">
      <c r="A22" s="8" t="s">
        <v>284</v>
      </c>
      <c r="B22" s="12" t="n">
        <f aca="false">COUNT('Analysis Data'!$C$2:$C$1387)</f>
        <v>1386</v>
      </c>
    </row>
    <row r="23" customFormat="false" ht="15" hidden="false" customHeight="false" outlineLevel="0" collapsed="false">
      <c r="A23" s="8" t="s">
        <v>285</v>
      </c>
      <c r="B23" s="12" t="n">
        <f aca="false">7</f>
        <v>7</v>
      </c>
    </row>
    <row r="24" customFormat="false" ht="15" hidden="false" customHeight="false" outlineLevel="0" collapsed="false">
      <c r="A24" s="8" t="s">
        <v>286</v>
      </c>
      <c r="B24" s="12" t="n">
        <f aca="false">INDEX('Final Model'!$B$10:$I$14,4,2)</f>
        <v>1378</v>
      </c>
    </row>
    <row r="25" customFormat="false" ht="15" hidden="false" customHeight="false" outlineLevel="0" collapsed="false">
      <c r="A25" s="8" t="s">
        <v>287</v>
      </c>
      <c r="B25" s="16" t="n">
        <f aca="false">INDEX('Final Model'!$B$10:$I$14,4,1)</f>
        <v>817.12003343282</v>
      </c>
    </row>
    <row r="26" customFormat="false" ht="15" hidden="false" customHeight="false" outlineLevel="0" collapsed="false">
      <c r="A26" s="8" t="s">
        <v>288</v>
      </c>
      <c r="B26" s="17" t="n">
        <f aca="false">_xlfn.F.DIST.RT('Final Model'!$B$25,'Final Model'!$B$23,'Final Model'!$B$24)</f>
        <v>0</v>
      </c>
    </row>
    <row r="27" customFormat="false" ht="15" hidden="false" customHeight="false" outlineLevel="0" collapsed="false">
      <c r="A27" s="8" t="s">
        <v>289</v>
      </c>
      <c r="B27" s="15" t="n">
        <f aca="false">INDEX('Final Model'!$B$10:$I$14,5,1)</f>
        <v>13751291.2579208</v>
      </c>
    </row>
    <row r="28" customFormat="false" ht="15" hidden="false" customHeight="false" outlineLevel="0" collapsed="false">
      <c r="A28" s="8" t="s">
        <v>290</v>
      </c>
      <c r="B28" s="15" t="n">
        <f aca="false">INDEX('Final Model'!$B$10:$I$14,5,2)</f>
        <v>3312903.60885914</v>
      </c>
    </row>
    <row r="29" customFormat="false" ht="15" hidden="false" customHeight="false" outlineLevel="0" collapsed="false">
      <c r="A29" s="8" t="s">
        <v>291</v>
      </c>
      <c r="B29" s="15" t="n">
        <f aca="false">'Final Model'!$B$27+'Final Model'!$B$28</f>
        <v>17064194.8667799</v>
      </c>
    </row>
    <row r="31" customFormat="false" ht="15" hidden="false" customHeight="false" outlineLevel="0" collapsed="false">
      <c r="A31" s="7" t="s">
        <v>292</v>
      </c>
    </row>
    <row r="32" customFormat="false" ht="15" hidden="false" customHeight="false" outlineLevel="0" collapsed="false">
      <c r="A32" s="4" t="s">
        <v>214</v>
      </c>
      <c r="B32" s="4" t="s">
        <v>274</v>
      </c>
      <c r="C32" s="4" t="s">
        <v>275</v>
      </c>
      <c r="D32" s="4" t="s">
        <v>293</v>
      </c>
      <c r="E32" s="4" t="s">
        <v>253</v>
      </c>
      <c r="F32" s="4" t="s">
        <v>294</v>
      </c>
      <c r="G32" s="4" t="s">
        <v>295</v>
      </c>
    </row>
    <row r="33" customFormat="false" ht="15" hidden="false" customHeight="false" outlineLevel="0" collapsed="false">
      <c r="A33" s="8" t="s">
        <v>273</v>
      </c>
      <c r="B33" s="13" t="n">
        <f aca="false">INDEX('Final Model'!$B$10:$I$14,1,8)</f>
        <v>276.573494277953</v>
      </c>
      <c r="C33" s="13" t="n">
        <f aca="false">INDEX('Final Model'!$B$10:$I$14,2,8)</f>
        <v>12.1685914921444</v>
      </c>
      <c r="D33" s="15" t="n">
        <f aca="false">B33/C33</f>
        <v>22.728472268668</v>
      </c>
      <c r="E33" s="17" t="n">
        <f aca="false">_xlfn.T.DIST.2T(ABS(D33),'Final Model'!$B$24)</f>
        <v>2.23528097071102E-097</v>
      </c>
      <c r="F33" s="13" t="n">
        <f aca="false">B33-_xlfn.T.INV.2T(0.05,'Final Model'!$B$24)*C33</f>
        <v>252.702526490666</v>
      </c>
      <c r="G33" s="13" t="n">
        <f aca="false">B33+_xlfn.T.INV.2T(0.05,'Final Model'!$B$24)*C33</f>
        <v>300.444462065241</v>
      </c>
    </row>
    <row r="34" customFormat="false" ht="15" hidden="false" customHeight="false" outlineLevel="0" collapsed="false">
      <c r="A34" s="8" t="s">
        <v>171</v>
      </c>
      <c r="B34" s="13" t="n">
        <f aca="false">INDEX('Final Model'!$B$10:$I$14,1,7)</f>
        <v>-22.0663514924395</v>
      </c>
      <c r="C34" s="13" t="n">
        <f aca="false">INDEX('Final Model'!$B$10:$I$14,2,7)</f>
        <v>3.044621603735</v>
      </c>
      <c r="D34" s="15" t="n">
        <f aca="false">B34/C34</f>
        <v>-7.24764991004778</v>
      </c>
      <c r="E34" s="17" t="n">
        <f aca="false">_xlfn.T.DIST.2T(ABS(D34),'Final Model'!$B$24)</f>
        <v>7.0391199982958E-013</v>
      </c>
      <c r="F34" s="13" t="n">
        <f aca="false">B34-_xlfn.T.INV.2T(0.05,'Final Model'!$B$24)*C34</f>
        <v>-28.0389461246248</v>
      </c>
      <c r="G34" s="13" t="n">
        <f aca="false">B34+_xlfn.T.INV.2T(0.05,'Final Model'!$B$24)*C34</f>
        <v>-16.0937568602542</v>
      </c>
    </row>
    <row r="35" customFormat="false" ht="15" hidden="false" customHeight="false" outlineLevel="0" collapsed="false">
      <c r="A35" s="8" t="s">
        <v>172</v>
      </c>
      <c r="B35" s="13" t="n">
        <f aca="false">INDEX('Final Model'!$B$10:$I$14,1,6)</f>
        <v>59.4617605004846</v>
      </c>
      <c r="C35" s="13" t="n">
        <f aca="false">INDEX('Final Model'!$B$10:$I$14,2,6)</f>
        <v>3.01124270165132</v>
      </c>
      <c r="D35" s="15" t="n">
        <f aca="false">B35/C35</f>
        <v>19.7465851782311</v>
      </c>
      <c r="E35" s="17" t="n">
        <f aca="false">_xlfn.T.DIST.2T(ABS(D35),'Final Model'!$B$24)</f>
        <v>1.25618718824196E-076</v>
      </c>
      <c r="F35" s="13" t="n">
        <f aca="false">B35-_xlfn.T.INV.2T(0.05,'Final Model'!$B$24)*C35</f>
        <v>53.554644826725</v>
      </c>
      <c r="G35" s="13" t="n">
        <f aca="false">B35+_xlfn.T.INV.2T(0.05,'Final Model'!$B$24)*C35</f>
        <v>65.3688761742441</v>
      </c>
    </row>
    <row r="36" customFormat="false" ht="15" hidden="false" customHeight="false" outlineLevel="0" collapsed="false">
      <c r="A36" s="8" t="s">
        <v>27</v>
      </c>
      <c r="B36" s="13" t="n">
        <f aca="false">INDEX('Final Model'!$B$10:$I$14,1,5)</f>
        <v>0.620382769807777</v>
      </c>
      <c r="C36" s="13" t="n">
        <f aca="false">INDEX('Final Model'!$B$10:$I$14,2,5)</f>
        <v>12.076893995872</v>
      </c>
      <c r="D36" s="15" t="n">
        <f aca="false">B36/C36</f>
        <v>0.0513693976298731</v>
      </c>
      <c r="E36" s="17" t="n">
        <f aca="false">_xlfn.T.DIST.2T(ABS(D36),'Final Model'!$B$24)</f>
        <v>0.959038614763453</v>
      </c>
      <c r="F36" s="13" t="n">
        <f aca="false">B36-_xlfn.T.INV.2T(0.05,'Final Model'!$B$24)*C36</f>
        <v>-23.0707032307416</v>
      </c>
      <c r="G36" s="13" t="n">
        <f aca="false">B36+_xlfn.T.INV.2T(0.05,'Final Model'!$B$24)*C36</f>
        <v>24.3114687703572</v>
      </c>
    </row>
    <row r="37" customFormat="false" ht="15" hidden="false" customHeight="false" outlineLevel="0" collapsed="false">
      <c r="A37" s="8" t="s">
        <v>28</v>
      </c>
      <c r="B37" s="13" t="n">
        <f aca="false">INDEX('Final Model'!$B$10:$I$14,1,4)</f>
        <v>106.752696407799</v>
      </c>
      <c r="C37" s="13" t="n">
        <f aca="false">INDEX('Final Model'!$B$10:$I$14,2,4)</f>
        <v>5.70019009332607</v>
      </c>
      <c r="D37" s="15" t="n">
        <f aca="false">B37/C37</f>
        <v>18.7279186588511</v>
      </c>
      <c r="E37" s="17" t="n">
        <f aca="false">_xlfn.T.DIST.2T(ABS(D37),'Final Model'!$B$24)</f>
        <v>6.68683536276982E-070</v>
      </c>
      <c r="F37" s="13" t="n">
        <f aca="false">B37-_xlfn.T.INV.2T(0.05,'Final Model'!$B$24)*C37</f>
        <v>95.5707075813156</v>
      </c>
      <c r="G37" s="13" t="n">
        <f aca="false">B37+_xlfn.T.INV.2T(0.05,'Final Model'!$B$24)*C37</f>
        <v>117.934685234283</v>
      </c>
    </row>
    <row r="38" customFormat="false" ht="15" hidden="false" customHeight="false" outlineLevel="0" collapsed="false">
      <c r="A38" s="8" t="s">
        <v>173</v>
      </c>
      <c r="B38" s="13" t="n">
        <f aca="false">INDEX('Final Model'!$B$10:$I$14,1,3)</f>
        <v>73.3697922625986</v>
      </c>
      <c r="C38" s="13" t="n">
        <f aca="false">INDEX('Final Model'!$B$10:$I$14,2,3)</f>
        <v>3.76598837200846</v>
      </c>
      <c r="D38" s="15" t="n">
        <f aca="false">B38/C38</f>
        <v>19.482214233038</v>
      </c>
      <c r="E38" s="17" t="n">
        <f aca="false">_xlfn.T.DIST.2T(ABS(D38),'Final Model'!$B$24)</f>
        <v>7.31299432468787E-075</v>
      </c>
      <c r="F38" s="13" t="n">
        <f aca="false">B38-_xlfn.T.INV.2T(0.05,'Final Model'!$B$24)*C38</f>
        <v>65.9821018159641</v>
      </c>
      <c r="G38" s="13" t="n">
        <f aca="false">B38+_xlfn.T.INV.2T(0.05,'Final Model'!$B$24)*C38</f>
        <v>80.7574827092331</v>
      </c>
    </row>
    <row r="39" customFormat="false" ht="15" hidden="false" customHeight="false" outlineLevel="0" collapsed="false">
      <c r="A39" s="8" t="s">
        <v>174</v>
      </c>
      <c r="B39" s="13" t="n">
        <f aca="false">INDEX('Final Model'!$B$10:$I$14,1,2)</f>
        <v>74.5519638053599</v>
      </c>
      <c r="C39" s="13" t="n">
        <f aca="false">INDEX('Final Model'!$B$10:$I$14,2,2)</f>
        <v>5.03972482076628</v>
      </c>
      <c r="D39" s="15" t="n">
        <f aca="false">B39/C39</f>
        <v>14.7928639869715</v>
      </c>
      <c r="E39" s="17" t="n">
        <f aca="false">_xlfn.T.DIST.2T(ABS(D39),'Final Model'!$B$24)</f>
        <v>4.56617208066486E-046</v>
      </c>
      <c r="F39" s="13" t="n">
        <f aca="false">B39-_xlfn.T.INV.2T(0.05,'Final Model'!$B$24)*C39</f>
        <v>64.6656011206591</v>
      </c>
      <c r="G39" s="13" t="n">
        <f aca="false">B39+_xlfn.T.INV.2T(0.05,'Final Model'!$B$24)*C39</f>
        <v>84.4383264900608</v>
      </c>
    </row>
    <row r="40" customFormat="false" ht="15" hidden="false" customHeight="false" outlineLevel="0" collapsed="false">
      <c r="A40" s="8" t="s">
        <v>175</v>
      </c>
      <c r="B40" s="13" t="n">
        <f aca="false">INDEX('Final Model'!$B$10:$I$14,1,1)</f>
        <v>453.803299642174</v>
      </c>
      <c r="C40" s="13" t="n">
        <f aca="false">INDEX('Final Model'!$B$10:$I$14,2,1)</f>
        <v>14.737209522401</v>
      </c>
      <c r="D40" s="15" t="n">
        <f aca="false">B40/C40</f>
        <v>30.7930276048787</v>
      </c>
      <c r="E40" s="17" t="n">
        <f aca="false">_xlfn.T.DIST.2T(ABS(D40),'Final Model'!$B$24)</f>
        <v>7.0499843933658E-159</v>
      </c>
      <c r="F40" s="13" t="n">
        <f aca="false">B40-_xlfn.T.INV.2T(0.05,'Final Model'!$B$24)*C40</f>
        <v>424.893507246658</v>
      </c>
      <c r="G40" s="13" t="n">
        <f aca="false">B40+_xlfn.T.INV.2T(0.05,'Final Model'!$B$24)*C40</f>
        <v>482.713092037691</v>
      </c>
    </row>
    <row r="43" customFormat="false" ht="15" hidden="false" customHeight="false" outlineLevel="0" collapsed="false">
      <c r="A43" s="7" t="s">
        <v>366</v>
      </c>
    </row>
    <row r="44" customFormat="false" ht="15" hidden="false" customHeight="false" outlineLevel="0" collapsed="false">
      <c r="B44" s="4" t="s">
        <v>176</v>
      </c>
      <c r="C44" s="4" t="s">
        <v>171</v>
      </c>
      <c r="D44" s="4" t="s">
        <v>172</v>
      </c>
      <c r="E44" s="4" t="s">
        <v>27</v>
      </c>
      <c r="F44" s="4" t="s">
        <v>28</v>
      </c>
      <c r="G44" s="4" t="s">
        <v>173</v>
      </c>
      <c r="H44" s="4" t="s">
        <v>174</v>
      </c>
      <c r="I44" s="4" t="s">
        <v>175</v>
      </c>
    </row>
    <row r="45" customFormat="false" ht="15" hidden="false" customHeight="false" outlineLevel="0" collapsed="false">
      <c r="A45" s="8" t="s">
        <v>367</v>
      </c>
      <c r="B45" s="13" t="n">
        <f aca="false">'Final Model'!$B$33</f>
        <v>276.573494277953</v>
      </c>
      <c r="C45" s="13" t="n">
        <f aca="false">'Final Model'!$B$34</f>
        <v>-22.0663514924395</v>
      </c>
      <c r="D45" s="13" t="n">
        <f aca="false">'Final Model'!$B$35</f>
        <v>59.4617605004846</v>
      </c>
      <c r="E45" s="13" t="n">
        <f aca="false">'Final Model'!$B$36</f>
        <v>0.620382769807777</v>
      </c>
      <c r="F45" s="13" t="n">
        <f aca="false">'Final Model'!$B$37</f>
        <v>106.752696407799</v>
      </c>
      <c r="G45" s="13" t="n">
        <f aca="false">'Final Model'!$B$38</f>
        <v>73.3697922625986</v>
      </c>
      <c r="H45" s="13" t="n">
        <f aca="false">'Final Model'!$B$39</f>
        <v>74.5519638053599</v>
      </c>
      <c r="I45" s="13" t="n">
        <f aca="false">'Final Model'!$B$40</f>
        <v>453.803299642174</v>
      </c>
    </row>
    <row r="48" customFormat="false" ht="15" hidden="false" customHeight="false" outlineLevel="0" collapsed="false">
      <c r="A48" s="7" t="s">
        <v>368</v>
      </c>
    </row>
    <row r="49" customFormat="false" ht="15" hidden="false" customHeight="false" outlineLevel="0" collapsed="false">
      <c r="B49" s="15" t="n">
        <f aca="false" t="array" ref="B49:I56">MMULT(TRANSPOSE('Analysis Data'!$N$2:$U$1387),'Analysis Data'!$N$2:$U$1387)</f>
        <v>1386</v>
      </c>
      <c r="C49" s="15" t="n">
        <v>5692.430789075</v>
      </c>
      <c r="D49" s="15" t="n">
        <v>762</v>
      </c>
      <c r="E49" s="15" t="n">
        <v>53</v>
      </c>
      <c r="F49" s="15" t="n">
        <v>81</v>
      </c>
      <c r="G49" s="15" t="n">
        <v>217</v>
      </c>
      <c r="H49" s="15" t="n">
        <v>105</v>
      </c>
      <c r="I49" s="15" t="n">
        <v>36</v>
      </c>
    </row>
    <row r="50" customFormat="false" ht="15" hidden="false" customHeight="false" outlineLevel="0" collapsed="false">
      <c r="B50" s="15" t="n">
        <v>5692.430789075</v>
      </c>
      <c r="C50" s="15" t="n">
        <v>23677.3066048632</v>
      </c>
      <c r="D50" s="15" t="n">
        <v>3234.760979339</v>
      </c>
      <c r="E50" s="15" t="n">
        <v>209.382629588</v>
      </c>
      <c r="F50" s="15" t="n">
        <v>340.462783215</v>
      </c>
      <c r="G50" s="15" t="n">
        <v>887.713457231</v>
      </c>
      <c r="H50" s="15" t="n">
        <v>446.198034794</v>
      </c>
      <c r="I50" s="15" t="n">
        <v>141.899548085</v>
      </c>
    </row>
    <row r="51" customFormat="false" ht="15" hidden="false" customHeight="false" outlineLevel="0" collapsed="false">
      <c r="B51" s="15" t="n">
        <v>762</v>
      </c>
      <c r="C51" s="15" t="n">
        <v>3234.760979339</v>
      </c>
      <c r="D51" s="15" t="n">
        <v>762</v>
      </c>
      <c r="E51" s="15" t="n">
        <v>36</v>
      </c>
      <c r="F51" s="15" t="n">
        <v>69</v>
      </c>
      <c r="G51" s="15" t="n">
        <v>180</v>
      </c>
      <c r="H51" s="15" t="n">
        <v>83</v>
      </c>
      <c r="I51" s="15" t="n">
        <v>36</v>
      </c>
    </row>
    <row r="52" customFormat="false" ht="15" hidden="false" customHeight="false" outlineLevel="0" collapsed="false">
      <c r="B52" s="15" t="n">
        <v>53</v>
      </c>
      <c r="C52" s="15" t="n">
        <v>209.382629588</v>
      </c>
      <c r="D52" s="15" t="n">
        <v>36</v>
      </c>
      <c r="E52" s="15" t="n">
        <v>53</v>
      </c>
      <c r="F52" s="15" t="n">
        <v>8</v>
      </c>
      <c r="G52" s="15" t="n">
        <v>17</v>
      </c>
      <c r="H52" s="15" t="n">
        <v>4</v>
      </c>
      <c r="I52" s="15" t="n">
        <v>36</v>
      </c>
    </row>
    <row r="53" customFormat="false" ht="15" hidden="false" customHeight="false" outlineLevel="0" collapsed="false">
      <c r="B53" s="15" t="n">
        <v>81</v>
      </c>
      <c r="C53" s="15" t="n">
        <v>340.462783215</v>
      </c>
      <c r="D53" s="15" t="n">
        <v>69</v>
      </c>
      <c r="E53" s="15" t="n">
        <v>8</v>
      </c>
      <c r="F53" s="15" t="n">
        <v>81</v>
      </c>
      <c r="G53" s="15" t="n">
        <v>17</v>
      </c>
      <c r="H53" s="15" t="n">
        <v>5</v>
      </c>
      <c r="I53" s="15" t="n">
        <v>7</v>
      </c>
    </row>
    <row r="54" customFormat="false" ht="15" hidden="false" customHeight="false" outlineLevel="0" collapsed="false">
      <c r="B54" s="15" t="n">
        <v>217</v>
      </c>
      <c r="C54" s="15" t="n">
        <v>887.713457231</v>
      </c>
      <c r="D54" s="15" t="n">
        <v>180</v>
      </c>
      <c r="E54" s="15" t="n">
        <v>17</v>
      </c>
      <c r="F54" s="15" t="n">
        <v>17</v>
      </c>
      <c r="G54" s="15" t="n">
        <v>217</v>
      </c>
      <c r="H54" s="15" t="n">
        <v>18</v>
      </c>
      <c r="I54" s="15" t="n">
        <v>14</v>
      </c>
    </row>
    <row r="55" customFormat="false" ht="15" hidden="false" customHeight="false" outlineLevel="0" collapsed="false">
      <c r="B55" s="15" t="n">
        <v>105</v>
      </c>
      <c r="C55" s="15" t="n">
        <v>446.198034794</v>
      </c>
      <c r="D55" s="15" t="n">
        <v>83</v>
      </c>
      <c r="E55" s="15" t="n">
        <v>4</v>
      </c>
      <c r="F55" s="15" t="n">
        <v>5</v>
      </c>
      <c r="G55" s="15" t="n">
        <v>18</v>
      </c>
      <c r="H55" s="15" t="n">
        <v>105</v>
      </c>
      <c r="I55" s="15" t="n">
        <v>2</v>
      </c>
    </row>
    <row r="56" customFormat="false" ht="15" hidden="false" customHeight="false" outlineLevel="0" collapsed="false">
      <c r="B56" s="15" t="n">
        <v>36</v>
      </c>
      <c r="C56" s="15" t="n">
        <v>141.899548085</v>
      </c>
      <c r="D56" s="15" t="n">
        <v>36</v>
      </c>
      <c r="E56" s="15" t="n">
        <v>36</v>
      </c>
      <c r="F56" s="15" t="n">
        <v>7</v>
      </c>
      <c r="G56" s="15" t="n">
        <v>14</v>
      </c>
      <c r="H56" s="15" t="n">
        <v>2</v>
      </c>
      <c r="I56" s="15" t="n">
        <v>36</v>
      </c>
    </row>
    <row r="58" customFormat="false" ht="15" hidden="false" customHeight="false" outlineLevel="0" collapsed="false">
      <c r="A58" s="7" t="s">
        <v>369</v>
      </c>
    </row>
    <row r="59" customFormat="false" ht="15" hidden="false" customHeight="false" outlineLevel="0" collapsed="false">
      <c r="B59" s="21" t="n">
        <f aca="false" t="array" ref="B59:I66">MINVERSE(B49:I56)</f>
        <v>0.0615915368929708</v>
      </c>
      <c r="C59" s="21" t="n">
        <v>-0.0151984120122256</v>
      </c>
      <c r="D59" s="21" t="n">
        <v>0.00356675721060264</v>
      </c>
      <c r="E59" s="21" t="n">
        <v>-0.000962665359223474</v>
      </c>
      <c r="F59" s="21" t="n">
        <v>5.87516321118043E-005</v>
      </c>
      <c r="G59" s="21" t="n">
        <v>-0.0021318921154156</v>
      </c>
      <c r="H59" s="21" t="n">
        <v>0.000640892588812042</v>
      </c>
      <c r="I59" s="21" t="n">
        <v>-0.00350670543440944</v>
      </c>
    </row>
    <row r="60" customFormat="false" ht="15" hidden="false" customHeight="false" outlineLevel="0" collapsed="false">
      <c r="B60" s="21" t="n">
        <v>-0.0151984120122256</v>
      </c>
      <c r="C60" s="21" t="n">
        <v>0.00385573401656626</v>
      </c>
      <c r="D60" s="21" t="n">
        <v>-0.00129644062567629</v>
      </c>
      <c r="E60" s="21" t="n">
        <v>-0.000152981674249547</v>
      </c>
      <c r="F60" s="21" t="n">
        <v>-8.12278177545755E-005</v>
      </c>
      <c r="G60" s="21" t="n">
        <v>0.000456061870755774</v>
      </c>
      <c r="H60" s="21" t="n">
        <v>-0.000255039009132968</v>
      </c>
      <c r="I60" s="21" t="n">
        <v>0.00130247020285289</v>
      </c>
    </row>
    <row r="61" customFormat="false" ht="15" hidden="false" customHeight="false" outlineLevel="0" collapsed="false">
      <c r="B61" s="21" t="n">
        <v>0.00356675721060263</v>
      </c>
      <c r="C61" s="21" t="n">
        <v>-0.00129644062567629</v>
      </c>
      <c r="D61" s="21" t="n">
        <v>0.00377165481082896</v>
      </c>
      <c r="E61" s="21" t="n">
        <v>0.00193630368883352</v>
      </c>
      <c r="F61" s="21" t="n">
        <v>-0.000923683946463988</v>
      </c>
      <c r="G61" s="21" t="n">
        <v>-0.0011801241536912</v>
      </c>
      <c r="H61" s="21" t="n">
        <v>-0.000800085238281814</v>
      </c>
      <c r="I61" s="21" t="n">
        <v>-0.00348160362259876</v>
      </c>
    </row>
    <row r="62" customFormat="false" ht="15" hidden="false" customHeight="false" outlineLevel="0" collapsed="false">
      <c r="B62" s="21" t="n">
        <v>-0.00096266535922349</v>
      </c>
      <c r="C62" s="21" t="n">
        <v>-0.000152981674249542</v>
      </c>
      <c r="D62" s="21" t="n">
        <v>0.00193630368883352</v>
      </c>
      <c r="E62" s="21" t="n">
        <v>0.0606667774384263</v>
      </c>
      <c r="F62" s="21" t="n">
        <v>-0.000587879002713669</v>
      </c>
      <c r="G62" s="21" t="n">
        <v>-0.000739293737127553</v>
      </c>
      <c r="H62" s="21" t="n">
        <v>-0.000920235170251716</v>
      </c>
      <c r="I62" s="21" t="n">
        <v>-0.0605844778202423</v>
      </c>
    </row>
    <row r="63" customFormat="false" ht="15" hidden="false" customHeight="false" outlineLevel="0" collapsed="false">
      <c r="B63" s="21" t="n">
        <v>5.87516321118061E-005</v>
      </c>
      <c r="C63" s="21" t="n">
        <v>-8.12278177545761E-005</v>
      </c>
      <c r="D63" s="21" t="n">
        <v>-0.000923683946463987</v>
      </c>
      <c r="E63" s="21" t="n">
        <v>-0.000587879002713668</v>
      </c>
      <c r="F63" s="21" t="n">
        <v>0.0135150947779285</v>
      </c>
      <c r="G63" s="21" t="n">
        <v>5.1407257444031E-005</v>
      </c>
      <c r="H63" s="21" t="n">
        <v>0.000403676097907006</v>
      </c>
      <c r="I63" s="21" t="n">
        <v>-0.000897369977773721</v>
      </c>
    </row>
    <row r="64" customFormat="false" ht="15" hidden="false" customHeight="false" outlineLevel="0" collapsed="false">
      <c r="B64" s="21" t="n">
        <v>-0.00213189211541559</v>
      </c>
      <c r="C64" s="21" t="n">
        <v>0.000456061870755771</v>
      </c>
      <c r="D64" s="21" t="n">
        <v>-0.0011801241536912</v>
      </c>
      <c r="E64" s="21" t="n">
        <v>-0.000739293737127552</v>
      </c>
      <c r="F64" s="21" t="n">
        <v>5.14072574440311E-005</v>
      </c>
      <c r="G64" s="21" t="n">
        <v>0.00589927127003735</v>
      </c>
      <c r="H64" s="21" t="n">
        <v>0.00014223901552747</v>
      </c>
      <c r="I64" s="21" t="n">
        <v>-5.83872152303764E-005</v>
      </c>
    </row>
    <row r="65" customFormat="false" ht="15" hidden="false" customHeight="false" outlineLevel="0" collapsed="false">
      <c r="B65" s="21" t="n">
        <v>0.000640892588812049</v>
      </c>
      <c r="C65" s="21" t="n">
        <v>-0.00025503900913297</v>
      </c>
      <c r="D65" s="21" t="n">
        <v>-0.000800085238281813</v>
      </c>
      <c r="E65" s="21" t="n">
        <v>-0.000920235170251715</v>
      </c>
      <c r="F65" s="21" t="n">
        <v>0.000403676097907006</v>
      </c>
      <c r="G65" s="21" t="n">
        <v>0.000142239015527469</v>
      </c>
      <c r="H65" s="21" t="n">
        <v>0.0105646244898747</v>
      </c>
      <c r="I65" s="21" t="n">
        <v>0.00136397204909735</v>
      </c>
    </row>
    <row r="66" customFormat="false" ht="15" hidden="false" customHeight="false" outlineLevel="0" collapsed="false">
      <c r="B66" s="21" t="n">
        <v>-0.00350670543440942</v>
      </c>
      <c r="C66" s="21" t="n">
        <v>0.00130247020285289</v>
      </c>
      <c r="D66" s="21" t="n">
        <v>-0.00348160362259876</v>
      </c>
      <c r="E66" s="21" t="n">
        <v>-0.0605844778202424</v>
      </c>
      <c r="F66" s="21" t="n">
        <v>-0.00089736997777372</v>
      </c>
      <c r="G66" s="21" t="n">
        <v>-5.83872152303746E-005</v>
      </c>
      <c r="H66" s="21" t="n">
        <v>0.00136397204909736</v>
      </c>
      <c r="I66" s="21" t="n">
        <v>0.0903380961433739</v>
      </c>
    </row>
    <row r="69" customFormat="false" ht="23.85" hidden="false" customHeight="false" outlineLevel="0" collapsed="false">
      <c r="A69" s="14" t="s">
        <v>370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71"/>
    <col collapsed="false" customWidth="true" hidden="false" outlineLevel="0" max="8" min="2" style="0" width="15.72"/>
    <col collapsed="false" customWidth="true" hidden="false" outlineLevel="0" max="13" min="9" style="0" width="14.72"/>
  </cols>
  <sheetData>
    <row r="1" customFormat="false" ht="17.35" hidden="false" customHeight="false" outlineLevel="0" collapsed="false">
      <c r="A1" s="1" t="s">
        <v>371</v>
      </c>
    </row>
    <row r="2" customFormat="false" ht="23.85" hidden="false" customHeight="false" outlineLevel="0" collapsed="false">
      <c r="A2" s="3" t="s">
        <v>372</v>
      </c>
    </row>
    <row r="4" customFormat="false" ht="15" hidden="false" customHeight="false" outlineLevel="0" collapsed="false">
      <c r="A4" s="4" t="s">
        <v>214</v>
      </c>
      <c r="B4" s="4" t="s">
        <v>373</v>
      </c>
      <c r="C4" s="4" t="s">
        <v>275</v>
      </c>
      <c r="D4" s="4" t="s">
        <v>374</v>
      </c>
      <c r="E4" s="4" t="s">
        <v>253</v>
      </c>
      <c r="F4" s="4" t="s">
        <v>294</v>
      </c>
      <c r="G4" s="4" t="s">
        <v>295</v>
      </c>
      <c r="H4" s="4" t="s">
        <v>375</v>
      </c>
    </row>
    <row r="5" customFormat="false" ht="15" hidden="false" customHeight="false" outlineLevel="0" collapsed="false">
      <c r="A5" s="8" t="s">
        <v>254</v>
      </c>
      <c r="B5" s="13" t="n">
        <f aca="false">'Final Model'!$B$37</f>
        <v>106.752696407799</v>
      </c>
      <c r="C5" s="13" t="n">
        <f aca="false">'Final Model'!$C$37</f>
        <v>5.70019009332607</v>
      </c>
      <c r="D5" s="13" t="n">
        <f aca="false">'Final Model'!$D$37</f>
        <v>18.7279186588511</v>
      </c>
      <c r="E5" s="17" t="n">
        <f aca="false">'Final Model'!$E$37</f>
        <v>6.68683536276982E-070</v>
      </c>
      <c r="F5" s="13" t="n">
        <f aca="false">'Final Model'!$F$37</f>
        <v>95.5707075813156</v>
      </c>
      <c r="G5" s="13" t="n">
        <f aca="false">'Final Model'!$G$37</f>
        <v>117.934685234283</v>
      </c>
      <c r="H5" s="8" t="str">
        <f aca="false">IF(E5&lt;0.05,"Yes","No")</f>
        <v>Yes</v>
      </c>
    </row>
    <row r="6" customFormat="false" ht="15" hidden="false" customHeight="false" outlineLevel="0" collapsed="false">
      <c r="A6" s="8" t="s">
        <v>376</v>
      </c>
      <c r="B6" s="13" t="n">
        <f aca="false">'Final Model'!$B$38</f>
        <v>73.3697922625986</v>
      </c>
      <c r="C6" s="13" t="n">
        <f aca="false">'Final Model'!$C$38</f>
        <v>3.76598837200846</v>
      </c>
      <c r="D6" s="13" t="n">
        <f aca="false">'Final Model'!$D$38</f>
        <v>19.482214233038</v>
      </c>
      <c r="E6" s="17" t="n">
        <f aca="false">'Final Model'!$E$38</f>
        <v>7.31299432468787E-075</v>
      </c>
      <c r="F6" s="13" t="n">
        <f aca="false">'Final Model'!$F$38</f>
        <v>65.9821018159641</v>
      </c>
      <c r="G6" s="13" t="n">
        <f aca="false">'Final Model'!$G$38</f>
        <v>80.7574827092331</v>
      </c>
      <c r="H6" s="8" t="str">
        <f aca="false">IF(E6&lt;0.05,"Yes","No")</f>
        <v>Yes</v>
      </c>
    </row>
    <row r="7" customFormat="false" ht="15" hidden="false" customHeight="false" outlineLevel="0" collapsed="false">
      <c r="A7" s="8" t="s">
        <v>377</v>
      </c>
      <c r="B7" s="13" t="n">
        <f aca="false">'Final Model'!$B$39</f>
        <v>74.5519638053599</v>
      </c>
      <c r="C7" s="13" t="n">
        <f aca="false">'Final Model'!$C$39</f>
        <v>5.03972482076628</v>
      </c>
      <c r="D7" s="13" t="n">
        <f aca="false">'Final Model'!$D$39</f>
        <v>14.7928639869715</v>
      </c>
      <c r="E7" s="17" t="n">
        <f aca="false">'Final Model'!$E$39</f>
        <v>4.56617208066486E-046</v>
      </c>
      <c r="F7" s="13" t="n">
        <f aca="false">'Final Model'!$F$39</f>
        <v>64.6656011206591</v>
      </c>
      <c r="G7" s="13" t="n">
        <f aca="false">'Final Model'!$G$39</f>
        <v>84.4383264900608</v>
      </c>
      <c r="H7" s="8" t="str">
        <f aca="false">IF(E7&lt;0.05,"Yes","No")</f>
        <v>Yes</v>
      </c>
    </row>
    <row r="9" customFormat="false" ht="15" hidden="false" customHeight="false" outlineLevel="0" collapsed="false">
      <c r="A9" s="7" t="s">
        <v>378</v>
      </c>
    </row>
    <row r="10" customFormat="false" ht="15" hidden="false" customHeight="false" outlineLevel="0" collapsed="false">
      <c r="A10" s="4" t="s">
        <v>379</v>
      </c>
      <c r="B10" s="4" t="s">
        <v>380</v>
      </c>
      <c r="C10" s="4" t="s">
        <v>253</v>
      </c>
      <c r="D10" s="4" t="s">
        <v>381</v>
      </c>
    </row>
    <row r="11" customFormat="false" ht="23.85" hidden="false" customHeight="false" outlineLevel="0" collapsed="false">
      <c r="A11" s="8" t="s">
        <v>382</v>
      </c>
      <c r="B11" s="16" t="n">
        <f aca="false">(('Final Model'!$B$19-'Demo Analysis'!$B$59)/2)/((1-'Final Model'!$B$19)/'Final Model'!$B$24)</f>
        <v>294.095640798592</v>
      </c>
      <c r="C11" s="17" t="n">
        <f aca="false">_xlfn.F.DIST.RT(B11,2,'Final Model'!$B$24)</f>
        <v>4.31080229426843E-107</v>
      </c>
      <c r="D11" s="9" t="s">
        <v>383</v>
      </c>
    </row>
    <row r="12" customFormat="false" ht="35.05" hidden="false" customHeight="false" outlineLevel="0" collapsed="false">
      <c r="A12" s="8" t="s">
        <v>384</v>
      </c>
      <c r="B12" s="16" t="n">
        <f aca="false">(('Final Model'!$B$19-'Demo Analysis'!$B$100)/3)/((1-'Final Model'!$B$19)/'Final Model'!$B$24)</f>
        <v>305.747907659596</v>
      </c>
      <c r="C12" s="17" t="n">
        <f aca="false">_xlfn.F.DIST.RT(B12,3,'Final Model'!$B$24)</f>
        <v>4.02497204410708E-152</v>
      </c>
      <c r="D12" s="9" t="s">
        <v>385</v>
      </c>
    </row>
    <row r="13" customFormat="false" ht="23.85" hidden="false" customHeight="false" outlineLevel="0" collapsed="false">
      <c r="A13" s="8" t="s">
        <v>386</v>
      </c>
      <c r="B13" s="16" t="n">
        <f aca="false">'Final Model'!$B$39-'Final Model'!$B$38</f>
        <v>1.18217154276131</v>
      </c>
      <c r="D13" s="9" t="s">
        <v>387</v>
      </c>
    </row>
    <row r="14" customFormat="false" ht="15" hidden="false" customHeight="false" outlineLevel="0" collapsed="false">
      <c r="A14" s="8" t="s">
        <v>388</v>
      </c>
      <c r="B14" s="13" t="n">
        <f aca="false">'Final Model'!$B$21*SQRT('Final Model'!$G$64+'Final Model'!$H$65-2*'Final Model'!$H$64)</f>
        <v>6.23679163867494</v>
      </c>
    </row>
    <row r="15" customFormat="false" ht="35.05" hidden="false" customHeight="false" outlineLevel="0" collapsed="false">
      <c r="A15" s="8" t="s">
        <v>389</v>
      </c>
      <c r="B15" s="13" t="n">
        <f aca="false">B13/B14</f>
        <v>0.189548025852035</v>
      </c>
      <c r="C15" s="17" t="n">
        <f aca="false">_xlfn.T.DIST.2T(ABS(B15),'Final Model'!$B$24)</f>
        <v>0.849691233068012</v>
      </c>
      <c r="D15" s="9" t="s">
        <v>390</v>
      </c>
    </row>
    <row r="16" customFormat="false" ht="35.05" hidden="false" customHeight="false" outlineLevel="0" collapsed="false">
      <c r="A16" s="8" t="s">
        <v>391</v>
      </c>
      <c r="B16" s="16" t="n">
        <f aca="false">'Final Model'!$B$37-'Final Model'!$B$38</f>
        <v>33.3829041452005</v>
      </c>
      <c r="C16" s="17" t="n">
        <f aca="false">_xlfn.T.DIST.2T(ABS(B16/('Final Model'!$B$21*SQRT('Final Model'!$F$63+'Final Model'!$G$64-2*'Final Model'!$G$63))),'Final Model'!$B$24)</f>
        <v>1.07548179318707E-006</v>
      </c>
      <c r="D16" s="9" t="s">
        <v>392</v>
      </c>
    </row>
    <row r="18" customFormat="false" ht="15" hidden="false" customHeight="false" outlineLevel="0" collapsed="false">
      <c r="A18" s="7" t="s">
        <v>393</v>
      </c>
    </row>
    <row r="19" customFormat="false" ht="15" hidden="false" customHeight="false" outlineLevel="0" collapsed="false">
      <c r="A19" s="8" t="s">
        <v>394</v>
      </c>
      <c r="B19" s="16" t="n">
        <f aca="false">B5+3*B6</f>
        <v>326.862073195595</v>
      </c>
    </row>
    <row r="20" customFormat="false" ht="15" hidden="false" customHeight="false" outlineLevel="0" collapsed="false">
      <c r="A20" s="8" t="s">
        <v>395</v>
      </c>
      <c r="B20" s="16" t="n">
        <f aca="false">B5+3*B6+2*B7</f>
        <v>475.966000806315</v>
      </c>
    </row>
    <row r="21" customFormat="false" ht="23.85" hidden="false" customHeight="false" outlineLevel="0" collapsed="false">
      <c r="A21" s="14" t="s">
        <v>396</v>
      </c>
    </row>
    <row r="22" customFormat="false" ht="45" hidden="false" customHeight="true" outlineLevel="0" collapsed="false">
      <c r="A22" s="14" t="s">
        <v>397</v>
      </c>
    </row>
    <row r="41" customFormat="false" ht="17.35" hidden="false" customHeight="false" outlineLevel="0" collapsed="false">
      <c r="A41" s="1" t="s">
        <v>398</v>
      </c>
    </row>
    <row r="42" customFormat="false" ht="15" hidden="false" customHeight="false" outlineLevel="0" collapsed="false">
      <c r="A42" s="3" t="s">
        <v>399</v>
      </c>
    </row>
    <row r="44" customFormat="false" ht="15" hidden="false" customHeight="false" outlineLevel="0" collapsed="false">
      <c r="A44" s="7" t="s">
        <v>267</v>
      </c>
    </row>
    <row r="45" customFormat="false" ht="15" hidden="false" customHeight="false" outlineLevel="0" collapsed="false">
      <c r="A45" s="8" t="s">
        <v>268</v>
      </c>
      <c r="B45" s="11" t="s">
        <v>269</v>
      </c>
    </row>
    <row r="46" customFormat="false" ht="15" hidden="false" customHeight="false" outlineLevel="0" collapsed="false">
      <c r="A46" s="8" t="s">
        <v>270</v>
      </c>
      <c r="B46" s="11" t="s">
        <v>400</v>
      </c>
    </row>
    <row r="48" customFormat="false" ht="15" hidden="false" customHeight="false" outlineLevel="0" collapsed="false">
      <c r="A48" s="7" t="s">
        <v>272</v>
      </c>
    </row>
    <row r="49" customFormat="false" ht="15" hidden="false" customHeight="false" outlineLevel="0" collapsed="false">
      <c r="B49" s="4" t="s">
        <v>28</v>
      </c>
      <c r="C49" s="4" t="s">
        <v>175</v>
      </c>
      <c r="D49" s="4" t="s">
        <v>27</v>
      </c>
      <c r="E49" s="4" t="s">
        <v>172</v>
      </c>
      <c r="F49" s="4" t="s">
        <v>171</v>
      </c>
      <c r="G49" s="4" t="s">
        <v>273</v>
      </c>
    </row>
    <row r="50" customFormat="false" ht="15" hidden="false" customHeight="false" outlineLevel="0" collapsed="false">
      <c r="A50" s="8" t="s">
        <v>274</v>
      </c>
      <c r="B50" s="18" t="n">
        <f aca="false" t="array" ref="B50:G54">IFERROR(LINEST('Analysis Data'!$C$2:$C$1387,'Analysis Data'!$W$2:$AA$1387,TRUE(),TRUE()),"")</f>
        <v>103.339930550506</v>
      </c>
      <c r="C50" s="18" t="n">
        <v>445.119893726755</v>
      </c>
      <c r="D50" s="18" t="n">
        <v>16.0340444171607</v>
      </c>
      <c r="E50" s="18" t="n">
        <v>79.456803059911</v>
      </c>
      <c r="F50" s="18" t="n">
        <v>-25.9050427065049</v>
      </c>
      <c r="G50" s="18" t="n">
        <v>298.317055119979</v>
      </c>
    </row>
    <row r="51" customFormat="false" ht="15" hidden="false" customHeight="false" outlineLevel="0" collapsed="false">
      <c r="A51" s="8" t="s">
        <v>275</v>
      </c>
      <c r="B51" s="18" t="n">
        <v>6.80000052880223</v>
      </c>
      <c r="C51" s="18" t="n">
        <v>17.5736708051529</v>
      </c>
      <c r="D51" s="18" t="n">
        <v>14.3952804668764</v>
      </c>
      <c r="E51" s="18" t="n">
        <v>3.45217442558415</v>
      </c>
      <c r="F51" s="18" t="n">
        <v>3.61435396824024</v>
      </c>
      <c r="G51" s="18" t="n">
        <v>14.4284014356701</v>
      </c>
    </row>
    <row r="52" customFormat="false" ht="15" hidden="false" customHeight="false" outlineLevel="0" collapsed="false">
      <c r="A52" s="8" t="s">
        <v>276</v>
      </c>
      <c r="B52" s="18" t="n">
        <v>0.72298738534991</v>
      </c>
      <c r="C52" s="18" t="n">
        <v>58.5265778653345</v>
      </c>
      <c r="D52" s="18" t="str">
        <v/>
      </c>
      <c r="E52" s="18" t="str">
        <v/>
      </c>
      <c r="F52" s="18" t="str">
        <v/>
      </c>
      <c r="G52" s="18" t="str">
        <v/>
      </c>
    </row>
    <row r="53" customFormat="false" ht="15" hidden="false" customHeight="false" outlineLevel="0" collapsed="false">
      <c r="A53" s="8" t="s">
        <v>277</v>
      </c>
      <c r="B53" s="18" t="n">
        <v>720.344517915298</v>
      </c>
      <c r="C53" s="18" t="n">
        <v>1380</v>
      </c>
      <c r="D53" s="18" t="str">
        <v/>
      </c>
      <c r="E53" s="18" t="str">
        <v/>
      </c>
      <c r="F53" s="18" t="str">
        <v/>
      </c>
      <c r="G53" s="18" t="str">
        <v/>
      </c>
    </row>
    <row r="54" customFormat="false" ht="15" hidden="false" customHeight="false" outlineLevel="0" collapsed="false">
      <c r="A54" s="8" t="s">
        <v>278</v>
      </c>
      <c r="B54" s="18" t="n">
        <v>12337197.6298346</v>
      </c>
      <c r="C54" s="18" t="n">
        <v>4726997.23694535</v>
      </c>
      <c r="D54" s="18" t="str">
        <v/>
      </c>
      <c r="E54" s="18" t="str">
        <v/>
      </c>
      <c r="F54" s="18" t="str">
        <v/>
      </c>
      <c r="G54" s="18" t="str">
        <v/>
      </c>
    </row>
    <row r="57" customFormat="false" ht="15" hidden="false" customHeight="false" outlineLevel="0" collapsed="false">
      <c r="A57" s="7" t="s">
        <v>279</v>
      </c>
    </row>
    <row r="58" customFormat="false" ht="15" hidden="false" customHeight="false" outlineLevel="0" collapsed="false">
      <c r="A58" s="8" t="s">
        <v>280</v>
      </c>
      <c r="B58" s="18" t="n">
        <f aca="false">SQRT(INDEX('Demo Analysis'!$B$50:$G$54,3,1))</f>
        <v>0.850286648930765</v>
      </c>
    </row>
    <row r="59" customFormat="false" ht="15" hidden="false" customHeight="false" outlineLevel="0" collapsed="false">
      <c r="A59" s="8" t="s">
        <v>281</v>
      </c>
      <c r="B59" s="19" t="n">
        <f aca="false">INDEX('Demo Analysis'!$B$50:$G$54,3,1)</f>
        <v>0.72298738534991</v>
      </c>
    </row>
    <row r="60" customFormat="false" ht="15" hidden="false" customHeight="false" outlineLevel="0" collapsed="false">
      <c r="A60" s="8" t="s">
        <v>282</v>
      </c>
      <c r="B60" s="19" t="n">
        <f aca="false">1-(1-'Demo Analysis'!$B$59)*('Demo Analysis'!$B$62-1)/'Demo Analysis'!$B$64</f>
        <v>0.72198371645625</v>
      </c>
    </row>
    <row r="61" customFormat="false" ht="15" hidden="false" customHeight="false" outlineLevel="0" collapsed="false">
      <c r="A61" s="8" t="s">
        <v>283</v>
      </c>
      <c r="B61" s="16" t="n">
        <f aca="false">INDEX('Demo Analysis'!$B$50:$G$54,3,2)</f>
        <v>58.5265778653345</v>
      </c>
    </row>
    <row r="62" customFormat="false" ht="15" hidden="false" customHeight="false" outlineLevel="0" collapsed="false">
      <c r="A62" s="8" t="s">
        <v>284</v>
      </c>
      <c r="B62" s="12" t="n">
        <f aca="false">COUNT('Analysis Data'!$C$2:$C$1387)</f>
        <v>1386</v>
      </c>
    </row>
    <row r="63" customFormat="false" ht="15" hidden="false" customHeight="false" outlineLevel="0" collapsed="false">
      <c r="A63" s="8" t="s">
        <v>285</v>
      </c>
      <c r="B63" s="12" t="n">
        <f aca="false">5</f>
        <v>5</v>
      </c>
    </row>
    <row r="64" customFormat="false" ht="15" hidden="false" customHeight="false" outlineLevel="0" collapsed="false">
      <c r="A64" s="8" t="s">
        <v>286</v>
      </c>
      <c r="B64" s="12" t="n">
        <f aca="false">INDEX('Demo Analysis'!$B$50:$G$54,4,2)</f>
        <v>1380</v>
      </c>
    </row>
    <row r="65" customFormat="false" ht="15" hidden="false" customHeight="false" outlineLevel="0" collapsed="false">
      <c r="A65" s="8" t="s">
        <v>287</v>
      </c>
      <c r="B65" s="16" t="n">
        <f aca="false">INDEX('Demo Analysis'!$B$50:$G$54,4,1)</f>
        <v>720.344517915298</v>
      </c>
    </row>
    <row r="66" customFormat="false" ht="15" hidden="false" customHeight="false" outlineLevel="0" collapsed="false">
      <c r="A66" s="8" t="s">
        <v>288</v>
      </c>
      <c r="B66" s="17" t="n">
        <f aca="false">_xlfn.F.DIST.RT('Demo Analysis'!$B$65,'Demo Analysis'!$B$63,'Demo Analysis'!$B$64)</f>
        <v>0</v>
      </c>
    </row>
    <row r="67" customFormat="false" ht="15" hidden="false" customHeight="false" outlineLevel="0" collapsed="false">
      <c r="A67" s="8" t="s">
        <v>289</v>
      </c>
      <c r="B67" s="15" t="n">
        <f aca="false">INDEX('Demo Analysis'!$B$50:$G$54,5,1)</f>
        <v>12337197.6298346</v>
      </c>
    </row>
    <row r="68" customFormat="false" ht="15" hidden="false" customHeight="false" outlineLevel="0" collapsed="false">
      <c r="A68" s="8" t="s">
        <v>290</v>
      </c>
      <c r="B68" s="15" t="n">
        <f aca="false">INDEX('Demo Analysis'!$B$50:$G$54,5,2)</f>
        <v>4726997.23694535</v>
      </c>
    </row>
    <row r="69" customFormat="false" ht="15" hidden="false" customHeight="false" outlineLevel="0" collapsed="false">
      <c r="A69" s="8" t="s">
        <v>291</v>
      </c>
      <c r="B69" s="15" t="n">
        <f aca="false">'Demo Analysis'!$B$67+'Demo Analysis'!$B$68</f>
        <v>17064194.8667799</v>
      </c>
    </row>
    <row r="71" customFormat="false" ht="15" hidden="false" customHeight="false" outlineLevel="0" collapsed="false">
      <c r="A71" s="7" t="s">
        <v>292</v>
      </c>
    </row>
    <row r="72" customFormat="false" ht="15" hidden="false" customHeight="false" outlineLevel="0" collapsed="false">
      <c r="A72" s="4" t="s">
        <v>214</v>
      </c>
      <c r="B72" s="4" t="s">
        <v>274</v>
      </c>
      <c r="C72" s="4" t="s">
        <v>275</v>
      </c>
      <c r="D72" s="4" t="s">
        <v>293</v>
      </c>
      <c r="E72" s="4" t="s">
        <v>253</v>
      </c>
      <c r="F72" s="4" t="s">
        <v>294</v>
      </c>
      <c r="G72" s="4" t="s">
        <v>295</v>
      </c>
    </row>
    <row r="73" customFormat="false" ht="15" hidden="false" customHeight="false" outlineLevel="0" collapsed="false">
      <c r="A73" s="8" t="s">
        <v>273</v>
      </c>
      <c r="B73" s="13" t="n">
        <f aca="false">INDEX('Demo Analysis'!$B$50:$G$54,1,6)</f>
        <v>298.317055119979</v>
      </c>
      <c r="C73" s="13" t="n">
        <f aca="false">INDEX('Demo Analysis'!$B$50:$G$54,2,6)</f>
        <v>14.4284014356701</v>
      </c>
      <c r="D73" s="15" t="n">
        <f aca="false">B73/C73</f>
        <v>20.6756830581714</v>
      </c>
      <c r="E73" s="17" t="n">
        <f aca="false">_xlfn.T.DIST.2T(ABS(D73),'Demo Analysis'!$B$64)</f>
        <v>6.01455185805359E-083</v>
      </c>
      <c r="F73" s="13" t="n">
        <f aca="false">B73-_xlfn.T.INV.2T(0.05,'Demo Analysis'!$B$64)*C73</f>
        <v>270.013083595604</v>
      </c>
      <c r="G73" s="13" t="n">
        <f aca="false">B73+_xlfn.T.INV.2T(0.05,'Demo Analysis'!$B$64)*C73</f>
        <v>326.621026644354</v>
      </c>
    </row>
    <row r="74" customFormat="false" ht="15" hidden="false" customHeight="false" outlineLevel="0" collapsed="false">
      <c r="A74" s="8" t="s">
        <v>171</v>
      </c>
      <c r="B74" s="13" t="n">
        <f aca="false">INDEX('Demo Analysis'!$B$50:$G$54,1,5)</f>
        <v>-25.9050427065049</v>
      </c>
      <c r="C74" s="13" t="n">
        <f aca="false">INDEX('Demo Analysis'!$B$50:$G$54,2,5)</f>
        <v>3.61435396824024</v>
      </c>
      <c r="D74" s="15" t="n">
        <f aca="false">B74/C74</f>
        <v>-7.16726777015633</v>
      </c>
      <c r="E74" s="17" t="n">
        <f aca="false">_xlfn.T.DIST.2T(ABS(D74),'Demo Analysis'!$B$64)</f>
        <v>1.24218267403735E-012</v>
      </c>
      <c r="F74" s="13" t="n">
        <f aca="false">B74-_xlfn.T.INV.2T(0.05,'Demo Analysis'!$B$64)*C74</f>
        <v>-32.9952648806105</v>
      </c>
      <c r="G74" s="13" t="n">
        <f aca="false">B74+_xlfn.T.INV.2T(0.05,'Demo Analysis'!$B$64)*C74</f>
        <v>-18.8148205323994</v>
      </c>
    </row>
    <row r="75" customFormat="false" ht="15" hidden="false" customHeight="false" outlineLevel="0" collapsed="false">
      <c r="A75" s="8" t="s">
        <v>172</v>
      </c>
      <c r="B75" s="13" t="n">
        <f aca="false">INDEX('Demo Analysis'!$B$50:$G$54,1,4)</f>
        <v>79.456803059911</v>
      </c>
      <c r="C75" s="13" t="n">
        <f aca="false">INDEX('Demo Analysis'!$B$50:$G$54,2,4)</f>
        <v>3.45217442558415</v>
      </c>
      <c r="D75" s="15" t="n">
        <f aca="false">B75/C75</f>
        <v>23.0164508696475</v>
      </c>
      <c r="E75" s="17" t="n">
        <f aca="false">_xlfn.T.DIST.2T(ABS(D75),'Demo Analysis'!$B$64)</f>
        <v>1.7833205164674E-099</v>
      </c>
      <c r="F75" s="13" t="n">
        <f aca="false">B75-_xlfn.T.INV.2T(0.05,'Demo Analysis'!$B$64)*C75</f>
        <v>72.6847259816181</v>
      </c>
      <c r="G75" s="13" t="n">
        <f aca="false">B75+_xlfn.T.INV.2T(0.05,'Demo Analysis'!$B$64)*C75</f>
        <v>86.2288801382039</v>
      </c>
    </row>
    <row r="76" customFormat="false" ht="15" hidden="false" customHeight="false" outlineLevel="0" collapsed="false">
      <c r="A76" s="8" t="s">
        <v>27</v>
      </c>
      <c r="B76" s="13" t="n">
        <f aca="false">INDEX('Demo Analysis'!$B$50:$G$54,1,3)</f>
        <v>16.0340444171607</v>
      </c>
      <c r="C76" s="13" t="n">
        <f aca="false">INDEX('Demo Analysis'!$B$50:$G$54,2,3)</f>
        <v>14.3952804668764</v>
      </c>
      <c r="D76" s="15" t="n">
        <f aca="false">B76/C76</f>
        <v>1.11384036275328</v>
      </c>
      <c r="E76" s="17" t="n">
        <f aca="false">_xlfn.T.DIST.2T(ABS(D76),'Demo Analysis'!$B$64)</f>
        <v>0.265541637238404</v>
      </c>
      <c r="F76" s="13" t="n">
        <f aca="false">B76-_xlfn.T.INV.2T(0.05,'Demo Analysis'!$B$64)*C76</f>
        <v>-12.2049542159502</v>
      </c>
      <c r="G76" s="13" t="n">
        <f aca="false">B76+_xlfn.T.INV.2T(0.05,'Demo Analysis'!$B$64)*C76</f>
        <v>44.2730430502716</v>
      </c>
    </row>
    <row r="77" customFormat="false" ht="15" hidden="false" customHeight="false" outlineLevel="0" collapsed="false">
      <c r="A77" s="8" t="s">
        <v>175</v>
      </c>
      <c r="B77" s="13" t="n">
        <f aca="false">INDEX('Demo Analysis'!$B$50:$G$54,1,2)</f>
        <v>445.119893726755</v>
      </c>
      <c r="C77" s="13" t="n">
        <f aca="false">INDEX('Demo Analysis'!$B$50:$G$54,2,2)</f>
        <v>17.5736708051529</v>
      </c>
      <c r="D77" s="15" t="n">
        <f aca="false">B77/C77</f>
        <v>25.3287943459279</v>
      </c>
      <c r="E77" s="17" t="n">
        <f aca="false">_xlfn.T.DIST.2T(ABS(D77),'Demo Analysis'!$B$64)</f>
        <v>1.49648362721814E-116</v>
      </c>
      <c r="F77" s="13" t="n">
        <f aca="false">B77-_xlfn.T.INV.2T(0.05,'Demo Analysis'!$B$64)*C77</f>
        <v>410.645896017064</v>
      </c>
      <c r="G77" s="13" t="n">
        <f aca="false">B77+_xlfn.T.INV.2T(0.05,'Demo Analysis'!$B$64)*C77</f>
        <v>479.593891436446</v>
      </c>
    </row>
    <row r="78" customFormat="false" ht="15" hidden="false" customHeight="false" outlineLevel="0" collapsed="false">
      <c r="A78" s="8" t="s">
        <v>28</v>
      </c>
      <c r="B78" s="13" t="n">
        <f aca="false">INDEX('Demo Analysis'!$B$50:$G$54,1,1)</f>
        <v>103.339930550506</v>
      </c>
      <c r="C78" s="13" t="n">
        <f aca="false">INDEX('Demo Analysis'!$B$50:$G$54,2,1)</f>
        <v>6.80000052880223</v>
      </c>
      <c r="D78" s="15" t="n">
        <f aca="false">B78/C78</f>
        <v>15.1970474285696</v>
      </c>
      <c r="E78" s="17" t="n">
        <f aca="false">_xlfn.T.DIST.2T(ABS(D78),'Demo Analysis'!$B$64)</f>
        <v>2.40849963262127E-048</v>
      </c>
      <c r="F78" s="13" t="n">
        <f aca="false">B78-_xlfn.T.INV.2T(0.05,'Demo Analysis'!$B$64)*C78</f>
        <v>90.0004748810003</v>
      </c>
      <c r="G78" s="13" t="n">
        <f aca="false">B78+_xlfn.T.INV.2T(0.05,'Demo Analysis'!$B$64)*C78</f>
        <v>116.679386220012</v>
      </c>
    </row>
    <row r="82" customFormat="false" ht="17.35" hidden="false" customHeight="false" outlineLevel="0" collapsed="false">
      <c r="A82" s="1" t="s">
        <v>401</v>
      </c>
    </row>
    <row r="83" customFormat="false" ht="15" hidden="false" customHeight="false" outlineLevel="0" collapsed="false">
      <c r="A83" s="3" t="s">
        <v>402</v>
      </c>
    </row>
    <row r="85" customFormat="false" ht="15" hidden="false" customHeight="false" outlineLevel="0" collapsed="false">
      <c r="A85" s="7" t="s">
        <v>267</v>
      </c>
    </row>
    <row r="86" customFormat="false" ht="15" hidden="false" customHeight="false" outlineLevel="0" collapsed="false">
      <c r="A86" s="8" t="s">
        <v>268</v>
      </c>
      <c r="B86" s="11" t="s">
        <v>269</v>
      </c>
    </row>
    <row r="87" customFormat="false" ht="15" hidden="false" customHeight="false" outlineLevel="0" collapsed="false">
      <c r="A87" s="8" t="s">
        <v>270</v>
      </c>
      <c r="B87" s="11" t="s">
        <v>403</v>
      </c>
    </row>
    <row r="89" customFormat="false" ht="15" hidden="false" customHeight="false" outlineLevel="0" collapsed="false">
      <c r="A89" s="7" t="s">
        <v>272</v>
      </c>
    </row>
    <row r="90" customFormat="false" ht="15" hidden="false" customHeight="false" outlineLevel="0" collapsed="false">
      <c r="B90" s="4" t="s">
        <v>175</v>
      </c>
      <c r="C90" s="4" t="s">
        <v>27</v>
      </c>
      <c r="D90" s="4" t="s">
        <v>172</v>
      </c>
      <c r="E90" s="4" t="s">
        <v>171</v>
      </c>
      <c r="F90" s="4" t="s">
        <v>273</v>
      </c>
    </row>
    <row r="91" customFormat="false" ht="15" hidden="false" customHeight="false" outlineLevel="0" collapsed="false">
      <c r="A91" s="8" t="s">
        <v>274</v>
      </c>
      <c r="B91" s="18" t="n">
        <f aca="false" t="array" ref="B91:F95">IFERROR(LINEST('Analysis Data'!$C$2:$C$1387,'Analysis Data'!$W$2:$Z$1387,TRUE(),TRUE()),"")</f>
        <v>452.383830776899</v>
      </c>
      <c r="C91" s="18" t="n">
        <v>20.2218226533983</v>
      </c>
      <c r="D91" s="18" t="n">
        <v>86.2239766349235</v>
      </c>
      <c r="E91" s="18" t="n">
        <v>-25.3304075124854</v>
      </c>
      <c r="F91" s="18" t="n">
        <v>297.927028467153</v>
      </c>
    </row>
    <row r="92" customFormat="false" ht="15" hidden="false" customHeight="false" outlineLevel="0" collapsed="false">
      <c r="A92" s="8" t="s">
        <v>275</v>
      </c>
      <c r="B92" s="18" t="n">
        <v>18.9734371027314</v>
      </c>
      <c r="C92" s="18" t="n">
        <v>15.5447867563035</v>
      </c>
      <c r="D92" s="18" t="n">
        <v>3.69737572517387</v>
      </c>
      <c r="E92" s="18" t="n">
        <v>3.90347264404381</v>
      </c>
      <c r="F92" s="18" t="n">
        <v>15.583383372529</v>
      </c>
    </row>
    <row r="93" customFormat="false" ht="15" hidden="false" customHeight="false" outlineLevel="0" collapsed="false">
      <c r="A93" s="8" t="s">
        <v>276</v>
      </c>
      <c r="B93" s="18" t="n">
        <v>0.676627868858682</v>
      </c>
      <c r="C93" s="18" t="n">
        <v>63.2116833780158</v>
      </c>
      <c r="D93" s="18" t="str">
        <v/>
      </c>
      <c r="E93" s="18" t="str">
        <v/>
      </c>
      <c r="F93" s="18" t="str">
        <v/>
      </c>
    </row>
    <row r="94" customFormat="false" ht="15" hidden="false" customHeight="false" outlineLevel="0" collapsed="false">
      <c r="A94" s="8" t="s">
        <v>277</v>
      </c>
      <c r="B94" s="18" t="n">
        <v>722.405393745484</v>
      </c>
      <c r="C94" s="18" t="n">
        <v>1381</v>
      </c>
      <c r="D94" s="18" t="str">
        <v/>
      </c>
      <c r="E94" s="18" t="str">
        <v/>
      </c>
      <c r="F94" s="18" t="str">
        <v/>
      </c>
    </row>
    <row r="95" customFormat="false" ht="15" hidden="false" customHeight="false" outlineLevel="0" collapsed="false">
      <c r="A95" s="8" t="s">
        <v>278</v>
      </c>
      <c r="B95" s="18" t="n">
        <v>11546109.8064986</v>
      </c>
      <c r="C95" s="18" t="n">
        <v>5518085.06028136</v>
      </c>
      <c r="D95" s="18" t="str">
        <v/>
      </c>
      <c r="E95" s="18" t="str">
        <v/>
      </c>
      <c r="F95" s="18" t="str">
        <v/>
      </c>
    </row>
    <row r="98" customFormat="false" ht="15" hidden="false" customHeight="false" outlineLevel="0" collapsed="false">
      <c r="A98" s="7" t="s">
        <v>279</v>
      </c>
    </row>
    <row r="99" customFormat="false" ht="15" hidden="false" customHeight="false" outlineLevel="0" collapsed="false">
      <c r="A99" s="8" t="s">
        <v>280</v>
      </c>
      <c r="B99" s="18" t="n">
        <f aca="false">SQRT(INDEX('Demo Analysis'!$B$91:$F$95,3,1))</f>
        <v>0.822573929114388</v>
      </c>
    </row>
    <row r="100" customFormat="false" ht="15" hidden="false" customHeight="false" outlineLevel="0" collapsed="false">
      <c r="A100" s="8" t="s">
        <v>281</v>
      </c>
      <c r="B100" s="19" t="n">
        <f aca="false">INDEX('Demo Analysis'!$B$91:$F$95,3,1)</f>
        <v>0.676627868858682</v>
      </c>
    </row>
    <row r="101" customFormat="false" ht="15" hidden="false" customHeight="false" outlineLevel="0" collapsed="false">
      <c r="A101" s="8" t="s">
        <v>282</v>
      </c>
      <c r="B101" s="19" t="n">
        <f aca="false">1-(1-'Demo Analysis'!$B$100)*('Demo Analysis'!$B$103-1)/'Demo Analysis'!$B$105</f>
        <v>0.675691237052335</v>
      </c>
    </row>
    <row r="102" customFormat="false" ht="15" hidden="false" customHeight="false" outlineLevel="0" collapsed="false">
      <c r="A102" s="8" t="s">
        <v>283</v>
      </c>
      <c r="B102" s="16" t="n">
        <f aca="false">INDEX('Demo Analysis'!$B$91:$F$95,3,2)</f>
        <v>63.2116833780158</v>
      </c>
    </row>
    <row r="103" customFormat="false" ht="15" hidden="false" customHeight="false" outlineLevel="0" collapsed="false">
      <c r="A103" s="8" t="s">
        <v>284</v>
      </c>
      <c r="B103" s="12" t="n">
        <f aca="false">COUNT('Analysis Data'!$C$2:$C$1387)</f>
        <v>1386</v>
      </c>
    </row>
    <row r="104" customFormat="false" ht="15" hidden="false" customHeight="false" outlineLevel="0" collapsed="false">
      <c r="A104" s="8" t="s">
        <v>285</v>
      </c>
      <c r="B104" s="12" t="n">
        <f aca="false">4</f>
        <v>4</v>
      </c>
    </row>
    <row r="105" customFormat="false" ht="15" hidden="false" customHeight="false" outlineLevel="0" collapsed="false">
      <c r="A105" s="8" t="s">
        <v>286</v>
      </c>
      <c r="B105" s="12" t="n">
        <f aca="false">INDEX('Demo Analysis'!$B$91:$F$95,4,2)</f>
        <v>1381</v>
      </c>
    </row>
    <row r="106" customFormat="false" ht="15" hidden="false" customHeight="false" outlineLevel="0" collapsed="false">
      <c r="A106" s="8" t="s">
        <v>287</v>
      </c>
      <c r="B106" s="16" t="n">
        <f aca="false">INDEX('Demo Analysis'!$B$91:$F$95,4,1)</f>
        <v>722.405393745484</v>
      </c>
    </row>
    <row r="107" customFormat="false" ht="15" hidden="false" customHeight="false" outlineLevel="0" collapsed="false">
      <c r="A107" s="8" t="s">
        <v>288</v>
      </c>
      <c r="B107" s="17" t="n">
        <f aca="false">_xlfn.F.DIST.RT('Demo Analysis'!$B$106,'Demo Analysis'!$B$104,'Demo Analysis'!$B$105)</f>
        <v>0</v>
      </c>
    </row>
    <row r="108" customFormat="false" ht="15" hidden="false" customHeight="false" outlineLevel="0" collapsed="false">
      <c r="A108" s="8" t="s">
        <v>289</v>
      </c>
      <c r="B108" s="15" t="n">
        <f aca="false">INDEX('Demo Analysis'!$B$91:$F$95,5,1)</f>
        <v>11546109.8064986</v>
      </c>
    </row>
    <row r="109" customFormat="false" ht="15" hidden="false" customHeight="false" outlineLevel="0" collapsed="false">
      <c r="A109" s="8" t="s">
        <v>290</v>
      </c>
      <c r="B109" s="15" t="n">
        <f aca="false">INDEX('Demo Analysis'!$B$91:$F$95,5,2)</f>
        <v>5518085.06028136</v>
      </c>
    </row>
    <row r="110" customFormat="false" ht="15" hidden="false" customHeight="false" outlineLevel="0" collapsed="false">
      <c r="A110" s="8" t="s">
        <v>291</v>
      </c>
      <c r="B110" s="15" t="n">
        <f aca="false">'Demo Analysis'!$B$108+'Demo Analysis'!$B$109</f>
        <v>17064194.8667799</v>
      </c>
    </row>
    <row r="112" customFormat="false" ht="15" hidden="false" customHeight="false" outlineLevel="0" collapsed="false">
      <c r="A112" s="7" t="s">
        <v>292</v>
      </c>
    </row>
    <row r="113" customFormat="false" ht="15" hidden="false" customHeight="false" outlineLevel="0" collapsed="false">
      <c r="A113" s="4" t="s">
        <v>214</v>
      </c>
      <c r="B113" s="4" t="s">
        <v>274</v>
      </c>
      <c r="C113" s="4" t="s">
        <v>275</v>
      </c>
      <c r="D113" s="4" t="s">
        <v>293</v>
      </c>
      <c r="E113" s="4" t="s">
        <v>253</v>
      </c>
      <c r="F113" s="4" t="s">
        <v>294</v>
      </c>
      <c r="G113" s="4" t="s">
        <v>295</v>
      </c>
    </row>
    <row r="114" customFormat="false" ht="15" hidden="false" customHeight="false" outlineLevel="0" collapsed="false">
      <c r="A114" s="8" t="s">
        <v>273</v>
      </c>
      <c r="B114" s="13" t="n">
        <f aca="false">INDEX('Demo Analysis'!$B$91:$F$95,1,5)</f>
        <v>297.927028467153</v>
      </c>
      <c r="C114" s="13" t="n">
        <f aca="false">INDEX('Demo Analysis'!$B$91:$F$95,2,5)</f>
        <v>15.583383372529</v>
      </c>
      <c r="D114" s="15" t="n">
        <f aca="false">B114/C114</f>
        <v>19.1182505971297</v>
      </c>
      <c r="E114" s="17" t="n">
        <f aca="false">_xlfn.T.DIST.2T(ABS(D114),'Demo Analysis'!$B$105)</f>
        <v>1.79994022077045E-072</v>
      </c>
      <c r="F114" s="13" t="n">
        <f aca="false">B114-_xlfn.T.INV.2T(0.05,'Demo Analysis'!$B$105)*C114</f>
        <v>267.357366205306</v>
      </c>
      <c r="G114" s="13" t="n">
        <f aca="false">B114+_xlfn.T.INV.2T(0.05,'Demo Analysis'!$B$105)*C114</f>
        <v>328.496690728999</v>
      </c>
    </row>
    <row r="115" customFormat="false" ht="15" hidden="false" customHeight="false" outlineLevel="0" collapsed="false">
      <c r="A115" s="8" t="s">
        <v>171</v>
      </c>
      <c r="B115" s="13" t="n">
        <f aca="false">INDEX('Demo Analysis'!$B$91:$F$95,1,4)</f>
        <v>-25.3304075124854</v>
      </c>
      <c r="C115" s="13" t="n">
        <f aca="false">INDEX('Demo Analysis'!$B$91:$F$95,2,4)</f>
        <v>3.90347264404381</v>
      </c>
      <c r="D115" s="15" t="n">
        <f aca="false">B115/C115</f>
        <v>-6.48919816336776</v>
      </c>
      <c r="E115" s="17" t="n">
        <f aca="false">_xlfn.T.DIST.2T(ABS(D115),'Demo Analysis'!$B$105)</f>
        <v>1.19971630794616E-010</v>
      </c>
      <c r="F115" s="13" t="n">
        <f aca="false">B115-_xlfn.T.INV.2T(0.05,'Demo Analysis'!$B$105)*C115</f>
        <v>-32.9877844456058</v>
      </c>
      <c r="G115" s="13" t="n">
        <f aca="false">B115+_xlfn.T.INV.2T(0.05,'Demo Analysis'!$B$105)*C115</f>
        <v>-17.673030579365</v>
      </c>
    </row>
    <row r="116" customFormat="false" ht="15" hidden="false" customHeight="false" outlineLevel="0" collapsed="false">
      <c r="A116" s="8" t="s">
        <v>172</v>
      </c>
      <c r="B116" s="13" t="n">
        <f aca="false">INDEX('Demo Analysis'!$B$91:$F$95,1,3)</f>
        <v>86.2239766349235</v>
      </c>
      <c r="C116" s="13" t="n">
        <f aca="false">INDEX('Demo Analysis'!$B$91:$F$95,2,3)</f>
        <v>3.69737572517387</v>
      </c>
      <c r="D116" s="15" t="n">
        <f aca="false">B116/C116</f>
        <v>23.3203177182835</v>
      </c>
      <c r="E116" s="17" t="n">
        <f aca="false">_xlfn.T.DIST.2T(ABS(D116),'Demo Analysis'!$B$105)</f>
        <v>1.084191969335E-101</v>
      </c>
      <c r="F116" s="13" t="n">
        <f aca="false">B116-_xlfn.T.INV.2T(0.05,'Demo Analysis'!$B$105)*C116</f>
        <v>78.9708965770354</v>
      </c>
      <c r="G116" s="13" t="n">
        <f aca="false">B116+_xlfn.T.INV.2T(0.05,'Demo Analysis'!$B$105)*C116</f>
        <v>93.4770566928115</v>
      </c>
    </row>
    <row r="117" customFormat="false" ht="15" hidden="false" customHeight="false" outlineLevel="0" collapsed="false">
      <c r="A117" s="8" t="s">
        <v>27</v>
      </c>
      <c r="B117" s="13" t="n">
        <f aca="false">INDEX('Demo Analysis'!$B$91:$F$95,1,2)</f>
        <v>20.2218226533983</v>
      </c>
      <c r="C117" s="13" t="n">
        <f aca="false">INDEX('Demo Analysis'!$B$91:$F$95,2,2)</f>
        <v>15.5447867563035</v>
      </c>
      <c r="D117" s="15" t="n">
        <f aca="false">B117/C117</f>
        <v>1.30087488303422</v>
      </c>
      <c r="E117" s="17" t="n">
        <f aca="false">_xlfn.T.DIST.2T(ABS(D117),'Demo Analysis'!$B$105)</f>
        <v>0.193518297771576</v>
      </c>
      <c r="F117" s="13" t="n">
        <f aca="false">B117-_xlfn.T.INV.2T(0.05,'Demo Analysis'!$B$105)*C117</f>
        <v>-10.2721252725906</v>
      </c>
      <c r="G117" s="13" t="n">
        <f aca="false">B117+_xlfn.T.INV.2T(0.05,'Demo Analysis'!$B$105)*C117</f>
        <v>50.7157705793872</v>
      </c>
    </row>
    <row r="118" customFormat="false" ht="15" hidden="false" customHeight="false" outlineLevel="0" collapsed="false">
      <c r="A118" s="8" t="s">
        <v>175</v>
      </c>
      <c r="B118" s="13" t="n">
        <f aca="false">INDEX('Demo Analysis'!$B$91:$F$95,1,1)</f>
        <v>452.383830776899</v>
      </c>
      <c r="C118" s="13" t="n">
        <f aca="false">INDEX('Demo Analysis'!$B$91:$F$95,2,1)</f>
        <v>18.9734371027314</v>
      </c>
      <c r="D118" s="15" t="n">
        <f aca="false">B118/C118</f>
        <v>23.8430089565466</v>
      </c>
      <c r="E118" s="17" t="n">
        <f aca="false">_xlfn.T.DIST.2T(ABS(D118),'Demo Analysis'!$B$105)</f>
        <v>1.62938213753194E-105</v>
      </c>
      <c r="F118" s="13" t="n">
        <f aca="false">B118-_xlfn.T.INV.2T(0.05,'Demo Analysis'!$B$105)*C118</f>
        <v>415.163956869456</v>
      </c>
      <c r="G118" s="13" t="n">
        <f aca="false">B118+_xlfn.T.INV.2T(0.05,'Demo Analysis'!$B$105)*C118</f>
        <v>489.603704684343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72"/>
    <col collapsed="false" customWidth="true" hidden="false" outlineLevel="0" max="8" min="2" style="0" width="14.72"/>
  </cols>
  <sheetData>
    <row r="1" customFormat="false" ht="17.35" hidden="false" customHeight="false" outlineLevel="0" collapsed="false">
      <c r="A1" s="1" t="s">
        <v>404</v>
      </c>
    </row>
    <row r="3" customFormat="false" ht="15" hidden="false" customHeight="false" outlineLevel="0" collapsed="false">
      <c r="A3" s="7" t="s">
        <v>405</v>
      </c>
    </row>
    <row r="4" customFormat="false" ht="15" hidden="false" customHeight="false" outlineLevel="0" collapsed="false">
      <c r="A4" s="4" t="s">
        <v>406</v>
      </c>
      <c r="B4" s="4" t="s">
        <v>257</v>
      </c>
      <c r="C4" s="4" t="s">
        <v>241</v>
      </c>
    </row>
    <row r="5" customFormat="false" ht="15" hidden="false" customHeight="false" outlineLevel="0" collapsed="false">
      <c r="A5" s="8" t="s">
        <v>407</v>
      </c>
      <c r="B5" s="15" t="n">
        <f aca="false">AVERAGEIF('Analysis Data'!$F$2:$F$1387,0,'Analysis Data'!$C$2:$C$1387)</f>
        <v>240.69579271814</v>
      </c>
      <c r="C5" s="12" t="n">
        <f aca="false">COUNTIF('Analysis Data'!$F$2:$F$1387,0)</f>
        <v>1333</v>
      </c>
    </row>
    <row r="6" customFormat="false" ht="15" hidden="false" customHeight="false" outlineLevel="0" collapsed="false">
      <c r="A6" s="8" t="s">
        <v>27</v>
      </c>
      <c r="B6" s="15" t="n">
        <f aca="false">AVERAGEIF('Analysis Data'!$F$2:$F$1387,1,'Analysis Data'!$C$2:$C$1387)</f>
        <v>583.924959296509</v>
      </c>
      <c r="C6" s="12" t="n">
        <f aca="false">COUNTIF('Analysis Data'!$F$2:$F$1387,1)</f>
        <v>53</v>
      </c>
    </row>
    <row r="7" customFormat="false" ht="15" hidden="false" customHeight="false" outlineLevel="0" collapsed="false">
      <c r="A7" s="8" t="s">
        <v>408</v>
      </c>
      <c r="B7" s="16" t="n">
        <f aca="false">B6-B5</f>
        <v>343.22916657837</v>
      </c>
    </row>
    <row r="9" customFormat="false" ht="15" hidden="false" customHeight="false" outlineLevel="0" collapsed="false">
      <c r="A9" s="7" t="s">
        <v>409</v>
      </c>
      <c r="B9" s="15" t="n">
        <f aca="false">'Baseline Models'!$B$110</f>
        <v>343.22916657837</v>
      </c>
    </row>
    <row r="11" customFormat="false" ht="15" hidden="false" customHeight="false" outlineLevel="0" collapsed="false">
      <c r="A11" s="7" t="s">
        <v>410</v>
      </c>
    </row>
    <row r="12" customFormat="false" ht="15" hidden="false" customHeight="false" outlineLevel="0" collapsed="false">
      <c r="A12" s="4" t="s">
        <v>411</v>
      </c>
      <c r="B12" s="4" t="s">
        <v>353</v>
      </c>
      <c r="C12" s="4" t="s">
        <v>275</v>
      </c>
      <c r="D12" s="4" t="s">
        <v>374</v>
      </c>
      <c r="E12" s="4" t="s">
        <v>253</v>
      </c>
      <c r="F12" s="4" t="s">
        <v>294</v>
      </c>
      <c r="G12" s="4" t="s">
        <v>295</v>
      </c>
    </row>
    <row r="13" customFormat="false" ht="15" hidden="false" customHeight="false" outlineLevel="0" collapsed="false">
      <c r="A13" s="8" t="s">
        <v>412</v>
      </c>
      <c r="B13" s="13" t="n">
        <f aca="false">'Final Model'!$B$36</f>
        <v>0.620382769807777</v>
      </c>
      <c r="C13" s="13" t="n">
        <f aca="false">'Final Model'!$C$36</f>
        <v>12.076893995872</v>
      </c>
      <c r="D13" s="13" t="n">
        <f aca="false">'Final Model'!$D$36</f>
        <v>0.0513693976298731</v>
      </c>
      <c r="E13" s="17" t="n">
        <f aca="false">'Final Model'!$E$36</f>
        <v>0.959038614763453</v>
      </c>
      <c r="F13" s="13" t="n">
        <f aca="false">'Final Model'!$F$36</f>
        <v>-23.0707032307416</v>
      </c>
      <c r="G13" s="13" t="n">
        <f aca="false">'Final Model'!$G$36</f>
        <v>24.3114687703572</v>
      </c>
    </row>
    <row r="14" customFormat="false" ht="15" hidden="false" customHeight="false" outlineLevel="0" collapsed="false">
      <c r="A14" s="8" t="s">
        <v>413</v>
      </c>
      <c r="B14" s="13" t="n">
        <f aca="false">'Final Model'!$B$40</f>
        <v>453.803299642174</v>
      </c>
      <c r="C14" s="13" t="n">
        <f aca="false">'Final Model'!$C$40</f>
        <v>14.737209522401</v>
      </c>
      <c r="D14" s="13" t="n">
        <f aca="false">'Final Model'!$D$40</f>
        <v>30.7930276048787</v>
      </c>
      <c r="E14" s="17" t="n">
        <f aca="false">'Final Model'!$E$40</f>
        <v>7.0499843933658E-159</v>
      </c>
      <c r="F14" s="13" t="n">
        <f aca="false">'Final Model'!$F$40</f>
        <v>424.893507246658</v>
      </c>
      <c r="G14" s="13" t="n">
        <f aca="false">'Final Model'!$G$40</f>
        <v>482.713092037691</v>
      </c>
    </row>
    <row r="15" customFormat="false" ht="15" hidden="false" customHeight="false" outlineLevel="0" collapsed="false">
      <c r="A15" s="8" t="s">
        <v>414</v>
      </c>
      <c r="B15" s="16" t="n">
        <f aca="false">'Final Model'!$B$36+'Final Model'!$B$40</f>
        <v>454.423682411982</v>
      </c>
      <c r="C15" s="13" t="n">
        <f aca="false">'Final Model'!$B$21*SQRT('Final Model'!$E$62+'Final Model'!$I$66+2*'Final Model'!$I$62)</f>
        <v>8.46933854389612</v>
      </c>
      <c r="D15" s="15" t="n">
        <f aca="false">B15/C15</f>
        <v>53.6551561915643</v>
      </c>
      <c r="E15" s="17" t="n">
        <f aca="false">_xlfn.T.DIST.2T(ABS(D15),'Final Model'!$B$24)</f>
        <v>0</v>
      </c>
      <c r="F15" s="13" t="n">
        <f aca="false">B15-_xlfn.T.INV.2T(0.05,'Final Model'!$B$24)*C15</f>
        <v>437.809491057832</v>
      </c>
      <c r="G15" s="13" t="n">
        <f aca="false">B15+_xlfn.T.INV.2T(0.05,'Final Model'!$B$24)*C15</f>
        <v>471.037873766133</v>
      </c>
    </row>
    <row r="17" customFormat="false" ht="15" hidden="false" customHeight="false" outlineLevel="0" collapsed="false">
      <c r="A17" s="7" t="s">
        <v>415</v>
      </c>
    </row>
    <row r="19" customFormat="false" ht="15" hidden="false" customHeight="false" outlineLevel="0" collapsed="false">
      <c r="A19" s="7" t="s">
        <v>416</v>
      </c>
      <c r="B19" s="7" t="s">
        <v>241</v>
      </c>
      <c r="C19" s="7" t="s">
        <v>257</v>
      </c>
    </row>
    <row r="20" customFormat="false" ht="15" hidden="false" customHeight="false" outlineLevel="0" collapsed="false">
      <c r="A20" s="8" t="s">
        <v>258</v>
      </c>
      <c r="B20" s="12" t="n">
        <f aca="false">COUNTIFS('Analysis Data'!$E$2:$E$1387,0,'Analysis Data'!$F$2:$F$1387,0)</f>
        <v>607</v>
      </c>
      <c r="C20" s="15" t="n">
        <f aca="false">AVERAGEIFS('Analysis Data'!$C$2:$C$1387,'Analysis Data'!$E$2:$E$1387,0,'Analysis Data'!$F$2:$F$1387,0)</f>
        <v>198.183364781689</v>
      </c>
    </row>
    <row r="21" customFormat="false" ht="15" hidden="false" customHeight="false" outlineLevel="0" collapsed="false">
      <c r="A21" s="8" t="s">
        <v>259</v>
      </c>
      <c r="B21" s="12" t="n">
        <f aca="false">COUNTIFS('Analysis Data'!$E$2:$E$1387,0,'Analysis Data'!$F$2:$F$1387,1)</f>
        <v>17</v>
      </c>
      <c r="C21" s="15" t="n">
        <f aca="false">AVERAGEIFS('Analysis Data'!$C$2:$C$1387,'Analysis Data'!$E$2:$E$1387,0,'Analysis Data'!$F$2:$F$1387,1)</f>
        <v>217.597442022359</v>
      </c>
    </row>
    <row r="22" customFormat="false" ht="15" hidden="false" customHeight="false" outlineLevel="0" collapsed="false">
      <c r="A22" s="8" t="s">
        <v>260</v>
      </c>
      <c r="B22" s="12" t="n">
        <f aca="false">COUNTIFS('Analysis Data'!$E$2:$E$1387,1,'Analysis Data'!$F$2:$F$1387,0)</f>
        <v>726</v>
      </c>
      <c r="C22" s="15" t="n">
        <f aca="false">AVERAGEIFS('Analysis Data'!$C$2:$C$1387,'Analysis Data'!$E$2:$E$1387,1,'Analysis Data'!$F$2:$F$1387,0)</f>
        <v>276.239930125061</v>
      </c>
    </row>
    <row r="23" customFormat="false" ht="15" hidden="false" customHeight="false" outlineLevel="0" collapsed="false">
      <c r="A23" s="8" t="s">
        <v>261</v>
      </c>
      <c r="B23" s="12" t="n">
        <f aca="false">COUNTIFS('Analysis Data'!$E$2:$E$1387,1,'Analysis Data'!$F$2:$F$1387,1)</f>
        <v>36</v>
      </c>
      <c r="C23" s="15" t="n">
        <f aca="false">AVERAGEIFS('Analysis Data'!$C$2:$C$1387,'Analysis Data'!$E$2:$E$1387,1,'Analysis Data'!$F$2:$F$1387,1)</f>
        <v>756.912953564858</v>
      </c>
    </row>
    <row r="25" customFormat="false" ht="75" hidden="false" customHeight="true" outlineLevel="0" collapsed="false">
      <c r="A25" s="3" t="s">
        <v>417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71"/>
    <col collapsed="false" customWidth="true" hidden="false" outlineLevel="0" max="2" min="2" style="0" width="24.71"/>
    <col collapsed="false" customWidth="true" hidden="false" outlineLevel="0" max="13" min="3" style="0" width="12.72"/>
    <col collapsed="false" customWidth="true" hidden="false" outlineLevel="0" max="15" min="15" style="0" width="40.71"/>
    <col collapsed="false" customWidth="true" hidden="false" outlineLevel="0" max="26" min="16" style="0" width="11.72"/>
  </cols>
  <sheetData>
    <row r="1" customFormat="false" ht="23.85" hidden="false" customHeight="false" outlineLevel="0" collapsed="false">
      <c r="A1" s="4" t="s">
        <v>418</v>
      </c>
      <c r="B1" s="4" t="s">
        <v>23</v>
      </c>
      <c r="C1" s="4" t="s">
        <v>21</v>
      </c>
      <c r="D1" s="4" t="s">
        <v>170</v>
      </c>
      <c r="E1" s="4" t="s">
        <v>419</v>
      </c>
      <c r="F1" s="4" t="s">
        <v>420</v>
      </c>
      <c r="G1" s="4" t="s">
        <v>421</v>
      </c>
      <c r="H1" s="4" t="s">
        <v>422</v>
      </c>
      <c r="J1" s="4" t="s">
        <v>423</v>
      </c>
      <c r="K1" s="4" t="s">
        <v>424</v>
      </c>
      <c r="L1" s="4" t="s">
        <v>425</v>
      </c>
      <c r="M1" s="4" t="s">
        <v>426</v>
      </c>
      <c r="O1" s="7" t="s">
        <v>427</v>
      </c>
    </row>
    <row r="2" customFormat="false" ht="15" hidden="false" customHeight="false" outlineLevel="0" collapsed="false">
      <c r="A2" s="0" t="n">
        <f aca="false">ROW()-1</f>
        <v>1</v>
      </c>
      <c r="B2" s="0" t="str">
        <f aca="false">'Analysis Data'!A2</f>
        <v>Biscayne (aka Aventura)</v>
      </c>
      <c r="C2" s="5" t="n">
        <f aca="false">'Analysis Data'!B2</f>
        <v>40302</v>
      </c>
      <c r="D2" s="6" t="n">
        <f aca="false">'Analysis Data'!C2</f>
        <v>150.702087912703</v>
      </c>
      <c r="E2" s="15" t="n">
        <f aca="false">SUMPRODUCT('Final Model'!$B$45:$I$45,'Analysis Data'!N2:U2)</f>
        <v>179.702211226144</v>
      </c>
      <c r="F2" s="15" t="n">
        <f aca="false">D2-E2</f>
        <v>-29.0001233134403</v>
      </c>
      <c r="G2" s="13" t="n">
        <f aca="false">F2/'Final Model'!$B$21</f>
        <v>-0.591452747246189</v>
      </c>
      <c r="H2" s="6" t="n">
        <f aca="false">F2^2</f>
        <v>841.007152194742</v>
      </c>
      <c r="J2" s="6" t="n">
        <f aca="false">A2</f>
        <v>1</v>
      </c>
      <c r="K2" s="13" t="n">
        <f aca="false">SMALL($G$2:$G$1387,J2)</f>
        <v>-3.42375620349073</v>
      </c>
      <c r="L2" s="18" t="n">
        <f aca="false">(J2-0.5)/1386</f>
        <v>0.000360750360750361</v>
      </c>
      <c r="M2" s="18" t="n">
        <f aca="false">_xlfn.NORM.DIST(K2,AVERAGE($G$2:$G$1387),_xlfn.STDEV.S($G$2:$G$1387),TRUE())</f>
        <v>0.000299086754376034</v>
      </c>
      <c r="O2" s="8" t="s">
        <v>428</v>
      </c>
      <c r="P2" s="18" t="n">
        <f aca="false">AVERAGE(F2:F1387)</f>
        <v>-2.35719732974382E-014</v>
      </c>
    </row>
    <row r="3" customFormat="false" ht="15" hidden="false" customHeight="false" outlineLevel="0" collapsed="false">
      <c r="A3" s="0" t="n">
        <f aca="false">ROW()-1</f>
        <v>2</v>
      </c>
      <c r="B3" s="0" t="str">
        <f aca="false">'Analysis Data'!A3</f>
        <v>Biscayne (aka Aventura)</v>
      </c>
      <c r="C3" s="5" t="n">
        <f aca="false">'Analysis Data'!B3</f>
        <v>40309</v>
      </c>
      <c r="D3" s="6" t="n">
        <f aca="false">'Analysis Data'!C3</f>
        <v>197.403797461597</v>
      </c>
      <c r="E3" s="15" t="n">
        <f aca="false">SUMPRODUCT('Final Model'!$B$45:$I$45,'Analysis Data'!N3:U3)</f>
        <v>188.359010651003</v>
      </c>
      <c r="F3" s="15" t="n">
        <f aca="false">D3-E3</f>
        <v>9.04478681059354</v>
      </c>
      <c r="G3" s="13" t="n">
        <f aca="false">F3/'Final Model'!$B$21</f>
        <v>0.184466940004436</v>
      </c>
      <c r="H3" s="6" t="n">
        <f aca="false">F3^2</f>
        <v>81.8081684490868</v>
      </c>
      <c r="J3" s="6" t="n">
        <f aca="false">A3</f>
        <v>2</v>
      </c>
      <c r="K3" s="13" t="n">
        <f aca="false">SMALL($G$2:$G$1387,J3)</f>
        <v>-3.04837247309519</v>
      </c>
      <c r="L3" s="18" t="n">
        <f aca="false">(J3-0.5)/1386</f>
        <v>0.00108225108225108</v>
      </c>
      <c r="M3" s="18" t="n">
        <f aca="false">_xlfn.NORM.DIST(K3,AVERAGE($G$2:$G$1387),_xlfn.STDEV.S($G$2:$G$1387),TRUE())</f>
        <v>0.00112116258445339</v>
      </c>
      <c r="O3" s="8" t="s">
        <v>429</v>
      </c>
      <c r="P3" s="13" t="n">
        <f aca="false">_xlfn.STDEV.S(F2:F1387)</f>
        <v>48.9079560525816</v>
      </c>
    </row>
    <row r="4" customFormat="false" ht="15" hidden="false" customHeight="false" outlineLevel="0" collapsed="false">
      <c r="A4" s="0" t="n">
        <f aca="false">ROW()-1</f>
        <v>3</v>
      </c>
      <c r="B4" s="0" t="str">
        <f aca="false">'Analysis Data'!A4</f>
        <v>Biscayne (aka Aventura)</v>
      </c>
      <c r="C4" s="5" t="n">
        <f aca="false">'Analysis Data'!B4</f>
        <v>40316</v>
      </c>
      <c r="D4" s="6" t="n">
        <f aca="false">'Analysis Data'!C4</f>
        <v>235.106171515681</v>
      </c>
      <c r="E4" s="15" t="n">
        <f aca="false">SUMPRODUCT('Final Model'!$B$45:$I$45,'Analysis Data'!N4:U4)</f>
        <v>192.517669213383</v>
      </c>
      <c r="F4" s="15" t="n">
        <f aca="false">D4-E4</f>
        <v>42.5885023022971</v>
      </c>
      <c r="G4" s="13" t="n">
        <f aca="false">F4/'Final Model'!$B$21</f>
        <v>0.868585502742337</v>
      </c>
      <c r="H4" s="6" t="n">
        <f aca="false">F4^2</f>
        <v>1813.78052835277</v>
      </c>
      <c r="J4" s="6" t="n">
        <f aca="false">A4</f>
        <v>3</v>
      </c>
      <c r="K4" s="13" t="n">
        <f aca="false">SMALL($G$2:$G$1387,J4)</f>
        <v>-3.00413508020409</v>
      </c>
      <c r="L4" s="18" t="n">
        <f aca="false">(J4-0.5)/1386</f>
        <v>0.0018037518037518</v>
      </c>
      <c r="M4" s="18" t="n">
        <f aca="false">_xlfn.NORM.DIST(K4,AVERAGE($G$2:$G$1387),_xlfn.STDEV.S($G$2:$G$1387),TRUE())</f>
        <v>0.00129870790087509</v>
      </c>
      <c r="O4" s="8" t="s">
        <v>430</v>
      </c>
      <c r="P4" s="13" t="n">
        <f aca="false">SKEW(F2:F1387)</f>
        <v>-0.0101064987539065</v>
      </c>
    </row>
    <row r="5" customFormat="false" ht="15" hidden="false" customHeight="false" outlineLevel="0" collapsed="false">
      <c r="A5" s="0" t="n">
        <f aca="false">ROW()-1</f>
        <v>4</v>
      </c>
      <c r="B5" s="0" t="str">
        <f aca="false">'Analysis Data'!A5</f>
        <v>Biscayne (aka Aventura)</v>
      </c>
      <c r="C5" s="5" t="n">
        <f aca="false">'Analysis Data'!B5</f>
        <v>40323</v>
      </c>
      <c r="D5" s="6" t="n">
        <f aca="false">'Analysis Data'!C5</f>
        <v>226.692427292396</v>
      </c>
      <c r="E5" s="15" t="n">
        <f aca="false">SUMPRODUCT('Final Model'!$B$45:$I$45,'Analysis Data'!N5:U5)</f>
        <v>191.949036304448</v>
      </c>
      <c r="F5" s="15" t="n">
        <f aca="false">D5-E5</f>
        <v>34.7433909879484</v>
      </c>
      <c r="G5" s="13" t="n">
        <f aca="false">F5/'Final Model'!$B$21</f>
        <v>0.708585747252563</v>
      </c>
      <c r="H5" s="6" t="n">
        <f aca="false">F5^2</f>
        <v>1207.10321734145</v>
      </c>
      <c r="J5" s="6" t="n">
        <f aca="false">A5</f>
        <v>4</v>
      </c>
      <c r="K5" s="13" t="n">
        <f aca="false">SMALL($G$2:$G$1387,J5)</f>
        <v>-2.86449224204276</v>
      </c>
      <c r="L5" s="18" t="n">
        <f aca="false">(J5-0.5)/1386</f>
        <v>0.00252525252525253</v>
      </c>
      <c r="M5" s="18" t="n">
        <f aca="false">_xlfn.NORM.DIST(K5,AVERAGE($G$2:$G$1387),_xlfn.STDEV.S($G$2:$G$1387),TRUE())</f>
        <v>0.00204097334072921</v>
      </c>
      <c r="O5" s="8" t="s">
        <v>431</v>
      </c>
      <c r="P5" s="13" t="n">
        <f aca="false">KURT(F2:F1387)</f>
        <v>0.0530029363470401</v>
      </c>
    </row>
    <row r="6" customFormat="false" ht="15" hidden="false" customHeight="false" outlineLevel="0" collapsed="false">
      <c r="A6" s="0" t="n">
        <f aca="false">ROW()-1</f>
        <v>5</v>
      </c>
      <c r="B6" s="0" t="str">
        <f aca="false">'Analysis Data'!A6</f>
        <v>Biscayne (aka Aventura)</v>
      </c>
      <c r="C6" s="5" t="n">
        <f aca="false">'Analysis Data'!B6</f>
        <v>40330</v>
      </c>
      <c r="D6" s="6" t="n">
        <f aca="false">'Analysis Data'!C6</f>
        <v>257.688150758144</v>
      </c>
      <c r="E6" s="15" t="n">
        <f aca="false">SUMPRODUCT('Final Model'!$B$45:$I$45,'Analysis Data'!N6:U6)</f>
        <v>190.459557578708</v>
      </c>
      <c r="F6" s="15" t="n">
        <f aca="false">D6-E6</f>
        <v>67.2285931794358</v>
      </c>
      <c r="G6" s="13" t="n">
        <f aca="false">F6/'Final Model'!$B$21</f>
        <v>1.3711161052562</v>
      </c>
      <c r="H6" s="6" t="n">
        <f aca="false">F6^2</f>
        <v>4519.68374088608</v>
      </c>
      <c r="J6" s="6" t="n">
        <f aca="false">A6</f>
        <v>5</v>
      </c>
      <c r="K6" s="13" t="n">
        <f aca="false">SMALL($G$2:$G$1387,J6)</f>
        <v>-2.83370164153086</v>
      </c>
      <c r="L6" s="18" t="n">
        <f aca="false">(J6-0.5)/1386</f>
        <v>0.00324675324675325</v>
      </c>
      <c r="M6" s="18" t="n">
        <f aca="false">_xlfn.NORM.DIST(K6,AVERAGE($G$2:$G$1387),_xlfn.STDEV.S($G$2:$G$1387),TRUE())</f>
        <v>0.00224939220394481</v>
      </c>
      <c r="O6" s="8" t="s">
        <v>432</v>
      </c>
      <c r="P6" s="19" t="n">
        <f aca="false">SUMXMY2(F3:F1387,F2:F1386)/SUMSQ(F2:F1387)</f>
        <v>2.09161639808465</v>
      </c>
    </row>
    <row r="7" customFormat="false" ht="15" hidden="false" customHeight="false" outlineLevel="0" collapsed="false">
      <c r="A7" s="0" t="n">
        <f aca="false">ROW()-1</f>
        <v>6</v>
      </c>
      <c r="B7" s="0" t="str">
        <f aca="false">'Analysis Data'!A7</f>
        <v>Biscayne (aka Aventura)</v>
      </c>
      <c r="C7" s="5" t="n">
        <f aca="false">'Analysis Data'!B7</f>
        <v>40337</v>
      </c>
      <c r="D7" s="6" t="n">
        <f aca="false">'Analysis Data'!C7</f>
        <v>132.957189780034</v>
      </c>
      <c r="E7" s="15" t="n">
        <f aca="false">SUMPRODUCT('Final Model'!$B$45:$I$45,'Analysis Data'!N7:U7)</f>
        <v>177.325834904784</v>
      </c>
      <c r="F7" s="15" t="n">
        <f aca="false">D7-E7</f>
        <v>-44.36864512475</v>
      </c>
      <c r="G7" s="13" t="n">
        <f aca="false">F7/'Final Model'!$B$21</f>
        <v>-0.90489122294396</v>
      </c>
      <c r="H7" s="6" t="n">
        <f aca="false">F7^2</f>
        <v>1968.576670206</v>
      </c>
      <c r="J7" s="6" t="n">
        <f aca="false">A7</f>
        <v>6</v>
      </c>
      <c r="K7" s="13" t="n">
        <f aca="false">SMALL($G$2:$G$1387,J7)</f>
        <v>-2.83037324904152</v>
      </c>
      <c r="L7" s="18" t="n">
        <f aca="false">(J7-0.5)/1386</f>
        <v>0.00396825396825397</v>
      </c>
      <c r="M7" s="18" t="n">
        <f aca="false">_xlfn.NORM.DIST(K7,AVERAGE($G$2:$G$1387),_xlfn.STDEV.S($G$2:$G$1387),TRUE())</f>
        <v>0.00227303961646463</v>
      </c>
      <c r="O7" s="8" t="s">
        <v>433</v>
      </c>
      <c r="P7" s="13" t="n">
        <f aca="false">MIN(G2:G1387)</f>
        <v>-3.42375620349073</v>
      </c>
    </row>
    <row r="8" customFormat="false" ht="15" hidden="false" customHeight="false" outlineLevel="0" collapsed="false">
      <c r="A8" s="0" t="n">
        <f aca="false">ROW()-1</f>
        <v>7</v>
      </c>
      <c r="B8" s="0" t="str">
        <f aca="false">'Analysis Data'!A8</f>
        <v>Biscayne (aka Aventura)</v>
      </c>
      <c r="C8" s="5" t="n">
        <f aca="false">'Analysis Data'!B8</f>
        <v>40344</v>
      </c>
      <c r="D8" s="6" t="n">
        <f aca="false">'Analysis Data'!C8</f>
        <v>221.889968547736</v>
      </c>
      <c r="E8" s="15" t="n">
        <f aca="false">SUMPRODUCT('Final Model'!$B$45:$I$45,'Analysis Data'!N8:U8)</f>
        <v>185.733680626722</v>
      </c>
      <c r="F8" s="15" t="n">
        <f aca="false">D8-E8</f>
        <v>36.1562879210142</v>
      </c>
      <c r="G8" s="13" t="n">
        <f aca="false">F8/'Final Model'!$B$21</f>
        <v>0.737401547916769</v>
      </c>
      <c r="H8" s="6" t="n">
        <f aca="false">F8^2</f>
        <v>1307.27715622728</v>
      </c>
      <c r="J8" s="6" t="n">
        <f aca="false">A8</f>
        <v>7</v>
      </c>
      <c r="K8" s="13" t="n">
        <f aca="false">SMALL($G$2:$G$1387,J8)</f>
        <v>-2.7999217732433</v>
      </c>
      <c r="L8" s="18" t="n">
        <f aca="false">(J8-0.5)/1386</f>
        <v>0.00468975468975469</v>
      </c>
      <c r="M8" s="18" t="n">
        <f aca="false">_xlfn.NORM.DIST(K8,AVERAGE($G$2:$G$1387),_xlfn.STDEV.S($G$2:$G$1387),TRUE())</f>
        <v>0.00250007331132823</v>
      </c>
      <c r="O8" s="8" t="s">
        <v>434</v>
      </c>
      <c r="P8" s="13" t="n">
        <f aca="false">MAX(G2:G1387)</f>
        <v>3.72456068721502</v>
      </c>
    </row>
    <row r="9" customFormat="false" ht="15" hidden="false" customHeight="false" outlineLevel="0" collapsed="false">
      <c r="A9" s="0" t="n">
        <f aca="false">ROW()-1</f>
        <v>8</v>
      </c>
      <c r="B9" s="0" t="str">
        <f aca="false">'Analysis Data'!A9</f>
        <v>Biscayne (aka Aventura)</v>
      </c>
      <c r="C9" s="5" t="n">
        <f aca="false">'Analysis Data'!B9</f>
        <v>40351</v>
      </c>
      <c r="D9" s="6" t="n">
        <f aca="false">'Analysis Data'!C9</f>
        <v>245.881356354914</v>
      </c>
      <c r="E9" s="15" t="n">
        <f aca="false">SUMPRODUCT('Final Model'!$B$45:$I$45,'Analysis Data'!N9:U9)</f>
        <v>185.733680626722</v>
      </c>
      <c r="F9" s="15" t="n">
        <f aca="false">D9-E9</f>
        <v>60.1476757281924</v>
      </c>
      <c r="G9" s="13" t="n">
        <f aca="false">F9/'Final Model'!$B$21</f>
        <v>1.22670195796806</v>
      </c>
      <c r="H9" s="6" t="n">
        <f aca="false">F9^2</f>
        <v>3617.74289550379</v>
      </c>
      <c r="J9" s="6" t="n">
        <f aca="false">A9</f>
        <v>8</v>
      </c>
      <c r="K9" s="13" t="n">
        <f aca="false">SMALL($G$2:$G$1387,J9)</f>
        <v>-2.73809691377762</v>
      </c>
      <c r="L9" s="18" t="n">
        <f aca="false">(J9-0.5)/1386</f>
        <v>0.00541125541125541</v>
      </c>
      <c r="M9" s="18" t="n">
        <f aca="false">_xlfn.NORM.DIST(K9,AVERAGE($G$2:$G$1387),_xlfn.STDEV.S($G$2:$G$1387),TRUE())</f>
        <v>0.00302515186960472</v>
      </c>
      <c r="O9" s="8" t="s">
        <v>435</v>
      </c>
      <c r="P9" s="18" t="n">
        <f aca="false">INDEX(R14:Y18,3,1)</f>
        <v>0.00949837009242233</v>
      </c>
    </row>
    <row r="10" customFormat="false" ht="15" hidden="false" customHeight="false" outlineLevel="0" collapsed="false">
      <c r="A10" s="0" t="n">
        <f aca="false">ROW()-1</f>
        <v>9</v>
      </c>
      <c r="B10" s="0" t="str">
        <f aca="false">'Analysis Data'!A10</f>
        <v>Biscayne (aka Aventura)</v>
      </c>
      <c r="C10" s="5" t="n">
        <f aca="false">'Analysis Data'!B10</f>
        <v>40358</v>
      </c>
      <c r="D10" s="6" t="n">
        <f aca="false">'Analysis Data'!C10</f>
        <v>156.102534952075</v>
      </c>
      <c r="E10" s="15" t="n">
        <f aca="false">SUMPRODUCT('Final Model'!$B$45:$I$45,'Analysis Data'!N10:U10)</f>
        <v>185.733680626722</v>
      </c>
      <c r="F10" s="15" t="n">
        <f aca="false">D10-E10</f>
        <v>-29.6311456746468</v>
      </c>
      <c r="G10" s="13" t="n">
        <f aca="false">F10/'Final Model'!$B$21</f>
        <v>-0.6043223445605</v>
      </c>
      <c r="H10" s="6" t="n">
        <f aca="false">F10^2</f>
        <v>878.004793992138</v>
      </c>
      <c r="J10" s="6" t="n">
        <f aca="false">A10</f>
        <v>9</v>
      </c>
      <c r="K10" s="13" t="n">
        <f aca="false">SMALL($G$2:$G$1387,J10)</f>
        <v>-2.68617851508324</v>
      </c>
      <c r="L10" s="18" t="n">
        <f aca="false">(J10-0.5)/1386</f>
        <v>0.00613275613275613</v>
      </c>
      <c r="M10" s="18" t="n">
        <f aca="false">_xlfn.NORM.DIST(K10,AVERAGE($G$2:$G$1387),_xlfn.STDEV.S($G$2:$G$1387),TRUE())</f>
        <v>0.00354069275754675</v>
      </c>
      <c r="O10" s="8" t="s">
        <v>436</v>
      </c>
      <c r="P10" s="13" t="n">
        <f aca="false">1386*P9</f>
        <v>13.1647409480974</v>
      </c>
    </row>
    <row r="11" customFormat="false" ht="15" hidden="false" customHeight="false" outlineLevel="0" collapsed="false">
      <c r="A11" s="0" t="n">
        <f aca="false">ROW()-1</f>
        <v>10</v>
      </c>
      <c r="B11" s="0" t="str">
        <f aca="false">'Analysis Data'!A11</f>
        <v>Biscayne (aka Aventura)</v>
      </c>
      <c r="C11" s="5" t="n">
        <f aca="false">'Analysis Data'!B11</f>
        <v>40365</v>
      </c>
      <c r="D11" s="6" t="n">
        <f aca="false">'Analysis Data'!C11</f>
        <v>200.103966035524</v>
      </c>
      <c r="E11" s="15" t="n">
        <f aca="false">SUMPRODUCT('Final Model'!$B$45:$I$45,'Analysis Data'!N11:U11)</f>
        <v>193.88351979264</v>
      </c>
      <c r="F11" s="15" t="n">
        <f aca="false">D11-E11</f>
        <v>6.22044624288375</v>
      </c>
      <c r="G11" s="13" t="n">
        <f aca="false">F11/'Final Model'!$B$21</f>
        <v>0.12686497845841</v>
      </c>
      <c r="H11" s="6" t="n">
        <f aca="false">F11^2</f>
        <v>38.6939514606066</v>
      </c>
      <c r="J11" s="6" t="n">
        <f aca="false">A11</f>
        <v>10</v>
      </c>
      <c r="K11" s="13" t="n">
        <f aca="false">SMALL($G$2:$G$1387,J11)</f>
        <v>-2.57741989399166</v>
      </c>
      <c r="L11" s="18" t="n">
        <f aca="false">(J11-0.5)/1386</f>
        <v>0.00685425685425685</v>
      </c>
      <c r="M11" s="18" t="n">
        <f aca="false">_xlfn.NORM.DIST(K11,AVERAGE($G$2:$G$1387),_xlfn.STDEV.S($G$2:$G$1387),TRUE())</f>
        <v>0.0048836840590815</v>
      </c>
      <c r="O11" s="8" t="s">
        <v>437</v>
      </c>
      <c r="P11" s="17" t="n">
        <f aca="false">_xlfn.CHISQ.DIST.RT(P10,7)</f>
        <v>0.068194799378367</v>
      </c>
    </row>
    <row r="12" customFormat="false" ht="15" hidden="false" customHeight="false" outlineLevel="0" collapsed="false">
      <c r="A12" s="0" t="n">
        <f aca="false">ROW()-1</f>
        <v>11</v>
      </c>
      <c r="B12" s="0" t="str">
        <f aca="false">'Analysis Data'!A12</f>
        <v>Biscayne (aka Aventura)</v>
      </c>
      <c r="C12" s="5" t="n">
        <f aca="false">'Analysis Data'!B12</f>
        <v>40372</v>
      </c>
      <c r="D12" s="6" t="n">
        <f aca="false">'Analysis Data'!C12</f>
        <v>128.396003353425</v>
      </c>
      <c r="E12" s="15" t="n">
        <f aca="false">SUMPRODUCT('Final Model'!$B$45:$I$45,'Analysis Data'!N12:U12)</f>
        <v>188.03225891454</v>
      </c>
      <c r="F12" s="15" t="n">
        <f aca="false">D12-E12</f>
        <v>-59.6362555611145</v>
      </c>
      <c r="G12" s="13" t="n">
        <f aca="false">F12/'Final Model'!$B$21</f>
        <v>-1.21627162773994</v>
      </c>
      <c r="H12" s="6" t="n">
        <f aca="false">F12^2</f>
        <v>3556.48297735056</v>
      </c>
      <c r="J12" s="6" t="n">
        <f aca="false">A12</f>
        <v>11</v>
      </c>
      <c r="K12" s="13" t="n">
        <f aca="false">SMALL($G$2:$G$1387,J12)</f>
        <v>-2.56180079603527</v>
      </c>
      <c r="L12" s="18" t="n">
        <f aca="false">(J12-0.5)/1386</f>
        <v>0.00757575757575758</v>
      </c>
      <c r="M12" s="18" t="n">
        <f aca="false">_xlfn.NORM.DIST(K12,AVERAGE($G$2:$G$1387),_xlfn.STDEV.S($G$2:$G$1387),TRUE())</f>
        <v>0.00510994360171807</v>
      </c>
      <c r="O12" s="8" t="s">
        <v>438</v>
      </c>
      <c r="P12" s="18" t="n">
        <f aca="false">CORREL(E2:E1387,F2:F1387)</f>
        <v>-2.81976267553758E-016</v>
      </c>
    </row>
    <row r="13" customFormat="false" ht="15" hidden="false" customHeight="false" outlineLevel="0" collapsed="false">
      <c r="A13" s="0" t="n">
        <f aca="false">ROW()-1</f>
        <v>12</v>
      </c>
      <c r="B13" s="0" t="str">
        <f aca="false">'Analysis Data'!A13</f>
        <v>Boca Raton</v>
      </c>
      <c r="C13" s="5" t="n">
        <f aca="false">'Analysis Data'!B13</f>
        <v>40302</v>
      </c>
      <c r="D13" s="6" t="n">
        <f aca="false">'Analysis Data'!C13</f>
        <v>142.778210161913</v>
      </c>
      <c r="E13" s="15" t="n">
        <f aca="false">SUMPRODUCT('Final Model'!$B$45:$I$45,'Analysis Data'!N13:U13)</f>
        <v>179.702211226144</v>
      </c>
      <c r="F13" s="15" t="n">
        <f aca="false">D13-E13</f>
        <v>-36.9240010642305</v>
      </c>
      <c r="G13" s="13" t="n">
        <f aca="false">F13/'Final Model'!$B$21</f>
        <v>-0.753058931257682</v>
      </c>
      <c r="H13" s="6" t="n">
        <f aca="false">F13^2</f>
        <v>1363.38185459129</v>
      </c>
      <c r="J13" s="6" t="n">
        <f aca="false">A13</f>
        <v>12</v>
      </c>
      <c r="K13" s="13" t="n">
        <f aca="false">SMALL($G$2:$G$1387,J13)</f>
        <v>-2.52296888257848</v>
      </c>
      <c r="L13" s="18" t="n">
        <f aca="false">(J13-0.5)/1386</f>
        <v>0.0082972582972583</v>
      </c>
      <c r="M13" s="18" t="n">
        <f aca="false">_xlfn.NORM.DIST(K13,AVERAGE($G$2:$G$1387),_xlfn.STDEV.S($G$2:$G$1387),TRUE())</f>
        <v>0.00571339293121772</v>
      </c>
      <c r="R13" s="2" t="s">
        <v>439</v>
      </c>
    </row>
    <row r="14" customFormat="false" ht="15" hidden="false" customHeight="false" outlineLevel="0" collapsed="false">
      <c r="A14" s="0" t="n">
        <f aca="false">ROW()-1</f>
        <v>13</v>
      </c>
      <c r="B14" s="0" t="str">
        <f aca="false">'Analysis Data'!A14</f>
        <v>Boca Raton</v>
      </c>
      <c r="C14" s="5" t="n">
        <f aca="false">'Analysis Data'!B14</f>
        <v>40309</v>
      </c>
      <c r="D14" s="6" t="n">
        <f aca="false">'Analysis Data'!C14</f>
        <v>237.544554272055</v>
      </c>
      <c r="E14" s="15" t="n">
        <f aca="false">SUMPRODUCT('Final Model'!$B$45:$I$45,'Analysis Data'!N14:U14)</f>
        <v>183.112465557733</v>
      </c>
      <c r="F14" s="15" t="n">
        <f aca="false">D14-E14</f>
        <v>54.4320887143223</v>
      </c>
      <c r="G14" s="13" t="n">
        <f aca="false">F14/'Final Model'!$B$21</f>
        <v>1.11013350048459</v>
      </c>
      <c r="H14" s="6" t="n">
        <f aca="false">F14^2</f>
        <v>2962.85228180385</v>
      </c>
      <c r="J14" s="6" t="n">
        <f aca="false">A14</f>
        <v>13</v>
      </c>
      <c r="K14" s="13" t="n">
        <f aca="false">SMALL($G$2:$G$1387,J14)</f>
        <v>-2.48774143767359</v>
      </c>
      <c r="L14" s="18" t="n">
        <f aca="false">(J14-0.5)/1386</f>
        <v>0.00901875901875902</v>
      </c>
      <c r="M14" s="18" t="n">
        <f aca="false">_xlfn.NORM.DIST(K14,AVERAGE($G$2:$G$1387),_xlfn.STDEV.S($G$2:$G$1387),TRUE())</f>
        <v>0.00631470062595103</v>
      </c>
      <c r="O14" s="2" t="s">
        <v>440</v>
      </c>
      <c r="R14" s="13" t="n">
        <f aca="false" t="array" ref="R14:Y18">IFERROR(LINEST($H$2:$H$1387,'Analysis Data'!$O$2:$U$1387,TRUE(),TRUE()),"")</f>
        <v>529.402901275731</v>
      </c>
      <c r="S14" s="13" t="n">
        <v>753.015526792621</v>
      </c>
      <c r="T14" s="13" t="n">
        <v>-218.257801087999</v>
      </c>
      <c r="U14" s="13" t="n">
        <v>121.62402498645</v>
      </c>
      <c r="V14" s="13" t="n">
        <v>-797.905901288532</v>
      </c>
      <c r="W14" s="13" t="n">
        <v>-193.027494758182</v>
      </c>
      <c r="X14" s="13" t="n">
        <v>493.309413071602</v>
      </c>
      <c r="Y14" s="13" t="n">
        <v>457.096062898202</v>
      </c>
    </row>
    <row r="15" customFormat="false" ht="15" hidden="false" customHeight="false" outlineLevel="0" collapsed="false">
      <c r="A15" s="0" t="n">
        <f aca="false">ROW()-1</f>
        <v>14</v>
      </c>
      <c r="B15" s="0" t="str">
        <f aca="false">'Analysis Data'!A15</f>
        <v>Boca Raton</v>
      </c>
      <c r="C15" s="5" t="n">
        <f aca="false">'Analysis Data'!B15</f>
        <v>40316</v>
      </c>
      <c r="D15" s="6" t="n">
        <f aca="false">'Analysis Data'!C15</f>
        <v>141.53329677413</v>
      </c>
      <c r="E15" s="15" t="n">
        <f aca="false">SUMPRODUCT('Final Model'!$B$45:$I$45,'Analysis Data'!N15:U15)</f>
        <v>192.517669213383</v>
      </c>
      <c r="F15" s="15" t="n">
        <f aca="false">D15-E15</f>
        <v>-50.984372439253</v>
      </c>
      <c r="G15" s="13" t="n">
        <f aca="false">F15/'Final Model'!$B$21</f>
        <v>-1.03981789387232</v>
      </c>
      <c r="H15" s="6" t="n">
        <f aca="false">F15^2</f>
        <v>2599.40623302446</v>
      </c>
      <c r="J15" s="6" t="n">
        <f aca="false">A15</f>
        <v>14</v>
      </c>
      <c r="K15" s="13" t="n">
        <f aca="false">SMALL($G$2:$G$1387,J15)</f>
        <v>-2.48543490079924</v>
      </c>
      <c r="L15" s="18" t="n">
        <f aca="false">(J15-0.5)/1386</f>
        <v>0.00974025974025974</v>
      </c>
      <c r="M15" s="18" t="n">
        <f aca="false">_xlfn.NORM.DIST(K15,AVERAGE($G$2:$G$1387),_xlfn.STDEV.S($G$2:$G$1387),TRUE())</f>
        <v>0.00635595815639062</v>
      </c>
      <c r="O15" s="6" t="s">
        <v>441</v>
      </c>
      <c r="P15" s="13" t="n">
        <v>2.09161639808465</v>
      </c>
      <c r="R15" s="13" t="n">
        <v>1026.31846896508</v>
      </c>
      <c r="S15" s="13" t="n">
        <v>350.97300165218</v>
      </c>
      <c r="T15" s="13" t="n">
        <v>262.268336093407</v>
      </c>
      <c r="U15" s="13" t="n">
        <v>396.968663606217</v>
      </c>
      <c r="V15" s="13" t="n">
        <v>841.050630165543</v>
      </c>
      <c r="W15" s="13" t="n">
        <v>209.70686441985</v>
      </c>
      <c r="X15" s="13" t="n">
        <v>212.031414642888</v>
      </c>
      <c r="Y15" s="13" t="n">
        <v>847.436563258176</v>
      </c>
    </row>
    <row r="16" customFormat="false" ht="15" hidden="false" customHeight="false" outlineLevel="0" collapsed="false">
      <c r="A16" s="0" t="n">
        <f aca="false">ROW()-1</f>
        <v>15</v>
      </c>
      <c r="B16" s="0" t="str">
        <f aca="false">'Analysis Data'!A16</f>
        <v>Boca Raton</v>
      </c>
      <c r="C16" s="5" t="n">
        <f aca="false">'Analysis Data'!B16</f>
        <v>40323</v>
      </c>
      <c r="D16" s="6" t="n">
        <f aca="false">'Analysis Data'!C16</f>
        <v>158.073949236319</v>
      </c>
      <c r="E16" s="15" t="n">
        <f aca="false">SUMPRODUCT('Final Model'!$B$45:$I$45,'Analysis Data'!N16:U16)</f>
        <v>192.517669213383</v>
      </c>
      <c r="F16" s="15" t="n">
        <f aca="false">D16-E16</f>
        <v>-34.4437199770646</v>
      </c>
      <c r="G16" s="13" t="n">
        <f aca="false">F16/'Final Model'!$B$21</f>
        <v>-0.702474006252651</v>
      </c>
      <c r="H16" s="6" t="n">
        <f aca="false">F16^2</f>
        <v>1186.36984585844</v>
      </c>
      <c r="J16" s="6" t="n">
        <f aca="false">A16</f>
        <v>15</v>
      </c>
      <c r="K16" s="13" t="n">
        <f aca="false">SMALL($G$2:$G$1387,J16)</f>
        <v>-2.46887413539374</v>
      </c>
      <c r="L16" s="18" t="n">
        <f aca="false">(J16-0.5)/1386</f>
        <v>0.0104617604617605</v>
      </c>
      <c r="M16" s="18" t="n">
        <f aca="false">_xlfn.NORM.DIST(K16,AVERAGE($G$2:$G$1387),_xlfn.STDEV.S($G$2:$G$1387),TRUE())</f>
        <v>0.00665925531298077</v>
      </c>
      <c r="O16" s="6" t="s">
        <v>442</v>
      </c>
      <c r="P16" s="13" t="n">
        <v>13.1647409480976</v>
      </c>
      <c r="Q16" s="18" t="n">
        <v>0.0681947993783617</v>
      </c>
      <c r="R16" s="13" t="n">
        <v>0.00949837009242233</v>
      </c>
      <c r="S16" s="13" t="n">
        <v>3414.65379059827</v>
      </c>
      <c r="T16" s="13" t="str">
        <v/>
      </c>
      <c r="U16" s="13" t="str">
        <v/>
      </c>
      <c r="V16" s="13" t="str">
        <v/>
      </c>
      <c r="W16" s="13" t="str">
        <v/>
      </c>
      <c r="X16" s="13" t="str">
        <v/>
      </c>
      <c r="Y16" s="13" t="str">
        <v/>
      </c>
    </row>
    <row r="17" customFormat="false" ht="15" hidden="false" customHeight="false" outlineLevel="0" collapsed="false">
      <c r="A17" s="0" t="n">
        <f aca="false">ROW()-1</f>
        <v>16</v>
      </c>
      <c r="B17" s="0" t="str">
        <f aca="false">'Analysis Data'!A17</f>
        <v>Boca Raton</v>
      </c>
      <c r="C17" s="5" t="n">
        <f aca="false">'Analysis Data'!B17</f>
        <v>40330</v>
      </c>
      <c r="D17" s="6" t="n">
        <f aca="false">'Analysis Data'!C17</f>
        <v>255.117743399346</v>
      </c>
      <c r="E17" s="15" t="n">
        <f aca="false">SUMPRODUCT('Final Model'!$B$45:$I$45,'Analysis Data'!N17:U17)</f>
        <v>187.080647506428</v>
      </c>
      <c r="F17" s="15" t="n">
        <f aca="false">D17-E17</f>
        <v>68.0370958929178</v>
      </c>
      <c r="G17" s="13" t="n">
        <f aca="false">F17/'Final Model'!$B$21</f>
        <v>1.38760538517672</v>
      </c>
      <c r="H17" s="6" t="n">
        <f aca="false">F17^2</f>
        <v>4629.04641754209</v>
      </c>
      <c r="J17" s="6" t="n">
        <f aca="false">A17</f>
        <v>16</v>
      </c>
      <c r="K17" s="13" t="n">
        <f aca="false">SMALL($G$2:$G$1387,J17)</f>
        <v>-2.39551763124805</v>
      </c>
      <c r="L17" s="18" t="n">
        <f aca="false">(J17-0.5)/1386</f>
        <v>0.0111832611832612</v>
      </c>
      <c r="M17" s="18" t="n">
        <f aca="false">_xlfn.NORM.DIST(K17,AVERAGE($G$2:$G$1387),_xlfn.STDEV.S($G$2:$G$1387),TRUE())</f>
        <v>0.00816189988917272</v>
      </c>
      <c r="R17" s="13" t="n">
        <v>1.88775257075394</v>
      </c>
      <c r="S17" s="13" t="n">
        <v>1378</v>
      </c>
      <c r="T17" s="13" t="str">
        <v/>
      </c>
      <c r="U17" s="13" t="str">
        <v/>
      </c>
      <c r="V17" s="13" t="str">
        <v/>
      </c>
      <c r="W17" s="13" t="str">
        <v/>
      </c>
      <c r="X17" s="13" t="str">
        <v/>
      </c>
      <c r="Y17" s="13" t="str">
        <v/>
      </c>
    </row>
    <row r="18" customFormat="false" ht="15" hidden="false" customHeight="false" outlineLevel="0" collapsed="false">
      <c r="A18" s="0" t="n">
        <f aca="false">ROW()-1</f>
        <v>17</v>
      </c>
      <c r="B18" s="0" t="str">
        <f aca="false">'Analysis Data'!A18</f>
        <v>Boca Raton</v>
      </c>
      <c r="C18" s="5" t="n">
        <f aca="false">'Analysis Data'!B18</f>
        <v>40337</v>
      </c>
      <c r="D18" s="6" t="n">
        <f aca="false">'Analysis Data'!C18</f>
        <v>129.793626528939</v>
      </c>
      <c r="E18" s="15" t="n">
        <f aca="false">SUMPRODUCT('Final Model'!$B$45:$I$45,'Analysis Data'!N18:U18)</f>
        <v>179.849320243449</v>
      </c>
      <c r="F18" s="15" t="n">
        <f aca="false">D18-E18</f>
        <v>-50.0556937145101</v>
      </c>
      <c r="G18" s="13" t="n">
        <f aca="false">F18/'Final Model'!$B$21</f>
        <v>-1.02087764395953</v>
      </c>
      <c r="H18" s="6" t="n">
        <f aca="false">F18^2</f>
        <v>2505.57247324084</v>
      </c>
      <c r="J18" s="6" t="n">
        <f aca="false">A18</f>
        <v>17</v>
      </c>
      <c r="K18" s="13" t="n">
        <f aca="false">SMALL($G$2:$G$1387,J18)</f>
        <v>-2.36815266783079</v>
      </c>
      <c r="L18" s="18" t="n">
        <f aca="false">(J18-0.5)/1386</f>
        <v>0.0119047619047619</v>
      </c>
      <c r="M18" s="18" t="n">
        <f aca="false">_xlfn.NORM.DIST(K18,AVERAGE($G$2:$G$1387),_xlfn.STDEV.S($G$2:$G$1387),TRUE())</f>
        <v>0.00879446461137541</v>
      </c>
      <c r="O18" s="6" t="s">
        <v>443</v>
      </c>
      <c r="P18" s="13" t="n">
        <v>-0.0636511614121476</v>
      </c>
      <c r="R18" s="13" t="n">
        <v>154076521.562031</v>
      </c>
      <c r="S18" s="13" t="n">
        <v>16067287782.2937</v>
      </c>
      <c r="T18" s="13" t="str">
        <v/>
      </c>
      <c r="U18" s="13" t="str">
        <v/>
      </c>
      <c r="V18" s="13" t="str">
        <v/>
      </c>
      <c r="W18" s="13" t="str">
        <v/>
      </c>
      <c r="X18" s="13" t="str">
        <v/>
      </c>
      <c r="Y18" s="13" t="str">
        <v/>
      </c>
    </row>
    <row r="19" customFormat="false" ht="15" hidden="false" customHeight="false" outlineLevel="0" collapsed="false">
      <c r="A19" s="0" t="n">
        <f aca="false">ROW()-1</f>
        <v>18</v>
      </c>
      <c r="B19" s="0" t="str">
        <f aca="false">'Analysis Data'!A19</f>
        <v>Boca Raton</v>
      </c>
      <c r="C19" s="5" t="n">
        <f aca="false">'Analysis Data'!B19</f>
        <v>40344</v>
      </c>
      <c r="D19" s="6" t="n">
        <f aca="false">'Analysis Data'!C19</f>
        <v>137.764285052721</v>
      </c>
      <c r="E19" s="15" t="n">
        <f aca="false">SUMPRODUCT('Final Model'!$B$45:$I$45,'Analysis Data'!N19:U19)</f>
        <v>180.391784710282</v>
      </c>
      <c r="F19" s="15" t="n">
        <f aca="false">D19-E19</f>
        <v>-42.6274996575614</v>
      </c>
      <c r="G19" s="13" t="n">
        <f aca="false">F19/'Final Model'!$B$21</f>
        <v>-0.869380847391636</v>
      </c>
      <c r="H19" s="6" t="n">
        <f aca="false">F19^2</f>
        <v>1817.1037270554</v>
      </c>
      <c r="J19" s="6" t="n">
        <f aca="false">A19</f>
        <v>18</v>
      </c>
      <c r="K19" s="13" t="n">
        <f aca="false">SMALL($G$2:$G$1387,J19)</f>
        <v>-2.35025807087034</v>
      </c>
      <c r="L19" s="18" t="n">
        <f aca="false">(J19-0.5)/1386</f>
        <v>0.0126262626262626</v>
      </c>
      <c r="M19" s="18" t="n">
        <f aca="false">_xlfn.NORM.DIST(K19,AVERAGE($G$2:$G$1387),_xlfn.STDEV.S($G$2:$G$1387),TRUE())</f>
        <v>0.00923099102908725</v>
      </c>
    </row>
    <row r="20" customFormat="false" ht="46.25" hidden="false" customHeight="false" outlineLevel="0" collapsed="false">
      <c r="A20" s="0" t="n">
        <f aca="false">ROW()-1</f>
        <v>19</v>
      </c>
      <c r="B20" s="0" t="str">
        <f aca="false">'Analysis Data'!A20</f>
        <v>Boca Raton</v>
      </c>
      <c r="C20" s="5" t="n">
        <f aca="false">'Analysis Data'!B20</f>
        <v>40351</v>
      </c>
      <c r="D20" s="6" t="n">
        <f aca="false">'Analysis Data'!C20</f>
        <v>306.793818706478</v>
      </c>
      <c r="E20" s="15" t="n">
        <f aca="false">SUMPRODUCT('Final Model'!$B$45:$I$45,'Analysis Data'!N20:U20)</f>
        <v>180.391784710282</v>
      </c>
      <c r="F20" s="15" t="n">
        <f aca="false">D20-E20</f>
        <v>126.402033996195</v>
      </c>
      <c r="G20" s="13" t="n">
        <f aca="false">F20/'Final Model'!$B$21</f>
        <v>2.57794870237353</v>
      </c>
      <c r="H20" s="6" t="n">
        <f aca="false">F20^2</f>
        <v>15977.4741983753</v>
      </c>
      <c r="J20" s="6" t="n">
        <f aca="false">A20</f>
        <v>19</v>
      </c>
      <c r="K20" s="13" t="n">
        <f aca="false">SMALL($G$2:$G$1387,J20)</f>
        <v>-2.30121565332288</v>
      </c>
      <c r="L20" s="18" t="n">
        <f aca="false">(J20-0.5)/1386</f>
        <v>0.0133477633477633</v>
      </c>
      <c r="M20" s="18" t="n">
        <f aca="false">_xlfn.NORM.DIST(K20,AVERAGE($G$2:$G$1387),_xlfn.STDEV.S($G$2:$G$1387),TRUE())</f>
        <v>0.0105259290146949</v>
      </c>
      <c r="O20" s="3" t="s">
        <v>444</v>
      </c>
    </row>
    <row r="21" customFormat="false" ht="15" hidden="false" customHeight="false" outlineLevel="0" collapsed="false">
      <c r="A21" s="0" t="n">
        <f aca="false">ROW()-1</f>
        <v>20</v>
      </c>
      <c r="B21" s="0" t="str">
        <f aca="false">'Analysis Data'!A21</f>
        <v>Boca Raton</v>
      </c>
      <c r="C21" s="5" t="n">
        <f aca="false">'Analysis Data'!B21</f>
        <v>40358</v>
      </c>
      <c r="D21" s="6" t="n">
        <f aca="false">'Analysis Data'!C21</f>
        <v>103.319022667528</v>
      </c>
      <c r="E21" s="15" t="n">
        <f aca="false">SUMPRODUCT('Final Model'!$B$45:$I$45,'Analysis Data'!N21:U21)</f>
        <v>180.391784710282</v>
      </c>
      <c r="F21" s="15" t="n">
        <f aca="false">D21-E21</f>
        <v>-77.0727620427543</v>
      </c>
      <c r="G21" s="13" t="n">
        <f aca="false">F21/'Final Model'!$B$21</f>
        <v>-1.57188631080449</v>
      </c>
      <c r="H21" s="6" t="n">
        <f aca="false">F21^2</f>
        <v>5940.21064889903</v>
      </c>
      <c r="J21" s="6" t="n">
        <f aca="false">A21</f>
        <v>20</v>
      </c>
      <c r="K21" s="13" t="n">
        <f aca="false">SMALL($G$2:$G$1387,J21)</f>
        <v>-2.29599309358365</v>
      </c>
      <c r="L21" s="18" t="n">
        <f aca="false">(J21-0.5)/1386</f>
        <v>0.0140692640692641</v>
      </c>
      <c r="M21" s="18" t="n">
        <f aca="false">_xlfn.NORM.DIST(K21,AVERAGE($G$2:$G$1387),_xlfn.STDEV.S($G$2:$G$1387),TRUE())</f>
        <v>0.0106727379431466</v>
      </c>
    </row>
    <row r="22" customFormat="false" ht="15" hidden="false" customHeight="false" outlineLevel="0" collapsed="false">
      <c r="A22" s="0" t="n">
        <f aca="false">ROW()-1</f>
        <v>21</v>
      </c>
      <c r="B22" s="0" t="str">
        <f aca="false">'Analysis Data'!A22</f>
        <v>Boca Raton</v>
      </c>
      <c r="C22" s="5" t="n">
        <f aca="false">'Analysis Data'!B22</f>
        <v>40365</v>
      </c>
      <c r="D22" s="6" t="n">
        <f aca="false">'Analysis Data'!C22</f>
        <v>240.225177230148</v>
      </c>
      <c r="E22" s="15" t="n">
        <f aca="false">SUMPRODUCT('Final Model'!$B$45:$I$45,'Analysis Data'!N22:U22)</f>
        <v>188.03225891454</v>
      </c>
      <c r="F22" s="15" t="n">
        <f aca="false">D22-E22</f>
        <v>52.1929183156082</v>
      </c>
      <c r="G22" s="13" t="n">
        <f aca="false">F22/'Final Model'!$B$21</f>
        <v>1.06446598833101</v>
      </c>
      <c r="H22" s="6" t="n">
        <f aca="false">F22^2</f>
        <v>2724.10072229975</v>
      </c>
      <c r="J22" s="6" t="n">
        <f aca="false">A22</f>
        <v>21</v>
      </c>
      <c r="K22" s="13" t="n">
        <f aca="false">SMALL($G$2:$G$1387,J22)</f>
        <v>-2.23878265020833</v>
      </c>
      <c r="L22" s="18" t="n">
        <f aca="false">(J22-0.5)/1386</f>
        <v>0.0147907647907648</v>
      </c>
      <c r="M22" s="18" t="n">
        <f aca="false">_xlfn.NORM.DIST(K22,AVERAGE($G$2:$G$1387),_xlfn.STDEV.S($G$2:$G$1387),TRUE())</f>
        <v>0.0124013533298079</v>
      </c>
    </row>
    <row r="23" customFormat="false" ht="15" hidden="false" customHeight="false" outlineLevel="0" collapsed="false">
      <c r="A23" s="0" t="n">
        <f aca="false">ROW()-1</f>
        <v>22</v>
      </c>
      <c r="B23" s="0" t="str">
        <f aca="false">'Analysis Data'!A23</f>
        <v>Boca Raton</v>
      </c>
      <c r="C23" s="5" t="n">
        <f aca="false">'Analysis Data'!B23</f>
        <v>40372</v>
      </c>
      <c r="D23" s="6" t="n">
        <f aca="false">'Analysis Data'!C23</f>
        <v>190.024801030626</v>
      </c>
      <c r="E23" s="15" t="n">
        <f aca="false">SUMPRODUCT('Final Model'!$B$45:$I$45,'Analysis Data'!N23:U23)</f>
        <v>188.03225891454</v>
      </c>
      <c r="F23" s="15" t="n">
        <f aca="false">D23-E23</f>
        <v>1.99254211608613</v>
      </c>
      <c r="G23" s="13" t="n">
        <f aca="false">F23/'Final Model'!$B$21</f>
        <v>0.0406375688760156</v>
      </c>
      <c r="H23" s="6" t="n">
        <f aca="false">F23^2</f>
        <v>3.97022408437698</v>
      </c>
      <c r="J23" s="6" t="n">
        <f aca="false">A23</f>
        <v>22</v>
      </c>
      <c r="K23" s="13" t="n">
        <f aca="false">SMALL($G$2:$G$1387,J23)</f>
        <v>-2.22359411883812</v>
      </c>
      <c r="L23" s="18" t="n">
        <f aca="false">(J23-0.5)/1386</f>
        <v>0.0155122655122655</v>
      </c>
      <c r="M23" s="18" t="n">
        <f aca="false">_xlfn.NORM.DIST(K23,AVERAGE($G$2:$G$1387),_xlfn.STDEV.S($G$2:$G$1387),TRUE())</f>
        <v>0.0128991464313115</v>
      </c>
    </row>
    <row r="24" customFormat="false" ht="15" hidden="false" customHeight="false" outlineLevel="0" collapsed="false">
      <c r="A24" s="0" t="n">
        <f aca="false">ROW()-1</f>
        <v>23</v>
      </c>
      <c r="B24" s="0" t="str">
        <f aca="false">'Analysis Data'!A24</f>
        <v>Coral Gables</v>
      </c>
      <c r="C24" s="5" t="n">
        <f aca="false">'Analysis Data'!B24</f>
        <v>40302</v>
      </c>
      <c r="D24" s="6" t="n">
        <f aca="false">'Analysis Data'!C24</f>
        <v>149.767871471215</v>
      </c>
      <c r="E24" s="15" t="n">
        <f aca="false">SUMPRODUCT('Final Model'!$B$45:$I$45,'Analysis Data'!N24:U24)</f>
        <v>176.865108881944</v>
      </c>
      <c r="F24" s="15" t="n">
        <f aca="false">D24-E24</f>
        <v>-27.0972374107294</v>
      </c>
      <c r="G24" s="13" t="n">
        <f aca="false">F24/'Final Model'!$B$21</f>
        <v>-0.552643702102137</v>
      </c>
      <c r="H24" s="6" t="n">
        <f aca="false">F24^2</f>
        <v>734.260275293435</v>
      </c>
      <c r="J24" s="6" t="n">
        <f aca="false">A24</f>
        <v>23</v>
      </c>
      <c r="K24" s="13" t="n">
        <f aca="false">SMALL($G$2:$G$1387,J24)</f>
        <v>-2.17969283444447</v>
      </c>
      <c r="L24" s="18" t="n">
        <f aca="false">(J24-0.5)/1386</f>
        <v>0.0162337662337662</v>
      </c>
      <c r="M24" s="18" t="n">
        <f aca="false">_xlfn.NORM.DIST(K24,AVERAGE($G$2:$G$1387),_xlfn.STDEV.S($G$2:$G$1387),TRUE())</f>
        <v>0.0144362847168321</v>
      </c>
    </row>
    <row r="25" customFormat="false" ht="15" hidden="false" customHeight="false" outlineLevel="0" collapsed="false">
      <c r="A25" s="0" t="n">
        <f aca="false">ROW()-1</f>
        <v>24</v>
      </c>
      <c r="B25" s="0" t="str">
        <f aca="false">'Analysis Data'!A25</f>
        <v>Coral Gables</v>
      </c>
      <c r="C25" s="5" t="n">
        <f aca="false">'Analysis Data'!B25</f>
        <v>40309</v>
      </c>
      <c r="D25" s="6" t="n">
        <f aca="false">'Analysis Data'!C25</f>
        <v>223.612759426956</v>
      </c>
      <c r="E25" s="15" t="n">
        <f aca="false">SUMPRODUCT('Final Model'!$B$45:$I$45,'Analysis Data'!N25:U25)</f>
        <v>194.486666726078</v>
      </c>
      <c r="F25" s="15" t="n">
        <f aca="false">D25-E25</f>
        <v>29.1260927008779</v>
      </c>
      <c r="G25" s="13" t="n">
        <f aca="false">F25/'Final Model'!$B$21</f>
        <v>0.594021872193128</v>
      </c>
      <c r="H25" s="6" t="n">
        <f aca="false">F25^2</f>
        <v>848.329276020132</v>
      </c>
      <c r="J25" s="6" t="n">
        <f aca="false">A25</f>
        <v>24</v>
      </c>
      <c r="K25" s="13" t="n">
        <f aca="false">SMALL($G$2:$G$1387,J25)</f>
        <v>-2.13683589698555</v>
      </c>
      <c r="L25" s="18" t="n">
        <f aca="false">(J25-0.5)/1386</f>
        <v>0.016955266955267</v>
      </c>
      <c r="M25" s="18" t="n">
        <f aca="false">_xlfn.NORM.DIST(K25,AVERAGE($G$2:$G$1387),_xlfn.STDEV.S($G$2:$G$1387),TRUE())</f>
        <v>0.0160864276605144</v>
      </c>
    </row>
    <row r="26" customFormat="false" ht="15" hidden="false" customHeight="false" outlineLevel="0" collapsed="false">
      <c r="A26" s="0" t="n">
        <f aca="false">ROW()-1</f>
        <v>25</v>
      </c>
      <c r="B26" s="0" t="str">
        <f aca="false">'Analysis Data'!A26</f>
        <v>Coral Gables</v>
      </c>
      <c r="C26" s="5" t="n">
        <f aca="false">'Analysis Data'!B26</f>
        <v>40316</v>
      </c>
      <c r="D26" s="6" t="n">
        <f aca="false">'Analysis Data'!C26</f>
        <v>216.36969551659</v>
      </c>
      <c r="E26" s="15" t="n">
        <f aca="false">SUMPRODUCT('Final Model'!$B$45:$I$45,'Analysis Data'!N26:U26)</f>
        <v>192.861780835429</v>
      </c>
      <c r="F26" s="15" t="n">
        <f aca="false">D26-E26</f>
        <v>23.5079146811615</v>
      </c>
      <c r="G26" s="13" t="n">
        <f aca="false">F26/'Final Model'!$B$21</f>
        <v>0.479440055131013</v>
      </c>
      <c r="H26" s="6" t="n">
        <f aca="false">F26^2</f>
        <v>552.622052656767</v>
      </c>
      <c r="J26" s="6" t="n">
        <f aca="false">A26</f>
        <v>25</v>
      </c>
      <c r="K26" s="13" t="n">
        <f aca="false">SMALL($G$2:$G$1387,J26)</f>
        <v>-2.12586848945371</v>
      </c>
      <c r="L26" s="18" t="n">
        <f aca="false">(J26-0.5)/1386</f>
        <v>0.0176767676767677</v>
      </c>
      <c r="M26" s="18" t="n">
        <f aca="false">_xlfn.NORM.DIST(K26,AVERAGE($G$2:$G$1387),_xlfn.STDEV.S($G$2:$G$1387),TRUE())</f>
        <v>0.016533816033878</v>
      </c>
    </row>
    <row r="27" customFormat="false" ht="15" hidden="false" customHeight="false" outlineLevel="0" collapsed="false">
      <c r="A27" s="0" t="n">
        <f aca="false">ROW()-1</f>
        <v>26</v>
      </c>
      <c r="B27" s="0" t="str">
        <f aca="false">'Analysis Data'!A27</f>
        <v>Coral Gables</v>
      </c>
      <c r="C27" s="5" t="n">
        <f aca="false">'Analysis Data'!B27</f>
        <v>40323</v>
      </c>
      <c r="D27" s="6" t="n">
        <f aca="false">'Analysis Data'!C27</f>
        <v>205.534940262073</v>
      </c>
      <c r="E27" s="15" t="n">
        <f aca="false">SUMPRODUCT('Final Model'!$B$45:$I$45,'Analysis Data'!N27:U27)</f>
        <v>190.426458051469</v>
      </c>
      <c r="F27" s="15" t="n">
        <f aca="false">D27-E27</f>
        <v>15.1084822106039</v>
      </c>
      <c r="G27" s="13" t="n">
        <f aca="false">F27/'Final Model'!$B$21</f>
        <v>0.308135010792883</v>
      </c>
      <c r="H27" s="6" t="n">
        <f aca="false">F27^2</f>
        <v>228.266234708136</v>
      </c>
      <c r="J27" s="6" t="n">
        <f aca="false">A27</f>
        <v>26</v>
      </c>
      <c r="K27" s="13" t="n">
        <f aca="false">SMALL($G$2:$G$1387,J27)</f>
        <v>-2.11363950256902</v>
      </c>
      <c r="L27" s="18" t="n">
        <f aca="false">(J27-0.5)/1386</f>
        <v>0.0183982683982684</v>
      </c>
      <c r="M27" s="18" t="n">
        <f aca="false">_xlfn.NORM.DIST(K27,AVERAGE($G$2:$G$1387),_xlfn.STDEV.S($G$2:$G$1387),TRUE())</f>
        <v>0.0170451843576309</v>
      </c>
    </row>
    <row r="28" customFormat="false" ht="15" hidden="false" customHeight="false" outlineLevel="0" collapsed="false">
      <c r="A28" s="0" t="n">
        <f aca="false">ROW()-1</f>
        <v>27</v>
      </c>
      <c r="B28" s="0" t="str">
        <f aca="false">'Analysis Data'!A28</f>
        <v>Coral Gables</v>
      </c>
      <c r="C28" s="5" t="n">
        <f aca="false">'Analysis Data'!B28</f>
        <v>40330</v>
      </c>
      <c r="D28" s="6" t="n">
        <f aca="false">'Analysis Data'!C28</f>
        <v>131.626529533105</v>
      </c>
      <c r="E28" s="15" t="n">
        <f aca="false">SUMPRODUCT('Final Model'!$B$45:$I$45,'Analysis Data'!N28:U28)</f>
        <v>187.351879750878</v>
      </c>
      <c r="F28" s="15" t="n">
        <f aca="false">D28-E28</f>
        <v>-55.7253502177731</v>
      </c>
      <c r="G28" s="13" t="n">
        <f aca="false">F28/'Final Model'!$B$21</f>
        <v>-1.13650935623032</v>
      </c>
      <c r="H28" s="6" t="n">
        <f aca="false">F28^2</f>
        <v>3105.31465689347</v>
      </c>
      <c r="J28" s="6" t="n">
        <f aca="false">A28</f>
        <v>27</v>
      </c>
      <c r="K28" s="13" t="n">
        <f aca="false">SMALL($G$2:$G$1387,J28)</f>
        <v>-2.07489448464015</v>
      </c>
      <c r="L28" s="18" t="n">
        <f aca="false">(J28-0.5)/1386</f>
        <v>0.0191197691197691</v>
      </c>
      <c r="M28" s="18" t="n">
        <f aca="false">_xlfn.NORM.DIST(K28,AVERAGE($G$2:$G$1387),_xlfn.STDEV.S($G$2:$G$1387),TRUE())</f>
        <v>0.0187555279868779</v>
      </c>
    </row>
    <row r="29" customFormat="false" ht="15" hidden="false" customHeight="false" outlineLevel="0" collapsed="false">
      <c r="A29" s="0" t="n">
        <f aca="false">ROW()-1</f>
        <v>28</v>
      </c>
      <c r="B29" s="0" t="str">
        <f aca="false">'Analysis Data'!A29</f>
        <v>Coral Gables</v>
      </c>
      <c r="C29" s="5" t="n">
        <f aca="false">'Analysis Data'!B29</f>
        <v>40337</v>
      </c>
      <c r="D29" s="6" t="n">
        <f aca="false">'Analysis Data'!C29</f>
        <v>199.933910750248</v>
      </c>
      <c r="E29" s="15" t="n">
        <f aca="false">SUMPRODUCT('Final Model'!$B$45:$I$45,'Analysis Data'!N29:U29)</f>
        <v>179.954821463722</v>
      </c>
      <c r="F29" s="15" t="n">
        <f aca="false">D29-E29</f>
        <v>19.9790892865263</v>
      </c>
      <c r="G29" s="13" t="n">
        <f aca="false">F29/'Final Model'!$B$21</f>
        <v>0.407470241359848</v>
      </c>
      <c r="H29" s="6" t="n">
        <f aca="false">F29^2</f>
        <v>399.16400871899</v>
      </c>
      <c r="J29" s="6" t="n">
        <f aca="false">A29</f>
        <v>28</v>
      </c>
      <c r="K29" s="13" t="n">
        <f aca="false">SMALL($G$2:$G$1387,J29)</f>
        <v>-2.02916852520354</v>
      </c>
      <c r="L29" s="18" t="n">
        <f aca="false">(J29-0.5)/1386</f>
        <v>0.0198412698412698</v>
      </c>
      <c r="M29" s="18" t="n">
        <f aca="false">_xlfn.NORM.DIST(K29,AVERAGE($G$2:$G$1387),_xlfn.STDEV.S($G$2:$G$1387),TRUE())</f>
        <v>0.0209598771424974</v>
      </c>
    </row>
    <row r="30" customFormat="false" ht="15" hidden="false" customHeight="false" outlineLevel="0" collapsed="false">
      <c r="A30" s="0" t="n">
        <f aca="false">ROW()-1</f>
        <v>29</v>
      </c>
      <c r="B30" s="0" t="str">
        <f aca="false">'Analysis Data'!A30</f>
        <v>Coral Gables</v>
      </c>
      <c r="C30" s="5" t="n">
        <f aca="false">'Analysis Data'!B30</f>
        <v>40344</v>
      </c>
      <c r="D30" s="6" t="n">
        <f aca="false">'Analysis Data'!C30</f>
        <v>217.95188990662</v>
      </c>
      <c r="E30" s="15" t="n">
        <f aca="false">SUMPRODUCT('Final Model'!$B$45:$I$45,'Analysis Data'!N30:U30)</f>
        <v>181.01216748009</v>
      </c>
      <c r="F30" s="15" t="n">
        <f aca="false">D30-E30</f>
        <v>36.9397224265298</v>
      </c>
      <c r="G30" s="13" t="n">
        <f aca="false">F30/'Final Model'!$B$21</f>
        <v>0.753379565857125</v>
      </c>
      <c r="H30" s="6" t="n">
        <f aca="false">F30^2</f>
        <v>1364.54309294907</v>
      </c>
      <c r="J30" s="6" t="n">
        <f aca="false">A30</f>
        <v>29</v>
      </c>
      <c r="K30" s="13" t="n">
        <f aca="false">SMALL($G$2:$G$1387,J30)</f>
        <v>-2.0059578515057</v>
      </c>
      <c r="L30" s="18" t="n">
        <f aca="false">(J30-0.5)/1386</f>
        <v>0.0205627705627706</v>
      </c>
      <c r="M30" s="18" t="n">
        <f aca="false">_xlfn.NORM.DIST(K30,AVERAGE($G$2:$G$1387),_xlfn.STDEV.S($G$2:$G$1387),TRUE())</f>
        <v>0.0221602802882458</v>
      </c>
    </row>
    <row r="31" customFormat="false" ht="15" hidden="false" customHeight="false" outlineLevel="0" collapsed="false">
      <c r="A31" s="0" t="n">
        <f aca="false">ROW()-1</f>
        <v>30</v>
      </c>
      <c r="B31" s="0" t="str">
        <f aca="false">'Analysis Data'!A31</f>
        <v>Coral Gables</v>
      </c>
      <c r="C31" s="5" t="n">
        <f aca="false">'Analysis Data'!B31</f>
        <v>40351</v>
      </c>
      <c r="D31" s="6" t="n">
        <f aca="false">'Analysis Data'!C31</f>
        <v>139.613531553445</v>
      </c>
      <c r="E31" s="15" t="n">
        <f aca="false">SUMPRODUCT('Final Model'!$B$45:$I$45,'Analysis Data'!N31:U31)</f>
        <v>180.322593995951</v>
      </c>
      <c r="F31" s="15" t="n">
        <f aca="false">D31-E31</f>
        <v>-40.7090624425061</v>
      </c>
      <c r="G31" s="13" t="n">
        <f aca="false">F31/'Final Model'!$B$21</f>
        <v>-0.830254635789014</v>
      </c>
      <c r="H31" s="6" t="n">
        <f aca="false">F31^2</f>
        <v>1657.22776494786</v>
      </c>
      <c r="J31" s="6" t="n">
        <f aca="false">A31</f>
        <v>30</v>
      </c>
      <c r="K31" s="13" t="n">
        <f aca="false">SMALL($G$2:$G$1387,J31)</f>
        <v>-1.9828676176249</v>
      </c>
      <c r="L31" s="18" t="n">
        <f aca="false">(J31-0.5)/1386</f>
        <v>0.0212842712842713</v>
      </c>
      <c r="M31" s="18" t="n">
        <f aca="false">_xlfn.NORM.DIST(K31,AVERAGE($G$2:$G$1387),_xlfn.STDEV.S($G$2:$G$1387),TRUE())</f>
        <v>0.0234115109442695</v>
      </c>
    </row>
    <row r="32" customFormat="false" ht="15" hidden="false" customHeight="false" outlineLevel="0" collapsed="false">
      <c r="A32" s="0" t="n">
        <f aca="false">ROW()-1</f>
        <v>31</v>
      </c>
      <c r="B32" s="0" t="str">
        <f aca="false">'Analysis Data'!A32</f>
        <v>Coral Gables</v>
      </c>
      <c r="C32" s="5" t="n">
        <f aca="false">'Analysis Data'!B32</f>
        <v>40358</v>
      </c>
      <c r="D32" s="6" t="n">
        <f aca="false">'Analysis Data'!C32</f>
        <v>106.416565686142</v>
      </c>
      <c r="E32" s="15" t="n">
        <f aca="false">SUMPRODUCT('Final Model'!$B$45:$I$45,'Analysis Data'!N32:U32)</f>
        <v>177.436994180309</v>
      </c>
      <c r="F32" s="15" t="n">
        <f aca="false">D32-E32</f>
        <v>-71.0204284941676</v>
      </c>
      <c r="G32" s="13" t="n">
        <f aca="false">F32/'Final Model'!$B$21</f>
        <v>-1.44844996310789</v>
      </c>
      <c r="H32" s="6" t="n">
        <f aca="false">F32^2</f>
        <v>5043.90126349518</v>
      </c>
      <c r="J32" s="6" t="n">
        <f aca="false">A32</f>
        <v>31</v>
      </c>
      <c r="K32" s="13" t="n">
        <f aca="false">SMALL($G$2:$G$1387,J32)</f>
        <v>-1.96369391155546</v>
      </c>
      <c r="L32" s="18" t="n">
        <f aca="false">(J32-0.5)/1386</f>
        <v>0.022005772005772</v>
      </c>
      <c r="M32" s="18" t="n">
        <f aca="false">_xlfn.NORM.DIST(K32,AVERAGE($G$2:$G$1387),_xlfn.STDEV.S($G$2:$G$1387),TRUE())</f>
        <v>0.0244952001772118</v>
      </c>
    </row>
    <row r="33" customFormat="false" ht="15" hidden="false" customHeight="false" outlineLevel="0" collapsed="false">
      <c r="A33" s="0" t="n">
        <f aca="false">ROW()-1</f>
        <v>32</v>
      </c>
      <c r="B33" s="0" t="str">
        <f aca="false">'Analysis Data'!A33</f>
        <v>Coral Gables</v>
      </c>
      <c r="C33" s="5" t="n">
        <f aca="false">'Analysis Data'!B33</f>
        <v>40365</v>
      </c>
      <c r="D33" s="6" t="n">
        <f aca="false">'Analysis Data'!C33</f>
        <v>203.743203707602</v>
      </c>
      <c r="E33" s="15" t="n">
        <f aca="false">SUMPRODUCT('Final Model'!$B$45:$I$45,'Analysis Data'!N33:U33)</f>
        <v>191.101157983997</v>
      </c>
      <c r="F33" s="15" t="n">
        <f aca="false">D33-E33</f>
        <v>12.6420457236047</v>
      </c>
      <c r="G33" s="13" t="n">
        <f aca="false">F33/'Final Model'!$B$21</f>
        <v>0.257832444132145</v>
      </c>
      <c r="H33" s="6" t="n">
        <f aca="false">F33^2</f>
        <v>159.821320077711</v>
      </c>
      <c r="J33" s="6" t="n">
        <f aca="false">A33</f>
        <v>32</v>
      </c>
      <c r="K33" s="13" t="n">
        <f aca="false">SMALL($G$2:$G$1387,J33)</f>
        <v>-1.90564199898106</v>
      </c>
      <c r="L33" s="18" t="n">
        <f aca="false">(J33-0.5)/1386</f>
        <v>0.0227272727272727</v>
      </c>
      <c r="M33" s="18" t="n">
        <f aca="false">_xlfn.NORM.DIST(K33,AVERAGE($G$2:$G$1387),_xlfn.STDEV.S($G$2:$G$1387),TRUE())</f>
        <v>0.0280359747298023</v>
      </c>
    </row>
    <row r="34" customFormat="false" ht="15" hidden="false" customHeight="false" outlineLevel="0" collapsed="false">
      <c r="A34" s="0" t="n">
        <f aca="false">ROW()-1</f>
        <v>33</v>
      </c>
      <c r="B34" s="0" t="str">
        <f aca="false">'Analysis Data'!A34</f>
        <v>Coral Gables</v>
      </c>
      <c r="C34" s="5" t="n">
        <f aca="false">'Analysis Data'!B34</f>
        <v>40372</v>
      </c>
      <c r="D34" s="6" t="n">
        <f aca="false">'Analysis Data'!C34</f>
        <v>159.433695366379</v>
      </c>
      <c r="E34" s="15" t="n">
        <f aca="false">SUMPRODUCT('Final Model'!$B$45:$I$45,'Analysis Data'!N34:U34)</f>
        <v>184.036673116987</v>
      </c>
      <c r="F34" s="15" t="n">
        <f aca="false">D34-E34</f>
        <v>-24.6029777506079</v>
      </c>
      <c r="G34" s="13" t="n">
        <f aca="false">F34/'Final Model'!$B$21</f>
        <v>-0.501773686399806</v>
      </c>
      <c r="H34" s="6" t="n">
        <f aca="false">F34^2</f>
        <v>605.306514196906</v>
      </c>
      <c r="J34" s="6" t="n">
        <f aca="false">A34</f>
        <v>33</v>
      </c>
      <c r="K34" s="13" t="n">
        <f aca="false">SMALL($G$2:$G$1387,J34)</f>
        <v>-1.89322706268055</v>
      </c>
      <c r="L34" s="18" t="n">
        <f aca="false">(J34-0.5)/1386</f>
        <v>0.0234487734487734</v>
      </c>
      <c r="M34" s="18" t="n">
        <f aca="false">_xlfn.NORM.DIST(K34,AVERAGE($G$2:$G$1387),_xlfn.STDEV.S($G$2:$G$1387),TRUE())</f>
        <v>0.0288460912353158</v>
      </c>
    </row>
    <row r="35" customFormat="false" ht="15" hidden="false" customHeight="false" outlineLevel="0" collapsed="false">
      <c r="A35" s="0" t="n">
        <f aca="false">ROW()-1</f>
        <v>34</v>
      </c>
      <c r="B35" s="0" t="str">
        <f aca="false">'Analysis Data'!A35</f>
        <v>Coral Springs</v>
      </c>
      <c r="C35" s="5" t="n">
        <f aca="false">'Analysis Data'!B35</f>
        <v>40302</v>
      </c>
      <c r="D35" s="6" t="n">
        <f aca="false">'Analysis Data'!C35</f>
        <v>305.183290231773</v>
      </c>
      <c r="E35" s="15" t="n">
        <f aca="false">SUMPRODUCT('Final Model'!$B$45:$I$45,'Analysis Data'!N35:U35)</f>
        <v>252.04753988226</v>
      </c>
      <c r="F35" s="15" t="n">
        <f aca="false">D35-E35</f>
        <v>53.1357503495136</v>
      </c>
      <c r="G35" s="13" t="n">
        <f aca="false">F35/'Final Model'!$B$21</f>
        <v>1.08369489265731</v>
      </c>
      <c r="H35" s="6" t="n">
        <f aca="false">F35^2</f>
        <v>2823.40796520583</v>
      </c>
      <c r="J35" s="6" t="n">
        <f aca="false">A35</f>
        <v>34</v>
      </c>
      <c r="K35" s="13" t="n">
        <f aca="false">SMALL($G$2:$G$1387,J35)</f>
        <v>-1.88246870965472</v>
      </c>
      <c r="L35" s="18" t="n">
        <f aca="false">(J35-0.5)/1386</f>
        <v>0.0241702741702742</v>
      </c>
      <c r="M35" s="18" t="n">
        <f aca="false">_xlfn.NORM.DIST(K35,AVERAGE($G$2:$G$1387),_xlfn.STDEV.S($G$2:$G$1387),TRUE())</f>
        <v>0.0295637600703071</v>
      </c>
    </row>
    <row r="36" customFormat="false" ht="15" hidden="false" customHeight="false" outlineLevel="0" collapsed="false">
      <c r="A36" s="0" t="n">
        <f aca="false">ROW()-1</f>
        <v>35</v>
      </c>
      <c r="B36" s="0" t="str">
        <f aca="false">'Analysis Data'!A36</f>
        <v>Coral Springs</v>
      </c>
      <c r="C36" s="5" t="n">
        <f aca="false">'Analysis Data'!B36</f>
        <v>40309</v>
      </c>
      <c r="D36" s="6" t="n">
        <f aca="false">'Analysis Data'!C36</f>
        <v>235.457109016989</v>
      </c>
      <c r="E36" s="15" t="n">
        <f aca="false">SUMPRODUCT('Final Model'!$B$45:$I$45,'Analysis Data'!N36:U36)</f>
        <v>254.008993350706</v>
      </c>
      <c r="F36" s="15" t="n">
        <f aca="false">D36-E36</f>
        <v>-18.5518843337174</v>
      </c>
      <c r="G36" s="13" t="n">
        <f aca="false">F36/'Final Model'!$B$21</f>
        <v>-0.378362630985275</v>
      </c>
      <c r="H36" s="6" t="n">
        <f aca="false">F36^2</f>
        <v>344.172412331628</v>
      </c>
      <c r="J36" s="6" t="n">
        <f aca="false">A36</f>
        <v>35</v>
      </c>
      <c r="K36" s="13" t="n">
        <f aca="false">SMALL($G$2:$G$1387,J36)</f>
        <v>-1.87796148209444</v>
      </c>
      <c r="L36" s="18" t="n">
        <f aca="false">(J36-0.5)/1386</f>
        <v>0.0248917748917749</v>
      </c>
      <c r="M36" s="18" t="n">
        <f aca="false">_xlfn.NORM.DIST(K36,AVERAGE($G$2:$G$1387),_xlfn.STDEV.S($G$2:$G$1387),TRUE())</f>
        <v>0.0298688025694612</v>
      </c>
    </row>
    <row r="37" customFormat="false" ht="15" hidden="false" customHeight="false" outlineLevel="0" collapsed="false">
      <c r="A37" s="0" t="n">
        <f aca="false">ROW()-1</f>
        <v>36</v>
      </c>
      <c r="B37" s="0" t="str">
        <f aca="false">'Analysis Data'!A37</f>
        <v>Coral Springs</v>
      </c>
      <c r="C37" s="5" t="n">
        <f aca="false">'Analysis Data'!B37</f>
        <v>40316</v>
      </c>
      <c r="D37" s="6" t="n">
        <f aca="false">'Analysis Data'!C37</f>
        <v>239.694901879694</v>
      </c>
      <c r="E37" s="15" t="n">
        <f aca="false">SUMPRODUCT('Final Model'!$B$45:$I$45,'Analysis Data'!N37:U37)</f>
        <v>192.517669213383</v>
      </c>
      <c r="F37" s="15" t="n">
        <f aca="false">D37-E37</f>
        <v>47.177232666311</v>
      </c>
      <c r="G37" s="13" t="n">
        <f aca="false">F37/'Final Model'!$B$21</f>
        <v>0.962171904111539</v>
      </c>
      <c r="H37" s="6" t="n">
        <f aca="false">F37^2</f>
        <v>2225.69128205124</v>
      </c>
      <c r="J37" s="6" t="n">
        <f aca="false">A37</f>
        <v>36</v>
      </c>
      <c r="K37" s="13" t="n">
        <f aca="false">SMALL($G$2:$G$1387,J37)</f>
        <v>-1.85960158000895</v>
      </c>
      <c r="L37" s="18" t="n">
        <f aca="false">(J37-0.5)/1386</f>
        <v>0.0256132756132756</v>
      </c>
      <c r="M37" s="18" t="n">
        <f aca="false">_xlfn.NORM.DIST(K37,AVERAGE($G$2:$G$1387),_xlfn.STDEV.S($G$2:$G$1387),TRUE())</f>
        <v>0.0311384725124334</v>
      </c>
    </row>
    <row r="38" customFormat="false" ht="15" hidden="false" customHeight="false" outlineLevel="0" collapsed="false">
      <c r="A38" s="0" t="n">
        <f aca="false">ROW()-1</f>
        <v>37</v>
      </c>
      <c r="B38" s="0" t="str">
        <f aca="false">'Analysis Data'!A38</f>
        <v>Coral Springs</v>
      </c>
      <c r="C38" s="5" t="n">
        <f aca="false">'Analysis Data'!B38</f>
        <v>40323</v>
      </c>
      <c r="D38" s="6" t="n">
        <f aca="false">'Analysis Data'!C38</f>
        <v>220.946790529896</v>
      </c>
      <c r="E38" s="15" t="n">
        <f aca="false">SUMPRODUCT('Final Model'!$B$45:$I$45,'Analysis Data'!N38:U38)</f>
        <v>186.895841812679</v>
      </c>
      <c r="F38" s="15" t="n">
        <f aca="false">D38-E38</f>
        <v>34.0509487172168</v>
      </c>
      <c r="G38" s="13" t="n">
        <f aca="false">F38/'Final Model'!$B$21</f>
        <v>0.694463500981155</v>
      </c>
      <c r="H38" s="6" t="n">
        <f aca="false">F38^2</f>
        <v>1159.46710854253</v>
      </c>
      <c r="J38" s="6" t="n">
        <f aca="false">A38</f>
        <v>37</v>
      </c>
      <c r="K38" s="13" t="n">
        <f aca="false">SMALL($G$2:$G$1387,J38)</f>
        <v>-1.85309364452704</v>
      </c>
      <c r="L38" s="18" t="n">
        <f aca="false">(J38-0.5)/1386</f>
        <v>0.0263347763347763</v>
      </c>
      <c r="M38" s="18" t="n">
        <f aca="false">_xlfn.NORM.DIST(K38,AVERAGE($G$2:$G$1387),_xlfn.STDEV.S($G$2:$G$1387),TRUE())</f>
        <v>0.0315991098461156</v>
      </c>
    </row>
    <row r="39" customFormat="false" ht="15" hidden="false" customHeight="false" outlineLevel="0" collapsed="false">
      <c r="A39" s="0" t="n">
        <f aca="false">ROW()-1</f>
        <v>38</v>
      </c>
      <c r="B39" s="0" t="str">
        <f aca="false">'Analysis Data'!A39</f>
        <v>Coral Springs</v>
      </c>
      <c r="C39" s="5" t="n">
        <f aca="false">'Analysis Data'!B39</f>
        <v>40330</v>
      </c>
      <c r="D39" s="6" t="n">
        <f aca="false">'Analysis Data'!C39</f>
        <v>233.326002975849</v>
      </c>
      <c r="E39" s="15" t="n">
        <f aca="false">SUMPRODUCT('Final Model'!$B$45:$I$45,'Analysis Data'!N39:U39)</f>
        <v>189.238027403653</v>
      </c>
      <c r="F39" s="15" t="n">
        <f aca="false">D39-E39</f>
        <v>44.0879755721959</v>
      </c>
      <c r="G39" s="13" t="n">
        <f aca="false">F39/'Final Model'!$B$21</f>
        <v>0.89916701356277</v>
      </c>
      <c r="H39" s="6" t="n">
        <f aca="false">F39^2</f>
        <v>1943.74959005455</v>
      </c>
      <c r="J39" s="6" t="n">
        <f aca="false">A39</f>
        <v>38</v>
      </c>
      <c r="K39" s="13" t="n">
        <f aca="false">SMALL($G$2:$G$1387,J39)</f>
        <v>-1.85066243227444</v>
      </c>
      <c r="L39" s="18" t="n">
        <f aca="false">(J39-0.5)/1386</f>
        <v>0.0270562770562771</v>
      </c>
      <c r="M39" s="18" t="n">
        <f aca="false">_xlfn.NORM.DIST(K39,AVERAGE($G$2:$G$1387),_xlfn.STDEV.S($G$2:$G$1387),TRUE())</f>
        <v>0.0317726318114379</v>
      </c>
    </row>
    <row r="40" customFormat="false" ht="15" hidden="false" customHeight="false" outlineLevel="0" collapsed="false">
      <c r="A40" s="0" t="n">
        <f aca="false">ROW()-1</f>
        <v>39</v>
      </c>
      <c r="B40" s="0" t="str">
        <f aca="false">'Analysis Data'!A40</f>
        <v>Coral Springs</v>
      </c>
      <c r="C40" s="5" t="n">
        <f aca="false">'Analysis Data'!B40</f>
        <v>40337</v>
      </c>
      <c r="D40" s="6" t="n">
        <f aca="false">'Analysis Data'!C40</f>
        <v>143.794799054312</v>
      </c>
      <c r="E40" s="15" t="n">
        <f aca="false">SUMPRODUCT('Final Model'!$B$45:$I$45,'Analysis Data'!N40:U40)</f>
        <v>195.148657270851</v>
      </c>
      <c r="F40" s="15" t="n">
        <f aca="false">D40-E40</f>
        <v>-51.3538582165394</v>
      </c>
      <c r="G40" s="13" t="n">
        <f aca="false">F40/'Final Model'!$B$21</f>
        <v>-1.0473534955552</v>
      </c>
      <c r="H40" s="6" t="n">
        <f aca="false">F40^2</f>
        <v>2637.21875372443</v>
      </c>
      <c r="J40" s="6" t="n">
        <f aca="false">A40</f>
        <v>39</v>
      </c>
      <c r="K40" s="13" t="n">
        <f aca="false">SMALL($G$2:$G$1387,J40)</f>
        <v>-1.84052316138215</v>
      </c>
      <c r="L40" s="18" t="n">
        <f aca="false">(J40-0.5)/1386</f>
        <v>0.0277777777777778</v>
      </c>
      <c r="M40" s="18" t="n">
        <f aca="false">_xlfn.NORM.DIST(K40,AVERAGE($G$2:$G$1387),_xlfn.STDEV.S($G$2:$G$1387),TRUE())</f>
        <v>0.0325048063198037</v>
      </c>
    </row>
    <row r="41" customFormat="false" ht="15" hidden="false" customHeight="false" outlineLevel="0" collapsed="false">
      <c r="A41" s="0" t="n">
        <f aca="false">ROW()-1</f>
        <v>40</v>
      </c>
      <c r="B41" s="0" t="str">
        <f aca="false">'Analysis Data'!A41</f>
        <v>Coral Springs</v>
      </c>
      <c r="C41" s="5" t="n">
        <f aca="false">'Analysis Data'!B41</f>
        <v>40344</v>
      </c>
      <c r="D41" s="6" t="n">
        <f aca="false">'Analysis Data'!C41</f>
        <v>192.922888592757</v>
      </c>
      <c r="E41" s="15" t="n">
        <f aca="false">SUMPRODUCT('Final Model'!$B$45:$I$45,'Analysis Data'!N41:U41)</f>
        <v>174.100752766976</v>
      </c>
      <c r="F41" s="15" t="n">
        <f aca="false">D41-E41</f>
        <v>18.8221358257812</v>
      </c>
      <c r="G41" s="13" t="n">
        <f aca="false">F41/'Final Model'!$B$21</f>
        <v>0.383874365735535</v>
      </c>
      <c r="H41" s="6" t="n">
        <f aca="false">F41^2</f>
        <v>354.272797044155</v>
      </c>
      <c r="J41" s="6" t="n">
        <f aca="false">A41</f>
        <v>40</v>
      </c>
      <c r="K41" s="13" t="n">
        <f aca="false">SMALL($G$2:$G$1387,J41)</f>
        <v>-1.83187164693019</v>
      </c>
      <c r="L41" s="18" t="n">
        <f aca="false">(J41-0.5)/1386</f>
        <v>0.0284992784992785</v>
      </c>
      <c r="M41" s="18" t="n">
        <f aca="false">_xlfn.NORM.DIST(K41,AVERAGE($G$2:$G$1387),_xlfn.STDEV.S($G$2:$G$1387),TRUE())</f>
        <v>0.0331405007718818</v>
      </c>
    </row>
    <row r="42" customFormat="false" ht="15" hidden="false" customHeight="false" outlineLevel="0" collapsed="false">
      <c r="A42" s="0" t="n">
        <f aca="false">ROW()-1</f>
        <v>41</v>
      </c>
      <c r="B42" s="0" t="str">
        <f aca="false">'Analysis Data'!A42</f>
        <v>Coral Springs</v>
      </c>
      <c r="C42" s="5" t="n">
        <f aca="false">'Analysis Data'!B42</f>
        <v>40351</v>
      </c>
      <c r="D42" s="6" t="n">
        <f aca="false">'Analysis Data'!C42</f>
        <v>134.712923373282</v>
      </c>
      <c r="E42" s="15" t="n">
        <f aca="false">SUMPRODUCT('Final Model'!$B$45:$I$45,'Analysis Data'!N42:U42)</f>
        <v>180.253870013455</v>
      </c>
      <c r="F42" s="15" t="n">
        <f aca="false">D42-E42</f>
        <v>-45.5409466401727</v>
      </c>
      <c r="G42" s="13" t="n">
        <f aca="false">F42/'Final Model'!$B$21</f>
        <v>-0.928800119620143</v>
      </c>
      <c r="H42" s="6" t="n">
        <f aca="false">F42^2</f>
        <v>2073.97782088306</v>
      </c>
      <c r="J42" s="6" t="n">
        <f aca="false">A42</f>
        <v>41</v>
      </c>
      <c r="K42" s="13" t="n">
        <f aca="false">SMALL($G$2:$G$1387,J42)</f>
        <v>-1.8144865721634</v>
      </c>
      <c r="L42" s="18" t="n">
        <f aca="false">(J42-0.5)/1386</f>
        <v>0.0292207792207792</v>
      </c>
      <c r="M42" s="18" t="n">
        <f aca="false">_xlfn.NORM.DIST(K42,AVERAGE($G$2:$G$1387),_xlfn.STDEV.S($G$2:$G$1387),TRUE())</f>
        <v>0.0344488981164084</v>
      </c>
    </row>
    <row r="43" customFormat="false" ht="15" hidden="false" customHeight="false" outlineLevel="0" collapsed="false">
      <c r="A43" s="0" t="n">
        <f aca="false">ROW()-1</f>
        <v>42</v>
      </c>
      <c r="B43" s="0" t="str">
        <f aca="false">'Analysis Data'!A43</f>
        <v>Coral Springs</v>
      </c>
      <c r="C43" s="5" t="n">
        <f aca="false">'Analysis Data'!B43</f>
        <v>40358</v>
      </c>
      <c r="D43" s="6" t="n">
        <f aca="false">'Analysis Data'!C43</f>
        <v>118.938923303087</v>
      </c>
      <c r="E43" s="15" t="n">
        <f aca="false">SUMPRODUCT('Final Model'!$B$45:$I$45,'Analysis Data'!N43:U43)</f>
        <v>174.100752766976</v>
      </c>
      <c r="F43" s="15" t="n">
        <f aca="false">D43-E43</f>
        <v>-55.1618294638885</v>
      </c>
      <c r="G43" s="13" t="n">
        <f aca="false">F43/'Final Model'!$B$21</f>
        <v>-1.12501644309982</v>
      </c>
      <c r="H43" s="6" t="n">
        <f aca="false">F43^2</f>
        <v>3042.82742980312</v>
      </c>
      <c r="J43" s="6" t="n">
        <f aca="false">A43</f>
        <v>42</v>
      </c>
      <c r="K43" s="13" t="n">
        <f aca="false">SMALL($G$2:$G$1387,J43)</f>
        <v>-1.79653188785214</v>
      </c>
      <c r="L43" s="18" t="n">
        <f aca="false">(J43-0.5)/1386</f>
        <v>0.0299422799422799</v>
      </c>
      <c r="M43" s="18" t="n">
        <f aca="false">_xlfn.NORM.DIST(K43,AVERAGE($G$2:$G$1387),_xlfn.STDEV.S($G$2:$G$1387),TRUE())</f>
        <v>0.0358444154121945</v>
      </c>
    </row>
    <row r="44" customFormat="false" ht="15" hidden="false" customHeight="false" outlineLevel="0" collapsed="false">
      <c r="A44" s="0" t="n">
        <f aca="false">ROW()-1</f>
        <v>43</v>
      </c>
      <c r="B44" s="0" t="str">
        <f aca="false">'Analysis Data'!A44</f>
        <v>Coral Springs</v>
      </c>
      <c r="C44" s="5" t="n">
        <f aca="false">'Analysis Data'!B44</f>
        <v>40365</v>
      </c>
      <c r="D44" s="6" t="n">
        <f aca="false">'Analysis Data'!C44</f>
        <v>206.220372668159</v>
      </c>
      <c r="E44" s="15" t="n">
        <f aca="false">SUMPRODUCT('Final Model'!$B$45:$I$45,'Analysis Data'!N44:U44)</f>
        <v>190.480775214189</v>
      </c>
      <c r="F44" s="15" t="n">
        <f aca="false">D44-E44</f>
        <v>15.7395974539698</v>
      </c>
      <c r="G44" s="13" t="n">
        <f aca="false">F44/'Final Model'!$B$21</f>
        <v>0.321006502423566</v>
      </c>
      <c r="H44" s="6" t="n">
        <f aca="false">F44^2</f>
        <v>247.734928013013</v>
      </c>
      <c r="J44" s="6" t="n">
        <f aca="false">A44</f>
        <v>43</v>
      </c>
      <c r="K44" s="13" t="n">
        <f aca="false">SMALL($G$2:$G$1387,J44)</f>
        <v>-1.79292164402052</v>
      </c>
      <c r="L44" s="18" t="n">
        <f aca="false">(J44-0.5)/1386</f>
        <v>0.0306637806637807</v>
      </c>
      <c r="M44" s="18" t="n">
        <f aca="false">_xlfn.NORM.DIST(K44,AVERAGE($G$2:$G$1387),_xlfn.STDEV.S($G$2:$G$1387),TRUE())</f>
        <v>0.0361305389048553</v>
      </c>
    </row>
    <row r="45" customFormat="false" ht="15" hidden="false" customHeight="false" outlineLevel="0" collapsed="false">
      <c r="A45" s="0" t="n">
        <f aca="false">ROW()-1</f>
        <v>44</v>
      </c>
      <c r="B45" s="0" t="str">
        <f aca="false">'Analysis Data'!A45</f>
        <v>Coral Springs</v>
      </c>
      <c r="C45" s="5" t="n">
        <f aca="false">'Analysis Data'!B45</f>
        <v>40372</v>
      </c>
      <c r="D45" s="6" t="n">
        <f aca="false">'Analysis Data'!C45</f>
        <v>149.383327735886</v>
      </c>
      <c r="E45" s="15" t="n">
        <f aca="false">SUMPRODUCT('Final Model'!$B$45:$I$45,'Analysis Data'!N45:U45)</f>
        <v>186.064675899108</v>
      </c>
      <c r="F45" s="15" t="n">
        <f aca="false">D45-E45</f>
        <v>-36.6813481632219</v>
      </c>
      <c r="G45" s="13" t="n">
        <f aca="false">F45/'Final Model'!$B$21</f>
        <v>-0.748110065234678</v>
      </c>
      <c r="H45" s="6" t="n">
        <f aca="false">F45^2</f>
        <v>1345.5213030715</v>
      </c>
      <c r="J45" s="6" t="n">
        <f aca="false">A45</f>
        <v>44</v>
      </c>
      <c r="K45" s="13" t="n">
        <f aca="false">SMALL($G$2:$G$1387,J45)</f>
        <v>-1.78686559045833</v>
      </c>
      <c r="L45" s="18" t="n">
        <f aca="false">(J45-0.5)/1386</f>
        <v>0.0313852813852814</v>
      </c>
      <c r="M45" s="18" t="n">
        <f aca="false">_xlfn.NORM.DIST(K45,AVERAGE($G$2:$G$1387),_xlfn.STDEV.S($G$2:$G$1387),TRUE())</f>
        <v>0.0366146988180968</v>
      </c>
    </row>
    <row r="46" customFormat="false" ht="15" hidden="false" customHeight="false" outlineLevel="0" collapsed="false">
      <c r="A46" s="0" t="n">
        <f aca="false">ROW()-1</f>
        <v>45</v>
      </c>
      <c r="B46" s="0" t="str">
        <f aca="false">'Analysis Data'!A46</f>
        <v>Fort Lauderdale</v>
      </c>
      <c r="C46" s="5" t="n">
        <f aca="false">'Analysis Data'!B46</f>
        <v>40302</v>
      </c>
      <c r="D46" s="6" t="n">
        <f aca="false">'Analysis Data'!C46</f>
        <v>152.350285172003</v>
      </c>
      <c r="E46" s="15" t="n">
        <f aca="false">SUMPRODUCT('Final Model'!$B$45:$I$45,'Analysis Data'!N46:U46)</f>
        <v>180.069983758373</v>
      </c>
      <c r="F46" s="15" t="n">
        <f aca="false">D46-E46</f>
        <v>-27.7196985863706</v>
      </c>
      <c r="G46" s="13" t="n">
        <f aca="false">F46/'Final Model'!$B$21</f>
        <v>-0.565338695444336</v>
      </c>
      <c r="H46" s="6" t="n">
        <f aca="false">F46^2</f>
        <v>768.381689719237</v>
      </c>
      <c r="J46" s="6" t="n">
        <f aca="false">A46</f>
        <v>45</v>
      </c>
      <c r="K46" s="13" t="n">
        <f aca="false">SMALL($G$2:$G$1387,J46)</f>
        <v>-1.78200441838297</v>
      </c>
      <c r="L46" s="18" t="n">
        <f aca="false">(J46-0.5)/1386</f>
        <v>0.0321067821067821</v>
      </c>
      <c r="M46" s="18" t="n">
        <f aca="false">_xlfn.NORM.DIST(K46,AVERAGE($G$2:$G$1387),_xlfn.STDEV.S($G$2:$G$1387),TRUE())</f>
        <v>0.03700716101902</v>
      </c>
    </row>
    <row r="47" customFormat="false" ht="15" hidden="false" customHeight="false" outlineLevel="0" collapsed="false">
      <c r="A47" s="0" t="n">
        <f aca="false">ROW()-1</f>
        <v>46</v>
      </c>
      <c r="B47" s="0" t="str">
        <f aca="false">'Analysis Data'!A47</f>
        <v>Fort Lauderdale</v>
      </c>
      <c r="C47" s="5" t="n">
        <f aca="false">'Analysis Data'!B47</f>
        <v>40309</v>
      </c>
      <c r="D47" s="6" t="n">
        <f aca="false">'Analysis Data'!C47</f>
        <v>118.768123871467</v>
      </c>
      <c r="E47" s="15" t="n">
        <f aca="false">SUMPRODUCT('Final Model'!$B$45:$I$45,'Analysis Data'!N47:U47)</f>
        <v>187.498988746117</v>
      </c>
      <c r="F47" s="15" t="n">
        <f aca="false">D47-E47</f>
        <v>-68.7308648746503</v>
      </c>
      <c r="G47" s="13" t="n">
        <f aca="false">F47/'Final Model'!$B$21</f>
        <v>-1.40175468950087</v>
      </c>
      <c r="H47" s="6" t="n">
        <f aca="false">F47^2</f>
        <v>4723.93178641744</v>
      </c>
      <c r="J47" s="6" t="n">
        <f aca="false">A47</f>
        <v>46</v>
      </c>
      <c r="K47" s="13" t="n">
        <f aca="false">SMALL($G$2:$G$1387,J47)</f>
        <v>-1.77366230032337</v>
      </c>
      <c r="L47" s="18" t="n">
        <f aca="false">(J47-0.5)/1386</f>
        <v>0.0328282828282828</v>
      </c>
      <c r="M47" s="18" t="n">
        <f aca="false">_xlfn.NORM.DIST(K47,AVERAGE($G$2:$G$1387),_xlfn.STDEV.S($G$2:$G$1387),TRUE())</f>
        <v>0.037688663651101</v>
      </c>
    </row>
    <row r="48" customFormat="false" ht="15" hidden="false" customHeight="false" outlineLevel="0" collapsed="false">
      <c r="A48" s="0" t="n">
        <f aca="false">ROW()-1</f>
        <v>47</v>
      </c>
      <c r="B48" s="0" t="str">
        <f aca="false">'Analysis Data'!A48</f>
        <v>Fort Lauderdale</v>
      </c>
      <c r="C48" s="5" t="n">
        <f aca="false">'Analysis Data'!B48</f>
        <v>40316</v>
      </c>
      <c r="D48" s="6" t="n">
        <f aca="false">'Analysis Data'!C48</f>
        <v>147.817665127873</v>
      </c>
      <c r="E48" s="15" t="n">
        <f aca="false">SUMPRODUCT('Final Model'!$B$45:$I$45,'Analysis Data'!N48:U48)</f>
        <v>191.759896139341</v>
      </c>
      <c r="F48" s="15" t="n">
        <f aca="false">D48-E48</f>
        <v>-43.9422310114678</v>
      </c>
      <c r="G48" s="13" t="n">
        <f aca="false">F48/'Final Model'!$B$21</f>
        <v>-0.896194577207683</v>
      </c>
      <c r="H48" s="6" t="n">
        <f aca="false">F48^2</f>
        <v>1930.9196662652</v>
      </c>
      <c r="J48" s="6" t="n">
        <f aca="false">A48</f>
        <v>47</v>
      </c>
      <c r="K48" s="13" t="n">
        <f aca="false">SMALL($G$2:$G$1387,J48)</f>
        <v>-1.73217527590681</v>
      </c>
      <c r="L48" s="18" t="n">
        <f aca="false">(J48-0.5)/1386</f>
        <v>0.0335497835497836</v>
      </c>
      <c r="M48" s="18" t="n">
        <f aca="false">_xlfn.NORM.DIST(K48,AVERAGE($G$2:$G$1387),_xlfn.STDEV.S($G$2:$G$1387),TRUE())</f>
        <v>0.0412316131752433</v>
      </c>
    </row>
    <row r="49" customFormat="false" ht="15" hidden="false" customHeight="false" outlineLevel="0" collapsed="false">
      <c r="A49" s="0" t="n">
        <f aca="false">ROW()-1</f>
        <v>48</v>
      </c>
      <c r="B49" s="0" t="str">
        <f aca="false">'Analysis Data'!A49</f>
        <v>Fort Lauderdale</v>
      </c>
      <c r="C49" s="5" t="n">
        <f aca="false">'Analysis Data'!B49</f>
        <v>40323</v>
      </c>
      <c r="D49" s="6" t="n">
        <f aca="false">'Analysis Data'!C49</f>
        <v>199.09332638807</v>
      </c>
      <c r="E49" s="15" t="n">
        <f aca="false">SUMPRODUCT('Final Model'!$B$45:$I$45,'Analysis Data'!N49:U49)</f>
        <v>187.085951926332</v>
      </c>
      <c r="F49" s="15" t="n">
        <f aca="false">D49-E49</f>
        <v>12.0073744617379</v>
      </c>
      <c r="G49" s="13" t="n">
        <f aca="false">F49/'Final Model'!$B$21</f>
        <v>0.24488842808876</v>
      </c>
      <c r="H49" s="6" t="n">
        <f aca="false">F49^2</f>
        <v>144.177041464395</v>
      </c>
      <c r="J49" s="6" t="n">
        <f aca="false">A49</f>
        <v>48</v>
      </c>
      <c r="K49" s="13" t="n">
        <f aca="false">SMALL($G$2:$G$1387,J49)</f>
        <v>-1.72042317968904</v>
      </c>
      <c r="L49" s="18" t="n">
        <f aca="false">(J49-0.5)/1386</f>
        <v>0.0342712842712843</v>
      </c>
      <c r="M49" s="18" t="n">
        <f aca="false">_xlfn.NORM.DIST(K49,AVERAGE($G$2:$G$1387),_xlfn.STDEV.S($G$2:$G$1387),TRUE())</f>
        <v>0.0422828993967034</v>
      </c>
    </row>
    <row r="50" customFormat="false" ht="15" hidden="false" customHeight="false" outlineLevel="0" collapsed="false">
      <c r="A50" s="0" t="n">
        <f aca="false">ROW()-1</f>
        <v>49</v>
      </c>
      <c r="B50" s="0" t="str">
        <f aca="false">'Analysis Data'!A50</f>
        <v>Fort Lauderdale</v>
      </c>
      <c r="C50" s="5" t="n">
        <f aca="false">'Analysis Data'!B50</f>
        <v>40330</v>
      </c>
      <c r="D50" s="6" t="n">
        <f aca="false">'Analysis Data'!C50</f>
        <v>160.969770359768</v>
      </c>
      <c r="E50" s="15" t="n">
        <f aca="false">SUMPRODUCT('Final Model'!$B$45:$I$45,'Analysis Data'!N50:U50)</f>
        <v>191.759896139341</v>
      </c>
      <c r="F50" s="15" t="n">
        <f aca="false">D50-E50</f>
        <v>-30.7901257795735</v>
      </c>
      <c r="G50" s="13" t="n">
        <f aca="false">F50/'Final Model'!$B$21</f>
        <v>-0.627959553259709</v>
      </c>
      <c r="H50" s="6" t="n">
        <f aca="false">F50^2</f>
        <v>948.031845521956</v>
      </c>
      <c r="J50" s="6" t="n">
        <f aca="false">A50</f>
        <v>49</v>
      </c>
      <c r="K50" s="13" t="n">
        <f aca="false">SMALL($G$2:$G$1387,J50)</f>
        <v>-1.71968920782619</v>
      </c>
      <c r="L50" s="18" t="n">
        <f aca="false">(J50-0.5)/1386</f>
        <v>0.034992784992785</v>
      </c>
      <c r="M50" s="18" t="n">
        <f aca="false">_xlfn.NORM.DIST(K50,AVERAGE($G$2:$G$1387),_xlfn.STDEV.S($G$2:$G$1387),TRUE())</f>
        <v>0.0423492700151002</v>
      </c>
    </row>
    <row r="51" customFormat="false" ht="15" hidden="false" customHeight="false" outlineLevel="0" collapsed="false">
      <c r="A51" s="0" t="n">
        <f aca="false">ROW()-1</f>
        <v>50</v>
      </c>
      <c r="B51" s="0" t="str">
        <f aca="false">'Analysis Data'!A51</f>
        <v>Fort Lauderdale</v>
      </c>
      <c r="C51" s="5" t="n">
        <f aca="false">'Analysis Data'!B51</f>
        <v>40337</v>
      </c>
      <c r="D51" s="6" t="n">
        <f aca="false">'Analysis Data'!C51</f>
        <v>204.559129043187</v>
      </c>
      <c r="E51" s="15" t="n">
        <f aca="false">SUMPRODUCT('Final Model'!$B$45:$I$45,'Analysis Data'!N51:U51)</f>
        <v>186.006883087431</v>
      </c>
      <c r="F51" s="15" t="n">
        <f aca="false">D51-E51</f>
        <v>18.5522459557559</v>
      </c>
      <c r="G51" s="13" t="n">
        <f aca="false">F51/'Final Model'!$B$21</f>
        <v>0.378370006207298</v>
      </c>
      <c r="H51" s="6" t="n">
        <f aca="false">F51^2</f>
        <v>344.18583000286</v>
      </c>
      <c r="J51" s="6" t="n">
        <f aca="false">A51</f>
        <v>50</v>
      </c>
      <c r="K51" s="13" t="n">
        <f aca="false">SMALL($G$2:$G$1387,J51)</f>
        <v>-1.70359105639126</v>
      </c>
      <c r="L51" s="18" t="n">
        <f aca="false">(J51-0.5)/1386</f>
        <v>0.0357142857142857</v>
      </c>
      <c r="M51" s="18" t="n">
        <f aca="false">_xlfn.NORM.DIST(K51,AVERAGE($G$2:$G$1387),_xlfn.STDEV.S($G$2:$G$1387),TRUE())</f>
        <v>0.0438262852492086</v>
      </c>
    </row>
    <row r="52" customFormat="false" ht="15" hidden="false" customHeight="false" outlineLevel="0" collapsed="false">
      <c r="A52" s="0" t="n">
        <f aca="false">ROW()-1</f>
        <v>51</v>
      </c>
      <c r="B52" s="0" t="str">
        <f aca="false">'Analysis Data'!A52</f>
        <v>Fort Lauderdale</v>
      </c>
      <c r="C52" s="5" t="n">
        <f aca="false">'Analysis Data'!B52</f>
        <v>40344</v>
      </c>
      <c r="D52" s="6" t="n">
        <f aca="false">'Analysis Data'!C52</f>
        <v>189.28982781308</v>
      </c>
      <c r="E52" s="15" t="n">
        <f aca="false">SUMPRODUCT('Final Model'!$B$45:$I$45,'Analysis Data'!N52:U52)</f>
        <v>185.733680626722</v>
      </c>
      <c r="F52" s="15" t="n">
        <f aca="false">D52-E52</f>
        <v>3.55614718635803</v>
      </c>
      <c r="G52" s="13" t="n">
        <f aca="false">F52/'Final Model'!$B$21</f>
        <v>0.0725270372215445</v>
      </c>
      <c r="H52" s="6" t="n">
        <f aca="false">F52^2</f>
        <v>12.6461828110422</v>
      </c>
      <c r="J52" s="6" t="n">
        <f aca="false">A52</f>
        <v>51</v>
      </c>
      <c r="K52" s="13" t="n">
        <f aca="false">SMALL($G$2:$G$1387,J52)</f>
        <v>-1.70158588119689</v>
      </c>
      <c r="L52" s="18" t="n">
        <f aca="false">(J52-0.5)/1386</f>
        <v>0.0364357864357864</v>
      </c>
      <c r="M52" s="18" t="n">
        <f aca="false">_xlfn.NORM.DIST(K52,AVERAGE($G$2:$G$1387),_xlfn.STDEV.S($G$2:$G$1387),TRUE())</f>
        <v>0.0440131369991832</v>
      </c>
    </row>
    <row r="53" customFormat="false" ht="15" hidden="false" customHeight="false" outlineLevel="0" collapsed="false">
      <c r="A53" s="0" t="n">
        <f aca="false">ROW()-1</f>
        <v>52</v>
      </c>
      <c r="B53" s="0" t="str">
        <f aca="false">'Analysis Data'!A53</f>
        <v>Fort Lauderdale</v>
      </c>
      <c r="C53" s="5" t="n">
        <f aca="false">'Analysis Data'!B53</f>
        <v>40351</v>
      </c>
      <c r="D53" s="6" t="n">
        <f aca="false">'Analysis Data'!C53</f>
        <v>177.42078362712</v>
      </c>
      <c r="E53" s="15" t="n">
        <f aca="false">SUMPRODUCT('Final Model'!$B$45:$I$45,'Analysis Data'!N53:U53)</f>
        <v>186.006883087431</v>
      </c>
      <c r="F53" s="15" t="n">
        <f aca="false">D53-E53</f>
        <v>-8.58609946031115</v>
      </c>
      <c r="G53" s="13" t="n">
        <f aca="false">F53/'Final Model'!$B$21</f>
        <v>-0.175112086905385</v>
      </c>
      <c r="H53" s="6" t="n">
        <f aca="false">F53^2</f>
        <v>73.7211039423554</v>
      </c>
      <c r="J53" s="6" t="n">
        <f aca="false">A53</f>
        <v>52</v>
      </c>
      <c r="K53" s="13" t="n">
        <f aca="false">SMALL($G$2:$G$1387,J53)</f>
        <v>-1.68011467295974</v>
      </c>
      <c r="L53" s="18" t="n">
        <f aca="false">(J53-0.5)/1386</f>
        <v>0.0371572871572872</v>
      </c>
      <c r="M53" s="18" t="n">
        <f aca="false">_xlfn.NORM.DIST(K53,AVERAGE($G$2:$G$1387),_xlfn.STDEV.S($G$2:$G$1387),TRUE())</f>
        <v>0.0460544538793132</v>
      </c>
    </row>
    <row r="54" customFormat="false" ht="15" hidden="false" customHeight="false" outlineLevel="0" collapsed="false">
      <c r="A54" s="0" t="n">
        <f aca="false">ROW()-1</f>
        <v>53</v>
      </c>
      <c r="B54" s="0" t="str">
        <f aca="false">'Analysis Data'!A54</f>
        <v>Fort Lauderdale</v>
      </c>
      <c r="C54" s="5" t="n">
        <f aca="false">'Analysis Data'!B54</f>
        <v>40358</v>
      </c>
      <c r="D54" s="6" t="n">
        <f aca="false">'Analysis Data'!C54</f>
        <v>173.991296027662</v>
      </c>
      <c r="E54" s="15" t="n">
        <f aca="false">SUMPRODUCT('Final Model'!$B$45:$I$45,'Analysis Data'!N54:U54)</f>
        <v>185.733680626722</v>
      </c>
      <c r="F54" s="15" t="n">
        <f aca="false">D54-E54</f>
        <v>-11.74238459906</v>
      </c>
      <c r="G54" s="13" t="n">
        <f aca="false">F54/'Final Model'!$B$21</f>
        <v>-0.239484003404794</v>
      </c>
      <c r="H54" s="6" t="n">
        <f aca="false">F54^2</f>
        <v>137.883596072241</v>
      </c>
      <c r="J54" s="6" t="n">
        <f aca="false">A54</f>
        <v>53</v>
      </c>
      <c r="K54" s="13" t="n">
        <f aca="false">SMALL($G$2:$G$1387,J54)</f>
        <v>-1.66430774548467</v>
      </c>
      <c r="L54" s="18" t="n">
        <f aca="false">(J54-0.5)/1386</f>
        <v>0.0378787878787879</v>
      </c>
      <c r="M54" s="18" t="n">
        <f aca="false">_xlfn.NORM.DIST(K54,AVERAGE($G$2:$G$1387),_xlfn.STDEV.S($G$2:$G$1387),TRUE())</f>
        <v>0.0476053217457336</v>
      </c>
    </row>
    <row r="55" customFormat="false" ht="15" hidden="false" customHeight="false" outlineLevel="0" collapsed="false">
      <c r="A55" s="0" t="n">
        <f aca="false">ROW()-1</f>
        <v>54</v>
      </c>
      <c r="B55" s="0" t="str">
        <f aca="false">'Analysis Data'!A55</f>
        <v>Fort Lauderdale</v>
      </c>
      <c r="C55" s="5" t="n">
        <f aca="false">'Analysis Data'!B55</f>
        <v>40365</v>
      </c>
      <c r="D55" s="6" t="n">
        <f aca="false">'Analysis Data'!C55</f>
        <v>141.867866792064</v>
      </c>
      <c r="E55" s="15" t="n">
        <f aca="false">SUMPRODUCT('Final Model'!$B$45:$I$45,'Analysis Data'!N55:U55)</f>
        <v>194.73885359082</v>
      </c>
      <c r="F55" s="15" t="n">
        <f aca="false">D55-E55</f>
        <v>-52.8709867987566</v>
      </c>
      <c r="G55" s="13" t="n">
        <f aca="false">F55/'Final Model'!$B$21</f>
        <v>-1.07829508356776</v>
      </c>
      <c r="H55" s="6" t="n">
        <f aca="false">F55^2</f>
        <v>2795.34124507429</v>
      </c>
      <c r="J55" s="6" t="n">
        <f aca="false">A55</f>
        <v>54</v>
      </c>
      <c r="K55" s="13" t="n">
        <f aca="false">SMALL($G$2:$G$1387,J55)</f>
        <v>-1.65029850297894</v>
      </c>
      <c r="L55" s="18" t="n">
        <f aca="false">(J55-0.5)/1386</f>
        <v>0.0386002886002886</v>
      </c>
      <c r="M55" s="18" t="n">
        <f aca="false">_xlfn.NORM.DIST(K55,AVERAGE($G$2:$G$1387),_xlfn.STDEV.S($G$2:$G$1387),TRUE())</f>
        <v>0.0490145238030614</v>
      </c>
    </row>
    <row r="56" customFormat="false" ht="15" hidden="false" customHeight="false" outlineLevel="0" collapsed="false">
      <c r="A56" s="0" t="n">
        <f aca="false">ROW()-1</f>
        <v>55</v>
      </c>
      <c r="B56" s="0" t="str">
        <f aca="false">'Analysis Data'!A56</f>
        <v>Fort Lauderdale</v>
      </c>
      <c r="C56" s="5" t="n">
        <f aca="false">'Analysis Data'!B56</f>
        <v>40372</v>
      </c>
      <c r="D56" s="6" t="n">
        <f aca="false">'Analysis Data'!C56</f>
        <v>232.062346374847</v>
      </c>
      <c r="E56" s="15" t="n">
        <f aca="false">SUMPRODUCT('Final Model'!$B$45:$I$45,'Analysis Data'!N56:U56)</f>
        <v>194.73885359082</v>
      </c>
      <c r="F56" s="15" t="n">
        <f aca="false">D56-E56</f>
        <v>37.3234927840267</v>
      </c>
      <c r="G56" s="13" t="n">
        <f aca="false">F56/'Final Model'!$B$21</f>
        <v>0.761206499204955</v>
      </c>
      <c r="H56" s="6" t="n">
        <f aca="false">F56^2</f>
        <v>1393.04311359929</v>
      </c>
      <c r="J56" s="6" t="n">
        <f aca="false">A56</f>
        <v>55</v>
      </c>
      <c r="K56" s="13" t="n">
        <f aca="false">SMALL($G$2:$G$1387,J56)</f>
        <v>-1.65016110301461</v>
      </c>
      <c r="L56" s="18" t="n">
        <f aca="false">(J56-0.5)/1386</f>
        <v>0.0393217893217893</v>
      </c>
      <c r="M56" s="18" t="n">
        <f aca="false">_xlfn.NORM.DIST(K56,AVERAGE($G$2:$G$1387),_xlfn.STDEV.S($G$2:$G$1387),TRUE())</f>
        <v>0.0490285082395423</v>
      </c>
    </row>
    <row r="57" customFormat="false" ht="15" hidden="false" customHeight="false" outlineLevel="0" collapsed="false">
      <c r="A57" s="0" t="n">
        <f aca="false">ROW()-1</f>
        <v>56</v>
      </c>
      <c r="B57" s="0" t="str">
        <f aca="false">'Analysis Data'!A57</f>
        <v>Palm Beach Gardens</v>
      </c>
      <c r="C57" s="5" t="n">
        <f aca="false">'Analysis Data'!B57</f>
        <v>40302</v>
      </c>
      <c r="D57" s="6" t="n">
        <f aca="false">'Analysis Data'!C57</f>
        <v>179.030760028186</v>
      </c>
      <c r="E57" s="15" t="n">
        <f aca="false">SUMPRODUCT('Final Model'!$B$45:$I$45,'Analysis Data'!N57:U57)</f>
        <v>175.967905594054</v>
      </c>
      <c r="F57" s="15" t="n">
        <f aca="false">D57-E57</f>
        <v>3.06285443413188</v>
      </c>
      <c r="G57" s="13" t="n">
        <f aca="false">F57/'Final Model'!$B$21</f>
        <v>0.0624664126391112</v>
      </c>
      <c r="H57" s="6" t="n">
        <f aca="false">F57^2</f>
        <v>9.38107728468131</v>
      </c>
      <c r="J57" s="6" t="n">
        <f aca="false">A57</f>
        <v>56</v>
      </c>
      <c r="K57" s="13" t="n">
        <f aca="false">SMALL($G$2:$G$1387,J57)</f>
        <v>-1.62559144425806</v>
      </c>
      <c r="L57" s="18" t="n">
        <f aca="false">(J57-0.5)/1386</f>
        <v>0.04004329004329</v>
      </c>
      <c r="M57" s="18" t="n">
        <f aca="false">_xlfn.NORM.DIST(K57,AVERAGE($G$2:$G$1387),_xlfn.STDEV.S($G$2:$G$1387),TRUE())</f>
        <v>0.0515808649082881</v>
      </c>
    </row>
    <row r="58" customFormat="false" ht="15" hidden="false" customHeight="false" outlineLevel="0" collapsed="false">
      <c r="A58" s="0" t="n">
        <f aca="false">ROW()-1</f>
        <v>57</v>
      </c>
      <c r="B58" s="0" t="str">
        <f aca="false">'Analysis Data'!A58</f>
        <v>Palm Beach Gardens</v>
      </c>
      <c r="C58" s="5" t="n">
        <f aca="false">'Analysis Data'!B58</f>
        <v>40309</v>
      </c>
      <c r="D58" s="6" t="n">
        <f aca="false">'Analysis Data'!C58</f>
        <v>238.275285564028</v>
      </c>
      <c r="E58" s="15" t="n">
        <f aca="false">SUMPRODUCT('Final Model'!$B$45:$I$45,'Analysis Data'!N58:U58)</f>
        <v>183.701737434148</v>
      </c>
      <c r="F58" s="15" t="n">
        <f aca="false">D58-E58</f>
        <v>54.57354812988</v>
      </c>
      <c r="G58" s="13" t="n">
        <f aca="false">F58/'Final Model'!$B$21</f>
        <v>1.11301854200842</v>
      </c>
      <c r="H58" s="6" t="n">
        <f aca="false">F58^2</f>
        <v>2978.27215548433</v>
      </c>
      <c r="J58" s="6" t="n">
        <f aca="false">A58</f>
        <v>57</v>
      </c>
      <c r="K58" s="13" t="n">
        <f aca="false">SMALL($G$2:$G$1387,J58)</f>
        <v>-1.62304636700133</v>
      </c>
      <c r="L58" s="18" t="n">
        <f aca="false">(J58-0.5)/1386</f>
        <v>0.0407647907647908</v>
      </c>
      <c r="M58" s="18" t="n">
        <f aca="false">_xlfn.NORM.DIST(K58,AVERAGE($G$2:$G$1387),_xlfn.STDEV.S($G$2:$G$1387),TRUE())</f>
        <v>0.0518511843543258</v>
      </c>
    </row>
    <row r="59" customFormat="false" ht="15" hidden="false" customHeight="false" outlineLevel="0" collapsed="false">
      <c r="A59" s="0" t="n">
        <f aca="false">ROW()-1</f>
        <v>58</v>
      </c>
      <c r="B59" s="0" t="str">
        <f aca="false">'Analysis Data'!A59</f>
        <v>Palm Beach Gardens</v>
      </c>
      <c r="C59" s="5" t="n">
        <f aca="false">'Analysis Data'!B59</f>
        <v>40316</v>
      </c>
      <c r="D59" s="6" t="n">
        <f aca="false">'Analysis Data'!C59</f>
        <v>163.095341225477</v>
      </c>
      <c r="E59" s="15" t="n">
        <f aca="false">SUMPRODUCT('Final Model'!$B$45:$I$45,'Analysis Data'!N59:U59)</f>
        <v>187.080647506428</v>
      </c>
      <c r="F59" s="15" t="n">
        <f aca="false">D59-E59</f>
        <v>-23.9853062809511</v>
      </c>
      <c r="G59" s="13" t="n">
        <f aca="false">F59/'Final Model'!$B$21</f>
        <v>-0.489176378323714</v>
      </c>
      <c r="H59" s="6" t="n">
        <f aca="false">F59^2</f>
        <v>575.294917391034</v>
      </c>
      <c r="J59" s="6" t="n">
        <f aca="false">A59</f>
        <v>58</v>
      </c>
      <c r="K59" s="13" t="n">
        <f aca="false">SMALL($G$2:$G$1387,J59)</f>
        <v>-1.6109794890676</v>
      </c>
      <c r="L59" s="18" t="n">
        <f aca="false">(J59-0.5)/1386</f>
        <v>0.0414862914862915</v>
      </c>
      <c r="M59" s="18" t="n">
        <f aca="false">_xlfn.NORM.DIST(K59,AVERAGE($G$2:$G$1387),_xlfn.STDEV.S($G$2:$G$1387),TRUE())</f>
        <v>0.0531481956607941</v>
      </c>
    </row>
    <row r="60" customFormat="false" ht="15" hidden="false" customHeight="false" outlineLevel="0" collapsed="false">
      <c r="A60" s="0" t="n">
        <f aca="false">ROW()-1</f>
        <v>59</v>
      </c>
      <c r="B60" s="0" t="str">
        <f aca="false">'Analysis Data'!A60</f>
        <v>Palm Beach Gardens</v>
      </c>
      <c r="C60" s="5" t="n">
        <f aca="false">'Analysis Data'!B60</f>
        <v>40323</v>
      </c>
      <c r="D60" s="6" t="n">
        <f aca="false">'Analysis Data'!C60</f>
        <v>239.576062423663</v>
      </c>
      <c r="E60" s="15" t="n">
        <f aca="false">SUMPRODUCT('Final Model'!$B$45:$I$45,'Analysis Data'!N60:U60)</f>
        <v>187.080647506428</v>
      </c>
      <c r="F60" s="15" t="n">
        <f aca="false">D60-E60</f>
        <v>52.4954149172353</v>
      </c>
      <c r="G60" s="13" t="n">
        <f aca="false">F60/'Final Model'!$B$21</f>
        <v>1.07063535678959</v>
      </c>
      <c r="H60" s="6" t="n">
        <f aca="false">F60^2</f>
        <v>2755.76858733269</v>
      </c>
      <c r="J60" s="6" t="n">
        <f aca="false">A60</f>
        <v>59</v>
      </c>
      <c r="K60" s="13" t="n">
        <f aca="false">SMALL($G$2:$G$1387,J60)</f>
        <v>-1.60897578336417</v>
      </c>
      <c r="L60" s="18" t="n">
        <f aca="false">(J60-0.5)/1386</f>
        <v>0.0422077922077922</v>
      </c>
      <c r="M60" s="18" t="n">
        <f aca="false">_xlfn.NORM.DIST(K60,AVERAGE($G$2:$G$1387),_xlfn.STDEV.S($G$2:$G$1387),TRUE())</f>
        <v>0.0533660335801616</v>
      </c>
    </row>
    <row r="61" customFormat="false" ht="15" hidden="false" customHeight="false" outlineLevel="0" collapsed="false">
      <c r="A61" s="0" t="n">
        <f aca="false">ROW()-1</f>
        <v>60</v>
      </c>
      <c r="B61" s="0" t="str">
        <f aca="false">'Analysis Data'!A61</f>
        <v>Palm Beach Gardens</v>
      </c>
      <c r="C61" s="5" t="n">
        <f aca="false">'Analysis Data'!B61</f>
        <v>40330</v>
      </c>
      <c r="D61" s="6" t="n">
        <f aca="false">'Analysis Data'!C61</f>
        <v>204.934510759223</v>
      </c>
      <c r="E61" s="15" t="n">
        <f aca="false">SUMPRODUCT('Final Model'!$B$45:$I$45,'Analysis Data'!N61:U61)</f>
        <v>187.080647506428</v>
      </c>
      <c r="F61" s="15" t="n">
        <f aca="false">D61-E61</f>
        <v>17.853863252795</v>
      </c>
      <c r="G61" s="13" t="n">
        <f aca="false">F61/'Final Model'!$B$21</f>
        <v>0.364126605797203</v>
      </c>
      <c r="H61" s="6" t="n">
        <f aca="false">F61^2</f>
        <v>318.760433049502</v>
      </c>
      <c r="J61" s="6" t="n">
        <f aca="false">A61</f>
        <v>60</v>
      </c>
      <c r="K61" s="13" t="n">
        <f aca="false">SMALL($G$2:$G$1387,J61)</f>
        <v>-1.60343316640689</v>
      </c>
      <c r="L61" s="18" t="n">
        <f aca="false">(J61-0.5)/1386</f>
        <v>0.0429292929292929</v>
      </c>
      <c r="M61" s="18" t="n">
        <f aca="false">_xlfn.NORM.DIST(K61,AVERAGE($G$2:$G$1387),_xlfn.STDEV.S($G$2:$G$1387),TRUE())</f>
        <v>0.0539723002462088</v>
      </c>
    </row>
    <row r="62" customFormat="false" ht="15" hidden="false" customHeight="false" outlineLevel="0" collapsed="false">
      <c r="A62" s="0" t="n">
        <f aca="false">ROW()-1</f>
        <v>61</v>
      </c>
      <c r="B62" s="0" t="str">
        <f aca="false">'Analysis Data'!A62</f>
        <v>Palm Beach Gardens</v>
      </c>
      <c r="C62" s="5" t="n">
        <f aca="false">'Analysis Data'!B62</f>
        <v>40337</v>
      </c>
      <c r="D62" s="6" t="n">
        <f aca="false">'Analysis Data'!C62</f>
        <v>156.409463811637</v>
      </c>
      <c r="E62" s="15" t="n">
        <f aca="false">SUMPRODUCT('Final Model'!$B$45:$I$45,'Analysis Data'!N62:U62)</f>
        <v>179.849320243449</v>
      </c>
      <c r="F62" s="15" t="n">
        <f aca="false">D62-E62</f>
        <v>-23.4398564318118</v>
      </c>
      <c r="G62" s="13" t="n">
        <f aca="false">F62/'Final Model'!$B$21</f>
        <v>-0.478052018324563</v>
      </c>
      <c r="H62" s="6" t="n">
        <f aca="false">F62^2</f>
        <v>549.426869543949</v>
      </c>
      <c r="J62" s="6" t="n">
        <f aca="false">A62</f>
        <v>61</v>
      </c>
      <c r="K62" s="13" t="n">
        <f aca="false">SMALL($G$2:$G$1387,J62)</f>
        <v>-1.60301107617783</v>
      </c>
      <c r="L62" s="18" t="n">
        <f aca="false">(J62-0.5)/1386</f>
        <v>0.0436507936507937</v>
      </c>
      <c r="M62" s="18" t="n">
        <f aca="false">_xlfn.NORM.DIST(K62,AVERAGE($G$2:$G$1387),_xlfn.STDEV.S($G$2:$G$1387),TRUE())</f>
        <v>0.0540186921561449</v>
      </c>
    </row>
    <row r="63" customFormat="false" ht="15" hidden="false" customHeight="false" outlineLevel="0" collapsed="false">
      <c r="A63" s="0" t="n">
        <f aca="false">ROW()-1</f>
        <v>62</v>
      </c>
      <c r="B63" s="0" t="str">
        <f aca="false">'Analysis Data'!A63</f>
        <v>Palm Beach Gardens</v>
      </c>
      <c r="C63" s="5" t="n">
        <f aca="false">'Analysis Data'!B63</f>
        <v>40344</v>
      </c>
      <c r="D63" s="6" t="n">
        <f aca="false">'Analysis Data'!C63</f>
        <v>242.688807170965</v>
      </c>
      <c r="E63" s="15" t="n">
        <f aca="false">SUMPRODUCT('Final Model'!$B$45:$I$45,'Analysis Data'!N63:U63)</f>
        <v>177.936903106749</v>
      </c>
      <c r="F63" s="15" t="n">
        <f aca="false">D63-E63</f>
        <v>64.7519040642164</v>
      </c>
      <c r="G63" s="13" t="n">
        <f aca="false">F63/'Final Model'!$B$21</f>
        <v>1.32060443792848</v>
      </c>
      <c r="H63" s="6" t="n">
        <f aca="false">F63^2</f>
        <v>4192.80907994149</v>
      </c>
      <c r="J63" s="6" t="n">
        <f aca="false">A63</f>
        <v>62</v>
      </c>
      <c r="K63" s="13" t="n">
        <f aca="false">SMALL($G$2:$G$1387,J63)</f>
        <v>-1.59959607322437</v>
      </c>
      <c r="L63" s="18" t="n">
        <f aca="false">(J63-0.5)/1386</f>
        <v>0.0443722943722944</v>
      </c>
      <c r="M63" s="18" t="n">
        <f aca="false">_xlfn.NORM.DIST(K63,AVERAGE($G$2:$G$1387),_xlfn.STDEV.S($G$2:$G$1387),TRUE())</f>
        <v>0.0543951966608355</v>
      </c>
    </row>
    <row r="64" customFormat="false" ht="15" hidden="false" customHeight="false" outlineLevel="0" collapsed="false">
      <c r="A64" s="0" t="n">
        <f aca="false">ROW()-1</f>
        <v>63</v>
      </c>
      <c r="B64" s="0" t="str">
        <f aca="false">'Analysis Data'!A64</f>
        <v>Palm Beach Gardens</v>
      </c>
      <c r="C64" s="5" t="n">
        <f aca="false">'Analysis Data'!B64</f>
        <v>40351</v>
      </c>
      <c r="D64" s="6" t="n">
        <f aca="false">'Analysis Data'!C64</f>
        <v>239.12351100948</v>
      </c>
      <c r="E64" s="15" t="n">
        <f aca="false">SUMPRODUCT('Final Model'!$B$45:$I$45,'Analysis Data'!N64:U64)</f>
        <v>177.936903106749</v>
      </c>
      <c r="F64" s="15" t="n">
        <f aca="false">D64-E64</f>
        <v>61.186607902731</v>
      </c>
      <c r="G64" s="13" t="n">
        <f aca="false">F64/'Final Model'!$B$21</f>
        <v>1.24789080886334</v>
      </c>
      <c r="H64" s="6" t="n">
        <f aca="false">F64^2</f>
        <v>3743.80098664254</v>
      </c>
      <c r="J64" s="6" t="n">
        <f aca="false">A64</f>
        <v>63</v>
      </c>
      <c r="K64" s="13" t="n">
        <f aca="false">SMALL($G$2:$G$1387,J64)</f>
        <v>-1.59857264150156</v>
      </c>
      <c r="L64" s="18" t="n">
        <f aca="false">(J64-0.5)/1386</f>
        <v>0.0450937950937951</v>
      </c>
      <c r="M64" s="18" t="n">
        <f aca="false">_xlfn.NORM.DIST(K64,AVERAGE($G$2:$G$1387),_xlfn.STDEV.S($G$2:$G$1387),TRUE())</f>
        <v>0.0545084335042254</v>
      </c>
    </row>
    <row r="65" customFormat="false" ht="15" hidden="false" customHeight="false" outlineLevel="0" collapsed="false">
      <c r="A65" s="0" t="n">
        <f aca="false">ROW()-1</f>
        <v>64</v>
      </c>
      <c r="B65" s="0" t="str">
        <f aca="false">'Analysis Data'!A65</f>
        <v>Palm Beach Gardens</v>
      </c>
      <c r="C65" s="5" t="n">
        <f aca="false">'Analysis Data'!B65</f>
        <v>40358</v>
      </c>
      <c r="D65" s="6" t="n">
        <f aca="false">'Analysis Data'!C65</f>
        <v>199.013399377902</v>
      </c>
      <c r="E65" s="15" t="n">
        <f aca="false">SUMPRODUCT('Final Model'!$B$45:$I$45,'Analysis Data'!N65:U65)</f>
        <v>186.138230418794</v>
      </c>
      <c r="F65" s="15" t="n">
        <f aca="false">D65-E65</f>
        <v>12.8751689591075</v>
      </c>
      <c r="G65" s="13" t="n">
        <f aca="false">F65/'Final Model'!$B$21</f>
        <v>0.262586954193873</v>
      </c>
      <c r="H65" s="6" t="n">
        <f aca="false">F65^2</f>
        <v>165.769975725566</v>
      </c>
      <c r="J65" s="6" t="n">
        <f aca="false">A65</f>
        <v>64</v>
      </c>
      <c r="K65" s="13" t="n">
        <f aca="false">SMALL($G$2:$G$1387,J65)</f>
        <v>-1.59771126392947</v>
      </c>
      <c r="L65" s="18" t="n">
        <f aca="false">(J65-0.5)/1386</f>
        <v>0.0458152958152958</v>
      </c>
      <c r="M65" s="18" t="n">
        <f aca="false">_xlfn.NORM.DIST(K65,AVERAGE($G$2:$G$1387),_xlfn.STDEV.S($G$2:$G$1387),TRUE())</f>
        <v>0.0546038844062207</v>
      </c>
    </row>
    <row r="66" customFormat="false" ht="15" hidden="false" customHeight="false" outlineLevel="0" collapsed="false">
      <c r="A66" s="0" t="n">
        <f aca="false">ROW()-1</f>
        <v>65</v>
      </c>
      <c r="B66" s="0" t="str">
        <f aca="false">'Analysis Data'!A66</f>
        <v>Palm Beach Gardens</v>
      </c>
      <c r="C66" s="5" t="n">
        <f aca="false">'Analysis Data'!B66</f>
        <v>40365</v>
      </c>
      <c r="D66" s="6" t="n">
        <f aca="false">'Analysis Data'!C66</f>
        <v>107.133028891351</v>
      </c>
      <c r="E66" s="15" t="n">
        <f aca="false">SUMPRODUCT('Final Model'!$B$45:$I$45,'Analysis Data'!N66:U66)</f>
        <v>184.036673116987</v>
      </c>
      <c r="F66" s="15" t="n">
        <f aca="false">D66-E66</f>
        <v>-76.9036442256359</v>
      </c>
      <c r="G66" s="13" t="n">
        <f aca="false">F66/'Final Model'!$B$21</f>
        <v>-1.56843718072797</v>
      </c>
      <c r="H66" s="6" t="n">
        <f aca="false">F66^2</f>
        <v>5914.17049518318</v>
      </c>
      <c r="J66" s="6" t="n">
        <f aca="false">A66</f>
        <v>65</v>
      </c>
      <c r="K66" s="13" t="n">
        <f aca="false">SMALL($G$2:$G$1387,J66)</f>
        <v>-1.58888744241587</v>
      </c>
      <c r="L66" s="18" t="n">
        <f aca="false">(J66-0.5)/1386</f>
        <v>0.0465367965367965</v>
      </c>
      <c r="M66" s="18" t="n">
        <f aca="false">_xlfn.NORM.DIST(K66,AVERAGE($G$2:$G$1387),_xlfn.STDEV.S($G$2:$G$1387),TRUE())</f>
        <v>0.0555892976578475</v>
      </c>
    </row>
    <row r="67" customFormat="false" ht="15" hidden="false" customHeight="false" outlineLevel="0" collapsed="false">
      <c r="A67" s="0" t="n">
        <f aca="false">ROW()-1</f>
        <v>66</v>
      </c>
      <c r="B67" s="0" t="str">
        <f aca="false">'Analysis Data'!A67</f>
        <v>Palm Beach Gardens</v>
      </c>
      <c r="C67" s="5" t="n">
        <f aca="false">'Analysis Data'!B67</f>
        <v>40372</v>
      </c>
      <c r="D67" s="6" t="n">
        <f aca="false">'Analysis Data'!C67</f>
        <v>241.642428679843</v>
      </c>
      <c r="E67" s="15" t="n">
        <f aca="false">SUMPRODUCT('Final Model'!$B$45:$I$45,'Analysis Data'!N67:U67)</f>
        <v>180.112014906175</v>
      </c>
      <c r="F67" s="15" t="n">
        <f aca="false">D67-E67</f>
        <v>61.5304137736681</v>
      </c>
      <c r="G67" s="13" t="n">
        <f aca="false">F67/'Final Model'!$B$21</f>
        <v>1.2549026730781</v>
      </c>
      <c r="H67" s="6" t="n">
        <f aca="false">F67^2</f>
        <v>3785.9918191588</v>
      </c>
      <c r="J67" s="6" t="n">
        <f aca="false">A67</f>
        <v>66</v>
      </c>
      <c r="K67" s="13" t="n">
        <f aca="false">SMALL($G$2:$G$1387,J67)</f>
        <v>-1.57289331229871</v>
      </c>
      <c r="L67" s="18" t="n">
        <f aca="false">(J67-0.5)/1386</f>
        <v>0.0472582972582973</v>
      </c>
      <c r="M67" s="18" t="n">
        <f aca="false">_xlfn.NORM.DIST(K67,AVERAGE($G$2:$G$1387),_xlfn.STDEV.S($G$2:$G$1387),TRUE())</f>
        <v>0.0574111940909553</v>
      </c>
    </row>
    <row r="68" customFormat="false" ht="15" hidden="false" customHeight="false" outlineLevel="0" collapsed="false">
      <c r="A68" s="0" t="n">
        <f aca="false">ROW()-1</f>
        <v>67</v>
      </c>
      <c r="B68" s="0" t="str">
        <f aca="false">'Analysis Data'!A68</f>
        <v>Plantation</v>
      </c>
      <c r="C68" s="5" t="n">
        <f aca="false">'Analysis Data'!B68</f>
        <v>40302</v>
      </c>
      <c r="D68" s="6" t="n">
        <f aca="false">'Analysis Data'!C68</f>
        <v>201.314071028592</v>
      </c>
      <c r="E68" s="15" t="n">
        <f aca="false">SUMPRODUCT('Final Model'!$B$45:$I$45,'Analysis Data'!N68:U68)</f>
        <v>179.702211226144</v>
      </c>
      <c r="F68" s="15" t="n">
        <f aca="false">D68-E68</f>
        <v>21.6118598024479</v>
      </c>
      <c r="G68" s="13" t="n">
        <f aca="false">F68/'Final Model'!$B$21</f>
        <v>0.440770327598339</v>
      </c>
      <c r="H68" s="6" t="n">
        <f aca="false">F68^2</f>
        <v>467.072484120664</v>
      </c>
      <c r="J68" s="6" t="n">
        <f aca="false">A68</f>
        <v>67</v>
      </c>
      <c r="K68" s="13" t="n">
        <f aca="false">SMALL($G$2:$G$1387,J68)</f>
        <v>-1.57188631080449</v>
      </c>
      <c r="L68" s="18" t="n">
        <f aca="false">(J68-0.5)/1386</f>
        <v>0.047979797979798</v>
      </c>
      <c r="M68" s="18" t="n">
        <f aca="false">_xlfn.NORM.DIST(K68,AVERAGE($G$2:$G$1387),_xlfn.STDEV.S($G$2:$G$1387),TRUE())</f>
        <v>0.0575274556909991</v>
      </c>
    </row>
    <row r="69" customFormat="false" ht="15" hidden="false" customHeight="false" outlineLevel="0" collapsed="false">
      <c r="A69" s="0" t="n">
        <f aca="false">ROW()-1</f>
        <v>68</v>
      </c>
      <c r="B69" s="0" t="str">
        <f aca="false">'Analysis Data'!A69</f>
        <v>Plantation</v>
      </c>
      <c r="C69" s="5" t="n">
        <f aca="false">'Analysis Data'!B69</f>
        <v>40309</v>
      </c>
      <c r="D69" s="6" t="n">
        <f aca="false">'Analysis Data'!C69</f>
        <v>132.298283450523</v>
      </c>
      <c r="E69" s="15" t="n">
        <f aca="false">SUMPRODUCT('Final Model'!$B$45:$I$45,'Analysis Data'!N69:U69)</f>
        <v>179.702211226144</v>
      </c>
      <c r="F69" s="15" t="n">
        <f aca="false">D69-E69</f>
        <v>-47.403927775621</v>
      </c>
      <c r="G69" s="13" t="n">
        <f aca="false">F69/'Final Model'!$B$21</f>
        <v>-0.966795313596372</v>
      </c>
      <c r="H69" s="6" t="n">
        <f aca="false">F69^2</f>
        <v>2247.13236855629</v>
      </c>
      <c r="J69" s="6" t="n">
        <f aca="false">A69</f>
        <v>68</v>
      </c>
      <c r="K69" s="13" t="n">
        <f aca="false">SMALL($G$2:$G$1387,J69)</f>
        <v>-1.56855502071116</v>
      </c>
      <c r="L69" s="18" t="n">
        <f aca="false">(J69-0.5)/1386</f>
        <v>0.0487012987012987</v>
      </c>
      <c r="M69" s="18" t="n">
        <f aca="false">_xlfn.NORM.DIST(K69,AVERAGE($G$2:$G$1387),_xlfn.STDEV.S($G$2:$G$1387),TRUE())</f>
        <v>0.0579133840291172</v>
      </c>
    </row>
    <row r="70" customFormat="false" ht="15" hidden="false" customHeight="false" outlineLevel="0" collapsed="false">
      <c r="A70" s="0" t="n">
        <f aca="false">ROW()-1</f>
        <v>69</v>
      </c>
      <c r="B70" s="0" t="str">
        <f aca="false">'Analysis Data'!A70</f>
        <v>Plantation</v>
      </c>
      <c r="C70" s="5" t="n">
        <f aca="false">'Analysis Data'!B70</f>
        <v>40316</v>
      </c>
      <c r="D70" s="6" t="n">
        <f aca="false">'Analysis Data'!C70</f>
        <v>165.568295208657</v>
      </c>
      <c r="E70" s="15" t="n">
        <f aca="false">SUMPRODUCT('Final Model'!$B$45:$I$45,'Analysis Data'!N70:U70)</f>
        <v>188.027243828637</v>
      </c>
      <c r="F70" s="15" t="n">
        <f aca="false">D70-E70</f>
        <v>-22.4589486199795</v>
      </c>
      <c r="G70" s="13" t="n">
        <f aca="false">F70/'Final Model'!$B$21</f>
        <v>-0.458046564767247</v>
      </c>
      <c r="H70" s="6" t="n">
        <f aca="false">F70^2</f>
        <v>504.40437311488</v>
      </c>
      <c r="J70" s="6" t="n">
        <f aca="false">A70</f>
        <v>69</v>
      </c>
      <c r="K70" s="13" t="n">
        <f aca="false">SMALL($G$2:$G$1387,J70)</f>
        <v>-1.56843718072797</v>
      </c>
      <c r="L70" s="18" t="n">
        <f aca="false">(J70-0.5)/1386</f>
        <v>0.0494227994227994</v>
      </c>
      <c r="M70" s="18" t="n">
        <f aca="false">_xlfn.NORM.DIST(K70,AVERAGE($G$2:$G$1387),_xlfn.STDEV.S($G$2:$G$1387),TRUE())</f>
        <v>0.0579270729105444</v>
      </c>
    </row>
    <row r="71" customFormat="false" ht="15" hidden="false" customHeight="false" outlineLevel="0" collapsed="false">
      <c r="A71" s="0" t="n">
        <f aca="false">ROW()-1</f>
        <v>70</v>
      </c>
      <c r="B71" s="0" t="str">
        <f aca="false">'Analysis Data'!A71</f>
        <v>Plantation</v>
      </c>
      <c r="C71" s="5" t="n">
        <f aca="false">'Analysis Data'!B71</f>
        <v>40323</v>
      </c>
      <c r="D71" s="6" t="n">
        <f aca="false">'Analysis Data'!C71</f>
        <v>191.698303700732</v>
      </c>
      <c r="E71" s="15" t="n">
        <f aca="false">SUMPRODUCT('Final Model'!$B$45:$I$45,'Analysis Data'!N71:U71)</f>
        <v>192.517669213383</v>
      </c>
      <c r="F71" s="15" t="n">
        <f aca="false">D71-E71</f>
        <v>-0.819365512651331</v>
      </c>
      <c r="G71" s="13" t="n">
        <f aca="false">F71/'Final Model'!$B$21</f>
        <v>-0.0167108249236931</v>
      </c>
      <c r="H71" s="6" t="n">
        <f aca="false">F71^2</f>
        <v>0.671359843322378</v>
      </c>
      <c r="J71" s="6" t="n">
        <f aca="false">A71</f>
        <v>70</v>
      </c>
      <c r="K71" s="13" t="n">
        <f aca="false">SMALL($G$2:$G$1387,J71)</f>
        <v>-1.55965589192509</v>
      </c>
      <c r="L71" s="18" t="n">
        <f aca="false">(J71-0.5)/1386</f>
        <v>0.0501443001443001</v>
      </c>
      <c r="M71" s="18" t="n">
        <f aca="false">_xlfn.NORM.DIST(K71,AVERAGE($G$2:$G$1387),_xlfn.STDEV.S($G$2:$G$1387),TRUE())</f>
        <v>0.0589543264985925</v>
      </c>
    </row>
    <row r="72" customFormat="false" ht="15" hidden="false" customHeight="false" outlineLevel="0" collapsed="false">
      <c r="A72" s="0" t="n">
        <f aca="false">ROW()-1</f>
        <v>71</v>
      </c>
      <c r="B72" s="0" t="str">
        <f aca="false">'Analysis Data'!A72</f>
        <v>Plantation</v>
      </c>
      <c r="C72" s="5" t="n">
        <f aca="false">'Analysis Data'!B72</f>
        <v>40330</v>
      </c>
      <c r="D72" s="6" t="n">
        <f aca="false">'Analysis Data'!C72</f>
        <v>182.739389117587</v>
      </c>
      <c r="E72" s="15" t="n">
        <f aca="false">SUMPRODUCT('Final Model'!$B$45:$I$45,'Analysis Data'!N72:U72)</f>
        <v>185.071690081948</v>
      </c>
      <c r="F72" s="15" t="n">
        <f aca="false">D72-E72</f>
        <v>-2.33230096436117</v>
      </c>
      <c r="G72" s="13" t="n">
        <f aca="false">F72/'Final Model'!$B$21</f>
        <v>-0.0475668947289281</v>
      </c>
      <c r="H72" s="6" t="n">
        <f aca="false">F72^2</f>
        <v>5.43962778836003</v>
      </c>
      <c r="J72" s="6" t="n">
        <f aca="false">A72</f>
        <v>71</v>
      </c>
      <c r="K72" s="13" t="n">
        <f aca="false">SMALL($G$2:$G$1387,J72)</f>
        <v>-1.55629520319931</v>
      </c>
      <c r="L72" s="18" t="n">
        <f aca="false">(J72-0.5)/1386</f>
        <v>0.0508658008658009</v>
      </c>
      <c r="M72" s="18" t="n">
        <f aca="false">_xlfn.NORM.DIST(K72,AVERAGE($G$2:$G$1387),_xlfn.STDEV.S($G$2:$G$1387),TRUE())</f>
        <v>0.059351227879113</v>
      </c>
    </row>
    <row r="73" customFormat="false" ht="15" hidden="false" customHeight="false" outlineLevel="0" collapsed="false">
      <c r="A73" s="0" t="n">
        <f aca="false">ROW()-1</f>
        <v>72</v>
      </c>
      <c r="B73" s="0" t="str">
        <f aca="false">'Analysis Data'!A73</f>
        <v>Plantation</v>
      </c>
      <c r="C73" s="5" t="n">
        <f aca="false">'Analysis Data'!B73</f>
        <v>40337</v>
      </c>
      <c r="D73" s="6" t="n">
        <f aca="false">'Analysis Data'!C73</f>
        <v>209.097972447001</v>
      </c>
      <c r="E73" s="15" t="n">
        <f aca="false">SUMPRODUCT('Final Model'!$B$45:$I$45,'Analysis Data'!N73:U73)</f>
        <v>180.391784710282</v>
      </c>
      <c r="F73" s="15" t="n">
        <f aca="false">D73-E73</f>
        <v>28.7061877367181</v>
      </c>
      <c r="G73" s="13" t="n">
        <f aca="false">F73/'Final Model'!$B$21</f>
        <v>0.585457979483075</v>
      </c>
      <c r="H73" s="6" t="n">
        <f aca="false">F73^2</f>
        <v>824.045214375705</v>
      </c>
      <c r="J73" s="6" t="n">
        <f aca="false">A73</f>
        <v>72</v>
      </c>
      <c r="K73" s="13" t="n">
        <f aca="false">SMALL($G$2:$G$1387,J73)</f>
        <v>-1.55381810170103</v>
      </c>
      <c r="L73" s="18" t="n">
        <f aca="false">(J73-0.5)/1386</f>
        <v>0.0515873015873016</v>
      </c>
      <c r="M73" s="18" t="n">
        <f aca="false">_xlfn.NORM.DIST(K73,AVERAGE($G$2:$G$1387),_xlfn.STDEV.S($G$2:$G$1387),TRUE())</f>
        <v>0.0596451153982731</v>
      </c>
    </row>
    <row r="74" customFormat="false" ht="15" hidden="false" customHeight="false" outlineLevel="0" collapsed="false">
      <c r="A74" s="0" t="n">
        <f aca="false">ROW()-1</f>
        <v>73</v>
      </c>
      <c r="B74" s="0" t="str">
        <f aca="false">'Analysis Data'!A74</f>
        <v>Plantation</v>
      </c>
      <c r="C74" s="5" t="n">
        <f aca="false">'Analysis Data'!B74</f>
        <v>40344</v>
      </c>
      <c r="D74" s="6" t="n">
        <f aca="false">'Analysis Data'!C74</f>
        <v>239.341230964218</v>
      </c>
      <c r="E74" s="15" t="n">
        <f aca="false">SUMPRODUCT('Final Model'!$B$45:$I$45,'Analysis Data'!N74:U74)</f>
        <v>180.391784710282</v>
      </c>
      <c r="F74" s="15" t="n">
        <f aca="false">D74-E74</f>
        <v>58.9494462539355</v>
      </c>
      <c r="G74" s="13" t="n">
        <f aca="false">F74/'Final Model'!$B$21</f>
        <v>1.20226426483411</v>
      </c>
      <c r="H74" s="6" t="n">
        <f aca="false">F74^2</f>
        <v>3475.03721364563</v>
      </c>
      <c r="J74" s="6" t="n">
        <f aca="false">A74</f>
        <v>73</v>
      </c>
      <c r="K74" s="13" t="n">
        <f aca="false">SMALL($G$2:$G$1387,J74)</f>
        <v>-1.55135611051546</v>
      </c>
      <c r="L74" s="18" t="n">
        <f aca="false">(J74-0.5)/1386</f>
        <v>0.0523088023088023</v>
      </c>
      <c r="M74" s="18" t="n">
        <f aca="false">_xlfn.NORM.DIST(K74,AVERAGE($G$2:$G$1387),_xlfn.STDEV.S($G$2:$G$1387),TRUE())</f>
        <v>0.0599383389077057</v>
      </c>
    </row>
    <row r="75" customFormat="false" ht="15" hidden="false" customHeight="false" outlineLevel="0" collapsed="false">
      <c r="A75" s="0" t="n">
        <f aca="false">ROW()-1</f>
        <v>74</v>
      </c>
      <c r="B75" s="0" t="str">
        <f aca="false">'Analysis Data'!A75</f>
        <v>Plantation</v>
      </c>
      <c r="C75" s="5" t="n">
        <f aca="false">'Analysis Data'!B75</f>
        <v>40351</v>
      </c>
      <c r="D75" s="6" t="n">
        <f aca="false">'Analysis Data'!C75</f>
        <v>137.871900685101</v>
      </c>
      <c r="E75" s="15" t="n">
        <f aca="false">SUMPRODUCT('Final Model'!$B$45:$I$45,'Analysis Data'!N75:U75)</f>
        <v>185.733680626722</v>
      </c>
      <c r="F75" s="15" t="n">
        <f aca="false">D75-E75</f>
        <v>-47.8617799416206</v>
      </c>
      <c r="G75" s="13" t="n">
        <f aca="false">F75/'Final Model'!$B$21</f>
        <v>-0.976133133249282</v>
      </c>
      <c r="H75" s="6" t="n">
        <f aca="false">F75^2</f>
        <v>2290.74997918011</v>
      </c>
      <c r="J75" s="6" t="n">
        <f aca="false">A75</f>
        <v>74</v>
      </c>
      <c r="K75" s="13" t="n">
        <f aca="false">SMALL($G$2:$G$1387,J75)</f>
        <v>-1.54204995820427</v>
      </c>
      <c r="L75" s="18" t="n">
        <f aca="false">(J75-0.5)/1386</f>
        <v>0.053030303030303</v>
      </c>
      <c r="M75" s="18" t="n">
        <f aca="false">_xlfn.NORM.DIST(K75,AVERAGE($G$2:$G$1387),_xlfn.STDEV.S($G$2:$G$1387),TRUE())</f>
        <v>0.061056912636166</v>
      </c>
    </row>
    <row r="76" customFormat="false" ht="15" hidden="false" customHeight="false" outlineLevel="0" collapsed="false">
      <c r="A76" s="0" t="n">
        <f aca="false">ROW()-1</f>
        <v>75</v>
      </c>
      <c r="B76" s="0" t="str">
        <f aca="false">'Analysis Data'!A76</f>
        <v>Plantation</v>
      </c>
      <c r="C76" s="5" t="n">
        <f aca="false">'Analysis Data'!B76</f>
        <v>40358</v>
      </c>
      <c r="D76" s="6" t="n">
        <f aca="false">'Analysis Data'!C76</f>
        <v>238.402812016027</v>
      </c>
      <c r="E76" s="15" t="n">
        <f aca="false">SUMPRODUCT('Final Model'!$B$45:$I$45,'Analysis Data'!N76:U76)</f>
        <v>180.890399386824</v>
      </c>
      <c r="F76" s="15" t="n">
        <f aca="false">D76-E76</f>
        <v>57.5124126292029</v>
      </c>
      <c r="G76" s="13" t="n">
        <f aca="false">F76/'Final Model'!$B$21</f>
        <v>1.17295620031152</v>
      </c>
      <c r="H76" s="6" t="n">
        <f aca="false">F76^2</f>
        <v>3307.6776064317</v>
      </c>
      <c r="J76" s="6" t="n">
        <f aca="false">A76</f>
        <v>75</v>
      </c>
      <c r="K76" s="13" t="n">
        <f aca="false">SMALL($G$2:$G$1387,J76)</f>
        <v>-1.54100903225855</v>
      </c>
      <c r="L76" s="18" t="n">
        <f aca="false">(J76-0.5)/1386</f>
        <v>0.0537518037518038</v>
      </c>
      <c r="M76" s="18" t="n">
        <f aca="false">_xlfn.NORM.DIST(K76,AVERAGE($G$2:$G$1387),_xlfn.STDEV.S($G$2:$G$1387),TRUE())</f>
        <v>0.061183037036091</v>
      </c>
    </row>
    <row r="77" customFormat="false" ht="15" hidden="false" customHeight="false" outlineLevel="0" collapsed="false">
      <c r="A77" s="0" t="n">
        <f aca="false">ROW()-1</f>
        <v>76</v>
      </c>
      <c r="B77" s="0" t="str">
        <f aca="false">'Analysis Data'!A77</f>
        <v>Plantation</v>
      </c>
      <c r="C77" s="5" t="n">
        <f aca="false">'Analysis Data'!B77</f>
        <v>40365</v>
      </c>
      <c r="D77" s="6" t="n">
        <f aca="false">'Analysis Data'!C77</f>
        <v>237.2250632012</v>
      </c>
      <c r="E77" s="15" t="n">
        <f aca="false">SUMPRODUCT('Final Model'!$B$45:$I$45,'Analysis Data'!N77:U77)</f>
        <v>186.254220209442</v>
      </c>
      <c r="F77" s="15" t="n">
        <f aca="false">D77-E77</f>
        <v>50.9708429917573</v>
      </c>
      <c r="G77" s="13" t="n">
        <f aca="false">F77/'Final Model'!$B$21</f>
        <v>1.03954196301494</v>
      </c>
      <c r="H77" s="6" t="n">
        <f aca="false">F77^2</f>
        <v>2598.02683529037</v>
      </c>
      <c r="J77" s="6" t="n">
        <f aca="false">A77</f>
        <v>76</v>
      </c>
      <c r="K77" s="13" t="n">
        <f aca="false">SMALL($G$2:$G$1387,J77)</f>
        <v>-1.5290638290878</v>
      </c>
      <c r="L77" s="18" t="n">
        <f aca="false">(J77-0.5)/1386</f>
        <v>0.0544733044733045</v>
      </c>
      <c r="M77" s="18" t="n">
        <f aca="false">_xlfn.NORM.DIST(K77,AVERAGE($G$2:$G$1387),_xlfn.STDEV.S($G$2:$G$1387),TRUE())</f>
        <v>0.0626449993792684</v>
      </c>
    </row>
    <row r="78" customFormat="false" ht="15" hidden="false" customHeight="false" outlineLevel="0" collapsed="false">
      <c r="A78" s="0" t="n">
        <f aca="false">ROW()-1</f>
        <v>77</v>
      </c>
      <c r="B78" s="0" t="str">
        <f aca="false">'Analysis Data'!A78</f>
        <v>Plantation</v>
      </c>
      <c r="C78" s="5" t="n">
        <f aca="false">'Analysis Data'!B78</f>
        <v>40372</v>
      </c>
      <c r="D78" s="6" t="n">
        <f aca="false">'Analysis Data'!C78</f>
        <v>111.446541229154</v>
      </c>
      <c r="E78" s="15" t="n">
        <f aca="false">SUMPRODUCT('Final Model'!$B$45:$I$45,'Analysis Data'!N78:U78)</f>
        <v>186.254220209442</v>
      </c>
      <c r="F78" s="15" t="n">
        <f aca="false">D78-E78</f>
        <v>-74.8076789802881</v>
      </c>
      <c r="G78" s="13" t="n">
        <f aca="false">F78/'Final Model'!$B$21</f>
        <v>-1.52569031413383</v>
      </c>
      <c r="H78" s="6" t="n">
        <f aca="false">F78^2</f>
        <v>5596.18883441784</v>
      </c>
      <c r="J78" s="6" t="n">
        <f aca="false">A78</f>
        <v>77</v>
      </c>
      <c r="K78" s="13" t="n">
        <f aca="false">SMALL($G$2:$G$1387,J78)</f>
        <v>-1.52569031413383</v>
      </c>
      <c r="L78" s="18" t="n">
        <f aca="false">(J78-0.5)/1386</f>
        <v>0.0551948051948052</v>
      </c>
      <c r="M78" s="18" t="n">
        <f aca="false">_xlfn.NORM.DIST(K78,AVERAGE($G$2:$G$1387),_xlfn.STDEV.S($G$2:$G$1387),TRUE())</f>
        <v>0.0630627732933263</v>
      </c>
    </row>
    <row r="79" customFormat="false" ht="15" hidden="false" customHeight="false" outlineLevel="0" collapsed="false">
      <c r="A79" s="0" t="n">
        <f aca="false">ROW()-1</f>
        <v>78</v>
      </c>
      <c r="B79" s="0" t="str">
        <f aca="false">'Analysis Data'!A79</f>
        <v>Sarasota</v>
      </c>
      <c r="C79" s="5" t="n">
        <f aca="false">'Analysis Data'!B79</f>
        <v>40302</v>
      </c>
      <c r="D79" s="6" t="n">
        <f aca="false">'Analysis Data'!C79</f>
        <v>128.691911421092</v>
      </c>
      <c r="E79" s="15" t="n">
        <f aca="false">SUMPRODUCT('Final Model'!$B$45:$I$45,'Analysis Data'!N79:U79)</f>
        <v>179.702211226144</v>
      </c>
      <c r="F79" s="15" t="n">
        <f aca="false">D79-E79</f>
        <v>-51.0102998050518</v>
      </c>
      <c r="G79" s="13" t="n">
        <f aca="false">F79/'Final Model'!$B$21</f>
        <v>-1.04034667823523</v>
      </c>
      <c r="H79" s="6" t="n">
        <f aca="false">F79^2</f>
        <v>2602.05068620127</v>
      </c>
      <c r="J79" s="6" t="n">
        <f aca="false">A79</f>
        <v>78</v>
      </c>
      <c r="K79" s="13" t="n">
        <f aca="false">SMALL($G$2:$G$1387,J79)</f>
        <v>-1.52415002687666</v>
      </c>
      <c r="L79" s="18" t="n">
        <f aca="false">(J79-0.5)/1386</f>
        <v>0.0559163059163059</v>
      </c>
      <c r="M79" s="18" t="n">
        <f aca="false">_xlfn.NORM.DIST(K79,AVERAGE($G$2:$G$1387),_xlfn.STDEV.S($G$2:$G$1387),TRUE())</f>
        <v>0.063254241593779</v>
      </c>
    </row>
    <row r="80" customFormat="false" ht="15" hidden="false" customHeight="false" outlineLevel="0" collapsed="false">
      <c r="A80" s="0" t="n">
        <f aca="false">ROW()-1</f>
        <v>79</v>
      </c>
      <c r="B80" s="0" t="str">
        <f aca="false">'Analysis Data'!A80</f>
        <v>Sarasota</v>
      </c>
      <c r="C80" s="5" t="n">
        <f aca="false">'Analysis Data'!B80</f>
        <v>40309</v>
      </c>
      <c r="D80" s="6" t="n">
        <f aca="false">'Analysis Data'!C80</f>
        <v>281.94862788184</v>
      </c>
      <c r="E80" s="15" t="n">
        <f aca="false">SUMPRODUCT('Final Model'!$B$45:$I$45,'Analysis Data'!N80:U80)</f>
        <v>179.702211226144</v>
      </c>
      <c r="F80" s="15" t="n">
        <f aca="false">D80-E80</f>
        <v>102.246416655696</v>
      </c>
      <c r="G80" s="13" t="n">
        <f aca="false">F80/'Final Model'!$B$21</f>
        <v>2.08529885799013</v>
      </c>
      <c r="H80" s="6" t="n">
        <f aca="false">F80^2</f>
        <v>10454.3297189302</v>
      </c>
      <c r="J80" s="6" t="n">
        <f aca="false">A80</f>
        <v>79</v>
      </c>
      <c r="K80" s="13" t="n">
        <f aca="false">SMALL($G$2:$G$1387,J80)</f>
        <v>-1.52382939222173</v>
      </c>
      <c r="L80" s="18" t="n">
        <f aca="false">(J80-0.5)/1386</f>
        <v>0.0566378066378066</v>
      </c>
      <c r="M80" s="18" t="n">
        <f aca="false">_xlfn.NORM.DIST(K80,AVERAGE($G$2:$G$1387),_xlfn.STDEV.S($G$2:$G$1387),TRUE())</f>
        <v>0.063294155544537</v>
      </c>
    </row>
    <row r="81" customFormat="false" ht="15" hidden="false" customHeight="false" outlineLevel="0" collapsed="false">
      <c r="A81" s="0" t="n">
        <f aca="false">ROW()-1</f>
        <v>80</v>
      </c>
      <c r="B81" s="0" t="str">
        <f aca="false">'Analysis Data'!A81</f>
        <v>Sarasota</v>
      </c>
      <c r="C81" s="5" t="n">
        <f aca="false">'Analysis Data'!B81</f>
        <v>40316</v>
      </c>
      <c r="D81" s="6" t="n">
        <f aca="false">'Analysis Data'!C81</f>
        <v>197.534791075741</v>
      </c>
      <c r="E81" s="15" t="n">
        <f aca="false">SUMPRODUCT('Final Model'!$B$45:$I$45,'Analysis Data'!N81:U81)</f>
        <v>185.108467341791</v>
      </c>
      <c r="F81" s="15" t="n">
        <f aca="false">D81-E81</f>
        <v>12.4263237339493</v>
      </c>
      <c r="G81" s="13" t="n">
        <f aca="false">F81/'Final Model'!$B$21</f>
        <v>0.253432829618645</v>
      </c>
      <c r="H81" s="6" t="n">
        <f aca="false">F81^2</f>
        <v>154.413521540911</v>
      </c>
      <c r="J81" s="6" t="n">
        <f aca="false">A81</f>
        <v>80</v>
      </c>
      <c r="K81" s="13" t="n">
        <f aca="false">SMALL($G$2:$G$1387,J81)</f>
        <v>-1.52218120370052</v>
      </c>
      <c r="L81" s="18" t="n">
        <f aca="false">(J81-0.5)/1386</f>
        <v>0.0573593073593074</v>
      </c>
      <c r="M81" s="18" t="n">
        <f aca="false">_xlfn.NORM.DIST(K81,AVERAGE($G$2:$G$1387),_xlfn.STDEV.S($G$2:$G$1387),TRUE())</f>
        <v>0.063499638520439</v>
      </c>
    </row>
    <row r="82" customFormat="false" ht="15" hidden="false" customHeight="false" outlineLevel="0" collapsed="false">
      <c r="A82" s="0" t="n">
        <f aca="false">ROW()-1</f>
        <v>81</v>
      </c>
      <c r="B82" s="0" t="str">
        <f aca="false">'Analysis Data'!A82</f>
        <v>Sarasota</v>
      </c>
      <c r="C82" s="5" t="n">
        <f aca="false">'Analysis Data'!B82</f>
        <v>40323</v>
      </c>
      <c r="D82" s="6" t="n">
        <f aca="false">'Analysis Data'!C82</f>
        <v>265.478621526768</v>
      </c>
      <c r="E82" s="15" t="n">
        <f aca="false">SUMPRODUCT('Final Model'!$B$45:$I$45,'Analysis Data'!N82:U82)</f>
        <v>184.147428247286</v>
      </c>
      <c r="F82" s="15" t="n">
        <f aca="false">D82-E82</f>
        <v>81.3311932794827</v>
      </c>
      <c r="G82" s="13" t="n">
        <f aca="false">F82/'Final Model'!$B$21</f>
        <v>1.65873631577515</v>
      </c>
      <c r="H82" s="6" t="n">
        <f aca="false">F82^2</f>
        <v>6614.76300026458</v>
      </c>
      <c r="J82" s="6" t="n">
        <f aca="false">A82</f>
        <v>81</v>
      </c>
      <c r="K82" s="13" t="n">
        <f aca="false">SMALL($G$2:$G$1387,J82)</f>
        <v>-1.52157478819429</v>
      </c>
      <c r="L82" s="18" t="n">
        <f aca="false">(J82-0.5)/1386</f>
        <v>0.0580808080808081</v>
      </c>
      <c r="M82" s="18" t="n">
        <f aca="false">_xlfn.NORM.DIST(K82,AVERAGE($G$2:$G$1387),_xlfn.STDEV.S($G$2:$G$1387),TRUE())</f>
        <v>0.063575372076116</v>
      </c>
    </row>
    <row r="83" customFormat="false" ht="15" hidden="false" customHeight="false" outlineLevel="0" collapsed="false">
      <c r="A83" s="0" t="n">
        <f aca="false">ROW()-1</f>
        <v>82</v>
      </c>
      <c r="B83" s="0" t="str">
        <f aca="false">'Analysis Data'!A83</f>
        <v>Sarasota</v>
      </c>
      <c r="C83" s="5" t="n">
        <f aca="false">'Analysis Data'!B83</f>
        <v>40330</v>
      </c>
      <c r="D83" s="6" t="n">
        <f aca="false">'Analysis Data'!C83</f>
        <v>230.489537751377</v>
      </c>
      <c r="E83" s="15" t="n">
        <f aca="false">SUMPRODUCT('Final Model'!$B$45:$I$45,'Analysis Data'!N83:U83)</f>
        <v>189.85841017346</v>
      </c>
      <c r="F83" s="15" t="n">
        <f aca="false">D83-E83</f>
        <v>40.6311275779162</v>
      </c>
      <c r="G83" s="13" t="n">
        <f aca="false">F83/'Final Model'!$B$21</f>
        <v>0.828665167038495</v>
      </c>
      <c r="H83" s="6" t="n">
        <f aca="false">F83^2</f>
        <v>1650.88852825291</v>
      </c>
      <c r="J83" s="6" t="n">
        <f aca="false">A83</f>
        <v>82</v>
      </c>
      <c r="K83" s="13" t="n">
        <f aca="false">SMALL($G$2:$G$1387,J83)</f>
        <v>-1.51819234828929</v>
      </c>
      <c r="L83" s="18" t="n">
        <f aca="false">(J83-0.5)/1386</f>
        <v>0.0588023088023088</v>
      </c>
      <c r="M83" s="18" t="n">
        <f aca="false">_xlfn.NORM.DIST(K83,AVERAGE($G$2:$G$1387),_xlfn.STDEV.S($G$2:$G$1387),TRUE())</f>
        <v>0.0639990857080747</v>
      </c>
    </row>
    <row r="84" customFormat="false" ht="15" hidden="false" customHeight="false" outlineLevel="0" collapsed="false">
      <c r="A84" s="0" t="n">
        <f aca="false">ROW()-1</f>
        <v>83</v>
      </c>
      <c r="B84" s="0" t="str">
        <f aca="false">'Analysis Data'!A84</f>
        <v>Sarasota</v>
      </c>
      <c r="C84" s="5" t="n">
        <f aca="false">'Analysis Data'!B84</f>
        <v>40337</v>
      </c>
      <c r="D84" s="6" t="n">
        <f aca="false">'Analysis Data'!C84</f>
        <v>119.228658676094</v>
      </c>
      <c r="E84" s="15" t="n">
        <f aca="false">SUMPRODUCT('Final Model'!$B$45:$I$45,'Analysis Data'!N84:U84)</f>
        <v>186.354063396529</v>
      </c>
      <c r="F84" s="15" t="n">
        <f aca="false">D84-E84</f>
        <v>-67.125404720436</v>
      </c>
      <c r="G84" s="13" t="n">
        <f aca="false">F84/'Final Model'!$B$21</f>
        <v>-1.36901159359947</v>
      </c>
      <c r="H84" s="6" t="n">
        <f aca="false">F84^2</f>
        <v>4505.81995888233</v>
      </c>
      <c r="J84" s="6" t="n">
        <f aca="false">A84</f>
        <v>83</v>
      </c>
      <c r="K84" s="13" t="n">
        <f aca="false">SMALL($G$2:$G$1387,J84)</f>
        <v>-1.51620643570193</v>
      </c>
      <c r="L84" s="18" t="n">
        <f aca="false">(J84-0.5)/1386</f>
        <v>0.0595238095238095</v>
      </c>
      <c r="M84" s="18" t="n">
        <f aca="false">_xlfn.NORM.DIST(K84,AVERAGE($G$2:$G$1387),_xlfn.STDEV.S($G$2:$G$1387),TRUE())</f>
        <v>0.0642488794109379</v>
      </c>
    </row>
    <row r="85" customFormat="false" ht="15" hidden="false" customHeight="false" outlineLevel="0" collapsed="false">
      <c r="A85" s="0" t="n">
        <f aca="false">ROW()-1</f>
        <v>84</v>
      </c>
      <c r="B85" s="0" t="str">
        <f aca="false">'Analysis Data'!A85</f>
        <v>Sarasota</v>
      </c>
      <c r="C85" s="5" t="n">
        <f aca="false">'Analysis Data'!B85</f>
        <v>40344</v>
      </c>
      <c r="D85" s="6" t="n">
        <f aca="false">'Analysis Data'!C85</f>
        <v>172.051455870678</v>
      </c>
      <c r="E85" s="15" t="n">
        <f aca="false">SUMPRODUCT('Final Model'!$B$45:$I$45,'Analysis Data'!N85:U85)</f>
        <v>184.105397099484</v>
      </c>
      <c r="F85" s="15" t="n">
        <f aca="false">D85-E85</f>
        <v>-12.0539412288061</v>
      </c>
      <c r="G85" s="13" t="n">
        <f aca="false">F85/'Final Model'!$B$21</f>
        <v>-0.245838149647361</v>
      </c>
      <c r="H85" s="6" t="n">
        <f aca="false">F85^2</f>
        <v>145.29749914751</v>
      </c>
      <c r="J85" s="6" t="n">
        <f aca="false">A85</f>
        <v>84</v>
      </c>
      <c r="K85" s="13" t="n">
        <f aca="false">SMALL($G$2:$G$1387,J85)</f>
        <v>-1.51410605943302</v>
      </c>
      <c r="L85" s="18" t="n">
        <f aca="false">(J85-0.5)/1386</f>
        <v>0.0602453102453103</v>
      </c>
      <c r="M85" s="18" t="n">
        <f aca="false">_xlfn.NORM.DIST(K85,AVERAGE($G$2:$G$1387),_xlfn.STDEV.S($G$2:$G$1387),TRUE())</f>
        <v>0.0645138945290276</v>
      </c>
    </row>
    <row r="86" customFormat="false" ht="15" hidden="false" customHeight="false" outlineLevel="0" collapsed="false">
      <c r="A86" s="0" t="n">
        <f aca="false">ROW()-1</f>
        <v>85</v>
      </c>
      <c r="B86" s="0" t="str">
        <f aca="false">'Analysis Data'!A86</f>
        <v>Sarasota</v>
      </c>
      <c r="C86" s="5" t="n">
        <f aca="false">'Analysis Data'!B86</f>
        <v>40351</v>
      </c>
      <c r="D86" s="6" t="n">
        <f aca="false">'Analysis Data'!C86</f>
        <v>189.205876255529</v>
      </c>
      <c r="E86" s="15" t="n">
        <f aca="false">SUMPRODUCT('Final Model'!$B$45:$I$45,'Analysis Data'!N86:U86)</f>
        <v>175.751706904241</v>
      </c>
      <c r="F86" s="15" t="n">
        <f aca="false">D86-E86</f>
        <v>13.4541693512872</v>
      </c>
      <c r="G86" s="13" t="n">
        <f aca="false">F86/'Final Model'!$B$21</f>
        <v>0.274395572002493</v>
      </c>
      <c r="H86" s="6" t="n">
        <f aca="false">F86^2</f>
        <v>181.014672933116</v>
      </c>
      <c r="J86" s="6" t="n">
        <f aca="false">A86</f>
        <v>85</v>
      </c>
      <c r="K86" s="13" t="n">
        <f aca="false">SMALL($G$2:$G$1387,J86)</f>
        <v>-1.50528129242605</v>
      </c>
      <c r="L86" s="18" t="n">
        <f aca="false">(J86-0.5)/1386</f>
        <v>0.060966810966811</v>
      </c>
      <c r="M86" s="18" t="n">
        <f aca="false">_xlfn.NORM.DIST(K86,AVERAGE($G$2:$G$1387),_xlfn.STDEV.S($G$2:$G$1387),TRUE())</f>
        <v>0.0656366489350452</v>
      </c>
    </row>
    <row r="87" customFormat="false" ht="15" hidden="false" customHeight="false" outlineLevel="0" collapsed="false">
      <c r="A87" s="0" t="n">
        <f aca="false">ROW()-1</f>
        <v>86</v>
      </c>
      <c r="B87" s="0" t="str">
        <f aca="false">'Analysis Data'!A87</f>
        <v>Sarasota</v>
      </c>
      <c r="C87" s="5" t="n">
        <f aca="false">'Analysis Data'!B87</f>
        <v>40358</v>
      </c>
      <c r="D87" s="6" t="n">
        <f aca="false">'Analysis Data'!C87</f>
        <v>222.538561164376</v>
      </c>
      <c r="E87" s="15" t="n">
        <f aca="false">SUMPRODUCT('Final Model'!$B$45:$I$45,'Analysis Data'!N87:U87)</f>
        <v>186.627265857239</v>
      </c>
      <c r="F87" s="15" t="n">
        <f aca="false">D87-E87</f>
        <v>35.9112953071374</v>
      </c>
      <c r="G87" s="13" t="n">
        <f aca="false">F87/'Final Model'!$B$21</f>
        <v>0.732404963834476</v>
      </c>
      <c r="H87" s="6" t="n">
        <f aca="false">F87^2</f>
        <v>1289.62113063643</v>
      </c>
      <c r="J87" s="6" t="n">
        <f aca="false">A87</f>
        <v>86</v>
      </c>
      <c r="K87" s="13" t="n">
        <f aca="false">SMALL($G$2:$G$1387,J87)</f>
        <v>-1.49966668328217</v>
      </c>
      <c r="L87" s="18" t="n">
        <f aca="false">(J87-0.5)/1386</f>
        <v>0.0616883116883117</v>
      </c>
      <c r="M87" s="18" t="n">
        <f aca="false">_xlfn.NORM.DIST(K87,AVERAGE($G$2:$G$1387),_xlfn.STDEV.S($G$2:$G$1387),TRUE())</f>
        <v>0.0663588302008796</v>
      </c>
    </row>
    <row r="88" customFormat="false" ht="15" hidden="false" customHeight="false" outlineLevel="0" collapsed="false">
      <c r="A88" s="0" t="n">
        <f aca="false">ROW()-1</f>
        <v>87</v>
      </c>
      <c r="B88" s="0" t="str">
        <f aca="false">'Analysis Data'!A88</f>
        <v>Sarasota</v>
      </c>
      <c r="C88" s="5" t="n">
        <f aca="false">'Analysis Data'!B88</f>
        <v>40365</v>
      </c>
      <c r="D88" s="6" t="n">
        <f aca="false">'Analysis Data'!C88</f>
        <v>115.901306414071</v>
      </c>
      <c r="E88" s="15" t="n">
        <f aca="false">SUMPRODUCT('Final Model'!$B$45:$I$45,'Analysis Data'!N88:U88)</f>
        <v>190.341344978275</v>
      </c>
      <c r="F88" s="15" t="n">
        <f aca="false">D88-E88</f>
        <v>-74.4400385642042</v>
      </c>
      <c r="G88" s="13" t="n">
        <f aca="false">F88/'Final Model'!$B$21</f>
        <v>-1.51819234828929</v>
      </c>
      <c r="H88" s="6" t="n">
        <f aca="false">F88^2</f>
        <v>5541.3193414402</v>
      </c>
      <c r="J88" s="6" t="n">
        <f aca="false">A88</f>
        <v>87</v>
      </c>
      <c r="K88" s="13" t="n">
        <f aca="false">SMALL($G$2:$G$1387,J88)</f>
        <v>-1.4937966744555</v>
      </c>
      <c r="L88" s="18" t="n">
        <f aca="false">(J88-0.5)/1386</f>
        <v>0.0624098124098124</v>
      </c>
      <c r="M88" s="18" t="n">
        <f aca="false">_xlfn.NORM.DIST(K88,AVERAGE($G$2:$G$1387),_xlfn.STDEV.S($G$2:$G$1387),TRUE())</f>
        <v>0.0671204255571771</v>
      </c>
    </row>
    <row r="89" customFormat="false" ht="15" hidden="false" customHeight="false" outlineLevel="0" collapsed="false">
      <c r="A89" s="0" t="n">
        <f aca="false">ROW()-1</f>
        <v>88</v>
      </c>
      <c r="B89" s="0" t="str">
        <f aca="false">'Analysis Data'!A89</f>
        <v>Sarasota</v>
      </c>
      <c r="C89" s="5" t="n">
        <f aca="false">'Analysis Data'!B89</f>
        <v>40372</v>
      </c>
      <c r="D89" s="6" t="n">
        <f aca="false">'Analysis Data'!C89</f>
        <v>177.098966426788</v>
      </c>
      <c r="E89" s="15" t="n">
        <f aca="false">SUMPRODUCT('Final Model'!$B$45:$I$45,'Analysis Data'!N89:U89)</f>
        <v>188.44048641715</v>
      </c>
      <c r="F89" s="15" t="n">
        <f aca="false">D89-E89</f>
        <v>-11.341519990362</v>
      </c>
      <c r="G89" s="13" t="n">
        <f aca="false">F89/'Final Model'!$B$21</f>
        <v>-0.231308435614076</v>
      </c>
      <c r="H89" s="6" t="n">
        <f aca="false">F89^2</f>
        <v>128.630075691781</v>
      </c>
      <c r="J89" s="6" t="n">
        <f aca="false">A89</f>
        <v>88</v>
      </c>
      <c r="K89" s="13" t="n">
        <f aca="false">SMALL($G$2:$G$1387,J89)</f>
        <v>-1.48782423320061</v>
      </c>
      <c r="L89" s="18" t="n">
        <f aca="false">(J89-0.5)/1386</f>
        <v>0.0631313131313131</v>
      </c>
      <c r="M89" s="18" t="n">
        <f aca="false">_xlfn.NORM.DIST(K89,AVERAGE($G$2:$G$1387),_xlfn.STDEV.S($G$2:$G$1387),TRUE())</f>
        <v>0.0679022302339199</v>
      </c>
    </row>
    <row r="90" customFormat="false" ht="15" hidden="false" customHeight="false" outlineLevel="0" collapsed="false">
      <c r="A90" s="0" t="n">
        <f aca="false">ROW()-1</f>
        <v>89</v>
      </c>
      <c r="B90" s="0" t="str">
        <f aca="false">'Analysis Data'!A90</f>
        <v>Annapolis</v>
      </c>
      <c r="C90" s="5" t="n">
        <f aca="false">'Analysis Data'!B90</f>
        <v>40302</v>
      </c>
      <c r="D90" s="6" t="n">
        <f aca="false">'Analysis Data'!C90</f>
        <v>155.872950426082</v>
      </c>
      <c r="E90" s="15" t="n">
        <f aca="false">SUMPRODUCT('Final Model'!$B$45:$I$45,'Analysis Data'!N90:U90)</f>
        <v>190.420153385919</v>
      </c>
      <c r="F90" s="15" t="n">
        <f aca="false">D90-E90</f>
        <v>-34.5472029598374</v>
      </c>
      <c r="G90" s="13" t="n">
        <f aca="false">F90/'Final Model'!$B$21</f>
        <v>-0.704584524673302</v>
      </c>
      <c r="H90" s="6" t="n">
        <f aca="false">F90^2</f>
        <v>1193.5092323482</v>
      </c>
      <c r="J90" s="6" t="n">
        <f aca="false">A90</f>
        <v>89</v>
      </c>
      <c r="K90" s="13" t="n">
        <f aca="false">SMALL($G$2:$G$1387,J90)</f>
        <v>-1.48156456229117</v>
      </c>
      <c r="L90" s="18" t="n">
        <f aca="false">(J90-0.5)/1386</f>
        <v>0.0638528138528139</v>
      </c>
      <c r="M90" s="18" t="n">
        <f aca="false">_xlfn.NORM.DIST(K90,AVERAGE($G$2:$G$1387),_xlfn.STDEV.S($G$2:$G$1387),TRUE())</f>
        <v>0.0687291621254051</v>
      </c>
    </row>
    <row r="91" customFormat="false" ht="15" hidden="false" customHeight="false" outlineLevel="0" collapsed="false">
      <c r="A91" s="0" t="n">
        <f aca="false">ROW()-1</f>
        <v>90</v>
      </c>
      <c r="B91" s="0" t="str">
        <f aca="false">'Analysis Data'!A91</f>
        <v>Annapolis</v>
      </c>
      <c r="C91" s="5" t="n">
        <f aca="false">'Analysis Data'!B91</f>
        <v>40309</v>
      </c>
      <c r="D91" s="6" t="n">
        <f aca="false">'Analysis Data'!C91</f>
        <v>193.510218030075</v>
      </c>
      <c r="E91" s="15" t="n">
        <f aca="false">SUMPRODUCT('Final Model'!$B$45:$I$45,'Analysis Data'!N91:U91)</f>
        <v>198.458609994717</v>
      </c>
      <c r="F91" s="15" t="n">
        <f aca="false">D91-E91</f>
        <v>-4.94839196464264</v>
      </c>
      <c r="G91" s="13" t="n">
        <f aca="false">F91/'Final Model'!$B$21</f>
        <v>-0.100921640584281</v>
      </c>
      <c r="H91" s="6" t="n">
        <f aca="false">F91^2</f>
        <v>24.4865830357398</v>
      </c>
      <c r="J91" s="6" t="n">
        <f aca="false">A91</f>
        <v>90</v>
      </c>
      <c r="K91" s="13" t="n">
        <f aca="false">SMALL($G$2:$G$1387,J91)</f>
        <v>-1.47976292519605</v>
      </c>
      <c r="L91" s="18" t="n">
        <f aca="false">(J91-0.5)/1386</f>
        <v>0.0645743145743146</v>
      </c>
      <c r="M91" s="18" t="n">
        <f aca="false">_xlfn.NORM.DIST(K91,AVERAGE($G$2:$G$1387),_xlfn.STDEV.S($G$2:$G$1387),TRUE())</f>
        <v>0.0689686002818889</v>
      </c>
    </row>
    <row r="92" customFormat="false" ht="15" hidden="false" customHeight="false" outlineLevel="0" collapsed="false">
      <c r="A92" s="0" t="n">
        <f aca="false">ROW()-1</f>
        <v>91</v>
      </c>
      <c r="B92" s="0" t="str">
        <f aca="false">'Analysis Data'!A92</f>
        <v>Annapolis</v>
      </c>
      <c r="C92" s="5" t="n">
        <f aca="false">'Analysis Data'!B92</f>
        <v>40316</v>
      </c>
      <c r="D92" s="6" t="n">
        <f aca="false">'Analysis Data'!C92</f>
        <v>309.494670782664</v>
      </c>
      <c r="E92" s="15" t="n">
        <f aca="false">SUMPRODUCT('Final Model'!$B$45:$I$45,'Analysis Data'!N92:U92)</f>
        <v>199.762530762719</v>
      </c>
      <c r="F92" s="15" t="n">
        <f aca="false">D92-E92</f>
        <v>109.732140019945</v>
      </c>
      <c r="G92" s="13" t="n">
        <f aca="false">F92/'Final Model'!$B$21</f>
        <v>2.23796895532237</v>
      </c>
      <c r="H92" s="6" t="n">
        <f aca="false">F92^2</f>
        <v>12041.1425533568</v>
      </c>
      <c r="J92" s="6" t="n">
        <f aca="false">A92</f>
        <v>91</v>
      </c>
      <c r="K92" s="13" t="n">
        <f aca="false">SMALL($G$2:$G$1387,J92)</f>
        <v>-1.47362814622257</v>
      </c>
      <c r="L92" s="18" t="n">
        <f aca="false">(J92-0.5)/1386</f>
        <v>0.0652958152958153</v>
      </c>
      <c r="M92" s="18" t="n">
        <f aca="false">_xlfn.NORM.DIST(K92,AVERAGE($G$2:$G$1387),_xlfn.STDEV.S($G$2:$G$1387),TRUE())</f>
        <v>0.0697887383450409</v>
      </c>
    </row>
    <row r="93" customFormat="false" ht="15" hidden="false" customHeight="false" outlineLevel="0" collapsed="false">
      <c r="A93" s="0" t="n">
        <f aca="false">ROW()-1</f>
        <v>92</v>
      </c>
      <c r="B93" s="0" t="str">
        <f aca="false">'Analysis Data'!A93</f>
        <v>Annapolis</v>
      </c>
      <c r="C93" s="5" t="n">
        <f aca="false">'Analysis Data'!B93</f>
        <v>40323</v>
      </c>
      <c r="D93" s="6" t="n">
        <f aca="false">'Analysis Data'!C93</f>
        <v>254.928852946528</v>
      </c>
      <c r="E93" s="15" t="n">
        <f aca="false">SUMPRODUCT('Final Model'!$B$45:$I$45,'Analysis Data'!N93:U93)</f>
        <v>197.171406165014</v>
      </c>
      <c r="F93" s="15" t="n">
        <f aca="false">D93-E93</f>
        <v>57.7574467815144</v>
      </c>
      <c r="G93" s="13" t="n">
        <f aca="false">F93/'Final Model'!$B$21</f>
        <v>1.17795363156336</v>
      </c>
      <c r="H93" s="6" t="n">
        <f aca="false">F93^2</f>
        <v>3335.92265871947</v>
      </c>
      <c r="J93" s="6" t="n">
        <f aca="false">A93</f>
        <v>92</v>
      </c>
      <c r="K93" s="13" t="n">
        <f aca="false">SMALL($G$2:$G$1387,J93)</f>
        <v>-1.46220668685631</v>
      </c>
      <c r="L93" s="18" t="n">
        <f aca="false">(J93-0.5)/1386</f>
        <v>0.066017316017316</v>
      </c>
      <c r="M93" s="18" t="n">
        <f aca="false">_xlfn.NORM.DIST(K93,AVERAGE($G$2:$G$1387),_xlfn.STDEV.S($G$2:$G$1387),TRUE())</f>
        <v>0.071335605316714</v>
      </c>
    </row>
    <row r="94" customFormat="false" ht="15" hidden="false" customHeight="false" outlineLevel="0" collapsed="false">
      <c r="A94" s="0" t="n">
        <f aca="false">ROW()-1</f>
        <v>93</v>
      </c>
      <c r="B94" s="0" t="str">
        <f aca="false">'Analysis Data'!A94</f>
        <v>Annapolis</v>
      </c>
      <c r="C94" s="5" t="n">
        <f aca="false">'Analysis Data'!B94</f>
        <v>40330</v>
      </c>
      <c r="D94" s="6" t="n">
        <f aca="false">'Analysis Data'!C94</f>
        <v>195.308398721099</v>
      </c>
      <c r="E94" s="15" t="n">
        <f aca="false">SUMPRODUCT('Final Model'!$B$45:$I$45,'Analysis Data'!N94:U94)</f>
        <v>199.762530762719</v>
      </c>
      <c r="F94" s="15" t="n">
        <f aca="false">D94-E94</f>
        <v>-4.45413204162</v>
      </c>
      <c r="G94" s="13" t="n">
        <f aca="false">F94/'Final Model'!$B$21</f>
        <v>-0.0908412907124602</v>
      </c>
      <c r="H94" s="6" t="n">
        <f aca="false">F94^2</f>
        <v>19.8392922441859</v>
      </c>
      <c r="J94" s="6" t="n">
        <f aca="false">A94</f>
        <v>93</v>
      </c>
      <c r="K94" s="13" t="n">
        <f aca="false">SMALL($G$2:$G$1387,J94)</f>
        <v>-1.45715736715535</v>
      </c>
      <c r="L94" s="18" t="n">
        <f aca="false">(J94-0.5)/1386</f>
        <v>0.0667388167388167</v>
      </c>
      <c r="M94" s="18" t="n">
        <f aca="false">_xlfn.NORM.DIST(K94,AVERAGE($G$2:$G$1387),_xlfn.STDEV.S($G$2:$G$1387),TRUE())</f>
        <v>0.0720277932089047</v>
      </c>
    </row>
    <row r="95" customFormat="false" ht="15" hidden="false" customHeight="false" outlineLevel="0" collapsed="false">
      <c r="A95" s="0" t="n">
        <f aca="false">ROW()-1</f>
        <v>94</v>
      </c>
      <c r="B95" s="0" t="str">
        <f aca="false">'Analysis Data'!A95</f>
        <v>Annapolis</v>
      </c>
      <c r="C95" s="5" t="n">
        <f aca="false">'Analysis Data'!B95</f>
        <v>40337</v>
      </c>
      <c r="D95" s="6" t="n">
        <f aca="false">'Analysis Data'!C95</f>
        <v>267.938742643342</v>
      </c>
      <c r="E95" s="15" t="n">
        <f aca="false">SUMPRODUCT('Final Model'!$B$45:$I$45,'Analysis Data'!N95:U95)</f>
        <v>293.810358124067</v>
      </c>
      <c r="F95" s="15" t="n">
        <f aca="false">D95-E95</f>
        <v>-25.8716154807255</v>
      </c>
      <c r="G95" s="13" t="n">
        <f aca="false">F95/'Final Model'!$B$21</f>
        <v>-0.52764734433665</v>
      </c>
      <c r="H95" s="6" t="n">
        <f aca="false">F95^2</f>
        <v>669.340487582515</v>
      </c>
      <c r="J95" s="6" t="n">
        <f aca="false">A95</f>
        <v>94</v>
      </c>
      <c r="K95" s="13" t="n">
        <f aca="false">SMALL($G$2:$G$1387,J95)</f>
        <v>-1.45553179029827</v>
      </c>
      <c r="L95" s="18" t="n">
        <f aca="false">(J95-0.5)/1386</f>
        <v>0.0674603174603175</v>
      </c>
      <c r="M95" s="18" t="n">
        <f aca="false">_xlfn.NORM.DIST(K95,AVERAGE($G$2:$G$1387),_xlfn.STDEV.S($G$2:$G$1387),TRUE())</f>
        <v>0.0722517283202946</v>
      </c>
    </row>
    <row r="96" customFormat="false" ht="15" hidden="false" customHeight="false" outlineLevel="0" collapsed="false">
      <c r="A96" s="0" t="n">
        <f aca="false">ROW()-1</f>
        <v>95</v>
      </c>
      <c r="B96" s="0" t="str">
        <f aca="false">'Analysis Data'!A96</f>
        <v>Annapolis</v>
      </c>
      <c r="C96" s="5" t="n">
        <f aca="false">'Analysis Data'!B96</f>
        <v>40344</v>
      </c>
      <c r="D96" s="6" t="n">
        <f aca="false">'Analysis Data'!C96</f>
        <v>247.130096322745</v>
      </c>
      <c r="E96" s="15" t="n">
        <f aca="false">SUMPRODUCT('Final Model'!$B$45:$I$45,'Analysis Data'!N96:U96)</f>
        <v>260.427453978867</v>
      </c>
      <c r="F96" s="15" t="n">
        <f aca="false">D96-E96</f>
        <v>-13.2973576561218</v>
      </c>
      <c r="G96" s="13" t="n">
        <f aca="false">F96/'Final Model'!$B$21</f>
        <v>-0.271197423260038</v>
      </c>
      <c r="H96" s="6" t="n">
        <f aca="false">F96^2</f>
        <v>176.81972063482</v>
      </c>
      <c r="J96" s="6" t="n">
        <f aca="false">A96</f>
        <v>95</v>
      </c>
      <c r="K96" s="13" t="n">
        <f aca="false">SMALL($G$2:$G$1387,J96)</f>
        <v>-1.45541566988085</v>
      </c>
      <c r="L96" s="18" t="n">
        <f aca="false">(J96-0.5)/1386</f>
        <v>0.0681818181818182</v>
      </c>
      <c r="M96" s="18" t="n">
        <f aca="false">_xlfn.NORM.DIST(K96,AVERAGE($G$2:$G$1387),_xlfn.STDEV.S($G$2:$G$1387),TRUE())</f>
        <v>0.0722677451533338</v>
      </c>
    </row>
    <row r="97" customFormat="false" ht="15" hidden="false" customHeight="false" outlineLevel="0" collapsed="false">
      <c r="A97" s="0" t="n">
        <f aca="false">ROW()-1</f>
        <v>96</v>
      </c>
      <c r="B97" s="0" t="str">
        <f aca="false">'Analysis Data'!A97</f>
        <v>Annapolis</v>
      </c>
      <c r="C97" s="5" t="n">
        <f aca="false">'Analysis Data'!B97</f>
        <v>40351</v>
      </c>
      <c r="D97" s="6" t="n">
        <f aca="false">'Analysis Data'!C97</f>
        <v>299.341685006317</v>
      </c>
      <c r="E97" s="15" t="n">
        <f aca="false">SUMPRODUCT('Final Model'!$B$45:$I$45,'Analysis Data'!N97:U97)</f>
        <v>267.976820895878</v>
      </c>
      <c r="F97" s="15" t="n">
        <f aca="false">D97-E97</f>
        <v>31.3648641104393</v>
      </c>
      <c r="G97" s="13" t="n">
        <f aca="false">F97/'Final Model'!$B$21</f>
        <v>0.639681247028534</v>
      </c>
      <c r="H97" s="6" t="n">
        <f aca="false">F97^2</f>
        <v>983.754700666325</v>
      </c>
      <c r="J97" s="6" t="n">
        <f aca="false">A97</f>
        <v>96</v>
      </c>
      <c r="K97" s="13" t="n">
        <f aca="false">SMALL($G$2:$G$1387,J97)</f>
        <v>-1.45447593280185</v>
      </c>
      <c r="L97" s="18" t="n">
        <f aca="false">(J97-0.5)/1386</f>
        <v>0.0689033189033189</v>
      </c>
      <c r="M97" s="18" t="n">
        <f aca="false">_xlfn.NORM.DIST(K97,AVERAGE($G$2:$G$1387),_xlfn.STDEV.S($G$2:$G$1387),TRUE())</f>
        <v>0.0723974660020362</v>
      </c>
    </row>
    <row r="98" customFormat="false" ht="15" hidden="false" customHeight="false" outlineLevel="0" collapsed="false">
      <c r="A98" s="0" t="n">
        <f aca="false">ROW()-1</f>
        <v>97</v>
      </c>
      <c r="B98" s="0" t="str">
        <f aca="false">'Analysis Data'!A98</f>
        <v>Annapolis</v>
      </c>
      <c r="C98" s="5" t="n">
        <f aca="false">'Analysis Data'!B98</f>
        <v>40358</v>
      </c>
      <c r="D98" s="6" t="n">
        <f aca="false">'Analysis Data'!C98</f>
        <v>265.72152913235</v>
      </c>
      <c r="E98" s="15" t="n">
        <f aca="false">SUMPRODUCT('Final Model'!$B$45:$I$45,'Analysis Data'!N98:U98)</f>
        <v>260.795226511096</v>
      </c>
      <c r="F98" s="15" t="n">
        <f aca="false">D98-E98</f>
        <v>4.92630262125374</v>
      </c>
      <c r="G98" s="13" t="n">
        <f aca="false">F98/'Final Model'!$B$21</f>
        <v>0.100471132057437</v>
      </c>
      <c r="H98" s="6" t="n">
        <f aca="false">F98^2</f>
        <v>24.2684575161715</v>
      </c>
      <c r="J98" s="6" t="n">
        <f aca="false">A98</f>
        <v>97</v>
      </c>
      <c r="K98" s="13" t="n">
        <f aca="false">SMALL($G$2:$G$1387,J98)</f>
        <v>-1.45444259698265</v>
      </c>
      <c r="L98" s="18" t="n">
        <f aca="false">(J98-0.5)/1386</f>
        <v>0.0696248196248196</v>
      </c>
      <c r="M98" s="18" t="n">
        <f aca="false">_xlfn.NORM.DIST(K98,AVERAGE($G$2:$G$1387),_xlfn.STDEV.S($G$2:$G$1387),TRUE())</f>
        <v>0.0724020709366982</v>
      </c>
    </row>
    <row r="99" customFormat="false" ht="15" hidden="false" customHeight="false" outlineLevel="0" collapsed="false">
      <c r="A99" s="0" t="n">
        <f aca="false">ROW()-1</f>
        <v>98</v>
      </c>
      <c r="B99" s="0" t="str">
        <f aca="false">'Analysis Data'!A99</f>
        <v>Annapolis</v>
      </c>
      <c r="C99" s="5" t="n">
        <f aca="false">'Analysis Data'!B99</f>
        <v>40365</v>
      </c>
      <c r="D99" s="6" t="n">
        <f aca="false">'Analysis Data'!C99</f>
        <v>259.042779459633</v>
      </c>
      <c r="E99" s="15" t="n">
        <f aca="false">SUMPRODUCT('Final Model'!$B$45:$I$45,'Analysis Data'!N99:U99)</f>
        <v>269.22251678652</v>
      </c>
      <c r="F99" s="15" t="n">
        <f aca="false">D99-E99</f>
        <v>-10.1797373268871</v>
      </c>
      <c r="G99" s="13" t="n">
        <f aca="false">F99/'Final Model'!$B$21</f>
        <v>-0.207614069194027</v>
      </c>
      <c r="H99" s="6" t="n">
        <f aca="false">F99^2</f>
        <v>103.627052044418</v>
      </c>
      <c r="J99" s="6" t="n">
        <f aca="false">A99</f>
        <v>98</v>
      </c>
      <c r="K99" s="13" t="n">
        <f aca="false">SMALL($G$2:$G$1387,J99)</f>
        <v>-1.44974449597146</v>
      </c>
      <c r="L99" s="18" t="n">
        <f aca="false">(J99-0.5)/1386</f>
        <v>0.0703463203463204</v>
      </c>
      <c r="M99" s="18" t="n">
        <f aca="false">_xlfn.NORM.DIST(K99,AVERAGE($G$2:$G$1387),_xlfn.STDEV.S($G$2:$G$1387),TRUE())</f>
        <v>0.0730533031091692</v>
      </c>
    </row>
    <row r="100" customFormat="false" ht="15" hidden="false" customHeight="false" outlineLevel="0" collapsed="false">
      <c r="A100" s="0" t="n">
        <f aca="false">ROW()-1</f>
        <v>99</v>
      </c>
      <c r="B100" s="0" t="str">
        <f aca="false">'Analysis Data'!A100</f>
        <v>Annapolis</v>
      </c>
      <c r="C100" s="5" t="n">
        <f aca="false">'Analysis Data'!B100</f>
        <v>40372</v>
      </c>
      <c r="D100" s="6" t="n">
        <f aca="false">'Analysis Data'!C100</f>
        <v>280.657674714992</v>
      </c>
      <c r="E100" s="15" t="n">
        <f aca="false">SUMPRODUCT('Final Model'!$B$45:$I$45,'Analysis Data'!N100:U100)</f>
        <v>269.22251678652</v>
      </c>
      <c r="F100" s="15" t="n">
        <f aca="false">D100-E100</f>
        <v>11.4351579284728</v>
      </c>
      <c r="G100" s="13" t="n">
        <f aca="false">F100/'Final Model'!$B$21</f>
        <v>0.233218165967411</v>
      </c>
      <c r="H100" s="6" t="n">
        <f aca="false">F100^2</f>
        <v>130.762836849115</v>
      </c>
      <c r="J100" s="6" t="n">
        <f aca="false">A100</f>
        <v>99</v>
      </c>
      <c r="K100" s="13" t="n">
        <f aca="false">SMALL($G$2:$G$1387,J100)</f>
        <v>-1.44856831413298</v>
      </c>
      <c r="L100" s="18" t="n">
        <f aca="false">(J100-0.5)/1386</f>
        <v>0.0710678210678211</v>
      </c>
      <c r="M100" s="18" t="n">
        <f aca="false">_xlfn.NORM.DIST(K100,AVERAGE($G$2:$G$1387),_xlfn.STDEV.S($G$2:$G$1387),TRUE())</f>
        <v>0.073217040301646</v>
      </c>
    </row>
    <row r="101" customFormat="false" ht="15" hidden="false" customHeight="false" outlineLevel="0" collapsed="false">
      <c r="A101" s="0" t="n">
        <f aca="false">ROW()-1</f>
        <v>100</v>
      </c>
      <c r="B101" s="0" t="str">
        <f aca="false">'Analysis Data'!A101</f>
        <v>Bethesda</v>
      </c>
      <c r="C101" s="5" t="n">
        <f aca="false">'Analysis Data'!B101</f>
        <v>40302</v>
      </c>
      <c r="D101" s="6" t="n">
        <f aca="false">'Analysis Data'!C101</f>
        <v>138.231225857981</v>
      </c>
      <c r="E101" s="15" t="n">
        <f aca="false">SUMPRODUCT('Final Model'!$B$45:$I$45,'Analysis Data'!N101:U101)</f>
        <v>189.632069397741</v>
      </c>
      <c r="F101" s="15" t="n">
        <f aca="false">D101-E101</f>
        <v>-51.4008435397602</v>
      </c>
      <c r="G101" s="13" t="n">
        <f aca="false">F101/'Final Model'!$B$21</f>
        <v>-1.04831175349772</v>
      </c>
      <c r="H101" s="6" t="n">
        <f aca="false">F101^2</f>
        <v>2642.04671659891</v>
      </c>
      <c r="J101" s="6" t="n">
        <f aca="false">A101</f>
        <v>100</v>
      </c>
      <c r="K101" s="13" t="n">
        <f aca="false">SMALL($G$2:$G$1387,J101)</f>
        <v>-1.44844996310789</v>
      </c>
      <c r="L101" s="18" t="n">
        <f aca="false">(J101-0.5)/1386</f>
        <v>0.0717893217893218</v>
      </c>
      <c r="M101" s="18" t="n">
        <f aca="false">_xlfn.NORM.DIST(K101,AVERAGE($G$2:$G$1387),_xlfn.STDEV.S($G$2:$G$1387),TRUE())</f>
        <v>0.0732335315756831</v>
      </c>
    </row>
    <row r="102" customFormat="false" ht="15" hidden="false" customHeight="false" outlineLevel="0" collapsed="false">
      <c r="A102" s="0" t="n">
        <f aca="false">ROW()-1</f>
        <v>101</v>
      </c>
      <c r="B102" s="0" t="str">
        <f aca="false">'Analysis Data'!A102</f>
        <v>Bethesda</v>
      </c>
      <c r="C102" s="5" t="n">
        <f aca="false">'Analysis Data'!B102</f>
        <v>40309</v>
      </c>
      <c r="D102" s="6" t="n">
        <f aca="false">'Analysis Data'!C102</f>
        <v>263.238866557505</v>
      </c>
      <c r="E102" s="15" t="n">
        <f aca="false">SUMPRODUCT('Final Model'!$B$45:$I$45,'Analysis Data'!N102:U102)</f>
        <v>198.826382526947</v>
      </c>
      <c r="F102" s="15" t="n">
        <f aca="false">D102-E102</f>
        <v>64.4124840305583</v>
      </c>
      <c r="G102" s="13" t="n">
        <f aca="false">F102/'Final Model'!$B$21</f>
        <v>1.31368202214398</v>
      </c>
      <c r="H102" s="6" t="n">
        <f aca="false">F102^2</f>
        <v>4148.96809898693</v>
      </c>
      <c r="J102" s="6" t="n">
        <f aca="false">A102</f>
        <v>101</v>
      </c>
      <c r="K102" s="13" t="n">
        <f aca="false">SMALL($G$2:$G$1387,J102)</f>
        <v>-1.44103286018888</v>
      </c>
      <c r="L102" s="18" t="n">
        <f aca="false">(J102-0.5)/1386</f>
        <v>0.0725108225108225</v>
      </c>
      <c r="M102" s="18" t="n">
        <f aca="false">_xlfn.NORM.DIST(K102,AVERAGE($G$2:$G$1387),_xlfn.STDEV.S($G$2:$G$1387),TRUE())</f>
        <v>0.0742727258134249</v>
      </c>
    </row>
    <row r="103" customFormat="false" ht="15" hidden="false" customHeight="false" outlineLevel="0" collapsed="false">
      <c r="A103" s="0" t="n">
        <f aca="false">ROW()-1</f>
        <v>102</v>
      </c>
      <c r="B103" s="0" t="str">
        <f aca="false">'Analysis Data'!A103</f>
        <v>Bethesda</v>
      </c>
      <c r="C103" s="5" t="n">
        <f aca="false">'Analysis Data'!B103</f>
        <v>40316</v>
      </c>
      <c r="D103" s="6" t="n">
        <f aca="false">'Analysis Data'!C103</f>
        <v>119.961981523964</v>
      </c>
      <c r="E103" s="15" t="n">
        <f aca="false">SUMPRODUCT('Final Model'!$B$45:$I$45,'Analysis Data'!N103:U103)</f>
        <v>198.300993201495</v>
      </c>
      <c r="F103" s="15" t="n">
        <f aca="false">D103-E103</f>
        <v>-78.3390116775312</v>
      </c>
      <c r="G103" s="13" t="n">
        <f aca="false">F103/'Final Model'!$B$21</f>
        <v>-1.59771126392947</v>
      </c>
      <c r="H103" s="6" t="n">
        <f aca="false">F103^2</f>
        <v>6137.00075061238</v>
      </c>
      <c r="J103" s="6" t="n">
        <f aca="false">A103</f>
        <v>102</v>
      </c>
      <c r="K103" s="13" t="n">
        <f aca="false">SMALL($G$2:$G$1387,J103)</f>
        <v>-1.43812576773895</v>
      </c>
      <c r="L103" s="18" t="n">
        <f aca="false">(J103-0.5)/1386</f>
        <v>0.0732323232323232</v>
      </c>
      <c r="M103" s="18" t="n">
        <f aca="false">_xlfn.NORM.DIST(K103,AVERAGE($G$2:$G$1387),_xlfn.STDEV.S($G$2:$G$1387),TRUE())</f>
        <v>0.0746830904200574</v>
      </c>
    </row>
    <row r="104" customFormat="false" ht="15" hidden="false" customHeight="false" outlineLevel="0" collapsed="false">
      <c r="A104" s="0" t="n">
        <f aca="false">ROW()-1</f>
        <v>103</v>
      </c>
      <c r="B104" s="0" t="str">
        <f aca="false">'Analysis Data'!A104</f>
        <v>Bethesda</v>
      </c>
      <c r="C104" s="5" t="n">
        <f aca="false">'Analysis Data'!B104</f>
        <v>40323</v>
      </c>
      <c r="D104" s="6" t="n">
        <f aca="false">'Analysis Data'!C104</f>
        <v>212.361991766641</v>
      </c>
      <c r="E104" s="15" t="n">
        <f aca="false">SUMPRODUCT('Final Model'!$B$45:$I$45,'Analysis Data'!N104:U104)</f>
        <v>200.665245143961</v>
      </c>
      <c r="F104" s="15" t="n">
        <f aca="false">D104-E104</f>
        <v>11.6967466226796</v>
      </c>
      <c r="G104" s="13" t="n">
        <f aca="false">F104/'Final Model'!$B$21</f>
        <v>0.238553224379574</v>
      </c>
      <c r="H104" s="6" t="n">
        <f aca="false">F104^2</f>
        <v>136.813881555167</v>
      </c>
      <c r="J104" s="6" t="n">
        <f aca="false">A104</f>
        <v>103</v>
      </c>
      <c r="K104" s="13" t="n">
        <f aca="false">SMALL($G$2:$G$1387,J104)</f>
        <v>-1.43634824164672</v>
      </c>
      <c r="L104" s="18" t="n">
        <f aca="false">(J104-0.5)/1386</f>
        <v>0.073953823953824</v>
      </c>
      <c r="M104" s="18" t="n">
        <f aca="false">_xlfn.NORM.DIST(K104,AVERAGE($G$2:$G$1387),_xlfn.STDEV.S($G$2:$G$1387),TRUE())</f>
        <v>0.0749348567154521</v>
      </c>
    </row>
    <row r="105" customFormat="false" ht="15" hidden="false" customHeight="false" outlineLevel="0" collapsed="false">
      <c r="A105" s="0" t="n">
        <f aca="false">ROW()-1</f>
        <v>104</v>
      </c>
      <c r="B105" s="0" t="str">
        <f aca="false">'Analysis Data'!A105</f>
        <v>Bethesda</v>
      </c>
      <c r="C105" s="5" t="n">
        <f aca="false">'Analysis Data'!B105</f>
        <v>40330</v>
      </c>
      <c r="D105" s="6" t="n">
        <f aca="false">'Analysis Data'!C105</f>
        <v>167.089370746412</v>
      </c>
      <c r="E105" s="15" t="n">
        <f aca="false">SUMPRODUCT('Final Model'!$B$45:$I$45,'Analysis Data'!N105:U105)</f>
        <v>198.300993201495</v>
      </c>
      <c r="F105" s="15" t="n">
        <f aca="false">D105-E105</f>
        <v>-31.2116224550826</v>
      </c>
      <c r="G105" s="13" t="n">
        <f aca="false">F105/'Final Model'!$B$21</f>
        <v>-0.636555908661049</v>
      </c>
      <c r="H105" s="6" t="n">
        <f aca="false">F105^2</f>
        <v>974.165376278618</v>
      </c>
      <c r="J105" s="6" t="n">
        <f aca="false">A105</f>
        <v>104</v>
      </c>
      <c r="K105" s="13" t="n">
        <f aca="false">SMALL($G$2:$G$1387,J105)</f>
        <v>-1.41505962503443</v>
      </c>
      <c r="L105" s="18" t="n">
        <f aca="false">(J105-0.5)/1386</f>
        <v>0.0746753246753247</v>
      </c>
      <c r="M105" s="18" t="n">
        <f aca="false">_xlfn.NORM.DIST(K105,AVERAGE($G$2:$G$1387),_xlfn.STDEV.S($G$2:$G$1387),TRUE())</f>
        <v>0.0780006571318317</v>
      </c>
    </row>
    <row r="106" customFormat="false" ht="15" hidden="false" customHeight="false" outlineLevel="0" collapsed="false">
      <c r="A106" s="0" t="n">
        <f aca="false">ROW()-1</f>
        <v>105</v>
      </c>
      <c r="B106" s="0" t="str">
        <f aca="false">'Analysis Data'!A106</f>
        <v>Bethesda</v>
      </c>
      <c r="C106" s="5" t="n">
        <f aca="false">'Analysis Data'!B106</f>
        <v>40337</v>
      </c>
      <c r="D106" s="6" t="n">
        <f aca="false">'Analysis Data'!C106</f>
        <v>293.52183413811</v>
      </c>
      <c r="E106" s="15" t="n">
        <f aca="false">SUMPRODUCT('Final Model'!$B$45:$I$45,'Analysis Data'!N106:U106)</f>
        <v>306.199461704554</v>
      </c>
      <c r="F106" s="15" t="n">
        <f aca="false">D106-E106</f>
        <v>-12.677627566444</v>
      </c>
      <c r="G106" s="13" t="n">
        <f aca="false">F106/'Final Model'!$B$21</f>
        <v>-0.258558129967061</v>
      </c>
      <c r="H106" s="6" t="n">
        <f aca="false">F106^2</f>
        <v>160.72224071346</v>
      </c>
      <c r="J106" s="6" t="n">
        <f aca="false">A106</f>
        <v>105</v>
      </c>
      <c r="K106" s="13" t="n">
        <f aca="false">SMALL($G$2:$G$1387,J106)</f>
        <v>-1.41279793686741</v>
      </c>
      <c r="L106" s="18" t="n">
        <f aca="false">(J106-0.5)/1386</f>
        <v>0.0753968253968254</v>
      </c>
      <c r="M106" s="18" t="n">
        <f aca="false">_xlfn.NORM.DIST(K106,AVERAGE($G$2:$G$1387),_xlfn.STDEV.S($G$2:$G$1387),TRUE())</f>
        <v>0.0783318784800229</v>
      </c>
    </row>
    <row r="107" customFormat="false" ht="15" hidden="false" customHeight="false" outlineLevel="0" collapsed="false">
      <c r="A107" s="0" t="n">
        <f aca="false">ROW()-1</f>
        <v>106</v>
      </c>
      <c r="B107" s="0" t="str">
        <f aca="false">'Analysis Data'!A107</f>
        <v>Bethesda</v>
      </c>
      <c r="C107" s="5" t="n">
        <f aca="false">'Analysis Data'!B107</f>
        <v>40344</v>
      </c>
      <c r="D107" s="6" t="n">
        <f aca="false">'Analysis Data'!C107</f>
        <v>207.820699711041</v>
      </c>
      <c r="E107" s="15" t="n">
        <f aca="false">SUMPRODUCT('Final Model'!$B$45:$I$45,'Analysis Data'!N107:U107)</f>
        <v>270.517979271535</v>
      </c>
      <c r="F107" s="15" t="n">
        <f aca="false">D107-E107</f>
        <v>-62.6972795604946</v>
      </c>
      <c r="G107" s="13" t="n">
        <f aca="false">F107/'Final Model'!$B$21</f>
        <v>-1.27870070896322</v>
      </c>
      <c r="H107" s="6" t="n">
        <f aca="false">F107^2</f>
        <v>3930.94886428681</v>
      </c>
      <c r="J107" s="6" t="n">
        <f aca="false">A107</f>
        <v>106</v>
      </c>
      <c r="K107" s="13" t="n">
        <f aca="false">SMALL($G$2:$G$1387,J107)</f>
        <v>-1.40942455677061</v>
      </c>
      <c r="L107" s="18" t="n">
        <f aca="false">(J107-0.5)/1386</f>
        <v>0.0761183261183261</v>
      </c>
      <c r="M107" s="18" t="n">
        <f aca="false">_xlfn.NORM.DIST(K107,AVERAGE($G$2:$G$1387),_xlfn.STDEV.S($G$2:$G$1387),TRUE())</f>
        <v>0.0788278859095339</v>
      </c>
    </row>
    <row r="108" customFormat="false" ht="15" hidden="false" customHeight="false" outlineLevel="0" collapsed="false">
      <c r="A108" s="0" t="n">
        <f aca="false">ROW()-1</f>
        <v>107</v>
      </c>
      <c r="B108" s="0" t="str">
        <f aca="false">'Analysis Data'!A108</f>
        <v>Bethesda</v>
      </c>
      <c r="C108" s="5" t="n">
        <f aca="false">'Analysis Data'!B108</f>
        <v>40351</v>
      </c>
      <c r="D108" s="6" t="n">
        <f aca="false">'Analysis Data'!C108</f>
        <v>273.708256540645</v>
      </c>
      <c r="E108" s="15" t="n">
        <f aca="false">SUMPRODUCT('Final Model'!$B$45:$I$45,'Analysis Data'!N108:U108)</f>
        <v>270.517979271535</v>
      </c>
      <c r="F108" s="15" t="n">
        <f aca="false">D108-E108</f>
        <v>3.19027726910963</v>
      </c>
      <c r="G108" s="13" t="n">
        <f aca="false">F108/'Final Model'!$B$21</f>
        <v>0.06506518040968</v>
      </c>
      <c r="H108" s="6" t="n">
        <f aca="false">F108^2</f>
        <v>10.1778690537976</v>
      </c>
      <c r="J108" s="6" t="n">
        <f aca="false">A108</f>
        <v>107</v>
      </c>
      <c r="K108" s="13" t="n">
        <f aca="false">SMALL($G$2:$G$1387,J108)</f>
        <v>-1.40593248107153</v>
      </c>
      <c r="L108" s="18" t="n">
        <f aca="false">(J108-0.5)/1386</f>
        <v>0.0768398268398268</v>
      </c>
      <c r="M108" s="18" t="n">
        <f aca="false">_xlfn.NORM.DIST(K108,AVERAGE($G$2:$G$1387),_xlfn.STDEV.S($G$2:$G$1387),TRUE())</f>
        <v>0.0793438487035047</v>
      </c>
    </row>
    <row r="109" customFormat="false" ht="15" hidden="false" customHeight="false" outlineLevel="0" collapsed="false">
      <c r="A109" s="0" t="n">
        <f aca="false">ROW()-1</f>
        <v>108</v>
      </c>
      <c r="B109" s="0" t="str">
        <f aca="false">'Analysis Data'!A109</f>
        <v>Bethesda</v>
      </c>
      <c r="C109" s="5" t="n">
        <f aca="false">'Analysis Data'!B109</f>
        <v>40358</v>
      </c>
      <c r="D109" s="6" t="n">
        <f aca="false">'Analysis Data'!C109</f>
        <v>252.250376244991</v>
      </c>
      <c r="E109" s="15" t="n">
        <f aca="false">SUMPRODUCT('Final Model'!$B$45:$I$45,'Analysis Data'!N109:U109)</f>
        <v>272.816557559353</v>
      </c>
      <c r="F109" s="15" t="n">
        <f aca="false">D109-E109</f>
        <v>-20.5661813143621</v>
      </c>
      <c r="G109" s="13" t="n">
        <f aca="false">F109/'Final Model'!$B$21</f>
        <v>-0.41944388674738</v>
      </c>
      <c r="H109" s="6" t="n">
        <f aca="false">F109^2</f>
        <v>422.967813855217</v>
      </c>
      <c r="J109" s="6" t="n">
        <f aca="false">A109</f>
        <v>108</v>
      </c>
      <c r="K109" s="13" t="n">
        <f aca="false">SMALL($G$2:$G$1387,J109)</f>
        <v>-1.40175468950087</v>
      </c>
      <c r="L109" s="18" t="n">
        <f aca="false">(J109-0.5)/1386</f>
        <v>0.0775613275613276</v>
      </c>
      <c r="M109" s="18" t="n">
        <f aca="false">_xlfn.NORM.DIST(K109,AVERAGE($G$2:$G$1387),_xlfn.STDEV.S($G$2:$G$1387),TRUE())</f>
        <v>0.0799644815721388</v>
      </c>
    </row>
    <row r="110" customFormat="false" ht="15" hidden="false" customHeight="false" outlineLevel="0" collapsed="false">
      <c r="A110" s="0" t="n">
        <f aca="false">ROW()-1</f>
        <v>109</v>
      </c>
      <c r="B110" s="0" t="str">
        <f aca="false">'Analysis Data'!A110</f>
        <v>Bethesda</v>
      </c>
      <c r="C110" s="5" t="n">
        <f aca="false">'Analysis Data'!B110</f>
        <v>40365</v>
      </c>
      <c r="D110" s="6" t="n">
        <f aca="false">'Analysis Data'!C110</f>
        <v>299.635685513023</v>
      </c>
      <c r="E110" s="15" t="n">
        <f aca="false">SUMPRODUCT('Final Model'!$B$45:$I$45,'Analysis Data'!N110:U110)</f>
        <v>281.216264895411</v>
      </c>
      <c r="F110" s="15" t="n">
        <f aca="false">D110-E110</f>
        <v>18.4194206176116</v>
      </c>
      <c r="G110" s="13" t="n">
        <f aca="false">F110/'Final Model'!$B$21</f>
        <v>0.37566105527284</v>
      </c>
      <c r="H110" s="6" t="n">
        <f aca="false">F110^2</f>
        <v>339.275055888495</v>
      </c>
      <c r="J110" s="6" t="n">
        <f aca="false">A110</f>
        <v>109</v>
      </c>
      <c r="K110" s="13" t="n">
        <f aca="false">SMALL($G$2:$G$1387,J110)</f>
        <v>-1.39600379875382</v>
      </c>
      <c r="L110" s="18" t="n">
        <f aca="false">(J110-0.5)/1386</f>
        <v>0.0782828282828283</v>
      </c>
      <c r="M110" s="18" t="n">
        <f aca="false">_xlfn.NORM.DIST(K110,AVERAGE($G$2:$G$1387),_xlfn.STDEV.S($G$2:$G$1387),TRUE())</f>
        <v>0.080824801639967</v>
      </c>
    </row>
    <row r="111" customFormat="false" ht="15" hidden="false" customHeight="false" outlineLevel="0" collapsed="false">
      <c r="A111" s="0" t="n">
        <f aca="false">ROW()-1</f>
        <v>110</v>
      </c>
      <c r="B111" s="0" t="str">
        <f aca="false">'Analysis Data'!A111</f>
        <v>Bethesda</v>
      </c>
      <c r="C111" s="5" t="n">
        <f aca="false">'Analysis Data'!B111</f>
        <v>40372</v>
      </c>
      <c r="D111" s="6" t="n">
        <f aca="false">'Analysis Data'!C111</f>
        <v>305.56784938342</v>
      </c>
      <c r="E111" s="15" t="n">
        <f aca="false">SUMPRODUCT('Final Model'!$B$45:$I$45,'Analysis Data'!N111:U111)</f>
        <v>281.216264895411</v>
      </c>
      <c r="F111" s="15" t="n">
        <f aca="false">D111-E111</f>
        <v>24.3515844880086</v>
      </c>
      <c r="G111" s="13" t="n">
        <f aca="false">F111/'Final Model'!$B$21</f>
        <v>0.49664656213911</v>
      </c>
      <c r="H111" s="6" t="n">
        <f aca="false">F111^2</f>
        <v>592.999667076621</v>
      </c>
      <c r="J111" s="6" t="n">
        <f aca="false">A111</f>
        <v>110</v>
      </c>
      <c r="K111" s="13" t="n">
        <f aca="false">SMALL($G$2:$G$1387,J111)</f>
        <v>-1.3952187858852</v>
      </c>
      <c r="L111" s="18" t="n">
        <f aca="false">(J111-0.5)/1386</f>
        <v>0.079004329004329</v>
      </c>
      <c r="M111" s="18" t="n">
        <f aca="false">_xlfn.NORM.DIST(K111,AVERAGE($G$2:$G$1387),_xlfn.STDEV.S($G$2:$G$1387),TRUE())</f>
        <v>0.0809427778010567</v>
      </c>
    </row>
    <row r="112" customFormat="false" ht="15" hidden="false" customHeight="false" outlineLevel="0" collapsed="false">
      <c r="A112" s="0" t="n">
        <f aca="false">ROW()-1</f>
        <v>111</v>
      </c>
      <c r="B112" s="0" t="str">
        <f aca="false">'Analysis Data'!A112</f>
        <v>Cedar Center</v>
      </c>
      <c r="C112" s="5" t="n">
        <f aca="false">'Analysis Data'!B112</f>
        <v>40302</v>
      </c>
      <c r="D112" s="6" t="n">
        <f aca="false">'Analysis Data'!C112</f>
        <v>170.702524095149</v>
      </c>
      <c r="E112" s="15" t="n">
        <f aca="false">SUMPRODUCT('Final Model'!$B$45:$I$45,'Analysis Data'!N112:U112)</f>
        <v>190.420153385919</v>
      </c>
      <c r="F112" s="15" t="n">
        <f aca="false">D112-E112</f>
        <v>-19.7176292907695</v>
      </c>
      <c r="G112" s="13" t="n">
        <f aca="false">F112/'Final Model'!$B$21</f>
        <v>-0.402137807731415</v>
      </c>
      <c r="H112" s="6" t="n">
        <f aca="false">F112^2</f>
        <v>388.784904848213</v>
      </c>
      <c r="J112" s="6" t="n">
        <f aca="false">A112</f>
        <v>111</v>
      </c>
      <c r="K112" s="13" t="n">
        <f aca="false">SMALL($G$2:$G$1387,J112)</f>
        <v>-1.39203455958043</v>
      </c>
      <c r="L112" s="18" t="n">
        <f aca="false">(J112-0.5)/1386</f>
        <v>0.0797258297258297</v>
      </c>
      <c r="M112" s="18" t="n">
        <f aca="false">_xlfn.NORM.DIST(K112,AVERAGE($G$2:$G$1387),_xlfn.STDEV.S($G$2:$G$1387),TRUE())</f>
        <v>0.0814226545587945</v>
      </c>
    </row>
    <row r="113" customFormat="false" ht="15" hidden="false" customHeight="false" outlineLevel="0" collapsed="false">
      <c r="A113" s="0" t="n">
        <f aca="false">ROW()-1</f>
        <v>112</v>
      </c>
      <c r="B113" s="0" t="str">
        <f aca="false">'Analysis Data'!A113</f>
        <v>Cedar Center</v>
      </c>
      <c r="C113" s="5" t="n">
        <f aca="false">'Analysis Data'!B113</f>
        <v>40309</v>
      </c>
      <c r="D113" s="6" t="n">
        <f aca="false">'Analysis Data'!C113</f>
        <v>115.687997802223</v>
      </c>
      <c r="E113" s="15" t="n">
        <f aca="false">SUMPRODUCT('Final Model'!$B$45:$I$45,'Analysis Data'!N113:U113)</f>
        <v>190.420153385919</v>
      </c>
      <c r="F113" s="15" t="n">
        <f aca="false">D113-E113</f>
        <v>-74.7321555836957</v>
      </c>
      <c r="G113" s="13" t="n">
        <f aca="false">F113/'Final Model'!$B$21</f>
        <v>-1.52415002687666</v>
      </c>
      <c r="H113" s="6" t="n">
        <f aca="false">F113^2</f>
        <v>5584.89507818569</v>
      </c>
      <c r="J113" s="6" t="n">
        <f aca="false">A113</f>
        <v>112</v>
      </c>
      <c r="K113" s="13" t="n">
        <f aca="false">SMALL($G$2:$G$1387,J113)</f>
        <v>-1.38792545309878</v>
      </c>
      <c r="L113" s="18" t="n">
        <f aca="false">(J113-0.5)/1386</f>
        <v>0.0804473304473305</v>
      </c>
      <c r="M113" s="18" t="n">
        <f aca="false">_xlfn.NORM.DIST(K113,AVERAGE($G$2:$G$1387),_xlfn.STDEV.S($G$2:$G$1387),TRUE())</f>
        <v>0.0820450820026708</v>
      </c>
    </row>
    <row r="114" customFormat="false" ht="15" hidden="false" customHeight="false" outlineLevel="0" collapsed="false">
      <c r="A114" s="0" t="n">
        <f aca="false">ROW()-1</f>
        <v>113</v>
      </c>
      <c r="B114" s="0" t="str">
        <f aca="false">'Analysis Data'!A114</f>
        <v>Cedar Center</v>
      </c>
      <c r="C114" s="5" t="n">
        <f aca="false">'Analysis Data'!B114</f>
        <v>40316</v>
      </c>
      <c r="D114" s="6" t="n">
        <f aca="false">'Analysis Data'!C114</f>
        <v>162.40568885032</v>
      </c>
      <c r="E114" s="15" t="n">
        <f aca="false">SUMPRODUCT('Final Model'!$B$45:$I$45,'Analysis Data'!N114:U114)</f>
        <v>196.72482522514</v>
      </c>
      <c r="F114" s="15" t="n">
        <f aca="false">D114-E114</f>
        <v>-34.31913637482</v>
      </c>
      <c r="G114" s="13" t="n">
        <f aca="false">F114/'Final Model'!$B$21</f>
        <v>-0.699933144166894</v>
      </c>
      <c r="H114" s="6" t="n">
        <f aca="false">F114^2</f>
        <v>1177.80312151349</v>
      </c>
      <c r="J114" s="6" t="n">
        <f aca="false">A114</f>
        <v>113</v>
      </c>
      <c r="K114" s="13" t="n">
        <f aca="false">SMALL($G$2:$G$1387,J114)</f>
        <v>-1.38586249752723</v>
      </c>
      <c r="L114" s="18" t="n">
        <f aca="false">(J114-0.5)/1386</f>
        <v>0.0811688311688312</v>
      </c>
      <c r="M114" s="18" t="n">
        <f aca="false">_xlfn.NORM.DIST(K114,AVERAGE($G$2:$G$1387),_xlfn.STDEV.S($G$2:$G$1387),TRUE())</f>
        <v>0.0823589169447452</v>
      </c>
    </row>
    <row r="115" customFormat="false" ht="15" hidden="false" customHeight="false" outlineLevel="0" collapsed="false">
      <c r="A115" s="0" t="n">
        <f aca="false">ROW()-1</f>
        <v>114</v>
      </c>
      <c r="B115" s="0" t="str">
        <f aca="false">'Analysis Data'!A115</f>
        <v>Cedar Center</v>
      </c>
      <c r="C115" s="5" t="n">
        <f aca="false">'Analysis Data'!B115</f>
        <v>40323</v>
      </c>
      <c r="D115" s="6" t="n">
        <f aca="false">'Analysis Data'!C115</f>
        <v>257.487773031381</v>
      </c>
      <c r="E115" s="15" t="n">
        <f aca="false">SUMPRODUCT('Final Model'!$B$45:$I$45,'Analysis Data'!N115:U115)</f>
        <v>193.217851515263</v>
      </c>
      <c r="F115" s="15" t="n">
        <f aca="false">D115-E115</f>
        <v>64.2699215161181</v>
      </c>
      <c r="G115" s="13" t="n">
        <f aca="false">F115/'Final Model'!$B$21</f>
        <v>1.3107744830998</v>
      </c>
      <c r="H115" s="6" t="n">
        <f aca="false">F115^2</f>
        <v>4130.62281168799</v>
      </c>
      <c r="J115" s="6" t="n">
        <f aca="false">A115</f>
        <v>114</v>
      </c>
      <c r="K115" s="13" t="n">
        <f aca="false">SMALL($G$2:$G$1387,J115)</f>
        <v>-1.37886805975684</v>
      </c>
      <c r="L115" s="18" t="n">
        <f aca="false">(J115-0.5)/1386</f>
        <v>0.0818903318903319</v>
      </c>
      <c r="M115" s="18" t="n">
        <f aca="false">_xlfn.NORM.DIST(K115,AVERAGE($G$2:$G$1387),_xlfn.STDEV.S($G$2:$G$1387),TRUE())</f>
        <v>0.0834297014671388</v>
      </c>
    </row>
    <row r="116" customFormat="false" ht="15" hidden="false" customHeight="false" outlineLevel="0" collapsed="false">
      <c r="A116" s="0" t="n">
        <f aca="false">ROW()-1</f>
        <v>115</v>
      </c>
      <c r="B116" s="0" t="str">
        <f aca="false">'Analysis Data'!A116</f>
        <v>Cedar Center</v>
      </c>
      <c r="C116" s="5" t="n">
        <f aca="false">'Analysis Data'!B116</f>
        <v>40330</v>
      </c>
      <c r="D116" s="6" t="n">
        <f aca="false">'Analysis Data'!C116</f>
        <v>248.690656081905</v>
      </c>
      <c r="E116" s="15" t="n">
        <f aca="false">SUMPRODUCT('Final Model'!$B$45:$I$45,'Analysis Data'!N116:U116)</f>
        <v>193.217851515263</v>
      </c>
      <c r="F116" s="15" t="n">
        <f aca="false">D116-E116</f>
        <v>55.4728045666425</v>
      </c>
      <c r="G116" s="13" t="n">
        <f aca="false">F116/'Final Model'!$B$21</f>
        <v>1.13135872919498</v>
      </c>
      <c r="H116" s="6" t="n">
        <f aca="false">F116^2</f>
        <v>3077.23204648891</v>
      </c>
      <c r="J116" s="6" t="n">
        <f aca="false">A116</f>
        <v>115</v>
      </c>
      <c r="K116" s="13" t="n">
        <f aca="false">SMALL($G$2:$G$1387,J116)</f>
        <v>-1.37815644466214</v>
      </c>
      <c r="L116" s="18" t="n">
        <f aca="false">(J116-0.5)/1386</f>
        <v>0.0826118326118326</v>
      </c>
      <c r="M116" s="18" t="n">
        <f aca="false">_xlfn.NORM.DIST(K116,AVERAGE($G$2:$G$1387),_xlfn.STDEV.S($G$2:$G$1387),TRUE())</f>
        <v>0.0835392269821971</v>
      </c>
    </row>
    <row r="117" customFormat="false" ht="15" hidden="false" customHeight="false" outlineLevel="0" collapsed="false">
      <c r="A117" s="0" t="n">
        <f aca="false">ROW()-1</f>
        <v>116</v>
      </c>
      <c r="B117" s="0" t="str">
        <f aca="false">'Analysis Data'!A117</f>
        <v>Cedar Center</v>
      </c>
      <c r="C117" s="5" t="n">
        <f aca="false">'Analysis Data'!B117</f>
        <v>40337</v>
      </c>
      <c r="D117" s="6" t="n">
        <f aca="false">'Analysis Data'!C117</f>
        <v>151.293411966053</v>
      </c>
      <c r="E117" s="15" t="n">
        <f aca="false">SUMPRODUCT('Final Model'!$B$45:$I$45,'Analysis Data'!N117:U117)</f>
        <v>193.769510302574</v>
      </c>
      <c r="F117" s="15" t="n">
        <f aca="false">D117-E117</f>
        <v>-42.4760983365206</v>
      </c>
      <c r="G117" s="13" t="n">
        <f aca="false">F117/'Final Model'!$B$21</f>
        <v>-0.866293042339967</v>
      </c>
      <c r="H117" s="6" t="n">
        <f aca="false">F117^2</f>
        <v>1804.21892989377</v>
      </c>
      <c r="J117" s="6" t="n">
        <f aca="false">A117</f>
        <v>116</v>
      </c>
      <c r="K117" s="13" t="n">
        <f aca="false">SMALL($G$2:$G$1387,J117)</f>
        <v>-1.37796567116703</v>
      </c>
      <c r="L117" s="18" t="n">
        <f aca="false">(J117-0.5)/1386</f>
        <v>0.0833333333333333</v>
      </c>
      <c r="M117" s="18" t="n">
        <f aca="false">_xlfn.NORM.DIST(K117,AVERAGE($G$2:$G$1387),_xlfn.STDEV.S($G$2:$G$1387),TRUE())</f>
        <v>0.0835686075124728</v>
      </c>
    </row>
    <row r="118" customFormat="false" ht="15" hidden="false" customHeight="false" outlineLevel="0" collapsed="false">
      <c r="A118" s="0" t="n">
        <f aca="false">ROW()-1</f>
        <v>117</v>
      </c>
      <c r="B118" s="0" t="str">
        <f aca="false">'Analysis Data'!A118</f>
        <v>Cedar Center</v>
      </c>
      <c r="C118" s="5" t="n">
        <f aca="false">'Analysis Data'!B118</f>
        <v>40344</v>
      </c>
      <c r="D118" s="6" t="n">
        <f aca="false">'Analysis Data'!C118</f>
        <v>155.605048023488</v>
      </c>
      <c r="E118" s="15" t="n">
        <f aca="false">SUMPRODUCT('Final Model'!$B$45:$I$45,'Analysis Data'!N118:U118)</f>
        <v>189.533996734249</v>
      </c>
      <c r="F118" s="15" t="n">
        <f aca="false">D118-E118</f>
        <v>-33.9289487107615</v>
      </c>
      <c r="G118" s="13" t="n">
        <f aca="false">F118/'Final Model'!$B$21</f>
        <v>-0.691975330906767</v>
      </c>
      <c r="H118" s="6" t="n">
        <f aca="false">F118^2</f>
        <v>1151.17356061748</v>
      </c>
      <c r="J118" s="6" t="n">
        <f aca="false">A118</f>
        <v>117</v>
      </c>
      <c r="K118" s="13" t="n">
        <f aca="false">SMALL($G$2:$G$1387,J118)</f>
        <v>-1.37696815918571</v>
      </c>
      <c r="L118" s="18" t="n">
        <f aca="false">(J118-0.5)/1386</f>
        <v>0.0840548340548341</v>
      </c>
      <c r="M118" s="18" t="n">
        <f aca="false">_xlfn.NORM.DIST(K118,AVERAGE($G$2:$G$1387),_xlfn.STDEV.S($G$2:$G$1387),TRUE())</f>
        <v>0.0837223581922241</v>
      </c>
    </row>
    <row r="119" customFormat="false" ht="15" hidden="false" customHeight="false" outlineLevel="0" collapsed="false">
      <c r="A119" s="0" t="n">
        <f aca="false">ROW()-1</f>
        <v>118</v>
      </c>
      <c r="B119" s="0" t="str">
        <f aca="false">'Analysis Data'!A119</f>
        <v>Cedar Center</v>
      </c>
      <c r="C119" s="5" t="n">
        <f aca="false">'Analysis Data'!B119</f>
        <v>40351</v>
      </c>
      <c r="D119" s="6" t="n">
        <f aca="false">'Analysis Data'!C119</f>
        <v>110.560198744382</v>
      </c>
      <c r="E119" s="15" t="n">
        <f aca="false">SUMPRODUCT('Final Model'!$B$45:$I$45,'Analysis Data'!N119:U119)</f>
        <v>191.470932014756</v>
      </c>
      <c r="F119" s="15" t="n">
        <f aca="false">D119-E119</f>
        <v>-80.9107332703741</v>
      </c>
      <c r="G119" s="13" t="n">
        <f aca="false">F119/'Final Model'!$B$21</f>
        <v>-1.65016110301461</v>
      </c>
      <c r="H119" s="6" t="n">
        <f aca="false">F119^2</f>
        <v>6546.54675834963</v>
      </c>
      <c r="J119" s="6" t="n">
        <f aca="false">A119</f>
        <v>118</v>
      </c>
      <c r="K119" s="13" t="n">
        <f aca="false">SMALL($G$2:$G$1387,J119)</f>
        <v>-1.37380474551834</v>
      </c>
      <c r="L119" s="18" t="n">
        <f aca="false">(J119-0.5)/1386</f>
        <v>0.0847763347763348</v>
      </c>
      <c r="M119" s="18" t="n">
        <f aca="false">_xlfn.NORM.DIST(K119,AVERAGE($G$2:$G$1387),_xlfn.STDEV.S($G$2:$G$1387),TRUE())</f>
        <v>0.0842113538730917</v>
      </c>
    </row>
    <row r="120" customFormat="false" ht="15" hidden="false" customHeight="false" outlineLevel="0" collapsed="false">
      <c r="A120" s="0" t="n">
        <f aca="false">ROW()-1</f>
        <v>119</v>
      </c>
      <c r="B120" s="0" t="str">
        <f aca="false">'Analysis Data'!A120</f>
        <v>Cedar Center</v>
      </c>
      <c r="C120" s="5" t="n">
        <f aca="false">'Analysis Data'!B120</f>
        <v>40358</v>
      </c>
      <c r="D120" s="6" t="n">
        <f aca="false">'Analysis Data'!C120</f>
        <v>233.259203013615</v>
      </c>
      <c r="E120" s="15" t="n">
        <f aca="false">SUMPRODUCT('Final Model'!$B$45:$I$45,'Analysis Data'!N120:U120)</f>
        <v>189.019115184715</v>
      </c>
      <c r="F120" s="15" t="n">
        <f aca="false">D120-E120</f>
        <v>44.2400878289003</v>
      </c>
      <c r="G120" s="13" t="n">
        <f aca="false">F120/'Final Model'!$B$21</f>
        <v>0.902269318030417</v>
      </c>
      <c r="H120" s="6" t="n">
        <f aca="false">F120^2</f>
        <v>1957.18537110881</v>
      </c>
      <c r="J120" s="6" t="n">
        <f aca="false">A120</f>
        <v>119</v>
      </c>
      <c r="K120" s="13" t="n">
        <f aca="false">SMALL($G$2:$G$1387,J120)</f>
        <v>-1.36901159359947</v>
      </c>
      <c r="L120" s="18" t="n">
        <f aca="false">(J120-0.5)/1386</f>
        <v>0.0854978354978355</v>
      </c>
      <c r="M120" s="18" t="n">
        <f aca="false">_xlfn.NORM.DIST(K120,AVERAGE($G$2:$G$1387),_xlfn.STDEV.S($G$2:$G$1387),TRUE())</f>
        <v>0.084956352332328</v>
      </c>
    </row>
    <row r="121" customFormat="false" ht="15" hidden="false" customHeight="false" outlineLevel="0" collapsed="false">
      <c r="A121" s="0" t="n">
        <f aca="false">ROW()-1</f>
        <v>120</v>
      </c>
      <c r="B121" s="0" t="str">
        <f aca="false">'Analysis Data'!A121</f>
        <v>Cedar Center</v>
      </c>
      <c r="C121" s="5" t="n">
        <f aca="false">'Analysis Data'!B121</f>
        <v>40365</v>
      </c>
      <c r="D121" s="6" t="n">
        <f aca="false">'Analysis Data'!C121</f>
        <v>228.325041470496</v>
      </c>
      <c r="E121" s="15" t="n">
        <f aca="false">SUMPRODUCT('Final Model'!$B$45:$I$45,'Analysis Data'!N121:U121)</f>
        <v>199.929700101569</v>
      </c>
      <c r="F121" s="15" t="n">
        <f aca="false">D121-E121</f>
        <v>28.3953413689273</v>
      </c>
      <c r="G121" s="13" t="n">
        <f aca="false">F121/'Final Model'!$B$21</f>
        <v>0.579118318916317</v>
      </c>
      <c r="H121" s="6" t="n">
        <f aca="false">F121^2</f>
        <v>806.295411457915</v>
      </c>
      <c r="J121" s="6" t="n">
        <f aca="false">A121</f>
        <v>120</v>
      </c>
      <c r="K121" s="13" t="n">
        <f aca="false">SMALL($G$2:$G$1387,J121)</f>
        <v>-1.36344533953477</v>
      </c>
      <c r="L121" s="18" t="n">
        <f aca="false">(J121-0.5)/1386</f>
        <v>0.0862193362193362</v>
      </c>
      <c r="M121" s="18" t="n">
        <f aca="false">_xlfn.NORM.DIST(K121,AVERAGE($G$2:$G$1387),_xlfn.STDEV.S($G$2:$G$1387),TRUE())</f>
        <v>0.0858277013548047</v>
      </c>
    </row>
    <row r="122" customFormat="false" ht="15" hidden="false" customHeight="false" outlineLevel="0" collapsed="false">
      <c r="A122" s="0" t="n">
        <f aca="false">ROW()-1</f>
        <v>121</v>
      </c>
      <c r="B122" s="0" t="str">
        <f aca="false">'Analysis Data'!A122</f>
        <v>Cedar Center</v>
      </c>
      <c r="C122" s="5" t="n">
        <f aca="false">'Analysis Data'!B122</f>
        <v>40372</v>
      </c>
      <c r="D122" s="6" t="n">
        <f aca="false">'Analysis Data'!C122</f>
        <v>221.791053433141</v>
      </c>
      <c r="E122" s="15" t="n">
        <f aca="false">SUMPRODUCT('Final Model'!$B$45:$I$45,'Analysis Data'!N122:U122)</f>
        <v>199.929700101569</v>
      </c>
      <c r="F122" s="15" t="n">
        <f aca="false">D122-E122</f>
        <v>21.8613533315725</v>
      </c>
      <c r="G122" s="13" t="n">
        <f aca="false">F122/'Final Model'!$B$21</f>
        <v>0.445858707107143</v>
      </c>
      <c r="H122" s="6" t="n">
        <f aca="false">F122^2</f>
        <v>477.918769487857</v>
      </c>
      <c r="J122" s="6" t="n">
        <f aca="false">A122</f>
        <v>121</v>
      </c>
      <c r="K122" s="13" t="n">
        <f aca="false">SMALL($G$2:$G$1387,J122)</f>
        <v>-1.35342884149433</v>
      </c>
      <c r="L122" s="18" t="n">
        <f aca="false">(J122-0.5)/1386</f>
        <v>0.0869408369408369</v>
      </c>
      <c r="M122" s="18" t="n">
        <f aca="false">_xlfn.NORM.DIST(K122,AVERAGE($G$2:$G$1387),_xlfn.STDEV.S($G$2:$G$1387),TRUE())</f>
        <v>0.087412519051793</v>
      </c>
    </row>
    <row r="123" customFormat="false" ht="15" hidden="false" customHeight="false" outlineLevel="0" collapsed="false">
      <c r="A123" s="0" t="n">
        <f aca="false">ROW()-1</f>
        <v>122</v>
      </c>
      <c r="B123" s="0" t="str">
        <f aca="false">'Analysis Data'!A123</f>
        <v>Columbus</v>
      </c>
      <c r="C123" s="5" t="n">
        <f aca="false">'Analysis Data'!B123</f>
        <v>40302</v>
      </c>
      <c r="D123" s="6" t="n">
        <f aca="false">'Analysis Data'!C123</f>
        <v>326.964404243629</v>
      </c>
      <c r="E123" s="15" t="n">
        <f aca="false">SUMPRODUCT('Final Model'!$B$45:$I$45,'Analysis Data'!N123:U123)</f>
        <v>260.24361328428</v>
      </c>
      <c r="F123" s="15" t="n">
        <f aca="false">D123-E123</f>
        <v>66.720790959349</v>
      </c>
      <c r="G123" s="13" t="n">
        <f aca="false">F123/'Final Model'!$B$21</f>
        <v>1.36075956246216</v>
      </c>
      <c r="H123" s="6" t="n">
        <f aca="false">F123^2</f>
        <v>4451.66394624115</v>
      </c>
      <c r="J123" s="6" t="n">
        <f aca="false">A123</f>
        <v>122</v>
      </c>
      <c r="K123" s="13" t="n">
        <f aca="false">SMALL($G$2:$G$1387,J123)</f>
        <v>-1.3457779655401</v>
      </c>
      <c r="L123" s="18" t="n">
        <f aca="false">(J123-0.5)/1386</f>
        <v>0.0876623376623377</v>
      </c>
      <c r="M123" s="18" t="n">
        <f aca="false">_xlfn.NORM.DIST(K123,AVERAGE($G$2:$G$1387),_xlfn.STDEV.S($G$2:$G$1387),TRUE())</f>
        <v>0.0886376848574765</v>
      </c>
    </row>
    <row r="124" customFormat="false" ht="15" hidden="false" customHeight="false" outlineLevel="0" collapsed="false">
      <c r="A124" s="0" t="n">
        <f aca="false">ROW()-1</f>
        <v>123</v>
      </c>
      <c r="B124" s="0" t="str">
        <f aca="false">'Analysis Data'!A124</f>
        <v>Columbus</v>
      </c>
      <c r="C124" s="5" t="n">
        <f aca="false">'Analysis Data'!B124</f>
        <v>40309</v>
      </c>
      <c r="D124" s="6" t="n">
        <f aca="false">'Analysis Data'!C124</f>
        <v>172.136021234021</v>
      </c>
      <c r="E124" s="15" t="n">
        <f aca="false">SUMPRODUCT('Final Model'!$B$45:$I$45,'Analysis Data'!N124:U124)</f>
        <v>260.046592298269</v>
      </c>
      <c r="F124" s="15" t="n">
        <f aca="false">D124-E124</f>
        <v>-87.9105710642484</v>
      </c>
      <c r="G124" s="13" t="n">
        <f aca="false">F124/'Final Model'!$B$21</f>
        <v>-1.79292164402052</v>
      </c>
      <c r="H124" s="6" t="n">
        <f aca="false">F124^2</f>
        <v>7728.26850484228</v>
      </c>
      <c r="J124" s="6" t="n">
        <f aca="false">A124</f>
        <v>123</v>
      </c>
      <c r="K124" s="13" t="n">
        <f aca="false">SMALL($G$2:$G$1387,J124)</f>
        <v>-1.34356031097925</v>
      </c>
      <c r="L124" s="18" t="n">
        <f aca="false">(J124-0.5)/1386</f>
        <v>0.0883838383838384</v>
      </c>
      <c r="M124" s="18" t="n">
        <f aca="false">_xlfn.NORM.DIST(K124,AVERAGE($G$2:$G$1387),_xlfn.STDEV.S($G$2:$G$1387),TRUE())</f>
        <v>0.0889951866869524</v>
      </c>
    </row>
    <row r="125" customFormat="false" ht="15" hidden="false" customHeight="false" outlineLevel="0" collapsed="false">
      <c r="A125" s="0" t="n">
        <f aca="false">ROW()-1</f>
        <v>124</v>
      </c>
      <c r="B125" s="0" t="str">
        <f aca="false">'Analysis Data'!A125</f>
        <v>Columbus</v>
      </c>
      <c r="C125" s="5" t="n">
        <f aca="false">'Analysis Data'!B125</f>
        <v>40316</v>
      </c>
      <c r="D125" s="6" t="n">
        <f aca="false">'Analysis Data'!C125</f>
        <v>209.298987546324</v>
      </c>
      <c r="E125" s="15" t="n">
        <f aca="false">SUMPRODUCT('Final Model'!$B$45:$I$45,'Analysis Data'!N125:U125)</f>
        <v>196.72482522514</v>
      </c>
      <c r="F125" s="15" t="n">
        <f aca="false">D125-E125</f>
        <v>12.574162321184</v>
      </c>
      <c r="G125" s="13" t="n">
        <f aca="false">F125/'Final Model'!$B$21</f>
        <v>0.256447973300068</v>
      </c>
      <c r="H125" s="6" t="n">
        <f aca="false">F125^2</f>
        <v>158.109558079484</v>
      </c>
      <c r="J125" s="6" t="n">
        <f aca="false">A125</f>
        <v>124</v>
      </c>
      <c r="K125" s="13" t="n">
        <f aca="false">SMALL($G$2:$G$1387,J125)</f>
        <v>-1.33905727915185</v>
      </c>
      <c r="L125" s="18" t="n">
        <f aca="false">(J125-0.5)/1386</f>
        <v>0.0891053391053391</v>
      </c>
      <c r="M125" s="18" t="n">
        <f aca="false">_xlfn.NORM.DIST(K125,AVERAGE($G$2:$G$1387),_xlfn.STDEV.S($G$2:$G$1387),TRUE())</f>
        <v>0.0897244082419944</v>
      </c>
    </row>
    <row r="126" customFormat="false" ht="15" hidden="false" customHeight="false" outlineLevel="0" collapsed="false">
      <c r="A126" s="0" t="n">
        <f aca="false">ROW()-1</f>
        <v>125</v>
      </c>
      <c r="B126" s="0" t="str">
        <f aca="false">'Analysis Data'!A126</f>
        <v>Columbus</v>
      </c>
      <c r="C126" s="5" t="n">
        <f aca="false">'Analysis Data'!B126</f>
        <v>40323</v>
      </c>
      <c r="D126" s="6" t="n">
        <f aca="false">'Analysis Data'!C126</f>
        <v>158.701989658641</v>
      </c>
      <c r="E126" s="15" t="n">
        <f aca="false">SUMPRODUCT('Final Model'!$B$45:$I$45,'Analysis Data'!N126:U126)</f>
        <v>193.686761484477</v>
      </c>
      <c r="F126" s="15" t="n">
        <f aca="false">D126-E126</f>
        <v>-34.9847718258358</v>
      </c>
      <c r="G126" s="13" t="n">
        <f aca="false">F126/'Final Model'!$B$21</f>
        <v>-0.713508669757342</v>
      </c>
      <c r="H126" s="6" t="n">
        <f aca="false">F126^2</f>
        <v>1223.93425970579</v>
      </c>
      <c r="J126" s="6" t="n">
        <f aca="false">A126</f>
        <v>125</v>
      </c>
      <c r="K126" s="13" t="n">
        <f aca="false">SMALL($G$2:$G$1387,J126)</f>
        <v>-1.33494081339953</v>
      </c>
      <c r="L126" s="18" t="n">
        <f aca="false">(J126-0.5)/1386</f>
        <v>0.0898268398268398</v>
      </c>
      <c r="M126" s="18" t="n">
        <f aca="false">_xlfn.NORM.DIST(K126,AVERAGE($G$2:$G$1387),_xlfn.STDEV.S($G$2:$G$1387),TRUE())</f>
        <v>0.0903949072845448</v>
      </c>
    </row>
    <row r="127" customFormat="false" ht="15" hidden="false" customHeight="false" outlineLevel="0" collapsed="false">
      <c r="A127" s="0" t="n">
        <f aca="false">ROW()-1</f>
        <v>126</v>
      </c>
      <c r="B127" s="0" t="str">
        <f aca="false">'Analysis Data'!A127</f>
        <v>Columbus</v>
      </c>
      <c r="C127" s="5" t="n">
        <f aca="false">'Analysis Data'!B127</f>
        <v>40330</v>
      </c>
      <c r="D127" s="6" t="n">
        <f aca="false">'Analysis Data'!C127</f>
        <v>203.483225619719</v>
      </c>
      <c r="E127" s="15" t="n">
        <f aca="false">SUMPRODUCT('Final Model'!$B$45:$I$45,'Analysis Data'!N127:U127)</f>
        <v>193.217851515263</v>
      </c>
      <c r="F127" s="15" t="n">
        <f aca="false">D127-E127</f>
        <v>10.2653741044564</v>
      </c>
      <c r="G127" s="13" t="n">
        <f aca="false">F127/'Final Model'!$B$21</f>
        <v>0.209360617193541</v>
      </c>
      <c r="H127" s="6" t="n">
        <f aca="false">F127^2</f>
        <v>105.377905504445</v>
      </c>
      <c r="J127" s="6" t="n">
        <f aca="false">A127</f>
        <v>126</v>
      </c>
      <c r="K127" s="13" t="n">
        <f aca="false">SMALL($G$2:$G$1387,J127)</f>
        <v>-1.31774771911554</v>
      </c>
      <c r="L127" s="18" t="n">
        <f aca="false">(J127-0.5)/1386</f>
        <v>0.0905483405483405</v>
      </c>
      <c r="M127" s="18" t="n">
        <f aca="false">_xlfn.NORM.DIST(K127,AVERAGE($G$2:$G$1387),_xlfn.STDEV.S($G$2:$G$1387),TRUE())</f>
        <v>0.0932356045088721</v>
      </c>
    </row>
    <row r="128" customFormat="false" ht="15" hidden="false" customHeight="false" outlineLevel="0" collapsed="false">
      <c r="A128" s="0" t="n">
        <f aca="false">ROW()-1</f>
        <v>127</v>
      </c>
      <c r="B128" s="0" t="str">
        <f aca="false">'Analysis Data'!A128</f>
        <v>Columbus</v>
      </c>
      <c r="C128" s="5" t="n">
        <f aca="false">'Analysis Data'!B128</f>
        <v>40337</v>
      </c>
      <c r="D128" s="6" t="n">
        <f aca="false">'Analysis Data'!C128</f>
        <v>183.096661708362</v>
      </c>
      <c r="E128" s="15" t="n">
        <f aca="false">SUMPRODUCT('Final Model'!$B$45:$I$45,'Analysis Data'!N128:U128)</f>
        <v>196.374565696905</v>
      </c>
      <c r="F128" s="15" t="n">
        <f aca="false">D128-E128</f>
        <v>-13.2779039885429</v>
      </c>
      <c r="G128" s="13" t="n">
        <f aca="false">F128/'Final Model'!$B$21</f>
        <v>-0.270800668908025</v>
      </c>
      <c r="H128" s="6" t="n">
        <f aca="false">F128^2</f>
        <v>176.302734328964</v>
      </c>
      <c r="J128" s="6" t="n">
        <f aca="false">A128</f>
        <v>127</v>
      </c>
      <c r="K128" s="13" t="n">
        <f aca="false">SMALL($G$2:$G$1387,J128)</f>
        <v>-1.31635090163676</v>
      </c>
      <c r="L128" s="18" t="n">
        <f aca="false">(J128-0.5)/1386</f>
        <v>0.0912698412698413</v>
      </c>
      <c r="M128" s="18" t="n">
        <f aca="false">_xlfn.NORM.DIST(K128,AVERAGE($G$2:$G$1387),_xlfn.STDEV.S($G$2:$G$1387),TRUE())</f>
        <v>0.0934692561950068</v>
      </c>
    </row>
    <row r="129" customFormat="false" ht="15" hidden="false" customHeight="false" outlineLevel="0" collapsed="false">
      <c r="A129" s="0" t="n">
        <f aca="false">ROW()-1</f>
        <v>128</v>
      </c>
      <c r="B129" s="0" t="str">
        <f aca="false">'Analysis Data'!A129</f>
        <v>Columbus</v>
      </c>
      <c r="C129" s="5" t="n">
        <f aca="false">'Analysis Data'!B129</f>
        <v>40344</v>
      </c>
      <c r="D129" s="6" t="n">
        <f aca="false">'Analysis Data'!C129</f>
        <v>162.395311588802</v>
      </c>
      <c r="E129" s="15" t="n">
        <f aca="false">SUMPRODUCT('Final Model'!$B$45:$I$45,'Analysis Data'!N129:U129)</f>
        <v>193.769510302574</v>
      </c>
      <c r="F129" s="15" t="n">
        <f aca="false">D129-E129</f>
        <v>-31.3741987137722</v>
      </c>
      <c r="G129" s="13" t="n">
        <f aca="false">F129/'Final Model'!$B$21</f>
        <v>-0.639871624728862</v>
      </c>
      <c r="H129" s="6" t="n">
        <f aca="false">F129^2</f>
        <v>984.340344931263</v>
      </c>
      <c r="J129" s="6" t="n">
        <f aca="false">A129</f>
        <v>128</v>
      </c>
      <c r="K129" s="13" t="n">
        <f aca="false">SMALL($G$2:$G$1387,J129)</f>
        <v>-1.31516879526477</v>
      </c>
      <c r="L129" s="18" t="n">
        <f aca="false">(J129-0.5)/1386</f>
        <v>0.091991341991342</v>
      </c>
      <c r="M129" s="18" t="n">
        <f aca="false">_xlfn.NORM.DIST(K129,AVERAGE($G$2:$G$1387),_xlfn.STDEV.S($G$2:$G$1387),TRUE())</f>
        <v>0.0936673298652095</v>
      </c>
    </row>
    <row r="130" customFormat="false" ht="15" hidden="false" customHeight="false" outlineLevel="0" collapsed="false">
      <c r="A130" s="0" t="n">
        <f aca="false">ROW()-1</f>
        <v>129</v>
      </c>
      <c r="B130" s="0" t="str">
        <f aca="false">'Analysis Data'!A130</f>
        <v>Columbus</v>
      </c>
      <c r="C130" s="5" t="n">
        <f aca="false">'Analysis Data'!B130</f>
        <v>40351</v>
      </c>
      <c r="D130" s="6" t="n">
        <f aca="false">'Analysis Data'!C130</f>
        <v>372.166748213096</v>
      </c>
      <c r="E130" s="15" t="n">
        <f aca="false">SUMPRODUCT('Final Model'!$B$45:$I$45,'Analysis Data'!N130:U130)</f>
        <v>300.898337711752</v>
      </c>
      <c r="F130" s="15" t="n">
        <f aca="false">D130-E130</f>
        <v>71.2684105013446</v>
      </c>
      <c r="G130" s="13" t="n">
        <f aca="false">F130/'Final Model'!$B$21</f>
        <v>1.45350751537508</v>
      </c>
      <c r="H130" s="6" t="n">
        <f aca="false">F130^2</f>
        <v>5079.18633538816</v>
      </c>
      <c r="J130" s="6" t="n">
        <f aca="false">A130</f>
        <v>129</v>
      </c>
      <c r="K130" s="13" t="n">
        <f aca="false">SMALL($G$2:$G$1387,J130)</f>
        <v>-1.29501901665</v>
      </c>
      <c r="L130" s="18" t="n">
        <f aca="false">(J130-0.5)/1386</f>
        <v>0.0927128427128427</v>
      </c>
      <c r="M130" s="18" t="n">
        <f aca="false">_xlfn.NORM.DIST(K130,AVERAGE($G$2:$G$1387),_xlfn.STDEV.S($G$2:$G$1387),TRUE())</f>
        <v>0.0970914315204109</v>
      </c>
    </row>
    <row r="131" customFormat="false" ht="15" hidden="false" customHeight="false" outlineLevel="0" collapsed="false">
      <c r="A131" s="0" t="n">
        <f aca="false">ROW()-1</f>
        <v>130</v>
      </c>
      <c r="B131" s="0" t="str">
        <f aca="false">'Analysis Data'!A131</f>
        <v>Columbus</v>
      </c>
      <c r="C131" s="5" t="n">
        <f aca="false">'Analysis Data'!B131</f>
        <v>40358</v>
      </c>
      <c r="D131" s="6" t="n">
        <f aca="false">'Analysis Data'!C131</f>
        <v>389.75935425642</v>
      </c>
      <c r="E131" s="15" t="n">
        <f aca="false">SUMPRODUCT('Final Model'!$B$45:$I$45,'Analysis Data'!N131:U131)</f>
        <v>267.515433566551</v>
      </c>
      <c r="F131" s="15" t="n">
        <f aca="false">D131-E131</f>
        <v>122.243920689869</v>
      </c>
      <c r="G131" s="13" t="n">
        <f aca="false">F131/'Final Model'!$B$21</f>
        <v>2.49314466510078</v>
      </c>
      <c r="H131" s="6" t="n">
        <f aca="false">F131^2</f>
        <v>14943.576145631</v>
      </c>
      <c r="J131" s="6" t="n">
        <f aca="false">A131</f>
        <v>130</v>
      </c>
      <c r="K131" s="13" t="n">
        <f aca="false">SMALL($G$2:$G$1387,J131)</f>
        <v>-1.2906664303811</v>
      </c>
      <c r="L131" s="18" t="n">
        <f aca="false">(J131-0.5)/1386</f>
        <v>0.0934343434343434</v>
      </c>
      <c r="M131" s="18" t="n">
        <f aca="false">_xlfn.NORM.DIST(K131,AVERAGE($G$2:$G$1387),_xlfn.STDEV.S($G$2:$G$1387),TRUE())</f>
        <v>0.0978429941235539</v>
      </c>
    </row>
    <row r="132" customFormat="false" ht="15" hidden="false" customHeight="false" outlineLevel="0" collapsed="false">
      <c r="A132" s="0" t="n">
        <f aca="false">ROW()-1</f>
        <v>131</v>
      </c>
      <c r="B132" s="0" t="str">
        <f aca="false">'Analysis Data'!A132</f>
        <v>Columbus</v>
      </c>
      <c r="C132" s="5" t="n">
        <f aca="false">'Analysis Data'!B132</f>
        <v>40365</v>
      </c>
      <c r="D132" s="6" t="n">
        <f aca="false">'Analysis Data'!C132</f>
        <v>302.682559116882</v>
      </c>
      <c r="E132" s="15" t="n">
        <f aca="false">SUMPRODUCT('Final Model'!$B$45:$I$45,'Analysis Data'!N132:U132)</f>
        <v>272.821388074476</v>
      </c>
      <c r="F132" s="15" t="n">
        <f aca="false">D132-E132</f>
        <v>29.8611710424067</v>
      </c>
      <c r="G132" s="13" t="n">
        <f aca="false">F132/'Final Model'!$B$21</f>
        <v>0.609013674118912</v>
      </c>
      <c r="H132" s="6" t="n">
        <f aca="false">F132^2</f>
        <v>891.689536023867</v>
      </c>
      <c r="J132" s="6" t="n">
        <f aca="false">A132</f>
        <v>131</v>
      </c>
      <c r="K132" s="13" t="n">
        <f aca="false">SMALL($G$2:$G$1387,J132)</f>
        <v>-1.28836983751797</v>
      </c>
      <c r="L132" s="18" t="n">
        <f aca="false">(J132-0.5)/1386</f>
        <v>0.0941558441558442</v>
      </c>
      <c r="M132" s="18" t="n">
        <f aca="false">_xlfn.NORM.DIST(K132,AVERAGE($G$2:$G$1387),_xlfn.STDEV.S($G$2:$G$1387),TRUE())</f>
        <v>0.0982412620725489</v>
      </c>
    </row>
    <row r="133" customFormat="false" ht="15" hidden="false" customHeight="false" outlineLevel="0" collapsed="false">
      <c r="A133" s="0" t="n">
        <f aca="false">ROW()-1</f>
        <v>132</v>
      </c>
      <c r="B133" s="0" t="str">
        <f aca="false">'Analysis Data'!A133</f>
        <v>Columbus</v>
      </c>
      <c r="C133" s="5" t="n">
        <f aca="false">'Analysis Data'!B133</f>
        <v>40372</v>
      </c>
      <c r="D133" s="6" t="n">
        <f aca="false">'Analysis Data'!C133</f>
        <v>301.896948346972</v>
      </c>
      <c r="E133" s="15" t="n">
        <f aca="false">SUMPRODUCT('Final Model'!$B$45:$I$45,'Analysis Data'!N133:U133)</f>
        <v>272.821388074476</v>
      </c>
      <c r="F133" s="15" t="n">
        <f aca="false">D133-E133</f>
        <v>29.0755602724968</v>
      </c>
      <c r="G133" s="13" t="n">
        <f aca="false">F133/'Final Model'!$B$21</f>
        <v>0.592991271624021</v>
      </c>
      <c r="H133" s="6" t="n">
        <f aca="false">F133^2</f>
        <v>845.388205159593</v>
      </c>
      <c r="J133" s="6" t="n">
        <f aca="false">A133</f>
        <v>132</v>
      </c>
      <c r="K133" s="13" t="n">
        <f aca="false">SMALL($G$2:$G$1387,J133)</f>
        <v>-1.28363456258417</v>
      </c>
      <c r="L133" s="18" t="n">
        <f aca="false">(J133-0.5)/1386</f>
        <v>0.0948773448773449</v>
      </c>
      <c r="M133" s="18" t="n">
        <f aca="false">_xlfn.NORM.DIST(K133,AVERAGE($G$2:$G$1387),_xlfn.STDEV.S($G$2:$G$1387),TRUE())</f>
        <v>0.0990661844539661</v>
      </c>
    </row>
    <row r="134" customFormat="false" ht="15" hidden="false" customHeight="false" outlineLevel="0" collapsed="false">
      <c r="A134" s="0" t="n">
        <f aca="false">ROW()-1</f>
        <v>133</v>
      </c>
      <c r="B134" s="0" t="str">
        <f aca="false">'Analysis Data'!A134</f>
        <v>Fair Lakes</v>
      </c>
      <c r="C134" s="5" t="n">
        <f aca="false">'Analysis Data'!B134</f>
        <v>40302</v>
      </c>
      <c r="D134" s="6" t="n">
        <f aca="false">'Analysis Data'!C134</f>
        <v>137.12077837143</v>
      </c>
      <c r="E134" s="15" t="n">
        <f aca="false">SUMPRODUCT('Final Model'!$B$45:$I$45,'Analysis Data'!N134:U134)</f>
        <v>190.420153385919</v>
      </c>
      <c r="F134" s="15" t="n">
        <f aca="false">D134-E134</f>
        <v>-53.2993750144886</v>
      </c>
      <c r="G134" s="13" t="n">
        <f aca="false">F134/'Final Model'!$B$21</f>
        <v>-1.08703199079896</v>
      </c>
      <c r="H134" s="6" t="n">
        <f aca="false">F134^2</f>
        <v>2840.8233769351</v>
      </c>
      <c r="J134" s="6" t="n">
        <f aca="false">A134</f>
        <v>133</v>
      </c>
      <c r="K134" s="13" t="n">
        <f aca="false">SMALL($G$2:$G$1387,J134)</f>
        <v>-1.28196810575218</v>
      </c>
      <c r="L134" s="18" t="n">
        <f aca="false">(J134-0.5)/1386</f>
        <v>0.0955988455988456</v>
      </c>
      <c r="M134" s="18" t="n">
        <f aca="false">_xlfn.NORM.DIST(K134,AVERAGE($G$2:$G$1387),_xlfn.STDEV.S($G$2:$G$1387),TRUE())</f>
        <v>0.0993576963343194</v>
      </c>
    </row>
    <row r="135" customFormat="false" ht="15" hidden="false" customHeight="false" outlineLevel="0" collapsed="false">
      <c r="A135" s="0" t="n">
        <f aca="false">ROW()-1</f>
        <v>134</v>
      </c>
      <c r="B135" s="0" t="str">
        <f aca="false">'Analysis Data'!A135</f>
        <v>Fair Lakes</v>
      </c>
      <c r="C135" s="5" t="n">
        <f aca="false">'Analysis Data'!B135</f>
        <v>40309</v>
      </c>
      <c r="D135" s="6" t="n">
        <f aca="false">'Analysis Data'!C135</f>
        <v>184.923401184762</v>
      </c>
      <c r="E135" s="15" t="n">
        <f aca="false">SUMPRODUCT('Final Model'!$B$45:$I$45,'Analysis Data'!N135:U135)</f>
        <v>198.458609994717</v>
      </c>
      <c r="F135" s="15" t="n">
        <f aca="false">D135-E135</f>
        <v>-13.5352088099555</v>
      </c>
      <c r="G135" s="13" t="n">
        <f aca="false">F135/'Final Model'!$B$21</f>
        <v>-0.276048358438837</v>
      </c>
      <c r="H135" s="6" t="n">
        <f aca="false">F135^2</f>
        <v>183.201877529098</v>
      </c>
      <c r="J135" s="6" t="n">
        <f aca="false">A135</f>
        <v>134</v>
      </c>
      <c r="K135" s="13" t="n">
        <f aca="false">SMALL($G$2:$G$1387,J135)</f>
        <v>-1.27951446045099</v>
      </c>
      <c r="L135" s="18" t="n">
        <f aca="false">(J135-0.5)/1386</f>
        <v>0.0963203463203463</v>
      </c>
      <c r="M135" s="18" t="n">
        <f aca="false">_xlfn.NORM.DIST(K135,AVERAGE($G$2:$G$1387),_xlfn.STDEV.S($G$2:$G$1387),TRUE())</f>
        <v>0.0997880510797066</v>
      </c>
    </row>
    <row r="136" customFormat="false" ht="15" hidden="false" customHeight="false" outlineLevel="0" collapsed="false">
      <c r="A136" s="0" t="n">
        <f aca="false">ROW()-1</f>
        <v>135</v>
      </c>
      <c r="B136" s="0" t="str">
        <f aca="false">'Analysis Data'!A136</f>
        <v>Fair Lakes</v>
      </c>
      <c r="C136" s="5" t="n">
        <f aca="false">'Analysis Data'!B136</f>
        <v>40316</v>
      </c>
      <c r="D136" s="6" t="n">
        <f aca="false">'Analysis Data'!C136</f>
        <v>169.835573487801</v>
      </c>
      <c r="E136" s="15" t="n">
        <f aca="false">SUMPRODUCT('Final Model'!$B$45:$I$45,'Analysis Data'!N136:U136)</f>
        <v>202.871880293205</v>
      </c>
      <c r="F136" s="15" t="n">
        <f aca="false">D136-E136</f>
        <v>-33.0363068054037</v>
      </c>
      <c r="G136" s="13" t="n">
        <f aca="false">F136/'Final Model'!$B$21</f>
        <v>-0.673770046000747</v>
      </c>
      <c r="H136" s="6" t="n">
        <f aca="false">F136^2</f>
        <v>1091.39756734077</v>
      </c>
      <c r="J136" s="6" t="n">
        <f aca="false">A136</f>
        <v>135</v>
      </c>
      <c r="K136" s="13" t="n">
        <f aca="false">SMALL($G$2:$G$1387,J136)</f>
        <v>-1.27870070896322</v>
      </c>
      <c r="L136" s="18" t="n">
        <f aca="false">(J136-0.5)/1386</f>
        <v>0.097041847041847</v>
      </c>
      <c r="M136" s="18" t="n">
        <f aca="false">_xlfn.NORM.DIST(K136,AVERAGE($G$2:$G$1387),_xlfn.STDEV.S($G$2:$G$1387),TRUE())</f>
        <v>0.0999310784897719</v>
      </c>
    </row>
    <row r="137" customFormat="false" ht="15" hidden="false" customHeight="false" outlineLevel="0" collapsed="false">
      <c r="A137" s="0" t="n">
        <f aca="false">ROW()-1</f>
        <v>136</v>
      </c>
      <c r="B137" s="0" t="str">
        <f aca="false">'Analysis Data'!A137</f>
        <v>Fair Lakes</v>
      </c>
      <c r="C137" s="5" t="n">
        <f aca="false">'Analysis Data'!B137</f>
        <v>40323</v>
      </c>
      <c r="D137" s="6" t="n">
        <f aca="false">'Analysis Data'!C137</f>
        <v>219.351910681571</v>
      </c>
      <c r="E137" s="15" t="n">
        <f aca="false">SUMPRODUCT('Final Model'!$B$45:$I$45,'Analysis Data'!N137:U137)</f>
        <v>202.871880293205</v>
      </c>
      <c r="F137" s="15" t="n">
        <f aca="false">D137-E137</f>
        <v>16.4800303883663</v>
      </c>
      <c r="G137" s="13" t="n">
        <f aca="false">F137/'Final Model'!$B$21</f>
        <v>0.336107510390569</v>
      </c>
      <c r="H137" s="6" t="n">
        <f aca="false">F137^2</f>
        <v>271.591401601475</v>
      </c>
      <c r="J137" s="6" t="n">
        <f aca="false">A137</f>
        <v>136</v>
      </c>
      <c r="K137" s="13" t="n">
        <f aca="false">SMALL($G$2:$G$1387,J137)</f>
        <v>-1.27809970007074</v>
      </c>
      <c r="L137" s="18" t="n">
        <f aca="false">(J137-0.5)/1386</f>
        <v>0.0977633477633478</v>
      </c>
      <c r="M137" s="18" t="n">
        <f aca="false">_xlfn.NORM.DIST(K137,AVERAGE($G$2:$G$1387),_xlfn.STDEV.S($G$2:$G$1387),TRUE())</f>
        <v>0.100036809703213</v>
      </c>
    </row>
    <row r="138" customFormat="false" ht="15" hidden="false" customHeight="false" outlineLevel="0" collapsed="false">
      <c r="A138" s="0" t="n">
        <f aca="false">ROW()-1</f>
        <v>137</v>
      </c>
      <c r="B138" s="0" t="str">
        <f aca="false">'Analysis Data'!A138</f>
        <v>Fair Lakes</v>
      </c>
      <c r="C138" s="5" t="n">
        <f aca="false">'Analysis Data'!B138</f>
        <v>40330</v>
      </c>
      <c r="D138" s="6" t="n">
        <f aca="false">'Analysis Data'!C138</f>
        <v>148.640370254838</v>
      </c>
      <c r="E138" s="15" t="n">
        <f aca="false">SUMPRODUCT('Final Model'!$B$45:$I$45,'Analysis Data'!N138:U138)</f>
        <v>202.871880293205</v>
      </c>
      <c r="F138" s="15" t="n">
        <f aca="false">D138-E138</f>
        <v>-54.2315100383674</v>
      </c>
      <c r="G138" s="13" t="n">
        <f aca="false">F138/'Final Model'!$B$21</f>
        <v>-1.10604273136439</v>
      </c>
      <c r="H138" s="6" t="n">
        <f aca="false">F138^2</f>
        <v>2941.05668104154</v>
      </c>
      <c r="J138" s="6" t="n">
        <f aca="false">A138</f>
        <v>137</v>
      </c>
      <c r="K138" s="13" t="n">
        <f aca="false">SMALL($G$2:$G$1387,J138)</f>
        <v>-1.27572988980714</v>
      </c>
      <c r="L138" s="18" t="n">
        <f aca="false">(J138-0.5)/1386</f>
        <v>0.0984848484848485</v>
      </c>
      <c r="M138" s="18" t="n">
        <f aca="false">_xlfn.NORM.DIST(K138,AVERAGE($G$2:$G$1387),_xlfn.STDEV.S($G$2:$G$1387),TRUE())</f>
        <v>0.100454509598248</v>
      </c>
    </row>
    <row r="139" customFormat="false" ht="15" hidden="false" customHeight="false" outlineLevel="0" collapsed="false">
      <c r="A139" s="0" t="n">
        <f aca="false">ROW()-1</f>
        <v>138</v>
      </c>
      <c r="B139" s="0" t="str">
        <f aca="false">'Analysis Data'!A139</f>
        <v>Fair Lakes</v>
      </c>
      <c r="C139" s="5" t="n">
        <f aca="false">'Analysis Data'!B139</f>
        <v>40337</v>
      </c>
      <c r="D139" s="6" t="n">
        <f aca="false">'Analysis Data'!C139</f>
        <v>292.90619429115</v>
      </c>
      <c r="E139" s="15" t="n">
        <f aca="false">SUMPRODUCT('Final Model'!$B$45:$I$45,'Analysis Data'!N139:U139)</f>
        <v>198.458609994717</v>
      </c>
      <c r="F139" s="15" t="n">
        <f aca="false">D139-E139</f>
        <v>94.4475842964332</v>
      </c>
      <c r="G139" s="13" t="n">
        <f aca="false">F139/'Final Model'!$B$21</f>
        <v>1.92624295418089</v>
      </c>
      <c r="H139" s="6" t="n">
        <f aca="false">F139^2</f>
        <v>8920.34617943185</v>
      </c>
      <c r="J139" s="6" t="n">
        <f aca="false">A139</f>
        <v>138</v>
      </c>
      <c r="K139" s="13" t="n">
        <f aca="false">SMALL($G$2:$G$1387,J139)</f>
        <v>-1.26492459029336</v>
      </c>
      <c r="L139" s="18" t="n">
        <f aca="false">(J139-0.5)/1386</f>
        <v>0.0992063492063492</v>
      </c>
      <c r="M139" s="18" t="n">
        <f aca="false">_xlfn.NORM.DIST(K139,AVERAGE($G$2:$G$1387),_xlfn.STDEV.S($G$2:$G$1387),TRUE())</f>
        <v>0.102375172360833</v>
      </c>
    </row>
    <row r="140" customFormat="false" ht="15" hidden="false" customHeight="false" outlineLevel="0" collapsed="false">
      <c r="A140" s="0" t="n">
        <f aca="false">ROW()-1</f>
        <v>139</v>
      </c>
      <c r="B140" s="0" t="str">
        <f aca="false">'Analysis Data'!A140</f>
        <v>Fair Lakes</v>
      </c>
      <c r="C140" s="5" t="n">
        <f aca="false">'Analysis Data'!B140</f>
        <v>40344</v>
      </c>
      <c r="D140" s="6" t="n">
        <f aca="false">'Analysis Data'!C140</f>
        <v>222.276307229496</v>
      </c>
      <c r="E140" s="15" t="n">
        <f aca="false">SUMPRODUCT('Final Model'!$B$45:$I$45,'Analysis Data'!N140:U140)</f>
        <v>198.458609994717</v>
      </c>
      <c r="F140" s="15" t="n">
        <f aca="false">D140-E140</f>
        <v>23.8176972347787</v>
      </c>
      <c r="G140" s="13" t="n">
        <f aca="false">F140/'Final Model'!$B$21</f>
        <v>0.485758019382596</v>
      </c>
      <c r="H140" s="6" t="n">
        <f aca="false">F140^2</f>
        <v>567.282701567583</v>
      </c>
      <c r="J140" s="6" t="n">
        <f aca="false">A140</f>
        <v>139</v>
      </c>
      <c r="K140" s="13" t="n">
        <f aca="false">SMALL($G$2:$G$1387,J140)</f>
        <v>-1.2633305150251</v>
      </c>
      <c r="L140" s="18" t="n">
        <f aca="false">(J140-0.5)/1386</f>
        <v>0.0999278499278499</v>
      </c>
      <c r="M140" s="18" t="n">
        <f aca="false">_xlfn.NORM.DIST(K140,AVERAGE($G$2:$G$1387),_xlfn.STDEV.S($G$2:$G$1387),TRUE())</f>
        <v>0.102660767734116</v>
      </c>
    </row>
    <row r="141" customFormat="false" ht="15" hidden="false" customHeight="false" outlineLevel="0" collapsed="false">
      <c r="A141" s="0" t="n">
        <f aca="false">ROW()-1</f>
        <v>140</v>
      </c>
      <c r="B141" s="0" t="str">
        <f aca="false">'Analysis Data'!A141</f>
        <v>Fair Lakes</v>
      </c>
      <c r="C141" s="5" t="n">
        <f aca="false">'Analysis Data'!B141</f>
        <v>40351</v>
      </c>
      <c r="D141" s="6" t="n">
        <f aca="false">'Analysis Data'!C141</f>
        <v>148.147434326012</v>
      </c>
      <c r="E141" s="15" t="n">
        <f aca="false">SUMPRODUCT('Final Model'!$B$45:$I$45,'Analysis Data'!N141:U141)</f>
        <v>196.374565696905</v>
      </c>
      <c r="F141" s="15" t="n">
        <f aca="false">D141-E141</f>
        <v>-48.227131370893</v>
      </c>
      <c r="G141" s="13" t="n">
        <f aca="false">F141/'Final Model'!$B$21</f>
        <v>-0.983584415584119</v>
      </c>
      <c r="H141" s="6" t="n">
        <f aca="false">F141^2</f>
        <v>2325.85620026538</v>
      </c>
      <c r="J141" s="6" t="n">
        <f aca="false">A141</f>
        <v>140</v>
      </c>
      <c r="K141" s="13" t="n">
        <f aca="false">SMALL($G$2:$G$1387,J141)</f>
        <v>-1.26214896228954</v>
      </c>
      <c r="L141" s="18" t="n">
        <f aca="false">(J141-0.5)/1386</f>
        <v>0.100649350649351</v>
      </c>
      <c r="M141" s="18" t="n">
        <f aca="false">_xlfn.NORM.DIST(K141,AVERAGE($G$2:$G$1387),_xlfn.STDEV.S($G$2:$G$1387),TRUE())</f>
        <v>0.102872828734528</v>
      </c>
    </row>
    <row r="142" customFormat="false" ht="15" hidden="false" customHeight="false" outlineLevel="0" collapsed="false">
      <c r="A142" s="0" t="n">
        <f aca="false">ROW()-1</f>
        <v>141</v>
      </c>
      <c r="B142" s="0" t="str">
        <f aca="false">'Analysis Data'!A142</f>
        <v>Fair Lakes</v>
      </c>
      <c r="C142" s="5" t="n">
        <f aca="false">'Analysis Data'!B142</f>
        <v>40358</v>
      </c>
      <c r="D142" s="6" t="n">
        <f aca="false">'Analysis Data'!C142</f>
        <v>270.141870281957</v>
      </c>
      <c r="E142" s="15" t="n">
        <f aca="false">SUMPRODUCT('Final Model'!$B$45:$I$45,'Analysis Data'!N142:U142)</f>
        <v>193.769510302574</v>
      </c>
      <c r="F142" s="15" t="n">
        <f aca="false">D142-E142</f>
        <v>76.3723599793827</v>
      </c>
      <c r="G142" s="13" t="n">
        <f aca="false">F142/'Final Model'!$B$21</f>
        <v>1.55760172587081</v>
      </c>
      <c r="H142" s="6" t="n">
        <f aca="false">F142^2</f>
        <v>5832.73736882041</v>
      </c>
      <c r="J142" s="6" t="n">
        <f aca="false">A142</f>
        <v>141</v>
      </c>
      <c r="K142" s="13" t="n">
        <f aca="false">SMALL($G$2:$G$1387,J142)</f>
        <v>-1.25958989136516</v>
      </c>
      <c r="L142" s="18" t="n">
        <f aca="false">(J142-0.5)/1386</f>
        <v>0.101370851370851</v>
      </c>
      <c r="M142" s="18" t="n">
        <f aca="false">_xlfn.NORM.DIST(K142,AVERAGE($G$2:$G$1387),_xlfn.STDEV.S($G$2:$G$1387),TRUE())</f>
        <v>0.103333212713172</v>
      </c>
    </row>
    <row r="143" customFormat="false" ht="15" hidden="false" customHeight="false" outlineLevel="0" collapsed="false">
      <c r="A143" s="0" t="n">
        <f aca="false">ROW()-1</f>
        <v>142</v>
      </c>
      <c r="B143" s="0" t="str">
        <f aca="false">'Analysis Data'!A143</f>
        <v>Fair Lakes</v>
      </c>
      <c r="C143" s="5" t="n">
        <f aca="false">'Analysis Data'!B143</f>
        <v>40365</v>
      </c>
      <c r="D143" s="6" t="n">
        <f aca="false">'Analysis Data'!C143</f>
        <v>194.179123405524</v>
      </c>
      <c r="E143" s="15" t="n">
        <f aca="false">SUMPRODUCT('Final Model'!$B$45:$I$45,'Analysis Data'!N143:U143)</f>
        <v>204.833333761652</v>
      </c>
      <c r="F143" s="15" t="n">
        <f aca="false">D143-E143</f>
        <v>-10.6542103561274</v>
      </c>
      <c r="G143" s="13" t="n">
        <f aca="false">F143/'Final Model'!$B$21</f>
        <v>-0.2172908686202</v>
      </c>
      <c r="H143" s="6" t="n">
        <f aca="false">F143^2</f>
        <v>113.512198312613</v>
      </c>
      <c r="J143" s="6" t="n">
        <f aca="false">A143</f>
        <v>142</v>
      </c>
      <c r="K143" s="13" t="n">
        <f aca="false">SMALL($G$2:$G$1387,J143)</f>
        <v>-1.25932472308101</v>
      </c>
      <c r="L143" s="18" t="n">
        <f aca="false">(J143-0.5)/1386</f>
        <v>0.102092352092352</v>
      </c>
      <c r="M143" s="18" t="n">
        <f aca="false">_xlfn.NORM.DIST(K143,AVERAGE($G$2:$G$1387),_xlfn.STDEV.S($G$2:$G$1387),TRUE())</f>
        <v>0.103381002615256</v>
      </c>
    </row>
    <row r="144" customFormat="false" ht="15" hidden="false" customHeight="false" outlineLevel="0" collapsed="false">
      <c r="A144" s="0" t="n">
        <f aca="false">ROW()-1</f>
        <v>143</v>
      </c>
      <c r="B144" s="0" t="str">
        <f aca="false">'Analysis Data'!A144</f>
        <v>Fair Lakes</v>
      </c>
      <c r="C144" s="5" t="n">
        <f aca="false">'Analysis Data'!B144</f>
        <v>40372</v>
      </c>
      <c r="D144" s="6" t="n">
        <f aca="false">'Analysis Data'!C144</f>
        <v>170.537679326789</v>
      </c>
      <c r="E144" s="15" t="n">
        <f aca="false">SUMPRODUCT('Final Model'!$B$45:$I$45,'Analysis Data'!N144:U144)</f>
        <v>207.594079512587</v>
      </c>
      <c r="F144" s="15" t="n">
        <f aca="false">D144-E144</f>
        <v>-37.056400185798</v>
      </c>
      <c r="G144" s="13" t="n">
        <f aca="false">F144/'Final Model'!$B$21</f>
        <v>-0.755759189575128</v>
      </c>
      <c r="H144" s="6" t="n">
        <f aca="false">F144^2</f>
        <v>1373.17679473001</v>
      </c>
      <c r="J144" s="6" t="n">
        <f aca="false">A144</f>
        <v>143</v>
      </c>
      <c r="K144" s="13" t="n">
        <f aca="false">SMALL($G$2:$G$1387,J144)</f>
        <v>-1.25708590928252</v>
      </c>
      <c r="L144" s="18" t="n">
        <f aca="false">(J144-0.5)/1386</f>
        <v>0.102813852813853</v>
      </c>
      <c r="M144" s="18" t="n">
        <f aca="false">_xlfn.NORM.DIST(K144,AVERAGE($G$2:$G$1387),_xlfn.STDEV.S($G$2:$G$1387),TRUE())</f>
        <v>0.103785132098219</v>
      </c>
    </row>
    <row r="145" customFormat="false" ht="15" hidden="false" customHeight="false" outlineLevel="0" collapsed="false">
      <c r="A145" s="0" t="n">
        <f aca="false">ROW()-1</f>
        <v>144</v>
      </c>
      <c r="B145" s="0" t="str">
        <f aca="false">'Analysis Data'!A145</f>
        <v>Georgetown</v>
      </c>
      <c r="C145" s="5" t="n">
        <f aca="false">'Analysis Data'!B145</f>
        <v>40302</v>
      </c>
      <c r="D145" s="6" t="n">
        <f aca="false">'Analysis Data'!C145</f>
        <v>171.565865693882</v>
      </c>
      <c r="E145" s="15" t="n">
        <f aca="false">SUMPRODUCT('Final Model'!$B$45:$I$45,'Analysis Data'!N145:U145)</f>
        <v>196.72482522514</v>
      </c>
      <c r="F145" s="15" t="n">
        <f aca="false">D145-E145</f>
        <v>-25.1589595312581</v>
      </c>
      <c r="G145" s="13" t="n">
        <f aca="false">F145/'Final Model'!$B$21</f>
        <v>-0.513112843410631</v>
      </c>
      <c r="H145" s="6" t="n">
        <f aca="false">F145^2</f>
        <v>632.973244695482</v>
      </c>
      <c r="J145" s="6" t="n">
        <f aca="false">A145</f>
        <v>144</v>
      </c>
      <c r="K145" s="13" t="n">
        <f aca="false">SMALL($G$2:$G$1387,J145)</f>
        <v>-1.24964906246457</v>
      </c>
      <c r="L145" s="18" t="n">
        <f aca="false">(J145-0.5)/1386</f>
        <v>0.103535353535354</v>
      </c>
      <c r="M145" s="18" t="n">
        <f aca="false">_xlfn.NORM.DIST(K145,AVERAGE($G$2:$G$1387),_xlfn.STDEV.S($G$2:$G$1387),TRUE())</f>
        <v>0.105135785102685</v>
      </c>
    </row>
    <row r="146" customFormat="false" ht="15" hidden="false" customHeight="false" outlineLevel="0" collapsed="false">
      <c r="A146" s="0" t="n">
        <f aca="false">ROW()-1</f>
        <v>145</v>
      </c>
      <c r="B146" s="0" t="str">
        <f aca="false">'Analysis Data'!A146</f>
        <v>Georgetown</v>
      </c>
      <c r="C146" s="5" t="n">
        <f aca="false">'Analysis Data'!B146</f>
        <v>40309</v>
      </c>
      <c r="D146" s="6" t="n">
        <f aca="false">'Analysis Data'!C146</f>
        <v>227.656062389237</v>
      </c>
      <c r="E146" s="15" t="n">
        <f aca="false">SUMPRODUCT('Final Model'!$B$45:$I$45,'Analysis Data'!N146:U146)</f>
        <v>196.72482522514</v>
      </c>
      <c r="F146" s="15" t="n">
        <f aca="false">D146-E146</f>
        <v>30.9312371640972</v>
      </c>
      <c r="G146" s="13" t="n">
        <f aca="false">F146/'Final Model'!$B$21</f>
        <v>0.630837496747818</v>
      </c>
      <c r="H146" s="6" t="n">
        <f aca="false">F146^2</f>
        <v>956.741432501629</v>
      </c>
      <c r="J146" s="6" t="n">
        <f aca="false">A146</f>
        <v>145</v>
      </c>
      <c r="K146" s="13" t="n">
        <f aca="false">SMALL($G$2:$G$1387,J146)</f>
        <v>-1.2439997926932</v>
      </c>
      <c r="L146" s="18" t="n">
        <f aca="false">(J146-0.5)/1386</f>
        <v>0.104256854256854</v>
      </c>
      <c r="M146" s="18" t="n">
        <f aca="false">_xlfn.NORM.DIST(K146,AVERAGE($G$2:$G$1387),_xlfn.STDEV.S($G$2:$G$1387),TRUE())</f>
        <v>0.106170253783367</v>
      </c>
    </row>
    <row r="147" customFormat="false" ht="15" hidden="false" customHeight="false" outlineLevel="0" collapsed="false">
      <c r="A147" s="0" t="n">
        <f aca="false">ROW()-1</f>
        <v>146</v>
      </c>
      <c r="B147" s="0" t="str">
        <f aca="false">'Analysis Data'!A147</f>
        <v>Georgetown</v>
      </c>
      <c r="C147" s="5" t="n">
        <f aca="false">'Analysis Data'!B147</f>
        <v>40316</v>
      </c>
      <c r="D147" s="6" t="n">
        <f aca="false">'Analysis Data'!C147</f>
        <v>186.248472467009</v>
      </c>
      <c r="E147" s="15" t="n">
        <f aca="false">SUMPRODUCT('Final Model'!$B$45:$I$45,'Analysis Data'!N147:U147)</f>
        <v>202.871880293205</v>
      </c>
      <c r="F147" s="15" t="n">
        <f aca="false">D147-E147</f>
        <v>-16.6234078261961</v>
      </c>
      <c r="G147" s="13" t="n">
        <f aca="false">F147/'Final Model'!$B$21</f>
        <v>-0.339031669663307</v>
      </c>
      <c r="H147" s="6" t="n">
        <f aca="false">F147^2</f>
        <v>276.337687756036</v>
      </c>
      <c r="J147" s="6" t="n">
        <f aca="false">A147</f>
        <v>146</v>
      </c>
      <c r="K147" s="13" t="n">
        <f aca="false">SMALL($G$2:$G$1387,J147)</f>
        <v>-1.23998432205652</v>
      </c>
      <c r="L147" s="18" t="n">
        <f aca="false">(J147-0.5)/1386</f>
        <v>0.104978354978355</v>
      </c>
      <c r="M147" s="18" t="n">
        <f aca="false">_xlfn.NORM.DIST(K147,AVERAGE($G$2:$G$1387),_xlfn.STDEV.S($G$2:$G$1387),TRUE())</f>
        <v>0.106910005859387</v>
      </c>
    </row>
    <row r="148" customFormat="false" ht="15" hidden="false" customHeight="false" outlineLevel="0" collapsed="false">
      <c r="A148" s="0" t="n">
        <f aca="false">ROW()-1</f>
        <v>147</v>
      </c>
      <c r="B148" s="0" t="str">
        <f aca="false">'Analysis Data'!A148</f>
        <v>Georgetown</v>
      </c>
      <c r="C148" s="5" t="n">
        <f aca="false">'Analysis Data'!B148</f>
        <v>40323</v>
      </c>
      <c r="D148" s="6" t="n">
        <f aca="false">'Analysis Data'!C148</f>
        <v>235.949967553825</v>
      </c>
      <c r="E148" s="15" t="n">
        <f aca="false">SUMPRODUCT('Final Model'!$B$45:$I$45,'Analysis Data'!N148:U148)</f>
        <v>202.504107760976</v>
      </c>
      <c r="F148" s="15" t="n">
        <f aca="false">D148-E148</f>
        <v>33.4458597928489</v>
      </c>
      <c r="G148" s="13" t="n">
        <f aca="false">F148/'Final Model'!$B$21</f>
        <v>0.68212281184761</v>
      </c>
      <c r="H148" s="6" t="n">
        <f aca="false">F148^2</f>
        <v>1118.6255372829</v>
      </c>
      <c r="J148" s="6" t="n">
        <f aca="false">A148</f>
        <v>147</v>
      </c>
      <c r="K148" s="13" t="n">
        <f aca="false">SMALL($G$2:$G$1387,J148)</f>
        <v>-1.23810844295696</v>
      </c>
      <c r="L148" s="18" t="n">
        <f aca="false">(J148-0.5)/1386</f>
        <v>0.105699855699856</v>
      </c>
      <c r="M148" s="18" t="n">
        <f aca="false">_xlfn.NORM.DIST(K148,AVERAGE($G$2:$G$1387),_xlfn.STDEV.S($G$2:$G$1387),TRUE())</f>
        <v>0.107256862091489</v>
      </c>
    </row>
    <row r="149" customFormat="false" ht="15" hidden="false" customHeight="false" outlineLevel="0" collapsed="false">
      <c r="A149" s="0" t="n">
        <f aca="false">ROW()-1</f>
        <v>148</v>
      </c>
      <c r="B149" s="0" t="str">
        <f aca="false">'Analysis Data'!A149</f>
        <v>Georgetown</v>
      </c>
      <c r="C149" s="5" t="n">
        <f aca="false">'Analysis Data'!B149</f>
        <v>40330</v>
      </c>
      <c r="D149" s="6" t="n">
        <f aca="false">'Analysis Data'!C149</f>
        <v>193.896057580671</v>
      </c>
      <c r="E149" s="15" t="n">
        <f aca="false">SUMPRODUCT('Final Model'!$B$45:$I$45,'Analysis Data'!N149:U149)</f>
        <v>202.871880293205</v>
      </c>
      <c r="F149" s="15" t="n">
        <f aca="false">D149-E149</f>
        <v>-8.97582271253376</v>
      </c>
      <c r="G149" s="13" t="n">
        <f aca="false">F149/'Final Model'!$B$21</f>
        <v>-0.183060428562469</v>
      </c>
      <c r="H149" s="6" t="n">
        <f aca="false">F149^2</f>
        <v>80.5653933668368</v>
      </c>
      <c r="J149" s="6" t="n">
        <f aca="false">A149</f>
        <v>148</v>
      </c>
      <c r="K149" s="13" t="n">
        <f aca="false">SMALL($G$2:$G$1387,J149)</f>
        <v>-1.23455041545218</v>
      </c>
      <c r="L149" s="18" t="n">
        <f aca="false">(J149-0.5)/1386</f>
        <v>0.106421356421356</v>
      </c>
      <c r="M149" s="18" t="n">
        <f aca="false">_xlfn.NORM.DIST(K149,AVERAGE($G$2:$G$1387),_xlfn.STDEV.S($G$2:$G$1387),TRUE())</f>
        <v>0.107916980562878</v>
      </c>
    </row>
    <row r="150" customFormat="false" ht="15" hidden="false" customHeight="false" outlineLevel="0" collapsed="false">
      <c r="A150" s="0" t="n">
        <f aca="false">ROW()-1</f>
        <v>149</v>
      </c>
      <c r="B150" s="0" t="str">
        <f aca="false">'Analysis Data'!A150</f>
        <v>Georgetown</v>
      </c>
      <c r="C150" s="5" t="n">
        <f aca="false">'Analysis Data'!B150</f>
        <v>40337</v>
      </c>
      <c r="D150" s="6" t="n">
        <f aca="false">'Analysis Data'!C150</f>
        <v>293.982120837942</v>
      </c>
      <c r="E150" s="15" t="n">
        <f aca="false">SUMPRODUCT('Final Model'!$B$45:$I$45,'Analysis Data'!N150:U150)</f>
        <v>305.211306402516</v>
      </c>
      <c r="F150" s="15" t="n">
        <f aca="false">D150-E150</f>
        <v>-11.2291855645743</v>
      </c>
      <c r="G150" s="13" t="n">
        <f aca="false">F150/'Final Model'!$B$21</f>
        <v>-0.229017393468346</v>
      </c>
      <c r="H150" s="6" t="n">
        <f aca="false">F150^2</f>
        <v>126.094608443643</v>
      </c>
      <c r="J150" s="6" t="n">
        <f aca="false">A150</f>
        <v>149</v>
      </c>
      <c r="K150" s="13" t="n">
        <f aca="false">SMALL($G$2:$G$1387,J150)</f>
        <v>-1.23381124357247</v>
      </c>
      <c r="L150" s="18" t="n">
        <f aca="false">(J150-0.5)/1386</f>
        <v>0.107142857142857</v>
      </c>
      <c r="M150" s="18" t="n">
        <f aca="false">_xlfn.NORM.DIST(K150,AVERAGE($G$2:$G$1387),_xlfn.STDEV.S($G$2:$G$1387),TRUE())</f>
        <v>0.108054484902753</v>
      </c>
    </row>
    <row r="151" customFormat="false" ht="15" hidden="false" customHeight="false" outlineLevel="0" collapsed="false">
      <c r="A151" s="0" t="n">
        <f aca="false">ROW()-1</f>
        <v>150</v>
      </c>
      <c r="B151" s="0" t="str">
        <f aca="false">'Analysis Data'!A151</f>
        <v>Georgetown</v>
      </c>
      <c r="C151" s="5" t="n">
        <f aca="false">'Analysis Data'!B151</f>
        <v>40344</v>
      </c>
      <c r="D151" s="6" t="n">
        <f aca="false">'Analysis Data'!C151</f>
        <v>288.096874123434</v>
      </c>
      <c r="E151" s="15" t="n">
        <f aca="false">SUMPRODUCT('Final Model'!$B$45:$I$45,'Analysis Data'!N151:U151)</f>
        <v>271.828402257316</v>
      </c>
      <c r="F151" s="15" t="n">
        <f aca="false">D151-E151</f>
        <v>16.2684718661178</v>
      </c>
      <c r="G151" s="13" t="n">
        <f aca="false">F151/'Final Model'!$B$21</f>
        <v>0.331792809110343</v>
      </c>
      <c r="H151" s="6" t="n">
        <f aca="false">F151^2</f>
        <v>264.663176858667</v>
      </c>
      <c r="J151" s="6" t="n">
        <f aca="false">A151</f>
        <v>150</v>
      </c>
      <c r="K151" s="13" t="n">
        <f aca="false">SMALL($G$2:$G$1387,J151)</f>
        <v>-1.21986650721558</v>
      </c>
      <c r="L151" s="18" t="n">
        <f aca="false">(J151-0.5)/1386</f>
        <v>0.107864357864358</v>
      </c>
      <c r="M151" s="18" t="n">
        <f aca="false">_xlfn.NORM.DIST(K151,AVERAGE($G$2:$G$1387),_xlfn.STDEV.S($G$2:$G$1387),TRUE())</f>
        <v>0.110672225346429</v>
      </c>
    </row>
    <row r="152" customFormat="false" ht="15" hidden="false" customHeight="false" outlineLevel="0" collapsed="false">
      <c r="A152" s="0" t="n">
        <f aca="false">ROW()-1</f>
        <v>151</v>
      </c>
      <c r="B152" s="0" t="str">
        <f aca="false">'Analysis Data'!A152</f>
        <v>Georgetown</v>
      </c>
      <c r="C152" s="5" t="n">
        <f aca="false">'Analysis Data'!B152</f>
        <v>40351</v>
      </c>
      <c r="D152" s="6" t="n">
        <f aca="false">'Analysis Data'!C152</f>
        <v>220.345230585542</v>
      </c>
      <c r="E152" s="15" t="n">
        <f aca="false">SUMPRODUCT('Final Model'!$B$45:$I$45,'Analysis Data'!N152:U152)</f>
        <v>272.196174789545</v>
      </c>
      <c r="F152" s="15" t="n">
        <f aca="false">D152-E152</f>
        <v>-51.8509442040032</v>
      </c>
      <c r="G152" s="13" t="n">
        <f aca="false">F152/'Final Model'!$B$21</f>
        <v>-1.05749148254668</v>
      </c>
      <c r="H152" s="6" t="n">
        <f aca="false">F152^2</f>
        <v>2688.52041484665</v>
      </c>
      <c r="J152" s="6" t="n">
        <f aca="false">A152</f>
        <v>151</v>
      </c>
      <c r="K152" s="13" t="n">
        <f aca="false">SMALL($G$2:$G$1387,J152)</f>
        <v>-1.21627162773994</v>
      </c>
      <c r="L152" s="18" t="n">
        <f aca="false">(J152-0.5)/1386</f>
        <v>0.108585858585859</v>
      </c>
      <c r="M152" s="18" t="n">
        <f aca="false">_xlfn.NORM.DIST(K152,AVERAGE($G$2:$G$1387),_xlfn.STDEV.S($G$2:$G$1387),TRUE())</f>
        <v>0.111354373170041</v>
      </c>
    </row>
    <row r="153" customFormat="false" ht="15" hidden="false" customHeight="false" outlineLevel="0" collapsed="false">
      <c r="A153" s="0" t="n">
        <f aca="false">ROW()-1</f>
        <v>152</v>
      </c>
      <c r="B153" s="0" t="str">
        <f aca="false">'Analysis Data'!A153</f>
        <v>Georgetown</v>
      </c>
      <c r="C153" s="5" t="n">
        <f aca="false">'Analysis Data'!B153</f>
        <v>40358</v>
      </c>
      <c r="D153" s="6" t="n">
        <f aca="false">'Analysis Data'!C153</f>
        <v>309.776104690164</v>
      </c>
      <c r="E153" s="15" t="n">
        <f aca="false">SUMPRODUCT('Final Model'!$B$45:$I$45,'Analysis Data'!N153:U153)</f>
        <v>269.744357959504</v>
      </c>
      <c r="F153" s="15" t="n">
        <f aca="false">D153-E153</f>
        <v>40.03174673066</v>
      </c>
      <c r="G153" s="13" t="n">
        <f aca="false">F153/'Final Model'!$B$21</f>
        <v>0.816440893199212</v>
      </c>
      <c r="H153" s="6" t="n">
        <f aca="false">F153^2</f>
        <v>1602.5407463077</v>
      </c>
      <c r="J153" s="6" t="n">
        <f aca="false">A153</f>
        <v>152</v>
      </c>
      <c r="K153" s="13" t="n">
        <f aca="false">SMALL($G$2:$G$1387,J153)</f>
        <v>-1.2102524581087</v>
      </c>
      <c r="L153" s="18" t="n">
        <f aca="false">(J153-0.5)/1386</f>
        <v>0.109307359307359</v>
      </c>
      <c r="M153" s="18" t="n">
        <f aca="false">_xlfn.NORM.DIST(K153,AVERAGE($G$2:$G$1387),_xlfn.STDEV.S($G$2:$G$1387),TRUE())</f>
        <v>0.112503271875659</v>
      </c>
    </row>
    <row r="154" customFormat="false" ht="15" hidden="false" customHeight="false" outlineLevel="0" collapsed="false">
      <c r="A154" s="0" t="n">
        <f aca="false">ROW()-1</f>
        <v>153</v>
      </c>
      <c r="B154" s="0" t="str">
        <f aca="false">'Analysis Data'!A154</f>
        <v>Georgetown</v>
      </c>
      <c r="C154" s="5" t="n">
        <f aca="false">'Analysis Data'!B154</f>
        <v>40365</v>
      </c>
      <c r="D154" s="6" t="n">
        <f aca="false">'Analysis Data'!C154</f>
        <v>252.823658190173</v>
      </c>
      <c r="E154" s="15" t="n">
        <f aca="false">SUMPRODUCT('Final Model'!$B$45:$I$45,'Analysis Data'!N154:U154)</f>
        <v>282.146043317947</v>
      </c>
      <c r="F154" s="15" t="n">
        <f aca="false">D154-E154</f>
        <v>-29.3223851277745</v>
      </c>
      <c r="G154" s="13" t="n">
        <f aca="false">F154/'Final Model'!$B$21</f>
        <v>-0.598025223968457</v>
      </c>
      <c r="H154" s="6" t="n">
        <f aca="false">F154^2</f>
        <v>859.802269581528</v>
      </c>
      <c r="J154" s="6" t="n">
        <f aca="false">A154</f>
        <v>153</v>
      </c>
      <c r="K154" s="13" t="n">
        <f aca="false">SMALL($G$2:$G$1387,J154)</f>
        <v>-1.20931619609746</v>
      </c>
      <c r="L154" s="18" t="n">
        <f aca="false">(J154-0.5)/1386</f>
        <v>0.11002886002886</v>
      </c>
      <c r="M154" s="18" t="n">
        <f aca="false">_xlfn.NORM.DIST(K154,AVERAGE($G$2:$G$1387),_xlfn.STDEV.S($G$2:$G$1387),TRUE())</f>
        <v>0.112682737541223</v>
      </c>
    </row>
    <row r="155" customFormat="false" ht="15" hidden="false" customHeight="false" outlineLevel="0" collapsed="false">
      <c r="A155" s="0" t="n">
        <f aca="false">ROW()-1</f>
        <v>154</v>
      </c>
      <c r="B155" s="0" t="str">
        <f aca="false">'Analysis Data'!A155</f>
        <v>Georgetown</v>
      </c>
      <c r="C155" s="5" t="n">
        <f aca="false">'Analysis Data'!B155</f>
        <v>40372</v>
      </c>
      <c r="D155" s="6" t="n">
        <f aca="false">'Analysis Data'!C155</f>
        <v>274.332082099941</v>
      </c>
      <c r="E155" s="15" t="n">
        <f aca="false">SUMPRODUCT('Final Model'!$B$45:$I$45,'Analysis Data'!N155:U155)</f>
        <v>280.595882125603</v>
      </c>
      <c r="F155" s="15" t="n">
        <f aca="false">D155-E155</f>
        <v>-6.26380002566191</v>
      </c>
      <c r="G155" s="13" t="n">
        <f aca="false">F155/'Final Model'!$B$21</f>
        <v>-0.127749171730642</v>
      </c>
      <c r="H155" s="6" t="n">
        <f aca="false">F155^2</f>
        <v>39.2351907614821</v>
      </c>
      <c r="J155" s="6" t="n">
        <f aca="false">A155</f>
        <v>154</v>
      </c>
      <c r="K155" s="13" t="n">
        <f aca="false">SMALL($G$2:$G$1387,J155)</f>
        <v>-1.20471480799012</v>
      </c>
      <c r="L155" s="18" t="n">
        <f aca="false">(J155-0.5)/1386</f>
        <v>0.110750360750361</v>
      </c>
      <c r="M155" s="18" t="n">
        <f aca="false">_xlfn.NORM.DIST(K155,AVERAGE($G$2:$G$1387),_xlfn.STDEV.S($G$2:$G$1387),TRUE())</f>
        <v>0.113567717576445</v>
      </c>
    </row>
    <row r="156" customFormat="false" ht="15" hidden="false" customHeight="false" outlineLevel="0" collapsed="false">
      <c r="A156" s="0" t="n">
        <f aca="false">ROW()-1</f>
        <v>155</v>
      </c>
      <c r="B156" s="0" t="str">
        <f aca="false">'Analysis Data'!A156</f>
        <v>Jenkintown</v>
      </c>
      <c r="C156" s="5" t="n">
        <f aca="false">'Analysis Data'!B156</f>
        <v>40302</v>
      </c>
      <c r="D156" s="6" t="n">
        <f aca="false">'Analysis Data'!C156</f>
        <v>221.179309093186</v>
      </c>
      <c r="E156" s="15" t="n">
        <f aca="false">SUMPRODUCT('Final Model'!$B$45:$I$45,'Analysis Data'!N156:U156)</f>
        <v>190.420153385919</v>
      </c>
      <c r="F156" s="15" t="n">
        <f aca="false">D156-E156</f>
        <v>30.7591557072672</v>
      </c>
      <c r="G156" s="13" t="n">
        <f aca="false">F156/'Final Model'!$B$21</f>
        <v>0.62732792372662</v>
      </c>
      <c r="H156" s="6" t="n">
        <f aca="false">F156^2</f>
        <v>946.125659823906</v>
      </c>
      <c r="J156" s="6" t="n">
        <f aca="false">A156</f>
        <v>155</v>
      </c>
      <c r="K156" s="13" t="n">
        <f aca="false">SMALL($G$2:$G$1387,J156)</f>
        <v>-1.2005341486281</v>
      </c>
      <c r="L156" s="18" t="n">
        <f aca="false">(J156-0.5)/1386</f>
        <v>0.111471861471861</v>
      </c>
      <c r="M156" s="18" t="n">
        <f aca="false">_xlfn.NORM.DIST(K156,AVERAGE($G$2:$G$1387),_xlfn.STDEV.S($G$2:$G$1387),TRUE())</f>
        <v>0.114376066037533</v>
      </c>
    </row>
    <row r="157" customFormat="false" ht="15" hidden="false" customHeight="false" outlineLevel="0" collapsed="false">
      <c r="A157" s="0" t="n">
        <f aca="false">ROW()-1</f>
        <v>156</v>
      </c>
      <c r="B157" s="0" t="str">
        <f aca="false">'Analysis Data'!A157</f>
        <v>Jenkintown</v>
      </c>
      <c r="C157" s="5" t="n">
        <f aca="false">'Analysis Data'!B157</f>
        <v>40309</v>
      </c>
      <c r="D157" s="6" t="n">
        <f aca="false">'Analysis Data'!C157</f>
        <v>213.02564125955</v>
      </c>
      <c r="E157" s="15" t="n">
        <f aca="false">SUMPRODUCT('Final Model'!$B$45:$I$45,'Analysis Data'!N157:U157)</f>
        <v>190.420153385919</v>
      </c>
      <c r="F157" s="15" t="n">
        <f aca="false">D157-E157</f>
        <v>22.6054878736311</v>
      </c>
      <c r="G157" s="13" t="n">
        <f aca="false">F157/'Final Model'!$B$21</f>
        <v>0.461035208753856</v>
      </c>
      <c r="H157" s="6" t="n">
        <f aca="false">F157^2</f>
        <v>511.008082004881</v>
      </c>
      <c r="J157" s="6" t="n">
        <f aca="false">A157</f>
        <v>156</v>
      </c>
      <c r="K157" s="13" t="n">
        <f aca="false">SMALL($G$2:$G$1387,J157)</f>
        <v>-1.2002705579238</v>
      </c>
      <c r="L157" s="18" t="n">
        <f aca="false">(J157-0.5)/1386</f>
        <v>0.112193362193362</v>
      </c>
      <c r="M157" s="18" t="n">
        <f aca="false">_xlfn.NORM.DIST(K157,AVERAGE($G$2:$G$1387),_xlfn.STDEV.S($G$2:$G$1387),TRUE())</f>
        <v>0.114427169367289</v>
      </c>
    </row>
    <row r="158" customFormat="false" ht="15" hidden="false" customHeight="false" outlineLevel="0" collapsed="false">
      <c r="A158" s="0" t="n">
        <f aca="false">ROW()-1</f>
        <v>157</v>
      </c>
      <c r="B158" s="0" t="str">
        <f aca="false">'Analysis Data'!A158</f>
        <v>Jenkintown</v>
      </c>
      <c r="C158" s="5" t="n">
        <f aca="false">'Analysis Data'!B158</f>
        <v>40316</v>
      </c>
      <c r="D158" s="6" t="n">
        <f aca="false">'Analysis Data'!C158</f>
        <v>239.81656983705</v>
      </c>
      <c r="E158" s="15" t="n">
        <f aca="false">SUMPRODUCT('Final Model'!$B$45:$I$45,'Analysis Data'!N158:U158)</f>
        <v>196.72482522514</v>
      </c>
      <c r="F158" s="15" t="n">
        <f aca="false">D158-E158</f>
        <v>43.0917446119102</v>
      </c>
      <c r="G158" s="13" t="n">
        <f aca="false">F158/'Final Model'!$B$21</f>
        <v>0.87884904691193</v>
      </c>
      <c r="H158" s="6" t="n">
        <f aca="false">F158^2</f>
        <v>1856.89845369809</v>
      </c>
      <c r="J158" s="6" t="n">
        <f aca="false">A158</f>
        <v>157</v>
      </c>
      <c r="K158" s="13" t="n">
        <f aca="false">SMALL($G$2:$G$1387,J158)</f>
        <v>-1.19862540407302</v>
      </c>
      <c r="L158" s="18" t="n">
        <f aca="false">(J158-0.5)/1386</f>
        <v>0.112914862914863</v>
      </c>
      <c r="M158" s="18" t="n">
        <f aca="false">_xlfn.NORM.DIST(K158,AVERAGE($G$2:$G$1387),_xlfn.STDEV.S($G$2:$G$1387),TRUE())</f>
        <v>0.114746488923846</v>
      </c>
    </row>
    <row r="159" customFormat="false" ht="15" hidden="false" customHeight="false" outlineLevel="0" collapsed="false">
      <c r="A159" s="0" t="n">
        <f aca="false">ROW()-1</f>
        <v>158</v>
      </c>
      <c r="B159" s="0" t="str">
        <f aca="false">'Analysis Data'!A159</f>
        <v>Jenkintown</v>
      </c>
      <c r="C159" s="5" t="n">
        <f aca="false">'Analysis Data'!B159</f>
        <v>40323</v>
      </c>
      <c r="D159" s="6" t="n">
        <f aca="false">'Analysis Data'!C159</f>
        <v>230.577598801045</v>
      </c>
      <c r="E159" s="15" t="n">
        <f aca="false">SUMPRODUCT('Final Model'!$B$45:$I$45,'Analysis Data'!N159:U159)</f>
        <v>196.72482522514</v>
      </c>
      <c r="F159" s="15" t="n">
        <f aca="false">D159-E159</f>
        <v>33.8527735759053</v>
      </c>
      <c r="G159" s="13" t="n">
        <f aca="false">F159/'Final Model'!$B$21</f>
        <v>0.69042175155486</v>
      </c>
      <c r="H159" s="6" t="n">
        <f aca="false">F159^2</f>
        <v>1146.01027878151</v>
      </c>
      <c r="J159" s="6" t="n">
        <f aca="false">A159</f>
        <v>158</v>
      </c>
      <c r="K159" s="13" t="n">
        <f aca="false">SMALL($G$2:$G$1387,J159)</f>
        <v>-1.19019956165329</v>
      </c>
      <c r="L159" s="18" t="n">
        <f aca="false">(J159-0.5)/1386</f>
        <v>0.113636363636364</v>
      </c>
      <c r="M159" s="18" t="n">
        <f aca="false">_xlfn.NORM.DIST(K159,AVERAGE($G$2:$G$1387),_xlfn.STDEV.S($G$2:$G$1387),TRUE())</f>
        <v>0.116391859476468</v>
      </c>
    </row>
    <row r="160" customFormat="false" ht="15" hidden="false" customHeight="false" outlineLevel="0" collapsed="false">
      <c r="A160" s="0" t="n">
        <f aca="false">ROW()-1</f>
        <v>159</v>
      </c>
      <c r="B160" s="0" t="str">
        <f aca="false">'Analysis Data'!A160</f>
        <v>Jenkintown</v>
      </c>
      <c r="C160" s="5" t="n">
        <f aca="false">'Analysis Data'!B160</f>
        <v>40330</v>
      </c>
      <c r="D160" s="6" t="n">
        <f aca="false">'Analysis Data'!C160</f>
        <v>192.078861761827</v>
      </c>
      <c r="E160" s="15" t="n">
        <f aca="false">SUMPRODUCT('Final Model'!$B$45:$I$45,'Analysis Data'!N160:U160)</f>
        <v>196.72482522514</v>
      </c>
      <c r="F160" s="15" t="n">
        <f aca="false">D160-E160</f>
        <v>-4.64596346331288</v>
      </c>
      <c r="G160" s="13" t="n">
        <f aca="false">F160/'Final Model'!$B$21</f>
        <v>-0.0947536610200656</v>
      </c>
      <c r="H160" s="6" t="n">
        <f aca="false">F160^2</f>
        <v>21.5849765024382</v>
      </c>
      <c r="J160" s="6" t="n">
        <f aca="false">A160</f>
        <v>159</v>
      </c>
      <c r="K160" s="13" t="n">
        <f aca="false">SMALL($G$2:$G$1387,J160)</f>
        <v>-1.18474989911906</v>
      </c>
      <c r="L160" s="18" t="n">
        <f aca="false">(J160-0.5)/1386</f>
        <v>0.114357864357864</v>
      </c>
      <c r="M160" s="18" t="n">
        <f aca="false">_xlfn.NORM.DIST(K160,AVERAGE($G$2:$G$1387),_xlfn.STDEV.S($G$2:$G$1387),TRUE())</f>
        <v>0.117464924988087</v>
      </c>
    </row>
    <row r="161" customFormat="false" ht="15" hidden="false" customHeight="false" outlineLevel="0" collapsed="false">
      <c r="A161" s="0" t="n">
        <f aca="false">ROW()-1</f>
        <v>160</v>
      </c>
      <c r="B161" s="0" t="str">
        <f aca="false">'Analysis Data'!A161</f>
        <v>Jenkintown</v>
      </c>
      <c r="C161" s="5" t="n">
        <f aca="false">'Analysis Data'!B161</f>
        <v>40337</v>
      </c>
      <c r="D161" s="6" t="n">
        <f aca="false">'Analysis Data'!C161</f>
        <v>241.414854643443</v>
      </c>
      <c r="E161" s="15" t="n">
        <f aca="false">SUMPRODUCT('Final Model'!$B$45:$I$45,'Analysis Data'!N161:U161)</f>
        <v>190.420153385919</v>
      </c>
      <c r="F161" s="15" t="n">
        <f aca="false">D161-E161</f>
        <v>50.994701257524</v>
      </c>
      <c r="G161" s="13" t="n">
        <f aca="false">F161/'Final Model'!$B$21</f>
        <v>1.04002854842286</v>
      </c>
      <c r="H161" s="6" t="n">
        <f aca="false">F161^2</f>
        <v>2600.45955634412</v>
      </c>
      <c r="J161" s="6" t="n">
        <f aca="false">A161</f>
        <v>160</v>
      </c>
      <c r="K161" s="13" t="n">
        <f aca="false">SMALL($G$2:$G$1387,J161)</f>
        <v>-1.18361765364343</v>
      </c>
      <c r="L161" s="18" t="n">
        <f aca="false">(J161-0.5)/1386</f>
        <v>0.115079365079365</v>
      </c>
      <c r="M161" s="18" t="n">
        <f aca="false">_xlfn.NORM.DIST(K161,AVERAGE($G$2:$G$1387),_xlfn.STDEV.S($G$2:$G$1387),TRUE())</f>
        <v>0.117688745792884</v>
      </c>
    </row>
    <row r="162" customFormat="false" ht="15" hidden="false" customHeight="false" outlineLevel="0" collapsed="false">
      <c r="A162" s="0" t="n">
        <f aca="false">ROW()-1</f>
        <v>161</v>
      </c>
      <c r="B162" s="0" t="str">
        <f aca="false">'Analysis Data'!A162</f>
        <v>Jenkintown</v>
      </c>
      <c r="C162" s="5" t="n">
        <f aca="false">'Analysis Data'!B162</f>
        <v>40344</v>
      </c>
      <c r="D162" s="6" t="n">
        <f aca="false">'Analysis Data'!C162</f>
        <v>129.923895019201</v>
      </c>
      <c r="E162" s="15" t="n">
        <f aca="false">SUMPRODUCT('Final Model'!$B$45:$I$45,'Analysis Data'!N162:U162)</f>
        <v>190.420153385919</v>
      </c>
      <c r="F162" s="15" t="n">
        <f aca="false">D162-E162</f>
        <v>-60.4962583667184</v>
      </c>
      <c r="G162" s="13" t="n">
        <f aca="false">F162/'Final Model'!$B$21</f>
        <v>-1.23381124357247</v>
      </c>
      <c r="H162" s="6" t="n">
        <f aca="false">F162^2</f>
        <v>3659.79727637274</v>
      </c>
      <c r="J162" s="6" t="n">
        <f aca="false">A162</f>
        <v>161</v>
      </c>
      <c r="K162" s="13" t="n">
        <f aca="false">SMALL($G$2:$G$1387,J162)</f>
        <v>-1.18260794781055</v>
      </c>
      <c r="L162" s="18" t="n">
        <f aca="false">(J162-0.5)/1386</f>
        <v>0.115800865800866</v>
      </c>
      <c r="M162" s="18" t="n">
        <f aca="false">_xlfn.NORM.DIST(K162,AVERAGE($G$2:$G$1387),_xlfn.STDEV.S($G$2:$G$1387),TRUE())</f>
        <v>0.117888597589077</v>
      </c>
    </row>
    <row r="163" customFormat="false" ht="15" hidden="false" customHeight="false" outlineLevel="0" collapsed="false">
      <c r="A163" s="0" t="n">
        <f aca="false">ROW()-1</f>
        <v>162</v>
      </c>
      <c r="B163" s="0" t="str">
        <f aca="false">'Analysis Data'!A163</f>
        <v>Jenkintown</v>
      </c>
      <c r="C163" s="5" t="n">
        <f aca="false">'Analysis Data'!B163</f>
        <v>40351</v>
      </c>
      <c r="D163" s="6" t="n">
        <f aca="false">'Analysis Data'!C163</f>
        <v>186.572984146035</v>
      </c>
      <c r="E163" s="15" t="n">
        <f aca="false">SUMPRODUCT('Final Model'!$B$45:$I$45,'Analysis Data'!N163:U163)</f>
        <v>198.458609994717</v>
      </c>
      <c r="F163" s="15" t="n">
        <f aca="false">D163-E163</f>
        <v>-11.8856258486825</v>
      </c>
      <c r="G163" s="13" t="n">
        <f aca="false">F163/'Final Model'!$B$21</f>
        <v>-0.242405385141433</v>
      </c>
      <c r="H163" s="6" t="n">
        <f aca="false">F163^2</f>
        <v>141.268101814868</v>
      </c>
      <c r="J163" s="6" t="n">
        <f aca="false">A163</f>
        <v>162</v>
      </c>
      <c r="K163" s="13" t="n">
        <f aca="false">SMALL($G$2:$G$1387,J163)</f>
        <v>-1.17752609269444</v>
      </c>
      <c r="L163" s="18" t="n">
        <f aca="false">(J163-0.5)/1386</f>
        <v>0.116522366522367</v>
      </c>
      <c r="M163" s="18" t="n">
        <f aca="false">_xlfn.NORM.DIST(K163,AVERAGE($G$2:$G$1387),_xlfn.STDEV.S($G$2:$G$1387),TRUE())</f>
        <v>0.11889809813056</v>
      </c>
    </row>
    <row r="164" customFormat="false" ht="15" hidden="false" customHeight="false" outlineLevel="0" collapsed="false">
      <c r="A164" s="0" t="n">
        <f aca="false">ROW()-1</f>
        <v>163</v>
      </c>
      <c r="B164" s="0" t="str">
        <f aca="false">'Analysis Data'!A164</f>
        <v>Jenkintown</v>
      </c>
      <c r="C164" s="5" t="n">
        <f aca="false">'Analysis Data'!B164</f>
        <v>40358</v>
      </c>
      <c r="D164" s="6" t="n">
        <f aca="false">'Analysis Data'!C164</f>
        <v>349.818021677469</v>
      </c>
      <c r="E164" s="15" t="n">
        <f aca="false">SUMPRODUCT('Final Model'!$B$45:$I$45,'Analysis Data'!N164:U164)</f>
        <v>305.211306402516</v>
      </c>
      <c r="F164" s="15" t="n">
        <f aca="false">D164-E164</f>
        <v>44.6067152749524</v>
      </c>
      <c r="G164" s="13" t="n">
        <f aca="false">F164/'Final Model'!$B$21</f>
        <v>0.909746624517692</v>
      </c>
      <c r="H164" s="6" t="n">
        <f aca="false">F164^2</f>
        <v>1989.75904762067</v>
      </c>
      <c r="J164" s="6" t="n">
        <f aca="false">A164</f>
        <v>163</v>
      </c>
      <c r="K164" s="13" t="n">
        <f aca="false">SMALL($G$2:$G$1387,J164)</f>
        <v>-1.17312032684055</v>
      </c>
      <c r="L164" s="18" t="n">
        <f aca="false">(J164-0.5)/1386</f>
        <v>0.117243867243867</v>
      </c>
      <c r="M164" s="18" t="n">
        <f aca="false">_xlfn.NORM.DIST(K164,AVERAGE($G$2:$G$1387),_xlfn.STDEV.S($G$2:$G$1387),TRUE())</f>
        <v>0.119778222942374</v>
      </c>
    </row>
    <row r="165" customFormat="false" ht="15" hidden="false" customHeight="false" outlineLevel="0" collapsed="false">
      <c r="A165" s="0" t="n">
        <f aca="false">ROW()-1</f>
        <v>164</v>
      </c>
      <c r="B165" s="0" t="str">
        <f aca="false">'Analysis Data'!A165</f>
        <v>Jenkintown</v>
      </c>
      <c r="C165" s="5" t="n">
        <f aca="false">'Analysis Data'!B165</f>
        <v>40365</v>
      </c>
      <c r="D165" s="6" t="n">
        <f aca="false">'Analysis Data'!C165</f>
        <v>285.293453923698</v>
      </c>
      <c r="E165" s="15" t="n">
        <f aca="false">SUMPRODUCT('Final Model'!$B$45:$I$45,'Analysis Data'!N165:U165)</f>
        <v>280.963871775186</v>
      </c>
      <c r="F165" s="15" t="n">
        <f aca="false">D165-E165</f>
        <v>4.32958214851169</v>
      </c>
      <c r="G165" s="13" t="n">
        <f aca="false">F165/'Final Model'!$B$21</f>
        <v>0.0883011161189961</v>
      </c>
      <c r="H165" s="6" t="n">
        <f aca="false">F165^2</f>
        <v>18.7452815807111</v>
      </c>
      <c r="J165" s="6" t="n">
        <f aca="false">A165</f>
        <v>164</v>
      </c>
      <c r="K165" s="13" t="n">
        <f aca="false">SMALL($G$2:$G$1387,J165)</f>
        <v>-1.16802446859825</v>
      </c>
      <c r="L165" s="18" t="n">
        <f aca="false">(J165-0.5)/1386</f>
        <v>0.117965367965368</v>
      </c>
      <c r="M165" s="18" t="n">
        <f aca="false">_xlfn.NORM.DIST(K165,AVERAGE($G$2:$G$1387),_xlfn.STDEV.S($G$2:$G$1387),TRUE())</f>
        <v>0.120801922724581</v>
      </c>
    </row>
    <row r="166" customFormat="false" ht="15" hidden="false" customHeight="false" outlineLevel="0" collapsed="false">
      <c r="A166" s="0" t="n">
        <f aca="false">ROW()-1</f>
        <v>165</v>
      </c>
      <c r="B166" s="0" t="str">
        <f aca="false">'Analysis Data'!A166</f>
        <v>Jenkintown</v>
      </c>
      <c r="C166" s="5" t="n">
        <f aca="false">'Analysis Data'!B166</f>
        <v>40372</v>
      </c>
      <c r="D166" s="6" t="n">
        <f aca="false">'Analysis Data'!C166</f>
        <v>272.734472461974</v>
      </c>
      <c r="E166" s="15" t="n">
        <f aca="false">SUMPRODUCT('Final Model'!$B$45:$I$45,'Analysis Data'!N166:U166)</f>
        <v>278.20312602425</v>
      </c>
      <c r="F166" s="15" t="n">
        <f aca="false">D166-E166</f>
        <v>-5.4686535622759</v>
      </c>
      <c r="G166" s="13" t="n">
        <f aca="false">F166/'Final Model'!$B$21</f>
        <v>-0.111532290335011</v>
      </c>
      <c r="H166" s="6" t="n">
        <f aca="false">F166^2</f>
        <v>29.9061717841929</v>
      </c>
      <c r="J166" s="6" t="n">
        <f aca="false">A166</f>
        <v>165</v>
      </c>
      <c r="K166" s="13" t="n">
        <f aca="false">SMALL($G$2:$G$1387,J166)</f>
        <v>-1.16766081753196</v>
      </c>
      <c r="L166" s="18" t="n">
        <f aca="false">(J166-0.5)/1386</f>
        <v>0.118686868686869</v>
      </c>
      <c r="M166" s="18" t="n">
        <f aca="false">_xlfn.NORM.DIST(K166,AVERAGE($G$2:$G$1387),_xlfn.STDEV.S($G$2:$G$1387),TRUE())</f>
        <v>0.120875210766384</v>
      </c>
    </row>
    <row r="167" customFormat="false" ht="15" hidden="false" customHeight="false" outlineLevel="0" collapsed="false">
      <c r="A167" s="0" t="n">
        <f aca="false">ROW()-1</f>
        <v>166</v>
      </c>
      <c r="B167" s="0" t="str">
        <f aca="false">'Analysis Data'!A167</f>
        <v>Kentlands</v>
      </c>
      <c r="C167" s="5" t="n">
        <f aca="false">'Analysis Data'!B167</f>
        <v>40302</v>
      </c>
      <c r="D167" s="6" t="n">
        <f aca="false">'Analysis Data'!C167</f>
        <v>133.167384074486</v>
      </c>
      <c r="E167" s="15" t="n">
        <f aca="false">SUMPRODUCT('Final Model'!$B$45:$I$45,'Analysis Data'!N167:U167)</f>
        <v>190.420153385919</v>
      </c>
      <c r="F167" s="15" t="n">
        <f aca="false">D167-E167</f>
        <v>-57.2527693114328</v>
      </c>
      <c r="G167" s="13" t="n">
        <f aca="false">F167/'Final Model'!$B$21</f>
        <v>-1.16766081753196</v>
      </c>
      <c r="H167" s="6" t="n">
        <f aca="false">F167^2</f>
        <v>3277.87959382814</v>
      </c>
      <c r="J167" s="6" t="n">
        <f aca="false">A167</f>
        <v>166</v>
      </c>
      <c r="K167" s="13" t="n">
        <f aca="false">SMALL($G$2:$G$1387,J167)</f>
        <v>-1.16752111864766</v>
      </c>
      <c r="L167" s="18" t="n">
        <f aca="false">(J167-0.5)/1386</f>
        <v>0.119408369408369</v>
      </c>
      <c r="M167" s="18" t="n">
        <f aca="false">_xlfn.NORM.DIST(K167,AVERAGE($G$2:$G$1387),_xlfn.STDEV.S($G$2:$G$1387),TRUE())</f>
        <v>0.120903373153919</v>
      </c>
    </row>
    <row r="168" customFormat="false" ht="15" hidden="false" customHeight="false" outlineLevel="0" collapsed="false">
      <c r="A168" s="0" t="n">
        <f aca="false">ROW()-1</f>
        <v>167</v>
      </c>
      <c r="B168" s="0" t="str">
        <f aca="false">'Analysis Data'!A168</f>
        <v>Kentlands</v>
      </c>
      <c r="C168" s="5" t="n">
        <f aca="false">'Analysis Data'!B168</f>
        <v>40309</v>
      </c>
      <c r="D168" s="6" t="n">
        <f aca="false">'Analysis Data'!C168</f>
        <v>228.090610926876</v>
      </c>
      <c r="E168" s="15" t="n">
        <f aca="false">SUMPRODUCT('Final Model'!$B$45:$I$45,'Analysis Data'!N168:U168)</f>
        <v>198.458609994717</v>
      </c>
      <c r="F168" s="15" t="n">
        <f aca="false">D168-E168</f>
        <v>29.6320009321589</v>
      </c>
      <c r="G168" s="13" t="n">
        <f aca="false">F168/'Final Model'!$B$21</f>
        <v>0.604339787396852</v>
      </c>
      <c r="H168" s="6" t="n">
        <f aca="false">F168^2</f>
        <v>878.055479243464</v>
      </c>
      <c r="J168" s="6" t="n">
        <f aca="false">A168</f>
        <v>167</v>
      </c>
      <c r="K168" s="13" t="n">
        <f aca="false">SMALL($G$2:$G$1387,J168)</f>
        <v>-1.16345395287826</v>
      </c>
      <c r="L168" s="18" t="n">
        <f aca="false">(J168-0.5)/1386</f>
        <v>0.12012987012987</v>
      </c>
      <c r="M168" s="18" t="n">
        <f aca="false">_xlfn.NORM.DIST(K168,AVERAGE($G$2:$G$1387),_xlfn.STDEV.S($G$2:$G$1387),TRUE())</f>
        <v>0.121725312127486</v>
      </c>
    </row>
    <row r="169" customFormat="false" ht="15" hidden="false" customHeight="false" outlineLevel="0" collapsed="false">
      <c r="A169" s="0" t="n">
        <f aca="false">ROW()-1</f>
        <v>168</v>
      </c>
      <c r="B169" s="0" t="str">
        <f aca="false">'Analysis Data'!A169</f>
        <v>Kentlands</v>
      </c>
      <c r="C169" s="5" t="n">
        <f aca="false">'Analysis Data'!B169</f>
        <v>40316</v>
      </c>
      <c r="D169" s="6" t="n">
        <f aca="false">'Analysis Data'!C169</f>
        <v>169.671409766101</v>
      </c>
      <c r="E169" s="15" t="n">
        <f aca="false">SUMPRODUCT('Final Model'!$B$45:$I$45,'Analysis Data'!N169:U169)</f>
        <v>202.871880293205</v>
      </c>
      <c r="F169" s="15" t="n">
        <f aca="false">D169-E169</f>
        <v>-33.2004705271042</v>
      </c>
      <c r="G169" s="13" t="n">
        <f aca="false">F169/'Final Model'!$B$21</f>
        <v>-0.677118138115684</v>
      </c>
      <c r="H169" s="6" t="n">
        <f aca="false">F169^2</f>
        <v>1102.27124322112</v>
      </c>
      <c r="J169" s="6" t="n">
        <f aca="false">A169</f>
        <v>168</v>
      </c>
      <c r="K169" s="13" t="n">
        <f aca="false">SMALL($G$2:$G$1387,J169)</f>
        <v>-1.15962993286714</v>
      </c>
      <c r="L169" s="18" t="n">
        <f aca="false">(J169-0.5)/1386</f>
        <v>0.120851370851371</v>
      </c>
      <c r="M169" s="18" t="n">
        <f aca="false">_xlfn.NORM.DIST(K169,AVERAGE($G$2:$G$1387),_xlfn.STDEV.S($G$2:$G$1387),TRUE())</f>
        <v>0.122501687425014</v>
      </c>
    </row>
    <row r="170" customFormat="false" ht="15" hidden="false" customHeight="false" outlineLevel="0" collapsed="false">
      <c r="A170" s="0" t="n">
        <f aca="false">ROW()-1</f>
        <v>169</v>
      </c>
      <c r="B170" s="0" t="str">
        <f aca="false">'Analysis Data'!A170</f>
        <v>Kentlands</v>
      </c>
      <c r="C170" s="5" t="n">
        <f aca="false">'Analysis Data'!B170</f>
        <v>40323</v>
      </c>
      <c r="D170" s="6" t="n">
        <f aca="false">'Analysis Data'!C170</f>
        <v>182.000336200253</v>
      </c>
      <c r="E170" s="15" t="n">
        <f aca="false">SUMPRODUCT('Final Model'!$B$45:$I$45,'Analysis Data'!N170:U170)</f>
        <v>199.286098175684</v>
      </c>
      <c r="F170" s="15" t="n">
        <f aca="false">D170-E170</f>
        <v>-17.2857619754312</v>
      </c>
      <c r="G170" s="13" t="n">
        <f aca="false">F170/'Final Model'!$B$21</f>
        <v>-0.352540273643397</v>
      </c>
      <c r="H170" s="6" t="n">
        <f aca="false">F170^2</f>
        <v>298.797567071264</v>
      </c>
      <c r="J170" s="6" t="n">
        <f aca="false">A170</f>
        <v>169</v>
      </c>
      <c r="K170" s="13" t="n">
        <f aca="false">SMALL($G$2:$G$1387,J170)</f>
        <v>-1.1590953613645</v>
      </c>
      <c r="L170" s="18" t="n">
        <f aca="false">(J170-0.5)/1386</f>
        <v>0.121572871572872</v>
      </c>
      <c r="M170" s="18" t="n">
        <f aca="false">_xlfn.NORM.DIST(K170,AVERAGE($G$2:$G$1387),_xlfn.STDEV.S($G$2:$G$1387),TRUE())</f>
        <v>0.122610495508118</v>
      </c>
    </row>
    <row r="171" customFormat="false" ht="15" hidden="false" customHeight="false" outlineLevel="0" collapsed="false">
      <c r="A171" s="0" t="n">
        <f aca="false">ROW()-1</f>
        <v>170</v>
      </c>
      <c r="B171" s="0" t="str">
        <f aca="false">'Analysis Data'!A171</f>
        <v>Kentlands</v>
      </c>
      <c r="C171" s="5" t="n">
        <f aca="false">'Analysis Data'!B171</f>
        <v>40330</v>
      </c>
      <c r="D171" s="6" t="n">
        <f aca="false">'Analysis Data'!C171</f>
        <v>249.755523961754</v>
      </c>
      <c r="E171" s="15" t="n">
        <f aca="false">SUMPRODUCT('Final Model'!$B$45:$I$45,'Analysis Data'!N171:U171)</f>
        <v>202.871880293205</v>
      </c>
      <c r="F171" s="15" t="n">
        <f aca="false">D171-E171</f>
        <v>46.883643668549</v>
      </c>
      <c r="G171" s="13" t="n">
        <f aca="false">F171/'Final Model'!$B$21</f>
        <v>0.956184204769341</v>
      </c>
      <c r="H171" s="6" t="n">
        <f aca="false">F171^2</f>
        <v>2198.07604363948</v>
      </c>
      <c r="J171" s="6" t="n">
        <f aca="false">A171</f>
        <v>170</v>
      </c>
      <c r="K171" s="13" t="n">
        <f aca="false">SMALL($G$2:$G$1387,J171)</f>
        <v>-1.15873126113989</v>
      </c>
      <c r="L171" s="18" t="n">
        <f aca="false">(J171-0.5)/1386</f>
        <v>0.122294372294372</v>
      </c>
      <c r="M171" s="18" t="n">
        <f aca="false">_xlfn.NORM.DIST(K171,AVERAGE($G$2:$G$1387),_xlfn.STDEV.S($G$2:$G$1387),TRUE())</f>
        <v>0.122684644226657</v>
      </c>
    </row>
    <row r="172" customFormat="false" ht="15" hidden="false" customHeight="false" outlineLevel="0" collapsed="false">
      <c r="A172" s="0" t="n">
        <f aca="false">ROW()-1</f>
        <v>171</v>
      </c>
      <c r="B172" s="0" t="str">
        <f aca="false">'Analysis Data'!A172</f>
        <v>Kentlands</v>
      </c>
      <c r="C172" s="5" t="n">
        <f aca="false">'Analysis Data'!B172</f>
        <v>40337</v>
      </c>
      <c r="D172" s="6" t="n">
        <f aca="false">'Analysis Data'!C172</f>
        <v>200.277994225527</v>
      </c>
      <c r="E172" s="15" t="n">
        <f aca="false">SUMPRODUCT('Final Model'!$B$45:$I$45,'Analysis Data'!N172:U172)</f>
        <v>198.458609994717</v>
      </c>
      <c r="F172" s="15" t="n">
        <f aca="false">D172-E172</f>
        <v>1.81938423080965</v>
      </c>
      <c r="G172" s="13" t="n">
        <f aca="false">F172/'Final Model'!$B$21</f>
        <v>0.0371060422736218</v>
      </c>
      <c r="H172" s="6" t="n">
        <f aca="false">F172^2</f>
        <v>3.31015897931881</v>
      </c>
      <c r="J172" s="6" t="n">
        <f aca="false">A172</f>
        <v>171</v>
      </c>
      <c r="K172" s="13" t="n">
        <f aca="false">SMALL($G$2:$G$1387,J172)</f>
        <v>-1.15719576173004</v>
      </c>
      <c r="L172" s="18" t="n">
        <f aca="false">(J172-0.5)/1386</f>
        <v>0.123015873015873</v>
      </c>
      <c r="M172" s="18" t="n">
        <f aca="false">_xlfn.NORM.DIST(K172,AVERAGE($G$2:$G$1387),_xlfn.STDEV.S($G$2:$G$1387),TRUE())</f>
        <v>0.122997693460923</v>
      </c>
    </row>
    <row r="173" customFormat="false" ht="15" hidden="false" customHeight="false" outlineLevel="0" collapsed="false">
      <c r="A173" s="0" t="n">
        <f aca="false">ROW()-1</f>
        <v>172</v>
      </c>
      <c r="B173" s="0" t="str">
        <f aca="false">'Analysis Data'!A173</f>
        <v>Kentlands</v>
      </c>
      <c r="C173" s="5" t="n">
        <f aca="false">'Analysis Data'!B173</f>
        <v>40344</v>
      </c>
      <c r="D173" s="6" t="n">
        <f aca="false">'Analysis Data'!C173</f>
        <v>203.475037195714</v>
      </c>
      <c r="E173" s="15" t="n">
        <f aca="false">SUMPRODUCT('Final Model'!$B$45:$I$45,'Analysis Data'!N173:U173)</f>
        <v>305.211306402516</v>
      </c>
      <c r="F173" s="15" t="n">
        <f aca="false">D173-E173</f>
        <v>-101.736269206803</v>
      </c>
      <c r="G173" s="13" t="n">
        <f aca="false">F173/'Final Model'!$B$21</f>
        <v>-2.07489448464015</v>
      </c>
      <c r="H173" s="6" t="n">
        <f aca="false">F173^2</f>
        <v>10350.268472119</v>
      </c>
      <c r="J173" s="6" t="n">
        <f aca="false">A173</f>
        <v>172</v>
      </c>
      <c r="K173" s="13" t="n">
        <f aca="false">SMALL($G$2:$G$1387,J173)</f>
        <v>-1.15605808686712</v>
      </c>
      <c r="L173" s="18" t="n">
        <f aca="false">(J173-0.5)/1386</f>
        <v>0.123737373737374</v>
      </c>
      <c r="M173" s="18" t="n">
        <f aca="false">_xlfn.NORM.DIST(K173,AVERAGE($G$2:$G$1387),_xlfn.STDEV.S($G$2:$G$1387),TRUE())</f>
        <v>0.12322999727377</v>
      </c>
    </row>
    <row r="174" customFormat="false" ht="15" hidden="false" customHeight="false" outlineLevel="0" collapsed="false">
      <c r="A174" s="0" t="n">
        <f aca="false">ROW()-1</f>
        <v>173</v>
      </c>
      <c r="B174" s="0" t="str">
        <f aca="false">'Analysis Data'!A174</f>
        <v>Kentlands</v>
      </c>
      <c r="C174" s="5" t="n">
        <f aca="false">'Analysis Data'!B174</f>
        <v>40351</v>
      </c>
      <c r="D174" s="6" t="n">
        <f aca="false">'Analysis Data'!C174</f>
        <v>344.802298261836</v>
      </c>
      <c r="E174" s="15" t="n">
        <f aca="false">SUMPRODUCT('Final Model'!$B$45:$I$45,'Analysis Data'!N174:U174)</f>
        <v>271.828402257316</v>
      </c>
      <c r="F174" s="15" t="n">
        <f aca="false">D174-E174</f>
        <v>72.9738960045197</v>
      </c>
      <c r="G174" s="13" t="n">
        <f aca="false">F174/'Final Model'!$B$21</f>
        <v>1.48829061182398</v>
      </c>
      <c r="H174" s="6" t="n">
        <f aca="false">F174^2</f>
        <v>5325.18949807846</v>
      </c>
      <c r="J174" s="6" t="n">
        <f aca="false">A174</f>
        <v>173</v>
      </c>
      <c r="K174" s="13" t="n">
        <f aca="false">SMALL($G$2:$G$1387,J174)</f>
        <v>-1.15558932988964</v>
      </c>
      <c r="L174" s="18" t="n">
        <f aca="false">(J174-0.5)/1386</f>
        <v>0.124458874458874</v>
      </c>
      <c r="M174" s="18" t="n">
        <f aca="false">_xlfn.NORM.DIST(K174,AVERAGE($G$2:$G$1387),_xlfn.STDEV.S($G$2:$G$1387),TRUE())</f>
        <v>0.123325802961261</v>
      </c>
    </row>
    <row r="175" customFormat="false" ht="15" hidden="false" customHeight="false" outlineLevel="0" collapsed="false">
      <c r="A175" s="0" t="n">
        <f aca="false">ROW()-1</f>
        <v>174</v>
      </c>
      <c r="B175" s="0" t="str">
        <f aca="false">'Analysis Data'!A175</f>
        <v>Kentlands</v>
      </c>
      <c r="C175" s="5" t="n">
        <f aca="false">'Analysis Data'!B175</f>
        <v>40358</v>
      </c>
      <c r="D175" s="6" t="n">
        <f aca="false">'Analysis Data'!C175</f>
        <v>266.018533653525</v>
      </c>
      <c r="E175" s="15" t="n">
        <f aca="false">SUMPRODUCT('Final Model'!$B$45:$I$45,'Analysis Data'!N175:U175)</f>
        <v>269.744357959504</v>
      </c>
      <c r="F175" s="15" t="n">
        <f aca="false">D175-E175</f>
        <v>-3.72582430597873</v>
      </c>
      <c r="G175" s="13" t="n">
        <f aca="false">F175/'Final Model'!$B$21</f>
        <v>-0.0759875741806398</v>
      </c>
      <c r="H175" s="6" t="n">
        <f aca="false">F175^2</f>
        <v>13.8817667590219</v>
      </c>
      <c r="J175" s="6" t="n">
        <f aca="false">A175</f>
        <v>174</v>
      </c>
      <c r="K175" s="13" t="n">
        <f aca="false">SMALL($G$2:$G$1387,J175)</f>
        <v>-1.15030255971641</v>
      </c>
      <c r="L175" s="18" t="n">
        <f aca="false">(J175-0.5)/1386</f>
        <v>0.125180375180375</v>
      </c>
      <c r="M175" s="18" t="n">
        <f aca="false">_xlfn.NORM.DIST(K175,AVERAGE($G$2:$G$1387),_xlfn.STDEV.S($G$2:$G$1387),TRUE())</f>
        <v>0.124409940100768</v>
      </c>
    </row>
    <row r="176" customFormat="false" ht="15" hidden="false" customHeight="false" outlineLevel="0" collapsed="false">
      <c r="A176" s="0" t="n">
        <f aca="false">ROW()-1</f>
        <v>175</v>
      </c>
      <c r="B176" s="0" t="str">
        <f aca="false">'Analysis Data'!A176</f>
        <v>Kentlands</v>
      </c>
      <c r="C176" s="5" t="n">
        <f aca="false">'Analysis Data'!B176</f>
        <v>40365</v>
      </c>
      <c r="D176" s="6" t="n">
        <f aca="false">'Analysis Data'!C176</f>
        <v>299.905505818737</v>
      </c>
      <c r="E176" s="15" t="n">
        <f aca="false">SUMPRODUCT('Final Model'!$B$45:$I$45,'Analysis Data'!N176:U176)</f>
        <v>280.963871775186</v>
      </c>
      <c r="F176" s="15" t="n">
        <f aca="false">D176-E176</f>
        <v>18.9416340435509</v>
      </c>
      <c r="G176" s="13" t="n">
        <f aca="false">F176/'Final Model'!$B$21</f>
        <v>0.386311512240983</v>
      </c>
      <c r="H176" s="6" t="n">
        <f aca="false">F176^2</f>
        <v>358.785500239806</v>
      </c>
      <c r="J176" s="6" t="n">
        <f aca="false">A176</f>
        <v>175</v>
      </c>
      <c r="K176" s="13" t="n">
        <f aca="false">SMALL($G$2:$G$1387,J176)</f>
        <v>-1.1491786596117</v>
      </c>
      <c r="L176" s="18" t="n">
        <f aca="false">(J176-0.5)/1386</f>
        <v>0.125901875901876</v>
      </c>
      <c r="M176" s="18" t="n">
        <f aca="false">_xlfn.NORM.DIST(K176,AVERAGE($G$2:$G$1387),_xlfn.STDEV.S($G$2:$G$1387),TRUE())</f>
        <v>0.124641270240128</v>
      </c>
    </row>
    <row r="177" customFormat="false" ht="15" hidden="false" customHeight="false" outlineLevel="0" collapsed="false">
      <c r="A177" s="0" t="n">
        <f aca="false">ROW()-1</f>
        <v>176</v>
      </c>
      <c r="B177" s="0" t="str">
        <f aca="false">'Analysis Data'!A177</f>
        <v>Kentlands</v>
      </c>
      <c r="C177" s="5" t="n">
        <f aca="false">'Analysis Data'!B177</f>
        <v>40372</v>
      </c>
      <c r="D177" s="6" t="n">
        <f aca="false">'Analysis Data'!C177</f>
        <v>332.742983986616</v>
      </c>
      <c r="E177" s="15" t="n">
        <f aca="false">SUMPRODUCT('Final Model'!$B$45:$I$45,'Analysis Data'!N177:U177)</f>
        <v>283.528868018829</v>
      </c>
      <c r="F177" s="15" t="n">
        <f aca="false">D177-E177</f>
        <v>49.2141159677875</v>
      </c>
      <c r="G177" s="13" t="n">
        <f aca="false">F177/'Final Model'!$B$21</f>
        <v>1.00371380417373</v>
      </c>
      <c r="H177" s="6" t="n">
        <f aca="false">F177^2</f>
        <v>2422.02921049084</v>
      </c>
      <c r="J177" s="6" t="n">
        <f aca="false">A177</f>
        <v>176</v>
      </c>
      <c r="K177" s="13" t="n">
        <f aca="false">SMALL($G$2:$G$1387,J177)</f>
        <v>-1.14579766400407</v>
      </c>
      <c r="L177" s="18" t="n">
        <f aca="false">(J177-0.5)/1386</f>
        <v>0.126623376623377</v>
      </c>
      <c r="M177" s="18" t="n">
        <f aca="false">_xlfn.NORM.DIST(K177,AVERAGE($G$2:$G$1387),_xlfn.STDEV.S($G$2:$G$1387),TRUE())</f>
        <v>0.125338985924479</v>
      </c>
    </row>
    <row r="178" customFormat="false" ht="15" hidden="false" customHeight="false" outlineLevel="0" collapsed="false">
      <c r="A178" s="0" t="n">
        <f aca="false">ROW()-1</f>
        <v>177</v>
      </c>
      <c r="B178" s="0" t="str">
        <f aca="false">'Analysis Data'!A178</f>
        <v>Louisville</v>
      </c>
      <c r="C178" s="5" t="n">
        <f aca="false">'Analysis Data'!B178</f>
        <v>40302</v>
      </c>
      <c r="D178" s="6" t="n">
        <f aca="false">'Analysis Data'!C178</f>
        <v>245.79503869785</v>
      </c>
      <c r="E178" s="15" t="n">
        <f aca="false">SUMPRODUCT('Final Model'!$B$45:$I$45,'Analysis Data'!N178:U178)</f>
        <v>189.019115184715</v>
      </c>
      <c r="F178" s="15" t="n">
        <f aca="false">D178-E178</f>
        <v>56.7759235131352</v>
      </c>
      <c r="G178" s="13" t="n">
        <f aca="false">F178/'Final Model'!$B$21</f>
        <v>1.15793562587095</v>
      </c>
      <c r="H178" s="6" t="n">
        <f aca="false">F178^2</f>
        <v>3223.50549076938</v>
      </c>
      <c r="J178" s="6" t="n">
        <f aca="false">A178</f>
        <v>177</v>
      </c>
      <c r="K178" s="13" t="n">
        <f aca="false">SMALL($G$2:$G$1387,J178)</f>
        <v>-1.14306176596991</v>
      </c>
      <c r="L178" s="18" t="n">
        <f aca="false">(J178-0.5)/1386</f>
        <v>0.127344877344877</v>
      </c>
      <c r="M178" s="18" t="n">
        <f aca="false">_xlfn.NORM.DIST(K178,AVERAGE($G$2:$G$1387),_xlfn.STDEV.S($G$2:$G$1387),TRUE())</f>
        <v>0.125905569047133</v>
      </c>
    </row>
    <row r="179" customFormat="false" ht="15" hidden="false" customHeight="false" outlineLevel="0" collapsed="false">
      <c r="A179" s="0" t="n">
        <f aca="false">ROW()-1</f>
        <v>178</v>
      </c>
      <c r="B179" s="0" t="str">
        <f aca="false">'Analysis Data'!A179</f>
        <v>Louisville</v>
      </c>
      <c r="C179" s="5" t="n">
        <f aca="false">'Analysis Data'!B179</f>
        <v>40309</v>
      </c>
      <c r="D179" s="6" t="n">
        <f aca="false">'Analysis Data'!C179</f>
        <v>215.646118693759</v>
      </c>
      <c r="E179" s="15" t="n">
        <f aca="false">SUMPRODUCT('Final Model'!$B$45:$I$45,'Analysis Data'!N179:U179)</f>
        <v>187.057661716268</v>
      </c>
      <c r="F179" s="15" t="n">
        <f aca="false">D179-E179</f>
        <v>28.5884569774912</v>
      </c>
      <c r="G179" s="13" t="n">
        <f aca="false">F179/'Final Model'!$B$21</f>
        <v>0.583056880004031</v>
      </c>
      <c r="H179" s="6" t="n">
        <f aca="false">F179^2</f>
        <v>817.299872353867</v>
      </c>
      <c r="J179" s="6" t="n">
        <f aca="false">A179</f>
        <v>178</v>
      </c>
      <c r="K179" s="13" t="n">
        <f aca="false">SMALL($G$2:$G$1387,J179)</f>
        <v>-1.13948346637499</v>
      </c>
      <c r="L179" s="18" t="n">
        <f aca="false">(J179-0.5)/1386</f>
        <v>0.128066378066378</v>
      </c>
      <c r="M179" s="18" t="n">
        <f aca="false">_xlfn.NORM.DIST(K179,AVERAGE($G$2:$G$1387),_xlfn.STDEV.S($G$2:$G$1387),TRUE())</f>
        <v>0.126649299200735</v>
      </c>
    </row>
    <row r="180" customFormat="false" ht="15" hidden="false" customHeight="false" outlineLevel="0" collapsed="false">
      <c r="A180" s="0" t="n">
        <f aca="false">ROW()-1</f>
        <v>179</v>
      </c>
      <c r="B180" s="0" t="str">
        <f aca="false">'Analysis Data'!A180</f>
        <v>Louisville</v>
      </c>
      <c r="C180" s="5" t="n">
        <f aca="false">'Analysis Data'!B180</f>
        <v>40316</v>
      </c>
      <c r="D180" s="6" t="n">
        <f aca="false">'Analysis Data'!C180</f>
        <v>138.306791004609</v>
      </c>
      <c r="E180" s="15" t="n">
        <f aca="false">SUMPRODUCT('Final Model'!$B$45:$I$45,'Analysis Data'!N180:U180)</f>
        <v>197.171406165014</v>
      </c>
      <c r="F180" s="15" t="n">
        <f aca="false">D180-E180</f>
        <v>-58.8646151604046</v>
      </c>
      <c r="G180" s="13" t="n">
        <f aca="false">F180/'Final Model'!$B$21</f>
        <v>-1.2005341486281</v>
      </c>
      <c r="H180" s="6" t="n">
        <f aca="false">F180^2</f>
        <v>3465.04291798254</v>
      </c>
      <c r="J180" s="6" t="n">
        <f aca="false">A180</f>
        <v>179</v>
      </c>
      <c r="K180" s="13" t="n">
        <f aca="false">SMALL($G$2:$G$1387,J180)</f>
        <v>-1.13650935623032</v>
      </c>
      <c r="L180" s="18" t="n">
        <f aca="false">(J180-0.5)/1386</f>
        <v>0.128787878787879</v>
      </c>
      <c r="M180" s="18" t="n">
        <f aca="false">_xlfn.NORM.DIST(K180,AVERAGE($G$2:$G$1387),_xlfn.STDEV.S($G$2:$G$1387),TRUE())</f>
        <v>0.127269775886069</v>
      </c>
    </row>
    <row r="181" customFormat="false" ht="15" hidden="false" customHeight="false" outlineLevel="0" collapsed="false">
      <c r="A181" s="0" t="n">
        <f aca="false">ROW()-1</f>
        <v>180</v>
      </c>
      <c r="B181" s="0" t="str">
        <f aca="false">'Analysis Data'!A181</f>
        <v>Louisville</v>
      </c>
      <c r="C181" s="5" t="n">
        <f aca="false">'Analysis Data'!B181</f>
        <v>40323</v>
      </c>
      <c r="D181" s="6" t="n">
        <f aca="false">'Analysis Data'!C181</f>
        <v>201.37415502875</v>
      </c>
      <c r="E181" s="15" t="n">
        <f aca="false">SUMPRODUCT('Final Model'!$B$45:$I$45,'Analysis Data'!N181:U181)</f>
        <v>197.171406165014</v>
      </c>
      <c r="F181" s="15" t="n">
        <f aca="false">D181-E181</f>
        <v>4.20274886373596</v>
      </c>
      <c r="G181" s="13" t="n">
        <f aca="false">F181/'Final Model'!$B$21</f>
        <v>0.0857143721278733</v>
      </c>
      <c r="H181" s="6" t="n">
        <f aca="false">F181^2</f>
        <v>17.6630980116339</v>
      </c>
      <c r="J181" s="6" t="n">
        <f aca="false">A181</f>
        <v>180</v>
      </c>
      <c r="K181" s="13" t="n">
        <f aca="false">SMALL($G$2:$G$1387,J181)</f>
        <v>-1.13338174730432</v>
      </c>
      <c r="L181" s="18" t="n">
        <f aca="false">(J181-0.5)/1386</f>
        <v>0.12950937950938</v>
      </c>
      <c r="M181" s="18" t="n">
        <f aca="false">_xlfn.NORM.DIST(K181,AVERAGE($G$2:$G$1387),_xlfn.STDEV.S($G$2:$G$1387),TRUE())</f>
        <v>0.127924554230605</v>
      </c>
    </row>
    <row r="182" customFormat="false" ht="15" hidden="false" customHeight="false" outlineLevel="0" collapsed="false">
      <c r="A182" s="0" t="n">
        <f aca="false">ROW()-1</f>
        <v>181</v>
      </c>
      <c r="B182" s="0" t="str">
        <f aca="false">'Analysis Data'!A182</f>
        <v>Louisville</v>
      </c>
      <c r="C182" s="5" t="n">
        <f aca="false">'Analysis Data'!B182</f>
        <v>40330</v>
      </c>
      <c r="D182" s="6" t="n">
        <f aca="false">'Analysis Data'!C182</f>
        <v>256.985911420157</v>
      </c>
      <c r="E182" s="15" t="n">
        <f aca="false">SUMPRODUCT('Final Model'!$B$45:$I$45,'Analysis Data'!N182:U182)</f>
        <v>197.171406165014</v>
      </c>
      <c r="F182" s="15" t="n">
        <f aca="false">D182-E182</f>
        <v>59.8145052551431</v>
      </c>
      <c r="G182" s="13" t="n">
        <f aca="false">F182/'Final Model'!$B$21</f>
        <v>1.21990700094472</v>
      </c>
      <c r="H182" s="6" t="n">
        <f aca="false">F182^2</f>
        <v>3577.77503891754</v>
      </c>
      <c r="J182" s="6" t="n">
        <f aca="false">A182</f>
        <v>181</v>
      </c>
      <c r="K182" s="13" t="n">
        <f aca="false">SMALL($G$2:$G$1387,J182)</f>
        <v>-1.13223599692432</v>
      </c>
      <c r="L182" s="18" t="n">
        <f aca="false">(J182-0.5)/1386</f>
        <v>0.13023088023088</v>
      </c>
      <c r="M182" s="18" t="n">
        <f aca="false">_xlfn.NORM.DIST(K182,AVERAGE($G$2:$G$1387),_xlfn.STDEV.S($G$2:$G$1387),TRUE())</f>
        <v>0.128165006761323</v>
      </c>
    </row>
    <row r="183" customFormat="false" ht="15" hidden="false" customHeight="false" outlineLevel="0" collapsed="false">
      <c r="A183" s="0" t="n">
        <f aca="false">ROW()-1</f>
        <v>182</v>
      </c>
      <c r="B183" s="0" t="str">
        <f aca="false">'Analysis Data'!A183</f>
        <v>Louisville</v>
      </c>
      <c r="C183" s="5" t="n">
        <f aca="false">'Analysis Data'!B183</f>
        <v>40337</v>
      </c>
      <c r="D183" s="6" t="n">
        <f aca="false">'Analysis Data'!C183</f>
        <v>188.104373882119</v>
      </c>
      <c r="E183" s="15" t="n">
        <f aca="false">SUMPRODUCT('Final Model'!$B$45:$I$45,'Analysis Data'!N183:U183)</f>
        <v>187.057661716268</v>
      </c>
      <c r="F183" s="15" t="n">
        <f aca="false">D183-E183</f>
        <v>1.04671216585123</v>
      </c>
      <c r="G183" s="13" t="n">
        <f aca="false">F183/'Final Model'!$B$21</f>
        <v>0.0213475225390439</v>
      </c>
      <c r="H183" s="6" t="n">
        <f aca="false">F183^2</f>
        <v>1.09560635814098</v>
      </c>
      <c r="J183" s="6" t="n">
        <f aca="false">A183</f>
        <v>182</v>
      </c>
      <c r="K183" s="13" t="n">
        <f aca="false">SMALL($G$2:$G$1387,J183)</f>
        <v>-1.13086044046732</v>
      </c>
      <c r="L183" s="18" t="n">
        <f aca="false">(J183-0.5)/1386</f>
        <v>0.130952380952381</v>
      </c>
      <c r="M183" s="18" t="n">
        <f aca="false">_xlfn.NORM.DIST(K183,AVERAGE($G$2:$G$1387),_xlfn.STDEV.S($G$2:$G$1387),TRUE())</f>
        <v>0.128454101891377</v>
      </c>
    </row>
    <row r="184" customFormat="false" ht="15" hidden="false" customHeight="false" outlineLevel="0" collapsed="false">
      <c r="A184" s="0" t="n">
        <f aca="false">ROW()-1</f>
        <v>183</v>
      </c>
      <c r="B184" s="0" t="str">
        <f aca="false">'Analysis Data'!A184</f>
        <v>Louisville</v>
      </c>
      <c r="C184" s="5" t="n">
        <f aca="false">'Analysis Data'!B184</f>
        <v>40344</v>
      </c>
      <c r="D184" s="6" t="n">
        <f aca="false">'Analysis Data'!C184</f>
        <v>124.389850836197</v>
      </c>
      <c r="E184" s="15" t="n">
        <f aca="false">SUMPRODUCT('Final Model'!$B$45:$I$45,'Analysis Data'!N184:U184)</f>
        <v>187.057661716268</v>
      </c>
      <c r="F184" s="15" t="n">
        <f aca="false">D184-E184</f>
        <v>-62.6678108800711</v>
      </c>
      <c r="G184" s="13" t="n">
        <f aca="false">F184/'Final Model'!$B$21</f>
        <v>-1.27809970007074</v>
      </c>
      <c r="H184" s="6" t="n">
        <f aca="false">F184^2</f>
        <v>3927.25452050035</v>
      </c>
      <c r="J184" s="6" t="n">
        <f aca="false">A184</f>
        <v>183</v>
      </c>
      <c r="K184" s="13" t="n">
        <f aca="false">SMALL($G$2:$G$1387,J184)</f>
        <v>-1.13007203322533</v>
      </c>
      <c r="L184" s="18" t="n">
        <f aca="false">(J184-0.5)/1386</f>
        <v>0.131673881673882</v>
      </c>
      <c r="M184" s="18" t="n">
        <f aca="false">_xlfn.NORM.DIST(K184,AVERAGE($G$2:$G$1387),_xlfn.STDEV.S($G$2:$G$1387),TRUE())</f>
        <v>0.128620002169007</v>
      </c>
    </row>
    <row r="185" customFormat="false" ht="15" hidden="false" customHeight="false" outlineLevel="0" collapsed="false">
      <c r="A185" s="0" t="n">
        <f aca="false">ROW()-1</f>
        <v>184</v>
      </c>
      <c r="B185" s="0" t="str">
        <f aca="false">'Analysis Data'!A185</f>
        <v>Louisville</v>
      </c>
      <c r="C185" s="5" t="n">
        <f aca="false">'Analysis Data'!B185</f>
        <v>40351</v>
      </c>
      <c r="D185" s="6" t="n">
        <f aca="false">'Analysis Data'!C185</f>
        <v>156.17406821336</v>
      </c>
      <c r="E185" s="15" t="n">
        <f aca="false">SUMPRODUCT('Final Model'!$B$45:$I$45,'Analysis Data'!N185:U185)</f>
        <v>194.145641303952</v>
      </c>
      <c r="F185" s="15" t="n">
        <f aca="false">D185-E185</f>
        <v>-37.9715730905925</v>
      </c>
      <c r="G185" s="13" t="n">
        <f aca="false">F185/'Final Model'!$B$21</f>
        <v>-0.774423990510479</v>
      </c>
      <c r="H185" s="6" t="n">
        <f aca="false">F185^2</f>
        <v>1441.84036297421</v>
      </c>
      <c r="J185" s="6" t="n">
        <f aca="false">A185</f>
        <v>184</v>
      </c>
      <c r="K185" s="13" t="n">
        <f aca="false">SMALL($G$2:$G$1387,J185)</f>
        <v>-1.12989217955708</v>
      </c>
      <c r="L185" s="18" t="n">
        <f aca="false">(J185-0.5)/1386</f>
        <v>0.132395382395382</v>
      </c>
      <c r="M185" s="18" t="n">
        <f aca="false">_xlfn.NORM.DIST(K185,AVERAGE($G$2:$G$1387),_xlfn.STDEV.S($G$2:$G$1387),TRUE())</f>
        <v>0.128657868623875</v>
      </c>
    </row>
    <row r="186" customFormat="false" ht="15" hidden="false" customHeight="false" outlineLevel="0" collapsed="false">
      <c r="A186" s="0" t="n">
        <f aca="false">ROW()-1</f>
        <v>185</v>
      </c>
      <c r="B186" s="0" t="str">
        <f aca="false">'Analysis Data'!A186</f>
        <v>Louisville</v>
      </c>
      <c r="C186" s="5" t="n">
        <f aca="false">'Analysis Data'!B186</f>
        <v>40358</v>
      </c>
      <c r="D186" s="6" t="n">
        <f aca="false">'Analysis Data'!C186</f>
        <v>288.232609039248</v>
      </c>
      <c r="E186" s="15" t="n">
        <f aca="false">SUMPRODUCT('Final Model'!$B$45:$I$45,'Analysis Data'!N186:U186)</f>
        <v>187.057661716268</v>
      </c>
      <c r="F186" s="15" t="n">
        <f aca="false">D186-E186</f>
        <v>101.17494732298</v>
      </c>
      <c r="G186" s="13" t="n">
        <f aca="false">F186/'Final Model'!$B$21</f>
        <v>2.06344641710305</v>
      </c>
      <c r="H186" s="6" t="n">
        <f aca="false">F186^2</f>
        <v>10236.3699658078</v>
      </c>
      <c r="J186" s="6" t="n">
        <f aca="false">A186</f>
        <v>185</v>
      </c>
      <c r="K186" s="13" t="n">
        <f aca="false">SMALL($G$2:$G$1387,J186)</f>
        <v>-1.12525737854948</v>
      </c>
      <c r="L186" s="18" t="n">
        <f aca="false">(J186-0.5)/1386</f>
        <v>0.133116883116883</v>
      </c>
      <c r="M186" s="18" t="n">
        <f aca="false">_xlfn.NORM.DIST(K186,AVERAGE($G$2:$G$1387),_xlfn.STDEV.S($G$2:$G$1387),TRUE())</f>
        <v>0.129636350236398</v>
      </c>
    </row>
    <row r="187" customFormat="false" ht="15" hidden="false" customHeight="false" outlineLevel="0" collapsed="false">
      <c r="A187" s="0" t="n">
        <f aca="false">ROW()-1</f>
        <v>186</v>
      </c>
      <c r="B187" s="0" t="str">
        <f aca="false">'Analysis Data'!A187</f>
        <v>Louisville</v>
      </c>
      <c r="C187" s="5" t="n">
        <f aca="false">'Analysis Data'!B187</f>
        <v>40365</v>
      </c>
      <c r="D187" s="6" t="n">
        <f aca="false">'Analysis Data'!C187</f>
        <v>148.265999740598</v>
      </c>
      <c r="E187" s="15" t="n">
        <f aca="false">SUMPRODUCT('Final Model'!$B$45:$I$45,'Analysis Data'!N187:U187)</f>
        <v>194.67055298116</v>
      </c>
      <c r="F187" s="15" t="n">
        <f aca="false">D187-E187</f>
        <v>-46.4045532405614</v>
      </c>
      <c r="G187" s="13" t="n">
        <f aca="false">F187/'Final Model'!$B$21</f>
        <v>-0.946413234254835</v>
      </c>
      <c r="H187" s="6" t="n">
        <f aca="false">F187^2</f>
        <v>2153.3825614561</v>
      </c>
      <c r="J187" s="6" t="n">
        <f aca="false">A187</f>
        <v>186</v>
      </c>
      <c r="K187" s="13" t="n">
        <f aca="false">SMALL($G$2:$G$1387,J187)</f>
        <v>-1.12501644309982</v>
      </c>
      <c r="L187" s="18" t="n">
        <f aca="false">(J187-0.5)/1386</f>
        <v>0.133838383838384</v>
      </c>
      <c r="M187" s="18" t="n">
        <f aca="false">_xlfn.NORM.DIST(K187,AVERAGE($G$2:$G$1387),_xlfn.STDEV.S($G$2:$G$1387),TRUE())</f>
        <v>0.129687356177139</v>
      </c>
    </row>
    <row r="188" customFormat="false" ht="15" hidden="false" customHeight="false" outlineLevel="0" collapsed="false">
      <c r="A188" s="0" t="n">
        <f aca="false">ROW()-1</f>
        <v>187</v>
      </c>
      <c r="B188" s="0" t="str">
        <f aca="false">'Analysis Data'!A188</f>
        <v>Louisville</v>
      </c>
      <c r="C188" s="5" t="n">
        <f aca="false">'Analysis Data'!B188</f>
        <v>40372</v>
      </c>
      <c r="D188" s="6" t="n">
        <f aca="false">'Analysis Data'!C188</f>
        <v>142.457495066424</v>
      </c>
      <c r="E188" s="15" t="n">
        <f aca="false">SUMPRODUCT('Final Model'!$B$45:$I$45,'Analysis Data'!N188:U188)</f>
        <v>194.67055298116</v>
      </c>
      <c r="F188" s="15" t="n">
        <f aca="false">D188-E188</f>
        <v>-52.2130579147356</v>
      </c>
      <c r="G188" s="13" t="n">
        <f aca="false">F188/'Final Model'!$B$21</f>
        <v>-1.06487673214419</v>
      </c>
      <c r="H188" s="6" t="n">
        <f aca="false">F188^2</f>
        <v>2726.20341680753</v>
      </c>
      <c r="J188" s="6" t="n">
        <f aca="false">A188</f>
        <v>187</v>
      </c>
      <c r="K188" s="13" t="n">
        <f aca="false">SMALL($G$2:$G$1387,J188)</f>
        <v>-1.12009386536007</v>
      </c>
      <c r="L188" s="18" t="n">
        <f aca="false">(J188-0.5)/1386</f>
        <v>0.134559884559885</v>
      </c>
      <c r="M188" s="18" t="n">
        <f aca="false">_xlfn.NORM.DIST(K188,AVERAGE($G$2:$G$1387),_xlfn.STDEV.S($G$2:$G$1387),TRUE())</f>
        <v>0.130732507714921</v>
      </c>
    </row>
    <row r="189" customFormat="false" ht="15" hidden="false" customHeight="false" outlineLevel="0" collapsed="false">
      <c r="A189" s="0" t="n">
        <f aca="false">ROW()-1</f>
        <v>188</v>
      </c>
      <c r="B189" s="0" t="str">
        <f aca="false">'Analysis Data'!A189</f>
        <v>Marlton</v>
      </c>
      <c r="C189" s="5" t="n">
        <f aca="false">'Analysis Data'!B189</f>
        <v>40302</v>
      </c>
      <c r="D189" s="6" t="n">
        <f aca="false">'Analysis Data'!C189</f>
        <v>257.280289344291</v>
      </c>
      <c r="E189" s="15" t="n">
        <f aca="false">SUMPRODUCT('Final Model'!$B$45:$I$45,'Analysis Data'!N189:U189)</f>
        <v>193.572489316563</v>
      </c>
      <c r="F189" s="15" t="n">
        <f aca="false">D189-E189</f>
        <v>63.7078000277286</v>
      </c>
      <c r="G189" s="13" t="n">
        <f aca="false">F189/'Final Model'!$B$21</f>
        <v>1.29931010775902</v>
      </c>
      <c r="H189" s="6" t="n">
        <f aca="false">F189^2</f>
        <v>4058.68378437305</v>
      </c>
      <c r="J189" s="6" t="n">
        <f aca="false">A189</f>
        <v>188</v>
      </c>
      <c r="K189" s="13" t="n">
        <f aca="false">SMALL($G$2:$G$1387,J189)</f>
        <v>-1.11758900906219</v>
      </c>
      <c r="L189" s="18" t="n">
        <f aca="false">(J189-0.5)/1386</f>
        <v>0.135281385281385</v>
      </c>
      <c r="M189" s="18" t="n">
        <f aca="false">_xlfn.NORM.DIST(K189,AVERAGE($G$2:$G$1387),_xlfn.STDEV.S($G$2:$G$1387),TRUE())</f>
        <v>0.131266562861547</v>
      </c>
    </row>
    <row r="190" customFormat="false" ht="15" hidden="false" customHeight="false" outlineLevel="0" collapsed="false">
      <c r="A190" s="0" t="n">
        <f aca="false">ROW()-1</f>
        <v>189</v>
      </c>
      <c r="B190" s="0" t="str">
        <f aca="false">'Analysis Data'!A190</f>
        <v>Marlton</v>
      </c>
      <c r="C190" s="5" t="n">
        <f aca="false">'Analysis Data'!B190</f>
        <v>40309</v>
      </c>
      <c r="D190" s="6" t="n">
        <f aca="false">'Analysis Data'!C190</f>
        <v>164.275946820964</v>
      </c>
      <c r="E190" s="15" t="n">
        <f aca="false">SUMPRODUCT('Final Model'!$B$45:$I$45,'Analysis Data'!N190:U190)</f>
        <v>198.826382526947</v>
      </c>
      <c r="F190" s="15" t="n">
        <f aca="false">D190-E190</f>
        <v>-34.5504357059826</v>
      </c>
      <c r="G190" s="13" t="n">
        <f aca="false">F190/'Final Model'!$B$21</f>
        <v>-0.704650455999459</v>
      </c>
      <c r="H190" s="6" t="n">
        <f aca="false">F190^2</f>
        <v>1193.73260747324</v>
      </c>
      <c r="J190" s="6" t="n">
        <f aca="false">A190</f>
        <v>189</v>
      </c>
      <c r="K190" s="13" t="n">
        <f aca="false">SMALL($G$2:$G$1387,J190)</f>
        <v>-1.11519348011963</v>
      </c>
      <c r="L190" s="18" t="n">
        <f aca="false">(J190-0.5)/1386</f>
        <v>0.136002886002886</v>
      </c>
      <c r="M190" s="18" t="n">
        <f aca="false">_xlfn.NORM.DIST(K190,AVERAGE($G$2:$G$1387),_xlfn.STDEV.S($G$2:$G$1387),TRUE())</f>
        <v>0.131778716203229</v>
      </c>
    </row>
    <row r="191" customFormat="false" ht="15" hidden="false" customHeight="false" outlineLevel="0" collapsed="false">
      <c r="A191" s="0" t="n">
        <f aca="false">ROW()-1</f>
        <v>190</v>
      </c>
      <c r="B191" s="0" t="str">
        <f aca="false">'Analysis Data'!A191</f>
        <v>Marlton</v>
      </c>
      <c r="C191" s="5" t="n">
        <f aca="false">'Analysis Data'!B191</f>
        <v>40316</v>
      </c>
      <c r="D191" s="6" t="n">
        <f aca="false">'Analysis Data'!C191</f>
        <v>80.5251182298654</v>
      </c>
      <c r="E191" s="15" t="n">
        <f aca="false">SUMPRODUCT('Final Model'!$B$45:$I$45,'Analysis Data'!N191:U191)</f>
        <v>202.504107760976</v>
      </c>
      <c r="F191" s="15" t="n">
        <f aca="false">D191-E191</f>
        <v>-121.97898953111</v>
      </c>
      <c r="G191" s="13" t="n">
        <f aca="false">F191/'Final Model'!$B$21</f>
        <v>-2.48774143767359</v>
      </c>
      <c r="H191" s="6" t="n">
        <f aca="false">F191^2</f>
        <v>14878.8738870307</v>
      </c>
      <c r="J191" s="6" t="n">
        <f aca="false">A191</f>
        <v>190</v>
      </c>
      <c r="K191" s="13" t="n">
        <f aca="false">SMALL($G$2:$G$1387,J191)</f>
        <v>-1.11299498405359</v>
      </c>
      <c r="L191" s="18" t="n">
        <f aca="false">(J191-0.5)/1386</f>
        <v>0.136724386724387</v>
      </c>
      <c r="M191" s="18" t="n">
        <f aca="false">_xlfn.NORM.DIST(K191,AVERAGE($G$2:$G$1387),_xlfn.STDEV.S($G$2:$G$1387),TRUE())</f>
        <v>0.132249956555362</v>
      </c>
    </row>
    <row r="192" customFormat="false" ht="15" hidden="false" customHeight="false" outlineLevel="0" collapsed="false">
      <c r="A192" s="0" t="n">
        <f aca="false">ROW()-1</f>
        <v>191</v>
      </c>
      <c r="B192" s="0" t="str">
        <f aca="false">'Analysis Data'!A192</f>
        <v>Marlton</v>
      </c>
      <c r="C192" s="5" t="n">
        <f aca="false">'Analysis Data'!B192</f>
        <v>40323</v>
      </c>
      <c r="D192" s="6" t="n">
        <f aca="false">'Analysis Data'!C192</f>
        <v>271.657757635846</v>
      </c>
      <c r="E192" s="15" t="n">
        <f aca="false">SUMPRODUCT('Final Model'!$B$45:$I$45,'Analysis Data'!N192:U192)</f>
        <v>202.871880293205</v>
      </c>
      <c r="F192" s="15" t="n">
        <f aca="false">D192-E192</f>
        <v>68.7858773426406</v>
      </c>
      <c r="G192" s="13" t="n">
        <f aca="false">F192/'Final Model'!$B$21</f>
        <v>1.40287665974127</v>
      </c>
      <c r="H192" s="6" t="n">
        <f aca="false">F192^2</f>
        <v>4731.49692179679</v>
      </c>
      <c r="J192" s="6" t="n">
        <f aca="false">A192</f>
        <v>191</v>
      </c>
      <c r="K192" s="13" t="n">
        <f aca="false">SMALL($G$2:$G$1387,J192)</f>
        <v>-1.10604273136439</v>
      </c>
      <c r="L192" s="18" t="n">
        <f aca="false">(J192-0.5)/1386</f>
        <v>0.137445887445887</v>
      </c>
      <c r="M192" s="18" t="n">
        <f aca="false">_xlfn.NORM.DIST(K192,AVERAGE($G$2:$G$1387),_xlfn.STDEV.S($G$2:$G$1387),TRUE())</f>
        <v>0.133747788067391</v>
      </c>
    </row>
    <row r="193" customFormat="false" ht="15" hidden="false" customHeight="false" outlineLevel="0" collapsed="false">
      <c r="A193" s="0" t="n">
        <f aca="false">ROW()-1</f>
        <v>192</v>
      </c>
      <c r="B193" s="0" t="str">
        <f aca="false">'Analysis Data'!A193</f>
        <v>Marlton</v>
      </c>
      <c r="C193" s="5" t="n">
        <f aca="false">'Analysis Data'!B193</f>
        <v>40330</v>
      </c>
      <c r="D193" s="6" t="n">
        <f aca="false">'Analysis Data'!C193</f>
        <v>208.290256373119</v>
      </c>
      <c r="E193" s="15" t="n">
        <f aca="false">SUMPRODUCT('Final Model'!$B$45:$I$45,'Analysis Data'!N193:U193)</f>
        <v>200.665245143961</v>
      </c>
      <c r="F193" s="15" t="n">
        <f aca="false">D193-E193</f>
        <v>7.62501122915759</v>
      </c>
      <c r="G193" s="13" t="n">
        <f aca="false">F193/'Final Model'!$B$21</f>
        <v>0.155510850437598</v>
      </c>
      <c r="H193" s="6" t="n">
        <f aca="false">F193^2</f>
        <v>58.1407962447794</v>
      </c>
      <c r="J193" s="6" t="n">
        <f aca="false">A193</f>
        <v>192</v>
      </c>
      <c r="K193" s="13" t="n">
        <f aca="false">SMALL($G$2:$G$1387,J193)</f>
        <v>-1.09652761561457</v>
      </c>
      <c r="L193" s="18" t="n">
        <f aca="false">(J193-0.5)/1386</f>
        <v>0.138167388167388</v>
      </c>
      <c r="M193" s="18" t="n">
        <f aca="false">_xlfn.NORM.DIST(K193,AVERAGE($G$2:$G$1387),_xlfn.STDEV.S($G$2:$G$1387),TRUE())</f>
        <v>0.135816616452433</v>
      </c>
    </row>
    <row r="194" customFormat="false" ht="15" hidden="false" customHeight="false" outlineLevel="0" collapsed="false">
      <c r="A194" s="0" t="n">
        <f aca="false">ROW()-1</f>
        <v>193</v>
      </c>
      <c r="B194" s="0" t="str">
        <f aca="false">'Analysis Data'!A194</f>
        <v>Marlton</v>
      </c>
      <c r="C194" s="5" t="n">
        <f aca="false">'Analysis Data'!B194</f>
        <v>40337</v>
      </c>
      <c r="D194" s="6" t="n">
        <f aca="false">'Analysis Data'!C194</f>
        <v>332.281454887618</v>
      </c>
      <c r="E194" s="15" t="n">
        <f aca="false">SUMPRODUCT('Final Model'!$B$45:$I$45,'Analysis Data'!N194:U194)</f>
        <v>305.848778781416</v>
      </c>
      <c r="F194" s="15" t="n">
        <f aca="false">D194-E194</f>
        <v>26.4326761062014</v>
      </c>
      <c r="G194" s="13" t="n">
        <f aca="false">F194/'Final Model'!$B$21</f>
        <v>0.539090083552714</v>
      </c>
      <c r="H194" s="6" t="n">
        <f aca="false">F194^2</f>
        <v>698.686366135352</v>
      </c>
      <c r="J194" s="6" t="n">
        <f aca="false">A194</f>
        <v>193</v>
      </c>
      <c r="K194" s="13" t="n">
        <f aca="false">SMALL($G$2:$G$1387,J194)</f>
        <v>-1.08703199079896</v>
      </c>
      <c r="L194" s="18" t="n">
        <f aca="false">(J194-0.5)/1386</f>
        <v>0.138888888888889</v>
      </c>
      <c r="M194" s="18" t="n">
        <f aca="false">_xlfn.NORM.DIST(K194,AVERAGE($G$2:$G$1387),_xlfn.STDEV.S($G$2:$G$1387),TRUE())</f>
        <v>0.137902948957313</v>
      </c>
    </row>
    <row r="195" customFormat="false" ht="15" hidden="false" customHeight="false" outlineLevel="0" collapsed="false">
      <c r="A195" s="0" t="n">
        <f aca="false">ROW()-1</f>
        <v>194</v>
      </c>
      <c r="B195" s="0" t="str">
        <f aca="false">'Analysis Data'!A195</f>
        <v>Marlton</v>
      </c>
      <c r="C195" s="5" t="n">
        <f aca="false">'Analysis Data'!B195</f>
        <v>40344</v>
      </c>
      <c r="D195" s="6" t="n">
        <f aca="false">'Analysis Data'!C195</f>
        <v>314.437888671743</v>
      </c>
      <c r="E195" s="15" t="n">
        <f aca="false">SUMPRODUCT('Final Model'!$B$45:$I$45,'Analysis Data'!N195:U195)</f>
        <v>272.196174789545</v>
      </c>
      <c r="F195" s="15" t="n">
        <f aca="false">D195-E195</f>
        <v>42.2417138821976</v>
      </c>
      <c r="G195" s="13" t="n">
        <f aca="false">F195/'Final Model'!$B$21</f>
        <v>0.861512809927752</v>
      </c>
      <c r="H195" s="6" t="n">
        <f aca="false">F195^2</f>
        <v>1784.36239170544</v>
      </c>
      <c r="J195" s="6" t="n">
        <f aca="false">A195</f>
        <v>194</v>
      </c>
      <c r="K195" s="13" t="n">
        <f aca="false">SMALL($G$2:$G$1387,J195)</f>
        <v>-1.0845681172964</v>
      </c>
      <c r="L195" s="18" t="n">
        <f aca="false">(J195-0.5)/1386</f>
        <v>0.13961038961039</v>
      </c>
      <c r="M195" s="18" t="n">
        <f aca="false">_xlfn.NORM.DIST(K195,AVERAGE($G$2:$G$1387),_xlfn.STDEV.S($G$2:$G$1387),TRUE())</f>
        <v>0.138447852963408</v>
      </c>
    </row>
    <row r="196" customFormat="false" ht="15" hidden="false" customHeight="false" outlineLevel="0" collapsed="false">
      <c r="A196" s="0" t="n">
        <f aca="false">ROW()-1</f>
        <v>195</v>
      </c>
      <c r="B196" s="0" t="str">
        <f aca="false">'Analysis Data'!A196</f>
        <v>Marlton</v>
      </c>
      <c r="C196" s="5" t="n">
        <f aca="false">'Analysis Data'!B196</f>
        <v>40351</v>
      </c>
      <c r="D196" s="6" t="n">
        <f aca="false">'Analysis Data'!C196</f>
        <v>305.09423830562</v>
      </c>
      <c r="E196" s="15" t="n">
        <f aca="false">SUMPRODUCT('Final Model'!$B$45:$I$45,'Analysis Data'!N196:U196)</f>
        <v>272.196174789545</v>
      </c>
      <c r="F196" s="15" t="n">
        <f aca="false">D196-E196</f>
        <v>32.8980635160742</v>
      </c>
      <c r="G196" s="13" t="n">
        <f aca="false">F196/'Final Model'!$B$21</f>
        <v>0.670950596842598</v>
      </c>
      <c r="H196" s="6" t="n">
        <f aca="false">F196^2</f>
        <v>1082.28258310765</v>
      </c>
      <c r="J196" s="6" t="n">
        <f aca="false">A196</f>
        <v>195</v>
      </c>
      <c r="K196" s="13" t="n">
        <f aca="false">SMALL($G$2:$G$1387,J196)</f>
        <v>-1.08181674941658</v>
      </c>
      <c r="L196" s="18" t="n">
        <f aca="false">(J196-0.5)/1386</f>
        <v>0.14033189033189</v>
      </c>
      <c r="M196" s="18" t="n">
        <f aca="false">_xlfn.NORM.DIST(K196,AVERAGE($G$2:$G$1387),_xlfn.STDEV.S($G$2:$G$1387),TRUE())</f>
        <v>0.139058070472851</v>
      </c>
    </row>
    <row r="197" customFormat="false" ht="15" hidden="false" customHeight="false" outlineLevel="0" collapsed="false">
      <c r="A197" s="0" t="n">
        <f aca="false">ROW()-1</f>
        <v>196</v>
      </c>
      <c r="B197" s="0" t="str">
        <f aca="false">'Analysis Data'!A197</f>
        <v>Marlton</v>
      </c>
      <c r="C197" s="5" t="n">
        <f aca="false">'Analysis Data'!B197</f>
        <v>40358</v>
      </c>
      <c r="D197" s="6" t="n">
        <f aca="false">'Analysis Data'!C197</f>
        <v>224.286016133014</v>
      </c>
      <c r="E197" s="15" t="n">
        <f aca="false">SUMPRODUCT('Final Model'!$B$45:$I$45,'Analysis Data'!N197:U197)</f>
        <v>272.196174789545</v>
      </c>
      <c r="F197" s="15" t="n">
        <f aca="false">D197-E197</f>
        <v>-47.9101586565316</v>
      </c>
      <c r="G197" s="13" t="n">
        <f aca="false">F197/'Final Model'!$B$21</f>
        <v>-0.977119809186246</v>
      </c>
      <c r="H197" s="6" t="n">
        <f aca="false">F197^2</f>
        <v>2295.38330249403</v>
      </c>
      <c r="J197" s="6" t="n">
        <f aca="false">A197</f>
        <v>196</v>
      </c>
      <c r="K197" s="13" t="n">
        <f aca="false">SMALL($G$2:$G$1387,J197)</f>
        <v>-1.07937996792885</v>
      </c>
      <c r="L197" s="18" t="n">
        <f aca="false">(J197-0.5)/1386</f>
        <v>0.141053391053391</v>
      </c>
      <c r="M197" s="18" t="n">
        <f aca="false">_xlfn.NORM.DIST(K197,AVERAGE($G$2:$G$1387),_xlfn.STDEV.S($G$2:$G$1387),TRUE())</f>
        <v>0.139600043445485</v>
      </c>
    </row>
    <row r="198" customFormat="false" ht="15" hidden="false" customHeight="false" outlineLevel="0" collapsed="false">
      <c r="A198" s="0" t="n">
        <f aca="false">ROW()-1</f>
        <v>197</v>
      </c>
      <c r="B198" s="0" t="str">
        <f aca="false">'Analysis Data'!A198</f>
        <v>Marlton</v>
      </c>
      <c r="C198" s="5" t="n">
        <f aca="false">'Analysis Data'!B198</f>
        <v>40365</v>
      </c>
      <c r="D198" s="6" t="n">
        <f aca="false">'Analysis Data'!C198</f>
        <v>215.476078548949</v>
      </c>
      <c r="E198" s="15" t="n">
        <f aca="false">SUMPRODUCT('Final Model'!$B$45:$I$45,'Analysis Data'!N198:U198)</f>
        <v>283.528868018829</v>
      </c>
      <c r="F198" s="15" t="n">
        <f aca="false">D198-E198</f>
        <v>-68.0527894698799</v>
      </c>
      <c r="G198" s="13" t="n">
        <f aca="false">F198/'Final Model'!$B$21</f>
        <v>-1.38792545309878</v>
      </c>
      <c r="H198" s="6" t="n">
        <f aca="false">F198^2</f>
        <v>4631.1821546318</v>
      </c>
      <c r="J198" s="6" t="n">
        <f aca="false">A198</f>
        <v>197</v>
      </c>
      <c r="K198" s="13" t="n">
        <f aca="false">SMALL($G$2:$G$1387,J198)</f>
        <v>-1.07829508356776</v>
      </c>
      <c r="L198" s="18" t="n">
        <f aca="false">(J198-0.5)/1386</f>
        <v>0.141774891774892</v>
      </c>
      <c r="M198" s="18" t="n">
        <f aca="false">_xlfn.NORM.DIST(K198,AVERAGE($G$2:$G$1387),_xlfn.STDEV.S($G$2:$G$1387),TRUE())</f>
        <v>0.139841797826335</v>
      </c>
    </row>
    <row r="199" customFormat="false" ht="15" hidden="false" customHeight="false" outlineLevel="0" collapsed="false">
      <c r="A199" s="0" t="n">
        <f aca="false">ROW()-1</f>
        <v>198</v>
      </c>
      <c r="B199" s="0" t="str">
        <f aca="false">'Analysis Data'!A199</f>
        <v>Marlton</v>
      </c>
      <c r="C199" s="5" t="n">
        <f aca="false">'Analysis Data'!B199</f>
        <v>40372</v>
      </c>
      <c r="D199" s="6" t="n">
        <f aca="false">'Analysis Data'!C199</f>
        <v>322.69748275185</v>
      </c>
      <c r="E199" s="15" t="n">
        <f aca="false">SUMPRODUCT('Final Model'!$B$45:$I$45,'Analysis Data'!N199:U199)</f>
        <v>283.528868018829</v>
      </c>
      <c r="F199" s="15" t="n">
        <f aca="false">D199-E199</f>
        <v>39.168614733021</v>
      </c>
      <c r="G199" s="13" t="n">
        <f aca="false">F199/'Final Model'!$B$21</f>
        <v>0.798837458009574</v>
      </c>
      <c r="H199" s="6" t="n">
        <f aca="false">F199^2</f>
        <v>1534.18038010383</v>
      </c>
      <c r="J199" s="6" t="n">
        <f aca="false">A199</f>
        <v>198</v>
      </c>
      <c r="K199" s="13" t="n">
        <f aca="false">SMALL($G$2:$G$1387,J199)</f>
        <v>-1.0743949543938</v>
      </c>
      <c r="L199" s="18" t="n">
        <f aca="false">(J199-0.5)/1386</f>
        <v>0.142496392496393</v>
      </c>
      <c r="M199" s="18" t="n">
        <f aca="false">_xlfn.NORM.DIST(K199,AVERAGE($G$2:$G$1387),_xlfn.STDEV.S($G$2:$G$1387),TRUE())</f>
        <v>0.140713247548235</v>
      </c>
    </row>
    <row r="200" customFormat="false" ht="15" hidden="false" customHeight="false" outlineLevel="0" collapsed="false">
      <c r="A200" s="0" t="n">
        <f aca="false">ROW()-1</f>
        <v>199</v>
      </c>
      <c r="B200" s="0" t="str">
        <f aca="false">'Analysis Data'!A200</f>
        <v>Mount Washington</v>
      </c>
      <c r="C200" s="5" t="n">
        <f aca="false">'Analysis Data'!B200</f>
        <v>40302</v>
      </c>
      <c r="D200" s="6" t="n">
        <f aca="false">'Analysis Data'!C200</f>
        <v>237.716062926933</v>
      </c>
      <c r="E200" s="15" t="n">
        <f aca="false">SUMPRODUCT('Final Model'!$B$45:$I$45,'Analysis Data'!N200:U200)</f>
        <v>190.420153385919</v>
      </c>
      <c r="F200" s="15" t="n">
        <f aca="false">D200-E200</f>
        <v>47.2959095410143</v>
      </c>
      <c r="G200" s="13" t="n">
        <f aca="false">F200/'Final Model'!$B$21</f>
        <v>0.964592299460181</v>
      </c>
      <c r="H200" s="6" t="n">
        <f aca="false">F200^2</f>
        <v>2236.90305931181</v>
      </c>
      <c r="J200" s="6" t="n">
        <f aca="false">A200</f>
        <v>199</v>
      </c>
      <c r="K200" s="13" t="n">
        <f aca="false">SMALL($G$2:$G$1387,J200)</f>
        <v>-1.07131665955495</v>
      </c>
      <c r="L200" s="18" t="n">
        <f aca="false">(J200-0.5)/1386</f>
        <v>0.143217893217893</v>
      </c>
      <c r="M200" s="18" t="n">
        <f aca="false">_xlfn.NORM.DIST(K200,AVERAGE($G$2:$G$1387),_xlfn.STDEV.S($G$2:$G$1387),TRUE())</f>
        <v>0.141403662523813</v>
      </c>
    </row>
    <row r="201" customFormat="false" ht="15" hidden="false" customHeight="false" outlineLevel="0" collapsed="false">
      <c r="A201" s="0" t="n">
        <f aca="false">ROW()-1</f>
        <v>200</v>
      </c>
      <c r="B201" s="0" t="str">
        <f aca="false">'Analysis Data'!A201</f>
        <v>Mount Washington</v>
      </c>
      <c r="C201" s="5" t="n">
        <f aca="false">'Analysis Data'!B201</f>
        <v>40309</v>
      </c>
      <c r="D201" s="6" t="n">
        <f aca="false">'Analysis Data'!C201</f>
        <v>149.316947645446</v>
      </c>
      <c r="E201" s="15" t="n">
        <f aca="false">SUMPRODUCT('Final Model'!$B$45:$I$45,'Analysis Data'!N201:U201)</f>
        <v>190.420153385919</v>
      </c>
      <c r="F201" s="15" t="n">
        <f aca="false">D201-E201</f>
        <v>-41.1032057404734</v>
      </c>
      <c r="G201" s="13" t="n">
        <f aca="false">F201/'Final Model'!$B$21</f>
        <v>-0.83829312355239</v>
      </c>
      <c r="H201" s="6" t="n">
        <f aca="false">F201^2</f>
        <v>1689.47352214369</v>
      </c>
      <c r="J201" s="6" t="n">
        <f aca="false">A201</f>
        <v>200</v>
      </c>
      <c r="K201" s="13" t="n">
        <f aca="false">SMALL($G$2:$G$1387,J201)</f>
        <v>-1.06628799065391</v>
      </c>
      <c r="L201" s="18" t="n">
        <f aca="false">(J201-0.5)/1386</f>
        <v>0.143939393939394</v>
      </c>
      <c r="M201" s="18" t="n">
        <f aca="false">_xlfn.NORM.DIST(K201,AVERAGE($G$2:$G$1387),_xlfn.STDEV.S($G$2:$G$1387),TRUE())</f>
        <v>0.142536448177191</v>
      </c>
    </row>
    <row r="202" customFormat="false" ht="15" hidden="false" customHeight="false" outlineLevel="0" collapsed="false">
      <c r="A202" s="0" t="n">
        <f aca="false">ROW()-1</f>
        <v>201</v>
      </c>
      <c r="B202" s="0" t="str">
        <f aca="false">'Analysis Data'!A202</f>
        <v>Mount Washington</v>
      </c>
      <c r="C202" s="5" t="n">
        <f aca="false">'Analysis Data'!B202</f>
        <v>40316</v>
      </c>
      <c r="D202" s="6" t="n">
        <f aca="false">'Analysis Data'!C202</f>
        <v>103.89607680236</v>
      </c>
      <c r="E202" s="15" t="n">
        <f aca="false">SUMPRODUCT('Final Model'!$B$45:$I$45,'Analysis Data'!N202:U202)</f>
        <v>196.72482522514</v>
      </c>
      <c r="F202" s="15" t="n">
        <f aca="false">D202-E202</f>
        <v>-92.8287484227798</v>
      </c>
      <c r="G202" s="13" t="n">
        <f aca="false">F202/'Final Model'!$B$21</f>
        <v>-1.89322706268055</v>
      </c>
      <c r="H202" s="6" t="n">
        <f aca="false">F202^2</f>
        <v>8617.17653373974</v>
      </c>
      <c r="J202" s="6" t="n">
        <f aca="false">A202</f>
        <v>201</v>
      </c>
      <c r="K202" s="13" t="n">
        <f aca="false">SMALL($G$2:$G$1387,J202)</f>
        <v>-1.06487673214419</v>
      </c>
      <c r="L202" s="18" t="n">
        <f aca="false">(J202-0.5)/1386</f>
        <v>0.144660894660895</v>
      </c>
      <c r="M202" s="18" t="n">
        <f aca="false">_xlfn.NORM.DIST(K202,AVERAGE($G$2:$G$1387),_xlfn.STDEV.S($G$2:$G$1387),TRUE())</f>
        <v>0.142855455876681</v>
      </c>
    </row>
    <row r="203" customFormat="false" ht="15" hidden="false" customHeight="false" outlineLevel="0" collapsed="false">
      <c r="A203" s="0" t="n">
        <f aca="false">ROW()-1</f>
        <v>202</v>
      </c>
      <c r="B203" s="0" t="str">
        <f aca="false">'Analysis Data'!A203</f>
        <v>Mount Washington</v>
      </c>
      <c r="C203" s="5" t="n">
        <f aca="false">'Analysis Data'!B203</f>
        <v>40323</v>
      </c>
      <c r="D203" s="6" t="n">
        <f aca="false">'Analysis Data'!C203</f>
        <v>141.209006449082</v>
      </c>
      <c r="E203" s="15" t="n">
        <f aca="false">SUMPRODUCT('Final Model'!$B$45:$I$45,'Analysis Data'!N203:U203)</f>
        <v>196.72482522514</v>
      </c>
      <c r="F203" s="15" t="n">
        <f aca="false">D203-E203</f>
        <v>-55.5158187760584</v>
      </c>
      <c r="G203" s="13" t="n">
        <f aca="false">F203/'Final Model'!$B$21</f>
        <v>-1.13223599692432</v>
      </c>
      <c r="H203" s="6" t="n">
        <f aca="false">F203^2</f>
        <v>3082.00613437616</v>
      </c>
      <c r="J203" s="6" t="n">
        <f aca="false">A203</f>
        <v>202</v>
      </c>
      <c r="K203" s="13" t="n">
        <f aca="false">SMALL($G$2:$G$1387,J203)</f>
        <v>-1.06346932354982</v>
      </c>
      <c r="L203" s="18" t="n">
        <f aca="false">(J203-0.5)/1386</f>
        <v>0.145382395382395</v>
      </c>
      <c r="M203" s="18" t="n">
        <f aca="false">_xlfn.NORM.DIST(K203,AVERAGE($G$2:$G$1387),_xlfn.STDEV.S($G$2:$G$1387),TRUE())</f>
        <v>0.143174073560507</v>
      </c>
    </row>
    <row r="204" customFormat="false" ht="15" hidden="false" customHeight="false" outlineLevel="0" collapsed="false">
      <c r="A204" s="0" t="n">
        <f aca="false">ROW()-1</f>
        <v>203</v>
      </c>
      <c r="B204" s="0" t="str">
        <f aca="false">'Analysis Data'!A204</f>
        <v>Mount Washington</v>
      </c>
      <c r="C204" s="5" t="n">
        <f aca="false">'Analysis Data'!B204</f>
        <v>40330</v>
      </c>
      <c r="D204" s="6" t="n">
        <f aca="false">'Analysis Data'!C204</f>
        <v>216.53256257866</v>
      </c>
      <c r="E204" s="15" t="n">
        <f aca="false">SUMPRODUCT('Final Model'!$B$45:$I$45,'Analysis Data'!N204:U204)</f>
        <v>196.72482522514</v>
      </c>
      <c r="F204" s="15" t="n">
        <f aca="false">D204-E204</f>
        <v>19.8077373535197</v>
      </c>
      <c r="G204" s="13" t="n">
        <f aca="false">F204/'Final Model'!$B$21</f>
        <v>0.403975546857094</v>
      </c>
      <c r="H204" s="6" t="n">
        <f aca="false">F204^2</f>
        <v>392.34645906602</v>
      </c>
      <c r="J204" s="6" t="n">
        <f aca="false">A204</f>
        <v>203</v>
      </c>
      <c r="K204" s="13" t="n">
        <f aca="false">SMALL($G$2:$G$1387,J204)</f>
        <v>-1.06210023249366</v>
      </c>
      <c r="L204" s="18" t="n">
        <f aca="false">(J204-0.5)/1386</f>
        <v>0.146103896103896</v>
      </c>
      <c r="M204" s="18" t="n">
        <f aca="false">_xlfn.NORM.DIST(K204,AVERAGE($G$2:$G$1387),_xlfn.STDEV.S($G$2:$G$1387),TRUE())</f>
        <v>0.143484476945622</v>
      </c>
    </row>
    <row r="205" customFormat="false" ht="15" hidden="false" customHeight="false" outlineLevel="0" collapsed="false">
      <c r="A205" s="0" t="n">
        <f aca="false">ROW()-1</f>
        <v>204</v>
      </c>
      <c r="B205" s="0" t="str">
        <f aca="false">'Analysis Data'!A205</f>
        <v>Mount Washington</v>
      </c>
      <c r="C205" s="5" t="n">
        <f aca="false">'Analysis Data'!B205</f>
        <v>40337</v>
      </c>
      <c r="D205" s="6" t="n">
        <f aca="false">'Analysis Data'!C205</f>
        <v>352.430263355828</v>
      </c>
      <c r="E205" s="15" t="n">
        <f aca="false">SUMPRODUCT('Final Model'!$B$45:$I$45,'Analysis Data'!N205:U205)</f>
        <v>297.172849793718</v>
      </c>
      <c r="F205" s="15" t="n">
        <f aca="false">D205-E205</f>
        <v>55.2574135621103</v>
      </c>
      <c r="G205" s="13" t="n">
        <f aca="false">F205/'Final Model'!$B$21</f>
        <v>1.12696586506866</v>
      </c>
      <c r="H205" s="6" t="n">
        <f aca="false">F205^2</f>
        <v>3053.38175357409</v>
      </c>
      <c r="J205" s="6" t="n">
        <f aca="false">A205</f>
        <v>204</v>
      </c>
      <c r="K205" s="13" t="n">
        <f aca="false">SMALL($G$2:$G$1387,J205)</f>
        <v>-1.06094096357482</v>
      </c>
      <c r="L205" s="18" t="n">
        <f aca="false">(J205-0.5)/1386</f>
        <v>0.146825396825397</v>
      </c>
      <c r="M205" s="18" t="n">
        <f aca="false">_xlfn.NORM.DIST(K205,AVERAGE($G$2:$G$1387),_xlfn.STDEV.S($G$2:$G$1387),TRUE())</f>
        <v>0.143747663936355</v>
      </c>
    </row>
    <row r="206" customFormat="false" ht="15" hidden="false" customHeight="false" outlineLevel="0" collapsed="false">
      <c r="A206" s="0" t="n">
        <f aca="false">ROW()-1</f>
        <v>205</v>
      </c>
      <c r="B206" s="0" t="str">
        <f aca="false">'Analysis Data'!A206</f>
        <v>Mount Washington</v>
      </c>
      <c r="C206" s="5" t="n">
        <f aca="false">'Analysis Data'!B206</f>
        <v>40344</v>
      </c>
      <c r="D206" s="6" t="n">
        <f aca="false">'Analysis Data'!C206</f>
        <v>186.667808287709</v>
      </c>
      <c r="E206" s="15" t="n">
        <f aca="false">SUMPRODUCT('Final Model'!$B$45:$I$45,'Analysis Data'!N206:U206)</f>
        <v>263.789945648518</v>
      </c>
      <c r="F206" s="15" t="n">
        <f aca="false">D206-E206</f>
        <v>-77.1221373608083</v>
      </c>
      <c r="G206" s="13" t="n">
        <f aca="false">F206/'Final Model'!$B$21</f>
        <v>-1.57289331229871</v>
      </c>
      <c r="H206" s="6" t="n">
        <f aca="false">F206^2</f>
        <v>5947.82407109938</v>
      </c>
      <c r="J206" s="6" t="n">
        <f aca="false">A206</f>
        <v>205</v>
      </c>
      <c r="K206" s="13" t="n">
        <f aca="false">SMALL($G$2:$G$1387,J206)</f>
        <v>-1.05749148254668</v>
      </c>
      <c r="L206" s="18" t="n">
        <f aca="false">(J206-0.5)/1386</f>
        <v>0.147546897546898</v>
      </c>
      <c r="M206" s="18" t="n">
        <f aca="false">_xlfn.NORM.DIST(K206,AVERAGE($G$2:$G$1387),_xlfn.STDEV.S($G$2:$G$1387),TRUE())</f>
        <v>0.144532719859588</v>
      </c>
    </row>
    <row r="207" customFormat="false" ht="15" hidden="false" customHeight="false" outlineLevel="0" collapsed="false">
      <c r="A207" s="0" t="n">
        <f aca="false">ROW()-1</f>
        <v>206</v>
      </c>
      <c r="B207" s="0" t="str">
        <f aca="false">'Analysis Data'!A207</f>
        <v>Mount Washington</v>
      </c>
      <c r="C207" s="5" t="n">
        <f aca="false">'Analysis Data'!B207</f>
        <v>40351</v>
      </c>
      <c r="D207" s="6" t="n">
        <f aca="false">'Analysis Data'!C207</f>
        <v>290.779603084597</v>
      </c>
      <c r="E207" s="15" t="n">
        <f aca="false">SUMPRODUCT('Final Model'!$B$45:$I$45,'Analysis Data'!N207:U207)</f>
        <v>263.789945648518</v>
      </c>
      <c r="F207" s="15" t="n">
        <f aca="false">D207-E207</f>
        <v>26.9896574360794</v>
      </c>
      <c r="G207" s="13" t="n">
        <f aca="false">F207/'Final Model'!$B$21</f>
        <v>0.55044962620571</v>
      </c>
      <c r="H207" s="6" t="n">
        <f aca="false">F207^2</f>
        <v>728.441608516917</v>
      </c>
      <c r="J207" s="6" t="n">
        <f aca="false">A207</f>
        <v>206</v>
      </c>
      <c r="K207" s="13" t="n">
        <f aca="false">SMALL($G$2:$G$1387,J207)</f>
        <v>-1.0569552405047</v>
      </c>
      <c r="L207" s="18" t="n">
        <f aca="false">(J207-0.5)/1386</f>
        <v>0.148268398268398</v>
      </c>
      <c r="M207" s="18" t="n">
        <f aca="false">_xlfn.NORM.DIST(K207,AVERAGE($G$2:$G$1387),_xlfn.STDEV.S($G$2:$G$1387),TRUE())</f>
        <v>0.144655020349576</v>
      </c>
    </row>
    <row r="208" customFormat="false" ht="15" hidden="false" customHeight="false" outlineLevel="0" collapsed="false">
      <c r="A208" s="0" t="n">
        <f aca="false">ROW()-1</f>
        <v>207</v>
      </c>
      <c r="B208" s="0" t="str">
        <f aca="false">'Analysis Data'!A208</f>
        <v>Mount Washington</v>
      </c>
      <c r="C208" s="5" t="n">
        <f aca="false">'Analysis Data'!B208</f>
        <v>40358</v>
      </c>
      <c r="D208" s="6" t="n">
        <f aca="false">'Analysis Data'!C208</f>
        <v>273.343713541105</v>
      </c>
      <c r="E208" s="15" t="n">
        <f aca="false">SUMPRODUCT('Final Model'!$B$45:$I$45,'Analysis Data'!N208:U208)</f>
        <v>263.789945648518</v>
      </c>
      <c r="F208" s="15" t="n">
        <f aca="false">D208-E208</f>
        <v>9.5537678925877</v>
      </c>
      <c r="G208" s="13" t="n">
        <f aca="false">F208/'Final Model'!$B$21</f>
        <v>0.194847525493266</v>
      </c>
      <c r="H208" s="6" t="n">
        <f aca="false">F208^2</f>
        <v>91.2744809454396</v>
      </c>
      <c r="J208" s="6" t="n">
        <f aca="false">A208</f>
        <v>207</v>
      </c>
      <c r="K208" s="13" t="n">
        <f aca="false">SMALL($G$2:$G$1387,J208)</f>
        <v>-1.05462881411011</v>
      </c>
      <c r="L208" s="18" t="n">
        <f aca="false">(J208-0.5)/1386</f>
        <v>0.148989898989899</v>
      </c>
      <c r="M208" s="18" t="n">
        <f aca="false">_xlfn.NORM.DIST(K208,AVERAGE($G$2:$G$1387),_xlfn.STDEV.S($G$2:$G$1387),TRUE())</f>
        <v>0.14518641447336</v>
      </c>
    </row>
    <row r="209" customFormat="false" ht="15" hidden="false" customHeight="false" outlineLevel="0" collapsed="false">
      <c r="A209" s="0" t="n">
        <f aca="false">ROW()-1</f>
        <v>208</v>
      </c>
      <c r="B209" s="0" t="str">
        <f aca="false">'Analysis Data'!A209</f>
        <v>Mount Washington</v>
      </c>
      <c r="C209" s="5" t="n">
        <f aca="false">'Analysis Data'!B209</f>
        <v>40365</v>
      </c>
      <c r="D209" s="6" t="n">
        <f aca="false">'Analysis Data'!C209</f>
        <v>299.305548247113</v>
      </c>
      <c r="E209" s="15" t="n">
        <f aca="false">SUMPRODUCT('Final Model'!$B$45:$I$45,'Analysis Data'!N209:U209)</f>
        <v>271.497452545424</v>
      </c>
      <c r="F209" s="15" t="n">
        <f aca="false">D209-E209</f>
        <v>27.8080957016886</v>
      </c>
      <c r="G209" s="13" t="n">
        <f aca="false">F209/'Final Model'!$B$21</f>
        <v>0.567141540078421</v>
      </c>
      <c r="H209" s="6" t="n">
        <f aca="false">F209^2</f>
        <v>773.29018655427</v>
      </c>
      <c r="J209" s="6" t="n">
        <f aca="false">A209</f>
        <v>208</v>
      </c>
      <c r="K209" s="13" t="n">
        <f aca="false">SMALL($G$2:$G$1387,J209)</f>
        <v>-1.05103989683318</v>
      </c>
      <c r="L209" s="18" t="n">
        <f aca="false">(J209-0.5)/1386</f>
        <v>0.1497113997114</v>
      </c>
      <c r="M209" s="18" t="n">
        <f aca="false">_xlfn.NORM.DIST(K209,AVERAGE($G$2:$G$1387),_xlfn.STDEV.S($G$2:$G$1387),TRUE())</f>
        <v>0.146008755654639</v>
      </c>
    </row>
    <row r="210" customFormat="false" ht="15" hidden="false" customHeight="false" outlineLevel="0" collapsed="false">
      <c r="A210" s="0" t="n">
        <f aca="false">ROW()-1</f>
        <v>209</v>
      </c>
      <c r="B210" s="0" t="str">
        <f aca="false">'Analysis Data'!A210</f>
        <v>Mount Washington</v>
      </c>
      <c r="C210" s="5" t="n">
        <f aca="false">'Analysis Data'!B210</f>
        <v>40372</v>
      </c>
      <c r="D210" s="6" t="n">
        <f aca="false">'Analysis Data'!C210</f>
        <v>249.274248175315</v>
      </c>
      <c r="E210" s="15" t="n">
        <f aca="false">SUMPRODUCT('Final Model'!$B$45:$I$45,'Analysis Data'!N210:U210)</f>
        <v>271.497452545424</v>
      </c>
      <c r="F210" s="15" t="n">
        <f aca="false">D210-E210</f>
        <v>-22.2232043701091</v>
      </c>
      <c r="G210" s="13" t="n">
        <f aca="false">F210/'Final Model'!$B$21</f>
        <v>-0.453238599548399</v>
      </c>
      <c r="H210" s="6" t="n">
        <f aca="false">F210^2</f>
        <v>493.870812475638</v>
      </c>
      <c r="J210" s="6" t="n">
        <f aca="false">A210</f>
        <v>209</v>
      </c>
      <c r="K210" s="13" t="n">
        <f aca="false">SMALL($G$2:$G$1387,J210)</f>
        <v>-1.04831175349772</v>
      </c>
      <c r="L210" s="18" t="n">
        <f aca="false">(J210-0.5)/1386</f>
        <v>0.1504329004329</v>
      </c>
      <c r="M210" s="18" t="n">
        <f aca="false">_xlfn.NORM.DIST(K210,AVERAGE($G$2:$G$1387),_xlfn.STDEV.S($G$2:$G$1387),TRUE())</f>
        <v>0.146635954325311</v>
      </c>
    </row>
    <row r="211" customFormat="false" ht="15" hidden="false" customHeight="false" outlineLevel="0" collapsed="false">
      <c r="A211" s="0" t="n">
        <f aca="false">ROW()-1</f>
        <v>210</v>
      </c>
      <c r="B211" s="0" t="str">
        <f aca="false">'Analysis Data'!A211</f>
        <v>Old Town</v>
      </c>
      <c r="C211" s="5" t="n">
        <f aca="false">'Analysis Data'!B211</f>
        <v>40302</v>
      </c>
      <c r="D211" s="6" t="n">
        <f aca="false">'Analysis Data'!C211</f>
        <v>113.510731227795</v>
      </c>
      <c r="E211" s="15" t="n">
        <f aca="false">SUMPRODUCT('Final Model'!$B$45:$I$45,'Analysis Data'!N211:U211)</f>
        <v>190.420153385919</v>
      </c>
      <c r="F211" s="15" t="n">
        <f aca="false">D211-E211</f>
        <v>-76.9094221581244</v>
      </c>
      <c r="G211" s="13" t="n">
        <f aca="false">F211/'Final Model'!$B$21</f>
        <v>-1.56855502071116</v>
      </c>
      <c r="H211" s="6" t="n">
        <f aca="false">F211^2</f>
        <v>5915.05921669659</v>
      </c>
      <c r="J211" s="6" t="n">
        <f aca="false">A211</f>
        <v>210</v>
      </c>
      <c r="K211" s="13" t="n">
        <f aca="false">SMALL($G$2:$G$1387,J211)</f>
        <v>-1.0473534955552</v>
      </c>
      <c r="L211" s="18" t="n">
        <f aca="false">(J211-0.5)/1386</f>
        <v>0.151154401154401</v>
      </c>
      <c r="M211" s="18" t="n">
        <f aca="false">_xlfn.NORM.DIST(K211,AVERAGE($G$2:$G$1387),_xlfn.STDEV.S($G$2:$G$1387),TRUE())</f>
        <v>0.146856685738406</v>
      </c>
    </row>
    <row r="212" customFormat="false" ht="15" hidden="false" customHeight="false" outlineLevel="0" collapsed="false">
      <c r="A212" s="0" t="n">
        <f aca="false">ROW()-1</f>
        <v>211</v>
      </c>
      <c r="B212" s="0" t="str">
        <f aca="false">'Analysis Data'!A212</f>
        <v>Old Town</v>
      </c>
      <c r="C212" s="5" t="n">
        <f aca="false">'Analysis Data'!B212</f>
        <v>40309</v>
      </c>
      <c r="D212" s="6" t="n">
        <f aca="false">'Analysis Data'!C212</f>
        <v>267.531389973981</v>
      </c>
      <c r="E212" s="15" t="n">
        <f aca="false">SUMPRODUCT('Final Model'!$B$45:$I$45,'Analysis Data'!N212:U212)</f>
        <v>198.458609994717</v>
      </c>
      <c r="F212" s="15" t="n">
        <f aca="false">D212-E212</f>
        <v>69.0727799792633</v>
      </c>
      <c r="G212" s="13" t="n">
        <f aca="false">F212/'Final Model'!$B$21</f>
        <v>1.4087279918473</v>
      </c>
      <c r="H212" s="6" t="n">
        <f aca="false">F212^2</f>
        <v>4771.04893406372</v>
      </c>
      <c r="J212" s="6" t="n">
        <f aca="false">A212</f>
        <v>211</v>
      </c>
      <c r="K212" s="13" t="n">
        <f aca="false">SMALL($G$2:$G$1387,J212)</f>
        <v>-1.0460387426535</v>
      </c>
      <c r="L212" s="18" t="n">
        <f aca="false">(J212-0.5)/1386</f>
        <v>0.151875901875902</v>
      </c>
      <c r="M212" s="18" t="n">
        <f aca="false">_xlfn.NORM.DIST(K212,AVERAGE($G$2:$G$1387),_xlfn.STDEV.S($G$2:$G$1387),TRUE())</f>
        <v>0.14715989704224</v>
      </c>
    </row>
    <row r="213" customFormat="false" ht="15" hidden="false" customHeight="false" outlineLevel="0" collapsed="false">
      <c r="A213" s="0" t="n">
        <f aca="false">ROW()-1</f>
        <v>212</v>
      </c>
      <c r="B213" s="0" t="str">
        <f aca="false">'Analysis Data'!A213</f>
        <v>Old Town</v>
      </c>
      <c r="C213" s="5" t="n">
        <f aca="false">'Analysis Data'!B213</f>
        <v>40316</v>
      </c>
      <c r="D213" s="6" t="n">
        <f aca="false">'Analysis Data'!C213</f>
        <v>175.828553888557</v>
      </c>
      <c r="E213" s="15" t="n">
        <f aca="false">SUMPRODUCT('Final Model'!$B$45:$I$45,'Analysis Data'!N213:U213)</f>
        <v>202.871880293205</v>
      </c>
      <c r="F213" s="15" t="n">
        <f aca="false">D213-E213</f>
        <v>-27.0433264046484</v>
      </c>
      <c r="G213" s="13" t="n">
        <f aca="false">F213/'Final Model'!$B$21</f>
        <v>-0.551544195996291</v>
      </c>
      <c r="H213" s="6" t="n">
        <f aca="false">F213^2</f>
        <v>731.341503028356</v>
      </c>
      <c r="J213" s="6" t="n">
        <f aca="false">A213</f>
        <v>212</v>
      </c>
      <c r="K213" s="13" t="n">
        <f aca="false">SMALL($G$2:$G$1387,J213)</f>
        <v>-1.04073323899212</v>
      </c>
      <c r="L213" s="18" t="n">
        <f aca="false">(J213-0.5)/1386</f>
        <v>0.152597402597403</v>
      </c>
      <c r="M213" s="18" t="n">
        <f aca="false">_xlfn.NORM.DIST(K213,AVERAGE($G$2:$G$1387),_xlfn.STDEV.S($G$2:$G$1387),TRUE())</f>
        <v>0.148387725981417</v>
      </c>
    </row>
    <row r="214" customFormat="false" ht="15" hidden="false" customHeight="false" outlineLevel="0" collapsed="false">
      <c r="A214" s="0" t="n">
        <f aca="false">ROW()-1</f>
        <v>213</v>
      </c>
      <c r="B214" s="0" t="str">
        <f aca="false">'Analysis Data'!A214</f>
        <v>Old Town</v>
      </c>
      <c r="C214" s="5" t="n">
        <f aca="false">'Analysis Data'!B214</f>
        <v>40323</v>
      </c>
      <c r="D214" s="6" t="n">
        <f aca="false">'Analysis Data'!C214</f>
        <v>235.56756669018</v>
      </c>
      <c r="E214" s="15" t="n">
        <f aca="false">SUMPRODUCT('Final Model'!$B$45:$I$45,'Analysis Data'!N214:U214)</f>
        <v>201.278199356988</v>
      </c>
      <c r="F214" s="15" t="n">
        <f aca="false">D214-E214</f>
        <v>34.2893673331919</v>
      </c>
      <c r="G214" s="13" t="n">
        <f aca="false">F214/'Final Model'!$B$21</f>
        <v>0.699326009457034</v>
      </c>
      <c r="H214" s="6" t="n">
        <f aca="false">F214^2</f>
        <v>1175.76071211057</v>
      </c>
      <c r="J214" s="6" t="n">
        <f aca="false">A214</f>
        <v>213</v>
      </c>
      <c r="K214" s="13" t="n">
        <f aca="false">SMALL($G$2:$G$1387,J214)</f>
        <v>-1.04059097741565</v>
      </c>
      <c r="L214" s="18" t="n">
        <f aca="false">(J214-0.5)/1386</f>
        <v>0.153318903318903</v>
      </c>
      <c r="M214" s="18" t="n">
        <f aca="false">_xlfn.NORM.DIST(K214,AVERAGE($G$2:$G$1387),_xlfn.STDEV.S($G$2:$G$1387),TRUE())</f>
        <v>0.148420742992655</v>
      </c>
    </row>
    <row r="215" customFormat="false" ht="15" hidden="false" customHeight="false" outlineLevel="0" collapsed="false">
      <c r="A215" s="0" t="n">
        <f aca="false">ROW()-1</f>
        <v>214</v>
      </c>
      <c r="B215" s="0" t="str">
        <f aca="false">'Analysis Data'!A215</f>
        <v>Old Town</v>
      </c>
      <c r="C215" s="5" t="n">
        <f aca="false">'Analysis Data'!B215</f>
        <v>40330</v>
      </c>
      <c r="D215" s="6" t="n">
        <f aca="false">'Analysis Data'!C215</f>
        <v>151.337270373099</v>
      </c>
      <c r="E215" s="15" t="n">
        <f aca="false">SUMPRODUCT('Final Model'!$B$45:$I$45,'Analysis Data'!N215:U215)</f>
        <v>202.871880293205</v>
      </c>
      <c r="F215" s="15" t="n">
        <f aca="false">D215-E215</f>
        <v>-51.5346099201067</v>
      </c>
      <c r="G215" s="13" t="n">
        <f aca="false">F215/'Final Model'!$B$21</f>
        <v>-1.05103989683318</v>
      </c>
      <c r="H215" s="6" t="n">
        <f aca="false">F215^2</f>
        <v>2655.81601961755</v>
      </c>
      <c r="J215" s="6" t="n">
        <f aca="false">A215</f>
        <v>214</v>
      </c>
      <c r="K215" s="13" t="n">
        <f aca="false">SMALL($G$2:$G$1387,J215)</f>
        <v>-1.04034667823523</v>
      </c>
      <c r="L215" s="18" t="n">
        <f aca="false">(J215-0.5)/1386</f>
        <v>0.154040404040404</v>
      </c>
      <c r="M215" s="18" t="n">
        <f aca="false">_xlfn.NORM.DIST(K215,AVERAGE($G$2:$G$1387),_xlfn.STDEV.S($G$2:$G$1387),TRUE())</f>
        <v>0.148477453030873</v>
      </c>
    </row>
    <row r="216" customFormat="false" ht="15" hidden="false" customHeight="false" outlineLevel="0" collapsed="false">
      <c r="A216" s="0" t="n">
        <f aca="false">ROW()-1</f>
        <v>215</v>
      </c>
      <c r="B216" s="0" t="str">
        <f aca="false">'Analysis Data'!A216</f>
        <v>Old Town</v>
      </c>
      <c r="C216" s="5" t="n">
        <f aca="false">'Analysis Data'!B216</f>
        <v>40337</v>
      </c>
      <c r="D216" s="6" t="n">
        <f aca="false">'Analysis Data'!C216</f>
        <v>211.423245520564</v>
      </c>
      <c r="E216" s="15" t="n">
        <f aca="false">SUMPRODUCT('Final Model'!$B$45:$I$45,'Analysis Data'!N216:U216)</f>
        <v>196.374565696905</v>
      </c>
      <c r="F216" s="15" t="n">
        <f aca="false">D216-E216</f>
        <v>15.0486798236591</v>
      </c>
      <c r="G216" s="13" t="n">
        <f aca="false">F216/'Final Model'!$B$21</f>
        <v>0.306915350942885</v>
      </c>
      <c r="H216" s="6" t="n">
        <f aca="false">F216^2</f>
        <v>226.462764435004</v>
      </c>
      <c r="J216" s="6" t="n">
        <f aca="false">A216</f>
        <v>215</v>
      </c>
      <c r="K216" s="13" t="n">
        <f aca="false">SMALL($G$2:$G$1387,J216)</f>
        <v>-1.03981789387232</v>
      </c>
      <c r="L216" s="18" t="n">
        <f aca="false">(J216-0.5)/1386</f>
        <v>0.154761904761905</v>
      </c>
      <c r="M216" s="18" t="n">
        <f aca="false">_xlfn.NORM.DIST(K216,AVERAGE($G$2:$G$1387),_xlfn.STDEV.S($G$2:$G$1387),TRUE())</f>
        <v>0.148600251246283</v>
      </c>
    </row>
    <row r="217" customFormat="false" ht="15" hidden="false" customHeight="false" outlineLevel="0" collapsed="false">
      <c r="A217" s="0" t="n">
        <f aca="false">ROW()-1</f>
        <v>216</v>
      </c>
      <c r="B217" s="0" t="str">
        <f aca="false">'Analysis Data'!A217</f>
        <v>Old Town</v>
      </c>
      <c r="C217" s="5" t="n">
        <f aca="false">'Analysis Data'!B217</f>
        <v>40344</v>
      </c>
      <c r="D217" s="6" t="n">
        <f aca="false">'Analysis Data'!C217</f>
        <v>272.302038009783</v>
      </c>
      <c r="E217" s="15" t="n">
        <f aca="false">SUMPRODUCT('Final Model'!$B$45:$I$45,'Analysis Data'!N217:U217)</f>
        <v>198.458609994717</v>
      </c>
      <c r="F217" s="15" t="n">
        <f aca="false">D217-E217</f>
        <v>73.8434280150653</v>
      </c>
      <c r="G217" s="13" t="n">
        <f aca="false">F217/'Final Model'!$B$21</f>
        <v>1.50602457422466</v>
      </c>
      <c r="H217" s="6" t="n">
        <f aca="false">F217^2</f>
        <v>5452.85186101612</v>
      </c>
      <c r="J217" s="6" t="n">
        <f aca="false">A217</f>
        <v>216</v>
      </c>
      <c r="K217" s="13" t="n">
        <f aca="false">SMALL($G$2:$G$1387,J217)</f>
        <v>-1.03179774486609</v>
      </c>
      <c r="L217" s="18" t="n">
        <f aca="false">(J217-0.5)/1386</f>
        <v>0.155483405483405</v>
      </c>
      <c r="M217" s="18" t="n">
        <f aca="false">_xlfn.NORM.DIST(K217,AVERAGE($G$2:$G$1387),_xlfn.STDEV.S($G$2:$G$1387),TRUE())</f>
        <v>0.15047107375049</v>
      </c>
    </row>
    <row r="218" customFormat="false" ht="15" hidden="false" customHeight="false" outlineLevel="0" collapsed="false">
      <c r="A218" s="0" t="n">
        <f aca="false">ROW()-1</f>
        <v>217</v>
      </c>
      <c r="B218" s="0" t="str">
        <f aca="false">'Analysis Data'!A218</f>
        <v>Old Town</v>
      </c>
      <c r="C218" s="5" t="n">
        <f aca="false">'Analysis Data'!B218</f>
        <v>40351</v>
      </c>
      <c r="D218" s="6" t="n">
        <f aca="false">'Analysis Data'!C218</f>
        <v>163.025289195562</v>
      </c>
      <c r="E218" s="15" t="n">
        <f aca="false">SUMPRODUCT('Final Model'!$B$45:$I$45,'Analysis Data'!N218:U218)</f>
        <v>198.458609994717</v>
      </c>
      <c r="F218" s="15" t="n">
        <f aca="false">D218-E218</f>
        <v>-35.4333207991554</v>
      </c>
      <c r="G218" s="13" t="n">
        <f aca="false">F218/'Final Model'!$B$21</f>
        <v>-0.722656752325025</v>
      </c>
      <c r="H218" s="6" t="n">
        <f aca="false">F218^2</f>
        <v>1255.52022285586</v>
      </c>
      <c r="J218" s="6" t="n">
        <f aca="false">A218</f>
        <v>217</v>
      </c>
      <c r="K218" s="13" t="n">
        <f aca="false">SMALL($G$2:$G$1387,J218)</f>
        <v>-1.02661281239568</v>
      </c>
      <c r="L218" s="18" t="n">
        <f aca="false">(J218-0.5)/1386</f>
        <v>0.156204906204906</v>
      </c>
      <c r="M218" s="18" t="n">
        <f aca="false">_xlfn.NORM.DIST(K218,AVERAGE($G$2:$G$1387),_xlfn.STDEV.S($G$2:$G$1387),TRUE())</f>
        <v>0.151688853898844</v>
      </c>
    </row>
    <row r="219" customFormat="false" ht="15" hidden="false" customHeight="false" outlineLevel="0" collapsed="false">
      <c r="A219" s="0" t="n">
        <f aca="false">ROW()-1</f>
        <v>218</v>
      </c>
      <c r="B219" s="0" t="str">
        <f aca="false">'Analysis Data'!A219</f>
        <v>Old Town</v>
      </c>
      <c r="C219" s="5" t="n">
        <f aca="false">'Analysis Data'!B219</f>
        <v>40358</v>
      </c>
      <c r="D219" s="6" t="n">
        <f aca="false">'Analysis Data'!C219</f>
        <v>170.9624809317</v>
      </c>
      <c r="E219" s="15" t="n">
        <f aca="false">SUMPRODUCT('Final Model'!$B$45:$I$45,'Analysis Data'!N219:U219)</f>
        <v>198.458609994717</v>
      </c>
      <c r="F219" s="15" t="n">
        <f aca="false">D219-E219</f>
        <v>-27.4961290630177</v>
      </c>
      <c r="G219" s="13" t="n">
        <f aca="false">F219/'Final Model'!$B$21</f>
        <v>-0.560779031771241</v>
      </c>
      <c r="H219" s="6" t="n">
        <f aca="false">F219^2</f>
        <v>756.037113450129</v>
      </c>
      <c r="J219" s="6" t="n">
        <f aca="false">A219</f>
        <v>218</v>
      </c>
      <c r="K219" s="13" t="n">
        <f aca="false">SMALL($G$2:$G$1387,J219)</f>
        <v>-1.02087764395953</v>
      </c>
      <c r="L219" s="18" t="n">
        <f aca="false">(J219-0.5)/1386</f>
        <v>0.156926406926407</v>
      </c>
      <c r="M219" s="18" t="n">
        <f aca="false">_xlfn.NORM.DIST(K219,AVERAGE($G$2:$G$1387),_xlfn.STDEV.S($G$2:$G$1387),TRUE())</f>
        <v>0.153043476687897</v>
      </c>
    </row>
    <row r="220" customFormat="false" ht="15" hidden="false" customHeight="false" outlineLevel="0" collapsed="false">
      <c r="A220" s="0" t="n">
        <f aca="false">ROW()-1</f>
        <v>219</v>
      </c>
      <c r="B220" s="0" t="str">
        <f aca="false">'Analysis Data'!A220</f>
        <v>Old Town</v>
      </c>
      <c r="C220" s="5" t="n">
        <f aca="false">'Analysis Data'!B220</f>
        <v>40365</v>
      </c>
      <c r="D220" s="6" t="n">
        <f aca="false">'Analysis Data'!C220</f>
        <v>176.151689171328</v>
      </c>
      <c r="E220" s="15" t="n">
        <f aca="false">SUMPRODUCT('Final Model'!$B$45:$I$45,'Analysis Data'!N220:U220)</f>
        <v>207.594079512587</v>
      </c>
      <c r="F220" s="15" t="n">
        <f aca="false">D220-E220</f>
        <v>-31.4423903412592</v>
      </c>
      <c r="G220" s="13" t="n">
        <f aca="false">F220/'Final Model'!$B$21</f>
        <v>-0.641262381760495</v>
      </c>
      <c r="H220" s="6" t="n">
        <f aca="false">F220^2</f>
        <v>988.62391037211</v>
      </c>
      <c r="J220" s="6" t="n">
        <f aca="false">A220</f>
        <v>219</v>
      </c>
      <c r="K220" s="13" t="n">
        <f aca="false">SMALL($G$2:$G$1387,J220)</f>
        <v>-1.02006116014857</v>
      </c>
      <c r="L220" s="18" t="n">
        <f aca="false">(J220-0.5)/1386</f>
        <v>0.157647907647908</v>
      </c>
      <c r="M220" s="18" t="n">
        <f aca="false">_xlfn.NORM.DIST(K220,AVERAGE($G$2:$G$1387),_xlfn.STDEV.S($G$2:$G$1387),TRUE())</f>
        <v>0.153236976816693</v>
      </c>
    </row>
    <row r="221" customFormat="false" ht="15" hidden="false" customHeight="false" outlineLevel="0" collapsed="false">
      <c r="A221" s="0" t="n">
        <f aca="false">ROW()-1</f>
        <v>220</v>
      </c>
      <c r="B221" s="0" t="str">
        <f aca="false">'Analysis Data'!A221</f>
        <v>Old Town</v>
      </c>
      <c r="C221" s="5" t="n">
        <f aca="false">'Analysis Data'!B221</f>
        <v>40372</v>
      </c>
      <c r="D221" s="6" t="n">
        <f aca="false">'Analysis Data'!C221</f>
        <v>145.650431618582</v>
      </c>
      <c r="E221" s="15" t="n">
        <f aca="false">SUMPRODUCT('Final Model'!$B$45:$I$45,'Analysis Data'!N221:U221)</f>
        <v>207.594079512587</v>
      </c>
      <c r="F221" s="15" t="n">
        <f aca="false">D221-E221</f>
        <v>-61.9436478940052</v>
      </c>
      <c r="G221" s="13" t="n">
        <f aca="false">F221/'Final Model'!$B$21</f>
        <v>-1.2633305150251</v>
      </c>
      <c r="H221" s="6" t="n">
        <f aca="false">F221^2</f>
        <v>3837.0155144165</v>
      </c>
      <c r="J221" s="6" t="n">
        <f aca="false">A221</f>
        <v>220</v>
      </c>
      <c r="K221" s="13" t="n">
        <f aca="false">SMALL($G$2:$G$1387,J221)</f>
        <v>-1.01710352847108</v>
      </c>
      <c r="L221" s="18" t="n">
        <f aca="false">(J221-0.5)/1386</f>
        <v>0.158369408369408</v>
      </c>
      <c r="M221" s="18" t="n">
        <f aca="false">_xlfn.NORM.DIST(K221,AVERAGE($G$2:$G$1387),_xlfn.STDEV.S($G$2:$G$1387),TRUE())</f>
        <v>0.153939268557575</v>
      </c>
    </row>
    <row r="222" customFormat="false" ht="15" hidden="false" customHeight="false" outlineLevel="0" collapsed="false">
      <c r="A222" s="0" t="n">
        <f aca="false">ROW()-1</f>
        <v>221</v>
      </c>
      <c r="B222" s="0" t="str">
        <f aca="false">'Analysis Data'!A222</f>
        <v>P Street</v>
      </c>
      <c r="C222" s="5" t="n">
        <f aca="false">'Analysis Data'!B222</f>
        <v>40302</v>
      </c>
      <c r="D222" s="6" t="n">
        <f aca="false">'Analysis Data'!C222</f>
        <v>136.573084621706</v>
      </c>
      <c r="E222" s="15" t="n">
        <f aca="false">SUMPRODUCT('Final Model'!$B$45:$I$45,'Analysis Data'!N222:U222)</f>
        <v>185.494628492909</v>
      </c>
      <c r="F222" s="15" t="n">
        <f aca="false">D222-E222</f>
        <v>-48.9215438712032</v>
      </c>
      <c r="G222" s="13" t="n">
        <f aca="false">F222/'Final Model'!$B$21</f>
        <v>-0.997746844363869</v>
      </c>
      <c r="H222" s="6" t="n">
        <f aca="false">F222^2</f>
        <v>2393.31745474206</v>
      </c>
      <c r="J222" s="6" t="n">
        <f aca="false">A222</f>
        <v>221</v>
      </c>
      <c r="K222" s="13" t="n">
        <f aca="false">SMALL($G$2:$G$1387,J222)</f>
        <v>-1.00735468210311</v>
      </c>
      <c r="L222" s="18" t="n">
        <f aca="false">(J222-0.5)/1386</f>
        <v>0.159090909090909</v>
      </c>
      <c r="M222" s="18" t="n">
        <f aca="false">_xlfn.NORM.DIST(K222,AVERAGE($G$2:$G$1387),_xlfn.STDEV.S($G$2:$G$1387),TRUE())</f>
        <v>0.156269197407172</v>
      </c>
    </row>
    <row r="223" customFormat="false" ht="15" hidden="false" customHeight="false" outlineLevel="0" collapsed="false">
      <c r="A223" s="0" t="n">
        <f aca="false">ROW()-1</f>
        <v>222</v>
      </c>
      <c r="B223" s="0" t="str">
        <f aca="false">'Analysis Data'!A223</f>
        <v>P Street</v>
      </c>
      <c r="C223" s="5" t="n">
        <f aca="false">'Analysis Data'!B223</f>
        <v>40309</v>
      </c>
      <c r="D223" s="6" t="n">
        <f aca="false">'Analysis Data'!C223</f>
        <v>274.909490480551</v>
      </c>
      <c r="E223" s="15" t="n">
        <f aca="false">SUMPRODUCT('Final Model'!$B$45:$I$45,'Analysis Data'!N223:U223)</f>
        <v>198.458609994717</v>
      </c>
      <c r="F223" s="15" t="n">
        <f aca="false">D223-E223</f>
        <v>76.4508804858337</v>
      </c>
      <c r="G223" s="13" t="n">
        <f aca="false">F223/'Final Model'!$B$21</f>
        <v>1.5592031386908</v>
      </c>
      <c r="H223" s="6" t="n">
        <f aca="false">F223^2</f>
        <v>5844.73712705922</v>
      </c>
      <c r="J223" s="6" t="n">
        <f aca="false">A223</f>
        <v>222</v>
      </c>
      <c r="K223" s="13" t="n">
        <f aca="false">SMALL($G$2:$G$1387,J223)</f>
        <v>-1.00655473110721</v>
      </c>
      <c r="L223" s="18" t="n">
        <f aca="false">(J223-0.5)/1386</f>
        <v>0.15981240981241</v>
      </c>
      <c r="M223" s="18" t="n">
        <f aca="false">_xlfn.NORM.DIST(K223,AVERAGE($G$2:$G$1387),_xlfn.STDEV.S($G$2:$G$1387),TRUE())</f>
        <v>0.156461407915018</v>
      </c>
    </row>
    <row r="224" customFormat="false" ht="15" hidden="false" customHeight="false" outlineLevel="0" collapsed="false">
      <c r="A224" s="0" t="n">
        <f aca="false">ROW()-1</f>
        <v>223</v>
      </c>
      <c r="B224" s="0" t="str">
        <f aca="false">'Analysis Data'!A224</f>
        <v>P Street</v>
      </c>
      <c r="C224" s="5" t="n">
        <f aca="false">'Analysis Data'!B224</f>
        <v>40316</v>
      </c>
      <c r="D224" s="6" t="n">
        <f aca="false">'Analysis Data'!C224</f>
        <v>201.688447248134</v>
      </c>
      <c r="E224" s="15" t="n">
        <f aca="false">SUMPRODUCT('Final Model'!$B$45:$I$45,'Analysis Data'!N224:U224)</f>
        <v>197.171406165014</v>
      </c>
      <c r="F224" s="15" t="n">
        <f aca="false">D224-E224</f>
        <v>4.51704108312057</v>
      </c>
      <c r="G224" s="13" t="n">
        <f aca="false">F224/'Final Model'!$B$21</f>
        <v>0.0921243102713769</v>
      </c>
      <c r="H224" s="6" t="n">
        <f aca="false">F224^2</f>
        <v>20.4036601465991</v>
      </c>
      <c r="J224" s="6" t="n">
        <f aca="false">A224</f>
        <v>223</v>
      </c>
      <c r="K224" s="13" t="n">
        <f aca="false">SMALL($G$2:$G$1387,J224)</f>
        <v>-1.00534094150166</v>
      </c>
      <c r="L224" s="18" t="n">
        <f aca="false">(J224-0.5)/1386</f>
        <v>0.160533910533911</v>
      </c>
      <c r="M224" s="18" t="n">
        <f aca="false">_xlfn.NORM.DIST(K224,AVERAGE($G$2:$G$1387),_xlfn.STDEV.S($G$2:$G$1387),TRUE())</f>
        <v>0.156753351873181</v>
      </c>
    </row>
    <row r="225" customFormat="false" ht="15" hidden="false" customHeight="false" outlineLevel="0" collapsed="false">
      <c r="A225" s="0" t="n">
        <f aca="false">ROW()-1</f>
        <v>224</v>
      </c>
      <c r="B225" s="0" t="str">
        <f aca="false">'Analysis Data'!A225</f>
        <v>P Street</v>
      </c>
      <c r="C225" s="5" t="n">
        <f aca="false">'Analysis Data'!B225</f>
        <v>40323</v>
      </c>
      <c r="D225" s="6" t="n">
        <f aca="false">'Analysis Data'!C225</f>
        <v>173.888274159049</v>
      </c>
      <c r="E225" s="15" t="n">
        <f aca="false">SUMPRODUCT('Final Model'!$B$45:$I$45,'Analysis Data'!N225:U225)</f>
        <v>197.171406165014</v>
      </c>
      <c r="F225" s="15" t="n">
        <f aca="false">D225-E225</f>
        <v>-23.2831320059648</v>
      </c>
      <c r="G225" s="13" t="n">
        <f aca="false">F225/'Final Model'!$B$21</f>
        <v>-0.47485564942551</v>
      </c>
      <c r="H225" s="6" t="n">
        <f aca="false">F225^2</f>
        <v>542.104236007184</v>
      </c>
      <c r="J225" s="6" t="n">
        <f aca="false">A225</f>
        <v>224</v>
      </c>
      <c r="K225" s="13" t="n">
        <f aca="false">SMALL($G$2:$G$1387,J225)</f>
        <v>-1.0046552119308</v>
      </c>
      <c r="L225" s="18" t="n">
        <f aca="false">(J225-0.5)/1386</f>
        <v>0.161255411255411</v>
      </c>
      <c r="M225" s="18" t="n">
        <f aca="false">_xlfn.NORM.DIST(K225,AVERAGE($G$2:$G$1387),_xlfn.STDEV.S($G$2:$G$1387),TRUE())</f>
        <v>0.156918443784352</v>
      </c>
    </row>
    <row r="226" customFormat="false" ht="15" hidden="false" customHeight="false" outlineLevel="0" collapsed="false">
      <c r="A226" s="0" t="n">
        <f aca="false">ROW()-1</f>
        <v>225</v>
      </c>
      <c r="B226" s="0" t="str">
        <f aca="false">'Analysis Data'!A226</f>
        <v>P Street</v>
      </c>
      <c r="C226" s="5" t="n">
        <f aca="false">'Analysis Data'!B226</f>
        <v>40330</v>
      </c>
      <c r="D226" s="6" t="n">
        <f aca="false">'Analysis Data'!C226</f>
        <v>253.958335136955</v>
      </c>
      <c r="E226" s="15" t="n">
        <f aca="false">SUMPRODUCT('Final Model'!$B$45:$I$45,'Analysis Data'!N226:U226)</f>
        <v>197.171406165014</v>
      </c>
      <c r="F226" s="15" t="n">
        <f aca="false">D226-E226</f>
        <v>56.7869289719417</v>
      </c>
      <c r="G226" s="13" t="n">
        <f aca="false">F226/'Final Model'!$B$21</f>
        <v>1.15816008039397</v>
      </c>
      <c r="H226" s="6" t="n">
        <f aca="false">F226^2</f>
        <v>3224.75530206435</v>
      </c>
      <c r="J226" s="6" t="n">
        <f aca="false">A226</f>
        <v>225</v>
      </c>
      <c r="K226" s="13" t="n">
        <f aca="false">SMALL($G$2:$G$1387,J226)</f>
        <v>-1.00450933045166</v>
      </c>
      <c r="L226" s="18" t="n">
        <f aca="false">(J226-0.5)/1386</f>
        <v>0.161976911976912</v>
      </c>
      <c r="M226" s="18" t="n">
        <f aca="false">_xlfn.NORM.DIST(K226,AVERAGE($G$2:$G$1387),_xlfn.STDEV.S($G$2:$G$1387),TRUE())</f>
        <v>0.156953580037213</v>
      </c>
    </row>
    <row r="227" customFormat="false" ht="15" hidden="false" customHeight="false" outlineLevel="0" collapsed="false">
      <c r="A227" s="0" t="n">
        <f aca="false">ROW()-1</f>
        <v>226</v>
      </c>
      <c r="B227" s="0" t="str">
        <f aca="false">'Analysis Data'!A227</f>
        <v>P Street</v>
      </c>
      <c r="C227" s="5" t="n">
        <f aca="false">'Analysis Data'!B227</f>
        <v>40337</v>
      </c>
      <c r="D227" s="6" t="n">
        <f aca="false">'Analysis Data'!C227</f>
        <v>236.749147688526</v>
      </c>
      <c r="E227" s="15" t="n">
        <f aca="false">SUMPRODUCT('Final Model'!$B$45:$I$45,'Analysis Data'!N227:U227)</f>
        <v>187.057661716268</v>
      </c>
      <c r="F227" s="15" t="n">
        <f aca="false">D227-E227</f>
        <v>49.6914859722581</v>
      </c>
      <c r="G227" s="13" t="n">
        <f aca="false">F227/'Final Model'!$B$21</f>
        <v>1.01344968693345</v>
      </c>
      <c r="H227" s="6" t="n">
        <f aca="false">F227^2</f>
        <v>2469.24377813112</v>
      </c>
      <c r="J227" s="6" t="n">
        <f aca="false">A227</f>
        <v>226</v>
      </c>
      <c r="K227" s="13" t="n">
        <f aca="false">SMALL($G$2:$G$1387,J227)</f>
        <v>-1.00086971057176</v>
      </c>
      <c r="L227" s="18" t="n">
        <f aca="false">(J227-0.5)/1386</f>
        <v>0.162698412698413</v>
      </c>
      <c r="M227" s="18" t="n">
        <f aca="false">_xlfn.NORM.DIST(K227,AVERAGE($G$2:$G$1387),_xlfn.STDEV.S($G$2:$G$1387),TRUE())</f>
        <v>0.157831875233749</v>
      </c>
    </row>
    <row r="228" customFormat="false" ht="15" hidden="false" customHeight="false" outlineLevel="0" collapsed="false">
      <c r="A228" s="0" t="n">
        <f aca="false">ROW()-1</f>
        <v>227</v>
      </c>
      <c r="B228" s="0" t="str">
        <f aca="false">'Analysis Data'!A228</f>
        <v>P Street</v>
      </c>
      <c r="C228" s="5" t="n">
        <f aca="false">'Analysis Data'!B228</f>
        <v>40344</v>
      </c>
      <c r="D228" s="6" t="n">
        <f aca="false">'Analysis Data'!C228</f>
        <v>269.814245299884</v>
      </c>
      <c r="E228" s="15" t="n">
        <f aca="false">SUMPRODUCT('Final Model'!$B$45:$I$45,'Analysis Data'!N228:U228)</f>
        <v>187.057661716268</v>
      </c>
      <c r="F228" s="15" t="n">
        <f aca="false">D228-E228</f>
        <v>82.756583583616</v>
      </c>
      <c r="G228" s="13" t="n">
        <f aca="false">F228/'Final Model'!$B$21</f>
        <v>1.68780691668831</v>
      </c>
      <c r="H228" s="6" t="n">
        <f aca="false">F228^2</f>
        <v>6848.65212643202</v>
      </c>
      <c r="J228" s="6" t="n">
        <f aca="false">A228</f>
        <v>227</v>
      </c>
      <c r="K228" s="13" t="n">
        <f aca="false">SMALL($G$2:$G$1387,J228)</f>
        <v>-0.997746844363869</v>
      </c>
      <c r="L228" s="18" t="n">
        <f aca="false">(J228-0.5)/1386</f>
        <v>0.163419913419913</v>
      </c>
      <c r="M228" s="18" t="n">
        <f aca="false">_xlfn.NORM.DIST(K228,AVERAGE($G$2:$G$1387),_xlfn.STDEV.S($G$2:$G$1387),TRUE())</f>
        <v>0.158588037922878</v>
      </c>
    </row>
    <row r="229" customFormat="false" ht="15" hidden="false" customHeight="false" outlineLevel="0" collapsed="false">
      <c r="A229" s="0" t="n">
        <f aca="false">ROW()-1</f>
        <v>228</v>
      </c>
      <c r="B229" s="0" t="str">
        <f aca="false">'Analysis Data'!A229</f>
        <v>P Street</v>
      </c>
      <c r="C229" s="5" t="n">
        <f aca="false">'Analysis Data'!B229</f>
        <v>40351</v>
      </c>
      <c r="D229" s="6" t="n">
        <f aca="false">'Analysis Data'!C229</f>
        <v>348.925560564987</v>
      </c>
      <c r="E229" s="15" t="n">
        <f aca="false">SUMPRODUCT('Final Model'!$B$45:$I$45,'Analysis Data'!N229:U229)</f>
        <v>293.810358124067</v>
      </c>
      <c r="F229" s="15" t="n">
        <f aca="false">D229-E229</f>
        <v>55.1152024409198</v>
      </c>
      <c r="G229" s="13" t="n">
        <f aca="false">F229/'Final Model'!$B$21</f>
        <v>1.12406549263203</v>
      </c>
      <c r="H229" s="6" t="n">
        <f aca="false">F229^2</f>
        <v>3037.68554010357</v>
      </c>
      <c r="J229" s="6" t="n">
        <f aca="false">A229</f>
        <v>228</v>
      </c>
      <c r="K229" s="13" t="n">
        <f aca="false">SMALL($G$2:$G$1387,J229)</f>
        <v>-0.990673667527319</v>
      </c>
      <c r="L229" s="18" t="n">
        <f aca="false">(J229-0.5)/1386</f>
        <v>0.164141414141414</v>
      </c>
      <c r="M229" s="18" t="n">
        <f aca="false">_xlfn.NORM.DIST(K229,AVERAGE($G$2:$G$1387),_xlfn.STDEV.S($G$2:$G$1387),TRUE())</f>
        <v>0.160309488083668</v>
      </c>
    </row>
    <row r="230" customFormat="false" ht="15" hidden="false" customHeight="false" outlineLevel="0" collapsed="false">
      <c r="A230" s="0" t="n">
        <f aca="false">ROW()-1</f>
        <v>229</v>
      </c>
      <c r="B230" s="0" t="str">
        <f aca="false">'Analysis Data'!A230</f>
        <v>P Street</v>
      </c>
      <c r="C230" s="5" t="n">
        <f aca="false">'Analysis Data'!B230</f>
        <v>40358</v>
      </c>
      <c r="D230" s="6" t="n">
        <f aca="false">'Analysis Data'!C230</f>
        <v>243.088110961491</v>
      </c>
      <c r="E230" s="15" t="n">
        <f aca="false">SUMPRODUCT('Final Model'!$B$45:$I$45,'Analysis Data'!N230:U230)</f>
        <v>260.427453978867</v>
      </c>
      <c r="F230" s="15" t="n">
        <f aca="false">D230-E230</f>
        <v>-17.3393430173755</v>
      </c>
      <c r="G230" s="13" t="n">
        <f aca="false">F230/'Final Model'!$B$21</f>
        <v>-0.353633050184923</v>
      </c>
      <c r="H230" s="6" t="n">
        <f aca="false">F230^2</f>
        <v>300.65281627421</v>
      </c>
      <c r="J230" s="6" t="n">
        <f aca="false">A230</f>
        <v>229</v>
      </c>
      <c r="K230" s="13" t="n">
        <f aca="false">SMALL($G$2:$G$1387,J230)</f>
        <v>-0.98398185862098</v>
      </c>
      <c r="L230" s="18" t="n">
        <f aca="false">(J230-0.5)/1386</f>
        <v>0.164862914862915</v>
      </c>
      <c r="M230" s="18" t="n">
        <f aca="false">_xlfn.NORM.DIST(K230,AVERAGE($G$2:$G$1387),_xlfn.STDEV.S($G$2:$G$1387),TRUE())</f>
        <v>0.161949322277907</v>
      </c>
    </row>
    <row r="231" customFormat="false" ht="15" hidden="false" customHeight="false" outlineLevel="0" collapsed="false">
      <c r="A231" s="0" t="n">
        <f aca="false">ROW()-1</f>
        <v>230</v>
      </c>
      <c r="B231" s="0" t="str">
        <f aca="false">'Analysis Data'!A231</f>
        <v>P Street</v>
      </c>
      <c r="C231" s="5" t="n">
        <f aca="false">'Analysis Data'!B231</f>
        <v>40365</v>
      </c>
      <c r="D231" s="6" t="n">
        <f aca="false">'Analysis Data'!C231</f>
        <v>273.532252539151</v>
      </c>
      <c r="E231" s="15" t="n">
        <f aca="false">SUMPRODUCT('Final Model'!$B$45:$I$45,'Analysis Data'!N231:U231)</f>
        <v>268.040345243758</v>
      </c>
      <c r="F231" s="15" t="n">
        <f aca="false">D231-E231</f>
        <v>5.49190729539271</v>
      </c>
      <c r="G231" s="13" t="n">
        <f aca="false">F231/'Final Model'!$B$21</f>
        <v>0.112006546398925</v>
      </c>
      <c r="H231" s="6" t="n">
        <f aca="false">F231^2</f>
        <v>30.1610457411876</v>
      </c>
      <c r="J231" s="6" t="n">
        <f aca="false">A231</f>
        <v>230</v>
      </c>
      <c r="K231" s="13" t="n">
        <f aca="false">SMALL($G$2:$G$1387,J231)</f>
        <v>-0.983584415584119</v>
      </c>
      <c r="L231" s="18" t="n">
        <f aca="false">(J231-0.5)/1386</f>
        <v>0.165584415584416</v>
      </c>
      <c r="M231" s="18" t="n">
        <f aca="false">_xlfn.NORM.DIST(K231,AVERAGE($G$2:$G$1387),_xlfn.STDEV.S($G$2:$G$1387),TRUE())</f>
        <v>0.162047058646559</v>
      </c>
    </row>
    <row r="232" customFormat="false" ht="15" hidden="false" customHeight="false" outlineLevel="0" collapsed="false">
      <c r="A232" s="0" t="n">
        <f aca="false">ROW()-1</f>
        <v>231</v>
      </c>
      <c r="B232" s="0" t="str">
        <f aca="false">'Analysis Data'!A232</f>
        <v>P Street</v>
      </c>
      <c r="C232" s="5" t="n">
        <f aca="false">'Analysis Data'!B232</f>
        <v>40372</v>
      </c>
      <c r="D232" s="6" t="n">
        <f aca="false">'Analysis Data'!C232</f>
        <v>286.31471586877</v>
      </c>
      <c r="E232" s="15" t="n">
        <f aca="false">SUMPRODUCT('Final Model'!$B$45:$I$45,'Analysis Data'!N232:U232)</f>
        <v>268.040345243758</v>
      </c>
      <c r="F232" s="15" t="n">
        <f aca="false">D232-E232</f>
        <v>18.2743706250113</v>
      </c>
      <c r="G232" s="13" t="n">
        <f aca="false">F232/'Final Model'!$B$21</f>
        <v>0.372702784520532</v>
      </c>
      <c r="H232" s="6" t="n">
        <f aca="false">F232^2</f>
        <v>333.952621740277</v>
      </c>
      <c r="J232" s="6" t="n">
        <f aca="false">A232</f>
        <v>231</v>
      </c>
      <c r="K232" s="13" t="n">
        <f aca="false">SMALL($G$2:$G$1387,J232)</f>
        <v>-0.977119809186246</v>
      </c>
      <c r="L232" s="18" t="n">
        <f aca="false">(J232-0.5)/1386</f>
        <v>0.166305916305916</v>
      </c>
      <c r="M232" s="18" t="n">
        <f aca="false">_xlfn.NORM.DIST(K232,AVERAGE($G$2:$G$1387),_xlfn.STDEV.S($G$2:$G$1387),TRUE())</f>
        <v>0.163642181570278</v>
      </c>
    </row>
    <row r="233" customFormat="false" ht="15" hidden="false" customHeight="false" outlineLevel="0" collapsed="false">
      <c r="A233" s="0" t="n">
        <f aca="false">ROW()-1</f>
        <v>232</v>
      </c>
      <c r="B233" s="0" t="str">
        <f aca="false">'Analysis Data'!A233</f>
        <v>Philadelphia</v>
      </c>
      <c r="C233" s="5" t="n">
        <f aca="false">'Analysis Data'!B233</f>
        <v>40302</v>
      </c>
      <c r="D233" s="6" t="n">
        <f aca="false">'Analysis Data'!C233</f>
        <v>156.630998610753</v>
      </c>
      <c r="E233" s="15" t="n">
        <f aca="false">SUMPRODUCT('Final Model'!$B$45:$I$45,'Analysis Data'!N233:U233)</f>
        <v>190.420153385919</v>
      </c>
      <c r="F233" s="15" t="n">
        <f aca="false">D233-E233</f>
        <v>-33.7891547751659</v>
      </c>
      <c r="G233" s="13" t="n">
        <f aca="false">F233/'Final Model'!$B$21</f>
        <v>-0.689124256572954</v>
      </c>
      <c r="H233" s="6" t="n">
        <f aca="false">F233^2</f>
        <v>1141.70698042011</v>
      </c>
      <c r="J233" s="6" t="n">
        <f aca="false">A233</f>
        <v>232</v>
      </c>
      <c r="K233" s="13" t="n">
        <f aca="false">SMALL($G$2:$G$1387,J233)</f>
        <v>-0.976133133249282</v>
      </c>
      <c r="L233" s="18" t="n">
        <f aca="false">(J233-0.5)/1386</f>
        <v>0.167027417027417</v>
      </c>
      <c r="M233" s="18" t="n">
        <f aca="false">_xlfn.NORM.DIST(K233,AVERAGE($G$2:$G$1387),_xlfn.STDEV.S($G$2:$G$1387),TRUE())</f>
        <v>0.163886534693061</v>
      </c>
    </row>
    <row r="234" customFormat="false" ht="15" hidden="false" customHeight="false" outlineLevel="0" collapsed="false">
      <c r="A234" s="0" t="n">
        <f aca="false">ROW()-1</f>
        <v>233</v>
      </c>
      <c r="B234" s="0" t="str">
        <f aca="false">'Analysis Data'!A234</f>
        <v>Philadelphia</v>
      </c>
      <c r="C234" s="5" t="n">
        <f aca="false">'Analysis Data'!B234</f>
        <v>40309</v>
      </c>
      <c r="D234" s="6" t="n">
        <f aca="false">'Analysis Data'!C234</f>
        <v>170.644435794475</v>
      </c>
      <c r="E234" s="15" t="n">
        <f aca="false">SUMPRODUCT('Final Model'!$B$45:$I$45,'Analysis Data'!N234:U234)</f>
        <v>196.374565696905</v>
      </c>
      <c r="F234" s="15" t="n">
        <f aca="false">D234-E234</f>
        <v>-25.73012990243</v>
      </c>
      <c r="G234" s="13" t="n">
        <f aca="false">F234/'Final Model'!$B$21</f>
        <v>-0.524761769228084</v>
      </c>
      <c r="H234" s="6" t="n">
        <f aca="false">F234^2</f>
        <v>662.039584795923</v>
      </c>
      <c r="J234" s="6" t="n">
        <f aca="false">A234</f>
        <v>233</v>
      </c>
      <c r="K234" s="13" t="n">
        <f aca="false">SMALL($G$2:$G$1387,J234)</f>
        <v>-0.974696235203044</v>
      </c>
      <c r="L234" s="18" t="n">
        <f aca="false">(J234-0.5)/1386</f>
        <v>0.167748917748918</v>
      </c>
      <c r="M234" s="18" t="n">
        <f aca="false">_xlfn.NORM.DIST(K234,AVERAGE($G$2:$G$1387),_xlfn.STDEV.S($G$2:$G$1387),TRUE())</f>
        <v>0.164242809876326</v>
      </c>
    </row>
    <row r="235" customFormat="false" ht="15" hidden="false" customHeight="false" outlineLevel="0" collapsed="false">
      <c r="A235" s="0" t="n">
        <f aca="false">ROW()-1</f>
        <v>234</v>
      </c>
      <c r="B235" s="0" t="str">
        <f aca="false">'Analysis Data'!A235</f>
        <v>Philadelphia</v>
      </c>
      <c r="C235" s="5" t="n">
        <f aca="false">'Analysis Data'!B235</f>
        <v>40316</v>
      </c>
      <c r="D235" s="6" t="n">
        <f aca="false">'Analysis Data'!C235</f>
        <v>186.397739779014</v>
      </c>
      <c r="E235" s="15" t="n">
        <f aca="false">SUMPRODUCT('Final Model'!$B$45:$I$45,'Analysis Data'!N235:U235)</f>
        <v>202.871880293205</v>
      </c>
      <c r="F235" s="15" t="n">
        <f aca="false">D235-E235</f>
        <v>-16.4741405141916</v>
      </c>
      <c r="G235" s="13" t="n">
        <f aca="false">F235/'Final Model'!$B$21</f>
        <v>-0.335987387375095</v>
      </c>
      <c r="H235" s="6" t="n">
        <f aca="false">F235^2</f>
        <v>271.397305681331</v>
      </c>
      <c r="J235" s="6" t="n">
        <f aca="false">A235</f>
        <v>234</v>
      </c>
      <c r="K235" s="13" t="n">
        <f aca="false">SMALL($G$2:$G$1387,J235)</f>
        <v>-0.974240063313894</v>
      </c>
      <c r="L235" s="18" t="n">
        <f aca="false">(J235-0.5)/1386</f>
        <v>0.168470418470418</v>
      </c>
      <c r="M235" s="18" t="n">
        <f aca="false">_xlfn.NORM.DIST(K235,AVERAGE($G$2:$G$1387),_xlfn.STDEV.S($G$2:$G$1387),TRUE())</f>
        <v>0.16435602148154</v>
      </c>
    </row>
    <row r="236" customFormat="false" ht="15" hidden="false" customHeight="false" outlineLevel="0" collapsed="false">
      <c r="A236" s="0" t="n">
        <f aca="false">ROW()-1</f>
        <v>235</v>
      </c>
      <c r="B236" s="0" t="str">
        <f aca="false">'Analysis Data'!A236</f>
        <v>Philadelphia</v>
      </c>
      <c r="C236" s="5" t="n">
        <f aca="false">'Analysis Data'!B236</f>
        <v>40323</v>
      </c>
      <c r="D236" s="6" t="n">
        <f aca="false">'Analysis Data'!C236</f>
        <v>250.876474766929</v>
      </c>
      <c r="E236" s="15" t="n">
        <f aca="false">SUMPRODUCT('Final Model'!$B$45:$I$45,'Analysis Data'!N236:U236)</f>
        <v>201.278199356988</v>
      </c>
      <c r="F236" s="15" t="n">
        <f aca="false">D236-E236</f>
        <v>49.5982754099406</v>
      </c>
      <c r="G236" s="13" t="n">
        <f aca="false">F236/'Final Model'!$B$21</f>
        <v>1.01154867283916</v>
      </c>
      <c r="H236" s="6" t="n">
        <f aca="false">F236^2</f>
        <v>2459.98892364032</v>
      </c>
      <c r="J236" s="6" t="n">
        <f aca="false">A236</f>
        <v>235</v>
      </c>
      <c r="K236" s="13" t="n">
        <f aca="false">SMALL($G$2:$G$1387,J236)</f>
        <v>-0.970549339639936</v>
      </c>
      <c r="L236" s="18" t="n">
        <f aca="false">(J236-0.5)/1386</f>
        <v>0.169191919191919</v>
      </c>
      <c r="M236" s="18" t="n">
        <f aca="false">_xlfn.NORM.DIST(K236,AVERAGE($G$2:$G$1387),_xlfn.STDEV.S($G$2:$G$1387),TRUE())</f>
        <v>0.165273836083269</v>
      </c>
    </row>
    <row r="237" customFormat="false" ht="15" hidden="false" customHeight="false" outlineLevel="0" collapsed="false">
      <c r="A237" s="0" t="n">
        <f aca="false">ROW()-1</f>
        <v>236</v>
      </c>
      <c r="B237" s="0" t="str">
        <f aca="false">'Analysis Data'!A237</f>
        <v>Philadelphia</v>
      </c>
      <c r="C237" s="5" t="n">
        <f aca="false">'Analysis Data'!B237</f>
        <v>40330</v>
      </c>
      <c r="D237" s="6" t="n">
        <f aca="false">'Analysis Data'!C237</f>
        <v>199.689279434056</v>
      </c>
      <c r="E237" s="15" t="n">
        <f aca="false">SUMPRODUCT('Final Model'!$B$45:$I$45,'Analysis Data'!N237:U237)</f>
        <v>201.453329132139</v>
      </c>
      <c r="F237" s="15" t="n">
        <f aca="false">D237-E237</f>
        <v>-1.76404969808252</v>
      </c>
      <c r="G237" s="13" t="n">
        <f aca="false">F237/'Final Model'!$B$21</f>
        <v>-0.0359775035758612</v>
      </c>
      <c r="H237" s="6" t="n">
        <f aca="false">F237^2</f>
        <v>3.11187133730502</v>
      </c>
      <c r="J237" s="6" t="n">
        <f aca="false">A237</f>
        <v>236</v>
      </c>
      <c r="K237" s="13" t="n">
        <f aca="false">SMALL($G$2:$G$1387,J237)</f>
        <v>-0.966795313596372</v>
      </c>
      <c r="L237" s="18" t="n">
        <f aca="false">(J237-0.5)/1386</f>
        <v>0.16991341991342</v>
      </c>
      <c r="M237" s="18" t="n">
        <f aca="false">_xlfn.NORM.DIST(K237,AVERAGE($G$2:$G$1387),_xlfn.STDEV.S($G$2:$G$1387),TRUE())</f>
        <v>0.166210788751411</v>
      </c>
    </row>
    <row r="238" customFormat="false" ht="15" hidden="false" customHeight="false" outlineLevel="0" collapsed="false">
      <c r="A238" s="0" t="n">
        <f aca="false">ROW()-1</f>
        <v>237</v>
      </c>
      <c r="B238" s="0" t="str">
        <f aca="false">'Analysis Data'!A238</f>
        <v>Philadelphia</v>
      </c>
      <c r="C238" s="5" t="n">
        <f aca="false">'Analysis Data'!B238</f>
        <v>40337</v>
      </c>
      <c r="D238" s="6" t="n">
        <f aca="false">'Analysis Data'!C238</f>
        <v>148.634933569915</v>
      </c>
      <c r="E238" s="15" t="n">
        <f aca="false">SUMPRODUCT('Final Model'!$B$45:$I$45,'Analysis Data'!N238:U238)</f>
        <v>190.420153385919</v>
      </c>
      <c r="F238" s="15" t="n">
        <f aca="false">D238-E238</f>
        <v>-41.7852198160041</v>
      </c>
      <c r="G238" s="13" t="n">
        <f aca="false">F238/'Final Model'!$B$21</f>
        <v>-0.852202688497109</v>
      </c>
      <c r="H238" s="6" t="n">
        <f aca="false">F238^2</f>
        <v>1746.00459507178</v>
      </c>
      <c r="J238" s="6" t="n">
        <f aca="false">A238</f>
        <v>237</v>
      </c>
      <c r="K238" s="13" t="n">
        <f aca="false">SMALL($G$2:$G$1387,J238)</f>
        <v>-0.957662647451501</v>
      </c>
      <c r="L238" s="18" t="n">
        <f aca="false">(J238-0.5)/1386</f>
        <v>0.170634920634921</v>
      </c>
      <c r="M238" s="18" t="n">
        <f aca="false">_xlfn.NORM.DIST(K238,AVERAGE($G$2:$G$1387),_xlfn.STDEV.S($G$2:$G$1387),TRUE())</f>
        <v>0.168504470801235</v>
      </c>
    </row>
    <row r="239" customFormat="false" ht="15" hidden="false" customHeight="false" outlineLevel="0" collapsed="false">
      <c r="A239" s="0" t="n">
        <f aca="false">ROW()-1</f>
        <v>238</v>
      </c>
      <c r="B239" s="0" t="str">
        <f aca="false">'Analysis Data'!A239</f>
        <v>Philadelphia</v>
      </c>
      <c r="C239" s="5" t="n">
        <f aca="false">'Analysis Data'!B239</f>
        <v>40344</v>
      </c>
      <c r="D239" s="6" t="n">
        <f aca="false">'Analysis Data'!C239</f>
        <v>320.939901374364</v>
      </c>
      <c r="E239" s="15" t="n">
        <f aca="false">SUMPRODUCT('Final Model'!$B$45:$I$45,'Analysis Data'!N239:U239)</f>
        <v>190.420153385919</v>
      </c>
      <c r="F239" s="15" t="n">
        <f aca="false">D239-E239</f>
        <v>130.519747988445</v>
      </c>
      <c r="G239" s="13" t="n">
        <f aca="false">F239/'Final Model'!$B$21</f>
        <v>2.6619288022775</v>
      </c>
      <c r="H239" s="6" t="n">
        <f aca="false">F239^2</f>
        <v>17035.4046149672</v>
      </c>
      <c r="J239" s="6" t="n">
        <f aca="false">A239</f>
        <v>238</v>
      </c>
      <c r="K239" s="13" t="n">
        <f aca="false">SMALL($G$2:$G$1387,J239)</f>
        <v>-0.946413234254835</v>
      </c>
      <c r="L239" s="18" t="n">
        <f aca="false">(J239-0.5)/1386</f>
        <v>0.171356421356421</v>
      </c>
      <c r="M239" s="18" t="n">
        <f aca="false">_xlfn.NORM.DIST(K239,AVERAGE($G$2:$G$1387),_xlfn.STDEV.S($G$2:$G$1387),TRUE())</f>
        <v>0.171357610990142</v>
      </c>
    </row>
    <row r="240" customFormat="false" ht="15" hidden="false" customHeight="false" outlineLevel="0" collapsed="false">
      <c r="A240" s="0" t="n">
        <f aca="false">ROW()-1</f>
        <v>239</v>
      </c>
      <c r="B240" s="0" t="str">
        <f aca="false">'Analysis Data'!A240</f>
        <v>Philadelphia</v>
      </c>
      <c r="C240" s="5" t="n">
        <f aca="false">'Analysis Data'!B240</f>
        <v>40351</v>
      </c>
      <c r="D240" s="6" t="n">
        <f aca="false">'Analysis Data'!C240</f>
        <v>187.727491783517</v>
      </c>
      <c r="E240" s="15" t="n">
        <f aca="false">SUMPRODUCT('Final Model'!$B$45:$I$45,'Analysis Data'!N240:U240)</f>
        <v>190.420153385919</v>
      </c>
      <c r="F240" s="15" t="n">
        <f aca="false">D240-E240</f>
        <v>-2.69266160240204</v>
      </c>
      <c r="G240" s="13" t="n">
        <f aca="false">F240/'Final Model'!$B$21</f>
        <v>-0.0549163906971016</v>
      </c>
      <c r="H240" s="6" t="n">
        <f aca="false">F240^2</f>
        <v>7.25042650505032</v>
      </c>
      <c r="J240" s="6" t="n">
        <f aca="false">A240</f>
        <v>239</v>
      </c>
      <c r="K240" s="13" t="n">
        <f aca="false">SMALL($G$2:$G$1387,J240)</f>
        <v>-0.945600303754163</v>
      </c>
      <c r="L240" s="18" t="n">
        <f aca="false">(J240-0.5)/1386</f>
        <v>0.172077922077922</v>
      </c>
      <c r="M240" s="18" t="n">
        <f aca="false">_xlfn.NORM.DIST(K240,AVERAGE($G$2:$G$1387),_xlfn.STDEV.S($G$2:$G$1387),TRUE())</f>
        <v>0.171564980676257</v>
      </c>
    </row>
    <row r="241" customFormat="false" ht="15" hidden="false" customHeight="false" outlineLevel="0" collapsed="false">
      <c r="A241" s="0" t="n">
        <f aca="false">ROW()-1</f>
        <v>240</v>
      </c>
      <c r="B241" s="0" t="str">
        <f aca="false">'Analysis Data'!A241</f>
        <v>Philadelphia</v>
      </c>
      <c r="C241" s="5" t="n">
        <f aca="false">'Analysis Data'!B241</f>
        <v>40358</v>
      </c>
      <c r="D241" s="6" t="n">
        <f aca="false">'Analysis Data'!C241</f>
        <v>235.126725750206</v>
      </c>
      <c r="E241" s="15" t="n">
        <f aca="false">SUMPRODUCT('Final Model'!$B$45:$I$45,'Analysis Data'!N241:U241)</f>
        <v>190.420153385919</v>
      </c>
      <c r="F241" s="15" t="n">
        <f aca="false">D241-E241</f>
        <v>44.706572364287</v>
      </c>
      <c r="G241" s="13" t="n">
        <f aca="false">F241/'Final Model'!$B$21</f>
        <v>0.911783193437782</v>
      </c>
      <c r="H241" s="6" t="n">
        <f aca="false">F241^2</f>
        <v>1998.67761256323</v>
      </c>
      <c r="J241" s="6" t="n">
        <f aca="false">A241</f>
        <v>240</v>
      </c>
      <c r="K241" s="13" t="n">
        <f aca="false">SMALL($G$2:$G$1387,J241)</f>
        <v>-0.944106578736684</v>
      </c>
      <c r="L241" s="18" t="n">
        <f aca="false">(J241-0.5)/1386</f>
        <v>0.172799422799423</v>
      </c>
      <c r="M241" s="18" t="n">
        <f aca="false">_xlfn.NORM.DIST(K241,AVERAGE($G$2:$G$1387),_xlfn.STDEV.S($G$2:$G$1387),TRUE())</f>
        <v>0.171946431414771</v>
      </c>
    </row>
    <row r="242" customFormat="false" ht="15" hidden="false" customHeight="false" outlineLevel="0" collapsed="false">
      <c r="A242" s="0" t="n">
        <f aca="false">ROW()-1</f>
        <v>241</v>
      </c>
      <c r="B242" s="0" t="str">
        <f aca="false">'Analysis Data'!A242</f>
        <v>Philadelphia</v>
      </c>
      <c r="C242" s="5" t="n">
        <f aca="false">'Analysis Data'!B242</f>
        <v>40365</v>
      </c>
      <c r="D242" s="6" t="n">
        <f aca="false">'Analysis Data'!C242</f>
        <v>215.643490137009</v>
      </c>
      <c r="E242" s="15" t="n">
        <f aca="false">SUMPRODUCT('Final Model'!$B$45:$I$45,'Analysis Data'!N242:U242)</f>
        <v>196.945488740064</v>
      </c>
      <c r="F242" s="15" t="n">
        <f aca="false">D242-E242</f>
        <v>18.6980013969441</v>
      </c>
      <c r="G242" s="13" t="n">
        <f aca="false">F242/'Final Model'!$B$21</f>
        <v>0.381342664467579</v>
      </c>
      <c r="H242" s="6" t="n">
        <f aca="false">F242^2</f>
        <v>349.615256240125</v>
      </c>
      <c r="J242" s="6" t="n">
        <f aca="false">A242</f>
        <v>241</v>
      </c>
      <c r="K242" s="13" t="n">
        <f aca="false">SMALL($G$2:$G$1387,J242)</f>
        <v>-0.943493892525232</v>
      </c>
      <c r="L242" s="18" t="n">
        <f aca="false">(J242-0.5)/1386</f>
        <v>0.173520923520924</v>
      </c>
      <c r="M242" s="18" t="n">
        <f aca="false">_xlfn.NORM.DIST(K242,AVERAGE($G$2:$G$1387),_xlfn.STDEV.S($G$2:$G$1387),TRUE())</f>
        <v>0.172103048827723</v>
      </c>
    </row>
    <row r="243" customFormat="false" ht="15" hidden="false" customHeight="false" outlineLevel="0" collapsed="false">
      <c r="A243" s="0" t="n">
        <f aca="false">ROW()-1</f>
        <v>242</v>
      </c>
      <c r="B243" s="0" t="str">
        <f aca="false">'Analysis Data'!A243</f>
        <v>Philadelphia</v>
      </c>
      <c r="C243" s="5" t="n">
        <f aca="false">'Analysis Data'!B243</f>
        <v>40372</v>
      </c>
      <c r="D243" s="6" t="n">
        <f aca="false">'Analysis Data'!C243</f>
        <v>215.026029483102</v>
      </c>
      <c r="E243" s="15" t="n">
        <f aca="false">SUMPRODUCT('Final Model'!$B$45:$I$45,'Analysis Data'!N243:U243)</f>
        <v>196.945488740064</v>
      </c>
      <c r="F243" s="15" t="n">
        <f aca="false">D243-E243</f>
        <v>18.0805407430378</v>
      </c>
      <c r="G243" s="13" t="n">
        <f aca="false">F243/'Final Model'!$B$21</f>
        <v>0.368749655944058</v>
      </c>
      <c r="H243" s="6" t="n">
        <f aca="false">F243^2</f>
        <v>326.905953560651</v>
      </c>
      <c r="J243" s="6" t="n">
        <f aca="false">A243</f>
        <v>242</v>
      </c>
      <c r="K243" s="13" t="n">
        <f aca="false">SMALL($G$2:$G$1387,J243)</f>
        <v>-0.942860690446021</v>
      </c>
      <c r="L243" s="18" t="n">
        <f aca="false">(J243-0.5)/1386</f>
        <v>0.174242424242424</v>
      </c>
      <c r="M243" s="18" t="n">
        <f aca="false">_xlfn.NORM.DIST(K243,AVERAGE($G$2:$G$1387),_xlfn.STDEV.S($G$2:$G$1387),TRUE())</f>
        <v>0.172265006236881</v>
      </c>
    </row>
    <row r="244" customFormat="false" ht="15" hidden="false" customHeight="false" outlineLevel="0" collapsed="false">
      <c r="A244" s="0" t="n">
        <f aca="false">ROW()-1</f>
        <v>243</v>
      </c>
      <c r="B244" s="0" t="str">
        <f aca="false">'Analysis Data'!A244</f>
        <v>Princeton</v>
      </c>
      <c r="C244" s="5" t="n">
        <f aca="false">'Analysis Data'!B244</f>
        <v>40302</v>
      </c>
      <c r="D244" s="6" t="n">
        <f aca="false">'Analysis Data'!C244</f>
        <v>163.578836853248</v>
      </c>
      <c r="E244" s="15" t="n">
        <f aca="false">SUMPRODUCT('Final Model'!$B$45:$I$45,'Analysis Data'!N244:U244)</f>
        <v>185.281845820956</v>
      </c>
      <c r="F244" s="15" t="n">
        <f aca="false">D244-E244</f>
        <v>-21.7030089677081</v>
      </c>
      <c r="G244" s="13" t="n">
        <f aca="false">F244/'Final Model'!$B$21</f>
        <v>-0.442629299838548</v>
      </c>
      <c r="H244" s="6" t="n">
        <f aca="false">F244^2</f>
        <v>471.020598252419</v>
      </c>
      <c r="J244" s="6" t="n">
        <f aca="false">A244</f>
        <v>243</v>
      </c>
      <c r="K244" s="13" t="n">
        <f aca="false">SMALL($G$2:$G$1387,J244)</f>
        <v>-0.94274423749805</v>
      </c>
      <c r="L244" s="18" t="n">
        <f aca="false">(J244-0.5)/1386</f>
        <v>0.174963924963925</v>
      </c>
      <c r="M244" s="18" t="n">
        <f aca="false">_xlfn.NORM.DIST(K244,AVERAGE($G$2:$G$1387),_xlfn.STDEV.S($G$2:$G$1387),TRUE())</f>
        <v>0.172294802600198</v>
      </c>
    </row>
    <row r="245" customFormat="false" ht="15" hidden="false" customHeight="false" outlineLevel="0" collapsed="false">
      <c r="A245" s="0" t="n">
        <f aca="false">ROW()-1</f>
        <v>244</v>
      </c>
      <c r="B245" s="0" t="str">
        <f aca="false">'Analysis Data'!A245</f>
        <v>Princeton</v>
      </c>
      <c r="C245" s="5" t="n">
        <f aca="false">'Analysis Data'!B245</f>
        <v>40309</v>
      </c>
      <c r="D245" s="6" t="n">
        <f aca="false">'Analysis Data'!C245</f>
        <v>240.142838733714</v>
      </c>
      <c r="E245" s="15" t="n">
        <f aca="false">SUMPRODUCT('Final Model'!$B$45:$I$45,'Analysis Data'!N245:U245)</f>
        <v>194.045339696229</v>
      </c>
      <c r="F245" s="15" t="n">
        <f aca="false">D245-E245</f>
        <v>46.0974990374847</v>
      </c>
      <c r="G245" s="13" t="n">
        <f aca="false">F245/'Final Model'!$B$21</f>
        <v>0.940150914263975</v>
      </c>
      <c r="H245" s="6" t="n">
        <f aca="false">F245^2</f>
        <v>2124.97941751091</v>
      </c>
      <c r="J245" s="6" t="n">
        <f aca="false">A245</f>
        <v>244</v>
      </c>
      <c r="K245" s="13" t="n">
        <f aca="false">SMALL($G$2:$G$1387,J245)</f>
        <v>-0.941387936634359</v>
      </c>
      <c r="L245" s="18" t="n">
        <f aca="false">(J245-0.5)/1386</f>
        <v>0.175685425685426</v>
      </c>
      <c r="M245" s="18" t="n">
        <f aca="false">_xlfn.NORM.DIST(K245,AVERAGE($G$2:$G$1387),_xlfn.STDEV.S($G$2:$G$1387),TRUE())</f>
        <v>0.172642076172465</v>
      </c>
    </row>
    <row r="246" customFormat="false" ht="15" hidden="false" customHeight="false" outlineLevel="0" collapsed="false">
      <c r="A246" s="0" t="n">
        <f aca="false">ROW()-1</f>
        <v>245</v>
      </c>
      <c r="B246" s="0" t="str">
        <f aca="false">'Analysis Data'!A246</f>
        <v>Princeton</v>
      </c>
      <c r="C246" s="5" t="n">
        <f aca="false">'Analysis Data'!B246</f>
        <v>40316</v>
      </c>
      <c r="D246" s="6" t="n">
        <f aca="false">'Analysis Data'!C246</f>
        <v>173.964355680268</v>
      </c>
      <c r="E246" s="15" t="n">
        <f aca="false">SUMPRODUCT('Final Model'!$B$45:$I$45,'Analysis Data'!N246:U246)</f>
        <v>195.884202313244</v>
      </c>
      <c r="F246" s="15" t="n">
        <f aca="false">D246-E246</f>
        <v>-21.9198466329759</v>
      </c>
      <c r="G246" s="13" t="n">
        <f aca="false">F246/'Final Model'!$B$21</f>
        <v>-0.447051668372741</v>
      </c>
      <c r="H246" s="6" t="n">
        <f aca="false">F246^2</f>
        <v>480.479676413183</v>
      </c>
      <c r="J246" s="6" t="n">
        <f aca="false">A246</f>
        <v>245</v>
      </c>
      <c r="K246" s="13" t="n">
        <f aca="false">SMALL($G$2:$G$1387,J246)</f>
        <v>-0.941037643038467</v>
      </c>
      <c r="L246" s="18" t="n">
        <f aca="false">(J246-0.5)/1386</f>
        <v>0.176406926406926</v>
      </c>
      <c r="M246" s="18" t="n">
        <f aca="false">_xlfn.NORM.DIST(K246,AVERAGE($G$2:$G$1387),_xlfn.STDEV.S($G$2:$G$1387),TRUE())</f>
        <v>0.172731839434085</v>
      </c>
    </row>
    <row r="247" customFormat="false" ht="15" hidden="false" customHeight="false" outlineLevel="0" collapsed="false">
      <c r="A247" s="0" t="n">
        <f aca="false">ROW()-1</f>
        <v>246</v>
      </c>
      <c r="B247" s="0" t="str">
        <f aca="false">'Analysis Data'!A247</f>
        <v>Princeton</v>
      </c>
      <c r="C247" s="5" t="n">
        <f aca="false">'Analysis Data'!B247</f>
        <v>40323</v>
      </c>
      <c r="D247" s="6" t="n">
        <f aca="false">'Analysis Data'!C247</f>
        <v>208.725918546614</v>
      </c>
      <c r="E247" s="15" t="n">
        <f aca="false">SUMPRODUCT('Final Model'!$B$45:$I$45,'Analysis Data'!N247:U247)</f>
        <v>202.871880293205</v>
      </c>
      <c r="F247" s="15" t="n">
        <f aca="false">D247-E247</f>
        <v>5.85403825340856</v>
      </c>
      <c r="G247" s="13" t="n">
        <f aca="false">F247/'Final Model'!$B$21</f>
        <v>0.119392147751941</v>
      </c>
      <c r="H247" s="6" t="n">
        <f aca="false">F247^2</f>
        <v>34.2697638723708</v>
      </c>
      <c r="J247" s="6" t="n">
        <f aca="false">A247</f>
        <v>246</v>
      </c>
      <c r="K247" s="13" t="n">
        <f aca="false">SMALL($G$2:$G$1387,J247)</f>
        <v>-0.940033764655199</v>
      </c>
      <c r="L247" s="18" t="n">
        <f aca="false">(J247-0.5)/1386</f>
        <v>0.177128427128427</v>
      </c>
      <c r="M247" s="18" t="n">
        <f aca="false">_xlfn.NORM.DIST(K247,AVERAGE($G$2:$G$1387),_xlfn.STDEV.S($G$2:$G$1387),TRUE())</f>
        <v>0.172989249545032</v>
      </c>
    </row>
    <row r="248" customFormat="false" ht="15" hidden="false" customHeight="false" outlineLevel="0" collapsed="false">
      <c r="A248" s="0" t="n">
        <f aca="false">ROW()-1</f>
        <v>247</v>
      </c>
      <c r="B248" s="0" t="str">
        <f aca="false">'Analysis Data'!A248</f>
        <v>Princeton</v>
      </c>
      <c r="C248" s="5" t="n">
        <f aca="false">'Analysis Data'!B248</f>
        <v>40330</v>
      </c>
      <c r="D248" s="6" t="n">
        <f aca="false">'Analysis Data'!C248</f>
        <v>241.912989632067</v>
      </c>
      <c r="E248" s="15" t="n">
        <f aca="false">SUMPRODUCT('Final Model'!$B$45:$I$45,'Analysis Data'!N248:U248)</f>
        <v>199.762530762719</v>
      </c>
      <c r="F248" s="15" t="n">
        <f aca="false">D248-E248</f>
        <v>42.1504588693477</v>
      </c>
      <c r="G248" s="13" t="n">
        <f aca="false">F248/'Final Model'!$B$21</f>
        <v>0.859651678943352</v>
      </c>
      <c r="H248" s="6" t="n">
        <f aca="false">F248^2</f>
        <v>1776.66118289657</v>
      </c>
      <c r="J248" s="6" t="n">
        <f aca="false">A248</f>
        <v>247</v>
      </c>
      <c r="K248" s="13" t="n">
        <f aca="false">SMALL($G$2:$G$1387,J248)</f>
        <v>-0.936732104000087</v>
      </c>
      <c r="L248" s="18" t="n">
        <f aca="false">(J248-0.5)/1386</f>
        <v>0.177849927849928</v>
      </c>
      <c r="M248" s="18" t="n">
        <f aca="false">_xlfn.NORM.DIST(K248,AVERAGE($G$2:$G$1387),_xlfn.STDEV.S($G$2:$G$1387),TRUE())</f>
        <v>0.173837569550603</v>
      </c>
    </row>
    <row r="249" customFormat="false" ht="15" hidden="false" customHeight="false" outlineLevel="0" collapsed="false">
      <c r="A249" s="0" t="n">
        <f aca="false">ROW()-1</f>
        <v>248</v>
      </c>
      <c r="B249" s="0" t="str">
        <f aca="false">'Analysis Data'!A249</f>
        <v>Princeton</v>
      </c>
      <c r="C249" s="5" t="n">
        <f aca="false">'Analysis Data'!B249</f>
        <v>40337</v>
      </c>
      <c r="D249" s="6" t="n">
        <f aca="false">'Analysis Data'!C249</f>
        <v>199.37255472801</v>
      </c>
      <c r="E249" s="15" t="n">
        <f aca="false">SUMPRODUCT('Final Model'!$B$45:$I$45,'Analysis Data'!N249:U249)</f>
        <v>194.145641303952</v>
      </c>
      <c r="F249" s="15" t="n">
        <f aca="false">D249-E249</f>
        <v>5.2269134240573</v>
      </c>
      <c r="G249" s="13" t="n">
        <f aca="false">F249/'Final Model'!$B$21</f>
        <v>0.106602039959048</v>
      </c>
      <c r="H249" s="6" t="n">
        <f aca="false">F249^2</f>
        <v>27.3206239425904</v>
      </c>
      <c r="J249" s="6" t="n">
        <f aca="false">A249</f>
        <v>248</v>
      </c>
      <c r="K249" s="13" t="n">
        <f aca="false">SMALL($G$2:$G$1387,J249)</f>
        <v>-0.936384335099148</v>
      </c>
      <c r="L249" s="18" t="n">
        <f aca="false">(J249-0.5)/1386</f>
        <v>0.178571428571429</v>
      </c>
      <c r="M249" s="18" t="n">
        <f aca="false">_xlfn.NORM.DIST(K249,AVERAGE($G$2:$G$1387),_xlfn.STDEV.S($G$2:$G$1387),TRUE())</f>
        <v>0.173927078142482</v>
      </c>
    </row>
    <row r="250" customFormat="false" ht="15" hidden="false" customHeight="false" outlineLevel="0" collapsed="false">
      <c r="A250" s="0" t="n">
        <f aca="false">ROW()-1</f>
        <v>249</v>
      </c>
      <c r="B250" s="0" t="str">
        <f aca="false">'Analysis Data'!A250</f>
        <v>Princeton</v>
      </c>
      <c r="C250" s="5" t="n">
        <f aca="false">'Analysis Data'!B250</f>
        <v>40344</v>
      </c>
      <c r="D250" s="6" t="n">
        <f aca="false">'Analysis Data'!C250</f>
        <v>128.159428314179</v>
      </c>
      <c r="E250" s="15" t="n">
        <f aca="false">SUMPRODUCT('Final Model'!$B$45:$I$45,'Analysis Data'!N250:U250)</f>
        <v>194.145641303952</v>
      </c>
      <c r="F250" s="15" t="n">
        <f aca="false">D250-E250</f>
        <v>-65.9862129897737</v>
      </c>
      <c r="G250" s="13" t="n">
        <f aca="false">F250/'Final Model'!$B$21</f>
        <v>-1.3457779655401</v>
      </c>
      <c r="H250" s="6" t="n">
        <f aca="false">F250^2</f>
        <v>4354.18030473178</v>
      </c>
      <c r="J250" s="6" t="n">
        <f aca="false">A250</f>
        <v>249</v>
      </c>
      <c r="K250" s="13" t="n">
        <f aca="false">SMALL($G$2:$G$1387,J250)</f>
        <v>-0.930846257965045</v>
      </c>
      <c r="L250" s="18" t="n">
        <f aca="false">(J250-0.5)/1386</f>
        <v>0.179292929292929</v>
      </c>
      <c r="M250" s="18" t="n">
        <f aca="false">_xlfn.NORM.DIST(K250,AVERAGE($G$2:$G$1387),_xlfn.STDEV.S($G$2:$G$1387),TRUE())</f>
        <v>0.175356413426109</v>
      </c>
    </row>
    <row r="251" customFormat="false" ht="15" hidden="false" customHeight="false" outlineLevel="0" collapsed="false">
      <c r="A251" s="0" t="n">
        <f aca="false">ROW()-1</f>
        <v>250</v>
      </c>
      <c r="B251" s="0" t="str">
        <f aca="false">'Analysis Data'!A251</f>
        <v>Princeton</v>
      </c>
      <c r="C251" s="5" t="n">
        <f aca="false">'Analysis Data'!B251</f>
        <v>40351</v>
      </c>
      <c r="D251" s="6" t="n">
        <f aca="false">'Analysis Data'!C251</f>
        <v>294.961577289201</v>
      </c>
      <c r="E251" s="15" t="n">
        <f aca="false">SUMPRODUCT('Final Model'!$B$45:$I$45,'Analysis Data'!N251:U251)</f>
        <v>300.898337711752</v>
      </c>
      <c r="F251" s="15" t="n">
        <f aca="false">D251-E251</f>
        <v>-5.93676042255044</v>
      </c>
      <c r="G251" s="13" t="n">
        <f aca="false">F251/'Final Model'!$B$21</f>
        <v>-0.121079252791748</v>
      </c>
      <c r="H251" s="6" t="n">
        <f aca="false">F251^2</f>
        <v>35.2451243147612</v>
      </c>
      <c r="J251" s="6" t="n">
        <f aca="false">A251</f>
        <v>250</v>
      </c>
      <c r="K251" s="13" t="n">
        <f aca="false">SMALL($G$2:$G$1387,J251)</f>
        <v>-0.929117441809316</v>
      </c>
      <c r="L251" s="18" t="n">
        <f aca="false">(J251-0.5)/1386</f>
        <v>0.18001443001443</v>
      </c>
      <c r="M251" s="18" t="n">
        <f aca="false">_xlfn.NORM.DIST(K251,AVERAGE($G$2:$G$1387),_xlfn.STDEV.S($G$2:$G$1387),TRUE())</f>
        <v>0.175804128609401</v>
      </c>
    </row>
    <row r="252" customFormat="false" ht="15" hidden="false" customHeight="false" outlineLevel="0" collapsed="false">
      <c r="A252" s="0" t="n">
        <f aca="false">ROW()-1</f>
        <v>251</v>
      </c>
      <c r="B252" s="0" t="str">
        <f aca="false">'Analysis Data'!A252</f>
        <v>Princeton</v>
      </c>
      <c r="C252" s="5" t="n">
        <f aca="false">'Analysis Data'!B252</f>
        <v>40358</v>
      </c>
      <c r="D252" s="6" t="n">
        <f aca="false">'Analysis Data'!C252</f>
        <v>174.590300840673</v>
      </c>
      <c r="E252" s="15" t="n">
        <f aca="false">SUMPRODUCT('Final Model'!$B$45:$I$45,'Analysis Data'!N252:U252)</f>
        <v>265.451226676001</v>
      </c>
      <c r="F252" s="15" t="n">
        <f aca="false">D252-E252</f>
        <v>-90.8609258353276</v>
      </c>
      <c r="G252" s="13" t="n">
        <f aca="false">F252/'Final Model'!$B$21</f>
        <v>-1.85309364452704</v>
      </c>
      <c r="H252" s="6" t="n">
        <f aca="false">F252^2</f>
        <v>8255.70784365291</v>
      </c>
      <c r="J252" s="6" t="n">
        <f aca="false">A252</f>
        <v>251</v>
      </c>
      <c r="K252" s="13" t="n">
        <f aca="false">SMALL($G$2:$G$1387,J252)</f>
        <v>-0.928800119620143</v>
      </c>
      <c r="L252" s="18" t="n">
        <f aca="false">(J252-0.5)/1386</f>
        <v>0.180735930735931</v>
      </c>
      <c r="M252" s="18" t="n">
        <f aca="false">_xlfn.NORM.DIST(K252,AVERAGE($G$2:$G$1387),_xlfn.STDEV.S($G$2:$G$1387),TRUE())</f>
        <v>0.175886384788654</v>
      </c>
    </row>
    <row r="253" customFormat="false" ht="15" hidden="false" customHeight="false" outlineLevel="0" collapsed="false">
      <c r="A253" s="0" t="n">
        <f aca="false">ROW()-1</f>
        <v>252</v>
      </c>
      <c r="B253" s="0" t="str">
        <f aca="false">'Analysis Data'!A253</f>
        <v>Princeton</v>
      </c>
      <c r="C253" s="5" t="n">
        <f aca="false">'Analysis Data'!B253</f>
        <v>40365</v>
      </c>
      <c r="D253" s="6" t="n">
        <f aca="false">'Analysis Data'!C253</f>
        <v>336.473445634533</v>
      </c>
      <c r="E253" s="15" t="n">
        <f aca="false">SUMPRODUCT('Final Model'!$B$45:$I$45,'Analysis Data'!N253:U253)</f>
        <v>275.8204058475</v>
      </c>
      <c r="F253" s="15" t="n">
        <f aca="false">D253-E253</f>
        <v>60.6530397870337</v>
      </c>
      <c r="G253" s="13" t="n">
        <f aca="false">F253/'Final Model'!$B$21</f>
        <v>1.23700877486434</v>
      </c>
      <c r="H253" s="6" t="n">
        <f aca="false">F253^2</f>
        <v>3678.79123540749</v>
      </c>
      <c r="J253" s="6" t="n">
        <f aca="false">A253</f>
        <v>252</v>
      </c>
      <c r="K253" s="13" t="n">
        <f aca="false">SMALL($G$2:$G$1387,J253)</f>
        <v>-0.925441055339663</v>
      </c>
      <c r="L253" s="18" t="n">
        <f aca="false">(J253-0.5)/1386</f>
        <v>0.181457431457431</v>
      </c>
      <c r="M253" s="18" t="n">
        <f aca="false">_xlfn.NORM.DIST(K253,AVERAGE($G$2:$G$1387),_xlfn.STDEV.S($G$2:$G$1387),TRUE())</f>
        <v>0.176758614772137</v>
      </c>
    </row>
    <row r="254" customFormat="false" ht="15" hidden="false" customHeight="false" outlineLevel="0" collapsed="false">
      <c r="A254" s="0" t="n">
        <f aca="false">ROW()-1</f>
        <v>253</v>
      </c>
      <c r="B254" s="0" t="str">
        <f aca="false">'Analysis Data'!A254</f>
        <v>Princeton</v>
      </c>
      <c r="C254" s="5" t="n">
        <f aca="false">'Analysis Data'!B254</f>
        <v>40372</v>
      </c>
      <c r="D254" s="6" t="n">
        <f aca="false">'Analysis Data'!C254</f>
        <v>307.939977909224</v>
      </c>
      <c r="E254" s="15" t="n">
        <f aca="false">SUMPRODUCT('Final Model'!$B$45:$I$45,'Analysis Data'!N254:U254)</f>
        <v>275.8204058475</v>
      </c>
      <c r="F254" s="15" t="n">
        <f aca="false">D254-E254</f>
        <v>32.1195720617245</v>
      </c>
      <c r="G254" s="13" t="n">
        <f aca="false">F254/'Final Model'!$B$21</f>
        <v>0.655073391618115</v>
      </c>
      <c r="H254" s="6" t="n">
        <f aca="false">F254^2</f>
        <v>1031.66690942831</v>
      </c>
      <c r="J254" s="6" t="n">
        <f aca="false">A254</f>
        <v>253</v>
      </c>
      <c r="K254" s="13" t="n">
        <f aca="false">SMALL($G$2:$G$1387,J254)</f>
        <v>-0.921571073280171</v>
      </c>
      <c r="L254" s="18" t="n">
        <f aca="false">(J254-0.5)/1386</f>
        <v>0.182178932178932</v>
      </c>
      <c r="M254" s="18" t="n">
        <f aca="false">_xlfn.NORM.DIST(K254,AVERAGE($G$2:$G$1387),_xlfn.STDEV.S($G$2:$G$1387),TRUE())</f>
        <v>0.177766895678415</v>
      </c>
    </row>
    <row r="255" customFormat="false" ht="15" hidden="false" customHeight="false" outlineLevel="0" collapsed="false">
      <c r="A255" s="0" t="n">
        <f aca="false">ROW()-1</f>
        <v>254</v>
      </c>
      <c r="B255" s="0" t="str">
        <f aca="false">'Analysis Data'!A255</f>
        <v>Rockville</v>
      </c>
      <c r="C255" s="5" t="n">
        <f aca="false">'Analysis Data'!B255</f>
        <v>40302</v>
      </c>
      <c r="D255" s="6" t="n">
        <f aca="false">'Analysis Data'!C255</f>
        <v>171.965814015178</v>
      </c>
      <c r="E255" s="15" t="n">
        <f aca="false">SUMPRODUCT('Final Model'!$B$45:$I$45,'Analysis Data'!N255:U255)</f>
        <v>190.420153385919</v>
      </c>
      <c r="F255" s="15" t="n">
        <f aca="false">D255-E255</f>
        <v>-18.4543393707405</v>
      </c>
      <c r="G255" s="13" t="n">
        <f aca="false">F255/'Final Model'!$B$21</f>
        <v>-0.376373217502128</v>
      </c>
      <c r="H255" s="6" t="n">
        <f aca="false">F255^2</f>
        <v>340.562641610464</v>
      </c>
      <c r="J255" s="6" t="n">
        <f aca="false">A255</f>
        <v>254</v>
      </c>
      <c r="K255" s="13" t="n">
        <f aca="false">SMALL($G$2:$G$1387,J255)</f>
        <v>-0.916847071153198</v>
      </c>
      <c r="L255" s="18" t="n">
        <f aca="false">(J255-0.5)/1386</f>
        <v>0.182900432900433</v>
      </c>
      <c r="M255" s="18" t="n">
        <f aca="false">_xlfn.NORM.DIST(K255,AVERAGE($G$2:$G$1387),_xlfn.STDEV.S($G$2:$G$1387),TRUE())</f>
        <v>0.179002589252947</v>
      </c>
    </row>
    <row r="256" customFormat="false" ht="15" hidden="false" customHeight="false" outlineLevel="0" collapsed="false">
      <c r="A256" s="0" t="n">
        <f aca="false">ROW()-1</f>
        <v>255</v>
      </c>
      <c r="B256" s="0" t="str">
        <f aca="false">'Analysis Data'!A256</f>
        <v>Rockville</v>
      </c>
      <c r="C256" s="5" t="n">
        <f aca="false">'Analysis Data'!B256</f>
        <v>40309</v>
      </c>
      <c r="D256" s="6" t="n">
        <f aca="false">'Analysis Data'!C256</f>
        <v>254.497956260215</v>
      </c>
      <c r="E256" s="15" t="n">
        <f aca="false">SUMPRODUCT('Final Model'!$B$45:$I$45,'Analysis Data'!N256:U256)</f>
        <v>190.420153385919</v>
      </c>
      <c r="F256" s="15" t="n">
        <f aca="false">D256-E256</f>
        <v>64.0778028742955</v>
      </c>
      <c r="G256" s="13" t="n">
        <f aca="false">F256/'Final Model'!$B$21</f>
        <v>1.30685625498486</v>
      </c>
      <c r="H256" s="6" t="n">
        <f aca="false">F256^2</f>
        <v>4105.96482119708</v>
      </c>
      <c r="J256" s="6" t="n">
        <f aca="false">A256</f>
        <v>255</v>
      </c>
      <c r="K256" s="13" t="n">
        <f aca="false">SMALL($G$2:$G$1387,J256)</f>
        <v>-0.915239730840186</v>
      </c>
      <c r="L256" s="18" t="n">
        <f aca="false">(J256-0.5)/1386</f>
        <v>0.183621933621934</v>
      </c>
      <c r="M256" s="18" t="n">
        <f aca="false">_xlfn.NORM.DIST(K256,AVERAGE($G$2:$G$1387),_xlfn.STDEV.S($G$2:$G$1387),TRUE())</f>
        <v>0.179424263023053</v>
      </c>
    </row>
    <row r="257" customFormat="false" ht="15" hidden="false" customHeight="false" outlineLevel="0" collapsed="false">
      <c r="A257" s="0" t="n">
        <f aca="false">ROW()-1</f>
        <v>256</v>
      </c>
      <c r="B257" s="0" t="str">
        <f aca="false">'Analysis Data'!A257</f>
        <v>Rockville</v>
      </c>
      <c r="C257" s="5" t="n">
        <f aca="false">'Analysis Data'!B257</f>
        <v>40316</v>
      </c>
      <c r="D257" s="6" t="n">
        <f aca="false">'Analysis Data'!C257</f>
        <v>169.60365591752</v>
      </c>
      <c r="E257" s="15" t="n">
        <f aca="false">SUMPRODUCT('Final Model'!$B$45:$I$45,'Analysis Data'!N257:U257)</f>
        <v>202.871880293205</v>
      </c>
      <c r="F257" s="15" t="n">
        <f aca="false">D257-E257</f>
        <v>-33.2682243756853</v>
      </c>
      <c r="G257" s="13" t="n">
        <f aca="false">F257/'Final Model'!$B$21</f>
        <v>-0.678499966718502</v>
      </c>
      <c r="H257" s="6" t="n">
        <f aca="false">F257^2</f>
        <v>1106.77475311094</v>
      </c>
      <c r="J257" s="6" t="n">
        <f aca="false">A257</f>
        <v>256</v>
      </c>
      <c r="K257" s="13" t="n">
        <f aca="false">SMALL($G$2:$G$1387,J257)</f>
        <v>-0.913900748654438</v>
      </c>
      <c r="L257" s="18" t="n">
        <f aca="false">(J257-0.5)/1386</f>
        <v>0.184343434343434</v>
      </c>
      <c r="M257" s="18" t="n">
        <f aca="false">_xlfn.NORM.DIST(K257,AVERAGE($G$2:$G$1387),_xlfn.STDEV.S($G$2:$G$1387),TRUE())</f>
        <v>0.179776011419283</v>
      </c>
    </row>
    <row r="258" customFormat="false" ht="15" hidden="false" customHeight="false" outlineLevel="0" collapsed="false">
      <c r="A258" s="0" t="n">
        <f aca="false">ROW()-1</f>
        <v>257</v>
      </c>
      <c r="B258" s="0" t="str">
        <f aca="false">'Analysis Data'!A258</f>
        <v>Rockville</v>
      </c>
      <c r="C258" s="5" t="n">
        <f aca="false">'Analysis Data'!B258</f>
        <v>40323</v>
      </c>
      <c r="D258" s="6" t="n">
        <f aca="false">'Analysis Data'!C258</f>
        <v>128.236260088128</v>
      </c>
      <c r="E258" s="15" t="n">
        <f aca="false">SUMPRODUCT('Final Model'!$B$45:$I$45,'Analysis Data'!N258:U258)</f>
        <v>202.871880293205</v>
      </c>
      <c r="F258" s="15" t="n">
        <f aca="false">D258-E258</f>
        <v>-74.635620205077</v>
      </c>
      <c r="G258" s="13" t="n">
        <f aca="false">F258/'Final Model'!$B$21</f>
        <v>-1.52218120370052</v>
      </c>
      <c r="H258" s="6" t="n">
        <f aca="false">F258^2</f>
        <v>5570.47580339649</v>
      </c>
      <c r="J258" s="6" t="n">
        <f aca="false">A258</f>
        <v>257</v>
      </c>
      <c r="K258" s="13" t="n">
        <f aca="false">SMALL($G$2:$G$1387,J258)</f>
        <v>-0.907212580530973</v>
      </c>
      <c r="L258" s="18" t="n">
        <f aca="false">(J258-0.5)/1386</f>
        <v>0.185064935064935</v>
      </c>
      <c r="M258" s="18" t="n">
        <f aca="false">_xlfn.NORM.DIST(K258,AVERAGE($G$2:$G$1387),_xlfn.STDEV.S($G$2:$G$1387),TRUE())</f>
        <v>0.181539461310648</v>
      </c>
    </row>
    <row r="259" customFormat="false" ht="15" hidden="false" customHeight="false" outlineLevel="0" collapsed="false">
      <c r="A259" s="0" t="n">
        <f aca="false">ROW()-1</f>
        <v>258</v>
      </c>
      <c r="B259" s="0" t="str">
        <f aca="false">'Analysis Data'!A259</f>
        <v>Rockville</v>
      </c>
      <c r="C259" s="5" t="n">
        <f aca="false">'Analysis Data'!B259</f>
        <v>40330</v>
      </c>
      <c r="D259" s="6" t="n">
        <f aca="false">'Analysis Data'!C259</f>
        <v>220.518631217007</v>
      </c>
      <c r="E259" s="15" t="n">
        <f aca="false">SUMPRODUCT('Final Model'!$B$45:$I$45,'Analysis Data'!N259:U259)</f>
        <v>202.871880293205</v>
      </c>
      <c r="F259" s="15" t="n">
        <f aca="false">D259-E259</f>
        <v>17.6467509238013</v>
      </c>
      <c r="G259" s="13" t="n">
        <f aca="false">F259/'Final Model'!$B$21</f>
        <v>0.359902583897439</v>
      </c>
      <c r="H259" s="6" t="n">
        <f aca="false">F259^2</f>
        <v>311.407818166683</v>
      </c>
      <c r="J259" s="6" t="n">
        <f aca="false">A259</f>
        <v>258</v>
      </c>
      <c r="K259" s="13" t="n">
        <f aca="false">SMALL($G$2:$G$1387,J259)</f>
        <v>-0.90489122294396</v>
      </c>
      <c r="L259" s="18" t="n">
        <f aca="false">(J259-0.5)/1386</f>
        <v>0.185786435786436</v>
      </c>
      <c r="M259" s="18" t="n">
        <f aca="false">_xlfn.NORM.DIST(K259,AVERAGE($G$2:$G$1387),_xlfn.STDEV.S($G$2:$G$1387),TRUE())</f>
        <v>0.182154049391415</v>
      </c>
    </row>
    <row r="260" customFormat="false" ht="15" hidden="false" customHeight="false" outlineLevel="0" collapsed="false">
      <c r="A260" s="0" t="n">
        <f aca="false">ROW()-1</f>
        <v>259</v>
      </c>
      <c r="B260" s="0" t="str">
        <f aca="false">'Analysis Data'!A260</f>
        <v>Rockville</v>
      </c>
      <c r="C260" s="5" t="n">
        <f aca="false">'Analysis Data'!B260</f>
        <v>40337</v>
      </c>
      <c r="D260" s="6" t="n">
        <f aca="false">'Analysis Data'!C260</f>
        <v>262.89154945941</v>
      </c>
      <c r="E260" s="15" t="n">
        <f aca="false">SUMPRODUCT('Final Model'!$B$45:$I$45,'Analysis Data'!N260:U260)</f>
        <v>198.458609994717</v>
      </c>
      <c r="F260" s="15" t="n">
        <f aca="false">D260-E260</f>
        <v>64.4329394646926</v>
      </c>
      <c r="G260" s="13" t="n">
        <f aca="false">F260/'Final Model'!$B$21</f>
        <v>1.3140992073602</v>
      </c>
      <c r="H260" s="6" t="n">
        <f aca="false">F260^2</f>
        <v>4151.60368806074</v>
      </c>
      <c r="J260" s="6" t="n">
        <f aca="false">A260</f>
        <v>259</v>
      </c>
      <c r="K260" s="13" t="n">
        <f aca="false">SMALL($G$2:$G$1387,J260)</f>
        <v>-0.897757530463132</v>
      </c>
      <c r="L260" s="18" t="n">
        <f aca="false">(J260-0.5)/1386</f>
        <v>0.186507936507937</v>
      </c>
      <c r="M260" s="18" t="n">
        <f aca="false">_xlfn.NORM.DIST(K260,AVERAGE($G$2:$G$1387),_xlfn.STDEV.S($G$2:$G$1387),TRUE())</f>
        <v>0.184050847643697</v>
      </c>
    </row>
    <row r="261" customFormat="false" ht="15" hidden="false" customHeight="false" outlineLevel="0" collapsed="false">
      <c r="A261" s="0" t="n">
        <f aca="false">ROW()-1</f>
        <v>260</v>
      </c>
      <c r="B261" s="0" t="str">
        <f aca="false">'Analysis Data'!A261</f>
        <v>Rockville</v>
      </c>
      <c r="C261" s="5" t="n">
        <f aca="false">'Analysis Data'!B261</f>
        <v>40344</v>
      </c>
      <c r="D261" s="6" t="n">
        <f aca="false">'Analysis Data'!C261</f>
        <v>309.220536109533</v>
      </c>
      <c r="E261" s="15" t="n">
        <f aca="false">SUMPRODUCT('Final Model'!$B$45:$I$45,'Analysis Data'!N261:U261)</f>
        <v>198.458609994717</v>
      </c>
      <c r="F261" s="15" t="n">
        <f aca="false">D261-E261</f>
        <v>110.761926114816</v>
      </c>
      <c r="G261" s="13" t="n">
        <f aca="false">F261/'Final Model'!$B$21</f>
        <v>2.25897127342649</v>
      </c>
      <c r="H261" s="6" t="n">
        <f aca="false">F261^2</f>
        <v>12268.204276664</v>
      </c>
      <c r="J261" s="6" t="n">
        <f aca="false">A261</f>
        <v>260</v>
      </c>
      <c r="K261" s="13" t="n">
        <f aca="false">SMALL($G$2:$G$1387,J261)</f>
        <v>-0.896194577207683</v>
      </c>
      <c r="L261" s="18" t="n">
        <f aca="false">(J261-0.5)/1386</f>
        <v>0.187229437229437</v>
      </c>
      <c r="M261" s="18" t="n">
        <f aca="false">_xlfn.NORM.DIST(K261,AVERAGE($G$2:$G$1387),_xlfn.STDEV.S($G$2:$G$1387),TRUE())</f>
        <v>0.184468062280328</v>
      </c>
    </row>
    <row r="262" customFormat="false" ht="15" hidden="false" customHeight="false" outlineLevel="0" collapsed="false">
      <c r="A262" s="0" t="n">
        <f aca="false">ROW()-1</f>
        <v>261</v>
      </c>
      <c r="B262" s="0" t="str">
        <f aca="false">'Analysis Data'!A262</f>
        <v>Rockville</v>
      </c>
      <c r="C262" s="5" t="n">
        <f aca="false">'Analysis Data'!B262</f>
        <v>40351</v>
      </c>
      <c r="D262" s="6" t="n">
        <f aca="false">'Analysis Data'!C262</f>
        <v>243.5738441462</v>
      </c>
      <c r="E262" s="15" t="n">
        <f aca="false">SUMPRODUCT('Final Model'!$B$45:$I$45,'Analysis Data'!N262:U262)</f>
        <v>305.211306402516</v>
      </c>
      <c r="F262" s="15" t="n">
        <f aca="false">D262-E262</f>
        <v>-61.637462256316</v>
      </c>
      <c r="G262" s="13" t="n">
        <f aca="false">F262/'Final Model'!$B$21</f>
        <v>-1.25708590928252</v>
      </c>
      <c r="H262" s="6" t="n">
        <f aca="false">F262^2</f>
        <v>3799.17675339877</v>
      </c>
      <c r="J262" s="6" t="n">
        <f aca="false">A262</f>
        <v>261</v>
      </c>
      <c r="K262" s="13" t="n">
        <f aca="false">SMALL($G$2:$G$1387,J262)</f>
        <v>-0.895506205932725</v>
      </c>
      <c r="L262" s="18" t="n">
        <f aca="false">(J262-0.5)/1386</f>
        <v>0.187950937950938</v>
      </c>
      <c r="M262" s="18" t="n">
        <f aca="false">_xlfn.NORM.DIST(K262,AVERAGE($G$2:$G$1387),_xlfn.STDEV.S($G$2:$G$1387),TRUE())</f>
        <v>0.184652002519697</v>
      </c>
    </row>
    <row r="263" customFormat="false" ht="15" hidden="false" customHeight="false" outlineLevel="0" collapsed="false">
      <c r="A263" s="0" t="n">
        <f aca="false">ROW()-1</f>
        <v>262</v>
      </c>
      <c r="B263" s="0" t="str">
        <f aca="false">'Analysis Data'!A263</f>
        <v>Rockville</v>
      </c>
      <c r="C263" s="5" t="n">
        <f aca="false">'Analysis Data'!B263</f>
        <v>40358</v>
      </c>
      <c r="D263" s="6" t="n">
        <f aca="false">'Analysis Data'!C263</f>
        <v>234.534304834696</v>
      </c>
      <c r="E263" s="15" t="n">
        <f aca="false">SUMPRODUCT('Final Model'!$B$45:$I$45,'Analysis Data'!N263:U263)</f>
        <v>271.828402257316</v>
      </c>
      <c r="F263" s="15" t="n">
        <f aca="false">D263-E263</f>
        <v>-37.2940974226202</v>
      </c>
      <c r="G263" s="13" t="n">
        <f aca="false">F263/'Final Model'!$B$21</f>
        <v>-0.76060698564178</v>
      </c>
      <c r="H263" s="6" t="n">
        <f aca="false">F263^2</f>
        <v>1390.84970256789</v>
      </c>
      <c r="J263" s="6" t="n">
        <f aca="false">A263</f>
        <v>262</v>
      </c>
      <c r="K263" s="13" t="n">
        <f aca="false">SMALL($G$2:$G$1387,J263)</f>
        <v>-0.886600168216787</v>
      </c>
      <c r="L263" s="18" t="n">
        <f aca="false">(J263-0.5)/1386</f>
        <v>0.188672438672439</v>
      </c>
      <c r="M263" s="18" t="n">
        <f aca="false">_xlfn.NORM.DIST(K263,AVERAGE($G$2:$G$1387),_xlfn.STDEV.S($G$2:$G$1387),TRUE())</f>
        <v>0.18704206426557</v>
      </c>
    </row>
    <row r="264" customFormat="false" ht="15" hidden="false" customHeight="false" outlineLevel="0" collapsed="false">
      <c r="A264" s="0" t="n">
        <f aca="false">ROW()-1</f>
        <v>263</v>
      </c>
      <c r="B264" s="0" t="str">
        <f aca="false">'Analysis Data'!A264</f>
        <v>Rockville</v>
      </c>
      <c r="C264" s="5" t="n">
        <f aca="false">'Analysis Data'!B264</f>
        <v>40365</v>
      </c>
      <c r="D264" s="6" t="n">
        <f aca="false">'Analysis Data'!C264</f>
        <v>323.54789319542</v>
      </c>
      <c r="E264" s="15" t="n">
        <f aca="false">SUMPRODUCT('Final Model'!$B$45:$I$45,'Analysis Data'!N264:U264)</f>
        <v>280.963871775186</v>
      </c>
      <c r="F264" s="15" t="n">
        <f aca="false">D264-E264</f>
        <v>42.5840214202343</v>
      </c>
      <c r="G264" s="13" t="n">
        <f aca="false">F264/'Final Model'!$B$21</f>
        <v>0.868494115889339</v>
      </c>
      <c r="H264" s="6" t="n">
        <f aca="false">F264^2</f>
        <v>1813.39888031897</v>
      </c>
      <c r="J264" s="6" t="n">
        <f aca="false">A264</f>
        <v>263</v>
      </c>
      <c r="K264" s="13" t="n">
        <f aca="false">SMALL($G$2:$G$1387,J264)</f>
        <v>-0.882402477448732</v>
      </c>
      <c r="L264" s="18" t="n">
        <f aca="false">(J264-0.5)/1386</f>
        <v>0.189393939393939</v>
      </c>
      <c r="M264" s="18" t="n">
        <f aca="false">_xlfn.NORM.DIST(K264,AVERAGE($G$2:$G$1387),_xlfn.STDEV.S($G$2:$G$1387),TRUE())</f>
        <v>0.188175179826643</v>
      </c>
    </row>
    <row r="265" customFormat="false" ht="15" hidden="false" customHeight="false" outlineLevel="0" collapsed="false">
      <c r="A265" s="0" t="n">
        <f aca="false">ROW()-1</f>
        <v>264</v>
      </c>
      <c r="B265" s="0" t="str">
        <f aca="false">'Analysis Data'!A265</f>
        <v>Rockville</v>
      </c>
      <c r="C265" s="5" t="n">
        <f aca="false">'Analysis Data'!B265</f>
        <v>40372</v>
      </c>
      <c r="D265" s="6" t="n">
        <f aca="false">'Analysis Data'!C265</f>
        <v>298.390080780801</v>
      </c>
      <c r="E265" s="15" t="n">
        <f aca="false">SUMPRODUCT('Final Model'!$B$45:$I$45,'Analysis Data'!N265:U265)</f>
        <v>280.963871775186</v>
      </c>
      <c r="F265" s="15" t="n">
        <f aca="false">D265-E265</f>
        <v>17.4262090056151</v>
      </c>
      <c r="G265" s="13" t="n">
        <f aca="false">F265/'Final Model'!$B$21</f>
        <v>0.355404667733967</v>
      </c>
      <c r="H265" s="6" t="n">
        <f aca="false">F265^2</f>
        <v>303.67276030738</v>
      </c>
      <c r="J265" s="6" t="n">
        <f aca="false">A265</f>
        <v>264</v>
      </c>
      <c r="K265" s="13" t="n">
        <f aca="false">SMALL($G$2:$G$1387,J265)</f>
        <v>-0.882336519812243</v>
      </c>
      <c r="L265" s="18" t="n">
        <f aca="false">(J265-0.5)/1386</f>
        <v>0.19011544011544</v>
      </c>
      <c r="M265" s="18" t="n">
        <f aca="false">_xlfn.NORM.DIST(K265,AVERAGE($G$2:$G$1387),_xlfn.STDEV.S($G$2:$G$1387),TRUE())</f>
        <v>0.188193018025011</v>
      </c>
    </row>
    <row r="266" customFormat="false" ht="15" hidden="false" customHeight="false" outlineLevel="0" collapsed="false">
      <c r="A266" s="0" t="n">
        <f aca="false">ROW()-1</f>
        <v>265</v>
      </c>
      <c r="B266" s="0" t="str">
        <f aca="false">'Analysis Data'!A266</f>
        <v>Short Pump</v>
      </c>
      <c r="C266" s="5" t="n">
        <f aca="false">'Analysis Data'!B266</f>
        <v>40302</v>
      </c>
      <c r="D266" s="6" t="n">
        <f aca="false">'Analysis Data'!C266</f>
        <v>202.68989714049</v>
      </c>
      <c r="E266" s="15" t="n">
        <f aca="false">SUMPRODUCT('Final Model'!$B$45:$I$45,'Analysis Data'!N266:U266)</f>
        <v>190.420153385919</v>
      </c>
      <c r="F266" s="15" t="n">
        <f aca="false">D266-E266</f>
        <v>12.2697437545714</v>
      </c>
      <c r="G266" s="13" t="n">
        <f aca="false">F266/'Final Model'!$B$21</f>
        <v>0.250239406681581</v>
      </c>
      <c r="H266" s="6" t="n">
        <f aca="false">F266^2</f>
        <v>150.546611802843</v>
      </c>
      <c r="J266" s="6" t="n">
        <f aca="false">A266</f>
        <v>265</v>
      </c>
      <c r="K266" s="13" t="n">
        <f aca="false">SMALL($G$2:$G$1387,J266)</f>
        <v>-0.88227289788632</v>
      </c>
      <c r="L266" s="18" t="n">
        <f aca="false">(J266-0.5)/1386</f>
        <v>0.190836940836941</v>
      </c>
      <c r="M266" s="18" t="n">
        <f aca="false">_xlfn.NORM.DIST(K266,AVERAGE($G$2:$G$1387),_xlfn.STDEV.S($G$2:$G$1387),TRUE())</f>
        <v>0.188210225520689</v>
      </c>
    </row>
    <row r="267" customFormat="false" ht="15" hidden="false" customHeight="false" outlineLevel="0" collapsed="false">
      <c r="A267" s="0" t="n">
        <f aca="false">ROW()-1</f>
        <v>266</v>
      </c>
      <c r="B267" s="0" t="str">
        <f aca="false">'Analysis Data'!A267</f>
        <v>Short Pump</v>
      </c>
      <c r="C267" s="5" t="n">
        <f aca="false">'Analysis Data'!B267</f>
        <v>40309</v>
      </c>
      <c r="D267" s="6" t="n">
        <f aca="false">'Analysis Data'!C267</f>
        <v>277.152100378949</v>
      </c>
      <c r="E267" s="15" t="n">
        <f aca="false">SUMPRODUCT('Final Model'!$B$45:$I$45,'Analysis Data'!N267:U267)</f>
        <v>190.420153385919</v>
      </c>
      <c r="F267" s="15" t="n">
        <f aca="false">D267-E267</f>
        <v>86.7319469930298</v>
      </c>
      <c r="G267" s="13" t="n">
        <f aca="false">F267/'Final Model'!$B$21</f>
        <v>1.76888379985833</v>
      </c>
      <c r="H267" s="6" t="n">
        <f aca="false">F267^2</f>
        <v>7522.43062920173</v>
      </c>
      <c r="J267" s="6" t="n">
        <f aca="false">A267</f>
        <v>266</v>
      </c>
      <c r="K267" s="13" t="n">
        <f aca="false">SMALL($G$2:$G$1387,J267)</f>
        <v>-0.882223905922806</v>
      </c>
      <c r="L267" s="18" t="n">
        <f aca="false">(J267-0.5)/1386</f>
        <v>0.191558441558442</v>
      </c>
      <c r="M267" s="18" t="n">
        <f aca="false">_xlfn.NORM.DIST(K267,AVERAGE($G$2:$G$1387),_xlfn.STDEV.S($G$2:$G$1387),TRUE())</f>
        <v>0.188223476787171</v>
      </c>
    </row>
    <row r="268" customFormat="false" ht="15" hidden="false" customHeight="false" outlineLevel="0" collapsed="false">
      <c r="A268" s="0" t="n">
        <f aca="false">ROW()-1</f>
        <v>267</v>
      </c>
      <c r="B268" s="0" t="str">
        <f aca="false">'Analysis Data'!A268</f>
        <v>Short Pump</v>
      </c>
      <c r="C268" s="5" t="n">
        <f aca="false">'Analysis Data'!B268</f>
        <v>40316</v>
      </c>
      <c r="D268" s="6" t="n">
        <f aca="false">'Analysis Data'!C268</f>
        <v>184.941363538441</v>
      </c>
      <c r="E268" s="15" t="n">
        <f aca="false">SUMPRODUCT('Final Model'!$B$45:$I$45,'Analysis Data'!N268:U268)</f>
        <v>193.217851515263</v>
      </c>
      <c r="F268" s="15" t="n">
        <f aca="false">D268-E268</f>
        <v>-8.27648797682224</v>
      </c>
      <c r="G268" s="13" t="n">
        <f aca="false">F268/'Final Model'!$B$21</f>
        <v>-0.168797611600944</v>
      </c>
      <c r="H268" s="6" t="n">
        <f aca="false">F268^2</f>
        <v>68.5002532304831</v>
      </c>
      <c r="J268" s="6" t="n">
        <f aca="false">A268</f>
        <v>267</v>
      </c>
      <c r="K268" s="13" t="n">
        <f aca="false">SMALL($G$2:$G$1387,J268)</f>
        <v>-0.880008313606484</v>
      </c>
      <c r="L268" s="18" t="n">
        <f aca="false">(J268-0.5)/1386</f>
        <v>0.192279942279942</v>
      </c>
      <c r="M268" s="18" t="n">
        <f aca="false">_xlfn.NORM.DIST(K268,AVERAGE($G$2:$G$1387),_xlfn.STDEV.S($G$2:$G$1387),TRUE())</f>
        <v>0.188823348165547</v>
      </c>
    </row>
    <row r="269" customFormat="false" ht="15" hidden="false" customHeight="false" outlineLevel="0" collapsed="false">
      <c r="A269" s="0" t="n">
        <f aca="false">ROW()-1</f>
        <v>268</v>
      </c>
      <c r="B269" s="0" t="str">
        <f aca="false">'Analysis Data'!A269</f>
        <v>Short Pump</v>
      </c>
      <c r="C269" s="5" t="n">
        <f aca="false">'Analysis Data'!B269</f>
        <v>40323</v>
      </c>
      <c r="D269" s="6" t="n">
        <f aca="false">'Analysis Data'!C269</f>
        <v>269.428544736129</v>
      </c>
      <c r="E269" s="15" t="n">
        <f aca="false">SUMPRODUCT('Final Model'!$B$45:$I$45,'Analysis Data'!N269:U269)</f>
        <v>196.72482522514</v>
      </c>
      <c r="F269" s="15" t="n">
        <f aca="false">D269-E269</f>
        <v>72.7037195109892</v>
      </c>
      <c r="G269" s="13" t="n">
        <f aca="false">F269/'Final Model'!$B$21</f>
        <v>1.48278040665648</v>
      </c>
      <c r="H269" s="6" t="n">
        <f aca="false">F269^2</f>
        <v>5285.83083073259</v>
      </c>
      <c r="J269" s="6" t="n">
        <f aca="false">A269</f>
        <v>268</v>
      </c>
      <c r="K269" s="13" t="n">
        <f aca="false">SMALL($G$2:$G$1387,J269)</f>
        <v>-0.878143524597139</v>
      </c>
      <c r="L269" s="18" t="n">
        <f aca="false">(J269-0.5)/1386</f>
        <v>0.193001443001443</v>
      </c>
      <c r="M269" s="18" t="n">
        <f aca="false">_xlfn.NORM.DIST(K269,AVERAGE($G$2:$G$1387),_xlfn.STDEV.S($G$2:$G$1387),TRUE())</f>
        <v>0.189329151585722</v>
      </c>
    </row>
    <row r="270" customFormat="false" ht="15" hidden="false" customHeight="false" outlineLevel="0" collapsed="false">
      <c r="A270" s="0" t="n">
        <f aca="false">ROW()-1</f>
        <v>269</v>
      </c>
      <c r="B270" s="0" t="str">
        <f aca="false">'Analysis Data'!A270</f>
        <v>Short Pump</v>
      </c>
      <c r="C270" s="5" t="n">
        <f aca="false">'Analysis Data'!B270</f>
        <v>40330</v>
      </c>
      <c r="D270" s="6" t="n">
        <f aca="false">'Analysis Data'!C270</f>
        <v>226.953145365752</v>
      </c>
      <c r="E270" s="15" t="n">
        <f aca="false">SUMPRODUCT('Final Model'!$B$45:$I$45,'Analysis Data'!N270:U270)</f>
        <v>199.286098175684</v>
      </c>
      <c r="F270" s="15" t="n">
        <f aca="false">D270-E270</f>
        <v>27.6670471900685</v>
      </c>
      <c r="G270" s="13" t="n">
        <f aca="false">F270/'Final Model'!$B$21</f>
        <v>0.564264878872845</v>
      </c>
      <c r="H270" s="6" t="n">
        <f aca="false">F270^2</f>
        <v>765.465500217476</v>
      </c>
      <c r="J270" s="6" t="n">
        <f aca="false">A270</f>
        <v>269</v>
      </c>
      <c r="K270" s="13" t="n">
        <f aca="false">SMALL($G$2:$G$1387,J270)</f>
        <v>-0.878114915747815</v>
      </c>
      <c r="L270" s="18" t="n">
        <f aca="false">(J270-0.5)/1386</f>
        <v>0.193722943722944</v>
      </c>
      <c r="M270" s="18" t="n">
        <f aca="false">_xlfn.NORM.DIST(K270,AVERAGE($G$2:$G$1387),_xlfn.STDEV.S($G$2:$G$1387),TRUE())</f>
        <v>0.189336917910252</v>
      </c>
    </row>
    <row r="271" customFormat="false" ht="15" hidden="false" customHeight="false" outlineLevel="0" collapsed="false">
      <c r="A271" s="0" t="n">
        <f aca="false">ROW()-1</f>
        <v>270</v>
      </c>
      <c r="B271" s="0" t="str">
        <f aca="false">'Analysis Data'!A271</f>
        <v>Short Pump</v>
      </c>
      <c r="C271" s="5" t="n">
        <f aca="false">'Analysis Data'!B271</f>
        <v>40337</v>
      </c>
      <c r="D271" s="6" t="n">
        <f aca="false">'Analysis Data'!C271</f>
        <v>51.7332929950279</v>
      </c>
      <c r="E271" s="15" t="n">
        <f aca="false">SUMPRODUCT('Final Model'!$B$45:$I$45,'Analysis Data'!N271:U271)</f>
        <v>189.019115184715</v>
      </c>
      <c r="F271" s="15" t="n">
        <f aca="false">D271-E271</f>
        <v>-137.285822189687</v>
      </c>
      <c r="G271" s="13" t="n">
        <f aca="false">F271/'Final Model'!$B$21</f>
        <v>-2.7999217732433</v>
      </c>
      <c r="H271" s="6" t="n">
        <f aca="false">F271^2</f>
        <v>18847.3969742983</v>
      </c>
      <c r="J271" s="6" t="n">
        <f aca="false">A271</f>
        <v>270</v>
      </c>
      <c r="K271" s="13" t="n">
        <f aca="false">SMALL($G$2:$G$1387,J271)</f>
        <v>-0.871200268573554</v>
      </c>
      <c r="L271" s="18" t="n">
        <f aca="false">(J271-0.5)/1386</f>
        <v>0.194444444444444</v>
      </c>
      <c r="M271" s="18" t="n">
        <f aca="false">_xlfn.NORM.DIST(K271,AVERAGE($G$2:$G$1387),_xlfn.STDEV.S($G$2:$G$1387),TRUE())</f>
        <v>0.191219756219406</v>
      </c>
    </row>
    <row r="272" customFormat="false" ht="15" hidden="false" customHeight="false" outlineLevel="0" collapsed="false">
      <c r="A272" s="0" t="n">
        <f aca="false">ROW()-1</f>
        <v>271</v>
      </c>
      <c r="B272" s="0" t="str">
        <f aca="false">'Analysis Data'!A272</f>
        <v>Short Pump</v>
      </c>
      <c r="C272" s="5" t="n">
        <f aca="false">'Analysis Data'!B272</f>
        <v>40344</v>
      </c>
      <c r="D272" s="6" t="n">
        <f aca="false">'Analysis Data'!C272</f>
        <v>215.309166513989</v>
      </c>
      <c r="E272" s="15" t="n">
        <f aca="false">SUMPRODUCT('Final Model'!$B$45:$I$45,'Analysis Data'!N272:U272)</f>
        <v>193.769510302574</v>
      </c>
      <c r="F272" s="15" t="n">
        <f aca="false">D272-E272</f>
        <v>21.5396562114149</v>
      </c>
      <c r="G272" s="13" t="n">
        <f aca="false">F272/'Final Model'!$B$21</f>
        <v>0.439297747229767</v>
      </c>
      <c r="H272" s="6" t="n">
        <f aca="false">F272^2</f>
        <v>463.956789705943</v>
      </c>
      <c r="J272" s="6" t="n">
        <f aca="false">A272</f>
        <v>271</v>
      </c>
      <c r="K272" s="13" t="n">
        <f aca="false">SMALL($G$2:$G$1387,J272)</f>
        <v>-0.869380847391636</v>
      </c>
      <c r="L272" s="18" t="n">
        <f aca="false">(J272-0.5)/1386</f>
        <v>0.195165945165945</v>
      </c>
      <c r="M272" s="18" t="n">
        <f aca="false">_xlfn.NORM.DIST(K272,AVERAGE($G$2:$G$1387),_xlfn.STDEV.S($G$2:$G$1387),TRUE())</f>
        <v>0.191717080377341</v>
      </c>
    </row>
    <row r="273" customFormat="false" ht="15" hidden="false" customHeight="false" outlineLevel="0" collapsed="false">
      <c r="A273" s="0" t="n">
        <f aca="false">ROW()-1</f>
        <v>272</v>
      </c>
      <c r="B273" s="0" t="str">
        <f aca="false">'Analysis Data'!A273</f>
        <v>Short Pump</v>
      </c>
      <c r="C273" s="5" t="n">
        <f aca="false">'Analysis Data'!B273</f>
        <v>40351</v>
      </c>
      <c r="D273" s="6" t="n">
        <f aca="false">'Analysis Data'!C273</f>
        <v>261.720530857875</v>
      </c>
      <c r="E273" s="15" t="n">
        <f aca="false">SUMPRODUCT('Final Model'!$B$45:$I$45,'Analysis Data'!N273:U273)</f>
        <v>191.838704546985</v>
      </c>
      <c r="F273" s="15" t="n">
        <f aca="false">D273-E273</f>
        <v>69.8818263108894</v>
      </c>
      <c r="G273" s="13" t="n">
        <f aca="false">F273/'Final Model'!$B$21</f>
        <v>1.4252283587705</v>
      </c>
      <c r="H273" s="6" t="n">
        <f aca="false">F273^2</f>
        <v>4883.46964854531</v>
      </c>
      <c r="J273" s="6" t="n">
        <f aca="false">A273</f>
        <v>272</v>
      </c>
      <c r="K273" s="13" t="n">
        <f aca="false">SMALL($G$2:$G$1387,J273)</f>
        <v>-0.866293042339967</v>
      </c>
      <c r="L273" s="18" t="n">
        <f aca="false">(J273-0.5)/1386</f>
        <v>0.195887445887446</v>
      </c>
      <c r="M273" s="18" t="n">
        <f aca="false">_xlfn.NORM.DIST(K273,AVERAGE($G$2:$G$1387),_xlfn.STDEV.S($G$2:$G$1387),TRUE())</f>
        <v>0.192562917857733</v>
      </c>
    </row>
    <row r="274" customFormat="false" ht="15" hidden="false" customHeight="false" outlineLevel="0" collapsed="false">
      <c r="A274" s="0" t="n">
        <f aca="false">ROW()-1</f>
        <v>273</v>
      </c>
      <c r="B274" s="0" t="str">
        <f aca="false">'Analysis Data'!A274</f>
        <v>Short Pump</v>
      </c>
      <c r="C274" s="5" t="n">
        <f aca="false">'Analysis Data'!B274</f>
        <v>40358</v>
      </c>
      <c r="D274" s="6" t="n">
        <f aca="false">'Analysis Data'!C274</f>
        <v>196.773805424141</v>
      </c>
      <c r="E274" s="15" t="n">
        <f aca="false">SUMPRODUCT('Final Model'!$B$45:$I$45,'Analysis Data'!N274:U274)</f>
        <v>191.838704546985</v>
      </c>
      <c r="F274" s="15" t="n">
        <f aca="false">D274-E274</f>
        <v>4.93510087715598</v>
      </c>
      <c r="G274" s="13" t="n">
        <f aca="false">F274/'Final Model'!$B$21</f>
        <v>0.100650571040096</v>
      </c>
      <c r="H274" s="6" t="n">
        <f aca="false">F274^2</f>
        <v>24.3552206677057</v>
      </c>
      <c r="J274" s="6" t="n">
        <f aca="false">A274</f>
        <v>273</v>
      </c>
      <c r="K274" s="13" t="n">
        <f aca="false">SMALL($G$2:$G$1387,J274)</f>
        <v>-0.865406083137807</v>
      </c>
      <c r="L274" s="18" t="n">
        <f aca="false">(J274-0.5)/1386</f>
        <v>0.196608946608947</v>
      </c>
      <c r="M274" s="18" t="n">
        <f aca="false">_xlfn.NORM.DIST(K274,AVERAGE($G$2:$G$1387),_xlfn.STDEV.S($G$2:$G$1387),TRUE())</f>
        <v>0.192806302245035</v>
      </c>
    </row>
    <row r="275" customFormat="false" ht="15" hidden="false" customHeight="false" outlineLevel="0" collapsed="false">
      <c r="A275" s="0" t="n">
        <f aca="false">ROW()-1</f>
        <v>274</v>
      </c>
      <c r="B275" s="0" t="str">
        <f aca="false">'Analysis Data'!A275</f>
        <v>Short Pump</v>
      </c>
      <c r="C275" s="5" t="n">
        <f aca="false">'Analysis Data'!B275</f>
        <v>40365</v>
      </c>
      <c r="D275" s="6" t="n">
        <f aca="false">'Analysis Data'!C275</f>
        <v>141.000117840529</v>
      </c>
      <c r="E275" s="15" t="n">
        <f aca="false">SUMPRODUCT('Final Model'!$B$45:$I$45,'Analysis Data'!N275:U275)</f>
        <v>202.272936470134</v>
      </c>
      <c r="F275" s="15" t="n">
        <f aca="false">D275-E275</f>
        <v>-61.2728186296056</v>
      </c>
      <c r="G275" s="13" t="n">
        <f aca="false">F275/'Final Model'!$B$21</f>
        <v>-1.24964906246457</v>
      </c>
      <c r="H275" s="6" t="n">
        <f aca="false">F275^2</f>
        <v>3754.35830281654</v>
      </c>
      <c r="J275" s="6" t="n">
        <f aca="false">A275</f>
        <v>274</v>
      </c>
      <c r="K275" s="13" t="n">
        <f aca="false">SMALL($G$2:$G$1387,J275)</f>
        <v>-0.865182632674707</v>
      </c>
      <c r="L275" s="18" t="n">
        <f aca="false">(J275-0.5)/1386</f>
        <v>0.197330447330447</v>
      </c>
      <c r="M275" s="18" t="n">
        <f aca="false">_xlfn.NORM.DIST(K275,AVERAGE($G$2:$G$1387),_xlfn.STDEV.S($G$2:$G$1387),TRUE())</f>
        <v>0.192867647376714</v>
      </c>
    </row>
    <row r="276" customFormat="false" ht="15" hidden="false" customHeight="false" outlineLevel="0" collapsed="false">
      <c r="A276" s="0" t="n">
        <f aca="false">ROW()-1</f>
        <v>275</v>
      </c>
      <c r="B276" s="0" t="str">
        <f aca="false">'Analysis Data'!A276</f>
        <v>Short Pump</v>
      </c>
      <c r="C276" s="5" t="n">
        <f aca="false">'Analysis Data'!B276</f>
        <v>40372</v>
      </c>
      <c r="D276" s="6" t="n">
        <f aca="false">'Analysis Data'!C276</f>
        <v>201.603221966264</v>
      </c>
      <c r="E276" s="15" t="n">
        <f aca="false">SUMPRODUCT('Final Model'!$B$45:$I$45,'Analysis Data'!N276:U276)</f>
        <v>195.786129649751</v>
      </c>
      <c r="F276" s="15" t="n">
        <f aca="false">D276-E276</f>
        <v>5.8170923165128</v>
      </c>
      <c r="G276" s="13" t="n">
        <f aca="false">F276/'Final Model'!$B$21</f>
        <v>0.118638641443006</v>
      </c>
      <c r="H276" s="6" t="n">
        <f aca="false">F276^2</f>
        <v>33.8385630188322</v>
      </c>
      <c r="J276" s="6" t="n">
        <f aca="false">A276</f>
        <v>275</v>
      </c>
      <c r="K276" s="13" t="n">
        <f aca="false">SMALL($G$2:$G$1387,J276)</f>
        <v>-0.86453735166381</v>
      </c>
      <c r="L276" s="18" t="n">
        <f aca="false">(J276-0.5)/1386</f>
        <v>0.198051948051948</v>
      </c>
      <c r="M276" s="18" t="n">
        <f aca="false">_xlfn.NORM.DIST(K276,AVERAGE($G$2:$G$1387),_xlfn.STDEV.S($G$2:$G$1387),TRUE())</f>
        <v>0.193044866974581</v>
      </c>
    </row>
    <row r="277" customFormat="false" ht="15" hidden="false" customHeight="false" outlineLevel="0" collapsed="false">
      <c r="A277" s="0" t="n">
        <f aca="false">ROW()-1</f>
        <v>276</v>
      </c>
      <c r="B277" s="0" t="str">
        <f aca="false">'Analysis Data'!A277</f>
        <v>Tysons</v>
      </c>
      <c r="C277" s="5" t="n">
        <f aca="false">'Analysis Data'!B277</f>
        <v>40302</v>
      </c>
      <c r="D277" s="6" t="n">
        <f aca="false">'Analysis Data'!C277</f>
        <v>185.376325859695</v>
      </c>
      <c r="E277" s="15" t="n">
        <f aca="false">SUMPRODUCT('Final Model'!$B$45:$I$45,'Analysis Data'!N277:U277)</f>
        <v>193.769510302574</v>
      </c>
      <c r="F277" s="15" t="n">
        <f aca="false">D277-E277</f>
        <v>-8.39318444287886</v>
      </c>
      <c r="G277" s="13" t="n">
        <f aca="false">F277/'Final Model'!$B$21</f>
        <v>-0.171177616840822</v>
      </c>
      <c r="H277" s="6" t="n">
        <f aca="false">F277^2</f>
        <v>70.4455450921838</v>
      </c>
      <c r="J277" s="6" t="n">
        <f aca="false">A277</f>
        <v>276</v>
      </c>
      <c r="K277" s="13" t="n">
        <f aca="false">SMALL($G$2:$G$1387,J277)</f>
        <v>-0.859454107727446</v>
      </c>
      <c r="L277" s="18" t="n">
        <f aca="false">(J277-0.5)/1386</f>
        <v>0.198773448773449</v>
      </c>
      <c r="M277" s="18" t="n">
        <f aca="false">_xlfn.NORM.DIST(K277,AVERAGE($G$2:$G$1387),_xlfn.STDEV.S($G$2:$G$1387),TRUE())</f>
        <v>0.194444400152847</v>
      </c>
    </row>
    <row r="278" customFormat="false" ht="15" hidden="false" customHeight="false" outlineLevel="0" collapsed="false">
      <c r="A278" s="0" t="n">
        <f aca="false">ROW()-1</f>
        <v>277</v>
      </c>
      <c r="B278" s="0" t="str">
        <f aca="false">'Analysis Data'!A278</f>
        <v>Tysons</v>
      </c>
      <c r="C278" s="5" t="n">
        <f aca="false">'Analysis Data'!B278</f>
        <v>40309</v>
      </c>
      <c r="D278" s="6" t="n">
        <f aca="false">'Analysis Data'!C278</f>
        <v>220.86064395051</v>
      </c>
      <c r="E278" s="15" t="n">
        <f aca="false">SUMPRODUCT('Final Model'!$B$45:$I$45,'Analysis Data'!N278:U278)</f>
        <v>198.458609994717</v>
      </c>
      <c r="F278" s="15" t="n">
        <f aca="false">D278-E278</f>
        <v>22.4020339557929</v>
      </c>
      <c r="G278" s="13" t="n">
        <f aca="false">F278/'Final Model'!$B$21</f>
        <v>0.456885799548151</v>
      </c>
      <c r="H278" s="6" t="n">
        <f aca="false">F278^2</f>
        <v>501.8511253565</v>
      </c>
      <c r="J278" s="6" t="n">
        <f aca="false">A278</f>
        <v>277</v>
      </c>
      <c r="K278" s="13" t="n">
        <f aca="false">SMALL($G$2:$G$1387,J278)</f>
        <v>-0.856609325317109</v>
      </c>
      <c r="L278" s="18" t="n">
        <f aca="false">(J278-0.5)/1386</f>
        <v>0.19949494949495</v>
      </c>
      <c r="M278" s="18" t="n">
        <f aca="false">_xlfn.NORM.DIST(K278,AVERAGE($G$2:$G$1387),_xlfn.STDEV.S($G$2:$G$1387),TRUE())</f>
        <v>0.19523032217608</v>
      </c>
    </row>
    <row r="279" customFormat="false" ht="15" hidden="false" customHeight="false" outlineLevel="0" collapsed="false">
      <c r="A279" s="0" t="n">
        <f aca="false">ROW()-1</f>
        <v>278</v>
      </c>
      <c r="B279" s="0" t="str">
        <f aca="false">'Analysis Data'!A279</f>
        <v>Tysons</v>
      </c>
      <c r="C279" s="5" t="n">
        <f aca="false">'Analysis Data'!B279</f>
        <v>40316</v>
      </c>
      <c r="D279" s="6" t="n">
        <f aca="false">'Analysis Data'!C279</f>
        <v>180.132464028984</v>
      </c>
      <c r="E279" s="15" t="n">
        <f aca="false">SUMPRODUCT('Final Model'!$B$45:$I$45,'Analysis Data'!N279:U279)</f>
        <v>202.871880293205</v>
      </c>
      <c r="F279" s="15" t="n">
        <f aca="false">D279-E279</f>
        <v>-22.7394162642211</v>
      </c>
      <c r="G279" s="13" t="n">
        <f aca="false">F279/'Final Model'!$B$21</f>
        <v>-0.463766656261598</v>
      </c>
      <c r="H279" s="6" t="n">
        <f aca="false">F279^2</f>
        <v>517.081052037521</v>
      </c>
      <c r="J279" s="6" t="n">
        <f aca="false">A279</f>
        <v>278</v>
      </c>
      <c r="K279" s="13" t="n">
        <f aca="false">SMALL($G$2:$G$1387,J279)</f>
        <v>-0.856451768043101</v>
      </c>
      <c r="L279" s="18" t="n">
        <f aca="false">(J279-0.5)/1386</f>
        <v>0.20021645021645</v>
      </c>
      <c r="M279" s="18" t="n">
        <f aca="false">_xlfn.NORM.DIST(K279,AVERAGE($G$2:$G$1387),_xlfn.STDEV.S($G$2:$G$1387),TRUE())</f>
        <v>0.195273906533215</v>
      </c>
    </row>
    <row r="280" customFormat="false" ht="15" hidden="false" customHeight="false" outlineLevel="0" collapsed="false">
      <c r="A280" s="0" t="n">
        <f aca="false">ROW()-1</f>
        <v>279</v>
      </c>
      <c r="B280" s="0" t="str">
        <f aca="false">'Analysis Data'!A280</f>
        <v>Tysons</v>
      </c>
      <c r="C280" s="5" t="n">
        <f aca="false">'Analysis Data'!B280</f>
        <v>40323</v>
      </c>
      <c r="D280" s="6" t="n">
        <f aca="false">'Analysis Data'!C280</f>
        <v>221.744695883421</v>
      </c>
      <c r="E280" s="15" t="n">
        <f aca="false">SUMPRODUCT('Final Model'!$B$45:$I$45,'Analysis Data'!N280:U280)</f>
        <v>202.871880293205</v>
      </c>
      <c r="F280" s="15" t="n">
        <f aca="false">D280-E280</f>
        <v>18.8728155902155</v>
      </c>
      <c r="G280" s="13" t="n">
        <f aca="false">F280/'Final Model'!$B$21</f>
        <v>0.384907971199225</v>
      </c>
      <c r="H280" s="6" t="n">
        <f aca="false">F280^2</f>
        <v>356.183168302279</v>
      </c>
      <c r="J280" s="6" t="n">
        <f aca="false">A280</f>
        <v>279</v>
      </c>
      <c r="K280" s="13" t="n">
        <f aca="false">SMALL($G$2:$G$1387,J280)</f>
        <v>-0.855679151294687</v>
      </c>
      <c r="L280" s="18" t="n">
        <f aca="false">(J280-0.5)/1386</f>
        <v>0.200937950937951</v>
      </c>
      <c r="M280" s="18" t="n">
        <f aca="false">_xlfn.NORM.DIST(K280,AVERAGE($G$2:$G$1387),_xlfn.STDEV.S($G$2:$G$1387),TRUE())</f>
        <v>0.195487717579954</v>
      </c>
    </row>
    <row r="281" customFormat="false" ht="15" hidden="false" customHeight="false" outlineLevel="0" collapsed="false">
      <c r="A281" s="0" t="n">
        <f aca="false">ROW()-1</f>
        <v>280</v>
      </c>
      <c r="B281" s="0" t="str">
        <f aca="false">'Analysis Data'!A281</f>
        <v>Tysons</v>
      </c>
      <c r="C281" s="5" t="n">
        <f aca="false">'Analysis Data'!B281</f>
        <v>40330</v>
      </c>
      <c r="D281" s="6" t="n">
        <f aca="false">'Analysis Data'!C281</f>
        <v>196.866682490891</v>
      </c>
      <c r="E281" s="15" t="n">
        <f aca="false">SUMPRODUCT('Final Model'!$B$45:$I$45,'Analysis Data'!N281:U281)</f>
        <v>201.278199356988</v>
      </c>
      <c r="F281" s="15" t="n">
        <f aca="false">D281-E281</f>
        <v>-4.41151686609754</v>
      </c>
      <c r="G281" s="13" t="n">
        <f aca="false">F281/'Final Model'!$B$21</f>
        <v>-0.0899721612137779</v>
      </c>
      <c r="H281" s="6" t="n">
        <f aca="false">F281^2</f>
        <v>19.4614810598631</v>
      </c>
      <c r="J281" s="6" t="n">
        <f aca="false">A281</f>
        <v>280</v>
      </c>
      <c r="K281" s="13" t="n">
        <f aca="false">SMALL($G$2:$G$1387,J281)</f>
        <v>-0.852202688497109</v>
      </c>
      <c r="L281" s="18" t="n">
        <f aca="false">(J281-0.5)/1386</f>
        <v>0.201659451659452</v>
      </c>
      <c r="M281" s="18" t="n">
        <f aca="false">_xlfn.NORM.DIST(K281,AVERAGE($G$2:$G$1387),_xlfn.STDEV.S($G$2:$G$1387),TRUE())</f>
        <v>0.196451538725117</v>
      </c>
    </row>
    <row r="282" customFormat="false" ht="15" hidden="false" customHeight="false" outlineLevel="0" collapsed="false">
      <c r="A282" s="0" t="n">
        <f aca="false">ROW()-1</f>
        <v>281</v>
      </c>
      <c r="B282" s="0" t="str">
        <f aca="false">'Analysis Data'!A282</f>
        <v>Tysons</v>
      </c>
      <c r="C282" s="5" t="n">
        <f aca="false">'Analysis Data'!B282</f>
        <v>40337</v>
      </c>
      <c r="D282" s="6" t="n">
        <f aca="false">'Analysis Data'!C282</f>
        <v>233.501106140361</v>
      </c>
      <c r="E282" s="15" t="n">
        <f aca="false">SUMPRODUCT('Final Model'!$B$45:$I$45,'Analysis Data'!N282:U282)</f>
        <v>196.374565696905</v>
      </c>
      <c r="F282" s="15" t="n">
        <f aca="false">D282-E282</f>
        <v>37.1265404434555</v>
      </c>
      <c r="G282" s="13" t="n">
        <f aca="false">F282/'Final Model'!$B$21</f>
        <v>0.757189688598725</v>
      </c>
      <c r="H282" s="6" t="n">
        <f aca="false">F282^2</f>
        <v>1378.38000529953</v>
      </c>
      <c r="J282" s="6" t="n">
        <f aca="false">A282</f>
        <v>281</v>
      </c>
      <c r="K282" s="13" t="n">
        <f aca="false">SMALL($G$2:$G$1387,J282)</f>
        <v>-0.850776759055301</v>
      </c>
      <c r="L282" s="18" t="n">
        <f aca="false">(J282-0.5)/1386</f>
        <v>0.202380952380952</v>
      </c>
      <c r="M282" s="18" t="n">
        <f aca="false">_xlfn.NORM.DIST(K282,AVERAGE($G$2:$G$1387),_xlfn.STDEV.S($G$2:$G$1387),TRUE())</f>
        <v>0.196847697527583</v>
      </c>
    </row>
    <row r="283" customFormat="false" ht="15" hidden="false" customHeight="false" outlineLevel="0" collapsed="false">
      <c r="A283" s="0" t="n">
        <f aca="false">ROW()-1</f>
        <v>282</v>
      </c>
      <c r="B283" s="0" t="str">
        <f aca="false">'Analysis Data'!A283</f>
        <v>Tysons</v>
      </c>
      <c r="C283" s="5" t="n">
        <f aca="false">'Analysis Data'!B283</f>
        <v>40344</v>
      </c>
      <c r="D283" s="6" t="n">
        <f aca="false">'Analysis Data'!C283</f>
        <v>312.237623435549</v>
      </c>
      <c r="E283" s="15" t="n">
        <f aca="false">SUMPRODUCT('Final Model'!$B$45:$I$45,'Analysis Data'!N283:U283)</f>
        <v>300.522206710373</v>
      </c>
      <c r="F283" s="15" t="n">
        <f aca="false">D283-E283</f>
        <v>11.7154167251764</v>
      </c>
      <c r="G283" s="13" t="n">
        <f aca="false">F283/'Final Model'!$B$21</f>
        <v>0.23893399805056</v>
      </c>
      <c r="H283" s="6" t="n">
        <f aca="false">F283^2</f>
        <v>137.250989044543</v>
      </c>
      <c r="J283" s="6" t="n">
        <f aca="false">A283</f>
        <v>282</v>
      </c>
      <c r="K283" s="13" t="n">
        <f aca="false">SMALL($G$2:$G$1387,J283)</f>
        <v>-0.84571593476934</v>
      </c>
      <c r="L283" s="18" t="n">
        <f aca="false">(J283-0.5)/1386</f>
        <v>0.203102453102453</v>
      </c>
      <c r="M283" s="18" t="n">
        <f aca="false">_xlfn.NORM.DIST(K283,AVERAGE($G$2:$G$1387),_xlfn.STDEV.S($G$2:$G$1387),TRUE())</f>
        <v>0.198257621200715</v>
      </c>
    </row>
    <row r="284" customFormat="false" ht="15" hidden="false" customHeight="false" outlineLevel="0" collapsed="false">
      <c r="A284" s="0" t="n">
        <f aca="false">ROW()-1</f>
        <v>283</v>
      </c>
      <c r="B284" s="0" t="str">
        <f aca="false">'Analysis Data'!A284</f>
        <v>Tysons</v>
      </c>
      <c r="C284" s="5" t="n">
        <f aca="false">'Analysis Data'!B284</f>
        <v>40351</v>
      </c>
      <c r="D284" s="6" t="n">
        <f aca="false">'Analysis Data'!C284</f>
        <v>257.853053029172</v>
      </c>
      <c r="E284" s="15" t="n">
        <f aca="false">SUMPRODUCT('Final Model'!$B$45:$I$45,'Analysis Data'!N284:U284)</f>
        <v>269.744357959504</v>
      </c>
      <c r="F284" s="15" t="n">
        <f aca="false">D284-E284</f>
        <v>-11.8913049303322</v>
      </c>
      <c r="G284" s="13" t="n">
        <f aca="false">F284/'Final Model'!$B$21</f>
        <v>-0.242521209078018</v>
      </c>
      <c r="H284" s="6" t="n">
        <f aca="false">F284^2</f>
        <v>141.403132946144</v>
      </c>
      <c r="J284" s="6" t="n">
        <f aca="false">A284</f>
        <v>283</v>
      </c>
      <c r="K284" s="13" t="n">
        <f aca="false">SMALL($G$2:$G$1387,J284)</f>
        <v>-0.845552924177975</v>
      </c>
      <c r="L284" s="18" t="n">
        <f aca="false">(J284-0.5)/1386</f>
        <v>0.203823953823954</v>
      </c>
      <c r="M284" s="18" t="n">
        <f aca="false">_xlfn.NORM.DIST(K284,AVERAGE($G$2:$G$1387),_xlfn.STDEV.S($G$2:$G$1387),TRUE())</f>
        <v>0.198303136342025</v>
      </c>
    </row>
    <row r="285" customFormat="false" ht="15" hidden="false" customHeight="false" outlineLevel="0" collapsed="false">
      <c r="A285" s="0" t="n">
        <f aca="false">ROW()-1</f>
        <v>284</v>
      </c>
      <c r="B285" s="0" t="str">
        <f aca="false">'Analysis Data'!A285</f>
        <v>Tysons</v>
      </c>
      <c r="C285" s="5" t="n">
        <f aca="false">'Analysis Data'!B285</f>
        <v>40358</v>
      </c>
      <c r="D285" s="6" t="n">
        <f aca="false">'Analysis Data'!C285</f>
        <v>276.049873804359</v>
      </c>
      <c r="E285" s="15" t="n">
        <f aca="false">SUMPRODUCT('Final Model'!$B$45:$I$45,'Analysis Data'!N285:U285)</f>
        <v>260.427453978867</v>
      </c>
      <c r="F285" s="15" t="n">
        <f aca="false">D285-E285</f>
        <v>15.6224198254927</v>
      </c>
      <c r="G285" s="13" t="n">
        <f aca="false">F285/'Final Model'!$B$21</f>
        <v>0.318616683955225</v>
      </c>
      <c r="H285" s="6" t="n">
        <f aca="false">F285^2</f>
        <v>244.060001203946</v>
      </c>
      <c r="J285" s="6" t="n">
        <f aca="false">A285</f>
        <v>284</v>
      </c>
      <c r="K285" s="13" t="n">
        <f aca="false">SMALL($G$2:$G$1387,J285)</f>
        <v>-0.844138201145156</v>
      </c>
      <c r="L285" s="18" t="n">
        <f aca="false">(J285-0.5)/1386</f>
        <v>0.204545454545455</v>
      </c>
      <c r="M285" s="18" t="n">
        <f aca="false">_xlfn.NORM.DIST(K285,AVERAGE($G$2:$G$1387),_xlfn.STDEV.S($G$2:$G$1387),TRUE())</f>
        <v>0.198698414245326</v>
      </c>
    </row>
    <row r="286" customFormat="false" ht="15" hidden="false" customHeight="false" outlineLevel="0" collapsed="false">
      <c r="A286" s="0" t="n">
        <f aca="false">ROW()-1</f>
        <v>285</v>
      </c>
      <c r="B286" s="0" t="str">
        <f aca="false">'Analysis Data'!A286</f>
        <v>Tysons</v>
      </c>
      <c r="C286" s="5" t="n">
        <f aca="false">'Analysis Data'!B286</f>
        <v>40365</v>
      </c>
      <c r="D286" s="6" t="n">
        <f aca="false">'Analysis Data'!C286</f>
        <v>330.716759673097</v>
      </c>
      <c r="E286" s="15" t="n">
        <f aca="false">SUMPRODUCT('Final Model'!$B$45:$I$45,'Analysis Data'!N286:U286)</f>
        <v>280.963871775186</v>
      </c>
      <c r="F286" s="15" t="n">
        <f aca="false">D286-E286</f>
        <v>49.7528878979116</v>
      </c>
      <c r="G286" s="13" t="n">
        <f aca="false">F286/'Final Model'!$B$21</f>
        <v>1.01470196911244</v>
      </c>
      <c r="H286" s="6" t="n">
        <f aca="false">F286^2</f>
        <v>2475.34985418216</v>
      </c>
      <c r="J286" s="6" t="n">
        <f aca="false">A286</f>
        <v>285</v>
      </c>
      <c r="K286" s="13" t="n">
        <f aca="false">SMALL($G$2:$G$1387,J286)</f>
        <v>-0.842678474767675</v>
      </c>
      <c r="L286" s="18" t="n">
        <f aca="false">(J286-0.5)/1386</f>
        <v>0.205266955266955</v>
      </c>
      <c r="M286" s="18" t="n">
        <f aca="false">_xlfn.NORM.DIST(K286,AVERAGE($G$2:$G$1387),_xlfn.STDEV.S($G$2:$G$1387),TRUE())</f>
        <v>0.199106763841732</v>
      </c>
    </row>
    <row r="287" customFormat="false" ht="15" hidden="false" customHeight="false" outlineLevel="0" collapsed="false">
      <c r="A287" s="0" t="n">
        <f aca="false">ROW()-1</f>
        <v>286</v>
      </c>
      <c r="B287" s="0" t="str">
        <f aca="false">'Analysis Data'!A287</f>
        <v>Tysons</v>
      </c>
      <c r="C287" s="5" t="n">
        <f aca="false">'Analysis Data'!B287</f>
        <v>40372</v>
      </c>
      <c r="D287" s="6" t="n">
        <f aca="false">'Analysis Data'!C287</f>
        <v>320.610717305056</v>
      </c>
      <c r="E287" s="15" t="n">
        <f aca="false">SUMPRODUCT('Final Model'!$B$45:$I$45,'Analysis Data'!N287:U287)</f>
        <v>273.191116671912</v>
      </c>
      <c r="F287" s="15" t="n">
        <f aca="false">D287-E287</f>
        <v>47.4196006331432</v>
      </c>
      <c r="G287" s="13" t="n">
        <f aca="false">F287/'Final Model'!$B$21</f>
        <v>0.96711495894886</v>
      </c>
      <c r="H287" s="6" t="n">
        <f aca="false">F287^2</f>
        <v>2248.6185242068</v>
      </c>
      <c r="J287" s="6" t="n">
        <f aca="false">A287</f>
        <v>286</v>
      </c>
      <c r="K287" s="13" t="n">
        <f aca="false">SMALL($G$2:$G$1387,J287)</f>
        <v>-0.841130482037819</v>
      </c>
      <c r="L287" s="18" t="n">
        <f aca="false">(J287-0.5)/1386</f>
        <v>0.205988455988456</v>
      </c>
      <c r="M287" s="18" t="n">
        <f aca="false">_xlfn.NORM.DIST(K287,AVERAGE($G$2:$G$1387),_xlfn.STDEV.S($G$2:$G$1387),TRUE())</f>
        <v>0.199540357318416</v>
      </c>
    </row>
    <row r="288" customFormat="false" ht="15" hidden="false" customHeight="false" outlineLevel="0" collapsed="false">
      <c r="A288" s="0" t="n">
        <f aca="false">ROW()-1</f>
        <v>287</v>
      </c>
      <c r="B288" s="0" t="str">
        <f aca="false">'Analysis Data'!A288</f>
        <v>Vienna</v>
      </c>
      <c r="C288" s="5" t="n">
        <f aca="false">'Analysis Data'!B288</f>
        <v>40302</v>
      </c>
      <c r="D288" s="6" t="n">
        <f aca="false">'Analysis Data'!C288</f>
        <v>204.412954992808</v>
      </c>
      <c r="E288" s="15" t="n">
        <f aca="false">SUMPRODUCT('Final Model'!$B$45:$I$45,'Analysis Data'!N288:U288)</f>
        <v>197.906951207406</v>
      </c>
      <c r="F288" s="15" t="n">
        <f aca="false">D288-E288</f>
        <v>6.50600378540202</v>
      </c>
      <c r="G288" s="13" t="n">
        <f aca="false">F288/'Final Model'!$B$21</f>
        <v>0.132688877591315</v>
      </c>
      <c r="H288" s="6" t="n">
        <f aca="false">F288^2</f>
        <v>42.3280852556654</v>
      </c>
      <c r="J288" s="6" t="n">
        <f aca="false">A288</f>
        <v>287</v>
      </c>
      <c r="K288" s="13" t="n">
        <f aca="false">SMALL($G$2:$G$1387,J288)</f>
        <v>-0.83829312355239</v>
      </c>
      <c r="L288" s="18" t="n">
        <f aca="false">(J288-0.5)/1386</f>
        <v>0.206709956709957</v>
      </c>
      <c r="M288" s="18" t="n">
        <f aca="false">_xlfn.NORM.DIST(K288,AVERAGE($G$2:$G$1387),_xlfn.STDEV.S($G$2:$G$1387),TRUE())</f>
        <v>0.200336576698337</v>
      </c>
    </row>
    <row r="289" customFormat="false" ht="15" hidden="false" customHeight="false" outlineLevel="0" collapsed="false">
      <c r="A289" s="0" t="n">
        <f aca="false">ROW()-1</f>
        <v>288</v>
      </c>
      <c r="B289" s="0" t="str">
        <f aca="false">'Analysis Data'!A289</f>
        <v>Vienna</v>
      </c>
      <c r="C289" s="5" t="n">
        <f aca="false">'Analysis Data'!B289</f>
        <v>40309</v>
      </c>
      <c r="D289" s="6" t="n">
        <f aca="false">'Analysis Data'!C289</f>
        <v>177.702814251844</v>
      </c>
      <c r="E289" s="15" t="n">
        <f aca="false">SUMPRODUCT('Final Model'!$B$45:$I$45,'Analysis Data'!N289:U289)</f>
        <v>198.458609994717</v>
      </c>
      <c r="F289" s="15" t="n">
        <f aca="false">D289-E289</f>
        <v>-20.7557957428729</v>
      </c>
      <c r="G289" s="13" t="n">
        <f aca="false">F289/'Final Model'!$B$21</f>
        <v>-0.423311041843518</v>
      </c>
      <c r="H289" s="6" t="n">
        <f aca="false">F289^2</f>
        <v>430.803056919859</v>
      </c>
      <c r="J289" s="6" t="n">
        <f aca="false">A289</f>
        <v>288</v>
      </c>
      <c r="K289" s="13" t="n">
        <f aca="false">SMALL($G$2:$G$1387,J289)</f>
        <v>-0.833396495303629</v>
      </c>
      <c r="L289" s="18" t="n">
        <f aca="false">(J289-0.5)/1386</f>
        <v>0.207431457431457</v>
      </c>
      <c r="M289" s="18" t="n">
        <f aca="false">_xlfn.NORM.DIST(K289,AVERAGE($G$2:$G$1387),_xlfn.STDEV.S($G$2:$G$1387),TRUE())</f>
        <v>0.201715149494498</v>
      </c>
    </row>
    <row r="290" customFormat="false" ht="15" hidden="false" customHeight="false" outlineLevel="0" collapsed="false">
      <c r="A290" s="0" t="n">
        <f aca="false">ROW()-1</f>
        <v>289</v>
      </c>
      <c r="B290" s="0" t="str">
        <f aca="false">'Analysis Data'!A290</f>
        <v>Vienna</v>
      </c>
      <c r="C290" s="5" t="n">
        <f aca="false">'Analysis Data'!B290</f>
        <v>40316</v>
      </c>
      <c r="D290" s="6" t="n">
        <f aca="false">'Analysis Data'!C290</f>
        <v>98.09849847751</v>
      </c>
      <c r="E290" s="15" t="n">
        <f aca="false">SUMPRODUCT('Final Model'!$B$45:$I$45,'Analysis Data'!N290:U290)</f>
        <v>202.871880293205</v>
      </c>
      <c r="F290" s="15" t="n">
        <f aca="false">D290-E290</f>
        <v>-104.773381815695</v>
      </c>
      <c r="G290" s="13" t="n">
        <f aca="false">F290/'Final Model'!$B$21</f>
        <v>-2.13683589698555</v>
      </c>
      <c r="H290" s="6" t="n">
        <f aca="false">F290^2</f>
        <v>10977.4615370974</v>
      </c>
      <c r="J290" s="6" t="n">
        <f aca="false">A290</f>
        <v>289</v>
      </c>
      <c r="K290" s="13" t="n">
        <f aca="false">SMALL($G$2:$G$1387,J290)</f>
        <v>-0.830254635789014</v>
      </c>
      <c r="L290" s="18" t="n">
        <f aca="false">(J290-0.5)/1386</f>
        <v>0.208152958152958</v>
      </c>
      <c r="M290" s="18" t="n">
        <f aca="false">_xlfn.NORM.DIST(K290,AVERAGE($G$2:$G$1387),_xlfn.STDEV.S($G$2:$G$1387),TRUE())</f>
        <v>0.202602677958433</v>
      </c>
    </row>
    <row r="291" customFormat="false" ht="15" hidden="false" customHeight="false" outlineLevel="0" collapsed="false">
      <c r="A291" s="0" t="n">
        <f aca="false">ROW()-1</f>
        <v>290</v>
      </c>
      <c r="B291" s="0" t="str">
        <f aca="false">'Analysis Data'!A291</f>
        <v>Vienna</v>
      </c>
      <c r="C291" s="5" t="n">
        <f aca="false">'Analysis Data'!B291</f>
        <v>40323</v>
      </c>
      <c r="D291" s="6" t="n">
        <f aca="false">'Analysis Data'!C291</f>
        <v>177.761321473929</v>
      </c>
      <c r="E291" s="15" t="n">
        <f aca="false">SUMPRODUCT('Final Model'!$B$45:$I$45,'Analysis Data'!N291:U291)</f>
        <v>201.278199356988</v>
      </c>
      <c r="F291" s="15" t="n">
        <f aca="false">D291-E291</f>
        <v>-23.5168778830594</v>
      </c>
      <c r="G291" s="13" t="n">
        <f aca="false">F291/'Final Model'!$B$21</f>
        <v>-0.479622858160135</v>
      </c>
      <c r="H291" s="6" t="n">
        <f aca="false">F291^2</f>
        <v>553.043545366726</v>
      </c>
      <c r="J291" s="6" t="n">
        <f aca="false">A291</f>
        <v>290</v>
      </c>
      <c r="K291" s="13" t="n">
        <f aca="false">SMALL($G$2:$G$1387,J291)</f>
        <v>-0.828736488022883</v>
      </c>
      <c r="L291" s="18" t="n">
        <f aca="false">(J291-0.5)/1386</f>
        <v>0.208874458874459</v>
      </c>
      <c r="M291" s="18" t="n">
        <f aca="false">_xlfn.NORM.DIST(K291,AVERAGE($G$2:$G$1387),_xlfn.STDEV.S($G$2:$G$1387),TRUE())</f>
        <v>0.203032367156857</v>
      </c>
    </row>
    <row r="292" customFormat="false" ht="15" hidden="false" customHeight="false" outlineLevel="0" collapsed="false">
      <c r="A292" s="0" t="n">
        <f aca="false">ROW()-1</f>
        <v>291</v>
      </c>
      <c r="B292" s="0" t="str">
        <f aca="false">'Analysis Data'!A292</f>
        <v>Vienna</v>
      </c>
      <c r="C292" s="5" t="n">
        <f aca="false">'Analysis Data'!B292</f>
        <v>40330</v>
      </c>
      <c r="D292" s="6" t="n">
        <f aca="false">'Analysis Data'!C292</f>
        <v>213.899093827148</v>
      </c>
      <c r="E292" s="15" t="n">
        <f aca="false">SUMPRODUCT('Final Model'!$B$45:$I$45,'Analysis Data'!N292:U292)</f>
        <v>202.871880293205</v>
      </c>
      <c r="F292" s="15" t="n">
        <f aca="false">D292-E292</f>
        <v>11.0272135339426</v>
      </c>
      <c r="G292" s="13" t="n">
        <f aca="false">F292/'Final Model'!$B$21</f>
        <v>0.224898207108588</v>
      </c>
      <c r="H292" s="6" t="n">
        <f aca="false">F292^2</f>
        <v>121.599438323166</v>
      </c>
      <c r="J292" s="6" t="n">
        <f aca="false">A292</f>
        <v>291</v>
      </c>
      <c r="K292" s="13" t="n">
        <f aca="false">SMALL($G$2:$G$1387,J292)</f>
        <v>-0.827195882020623</v>
      </c>
      <c r="L292" s="18" t="n">
        <f aca="false">(J292-0.5)/1386</f>
        <v>0.20959595959596</v>
      </c>
      <c r="M292" s="18" t="n">
        <f aca="false">_xlfn.NORM.DIST(K292,AVERAGE($G$2:$G$1387),_xlfn.STDEV.S($G$2:$G$1387),TRUE())</f>
        <v>0.203468968649183</v>
      </c>
    </row>
    <row r="293" customFormat="false" ht="15" hidden="false" customHeight="false" outlineLevel="0" collapsed="false">
      <c r="A293" s="0" t="n">
        <f aca="false">ROW()-1</f>
        <v>292</v>
      </c>
      <c r="B293" s="0" t="str">
        <f aca="false">'Analysis Data'!A293</f>
        <v>Vienna</v>
      </c>
      <c r="C293" s="5" t="n">
        <f aca="false">'Analysis Data'!B293</f>
        <v>40337</v>
      </c>
      <c r="D293" s="6" t="n">
        <f aca="false">'Analysis Data'!C293</f>
        <v>193.923991959983</v>
      </c>
      <c r="E293" s="15" t="n">
        <f aca="false">SUMPRODUCT('Final Model'!$B$45:$I$45,'Analysis Data'!N293:U293)</f>
        <v>196.374565696905</v>
      </c>
      <c r="F293" s="15" t="n">
        <f aca="false">D293-E293</f>
        <v>-2.45057373692211</v>
      </c>
      <c r="G293" s="13" t="n">
        <f aca="false">F293/'Final Model'!$B$21</f>
        <v>-0.0499790484808114</v>
      </c>
      <c r="H293" s="6" t="n">
        <f aca="false">F293^2</f>
        <v>6.00531164009239</v>
      </c>
      <c r="J293" s="6" t="n">
        <f aca="false">A293</f>
        <v>292</v>
      </c>
      <c r="K293" s="13" t="n">
        <f aca="false">SMALL($G$2:$G$1387,J293)</f>
        <v>-0.817194973288549</v>
      </c>
      <c r="L293" s="18" t="n">
        <f aca="false">(J293-0.5)/1386</f>
        <v>0.21031746031746</v>
      </c>
      <c r="M293" s="18" t="n">
        <f aca="false">_xlfn.NORM.DIST(K293,AVERAGE($G$2:$G$1387),_xlfn.STDEV.S($G$2:$G$1387),TRUE())</f>
        <v>0.20631677761421</v>
      </c>
    </row>
    <row r="294" customFormat="false" ht="15" hidden="false" customHeight="false" outlineLevel="0" collapsed="false">
      <c r="A294" s="0" t="n">
        <f aca="false">ROW()-1</f>
        <v>293</v>
      </c>
      <c r="B294" s="0" t="str">
        <f aca="false">'Analysis Data'!A294</f>
        <v>Vienna</v>
      </c>
      <c r="C294" s="5" t="n">
        <f aca="false">'Analysis Data'!B294</f>
        <v>40344</v>
      </c>
      <c r="D294" s="6" t="n">
        <f aca="false">'Analysis Data'!C294</f>
        <v>201.352678095251</v>
      </c>
      <c r="E294" s="15" t="n">
        <f aca="false">SUMPRODUCT('Final Model'!$B$45:$I$45,'Analysis Data'!N294:U294)</f>
        <v>199.877161155784</v>
      </c>
      <c r="F294" s="15" t="n">
        <f aca="false">D294-E294</f>
        <v>1.47551693946701</v>
      </c>
      <c r="G294" s="13" t="n">
        <f aca="false">F294/'Final Model'!$B$21</f>
        <v>0.0300929253997895</v>
      </c>
      <c r="H294" s="6" t="n">
        <f aca="false">F294^2</f>
        <v>2.1771502386541</v>
      </c>
      <c r="J294" s="6" t="n">
        <f aca="false">A294</f>
        <v>293</v>
      </c>
      <c r="K294" s="13" t="n">
        <f aca="false">SMALL($G$2:$G$1387,J294)</f>
        <v>-0.814841332166835</v>
      </c>
      <c r="L294" s="18" t="n">
        <f aca="false">(J294-0.5)/1386</f>
        <v>0.211038961038961</v>
      </c>
      <c r="M294" s="18" t="n">
        <f aca="false">_xlfn.NORM.DIST(K294,AVERAGE($G$2:$G$1387),_xlfn.STDEV.S($G$2:$G$1387),TRUE())</f>
        <v>0.206990406665792</v>
      </c>
    </row>
    <row r="295" customFormat="false" ht="15" hidden="false" customHeight="false" outlineLevel="0" collapsed="false">
      <c r="A295" s="0" t="n">
        <f aca="false">ROW()-1</f>
        <v>294</v>
      </c>
      <c r="B295" s="0" t="str">
        <f aca="false">'Analysis Data'!A295</f>
        <v>Vienna</v>
      </c>
      <c r="C295" s="5" t="n">
        <f aca="false">'Analysis Data'!B295</f>
        <v>40351</v>
      </c>
      <c r="D295" s="6" t="n">
        <f aca="false">'Analysis Data'!C295</f>
        <v>195.151343697969</v>
      </c>
      <c r="E295" s="15" t="n">
        <f aca="false">SUMPRODUCT('Final Model'!$B$45:$I$45,'Analysis Data'!N295:U295)</f>
        <v>198.458609994717</v>
      </c>
      <c r="F295" s="15" t="n">
        <f aca="false">D295-E295</f>
        <v>-3.30726629674845</v>
      </c>
      <c r="G295" s="13" t="n">
        <f aca="false">F295/'Final Model'!$B$21</f>
        <v>-0.0674511523949292</v>
      </c>
      <c r="H295" s="6" t="n">
        <f aca="false">F295^2</f>
        <v>10.9380103576082</v>
      </c>
      <c r="J295" s="6" t="n">
        <f aca="false">A295</f>
        <v>294</v>
      </c>
      <c r="K295" s="13" t="n">
        <f aca="false">SMALL($G$2:$G$1387,J295)</f>
        <v>-0.813333852748526</v>
      </c>
      <c r="L295" s="18" t="n">
        <f aca="false">(J295-0.5)/1386</f>
        <v>0.211760461760462</v>
      </c>
      <c r="M295" s="18" t="n">
        <f aca="false">_xlfn.NORM.DIST(K295,AVERAGE($G$2:$G$1387),_xlfn.STDEV.S($G$2:$G$1387),TRUE())</f>
        <v>0.207422541040197</v>
      </c>
    </row>
    <row r="296" customFormat="false" ht="15" hidden="false" customHeight="false" outlineLevel="0" collapsed="false">
      <c r="A296" s="0" t="n">
        <f aca="false">ROW()-1</f>
        <v>295</v>
      </c>
      <c r="B296" s="0" t="str">
        <f aca="false">'Analysis Data'!A296</f>
        <v>Vienna</v>
      </c>
      <c r="C296" s="5" t="n">
        <f aca="false">'Analysis Data'!B296</f>
        <v>40358</v>
      </c>
      <c r="D296" s="6" t="n">
        <f aca="false">'Analysis Data'!C296</f>
        <v>177.590467644322</v>
      </c>
      <c r="E296" s="15" t="n">
        <f aca="false">SUMPRODUCT('Final Model'!$B$45:$I$45,'Analysis Data'!N296:U296)</f>
        <v>198.458609994717</v>
      </c>
      <c r="F296" s="15" t="n">
        <f aca="false">D296-E296</f>
        <v>-20.8681423503953</v>
      </c>
      <c r="G296" s="13" t="n">
        <f aca="false">F296/'Final Model'!$B$21</f>
        <v>-0.425602332433726</v>
      </c>
      <c r="H296" s="6" t="n">
        <f aca="false">F296^2</f>
        <v>435.479365156364</v>
      </c>
      <c r="J296" s="6" t="n">
        <f aca="false">A296</f>
        <v>295</v>
      </c>
      <c r="K296" s="13" t="n">
        <f aca="false">SMALL($G$2:$G$1387,J296)</f>
        <v>-0.812689978662896</v>
      </c>
      <c r="L296" s="18" t="n">
        <f aca="false">(J296-0.5)/1386</f>
        <v>0.212481962481963</v>
      </c>
      <c r="M296" s="18" t="n">
        <f aca="false">_xlfn.NORM.DIST(K296,AVERAGE($G$2:$G$1387),_xlfn.STDEV.S($G$2:$G$1387),TRUE())</f>
        <v>0.207607276543801</v>
      </c>
    </row>
    <row r="297" customFormat="false" ht="15" hidden="false" customHeight="false" outlineLevel="0" collapsed="false">
      <c r="A297" s="0" t="n">
        <f aca="false">ROW()-1</f>
        <v>296</v>
      </c>
      <c r="B297" s="0" t="str">
        <f aca="false">'Analysis Data'!A297</f>
        <v>Vienna</v>
      </c>
      <c r="C297" s="5" t="n">
        <f aca="false">'Analysis Data'!B297</f>
        <v>40365</v>
      </c>
      <c r="D297" s="6" t="n">
        <f aca="false">'Analysis Data'!C297</f>
        <v>173.673829680262</v>
      </c>
      <c r="E297" s="15" t="n">
        <f aca="false">SUMPRODUCT('Final Model'!$B$45:$I$45,'Analysis Data'!N297:U297)</f>
        <v>207.594079512587</v>
      </c>
      <c r="F297" s="15" t="n">
        <f aca="false">D297-E297</f>
        <v>-33.9202498323256</v>
      </c>
      <c r="G297" s="13" t="n">
        <f aca="false">F297/'Final Model'!$B$21</f>
        <v>-0.691797918711197</v>
      </c>
      <c r="H297" s="6" t="n">
        <f aca="false">F297^2</f>
        <v>1150.58334868738</v>
      </c>
      <c r="J297" s="6" t="n">
        <f aca="false">A297</f>
        <v>296</v>
      </c>
      <c r="K297" s="13" t="n">
        <f aca="false">SMALL($G$2:$G$1387,J297)</f>
        <v>-0.806545241060722</v>
      </c>
      <c r="L297" s="18" t="n">
        <f aca="false">(J297-0.5)/1386</f>
        <v>0.213203463203463</v>
      </c>
      <c r="M297" s="18" t="n">
        <f aca="false">_xlfn.NORM.DIST(K297,AVERAGE($G$2:$G$1387),_xlfn.STDEV.S($G$2:$G$1387),TRUE())</f>
        <v>0.209375163902362</v>
      </c>
    </row>
    <row r="298" customFormat="false" ht="15" hidden="false" customHeight="false" outlineLevel="0" collapsed="false">
      <c r="A298" s="0" t="n">
        <f aca="false">ROW()-1</f>
        <v>297</v>
      </c>
      <c r="B298" s="0" t="str">
        <f aca="false">'Analysis Data'!A298</f>
        <v>Vienna</v>
      </c>
      <c r="C298" s="5" t="n">
        <f aca="false">'Analysis Data'!B298</f>
        <v>40372</v>
      </c>
      <c r="D298" s="6" t="n">
        <f aca="false">'Analysis Data'!C298</f>
        <v>158.119659112309</v>
      </c>
      <c r="E298" s="15" t="n">
        <f aca="false">SUMPRODUCT('Final Model'!$B$45:$I$45,'Analysis Data'!N298:U298)</f>
        <v>201.382401567465</v>
      </c>
      <c r="F298" s="15" t="n">
        <f aca="false">D298-E298</f>
        <v>-43.2627424551568</v>
      </c>
      <c r="G298" s="13" t="n">
        <f aca="false">F298/'Final Model'!$B$21</f>
        <v>-0.882336519812243</v>
      </c>
      <c r="H298" s="6" t="n">
        <f aca="false">F298^2</f>
        <v>1871.66488474122</v>
      </c>
      <c r="J298" s="6" t="n">
        <f aca="false">A298</f>
        <v>297</v>
      </c>
      <c r="K298" s="13" t="n">
        <f aca="false">SMALL($G$2:$G$1387,J298)</f>
        <v>-0.804305581397261</v>
      </c>
      <c r="L298" s="18" t="n">
        <f aca="false">(J298-0.5)/1386</f>
        <v>0.213924963924964</v>
      </c>
      <c r="M298" s="18" t="n">
        <f aca="false">_xlfn.NORM.DIST(K298,AVERAGE($G$2:$G$1387),_xlfn.STDEV.S($G$2:$G$1387),TRUE())</f>
        <v>0.210021727367652</v>
      </c>
    </row>
    <row r="299" customFormat="false" ht="15" hidden="false" customHeight="false" outlineLevel="0" collapsed="false">
      <c r="A299" s="0" t="n">
        <f aca="false">ROW()-1</f>
        <v>298</v>
      </c>
      <c r="B299" s="0" t="str">
        <f aca="false">'Analysis Data'!A299</f>
        <v>Ann Arbor</v>
      </c>
      <c r="C299" s="5" t="n">
        <f aca="false">'Analysis Data'!B299</f>
        <v>40302</v>
      </c>
      <c r="D299" s="6" t="n">
        <f aca="false">'Analysis Data'!C299</f>
        <v>171.02147572739</v>
      </c>
      <c r="E299" s="15" t="n">
        <f aca="false">SUMPRODUCT('Final Model'!$B$45:$I$45,'Analysis Data'!N299:U299)</f>
        <v>243.577242025116</v>
      </c>
      <c r="F299" s="15" t="n">
        <f aca="false">D299-E299</f>
        <v>-72.5557662977262</v>
      </c>
      <c r="G299" s="13" t="n">
        <f aca="false">F299/'Final Model'!$B$21</f>
        <v>-1.47976292519605</v>
      </c>
      <c r="H299" s="6" t="n">
        <f aca="false">F299^2</f>
        <v>5264.33922305026</v>
      </c>
      <c r="J299" s="6" t="n">
        <f aca="false">A299</f>
        <v>298</v>
      </c>
      <c r="K299" s="13" t="n">
        <f aca="false">SMALL($G$2:$G$1387,J299)</f>
        <v>-0.801380019118932</v>
      </c>
      <c r="L299" s="18" t="n">
        <f aca="false">(J299-0.5)/1386</f>
        <v>0.214646464646465</v>
      </c>
      <c r="M299" s="18" t="n">
        <f aca="false">_xlfn.NORM.DIST(K299,AVERAGE($G$2:$G$1387),_xlfn.STDEV.S($G$2:$G$1387),TRUE())</f>
        <v>0.210868067561097</v>
      </c>
    </row>
    <row r="300" customFormat="false" ht="15" hidden="false" customHeight="false" outlineLevel="0" collapsed="false">
      <c r="A300" s="0" t="n">
        <f aca="false">ROW()-1</f>
        <v>299</v>
      </c>
      <c r="B300" s="0" t="str">
        <f aca="false">'Analysis Data'!A300</f>
        <v>Ann Arbor</v>
      </c>
      <c r="C300" s="5" t="n">
        <f aca="false">'Analysis Data'!B300</f>
        <v>40309</v>
      </c>
      <c r="D300" s="6" t="n">
        <f aca="false">'Analysis Data'!C300</f>
        <v>213.92718229931</v>
      </c>
      <c r="E300" s="15" t="n">
        <f aca="false">SUMPRODUCT('Final Model'!$B$45:$I$45,'Analysis Data'!N300:U300)</f>
        <v>232.544066278896</v>
      </c>
      <c r="F300" s="15" t="n">
        <f aca="false">D300-E300</f>
        <v>-18.6168839795868</v>
      </c>
      <c r="G300" s="13" t="n">
        <f aca="false">F300/'Final Model'!$B$21</f>
        <v>-0.379688288076592</v>
      </c>
      <c r="H300" s="6" t="n">
        <f aca="false">F300^2</f>
        <v>346.588369109397</v>
      </c>
      <c r="J300" s="6" t="n">
        <f aca="false">A300</f>
        <v>299</v>
      </c>
      <c r="K300" s="13" t="n">
        <f aca="false">SMALL($G$2:$G$1387,J300)</f>
        <v>-0.793764525251608</v>
      </c>
      <c r="L300" s="18" t="n">
        <f aca="false">(J300-0.5)/1386</f>
        <v>0.215367965367965</v>
      </c>
      <c r="M300" s="18" t="n">
        <f aca="false">_xlfn.NORM.DIST(K300,AVERAGE($G$2:$G$1387),_xlfn.STDEV.S($G$2:$G$1387),TRUE())</f>
        <v>0.21308052188961</v>
      </c>
    </row>
    <row r="301" customFormat="false" ht="15" hidden="false" customHeight="false" outlineLevel="0" collapsed="false">
      <c r="A301" s="0" t="n">
        <f aca="false">ROW()-1</f>
        <v>300</v>
      </c>
      <c r="B301" s="0" t="str">
        <f aca="false">'Analysis Data'!A301</f>
        <v>Ann Arbor</v>
      </c>
      <c r="C301" s="5" t="n">
        <f aca="false">'Analysis Data'!B301</f>
        <v>40316</v>
      </c>
      <c r="D301" s="6" t="n">
        <f aca="false">'Analysis Data'!C301</f>
        <v>303.141832002196</v>
      </c>
      <c r="E301" s="15" t="n">
        <f aca="false">SUMPRODUCT('Final Model'!$B$45:$I$45,'Analysis Data'!N301:U301)</f>
        <v>244.404730206083</v>
      </c>
      <c r="F301" s="15" t="n">
        <f aca="false">D301-E301</f>
        <v>58.7371017961132</v>
      </c>
      <c r="G301" s="13" t="n">
        <f aca="false">F301/'Final Model'!$B$21</f>
        <v>1.19793353452706</v>
      </c>
      <c r="H301" s="6" t="n">
        <f aca="false">F301^2</f>
        <v>3450.04712740697</v>
      </c>
      <c r="J301" s="6" t="n">
        <f aca="false">A301</f>
        <v>300</v>
      </c>
      <c r="K301" s="13" t="n">
        <f aca="false">SMALL($G$2:$G$1387,J301)</f>
        <v>-0.792940293774862</v>
      </c>
      <c r="L301" s="18" t="n">
        <f aca="false">(J301-0.5)/1386</f>
        <v>0.216089466089466</v>
      </c>
      <c r="M301" s="18" t="n">
        <f aca="false">_xlfn.NORM.DIST(K301,AVERAGE($G$2:$G$1387),_xlfn.STDEV.S($G$2:$G$1387),TRUE())</f>
        <v>0.213320787178739</v>
      </c>
    </row>
    <row r="302" customFormat="false" ht="15" hidden="false" customHeight="false" outlineLevel="0" collapsed="false">
      <c r="A302" s="0" t="n">
        <f aca="false">ROW()-1</f>
        <v>301</v>
      </c>
      <c r="B302" s="0" t="str">
        <f aca="false">'Analysis Data'!A302</f>
        <v>Ann Arbor</v>
      </c>
      <c r="C302" s="5" t="n">
        <f aca="false">'Analysis Data'!B302</f>
        <v>40323</v>
      </c>
      <c r="D302" s="6" t="n">
        <f aca="false">'Analysis Data'!C302</f>
        <v>234.530578703284</v>
      </c>
      <c r="E302" s="15" t="n">
        <f aca="false">SUMPRODUCT('Final Model'!$B$45:$I$45,'Analysis Data'!N302:U302)</f>
        <v>241.125425195075</v>
      </c>
      <c r="F302" s="15" t="n">
        <f aca="false">D302-E302</f>
        <v>-6.59484649179046</v>
      </c>
      <c r="G302" s="13" t="n">
        <f aca="false">F302/'Final Model'!$B$21</f>
        <v>-0.134500809982026</v>
      </c>
      <c r="H302" s="6" t="n">
        <f aca="false">F302^2</f>
        <v>43.492000250281</v>
      </c>
      <c r="J302" s="6" t="n">
        <f aca="false">A302</f>
        <v>301</v>
      </c>
      <c r="K302" s="13" t="n">
        <f aca="false">SMALL($G$2:$G$1387,J302)</f>
        <v>-0.792831254039556</v>
      </c>
      <c r="L302" s="18" t="n">
        <f aca="false">(J302-0.5)/1386</f>
        <v>0.216810966810967</v>
      </c>
      <c r="M302" s="18" t="n">
        <f aca="false">_xlfn.NORM.DIST(K302,AVERAGE($G$2:$G$1387),_xlfn.STDEV.S($G$2:$G$1387),TRUE())</f>
        <v>0.21335258432747</v>
      </c>
    </row>
    <row r="303" customFormat="false" ht="15" hidden="false" customHeight="false" outlineLevel="0" collapsed="false">
      <c r="A303" s="0" t="n">
        <f aca="false">ROW()-1</f>
        <v>302</v>
      </c>
      <c r="B303" s="0" t="str">
        <f aca="false">'Analysis Data'!A303</f>
        <v>Ann Arbor</v>
      </c>
      <c r="C303" s="5" t="n">
        <f aca="false">'Analysis Data'!B303</f>
        <v>40330</v>
      </c>
      <c r="D303" s="6" t="n">
        <f aca="false">'Analysis Data'!C303</f>
        <v>269.085679678108</v>
      </c>
      <c r="E303" s="15" t="n">
        <f aca="false">SUMPRODUCT('Final Model'!$B$45:$I$45,'Analysis Data'!N303:U303)</f>
        <v>255.011624158095</v>
      </c>
      <c r="F303" s="15" t="n">
        <f aca="false">D303-E303</f>
        <v>14.0740555200123</v>
      </c>
      <c r="G303" s="13" t="n">
        <f aca="false">F303/'Final Model'!$B$21</f>
        <v>0.287038048501979</v>
      </c>
      <c r="H303" s="6" t="n">
        <f aca="false">F303^2</f>
        <v>198.079038780387</v>
      </c>
      <c r="J303" s="6" t="n">
        <f aca="false">A303</f>
        <v>302</v>
      </c>
      <c r="K303" s="13" t="n">
        <f aca="false">SMALL($G$2:$G$1387,J303)</f>
        <v>-0.791796414618973</v>
      </c>
      <c r="L303" s="18" t="n">
        <f aca="false">(J303-0.5)/1386</f>
        <v>0.217532467532468</v>
      </c>
      <c r="M303" s="18" t="n">
        <f aca="false">_xlfn.NORM.DIST(K303,AVERAGE($G$2:$G$1387),_xlfn.STDEV.S($G$2:$G$1387),TRUE())</f>
        <v>0.213654492049167</v>
      </c>
    </row>
    <row r="304" customFormat="false" ht="15" hidden="false" customHeight="false" outlineLevel="0" collapsed="false">
      <c r="A304" s="0" t="n">
        <f aca="false">ROW()-1</f>
        <v>303</v>
      </c>
      <c r="B304" s="0" t="str">
        <f aca="false">'Analysis Data'!A304</f>
        <v>Ann Arbor</v>
      </c>
      <c r="C304" s="5" t="n">
        <f aca="false">'Analysis Data'!B304</f>
        <v>40337</v>
      </c>
      <c r="D304" s="6" t="n">
        <f aca="false">'Analysis Data'!C304</f>
        <v>300.548422347337</v>
      </c>
      <c r="E304" s="15" t="n">
        <f aca="false">SUMPRODUCT('Final Model'!$B$45:$I$45,'Analysis Data'!N304:U304)</f>
        <v>246.385686754499</v>
      </c>
      <c r="F304" s="15" t="n">
        <f aca="false">D304-E304</f>
        <v>54.1627355928376</v>
      </c>
      <c r="G304" s="13" t="n">
        <f aca="false">F304/'Final Model'!$B$21</f>
        <v>1.10464008785459</v>
      </c>
      <c r="H304" s="6" t="n">
        <f aca="false">F304^2</f>
        <v>2933.60192689964</v>
      </c>
      <c r="J304" s="6" t="n">
        <f aca="false">A304</f>
        <v>303</v>
      </c>
      <c r="K304" s="13" t="n">
        <f aca="false">SMALL($G$2:$G$1387,J304)</f>
        <v>-0.790115332837609</v>
      </c>
      <c r="L304" s="18" t="n">
        <f aca="false">(J304-0.5)/1386</f>
        <v>0.218253968253968</v>
      </c>
      <c r="M304" s="18" t="n">
        <f aca="false">_xlfn.NORM.DIST(K304,AVERAGE($G$2:$G$1387),_xlfn.STDEV.S($G$2:$G$1387),TRUE())</f>
        <v>0.214145466992209</v>
      </c>
    </row>
    <row r="305" customFormat="false" ht="15" hidden="false" customHeight="false" outlineLevel="0" collapsed="false">
      <c r="A305" s="0" t="n">
        <f aca="false">ROW()-1</f>
        <v>304</v>
      </c>
      <c r="B305" s="0" t="str">
        <f aca="false">'Analysis Data'!A305</f>
        <v>Ann Arbor</v>
      </c>
      <c r="C305" s="5" t="n">
        <f aca="false">'Analysis Data'!B305</f>
        <v>40344</v>
      </c>
      <c r="D305" s="6" t="n">
        <f aca="false">'Analysis Data'!C305</f>
        <v>288.18018444756</v>
      </c>
      <c r="E305" s="15" t="n">
        <f aca="false">SUMPRODUCT('Final Model'!$B$45:$I$45,'Analysis Data'!N305:U305)</f>
        <v>345.916668134427</v>
      </c>
      <c r="F305" s="15" t="n">
        <f aca="false">D305-E305</f>
        <v>-57.7364836868672</v>
      </c>
      <c r="G305" s="13" t="n">
        <f aca="false">F305/'Final Model'!$B$21</f>
        <v>-1.17752609269444</v>
      </c>
      <c r="H305" s="6" t="n">
        <f aca="false">F305^2</f>
        <v>3333.50154852388</v>
      </c>
      <c r="J305" s="6" t="n">
        <f aca="false">A305</f>
        <v>304</v>
      </c>
      <c r="K305" s="13" t="n">
        <f aca="false">SMALL($G$2:$G$1387,J305)</f>
        <v>-0.789688894573012</v>
      </c>
      <c r="L305" s="18" t="n">
        <f aca="false">(J305-0.5)/1386</f>
        <v>0.218975468975469</v>
      </c>
      <c r="M305" s="18" t="n">
        <f aca="false">_xlfn.NORM.DIST(K305,AVERAGE($G$2:$G$1387),_xlfn.STDEV.S($G$2:$G$1387),TRUE())</f>
        <v>0.214270116406804</v>
      </c>
    </row>
    <row r="306" customFormat="false" ht="15" hidden="false" customHeight="false" outlineLevel="0" collapsed="false">
      <c r="A306" s="0" t="n">
        <f aca="false">ROW()-1</f>
        <v>305</v>
      </c>
      <c r="B306" s="0" t="str">
        <f aca="false">'Analysis Data'!A306</f>
        <v>Ann Arbor</v>
      </c>
      <c r="C306" s="5" t="n">
        <f aca="false">'Analysis Data'!B306</f>
        <v>40351</v>
      </c>
      <c r="D306" s="6" t="n">
        <f aca="false">'Analysis Data'!C306</f>
        <v>396.24958198361</v>
      </c>
      <c r="E306" s="15" t="n">
        <f aca="false">SUMPRODUCT('Final Model'!$B$45:$I$45,'Analysis Data'!N306:U306)</f>
        <v>419.286460397026</v>
      </c>
      <c r="F306" s="15" t="n">
        <f aca="false">D306-E306</f>
        <v>-23.0368784134155</v>
      </c>
      <c r="G306" s="13" t="n">
        <f aca="false">F306/'Final Model'!$B$21</f>
        <v>-0.469833347890502</v>
      </c>
      <c r="H306" s="6" t="n">
        <f aca="false">F306^2</f>
        <v>530.697767034491</v>
      </c>
      <c r="J306" s="6" t="n">
        <f aca="false">A306</f>
        <v>305</v>
      </c>
      <c r="K306" s="13" t="n">
        <f aca="false">SMALL($G$2:$G$1387,J306)</f>
        <v>-0.787519682699896</v>
      </c>
      <c r="L306" s="18" t="n">
        <f aca="false">(J306-0.5)/1386</f>
        <v>0.21969696969697</v>
      </c>
      <c r="M306" s="18" t="n">
        <f aca="false">_xlfn.NORM.DIST(K306,AVERAGE($G$2:$G$1387),_xlfn.STDEV.S($G$2:$G$1387),TRUE())</f>
        <v>0.214904837792126</v>
      </c>
    </row>
    <row r="307" customFormat="false" ht="15" hidden="false" customHeight="false" outlineLevel="0" collapsed="false">
      <c r="A307" s="0" t="n">
        <f aca="false">ROW()-1</f>
        <v>306</v>
      </c>
      <c r="B307" s="0" t="str">
        <f aca="false">'Analysis Data'!A307</f>
        <v>Ann Arbor</v>
      </c>
      <c r="C307" s="5" t="n">
        <f aca="false">'Analysis Data'!B307</f>
        <v>40358</v>
      </c>
      <c r="D307" s="6" t="n">
        <f aca="false">'Analysis Data'!C307</f>
        <v>256.550137429391</v>
      </c>
      <c r="E307" s="15" t="n">
        <f aca="false">SUMPRODUCT('Final Model'!$B$45:$I$45,'Analysis Data'!N307:U307)</f>
        <v>326.977194067036</v>
      </c>
      <c r="F307" s="15" t="n">
        <f aca="false">D307-E307</f>
        <v>-70.4270566376447</v>
      </c>
      <c r="G307" s="13" t="n">
        <f aca="false">F307/'Final Model'!$B$21</f>
        <v>-1.43634824164672</v>
      </c>
      <c r="H307" s="6" t="n">
        <f aca="false">F307^2</f>
        <v>4959.97030664201</v>
      </c>
      <c r="J307" s="6" t="n">
        <f aca="false">A307</f>
        <v>306</v>
      </c>
      <c r="K307" s="13" t="n">
        <f aca="false">SMALL($G$2:$G$1387,J307)</f>
        <v>-0.786569586392875</v>
      </c>
      <c r="L307" s="18" t="n">
        <f aca="false">(J307-0.5)/1386</f>
        <v>0.22041847041847</v>
      </c>
      <c r="M307" s="18" t="n">
        <f aca="false">_xlfn.NORM.DIST(K307,AVERAGE($G$2:$G$1387),_xlfn.STDEV.S($G$2:$G$1387),TRUE())</f>
        <v>0.215183183902639</v>
      </c>
    </row>
    <row r="308" customFormat="false" ht="15" hidden="false" customHeight="false" outlineLevel="0" collapsed="false">
      <c r="A308" s="0" t="n">
        <f aca="false">ROW()-1</f>
        <v>307</v>
      </c>
      <c r="B308" s="0" t="str">
        <f aca="false">'Analysis Data'!A308</f>
        <v>Ann Arbor</v>
      </c>
      <c r="C308" s="5" t="n">
        <f aca="false">'Analysis Data'!B308</f>
        <v>40365</v>
      </c>
      <c r="D308" s="6" t="n">
        <f aca="false">'Analysis Data'!C308</f>
        <v>295.899003959283</v>
      </c>
      <c r="E308" s="15" t="n">
        <f aca="false">SUMPRODUCT('Final Model'!$B$45:$I$45,'Analysis Data'!N308:U308)</f>
        <v>323.108638583973</v>
      </c>
      <c r="F308" s="15" t="n">
        <f aca="false">D308-E308</f>
        <v>-27.20963462469</v>
      </c>
      <c r="G308" s="13" t="n">
        <f aca="false">F308/'Final Model'!$B$21</f>
        <v>-0.55493602480233</v>
      </c>
      <c r="H308" s="6" t="n">
        <f aca="false">F308^2</f>
        <v>740.36421640913</v>
      </c>
      <c r="J308" s="6" t="n">
        <f aca="false">A308</f>
        <v>307</v>
      </c>
      <c r="K308" s="13" t="n">
        <f aca="false">SMALL($G$2:$G$1387,J308)</f>
        <v>-0.778157179500897</v>
      </c>
      <c r="L308" s="18" t="n">
        <f aca="false">(J308-0.5)/1386</f>
        <v>0.221139971139971</v>
      </c>
      <c r="M308" s="18" t="n">
        <f aca="false">_xlfn.NORM.DIST(K308,AVERAGE($G$2:$G$1387),_xlfn.STDEV.S($G$2:$G$1387),TRUE())</f>
        <v>0.217656848129364</v>
      </c>
    </row>
    <row r="309" customFormat="false" ht="15" hidden="false" customHeight="false" outlineLevel="0" collapsed="false">
      <c r="A309" s="0" t="n">
        <f aca="false">ROW()-1</f>
        <v>308</v>
      </c>
      <c r="B309" s="0" t="str">
        <f aca="false">'Analysis Data'!A309</f>
        <v>Ann Arbor</v>
      </c>
      <c r="C309" s="5" t="n">
        <f aca="false">'Analysis Data'!B309</f>
        <v>40372</v>
      </c>
      <c r="D309" s="6" t="n">
        <f aca="false">'Analysis Data'!C309</f>
        <v>456.466589828407</v>
      </c>
      <c r="E309" s="15" t="n">
        <f aca="false">SUMPRODUCT('Final Model'!$B$45:$I$45,'Analysis Data'!N309:U309)</f>
        <v>393.227528952627</v>
      </c>
      <c r="F309" s="15" t="n">
        <f aca="false">D309-E309</f>
        <v>63.2390608757803</v>
      </c>
      <c r="G309" s="13" t="n">
        <f aca="false">F309/'Final Model'!$B$21</f>
        <v>1.28975024981755</v>
      </c>
      <c r="H309" s="6" t="n">
        <f aca="false">F309^2</f>
        <v>3999.17882045065</v>
      </c>
      <c r="J309" s="6" t="n">
        <f aca="false">A309</f>
        <v>308</v>
      </c>
      <c r="K309" s="13" t="n">
        <f aca="false">SMALL($G$2:$G$1387,J309)</f>
        <v>-0.774423990510479</v>
      </c>
      <c r="L309" s="18" t="n">
        <f aca="false">(J309-0.5)/1386</f>
        <v>0.221861471861472</v>
      </c>
      <c r="M309" s="18" t="n">
        <f aca="false">_xlfn.NORM.DIST(K309,AVERAGE($G$2:$G$1387),_xlfn.STDEV.S($G$2:$G$1387),TRUE())</f>
        <v>0.218759825682488</v>
      </c>
    </row>
    <row r="310" customFormat="false" ht="15" hidden="false" customHeight="false" outlineLevel="0" collapsed="false">
      <c r="A310" s="0" t="n">
        <f aca="false">ROW()-1</f>
        <v>309</v>
      </c>
      <c r="B310" s="0" t="str">
        <f aca="false">'Analysis Data'!A310</f>
        <v>Deerfield</v>
      </c>
      <c r="C310" s="5" t="n">
        <f aca="false">'Analysis Data'!B310</f>
        <v>40302</v>
      </c>
      <c r="D310" s="6" t="n">
        <f aca="false">'Analysis Data'!C310</f>
        <v>309.367713641421</v>
      </c>
      <c r="E310" s="15" t="n">
        <f aca="false">SUMPRODUCT('Final Model'!$B$45:$I$45,'Analysis Data'!N310:U310)</f>
        <v>234.260338066545</v>
      </c>
      <c r="F310" s="15" t="n">
        <f aca="false">D310-E310</f>
        <v>75.107375574876</v>
      </c>
      <c r="G310" s="13" t="n">
        <f aca="false">F310/'Final Model'!$B$21</f>
        <v>1.53180257690918</v>
      </c>
      <c r="H310" s="6" t="n">
        <f aca="false">F310^2</f>
        <v>5641.11786574548</v>
      </c>
      <c r="J310" s="6" t="n">
        <f aca="false">A310</f>
        <v>309</v>
      </c>
      <c r="K310" s="13" t="n">
        <f aca="false">SMALL($G$2:$G$1387,J310)</f>
        <v>-0.771064928277998</v>
      </c>
      <c r="L310" s="18" t="n">
        <f aca="false">(J310-0.5)/1386</f>
        <v>0.222582972582973</v>
      </c>
      <c r="M310" s="18" t="n">
        <f aca="false">_xlfn.NORM.DIST(K310,AVERAGE($G$2:$G$1387),_xlfn.STDEV.S($G$2:$G$1387),TRUE())</f>
        <v>0.219755010244875</v>
      </c>
    </row>
    <row r="311" customFormat="false" ht="15" hidden="false" customHeight="false" outlineLevel="0" collapsed="false">
      <c r="A311" s="0" t="n">
        <f aca="false">ROW()-1</f>
        <v>310</v>
      </c>
      <c r="B311" s="0" t="str">
        <f aca="false">'Analysis Data'!A311</f>
        <v>Deerfield</v>
      </c>
      <c r="C311" s="5" t="n">
        <f aca="false">'Analysis Data'!B311</f>
        <v>40309</v>
      </c>
      <c r="D311" s="6" t="n">
        <f aca="false">'Analysis Data'!C311</f>
        <v>350.665363977961</v>
      </c>
      <c r="E311" s="15" t="n">
        <f aca="false">SUMPRODUCT('Final Model'!$B$45:$I$45,'Analysis Data'!N311:U311)</f>
        <v>234.75070142814</v>
      </c>
      <c r="F311" s="15" t="n">
        <f aca="false">D311-E311</f>
        <v>115.914662549821</v>
      </c>
      <c r="G311" s="13" t="n">
        <f aca="false">F311/'Final Model'!$B$21</f>
        <v>2.36406048588879</v>
      </c>
      <c r="H311" s="6" t="n">
        <f aca="false">F311^2</f>
        <v>13436.2089940388</v>
      </c>
      <c r="J311" s="6" t="n">
        <f aca="false">A311</f>
        <v>310</v>
      </c>
      <c r="K311" s="13" t="n">
        <f aca="false">SMALL($G$2:$G$1387,J311)</f>
        <v>-0.771030288744838</v>
      </c>
      <c r="L311" s="18" t="n">
        <f aca="false">(J311-0.5)/1386</f>
        <v>0.223304473304473</v>
      </c>
      <c r="M311" s="18" t="n">
        <f aca="false">_xlfn.NORM.DIST(K311,AVERAGE($G$2:$G$1387),_xlfn.STDEV.S($G$2:$G$1387),TRUE())</f>
        <v>0.219765286370814</v>
      </c>
    </row>
    <row r="312" customFormat="false" ht="15" hidden="false" customHeight="false" outlineLevel="0" collapsed="false">
      <c r="A312" s="0" t="n">
        <f aca="false">ROW()-1</f>
        <v>311</v>
      </c>
      <c r="B312" s="0" t="str">
        <f aca="false">'Analysis Data'!A312</f>
        <v>Deerfield</v>
      </c>
      <c r="C312" s="5" t="n">
        <f aca="false">'Analysis Data'!B312</f>
        <v>40316</v>
      </c>
      <c r="D312" s="6" t="n">
        <f aca="false">'Analysis Data'!C312</f>
        <v>346.592248426765</v>
      </c>
      <c r="E312" s="15" t="n">
        <f aca="false">SUMPRODUCT('Final Model'!$B$45:$I$45,'Analysis Data'!N312:U312)</f>
        <v>252.955441409403</v>
      </c>
      <c r="F312" s="15" t="n">
        <f aca="false">D312-E312</f>
        <v>93.6368070173616</v>
      </c>
      <c r="G312" s="13" t="n">
        <f aca="false">F312/'Final Model'!$B$21</f>
        <v>1.90970728486912</v>
      </c>
      <c r="H312" s="6" t="n">
        <f aca="false">F312^2</f>
        <v>8767.85162840662</v>
      </c>
      <c r="J312" s="6" t="n">
        <f aca="false">A312</f>
        <v>311</v>
      </c>
      <c r="K312" s="13" t="n">
        <f aca="false">SMALL($G$2:$G$1387,J312)</f>
        <v>-0.77042772080278</v>
      </c>
      <c r="L312" s="18" t="n">
        <f aca="false">(J312-0.5)/1386</f>
        <v>0.224025974025974</v>
      </c>
      <c r="M312" s="18" t="n">
        <f aca="false">_xlfn.NORM.DIST(K312,AVERAGE($G$2:$G$1387),_xlfn.STDEV.S($G$2:$G$1387),TRUE())</f>
        <v>0.219944087647588</v>
      </c>
    </row>
    <row r="313" customFormat="false" ht="15" hidden="false" customHeight="false" outlineLevel="0" collapsed="false">
      <c r="A313" s="0" t="n">
        <f aca="false">ROW()-1</f>
        <v>312</v>
      </c>
      <c r="B313" s="0" t="str">
        <f aca="false">'Analysis Data'!A313</f>
        <v>Deerfield</v>
      </c>
      <c r="C313" s="5" t="n">
        <f aca="false">'Analysis Data'!B313</f>
        <v>40323</v>
      </c>
      <c r="D313" s="6" t="n">
        <f aca="false">'Analysis Data'!C313</f>
        <v>265.651040411328</v>
      </c>
      <c r="E313" s="15" t="n">
        <f aca="false">SUMPRODUCT('Final Model'!$B$45:$I$45,'Analysis Data'!N313:U313)</f>
        <v>254.101194277054</v>
      </c>
      <c r="F313" s="15" t="n">
        <f aca="false">D313-E313</f>
        <v>11.5498461342736</v>
      </c>
      <c r="G313" s="13" t="n">
        <f aca="false">F313/'Final Model'!$B$21</f>
        <v>0.235557213069536</v>
      </c>
      <c r="H313" s="6" t="n">
        <f aca="false">F313^2</f>
        <v>133.398945725394</v>
      </c>
      <c r="J313" s="6" t="n">
        <f aca="false">A313</f>
        <v>312</v>
      </c>
      <c r="K313" s="13" t="n">
        <f aca="false">SMALL($G$2:$G$1387,J313)</f>
        <v>-0.76781176909064</v>
      </c>
      <c r="L313" s="18" t="n">
        <f aca="false">(J313-0.5)/1386</f>
        <v>0.224747474747475</v>
      </c>
      <c r="M313" s="18" t="n">
        <f aca="false">_xlfn.NORM.DIST(K313,AVERAGE($G$2:$G$1387),_xlfn.STDEV.S($G$2:$G$1387),TRUE())</f>
        <v>0.220721291771487</v>
      </c>
    </row>
    <row r="314" customFormat="false" ht="15" hidden="false" customHeight="false" outlineLevel="0" collapsed="false">
      <c r="A314" s="0" t="n">
        <f aca="false">ROW()-1</f>
        <v>313</v>
      </c>
      <c r="B314" s="0" t="str">
        <f aca="false">'Analysis Data'!A314</f>
        <v>Deerfield</v>
      </c>
      <c r="C314" s="5" t="n">
        <f aca="false">'Analysis Data'!B314</f>
        <v>40330</v>
      </c>
      <c r="D314" s="6" t="n">
        <f aca="false">'Analysis Data'!C314</f>
        <v>288.292355519903</v>
      </c>
      <c r="E314" s="15" t="n">
        <f aca="false">SUMPRODUCT('Final Model'!$B$45:$I$45,'Analysis Data'!N314:U314)</f>
        <v>244.780861207461</v>
      </c>
      <c r="F314" s="15" t="n">
        <f aca="false">D314-E314</f>
        <v>43.5114943124414</v>
      </c>
      <c r="G314" s="13" t="n">
        <f aca="false">F314/'Final Model'!$B$21</f>
        <v>0.887409773045804</v>
      </c>
      <c r="H314" s="6" t="n">
        <f aca="false">F314^2</f>
        <v>1893.25013730162</v>
      </c>
      <c r="J314" s="6" t="n">
        <f aca="false">A314</f>
        <v>313</v>
      </c>
      <c r="K314" s="13" t="n">
        <f aca="false">SMALL($G$2:$G$1387,J314)</f>
        <v>-0.766977009624375</v>
      </c>
      <c r="L314" s="18" t="n">
        <f aca="false">(J314-0.5)/1386</f>
        <v>0.225468975468975</v>
      </c>
      <c r="M314" s="18" t="n">
        <f aca="false">_xlfn.NORM.DIST(K314,AVERAGE($G$2:$G$1387),_xlfn.STDEV.S($G$2:$G$1387),TRUE())</f>
        <v>0.22096963101856</v>
      </c>
    </row>
    <row r="315" customFormat="false" ht="15" hidden="false" customHeight="false" outlineLevel="0" collapsed="false">
      <c r="A315" s="0" t="n">
        <f aca="false">ROW()-1</f>
        <v>314</v>
      </c>
      <c r="B315" s="0" t="str">
        <f aca="false">'Analysis Data'!A315</f>
        <v>Deerfield</v>
      </c>
      <c r="C315" s="5" t="n">
        <f aca="false">'Analysis Data'!B315</f>
        <v>40337</v>
      </c>
      <c r="D315" s="6" t="n">
        <f aca="false">'Analysis Data'!C315</f>
        <v>344.058089663646</v>
      </c>
      <c r="E315" s="15" t="n">
        <f aca="false">SUMPRODUCT('Final Model'!$B$45:$I$45,'Analysis Data'!N315:U315)</f>
        <v>352.851807168604</v>
      </c>
      <c r="F315" s="15" t="n">
        <f aca="false">D315-E315</f>
        <v>-8.79371750495727</v>
      </c>
      <c r="G315" s="13" t="n">
        <f aca="false">F315/'Final Model'!$B$21</f>
        <v>-0.179346422792741</v>
      </c>
      <c r="H315" s="6" t="n">
        <f aca="false">F315^2</f>
        <v>77.3294675569919</v>
      </c>
      <c r="J315" s="6" t="n">
        <f aca="false">A315</f>
        <v>314</v>
      </c>
      <c r="K315" s="13" t="n">
        <f aca="false">SMALL($G$2:$G$1387,J315)</f>
        <v>-0.764630441294278</v>
      </c>
      <c r="L315" s="18" t="n">
        <f aca="false">(J315-0.5)/1386</f>
        <v>0.226190476190476</v>
      </c>
      <c r="M315" s="18" t="n">
        <f aca="false">_xlfn.NORM.DIST(K315,AVERAGE($G$2:$G$1387),_xlfn.STDEV.S($G$2:$G$1387),TRUE())</f>
        <v>0.221668586388664</v>
      </c>
    </row>
    <row r="316" customFormat="false" ht="15" hidden="false" customHeight="false" outlineLevel="0" collapsed="false">
      <c r="A316" s="0" t="n">
        <f aca="false">ROW()-1</f>
        <v>315</v>
      </c>
      <c r="B316" s="0" t="str">
        <f aca="false">'Analysis Data'!A316</f>
        <v>Deerfield</v>
      </c>
      <c r="C316" s="5" t="n">
        <f aca="false">'Analysis Data'!B316</f>
        <v>40344</v>
      </c>
      <c r="D316" s="6" t="n">
        <f aca="false">'Analysis Data'!C316</f>
        <v>308.461413574345</v>
      </c>
      <c r="E316" s="15" t="n">
        <f aca="false">SUMPRODUCT('Final Model'!$B$45:$I$45,'Analysis Data'!N316:U316)</f>
        <v>319.468903023403</v>
      </c>
      <c r="F316" s="15" t="n">
        <f aca="false">D316-E316</f>
        <v>-11.0074894490583</v>
      </c>
      <c r="G316" s="13" t="n">
        <f aca="false">F316/'Final Model'!$B$21</f>
        <v>-0.224495937640088</v>
      </c>
      <c r="H316" s="6" t="n">
        <f aca="false">F316^2</f>
        <v>121.164823971129</v>
      </c>
      <c r="J316" s="6" t="n">
        <f aca="false">A316</f>
        <v>315</v>
      </c>
      <c r="K316" s="13" t="n">
        <f aca="false">SMALL($G$2:$G$1387,J316)</f>
        <v>-0.76060698564178</v>
      </c>
      <c r="L316" s="18" t="n">
        <f aca="false">(J316-0.5)/1386</f>
        <v>0.226911976911977</v>
      </c>
      <c r="M316" s="18" t="n">
        <f aca="false">_xlfn.NORM.DIST(K316,AVERAGE($G$2:$G$1387),_xlfn.STDEV.S($G$2:$G$1387),TRUE())</f>
        <v>0.222869959287172</v>
      </c>
    </row>
    <row r="317" customFormat="false" ht="15" hidden="false" customHeight="false" outlineLevel="0" collapsed="false">
      <c r="A317" s="0" t="n">
        <f aca="false">ROW()-1</f>
        <v>316</v>
      </c>
      <c r="B317" s="0" t="str">
        <f aca="false">'Analysis Data'!A317</f>
        <v>Deerfield</v>
      </c>
      <c r="C317" s="5" t="n">
        <f aca="false">'Analysis Data'!B317</f>
        <v>40351</v>
      </c>
      <c r="D317" s="6" t="n">
        <f aca="false">'Analysis Data'!C317</f>
        <v>350.904742750509</v>
      </c>
      <c r="E317" s="15" t="n">
        <f aca="false">SUMPRODUCT('Final Model'!$B$45:$I$45,'Analysis Data'!N317:U317)</f>
        <v>330.186845183178</v>
      </c>
      <c r="F317" s="15" t="n">
        <f aca="false">D317-E317</f>
        <v>20.7178975673307</v>
      </c>
      <c r="G317" s="13" t="n">
        <f aca="false">F317/'Final Model'!$B$21</f>
        <v>0.422538114783942</v>
      </c>
      <c r="H317" s="6" t="n">
        <f aca="false">F317^2</f>
        <v>429.231279610409</v>
      </c>
      <c r="J317" s="6" t="n">
        <f aca="false">A317</f>
        <v>316</v>
      </c>
      <c r="K317" s="13" t="n">
        <f aca="false">SMALL($G$2:$G$1387,J317)</f>
        <v>-0.758149023170838</v>
      </c>
      <c r="L317" s="18" t="n">
        <f aca="false">(J317-0.5)/1386</f>
        <v>0.227633477633478</v>
      </c>
      <c r="M317" s="18" t="n">
        <f aca="false">_xlfn.NORM.DIST(K317,AVERAGE($G$2:$G$1387),_xlfn.STDEV.S($G$2:$G$1387),TRUE())</f>
        <v>0.223605709543628</v>
      </c>
    </row>
    <row r="318" customFormat="false" ht="15" hidden="false" customHeight="false" outlineLevel="0" collapsed="false">
      <c r="A318" s="0" t="n">
        <f aca="false">ROW()-1</f>
        <v>317</v>
      </c>
      <c r="B318" s="0" t="str">
        <f aca="false">'Analysis Data'!A318</f>
        <v>Deerfield</v>
      </c>
      <c r="C318" s="5" t="n">
        <f aca="false">'Analysis Data'!B318</f>
        <v>40358</v>
      </c>
      <c r="D318" s="6" t="n">
        <f aca="false">'Analysis Data'!C318</f>
        <v>333.065646166782</v>
      </c>
      <c r="E318" s="15" t="n">
        <f aca="false">SUMPRODUCT('Final Model'!$B$45:$I$45,'Analysis Data'!N318:U318)</f>
        <v>319.889214479351</v>
      </c>
      <c r="F318" s="15" t="n">
        <f aca="false">D318-E318</f>
        <v>13.1764316874303</v>
      </c>
      <c r="G318" s="13" t="n">
        <f aca="false">F318/'Final Model'!$B$21</f>
        <v>0.268731158009268</v>
      </c>
      <c r="H318" s="6" t="n">
        <f aca="false">F318^2</f>
        <v>173.618352013517</v>
      </c>
      <c r="J318" s="6" t="n">
        <f aca="false">A318</f>
        <v>317</v>
      </c>
      <c r="K318" s="13" t="n">
        <f aca="false">SMALL($G$2:$G$1387,J318)</f>
        <v>-0.755759189575128</v>
      </c>
      <c r="L318" s="18" t="n">
        <f aca="false">(J318-0.5)/1386</f>
        <v>0.228354978354978</v>
      </c>
      <c r="M318" s="18" t="n">
        <f aca="false">_xlfn.NORM.DIST(K318,AVERAGE($G$2:$G$1387),_xlfn.STDEV.S($G$2:$G$1387),TRUE())</f>
        <v>0.224322389078908</v>
      </c>
    </row>
    <row r="319" customFormat="false" ht="15" hidden="false" customHeight="false" outlineLevel="0" collapsed="false">
      <c r="A319" s="0" t="n">
        <f aca="false">ROW()-1</f>
        <v>318</v>
      </c>
      <c r="B319" s="0" t="str">
        <f aca="false">'Analysis Data'!A319</f>
        <v>Deerfield</v>
      </c>
      <c r="C319" s="5" t="n">
        <f aca="false">'Analysis Data'!B319</f>
        <v>40365</v>
      </c>
      <c r="D319" s="6" t="n">
        <f aca="false">'Analysis Data'!C319</f>
        <v>352.880129956889</v>
      </c>
      <c r="E319" s="15" t="n">
        <f aca="false">SUMPRODUCT('Final Model'!$B$45:$I$45,'Analysis Data'!N319:U319)</f>
        <v>336.144805646632</v>
      </c>
      <c r="F319" s="15" t="n">
        <f aca="false">D319-E319</f>
        <v>16.7353243102571</v>
      </c>
      <c r="G319" s="13" t="n">
        <f aca="false">F319/'Final Model'!$B$21</f>
        <v>0.341314187956233</v>
      </c>
      <c r="H319" s="6" t="n">
        <f aca="false">F319^2</f>
        <v>280.071079769483</v>
      </c>
      <c r="J319" s="6" t="n">
        <f aca="false">A319</f>
        <v>318</v>
      </c>
      <c r="K319" s="13" t="n">
        <f aca="false">SMALL($G$2:$G$1387,J319)</f>
        <v>-0.753058931257682</v>
      </c>
      <c r="L319" s="18" t="n">
        <f aca="false">(J319-0.5)/1386</f>
        <v>0.229076479076479</v>
      </c>
      <c r="M319" s="18" t="n">
        <f aca="false">_xlfn.NORM.DIST(K319,AVERAGE($G$2:$G$1387),_xlfn.STDEV.S($G$2:$G$1387),TRUE())</f>
        <v>0.225133727679229</v>
      </c>
    </row>
    <row r="320" customFormat="false" ht="15" hidden="false" customHeight="false" outlineLevel="0" collapsed="false">
      <c r="A320" s="0" t="n">
        <f aca="false">ROW()-1</f>
        <v>319</v>
      </c>
      <c r="B320" s="0" t="str">
        <f aca="false">'Analysis Data'!A320</f>
        <v>Deerfield</v>
      </c>
      <c r="C320" s="5" t="n">
        <f aca="false">'Analysis Data'!B320</f>
        <v>40372</v>
      </c>
      <c r="D320" s="6" t="n">
        <f aca="false">'Analysis Data'!C320</f>
        <v>348.121370232371</v>
      </c>
      <c r="E320" s="15" t="n">
        <f aca="false">SUMPRODUCT('Final Model'!$B$45:$I$45,'Analysis Data'!N320:U320)</f>
        <v>319.806248543901</v>
      </c>
      <c r="F320" s="15" t="n">
        <f aca="false">D320-E320</f>
        <v>28.3151216884696</v>
      </c>
      <c r="G320" s="13" t="n">
        <f aca="false">F320/'Final Model'!$B$21</f>
        <v>0.577482251721805</v>
      </c>
      <c r="H320" s="6" t="n">
        <f aca="false">F320^2</f>
        <v>801.746116232843</v>
      </c>
      <c r="J320" s="6" t="n">
        <f aca="false">A320</f>
        <v>319</v>
      </c>
      <c r="K320" s="13" t="n">
        <f aca="false">SMALL($G$2:$G$1387,J320)</f>
        <v>-0.750509249913838</v>
      </c>
      <c r="L320" s="18" t="n">
        <f aca="false">(J320-0.5)/1386</f>
        <v>0.22979797979798</v>
      </c>
      <c r="M320" s="18" t="n">
        <f aca="false">_xlfn.NORM.DIST(K320,AVERAGE($G$2:$G$1387),_xlfn.STDEV.S($G$2:$G$1387),TRUE())</f>
        <v>0.225901346539433</v>
      </c>
    </row>
    <row r="321" customFormat="false" ht="15" hidden="false" customHeight="false" outlineLevel="0" collapsed="false">
      <c r="A321" s="0" t="n">
        <f aca="false">ROW()-1</f>
        <v>320</v>
      </c>
      <c r="B321" s="0" t="str">
        <f aca="false">'Analysis Data'!A321</f>
        <v>Galleria</v>
      </c>
      <c r="C321" s="5" t="n">
        <f aca="false">'Analysis Data'!B321</f>
        <v>40302</v>
      </c>
      <c r="D321" s="6" t="n">
        <f aca="false">'Analysis Data'!C321</f>
        <v>314.561765375989</v>
      </c>
      <c r="E321" s="15" t="n">
        <f aca="false">SUMPRODUCT('Final Model'!$B$45:$I$45,'Analysis Data'!N321:U321)</f>
        <v>244.067605386711</v>
      </c>
      <c r="F321" s="15" t="n">
        <f aca="false">D321-E321</f>
        <v>70.4941599892781</v>
      </c>
      <c r="G321" s="13" t="n">
        <f aca="false">F321/'Final Model'!$B$21</f>
        <v>1.43771680347123</v>
      </c>
      <c r="H321" s="6" t="n">
        <f aca="false">F321^2</f>
        <v>4969.42659259393</v>
      </c>
      <c r="J321" s="6" t="n">
        <f aca="false">A321</f>
        <v>320</v>
      </c>
      <c r="K321" s="13" t="n">
        <f aca="false">SMALL($G$2:$G$1387,J321)</f>
        <v>-0.749100382083841</v>
      </c>
      <c r="L321" s="18" t="n">
        <f aca="false">(J321-0.5)/1386</f>
        <v>0.230519480519481</v>
      </c>
      <c r="M321" s="18" t="n">
        <f aca="false">_xlfn.NORM.DIST(K321,AVERAGE($G$2:$G$1387),_xlfn.STDEV.S($G$2:$G$1387),TRUE())</f>
        <v>0.22632614082977</v>
      </c>
    </row>
    <row r="322" customFormat="false" ht="15" hidden="false" customHeight="false" outlineLevel="0" collapsed="false">
      <c r="A322" s="0" t="n">
        <f aca="false">ROW()-1</f>
        <v>321</v>
      </c>
      <c r="B322" s="0" t="str">
        <f aca="false">'Analysis Data'!A322</f>
        <v>Galleria</v>
      </c>
      <c r="C322" s="5" t="n">
        <f aca="false">'Analysis Data'!B322</f>
        <v>40309</v>
      </c>
      <c r="D322" s="6" t="n">
        <f aca="false">'Analysis Data'!C322</f>
        <v>197.926628245649</v>
      </c>
      <c r="E322" s="15" t="n">
        <f aca="false">SUMPRODUCT('Final Model'!$B$45:$I$45,'Analysis Data'!N322:U322)</f>
        <v>244.067605386711</v>
      </c>
      <c r="F322" s="15" t="n">
        <f aca="false">D322-E322</f>
        <v>-46.140977141062</v>
      </c>
      <c r="G322" s="13" t="n">
        <f aca="false">F322/'Final Model'!$B$21</f>
        <v>-0.941037643038467</v>
      </c>
      <c r="H322" s="6" t="n">
        <f aca="false">F322^2</f>
        <v>2128.98977153201</v>
      </c>
      <c r="J322" s="6" t="n">
        <f aca="false">A322</f>
        <v>321</v>
      </c>
      <c r="K322" s="13" t="n">
        <f aca="false">SMALL($G$2:$G$1387,J322)</f>
        <v>-0.748151610856433</v>
      </c>
      <c r="L322" s="18" t="n">
        <f aca="false">(J322-0.5)/1386</f>
        <v>0.231240981240981</v>
      </c>
      <c r="M322" s="18" t="n">
        <f aca="false">_xlfn.NORM.DIST(K322,AVERAGE($G$2:$G$1387),_xlfn.STDEV.S($G$2:$G$1387),TRUE())</f>
        <v>0.226612463308626</v>
      </c>
    </row>
    <row r="323" customFormat="false" ht="15" hidden="false" customHeight="false" outlineLevel="0" collapsed="false">
      <c r="A323" s="0" t="n">
        <f aca="false">ROW()-1</f>
        <v>322</v>
      </c>
      <c r="B323" s="0" t="str">
        <f aca="false">'Analysis Data'!A323</f>
        <v>Galleria</v>
      </c>
      <c r="C323" s="5" t="n">
        <f aca="false">'Analysis Data'!B323</f>
        <v>40316</v>
      </c>
      <c r="D323" s="6" t="n">
        <f aca="false">'Analysis Data'!C323</f>
        <v>204.791838717784</v>
      </c>
      <c r="E323" s="15" t="n">
        <f aca="false">SUMPRODUCT('Final Model'!$B$45:$I$45,'Analysis Data'!N323:U323)</f>
        <v>257.835499909144</v>
      </c>
      <c r="F323" s="15" t="n">
        <f aca="false">D323-E323</f>
        <v>-53.04366119136</v>
      </c>
      <c r="G323" s="13" t="n">
        <f aca="false">F323/'Final Model'!$B$21</f>
        <v>-1.08181674941658</v>
      </c>
      <c r="H323" s="6" t="n">
        <f aca="false">F323^2</f>
        <v>2813.62999258379</v>
      </c>
      <c r="J323" s="6" t="n">
        <f aca="false">A323</f>
        <v>322</v>
      </c>
      <c r="K323" s="13" t="n">
        <f aca="false">SMALL($G$2:$G$1387,J323)</f>
        <v>-0.748110065234678</v>
      </c>
      <c r="L323" s="18" t="n">
        <f aca="false">(J323-0.5)/1386</f>
        <v>0.231962481962482</v>
      </c>
      <c r="M323" s="18" t="n">
        <f aca="false">_xlfn.NORM.DIST(K323,AVERAGE($G$2:$G$1387),_xlfn.STDEV.S($G$2:$G$1387),TRUE())</f>
        <v>0.226625005717715</v>
      </c>
    </row>
    <row r="324" customFormat="false" ht="15" hidden="false" customHeight="false" outlineLevel="0" collapsed="false">
      <c r="A324" s="0" t="n">
        <f aca="false">ROW()-1</f>
        <v>323</v>
      </c>
      <c r="B324" s="0" t="str">
        <f aca="false">'Analysis Data'!A324</f>
        <v>Galleria</v>
      </c>
      <c r="C324" s="5" t="n">
        <f aca="false">'Analysis Data'!B324</f>
        <v>40323</v>
      </c>
      <c r="D324" s="6" t="n">
        <f aca="false">'Analysis Data'!C324</f>
        <v>181.474055781315</v>
      </c>
      <c r="E324" s="15" t="n">
        <f aca="false">SUMPRODUCT('Final Model'!$B$45:$I$45,'Analysis Data'!N324:U324)</f>
        <v>255.713735345958</v>
      </c>
      <c r="F324" s="15" t="n">
        <f aca="false">D324-E324</f>
        <v>-74.239679564643</v>
      </c>
      <c r="G324" s="13" t="n">
        <f aca="false">F324/'Final Model'!$B$21</f>
        <v>-1.51410605943302</v>
      </c>
      <c r="H324" s="6" t="n">
        <f aca="false">F324^2</f>
        <v>5511.53002186086</v>
      </c>
      <c r="J324" s="6" t="n">
        <f aca="false">A324</f>
        <v>323</v>
      </c>
      <c r="K324" s="13" t="n">
        <f aca="false">SMALL($G$2:$G$1387,J324)</f>
        <v>-0.74503905500081</v>
      </c>
      <c r="L324" s="18" t="n">
        <f aca="false">(J324-0.5)/1386</f>
        <v>0.232683982683983</v>
      </c>
      <c r="M324" s="18" t="n">
        <f aca="false">_xlfn.NORM.DIST(K324,AVERAGE($G$2:$G$1387),_xlfn.STDEV.S($G$2:$G$1387),TRUE())</f>
        <v>0.227553212155195</v>
      </c>
    </row>
    <row r="325" customFormat="false" ht="15" hidden="false" customHeight="false" outlineLevel="0" collapsed="false">
      <c r="A325" s="0" t="n">
        <f aca="false">ROW()-1</f>
        <v>324</v>
      </c>
      <c r="B325" s="0" t="str">
        <f aca="false">'Analysis Data'!A325</f>
        <v>Galleria</v>
      </c>
      <c r="C325" s="5" t="n">
        <f aca="false">'Analysis Data'!B325</f>
        <v>40330</v>
      </c>
      <c r="D325" s="6" t="n">
        <f aca="false">'Analysis Data'!C325</f>
        <v>287.24276312415</v>
      </c>
      <c r="E325" s="15" t="n">
        <f aca="false">SUMPRODUCT('Final Model'!$B$45:$I$45,'Analysis Data'!N325:U325)</f>
        <v>257.835499909144</v>
      </c>
      <c r="F325" s="15" t="n">
        <f aca="false">D325-E325</f>
        <v>29.4072632150061</v>
      </c>
      <c r="G325" s="13" t="n">
        <f aca="false">F325/'Final Model'!$B$21</f>
        <v>0.599756298603263</v>
      </c>
      <c r="H325" s="6" t="n">
        <f aca="false">F325^2</f>
        <v>864.78712979665</v>
      </c>
      <c r="J325" s="6" t="n">
        <f aca="false">A325</f>
        <v>324</v>
      </c>
      <c r="K325" s="13" t="n">
        <f aca="false">SMALL($G$2:$G$1387,J325)</f>
        <v>-0.739222597735276</v>
      </c>
      <c r="L325" s="18" t="n">
        <f aca="false">(J325-0.5)/1386</f>
        <v>0.233405483405483</v>
      </c>
      <c r="M325" s="18" t="n">
        <f aca="false">_xlfn.NORM.DIST(K325,AVERAGE($G$2:$G$1387),_xlfn.STDEV.S($G$2:$G$1387),TRUE())</f>
        <v>0.229317077672709</v>
      </c>
    </row>
    <row r="326" customFormat="false" ht="15" hidden="false" customHeight="false" outlineLevel="0" collapsed="false">
      <c r="A326" s="0" t="n">
        <f aca="false">ROW()-1</f>
        <v>325</v>
      </c>
      <c r="B326" s="0" t="str">
        <f aca="false">'Analysis Data'!A326</f>
        <v>Galleria</v>
      </c>
      <c r="C326" s="5" t="n">
        <f aca="false">'Analysis Data'!B326</f>
        <v>40337</v>
      </c>
      <c r="D326" s="6" t="n">
        <f aca="false">'Analysis Data'!C326</f>
        <v>112.291422195347</v>
      </c>
      <c r="E326" s="15" t="n">
        <f aca="false">SUMPRODUCT('Final Model'!$B$45:$I$45,'Analysis Data'!N326:U326)</f>
        <v>252.743264944258</v>
      </c>
      <c r="F326" s="15" t="n">
        <f aca="false">D326-E326</f>
        <v>-140.451842748911</v>
      </c>
      <c r="G326" s="13" t="n">
        <f aca="false">F326/'Final Model'!$B$21</f>
        <v>-2.86449224204276</v>
      </c>
      <c r="H326" s="6" t="n">
        <f aca="false">F326^2</f>
        <v>19726.7201315648</v>
      </c>
      <c r="J326" s="6" t="n">
        <f aca="false">A326</f>
        <v>325</v>
      </c>
      <c r="K326" s="13" t="n">
        <f aca="false">SMALL($G$2:$G$1387,J326)</f>
        <v>-0.739122541124845</v>
      </c>
      <c r="L326" s="18" t="n">
        <f aca="false">(J326-0.5)/1386</f>
        <v>0.234126984126984</v>
      </c>
      <c r="M326" s="18" t="n">
        <f aca="false">_xlfn.NORM.DIST(K326,AVERAGE($G$2:$G$1387),_xlfn.STDEV.S($G$2:$G$1387),TRUE())</f>
        <v>0.229347487179681</v>
      </c>
    </row>
    <row r="327" customFormat="false" ht="15" hidden="false" customHeight="false" outlineLevel="0" collapsed="false">
      <c r="A327" s="0" t="n">
        <f aca="false">ROW()-1</f>
        <v>326</v>
      </c>
      <c r="B327" s="0" t="str">
        <f aca="false">'Analysis Data'!A327</f>
        <v>Galleria</v>
      </c>
      <c r="C327" s="5" t="n">
        <f aca="false">'Analysis Data'!B327</f>
        <v>40344</v>
      </c>
      <c r="D327" s="6" t="n">
        <f aca="false">'Analysis Data'!C327</f>
        <v>232.401877861226</v>
      </c>
      <c r="E327" s="15" t="n">
        <f aca="false">SUMPRODUCT('Final Model'!$B$45:$I$45,'Analysis Data'!N327:U327)</f>
        <v>251.773315427137</v>
      </c>
      <c r="F327" s="15" t="n">
        <f aca="false">D327-E327</f>
        <v>-19.3714375659108</v>
      </c>
      <c r="G327" s="13" t="n">
        <f aca="false">F327/'Final Model'!$B$21</f>
        <v>-0.395077284418168</v>
      </c>
      <c r="H327" s="6" t="n">
        <f aca="false">F327^2</f>
        <v>375.252593369982</v>
      </c>
      <c r="J327" s="6" t="n">
        <f aca="false">A327</f>
        <v>326</v>
      </c>
      <c r="K327" s="13" t="n">
        <f aca="false">SMALL($G$2:$G$1387,J327)</f>
        <v>-0.735003385900468</v>
      </c>
      <c r="L327" s="18" t="n">
        <f aca="false">(J327-0.5)/1386</f>
        <v>0.234848484848485</v>
      </c>
      <c r="M327" s="18" t="n">
        <f aca="false">_xlfn.NORM.DIST(K327,AVERAGE($G$2:$G$1387),_xlfn.STDEV.S($G$2:$G$1387),TRUE())</f>
        <v>0.230601353687766</v>
      </c>
    </row>
    <row r="328" customFormat="false" ht="15" hidden="false" customHeight="false" outlineLevel="0" collapsed="false">
      <c r="A328" s="0" t="n">
        <f aca="false">ROW()-1</f>
        <v>327</v>
      </c>
      <c r="B328" s="0" t="str">
        <f aca="false">'Analysis Data'!A328</f>
        <v>Galleria</v>
      </c>
      <c r="C328" s="5" t="n">
        <f aca="false">'Analysis Data'!B328</f>
        <v>40351</v>
      </c>
      <c r="D328" s="6" t="n">
        <f aca="false">'Analysis Data'!C328</f>
        <v>227.440315635017</v>
      </c>
      <c r="E328" s="15" t="n">
        <f aca="false">SUMPRODUCT('Final Model'!$B$45:$I$45,'Analysis Data'!N328:U328)</f>
        <v>251.773315427137</v>
      </c>
      <c r="F328" s="15" t="n">
        <f aca="false">D328-E328</f>
        <v>-24.3329997921192</v>
      </c>
      <c r="G328" s="13" t="n">
        <f aca="false">F328/'Final Model'!$B$21</f>
        <v>-0.496267530321841</v>
      </c>
      <c r="H328" s="6" t="n">
        <f aca="false">F328^2</f>
        <v>592.094878883275</v>
      </c>
      <c r="J328" s="6" t="n">
        <f aca="false">A328</f>
        <v>327</v>
      </c>
      <c r="K328" s="13" t="n">
        <f aca="false">SMALL($G$2:$G$1387,J328)</f>
        <v>-0.734568753453961</v>
      </c>
      <c r="L328" s="18" t="n">
        <f aca="false">(J328-0.5)/1386</f>
        <v>0.235569985569986</v>
      </c>
      <c r="M328" s="18" t="n">
        <f aca="false">_xlfn.NORM.DIST(K328,AVERAGE($G$2:$G$1387),_xlfn.STDEV.S($G$2:$G$1387),TRUE())</f>
        <v>0.230733878390018</v>
      </c>
    </row>
    <row r="329" customFormat="false" ht="15" hidden="false" customHeight="false" outlineLevel="0" collapsed="false">
      <c r="A329" s="0" t="n">
        <f aca="false">ROW()-1</f>
        <v>328</v>
      </c>
      <c r="B329" s="0" t="str">
        <f aca="false">'Analysis Data'!A329</f>
        <v>Galleria</v>
      </c>
      <c r="C329" s="5" t="n">
        <f aca="false">'Analysis Data'!B329</f>
        <v>40358</v>
      </c>
      <c r="D329" s="6" t="n">
        <f aca="false">'Analysis Data'!C329</f>
        <v>279.662361094734</v>
      </c>
      <c r="E329" s="15" t="n">
        <f aca="false">SUMPRODUCT('Final Model'!$B$45:$I$45,'Analysis Data'!N329:U329)</f>
        <v>251.773315427137</v>
      </c>
      <c r="F329" s="15" t="n">
        <f aca="false">D329-E329</f>
        <v>27.889045667597</v>
      </c>
      <c r="G329" s="13" t="n">
        <f aca="false">F329/'Final Model'!$B$21</f>
        <v>0.568792501324639</v>
      </c>
      <c r="H329" s="6" t="n">
        <f aca="false">F329^2</f>
        <v>777.798868249313</v>
      </c>
      <c r="J329" s="6" t="n">
        <f aca="false">A329</f>
        <v>328</v>
      </c>
      <c r="K329" s="13" t="n">
        <f aca="false">SMALL($G$2:$G$1387,J329)</f>
        <v>-0.728877515856278</v>
      </c>
      <c r="L329" s="18" t="n">
        <f aca="false">(J329-0.5)/1386</f>
        <v>0.236291486291486</v>
      </c>
      <c r="M329" s="18" t="n">
        <f aca="false">_xlfn.NORM.DIST(K329,AVERAGE($G$2:$G$1387),_xlfn.STDEV.S($G$2:$G$1387),TRUE())</f>
        <v>0.232473126262217</v>
      </c>
    </row>
    <row r="330" customFormat="false" ht="15" hidden="false" customHeight="false" outlineLevel="0" collapsed="false">
      <c r="A330" s="0" t="n">
        <f aca="false">ROW()-1</f>
        <v>329</v>
      </c>
      <c r="B330" s="0" t="str">
        <f aca="false">'Analysis Data'!A330</f>
        <v>Galleria</v>
      </c>
      <c r="C330" s="5" t="n">
        <f aca="false">'Analysis Data'!B330</f>
        <v>40365</v>
      </c>
      <c r="D330" s="6" t="n">
        <f aca="false">'Analysis Data'!C330</f>
        <v>253.473037990157</v>
      </c>
      <c r="E330" s="15" t="n">
        <f aca="false">SUMPRODUCT('Final Model'!$B$45:$I$45,'Analysis Data'!N330:U330)</f>
        <v>261.592841841272</v>
      </c>
      <c r="F330" s="15" t="n">
        <f aca="false">D330-E330</f>
        <v>-8.11980385111491</v>
      </c>
      <c r="G330" s="13" t="n">
        <f aca="false">F330/'Final Model'!$B$21</f>
        <v>-0.165602064616613</v>
      </c>
      <c r="H330" s="6" t="n">
        <f aca="false">F330^2</f>
        <v>65.9312145805805</v>
      </c>
      <c r="J330" s="6" t="n">
        <f aca="false">A330</f>
        <v>329</v>
      </c>
      <c r="K330" s="13" t="n">
        <f aca="false">SMALL($G$2:$G$1387,J330)</f>
        <v>-0.724004323634145</v>
      </c>
      <c r="L330" s="18" t="n">
        <f aca="false">(J330-0.5)/1386</f>
        <v>0.237012987012987</v>
      </c>
      <c r="M330" s="18" t="n">
        <f aca="false">_xlfn.NORM.DIST(K330,AVERAGE($G$2:$G$1387),_xlfn.STDEV.S($G$2:$G$1387),TRUE())</f>
        <v>0.233968154558686</v>
      </c>
    </row>
    <row r="331" customFormat="false" ht="15" hidden="false" customHeight="false" outlineLevel="0" collapsed="false">
      <c r="A331" s="0" t="n">
        <f aca="false">ROW()-1</f>
        <v>330</v>
      </c>
      <c r="B331" s="0" t="str">
        <f aca="false">'Analysis Data'!A331</f>
        <v>Galleria</v>
      </c>
      <c r="C331" s="5" t="n">
        <f aca="false">'Analysis Data'!B331</f>
        <v>40372</v>
      </c>
      <c r="D331" s="6" t="n">
        <f aca="false">'Analysis Data'!C331</f>
        <v>231.832568575003</v>
      </c>
      <c r="E331" s="15" t="n">
        <f aca="false">SUMPRODUCT('Final Model'!$B$45:$I$45,'Analysis Data'!N331:U331)</f>
        <v>261.592841841272</v>
      </c>
      <c r="F331" s="15" t="n">
        <f aca="false">D331-E331</f>
        <v>-29.7602732662694</v>
      </c>
      <c r="G331" s="13" t="n">
        <f aca="false">F331/'Final Model'!$B$21</f>
        <v>-0.606955880562573</v>
      </c>
      <c r="H331" s="6" t="n">
        <f aca="false">F331^2</f>
        <v>885.67386488303</v>
      </c>
      <c r="J331" s="6" t="n">
        <f aca="false">A331</f>
        <v>330</v>
      </c>
      <c r="K331" s="13" t="n">
        <f aca="false">SMALL($G$2:$G$1387,J331)</f>
        <v>-0.723581663905093</v>
      </c>
      <c r="L331" s="18" t="n">
        <f aca="false">(J331-0.5)/1386</f>
        <v>0.237734487734488</v>
      </c>
      <c r="M331" s="18" t="n">
        <f aca="false">_xlfn.NORM.DIST(K331,AVERAGE($G$2:$G$1387),_xlfn.STDEV.S($G$2:$G$1387),TRUE())</f>
        <v>0.234098071278709</v>
      </c>
    </row>
    <row r="332" customFormat="false" ht="15" hidden="false" customHeight="false" outlineLevel="0" collapsed="false">
      <c r="A332" s="0" t="n">
        <f aca="false">ROW()-1</f>
        <v>331</v>
      </c>
      <c r="B332" s="0" t="str">
        <f aca="false">'Analysis Data'!A332</f>
        <v>Gold Coast</v>
      </c>
      <c r="C332" s="5" t="n">
        <f aca="false">'Analysis Data'!B332</f>
        <v>40302</v>
      </c>
      <c r="D332" s="6" t="n">
        <f aca="false">'Analysis Data'!C332</f>
        <v>207.122068482975</v>
      </c>
      <c r="E332" s="15" t="n">
        <f aca="false">SUMPRODUCT('Final Model'!$B$45:$I$45,'Analysis Data'!N332:U332)</f>
        <v>234.260338066545</v>
      </c>
      <c r="F332" s="15" t="n">
        <f aca="false">D332-E332</f>
        <v>-27.1382695835707</v>
      </c>
      <c r="G332" s="13" t="n">
        <f aca="false">F332/'Final Model'!$B$21</f>
        <v>-0.553480546521387</v>
      </c>
      <c r="H332" s="6" t="n">
        <f aca="false">F332^2</f>
        <v>736.485675990557</v>
      </c>
      <c r="J332" s="6" t="n">
        <f aca="false">A332</f>
        <v>331</v>
      </c>
      <c r="K332" s="13" t="n">
        <f aca="false">SMALL($G$2:$G$1387,J332)</f>
        <v>-0.7228464796698</v>
      </c>
      <c r="L332" s="18" t="n">
        <f aca="false">(J332-0.5)/1386</f>
        <v>0.238455988455988</v>
      </c>
      <c r="M332" s="18" t="n">
        <f aca="false">_xlfn.NORM.DIST(K332,AVERAGE($G$2:$G$1387),_xlfn.STDEV.S($G$2:$G$1387),TRUE())</f>
        <v>0.234324146616856</v>
      </c>
    </row>
    <row r="333" customFormat="false" ht="15" hidden="false" customHeight="false" outlineLevel="0" collapsed="false">
      <c r="A333" s="0" t="n">
        <f aca="false">ROW()-1</f>
        <v>332</v>
      </c>
      <c r="B333" s="0" t="str">
        <f aca="false">'Analysis Data'!A333</f>
        <v>Gold Coast</v>
      </c>
      <c r="C333" s="5" t="n">
        <f aca="false">'Analysis Data'!B333</f>
        <v>40309</v>
      </c>
      <c r="D333" s="6" t="n">
        <f aca="false">'Analysis Data'!C333</f>
        <v>191.00311729794</v>
      </c>
      <c r="E333" s="15" t="n">
        <f aca="false">SUMPRODUCT('Final Model'!$B$45:$I$45,'Analysis Data'!N333:U333)</f>
        <v>234.260338066545</v>
      </c>
      <c r="F333" s="15" t="n">
        <f aca="false">D333-E333</f>
        <v>-43.257220768605</v>
      </c>
      <c r="G333" s="13" t="n">
        <f aca="false">F333/'Final Model'!$B$21</f>
        <v>-0.882223905922806</v>
      </c>
      <c r="H333" s="6" t="n">
        <f aca="false">F333^2</f>
        <v>1871.18714862383</v>
      </c>
      <c r="J333" s="6" t="n">
        <f aca="false">A333</f>
        <v>332</v>
      </c>
      <c r="K333" s="13" t="n">
        <f aca="false">SMALL($G$2:$G$1387,J333)</f>
        <v>-0.722656752325025</v>
      </c>
      <c r="L333" s="18" t="n">
        <f aca="false">(J333-0.5)/1386</f>
        <v>0.239177489177489</v>
      </c>
      <c r="M333" s="18" t="n">
        <f aca="false">_xlfn.NORM.DIST(K333,AVERAGE($G$2:$G$1387),_xlfn.STDEV.S($G$2:$G$1387),TRUE())</f>
        <v>0.234382508981459</v>
      </c>
    </row>
    <row r="334" customFormat="false" ht="15" hidden="false" customHeight="false" outlineLevel="0" collapsed="false">
      <c r="A334" s="0" t="n">
        <f aca="false">ROW()-1</f>
        <v>333</v>
      </c>
      <c r="B334" s="0" t="str">
        <f aca="false">'Analysis Data'!A334</f>
        <v>Gold Coast</v>
      </c>
      <c r="C334" s="5" t="n">
        <f aca="false">'Analysis Data'!B334</f>
        <v>40316</v>
      </c>
      <c r="D334" s="6" t="n">
        <f aca="false">'Analysis Data'!C334</f>
        <v>209.202752610037</v>
      </c>
      <c r="E334" s="15" t="n">
        <f aca="false">SUMPRODUCT('Final Model'!$B$45:$I$45,'Analysis Data'!N334:U334)</f>
        <v>247.76984880868</v>
      </c>
      <c r="F334" s="15" t="n">
        <f aca="false">D334-E334</f>
        <v>-38.5670961986424</v>
      </c>
      <c r="G334" s="13" t="n">
        <f aca="false">F334/'Final Model'!$B$21</f>
        <v>-0.786569586392875</v>
      </c>
      <c r="H334" s="6" t="n">
        <f aca="false">F334^2</f>
        <v>1487.42090919534</v>
      </c>
      <c r="J334" s="6" t="n">
        <f aca="false">A334</f>
        <v>333</v>
      </c>
      <c r="K334" s="13" t="n">
        <f aca="false">SMALL($G$2:$G$1387,J334)</f>
        <v>-0.718045845397817</v>
      </c>
      <c r="L334" s="18" t="n">
        <f aca="false">(J334-0.5)/1386</f>
        <v>0.23989898989899</v>
      </c>
      <c r="M334" s="18" t="n">
        <f aca="false">_xlfn.NORM.DIST(K334,AVERAGE($G$2:$G$1387),_xlfn.STDEV.S($G$2:$G$1387),TRUE())</f>
        <v>0.235803348801668</v>
      </c>
    </row>
    <row r="335" customFormat="false" ht="15" hidden="false" customHeight="false" outlineLevel="0" collapsed="false">
      <c r="A335" s="0" t="n">
        <f aca="false">ROW()-1</f>
        <v>334</v>
      </c>
      <c r="B335" s="0" t="str">
        <f aca="false">'Analysis Data'!A335</f>
        <v>Gold Coast</v>
      </c>
      <c r="C335" s="5" t="n">
        <f aca="false">'Analysis Data'!B335</f>
        <v>40323</v>
      </c>
      <c r="D335" s="6" t="n">
        <f aca="false">'Analysis Data'!C335</f>
        <v>334.171344721518</v>
      </c>
      <c r="E335" s="15" t="n">
        <f aca="false">SUMPRODUCT('Final Model'!$B$45:$I$45,'Analysis Data'!N335:U335)</f>
        <v>251.423055898902</v>
      </c>
      <c r="F335" s="15" t="n">
        <f aca="false">D335-E335</f>
        <v>82.7482888226164</v>
      </c>
      <c r="G335" s="13" t="n">
        <f aca="false">F335/'Final Model'!$B$21</f>
        <v>1.68763774640142</v>
      </c>
      <c r="H335" s="6" t="n">
        <f aca="false">F335^2</f>
        <v>6847.27930307115</v>
      </c>
      <c r="J335" s="6" t="n">
        <f aca="false">A335</f>
        <v>334</v>
      </c>
      <c r="K335" s="13" t="n">
        <f aca="false">SMALL($G$2:$G$1387,J335)</f>
        <v>-0.713990382504634</v>
      </c>
      <c r="L335" s="18" t="n">
        <f aca="false">(J335-0.5)/1386</f>
        <v>0.240620490620491</v>
      </c>
      <c r="M335" s="18" t="n">
        <f aca="false">_xlfn.NORM.DIST(K335,AVERAGE($G$2:$G$1387),_xlfn.STDEV.S($G$2:$G$1387),TRUE())</f>
        <v>0.237056944917906</v>
      </c>
    </row>
    <row r="336" customFormat="false" ht="15" hidden="false" customHeight="false" outlineLevel="0" collapsed="false">
      <c r="A336" s="0" t="n">
        <f aca="false">ROW()-1</f>
        <v>335</v>
      </c>
      <c r="B336" s="0" t="str">
        <f aca="false">'Analysis Data'!A336</f>
        <v>Gold Coast</v>
      </c>
      <c r="C336" s="5" t="n">
        <f aca="false">'Analysis Data'!B336</f>
        <v>40330</v>
      </c>
      <c r="D336" s="6" t="n">
        <f aca="false">'Analysis Data'!C336</f>
        <v>269.535938541302</v>
      </c>
      <c r="E336" s="15" t="n">
        <f aca="false">SUMPRODUCT('Final Model'!$B$45:$I$45,'Analysis Data'!N336:U336)</f>
        <v>253.727763711638</v>
      </c>
      <c r="F336" s="15" t="n">
        <f aca="false">D336-E336</f>
        <v>15.8081748296639</v>
      </c>
      <c r="G336" s="13" t="n">
        <f aca="false">F336/'Final Model'!$B$21</f>
        <v>0.322405126726463</v>
      </c>
      <c r="H336" s="6" t="n">
        <f aca="false">F336^2</f>
        <v>249.898391445219</v>
      </c>
      <c r="J336" s="6" t="n">
        <f aca="false">A336</f>
        <v>335</v>
      </c>
      <c r="K336" s="13" t="n">
        <f aca="false">SMALL($G$2:$G$1387,J336)</f>
        <v>-0.713508669757342</v>
      </c>
      <c r="L336" s="18" t="n">
        <f aca="false">(J336-0.5)/1386</f>
        <v>0.241341991341991</v>
      </c>
      <c r="M336" s="18" t="n">
        <f aca="false">_xlfn.NORM.DIST(K336,AVERAGE($G$2:$G$1387),_xlfn.STDEV.S($G$2:$G$1387),TRUE())</f>
        <v>0.23720609153058</v>
      </c>
    </row>
    <row r="337" customFormat="false" ht="15" hidden="false" customHeight="false" outlineLevel="0" collapsed="false">
      <c r="A337" s="0" t="n">
        <f aca="false">ROW()-1</f>
        <v>336</v>
      </c>
      <c r="B337" s="0" t="str">
        <f aca="false">'Analysis Data'!A337</f>
        <v>Gold Coast</v>
      </c>
      <c r="C337" s="5" t="n">
        <f aca="false">'Analysis Data'!B337</f>
        <v>40337</v>
      </c>
      <c r="D337" s="6" t="n">
        <f aca="false">'Analysis Data'!C337</f>
        <v>345.826634934465</v>
      </c>
      <c r="E337" s="15" t="n">
        <f aca="false">SUMPRODUCT('Final Model'!$B$45:$I$45,'Analysis Data'!N337:U337)</f>
        <v>245.636768157055</v>
      </c>
      <c r="F337" s="15" t="n">
        <f aca="false">D337-E337</f>
        <v>100.18986677741</v>
      </c>
      <c r="G337" s="13" t="n">
        <f aca="false">F337/'Final Model'!$B$21</f>
        <v>2.04335586132716</v>
      </c>
      <c r="H337" s="6" t="n">
        <f aca="false">F337^2</f>
        <v>10038.0094048751</v>
      </c>
      <c r="J337" s="6" t="n">
        <f aca="false">A337</f>
        <v>336</v>
      </c>
      <c r="K337" s="13" t="n">
        <f aca="false">SMALL($G$2:$G$1387,J337)</f>
        <v>-0.70975902150384</v>
      </c>
      <c r="L337" s="18" t="n">
        <f aca="false">(J337-0.5)/1386</f>
        <v>0.242063492063492</v>
      </c>
      <c r="M337" s="18" t="n">
        <f aca="false">_xlfn.NORM.DIST(K337,AVERAGE($G$2:$G$1387),_xlfn.STDEV.S($G$2:$G$1387),TRUE())</f>
        <v>0.238368808013458</v>
      </c>
    </row>
    <row r="338" customFormat="false" ht="15" hidden="false" customHeight="false" outlineLevel="0" collapsed="false">
      <c r="A338" s="0" t="n">
        <f aca="false">ROW()-1</f>
        <v>337</v>
      </c>
      <c r="B338" s="0" t="str">
        <f aca="false">'Analysis Data'!A338</f>
        <v>Gold Coast</v>
      </c>
      <c r="C338" s="5" t="n">
        <f aca="false">'Analysis Data'!B338</f>
        <v>40344</v>
      </c>
      <c r="D338" s="6" t="n">
        <f aca="false">'Analysis Data'!C338</f>
        <v>232.059360224844</v>
      </c>
      <c r="E338" s="15" t="n">
        <f aca="false">SUMPRODUCT('Final Model'!$B$45:$I$45,'Analysis Data'!N338:U338)</f>
        <v>246.099110760805</v>
      </c>
      <c r="F338" s="15" t="n">
        <f aca="false">D338-E338</f>
        <v>-14.0397505359608</v>
      </c>
      <c r="G338" s="13" t="n">
        <f aca="false">F338/'Final Model'!$B$21</f>
        <v>-0.286338403992121</v>
      </c>
      <c r="H338" s="6" t="n">
        <f aca="false">F338^2</f>
        <v>197.114595112013</v>
      </c>
      <c r="J338" s="6" t="n">
        <f aca="false">A338</f>
        <v>337</v>
      </c>
      <c r="K338" s="13" t="n">
        <f aca="false">SMALL($G$2:$G$1387,J338)</f>
        <v>-0.704650455999459</v>
      </c>
      <c r="L338" s="18" t="n">
        <f aca="false">(J338-0.5)/1386</f>
        <v>0.242784992784993</v>
      </c>
      <c r="M338" s="18" t="n">
        <f aca="false">_xlfn.NORM.DIST(K338,AVERAGE($G$2:$G$1387),_xlfn.STDEV.S($G$2:$G$1387),TRUE())</f>
        <v>0.239957916992762</v>
      </c>
    </row>
    <row r="339" customFormat="false" ht="15" hidden="false" customHeight="false" outlineLevel="0" collapsed="false">
      <c r="A339" s="0" t="n">
        <f aca="false">ROW()-1</f>
        <v>338</v>
      </c>
      <c r="B339" s="0" t="str">
        <f aca="false">'Analysis Data'!A339</f>
        <v>Gold Coast</v>
      </c>
      <c r="C339" s="5" t="n">
        <f aca="false">'Analysis Data'!B339</f>
        <v>40351</v>
      </c>
      <c r="D339" s="6" t="n">
        <f aca="false">'Analysis Data'!C339</f>
        <v>196.244132587469</v>
      </c>
      <c r="E339" s="15" t="n">
        <f aca="false">SUMPRODUCT('Final Model'!$B$45:$I$45,'Analysis Data'!N339:U339)</f>
        <v>245.636768157055</v>
      </c>
      <c r="F339" s="15" t="n">
        <f aca="false">D339-E339</f>
        <v>-49.3926355695863</v>
      </c>
      <c r="G339" s="13" t="n">
        <f aca="false">F339/'Final Model'!$B$21</f>
        <v>-1.00735468210311</v>
      </c>
      <c r="H339" s="6" t="n">
        <f aca="false">F339^2</f>
        <v>2439.63244850996</v>
      </c>
      <c r="J339" s="6" t="n">
        <f aca="false">A339</f>
        <v>338</v>
      </c>
      <c r="K339" s="13" t="n">
        <f aca="false">SMALL($G$2:$G$1387,J339)</f>
        <v>-0.704584524673302</v>
      </c>
      <c r="L339" s="18" t="n">
        <f aca="false">(J339-0.5)/1386</f>
        <v>0.243506493506494</v>
      </c>
      <c r="M339" s="18" t="n">
        <f aca="false">_xlfn.NORM.DIST(K339,AVERAGE($G$2:$G$1387),_xlfn.STDEV.S($G$2:$G$1387),TRUE())</f>
        <v>0.239978463782327</v>
      </c>
    </row>
    <row r="340" customFormat="false" ht="15" hidden="false" customHeight="false" outlineLevel="0" collapsed="false">
      <c r="A340" s="0" t="n">
        <f aca="false">ROW()-1</f>
        <v>339</v>
      </c>
      <c r="B340" s="0" t="str">
        <f aca="false">'Analysis Data'!A340</f>
        <v>Gold Coast</v>
      </c>
      <c r="C340" s="5" t="n">
        <f aca="false">'Analysis Data'!B340</f>
        <v>40358</v>
      </c>
      <c r="D340" s="6" t="n">
        <f aca="false">'Analysis Data'!C340</f>
        <v>269.964105560118</v>
      </c>
      <c r="E340" s="15" t="n">
        <f aca="false">SUMPRODUCT('Final Model'!$B$45:$I$45,'Analysis Data'!N340:U340)</f>
        <v>246.099110760805</v>
      </c>
      <c r="F340" s="15" t="n">
        <f aca="false">D340-E340</f>
        <v>23.8649947993136</v>
      </c>
      <c r="G340" s="13" t="n">
        <f aca="false">F340/'Final Model'!$B$21</f>
        <v>0.486722645435385</v>
      </c>
      <c r="H340" s="6" t="n">
        <f aca="false">F340^2</f>
        <v>569.537976771265</v>
      </c>
      <c r="J340" s="6" t="n">
        <f aca="false">A340</f>
        <v>339</v>
      </c>
      <c r="K340" s="13" t="n">
        <f aca="false">SMALL($G$2:$G$1387,J340)</f>
        <v>-0.702474006252651</v>
      </c>
      <c r="L340" s="18" t="n">
        <f aca="false">(J340-0.5)/1386</f>
        <v>0.244227994227994</v>
      </c>
      <c r="M340" s="18" t="n">
        <f aca="false">_xlfn.NORM.DIST(K340,AVERAGE($G$2:$G$1387),_xlfn.STDEV.S($G$2:$G$1387),TRUE())</f>
        <v>0.240636690809276</v>
      </c>
    </row>
    <row r="341" customFormat="false" ht="15" hidden="false" customHeight="false" outlineLevel="0" collapsed="false">
      <c r="A341" s="0" t="n">
        <f aca="false">ROW()-1</f>
        <v>340</v>
      </c>
      <c r="B341" s="0" t="str">
        <f aca="false">'Analysis Data'!A341</f>
        <v>Gold Coast</v>
      </c>
      <c r="C341" s="5" t="n">
        <f aca="false">'Analysis Data'!B341</f>
        <v>40365</v>
      </c>
      <c r="D341" s="6" t="n">
        <f aca="false">'Analysis Data'!C341</f>
        <v>256.614890328142</v>
      </c>
      <c r="E341" s="15" t="n">
        <f aca="false">SUMPRODUCT('Final Model'!$B$45:$I$45,'Analysis Data'!N341:U341)</f>
        <v>257.975536373933</v>
      </c>
      <c r="F341" s="15" t="n">
        <f aca="false">D341-E341</f>
        <v>-1.36064604579127</v>
      </c>
      <c r="G341" s="13" t="n">
        <f aca="false">F341/'Final Model'!$B$21</f>
        <v>-0.0277501524084879</v>
      </c>
      <c r="H341" s="6" t="n">
        <f aca="false">F341^2</f>
        <v>1.85135766192742</v>
      </c>
      <c r="J341" s="6" t="n">
        <f aca="false">A341</f>
        <v>340</v>
      </c>
      <c r="K341" s="13" t="n">
        <f aca="false">SMALL($G$2:$G$1387,J341)</f>
        <v>-0.702201229221667</v>
      </c>
      <c r="L341" s="18" t="n">
        <f aca="false">(J341-0.5)/1386</f>
        <v>0.244949494949495</v>
      </c>
      <c r="M341" s="18" t="n">
        <f aca="false">_xlfn.NORM.DIST(K341,AVERAGE($G$2:$G$1387),_xlfn.STDEV.S($G$2:$G$1387),TRUE())</f>
        <v>0.240721835982996</v>
      </c>
    </row>
    <row r="342" customFormat="false" ht="15" hidden="false" customHeight="false" outlineLevel="0" collapsed="false">
      <c r="A342" s="0" t="n">
        <f aca="false">ROW()-1</f>
        <v>341</v>
      </c>
      <c r="B342" s="0" t="str">
        <f aca="false">'Analysis Data'!A342</f>
        <v>Gold Coast</v>
      </c>
      <c r="C342" s="5" t="n">
        <f aca="false">'Analysis Data'!B342</f>
        <v>40372</v>
      </c>
      <c r="D342" s="6" t="n">
        <f aca="false">'Analysis Data'!C342</f>
        <v>244.193871472733</v>
      </c>
      <c r="E342" s="15" t="n">
        <f aca="false">SUMPRODUCT('Final Model'!$B$45:$I$45,'Analysis Data'!N342:U342)</f>
        <v>258.883265841078</v>
      </c>
      <c r="F342" s="15" t="n">
        <f aca="false">D342-E342</f>
        <v>-14.689394368345</v>
      </c>
      <c r="G342" s="13" t="n">
        <f aca="false">F342/'Final Model'!$B$21</f>
        <v>-0.299587783149661</v>
      </c>
      <c r="H342" s="6" t="n">
        <f aca="false">F342^2</f>
        <v>215.778306908767</v>
      </c>
      <c r="J342" s="6" t="n">
        <f aca="false">A342</f>
        <v>341</v>
      </c>
      <c r="K342" s="13" t="n">
        <f aca="false">SMALL($G$2:$G$1387,J342)</f>
        <v>-0.699933144166894</v>
      </c>
      <c r="L342" s="18" t="n">
        <f aca="false">(J342-0.5)/1386</f>
        <v>0.245670995670996</v>
      </c>
      <c r="M342" s="18" t="n">
        <f aca="false">_xlfn.NORM.DIST(K342,AVERAGE($G$2:$G$1387),_xlfn.STDEV.S($G$2:$G$1387),TRUE())</f>
        <v>0.241430435175185</v>
      </c>
    </row>
    <row r="343" customFormat="false" ht="15" hidden="false" customHeight="false" outlineLevel="0" collapsed="false">
      <c r="A343" s="0" t="n">
        <f aca="false">ROW()-1</f>
        <v>342</v>
      </c>
      <c r="B343" s="0" t="str">
        <f aca="false">'Analysis Data'!A343</f>
        <v>Lake Calhoun (aka Minneapolis)</v>
      </c>
      <c r="C343" s="5" t="n">
        <f aca="false">'Analysis Data'!B343</f>
        <v>40302</v>
      </c>
      <c r="D343" s="6" t="n">
        <f aca="false">'Analysis Data'!C343</f>
        <v>173.61154686237</v>
      </c>
      <c r="E343" s="15" t="n">
        <f aca="false">SUMPRODUCT('Final Model'!$B$45:$I$45,'Analysis Data'!N343:U343)</f>
        <v>235.633355487838</v>
      </c>
      <c r="F343" s="15" t="n">
        <f aca="false">D343-E343</f>
        <v>-62.0218086254678</v>
      </c>
      <c r="G343" s="13" t="n">
        <f aca="false">F343/'Final Model'!$B$21</f>
        <v>-1.26492459029336</v>
      </c>
      <c r="H343" s="6" t="n">
        <f aca="false">F343^2</f>
        <v>3846.70474517415</v>
      </c>
      <c r="J343" s="6" t="n">
        <f aca="false">A343</f>
        <v>342</v>
      </c>
      <c r="K343" s="13" t="n">
        <f aca="false">SMALL($G$2:$G$1387,J343)</f>
        <v>-0.699562622220765</v>
      </c>
      <c r="L343" s="18" t="n">
        <f aca="false">(J343-0.5)/1386</f>
        <v>0.246392496392496</v>
      </c>
      <c r="M343" s="18" t="n">
        <f aca="false">_xlfn.NORM.DIST(K343,AVERAGE($G$2:$G$1387),_xlfn.STDEV.S($G$2:$G$1387),TRUE())</f>
        <v>0.241546301877593</v>
      </c>
    </row>
    <row r="344" customFormat="false" ht="15" hidden="false" customHeight="false" outlineLevel="0" collapsed="false">
      <c r="A344" s="0" t="n">
        <f aca="false">ROW()-1</f>
        <v>343</v>
      </c>
      <c r="B344" s="0" t="str">
        <f aca="false">'Analysis Data'!A344</f>
        <v>Lake Calhoun (aka Minneapolis)</v>
      </c>
      <c r="C344" s="5" t="n">
        <f aca="false">'Analysis Data'!B344</f>
        <v>40309</v>
      </c>
      <c r="D344" s="6" t="n">
        <f aca="false">'Analysis Data'!C344</f>
        <v>279.768936595041</v>
      </c>
      <c r="E344" s="15" t="n">
        <f aca="false">SUMPRODUCT('Final Model'!$B$45:$I$45,'Analysis Data'!N344:U344)</f>
        <v>247.254967281212</v>
      </c>
      <c r="F344" s="15" t="n">
        <f aca="false">D344-E344</f>
        <v>32.5139693138294</v>
      </c>
      <c r="G344" s="13" t="n">
        <f aca="false">F344/'Final Model'!$B$21</f>
        <v>0.663117058734374</v>
      </c>
      <c r="H344" s="6" t="n">
        <f aca="false">F344^2</f>
        <v>1057.15820054064</v>
      </c>
      <c r="J344" s="6" t="n">
        <f aca="false">A344</f>
        <v>343</v>
      </c>
      <c r="K344" s="13" t="n">
        <f aca="false">SMALL($G$2:$G$1387,J344)</f>
        <v>-0.692537697921023</v>
      </c>
      <c r="L344" s="18" t="n">
        <f aca="false">(J344-0.5)/1386</f>
        <v>0.247113997113997</v>
      </c>
      <c r="M344" s="18" t="n">
        <f aca="false">_xlfn.NORM.DIST(K344,AVERAGE($G$2:$G$1387),_xlfn.STDEV.S($G$2:$G$1387),TRUE())</f>
        <v>0.243748783786391</v>
      </c>
    </row>
    <row r="345" customFormat="false" ht="15" hidden="false" customHeight="false" outlineLevel="0" collapsed="false">
      <c r="A345" s="0" t="n">
        <f aca="false">ROW()-1</f>
        <v>344</v>
      </c>
      <c r="B345" s="0" t="str">
        <f aca="false">'Analysis Data'!A345</f>
        <v>Lake Calhoun (aka Minneapolis)</v>
      </c>
      <c r="C345" s="5" t="n">
        <f aca="false">'Analysis Data'!B345</f>
        <v>40316</v>
      </c>
      <c r="D345" s="6" t="n">
        <f aca="false">'Analysis Data'!C345</f>
        <v>237.154648730573</v>
      </c>
      <c r="E345" s="15" t="n">
        <f aca="false">SUMPRODUCT('Final Model'!$B$45:$I$45,'Analysis Data'!N345:U345)</f>
        <v>253.727763711638</v>
      </c>
      <c r="F345" s="15" t="n">
        <f aca="false">D345-E345</f>
        <v>-16.5731149810658</v>
      </c>
      <c r="G345" s="13" t="n">
        <f aca="false">F345/'Final Model'!$B$21</f>
        <v>-0.338005955355212</v>
      </c>
      <c r="H345" s="6" t="n">
        <f aca="false">F345^2</f>
        <v>274.668140175628</v>
      </c>
      <c r="J345" s="6" t="n">
        <f aca="false">A345</f>
        <v>344</v>
      </c>
      <c r="K345" s="13" t="n">
        <f aca="false">SMALL($G$2:$G$1387,J345)</f>
        <v>-0.691975330906767</v>
      </c>
      <c r="L345" s="18" t="n">
        <f aca="false">(J345-0.5)/1386</f>
        <v>0.247835497835498</v>
      </c>
      <c r="M345" s="18" t="n">
        <f aca="false">_xlfn.NORM.DIST(K345,AVERAGE($G$2:$G$1387),_xlfn.STDEV.S($G$2:$G$1387),TRUE())</f>
        <v>0.243925566772803</v>
      </c>
    </row>
    <row r="346" customFormat="false" ht="15" hidden="false" customHeight="false" outlineLevel="0" collapsed="false">
      <c r="A346" s="0" t="n">
        <f aca="false">ROW()-1</f>
        <v>345</v>
      </c>
      <c r="B346" s="0" t="str">
        <f aca="false">'Analysis Data'!A346</f>
        <v>Lake Calhoun (aka Minneapolis)</v>
      </c>
      <c r="C346" s="5" t="n">
        <f aca="false">'Analysis Data'!B346</f>
        <v>40323</v>
      </c>
      <c r="D346" s="6" t="n">
        <f aca="false">'Analysis Data'!C346</f>
        <v>253.023844455869</v>
      </c>
      <c r="E346" s="15" t="n">
        <f aca="false">SUMPRODUCT('Final Model'!$B$45:$I$45,'Analysis Data'!N346:U346)</f>
        <v>253.727763711638</v>
      </c>
      <c r="F346" s="15" t="n">
        <f aca="false">D346-E346</f>
        <v>-0.70391925576908</v>
      </c>
      <c r="G346" s="13" t="n">
        <f aca="false">F346/'Final Model'!$B$21</f>
        <v>-0.0143563174943867</v>
      </c>
      <c r="H346" s="6" t="n">
        <f aca="false">F346^2</f>
        <v>0.495502318642495</v>
      </c>
      <c r="J346" s="6" t="n">
        <f aca="false">A346</f>
        <v>345</v>
      </c>
      <c r="K346" s="13" t="n">
        <f aca="false">SMALL($G$2:$G$1387,J346)</f>
        <v>-0.691797918711197</v>
      </c>
      <c r="L346" s="18" t="n">
        <f aca="false">(J346-0.5)/1386</f>
        <v>0.248556998556999</v>
      </c>
      <c r="M346" s="18" t="n">
        <f aca="false">_xlfn.NORM.DIST(K346,AVERAGE($G$2:$G$1387),_xlfn.STDEV.S($G$2:$G$1387),TRUE())</f>
        <v>0.243981351567633</v>
      </c>
    </row>
    <row r="347" customFormat="false" ht="15" hidden="false" customHeight="false" outlineLevel="0" collapsed="false">
      <c r="A347" s="0" t="n">
        <f aca="false">ROW()-1</f>
        <v>346</v>
      </c>
      <c r="B347" s="0" t="str">
        <f aca="false">'Analysis Data'!A347</f>
        <v>Lake Calhoun (aka Minneapolis)</v>
      </c>
      <c r="C347" s="5" t="n">
        <f aca="false">'Analysis Data'!B347</f>
        <v>40330</v>
      </c>
      <c r="D347" s="6" t="n">
        <f aca="false">'Analysis Data'!C347</f>
        <v>208.0575834061</v>
      </c>
      <c r="E347" s="15" t="n">
        <f aca="false">SUMPRODUCT('Final Model'!$B$45:$I$45,'Analysis Data'!N347:U347)</f>
        <v>250.013261217766</v>
      </c>
      <c r="F347" s="15" t="n">
        <f aca="false">D347-E347</f>
        <v>-41.955677811666</v>
      </c>
      <c r="G347" s="13" t="n">
        <f aca="false">F347/'Final Model'!$B$21</f>
        <v>-0.855679151294687</v>
      </c>
      <c r="H347" s="6" t="n">
        <f aca="false">F347^2</f>
        <v>1760.27890063632</v>
      </c>
      <c r="J347" s="6" t="n">
        <f aca="false">A347</f>
        <v>346</v>
      </c>
      <c r="K347" s="13" t="n">
        <f aca="false">SMALL($G$2:$G$1387,J347)</f>
        <v>-0.689124256572954</v>
      </c>
      <c r="L347" s="18" t="n">
        <f aca="false">(J347-0.5)/1386</f>
        <v>0.249278499278499</v>
      </c>
      <c r="M347" s="18" t="n">
        <f aca="false">_xlfn.NORM.DIST(K347,AVERAGE($G$2:$G$1387),_xlfn.STDEV.S($G$2:$G$1387),TRUE())</f>
        <v>0.24482288022435</v>
      </c>
    </row>
    <row r="348" customFormat="false" ht="15" hidden="false" customHeight="false" outlineLevel="0" collapsed="false">
      <c r="A348" s="0" t="n">
        <f aca="false">ROW()-1</f>
        <v>347</v>
      </c>
      <c r="B348" s="0" t="str">
        <f aca="false">'Analysis Data'!A348</f>
        <v>Lake Calhoun (aka Minneapolis)</v>
      </c>
      <c r="C348" s="5" t="n">
        <f aca="false">'Analysis Data'!B348</f>
        <v>40337</v>
      </c>
      <c r="D348" s="6" t="n">
        <f aca="false">'Analysis Data'!C348</f>
        <v>275.395383391308</v>
      </c>
      <c r="E348" s="15" t="n">
        <f aca="false">SUMPRODUCT('Final Model'!$B$45:$I$45,'Analysis Data'!N348:U348)</f>
        <v>245.636768157055</v>
      </c>
      <c r="F348" s="15" t="n">
        <f aca="false">D348-E348</f>
        <v>29.7586152342525</v>
      </c>
      <c r="G348" s="13" t="n">
        <f aca="false">F348/'Final Model'!$B$21</f>
        <v>0.606922065272175</v>
      </c>
      <c r="H348" s="6" t="n">
        <f aca="false">F348^2</f>
        <v>885.575180660286</v>
      </c>
      <c r="J348" s="6" t="n">
        <f aca="false">A348</f>
        <v>347</v>
      </c>
      <c r="K348" s="13" t="n">
        <f aca="false">SMALL($G$2:$G$1387,J348)</f>
        <v>-0.685622955340709</v>
      </c>
      <c r="L348" s="18" t="n">
        <f aca="false">(J348-0.5)/1386</f>
        <v>0.25</v>
      </c>
      <c r="M348" s="18" t="n">
        <f aca="false">_xlfn.NORM.DIST(K348,AVERAGE($G$2:$G$1387),_xlfn.STDEV.S($G$2:$G$1387),TRUE())</f>
        <v>0.24592726460634</v>
      </c>
    </row>
    <row r="349" customFormat="false" ht="15" hidden="false" customHeight="false" outlineLevel="0" collapsed="false">
      <c r="A349" s="0" t="n">
        <f aca="false">ROW()-1</f>
        <v>348</v>
      </c>
      <c r="B349" s="0" t="str">
        <f aca="false">'Analysis Data'!A349</f>
        <v>Lake Calhoun (aka Minneapolis)</v>
      </c>
      <c r="C349" s="5" t="n">
        <f aca="false">'Analysis Data'!B349</f>
        <v>40344</v>
      </c>
      <c r="D349" s="6" t="n">
        <f aca="false">'Analysis Data'!C349</f>
        <v>272.445036415535</v>
      </c>
      <c r="E349" s="15" t="n">
        <f aca="false">SUMPRODUCT('Final Model'!$B$45:$I$45,'Analysis Data'!N349:U349)</f>
        <v>234.120234233185</v>
      </c>
      <c r="F349" s="15" t="n">
        <f aca="false">D349-E349</f>
        <v>38.32480218235</v>
      </c>
      <c r="G349" s="13" t="n">
        <f aca="false">F349/'Final Model'!$B$21</f>
        <v>0.781628039764656</v>
      </c>
      <c r="H349" s="6" t="n">
        <f aca="false">F349^2</f>
        <v>1468.79046231626</v>
      </c>
      <c r="J349" s="6" t="n">
        <f aca="false">A349</f>
        <v>348</v>
      </c>
      <c r="K349" s="13" t="n">
        <f aca="false">SMALL($G$2:$G$1387,J349)</f>
        <v>-0.682286520015623</v>
      </c>
      <c r="L349" s="18" t="n">
        <f aca="false">(J349-0.5)/1386</f>
        <v>0.250721500721501</v>
      </c>
      <c r="M349" s="18" t="n">
        <f aca="false">_xlfn.NORM.DIST(K349,AVERAGE($G$2:$G$1387),_xlfn.STDEV.S($G$2:$G$1387),TRUE())</f>
        <v>0.246982129266622</v>
      </c>
    </row>
    <row r="350" customFormat="false" ht="15" hidden="false" customHeight="false" outlineLevel="0" collapsed="false">
      <c r="A350" s="0" t="n">
        <f aca="false">ROW()-1</f>
        <v>349</v>
      </c>
      <c r="B350" s="0" t="str">
        <f aca="false">'Analysis Data'!A350</f>
        <v>Lake Calhoun (aka Minneapolis)</v>
      </c>
      <c r="C350" s="5" t="n">
        <f aca="false">'Analysis Data'!B350</f>
        <v>40351</v>
      </c>
      <c r="D350" s="6" t="n">
        <f aca="false">'Analysis Data'!C350</f>
        <v>257.056476171728</v>
      </c>
      <c r="E350" s="15" t="n">
        <f aca="false">SUMPRODUCT('Final Model'!$B$45:$I$45,'Analysis Data'!N350:U350)</f>
        <v>245.636768157055</v>
      </c>
      <c r="F350" s="15" t="n">
        <f aca="false">D350-E350</f>
        <v>11.4197080146734</v>
      </c>
      <c r="G350" s="13" t="n">
        <f aca="false">F350/'Final Model'!$B$21</f>
        <v>0.232903067515496</v>
      </c>
      <c r="H350" s="6" t="n">
        <f aca="false">F350^2</f>
        <v>130.409731140395</v>
      </c>
      <c r="J350" s="6" t="n">
        <f aca="false">A350</f>
        <v>349</v>
      </c>
      <c r="K350" s="13" t="n">
        <f aca="false">SMALL($G$2:$G$1387,J350)</f>
        <v>-0.680085706605079</v>
      </c>
      <c r="L350" s="18" t="n">
        <f aca="false">(J350-0.5)/1386</f>
        <v>0.251443001443001</v>
      </c>
      <c r="M350" s="18" t="n">
        <f aca="false">_xlfn.NORM.DIST(K350,AVERAGE($G$2:$G$1387),_xlfn.STDEV.S($G$2:$G$1387),TRUE())</f>
        <v>0.247679272805853</v>
      </c>
    </row>
    <row r="351" customFormat="false" ht="15" hidden="false" customHeight="false" outlineLevel="0" collapsed="false">
      <c r="A351" s="0" t="n">
        <f aca="false">ROW()-1</f>
        <v>350</v>
      </c>
      <c r="B351" s="0" t="str">
        <f aca="false">'Analysis Data'!A351</f>
        <v>Lake Calhoun (aka Minneapolis)</v>
      </c>
      <c r="C351" s="5" t="n">
        <f aca="false">'Analysis Data'!B351</f>
        <v>40358</v>
      </c>
      <c r="D351" s="6" t="n">
        <f aca="false">'Analysis Data'!C351</f>
        <v>347.234632694625</v>
      </c>
      <c r="E351" s="15" t="n">
        <f aca="false">SUMPRODUCT('Final Model'!$B$45:$I$45,'Analysis Data'!N351:U351)</f>
        <v>347.019985709049</v>
      </c>
      <c r="F351" s="15" t="n">
        <f aca="false">D351-E351</f>
        <v>0.214646985575769</v>
      </c>
      <c r="G351" s="13" t="n">
        <f aca="false">F351/'Final Model'!$B$21</f>
        <v>0.00437768998203066</v>
      </c>
      <c r="H351" s="6" t="n">
        <f aca="false">F351^2</f>
        <v>0.0460733284167642</v>
      </c>
      <c r="J351" s="6" t="n">
        <f aca="false">A351</f>
        <v>350</v>
      </c>
      <c r="K351" s="13" t="n">
        <f aca="false">SMALL($G$2:$G$1387,J351)</f>
        <v>-0.679879802961031</v>
      </c>
      <c r="L351" s="18" t="n">
        <f aca="false">(J351-0.5)/1386</f>
        <v>0.252164502164502</v>
      </c>
      <c r="M351" s="18" t="n">
        <f aca="false">_xlfn.NORM.DIST(K351,AVERAGE($G$2:$G$1387),_xlfn.STDEV.S($G$2:$G$1387),TRUE())</f>
        <v>0.247744549860562</v>
      </c>
    </row>
    <row r="352" customFormat="false" ht="15" hidden="false" customHeight="false" outlineLevel="0" collapsed="false">
      <c r="A352" s="0" t="n">
        <f aca="false">ROW()-1</f>
        <v>351</v>
      </c>
      <c r="B352" s="0" t="str">
        <f aca="false">'Analysis Data'!A352</f>
        <v>Lake Calhoun (aka Minneapolis)</v>
      </c>
      <c r="C352" s="5" t="n">
        <f aca="false">'Analysis Data'!B352</f>
        <v>40365</v>
      </c>
      <c r="D352" s="6" t="n">
        <f aca="false">'Analysis Data'!C352</f>
        <v>288.624908843513</v>
      </c>
      <c r="E352" s="15" t="n">
        <f aca="false">SUMPRODUCT('Final Model'!$B$45:$I$45,'Analysis Data'!N352:U352)</f>
        <v>328.171451754224</v>
      </c>
      <c r="F352" s="15" t="n">
        <f aca="false">D352-E352</f>
        <v>-39.5465429107111</v>
      </c>
      <c r="G352" s="13" t="n">
        <f aca="false">F352/'Final Model'!$B$21</f>
        <v>-0.806545241060722</v>
      </c>
      <c r="H352" s="6" t="n">
        <f aca="false">F352^2</f>
        <v>1563.92905618871</v>
      </c>
      <c r="J352" s="6" t="n">
        <f aca="false">A352</f>
        <v>351</v>
      </c>
      <c r="K352" s="13" t="n">
        <f aca="false">SMALL($G$2:$G$1387,J352)</f>
        <v>-0.678499966718502</v>
      </c>
      <c r="L352" s="18" t="n">
        <f aca="false">(J352-0.5)/1386</f>
        <v>0.252886002886003</v>
      </c>
      <c r="M352" s="18" t="n">
        <f aca="false">_xlfn.NORM.DIST(K352,AVERAGE($G$2:$G$1387),_xlfn.STDEV.S($G$2:$G$1387),TRUE())</f>
        <v>0.248182232423276</v>
      </c>
    </row>
    <row r="353" customFormat="false" ht="15" hidden="false" customHeight="false" outlineLevel="0" collapsed="false">
      <c r="A353" s="0" t="n">
        <f aca="false">ROW()-1</f>
        <v>352</v>
      </c>
      <c r="B353" s="0" t="str">
        <f aca="false">'Analysis Data'!A353</f>
        <v>Lake Calhoun (aka Minneapolis)</v>
      </c>
      <c r="C353" s="5" t="n">
        <f aca="false">'Analysis Data'!B353</f>
        <v>40372</v>
      </c>
      <c r="D353" s="6" t="n">
        <f aca="false">'Analysis Data'!C353</f>
        <v>330.859008054363</v>
      </c>
      <c r="E353" s="15" t="n">
        <f aca="false">SUMPRODUCT('Final Model'!$B$45:$I$45,'Analysis Data'!N353:U353)</f>
        <v>329.288429437539</v>
      </c>
      <c r="F353" s="15" t="n">
        <f aca="false">D353-E353</f>
        <v>1.57057861682432</v>
      </c>
      <c r="G353" s="13" t="n">
        <f aca="false">F353/'Final Model'!$B$21</f>
        <v>0.0320316926809876</v>
      </c>
      <c r="H353" s="6" t="n">
        <f aca="false">F353^2</f>
        <v>2.4667171916258</v>
      </c>
      <c r="J353" s="6" t="n">
        <f aca="false">A353</f>
        <v>352</v>
      </c>
      <c r="K353" s="13" t="n">
        <f aca="false">SMALL($G$2:$G$1387,J353)</f>
        <v>-0.677118138115684</v>
      </c>
      <c r="L353" s="18" t="n">
        <f aca="false">(J353-0.5)/1386</f>
        <v>0.253607503607504</v>
      </c>
      <c r="M353" s="18" t="n">
        <f aca="false">_xlfn.NORM.DIST(K353,AVERAGE($G$2:$G$1387),_xlfn.STDEV.S($G$2:$G$1387),TRUE())</f>
        <v>0.248620959895128</v>
      </c>
    </row>
    <row r="354" customFormat="false" ht="15" hidden="false" customHeight="false" outlineLevel="0" collapsed="false">
      <c r="A354" s="0" t="n">
        <f aca="false">ROW()-1</f>
        <v>353</v>
      </c>
      <c r="B354" s="0" t="str">
        <f aca="false">'Analysis Data'!A354</f>
        <v>Lakeview</v>
      </c>
      <c r="C354" s="5" t="n">
        <f aca="false">'Analysis Data'!B354</f>
        <v>40302</v>
      </c>
      <c r="D354" s="6" t="n">
        <f aca="false">'Analysis Data'!C354</f>
        <v>66.3866532139855</v>
      </c>
      <c r="E354" s="15" t="n">
        <f aca="false">SUMPRODUCT('Final Model'!$B$45:$I$45,'Analysis Data'!N354:U354)</f>
        <v>234.260338066545</v>
      </c>
      <c r="F354" s="15" t="n">
        <f aca="false">D354-E354</f>
        <v>-167.87368485256</v>
      </c>
      <c r="G354" s="13" t="n">
        <f aca="false">F354/'Final Model'!$B$21</f>
        <v>-3.42375620349073</v>
      </c>
      <c r="H354" s="6" t="n">
        <f aca="false">F354^2</f>
        <v>28181.5740659766</v>
      </c>
      <c r="J354" s="6" t="n">
        <f aca="false">A354</f>
        <v>353</v>
      </c>
      <c r="K354" s="13" t="n">
        <f aca="false">SMALL($G$2:$G$1387,J354)</f>
        <v>-0.677064555402364</v>
      </c>
      <c r="L354" s="18" t="n">
        <f aca="false">(J354-0.5)/1386</f>
        <v>0.254329004329004</v>
      </c>
      <c r="M354" s="18" t="n">
        <f aca="false">_xlfn.NORM.DIST(K354,AVERAGE($G$2:$G$1387),_xlfn.STDEV.S($G$2:$G$1387),TRUE())</f>
        <v>0.248637980602402</v>
      </c>
    </row>
    <row r="355" customFormat="false" ht="15" hidden="false" customHeight="false" outlineLevel="0" collapsed="false">
      <c r="A355" s="0" t="n">
        <f aca="false">ROW()-1</f>
        <v>354</v>
      </c>
      <c r="B355" s="0" t="str">
        <f aca="false">'Analysis Data'!A355</f>
        <v>Lakeview</v>
      </c>
      <c r="C355" s="5" t="n">
        <f aca="false">'Analysis Data'!B355</f>
        <v>40309</v>
      </c>
      <c r="D355" s="6" t="n">
        <f aca="false">'Analysis Data'!C355</f>
        <v>267.690172845707</v>
      </c>
      <c r="E355" s="15" t="n">
        <f aca="false">SUMPRODUCT('Final Model'!$B$45:$I$45,'Analysis Data'!N355:U355)</f>
        <v>234.260338066545</v>
      </c>
      <c r="F355" s="15" t="n">
        <f aca="false">D355-E355</f>
        <v>33.4298347791622</v>
      </c>
      <c r="G355" s="13" t="n">
        <f aca="false">F355/'Final Model'!$B$21</f>
        <v>0.681795984328043</v>
      </c>
      <c r="H355" s="6" t="n">
        <f aca="false">F355^2</f>
        <v>1117.55385336208</v>
      </c>
      <c r="J355" s="6" t="n">
        <f aca="false">A355</f>
        <v>354</v>
      </c>
      <c r="K355" s="13" t="n">
        <f aca="false">SMALL($G$2:$G$1387,J355)</f>
        <v>-0.675039088948018</v>
      </c>
      <c r="L355" s="18" t="n">
        <f aca="false">(J355-0.5)/1386</f>
        <v>0.255050505050505</v>
      </c>
      <c r="M355" s="18" t="n">
        <f aca="false">_xlfn.NORM.DIST(K355,AVERAGE($G$2:$G$1387),_xlfn.STDEV.S($G$2:$G$1387),TRUE())</f>
        <v>0.24928183091674</v>
      </c>
    </row>
    <row r="356" customFormat="false" ht="15" hidden="false" customHeight="false" outlineLevel="0" collapsed="false">
      <c r="A356" s="0" t="n">
        <f aca="false">ROW()-1</f>
        <v>355</v>
      </c>
      <c r="B356" s="0" t="str">
        <f aca="false">'Analysis Data'!A356</f>
        <v>Lakeview</v>
      </c>
      <c r="C356" s="5" t="n">
        <f aca="false">'Analysis Data'!B356</f>
        <v>40316</v>
      </c>
      <c r="D356" s="6" t="n">
        <f aca="false">'Analysis Data'!C356</f>
        <v>191.368189952818</v>
      </c>
      <c r="E356" s="15" t="n">
        <f aca="false">SUMPRODUCT('Final Model'!$B$45:$I$45,'Analysis Data'!N356:U356)</f>
        <v>247.76984880868</v>
      </c>
      <c r="F356" s="15" t="n">
        <f aca="false">D356-E356</f>
        <v>-56.4016588558618</v>
      </c>
      <c r="G356" s="13" t="n">
        <f aca="false">F356/'Final Model'!$B$21</f>
        <v>-1.15030255971641</v>
      </c>
      <c r="H356" s="6" t="n">
        <f aca="false">F356^2</f>
        <v>3181.14712169302</v>
      </c>
      <c r="J356" s="6" t="n">
        <f aca="false">A356</f>
        <v>355</v>
      </c>
      <c r="K356" s="13" t="n">
        <f aca="false">SMALL($G$2:$G$1387,J356)</f>
        <v>-0.673770046000747</v>
      </c>
      <c r="L356" s="18" t="n">
        <f aca="false">(J356-0.5)/1386</f>
        <v>0.255772005772006</v>
      </c>
      <c r="M356" s="18" t="n">
        <f aca="false">_xlfn.NORM.DIST(K356,AVERAGE($G$2:$G$1387),_xlfn.STDEV.S($G$2:$G$1387),TRUE())</f>
        <v>0.249685682425116</v>
      </c>
    </row>
    <row r="357" customFormat="false" ht="15" hidden="false" customHeight="false" outlineLevel="0" collapsed="false">
      <c r="A357" s="0" t="n">
        <f aca="false">ROW()-1</f>
        <v>356</v>
      </c>
      <c r="B357" s="0" t="str">
        <f aca="false">'Analysis Data'!A357</f>
        <v>Lakeview</v>
      </c>
      <c r="C357" s="5" t="n">
        <f aca="false">'Analysis Data'!B357</f>
        <v>40323</v>
      </c>
      <c r="D357" s="6" t="n">
        <f aca="false">'Analysis Data'!C357</f>
        <v>285.858851568465</v>
      </c>
      <c r="E357" s="15" t="n">
        <f aca="false">SUMPRODUCT('Final Model'!$B$45:$I$45,'Analysis Data'!N357:U357)</f>
        <v>248.726057365997</v>
      </c>
      <c r="F357" s="15" t="n">
        <f aca="false">D357-E357</f>
        <v>37.1327942024686</v>
      </c>
      <c r="G357" s="13" t="n">
        <f aca="false">F357/'Final Model'!$B$21</f>
        <v>0.757317232985657</v>
      </c>
      <c r="H357" s="6" t="n">
        <f aca="false">F357^2</f>
        <v>1378.84440528289</v>
      </c>
      <c r="J357" s="6" t="n">
        <f aca="false">A357</f>
        <v>356</v>
      </c>
      <c r="K357" s="13" t="n">
        <f aca="false">SMALL($G$2:$G$1387,J357)</f>
        <v>-0.673328151686716</v>
      </c>
      <c r="L357" s="18" t="n">
        <f aca="false">(J357-0.5)/1386</f>
        <v>0.256493506493507</v>
      </c>
      <c r="M357" s="18" t="n">
        <f aca="false">_xlfn.NORM.DIST(K357,AVERAGE($G$2:$G$1387),_xlfn.STDEV.S($G$2:$G$1387),TRUE())</f>
        <v>0.249826389355358</v>
      </c>
    </row>
    <row r="358" customFormat="false" ht="15" hidden="false" customHeight="false" outlineLevel="0" collapsed="false">
      <c r="A358" s="0" t="n">
        <f aca="false">ROW()-1</f>
        <v>357</v>
      </c>
      <c r="B358" s="0" t="str">
        <f aca="false">'Analysis Data'!A358</f>
        <v>Lakeview</v>
      </c>
      <c r="C358" s="5" t="n">
        <f aca="false">'Analysis Data'!B358</f>
        <v>40330</v>
      </c>
      <c r="D358" s="6" t="n">
        <f aca="false">'Analysis Data'!C358</f>
        <v>275.693843987559</v>
      </c>
      <c r="E358" s="15" t="n">
        <f aca="false">SUMPRODUCT('Final Model'!$B$45:$I$45,'Analysis Data'!N358:U358)</f>
        <v>255.011624158095</v>
      </c>
      <c r="F358" s="15" t="n">
        <f aca="false">D358-E358</f>
        <v>20.6822198294637</v>
      </c>
      <c r="G358" s="13" t="n">
        <f aca="false">F358/'Final Model'!$B$21</f>
        <v>0.4218104731857</v>
      </c>
      <c r="H358" s="6" t="n">
        <f aca="false">F358^2</f>
        <v>427.75421707426</v>
      </c>
      <c r="J358" s="6" t="n">
        <f aca="false">A358</f>
        <v>357</v>
      </c>
      <c r="K358" s="13" t="n">
        <f aca="false">SMALL($G$2:$G$1387,J358)</f>
        <v>-0.670799052011833</v>
      </c>
      <c r="L358" s="18" t="n">
        <f aca="false">(J358-0.5)/1386</f>
        <v>0.257215007215007</v>
      </c>
      <c r="M358" s="18" t="n">
        <f aca="false">_xlfn.NORM.DIST(K358,AVERAGE($G$2:$G$1387),_xlfn.STDEV.S($G$2:$G$1387),TRUE())</f>
        <v>0.250632508472083</v>
      </c>
    </row>
    <row r="359" customFormat="false" ht="15" hidden="false" customHeight="false" outlineLevel="0" collapsed="false">
      <c r="A359" s="0" t="n">
        <f aca="false">ROW()-1</f>
        <v>358</v>
      </c>
      <c r="B359" s="0" t="str">
        <f aca="false">'Analysis Data'!A359</f>
        <v>Lakeview</v>
      </c>
      <c r="C359" s="5" t="n">
        <f aca="false">'Analysis Data'!B359</f>
        <v>40337</v>
      </c>
      <c r="D359" s="6" t="n">
        <f aca="false">'Analysis Data'!C359</f>
        <v>226.226083396351</v>
      </c>
      <c r="E359" s="15" t="n">
        <f aca="false">SUMPRODUCT('Final Model'!$B$45:$I$45,'Analysis Data'!N359:U359)</f>
        <v>246.099110760805</v>
      </c>
      <c r="F359" s="15" t="n">
        <f aca="false">D359-E359</f>
        <v>-19.8730273644539</v>
      </c>
      <c r="G359" s="13" t="n">
        <f aca="false">F359/'Final Model'!$B$21</f>
        <v>-0.405307125896169</v>
      </c>
      <c r="H359" s="6" t="n">
        <f aca="false">F359^2</f>
        <v>394.937216628335</v>
      </c>
      <c r="J359" s="6" t="n">
        <f aca="false">A359</f>
        <v>358</v>
      </c>
      <c r="K359" s="13" t="n">
        <f aca="false">SMALL($G$2:$G$1387,J359)</f>
        <v>-0.669158214239218</v>
      </c>
      <c r="L359" s="18" t="n">
        <f aca="false">(J359-0.5)/1386</f>
        <v>0.257936507936508</v>
      </c>
      <c r="M359" s="18" t="n">
        <f aca="false">_xlfn.NORM.DIST(K359,AVERAGE($G$2:$G$1387),_xlfn.STDEV.S($G$2:$G$1387),TRUE())</f>
        <v>0.251156241118404</v>
      </c>
    </row>
    <row r="360" customFormat="false" ht="15" hidden="false" customHeight="false" outlineLevel="0" collapsed="false">
      <c r="A360" s="0" t="n">
        <f aca="false">ROW()-1</f>
        <v>359</v>
      </c>
      <c r="B360" s="0" t="str">
        <f aca="false">'Analysis Data'!A360</f>
        <v>Lakeview</v>
      </c>
      <c r="C360" s="5" t="n">
        <f aca="false">'Analysis Data'!B360</f>
        <v>40344</v>
      </c>
      <c r="D360" s="6" t="n">
        <f aca="false">'Analysis Data'!C360</f>
        <v>413.477961227246</v>
      </c>
      <c r="E360" s="15" t="n">
        <f aca="false">SUMPRODUCT('Final Model'!$B$45:$I$45,'Analysis Data'!N360:U360)</f>
        <v>359.495961352057</v>
      </c>
      <c r="F360" s="15" t="n">
        <f aca="false">D360-E360</f>
        <v>53.9819998751888</v>
      </c>
      <c r="G360" s="13" t="n">
        <f aca="false">F360/'Final Model'!$B$21</f>
        <v>1.10095401260679</v>
      </c>
      <c r="H360" s="6" t="n">
        <f aca="false">F360^2</f>
        <v>2914.05631052489</v>
      </c>
      <c r="J360" s="6" t="n">
        <f aca="false">A360</f>
        <v>359</v>
      </c>
      <c r="K360" s="13" t="n">
        <f aca="false">SMALL($G$2:$G$1387,J360)</f>
        <v>-0.658158233174487</v>
      </c>
      <c r="L360" s="18" t="n">
        <f aca="false">(J360-0.5)/1386</f>
        <v>0.258658008658009</v>
      </c>
      <c r="M360" s="18" t="n">
        <f aca="false">_xlfn.NORM.DIST(K360,AVERAGE($G$2:$G$1387),_xlfn.STDEV.S($G$2:$G$1387),TRUE())</f>
        <v>0.254682176909785</v>
      </c>
    </row>
    <row r="361" customFormat="false" ht="15" hidden="false" customHeight="false" outlineLevel="0" collapsed="false">
      <c r="A361" s="0" t="n">
        <f aca="false">ROW()-1</f>
        <v>360</v>
      </c>
      <c r="B361" s="0" t="str">
        <f aca="false">'Analysis Data'!A361</f>
        <v>Lakeview</v>
      </c>
      <c r="C361" s="5" t="n">
        <f aca="false">'Analysis Data'!B361</f>
        <v>40351</v>
      </c>
      <c r="D361" s="6" t="n">
        <f aca="false">'Analysis Data'!C361</f>
        <v>326.331475940334</v>
      </c>
      <c r="E361" s="15" t="n">
        <f aca="false">SUMPRODUCT('Final Model'!$B$45:$I$45,'Analysis Data'!N361:U361)</f>
        <v>319.468903023403</v>
      </c>
      <c r="F361" s="15" t="n">
        <f aca="false">D361-E361</f>
        <v>6.86257291693119</v>
      </c>
      <c r="G361" s="13" t="n">
        <f aca="false">F361/'Final Model'!$B$21</f>
        <v>0.139961046407521</v>
      </c>
      <c r="H361" s="6" t="n">
        <f aca="false">F361^2</f>
        <v>47.0949070401974</v>
      </c>
      <c r="J361" s="6" t="n">
        <f aca="false">A361</f>
        <v>360</v>
      </c>
      <c r="K361" s="13" t="n">
        <f aca="false">SMALL($G$2:$G$1387,J361)</f>
        <v>-0.65542477144011</v>
      </c>
      <c r="L361" s="18" t="n">
        <f aca="false">(J361-0.5)/1386</f>
        <v>0.259379509379509</v>
      </c>
      <c r="M361" s="18" t="n">
        <f aca="false">_xlfn.NORM.DIST(K361,AVERAGE($G$2:$G$1387),_xlfn.STDEV.S($G$2:$G$1387),TRUE())</f>
        <v>0.255562365066149</v>
      </c>
    </row>
    <row r="362" customFormat="false" ht="15" hidden="false" customHeight="false" outlineLevel="0" collapsed="false">
      <c r="A362" s="0" t="n">
        <f aca="false">ROW()-1</f>
        <v>361</v>
      </c>
      <c r="B362" s="0" t="str">
        <f aca="false">'Analysis Data'!A362</f>
        <v>Lakeview</v>
      </c>
      <c r="C362" s="5" t="n">
        <f aca="false">'Analysis Data'!B362</f>
        <v>40358</v>
      </c>
      <c r="D362" s="6" t="n">
        <f aca="false">'Analysis Data'!C362</f>
        <v>460.869031845911</v>
      </c>
      <c r="E362" s="15" t="n">
        <f aca="false">SUMPRODUCT('Final Model'!$B$45:$I$45,'Analysis Data'!N362:U362)</f>
        <v>417.395058834226</v>
      </c>
      <c r="F362" s="15" t="n">
        <f aca="false">D362-E362</f>
        <v>43.4739730116845</v>
      </c>
      <c r="G362" s="13" t="n">
        <f aca="false">F362/'Final Model'!$B$21</f>
        <v>0.886644532285512</v>
      </c>
      <c r="H362" s="6" t="n">
        <f aca="false">F362^2</f>
        <v>1889.98632942067</v>
      </c>
      <c r="J362" s="6" t="n">
        <f aca="false">A362</f>
        <v>361</v>
      </c>
      <c r="K362" s="13" t="n">
        <f aca="false">SMALL($G$2:$G$1387,J362)</f>
        <v>-0.654553126563525</v>
      </c>
      <c r="L362" s="18" t="n">
        <f aca="false">(J362-0.5)/1386</f>
        <v>0.26010101010101</v>
      </c>
      <c r="M362" s="18" t="n">
        <f aca="false">_xlfn.NORM.DIST(K362,AVERAGE($G$2:$G$1387),_xlfn.STDEV.S($G$2:$G$1387),TRUE())</f>
        <v>0.255843372777231</v>
      </c>
    </row>
    <row r="363" customFormat="false" ht="15" hidden="false" customHeight="false" outlineLevel="0" collapsed="false">
      <c r="A363" s="0" t="n">
        <f aca="false">ROW()-1</f>
        <v>362</v>
      </c>
      <c r="B363" s="0" t="str">
        <f aca="false">'Analysis Data'!A363</f>
        <v>Lakeview</v>
      </c>
      <c r="C363" s="5" t="n">
        <f aca="false">'Analysis Data'!B363</f>
        <v>40365</v>
      </c>
      <c r="D363" s="6" t="n">
        <f aca="false">'Analysis Data'!C363</f>
        <v>352.877913799873</v>
      </c>
      <c r="E363" s="15" t="n">
        <f aca="false">SUMPRODUCT('Final Model'!$B$45:$I$45,'Analysis Data'!N363:U363)</f>
        <v>328.171451754224</v>
      </c>
      <c r="F363" s="15" t="n">
        <f aca="false">D363-E363</f>
        <v>24.7064620456485</v>
      </c>
      <c r="G363" s="13" t="n">
        <f aca="false">F363/'Final Model'!$B$21</f>
        <v>0.503884231583945</v>
      </c>
      <c r="H363" s="6" t="n">
        <f aca="false">F363^2</f>
        <v>610.40926681307</v>
      </c>
      <c r="J363" s="6" t="n">
        <f aca="false">A363</f>
        <v>362</v>
      </c>
      <c r="K363" s="13" t="n">
        <f aca="false">SMALL($G$2:$G$1387,J363)</f>
        <v>-0.651426928050957</v>
      </c>
      <c r="L363" s="18" t="n">
        <f aca="false">(J363-0.5)/1386</f>
        <v>0.260822510822511</v>
      </c>
      <c r="M363" s="18" t="n">
        <f aca="false">_xlfn.NORM.DIST(K363,AVERAGE($G$2:$G$1387),_xlfn.STDEV.S($G$2:$G$1387),TRUE())</f>
        <v>0.256852546049741</v>
      </c>
    </row>
    <row r="364" customFormat="false" ht="15" hidden="false" customHeight="false" outlineLevel="0" collapsed="false">
      <c r="A364" s="0" t="n">
        <f aca="false">ROW()-1</f>
        <v>363</v>
      </c>
      <c r="B364" s="0" t="str">
        <f aca="false">'Analysis Data'!A364</f>
        <v>Lakeview</v>
      </c>
      <c r="C364" s="5" t="n">
        <f aca="false">'Analysis Data'!B364</f>
        <v>40372</v>
      </c>
      <c r="D364" s="6" t="n">
        <f aca="false">'Analysis Data'!C364</f>
        <v>412.95908735449</v>
      </c>
      <c r="E364" s="15" t="n">
        <f aca="false">SUMPRODUCT('Final Model'!$B$45:$I$45,'Analysis Data'!N364:U364)</f>
        <v>407.20288491255</v>
      </c>
      <c r="F364" s="15" t="n">
        <f aca="false">D364-E364</f>
        <v>5.75620244194045</v>
      </c>
      <c r="G364" s="13" t="n">
        <f aca="false">F364/'Final Model'!$B$21</f>
        <v>0.117396802461631</v>
      </c>
      <c r="H364" s="6" t="n">
        <f aca="false">F364^2</f>
        <v>33.1338665526011</v>
      </c>
      <c r="J364" s="6" t="n">
        <f aca="false">A364</f>
        <v>363</v>
      </c>
      <c r="K364" s="13" t="n">
        <f aca="false">SMALL($G$2:$G$1387,J364)</f>
        <v>-0.650531630320956</v>
      </c>
      <c r="L364" s="18" t="n">
        <f aca="false">(J364-0.5)/1386</f>
        <v>0.261544011544012</v>
      </c>
      <c r="M364" s="18" t="n">
        <f aca="false">_xlfn.NORM.DIST(K364,AVERAGE($G$2:$G$1387),_xlfn.STDEV.S($G$2:$G$1387),TRUE())</f>
        <v>0.257141939705859</v>
      </c>
    </row>
    <row r="365" customFormat="false" ht="15" hidden="false" customHeight="false" outlineLevel="0" collapsed="false">
      <c r="A365" s="0" t="n">
        <f aca="false">ROW()-1</f>
        <v>364</v>
      </c>
      <c r="B365" s="0" t="str">
        <f aca="false">'Analysis Data'!A365</f>
        <v>Milwaukee</v>
      </c>
      <c r="C365" s="5" t="n">
        <f aca="false">'Analysis Data'!B365</f>
        <v>40302</v>
      </c>
      <c r="D365" s="6" t="n">
        <f aca="false">'Analysis Data'!C365</f>
        <v>248.86945673147</v>
      </c>
      <c r="E365" s="15" t="n">
        <f aca="false">SUMPRODUCT('Final Model'!$B$45:$I$45,'Analysis Data'!N365:U365)</f>
        <v>244.067605386711</v>
      </c>
      <c r="F365" s="15" t="n">
        <f aca="false">D365-E365</f>
        <v>4.80185134475838</v>
      </c>
      <c r="G365" s="13" t="n">
        <f aca="false">F365/'Final Model'!$B$21</f>
        <v>0.0979329687335812</v>
      </c>
      <c r="H365" s="6" t="n">
        <f aca="false">F365^2</f>
        <v>23.0577763371578</v>
      </c>
      <c r="J365" s="6" t="n">
        <f aca="false">A365</f>
        <v>364</v>
      </c>
      <c r="K365" s="13" t="n">
        <f aca="false">SMALL($G$2:$G$1387,J365)</f>
        <v>-0.64914854438566</v>
      </c>
      <c r="L365" s="18" t="n">
        <f aca="false">(J365-0.5)/1386</f>
        <v>0.262265512265512</v>
      </c>
      <c r="M365" s="18" t="n">
        <f aca="false">_xlfn.NORM.DIST(K365,AVERAGE($G$2:$G$1387),_xlfn.STDEV.S($G$2:$G$1387),TRUE())</f>
        <v>0.257589337767251</v>
      </c>
    </row>
    <row r="366" customFormat="false" ht="15" hidden="false" customHeight="false" outlineLevel="0" collapsed="false">
      <c r="A366" s="0" t="n">
        <f aca="false">ROW()-1</f>
        <v>365</v>
      </c>
      <c r="B366" s="0" t="str">
        <f aca="false">'Analysis Data'!A366</f>
        <v>Milwaukee</v>
      </c>
      <c r="C366" s="5" t="n">
        <f aca="false">'Analysis Data'!B366</f>
        <v>40309</v>
      </c>
      <c r="D366" s="6" t="n">
        <f aca="false">'Analysis Data'!C366</f>
        <v>332.244242254421</v>
      </c>
      <c r="E366" s="15" t="n">
        <f aca="false">SUMPRODUCT('Final Model'!$B$45:$I$45,'Analysis Data'!N366:U366)</f>
        <v>244.067605386711</v>
      </c>
      <c r="F366" s="15" t="n">
        <f aca="false">D366-E366</f>
        <v>88.1766368677096</v>
      </c>
      <c r="G366" s="13" t="n">
        <f aca="false">F366/'Final Model'!$B$21</f>
        <v>1.79834801233987</v>
      </c>
      <c r="H366" s="6" t="n">
        <f aca="false">F366^2</f>
        <v>7775.11928929992</v>
      </c>
      <c r="J366" s="6" t="n">
        <f aca="false">A366</f>
        <v>365</v>
      </c>
      <c r="K366" s="13" t="n">
        <f aca="false">SMALL($G$2:$G$1387,J366)</f>
        <v>-0.648578115958801</v>
      </c>
      <c r="L366" s="18" t="n">
        <f aca="false">(J366-0.5)/1386</f>
        <v>0.262987012987013</v>
      </c>
      <c r="M366" s="18" t="n">
        <f aca="false">_xlfn.NORM.DIST(K366,AVERAGE($G$2:$G$1387),_xlfn.STDEV.S($G$2:$G$1387),TRUE())</f>
        <v>0.257773976565203</v>
      </c>
    </row>
    <row r="367" customFormat="false" ht="15" hidden="false" customHeight="false" outlineLevel="0" collapsed="false">
      <c r="A367" s="0" t="n">
        <f aca="false">ROW()-1</f>
        <v>366</v>
      </c>
      <c r="B367" s="0" t="str">
        <f aca="false">'Analysis Data'!A367</f>
        <v>Milwaukee</v>
      </c>
      <c r="C367" s="5" t="n">
        <f aca="false">'Analysis Data'!B367</f>
        <v>40316</v>
      </c>
      <c r="D367" s="6" t="n">
        <f aca="false">'Analysis Data'!C367</f>
        <v>309.789900241964</v>
      </c>
      <c r="E367" s="15" t="n">
        <f aca="false">SUMPRODUCT('Final Model'!$B$45:$I$45,'Analysis Data'!N367:U367)</f>
        <v>252.955441409403</v>
      </c>
      <c r="F367" s="15" t="n">
        <f aca="false">D367-E367</f>
        <v>56.834458832561</v>
      </c>
      <c r="G367" s="13" t="n">
        <f aca="false">F367/'Final Model'!$B$21</f>
        <v>1.15912944408721</v>
      </c>
      <c r="H367" s="6" t="n">
        <f aca="false">F367^2</f>
        <v>3230.15571079007</v>
      </c>
      <c r="J367" s="6" t="n">
        <f aca="false">A367</f>
        <v>366</v>
      </c>
      <c r="K367" s="13" t="n">
        <f aca="false">SMALL($G$2:$G$1387,J367)</f>
        <v>-0.643464663245814</v>
      </c>
      <c r="L367" s="18" t="n">
        <f aca="false">(J367-0.5)/1386</f>
        <v>0.263708513708514</v>
      </c>
      <c r="M367" s="18" t="n">
        <f aca="false">_xlfn.NORM.DIST(K367,AVERAGE($G$2:$G$1387),_xlfn.STDEV.S($G$2:$G$1387),TRUE())</f>
        <v>0.259432184287889</v>
      </c>
    </row>
    <row r="368" customFormat="false" ht="15" hidden="false" customHeight="false" outlineLevel="0" collapsed="false">
      <c r="A368" s="0" t="n">
        <f aca="false">ROW()-1</f>
        <v>367</v>
      </c>
      <c r="B368" s="0" t="str">
        <f aca="false">'Analysis Data'!A368</f>
        <v>Milwaukee</v>
      </c>
      <c r="C368" s="5" t="n">
        <f aca="false">'Analysis Data'!B368</f>
        <v>40323</v>
      </c>
      <c r="D368" s="6" t="n">
        <f aca="false">'Analysis Data'!C368</f>
        <v>201.857032758565</v>
      </c>
      <c r="E368" s="15" t="n">
        <f aca="false">SUMPRODUCT('Final Model'!$B$45:$I$45,'Analysis Data'!N368:U368)</f>
        <v>247.76984880868</v>
      </c>
      <c r="F368" s="15" t="n">
        <f aca="false">D368-E368</f>
        <v>-45.9128160501144</v>
      </c>
      <c r="G368" s="13" t="n">
        <f aca="false">F368/'Final Model'!$B$21</f>
        <v>-0.936384335099148</v>
      </c>
      <c r="H368" s="6" t="n">
        <f aca="false">F368^2</f>
        <v>2107.98667765165</v>
      </c>
      <c r="J368" s="6" t="n">
        <f aca="false">A368</f>
        <v>367</v>
      </c>
      <c r="K368" s="13" t="n">
        <f aca="false">SMALL($G$2:$G$1387,J368)</f>
        <v>-0.641888116252512</v>
      </c>
      <c r="L368" s="18" t="n">
        <f aca="false">(J368-0.5)/1386</f>
        <v>0.264430014430014</v>
      </c>
      <c r="M368" s="18" t="n">
        <f aca="false">_xlfn.NORM.DIST(K368,AVERAGE($G$2:$G$1387),_xlfn.STDEV.S($G$2:$G$1387),TRUE())</f>
        <v>0.259944541282892</v>
      </c>
    </row>
    <row r="369" customFormat="false" ht="15" hidden="false" customHeight="false" outlineLevel="0" collapsed="false">
      <c r="A369" s="0" t="n">
        <f aca="false">ROW()-1</f>
        <v>368</v>
      </c>
      <c r="B369" s="0" t="str">
        <f aca="false">'Analysis Data'!A369</f>
        <v>Milwaukee</v>
      </c>
      <c r="C369" s="5" t="n">
        <f aca="false">'Analysis Data'!B369</f>
        <v>40330</v>
      </c>
      <c r="D369" s="6" t="n">
        <f aca="false">'Analysis Data'!C369</f>
        <v>245.538218158213</v>
      </c>
      <c r="E369" s="15" t="n">
        <f aca="false">SUMPRODUCT('Final Model'!$B$45:$I$45,'Analysis Data'!N369:U369)</f>
        <v>251.423055898902</v>
      </c>
      <c r="F369" s="15" t="n">
        <f aca="false">D369-E369</f>
        <v>-5.88483774068868</v>
      </c>
      <c r="G369" s="13" t="n">
        <f aca="false">F369/'Final Model'!$B$21</f>
        <v>-0.120020298231465</v>
      </c>
      <c r="H369" s="6" t="n">
        <f aca="false">F369^2</f>
        <v>34.6313152342339</v>
      </c>
      <c r="J369" s="6" t="n">
        <f aca="false">A369</f>
        <v>368</v>
      </c>
      <c r="K369" s="13" t="n">
        <f aca="false">SMALL($G$2:$G$1387,J369)</f>
        <v>-0.641746498294414</v>
      </c>
      <c r="L369" s="18" t="n">
        <f aca="false">(J369-0.5)/1386</f>
        <v>0.265151515151515</v>
      </c>
      <c r="M369" s="18" t="n">
        <f aca="false">_xlfn.NORM.DIST(K369,AVERAGE($G$2:$G$1387),_xlfn.STDEV.S($G$2:$G$1387),TRUE())</f>
        <v>0.259990590785101</v>
      </c>
    </row>
    <row r="370" customFormat="false" ht="15" hidden="false" customHeight="false" outlineLevel="0" collapsed="false">
      <c r="A370" s="0" t="n">
        <f aca="false">ROW()-1</f>
        <v>369</v>
      </c>
      <c r="B370" s="0" t="str">
        <f aca="false">'Analysis Data'!A370</f>
        <v>Milwaukee</v>
      </c>
      <c r="C370" s="5" t="n">
        <f aca="false">'Analysis Data'!B370</f>
        <v>40337</v>
      </c>
      <c r="D370" s="6" t="n">
        <f aca="false">'Analysis Data'!C370</f>
        <v>210.869762128313</v>
      </c>
      <c r="E370" s="15" t="n">
        <f aca="false">SUMPRODUCT('Final Model'!$B$45:$I$45,'Analysis Data'!N370:U370)</f>
        <v>244.067605386711</v>
      </c>
      <c r="F370" s="15" t="n">
        <f aca="false">D370-E370</f>
        <v>-33.1978432583985</v>
      </c>
      <c r="G370" s="13" t="n">
        <f aca="false">F370/'Final Model'!$B$21</f>
        <v>-0.677064555402364</v>
      </c>
      <c r="H370" s="6" t="n">
        <f aca="false">F370^2</f>
        <v>1102.0967970092</v>
      </c>
      <c r="J370" s="6" t="n">
        <f aca="false">A370</f>
        <v>369</v>
      </c>
      <c r="K370" s="13" t="n">
        <f aca="false">SMALL($G$2:$G$1387,J370)</f>
        <v>-0.641262381760495</v>
      </c>
      <c r="L370" s="18" t="n">
        <f aca="false">(J370-0.5)/1386</f>
        <v>0.265873015873016</v>
      </c>
      <c r="M370" s="18" t="n">
        <f aca="false">_xlfn.NORM.DIST(K370,AVERAGE($G$2:$G$1387),_xlfn.STDEV.S($G$2:$G$1387),TRUE())</f>
        <v>0.260148041324979</v>
      </c>
    </row>
    <row r="371" customFormat="false" ht="15" hidden="false" customHeight="false" outlineLevel="0" collapsed="false">
      <c r="A371" s="0" t="n">
        <f aca="false">ROW()-1</f>
        <v>370</v>
      </c>
      <c r="B371" s="0" t="str">
        <f aca="false">'Analysis Data'!A371</f>
        <v>Milwaukee</v>
      </c>
      <c r="C371" s="5" t="n">
        <f aca="false">'Analysis Data'!B371</f>
        <v>40344</v>
      </c>
      <c r="D371" s="6" t="n">
        <f aca="false">'Analysis Data'!C371</f>
        <v>359.961527494245</v>
      </c>
      <c r="E371" s="15" t="n">
        <f aca="false">SUMPRODUCT('Final Model'!$B$45:$I$45,'Analysis Data'!N371:U371)</f>
        <v>349.928732046156</v>
      </c>
      <c r="F371" s="15" t="n">
        <f aca="false">D371-E371</f>
        <v>10.0327954480895</v>
      </c>
      <c r="G371" s="13" t="n">
        <f aca="false">F371/'Final Model'!$B$21</f>
        <v>0.20461721373376</v>
      </c>
      <c r="H371" s="6" t="n">
        <f aca="false">F371^2</f>
        <v>100.656984503206</v>
      </c>
      <c r="J371" s="6" t="n">
        <f aca="false">A371</f>
        <v>370</v>
      </c>
      <c r="K371" s="13" t="n">
        <f aca="false">SMALL($G$2:$G$1387,J371)</f>
        <v>-0.639871624728862</v>
      </c>
      <c r="L371" s="18" t="n">
        <f aca="false">(J371-0.5)/1386</f>
        <v>0.266594516594517</v>
      </c>
      <c r="M371" s="18" t="n">
        <f aca="false">_xlfn.NORM.DIST(K371,AVERAGE($G$2:$G$1387),_xlfn.STDEV.S($G$2:$G$1387),TRUE())</f>
        <v>0.260600634282179</v>
      </c>
    </row>
    <row r="372" customFormat="false" ht="15" hidden="false" customHeight="false" outlineLevel="0" collapsed="false">
      <c r="A372" s="0" t="n">
        <f aca="false">ROW()-1</f>
        <v>371</v>
      </c>
      <c r="B372" s="0" t="str">
        <f aca="false">'Analysis Data'!A372</f>
        <v>Milwaukee</v>
      </c>
      <c r="C372" s="5" t="n">
        <f aca="false">'Analysis Data'!B372</f>
        <v>40351</v>
      </c>
      <c r="D372" s="6" t="n">
        <f aca="false">'Analysis Data'!C372</f>
        <v>263.165960129196</v>
      </c>
      <c r="E372" s="15" t="n">
        <f aca="false">SUMPRODUCT('Final Model'!$B$45:$I$45,'Analysis Data'!N372:U372)</f>
        <v>309.324112873084</v>
      </c>
      <c r="F372" s="15" t="n">
        <f aca="false">D372-E372</f>
        <v>-46.1581527438876</v>
      </c>
      <c r="G372" s="13" t="n">
        <f aca="false">F372/'Final Model'!$B$21</f>
        <v>-0.941387936634359</v>
      </c>
      <c r="H372" s="6" t="n">
        <f aca="false">F372^2</f>
        <v>2130.57506472806</v>
      </c>
      <c r="J372" s="6" t="n">
        <f aca="false">A372</f>
        <v>371</v>
      </c>
      <c r="K372" s="13" t="n">
        <f aca="false">SMALL($G$2:$G$1387,J372)</f>
        <v>-0.636555908661049</v>
      </c>
      <c r="L372" s="18" t="n">
        <f aca="false">(J372-0.5)/1386</f>
        <v>0.267316017316017</v>
      </c>
      <c r="M372" s="18" t="n">
        <f aca="false">_xlfn.NORM.DIST(K372,AVERAGE($G$2:$G$1387),_xlfn.STDEV.S($G$2:$G$1387),TRUE())</f>
        <v>0.261681297919979</v>
      </c>
    </row>
    <row r="373" customFormat="false" ht="15" hidden="false" customHeight="false" outlineLevel="0" collapsed="false">
      <c r="A373" s="0" t="n">
        <f aca="false">ROW()-1</f>
        <v>372</v>
      </c>
      <c r="B373" s="0" t="str">
        <f aca="false">'Analysis Data'!A373</f>
        <v>Milwaukee</v>
      </c>
      <c r="C373" s="5" t="n">
        <f aca="false">'Analysis Data'!B373</f>
        <v>40358</v>
      </c>
      <c r="D373" s="6" t="n">
        <f aca="false">'Analysis Data'!C373</f>
        <v>370.372979531917</v>
      </c>
      <c r="E373" s="15" t="n">
        <f aca="false">SUMPRODUCT('Final Model'!$B$45:$I$45,'Analysis Data'!N373:U373)</f>
        <v>313.269309031619</v>
      </c>
      <c r="F373" s="15" t="n">
        <f aca="false">D373-E373</f>
        <v>57.1036705002975</v>
      </c>
      <c r="G373" s="13" t="n">
        <f aca="false">F373/'Final Model'!$B$21</f>
        <v>1.16461997179127</v>
      </c>
      <c r="H373" s="6" t="n">
        <f aca="false">F373^2</f>
        <v>3260.82918460655</v>
      </c>
      <c r="J373" s="6" t="n">
        <f aca="false">A373</f>
        <v>372</v>
      </c>
      <c r="K373" s="13" t="n">
        <f aca="false">SMALL($G$2:$G$1387,J373)</f>
        <v>-0.633824076901621</v>
      </c>
      <c r="L373" s="18" t="n">
        <f aca="false">(J373-0.5)/1386</f>
        <v>0.268037518037518</v>
      </c>
      <c r="M373" s="18" t="n">
        <f aca="false">_xlfn.NORM.DIST(K373,AVERAGE($G$2:$G$1387),_xlfn.STDEV.S($G$2:$G$1387),TRUE())</f>
        <v>0.262573385640422</v>
      </c>
    </row>
    <row r="374" customFormat="false" ht="15" hidden="false" customHeight="false" outlineLevel="0" collapsed="false">
      <c r="A374" s="0" t="n">
        <f aca="false">ROW()-1</f>
        <v>373</v>
      </c>
      <c r="B374" s="0" t="str">
        <f aca="false">'Analysis Data'!A374</f>
        <v>Milwaukee</v>
      </c>
      <c r="C374" s="5" t="n">
        <f aca="false">'Analysis Data'!B374</f>
        <v>40365</v>
      </c>
      <c r="D374" s="6" t="n">
        <f aca="false">'Analysis Data'!C374</f>
        <v>242.769831374386</v>
      </c>
      <c r="E374" s="15" t="n">
        <f aca="false">SUMPRODUCT('Final Model'!$B$45:$I$45,'Analysis Data'!N374:U374)</f>
        <v>323.687301642648</v>
      </c>
      <c r="F374" s="15" t="n">
        <f aca="false">D374-E374</f>
        <v>-80.9174702682616</v>
      </c>
      <c r="G374" s="13" t="n">
        <f aca="false">F374/'Final Model'!$B$21</f>
        <v>-1.65029850297894</v>
      </c>
      <c r="H374" s="6" t="n">
        <f aca="false">F374^2</f>
        <v>6547.636994615</v>
      </c>
      <c r="J374" s="6" t="n">
        <f aca="false">A374</f>
        <v>373</v>
      </c>
      <c r="K374" s="13" t="n">
        <f aca="false">SMALL($G$2:$G$1387,J374)</f>
        <v>-0.629393886689552</v>
      </c>
      <c r="L374" s="18" t="n">
        <f aca="false">(J374-0.5)/1386</f>
        <v>0.268759018759019</v>
      </c>
      <c r="M374" s="18" t="n">
        <f aca="false">_xlfn.NORM.DIST(K374,AVERAGE($G$2:$G$1387),_xlfn.STDEV.S($G$2:$G$1387),TRUE())</f>
        <v>0.264023378711974</v>
      </c>
    </row>
    <row r="375" customFormat="false" ht="15" hidden="false" customHeight="false" outlineLevel="0" collapsed="false">
      <c r="A375" s="0" t="n">
        <f aca="false">ROW()-1</f>
        <v>374</v>
      </c>
      <c r="B375" s="0" t="str">
        <f aca="false">'Analysis Data'!A375</f>
        <v>Milwaukee</v>
      </c>
      <c r="C375" s="5" t="n">
        <f aca="false">'Analysis Data'!B375</f>
        <v>40372</v>
      </c>
      <c r="D375" s="6" t="n">
        <f aca="false">'Analysis Data'!C375</f>
        <v>375.248081205514</v>
      </c>
      <c r="E375" s="15" t="n">
        <f aca="false">SUMPRODUCT('Final Model'!$B$45:$I$45,'Analysis Data'!N375:U375)</f>
        <v>324.869473185409</v>
      </c>
      <c r="F375" s="15" t="n">
        <f aca="false">D375-E375</f>
        <v>50.378608020105</v>
      </c>
      <c r="G375" s="13" t="n">
        <f aca="false">F375/'Final Model'!$B$21</f>
        <v>1.02746342813379</v>
      </c>
      <c r="H375" s="6" t="n">
        <f aca="false">F375^2</f>
        <v>2538.00414604339</v>
      </c>
      <c r="J375" s="6" t="n">
        <f aca="false">A375</f>
        <v>374</v>
      </c>
      <c r="K375" s="13" t="n">
        <f aca="false">SMALL($G$2:$G$1387,J375)</f>
        <v>-0.627959553259709</v>
      </c>
      <c r="L375" s="18" t="n">
        <f aca="false">(J375-0.5)/1386</f>
        <v>0.26948051948052</v>
      </c>
      <c r="M375" s="18" t="n">
        <f aca="false">_xlfn.NORM.DIST(K375,AVERAGE($G$2:$G$1387),_xlfn.STDEV.S($G$2:$G$1387),TRUE())</f>
        <v>0.264493706249207</v>
      </c>
    </row>
    <row r="376" customFormat="false" ht="15" hidden="false" customHeight="false" outlineLevel="0" collapsed="false">
      <c r="A376" s="0" t="n">
        <f aca="false">ROW()-1</f>
        <v>375</v>
      </c>
      <c r="B376" s="0" t="str">
        <f aca="false">'Analysis Data'!A376</f>
        <v>New Lincoln Park (aka Lincoln Park)</v>
      </c>
      <c r="C376" s="5" t="n">
        <f aca="false">'Analysis Data'!B376</f>
        <v>40302</v>
      </c>
      <c r="D376" s="6" t="n">
        <f aca="false">'Analysis Data'!C376</f>
        <v>157.726993608928</v>
      </c>
      <c r="E376" s="15" t="n">
        <f aca="false">SUMPRODUCT('Final Model'!$B$45:$I$45,'Analysis Data'!N376:U376)</f>
        <v>235.633355487838</v>
      </c>
      <c r="F376" s="15" t="n">
        <f aca="false">D376-E376</f>
        <v>-77.9063618789098</v>
      </c>
      <c r="G376" s="13" t="n">
        <f aca="false">F376/'Final Model'!$B$21</f>
        <v>-1.58888744241587</v>
      </c>
      <c r="H376" s="6" t="n">
        <f aca="false">F376^2</f>
        <v>6069.40122120765</v>
      </c>
      <c r="J376" s="6" t="n">
        <f aca="false">A376</f>
        <v>375</v>
      </c>
      <c r="K376" s="13" t="n">
        <f aca="false">SMALL($G$2:$G$1387,J376)</f>
        <v>-0.626278155249393</v>
      </c>
      <c r="L376" s="18" t="n">
        <f aca="false">(J376-0.5)/1386</f>
        <v>0.27020202020202</v>
      </c>
      <c r="M376" s="18" t="n">
        <f aca="false">_xlfn.NORM.DIST(K376,AVERAGE($G$2:$G$1387),_xlfn.STDEV.S($G$2:$G$1387),TRUE())</f>
        <v>0.265045590223881</v>
      </c>
    </row>
    <row r="377" customFormat="false" ht="15" hidden="false" customHeight="false" outlineLevel="0" collapsed="false">
      <c r="A377" s="0" t="n">
        <f aca="false">ROW()-1</f>
        <v>376</v>
      </c>
      <c r="B377" s="0" t="str">
        <f aca="false">'Analysis Data'!A377</f>
        <v>New Lincoln Park (aka Lincoln Park)</v>
      </c>
      <c r="C377" s="5" t="n">
        <f aca="false">'Analysis Data'!B377</f>
        <v>40309</v>
      </c>
      <c r="D377" s="6" t="n">
        <f aca="false">'Analysis Data'!C377</f>
        <v>301.308180780968</v>
      </c>
      <c r="E377" s="15" t="n">
        <f aca="false">SUMPRODUCT('Final Model'!$B$45:$I$45,'Analysis Data'!N377:U377)</f>
        <v>228.732605560548</v>
      </c>
      <c r="F377" s="15" t="n">
        <f aca="false">D377-E377</f>
        <v>72.5755752204202</v>
      </c>
      <c r="G377" s="13" t="n">
        <f aca="false">F377/'Final Model'!$B$21</f>
        <v>1.48016692491773</v>
      </c>
      <c r="H377" s="6" t="n">
        <f aca="false">F377^2</f>
        <v>5267.21411857487</v>
      </c>
      <c r="J377" s="6" t="n">
        <f aca="false">A377</f>
        <v>376</v>
      </c>
      <c r="K377" s="13" t="n">
        <f aca="false">SMALL($G$2:$G$1387,J377)</f>
        <v>-0.619162274128878</v>
      </c>
      <c r="L377" s="18" t="n">
        <f aca="false">(J377-0.5)/1386</f>
        <v>0.270923520923521</v>
      </c>
      <c r="M377" s="18" t="n">
        <f aca="false">_xlfn.NORM.DIST(K377,AVERAGE($G$2:$G$1387),_xlfn.STDEV.S($G$2:$G$1387),TRUE())</f>
        <v>0.267387689276887</v>
      </c>
    </row>
    <row r="378" customFormat="false" ht="15" hidden="false" customHeight="false" outlineLevel="0" collapsed="false">
      <c r="A378" s="0" t="n">
        <f aca="false">ROW()-1</f>
        <v>377</v>
      </c>
      <c r="B378" s="0" t="str">
        <f aca="false">'Analysis Data'!A378</f>
        <v>New Lincoln Park (aka Lincoln Park)</v>
      </c>
      <c r="C378" s="5" t="n">
        <f aca="false">'Analysis Data'!B378</f>
        <v>40316</v>
      </c>
      <c r="D378" s="6" t="n">
        <f aca="false">'Analysis Data'!C378</f>
        <v>238.593064674128</v>
      </c>
      <c r="E378" s="15" t="n">
        <f aca="false">SUMPRODUCT('Final Model'!$B$45:$I$45,'Analysis Data'!N378:U378)</f>
        <v>244.780861207461</v>
      </c>
      <c r="F378" s="15" t="n">
        <f aca="false">D378-E378</f>
        <v>-6.18779653333337</v>
      </c>
      <c r="G378" s="13" t="n">
        <f aca="false">F378/'Final Model'!$B$21</f>
        <v>-0.126199092999867</v>
      </c>
      <c r="H378" s="6" t="n">
        <f aca="false">F378^2</f>
        <v>38.2888259379325</v>
      </c>
      <c r="J378" s="6" t="n">
        <f aca="false">A378</f>
        <v>377</v>
      </c>
      <c r="K378" s="13" t="n">
        <f aca="false">SMALL($G$2:$G$1387,J378)</f>
        <v>-0.61907114323707</v>
      </c>
      <c r="L378" s="18" t="n">
        <f aca="false">(J378-0.5)/1386</f>
        <v>0.271645021645022</v>
      </c>
      <c r="M378" s="18" t="n">
        <f aca="false">_xlfn.NORM.DIST(K378,AVERAGE($G$2:$G$1387),_xlfn.STDEV.S($G$2:$G$1387),TRUE())</f>
        <v>0.267417751384115</v>
      </c>
    </row>
    <row r="379" customFormat="false" ht="15" hidden="false" customHeight="false" outlineLevel="0" collapsed="false">
      <c r="A379" s="0" t="n">
        <f aca="false">ROW()-1</f>
        <v>378</v>
      </c>
      <c r="B379" s="0" t="str">
        <f aca="false">'Analysis Data'!A379</f>
        <v>New Lincoln Park (aka Lincoln Park)</v>
      </c>
      <c r="C379" s="5" t="n">
        <f aca="false">'Analysis Data'!B379</f>
        <v>40323</v>
      </c>
      <c r="D379" s="6" t="n">
        <f aca="false">'Analysis Data'!C379</f>
        <v>315.89420603203</v>
      </c>
      <c r="E379" s="15" t="n">
        <f aca="false">SUMPRODUCT('Final Model'!$B$45:$I$45,'Analysis Data'!N379:U379)</f>
        <v>244.780861207461</v>
      </c>
      <c r="F379" s="15" t="n">
        <f aca="false">D379-E379</f>
        <v>71.1133448245693</v>
      </c>
      <c r="G379" s="13" t="n">
        <f aca="false">F379/'Final Model'!$B$21</f>
        <v>1.45034497639063</v>
      </c>
      <c r="H379" s="6" t="n">
        <f aca="false">F379^2</f>
        <v>5057.10781213809</v>
      </c>
      <c r="J379" s="6" t="n">
        <f aca="false">A379</f>
        <v>378</v>
      </c>
      <c r="K379" s="13" t="n">
        <f aca="false">SMALL($G$2:$G$1387,J379)</f>
        <v>-0.611429768642386</v>
      </c>
      <c r="L379" s="18" t="n">
        <f aca="false">(J379-0.5)/1386</f>
        <v>0.272366522366522</v>
      </c>
      <c r="M379" s="18" t="n">
        <f aca="false">_xlfn.NORM.DIST(K379,AVERAGE($G$2:$G$1387),_xlfn.STDEV.S($G$2:$G$1387),TRUE())</f>
        <v>0.269944524246766</v>
      </c>
    </row>
    <row r="380" customFormat="false" ht="15" hidden="false" customHeight="false" outlineLevel="0" collapsed="false">
      <c r="A380" s="0" t="n">
        <f aca="false">ROW()-1</f>
        <v>379</v>
      </c>
      <c r="B380" s="0" t="str">
        <f aca="false">'Analysis Data'!A380</f>
        <v>New Lincoln Park (aka Lincoln Park)</v>
      </c>
      <c r="C380" s="5" t="n">
        <f aca="false">'Analysis Data'!B380</f>
        <v>40330</v>
      </c>
      <c r="D380" s="6" t="n">
        <f aca="false">'Analysis Data'!C380</f>
        <v>220.098147157665</v>
      </c>
      <c r="E380" s="15" t="n">
        <f aca="false">SUMPRODUCT('Final Model'!$B$45:$I$45,'Analysis Data'!N380:U380)</f>
        <v>244.780861207461</v>
      </c>
      <c r="F380" s="15" t="n">
        <f aca="false">D380-E380</f>
        <v>-24.6827140497965</v>
      </c>
      <c r="G380" s="13" t="n">
        <f aca="false">F380/'Final Model'!$B$21</f>
        <v>-0.503399895112804</v>
      </c>
      <c r="H380" s="6" t="n">
        <f aca="false">F380^2</f>
        <v>609.23637286402</v>
      </c>
      <c r="J380" s="6" t="n">
        <f aca="false">A380</f>
        <v>379</v>
      </c>
      <c r="K380" s="13" t="n">
        <f aca="false">SMALL($G$2:$G$1387,J380)</f>
        <v>-0.610946532945797</v>
      </c>
      <c r="L380" s="18" t="n">
        <f aca="false">(J380-0.5)/1386</f>
        <v>0.273088023088023</v>
      </c>
      <c r="M380" s="18" t="n">
        <f aca="false">_xlfn.NORM.DIST(K380,AVERAGE($G$2:$G$1387),_xlfn.STDEV.S($G$2:$G$1387),TRUE())</f>
        <v>0.270104716583642</v>
      </c>
    </row>
    <row r="381" customFormat="false" ht="15" hidden="false" customHeight="false" outlineLevel="0" collapsed="false">
      <c r="A381" s="0" t="n">
        <f aca="false">ROW()-1</f>
        <v>380</v>
      </c>
      <c r="B381" s="0" t="str">
        <f aca="false">'Analysis Data'!A381</f>
        <v>New Lincoln Park (aka Lincoln Park)</v>
      </c>
      <c r="C381" s="5" t="n">
        <f aca="false">'Analysis Data'!B381</f>
        <v>40337</v>
      </c>
      <c r="D381" s="6" t="n">
        <f aca="false">'Analysis Data'!C381</f>
        <v>368.076979929043</v>
      </c>
      <c r="E381" s="15" t="n">
        <f aca="false">SUMPRODUCT('Final Model'!$B$45:$I$45,'Analysis Data'!N381:U381)</f>
        <v>347.019985709049</v>
      </c>
      <c r="F381" s="15" t="n">
        <f aca="false">D381-E381</f>
        <v>21.0569942199936</v>
      </c>
      <c r="G381" s="13" t="n">
        <f aca="false">F381/'Final Model'!$B$21</f>
        <v>0.429453935266212</v>
      </c>
      <c r="H381" s="6" t="n">
        <f aca="false">F381^2</f>
        <v>443.397005580844</v>
      </c>
      <c r="J381" s="6" t="n">
        <f aca="false">A381</f>
        <v>380</v>
      </c>
      <c r="K381" s="13" t="n">
        <f aca="false">SMALL($G$2:$G$1387,J381)</f>
        <v>-0.606955880562573</v>
      </c>
      <c r="L381" s="18" t="n">
        <f aca="false">(J381-0.5)/1386</f>
        <v>0.273809523809524</v>
      </c>
      <c r="M381" s="18" t="n">
        <f aca="false">_xlfn.NORM.DIST(K381,AVERAGE($G$2:$G$1387),_xlfn.STDEV.S($G$2:$G$1387),TRUE())</f>
        <v>0.271429430618584</v>
      </c>
    </row>
    <row r="382" customFormat="false" ht="15" hidden="false" customHeight="false" outlineLevel="0" collapsed="false">
      <c r="A382" s="0" t="n">
        <f aca="false">ROW()-1</f>
        <v>381</v>
      </c>
      <c r="B382" s="0" t="str">
        <f aca="false">'Analysis Data'!A382</f>
        <v>New Lincoln Park (aka Lincoln Park)</v>
      </c>
      <c r="C382" s="5" t="n">
        <f aca="false">'Analysis Data'!B382</f>
        <v>40344</v>
      </c>
      <c r="D382" s="6" t="n">
        <f aca="false">'Analysis Data'!C382</f>
        <v>325.725755932131</v>
      </c>
      <c r="E382" s="15" t="n">
        <f aca="false">SUMPRODUCT('Final Model'!$B$45:$I$45,'Analysis Data'!N382:U382)</f>
        <v>319.006560419654</v>
      </c>
      <c r="F382" s="15" t="n">
        <f aca="false">D382-E382</f>
        <v>6.71919551247737</v>
      </c>
      <c r="G382" s="13" t="n">
        <f aca="false">F382/'Final Model'!$B$21</f>
        <v>0.13703688781548</v>
      </c>
      <c r="H382" s="6" t="n">
        <f aca="false">F382^2</f>
        <v>45.147588334896</v>
      </c>
      <c r="J382" s="6" t="n">
        <f aca="false">A382</f>
        <v>381</v>
      </c>
      <c r="K382" s="13" t="n">
        <f aca="false">SMALL($G$2:$G$1387,J382)</f>
        <v>-0.6043223445605</v>
      </c>
      <c r="L382" s="18" t="n">
        <f aca="false">(J382-0.5)/1386</f>
        <v>0.274531024531025</v>
      </c>
      <c r="M382" s="18" t="n">
        <f aca="false">_xlfn.NORM.DIST(K382,AVERAGE($G$2:$G$1387),_xlfn.STDEV.S($G$2:$G$1387),TRUE())</f>
        <v>0.272305413432923</v>
      </c>
    </row>
    <row r="383" customFormat="false" ht="15" hidden="false" customHeight="false" outlineLevel="0" collapsed="false">
      <c r="A383" s="0" t="n">
        <f aca="false">ROW()-1</f>
        <v>382</v>
      </c>
      <c r="B383" s="0" t="str">
        <f aca="false">'Analysis Data'!A383</f>
        <v>New Lincoln Park (aka Lincoln Park)</v>
      </c>
      <c r="C383" s="5" t="n">
        <f aca="false">'Analysis Data'!B383</f>
        <v>40351</v>
      </c>
      <c r="D383" s="6" t="n">
        <f aca="false">'Analysis Data'!C383</f>
        <v>379.687869711681</v>
      </c>
      <c r="E383" s="15" t="n">
        <f aca="false">SUMPRODUCT('Final Model'!$B$45:$I$45,'Analysis Data'!N383:U383)</f>
        <v>425.244375299985</v>
      </c>
      <c r="F383" s="15" t="n">
        <f aca="false">D383-E383</f>
        <v>-45.5565055883033</v>
      </c>
      <c r="G383" s="13" t="n">
        <f aca="false">F383/'Final Model'!$B$21</f>
        <v>-0.929117441809316</v>
      </c>
      <c r="H383" s="6" t="n">
        <f aca="false">F383^2</f>
        <v>2075.39520141711</v>
      </c>
      <c r="J383" s="6" t="n">
        <f aca="false">A383</f>
        <v>382</v>
      </c>
      <c r="K383" s="13" t="n">
        <f aca="false">SMALL($G$2:$G$1387,J383)</f>
        <v>-0.603120889476633</v>
      </c>
      <c r="L383" s="18" t="n">
        <f aca="false">(J383-0.5)/1386</f>
        <v>0.275252525252525</v>
      </c>
      <c r="M383" s="18" t="n">
        <f aca="false">_xlfn.NORM.DIST(K383,AVERAGE($G$2:$G$1387),_xlfn.STDEV.S($G$2:$G$1387),TRUE())</f>
        <v>0.272705514803224</v>
      </c>
    </row>
    <row r="384" customFormat="false" ht="15" hidden="false" customHeight="false" outlineLevel="0" collapsed="false">
      <c r="A384" s="0" t="n">
        <f aca="false">ROW()-1</f>
        <v>383</v>
      </c>
      <c r="B384" s="0" t="str">
        <f aca="false">'Analysis Data'!A384</f>
        <v>New Lincoln Park (aka Lincoln Park)</v>
      </c>
      <c r="C384" s="5" t="n">
        <f aca="false">'Analysis Data'!B384</f>
        <v>40358</v>
      </c>
      <c r="D384" s="6" t="n">
        <f aca="false">'Analysis Data'!C384</f>
        <v>348.656999073232</v>
      </c>
      <c r="E384" s="15" t="n">
        <f aca="false">SUMPRODUCT('Final Model'!$B$45:$I$45,'Analysis Data'!N384:U384)</f>
        <v>319.167460906641</v>
      </c>
      <c r="F384" s="15" t="n">
        <f aca="false">D384-E384</f>
        <v>29.4895381665904</v>
      </c>
      <c r="G384" s="13" t="n">
        <f aca="false">F384/'Final Model'!$B$21</f>
        <v>0.601434282714508</v>
      </c>
      <c r="H384" s="6" t="n">
        <f aca="false">F384^2</f>
        <v>869.632861278793</v>
      </c>
      <c r="J384" s="6" t="n">
        <f aca="false">A384</f>
        <v>383</v>
      </c>
      <c r="K384" s="13" t="n">
        <f aca="false">SMALL($G$2:$G$1387,J384)</f>
        <v>-0.602938937804708</v>
      </c>
      <c r="L384" s="18" t="n">
        <f aca="false">(J384-0.5)/1386</f>
        <v>0.275974025974026</v>
      </c>
      <c r="M384" s="18" t="n">
        <f aca="false">_xlfn.NORM.DIST(K384,AVERAGE($G$2:$G$1387),_xlfn.STDEV.S($G$2:$G$1387),TRUE())</f>
        <v>0.27276613268311</v>
      </c>
    </row>
    <row r="385" customFormat="false" ht="15" hidden="false" customHeight="false" outlineLevel="0" collapsed="false">
      <c r="A385" s="0" t="n">
        <f aca="false">ROW()-1</f>
        <v>384</v>
      </c>
      <c r="B385" s="0" t="str">
        <f aca="false">'Analysis Data'!A385</f>
        <v>New Lincoln Park (aka Lincoln Park)</v>
      </c>
      <c r="C385" s="5" t="n">
        <f aca="false">'Analysis Data'!B385</f>
        <v>40365</v>
      </c>
      <c r="D385" s="6" t="n">
        <f aca="false">'Analysis Data'!C385</f>
        <v>416.2537313176</v>
      </c>
      <c r="E385" s="15" t="n">
        <f aca="false">SUMPRODUCT('Final Model'!$B$45:$I$45,'Analysis Data'!N385:U385)</f>
        <v>396.781130981577</v>
      </c>
      <c r="F385" s="15" t="n">
        <f aca="false">D385-E385</f>
        <v>19.4726003360224</v>
      </c>
      <c r="G385" s="13" t="n">
        <f aca="false">F385/'Final Model'!$B$21</f>
        <v>0.397140482483045</v>
      </c>
      <c r="H385" s="6" t="n">
        <f aca="false">F385^2</f>
        <v>379.182163846458</v>
      </c>
      <c r="J385" s="6" t="n">
        <f aca="false">A385</f>
        <v>384</v>
      </c>
      <c r="K385" s="13" t="n">
        <f aca="false">SMALL($G$2:$G$1387,J385)</f>
        <v>-0.602874185200863</v>
      </c>
      <c r="L385" s="18" t="n">
        <f aca="false">(J385-0.5)/1386</f>
        <v>0.276695526695527</v>
      </c>
      <c r="M385" s="18" t="n">
        <f aca="false">_xlfn.NORM.DIST(K385,AVERAGE($G$2:$G$1387),_xlfn.STDEV.S($G$2:$G$1387),TRUE())</f>
        <v>0.272787706867955</v>
      </c>
    </row>
    <row r="386" customFormat="false" ht="15" hidden="false" customHeight="false" outlineLevel="0" collapsed="false">
      <c r="A386" s="0" t="n">
        <f aca="false">ROW()-1</f>
        <v>385</v>
      </c>
      <c r="B386" s="0" t="str">
        <f aca="false">'Analysis Data'!A386</f>
        <v>New Lincoln Park (aka Lincoln Park)</v>
      </c>
      <c r="C386" s="5" t="n">
        <f aca="false">'Analysis Data'!B386</f>
        <v>40372</v>
      </c>
      <c r="D386" s="6" t="n">
        <f aca="false">'Analysis Data'!C386</f>
        <v>471.984844060778</v>
      </c>
      <c r="E386" s="15" t="n">
        <f aca="false">SUMPRODUCT('Final Model'!$B$45:$I$45,'Analysis Data'!N386:U386)</f>
        <v>396.781130981577</v>
      </c>
      <c r="F386" s="15" t="n">
        <f aca="false">D386-E386</f>
        <v>75.2037130792008</v>
      </c>
      <c r="G386" s="13" t="n">
        <f aca="false">F386/'Final Model'!$B$21</f>
        <v>1.53376736447163</v>
      </c>
      <c r="H386" s="6" t="n">
        <f aca="false">F386^2</f>
        <v>5655.59846089876</v>
      </c>
      <c r="J386" s="6" t="n">
        <f aca="false">A386</f>
        <v>385</v>
      </c>
      <c r="K386" s="13" t="n">
        <f aca="false">SMALL($G$2:$G$1387,J386)</f>
        <v>-0.602080782846227</v>
      </c>
      <c r="L386" s="18" t="n">
        <f aca="false">(J386-0.5)/1386</f>
        <v>0.277417027417027</v>
      </c>
      <c r="M386" s="18" t="n">
        <f aca="false">_xlfn.NORM.DIST(K386,AVERAGE($G$2:$G$1387),_xlfn.STDEV.S($G$2:$G$1387),TRUE())</f>
        <v>0.273052120301593</v>
      </c>
    </row>
    <row r="387" customFormat="false" ht="15" hidden="false" customHeight="false" outlineLevel="0" collapsed="false">
      <c r="A387" s="0" t="n">
        <f aca="false">ROW()-1</f>
        <v>386</v>
      </c>
      <c r="B387" s="0" t="str">
        <f aca="false">'Analysis Data'!A387</f>
        <v>Northbrook</v>
      </c>
      <c r="C387" s="5" t="n">
        <f aca="false">'Analysis Data'!B387</f>
        <v>40302</v>
      </c>
      <c r="D387" s="6" t="n">
        <f aca="false">'Analysis Data'!C387</f>
        <v>359.431463979567</v>
      </c>
      <c r="E387" s="15" t="n">
        <f aca="false">SUMPRODUCT('Final Model'!$B$45:$I$45,'Analysis Data'!N387:U387)</f>
        <v>258.803024554899</v>
      </c>
      <c r="F387" s="15" t="n">
        <f aca="false">D387-E387</f>
        <v>100.628439424668</v>
      </c>
      <c r="G387" s="13" t="n">
        <f aca="false">F387/'Final Model'!$B$21</f>
        <v>2.05230047836497</v>
      </c>
      <c r="H387" s="6" t="n">
        <f aca="false">F387^2</f>
        <v>10126.0828210441</v>
      </c>
      <c r="J387" s="6" t="n">
        <f aca="false">A387</f>
        <v>386</v>
      </c>
      <c r="K387" s="13" t="n">
        <f aca="false">SMALL($G$2:$G$1387,J387)</f>
        <v>-0.600834959169856</v>
      </c>
      <c r="L387" s="18" t="n">
        <f aca="false">(J387-0.5)/1386</f>
        <v>0.278138528138528</v>
      </c>
      <c r="M387" s="18" t="n">
        <f aca="false">_xlfn.NORM.DIST(K387,AVERAGE($G$2:$G$1387),_xlfn.STDEV.S($G$2:$G$1387),TRUE())</f>
        <v>0.273467566235874</v>
      </c>
    </row>
    <row r="388" customFormat="false" ht="15" hidden="false" customHeight="false" outlineLevel="0" collapsed="false">
      <c r="A388" s="0" t="n">
        <f aca="false">ROW()-1</f>
        <v>387</v>
      </c>
      <c r="B388" s="0" t="str">
        <f aca="false">'Analysis Data'!A388</f>
        <v>Northbrook</v>
      </c>
      <c r="C388" s="5" t="n">
        <f aca="false">'Analysis Data'!B388</f>
        <v>40309</v>
      </c>
      <c r="D388" s="6" t="n">
        <f aca="false">'Analysis Data'!C388</f>
        <v>261.996233149071</v>
      </c>
      <c r="E388" s="15" t="n">
        <f aca="false">SUMPRODUCT('Final Model'!$B$45:$I$45,'Analysis Data'!N388:U388)</f>
        <v>258.803024554899</v>
      </c>
      <c r="F388" s="15" t="n">
        <f aca="false">D388-E388</f>
        <v>3.19320859417184</v>
      </c>
      <c r="G388" s="13" t="n">
        <f aca="false">F388/'Final Model'!$B$21</f>
        <v>0.0651249643024026</v>
      </c>
      <c r="H388" s="6" t="n">
        <f aca="false">F388^2</f>
        <v>10.1965811258929</v>
      </c>
      <c r="J388" s="6" t="n">
        <f aca="false">A388</f>
        <v>387</v>
      </c>
      <c r="K388" s="13" t="n">
        <f aca="false">SMALL($G$2:$G$1387,J388)</f>
        <v>-0.600757022101994</v>
      </c>
      <c r="L388" s="18" t="n">
        <f aca="false">(J388-0.5)/1386</f>
        <v>0.278860028860029</v>
      </c>
      <c r="M388" s="18" t="n">
        <f aca="false">_xlfn.NORM.DIST(K388,AVERAGE($G$2:$G$1387),_xlfn.STDEV.S($G$2:$G$1387),TRUE())</f>
        <v>0.273493566375841</v>
      </c>
    </row>
    <row r="389" customFormat="false" ht="15" hidden="false" customHeight="false" outlineLevel="0" collapsed="false">
      <c r="A389" s="0" t="n">
        <f aca="false">ROW()-1</f>
        <v>388</v>
      </c>
      <c r="B389" s="0" t="str">
        <f aca="false">'Analysis Data'!A389</f>
        <v>Northbrook</v>
      </c>
      <c r="C389" s="5" t="n">
        <f aca="false">'Analysis Data'!B389</f>
        <v>40316</v>
      </c>
      <c r="D389" s="6" t="n">
        <f aca="false">'Analysis Data'!C389</f>
        <v>246.99668795704</v>
      </c>
      <c r="E389" s="15" t="n">
        <f aca="false">SUMPRODUCT('Final Model'!$B$45:$I$45,'Analysis Data'!N389:U389)</f>
        <v>258.633283382783</v>
      </c>
      <c r="F389" s="15" t="n">
        <f aca="false">D389-E389</f>
        <v>-11.6365954257433</v>
      </c>
      <c r="G389" s="13" t="n">
        <f aca="false">F389/'Final Model'!$B$21</f>
        <v>-0.237326450607144</v>
      </c>
      <c r="H389" s="6" t="n">
        <f aca="false">F389^2</f>
        <v>135.410353102429</v>
      </c>
      <c r="J389" s="6" t="n">
        <f aca="false">A389</f>
        <v>388</v>
      </c>
      <c r="K389" s="13" t="n">
        <f aca="false">SMALL($G$2:$G$1387,J389)</f>
        <v>-0.600579257830258</v>
      </c>
      <c r="L389" s="18" t="n">
        <f aca="false">(J389-0.5)/1386</f>
        <v>0.27958152958153</v>
      </c>
      <c r="M389" s="18" t="n">
        <f aca="false">_xlfn.NORM.DIST(K389,AVERAGE($G$2:$G$1387),_xlfn.STDEV.S($G$2:$G$1387),TRUE())</f>
        <v>0.273552873876971</v>
      </c>
    </row>
    <row r="390" customFormat="false" ht="15" hidden="false" customHeight="false" outlineLevel="0" collapsed="false">
      <c r="A390" s="0" t="n">
        <f aca="false">ROW()-1</f>
        <v>389</v>
      </c>
      <c r="B390" s="0" t="str">
        <f aca="false">'Analysis Data'!A390</f>
        <v>Northbrook</v>
      </c>
      <c r="C390" s="5" t="n">
        <f aca="false">'Analysis Data'!B390</f>
        <v>40323</v>
      </c>
      <c r="D390" s="6" t="n">
        <f aca="false">'Analysis Data'!C390</f>
        <v>232.133357872458</v>
      </c>
      <c r="E390" s="15" t="n">
        <f aca="false">SUMPRODUCT('Final Model'!$B$45:$I$45,'Analysis Data'!N390:U390)</f>
        <v>258.964844458488</v>
      </c>
      <c r="F390" s="15" t="n">
        <f aca="false">D390-E390</f>
        <v>-26.8314865860309</v>
      </c>
      <c r="G390" s="13" t="n">
        <f aca="false">F390/'Final Model'!$B$21</f>
        <v>-0.547223757722864</v>
      </c>
      <c r="H390" s="6" t="n">
        <f aca="false">F390^2</f>
        <v>719.928672416355</v>
      </c>
      <c r="J390" s="6" t="n">
        <f aca="false">A390</f>
        <v>389</v>
      </c>
      <c r="K390" s="13" t="n">
        <f aca="false">SMALL($G$2:$G$1387,J390)</f>
        <v>-0.598025223968457</v>
      </c>
      <c r="L390" s="18" t="n">
        <f aca="false">(J390-0.5)/1386</f>
        <v>0.28030303030303</v>
      </c>
      <c r="M390" s="18" t="n">
        <f aca="false">_xlfn.NORM.DIST(K390,AVERAGE($G$2:$G$1387),_xlfn.STDEV.S($G$2:$G$1387),TRUE())</f>
        <v>0.274405678299626</v>
      </c>
    </row>
    <row r="391" customFormat="false" ht="15" hidden="false" customHeight="false" outlineLevel="0" collapsed="false">
      <c r="A391" s="0" t="n">
        <f aca="false">ROW()-1</f>
        <v>390</v>
      </c>
      <c r="B391" s="0" t="str">
        <f aca="false">'Analysis Data'!A391</f>
        <v>Northbrook</v>
      </c>
      <c r="C391" s="5" t="n">
        <f aca="false">'Analysis Data'!B391</f>
        <v>40330</v>
      </c>
      <c r="D391" s="6" t="n">
        <f aca="false">'Analysis Data'!C391</f>
        <v>284.229499687626</v>
      </c>
      <c r="E391" s="15" t="n">
        <f aca="false">SUMPRODUCT('Final Model'!$B$45:$I$45,'Analysis Data'!N391:U391)</f>
        <v>255.493071831033</v>
      </c>
      <c r="F391" s="15" t="n">
        <f aca="false">D391-E391</f>
        <v>28.736427856592</v>
      </c>
      <c r="G391" s="13" t="n">
        <f aca="false">F391/'Final Model'!$B$21</f>
        <v>0.586074721756313</v>
      </c>
      <c r="H391" s="6" t="n">
        <f aca="false">F391^2</f>
        <v>825.782285957119</v>
      </c>
      <c r="J391" s="6" t="n">
        <f aca="false">A391</f>
        <v>390</v>
      </c>
      <c r="K391" s="13" t="n">
        <f aca="false">SMALL($G$2:$G$1387,J391)</f>
        <v>-0.591452747246189</v>
      </c>
      <c r="L391" s="18" t="n">
        <f aca="false">(J391-0.5)/1386</f>
        <v>0.281024531024531</v>
      </c>
      <c r="M391" s="18" t="n">
        <f aca="false">_xlfn.NORM.DIST(K391,AVERAGE($G$2:$G$1387),_xlfn.STDEV.S($G$2:$G$1387),TRUE())</f>
        <v>0.276606275736946</v>
      </c>
    </row>
    <row r="392" customFormat="false" ht="15" hidden="false" customHeight="false" outlineLevel="0" collapsed="false">
      <c r="A392" s="0" t="n">
        <f aca="false">ROW()-1</f>
        <v>391</v>
      </c>
      <c r="B392" s="0" t="str">
        <f aca="false">'Analysis Data'!A392</f>
        <v>Northbrook</v>
      </c>
      <c r="C392" s="5" t="n">
        <f aca="false">'Analysis Data'!B392</f>
        <v>40337</v>
      </c>
      <c r="D392" s="6" t="n">
        <f aca="false">'Analysis Data'!C392</f>
        <v>329.249880673966</v>
      </c>
      <c r="E392" s="15" t="n">
        <f aca="false">SUMPRODUCT('Final Model'!$B$45:$I$45,'Analysis Data'!N392:U392)</f>
        <v>377.824612392495</v>
      </c>
      <c r="F392" s="15" t="n">
        <f aca="false">D392-E392</f>
        <v>-48.5747317185287</v>
      </c>
      <c r="G392" s="13" t="n">
        <f aca="false">F392/'Final Model'!$B$21</f>
        <v>-0.990673667527319</v>
      </c>
      <c r="H392" s="6" t="n">
        <f aca="false">F392^2</f>
        <v>2359.50456152704</v>
      </c>
      <c r="J392" s="6" t="n">
        <f aca="false">A392</f>
        <v>391</v>
      </c>
      <c r="K392" s="13" t="n">
        <f aca="false">SMALL($G$2:$G$1387,J392)</f>
        <v>-0.581749580705545</v>
      </c>
      <c r="L392" s="18" t="n">
        <f aca="false">(J392-0.5)/1386</f>
        <v>0.281746031746032</v>
      </c>
      <c r="M392" s="18" t="n">
        <f aca="false">_xlfn.NORM.DIST(K392,AVERAGE($G$2:$G$1387),_xlfn.STDEV.S($G$2:$G$1387),TRUE())</f>
        <v>0.279870820101711</v>
      </c>
    </row>
    <row r="393" customFormat="false" ht="15" hidden="false" customHeight="false" outlineLevel="0" collapsed="false">
      <c r="A393" s="0" t="n">
        <f aca="false">ROW()-1</f>
        <v>392</v>
      </c>
      <c r="B393" s="0" t="str">
        <f aca="false">'Analysis Data'!A393</f>
        <v>Northbrook</v>
      </c>
      <c r="C393" s="5" t="n">
        <f aca="false">'Analysis Data'!B393</f>
        <v>40344</v>
      </c>
      <c r="D393" s="6" t="n">
        <f aca="false">'Analysis Data'!C393</f>
        <v>373.444850045217</v>
      </c>
      <c r="E393" s="15" t="n">
        <f aca="false">SUMPRODUCT('Final Model'!$B$45:$I$45,'Analysis Data'!N393:U393)</f>
        <v>345.427338621312</v>
      </c>
      <c r="F393" s="15" t="n">
        <f aca="false">D393-E393</f>
        <v>28.0175114239045</v>
      </c>
      <c r="G393" s="13" t="n">
        <f aca="false">F393/'Final Model'!$B$21</f>
        <v>0.571412539304267</v>
      </c>
      <c r="H393" s="6" t="n">
        <f aca="false">F393^2</f>
        <v>784.980946388617</v>
      </c>
      <c r="J393" s="6" t="n">
        <f aca="false">A393</f>
        <v>392</v>
      </c>
      <c r="K393" s="13" t="n">
        <f aca="false">SMALL($G$2:$G$1387,J393)</f>
        <v>-0.5733484564173</v>
      </c>
      <c r="L393" s="18" t="n">
        <f aca="false">(J393-0.5)/1386</f>
        <v>0.282467532467533</v>
      </c>
      <c r="M393" s="18" t="n">
        <f aca="false">_xlfn.NORM.DIST(K393,AVERAGE($G$2:$G$1387),_xlfn.STDEV.S($G$2:$G$1387),TRUE())</f>
        <v>0.282712313820412</v>
      </c>
    </row>
    <row r="394" customFormat="false" ht="15" hidden="false" customHeight="false" outlineLevel="0" collapsed="false">
      <c r="A394" s="0" t="n">
        <f aca="false">ROW()-1</f>
        <v>393</v>
      </c>
      <c r="B394" s="0" t="str">
        <f aca="false">'Analysis Data'!A394</f>
        <v>Northbrook</v>
      </c>
      <c r="C394" s="5" t="n">
        <f aca="false">'Analysis Data'!B394</f>
        <v>40351</v>
      </c>
      <c r="D394" s="6" t="n">
        <f aca="false">'Analysis Data'!C394</f>
        <v>335.264921893788</v>
      </c>
      <c r="E394" s="15" t="n">
        <f aca="false">SUMPRODUCT('Final Model'!$B$45:$I$45,'Analysis Data'!N394:U394)</f>
        <v>334.572532542301</v>
      </c>
      <c r="F394" s="15" t="n">
        <f aca="false">D394-E394</f>
        <v>0.692389351487122</v>
      </c>
      <c r="G394" s="13" t="n">
        <f aca="false">F394/'Final Model'!$B$21</f>
        <v>0.0141211669921167</v>
      </c>
      <c r="H394" s="6" t="n">
        <f aca="false">F394^2</f>
        <v>0.479403014052758</v>
      </c>
      <c r="J394" s="6" t="n">
        <f aca="false">A394</f>
        <v>393</v>
      </c>
      <c r="K394" s="13" t="n">
        <f aca="false">SMALL($G$2:$G$1387,J394)</f>
        <v>-0.571030047135395</v>
      </c>
      <c r="L394" s="18" t="n">
        <f aca="false">(J394-0.5)/1386</f>
        <v>0.283189033189033</v>
      </c>
      <c r="M394" s="18" t="n">
        <f aca="false">_xlfn.NORM.DIST(K394,AVERAGE($G$2:$G$1387),_xlfn.STDEV.S($G$2:$G$1387),TRUE())</f>
        <v>0.283498897833442</v>
      </c>
    </row>
    <row r="395" customFormat="false" ht="15" hidden="false" customHeight="false" outlineLevel="0" collapsed="false">
      <c r="A395" s="0" t="n">
        <f aca="false">ROW()-1</f>
        <v>394</v>
      </c>
      <c r="B395" s="0" t="str">
        <f aca="false">'Analysis Data'!A395</f>
        <v>Northbrook</v>
      </c>
      <c r="C395" s="5" t="n">
        <f aca="false">'Analysis Data'!B395</f>
        <v>40358</v>
      </c>
      <c r="D395" s="6" t="n">
        <f aca="false">'Analysis Data'!C395</f>
        <v>408.435176230927</v>
      </c>
      <c r="E395" s="15" t="n">
        <f aca="false">SUMPRODUCT('Final Model'!$B$45:$I$45,'Analysis Data'!N395:U395)</f>
        <v>341.337708130002</v>
      </c>
      <c r="F395" s="15" t="n">
        <f aca="false">D395-E395</f>
        <v>67.0974681009249</v>
      </c>
      <c r="G395" s="13" t="n">
        <f aca="false">F395/'Final Model'!$B$21</f>
        <v>1.36844183083743</v>
      </c>
      <c r="H395" s="6" t="n">
        <f aca="false">F395^2</f>
        <v>4502.07022555464</v>
      </c>
      <c r="J395" s="6" t="n">
        <f aca="false">A395</f>
        <v>394</v>
      </c>
      <c r="K395" s="13" t="n">
        <f aca="false">SMALL($G$2:$G$1387,J395)</f>
        <v>-0.570642411670339</v>
      </c>
      <c r="L395" s="18" t="n">
        <f aca="false">(J395-0.5)/1386</f>
        <v>0.283910533910534</v>
      </c>
      <c r="M395" s="18" t="n">
        <f aca="false">_xlfn.NORM.DIST(K395,AVERAGE($G$2:$G$1387),_xlfn.STDEV.S($G$2:$G$1387),TRUE())</f>
        <v>0.283630516082489</v>
      </c>
    </row>
    <row r="396" customFormat="false" ht="15" hidden="false" customHeight="false" outlineLevel="0" collapsed="false">
      <c r="A396" s="0" t="n">
        <f aca="false">ROW()-1</f>
        <v>395</v>
      </c>
      <c r="B396" s="0" t="str">
        <f aca="false">'Analysis Data'!A396</f>
        <v>Northbrook</v>
      </c>
      <c r="C396" s="5" t="n">
        <f aca="false">'Analysis Data'!B396</f>
        <v>40365</v>
      </c>
      <c r="D396" s="6" t="n">
        <f aca="false">'Analysis Data'!C396</f>
        <v>341.315259979901</v>
      </c>
      <c r="E396" s="15" t="n">
        <f aca="false">SUMPRODUCT('Final Model'!$B$45:$I$45,'Analysis Data'!N396:U396)</f>
        <v>329.258921864475</v>
      </c>
      <c r="F396" s="15" t="n">
        <f aca="false">D396-E396</f>
        <v>12.0563381154253</v>
      </c>
      <c r="G396" s="13" t="n">
        <f aca="false">F396/'Final Model'!$B$21</f>
        <v>0.245887033755902</v>
      </c>
      <c r="H396" s="6" t="n">
        <f aca="false">F396^2</f>
        <v>145.355288753456</v>
      </c>
      <c r="J396" s="6" t="n">
        <f aca="false">A396</f>
        <v>395</v>
      </c>
      <c r="K396" s="13" t="n">
        <f aca="false">SMALL($G$2:$G$1387,J396)</f>
        <v>-0.570293565978171</v>
      </c>
      <c r="L396" s="18" t="n">
        <f aca="false">(J396-0.5)/1386</f>
        <v>0.284632034632035</v>
      </c>
      <c r="M396" s="18" t="n">
        <f aca="false">_xlfn.NORM.DIST(K396,AVERAGE($G$2:$G$1387),_xlfn.STDEV.S($G$2:$G$1387),TRUE())</f>
        <v>0.283748988621103</v>
      </c>
    </row>
    <row r="397" customFormat="false" ht="15" hidden="false" customHeight="false" outlineLevel="0" collapsed="false">
      <c r="A397" s="0" t="n">
        <f aca="false">ROW()-1</f>
        <v>396</v>
      </c>
      <c r="B397" s="0" t="str">
        <f aca="false">'Analysis Data'!A397</f>
        <v>Northbrook</v>
      </c>
      <c r="C397" s="5" t="n">
        <f aca="false">'Analysis Data'!B397</f>
        <v>40372</v>
      </c>
      <c r="D397" s="6" t="n">
        <f aca="false">'Analysis Data'!C397</f>
        <v>324.475767506477</v>
      </c>
      <c r="E397" s="15" t="n">
        <f aca="false">SUMPRODUCT('Final Model'!$B$45:$I$45,'Analysis Data'!N397:U397)</f>
        <v>336.385433957866</v>
      </c>
      <c r="F397" s="15" t="n">
        <f aca="false">D397-E397</f>
        <v>-11.9096664513889</v>
      </c>
      <c r="G397" s="13" t="n">
        <f aca="false">F397/'Final Model'!$B$21</f>
        <v>-0.242895689281265</v>
      </c>
      <c r="H397" s="6" t="n">
        <f aca="false">F397^2</f>
        <v>141.840154983339</v>
      </c>
      <c r="J397" s="6" t="n">
        <f aca="false">A397</f>
        <v>396</v>
      </c>
      <c r="K397" s="13" t="n">
        <f aca="false">SMALL($G$2:$G$1387,J397)</f>
        <v>-0.569530791220003</v>
      </c>
      <c r="L397" s="18" t="n">
        <f aca="false">(J397-0.5)/1386</f>
        <v>0.285353535353535</v>
      </c>
      <c r="M397" s="18" t="n">
        <f aca="false">_xlfn.NORM.DIST(K397,AVERAGE($G$2:$G$1387),_xlfn.STDEV.S($G$2:$G$1387),TRUE())</f>
        <v>0.284008119383126</v>
      </c>
    </row>
    <row r="398" customFormat="false" ht="15" hidden="false" customHeight="false" outlineLevel="0" collapsed="false">
      <c r="A398" s="0" t="n">
        <f aca="false">ROW()-1</f>
        <v>397</v>
      </c>
      <c r="B398" s="0" t="str">
        <f aca="false">'Analysis Data'!A398</f>
        <v>Palatine</v>
      </c>
      <c r="C398" s="5" t="n">
        <f aca="false">'Analysis Data'!B398</f>
        <v>40302</v>
      </c>
      <c r="D398" s="6" t="n">
        <f aca="false">'Analysis Data'!C398</f>
        <v>226.835405331058</v>
      </c>
      <c r="E398" s="15" t="n">
        <f aca="false">SUMPRODUCT('Final Model'!$B$45:$I$45,'Analysis Data'!N398:U398)</f>
        <v>243.577242025116</v>
      </c>
      <c r="F398" s="15" t="n">
        <f aca="false">D398-E398</f>
        <v>-16.7418366940584</v>
      </c>
      <c r="G398" s="13" t="n">
        <f aca="false">F398/'Final Model'!$B$21</f>
        <v>-0.3414470069532</v>
      </c>
      <c r="H398" s="6" t="n">
        <f aca="false">F398^2</f>
        <v>280.289095890521</v>
      </c>
      <c r="J398" s="6" t="n">
        <f aca="false">A398</f>
        <v>397</v>
      </c>
      <c r="K398" s="13" t="n">
        <f aca="false">SMALL($G$2:$G$1387,J398)</f>
        <v>-0.567512031974425</v>
      </c>
      <c r="L398" s="18" t="n">
        <f aca="false">(J398-0.5)/1386</f>
        <v>0.286075036075036</v>
      </c>
      <c r="M398" s="18" t="n">
        <f aca="false">_xlfn.NORM.DIST(K398,AVERAGE($G$2:$G$1387),_xlfn.STDEV.S($G$2:$G$1387),TRUE())</f>
        <v>0.284694480543597</v>
      </c>
    </row>
    <row r="399" customFormat="false" ht="15" hidden="false" customHeight="false" outlineLevel="0" collapsed="false">
      <c r="A399" s="0" t="n">
        <f aca="false">ROW()-1</f>
        <v>398</v>
      </c>
      <c r="B399" s="0" t="str">
        <f aca="false">'Analysis Data'!A399</f>
        <v>Palatine</v>
      </c>
      <c r="C399" s="5" t="n">
        <f aca="false">'Analysis Data'!B399</f>
        <v>40309</v>
      </c>
      <c r="D399" s="6" t="n">
        <f aca="false">'Analysis Data'!C399</f>
        <v>319.371596755929</v>
      </c>
      <c r="E399" s="15" t="n">
        <f aca="false">SUMPRODUCT('Final Model'!$B$45:$I$45,'Analysis Data'!N399:U399)</f>
        <v>244.067605386711</v>
      </c>
      <c r="F399" s="15" t="n">
        <f aca="false">D399-E399</f>
        <v>75.3039913692174</v>
      </c>
      <c r="G399" s="13" t="n">
        <f aca="false">F399/'Final Model'!$B$21</f>
        <v>1.53581252371038</v>
      </c>
      <c r="H399" s="6" t="n">
        <f aca="false">F399^2</f>
        <v>5670.69111613517</v>
      </c>
      <c r="J399" s="6" t="n">
        <f aca="false">A399</f>
        <v>398</v>
      </c>
      <c r="K399" s="13" t="n">
        <f aca="false">SMALL($G$2:$G$1387,J399)</f>
        <v>-0.565338695444336</v>
      </c>
      <c r="L399" s="18" t="n">
        <f aca="false">(J399-0.5)/1386</f>
        <v>0.286796536796537</v>
      </c>
      <c r="M399" s="18" t="n">
        <f aca="false">_xlfn.NORM.DIST(K399,AVERAGE($G$2:$G$1387),_xlfn.STDEV.S($G$2:$G$1387),TRUE())</f>
        <v>0.285434280564255</v>
      </c>
    </row>
    <row r="400" customFormat="false" ht="15" hidden="false" customHeight="false" outlineLevel="0" collapsed="false">
      <c r="A400" s="0" t="n">
        <f aca="false">ROW()-1</f>
        <v>399</v>
      </c>
      <c r="B400" s="0" t="str">
        <f aca="false">'Analysis Data'!A400</f>
        <v>Palatine</v>
      </c>
      <c r="C400" s="5" t="n">
        <f aca="false">'Analysis Data'!B400</f>
        <v>40316</v>
      </c>
      <c r="D400" s="6" t="n">
        <f aca="false">'Analysis Data'!C400</f>
        <v>279.938510508953</v>
      </c>
      <c r="E400" s="15" t="n">
        <f aca="false">SUMPRODUCT('Final Model'!$B$45:$I$45,'Analysis Data'!N400:U400)</f>
        <v>252.955441409403</v>
      </c>
      <c r="F400" s="15" t="n">
        <f aca="false">D400-E400</f>
        <v>26.9830690995498</v>
      </c>
      <c r="G400" s="13" t="n">
        <f aca="false">F400/'Final Model'!$B$21</f>
        <v>0.550315258165336</v>
      </c>
      <c r="H400" s="6" t="n">
        <f aca="false">F400^2</f>
        <v>728.086018031077</v>
      </c>
      <c r="J400" s="6" t="n">
        <f aca="false">A400</f>
        <v>399</v>
      </c>
      <c r="K400" s="13" t="n">
        <f aca="false">SMALL($G$2:$G$1387,J400)</f>
        <v>-0.563208703859938</v>
      </c>
      <c r="L400" s="18" t="n">
        <f aca="false">(J400-0.5)/1386</f>
        <v>0.287518037518038</v>
      </c>
      <c r="M400" s="18" t="n">
        <f aca="false">_xlfn.NORM.DIST(K400,AVERAGE($G$2:$G$1387),_xlfn.STDEV.S($G$2:$G$1387),TRUE())</f>
        <v>0.286160213041747</v>
      </c>
    </row>
    <row r="401" customFormat="false" ht="15" hidden="false" customHeight="false" outlineLevel="0" collapsed="false">
      <c r="A401" s="0" t="n">
        <f aca="false">ROW()-1</f>
        <v>400</v>
      </c>
      <c r="B401" s="0" t="str">
        <f aca="false">'Analysis Data'!A401</f>
        <v>Palatine</v>
      </c>
      <c r="C401" s="5" t="n">
        <f aca="false">'Analysis Data'!B401</f>
        <v>40323</v>
      </c>
      <c r="D401" s="6" t="n">
        <f aca="false">'Analysis Data'!C401</f>
        <v>197.507068945942</v>
      </c>
      <c r="E401" s="15" t="n">
        <f aca="false">SUMPRODUCT('Final Model'!$B$45:$I$45,'Analysis Data'!N401:U401)</f>
        <v>252.955441409403</v>
      </c>
      <c r="F401" s="15" t="n">
        <f aca="false">D401-E401</f>
        <v>-55.4483724634608</v>
      </c>
      <c r="G401" s="13" t="n">
        <f aca="false">F401/'Final Model'!$B$21</f>
        <v>-1.13086044046732</v>
      </c>
      <c r="H401" s="6" t="n">
        <f aca="false">F401^2</f>
        <v>3074.52200884668</v>
      </c>
      <c r="J401" s="6" t="n">
        <f aca="false">A401</f>
        <v>400</v>
      </c>
      <c r="K401" s="13" t="n">
        <f aca="false">SMALL($G$2:$G$1387,J401)</f>
        <v>-0.560779031771241</v>
      </c>
      <c r="L401" s="18" t="n">
        <f aca="false">(J401-0.5)/1386</f>
        <v>0.288239538239538</v>
      </c>
      <c r="M401" s="18" t="n">
        <f aca="false">_xlfn.NORM.DIST(K401,AVERAGE($G$2:$G$1387),_xlfn.STDEV.S($G$2:$G$1387),TRUE())</f>
        <v>0.286989350217999</v>
      </c>
    </row>
    <row r="402" customFormat="false" ht="15" hidden="false" customHeight="false" outlineLevel="0" collapsed="false">
      <c r="A402" s="0" t="n">
        <f aca="false">ROW()-1</f>
        <v>401</v>
      </c>
      <c r="B402" s="0" t="str">
        <f aca="false">'Analysis Data'!A402</f>
        <v>Palatine</v>
      </c>
      <c r="C402" s="5" t="n">
        <f aca="false">'Analysis Data'!B402</f>
        <v>40330</v>
      </c>
      <c r="D402" s="6" t="n">
        <f aca="false">'Analysis Data'!C402</f>
        <v>280.706847973304</v>
      </c>
      <c r="E402" s="15" t="n">
        <f aca="false">SUMPRODUCT('Final Model'!$B$45:$I$45,'Analysis Data'!N402:U402)</f>
        <v>254.610417771336</v>
      </c>
      <c r="F402" s="15" t="n">
        <f aca="false">D402-E402</f>
        <v>26.0964302019684</v>
      </c>
      <c r="G402" s="13" t="n">
        <f aca="false">F402/'Final Model'!$B$21</f>
        <v>0.532232403615998</v>
      </c>
      <c r="H402" s="6" t="n">
        <f aca="false">F402^2</f>
        <v>681.023669286211</v>
      </c>
      <c r="J402" s="6" t="n">
        <f aca="false">A402</f>
        <v>401</v>
      </c>
      <c r="K402" s="13" t="n">
        <f aca="false">SMALL($G$2:$G$1387,J402)</f>
        <v>-0.560342328716292</v>
      </c>
      <c r="L402" s="18" t="n">
        <f aca="false">(J402-0.5)/1386</f>
        <v>0.288961038961039</v>
      </c>
      <c r="M402" s="18" t="n">
        <f aca="false">_xlfn.NORM.DIST(K402,AVERAGE($G$2:$G$1387),_xlfn.STDEV.S($G$2:$G$1387),TRUE())</f>
        <v>0.287138497777823</v>
      </c>
    </row>
    <row r="403" customFormat="false" ht="15" hidden="false" customHeight="false" outlineLevel="0" collapsed="false">
      <c r="A403" s="0" t="n">
        <f aca="false">ROW()-1</f>
        <v>402</v>
      </c>
      <c r="B403" s="0" t="str">
        <f aca="false">'Analysis Data'!A403</f>
        <v>Palatine</v>
      </c>
      <c r="C403" s="5" t="n">
        <f aca="false">'Analysis Data'!B403</f>
        <v>40337</v>
      </c>
      <c r="D403" s="6" t="n">
        <f aca="false">'Analysis Data'!C403</f>
        <v>220.513927647413</v>
      </c>
      <c r="E403" s="15" t="n">
        <f aca="false">SUMPRODUCT('Final Model'!$B$45:$I$45,'Analysis Data'!N403:U403)</f>
        <v>252.064300299926</v>
      </c>
      <c r="F403" s="15" t="n">
        <f aca="false">D403-E403</f>
        <v>-31.5503726525131</v>
      </c>
      <c r="G403" s="13" t="n">
        <f aca="false">F403/'Final Model'!$B$21</f>
        <v>-0.643464663245814</v>
      </c>
      <c r="H403" s="6" t="n">
        <f aca="false">F403^2</f>
        <v>995.42601451245</v>
      </c>
      <c r="J403" s="6" t="n">
        <f aca="false">A403</f>
        <v>402</v>
      </c>
      <c r="K403" s="13" t="n">
        <f aca="false">SMALL($G$2:$G$1387,J403)</f>
        <v>-0.55493602480233</v>
      </c>
      <c r="L403" s="18" t="n">
        <f aca="false">(J403-0.5)/1386</f>
        <v>0.28968253968254</v>
      </c>
      <c r="M403" s="18" t="n">
        <f aca="false">_xlfn.NORM.DIST(K403,AVERAGE($G$2:$G$1387),_xlfn.STDEV.S($G$2:$G$1387),TRUE())</f>
        <v>0.288987949506503</v>
      </c>
    </row>
    <row r="404" customFormat="false" ht="15" hidden="false" customHeight="false" outlineLevel="0" collapsed="false">
      <c r="A404" s="0" t="n">
        <f aca="false">ROW()-1</f>
        <v>403</v>
      </c>
      <c r="B404" s="0" t="str">
        <f aca="false">'Analysis Data'!A404</f>
        <v>Palatine</v>
      </c>
      <c r="C404" s="5" t="n">
        <f aca="false">'Analysis Data'!B404</f>
        <v>40344</v>
      </c>
      <c r="D404" s="6" t="n">
        <f aca="false">'Analysis Data'!C404</f>
        <v>270.490918142541</v>
      </c>
      <c r="E404" s="15" t="n">
        <f aca="false">SUMPRODUCT('Final Model'!$B$45:$I$45,'Analysis Data'!N404:U404)</f>
        <v>246.099110760805</v>
      </c>
      <c r="F404" s="15" t="n">
        <f aca="false">D404-E404</f>
        <v>24.391807381736</v>
      </c>
      <c r="G404" s="13" t="n">
        <f aca="false">F404/'Final Model'!$B$21</f>
        <v>0.497466901443882</v>
      </c>
      <c r="H404" s="6" t="n">
        <f aca="false">F404^2</f>
        <v>594.96026734771</v>
      </c>
      <c r="J404" s="6" t="n">
        <f aca="false">A404</f>
        <v>403</v>
      </c>
      <c r="K404" s="13" t="n">
        <f aca="false">SMALL($G$2:$G$1387,J404)</f>
        <v>-0.553480546521387</v>
      </c>
      <c r="L404" s="18" t="n">
        <f aca="false">(J404-0.5)/1386</f>
        <v>0.29040404040404</v>
      </c>
      <c r="M404" s="18" t="n">
        <f aca="false">_xlfn.NORM.DIST(K404,AVERAGE($G$2:$G$1387),_xlfn.STDEV.S($G$2:$G$1387),TRUE())</f>
        <v>0.28948681234832</v>
      </c>
    </row>
    <row r="405" customFormat="false" ht="15" hidden="false" customHeight="false" outlineLevel="0" collapsed="false">
      <c r="A405" s="0" t="n">
        <f aca="false">ROW()-1</f>
        <v>404</v>
      </c>
      <c r="B405" s="0" t="str">
        <f aca="false">'Analysis Data'!A405</f>
        <v>Palatine</v>
      </c>
      <c r="C405" s="5" t="n">
        <f aca="false">'Analysis Data'!B405</f>
        <v>40351</v>
      </c>
      <c r="D405" s="6" t="n">
        <f aca="false">'Analysis Data'!C405</f>
        <v>350.243980726553</v>
      </c>
      <c r="E405" s="15" t="n">
        <f aca="false">SUMPRODUCT('Final Model'!$B$45:$I$45,'Analysis Data'!N405:U405)</f>
        <v>358.526011834936</v>
      </c>
      <c r="F405" s="15" t="n">
        <f aca="false">D405-E405</f>
        <v>-8.28203110838319</v>
      </c>
      <c r="G405" s="13" t="n">
        <f aca="false">F405/'Final Model'!$B$21</f>
        <v>-0.168910662857817</v>
      </c>
      <c r="H405" s="6" t="n">
        <f aca="false">F405^2</f>
        <v>68.592039280227</v>
      </c>
      <c r="J405" s="6" t="n">
        <f aca="false">A405</f>
        <v>404</v>
      </c>
      <c r="K405" s="13" t="n">
        <f aca="false">SMALL($G$2:$G$1387,J405)</f>
        <v>-0.552643702102137</v>
      </c>
      <c r="L405" s="18" t="n">
        <f aca="false">(J405-0.5)/1386</f>
        <v>0.291125541125541</v>
      </c>
      <c r="M405" s="18" t="n">
        <f aca="false">_xlfn.NORM.DIST(K405,AVERAGE($G$2:$G$1387),_xlfn.STDEV.S($G$2:$G$1387),TRUE())</f>
        <v>0.28977382243052</v>
      </c>
    </row>
    <row r="406" customFormat="false" ht="15" hidden="false" customHeight="false" outlineLevel="0" collapsed="false">
      <c r="A406" s="0" t="n">
        <f aca="false">ROW()-1</f>
        <v>405</v>
      </c>
      <c r="B406" s="0" t="str">
        <f aca="false">'Analysis Data'!A406</f>
        <v>Palatine</v>
      </c>
      <c r="C406" s="5" t="n">
        <f aca="false">'Analysis Data'!B406</f>
        <v>40358</v>
      </c>
      <c r="D406" s="6" t="n">
        <f aca="false">'Analysis Data'!C406</f>
        <v>320.679215935782</v>
      </c>
      <c r="E406" s="15" t="n">
        <f aca="false">SUMPRODUCT('Final Model'!$B$45:$I$45,'Analysis Data'!N406:U406)</f>
        <v>316.316567092759</v>
      </c>
      <c r="F406" s="15" t="n">
        <f aca="false">D406-E406</f>
        <v>4.36264884302295</v>
      </c>
      <c r="G406" s="13" t="n">
        <f aca="false">F406/'Final Model'!$B$21</f>
        <v>0.088975505917262</v>
      </c>
      <c r="H406" s="6" t="n">
        <f aca="false">F406^2</f>
        <v>19.0327049275295</v>
      </c>
      <c r="J406" s="6" t="n">
        <f aca="false">A406</f>
        <v>405</v>
      </c>
      <c r="K406" s="13" t="n">
        <f aca="false">SMALL($G$2:$G$1387,J406)</f>
        <v>-0.551544195996291</v>
      </c>
      <c r="L406" s="18" t="n">
        <f aca="false">(J406-0.5)/1386</f>
        <v>0.291847041847042</v>
      </c>
      <c r="M406" s="18" t="n">
        <f aca="false">_xlfn.NORM.DIST(K406,AVERAGE($G$2:$G$1387),_xlfn.STDEV.S($G$2:$G$1387),TRUE())</f>
        <v>0.290151119639314</v>
      </c>
    </row>
    <row r="407" customFormat="false" ht="15" hidden="false" customHeight="false" outlineLevel="0" collapsed="false">
      <c r="A407" s="0" t="n">
        <f aca="false">ROW()-1</f>
        <v>406</v>
      </c>
      <c r="B407" s="0" t="str">
        <f aca="false">'Analysis Data'!A407</f>
        <v>Palatine</v>
      </c>
      <c r="C407" s="5" t="n">
        <f aca="false">'Analysis Data'!B407</f>
        <v>40365</v>
      </c>
      <c r="D407" s="6" t="n">
        <f aca="false">'Analysis Data'!C407</f>
        <v>270.877549387674</v>
      </c>
      <c r="E407" s="15" t="n">
        <f aca="false">SUMPRODUCT('Final Model'!$B$45:$I$45,'Analysis Data'!N407:U407)</f>
        <v>326.924177495073</v>
      </c>
      <c r="F407" s="15" t="n">
        <f aca="false">D407-E407</f>
        <v>-56.0466281073983</v>
      </c>
      <c r="G407" s="13" t="n">
        <f aca="false">F407/'Final Model'!$B$21</f>
        <v>-1.14306176596991</v>
      </c>
      <c r="H407" s="6" t="n">
        <f aca="false">F407^2</f>
        <v>3141.22452220901</v>
      </c>
      <c r="J407" s="6" t="n">
        <f aca="false">A407</f>
        <v>406</v>
      </c>
      <c r="K407" s="13" t="n">
        <f aca="false">SMALL($G$2:$G$1387,J407)</f>
        <v>-0.547223757722864</v>
      </c>
      <c r="L407" s="18" t="n">
        <f aca="false">(J407-0.5)/1386</f>
        <v>0.292568542568543</v>
      </c>
      <c r="M407" s="18" t="n">
        <f aca="false">_xlfn.NORM.DIST(K407,AVERAGE($G$2:$G$1387),_xlfn.STDEV.S($G$2:$G$1387),TRUE())</f>
        <v>0.291635909530031</v>
      </c>
    </row>
    <row r="408" customFormat="false" ht="15" hidden="false" customHeight="false" outlineLevel="0" collapsed="false">
      <c r="A408" s="0" t="n">
        <f aca="false">ROW()-1</f>
        <v>407</v>
      </c>
      <c r="B408" s="0" t="str">
        <f aca="false">'Analysis Data'!A408</f>
        <v>Palatine</v>
      </c>
      <c r="C408" s="5" t="n">
        <f aca="false">'Analysis Data'!B408</f>
        <v>40372</v>
      </c>
      <c r="D408" s="6" t="n">
        <f aca="false">'Analysis Data'!C408</f>
        <v>373.011997985366</v>
      </c>
      <c r="E408" s="15" t="n">
        <f aca="false">SUMPRODUCT('Final Model'!$B$45:$I$45,'Analysis Data'!N408:U408)</f>
        <v>333.462849663795</v>
      </c>
      <c r="F408" s="15" t="n">
        <f aca="false">D408-E408</f>
        <v>39.5491483215716</v>
      </c>
      <c r="G408" s="13" t="n">
        <f aca="false">F408/'Final Model'!$B$21</f>
        <v>0.806598377986882</v>
      </c>
      <c r="H408" s="6" t="n">
        <f aca="false">F408^2</f>
        <v>1564.13513296167</v>
      </c>
      <c r="J408" s="6" t="n">
        <f aca="false">A408</f>
        <v>407</v>
      </c>
      <c r="K408" s="13" t="n">
        <f aca="false">SMALL($G$2:$G$1387,J408)</f>
        <v>-0.546283523330255</v>
      </c>
      <c r="L408" s="18" t="n">
        <f aca="false">(J408-0.5)/1386</f>
        <v>0.293290043290043</v>
      </c>
      <c r="M408" s="18" t="n">
        <f aca="false">_xlfn.NORM.DIST(K408,AVERAGE($G$2:$G$1387),_xlfn.STDEV.S($G$2:$G$1387),TRUE())</f>
        <v>0.291959505286089</v>
      </c>
    </row>
    <row r="409" customFormat="false" ht="15" hidden="false" customHeight="false" outlineLevel="0" collapsed="false">
      <c r="A409" s="0" t="n">
        <f aca="false">ROW()-1</f>
        <v>408</v>
      </c>
      <c r="B409" s="0" t="str">
        <f aca="false">'Analysis Data'!A409</f>
        <v>Regency (aka Omaha)</v>
      </c>
      <c r="C409" s="5" t="n">
        <f aca="false">'Analysis Data'!B409</f>
        <v>40302</v>
      </c>
      <c r="D409" s="6" t="n">
        <f aca="false">'Analysis Data'!C409</f>
        <v>180.494897078321</v>
      </c>
      <c r="E409" s="15" t="n">
        <f aca="false">SUMPRODUCT('Final Model'!$B$45:$I$45,'Analysis Data'!N409:U409)</f>
        <v>251.521128562394</v>
      </c>
      <c r="F409" s="15" t="n">
        <f aca="false">D409-E409</f>
        <v>-71.0262314840729</v>
      </c>
      <c r="G409" s="13" t="n">
        <f aca="false">F409/'Final Model'!$B$21</f>
        <v>-1.44856831413298</v>
      </c>
      <c r="H409" s="6" t="n">
        <f aca="false">F409^2</f>
        <v>5044.72555882911</v>
      </c>
      <c r="J409" s="6" t="n">
        <f aca="false">A409</f>
        <v>408</v>
      </c>
      <c r="K409" s="13" t="n">
        <f aca="false">SMALL($G$2:$G$1387,J409)</f>
        <v>-0.545816930897848</v>
      </c>
      <c r="L409" s="18" t="n">
        <f aca="false">(J409-0.5)/1386</f>
        <v>0.294011544011544</v>
      </c>
      <c r="M409" s="18" t="n">
        <f aca="false">_xlfn.NORM.DIST(K409,AVERAGE($G$2:$G$1387),_xlfn.STDEV.S($G$2:$G$1387),TRUE())</f>
        <v>0.292120152112637</v>
      </c>
    </row>
    <row r="410" customFormat="false" ht="15" hidden="false" customHeight="false" outlineLevel="0" collapsed="false">
      <c r="A410" s="0" t="n">
        <f aca="false">ROW()-1</f>
        <v>409</v>
      </c>
      <c r="B410" s="0" t="str">
        <f aca="false">'Analysis Data'!A410</f>
        <v>Regency (aka Omaha)</v>
      </c>
      <c r="C410" s="5" t="n">
        <f aca="false">'Analysis Data'!B410</f>
        <v>40309</v>
      </c>
      <c r="D410" s="6" t="n">
        <f aca="false">'Analysis Data'!C410</f>
        <v>224.6308315925</v>
      </c>
      <c r="E410" s="15" t="n">
        <f aca="false">SUMPRODUCT('Final Model'!$B$45:$I$45,'Analysis Data'!N410:U410)</f>
        <v>252.743264944258</v>
      </c>
      <c r="F410" s="15" t="n">
        <f aca="false">D410-E410</f>
        <v>-28.1124333517575</v>
      </c>
      <c r="G410" s="13" t="n">
        <f aca="false">F410/'Final Model'!$B$21</f>
        <v>-0.5733484564173</v>
      </c>
      <c r="H410" s="6" t="n">
        <f aca="false">F410^2</f>
        <v>790.308908957005</v>
      </c>
      <c r="J410" s="6" t="n">
        <f aca="false">A410</f>
        <v>409</v>
      </c>
      <c r="K410" s="13" t="n">
        <f aca="false">SMALL($G$2:$G$1387,J410)</f>
        <v>-0.543194930423129</v>
      </c>
      <c r="L410" s="18" t="n">
        <f aca="false">(J410-0.5)/1386</f>
        <v>0.294733044733045</v>
      </c>
      <c r="M410" s="18" t="n">
        <f aca="false">_xlfn.NORM.DIST(K410,AVERAGE($G$2:$G$1387),_xlfn.STDEV.S($G$2:$G$1387),TRUE())</f>
        <v>0.293023665736495</v>
      </c>
    </row>
    <row r="411" customFormat="false" ht="15" hidden="false" customHeight="false" outlineLevel="0" collapsed="false">
      <c r="A411" s="0" t="n">
        <f aca="false">ROW()-1</f>
        <v>410</v>
      </c>
      <c r="B411" s="0" t="str">
        <f aca="false">'Analysis Data'!A411</f>
        <v>Regency (aka Omaha)</v>
      </c>
      <c r="C411" s="5" t="n">
        <f aca="false">'Analysis Data'!B411</f>
        <v>40316</v>
      </c>
      <c r="D411" s="6" t="n">
        <f aca="false">'Analysis Data'!C411</f>
        <v>213.235842842785</v>
      </c>
      <c r="E411" s="15" t="n">
        <f aca="false">SUMPRODUCT('Final Model'!$B$45:$I$45,'Analysis Data'!N411:U411)</f>
        <v>256.501819334135</v>
      </c>
      <c r="F411" s="15" t="n">
        <f aca="false">D411-E411</f>
        <v>-43.2659764913508</v>
      </c>
      <c r="G411" s="13" t="n">
        <f aca="false">F411/'Final Model'!$B$21</f>
        <v>-0.882402477448732</v>
      </c>
      <c r="H411" s="6" t="n">
        <f aca="false">F411^2</f>
        <v>1871.94472175012</v>
      </c>
      <c r="J411" s="6" t="n">
        <f aca="false">A411</f>
        <v>410</v>
      </c>
      <c r="K411" s="13" t="n">
        <f aca="false">SMALL($G$2:$G$1387,J411)</f>
        <v>-0.538307098524801</v>
      </c>
      <c r="L411" s="18" t="n">
        <f aca="false">(J411-0.5)/1386</f>
        <v>0.295454545454545</v>
      </c>
      <c r="M411" s="18" t="n">
        <f aca="false">_xlfn.NORM.DIST(K411,AVERAGE($G$2:$G$1387),_xlfn.STDEV.S($G$2:$G$1387),TRUE())</f>
        <v>0.294711412805768</v>
      </c>
    </row>
    <row r="412" customFormat="false" ht="15" hidden="false" customHeight="false" outlineLevel="0" collapsed="false">
      <c r="A412" s="0" t="n">
        <f aca="false">ROW()-1</f>
        <v>411</v>
      </c>
      <c r="B412" s="0" t="str">
        <f aca="false">'Analysis Data'!A412</f>
        <v>Regency (aka Omaha)</v>
      </c>
      <c r="C412" s="5" t="n">
        <f aca="false">'Analysis Data'!B412</f>
        <v>40323</v>
      </c>
      <c r="D412" s="6" t="n">
        <f aca="false">'Analysis Data'!C412</f>
        <v>184.028516502573</v>
      </c>
      <c r="E412" s="15" t="n">
        <f aca="false">SUMPRODUCT('Final Model'!$B$45:$I$45,'Analysis Data'!N412:U412)</f>
        <v>257.835499909144</v>
      </c>
      <c r="F412" s="15" t="n">
        <f aca="false">D412-E412</f>
        <v>-73.806983406571</v>
      </c>
      <c r="G412" s="13" t="n">
        <f aca="false">F412/'Final Model'!$B$21</f>
        <v>-1.50528129242605</v>
      </c>
      <c r="H412" s="6" t="n">
        <f aca="false">F412^2</f>
        <v>5447.47079957785</v>
      </c>
      <c r="J412" s="6" t="n">
        <f aca="false">A412</f>
        <v>411</v>
      </c>
      <c r="K412" s="13" t="n">
        <f aca="false">SMALL($G$2:$G$1387,J412)</f>
        <v>-0.53712585474892</v>
      </c>
      <c r="L412" s="18" t="n">
        <f aca="false">(J412-0.5)/1386</f>
        <v>0.296176046176046</v>
      </c>
      <c r="M412" s="18" t="n">
        <f aca="false">_xlfn.NORM.DIST(K412,AVERAGE($G$2:$G$1387),_xlfn.STDEV.S($G$2:$G$1387),TRUE())</f>
        <v>0.295119962773169</v>
      </c>
    </row>
    <row r="413" customFormat="false" ht="15" hidden="false" customHeight="false" outlineLevel="0" collapsed="false">
      <c r="A413" s="0" t="n">
        <f aca="false">ROW()-1</f>
        <v>412</v>
      </c>
      <c r="B413" s="0" t="str">
        <f aca="false">'Analysis Data'!A413</f>
        <v>Regency (aka Omaha)</v>
      </c>
      <c r="C413" s="5" t="n">
        <f aca="false">'Analysis Data'!B413</f>
        <v>40330</v>
      </c>
      <c r="D413" s="6" t="n">
        <f aca="false">'Analysis Data'!C413</f>
        <v>264.334649689939</v>
      </c>
      <c r="E413" s="15" t="n">
        <f aca="false">SUMPRODUCT('Final Model'!$B$45:$I$45,'Analysis Data'!N413:U413)</f>
        <v>255.713735345958</v>
      </c>
      <c r="F413" s="15" t="n">
        <f aca="false">D413-E413</f>
        <v>8.62091434398144</v>
      </c>
      <c r="G413" s="13" t="n">
        <f aca="false">F413/'Final Model'!$B$21</f>
        <v>0.175822130734141</v>
      </c>
      <c r="H413" s="6" t="n">
        <f aca="false">F413^2</f>
        <v>74.3201641262649</v>
      </c>
      <c r="J413" s="6" t="n">
        <f aca="false">A413</f>
        <v>412</v>
      </c>
      <c r="K413" s="13" t="n">
        <f aca="false">SMALL($G$2:$G$1387,J413)</f>
        <v>-0.534888273900385</v>
      </c>
      <c r="L413" s="18" t="n">
        <f aca="false">(J413-0.5)/1386</f>
        <v>0.296897546897547</v>
      </c>
      <c r="M413" s="18" t="n">
        <f aca="false">_xlfn.NORM.DIST(K413,AVERAGE($G$2:$G$1387),_xlfn.STDEV.S($G$2:$G$1387),TRUE())</f>
        <v>0.295894576022405</v>
      </c>
    </row>
    <row r="414" customFormat="false" ht="15" hidden="false" customHeight="false" outlineLevel="0" collapsed="false">
      <c r="A414" s="0" t="n">
        <f aca="false">ROW()-1</f>
        <v>413</v>
      </c>
      <c r="B414" s="0" t="str">
        <f aca="false">'Analysis Data'!A414</f>
        <v>Regency (aka Omaha)</v>
      </c>
      <c r="C414" s="5" t="n">
        <f aca="false">'Analysis Data'!B414</f>
        <v>40337</v>
      </c>
      <c r="D414" s="6" t="n">
        <f aca="false">'Analysis Data'!C414</f>
        <v>239.648475958295</v>
      </c>
      <c r="E414" s="15" t="n">
        <f aca="false">SUMPRODUCT('Final Model'!$B$45:$I$45,'Analysis Data'!N414:U414)</f>
        <v>251.200163439747</v>
      </c>
      <c r="F414" s="15" t="n">
        <f aca="false">D414-E414</f>
        <v>-11.5516874814518</v>
      </c>
      <c r="G414" s="13" t="n">
        <f aca="false">F414/'Final Model'!$B$21</f>
        <v>-0.235594767042511</v>
      </c>
      <c r="H414" s="6" t="n">
        <f aca="false">F414^2</f>
        <v>133.44148366913</v>
      </c>
      <c r="J414" s="6" t="n">
        <f aca="false">A414</f>
        <v>413</v>
      </c>
      <c r="K414" s="13" t="n">
        <f aca="false">SMALL($G$2:$G$1387,J414)</f>
        <v>-0.53433134304204</v>
      </c>
      <c r="L414" s="18" t="n">
        <f aca="false">(J414-0.5)/1386</f>
        <v>0.297619047619048</v>
      </c>
      <c r="M414" s="18" t="n">
        <f aca="false">_xlfn.NORM.DIST(K414,AVERAGE($G$2:$G$1387),_xlfn.STDEV.S($G$2:$G$1387),TRUE())</f>
        <v>0.296087521237859</v>
      </c>
    </row>
    <row r="415" customFormat="false" ht="15" hidden="false" customHeight="false" outlineLevel="0" collapsed="false">
      <c r="A415" s="0" t="n">
        <f aca="false">ROW()-1</f>
        <v>414</v>
      </c>
      <c r="B415" s="0" t="str">
        <f aca="false">'Analysis Data'!A415</f>
        <v>Regency (aka Omaha)</v>
      </c>
      <c r="C415" s="5" t="n">
        <f aca="false">'Analysis Data'!B415</f>
        <v>40344</v>
      </c>
      <c r="D415" s="6" t="n">
        <f aca="false">'Analysis Data'!C415</f>
        <v>334.020794542775</v>
      </c>
      <c r="E415" s="15" t="n">
        <f aca="false">SUMPRODUCT('Final Model'!$B$45:$I$45,'Analysis Data'!N415:U415)</f>
        <v>252.403782622092</v>
      </c>
      <c r="F415" s="15" t="n">
        <f aca="false">D415-E415</f>
        <v>81.6170119206834</v>
      </c>
      <c r="G415" s="13" t="n">
        <f aca="false">F415/'Final Model'!$B$21</f>
        <v>1.66456553997275</v>
      </c>
      <c r="H415" s="6" t="n">
        <f aca="false">F415^2</f>
        <v>6661.33663486098</v>
      </c>
      <c r="J415" s="6" t="n">
        <f aca="false">A415</f>
        <v>414</v>
      </c>
      <c r="K415" s="13" t="n">
        <f aca="false">SMALL($G$2:$G$1387,J415)</f>
        <v>-0.531613808436609</v>
      </c>
      <c r="L415" s="18" t="n">
        <f aca="false">(J415-0.5)/1386</f>
        <v>0.298340548340548</v>
      </c>
      <c r="M415" s="18" t="n">
        <f aca="false">_xlfn.NORM.DIST(K415,AVERAGE($G$2:$G$1387),_xlfn.STDEV.S($G$2:$G$1387),TRUE())</f>
        <v>0.297029821253898</v>
      </c>
    </row>
    <row r="416" customFormat="false" ht="15" hidden="false" customHeight="false" outlineLevel="0" collapsed="false">
      <c r="A416" s="0" t="n">
        <f aca="false">ROW()-1</f>
        <v>415</v>
      </c>
      <c r="B416" s="0" t="str">
        <f aca="false">'Analysis Data'!A416</f>
        <v>Regency (aka Omaha)</v>
      </c>
      <c r="C416" s="5" t="n">
        <f aca="false">'Analysis Data'!B416</f>
        <v>40351</v>
      </c>
      <c r="D416" s="6" t="n">
        <f aca="false">'Analysis Data'!C416</f>
        <v>203.48298985189</v>
      </c>
      <c r="E416" s="15" t="n">
        <f aca="false">SUMPRODUCT('Final Model'!$B$45:$I$45,'Analysis Data'!N416:U416)</f>
        <v>252.743264944258</v>
      </c>
      <c r="F416" s="15" t="n">
        <f aca="false">D416-E416</f>
        <v>-49.2602750923676</v>
      </c>
      <c r="G416" s="13" t="n">
        <f aca="false">F416/'Final Model'!$B$21</f>
        <v>-1.0046552119308</v>
      </c>
      <c r="H416" s="6" t="n">
        <f aca="false">F416^2</f>
        <v>2426.57470217573</v>
      </c>
      <c r="J416" s="6" t="n">
        <f aca="false">A416</f>
        <v>415</v>
      </c>
      <c r="K416" s="13" t="n">
        <f aca="false">SMALL($G$2:$G$1387,J416)</f>
        <v>-0.528361856560862</v>
      </c>
      <c r="L416" s="18" t="n">
        <f aca="false">(J416-0.5)/1386</f>
        <v>0.299062049062049</v>
      </c>
      <c r="M416" s="18" t="n">
        <f aca="false">_xlfn.NORM.DIST(K416,AVERAGE($G$2:$G$1387),_xlfn.STDEV.S($G$2:$G$1387),TRUE())</f>
        <v>0.298159228625924</v>
      </c>
    </row>
    <row r="417" customFormat="false" ht="15" hidden="false" customHeight="false" outlineLevel="0" collapsed="false">
      <c r="A417" s="0" t="n">
        <f aca="false">ROW()-1</f>
        <v>416</v>
      </c>
      <c r="B417" s="0" t="str">
        <f aca="false">'Analysis Data'!A417</f>
        <v>Regency (aka Omaha)</v>
      </c>
      <c r="C417" s="5" t="n">
        <f aca="false">'Analysis Data'!B417</f>
        <v>40358</v>
      </c>
      <c r="D417" s="6" t="n">
        <f aca="false">'Analysis Data'!C417</f>
        <v>243.958582573945</v>
      </c>
      <c r="E417" s="15" t="n">
        <f aca="false">SUMPRODUCT('Final Model'!$B$45:$I$45,'Analysis Data'!N417:U417)</f>
        <v>253.874872728943</v>
      </c>
      <c r="F417" s="15" t="n">
        <f aca="false">D417-E417</f>
        <v>-9.91629015499822</v>
      </c>
      <c r="G417" s="13" t="n">
        <f aca="false">F417/'Final Model'!$B$21</f>
        <v>-0.20224110743508</v>
      </c>
      <c r="H417" s="6" t="n">
        <f aca="false">F417^2</f>
        <v>98.3328104381147</v>
      </c>
      <c r="J417" s="6" t="n">
        <f aca="false">A417</f>
        <v>416</v>
      </c>
      <c r="K417" s="13" t="n">
        <f aca="false">SMALL($G$2:$G$1387,J417)</f>
        <v>-0.52764734433665</v>
      </c>
      <c r="L417" s="18" t="n">
        <f aca="false">(J417-0.5)/1386</f>
        <v>0.29978354978355</v>
      </c>
      <c r="M417" s="18" t="n">
        <f aca="false">_xlfn.NORM.DIST(K417,AVERAGE($G$2:$G$1387),_xlfn.STDEV.S($G$2:$G$1387),TRUE())</f>
        <v>0.2984076415834</v>
      </c>
    </row>
    <row r="418" customFormat="false" ht="15" hidden="false" customHeight="false" outlineLevel="0" collapsed="false">
      <c r="A418" s="0" t="n">
        <f aca="false">ROW()-1</f>
        <v>417</v>
      </c>
      <c r="B418" s="0" t="str">
        <f aca="false">'Analysis Data'!A418</f>
        <v>Regency (aka Omaha)</v>
      </c>
      <c r="C418" s="5" t="n">
        <f aca="false">'Analysis Data'!B418</f>
        <v>40365</v>
      </c>
      <c r="D418" s="6" t="n">
        <f aca="false">'Analysis Data'!C418</f>
        <v>277.351575977812</v>
      </c>
      <c r="E418" s="15" t="n">
        <f aca="false">SUMPRODUCT('Final Model'!$B$45:$I$45,'Analysis Data'!N418:U418)</f>
        <v>263.31813956107</v>
      </c>
      <c r="F418" s="15" t="n">
        <f aca="false">D418-E418</f>
        <v>14.0334364167413</v>
      </c>
      <c r="G418" s="13" t="n">
        <f aca="false">F418/'Final Model'!$B$21</f>
        <v>0.286209628568703</v>
      </c>
      <c r="H418" s="6" t="n">
        <f aca="false">F418^2</f>
        <v>196.93733766272</v>
      </c>
      <c r="J418" s="6" t="n">
        <f aca="false">A418</f>
        <v>417</v>
      </c>
      <c r="K418" s="13" t="n">
        <f aca="false">SMALL($G$2:$G$1387,J418)</f>
        <v>-0.524761769228084</v>
      </c>
      <c r="L418" s="18" t="n">
        <f aca="false">(J418-0.5)/1386</f>
        <v>0.300505050505051</v>
      </c>
      <c r="M418" s="18" t="n">
        <f aca="false">_xlfn.NORM.DIST(K418,AVERAGE($G$2:$G$1387),_xlfn.STDEV.S($G$2:$G$1387),TRUE())</f>
        <v>0.299411820315784</v>
      </c>
    </row>
    <row r="419" customFormat="false" ht="15" hidden="false" customHeight="false" outlineLevel="0" collapsed="false">
      <c r="A419" s="0" t="n">
        <f aca="false">ROW()-1</f>
        <v>418</v>
      </c>
      <c r="B419" s="0" t="str">
        <f aca="false">'Analysis Data'!A419</f>
        <v>Regency (aka Omaha)</v>
      </c>
      <c r="C419" s="5" t="n">
        <f aca="false">'Analysis Data'!B419</f>
        <v>40372</v>
      </c>
      <c r="D419" s="6" t="n">
        <f aca="false">'Analysis Data'!C419</f>
        <v>337.156410353857</v>
      </c>
      <c r="E419" s="15" t="n">
        <f aca="false">SUMPRODUCT('Final Model'!$B$45:$I$45,'Analysis Data'!N419:U419)</f>
        <v>263.31813956107</v>
      </c>
      <c r="F419" s="15" t="n">
        <f aca="false">D419-E419</f>
        <v>73.8382707927865</v>
      </c>
      <c r="G419" s="13" t="n">
        <f aca="false">F419/'Final Model'!$B$21</f>
        <v>1.50591939352415</v>
      </c>
      <c r="H419" s="6" t="n">
        <f aca="false">F419^2</f>
        <v>5452.09023366887</v>
      </c>
      <c r="J419" s="6" t="n">
        <f aca="false">A419</f>
        <v>418</v>
      </c>
      <c r="K419" s="13" t="n">
        <f aca="false">SMALL($G$2:$G$1387,J419)</f>
        <v>-0.524563190716127</v>
      </c>
      <c r="L419" s="18" t="n">
        <f aca="false">(J419-0.5)/1386</f>
        <v>0.301226551226551</v>
      </c>
      <c r="M419" s="18" t="n">
        <f aca="false">_xlfn.NORM.DIST(K419,AVERAGE($G$2:$G$1387),_xlfn.STDEV.S($G$2:$G$1387),TRUE())</f>
        <v>0.299480981859029</v>
      </c>
    </row>
    <row r="420" customFormat="false" ht="15" hidden="false" customHeight="false" outlineLevel="0" collapsed="false">
      <c r="A420" s="0" t="n">
        <f aca="false">ROW()-1</f>
        <v>419</v>
      </c>
      <c r="B420" s="0" t="str">
        <f aca="false">'Analysis Data'!A420</f>
        <v>Sauganash</v>
      </c>
      <c r="C420" s="5" t="n">
        <f aca="false">'Analysis Data'!B420</f>
        <v>40302</v>
      </c>
      <c r="D420" s="6" t="n">
        <f aca="false">'Analysis Data'!C420</f>
        <v>287.91095812649</v>
      </c>
      <c r="E420" s="15" t="n">
        <f aca="false">SUMPRODUCT('Final Model'!$B$45:$I$45,'Analysis Data'!N420:U420)</f>
        <v>243.577242025116</v>
      </c>
      <c r="F420" s="15" t="n">
        <f aca="false">D420-E420</f>
        <v>44.3337161013741</v>
      </c>
      <c r="G420" s="13" t="n">
        <f aca="false">F420/'Final Model'!$B$21</f>
        <v>0.904178851254673</v>
      </c>
      <c r="H420" s="6" t="n">
        <f aca="false">F420^2</f>
        <v>1965.47838335724</v>
      </c>
      <c r="J420" s="6" t="n">
        <f aca="false">A420</f>
        <v>419</v>
      </c>
      <c r="K420" s="13" t="n">
        <f aca="false">SMALL($G$2:$G$1387,J420)</f>
        <v>-0.522103773237651</v>
      </c>
      <c r="L420" s="18" t="n">
        <f aca="false">(J420-0.5)/1386</f>
        <v>0.301948051948052</v>
      </c>
      <c r="M420" s="18" t="n">
        <f aca="false">_xlfn.NORM.DIST(K420,AVERAGE($G$2:$G$1387),_xlfn.STDEV.S($G$2:$G$1387),TRUE())</f>
        <v>0.300338155040983</v>
      </c>
    </row>
    <row r="421" customFormat="false" ht="15" hidden="false" customHeight="false" outlineLevel="0" collapsed="false">
      <c r="A421" s="0" t="n">
        <f aca="false">ROW()-1</f>
        <v>420</v>
      </c>
      <c r="B421" s="0" t="str">
        <f aca="false">'Analysis Data'!A421</f>
        <v>Sauganash</v>
      </c>
      <c r="C421" s="5" t="n">
        <f aca="false">'Analysis Data'!B421</f>
        <v>40309</v>
      </c>
      <c r="D421" s="6" t="n">
        <f aca="false">'Analysis Data'!C421</f>
        <v>283.36179701124</v>
      </c>
      <c r="E421" s="15" t="n">
        <f aca="false">SUMPRODUCT('Final Model'!$B$45:$I$45,'Analysis Data'!N421:U421)</f>
        <v>244.067605386711</v>
      </c>
      <c r="F421" s="15" t="n">
        <f aca="false">D421-E421</f>
        <v>39.2941916245292</v>
      </c>
      <c r="G421" s="13" t="n">
        <f aca="false">F421/'Final Model'!$B$21</f>
        <v>0.801398578066561</v>
      </c>
      <c r="H421" s="6" t="n">
        <f aca="false">F421^2</f>
        <v>1544.03349542522</v>
      </c>
      <c r="J421" s="6" t="n">
        <f aca="false">A421</f>
        <v>420</v>
      </c>
      <c r="K421" s="13" t="n">
        <f aca="false">SMALL($G$2:$G$1387,J421)</f>
        <v>-0.520026293766975</v>
      </c>
      <c r="L421" s="18" t="n">
        <f aca="false">(J421-0.5)/1386</f>
        <v>0.302669552669553</v>
      </c>
      <c r="M421" s="18" t="n">
        <f aca="false">_xlfn.NORM.DIST(K421,AVERAGE($G$2:$G$1387),_xlfn.STDEV.S($G$2:$G$1387),TRUE())</f>
        <v>0.301063075161825</v>
      </c>
    </row>
    <row r="422" customFormat="false" ht="15" hidden="false" customHeight="false" outlineLevel="0" collapsed="false">
      <c r="A422" s="0" t="n">
        <f aca="false">ROW()-1</f>
        <v>421</v>
      </c>
      <c r="B422" s="0" t="str">
        <f aca="false">'Analysis Data'!A422</f>
        <v>Sauganash</v>
      </c>
      <c r="C422" s="5" t="n">
        <f aca="false">'Analysis Data'!B422</f>
        <v>40316</v>
      </c>
      <c r="D422" s="6" t="n">
        <f aca="false">'Analysis Data'!C422</f>
        <v>240.784527532362</v>
      </c>
      <c r="E422" s="15" t="n">
        <f aca="false">SUMPRODUCT('Final Model'!$B$45:$I$45,'Analysis Data'!N422:U422)</f>
        <v>257.835499909144</v>
      </c>
      <c r="F422" s="15" t="n">
        <f aca="false">D422-E422</f>
        <v>-17.0509723767816</v>
      </c>
      <c r="G422" s="13" t="n">
        <f aca="false">F422/'Final Model'!$B$21</f>
        <v>-0.347751778379249</v>
      </c>
      <c r="H422" s="6" t="n">
        <f aca="false">F422^2</f>
        <v>290.73565899377</v>
      </c>
      <c r="J422" s="6" t="n">
        <f aca="false">A422</f>
        <v>421</v>
      </c>
      <c r="K422" s="13" t="n">
        <f aca="false">SMALL($G$2:$G$1387,J422)</f>
        <v>-0.51582108153265</v>
      </c>
      <c r="L422" s="18" t="n">
        <f aca="false">(J422-0.5)/1386</f>
        <v>0.303391053391053</v>
      </c>
      <c r="M422" s="18" t="n">
        <f aca="false">_xlfn.NORM.DIST(K422,AVERAGE($G$2:$G$1387),_xlfn.STDEV.S($G$2:$G$1387),TRUE())</f>
        <v>0.302532859059417</v>
      </c>
    </row>
    <row r="423" customFormat="false" ht="15" hidden="false" customHeight="false" outlineLevel="0" collapsed="false">
      <c r="A423" s="0" t="n">
        <f aca="false">ROW()-1</f>
        <v>422</v>
      </c>
      <c r="B423" s="0" t="str">
        <f aca="false">'Analysis Data'!A423</f>
        <v>Sauganash</v>
      </c>
      <c r="C423" s="5" t="n">
        <f aca="false">'Analysis Data'!B423</f>
        <v>40323</v>
      </c>
      <c r="D423" s="6" t="n">
        <f aca="false">'Analysis Data'!C423</f>
        <v>190.788567338542</v>
      </c>
      <c r="E423" s="15" t="n">
        <f aca="false">SUMPRODUCT('Final Model'!$B$45:$I$45,'Analysis Data'!N423:U423)</f>
        <v>253.727763711638</v>
      </c>
      <c r="F423" s="15" t="n">
        <f aca="false">D423-E423</f>
        <v>-62.939196373096</v>
      </c>
      <c r="G423" s="13" t="n">
        <f aca="false">F423/'Final Model'!$B$21</f>
        <v>-1.28363456258417</v>
      </c>
      <c r="H423" s="6" t="n">
        <f aca="false">F423^2</f>
        <v>3961.34244009114</v>
      </c>
      <c r="J423" s="6" t="n">
        <f aca="false">A423</f>
        <v>422</v>
      </c>
      <c r="K423" s="13" t="n">
        <f aca="false">SMALL($G$2:$G$1387,J423)</f>
        <v>-0.514516401897632</v>
      </c>
      <c r="L423" s="18" t="n">
        <f aca="false">(J423-0.5)/1386</f>
        <v>0.304112554112554</v>
      </c>
      <c r="M423" s="18" t="n">
        <f aca="false">_xlfn.NORM.DIST(K423,AVERAGE($G$2:$G$1387),_xlfn.STDEV.S($G$2:$G$1387),TRUE())</f>
        <v>0.302989516803345</v>
      </c>
    </row>
    <row r="424" customFormat="false" ht="15" hidden="false" customHeight="false" outlineLevel="0" collapsed="false">
      <c r="A424" s="0" t="n">
        <f aca="false">ROW()-1</f>
        <v>423</v>
      </c>
      <c r="B424" s="0" t="str">
        <f aca="false">'Analysis Data'!A424</f>
        <v>Sauganash</v>
      </c>
      <c r="C424" s="5" t="n">
        <f aca="false">'Analysis Data'!B424</f>
        <v>40330</v>
      </c>
      <c r="D424" s="6" t="n">
        <f aca="false">'Analysis Data'!C424</f>
        <v>182.679988196722</v>
      </c>
      <c r="E424" s="15" t="n">
        <f aca="false">SUMPRODUCT('Final Model'!$B$45:$I$45,'Analysis Data'!N424:U424)</f>
        <v>251.615698633914</v>
      </c>
      <c r="F424" s="15" t="n">
        <f aca="false">D424-E424</f>
        <v>-68.9357104371926</v>
      </c>
      <c r="G424" s="13" t="n">
        <f aca="false">F424/'Final Model'!$B$21</f>
        <v>-1.40593248107153</v>
      </c>
      <c r="H424" s="6" t="n">
        <f aca="false">F424^2</f>
        <v>4752.13217348046</v>
      </c>
      <c r="J424" s="6" t="n">
        <f aca="false">A424</f>
        <v>423</v>
      </c>
      <c r="K424" s="13" t="n">
        <f aca="false">SMALL($G$2:$G$1387,J424)</f>
        <v>-0.513112843410631</v>
      </c>
      <c r="L424" s="18" t="n">
        <f aca="false">(J424-0.5)/1386</f>
        <v>0.304834054834055</v>
      </c>
      <c r="M424" s="18" t="n">
        <f aca="false">_xlfn.NORM.DIST(K424,AVERAGE($G$2:$G$1387),_xlfn.STDEV.S($G$2:$G$1387),TRUE())</f>
        <v>0.303481127763728</v>
      </c>
    </row>
    <row r="425" customFormat="false" ht="15" hidden="false" customHeight="false" outlineLevel="0" collapsed="false">
      <c r="A425" s="0" t="n">
        <f aca="false">ROW()-1</f>
        <v>424</v>
      </c>
      <c r="B425" s="0" t="str">
        <f aca="false">'Analysis Data'!A425</f>
        <v>Sauganash</v>
      </c>
      <c r="C425" s="5" t="n">
        <f aca="false">'Analysis Data'!B425</f>
        <v>40337</v>
      </c>
      <c r="D425" s="6" t="n">
        <f aca="false">'Analysis Data'!C425</f>
        <v>295.767748143607</v>
      </c>
      <c r="E425" s="15" t="n">
        <f aca="false">SUMPRODUCT('Final Model'!$B$45:$I$45,'Analysis Data'!N425:U425)</f>
        <v>249.3484416564</v>
      </c>
      <c r="F425" s="15" t="n">
        <f aca="false">D425-E425</f>
        <v>46.4193064872072</v>
      </c>
      <c r="G425" s="13" t="n">
        <f aca="false">F425/'Final Model'!$B$21</f>
        <v>0.946714124294687</v>
      </c>
      <c r="H425" s="6" t="n">
        <f aca="false">F425^2</f>
        <v>2154.75201475328</v>
      </c>
      <c r="J425" s="6" t="n">
        <f aca="false">A425</f>
        <v>424</v>
      </c>
      <c r="K425" s="13" t="n">
        <f aca="false">SMALL($G$2:$G$1387,J425)</f>
        <v>-0.511867816892213</v>
      </c>
      <c r="L425" s="18" t="n">
        <f aca="false">(J425-0.5)/1386</f>
        <v>0.305555555555556</v>
      </c>
      <c r="M425" s="18" t="n">
        <f aca="false">_xlfn.NORM.DIST(K425,AVERAGE($G$2:$G$1387),_xlfn.STDEV.S($G$2:$G$1387),TRUE())</f>
        <v>0.30391750921237</v>
      </c>
    </row>
    <row r="426" customFormat="false" ht="15" hidden="false" customHeight="false" outlineLevel="0" collapsed="false">
      <c r="A426" s="0" t="n">
        <f aca="false">ROW()-1</f>
        <v>425</v>
      </c>
      <c r="B426" s="0" t="str">
        <f aca="false">'Analysis Data'!A426</f>
        <v>Sauganash</v>
      </c>
      <c r="C426" s="5" t="n">
        <f aca="false">'Analysis Data'!B426</f>
        <v>40344</v>
      </c>
      <c r="D426" s="6" t="n">
        <f aca="false">'Analysis Data'!C426</f>
        <v>227.786706999982</v>
      </c>
      <c r="E426" s="15" t="n">
        <f aca="false">SUMPRODUCT('Final Model'!$B$45:$I$45,'Analysis Data'!N426:U426)</f>
        <v>253.507100196714</v>
      </c>
      <c r="F426" s="15" t="n">
        <f aca="false">D426-E426</f>
        <v>-25.7203931967321</v>
      </c>
      <c r="G426" s="13" t="n">
        <f aca="false">F426/'Final Model'!$B$21</f>
        <v>-0.524563190716127</v>
      </c>
      <c r="H426" s="6" t="n">
        <f aca="false">F426^2</f>
        <v>661.538626194502</v>
      </c>
      <c r="J426" s="6" t="n">
        <f aca="false">A426</f>
        <v>425</v>
      </c>
      <c r="K426" s="13" t="n">
        <f aca="false">SMALL($G$2:$G$1387,J426)</f>
        <v>-0.508287840778643</v>
      </c>
      <c r="L426" s="18" t="n">
        <f aca="false">(J426-0.5)/1386</f>
        <v>0.306277056277056</v>
      </c>
      <c r="M426" s="18" t="n">
        <f aca="false">_xlfn.NORM.DIST(K426,AVERAGE($G$2:$G$1387),_xlfn.STDEV.S($G$2:$G$1387),TRUE())</f>
        <v>0.30517384597274</v>
      </c>
    </row>
    <row r="427" customFormat="false" ht="15" hidden="false" customHeight="false" outlineLevel="0" collapsed="false">
      <c r="A427" s="0" t="n">
        <f aca="false">ROW()-1</f>
        <v>426</v>
      </c>
      <c r="B427" s="0" t="str">
        <f aca="false">'Analysis Data'!A427</f>
        <v>Sauganash</v>
      </c>
      <c r="C427" s="5" t="n">
        <f aca="false">'Analysis Data'!B427</f>
        <v>40351</v>
      </c>
      <c r="D427" s="6" t="n">
        <f aca="false">'Analysis Data'!C427</f>
        <v>180.263230815573</v>
      </c>
      <c r="E427" s="15" t="n">
        <f aca="false">SUMPRODUCT('Final Model'!$B$45:$I$45,'Analysis Data'!N427:U427)</f>
        <v>253.507100196714</v>
      </c>
      <c r="F427" s="15" t="n">
        <f aca="false">D427-E427</f>
        <v>-73.2438693811405</v>
      </c>
      <c r="G427" s="13" t="n">
        <f aca="false">F427/'Final Model'!$B$21</f>
        <v>-1.4937966744555</v>
      </c>
      <c r="H427" s="6" t="n">
        <f aca="false">F427^2</f>
        <v>5364.66440192157</v>
      </c>
      <c r="J427" s="6" t="n">
        <f aca="false">A427</f>
        <v>426</v>
      </c>
      <c r="K427" s="13" t="n">
        <f aca="false">SMALL($G$2:$G$1387,J427)</f>
        <v>-0.508194694197517</v>
      </c>
      <c r="L427" s="18" t="n">
        <f aca="false">(J427-0.5)/1386</f>
        <v>0.306998556998557</v>
      </c>
      <c r="M427" s="18" t="n">
        <f aca="false">_xlfn.NORM.DIST(K427,AVERAGE($G$2:$G$1387),_xlfn.STDEV.S($G$2:$G$1387),TRUE())</f>
        <v>0.305206565061697</v>
      </c>
    </row>
    <row r="428" customFormat="false" ht="15" hidden="false" customHeight="false" outlineLevel="0" collapsed="false">
      <c r="A428" s="0" t="n">
        <f aca="false">ROW()-1</f>
        <v>427</v>
      </c>
      <c r="B428" s="0" t="str">
        <f aca="false">'Analysis Data'!A428</f>
        <v>Sauganash</v>
      </c>
      <c r="C428" s="5" t="n">
        <f aca="false">'Analysis Data'!B428</f>
        <v>40358</v>
      </c>
      <c r="D428" s="6" t="n">
        <f aca="false">'Analysis Data'!C428</f>
        <v>171.31509019742</v>
      </c>
      <c r="E428" s="15" t="n">
        <f aca="false">SUMPRODUCT('Final Model'!$B$45:$I$45,'Analysis Data'!N428:U428)</f>
        <v>255.634926938314</v>
      </c>
      <c r="F428" s="15" t="n">
        <f aca="false">D428-E428</f>
        <v>-84.3198367408939</v>
      </c>
      <c r="G428" s="13" t="n">
        <f aca="false">F428/'Final Model'!$B$21</f>
        <v>-1.71968920782619</v>
      </c>
      <c r="H428" s="6" t="n">
        <f aca="false">F428^2</f>
        <v>7109.834868011</v>
      </c>
      <c r="J428" s="6" t="n">
        <f aca="false">A428</f>
        <v>427</v>
      </c>
      <c r="K428" s="13" t="n">
        <f aca="false">SMALL($G$2:$G$1387,J428)</f>
        <v>-0.503399895112804</v>
      </c>
      <c r="L428" s="18" t="n">
        <f aca="false">(J428-0.5)/1386</f>
        <v>0.307720057720058</v>
      </c>
      <c r="M428" s="18" t="n">
        <f aca="false">_xlfn.NORM.DIST(K428,AVERAGE($G$2:$G$1387),_xlfn.STDEV.S($G$2:$G$1387),TRUE())</f>
        <v>0.306892905570488</v>
      </c>
    </row>
    <row r="429" customFormat="false" ht="15" hidden="false" customHeight="false" outlineLevel="0" collapsed="false">
      <c r="A429" s="0" t="n">
        <f aca="false">ROW()-1</f>
        <v>428</v>
      </c>
      <c r="B429" s="0" t="str">
        <f aca="false">'Analysis Data'!A429</f>
        <v>Sauganash</v>
      </c>
      <c r="C429" s="5" t="n">
        <f aca="false">'Analysis Data'!B429</f>
        <v>40365</v>
      </c>
      <c r="D429" s="6" t="n">
        <f aca="false">'Analysis Data'!C429</f>
        <v>305.195583605854</v>
      </c>
      <c r="E429" s="15" t="n">
        <f aca="false">SUMPRODUCT('Final Model'!$B$45:$I$45,'Analysis Data'!N429:U429)</f>
        <v>258.405830228036</v>
      </c>
      <c r="F429" s="15" t="n">
        <f aca="false">D429-E429</f>
        <v>46.7897533778185</v>
      </c>
      <c r="G429" s="13" t="n">
        <f aca="false">F429/'Final Model'!$B$21</f>
        <v>0.954269327725815</v>
      </c>
      <c r="H429" s="6" t="n">
        <f aca="false">F429^2</f>
        <v>2189.28102115708</v>
      </c>
      <c r="J429" s="6" t="n">
        <f aca="false">A429</f>
        <v>428</v>
      </c>
      <c r="K429" s="13" t="n">
        <f aca="false">SMALL($G$2:$G$1387,J429)</f>
        <v>-0.501773686399806</v>
      </c>
      <c r="L429" s="18" t="n">
        <f aca="false">(J429-0.5)/1386</f>
        <v>0.308441558441558</v>
      </c>
      <c r="M429" s="18" t="n">
        <f aca="false">_xlfn.NORM.DIST(K429,AVERAGE($G$2:$G$1387),_xlfn.STDEV.S($G$2:$G$1387),TRUE())</f>
        <v>0.307465778084178</v>
      </c>
    </row>
    <row r="430" customFormat="false" ht="15" hidden="false" customHeight="false" outlineLevel="0" collapsed="false">
      <c r="A430" s="0" t="n">
        <f aca="false">ROW()-1</f>
        <v>429</v>
      </c>
      <c r="B430" s="0" t="str">
        <f aca="false">'Analysis Data'!A430</f>
        <v>Sauganash</v>
      </c>
      <c r="C430" s="5" t="n">
        <f aca="false">'Analysis Data'!B430</f>
        <v>40372</v>
      </c>
      <c r="D430" s="6" t="n">
        <f aca="false">'Analysis Data'!C430</f>
        <v>260.913281866099</v>
      </c>
      <c r="E430" s="15" t="n">
        <f aca="false">SUMPRODUCT('Final Model'!$B$45:$I$45,'Analysis Data'!N430:U430)</f>
        <v>252.587668877173</v>
      </c>
      <c r="F430" s="15" t="n">
        <f aca="false">D430-E430</f>
        <v>8.32561298892594</v>
      </c>
      <c r="G430" s="13" t="n">
        <f aca="false">F430/'Final Model'!$B$21</f>
        <v>0.169799508146458</v>
      </c>
      <c r="H430" s="6" t="n">
        <f aca="false">F430^2</f>
        <v>69.3158316413723</v>
      </c>
      <c r="J430" s="6" t="n">
        <f aca="false">A430</f>
        <v>429</v>
      </c>
      <c r="K430" s="13" t="n">
        <f aca="false">SMALL($G$2:$G$1387,J430)</f>
        <v>-0.498335052587921</v>
      </c>
      <c r="L430" s="18" t="n">
        <f aca="false">(J430-0.5)/1386</f>
        <v>0.309163059163059</v>
      </c>
      <c r="M430" s="18" t="n">
        <f aca="false">_xlfn.NORM.DIST(K430,AVERAGE($G$2:$G$1387),_xlfn.STDEV.S($G$2:$G$1387),TRUE())</f>
        <v>0.308678668787939</v>
      </c>
    </row>
    <row r="431" customFormat="false" ht="15" hidden="false" customHeight="false" outlineLevel="0" collapsed="false">
      <c r="A431" s="0" t="n">
        <f aca="false">ROW()-1</f>
        <v>430</v>
      </c>
      <c r="B431" s="0" t="str">
        <f aca="false">'Analysis Data'!A431</f>
        <v>South Loop</v>
      </c>
      <c r="C431" s="5" t="n">
        <f aca="false">'Analysis Data'!B431</f>
        <v>40302</v>
      </c>
      <c r="D431" s="6" t="n">
        <f aca="false">'Analysis Data'!C431</f>
        <v>194.992941075131</v>
      </c>
      <c r="E431" s="15" t="n">
        <f aca="false">SUMPRODUCT('Final Model'!$B$45:$I$45,'Analysis Data'!N431:U431)</f>
        <v>244.067605386711</v>
      </c>
      <c r="F431" s="15" t="n">
        <f aca="false">D431-E431</f>
        <v>-49.0746643115798</v>
      </c>
      <c r="G431" s="13" t="n">
        <f aca="false">F431/'Final Model'!$B$21</f>
        <v>-1.00086971057176</v>
      </c>
      <c r="H431" s="6" t="n">
        <f aca="false">F431^2</f>
        <v>2408.32267729425</v>
      </c>
      <c r="J431" s="6" t="n">
        <f aca="false">A431</f>
        <v>430</v>
      </c>
      <c r="K431" s="13" t="n">
        <f aca="false">SMALL($G$2:$G$1387,J431)</f>
        <v>-0.498214476519148</v>
      </c>
      <c r="L431" s="18" t="n">
        <f aca="false">(J431-0.5)/1386</f>
        <v>0.30988455988456</v>
      </c>
      <c r="M431" s="18" t="n">
        <f aca="false">_xlfn.NORM.DIST(K431,AVERAGE($G$2:$G$1387),_xlfn.STDEV.S($G$2:$G$1387),TRUE())</f>
        <v>0.308721236937272</v>
      </c>
    </row>
    <row r="432" customFormat="false" ht="15" hidden="false" customHeight="false" outlineLevel="0" collapsed="false">
      <c r="A432" s="0" t="n">
        <f aca="false">ROW()-1</f>
        <v>431</v>
      </c>
      <c r="B432" s="0" t="str">
        <f aca="false">'Analysis Data'!A432</f>
        <v>South Loop</v>
      </c>
      <c r="C432" s="5" t="n">
        <f aca="false">'Analysis Data'!B432</f>
        <v>40309</v>
      </c>
      <c r="D432" s="6" t="n">
        <f aca="false">'Analysis Data'!C432</f>
        <v>272.004793135819</v>
      </c>
      <c r="E432" s="15" t="n">
        <f aca="false">SUMPRODUCT('Final Model'!$B$45:$I$45,'Analysis Data'!N432:U432)</f>
        <v>235.633355487838</v>
      </c>
      <c r="F432" s="15" t="n">
        <f aca="false">D432-E432</f>
        <v>36.3714376479806</v>
      </c>
      <c r="G432" s="13" t="n">
        <f aca="false">F432/'Final Model'!$B$21</f>
        <v>0.741789491226809</v>
      </c>
      <c r="H432" s="6" t="n">
        <f aca="false">F432^2</f>
        <v>1322.88147658094</v>
      </c>
      <c r="J432" s="6" t="n">
        <f aca="false">A432</f>
        <v>431</v>
      </c>
      <c r="K432" s="13" t="n">
        <f aca="false">SMALL($G$2:$G$1387,J432)</f>
        <v>-0.496267530321841</v>
      </c>
      <c r="L432" s="18" t="n">
        <f aca="false">(J432-0.5)/1386</f>
        <v>0.310606060606061</v>
      </c>
      <c r="M432" s="18" t="n">
        <f aca="false">_xlfn.NORM.DIST(K432,AVERAGE($G$2:$G$1387),_xlfn.STDEV.S($G$2:$G$1387),TRUE())</f>
        <v>0.309408941894477</v>
      </c>
    </row>
    <row r="433" customFormat="false" ht="15" hidden="false" customHeight="false" outlineLevel="0" collapsed="false">
      <c r="A433" s="0" t="n">
        <f aca="false">ROW()-1</f>
        <v>432</v>
      </c>
      <c r="B433" s="0" t="str">
        <f aca="false">'Analysis Data'!A433</f>
        <v>South Loop</v>
      </c>
      <c r="C433" s="5" t="n">
        <f aca="false">'Analysis Data'!B433</f>
        <v>40316</v>
      </c>
      <c r="D433" s="6" t="n">
        <f aca="false">'Analysis Data'!C433</f>
        <v>287.809017437598</v>
      </c>
      <c r="E433" s="15" t="n">
        <f aca="false">SUMPRODUCT('Final Model'!$B$45:$I$45,'Analysis Data'!N433:U433)</f>
        <v>255.968347104132</v>
      </c>
      <c r="F433" s="15" t="n">
        <f aca="false">D433-E433</f>
        <v>31.8406703334657</v>
      </c>
      <c r="G433" s="13" t="n">
        <f aca="false">F433/'Final Model'!$B$21</f>
        <v>0.649385236722789</v>
      </c>
      <c r="H433" s="6" t="n">
        <f aca="false">F433^2</f>
        <v>1013.82828728444</v>
      </c>
      <c r="J433" s="6" t="n">
        <f aca="false">A433</f>
        <v>432</v>
      </c>
      <c r="K433" s="13" t="n">
        <f aca="false">SMALL($G$2:$G$1387,J433)</f>
        <v>-0.495836698170122</v>
      </c>
      <c r="L433" s="18" t="n">
        <f aca="false">(J433-0.5)/1386</f>
        <v>0.311327561327561</v>
      </c>
      <c r="M433" s="18" t="n">
        <f aca="false">_xlfn.NORM.DIST(K433,AVERAGE($G$2:$G$1387),_xlfn.STDEV.S($G$2:$G$1387),TRUE())</f>
        <v>0.309561211805878</v>
      </c>
    </row>
    <row r="434" customFormat="false" ht="15" hidden="false" customHeight="false" outlineLevel="0" collapsed="false">
      <c r="A434" s="0" t="n">
        <f aca="false">ROW()-1</f>
        <v>433</v>
      </c>
      <c r="B434" s="0" t="str">
        <f aca="false">'Analysis Data'!A434</f>
        <v>South Loop</v>
      </c>
      <c r="C434" s="5" t="n">
        <f aca="false">'Analysis Data'!B434</f>
        <v>40323</v>
      </c>
      <c r="D434" s="6" t="n">
        <f aca="false">'Analysis Data'!C434</f>
        <v>249.913642741701</v>
      </c>
      <c r="E434" s="15" t="n">
        <f aca="false">SUMPRODUCT('Final Model'!$B$45:$I$45,'Analysis Data'!N434:U434)</f>
        <v>253.034249817047</v>
      </c>
      <c r="F434" s="15" t="n">
        <f aca="false">D434-E434</f>
        <v>-3.1206070753465</v>
      </c>
      <c r="G434" s="13" t="n">
        <f aca="false">F434/'Final Model'!$B$21</f>
        <v>-0.0636442682619278</v>
      </c>
      <c r="H434" s="6" t="n">
        <f aca="false">F434^2</f>
        <v>9.73818851870263</v>
      </c>
      <c r="J434" s="6" t="n">
        <f aca="false">A434</f>
        <v>433</v>
      </c>
      <c r="K434" s="13" t="n">
        <f aca="false">SMALL($G$2:$G$1387,J434)</f>
        <v>-0.493794156123403</v>
      </c>
      <c r="L434" s="18" t="n">
        <f aca="false">(J434-0.5)/1386</f>
        <v>0.312049062049062</v>
      </c>
      <c r="M434" s="18" t="n">
        <f aca="false">_xlfn.NORM.DIST(K434,AVERAGE($G$2:$G$1387),_xlfn.STDEV.S($G$2:$G$1387),TRUE())</f>
        <v>0.310283556325751</v>
      </c>
    </row>
    <row r="435" customFormat="false" ht="15" hidden="false" customHeight="false" outlineLevel="0" collapsed="false">
      <c r="A435" s="0" t="n">
        <f aca="false">ROW()-1</f>
        <v>434</v>
      </c>
      <c r="B435" s="0" t="str">
        <f aca="false">'Analysis Data'!A435</f>
        <v>South Loop</v>
      </c>
      <c r="C435" s="5" t="n">
        <f aca="false">'Analysis Data'!B435</f>
        <v>40330</v>
      </c>
      <c r="D435" s="6" t="n">
        <f aca="false">'Analysis Data'!C435</f>
        <v>331.067551967548</v>
      </c>
      <c r="E435" s="15" t="n">
        <f aca="false">SUMPRODUCT('Final Model'!$B$45:$I$45,'Analysis Data'!N435:U435)</f>
        <v>254.768034564558</v>
      </c>
      <c r="F435" s="15" t="n">
        <f aca="false">D435-E435</f>
        <v>76.2995174029896</v>
      </c>
      <c r="G435" s="13" t="n">
        <f aca="false">F435/'Final Model'!$B$21</f>
        <v>1.55611611350087</v>
      </c>
      <c r="H435" s="6" t="n">
        <f aca="false">F435^2</f>
        <v>5821.61635592911</v>
      </c>
      <c r="J435" s="6" t="n">
        <f aca="false">A435</f>
        <v>434</v>
      </c>
      <c r="K435" s="13" t="n">
        <f aca="false">SMALL($G$2:$G$1387,J435)</f>
        <v>-0.489177577795031</v>
      </c>
      <c r="L435" s="18" t="n">
        <f aca="false">(J435-0.5)/1386</f>
        <v>0.312770562770563</v>
      </c>
      <c r="M435" s="18" t="n">
        <f aca="false">_xlfn.NORM.DIST(K435,AVERAGE($G$2:$G$1387),_xlfn.STDEV.S($G$2:$G$1387),TRUE())</f>
        <v>0.311918903903774</v>
      </c>
    </row>
    <row r="436" customFormat="false" ht="15" hidden="false" customHeight="false" outlineLevel="0" collapsed="false">
      <c r="A436" s="0" t="n">
        <f aca="false">ROW()-1</f>
        <v>435</v>
      </c>
      <c r="B436" s="0" t="str">
        <f aca="false">'Analysis Data'!A436</f>
        <v>South Loop</v>
      </c>
      <c r="C436" s="5" t="n">
        <f aca="false">'Analysis Data'!B436</f>
        <v>40337</v>
      </c>
      <c r="D436" s="6" t="n">
        <f aca="false">'Analysis Data'!C436</f>
        <v>294.777980613199</v>
      </c>
      <c r="E436" s="15" t="n">
        <f aca="false">SUMPRODUCT('Final Model'!$B$45:$I$45,'Analysis Data'!N436:U436)</f>
        <v>245.636768157055</v>
      </c>
      <c r="F436" s="15" t="n">
        <f aca="false">D436-E436</f>
        <v>49.1412124561436</v>
      </c>
      <c r="G436" s="13" t="n">
        <f aca="false">F436/'Final Model'!$B$21</f>
        <v>1.00222694903937</v>
      </c>
      <c r="H436" s="6" t="n">
        <f aca="false">F436^2</f>
        <v>2414.85876165984</v>
      </c>
      <c r="J436" s="6" t="n">
        <f aca="false">A436</f>
        <v>435</v>
      </c>
      <c r="K436" s="13" t="n">
        <f aca="false">SMALL($G$2:$G$1387,J436)</f>
        <v>-0.489176378323714</v>
      </c>
      <c r="L436" s="18" t="n">
        <f aca="false">(J436-0.5)/1386</f>
        <v>0.313492063492064</v>
      </c>
      <c r="M436" s="18" t="n">
        <f aca="false">_xlfn.NORM.DIST(K436,AVERAGE($G$2:$G$1387),_xlfn.STDEV.S($G$2:$G$1387),TRUE())</f>
        <v>0.311919329280962</v>
      </c>
    </row>
    <row r="437" customFormat="false" ht="15" hidden="false" customHeight="false" outlineLevel="0" collapsed="false">
      <c r="A437" s="0" t="n">
        <f aca="false">ROW()-1</f>
        <v>436</v>
      </c>
      <c r="B437" s="0" t="str">
        <f aca="false">'Analysis Data'!A437</f>
        <v>South Loop</v>
      </c>
      <c r="C437" s="5" t="n">
        <f aca="false">'Analysis Data'!B437</f>
        <v>40344</v>
      </c>
      <c r="D437" s="6" t="n">
        <f aca="false">'Analysis Data'!C437</f>
        <v>428.259504665654</v>
      </c>
      <c r="E437" s="15" t="n">
        <f aca="false">SUMPRODUCT('Final Model'!$B$45:$I$45,'Analysis Data'!N437:U437)</f>
        <v>245.636768157055</v>
      </c>
      <c r="F437" s="15" t="n">
        <f aca="false">D437-E437</f>
        <v>182.622736508599</v>
      </c>
      <c r="G437" s="13" t="n">
        <f aca="false">F437/'Final Model'!$B$21</f>
        <v>3.72456068721502</v>
      </c>
      <c r="H437" s="6" t="n">
        <f aca="false">F437^2</f>
        <v>33351.0638898891</v>
      </c>
      <c r="J437" s="6" t="n">
        <f aca="false">A437</f>
        <v>436</v>
      </c>
      <c r="K437" s="13" t="n">
        <f aca="false">SMALL($G$2:$G$1387,J437)</f>
        <v>-0.482122998251271</v>
      </c>
      <c r="L437" s="18" t="n">
        <f aca="false">(J437-0.5)/1386</f>
        <v>0.314213564213564</v>
      </c>
      <c r="M437" s="18" t="n">
        <f aca="false">_xlfn.NORM.DIST(K437,AVERAGE($G$2:$G$1387),_xlfn.STDEV.S($G$2:$G$1387),TRUE())</f>
        <v>0.314425042577155</v>
      </c>
    </row>
    <row r="438" customFormat="false" ht="15" hidden="false" customHeight="false" outlineLevel="0" collapsed="false">
      <c r="A438" s="0" t="n">
        <f aca="false">ROW()-1</f>
        <v>437</v>
      </c>
      <c r="B438" s="0" t="str">
        <f aca="false">'Analysis Data'!A438</f>
        <v>South Loop</v>
      </c>
      <c r="C438" s="5" t="n">
        <f aca="false">'Analysis Data'!B438</f>
        <v>40351</v>
      </c>
      <c r="D438" s="6" t="n">
        <f aca="false">'Analysis Data'!C438</f>
        <v>303.944954406258</v>
      </c>
      <c r="E438" s="15" t="n">
        <f aca="false">SUMPRODUCT('Final Model'!$B$45:$I$45,'Analysis Data'!N438:U438)</f>
        <v>347.093540206669</v>
      </c>
      <c r="F438" s="15" t="n">
        <f aca="false">D438-E438</f>
        <v>-43.1485858004104</v>
      </c>
      <c r="G438" s="13" t="n">
        <f aca="false">F438/'Final Model'!$B$21</f>
        <v>-0.880008313606484</v>
      </c>
      <c r="H438" s="6" t="n">
        <f aca="false">F438^2</f>
        <v>1861.80045657538</v>
      </c>
      <c r="J438" s="6" t="n">
        <f aca="false">A438</f>
        <v>437</v>
      </c>
      <c r="K438" s="13" t="n">
        <f aca="false">SMALL($G$2:$G$1387,J438)</f>
        <v>-0.481950852766536</v>
      </c>
      <c r="L438" s="18" t="n">
        <f aca="false">(J438-0.5)/1386</f>
        <v>0.314935064935065</v>
      </c>
      <c r="M438" s="18" t="n">
        <f aca="false">_xlfn.NORM.DIST(K438,AVERAGE($G$2:$G$1387),_xlfn.STDEV.S($G$2:$G$1387),TRUE())</f>
        <v>0.314486304895082</v>
      </c>
    </row>
    <row r="439" customFormat="false" ht="15" hidden="false" customHeight="false" outlineLevel="0" collapsed="false">
      <c r="A439" s="0" t="n">
        <f aca="false">ROW()-1</f>
        <v>438</v>
      </c>
      <c r="B439" s="0" t="str">
        <f aca="false">'Analysis Data'!A439</f>
        <v>South Loop</v>
      </c>
      <c r="C439" s="5" t="n">
        <f aca="false">'Analysis Data'!B439</f>
        <v>40358</v>
      </c>
      <c r="D439" s="6" t="n">
        <f aca="false">'Analysis Data'!C439</f>
        <v>422.672580978012</v>
      </c>
      <c r="E439" s="15" t="n">
        <f aca="false">SUMPRODUCT('Final Model'!$B$45:$I$45,'Analysis Data'!N439:U439)</f>
        <v>441.311437480417</v>
      </c>
      <c r="F439" s="15" t="n">
        <f aca="false">D439-E439</f>
        <v>-18.6388565024056</v>
      </c>
      <c r="G439" s="13" t="n">
        <f aca="false">F439/'Final Model'!$B$21</f>
        <v>-0.380136414067114</v>
      </c>
      <c r="H439" s="6" t="n">
        <f aca="false">F439^2</f>
        <v>347.406971717269</v>
      </c>
      <c r="J439" s="6" t="n">
        <f aca="false">A439</f>
        <v>438</v>
      </c>
      <c r="K439" s="13" t="n">
        <f aca="false">SMALL($G$2:$G$1387,J439)</f>
        <v>-0.479622858160135</v>
      </c>
      <c r="L439" s="18" t="n">
        <f aca="false">(J439-0.5)/1386</f>
        <v>0.315656565656566</v>
      </c>
      <c r="M439" s="18" t="n">
        <f aca="false">_xlfn.NORM.DIST(K439,AVERAGE($G$2:$G$1387),_xlfn.STDEV.S($G$2:$G$1387),TRUE())</f>
        <v>0.315315281680637</v>
      </c>
    </row>
    <row r="440" customFormat="false" ht="15" hidden="false" customHeight="false" outlineLevel="0" collapsed="false">
      <c r="A440" s="0" t="n">
        <f aca="false">ROW()-1</f>
        <v>439</v>
      </c>
      <c r="B440" s="0" t="str">
        <f aca="false">'Analysis Data'!A440</f>
        <v>South Loop</v>
      </c>
      <c r="C440" s="5" t="n">
        <f aca="false">'Analysis Data'!B440</f>
        <v>40365</v>
      </c>
      <c r="D440" s="6" t="n">
        <f aca="false">'Analysis Data'!C440</f>
        <v>305.531070369645</v>
      </c>
      <c r="E440" s="15" t="n">
        <f aca="false">SUMPRODUCT('Final Model'!$B$45:$I$45,'Analysis Data'!N440:U440)</f>
        <v>330.448883107151</v>
      </c>
      <c r="F440" s="15" t="n">
        <f aca="false">D440-E440</f>
        <v>-24.9178127375061</v>
      </c>
      <c r="G440" s="13" t="n">
        <f aca="false">F440/'Final Model'!$B$21</f>
        <v>-0.508194694197517</v>
      </c>
      <c r="H440" s="6" t="n">
        <f aca="false">F440^2</f>
        <v>620.897391621421</v>
      </c>
      <c r="J440" s="6" t="n">
        <f aca="false">A440</f>
        <v>439</v>
      </c>
      <c r="K440" s="13" t="n">
        <f aca="false">SMALL($G$2:$G$1387,J440)</f>
        <v>-0.47937248554086</v>
      </c>
      <c r="L440" s="18" t="n">
        <f aca="false">(J440-0.5)/1386</f>
        <v>0.316378066378066</v>
      </c>
      <c r="M440" s="18" t="n">
        <f aca="false">_xlfn.NORM.DIST(K440,AVERAGE($G$2:$G$1387),_xlfn.STDEV.S($G$2:$G$1387),TRUE())</f>
        <v>0.315404492493547</v>
      </c>
    </row>
    <row r="441" customFormat="false" ht="15" hidden="false" customHeight="false" outlineLevel="0" collapsed="false">
      <c r="A441" s="0" t="n">
        <f aca="false">ROW()-1</f>
        <v>440</v>
      </c>
      <c r="B441" s="0" t="str">
        <f aca="false">'Analysis Data'!A441</f>
        <v>South Loop</v>
      </c>
      <c r="C441" s="5" t="n">
        <f aca="false">'Analysis Data'!B441</f>
        <v>40372</v>
      </c>
      <c r="D441" s="6" t="n">
        <f aca="false">'Analysis Data'!C441</f>
        <v>363.062972898447</v>
      </c>
      <c r="E441" s="15" t="n">
        <f aca="false">SUMPRODUCT('Final Model'!$B$45:$I$45,'Analysis Data'!N441:U441)</f>
        <v>344.3565951741</v>
      </c>
      <c r="F441" s="15" t="n">
        <f aca="false">D441-E441</f>
        <v>18.7063777243469</v>
      </c>
      <c r="G441" s="13" t="n">
        <f aca="false">F441/'Final Model'!$B$21</f>
        <v>0.381513498287857</v>
      </c>
      <c r="H441" s="6" t="n">
        <f aca="false">F441^2</f>
        <v>349.92856756594</v>
      </c>
      <c r="J441" s="6" t="n">
        <f aca="false">A441</f>
        <v>440</v>
      </c>
      <c r="K441" s="13" t="n">
        <f aca="false">SMALL($G$2:$G$1387,J441)</f>
        <v>-0.479112331782702</v>
      </c>
      <c r="L441" s="18" t="n">
        <f aca="false">(J441-0.5)/1386</f>
        <v>0.317099567099567</v>
      </c>
      <c r="M441" s="18" t="n">
        <f aca="false">_xlfn.NORM.DIST(K441,AVERAGE($G$2:$G$1387),_xlfn.STDEV.S($G$2:$G$1387),TRUE())</f>
        <v>0.315497199846436</v>
      </c>
    </row>
    <row r="442" customFormat="false" ht="15" hidden="false" customHeight="false" outlineLevel="0" collapsed="false">
      <c r="A442" s="0" t="n">
        <f aca="false">ROW()-1</f>
        <v>441</v>
      </c>
      <c r="B442" s="0" t="str">
        <f aca="false">'Analysis Data'!A442</f>
        <v>West Bloomfield</v>
      </c>
      <c r="C442" s="5" t="n">
        <f aca="false">'Analysis Data'!B442</f>
        <v>40302</v>
      </c>
      <c r="D442" s="6" t="n">
        <f aca="false">'Analysis Data'!C442</f>
        <v>232.263046701275</v>
      </c>
      <c r="E442" s="15" t="n">
        <f aca="false">SUMPRODUCT('Final Model'!$B$45:$I$45,'Analysis Data'!N442:U442)</f>
        <v>244.067605386711</v>
      </c>
      <c r="F442" s="15" t="n">
        <f aca="false">D442-E442</f>
        <v>-11.8045586854357</v>
      </c>
      <c r="G442" s="13" t="n">
        <f aca="false">F442/'Final Model'!$B$21</f>
        <v>-0.240752033674769</v>
      </c>
      <c r="H442" s="6" t="n">
        <f aca="false">F442^2</f>
        <v>139.347605757896</v>
      </c>
      <c r="J442" s="6" t="n">
        <f aca="false">A442</f>
        <v>441</v>
      </c>
      <c r="K442" s="13" t="n">
        <f aca="false">SMALL($G$2:$G$1387,J442)</f>
        <v>-0.478052018324563</v>
      </c>
      <c r="L442" s="18" t="n">
        <f aca="false">(J442-0.5)/1386</f>
        <v>0.317821067821068</v>
      </c>
      <c r="M442" s="18" t="n">
        <f aca="false">_xlfn.NORM.DIST(K442,AVERAGE($G$2:$G$1387),_xlfn.STDEV.S($G$2:$G$1387),TRUE())</f>
        <v>0.315875168996845</v>
      </c>
    </row>
    <row r="443" customFormat="false" ht="15" hidden="false" customHeight="false" outlineLevel="0" collapsed="false">
      <c r="A443" s="0" t="n">
        <f aca="false">ROW()-1</f>
        <v>442</v>
      </c>
      <c r="B443" s="0" t="str">
        <f aca="false">'Analysis Data'!A443</f>
        <v>West Bloomfield</v>
      </c>
      <c r="C443" s="5" t="n">
        <f aca="false">'Analysis Data'!B443</f>
        <v>40309</v>
      </c>
      <c r="D443" s="6" t="n">
        <f aca="false">'Analysis Data'!C443</f>
        <v>221.152009147193</v>
      </c>
      <c r="E443" s="15" t="n">
        <f aca="false">SUMPRODUCT('Final Model'!$B$45:$I$45,'Analysis Data'!N443:U443)</f>
        <v>244.067605386711</v>
      </c>
      <c r="F443" s="15" t="n">
        <f aca="false">D443-E443</f>
        <v>-22.9155962395178</v>
      </c>
      <c r="G443" s="13" t="n">
        <f aca="false">F443/'Final Model'!$B$21</f>
        <v>-0.467359817893113</v>
      </c>
      <c r="H443" s="6" t="n">
        <f aca="false">F443^2</f>
        <v>525.124551012604</v>
      </c>
      <c r="J443" s="6" t="n">
        <f aca="false">A443</f>
        <v>442</v>
      </c>
      <c r="K443" s="13" t="n">
        <f aca="false">SMALL($G$2:$G$1387,J443)</f>
        <v>-0.47485564942551</v>
      </c>
      <c r="L443" s="18" t="n">
        <f aca="false">(J443-0.5)/1386</f>
        <v>0.318542568542569</v>
      </c>
      <c r="M443" s="18" t="n">
        <f aca="false">_xlfn.NORM.DIST(K443,AVERAGE($G$2:$G$1387),_xlfn.STDEV.S($G$2:$G$1387),TRUE())</f>
        <v>0.317015740388343</v>
      </c>
    </row>
    <row r="444" customFormat="false" ht="15" hidden="false" customHeight="false" outlineLevel="0" collapsed="false">
      <c r="A444" s="0" t="n">
        <f aca="false">ROW()-1</f>
        <v>443</v>
      </c>
      <c r="B444" s="0" t="str">
        <f aca="false">'Analysis Data'!A444</f>
        <v>West Bloomfield</v>
      </c>
      <c r="C444" s="5" t="n">
        <f aca="false">'Analysis Data'!B444</f>
        <v>40316</v>
      </c>
      <c r="D444" s="6" t="n">
        <f aca="false">'Analysis Data'!C444</f>
        <v>283.473952294401</v>
      </c>
      <c r="E444" s="15" t="n">
        <f aca="false">SUMPRODUCT('Final Model'!$B$45:$I$45,'Analysis Data'!N444:U444)</f>
        <v>247.76984880868</v>
      </c>
      <c r="F444" s="15" t="n">
        <f aca="false">D444-E444</f>
        <v>35.7041034857216</v>
      </c>
      <c r="G444" s="13" t="n">
        <f aca="false">F444/'Final Model'!$B$21</f>
        <v>0.728179320699832</v>
      </c>
      <c r="H444" s="6" t="n">
        <f aca="false">F444^2</f>
        <v>1274.78300571912</v>
      </c>
      <c r="J444" s="6" t="n">
        <f aca="false">A444</f>
        <v>443</v>
      </c>
      <c r="K444" s="13" t="n">
        <f aca="false">SMALL($G$2:$G$1387,J444)</f>
        <v>-0.47446639479485</v>
      </c>
      <c r="L444" s="18" t="n">
        <f aca="false">(J444-0.5)/1386</f>
        <v>0.319264069264069</v>
      </c>
      <c r="M444" s="18" t="n">
        <f aca="false">_xlfn.NORM.DIST(K444,AVERAGE($G$2:$G$1387),_xlfn.STDEV.S($G$2:$G$1387),TRUE())</f>
        <v>0.317154758588265</v>
      </c>
    </row>
    <row r="445" customFormat="false" ht="15" hidden="false" customHeight="false" outlineLevel="0" collapsed="false">
      <c r="A445" s="0" t="n">
        <f aca="false">ROW()-1</f>
        <v>444</v>
      </c>
      <c r="B445" s="0" t="str">
        <f aca="false">'Analysis Data'!A445</f>
        <v>West Bloomfield</v>
      </c>
      <c r="C445" s="5" t="n">
        <f aca="false">'Analysis Data'!B445</f>
        <v>40323</v>
      </c>
      <c r="D445" s="6" t="n">
        <f aca="false">'Analysis Data'!C445</f>
        <v>238.084820384268</v>
      </c>
      <c r="E445" s="15" t="n">
        <f aca="false">SUMPRODUCT('Final Model'!$B$45:$I$45,'Analysis Data'!N445:U445)</f>
        <v>251.423055898902</v>
      </c>
      <c r="F445" s="15" t="n">
        <f aca="false">D445-E445</f>
        <v>-13.3382355146343</v>
      </c>
      <c r="G445" s="13" t="n">
        <f aca="false">F445/'Final Model'!$B$21</f>
        <v>-0.272031120463924</v>
      </c>
      <c r="H445" s="6" t="n">
        <f aca="false">F445^2</f>
        <v>177.908526643851</v>
      </c>
      <c r="J445" s="6" t="n">
        <f aca="false">A445</f>
        <v>444</v>
      </c>
      <c r="K445" s="13" t="n">
        <f aca="false">SMALL($G$2:$G$1387,J445)</f>
        <v>-0.469833347890502</v>
      </c>
      <c r="L445" s="18" t="n">
        <f aca="false">(J445-0.5)/1386</f>
        <v>0.31998556998557</v>
      </c>
      <c r="M445" s="18" t="n">
        <f aca="false">_xlfn.NORM.DIST(K445,AVERAGE($G$2:$G$1387),_xlfn.STDEV.S($G$2:$G$1387),TRUE())</f>
        <v>0.318811379647285</v>
      </c>
    </row>
    <row r="446" customFormat="false" ht="15" hidden="false" customHeight="false" outlineLevel="0" collapsed="false">
      <c r="A446" s="0" t="n">
        <f aca="false">ROW()-1</f>
        <v>445</v>
      </c>
      <c r="B446" s="0" t="str">
        <f aca="false">'Analysis Data'!A446</f>
        <v>West Bloomfield</v>
      </c>
      <c r="C446" s="5" t="n">
        <f aca="false">'Analysis Data'!B446</f>
        <v>40330</v>
      </c>
      <c r="D446" s="6" t="n">
        <f aca="false">'Analysis Data'!C446</f>
        <v>252.732579428452</v>
      </c>
      <c r="E446" s="15" t="n">
        <f aca="false">SUMPRODUCT('Final Model'!$B$45:$I$45,'Analysis Data'!N446:U446)</f>
        <v>247.76984880868</v>
      </c>
      <c r="F446" s="15" t="n">
        <f aca="false">D446-E446</f>
        <v>4.96273061977229</v>
      </c>
      <c r="G446" s="13" t="n">
        <f aca="false">F446/'Final Model'!$B$21</f>
        <v>0.101214075098321</v>
      </c>
      <c r="H446" s="6" t="n">
        <f aca="false">F446^2</f>
        <v>24.6286952044254</v>
      </c>
      <c r="J446" s="6" t="n">
        <f aca="false">A446</f>
        <v>445</v>
      </c>
      <c r="K446" s="13" t="n">
        <f aca="false">SMALL($G$2:$G$1387,J446)</f>
        <v>-0.467359817893113</v>
      </c>
      <c r="L446" s="18" t="n">
        <f aca="false">(J446-0.5)/1386</f>
        <v>0.320707070707071</v>
      </c>
      <c r="M446" s="18" t="n">
        <f aca="false">_xlfn.NORM.DIST(K446,AVERAGE($G$2:$G$1387),_xlfn.STDEV.S($G$2:$G$1387),TRUE())</f>
        <v>0.3196973178583</v>
      </c>
    </row>
    <row r="447" customFormat="false" ht="15" hidden="false" customHeight="false" outlineLevel="0" collapsed="false">
      <c r="A447" s="0" t="n">
        <f aca="false">ROW()-1</f>
        <v>446</v>
      </c>
      <c r="B447" s="0" t="str">
        <f aca="false">'Analysis Data'!A447</f>
        <v>West Bloomfield</v>
      </c>
      <c r="C447" s="5" t="n">
        <f aca="false">'Analysis Data'!B447</f>
        <v>40337</v>
      </c>
      <c r="D447" s="6" t="n">
        <f aca="false">'Analysis Data'!C447</f>
        <v>299.903177065708</v>
      </c>
      <c r="E447" s="15" t="n">
        <f aca="false">SUMPRODUCT('Final Model'!$B$45:$I$45,'Analysis Data'!N447:U447)</f>
        <v>235.633355487838</v>
      </c>
      <c r="F447" s="15" t="n">
        <f aca="false">D447-E447</f>
        <v>64.2698215778697</v>
      </c>
      <c r="G447" s="13" t="n">
        <f aca="false">F447/'Final Model'!$B$21</f>
        <v>1.31077244487565</v>
      </c>
      <c r="H447" s="6" t="n">
        <f aca="false">F447^2</f>
        <v>4130.60996565121</v>
      </c>
      <c r="J447" s="6" t="n">
        <f aca="false">A447</f>
        <v>446</v>
      </c>
      <c r="K447" s="13" t="n">
        <f aca="false">SMALL($G$2:$G$1387,J447)</f>
        <v>-0.46452724836394</v>
      </c>
      <c r="L447" s="18" t="n">
        <f aca="false">(J447-0.5)/1386</f>
        <v>0.321428571428571</v>
      </c>
      <c r="M447" s="18" t="n">
        <f aca="false">_xlfn.NORM.DIST(K447,AVERAGE($G$2:$G$1387),_xlfn.STDEV.S($G$2:$G$1387),TRUE())</f>
        <v>0.320713117205232</v>
      </c>
    </row>
    <row r="448" customFormat="false" ht="15" hidden="false" customHeight="false" outlineLevel="0" collapsed="false">
      <c r="A448" s="0" t="n">
        <f aca="false">ROW()-1</f>
        <v>447</v>
      </c>
      <c r="B448" s="0" t="str">
        <f aca="false">'Analysis Data'!A448</f>
        <v>West Bloomfield</v>
      </c>
      <c r="C448" s="5" t="n">
        <f aca="false">'Analysis Data'!B448</f>
        <v>40344</v>
      </c>
      <c r="D448" s="6" t="n">
        <f aca="false">'Analysis Data'!C448</f>
        <v>289.222654094865</v>
      </c>
      <c r="E448" s="15" t="n">
        <f aca="false">SUMPRODUCT('Final Model'!$B$45:$I$45,'Analysis Data'!N448:U448)</f>
        <v>235.633355487838</v>
      </c>
      <c r="F448" s="15" t="n">
        <f aca="false">D448-E448</f>
        <v>53.5892986070275</v>
      </c>
      <c r="G448" s="13" t="n">
        <f aca="false">F448/'Final Model'!$B$21</f>
        <v>1.09294493480424</v>
      </c>
      <c r="H448" s="6" t="n">
        <f aca="false">F448^2</f>
        <v>2871.81292519316</v>
      </c>
      <c r="J448" s="6" t="n">
        <f aca="false">A448</f>
        <v>447</v>
      </c>
      <c r="K448" s="13" t="n">
        <f aca="false">SMALL($G$2:$G$1387,J448)</f>
        <v>-0.463766656261598</v>
      </c>
      <c r="L448" s="18" t="n">
        <f aca="false">(J448-0.5)/1386</f>
        <v>0.322150072150072</v>
      </c>
      <c r="M448" s="18" t="n">
        <f aca="false">_xlfn.NORM.DIST(K448,AVERAGE($G$2:$G$1387),_xlfn.STDEV.S($G$2:$G$1387),TRUE())</f>
        <v>0.320986105458826</v>
      </c>
    </row>
    <row r="449" customFormat="false" ht="15" hidden="false" customHeight="false" outlineLevel="0" collapsed="false">
      <c r="A449" s="0" t="n">
        <f aca="false">ROW()-1</f>
        <v>448</v>
      </c>
      <c r="B449" s="0" t="str">
        <f aca="false">'Analysis Data'!A449</f>
        <v>West Bloomfield</v>
      </c>
      <c r="C449" s="5" t="n">
        <f aca="false">'Analysis Data'!B449</f>
        <v>40351</v>
      </c>
      <c r="D449" s="6" t="n">
        <f aca="false">'Analysis Data'!C449</f>
        <v>400.74006383608</v>
      </c>
      <c r="E449" s="15" t="n">
        <f aca="false">SUMPRODUCT('Final Model'!$B$45:$I$45,'Analysis Data'!N449:U449)</f>
        <v>342.386051895637</v>
      </c>
      <c r="F449" s="15" t="n">
        <f aca="false">D449-E449</f>
        <v>58.3540119404427</v>
      </c>
      <c r="G449" s="13" t="n">
        <f aca="false">F449/'Final Model'!$B$21</f>
        <v>1.1901204799021</v>
      </c>
      <c r="H449" s="6" t="n">
        <f aca="false">F449^2</f>
        <v>3405.19070954533</v>
      </c>
      <c r="J449" s="6" t="n">
        <f aca="false">A449</f>
        <v>448</v>
      </c>
      <c r="K449" s="13" t="n">
        <f aca="false">SMALL($G$2:$G$1387,J449)</f>
        <v>-0.461653862073275</v>
      </c>
      <c r="L449" s="18" t="n">
        <f aca="false">(J449-0.5)/1386</f>
        <v>0.322871572871573</v>
      </c>
      <c r="M449" s="18" t="n">
        <f aca="false">_xlfn.NORM.DIST(K449,AVERAGE($G$2:$G$1387),_xlfn.STDEV.S($G$2:$G$1387),TRUE())</f>
        <v>0.321744927454108</v>
      </c>
    </row>
    <row r="450" customFormat="false" ht="15" hidden="false" customHeight="false" outlineLevel="0" collapsed="false">
      <c r="A450" s="0" t="n">
        <f aca="false">ROW()-1</f>
        <v>449</v>
      </c>
      <c r="B450" s="0" t="str">
        <f aca="false">'Analysis Data'!A450</f>
        <v>West Bloomfield</v>
      </c>
      <c r="C450" s="5" t="n">
        <f aca="false">'Analysis Data'!B450</f>
        <v>40358</v>
      </c>
      <c r="D450" s="6" t="n">
        <f aca="false">'Analysis Data'!C450</f>
        <v>311.814590281209</v>
      </c>
      <c r="E450" s="15" t="n">
        <f aca="false">SUMPRODUCT('Final Model'!$B$45:$I$45,'Analysis Data'!N450:U450)</f>
        <v>327.244664991542</v>
      </c>
      <c r="F450" s="15" t="n">
        <f aca="false">D450-E450</f>
        <v>-15.4300747103329</v>
      </c>
      <c r="G450" s="13" t="n">
        <f aca="false">F450/'Final Model'!$B$21</f>
        <v>-0.314693836953816</v>
      </c>
      <c r="H450" s="6" t="n">
        <f aca="false">F450^2</f>
        <v>238.087205566455</v>
      </c>
      <c r="J450" s="6" t="n">
        <f aca="false">A450</f>
        <v>449</v>
      </c>
      <c r="K450" s="13" t="n">
        <f aca="false">SMALL($G$2:$G$1387,J450)</f>
        <v>-0.458046564767247</v>
      </c>
      <c r="L450" s="18" t="n">
        <f aca="false">(J450-0.5)/1386</f>
        <v>0.323593073593074</v>
      </c>
      <c r="M450" s="18" t="n">
        <f aca="false">_xlfn.NORM.DIST(K450,AVERAGE($G$2:$G$1387),_xlfn.STDEV.S($G$2:$G$1387),TRUE())</f>
        <v>0.323042227399426</v>
      </c>
    </row>
    <row r="451" customFormat="false" ht="15" hidden="false" customHeight="false" outlineLevel="0" collapsed="false">
      <c r="A451" s="0" t="n">
        <f aca="false">ROW()-1</f>
        <v>450</v>
      </c>
      <c r="B451" s="0" t="str">
        <f aca="false">'Analysis Data'!A451</f>
        <v>West Bloomfield</v>
      </c>
      <c r="C451" s="5" t="n">
        <f aca="false">'Analysis Data'!B451</f>
        <v>40365</v>
      </c>
      <c r="D451" s="6" t="n">
        <f aca="false">'Analysis Data'!C451</f>
        <v>338.575069198578</v>
      </c>
      <c r="E451" s="15" t="n">
        <f aca="false">SUMPRODUCT('Final Model'!$B$45:$I$45,'Analysis Data'!N451:U451)</f>
        <v>330.577249870219</v>
      </c>
      <c r="F451" s="15" t="n">
        <f aca="false">D451-E451</f>
        <v>7.99781932835879</v>
      </c>
      <c r="G451" s="13" t="n">
        <f aca="false">F451/'Final Model'!$B$21</f>
        <v>0.163114210329725</v>
      </c>
      <c r="H451" s="6" t="n">
        <f aca="false">F451^2</f>
        <v>63.9651140090694</v>
      </c>
      <c r="J451" s="6" t="n">
        <f aca="false">A451</f>
        <v>450</v>
      </c>
      <c r="K451" s="13" t="n">
        <f aca="false">SMALL($G$2:$G$1387,J451)</f>
        <v>-0.454350657054452</v>
      </c>
      <c r="L451" s="18" t="n">
        <f aca="false">(J451-0.5)/1386</f>
        <v>0.324314574314574</v>
      </c>
      <c r="M451" s="18" t="n">
        <f aca="false">_xlfn.NORM.DIST(K451,AVERAGE($G$2:$G$1387),_xlfn.STDEV.S($G$2:$G$1387),TRUE())</f>
        <v>0.324373630695893</v>
      </c>
    </row>
    <row r="452" customFormat="false" ht="15" hidden="false" customHeight="false" outlineLevel="0" collapsed="false">
      <c r="A452" s="0" t="n">
        <f aca="false">ROW()-1</f>
        <v>451</v>
      </c>
      <c r="B452" s="0" t="str">
        <f aca="false">'Analysis Data'!A452</f>
        <v>West Bloomfield</v>
      </c>
      <c r="C452" s="5" t="n">
        <f aca="false">'Analysis Data'!B452</f>
        <v>40372</v>
      </c>
      <c r="D452" s="6" t="n">
        <f aca="false">'Analysis Data'!C452</f>
        <v>214.461939370935</v>
      </c>
      <c r="E452" s="15" t="n">
        <f aca="false">SUMPRODUCT('Final Model'!$B$45:$I$45,'Analysis Data'!N452:U452)</f>
        <v>330.577249870219</v>
      </c>
      <c r="F452" s="15" t="n">
        <f aca="false">D452-E452</f>
        <v>-116.115310499284</v>
      </c>
      <c r="G452" s="13" t="n">
        <f aca="false">F452/'Final Model'!$B$21</f>
        <v>-2.36815266783079</v>
      </c>
      <c r="H452" s="6" t="n">
        <f aca="false">F452^2</f>
        <v>13482.765332345</v>
      </c>
      <c r="J452" s="6" t="n">
        <f aca="false">A452</f>
        <v>451</v>
      </c>
      <c r="K452" s="13" t="n">
        <f aca="false">SMALL($G$2:$G$1387,J452)</f>
        <v>-0.454216516839892</v>
      </c>
      <c r="L452" s="18" t="n">
        <f aca="false">(J452-0.5)/1386</f>
        <v>0.325036075036075</v>
      </c>
      <c r="M452" s="18" t="n">
        <f aca="false">_xlfn.NORM.DIST(K452,AVERAGE($G$2:$G$1387),_xlfn.STDEV.S($G$2:$G$1387),TRUE())</f>
        <v>0.324421995367433</v>
      </c>
    </row>
    <row r="453" customFormat="false" ht="15" hidden="false" customHeight="false" outlineLevel="0" collapsed="false">
      <c r="A453" s="0" t="n">
        <f aca="false">ROW()-1</f>
        <v>452</v>
      </c>
      <c r="B453" s="0" t="str">
        <f aca="false">'Analysis Data'!A453</f>
        <v>Wheaton</v>
      </c>
      <c r="C453" s="5" t="n">
        <f aca="false">'Analysis Data'!B453</f>
        <v>40302</v>
      </c>
      <c r="D453" s="6" t="n">
        <f aca="false">'Analysis Data'!C453</f>
        <v>268.607458409254</v>
      </c>
      <c r="E453" s="15" t="n">
        <f aca="false">SUMPRODUCT('Final Model'!$B$45:$I$45,'Analysis Data'!N453:U453)</f>
        <v>234.260338066545</v>
      </c>
      <c r="F453" s="15" t="n">
        <f aca="false">D453-E453</f>
        <v>34.3471203427091</v>
      </c>
      <c r="G453" s="13" t="n">
        <f aca="false">F453/'Final Model'!$B$21</f>
        <v>0.700503872591319</v>
      </c>
      <c r="H453" s="6" t="n">
        <f aca="false">F453^2</f>
        <v>1179.72467583654</v>
      </c>
      <c r="J453" s="6" t="n">
        <f aca="false">A453</f>
        <v>452</v>
      </c>
      <c r="K453" s="13" t="n">
        <f aca="false">SMALL($G$2:$G$1387,J453)</f>
        <v>-0.453238599548399</v>
      </c>
      <c r="L453" s="18" t="n">
        <f aca="false">(J453-0.5)/1386</f>
        <v>0.325757575757576</v>
      </c>
      <c r="M453" s="18" t="n">
        <f aca="false">_xlfn.NORM.DIST(K453,AVERAGE($G$2:$G$1387),_xlfn.STDEV.S($G$2:$G$1387),TRUE())</f>
        <v>0.324774675948888</v>
      </c>
    </row>
    <row r="454" customFormat="false" ht="15" hidden="false" customHeight="false" outlineLevel="0" collapsed="false">
      <c r="A454" s="0" t="n">
        <f aca="false">ROW()-1</f>
        <v>453</v>
      </c>
      <c r="B454" s="0" t="str">
        <f aca="false">'Analysis Data'!A454</f>
        <v>Wheaton</v>
      </c>
      <c r="C454" s="5" t="n">
        <f aca="false">'Analysis Data'!B454</f>
        <v>40309</v>
      </c>
      <c r="D454" s="6" t="n">
        <f aca="false">'Analysis Data'!C454</f>
        <v>341.008167731421</v>
      </c>
      <c r="E454" s="15" t="n">
        <f aca="false">SUMPRODUCT('Final Model'!$B$45:$I$45,'Analysis Data'!N454:U454)</f>
        <v>234.260338066545</v>
      </c>
      <c r="F454" s="15" t="n">
        <f aca="false">D454-E454</f>
        <v>106.747829664876</v>
      </c>
      <c r="G454" s="13" t="n">
        <f aca="false">F454/'Final Model'!$B$21</f>
        <v>2.1771044362628</v>
      </c>
      <c r="H454" s="6" t="n">
        <f aca="false">F454^2</f>
        <v>11395.0991381614</v>
      </c>
      <c r="J454" s="6" t="n">
        <f aca="false">A454</f>
        <v>453</v>
      </c>
      <c r="K454" s="13" t="n">
        <f aca="false">SMALL($G$2:$G$1387,J454)</f>
        <v>-0.448168135183138</v>
      </c>
      <c r="L454" s="18" t="n">
        <f aca="false">(J454-0.5)/1386</f>
        <v>0.326479076479077</v>
      </c>
      <c r="M454" s="18" t="n">
        <f aca="false">_xlfn.NORM.DIST(K454,AVERAGE($G$2:$G$1387),_xlfn.STDEV.S($G$2:$G$1387),TRUE())</f>
        <v>0.326605825232411</v>
      </c>
    </row>
    <row r="455" customFormat="false" ht="15" hidden="false" customHeight="false" outlineLevel="0" collapsed="false">
      <c r="A455" s="0" t="n">
        <f aca="false">ROW()-1</f>
        <v>454</v>
      </c>
      <c r="B455" s="0" t="str">
        <f aca="false">'Analysis Data'!A455</f>
        <v>Wheaton</v>
      </c>
      <c r="C455" s="5" t="n">
        <f aca="false">'Analysis Data'!B455</f>
        <v>40316</v>
      </c>
      <c r="D455" s="6" t="n">
        <f aca="false">'Analysis Data'!C455</f>
        <v>175.190338479696</v>
      </c>
      <c r="E455" s="15" t="n">
        <f aca="false">SUMPRODUCT('Final Model'!$B$45:$I$45,'Analysis Data'!N455:U455)</f>
        <v>246.274240535955</v>
      </c>
      <c r="F455" s="15" t="n">
        <f aca="false">D455-E455</f>
        <v>-71.0839020562596</v>
      </c>
      <c r="G455" s="13" t="n">
        <f aca="false">F455/'Final Model'!$B$21</f>
        <v>-1.44974449597146</v>
      </c>
      <c r="H455" s="6" t="n">
        <f aca="false">F455^2</f>
        <v>5052.9211315439</v>
      </c>
      <c r="J455" s="6" t="n">
        <f aca="false">A455</f>
        <v>454</v>
      </c>
      <c r="K455" s="13" t="n">
        <f aca="false">SMALL($G$2:$G$1387,J455)</f>
        <v>-0.447724570509123</v>
      </c>
      <c r="L455" s="18" t="n">
        <f aca="false">(J455-0.5)/1386</f>
        <v>0.327200577200577</v>
      </c>
      <c r="M455" s="18" t="n">
        <f aca="false">_xlfn.NORM.DIST(K455,AVERAGE($G$2:$G$1387),_xlfn.STDEV.S($G$2:$G$1387),TRUE())</f>
        <v>0.326766214044857</v>
      </c>
    </row>
    <row r="456" customFormat="false" ht="15" hidden="false" customHeight="false" outlineLevel="0" collapsed="false">
      <c r="A456" s="0" t="n">
        <f aca="false">ROW()-1</f>
        <v>455</v>
      </c>
      <c r="B456" s="0" t="str">
        <f aca="false">'Analysis Data'!A456</f>
        <v>Wheaton</v>
      </c>
      <c r="C456" s="5" t="n">
        <f aca="false">'Analysis Data'!B456</f>
        <v>40323</v>
      </c>
      <c r="D456" s="6" t="n">
        <f aca="false">'Analysis Data'!C456</f>
        <v>219.937874537013</v>
      </c>
      <c r="E456" s="15" t="n">
        <f aca="false">SUMPRODUCT('Final Model'!$B$45:$I$45,'Analysis Data'!N456:U456)</f>
        <v>246.274240535955</v>
      </c>
      <c r="F456" s="15" t="n">
        <f aca="false">D456-E456</f>
        <v>-26.3363659989426</v>
      </c>
      <c r="G456" s="13" t="n">
        <f aca="false">F456/'Final Model'!$B$21</f>
        <v>-0.53712585474892</v>
      </c>
      <c r="H456" s="6" t="n">
        <f aca="false">F456^2</f>
        <v>693.604174030258</v>
      </c>
      <c r="J456" s="6" t="n">
        <f aca="false">A456</f>
        <v>455</v>
      </c>
      <c r="K456" s="13" t="n">
        <f aca="false">SMALL($G$2:$G$1387,J456)</f>
        <v>-0.447051668372741</v>
      </c>
      <c r="L456" s="18" t="n">
        <f aca="false">(J456-0.5)/1386</f>
        <v>0.327922077922078</v>
      </c>
      <c r="M456" s="18" t="n">
        <f aca="false">_xlfn.NORM.DIST(K456,AVERAGE($G$2:$G$1387),_xlfn.STDEV.S($G$2:$G$1387),TRUE())</f>
        <v>0.327009590245358</v>
      </c>
    </row>
    <row r="457" customFormat="false" ht="15" hidden="false" customHeight="false" outlineLevel="0" collapsed="false">
      <c r="A457" s="0" t="n">
        <f aca="false">ROW()-1</f>
        <v>456</v>
      </c>
      <c r="B457" s="0" t="str">
        <f aca="false">'Analysis Data'!A457</f>
        <v>Wheaton</v>
      </c>
      <c r="C457" s="5" t="n">
        <f aca="false">'Analysis Data'!B457</f>
        <v>40330</v>
      </c>
      <c r="D457" s="6" t="n">
        <f aca="false">'Analysis Data'!C457</f>
        <v>306.684173440907</v>
      </c>
      <c r="E457" s="15" t="n">
        <f aca="false">SUMPRODUCT('Final Model'!$B$45:$I$45,'Analysis Data'!N457:U457)</f>
        <v>254.27093544917</v>
      </c>
      <c r="F457" s="15" t="n">
        <f aca="false">D457-E457</f>
        <v>52.4132379917368</v>
      </c>
      <c r="G457" s="13" t="n">
        <f aca="false">F457/'Final Model'!$B$21</f>
        <v>1.06895937190425</v>
      </c>
      <c r="H457" s="6" t="n">
        <f aca="false">F457^2</f>
        <v>2747.14751677844</v>
      </c>
      <c r="J457" s="6" t="n">
        <f aca="false">A457</f>
        <v>456</v>
      </c>
      <c r="K457" s="13" t="n">
        <f aca="false">SMALL($G$2:$G$1387,J457)</f>
        <v>-0.446792992423112</v>
      </c>
      <c r="L457" s="18" t="n">
        <f aca="false">(J457-0.5)/1386</f>
        <v>0.328643578643579</v>
      </c>
      <c r="M457" s="18" t="n">
        <f aca="false">_xlfn.NORM.DIST(K457,AVERAGE($G$2:$G$1387),_xlfn.STDEV.S($G$2:$G$1387),TRUE())</f>
        <v>0.327103168118818</v>
      </c>
    </row>
    <row r="458" customFormat="false" ht="15" hidden="false" customHeight="false" outlineLevel="0" collapsed="false">
      <c r="A458" s="0" t="n">
        <f aca="false">ROW()-1</f>
        <v>457</v>
      </c>
      <c r="B458" s="0" t="str">
        <f aca="false">'Analysis Data'!A458</f>
        <v>Wheaton</v>
      </c>
      <c r="C458" s="5" t="n">
        <f aca="false">'Analysis Data'!B458</f>
        <v>40337</v>
      </c>
      <c r="D458" s="6" t="n">
        <f aca="false">'Analysis Data'!C458</f>
        <v>215.114334512072</v>
      </c>
      <c r="E458" s="15" t="n">
        <f aca="false">SUMPRODUCT('Final Model'!$B$45:$I$45,'Analysis Data'!N458:U458)</f>
        <v>245.468643587916</v>
      </c>
      <c r="F458" s="15" t="n">
        <f aca="false">D458-E458</f>
        <v>-30.3543090758434</v>
      </c>
      <c r="G458" s="13" t="n">
        <f aca="false">F458/'Final Model'!$B$21</f>
        <v>-0.61907114323707</v>
      </c>
      <c r="H458" s="6" t="n">
        <f aca="false">F458^2</f>
        <v>921.384079471828</v>
      </c>
      <c r="J458" s="6" t="n">
        <f aca="false">A458</f>
        <v>457</v>
      </c>
      <c r="K458" s="13" t="n">
        <f aca="false">SMALL($G$2:$G$1387,J458)</f>
        <v>-0.446474775271086</v>
      </c>
      <c r="L458" s="18" t="n">
        <f aca="false">(J458-0.5)/1386</f>
        <v>0.329365079365079</v>
      </c>
      <c r="M458" s="18" t="n">
        <f aca="false">_xlfn.NORM.DIST(K458,AVERAGE($G$2:$G$1387),_xlfn.STDEV.S($G$2:$G$1387),TRUE())</f>
        <v>0.327218300359317</v>
      </c>
    </row>
    <row r="459" customFormat="false" ht="15" hidden="false" customHeight="false" outlineLevel="0" collapsed="false">
      <c r="A459" s="0" t="n">
        <f aca="false">ROW()-1</f>
        <v>458</v>
      </c>
      <c r="B459" s="0" t="str">
        <f aca="false">'Analysis Data'!A459</f>
        <v>Wheaton</v>
      </c>
      <c r="C459" s="5" t="n">
        <f aca="false">'Analysis Data'!B459</f>
        <v>40344</v>
      </c>
      <c r="D459" s="6" t="n">
        <f aca="false">'Analysis Data'!C459</f>
        <v>196.44880610037</v>
      </c>
      <c r="E459" s="15" t="n">
        <f aca="false">SUMPRODUCT('Final Model'!$B$45:$I$45,'Analysis Data'!N459:U459)</f>
        <v>345.916668134427</v>
      </c>
      <c r="F459" s="15" t="n">
        <f aca="false">D459-E459</f>
        <v>-149.467862034057</v>
      </c>
      <c r="G459" s="13" t="n">
        <f aca="false">F459/'Final Model'!$B$21</f>
        <v>-3.04837247309519</v>
      </c>
      <c r="H459" s="6" t="n">
        <f aca="false">F459^2</f>
        <v>22340.641781032</v>
      </c>
      <c r="J459" s="6" t="n">
        <f aca="false">A459</f>
        <v>458</v>
      </c>
      <c r="K459" s="13" t="n">
        <f aca="false">SMALL($G$2:$G$1387,J459)</f>
        <v>-0.446091958136829</v>
      </c>
      <c r="L459" s="18" t="n">
        <f aca="false">(J459-0.5)/1386</f>
        <v>0.33008658008658</v>
      </c>
      <c r="M459" s="18" t="n">
        <f aca="false">_xlfn.NORM.DIST(K459,AVERAGE($G$2:$G$1387),_xlfn.STDEV.S($G$2:$G$1387),TRUE())</f>
        <v>0.327356826918612</v>
      </c>
    </row>
    <row r="460" customFormat="false" ht="15" hidden="false" customHeight="false" outlineLevel="0" collapsed="false">
      <c r="A460" s="0" t="n">
        <f aca="false">ROW()-1</f>
        <v>459</v>
      </c>
      <c r="B460" s="0" t="str">
        <f aca="false">'Analysis Data'!A460</f>
        <v>Wheaton</v>
      </c>
      <c r="C460" s="5" t="n">
        <f aca="false">'Analysis Data'!B460</f>
        <v>40351</v>
      </c>
      <c r="D460" s="6" t="n">
        <f aca="false">'Analysis Data'!C460</f>
        <v>366.058958972934</v>
      </c>
      <c r="E460" s="15" t="n">
        <f aca="false">SUMPRODUCT('Final Model'!$B$45:$I$45,'Analysis Data'!N460:U460)</f>
        <v>319.323410609075</v>
      </c>
      <c r="F460" s="15" t="n">
        <f aca="false">D460-E460</f>
        <v>46.7355483638589</v>
      </c>
      <c r="G460" s="13" t="n">
        <f aca="false">F460/'Final Model'!$B$21</f>
        <v>0.95316382537762</v>
      </c>
      <c r="H460" s="6" t="n">
        <f aca="false">F460^2</f>
        <v>2184.21148087059</v>
      </c>
      <c r="J460" s="6" t="n">
        <f aca="false">A460</f>
        <v>459</v>
      </c>
      <c r="K460" s="13" t="n">
        <f aca="false">SMALL($G$2:$G$1387,J460)</f>
        <v>-0.445909251186311</v>
      </c>
      <c r="L460" s="18" t="n">
        <f aca="false">(J460-0.5)/1386</f>
        <v>0.330808080808081</v>
      </c>
      <c r="M460" s="18" t="n">
        <f aca="false">_xlfn.NORM.DIST(K460,AVERAGE($G$2:$G$1387),_xlfn.STDEV.S($G$2:$G$1387),TRUE())</f>
        <v>0.327422949806921</v>
      </c>
    </row>
    <row r="461" customFormat="false" ht="15" hidden="false" customHeight="false" outlineLevel="0" collapsed="false">
      <c r="A461" s="0" t="n">
        <f aca="false">ROW()-1</f>
        <v>460</v>
      </c>
      <c r="B461" s="0" t="str">
        <f aca="false">'Analysis Data'!A461</f>
        <v>Wheaton</v>
      </c>
      <c r="C461" s="5" t="n">
        <f aca="false">'Analysis Data'!B461</f>
        <v>40358</v>
      </c>
      <c r="D461" s="6" t="n">
        <f aca="false">'Analysis Data'!C461</f>
        <v>260.076694713571</v>
      </c>
      <c r="E461" s="15" t="n">
        <f aca="false">SUMPRODUCT('Final Model'!$B$45:$I$45,'Analysis Data'!N461:U461)</f>
        <v>319.889214479351</v>
      </c>
      <c r="F461" s="15" t="n">
        <f aca="false">D461-E461</f>
        <v>-59.8125197657798</v>
      </c>
      <c r="G461" s="13" t="n">
        <f aca="false">F461/'Final Model'!$B$21</f>
        <v>-1.21986650721558</v>
      </c>
      <c r="H461" s="6" t="n">
        <f aca="false">F461^2</f>
        <v>3577.5375207318</v>
      </c>
      <c r="J461" s="6" t="n">
        <f aca="false">A461</f>
        <v>460</v>
      </c>
      <c r="K461" s="13" t="n">
        <f aca="false">SMALL($G$2:$G$1387,J461)</f>
        <v>-0.444791075668669</v>
      </c>
      <c r="L461" s="18" t="n">
        <f aca="false">(J461-0.5)/1386</f>
        <v>0.331529581529582</v>
      </c>
      <c r="M461" s="18" t="n">
        <f aca="false">_xlfn.NORM.DIST(K461,AVERAGE($G$2:$G$1387),_xlfn.STDEV.S($G$2:$G$1387),TRUE())</f>
        <v>0.327827743039608</v>
      </c>
    </row>
    <row r="462" customFormat="false" ht="15" hidden="false" customHeight="false" outlineLevel="0" collapsed="false">
      <c r="A462" s="0" t="n">
        <f aca="false">ROW()-1</f>
        <v>461</v>
      </c>
      <c r="B462" s="0" t="str">
        <f aca="false">'Analysis Data'!A462</f>
        <v>Wheaton</v>
      </c>
      <c r="C462" s="5" t="n">
        <f aca="false">'Analysis Data'!B462</f>
        <v>40365</v>
      </c>
      <c r="D462" s="6" t="n">
        <f aca="false">'Analysis Data'!C462</f>
        <v>345.848851077878</v>
      </c>
      <c r="E462" s="15" t="n">
        <f aca="false">SUMPRODUCT('Final Model'!$B$45:$I$45,'Analysis Data'!N462:U462)</f>
        <v>329.219320537423</v>
      </c>
      <c r="F462" s="15" t="n">
        <f aca="false">D462-E462</f>
        <v>16.6295305404556</v>
      </c>
      <c r="G462" s="13" t="n">
        <f aca="false">F462/'Final Model'!$B$21</f>
        <v>0.339156541414033</v>
      </c>
      <c r="H462" s="6" t="n">
        <f aca="false">F462^2</f>
        <v>276.541285995946</v>
      </c>
      <c r="J462" s="6" t="n">
        <f aca="false">A462</f>
        <v>461</v>
      </c>
      <c r="K462" s="13" t="n">
        <f aca="false">SMALL($G$2:$G$1387,J462)</f>
        <v>-0.444180331067231</v>
      </c>
      <c r="L462" s="18" t="n">
        <f aca="false">(J462-0.5)/1386</f>
        <v>0.332251082251082</v>
      </c>
      <c r="M462" s="18" t="n">
        <f aca="false">_xlfn.NORM.DIST(K462,AVERAGE($G$2:$G$1387),_xlfn.STDEV.S($G$2:$G$1387),TRUE())</f>
        <v>0.328048925557628</v>
      </c>
    </row>
    <row r="463" customFormat="false" ht="15" hidden="false" customHeight="false" outlineLevel="0" collapsed="false">
      <c r="A463" s="0" t="n">
        <f aca="false">ROW()-1</f>
        <v>462</v>
      </c>
      <c r="B463" s="0" t="str">
        <f aca="false">'Analysis Data'!A463</f>
        <v>Wheaton</v>
      </c>
      <c r="C463" s="5" t="n">
        <f aca="false">'Analysis Data'!B463</f>
        <v>40372</v>
      </c>
      <c r="D463" s="6" t="n">
        <f aca="false">'Analysis Data'!C463</f>
        <v>346.951213954335</v>
      </c>
      <c r="E463" s="15" t="n">
        <f aca="false">SUMPRODUCT('Final Model'!$B$45:$I$45,'Analysis Data'!N463:U463)</f>
        <v>329.840133807411</v>
      </c>
      <c r="F463" s="15" t="n">
        <f aca="false">D463-E463</f>
        <v>17.1110801469238</v>
      </c>
      <c r="G463" s="13" t="n">
        <f aca="false">F463/'Final Model'!$B$21</f>
        <v>0.34897766646935</v>
      </c>
      <c r="H463" s="6" t="n">
        <f aca="false">F463^2</f>
        <v>292.789063794449</v>
      </c>
      <c r="J463" s="6" t="n">
        <f aca="false">A463</f>
        <v>462</v>
      </c>
      <c r="K463" s="13" t="n">
        <f aca="false">SMALL($G$2:$G$1387,J463)</f>
        <v>-0.442768425887488</v>
      </c>
      <c r="L463" s="18" t="n">
        <f aca="false">(J463-0.5)/1386</f>
        <v>0.332972582972583</v>
      </c>
      <c r="M463" s="18" t="n">
        <f aca="false">_xlfn.NORM.DIST(K463,AVERAGE($G$2:$G$1387),_xlfn.STDEV.S($G$2:$G$1387),TRUE())</f>
        <v>0.328560480943258</v>
      </c>
    </row>
    <row r="464" customFormat="false" ht="15" hidden="false" customHeight="false" outlineLevel="0" collapsed="false">
      <c r="A464" s="0" t="n">
        <f aca="false">ROW()-1</f>
        <v>463</v>
      </c>
      <c r="B464" s="0" t="str">
        <f aca="false">'Analysis Data'!A464</f>
        <v>Willowbrook</v>
      </c>
      <c r="C464" s="5" t="n">
        <f aca="false">'Analysis Data'!B464</f>
        <v>40302</v>
      </c>
      <c r="D464" s="6" t="n">
        <f aca="false">'Analysis Data'!C464</f>
        <v>236.517109496755</v>
      </c>
      <c r="E464" s="15" t="n">
        <f aca="false">SUMPRODUCT('Final Model'!$B$45:$I$45,'Analysis Data'!N464:U464)</f>
        <v>235.633355487838</v>
      </c>
      <c r="F464" s="15" t="n">
        <f aca="false">D464-E464</f>
        <v>0.883754008917521</v>
      </c>
      <c r="G464" s="13" t="n">
        <f aca="false">F464/'Final Model'!$B$21</f>
        <v>0.0180240177193265</v>
      </c>
      <c r="H464" s="6" t="n">
        <f aca="false">F464^2</f>
        <v>0.781021148277789</v>
      </c>
      <c r="J464" s="6" t="n">
        <f aca="false">A464</f>
        <v>463</v>
      </c>
      <c r="K464" s="13" t="n">
        <f aca="false">SMALL($G$2:$G$1387,J464)</f>
        <v>-0.442629299838548</v>
      </c>
      <c r="L464" s="18" t="n">
        <f aca="false">(J464-0.5)/1386</f>
        <v>0.333694083694084</v>
      </c>
      <c r="M464" s="18" t="n">
        <f aca="false">_xlfn.NORM.DIST(K464,AVERAGE($G$2:$G$1387),_xlfn.STDEV.S($G$2:$G$1387),TRUE())</f>
        <v>0.32861090590773</v>
      </c>
    </row>
    <row r="465" customFormat="false" ht="15" hidden="false" customHeight="false" outlineLevel="0" collapsed="false">
      <c r="A465" s="0" t="n">
        <f aca="false">ROW()-1</f>
        <v>464</v>
      </c>
      <c r="B465" s="0" t="str">
        <f aca="false">'Analysis Data'!A465</f>
        <v>Willowbrook</v>
      </c>
      <c r="C465" s="5" t="n">
        <f aca="false">'Analysis Data'!B465</f>
        <v>40309</v>
      </c>
      <c r="D465" s="6" t="n">
        <f aca="false">'Analysis Data'!C465</f>
        <v>200.760714779494</v>
      </c>
      <c r="E465" s="15" t="n">
        <f aca="false">SUMPRODUCT('Final Model'!$B$45:$I$45,'Analysis Data'!N465:U465)</f>
        <v>245.636768157055</v>
      </c>
      <c r="F465" s="15" t="n">
        <f aca="false">D465-E465</f>
        <v>-44.8760533775614</v>
      </c>
      <c r="G465" s="13" t="n">
        <f aca="false">F465/'Final Model'!$B$21</f>
        <v>-0.915239730840186</v>
      </c>
      <c r="H465" s="6" t="n">
        <f aca="false">F465^2</f>
        <v>2013.86016674574</v>
      </c>
      <c r="J465" s="6" t="n">
        <f aca="false">A465</f>
        <v>464</v>
      </c>
      <c r="K465" s="13" t="n">
        <f aca="false">SMALL($G$2:$G$1387,J465)</f>
        <v>-0.434338916851886</v>
      </c>
      <c r="L465" s="18" t="n">
        <f aca="false">(J465-0.5)/1386</f>
        <v>0.334415584415584</v>
      </c>
      <c r="M465" s="18" t="n">
        <f aca="false">_xlfn.NORM.DIST(K465,AVERAGE($G$2:$G$1387),_xlfn.STDEV.S($G$2:$G$1387),TRUE())</f>
        <v>0.33162128583816</v>
      </c>
    </row>
    <row r="466" customFormat="false" ht="15" hidden="false" customHeight="false" outlineLevel="0" collapsed="false">
      <c r="A466" s="0" t="n">
        <f aca="false">ROW()-1</f>
        <v>465</v>
      </c>
      <c r="B466" s="0" t="str">
        <f aca="false">'Analysis Data'!A466</f>
        <v>Willowbrook</v>
      </c>
      <c r="C466" s="5" t="n">
        <f aca="false">'Analysis Data'!B466</f>
        <v>40316</v>
      </c>
      <c r="D466" s="6" t="n">
        <f aca="false">'Analysis Data'!C466</f>
        <v>255.702234729595</v>
      </c>
      <c r="E466" s="15" t="n">
        <f aca="false">SUMPRODUCT('Final Model'!$B$45:$I$45,'Analysis Data'!N466:U466)</f>
        <v>249.167384395845</v>
      </c>
      <c r="F466" s="15" t="n">
        <f aca="false">D466-E466</f>
        <v>6.53485033375006</v>
      </c>
      <c r="G466" s="13" t="n">
        <f aca="false">F466/'Final Model'!$B$21</f>
        <v>0.13327719820239</v>
      </c>
      <c r="H466" s="6" t="n">
        <f aca="false">F466^2</f>
        <v>42.7042688845132</v>
      </c>
      <c r="J466" s="6" t="n">
        <f aca="false">A466</f>
        <v>465</v>
      </c>
      <c r="K466" s="13" t="n">
        <f aca="false">SMALL($G$2:$G$1387,J466)</f>
        <v>-0.432865585095445</v>
      </c>
      <c r="L466" s="18" t="n">
        <f aca="false">(J466-0.5)/1386</f>
        <v>0.335137085137085</v>
      </c>
      <c r="M466" s="18" t="n">
        <f aca="false">_xlfn.NORM.DIST(K466,AVERAGE($G$2:$G$1387),_xlfn.STDEV.S($G$2:$G$1387),TRUE())</f>
        <v>0.332157424864714</v>
      </c>
    </row>
    <row r="467" customFormat="false" ht="15" hidden="false" customHeight="false" outlineLevel="0" collapsed="false">
      <c r="A467" s="0" t="n">
        <f aca="false">ROW()-1</f>
        <v>466</v>
      </c>
      <c r="B467" s="0" t="str">
        <f aca="false">'Analysis Data'!A467</f>
        <v>Willowbrook</v>
      </c>
      <c r="C467" s="5" t="n">
        <f aca="false">'Analysis Data'!B467</f>
        <v>40323</v>
      </c>
      <c r="D467" s="6" t="n">
        <f aca="false">'Analysis Data'!C467</f>
        <v>269.472927337945</v>
      </c>
      <c r="E467" s="15" t="n">
        <f aca="false">SUMPRODUCT('Final Model'!$B$45:$I$45,'Analysis Data'!N467:U467)</f>
        <v>251.30046504747</v>
      </c>
      <c r="F467" s="15" t="n">
        <f aca="false">D467-E467</f>
        <v>18.1724622904747</v>
      </c>
      <c r="G467" s="13" t="n">
        <f aca="false">F467/'Final Model'!$B$21</f>
        <v>0.370624380791778</v>
      </c>
      <c r="H467" s="6" t="n">
        <f aca="false">F467^2</f>
        <v>330.238385698724</v>
      </c>
      <c r="J467" s="6" t="n">
        <f aca="false">A467</f>
        <v>466</v>
      </c>
      <c r="K467" s="13" t="n">
        <f aca="false">SMALL($G$2:$G$1387,J467)</f>
        <v>-0.427360433099245</v>
      </c>
      <c r="L467" s="18" t="n">
        <f aca="false">(J467-0.5)/1386</f>
        <v>0.335858585858586</v>
      </c>
      <c r="M467" s="18" t="n">
        <f aca="false">_xlfn.NORM.DIST(K467,AVERAGE($G$2:$G$1387),_xlfn.STDEV.S($G$2:$G$1387),TRUE())</f>
        <v>0.334163760157247</v>
      </c>
    </row>
    <row r="468" customFormat="false" ht="15" hidden="false" customHeight="false" outlineLevel="0" collapsed="false">
      <c r="A468" s="0" t="n">
        <f aca="false">ROW()-1</f>
        <v>467</v>
      </c>
      <c r="B468" s="0" t="str">
        <f aca="false">'Analysis Data'!A468</f>
        <v>Willowbrook</v>
      </c>
      <c r="C468" s="5" t="n">
        <f aca="false">'Analysis Data'!B468</f>
        <v>40330</v>
      </c>
      <c r="D468" s="6" t="n">
        <f aca="false">'Analysis Data'!C468</f>
        <v>199.047573971388</v>
      </c>
      <c r="E468" s="15" t="n">
        <f aca="false">SUMPRODUCT('Final Model'!$B$45:$I$45,'Analysis Data'!N468:U468)</f>
        <v>253.727763711638</v>
      </c>
      <c r="F468" s="15" t="n">
        <f aca="false">D468-E468</f>
        <v>-54.6801897402503</v>
      </c>
      <c r="G468" s="13" t="n">
        <f aca="false">F468/'Final Model'!$B$21</f>
        <v>-1.11519348011963</v>
      </c>
      <c r="H468" s="6" t="n">
        <f aca="false">F468^2</f>
        <v>2989.92315002977</v>
      </c>
      <c r="J468" s="6" t="n">
        <f aca="false">A468</f>
        <v>467</v>
      </c>
      <c r="K468" s="13" t="n">
        <f aca="false">SMALL($G$2:$G$1387,J468)</f>
        <v>-0.425602332433726</v>
      </c>
      <c r="L468" s="18" t="n">
        <f aca="false">(J468-0.5)/1386</f>
        <v>0.336580086580087</v>
      </c>
      <c r="M468" s="18" t="n">
        <f aca="false">_xlfn.NORM.DIST(K468,AVERAGE($G$2:$G$1387),_xlfn.STDEV.S($G$2:$G$1387),TRUE())</f>
        <v>0.33480549745221</v>
      </c>
    </row>
    <row r="469" customFormat="false" ht="15" hidden="false" customHeight="false" outlineLevel="0" collapsed="false">
      <c r="A469" s="0" t="n">
        <f aca="false">ROW()-1</f>
        <v>468</v>
      </c>
      <c r="B469" s="0" t="str">
        <f aca="false">'Analysis Data'!A469</f>
        <v>Willowbrook</v>
      </c>
      <c r="C469" s="5" t="n">
        <f aca="false">'Analysis Data'!B469</f>
        <v>40337</v>
      </c>
      <c r="D469" s="6" t="n">
        <f aca="false">'Analysis Data'!C469</f>
        <v>239.131775916577</v>
      </c>
      <c r="E469" s="15" t="n">
        <f aca="false">SUMPRODUCT('Final Model'!$B$45:$I$45,'Analysis Data'!N469:U469)</f>
        <v>240.26728930125</v>
      </c>
      <c r="F469" s="15" t="n">
        <f aca="false">D469-E469</f>
        <v>-1.13551338467349</v>
      </c>
      <c r="G469" s="13" t="n">
        <f aca="false">F469/'Final Model'!$B$21</f>
        <v>-0.0231586087976631</v>
      </c>
      <c r="H469" s="6" t="n">
        <f aca="false">F469^2</f>
        <v>1.28939064677264</v>
      </c>
      <c r="J469" s="6" t="n">
        <f aca="false">A469</f>
        <v>468</v>
      </c>
      <c r="K469" s="13" t="n">
        <f aca="false">SMALL($G$2:$G$1387,J469)</f>
        <v>-0.423311041843518</v>
      </c>
      <c r="L469" s="18" t="n">
        <f aca="false">(J469-0.5)/1386</f>
        <v>0.337301587301587</v>
      </c>
      <c r="M469" s="18" t="n">
        <f aca="false">_xlfn.NORM.DIST(K469,AVERAGE($G$2:$G$1387),_xlfn.STDEV.S($G$2:$G$1387),TRUE())</f>
        <v>0.335642582725856</v>
      </c>
    </row>
    <row r="470" customFormat="false" ht="15" hidden="false" customHeight="false" outlineLevel="0" collapsed="false">
      <c r="A470" s="0" t="n">
        <f aca="false">ROW()-1</f>
        <v>469</v>
      </c>
      <c r="B470" s="0" t="str">
        <f aca="false">'Analysis Data'!A470</f>
        <v>Willowbrook</v>
      </c>
      <c r="C470" s="5" t="n">
        <f aca="false">'Analysis Data'!B470</f>
        <v>40344</v>
      </c>
      <c r="D470" s="6" t="n">
        <f aca="false">'Analysis Data'!C470</f>
        <v>257.535112311343</v>
      </c>
      <c r="E470" s="15" t="n">
        <f aca="false">SUMPRODUCT('Final Model'!$B$45:$I$45,'Analysis Data'!N470:U470)</f>
        <v>245.636768157055</v>
      </c>
      <c r="F470" s="15" t="n">
        <f aca="false">D470-E470</f>
        <v>11.8983441542882</v>
      </c>
      <c r="G470" s="13" t="n">
        <f aca="false">F470/'Final Model'!$B$21</f>
        <v>0.242664772893324</v>
      </c>
      <c r="H470" s="6" t="n">
        <f aca="false">F470^2</f>
        <v>141.570593613884</v>
      </c>
      <c r="J470" s="6" t="n">
        <f aca="false">A470</f>
        <v>469</v>
      </c>
      <c r="K470" s="13" t="n">
        <f aca="false">SMALL($G$2:$G$1387,J470)</f>
        <v>-0.422768040694798</v>
      </c>
      <c r="L470" s="18" t="n">
        <f aca="false">(J470-0.5)/1386</f>
        <v>0.338023088023088</v>
      </c>
      <c r="M470" s="18" t="n">
        <f aca="false">_xlfn.NORM.DIST(K470,AVERAGE($G$2:$G$1387),_xlfn.STDEV.S($G$2:$G$1387),TRUE())</f>
        <v>0.335841079053583</v>
      </c>
    </row>
    <row r="471" customFormat="false" ht="15" hidden="false" customHeight="false" outlineLevel="0" collapsed="false">
      <c r="A471" s="0" t="n">
        <f aca="false">ROW()-1</f>
        <v>470</v>
      </c>
      <c r="B471" s="0" t="str">
        <f aca="false">'Analysis Data'!A471</f>
        <v>Willowbrook</v>
      </c>
      <c r="C471" s="5" t="n">
        <f aca="false">'Analysis Data'!B471</f>
        <v>40351</v>
      </c>
      <c r="D471" s="6" t="n">
        <f aca="false">'Analysis Data'!C471</f>
        <v>467.473526848349</v>
      </c>
      <c r="E471" s="15" t="n">
        <f aca="false">SUMPRODUCT('Final Model'!$B$45:$I$45,'Analysis Data'!N471:U471)</f>
        <v>352.389464564854</v>
      </c>
      <c r="F471" s="15" t="n">
        <f aca="false">D471-E471</f>
        <v>115.084062283495</v>
      </c>
      <c r="G471" s="13" t="n">
        <f aca="false">F471/'Final Model'!$B$21</f>
        <v>2.34712053001094</v>
      </c>
      <c r="H471" s="6" t="n">
        <f aca="false">F471^2</f>
        <v>13244.3413916713</v>
      </c>
      <c r="J471" s="6" t="n">
        <f aca="false">A471</f>
        <v>470</v>
      </c>
      <c r="K471" s="13" t="n">
        <f aca="false">SMALL($G$2:$G$1387,J471)</f>
        <v>-0.421308128442915</v>
      </c>
      <c r="L471" s="18" t="n">
        <f aca="false">(J471-0.5)/1386</f>
        <v>0.338744588744589</v>
      </c>
      <c r="M471" s="18" t="n">
        <f aca="false">_xlfn.NORM.DIST(K471,AVERAGE($G$2:$G$1387),_xlfn.STDEV.S($G$2:$G$1387),TRUE())</f>
        <v>0.336374983037064</v>
      </c>
    </row>
    <row r="472" customFormat="false" ht="15" hidden="false" customHeight="false" outlineLevel="0" collapsed="false">
      <c r="A472" s="0" t="n">
        <f aca="false">ROW()-1</f>
        <v>471</v>
      </c>
      <c r="B472" s="0" t="str">
        <f aca="false">'Analysis Data'!A472</f>
        <v>Willowbrook</v>
      </c>
      <c r="C472" s="5" t="n">
        <f aca="false">'Analysis Data'!B472</f>
        <v>40358</v>
      </c>
      <c r="D472" s="6" t="n">
        <f aca="false">'Analysis Data'!C472</f>
        <v>487.999117481312</v>
      </c>
      <c r="E472" s="15" t="n">
        <f aca="false">SUMPRODUCT('Final Model'!$B$45:$I$45,'Analysis Data'!N472:U472)</f>
        <v>420.389777971648</v>
      </c>
      <c r="F472" s="15" t="n">
        <f aca="false">D472-E472</f>
        <v>67.609339509664</v>
      </c>
      <c r="G472" s="13" t="n">
        <f aca="false">F472/'Final Model'!$B$21</f>
        <v>1.37888136406505</v>
      </c>
      <c r="H472" s="6" t="n">
        <f aca="false">F472^2</f>
        <v>4571.02278893301</v>
      </c>
      <c r="J472" s="6" t="n">
        <f aca="false">A472</f>
        <v>471</v>
      </c>
      <c r="K472" s="13" t="n">
        <f aca="false">SMALL($G$2:$G$1387,J472)</f>
        <v>-0.420377069090167</v>
      </c>
      <c r="L472" s="18" t="n">
        <f aca="false">(J472-0.5)/1386</f>
        <v>0.339466089466089</v>
      </c>
      <c r="M472" s="18" t="n">
        <f aca="false">_xlfn.NORM.DIST(K472,AVERAGE($G$2:$G$1387),_xlfn.STDEV.S($G$2:$G$1387),TRUE())</f>
        <v>0.336715652898729</v>
      </c>
    </row>
    <row r="473" customFormat="false" ht="15" hidden="false" customHeight="false" outlineLevel="0" collapsed="false">
      <c r="A473" s="0" t="n">
        <f aca="false">ROW()-1</f>
        <v>472</v>
      </c>
      <c r="B473" s="0" t="str">
        <f aca="false">'Analysis Data'!A473</f>
        <v>Willowbrook</v>
      </c>
      <c r="C473" s="5" t="n">
        <f aca="false">'Analysis Data'!B473</f>
        <v>40365</v>
      </c>
      <c r="D473" s="6" t="n">
        <f aca="false">'Analysis Data'!C473</f>
        <v>296.342386924319</v>
      </c>
      <c r="E473" s="15" t="n">
        <f aca="false">SUMPRODUCT('Final Model'!$B$45:$I$45,'Analysis Data'!N473:U473)</f>
        <v>328.171451754224</v>
      </c>
      <c r="F473" s="15" t="n">
        <f aca="false">D473-E473</f>
        <v>-31.8290648299051</v>
      </c>
      <c r="G473" s="13" t="n">
        <f aca="false">F473/'Final Model'!$B$21</f>
        <v>-0.64914854438566</v>
      </c>
      <c r="H473" s="6" t="n">
        <f aca="false">F473^2</f>
        <v>1013.0893679463</v>
      </c>
      <c r="J473" s="6" t="n">
        <f aca="false">A473</f>
        <v>472</v>
      </c>
      <c r="K473" s="13" t="n">
        <f aca="false">SMALL($G$2:$G$1387,J473)</f>
        <v>-0.41944388674738</v>
      </c>
      <c r="L473" s="18" t="n">
        <f aca="false">(J473-0.5)/1386</f>
        <v>0.34018759018759</v>
      </c>
      <c r="M473" s="18" t="n">
        <f aca="false">_xlfn.NORM.DIST(K473,AVERAGE($G$2:$G$1387),_xlfn.STDEV.S($G$2:$G$1387),TRUE())</f>
        <v>0.337057234050727</v>
      </c>
    </row>
    <row r="474" customFormat="false" ht="15" hidden="false" customHeight="false" outlineLevel="0" collapsed="false">
      <c r="A474" s="0" t="n">
        <f aca="false">ROW()-1</f>
        <v>473</v>
      </c>
      <c r="B474" s="0" t="str">
        <f aca="false">'Analysis Data'!A474</f>
        <v>Willowbrook</v>
      </c>
      <c r="C474" s="5" t="n">
        <f aca="false">'Analysis Data'!B474</f>
        <v>40372</v>
      </c>
      <c r="D474" s="6" t="n">
        <f aca="false">'Analysis Data'!C474</f>
        <v>329.350007517417</v>
      </c>
      <c r="E474" s="15" t="n">
        <f aca="false">SUMPRODUCT('Final Model'!$B$45:$I$45,'Analysis Data'!N474:U474)</f>
        <v>322.229167176217</v>
      </c>
      <c r="F474" s="15" t="n">
        <f aca="false">D474-E474</f>
        <v>7.12084034119982</v>
      </c>
      <c r="G474" s="13" t="n">
        <f aca="false">F474/'Final Model'!$B$21</f>
        <v>0.145228368065325</v>
      </c>
      <c r="H474" s="6" t="n">
        <f aca="false">F474^2</f>
        <v>50.7063671648588</v>
      </c>
      <c r="J474" s="6" t="n">
        <f aca="false">A474</f>
        <v>473</v>
      </c>
      <c r="K474" s="13" t="n">
        <f aca="false">SMALL($G$2:$G$1387,J474)</f>
        <v>-0.418359885775819</v>
      </c>
      <c r="L474" s="18" t="n">
        <f aca="false">(J474-0.5)/1386</f>
        <v>0.340909090909091</v>
      </c>
      <c r="M474" s="18" t="n">
        <f aca="false">_xlfn.NORM.DIST(K474,AVERAGE($G$2:$G$1387),_xlfn.STDEV.S($G$2:$G$1387),TRUE())</f>
        <v>0.337454189434949</v>
      </c>
    </row>
    <row r="475" customFormat="false" ht="15" hidden="false" customHeight="false" outlineLevel="0" collapsed="false">
      <c r="A475" s="0" t="n">
        <f aca="false">ROW()-1</f>
        <v>474</v>
      </c>
      <c r="B475" s="0" t="str">
        <f aca="false">'Analysis Data'!A475</f>
        <v>Bedford</v>
      </c>
      <c r="C475" s="5" t="n">
        <f aca="false">'Analysis Data'!B475</f>
        <v>40302</v>
      </c>
      <c r="D475" s="6" t="n">
        <f aca="false">'Analysis Data'!C475</f>
        <v>185.930677851694</v>
      </c>
      <c r="E475" s="15" t="n">
        <f aca="false">SUMPRODUCT('Final Model'!$B$45:$I$45,'Analysis Data'!N475:U475)</f>
        <v>183.800247938187</v>
      </c>
      <c r="F475" s="15" t="n">
        <f aca="false">D475-E475</f>
        <v>2.1304299135073</v>
      </c>
      <c r="G475" s="13" t="n">
        <f aca="false">F475/'Final Model'!$B$21</f>
        <v>0.043449767835138</v>
      </c>
      <c r="H475" s="6" t="n">
        <f aca="false">F475^2</f>
        <v>4.53873161636672</v>
      </c>
      <c r="J475" s="6" t="n">
        <f aca="false">A475</f>
        <v>474</v>
      </c>
      <c r="K475" s="13" t="n">
        <f aca="false">SMALL($G$2:$G$1387,J475)</f>
        <v>-0.414670792714555</v>
      </c>
      <c r="L475" s="18" t="n">
        <f aca="false">(J475-0.5)/1386</f>
        <v>0.341630591630592</v>
      </c>
      <c r="M475" s="18" t="n">
        <f aca="false">_xlfn.NORM.DIST(K475,AVERAGE($G$2:$G$1387),_xlfn.STDEV.S($G$2:$G$1387),TRUE())</f>
        <v>0.338806469322979</v>
      </c>
    </row>
    <row r="476" customFormat="false" ht="15" hidden="false" customHeight="false" outlineLevel="0" collapsed="false">
      <c r="A476" s="0" t="n">
        <f aca="false">ROW()-1</f>
        <v>475</v>
      </c>
      <c r="B476" s="0" t="str">
        <f aca="false">'Analysis Data'!A476</f>
        <v>Bedford</v>
      </c>
      <c r="C476" s="5" t="n">
        <f aca="false">'Analysis Data'!B476</f>
        <v>40309</v>
      </c>
      <c r="D476" s="6" t="n">
        <f aca="false">'Analysis Data'!C476</f>
        <v>139.781382170431</v>
      </c>
      <c r="E476" s="15" t="n">
        <f aca="false">SUMPRODUCT('Final Model'!$B$45:$I$45,'Analysis Data'!N476:U476)</f>
        <v>183.800247938187</v>
      </c>
      <c r="F476" s="15" t="n">
        <f aca="false">D476-E476</f>
        <v>-44.0188657677559</v>
      </c>
      <c r="G476" s="13" t="n">
        <f aca="false">F476/'Final Model'!$B$21</f>
        <v>-0.897757530463132</v>
      </c>
      <c r="H476" s="6" t="n">
        <f aca="false">F476^2</f>
        <v>1937.66054347971</v>
      </c>
      <c r="J476" s="6" t="n">
        <f aca="false">A476</f>
        <v>475</v>
      </c>
      <c r="K476" s="13" t="n">
        <f aca="false">SMALL($G$2:$G$1387,J476)</f>
        <v>-0.413744414147515</v>
      </c>
      <c r="L476" s="18" t="n">
        <f aca="false">(J476-0.5)/1386</f>
        <v>0.342352092352092</v>
      </c>
      <c r="M476" s="18" t="n">
        <f aca="false">_xlfn.NORM.DIST(K476,AVERAGE($G$2:$G$1387),_xlfn.STDEV.S($G$2:$G$1387),TRUE())</f>
        <v>0.339146371599528</v>
      </c>
    </row>
    <row r="477" customFormat="false" ht="15" hidden="false" customHeight="false" outlineLevel="0" collapsed="false">
      <c r="A477" s="0" t="n">
        <f aca="false">ROW()-1</f>
        <v>476</v>
      </c>
      <c r="B477" s="0" t="str">
        <f aca="false">'Analysis Data'!A477</f>
        <v>Bedford</v>
      </c>
      <c r="C477" s="5" t="n">
        <f aca="false">'Analysis Data'!B477</f>
        <v>40316</v>
      </c>
      <c r="D477" s="6" t="n">
        <f aca="false">'Analysis Data'!C477</f>
        <v>148.036294226258</v>
      </c>
      <c r="E477" s="15" t="n">
        <f aca="false">SUMPRODUCT('Final Model'!$B$45:$I$45,'Analysis Data'!N477:U477)</f>
        <v>193.677567164</v>
      </c>
      <c r="F477" s="15" t="n">
        <f aca="false">D477-E477</f>
        <v>-45.6412729377422</v>
      </c>
      <c r="G477" s="13" t="n">
        <f aca="false">F477/'Final Model'!$B$21</f>
        <v>-0.930846257965045</v>
      </c>
      <c r="H477" s="6" t="n">
        <f aca="false">F477^2</f>
        <v>2083.12579537748</v>
      </c>
      <c r="J477" s="6" t="n">
        <f aca="false">A477</f>
        <v>476</v>
      </c>
      <c r="K477" s="13" t="n">
        <f aca="false">SMALL($G$2:$G$1387,J477)</f>
        <v>-0.413226829016978</v>
      </c>
      <c r="L477" s="18" t="n">
        <f aca="false">(J477-0.5)/1386</f>
        <v>0.343073593073593</v>
      </c>
      <c r="M477" s="18" t="n">
        <f aca="false">_xlfn.NORM.DIST(K477,AVERAGE($G$2:$G$1387),_xlfn.STDEV.S($G$2:$G$1387),TRUE())</f>
        <v>0.339336338438774</v>
      </c>
    </row>
    <row r="478" customFormat="false" ht="15" hidden="false" customHeight="false" outlineLevel="0" collapsed="false">
      <c r="A478" s="0" t="n">
        <f aca="false">ROW()-1</f>
        <v>477</v>
      </c>
      <c r="B478" s="0" t="str">
        <f aca="false">'Analysis Data'!A478</f>
        <v>Bedford</v>
      </c>
      <c r="C478" s="5" t="n">
        <f aca="false">'Analysis Data'!B478</f>
        <v>40323</v>
      </c>
      <c r="D478" s="6" t="n">
        <f aca="false">'Analysis Data'!C478</f>
        <v>188.053327652258</v>
      </c>
      <c r="E478" s="15" t="n">
        <f aca="false">SUMPRODUCT('Final Model'!$B$45:$I$45,'Analysis Data'!N478:U478)</f>
        <v>191.365854167319</v>
      </c>
      <c r="F478" s="15" t="n">
        <f aca="false">D478-E478</f>
        <v>-3.31252651506051</v>
      </c>
      <c r="G478" s="13" t="n">
        <f aca="false">F478/'Final Model'!$B$21</f>
        <v>-0.0675584336826037</v>
      </c>
      <c r="H478" s="6" t="n">
        <f aca="false">F478^2</f>
        <v>10.9728319129789</v>
      </c>
      <c r="J478" s="6" t="n">
        <f aca="false">A478</f>
        <v>477</v>
      </c>
      <c r="K478" s="13" t="n">
        <f aca="false">SMALL($G$2:$G$1387,J478)</f>
        <v>-0.405433537069055</v>
      </c>
      <c r="L478" s="18" t="n">
        <f aca="false">(J478-0.5)/1386</f>
        <v>0.343795093795094</v>
      </c>
      <c r="M478" s="18" t="n">
        <f aca="false">_xlfn.NORM.DIST(K478,AVERAGE($G$2:$G$1387),_xlfn.STDEV.S($G$2:$G$1387),TRUE())</f>
        <v>0.342201586779601</v>
      </c>
    </row>
    <row r="479" customFormat="false" ht="15" hidden="false" customHeight="false" outlineLevel="0" collapsed="false">
      <c r="A479" s="0" t="n">
        <f aca="false">ROW()-1</f>
        <v>478</v>
      </c>
      <c r="B479" s="0" t="str">
        <f aca="false">'Analysis Data'!A479</f>
        <v>Bedford</v>
      </c>
      <c r="C479" s="5" t="n">
        <f aca="false">'Analysis Data'!B479</f>
        <v>40330</v>
      </c>
      <c r="D479" s="6" t="n">
        <f aca="false">'Analysis Data'!C479</f>
        <v>186.240545787565</v>
      </c>
      <c r="E479" s="15" t="n">
        <f aca="false">SUMPRODUCT('Final Model'!$B$45:$I$45,'Analysis Data'!N479:U479)</f>
        <v>191.365854167319</v>
      </c>
      <c r="F479" s="15" t="n">
        <f aca="false">D479-E479</f>
        <v>-5.12530837975351</v>
      </c>
      <c r="G479" s="13" t="n">
        <f aca="false">F479/'Final Model'!$B$21</f>
        <v>-0.104529821784731</v>
      </c>
      <c r="H479" s="6" t="n">
        <f aca="false">F479^2</f>
        <v>26.2687859875715</v>
      </c>
      <c r="J479" s="6" t="n">
        <f aca="false">A479</f>
        <v>478</v>
      </c>
      <c r="K479" s="13" t="n">
        <f aca="false">SMALL($G$2:$G$1387,J479)</f>
        <v>-0.405307125896169</v>
      </c>
      <c r="L479" s="18" t="n">
        <f aca="false">(J479-0.5)/1386</f>
        <v>0.344516594516595</v>
      </c>
      <c r="M479" s="18" t="n">
        <f aca="false">_xlfn.NORM.DIST(K479,AVERAGE($G$2:$G$1387),_xlfn.STDEV.S($G$2:$G$1387),TRUE())</f>
        <v>0.342248138078021</v>
      </c>
    </row>
    <row r="480" customFormat="false" ht="15" hidden="false" customHeight="false" outlineLevel="0" collapsed="false">
      <c r="A480" s="0" t="n">
        <f aca="false">ROW()-1</f>
        <v>479</v>
      </c>
      <c r="B480" s="0" t="str">
        <f aca="false">'Analysis Data'!A480</f>
        <v>Bedford</v>
      </c>
      <c r="C480" s="5" t="n">
        <f aca="false">'Analysis Data'!B480</f>
        <v>40337</v>
      </c>
      <c r="D480" s="6" t="n">
        <f aca="false">'Analysis Data'!C480</f>
        <v>167.509567609417</v>
      </c>
      <c r="E480" s="15" t="n">
        <f aca="false">SUMPRODUCT('Final Model'!$B$45:$I$45,'Analysis Data'!N480:U480)</f>
        <v>183.800247938187</v>
      </c>
      <c r="F480" s="15" t="n">
        <f aca="false">D480-E480</f>
        <v>-16.2906803287704</v>
      </c>
      <c r="G480" s="13" t="n">
        <f aca="false">F480/'Final Model'!$B$21</f>
        <v>-0.332245747054987</v>
      </c>
      <c r="H480" s="6" t="n">
        <f aca="false">F480^2</f>
        <v>265.386265574187</v>
      </c>
      <c r="J480" s="6" t="n">
        <f aca="false">A480</f>
        <v>479</v>
      </c>
      <c r="K480" s="13" t="n">
        <f aca="false">SMALL($G$2:$G$1387,J480)</f>
        <v>-0.405165164140837</v>
      </c>
      <c r="L480" s="18" t="n">
        <f aca="false">(J480-0.5)/1386</f>
        <v>0.345238095238095</v>
      </c>
      <c r="M480" s="18" t="n">
        <f aca="false">_xlfn.NORM.DIST(K480,AVERAGE($G$2:$G$1387),_xlfn.STDEV.S($G$2:$G$1387),TRUE())</f>
        <v>0.342300418783374</v>
      </c>
    </row>
    <row r="481" customFormat="false" ht="15" hidden="false" customHeight="false" outlineLevel="0" collapsed="false">
      <c r="A481" s="0" t="n">
        <f aca="false">ROW()-1</f>
        <v>480</v>
      </c>
      <c r="B481" s="0" t="str">
        <f aca="false">'Analysis Data'!A481</f>
        <v>Bedford</v>
      </c>
      <c r="C481" s="5" t="n">
        <f aca="false">'Analysis Data'!B481</f>
        <v>40344</v>
      </c>
      <c r="D481" s="6" t="n">
        <f aca="false">'Analysis Data'!C481</f>
        <v>106.252154385917</v>
      </c>
      <c r="E481" s="15" t="n">
        <f aca="false">SUMPRODUCT('Final Model'!$B$45:$I$45,'Analysis Data'!N481:U481)</f>
        <v>184.851026567024</v>
      </c>
      <c r="F481" s="15" t="n">
        <f aca="false">D481-E481</f>
        <v>-78.5988721811069</v>
      </c>
      <c r="G481" s="13" t="n">
        <f aca="false">F481/'Final Model'!$B$21</f>
        <v>-1.60301107617783</v>
      </c>
      <c r="H481" s="6" t="n">
        <f aca="false">F481^2</f>
        <v>6177.78270814198</v>
      </c>
      <c r="J481" s="6" t="n">
        <f aca="false">A481</f>
        <v>480</v>
      </c>
      <c r="K481" s="13" t="n">
        <f aca="false">SMALL($G$2:$G$1387,J481)</f>
        <v>-0.402636453930186</v>
      </c>
      <c r="L481" s="18" t="n">
        <f aca="false">(J481-0.5)/1386</f>
        <v>0.345959595959596</v>
      </c>
      <c r="M481" s="18" t="n">
        <f aca="false">_xlfn.NORM.DIST(K481,AVERAGE($G$2:$G$1387),_xlfn.STDEV.S($G$2:$G$1387),TRUE())</f>
        <v>0.34323218048529</v>
      </c>
    </row>
    <row r="482" customFormat="false" ht="15" hidden="false" customHeight="false" outlineLevel="0" collapsed="false">
      <c r="A482" s="0" t="n">
        <f aca="false">ROW()-1</f>
        <v>481</v>
      </c>
      <c r="B482" s="0" t="str">
        <f aca="false">'Analysis Data'!A482</f>
        <v>Bedford</v>
      </c>
      <c r="C482" s="5" t="n">
        <f aca="false">'Analysis Data'!B482</f>
        <v>40351</v>
      </c>
      <c r="D482" s="6" t="n">
        <f aca="false">'Analysis Data'!C482</f>
        <v>167.944791879811</v>
      </c>
      <c r="E482" s="15" t="n">
        <f aca="false">SUMPRODUCT('Final Model'!$B$45:$I$45,'Analysis Data'!N482:U482)</f>
        <v>185.770457886565</v>
      </c>
      <c r="F482" s="15" t="n">
        <f aca="false">D482-E482</f>
        <v>-17.8256660067532</v>
      </c>
      <c r="G482" s="13" t="n">
        <f aca="false">F482/'Final Model'!$B$21</f>
        <v>-0.363551527599917</v>
      </c>
      <c r="H482" s="6" t="n">
        <f aca="false">F482^2</f>
        <v>317.754368584317</v>
      </c>
      <c r="J482" s="6" t="n">
        <f aca="false">A482</f>
        <v>481</v>
      </c>
      <c r="K482" s="13" t="n">
        <f aca="false">SMALL($G$2:$G$1387,J482)</f>
        <v>-0.402137807731415</v>
      </c>
      <c r="L482" s="18" t="n">
        <f aca="false">(J482-0.5)/1386</f>
        <v>0.346681096681097</v>
      </c>
      <c r="M482" s="18" t="n">
        <f aca="false">_xlfn.NORM.DIST(K482,AVERAGE($G$2:$G$1387),_xlfn.STDEV.S($G$2:$G$1387),TRUE())</f>
        <v>0.343416030964234</v>
      </c>
    </row>
    <row r="483" customFormat="false" ht="15" hidden="false" customHeight="false" outlineLevel="0" collapsed="false">
      <c r="A483" s="0" t="n">
        <f aca="false">ROW()-1</f>
        <v>482</v>
      </c>
      <c r="B483" s="0" t="str">
        <f aca="false">'Analysis Data'!A483</f>
        <v>Bedford</v>
      </c>
      <c r="C483" s="5" t="n">
        <f aca="false">'Analysis Data'!B483</f>
        <v>40358</v>
      </c>
      <c r="D483" s="6" t="n">
        <f aca="false">'Analysis Data'!C483</f>
        <v>87.516367526594</v>
      </c>
      <c r="E483" s="15" t="n">
        <f aca="false">SUMPRODUCT('Final Model'!$B$45:$I$45,'Analysis Data'!N483:U483)</f>
        <v>183.800247938187</v>
      </c>
      <c r="F483" s="15" t="n">
        <f aca="false">D483-E483</f>
        <v>-96.2838804115931</v>
      </c>
      <c r="G483" s="13" t="n">
        <f aca="false">F483/'Final Model'!$B$21</f>
        <v>-1.96369391155546</v>
      </c>
      <c r="H483" s="6" t="n">
        <f aca="false">F483^2</f>
        <v>9270.58562711396</v>
      </c>
      <c r="J483" s="6" t="n">
        <f aca="false">A483</f>
        <v>482</v>
      </c>
      <c r="K483" s="13" t="n">
        <f aca="false">SMALL($G$2:$G$1387,J483)</f>
        <v>-0.399229001819423</v>
      </c>
      <c r="L483" s="18" t="n">
        <f aca="false">(J483-0.5)/1386</f>
        <v>0.347402597402597</v>
      </c>
      <c r="M483" s="18" t="n">
        <f aca="false">_xlfn.NORM.DIST(K483,AVERAGE($G$2:$G$1387),_xlfn.STDEV.S($G$2:$G$1387),TRUE())</f>
        <v>0.344489242876522</v>
      </c>
    </row>
    <row r="484" customFormat="false" ht="15" hidden="false" customHeight="false" outlineLevel="0" collapsed="false">
      <c r="A484" s="0" t="n">
        <f aca="false">ROW()-1</f>
        <v>483</v>
      </c>
      <c r="B484" s="0" t="str">
        <f aca="false">'Analysis Data'!A484</f>
        <v>Bedford</v>
      </c>
      <c r="C484" s="5" t="n">
        <f aca="false">'Analysis Data'!B484</f>
        <v>40365</v>
      </c>
      <c r="D484" s="6" t="n">
        <f aca="false">'Analysis Data'!C484</f>
        <v>171.45285503752</v>
      </c>
      <c r="E484" s="15" t="n">
        <f aca="false">SUMPRODUCT('Final Model'!$B$45:$I$45,'Analysis Data'!N484:U484)</f>
        <v>193.162685636532</v>
      </c>
      <c r="F484" s="15" t="n">
        <f aca="false">D484-E484</f>
        <v>-21.709830599012</v>
      </c>
      <c r="G484" s="13" t="n">
        <f aca="false">F484/'Final Model'!$B$21</f>
        <v>-0.442768425887488</v>
      </c>
      <c r="H484" s="6" t="n">
        <f aca="false">F484^2</f>
        <v>471.316744637796</v>
      </c>
      <c r="J484" s="6" t="n">
        <f aca="false">A484</f>
        <v>483</v>
      </c>
      <c r="K484" s="13" t="n">
        <f aca="false">SMALL($G$2:$G$1387,J484)</f>
        <v>-0.395077284418168</v>
      </c>
      <c r="L484" s="18" t="n">
        <f aca="false">(J484-0.5)/1386</f>
        <v>0.348124098124098</v>
      </c>
      <c r="M484" s="18" t="n">
        <f aca="false">_xlfn.NORM.DIST(K484,AVERAGE($G$2:$G$1387),_xlfn.STDEV.S($G$2:$G$1387),TRUE())</f>
        <v>0.346023199600918</v>
      </c>
    </row>
    <row r="485" customFormat="false" ht="15" hidden="false" customHeight="false" outlineLevel="0" collapsed="false">
      <c r="A485" s="0" t="n">
        <f aca="false">ROW()-1</f>
        <v>484</v>
      </c>
      <c r="B485" s="0" t="str">
        <f aca="false">'Analysis Data'!A485</f>
        <v>Bedford</v>
      </c>
      <c r="C485" s="5" t="n">
        <f aca="false">'Analysis Data'!B485</f>
        <v>40372</v>
      </c>
      <c r="D485" s="6" t="n">
        <f aca="false">'Analysis Data'!C485</f>
        <v>116.255381785723</v>
      </c>
      <c r="E485" s="15" t="n">
        <f aca="false">SUMPRODUCT('Final Model'!$B$45:$I$45,'Analysis Data'!N485:U485)</f>
        <v>204.342970400057</v>
      </c>
      <c r="F485" s="15" t="n">
        <f aca="false">D485-E485</f>
        <v>-88.0875886143339</v>
      </c>
      <c r="G485" s="13" t="n">
        <f aca="false">F485/'Final Model'!$B$21</f>
        <v>-1.79653188785214</v>
      </c>
      <c r="H485" s="6" t="n">
        <f aca="false">F485^2</f>
        <v>7759.42326788812</v>
      </c>
      <c r="J485" s="6" t="n">
        <f aca="false">A485</f>
        <v>484</v>
      </c>
      <c r="K485" s="13" t="n">
        <f aca="false">SMALL($G$2:$G$1387,J485)</f>
        <v>-0.394011339105947</v>
      </c>
      <c r="L485" s="18" t="n">
        <f aca="false">(J485-0.5)/1386</f>
        <v>0.348845598845599</v>
      </c>
      <c r="M485" s="18" t="n">
        <f aca="false">_xlfn.NORM.DIST(K485,AVERAGE($G$2:$G$1387),_xlfn.STDEV.S($G$2:$G$1387),TRUE())</f>
        <v>0.346417449207785</v>
      </c>
    </row>
    <row r="486" customFormat="false" ht="15" hidden="false" customHeight="false" outlineLevel="0" collapsed="false">
      <c r="A486" s="0" t="n">
        <f aca="false">ROW()-1</f>
        <v>485</v>
      </c>
      <c r="B486" s="0" t="str">
        <f aca="false">'Analysis Data'!A486</f>
        <v>Bellingham</v>
      </c>
      <c r="C486" s="5" t="n">
        <f aca="false">'Analysis Data'!B486</f>
        <v>40302</v>
      </c>
      <c r="D486" s="6" t="n">
        <f aca="false">'Analysis Data'!C486</f>
        <v>156.184987143156</v>
      </c>
      <c r="E486" s="15" t="n">
        <f aca="false">SUMPRODUCT('Final Model'!$B$45:$I$45,'Analysis Data'!N486:U486)</f>
        <v>183.800247938187</v>
      </c>
      <c r="F486" s="15" t="n">
        <f aca="false">D486-E486</f>
        <v>-27.615260795031</v>
      </c>
      <c r="G486" s="13" t="n">
        <f aca="false">F486/'Final Model'!$B$21</f>
        <v>-0.563208703859938</v>
      </c>
      <c r="H486" s="6" t="n">
        <f aca="false">F486^2</f>
        <v>762.602628777577</v>
      </c>
      <c r="J486" s="6" t="n">
        <f aca="false">A486</f>
        <v>485</v>
      </c>
      <c r="K486" s="13" t="n">
        <f aca="false">SMALL($G$2:$G$1387,J486)</f>
        <v>-0.393984453777244</v>
      </c>
      <c r="L486" s="18" t="n">
        <f aca="false">(J486-0.5)/1386</f>
        <v>0.3495670995671</v>
      </c>
      <c r="M486" s="18" t="n">
        <f aca="false">_xlfn.NORM.DIST(K486,AVERAGE($G$2:$G$1387),_xlfn.STDEV.S($G$2:$G$1387),TRUE())</f>
        <v>0.346427395145856</v>
      </c>
    </row>
    <row r="487" customFormat="false" ht="15" hidden="false" customHeight="false" outlineLevel="0" collapsed="false">
      <c r="A487" s="0" t="n">
        <f aca="false">ROW()-1</f>
        <v>486</v>
      </c>
      <c r="B487" s="0" t="str">
        <f aca="false">'Analysis Data'!A487</f>
        <v>Bellingham</v>
      </c>
      <c r="C487" s="5" t="n">
        <f aca="false">'Analysis Data'!B487</f>
        <v>40309</v>
      </c>
      <c r="D487" s="6" t="n">
        <f aca="false">'Analysis Data'!C487</f>
        <v>208.035439039288</v>
      </c>
      <c r="E487" s="15" t="n">
        <f aca="false">SUMPRODUCT('Final Model'!$B$45:$I$45,'Analysis Data'!N487:U487)</f>
        <v>185.69164947892</v>
      </c>
      <c r="F487" s="15" t="n">
        <f aca="false">D487-E487</f>
        <v>22.3437895603679</v>
      </c>
      <c r="G487" s="13" t="n">
        <f aca="false">F487/'Final Model'!$B$21</f>
        <v>0.455697914679059</v>
      </c>
      <c r="H487" s="6" t="n">
        <f aca="false">F487^2</f>
        <v>499.244931918004</v>
      </c>
      <c r="J487" s="6" t="n">
        <f aca="false">A487</f>
        <v>486</v>
      </c>
      <c r="K487" s="13" t="n">
        <f aca="false">SMALL($G$2:$G$1387,J487)</f>
        <v>-0.39332233542274</v>
      </c>
      <c r="L487" s="18" t="n">
        <f aca="false">(J487-0.5)/1386</f>
        <v>0.3502886002886</v>
      </c>
      <c r="M487" s="18" t="n">
        <f aca="false">_xlfn.NORM.DIST(K487,AVERAGE($G$2:$G$1387),_xlfn.STDEV.S($G$2:$G$1387),TRUE())</f>
        <v>0.346672372106507</v>
      </c>
    </row>
    <row r="488" customFormat="false" ht="15" hidden="false" customHeight="false" outlineLevel="0" collapsed="false">
      <c r="A488" s="0" t="n">
        <f aca="false">ROW()-1</f>
        <v>487</v>
      </c>
      <c r="B488" s="0" t="str">
        <f aca="false">'Analysis Data'!A488</f>
        <v>Bellingham</v>
      </c>
      <c r="C488" s="5" t="n">
        <f aca="false">'Analysis Data'!B488</f>
        <v>40316</v>
      </c>
      <c r="D488" s="6" t="n">
        <f aca="false">'Analysis Data'!C488</f>
        <v>165.139201278736</v>
      </c>
      <c r="E488" s="15" t="n">
        <f aca="false">SUMPRODUCT('Final Model'!$B$45:$I$45,'Analysis Data'!N488:U488)</f>
        <v>191.365854167319</v>
      </c>
      <c r="F488" s="15" t="n">
        <f aca="false">D488-E488</f>
        <v>-26.2266528885826</v>
      </c>
      <c r="G488" s="13" t="n">
        <f aca="false">F488/'Final Model'!$B$21</f>
        <v>-0.534888273900385</v>
      </c>
      <c r="H488" s="6" t="n">
        <f aca="false">F488^2</f>
        <v>687.837321738198</v>
      </c>
      <c r="J488" s="6" t="n">
        <f aca="false">A488</f>
        <v>487</v>
      </c>
      <c r="K488" s="13" t="n">
        <f aca="false">SMALL($G$2:$G$1387,J488)</f>
        <v>-0.388251704303435</v>
      </c>
      <c r="L488" s="18" t="n">
        <f aca="false">(J488-0.5)/1386</f>
        <v>0.351010101010101</v>
      </c>
      <c r="M488" s="18" t="n">
        <f aca="false">_xlfn.NORM.DIST(K488,AVERAGE($G$2:$G$1387),_xlfn.STDEV.S($G$2:$G$1387),TRUE())</f>
        <v>0.34855057272532</v>
      </c>
    </row>
    <row r="489" customFormat="false" ht="15" hidden="false" customHeight="false" outlineLevel="0" collapsed="false">
      <c r="A489" s="0" t="n">
        <f aca="false">ROW()-1</f>
        <v>488</v>
      </c>
      <c r="B489" s="0" t="str">
        <f aca="false">'Analysis Data'!A489</f>
        <v>Bellingham</v>
      </c>
      <c r="C489" s="5" t="n">
        <f aca="false">'Analysis Data'!B489</f>
        <v>40323</v>
      </c>
      <c r="D489" s="6" t="n">
        <f aca="false">'Analysis Data'!C489</f>
        <v>165.867914195461</v>
      </c>
      <c r="E489" s="15" t="n">
        <f aca="false">SUMPRODUCT('Final Model'!$B$45:$I$45,'Analysis Data'!N489:U489)</f>
        <v>191.365854167319</v>
      </c>
      <c r="F489" s="15" t="n">
        <f aca="false">D489-E489</f>
        <v>-25.4979399718576</v>
      </c>
      <c r="G489" s="13" t="n">
        <f aca="false">F489/'Final Model'!$B$21</f>
        <v>-0.520026293766975</v>
      </c>
      <c r="H489" s="6" t="n">
        <f aca="false">F489^2</f>
        <v>650.144942808453</v>
      </c>
      <c r="J489" s="6" t="n">
        <f aca="false">A489</f>
        <v>488</v>
      </c>
      <c r="K489" s="13" t="n">
        <f aca="false">SMALL($G$2:$G$1387,J489)</f>
        <v>-0.386977525354012</v>
      </c>
      <c r="L489" s="18" t="n">
        <f aca="false">(J489-0.5)/1386</f>
        <v>0.351731601731602</v>
      </c>
      <c r="M489" s="18" t="n">
        <f aca="false">_xlfn.NORM.DIST(K489,AVERAGE($G$2:$G$1387),_xlfn.STDEV.S($G$2:$G$1387),TRUE())</f>
        <v>0.349023124835648</v>
      </c>
    </row>
    <row r="490" customFormat="false" ht="15" hidden="false" customHeight="false" outlineLevel="0" collapsed="false">
      <c r="A490" s="0" t="n">
        <f aca="false">ROW()-1</f>
        <v>489</v>
      </c>
      <c r="B490" s="0" t="str">
        <f aca="false">'Analysis Data'!A490</f>
        <v>Bellingham</v>
      </c>
      <c r="C490" s="5" t="n">
        <f aca="false">'Analysis Data'!B490</f>
        <v>40330</v>
      </c>
      <c r="D490" s="6" t="n">
        <f aca="false">'Analysis Data'!C490</f>
        <v>134.33644365251</v>
      </c>
      <c r="E490" s="15" t="n">
        <f aca="false">SUMPRODUCT('Final Model'!$B$45:$I$45,'Analysis Data'!N490:U490)</f>
        <v>193.677567164</v>
      </c>
      <c r="F490" s="15" t="n">
        <f aca="false">D490-E490</f>
        <v>-59.3411235114904</v>
      </c>
      <c r="G490" s="13" t="n">
        <f aca="false">F490/'Final Model'!$B$21</f>
        <v>-1.2102524581087</v>
      </c>
      <c r="H490" s="6" t="n">
        <f aca="false">F490^2</f>
        <v>3521.36893960596</v>
      </c>
      <c r="J490" s="6" t="n">
        <f aca="false">A490</f>
        <v>489</v>
      </c>
      <c r="K490" s="13" t="n">
        <f aca="false">SMALL($G$2:$G$1387,J490)</f>
        <v>-0.385647324107986</v>
      </c>
      <c r="L490" s="18" t="n">
        <f aca="false">(J490-0.5)/1386</f>
        <v>0.352453102453102</v>
      </c>
      <c r="M490" s="18" t="n">
        <f aca="false">_xlfn.NORM.DIST(K490,AVERAGE($G$2:$G$1387),_xlfn.STDEV.S($G$2:$G$1387),TRUE())</f>
        <v>0.349516703731166</v>
      </c>
    </row>
    <row r="491" customFormat="false" ht="15" hidden="false" customHeight="false" outlineLevel="0" collapsed="false">
      <c r="A491" s="0" t="n">
        <f aca="false">ROW()-1</f>
        <v>490</v>
      </c>
      <c r="B491" s="0" t="str">
        <f aca="false">'Analysis Data'!A491</f>
        <v>Bellingham</v>
      </c>
      <c r="C491" s="5" t="n">
        <f aca="false">'Analysis Data'!B491</f>
        <v>40337</v>
      </c>
      <c r="D491" s="6" t="n">
        <f aca="false">'Analysis Data'!C491</f>
        <v>187.078950606853</v>
      </c>
      <c r="E491" s="15" t="n">
        <f aca="false">SUMPRODUCT('Final Model'!$B$45:$I$45,'Analysis Data'!N491:U491)</f>
        <v>183.800247938187</v>
      </c>
      <c r="F491" s="15" t="n">
        <f aca="false">D491-E491</f>
        <v>3.27870266866569</v>
      </c>
      <c r="G491" s="13" t="n">
        <f aca="false">F491/'Final Model'!$B$21</f>
        <v>0.0668686018961512</v>
      </c>
      <c r="H491" s="6" t="n">
        <f aca="false">F491^2</f>
        <v>10.7498911895155</v>
      </c>
      <c r="J491" s="6" t="n">
        <f aca="false">A491</f>
        <v>490</v>
      </c>
      <c r="K491" s="13" t="n">
        <f aca="false">SMALL($G$2:$G$1387,J491)</f>
        <v>-0.380136414067114</v>
      </c>
      <c r="L491" s="18" t="n">
        <f aca="false">(J491-0.5)/1386</f>
        <v>0.353174603174603</v>
      </c>
      <c r="M491" s="18" t="n">
        <f aca="false">_xlfn.NORM.DIST(K491,AVERAGE($G$2:$G$1387),_xlfn.STDEV.S($G$2:$G$1387),TRUE())</f>
        <v>0.35156426237588</v>
      </c>
    </row>
    <row r="492" customFormat="false" ht="15" hidden="false" customHeight="false" outlineLevel="0" collapsed="false">
      <c r="A492" s="0" t="n">
        <f aca="false">ROW()-1</f>
        <v>491</v>
      </c>
      <c r="B492" s="0" t="str">
        <f aca="false">'Analysis Data'!A492</f>
        <v>Bellingham</v>
      </c>
      <c r="C492" s="5" t="n">
        <f aca="false">'Analysis Data'!B492</f>
        <v>40344</v>
      </c>
      <c r="D492" s="6" t="n">
        <f aca="false">'Analysis Data'!C492</f>
        <v>230.614038575193</v>
      </c>
      <c r="E492" s="15" t="n">
        <f aca="false">SUMPRODUCT('Final Model'!$B$45:$I$45,'Analysis Data'!N492:U492)</f>
        <v>183.800247938187</v>
      </c>
      <c r="F492" s="15" t="n">
        <f aca="false">D492-E492</f>
        <v>46.8137906370057</v>
      </c>
      <c r="G492" s="13" t="n">
        <f aca="false">F492/'Final Model'!$B$21</f>
        <v>0.95475956367512</v>
      </c>
      <c r="H492" s="6" t="n">
        <f aca="false">F492^2</f>
        <v>2191.5309938054</v>
      </c>
      <c r="J492" s="6" t="n">
        <f aca="false">A492</f>
        <v>491</v>
      </c>
      <c r="K492" s="13" t="n">
        <f aca="false">SMALL($G$2:$G$1387,J492)</f>
        <v>-0.379688288076592</v>
      </c>
      <c r="L492" s="18" t="n">
        <f aca="false">(J492-0.5)/1386</f>
        <v>0.353896103896104</v>
      </c>
      <c r="M492" s="18" t="n">
        <f aca="false">_xlfn.NORM.DIST(K492,AVERAGE($G$2:$G$1387),_xlfn.STDEV.S($G$2:$G$1387),TRUE())</f>
        <v>0.351730952421452</v>
      </c>
    </row>
    <row r="493" customFormat="false" ht="15" hidden="false" customHeight="false" outlineLevel="0" collapsed="false">
      <c r="A493" s="0" t="n">
        <f aca="false">ROW()-1</f>
        <v>492</v>
      </c>
      <c r="B493" s="0" t="str">
        <f aca="false">'Analysis Data'!A493</f>
        <v>Bellingham</v>
      </c>
      <c r="C493" s="5" t="n">
        <f aca="false">'Analysis Data'!B493</f>
        <v>40351</v>
      </c>
      <c r="D493" s="6" t="n">
        <f aca="false">'Analysis Data'!C493</f>
        <v>150.454271531646</v>
      </c>
      <c r="E493" s="15" t="n">
        <f aca="false">SUMPRODUCT('Final Model'!$B$45:$I$45,'Analysis Data'!N493:U493)</f>
        <v>183.800247938187</v>
      </c>
      <c r="F493" s="15" t="n">
        <f aca="false">D493-E493</f>
        <v>-33.3459764065413</v>
      </c>
      <c r="G493" s="13" t="n">
        <f aca="false">F493/'Final Model'!$B$21</f>
        <v>-0.680085706605079</v>
      </c>
      <c r="H493" s="6" t="n">
        <f aca="false">F493^2</f>
        <v>1111.95414250561</v>
      </c>
      <c r="J493" s="6" t="n">
        <f aca="false">A493</f>
        <v>492</v>
      </c>
      <c r="K493" s="13" t="n">
        <f aca="false">SMALL($G$2:$G$1387,J493)</f>
        <v>-0.378362630985275</v>
      </c>
      <c r="L493" s="18" t="n">
        <f aca="false">(J493-0.5)/1386</f>
        <v>0.354617604617605</v>
      </c>
      <c r="M493" s="18" t="n">
        <f aca="false">_xlfn.NORM.DIST(K493,AVERAGE($G$2:$G$1387),_xlfn.STDEV.S($G$2:$G$1387),TRUE())</f>
        <v>0.352224225724011</v>
      </c>
    </row>
    <row r="494" customFormat="false" ht="15" hidden="false" customHeight="false" outlineLevel="0" collapsed="false">
      <c r="A494" s="0" t="n">
        <f aca="false">ROW()-1</f>
        <v>493</v>
      </c>
      <c r="B494" s="0" t="str">
        <f aca="false">'Analysis Data'!A494</f>
        <v>Bellingham</v>
      </c>
      <c r="C494" s="5" t="n">
        <f aca="false">'Analysis Data'!B494</f>
        <v>40358</v>
      </c>
      <c r="D494" s="6" t="n">
        <f aca="false">'Analysis Data'!C494</f>
        <v>303.291028840078</v>
      </c>
      <c r="E494" s="15" t="n">
        <f aca="false">SUMPRODUCT('Final Model'!$B$45:$I$45,'Analysis Data'!N494:U494)</f>
        <v>192.206477079215</v>
      </c>
      <c r="F494" s="15" t="n">
        <f aca="false">D494-E494</f>
        <v>111.084551760863</v>
      </c>
      <c r="G494" s="13" t="n">
        <f aca="false">F494/'Final Model'!$B$21</f>
        <v>2.26555117043673</v>
      </c>
      <c r="H494" s="6" t="n">
        <f aca="false">F494^2</f>
        <v>12339.7776399119</v>
      </c>
      <c r="J494" s="6" t="n">
        <f aca="false">A494</f>
        <v>493</v>
      </c>
      <c r="K494" s="13" t="n">
        <f aca="false">SMALL($G$2:$G$1387,J494)</f>
        <v>-0.377627122840243</v>
      </c>
      <c r="L494" s="18" t="n">
        <f aca="false">(J494-0.5)/1386</f>
        <v>0.355339105339105</v>
      </c>
      <c r="M494" s="18" t="n">
        <f aca="false">_xlfn.NORM.DIST(K494,AVERAGE($G$2:$G$1387),_xlfn.STDEV.S($G$2:$G$1387),TRUE())</f>
        <v>0.352498013585527</v>
      </c>
    </row>
    <row r="495" customFormat="false" ht="15" hidden="false" customHeight="false" outlineLevel="0" collapsed="false">
      <c r="A495" s="0" t="n">
        <f aca="false">ROW()-1</f>
        <v>494</v>
      </c>
      <c r="B495" s="0" t="str">
        <f aca="false">'Analysis Data'!A495</f>
        <v>Bellingham</v>
      </c>
      <c r="C495" s="5" t="n">
        <f aca="false">'Analysis Data'!B495</f>
        <v>40365</v>
      </c>
      <c r="D495" s="6" t="n">
        <f aca="false">'Analysis Data'!C495</f>
        <v>256.181447335885</v>
      </c>
      <c r="E495" s="15" t="n">
        <f aca="false">SUMPRODUCT('Final Model'!$B$45:$I$45,'Analysis Data'!N495:U495)</f>
        <v>208.25607005736</v>
      </c>
      <c r="F495" s="15" t="n">
        <f aca="false">D495-E495</f>
        <v>47.9253772785247</v>
      </c>
      <c r="G495" s="13" t="n">
        <f aca="false">F495/'Final Model'!$B$21</f>
        <v>0.977430190479796</v>
      </c>
      <c r="H495" s="6" t="n">
        <f aca="false">F495^2</f>
        <v>2296.84178728893</v>
      </c>
      <c r="J495" s="6" t="n">
        <f aca="false">A495</f>
        <v>494</v>
      </c>
      <c r="K495" s="13" t="n">
        <f aca="false">SMALL($G$2:$G$1387,J495)</f>
        <v>-0.376373217502128</v>
      </c>
      <c r="L495" s="18" t="n">
        <f aca="false">(J495-0.5)/1386</f>
        <v>0.356060606060606</v>
      </c>
      <c r="M495" s="18" t="n">
        <f aca="false">_xlfn.NORM.DIST(K495,AVERAGE($G$2:$G$1387),_xlfn.STDEV.S($G$2:$G$1387),TRUE())</f>
        <v>0.352964947419511</v>
      </c>
    </row>
    <row r="496" customFormat="false" ht="15" hidden="false" customHeight="false" outlineLevel="0" collapsed="false">
      <c r="A496" s="0" t="n">
        <f aca="false">ROW()-1</f>
        <v>495</v>
      </c>
      <c r="B496" s="0" t="str">
        <f aca="false">'Analysis Data'!A496</f>
        <v>Bellingham</v>
      </c>
      <c r="C496" s="5" t="n">
        <f aca="false">'Analysis Data'!B496</f>
        <v>40372</v>
      </c>
      <c r="D496" s="6" t="n">
        <f aca="false">'Analysis Data'!C496</f>
        <v>241.452942534632</v>
      </c>
      <c r="E496" s="15" t="n">
        <f aca="false">SUMPRODUCT('Final Model'!$B$45:$I$45,'Analysis Data'!N496:U496)</f>
        <v>208.25607005736</v>
      </c>
      <c r="F496" s="15" t="n">
        <f aca="false">D496-E496</f>
        <v>33.1968724772719</v>
      </c>
      <c r="G496" s="13" t="n">
        <f aca="false">F496/'Final Model'!$B$21</f>
        <v>0.677044756480887</v>
      </c>
      <c r="H496" s="6" t="n">
        <f aca="false">F496^2</f>
        <v>1102.03234227226</v>
      </c>
      <c r="J496" s="6" t="n">
        <f aca="false">A496</f>
        <v>495</v>
      </c>
      <c r="K496" s="13" t="n">
        <f aca="false">SMALL($G$2:$G$1387,J496)</f>
        <v>-0.36659921683178</v>
      </c>
      <c r="L496" s="18" t="n">
        <f aca="false">(J496-0.5)/1386</f>
        <v>0.356782106782107</v>
      </c>
      <c r="M496" s="18" t="n">
        <f aca="false">_xlfn.NORM.DIST(K496,AVERAGE($G$2:$G$1387),_xlfn.STDEV.S($G$2:$G$1387),TRUE())</f>
        <v>0.356612169682836</v>
      </c>
    </row>
    <row r="497" customFormat="false" ht="15" hidden="false" customHeight="false" outlineLevel="0" collapsed="false">
      <c r="A497" s="0" t="n">
        <f aca="false">ROW()-1</f>
        <v>496</v>
      </c>
      <c r="B497" s="0" t="str">
        <f aca="false">'Analysis Data'!A497</f>
        <v>Cranston (aka Garden City Center)</v>
      </c>
      <c r="C497" s="5" t="n">
        <f aca="false">'Analysis Data'!B497</f>
        <v>40302</v>
      </c>
      <c r="D497" s="6" t="n">
        <f aca="false">'Analysis Data'!C497</f>
        <v>170.869653251196</v>
      </c>
      <c r="E497" s="15" t="n">
        <f aca="false">SUMPRODUCT('Final Model'!$B$45:$I$45,'Analysis Data'!N497:U497)</f>
        <v>183.800247938187</v>
      </c>
      <c r="F497" s="15" t="n">
        <f aca="false">D497-E497</f>
        <v>-12.930594686991</v>
      </c>
      <c r="G497" s="13" t="n">
        <f aca="false">F497/'Final Model'!$B$21</f>
        <v>-0.263717352801854</v>
      </c>
      <c r="H497" s="6" t="n">
        <f aca="false">F497^2</f>
        <v>167.20027895924</v>
      </c>
      <c r="J497" s="6" t="n">
        <f aca="false">A497</f>
        <v>496</v>
      </c>
      <c r="K497" s="13" t="n">
        <f aca="false">SMALL($G$2:$G$1387,J497)</f>
        <v>-0.363551527599917</v>
      </c>
      <c r="L497" s="18" t="n">
        <f aca="false">(J497-0.5)/1386</f>
        <v>0.357503607503608</v>
      </c>
      <c r="M497" s="18" t="n">
        <f aca="false">_xlfn.NORM.DIST(K497,AVERAGE($G$2:$G$1387),_xlfn.STDEV.S($G$2:$G$1387),TRUE())</f>
        <v>0.357752137184465</v>
      </c>
    </row>
    <row r="498" customFormat="false" ht="15" hidden="false" customHeight="false" outlineLevel="0" collapsed="false">
      <c r="A498" s="0" t="n">
        <f aca="false">ROW()-1</f>
        <v>497</v>
      </c>
      <c r="B498" s="0" t="str">
        <f aca="false">'Analysis Data'!A498</f>
        <v>Cranston (aka Garden City Center)</v>
      </c>
      <c r="C498" s="5" t="n">
        <f aca="false">'Analysis Data'!B498</f>
        <v>40309</v>
      </c>
      <c r="D498" s="6" t="n">
        <f aca="false">'Analysis Data'!C498</f>
        <v>181.321860676307</v>
      </c>
      <c r="E498" s="15" t="n">
        <f aca="false">SUMPRODUCT('Final Model'!$B$45:$I$45,'Analysis Data'!N498:U498)</f>
        <v>185.124229027733</v>
      </c>
      <c r="F498" s="15" t="n">
        <f aca="false">D498-E498</f>
        <v>-3.80236835142696</v>
      </c>
      <c r="G498" s="13" t="n">
        <f aca="false">F498/'Final Model'!$B$21</f>
        <v>-0.077548677403422</v>
      </c>
      <c r="H498" s="6" t="n">
        <f aca="false">F498^2</f>
        <v>14.4580050799334</v>
      </c>
      <c r="J498" s="6" t="n">
        <f aca="false">A498</f>
        <v>497</v>
      </c>
      <c r="K498" s="13" t="n">
        <f aca="false">SMALL($G$2:$G$1387,J498)</f>
        <v>-0.358832478310168</v>
      </c>
      <c r="L498" s="18" t="n">
        <f aca="false">(J498-0.5)/1386</f>
        <v>0.358225108225108</v>
      </c>
      <c r="M498" s="18" t="n">
        <f aca="false">_xlfn.NORM.DIST(K498,AVERAGE($G$2:$G$1387),_xlfn.STDEV.S($G$2:$G$1387),TRUE())</f>
        <v>0.359519768322229</v>
      </c>
    </row>
    <row r="499" customFormat="false" ht="15" hidden="false" customHeight="false" outlineLevel="0" collapsed="false">
      <c r="A499" s="0" t="n">
        <f aca="false">ROW()-1</f>
        <v>498</v>
      </c>
      <c r="B499" s="0" t="str">
        <f aca="false">'Analysis Data'!A499</f>
        <v>Cranston (aka Garden City Center)</v>
      </c>
      <c r="C499" s="5" t="n">
        <f aca="false">'Analysis Data'!B499</f>
        <v>40316</v>
      </c>
      <c r="D499" s="6" t="n">
        <f aca="false">'Analysis Data'!C499</f>
        <v>207.629133814365</v>
      </c>
      <c r="E499" s="15" t="n">
        <f aca="false">SUMPRODUCT('Final Model'!$B$45:$I$45,'Analysis Data'!N499:U499)</f>
        <v>191.365854167319</v>
      </c>
      <c r="F499" s="15" t="n">
        <f aca="false">D499-E499</f>
        <v>16.2632796470462</v>
      </c>
      <c r="G499" s="13" t="n">
        <f aca="false">F499/'Final Model'!$B$21</f>
        <v>0.331686914655999</v>
      </c>
      <c r="H499" s="6" t="n">
        <f aca="false">F499^2</f>
        <v>264.494264878027</v>
      </c>
      <c r="J499" s="6" t="n">
        <f aca="false">A499</f>
        <v>498</v>
      </c>
      <c r="K499" s="13" t="n">
        <f aca="false">SMALL($G$2:$G$1387,J499)</f>
        <v>-0.356959719391002</v>
      </c>
      <c r="L499" s="18" t="n">
        <f aca="false">(J499-0.5)/1386</f>
        <v>0.358946608946609</v>
      </c>
      <c r="M499" s="18" t="n">
        <f aca="false">_xlfn.NORM.DIST(K499,AVERAGE($G$2:$G$1387),_xlfn.STDEV.S($G$2:$G$1387),TRUE())</f>
        <v>0.360222090792217</v>
      </c>
    </row>
    <row r="500" customFormat="false" ht="15" hidden="false" customHeight="false" outlineLevel="0" collapsed="false">
      <c r="A500" s="0" t="n">
        <f aca="false">ROW()-1</f>
        <v>499</v>
      </c>
      <c r="B500" s="0" t="str">
        <f aca="false">'Analysis Data'!A500</f>
        <v>Cranston (aka Garden City Center)</v>
      </c>
      <c r="C500" s="5" t="n">
        <f aca="false">'Analysis Data'!B500</f>
        <v>40323</v>
      </c>
      <c r="D500" s="6" t="n">
        <f aca="false">'Analysis Data'!C500</f>
        <v>275.83140617629</v>
      </c>
      <c r="E500" s="15" t="n">
        <f aca="false">SUMPRODUCT('Final Model'!$B$45:$I$45,'Analysis Data'!N500:U500)</f>
        <v>191.365854167319</v>
      </c>
      <c r="F500" s="15" t="n">
        <f aca="false">D500-E500</f>
        <v>84.4655520089715</v>
      </c>
      <c r="G500" s="13" t="n">
        <f aca="false">F500/'Final Model'!$B$21</f>
        <v>1.72266104676248</v>
      </c>
      <c r="H500" s="6" t="n">
        <f aca="false">F500^2</f>
        <v>7134.42947618027</v>
      </c>
      <c r="J500" s="6" t="n">
        <f aca="false">A500</f>
        <v>499</v>
      </c>
      <c r="K500" s="13" t="n">
        <f aca="false">SMALL($G$2:$G$1387,J500)</f>
        <v>-0.355591186769913</v>
      </c>
      <c r="L500" s="18" t="n">
        <f aca="false">(J500-0.5)/1386</f>
        <v>0.35966810966811</v>
      </c>
      <c r="M500" s="18" t="n">
        <f aca="false">_xlfn.NORM.DIST(K500,AVERAGE($G$2:$G$1387),_xlfn.STDEV.S($G$2:$G$1387),TRUE())</f>
        <v>0.360735616838558</v>
      </c>
    </row>
    <row r="501" customFormat="false" ht="15" hidden="false" customHeight="false" outlineLevel="0" collapsed="false">
      <c r="A501" s="0" t="n">
        <f aca="false">ROW()-1</f>
        <v>500</v>
      </c>
      <c r="B501" s="0" t="str">
        <f aca="false">'Analysis Data'!A501</f>
        <v>Cranston (aka Garden City Center)</v>
      </c>
      <c r="C501" s="5" t="n">
        <f aca="false">'Analysis Data'!B501</f>
        <v>40330</v>
      </c>
      <c r="D501" s="6" t="n">
        <f aca="false">'Analysis Data'!C501</f>
        <v>265.699112308127</v>
      </c>
      <c r="E501" s="15" t="n">
        <f aca="false">SUMPRODUCT('Final Model'!$B$45:$I$45,'Analysis Data'!N501:U501)</f>
        <v>191.365854167319</v>
      </c>
      <c r="F501" s="15" t="n">
        <f aca="false">D501-E501</f>
        <v>74.3332581408082</v>
      </c>
      <c r="G501" s="13" t="n">
        <f aca="false">F501/'Final Model'!$B$21</f>
        <v>1.51601457910924</v>
      </c>
      <c r="H501" s="6" t="n">
        <f aca="false">F501^2</f>
        <v>5525.43326582803</v>
      </c>
      <c r="J501" s="6" t="n">
        <f aca="false">A501</f>
        <v>500</v>
      </c>
      <c r="K501" s="13" t="n">
        <f aca="false">SMALL($G$2:$G$1387,J501)</f>
        <v>-0.353633050184923</v>
      </c>
      <c r="L501" s="18" t="n">
        <f aca="false">(J501-0.5)/1386</f>
        <v>0.36038961038961</v>
      </c>
      <c r="M501" s="18" t="n">
        <f aca="false">_xlfn.NORM.DIST(K501,AVERAGE($G$2:$G$1387),_xlfn.STDEV.S($G$2:$G$1387),TRUE())</f>
        <v>0.361470821651446</v>
      </c>
    </row>
    <row r="502" customFormat="false" ht="15" hidden="false" customHeight="false" outlineLevel="0" collapsed="false">
      <c r="A502" s="0" t="n">
        <f aca="false">ROW()-1</f>
        <v>501</v>
      </c>
      <c r="B502" s="0" t="str">
        <f aca="false">'Analysis Data'!A502</f>
        <v>Cranston (aka Garden City Center)</v>
      </c>
      <c r="C502" s="5" t="n">
        <f aca="false">'Analysis Data'!B502</f>
        <v>40337</v>
      </c>
      <c r="D502" s="6" t="n">
        <f aca="false">'Analysis Data'!C502</f>
        <v>175.779947873571</v>
      </c>
      <c r="E502" s="15" t="n">
        <f aca="false">SUMPRODUCT('Final Model'!$B$45:$I$45,'Analysis Data'!N502:U502)</f>
        <v>183.800247938187</v>
      </c>
      <c r="F502" s="15" t="n">
        <f aca="false">D502-E502</f>
        <v>-8.02030006461641</v>
      </c>
      <c r="G502" s="13" t="n">
        <f aca="false">F502/'Final Model'!$B$21</f>
        <v>-0.16357270124978</v>
      </c>
      <c r="H502" s="6" t="n">
        <f aca="false">F502^2</f>
        <v>64.325213126486</v>
      </c>
      <c r="J502" s="6" t="n">
        <f aca="false">A502</f>
        <v>501</v>
      </c>
      <c r="K502" s="13" t="n">
        <f aca="false">SMALL($G$2:$G$1387,J502)</f>
        <v>-0.353574747764266</v>
      </c>
      <c r="L502" s="18" t="n">
        <f aca="false">(J502-0.5)/1386</f>
        <v>0.361111111111111</v>
      </c>
      <c r="M502" s="18" t="n">
        <f aca="false">_xlfn.NORM.DIST(K502,AVERAGE($G$2:$G$1387),_xlfn.STDEV.S($G$2:$G$1387),TRUE())</f>
        <v>0.361492719822611</v>
      </c>
    </row>
    <row r="503" customFormat="false" ht="15" hidden="false" customHeight="false" outlineLevel="0" collapsed="false">
      <c r="A503" s="0" t="n">
        <f aca="false">ROW()-1</f>
        <v>502</v>
      </c>
      <c r="B503" s="0" t="str">
        <f aca="false">'Analysis Data'!A503</f>
        <v>Cranston (aka Garden City Center)</v>
      </c>
      <c r="C503" s="5" t="n">
        <f aca="false">'Analysis Data'!B503</f>
        <v>40344</v>
      </c>
      <c r="D503" s="6" t="n">
        <f aca="false">'Analysis Data'!C503</f>
        <v>259.857644050599</v>
      </c>
      <c r="E503" s="15" t="n">
        <f aca="false">SUMPRODUCT('Final Model'!$B$45:$I$45,'Analysis Data'!N503:U503)</f>
        <v>183.800247938187</v>
      </c>
      <c r="F503" s="15" t="n">
        <f aca="false">D503-E503</f>
        <v>76.0573961124123</v>
      </c>
      <c r="G503" s="13" t="n">
        <f aca="false">F503/'Final Model'!$B$21</f>
        <v>1.55117808958521</v>
      </c>
      <c r="H503" s="6" t="n">
        <f aca="false">F503^2</f>
        <v>5784.72750340039</v>
      </c>
      <c r="J503" s="6" t="n">
        <f aca="false">A503</f>
        <v>502</v>
      </c>
      <c r="K503" s="13" t="n">
        <f aca="false">SMALL($G$2:$G$1387,J503)</f>
        <v>-0.352540273643397</v>
      </c>
      <c r="L503" s="18" t="n">
        <f aca="false">(J503-0.5)/1386</f>
        <v>0.361832611832612</v>
      </c>
      <c r="M503" s="18" t="n">
        <f aca="false">_xlfn.NORM.DIST(K503,AVERAGE($G$2:$G$1387),_xlfn.STDEV.S($G$2:$G$1387),TRUE())</f>
        <v>0.36188133981772</v>
      </c>
    </row>
    <row r="504" customFormat="false" ht="15" hidden="false" customHeight="false" outlineLevel="0" collapsed="false">
      <c r="A504" s="0" t="n">
        <f aca="false">ROW()-1</f>
        <v>503</v>
      </c>
      <c r="B504" s="0" t="str">
        <f aca="false">'Analysis Data'!A504</f>
        <v>Cranston (aka Garden City Center)</v>
      </c>
      <c r="C504" s="5" t="n">
        <f aca="false">'Analysis Data'!B504</f>
        <v>40351</v>
      </c>
      <c r="D504" s="6" t="n">
        <f aca="false">'Analysis Data'!C504</f>
        <v>178.217582102709</v>
      </c>
      <c r="E504" s="15" t="n">
        <f aca="false">SUMPRODUCT('Final Model'!$B$45:$I$45,'Analysis Data'!N504:U504)</f>
        <v>183.800247938187</v>
      </c>
      <c r="F504" s="15" t="n">
        <f aca="false">D504-E504</f>
        <v>-5.58266583547783</v>
      </c>
      <c r="G504" s="13" t="n">
        <f aca="false">F504/'Final Model'!$B$21</f>
        <v>-0.113857551902909</v>
      </c>
      <c r="H504" s="6" t="n">
        <f aca="false">F504^2</f>
        <v>31.1661578306113</v>
      </c>
      <c r="J504" s="6" t="n">
        <f aca="false">A504</f>
        <v>503</v>
      </c>
      <c r="K504" s="13" t="n">
        <f aca="false">SMALL($G$2:$G$1387,J504)</f>
        <v>-0.351544744545075</v>
      </c>
      <c r="L504" s="18" t="n">
        <f aca="false">(J504-0.5)/1386</f>
        <v>0.362554112554113</v>
      </c>
      <c r="M504" s="18" t="n">
        <f aca="false">_xlfn.NORM.DIST(K504,AVERAGE($G$2:$G$1387),_xlfn.STDEV.S($G$2:$G$1387),TRUE())</f>
        <v>0.362255463903082</v>
      </c>
    </row>
    <row r="505" customFormat="false" ht="15" hidden="false" customHeight="false" outlineLevel="0" collapsed="false">
      <c r="A505" s="0" t="n">
        <f aca="false">ROW()-1</f>
        <v>504</v>
      </c>
      <c r="B505" s="0" t="str">
        <f aca="false">'Analysis Data'!A505</f>
        <v>Cranston (aka Garden City Center)</v>
      </c>
      <c r="C505" s="5" t="n">
        <f aca="false">'Analysis Data'!B505</f>
        <v>40358</v>
      </c>
      <c r="D505" s="6" t="n">
        <f aca="false">'Analysis Data'!C505</f>
        <v>257.449038987498</v>
      </c>
      <c r="E505" s="15" t="n">
        <f aca="false">SUMPRODUCT('Final Model'!$B$45:$I$45,'Analysis Data'!N505:U505)</f>
        <v>183.800247938187</v>
      </c>
      <c r="F505" s="15" t="n">
        <f aca="false">D505-E505</f>
        <v>73.6487910493111</v>
      </c>
      <c r="G505" s="13" t="n">
        <f aca="false">F505/'Final Model'!$B$21</f>
        <v>1.50205498530717</v>
      </c>
      <c r="H505" s="6" t="n">
        <f aca="false">F505^2</f>
        <v>5424.14442302509</v>
      </c>
      <c r="J505" s="6" t="n">
        <f aca="false">A505</f>
        <v>504</v>
      </c>
      <c r="K505" s="13" t="n">
        <f aca="false">SMALL($G$2:$G$1387,J505)</f>
        <v>-0.351249153808038</v>
      </c>
      <c r="L505" s="18" t="n">
        <f aca="false">(J505-0.5)/1386</f>
        <v>0.363275613275613</v>
      </c>
      <c r="M505" s="18" t="n">
        <f aca="false">_xlfn.NORM.DIST(K505,AVERAGE($G$2:$G$1387),_xlfn.STDEV.S($G$2:$G$1387),TRUE())</f>
        <v>0.36236657352109</v>
      </c>
    </row>
    <row r="506" customFormat="false" ht="15" hidden="false" customHeight="false" outlineLevel="0" collapsed="false">
      <c r="A506" s="0" t="n">
        <f aca="false">ROW()-1</f>
        <v>505</v>
      </c>
      <c r="B506" s="0" t="str">
        <f aca="false">'Analysis Data'!A506</f>
        <v>Cranston (aka Garden City Center)</v>
      </c>
      <c r="C506" s="5" t="n">
        <f aca="false">'Analysis Data'!B506</f>
        <v>40365</v>
      </c>
      <c r="D506" s="6" t="n">
        <f aca="false">'Analysis Data'!C506</f>
        <v>157.424348231485</v>
      </c>
      <c r="E506" s="15" t="n">
        <f aca="false">SUMPRODUCT('Final Model'!$B$45:$I$45,'Analysis Data'!N506:U506)</f>
        <v>193.162685636532</v>
      </c>
      <c r="F506" s="15" t="n">
        <f aca="false">D506-E506</f>
        <v>-35.7383374050467</v>
      </c>
      <c r="G506" s="13" t="n">
        <f aca="false">F506/'Final Model'!$B$21</f>
        <v>-0.728877515856278</v>
      </c>
      <c r="H506" s="6" t="n">
        <f aca="false">F506^2</f>
        <v>1277.22876047696</v>
      </c>
      <c r="J506" s="6" t="n">
        <f aca="false">A506</f>
        <v>505</v>
      </c>
      <c r="K506" s="13" t="n">
        <f aca="false">SMALL($G$2:$G$1387,J506)</f>
        <v>-0.348914482728944</v>
      </c>
      <c r="L506" s="18" t="n">
        <f aca="false">(J506-0.5)/1386</f>
        <v>0.363997113997114</v>
      </c>
      <c r="M506" s="18" t="n">
        <f aca="false">_xlfn.NORM.DIST(K506,AVERAGE($G$2:$G$1387),_xlfn.STDEV.S($G$2:$G$1387),TRUE())</f>
        <v>0.363244559935615</v>
      </c>
    </row>
    <row r="507" customFormat="false" ht="15" hidden="false" customHeight="false" outlineLevel="0" collapsed="false">
      <c r="A507" s="0" t="n">
        <f aca="false">ROW()-1</f>
        <v>506</v>
      </c>
      <c r="B507" s="0" t="str">
        <f aca="false">'Analysis Data'!A507</f>
        <v>Cranston (aka Garden City Center)</v>
      </c>
      <c r="C507" s="5" t="n">
        <f aca="false">'Analysis Data'!B507</f>
        <v>40372</v>
      </c>
      <c r="D507" s="6" t="n">
        <f aca="false">'Analysis Data'!C507</f>
        <v>217.675860325827</v>
      </c>
      <c r="E507" s="15" t="n">
        <f aca="false">SUMPRODUCT('Final Model'!$B$45:$I$45,'Analysis Data'!N507:U507)</f>
        <v>201.01200210229</v>
      </c>
      <c r="F507" s="15" t="n">
        <f aca="false">D507-E507</f>
        <v>16.6638582235371</v>
      </c>
      <c r="G507" s="13" t="n">
        <f aca="false">F507/'Final Model'!$B$21</f>
        <v>0.339856648866876</v>
      </c>
      <c r="H507" s="6" t="n">
        <f aca="false">F507^2</f>
        <v>277.684170894144</v>
      </c>
      <c r="J507" s="6" t="n">
        <f aca="false">A507</f>
        <v>506</v>
      </c>
      <c r="K507" s="13" t="n">
        <f aca="false">SMALL($G$2:$G$1387,J507)</f>
        <v>-0.347751778379249</v>
      </c>
      <c r="L507" s="18" t="n">
        <f aca="false">(J507-0.5)/1386</f>
        <v>0.364718614718615</v>
      </c>
      <c r="M507" s="18" t="n">
        <f aca="false">_xlfn.NORM.DIST(K507,AVERAGE($G$2:$G$1387),_xlfn.STDEV.S($G$2:$G$1387),TRUE())</f>
        <v>0.36368208003211</v>
      </c>
    </row>
    <row r="508" customFormat="false" ht="15" hidden="false" customHeight="false" outlineLevel="0" collapsed="false">
      <c r="A508" s="0" t="n">
        <f aca="false">ROW()-1</f>
        <v>507</v>
      </c>
      <c r="B508" s="0" t="str">
        <f aca="false">'Analysis Data'!A508</f>
        <v>Framingham</v>
      </c>
      <c r="C508" s="5" t="n">
        <f aca="false">'Analysis Data'!B508</f>
        <v>40302</v>
      </c>
      <c r="D508" s="6" t="n">
        <f aca="false">'Analysis Data'!C508</f>
        <v>111.156143733219</v>
      </c>
      <c r="E508" s="15" t="n">
        <f aca="false">SUMPRODUCT('Final Model'!$B$45:$I$45,'Analysis Data'!N508:U508)</f>
        <v>183.800247938187</v>
      </c>
      <c r="F508" s="15" t="n">
        <f aca="false">D508-E508</f>
        <v>-72.6441042049685</v>
      </c>
      <c r="G508" s="13" t="n">
        <f aca="false">F508/'Final Model'!$B$21</f>
        <v>-1.48156456229117</v>
      </c>
      <c r="H508" s="6" t="n">
        <f aca="false">F508^2</f>
        <v>5277.16587574232</v>
      </c>
      <c r="J508" s="6" t="n">
        <f aca="false">A508</f>
        <v>507</v>
      </c>
      <c r="K508" s="13" t="n">
        <f aca="false">SMALL($G$2:$G$1387,J508)</f>
        <v>-0.346573172257479</v>
      </c>
      <c r="L508" s="18" t="n">
        <f aca="false">(J508-0.5)/1386</f>
        <v>0.365440115440115</v>
      </c>
      <c r="M508" s="18" t="n">
        <f aca="false">_xlfn.NORM.DIST(K508,AVERAGE($G$2:$G$1387),_xlfn.STDEV.S($G$2:$G$1387),TRUE())</f>
        <v>0.364125765390398</v>
      </c>
    </row>
    <row r="509" customFormat="false" ht="15" hidden="false" customHeight="false" outlineLevel="0" collapsed="false">
      <c r="A509" s="0" t="n">
        <f aca="false">ROW()-1</f>
        <v>508</v>
      </c>
      <c r="B509" s="0" t="str">
        <f aca="false">'Analysis Data'!A509</f>
        <v>Framingham</v>
      </c>
      <c r="C509" s="5" t="n">
        <f aca="false">'Analysis Data'!B509</f>
        <v>40309</v>
      </c>
      <c r="D509" s="6" t="n">
        <f aca="false">'Analysis Data'!C509</f>
        <v>193.775091185813</v>
      </c>
      <c r="E509" s="15" t="n">
        <f aca="false">SUMPRODUCT('Final Model'!$B$45:$I$45,'Analysis Data'!N509:U509)</f>
        <v>183.800247938187</v>
      </c>
      <c r="F509" s="15" t="n">
        <f aca="false">D509-E509</f>
        <v>9.97484324762539</v>
      </c>
      <c r="G509" s="13" t="n">
        <f aca="false">F509/'Final Model'!$B$21</f>
        <v>0.203435288132858</v>
      </c>
      <c r="H509" s="6" t="n">
        <f aca="false">F509^2</f>
        <v>99.4974978146978</v>
      </c>
      <c r="J509" s="6" t="n">
        <f aca="false">A509</f>
        <v>508</v>
      </c>
      <c r="K509" s="13" t="n">
        <f aca="false">SMALL($G$2:$G$1387,J509)</f>
        <v>-0.345143229147732</v>
      </c>
      <c r="L509" s="18" t="n">
        <f aca="false">(J509-0.5)/1386</f>
        <v>0.366161616161616</v>
      </c>
      <c r="M509" s="18" t="n">
        <f aca="false">_xlfn.NORM.DIST(K509,AVERAGE($G$2:$G$1387),_xlfn.STDEV.S($G$2:$G$1387),TRUE())</f>
        <v>0.364664310922995</v>
      </c>
    </row>
    <row r="510" customFormat="false" ht="15" hidden="false" customHeight="false" outlineLevel="0" collapsed="false">
      <c r="A510" s="0" t="n">
        <f aca="false">ROW()-1</f>
        <v>509</v>
      </c>
      <c r="B510" s="0" t="str">
        <f aca="false">'Analysis Data'!A510</f>
        <v>Framingham</v>
      </c>
      <c r="C510" s="5" t="n">
        <f aca="false">'Analysis Data'!B510</f>
        <v>40316</v>
      </c>
      <c r="D510" s="6" t="n">
        <f aca="false">'Analysis Data'!C510</f>
        <v>119.110888478872</v>
      </c>
      <c r="E510" s="15" t="n">
        <f aca="false">SUMPRODUCT('Final Model'!$B$45:$I$45,'Analysis Data'!N510:U510)</f>
        <v>191.365854167319</v>
      </c>
      <c r="F510" s="15" t="n">
        <f aca="false">D510-E510</f>
        <v>-72.2549656884467</v>
      </c>
      <c r="G510" s="13" t="n">
        <f aca="false">F510/'Final Model'!$B$21</f>
        <v>-1.47362814622257</v>
      </c>
      <c r="H510" s="6" t="n">
        <f aca="false">F510^2</f>
        <v>5220.78006663861</v>
      </c>
      <c r="J510" s="6" t="n">
        <f aca="false">A510</f>
        <v>509</v>
      </c>
      <c r="K510" s="13" t="n">
        <f aca="false">SMALL($G$2:$G$1387,J510)</f>
        <v>-0.341765124770933</v>
      </c>
      <c r="L510" s="18" t="n">
        <f aca="false">(J510-0.5)/1386</f>
        <v>0.366883116883117</v>
      </c>
      <c r="M510" s="18" t="n">
        <f aca="false">_xlfn.NORM.DIST(K510,AVERAGE($G$2:$G$1387),_xlfn.STDEV.S($G$2:$G$1387),TRUE())</f>
        <v>0.365937632944223</v>
      </c>
    </row>
    <row r="511" customFormat="false" ht="15" hidden="false" customHeight="false" outlineLevel="0" collapsed="false">
      <c r="A511" s="0" t="n">
        <f aca="false">ROW()-1</f>
        <v>510</v>
      </c>
      <c r="B511" s="0" t="str">
        <f aca="false">'Analysis Data'!A511</f>
        <v>Framingham</v>
      </c>
      <c r="C511" s="5" t="n">
        <f aca="false">'Analysis Data'!B511</f>
        <v>40323</v>
      </c>
      <c r="D511" s="6" t="n">
        <f aca="false">'Analysis Data'!C511</f>
        <v>260.311467185814</v>
      </c>
      <c r="E511" s="15" t="n">
        <f aca="false">SUMPRODUCT('Final Model'!$B$45:$I$45,'Analysis Data'!N511:U511)</f>
        <v>191.365854167319</v>
      </c>
      <c r="F511" s="15" t="n">
        <f aca="false">D511-E511</f>
        <v>68.9456130184954</v>
      </c>
      <c r="G511" s="13" t="n">
        <f aca="false">F511/'Final Model'!$B$21</f>
        <v>1.40613444258917</v>
      </c>
      <c r="H511" s="6" t="n">
        <f aca="false">F511^2</f>
        <v>4753.49755449612</v>
      </c>
      <c r="J511" s="6" t="n">
        <f aca="false">A511</f>
        <v>510</v>
      </c>
      <c r="K511" s="13" t="n">
        <f aca="false">SMALL($G$2:$G$1387,J511)</f>
        <v>-0.3414470069532</v>
      </c>
      <c r="L511" s="18" t="n">
        <f aca="false">(J511-0.5)/1386</f>
        <v>0.367604617604618</v>
      </c>
      <c r="M511" s="18" t="n">
        <f aca="false">_xlfn.NORM.DIST(K511,AVERAGE($G$2:$G$1387),_xlfn.STDEV.S($G$2:$G$1387),TRUE())</f>
        <v>0.366057618697166</v>
      </c>
    </row>
    <row r="512" customFormat="false" ht="15" hidden="false" customHeight="false" outlineLevel="0" collapsed="false">
      <c r="A512" s="0" t="n">
        <f aca="false">ROW()-1</f>
        <v>511</v>
      </c>
      <c r="B512" s="0" t="str">
        <f aca="false">'Analysis Data'!A512</f>
        <v>Framingham</v>
      </c>
      <c r="C512" s="5" t="n">
        <f aca="false">'Analysis Data'!B512</f>
        <v>40330</v>
      </c>
      <c r="D512" s="6" t="n">
        <f aca="false">'Analysis Data'!C512</f>
        <v>227.599175199816</v>
      </c>
      <c r="E512" s="15" t="n">
        <f aca="false">SUMPRODUCT('Final Model'!$B$45:$I$45,'Analysis Data'!N512:U512)</f>
        <v>191.365854167319</v>
      </c>
      <c r="F512" s="15" t="n">
        <f aca="false">D512-E512</f>
        <v>36.2333210324972</v>
      </c>
      <c r="G512" s="13" t="n">
        <f aca="false">F512/'Final Model'!$B$21</f>
        <v>0.738972625560926</v>
      </c>
      <c r="H512" s="6" t="n">
        <f aca="false">F512^2</f>
        <v>1312.853553044</v>
      </c>
      <c r="J512" s="6" t="n">
        <f aca="false">A512</f>
        <v>511</v>
      </c>
      <c r="K512" s="13" t="n">
        <f aca="false">SMALL($G$2:$G$1387,J512)</f>
        <v>-0.339031669663307</v>
      </c>
      <c r="L512" s="18" t="n">
        <f aca="false">(J512-0.5)/1386</f>
        <v>0.368326118326118</v>
      </c>
      <c r="M512" s="18" t="n">
        <f aca="false">_xlfn.NORM.DIST(K512,AVERAGE($G$2:$G$1387),_xlfn.STDEV.S($G$2:$G$1387),TRUE())</f>
        <v>0.366969047539216</v>
      </c>
    </row>
    <row r="513" customFormat="false" ht="15" hidden="false" customHeight="false" outlineLevel="0" collapsed="false">
      <c r="A513" s="0" t="n">
        <f aca="false">ROW()-1</f>
        <v>512</v>
      </c>
      <c r="B513" s="0" t="str">
        <f aca="false">'Analysis Data'!A513</f>
        <v>Framingham</v>
      </c>
      <c r="C513" s="5" t="n">
        <f aca="false">'Analysis Data'!B513</f>
        <v>40337</v>
      </c>
      <c r="D513" s="6" t="n">
        <f aca="false">'Analysis Data'!C513</f>
        <v>161.893084709714</v>
      </c>
      <c r="E513" s="15" t="n">
        <f aca="false">SUMPRODUCT('Final Model'!$B$45:$I$45,'Analysis Data'!N513:U513)</f>
        <v>183.800247938187</v>
      </c>
      <c r="F513" s="15" t="n">
        <f aca="false">D513-E513</f>
        <v>-21.9071632284733</v>
      </c>
      <c r="G513" s="13" t="n">
        <f aca="false">F513/'Final Model'!$B$21</f>
        <v>-0.446792992423112</v>
      </c>
      <c r="H513" s="6" t="n">
        <f aca="false">F513^2</f>
        <v>479.923800718973</v>
      </c>
      <c r="J513" s="6" t="n">
        <f aca="false">A513</f>
        <v>512</v>
      </c>
      <c r="K513" s="13" t="n">
        <f aca="false">SMALL($G$2:$G$1387,J513)</f>
        <v>-0.339024428126862</v>
      </c>
      <c r="L513" s="18" t="n">
        <f aca="false">(J513-0.5)/1386</f>
        <v>0.369047619047619</v>
      </c>
      <c r="M513" s="18" t="n">
        <f aca="false">_xlfn.NORM.DIST(K513,AVERAGE($G$2:$G$1387),_xlfn.STDEV.S($G$2:$G$1387),TRUE())</f>
        <v>0.366971781267649</v>
      </c>
    </row>
    <row r="514" customFormat="false" ht="15" hidden="false" customHeight="false" outlineLevel="0" collapsed="false">
      <c r="A514" s="0" t="n">
        <f aca="false">ROW()-1</f>
        <v>513</v>
      </c>
      <c r="B514" s="0" t="str">
        <f aca="false">'Analysis Data'!A514</f>
        <v>Framingham</v>
      </c>
      <c r="C514" s="5" t="n">
        <f aca="false">'Analysis Data'!B514</f>
        <v>40344</v>
      </c>
      <c r="D514" s="6" t="n">
        <f aca="false">'Analysis Data'!C514</f>
        <v>141.378595231298</v>
      </c>
      <c r="E514" s="15" t="n">
        <f aca="false">SUMPRODUCT('Final Model'!$B$45:$I$45,'Analysis Data'!N514:U514)</f>
        <v>183.800247938187</v>
      </c>
      <c r="F514" s="15" t="n">
        <f aca="false">D514-E514</f>
        <v>-42.4216527068893</v>
      </c>
      <c r="G514" s="13" t="n">
        <f aca="false">F514/'Final Model'!$B$21</f>
        <v>-0.865182632674707</v>
      </c>
      <c r="H514" s="6" t="n">
        <f aca="false">F514^2</f>
        <v>1799.59661838393</v>
      </c>
      <c r="J514" s="6" t="n">
        <f aca="false">A514</f>
        <v>513</v>
      </c>
      <c r="K514" s="13" t="n">
        <f aca="false">SMALL($G$2:$G$1387,J514)</f>
        <v>-0.338005955355212</v>
      </c>
      <c r="L514" s="18" t="n">
        <f aca="false">(J514-0.5)/1386</f>
        <v>0.36976911976912</v>
      </c>
      <c r="M514" s="18" t="n">
        <f aca="false">_xlfn.NORM.DIST(K514,AVERAGE($G$2:$G$1387),_xlfn.STDEV.S($G$2:$G$1387),TRUE())</f>
        <v>0.367356328680149</v>
      </c>
    </row>
    <row r="515" customFormat="false" ht="15" hidden="false" customHeight="false" outlineLevel="0" collapsed="false">
      <c r="A515" s="0" t="n">
        <f aca="false">ROW()-1</f>
        <v>514</v>
      </c>
      <c r="B515" s="0" t="str">
        <f aca="false">'Analysis Data'!A515</f>
        <v>Framingham</v>
      </c>
      <c r="C515" s="5" t="n">
        <f aca="false">'Analysis Data'!B515</f>
        <v>40351</v>
      </c>
      <c r="D515" s="6" t="n">
        <f aca="false">'Analysis Data'!C515</f>
        <v>231.124385946328</v>
      </c>
      <c r="E515" s="15" t="n">
        <f aca="false">SUMPRODUCT('Final Model'!$B$45:$I$45,'Analysis Data'!N515:U515)</f>
        <v>183.800247938187</v>
      </c>
      <c r="F515" s="15" t="n">
        <f aca="false">D515-E515</f>
        <v>47.3241380081407</v>
      </c>
      <c r="G515" s="13" t="n">
        <f aca="false">F515/'Final Model'!$B$21</f>
        <v>0.965168014406355</v>
      </c>
      <c r="H515" s="6" t="n">
        <f aca="false">F515^2</f>
        <v>2239.57403821355</v>
      </c>
      <c r="J515" s="6" t="n">
        <f aca="false">A515</f>
        <v>514</v>
      </c>
      <c r="K515" s="13" t="n">
        <f aca="false">SMALL($G$2:$G$1387,J515)</f>
        <v>-0.335987387375095</v>
      </c>
      <c r="L515" s="18" t="n">
        <f aca="false">(J515-0.5)/1386</f>
        <v>0.370490620490621</v>
      </c>
      <c r="M515" s="18" t="n">
        <f aca="false">_xlfn.NORM.DIST(K515,AVERAGE($G$2:$G$1387),_xlfn.STDEV.S($G$2:$G$1387),TRUE())</f>
        <v>0.368118877543482</v>
      </c>
    </row>
    <row r="516" customFormat="false" ht="15" hidden="false" customHeight="false" outlineLevel="0" collapsed="false">
      <c r="A516" s="0" t="n">
        <f aca="false">ROW()-1</f>
        <v>515</v>
      </c>
      <c r="B516" s="0" t="str">
        <f aca="false">'Analysis Data'!A516</f>
        <v>Framingham</v>
      </c>
      <c r="C516" s="5" t="n">
        <f aca="false">'Analysis Data'!B516</f>
        <v>40358</v>
      </c>
      <c r="D516" s="6" t="n">
        <f aca="false">'Analysis Data'!C516</f>
        <v>198.164900164451</v>
      </c>
      <c r="E516" s="15" t="n">
        <f aca="false">SUMPRODUCT('Final Model'!$B$45:$I$45,'Analysis Data'!N516:U516)</f>
        <v>183.800247938187</v>
      </c>
      <c r="F516" s="15" t="n">
        <f aca="false">D516-E516</f>
        <v>14.3646522262641</v>
      </c>
      <c r="G516" s="13" t="n">
        <f aca="false">F516/'Final Model'!$B$21</f>
        <v>0.292964720550773</v>
      </c>
      <c r="H516" s="6" t="n">
        <f aca="false">F516^2</f>
        <v>206.343233581514</v>
      </c>
      <c r="J516" s="6" t="n">
        <f aca="false">A516</f>
        <v>515</v>
      </c>
      <c r="K516" s="13" t="n">
        <f aca="false">SMALL($G$2:$G$1387,J516)</f>
        <v>-0.332889540700964</v>
      </c>
      <c r="L516" s="18" t="n">
        <f aca="false">(J516-0.5)/1386</f>
        <v>0.371212121212121</v>
      </c>
      <c r="M516" s="18" t="n">
        <f aca="false">_xlfn.NORM.DIST(K516,AVERAGE($G$2:$G$1387),_xlfn.STDEV.S($G$2:$G$1387),TRUE())</f>
        <v>0.369290152910532</v>
      </c>
    </row>
    <row r="517" customFormat="false" ht="15" hidden="false" customHeight="false" outlineLevel="0" collapsed="false">
      <c r="A517" s="0" t="n">
        <f aca="false">ROW()-1</f>
        <v>516</v>
      </c>
      <c r="B517" s="0" t="str">
        <f aca="false">'Analysis Data'!A517</f>
        <v>Framingham</v>
      </c>
      <c r="C517" s="5" t="n">
        <f aca="false">'Analysis Data'!B517</f>
        <v>40365</v>
      </c>
      <c r="D517" s="6" t="n">
        <f aca="false">'Analysis Data'!C517</f>
        <v>279.109448057766</v>
      </c>
      <c r="E517" s="15" t="n">
        <f aca="false">SUMPRODUCT('Final Model'!$B$45:$I$45,'Analysis Data'!N517:U517)</f>
        <v>193.162685636532</v>
      </c>
      <c r="F517" s="15" t="n">
        <f aca="false">D517-E517</f>
        <v>85.9467624212338</v>
      </c>
      <c r="G517" s="13" t="n">
        <f aca="false">F517/'Final Model'!$B$21</f>
        <v>1.7528700896039</v>
      </c>
      <c r="H517" s="6" t="n">
        <f aca="false">F517^2</f>
        <v>7386.84597069201</v>
      </c>
      <c r="J517" s="6" t="n">
        <f aca="false">A517</f>
        <v>516</v>
      </c>
      <c r="K517" s="13" t="n">
        <f aca="false">SMALL($G$2:$G$1387,J517)</f>
        <v>-0.332245747054987</v>
      </c>
      <c r="L517" s="18" t="n">
        <f aca="false">(J517-0.5)/1386</f>
        <v>0.371933621933622</v>
      </c>
      <c r="M517" s="18" t="n">
        <f aca="false">_xlfn.NORM.DIST(K517,AVERAGE($G$2:$G$1387),_xlfn.STDEV.S($G$2:$G$1387),TRUE())</f>
        <v>0.369533719810445</v>
      </c>
    </row>
    <row r="518" customFormat="false" ht="15" hidden="false" customHeight="false" outlineLevel="0" collapsed="false">
      <c r="A518" s="0" t="n">
        <f aca="false">ROW()-1</f>
        <v>517</v>
      </c>
      <c r="B518" s="0" t="str">
        <f aca="false">'Analysis Data'!A518</f>
        <v>Framingham</v>
      </c>
      <c r="C518" s="5" t="n">
        <f aca="false">'Analysis Data'!B518</f>
        <v>40372</v>
      </c>
      <c r="D518" s="6" t="n">
        <f aca="false">'Analysis Data'!C518</f>
        <v>147.976193745743</v>
      </c>
      <c r="E518" s="15" t="n">
        <f aca="false">SUMPRODUCT('Final Model'!$B$45:$I$45,'Analysis Data'!N518:U518)</f>
        <v>193.162685636532</v>
      </c>
      <c r="F518" s="15" t="n">
        <f aca="false">D518-E518</f>
        <v>-45.1864918907885</v>
      </c>
      <c r="G518" s="13" t="n">
        <f aca="false">F518/'Final Model'!$B$21</f>
        <v>-0.921571073280171</v>
      </c>
      <c r="H518" s="6" t="n">
        <f aca="false">F518^2</f>
        <v>2041.81904939629</v>
      </c>
      <c r="J518" s="6" t="n">
        <f aca="false">A518</f>
        <v>517</v>
      </c>
      <c r="K518" s="13" t="n">
        <f aca="false">SMALL($G$2:$G$1387,J518)</f>
        <v>-0.329601729126119</v>
      </c>
      <c r="L518" s="18" t="n">
        <f aca="false">(J518-0.5)/1386</f>
        <v>0.372655122655123</v>
      </c>
      <c r="M518" s="18" t="n">
        <f aca="false">_xlfn.NORM.DIST(K518,AVERAGE($G$2:$G$1387),_xlfn.STDEV.S($G$2:$G$1387),TRUE())</f>
        <v>0.370534581166507</v>
      </c>
    </row>
    <row r="519" customFormat="false" ht="15" hidden="false" customHeight="false" outlineLevel="0" collapsed="false">
      <c r="A519" s="0" t="n">
        <f aca="false">ROW()-1</f>
        <v>518</v>
      </c>
      <c r="B519" s="0" t="str">
        <f aca="false">'Analysis Data'!A519</f>
        <v>Fresh Pond</v>
      </c>
      <c r="C519" s="5" t="n">
        <f aca="false">'Analysis Data'!B519</f>
        <v>40302</v>
      </c>
      <c r="D519" s="6" t="n">
        <f aca="false">'Analysis Data'!C519</f>
        <v>183.651390673674</v>
      </c>
      <c r="E519" s="15" t="n">
        <f aca="false">SUMPRODUCT('Final Model'!$B$45:$I$45,'Analysis Data'!N519:U519)</f>
        <v>174.461452746689</v>
      </c>
      <c r="F519" s="15" t="n">
        <f aca="false">D519-E519</f>
        <v>9.18993792698424</v>
      </c>
      <c r="G519" s="13" t="n">
        <f aca="false">F519/'Final Model'!$B$21</f>
        <v>0.187427273159825</v>
      </c>
      <c r="H519" s="6" t="n">
        <f aca="false">F519^2</f>
        <v>84.4549591018234</v>
      </c>
      <c r="J519" s="6" t="n">
        <f aca="false">A519</f>
        <v>518</v>
      </c>
      <c r="K519" s="13" t="n">
        <f aca="false">SMALL($G$2:$G$1387,J519)</f>
        <v>-0.328814776373961</v>
      </c>
      <c r="L519" s="18" t="n">
        <f aca="false">(J519-0.5)/1386</f>
        <v>0.373376623376623</v>
      </c>
      <c r="M519" s="18" t="n">
        <f aca="false">_xlfn.NORM.DIST(K519,AVERAGE($G$2:$G$1387),_xlfn.STDEV.S($G$2:$G$1387),TRUE())</f>
        <v>0.370832642365372</v>
      </c>
    </row>
    <row r="520" customFormat="false" ht="15" hidden="false" customHeight="false" outlineLevel="0" collapsed="false">
      <c r="A520" s="0" t="n">
        <f aca="false">ROW()-1</f>
        <v>519</v>
      </c>
      <c r="B520" s="0" t="str">
        <f aca="false">'Analysis Data'!A520</f>
        <v>Fresh Pond</v>
      </c>
      <c r="C520" s="5" t="n">
        <f aca="false">'Analysis Data'!B520</f>
        <v>40309</v>
      </c>
      <c r="D520" s="6" t="n">
        <f aca="false">'Analysis Data'!C520</f>
        <v>197.100669957554</v>
      </c>
      <c r="E520" s="15" t="n">
        <f aca="false">SUMPRODUCT('Final Model'!$B$45:$I$45,'Analysis Data'!N520:U520)</f>
        <v>183.800247938187</v>
      </c>
      <c r="F520" s="15" t="n">
        <f aca="false">D520-E520</f>
        <v>13.3004220193671</v>
      </c>
      <c r="G520" s="13" t="n">
        <f aca="false">F520/'Final Model'!$B$21</f>
        <v>0.271259920444633</v>
      </c>
      <c r="H520" s="6" t="n">
        <f aca="false">F520^2</f>
        <v>176.901225893265</v>
      </c>
      <c r="J520" s="6" t="n">
        <f aca="false">A520</f>
        <v>519</v>
      </c>
      <c r="K520" s="13" t="n">
        <f aca="false">SMALL($G$2:$G$1387,J520)</f>
        <v>-0.318343608102512</v>
      </c>
      <c r="L520" s="18" t="n">
        <f aca="false">(J520-0.5)/1386</f>
        <v>0.374098124098124</v>
      </c>
      <c r="M520" s="18" t="n">
        <f aca="false">_xlfn.NORM.DIST(K520,AVERAGE($G$2:$G$1387),_xlfn.STDEV.S($G$2:$G$1387),TRUE())</f>
        <v>0.374805949417737</v>
      </c>
    </row>
    <row r="521" customFormat="false" ht="15" hidden="false" customHeight="false" outlineLevel="0" collapsed="false">
      <c r="A521" s="0" t="n">
        <f aca="false">ROW()-1</f>
        <v>520</v>
      </c>
      <c r="B521" s="0" t="str">
        <f aca="false">'Analysis Data'!A521</f>
        <v>Fresh Pond</v>
      </c>
      <c r="C521" s="5" t="n">
        <f aca="false">'Analysis Data'!B521</f>
        <v>40316</v>
      </c>
      <c r="D521" s="6" t="n">
        <f aca="false">'Analysis Data'!C521</f>
        <v>199.905158662154</v>
      </c>
      <c r="E521" s="15" t="n">
        <f aca="false">SUMPRODUCT('Final Model'!$B$45:$I$45,'Analysis Data'!N521:U521)</f>
        <v>191.365854167319</v>
      </c>
      <c r="F521" s="15" t="n">
        <f aca="false">D521-E521</f>
        <v>8.53930449483551</v>
      </c>
      <c r="G521" s="13" t="n">
        <f aca="false">F521/'Final Model'!$B$21</f>
        <v>0.174157711277781</v>
      </c>
      <c r="H521" s="6" t="n">
        <f aca="false">F521^2</f>
        <v>72.9197212555179</v>
      </c>
      <c r="J521" s="6" t="n">
        <f aca="false">A521</f>
        <v>520</v>
      </c>
      <c r="K521" s="13" t="n">
        <f aca="false">SMALL($G$2:$G$1387,J521)</f>
        <v>-0.317153501891857</v>
      </c>
      <c r="L521" s="18" t="n">
        <f aca="false">(J521-0.5)/1386</f>
        <v>0.374819624819625</v>
      </c>
      <c r="M521" s="18" t="n">
        <f aca="false">_xlfn.NORM.DIST(K521,AVERAGE($G$2:$G$1387),_xlfn.STDEV.S($G$2:$G$1387),TRUE())</f>
        <v>0.375258388993303</v>
      </c>
    </row>
    <row r="522" customFormat="false" ht="15" hidden="false" customHeight="false" outlineLevel="0" collapsed="false">
      <c r="A522" s="0" t="n">
        <f aca="false">ROW()-1</f>
        <v>521</v>
      </c>
      <c r="B522" s="0" t="str">
        <f aca="false">'Analysis Data'!A522</f>
        <v>Fresh Pond</v>
      </c>
      <c r="C522" s="5" t="n">
        <f aca="false">'Analysis Data'!B522</f>
        <v>40323</v>
      </c>
      <c r="D522" s="6" t="n">
        <f aca="false">'Analysis Data'!C522</f>
        <v>196.189163880011</v>
      </c>
      <c r="E522" s="15" t="n">
        <f aca="false">SUMPRODUCT('Final Model'!$B$45:$I$45,'Analysis Data'!N522:U522)</f>
        <v>186.873775461186</v>
      </c>
      <c r="F522" s="15" t="n">
        <f aca="false">D522-E522</f>
        <v>9.31538841882471</v>
      </c>
      <c r="G522" s="13" t="n">
        <f aca="false">F522/'Final Model'!$B$21</f>
        <v>0.189985815316369</v>
      </c>
      <c r="H522" s="6" t="n">
        <f aca="false">F522^2</f>
        <v>86.7764613935735</v>
      </c>
      <c r="J522" s="6" t="n">
        <f aca="false">A522</f>
        <v>521</v>
      </c>
      <c r="K522" s="13" t="n">
        <f aca="false">SMALL($G$2:$G$1387,J522)</f>
        <v>-0.314693836953816</v>
      </c>
      <c r="L522" s="18" t="n">
        <f aca="false">(J522-0.5)/1386</f>
        <v>0.375541125541126</v>
      </c>
      <c r="M522" s="18" t="n">
        <f aca="false">_xlfn.NORM.DIST(K522,AVERAGE($G$2:$G$1387),_xlfn.STDEV.S($G$2:$G$1387),TRUE())</f>
        <v>0.376194016797674</v>
      </c>
    </row>
    <row r="523" customFormat="false" ht="15" hidden="false" customHeight="false" outlineLevel="0" collapsed="false">
      <c r="A523" s="0" t="n">
        <f aca="false">ROW()-1</f>
        <v>522</v>
      </c>
      <c r="B523" s="0" t="str">
        <f aca="false">'Analysis Data'!A523</f>
        <v>Fresh Pond</v>
      </c>
      <c r="C523" s="5" t="n">
        <f aca="false">'Analysis Data'!B523</f>
        <v>40330</v>
      </c>
      <c r="D523" s="6" t="n">
        <f aca="false">'Analysis Data'!C523</f>
        <v>153.558982685457</v>
      </c>
      <c r="E523" s="15" t="n">
        <f aca="false">SUMPRODUCT('Final Model'!$B$45:$I$45,'Analysis Data'!N523:U523)</f>
        <v>191.365854167319</v>
      </c>
      <c r="F523" s="15" t="n">
        <f aca="false">D523-E523</f>
        <v>-37.8068714818621</v>
      </c>
      <c r="G523" s="13" t="n">
        <f aca="false">F523/'Final Model'!$B$21</f>
        <v>-0.771064928277998</v>
      </c>
      <c r="H523" s="6" t="n">
        <f aca="false">F523^2</f>
        <v>1429.35953124604</v>
      </c>
      <c r="J523" s="6" t="n">
        <f aca="false">A523</f>
        <v>522</v>
      </c>
      <c r="K523" s="13" t="n">
        <f aca="false">SMALL($G$2:$G$1387,J523)</f>
        <v>-0.312181446403455</v>
      </c>
      <c r="L523" s="18" t="n">
        <f aca="false">(J523-0.5)/1386</f>
        <v>0.376262626262626</v>
      </c>
      <c r="M523" s="18" t="n">
        <f aca="false">_xlfn.NORM.DIST(K523,AVERAGE($G$2:$G$1387),_xlfn.STDEV.S($G$2:$G$1387),TRUE())</f>
        <v>0.37715045252868</v>
      </c>
    </row>
    <row r="524" customFormat="false" ht="15" hidden="false" customHeight="false" outlineLevel="0" collapsed="false">
      <c r="A524" s="0" t="n">
        <f aca="false">ROW()-1</f>
        <v>523</v>
      </c>
      <c r="B524" s="0" t="str">
        <f aca="false">'Analysis Data'!A524</f>
        <v>Fresh Pond</v>
      </c>
      <c r="C524" s="5" t="n">
        <f aca="false">'Analysis Data'!B524</f>
        <v>40337</v>
      </c>
      <c r="D524" s="6" t="n">
        <f aca="false">'Analysis Data'!C524</f>
        <v>175.435311154907</v>
      </c>
      <c r="E524" s="15" t="n">
        <f aca="false">SUMPRODUCT('Final Model'!$B$45:$I$45,'Analysis Data'!N524:U524)</f>
        <v>183.800247938187</v>
      </c>
      <c r="F524" s="15" t="n">
        <f aca="false">D524-E524</f>
        <v>-8.36493678328</v>
      </c>
      <c r="G524" s="13" t="n">
        <f aca="false">F524/'Final Model'!$B$21</f>
        <v>-0.170601510467327</v>
      </c>
      <c r="H524" s="6" t="n">
        <f aca="false">F524^2</f>
        <v>69.9721673882708</v>
      </c>
      <c r="J524" s="6" t="n">
        <f aca="false">A524</f>
        <v>523</v>
      </c>
      <c r="K524" s="13" t="n">
        <f aca="false">SMALL($G$2:$G$1387,J524)</f>
        <v>-0.305755858482964</v>
      </c>
      <c r="L524" s="18" t="n">
        <f aca="false">(J524-0.5)/1386</f>
        <v>0.376984126984127</v>
      </c>
      <c r="M524" s="18" t="n">
        <f aca="false">_xlfn.NORM.DIST(K524,AVERAGE($G$2:$G$1387),_xlfn.STDEV.S($G$2:$G$1387),TRUE())</f>
        <v>0.379600012097457</v>
      </c>
    </row>
    <row r="525" customFormat="false" ht="15" hidden="false" customHeight="false" outlineLevel="0" collapsed="false">
      <c r="A525" s="0" t="n">
        <f aca="false">ROW()-1</f>
        <v>524</v>
      </c>
      <c r="B525" s="0" t="str">
        <f aca="false">'Analysis Data'!A525</f>
        <v>Fresh Pond</v>
      </c>
      <c r="C525" s="5" t="n">
        <f aca="false">'Analysis Data'!B525</f>
        <v>40344</v>
      </c>
      <c r="D525" s="6" t="n">
        <f aca="false">'Analysis Data'!C525</f>
        <v>176.744715257114</v>
      </c>
      <c r="E525" s="15" t="n">
        <f aca="false">SUMPRODUCT('Final Model'!$B$45:$I$45,'Analysis Data'!N525:U525)</f>
        <v>174.461452746689</v>
      </c>
      <c r="F525" s="15" t="n">
        <f aca="false">D525-E525</f>
        <v>2.28326251042475</v>
      </c>
      <c r="G525" s="13" t="n">
        <f aca="false">F525/'Final Model'!$B$21</f>
        <v>0.0465667635230046</v>
      </c>
      <c r="H525" s="6" t="n">
        <f aca="false">F525^2</f>
        <v>5.21328769151112</v>
      </c>
      <c r="J525" s="6" t="n">
        <f aca="false">A525</f>
        <v>524</v>
      </c>
      <c r="K525" s="13" t="n">
        <f aca="false">SMALL($G$2:$G$1387,J525)</f>
        <v>-0.305369413512802</v>
      </c>
      <c r="L525" s="18" t="n">
        <f aca="false">(J525-0.5)/1386</f>
        <v>0.377705627705628</v>
      </c>
      <c r="M525" s="18" t="n">
        <f aca="false">_xlfn.NORM.DIST(K525,AVERAGE($G$2:$G$1387),_xlfn.STDEV.S($G$2:$G$1387),TRUE())</f>
        <v>0.379747487737877</v>
      </c>
    </row>
    <row r="526" customFormat="false" ht="15" hidden="false" customHeight="false" outlineLevel="0" collapsed="false">
      <c r="A526" s="0" t="n">
        <f aca="false">ROW()-1</f>
        <v>525</v>
      </c>
      <c r="B526" s="0" t="str">
        <f aca="false">'Analysis Data'!A526</f>
        <v>Fresh Pond</v>
      </c>
      <c r="C526" s="5" t="n">
        <f aca="false">'Analysis Data'!B526</f>
        <v>40351</v>
      </c>
      <c r="D526" s="6" t="n">
        <f aca="false">'Analysis Data'!C526</f>
        <v>137.508794678612</v>
      </c>
      <c r="E526" s="15" t="n">
        <f aca="false">SUMPRODUCT('Final Model'!$B$45:$I$45,'Analysis Data'!N526:U526)</f>
        <v>183.800247938187</v>
      </c>
      <c r="F526" s="15" t="n">
        <f aca="false">D526-E526</f>
        <v>-46.2914532595748</v>
      </c>
      <c r="G526" s="13" t="n">
        <f aca="false">F526/'Final Model'!$B$21</f>
        <v>-0.944106578736684</v>
      </c>
      <c r="H526" s="6" t="n">
        <f aca="false">F526^2</f>
        <v>2142.8986448834</v>
      </c>
      <c r="J526" s="6" t="n">
        <f aca="false">A526</f>
        <v>525</v>
      </c>
      <c r="K526" s="13" t="n">
        <f aca="false">SMALL($G$2:$G$1387,J526)</f>
        <v>-0.302475447579839</v>
      </c>
      <c r="L526" s="18" t="n">
        <f aca="false">(J526-0.5)/1386</f>
        <v>0.378427128427128</v>
      </c>
      <c r="M526" s="18" t="n">
        <f aca="false">_xlfn.NORM.DIST(K526,AVERAGE($G$2:$G$1387),_xlfn.STDEV.S($G$2:$G$1387),TRUE())</f>
        <v>0.380852441464755</v>
      </c>
    </row>
    <row r="527" customFormat="false" ht="15" hidden="false" customHeight="false" outlineLevel="0" collapsed="false">
      <c r="A527" s="0" t="n">
        <f aca="false">ROW()-1</f>
        <v>526</v>
      </c>
      <c r="B527" s="0" t="str">
        <f aca="false">'Analysis Data'!A527</f>
        <v>Fresh Pond</v>
      </c>
      <c r="C527" s="5" t="n">
        <f aca="false">'Analysis Data'!B527</f>
        <v>40358</v>
      </c>
      <c r="D527" s="6" t="n">
        <f aca="false">'Analysis Data'!C527</f>
        <v>165.452342539899</v>
      </c>
      <c r="E527" s="15" t="n">
        <f aca="false">SUMPRODUCT('Final Model'!$B$45:$I$45,'Analysis Data'!N527:U527)</f>
        <v>187.325132640774</v>
      </c>
      <c r="F527" s="15" t="n">
        <f aca="false">D527-E527</f>
        <v>-21.8727901008755</v>
      </c>
      <c r="G527" s="13" t="n">
        <f aca="false">F527/'Final Model'!$B$21</f>
        <v>-0.446091958136829</v>
      </c>
      <c r="H527" s="6" t="n">
        <f aca="false">F527^2</f>
        <v>478.418946796959</v>
      </c>
      <c r="J527" s="6" t="n">
        <f aca="false">A527</f>
        <v>526</v>
      </c>
      <c r="K527" s="13" t="n">
        <f aca="false">SMALL($G$2:$G$1387,J527)</f>
        <v>-0.299587783149661</v>
      </c>
      <c r="L527" s="18" t="n">
        <f aca="false">(J527-0.5)/1386</f>
        <v>0.379148629148629</v>
      </c>
      <c r="M527" s="18" t="n">
        <f aca="false">_xlfn.NORM.DIST(K527,AVERAGE($G$2:$G$1387),_xlfn.STDEV.S($G$2:$G$1387),TRUE())</f>
        <v>0.381955958593668</v>
      </c>
    </row>
    <row r="528" customFormat="false" ht="15" hidden="false" customHeight="false" outlineLevel="0" collapsed="false">
      <c r="A528" s="0" t="n">
        <f aca="false">ROW()-1</f>
        <v>527</v>
      </c>
      <c r="B528" s="0" t="str">
        <f aca="false">'Analysis Data'!A528</f>
        <v>Fresh Pond</v>
      </c>
      <c r="C528" s="5" t="n">
        <f aca="false">'Analysis Data'!B528</f>
        <v>40365</v>
      </c>
      <c r="D528" s="6" t="n">
        <f aca="false">'Analysis Data'!C528</f>
        <v>219.325368441501</v>
      </c>
      <c r="E528" s="15" t="n">
        <f aca="false">SUMPRODUCT('Final Model'!$B$45:$I$45,'Analysis Data'!N528:U528)</f>
        <v>199.240962446692</v>
      </c>
      <c r="F528" s="15" t="n">
        <f aca="false">D528-E528</f>
        <v>20.0844059948091</v>
      </c>
      <c r="G528" s="13" t="n">
        <f aca="false">F528/'Final Model'!$B$21</f>
        <v>0.409618158310807</v>
      </c>
      <c r="H528" s="6" t="n">
        <f aca="false">F528^2</f>
        <v>403.383364164326</v>
      </c>
      <c r="J528" s="6" t="n">
        <f aca="false">A528</f>
        <v>527</v>
      </c>
      <c r="K528" s="13" t="n">
        <f aca="false">SMALL($G$2:$G$1387,J528)</f>
        <v>-0.297335874831048</v>
      </c>
      <c r="L528" s="18" t="n">
        <f aca="false">(J528-0.5)/1386</f>
        <v>0.37987012987013</v>
      </c>
      <c r="M528" s="18" t="n">
        <f aca="false">_xlfn.NORM.DIST(K528,AVERAGE($G$2:$G$1387),_xlfn.STDEV.S($G$2:$G$1387),TRUE())</f>
        <v>0.382817188979964</v>
      </c>
    </row>
    <row r="529" customFormat="false" ht="15" hidden="false" customHeight="false" outlineLevel="0" collapsed="false">
      <c r="A529" s="0" t="n">
        <f aca="false">ROW()-1</f>
        <v>528</v>
      </c>
      <c r="B529" s="0" t="str">
        <f aca="false">'Analysis Data'!A529</f>
        <v>Fresh Pond</v>
      </c>
      <c r="C529" s="5" t="n">
        <f aca="false">'Analysis Data'!B529</f>
        <v>40372</v>
      </c>
      <c r="D529" s="6" t="n">
        <f aca="false">'Analysis Data'!C529</f>
        <v>162.067383890691</v>
      </c>
      <c r="E529" s="15" t="n">
        <f aca="false">SUMPRODUCT('Final Model'!$B$45:$I$45,'Analysis Data'!N529:U529)</f>
        <v>199.240962446692</v>
      </c>
      <c r="F529" s="15" t="n">
        <f aca="false">D529-E529</f>
        <v>-37.1735785560007</v>
      </c>
      <c r="G529" s="13" t="n">
        <f aca="false">F529/'Final Model'!$B$21</f>
        <v>-0.758149023170838</v>
      </c>
      <c r="H529" s="6" t="n">
        <f aca="false">F529^2</f>
        <v>1381.87494265915</v>
      </c>
      <c r="J529" s="6" t="n">
        <f aca="false">A529</f>
        <v>528</v>
      </c>
      <c r="K529" s="13" t="n">
        <f aca="false">SMALL($G$2:$G$1387,J529)</f>
        <v>-0.292823760913099</v>
      </c>
      <c r="L529" s="18" t="n">
        <f aca="false">(J529-0.5)/1386</f>
        <v>0.380591630591631</v>
      </c>
      <c r="M529" s="18" t="n">
        <f aca="false">_xlfn.NORM.DIST(K529,AVERAGE($G$2:$G$1387),_xlfn.STDEV.S($G$2:$G$1387),TRUE())</f>
        <v>0.384544563658376</v>
      </c>
    </row>
    <row r="530" customFormat="false" ht="15" hidden="false" customHeight="false" outlineLevel="0" collapsed="false">
      <c r="A530" s="0" t="n">
        <f aca="false">ROW()-1</f>
        <v>529</v>
      </c>
      <c r="B530" s="0" t="str">
        <f aca="false">'Analysis Data'!A530</f>
        <v>Hadley</v>
      </c>
      <c r="C530" s="5" t="n">
        <f aca="false">'Analysis Data'!B530</f>
        <v>40302</v>
      </c>
      <c r="D530" s="6" t="n">
        <f aca="false">'Analysis Data'!C530</f>
        <v>104.755668952299</v>
      </c>
      <c r="E530" s="15" t="n">
        <f aca="false">SUMPRODUCT('Final Model'!$B$45:$I$45,'Analysis Data'!N530:U530)</f>
        <v>174.028006559812</v>
      </c>
      <c r="F530" s="15" t="n">
        <f aca="false">D530-E530</f>
        <v>-69.2723376075126</v>
      </c>
      <c r="G530" s="13" t="n">
        <f aca="false">F530/'Final Model'!$B$21</f>
        <v>-1.41279793686741</v>
      </c>
      <c r="H530" s="6" t="n">
        <f aca="false">F530^2</f>
        <v>4798.65675760921</v>
      </c>
      <c r="J530" s="6" t="n">
        <f aca="false">A530</f>
        <v>529</v>
      </c>
      <c r="K530" s="13" t="n">
        <f aca="false">SMALL($G$2:$G$1387,J530)</f>
        <v>-0.291762683547937</v>
      </c>
      <c r="L530" s="18" t="n">
        <f aca="false">(J530-0.5)/1386</f>
        <v>0.381313131313131</v>
      </c>
      <c r="M530" s="18" t="n">
        <f aca="false">_xlfn.NORM.DIST(K530,AVERAGE($G$2:$G$1387),_xlfn.STDEV.S($G$2:$G$1387),TRUE())</f>
        <v>0.384951110965218</v>
      </c>
    </row>
    <row r="531" customFormat="false" ht="15" hidden="false" customHeight="false" outlineLevel="0" collapsed="false">
      <c r="A531" s="0" t="n">
        <f aca="false">ROW()-1</f>
        <v>530</v>
      </c>
      <c r="B531" s="0" t="str">
        <f aca="false">'Analysis Data'!A531</f>
        <v>Hadley</v>
      </c>
      <c r="C531" s="5" t="n">
        <f aca="false">'Analysis Data'!B531</f>
        <v>40309</v>
      </c>
      <c r="D531" s="6" t="n">
        <f aca="false">'Analysis Data'!C531</f>
        <v>202.083553871665</v>
      </c>
      <c r="E531" s="15" t="n">
        <f aca="false">SUMPRODUCT('Final Model'!$B$45:$I$45,'Analysis Data'!N531:U531)</f>
        <v>174.461452746689</v>
      </c>
      <c r="F531" s="15" t="n">
        <f aca="false">D531-E531</f>
        <v>27.622101124976</v>
      </c>
      <c r="G531" s="13" t="n">
        <f aca="false">F531/'Final Model'!$B$21</f>
        <v>0.563348211264588</v>
      </c>
      <c r="H531" s="6" t="n">
        <f aca="false">F531^2</f>
        <v>762.980470558398</v>
      </c>
      <c r="J531" s="6" t="n">
        <f aca="false">A531</f>
        <v>530</v>
      </c>
      <c r="K531" s="13" t="n">
        <f aca="false">SMALL($G$2:$G$1387,J531)</f>
        <v>-0.291321003460672</v>
      </c>
      <c r="L531" s="18" t="n">
        <f aca="false">(J531-0.5)/1386</f>
        <v>0.382034632034632</v>
      </c>
      <c r="M531" s="18" t="n">
        <f aca="false">_xlfn.NORM.DIST(K531,AVERAGE($G$2:$G$1387),_xlfn.STDEV.S($G$2:$G$1387),TRUE())</f>
        <v>0.385120376140729</v>
      </c>
    </row>
    <row r="532" customFormat="false" ht="15" hidden="false" customHeight="false" outlineLevel="0" collapsed="false">
      <c r="A532" s="0" t="n">
        <f aca="false">ROW()-1</f>
        <v>531</v>
      </c>
      <c r="B532" s="0" t="str">
        <f aca="false">'Analysis Data'!A532</f>
        <v>Hadley</v>
      </c>
      <c r="C532" s="5" t="n">
        <f aca="false">'Analysis Data'!B532</f>
        <v>40316</v>
      </c>
      <c r="D532" s="6" t="n">
        <f aca="false">'Analysis Data'!C532</f>
        <v>142.121763281226</v>
      </c>
      <c r="E532" s="15" t="n">
        <f aca="false">SUMPRODUCT('Final Model'!$B$45:$I$45,'Analysis Data'!N532:U532)</f>
        <v>188.213518236675</v>
      </c>
      <c r="F532" s="15" t="n">
        <f aca="false">D532-E532</f>
        <v>-46.0917549554487</v>
      </c>
      <c r="G532" s="13" t="n">
        <f aca="false">F532/'Final Model'!$B$21</f>
        <v>-0.940033764655199</v>
      </c>
      <c r="H532" s="6" t="n">
        <f aca="false">F532^2</f>
        <v>2124.44987487313</v>
      </c>
      <c r="J532" s="6" t="n">
        <f aca="false">A532</f>
        <v>531</v>
      </c>
      <c r="K532" s="13" t="n">
        <f aca="false">SMALL($G$2:$G$1387,J532)</f>
        <v>-0.287714595508409</v>
      </c>
      <c r="L532" s="18" t="n">
        <f aca="false">(J532-0.5)/1386</f>
        <v>0.382756132756133</v>
      </c>
      <c r="M532" s="18" t="n">
        <f aca="false">_xlfn.NORM.DIST(K532,AVERAGE($G$2:$G$1387),_xlfn.STDEV.S($G$2:$G$1387),TRUE())</f>
        <v>0.386503277223431</v>
      </c>
    </row>
    <row r="533" customFormat="false" ht="15" hidden="false" customHeight="false" outlineLevel="0" collapsed="false">
      <c r="A533" s="0" t="n">
        <f aca="false">ROW()-1</f>
        <v>532</v>
      </c>
      <c r="B533" s="0" t="str">
        <f aca="false">'Analysis Data'!A533</f>
        <v>Hadley</v>
      </c>
      <c r="C533" s="5" t="n">
        <f aca="false">'Analysis Data'!B533</f>
        <v>40323</v>
      </c>
      <c r="D533" s="6" t="n">
        <f aca="false">'Analysis Data'!C533</f>
        <v>223.053791296669</v>
      </c>
      <c r="E533" s="15" t="n">
        <f aca="false">SUMPRODUCT('Final Model'!$B$45:$I$45,'Analysis Data'!N533:U533)</f>
        <v>191.365854167319</v>
      </c>
      <c r="F533" s="15" t="n">
        <f aca="false">D533-E533</f>
        <v>31.6879371293506</v>
      </c>
      <c r="G533" s="13" t="n">
        <f aca="false">F533/'Final Model'!$B$21</f>
        <v>0.646270268134786</v>
      </c>
      <c r="H533" s="6" t="n">
        <f aca="false">F533^2</f>
        <v>1004.12535951368</v>
      </c>
      <c r="J533" s="6" t="n">
        <f aca="false">A533</f>
        <v>532</v>
      </c>
      <c r="K533" s="13" t="n">
        <f aca="false">SMALL($G$2:$G$1387,J533)</f>
        <v>-0.286705801852567</v>
      </c>
      <c r="L533" s="18" t="n">
        <f aca="false">(J533-0.5)/1386</f>
        <v>0.383477633477634</v>
      </c>
      <c r="M533" s="18" t="n">
        <f aca="false">_xlfn.NORM.DIST(K533,AVERAGE($G$2:$G$1387),_xlfn.STDEV.S($G$2:$G$1387),TRUE())</f>
        <v>0.386890364830121</v>
      </c>
    </row>
    <row r="534" customFormat="false" ht="15" hidden="false" customHeight="false" outlineLevel="0" collapsed="false">
      <c r="A534" s="0" t="n">
        <f aca="false">ROW()-1</f>
        <v>533</v>
      </c>
      <c r="B534" s="0" t="str">
        <f aca="false">'Analysis Data'!A534</f>
        <v>Hadley</v>
      </c>
      <c r="C534" s="5" t="n">
        <f aca="false">'Analysis Data'!B534</f>
        <v>40330</v>
      </c>
      <c r="D534" s="6" t="n">
        <f aca="false">'Analysis Data'!C534</f>
        <v>256.429872881119</v>
      </c>
      <c r="E534" s="15" t="n">
        <f aca="false">SUMPRODUCT('Final Model'!$B$45:$I$45,'Analysis Data'!N534:U534)</f>
        <v>191.365854167319</v>
      </c>
      <c r="F534" s="15" t="n">
        <f aca="false">D534-E534</f>
        <v>65.0640187138002</v>
      </c>
      <c r="G534" s="13" t="n">
        <f aca="false">F534/'Final Model'!$B$21</f>
        <v>1.3269699648939</v>
      </c>
      <c r="H534" s="6" t="n">
        <f aca="false">F534^2</f>
        <v>4233.32653118974</v>
      </c>
      <c r="J534" s="6" t="n">
        <f aca="false">A534</f>
        <v>533</v>
      </c>
      <c r="K534" s="13" t="n">
        <f aca="false">SMALL($G$2:$G$1387,J534)</f>
        <v>-0.286338403992121</v>
      </c>
      <c r="L534" s="18" t="n">
        <f aca="false">(J534-0.5)/1386</f>
        <v>0.384199134199134</v>
      </c>
      <c r="M534" s="18" t="n">
        <f aca="false">_xlfn.NORM.DIST(K534,AVERAGE($G$2:$G$1387),_xlfn.STDEV.S($G$2:$G$1387),TRUE())</f>
        <v>0.387031368275124</v>
      </c>
    </row>
    <row r="535" customFormat="false" ht="15" hidden="false" customHeight="false" outlineLevel="0" collapsed="false">
      <c r="A535" s="0" t="n">
        <f aca="false">ROW()-1</f>
        <v>534</v>
      </c>
      <c r="B535" s="0" t="str">
        <f aca="false">'Analysis Data'!A535</f>
        <v>Hadley</v>
      </c>
      <c r="C535" s="5" t="n">
        <f aca="false">'Analysis Data'!B535</f>
        <v>40337</v>
      </c>
      <c r="D535" s="6" t="n">
        <f aca="false">'Analysis Data'!C535</f>
        <v>168.201909197671</v>
      </c>
      <c r="E535" s="15" t="n">
        <f aca="false">SUMPRODUCT('Final Model'!$B$45:$I$45,'Analysis Data'!N535:U535)</f>
        <v>174.461452746689</v>
      </c>
      <c r="F535" s="15" t="n">
        <f aca="false">D535-E535</f>
        <v>-6.25954354901836</v>
      </c>
      <c r="G535" s="13" t="n">
        <f aca="false">F535/'Final Model'!$B$21</f>
        <v>-0.127662361589278</v>
      </c>
      <c r="H535" s="6" t="n">
        <f aca="false">F535^2</f>
        <v>39.1818854420574</v>
      </c>
      <c r="J535" s="6" t="n">
        <f aca="false">A535</f>
        <v>534</v>
      </c>
      <c r="K535" s="13" t="n">
        <f aca="false">SMALL($G$2:$G$1387,J535)</f>
        <v>-0.284517452365218</v>
      </c>
      <c r="L535" s="18" t="n">
        <f aca="false">(J535-0.5)/1386</f>
        <v>0.384920634920635</v>
      </c>
      <c r="M535" s="18" t="n">
        <f aca="false">_xlfn.NORM.DIST(K535,AVERAGE($G$2:$G$1387),_xlfn.STDEV.S($G$2:$G$1387),TRUE())</f>
        <v>0.387730450147093</v>
      </c>
    </row>
    <row r="536" customFormat="false" ht="15" hidden="false" customHeight="false" outlineLevel="0" collapsed="false">
      <c r="A536" s="0" t="n">
        <f aca="false">ROW()-1</f>
        <v>535</v>
      </c>
      <c r="B536" s="0" t="str">
        <f aca="false">'Analysis Data'!A536</f>
        <v>Hadley</v>
      </c>
      <c r="C536" s="5" t="n">
        <f aca="false">'Analysis Data'!B536</f>
        <v>40344</v>
      </c>
      <c r="D536" s="6" t="n">
        <f aca="false">'Analysis Data'!C536</f>
        <v>100.665419089582</v>
      </c>
      <c r="E536" s="15" t="n">
        <f aca="false">SUMPRODUCT('Final Model'!$B$45:$I$45,'Analysis Data'!N536:U536)</f>
        <v>169.772353054546</v>
      </c>
      <c r="F536" s="15" t="n">
        <f aca="false">D536-E536</f>
        <v>-69.1069339649636</v>
      </c>
      <c r="G536" s="13" t="n">
        <f aca="false">F536/'Final Model'!$B$21</f>
        <v>-1.40942455677061</v>
      </c>
      <c r="H536" s="6" t="n">
        <f aca="false">F536^2</f>
        <v>4775.76832203784</v>
      </c>
      <c r="J536" s="6" t="n">
        <f aca="false">A536</f>
        <v>535</v>
      </c>
      <c r="K536" s="13" t="n">
        <f aca="false">SMALL($G$2:$G$1387,J536)</f>
        <v>-0.276822582652049</v>
      </c>
      <c r="L536" s="18" t="n">
        <f aca="false">(J536-0.5)/1386</f>
        <v>0.385642135642136</v>
      </c>
      <c r="M536" s="18" t="n">
        <f aca="false">_xlfn.NORM.DIST(K536,AVERAGE($G$2:$G$1387),_xlfn.STDEV.S($G$2:$G$1387),TRUE())</f>
        <v>0.390688583928069</v>
      </c>
    </row>
    <row r="537" customFormat="false" ht="15" hidden="false" customHeight="false" outlineLevel="0" collapsed="false">
      <c r="A537" s="0" t="n">
        <f aca="false">ROW()-1</f>
        <v>536</v>
      </c>
      <c r="B537" s="0" t="str">
        <f aca="false">'Analysis Data'!A537</f>
        <v>Hadley</v>
      </c>
      <c r="C537" s="5" t="n">
        <f aca="false">'Analysis Data'!B537</f>
        <v>40351</v>
      </c>
      <c r="D537" s="6" t="n">
        <f aca="false">'Analysis Data'!C537</f>
        <v>230.247506124038</v>
      </c>
      <c r="E537" s="15" t="n">
        <f aca="false">SUMPRODUCT('Final Model'!$B$45:$I$45,'Analysis Data'!N537:U537)</f>
        <v>174.461452746689</v>
      </c>
      <c r="F537" s="15" t="n">
        <f aca="false">D537-E537</f>
        <v>55.786053377349</v>
      </c>
      <c r="G537" s="13" t="n">
        <f aca="false">F537/'Final Model'!$B$21</f>
        <v>1.13774738719004</v>
      </c>
      <c r="H537" s="6" t="n">
        <f aca="false">F537^2</f>
        <v>3112.08375142043</v>
      </c>
      <c r="J537" s="6" t="n">
        <f aca="false">A537</f>
        <v>536</v>
      </c>
      <c r="K537" s="13" t="n">
        <f aca="false">SMALL($G$2:$G$1387,J537)</f>
        <v>-0.276048358438837</v>
      </c>
      <c r="L537" s="18" t="n">
        <f aca="false">(J537-0.5)/1386</f>
        <v>0.386363636363636</v>
      </c>
      <c r="M537" s="18" t="n">
        <f aca="false">_xlfn.NORM.DIST(K537,AVERAGE($G$2:$G$1387),_xlfn.STDEV.S($G$2:$G$1387),TRUE())</f>
        <v>0.39098657218034</v>
      </c>
    </row>
    <row r="538" customFormat="false" ht="15" hidden="false" customHeight="false" outlineLevel="0" collapsed="false">
      <c r="A538" s="0" t="n">
        <f aca="false">ROW()-1</f>
        <v>537</v>
      </c>
      <c r="B538" s="0" t="str">
        <f aca="false">'Analysis Data'!A538</f>
        <v>Hadley</v>
      </c>
      <c r="C538" s="5" t="n">
        <f aca="false">'Analysis Data'!B538</f>
        <v>40358</v>
      </c>
      <c r="D538" s="6" t="n">
        <f aca="false">'Analysis Data'!C538</f>
        <v>122.384532220139</v>
      </c>
      <c r="E538" s="15" t="n">
        <f aca="false">SUMPRODUCT('Final Model'!$B$45:$I$45,'Analysis Data'!N538:U538)</f>
        <v>174.461452746689</v>
      </c>
      <c r="F538" s="15" t="n">
        <f aca="false">D538-E538</f>
        <v>-52.0769205265505</v>
      </c>
      <c r="G538" s="13" t="n">
        <f aca="false">F538/'Final Model'!$B$21</f>
        <v>-1.06210023249366</v>
      </c>
      <c r="H538" s="6" t="n">
        <f aca="false">F538^2</f>
        <v>2712.00565152865</v>
      </c>
      <c r="J538" s="6" t="n">
        <f aca="false">A538</f>
        <v>537</v>
      </c>
      <c r="K538" s="13" t="n">
        <f aca="false">SMALL($G$2:$G$1387,J538)</f>
        <v>-0.275134237424754</v>
      </c>
      <c r="L538" s="18" t="n">
        <f aca="false">(J538-0.5)/1386</f>
        <v>0.387085137085137</v>
      </c>
      <c r="M538" s="18" t="n">
        <f aca="false">_xlfn.NORM.DIST(K538,AVERAGE($G$2:$G$1387),_xlfn.STDEV.S($G$2:$G$1387),TRUE())</f>
        <v>0.391338487188252</v>
      </c>
    </row>
    <row r="539" customFormat="false" ht="15" hidden="false" customHeight="false" outlineLevel="0" collapsed="false">
      <c r="A539" s="0" t="n">
        <f aca="false">ROW()-1</f>
        <v>538</v>
      </c>
      <c r="B539" s="0" t="str">
        <f aca="false">'Analysis Data'!A539</f>
        <v>Hadley</v>
      </c>
      <c r="C539" s="5" t="n">
        <f aca="false">'Analysis Data'!B539</f>
        <v>40365</v>
      </c>
      <c r="D539" s="6" t="n">
        <f aca="false">'Analysis Data'!C539</f>
        <v>175.45722745969</v>
      </c>
      <c r="E539" s="15" t="n">
        <f aca="false">SUMPRODUCT('Final Model'!$B$45:$I$45,'Analysis Data'!N539:U539)</f>
        <v>182.653585738257</v>
      </c>
      <c r="F539" s="15" t="n">
        <f aca="false">D539-E539</f>
        <v>-7.19635827856754</v>
      </c>
      <c r="G539" s="13" t="n">
        <f aca="false">F539/'Final Model'!$B$21</f>
        <v>-0.146768543982502</v>
      </c>
      <c r="H539" s="6" t="n">
        <f aca="false">F539^2</f>
        <v>51.7875724735076</v>
      </c>
      <c r="J539" s="6" t="n">
        <f aca="false">A539</f>
        <v>538</v>
      </c>
      <c r="K539" s="13" t="n">
        <f aca="false">SMALL($G$2:$G$1387,J539)</f>
        <v>-0.274437344761986</v>
      </c>
      <c r="L539" s="18" t="n">
        <f aca="false">(J539-0.5)/1386</f>
        <v>0.387806637806638</v>
      </c>
      <c r="M539" s="18" t="n">
        <f aca="false">_xlfn.NORM.DIST(K539,AVERAGE($G$2:$G$1387),_xlfn.STDEV.S($G$2:$G$1387),TRUE())</f>
        <v>0.391606834192308</v>
      </c>
    </row>
    <row r="540" customFormat="false" ht="15" hidden="false" customHeight="false" outlineLevel="0" collapsed="false">
      <c r="A540" s="0" t="n">
        <f aca="false">ROW()-1</f>
        <v>539</v>
      </c>
      <c r="B540" s="0" t="str">
        <f aca="false">'Analysis Data'!A540</f>
        <v>Hadley</v>
      </c>
      <c r="C540" s="5" t="n">
        <f aca="false">'Analysis Data'!B540</f>
        <v>40372</v>
      </c>
      <c r="D540" s="6" t="n">
        <f aca="false">'Analysis Data'!C540</f>
        <v>105.880894035425</v>
      </c>
      <c r="E540" s="15" t="n">
        <f aca="false">SUMPRODUCT('Final Model'!$B$45:$I$45,'Analysis Data'!N540:U540)</f>
        <v>189.411405882817</v>
      </c>
      <c r="F540" s="15" t="n">
        <f aca="false">D540-E540</f>
        <v>-83.5305118473925</v>
      </c>
      <c r="G540" s="13" t="n">
        <f aca="false">F540/'Final Model'!$B$21</f>
        <v>-1.70359105639126</v>
      </c>
      <c r="H540" s="6" t="n">
        <f aca="false">F540^2</f>
        <v>6977.34640948738</v>
      </c>
      <c r="J540" s="6" t="n">
        <f aca="false">A540</f>
        <v>539</v>
      </c>
      <c r="K540" s="13" t="n">
        <f aca="false">SMALL($G$2:$G$1387,J540)</f>
        <v>-0.273506074535615</v>
      </c>
      <c r="L540" s="18" t="n">
        <f aca="false">(J540-0.5)/1386</f>
        <v>0.388528138528139</v>
      </c>
      <c r="M540" s="18" t="n">
        <f aca="false">_xlfn.NORM.DIST(K540,AVERAGE($G$2:$G$1387),_xlfn.STDEV.S($G$2:$G$1387),TRUE())</f>
        <v>0.391965511639855</v>
      </c>
    </row>
    <row r="541" customFormat="false" ht="15" hidden="false" customHeight="false" outlineLevel="0" collapsed="false">
      <c r="A541" s="0" t="n">
        <f aca="false">ROW()-1</f>
        <v>540</v>
      </c>
      <c r="B541" s="0" t="str">
        <f aca="false">'Analysis Data'!A541</f>
        <v>Hingham</v>
      </c>
      <c r="C541" s="5" t="n">
        <f aca="false">'Analysis Data'!B541</f>
        <v>40302</v>
      </c>
      <c r="D541" s="6" t="n">
        <f aca="false">'Analysis Data'!C541</f>
        <v>169.330437836457</v>
      </c>
      <c r="E541" s="15" t="n">
        <f aca="false">SUMPRODUCT('Final Model'!$B$45:$I$45,'Analysis Data'!N541:U541)</f>
        <v>174.461452746689</v>
      </c>
      <c r="F541" s="15" t="n">
        <f aca="false">D541-E541</f>
        <v>-5.13101491023264</v>
      </c>
      <c r="G541" s="13" t="n">
        <f aca="false">F541/'Final Model'!$B$21</f>
        <v>-0.104646205535677</v>
      </c>
      <c r="H541" s="6" t="n">
        <f aca="false">F541^2</f>
        <v>26.3273140090296</v>
      </c>
      <c r="J541" s="6" t="n">
        <f aca="false">A541</f>
        <v>540</v>
      </c>
      <c r="K541" s="13" t="n">
        <f aca="false">SMALL($G$2:$G$1387,J541)</f>
        <v>-0.272031120463924</v>
      </c>
      <c r="L541" s="18" t="n">
        <f aca="false">(J541-0.5)/1386</f>
        <v>0.389249639249639</v>
      </c>
      <c r="M541" s="18" t="n">
        <f aca="false">_xlfn.NORM.DIST(K541,AVERAGE($G$2:$G$1387),_xlfn.STDEV.S($G$2:$G$1387),TRUE())</f>
        <v>0.392533775961899</v>
      </c>
    </row>
    <row r="542" customFormat="false" ht="15" hidden="false" customHeight="false" outlineLevel="0" collapsed="false">
      <c r="A542" s="0" t="n">
        <f aca="false">ROW()-1</f>
        <v>541</v>
      </c>
      <c r="B542" s="0" t="str">
        <f aca="false">'Analysis Data'!A542</f>
        <v>Hingham</v>
      </c>
      <c r="C542" s="5" t="n">
        <f aca="false">'Analysis Data'!B542</f>
        <v>40309</v>
      </c>
      <c r="D542" s="6" t="n">
        <f aca="false">'Analysis Data'!C542</f>
        <v>120.302848778305</v>
      </c>
      <c r="E542" s="15" t="n">
        <f aca="false">SUMPRODUCT('Final Model'!$B$45:$I$45,'Analysis Data'!N542:U542)</f>
        <v>183.800247938187</v>
      </c>
      <c r="F542" s="15" t="n">
        <f aca="false">D542-E542</f>
        <v>-63.4973991598824</v>
      </c>
      <c r="G542" s="13" t="n">
        <f aca="false">F542/'Final Model'!$B$21</f>
        <v>-1.29501901665</v>
      </c>
      <c r="H542" s="6" t="n">
        <f aca="false">F542^2</f>
        <v>4031.91970006944</v>
      </c>
      <c r="J542" s="6" t="n">
        <f aca="false">A542</f>
        <v>541</v>
      </c>
      <c r="K542" s="13" t="n">
        <f aca="false">SMALL($G$2:$G$1387,J542)</f>
        <v>-0.271197423260038</v>
      </c>
      <c r="L542" s="18" t="n">
        <f aca="false">(J542-0.5)/1386</f>
        <v>0.38997113997114</v>
      </c>
      <c r="M542" s="18" t="n">
        <f aca="false">_xlfn.NORM.DIST(K542,AVERAGE($G$2:$G$1387),_xlfn.STDEV.S($G$2:$G$1387),TRUE())</f>
        <v>0.392855080907428</v>
      </c>
    </row>
    <row r="543" customFormat="false" ht="15" hidden="false" customHeight="false" outlineLevel="0" collapsed="false">
      <c r="A543" s="0" t="n">
        <f aca="false">ROW()-1</f>
        <v>542</v>
      </c>
      <c r="B543" s="0" t="str">
        <f aca="false">'Analysis Data'!A543</f>
        <v>Hingham</v>
      </c>
      <c r="C543" s="5" t="n">
        <f aca="false">'Analysis Data'!B543</f>
        <v>40316</v>
      </c>
      <c r="D543" s="6" t="n">
        <f aca="false">'Analysis Data'!C543</f>
        <v>152.072856465927</v>
      </c>
      <c r="E543" s="15" t="n">
        <f aca="false">SUMPRODUCT('Final Model'!$B$45:$I$45,'Analysis Data'!N543:U543)</f>
        <v>186.873775461186</v>
      </c>
      <c r="F543" s="15" t="n">
        <f aca="false">D543-E543</f>
        <v>-34.8009189952591</v>
      </c>
      <c r="G543" s="13" t="n">
        <f aca="false">F543/'Final Model'!$B$21</f>
        <v>-0.70975902150384</v>
      </c>
      <c r="H543" s="6" t="n">
        <f aca="false">F543^2</f>
        <v>1211.10396291458</v>
      </c>
      <c r="J543" s="6" t="n">
        <f aca="false">A543</f>
        <v>542</v>
      </c>
      <c r="K543" s="13" t="n">
        <f aca="false">SMALL($G$2:$G$1387,J543)</f>
        <v>-0.270800668908025</v>
      </c>
      <c r="L543" s="18" t="n">
        <f aca="false">(J543-0.5)/1386</f>
        <v>0.390692640692641</v>
      </c>
      <c r="M543" s="18" t="n">
        <f aca="false">_xlfn.NORM.DIST(K543,AVERAGE($G$2:$G$1387),_xlfn.STDEV.S($G$2:$G$1387),TRUE())</f>
        <v>0.393008014761074</v>
      </c>
    </row>
    <row r="544" customFormat="false" ht="15" hidden="false" customHeight="false" outlineLevel="0" collapsed="false">
      <c r="A544" s="0" t="n">
        <f aca="false">ROW()-1</f>
        <v>543</v>
      </c>
      <c r="B544" s="0" t="str">
        <f aca="false">'Analysis Data'!A544</f>
        <v>Hingham</v>
      </c>
      <c r="C544" s="5" t="n">
        <f aca="false">'Analysis Data'!B544</f>
        <v>40323</v>
      </c>
      <c r="D544" s="6" t="n">
        <f aca="false">'Analysis Data'!C544</f>
        <v>184.579439258358</v>
      </c>
      <c r="E544" s="15" t="n">
        <f aca="false">SUMPRODUCT('Final Model'!$B$45:$I$45,'Analysis Data'!N544:U544)</f>
        <v>178.126043271855</v>
      </c>
      <c r="F544" s="15" t="n">
        <f aca="false">D544-E544</f>
        <v>6.4533959865025</v>
      </c>
      <c r="G544" s="13" t="n">
        <f aca="false">F544/'Final Model'!$B$21</f>
        <v>0.131615950181683</v>
      </c>
      <c r="H544" s="6" t="n">
        <f aca="false">F544^2</f>
        <v>41.6463197586066</v>
      </c>
      <c r="J544" s="6" t="n">
        <f aca="false">A544</f>
        <v>543</v>
      </c>
      <c r="K544" s="13" t="n">
        <f aca="false">SMALL($G$2:$G$1387,J544)</f>
        <v>-0.264718544290408</v>
      </c>
      <c r="L544" s="18" t="n">
        <f aca="false">(J544-0.5)/1386</f>
        <v>0.391414141414141</v>
      </c>
      <c r="M544" s="18" t="n">
        <f aca="false">_xlfn.NORM.DIST(K544,AVERAGE($G$2:$G$1387),_xlfn.STDEV.S($G$2:$G$1387),TRUE())</f>
        <v>0.395354498410967</v>
      </c>
    </row>
    <row r="545" customFormat="false" ht="15" hidden="false" customHeight="false" outlineLevel="0" collapsed="false">
      <c r="A545" s="0" t="n">
        <f aca="false">ROW()-1</f>
        <v>544</v>
      </c>
      <c r="B545" s="0" t="str">
        <f aca="false">'Analysis Data'!A545</f>
        <v>Hingham</v>
      </c>
      <c r="C545" s="5" t="n">
        <f aca="false">'Analysis Data'!B545</f>
        <v>40330</v>
      </c>
      <c r="D545" s="6" t="n">
        <f aca="false">'Analysis Data'!C545</f>
        <v>154.566869131377</v>
      </c>
      <c r="E545" s="15" t="n">
        <f aca="false">SUMPRODUCT('Final Model'!$B$45:$I$45,'Analysis Data'!N545:U545)</f>
        <v>191.365854167319</v>
      </c>
      <c r="F545" s="15" t="n">
        <f aca="false">D545-E545</f>
        <v>-36.7989850359413</v>
      </c>
      <c r="G545" s="13" t="n">
        <f aca="false">F545/'Final Model'!$B$21</f>
        <v>-0.750509249913838</v>
      </c>
      <c r="H545" s="6" t="n">
        <f aca="false">F545^2</f>
        <v>1354.16529967543</v>
      </c>
      <c r="J545" s="6" t="n">
        <f aca="false">A545</f>
        <v>544</v>
      </c>
      <c r="K545" s="13" t="n">
        <f aca="false">SMALL($G$2:$G$1387,J545)</f>
        <v>-0.263935560398142</v>
      </c>
      <c r="L545" s="18" t="n">
        <f aca="false">(J545-0.5)/1386</f>
        <v>0.392135642135642</v>
      </c>
      <c r="M545" s="18" t="n">
        <f aca="false">_xlfn.NORM.DIST(K545,AVERAGE($G$2:$G$1387),_xlfn.STDEV.S($G$2:$G$1387),TRUE())</f>
        <v>0.395656851406588</v>
      </c>
    </row>
    <row r="546" customFormat="false" ht="15" hidden="false" customHeight="false" outlineLevel="0" collapsed="false">
      <c r="A546" s="0" t="n">
        <f aca="false">ROW()-1</f>
        <v>545</v>
      </c>
      <c r="B546" s="0" t="str">
        <f aca="false">'Analysis Data'!A546</f>
        <v>Hingham</v>
      </c>
      <c r="C546" s="5" t="n">
        <f aca="false">'Analysis Data'!B546</f>
        <v>40337</v>
      </c>
      <c r="D546" s="6" t="n">
        <f aca="false">'Analysis Data'!C546</f>
        <v>70.2258250835163</v>
      </c>
      <c r="E546" s="15" t="n">
        <f aca="false">SUMPRODUCT('Final Model'!$B$45:$I$45,'Analysis Data'!N546:U546)</f>
        <v>174.461452746689</v>
      </c>
      <c r="F546" s="15" t="n">
        <f aca="false">D546-E546</f>
        <v>-104.235627663173</v>
      </c>
      <c r="G546" s="13" t="n">
        <f aca="false">F546/'Final Model'!$B$21</f>
        <v>-2.12586848945371</v>
      </c>
      <c r="H546" s="6" t="n">
        <f aca="false">F546^2</f>
        <v>10865.0660743356</v>
      </c>
      <c r="J546" s="6" t="n">
        <f aca="false">A546</f>
        <v>545</v>
      </c>
      <c r="K546" s="13" t="n">
        <f aca="false">SMALL($G$2:$G$1387,J546)</f>
        <v>-0.263717352801854</v>
      </c>
      <c r="L546" s="18" t="n">
        <f aca="false">(J546-0.5)/1386</f>
        <v>0.392857142857143</v>
      </c>
      <c r="M546" s="18" t="n">
        <f aca="false">_xlfn.NORM.DIST(K546,AVERAGE($G$2:$G$1387),_xlfn.STDEV.S($G$2:$G$1387),TRUE())</f>
        <v>0.395741124517572</v>
      </c>
    </row>
    <row r="547" customFormat="false" ht="15" hidden="false" customHeight="false" outlineLevel="0" collapsed="false">
      <c r="A547" s="0" t="n">
        <f aca="false">ROW()-1</f>
        <v>546</v>
      </c>
      <c r="B547" s="0" t="str">
        <f aca="false">'Analysis Data'!A547</f>
        <v>Hingham</v>
      </c>
      <c r="C547" s="5" t="n">
        <f aca="false">'Analysis Data'!B547</f>
        <v>40344</v>
      </c>
      <c r="D547" s="6" t="n">
        <f aca="false">'Analysis Data'!C547</f>
        <v>149.169702827921</v>
      </c>
      <c r="E547" s="15" t="n">
        <f aca="false">SUMPRODUCT('Final Model'!$B$45:$I$45,'Analysis Data'!N547:U547)</f>
        <v>174.461452746689</v>
      </c>
      <c r="F547" s="15" t="n">
        <f aca="false">D547-E547</f>
        <v>-25.2917499187681</v>
      </c>
      <c r="G547" s="13" t="n">
        <f aca="false">F547/'Final Model'!$B$21</f>
        <v>-0.51582108153265</v>
      </c>
      <c r="H547" s="6" t="n">
        <f aca="false">F547^2</f>
        <v>639.672613953509</v>
      </c>
      <c r="J547" s="6" t="n">
        <f aca="false">A547</f>
        <v>546</v>
      </c>
      <c r="K547" s="13" t="n">
        <f aca="false">SMALL($G$2:$G$1387,J547)</f>
        <v>-0.259210109883133</v>
      </c>
      <c r="L547" s="18" t="n">
        <f aca="false">(J547-0.5)/1386</f>
        <v>0.393578643578644</v>
      </c>
      <c r="M547" s="18" t="n">
        <f aca="false">_xlfn.NORM.DIST(K547,AVERAGE($G$2:$G$1387),_xlfn.STDEV.S($G$2:$G$1387),TRUE())</f>
        <v>0.397482934025902</v>
      </c>
    </row>
    <row r="548" customFormat="false" ht="15" hidden="false" customHeight="false" outlineLevel="0" collapsed="false">
      <c r="A548" s="0" t="n">
        <f aca="false">ROW()-1</f>
        <v>547</v>
      </c>
      <c r="B548" s="0" t="str">
        <f aca="false">'Analysis Data'!A548</f>
        <v>Hingham</v>
      </c>
      <c r="C548" s="5" t="n">
        <f aca="false">'Analysis Data'!B548</f>
        <v>40351</v>
      </c>
      <c r="D548" s="6" t="n">
        <f aca="false">'Analysis Data'!C548</f>
        <v>224.324098993998</v>
      </c>
      <c r="E548" s="15" t="n">
        <f aca="false">SUMPRODUCT('Final Model'!$B$45:$I$45,'Analysis Data'!N548:U548)</f>
        <v>183.800247938187</v>
      </c>
      <c r="F548" s="15" t="n">
        <f aca="false">D548-E548</f>
        <v>40.5238510558108</v>
      </c>
      <c r="G548" s="13" t="n">
        <f aca="false">F548/'Final Model'!$B$21</f>
        <v>0.826477280006826</v>
      </c>
      <c r="H548" s="6" t="n">
        <f aca="false">F548^2</f>
        <v>1642.18250439354</v>
      </c>
      <c r="J548" s="6" t="n">
        <f aca="false">A548</f>
        <v>547</v>
      </c>
      <c r="K548" s="13" t="n">
        <f aca="false">SMALL($G$2:$G$1387,J548)</f>
        <v>-0.258558129967061</v>
      </c>
      <c r="L548" s="18" t="n">
        <f aca="false">(J548-0.5)/1386</f>
        <v>0.394300144300144</v>
      </c>
      <c r="M548" s="18" t="n">
        <f aca="false">_xlfn.NORM.DIST(K548,AVERAGE($G$2:$G$1387),_xlfn.STDEV.S($G$2:$G$1387),TRUE())</f>
        <v>0.397735059775742</v>
      </c>
    </row>
    <row r="549" customFormat="false" ht="15" hidden="false" customHeight="false" outlineLevel="0" collapsed="false">
      <c r="A549" s="0" t="n">
        <f aca="false">ROW()-1</f>
        <v>548</v>
      </c>
      <c r="B549" s="0" t="str">
        <f aca="false">'Analysis Data'!A549</f>
        <v>Hingham</v>
      </c>
      <c r="C549" s="5" t="n">
        <f aca="false">'Analysis Data'!B549</f>
        <v>40358</v>
      </c>
      <c r="D549" s="6" t="n">
        <f aca="false">'Analysis Data'!C549</f>
        <v>215.388546873508</v>
      </c>
      <c r="E549" s="15" t="n">
        <f aca="false">SUMPRODUCT('Final Model'!$B$45:$I$45,'Analysis Data'!N549:U549)</f>
        <v>174.461452746689</v>
      </c>
      <c r="F549" s="15" t="n">
        <f aca="false">D549-E549</f>
        <v>40.9270941268188</v>
      </c>
      <c r="G549" s="13" t="n">
        <f aca="false">F549/'Final Model'!$B$21</f>
        <v>0.834701356145327</v>
      </c>
      <c r="H549" s="6" t="n">
        <f aca="false">F549^2</f>
        <v>1675.02703366548</v>
      </c>
      <c r="J549" s="6" t="n">
        <f aca="false">A549</f>
        <v>548</v>
      </c>
      <c r="K549" s="13" t="n">
        <f aca="false">SMALL($G$2:$G$1387,J549)</f>
        <v>-0.257589624506641</v>
      </c>
      <c r="L549" s="18" t="n">
        <f aca="false">(J549-0.5)/1386</f>
        <v>0.395021645021645</v>
      </c>
      <c r="M549" s="18" t="n">
        <f aca="false">_xlfn.NORM.DIST(K549,AVERAGE($G$2:$G$1387),_xlfn.STDEV.S($G$2:$G$1387),TRUE())</f>
        <v>0.398109667274504</v>
      </c>
    </row>
    <row r="550" customFormat="false" ht="15" hidden="false" customHeight="false" outlineLevel="0" collapsed="false">
      <c r="A550" s="0" t="n">
        <f aca="false">ROW()-1</f>
        <v>549</v>
      </c>
      <c r="B550" s="0" t="str">
        <f aca="false">'Analysis Data'!A550</f>
        <v>Hingham</v>
      </c>
      <c r="C550" s="5" t="n">
        <f aca="false">'Analysis Data'!B550</f>
        <v>40365</v>
      </c>
      <c r="D550" s="6" t="n">
        <f aca="false">'Analysis Data'!C550</f>
        <v>169.506545440507</v>
      </c>
      <c r="E550" s="15" t="n">
        <f aca="false">SUMPRODUCT('Final Model'!$B$45:$I$45,'Analysis Data'!N550:U550)</f>
        <v>193.935007938767</v>
      </c>
      <c r="F550" s="15" t="n">
        <f aca="false">D550-E550</f>
        <v>-24.42846249826</v>
      </c>
      <c r="G550" s="13" t="n">
        <f aca="false">F550/'Final Model'!$B$21</f>
        <v>-0.498214476519148</v>
      </c>
      <c r="H550" s="6" t="n">
        <f aca="false">F550^2</f>
        <v>596.749780028898</v>
      </c>
      <c r="J550" s="6" t="n">
        <f aca="false">A550</f>
        <v>549</v>
      </c>
      <c r="K550" s="13" t="n">
        <f aca="false">SMALL($G$2:$G$1387,J550)</f>
        <v>-0.256798989714548</v>
      </c>
      <c r="L550" s="18" t="n">
        <f aca="false">(J550-0.5)/1386</f>
        <v>0.395743145743146</v>
      </c>
      <c r="M550" s="18" t="n">
        <f aca="false">_xlfn.NORM.DIST(K550,AVERAGE($G$2:$G$1387),_xlfn.STDEV.S($G$2:$G$1387),TRUE())</f>
        <v>0.398415545973452</v>
      </c>
    </row>
    <row r="551" customFormat="false" ht="15" hidden="false" customHeight="false" outlineLevel="0" collapsed="false">
      <c r="A551" s="0" t="n">
        <f aca="false">ROW()-1</f>
        <v>550</v>
      </c>
      <c r="B551" s="0" t="str">
        <f aca="false">'Analysis Data'!A551</f>
        <v>Hingham</v>
      </c>
      <c r="C551" s="5" t="n">
        <f aca="false">'Analysis Data'!B551</f>
        <v>40372</v>
      </c>
      <c r="D551" s="6" t="n">
        <f aca="false">'Analysis Data'!C551</f>
        <v>210.362182258157</v>
      </c>
      <c r="E551" s="15" t="n">
        <f aca="false">SUMPRODUCT('Final Model'!$B$45:$I$45,'Analysis Data'!N551:U551)</f>
        <v>199.240962446692</v>
      </c>
      <c r="F551" s="15" t="n">
        <f aca="false">D551-E551</f>
        <v>11.1212198114654</v>
      </c>
      <c r="G551" s="13" t="n">
        <f aca="false">F551/'Final Model'!$B$21</f>
        <v>0.226815449683675</v>
      </c>
      <c r="H551" s="6" t="n">
        <f aca="false">F551^2</f>
        <v>123.681530094931</v>
      </c>
      <c r="J551" s="6" t="n">
        <f aca="false">A551</f>
        <v>550</v>
      </c>
      <c r="K551" s="13" t="n">
        <f aca="false">SMALL($G$2:$G$1387,J551)</f>
        <v>-0.253791478234891</v>
      </c>
      <c r="L551" s="18" t="n">
        <f aca="false">(J551-0.5)/1386</f>
        <v>0.396464646464646</v>
      </c>
      <c r="M551" s="18" t="n">
        <f aca="false">_xlfn.NORM.DIST(K551,AVERAGE($G$2:$G$1387),_xlfn.STDEV.S($G$2:$G$1387),TRUE())</f>
        <v>0.399579652908248</v>
      </c>
    </row>
    <row r="552" customFormat="false" ht="15" hidden="false" customHeight="false" outlineLevel="0" collapsed="false">
      <c r="A552" s="0" t="n">
        <f aca="false">ROW()-1</f>
        <v>551</v>
      </c>
      <c r="B552" s="0" t="str">
        <f aca="false">'Analysis Data'!A552</f>
        <v>Newtonville</v>
      </c>
      <c r="C552" s="5" t="n">
        <f aca="false">'Analysis Data'!B552</f>
        <v>40302</v>
      </c>
      <c r="D552" s="6" t="n">
        <f aca="false">'Analysis Data'!C552</f>
        <v>221.568122737417</v>
      </c>
      <c r="E552" s="15" t="n">
        <f aca="false">SUMPRODUCT('Final Model'!$B$45:$I$45,'Analysis Data'!N552:U552)</f>
        <v>183.01216395001</v>
      </c>
      <c r="F552" s="15" t="n">
        <f aca="false">D552-E552</f>
        <v>38.5559587874078</v>
      </c>
      <c r="G552" s="13" t="n">
        <f aca="false">F552/'Final Model'!$B$21</f>
        <v>0.786342440721779</v>
      </c>
      <c r="H552" s="6" t="n">
        <f aca="false">F552^2</f>
        <v>1486.56195801629</v>
      </c>
      <c r="J552" s="6" t="n">
        <f aca="false">A552</f>
        <v>551</v>
      </c>
      <c r="K552" s="13" t="n">
        <f aca="false">SMALL($G$2:$G$1387,J552)</f>
        <v>-0.251171157233316</v>
      </c>
      <c r="L552" s="18" t="n">
        <f aca="false">(J552-0.5)/1386</f>
        <v>0.397186147186147</v>
      </c>
      <c r="M552" s="18" t="n">
        <f aca="false">_xlfn.NORM.DIST(K552,AVERAGE($G$2:$G$1387),_xlfn.STDEV.S($G$2:$G$1387),TRUE())</f>
        <v>0.40059462000187</v>
      </c>
    </row>
    <row r="553" customFormat="false" ht="15" hidden="false" customHeight="false" outlineLevel="0" collapsed="false">
      <c r="A553" s="0" t="n">
        <f aca="false">ROW()-1</f>
        <v>552</v>
      </c>
      <c r="B553" s="0" t="str">
        <f aca="false">'Analysis Data'!A553</f>
        <v>Newtonville</v>
      </c>
      <c r="C553" s="5" t="n">
        <f aca="false">'Analysis Data'!B553</f>
        <v>40309</v>
      </c>
      <c r="D553" s="6" t="n">
        <f aca="false">'Analysis Data'!C553</f>
        <v>202.832694760185</v>
      </c>
      <c r="E553" s="15" t="n">
        <f aca="false">SUMPRODUCT('Final Model'!$B$45:$I$45,'Analysis Data'!N553:U553)</f>
        <v>183.01216395001</v>
      </c>
      <c r="F553" s="15" t="n">
        <f aca="false">D553-E553</f>
        <v>19.8205308101758</v>
      </c>
      <c r="G553" s="13" t="n">
        <f aca="false">F553/'Final Model'!$B$21</f>
        <v>0.404236467302302</v>
      </c>
      <c r="H553" s="6" t="n">
        <f aca="false">F553^2</f>
        <v>392.853441597129</v>
      </c>
      <c r="J553" s="6" t="n">
        <f aca="false">A553</f>
        <v>552</v>
      </c>
      <c r="K553" s="13" t="n">
        <f aca="false">SMALL($G$2:$G$1387,J553)</f>
        <v>-0.250447847004479</v>
      </c>
      <c r="L553" s="18" t="n">
        <f aca="false">(J553-0.5)/1386</f>
        <v>0.397907647907648</v>
      </c>
      <c r="M553" s="18" t="n">
        <f aca="false">_xlfn.NORM.DIST(K553,AVERAGE($G$2:$G$1387),_xlfn.STDEV.S($G$2:$G$1387),TRUE())</f>
        <v>0.400874908848913</v>
      </c>
    </row>
    <row r="554" customFormat="false" ht="15" hidden="false" customHeight="false" outlineLevel="0" collapsed="false">
      <c r="A554" s="0" t="n">
        <f aca="false">ROW()-1</f>
        <v>553</v>
      </c>
      <c r="B554" s="0" t="str">
        <f aca="false">'Analysis Data'!A554</f>
        <v>Newtonville</v>
      </c>
      <c r="C554" s="5" t="n">
        <f aca="false">'Analysis Data'!B554</f>
        <v>40316</v>
      </c>
      <c r="D554" s="6" t="n">
        <f aca="false">'Analysis Data'!C554</f>
        <v>208.254155482065</v>
      </c>
      <c r="E554" s="15" t="n">
        <f aca="false">SUMPRODUCT('Final Model'!$B$45:$I$45,'Analysis Data'!N554:U554)</f>
        <v>186.873775461186</v>
      </c>
      <c r="F554" s="15" t="n">
        <f aca="false">D554-E554</f>
        <v>21.3803800208787</v>
      </c>
      <c r="G554" s="13" t="n">
        <f aca="false">F554/'Final Model'!$B$21</f>
        <v>0.436049335509398</v>
      </c>
      <c r="H554" s="6" t="n">
        <f aca="false">F554^2</f>
        <v>457.120649837189</v>
      </c>
      <c r="J554" s="6" t="n">
        <f aca="false">A554</f>
        <v>553</v>
      </c>
      <c r="K554" s="13" t="n">
        <f aca="false">SMALL($G$2:$G$1387,J554)</f>
        <v>-0.248670463567174</v>
      </c>
      <c r="L554" s="18" t="n">
        <f aca="false">(J554-0.5)/1386</f>
        <v>0.398629148629149</v>
      </c>
      <c r="M554" s="18" t="n">
        <f aca="false">_xlfn.NORM.DIST(K554,AVERAGE($G$2:$G$1387),_xlfn.STDEV.S($G$2:$G$1387),TRUE())</f>
        <v>0.401563876512741</v>
      </c>
    </row>
    <row r="555" customFormat="false" ht="15" hidden="false" customHeight="false" outlineLevel="0" collapsed="false">
      <c r="A555" s="0" t="n">
        <f aca="false">ROW()-1</f>
        <v>554</v>
      </c>
      <c r="B555" s="0" t="str">
        <f aca="false">'Analysis Data'!A555</f>
        <v>Newtonville</v>
      </c>
      <c r="C555" s="5" t="n">
        <f aca="false">'Analysis Data'!B555</f>
        <v>40323</v>
      </c>
      <c r="D555" s="6" t="n">
        <f aca="false">'Analysis Data'!C555</f>
        <v>129.618618346615</v>
      </c>
      <c r="E555" s="15" t="n">
        <f aca="false">SUMPRODUCT('Final Model'!$B$45:$I$45,'Analysis Data'!N555:U555)</f>
        <v>191.365854167319</v>
      </c>
      <c r="F555" s="15" t="n">
        <f aca="false">D555-E555</f>
        <v>-61.7472358207036</v>
      </c>
      <c r="G555" s="13" t="n">
        <f aca="false">F555/'Final Model'!$B$21</f>
        <v>-1.25932472308101</v>
      </c>
      <c r="H555" s="6" t="n">
        <f aca="false">F555^2</f>
        <v>3812.72113149758</v>
      </c>
      <c r="J555" s="6" t="n">
        <f aca="false">A555</f>
        <v>554</v>
      </c>
      <c r="K555" s="13" t="n">
        <f aca="false">SMALL($G$2:$G$1387,J555)</f>
        <v>-0.24796389485286</v>
      </c>
      <c r="L555" s="18" t="n">
        <f aca="false">(J555-0.5)/1386</f>
        <v>0.399350649350649</v>
      </c>
      <c r="M555" s="18" t="n">
        <f aca="false">_xlfn.NORM.DIST(K555,AVERAGE($G$2:$G$1387),_xlfn.STDEV.S($G$2:$G$1387),TRUE())</f>
        <v>0.401837849102194</v>
      </c>
    </row>
    <row r="556" customFormat="false" ht="15" hidden="false" customHeight="false" outlineLevel="0" collapsed="false">
      <c r="A556" s="0" t="n">
        <f aca="false">ROW()-1</f>
        <v>555</v>
      </c>
      <c r="B556" s="0" t="str">
        <f aca="false">'Analysis Data'!A556</f>
        <v>Newtonville</v>
      </c>
      <c r="C556" s="5" t="n">
        <f aca="false">'Analysis Data'!B556</f>
        <v>40330</v>
      </c>
      <c r="D556" s="6" t="n">
        <f aca="false">'Analysis Data'!C556</f>
        <v>145.55554708939</v>
      </c>
      <c r="E556" s="15" t="n">
        <f aca="false">SUMPRODUCT('Final Model'!$B$45:$I$45,'Analysis Data'!N556:U556)</f>
        <v>186.873775461186</v>
      </c>
      <c r="F556" s="15" t="n">
        <f aca="false">D556-E556</f>
        <v>-41.3182283717963</v>
      </c>
      <c r="G556" s="13" t="n">
        <f aca="false">F556/'Final Model'!$B$21</f>
        <v>-0.842678474767675</v>
      </c>
      <c r="H556" s="6" t="n">
        <f aca="false">F556^2</f>
        <v>1707.19599578391</v>
      </c>
      <c r="J556" s="6" t="n">
        <f aca="false">A556</f>
        <v>555</v>
      </c>
      <c r="K556" s="13" t="n">
        <f aca="false">SMALL($G$2:$G$1387,J556)</f>
        <v>-0.246697595474791</v>
      </c>
      <c r="L556" s="18" t="n">
        <f aca="false">(J556-0.5)/1386</f>
        <v>0.40007215007215</v>
      </c>
      <c r="M556" s="18" t="n">
        <f aca="false">_xlfn.NORM.DIST(K556,AVERAGE($G$2:$G$1387),_xlfn.STDEV.S($G$2:$G$1387),TRUE())</f>
        <v>0.402328978344631</v>
      </c>
    </row>
    <row r="557" customFormat="false" ht="15" hidden="false" customHeight="false" outlineLevel="0" collapsed="false">
      <c r="A557" s="0" t="n">
        <f aca="false">ROW()-1</f>
        <v>556</v>
      </c>
      <c r="B557" s="0" t="str">
        <f aca="false">'Analysis Data'!A557</f>
        <v>Newtonville</v>
      </c>
      <c r="C557" s="5" t="n">
        <f aca="false">'Analysis Data'!B557</f>
        <v>40337</v>
      </c>
      <c r="D557" s="6" t="n">
        <f aca="false">'Analysis Data'!C557</f>
        <v>206.058247131961</v>
      </c>
      <c r="E557" s="15" t="n">
        <f aca="false">SUMPRODUCT('Final Model'!$B$45:$I$45,'Analysis Data'!N557:U557)</f>
        <v>172.451838583457</v>
      </c>
      <c r="F557" s="15" t="n">
        <f aca="false">D557-E557</f>
        <v>33.606408548504</v>
      </c>
      <c r="G557" s="13" t="n">
        <f aca="false">F557/'Final Model'!$B$21</f>
        <v>0.685397177324365</v>
      </c>
      <c r="H557" s="6" t="n">
        <f aca="false">F557^2</f>
        <v>1129.39069552896</v>
      </c>
      <c r="J557" s="6" t="n">
        <f aca="false">A557</f>
        <v>556</v>
      </c>
      <c r="K557" s="13" t="n">
        <f aca="false">SMALL($G$2:$G$1387,J557)</f>
        <v>-0.245838149647361</v>
      </c>
      <c r="L557" s="18" t="n">
        <f aca="false">(J557-0.5)/1386</f>
        <v>0.400793650793651</v>
      </c>
      <c r="M557" s="18" t="n">
        <f aca="false">_xlfn.NORM.DIST(K557,AVERAGE($G$2:$G$1387),_xlfn.STDEV.S($G$2:$G$1387),TRUE())</f>
        <v>0.402662398940373</v>
      </c>
    </row>
    <row r="558" customFormat="false" ht="15" hidden="false" customHeight="false" outlineLevel="0" collapsed="false">
      <c r="A558" s="0" t="n">
        <f aca="false">ROW()-1</f>
        <v>557</v>
      </c>
      <c r="B558" s="0" t="str">
        <f aca="false">'Analysis Data'!A558</f>
        <v>Newtonville</v>
      </c>
      <c r="C558" s="5" t="n">
        <f aca="false">'Analysis Data'!B558</f>
        <v>40344</v>
      </c>
      <c r="D558" s="6" t="n">
        <f aca="false">'Analysis Data'!C558</f>
        <v>164.598748956727</v>
      </c>
      <c r="E558" s="15" t="n">
        <f aca="false">SUMPRODUCT('Final Model'!$B$45:$I$45,'Analysis Data'!N558:U558)</f>
        <v>169.772353054546</v>
      </c>
      <c r="F558" s="15" t="n">
        <f aca="false">D558-E558</f>
        <v>-5.17360409781938</v>
      </c>
      <c r="G558" s="13" t="n">
        <f aca="false">F558/'Final Model'!$B$21</f>
        <v>-0.105514805014683</v>
      </c>
      <c r="H558" s="6" t="n">
        <f aca="false">F558^2</f>
        <v>26.7661793609735</v>
      </c>
      <c r="J558" s="6" t="n">
        <f aca="false">A558</f>
        <v>557</v>
      </c>
      <c r="K558" s="13" t="n">
        <f aca="false">SMALL($G$2:$G$1387,J558)</f>
        <v>-0.243239518632575</v>
      </c>
      <c r="L558" s="18" t="n">
        <f aca="false">(J558-0.5)/1386</f>
        <v>0.401515151515152</v>
      </c>
      <c r="M558" s="18" t="n">
        <f aca="false">_xlfn.NORM.DIST(K558,AVERAGE($G$2:$G$1387),_xlfn.STDEV.S($G$2:$G$1387),TRUE())</f>
        <v>0.403670963359484</v>
      </c>
    </row>
    <row r="559" customFormat="false" ht="15" hidden="false" customHeight="false" outlineLevel="0" collapsed="false">
      <c r="A559" s="0" t="n">
        <f aca="false">ROW()-1</f>
        <v>558</v>
      </c>
      <c r="B559" s="0" t="str">
        <f aca="false">'Analysis Data'!A559</f>
        <v>Newtonville</v>
      </c>
      <c r="C559" s="5" t="n">
        <f aca="false">'Analysis Data'!B559</f>
        <v>40351</v>
      </c>
      <c r="D559" s="6" t="n">
        <f aca="false">'Analysis Data'!C559</f>
        <v>181.200278962401</v>
      </c>
      <c r="E559" s="15" t="n">
        <f aca="false">SUMPRODUCT('Final Model'!$B$45:$I$45,'Analysis Data'!N559:U559)</f>
        <v>172.451838583457</v>
      </c>
      <c r="F559" s="15" t="n">
        <f aca="false">D559-E559</f>
        <v>8.74844037894488</v>
      </c>
      <c r="G559" s="13" t="n">
        <f aca="false">F559/'Final Model'!$B$21</f>
        <v>0.178423003251451</v>
      </c>
      <c r="H559" s="6" t="n">
        <f aca="false">F559^2</f>
        <v>76.5352090639532</v>
      </c>
      <c r="J559" s="6" t="n">
        <f aca="false">A559</f>
        <v>558</v>
      </c>
      <c r="K559" s="13" t="n">
        <f aca="false">SMALL($G$2:$G$1387,J559)</f>
        <v>-0.242895689281265</v>
      </c>
      <c r="L559" s="18" t="n">
        <f aca="false">(J559-0.5)/1386</f>
        <v>0.402236652236652</v>
      </c>
      <c r="M559" s="18" t="n">
        <f aca="false">_xlfn.NORM.DIST(K559,AVERAGE($G$2:$G$1387),_xlfn.STDEV.S($G$2:$G$1387),TRUE())</f>
        <v>0.403804456409323</v>
      </c>
    </row>
    <row r="560" customFormat="false" ht="15" hidden="false" customHeight="false" outlineLevel="0" collapsed="false">
      <c r="A560" s="0" t="n">
        <f aca="false">ROW()-1</f>
        <v>559</v>
      </c>
      <c r="B560" s="0" t="str">
        <f aca="false">'Analysis Data'!A560</f>
        <v>Newtonville</v>
      </c>
      <c r="C560" s="5" t="n">
        <f aca="false">'Analysis Data'!B560</f>
        <v>40358</v>
      </c>
      <c r="D560" s="6" t="n">
        <f aca="false">'Analysis Data'!C560</f>
        <v>231.439086213573</v>
      </c>
      <c r="E560" s="15" t="n">
        <f aca="false">SUMPRODUCT('Final Model'!$B$45:$I$45,'Analysis Data'!N560:U560)</f>
        <v>172.451838583457</v>
      </c>
      <c r="F560" s="15" t="n">
        <f aca="false">D560-E560</f>
        <v>58.9872476301164</v>
      </c>
      <c r="G560" s="13" t="n">
        <f aca="false">F560/'Final Model'!$B$21</f>
        <v>1.20303521768662</v>
      </c>
      <c r="H560" s="6" t="n">
        <f aca="false">F560^2</f>
        <v>3479.49538297667</v>
      </c>
      <c r="J560" s="6" t="n">
        <f aca="false">A560</f>
        <v>559</v>
      </c>
      <c r="K560" s="13" t="n">
        <f aca="false">SMALL($G$2:$G$1387,J560)</f>
        <v>-0.242521209078018</v>
      </c>
      <c r="L560" s="18" t="n">
        <f aca="false">(J560-0.5)/1386</f>
        <v>0.402958152958153</v>
      </c>
      <c r="M560" s="18" t="n">
        <f aca="false">_xlfn.NORM.DIST(K560,AVERAGE($G$2:$G$1387),_xlfn.STDEV.S($G$2:$G$1387),TRUE())</f>
        <v>0.403949862516852</v>
      </c>
    </row>
    <row r="561" customFormat="false" ht="15" hidden="false" customHeight="false" outlineLevel="0" collapsed="false">
      <c r="A561" s="0" t="n">
        <f aca="false">ROW()-1</f>
        <v>560</v>
      </c>
      <c r="B561" s="0" t="str">
        <f aca="false">'Analysis Data'!A561</f>
        <v>Newtonville</v>
      </c>
      <c r="C561" s="5" t="n">
        <f aca="false">'Analysis Data'!B561</f>
        <v>40365</v>
      </c>
      <c r="D561" s="6" t="n">
        <f aca="false">'Analysis Data'!C561</f>
        <v>47.559851899868</v>
      </c>
      <c r="E561" s="15" t="n">
        <f aca="false">SUMPRODUCT('Final Model'!$B$45:$I$45,'Analysis Data'!N561:U561)</f>
        <v>181.814276303868</v>
      </c>
      <c r="F561" s="15" t="n">
        <f aca="false">D561-E561</f>
        <v>-134.254424404</v>
      </c>
      <c r="G561" s="13" t="n">
        <f aca="false">F561/'Final Model'!$B$21</f>
        <v>-2.73809691377762</v>
      </c>
      <c r="H561" s="6" t="n">
        <f aca="false">F561^2</f>
        <v>18024.2504720492</v>
      </c>
      <c r="J561" s="6" t="n">
        <f aca="false">A561</f>
        <v>560</v>
      </c>
      <c r="K561" s="13" t="n">
        <f aca="false">SMALL($G$2:$G$1387,J561)</f>
        <v>-0.242405385141433</v>
      </c>
      <c r="L561" s="18" t="n">
        <f aca="false">(J561-0.5)/1386</f>
        <v>0.403679653679654</v>
      </c>
      <c r="M561" s="18" t="n">
        <f aca="false">_xlfn.NORM.DIST(K561,AVERAGE($G$2:$G$1387),_xlfn.STDEV.S($G$2:$G$1387),TRUE())</f>
        <v>0.403994838230936</v>
      </c>
    </row>
    <row r="562" customFormat="false" ht="15" hidden="false" customHeight="false" outlineLevel="0" collapsed="false">
      <c r="A562" s="0" t="n">
        <f aca="false">ROW()-1</f>
        <v>561</v>
      </c>
      <c r="B562" s="0" t="str">
        <f aca="false">'Analysis Data'!A562</f>
        <v>Newtonville</v>
      </c>
      <c r="C562" s="5" t="n">
        <f aca="false">'Analysis Data'!B562</f>
        <v>40372</v>
      </c>
      <c r="D562" s="6" t="n">
        <f aca="false">'Analysis Data'!C562</f>
        <v>222.812189491706</v>
      </c>
      <c r="E562" s="15" t="n">
        <f aca="false">SUMPRODUCT('Final Model'!$B$45:$I$45,'Analysis Data'!N562:U562)</f>
        <v>201.01200210229</v>
      </c>
      <c r="F562" s="15" t="n">
        <f aca="false">D562-E562</f>
        <v>21.8001873894162</v>
      </c>
      <c r="G562" s="13" t="n">
        <f aca="false">F562/'Final Model'!$B$21</f>
        <v>0.444611237772779</v>
      </c>
      <c r="H562" s="6" t="n">
        <f aca="false">F562^2</f>
        <v>475.24817021366</v>
      </c>
      <c r="J562" s="6" t="n">
        <f aca="false">A562</f>
        <v>561</v>
      </c>
      <c r="K562" s="13" t="n">
        <f aca="false">SMALL($G$2:$G$1387,J562)</f>
        <v>-0.240752033674769</v>
      </c>
      <c r="L562" s="18" t="n">
        <f aca="false">(J562-0.5)/1386</f>
        <v>0.404401154401154</v>
      </c>
      <c r="M562" s="18" t="n">
        <f aca="false">_xlfn.NORM.DIST(K562,AVERAGE($G$2:$G$1387),_xlfn.STDEV.S($G$2:$G$1387),TRUE())</f>
        <v>0.40463699096239</v>
      </c>
    </row>
    <row r="563" customFormat="false" ht="15" hidden="false" customHeight="false" outlineLevel="0" collapsed="false">
      <c r="A563" s="0" t="n">
        <f aca="false">ROW()-1</f>
        <v>562</v>
      </c>
      <c r="B563" s="0" t="str">
        <f aca="false">'Analysis Data'!A563</f>
        <v>Portland ME (aka Portland)</v>
      </c>
      <c r="C563" s="5" t="n">
        <f aca="false">'Analysis Data'!B563</f>
        <v>40302</v>
      </c>
      <c r="D563" s="6" t="n">
        <f aca="false">'Analysis Data'!C563</f>
        <v>148.395353516327</v>
      </c>
      <c r="E563" s="15" t="n">
        <f aca="false">SUMPRODUCT('Final Model'!$B$45:$I$45,'Analysis Data'!N563:U563)</f>
        <v>174.461452746689</v>
      </c>
      <c r="F563" s="15" t="n">
        <f aca="false">D563-E563</f>
        <v>-26.0660992303619</v>
      </c>
      <c r="G563" s="13" t="n">
        <f aca="false">F563/'Final Model'!$B$21</f>
        <v>-0.531613808436609</v>
      </c>
      <c r="H563" s="6" t="n">
        <f aca="false">F563^2</f>
        <v>679.441529087071</v>
      </c>
      <c r="J563" s="6" t="n">
        <f aca="false">A563</f>
        <v>562</v>
      </c>
      <c r="K563" s="13" t="n">
        <f aca="false">SMALL($G$2:$G$1387,J563)</f>
        <v>-0.239484003404794</v>
      </c>
      <c r="L563" s="18" t="n">
        <f aca="false">(J563-0.5)/1386</f>
        <v>0.405122655122655</v>
      </c>
      <c r="M563" s="18" t="n">
        <f aca="false">_xlfn.NORM.DIST(K563,AVERAGE($G$2:$G$1387),_xlfn.STDEV.S($G$2:$G$1387),TRUE())</f>
        <v>0.405129661228818</v>
      </c>
    </row>
    <row r="564" customFormat="false" ht="15" hidden="false" customHeight="false" outlineLevel="0" collapsed="false">
      <c r="A564" s="0" t="n">
        <f aca="false">ROW()-1</f>
        <v>563</v>
      </c>
      <c r="B564" s="0" t="str">
        <f aca="false">'Analysis Data'!A564</f>
        <v>Portland ME (aka Portland)</v>
      </c>
      <c r="C564" s="5" t="n">
        <f aca="false">'Analysis Data'!B564</f>
        <v>40309</v>
      </c>
      <c r="D564" s="6" t="n">
        <f aca="false">'Analysis Data'!C564</f>
        <v>182.425078741369</v>
      </c>
      <c r="E564" s="15" t="n">
        <f aca="false">SUMPRODUCT('Final Model'!$B$45:$I$45,'Analysis Data'!N564:U564)</f>
        <v>174.461452746689</v>
      </c>
      <c r="F564" s="15" t="n">
        <f aca="false">D564-E564</f>
        <v>7.96362599467975</v>
      </c>
      <c r="G564" s="13" t="n">
        <f aca="false">F564/'Final Model'!$B$21</f>
        <v>0.162416842910857</v>
      </c>
      <c r="H564" s="6" t="n">
        <f aca="false">F564^2</f>
        <v>63.419338983139</v>
      </c>
      <c r="J564" s="6" t="n">
        <f aca="false">A564</f>
        <v>563</v>
      </c>
      <c r="K564" s="13" t="n">
        <f aca="false">SMALL($G$2:$G$1387,J564)</f>
        <v>-0.237326450607144</v>
      </c>
      <c r="L564" s="18" t="n">
        <f aca="false">(J564-0.5)/1386</f>
        <v>0.405844155844156</v>
      </c>
      <c r="M564" s="18" t="n">
        <f aca="false">_xlfn.NORM.DIST(K564,AVERAGE($G$2:$G$1387),_xlfn.STDEV.S($G$2:$G$1387),TRUE())</f>
        <v>0.405968284658637</v>
      </c>
    </row>
    <row r="565" customFormat="false" ht="15" hidden="false" customHeight="false" outlineLevel="0" collapsed="false">
      <c r="A565" s="0" t="n">
        <f aca="false">ROW()-1</f>
        <v>564</v>
      </c>
      <c r="B565" s="0" t="str">
        <f aca="false">'Analysis Data'!A565</f>
        <v>Portland ME (aka Portland)</v>
      </c>
      <c r="C565" s="5" t="n">
        <f aca="false">'Analysis Data'!B565</f>
        <v>40316</v>
      </c>
      <c r="D565" s="6" t="n">
        <f aca="false">'Analysis Data'!C565</f>
        <v>178.364998735917</v>
      </c>
      <c r="E565" s="15" t="n">
        <f aca="false">SUMPRODUCT('Final Model'!$B$45:$I$45,'Analysis Data'!N565:U565)</f>
        <v>186.873775461186</v>
      </c>
      <c r="F565" s="15" t="n">
        <f aca="false">D565-E565</f>
        <v>-8.50877672526937</v>
      </c>
      <c r="G565" s="13" t="n">
        <f aca="false">F565/'Final Model'!$B$21</f>
        <v>-0.173535102436362</v>
      </c>
      <c r="H565" s="6" t="n">
        <f aca="false">F565^2</f>
        <v>72.3992813604858</v>
      </c>
      <c r="J565" s="6" t="n">
        <f aca="false">A565</f>
        <v>564</v>
      </c>
      <c r="K565" s="13" t="n">
        <f aca="false">SMALL($G$2:$G$1387,J565)</f>
        <v>-0.236844135011162</v>
      </c>
      <c r="L565" s="18" t="n">
        <f aca="false">(J565-0.5)/1386</f>
        <v>0.406565656565657</v>
      </c>
      <c r="M565" s="18" t="n">
        <f aca="false">_xlfn.NORM.DIST(K565,AVERAGE($G$2:$G$1387),_xlfn.STDEV.S($G$2:$G$1387),TRUE())</f>
        <v>0.406155816025107</v>
      </c>
    </row>
    <row r="566" customFormat="false" ht="15" hidden="false" customHeight="false" outlineLevel="0" collapsed="false">
      <c r="A566" s="0" t="n">
        <f aca="false">ROW()-1</f>
        <v>565</v>
      </c>
      <c r="B566" s="0" t="str">
        <f aca="false">'Analysis Data'!A566</f>
        <v>Portland ME (aka Portland)</v>
      </c>
      <c r="C566" s="5" t="n">
        <f aca="false">'Analysis Data'!B566</f>
        <v>40323</v>
      </c>
      <c r="D566" s="6" t="n">
        <f aca="false">'Analysis Data'!C566</f>
        <v>172.816010665747</v>
      </c>
      <c r="E566" s="15" t="n">
        <f aca="false">SUMPRODUCT('Final Model'!$B$45:$I$45,'Analysis Data'!N566:U566)</f>
        <v>186.873775461186</v>
      </c>
      <c r="F566" s="15" t="n">
        <f aca="false">D566-E566</f>
        <v>-14.0577647954391</v>
      </c>
      <c r="G566" s="13" t="n">
        <f aca="false">F566/'Final Model'!$B$21</f>
        <v>-0.286705801852567</v>
      </c>
      <c r="H566" s="6" t="n">
        <f aca="false">F566^2</f>
        <v>197.620751043887</v>
      </c>
      <c r="J566" s="6" t="n">
        <f aca="false">A566</f>
        <v>565</v>
      </c>
      <c r="K566" s="13" t="n">
        <f aca="false">SMALL($G$2:$G$1387,J566)</f>
        <v>-0.236039435209886</v>
      </c>
      <c r="L566" s="18" t="n">
        <f aca="false">(J566-0.5)/1386</f>
        <v>0.407287157287157</v>
      </c>
      <c r="M566" s="18" t="n">
        <f aca="false">_xlfn.NORM.DIST(K566,AVERAGE($G$2:$G$1387),_xlfn.STDEV.S($G$2:$G$1387),TRUE())</f>
        <v>0.406468743002086</v>
      </c>
    </row>
    <row r="567" customFormat="false" ht="15" hidden="false" customHeight="false" outlineLevel="0" collapsed="false">
      <c r="A567" s="0" t="n">
        <f aca="false">ROW()-1</f>
        <v>566</v>
      </c>
      <c r="B567" s="0" t="str">
        <f aca="false">'Analysis Data'!A567</f>
        <v>Portland ME (aka Portland)</v>
      </c>
      <c r="C567" s="5" t="n">
        <f aca="false">'Analysis Data'!B567</f>
        <v>40330</v>
      </c>
      <c r="D567" s="6" t="n">
        <f aca="false">'Analysis Data'!C567</f>
        <v>306.850543086761</v>
      </c>
      <c r="E567" s="15" t="n">
        <f aca="false">SUMPRODUCT('Final Model'!$B$45:$I$45,'Analysis Data'!N567:U567)</f>
        <v>186.873775461186</v>
      </c>
      <c r="F567" s="15" t="n">
        <f aca="false">D567-E567</f>
        <v>119.976767625574</v>
      </c>
      <c r="G567" s="13" t="n">
        <f aca="false">F567/'Final Model'!$B$21</f>
        <v>2.44690645108313</v>
      </c>
      <c r="H567" s="6" t="n">
        <f aca="false">F567^2</f>
        <v>14394.424769881</v>
      </c>
      <c r="J567" s="6" t="n">
        <f aca="false">A567</f>
        <v>566</v>
      </c>
      <c r="K567" s="13" t="n">
        <f aca="false">SMALL($G$2:$G$1387,J567)</f>
        <v>-0.23593996665291</v>
      </c>
      <c r="L567" s="18" t="n">
        <f aca="false">(J567-0.5)/1386</f>
        <v>0.408008658008658</v>
      </c>
      <c r="M567" s="18" t="n">
        <f aca="false">_xlfn.NORM.DIST(K567,AVERAGE($G$2:$G$1387),_xlfn.STDEV.S($G$2:$G$1387),TRUE())</f>
        <v>0.406507427908691</v>
      </c>
    </row>
    <row r="568" customFormat="false" ht="15" hidden="false" customHeight="false" outlineLevel="0" collapsed="false">
      <c r="A568" s="0" t="n">
        <f aca="false">ROW()-1</f>
        <v>567</v>
      </c>
      <c r="B568" s="0" t="str">
        <f aca="false">'Analysis Data'!A568</f>
        <v>Portland ME (aka Portland)</v>
      </c>
      <c r="C568" s="5" t="n">
        <f aca="false">'Analysis Data'!B568</f>
        <v>40337</v>
      </c>
      <c r="D568" s="6" t="n">
        <f aca="false">'Analysis Data'!C568</f>
        <v>172.191374476945</v>
      </c>
      <c r="E568" s="15" t="n">
        <f aca="false">SUMPRODUCT('Final Model'!$B$45:$I$45,'Analysis Data'!N568:U568)</f>
        <v>174.461452746689</v>
      </c>
      <c r="F568" s="15" t="n">
        <f aca="false">D568-E568</f>
        <v>-2.27007826974446</v>
      </c>
      <c r="G568" s="13" t="n">
        <f aca="false">F568/'Final Model'!$B$21</f>
        <v>-0.0462978731018698</v>
      </c>
      <c r="H568" s="6" t="n">
        <f aca="false">F568^2</f>
        <v>5.153255350766</v>
      </c>
      <c r="J568" s="6" t="n">
        <f aca="false">A568</f>
        <v>567</v>
      </c>
      <c r="K568" s="13" t="n">
        <f aca="false">SMALL($G$2:$G$1387,J568)</f>
        <v>-0.235594767042511</v>
      </c>
      <c r="L568" s="18" t="n">
        <f aca="false">(J568-0.5)/1386</f>
        <v>0.408730158730159</v>
      </c>
      <c r="M568" s="18" t="n">
        <f aca="false">_xlfn.NORM.DIST(K568,AVERAGE($G$2:$G$1387),_xlfn.STDEV.S($G$2:$G$1387),TRUE())</f>
        <v>0.406641688613263</v>
      </c>
    </row>
    <row r="569" customFormat="false" ht="15" hidden="false" customHeight="false" outlineLevel="0" collapsed="false">
      <c r="A569" s="0" t="n">
        <f aca="false">ROW()-1</f>
        <v>568</v>
      </c>
      <c r="B569" s="0" t="str">
        <f aca="false">'Analysis Data'!A569</f>
        <v>Portland ME (aka Portland)</v>
      </c>
      <c r="C569" s="5" t="n">
        <f aca="false">'Analysis Data'!B569</f>
        <v>40344</v>
      </c>
      <c r="D569" s="6" t="n">
        <f aca="false">'Analysis Data'!C569</f>
        <v>198.375692184898</v>
      </c>
      <c r="E569" s="15" t="n">
        <f aca="false">SUMPRODUCT('Final Model'!$B$45:$I$45,'Analysis Data'!N569:U569)</f>
        <v>174.461452746689</v>
      </c>
      <c r="F569" s="15" t="n">
        <f aca="false">D569-E569</f>
        <v>23.9142394382085</v>
      </c>
      <c r="G569" s="13" t="n">
        <f aca="false">F569/'Final Model'!$B$21</f>
        <v>0.48772698174964</v>
      </c>
      <c r="H569" s="6" t="n">
        <f aca="false">F569^2</f>
        <v>571.890847907969</v>
      </c>
      <c r="J569" s="6" t="n">
        <f aca="false">A569</f>
        <v>568</v>
      </c>
      <c r="K569" s="13" t="n">
        <f aca="false">SMALL($G$2:$G$1387,J569)</f>
        <v>-0.231308435614076</v>
      </c>
      <c r="L569" s="18" t="n">
        <f aca="false">(J569-0.5)/1386</f>
        <v>0.409451659451659</v>
      </c>
      <c r="M569" s="18" t="n">
        <f aca="false">_xlfn.NORM.DIST(K569,AVERAGE($G$2:$G$1387),_xlfn.STDEV.S($G$2:$G$1387),TRUE())</f>
        <v>0.408309708449028</v>
      </c>
    </row>
    <row r="570" customFormat="false" ht="15" hidden="false" customHeight="false" outlineLevel="0" collapsed="false">
      <c r="A570" s="0" t="n">
        <f aca="false">ROW()-1</f>
        <v>569</v>
      </c>
      <c r="B570" s="0" t="str">
        <f aca="false">'Analysis Data'!A570</f>
        <v>Portland ME (aka Portland)</v>
      </c>
      <c r="C570" s="5" t="n">
        <f aca="false">'Analysis Data'!B570</f>
        <v>40351</v>
      </c>
      <c r="D570" s="6" t="n">
        <f aca="false">'Analysis Data'!C570</f>
        <v>142.52067416187</v>
      </c>
      <c r="E570" s="15" t="n">
        <f aca="false">SUMPRODUCT('Final Model'!$B$45:$I$45,'Analysis Data'!N570:U570)</f>
        <v>174.461452746689</v>
      </c>
      <c r="F570" s="15" t="n">
        <f aca="false">D570-E570</f>
        <v>-31.9407785848188</v>
      </c>
      <c r="G570" s="13" t="n">
        <f aca="false">F570/'Final Model'!$B$21</f>
        <v>-0.651426928050957</v>
      </c>
      <c r="H570" s="6" t="n">
        <f aca="false">F570^2</f>
        <v>1020.21333660442</v>
      </c>
      <c r="J570" s="6" t="n">
        <f aca="false">A570</f>
        <v>569</v>
      </c>
      <c r="K570" s="13" t="n">
        <f aca="false">SMALL($G$2:$G$1387,J570)</f>
        <v>-0.230689307886797</v>
      </c>
      <c r="L570" s="18" t="n">
        <f aca="false">(J570-0.5)/1386</f>
        <v>0.41017316017316</v>
      </c>
      <c r="M570" s="18" t="n">
        <f aca="false">_xlfn.NORM.DIST(K570,AVERAGE($G$2:$G$1387),_xlfn.STDEV.S($G$2:$G$1387),TRUE())</f>
        <v>0.408550779271799</v>
      </c>
    </row>
    <row r="571" customFormat="false" ht="15" hidden="false" customHeight="false" outlineLevel="0" collapsed="false">
      <c r="A571" s="0" t="n">
        <f aca="false">ROW()-1</f>
        <v>570</v>
      </c>
      <c r="B571" s="0" t="str">
        <f aca="false">'Analysis Data'!A571</f>
        <v>Portland ME (aka Portland)</v>
      </c>
      <c r="C571" s="5" t="n">
        <f aca="false">'Analysis Data'!B571</f>
        <v>40358</v>
      </c>
      <c r="D571" s="6" t="n">
        <f aca="false">'Analysis Data'!C571</f>
        <v>192.350317337321</v>
      </c>
      <c r="E571" s="15" t="n">
        <f aca="false">SUMPRODUCT('Final Model'!$B$45:$I$45,'Analysis Data'!N571:U571)</f>
        <v>174.461452746689</v>
      </c>
      <c r="F571" s="15" t="n">
        <f aca="false">D571-E571</f>
        <v>17.8888645906316</v>
      </c>
      <c r="G571" s="13" t="n">
        <f aca="false">F571/'Final Model'!$B$21</f>
        <v>0.364840452328028</v>
      </c>
      <c r="H571" s="6" t="n">
        <f aca="false">F571^2</f>
        <v>320.011476341955</v>
      </c>
      <c r="J571" s="6" t="n">
        <f aca="false">A571</f>
        <v>570</v>
      </c>
      <c r="K571" s="13" t="n">
        <f aca="false">SMALL($G$2:$G$1387,J571)</f>
        <v>-0.229017393468346</v>
      </c>
      <c r="L571" s="18" t="n">
        <f aca="false">(J571-0.5)/1386</f>
        <v>0.410894660894661</v>
      </c>
      <c r="M571" s="18" t="n">
        <f aca="false">_xlfn.NORM.DIST(K571,AVERAGE($G$2:$G$1387),_xlfn.STDEV.S($G$2:$G$1387),TRUE())</f>
        <v>0.409201948119438</v>
      </c>
    </row>
    <row r="572" customFormat="false" ht="15" hidden="false" customHeight="false" outlineLevel="0" collapsed="false">
      <c r="A572" s="0" t="n">
        <f aca="false">ROW()-1</f>
        <v>571</v>
      </c>
      <c r="B572" s="0" t="str">
        <f aca="false">'Analysis Data'!A572</f>
        <v>Portland ME (aka Portland)</v>
      </c>
      <c r="C572" s="5" t="n">
        <f aca="false">'Analysis Data'!B572</f>
        <v>40365</v>
      </c>
      <c r="D572" s="6" t="n">
        <f aca="false">'Analysis Data'!C572</f>
        <v>241.553895636722</v>
      </c>
      <c r="E572" s="15" t="n">
        <f aca="false">SUMPRODUCT('Final Model'!$B$45:$I$45,'Analysis Data'!N572:U572)</f>
        <v>182.653585738257</v>
      </c>
      <c r="F572" s="15" t="n">
        <f aca="false">D572-E572</f>
        <v>58.9003098984641</v>
      </c>
      <c r="G572" s="13" t="n">
        <f aca="false">F572/'Final Model'!$B$21</f>
        <v>1.20126213694247</v>
      </c>
      <c r="H572" s="6" t="n">
        <f aca="false">F572^2</f>
        <v>3469.24650613511</v>
      </c>
      <c r="J572" s="6" t="n">
        <f aca="false">A572</f>
        <v>571</v>
      </c>
      <c r="K572" s="13" t="n">
        <f aca="false">SMALL($G$2:$G$1387,J572)</f>
        <v>-0.227034471305041</v>
      </c>
      <c r="L572" s="18" t="n">
        <f aca="false">(J572-0.5)/1386</f>
        <v>0.411616161616162</v>
      </c>
      <c r="M572" s="18" t="n">
        <f aca="false">_xlfn.NORM.DIST(K572,AVERAGE($G$2:$G$1387),_xlfn.STDEV.S($G$2:$G$1387),TRUE())</f>
        <v>0.409974571484759</v>
      </c>
    </row>
    <row r="573" customFormat="false" ht="15" hidden="false" customHeight="false" outlineLevel="0" collapsed="false">
      <c r="A573" s="0" t="n">
        <f aca="false">ROW()-1</f>
        <v>572</v>
      </c>
      <c r="B573" s="0" t="str">
        <f aca="false">'Analysis Data'!A573</f>
        <v>Portland ME (aka Portland)</v>
      </c>
      <c r="C573" s="5" t="n">
        <f aca="false">'Analysis Data'!B573</f>
        <v>40372</v>
      </c>
      <c r="D573" s="6" t="n">
        <f aca="false">'Analysis Data'!C573</f>
        <v>292.155542070656</v>
      </c>
      <c r="E573" s="15" t="n">
        <f aca="false">SUMPRODUCT('Final Model'!$B$45:$I$45,'Analysis Data'!N573:U573)</f>
        <v>193.162685636532</v>
      </c>
      <c r="F573" s="15" t="n">
        <f aca="false">D573-E573</f>
        <v>98.9928564341242</v>
      </c>
      <c r="G573" s="13" t="n">
        <f aca="false">F573/'Final Model'!$B$21</f>
        <v>2.01894303216894</v>
      </c>
      <c r="H573" s="6" t="n">
        <f aca="false">F573^2</f>
        <v>9799.58562498713</v>
      </c>
      <c r="J573" s="6" t="n">
        <f aca="false">A573</f>
        <v>572</v>
      </c>
      <c r="K573" s="13" t="n">
        <f aca="false">SMALL($G$2:$G$1387,J573)</f>
        <v>-0.226586321324914</v>
      </c>
      <c r="L573" s="18" t="n">
        <f aca="false">(J573-0.5)/1386</f>
        <v>0.412337662337662</v>
      </c>
      <c r="M573" s="18" t="n">
        <f aca="false">_xlfn.NORM.DIST(K573,AVERAGE($G$2:$G$1387),_xlfn.STDEV.S($G$2:$G$1387),TRUE())</f>
        <v>0.410149236642589</v>
      </c>
    </row>
    <row r="574" customFormat="false" ht="15" hidden="false" customHeight="false" outlineLevel="0" collapsed="false">
      <c r="A574" s="0" t="n">
        <f aca="false">ROW()-1</f>
        <v>573</v>
      </c>
      <c r="B574" s="0" t="str">
        <f aca="false">'Analysis Data'!A574</f>
        <v>River Street</v>
      </c>
      <c r="C574" s="5" t="n">
        <f aca="false">'Analysis Data'!B574</f>
        <v>40302</v>
      </c>
      <c r="D574" s="6" t="n">
        <f aca="false">'Analysis Data'!C574</f>
        <v>162.854388321081</v>
      </c>
      <c r="E574" s="15" t="n">
        <f aca="false">SUMPRODUCT('Final Model'!$B$45:$I$45,'Analysis Data'!N574:U574)</f>
        <v>184.745948719587</v>
      </c>
      <c r="F574" s="15" t="n">
        <f aca="false">D574-E574</f>
        <v>-21.8915603985056</v>
      </c>
      <c r="G574" s="13" t="n">
        <f aca="false">F574/'Final Model'!$B$21</f>
        <v>-0.446474775271086</v>
      </c>
      <c r="H574" s="6" t="n">
        <f aca="false">F574^2</f>
        <v>479.240416681421</v>
      </c>
      <c r="J574" s="6" t="n">
        <f aca="false">A574</f>
        <v>573</v>
      </c>
      <c r="K574" s="13" t="n">
        <f aca="false">SMALL($G$2:$G$1387,J574)</f>
        <v>-0.224495937640088</v>
      </c>
      <c r="L574" s="18" t="n">
        <f aca="false">(J574-0.5)/1386</f>
        <v>0.413059163059163</v>
      </c>
      <c r="M574" s="18" t="n">
        <f aca="false">_xlfn.NORM.DIST(K574,AVERAGE($G$2:$G$1387),_xlfn.STDEV.S($G$2:$G$1387),TRUE())</f>
        <v>0.410964192609276</v>
      </c>
    </row>
    <row r="575" customFormat="false" ht="15" hidden="false" customHeight="false" outlineLevel="0" collapsed="false">
      <c r="A575" s="0" t="n">
        <f aca="false">ROW()-1</f>
        <v>574</v>
      </c>
      <c r="B575" s="0" t="str">
        <f aca="false">'Analysis Data'!A575</f>
        <v>River Street</v>
      </c>
      <c r="C575" s="5" t="n">
        <f aca="false">'Analysis Data'!B575</f>
        <v>40309</v>
      </c>
      <c r="D575" s="6" t="n">
        <f aca="false">'Analysis Data'!C575</f>
        <v>215.700147004324</v>
      </c>
      <c r="E575" s="15" t="n">
        <f aca="false">SUMPRODUCT('Final Model'!$B$45:$I$45,'Analysis Data'!N575:U575)</f>
        <v>185.723172850804</v>
      </c>
      <c r="F575" s="15" t="n">
        <f aca="false">D575-E575</f>
        <v>29.9769741535196</v>
      </c>
      <c r="G575" s="13" t="n">
        <f aca="false">F575/'Final Model'!$B$21</f>
        <v>0.611375459531585</v>
      </c>
      <c r="H575" s="6" t="n">
        <f aca="false">F575^2</f>
        <v>898.618979400783</v>
      </c>
      <c r="J575" s="6" t="n">
        <f aca="false">A575</f>
        <v>574</v>
      </c>
      <c r="K575" s="13" t="n">
        <f aca="false">SMALL($G$2:$G$1387,J575)</f>
        <v>-0.221141957620602</v>
      </c>
      <c r="L575" s="18" t="n">
        <f aca="false">(J575-0.5)/1386</f>
        <v>0.413780663780664</v>
      </c>
      <c r="M575" s="18" t="n">
        <f aca="false">_xlfn.NORM.DIST(K575,AVERAGE($G$2:$G$1387),_xlfn.STDEV.S($G$2:$G$1387),TRUE())</f>
        <v>0.412272575532392</v>
      </c>
    </row>
    <row r="576" customFormat="false" ht="15" hidden="false" customHeight="false" outlineLevel="0" collapsed="false">
      <c r="A576" s="0" t="n">
        <f aca="false">ROW()-1</f>
        <v>575</v>
      </c>
      <c r="B576" s="0" t="str">
        <f aca="false">'Analysis Data'!A576</f>
        <v>River Street</v>
      </c>
      <c r="C576" s="5" t="n">
        <f aca="false">'Analysis Data'!B576</f>
        <v>40316</v>
      </c>
      <c r="D576" s="6" t="n">
        <f aca="false">'Analysis Data'!C576</f>
        <v>241.179305406364</v>
      </c>
      <c r="E576" s="15" t="n">
        <f aca="false">SUMPRODUCT('Final Model'!$B$45:$I$45,'Analysis Data'!N576:U576)</f>
        <v>192.311554926652</v>
      </c>
      <c r="F576" s="15" t="n">
        <f aca="false">D576-E576</f>
        <v>48.8677504797119</v>
      </c>
      <c r="G576" s="13" t="n">
        <f aca="false">F576/'Final Model'!$B$21</f>
        <v>0.996649736988243</v>
      </c>
      <c r="H576" s="6" t="n">
        <f aca="false">F576^2</f>
        <v>2388.05703694738</v>
      </c>
      <c r="J576" s="6" t="n">
        <f aca="false">A576</f>
        <v>575</v>
      </c>
      <c r="K576" s="13" t="n">
        <f aca="false">SMALL($G$2:$G$1387,J576)</f>
        <v>-0.219900805906722</v>
      </c>
      <c r="L576" s="18" t="n">
        <f aca="false">(J576-0.5)/1386</f>
        <v>0.414502164502165</v>
      </c>
      <c r="M576" s="18" t="n">
        <f aca="false">_xlfn.NORM.DIST(K576,AVERAGE($G$2:$G$1387),_xlfn.STDEV.S($G$2:$G$1387),TRUE())</f>
        <v>0.412756995175824</v>
      </c>
    </row>
    <row r="577" customFormat="false" ht="15" hidden="false" customHeight="false" outlineLevel="0" collapsed="false">
      <c r="A577" s="0" t="n">
        <f aca="false">ROW()-1</f>
        <v>576</v>
      </c>
      <c r="B577" s="0" t="str">
        <f aca="false">'Analysis Data'!A577</f>
        <v>River Street</v>
      </c>
      <c r="C577" s="5" t="n">
        <f aca="false">'Analysis Data'!B577</f>
        <v>40323</v>
      </c>
      <c r="D577" s="6" t="n">
        <f aca="false">'Analysis Data'!C577</f>
        <v>127.699721558249</v>
      </c>
      <c r="E577" s="15" t="n">
        <f aca="false">SUMPRODUCT('Final Model'!$B$45:$I$45,'Analysis Data'!N577:U577)</f>
        <v>192.311554926652</v>
      </c>
      <c r="F577" s="15" t="n">
        <f aca="false">D577-E577</f>
        <v>-64.6118333684035</v>
      </c>
      <c r="G577" s="13" t="n">
        <f aca="false">F577/'Final Model'!$B$21</f>
        <v>-1.31774771911554</v>
      </c>
      <c r="H577" s="6" t="n">
        <f aca="false">F577^2</f>
        <v>4174.68901122634</v>
      </c>
      <c r="J577" s="6" t="n">
        <f aca="false">A577</f>
        <v>576</v>
      </c>
      <c r="K577" s="13" t="n">
        <f aca="false">SMALL($G$2:$G$1387,J577)</f>
        <v>-0.219342155456438</v>
      </c>
      <c r="L577" s="18" t="n">
        <f aca="false">(J577-0.5)/1386</f>
        <v>0.415223665223665</v>
      </c>
      <c r="M577" s="18" t="n">
        <f aca="false">_xlfn.NORM.DIST(K577,AVERAGE($G$2:$G$1387),_xlfn.STDEV.S($G$2:$G$1387),TRUE())</f>
        <v>0.412975079020266</v>
      </c>
    </row>
    <row r="578" customFormat="false" ht="15" hidden="false" customHeight="false" outlineLevel="0" collapsed="false">
      <c r="A578" s="0" t="n">
        <f aca="false">ROW()-1</f>
        <v>577</v>
      </c>
      <c r="B578" s="0" t="str">
        <f aca="false">'Analysis Data'!A578</f>
        <v>River Street</v>
      </c>
      <c r="C578" s="5" t="n">
        <f aca="false">'Analysis Data'!B578</f>
        <v>40330</v>
      </c>
      <c r="D578" s="6" t="n">
        <f aca="false">'Analysis Data'!C578</f>
        <v>101.569836340686</v>
      </c>
      <c r="E578" s="15" t="n">
        <f aca="false">SUMPRODUCT('Final Model'!$B$45:$I$45,'Analysis Data'!N578:U578)</f>
        <v>192.311554926652</v>
      </c>
      <c r="F578" s="15" t="n">
        <f aca="false">D578-E578</f>
        <v>-90.741718585966</v>
      </c>
      <c r="G578" s="13" t="n">
        <f aca="false">F578/'Final Model'!$B$21</f>
        <v>-1.85066243227444</v>
      </c>
      <c r="H578" s="6" t="n">
        <f aca="false">F578^2</f>
        <v>8234.05949193465</v>
      </c>
      <c r="J578" s="6" t="n">
        <f aca="false">A578</f>
        <v>577</v>
      </c>
      <c r="K578" s="13" t="n">
        <f aca="false">SMALL($G$2:$G$1387,J578)</f>
        <v>-0.2172908686202</v>
      </c>
      <c r="L578" s="18" t="n">
        <f aca="false">(J578-0.5)/1386</f>
        <v>0.415945165945166</v>
      </c>
      <c r="M578" s="18" t="n">
        <f aca="false">_xlfn.NORM.DIST(K578,AVERAGE($G$2:$G$1387),_xlfn.STDEV.S($G$2:$G$1387),TRUE())</f>
        <v>0.413776082487299</v>
      </c>
    </row>
    <row r="579" customFormat="false" ht="15" hidden="false" customHeight="false" outlineLevel="0" collapsed="false">
      <c r="A579" s="0" t="n">
        <f aca="false">ROW()-1</f>
        <v>578</v>
      </c>
      <c r="B579" s="0" t="str">
        <f aca="false">'Analysis Data'!A579</f>
        <v>River Street</v>
      </c>
      <c r="C579" s="5" t="n">
        <f aca="false">'Analysis Data'!B579</f>
        <v>40337</v>
      </c>
      <c r="D579" s="6" t="n">
        <f aca="false">'Analysis Data'!C579</f>
        <v>176.670404976573</v>
      </c>
      <c r="E579" s="15" t="n">
        <f aca="false">SUMPRODUCT('Final Model'!$B$45:$I$45,'Analysis Data'!N579:U579)</f>
        <v>184.745948719587</v>
      </c>
      <c r="F579" s="15" t="n">
        <f aca="false">D579-E579</f>
        <v>-8.07554374301392</v>
      </c>
      <c r="G579" s="13" t="n">
        <f aca="false">F579/'Final Model'!$B$21</f>
        <v>-0.164699386988425</v>
      </c>
      <c r="H579" s="6" t="n">
        <f aca="false">F579^2</f>
        <v>65.2144067453313</v>
      </c>
      <c r="J579" s="6" t="n">
        <f aca="false">A579</f>
        <v>578</v>
      </c>
      <c r="K579" s="13" t="n">
        <f aca="false">SMALL($G$2:$G$1387,J579)</f>
        <v>-0.215849265881334</v>
      </c>
      <c r="L579" s="18" t="n">
        <f aca="false">(J579-0.5)/1386</f>
        <v>0.416666666666667</v>
      </c>
      <c r="M579" s="18" t="n">
        <f aca="false">_xlfn.NORM.DIST(K579,AVERAGE($G$2:$G$1387),_xlfn.STDEV.S($G$2:$G$1387),TRUE())</f>
        <v>0.414339226408752</v>
      </c>
    </row>
    <row r="580" customFormat="false" ht="15" hidden="false" customHeight="false" outlineLevel="0" collapsed="false">
      <c r="A580" s="0" t="n">
        <f aca="false">ROW()-1</f>
        <v>579</v>
      </c>
      <c r="B580" s="0" t="str">
        <f aca="false">'Analysis Data'!A580</f>
        <v>River Street</v>
      </c>
      <c r="C580" s="5" t="n">
        <f aca="false">'Analysis Data'!B580</f>
        <v>40344</v>
      </c>
      <c r="D580" s="6" t="n">
        <f aca="false">'Analysis Data'!C580</f>
        <v>198.147006584438</v>
      </c>
      <c r="E580" s="15" t="n">
        <f aca="false">SUMPRODUCT('Final Model'!$B$45:$I$45,'Analysis Data'!N580:U580)</f>
        <v>184.745948719587</v>
      </c>
      <c r="F580" s="15" t="n">
        <f aca="false">D580-E580</f>
        <v>13.4010578648509</v>
      </c>
      <c r="G580" s="13" t="n">
        <f aca="false">F580/'Final Model'!$B$21</f>
        <v>0.273312371968356</v>
      </c>
      <c r="H580" s="6" t="n">
        <f aca="false">F580^2</f>
        <v>179.588351897081</v>
      </c>
      <c r="J580" s="6" t="n">
        <f aca="false">A580</f>
        <v>579</v>
      </c>
      <c r="K580" s="13" t="n">
        <f aca="false">SMALL($G$2:$G$1387,J580)</f>
        <v>-0.211447671474806</v>
      </c>
      <c r="L580" s="18" t="n">
        <f aca="false">(J580-0.5)/1386</f>
        <v>0.417388167388167</v>
      </c>
      <c r="M580" s="18" t="n">
        <f aca="false">_xlfn.NORM.DIST(K580,AVERAGE($G$2:$G$1387),_xlfn.STDEV.S($G$2:$G$1387),TRUE())</f>
        <v>0.41605973896885</v>
      </c>
    </row>
    <row r="581" customFormat="false" ht="15" hidden="false" customHeight="false" outlineLevel="0" collapsed="false">
      <c r="A581" s="0" t="n">
        <f aca="false">ROW()-1</f>
        <v>580</v>
      </c>
      <c r="B581" s="0" t="str">
        <f aca="false">'Analysis Data'!A581</f>
        <v>River Street</v>
      </c>
      <c r="C581" s="5" t="n">
        <f aca="false">'Analysis Data'!B581</f>
        <v>40351</v>
      </c>
      <c r="D581" s="6" t="n">
        <f aca="false">'Analysis Data'!C581</f>
        <v>197.211741527949</v>
      </c>
      <c r="E581" s="15" t="n">
        <f aca="false">SUMPRODUCT('Final Model'!$B$45:$I$45,'Analysis Data'!N581:U581)</f>
        <v>184.745948719587</v>
      </c>
      <c r="F581" s="15" t="n">
        <f aca="false">D581-E581</f>
        <v>12.4657928083621</v>
      </c>
      <c r="G581" s="13" t="n">
        <f aca="false">F581/'Final Model'!$B$21</f>
        <v>0.254237794902427</v>
      </c>
      <c r="H581" s="6" t="n">
        <f aca="false">F581^2</f>
        <v>155.395990341011</v>
      </c>
      <c r="J581" s="6" t="n">
        <f aca="false">A581</f>
        <v>580</v>
      </c>
      <c r="K581" s="13" t="n">
        <f aca="false">SMALL($G$2:$G$1387,J581)</f>
        <v>-0.21001084242883</v>
      </c>
      <c r="L581" s="18" t="n">
        <f aca="false">(J581-0.5)/1386</f>
        <v>0.418109668109668</v>
      </c>
      <c r="M581" s="18" t="n">
        <f aca="false">_xlfn.NORM.DIST(K581,AVERAGE($G$2:$G$1387),_xlfn.STDEV.S($G$2:$G$1387),TRUE())</f>
        <v>0.416621722520244</v>
      </c>
    </row>
    <row r="582" customFormat="false" ht="15" hidden="false" customHeight="false" outlineLevel="0" collapsed="false">
      <c r="A582" s="0" t="n">
        <f aca="false">ROW()-1</f>
        <v>581</v>
      </c>
      <c r="B582" s="0" t="str">
        <f aca="false">'Analysis Data'!A582</f>
        <v>River Street</v>
      </c>
      <c r="C582" s="5" t="n">
        <f aca="false">'Analysis Data'!B582</f>
        <v>40358</v>
      </c>
      <c r="D582" s="6" t="n">
        <f aca="false">'Analysis Data'!C582</f>
        <v>119.291103197302</v>
      </c>
      <c r="E582" s="15" t="n">
        <f aca="false">SUMPRODUCT('Final Model'!$B$45:$I$45,'Analysis Data'!N582:U582)</f>
        <v>184.745948719587</v>
      </c>
      <c r="F582" s="15" t="n">
        <f aca="false">D582-E582</f>
        <v>-65.4548455222853</v>
      </c>
      <c r="G582" s="13" t="n">
        <f aca="false">F582/'Final Model'!$B$21</f>
        <v>-1.33494081339953</v>
      </c>
      <c r="H582" s="6" t="n">
        <f aca="false">F582^2</f>
        <v>4284.33680234624</v>
      </c>
      <c r="J582" s="6" t="n">
        <f aca="false">A582</f>
        <v>581</v>
      </c>
      <c r="K582" s="13" t="n">
        <f aca="false">SMALL($G$2:$G$1387,J582)</f>
        <v>-0.207614069194027</v>
      </c>
      <c r="L582" s="18" t="n">
        <f aca="false">(J582-0.5)/1386</f>
        <v>0.418831168831169</v>
      </c>
      <c r="M582" s="18" t="n">
        <f aca="false">_xlfn.NORM.DIST(K582,AVERAGE($G$2:$G$1387),_xlfn.STDEV.S($G$2:$G$1387),TRUE())</f>
        <v>0.417559545564221</v>
      </c>
    </row>
    <row r="583" customFormat="false" ht="15" hidden="false" customHeight="false" outlineLevel="0" collapsed="false">
      <c r="A583" s="0" t="n">
        <f aca="false">ROW()-1</f>
        <v>582</v>
      </c>
      <c r="B583" s="0" t="str">
        <f aca="false">'Analysis Data'!A583</f>
        <v>River Street</v>
      </c>
      <c r="C583" s="5" t="n">
        <f aca="false">'Analysis Data'!B583</f>
        <v>40365</v>
      </c>
      <c r="D583" s="6" t="n">
        <f aca="false">'Analysis Data'!C583</f>
        <v>265.369405471857</v>
      </c>
      <c r="E583" s="15" t="n">
        <f aca="false">SUMPRODUCT('Final Model'!$B$45:$I$45,'Analysis Data'!N583:U583)</f>
        <v>193.162685636532</v>
      </c>
      <c r="F583" s="15" t="n">
        <f aca="false">D583-E583</f>
        <v>72.2067198353252</v>
      </c>
      <c r="G583" s="13" t="n">
        <f aca="false">F583/'Final Model'!$B$21</f>
        <v>1.47264417997996</v>
      </c>
      <c r="H583" s="6" t="n">
        <f aca="false">F583^2</f>
        <v>5213.81038937714</v>
      </c>
      <c r="J583" s="6" t="n">
        <f aca="false">A583</f>
        <v>582</v>
      </c>
      <c r="K583" s="13" t="n">
        <f aca="false">SMALL($G$2:$G$1387,J583)</f>
        <v>-0.20224110743508</v>
      </c>
      <c r="L583" s="18" t="n">
        <f aca="false">(J583-0.5)/1386</f>
        <v>0.41955266955267</v>
      </c>
      <c r="M583" s="18" t="n">
        <f aca="false">_xlfn.NORM.DIST(K583,AVERAGE($G$2:$G$1387),_xlfn.STDEV.S($G$2:$G$1387),TRUE())</f>
        <v>0.419663605464451</v>
      </c>
    </row>
    <row r="584" customFormat="false" ht="15" hidden="false" customHeight="false" outlineLevel="0" collapsed="false">
      <c r="A584" s="0" t="n">
        <f aca="false">ROW()-1</f>
        <v>583</v>
      </c>
      <c r="B584" s="0" t="str">
        <f aca="false">'Analysis Data'!A584</f>
        <v>River Street</v>
      </c>
      <c r="C584" s="5" t="n">
        <f aca="false">'Analysis Data'!B584</f>
        <v>40372</v>
      </c>
      <c r="D584" s="6" t="n">
        <f aca="false">'Analysis Data'!C584</f>
        <v>125.211047046825</v>
      </c>
      <c r="E584" s="15" t="n">
        <f aca="false">SUMPRODUCT('Final Model'!$B$45:$I$45,'Analysis Data'!N584:U584)</f>
        <v>193.162685636532</v>
      </c>
      <c r="F584" s="15" t="n">
        <f aca="false">D584-E584</f>
        <v>-67.9516385897066</v>
      </c>
      <c r="G584" s="13" t="n">
        <f aca="false">F584/'Final Model'!$B$21</f>
        <v>-1.38586249752723</v>
      </c>
      <c r="H584" s="6" t="n">
        <f aca="false">F584^2</f>
        <v>4617.4251870261</v>
      </c>
      <c r="J584" s="6" t="n">
        <f aca="false">A584</f>
        <v>583</v>
      </c>
      <c r="K584" s="13" t="n">
        <f aca="false">SMALL($G$2:$G$1387,J584)</f>
        <v>-0.201544981027641</v>
      </c>
      <c r="L584" s="18" t="n">
        <f aca="false">(J584-0.5)/1386</f>
        <v>0.42027417027417</v>
      </c>
      <c r="M584" s="18" t="n">
        <f aca="false">_xlfn.NORM.DIST(K584,AVERAGE($G$2:$G$1387),_xlfn.STDEV.S($G$2:$G$1387),TRUE())</f>
        <v>0.419936379096625</v>
      </c>
    </row>
    <row r="585" customFormat="false" ht="15" hidden="false" customHeight="false" outlineLevel="0" collapsed="false">
      <c r="A585" s="0" t="n">
        <f aca="false">ROW()-1</f>
        <v>584</v>
      </c>
      <c r="B585" s="0" t="str">
        <f aca="false">'Analysis Data'!A585</f>
        <v>University</v>
      </c>
      <c r="C585" s="5" t="n">
        <f aca="false">'Analysis Data'!B585</f>
        <v>40302</v>
      </c>
      <c r="D585" s="6" t="n">
        <f aca="false">'Analysis Data'!C585</f>
        <v>190.008235148047</v>
      </c>
      <c r="E585" s="15" t="n">
        <f aca="false">SUMPRODUCT('Final Model'!$B$45:$I$45,'Analysis Data'!N585:U585)</f>
        <v>183.800247938187</v>
      </c>
      <c r="F585" s="15" t="n">
        <f aca="false">D585-E585</f>
        <v>6.20798720985999</v>
      </c>
      <c r="G585" s="13" t="n">
        <f aca="false">F585/'Final Model'!$B$21</f>
        <v>0.126610878528203</v>
      </c>
      <c r="H585" s="6" t="n">
        <f aca="false">F585^2</f>
        <v>38.5391051977853</v>
      </c>
      <c r="J585" s="6" t="n">
        <f aca="false">A585</f>
        <v>584</v>
      </c>
      <c r="K585" s="13" t="n">
        <f aca="false">SMALL($G$2:$G$1387,J585)</f>
        <v>-0.19754061447128</v>
      </c>
      <c r="L585" s="18" t="n">
        <f aca="false">(J585-0.5)/1386</f>
        <v>0.420995670995671</v>
      </c>
      <c r="M585" s="18" t="n">
        <f aca="false">_xlfn.NORM.DIST(K585,AVERAGE($G$2:$G$1387),_xlfn.STDEV.S($G$2:$G$1387),TRUE())</f>
        <v>0.421506213147774</v>
      </c>
    </row>
    <row r="586" customFormat="false" ht="15" hidden="false" customHeight="false" outlineLevel="0" collapsed="false">
      <c r="A586" s="0" t="n">
        <f aca="false">ROW()-1</f>
        <v>585</v>
      </c>
      <c r="B586" s="0" t="str">
        <f aca="false">'Analysis Data'!A586</f>
        <v>University</v>
      </c>
      <c r="C586" s="5" t="n">
        <f aca="false">'Analysis Data'!B586</f>
        <v>40309</v>
      </c>
      <c r="D586" s="6" t="n">
        <f aca="false">'Analysis Data'!C586</f>
        <v>222.043779193877</v>
      </c>
      <c r="E586" s="15" t="n">
        <f aca="false">SUMPRODUCT('Final Model'!$B$45:$I$45,'Analysis Data'!N586:U586)</f>
        <v>184.998135584329</v>
      </c>
      <c r="F586" s="15" t="n">
        <f aca="false">D586-E586</f>
        <v>37.0456436095481</v>
      </c>
      <c r="G586" s="13" t="n">
        <f aca="false">F586/'Final Model'!$B$21</f>
        <v>0.755539810970933</v>
      </c>
      <c r="H586" s="6" t="n">
        <f aca="false">F586^2</f>
        <v>1372.37971044565</v>
      </c>
      <c r="J586" s="6" t="n">
        <f aca="false">A586</f>
        <v>585</v>
      </c>
      <c r="K586" s="13" t="n">
        <f aca="false">SMALL($G$2:$G$1387,J586)</f>
        <v>-0.195953429586709</v>
      </c>
      <c r="L586" s="18" t="n">
        <f aca="false">(J586-0.5)/1386</f>
        <v>0.421717171717172</v>
      </c>
      <c r="M586" s="18" t="n">
        <f aca="false">_xlfn.NORM.DIST(K586,AVERAGE($G$2:$G$1387),_xlfn.STDEV.S($G$2:$G$1387),TRUE())</f>
        <v>0.422128785000822</v>
      </c>
    </row>
    <row r="587" customFormat="false" ht="15" hidden="false" customHeight="false" outlineLevel="0" collapsed="false">
      <c r="A587" s="0" t="n">
        <f aca="false">ROW()-1</f>
        <v>586</v>
      </c>
      <c r="B587" s="0" t="str">
        <f aca="false">'Analysis Data'!A587</f>
        <v>University</v>
      </c>
      <c r="C587" s="5" t="n">
        <f aca="false">'Analysis Data'!B587</f>
        <v>40316</v>
      </c>
      <c r="D587" s="6" t="n">
        <f aca="false">'Analysis Data'!C587</f>
        <v>157.426160892373</v>
      </c>
      <c r="E587" s="15" t="n">
        <f aca="false">SUMPRODUCT('Final Model'!$B$45:$I$45,'Analysis Data'!N587:U587)</f>
        <v>186.873775461186</v>
      </c>
      <c r="F587" s="15" t="n">
        <f aca="false">D587-E587</f>
        <v>-29.447614568814</v>
      </c>
      <c r="G587" s="13" t="n">
        <f aca="false">F587/'Final Model'!$B$21</f>
        <v>-0.600579257830258</v>
      </c>
      <c r="H587" s="6" t="n">
        <f aca="false">F587^2</f>
        <v>867.162003793425</v>
      </c>
      <c r="J587" s="6" t="n">
        <f aca="false">A587</f>
        <v>586</v>
      </c>
      <c r="K587" s="13" t="n">
        <f aca="false">SMALL($G$2:$G$1387,J587)</f>
        <v>-0.191909275554944</v>
      </c>
      <c r="L587" s="18" t="n">
        <f aca="false">(J587-0.5)/1386</f>
        <v>0.422438672438672</v>
      </c>
      <c r="M587" s="18" t="n">
        <f aca="false">_xlfn.NORM.DIST(K587,AVERAGE($G$2:$G$1387),_xlfn.STDEV.S($G$2:$G$1387),TRUE())</f>
        <v>0.423715977086827</v>
      </c>
    </row>
    <row r="588" customFormat="false" ht="15" hidden="false" customHeight="false" outlineLevel="0" collapsed="false">
      <c r="A588" s="0" t="n">
        <f aca="false">ROW()-1</f>
        <v>587</v>
      </c>
      <c r="B588" s="0" t="str">
        <f aca="false">'Analysis Data'!A588</f>
        <v>University</v>
      </c>
      <c r="C588" s="5" t="n">
        <f aca="false">'Analysis Data'!B588</f>
        <v>40323</v>
      </c>
      <c r="D588" s="6" t="n">
        <f aca="false">'Analysis Data'!C588</f>
        <v>170.976569064545</v>
      </c>
      <c r="E588" s="15" t="n">
        <f aca="false">SUMPRODUCT('Final Model'!$B$45:$I$45,'Analysis Data'!N588:U588)</f>
        <v>188.213518236675</v>
      </c>
      <c r="F588" s="15" t="n">
        <f aca="false">D588-E588</f>
        <v>-17.2369491721297</v>
      </c>
      <c r="G588" s="13" t="n">
        <f aca="false">F588/'Final Model'!$B$21</f>
        <v>-0.351544744545075</v>
      </c>
      <c r="H588" s="6" t="n">
        <f aca="false">F588^2</f>
        <v>297.112416762583</v>
      </c>
      <c r="J588" s="6" t="n">
        <f aca="false">A588</f>
        <v>587</v>
      </c>
      <c r="K588" s="13" t="n">
        <f aca="false">SMALL($G$2:$G$1387,J588)</f>
        <v>-0.190320588181694</v>
      </c>
      <c r="L588" s="18" t="n">
        <f aca="false">(J588-0.5)/1386</f>
        <v>0.423160173160173</v>
      </c>
      <c r="M588" s="18" t="n">
        <f aca="false">_xlfn.NORM.DIST(K588,AVERAGE($G$2:$G$1387),_xlfn.STDEV.S($G$2:$G$1387),TRUE())</f>
        <v>0.424339822762181</v>
      </c>
    </row>
    <row r="589" customFormat="false" ht="15" hidden="false" customHeight="false" outlineLevel="0" collapsed="false">
      <c r="A589" s="0" t="n">
        <f aca="false">ROW()-1</f>
        <v>588</v>
      </c>
      <c r="B589" s="0" t="str">
        <f aca="false">'Analysis Data'!A589</f>
        <v>University</v>
      </c>
      <c r="C589" s="5" t="n">
        <f aca="false">'Analysis Data'!B589</f>
        <v>40330</v>
      </c>
      <c r="D589" s="6" t="n">
        <f aca="false">'Analysis Data'!C589</f>
        <v>167.899485448928</v>
      </c>
      <c r="E589" s="15" t="n">
        <f aca="false">SUMPRODUCT('Final Model'!$B$45:$I$45,'Analysis Data'!N589:U589)</f>
        <v>186.873775461186</v>
      </c>
      <c r="F589" s="15" t="n">
        <f aca="false">D589-E589</f>
        <v>-18.9742900122587</v>
      </c>
      <c r="G589" s="13" t="n">
        <f aca="false">F589/'Final Model'!$B$21</f>
        <v>-0.386977525354012</v>
      </c>
      <c r="H589" s="6" t="n">
        <f aca="false">F589^2</f>
        <v>360.023681469299</v>
      </c>
      <c r="J589" s="6" t="n">
        <f aca="false">A589</f>
        <v>588</v>
      </c>
      <c r="K589" s="13" t="n">
        <f aca="false">SMALL($G$2:$G$1387,J589)</f>
        <v>-0.188514989015541</v>
      </c>
      <c r="L589" s="18" t="n">
        <f aca="false">(J589-0.5)/1386</f>
        <v>0.423881673881674</v>
      </c>
      <c r="M589" s="18" t="n">
        <f aca="false">_xlfn.NORM.DIST(K589,AVERAGE($G$2:$G$1387),_xlfn.STDEV.S($G$2:$G$1387),TRUE())</f>
        <v>0.425049075478337</v>
      </c>
    </row>
    <row r="590" customFormat="false" ht="15" hidden="false" customHeight="false" outlineLevel="0" collapsed="false">
      <c r="A590" s="0" t="n">
        <f aca="false">ROW()-1</f>
        <v>589</v>
      </c>
      <c r="B590" s="0" t="str">
        <f aca="false">'Analysis Data'!A590</f>
        <v>University</v>
      </c>
      <c r="C590" s="5" t="n">
        <f aca="false">'Analysis Data'!B590</f>
        <v>40337</v>
      </c>
      <c r="D590" s="6" t="n">
        <f aca="false">'Analysis Data'!C590</f>
        <v>117.628665058892</v>
      </c>
      <c r="E590" s="15" t="n">
        <f aca="false">SUMPRODUCT('Final Model'!$B$45:$I$45,'Analysis Data'!N590:U590)</f>
        <v>174.461452746689</v>
      </c>
      <c r="F590" s="15" t="n">
        <f aca="false">D590-E590</f>
        <v>-56.8327876877975</v>
      </c>
      <c r="G590" s="13" t="n">
        <f aca="false">F590/'Final Model'!$B$21</f>
        <v>-1.1590953613645</v>
      </c>
      <c r="H590" s="6" t="n">
        <f aca="false">F590^2</f>
        <v>3229.96575636626</v>
      </c>
      <c r="J590" s="6" t="n">
        <f aca="false">A590</f>
        <v>589</v>
      </c>
      <c r="K590" s="13" t="n">
        <f aca="false">SMALL($G$2:$G$1387,J590)</f>
        <v>-0.18359524848642</v>
      </c>
      <c r="L590" s="18" t="n">
        <f aca="false">(J590-0.5)/1386</f>
        <v>0.424603174603175</v>
      </c>
      <c r="M590" s="18" t="n">
        <f aca="false">_xlfn.NORM.DIST(K590,AVERAGE($G$2:$G$1387),_xlfn.STDEV.S($G$2:$G$1387),TRUE())</f>
        <v>0.42698281090502</v>
      </c>
    </row>
    <row r="591" customFormat="false" ht="15" hidden="false" customHeight="false" outlineLevel="0" collapsed="false">
      <c r="A591" s="0" t="n">
        <f aca="false">ROW()-1</f>
        <v>590</v>
      </c>
      <c r="B591" s="0" t="str">
        <f aca="false">'Analysis Data'!A591</f>
        <v>University</v>
      </c>
      <c r="C591" s="5" t="n">
        <f aca="false">'Analysis Data'!B591</f>
        <v>40344</v>
      </c>
      <c r="D591" s="6" t="n">
        <f aca="false">'Analysis Data'!C591</f>
        <v>264.004779748343</v>
      </c>
      <c r="E591" s="15" t="n">
        <f aca="false">SUMPRODUCT('Final Model'!$B$45:$I$45,'Analysis Data'!N591:U591)</f>
        <v>183.800247938187</v>
      </c>
      <c r="F591" s="15" t="n">
        <f aca="false">D591-E591</f>
        <v>80.2045318101559</v>
      </c>
      <c r="G591" s="13" t="n">
        <f aca="false">F591/'Final Model'!$B$21</f>
        <v>1.63575824033569</v>
      </c>
      <c r="H591" s="6" t="n">
        <f aca="false">F591^2</f>
        <v>6432.76692288631</v>
      </c>
      <c r="J591" s="6" t="n">
        <f aca="false">A591</f>
        <v>590</v>
      </c>
      <c r="K591" s="13" t="n">
        <f aca="false">SMALL($G$2:$G$1387,J591)</f>
        <v>-0.183060428562469</v>
      </c>
      <c r="L591" s="18" t="n">
        <f aca="false">(J591-0.5)/1386</f>
        <v>0.425324675324675</v>
      </c>
      <c r="M591" s="18" t="n">
        <f aca="false">_xlfn.NORM.DIST(K591,AVERAGE($G$2:$G$1387),_xlfn.STDEV.S($G$2:$G$1387),TRUE())</f>
        <v>0.427193131945149</v>
      </c>
    </row>
    <row r="592" customFormat="false" ht="15" hidden="false" customHeight="false" outlineLevel="0" collapsed="false">
      <c r="A592" s="0" t="n">
        <f aca="false">ROW()-1</f>
        <v>591</v>
      </c>
      <c r="B592" s="0" t="str">
        <f aca="false">'Analysis Data'!A592</f>
        <v>University</v>
      </c>
      <c r="C592" s="5" t="n">
        <f aca="false">'Analysis Data'!B592</f>
        <v>40351</v>
      </c>
      <c r="D592" s="6" t="n">
        <f aca="false">'Analysis Data'!C592</f>
        <v>166.378661111465</v>
      </c>
      <c r="E592" s="15" t="n">
        <f aca="false">SUMPRODUCT('Final Model'!$B$45:$I$45,'Analysis Data'!N592:U592)</f>
        <v>174.461452746689</v>
      </c>
      <c r="F592" s="15" t="n">
        <f aca="false">D592-E592</f>
        <v>-8.08279163522406</v>
      </c>
      <c r="G592" s="13" t="n">
        <f aca="false">F592/'Final Model'!$B$21</f>
        <v>-0.16484720655847</v>
      </c>
      <c r="H592" s="6" t="n">
        <f aca="false">F592^2</f>
        <v>65.331520618448</v>
      </c>
      <c r="J592" s="6" t="n">
        <f aca="false">A592</f>
        <v>591</v>
      </c>
      <c r="K592" s="13" t="n">
        <f aca="false">SMALL($G$2:$G$1387,J592)</f>
        <v>-0.181612261383984</v>
      </c>
      <c r="L592" s="18" t="n">
        <f aca="false">(J592-0.5)/1386</f>
        <v>0.426046176046176</v>
      </c>
      <c r="M592" s="18" t="n">
        <f aca="false">_xlfn.NORM.DIST(K592,AVERAGE($G$2:$G$1387),_xlfn.STDEV.S($G$2:$G$1387),TRUE())</f>
        <v>0.427762735825103</v>
      </c>
    </row>
    <row r="593" customFormat="false" ht="15" hidden="false" customHeight="false" outlineLevel="0" collapsed="false">
      <c r="A593" s="0" t="n">
        <f aca="false">ROW()-1</f>
        <v>592</v>
      </c>
      <c r="B593" s="0" t="str">
        <f aca="false">'Analysis Data'!A593</f>
        <v>University</v>
      </c>
      <c r="C593" s="5" t="n">
        <f aca="false">'Analysis Data'!B593</f>
        <v>40358</v>
      </c>
      <c r="D593" s="6" t="n">
        <f aca="false">'Analysis Data'!C593</f>
        <v>187.329269473785</v>
      </c>
      <c r="E593" s="15" t="n">
        <f aca="false">SUMPRODUCT('Final Model'!$B$45:$I$45,'Analysis Data'!N593:U593)</f>
        <v>184.851026567024</v>
      </c>
      <c r="F593" s="15" t="n">
        <f aca="false">D593-E593</f>
        <v>2.47824290676121</v>
      </c>
      <c r="G593" s="13" t="n">
        <f aca="false">F593/'Final Model'!$B$21</f>
        <v>0.0505433566507623</v>
      </c>
      <c r="H593" s="6" t="n">
        <f aca="false">F593^2</f>
        <v>6.14168790491225</v>
      </c>
      <c r="J593" s="6" t="n">
        <f aca="false">A593</f>
        <v>592</v>
      </c>
      <c r="K593" s="13" t="n">
        <f aca="false">SMALL($G$2:$G$1387,J593)</f>
        <v>-0.179346422792741</v>
      </c>
      <c r="L593" s="18" t="n">
        <f aca="false">(J593-0.5)/1386</f>
        <v>0.426767676767677</v>
      </c>
      <c r="M593" s="18" t="n">
        <f aca="false">_xlfn.NORM.DIST(K593,AVERAGE($G$2:$G$1387),_xlfn.STDEV.S($G$2:$G$1387),TRUE())</f>
        <v>0.428654253998416</v>
      </c>
    </row>
    <row r="594" customFormat="false" ht="15" hidden="false" customHeight="false" outlineLevel="0" collapsed="false">
      <c r="A594" s="0" t="n">
        <f aca="false">ROW()-1</f>
        <v>593</v>
      </c>
      <c r="B594" s="0" t="str">
        <f aca="false">'Analysis Data'!A594</f>
        <v>University</v>
      </c>
      <c r="C594" s="5" t="n">
        <f aca="false">'Analysis Data'!B594</f>
        <v>40365</v>
      </c>
      <c r="D594" s="6" t="n">
        <f aca="false">'Analysis Data'!C594</f>
        <v>300.728005674014</v>
      </c>
      <c r="E594" s="15" t="n">
        <f aca="false">SUMPRODUCT('Final Model'!$B$45:$I$45,'Analysis Data'!N594:U594)</f>
        <v>193.162685636532</v>
      </c>
      <c r="F594" s="15" t="n">
        <f aca="false">D594-E594</f>
        <v>107.565320037482</v>
      </c>
      <c r="G594" s="13" t="n">
        <f aca="false">F594/'Final Model'!$B$21</f>
        <v>2.19377701801355</v>
      </c>
      <c r="H594" s="6" t="n">
        <f aca="false">F594^2</f>
        <v>11570.2980747659</v>
      </c>
      <c r="J594" s="6" t="n">
        <f aca="false">A594</f>
        <v>593</v>
      </c>
      <c r="K594" s="13" t="n">
        <f aca="false">SMALL($G$2:$G$1387,J594)</f>
        <v>-0.175927928530741</v>
      </c>
      <c r="L594" s="18" t="n">
        <f aca="false">(J594-0.5)/1386</f>
        <v>0.427489177489178</v>
      </c>
      <c r="M594" s="18" t="n">
        <f aca="false">_xlfn.NORM.DIST(K594,AVERAGE($G$2:$G$1387),_xlfn.STDEV.S($G$2:$G$1387),TRUE())</f>
        <v>0.429999984549628</v>
      </c>
    </row>
    <row r="595" customFormat="false" ht="15" hidden="false" customHeight="false" outlineLevel="0" collapsed="false">
      <c r="A595" s="0" t="n">
        <f aca="false">ROW()-1</f>
        <v>594</v>
      </c>
      <c r="B595" s="0" t="str">
        <f aca="false">'Analysis Data'!A595</f>
        <v>University</v>
      </c>
      <c r="C595" s="5" t="n">
        <f aca="false">'Analysis Data'!B595</f>
        <v>40372</v>
      </c>
      <c r="D595" s="6" t="n">
        <f aca="false">'Analysis Data'!C595</f>
        <v>156.652164013519</v>
      </c>
      <c r="E595" s="15" t="n">
        <f aca="false">SUMPRODUCT('Final Model'!$B$45:$I$45,'Analysis Data'!N595:U595)</f>
        <v>196.720884814688</v>
      </c>
      <c r="F595" s="15" t="n">
        <f aca="false">D595-E595</f>
        <v>-40.0687208011682</v>
      </c>
      <c r="G595" s="13" t="n">
        <f aca="false">F595/'Final Model'!$B$21</f>
        <v>-0.817194973288549</v>
      </c>
      <c r="H595" s="6" t="n">
        <f aca="false">F595^2</f>
        <v>1605.50238664197</v>
      </c>
      <c r="J595" s="6" t="n">
        <f aca="false">A595</f>
        <v>594</v>
      </c>
      <c r="K595" s="13" t="n">
        <f aca="false">SMALL($G$2:$G$1387,J595)</f>
        <v>-0.175112086905385</v>
      </c>
      <c r="L595" s="18" t="n">
        <f aca="false">(J595-0.5)/1386</f>
        <v>0.428210678210678</v>
      </c>
      <c r="M595" s="18" t="n">
        <f aca="false">_xlfn.NORM.DIST(K595,AVERAGE($G$2:$G$1387),_xlfn.STDEV.S($G$2:$G$1387),TRUE())</f>
        <v>0.430321271062506</v>
      </c>
    </row>
    <row r="596" customFormat="false" ht="15" hidden="false" customHeight="false" outlineLevel="0" collapsed="false">
      <c r="A596" s="0" t="n">
        <f aca="false">ROW()-1</f>
        <v>595</v>
      </c>
      <c r="B596" s="0" t="str">
        <f aca="false">'Analysis Data'!A596</f>
        <v>West Hartford</v>
      </c>
      <c r="C596" s="5" t="n">
        <f aca="false">'Analysis Data'!B596</f>
        <v>40302</v>
      </c>
      <c r="D596" s="6" t="n">
        <f aca="false">'Analysis Data'!C596</f>
        <v>176.313606393435</v>
      </c>
      <c r="E596" s="15" t="n">
        <f aca="false">SUMPRODUCT('Final Model'!$B$45:$I$45,'Analysis Data'!N596:U596)</f>
        <v>172.451838583457</v>
      </c>
      <c r="F596" s="15" t="n">
        <f aca="false">D596-E596</f>
        <v>3.86176780997849</v>
      </c>
      <c r="G596" s="13" t="n">
        <f aca="false">F596/'Final Model'!$B$21</f>
        <v>0.0787601195950817</v>
      </c>
      <c r="H596" s="6" t="n">
        <f aca="false">F596^2</f>
        <v>14.9132506181861</v>
      </c>
      <c r="J596" s="6" t="n">
        <f aca="false">A596</f>
        <v>595</v>
      </c>
      <c r="K596" s="13" t="n">
        <f aca="false">SMALL($G$2:$G$1387,J596)</f>
        <v>-0.175083029898394</v>
      </c>
      <c r="L596" s="18" t="n">
        <f aca="false">(J596-0.5)/1386</f>
        <v>0.428932178932179</v>
      </c>
      <c r="M596" s="18" t="n">
        <f aca="false">_xlfn.NORM.DIST(K596,AVERAGE($G$2:$G$1387),_xlfn.STDEV.S($G$2:$G$1387),TRUE())</f>
        <v>0.430332714851764</v>
      </c>
    </row>
    <row r="597" customFormat="false" ht="15" hidden="false" customHeight="false" outlineLevel="0" collapsed="false">
      <c r="A597" s="0" t="n">
        <f aca="false">ROW()-1</f>
        <v>596</v>
      </c>
      <c r="B597" s="0" t="str">
        <f aca="false">'Analysis Data'!A597</f>
        <v>West Hartford</v>
      </c>
      <c r="C597" s="5" t="n">
        <f aca="false">'Analysis Data'!B597</f>
        <v>40309</v>
      </c>
      <c r="D597" s="6" t="n">
        <f aca="false">'Analysis Data'!C597</f>
        <v>124.660512656504</v>
      </c>
      <c r="E597" s="15" t="n">
        <f aca="false">SUMPRODUCT('Final Model'!$B$45:$I$45,'Analysis Data'!N597:U597)</f>
        <v>172.451838583457</v>
      </c>
      <c r="F597" s="15" t="n">
        <f aca="false">D597-E597</f>
        <v>-47.7913259269528</v>
      </c>
      <c r="G597" s="13" t="n">
        <f aca="false">F597/'Final Model'!$B$21</f>
        <v>-0.974696235203044</v>
      </c>
      <c r="H597" s="6" t="n">
        <f aca="false">F597^2</f>
        <v>2284.01083385623</v>
      </c>
      <c r="J597" s="6" t="n">
        <f aca="false">A597</f>
        <v>596</v>
      </c>
      <c r="K597" s="13" t="n">
        <f aca="false">SMALL($G$2:$G$1387,J597)</f>
        <v>-0.173535102436362</v>
      </c>
      <c r="L597" s="18" t="n">
        <f aca="false">(J597-0.5)/1386</f>
        <v>0.42965367965368</v>
      </c>
      <c r="M597" s="18" t="n">
        <f aca="false">_xlfn.NORM.DIST(K597,AVERAGE($G$2:$G$1387),_xlfn.STDEV.S($G$2:$G$1387),TRUE())</f>
        <v>0.430942433763076</v>
      </c>
    </row>
    <row r="598" customFormat="false" ht="15" hidden="false" customHeight="false" outlineLevel="0" collapsed="false">
      <c r="A598" s="0" t="n">
        <f aca="false">ROW()-1</f>
        <v>597</v>
      </c>
      <c r="B598" s="0" t="str">
        <f aca="false">'Analysis Data'!A598</f>
        <v>West Hartford</v>
      </c>
      <c r="C598" s="5" t="n">
        <f aca="false">'Analysis Data'!B598</f>
        <v>40316</v>
      </c>
      <c r="D598" s="6" t="n">
        <f aca="false">'Analysis Data'!C598</f>
        <v>193.135070379834</v>
      </c>
      <c r="E598" s="15" t="n">
        <f aca="false">SUMPRODUCT('Final Model'!$B$45:$I$45,'Analysis Data'!N598:U598)</f>
        <v>186.873775461186</v>
      </c>
      <c r="F598" s="15" t="n">
        <f aca="false">D598-E598</f>
        <v>6.26129491864762</v>
      </c>
      <c r="G598" s="13" t="n">
        <f aca="false">F598/'Final Model'!$B$21</f>
        <v>0.127698080484935</v>
      </c>
      <c r="H598" s="6" t="n">
        <f aca="false">F598^2</f>
        <v>39.2038140582825</v>
      </c>
      <c r="J598" s="6" t="n">
        <f aca="false">A598</f>
        <v>597</v>
      </c>
      <c r="K598" s="13" t="n">
        <f aca="false">SMALL($G$2:$G$1387,J598)</f>
        <v>-0.171177616840822</v>
      </c>
      <c r="L598" s="18" t="n">
        <f aca="false">(J598-0.5)/1386</f>
        <v>0.43037518037518</v>
      </c>
      <c r="M598" s="18" t="n">
        <f aca="false">_xlfn.NORM.DIST(K598,AVERAGE($G$2:$G$1387),_xlfn.STDEV.S($G$2:$G$1387),TRUE())</f>
        <v>0.431871348373613</v>
      </c>
    </row>
    <row r="599" customFormat="false" ht="15" hidden="false" customHeight="false" outlineLevel="0" collapsed="false">
      <c r="A599" s="0" t="n">
        <f aca="false">ROW()-1</f>
        <v>598</v>
      </c>
      <c r="B599" s="0" t="str">
        <f aca="false">'Analysis Data'!A599</f>
        <v>West Hartford</v>
      </c>
      <c r="C599" s="5" t="n">
        <f aca="false">'Analysis Data'!B599</f>
        <v>40323</v>
      </c>
      <c r="D599" s="6" t="n">
        <f aca="false">'Analysis Data'!C599</f>
        <v>207.478135992443</v>
      </c>
      <c r="E599" s="15" t="n">
        <f aca="false">SUMPRODUCT('Final Model'!$B$45:$I$45,'Analysis Data'!N599:U599)</f>
        <v>184.745948719587</v>
      </c>
      <c r="F599" s="15" t="n">
        <f aca="false">D599-E599</f>
        <v>22.7321872728559</v>
      </c>
      <c r="G599" s="13" t="n">
        <f aca="false">F599/'Final Model'!$B$21</f>
        <v>0.463619222171179</v>
      </c>
      <c r="H599" s="6" t="n">
        <f aca="false">F599^2</f>
        <v>516.75233820819</v>
      </c>
      <c r="J599" s="6" t="n">
        <f aca="false">A599</f>
        <v>598</v>
      </c>
      <c r="K599" s="13" t="n">
        <f aca="false">SMALL($G$2:$G$1387,J599)</f>
        <v>-0.171100942270078</v>
      </c>
      <c r="L599" s="18" t="n">
        <f aca="false">(J599-0.5)/1386</f>
        <v>0.431096681096681</v>
      </c>
      <c r="M599" s="18" t="n">
        <f aca="false">_xlfn.NORM.DIST(K599,AVERAGE($G$2:$G$1387),_xlfn.STDEV.S($G$2:$G$1387),TRUE())</f>
        <v>0.43190156663262</v>
      </c>
    </row>
    <row r="600" customFormat="false" ht="15" hidden="false" customHeight="false" outlineLevel="0" collapsed="false">
      <c r="A600" s="0" t="n">
        <f aca="false">ROW()-1</f>
        <v>599</v>
      </c>
      <c r="B600" s="0" t="str">
        <f aca="false">'Analysis Data'!A600</f>
        <v>West Hartford</v>
      </c>
      <c r="C600" s="5" t="n">
        <f aca="false">'Analysis Data'!B600</f>
        <v>40330</v>
      </c>
      <c r="D600" s="6" t="n">
        <f aca="false">'Analysis Data'!C600</f>
        <v>149.303325205346</v>
      </c>
      <c r="E600" s="15" t="n">
        <f aca="false">SUMPRODUCT('Final Model'!$B$45:$I$45,'Analysis Data'!N600:U600)</f>
        <v>184.745948719587</v>
      </c>
      <c r="F600" s="15" t="n">
        <f aca="false">D600-E600</f>
        <v>-35.4426235142414</v>
      </c>
      <c r="G600" s="13" t="n">
        <f aca="false">F600/'Final Model'!$B$21</f>
        <v>-0.7228464796698</v>
      </c>
      <c r="H600" s="6" t="n">
        <f aca="false">F600^2</f>
        <v>1256.17956157225</v>
      </c>
      <c r="J600" s="6" t="n">
        <f aca="false">A600</f>
        <v>599</v>
      </c>
      <c r="K600" s="13" t="n">
        <f aca="false">SMALL($G$2:$G$1387,J600)</f>
        <v>-0.170601510467327</v>
      </c>
      <c r="L600" s="18" t="n">
        <f aca="false">(J600-0.5)/1386</f>
        <v>0.431818181818182</v>
      </c>
      <c r="M600" s="18" t="n">
        <f aca="false">_xlfn.NORM.DIST(K600,AVERAGE($G$2:$G$1387),_xlfn.STDEV.S($G$2:$G$1387),TRUE())</f>
        <v>0.432098407729165</v>
      </c>
    </row>
    <row r="601" customFormat="false" ht="15" hidden="false" customHeight="false" outlineLevel="0" collapsed="false">
      <c r="A601" s="0" t="n">
        <f aca="false">ROW()-1</f>
        <v>600</v>
      </c>
      <c r="B601" s="0" t="str">
        <f aca="false">'Analysis Data'!A601</f>
        <v>West Hartford</v>
      </c>
      <c r="C601" s="5" t="n">
        <f aca="false">'Analysis Data'!B601</f>
        <v>40337</v>
      </c>
      <c r="D601" s="6" t="n">
        <f aca="false">'Analysis Data'!C601</f>
        <v>131.209511423149</v>
      </c>
      <c r="E601" s="15" t="n">
        <f aca="false">SUMPRODUCT('Final Model'!$B$45:$I$45,'Analysis Data'!N601:U601)</f>
        <v>172.451838583457</v>
      </c>
      <c r="F601" s="15" t="n">
        <f aca="false">D601-E601</f>
        <v>-41.2423271603079</v>
      </c>
      <c r="G601" s="13" t="n">
        <f aca="false">F601/'Final Model'!$B$21</f>
        <v>-0.841130482037819</v>
      </c>
      <c r="H601" s="6" t="n">
        <f aca="false">F601^2</f>
        <v>1700.92954959787</v>
      </c>
      <c r="J601" s="6" t="n">
        <f aca="false">A601</f>
        <v>600</v>
      </c>
      <c r="K601" s="13" t="n">
        <f aca="false">SMALL($G$2:$G$1387,J601)</f>
        <v>-0.168910662857817</v>
      </c>
      <c r="L601" s="18" t="n">
        <f aca="false">(J601-0.5)/1386</f>
        <v>0.432539682539683</v>
      </c>
      <c r="M601" s="18" t="n">
        <f aca="false">_xlfn.NORM.DIST(K601,AVERAGE($G$2:$G$1387),_xlfn.STDEV.S($G$2:$G$1387),TRUE())</f>
        <v>0.43276494649609</v>
      </c>
    </row>
    <row r="602" customFormat="false" ht="15" hidden="false" customHeight="false" outlineLevel="0" collapsed="false">
      <c r="A602" s="0" t="n">
        <f aca="false">ROW()-1</f>
        <v>601</v>
      </c>
      <c r="B602" s="0" t="str">
        <f aca="false">'Analysis Data'!A602</f>
        <v>West Hartford</v>
      </c>
      <c r="C602" s="5" t="n">
        <f aca="false">'Analysis Data'!B602</f>
        <v>40344</v>
      </c>
      <c r="D602" s="6" t="n">
        <f aca="false">'Analysis Data'!C602</f>
        <v>252.698866752192</v>
      </c>
      <c r="E602" s="15" t="n">
        <f aca="false">SUMPRODUCT('Final Model'!$B$45:$I$45,'Analysis Data'!N602:U602)</f>
        <v>172.451838583457</v>
      </c>
      <c r="F602" s="15" t="n">
        <f aca="false">D602-E602</f>
        <v>80.2470281687352</v>
      </c>
      <c r="G602" s="13" t="n">
        <f aca="false">F602/'Final Model'!$B$21</f>
        <v>1.63662494658235</v>
      </c>
      <c r="H602" s="6" t="n">
        <f aca="false">F602^2</f>
        <v>6439.58552991378</v>
      </c>
      <c r="J602" s="6" t="n">
        <f aca="false">A602</f>
        <v>601</v>
      </c>
      <c r="K602" s="13" t="n">
        <f aca="false">SMALL($G$2:$G$1387,J602)</f>
        <v>-0.168797611600944</v>
      </c>
      <c r="L602" s="18" t="n">
        <f aca="false">(J602-0.5)/1386</f>
        <v>0.433261183261183</v>
      </c>
      <c r="M602" s="18" t="n">
        <f aca="false">_xlfn.NORM.DIST(K602,AVERAGE($G$2:$G$1387),_xlfn.STDEV.S($G$2:$G$1387),TRUE())</f>
        <v>0.432809518591029</v>
      </c>
    </row>
    <row r="603" customFormat="false" ht="15" hidden="false" customHeight="false" outlineLevel="0" collapsed="false">
      <c r="A603" s="0" t="n">
        <f aca="false">ROW()-1</f>
        <v>602</v>
      </c>
      <c r="B603" s="0" t="str">
        <f aca="false">'Analysis Data'!A603</f>
        <v>West Hartford</v>
      </c>
      <c r="C603" s="5" t="n">
        <f aca="false">'Analysis Data'!B603</f>
        <v>40351</v>
      </c>
      <c r="D603" s="6" t="n">
        <f aca="false">'Analysis Data'!C603</f>
        <v>150.174107786752</v>
      </c>
      <c r="E603" s="15" t="n">
        <f aca="false">SUMPRODUCT('Final Model'!$B$45:$I$45,'Analysis Data'!N603:U603)</f>
        <v>172.451838583457</v>
      </c>
      <c r="F603" s="15" t="n">
        <f aca="false">D603-E603</f>
        <v>-22.2777307967042</v>
      </c>
      <c r="G603" s="13" t="n">
        <f aca="false">F603/'Final Model'!$B$21</f>
        <v>-0.454350657054452</v>
      </c>
      <c r="H603" s="6" t="n">
        <f aca="false">F603^2</f>
        <v>496.297289450424</v>
      </c>
      <c r="J603" s="6" t="n">
        <f aca="false">A603</f>
        <v>602</v>
      </c>
      <c r="K603" s="13" t="n">
        <f aca="false">SMALL($G$2:$G$1387,J603)</f>
        <v>-0.168748634575412</v>
      </c>
      <c r="L603" s="18" t="n">
        <f aca="false">(J603-0.5)/1386</f>
        <v>0.433982683982684</v>
      </c>
      <c r="M603" s="18" t="n">
        <f aca="false">_xlfn.NORM.DIST(K603,AVERAGE($G$2:$G$1387),_xlfn.STDEV.S($G$2:$G$1387),TRUE())</f>
        <v>0.432828828757943</v>
      </c>
    </row>
    <row r="604" customFormat="false" ht="15" hidden="false" customHeight="false" outlineLevel="0" collapsed="false">
      <c r="A604" s="0" t="n">
        <f aca="false">ROW()-1</f>
        <v>603</v>
      </c>
      <c r="B604" s="0" t="str">
        <f aca="false">'Analysis Data'!A604</f>
        <v>West Hartford</v>
      </c>
      <c r="C604" s="5" t="n">
        <f aca="false">'Analysis Data'!B604</f>
        <v>40358</v>
      </c>
      <c r="D604" s="6" t="n">
        <f aca="false">'Analysis Data'!C604</f>
        <v>222.385792857827</v>
      </c>
      <c r="E604" s="15" t="n">
        <f aca="false">SUMPRODUCT('Final Model'!$B$45:$I$45,'Analysis Data'!N604:U604)</f>
        <v>172.451838583457</v>
      </c>
      <c r="F604" s="15" t="n">
        <f aca="false">D604-E604</f>
        <v>49.9339542743709</v>
      </c>
      <c r="G604" s="13" t="n">
        <f aca="false">F604/'Final Model'!$B$21</f>
        <v>1.01839478809232</v>
      </c>
      <c r="H604" s="6" t="n">
        <f aca="false">F604^2</f>
        <v>2493.39978947496</v>
      </c>
      <c r="J604" s="6" t="n">
        <f aca="false">A604</f>
        <v>603</v>
      </c>
      <c r="K604" s="13" t="n">
        <f aca="false">SMALL($G$2:$G$1387,J604)</f>
        <v>-0.165602064616613</v>
      </c>
      <c r="L604" s="18" t="n">
        <f aca="false">(J604-0.5)/1386</f>
        <v>0.434704184704185</v>
      </c>
      <c r="M604" s="18" t="n">
        <f aca="false">_xlfn.NORM.DIST(K604,AVERAGE($G$2:$G$1387),_xlfn.STDEV.S($G$2:$G$1387),TRUE())</f>
        <v>0.434069760772209</v>
      </c>
    </row>
    <row r="605" customFormat="false" ht="15" hidden="false" customHeight="false" outlineLevel="0" collapsed="false">
      <c r="A605" s="0" t="n">
        <f aca="false">ROW()-1</f>
        <v>604</v>
      </c>
      <c r="B605" s="0" t="str">
        <f aca="false">'Analysis Data'!A605</f>
        <v>West Hartford</v>
      </c>
      <c r="C605" s="5" t="n">
        <f aca="false">'Analysis Data'!B605</f>
        <v>40365</v>
      </c>
      <c r="D605" s="6" t="n">
        <f aca="false">'Analysis Data'!C605</f>
        <v>128.870545870174</v>
      </c>
      <c r="E605" s="15" t="n">
        <f aca="false">SUMPRODUCT('Final Model'!$B$45:$I$45,'Analysis Data'!N605:U605)</f>
        <v>180.695197043303</v>
      </c>
      <c r="F605" s="15" t="n">
        <f aca="false">D605-E605</f>
        <v>-51.82465117313</v>
      </c>
      <c r="G605" s="13" t="n">
        <f aca="false">F605/'Final Model'!$B$21</f>
        <v>-1.0569552405047</v>
      </c>
      <c r="H605" s="6" t="n">
        <f aca="false">F605^2</f>
        <v>2685.7944692166</v>
      </c>
      <c r="J605" s="6" t="n">
        <f aca="false">A605</f>
        <v>604</v>
      </c>
      <c r="K605" s="13" t="n">
        <f aca="false">SMALL($G$2:$G$1387,J605)</f>
        <v>-0.165310029558341</v>
      </c>
      <c r="L605" s="18" t="n">
        <f aca="false">(J605-0.5)/1386</f>
        <v>0.435425685425685</v>
      </c>
      <c r="M605" s="18" t="n">
        <f aca="false">_xlfn.NORM.DIST(K605,AVERAGE($G$2:$G$1387),_xlfn.STDEV.S($G$2:$G$1387),TRUE())</f>
        <v>0.434184965572988</v>
      </c>
    </row>
    <row r="606" customFormat="false" ht="15" hidden="false" customHeight="false" outlineLevel="0" collapsed="false">
      <c r="A606" s="0" t="n">
        <f aca="false">ROW()-1</f>
        <v>605</v>
      </c>
      <c r="B606" s="0" t="str">
        <f aca="false">'Analysis Data'!A606</f>
        <v>West Hartford</v>
      </c>
      <c r="C606" s="5" t="n">
        <f aca="false">'Analysis Data'!B606</f>
        <v>40372</v>
      </c>
      <c r="D606" s="6" t="n">
        <f aca="false">'Analysis Data'!C606</f>
        <v>192.985990285985</v>
      </c>
      <c r="E606" s="15" t="n">
        <f aca="false">SUMPRODUCT('Final Model'!$B$45:$I$45,'Analysis Data'!N606:U606)</f>
        <v>194.423620004376</v>
      </c>
      <c r="F606" s="15" t="n">
        <f aca="false">D606-E606</f>
        <v>-1.43762971839075</v>
      </c>
      <c r="G606" s="13" t="n">
        <f aca="false">F606/'Final Model'!$B$21</f>
        <v>-0.0293202217547435</v>
      </c>
      <c r="H606" s="6" t="n">
        <f aca="false">F606^2</f>
        <v>2.06677920720027</v>
      </c>
      <c r="J606" s="6" t="n">
        <f aca="false">A606</f>
        <v>605</v>
      </c>
      <c r="K606" s="13" t="n">
        <f aca="false">SMALL($G$2:$G$1387,J606)</f>
        <v>-0.16484720655847</v>
      </c>
      <c r="L606" s="18" t="n">
        <f aca="false">(J606-0.5)/1386</f>
        <v>0.436147186147186</v>
      </c>
      <c r="M606" s="18" t="n">
        <f aca="false">_xlfn.NORM.DIST(K606,AVERAGE($G$2:$G$1387),_xlfn.STDEV.S($G$2:$G$1387),TRUE())</f>
        <v>0.434367555890811</v>
      </c>
    </row>
    <row r="607" customFormat="false" ht="15" hidden="false" customHeight="false" outlineLevel="0" collapsed="false">
      <c r="A607" s="0" t="n">
        <f aca="false">ROW()-1</f>
        <v>606</v>
      </c>
      <c r="B607" s="0" t="str">
        <f aca="false">'Analysis Data'!A607</f>
        <v>Woburn</v>
      </c>
      <c r="C607" s="5" t="n">
        <f aca="false">'Analysis Data'!B607</f>
        <v>40302</v>
      </c>
      <c r="D607" s="6" t="n">
        <f aca="false">'Analysis Data'!C607</f>
        <v>228.230214360368</v>
      </c>
      <c r="E607" s="15" t="n">
        <f aca="false">SUMPRODUCT('Final Model'!$B$45:$I$45,'Analysis Data'!N607:U607)</f>
        <v>183.800247938187</v>
      </c>
      <c r="F607" s="15" t="n">
        <f aca="false">D607-E607</f>
        <v>44.4299664221808</v>
      </c>
      <c r="G607" s="13" t="n">
        <f aca="false">F607/'Final Model'!$B$21</f>
        <v>0.906141860723604</v>
      </c>
      <c r="H607" s="6" t="n">
        <f aca="false">F607^2</f>
        <v>1974.02191627611</v>
      </c>
      <c r="J607" s="6" t="n">
        <f aca="false">A607</f>
        <v>606</v>
      </c>
      <c r="K607" s="13" t="n">
        <f aca="false">SMALL($G$2:$G$1387,J607)</f>
        <v>-0.164699386988425</v>
      </c>
      <c r="L607" s="18" t="n">
        <f aca="false">(J607-0.5)/1386</f>
        <v>0.436868686868687</v>
      </c>
      <c r="M607" s="18" t="n">
        <f aca="false">_xlfn.NORM.DIST(K607,AVERAGE($G$2:$G$1387),_xlfn.STDEV.S($G$2:$G$1387),TRUE())</f>
        <v>0.434425875785341</v>
      </c>
    </row>
    <row r="608" customFormat="false" ht="15" hidden="false" customHeight="false" outlineLevel="0" collapsed="false">
      <c r="A608" s="0" t="n">
        <f aca="false">ROW()-1</f>
        <v>607</v>
      </c>
      <c r="B608" s="0" t="str">
        <f aca="false">'Analysis Data'!A608</f>
        <v>Woburn</v>
      </c>
      <c r="C608" s="5" t="n">
        <f aca="false">'Analysis Data'!B608</f>
        <v>40309</v>
      </c>
      <c r="D608" s="6" t="n">
        <f aca="false">'Analysis Data'!C608</f>
        <v>242.10110366</v>
      </c>
      <c r="E608" s="15" t="n">
        <f aca="false">SUMPRODUCT('Final Model'!$B$45:$I$45,'Analysis Data'!N608:U608)</f>
        <v>184.115481524632</v>
      </c>
      <c r="F608" s="15" t="n">
        <f aca="false">D608-E608</f>
        <v>57.9856221353685</v>
      </c>
      <c r="G608" s="13" t="n">
        <f aca="false">F608/'Final Model'!$B$21</f>
        <v>1.18260723039231</v>
      </c>
      <c r="H608" s="6" t="n">
        <f aca="false">F608^2</f>
        <v>3362.33237442574</v>
      </c>
      <c r="J608" s="6" t="n">
        <f aca="false">A608</f>
        <v>607</v>
      </c>
      <c r="K608" s="13" t="n">
        <f aca="false">SMALL($G$2:$G$1387,J608)</f>
        <v>-0.16357270124978</v>
      </c>
      <c r="L608" s="18" t="n">
        <f aca="false">(J608-0.5)/1386</f>
        <v>0.437590187590188</v>
      </c>
      <c r="M608" s="18" t="n">
        <f aca="false">_xlfn.NORM.DIST(K608,AVERAGE($G$2:$G$1387),_xlfn.STDEV.S($G$2:$G$1387),TRUE())</f>
        <v>0.434870438786003</v>
      </c>
    </row>
    <row r="609" customFormat="false" ht="15" hidden="false" customHeight="false" outlineLevel="0" collapsed="false">
      <c r="A609" s="0" t="n">
        <f aca="false">ROW()-1</f>
        <v>608</v>
      </c>
      <c r="B609" s="0" t="str">
        <f aca="false">'Analysis Data'!A609</f>
        <v>Woburn</v>
      </c>
      <c r="C609" s="5" t="n">
        <f aca="false">'Analysis Data'!B609</f>
        <v>40316</v>
      </c>
      <c r="D609" s="6" t="n">
        <f aca="false">'Analysis Data'!C609</f>
        <v>251.043064599515</v>
      </c>
      <c r="E609" s="15" t="n">
        <f aca="false">SUMPRODUCT('Final Model'!$B$45:$I$45,'Analysis Data'!N609:U609)</f>
        <v>191.365854167319</v>
      </c>
      <c r="F609" s="15" t="n">
        <f aca="false">D609-E609</f>
        <v>59.6772104321965</v>
      </c>
      <c r="G609" s="13" t="n">
        <f aca="false">F609/'Final Model'!$B$21</f>
        <v>1.21710689560252</v>
      </c>
      <c r="H609" s="6" t="n">
        <f aca="false">F609^2</f>
        <v>3561.36944496866</v>
      </c>
      <c r="J609" s="6" t="n">
        <f aca="false">A609</f>
        <v>608</v>
      </c>
      <c r="K609" s="13" t="n">
        <f aca="false">SMALL($G$2:$G$1387,J609)</f>
        <v>-0.163384951234029</v>
      </c>
      <c r="L609" s="18" t="n">
        <f aca="false">(J609-0.5)/1386</f>
        <v>0.438311688311688</v>
      </c>
      <c r="M609" s="18" t="n">
        <f aca="false">_xlfn.NORM.DIST(K609,AVERAGE($G$2:$G$1387),_xlfn.STDEV.S($G$2:$G$1387),TRUE())</f>
        <v>0.434944528431089</v>
      </c>
    </row>
    <row r="610" customFormat="false" ht="15" hidden="false" customHeight="false" outlineLevel="0" collapsed="false">
      <c r="A610" s="0" t="n">
        <f aca="false">ROW()-1</f>
        <v>609</v>
      </c>
      <c r="B610" s="0" t="str">
        <f aca="false">'Analysis Data'!A610</f>
        <v>Woburn</v>
      </c>
      <c r="C610" s="5" t="n">
        <f aca="false">'Analysis Data'!B610</f>
        <v>40323</v>
      </c>
      <c r="D610" s="6" t="n">
        <f aca="false">'Analysis Data'!C610</f>
        <v>189.581955708766</v>
      </c>
      <c r="E610" s="15" t="n">
        <f aca="false">SUMPRODUCT('Final Model'!$B$45:$I$45,'Analysis Data'!N610:U610)</f>
        <v>191.365854167319</v>
      </c>
      <c r="F610" s="15" t="n">
        <f aca="false">D610-E610</f>
        <v>-1.7838984585523</v>
      </c>
      <c r="G610" s="13" t="n">
        <f aca="false">F610/'Final Model'!$B$21</f>
        <v>-0.0363823157824302</v>
      </c>
      <c r="H610" s="6" t="n">
        <f aca="false">F610^2</f>
        <v>3.18229371042527</v>
      </c>
      <c r="J610" s="6" t="n">
        <f aca="false">A610</f>
        <v>609</v>
      </c>
      <c r="K610" s="13" t="n">
        <f aca="false">SMALL($G$2:$G$1387,J610)</f>
        <v>-0.16067581485672</v>
      </c>
      <c r="L610" s="18" t="n">
        <f aca="false">(J610-0.5)/1386</f>
        <v>0.439033189033189</v>
      </c>
      <c r="M610" s="18" t="n">
        <f aca="false">_xlfn.NORM.DIST(K610,AVERAGE($G$2:$G$1387),_xlfn.STDEV.S($G$2:$G$1387),TRUE())</f>
        <v>0.4360138570047</v>
      </c>
    </row>
    <row r="611" customFormat="false" ht="15" hidden="false" customHeight="false" outlineLevel="0" collapsed="false">
      <c r="A611" s="0" t="n">
        <f aca="false">ROW()-1</f>
        <v>610</v>
      </c>
      <c r="B611" s="0" t="str">
        <f aca="false">'Analysis Data'!A611</f>
        <v>Woburn</v>
      </c>
      <c r="C611" s="5" t="n">
        <f aca="false">'Analysis Data'!B611</f>
        <v>40330</v>
      </c>
      <c r="D611" s="6" t="n">
        <f aca="false">'Analysis Data'!C611</f>
        <v>133.330688938241</v>
      </c>
      <c r="E611" s="15" t="n">
        <f aca="false">SUMPRODUCT('Final Model'!$B$45:$I$45,'Analysis Data'!N611:U611)</f>
        <v>191.365854167319</v>
      </c>
      <c r="F611" s="15" t="n">
        <f aca="false">D611-E611</f>
        <v>-58.0351652290776</v>
      </c>
      <c r="G611" s="13" t="n">
        <f aca="false">F611/'Final Model'!$B$21</f>
        <v>-1.18361765364343</v>
      </c>
      <c r="H611" s="6" t="n">
        <f aca="false">F611^2</f>
        <v>3368.08040316634</v>
      </c>
      <c r="J611" s="6" t="n">
        <f aca="false">A611</f>
        <v>610</v>
      </c>
      <c r="K611" s="13" t="n">
        <f aca="false">SMALL($G$2:$G$1387,J611)</f>
        <v>-0.155791137427182</v>
      </c>
      <c r="L611" s="18" t="n">
        <f aca="false">(J611-0.5)/1386</f>
        <v>0.43975468975469</v>
      </c>
      <c r="M611" s="18" t="n">
        <f aca="false">_xlfn.NORM.DIST(K611,AVERAGE($G$2:$G$1387),_xlfn.STDEV.S($G$2:$G$1387),TRUE())</f>
        <v>0.437943074960037</v>
      </c>
    </row>
    <row r="612" customFormat="false" ht="15" hidden="false" customHeight="false" outlineLevel="0" collapsed="false">
      <c r="A612" s="0" t="n">
        <f aca="false">ROW()-1</f>
        <v>611</v>
      </c>
      <c r="B612" s="0" t="str">
        <f aca="false">'Analysis Data'!A612</f>
        <v>Woburn</v>
      </c>
      <c r="C612" s="5" t="n">
        <f aca="false">'Analysis Data'!B612</f>
        <v>40337</v>
      </c>
      <c r="D612" s="6" t="n">
        <f aca="false">'Analysis Data'!C612</f>
        <v>68.8775792729443</v>
      </c>
      <c r="E612" s="15" t="n">
        <f aca="false">SUMPRODUCT('Final Model'!$B$45:$I$45,'Analysis Data'!N612:U612)</f>
        <v>184.115481524632</v>
      </c>
      <c r="F612" s="15" t="n">
        <f aca="false">D612-E612</f>
        <v>-115.237902251687</v>
      </c>
      <c r="G612" s="13" t="n">
        <f aca="false">F612/'Final Model'!$B$21</f>
        <v>-2.35025807087034</v>
      </c>
      <c r="H612" s="6" t="n">
        <f aca="false">F612^2</f>
        <v>13279.7741153694</v>
      </c>
      <c r="J612" s="6" t="n">
        <f aca="false">A612</f>
        <v>611</v>
      </c>
      <c r="K612" s="13" t="n">
        <f aca="false">SMALL($G$2:$G$1387,J612)</f>
        <v>-0.154772083826834</v>
      </c>
      <c r="L612" s="18" t="n">
        <f aca="false">(J612-0.5)/1386</f>
        <v>0.44047619047619</v>
      </c>
      <c r="M612" s="18" t="n">
        <f aca="false">_xlfn.NORM.DIST(K612,AVERAGE($G$2:$G$1387),_xlfn.STDEV.S($G$2:$G$1387),TRUE())</f>
        <v>0.438345740828694</v>
      </c>
    </row>
    <row r="613" customFormat="false" ht="15" hidden="false" customHeight="false" outlineLevel="0" collapsed="false">
      <c r="A613" s="0" t="n">
        <f aca="false">ROW()-1</f>
        <v>612</v>
      </c>
      <c r="B613" s="0" t="str">
        <f aca="false">'Analysis Data'!A613</f>
        <v>Woburn</v>
      </c>
      <c r="C613" s="5" t="n">
        <f aca="false">'Analysis Data'!B613</f>
        <v>40344</v>
      </c>
      <c r="D613" s="6" t="n">
        <f aca="false">'Analysis Data'!C613</f>
        <v>261.52228220237</v>
      </c>
      <c r="E613" s="15" t="n">
        <f aca="false">SUMPRODUCT('Final Model'!$B$45:$I$45,'Analysis Data'!N613:U613)</f>
        <v>183.800247938187</v>
      </c>
      <c r="F613" s="15" t="n">
        <f aca="false">D613-E613</f>
        <v>77.7220342641828</v>
      </c>
      <c r="G613" s="13" t="n">
        <f aca="false">F613/'Final Model'!$B$21</f>
        <v>1.58512811101768</v>
      </c>
      <c r="H613" s="6" t="n">
        <f aca="false">F613^2</f>
        <v>6040.71461016281</v>
      </c>
      <c r="J613" s="6" t="n">
        <f aca="false">A613</f>
        <v>612</v>
      </c>
      <c r="K613" s="13" t="n">
        <f aca="false">SMALL($G$2:$G$1387,J613)</f>
        <v>-0.153215630663796</v>
      </c>
      <c r="L613" s="18" t="n">
        <f aca="false">(J613-0.5)/1386</f>
        <v>0.441197691197691</v>
      </c>
      <c r="M613" s="18" t="n">
        <f aca="false">_xlfn.NORM.DIST(K613,AVERAGE($G$2:$G$1387),_xlfn.STDEV.S($G$2:$G$1387),TRUE())</f>
        <v>0.438960876264081</v>
      </c>
    </row>
    <row r="614" customFormat="false" ht="15" hidden="false" customHeight="false" outlineLevel="0" collapsed="false">
      <c r="A614" s="0" t="n">
        <f aca="false">ROW()-1</f>
        <v>613</v>
      </c>
      <c r="B614" s="0" t="str">
        <f aca="false">'Analysis Data'!A614</f>
        <v>Woburn</v>
      </c>
      <c r="C614" s="5" t="n">
        <f aca="false">'Analysis Data'!B614</f>
        <v>40351</v>
      </c>
      <c r="D614" s="6" t="n">
        <f aca="false">'Analysis Data'!C614</f>
        <v>91.499003303075</v>
      </c>
      <c r="E614" s="15" t="n">
        <f aca="false">SUMPRODUCT('Final Model'!$B$45:$I$45,'Analysis Data'!N614:U614)</f>
        <v>183.800247938187</v>
      </c>
      <c r="F614" s="15" t="n">
        <f aca="false">D614-E614</f>
        <v>-92.3012446351121</v>
      </c>
      <c r="G614" s="13" t="n">
        <f aca="false">F614/'Final Model'!$B$21</f>
        <v>-1.88246870965472</v>
      </c>
      <c r="H614" s="6" t="n">
        <f aca="false">F614^2</f>
        <v>8519.51976119081</v>
      </c>
      <c r="J614" s="6" t="n">
        <f aca="false">A614</f>
        <v>613</v>
      </c>
      <c r="K614" s="13" t="n">
        <f aca="false">SMALL($G$2:$G$1387,J614)</f>
        <v>-0.150261595517389</v>
      </c>
      <c r="L614" s="18" t="n">
        <f aca="false">(J614-0.5)/1386</f>
        <v>0.441919191919192</v>
      </c>
      <c r="M614" s="18" t="n">
        <f aca="false">_xlfn.NORM.DIST(K614,AVERAGE($G$2:$G$1387),_xlfn.STDEV.S($G$2:$G$1387),TRUE())</f>
        <v>0.440128762981776</v>
      </c>
    </row>
    <row r="615" customFormat="false" ht="15" hidden="false" customHeight="false" outlineLevel="0" collapsed="false">
      <c r="A615" s="0" t="n">
        <f aca="false">ROW()-1</f>
        <v>614</v>
      </c>
      <c r="B615" s="0" t="str">
        <f aca="false">'Analysis Data'!A615</f>
        <v>Woburn</v>
      </c>
      <c r="C615" s="5" t="n">
        <f aca="false">'Analysis Data'!B615</f>
        <v>40358</v>
      </c>
      <c r="D615" s="6" t="n">
        <f aca="false">'Analysis Data'!C615</f>
        <v>96.4249705067834</v>
      </c>
      <c r="E615" s="15" t="n">
        <f aca="false">SUMPRODUCT('Final Model'!$B$45:$I$45,'Analysis Data'!N615:U615)</f>
        <v>183.800247938187</v>
      </c>
      <c r="F615" s="15" t="n">
        <f aca="false">D615-E615</f>
        <v>-87.3752774314037</v>
      </c>
      <c r="G615" s="13" t="n">
        <f aca="false">F615/'Final Model'!$B$21</f>
        <v>-1.78200441838297</v>
      </c>
      <c r="H615" s="6" t="n">
        <f aca="false">F615^2</f>
        <v>7634.43910621477</v>
      </c>
      <c r="J615" s="6" t="n">
        <f aca="false">A615</f>
        <v>614</v>
      </c>
      <c r="K615" s="13" t="n">
        <f aca="false">SMALL($G$2:$G$1387,J615)</f>
        <v>-0.148422930173792</v>
      </c>
      <c r="L615" s="18" t="n">
        <f aca="false">(J615-0.5)/1386</f>
        <v>0.442640692640693</v>
      </c>
      <c r="M615" s="18" t="n">
        <f aca="false">_xlfn.NORM.DIST(K615,AVERAGE($G$2:$G$1387),_xlfn.STDEV.S($G$2:$G$1387),TRUE())</f>
        <v>0.440855948653182</v>
      </c>
    </row>
    <row r="616" customFormat="false" ht="15" hidden="false" customHeight="false" outlineLevel="0" collapsed="false">
      <c r="A616" s="0" t="n">
        <f aca="false">ROW()-1</f>
        <v>615</v>
      </c>
      <c r="B616" s="0" t="str">
        <f aca="false">'Analysis Data'!A616</f>
        <v>Woburn</v>
      </c>
      <c r="C616" s="5" t="n">
        <f aca="false">'Analysis Data'!B616</f>
        <v>40365</v>
      </c>
      <c r="D616" s="6" t="n">
        <f aca="false">'Analysis Data'!C616</f>
        <v>177.001646849435</v>
      </c>
      <c r="E616" s="15" t="n">
        <f aca="false">SUMPRODUCT('Final Model'!$B$45:$I$45,'Analysis Data'!N616:U616)</f>
        <v>193.162685636532</v>
      </c>
      <c r="F616" s="15" t="n">
        <f aca="false">D616-E616</f>
        <v>-16.1610387870968</v>
      </c>
      <c r="G616" s="13" t="n">
        <f aca="false">F616/'Final Model'!$B$21</f>
        <v>-0.329601729126119</v>
      </c>
      <c r="H616" s="6" t="n">
        <f aca="false">F616^2</f>
        <v>261.179174678046</v>
      </c>
      <c r="J616" s="6" t="n">
        <f aca="false">A616</f>
        <v>615</v>
      </c>
      <c r="K616" s="13" t="n">
        <f aca="false">SMALL($G$2:$G$1387,J616)</f>
        <v>-0.147949810694609</v>
      </c>
      <c r="L616" s="18" t="n">
        <f aca="false">(J616-0.5)/1386</f>
        <v>0.443362193362193</v>
      </c>
      <c r="M616" s="18" t="n">
        <f aca="false">_xlfn.NORM.DIST(K616,AVERAGE($G$2:$G$1387),_xlfn.STDEV.S($G$2:$G$1387),TRUE())</f>
        <v>0.441043098108097</v>
      </c>
    </row>
    <row r="617" customFormat="false" ht="15" hidden="false" customHeight="false" outlineLevel="0" collapsed="false">
      <c r="A617" s="0" t="n">
        <f aca="false">ROW()-1</f>
        <v>616</v>
      </c>
      <c r="B617" s="0" t="str">
        <f aca="false">'Analysis Data'!A617</f>
        <v>Woburn</v>
      </c>
      <c r="C617" s="5" t="n">
        <f aca="false">'Analysis Data'!B617</f>
        <v>40372</v>
      </c>
      <c r="D617" s="6" t="n">
        <f aca="false">'Analysis Data'!C617</f>
        <v>136.888509701885</v>
      </c>
      <c r="E617" s="15" t="n">
        <f aca="false">SUMPRODUCT('Final Model'!$B$45:$I$45,'Analysis Data'!N617:U617)</f>
        <v>193.935007938767</v>
      </c>
      <c r="F617" s="15" t="n">
        <f aca="false">D617-E617</f>
        <v>-57.0464982368827</v>
      </c>
      <c r="G617" s="13" t="n">
        <f aca="false">F617/'Final Model'!$B$21</f>
        <v>-1.16345395287826</v>
      </c>
      <c r="H617" s="6" t="n">
        <f aca="false">F617^2</f>
        <v>3254.30296109066</v>
      </c>
      <c r="J617" s="6" t="n">
        <f aca="false">A617</f>
        <v>616</v>
      </c>
      <c r="K617" s="13" t="n">
        <f aca="false">SMALL($G$2:$G$1387,J617)</f>
        <v>-0.146768543982502</v>
      </c>
      <c r="L617" s="18" t="n">
        <f aca="false">(J617-0.5)/1386</f>
        <v>0.444083694083694</v>
      </c>
      <c r="M617" s="18" t="n">
        <f aca="false">_xlfn.NORM.DIST(K617,AVERAGE($G$2:$G$1387),_xlfn.STDEV.S($G$2:$G$1387),TRUE())</f>
        <v>0.441510423134031</v>
      </c>
    </row>
    <row r="618" customFormat="false" ht="15" hidden="false" customHeight="false" outlineLevel="0" collapsed="false">
      <c r="A618" s="0" t="n">
        <f aca="false">ROW()-1</f>
        <v>617</v>
      </c>
      <c r="B618" s="0" t="str">
        <f aca="false">'Analysis Data'!A618</f>
        <v>Fresno</v>
      </c>
      <c r="C618" s="5" t="n">
        <f aca="false">'Analysis Data'!B618</f>
        <v>40302</v>
      </c>
      <c r="D618" s="6" t="n">
        <f aca="false">'Analysis Data'!C618</f>
        <v>194.926799376765</v>
      </c>
      <c r="E618" s="15" t="n">
        <f aca="false">SUMPRODUCT('Final Model'!$B$45:$I$45,'Analysis Data'!N618:U618)</f>
        <v>236.64210299094</v>
      </c>
      <c r="F618" s="15" t="n">
        <f aca="false">D618-E618</f>
        <v>-41.7153036141752</v>
      </c>
      <c r="G618" s="13" t="n">
        <f aca="false">F618/'Final Model'!$B$21</f>
        <v>-0.850776759055301</v>
      </c>
      <c r="H618" s="6" t="n">
        <f aca="false">F618^2</f>
        <v>1740.16655562282</v>
      </c>
      <c r="J618" s="6" t="n">
        <f aca="false">A618</f>
        <v>617</v>
      </c>
      <c r="K618" s="13" t="n">
        <f aca="false">SMALL($G$2:$G$1387,J618)</f>
        <v>-0.14189241131065</v>
      </c>
      <c r="L618" s="18" t="n">
        <f aca="false">(J618-0.5)/1386</f>
        <v>0.444805194805195</v>
      </c>
      <c r="M618" s="18" t="n">
        <f aca="false">_xlfn.NORM.DIST(K618,AVERAGE($G$2:$G$1387),_xlfn.STDEV.S($G$2:$G$1387),TRUE())</f>
        <v>0.443440341766727</v>
      </c>
    </row>
    <row r="619" customFormat="false" ht="15" hidden="false" customHeight="false" outlineLevel="0" collapsed="false">
      <c r="A619" s="0" t="n">
        <f aca="false">ROW()-1</f>
        <v>618</v>
      </c>
      <c r="B619" s="0" t="str">
        <f aca="false">'Analysis Data'!A619</f>
        <v>Fresno</v>
      </c>
      <c r="C619" s="5" t="n">
        <f aca="false">'Analysis Data'!B619</f>
        <v>40309</v>
      </c>
      <c r="D619" s="6" t="n">
        <f aca="false">'Analysis Data'!C619</f>
        <v>215.841633870839</v>
      </c>
      <c r="E619" s="15" t="n">
        <f aca="false">SUMPRODUCT('Final Model'!$B$45:$I$45,'Analysis Data'!N619:U619)</f>
        <v>234.75070142814</v>
      </c>
      <c r="F619" s="15" t="n">
        <f aca="false">D619-E619</f>
        <v>-18.9090675573017</v>
      </c>
      <c r="G619" s="13" t="n">
        <f aca="false">F619/'Final Model'!$B$21</f>
        <v>-0.385647324107986</v>
      </c>
      <c r="H619" s="6" t="n">
        <f aca="false">F619^2</f>
        <v>357.5528358866</v>
      </c>
      <c r="J619" s="6" t="n">
        <f aca="false">A619</f>
        <v>618</v>
      </c>
      <c r="K619" s="13" t="n">
        <f aca="false">SMALL($G$2:$G$1387,J619)</f>
        <v>-0.135475544480687</v>
      </c>
      <c r="L619" s="18" t="n">
        <f aca="false">(J619-0.5)/1386</f>
        <v>0.445526695526696</v>
      </c>
      <c r="M619" s="18" t="n">
        <f aca="false">_xlfn.NORM.DIST(K619,AVERAGE($G$2:$G$1387),_xlfn.STDEV.S($G$2:$G$1387),TRUE())</f>
        <v>0.445982104300939</v>
      </c>
    </row>
    <row r="620" customFormat="false" ht="15" hidden="false" customHeight="false" outlineLevel="0" collapsed="false">
      <c r="A620" s="0" t="n">
        <f aca="false">ROW()-1</f>
        <v>619</v>
      </c>
      <c r="B620" s="0" t="str">
        <f aca="false">'Analysis Data'!A620</f>
        <v>Fresno</v>
      </c>
      <c r="C620" s="5" t="n">
        <f aca="false">'Analysis Data'!B620</f>
        <v>40316</v>
      </c>
      <c r="D620" s="6" t="n">
        <f aca="false">'Analysis Data'!C620</f>
        <v>336.954932688983</v>
      </c>
      <c r="E620" s="15" t="n">
        <f aca="false">SUMPRODUCT('Final Model'!$B$45:$I$45,'Analysis Data'!N620:U620)</f>
        <v>239.163971726628</v>
      </c>
      <c r="F620" s="15" t="n">
        <f aca="false">D620-E620</f>
        <v>97.7909609623547</v>
      </c>
      <c r="G620" s="13" t="n">
        <f aca="false">F620/'Final Model'!$B$21</f>
        <v>1.99443057161842</v>
      </c>
      <c r="H620" s="6" t="n">
        <f aca="false">F620^2</f>
        <v>9563.07204594078</v>
      </c>
      <c r="J620" s="6" t="n">
        <f aca="false">A620</f>
        <v>619</v>
      </c>
      <c r="K620" s="13" t="n">
        <f aca="false">SMALL($G$2:$G$1387,J620)</f>
        <v>-0.135147314096772</v>
      </c>
      <c r="L620" s="18" t="n">
        <f aca="false">(J620-0.5)/1386</f>
        <v>0.446248196248196</v>
      </c>
      <c r="M620" s="18" t="n">
        <f aca="false">_xlfn.NORM.DIST(K620,AVERAGE($G$2:$G$1387),_xlfn.STDEV.S($G$2:$G$1387),TRUE())</f>
        <v>0.446112179092214</v>
      </c>
    </row>
    <row r="621" customFormat="false" ht="15" hidden="false" customHeight="false" outlineLevel="0" collapsed="false">
      <c r="A621" s="0" t="n">
        <f aca="false">ROW()-1</f>
        <v>620</v>
      </c>
      <c r="B621" s="0" t="str">
        <f aca="false">'Analysis Data'!A621</f>
        <v>Fresno</v>
      </c>
      <c r="C621" s="5" t="n">
        <f aca="false">'Analysis Data'!B621</f>
        <v>40323</v>
      </c>
      <c r="D621" s="6" t="n">
        <f aca="false">'Analysis Data'!C621</f>
        <v>225.762943261431</v>
      </c>
      <c r="E621" s="15" t="n">
        <f aca="false">SUMPRODUCT('Final Model'!$B$45:$I$45,'Analysis Data'!N621:U621)</f>
        <v>245.048332131968</v>
      </c>
      <c r="F621" s="15" t="n">
        <f aca="false">D621-E621</f>
        <v>-19.2853888705363</v>
      </c>
      <c r="G621" s="13" t="n">
        <f aca="false">F621/'Final Model'!$B$21</f>
        <v>-0.39332233542274</v>
      </c>
      <c r="H621" s="6" t="n">
        <f aca="false">F621^2</f>
        <v>371.926223887807</v>
      </c>
      <c r="J621" s="6" t="n">
        <f aca="false">A621</f>
        <v>620</v>
      </c>
      <c r="K621" s="13" t="n">
        <f aca="false">SMALL($G$2:$G$1387,J621)</f>
        <v>-0.135021522994303</v>
      </c>
      <c r="L621" s="18" t="n">
        <f aca="false">(J621-0.5)/1386</f>
        <v>0.446969696969697</v>
      </c>
      <c r="M621" s="18" t="n">
        <f aca="false">_xlfn.NORM.DIST(K621,AVERAGE($G$2:$G$1387),_xlfn.STDEV.S($G$2:$G$1387),TRUE())</f>
        <v>0.446162030528889</v>
      </c>
    </row>
    <row r="622" customFormat="false" ht="15" hidden="false" customHeight="false" outlineLevel="0" collapsed="false">
      <c r="A622" s="0" t="n">
        <f aca="false">ROW()-1</f>
        <v>621</v>
      </c>
      <c r="B622" s="0" t="str">
        <f aca="false">'Analysis Data'!A622</f>
        <v>Fresno</v>
      </c>
      <c r="C622" s="5" t="n">
        <f aca="false">'Analysis Data'!B622</f>
        <v>40330</v>
      </c>
      <c r="D622" s="6" t="n">
        <f aca="false">'Analysis Data'!C622</f>
        <v>234.177599289833</v>
      </c>
      <c r="E622" s="15" t="n">
        <f aca="false">SUMPRODUCT('Final Model'!$B$45:$I$45,'Analysis Data'!N622:U622)</f>
        <v>246.887194748982</v>
      </c>
      <c r="F622" s="15" t="n">
        <f aca="false">D622-E622</f>
        <v>-12.7095954591488</v>
      </c>
      <c r="G622" s="13" t="n">
        <f aca="false">F622/'Final Model'!$B$21</f>
        <v>-0.259210109883133</v>
      </c>
      <c r="H622" s="6" t="n">
        <f aca="false">F622^2</f>
        <v>161.533816735217</v>
      </c>
      <c r="J622" s="6" t="n">
        <f aca="false">A622</f>
        <v>621</v>
      </c>
      <c r="K622" s="13" t="n">
        <f aca="false">SMALL($G$2:$G$1387,J622)</f>
        <v>-0.134500809982026</v>
      </c>
      <c r="L622" s="18" t="n">
        <f aca="false">(J622-0.5)/1386</f>
        <v>0.447691197691198</v>
      </c>
      <c r="M622" s="18" t="n">
        <f aca="false">_xlfn.NORM.DIST(K622,AVERAGE($G$2:$G$1387),_xlfn.STDEV.S($G$2:$G$1387),TRUE())</f>
        <v>0.446368399889663</v>
      </c>
    </row>
    <row r="623" customFormat="false" ht="15" hidden="false" customHeight="false" outlineLevel="0" collapsed="false">
      <c r="A623" s="0" t="n">
        <f aca="false">ROW()-1</f>
        <v>622</v>
      </c>
      <c r="B623" s="0" t="str">
        <f aca="false">'Analysis Data'!A623</f>
        <v>Fresno</v>
      </c>
      <c r="C623" s="5" t="n">
        <f aca="false">'Analysis Data'!B623</f>
        <v>40337</v>
      </c>
      <c r="D623" s="6" t="n">
        <f aca="false">'Analysis Data'!C623</f>
        <v>299.468644038449</v>
      </c>
      <c r="E623" s="15" t="n">
        <f aca="false">SUMPRODUCT('Final Model'!$B$45:$I$45,'Analysis Data'!N623:U623)</f>
        <v>228.008205128977</v>
      </c>
      <c r="F623" s="15" t="n">
        <f aca="false">D623-E623</f>
        <v>71.4604389094721</v>
      </c>
      <c r="G623" s="13" t="n">
        <f aca="false">F623/'Final Model'!$B$21</f>
        <v>1.45742390318863</v>
      </c>
      <c r="H623" s="6" t="n">
        <f aca="false">F623^2</f>
        <v>5106.59432913439</v>
      </c>
      <c r="J623" s="6" t="n">
        <f aca="false">A623</f>
        <v>622</v>
      </c>
      <c r="K623" s="13" t="n">
        <f aca="false">SMALL($G$2:$G$1387,J623)</f>
        <v>-0.132863605324084</v>
      </c>
      <c r="L623" s="18" t="n">
        <f aca="false">(J623-0.5)/1386</f>
        <v>0.448412698412698</v>
      </c>
      <c r="M623" s="18" t="n">
        <f aca="false">_xlfn.NORM.DIST(K623,AVERAGE($G$2:$G$1387),_xlfn.STDEV.S($G$2:$G$1387),TRUE())</f>
        <v>0.447017352421024</v>
      </c>
    </row>
    <row r="624" customFormat="false" ht="15" hidden="false" customHeight="false" outlineLevel="0" collapsed="false">
      <c r="A624" s="0" t="n">
        <f aca="false">ROW()-1</f>
        <v>623</v>
      </c>
      <c r="B624" s="0" t="str">
        <f aca="false">'Analysis Data'!A624</f>
        <v>Fresno</v>
      </c>
      <c r="C624" s="5" t="n">
        <f aca="false">'Analysis Data'!B624</f>
        <v>40344</v>
      </c>
      <c r="D624" s="6" t="n">
        <f aca="false">'Analysis Data'!C624</f>
        <v>153.635025276657</v>
      </c>
      <c r="E624" s="15" t="n">
        <f aca="false">SUMPRODUCT('Final Model'!$B$45:$I$45,'Analysis Data'!N624:U624)</f>
        <v>228.351459495333</v>
      </c>
      <c r="F624" s="15" t="n">
        <f aca="false">D624-E624</f>
        <v>-74.7164342186759</v>
      </c>
      <c r="G624" s="13" t="n">
        <f aca="false">F624/'Final Model'!$B$21</f>
        <v>-1.52382939222173</v>
      </c>
      <c r="H624" s="6" t="n">
        <f aca="false">F624^2</f>
        <v>5582.54554235372</v>
      </c>
      <c r="J624" s="6" t="n">
        <f aca="false">A624</f>
        <v>623</v>
      </c>
      <c r="K624" s="13" t="n">
        <f aca="false">SMALL($G$2:$G$1387,J624)</f>
        <v>-0.130348517402182</v>
      </c>
      <c r="L624" s="18" t="n">
        <f aca="false">(J624-0.5)/1386</f>
        <v>0.449134199134199</v>
      </c>
      <c r="M624" s="18" t="n">
        <f aca="false">_xlfn.NORM.DIST(K624,AVERAGE($G$2:$G$1387),_xlfn.STDEV.S($G$2:$G$1387),TRUE())</f>
        <v>0.448014554724482</v>
      </c>
    </row>
    <row r="625" customFormat="false" ht="15" hidden="false" customHeight="false" outlineLevel="0" collapsed="false">
      <c r="A625" s="0" t="n">
        <f aca="false">ROW()-1</f>
        <v>624</v>
      </c>
      <c r="B625" s="0" t="str">
        <f aca="false">'Analysis Data'!A625</f>
        <v>Fresno</v>
      </c>
      <c r="C625" s="5" t="n">
        <f aca="false">'Analysis Data'!B625</f>
        <v>40351</v>
      </c>
      <c r="D625" s="6" t="n">
        <f aca="false">'Analysis Data'!C625</f>
        <v>368.847022627243</v>
      </c>
      <c r="E625" s="15" t="n">
        <f aca="false">SUMPRODUCT('Final Model'!$B$45:$I$45,'Analysis Data'!N625:U625)</f>
        <v>335.284698774967</v>
      </c>
      <c r="F625" s="15" t="n">
        <f aca="false">D625-E625</f>
        <v>33.5623238522761</v>
      </c>
      <c r="G625" s="13" t="n">
        <f aca="false">F625/'Final Model'!$B$21</f>
        <v>0.68449807719249</v>
      </c>
      <c r="H625" s="6" t="n">
        <f aca="false">F625^2</f>
        <v>1126.42958236506</v>
      </c>
      <c r="J625" s="6" t="n">
        <f aca="false">A625</f>
        <v>624</v>
      </c>
      <c r="K625" s="13" t="n">
        <f aca="false">SMALL($G$2:$G$1387,J625)</f>
        <v>-0.128531837774903</v>
      </c>
      <c r="L625" s="18" t="n">
        <f aca="false">(J625-0.5)/1386</f>
        <v>0.4498556998557</v>
      </c>
      <c r="M625" s="18" t="n">
        <f aca="false">_xlfn.NORM.DIST(K625,AVERAGE($G$2:$G$1387),_xlfn.STDEV.S($G$2:$G$1387),TRUE())</f>
        <v>0.448735051263801</v>
      </c>
    </row>
    <row r="626" customFormat="false" ht="15" hidden="false" customHeight="false" outlineLevel="0" collapsed="false">
      <c r="A626" s="0" t="n">
        <f aca="false">ROW()-1</f>
        <v>625</v>
      </c>
      <c r="B626" s="0" t="str">
        <f aca="false">'Analysis Data'!A626</f>
        <v>Fresno</v>
      </c>
      <c r="C626" s="5" t="n">
        <f aca="false">'Analysis Data'!B626</f>
        <v>40358</v>
      </c>
      <c r="D626" s="6" t="n">
        <f aca="false">'Analysis Data'!C626</f>
        <v>343.445029903185</v>
      </c>
      <c r="E626" s="15" t="n">
        <f aca="false">SUMPRODUCT('Final Model'!$B$45:$I$45,'Analysis Data'!N626:U626)</f>
        <v>309.925922453223</v>
      </c>
      <c r="F626" s="15" t="n">
        <f aca="false">D626-E626</f>
        <v>33.5191074499616</v>
      </c>
      <c r="G626" s="13" t="n">
        <f aca="false">F626/'Final Model'!$B$21</f>
        <v>0.683616685772229</v>
      </c>
      <c r="H626" s="6" t="n">
        <f aca="false">F626^2</f>
        <v>1123.53056424207</v>
      </c>
      <c r="J626" s="6" t="n">
        <f aca="false">A626</f>
        <v>625</v>
      </c>
      <c r="K626" s="13" t="n">
        <f aca="false">SMALL($G$2:$G$1387,J626)</f>
        <v>-0.128115322960507</v>
      </c>
      <c r="L626" s="18" t="n">
        <f aca="false">(J626-0.5)/1386</f>
        <v>0.450577200577201</v>
      </c>
      <c r="M626" s="18" t="n">
        <f aca="false">_xlfn.NORM.DIST(K626,AVERAGE($G$2:$G$1387),_xlfn.STDEV.S($G$2:$G$1387),TRUE())</f>
        <v>0.448900265276099</v>
      </c>
    </row>
    <row r="627" customFormat="false" ht="15" hidden="false" customHeight="false" outlineLevel="0" collapsed="false">
      <c r="A627" s="0" t="n">
        <f aca="false">ROW()-1</f>
        <v>626</v>
      </c>
      <c r="B627" s="0" t="str">
        <f aca="false">'Analysis Data'!A627</f>
        <v>Fresno</v>
      </c>
      <c r="C627" s="5" t="n">
        <f aca="false">'Analysis Data'!B627</f>
        <v>40365</v>
      </c>
      <c r="D627" s="6" t="n">
        <f aca="false">'Analysis Data'!C627</f>
        <v>191.470281395277</v>
      </c>
      <c r="E627" s="15" t="n">
        <f aca="false">SUMPRODUCT('Final Model'!$B$45:$I$45,'Analysis Data'!N627:U627)</f>
        <v>313.336176762746</v>
      </c>
      <c r="F627" s="15" t="n">
        <f aca="false">D627-E627</f>
        <v>-121.865895367469</v>
      </c>
      <c r="G627" s="13" t="n">
        <f aca="false">F627/'Final Model'!$B$21</f>
        <v>-2.48543490079924</v>
      </c>
      <c r="H627" s="6" t="n">
        <f aca="false">F627^2</f>
        <v>14851.2964537149</v>
      </c>
      <c r="J627" s="6" t="n">
        <f aca="false">A627</f>
        <v>626</v>
      </c>
      <c r="K627" s="13" t="n">
        <f aca="false">SMALL($G$2:$G$1387,J627)</f>
        <v>-0.127749171730642</v>
      </c>
      <c r="L627" s="18" t="n">
        <f aca="false">(J627-0.5)/1386</f>
        <v>0.451298701298701</v>
      </c>
      <c r="M627" s="18" t="n">
        <f aca="false">_xlfn.NORM.DIST(K627,AVERAGE($G$2:$G$1387),_xlfn.STDEV.S($G$2:$G$1387),TRUE())</f>
        <v>0.449045509479814</v>
      </c>
    </row>
    <row r="628" customFormat="false" ht="15" hidden="false" customHeight="false" outlineLevel="0" collapsed="false">
      <c r="A628" s="0" t="n">
        <f aca="false">ROW()-1</f>
        <v>627</v>
      </c>
      <c r="B628" s="0" t="str">
        <f aca="false">'Analysis Data'!A628</f>
        <v>Fresno</v>
      </c>
      <c r="C628" s="5" t="n">
        <f aca="false">'Analysis Data'!B628</f>
        <v>40372</v>
      </c>
      <c r="D628" s="6" t="n">
        <f aca="false">'Analysis Data'!C628</f>
        <v>297.374939492749</v>
      </c>
      <c r="E628" s="15" t="n">
        <f aca="false">SUMPRODUCT('Final Model'!$B$45:$I$45,'Analysis Data'!N628:U628)</f>
        <v>321.360304586203</v>
      </c>
      <c r="F628" s="15" t="n">
        <f aca="false">D628-E628</f>
        <v>-23.9853650934535</v>
      </c>
      <c r="G628" s="13" t="n">
        <f aca="false">F628/'Final Model'!$B$21</f>
        <v>-0.489177577795031</v>
      </c>
      <c r="H628" s="6" t="n">
        <f aca="false">F628^2</f>
        <v>575.297738666259</v>
      </c>
      <c r="J628" s="6" t="n">
        <f aca="false">A628</f>
        <v>627</v>
      </c>
      <c r="K628" s="13" t="n">
        <f aca="false">SMALL($G$2:$G$1387,J628)</f>
        <v>-0.127662361589278</v>
      </c>
      <c r="L628" s="18" t="n">
        <f aca="false">(J628-0.5)/1386</f>
        <v>0.452020202020202</v>
      </c>
      <c r="M628" s="18" t="n">
        <f aca="false">_xlfn.NORM.DIST(K628,AVERAGE($G$2:$G$1387),_xlfn.STDEV.S($G$2:$G$1387),TRUE())</f>
        <v>0.449079946170875</v>
      </c>
    </row>
    <row r="629" customFormat="false" ht="15" hidden="false" customHeight="false" outlineLevel="0" collapsed="false">
      <c r="A629" s="0" t="n">
        <f aca="false">ROW()-1</f>
        <v>628</v>
      </c>
      <c r="B629" s="0" t="str">
        <f aca="false">'Analysis Data'!A629</f>
        <v>Los Altos</v>
      </c>
      <c r="C629" s="5" t="n">
        <f aca="false">'Analysis Data'!B629</f>
        <v>40302</v>
      </c>
      <c r="D629" s="6" t="n">
        <f aca="false">'Analysis Data'!C629</f>
        <v>251.380890951168</v>
      </c>
      <c r="E629" s="15" t="n">
        <f aca="false">SUMPRODUCT('Final Model'!$B$45:$I$45,'Analysis Data'!N629:U629)</f>
        <v>228.866341022801</v>
      </c>
      <c r="F629" s="15" t="n">
        <f aca="false">D629-E629</f>
        <v>22.5145499283671</v>
      </c>
      <c r="G629" s="13" t="n">
        <f aca="false">F629/'Final Model'!$B$21</f>
        <v>0.459180544310745</v>
      </c>
      <c r="H629" s="6" t="n">
        <f aca="false">F629^2</f>
        <v>506.904958476936</v>
      </c>
      <c r="J629" s="6" t="n">
        <f aca="false">A629</f>
        <v>628</v>
      </c>
      <c r="K629" s="13" t="n">
        <f aca="false">SMALL($G$2:$G$1387,J629)</f>
        <v>-0.126581624760492</v>
      </c>
      <c r="L629" s="18" t="n">
        <f aca="false">(J629-0.5)/1386</f>
        <v>0.452741702741703</v>
      </c>
      <c r="M629" s="18" t="n">
        <f aca="false">_xlfn.NORM.DIST(K629,AVERAGE($G$2:$G$1387),_xlfn.STDEV.S($G$2:$G$1387),TRUE())</f>
        <v>0.449508695396776</v>
      </c>
    </row>
    <row r="630" customFormat="false" ht="15" hidden="false" customHeight="false" outlineLevel="0" collapsed="false">
      <c r="A630" s="0" t="n">
        <f aca="false">ROW()-1</f>
        <v>629</v>
      </c>
      <c r="B630" s="0" t="str">
        <f aca="false">'Analysis Data'!A630</f>
        <v>Los Altos</v>
      </c>
      <c r="C630" s="5" t="n">
        <f aca="false">'Analysis Data'!B630</f>
        <v>40309</v>
      </c>
      <c r="D630" s="6" t="n">
        <f aca="false">'Analysis Data'!C630</f>
        <v>195.138236902233</v>
      </c>
      <c r="E630" s="15" t="n">
        <f aca="false">SUMPRODUCT('Final Model'!$B$45:$I$45,'Analysis Data'!N630:U630)</f>
        <v>232.744669472276</v>
      </c>
      <c r="F630" s="15" t="n">
        <f aca="false">D630-E630</f>
        <v>-37.6064325700431</v>
      </c>
      <c r="G630" s="13" t="n">
        <f aca="false">F630/'Final Model'!$B$21</f>
        <v>-0.766977009624375</v>
      </c>
      <c r="H630" s="6" t="n">
        <f aca="false">F630^2</f>
        <v>1414.2437706452</v>
      </c>
      <c r="J630" s="6" t="n">
        <f aca="false">A630</f>
        <v>629</v>
      </c>
      <c r="K630" s="13" t="n">
        <f aca="false">SMALL($G$2:$G$1387,J630)</f>
        <v>-0.126199092999867</v>
      </c>
      <c r="L630" s="18" t="n">
        <f aca="false">(J630-0.5)/1386</f>
        <v>0.453463203463203</v>
      </c>
      <c r="M630" s="18" t="n">
        <f aca="false">_xlfn.NORM.DIST(K630,AVERAGE($G$2:$G$1387),_xlfn.STDEV.S($G$2:$G$1387),TRUE())</f>
        <v>0.449660467305469</v>
      </c>
    </row>
    <row r="631" customFormat="false" ht="15" hidden="false" customHeight="false" outlineLevel="0" collapsed="false">
      <c r="A631" s="0" t="n">
        <f aca="false">ROW()-1</f>
        <v>630</v>
      </c>
      <c r="B631" s="0" t="str">
        <f aca="false">'Analysis Data'!A631</f>
        <v>Los Altos</v>
      </c>
      <c r="C631" s="5" t="n">
        <f aca="false">'Analysis Data'!B631</f>
        <v>40316</v>
      </c>
      <c r="D631" s="6" t="n">
        <f aca="false">'Analysis Data'!C631</f>
        <v>322.474185986922</v>
      </c>
      <c r="E631" s="15" t="n">
        <f aca="false">SUMPRODUCT('Final Model'!$B$45:$I$45,'Analysis Data'!N631:U631)</f>
        <v>234.75070142814</v>
      </c>
      <c r="F631" s="15" t="n">
        <f aca="false">D631-E631</f>
        <v>87.7234845587819</v>
      </c>
      <c r="G631" s="13" t="n">
        <f aca="false">F631/'Final Model'!$B$21</f>
        <v>1.78910604549926</v>
      </c>
      <c r="H631" s="6" t="n">
        <f aca="false">F631^2</f>
        <v>7695.40974313484</v>
      </c>
      <c r="J631" s="6" t="n">
        <f aca="false">A631</f>
        <v>630</v>
      </c>
      <c r="K631" s="13" t="n">
        <f aca="false">SMALL($G$2:$G$1387,J631)</f>
        <v>-0.122817981170643</v>
      </c>
      <c r="L631" s="18" t="n">
        <f aca="false">(J631-0.5)/1386</f>
        <v>0.454184704184704</v>
      </c>
      <c r="M631" s="18" t="n">
        <f aca="false">_xlfn.NORM.DIST(K631,AVERAGE($G$2:$G$1387),_xlfn.STDEV.S($G$2:$G$1387),TRUE())</f>
        <v>0.451002262635016</v>
      </c>
    </row>
    <row r="632" customFormat="false" ht="15" hidden="false" customHeight="false" outlineLevel="0" collapsed="false">
      <c r="A632" s="0" t="n">
        <f aca="false">ROW()-1</f>
        <v>631</v>
      </c>
      <c r="B632" s="0" t="str">
        <f aca="false">'Analysis Data'!A632</f>
        <v>Los Altos</v>
      </c>
      <c r="C632" s="5" t="n">
        <f aca="false">'Analysis Data'!B632</f>
        <v>40323</v>
      </c>
      <c r="D632" s="6" t="n">
        <f aca="false">'Analysis Data'!C632</f>
        <v>199.272030345296</v>
      </c>
      <c r="E632" s="15" t="n">
        <f aca="false">SUMPRODUCT('Final Model'!$B$45:$I$45,'Analysis Data'!N632:U632)</f>
        <v>234.75070142814</v>
      </c>
      <c r="F632" s="15" t="n">
        <f aca="false">D632-E632</f>
        <v>-35.478671082844</v>
      </c>
      <c r="G632" s="13" t="n">
        <f aca="false">F632/'Final Model'!$B$21</f>
        <v>-0.723581663905093</v>
      </c>
      <c r="H632" s="6" t="n">
        <f aca="false">F632^2</f>
        <v>1258.73610180463</v>
      </c>
      <c r="J632" s="6" t="n">
        <f aca="false">A632</f>
        <v>631</v>
      </c>
      <c r="K632" s="13" t="n">
        <f aca="false">SMALL($G$2:$G$1387,J632)</f>
        <v>-0.121988229245256</v>
      </c>
      <c r="L632" s="18" t="n">
        <f aca="false">(J632-0.5)/1386</f>
        <v>0.454906204906205</v>
      </c>
      <c r="M632" s="18" t="n">
        <f aca="false">_xlfn.NORM.DIST(K632,AVERAGE($G$2:$G$1387),_xlfn.STDEV.S($G$2:$G$1387),TRUE())</f>
        <v>0.451331636139422</v>
      </c>
    </row>
    <row r="633" customFormat="false" ht="15" hidden="false" customHeight="false" outlineLevel="0" collapsed="false">
      <c r="A633" s="0" t="n">
        <f aca="false">ROW()-1</f>
        <v>632</v>
      </c>
      <c r="B633" s="0" t="str">
        <f aca="false">'Analysis Data'!A633</f>
        <v>Los Altos</v>
      </c>
      <c r="C633" s="5" t="n">
        <f aca="false">'Analysis Data'!B633</f>
        <v>40330</v>
      </c>
      <c r="D633" s="6" t="n">
        <f aca="false">'Analysis Data'!C633</f>
        <v>250.416072254189</v>
      </c>
      <c r="E633" s="15" t="n">
        <f aca="false">SUMPRODUCT('Final Model'!$B$45:$I$45,'Analysis Data'!N633:U633)</f>
        <v>234.75070142814</v>
      </c>
      <c r="F633" s="15" t="n">
        <f aca="false">D633-E633</f>
        <v>15.6653708260486</v>
      </c>
      <c r="G633" s="13" t="n">
        <f aca="false">F633/'Final Model'!$B$21</f>
        <v>0.319492662550254</v>
      </c>
      <c r="H633" s="6" t="n">
        <f aca="false">F633^2</f>
        <v>245.403843117614</v>
      </c>
      <c r="J633" s="6" t="n">
        <f aca="false">A633</f>
        <v>632</v>
      </c>
      <c r="K633" s="13" t="n">
        <f aca="false">SMALL($G$2:$G$1387,J633)</f>
        <v>-0.121756089348442</v>
      </c>
      <c r="L633" s="18" t="n">
        <f aca="false">(J633-0.5)/1386</f>
        <v>0.455627705627706</v>
      </c>
      <c r="M633" s="18" t="n">
        <f aca="false">_xlfn.NORM.DIST(K633,AVERAGE($G$2:$G$1387),_xlfn.STDEV.S($G$2:$G$1387),TRUE())</f>
        <v>0.451423791053077</v>
      </c>
    </row>
    <row r="634" customFormat="false" ht="15" hidden="false" customHeight="false" outlineLevel="0" collapsed="false">
      <c r="A634" s="0" t="n">
        <f aca="false">ROW()-1</f>
        <v>633</v>
      </c>
      <c r="B634" s="0" t="str">
        <f aca="false">'Analysis Data'!A634</f>
        <v>Los Altos</v>
      </c>
      <c r="C634" s="5" t="n">
        <f aca="false">'Analysis Data'!B634</f>
        <v>40337</v>
      </c>
      <c r="D634" s="6" t="n">
        <f aca="false">'Analysis Data'!C634</f>
        <v>249.017022008743</v>
      </c>
      <c r="E634" s="15" t="n">
        <f aca="false">SUMPRODUCT('Final Model'!$B$45:$I$45,'Analysis Data'!N634:U634)</f>
        <v>226.788426271974</v>
      </c>
      <c r="F634" s="15" t="n">
        <f aca="false">D634-E634</f>
        <v>22.2285957367688</v>
      </c>
      <c r="G634" s="13" t="n">
        <f aca="false">F634/'Final Model'!$B$21</f>
        <v>0.453348555585062</v>
      </c>
      <c r="H634" s="6" t="n">
        <f aca="false">F634^2</f>
        <v>494.110468428696</v>
      </c>
      <c r="J634" s="6" t="n">
        <f aca="false">A634</f>
        <v>633</v>
      </c>
      <c r="K634" s="13" t="n">
        <f aca="false">SMALL($G$2:$G$1387,J634)</f>
        <v>-0.121079252791748</v>
      </c>
      <c r="L634" s="18" t="n">
        <f aca="false">(J634-0.5)/1386</f>
        <v>0.456349206349206</v>
      </c>
      <c r="M634" s="18" t="n">
        <f aca="false">_xlfn.NORM.DIST(K634,AVERAGE($G$2:$G$1387),_xlfn.STDEV.S($G$2:$G$1387),TRUE())</f>
        <v>0.451692496606411</v>
      </c>
    </row>
    <row r="635" customFormat="false" ht="15" hidden="false" customHeight="false" outlineLevel="0" collapsed="false">
      <c r="A635" s="0" t="n">
        <f aca="false">ROW()-1</f>
        <v>634</v>
      </c>
      <c r="B635" s="0" t="str">
        <f aca="false">'Analysis Data'!A635</f>
        <v>Los Altos</v>
      </c>
      <c r="C635" s="5" t="n">
        <f aca="false">'Analysis Data'!B635</f>
        <v>40344</v>
      </c>
      <c r="D635" s="6" t="n">
        <f aca="false">'Analysis Data'!C635</f>
        <v>284.496941938692</v>
      </c>
      <c r="E635" s="15" t="n">
        <f aca="false">SUMPRODUCT('Final Model'!$B$45:$I$45,'Analysis Data'!N635:U635)</f>
        <v>337.421122809838</v>
      </c>
      <c r="F635" s="15" t="n">
        <f aca="false">D635-E635</f>
        <v>-52.9241808711464</v>
      </c>
      <c r="G635" s="13" t="n">
        <f aca="false">F635/'Final Model'!$B$21</f>
        <v>-1.07937996792885</v>
      </c>
      <c r="H635" s="6" t="n">
        <f aca="false">F635^2</f>
        <v>2800.96892088182</v>
      </c>
      <c r="J635" s="6" t="n">
        <f aca="false">A635</f>
        <v>634</v>
      </c>
      <c r="K635" s="13" t="n">
        <f aca="false">SMALL($G$2:$G$1387,J635)</f>
        <v>-0.120020298231465</v>
      </c>
      <c r="L635" s="18" t="n">
        <f aca="false">(J635-0.5)/1386</f>
        <v>0.457070707070707</v>
      </c>
      <c r="M635" s="18" t="n">
        <f aca="false">_xlfn.NORM.DIST(K635,AVERAGE($G$2:$G$1387),_xlfn.STDEV.S($G$2:$G$1387),TRUE())</f>
        <v>0.452112948178677</v>
      </c>
    </row>
    <row r="636" customFormat="false" ht="15" hidden="false" customHeight="false" outlineLevel="0" collapsed="false">
      <c r="A636" s="0" t="n">
        <f aca="false">ROW()-1</f>
        <v>635</v>
      </c>
      <c r="B636" s="0" t="str">
        <f aca="false">'Analysis Data'!A636</f>
        <v>Los Altos</v>
      </c>
      <c r="C636" s="5" t="n">
        <f aca="false">'Analysis Data'!B636</f>
        <v>40351</v>
      </c>
      <c r="D636" s="6" t="n">
        <f aca="false">'Analysis Data'!C636</f>
        <v>256.237681000226</v>
      </c>
      <c r="E636" s="15" t="n">
        <f aca="false">SUMPRODUCT('Final Model'!$B$45:$I$45,'Analysis Data'!N636:U636)</f>
        <v>306.253340863661</v>
      </c>
      <c r="F636" s="15" t="n">
        <f aca="false">D636-E636</f>
        <v>-50.0156598634348</v>
      </c>
      <c r="G636" s="13" t="n">
        <f aca="false">F636/'Final Model'!$B$21</f>
        <v>-1.02006116014857</v>
      </c>
      <c r="H636" s="6" t="n">
        <f aca="false">F636^2</f>
        <v>2501.5662315748</v>
      </c>
      <c r="J636" s="6" t="n">
        <f aca="false">A636</f>
        <v>635</v>
      </c>
      <c r="K636" s="13" t="n">
        <f aca="false">SMALL($G$2:$G$1387,J636)</f>
        <v>-0.12001193228198</v>
      </c>
      <c r="L636" s="18" t="n">
        <f aca="false">(J636-0.5)/1386</f>
        <v>0.457792207792208</v>
      </c>
      <c r="M636" s="18" t="n">
        <f aca="false">_xlfn.NORM.DIST(K636,AVERAGE($G$2:$G$1387),_xlfn.STDEV.S($G$2:$G$1387),TRUE())</f>
        <v>0.452116270043326</v>
      </c>
    </row>
    <row r="637" customFormat="false" ht="15" hidden="false" customHeight="false" outlineLevel="0" collapsed="false">
      <c r="A637" s="0" t="n">
        <f aca="false">ROW()-1</f>
        <v>636</v>
      </c>
      <c r="B637" s="0" t="str">
        <f aca="false">'Analysis Data'!A637</f>
        <v>Los Altos</v>
      </c>
      <c r="C637" s="5" t="n">
        <f aca="false">'Analysis Data'!B637</f>
        <v>40358</v>
      </c>
      <c r="D637" s="6" t="n">
        <f aca="false">'Analysis Data'!C637</f>
        <v>328.054590772526</v>
      </c>
      <c r="E637" s="15" t="n">
        <f aca="false">SUMPRODUCT('Final Model'!$B$45:$I$45,'Analysis Data'!N637:U637)</f>
        <v>312.349877734145</v>
      </c>
      <c r="F637" s="15" t="n">
        <f aca="false">D637-E637</f>
        <v>15.7047130383806</v>
      </c>
      <c r="G637" s="13" t="n">
        <f aca="false">F637/'Final Model'!$B$21</f>
        <v>0.320295040502756</v>
      </c>
      <c r="H637" s="6" t="n">
        <f aca="false">F637^2</f>
        <v>246.638011617883</v>
      </c>
      <c r="J637" s="6" t="n">
        <f aca="false">A637</f>
        <v>636</v>
      </c>
      <c r="K637" s="13" t="n">
        <f aca="false">SMALL($G$2:$G$1387,J637)</f>
        <v>-0.119576874715804</v>
      </c>
      <c r="L637" s="18" t="n">
        <f aca="false">(J637-0.5)/1386</f>
        <v>0.458513708513709</v>
      </c>
      <c r="M637" s="18" t="n">
        <f aca="false">_xlfn.NORM.DIST(K637,AVERAGE($G$2:$G$1387),_xlfn.STDEV.S($G$2:$G$1387),TRUE())</f>
        <v>0.452289022814111</v>
      </c>
    </row>
    <row r="638" customFormat="false" ht="15" hidden="false" customHeight="false" outlineLevel="0" collapsed="false">
      <c r="A638" s="0" t="n">
        <f aca="false">ROW()-1</f>
        <v>637</v>
      </c>
      <c r="B638" s="0" t="str">
        <f aca="false">'Analysis Data'!A638</f>
        <v>Los Altos</v>
      </c>
      <c r="C638" s="5" t="n">
        <f aca="false">'Analysis Data'!B638</f>
        <v>40365</v>
      </c>
      <c r="D638" s="6" t="n">
        <f aca="false">'Analysis Data'!C638</f>
        <v>287.570828139194</v>
      </c>
      <c r="E638" s="15" t="n">
        <f aca="false">SUMPRODUCT('Final Model'!$B$45:$I$45,'Analysis Data'!N638:U638)</f>
        <v>311.062673882375</v>
      </c>
      <c r="F638" s="15" t="n">
        <f aca="false">D638-E638</f>
        <v>-23.4918457431813</v>
      </c>
      <c r="G638" s="13" t="n">
        <f aca="false">F638/'Final Model'!$B$21</f>
        <v>-0.479112331782702</v>
      </c>
      <c r="H638" s="6" t="n">
        <f aca="false">F638^2</f>
        <v>551.866816421427</v>
      </c>
      <c r="J638" s="6" t="n">
        <f aca="false">A638</f>
        <v>637</v>
      </c>
      <c r="K638" s="13" t="n">
        <f aca="false">SMALL($G$2:$G$1387,J638)</f>
        <v>-0.115644523326444</v>
      </c>
      <c r="L638" s="18" t="n">
        <f aca="false">(J638-0.5)/1386</f>
        <v>0.459235209235209</v>
      </c>
      <c r="M638" s="18" t="n">
        <f aca="false">_xlfn.NORM.DIST(K638,AVERAGE($G$2:$G$1387),_xlfn.STDEV.S($G$2:$G$1387),TRUE())</f>
        <v>0.453850887791526</v>
      </c>
    </row>
    <row r="639" customFormat="false" ht="15" hidden="false" customHeight="false" outlineLevel="0" collapsed="false">
      <c r="A639" s="0" t="n">
        <f aca="false">ROW()-1</f>
        <v>638</v>
      </c>
      <c r="B639" s="0" t="str">
        <f aca="false">'Analysis Data'!A639</f>
        <v>Los Altos</v>
      </c>
      <c r="C639" s="5" t="n">
        <f aca="false">'Analysis Data'!B639</f>
        <v>40372</v>
      </c>
      <c r="D639" s="6" t="n">
        <f aca="false">'Analysis Data'!C639</f>
        <v>228.812651369272</v>
      </c>
      <c r="E639" s="15" t="n">
        <f aca="false">SUMPRODUCT('Final Model'!$B$45:$I$45,'Analysis Data'!N639:U639)</f>
        <v>312.244845425137</v>
      </c>
      <c r="F639" s="15" t="n">
        <f aca="false">D639-E639</f>
        <v>-83.4321940558652</v>
      </c>
      <c r="G639" s="13" t="n">
        <f aca="false">F639/'Final Model'!$B$21</f>
        <v>-1.70158588119689</v>
      </c>
      <c r="H639" s="6" t="n">
        <f aca="false">F639^2</f>
        <v>6960.93100497555</v>
      </c>
      <c r="J639" s="6" t="n">
        <f aca="false">A639</f>
        <v>638</v>
      </c>
      <c r="K639" s="13" t="n">
        <f aca="false">SMALL($G$2:$G$1387,J639)</f>
        <v>-0.113857551902909</v>
      </c>
      <c r="L639" s="18" t="n">
        <f aca="false">(J639-0.5)/1386</f>
        <v>0.45995670995671</v>
      </c>
      <c r="M639" s="18" t="n">
        <f aca="false">_xlfn.NORM.DIST(K639,AVERAGE($G$2:$G$1387),_xlfn.STDEV.S($G$2:$G$1387),TRUE())</f>
        <v>0.454560880710495</v>
      </c>
    </row>
    <row r="640" customFormat="false" ht="15" hidden="false" customHeight="false" outlineLevel="0" collapsed="false">
      <c r="A640" s="0" t="n">
        <f aca="false">ROW()-1</f>
        <v>639</v>
      </c>
      <c r="B640" s="0" t="str">
        <f aca="false">'Analysis Data'!A640</f>
        <v>Napa</v>
      </c>
      <c r="C640" s="5" t="n">
        <f aca="false">'Analysis Data'!B640</f>
        <v>40302</v>
      </c>
      <c r="D640" s="6" t="n">
        <f aca="false">'Analysis Data'!C640</f>
        <v>253.619983961863</v>
      </c>
      <c r="E640" s="15" t="n">
        <f aca="false">SUMPRODUCT('Final Model'!$B$45:$I$45,'Analysis Data'!N640:U640)</f>
        <v>307.384948648346</v>
      </c>
      <c r="F640" s="15" t="n">
        <f aca="false">D640-E640</f>
        <v>-53.7649646864836</v>
      </c>
      <c r="G640" s="13" t="n">
        <f aca="false">F640/'Final Model'!$B$21</f>
        <v>-1.09652761561457</v>
      </c>
      <c r="H640" s="6" t="n">
        <f aca="false">F640^2</f>
        <v>2890.67142773883</v>
      </c>
      <c r="J640" s="6" t="n">
        <f aca="false">A640</f>
        <v>639</v>
      </c>
      <c r="K640" s="13" t="n">
        <f aca="false">SMALL($G$2:$G$1387,J640)</f>
        <v>-0.111532290335011</v>
      </c>
      <c r="L640" s="18" t="n">
        <f aca="false">(J640-0.5)/1386</f>
        <v>0.460678210678211</v>
      </c>
      <c r="M640" s="18" t="n">
        <f aca="false">_xlfn.NORM.DIST(K640,AVERAGE($G$2:$G$1387),_xlfn.STDEV.S($G$2:$G$1387),TRUE())</f>
        <v>0.455484962154767</v>
      </c>
    </row>
    <row r="641" customFormat="false" ht="15" hidden="false" customHeight="false" outlineLevel="0" collapsed="false">
      <c r="A641" s="0" t="n">
        <f aca="false">ROW()-1</f>
        <v>640</v>
      </c>
      <c r="B641" s="0" t="str">
        <f aca="false">'Analysis Data'!A641</f>
        <v>Napa</v>
      </c>
      <c r="C641" s="5" t="n">
        <f aca="false">'Analysis Data'!B641</f>
        <v>40309</v>
      </c>
      <c r="D641" s="6" t="n">
        <f aca="false">'Analysis Data'!C641</f>
        <v>321.749221311333</v>
      </c>
      <c r="E641" s="15" t="n">
        <f aca="false">SUMPRODUCT('Final Model'!$B$45:$I$45,'Analysis Data'!N641:U641)</f>
        <v>308.567120191108</v>
      </c>
      <c r="F641" s="15" t="n">
        <f aca="false">D641-E641</f>
        <v>13.1821011202254</v>
      </c>
      <c r="G641" s="13" t="n">
        <f aca="false">F641/'Final Model'!$B$21</f>
        <v>0.268846785159048</v>
      </c>
      <c r="H641" s="6" t="n">
        <f aca="false">F641^2</f>
        <v>173.767789943848</v>
      </c>
      <c r="J641" s="6" t="n">
        <f aca="false">A641</f>
        <v>640</v>
      </c>
      <c r="K641" s="13" t="n">
        <f aca="false">SMALL($G$2:$G$1387,J641)</f>
        <v>-0.111367473480459</v>
      </c>
      <c r="L641" s="18" t="n">
        <f aca="false">(J641-0.5)/1386</f>
        <v>0.461399711399711</v>
      </c>
      <c r="M641" s="18" t="n">
        <f aca="false">_xlfn.NORM.DIST(K641,AVERAGE($G$2:$G$1387),_xlfn.STDEV.S($G$2:$G$1387),TRUE())</f>
        <v>0.455550471168517</v>
      </c>
    </row>
    <row r="642" customFormat="false" ht="15" hidden="false" customHeight="false" outlineLevel="0" collapsed="false">
      <c r="A642" s="0" t="n">
        <f aca="false">ROW()-1</f>
        <v>641</v>
      </c>
      <c r="B642" s="0" t="str">
        <f aca="false">'Analysis Data'!A642</f>
        <v>Napa</v>
      </c>
      <c r="C642" s="5" t="n">
        <f aca="false">'Analysis Data'!B642</f>
        <v>40316</v>
      </c>
      <c r="D642" s="6" t="n">
        <f aca="false">'Analysis Data'!C642</f>
        <v>231.566745816806</v>
      </c>
      <c r="E642" s="15" t="n">
        <f aca="false">SUMPRODUCT('Final Model'!$B$45:$I$45,'Analysis Data'!N642:U642)</f>
        <v>315.922570681232</v>
      </c>
      <c r="F642" s="15" t="n">
        <f aca="false">D642-E642</f>
        <v>-84.355824864426</v>
      </c>
      <c r="G642" s="13" t="n">
        <f aca="false">F642/'Final Model'!$B$21</f>
        <v>-1.72042317968904</v>
      </c>
      <c r="H642" s="6" t="n">
        <f aca="false">F642^2</f>
        <v>7115.90518855771</v>
      </c>
      <c r="J642" s="6" t="n">
        <f aca="false">A642</f>
        <v>641</v>
      </c>
      <c r="K642" s="13" t="n">
        <f aca="false">SMALL($G$2:$G$1387,J642)</f>
        <v>-0.105514805014683</v>
      </c>
      <c r="L642" s="18" t="n">
        <f aca="false">(J642-0.5)/1386</f>
        <v>0.462121212121212</v>
      </c>
      <c r="M642" s="18" t="n">
        <f aca="false">_xlfn.NORM.DIST(K642,AVERAGE($G$2:$G$1387),_xlfn.STDEV.S($G$2:$G$1387),TRUE())</f>
        <v>0.457877475229842</v>
      </c>
    </row>
    <row r="643" customFormat="false" ht="15" hidden="false" customHeight="false" outlineLevel="0" collapsed="false">
      <c r="A643" s="0" t="n">
        <f aca="false">ROW()-1</f>
        <v>642</v>
      </c>
      <c r="B643" s="0" t="str">
        <f aca="false">'Analysis Data'!A643</f>
        <v>Napa</v>
      </c>
      <c r="C643" s="5" t="n">
        <f aca="false">'Analysis Data'!B643</f>
        <v>40323</v>
      </c>
      <c r="D643" s="6" t="n">
        <f aca="false">'Analysis Data'!C643</f>
        <v>183.85014679131</v>
      </c>
      <c r="E643" s="15" t="n">
        <f aca="false">SUMPRODUCT('Final Model'!$B$45:$I$45,'Analysis Data'!N643:U643)</f>
        <v>241.370606875872</v>
      </c>
      <c r="F643" s="15" t="n">
        <f aca="false">D643-E643</f>
        <v>-57.5204600845625</v>
      </c>
      <c r="G643" s="13" t="n">
        <f aca="false">F643/'Final Model'!$B$21</f>
        <v>-1.17312032684055</v>
      </c>
      <c r="H643" s="6" t="n">
        <f aca="false">F643^2</f>
        <v>3308.60332833974</v>
      </c>
      <c r="J643" s="6" t="n">
        <f aca="false">A643</f>
        <v>642</v>
      </c>
      <c r="K643" s="13" t="n">
        <f aca="false">SMALL($G$2:$G$1387,J643)</f>
        <v>-0.104646205535677</v>
      </c>
      <c r="L643" s="18" t="n">
        <f aca="false">(J643-0.5)/1386</f>
        <v>0.462842712842713</v>
      </c>
      <c r="M643" s="18" t="n">
        <f aca="false">_xlfn.NORM.DIST(K643,AVERAGE($G$2:$G$1387),_xlfn.STDEV.S($G$2:$G$1387),TRUE())</f>
        <v>0.458222952909317</v>
      </c>
    </row>
    <row r="644" customFormat="false" ht="15" hidden="false" customHeight="false" outlineLevel="0" collapsed="false">
      <c r="A644" s="0" t="n">
        <f aca="false">ROW()-1</f>
        <v>643</v>
      </c>
      <c r="B644" s="0" t="str">
        <f aca="false">'Analysis Data'!A644</f>
        <v>Napa</v>
      </c>
      <c r="C644" s="5" t="n">
        <f aca="false">'Analysis Data'!B644</f>
        <v>40330</v>
      </c>
      <c r="D644" s="6" t="n">
        <f aca="false">'Analysis Data'!C644</f>
        <v>228.740467089158</v>
      </c>
      <c r="E644" s="15" t="n">
        <f aca="false">SUMPRODUCT('Final Model'!$B$45:$I$45,'Analysis Data'!N644:U644)</f>
        <v>241.370606875872</v>
      </c>
      <c r="F644" s="15" t="n">
        <f aca="false">D644-E644</f>
        <v>-12.630139786714</v>
      </c>
      <c r="G644" s="13" t="n">
        <f aca="false">F644/'Final Model'!$B$21</f>
        <v>-0.257589624506641</v>
      </c>
      <c r="H644" s="6" t="n">
        <f aca="false">F644^2</f>
        <v>159.520431031936</v>
      </c>
      <c r="J644" s="6" t="n">
        <f aca="false">A644</f>
        <v>643</v>
      </c>
      <c r="K644" s="13" t="n">
        <f aca="false">SMALL($G$2:$G$1387,J644)</f>
        <v>-0.104529821784731</v>
      </c>
      <c r="L644" s="18" t="n">
        <f aca="false">(J644-0.5)/1386</f>
        <v>0.463564213564214</v>
      </c>
      <c r="M644" s="18" t="n">
        <f aca="false">_xlfn.NORM.DIST(K644,AVERAGE($G$2:$G$1387),_xlfn.STDEV.S($G$2:$G$1387),TRUE())</f>
        <v>0.458269245909657</v>
      </c>
    </row>
    <row r="645" customFormat="false" ht="15" hidden="false" customHeight="false" outlineLevel="0" collapsed="false">
      <c r="A645" s="0" t="n">
        <f aca="false">ROW()-1</f>
        <v>644</v>
      </c>
      <c r="B645" s="0" t="str">
        <f aca="false">'Analysis Data'!A645</f>
        <v>Napa</v>
      </c>
      <c r="C645" s="5" t="n">
        <f aca="false">'Analysis Data'!B645</f>
        <v>40337</v>
      </c>
      <c r="D645" s="6" t="n">
        <f aca="false">'Analysis Data'!C645</f>
        <v>234.027954048131</v>
      </c>
      <c r="E645" s="15" t="n">
        <f aca="false">SUMPRODUCT('Final Model'!$B$45:$I$45,'Analysis Data'!N645:U645)</f>
        <v>233.996767744793</v>
      </c>
      <c r="F645" s="15" t="n">
        <f aca="false">D645-E645</f>
        <v>0.0311863033373356</v>
      </c>
      <c r="G645" s="13" t="n">
        <f aca="false">F645/'Final Model'!$B$21</f>
        <v>0.000636039529417159</v>
      </c>
      <c r="H645" s="6" t="n">
        <f aca="false">F645^2</f>
        <v>0.000972585515848311</v>
      </c>
      <c r="J645" s="6" t="n">
        <f aca="false">A645</f>
        <v>644</v>
      </c>
      <c r="K645" s="13" t="n">
        <f aca="false">SMALL($G$2:$G$1387,J645)</f>
        <v>-0.103575033217738</v>
      </c>
      <c r="L645" s="18" t="n">
        <f aca="false">(J645-0.5)/1386</f>
        <v>0.464285714285714</v>
      </c>
      <c r="M645" s="18" t="n">
        <f aca="false">_xlfn.NORM.DIST(K645,AVERAGE($G$2:$G$1387),_xlfn.STDEV.S($G$2:$G$1387),TRUE())</f>
        <v>0.458649045560657</v>
      </c>
    </row>
    <row r="646" customFormat="false" ht="15" hidden="false" customHeight="false" outlineLevel="0" collapsed="false">
      <c r="A646" s="0" t="n">
        <f aca="false">ROW()-1</f>
        <v>645</v>
      </c>
      <c r="B646" s="0" t="str">
        <f aca="false">'Analysis Data'!A646</f>
        <v>Napa</v>
      </c>
      <c r="C646" s="5" t="n">
        <f aca="false">'Analysis Data'!B646</f>
        <v>40344</v>
      </c>
      <c r="D646" s="6" t="n">
        <f aca="false">'Analysis Data'!C646</f>
        <v>294.770440435822</v>
      </c>
      <c r="E646" s="15" t="n">
        <f aca="false">SUMPRODUCT('Final Model'!$B$45:$I$45,'Analysis Data'!N646:U646)</f>
        <v>233.647383853518</v>
      </c>
      <c r="F646" s="15" t="n">
        <f aca="false">D646-E646</f>
        <v>61.123056582304</v>
      </c>
      <c r="G646" s="13" t="n">
        <f aca="false">F646/'Final Model'!$B$21</f>
        <v>1.24659469013131</v>
      </c>
      <c r="H646" s="6" t="n">
        <f aca="false">F646^2</f>
        <v>3736.02804596353</v>
      </c>
      <c r="J646" s="6" t="n">
        <f aca="false">A646</f>
        <v>645</v>
      </c>
      <c r="K646" s="13" t="n">
        <f aca="false">SMALL($G$2:$G$1387,J646)</f>
        <v>-0.100921640584281</v>
      </c>
      <c r="L646" s="18" t="n">
        <f aca="false">(J646-0.5)/1386</f>
        <v>0.465007215007215</v>
      </c>
      <c r="M646" s="18" t="n">
        <f aca="false">_xlfn.NORM.DIST(K646,AVERAGE($G$2:$G$1387),_xlfn.STDEV.S($G$2:$G$1387),TRUE())</f>
        <v>0.459704719959721</v>
      </c>
    </row>
    <row r="647" customFormat="false" ht="15" hidden="false" customHeight="false" outlineLevel="0" collapsed="false">
      <c r="A647" s="0" t="n">
        <f aca="false">ROW()-1</f>
        <v>646</v>
      </c>
      <c r="B647" s="0" t="str">
        <f aca="false">'Analysis Data'!A647</f>
        <v>Napa</v>
      </c>
      <c r="C647" s="5" t="n">
        <f aca="false">'Analysis Data'!B647</f>
        <v>40351</v>
      </c>
      <c r="D647" s="6" t="n">
        <f aca="false">'Analysis Data'!C647</f>
        <v>204.075147949348</v>
      </c>
      <c r="E647" s="15" t="n">
        <f aca="false">SUMPRODUCT('Final Model'!$B$45:$I$45,'Analysis Data'!N647:U647)</f>
        <v>233.647383853518</v>
      </c>
      <c r="F647" s="15" t="n">
        <f aca="false">D647-E647</f>
        <v>-29.5722359041707</v>
      </c>
      <c r="G647" s="13" t="n">
        <f aca="false">F647/'Final Model'!$B$21</f>
        <v>-0.603120889476633</v>
      </c>
      <c r="H647" s="6" t="n">
        <f aca="false">F647^2</f>
        <v>874.517136371924</v>
      </c>
      <c r="J647" s="6" t="n">
        <f aca="false">A647</f>
        <v>646</v>
      </c>
      <c r="K647" s="13" t="n">
        <f aca="false">SMALL($G$2:$G$1387,J647)</f>
        <v>-0.0999370290509917</v>
      </c>
      <c r="L647" s="18" t="n">
        <f aca="false">(J647-0.5)/1386</f>
        <v>0.465728715728716</v>
      </c>
      <c r="M647" s="18" t="n">
        <f aca="false">_xlfn.NORM.DIST(K647,AVERAGE($G$2:$G$1387),_xlfn.STDEV.S($G$2:$G$1387),TRUE())</f>
        <v>0.460096528556777</v>
      </c>
    </row>
    <row r="648" customFormat="false" ht="15" hidden="false" customHeight="false" outlineLevel="0" collapsed="false">
      <c r="A648" s="0" t="n">
        <f aca="false">ROW()-1</f>
        <v>647</v>
      </c>
      <c r="B648" s="0" t="str">
        <f aca="false">'Analysis Data'!A648</f>
        <v>Napa</v>
      </c>
      <c r="C648" s="5" t="n">
        <f aca="false">'Analysis Data'!B648</f>
        <v>40358</v>
      </c>
      <c r="D648" s="6" t="n">
        <f aca="false">'Analysis Data'!C648</f>
        <v>276.717746974029</v>
      </c>
      <c r="E648" s="15" t="n">
        <f aca="false">SUMPRODUCT('Final Model'!$B$45:$I$45,'Analysis Data'!N648:U648)</f>
        <v>233.647383853518</v>
      </c>
      <c r="F648" s="15" t="n">
        <f aca="false">D648-E648</f>
        <v>43.0703631205104</v>
      </c>
      <c r="G648" s="13" t="n">
        <f aca="false">F648/'Final Model'!$B$21</f>
        <v>0.87841297491003</v>
      </c>
      <c r="H648" s="6" t="n">
        <f aca="false">F648^2</f>
        <v>1855.05617933262</v>
      </c>
      <c r="J648" s="6" t="n">
        <f aca="false">A648</f>
        <v>647</v>
      </c>
      <c r="K648" s="13" t="n">
        <f aca="false">SMALL($G$2:$G$1387,J648)</f>
        <v>-0.0977053922937057</v>
      </c>
      <c r="L648" s="18" t="n">
        <f aca="false">(J648-0.5)/1386</f>
        <v>0.466450216450216</v>
      </c>
      <c r="M648" s="18" t="n">
        <f aca="false">_xlfn.NORM.DIST(K648,AVERAGE($G$2:$G$1387),_xlfn.STDEV.S($G$2:$G$1387),TRUE())</f>
        <v>0.460984711457633</v>
      </c>
    </row>
    <row r="649" customFormat="false" ht="15" hidden="false" customHeight="false" outlineLevel="0" collapsed="false">
      <c r="A649" s="0" t="n">
        <f aca="false">ROW()-1</f>
        <v>648</v>
      </c>
      <c r="B649" s="0" t="str">
        <f aca="false">'Analysis Data'!A649</f>
        <v>Napa</v>
      </c>
      <c r="C649" s="5" t="n">
        <f aca="false">'Analysis Data'!B649</f>
        <v>40365</v>
      </c>
      <c r="D649" s="6" t="n">
        <f aca="false">'Analysis Data'!C649</f>
        <v>209.418913097375</v>
      </c>
      <c r="E649" s="15" t="n">
        <f aca="false">SUMPRODUCT('Final Model'!$B$45:$I$45,'Analysis Data'!N649:U649)</f>
        <v>237.398663607233</v>
      </c>
      <c r="F649" s="15" t="n">
        <f aca="false">D649-E649</f>
        <v>-27.9797505098585</v>
      </c>
      <c r="G649" s="13" t="n">
        <f aca="false">F649/'Final Model'!$B$21</f>
        <v>-0.570642411670339</v>
      </c>
      <c r="H649" s="6" t="n">
        <f aca="false">F649^2</f>
        <v>782.86643859393</v>
      </c>
      <c r="J649" s="6" t="n">
        <f aca="false">A649</f>
        <v>648</v>
      </c>
      <c r="K649" s="13" t="n">
        <f aca="false">SMALL($G$2:$G$1387,J649)</f>
        <v>-0.0960105763465012</v>
      </c>
      <c r="L649" s="18" t="n">
        <f aca="false">(J649-0.5)/1386</f>
        <v>0.467171717171717</v>
      </c>
      <c r="M649" s="18" t="n">
        <f aca="false">_xlfn.NORM.DIST(K649,AVERAGE($G$2:$G$1387),_xlfn.STDEV.S($G$2:$G$1387),TRUE())</f>
        <v>0.461659372021929</v>
      </c>
    </row>
    <row r="650" customFormat="false" ht="15" hidden="false" customHeight="false" outlineLevel="0" collapsed="false">
      <c r="A650" s="0" t="n">
        <f aca="false">ROW()-1</f>
        <v>649</v>
      </c>
      <c r="B650" s="0" t="str">
        <f aca="false">'Analysis Data'!A650</f>
        <v>Napa</v>
      </c>
      <c r="C650" s="5" t="n">
        <f aca="false">'Analysis Data'!B650</f>
        <v>40372</v>
      </c>
      <c r="D650" s="6" t="n">
        <f aca="false">'Analysis Data'!C650</f>
        <v>250.023670759649</v>
      </c>
      <c r="E650" s="15" t="n">
        <f aca="false">SUMPRODUCT('Final Model'!$B$45:$I$45,'Analysis Data'!N650:U650)</f>
        <v>238.361558953109</v>
      </c>
      <c r="F650" s="15" t="n">
        <f aca="false">D650-E650</f>
        <v>11.66211180654</v>
      </c>
      <c r="G650" s="13" t="n">
        <f aca="false">F650/'Final Model'!$B$21</f>
        <v>0.237846852998503</v>
      </c>
      <c r="H650" s="6" t="n">
        <f aca="false">F650^2</f>
        <v>136.00485178824</v>
      </c>
      <c r="J650" s="6" t="n">
        <f aca="false">A650</f>
        <v>649</v>
      </c>
      <c r="K650" s="13" t="n">
        <f aca="false">SMALL($G$2:$G$1387,J650)</f>
        <v>-0.0947536610200656</v>
      </c>
      <c r="L650" s="18" t="n">
        <f aca="false">(J650-0.5)/1386</f>
        <v>0.467893217893218</v>
      </c>
      <c r="M650" s="18" t="n">
        <f aca="false">_xlfn.NORM.DIST(K650,AVERAGE($G$2:$G$1387),_xlfn.STDEV.S($G$2:$G$1387),TRUE())</f>
        <v>0.462159787519104</v>
      </c>
    </row>
    <row r="651" customFormat="false" ht="15" hidden="false" customHeight="false" outlineLevel="0" collapsed="false">
      <c r="A651" s="0" t="n">
        <f aca="false">ROW()-1</f>
        <v>650</v>
      </c>
      <c r="B651" s="0" t="str">
        <f aca="false">'Analysis Data'!A651</f>
        <v>Petaluma</v>
      </c>
      <c r="C651" s="5" t="n">
        <f aca="false">'Analysis Data'!B651</f>
        <v>40302</v>
      </c>
      <c r="D651" s="6" t="n">
        <f aca="false">'Analysis Data'!C651</f>
        <v>312.597270986709</v>
      </c>
      <c r="E651" s="15" t="n">
        <f aca="false">SUMPRODUCT('Final Model'!$B$45:$I$45,'Analysis Data'!N651:U651)</f>
        <v>232.744669472276</v>
      </c>
      <c r="F651" s="15" t="n">
        <f aca="false">D651-E651</f>
        <v>79.8526015144325</v>
      </c>
      <c r="G651" s="13" t="n">
        <f aca="false">F651/'Final Model'!$B$21</f>
        <v>1.6285806798131</v>
      </c>
      <c r="H651" s="6" t="n">
        <f aca="false">F651^2</f>
        <v>6376.43796862275</v>
      </c>
      <c r="J651" s="6" t="n">
        <f aca="false">A651</f>
        <v>650</v>
      </c>
      <c r="K651" s="13" t="n">
        <f aca="false">SMALL($G$2:$G$1387,J651)</f>
        <v>-0.0928199440675683</v>
      </c>
      <c r="L651" s="18" t="n">
        <f aca="false">(J651-0.5)/1386</f>
        <v>0.468614718614719</v>
      </c>
      <c r="M651" s="18" t="n">
        <f aca="false">_xlfn.NORM.DIST(K651,AVERAGE($G$2:$G$1387),_xlfn.STDEV.S($G$2:$G$1387),TRUE())</f>
        <v>0.462929774636343</v>
      </c>
    </row>
    <row r="652" customFormat="false" ht="15" hidden="false" customHeight="false" outlineLevel="0" collapsed="false">
      <c r="A652" s="0" t="n">
        <f aca="false">ROW()-1</f>
        <v>651</v>
      </c>
      <c r="B652" s="0" t="str">
        <f aca="false">'Analysis Data'!A652</f>
        <v>Petaluma</v>
      </c>
      <c r="C652" s="5" t="n">
        <f aca="false">'Analysis Data'!B652</f>
        <v>40309</v>
      </c>
      <c r="D652" s="6" t="n">
        <f aca="false">'Analysis Data'!C652</f>
        <v>267.80241742307</v>
      </c>
      <c r="E652" s="15" t="n">
        <f aca="false">SUMPRODUCT('Final Model'!$B$45:$I$45,'Analysis Data'!N652:U652)</f>
        <v>339.497365880075</v>
      </c>
      <c r="F652" s="15" t="n">
        <f aca="false">D652-E652</f>
        <v>-71.6949484570057</v>
      </c>
      <c r="G652" s="13" t="n">
        <f aca="false">F652/'Final Model'!$B$21</f>
        <v>-1.46220668685631</v>
      </c>
      <c r="H652" s="6" t="n">
        <f aca="false">F652^2</f>
        <v>5140.1656342527</v>
      </c>
      <c r="J652" s="6" t="n">
        <f aca="false">A652</f>
        <v>651</v>
      </c>
      <c r="K652" s="13" t="n">
        <f aca="false">SMALL($G$2:$G$1387,J652)</f>
        <v>-0.0908412907124602</v>
      </c>
      <c r="L652" s="18" t="n">
        <f aca="false">(J652-0.5)/1386</f>
        <v>0.469336219336219</v>
      </c>
      <c r="M652" s="18" t="n">
        <f aca="false">_xlfn.NORM.DIST(K652,AVERAGE($G$2:$G$1387),_xlfn.STDEV.S($G$2:$G$1387),TRUE())</f>
        <v>0.463717798762617</v>
      </c>
    </row>
    <row r="653" customFormat="false" ht="15" hidden="false" customHeight="false" outlineLevel="0" collapsed="false">
      <c r="A653" s="0" t="n">
        <f aca="false">ROW()-1</f>
        <v>652</v>
      </c>
      <c r="B653" s="0" t="str">
        <f aca="false">'Analysis Data'!A653</f>
        <v>Petaluma</v>
      </c>
      <c r="C653" s="5" t="n">
        <f aca="false">'Analysis Data'!B653</f>
        <v>40316</v>
      </c>
      <c r="D653" s="6" t="n">
        <f aca="false">'Analysis Data'!C653</f>
        <v>293.289511300438</v>
      </c>
      <c r="E653" s="15" t="n">
        <f aca="false">SUMPRODUCT('Final Model'!$B$45:$I$45,'Analysis Data'!N653:U653)</f>
        <v>308.120493690739</v>
      </c>
      <c r="F653" s="15" t="n">
        <f aca="false">D653-E653</f>
        <v>-14.830982390301</v>
      </c>
      <c r="G653" s="13" t="n">
        <f aca="false">F653/'Final Model'!$B$21</f>
        <v>-0.302475447579839</v>
      </c>
      <c r="H653" s="6" t="n">
        <f aca="false">F653^2</f>
        <v>219.958038661419</v>
      </c>
      <c r="J653" s="6" t="n">
        <f aca="false">A653</f>
        <v>652</v>
      </c>
      <c r="K653" s="13" t="n">
        <f aca="false">SMALL($G$2:$G$1387,J653)</f>
        <v>-0.0899721612137779</v>
      </c>
      <c r="L653" s="18" t="n">
        <f aca="false">(J653-0.5)/1386</f>
        <v>0.47005772005772</v>
      </c>
      <c r="M653" s="18" t="n">
        <f aca="false">_xlfn.NORM.DIST(K653,AVERAGE($G$2:$G$1387),_xlfn.STDEV.S($G$2:$G$1387),TRUE())</f>
        <v>0.464063985940645</v>
      </c>
    </row>
    <row r="654" customFormat="false" ht="15" hidden="false" customHeight="false" outlineLevel="0" collapsed="false">
      <c r="A654" s="0" t="n">
        <f aca="false">ROW()-1</f>
        <v>653</v>
      </c>
      <c r="B654" s="0" t="str">
        <f aca="false">'Analysis Data'!A654</f>
        <v>Petaluma</v>
      </c>
      <c r="C654" s="5" t="n">
        <f aca="false">'Analysis Data'!B654</f>
        <v>40323</v>
      </c>
      <c r="D654" s="6" t="n">
        <f aca="false">'Analysis Data'!C654</f>
        <v>313.505665364716</v>
      </c>
      <c r="E654" s="15" t="n">
        <f aca="false">SUMPRODUCT('Final Model'!$B$45:$I$45,'Analysis Data'!N654:U654)</f>
        <v>308.120493690739</v>
      </c>
      <c r="F654" s="15" t="n">
        <f aca="false">D654-E654</f>
        <v>5.38517167397748</v>
      </c>
      <c r="G654" s="13" t="n">
        <f aca="false">F654/'Final Model'!$B$21</f>
        <v>0.109829690947907</v>
      </c>
      <c r="H654" s="6" t="n">
        <f aca="false">F654^2</f>
        <v>29.0000739582094</v>
      </c>
      <c r="J654" s="6" t="n">
        <f aca="false">A654</f>
        <v>653</v>
      </c>
      <c r="K654" s="13" t="n">
        <f aca="false">SMALL($G$2:$G$1387,J654)</f>
        <v>-0.0870808617420646</v>
      </c>
      <c r="L654" s="18" t="n">
        <f aca="false">(J654-0.5)/1386</f>
        <v>0.470779220779221</v>
      </c>
      <c r="M654" s="18" t="n">
        <f aca="false">_xlfn.NORM.DIST(K654,AVERAGE($G$2:$G$1387),_xlfn.STDEV.S($G$2:$G$1387),TRUE())</f>
        <v>0.465215827792502</v>
      </c>
    </row>
    <row r="655" customFormat="false" ht="15" hidden="false" customHeight="false" outlineLevel="0" collapsed="false">
      <c r="A655" s="0" t="n">
        <f aca="false">ROW()-1</f>
        <v>654</v>
      </c>
      <c r="B655" s="0" t="str">
        <f aca="false">'Analysis Data'!A655</f>
        <v>Petaluma</v>
      </c>
      <c r="C655" s="5" t="n">
        <f aca="false">'Analysis Data'!B655</f>
        <v>40330</v>
      </c>
      <c r="D655" s="6" t="n">
        <f aca="false">'Analysis Data'!C655</f>
        <v>299.49439186701</v>
      </c>
      <c r="E655" s="15" t="n">
        <f aca="false">SUMPRODUCT('Final Model'!$B$45:$I$45,'Analysis Data'!N655:U655)</f>
        <v>308.120493690739</v>
      </c>
      <c r="F655" s="15" t="n">
        <f aca="false">D655-E655</f>
        <v>-8.6261018237285</v>
      </c>
      <c r="G655" s="13" t="n">
        <f aca="false">F655/'Final Model'!$B$21</f>
        <v>-0.175927928530741</v>
      </c>
      <c r="H655" s="6" t="n">
        <f aca="false">F655^2</f>
        <v>74.4096326733322</v>
      </c>
      <c r="J655" s="6" t="n">
        <f aca="false">A655</f>
        <v>654</v>
      </c>
      <c r="K655" s="13" t="n">
        <f aca="false">SMALL($G$2:$G$1387,J655)</f>
        <v>-0.0851971346122045</v>
      </c>
      <c r="L655" s="18" t="n">
        <f aca="false">(J655-0.5)/1386</f>
        <v>0.471500721500722</v>
      </c>
      <c r="M655" s="18" t="n">
        <f aca="false">_xlfn.NORM.DIST(K655,AVERAGE($G$2:$G$1387),_xlfn.STDEV.S($G$2:$G$1387),TRUE())</f>
        <v>0.465966428329758</v>
      </c>
    </row>
    <row r="656" customFormat="false" ht="15" hidden="false" customHeight="false" outlineLevel="0" collapsed="false">
      <c r="A656" s="0" t="n">
        <f aca="false">ROW()-1</f>
        <v>655</v>
      </c>
      <c r="B656" s="0" t="str">
        <f aca="false">'Analysis Data'!A656</f>
        <v>Petaluma</v>
      </c>
      <c r="C656" s="5" t="n">
        <f aca="false">'Analysis Data'!B656</f>
        <v>40337</v>
      </c>
      <c r="D656" s="6" t="n">
        <f aca="false">'Analysis Data'!C656</f>
        <v>277.553103993772</v>
      </c>
      <c r="E656" s="15" t="n">
        <f aca="false">SUMPRODUCT('Final Model'!$B$45:$I$45,'Analysis Data'!N656:U656)</f>
        <v>300.81715005865</v>
      </c>
      <c r="F656" s="15" t="n">
        <f aca="false">D656-E656</f>
        <v>-23.2640460648782</v>
      </c>
      <c r="G656" s="13" t="n">
        <f aca="false">F656/'Final Model'!$B$21</f>
        <v>-0.47446639479485</v>
      </c>
      <c r="H656" s="6" t="n">
        <f aca="false">F656^2</f>
        <v>541.215839308774</v>
      </c>
      <c r="J656" s="6" t="n">
        <f aca="false">A656</f>
        <v>655</v>
      </c>
      <c r="K656" s="13" t="n">
        <f aca="false">SMALL($G$2:$G$1387,J656)</f>
        <v>-0.0803083768765918</v>
      </c>
      <c r="L656" s="18" t="n">
        <f aca="false">(J656-0.5)/1386</f>
        <v>0.472222222222222</v>
      </c>
      <c r="M656" s="18" t="n">
        <f aca="false">_xlfn.NORM.DIST(K656,AVERAGE($G$2:$G$1387),_xlfn.STDEV.S($G$2:$G$1387),TRUE())</f>
        <v>0.467914988611971</v>
      </c>
    </row>
    <row r="657" customFormat="false" ht="15" hidden="false" customHeight="false" outlineLevel="0" collapsed="false">
      <c r="A657" s="0" t="n">
        <f aca="false">ROW()-1</f>
        <v>656</v>
      </c>
      <c r="B657" s="0" t="str">
        <f aca="false">'Analysis Data'!A657</f>
        <v>Petaluma</v>
      </c>
      <c r="C657" s="5" t="n">
        <f aca="false">'Analysis Data'!B657</f>
        <v>40344</v>
      </c>
      <c r="D657" s="6" t="n">
        <f aca="false">'Analysis Data'!C657</f>
        <v>298.396110879562</v>
      </c>
      <c r="E657" s="15" t="n">
        <f aca="false">SUMPRODUCT('Final Model'!$B$45:$I$45,'Analysis Data'!N657:U657)</f>
        <v>301.763328466228</v>
      </c>
      <c r="F657" s="15" t="n">
        <f aca="false">D657-E657</f>
        <v>-3.3672175866655</v>
      </c>
      <c r="G657" s="13" t="n">
        <f aca="false">F657/'Final Model'!$B$21</f>
        <v>-0.0686738490965657</v>
      </c>
      <c r="H657" s="6" t="n">
        <f aca="false">F657^2</f>
        <v>11.3381542759495</v>
      </c>
      <c r="J657" s="6" t="n">
        <f aca="false">A657</f>
        <v>656</v>
      </c>
      <c r="K657" s="13" t="n">
        <f aca="false">SMALL($G$2:$G$1387,J657)</f>
        <v>-0.0786512099167585</v>
      </c>
      <c r="L657" s="18" t="n">
        <f aca="false">(J657-0.5)/1386</f>
        <v>0.472943722943723</v>
      </c>
      <c r="M657" s="18" t="n">
        <f aca="false">_xlfn.NORM.DIST(K657,AVERAGE($G$2:$G$1387),_xlfn.STDEV.S($G$2:$G$1387),TRUE())</f>
        <v>0.468575678811328</v>
      </c>
    </row>
    <row r="658" customFormat="false" ht="15" hidden="false" customHeight="false" outlineLevel="0" collapsed="false">
      <c r="A658" s="0" t="n">
        <f aca="false">ROW()-1</f>
        <v>657</v>
      </c>
      <c r="B658" s="0" t="str">
        <f aca="false">'Analysis Data'!A658</f>
        <v>Petaluma</v>
      </c>
      <c r="C658" s="5" t="n">
        <f aca="false">'Analysis Data'!B658</f>
        <v>40351</v>
      </c>
      <c r="D658" s="6" t="n">
        <f aca="false">'Analysis Data'!C658</f>
        <v>338.87436363012</v>
      </c>
      <c r="E658" s="15" t="n">
        <f aca="false">SUMPRODUCT('Final Model'!$B$45:$I$45,'Analysis Data'!N658:U658)</f>
        <v>227.211364660868</v>
      </c>
      <c r="F658" s="15" t="n">
        <f aca="false">D658-E658</f>
        <v>111.662998969252</v>
      </c>
      <c r="G658" s="13" t="n">
        <f aca="false">F658/'Final Model'!$B$21</f>
        <v>2.27734850615288</v>
      </c>
      <c r="H658" s="6" t="n">
        <f aca="false">F658^2</f>
        <v>12468.6253388072</v>
      </c>
      <c r="J658" s="6" t="n">
        <f aca="false">A658</f>
        <v>657</v>
      </c>
      <c r="K658" s="13" t="n">
        <f aca="false">SMALL($G$2:$G$1387,J658)</f>
        <v>-0.077548677403422</v>
      </c>
      <c r="L658" s="18" t="n">
        <f aca="false">(J658-0.5)/1386</f>
        <v>0.473665223665224</v>
      </c>
      <c r="M658" s="18" t="n">
        <f aca="false">_xlfn.NORM.DIST(K658,AVERAGE($G$2:$G$1387),_xlfn.STDEV.S($G$2:$G$1387),TRUE())</f>
        <v>0.469015291771622</v>
      </c>
    </row>
    <row r="659" customFormat="false" ht="15" hidden="false" customHeight="false" outlineLevel="0" collapsed="false">
      <c r="A659" s="0" t="n">
        <f aca="false">ROW()-1</f>
        <v>658</v>
      </c>
      <c r="B659" s="0" t="str">
        <f aca="false">'Analysis Data'!A659</f>
        <v>Petaluma</v>
      </c>
      <c r="C659" s="5" t="n">
        <f aca="false">'Analysis Data'!B659</f>
        <v>40358</v>
      </c>
      <c r="D659" s="6" t="n">
        <f aca="false">'Analysis Data'!C659</f>
        <v>188.772557907822</v>
      </c>
      <c r="E659" s="15" t="n">
        <f aca="false">SUMPRODUCT('Final Model'!$B$45:$I$45,'Analysis Data'!N659:U659)</f>
        <v>226.927176798063</v>
      </c>
      <c r="F659" s="15" t="n">
        <f aca="false">D659-E659</f>
        <v>-38.1546188902419</v>
      </c>
      <c r="G659" s="13" t="n">
        <f aca="false">F659/'Final Model'!$B$21</f>
        <v>-0.778157179500897</v>
      </c>
      <c r="H659" s="6" t="n">
        <f aca="false">F659^2</f>
        <v>1455.7749426596</v>
      </c>
      <c r="J659" s="6" t="n">
        <f aca="false">A659</f>
        <v>658</v>
      </c>
      <c r="K659" s="13" t="n">
        <f aca="false">SMALL($G$2:$G$1387,J659)</f>
        <v>-0.0772752822404134</v>
      </c>
      <c r="L659" s="18" t="n">
        <f aca="false">(J659-0.5)/1386</f>
        <v>0.474386724386724</v>
      </c>
      <c r="M659" s="18" t="n">
        <f aca="false">_xlfn.NORM.DIST(K659,AVERAGE($G$2:$G$1387),_xlfn.STDEV.S($G$2:$G$1387),TRUE())</f>
        <v>0.469124308533741</v>
      </c>
    </row>
    <row r="660" customFormat="false" ht="15" hidden="false" customHeight="false" outlineLevel="0" collapsed="false">
      <c r="A660" s="0" t="n">
        <f aca="false">ROW()-1</f>
        <v>659</v>
      </c>
      <c r="B660" s="0" t="str">
        <f aca="false">'Analysis Data'!A660</f>
        <v>Petaluma</v>
      </c>
      <c r="C660" s="5" t="n">
        <f aca="false">'Analysis Data'!B660</f>
        <v>40365</v>
      </c>
      <c r="D660" s="6" t="n">
        <f aca="false">'Analysis Data'!C660</f>
        <v>337.00987515792</v>
      </c>
      <c r="E660" s="15" t="n">
        <f aca="false">SUMPRODUCT('Final Model'!$B$45:$I$45,'Analysis Data'!N660:U660)</f>
        <v>230.337431129652</v>
      </c>
      <c r="F660" s="15" t="n">
        <f aca="false">D660-E660</f>
        <v>106.672444028268</v>
      </c>
      <c r="G660" s="13" t="n">
        <f aca="false">F660/'Final Model'!$B$21</f>
        <v>2.17556695859786</v>
      </c>
      <c r="H660" s="6" t="n">
        <f aca="false">F660^2</f>
        <v>11379.0103149639</v>
      </c>
      <c r="J660" s="6" t="n">
        <f aca="false">A660</f>
        <v>659</v>
      </c>
      <c r="K660" s="13" t="n">
        <f aca="false">SMALL($G$2:$G$1387,J660)</f>
        <v>-0.0759875741806398</v>
      </c>
      <c r="L660" s="18" t="n">
        <f aca="false">(J660-0.5)/1386</f>
        <v>0.475108225108225</v>
      </c>
      <c r="M660" s="18" t="n">
        <f aca="false">_xlfn.NORM.DIST(K660,AVERAGE($G$2:$G$1387),_xlfn.STDEV.S($G$2:$G$1387),TRUE())</f>
        <v>0.469637815192856</v>
      </c>
    </row>
    <row r="661" customFormat="false" ht="15" hidden="false" customHeight="false" outlineLevel="0" collapsed="false">
      <c r="A661" s="0" t="n">
        <f aca="false">ROW()-1</f>
        <v>660</v>
      </c>
      <c r="B661" s="0" t="str">
        <f aca="false">'Analysis Data'!A661</f>
        <v>Petaluma</v>
      </c>
      <c r="C661" s="5" t="n">
        <f aca="false">'Analysis Data'!B661</f>
        <v>40372</v>
      </c>
      <c r="D661" s="6" t="n">
        <f aca="false">'Analysis Data'!C661</f>
        <v>268.174898376177</v>
      </c>
      <c r="E661" s="15" t="n">
        <f aca="false">SUMPRODUCT('Final Model'!$B$45:$I$45,'Analysis Data'!N661:U661)</f>
        <v>230.337431129652</v>
      </c>
      <c r="F661" s="15" t="n">
        <f aca="false">D661-E661</f>
        <v>37.8374672465249</v>
      </c>
      <c r="G661" s="13" t="n">
        <f aca="false">F661/'Final Model'!$B$21</f>
        <v>0.771688923868234</v>
      </c>
      <c r="H661" s="6" t="n">
        <f aca="false">F661^2</f>
        <v>1431.67392763184</v>
      </c>
      <c r="J661" s="6" t="n">
        <f aca="false">A661</f>
        <v>660</v>
      </c>
      <c r="K661" s="13" t="n">
        <f aca="false">SMALL($G$2:$G$1387,J661)</f>
        <v>-0.0710117565133871</v>
      </c>
      <c r="L661" s="18" t="n">
        <f aca="false">(J661-0.5)/1386</f>
        <v>0.475829725829726</v>
      </c>
      <c r="M661" s="18" t="n">
        <f aca="false">_xlfn.NORM.DIST(K661,AVERAGE($G$2:$G$1387),_xlfn.STDEV.S($G$2:$G$1387),TRUE())</f>
        <v>0.471622517258309</v>
      </c>
    </row>
    <row r="662" customFormat="false" ht="15" hidden="false" customHeight="false" outlineLevel="0" collapsed="false">
      <c r="A662" s="0" t="n">
        <f aca="false">ROW()-1</f>
        <v>661</v>
      </c>
      <c r="B662" s="0" t="str">
        <f aca="false">'Analysis Data'!A662</f>
        <v>Redwood City</v>
      </c>
      <c r="C662" s="5" t="n">
        <f aca="false">'Analysis Data'!B662</f>
        <v>40302</v>
      </c>
      <c r="D662" s="6" t="n">
        <f aca="false">'Analysis Data'!C662</f>
        <v>234.365130758632</v>
      </c>
      <c r="E662" s="15" t="n">
        <f aca="false">SUMPRODUCT('Final Model'!$B$45:$I$45,'Analysis Data'!N662:U662)</f>
        <v>228.572123010257</v>
      </c>
      <c r="F662" s="15" t="n">
        <f aca="false">D662-E662</f>
        <v>5.79300774837466</v>
      </c>
      <c r="G662" s="13" t="n">
        <f aca="false">F662/'Final Model'!$B$21</f>
        <v>0.118147440635424</v>
      </c>
      <c r="H662" s="6" t="n">
        <f aca="false">F662^2</f>
        <v>33.5589387727289</v>
      </c>
      <c r="J662" s="6" t="n">
        <f aca="false">A662</f>
        <v>661</v>
      </c>
      <c r="K662" s="13" t="n">
        <f aca="false">SMALL($G$2:$G$1387,J662)</f>
        <v>-0.0686738490965657</v>
      </c>
      <c r="L662" s="18" t="n">
        <f aca="false">(J662-0.5)/1386</f>
        <v>0.476551226551227</v>
      </c>
      <c r="M662" s="18" t="n">
        <f aca="false">_xlfn.NORM.DIST(K662,AVERAGE($G$2:$G$1387),_xlfn.STDEV.S($G$2:$G$1387),TRUE())</f>
        <v>0.472555283725309</v>
      </c>
    </row>
    <row r="663" customFormat="false" ht="15" hidden="false" customHeight="false" outlineLevel="0" collapsed="false">
      <c r="A663" s="0" t="n">
        <f aca="false">ROW()-1</f>
        <v>662</v>
      </c>
      <c r="B663" s="0" t="str">
        <f aca="false">'Analysis Data'!A663</f>
        <v>Redwood City</v>
      </c>
      <c r="C663" s="5" t="n">
        <f aca="false">'Analysis Data'!B663</f>
        <v>40309</v>
      </c>
      <c r="D663" s="6" t="n">
        <f aca="false">'Analysis Data'!C663</f>
        <v>316.102453573399</v>
      </c>
      <c r="E663" s="15" t="n">
        <f aca="false">SUMPRODUCT('Final Model'!$B$45:$I$45,'Analysis Data'!N663:U663)</f>
        <v>230.337431129652</v>
      </c>
      <c r="F663" s="15" t="n">
        <f aca="false">D663-E663</f>
        <v>85.7650224437462</v>
      </c>
      <c r="G663" s="13" t="n">
        <f aca="false">F663/'Final Model'!$B$21</f>
        <v>1.74916353264179</v>
      </c>
      <c r="H663" s="6" t="n">
        <f aca="false">F663^2</f>
        <v>7355.63907477629</v>
      </c>
      <c r="J663" s="6" t="n">
        <f aca="false">A663</f>
        <v>662</v>
      </c>
      <c r="K663" s="13" t="n">
        <f aca="false">SMALL($G$2:$G$1387,J663)</f>
        <v>-0.0680047860940812</v>
      </c>
      <c r="L663" s="18" t="n">
        <f aca="false">(J663-0.5)/1386</f>
        <v>0.477272727272727</v>
      </c>
      <c r="M663" s="18" t="n">
        <f aca="false">_xlfn.NORM.DIST(K663,AVERAGE($G$2:$G$1387),_xlfn.STDEV.S($G$2:$G$1387),TRUE())</f>
        <v>0.472822251022441</v>
      </c>
    </row>
    <row r="664" customFormat="false" ht="15" hidden="false" customHeight="false" outlineLevel="0" collapsed="false">
      <c r="A664" s="0" t="n">
        <f aca="false">ROW()-1</f>
        <v>663</v>
      </c>
      <c r="B664" s="0" t="str">
        <f aca="false">'Analysis Data'!A664</f>
        <v>Redwood City</v>
      </c>
      <c r="C664" s="5" t="n">
        <f aca="false">'Analysis Data'!B664</f>
        <v>40316</v>
      </c>
      <c r="D664" s="6" t="n">
        <f aca="false">'Analysis Data'!C664</f>
        <v>318.197018148128</v>
      </c>
      <c r="E664" s="15" t="n">
        <f aca="false">SUMPRODUCT('Final Model'!$B$45:$I$45,'Analysis Data'!N664:U664)</f>
        <v>243.577242025116</v>
      </c>
      <c r="F664" s="15" t="n">
        <f aca="false">D664-E664</f>
        <v>74.6197761230119</v>
      </c>
      <c r="G664" s="13" t="n">
        <f aca="false">F664/'Final Model'!$B$21</f>
        <v>1.52185806625163</v>
      </c>
      <c r="H664" s="6" t="n">
        <f aca="false">F664^2</f>
        <v>5568.11098864842</v>
      </c>
      <c r="J664" s="6" t="n">
        <f aca="false">A664</f>
        <v>663</v>
      </c>
      <c r="K664" s="13" t="n">
        <f aca="false">SMALL($G$2:$G$1387,J664)</f>
        <v>-0.0675584336826037</v>
      </c>
      <c r="L664" s="18" t="n">
        <f aca="false">(J664-0.5)/1386</f>
        <v>0.477994227994228</v>
      </c>
      <c r="M664" s="18" t="n">
        <f aca="false">_xlfn.NORM.DIST(K664,AVERAGE($G$2:$G$1387),_xlfn.STDEV.S($G$2:$G$1387),TRUE())</f>
        <v>0.473000359875911</v>
      </c>
    </row>
    <row r="665" customFormat="false" ht="15" hidden="false" customHeight="false" outlineLevel="0" collapsed="false">
      <c r="A665" s="0" t="n">
        <f aca="false">ROW()-1</f>
        <v>664</v>
      </c>
      <c r="B665" s="0" t="str">
        <f aca="false">'Analysis Data'!A665</f>
        <v>Redwood City</v>
      </c>
      <c r="C665" s="5" t="n">
        <f aca="false">'Analysis Data'!B665</f>
        <v>40323</v>
      </c>
      <c r="D665" s="6" t="n">
        <f aca="false">'Analysis Data'!C665</f>
        <v>239.788278790966</v>
      </c>
      <c r="E665" s="15" t="n">
        <f aca="false">SUMPRODUCT('Final Model'!$B$45:$I$45,'Analysis Data'!N665:U665)</f>
        <v>243.577242025116</v>
      </c>
      <c r="F665" s="15" t="n">
        <f aca="false">D665-E665</f>
        <v>-3.78896323415012</v>
      </c>
      <c r="G665" s="13" t="n">
        <f aca="false">F665/'Final Model'!$B$21</f>
        <v>-0.0772752822404134</v>
      </c>
      <c r="H665" s="6" t="n">
        <f aca="false">F665^2</f>
        <v>14.3562423897413</v>
      </c>
      <c r="J665" s="6" t="n">
        <f aca="false">A665</f>
        <v>664</v>
      </c>
      <c r="K665" s="13" t="n">
        <f aca="false">SMALL($G$2:$G$1387,J665)</f>
        <v>-0.0674511523949292</v>
      </c>
      <c r="L665" s="18" t="n">
        <f aca="false">(J665-0.5)/1386</f>
        <v>0.478715728715729</v>
      </c>
      <c r="M665" s="18" t="n">
        <f aca="false">_xlfn.NORM.DIST(K665,AVERAGE($G$2:$G$1387),_xlfn.STDEV.S($G$2:$G$1387),TRUE())</f>
        <v>0.4730431693386</v>
      </c>
    </row>
    <row r="666" customFormat="false" ht="15" hidden="false" customHeight="false" outlineLevel="0" collapsed="false">
      <c r="A666" s="0" t="n">
        <f aca="false">ROW()-1</f>
        <v>665</v>
      </c>
      <c r="B666" s="0" t="str">
        <f aca="false">'Analysis Data'!A666</f>
        <v>Redwood City</v>
      </c>
      <c r="C666" s="5" t="n">
        <f aca="false">'Analysis Data'!B666</f>
        <v>40330</v>
      </c>
      <c r="D666" s="6" t="n">
        <f aca="false">'Analysis Data'!C666</f>
        <v>207.65387551549</v>
      </c>
      <c r="E666" s="15" t="n">
        <f aca="false">SUMPRODUCT('Final Model'!$B$45:$I$45,'Analysis Data'!N666:U666)</f>
        <v>238.361558953109</v>
      </c>
      <c r="F666" s="15" t="n">
        <f aca="false">D666-E666</f>
        <v>-30.7076834376194</v>
      </c>
      <c r="G666" s="13" t="n">
        <f aca="false">F666/'Final Model'!$B$21</f>
        <v>-0.626278155249393</v>
      </c>
      <c r="H666" s="6" t="n">
        <f aca="false">F666^2</f>
        <v>942.961822105045</v>
      </c>
      <c r="J666" s="6" t="n">
        <f aca="false">A666</f>
        <v>665</v>
      </c>
      <c r="K666" s="13" t="n">
        <f aca="false">SMALL($G$2:$G$1387,J666)</f>
        <v>-0.0674298716652198</v>
      </c>
      <c r="L666" s="18" t="n">
        <f aca="false">(J666-0.5)/1386</f>
        <v>0.479437229437229</v>
      </c>
      <c r="M666" s="18" t="n">
        <f aca="false">_xlfn.NORM.DIST(K666,AVERAGE($G$2:$G$1387),_xlfn.STDEV.S($G$2:$G$1387),TRUE())</f>
        <v>0.473051661225638</v>
      </c>
    </row>
    <row r="667" customFormat="false" ht="15" hidden="false" customHeight="false" outlineLevel="0" collapsed="false">
      <c r="A667" s="0" t="n">
        <f aca="false">ROW()-1</f>
        <v>666</v>
      </c>
      <c r="B667" s="0" t="str">
        <f aca="false">'Analysis Data'!A667</f>
        <v>Redwood City</v>
      </c>
      <c r="C667" s="5" t="n">
        <f aca="false">'Analysis Data'!B667</f>
        <v>40337</v>
      </c>
      <c r="D667" s="6" t="n">
        <f aca="false">'Analysis Data'!C667</f>
        <v>188.493464915174</v>
      </c>
      <c r="E667" s="15" t="n">
        <f aca="false">SUMPRODUCT('Final Model'!$B$45:$I$45,'Analysis Data'!N667:U667)</f>
        <v>227.930192787029</v>
      </c>
      <c r="F667" s="15" t="n">
        <f aca="false">D667-E667</f>
        <v>-39.4367278718548</v>
      </c>
      <c r="G667" s="13" t="n">
        <f aca="false">F667/'Final Model'!$B$21</f>
        <v>-0.804305581397261</v>
      </c>
      <c r="H667" s="6" t="n">
        <f aca="false">F667^2</f>
        <v>1555.25550523873</v>
      </c>
      <c r="J667" s="6" t="n">
        <f aca="false">A667</f>
        <v>666</v>
      </c>
      <c r="K667" s="13" t="n">
        <f aca="false">SMALL($G$2:$G$1387,J667)</f>
        <v>-0.0661943997297588</v>
      </c>
      <c r="L667" s="18" t="n">
        <f aca="false">(J667-0.5)/1386</f>
        <v>0.48015873015873</v>
      </c>
      <c r="M667" s="18" t="n">
        <f aca="false">_xlfn.NORM.DIST(K667,AVERAGE($G$2:$G$1387),_xlfn.STDEV.S($G$2:$G$1387),TRUE())</f>
        <v>0.473544686248058</v>
      </c>
    </row>
    <row r="668" customFormat="false" ht="15" hidden="false" customHeight="false" outlineLevel="0" collapsed="false">
      <c r="A668" s="0" t="n">
        <f aca="false">ROW()-1</f>
        <v>667</v>
      </c>
      <c r="B668" s="0" t="str">
        <f aca="false">'Analysis Data'!A668</f>
        <v>Redwood City</v>
      </c>
      <c r="C668" s="5" t="n">
        <f aca="false">'Analysis Data'!B668</f>
        <v>40344</v>
      </c>
      <c r="D668" s="6" t="n">
        <f aca="false">'Analysis Data'!C668</f>
        <v>792.516251378851</v>
      </c>
      <c r="E668" s="15" t="n">
        <f aca="false">SUMPRODUCT('Final Model'!$B$45:$I$45,'Analysis Data'!N668:U668)</f>
        <v>798.538265167172</v>
      </c>
      <c r="F668" s="15" t="n">
        <f aca="false">D668-E668</f>
        <v>-6.02201378832024</v>
      </c>
      <c r="G668" s="13" t="n">
        <f aca="false">F668/'Final Model'!$B$21</f>
        <v>-0.122817981170643</v>
      </c>
      <c r="H668" s="6" t="n">
        <f aca="false">F668^2</f>
        <v>36.2646500667191</v>
      </c>
      <c r="J668" s="6" t="n">
        <f aca="false">A668</f>
        <v>667</v>
      </c>
      <c r="K668" s="13" t="n">
        <f aca="false">SMALL($G$2:$G$1387,J668)</f>
        <v>-0.0636442682619278</v>
      </c>
      <c r="L668" s="18" t="n">
        <f aca="false">(J668-0.5)/1386</f>
        <v>0.480880230880231</v>
      </c>
      <c r="M668" s="18" t="n">
        <f aca="false">_xlfn.NORM.DIST(K668,AVERAGE($G$2:$G$1387),_xlfn.STDEV.S($G$2:$G$1387),TRUE())</f>
        <v>0.474562464053476</v>
      </c>
    </row>
    <row r="669" customFormat="false" ht="15" hidden="false" customHeight="false" outlineLevel="0" collapsed="false">
      <c r="A669" s="0" t="n">
        <f aca="false">ROW()-1</f>
        <v>668</v>
      </c>
      <c r="B669" s="0" t="str">
        <f aca="false">'Analysis Data'!A669</f>
        <v>Redwood City</v>
      </c>
      <c r="C669" s="5" t="n">
        <f aca="false">'Analysis Data'!B669</f>
        <v>40351</v>
      </c>
      <c r="D669" s="6" t="n">
        <f aca="false">'Analysis Data'!C669</f>
        <v>798.554516320263</v>
      </c>
      <c r="E669" s="15" t="n">
        <f aca="false">SUMPRODUCT('Final Model'!$B$45:$I$45,'Analysis Data'!N669:U669)</f>
        <v>769.347967805535</v>
      </c>
      <c r="F669" s="15" t="n">
        <f aca="false">D669-E669</f>
        <v>29.2065485147286</v>
      </c>
      <c r="G669" s="13" t="n">
        <f aca="false">F669/'Final Model'!$B$21</f>
        <v>0.595662755289371</v>
      </c>
      <c r="H669" s="6" t="n">
        <f aca="false">F669^2</f>
        <v>853.022476143198</v>
      </c>
      <c r="J669" s="6" t="n">
        <f aca="false">A669</f>
        <v>668</v>
      </c>
      <c r="K669" s="13" t="n">
        <f aca="false">SMALL($G$2:$G$1387,J669)</f>
        <v>-0.0636028004998616</v>
      </c>
      <c r="L669" s="18" t="n">
        <f aca="false">(J669-0.5)/1386</f>
        <v>0.481601731601732</v>
      </c>
      <c r="M669" s="18" t="n">
        <f aca="false">_xlfn.NORM.DIST(K669,AVERAGE($G$2:$G$1387),_xlfn.STDEV.S($G$2:$G$1387),TRUE())</f>
        <v>0.474579015557899</v>
      </c>
    </row>
    <row r="670" customFormat="false" ht="15" hidden="false" customHeight="false" outlineLevel="0" collapsed="false">
      <c r="A670" s="0" t="n">
        <f aca="false">ROW()-1</f>
        <v>669</v>
      </c>
      <c r="B670" s="0" t="str">
        <f aca="false">'Analysis Data'!A670</f>
        <v>Redwood City</v>
      </c>
      <c r="C670" s="5" t="n">
        <f aca="false">'Analysis Data'!B670</f>
        <v>40358</v>
      </c>
      <c r="D670" s="6" t="n">
        <f aca="false">'Analysis Data'!C670</f>
        <v>836.321945628103</v>
      </c>
      <c r="E670" s="15" t="n">
        <f aca="false">SUMPRODUCT('Final Model'!$B$45:$I$45,'Analysis Data'!N670:U670)</f>
        <v>769.347967805535</v>
      </c>
      <c r="F670" s="15" t="n">
        <f aca="false">D670-E670</f>
        <v>66.9739778225688</v>
      </c>
      <c r="G670" s="13" t="n">
        <f aca="false">F670/'Final Model'!$B$21</f>
        <v>1.36592326691264</v>
      </c>
      <c r="H670" s="6" t="n">
        <f aca="false">F670^2</f>
        <v>4485.51370537794</v>
      </c>
      <c r="J670" s="6" t="n">
        <f aca="false">A670</f>
        <v>669</v>
      </c>
      <c r="K670" s="13" t="n">
        <f aca="false">SMALL($G$2:$G$1387,J670)</f>
        <v>-0.0613145122840883</v>
      </c>
      <c r="L670" s="18" t="n">
        <f aca="false">(J670-0.5)/1386</f>
        <v>0.482323232323232</v>
      </c>
      <c r="M670" s="18" t="n">
        <f aca="false">_xlfn.NORM.DIST(K670,AVERAGE($G$2:$G$1387),_xlfn.STDEV.S($G$2:$G$1387),TRUE())</f>
        <v>0.475492433546438</v>
      </c>
    </row>
    <row r="671" customFormat="false" ht="15" hidden="false" customHeight="false" outlineLevel="0" collapsed="false">
      <c r="A671" s="0" t="n">
        <f aca="false">ROW()-1</f>
        <v>670</v>
      </c>
      <c r="B671" s="0" t="str">
        <f aca="false">'Analysis Data'!A671</f>
        <v>Redwood City</v>
      </c>
      <c r="C671" s="5" t="n">
        <f aca="false">'Analysis Data'!B671</f>
        <v>40365</v>
      </c>
      <c r="D671" s="6" t="n">
        <f aca="false">'Analysis Data'!C671</f>
        <v>756.35635073696</v>
      </c>
      <c r="E671" s="15" t="n">
        <f aca="false">SUMPRODUCT('Final Model'!$B$45:$I$45,'Analysis Data'!N671:U671)</f>
        <v>759.601995911085</v>
      </c>
      <c r="F671" s="15" t="n">
        <f aca="false">D671-E671</f>
        <v>-3.24564517412432</v>
      </c>
      <c r="G671" s="13" t="n">
        <f aca="false">F671/'Final Model'!$B$21</f>
        <v>-0.0661943997297588</v>
      </c>
      <c r="H671" s="6" t="n">
        <f aca="false">F671^2</f>
        <v>10.5342125963165</v>
      </c>
      <c r="J671" s="6" t="n">
        <f aca="false">A671</f>
        <v>670</v>
      </c>
      <c r="K671" s="13" t="n">
        <f aca="false">SMALL($G$2:$G$1387,J671)</f>
        <v>-0.0597505089324387</v>
      </c>
      <c r="L671" s="18" t="n">
        <f aca="false">(J671-0.5)/1386</f>
        <v>0.483044733044733</v>
      </c>
      <c r="M671" s="18" t="n">
        <f aca="false">_xlfn.NORM.DIST(K671,AVERAGE($G$2:$G$1387),_xlfn.STDEV.S($G$2:$G$1387),TRUE())</f>
        <v>0.476116812519864</v>
      </c>
    </row>
    <row r="672" customFormat="false" ht="15" hidden="false" customHeight="false" outlineLevel="0" collapsed="false">
      <c r="A672" s="0" t="n">
        <f aca="false">ROW()-1</f>
        <v>671</v>
      </c>
      <c r="B672" s="0" t="str">
        <f aca="false">'Analysis Data'!A672</f>
        <v>Redwood City</v>
      </c>
      <c r="C672" s="5" t="n">
        <f aca="false">'Analysis Data'!B672</f>
        <v>40372</v>
      </c>
      <c r="D672" s="6" t="n">
        <f aca="false">'Analysis Data'!C672</f>
        <v>726.370037744683</v>
      </c>
      <c r="E672" s="15" t="n">
        <f aca="false">SUMPRODUCT('Final Model'!$B$45:$I$45,'Analysis Data'!N672:U672)</f>
        <v>760.671006679791</v>
      </c>
      <c r="F672" s="15" t="n">
        <f aca="false">D672-E672</f>
        <v>-34.300968935108</v>
      </c>
      <c r="G672" s="13" t="n">
        <f aca="false">F672/'Final Model'!$B$21</f>
        <v>-0.699562622220765</v>
      </c>
      <c r="H672" s="6" t="n">
        <f aca="false">F672^2</f>
        <v>1176.55646988725</v>
      </c>
      <c r="J672" s="6" t="n">
        <f aca="false">A672</f>
        <v>671</v>
      </c>
      <c r="K672" s="13" t="n">
        <f aca="false">SMALL($G$2:$G$1387,J672)</f>
        <v>-0.0557536610343389</v>
      </c>
      <c r="L672" s="18" t="n">
        <f aca="false">(J672-0.5)/1386</f>
        <v>0.483766233766234</v>
      </c>
      <c r="M672" s="18" t="n">
        <f aca="false">_xlfn.NORM.DIST(K672,AVERAGE($G$2:$G$1387),_xlfn.STDEV.S($G$2:$G$1387),TRUE())</f>
        <v>0.477712690728144</v>
      </c>
    </row>
    <row r="673" customFormat="false" ht="15" hidden="false" customHeight="false" outlineLevel="0" collapsed="false">
      <c r="A673" s="0" t="n">
        <f aca="false">ROW()-1</f>
        <v>672</v>
      </c>
      <c r="B673" s="0" t="str">
        <f aca="false">'Analysis Data'!A673</f>
        <v>Roseville</v>
      </c>
      <c r="C673" s="5" t="n">
        <f aca="false">'Analysis Data'!B673</f>
        <v>40302</v>
      </c>
      <c r="D673" s="6" t="n">
        <f aca="false">'Analysis Data'!C673</f>
        <v>285.521117038441</v>
      </c>
      <c r="E673" s="15" t="n">
        <f aca="false">SUMPRODUCT('Final Model'!$B$45:$I$45,'Analysis Data'!N673:U673)</f>
        <v>307.384948648346</v>
      </c>
      <c r="F673" s="15" t="n">
        <f aca="false">D673-E673</f>
        <v>-21.8638316099058</v>
      </c>
      <c r="G673" s="13" t="n">
        <f aca="false">F673/'Final Model'!$B$21</f>
        <v>-0.445909251186311</v>
      </c>
      <c r="H673" s="6" t="n">
        <f aca="false">F673^2</f>
        <v>478.027132666316</v>
      </c>
      <c r="J673" s="6" t="n">
        <f aca="false">A673</f>
        <v>672</v>
      </c>
      <c r="K673" s="13" t="n">
        <f aca="false">SMALL($G$2:$G$1387,J673)</f>
        <v>-0.0554824598168832</v>
      </c>
      <c r="L673" s="18" t="n">
        <f aca="false">(J673-0.5)/1386</f>
        <v>0.484487734487734</v>
      </c>
      <c r="M673" s="18" t="n">
        <f aca="false">_xlfn.NORM.DIST(K673,AVERAGE($G$2:$G$1387),_xlfn.STDEV.S($G$2:$G$1387),TRUE())</f>
        <v>0.477820990327135</v>
      </c>
    </row>
    <row r="674" customFormat="false" ht="15" hidden="false" customHeight="false" outlineLevel="0" collapsed="false">
      <c r="A674" s="0" t="n">
        <f aca="false">ROW()-1</f>
        <v>673</v>
      </c>
      <c r="B674" s="0" t="str">
        <f aca="false">'Analysis Data'!A674</f>
        <v>Roseville</v>
      </c>
      <c r="C674" s="5" t="n">
        <f aca="false">'Analysis Data'!B674</f>
        <v>40309</v>
      </c>
      <c r="D674" s="6" t="n">
        <f aca="false">'Analysis Data'!C674</f>
        <v>289.121278797788</v>
      </c>
      <c r="E674" s="15" t="n">
        <f aca="false">SUMPRODUCT('Final Model'!$B$45:$I$45,'Analysis Data'!N674:U674)</f>
        <v>306.114461734875</v>
      </c>
      <c r="F674" s="15" t="n">
        <f aca="false">D674-E674</f>
        <v>-16.9931829370868</v>
      </c>
      <c r="G674" s="13" t="n">
        <f aca="false">F674/'Final Model'!$B$21</f>
        <v>-0.346573172257479</v>
      </c>
      <c r="H674" s="6" t="n">
        <f aca="false">F674^2</f>
        <v>288.768266333299</v>
      </c>
      <c r="J674" s="6" t="n">
        <f aca="false">A674</f>
        <v>673</v>
      </c>
      <c r="K674" s="13" t="n">
        <f aca="false">SMALL($G$2:$G$1387,J674)</f>
        <v>-0.0552565935549968</v>
      </c>
      <c r="L674" s="18" t="n">
        <f aca="false">(J674-0.5)/1386</f>
        <v>0.485209235209235</v>
      </c>
      <c r="M674" s="18" t="n">
        <f aca="false">_xlfn.NORM.DIST(K674,AVERAGE($G$2:$G$1387),_xlfn.STDEV.S($G$2:$G$1387),TRUE())</f>
        <v>0.477911187432176</v>
      </c>
    </row>
    <row r="675" customFormat="false" ht="15" hidden="false" customHeight="false" outlineLevel="0" collapsed="false">
      <c r="A675" s="0" t="n">
        <f aca="false">ROW()-1</f>
        <v>674</v>
      </c>
      <c r="B675" s="0" t="str">
        <f aca="false">'Analysis Data'!A675</f>
        <v>Roseville</v>
      </c>
      <c r="C675" s="5" t="n">
        <f aca="false">'Analysis Data'!B675</f>
        <v>40316</v>
      </c>
      <c r="D675" s="6" t="n">
        <f aca="false">'Analysis Data'!C675</f>
        <v>311.481392482803</v>
      </c>
      <c r="E675" s="15" t="n">
        <f aca="false">SUMPRODUCT('Final Model'!$B$45:$I$45,'Analysis Data'!N675:U675)</f>
        <v>319.755479017098</v>
      </c>
      <c r="F675" s="15" t="n">
        <f aca="false">D675-E675</f>
        <v>-8.27408653429524</v>
      </c>
      <c r="G675" s="13" t="n">
        <f aca="false">F675/'Final Model'!$B$21</f>
        <v>-0.168748634575412</v>
      </c>
      <c r="H675" s="6" t="n">
        <f aca="false">F675^2</f>
        <v>68.4605079770058</v>
      </c>
      <c r="J675" s="6" t="n">
        <f aca="false">A675</f>
        <v>674</v>
      </c>
      <c r="K675" s="13" t="n">
        <f aca="false">SMALL($G$2:$G$1387,J675)</f>
        <v>-0.0549163906971016</v>
      </c>
      <c r="L675" s="18" t="n">
        <f aca="false">(J675-0.5)/1386</f>
        <v>0.485930735930736</v>
      </c>
      <c r="M675" s="18" t="n">
        <f aca="false">_xlfn.NORM.DIST(K675,AVERAGE($G$2:$G$1387),_xlfn.STDEV.S($G$2:$G$1387),TRUE())</f>
        <v>0.478047045681503</v>
      </c>
    </row>
    <row r="676" customFormat="false" ht="15" hidden="false" customHeight="false" outlineLevel="0" collapsed="false">
      <c r="A676" s="0" t="n">
        <f aca="false">ROW()-1</f>
        <v>675</v>
      </c>
      <c r="B676" s="0" t="str">
        <f aca="false">'Analysis Data'!A676</f>
        <v>Roseville</v>
      </c>
      <c r="C676" s="5" t="n">
        <f aca="false">'Analysis Data'!B676</f>
        <v>40323</v>
      </c>
      <c r="D676" s="6" t="n">
        <f aca="false">'Analysis Data'!C676</f>
        <v>260.138713681469</v>
      </c>
      <c r="E676" s="15" t="n">
        <f aca="false">SUMPRODUCT('Final Model'!$B$45:$I$45,'Analysis Data'!N676:U676)</f>
        <v>320.937650559859</v>
      </c>
      <c r="F676" s="15" t="n">
        <f aca="false">D676-E676</f>
        <v>-60.7989368783908</v>
      </c>
      <c r="G676" s="13" t="n">
        <f aca="false">F676/'Final Model'!$B$21</f>
        <v>-1.23998432205652</v>
      </c>
      <c r="H676" s="6" t="n">
        <f aca="false">F676^2</f>
        <v>3696.51072554255</v>
      </c>
      <c r="J676" s="6" t="n">
        <f aca="false">A676</f>
        <v>675</v>
      </c>
      <c r="K676" s="13" t="n">
        <f aca="false">SMALL($G$2:$G$1387,J676)</f>
        <v>-0.0538009101757669</v>
      </c>
      <c r="L676" s="18" t="n">
        <f aca="false">(J676-0.5)/1386</f>
        <v>0.486652236652237</v>
      </c>
      <c r="M676" s="18" t="n">
        <f aca="false">_xlfn.NORM.DIST(K676,AVERAGE($G$2:$G$1387),_xlfn.STDEV.S($G$2:$G$1387),TRUE())</f>
        <v>0.478492524862356</v>
      </c>
    </row>
    <row r="677" customFormat="false" ht="15" hidden="false" customHeight="false" outlineLevel="0" collapsed="false">
      <c r="A677" s="0" t="n">
        <f aca="false">ROW()-1</f>
        <v>676</v>
      </c>
      <c r="B677" s="0" t="str">
        <f aca="false">'Analysis Data'!A677</f>
        <v>Roseville</v>
      </c>
      <c r="C677" s="5" t="n">
        <f aca="false">'Analysis Data'!B677</f>
        <v>40330</v>
      </c>
      <c r="D677" s="6" t="n">
        <f aca="false">'Analysis Data'!C677</f>
        <v>301.972105083035</v>
      </c>
      <c r="E677" s="15" t="n">
        <f aca="false">SUMPRODUCT('Final Model'!$B$45:$I$45,'Analysis Data'!N677:U677)</f>
        <v>315.922570681232</v>
      </c>
      <c r="F677" s="15" t="n">
        <f aca="false">D677-E677</f>
        <v>-13.9504655981972</v>
      </c>
      <c r="G677" s="13" t="n">
        <f aca="false">F677/'Final Model'!$B$21</f>
        <v>-0.284517452365218</v>
      </c>
      <c r="H677" s="6" t="n">
        <f aca="false">F677^2</f>
        <v>194.615490406485</v>
      </c>
      <c r="J677" s="6" t="n">
        <f aca="false">A677</f>
        <v>676</v>
      </c>
      <c r="K677" s="13" t="n">
        <f aca="false">SMALL($G$2:$G$1387,J677)</f>
        <v>-0.0526645655127141</v>
      </c>
      <c r="L677" s="18" t="n">
        <f aca="false">(J677-0.5)/1386</f>
        <v>0.487373737373737</v>
      </c>
      <c r="M677" s="18" t="n">
        <f aca="false">_xlfn.NORM.DIST(K677,AVERAGE($G$2:$G$1387),_xlfn.STDEV.S($G$2:$G$1387),TRUE())</f>
        <v>0.478946363989902</v>
      </c>
    </row>
    <row r="678" customFormat="false" ht="15" hidden="false" customHeight="false" outlineLevel="0" collapsed="false">
      <c r="A678" s="0" t="n">
        <f aca="false">ROW()-1</f>
        <v>677</v>
      </c>
      <c r="B678" s="0" t="str">
        <f aca="false">'Analysis Data'!A678</f>
        <v>Roseville</v>
      </c>
      <c r="C678" s="5" t="n">
        <f aca="false">'Analysis Data'!B678</f>
        <v>40337</v>
      </c>
      <c r="D678" s="6" t="n">
        <f aca="false">'Analysis Data'!C678</f>
        <v>301.022556440908</v>
      </c>
      <c r="E678" s="15" t="n">
        <f aca="false">SUMPRODUCT('Final Model'!$B$45:$I$45,'Analysis Data'!N678:U678)</f>
        <v>234.429736305493</v>
      </c>
      <c r="F678" s="15" t="n">
        <f aca="false">D678-E678</f>
        <v>66.5928201354151</v>
      </c>
      <c r="G678" s="13" t="n">
        <f aca="false">F678/'Final Model'!$B$21</f>
        <v>1.35814961854692</v>
      </c>
      <c r="H678" s="6" t="n">
        <f aca="false">F678^2</f>
        <v>4434.60369358775</v>
      </c>
      <c r="J678" s="6" t="n">
        <f aca="false">A678</f>
        <v>677</v>
      </c>
      <c r="K678" s="13" t="n">
        <f aca="false">SMALL($G$2:$G$1387,J678)</f>
        <v>-0.0514438521943169</v>
      </c>
      <c r="L678" s="18" t="n">
        <f aca="false">(J678-0.5)/1386</f>
        <v>0.488095238095238</v>
      </c>
      <c r="M678" s="18" t="n">
        <f aca="false">_xlfn.NORM.DIST(K678,AVERAGE($G$2:$G$1387),_xlfn.STDEV.S($G$2:$G$1387),TRUE())</f>
        <v>0.479433929099456</v>
      </c>
    </row>
    <row r="679" customFormat="false" ht="15" hidden="false" customHeight="false" outlineLevel="0" collapsed="false">
      <c r="A679" s="0" t="n">
        <f aca="false">ROW()-1</f>
        <v>678</v>
      </c>
      <c r="B679" s="0" t="str">
        <f aca="false">'Analysis Data'!A679</f>
        <v>Roseville</v>
      </c>
      <c r="C679" s="5" t="n">
        <f aca="false">'Analysis Data'!B679</f>
        <v>40344</v>
      </c>
      <c r="D679" s="6" t="n">
        <f aca="false">'Analysis Data'!C679</f>
        <v>223.206160000532</v>
      </c>
      <c r="E679" s="15" t="n">
        <f aca="false">SUMPRODUCT('Final Model'!$B$45:$I$45,'Analysis Data'!N679:U679)</f>
        <v>240.708616331099</v>
      </c>
      <c r="F679" s="15" t="n">
        <f aca="false">D679-E679</f>
        <v>-17.5024563305667</v>
      </c>
      <c r="G679" s="13" t="n">
        <f aca="false">F679/'Final Model'!$B$21</f>
        <v>-0.356959719391002</v>
      </c>
      <c r="H679" s="6" t="n">
        <f aca="false">F679^2</f>
        <v>306.335977603393</v>
      </c>
      <c r="J679" s="6" t="n">
        <f aca="false">A679</f>
        <v>678</v>
      </c>
      <c r="K679" s="13" t="n">
        <f aca="false">SMALL($G$2:$G$1387,J679)</f>
        <v>-0.0508413357421667</v>
      </c>
      <c r="L679" s="18" t="n">
        <f aca="false">(J679-0.5)/1386</f>
        <v>0.488816738816739</v>
      </c>
      <c r="M679" s="18" t="n">
        <f aca="false">_xlfn.NORM.DIST(K679,AVERAGE($G$2:$G$1387),_xlfn.STDEV.S($G$2:$G$1387),TRUE())</f>
        <v>0.479674591585931</v>
      </c>
    </row>
    <row r="680" customFormat="false" ht="15" hidden="false" customHeight="false" outlineLevel="0" collapsed="false">
      <c r="A680" s="0" t="n">
        <f aca="false">ROW()-1</f>
        <v>679</v>
      </c>
      <c r="B680" s="0" t="str">
        <f aca="false">'Analysis Data'!A680</f>
        <v>Roseville</v>
      </c>
      <c r="C680" s="5" t="n">
        <f aca="false">'Analysis Data'!B680</f>
        <v>40351</v>
      </c>
      <c r="D680" s="6" t="n">
        <f aca="false">'Analysis Data'!C680</f>
        <v>246.452850365609</v>
      </c>
      <c r="E680" s="15" t="n">
        <f aca="false">SUMPRODUCT('Final Model'!$B$45:$I$45,'Analysis Data'!N680:U680)</f>
        <v>234.566815173059</v>
      </c>
      <c r="F680" s="15" t="n">
        <f aca="false">D680-E680</f>
        <v>11.8860351925507</v>
      </c>
      <c r="G680" s="13" t="n">
        <f aca="false">F680/'Final Model'!$B$21</f>
        <v>0.242413733642328</v>
      </c>
      <c r="H680" s="6" t="n">
        <f aca="false">F680^2</f>
        <v>141.277832598553</v>
      </c>
      <c r="J680" s="6" t="n">
        <f aca="false">A680</f>
        <v>679</v>
      </c>
      <c r="K680" s="13" t="n">
        <f aca="false">SMALL($G$2:$G$1387,J680)</f>
        <v>-0.0500079730319923</v>
      </c>
      <c r="L680" s="18" t="n">
        <f aca="false">(J680-0.5)/1386</f>
        <v>0.48953823953824</v>
      </c>
      <c r="M680" s="18" t="n">
        <f aca="false">_xlfn.NORM.DIST(K680,AVERAGE($G$2:$G$1387),_xlfn.STDEV.S($G$2:$G$1387),TRUE())</f>
        <v>0.480007472933906</v>
      </c>
    </row>
    <row r="681" customFormat="false" ht="15" hidden="false" customHeight="false" outlineLevel="0" collapsed="false">
      <c r="A681" s="0" t="n">
        <f aca="false">ROW()-1</f>
        <v>680</v>
      </c>
      <c r="B681" s="0" t="str">
        <f aca="false">'Analysis Data'!A681</f>
        <v>Roseville</v>
      </c>
      <c r="C681" s="5" t="n">
        <f aca="false">'Analysis Data'!B681</f>
        <v>40358</v>
      </c>
      <c r="D681" s="6" t="n">
        <f aca="false">'Analysis Data'!C681</f>
        <v>223.32784024475</v>
      </c>
      <c r="E681" s="15" t="n">
        <f aca="false">SUMPRODUCT('Final Model'!$B$45:$I$45,'Analysis Data'!N681:U681)</f>
        <v>245.302429501422</v>
      </c>
      <c r="F681" s="15" t="n">
        <f aca="false">D681-E681</f>
        <v>-21.9745892566725</v>
      </c>
      <c r="G681" s="13" t="n">
        <f aca="false">F681/'Final Model'!$B$21</f>
        <v>-0.448168135183138</v>
      </c>
      <c r="H681" s="6" t="n">
        <f aca="false">F681^2</f>
        <v>482.882572999468</v>
      </c>
      <c r="J681" s="6" t="n">
        <f aca="false">A681</f>
        <v>680</v>
      </c>
      <c r="K681" s="13" t="n">
        <f aca="false">SMALL($G$2:$G$1387,J681)</f>
        <v>-0.0499790484808114</v>
      </c>
      <c r="L681" s="18" t="n">
        <f aca="false">(J681-0.5)/1386</f>
        <v>0.49025974025974</v>
      </c>
      <c r="M681" s="18" t="n">
        <f aca="false">_xlfn.NORM.DIST(K681,AVERAGE($G$2:$G$1387),_xlfn.STDEV.S($G$2:$G$1387),TRUE())</f>
        <v>0.480019026910632</v>
      </c>
    </row>
    <row r="682" customFormat="false" ht="15" hidden="false" customHeight="false" outlineLevel="0" collapsed="false">
      <c r="A682" s="0" t="n">
        <f aca="false">ROW()-1</f>
        <v>681</v>
      </c>
      <c r="B682" s="0" t="str">
        <f aca="false">'Analysis Data'!A682</f>
        <v>Roseville</v>
      </c>
      <c r="C682" s="5" t="n">
        <f aca="false">'Analysis Data'!B682</f>
        <v>40365</v>
      </c>
      <c r="D682" s="6" t="n">
        <f aca="false">'Analysis Data'!C682</f>
        <v>276.779009890334</v>
      </c>
      <c r="E682" s="15" t="n">
        <f aca="false">SUMPRODUCT('Final Model'!$B$45:$I$45,'Analysis Data'!N682:U682)</f>
        <v>248.652502868377</v>
      </c>
      <c r="F682" s="15" t="n">
        <f aca="false">D682-E682</f>
        <v>28.1265070219569</v>
      </c>
      <c r="G682" s="13" t="n">
        <f aca="false">F682/'Final Model'!$B$21</f>
        <v>0.573635486607252</v>
      </c>
      <c r="H682" s="6" t="n">
        <f aca="false">F682^2</f>
        <v>791.100397256191</v>
      </c>
      <c r="J682" s="6" t="n">
        <f aca="false">A682</f>
        <v>681</v>
      </c>
      <c r="K682" s="13" t="n">
        <f aca="false">SMALL($G$2:$G$1387,J682)</f>
        <v>-0.0475668947289281</v>
      </c>
      <c r="L682" s="18" t="n">
        <f aca="false">(J682-0.5)/1386</f>
        <v>0.490981240981241</v>
      </c>
      <c r="M682" s="18" t="n">
        <f aca="false">_xlfn.NORM.DIST(K682,AVERAGE($G$2:$G$1387),_xlfn.STDEV.S($G$2:$G$1387),TRUE())</f>
        <v>0.480982625266287</v>
      </c>
    </row>
    <row r="683" customFormat="false" ht="15" hidden="false" customHeight="false" outlineLevel="0" collapsed="false">
      <c r="A683" s="0" t="n">
        <f aca="false">ROW()-1</f>
        <v>682</v>
      </c>
      <c r="B683" s="0" t="str">
        <f aca="false">'Analysis Data'!A683</f>
        <v>Roseville</v>
      </c>
      <c r="C683" s="5" t="n">
        <f aca="false">'Analysis Data'!B683</f>
        <v>40372</v>
      </c>
      <c r="D683" s="6" t="n">
        <f aca="false">'Analysis Data'!C683</f>
        <v>268.593039903425</v>
      </c>
      <c r="E683" s="15" t="n">
        <f aca="false">SUMPRODUCT('Final Model'!$B$45:$I$45,'Analysis Data'!N683:U683)</f>
        <v>248.652502868377</v>
      </c>
      <c r="F683" s="15" t="n">
        <f aca="false">D683-E683</f>
        <v>19.9405370350477</v>
      </c>
      <c r="G683" s="13" t="n">
        <f aca="false">F683/'Final Model'!$B$21</f>
        <v>0.40668397452908</v>
      </c>
      <c r="H683" s="6" t="n">
        <f aca="false">F683^2</f>
        <v>397.625017246108</v>
      </c>
      <c r="J683" s="6" t="n">
        <f aca="false">A683</f>
        <v>682</v>
      </c>
      <c r="K683" s="13" t="n">
        <f aca="false">SMALL($G$2:$G$1387,J683)</f>
        <v>-0.0462978731018698</v>
      </c>
      <c r="L683" s="18" t="n">
        <f aca="false">(J683-0.5)/1386</f>
        <v>0.491702741702742</v>
      </c>
      <c r="M683" s="18" t="n">
        <f aca="false">_xlfn.NORM.DIST(K683,AVERAGE($G$2:$G$1387),_xlfn.STDEV.S($G$2:$G$1387),TRUE())</f>
        <v>0.481489614351069</v>
      </c>
    </row>
    <row r="684" customFormat="false" ht="15" hidden="false" customHeight="false" outlineLevel="0" collapsed="false">
      <c r="A684" s="0" t="n">
        <f aca="false">ROW()-1</f>
        <v>683</v>
      </c>
      <c r="B684" s="0" t="str">
        <f aca="false">'Analysis Data'!A684</f>
        <v>Sacramento</v>
      </c>
      <c r="C684" s="5" t="n">
        <f aca="false">'Analysis Data'!B684</f>
        <v>40302</v>
      </c>
      <c r="D684" s="6" t="n">
        <f aca="false">'Analysis Data'!C684</f>
        <v>287.796295460026</v>
      </c>
      <c r="E684" s="15" t="n">
        <f aca="false">SUMPRODUCT('Final Model'!$B$45:$I$45,'Analysis Data'!N684:U684)</f>
        <v>234.75070142814</v>
      </c>
      <c r="F684" s="15" t="n">
        <f aca="false">D684-E684</f>
        <v>53.045594031886</v>
      </c>
      <c r="G684" s="13" t="n">
        <f aca="false">F684/'Final Model'!$B$21</f>
        <v>1.08185616938134</v>
      </c>
      <c r="H684" s="6" t="n">
        <f aca="false">F684^2</f>
        <v>2813.83504619566</v>
      </c>
      <c r="J684" s="6" t="n">
        <f aca="false">A684</f>
        <v>683</v>
      </c>
      <c r="K684" s="13" t="n">
        <f aca="false">SMALL($G$2:$G$1387,J684)</f>
        <v>-0.0458764543970566</v>
      </c>
      <c r="L684" s="18" t="n">
        <f aca="false">(J684-0.5)/1386</f>
        <v>0.492424242424242</v>
      </c>
      <c r="M684" s="18" t="n">
        <f aca="false">_xlfn.NORM.DIST(K684,AVERAGE($G$2:$G$1387),_xlfn.STDEV.S($G$2:$G$1387),TRUE())</f>
        <v>0.481657982748825</v>
      </c>
    </row>
    <row r="685" customFormat="false" ht="15" hidden="false" customHeight="false" outlineLevel="0" collapsed="false">
      <c r="A685" s="0" t="n">
        <f aca="false">ROW()-1</f>
        <v>684</v>
      </c>
      <c r="B685" s="0" t="str">
        <f aca="false">'Analysis Data'!A685</f>
        <v>Sacramento</v>
      </c>
      <c r="C685" s="5" t="n">
        <f aca="false">'Analysis Data'!B685</f>
        <v>40309</v>
      </c>
      <c r="D685" s="6" t="n">
        <f aca="false">'Analysis Data'!C685</f>
        <v>280.224475856021</v>
      </c>
      <c r="E685" s="15" t="n">
        <f aca="false">SUMPRODUCT('Final Model'!$B$45:$I$45,'Analysis Data'!N685:U685)</f>
        <v>234.75070142814</v>
      </c>
      <c r="F685" s="15" t="n">
        <f aca="false">D685-E685</f>
        <v>45.4737744278808</v>
      </c>
      <c r="G685" s="13" t="n">
        <f aca="false">F685/'Final Model'!$B$21</f>
        <v>0.927430153393819</v>
      </c>
      <c r="H685" s="6" t="n">
        <f aca="false">F685^2</f>
        <v>2067.86416071779</v>
      </c>
      <c r="J685" s="6" t="n">
        <f aca="false">A685</f>
        <v>684</v>
      </c>
      <c r="K685" s="13" t="n">
        <f aca="false">SMALL($G$2:$G$1387,J685)</f>
        <v>-0.0428617981724349</v>
      </c>
      <c r="L685" s="18" t="n">
        <f aca="false">(J685-0.5)/1386</f>
        <v>0.493145743145743</v>
      </c>
      <c r="M685" s="18" t="n">
        <f aca="false">_xlfn.NORM.DIST(K685,AVERAGE($G$2:$G$1387),_xlfn.STDEV.S($G$2:$G$1387),TRUE())</f>
        <v>0.482862514692097</v>
      </c>
    </row>
    <row r="686" customFormat="false" ht="15" hidden="false" customHeight="false" outlineLevel="0" collapsed="false">
      <c r="A686" s="0" t="n">
        <f aca="false">ROW()-1</f>
        <v>685</v>
      </c>
      <c r="B686" s="0" t="str">
        <f aca="false">'Analysis Data'!A686</f>
        <v>Sacramento</v>
      </c>
      <c r="C686" s="5" t="n">
        <f aca="false">'Analysis Data'!B686</f>
        <v>40316</v>
      </c>
      <c r="D686" s="6" t="n">
        <f aca="false">'Analysis Data'!C686</f>
        <v>314.64079844727</v>
      </c>
      <c r="E686" s="15" t="n">
        <f aca="false">SUMPRODUCT('Final Model'!$B$45:$I$45,'Analysis Data'!N686:U686)</f>
        <v>249.95196579205</v>
      </c>
      <c r="F686" s="15" t="n">
        <f aca="false">D686-E686</f>
        <v>64.6888326552197</v>
      </c>
      <c r="G686" s="13" t="n">
        <f aca="false">F686/'Final Model'!$B$21</f>
        <v>1.31931810691118</v>
      </c>
      <c r="H686" s="6" t="n">
        <f aca="false">F686^2</f>
        <v>4184.64507029502</v>
      </c>
      <c r="J686" s="6" t="n">
        <f aca="false">A686</f>
        <v>685</v>
      </c>
      <c r="K686" s="13" t="n">
        <f aca="false">SMALL($G$2:$G$1387,J686)</f>
        <v>-0.0386113270905609</v>
      </c>
      <c r="L686" s="18" t="n">
        <f aca="false">(J686-0.5)/1386</f>
        <v>0.493867243867244</v>
      </c>
      <c r="M686" s="18" t="n">
        <f aca="false">_xlfn.NORM.DIST(K686,AVERAGE($G$2:$G$1387),_xlfn.STDEV.S($G$2:$G$1387),TRUE())</f>
        <v>0.484561090374331</v>
      </c>
    </row>
    <row r="687" customFormat="false" ht="15" hidden="false" customHeight="false" outlineLevel="0" collapsed="false">
      <c r="A687" s="0" t="n">
        <f aca="false">ROW()-1</f>
        <v>686</v>
      </c>
      <c r="B687" s="0" t="str">
        <f aca="false">'Analysis Data'!A687</f>
        <v>Sacramento</v>
      </c>
      <c r="C687" s="5" t="n">
        <f aca="false">'Analysis Data'!B687</f>
        <v>40323</v>
      </c>
      <c r="D687" s="6" t="n">
        <f aca="false">'Analysis Data'!C687</f>
        <v>223.71117533238</v>
      </c>
      <c r="E687" s="15" t="n">
        <f aca="false">SUMPRODUCT('Final Model'!$B$45:$I$45,'Analysis Data'!N687:U687)</f>
        <v>243.577242025116</v>
      </c>
      <c r="F687" s="15" t="n">
        <f aca="false">D687-E687</f>
        <v>-19.8660666927357</v>
      </c>
      <c r="G687" s="13" t="n">
        <f aca="false">F687/'Final Model'!$B$21</f>
        <v>-0.405165164140837</v>
      </c>
      <c r="H687" s="6" t="n">
        <f aca="false">F687^2</f>
        <v>394.660605840223</v>
      </c>
      <c r="J687" s="6" t="n">
        <f aca="false">A687</f>
        <v>686</v>
      </c>
      <c r="K687" s="13" t="n">
        <f aca="false">SMALL($G$2:$G$1387,J687)</f>
        <v>-0.0363823157824302</v>
      </c>
      <c r="L687" s="18" t="n">
        <f aca="false">(J687-0.5)/1386</f>
        <v>0.494588744588745</v>
      </c>
      <c r="M687" s="18" t="n">
        <f aca="false">_xlfn.NORM.DIST(K687,AVERAGE($G$2:$G$1387),_xlfn.STDEV.S($G$2:$G$1387),TRUE())</f>
        <v>0.485451963099326</v>
      </c>
    </row>
    <row r="688" customFormat="false" ht="15" hidden="false" customHeight="false" outlineLevel="0" collapsed="false">
      <c r="A688" s="0" t="n">
        <f aca="false">ROW()-1</f>
        <v>687</v>
      </c>
      <c r="B688" s="0" t="str">
        <f aca="false">'Analysis Data'!A688</f>
        <v>Sacramento</v>
      </c>
      <c r="C688" s="5" t="n">
        <f aca="false">'Analysis Data'!B688</f>
        <v>40330</v>
      </c>
      <c r="D688" s="6" t="n">
        <f aca="false">'Analysis Data'!C688</f>
        <v>192.681365934027</v>
      </c>
      <c r="E688" s="15" t="n">
        <f aca="false">SUMPRODUCT('Final Model'!$B$45:$I$45,'Analysis Data'!N688:U688)</f>
        <v>249.95196579205</v>
      </c>
      <c r="F688" s="15" t="n">
        <f aca="false">D688-E688</f>
        <v>-57.2705998580231</v>
      </c>
      <c r="G688" s="13" t="n">
        <f aca="false">F688/'Final Model'!$B$21</f>
        <v>-1.16802446859825</v>
      </c>
      <c r="H688" s="6" t="n">
        <f aca="false">F688^2</f>
        <v>3279.92160809779</v>
      </c>
      <c r="J688" s="6" t="n">
        <f aca="false">A688</f>
        <v>687</v>
      </c>
      <c r="K688" s="13" t="n">
        <f aca="false">SMALL($G$2:$G$1387,J688)</f>
        <v>-0.036362124591413</v>
      </c>
      <c r="L688" s="18" t="n">
        <f aca="false">(J688-0.5)/1386</f>
        <v>0.495310245310245</v>
      </c>
      <c r="M688" s="18" t="n">
        <f aca="false">_xlfn.NORM.DIST(K688,AVERAGE($G$2:$G$1387),_xlfn.STDEV.S($G$2:$G$1387),TRUE())</f>
        <v>0.48546003328542</v>
      </c>
    </row>
    <row r="689" customFormat="false" ht="15" hidden="false" customHeight="false" outlineLevel="0" collapsed="false">
      <c r="A689" s="0" t="n">
        <f aca="false">ROW()-1</f>
        <v>688</v>
      </c>
      <c r="B689" s="0" t="str">
        <f aca="false">'Analysis Data'!A689</f>
        <v>Sacramento</v>
      </c>
      <c r="C689" s="5" t="n">
        <f aca="false">'Analysis Data'!B689</f>
        <v>40337</v>
      </c>
      <c r="D689" s="6" t="n">
        <f aca="false">'Analysis Data'!C689</f>
        <v>169.334527373481</v>
      </c>
      <c r="E689" s="15" t="n">
        <f aca="false">SUMPRODUCT('Final Model'!$B$45:$I$45,'Analysis Data'!N689:U689)</f>
        <v>242.866215148597</v>
      </c>
      <c r="F689" s="15" t="n">
        <f aca="false">D689-E689</f>
        <v>-73.5316877751153</v>
      </c>
      <c r="G689" s="13" t="n">
        <f aca="false">F689/'Final Model'!$B$21</f>
        <v>-1.49966668328217</v>
      </c>
      <c r="H689" s="6" t="n">
        <f aca="false">F689^2</f>
        <v>5406.90910705704</v>
      </c>
      <c r="J689" s="6" t="n">
        <f aca="false">A689</f>
        <v>688</v>
      </c>
      <c r="K689" s="13" t="n">
        <f aca="false">SMALL($G$2:$G$1387,J689)</f>
        <v>-0.0359775035758612</v>
      </c>
      <c r="L689" s="18" t="n">
        <f aca="false">(J689-0.5)/1386</f>
        <v>0.496031746031746</v>
      </c>
      <c r="M689" s="18" t="n">
        <f aca="false">_xlfn.NORM.DIST(K689,AVERAGE($G$2:$G$1387),_xlfn.STDEV.S($G$2:$G$1387),TRUE())</f>
        <v>0.48561376300116</v>
      </c>
    </row>
    <row r="690" customFormat="false" ht="15" hidden="false" customHeight="false" outlineLevel="0" collapsed="false">
      <c r="A690" s="0" t="n">
        <f aca="false">ROW()-1</f>
        <v>689</v>
      </c>
      <c r="B690" s="0" t="str">
        <f aca="false">'Analysis Data'!A690</f>
        <v>Sacramento</v>
      </c>
      <c r="C690" s="5" t="n">
        <f aca="false">'Analysis Data'!B690</f>
        <v>40344</v>
      </c>
      <c r="D690" s="6" t="n">
        <f aca="false">'Analysis Data'!C690</f>
        <v>249.792049272943</v>
      </c>
      <c r="E690" s="15" t="n">
        <f aca="false">SUMPRODUCT('Final Model'!$B$45:$I$45,'Analysis Data'!N690:U690)</f>
        <v>235.976609854194</v>
      </c>
      <c r="F690" s="15" t="n">
        <f aca="false">D690-E690</f>
        <v>13.815439418749</v>
      </c>
      <c r="G690" s="13" t="n">
        <f aca="false">F690/'Final Model'!$B$21</f>
        <v>0.281763615634193</v>
      </c>
      <c r="H690" s="6" t="n">
        <f aca="false">F690^2</f>
        <v>190.866366333123</v>
      </c>
      <c r="J690" s="6" t="n">
        <f aca="false">A690</f>
        <v>689</v>
      </c>
      <c r="K690" s="13" t="n">
        <f aca="false">SMALL($G$2:$G$1387,J690)</f>
        <v>-0.0326785458666123</v>
      </c>
      <c r="L690" s="18" t="n">
        <f aca="false">(J690-0.5)/1386</f>
        <v>0.496753246753247</v>
      </c>
      <c r="M690" s="18" t="n">
        <f aca="false">_xlfn.NORM.DIST(K690,AVERAGE($G$2:$G$1387),_xlfn.STDEV.S($G$2:$G$1387),TRUE())</f>
        <v>0.486932413505282</v>
      </c>
    </row>
    <row r="691" customFormat="false" ht="15" hidden="false" customHeight="false" outlineLevel="0" collapsed="false">
      <c r="A691" s="0" t="n">
        <f aca="false">ROW()-1</f>
        <v>690</v>
      </c>
      <c r="B691" s="0" t="str">
        <f aca="false">'Analysis Data'!A691</f>
        <v>Sacramento</v>
      </c>
      <c r="C691" s="5" t="n">
        <f aca="false">'Analysis Data'!B691</f>
        <v>40351</v>
      </c>
      <c r="D691" s="6" t="n">
        <f aca="false">'Analysis Data'!C691</f>
        <v>159.104393440132</v>
      </c>
      <c r="E691" s="15" t="n">
        <f aca="false">SUMPRODUCT('Final Model'!$B$45:$I$45,'Analysis Data'!N691:U691)</f>
        <v>235.412691972914</v>
      </c>
      <c r="F691" s="15" t="n">
        <f aca="false">D691-E691</f>
        <v>-76.3082985327811</v>
      </c>
      <c r="G691" s="13" t="n">
        <f aca="false">F691/'Final Model'!$B$21</f>
        <v>-1.55629520319931</v>
      </c>
      <c r="H691" s="6" t="n">
        <f aca="false">F691^2</f>
        <v>5822.95642496804</v>
      </c>
      <c r="J691" s="6" t="n">
        <f aca="false">A691</f>
        <v>690</v>
      </c>
      <c r="K691" s="13" t="n">
        <f aca="false">SMALL($G$2:$G$1387,J691)</f>
        <v>-0.0300260923606118</v>
      </c>
      <c r="L691" s="18" t="n">
        <f aca="false">(J691-0.5)/1386</f>
        <v>0.497474747474747</v>
      </c>
      <c r="M691" s="18" t="n">
        <f aca="false">_xlfn.NORM.DIST(K691,AVERAGE($G$2:$G$1387),_xlfn.STDEV.S($G$2:$G$1387),TRUE())</f>
        <v>0.487992749398528</v>
      </c>
    </row>
    <row r="692" customFormat="false" ht="15" hidden="false" customHeight="false" outlineLevel="0" collapsed="false">
      <c r="A692" s="0" t="n">
        <f aca="false">ROW()-1</f>
        <v>691</v>
      </c>
      <c r="B692" s="0" t="str">
        <f aca="false">'Analysis Data'!A692</f>
        <v>Sacramento</v>
      </c>
      <c r="C692" s="5" t="n">
        <f aca="false">'Analysis Data'!B692</f>
        <v>40358</v>
      </c>
      <c r="D692" s="6" t="n">
        <f aca="false">'Analysis Data'!C692</f>
        <v>226.899353768905</v>
      </c>
      <c r="E692" s="15" t="n">
        <f aca="false">SUMPRODUCT('Final Model'!$B$45:$I$45,'Analysis Data'!N692:U692)</f>
        <v>243.822423705914</v>
      </c>
      <c r="F692" s="15" t="n">
        <f aca="false">D692-E692</f>
        <v>-16.9230699370087</v>
      </c>
      <c r="G692" s="13" t="n">
        <f aca="false">F692/'Final Model'!$B$21</f>
        <v>-0.345143229147732</v>
      </c>
      <c r="H692" s="6" t="n">
        <f aca="false">F692^2</f>
        <v>286.390296092889</v>
      </c>
      <c r="J692" s="6" t="n">
        <f aca="false">A692</f>
        <v>691</v>
      </c>
      <c r="K692" s="13" t="n">
        <f aca="false">SMALL($G$2:$G$1387,J692)</f>
        <v>-0.0299672995375181</v>
      </c>
      <c r="L692" s="18" t="n">
        <f aca="false">(J692-0.5)/1386</f>
        <v>0.498196248196248</v>
      </c>
      <c r="M692" s="18" t="n">
        <f aca="false">_xlfn.NORM.DIST(K692,AVERAGE($G$2:$G$1387),_xlfn.STDEV.S($G$2:$G$1387),TRUE())</f>
        <v>0.488016253208984</v>
      </c>
    </row>
    <row r="693" customFormat="false" ht="15" hidden="false" customHeight="false" outlineLevel="0" collapsed="false">
      <c r="A693" s="0" t="n">
        <f aca="false">ROW()-1</f>
        <v>692</v>
      </c>
      <c r="B693" s="0" t="str">
        <f aca="false">'Analysis Data'!A693</f>
        <v>Sacramento</v>
      </c>
      <c r="C693" s="5" t="n">
        <f aca="false">'Analysis Data'!B693</f>
        <v>40365</v>
      </c>
      <c r="D693" s="6" t="n">
        <f aca="false">'Analysis Data'!C693</f>
        <v>252.183449405112</v>
      </c>
      <c r="E693" s="15" t="n">
        <f aca="false">SUMPRODUCT('Final Model'!$B$45:$I$45,'Analysis Data'!N693:U693)</f>
        <v>247.990512323604</v>
      </c>
      <c r="F693" s="15" t="n">
        <f aca="false">D693-E693</f>
        <v>4.19293708150778</v>
      </c>
      <c r="G693" s="13" t="n">
        <f aca="false">F693/'Final Model'!$B$21</f>
        <v>0.0855142624424241</v>
      </c>
      <c r="H693" s="6" t="n">
        <f aca="false">F693^2</f>
        <v>17.580721369483</v>
      </c>
      <c r="J693" s="6" t="n">
        <f aca="false">A693</f>
        <v>692</v>
      </c>
      <c r="K693" s="13" t="n">
        <f aca="false">SMALL($G$2:$G$1387,J693)</f>
        <v>-0.0293202217547435</v>
      </c>
      <c r="L693" s="18" t="n">
        <f aca="false">(J693-0.5)/1386</f>
        <v>0.498917748917749</v>
      </c>
      <c r="M693" s="18" t="n">
        <f aca="false">_xlfn.NORM.DIST(K693,AVERAGE($G$2:$G$1387),_xlfn.STDEV.S($G$2:$G$1387),TRUE())</f>
        <v>0.488274940466597</v>
      </c>
    </row>
    <row r="694" customFormat="false" ht="15" hidden="false" customHeight="false" outlineLevel="0" collapsed="false">
      <c r="A694" s="0" t="n">
        <f aca="false">ROW()-1</f>
        <v>693</v>
      </c>
      <c r="B694" s="0" t="str">
        <f aca="false">'Analysis Data'!A694</f>
        <v>Sacramento</v>
      </c>
      <c r="C694" s="5" t="n">
        <f aca="false">'Analysis Data'!B694</f>
        <v>40372</v>
      </c>
      <c r="D694" s="6" t="n">
        <f aca="false">'Analysis Data'!C694</f>
        <v>284.162550252956</v>
      </c>
      <c r="E694" s="15" t="n">
        <f aca="false">SUMPRODUCT('Final Model'!$B$45:$I$45,'Analysis Data'!N694:U694)</f>
        <v>247.990512323604</v>
      </c>
      <c r="F694" s="15" t="n">
        <f aca="false">D694-E694</f>
        <v>36.1720379293515</v>
      </c>
      <c r="G694" s="13" t="n">
        <f aca="false">F694/'Final Model'!$B$21</f>
        <v>0.737722766747446</v>
      </c>
      <c r="H694" s="6" t="n">
        <f aca="false">F694^2</f>
        <v>1308.41632796244</v>
      </c>
      <c r="J694" s="6" t="n">
        <f aca="false">A694</f>
        <v>693</v>
      </c>
      <c r="K694" s="13" t="n">
        <f aca="false">SMALL($G$2:$G$1387,J694)</f>
        <v>-0.0277501524084879</v>
      </c>
      <c r="L694" s="18" t="n">
        <f aca="false">(J694-0.5)/1386</f>
        <v>0.49963924963925</v>
      </c>
      <c r="M694" s="18" t="n">
        <f aca="false">_xlfn.NORM.DIST(K694,AVERAGE($G$2:$G$1387),_xlfn.STDEV.S($G$2:$G$1387),TRUE())</f>
        <v>0.488902639444833</v>
      </c>
    </row>
    <row r="695" customFormat="false" ht="15" hidden="false" customHeight="false" outlineLevel="0" collapsed="false">
      <c r="A695" s="0" t="n">
        <f aca="false">ROW()-1</f>
        <v>694</v>
      </c>
      <c r="B695" s="0" t="str">
        <f aca="false">'Analysis Data'!A695</f>
        <v>San Mateo</v>
      </c>
      <c r="C695" s="5" t="n">
        <f aca="false">'Analysis Data'!B695</f>
        <v>40302</v>
      </c>
      <c r="D695" s="6" t="n">
        <f aca="false">'Analysis Data'!C695</f>
        <v>274.467198643044</v>
      </c>
      <c r="E695" s="15" t="n">
        <f aca="false">SUMPRODUCT('Final Model'!$B$45:$I$45,'Analysis Data'!N695:U695)</f>
        <v>301.941915272856</v>
      </c>
      <c r="F695" s="15" t="n">
        <f aca="false">D695-E695</f>
        <v>-27.4747166298118</v>
      </c>
      <c r="G695" s="13" t="n">
        <f aca="false">F695/'Final Model'!$B$21</f>
        <v>-0.560342328716292</v>
      </c>
      <c r="H695" s="6" t="n">
        <f aca="false">F695^2</f>
        <v>754.860053888459</v>
      </c>
      <c r="J695" s="6" t="n">
        <f aca="false">A695</f>
        <v>694</v>
      </c>
      <c r="K695" s="13" t="n">
        <f aca="false">SMALL($G$2:$G$1387,J695)</f>
        <v>-0.0250693638684954</v>
      </c>
      <c r="L695" s="18" t="n">
        <f aca="false">(J695-0.5)/1386</f>
        <v>0.50036075036075</v>
      </c>
      <c r="M695" s="18" t="n">
        <f aca="false">_xlfn.NORM.DIST(K695,AVERAGE($G$2:$G$1387),_xlfn.STDEV.S($G$2:$G$1387),TRUE())</f>
        <v>0.489974456213152</v>
      </c>
    </row>
    <row r="696" customFormat="false" ht="15" hidden="false" customHeight="false" outlineLevel="0" collapsed="false">
      <c r="A696" s="0" t="n">
        <f aca="false">ROW()-1</f>
        <v>695</v>
      </c>
      <c r="B696" s="0" t="str">
        <f aca="false">'Analysis Data'!A696</f>
        <v>San Mateo</v>
      </c>
      <c r="C696" s="5" t="n">
        <f aca="false">'Analysis Data'!B696</f>
        <v>40309</v>
      </c>
      <c r="D696" s="6" t="n">
        <f aca="false">'Analysis Data'!C696</f>
        <v>306.910566107299</v>
      </c>
      <c r="E696" s="15" t="n">
        <f aca="false">SUMPRODUCT('Final Model'!$B$45:$I$45,'Analysis Data'!N696:U696)</f>
        <v>301.941915272856</v>
      </c>
      <c r="F696" s="15" t="n">
        <f aca="false">D696-E696</f>
        <v>4.96865083444357</v>
      </c>
      <c r="G696" s="13" t="n">
        <f aca="false">F696/'Final Model'!$B$21</f>
        <v>0.101334816903235</v>
      </c>
      <c r="H696" s="6" t="n">
        <f aca="false">F696^2</f>
        <v>24.6874911146167</v>
      </c>
      <c r="J696" s="6" t="n">
        <f aca="false">A696</f>
        <v>695</v>
      </c>
      <c r="K696" s="13" t="n">
        <f aca="false">SMALL($G$2:$G$1387,J696)</f>
        <v>-0.0231586087976631</v>
      </c>
      <c r="L696" s="18" t="n">
        <f aca="false">(J696-0.5)/1386</f>
        <v>0.501082251082251</v>
      </c>
      <c r="M696" s="18" t="n">
        <f aca="false">_xlfn.NORM.DIST(K696,AVERAGE($G$2:$G$1387),_xlfn.STDEV.S($G$2:$G$1387),TRUE())</f>
        <v>0.490738447470918</v>
      </c>
    </row>
    <row r="697" customFormat="false" ht="15" hidden="false" customHeight="false" outlineLevel="0" collapsed="false">
      <c r="A697" s="0" t="n">
        <f aca="false">ROW()-1</f>
        <v>696</v>
      </c>
      <c r="B697" s="0" t="str">
        <f aca="false">'Analysis Data'!A697</f>
        <v>San Mateo</v>
      </c>
      <c r="C697" s="5" t="n">
        <f aca="false">'Analysis Data'!B697</f>
        <v>40316</v>
      </c>
      <c r="D697" s="6" t="n">
        <f aca="false">'Analysis Data'!C697</f>
        <v>367.714065098252</v>
      </c>
      <c r="E697" s="15" t="n">
        <f aca="false">SUMPRODUCT('Final Model'!$B$45:$I$45,'Analysis Data'!N697:U697)</f>
        <v>310.185319293198</v>
      </c>
      <c r="F697" s="15" t="n">
        <f aca="false">D697-E697</f>
        <v>57.5287458050543</v>
      </c>
      <c r="G697" s="13" t="n">
        <f aca="false">F697/'Final Model'!$B$21</f>
        <v>1.17328931274777</v>
      </c>
      <c r="H697" s="6" t="n">
        <f aca="false">F697^2</f>
        <v>3309.55659390255</v>
      </c>
      <c r="J697" s="6" t="n">
        <f aca="false">A697</f>
        <v>696</v>
      </c>
      <c r="K697" s="13" t="n">
        <f aca="false">SMALL($G$2:$G$1387,J697)</f>
        <v>-0.0167108249236931</v>
      </c>
      <c r="L697" s="18" t="n">
        <f aca="false">(J697-0.5)/1386</f>
        <v>0.501803751803752</v>
      </c>
      <c r="M697" s="18" t="n">
        <f aca="false">_xlfn.NORM.DIST(K697,AVERAGE($G$2:$G$1387),_xlfn.STDEV.S($G$2:$G$1387),TRUE())</f>
        <v>0.493316746757943</v>
      </c>
    </row>
    <row r="698" customFormat="false" ht="15" hidden="false" customHeight="false" outlineLevel="0" collapsed="false">
      <c r="A698" s="0" t="n">
        <f aca="false">ROW()-1</f>
        <v>697</v>
      </c>
      <c r="B698" s="0" t="str">
        <f aca="false">'Analysis Data'!A698</f>
        <v>San Mateo</v>
      </c>
      <c r="C698" s="5" t="n">
        <f aca="false">'Analysis Data'!B698</f>
        <v>40323</v>
      </c>
      <c r="D698" s="6" t="n">
        <f aca="false">'Analysis Data'!C698</f>
        <v>276.849438758382</v>
      </c>
      <c r="E698" s="15" t="n">
        <f aca="false">SUMPRODUCT('Final Model'!$B$45:$I$45,'Analysis Data'!N698:U698)</f>
        <v>310.185319293198</v>
      </c>
      <c r="F698" s="15" t="n">
        <f aca="false">D698-E698</f>
        <v>-33.3358805348155</v>
      </c>
      <c r="G698" s="13" t="n">
        <f aca="false">F698/'Final Model'!$B$21</f>
        <v>-0.679879802961031</v>
      </c>
      <c r="H698" s="6" t="n">
        <f aca="false">F698^2</f>
        <v>1111.28093103149</v>
      </c>
      <c r="J698" s="6" t="n">
        <f aca="false">A698</f>
        <v>697</v>
      </c>
      <c r="K698" s="13" t="n">
        <f aca="false">SMALL($G$2:$G$1387,J698)</f>
        <v>-0.0143563174943867</v>
      </c>
      <c r="L698" s="18" t="n">
        <f aca="false">(J698-0.5)/1386</f>
        <v>0.502525252525253</v>
      </c>
      <c r="M698" s="18" t="n">
        <f aca="false">_xlfn.NORM.DIST(K698,AVERAGE($G$2:$G$1387),_xlfn.STDEV.S($G$2:$G$1387),TRUE())</f>
        <v>0.494258327670524</v>
      </c>
    </row>
    <row r="699" customFormat="false" ht="15" hidden="false" customHeight="false" outlineLevel="0" collapsed="false">
      <c r="A699" s="0" t="n">
        <f aca="false">ROW()-1</f>
        <v>698</v>
      </c>
      <c r="B699" s="0" t="str">
        <f aca="false">'Analysis Data'!A699</f>
        <v>San Mateo</v>
      </c>
      <c r="C699" s="5" t="n">
        <f aca="false">'Analysis Data'!B699</f>
        <v>40330</v>
      </c>
      <c r="D699" s="6" t="n">
        <f aca="false">'Analysis Data'!C699</f>
        <v>196.713476898536</v>
      </c>
      <c r="E699" s="15" t="n">
        <f aca="false">SUMPRODUCT('Final Model'!$B$45:$I$45,'Analysis Data'!N699:U699)</f>
        <v>235.633355487838</v>
      </c>
      <c r="F699" s="15" t="n">
        <f aca="false">D699-E699</f>
        <v>-38.9198785893024</v>
      </c>
      <c r="G699" s="13" t="n">
        <f aca="false">F699/'Final Model'!$B$21</f>
        <v>-0.793764525251608</v>
      </c>
      <c r="H699" s="6" t="n">
        <f aca="false">F699^2</f>
        <v>1514.75694940604</v>
      </c>
      <c r="J699" s="6" t="n">
        <f aca="false">A699</f>
        <v>698</v>
      </c>
      <c r="K699" s="13" t="n">
        <f aca="false">SMALL($G$2:$G$1387,J699)</f>
        <v>-0.00320052118933432</v>
      </c>
      <c r="L699" s="18" t="n">
        <f aca="false">(J699-0.5)/1386</f>
        <v>0.503246753246753</v>
      </c>
      <c r="M699" s="18" t="n">
        <f aca="false">_xlfn.NORM.DIST(K699,AVERAGE($G$2:$G$1387),_xlfn.STDEV.S($G$2:$G$1387),TRUE())</f>
        <v>0.498719940062975</v>
      </c>
    </row>
    <row r="700" customFormat="false" ht="15" hidden="false" customHeight="false" outlineLevel="0" collapsed="false">
      <c r="A700" s="0" t="n">
        <f aca="false">ROW()-1</f>
        <v>699</v>
      </c>
      <c r="B700" s="0" t="str">
        <f aca="false">'Analysis Data'!A700</f>
        <v>San Mateo</v>
      </c>
      <c r="C700" s="5" t="n">
        <f aca="false">'Analysis Data'!B700</f>
        <v>40337</v>
      </c>
      <c r="D700" s="6" t="n">
        <f aca="false">'Analysis Data'!C700</f>
        <v>231.294739270578</v>
      </c>
      <c r="E700" s="15" t="n">
        <f aca="false">SUMPRODUCT('Final Model'!$B$45:$I$45,'Analysis Data'!N700:U700)</f>
        <v>234.015156385748</v>
      </c>
      <c r="F700" s="15" t="n">
        <f aca="false">D700-E700</f>
        <v>-2.7204171151696</v>
      </c>
      <c r="G700" s="13" t="n">
        <f aca="false">F700/'Final Model'!$B$21</f>
        <v>-0.0554824598168832</v>
      </c>
      <c r="H700" s="6" t="n">
        <f aca="false">F700^2</f>
        <v>7.40066928050767</v>
      </c>
      <c r="J700" s="6" t="n">
        <f aca="false">A700</f>
        <v>699</v>
      </c>
      <c r="K700" s="13" t="n">
        <f aca="false">SMALL($G$2:$G$1387,J700)</f>
        <v>0.000636039529417159</v>
      </c>
      <c r="L700" s="18" t="n">
        <f aca="false">(J700-0.5)/1386</f>
        <v>0.503968253968254</v>
      </c>
      <c r="M700" s="18" t="n">
        <f aca="false">_xlfn.NORM.DIST(K700,AVERAGE($G$2:$G$1387),_xlfn.STDEV.S($G$2:$G$1387),TRUE())</f>
        <v>0.500254386711933</v>
      </c>
    </row>
    <row r="701" customFormat="false" ht="15" hidden="false" customHeight="false" outlineLevel="0" collapsed="false">
      <c r="A701" s="0" t="n">
        <f aca="false">ROW()-1</f>
        <v>700</v>
      </c>
      <c r="B701" s="0" t="str">
        <f aca="false">'Analysis Data'!A701</f>
        <v>San Mateo</v>
      </c>
      <c r="C701" s="5" t="n">
        <f aca="false">'Analysis Data'!B701</f>
        <v>40344</v>
      </c>
      <c r="D701" s="6" t="n">
        <f aca="false">'Analysis Data'!C701</f>
        <v>265.904492772442</v>
      </c>
      <c r="E701" s="15" t="n">
        <f aca="false">SUMPRODUCT('Final Model'!$B$45:$I$45,'Analysis Data'!N701:U701)</f>
        <v>226.927176798063</v>
      </c>
      <c r="F701" s="15" t="n">
        <f aca="false">D701-E701</f>
        <v>38.9773159743784</v>
      </c>
      <c r="G701" s="13" t="n">
        <f aca="false">F701/'Final Model'!$B$21</f>
        <v>0.794935951277308</v>
      </c>
      <c r="H701" s="6" t="n">
        <f aca="false">F701^2</f>
        <v>1519.23116056654</v>
      </c>
      <c r="J701" s="6" t="n">
        <f aca="false">A701</f>
        <v>700</v>
      </c>
      <c r="K701" s="13" t="n">
        <f aca="false">SMALL($G$2:$G$1387,J701)</f>
        <v>0.00116521217282711</v>
      </c>
      <c r="L701" s="18" t="n">
        <f aca="false">(J701-0.5)/1386</f>
        <v>0.504689754689755</v>
      </c>
      <c r="M701" s="18" t="n">
        <f aca="false">_xlfn.NORM.DIST(K701,AVERAGE($G$2:$G$1387),_xlfn.STDEV.S($G$2:$G$1387),TRUE())</f>
        <v>0.500466031484384</v>
      </c>
    </row>
    <row r="702" customFormat="false" ht="15" hidden="false" customHeight="false" outlineLevel="0" collapsed="false">
      <c r="A702" s="0" t="n">
        <f aca="false">ROW()-1</f>
        <v>701</v>
      </c>
      <c r="B702" s="0" t="str">
        <f aca="false">'Analysis Data'!A702</f>
        <v>San Mateo</v>
      </c>
      <c r="C702" s="5" t="n">
        <f aca="false">'Analysis Data'!B702</f>
        <v>40351</v>
      </c>
      <c r="D702" s="6" t="n">
        <f aca="false">'Analysis Data'!C702</f>
        <v>312.810869866985</v>
      </c>
      <c r="E702" s="15" t="n">
        <f aca="false">SUMPRODUCT('Final Model'!$B$45:$I$45,'Analysis Data'!N702:U702)</f>
        <v>228.809760646807</v>
      </c>
      <c r="F702" s="15" t="n">
        <f aca="false">D702-E702</f>
        <v>84.0011092201787</v>
      </c>
      <c r="G702" s="13" t="n">
        <f aca="false">F702/'Final Model'!$B$21</f>
        <v>1.71318881244122</v>
      </c>
      <c r="H702" s="6" t="n">
        <f aca="false">F702^2</f>
        <v>7056.18635022038</v>
      </c>
      <c r="J702" s="6" t="n">
        <f aca="false">A702</f>
        <v>701</v>
      </c>
      <c r="K702" s="13" t="n">
        <f aca="false">SMALL($G$2:$G$1387,J702)</f>
        <v>0.00301914470561018</v>
      </c>
      <c r="L702" s="18" t="n">
        <f aca="false">(J702-0.5)/1386</f>
        <v>0.505411255411255</v>
      </c>
      <c r="M702" s="18" t="n">
        <f aca="false">_xlfn.NORM.DIST(K702,AVERAGE($G$2:$G$1387),_xlfn.STDEV.S($G$2:$G$1387),TRUE())</f>
        <v>0.501207517989548</v>
      </c>
    </row>
    <row r="703" customFormat="false" ht="15" hidden="false" customHeight="false" outlineLevel="0" collapsed="false">
      <c r="A703" s="0" t="n">
        <f aca="false">ROW()-1</f>
        <v>702</v>
      </c>
      <c r="B703" s="0" t="str">
        <f aca="false">'Analysis Data'!A703</f>
        <v>San Mateo</v>
      </c>
      <c r="C703" s="5" t="n">
        <f aca="false">'Analysis Data'!B703</f>
        <v>40358</v>
      </c>
      <c r="D703" s="6" t="n">
        <f aca="false">'Analysis Data'!C703</f>
        <v>244.898589926268</v>
      </c>
      <c r="E703" s="15" t="n">
        <f aca="false">SUMPRODUCT('Final Model'!$B$45:$I$45,'Analysis Data'!N703:U703)</f>
        <v>228.809760646807</v>
      </c>
      <c r="F703" s="15" t="n">
        <f aca="false">D703-E703</f>
        <v>16.088829279461</v>
      </c>
      <c r="G703" s="13" t="n">
        <f aca="false">F703/'Final Model'!$B$21</f>
        <v>0.328129028089407</v>
      </c>
      <c r="H703" s="6" t="n">
        <f aca="false">F703^2</f>
        <v>258.850427583641</v>
      </c>
      <c r="J703" s="6" t="n">
        <f aca="false">A703</f>
        <v>702</v>
      </c>
      <c r="K703" s="13" t="n">
        <f aca="false">SMALL($G$2:$G$1387,J703)</f>
        <v>0.00318848372859781</v>
      </c>
      <c r="L703" s="18" t="n">
        <f aca="false">(J703-0.5)/1386</f>
        <v>0.506132756132756</v>
      </c>
      <c r="M703" s="18" t="n">
        <f aca="false">_xlfn.NORM.DIST(K703,AVERAGE($G$2:$G$1387),_xlfn.STDEV.S($G$2:$G$1387),TRUE())</f>
        <v>0.501275245527827</v>
      </c>
    </row>
    <row r="704" customFormat="false" ht="15" hidden="false" customHeight="false" outlineLevel="0" collapsed="false">
      <c r="A704" s="0" t="n">
        <f aca="false">ROW()-1</f>
        <v>703</v>
      </c>
      <c r="B704" s="0" t="str">
        <f aca="false">'Analysis Data'!A704</f>
        <v>San Mateo</v>
      </c>
      <c r="C704" s="5" t="n">
        <f aca="false">'Analysis Data'!B704</f>
        <v>40365</v>
      </c>
      <c r="D704" s="6" t="n">
        <f aca="false">'Analysis Data'!C704</f>
        <v>206.597447097145</v>
      </c>
      <c r="E704" s="15" t="n">
        <f aca="false">SUMPRODUCT('Final Model'!$B$45:$I$45,'Analysis Data'!N704:U704)</f>
        <v>231.695360462449</v>
      </c>
      <c r="F704" s="15" t="n">
        <f aca="false">D704-E704</f>
        <v>-25.0979133653036</v>
      </c>
      <c r="G704" s="13" t="n">
        <f aca="false">F704/'Final Model'!$B$21</f>
        <v>-0.511867816892213</v>
      </c>
      <c r="H704" s="6" t="n">
        <f aca="false">F704^2</f>
        <v>629.905255292286</v>
      </c>
      <c r="J704" s="6" t="n">
        <f aca="false">A704</f>
        <v>703</v>
      </c>
      <c r="K704" s="13" t="n">
        <f aca="false">SMALL($G$2:$G$1387,J704)</f>
        <v>0.00437768998203066</v>
      </c>
      <c r="L704" s="18" t="n">
        <f aca="false">(J704-0.5)/1386</f>
        <v>0.506854256854257</v>
      </c>
      <c r="M704" s="18" t="n">
        <f aca="false">_xlfn.NORM.DIST(K704,AVERAGE($G$2:$G$1387),_xlfn.STDEV.S($G$2:$G$1387),TRUE())</f>
        <v>0.501750870204349</v>
      </c>
    </row>
    <row r="705" customFormat="false" ht="15" hidden="false" customHeight="false" outlineLevel="0" collapsed="false">
      <c r="A705" s="0" t="n">
        <f aca="false">ROW()-1</f>
        <v>704</v>
      </c>
      <c r="B705" s="0" t="str">
        <f aca="false">'Analysis Data'!A705</f>
        <v>San Mateo</v>
      </c>
      <c r="C705" s="5" t="n">
        <f aca="false">'Analysis Data'!B705</f>
        <v>40372</v>
      </c>
      <c r="D705" s="6" t="n">
        <f aca="false">'Analysis Data'!C705</f>
        <v>325.825477699304</v>
      </c>
      <c r="E705" s="15" t="n">
        <f aca="false">SUMPRODUCT('Final Model'!$B$45:$I$45,'Analysis Data'!N705:U705)</f>
        <v>231.695360462449</v>
      </c>
      <c r="F705" s="15" t="n">
        <f aca="false">D705-E705</f>
        <v>94.1301172368556</v>
      </c>
      <c r="G705" s="13" t="n">
        <f aca="false">F705/'Final Model'!$B$21</f>
        <v>1.91976826569361</v>
      </c>
      <c r="H705" s="6" t="n">
        <f aca="false">F705^2</f>
        <v>8860.47897102417</v>
      </c>
      <c r="J705" s="6" t="n">
        <f aca="false">A705</f>
        <v>704</v>
      </c>
      <c r="K705" s="13" t="n">
        <f aca="false">SMALL($G$2:$G$1387,J705)</f>
        <v>0.00536635381668788</v>
      </c>
      <c r="L705" s="18" t="n">
        <f aca="false">(J705-0.5)/1386</f>
        <v>0.507575757575758</v>
      </c>
      <c r="M705" s="18" t="n">
        <f aca="false">_xlfn.NORM.DIST(K705,AVERAGE($G$2:$G$1387),_xlfn.STDEV.S($G$2:$G$1387),TRUE())</f>
        <v>0.50214628579908</v>
      </c>
    </row>
    <row r="706" customFormat="false" ht="15" hidden="false" customHeight="false" outlineLevel="0" collapsed="false">
      <c r="A706" s="0" t="n">
        <f aca="false">ROW()-1</f>
        <v>705</v>
      </c>
      <c r="B706" s="0" t="str">
        <f aca="false">'Analysis Data'!A706</f>
        <v>San Rafael</v>
      </c>
      <c r="C706" s="5" t="n">
        <f aca="false">'Analysis Data'!B706</f>
        <v>40302</v>
      </c>
      <c r="D706" s="6" t="n">
        <f aca="false">'Analysis Data'!C706</f>
        <v>271.986858559626</v>
      </c>
      <c r="E706" s="15" t="n">
        <f aca="false">SUMPRODUCT('Final Model'!$B$45:$I$45,'Analysis Data'!N706:U706)</f>
        <v>230.337431129652</v>
      </c>
      <c r="F706" s="15" t="n">
        <f aca="false">D706-E706</f>
        <v>41.6494274299737</v>
      </c>
      <c r="G706" s="13" t="n">
        <f aca="false">F706/'Final Model'!$B$21</f>
        <v>0.849433225108809</v>
      </c>
      <c r="H706" s="6" t="n">
        <f aca="false">F706^2</f>
        <v>1734.67480524465</v>
      </c>
      <c r="J706" s="6" t="n">
        <f aca="false">A706</f>
        <v>705</v>
      </c>
      <c r="K706" s="13" t="n">
        <f aca="false">SMALL($G$2:$G$1387,J706)</f>
        <v>0.00992336630139028</v>
      </c>
      <c r="L706" s="18" t="n">
        <f aca="false">(J706-0.5)/1386</f>
        <v>0.508297258297258</v>
      </c>
      <c r="M706" s="18" t="n">
        <f aca="false">_xlfn.NORM.DIST(K706,AVERAGE($G$2:$G$1387),_xlfn.STDEV.S($G$2:$G$1387),TRUE())</f>
        <v>0.503968827311324</v>
      </c>
    </row>
    <row r="707" customFormat="false" ht="15" hidden="false" customHeight="false" outlineLevel="0" collapsed="false">
      <c r="A707" s="0" t="n">
        <f aca="false">ROW()-1</f>
        <v>706</v>
      </c>
      <c r="B707" s="0" t="str">
        <f aca="false">'Analysis Data'!A707</f>
        <v>San Rafael</v>
      </c>
      <c r="C707" s="5" t="n">
        <f aca="false">'Analysis Data'!B707</f>
        <v>40309</v>
      </c>
      <c r="D707" s="6" t="n">
        <f aca="false">'Analysis Data'!C707</f>
        <v>211.821610246487</v>
      </c>
      <c r="E707" s="15" t="n">
        <f aca="false">SUMPRODUCT('Final Model'!$B$45:$I$45,'Analysis Data'!N707:U707)</f>
        <v>230.337431129652</v>
      </c>
      <c r="F707" s="15" t="n">
        <f aca="false">D707-E707</f>
        <v>-18.5158208831657</v>
      </c>
      <c r="G707" s="13" t="n">
        <f aca="false">F707/'Final Model'!$B$21</f>
        <v>-0.377627122840243</v>
      </c>
      <c r="H707" s="6" t="n">
        <f aca="false">F707^2</f>
        <v>342.835622977475</v>
      </c>
      <c r="J707" s="6" t="n">
        <f aca="false">A707</f>
        <v>706</v>
      </c>
      <c r="K707" s="13" t="n">
        <f aca="false">SMALL($G$2:$G$1387,J707)</f>
        <v>0.0141211669921167</v>
      </c>
      <c r="L707" s="18" t="n">
        <f aca="false">(J707-0.5)/1386</f>
        <v>0.509018759018759</v>
      </c>
      <c r="M707" s="18" t="n">
        <f aca="false">_xlfn.NORM.DIST(K707,AVERAGE($G$2:$G$1387),_xlfn.STDEV.S($G$2:$G$1387),TRUE())</f>
        <v>0.505647632462746</v>
      </c>
    </row>
    <row r="708" customFormat="false" ht="15" hidden="false" customHeight="false" outlineLevel="0" collapsed="false">
      <c r="A708" s="0" t="n">
        <f aca="false">ROW()-1</f>
        <v>707</v>
      </c>
      <c r="B708" s="0" t="str">
        <f aca="false">'Analysis Data'!A708</f>
        <v>San Rafael</v>
      </c>
      <c r="C708" s="5" t="n">
        <f aca="false">'Analysis Data'!B708</f>
        <v>40316</v>
      </c>
      <c r="D708" s="6" t="n">
        <f aca="false">'Analysis Data'!C708</f>
        <v>296.291778899209</v>
      </c>
      <c r="E708" s="15" t="n">
        <f aca="false">SUMPRODUCT('Final Model'!$B$45:$I$45,'Analysis Data'!N708:U708)</f>
        <v>343.8797741573</v>
      </c>
      <c r="F708" s="15" t="n">
        <f aca="false">D708-E708</f>
        <v>-47.5879952580904</v>
      </c>
      <c r="G708" s="13" t="n">
        <f aca="false">F708/'Final Model'!$B$21</f>
        <v>-0.970549339639936</v>
      </c>
      <c r="H708" s="6" t="n">
        <f aca="false">F708^2</f>
        <v>2264.61729268404</v>
      </c>
      <c r="J708" s="6" t="n">
        <f aca="false">A708</f>
        <v>707</v>
      </c>
      <c r="K708" s="13" t="n">
        <f aca="false">SMALL($G$2:$G$1387,J708)</f>
        <v>0.015571275914981</v>
      </c>
      <c r="L708" s="18" t="n">
        <f aca="false">(J708-0.5)/1386</f>
        <v>0.50974025974026</v>
      </c>
      <c r="M708" s="18" t="n">
        <f aca="false">_xlfn.NORM.DIST(K708,AVERAGE($G$2:$G$1387),_xlfn.STDEV.S($G$2:$G$1387),TRUE())</f>
        <v>0.50622754543771</v>
      </c>
    </row>
    <row r="709" customFormat="false" ht="15" hidden="false" customHeight="false" outlineLevel="0" collapsed="false">
      <c r="A709" s="0" t="n">
        <f aca="false">ROW()-1</f>
        <v>708</v>
      </c>
      <c r="B709" s="0" t="str">
        <f aca="false">'Analysis Data'!A709</f>
        <v>San Rafael</v>
      </c>
      <c r="C709" s="5" t="n">
        <f aca="false">'Analysis Data'!B709</f>
        <v>40323</v>
      </c>
      <c r="D709" s="6" t="n">
        <f aca="false">'Analysis Data'!C709</f>
        <v>351.67272160725</v>
      </c>
      <c r="E709" s="15" t="n">
        <f aca="false">SUMPRODUCT('Final Model'!$B$45:$I$45,'Analysis Data'!N709:U709)</f>
        <v>310.496870012099</v>
      </c>
      <c r="F709" s="15" t="n">
        <f aca="false">D709-E709</f>
        <v>41.1758515951511</v>
      </c>
      <c r="G709" s="13" t="n">
        <f aca="false">F709/'Final Model'!$B$21</f>
        <v>0.839774723815283</v>
      </c>
      <c r="H709" s="6" t="n">
        <f aca="false">F709^2</f>
        <v>1695.45075458591</v>
      </c>
      <c r="J709" s="6" t="n">
        <f aca="false">A709</f>
        <v>708</v>
      </c>
      <c r="K709" s="13" t="n">
        <f aca="false">SMALL($G$2:$G$1387,J709)</f>
        <v>0.0180240177193265</v>
      </c>
      <c r="L709" s="18" t="n">
        <f aca="false">(J709-0.5)/1386</f>
        <v>0.510461760461761</v>
      </c>
      <c r="M709" s="18" t="n">
        <f aca="false">_xlfn.NORM.DIST(K709,AVERAGE($G$2:$G$1387),_xlfn.STDEV.S($G$2:$G$1387),TRUE())</f>
        <v>0.507208390671053</v>
      </c>
    </row>
    <row r="710" customFormat="false" ht="15" hidden="false" customHeight="false" outlineLevel="0" collapsed="false">
      <c r="A710" s="0" t="n">
        <f aca="false">ROW()-1</f>
        <v>709</v>
      </c>
      <c r="B710" s="0" t="str">
        <f aca="false">'Analysis Data'!A710</f>
        <v>San Rafael</v>
      </c>
      <c r="C710" s="5" t="n">
        <f aca="false">'Analysis Data'!B710</f>
        <v>40330</v>
      </c>
      <c r="D710" s="6" t="n">
        <f aca="false">'Analysis Data'!C710</f>
        <v>480.661682295321</v>
      </c>
      <c r="E710" s="15" t="n">
        <f aca="false">SUMPRODUCT('Final Model'!$B$45:$I$45,'Analysis Data'!N710:U710)</f>
        <v>417.249566419898</v>
      </c>
      <c r="F710" s="15" t="n">
        <f aca="false">D710-E710</f>
        <v>63.4121158754232</v>
      </c>
      <c r="G710" s="13" t="n">
        <f aca="false">F710/'Final Model'!$B$21</f>
        <v>1.29327967808436</v>
      </c>
      <c r="H710" s="6" t="n">
        <f aca="false">F710^2</f>
        <v>4021.0964397981</v>
      </c>
      <c r="J710" s="6" t="n">
        <f aca="false">A710</f>
        <v>709</v>
      </c>
      <c r="K710" s="13" t="n">
        <f aca="false">SMALL($G$2:$G$1387,J710)</f>
        <v>0.0184650310975962</v>
      </c>
      <c r="L710" s="18" t="n">
        <f aca="false">(J710-0.5)/1386</f>
        <v>0.511183261183261</v>
      </c>
      <c r="M710" s="18" t="n">
        <f aca="false">_xlfn.NORM.DIST(K710,AVERAGE($G$2:$G$1387),_xlfn.STDEV.S($G$2:$G$1387),TRUE())</f>
        <v>0.507384746353127</v>
      </c>
    </row>
    <row r="711" customFormat="false" ht="15" hidden="false" customHeight="false" outlineLevel="0" collapsed="false">
      <c r="A711" s="0" t="n">
        <f aca="false">ROW()-1</f>
        <v>710</v>
      </c>
      <c r="B711" s="0" t="str">
        <f aca="false">'Analysis Data'!A711</f>
        <v>San Rafael</v>
      </c>
      <c r="C711" s="5" t="n">
        <f aca="false">'Analysis Data'!B711</f>
        <v>40337</v>
      </c>
      <c r="D711" s="6" t="n">
        <f aca="false">'Analysis Data'!C711</f>
        <v>405.280858461912</v>
      </c>
      <c r="E711" s="15" t="n">
        <f aca="false">SUMPRODUCT('Final Model'!$B$45:$I$45,'Analysis Data'!N711:U711)</f>
        <v>408.287232894056</v>
      </c>
      <c r="F711" s="15" t="n">
        <f aca="false">D711-E711</f>
        <v>-3.00637443214356</v>
      </c>
      <c r="G711" s="13" t="n">
        <f aca="false">F711/'Final Model'!$B$21</f>
        <v>-0.0613145122840883</v>
      </c>
      <c r="H711" s="6" t="n">
        <f aca="false">F711^2</f>
        <v>9.03828722624651</v>
      </c>
      <c r="J711" s="6" t="n">
        <f aca="false">A711</f>
        <v>710</v>
      </c>
      <c r="K711" s="13" t="n">
        <f aca="false">SMALL($G$2:$G$1387,J711)</f>
        <v>0.0213475225390439</v>
      </c>
      <c r="L711" s="18" t="n">
        <f aca="false">(J711-0.5)/1386</f>
        <v>0.511904761904762</v>
      </c>
      <c r="M711" s="18" t="n">
        <f aca="false">_xlfn.NORM.DIST(K711,AVERAGE($G$2:$G$1387),_xlfn.STDEV.S($G$2:$G$1387),TRUE())</f>
        <v>0.508537381173816</v>
      </c>
    </row>
    <row r="712" customFormat="false" ht="15" hidden="false" customHeight="false" outlineLevel="0" collapsed="false">
      <c r="A712" s="0" t="n">
        <f aca="false">ROW()-1</f>
        <v>711</v>
      </c>
      <c r="B712" s="0" t="str">
        <f aca="false">'Analysis Data'!A712</f>
        <v>San Rafael</v>
      </c>
      <c r="C712" s="5" t="n">
        <f aca="false">'Analysis Data'!B712</f>
        <v>40344</v>
      </c>
      <c r="D712" s="6" t="n">
        <f aca="false">'Analysis Data'!C712</f>
        <v>320.550741998474</v>
      </c>
      <c r="E712" s="15" t="n">
        <f aca="false">SUMPRODUCT('Final Model'!$B$45:$I$45,'Analysis Data'!N712:U712)</f>
        <v>376.731516714765</v>
      </c>
      <c r="F712" s="15" t="n">
        <f aca="false">D712-E712</f>
        <v>-56.1807747162914</v>
      </c>
      <c r="G712" s="13" t="n">
        <f aca="false">F712/'Final Model'!$B$21</f>
        <v>-1.14579766400407</v>
      </c>
      <c r="H712" s="6" t="n">
        <f aca="false">F712^2</f>
        <v>3156.27944772268</v>
      </c>
      <c r="J712" s="6" t="n">
        <f aca="false">A712</f>
        <v>711</v>
      </c>
      <c r="K712" s="13" t="n">
        <f aca="false">SMALL($G$2:$G$1387,J712)</f>
        <v>0.0299253191405444</v>
      </c>
      <c r="L712" s="18" t="n">
        <f aca="false">(J712-0.5)/1386</f>
        <v>0.512626262626263</v>
      </c>
      <c r="M712" s="18" t="n">
        <f aca="false">_xlfn.NORM.DIST(K712,AVERAGE($G$2:$G$1387),_xlfn.STDEV.S($G$2:$G$1387),TRUE())</f>
        <v>0.511966964116888</v>
      </c>
    </row>
    <row r="713" customFormat="false" ht="15" hidden="false" customHeight="false" outlineLevel="0" collapsed="false">
      <c r="A713" s="0" t="n">
        <f aca="false">ROW()-1</f>
        <v>712</v>
      </c>
      <c r="B713" s="0" t="str">
        <f aca="false">'Analysis Data'!A713</f>
        <v>San Rafael</v>
      </c>
      <c r="C713" s="5" t="n">
        <f aca="false">'Analysis Data'!B713</f>
        <v>40351</v>
      </c>
      <c r="D713" s="6" t="n">
        <f aca="false">'Analysis Data'!C713</f>
        <v>508.396560804713</v>
      </c>
      <c r="E713" s="15" t="n">
        <f aca="false">SUMPRODUCT('Final Model'!$B$45:$I$45,'Analysis Data'!N713:U713)</f>
        <v>489.241267648816</v>
      </c>
      <c r="F713" s="15" t="n">
        <f aca="false">D713-E713</f>
        <v>19.1552931558961</v>
      </c>
      <c r="G713" s="13" t="n">
        <f aca="false">F713/'Final Model'!$B$21</f>
        <v>0.390669054710887</v>
      </c>
      <c r="H713" s="6" t="n">
        <f aca="false">F713^2</f>
        <v>366.925255888321</v>
      </c>
      <c r="J713" s="6" t="n">
        <f aca="false">A713</f>
        <v>712</v>
      </c>
      <c r="K713" s="13" t="n">
        <f aca="false">SMALL($G$2:$G$1387,J713)</f>
        <v>0.0300929253997895</v>
      </c>
      <c r="L713" s="18" t="n">
        <f aca="false">(J713-0.5)/1386</f>
        <v>0.513347763347763</v>
      </c>
      <c r="M713" s="18" t="n">
        <f aca="false">_xlfn.NORM.DIST(K713,AVERAGE($G$2:$G$1387),_xlfn.STDEV.S($G$2:$G$1387),TRUE())</f>
        <v>0.512033968626301</v>
      </c>
    </row>
    <row r="714" customFormat="false" ht="15" hidden="false" customHeight="false" outlineLevel="0" collapsed="false">
      <c r="A714" s="0" t="n">
        <f aca="false">ROW()-1</f>
        <v>713</v>
      </c>
      <c r="B714" s="0" t="str">
        <f aca="false">'Analysis Data'!A714</f>
        <v>San Rafael</v>
      </c>
      <c r="C714" s="5" t="n">
        <f aca="false">'Analysis Data'!B714</f>
        <v>40358</v>
      </c>
      <c r="D714" s="6" t="n">
        <f aca="false">'Analysis Data'!C714</f>
        <v>298.111948596833</v>
      </c>
      <c r="E714" s="15" t="n">
        <f aca="false">SUMPRODUCT('Final Model'!$B$45:$I$45,'Analysis Data'!N714:U714)</f>
        <v>376.731516714765</v>
      </c>
      <c r="F714" s="15" t="n">
        <f aca="false">D714-E714</f>
        <v>-78.6195681179321</v>
      </c>
      <c r="G714" s="13" t="n">
        <f aca="false">F714/'Final Model'!$B$21</f>
        <v>-1.60343316640689</v>
      </c>
      <c r="H714" s="6" t="n">
        <f aca="false">F714^2</f>
        <v>6181.03649105016</v>
      </c>
      <c r="J714" s="6" t="n">
        <f aca="false">A714</f>
        <v>713</v>
      </c>
      <c r="K714" s="13" t="n">
        <f aca="false">SMALL($G$2:$G$1387,J714)</f>
        <v>0.0320316926809876</v>
      </c>
      <c r="L714" s="18" t="n">
        <f aca="false">(J714-0.5)/1386</f>
        <v>0.514069264069264</v>
      </c>
      <c r="M714" s="18" t="n">
        <f aca="false">_xlfn.NORM.DIST(K714,AVERAGE($G$2:$G$1387),_xlfn.STDEV.S($G$2:$G$1387),TRUE())</f>
        <v>0.512809010870791</v>
      </c>
    </row>
    <row r="715" customFormat="false" ht="15" hidden="false" customHeight="false" outlineLevel="0" collapsed="false">
      <c r="A715" s="0" t="n">
        <f aca="false">ROW()-1</f>
        <v>714</v>
      </c>
      <c r="B715" s="0" t="str">
        <f aca="false">'Analysis Data'!A715</f>
        <v>San Rafael</v>
      </c>
      <c r="C715" s="5" t="n">
        <f aca="false">'Analysis Data'!B715</f>
        <v>40365</v>
      </c>
      <c r="D715" s="6" t="n">
        <f aca="false">'Analysis Data'!C715</f>
        <v>371.032441793863</v>
      </c>
      <c r="E715" s="15" t="n">
        <f aca="false">SUMPRODUCT('Final Model'!$B$45:$I$45,'Analysis Data'!N715:U715)</f>
        <v>379.617116530407</v>
      </c>
      <c r="F715" s="15" t="n">
        <f aca="false">D715-E715</f>
        <v>-8.58467473654446</v>
      </c>
      <c r="G715" s="13" t="n">
        <f aca="false">F715/'Final Model'!$B$21</f>
        <v>-0.175083029898394</v>
      </c>
      <c r="H715" s="6" t="n">
        <f aca="false">F715^2</f>
        <v>73.6966403322647</v>
      </c>
      <c r="J715" s="6" t="n">
        <f aca="false">A715</f>
        <v>714</v>
      </c>
      <c r="K715" s="13" t="n">
        <f aca="false">SMALL($G$2:$G$1387,J715)</f>
        <v>0.0371060422736218</v>
      </c>
      <c r="L715" s="18" t="n">
        <f aca="false">(J715-0.5)/1386</f>
        <v>0.514790764790765</v>
      </c>
      <c r="M715" s="18" t="n">
        <f aca="false">_xlfn.NORM.DIST(K715,AVERAGE($G$2:$G$1387),_xlfn.STDEV.S($G$2:$G$1387),TRUE())</f>
        <v>0.514837298069464</v>
      </c>
    </row>
    <row r="716" customFormat="false" ht="15" hidden="false" customHeight="false" outlineLevel="0" collapsed="false">
      <c r="A716" s="0" t="n">
        <f aca="false">ROW()-1</f>
        <v>715</v>
      </c>
      <c r="B716" s="0" t="str">
        <f aca="false">'Analysis Data'!A716</f>
        <v>San Rafael</v>
      </c>
      <c r="C716" s="5" t="n">
        <f aca="false">'Analysis Data'!B716</f>
        <v>40372</v>
      </c>
      <c r="D716" s="6" t="n">
        <f aca="false">'Analysis Data'!C716</f>
        <v>395.26814475963</v>
      </c>
      <c r="E716" s="15" t="n">
        <f aca="false">SUMPRODUCT('Final Model'!$B$45:$I$45,'Analysis Data'!N716:U716)</f>
        <v>379.617116530407</v>
      </c>
      <c r="F716" s="15" t="n">
        <f aca="false">D716-E716</f>
        <v>15.651028229223</v>
      </c>
      <c r="G716" s="13" t="n">
        <f aca="false">F716/'Final Model'!$B$21</f>
        <v>0.319200147645973</v>
      </c>
      <c r="H716" s="6" t="n">
        <f aca="false">F716^2</f>
        <v>244.954684631934</v>
      </c>
      <c r="J716" s="6" t="n">
        <f aca="false">A716</f>
        <v>715</v>
      </c>
      <c r="K716" s="13" t="n">
        <f aca="false">SMALL($G$2:$G$1387,J716)</f>
        <v>0.0406375688760156</v>
      </c>
      <c r="L716" s="18" t="n">
        <f aca="false">(J716-0.5)/1386</f>
        <v>0.515512265512266</v>
      </c>
      <c r="M716" s="18" t="n">
        <f aca="false">_xlfn.NORM.DIST(K716,AVERAGE($G$2:$G$1387),_xlfn.STDEV.S($G$2:$G$1387),TRUE())</f>
        <v>0.51624867436587</v>
      </c>
    </row>
    <row r="717" customFormat="false" ht="15" hidden="false" customHeight="false" outlineLevel="0" collapsed="false">
      <c r="A717" s="0" t="n">
        <f aca="false">ROW()-1</f>
        <v>716</v>
      </c>
      <c r="B717" s="0" t="str">
        <f aca="false">'Analysis Data'!A717</f>
        <v>San Ramon</v>
      </c>
      <c r="C717" s="5" t="n">
        <f aca="false">'Analysis Data'!B717</f>
        <v>40302</v>
      </c>
      <c r="D717" s="6" t="n">
        <f aca="false">'Analysis Data'!C717</f>
        <v>269.888391445661</v>
      </c>
      <c r="E717" s="15" t="n">
        <f aca="false">SUMPRODUCT('Final Model'!$B$45:$I$45,'Analysis Data'!N717:U717)</f>
        <v>233.647383853518</v>
      </c>
      <c r="F717" s="15" t="n">
        <f aca="false">D717-E717</f>
        <v>36.241007592143</v>
      </c>
      <c r="G717" s="13" t="n">
        <f aca="false">F717/'Final Model'!$B$21</f>
        <v>0.739129391681201</v>
      </c>
      <c r="H717" s="6" t="n">
        <f aca="false">F717^2</f>
        <v>1313.41063129376</v>
      </c>
      <c r="J717" s="6" t="n">
        <f aca="false">A717</f>
        <v>716</v>
      </c>
      <c r="K717" s="13" t="n">
        <f aca="false">SMALL($G$2:$G$1387,J717)</f>
        <v>0.0429416066807457</v>
      </c>
      <c r="L717" s="18" t="n">
        <f aca="false">(J717-0.5)/1386</f>
        <v>0.516233766233766</v>
      </c>
      <c r="M717" s="18" t="n">
        <f aca="false">_xlfn.NORM.DIST(K717,AVERAGE($G$2:$G$1387),_xlfn.STDEV.S($G$2:$G$1387),TRUE())</f>
        <v>0.517169375551396</v>
      </c>
    </row>
    <row r="718" customFormat="false" ht="15" hidden="false" customHeight="false" outlineLevel="0" collapsed="false">
      <c r="A718" s="0" t="n">
        <f aca="false">ROW()-1</f>
        <v>717</v>
      </c>
      <c r="B718" s="0" t="str">
        <f aca="false">'Analysis Data'!A718</f>
        <v>San Ramon</v>
      </c>
      <c r="C718" s="5" t="n">
        <f aca="false">'Analysis Data'!B718</f>
        <v>40309</v>
      </c>
      <c r="D718" s="6" t="n">
        <f aca="false">'Analysis Data'!C718</f>
        <v>184.353486054676</v>
      </c>
      <c r="E718" s="15" t="n">
        <f aca="false">SUMPRODUCT('Final Model'!$B$45:$I$45,'Analysis Data'!N718:U718)</f>
        <v>233.647383853518</v>
      </c>
      <c r="F718" s="15" t="n">
        <f aca="false">D718-E718</f>
        <v>-49.2938977988426</v>
      </c>
      <c r="G718" s="13" t="n">
        <f aca="false">F718/'Final Model'!$B$21</f>
        <v>-1.00534094150166</v>
      </c>
      <c r="H718" s="6" t="n">
        <f aca="false">F718^2</f>
        <v>2429.88836020274</v>
      </c>
      <c r="J718" s="6" t="n">
        <f aca="false">A718</f>
        <v>717</v>
      </c>
      <c r="K718" s="13" t="n">
        <f aca="false">SMALL($G$2:$G$1387,J718)</f>
        <v>0.043449767835138</v>
      </c>
      <c r="L718" s="18" t="n">
        <f aca="false">(J718-0.5)/1386</f>
        <v>0.516955266955267</v>
      </c>
      <c r="M718" s="18" t="n">
        <f aca="false">_xlfn.NORM.DIST(K718,AVERAGE($G$2:$G$1387),_xlfn.STDEV.S($G$2:$G$1387),TRUE())</f>
        <v>0.517372426291084</v>
      </c>
    </row>
    <row r="719" customFormat="false" ht="15" hidden="false" customHeight="false" outlineLevel="0" collapsed="false">
      <c r="A719" s="0" t="n">
        <f aca="false">ROW()-1</f>
        <v>718</v>
      </c>
      <c r="B719" s="0" t="str">
        <f aca="false">'Analysis Data'!A719</f>
        <v>San Ramon</v>
      </c>
      <c r="C719" s="5" t="n">
        <f aca="false">'Analysis Data'!B719</f>
        <v>40316</v>
      </c>
      <c r="D719" s="6" t="n">
        <f aca="false">'Analysis Data'!C719</f>
        <v>246.550858319092</v>
      </c>
      <c r="E719" s="15" t="n">
        <f aca="false">SUMPRODUCT('Final Model'!$B$45:$I$45,'Analysis Data'!N719:U719)</f>
        <v>241.125425195075</v>
      </c>
      <c r="F719" s="15" t="n">
        <f aca="false">D719-E719</f>
        <v>5.42543312401725</v>
      </c>
      <c r="G719" s="13" t="n">
        <f aca="false">F719/'Final Model'!$B$21</f>
        <v>0.110650816602331</v>
      </c>
      <c r="H719" s="6" t="n">
        <f aca="false">F719^2</f>
        <v>29.4353245831835</v>
      </c>
      <c r="J719" s="6" t="n">
        <f aca="false">A719</f>
        <v>718</v>
      </c>
      <c r="K719" s="13" t="n">
        <f aca="false">SMALL($G$2:$G$1387,J719)</f>
        <v>0.0442013573512953</v>
      </c>
      <c r="L719" s="18" t="n">
        <f aca="false">(J719-0.5)/1386</f>
        <v>0.517676767676768</v>
      </c>
      <c r="M719" s="18" t="n">
        <f aca="false">_xlfn.NORM.DIST(K719,AVERAGE($G$2:$G$1387),_xlfn.STDEV.S($G$2:$G$1387),TRUE())</f>
        <v>0.517672737718357</v>
      </c>
    </row>
    <row r="720" customFormat="false" ht="15" hidden="false" customHeight="false" outlineLevel="0" collapsed="false">
      <c r="A720" s="0" t="n">
        <f aca="false">ROW()-1</f>
        <v>719</v>
      </c>
      <c r="B720" s="0" t="str">
        <f aca="false">'Analysis Data'!A720</f>
        <v>San Ramon</v>
      </c>
      <c r="C720" s="5" t="n">
        <f aca="false">'Analysis Data'!B720</f>
        <v>40323</v>
      </c>
      <c r="D720" s="6" t="n">
        <f aca="false">'Analysis Data'!C720</f>
        <v>274.775018935152</v>
      </c>
      <c r="E720" s="15" t="n">
        <f aca="false">SUMPRODUCT('Final Model'!$B$45:$I$45,'Analysis Data'!N720:U720)</f>
        <v>243.577242025116</v>
      </c>
      <c r="F720" s="15" t="n">
        <f aca="false">D720-E720</f>
        <v>31.1977769100357</v>
      </c>
      <c r="G720" s="13" t="n">
        <f aca="false">F720/'Final Model'!$B$21</f>
        <v>0.636273531046078</v>
      </c>
      <c r="H720" s="6" t="n">
        <f aca="false">F720^2</f>
        <v>973.301284128358</v>
      </c>
      <c r="J720" s="6" t="n">
        <f aca="false">A720</f>
        <v>719</v>
      </c>
      <c r="K720" s="13" t="n">
        <f aca="false">SMALL($G$2:$G$1387,J720)</f>
        <v>0.0448748466206666</v>
      </c>
      <c r="L720" s="18" t="n">
        <f aca="false">(J720-0.5)/1386</f>
        <v>0.518398268398268</v>
      </c>
      <c r="M720" s="18" t="n">
        <f aca="false">_xlfn.NORM.DIST(K720,AVERAGE($G$2:$G$1387),_xlfn.STDEV.S($G$2:$G$1387),TRUE())</f>
        <v>0.517941834240847</v>
      </c>
    </row>
    <row r="721" customFormat="false" ht="15" hidden="false" customHeight="false" outlineLevel="0" collapsed="false">
      <c r="A721" s="0" t="n">
        <f aca="false">ROW()-1</f>
        <v>720</v>
      </c>
      <c r="B721" s="0" t="str">
        <f aca="false">'Analysis Data'!A721</f>
        <v>San Ramon</v>
      </c>
      <c r="C721" s="5" t="n">
        <f aca="false">'Analysis Data'!B721</f>
        <v>40330</v>
      </c>
      <c r="D721" s="6" t="n">
        <f aca="false">'Analysis Data'!C721</f>
        <v>200.093467610995</v>
      </c>
      <c r="E721" s="15" t="n">
        <f aca="false">SUMPRODUCT('Final Model'!$B$45:$I$45,'Analysis Data'!N721:U721)</f>
        <v>245.048332131968</v>
      </c>
      <c r="F721" s="15" t="n">
        <f aca="false">D721-E721</f>
        <v>-44.9548645209723</v>
      </c>
      <c r="G721" s="13" t="n">
        <f aca="false">F721/'Final Model'!$B$21</f>
        <v>-0.916847071153198</v>
      </c>
      <c r="H721" s="6" t="n">
        <f aca="false">F721^2</f>
        <v>2020.93984409898</v>
      </c>
      <c r="J721" s="6" t="n">
        <f aca="false">A721</f>
        <v>720</v>
      </c>
      <c r="K721" s="13" t="n">
        <f aca="false">SMALL($G$2:$G$1387,J721)</f>
        <v>0.0461251498057956</v>
      </c>
      <c r="L721" s="18" t="n">
        <f aca="false">(J721-0.5)/1386</f>
        <v>0.519119769119769</v>
      </c>
      <c r="M721" s="18" t="n">
        <f aca="false">_xlfn.NORM.DIST(K721,AVERAGE($G$2:$G$1387),_xlfn.STDEV.S($G$2:$G$1387),TRUE())</f>
        <v>0.518441378325025</v>
      </c>
    </row>
    <row r="722" customFormat="false" ht="15" hidden="false" customHeight="false" outlineLevel="0" collapsed="false">
      <c r="A722" s="0" t="n">
        <f aca="false">ROW()-1</f>
        <v>721</v>
      </c>
      <c r="B722" s="0" t="str">
        <f aca="false">'Analysis Data'!A722</f>
        <v>San Ramon</v>
      </c>
      <c r="C722" s="5" t="n">
        <f aca="false">'Analysis Data'!B722</f>
        <v>40337</v>
      </c>
      <c r="D722" s="6" t="n">
        <f aca="false">'Analysis Data'!C722</f>
        <v>265.840314930875</v>
      </c>
      <c r="E722" s="15" t="n">
        <f aca="false">SUMPRODUCT('Final Model'!$B$45:$I$45,'Analysis Data'!N722:U722)</f>
        <v>230.337431129652</v>
      </c>
      <c r="F722" s="15" t="n">
        <f aca="false">D722-E722</f>
        <v>35.502883801223</v>
      </c>
      <c r="G722" s="13" t="n">
        <f aca="false">F722/'Final Model'!$B$21</f>
        <v>0.72407547831577</v>
      </c>
      <c r="H722" s="6" t="n">
        <f aca="false">F722^2</f>
        <v>1260.45475820314</v>
      </c>
      <c r="J722" s="6" t="n">
        <f aca="false">A722</f>
        <v>721</v>
      </c>
      <c r="K722" s="13" t="n">
        <f aca="false">SMALL($G$2:$G$1387,J722)</f>
        <v>0.0465667635230046</v>
      </c>
      <c r="L722" s="18" t="n">
        <f aca="false">(J722-0.5)/1386</f>
        <v>0.51984126984127</v>
      </c>
      <c r="M722" s="18" t="n">
        <f aca="false">_xlfn.NORM.DIST(K722,AVERAGE($G$2:$G$1387),_xlfn.STDEV.S($G$2:$G$1387),TRUE())</f>
        <v>0.518617813066218</v>
      </c>
    </row>
    <row r="723" customFormat="false" ht="15" hidden="false" customHeight="false" outlineLevel="0" collapsed="false">
      <c r="A723" s="0" t="n">
        <f aca="false">ROW()-1</f>
        <v>722</v>
      </c>
      <c r="B723" s="0" t="str">
        <f aca="false">'Analysis Data'!A723</f>
        <v>San Ramon</v>
      </c>
      <c r="C723" s="5" t="n">
        <f aca="false">'Analysis Data'!B723</f>
        <v>40344</v>
      </c>
      <c r="D723" s="6" t="n">
        <f aca="false">'Analysis Data'!C723</f>
        <v>203.943146361504</v>
      </c>
      <c r="E723" s="15" t="n">
        <f aca="false">SUMPRODUCT('Final Model'!$B$45:$I$45,'Analysis Data'!N723:U723)</f>
        <v>230.337431129652</v>
      </c>
      <c r="F723" s="15" t="n">
        <f aca="false">D723-E723</f>
        <v>-26.3942847681482</v>
      </c>
      <c r="G723" s="13" t="n">
        <f aca="false">F723/'Final Model'!$B$21</f>
        <v>-0.538307098524801</v>
      </c>
      <c r="H723" s="6" t="n">
        <f aca="false">F723^2</f>
        <v>696.6582684221</v>
      </c>
      <c r="J723" s="6" t="n">
        <f aca="false">A723</f>
        <v>722</v>
      </c>
      <c r="K723" s="13" t="n">
        <f aca="false">SMALL($G$2:$G$1387,J723)</f>
        <v>0.0485529407257157</v>
      </c>
      <c r="L723" s="18" t="n">
        <f aca="false">(J723-0.5)/1386</f>
        <v>0.520562770562771</v>
      </c>
      <c r="M723" s="18" t="n">
        <f aca="false">_xlfn.NORM.DIST(K723,AVERAGE($G$2:$G$1387),_xlfn.STDEV.S($G$2:$G$1387),TRUE())</f>
        <v>0.519411290528907</v>
      </c>
    </row>
    <row r="724" customFormat="false" ht="15" hidden="false" customHeight="false" outlineLevel="0" collapsed="false">
      <c r="A724" s="0" t="n">
        <f aca="false">ROW()-1</f>
        <v>723</v>
      </c>
      <c r="B724" s="0" t="str">
        <f aca="false">'Analysis Data'!A724</f>
        <v>San Ramon</v>
      </c>
      <c r="C724" s="5" t="n">
        <f aca="false">'Analysis Data'!B724</f>
        <v>40351</v>
      </c>
      <c r="D724" s="6" t="n">
        <f aca="false">'Analysis Data'!C724</f>
        <v>253.766736866671</v>
      </c>
      <c r="E724" s="15" t="n">
        <f aca="false">SUMPRODUCT('Final Model'!$B$45:$I$45,'Analysis Data'!N724:U724)</f>
        <v>227.815562393964</v>
      </c>
      <c r="F724" s="15" t="n">
        <f aca="false">D724-E724</f>
        <v>25.9511744727067</v>
      </c>
      <c r="G724" s="13" t="n">
        <f aca="false">F724/'Final Model'!$B$21</f>
        <v>0.529269936898304</v>
      </c>
      <c r="H724" s="6" t="n">
        <f aca="false">F724^2</f>
        <v>673.463456512865</v>
      </c>
      <c r="J724" s="6" t="n">
        <f aca="false">A724</f>
        <v>723</v>
      </c>
      <c r="K724" s="13" t="n">
        <f aca="false">SMALL($G$2:$G$1387,J724)</f>
        <v>0.0505433566507623</v>
      </c>
      <c r="L724" s="18" t="n">
        <f aca="false">(J724-0.5)/1386</f>
        <v>0.521284271284271</v>
      </c>
      <c r="M724" s="18" t="n">
        <f aca="false">_xlfn.NORM.DIST(K724,AVERAGE($G$2:$G$1387),_xlfn.STDEV.S($G$2:$G$1387),TRUE())</f>
        <v>0.520206384208122</v>
      </c>
    </row>
    <row r="725" customFormat="false" ht="15" hidden="false" customHeight="false" outlineLevel="0" collapsed="false">
      <c r="A725" s="0" t="n">
        <f aca="false">ROW()-1</f>
        <v>724</v>
      </c>
      <c r="B725" s="0" t="str">
        <f aca="false">'Analysis Data'!A725</f>
        <v>San Ramon</v>
      </c>
      <c r="C725" s="5" t="n">
        <f aca="false">'Analysis Data'!B725</f>
        <v>40358</v>
      </c>
      <c r="D725" s="6" t="n">
        <f aca="false">'Analysis Data'!C725</f>
        <v>294.93384633609</v>
      </c>
      <c r="E725" s="15" t="n">
        <f aca="false">SUMPRODUCT('Final Model'!$B$45:$I$45,'Analysis Data'!N725:U725)</f>
        <v>234.015156385748</v>
      </c>
      <c r="F725" s="15" t="n">
        <f aca="false">D725-E725</f>
        <v>60.918689950342</v>
      </c>
      <c r="G725" s="13" t="n">
        <f aca="false">F725/'Final Model'!$B$21</f>
        <v>1.24242666627111</v>
      </c>
      <c r="H725" s="6" t="n">
        <f aca="false">F725^2</f>
        <v>3711.0867852659</v>
      </c>
      <c r="J725" s="6" t="n">
        <f aca="false">A725</f>
        <v>724</v>
      </c>
      <c r="K725" s="13" t="n">
        <f aca="false">SMALL($G$2:$G$1387,J725)</f>
        <v>0.051522468595754</v>
      </c>
      <c r="L725" s="18" t="n">
        <f aca="false">(J725-0.5)/1386</f>
        <v>0.522005772005772</v>
      </c>
      <c r="M725" s="18" t="n">
        <f aca="false">_xlfn.NORM.DIST(K725,AVERAGE($G$2:$G$1387),_xlfn.STDEV.S($G$2:$G$1387),TRUE())</f>
        <v>0.52059747201258</v>
      </c>
    </row>
    <row r="726" customFormat="false" ht="15" hidden="false" customHeight="false" outlineLevel="0" collapsed="false">
      <c r="A726" s="0" t="n">
        <f aca="false">ROW()-1</f>
        <v>725</v>
      </c>
      <c r="B726" s="0" t="str">
        <f aca="false">'Analysis Data'!A726</f>
        <v>San Ramon</v>
      </c>
      <c r="C726" s="5" t="n">
        <f aca="false">'Analysis Data'!B726</f>
        <v>40365</v>
      </c>
      <c r="D726" s="6" t="n">
        <f aca="false">'Analysis Data'!C726</f>
        <v>191.137251590627</v>
      </c>
      <c r="E726" s="15" t="n">
        <f aca="false">SUMPRODUCT('Final Model'!$B$45:$I$45,'Analysis Data'!N726:U726)</f>
        <v>237.398663607233</v>
      </c>
      <c r="F726" s="15" t="n">
        <f aca="false">D726-E726</f>
        <v>-46.2614120166061</v>
      </c>
      <c r="G726" s="13" t="n">
        <f aca="false">F726/'Final Model'!$B$21</f>
        <v>-0.943493892525232</v>
      </c>
      <c r="H726" s="6" t="n">
        <f aca="false">F726^2</f>
        <v>2140.11824177019</v>
      </c>
      <c r="J726" s="6" t="n">
        <f aca="false">A726</f>
        <v>725</v>
      </c>
      <c r="K726" s="13" t="n">
        <f aca="false">SMALL($G$2:$G$1387,J726)</f>
        <v>0.0529240024494035</v>
      </c>
      <c r="L726" s="18" t="n">
        <f aca="false">(J726-0.5)/1386</f>
        <v>0.522727272727273</v>
      </c>
      <c r="M726" s="18" t="n">
        <f aca="false">_xlfn.NORM.DIST(K726,AVERAGE($G$2:$G$1387),_xlfn.STDEV.S($G$2:$G$1387),TRUE())</f>
        <v>0.521157253683141</v>
      </c>
    </row>
    <row r="727" customFormat="false" ht="15" hidden="false" customHeight="false" outlineLevel="0" collapsed="false">
      <c r="A727" s="0" t="n">
        <f aca="false">ROW()-1</f>
        <v>726</v>
      </c>
      <c r="B727" s="0" t="str">
        <f aca="false">'Analysis Data'!A727</f>
        <v>San Ramon</v>
      </c>
      <c r="C727" s="5" t="n">
        <f aca="false">'Analysis Data'!B727</f>
        <v>40372</v>
      </c>
      <c r="D727" s="6" t="n">
        <f aca="false">'Analysis Data'!C727</f>
        <v>199.482094098591</v>
      </c>
      <c r="E727" s="15" t="n">
        <f aca="false">SUMPRODUCT('Final Model'!$B$45:$I$45,'Analysis Data'!N727:U727)</f>
        <v>238.361558953109</v>
      </c>
      <c r="F727" s="15" t="n">
        <f aca="false">D727-E727</f>
        <v>-38.8794648545184</v>
      </c>
      <c r="G727" s="13" t="n">
        <f aca="false">F727/'Final Model'!$B$21</f>
        <v>-0.792940293774862</v>
      </c>
      <c r="H727" s="6" t="n">
        <f aca="false">F727^2</f>
        <v>1511.61278737373</v>
      </c>
      <c r="J727" s="6" t="n">
        <f aca="false">A727</f>
        <v>726</v>
      </c>
      <c r="K727" s="13" t="n">
        <f aca="false">SMALL($G$2:$G$1387,J727)</f>
        <v>0.0534154404546044</v>
      </c>
      <c r="L727" s="18" t="n">
        <f aca="false">(J727-0.5)/1386</f>
        <v>0.523448773448774</v>
      </c>
      <c r="M727" s="18" t="n">
        <f aca="false">_xlfn.NORM.DIST(K727,AVERAGE($G$2:$G$1387),_xlfn.STDEV.S($G$2:$G$1387),TRUE())</f>
        <v>0.52135352737024</v>
      </c>
    </row>
    <row r="728" customFormat="false" ht="15" hidden="false" customHeight="false" outlineLevel="0" collapsed="false">
      <c r="A728" s="0" t="n">
        <f aca="false">ROW()-1</f>
        <v>727</v>
      </c>
      <c r="B728" s="0" t="str">
        <f aca="false">'Analysis Data'!A728</f>
        <v>Santa Cruz</v>
      </c>
      <c r="C728" s="5" t="n">
        <f aca="false">'Analysis Data'!B728</f>
        <v>40302</v>
      </c>
      <c r="D728" s="6" t="n">
        <f aca="false">'Analysis Data'!C728</f>
        <v>367.882551114591</v>
      </c>
      <c r="E728" s="15" t="n">
        <f aca="false">SUMPRODUCT('Final Model'!$B$45:$I$45,'Analysis Data'!N728:U728)</f>
        <v>314.317745112127</v>
      </c>
      <c r="F728" s="15" t="n">
        <f aca="false">D728-E728</f>
        <v>53.5648060024633</v>
      </c>
      <c r="G728" s="13" t="n">
        <f aca="false">F728/'Final Model'!$B$21</f>
        <v>1.09244541216083</v>
      </c>
      <c r="H728" s="6" t="n">
        <f aca="false">F728^2</f>
        <v>2869.18844208153</v>
      </c>
      <c r="J728" s="6" t="n">
        <f aca="false">A728</f>
        <v>727</v>
      </c>
      <c r="K728" s="13" t="n">
        <f aca="false">SMALL($G$2:$G$1387,J728)</f>
        <v>0.0624664126391112</v>
      </c>
      <c r="L728" s="18" t="n">
        <f aca="false">(J728-0.5)/1386</f>
        <v>0.524170274170274</v>
      </c>
      <c r="M728" s="18" t="n">
        <f aca="false">_xlfn.NORM.DIST(K728,AVERAGE($G$2:$G$1387),_xlfn.STDEV.S($G$2:$G$1387),TRUE())</f>
        <v>0.524967387917135</v>
      </c>
    </row>
    <row r="729" customFormat="false" ht="15" hidden="false" customHeight="false" outlineLevel="0" collapsed="false">
      <c r="A729" s="0" t="n">
        <f aca="false">ROW()-1</f>
        <v>728</v>
      </c>
      <c r="B729" s="0" t="str">
        <f aca="false">'Analysis Data'!A729</f>
        <v>Santa Cruz</v>
      </c>
      <c r="C729" s="5" t="n">
        <f aca="false">'Analysis Data'!B729</f>
        <v>40309</v>
      </c>
      <c r="D729" s="6" t="n">
        <f aca="false">'Analysis Data'!C729</f>
        <v>341.209245544916</v>
      </c>
      <c r="E729" s="15" t="n">
        <f aca="false">SUMPRODUCT('Final Model'!$B$45:$I$45,'Analysis Data'!N729:U729)</f>
        <v>311.950627412593</v>
      </c>
      <c r="F729" s="15" t="n">
        <f aca="false">D729-E729</f>
        <v>29.2586181323226</v>
      </c>
      <c r="G729" s="13" t="n">
        <f aca="false">F729/'Final Model'!$B$21</f>
        <v>0.596724706579754</v>
      </c>
      <c r="H729" s="6" t="n">
        <f aca="false">F729^2</f>
        <v>856.066735013075</v>
      </c>
      <c r="J729" s="6" t="n">
        <f aca="false">A729</f>
        <v>728</v>
      </c>
      <c r="K729" s="13" t="n">
        <f aca="false">SMALL($G$2:$G$1387,J729)</f>
        <v>0.0629663829129376</v>
      </c>
      <c r="L729" s="18" t="n">
        <f aca="false">(J729-0.5)/1386</f>
        <v>0.524891774891775</v>
      </c>
      <c r="M729" s="18" t="n">
        <f aca="false">_xlfn.NORM.DIST(K729,AVERAGE($G$2:$G$1387),_xlfn.STDEV.S($G$2:$G$1387),TRUE())</f>
        <v>0.525166958290049</v>
      </c>
    </row>
    <row r="730" customFormat="false" ht="15" hidden="false" customHeight="false" outlineLevel="0" collapsed="false">
      <c r="A730" s="0" t="n">
        <f aca="false">ROW()-1</f>
        <v>729</v>
      </c>
      <c r="B730" s="0" t="str">
        <f aca="false">'Analysis Data'!A730</f>
        <v>Santa Cruz</v>
      </c>
      <c r="C730" s="5" t="n">
        <f aca="false">'Analysis Data'!B730</f>
        <v>40316</v>
      </c>
      <c r="D730" s="6" t="n">
        <f aca="false">'Analysis Data'!C730</f>
        <v>244.492495367469</v>
      </c>
      <c r="E730" s="15" t="n">
        <f aca="false">SUMPRODUCT('Final Model'!$B$45:$I$45,'Analysis Data'!N730:U730)</f>
        <v>246.385686754499</v>
      </c>
      <c r="F730" s="15" t="n">
        <f aca="false">D730-E730</f>
        <v>-1.89319138703021</v>
      </c>
      <c r="G730" s="13" t="n">
        <f aca="false">F730/'Final Model'!$B$21</f>
        <v>-0.0386113270905609</v>
      </c>
      <c r="H730" s="6" t="n">
        <f aca="false">F730^2</f>
        <v>3.58417362792539</v>
      </c>
      <c r="J730" s="6" t="n">
        <f aca="false">A730</f>
        <v>729</v>
      </c>
      <c r="K730" s="13" t="n">
        <f aca="false">SMALL($G$2:$G$1387,J730)</f>
        <v>0.06506518040968</v>
      </c>
      <c r="L730" s="18" t="n">
        <f aca="false">(J730-0.5)/1386</f>
        <v>0.525613275613276</v>
      </c>
      <c r="M730" s="18" t="n">
        <f aca="false">_xlfn.NORM.DIST(K730,AVERAGE($G$2:$G$1387),_xlfn.STDEV.S($G$2:$G$1387),TRUE())</f>
        <v>0.526004654223683</v>
      </c>
    </row>
    <row r="731" customFormat="false" ht="15" hidden="false" customHeight="false" outlineLevel="0" collapsed="false">
      <c r="A731" s="0" t="n">
        <f aca="false">ROW()-1</f>
        <v>730</v>
      </c>
      <c r="B731" s="0" t="str">
        <f aca="false">'Analysis Data'!A731</f>
        <v>Santa Cruz</v>
      </c>
      <c r="C731" s="5" t="n">
        <f aca="false">'Analysis Data'!B731</f>
        <v>40323</v>
      </c>
      <c r="D731" s="6" t="n">
        <f aca="false">'Analysis Data'!C731</f>
        <v>216.822372308463</v>
      </c>
      <c r="E731" s="15" t="n">
        <f aca="false">SUMPRODUCT('Final Model'!$B$45:$I$45,'Analysis Data'!N731:U731)</f>
        <v>246.385686754499</v>
      </c>
      <c r="F731" s="15" t="n">
        <f aca="false">D731-E731</f>
        <v>-29.5633144460365</v>
      </c>
      <c r="G731" s="13" t="n">
        <f aca="false">F731/'Final Model'!$B$21</f>
        <v>-0.602938937804708</v>
      </c>
      <c r="H731" s="6" t="n">
        <f aca="false">F731^2</f>
        <v>873.989561035231</v>
      </c>
      <c r="J731" s="6" t="n">
        <f aca="false">A731</f>
        <v>730</v>
      </c>
      <c r="K731" s="13" t="n">
        <f aca="false">SMALL($G$2:$G$1387,J731)</f>
        <v>0.0651249643024026</v>
      </c>
      <c r="L731" s="18" t="n">
        <f aca="false">(J731-0.5)/1386</f>
        <v>0.526334776334776</v>
      </c>
      <c r="M731" s="18" t="n">
        <f aca="false">_xlfn.NORM.DIST(K731,AVERAGE($G$2:$G$1387),_xlfn.STDEV.S($G$2:$G$1387),TRUE())</f>
        <v>0.526028514184527</v>
      </c>
    </row>
    <row r="732" customFormat="false" ht="15" hidden="false" customHeight="false" outlineLevel="0" collapsed="false">
      <c r="A732" s="0" t="n">
        <f aca="false">ROW()-1</f>
        <v>731</v>
      </c>
      <c r="B732" s="0" t="str">
        <f aca="false">'Analysis Data'!A732</f>
        <v>Santa Cruz</v>
      </c>
      <c r="C732" s="5" t="n">
        <f aca="false">'Analysis Data'!B732</f>
        <v>40330</v>
      </c>
      <c r="D732" s="6" t="n">
        <f aca="false">'Analysis Data'!C732</f>
        <v>213.287156209106</v>
      </c>
      <c r="E732" s="15" t="n">
        <f aca="false">SUMPRODUCT('Final Model'!$B$45:$I$45,'Analysis Data'!N732:U732)</f>
        <v>246.385686754499</v>
      </c>
      <c r="F732" s="15" t="n">
        <f aca="false">D732-E732</f>
        <v>-33.0985305453935</v>
      </c>
      <c r="G732" s="13" t="n">
        <f aca="false">F732/'Final Model'!$B$21</f>
        <v>-0.675039088948018</v>
      </c>
      <c r="H732" s="6" t="n">
        <f aca="false">F732^2</f>
        <v>1095.51272426435</v>
      </c>
      <c r="J732" s="6" t="n">
        <f aca="false">A732</f>
        <v>731</v>
      </c>
      <c r="K732" s="13" t="n">
        <f aca="false">SMALL($G$2:$G$1387,J732)</f>
        <v>0.0668686018961512</v>
      </c>
      <c r="L732" s="18" t="n">
        <f aca="false">(J732-0.5)/1386</f>
        <v>0.527056277056277</v>
      </c>
      <c r="M732" s="18" t="n">
        <f aca="false">_xlfn.NORM.DIST(K732,AVERAGE($G$2:$G$1387),_xlfn.STDEV.S($G$2:$G$1387),TRUE())</f>
        <v>0.526724364625935</v>
      </c>
    </row>
    <row r="733" customFormat="false" ht="15" hidden="false" customHeight="false" outlineLevel="0" collapsed="false">
      <c r="A733" s="0" t="n">
        <f aca="false">ROW()-1</f>
        <v>732</v>
      </c>
      <c r="B733" s="0" t="str">
        <f aca="false">'Analysis Data'!A733</f>
        <v>Santa Cruz</v>
      </c>
      <c r="C733" s="5" t="n">
        <f aca="false">'Analysis Data'!B733</f>
        <v>40337</v>
      </c>
      <c r="D733" s="6" t="n">
        <f aca="false">'Analysis Data'!C733</f>
        <v>272.760305545292</v>
      </c>
      <c r="E733" s="15" t="n">
        <f aca="false">SUMPRODUCT('Final Model'!$B$45:$I$45,'Analysis Data'!N733:U733)</f>
        <v>241.767801202736</v>
      </c>
      <c r="F733" s="15" t="n">
        <f aca="false">D733-E733</f>
        <v>30.9925043425562</v>
      </c>
      <c r="G733" s="13" t="n">
        <f aca="false">F733/'Final Model'!$B$21</f>
        <v>0.632087030779931</v>
      </c>
      <c r="H733" s="6" t="n">
        <f aca="false">F733^2</f>
        <v>960.535325423367</v>
      </c>
      <c r="J733" s="6" t="n">
        <f aca="false">A733</f>
        <v>732</v>
      </c>
      <c r="K733" s="13" t="n">
        <f aca="false">SMALL($G$2:$G$1387,J733)</f>
        <v>0.0685598443997089</v>
      </c>
      <c r="L733" s="18" t="n">
        <f aca="false">(J733-0.5)/1386</f>
        <v>0.527777777777778</v>
      </c>
      <c r="M733" s="18" t="n">
        <f aca="false">_xlfn.NORM.DIST(K733,AVERAGE($G$2:$G$1387),_xlfn.STDEV.S($G$2:$G$1387),TRUE())</f>
        <v>0.527399227367266</v>
      </c>
    </row>
    <row r="734" customFormat="false" ht="15" hidden="false" customHeight="false" outlineLevel="0" collapsed="false">
      <c r="A734" s="0" t="n">
        <f aca="false">ROW()-1</f>
        <v>733</v>
      </c>
      <c r="B734" s="0" t="str">
        <f aca="false">'Analysis Data'!A734</f>
        <v>Santa Cruz</v>
      </c>
      <c r="C734" s="5" t="n">
        <f aca="false">'Analysis Data'!B734</f>
        <v>40344</v>
      </c>
      <c r="D734" s="6" t="n">
        <f aca="false">'Analysis Data'!C734</f>
        <v>305.208739636935</v>
      </c>
      <c r="E734" s="15" t="n">
        <f aca="false">SUMPRODUCT('Final Model'!$B$45:$I$45,'Analysis Data'!N734:U734)</f>
        <v>243.822423705914</v>
      </c>
      <c r="F734" s="15" t="n">
        <f aca="false">D734-E734</f>
        <v>61.3863159310214</v>
      </c>
      <c r="G734" s="13" t="n">
        <f aca="false">F734/'Final Model'!$B$21</f>
        <v>1.25196382126756</v>
      </c>
      <c r="H734" s="6" t="n">
        <f aca="false">F734^2</f>
        <v>3768.27978358317</v>
      </c>
      <c r="J734" s="6" t="n">
        <f aca="false">A734</f>
        <v>733</v>
      </c>
      <c r="K734" s="13" t="n">
        <f aca="false">SMALL($G$2:$G$1387,J734)</f>
        <v>0.0706588281209186</v>
      </c>
      <c r="L734" s="18" t="n">
        <f aca="false">(J734-0.5)/1386</f>
        <v>0.528499278499279</v>
      </c>
      <c r="M734" s="18" t="n">
        <f aca="false">_xlfn.NORM.DIST(K734,AVERAGE($G$2:$G$1387),_xlfn.STDEV.S($G$2:$G$1387),TRUE())</f>
        <v>0.528236683006412</v>
      </c>
    </row>
    <row r="735" customFormat="false" ht="15" hidden="false" customHeight="false" outlineLevel="0" collapsed="false">
      <c r="A735" s="0" t="n">
        <f aca="false">ROW()-1</f>
        <v>734</v>
      </c>
      <c r="B735" s="0" t="str">
        <f aca="false">'Analysis Data'!A735</f>
        <v>Santa Cruz</v>
      </c>
      <c r="C735" s="5" t="n">
        <f aca="false">'Analysis Data'!B735</f>
        <v>40351</v>
      </c>
      <c r="D735" s="6" t="n">
        <f aca="false">'Analysis Data'!C735</f>
        <v>267.969240735801</v>
      </c>
      <c r="E735" s="15" t="n">
        <f aca="false">SUMPRODUCT('Final Model'!$B$45:$I$45,'Analysis Data'!N735:U735)</f>
        <v>256.277653227239</v>
      </c>
      <c r="F735" s="15" t="n">
        <f aca="false">D735-E735</f>
        <v>11.6915875085626</v>
      </c>
      <c r="G735" s="13" t="n">
        <f aca="false">F735/'Final Model'!$B$21</f>
        <v>0.238448005095335</v>
      </c>
      <c r="H735" s="6" t="n">
        <f aca="false">F735^2</f>
        <v>136.693218470376</v>
      </c>
      <c r="J735" s="6" t="n">
        <f aca="false">A735</f>
        <v>734</v>
      </c>
      <c r="K735" s="13" t="n">
        <f aca="false">SMALL($G$2:$G$1387,J735)</f>
        <v>0.0725270372215445</v>
      </c>
      <c r="L735" s="18" t="n">
        <f aca="false">(J735-0.5)/1386</f>
        <v>0.529220779220779</v>
      </c>
      <c r="M735" s="18" t="n">
        <f aca="false">_xlfn.NORM.DIST(K735,AVERAGE($G$2:$G$1387),_xlfn.STDEV.S($G$2:$G$1387),TRUE())</f>
        <v>0.528981958964414</v>
      </c>
    </row>
    <row r="736" customFormat="false" ht="15" hidden="false" customHeight="false" outlineLevel="0" collapsed="false">
      <c r="A736" s="0" t="n">
        <f aca="false">ROW()-1</f>
        <v>735</v>
      </c>
      <c r="B736" s="0" t="str">
        <f aca="false">'Analysis Data'!A736</f>
        <v>Santa Cruz</v>
      </c>
      <c r="C736" s="5" t="n">
        <f aca="false">'Analysis Data'!B736</f>
        <v>40358</v>
      </c>
      <c r="D736" s="6" t="n">
        <f aca="false">'Analysis Data'!C736</f>
        <v>262.369060407634</v>
      </c>
      <c r="E736" s="15" t="n">
        <f aca="false">SUMPRODUCT('Final Model'!$B$45:$I$45,'Analysis Data'!N736:U736)</f>
        <v>255.011624158095</v>
      </c>
      <c r="F736" s="15" t="n">
        <f aca="false">D736-E736</f>
        <v>7.35743624953895</v>
      </c>
      <c r="G736" s="13" t="n">
        <f aca="false">F736/'Final Model'!$B$21</f>
        <v>0.150053702718628</v>
      </c>
      <c r="H736" s="6" t="n">
        <f aca="false">F736^2</f>
        <v>54.1318681660298</v>
      </c>
      <c r="J736" s="6" t="n">
        <f aca="false">A736</f>
        <v>735</v>
      </c>
      <c r="K736" s="13" t="n">
        <f aca="false">SMALL($G$2:$G$1387,J736)</f>
        <v>0.0787601195950817</v>
      </c>
      <c r="L736" s="18" t="n">
        <f aca="false">(J736-0.5)/1386</f>
        <v>0.52994227994228</v>
      </c>
      <c r="M736" s="18" t="n">
        <f aca="false">_xlfn.NORM.DIST(K736,AVERAGE($G$2:$G$1387),_xlfn.STDEV.S($G$2:$G$1387),TRUE())</f>
        <v>0.531467744691085</v>
      </c>
    </row>
    <row r="737" customFormat="false" ht="15" hidden="false" customHeight="false" outlineLevel="0" collapsed="false">
      <c r="A737" s="0" t="n">
        <f aca="false">ROW()-1</f>
        <v>736</v>
      </c>
      <c r="B737" s="0" t="str">
        <f aca="false">'Analysis Data'!A737</f>
        <v>Santa Cruz</v>
      </c>
      <c r="C737" s="5" t="n">
        <f aca="false">'Analysis Data'!B737</f>
        <v>40365</v>
      </c>
      <c r="D737" s="6" t="n">
        <f aca="false">'Analysis Data'!C737</f>
        <v>245.129466487478</v>
      </c>
      <c r="E737" s="15" t="n">
        <f aca="false">SUMPRODUCT('Final Model'!$B$45:$I$45,'Analysis Data'!N737:U737)</f>
        <v>255.011624158095</v>
      </c>
      <c r="F737" s="15" t="n">
        <f aca="false">D737-E737</f>
        <v>-9.88215767061723</v>
      </c>
      <c r="G737" s="13" t="n">
        <f aca="false">F737/'Final Model'!$B$21</f>
        <v>-0.201544981027641</v>
      </c>
      <c r="H737" s="6" t="n">
        <f aca="false">F737^2</f>
        <v>97.657040226939</v>
      </c>
      <c r="J737" s="6" t="n">
        <f aca="false">A737</f>
        <v>736</v>
      </c>
      <c r="K737" s="13" t="n">
        <f aca="false">SMALL($G$2:$G$1387,J737)</f>
        <v>0.0855142624424241</v>
      </c>
      <c r="L737" s="18" t="n">
        <f aca="false">(J737-0.5)/1386</f>
        <v>0.530663780663781</v>
      </c>
      <c r="M737" s="18" t="n">
        <f aca="false">_xlfn.NORM.DIST(K737,AVERAGE($G$2:$G$1387),_xlfn.STDEV.S($G$2:$G$1387),TRUE())</f>
        <v>0.534159944763117</v>
      </c>
    </row>
    <row r="738" customFormat="false" ht="15" hidden="false" customHeight="false" outlineLevel="0" collapsed="false">
      <c r="A738" s="0" t="n">
        <f aca="false">ROW()-1</f>
        <v>737</v>
      </c>
      <c r="B738" s="0" t="str">
        <f aca="false">'Analysis Data'!A738</f>
        <v>Santa Cruz</v>
      </c>
      <c r="C738" s="5" t="n">
        <f aca="false">'Analysis Data'!B738</f>
        <v>40372</v>
      </c>
      <c r="D738" s="6" t="n">
        <f aca="false">'Analysis Data'!C738</f>
        <v>301.267577898118</v>
      </c>
      <c r="E738" s="15" t="n">
        <f aca="false">SUMPRODUCT('Final Model'!$B$45:$I$45,'Analysis Data'!N738:U738)</f>
        <v>259.181304863046</v>
      </c>
      <c r="F738" s="15" t="n">
        <f aca="false">D738-E738</f>
        <v>42.0862730350721</v>
      </c>
      <c r="G738" s="13" t="n">
        <f aca="false">F738/'Final Model'!$B$21</f>
        <v>0.858342619405697</v>
      </c>
      <c r="H738" s="6" t="n">
        <f aca="false">F738^2</f>
        <v>1771.25437798263</v>
      </c>
      <c r="J738" s="6" t="n">
        <f aca="false">A738</f>
        <v>737</v>
      </c>
      <c r="K738" s="13" t="n">
        <f aca="false">SMALL($G$2:$G$1387,J738)</f>
        <v>0.0857143721278733</v>
      </c>
      <c r="L738" s="18" t="n">
        <f aca="false">(J738-0.5)/1386</f>
        <v>0.531385281385281</v>
      </c>
      <c r="M738" s="18" t="n">
        <f aca="false">_xlfn.NORM.DIST(K738,AVERAGE($G$2:$G$1387),_xlfn.STDEV.S($G$2:$G$1387),TRUE())</f>
        <v>0.534239685219822</v>
      </c>
    </row>
    <row r="739" customFormat="false" ht="15" hidden="false" customHeight="false" outlineLevel="0" collapsed="false">
      <c r="A739" s="0" t="n">
        <f aca="false">ROW()-1</f>
        <v>738</v>
      </c>
      <c r="B739" s="0" t="str">
        <f aca="false">'Analysis Data'!A739</f>
        <v>Santa Rosa</v>
      </c>
      <c r="C739" s="5" t="n">
        <f aca="false">'Analysis Data'!B739</f>
        <v>40302</v>
      </c>
      <c r="D739" s="6" t="n">
        <f aca="false">'Analysis Data'!C739</f>
        <v>213.961757449925</v>
      </c>
      <c r="E739" s="15" t="n">
        <f aca="false">SUMPRODUCT('Final Model'!$B$45:$I$45,'Analysis Data'!N739:U739)</f>
        <v>233.279611321289</v>
      </c>
      <c r="F739" s="15" t="n">
        <f aca="false">D739-E739</f>
        <v>-19.3178538713637</v>
      </c>
      <c r="G739" s="13" t="n">
        <f aca="false">F739/'Final Model'!$B$21</f>
        <v>-0.393984453777244</v>
      </c>
      <c r="H739" s="6" t="n">
        <f aca="false">F739^2</f>
        <v>373.179478195361</v>
      </c>
      <c r="J739" s="6" t="n">
        <f aca="false">A739</f>
        <v>738</v>
      </c>
      <c r="K739" s="13" t="n">
        <f aca="false">SMALL($G$2:$G$1387,J739)</f>
        <v>0.0883011161189961</v>
      </c>
      <c r="L739" s="18" t="n">
        <f aca="false">(J739-0.5)/1386</f>
        <v>0.532106782106782</v>
      </c>
      <c r="M739" s="18" t="n">
        <f aca="false">_xlfn.NORM.DIST(K739,AVERAGE($G$2:$G$1387),_xlfn.STDEV.S($G$2:$G$1387),TRUE())</f>
        <v>0.535270335774141</v>
      </c>
    </row>
    <row r="740" customFormat="false" ht="15" hidden="false" customHeight="false" outlineLevel="0" collapsed="false">
      <c r="A740" s="0" t="n">
        <f aca="false">ROW()-1</f>
        <v>739</v>
      </c>
      <c r="B740" s="0" t="str">
        <f aca="false">'Analysis Data'!A740</f>
        <v>Santa Rosa</v>
      </c>
      <c r="C740" s="5" t="n">
        <f aca="false">'Analysis Data'!B740</f>
        <v>40309</v>
      </c>
      <c r="D740" s="6" t="n">
        <f aca="false">'Analysis Data'!C740</f>
        <v>222.401867647872</v>
      </c>
      <c r="E740" s="15" t="n">
        <f aca="false">SUMPRODUCT('Final Model'!$B$45:$I$45,'Analysis Data'!N740:U740)</f>
        <v>232.985393308745</v>
      </c>
      <c r="F740" s="15" t="n">
        <f aca="false">D740-E740</f>
        <v>-10.5835256608736</v>
      </c>
      <c r="G740" s="13" t="n">
        <f aca="false">F740/'Final Model'!$B$21</f>
        <v>-0.215849265881334</v>
      </c>
      <c r="H740" s="6" t="n">
        <f aca="false">F740^2</f>
        <v>112.01101541437</v>
      </c>
      <c r="J740" s="6" t="n">
        <f aca="false">A740</f>
        <v>739</v>
      </c>
      <c r="K740" s="13" t="n">
        <f aca="false">SMALL($G$2:$G$1387,J740)</f>
        <v>0.088975505917262</v>
      </c>
      <c r="L740" s="18" t="n">
        <f aca="false">(J740-0.5)/1386</f>
        <v>0.532828282828283</v>
      </c>
      <c r="M740" s="18" t="n">
        <f aca="false">_xlfn.NORM.DIST(K740,AVERAGE($G$2:$G$1387),_xlfn.STDEV.S($G$2:$G$1387),TRUE())</f>
        <v>0.535538997988092</v>
      </c>
    </row>
    <row r="741" customFormat="false" ht="15" hidden="false" customHeight="false" outlineLevel="0" collapsed="false">
      <c r="A741" s="0" t="n">
        <f aca="false">ROW()-1</f>
        <v>740</v>
      </c>
      <c r="B741" s="0" t="str">
        <f aca="false">'Analysis Data'!A741</f>
        <v>Santa Rosa</v>
      </c>
      <c r="C741" s="5" t="n">
        <f aca="false">'Analysis Data'!B741</f>
        <v>40316</v>
      </c>
      <c r="D741" s="6" t="n">
        <f aca="false">'Analysis Data'!C741</f>
        <v>347.524024114994</v>
      </c>
      <c r="E741" s="15" t="n">
        <f aca="false">SUMPRODUCT('Final Model'!$B$45:$I$45,'Analysis Data'!N741:U741)</f>
        <v>349.12631925057</v>
      </c>
      <c r="F741" s="15" t="n">
        <f aca="false">D741-E741</f>
        <v>-1.60229513557607</v>
      </c>
      <c r="G741" s="13" t="n">
        <f aca="false">F741/'Final Model'!$B$21</f>
        <v>-0.0326785458666123</v>
      </c>
      <c r="H741" s="6" t="n">
        <f aca="false">F741^2</f>
        <v>2.56734970149074</v>
      </c>
      <c r="J741" s="6" t="n">
        <f aca="false">A741</f>
        <v>740</v>
      </c>
      <c r="K741" s="13" t="n">
        <f aca="false">SMALL($G$2:$G$1387,J741)</f>
        <v>0.0921243102713769</v>
      </c>
      <c r="L741" s="18" t="n">
        <f aca="false">(J741-0.5)/1386</f>
        <v>0.533549783549784</v>
      </c>
      <c r="M741" s="18" t="n">
        <f aca="false">_xlfn.NORM.DIST(K741,AVERAGE($G$2:$G$1387),_xlfn.STDEV.S($G$2:$G$1387),TRUE())</f>
        <v>0.536793196685797</v>
      </c>
    </row>
    <row r="742" customFormat="false" ht="15" hidden="false" customHeight="false" outlineLevel="0" collapsed="false">
      <c r="A742" s="0" t="n">
        <f aca="false">ROW()-1</f>
        <v>741</v>
      </c>
      <c r="B742" s="0" t="str">
        <f aca="false">'Analysis Data'!A742</f>
        <v>Santa Rosa</v>
      </c>
      <c r="C742" s="5" t="n">
        <f aca="false">'Analysis Data'!B742</f>
        <v>40323</v>
      </c>
      <c r="D742" s="6" t="n">
        <f aca="false">'Analysis Data'!C742</f>
        <v>380.599581857327</v>
      </c>
      <c r="E742" s="15" t="n">
        <f aca="false">SUMPRODUCT('Final Model'!$B$45:$I$45,'Analysis Data'!N742:U742)</f>
        <v>308.521700077498</v>
      </c>
      <c r="F742" s="15" t="n">
        <f aca="false">D742-E742</f>
        <v>72.0778817798289</v>
      </c>
      <c r="G742" s="13" t="n">
        <f aca="false">F742/'Final Model'!$B$21</f>
        <v>1.47001654901958</v>
      </c>
      <c r="H742" s="6" t="n">
        <f aca="false">F742^2</f>
        <v>5195.221041867</v>
      </c>
      <c r="J742" s="6" t="n">
        <f aca="false">A742</f>
        <v>741</v>
      </c>
      <c r="K742" s="13" t="n">
        <f aca="false">SMALL($G$2:$G$1387,J742)</f>
        <v>0.0963659904488515</v>
      </c>
      <c r="L742" s="18" t="n">
        <f aca="false">(J742-0.5)/1386</f>
        <v>0.534271284271284</v>
      </c>
      <c r="M742" s="18" t="n">
        <f aca="false">_xlfn.NORM.DIST(K742,AVERAGE($G$2:$G$1387),_xlfn.STDEV.S($G$2:$G$1387),TRUE())</f>
        <v>0.538482117964537</v>
      </c>
    </row>
    <row r="743" customFormat="false" ht="15" hidden="false" customHeight="false" outlineLevel="0" collapsed="false">
      <c r="A743" s="0" t="n">
        <f aca="false">ROW()-1</f>
        <v>742</v>
      </c>
      <c r="B743" s="0" t="str">
        <f aca="false">'Analysis Data'!A743</f>
        <v>Santa Rosa</v>
      </c>
      <c r="C743" s="5" t="n">
        <f aca="false">'Analysis Data'!B743</f>
        <v>40330</v>
      </c>
      <c r="D743" s="6" t="n">
        <f aca="false">'Analysis Data'!C743</f>
        <v>341.865556094834</v>
      </c>
      <c r="E743" s="15" t="n">
        <f aca="false">SUMPRODUCT('Final Model'!$B$45:$I$45,'Analysis Data'!N743:U743)</f>
        <v>308.521700077498</v>
      </c>
      <c r="F743" s="15" t="n">
        <f aca="false">D743-E743</f>
        <v>33.3438560173353</v>
      </c>
      <c r="G743" s="13" t="n">
        <f aca="false">F743/'Final Model'!$B$21</f>
        <v>0.680042461615823</v>
      </c>
      <c r="H743" s="6" t="n">
        <f aca="false">F743^2</f>
        <v>1111.81273410479</v>
      </c>
      <c r="J743" s="6" t="n">
        <f aca="false">A743</f>
        <v>742</v>
      </c>
      <c r="K743" s="13" t="n">
        <f aca="false">SMALL($G$2:$G$1387,J743)</f>
        <v>0.0979329687335812</v>
      </c>
      <c r="L743" s="18" t="n">
        <f aca="false">(J743-0.5)/1386</f>
        <v>0.534992784992785</v>
      </c>
      <c r="M743" s="18" t="n">
        <f aca="false">_xlfn.NORM.DIST(K743,AVERAGE($G$2:$G$1387),_xlfn.STDEV.S($G$2:$G$1387),TRUE())</f>
        <v>0.539105872083392</v>
      </c>
    </row>
    <row r="744" customFormat="false" ht="15" hidden="false" customHeight="false" outlineLevel="0" collapsed="false">
      <c r="A744" s="0" t="n">
        <f aca="false">ROW()-1</f>
        <v>743</v>
      </c>
      <c r="B744" s="0" t="str">
        <f aca="false">'Analysis Data'!A744</f>
        <v>Santa Rosa</v>
      </c>
      <c r="C744" s="5" t="n">
        <f aca="false">'Analysis Data'!B744</f>
        <v>40337</v>
      </c>
      <c r="D744" s="6" t="n">
        <f aca="false">'Analysis Data'!C744</f>
        <v>357.297762827181</v>
      </c>
      <c r="E744" s="15" t="n">
        <f aca="false">SUMPRODUCT('Final Model'!$B$45:$I$45,'Analysis Data'!N744:U744)</f>
        <v>307.532057643585</v>
      </c>
      <c r="F744" s="15" t="n">
        <f aca="false">D744-E744</f>
        <v>49.7657051835959</v>
      </c>
      <c r="G744" s="13" t="n">
        <f aca="false">F744/'Final Model'!$B$21</f>
        <v>1.01496337554676</v>
      </c>
      <c r="H744" s="6" t="n">
        <f aca="false">F744^2</f>
        <v>2476.62541242058</v>
      </c>
      <c r="J744" s="6" t="n">
        <f aca="false">A744</f>
        <v>743</v>
      </c>
      <c r="K744" s="13" t="n">
        <f aca="false">SMALL($G$2:$G$1387,J744)</f>
        <v>0.0983043651684438</v>
      </c>
      <c r="L744" s="18" t="n">
        <f aca="false">(J744-0.5)/1386</f>
        <v>0.535714285714286</v>
      </c>
      <c r="M744" s="18" t="n">
        <f aca="false">_xlfn.NORM.DIST(K744,AVERAGE($G$2:$G$1387),_xlfn.STDEV.S($G$2:$G$1387),TRUE())</f>
        <v>0.539253696752817</v>
      </c>
    </row>
    <row r="745" customFormat="false" ht="15" hidden="false" customHeight="false" outlineLevel="0" collapsed="false">
      <c r="A745" s="0" t="n">
        <f aca="false">ROW()-1</f>
        <v>744</v>
      </c>
      <c r="B745" s="0" t="str">
        <f aca="false">'Analysis Data'!A745</f>
        <v>Santa Rosa</v>
      </c>
      <c r="C745" s="5" t="n">
        <f aca="false">'Analysis Data'!B745</f>
        <v>40344</v>
      </c>
      <c r="D745" s="6" t="n">
        <f aca="false">'Analysis Data'!C745</f>
        <v>278.123863662605</v>
      </c>
      <c r="E745" s="15" t="n">
        <f aca="false">SUMPRODUCT('Final Model'!$B$45:$I$45,'Analysis Data'!N745:U745)</f>
        <v>301.763328466228</v>
      </c>
      <c r="F745" s="15" t="n">
        <f aca="false">D745-E745</f>
        <v>-23.639464803623</v>
      </c>
      <c r="G745" s="13" t="n">
        <f aca="false">F745/'Final Model'!$B$21</f>
        <v>-0.482122998251271</v>
      </c>
      <c r="H745" s="6" t="n">
        <f aca="false">F745^2</f>
        <v>558.824296201731</v>
      </c>
      <c r="J745" s="6" t="n">
        <f aca="false">A745</f>
        <v>744</v>
      </c>
      <c r="K745" s="13" t="n">
        <f aca="false">SMALL($G$2:$G$1387,J745)</f>
        <v>0.100471132057437</v>
      </c>
      <c r="L745" s="18" t="n">
        <f aca="false">(J745-0.5)/1386</f>
        <v>0.536435786435787</v>
      </c>
      <c r="M745" s="18" t="n">
        <f aca="false">_xlfn.NORM.DIST(K745,AVERAGE($G$2:$G$1387),_xlfn.STDEV.S($G$2:$G$1387),TRUE())</f>
        <v>0.540116013040911</v>
      </c>
    </row>
    <row r="746" customFormat="false" ht="15" hidden="false" customHeight="false" outlineLevel="0" collapsed="false">
      <c r="A746" s="0" t="n">
        <f aca="false">ROW()-1</f>
        <v>745</v>
      </c>
      <c r="B746" s="0" t="str">
        <f aca="false">'Analysis Data'!A746</f>
        <v>Santa Rosa</v>
      </c>
      <c r="C746" s="5" t="n">
        <f aca="false">'Analysis Data'!B746</f>
        <v>40351</v>
      </c>
      <c r="D746" s="6" t="n">
        <f aca="false">'Analysis Data'!C746</f>
        <v>284.426844134346</v>
      </c>
      <c r="E746" s="15" t="n">
        <f aca="false">SUMPRODUCT('Final Model'!$B$45:$I$45,'Analysis Data'!N746:U746)</f>
        <v>301.763328466228</v>
      </c>
      <c r="F746" s="15" t="n">
        <f aca="false">D746-E746</f>
        <v>-17.3364843318822</v>
      </c>
      <c r="G746" s="13" t="n">
        <f aca="false">F746/'Final Model'!$B$21</f>
        <v>-0.353574747764266</v>
      </c>
      <c r="H746" s="6" t="n">
        <f aca="false">F746^2</f>
        <v>300.553688989598</v>
      </c>
      <c r="J746" s="6" t="n">
        <f aca="false">A746</f>
        <v>745</v>
      </c>
      <c r="K746" s="13" t="n">
        <f aca="false">SMALL($G$2:$G$1387,J746)</f>
        <v>0.100650571040096</v>
      </c>
      <c r="L746" s="18" t="n">
        <f aca="false">(J746-0.5)/1386</f>
        <v>0.537157287157287</v>
      </c>
      <c r="M746" s="18" t="n">
        <f aca="false">_xlfn.NORM.DIST(K746,AVERAGE($G$2:$G$1387),_xlfn.STDEV.S($G$2:$G$1387),TRUE())</f>
        <v>0.540187416637637</v>
      </c>
    </row>
    <row r="747" customFormat="false" ht="15" hidden="false" customHeight="false" outlineLevel="0" collapsed="false">
      <c r="A747" s="0" t="n">
        <f aca="false">ROW()-1</f>
        <v>746</v>
      </c>
      <c r="B747" s="0" t="str">
        <f aca="false">'Analysis Data'!A747</f>
        <v>Santa Rosa</v>
      </c>
      <c r="C747" s="5" t="n">
        <f aca="false">'Analysis Data'!B747</f>
        <v>40358</v>
      </c>
      <c r="D747" s="6" t="n">
        <f aca="false">'Analysis Data'!C747</f>
        <v>260.204105402353</v>
      </c>
      <c r="E747" s="15" t="n">
        <f aca="false">SUMPRODUCT('Final Model'!$B$45:$I$45,'Analysis Data'!N747:U747)</f>
        <v>226.927176798063</v>
      </c>
      <c r="F747" s="15" t="n">
        <f aca="false">D747-E747</f>
        <v>33.2769286042894</v>
      </c>
      <c r="G747" s="13" t="n">
        <f aca="false">F747/'Final Model'!$B$21</f>
        <v>0.678677488029875</v>
      </c>
      <c r="H747" s="6" t="n">
        <f aca="false">F747^2</f>
        <v>1107.35397733498</v>
      </c>
      <c r="J747" s="6" t="n">
        <f aca="false">A747</f>
        <v>746</v>
      </c>
      <c r="K747" s="13" t="n">
        <f aca="false">SMALL($G$2:$G$1387,J747)</f>
        <v>0.101187287139722</v>
      </c>
      <c r="L747" s="18" t="n">
        <f aca="false">(J747-0.5)/1386</f>
        <v>0.537878787878788</v>
      </c>
      <c r="M747" s="18" t="n">
        <f aca="false">_xlfn.NORM.DIST(K747,AVERAGE($G$2:$G$1387),_xlfn.STDEV.S($G$2:$G$1387),TRUE())</f>
        <v>0.540400982661763</v>
      </c>
    </row>
    <row r="748" customFormat="false" ht="15" hidden="false" customHeight="false" outlineLevel="0" collapsed="false">
      <c r="A748" s="0" t="n">
        <f aca="false">ROW()-1</f>
        <v>747</v>
      </c>
      <c r="B748" s="0" t="str">
        <f aca="false">'Analysis Data'!A748</f>
        <v>Santa Rosa</v>
      </c>
      <c r="C748" s="5" t="n">
        <f aca="false">'Analysis Data'!B748</f>
        <v>40365</v>
      </c>
      <c r="D748" s="6" t="n">
        <f aca="false">'Analysis Data'!C748</f>
        <v>320.309696753089</v>
      </c>
      <c r="E748" s="15" t="n">
        <f aca="false">SUMPRODUCT('Final Model'!$B$45:$I$45,'Analysis Data'!N748:U748)</f>
        <v>231.695360462449</v>
      </c>
      <c r="F748" s="15" t="n">
        <f aca="false">D748-E748</f>
        <v>88.6143362906405</v>
      </c>
      <c r="G748" s="13" t="n">
        <f aca="false">F748/'Final Model'!$B$21</f>
        <v>1.80727482011108</v>
      </c>
      <c r="H748" s="6" t="n">
        <f aca="false">F748^2</f>
        <v>7852.50059623072</v>
      </c>
      <c r="J748" s="6" t="n">
        <f aca="false">A748</f>
        <v>747</v>
      </c>
      <c r="K748" s="13" t="n">
        <f aca="false">SMALL($G$2:$G$1387,J748)</f>
        <v>0.101214075098321</v>
      </c>
      <c r="L748" s="18" t="n">
        <f aca="false">(J748-0.5)/1386</f>
        <v>0.538600288600289</v>
      </c>
      <c r="M748" s="18" t="n">
        <f aca="false">_xlfn.NORM.DIST(K748,AVERAGE($G$2:$G$1387),_xlfn.STDEV.S($G$2:$G$1387),TRUE())</f>
        <v>0.540411641619377</v>
      </c>
    </row>
    <row r="749" customFormat="false" ht="15" hidden="false" customHeight="false" outlineLevel="0" collapsed="false">
      <c r="A749" s="0" t="n">
        <f aca="false">ROW()-1</f>
        <v>748</v>
      </c>
      <c r="B749" s="0" t="str">
        <f aca="false">'Analysis Data'!A749</f>
        <v>Santa Rosa</v>
      </c>
      <c r="C749" s="5" t="n">
        <f aca="false">'Analysis Data'!B749</f>
        <v>40372</v>
      </c>
      <c r="D749" s="6" t="n">
        <f aca="false">'Analysis Data'!C749</f>
        <v>259.132032509319</v>
      </c>
      <c r="E749" s="15" t="n">
        <f aca="false">SUMPRODUCT('Final Model'!$B$45:$I$45,'Analysis Data'!N749:U749)</f>
        <v>231.808521236504</v>
      </c>
      <c r="F749" s="15" t="n">
        <f aca="false">D749-E749</f>
        <v>27.3235112728149</v>
      </c>
      <c r="G749" s="13" t="n">
        <f aca="false">F749/'Final Model'!$B$21</f>
        <v>0.55725852031908</v>
      </c>
      <c r="H749" s="6" t="n">
        <f aca="false">F749^2</f>
        <v>746.574268275643</v>
      </c>
      <c r="J749" s="6" t="n">
        <f aca="false">A749</f>
        <v>748</v>
      </c>
      <c r="K749" s="13" t="n">
        <f aca="false">SMALL($G$2:$G$1387,J749)</f>
        <v>0.101334816903235</v>
      </c>
      <c r="L749" s="18" t="n">
        <f aca="false">(J749-0.5)/1386</f>
        <v>0.539321789321789</v>
      </c>
      <c r="M749" s="18" t="n">
        <f aca="false">_xlfn.NORM.DIST(K749,AVERAGE($G$2:$G$1387),_xlfn.STDEV.S($G$2:$G$1387),TRUE())</f>
        <v>0.540459684553134</v>
      </c>
    </row>
    <row r="750" customFormat="false" ht="15" hidden="false" customHeight="false" outlineLevel="0" collapsed="false">
      <c r="A750" s="0" t="n">
        <f aca="false">ROW()-1</f>
        <v>749</v>
      </c>
      <c r="B750" s="0" t="str">
        <f aca="false">'Analysis Data'!A750</f>
        <v>SoMa</v>
      </c>
      <c r="C750" s="5" t="n">
        <f aca="false">'Analysis Data'!B750</f>
        <v>40302</v>
      </c>
      <c r="D750" s="6" t="n">
        <f aca="false">'Analysis Data'!C750</f>
        <v>355.859007607774</v>
      </c>
      <c r="E750" s="15" t="n">
        <f aca="false">SUMPRODUCT('Final Model'!$B$45:$I$45,'Analysis Data'!N750:U750)</f>
        <v>297.087317944519</v>
      </c>
      <c r="F750" s="15" t="n">
        <f aca="false">D750-E750</f>
        <v>58.7716896632546</v>
      </c>
      <c r="G750" s="13" t="n">
        <f aca="false">F750/'Final Model'!$B$21</f>
        <v>1.19863894839103</v>
      </c>
      <c r="H750" s="6" t="n">
        <f aca="false">F750^2</f>
        <v>3454.1115058739</v>
      </c>
      <c r="J750" s="6" t="n">
        <f aca="false">A750</f>
        <v>749</v>
      </c>
      <c r="K750" s="13" t="n">
        <f aca="false">SMALL($G$2:$G$1387,J750)</f>
        <v>0.104242934560155</v>
      </c>
      <c r="L750" s="18" t="n">
        <f aca="false">(J750-0.5)/1386</f>
        <v>0.54004329004329</v>
      </c>
      <c r="M750" s="18" t="n">
        <f aca="false">_xlfn.NORM.DIST(K750,AVERAGE($G$2:$G$1387),_xlfn.STDEV.S($G$2:$G$1387),TRUE())</f>
        <v>0.541616638919891</v>
      </c>
    </row>
    <row r="751" customFormat="false" ht="15" hidden="false" customHeight="false" outlineLevel="0" collapsed="false">
      <c r="A751" s="0" t="n">
        <f aca="false">ROW()-1</f>
        <v>750</v>
      </c>
      <c r="B751" s="0" t="str">
        <f aca="false">'Analysis Data'!A751</f>
        <v>SoMa</v>
      </c>
      <c r="C751" s="5" t="n">
        <f aca="false">'Analysis Data'!B751</f>
        <v>40309</v>
      </c>
      <c r="D751" s="6" t="n">
        <f aca="false">'Analysis Data'!C751</f>
        <v>364.876914400496</v>
      </c>
      <c r="E751" s="15" t="n">
        <f aca="false">SUMPRODUCT('Final Model'!$B$45:$I$45,'Analysis Data'!N751:U751)</f>
        <v>297.087317944519</v>
      </c>
      <c r="F751" s="15" t="n">
        <f aca="false">D751-E751</f>
        <v>67.7895964559771</v>
      </c>
      <c r="G751" s="13" t="n">
        <f aca="false">F751/'Final Model'!$B$21</f>
        <v>1.38255767485017</v>
      </c>
      <c r="H751" s="6" t="n">
        <f aca="false">F751^2</f>
        <v>4595.42938766422</v>
      </c>
      <c r="J751" s="6" t="n">
        <f aca="false">A751</f>
        <v>750</v>
      </c>
      <c r="K751" s="13" t="n">
        <f aca="false">SMALL($G$2:$G$1387,J751)</f>
        <v>0.106602039959048</v>
      </c>
      <c r="L751" s="18" t="n">
        <f aca="false">(J751-0.5)/1386</f>
        <v>0.540764790764791</v>
      </c>
      <c r="M751" s="18" t="n">
        <f aca="false">_xlfn.NORM.DIST(K751,AVERAGE($G$2:$G$1387),_xlfn.STDEV.S($G$2:$G$1387),TRUE())</f>
        <v>0.54255491787565</v>
      </c>
    </row>
    <row r="752" customFormat="false" ht="15" hidden="false" customHeight="false" outlineLevel="0" collapsed="false">
      <c r="A752" s="0" t="n">
        <f aca="false">ROW()-1</f>
        <v>751</v>
      </c>
      <c r="B752" s="0" t="str">
        <f aca="false">'Analysis Data'!A752</f>
        <v>SoMa</v>
      </c>
      <c r="C752" s="5" t="n">
        <f aca="false">'Analysis Data'!B752</f>
        <v>40316</v>
      </c>
      <c r="D752" s="6" t="n">
        <f aca="false">'Analysis Data'!C752</f>
        <v>247.341197632124</v>
      </c>
      <c r="E752" s="15" t="n">
        <f aca="false">SUMPRODUCT('Final Model'!$B$45:$I$45,'Analysis Data'!N752:U752)</f>
        <v>386.283315021068</v>
      </c>
      <c r="F752" s="15" t="n">
        <f aca="false">D752-E752</f>
        <v>-138.942117388944</v>
      </c>
      <c r="G752" s="13" t="n">
        <f aca="false">F752/'Final Model'!$B$21</f>
        <v>-2.83370164153086</v>
      </c>
      <c r="H752" s="6" t="n">
        <f aca="false">F752^2</f>
        <v>19304.911984523</v>
      </c>
      <c r="J752" s="6" t="n">
        <f aca="false">A752</f>
        <v>751</v>
      </c>
      <c r="K752" s="13" t="n">
        <f aca="false">SMALL($G$2:$G$1387,J752)</f>
        <v>0.108382580190865</v>
      </c>
      <c r="L752" s="18" t="n">
        <f aca="false">(J752-0.5)/1386</f>
        <v>0.541486291486292</v>
      </c>
      <c r="M752" s="18" t="n">
        <f aca="false">_xlfn.NORM.DIST(K752,AVERAGE($G$2:$G$1387),_xlfn.STDEV.S($G$2:$G$1387),TRUE())</f>
        <v>0.543262929329503</v>
      </c>
    </row>
    <row r="753" customFormat="false" ht="15" hidden="false" customHeight="false" outlineLevel="0" collapsed="false">
      <c r="A753" s="0" t="n">
        <f aca="false">ROW()-1</f>
        <v>752</v>
      </c>
      <c r="B753" s="0" t="str">
        <f aca="false">'Analysis Data'!A753</f>
        <v>SoMa</v>
      </c>
      <c r="C753" s="5" t="n">
        <f aca="false">'Analysis Data'!B753</f>
        <v>40323</v>
      </c>
      <c r="D753" s="6" t="n">
        <f aca="false">'Analysis Data'!C753</f>
        <v>378.14340968232</v>
      </c>
      <c r="E753" s="15" t="n">
        <f aca="false">SUMPRODUCT('Final Model'!$B$45:$I$45,'Analysis Data'!N753:U753)</f>
        <v>312.913522758469</v>
      </c>
      <c r="F753" s="15" t="n">
        <f aca="false">D753-E753</f>
        <v>65.2298869238514</v>
      </c>
      <c r="G753" s="13" t="n">
        <f aca="false">F753/'Final Model'!$B$21</f>
        <v>1.33035281976852</v>
      </c>
      <c r="H753" s="6" t="n">
        <f aca="false">F753^2</f>
        <v>4254.93814809844</v>
      </c>
      <c r="J753" s="6" t="n">
        <f aca="false">A753</f>
        <v>752</v>
      </c>
      <c r="K753" s="13" t="n">
        <f aca="false">SMALL($G$2:$G$1387,J753)</f>
        <v>0.109829690947907</v>
      </c>
      <c r="L753" s="18" t="n">
        <f aca="false">(J753-0.5)/1386</f>
        <v>0.542207792207792</v>
      </c>
      <c r="M753" s="18" t="n">
        <f aca="false">_xlfn.NORM.DIST(K753,AVERAGE($G$2:$G$1387),_xlfn.STDEV.S($G$2:$G$1387),TRUE())</f>
        <v>0.543838255319914</v>
      </c>
    </row>
    <row r="754" customFormat="false" ht="15" hidden="false" customHeight="false" outlineLevel="0" collapsed="false">
      <c r="A754" s="0" t="n">
        <f aca="false">ROW()-1</f>
        <v>753</v>
      </c>
      <c r="B754" s="0" t="str">
        <f aca="false">'Analysis Data'!A754</f>
        <v>SoMa</v>
      </c>
      <c r="C754" s="5" t="n">
        <f aca="false">'Analysis Data'!B754</f>
        <v>40330</v>
      </c>
      <c r="D754" s="6" t="n">
        <f aca="false">'Analysis Data'!C754</f>
        <v>343.977416085023</v>
      </c>
      <c r="E754" s="15" t="n">
        <f aca="false">SUMPRODUCT('Final Model'!$B$45:$I$45,'Analysis Data'!N754:U754)</f>
        <v>312.913522758469</v>
      </c>
      <c r="F754" s="15" t="n">
        <f aca="false">D754-E754</f>
        <v>31.0638933265542</v>
      </c>
      <c r="G754" s="13" t="n">
        <f aca="false">F754/'Final Model'!$B$21</f>
        <v>0.633542997371947</v>
      </c>
      <c r="H754" s="6" t="n">
        <f aca="false">F754^2</f>
        <v>964.965468603538</v>
      </c>
      <c r="J754" s="6" t="n">
        <f aca="false">A754</f>
        <v>753</v>
      </c>
      <c r="K754" s="13" t="n">
        <f aca="false">SMALL($G$2:$G$1387,J754)</f>
        <v>0.110650816602331</v>
      </c>
      <c r="L754" s="18" t="n">
        <f aca="false">(J754-0.5)/1386</f>
        <v>0.542929292929293</v>
      </c>
      <c r="M754" s="18" t="n">
        <f aca="false">_xlfn.NORM.DIST(K754,AVERAGE($G$2:$G$1387),_xlfn.STDEV.S($G$2:$G$1387),TRUE())</f>
        <v>0.54416466841646</v>
      </c>
    </row>
    <row r="755" customFormat="false" ht="15" hidden="false" customHeight="false" outlineLevel="0" collapsed="false">
      <c r="A755" s="0" t="n">
        <f aca="false">ROW()-1</f>
        <v>754</v>
      </c>
      <c r="B755" s="0" t="str">
        <f aca="false">'Analysis Data'!A755</f>
        <v>SoMa</v>
      </c>
      <c r="C755" s="5" t="n">
        <f aca="false">'Analysis Data'!B755</f>
        <v>40337</v>
      </c>
      <c r="D755" s="6" t="n">
        <f aca="false">'Analysis Data'!C755</f>
        <v>169.041134322311</v>
      </c>
      <c r="E755" s="15" t="n">
        <f aca="false">SUMPRODUCT('Final Model'!$B$45:$I$45,'Analysis Data'!N755:U755)</f>
        <v>228.110735658864</v>
      </c>
      <c r="F755" s="15" t="n">
        <f aca="false">D755-E755</f>
        <v>-59.0696013365524</v>
      </c>
      <c r="G755" s="13" t="n">
        <f aca="false">F755/'Final Model'!$B$21</f>
        <v>-1.20471480799012</v>
      </c>
      <c r="H755" s="6" t="n">
        <f aca="false">F755^2</f>
        <v>3489.21780205924</v>
      </c>
      <c r="J755" s="6" t="n">
        <f aca="false">A755</f>
        <v>754</v>
      </c>
      <c r="K755" s="13" t="n">
        <f aca="false">SMALL($G$2:$G$1387,J755)</f>
        <v>0.111237792435038</v>
      </c>
      <c r="L755" s="18" t="n">
        <f aca="false">(J755-0.5)/1386</f>
        <v>0.543650793650794</v>
      </c>
      <c r="M755" s="18" t="n">
        <f aca="false">_xlfn.NORM.DIST(K755,AVERAGE($G$2:$G$1387),_xlfn.STDEV.S($G$2:$G$1387),TRUE())</f>
        <v>0.544397984240089</v>
      </c>
    </row>
    <row r="756" customFormat="false" ht="15" hidden="false" customHeight="false" outlineLevel="0" collapsed="false">
      <c r="A756" s="0" t="n">
        <f aca="false">ROW()-1</f>
        <v>755</v>
      </c>
      <c r="B756" s="0" t="str">
        <f aca="false">'Analysis Data'!A756</f>
        <v>SoMa</v>
      </c>
      <c r="C756" s="5" t="n">
        <f aca="false">'Analysis Data'!B756</f>
        <v>40344</v>
      </c>
      <c r="D756" s="6" t="n">
        <f aca="false">'Analysis Data'!C756</f>
        <v>220.893248100551</v>
      </c>
      <c r="E756" s="15" t="n">
        <f aca="false">SUMPRODUCT('Final Model'!$B$45:$I$45,'Analysis Data'!N756:U756)</f>
        <v>228.532002367168</v>
      </c>
      <c r="F756" s="15" t="n">
        <f aca="false">D756-E756</f>
        <v>-7.63875426661738</v>
      </c>
      <c r="G756" s="13" t="n">
        <f aca="false">F756/'Final Model'!$B$21</f>
        <v>-0.155791137427182</v>
      </c>
      <c r="H756" s="6" t="n">
        <f aca="false">F756^2</f>
        <v>58.3505667457653</v>
      </c>
      <c r="J756" s="6" t="n">
        <f aca="false">A756</f>
        <v>755</v>
      </c>
      <c r="K756" s="13" t="n">
        <f aca="false">SMALL($G$2:$G$1387,J756)</f>
        <v>0.112006546398925</v>
      </c>
      <c r="L756" s="18" t="n">
        <f aca="false">(J756-0.5)/1386</f>
        <v>0.544372294372294</v>
      </c>
      <c r="M756" s="18" t="n">
        <f aca="false">_xlfn.NORM.DIST(K756,AVERAGE($G$2:$G$1387),_xlfn.STDEV.S($G$2:$G$1387),TRUE())</f>
        <v>0.544703531511387</v>
      </c>
    </row>
    <row r="757" customFormat="false" ht="15" hidden="false" customHeight="false" outlineLevel="0" collapsed="false">
      <c r="A757" s="0" t="n">
        <f aca="false">ROW()-1</f>
        <v>756</v>
      </c>
      <c r="B757" s="0" t="str">
        <f aca="false">'Analysis Data'!A757</f>
        <v>SoMa</v>
      </c>
      <c r="C757" s="5" t="n">
        <f aca="false">'Analysis Data'!B757</f>
        <v>40351</v>
      </c>
      <c r="D757" s="6" t="n">
        <f aca="false">'Analysis Data'!C757</f>
        <v>189.657883951202</v>
      </c>
      <c r="E757" s="15" t="n">
        <f aca="false">SUMPRODUCT('Final Model'!$B$45:$I$45,'Analysis Data'!N757:U757)</f>
        <v>228.532002367168</v>
      </c>
      <c r="F757" s="15" t="n">
        <f aca="false">D757-E757</f>
        <v>-38.8741184159658</v>
      </c>
      <c r="G757" s="13" t="n">
        <f aca="false">F757/'Final Model'!$B$21</f>
        <v>-0.792831254039556</v>
      </c>
      <c r="H757" s="6" t="n">
        <f aca="false">F757^2</f>
        <v>1511.19708261853</v>
      </c>
      <c r="J757" s="6" t="n">
        <f aca="false">A757</f>
        <v>756</v>
      </c>
      <c r="K757" s="13" t="n">
        <f aca="false">SMALL($G$2:$G$1387,J757)</f>
        <v>0.115833459083992</v>
      </c>
      <c r="L757" s="18" t="n">
        <f aca="false">(J757-0.5)/1386</f>
        <v>0.545093795093795</v>
      </c>
      <c r="M757" s="18" t="n">
        <f aca="false">_xlfn.NORM.DIST(K757,AVERAGE($G$2:$G$1387),_xlfn.STDEV.S($G$2:$G$1387),TRUE())</f>
        <v>0.54622417088929</v>
      </c>
    </row>
    <row r="758" customFormat="false" ht="15" hidden="false" customHeight="false" outlineLevel="0" collapsed="false">
      <c r="A758" s="0" t="n">
        <f aca="false">ROW()-1</f>
        <v>757</v>
      </c>
      <c r="B758" s="0" t="str">
        <f aca="false">'Analysis Data'!A758</f>
        <v>SoMa</v>
      </c>
      <c r="C758" s="5" t="n">
        <f aca="false">'Analysis Data'!B758</f>
        <v>40358</v>
      </c>
      <c r="D758" s="6" t="n">
        <f aca="false">'Analysis Data'!C758</f>
        <v>173.358359351338</v>
      </c>
      <c r="E758" s="15" t="n">
        <f aca="false">SUMPRODUCT('Final Model'!$B$45:$I$45,'Analysis Data'!N758:U758)</f>
        <v>228.532002367168</v>
      </c>
      <c r="F758" s="15" t="n">
        <f aca="false">D758-E758</f>
        <v>-55.1736430158304</v>
      </c>
      <c r="G758" s="13" t="n">
        <f aca="false">F758/'Final Model'!$B$21</f>
        <v>-1.12525737854948</v>
      </c>
      <c r="H758" s="6" t="n">
        <f aca="false">F758^2</f>
        <v>3044.13088363829</v>
      </c>
      <c r="J758" s="6" t="n">
        <f aca="false">A758</f>
        <v>757</v>
      </c>
      <c r="K758" s="13" t="n">
        <f aca="false">SMALL($G$2:$G$1387,J758)</f>
        <v>0.117396802461631</v>
      </c>
      <c r="L758" s="18" t="n">
        <f aca="false">(J758-0.5)/1386</f>
        <v>0.545815295815296</v>
      </c>
      <c r="M758" s="18" t="n">
        <f aca="false">_xlfn.NORM.DIST(K758,AVERAGE($G$2:$G$1387),_xlfn.STDEV.S($G$2:$G$1387),TRUE())</f>
        <v>0.546845178142767</v>
      </c>
    </row>
    <row r="759" customFormat="false" ht="15" hidden="false" customHeight="false" outlineLevel="0" collapsed="false">
      <c r="A759" s="0" t="n">
        <f aca="false">ROW()-1</f>
        <v>758</v>
      </c>
      <c r="B759" s="0" t="str">
        <f aca="false">'Analysis Data'!A759</f>
        <v>SoMa</v>
      </c>
      <c r="C759" s="5" t="n">
        <f aca="false">'Analysis Data'!B759</f>
        <v>40365</v>
      </c>
      <c r="D759" s="6" t="n">
        <f aca="false">'Analysis Data'!C759</f>
        <v>216.333226334112</v>
      </c>
      <c r="E759" s="15" t="n">
        <f aca="false">SUMPRODUCT('Final Model'!$B$45:$I$45,'Analysis Data'!N759:U759)</f>
        <v>231.942256698757</v>
      </c>
      <c r="F759" s="15" t="n">
        <f aca="false">D759-E759</f>
        <v>-15.6090303646448</v>
      </c>
      <c r="G759" s="13" t="n">
        <f aca="false">F759/'Final Model'!$B$21</f>
        <v>-0.318343608102512</v>
      </c>
      <c r="H759" s="6" t="n">
        <f aca="false">F759^2</f>
        <v>243.641828924404</v>
      </c>
      <c r="J759" s="6" t="n">
        <f aca="false">A759</f>
        <v>758</v>
      </c>
      <c r="K759" s="13" t="n">
        <f aca="false">SMALL($G$2:$G$1387,J759)</f>
        <v>0.118147440635424</v>
      </c>
      <c r="L759" s="18" t="n">
        <f aca="false">(J759-0.5)/1386</f>
        <v>0.546536796536797</v>
      </c>
      <c r="M759" s="18" t="n">
        <f aca="false">_xlfn.NORM.DIST(K759,AVERAGE($G$2:$G$1387),_xlfn.STDEV.S($G$2:$G$1387),TRUE())</f>
        <v>0.547143313709377</v>
      </c>
    </row>
    <row r="760" customFormat="false" ht="15" hidden="false" customHeight="false" outlineLevel="0" collapsed="false">
      <c r="A760" s="0" t="n">
        <f aca="false">ROW()-1</f>
        <v>759</v>
      </c>
      <c r="B760" s="0" t="str">
        <f aca="false">'Analysis Data'!A760</f>
        <v>SoMa</v>
      </c>
      <c r="C760" s="5" t="n">
        <f aca="false">'Analysis Data'!B760</f>
        <v>40372</v>
      </c>
      <c r="D760" s="6" t="n">
        <f aca="false">'Analysis Data'!C760</f>
        <v>210.163197535823</v>
      </c>
      <c r="E760" s="15" t="n">
        <f aca="false">SUMPRODUCT('Final Model'!$B$45:$I$45,'Analysis Data'!N760:U760)</f>
        <v>231.942256698757</v>
      </c>
      <c r="F760" s="15" t="n">
        <f aca="false">D760-E760</f>
        <v>-21.7790591629337</v>
      </c>
      <c r="G760" s="13" t="n">
        <f aca="false">F760/'Final Model'!$B$21</f>
        <v>-0.444180331067231</v>
      </c>
      <c r="H760" s="6" t="n">
        <f aca="false">F760^2</f>
        <v>474.327418022567</v>
      </c>
      <c r="J760" s="6" t="n">
        <f aca="false">A760</f>
        <v>759</v>
      </c>
      <c r="K760" s="13" t="n">
        <f aca="false">SMALL($G$2:$G$1387,J760)</f>
        <v>0.118638641443006</v>
      </c>
      <c r="L760" s="18" t="n">
        <f aca="false">(J760-0.5)/1386</f>
        <v>0.547258297258297</v>
      </c>
      <c r="M760" s="18" t="n">
        <f aca="false">_xlfn.NORM.DIST(K760,AVERAGE($G$2:$G$1387),_xlfn.STDEV.S($G$2:$G$1387),TRUE())</f>
        <v>0.547338392572577</v>
      </c>
    </row>
    <row r="761" customFormat="false" ht="15" hidden="false" customHeight="false" outlineLevel="0" collapsed="false">
      <c r="A761" s="0" t="n">
        <f aca="false">ROW()-1</f>
        <v>760</v>
      </c>
      <c r="B761" s="0" t="str">
        <f aca="false">'Analysis Data'!A761</f>
        <v>Stevens Creek (aka Cupertino)</v>
      </c>
      <c r="C761" s="5" t="n">
        <f aca="false">'Analysis Data'!B761</f>
        <v>40302</v>
      </c>
      <c r="D761" s="6" t="n">
        <f aca="false">'Analysis Data'!C761</f>
        <v>321.263859450252</v>
      </c>
      <c r="E761" s="15" t="n">
        <f aca="false">SUMPRODUCT('Final Model'!$B$45:$I$45,'Analysis Data'!N761:U761)</f>
        <v>308.120493690739</v>
      </c>
      <c r="F761" s="15" t="n">
        <f aca="false">D761-E761</f>
        <v>13.1433657595134</v>
      </c>
      <c r="G761" s="13" t="n">
        <f aca="false">F761/'Final Model'!$B$21</f>
        <v>0.268056783845569</v>
      </c>
      <c r="H761" s="6" t="n">
        <f aca="false">F761^2</f>
        <v>172.74806348835</v>
      </c>
      <c r="J761" s="6" t="n">
        <f aca="false">A761</f>
        <v>760</v>
      </c>
      <c r="K761" s="13" t="n">
        <f aca="false">SMALL($G$2:$G$1387,J761)</f>
        <v>0.119336451795447</v>
      </c>
      <c r="L761" s="18" t="n">
        <f aca="false">(J761-0.5)/1386</f>
        <v>0.547979797979798</v>
      </c>
      <c r="M761" s="18" t="n">
        <f aca="false">_xlfn.NORM.DIST(K761,AVERAGE($G$2:$G$1387),_xlfn.STDEV.S($G$2:$G$1387),TRUE())</f>
        <v>0.547615506113265</v>
      </c>
    </row>
    <row r="762" customFormat="false" ht="15" hidden="false" customHeight="false" outlineLevel="0" collapsed="false">
      <c r="A762" s="0" t="n">
        <f aca="false">ROW()-1</f>
        <v>761</v>
      </c>
      <c r="B762" s="0" t="str">
        <f aca="false">'Analysis Data'!A762</f>
        <v>Stevens Creek (aka Cupertino)</v>
      </c>
      <c r="C762" s="5" t="n">
        <f aca="false">'Analysis Data'!B762</f>
        <v>40309</v>
      </c>
      <c r="D762" s="6" t="n">
        <f aca="false">'Analysis Data'!C762</f>
        <v>426.239305635777</v>
      </c>
      <c r="E762" s="15" t="n">
        <f aca="false">SUMPRODUCT('Final Model'!$B$45:$I$45,'Analysis Data'!N762:U762)</f>
        <v>307.719287303979</v>
      </c>
      <c r="F762" s="15" t="n">
        <f aca="false">D762-E762</f>
        <v>118.520018331798</v>
      </c>
      <c r="G762" s="13" t="n">
        <f aca="false">F762/'Final Model'!$B$21</f>
        <v>2.41719628873173</v>
      </c>
      <c r="H762" s="6" t="n">
        <f aca="false">F762^2</f>
        <v>14046.9947453696</v>
      </c>
      <c r="J762" s="6" t="n">
        <f aca="false">A762</f>
        <v>761</v>
      </c>
      <c r="K762" s="13" t="n">
        <f aca="false">SMALL($G$2:$G$1387,J762)</f>
        <v>0.119392147751941</v>
      </c>
      <c r="L762" s="18" t="n">
        <f aca="false">(J762-0.5)/1386</f>
        <v>0.548701298701299</v>
      </c>
      <c r="M762" s="18" t="n">
        <f aca="false">_xlfn.NORM.DIST(K762,AVERAGE($G$2:$G$1387),_xlfn.STDEV.S($G$2:$G$1387),TRUE())</f>
        <v>0.547637623021485</v>
      </c>
    </row>
    <row r="763" customFormat="false" ht="15" hidden="false" customHeight="false" outlineLevel="0" collapsed="false">
      <c r="A763" s="0" t="n">
        <f aca="false">ROW()-1</f>
        <v>762</v>
      </c>
      <c r="B763" s="0" t="str">
        <f aca="false">'Analysis Data'!A763</f>
        <v>Stevens Creek (aka Cupertino)</v>
      </c>
      <c r="C763" s="5" t="n">
        <f aca="false">'Analysis Data'!B763</f>
        <v>40316</v>
      </c>
      <c r="D763" s="6" t="n">
        <f aca="false">'Analysis Data'!C763</f>
        <v>237.750020544913</v>
      </c>
      <c r="E763" s="15" t="n">
        <f aca="false">SUMPRODUCT('Final Model'!$B$45:$I$45,'Analysis Data'!N763:U763)</f>
        <v>385.048833817459</v>
      </c>
      <c r="F763" s="15" t="n">
        <f aca="false">D763-E763</f>
        <v>-147.298813272546</v>
      </c>
      <c r="G763" s="13" t="n">
        <f aca="false">F763/'Final Model'!$B$21</f>
        <v>-3.00413508020409</v>
      </c>
      <c r="H763" s="6" t="n">
        <f aca="false">F763^2</f>
        <v>21696.9403915002</v>
      </c>
      <c r="J763" s="6" t="n">
        <f aca="false">A763</f>
        <v>762</v>
      </c>
      <c r="K763" s="13" t="n">
        <f aca="false">SMALL($G$2:$G$1387,J763)</f>
        <v>0.12283877318279</v>
      </c>
      <c r="L763" s="18" t="n">
        <f aca="false">(J763-0.5)/1386</f>
        <v>0.549422799422799</v>
      </c>
      <c r="M763" s="18" t="n">
        <f aca="false">_xlfn.NORM.DIST(K763,AVERAGE($G$2:$G$1387),_xlfn.STDEV.S($G$2:$G$1387),TRUE())</f>
        <v>0.54900599040903</v>
      </c>
    </row>
    <row r="764" customFormat="false" ht="15" hidden="false" customHeight="false" outlineLevel="0" collapsed="false">
      <c r="A764" s="0" t="n">
        <f aca="false">ROW()-1</f>
        <v>763</v>
      </c>
      <c r="B764" s="0" t="str">
        <f aca="false">'Analysis Data'!A764</f>
        <v>Stevens Creek (aka Cupertino)</v>
      </c>
      <c r="C764" s="5" t="n">
        <f aca="false">'Analysis Data'!B764</f>
        <v>40323</v>
      </c>
      <c r="D764" s="6" t="n">
        <f aca="false">'Analysis Data'!C764</f>
        <v>297.373327631735</v>
      </c>
      <c r="E764" s="15" t="n">
        <f aca="false">SUMPRODUCT('Final Model'!$B$45:$I$45,'Analysis Data'!N764:U764)</f>
        <v>311.67904155486</v>
      </c>
      <c r="F764" s="15" t="n">
        <f aca="false">D764-E764</f>
        <v>-14.3057139231252</v>
      </c>
      <c r="G764" s="13" t="n">
        <f aca="false">F764/'Final Model'!$B$21</f>
        <v>-0.291762683547937</v>
      </c>
      <c r="H764" s="6" t="n">
        <f aca="false">F764^2</f>
        <v>204.653450850297</v>
      </c>
      <c r="J764" s="6" t="n">
        <f aca="false">A764</f>
        <v>763</v>
      </c>
      <c r="K764" s="13" t="n">
        <f aca="false">SMALL($G$2:$G$1387,J764)</f>
        <v>0.126610878528203</v>
      </c>
      <c r="L764" s="18" t="n">
        <f aca="false">(J764-0.5)/1386</f>
        <v>0.5501443001443</v>
      </c>
      <c r="M764" s="18" t="n">
        <f aca="false">_xlfn.NORM.DIST(K764,AVERAGE($G$2:$G$1387),_xlfn.STDEV.S($G$2:$G$1387),TRUE())</f>
        <v>0.550502910917855</v>
      </c>
    </row>
    <row r="765" customFormat="false" ht="15" hidden="false" customHeight="false" outlineLevel="0" collapsed="false">
      <c r="A765" s="0" t="n">
        <f aca="false">ROW()-1</f>
        <v>764</v>
      </c>
      <c r="B765" s="0" t="str">
        <f aca="false">'Analysis Data'!A765</f>
        <v>Stevens Creek (aka Cupertino)</v>
      </c>
      <c r="C765" s="5" t="n">
        <f aca="false">'Analysis Data'!B765</f>
        <v>40330</v>
      </c>
      <c r="D765" s="6" t="n">
        <f aca="false">'Analysis Data'!C765</f>
        <v>396.94922232825</v>
      </c>
      <c r="E765" s="15" t="n">
        <f aca="false">SUMPRODUCT('Final Model'!$B$45:$I$45,'Analysis Data'!N765:U765)</f>
        <v>311.67904155486</v>
      </c>
      <c r="F765" s="15" t="n">
        <f aca="false">D765-E765</f>
        <v>85.2701807733894</v>
      </c>
      <c r="G765" s="13" t="n">
        <f aca="false">F765/'Final Model'!$B$21</f>
        <v>1.73907131812873</v>
      </c>
      <c r="H765" s="6" t="n">
        <f aca="false">F765^2</f>
        <v>7271.00372912651</v>
      </c>
      <c r="J765" s="6" t="n">
        <f aca="false">A765</f>
        <v>764</v>
      </c>
      <c r="K765" s="13" t="n">
        <f aca="false">SMALL($G$2:$G$1387,J765)</f>
        <v>0.12686497845841</v>
      </c>
      <c r="L765" s="18" t="n">
        <f aca="false">(J765-0.5)/1386</f>
        <v>0.550865800865801</v>
      </c>
      <c r="M765" s="18" t="n">
        <f aca="false">_xlfn.NORM.DIST(K765,AVERAGE($G$2:$G$1387),_xlfn.STDEV.S($G$2:$G$1387),TRUE())</f>
        <v>0.550603722224122</v>
      </c>
    </row>
    <row r="766" customFormat="false" ht="15" hidden="false" customHeight="false" outlineLevel="0" collapsed="false">
      <c r="A766" s="0" t="n">
        <f aca="false">ROW()-1</f>
        <v>765</v>
      </c>
      <c r="B766" s="0" t="str">
        <f aca="false">'Analysis Data'!A766</f>
        <v>Stevens Creek (aka Cupertino)</v>
      </c>
      <c r="C766" s="5" t="n">
        <f aca="false">'Analysis Data'!B766</f>
        <v>40337</v>
      </c>
      <c r="D766" s="6" t="n">
        <f aca="false">'Analysis Data'!C766</f>
        <v>138.819651063657</v>
      </c>
      <c r="E766" s="15" t="n">
        <f aca="false">SUMPRODUCT('Final Model'!$B$45:$I$45,'Analysis Data'!N766:U766)</f>
        <v>228.64001947469</v>
      </c>
      <c r="F766" s="15" t="n">
        <f aca="false">D766-E766</f>
        <v>-89.8203684110335</v>
      </c>
      <c r="G766" s="13" t="n">
        <f aca="false">F766/'Final Model'!$B$21</f>
        <v>-1.83187164693019</v>
      </c>
      <c r="H766" s="6" t="n">
        <f aca="false">F766^2</f>
        <v>8067.69858149379</v>
      </c>
      <c r="J766" s="6" t="n">
        <f aca="false">A766</f>
        <v>765</v>
      </c>
      <c r="K766" s="13" t="n">
        <f aca="false">SMALL($G$2:$G$1387,J766)</f>
        <v>0.127698080484935</v>
      </c>
      <c r="L766" s="18" t="n">
        <f aca="false">(J766-0.5)/1386</f>
        <v>0.551587301587302</v>
      </c>
      <c r="M766" s="18" t="n">
        <f aca="false">_xlfn.NORM.DIST(K766,AVERAGE($G$2:$G$1387),_xlfn.STDEV.S($G$2:$G$1387),TRUE())</f>
        <v>0.550934223194462</v>
      </c>
    </row>
    <row r="767" customFormat="false" ht="15" hidden="false" customHeight="false" outlineLevel="0" collapsed="false">
      <c r="A767" s="0" t="n">
        <f aca="false">ROW()-1</f>
        <v>766</v>
      </c>
      <c r="B767" s="0" t="str">
        <f aca="false">'Analysis Data'!A767</f>
        <v>Stevens Creek (aka Cupertino)</v>
      </c>
      <c r="C767" s="5" t="n">
        <f aca="false">'Analysis Data'!B767</f>
        <v>40344</v>
      </c>
      <c r="D767" s="6" t="n">
        <f aca="false">'Analysis Data'!C767</f>
        <v>707.66887456326</v>
      </c>
      <c r="E767" s="15" t="n">
        <f aca="false">SUMPRODUCT('Final Model'!$B$45:$I$45,'Analysis Data'!N767:U767)</f>
        <v>698.798707910738</v>
      </c>
      <c r="F767" s="15" t="n">
        <f aca="false">D767-E767</f>
        <v>8.87016665252179</v>
      </c>
      <c r="G767" s="13" t="n">
        <f aca="false">F767/'Final Model'!$B$21</f>
        <v>0.180905590588786</v>
      </c>
      <c r="H767" s="6" t="n">
        <f aca="false">F767^2</f>
        <v>78.6798564435096</v>
      </c>
      <c r="J767" s="6" t="n">
        <f aca="false">A767</f>
        <v>766</v>
      </c>
      <c r="K767" s="13" t="n">
        <f aca="false">SMALL($G$2:$G$1387,J767)</f>
        <v>0.131615950181683</v>
      </c>
      <c r="L767" s="18" t="n">
        <f aca="false">(J767-0.5)/1386</f>
        <v>0.552308802308802</v>
      </c>
      <c r="M767" s="18" t="n">
        <f aca="false">_xlfn.NORM.DIST(K767,AVERAGE($G$2:$G$1387),_xlfn.STDEV.S($G$2:$G$1387),TRUE())</f>
        <v>0.55248800869301</v>
      </c>
    </row>
    <row r="768" customFormat="false" ht="15" hidden="false" customHeight="false" outlineLevel="0" collapsed="false">
      <c r="A768" s="0" t="n">
        <f aca="false">ROW()-1</f>
        <v>767</v>
      </c>
      <c r="B768" s="0" t="str">
        <f aca="false">'Analysis Data'!A768</f>
        <v>Stevens Creek (aka Cupertino)</v>
      </c>
      <c r="C768" s="5" t="n">
        <f aca="false">'Analysis Data'!B768</f>
        <v>40351</v>
      </c>
      <c r="D768" s="6" t="n">
        <f aca="false">'Analysis Data'!C768</f>
        <v>636.791415479701</v>
      </c>
      <c r="E768" s="15" t="n">
        <f aca="false">SUMPRODUCT('Final Model'!$B$45:$I$45,'Analysis Data'!N768:U768)</f>
        <v>699.528594919944</v>
      </c>
      <c r="F768" s="15" t="n">
        <f aca="false">D768-E768</f>
        <v>-62.7371794402428</v>
      </c>
      <c r="G768" s="13" t="n">
        <f aca="false">F768/'Final Model'!$B$21</f>
        <v>-1.27951446045099</v>
      </c>
      <c r="H768" s="6" t="n">
        <f aca="false">F768^2</f>
        <v>3935.95368411723</v>
      </c>
      <c r="J768" s="6" t="n">
        <f aca="false">A768</f>
        <v>767</v>
      </c>
      <c r="K768" s="13" t="n">
        <f aca="false">SMALL($G$2:$G$1387,J768)</f>
        <v>0.132688877591315</v>
      </c>
      <c r="L768" s="18" t="n">
        <f aca="false">(J768-0.5)/1386</f>
        <v>0.553030303030303</v>
      </c>
      <c r="M768" s="18" t="n">
        <f aca="false">_xlfn.NORM.DIST(K768,AVERAGE($G$2:$G$1387),_xlfn.STDEV.S($G$2:$G$1387),TRUE())</f>
        <v>0.552913380873098</v>
      </c>
    </row>
    <row r="769" customFormat="false" ht="15" hidden="false" customHeight="false" outlineLevel="0" collapsed="false">
      <c r="A769" s="0" t="n">
        <f aca="false">ROW()-1</f>
        <v>768</v>
      </c>
      <c r="B769" s="0" t="str">
        <f aca="false">'Analysis Data'!A769</f>
        <v>Stevens Creek (aka Cupertino)</v>
      </c>
      <c r="C769" s="5" t="n">
        <f aca="false">'Analysis Data'!B769</f>
        <v>40358</v>
      </c>
      <c r="D769" s="6" t="n">
        <f aca="false">'Analysis Data'!C769</f>
        <v>740.160658328604</v>
      </c>
      <c r="E769" s="15" t="n">
        <f aca="false">SUMPRODUCT('Final Model'!$B$45:$I$45,'Analysis Data'!N769:U769)</f>
        <v>699.528594919944</v>
      </c>
      <c r="F769" s="15" t="n">
        <f aca="false">D769-E769</f>
        <v>40.6320634086599</v>
      </c>
      <c r="G769" s="13" t="n">
        <f aca="false">F769/'Final Model'!$B$21</f>
        <v>0.828684253152657</v>
      </c>
      <c r="H769" s="6" t="n">
        <f aca="false">F769^2</f>
        <v>1650.96457684536</v>
      </c>
      <c r="J769" s="6" t="n">
        <f aca="false">A769</f>
        <v>768</v>
      </c>
      <c r="K769" s="13" t="n">
        <f aca="false">SMALL($G$2:$G$1387,J769)</f>
        <v>0.13327719820239</v>
      </c>
      <c r="L769" s="18" t="n">
        <f aca="false">(J769-0.5)/1386</f>
        <v>0.553751803751804</v>
      </c>
      <c r="M769" s="18" t="n">
        <f aca="false">_xlfn.NORM.DIST(K769,AVERAGE($G$2:$G$1387),_xlfn.STDEV.S($G$2:$G$1387),TRUE())</f>
        <v>0.55314660031733</v>
      </c>
    </row>
    <row r="770" customFormat="false" ht="15" hidden="false" customHeight="false" outlineLevel="0" collapsed="false">
      <c r="A770" s="0" t="n">
        <f aca="false">ROW()-1</f>
        <v>769</v>
      </c>
      <c r="B770" s="0" t="str">
        <f aca="false">'Analysis Data'!A770</f>
        <v>Stevens Creek (aka Cupertino)</v>
      </c>
      <c r="C770" s="5" t="n">
        <f aca="false">'Analysis Data'!B770</f>
        <v>40365</v>
      </c>
      <c r="D770" s="6" t="n">
        <f aca="false">'Analysis Data'!C770</f>
        <v>734.229924836268</v>
      </c>
      <c r="E770" s="15" t="n">
        <f aca="false">SUMPRODUCT('Final Model'!$B$45:$I$45,'Analysis Data'!N770:U770)</f>
        <v>686.034172288373</v>
      </c>
      <c r="F770" s="15" t="n">
        <f aca="false">D770-E770</f>
        <v>48.1957525478956</v>
      </c>
      <c r="G770" s="13" t="n">
        <f aca="false">F770/'Final Model'!$B$21</f>
        <v>0.982944449647885</v>
      </c>
      <c r="H770" s="6" t="n">
        <f aca="false">F770^2</f>
        <v>2322.83056365799</v>
      </c>
      <c r="J770" s="6" t="n">
        <f aca="false">A770</f>
        <v>769</v>
      </c>
      <c r="K770" s="13" t="n">
        <f aca="false">SMALL($G$2:$G$1387,J770)</f>
        <v>0.13703688781548</v>
      </c>
      <c r="L770" s="18" t="n">
        <f aca="false">(J770-0.5)/1386</f>
        <v>0.554473304473305</v>
      </c>
      <c r="M770" s="18" t="n">
        <f aca="false">_xlfn.NORM.DIST(K770,AVERAGE($G$2:$G$1387),_xlfn.STDEV.S($G$2:$G$1387),TRUE())</f>
        <v>0.554636562386502</v>
      </c>
    </row>
    <row r="771" customFormat="false" ht="15" hidden="false" customHeight="false" outlineLevel="0" collapsed="false">
      <c r="A771" s="0" t="n">
        <f aca="false">ROW()-1</f>
        <v>770</v>
      </c>
      <c r="B771" s="0" t="str">
        <f aca="false">'Analysis Data'!A771</f>
        <v>Stevens Creek (aka Cupertino)</v>
      </c>
      <c r="C771" s="5" t="n">
        <f aca="false">'Analysis Data'!B771</f>
        <v>40372</v>
      </c>
      <c r="D771" s="6" t="n">
        <f aca="false">'Analysis Data'!C771</f>
        <v>617.708646560797</v>
      </c>
      <c r="E771" s="15" t="n">
        <f aca="false">SUMPRODUCT('Final Model'!$B$45:$I$45,'Analysis Data'!N771:U771)</f>
        <v>686.119042874431</v>
      </c>
      <c r="F771" s="15" t="n">
        <f aca="false">D771-E771</f>
        <v>-68.4103963136336</v>
      </c>
      <c r="G771" s="13" t="n">
        <f aca="false">F771/'Final Model'!$B$21</f>
        <v>-1.3952187858852</v>
      </c>
      <c r="H771" s="6" t="n">
        <f aca="false">F771^2</f>
        <v>4679.98232378841</v>
      </c>
      <c r="J771" s="6" t="n">
        <f aca="false">A771</f>
        <v>770</v>
      </c>
      <c r="K771" s="13" t="n">
        <f aca="false">SMALL($G$2:$G$1387,J771)</f>
        <v>0.139961046407521</v>
      </c>
      <c r="L771" s="18" t="n">
        <f aca="false">(J771-0.5)/1386</f>
        <v>0.555194805194805</v>
      </c>
      <c r="M771" s="18" t="n">
        <f aca="false">_xlfn.NORM.DIST(K771,AVERAGE($G$2:$G$1387),_xlfn.STDEV.S($G$2:$G$1387),TRUE())</f>
        <v>0.555794871956619</v>
      </c>
    </row>
    <row r="772" customFormat="false" ht="15" hidden="false" customHeight="false" outlineLevel="0" collapsed="false">
      <c r="A772" s="0" t="n">
        <f aca="false">ROW()-1</f>
        <v>771</v>
      </c>
      <c r="B772" s="0" t="str">
        <f aca="false">'Analysis Data'!A772</f>
        <v>Walnut Creek</v>
      </c>
      <c r="C772" s="5" t="n">
        <f aca="false">'Analysis Data'!B772</f>
        <v>40302</v>
      </c>
      <c r="D772" s="6" t="n">
        <f aca="false">'Analysis Data'!C772</f>
        <v>161.064127867517</v>
      </c>
      <c r="E772" s="15" t="n">
        <f aca="false">SUMPRODUCT('Final Model'!$B$45:$I$45,'Analysis Data'!N772:U772)</f>
        <v>234.015156385748</v>
      </c>
      <c r="F772" s="15" t="n">
        <f aca="false">D772-E772</f>
        <v>-72.9510285182304</v>
      </c>
      <c r="G772" s="13" t="n">
        <f aca="false">F772/'Final Model'!$B$21</f>
        <v>-1.48782423320061</v>
      </c>
      <c r="H772" s="6" t="n">
        <f aca="false">F772^2</f>
        <v>5321.85256186766</v>
      </c>
      <c r="J772" s="6" t="n">
        <f aca="false">A772</f>
        <v>771</v>
      </c>
      <c r="K772" s="13" t="n">
        <f aca="false">SMALL($G$2:$G$1387,J772)</f>
        <v>0.145228368065325</v>
      </c>
      <c r="L772" s="18" t="n">
        <f aca="false">(J772-0.5)/1386</f>
        <v>0.555916305916306</v>
      </c>
      <c r="M772" s="18" t="n">
        <f aca="false">_xlfn.NORM.DIST(K772,AVERAGE($G$2:$G$1387),_xlfn.STDEV.S($G$2:$G$1387),TRUE())</f>
        <v>0.557880140305046</v>
      </c>
    </row>
    <row r="773" customFormat="false" ht="15" hidden="false" customHeight="false" outlineLevel="0" collapsed="false">
      <c r="A773" s="0" t="n">
        <f aca="false">ROW()-1</f>
        <v>772</v>
      </c>
      <c r="B773" s="0" t="str">
        <f aca="false">'Analysis Data'!A773</f>
        <v>Walnut Creek</v>
      </c>
      <c r="C773" s="5" t="n">
        <f aca="false">'Analysis Data'!B773</f>
        <v>40309</v>
      </c>
      <c r="D773" s="6" t="n">
        <f aca="false">'Analysis Data'!C773</f>
        <v>227.284097213415</v>
      </c>
      <c r="E773" s="15" t="n">
        <f aca="false">SUMPRODUCT('Final Model'!$B$45:$I$45,'Analysis Data'!N773:U773)</f>
        <v>232.744669472276</v>
      </c>
      <c r="F773" s="15" t="n">
        <f aca="false">D773-E773</f>
        <v>-5.46057225886091</v>
      </c>
      <c r="G773" s="13" t="n">
        <f aca="false">F773/'Final Model'!$B$21</f>
        <v>-0.111367473480459</v>
      </c>
      <c r="H773" s="6" t="n">
        <f aca="false">F773^2</f>
        <v>29.8178493942413</v>
      </c>
      <c r="J773" s="6" t="n">
        <f aca="false">A773</f>
        <v>772</v>
      </c>
      <c r="K773" s="13" t="n">
        <f aca="false">SMALL($G$2:$G$1387,J773)</f>
        <v>0.145655978927916</v>
      </c>
      <c r="L773" s="18" t="n">
        <f aca="false">(J773-0.5)/1386</f>
        <v>0.556637806637807</v>
      </c>
      <c r="M773" s="18" t="n">
        <f aca="false">_xlfn.NORM.DIST(K773,AVERAGE($G$2:$G$1387),_xlfn.STDEV.S($G$2:$G$1387),TRUE())</f>
        <v>0.558049356656873</v>
      </c>
    </row>
    <row r="774" customFormat="false" ht="15" hidden="false" customHeight="false" outlineLevel="0" collapsed="false">
      <c r="A774" s="0" t="n">
        <f aca="false">ROW()-1</f>
        <v>773</v>
      </c>
      <c r="B774" s="0" t="str">
        <f aca="false">'Analysis Data'!A774</f>
        <v>Walnut Creek</v>
      </c>
      <c r="C774" s="5" t="n">
        <f aca="false">'Analysis Data'!B774</f>
        <v>40316</v>
      </c>
      <c r="D774" s="6" t="n">
        <f aca="false">'Analysis Data'!C774</f>
        <v>269.70609159207</v>
      </c>
      <c r="E774" s="15" t="n">
        <f aca="false">SUMPRODUCT('Final Model'!$B$45:$I$45,'Analysis Data'!N774:U774)</f>
        <v>237.1270777495</v>
      </c>
      <c r="F774" s="15" t="n">
        <f aca="false">D774-E774</f>
        <v>32.5790138425692</v>
      </c>
      <c r="G774" s="13" t="n">
        <f aca="false">F774/'Final Model'!$B$21</f>
        <v>0.664443631204453</v>
      </c>
      <c r="H774" s="6" t="n">
        <f aca="false">F774^2</f>
        <v>1061.39214295432</v>
      </c>
      <c r="J774" s="6" t="n">
        <f aca="false">A774</f>
        <v>773</v>
      </c>
      <c r="K774" s="13" t="n">
        <f aca="false">SMALL($G$2:$G$1387,J774)</f>
        <v>0.147722523590156</v>
      </c>
      <c r="L774" s="18" t="n">
        <f aca="false">(J774-0.5)/1386</f>
        <v>0.557359307359307</v>
      </c>
      <c r="M774" s="18" t="n">
        <f aca="false">_xlfn.NORM.DIST(K774,AVERAGE($G$2:$G$1387),_xlfn.STDEV.S($G$2:$G$1387),TRUE())</f>
        <v>0.558866990408686</v>
      </c>
    </row>
    <row r="775" customFormat="false" ht="15" hidden="false" customHeight="false" outlineLevel="0" collapsed="false">
      <c r="A775" s="0" t="n">
        <f aca="false">ROW()-1</f>
        <v>774</v>
      </c>
      <c r="B775" s="0" t="str">
        <f aca="false">'Analysis Data'!A775</f>
        <v>Walnut Creek</v>
      </c>
      <c r="C775" s="5" t="n">
        <f aca="false">'Analysis Data'!B775</f>
        <v>40323</v>
      </c>
      <c r="D775" s="6" t="n">
        <f aca="false">'Analysis Data'!C775</f>
        <v>311.636851149669</v>
      </c>
      <c r="E775" s="15" t="n">
        <f aca="false">SUMPRODUCT('Final Model'!$B$45:$I$45,'Analysis Data'!N775:U775)</f>
        <v>237.1270777495</v>
      </c>
      <c r="F775" s="15" t="n">
        <f aca="false">D775-E775</f>
        <v>74.5097734001686</v>
      </c>
      <c r="G775" s="13" t="n">
        <f aca="false">F775/'Final Model'!$B$21</f>
        <v>1.51961457880411</v>
      </c>
      <c r="H775" s="6" t="n">
        <f aca="false">F775^2</f>
        <v>5551.70633214448</v>
      </c>
      <c r="J775" s="6" t="n">
        <f aca="false">A775</f>
        <v>774</v>
      </c>
      <c r="K775" s="13" t="n">
        <f aca="false">SMALL($G$2:$G$1387,J775)</f>
        <v>0.147742903494518</v>
      </c>
      <c r="L775" s="18" t="n">
        <f aca="false">(J775-0.5)/1386</f>
        <v>0.558080808080808</v>
      </c>
      <c r="M775" s="18" t="n">
        <f aca="false">_xlfn.NORM.DIST(K775,AVERAGE($G$2:$G$1387),_xlfn.STDEV.S($G$2:$G$1387),TRUE())</f>
        <v>0.558875052527277</v>
      </c>
    </row>
    <row r="776" customFormat="false" ht="15" hidden="false" customHeight="false" outlineLevel="0" collapsed="false">
      <c r="A776" s="0" t="n">
        <f aca="false">ROW()-1</f>
        <v>775</v>
      </c>
      <c r="B776" s="0" t="str">
        <f aca="false">'Analysis Data'!A776</f>
        <v>Walnut Creek</v>
      </c>
      <c r="C776" s="5" t="n">
        <f aca="false">'Analysis Data'!B776</f>
        <v>40330</v>
      </c>
      <c r="D776" s="6" t="n">
        <f aca="false">'Analysis Data'!C776</f>
        <v>211.914276165617</v>
      </c>
      <c r="E776" s="15" t="n">
        <f aca="false">SUMPRODUCT('Final Model'!$B$45:$I$45,'Analysis Data'!N776:U776)</f>
        <v>241.370606875872</v>
      </c>
      <c r="F776" s="15" t="n">
        <f aca="false">D776-E776</f>
        <v>-29.4563307102557</v>
      </c>
      <c r="G776" s="13" t="n">
        <f aca="false">F776/'Final Model'!$B$21</f>
        <v>-0.600757022101994</v>
      </c>
      <c r="H776" s="6" t="n">
        <f aca="false">F776^2</f>
        <v>867.675418911951</v>
      </c>
      <c r="J776" s="6" t="n">
        <f aca="false">A776</f>
        <v>775</v>
      </c>
      <c r="K776" s="13" t="n">
        <f aca="false">SMALL($G$2:$G$1387,J776)</f>
        <v>0.150053702718628</v>
      </c>
      <c r="L776" s="18" t="n">
        <f aca="false">(J776-0.5)/1386</f>
        <v>0.558802308802309</v>
      </c>
      <c r="M776" s="18" t="n">
        <f aca="false">_xlfn.NORM.DIST(K776,AVERAGE($G$2:$G$1387),_xlfn.STDEV.S($G$2:$G$1387),TRUE())</f>
        <v>0.559789026226733</v>
      </c>
    </row>
    <row r="777" customFormat="false" ht="15" hidden="false" customHeight="false" outlineLevel="0" collapsed="false">
      <c r="A777" s="0" t="n">
        <f aca="false">ROW()-1</f>
        <v>776</v>
      </c>
      <c r="B777" s="0" t="str">
        <f aca="false">'Analysis Data'!A777</f>
        <v>Walnut Creek</v>
      </c>
      <c r="C777" s="5" t="n">
        <f aca="false">'Analysis Data'!B777</f>
        <v>40337</v>
      </c>
      <c r="D777" s="6" t="n">
        <f aca="false">'Analysis Data'!C777</f>
        <v>252.792686888734</v>
      </c>
      <c r="E777" s="15" t="n">
        <f aca="false">SUMPRODUCT('Final Model'!$B$45:$I$45,'Analysis Data'!N777:U777)</f>
        <v>227.740391293368</v>
      </c>
      <c r="F777" s="15" t="n">
        <f aca="false">D777-E777</f>
        <v>25.0522955953658</v>
      </c>
      <c r="G777" s="13" t="n">
        <f aca="false">F777/'Final Model'!$B$21</f>
        <v>0.510937449974069</v>
      </c>
      <c r="H777" s="6" t="n">
        <f aca="false">F777^2</f>
        <v>627.617514597587</v>
      </c>
      <c r="J777" s="6" t="n">
        <f aca="false">A777</f>
        <v>776</v>
      </c>
      <c r="K777" s="13" t="n">
        <f aca="false">SMALL($G$2:$G$1387,J777)</f>
        <v>0.151193612258264</v>
      </c>
      <c r="L777" s="18" t="n">
        <f aca="false">(J777-0.5)/1386</f>
        <v>0.55952380952381</v>
      </c>
      <c r="M777" s="18" t="n">
        <f aca="false">_xlfn.NORM.DIST(K777,AVERAGE($G$2:$G$1387),_xlfn.STDEV.S($G$2:$G$1387),TRUE())</f>
        <v>0.560239769400071</v>
      </c>
    </row>
    <row r="778" customFormat="false" ht="15" hidden="false" customHeight="false" outlineLevel="0" collapsed="false">
      <c r="A778" s="0" t="n">
        <f aca="false">ROW()-1</f>
        <v>777</v>
      </c>
      <c r="B778" s="0" t="str">
        <f aca="false">'Analysis Data'!A778</f>
        <v>Walnut Creek</v>
      </c>
      <c r="C778" s="5" t="n">
        <f aca="false">'Analysis Data'!B778</f>
        <v>40344</v>
      </c>
      <c r="D778" s="6" t="n">
        <f aca="false">'Analysis Data'!C778</f>
        <v>709.087682354278</v>
      </c>
      <c r="E778" s="15" t="n">
        <f aca="false">SUMPRODUCT('Final Model'!$B$45:$I$45,'Analysis Data'!N778:U778)</f>
        <v>683.233443058789</v>
      </c>
      <c r="F778" s="15" t="n">
        <f aca="false">D778-E778</f>
        <v>25.8542392954895</v>
      </c>
      <c r="G778" s="13" t="n">
        <f aca="false">F778/'Final Model'!$B$21</f>
        <v>0.527292959895473</v>
      </c>
      <c r="H778" s="6" t="n">
        <f aca="false">F778^2</f>
        <v>668.441689548433</v>
      </c>
      <c r="J778" s="6" t="n">
        <f aca="false">A778</f>
        <v>777</v>
      </c>
      <c r="K778" s="13" t="n">
        <f aca="false">SMALL($G$2:$G$1387,J778)</f>
        <v>0.153822839862498</v>
      </c>
      <c r="L778" s="18" t="n">
        <f aca="false">(J778-0.5)/1386</f>
        <v>0.56024531024531</v>
      </c>
      <c r="M778" s="18" t="n">
        <f aca="false">_xlfn.NORM.DIST(K778,AVERAGE($G$2:$G$1387),_xlfn.STDEV.S($G$2:$G$1387),TRUE())</f>
        <v>0.561279120243557</v>
      </c>
    </row>
    <row r="779" customFormat="false" ht="15" hidden="false" customHeight="false" outlineLevel="0" collapsed="false">
      <c r="A779" s="0" t="n">
        <f aca="false">ROW()-1</f>
        <v>778</v>
      </c>
      <c r="B779" s="0" t="str">
        <f aca="false">'Analysis Data'!A779</f>
        <v>Walnut Creek</v>
      </c>
      <c r="C779" s="5" t="n">
        <f aca="false">'Analysis Data'!B779</f>
        <v>40351</v>
      </c>
      <c r="D779" s="6" t="n">
        <f aca="false">'Analysis Data'!C779</f>
        <v>736.30154065279</v>
      </c>
      <c r="E779" s="15" t="n">
        <f aca="false">SUMPRODUCT('Final Model'!$B$45:$I$45,'Analysis Data'!N779:U779)</f>
        <v>695.794289287854</v>
      </c>
      <c r="F779" s="15" t="n">
        <f aca="false">D779-E779</f>
        <v>40.5072513649355</v>
      </c>
      <c r="G779" s="13" t="n">
        <f aca="false">F779/'Final Model'!$B$21</f>
        <v>0.826138732040478</v>
      </c>
      <c r="H779" s="6" t="n">
        <f aca="false">F779^2</f>
        <v>1640.83741314207</v>
      </c>
      <c r="J779" s="6" t="n">
        <f aca="false">A779</f>
        <v>778</v>
      </c>
      <c r="K779" s="13" t="n">
        <f aca="false">SMALL($G$2:$G$1387,J779)</f>
        <v>0.155432477706098</v>
      </c>
      <c r="L779" s="18" t="n">
        <f aca="false">(J779-0.5)/1386</f>
        <v>0.560966810966811</v>
      </c>
      <c r="M779" s="18" t="n">
        <f aca="false">_xlfn.NORM.DIST(K779,AVERAGE($G$2:$G$1387),_xlfn.STDEV.S($G$2:$G$1387),TRUE())</f>
        <v>0.561915212589114</v>
      </c>
    </row>
    <row r="780" customFormat="false" ht="15" hidden="false" customHeight="false" outlineLevel="0" collapsed="false">
      <c r="A780" s="0" t="n">
        <f aca="false">ROW()-1</f>
        <v>779</v>
      </c>
      <c r="B780" s="0" t="str">
        <f aca="false">'Analysis Data'!A780</f>
        <v>Walnut Creek</v>
      </c>
      <c r="C780" s="5" t="n">
        <f aca="false">'Analysis Data'!B780</f>
        <v>40358</v>
      </c>
      <c r="D780" s="6" t="n">
        <f aca="false">'Analysis Data'!C780</f>
        <v>663.243682505147</v>
      </c>
      <c r="E780" s="15" t="n">
        <f aca="false">SUMPRODUCT('Final Model'!$B$45:$I$45,'Analysis Data'!N780:U780)</f>
        <v>683.505028916521</v>
      </c>
      <c r="F780" s="15" t="n">
        <f aca="false">D780-E780</f>
        <v>-20.2613464113747</v>
      </c>
      <c r="G780" s="13" t="n">
        <f aca="false">F780/'Final Model'!$B$21</f>
        <v>-0.413226829016978</v>
      </c>
      <c r="H780" s="6" t="n">
        <f aca="false">F780^2</f>
        <v>410.522158401726</v>
      </c>
      <c r="J780" s="6" t="n">
        <f aca="false">A780</f>
        <v>779</v>
      </c>
      <c r="K780" s="13" t="n">
        <f aca="false">SMALL($G$2:$G$1387,J780)</f>
        <v>0.155510850437598</v>
      </c>
      <c r="L780" s="18" t="n">
        <f aca="false">(J780-0.5)/1386</f>
        <v>0.561688311688312</v>
      </c>
      <c r="M780" s="18" t="n">
        <f aca="false">_xlfn.NORM.DIST(K780,AVERAGE($G$2:$G$1387),_xlfn.STDEV.S($G$2:$G$1387),TRUE())</f>
        <v>0.561946179643942</v>
      </c>
    </row>
    <row r="781" customFormat="false" ht="15" hidden="false" customHeight="false" outlineLevel="0" collapsed="false">
      <c r="A781" s="0" t="n">
        <f aca="false">ROW()-1</f>
        <v>780</v>
      </c>
      <c r="B781" s="0" t="str">
        <f aca="false">'Analysis Data'!A781</f>
        <v>Walnut Creek</v>
      </c>
      <c r="C781" s="5" t="n">
        <f aca="false">'Analysis Data'!B781</f>
        <v>40365</v>
      </c>
      <c r="D781" s="6" t="n">
        <f aca="false">'Analysis Data'!C781</f>
        <v>739.004010201696</v>
      </c>
      <c r="E781" s="15" t="n">
        <f aca="false">SUMPRODUCT('Final Model'!$B$45:$I$45,'Analysis Data'!N781:U781)</f>
        <v>691.180415795987</v>
      </c>
      <c r="F781" s="15" t="n">
        <f aca="false">D781-E781</f>
        <v>47.8235944057095</v>
      </c>
      <c r="G781" s="13" t="n">
        <f aca="false">F781/'Final Model'!$B$21</f>
        <v>0.975354345522225</v>
      </c>
      <c r="H781" s="6" t="n">
        <f aca="false">F781^2</f>
        <v>2287.09618188181</v>
      </c>
      <c r="J781" s="6" t="n">
        <f aca="false">A781</f>
        <v>780</v>
      </c>
      <c r="K781" s="13" t="n">
        <f aca="false">SMALL($G$2:$G$1387,J781)</f>
        <v>0.156542974036894</v>
      </c>
      <c r="L781" s="18" t="n">
        <f aca="false">(J781-0.5)/1386</f>
        <v>0.562409812409812</v>
      </c>
      <c r="M781" s="18" t="n">
        <f aca="false">_xlfn.NORM.DIST(K781,AVERAGE($G$2:$G$1387),_xlfn.STDEV.S($G$2:$G$1387),TRUE())</f>
        <v>0.562353962403733</v>
      </c>
    </row>
    <row r="782" customFormat="false" ht="15" hidden="false" customHeight="false" outlineLevel="0" collapsed="false">
      <c r="A782" s="0" t="n">
        <f aca="false">ROW()-1</f>
        <v>781</v>
      </c>
      <c r="B782" s="0" t="str">
        <f aca="false">'Analysis Data'!A782</f>
        <v>Walnut Creek</v>
      </c>
      <c r="C782" s="5" t="n">
        <f aca="false">'Analysis Data'!B782</f>
        <v>40372</v>
      </c>
      <c r="D782" s="6" t="n">
        <f aca="false">'Analysis Data'!C782</f>
        <v>681.152221750279</v>
      </c>
      <c r="E782" s="15" t="n">
        <f aca="false">SUMPRODUCT('Final Model'!$B$45:$I$45,'Analysis Data'!N782:U782)</f>
        <v>690.05703789982</v>
      </c>
      <c r="F782" s="15" t="n">
        <f aca="false">D782-E782</f>
        <v>-8.90481614954103</v>
      </c>
      <c r="G782" s="13" t="n">
        <f aca="false">F782/'Final Model'!$B$21</f>
        <v>-0.181612261383984</v>
      </c>
      <c r="H782" s="6" t="n">
        <f aca="false">F782^2</f>
        <v>79.2957506571268</v>
      </c>
      <c r="J782" s="6" t="n">
        <f aca="false">A782</f>
        <v>781</v>
      </c>
      <c r="K782" s="13" t="n">
        <f aca="false">SMALL($G$2:$G$1387,J782)</f>
        <v>0.156592421200046</v>
      </c>
      <c r="L782" s="18" t="n">
        <f aca="false">(J782-0.5)/1386</f>
        <v>0.563131313131313</v>
      </c>
      <c r="M782" s="18" t="n">
        <f aca="false">_xlfn.NORM.DIST(K782,AVERAGE($G$2:$G$1387),_xlfn.STDEV.S($G$2:$G$1387),TRUE())</f>
        <v>0.562373496874852</v>
      </c>
    </row>
    <row r="783" customFormat="false" ht="15" hidden="false" customHeight="false" outlineLevel="0" collapsed="false">
      <c r="A783" s="0" t="n">
        <f aca="false">ROW()-1</f>
        <v>782</v>
      </c>
      <c r="B783" s="0" t="str">
        <f aca="false">'Analysis Data'!A783</f>
        <v>Bowery</v>
      </c>
      <c r="C783" s="5" t="n">
        <f aca="false">'Analysis Data'!B783</f>
        <v>40302</v>
      </c>
      <c r="D783" s="6" t="n">
        <f aca="false">'Analysis Data'!C783</f>
        <v>127.978546530786</v>
      </c>
      <c r="E783" s="15" t="n">
        <f aca="false">SUMPRODUCT('Final Model'!$B$45:$I$45,'Analysis Data'!N783:U783)</f>
        <v>174.343240146256</v>
      </c>
      <c r="F783" s="15" t="n">
        <f aca="false">D783-E783</f>
        <v>-46.3646936154696</v>
      </c>
      <c r="G783" s="13" t="n">
        <f aca="false">F783/'Final Model'!$B$21</f>
        <v>-0.945600303754163</v>
      </c>
      <c r="H783" s="6" t="n">
        <f aca="false">F783^2</f>
        <v>2149.68481405637</v>
      </c>
      <c r="J783" s="6" t="n">
        <f aca="false">A783</f>
        <v>782</v>
      </c>
      <c r="K783" s="13" t="n">
        <f aca="false">SMALL($G$2:$G$1387,J783)</f>
        <v>0.161755191337988</v>
      </c>
      <c r="L783" s="18" t="n">
        <f aca="false">(J783-0.5)/1386</f>
        <v>0.563852813852814</v>
      </c>
      <c r="M783" s="18" t="n">
        <f aca="false">_xlfn.NORM.DIST(K783,AVERAGE($G$2:$G$1387),_xlfn.STDEV.S($G$2:$G$1387),TRUE())</f>
        <v>0.564412242326693</v>
      </c>
    </row>
    <row r="784" customFormat="false" ht="15" hidden="false" customHeight="false" outlineLevel="0" collapsed="false">
      <c r="A784" s="0" t="n">
        <f aca="false">ROW()-1</f>
        <v>783</v>
      </c>
      <c r="B784" s="0" t="str">
        <f aca="false">'Analysis Data'!A784</f>
        <v>Bowery</v>
      </c>
      <c r="C784" s="5" t="n">
        <f aca="false">'Analysis Data'!B784</f>
        <v>40309</v>
      </c>
      <c r="D784" s="6" t="n">
        <f aca="false">'Analysis Data'!C784</f>
        <v>152.534660173958</v>
      </c>
      <c r="E784" s="15" t="n">
        <f aca="false">SUMPRODUCT('Final Model'!$B$45:$I$45,'Analysis Data'!N784:U784)</f>
        <v>167.841547298957</v>
      </c>
      <c r="F784" s="15" t="n">
        <f aca="false">D784-E784</f>
        <v>-15.3068871249996</v>
      </c>
      <c r="G784" s="13" t="n">
        <f aca="false">F784/'Final Model'!$B$21</f>
        <v>-0.312181446403455</v>
      </c>
      <c r="H784" s="6" t="n">
        <f aca="false">F784^2</f>
        <v>234.300793457479</v>
      </c>
      <c r="J784" s="6" t="n">
        <f aca="false">A784</f>
        <v>783</v>
      </c>
      <c r="K784" s="13" t="n">
        <f aca="false">SMALL($G$2:$G$1387,J784)</f>
        <v>0.162416842910857</v>
      </c>
      <c r="L784" s="18" t="n">
        <f aca="false">(J784-0.5)/1386</f>
        <v>0.564574314574315</v>
      </c>
      <c r="M784" s="18" t="n">
        <f aca="false">_xlfn.NORM.DIST(K784,AVERAGE($G$2:$G$1387),_xlfn.STDEV.S($G$2:$G$1387),TRUE())</f>
        <v>0.564673401833572</v>
      </c>
    </row>
    <row r="785" customFormat="false" ht="15" hidden="false" customHeight="false" outlineLevel="0" collapsed="false">
      <c r="A785" s="0" t="n">
        <f aca="false">ROW()-1</f>
        <v>784</v>
      </c>
      <c r="B785" s="0" t="str">
        <f aca="false">'Analysis Data'!A785</f>
        <v>Bowery</v>
      </c>
      <c r="C785" s="5" t="n">
        <f aca="false">'Analysis Data'!B785</f>
        <v>40316</v>
      </c>
      <c r="D785" s="6" t="n">
        <f aca="false">'Analysis Data'!C785</f>
        <v>250.596457115236</v>
      </c>
      <c r="E785" s="15" t="n">
        <f aca="false">SUMPRODUCT('Final Model'!$B$45:$I$45,'Analysis Data'!N785:U785)</f>
        <v>180.171121195358</v>
      </c>
      <c r="F785" s="15" t="n">
        <f aca="false">D785-E785</f>
        <v>70.4253359198783</v>
      </c>
      <c r="G785" s="13" t="n">
        <f aca="false">F785/'Final Model'!$B$21</f>
        <v>1.43631314789076</v>
      </c>
      <c r="H785" s="6" t="n">
        <f aca="false">F785^2</f>
        <v>4959.7279394277</v>
      </c>
      <c r="J785" s="6" t="n">
        <f aca="false">A785</f>
        <v>784</v>
      </c>
      <c r="K785" s="13" t="n">
        <f aca="false">SMALL($G$2:$G$1387,J785)</f>
        <v>0.163114210329725</v>
      </c>
      <c r="L785" s="18" t="n">
        <f aca="false">(J785-0.5)/1386</f>
        <v>0.565295815295815</v>
      </c>
      <c r="M785" s="18" t="n">
        <f aca="false">_xlfn.NORM.DIST(K785,AVERAGE($G$2:$G$1387),_xlfn.STDEV.S($G$2:$G$1387),TRUE())</f>
        <v>0.564948628155598</v>
      </c>
    </row>
    <row r="786" customFormat="false" ht="15" hidden="false" customHeight="false" outlineLevel="0" collapsed="false">
      <c r="A786" s="0" t="n">
        <f aca="false">ROW()-1</f>
        <v>785</v>
      </c>
      <c r="B786" s="0" t="str">
        <f aca="false">'Analysis Data'!A786</f>
        <v>Bowery</v>
      </c>
      <c r="C786" s="5" t="n">
        <f aca="false">'Analysis Data'!B786</f>
        <v>40323</v>
      </c>
      <c r="D786" s="6" t="n">
        <f aca="false">'Analysis Data'!C786</f>
        <v>230.187753216358</v>
      </c>
      <c r="E786" s="15" t="n">
        <f aca="false">SUMPRODUCT('Final Model'!$B$45:$I$45,'Analysis Data'!N786:U786)</f>
        <v>243.167438345085</v>
      </c>
      <c r="F786" s="15" t="n">
        <f aca="false">D786-E786</f>
        <v>-12.9796851287272</v>
      </c>
      <c r="G786" s="13" t="n">
        <f aca="false">F786/'Final Model'!$B$21</f>
        <v>-0.264718544290408</v>
      </c>
      <c r="H786" s="6" t="n">
        <f aca="false">F786^2</f>
        <v>168.472226040903</v>
      </c>
      <c r="J786" s="6" t="n">
        <f aca="false">A786</f>
        <v>785</v>
      </c>
      <c r="K786" s="13" t="n">
        <f aca="false">SMALL($G$2:$G$1387,J786)</f>
        <v>0.164179280754071</v>
      </c>
      <c r="L786" s="18" t="n">
        <f aca="false">(J786-0.5)/1386</f>
        <v>0.566017316017316</v>
      </c>
      <c r="M786" s="18" t="n">
        <f aca="false">_xlfn.NORM.DIST(K786,AVERAGE($G$2:$G$1387),_xlfn.STDEV.S($G$2:$G$1387),TRUE())</f>
        <v>0.565368913115852</v>
      </c>
    </row>
    <row r="787" customFormat="false" ht="15" hidden="false" customHeight="false" outlineLevel="0" collapsed="false">
      <c r="A787" s="0" t="n">
        <f aca="false">ROW()-1</f>
        <v>786</v>
      </c>
      <c r="B787" s="0" t="str">
        <f aca="false">'Analysis Data'!A787</f>
        <v>Bowery</v>
      </c>
      <c r="C787" s="5" t="n">
        <f aca="false">'Analysis Data'!B787</f>
        <v>40330</v>
      </c>
      <c r="D787" s="6" t="n">
        <f aca="false">'Analysis Data'!C787</f>
        <v>258.266482498791</v>
      </c>
      <c r="E787" s="15" t="n">
        <f aca="false">SUMPRODUCT('Final Model'!$B$45:$I$45,'Analysis Data'!N787:U787)</f>
        <v>243.167438345085</v>
      </c>
      <c r="F787" s="15" t="n">
        <f aca="false">D787-E787</f>
        <v>15.0990441537056</v>
      </c>
      <c r="G787" s="13" t="n">
        <f aca="false">F787/'Final Model'!$B$21</f>
        <v>0.307942523174096</v>
      </c>
      <c r="H787" s="6" t="n">
        <f aca="false">F787^2</f>
        <v>227.981134355553</v>
      </c>
      <c r="J787" s="6" t="n">
        <f aca="false">A787</f>
        <v>786</v>
      </c>
      <c r="K787" s="13" t="n">
        <f aca="false">SMALL($G$2:$G$1387,J787)</f>
        <v>0.165373635599394</v>
      </c>
      <c r="L787" s="18" t="n">
        <f aca="false">(J787-0.5)/1386</f>
        <v>0.566738816738817</v>
      </c>
      <c r="M787" s="18" t="n">
        <f aca="false">_xlfn.NORM.DIST(K787,AVERAGE($G$2:$G$1387),_xlfn.STDEV.S($G$2:$G$1387),TRUE())</f>
        <v>0.565840126826834</v>
      </c>
    </row>
    <row r="788" customFormat="false" ht="15" hidden="false" customHeight="false" outlineLevel="0" collapsed="false">
      <c r="A788" s="0" t="n">
        <f aca="false">ROW()-1</f>
        <v>787</v>
      </c>
      <c r="B788" s="0" t="str">
        <f aca="false">'Analysis Data'!A788</f>
        <v>Bowery</v>
      </c>
      <c r="C788" s="5" t="n">
        <f aca="false">'Analysis Data'!B788</f>
        <v>40337</v>
      </c>
      <c r="D788" s="6" t="n">
        <f aca="false">'Analysis Data'!C788</f>
        <v>120.971747224715</v>
      </c>
      <c r="E788" s="15" t="n">
        <f aca="false">SUMPRODUCT('Final Model'!$B$45:$I$45,'Analysis Data'!N788:U788)</f>
        <v>233.805000646741</v>
      </c>
      <c r="F788" s="15" t="n">
        <f aca="false">D788-E788</f>
        <v>-112.833253422026</v>
      </c>
      <c r="G788" s="13" t="n">
        <f aca="false">F788/'Final Model'!$B$21</f>
        <v>-2.30121565332288</v>
      </c>
      <c r="H788" s="6" t="n">
        <f aca="false">F788^2</f>
        <v>12731.3430777991</v>
      </c>
      <c r="J788" s="6" t="n">
        <f aca="false">A788</f>
        <v>787</v>
      </c>
      <c r="K788" s="13" t="n">
        <f aca="false">SMALL($G$2:$G$1387,J788)</f>
        <v>0.167388885557641</v>
      </c>
      <c r="L788" s="18" t="n">
        <f aca="false">(J788-0.5)/1386</f>
        <v>0.567460317460317</v>
      </c>
      <c r="M788" s="18" t="n">
        <f aca="false">_xlfn.NORM.DIST(K788,AVERAGE($G$2:$G$1387),_xlfn.STDEV.S($G$2:$G$1387),TRUE())</f>
        <v>0.566634999249208</v>
      </c>
    </row>
    <row r="789" customFormat="false" ht="15" hidden="false" customHeight="false" outlineLevel="0" collapsed="false">
      <c r="A789" s="0" t="n">
        <f aca="false">ROW()-1</f>
        <v>788</v>
      </c>
      <c r="B789" s="0" t="str">
        <f aca="false">'Analysis Data'!A789</f>
        <v>Bowery</v>
      </c>
      <c r="C789" s="5" t="n">
        <f aca="false">'Analysis Data'!B789</f>
        <v>40344</v>
      </c>
      <c r="D789" s="6" t="n">
        <f aca="false">'Analysis Data'!C789</f>
        <v>323.955242577775</v>
      </c>
      <c r="E789" s="15" t="n">
        <f aca="false">SUMPRODUCT('Final Model'!$B$45:$I$45,'Analysis Data'!N789:U789)</f>
        <v>340.277489409886</v>
      </c>
      <c r="F789" s="15" t="n">
        <f aca="false">D789-E789</f>
        <v>-16.322246832111</v>
      </c>
      <c r="G789" s="13" t="n">
        <f aca="false">F789/'Final Model'!$B$21</f>
        <v>-0.332889540700964</v>
      </c>
      <c r="H789" s="6" t="n">
        <f aca="false">F789^2</f>
        <v>266.415741648357</v>
      </c>
      <c r="J789" s="6" t="n">
        <f aca="false">A789</f>
        <v>788</v>
      </c>
      <c r="K789" s="13" t="n">
        <f aca="false">SMALL($G$2:$G$1387,J789)</f>
        <v>0.169799508146458</v>
      </c>
      <c r="L789" s="18" t="n">
        <f aca="false">(J789-0.5)/1386</f>
        <v>0.568181818181818</v>
      </c>
      <c r="M789" s="18" t="n">
        <f aca="false">_xlfn.NORM.DIST(K789,AVERAGE($G$2:$G$1387),_xlfn.STDEV.S($G$2:$G$1387),TRUE())</f>
        <v>0.567585463781597</v>
      </c>
    </row>
    <row r="790" customFormat="false" ht="15" hidden="false" customHeight="false" outlineLevel="0" collapsed="false">
      <c r="A790" s="0" t="n">
        <f aca="false">ROW()-1</f>
        <v>789</v>
      </c>
      <c r="B790" s="0" t="str">
        <f aca="false">'Analysis Data'!A790</f>
        <v>Bowery</v>
      </c>
      <c r="C790" s="5" t="n">
        <f aca="false">'Analysis Data'!B790</f>
        <v>40351</v>
      </c>
      <c r="D790" s="6" t="n">
        <f aca="false">'Analysis Data'!C790</f>
        <v>332.539582844654</v>
      </c>
      <c r="E790" s="15" t="n">
        <f aca="false">SUMPRODUCT('Final Model'!$B$45:$I$45,'Analysis Data'!N790:U790)</f>
        <v>318.491678892185</v>
      </c>
      <c r="F790" s="15" t="n">
        <f aca="false">D790-E790</f>
        <v>14.0479039524685</v>
      </c>
      <c r="G790" s="13" t="n">
        <f aca="false">F790/'Final Model'!$B$21</f>
        <v>0.286504691581341</v>
      </c>
      <c r="H790" s="6" t="n">
        <f aca="false">F790^2</f>
        <v>197.343605457779</v>
      </c>
      <c r="J790" s="6" t="n">
        <f aca="false">A790</f>
        <v>789</v>
      </c>
      <c r="K790" s="13" t="n">
        <f aca="false">SMALL($G$2:$G$1387,J790)</f>
        <v>0.170142946335609</v>
      </c>
      <c r="L790" s="18" t="n">
        <f aca="false">(J790-0.5)/1386</f>
        <v>0.568903318903319</v>
      </c>
      <c r="M790" s="18" t="n">
        <f aca="false">_xlfn.NORM.DIST(K790,AVERAGE($G$2:$G$1387),_xlfn.STDEV.S($G$2:$G$1387),TRUE())</f>
        <v>0.567720843506773</v>
      </c>
    </row>
    <row r="791" customFormat="false" ht="15" hidden="false" customHeight="false" outlineLevel="0" collapsed="false">
      <c r="A791" s="0" t="n">
        <f aca="false">ROW()-1</f>
        <v>790</v>
      </c>
      <c r="B791" s="0" t="str">
        <f aca="false">'Analysis Data'!A791</f>
        <v>Bowery</v>
      </c>
      <c r="C791" s="5" t="n">
        <f aca="false">'Analysis Data'!B791</f>
        <v>40358</v>
      </c>
      <c r="D791" s="6" t="n">
        <f aca="false">'Analysis Data'!C791</f>
        <v>318.754802063313</v>
      </c>
      <c r="E791" s="15" t="n">
        <f aca="false">SUMPRODUCT('Final Model'!$B$45:$I$45,'Analysis Data'!N791:U791)</f>
        <v>318.491678892185</v>
      </c>
      <c r="F791" s="15" t="n">
        <f aca="false">D791-E791</f>
        <v>0.263123171127518</v>
      </c>
      <c r="G791" s="13" t="n">
        <f aca="false">F791/'Final Model'!$B$21</f>
        <v>0.00536635381668788</v>
      </c>
      <c r="H791" s="6" t="n">
        <f aca="false">F791^2</f>
        <v>0.069233803184201</v>
      </c>
      <c r="J791" s="6" t="n">
        <f aca="false">A791</f>
        <v>790</v>
      </c>
      <c r="K791" s="13" t="n">
        <f aca="false">SMALL($G$2:$G$1387,J791)</f>
        <v>0.172809175417963</v>
      </c>
      <c r="L791" s="18" t="n">
        <f aca="false">(J791-0.5)/1386</f>
        <v>0.56962481962482</v>
      </c>
      <c r="M791" s="18" t="n">
        <f aca="false">_xlfn.NORM.DIST(K791,AVERAGE($G$2:$G$1387),_xlfn.STDEV.S($G$2:$G$1387),TRUE())</f>
        <v>0.568771571345128</v>
      </c>
    </row>
    <row r="792" customFormat="false" ht="15" hidden="false" customHeight="false" outlineLevel="0" collapsed="false">
      <c r="A792" s="0" t="n">
        <f aca="false">ROW()-1</f>
        <v>791</v>
      </c>
      <c r="B792" s="0" t="str">
        <f aca="false">'Analysis Data'!A792</f>
        <v>Bowery</v>
      </c>
      <c r="C792" s="5" t="n">
        <f aca="false">'Analysis Data'!B792</f>
        <v>40365</v>
      </c>
      <c r="D792" s="6" t="n">
        <f aca="false">'Analysis Data'!C792</f>
        <v>333.848052011466</v>
      </c>
      <c r="E792" s="15" t="n">
        <f aca="false">SUMPRODUCT('Final Model'!$B$45:$I$45,'Analysis Data'!N792:U792)</f>
        <v>336.340905435188</v>
      </c>
      <c r="F792" s="15" t="n">
        <f aca="false">D792-E792</f>
        <v>-2.49285342372269</v>
      </c>
      <c r="G792" s="13" t="n">
        <f aca="false">F792/'Final Model'!$B$21</f>
        <v>-0.0508413357421667</v>
      </c>
      <c r="H792" s="6" t="n">
        <f aca="false">F792^2</f>
        <v>6.21431819216595</v>
      </c>
      <c r="J792" s="6" t="n">
        <f aca="false">A792</f>
        <v>791</v>
      </c>
      <c r="K792" s="13" t="n">
        <f aca="false">SMALL($G$2:$G$1387,J792)</f>
        <v>0.174157711277781</v>
      </c>
      <c r="L792" s="18" t="n">
        <f aca="false">(J792-0.5)/1386</f>
        <v>0.57034632034632</v>
      </c>
      <c r="M792" s="18" t="n">
        <f aca="false">_xlfn.NORM.DIST(K792,AVERAGE($G$2:$G$1387),_xlfn.STDEV.S($G$2:$G$1387),TRUE())</f>
        <v>0.569302827824169</v>
      </c>
    </row>
    <row r="793" customFormat="false" ht="15" hidden="false" customHeight="false" outlineLevel="0" collapsed="false">
      <c r="A793" s="0" t="n">
        <f aca="false">ROW()-1</f>
        <v>792</v>
      </c>
      <c r="B793" s="0" t="str">
        <f aca="false">'Analysis Data'!A793</f>
        <v>Bowery</v>
      </c>
      <c r="C793" s="5" t="n">
        <f aca="false">'Analysis Data'!B793</f>
        <v>40372</v>
      </c>
      <c r="D793" s="6" t="n">
        <f aca="false">'Analysis Data'!C793</f>
        <v>335.281314647376</v>
      </c>
      <c r="E793" s="15" t="n">
        <f aca="false">SUMPRODUCT('Final Model'!$B$45:$I$45,'Analysis Data'!N793:U793)</f>
        <v>341.14441043709</v>
      </c>
      <c r="F793" s="15" t="n">
        <f aca="false">D793-E793</f>
        <v>-5.86309578971435</v>
      </c>
      <c r="G793" s="13" t="n">
        <f aca="false">F793/'Final Model'!$B$21</f>
        <v>-0.119576874715804</v>
      </c>
      <c r="H793" s="6" t="n">
        <f aca="false">F793^2</f>
        <v>34.3758922393661</v>
      </c>
      <c r="J793" s="6" t="n">
        <f aca="false">A793</f>
        <v>792</v>
      </c>
      <c r="K793" s="13" t="n">
        <f aca="false">SMALL($G$2:$G$1387,J793)</f>
        <v>0.175822130734141</v>
      </c>
      <c r="L793" s="18" t="n">
        <f aca="false">(J793-0.5)/1386</f>
        <v>0.571067821067821</v>
      </c>
      <c r="M793" s="18" t="n">
        <f aca="false">_xlfn.NORM.DIST(K793,AVERAGE($G$2:$G$1387),_xlfn.STDEV.S($G$2:$G$1387),TRUE())</f>
        <v>0.569958353841038</v>
      </c>
    </row>
    <row r="794" customFormat="false" ht="15" hidden="false" customHeight="false" outlineLevel="0" collapsed="false">
      <c r="A794" s="0" t="n">
        <f aca="false">ROW()-1</f>
        <v>793</v>
      </c>
      <c r="B794" s="0" t="str">
        <f aca="false">'Analysis Data'!A794</f>
        <v>Chelsea</v>
      </c>
      <c r="C794" s="5" t="n">
        <f aca="false">'Analysis Data'!B794</f>
        <v>40302</v>
      </c>
      <c r="D794" s="6" t="n">
        <f aca="false">'Analysis Data'!C794</f>
        <v>169.601608456882</v>
      </c>
      <c r="E794" s="15" t="n">
        <f aca="false">SUMPRODUCT('Final Model'!$B$45:$I$45,'Analysis Data'!N794:U794)</f>
        <v>183.01216395001</v>
      </c>
      <c r="F794" s="15" t="n">
        <f aca="false">D794-E794</f>
        <v>-13.4105554931277</v>
      </c>
      <c r="G794" s="13" t="n">
        <f aca="false">F794/'Final Model'!$B$21</f>
        <v>-0.273506074535615</v>
      </c>
      <c r="H794" s="6" t="n">
        <f aca="false">F794^2</f>
        <v>179.842998634257</v>
      </c>
      <c r="J794" s="6" t="n">
        <f aca="false">A794</f>
        <v>793</v>
      </c>
      <c r="K794" s="13" t="n">
        <f aca="false">SMALL($G$2:$G$1387,J794)</f>
        <v>0.175967896447291</v>
      </c>
      <c r="L794" s="18" t="n">
        <f aca="false">(J794-0.5)/1386</f>
        <v>0.571789321789322</v>
      </c>
      <c r="M794" s="18" t="n">
        <f aca="false">_xlfn.NORM.DIST(K794,AVERAGE($G$2:$G$1387),_xlfn.STDEV.S($G$2:$G$1387),TRUE())</f>
        <v>0.570015754022655</v>
      </c>
    </row>
    <row r="795" customFormat="false" ht="15" hidden="false" customHeight="false" outlineLevel="0" collapsed="false">
      <c r="A795" s="0" t="n">
        <f aca="false">ROW()-1</f>
        <v>794</v>
      </c>
      <c r="B795" s="0" t="str">
        <f aca="false">'Analysis Data'!A795</f>
        <v>Chelsea</v>
      </c>
      <c r="C795" s="5" t="n">
        <f aca="false">'Analysis Data'!B795</f>
        <v>40309</v>
      </c>
      <c r="D795" s="6" t="n">
        <f aca="false">'Analysis Data'!C795</f>
        <v>209.397148810628</v>
      </c>
      <c r="E795" s="15" t="n">
        <f aca="false">SUMPRODUCT('Final Model'!$B$45:$I$45,'Analysis Data'!N795:U795)</f>
        <v>183.269604724777</v>
      </c>
      <c r="F795" s="15" t="n">
        <f aca="false">D795-E795</f>
        <v>26.1275440858509</v>
      </c>
      <c r="G795" s="13" t="n">
        <f aca="false">F795/'Final Model'!$B$21</f>
        <v>0.532866966162538</v>
      </c>
      <c r="H795" s="6" t="n">
        <f aca="false">F795^2</f>
        <v>682.648559958081</v>
      </c>
      <c r="J795" s="6" t="n">
        <f aca="false">A795</f>
        <v>794</v>
      </c>
      <c r="K795" s="13" t="n">
        <f aca="false">SMALL($G$2:$G$1387,J795)</f>
        <v>0.178423003251451</v>
      </c>
      <c r="L795" s="18" t="n">
        <f aca="false">(J795-0.5)/1386</f>
        <v>0.572510822510823</v>
      </c>
      <c r="M795" s="18" t="n">
        <f aca="false">_xlfn.NORM.DIST(K795,AVERAGE($G$2:$G$1387),_xlfn.STDEV.S($G$2:$G$1387),TRUE())</f>
        <v>0.570982312100185</v>
      </c>
    </row>
    <row r="796" customFormat="false" ht="15" hidden="false" customHeight="false" outlineLevel="0" collapsed="false">
      <c r="A796" s="0" t="n">
        <f aca="false">ROW()-1</f>
        <v>795</v>
      </c>
      <c r="B796" s="0" t="str">
        <f aca="false">'Analysis Data'!A796</f>
        <v>Chelsea</v>
      </c>
      <c r="C796" s="5" t="n">
        <f aca="false">'Analysis Data'!B796</f>
        <v>40316</v>
      </c>
      <c r="D796" s="6" t="n">
        <f aca="false">'Analysis Data'!C796</f>
        <v>196.349603946756</v>
      </c>
      <c r="E796" s="15" t="n">
        <f aca="false">SUMPRODUCT('Final Model'!$B$45:$I$45,'Analysis Data'!N796:U796)</f>
        <v>188.418420065657</v>
      </c>
      <c r="F796" s="15" t="n">
        <f aca="false">D796-E796</f>
        <v>7.93118388109915</v>
      </c>
      <c r="G796" s="13" t="n">
        <f aca="false">F796/'Final Model'!$B$21</f>
        <v>0.161755191337988</v>
      </c>
      <c r="H796" s="6" t="n">
        <f aca="false">F796^2</f>
        <v>62.9036777558069</v>
      </c>
      <c r="J796" s="6" t="n">
        <f aca="false">A796</f>
        <v>795</v>
      </c>
      <c r="K796" s="13" t="n">
        <f aca="false">SMALL($G$2:$G$1387,J796)</f>
        <v>0.180905590588786</v>
      </c>
      <c r="L796" s="18" t="n">
        <f aca="false">(J796-0.5)/1386</f>
        <v>0.573232323232323</v>
      </c>
      <c r="M796" s="18" t="n">
        <f aca="false">_xlfn.NORM.DIST(K796,AVERAGE($G$2:$G$1387),_xlfn.STDEV.S($G$2:$G$1387),TRUE())</f>
        <v>0.571959256421315</v>
      </c>
    </row>
    <row r="797" customFormat="false" ht="15" hidden="false" customHeight="false" outlineLevel="0" collapsed="false">
      <c r="A797" s="0" t="n">
        <f aca="false">ROW()-1</f>
        <v>796</v>
      </c>
      <c r="B797" s="0" t="str">
        <f aca="false">'Analysis Data'!A797</f>
        <v>Chelsea</v>
      </c>
      <c r="C797" s="5" t="n">
        <f aca="false">'Analysis Data'!B797</f>
        <v>40323</v>
      </c>
      <c r="D797" s="6" t="n">
        <f aca="false">'Analysis Data'!C797</f>
        <v>358.380552167768</v>
      </c>
      <c r="E797" s="15" t="n">
        <f aca="false">SUMPRODUCT('Final Model'!$B$45:$I$45,'Analysis Data'!N797:U797)</f>
        <v>247.880180566142</v>
      </c>
      <c r="F797" s="15" t="n">
        <f aca="false">D797-E797</f>
        <v>110.500371601626</v>
      </c>
      <c r="G797" s="13" t="n">
        <f aca="false">F797/'Final Model'!$B$21</f>
        <v>2.25363691213054</v>
      </c>
      <c r="H797" s="6" t="n">
        <f aca="false">F797^2</f>
        <v>12210.3321240975</v>
      </c>
      <c r="J797" s="6" t="n">
        <f aca="false">A797</f>
        <v>796</v>
      </c>
      <c r="K797" s="13" t="n">
        <f aca="false">SMALL($G$2:$G$1387,J797)</f>
        <v>0.181851684789555</v>
      </c>
      <c r="L797" s="18" t="n">
        <f aca="false">(J797-0.5)/1386</f>
        <v>0.573953823953824</v>
      </c>
      <c r="M797" s="18" t="n">
        <f aca="false">_xlfn.NORM.DIST(K797,AVERAGE($G$2:$G$1387),_xlfn.STDEV.S($G$2:$G$1387),TRUE())</f>
        <v>0.572331446390007</v>
      </c>
    </row>
    <row r="798" customFormat="false" ht="15" hidden="false" customHeight="false" outlineLevel="0" collapsed="false">
      <c r="A798" s="0" t="n">
        <f aca="false">ROW()-1</f>
        <v>797</v>
      </c>
      <c r="B798" s="0" t="str">
        <f aca="false">'Analysis Data'!A798</f>
        <v>Chelsea</v>
      </c>
      <c r="C798" s="5" t="n">
        <f aca="false">'Analysis Data'!B798</f>
        <v>40330</v>
      </c>
      <c r="D798" s="6" t="n">
        <f aca="false">'Analysis Data'!C798</f>
        <v>198.009539360178</v>
      </c>
      <c r="E798" s="15" t="n">
        <f aca="false">SUMPRODUCT('Final Model'!$B$45:$I$45,'Analysis Data'!N798:U798)</f>
        <v>247.880180566142</v>
      </c>
      <c r="F798" s="15" t="n">
        <f aca="false">D798-E798</f>
        <v>-49.8706412059641</v>
      </c>
      <c r="G798" s="13" t="n">
        <f aca="false">F798/'Final Model'!$B$21</f>
        <v>-1.01710352847108</v>
      </c>
      <c r="H798" s="6" t="n">
        <f aca="false">F798^2</f>
        <v>2487.080854294</v>
      </c>
      <c r="J798" s="6" t="n">
        <f aca="false">A798</f>
        <v>797</v>
      </c>
      <c r="K798" s="13" t="n">
        <f aca="false">SMALL($G$2:$G$1387,J798)</f>
        <v>0.182113993658838</v>
      </c>
      <c r="L798" s="18" t="n">
        <f aca="false">(J798-0.5)/1386</f>
        <v>0.574675324675325</v>
      </c>
      <c r="M798" s="18" t="n">
        <f aca="false">_xlfn.NORM.DIST(K798,AVERAGE($G$2:$G$1387),_xlfn.STDEV.S($G$2:$G$1387),TRUE())</f>
        <v>0.572434626350636</v>
      </c>
    </row>
    <row r="799" customFormat="false" ht="15" hidden="false" customHeight="false" outlineLevel="0" collapsed="false">
      <c r="A799" s="0" t="n">
        <f aca="false">ROW()-1</f>
        <v>798</v>
      </c>
      <c r="B799" s="0" t="str">
        <f aca="false">'Analysis Data'!A799</f>
        <v>Chelsea</v>
      </c>
      <c r="C799" s="5" t="n">
        <f aca="false">'Analysis Data'!B799</f>
        <v>40337</v>
      </c>
      <c r="D799" s="6" t="n">
        <f aca="false">'Analysis Data'!C799</f>
        <v>166.407799612155</v>
      </c>
      <c r="E799" s="15" t="n">
        <f aca="false">SUMPRODUCT('Final Model'!$B$45:$I$45,'Analysis Data'!N799:U799)</f>
        <v>242.473924450494</v>
      </c>
      <c r="F799" s="15" t="n">
        <f aca="false">D799-E799</f>
        <v>-76.0661248383395</v>
      </c>
      <c r="G799" s="13" t="n">
        <f aca="false">F799/'Final Model'!$B$21</f>
        <v>-1.55135611051546</v>
      </c>
      <c r="H799" s="6" t="n">
        <f aca="false">F799^2</f>
        <v>5786.05534792185</v>
      </c>
      <c r="J799" s="6" t="n">
        <f aca="false">A799</f>
        <v>798</v>
      </c>
      <c r="K799" s="13" t="n">
        <f aca="false">SMALL($G$2:$G$1387,J799)</f>
        <v>0.182219628964918</v>
      </c>
      <c r="L799" s="18" t="n">
        <f aca="false">(J799-0.5)/1386</f>
        <v>0.575396825396825</v>
      </c>
      <c r="M799" s="18" t="n">
        <f aca="false">_xlfn.NORM.DIST(K799,AVERAGE($G$2:$G$1387),_xlfn.STDEV.S($G$2:$G$1387),TRUE())</f>
        <v>0.57247617690832</v>
      </c>
    </row>
    <row r="800" customFormat="false" ht="15" hidden="false" customHeight="false" outlineLevel="0" collapsed="false">
      <c r="A800" s="0" t="n">
        <f aca="false">ROW()-1</f>
        <v>799</v>
      </c>
      <c r="B800" s="0" t="str">
        <f aca="false">'Analysis Data'!A800</f>
        <v>Chelsea</v>
      </c>
      <c r="C800" s="5" t="n">
        <f aca="false">'Analysis Data'!B800</f>
        <v>40344</v>
      </c>
      <c r="D800" s="6" t="n">
        <f aca="false">'Analysis Data'!C800</f>
        <v>299.873208502453</v>
      </c>
      <c r="E800" s="15" t="n">
        <f aca="false">SUMPRODUCT('Final Model'!$B$45:$I$45,'Analysis Data'!N800:U800)</f>
        <v>349.226620858293</v>
      </c>
      <c r="F800" s="15" t="n">
        <f aca="false">D800-E800</f>
        <v>-49.3534123558404</v>
      </c>
      <c r="G800" s="13" t="n">
        <f aca="false">F800/'Final Model'!$B$21</f>
        <v>-1.00655473110721</v>
      </c>
      <c r="H800" s="6" t="n">
        <f aca="false">F800^2</f>
        <v>2435.75931116562</v>
      </c>
      <c r="J800" s="6" t="n">
        <f aca="false">A800</f>
        <v>799</v>
      </c>
      <c r="K800" s="13" t="n">
        <f aca="false">SMALL($G$2:$G$1387,J800)</f>
        <v>0.184466940004436</v>
      </c>
      <c r="L800" s="18" t="n">
        <f aca="false">(J800-0.5)/1386</f>
        <v>0.576118326118326</v>
      </c>
      <c r="M800" s="18" t="n">
        <f aca="false">_xlfn.NORM.DIST(K800,AVERAGE($G$2:$G$1387),_xlfn.STDEV.S($G$2:$G$1387),TRUE())</f>
        <v>0.573359942336223</v>
      </c>
    </row>
    <row r="801" customFormat="false" ht="15" hidden="false" customHeight="false" outlineLevel="0" collapsed="false">
      <c r="A801" s="0" t="n">
        <f aca="false">ROW()-1</f>
        <v>800</v>
      </c>
      <c r="B801" s="0" t="str">
        <f aca="false">'Analysis Data'!A801</f>
        <v>Chelsea</v>
      </c>
      <c r="C801" s="5" t="n">
        <f aca="false">'Analysis Data'!B801</f>
        <v>40351</v>
      </c>
      <c r="D801" s="6" t="n">
        <f aca="false">'Analysis Data'!C801</f>
        <v>344.855699582453</v>
      </c>
      <c r="E801" s="15" t="n">
        <f aca="false">SUMPRODUCT('Final Model'!$B$45:$I$45,'Analysis Data'!N801:U801)</f>
        <v>315.843716713093</v>
      </c>
      <c r="F801" s="15" t="n">
        <f aca="false">D801-E801</f>
        <v>29.0119828693597</v>
      </c>
      <c r="G801" s="13" t="n">
        <f aca="false">F801/'Final Model'!$B$21</f>
        <v>0.591694620939409</v>
      </c>
      <c r="H801" s="6" t="n">
        <f aca="false">F801^2</f>
        <v>841.695150012022</v>
      </c>
      <c r="J801" s="6" t="n">
        <f aca="false">A801</f>
        <v>800</v>
      </c>
      <c r="K801" s="13" t="n">
        <f aca="false">SMALL($G$2:$G$1387,J801)</f>
        <v>0.187427273159825</v>
      </c>
      <c r="L801" s="18" t="n">
        <f aca="false">(J801-0.5)/1386</f>
        <v>0.576839826839827</v>
      </c>
      <c r="M801" s="18" t="n">
        <f aca="false">_xlfn.NORM.DIST(K801,AVERAGE($G$2:$G$1387),_xlfn.STDEV.S($G$2:$G$1387),TRUE())</f>
        <v>0.574523544406092</v>
      </c>
    </row>
    <row r="802" customFormat="false" ht="15" hidden="false" customHeight="false" outlineLevel="0" collapsed="false">
      <c r="A802" s="0" t="n">
        <f aca="false">ROW()-1</f>
        <v>801</v>
      </c>
      <c r="B802" s="0" t="str">
        <f aca="false">'Analysis Data'!A802</f>
        <v>Chelsea</v>
      </c>
      <c r="C802" s="5" t="n">
        <f aca="false">'Analysis Data'!B802</f>
        <v>40358</v>
      </c>
      <c r="D802" s="6" t="n">
        <f aca="false">'Analysis Data'!C802</f>
        <v>340.266963214007</v>
      </c>
      <c r="E802" s="15" t="n">
        <f aca="false">SUMPRODUCT('Final Model'!$B$45:$I$45,'Analysis Data'!N802:U802)</f>
        <v>315.843716713093</v>
      </c>
      <c r="F802" s="15" t="n">
        <f aca="false">D802-E802</f>
        <v>24.4232465009143</v>
      </c>
      <c r="G802" s="13" t="n">
        <f aca="false">F802/'Final Model'!$B$21</f>
        <v>0.498108097110812</v>
      </c>
      <c r="H802" s="6" t="n">
        <f aca="false">F802^2</f>
        <v>596.494969644424</v>
      </c>
      <c r="J802" s="6" t="n">
        <f aca="false">A802</f>
        <v>801</v>
      </c>
      <c r="K802" s="13" t="n">
        <f aca="false">SMALL($G$2:$G$1387,J802)</f>
        <v>0.188958977084832</v>
      </c>
      <c r="L802" s="18" t="n">
        <f aca="false">(J802-0.5)/1386</f>
        <v>0.577561327561328</v>
      </c>
      <c r="M802" s="18" t="n">
        <f aca="false">_xlfn.NORM.DIST(K802,AVERAGE($G$2:$G$1387),_xlfn.STDEV.S($G$2:$G$1387),TRUE())</f>
        <v>0.575125348908276</v>
      </c>
    </row>
    <row r="803" customFormat="false" ht="15" hidden="false" customHeight="false" outlineLevel="0" collapsed="false">
      <c r="A803" s="0" t="n">
        <f aca="false">ROW()-1</f>
        <v>802</v>
      </c>
      <c r="B803" s="0" t="str">
        <f aca="false">'Analysis Data'!A803</f>
        <v>Chelsea</v>
      </c>
      <c r="C803" s="5" t="n">
        <f aca="false">'Analysis Data'!B803</f>
        <v>40365</v>
      </c>
      <c r="D803" s="6" t="n">
        <f aca="false">'Analysis Data'!C803</f>
        <v>262.281177180939</v>
      </c>
      <c r="E803" s="15" t="n">
        <f aca="false">SUMPRODUCT('Final Model'!$B$45:$I$45,'Analysis Data'!N803:U803)</f>
        <v>326.76656070185</v>
      </c>
      <c r="F803" s="15" t="n">
        <f aca="false">D803-E803</f>
        <v>-64.4853835209109</v>
      </c>
      <c r="G803" s="13" t="n">
        <f aca="false">F803/'Final Model'!$B$21</f>
        <v>-1.31516879526477</v>
      </c>
      <c r="H803" s="6" t="n">
        <f aca="false">F803^2</f>
        <v>4158.36468783897</v>
      </c>
      <c r="J803" s="6" t="n">
        <f aca="false">A803</f>
        <v>802</v>
      </c>
      <c r="K803" s="13" t="n">
        <f aca="false">SMALL($G$2:$G$1387,J803)</f>
        <v>0.189985815316369</v>
      </c>
      <c r="L803" s="18" t="n">
        <f aca="false">(J803-0.5)/1386</f>
        <v>0.578282828282828</v>
      </c>
      <c r="M803" s="18" t="n">
        <f aca="false">_xlfn.NORM.DIST(K803,AVERAGE($G$2:$G$1387),_xlfn.STDEV.S($G$2:$G$1387),TRUE())</f>
        <v>0.575528694407542</v>
      </c>
    </row>
    <row r="804" customFormat="false" ht="15" hidden="false" customHeight="false" outlineLevel="0" collapsed="false">
      <c r="A804" s="0" t="n">
        <f aca="false">ROW()-1</f>
        <v>803</v>
      </c>
      <c r="B804" s="0" t="str">
        <f aca="false">'Analysis Data'!A804</f>
        <v>Chelsea</v>
      </c>
      <c r="C804" s="5" t="n">
        <f aca="false">'Analysis Data'!B804</f>
        <v>40372</v>
      </c>
      <c r="D804" s="6" t="n">
        <f aca="false">'Analysis Data'!C804</f>
        <v>235.868486084286</v>
      </c>
      <c r="E804" s="15" t="n">
        <f aca="false">SUMPRODUCT('Final Model'!$B$45:$I$45,'Analysis Data'!N804:U804)</f>
        <v>327.948732244612</v>
      </c>
      <c r="F804" s="15" t="n">
        <f aca="false">D804-E804</f>
        <v>-92.0802461603255</v>
      </c>
      <c r="G804" s="13" t="n">
        <f aca="false">F804/'Final Model'!$B$21</f>
        <v>-1.87796148209444</v>
      </c>
      <c r="H804" s="6" t="n">
        <f aca="false">F804^2</f>
        <v>8478.77173294614</v>
      </c>
      <c r="J804" s="6" t="n">
        <f aca="false">A804</f>
        <v>803</v>
      </c>
      <c r="K804" s="13" t="n">
        <f aca="false">SMALL($G$2:$G$1387,J804)</f>
        <v>0.194117283972298</v>
      </c>
      <c r="L804" s="18" t="n">
        <f aca="false">(J804-0.5)/1386</f>
        <v>0.579004329004329</v>
      </c>
      <c r="M804" s="18" t="n">
        <f aca="false">_xlfn.NORM.DIST(K804,AVERAGE($G$2:$G$1387),_xlfn.STDEV.S($G$2:$G$1387),TRUE())</f>
        <v>0.577150745787364</v>
      </c>
    </row>
    <row r="805" customFormat="false" ht="15" hidden="false" customHeight="false" outlineLevel="0" collapsed="false">
      <c r="A805" s="0" t="n">
        <f aca="false">ROW()-1</f>
        <v>804</v>
      </c>
      <c r="B805" s="0" t="str">
        <f aca="false">'Analysis Data'!A805</f>
        <v>Columbus Circle</v>
      </c>
      <c r="C805" s="5" t="n">
        <f aca="false">'Analysis Data'!B805</f>
        <v>40302</v>
      </c>
      <c r="D805" s="6" t="n">
        <f aca="false">'Analysis Data'!C805</f>
        <v>203.797548653418</v>
      </c>
      <c r="E805" s="15" t="n">
        <f aca="false">SUMPRODUCT('Final Model'!$B$45:$I$45,'Analysis Data'!N805:U805)</f>
        <v>183.800247938187</v>
      </c>
      <c r="F805" s="15" t="n">
        <f aca="false">D805-E805</f>
        <v>19.9973007152308</v>
      </c>
      <c r="G805" s="13" t="n">
        <f aca="false">F805/'Final Model'!$B$21</f>
        <v>0.407841660454248</v>
      </c>
      <c r="H805" s="6" t="n">
        <f aca="false">F805^2</f>
        <v>399.892035895369</v>
      </c>
      <c r="J805" s="6" t="n">
        <f aca="false">A805</f>
        <v>804</v>
      </c>
      <c r="K805" s="13" t="n">
        <f aca="false">SMALL($G$2:$G$1387,J805)</f>
        <v>0.194847525493266</v>
      </c>
      <c r="L805" s="18" t="n">
        <f aca="false">(J805-0.5)/1386</f>
        <v>0.57972582972583</v>
      </c>
      <c r="M805" s="18" t="n">
        <f aca="false">_xlfn.NORM.DIST(K805,AVERAGE($G$2:$G$1387),_xlfn.STDEV.S($G$2:$G$1387),TRUE())</f>
        <v>0.577437309956715</v>
      </c>
    </row>
    <row r="806" customFormat="false" ht="15" hidden="false" customHeight="false" outlineLevel="0" collapsed="false">
      <c r="A806" s="0" t="n">
        <f aca="false">ROW()-1</f>
        <v>805</v>
      </c>
      <c r="B806" s="0" t="str">
        <f aca="false">'Analysis Data'!A806</f>
        <v>Columbus Circle</v>
      </c>
      <c r="C806" s="5" t="n">
        <f aca="false">'Analysis Data'!B806</f>
        <v>40309</v>
      </c>
      <c r="D806" s="6" t="n">
        <f aca="false">'Analysis Data'!C806</f>
        <v>219.291499893423</v>
      </c>
      <c r="E806" s="15" t="n">
        <f aca="false">SUMPRODUCT('Final Model'!$B$45:$I$45,'Analysis Data'!N806:U806)</f>
        <v>170.140125586775</v>
      </c>
      <c r="F806" s="15" t="n">
        <f aca="false">D806-E806</f>
        <v>49.1513743066473</v>
      </c>
      <c r="G806" s="13" t="n">
        <f aca="false">F806/'Final Model'!$B$21</f>
        <v>1.00243419830975</v>
      </c>
      <c r="H806" s="6" t="n">
        <f aca="false">F806^2</f>
        <v>2415.85759623215</v>
      </c>
      <c r="J806" s="6" t="n">
        <f aca="false">A806</f>
        <v>805</v>
      </c>
      <c r="K806" s="13" t="n">
        <f aca="false">SMALL($G$2:$G$1387,J806)</f>
        <v>0.203435288132858</v>
      </c>
      <c r="L806" s="18" t="n">
        <f aca="false">(J806-0.5)/1386</f>
        <v>0.58044733044733</v>
      </c>
      <c r="M806" s="18" t="n">
        <f aca="false">_xlfn.NORM.DIST(K806,AVERAGE($G$2:$G$1387),_xlfn.STDEV.S($G$2:$G$1387),TRUE())</f>
        <v>0.580804238273089</v>
      </c>
    </row>
    <row r="807" customFormat="false" ht="15" hidden="false" customHeight="false" outlineLevel="0" collapsed="false">
      <c r="A807" s="0" t="n">
        <f aca="false">ROW()-1</f>
        <v>806</v>
      </c>
      <c r="B807" s="0" t="str">
        <f aca="false">'Analysis Data'!A807</f>
        <v>Columbus Circle</v>
      </c>
      <c r="C807" s="5" t="n">
        <f aca="false">'Analysis Data'!B807</f>
        <v>40316</v>
      </c>
      <c r="D807" s="6" t="n">
        <f aca="false">'Analysis Data'!C807</f>
        <v>294.082433742423</v>
      </c>
      <c r="E807" s="15" t="n">
        <f aca="false">SUMPRODUCT('Final Model'!$B$45:$I$45,'Analysis Data'!N807:U807)</f>
        <v>185.660126129102</v>
      </c>
      <c r="F807" s="15" t="n">
        <f aca="false">D807-E807</f>
        <v>108.422307613321</v>
      </c>
      <c r="G807" s="13" t="n">
        <f aca="false">F807/'Final Model'!$B$21</f>
        <v>2.21125513873074</v>
      </c>
      <c r="H807" s="6" t="n">
        <f aca="false">F807^2</f>
        <v>11755.3967881975</v>
      </c>
      <c r="J807" s="6" t="n">
        <f aca="false">A807</f>
        <v>806</v>
      </c>
      <c r="K807" s="13" t="n">
        <f aca="false">SMALL($G$2:$G$1387,J807)</f>
        <v>0.20461721373376</v>
      </c>
      <c r="L807" s="18" t="n">
        <f aca="false">(J807-0.5)/1386</f>
        <v>0.581168831168831</v>
      </c>
      <c r="M807" s="18" t="n">
        <f aca="false">_xlfn.NORM.DIST(K807,AVERAGE($G$2:$G$1387),_xlfn.STDEV.S($G$2:$G$1387),TRUE())</f>
        <v>0.581267168369537</v>
      </c>
    </row>
    <row r="808" customFormat="false" ht="15" hidden="false" customHeight="false" outlineLevel="0" collapsed="false">
      <c r="A808" s="0" t="n">
        <f aca="false">ROW()-1</f>
        <v>807</v>
      </c>
      <c r="B808" s="0" t="str">
        <f aca="false">'Analysis Data'!A808</f>
        <v>Columbus Circle</v>
      </c>
      <c r="C808" s="5" t="n">
        <f aca="false">'Analysis Data'!B808</f>
        <v>40323</v>
      </c>
      <c r="D808" s="6" t="n">
        <f aca="false">'Analysis Data'!C808</f>
        <v>337.729749040516</v>
      </c>
      <c r="E808" s="15" t="n">
        <f aca="false">SUMPRODUCT('Final Model'!$B$45:$I$45,'Analysis Data'!N808:U808)</f>
        <v>249.440586856555</v>
      </c>
      <c r="F808" s="15" t="n">
        <f aca="false">D808-E808</f>
        <v>88.2891621839608</v>
      </c>
      <c r="G808" s="13" t="n">
        <f aca="false">F808/'Final Model'!$B$21</f>
        <v>1.80064294766522</v>
      </c>
      <c r="H808" s="6" t="n">
        <f aca="false">F808^2</f>
        <v>7794.97615914573</v>
      </c>
      <c r="J808" s="6" t="n">
        <f aca="false">A808</f>
        <v>807</v>
      </c>
      <c r="K808" s="13" t="n">
        <f aca="false">SMALL($G$2:$G$1387,J808)</f>
        <v>0.209360617193541</v>
      </c>
      <c r="L808" s="18" t="n">
        <f aca="false">(J808-0.5)/1386</f>
        <v>0.581890331890332</v>
      </c>
      <c r="M808" s="18" t="n">
        <f aca="false">_xlfn.NORM.DIST(K808,AVERAGE($G$2:$G$1387),_xlfn.STDEV.S($G$2:$G$1387),TRUE())</f>
        <v>0.583123900325676</v>
      </c>
    </row>
    <row r="809" customFormat="false" ht="15" hidden="false" customHeight="false" outlineLevel="0" collapsed="false">
      <c r="A809" s="0" t="n">
        <f aca="false">ROW()-1</f>
        <v>808</v>
      </c>
      <c r="B809" s="0" t="str">
        <f aca="false">'Analysis Data'!A809</f>
        <v>Columbus Circle</v>
      </c>
      <c r="C809" s="5" t="n">
        <f aca="false">'Analysis Data'!B809</f>
        <v>40330</v>
      </c>
      <c r="D809" s="6" t="n">
        <f aca="false">'Analysis Data'!C809</f>
        <v>198.84945852895</v>
      </c>
      <c r="E809" s="15" t="n">
        <f aca="false">SUMPRODUCT('Final Model'!$B$45:$I$45,'Analysis Data'!N809:U809)</f>
        <v>249.440586856555</v>
      </c>
      <c r="F809" s="15" t="n">
        <f aca="false">D809-E809</f>
        <v>-50.5911283276044</v>
      </c>
      <c r="G809" s="13" t="n">
        <f aca="false">F809/'Final Model'!$B$21</f>
        <v>-1.03179774486609</v>
      </c>
      <c r="H809" s="6" t="n">
        <f aca="false">F809^2</f>
        <v>2559.46226546014</v>
      </c>
      <c r="J809" s="6" t="n">
        <f aca="false">A809</f>
        <v>808</v>
      </c>
      <c r="K809" s="13" t="n">
        <f aca="false">SMALL($G$2:$G$1387,J809)</f>
        <v>0.21615820964296</v>
      </c>
      <c r="L809" s="18" t="n">
        <f aca="false">(J809-0.5)/1386</f>
        <v>0.582611832611833</v>
      </c>
      <c r="M809" s="18" t="n">
        <f aca="false">_xlfn.NORM.DIST(K809,AVERAGE($G$2:$G$1387),_xlfn.STDEV.S($G$2:$G$1387),TRUE())</f>
        <v>0.58578147344205</v>
      </c>
    </row>
    <row r="810" customFormat="false" ht="15" hidden="false" customHeight="false" outlineLevel="0" collapsed="false">
      <c r="A810" s="0" t="n">
        <f aca="false">ROW()-1</f>
        <v>809</v>
      </c>
      <c r="B810" s="0" t="str">
        <f aca="false">'Analysis Data'!A810</f>
        <v>Columbus Circle</v>
      </c>
      <c r="C810" s="5" t="n">
        <f aca="false">'Analysis Data'!B810</f>
        <v>40337</v>
      </c>
      <c r="D810" s="6" t="n">
        <f aca="false">'Analysis Data'!C810</f>
        <v>224.22524285786</v>
      </c>
      <c r="E810" s="15" t="n">
        <f aca="false">SUMPRODUCT('Final Model'!$B$45:$I$45,'Analysis Data'!N810:U810)</f>
        <v>243.262008438672</v>
      </c>
      <c r="F810" s="15" t="n">
        <f aca="false">D810-E810</f>
        <v>-19.036765580812</v>
      </c>
      <c r="G810" s="13" t="n">
        <f aca="false">F810/'Final Model'!$B$21</f>
        <v>-0.388251704303435</v>
      </c>
      <c r="H810" s="6" t="n">
        <f aca="false">F810^2</f>
        <v>362.39844377879</v>
      </c>
      <c r="J810" s="6" t="n">
        <f aca="false">A810</f>
        <v>809</v>
      </c>
      <c r="K810" s="13" t="n">
        <f aca="false">SMALL($G$2:$G$1387,J810)</f>
        <v>0.223810617363052</v>
      </c>
      <c r="L810" s="18" t="n">
        <f aca="false">(J810-0.5)/1386</f>
        <v>0.583333333333333</v>
      </c>
      <c r="M810" s="18" t="n">
        <f aca="false">_xlfn.NORM.DIST(K810,AVERAGE($G$2:$G$1387),_xlfn.STDEV.S($G$2:$G$1387),TRUE())</f>
        <v>0.588768544908416</v>
      </c>
    </row>
    <row r="811" customFormat="false" ht="15" hidden="false" customHeight="false" outlineLevel="0" collapsed="false">
      <c r="A811" s="0" t="n">
        <f aca="false">ROW()-1</f>
        <v>810</v>
      </c>
      <c r="B811" s="0" t="str">
        <f aca="false">'Analysis Data'!A811</f>
        <v>Columbus Circle</v>
      </c>
      <c r="C811" s="5" t="n">
        <f aca="false">'Analysis Data'!B811</f>
        <v>40344</v>
      </c>
      <c r="D811" s="6" t="n">
        <f aca="false">'Analysis Data'!C811</f>
        <v>258.85789097402</v>
      </c>
      <c r="E811" s="15" t="n">
        <f aca="false">SUMPRODUCT('Final Model'!$B$45:$I$45,'Analysis Data'!N811:U811)</f>
        <v>243.262008438672</v>
      </c>
      <c r="F811" s="15" t="n">
        <f aca="false">D811-E811</f>
        <v>15.5958825353488</v>
      </c>
      <c r="G811" s="13" t="n">
        <f aca="false">F811/'Final Model'!$B$21</f>
        <v>0.318075460285572</v>
      </c>
      <c r="H811" s="6" t="n">
        <f aca="false">F811^2</f>
        <v>243.231552056396</v>
      </c>
      <c r="J811" s="6" t="n">
        <f aca="false">A811</f>
        <v>810</v>
      </c>
      <c r="K811" s="13" t="n">
        <f aca="false">SMALL($G$2:$G$1387,J811)</f>
        <v>0.224898207108588</v>
      </c>
      <c r="L811" s="18" t="n">
        <f aca="false">(J811-0.5)/1386</f>
        <v>0.584054834054834</v>
      </c>
      <c r="M811" s="18" t="n">
        <f aca="false">_xlfn.NORM.DIST(K811,AVERAGE($G$2:$G$1387),_xlfn.STDEV.S($G$2:$G$1387),TRUE())</f>
        <v>0.589192665950059</v>
      </c>
    </row>
    <row r="812" customFormat="false" ht="15" hidden="false" customHeight="false" outlineLevel="0" collapsed="false">
      <c r="A812" s="0" t="n">
        <f aca="false">ROW()-1</f>
        <v>811</v>
      </c>
      <c r="B812" s="0" t="str">
        <f aca="false">'Analysis Data'!A812</f>
        <v>Columbus Circle</v>
      </c>
      <c r="C812" s="5" t="n">
        <f aca="false">'Analysis Data'!B812</f>
        <v>40351</v>
      </c>
      <c r="D812" s="6" t="n">
        <f aca="false">'Analysis Data'!C812</f>
        <v>259.401734767679</v>
      </c>
      <c r="E812" s="15" t="n">
        <f aca="false">SUMPRODUCT('Final Model'!$B$45:$I$45,'Analysis Data'!N812:U812)</f>
        <v>252.158600941294</v>
      </c>
      <c r="F812" s="15" t="n">
        <f aca="false">D812-E812</f>
        <v>7.24313382638482</v>
      </c>
      <c r="G812" s="13" t="n">
        <f aca="false">F812/'Final Model'!$B$21</f>
        <v>0.147722523590156</v>
      </c>
      <c r="H812" s="6" t="n">
        <f aca="false">F812^2</f>
        <v>52.46298762692</v>
      </c>
      <c r="J812" s="6" t="n">
        <f aca="false">A812</f>
        <v>811</v>
      </c>
      <c r="K812" s="13" t="n">
        <f aca="false">SMALL($G$2:$G$1387,J812)</f>
        <v>0.226815449683675</v>
      </c>
      <c r="L812" s="18" t="n">
        <f aca="false">(J812-0.5)/1386</f>
        <v>0.584776334776335</v>
      </c>
      <c r="M812" s="18" t="n">
        <f aca="false">_xlfn.NORM.DIST(K812,AVERAGE($G$2:$G$1387),_xlfn.STDEV.S($G$2:$G$1387),TRUE())</f>
        <v>0.589940067701538</v>
      </c>
    </row>
    <row r="813" customFormat="false" ht="15" hidden="false" customHeight="false" outlineLevel="0" collapsed="false">
      <c r="A813" s="0" t="n">
        <f aca="false">ROW()-1</f>
        <v>812</v>
      </c>
      <c r="B813" s="0" t="str">
        <f aca="false">'Analysis Data'!A813</f>
        <v>Columbus Circle</v>
      </c>
      <c r="C813" s="5" t="n">
        <f aca="false">'Analysis Data'!B813</f>
        <v>40358</v>
      </c>
      <c r="D813" s="6" t="n">
        <f aca="false">'Analysis Data'!C813</f>
        <v>206.174593167848</v>
      </c>
      <c r="E813" s="15" t="n">
        <f aca="false">SUMPRODUCT('Final Model'!$B$45:$I$45,'Analysis Data'!N813:U813)</f>
        <v>249.231744595054</v>
      </c>
      <c r="F813" s="15" t="n">
        <f aca="false">D813-E813</f>
        <v>-43.0571514272059</v>
      </c>
      <c r="G813" s="13" t="n">
        <f aca="false">F813/'Final Model'!$B$21</f>
        <v>-0.878143524597139</v>
      </c>
      <c r="H813" s="6" t="n">
        <f aca="false">F813^2</f>
        <v>1853.91828902534</v>
      </c>
      <c r="J813" s="6" t="n">
        <f aca="false">A813</f>
        <v>812</v>
      </c>
      <c r="K813" s="13" t="n">
        <f aca="false">SMALL($G$2:$G$1387,J813)</f>
        <v>0.232903067515496</v>
      </c>
      <c r="L813" s="18" t="n">
        <f aca="false">(J813-0.5)/1386</f>
        <v>0.585497835497836</v>
      </c>
      <c r="M813" s="18" t="n">
        <f aca="false">_xlfn.NORM.DIST(K813,AVERAGE($G$2:$G$1387),_xlfn.STDEV.S($G$2:$G$1387),TRUE())</f>
        <v>0.592311036124459</v>
      </c>
    </row>
    <row r="814" customFormat="false" ht="15" hidden="false" customHeight="false" outlineLevel="0" collapsed="false">
      <c r="A814" s="0" t="n">
        <f aca="false">ROW()-1</f>
        <v>813</v>
      </c>
      <c r="B814" s="0" t="str">
        <f aca="false">'Analysis Data'!A814</f>
        <v>Columbus Circle</v>
      </c>
      <c r="C814" s="5" t="n">
        <f aca="false">'Analysis Data'!B814</f>
        <v>40365</v>
      </c>
      <c r="D814" s="6" t="n">
        <f aca="false">'Analysis Data'!C814</f>
        <v>304.468359547576</v>
      </c>
      <c r="E814" s="15" t="n">
        <f aca="false">SUMPRODUCT('Final Model'!$B$45:$I$45,'Analysis Data'!N814:U814)</f>
        <v>262.97111317259</v>
      </c>
      <c r="F814" s="15" t="n">
        <f aca="false">D814-E814</f>
        <v>41.4972463749867</v>
      </c>
      <c r="G814" s="13" t="n">
        <f aca="false">F814/'Final Model'!$B$21</f>
        <v>0.846329517511497</v>
      </c>
      <c r="H814" s="6" t="n">
        <f aca="false">F814^2</f>
        <v>1722.02145670634</v>
      </c>
      <c r="J814" s="6" t="n">
        <f aca="false">A814</f>
        <v>813</v>
      </c>
      <c r="K814" s="13" t="n">
        <f aca="false">SMALL($G$2:$G$1387,J814)</f>
        <v>0.233218165967411</v>
      </c>
      <c r="L814" s="18" t="n">
        <f aca="false">(J814-0.5)/1386</f>
        <v>0.586219336219336</v>
      </c>
      <c r="M814" s="18" t="n">
        <f aca="false">_xlfn.NORM.DIST(K814,AVERAGE($G$2:$G$1387),_xlfn.STDEV.S($G$2:$G$1387),TRUE())</f>
        <v>0.592433667571961</v>
      </c>
    </row>
    <row r="815" customFormat="false" ht="15" hidden="false" customHeight="false" outlineLevel="0" collapsed="false">
      <c r="A815" s="0" t="n">
        <f aca="false">ROW()-1</f>
        <v>814</v>
      </c>
      <c r="B815" s="0" t="str">
        <f aca="false">'Analysis Data'!A815</f>
        <v>Columbus Circle</v>
      </c>
      <c r="C815" s="5" t="n">
        <f aca="false">'Analysis Data'!B815</f>
        <v>40372</v>
      </c>
      <c r="D815" s="6" t="n">
        <f aca="false">'Analysis Data'!C815</f>
        <v>331.181811798126</v>
      </c>
      <c r="E815" s="15" t="n">
        <f aca="false">SUMPRODUCT('Final Model'!$B$45:$I$45,'Analysis Data'!N815:U815)</f>
        <v>266.592446631731</v>
      </c>
      <c r="F815" s="15" t="n">
        <f aca="false">D815-E815</f>
        <v>64.5893651663951</v>
      </c>
      <c r="G815" s="13" t="n">
        <f aca="false">F815/'Final Model'!$B$21</f>
        <v>1.31728948382943</v>
      </c>
      <c r="H815" s="6" t="n">
        <f aca="false">F815^2</f>
        <v>4171.78609259793</v>
      </c>
      <c r="J815" s="6" t="n">
        <f aca="false">A815</f>
        <v>814</v>
      </c>
      <c r="K815" s="13" t="n">
        <f aca="false">SMALL($G$2:$G$1387,J815)</f>
        <v>0.235557213069536</v>
      </c>
      <c r="L815" s="18" t="n">
        <f aca="false">(J815-0.5)/1386</f>
        <v>0.586940836940837</v>
      </c>
      <c r="M815" s="18" t="n">
        <f aca="false">_xlfn.NORM.DIST(K815,AVERAGE($G$2:$G$1387),_xlfn.STDEV.S($G$2:$G$1387),TRUE())</f>
        <v>0.59334370461631</v>
      </c>
    </row>
    <row r="816" customFormat="false" ht="15" hidden="false" customHeight="false" outlineLevel="0" collapsed="false">
      <c r="A816" s="0" t="n">
        <f aca="false">ROW()-1</f>
        <v>815</v>
      </c>
      <c r="B816" s="0" t="str">
        <f aca="false">'Analysis Data'!A816</f>
        <v>Edgewater</v>
      </c>
      <c r="C816" s="5" t="n">
        <f aca="false">'Analysis Data'!B816</f>
        <v>40302</v>
      </c>
      <c r="D816" s="6" t="n">
        <f aca="false">'Analysis Data'!C816</f>
        <v>280.665061517423</v>
      </c>
      <c r="E816" s="15" t="n">
        <f aca="false">SUMPRODUCT('Final Model'!$B$45:$I$45,'Analysis Data'!N816:U816)</f>
        <v>258.115740982185</v>
      </c>
      <c r="F816" s="15" t="n">
        <f aca="false">D816-E816</f>
        <v>22.5493205352373</v>
      </c>
      <c r="G816" s="13" t="n">
        <f aca="false">F816/'Final Model'!$B$21</f>
        <v>0.45988968512144</v>
      </c>
      <c r="H816" s="6" t="n">
        <f aca="false">F816^2</f>
        <v>508.471856600873</v>
      </c>
      <c r="J816" s="6" t="n">
        <f aca="false">A816</f>
        <v>815</v>
      </c>
      <c r="K816" s="13" t="n">
        <f aca="false">SMALL($G$2:$G$1387,J816)</f>
        <v>0.236602965144228</v>
      </c>
      <c r="L816" s="18" t="n">
        <f aca="false">(J816-0.5)/1386</f>
        <v>0.587662337662338</v>
      </c>
      <c r="M816" s="18" t="n">
        <f aca="false">_xlfn.NORM.DIST(K816,AVERAGE($G$2:$G$1387),_xlfn.STDEV.S($G$2:$G$1387),TRUE())</f>
        <v>0.593750405521286</v>
      </c>
    </row>
    <row r="817" customFormat="false" ht="15" hidden="false" customHeight="false" outlineLevel="0" collapsed="false">
      <c r="A817" s="0" t="n">
        <f aca="false">ROW()-1</f>
        <v>816</v>
      </c>
      <c r="B817" s="0" t="str">
        <f aca="false">'Analysis Data'!A817</f>
        <v>Edgewater</v>
      </c>
      <c r="C817" s="5" t="n">
        <f aca="false">'Analysis Data'!B817</f>
        <v>40309</v>
      </c>
      <c r="D817" s="6" t="n">
        <f aca="false">'Analysis Data'!C817</f>
        <v>340.355661813914</v>
      </c>
      <c r="E817" s="15" t="n">
        <f aca="false">SUMPRODUCT('Final Model'!$B$45:$I$45,'Analysis Data'!N817:U817)</f>
        <v>259.297912524947</v>
      </c>
      <c r="F817" s="15" t="n">
        <f aca="false">D817-E817</f>
        <v>81.0577492889673</v>
      </c>
      <c r="G817" s="13" t="n">
        <f aca="false">F817/'Final Model'!$B$21</f>
        <v>1.65315947054382</v>
      </c>
      <c r="H817" s="6" t="n">
        <f aca="false">F817^2</f>
        <v>6570.35871979308</v>
      </c>
      <c r="J817" s="6" t="n">
        <f aca="false">A817</f>
        <v>816</v>
      </c>
      <c r="K817" s="13" t="n">
        <f aca="false">SMALL($G$2:$G$1387,J817)</f>
        <v>0.237846852998503</v>
      </c>
      <c r="L817" s="18" t="n">
        <f aca="false">(J817-0.5)/1386</f>
        <v>0.588383838383838</v>
      </c>
      <c r="M817" s="18" t="n">
        <f aca="false">_xlfn.NORM.DIST(K817,AVERAGE($G$2:$G$1387),_xlfn.STDEV.S($G$2:$G$1387),TRUE())</f>
        <v>0.594234031213883</v>
      </c>
    </row>
    <row r="818" customFormat="false" ht="15" hidden="false" customHeight="false" outlineLevel="0" collapsed="false">
      <c r="A818" s="0" t="n">
        <f aca="false">ROW()-1</f>
        <v>817</v>
      </c>
      <c r="B818" s="0" t="str">
        <f aca="false">'Analysis Data'!A818</f>
        <v>Edgewater</v>
      </c>
      <c r="C818" s="5" t="n">
        <f aca="false">'Analysis Data'!B818</f>
        <v>40316</v>
      </c>
      <c r="D818" s="6" t="n">
        <f aca="false">'Analysis Data'!C818</f>
        <v>293.192482907672</v>
      </c>
      <c r="E818" s="15" t="n">
        <f aca="false">SUMPRODUCT('Final Model'!$B$45:$I$45,'Analysis Data'!N818:U818)</f>
        <v>264.073701445639</v>
      </c>
      <c r="F818" s="15" t="n">
        <f aca="false">D818-E818</f>
        <v>29.1187814620329</v>
      </c>
      <c r="G818" s="13" t="n">
        <f aca="false">F818/'Final Model'!$B$21</f>
        <v>0.59387276067888</v>
      </c>
      <c r="H818" s="6" t="n">
        <f aca="false">F818^2</f>
        <v>847.903433833629</v>
      </c>
      <c r="J818" s="6" t="n">
        <f aca="false">A818</f>
        <v>817</v>
      </c>
      <c r="K818" s="13" t="n">
        <f aca="false">SMALL($G$2:$G$1387,J818)</f>
        <v>0.238448005095335</v>
      </c>
      <c r="L818" s="18" t="n">
        <f aca="false">(J818-0.5)/1386</f>
        <v>0.589105339105339</v>
      </c>
      <c r="M818" s="18" t="n">
        <f aca="false">_xlfn.NORM.DIST(K818,AVERAGE($G$2:$G$1387),_xlfn.STDEV.S($G$2:$G$1387),TRUE())</f>
        <v>0.594467708668026</v>
      </c>
    </row>
    <row r="819" customFormat="false" ht="15" hidden="false" customHeight="false" outlineLevel="0" collapsed="false">
      <c r="A819" s="0" t="n">
        <f aca="false">ROW()-1</f>
        <v>818</v>
      </c>
      <c r="B819" s="0" t="str">
        <f aca="false">'Analysis Data'!A819</f>
        <v>Edgewater</v>
      </c>
      <c r="C819" s="5" t="n">
        <f aca="false">'Analysis Data'!B819</f>
        <v>40323</v>
      </c>
      <c r="D819" s="6" t="n">
        <f aca="false">'Analysis Data'!C819</f>
        <v>247.648212891632</v>
      </c>
      <c r="E819" s="15" t="n">
        <f aca="false">SUMPRODUCT('Final Model'!$B$45:$I$45,'Analysis Data'!N819:U819)</f>
        <v>242.536971172196</v>
      </c>
      <c r="F819" s="15" t="n">
        <f aca="false">D819-E819</f>
        <v>5.11124171943538</v>
      </c>
      <c r="G819" s="13" t="n">
        <f aca="false">F819/'Final Model'!$B$21</f>
        <v>0.104242934560155</v>
      </c>
      <c r="H819" s="6" t="n">
        <f aca="false">F819^2</f>
        <v>26.1247919144968</v>
      </c>
      <c r="J819" s="6" t="n">
        <f aca="false">A819</f>
        <v>818</v>
      </c>
      <c r="K819" s="13" t="n">
        <f aca="false">SMALL($G$2:$G$1387,J819)</f>
        <v>0.238553224379574</v>
      </c>
      <c r="L819" s="18" t="n">
        <f aca="false">(J819-0.5)/1386</f>
        <v>0.58982683982684</v>
      </c>
      <c r="M819" s="18" t="n">
        <f aca="false">_xlfn.NORM.DIST(K819,AVERAGE($G$2:$G$1387),_xlfn.STDEV.S($G$2:$G$1387),TRUE())</f>
        <v>0.594508605630589</v>
      </c>
    </row>
    <row r="820" customFormat="false" ht="15" hidden="false" customHeight="false" outlineLevel="0" collapsed="false">
      <c r="A820" s="0" t="n">
        <f aca="false">ROW()-1</f>
        <v>819</v>
      </c>
      <c r="B820" s="0" t="str">
        <f aca="false">'Analysis Data'!A820</f>
        <v>Edgewater</v>
      </c>
      <c r="C820" s="5" t="n">
        <f aca="false">'Analysis Data'!B820</f>
        <v>40330</v>
      </c>
      <c r="D820" s="6" t="n">
        <f aca="false">'Analysis Data'!C820</f>
        <v>236.229835959744</v>
      </c>
      <c r="E820" s="15" t="n">
        <f aca="false">SUMPRODUCT('Final Model'!$B$45:$I$45,'Analysis Data'!N820:U820)</f>
        <v>237.702075940254</v>
      </c>
      <c r="F820" s="15" t="n">
        <f aca="false">D820-E820</f>
        <v>-1.4722399805103</v>
      </c>
      <c r="G820" s="13" t="n">
        <f aca="false">F820/'Final Model'!$B$21</f>
        <v>-0.0300260923606118</v>
      </c>
      <c r="H820" s="6" t="n">
        <f aca="false">F820^2</f>
        <v>2.16749056021295</v>
      </c>
      <c r="J820" s="6" t="n">
        <f aca="false">A820</f>
        <v>819</v>
      </c>
      <c r="K820" s="13" t="n">
        <f aca="false">SMALL($G$2:$G$1387,J820)</f>
        <v>0.23893399805056</v>
      </c>
      <c r="L820" s="18" t="n">
        <f aca="false">(J820-0.5)/1386</f>
        <v>0.590548340548341</v>
      </c>
      <c r="M820" s="18" t="n">
        <f aca="false">_xlfn.NORM.DIST(K820,AVERAGE($G$2:$G$1387),_xlfn.STDEV.S($G$2:$G$1387),TRUE())</f>
        <v>0.594656597313642</v>
      </c>
    </row>
    <row r="821" customFormat="false" ht="15" hidden="false" customHeight="false" outlineLevel="0" collapsed="false">
      <c r="A821" s="0" t="n">
        <f aca="false">ROW()-1</f>
        <v>820</v>
      </c>
      <c r="B821" s="0" t="str">
        <f aca="false">'Analysis Data'!A821</f>
        <v>Edgewater</v>
      </c>
      <c r="C821" s="5" t="n">
        <f aca="false">'Analysis Data'!B821</f>
        <v>40337</v>
      </c>
      <c r="D821" s="6" t="n">
        <f aca="false">'Analysis Data'!C821</f>
        <v>272.235643453488</v>
      </c>
      <c r="E821" s="15" t="n">
        <f aca="false">SUMPRODUCT('Final Model'!$B$45:$I$45,'Analysis Data'!N821:U821)</f>
        <v>231.598365497497</v>
      </c>
      <c r="F821" s="15" t="n">
        <f aca="false">D821-E821</f>
        <v>40.6372779559909</v>
      </c>
      <c r="G821" s="13" t="n">
        <f aca="false">F821/'Final Model'!$B$21</f>
        <v>0.828790602988182</v>
      </c>
      <c r="H821" s="6" t="n">
        <f aca="false">F821^2</f>
        <v>1651.38835967247</v>
      </c>
      <c r="J821" s="6" t="n">
        <f aca="false">A821</f>
        <v>820</v>
      </c>
      <c r="K821" s="13" t="n">
        <f aca="false">SMALL($G$2:$G$1387,J821)</f>
        <v>0.242413733642328</v>
      </c>
      <c r="L821" s="18" t="n">
        <f aca="false">(J821-0.5)/1386</f>
        <v>0.591269841269841</v>
      </c>
      <c r="M821" s="18" t="n">
        <f aca="false">_xlfn.NORM.DIST(K821,AVERAGE($G$2:$G$1387),_xlfn.STDEV.S($G$2:$G$1387),TRUE())</f>
        <v>0.596008403626639</v>
      </c>
    </row>
    <row r="822" customFormat="false" ht="15" hidden="false" customHeight="false" outlineLevel="0" collapsed="false">
      <c r="A822" s="0" t="n">
        <f aca="false">ROW()-1</f>
        <v>821</v>
      </c>
      <c r="B822" s="0" t="str">
        <f aca="false">'Analysis Data'!A822</f>
        <v>Edgewater</v>
      </c>
      <c r="C822" s="5" t="n">
        <f aca="false">'Analysis Data'!B822</f>
        <v>40344</v>
      </c>
      <c r="D822" s="6" t="n">
        <f aca="false">'Analysis Data'!C822</f>
        <v>183.675207762487</v>
      </c>
      <c r="E822" s="15" t="n">
        <f aca="false">SUMPRODUCT('Final Model'!$B$45:$I$45,'Analysis Data'!N822:U822)</f>
        <v>244.207709220071</v>
      </c>
      <c r="F822" s="15" t="n">
        <f aca="false">D822-E822</f>
        <v>-60.5325014575842</v>
      </c>
      <c r="G822" s="13" t="n">
        <f aca="false">F822/'Final Model'!$B$21</f>
        <v>-1.23455041545218</v>
      </c>
      <c r="H822" s="6" t="n">
        <f aca="false">F822^2</f>
        <v>3664.18373271243</v>
      </c>
      <c r="J822" s="6" t="n">
        <f aca="false">A822</f>
        <v>821</v>
      </c>
      <c r="K822" s="13" t="n">
        <f aca="false">SMALL($G$2:$G$1387,J822)</f>
        <v>0.242664772893324</v>
      </c>
      <c r="L822" s="18" t="n">
        <f aca="false">(J822-0.5)/1386</f>
        <v>0.591991341991342</v>
      </c>
      <c r="M822" s="18" t="n">
        <f aca="false">_xlfn.NORM.DIST(K822,AVERAGE($G$2:$G$1387),_xlfn.STDEV.S($G$2:$G$1387),TRUE())</f>
        <v>0.596105883136185</v>
      </c>
    </row>
    <row r="823" customFormat="false" ht="15" hidden="false" customHeight="false" outlineLevel="0" collapsed="false">
      <c r="A823" s="0" t="n">
        <f aca="false">ROW()-1</f>
        <v>822</v>
      </c>
      <c r="B823" s="0" t="str">
        <f aca="false">'Analysis Data'!A823</f>
        <v>Edgewater</v>
      </c>
      <c r="C823" s="5" t="n">
        <f aca="false">'Analysis Data'!B823</f>
        <v>40351</v>
      </c>
      <c r="D823" s="6" t="n">
        <f aca="false">'Analysis Data'!C823</f>
        <v>252.506659121916</v>
      </c>
      <c r="E823" s="15" t="n">
        <f aca="false">SUMPRODUCT('Final Model'!$B$45:$I$45,'Analysis Data'!N823:U823)</f>
        <v>243.577242025116</v>
      </c>
      <c r="F823" s="15" t="n">
        <f aca="false">D823-E823</f>
        <v>8.92941709679988</v>
      </c>
      <c r="G823" s="13" t="n">
        <f aca="false">F823/'Final Model'!$B$21</f>
        <v>0.182113993658838</v>
      </c>
      <c r="H823" s="6" t="n">
        <f aca="false">F823^2</f>
        <v>79.734489688622</v>
      </c>
      <c r="J823" s="6" t="n">
        <f aca="false">A823</f>
        <v>822</v>
      </c>
      <c r="K823" s="13" t="n">
        <f aca="false">SMALL($G$2:$G$1387,J823)</f>
        <v>0.24488842808876</v>
      </c>
      <c r="L823" s="18" t="n">
        <f aca="false">(J823-0.5)/1386</f>
        <v>0.592712842712843</v>
      </c>
      <c r="M823" s="18" t="n">
        <f aca="false">_xlfn.NORM.DIST(K823,AVERAGE($G$2:$G$1387),_xlfn.STDEV.S($G$2:$G$1387),TRUE())</f>
        <v>0.596969075792145</v>
      </c>
    </row>
    <row r="824" customFormat="false" ht="15" hidden="false" customHeight="false" outlineLevel="0" collapsed="false">
      <c r="A824" s="0" t="n">
        <f aca="false">ROW()-1</f>
        <v>823</v>
      </c>
      <c r="B824" s="0" t="str">
        <f aca="false">'Analysis Data'!A824</f>
        <v>Edgewater</v>
      </c>
      <c r="C824" s="5" t="n">
        <f aca="false">'Analysis Data'!B824</f>
        <v>40358</v>
      </c>
      <c r="D824" s="6" t="n">
        <f aca="false">'Analysis Data'!C824</f>
        <v>289.860531375412</v>
      </c>
      <c r="E824" s="15" t="n">
        <f aca="false">SUMPRODUCT('Final Model'!$B$45:$I$45,'Analysis Data'!N824:U824)</f>
        <v>244.207709220071</v>
      </c>
      <c r="F824" s="15" t="n">
        <f aca="false">D824-E824</f>
        <v>45.6528221553404</v>
      </c>
      <c r="G824" s="13" t="n">
        <f aca="false">F824/'Final Model'!$B$21</f>
        <v>0.931081802359225</v>
      </c>
      <c r="H824" s="6" t="n">
        <f aca="false">F824^2</f>
        <v>2084.18017074714</v>
      </c>
      <c r="J824" s="6" t="n">
        <f aca="false">A824</f>
        <v>823</v>
      </c>
      <c r="K824" s="13" t="n">
        <f aca="false">SMALL($G$2:$G$1387,J824)</f>
        <v>0.245887033755902</v>
      </c>
      <c r="L824" s="18" t="n">
        <f aca="false">(J824-0.5)/1386</f>
        <v>0.593434343434343</v>
      </c>
      <c r="M824" s="18" t="n">
        <f aca="false">_xlfn.NORM.DIST(K824,AVERAGE($G$2:$G$1387),_xlfn.STDEV.S($G$2:$G$1387),TRUE())</f>
        <v>0.597356567470663</v>
      </c>
    </row>
    <row r="825" customFormat="false" ht="15" hidden="false" customHeight="false" outlineLevel="0" collapsed="false">
      <c r="A825" s="0" t="n">
        <f aca="false">ROW()-1</f>
        <v>824</v>
      </c>
      <c r="B825" s="0" t="str">
        <f aca="false">'Analysis Data'!A825</f>
        <v>Edgewater</v>
      </c>
      <c r="C825" s="5" t="n">
        <f aca="false">'Analysis Data'!B825</f>
        <v>40365</v>
      </c>
      <c r="D825" s="6" t="n">
        <f aca="false">'Analysis Data'!C825</f>
        <v>200.913864350894</v>
      </c>
      <c r="E825" s="15" t="n">
        <f aca="false">SUMPRODUCT('Final Model'!$B$45:$I$45,'Analysis Data'!N825:U825)</f>
        <v>252.624446137016</v>
      </c>
      <c r="F825" s="15" t="n">
        <f aca="false">D825-E825</f>
        <v>-51.710581786122</v>
      </c>
      <c r="G825" s="13" t="n">
        <f aca="false">F825/'Final Model'!$B$21</f>
        <v>-1.05462881411011</v>
      </c>
      <c r="H825" s="6" t="n">
        <f aca="false">F825^2</f>
        <v>2673.98426865921</v>
      </c>
      <c r="J825" s="6" t="n">
        <f aca="false">A825</f>
        <v>824</v>
      </c>
      <c r="K825" s="13" t="n">
        <f aca="false">SMALL($G$2:$G$1387,J825)</f>
        <v>0.247795950656986</v>
      </c>
      <c r="L825" s="18" t="n">
        <f aca="false">(J825-0.5)/1386</f>
        <v>0.594155844155844</v>
      </c>
      <c r="M825" s="18" t="n">
        <f aca="false">_xlfn.NORM.DIST(K825,AVERAGE($G$2:$G$1387),_xlfn.STDEV.S($G$2:$G$1387),TRUE())</f>
        <v>0.598097023298334</v>
      </c>
    </row>
    <row r="826" customFormat="false" ht="15" hidden="false" customHeight="false" outlineLevel="0" collapsed="false">
      <c r="A826" s="0" t="n">
        <f aca="false">ROW()-1</f>
        <v>825</v>
      </c>
      <c r="B826" s="0" t="str">
        <f aca="false">'Analysis Data'!A826</f>
        <v>Edgewater</v>
      </c>
      <c r="C826" s="5" t="n">
        <f aca="false">'Analysis Data'!B826</f>
        <v>40372</v>
      </c>
      <c r="D826" s="6" t="n">
        <f aca="false">'Analysis Data'!C826</f>
        <v>135.167376186512</v>
      </c>
      <c r="E826" s="15" t="n">
        <f aca="false">SUMPRODUCT('Final Model'!$B$45:$I$45,'Analysis Data'!N826:U826)</f>
        <v>252.624446137016</v>
      </c>
      <c r="F826" s="15" t="n">
        <f aca="false">D826-E826</f>
        <v>-117.457069950505</v>
      </c>
      <c r="G826" s="13" t="n">
        <f aca="false">F826/'Final Model'!$B$21</f>
        <v>-2.39551763124805</v>
      </c>
      <c r="H826" s="6" t="n">
        <f aca="false">F826^2</f>
        <v>13796.1632813578</v>
      </c>
      <c r="J826" s="6" t="n">
        <f aca="false">A826</f>
        <v>825</v>
      </c>
      <c r="K826" s="13" t="n">
        <f aca="false">SMALL($G$2:$G$1387,J826)</f>
        <v>0.250239406681581</v>
      </c>
      <c r="L826" s="18" t="n">
        <f aca="false">(J826-0.5)/1386</f>
        <v>0.594877344877345</v>
      </c>
      <c r="M826" s="18" t="n">
        <f aca="false">_xlfn.NORM.DIST(K826,AVERAGE($G$2:$G$1387),_xlfn.STDEV.S($G$2:$G$1387),TRUE())</f>
        <v>0.599044309279342</v>
      </c>
    </row>
    <row r="827" customFormat="false" ht="15" hidden="false" customHeight="false" outlineLevel="0" collapsed="false">
      <c r="A827" s="0" t="n">
        <f aca="false">ROW()-1</f>
        <v>826</v>
      </c>
      <c r="B827" s="0" t="str">
        <f aca="false">'Analysis Data'!A827</f>
        <v>Jericho</v>
      </c>
      <c r="C827" s="5" t="n">
        <f aca="false">'Analysis Data'!B827</f>
        <v>40302</v>
      </c>
      <c r="D827" s="6" t="n">
        <f aca="false">'Analysis Data'!C827</f>
        <v>89.8233375479258</v>
      </c>
      <c r="E827" s="15" t="n">
        <f aca="false">SUMPRODUCT('Final Model'!$B$45:$I$45,'Analysis Data'!N827:U827)</f>
        <v>169.404580522316</v>
      </c>
      <c r="F827" s="15" t="n">
        <f aca="false">D827-E827</f>
        <v>-79.5812429743906</v>
      </c>
      <c r="G827" s="13" t="n">
        <f aca="false">F827/'Final Model'!$B$21</f>
        <v>-1.62304636700133</v>
      </c>
      <c r="H827" s="6" t="n">
        <f aca="false">F827^2</f>
        <v>6333.17423334899</v>
      </c>
      <c r="J827" s="6" t="n">
        <f aca="false">A827</f>
        <v>826</v>
      </c>
      <c r="K827" s="13" t="n">
        <f aca="false">SMALL($G$2:$G$1387,J827)</f>
        <v>0.253432829618645</v>
      </c>
      <c r="L827" s="18" t="n">
        <f aca="false">(J827-0.5)/1386</f>
        <v>0.595598845598846</v>
      </c>
      <c r="M827" s="18" t="n">
        <f aca="false">_xlfn.NORM.DIST(K827,AVERAGE($G$2:$G$1387),_xlfn.STDEV.S($G$2:$G$1387),TRUE())</f>
        <v>0.600281466412431</v>
      </c>
    </row>
    <row r="828" customFormat="false" ht="15" hidden="false" customHeight="false" outlineLevel="0" collapsed="false">
      <c r="A828" s="0" t="n">
        <f aca="false">ROW()-1</f>
        <v>827</v>
      </c>
      <c r="B828" s="0" t="str">
        <f aca="false">'Analysis Data'!A828</f>
        <v>Jericho</v>
      </c>
      <c r="C828" s="5" t="n">
        <f aca="false">'Analysis Data'!B828</f>
        <v>40309</v>
      </c>
      <c r="D828" s="6" t="n">
        <f aca="false">'Analysis Data'!C828</f>
        <v>171.571862388496</v>
      </c>
      <c r="E828" s="15" t="n">
        <f aca="false">SUMPRODUCT('Final Model'!$B$45:$I$45,'Analysis Data'!N828:U828)</f>
        <v>169.404580522316</v>
      </c>
      <c r="F828" s="15" t="n">
        <f aca="false">D828-E828</f>
        <v>2.16728186617999</v>
      </c>
      <c r="G828" s="13" t="n">
        <f aca="false">F828/'Final Model'!$B$21</f>
        <v>0.0442013573512953</v>
      </c>
      <c r="H828" s="6" t="n">
        <f aca="false">F828^2</f>
        <v>4.69711068747262</v>
      </c>
      <c r="J828" s="6" t="n">
        <f aca="false">A828</f>
        <v>827</v>
      </c>
      <c r="K828" s="13" t="n">
        <f aca="false">SMALL($G$2:$G$1387,J828)</f>
        <v>0.253822609057571</v>
      </c>
      <c r="L828" s="18" t="n">
        <f aca="false">(J828-0.5)/1386</f>
        <v>0.596320346320346</v>
      </c>
      <c r="M828" s="18" t="n">
        <f aca="false">_xlfn.NORM.DIST(K828,AVERAGE($G$2:$G$1387),_xlfn.STDEV.S($G$2:$G$1387),TRUE())</f>
        <v>0.600432401383255</v>
      </c>
    </row>
    <row r="829" customFormat="false" ht="15" hidden="false" customHeight="false" outlineLevel="0" collapsed="false">
      <c r="A829" s="0" t="n">
        <f aca="false">ROW()-1</f>
        <v>828</v>
      </c>
      <c r="B829" s="0" t="str">
        <f aca="false">'Analysis Data'!A829</f>
        <v>Jericho</v>
      </c>
      <c r="C829" s="5" t="n">
        <f aca="false">'Analysis Data'!B829</f>
        <v>40316</v>
      </c>
      <c r="D829" s="6" t="n">
        <f aca="false">'Analysis Data'!C829</f>
        <v>197.55094390305</v>
      </c>
      <c r="E829" s="15" t="n">
        <f aca="false">SUMPRODUCT('Final Model'!$B$45:$I$45,'Analysis Data'!N829:U829)</f>
        <v>180.584865285841</v>
      </c>
      <c r="F829" s="15" t="n">
        <f aca="false">D829-E829</f>
        <v>16.9660786172086</v>
      </c>
      <c r="G829" s="13" t="n">
        <f aca="false">F829/'Final Model'!$B$21</f>
        <v>0.346020384109615</v>
      </c>
      <c r="H829" s="6" t="n">
        <f aca="false">F829^2</f>
        <v>287.847823645301</v>
      </c>
      <c r="J829" s="6" t="n">
        <f aca="false">A829</f>
        <v>828</v>
      </c>
      <c r="K829" s="13" t="n">
        <f aca="false">SMALL($G$2:$G$1387,J829)</f>
        <v>0.254237794902427</v>
      </c>
      <c r="L829" s="18" t="n">
        <f aca="false">(J829-0.5)/1386</f>
        <v>0.597041847041847</v>
      </c>
      <c r="M829" s="18" t="n">
        <f aca="false">_xlfn.NORM.DIST(K829,AVERAGE($G$2:$G$1387),_xlfn.STDEV.S($G$2:$G$1387),TRUE())</f>
        <v>0.600593158013303</v>
      </c>
    </row>
    <row r="830" customFormat="false" ht="15" hidden="false" customHeight="false" outlineLevel="0" collapsed="false">
      <c r="A830" s="0" t="n">
        <f aca="false">ROW()-1</f>
        <v>829</v>
      </c>
      <c r="B830" s="0" t="str">
        <f aca="false">'Analysis Data'!A830</f>
        <v>Jericho</v>
      </c>
      <c r="C830" s="5" t="n">
        <f aca="false">'Analysis Data'!B830</f>
        <v>40323</v>
      </c>
      <c r="D830" s="6" t="n">
        <f aca="false">'Analysis Data'!C830</f>
        <v>268.894477918179</v>
      </c>
      <c r="E830" s="15" t="n">
        <f aca="false">SUMPRODUCT('Final Model'!$B$45:$I$45,'Analysis Data'!N830:U830)</f>
        <v>240.046625786326</v>
      </c>
      <c r="F830" s="15" t="n">
        <f aca="false">D830-E830</f>
        <v>28.847852131853</v>
      </c>
      <c r="G830" s="13" t="n">
        <f aca="false">F830/'Final Model'!$B$21</f>
        <v>0.588347201531682</v>
      </c>
      <c r="H830" s="6" t="n">
        <f aca="false">F830^2</f>
        <v>832.198572621255</v>
      </c>
      <c r="J830" s="6" t="n">
        <f aca="false">A830</f>
        <v>829</v>
      </c>
      <c r="K830" s="13" t="n">
        <f aca="false">SMALL($G$2:$G$1387,J830)</f>
        <v>0.255734641425383</v>
      </c>
      <c r="L830" s="18" t="n">
        <f aca="false">(J830-0.5)/1386</f>
        <v>0.597763347763348</v>
      </c>
      <c r="M830" s="18" t="n">
        <f aca="false">_xlfn.NORM.DIST(K830,AVERAGE($G$2:$G$1387),_xlfn.STDEV.S($G$2:$G$1387),TRUE())</f>
        <v>0.60117258322219</v>
      </c>
    </row>
    <row r="831" customFormat="false" ht="15" hidden="false" customHeight="false" outlineLevel="0" collapsed="false">
      <c r="A831" s="0" t="n">
        <f aca="false">ROW()-1</f>
        <v>830</v>
      </c>
      <c r="B831" s="0" t="str">
        <f aca="false">'Analysis Data'!A831</f>
        <v>Jericho</v>
      </c>
      <c r="C831" s="5" t="n">
        <f aca="false">'Analysis Data'!B831</f>
        <v>40330</v>
      </c>
      <c r="D831" s="6" t="n">
        <f aca="false">'Analysis Data'!C831</f>
        <v>173.20825666981</v>
      </c>
      <c r="E831" s="15" t="n">
        <f aca="false">SUMPRODUCT('Final Model'!$B$45:$I$45,'Analysis Data'!N831:U831)</f>
        <v>244.570227842276</v>
      </c>
      <c r="F831" s="15" t="n">
        <f aca="false">D831-E831</f>
        <v>-71.3619711724655</v>
      </c>
      <c r="G831" s="13" t="n">
        <f aca="false">F831/'Final Model'!$B$21</f>
        <v>-1.45541566988085</v>
      </c>
      <c r="H831" s="6" t="n">
        <f aca="false">F831^2</f>
        <v>5092.5309296198</v>
      </c>
      <c r="J831" s="6" t="n">
        <f aca="false">A831</f>
        <v>830</v>
      </c>
      <c r="K831" s="13" t="n">
        <f aca="false">SMALL($G$2:$G$1387,J831)</f>
        <v>0.255881718376635</v>
      </c>
      <c r="L831" s="18" t="n">
        <f aca="false">(J831-0.5)/1386</f>
        <v>0.598484848484849</v>
      </c>
      <c r="M831" s="18" t="n">
        <f aca="false">_xlfn.NORM.DIST(K831,AVERAGE($G$2:$G$1387),_xlfn.STDEV.S($G$2:$G$1387),TRUE())</f>
        <v>0.601229504302835</v>
      </c>
    </row>
    <row r="832" customFormat="false" ht="15" hidden="false" customHeight="false" outlineLevel="0" collapsed="false">
      <c r="A832" s="0" t="n">
        <f aca="false">ROW()-1</f>
        <v>831</v>
      </c>
      <c r="B832" s="0" t="str">
        <f aca="false">'Analysis Data'!A832</f>
        <v>Jericho</v>
      </c>
      <c r="C832" s="5" t="n">
        <f aca="false">'Analysis Data'!B832</f>
        <v>40337</v>
      </c>
      <c r="D832" s="6" t="n">
        <f aca="false">'Analysis Data'!C832</f>
        <v>299.933906910167</v>
      </c>
      <c r="E832" s="15" t="n">
        <f aca="false">SUMPRODUCT('Final Model'!$B$45:$I$45,'Analysis Data'!N832:U832)</f>
        <v>233.647383853518</v>
      </c>
      <c r="F832" s="15" t="n">
        <f aca="false">D832-E832</f>
        <v>66.2865230566485</v>
      </c>
      <c r="G832" s="13" t="n">
        <f aca="false">F832/'Final Model'!$B$21</f>
        <v>1.35190273998189</v>
      </c>
      <c r="H832" s="6" t="n">
        <f aca="false">F832^2</f>
        <v>4393.90313893959</v>
      </c>
      <c r="J832" s="6" t="n">
        <f aca="false">A832</f>
        <v>831</v>
      </c>
      <c r="K832" s="13" t="n">
        <f aca="false">SMALL($G$2:$G$1387,J832)</f>
        <v>0.256447973300068</v>
      </c>
      <c r="L832" s="18" t="n">
        <f aca="false">(J832-0.5)/1386</f>
        <v>0.599206349206349</v>
      </c>
      <c r="M832" s="18" t="n">
        <f aca="false">_xlfn.NORM.DIST(K832,AVERAGE($G$2:$G$1387),_xlfn.STDEV.S($G$2:$G$1387),TRUE())</f>
        <v>0.601448633703304</v>
      </c>
    </row>
    <row r="833" customFormat="false" ht="15" hidden="false" customHeight="false" outlineLevel="0" collapsed="false">
      <c r="A833" s="0" t="n">
        <f aca="false">ROW()-1</f>
        <v>832</v>
      </c>
      <c r="B833" s="0" t="str">
        <f aca="false">'Analysis Data'!A833</f>
        <v>Jericho</v>
      </c>
      <c r="C833" s="5" t="n">
        <f aca="false">'Analysis Data'!B833</f>
        <v>40344</v>
      </c>
      <c r="D833" s="6" t="n">
        <f aca="false">'Analysis Data'!C833</f>
        <v>244.482619811102</v>
      </c>
      <c r="E833" s="15" t="n">
        <f aca="false">SUMPRODUCT('Final Model'!$B$45:$I$45,'Analysis Data'!N833:U833)</f>
        <v>243.577242025116</v>
      </c>
      <c r="F833" s="15" t="n">
        <f aca="false">D833-E833</f>
        <v>0.905377785985507</v>
      </c>
      <c r="G833" s="13" t="n">
        <f aca="false">F833/'Final Model'!$B$21</f>
        <v>0.0184650310975962</v>
      </c>
      <c r="H833" s="6" t="n">
        <f aca="false">F833^2</f>
        <v>0.819708935356019</v>
      </c>
      <c r="J833" s="6" t="n">
        <f aca="false">A833</f>
        <v>832</v>
      </c>
      <c r="K833" s="13" t="n">
        <f aca="false">SMALL($G$2:$G$1387,J833)</f>
        <v>0.257239220550883</v>
      </c>
      <c r="L833" s="18" t="n">
        <f aca="false">(J833-0.5)/1386</f>
        <v>0.59992784992785</v>
      </c>
      <c r="M833" s="18" t="n">
        <f aca="false">_xlfn.NORM.DIST(K833,AVERAGE($G$2:$G$1387),_xlfn.STDEV.S($G$2:$G$1387),TRUE())</f>
        <v>0.601754777083084</v>
      </c>
    </row>
    <row r="834" customFormat="false" ht="15" hidden="false" customHeight="false" outlineLevel="0" collapsed="false">
      <c r="A834" s="0" t="n">
        <f aca="false">ROW()-1</f>
        <v>833</v>
      </c>
      <c r="B834" s="0" t="str">
        <f aca="false">'Analysis Data'!A834</f>
        <v>Jericho</v>
      </c>
      <c r="C834" s="5" t="n">
        <f aca="false">'Analysis Data'!B834</f>
        <v>40351</v>
      </c>
      <c r="D834" s="6" t="n">
        <f aca="false">'Analysis Data'!C834</f>
        <v>440.970021952033</v>
      </c>
      <c r="E834" s="15" t="n">
        <f aca="false">SUMPRODUCT('Final Model'!$B$45:$I$45,'Analysis Data'!N834:U834)</f>
        <v>350.329938432915</v>
      </c>
      <c r="F834" s="15" t="n">
        <f aca="false">D834-E834</f>
        <v>90.640083519118</v>
      </c>
      <c r="G834" s="13" t="n">
        <f aca="false">F834/'Final Model'!$B$21</f>
        <v>1.84858960179527</v>
      </c>
      <c r="H834" s="6" t="n">
        <f aca="false">F834^2</f>
        <v>8215.62474035269</v>
      </c>
      <c r="J834" s="6" t="n">
        <f aca="false">A834</f>
        <v>833</v>
      </c>
      <c r="K834" s="13" t="n">
        <f aca="false">SMALL($G$2:$G$1387,J834)</f>
        <v>0.257832444132145</v>
      </c>
      <c r="L834" s="18" t="n">
        <f aca="false">(J834-0.5)/1386</f>
        <v>0.600649350649351</v>
      </c>
      <c r="M834" s="18" t="n">
        <f aca="false">_xlfn.NORM.DIST(K834,AVERAGE($G$2:$G$1387),_xlfn.STDEV.S($G$2:$G$1387),TRUE())</f>
        <v>0.601984261582656</v>
      </c>
    </row>
    <row r="835" customFormat="false" ht="15" hidden="false" customHeight="false" outlineLevel="0" collapsed="false">
      <c r="A835" s="0" t="n">
        <f aca="false">ROW()-1</f>
        <v>834</v>
      </c>
      <c r="B835" s="0" t="str">
        <f aca="false">'Analysis Data'!A835</f>
        <v>Jericho</v>
      </c>
      <c r="C835" s="5" t="n">
        <f aca="false">'Analysis Data'!B835</f>
        <v>40358</v>
      </c>
      <c r="D835" s="6" t="n">
        <f aca="false">'Analysis Data'!C835</f>
        <v>269.934801592333</v>
      </c>
      <c r="E835" s="15" t="n">
        <f aca="false">SUMPRODUCT('Final Model'!$B$45:$I$45,'Analysis Data'!N835:U835)</f>
        <v>322.463622160825</v>
      </c>
      <c r="F835" s="15" t="n">
        <f aca="false">D835-E835</f>
        <v>-52.5288205684917</v>
      </c>
      <c r="G835" s="13" t="n">
        <f aca="false">F835/'Final Model'!$B$21</f>
        <v>-1.07131665955495</v>
      </c>
      <c r="H835" s="6" t="n">
        <f aca="false">F835^2</f>
        <v>2759.27699031679</v>
      </c>
      <c r="J835" s="6" t="n">
        <f aca="false">A835</f>
        <v>834</v>
      </c>
      <c r="K835" s="13" t="n">
        <f aca="false">SMALL($G$2:$G$1387,J835)</f>
        <v>0.262586954193873</v>
      </c>
      <c r="L835" s="18" t="n">
        <f aca="false">(J835-0.5)/1386</f>
        <v>0.601370851370851</v>
      </c>
      <c r="M835" s="18" t="n">
        <f aca="false">_xlfn.NORM.DIST(K835,AVERAGE($G$2:$G$1387),_xlfn.STDEV.S($G$2:$G$1387),TRUE())</f>
        <v>0.603822230666705</v>
      </c>
    </row>
    <row r="836" customFormat="false" ht="15" hidden="false" customHeight="false" outlineLevel="0" collapsed="false">
      <c r="A836" s="0" t="n">
        <f aca="false">ROW()-1</f>
        <v>835</v>
      </c>
      <c r="B836" s="0" t="str">
        <f aca="false">'Analysis Data'!A836</f>
        <v>Jericho</v>
      </c>
      <c r="C836" s="5" t="n">
        <f aca="false">'Analysis Data'!B836</f>
        <v>40365</v>
      </c>
      <c r="D836" s="6" t="n">
        <f aca="false">'Analysis Data'!C836</f>
        <v>334.963217787163</v>
      </c>
      <c r="E836" s="15" t="n">
        <f aca="false">SUMPRODUCT('Final Model'!$B$45:$I$45,'Analysis Data'!N836:U836)</f>
        <v>317.189764154132</v>
      </c>
      <c r="F836" s="15" t="n">
        <f aca="false">D836-E836</f>
        <v>17.7734536330319</v>
      </c>
      <c r="G836" s="13" t="n">
        <f aca="false">F836/'Final Model'!$B$21</f>
        <v>0.362486664821785</v>
      </c>
      <c r="H836" s="6" t="n">
        <f aca="false">F836^2</f>
        <v>315.895654045534</v>
      </c>
      <c r="J836" s="6" t="n">
        <f aca="false">A836</f>
        <v>835</v>
      </c>
      <c r="K836" s="13" t="n">
        <f aca="false">SMALL($G$2:$G$1387,J836)</f>
        <v>0.264785045559564</v>
      </c>
      <c r="L836" s="18" t="n">
        <f aca="false">(J836-0.5)/1386</f>
        <v>0.602092352092352</v>
      </c>
      <c r="M836" s="18" t="n">
        <f aca="false">_xlfn.NORM.DIST(K836,AVERAGE($G$2:$G$1387),_xlfn.STDEV.S($G$2:$G$1387),TRUE())</f>
        <v>0.604671178474649</v>
      </c>
    </row>
    <row r="837" customFormat="false" ht="15" hidden="false" customHeight="false" outlineLevel="0" collapsed="false">
      <c r="A837" s="0" t="n">
        <f aca="false">ROW()-1</f>
        <v>836</v>
      </c>
      <c r="B837" s="0" t="str">
        <f aca="false">'Analysis Data'!A837</f>
        <v>Jericho</v>
      </c>
      <c r="C837" s="5" t="n">
        <f aca="false">'Analysis Data'!B837</f>
        <v>40372</v>
      </c>
      <c r="D837" s="6" t="n">
        <f aca="false">'Analysis Data'!C837</f>
        <v>357.748460330396</v>
      </c>
      <c r="E837" s="15" t="n">
        <f aca="false">SUMPRODUCT('Final Model'!$B$45:$I$45,'Analysis Data'!N837:U837)</f>
        <v>317.189764154132</v>
      </c>
      <c r="F837" s="15" t="n">
        <f aca="false">D837-E837</f>
        <v>40.5586961762647</v>
      </c>
      <c r="G837" s="13" t="n">
        <f aca="false">F837/'Final Model'!$B$21</f>
        <v>0.827187940509811</v>
      </c>
      <c r="H837" s="6" t="n">
        <f aca="false">F837^2</f>
        <v>1645.00783551855</v>
      </c>
      <c r="J837" s="6" t="n">
        <f aca="false">A837</f>
        <v>836</v>
      </c>
      <c r="K837" s="13" t="n">
        <f aca="false">SMALL($G$2:$G$1387,J837)</f>
        <v>0.268056783845569</v>
      </c>
      <c r="L837" s="18" t="n">
        <f aca="false">(J837-0.5)/1386</f>
        <v>0.602813852813853</v>
      </c>
      <c r="M837" s="18" t="n">
        <f aca="false">_xlfn.NORM.DIST(K837,AVERAGE($G$2:$G$1387),_xlfn.STDEV.S($G$2:$G$1387),TRUE())</f>
        <v>0.605933870068863</v>
      </c>
    </row>
    <row r="838" customFormat="false" ht="15" hidden="false" customHeight="false" outlineLevel="0" collapsed="false">
      <c r="A838" s="0" t="n">
        <f aca="false">ROW()-1</f>
        <v>837</v>
      </c>
      <c r="B838" s="0" t="str">
        <f aca="false">'Analysis Data'!A838</f>
        <v>Middletown</v>
      </c>
      <c r="C838" s="5" t="n">
        <f aca="false">'Analysis Data'!B838</f>
        <v>40302</v>
      </c>
      <c r="D838" s="6" t="n">
        <f aca="false">'Analysis Data'!C838</f>
        <v>230.502944709593</v>
      </c>
      <c r="E838" s="15" t="n">
        <f aca="false">SUMPRODUCT('Final Model'!$B$45:$I$45,'Analysis Data'!N838:U838)</f>
        <v>233.212287145547</v>
      </c>
      <c r="F838" s="15" t="n">
        <f aca="false">D838-E838</f>
        <v>-2.7093424359538</v>
      </c>
      <c r="G838" s="13" t="n">
        <f aca="false">F838/'Final Model'!$B$21</f>
        <v>-0.0552565935549968</v>
      </c>
      <c r="H838" s="6" t="n">
        <f aca="false">F838^2</f>
        <v>7.34053643526007</v>
      </c>
      <c r="J838" s="6" t="n">
        <f aca="false">A838</f>
        <v>837</v>
      </c>
      <c r="K838" s="13" t="n">
        <f aca="false">SMALL($G$2:$G$1387,J838)</f>
        <v>0.268731158009268</v>
      </c>
      <c r="L838" s="18" t="n">
        <f aca="false">(J838-0.5)/1386</f>
        <v>0.603535353535354</v>
      </c>
      <c r="M838" s="18" t="n">
        <f aca="false">_xlfn.NORM.DIST(K838,AVERAGE($G$2:$G$1387),_xlfn.STDEV.S($G$2:$G$1387),TRUE())</f>
        <v>0.60619399952187</v>
      </c>
    </row>
    <row r="839" customFormat="false" ht="15" hidden="false" customHeight="false" outlineLevel="0" collapsed="false">
      <c r="A839" s="0" t="n">
        <f aca="false">ROW()-1</f>
        <v>838</v>
      </c>
      <c r="B839" s="0" t="str">
        <f aca="false">'Analysis Data'!A839</f>
        <v>Middletown</v>
      </c>
      <c r="C839" s="5" t="n">
        <f aca="false">'Analysis Data'!B839</f>
        <v>40309</v>
      </c>
      <c r="D839" s="6" t="n">
        <f aca="false">'Analysis Data'!C839</f>
        <v>363.785354206026</v>
      </c>
      <c r="E839" s="15" t="n">
        <f aca="false">SUMPRODUCT('Final Model'!$B$45:$I$45,'Analysis Data'!N839:U839)</f>
        <v>254.254175031504</v>
      </c>
      <c r="F839" s="15" t="n">
        <f aca="false">D839-E839</f>
        <v>109.531179174522</v>
      </c>
      <c r="G839" s="13" t="n">
        <f aca="false">F839/'Final Model'!$B$21</f>
        <v>2.2338703919187</v>
      </c>
      <c r="H839" s="6" t="n">
        <f aca="false">F839^2</f>
        <v>11997.0792113612</v>
      </c>
      <c r="J839" s="6" t="n">
        <f aca="false">A839</f>
        <v>838</v>
      </c>
      <c r="K839" s="13" t="n">
        <f aca="false">SMALL($G$2:$G$1387,J839)</f>
        <v>0.268846785159048</v>
      </c>
      <c r="L839" s="18" t="n">
        <f aca="false">(J839-0.5)/1386</f>
        <v>0.604256854256854</v>
      </c>
      <c r="M839" s="18" t="n">
        <f aca="false">_xlfn.NORM.DIST(K839,AVERAGE($G$2:$G$1387),_xlfn.STDEV.S($G$2:$G$1387),TRUE())</f>
        <v>0.606238596160098</v>
      </c>
    </row>
    <row r="840" customFormat="false" ht="15" hidden="false" customHeight="false" outlineLevel="0" collapsed="false">
      <c r="A840" s="0" t="n">
        <f aca="false">ROW()-1</f>
        <v>839</v>
      </c>
      <c r="B840" s="0" t="str">
        <f aca="false">'Analysis Data'!A840</f>
        <v>Middletown</v>
      </c>
      <c r="C840" s="5" t="n">
        <f aca="false">'Analysis Data'!B840</f>
        <v>40316</v>
      </c>
      <c r="D840" s="6" t="n">
        <f aca="false">'Analysis Data'!C840</f>
        <v>268.408648872421</v>
      </c>
      <c r="E840" s="15" t="n">
        <f aca="false">SUMPRODUCT('Final Model'!$B$45:$I$45,'Analysis Data'!N840:U840)</f>
        <v>245.427634434528</v>
      </c>
      <c r="F840" s="15" t="n">
        <f aca="false">D840-E840</f>
        <v>22.9810144378931</v>
      </c>
      <c r="G840" s="13" t="n">
        <f aca="false">F840/'Final Model'!$B$21</f>
        <v>0.468694011293974</v>
      </c>
      <c r="H840" s="6" t="n">
        <f aca="false">F840^2</f>
        <v>528.127024594652</v>
      </c>
      <c r="J840" s="6" t="n">
        <f aca="false">A840</f>
        <v>839</v>
      </c>
      <c r="K840" s="13" t="n">
        <f aca="false">SMALL($G$2:$G$1387,J840)</f>
        <v>0.271259920444633</v>
      </c>
      <c r="L840" s="18" t="n">
        <f aca="false">(J840-0.5)/1386</f>
        <v>0.604978354978355</v>
      </c>
      <c r="M840" s="18" t="n">
        <f aca="false">_xlfn.NORM.DIST(K840,AVERAGE($G$2:$G$1387),_xlfn.STDEV.S($G$2:$G$1387),TRUE())</f>
        <v>0.607169007895278</v>
      </c>
    </row>
    <row r="841" customFormat="false" ht="15" hidden="false" customHeight="false" outlineLevel="0" collapsed="false">
      <c r="A841" s="0" t="n">
        <f aca="false">ROW()-1</f>
        <v>840</v>
      </c>
      <c r="B841" s="0" t="str">
        <f aca="false">'Analysis Data'!A841</f>
        <v>Middletown</v>
      </c>
      <c r="C841" s="5" t="n">
        <f aca="false">'Analysis Data'!B841</f>
        <v>40323</v>
      </c>
      <c r="D841" s="6" t="n">
        <f aca="false">'Analysis Data'!C841</f>
        <v>211.23872621364</v>
      </c>
      <c r="E841" s="15" t="n">
        <f aca="false">SUMPRODUCT('Final Model'!$B$45:$I$45,'Analysis Data'!N841:U841)</f>
        <v>239.163971726628</v>
      </c>
      <c r="F841" s="15" t="n">
        <f aca="false">D841-E841</f>
        <v>-27.9252455129884</v>
      </c>
      <c r="G841" s="13" t="n">
        <f aca="false">F841/'Final Model'!$B$21</f>
        <v>-0.569530791220003</v>
      </c>
      <c r="H841" s="6" t="n">
        <f aca="false">F841^2</f>
        <v>779.819336960679</v>
      </c>
      <c r="J841" s="6" t="n">
        <f aca="false">A841</f>
        <v>840</v>
      </c>
      <c r="K841" s="13" t="n">
        <f aca="false">SMALL($G$2:$G$1387,J841)</f>
        <v>0.273312371968356</v>
      </c>
      <c r="L841" s="18" t="n">
        <f aca="false">(J841-0.5)/1386</f>
        <v>0.605699855699856</v>
      </c>
      <c r="M841" s="18" t="n">
        <f aca="false">_xlfn.NORM.DIST(K841,AVERAGE($G$2:$G$1387),_xlfn.STDEV.S($G$2:$G$1387),TRUE())</f>
        <v>0.607959872535883</v>
      </c>
    </row>
    <row r="842" customFormat="false" ht="15" hidden="false" customHeight="false" outlineLevel="0" collapsed="false">
      <c r="A842" s="0" t="n">
        <f aca="false">ROW()-1</f>
        <v>841</v>
      </c>
      <c r="B842" s="0" t="str">
        <f aca="false">'Analysis Data'!A842</f>
        <v>Middletown</v>
      </c>
      <c r="C842" s="5" t="n">
        <f aca="false">'Analysis Data'!B842</f>
        <v>40330</v>
      </c>
      <c r="D842" s="6" t="n">
        <f aca="false">'Analysis Data'!C842</f>
        <v>223.08315295727</v>
      </c>
      <c r="E842" s="15" t="n">
        <f aca="false">SUMPRODUCT('Final Model'!$B$45:$I$45,'Analysis Data'!N842:U842)</f>
        <v>230.337431129652</v>
      </c>
      <c r="F842" s="15" t="n">
        <f aca="false">D842-E842</f>
        <v>-7.2542781723827</v>
      </c>
      <c r="G842" s="13" t="n">
        <f aca="false">F842/'Final Model'!$B$21</f>
        <v>-0.147949810694609</v>
      </c>
      <c r="H842" s="6" t="n">
        <f aca="false">F842^2</f>
        <v>52.6245518023081</v>
      </c>
      <c r="J842" s="6" t="n">
        <f aca="false">A842</f>
        <v>841</v>
      </c>
      <c r="K842" s="13" t="n">
        <f aca="false">SMALL($G$2:$G$1387,J842)</f>
        <v>0.273373712040624</v>
      </c>
      <c r="L842" s="18" t="n">
        <f aca="false">(J842-0.5)/1386</f>
        <v>0.606421356421356</v>
      </c>
      <c r="M842" s="18" t="n">
        <f aca="false">_xlfn.NORM.DIST(K842,AVERAGE($G$2:$G$1387),_xlfn.STDEV.S($G$2:$G$1387),TRUE())</f>
        <v>0.60798350166663</v>
      </c>
    </row>
    <row r="843" customFormat="false" ht="15" hidden="false" customHeight="false" outlineLevel="0" collapsed="false">
      <c r="A843" s="0" t="n">
        <f aca="false">ROW()-1</f>
        <v>842</v>
      </c>
      <c r="B843" s="0" t="str">
        <f aca="false">'Analysis Data'!A843</f>
        <v>Middletown</v>
      </c>
      <c r="C843" s="5" t="n">
        <f aca="false">'Analysis Data'!B843</f>
        <v>40337</v>
      </c>
      <c r="D843" s="6" t="n">
        <f aca="false">'Analysis Data'!C843</f>
        <v>351.970747356567</v>
      </c>
      <c r="E843" s="15" t="n">
        <f aca="false">SUMPRODUCT('Final Model'!$B$45:$I$45,'Analysis Data'!N843:U843)</f>
        <v>219.304255383433</v>
      </c>
      <c r="F843" s="15" t="n">
        <f aca="false">D843-E843</f>
        <v>132.666491973134</v>
      </c>
      <c r="G843" s="13" t="n">
        <f aca="false">F843/'Final Model'!$B$21</f>
        <v>2.7057112929123</v>
      </c>
      <c r="H843" s="6" t="n">
        <f aca="false">F843^2</f>
        <v>17600.3980924577</v>
      </c>
      <c r="J843" s="6" t="n">
        <f aca="false">A843</f>
        <v>842</v>
      </c>
      <c r="K843" s="13" t="n">
        <f aca="false">SMALL($G$2:$G$1387,J843)</f>
        <v>0.274395572002493</v>
      </c>
      <c r="L843" s="18" t="n">
        <f aca="false">(J843-0.5)/1386</f>
        <v>0.607142857142857</v>
      </c>
      <c r="M843" s="18" t="n">
        <f aca="false">_xlfn.NORM.DIST(K843,AVERAGE($G$2:$G$1387),_xlfn.STDEV.S($G$2:$G$1387),TRUE())</f>
        <v>0.608377079058081</v>
      </c>
    </row>
    <row r="844" customFormat="false" ht="15" hidden="false" customHeight="false" outlineLevel="0" collapsed="false">
      <c r="A844" s="0" t="n">
        <f aca="false">ROW()-1</f>
        <v>843</v>
      </c>
      <c r="B844" s="0" t="str">
        <f aca="false">'Analysis Data'!A844</f>
        <v>Middletown</v>
      </c>
      <c r="C844" s="5" t="n">
        <f aca="false">'Analysis Data'!B844</f>
        <v>40344</v>
      </c>
      <c r="D844" s="6" t="n">
        <f aca="false">'Analysis Data'!C844</f>
        <v>168.565047429384</v>
      </c>
      <c r="E844" s="15" t="n">
        <f aca="false">SUMPRODUCT('Final Model'!$B$45:$I$45,'Analysis Data'!N844:U844)</f>
        <v>207.388425577515</v>
      </c>
      <c r="F844" s="15" t="n">
        <f aca="false">D844-E844</f>
        <v>-38.8233781481316</v>
      </c>
      <c r="G844" s="13" t="n">
        <f aca="false">F844/'Final Model'!$B$21</f>
        <v>-0.791796414618973</v>
      </c>
      <c r="H844" s="6" t="n">
        <f aca="false">F844^2</f>
        <v>1507.25469083282</v>
      </c>
      <c r="J844" s="6" t="n">
        <f aca="false">A844</f>
        <v>843</v>
      </c>
      <c r="K844" s="13" t="n">
        <f aca="false">SMALL($G$2:$G$1387,J844)</f>
        <v>0.276612800915698</v>
      </c>
      <c r="L844" s="18" t="n">
        <f aca="false">(J844-0.5)/1386</f>
        <v>0.607864357864358</v>
      </c>
      <c r="M844" s="18" t="n">
        <f aca="false">_xlfn.NORM.DIST(K844,AVERAGE($G$2:$G$1387),_xlfn.STDEV.S($G$2:$G$1387),TRUE())</f>
        <v>0.609230680299021</v>
      </c>
    </row>
    <row r="845" customFormat="false" ht="15" hidden="false" customHeight="false" outlineLevel="0" collapsed="false">
      <c r="A845" s="0" t="n">
        <f aca="false">ROW()-1</f>
        <v>844</v>
      </c>
      <c r="B845" s="0" t="str">
        <f aca="false">'Analysis Data'!A845</f>
        <v>Middletown</v>
      </c>
      <c r="C845" s="5" t="n">
        <f aca="false">'Analysis Data'!B845</f>
        <v>40351</v>
      </c>
      <c r="D845" s="6" t="n">
        <f aca="false">'Analysis Data'!C845</f>
        <v>241.954932776865</v>
      </c>
      <c r="E845" s="15" t="n">
        <f aca="false">SUMPRODUCT('Final Model'!$B$45:$I$45,'Analysis Data'!N845:U845)</f>
        <v>199.444539040237</v>
      </c>
      <c r="F845" s="15" t="n">
        <f aca="false">D845-E845</f>
        <v>42.5103937366283</v>
      </c>
      <c r="G845" s="13" t="n">
        <f aca="false">F845/'Final Model'!$B$21</f>
        <v>0.866992491386869</v>
      </c>
      <c r="H845" s="6" t="n">
        <f aca="false">F845^2</f>
        <v>1807.13357564317</v>
      </c>
      <c r="J845" s="6" t="n">
        <f aca="false">A845</f>
        <v>844</v>
      </c>
      <c r="K845" s="13" t="n">
        <f aca="false">SMALL($G$2:$G$1387,J845)</f>
        <v>0.277921087498774</v>
      </c>
      <c r="L845" s="18" t="n">
        <f aca="false">(J845-0.5)/1386</f>
        <v>0.608585858585859</v>
      </c>
      <c r="M845" s="18" t="n">
        <f aca="false">_xlfn.NORM.DIST(K845,AVERAGE($G$2:$G$1387),_xlfn.STDEV.S($G$2:$G$1387),TRUE())</f>
        <v>0.609734105303395</v>
      </c>
    </row>
    <row r="846" customFormat="false" ht="15" hidden="false" customHeight="false" outlineLevel="0" collapsed="false">
      <c r="A846" s="0" t="n">
        <f aca="false">ROW()-1</f>
        <v>845</v>
      </c>
      <c r="B846" s="0" t="str">
        <f aca="false">'Analysis Data'!A846</f>
        <v>Middletown</v>
      </c>
      <c r="C846" s="5" t="n">
        <f aca="false">'Analysis Data'!B846</f>
        <v>40358</v>
      </c>
      <c r="D846" s="6" t="n">
        <f aca="false">'Analysis Data'!C846</f>
        <v>184.858088267719</v>
      </c>
      <c r="E846" s="15" t="n">
        <f aca="false">SUMPRODUCT('Final Model'!$B$45:$I$45,'Analysis Data'!N846:U846)</f>
        <v>212.684349935701</v>
      </c>
      <c r="F846" s="15" t="n">
        <f aca="false">D846-E846</f>
        <v>-27.8262616679822</v>
      </c>
      <c r="G846" s="13" t="n">
        <f aca="false">F846/'Final Model'!$B$21</f>
        <v>-0.567512031974425</v>
      </c>
      <c r="H846" s="6" t="n">
        <f aca="false">F846^2</f>
        <v>774.300838415015</v>
      </c>
      <c r="J846" s="6" t="n">
        <f aca="false">A846</f>
        <v>845</v>
      </c>
      <c r="K846" s="13" t="n">
        <f aca="false">SMALL($G$2:$G$1387,J846)</f>
        <v>0.281763615634193</v>
      </c>
      <c r="L846" s="18" t="n">
        <f aca="false">(J846-0.5)/1386</f>
        <v>0.609307359307359</v>
      </c>
      <c r="M846" s="18" t="n">
        <f aca="false">_xlfn.NORM.DIST(K846,AVERAGE($G$2:$G$1387),_xlfn.STDEV.S($G$2:$G$1387),TRUE())</f>
        <v>0.611211632863541</v>
      </c>
    </row>
    <row r="847" customFormat="false" ht="15" hidden="false" customHeight="false" outlineLevel="0" collapsed="false">
      <c r="A847" s="0" t="n">
        <f aca="false">ROW()-1</f>
        <v>846</v>
      </c>
      <c r="B847" s="0" t="str">
        <f aca="false">'Analysis Data'!A847</f>
        <v>Middletown</v>
      </c>
      <c r="C847" s="5" t="n">
        <f aca="false">'Analysis Data'!B847</f>
        <v>40365</v>
      </c>
      <c r="D847" s="6" t="n">
        <f aca="false">'Analysis Data'!C847</f>
        <v>200.077022302822</v>
      </c>
      <c r="E847" s="15" t="n">
        <f aca="false">SUMPRODUCT('Final Model'!$B$45:$I$45,'Analysis Data'!N847:U847)</f>
        <v>234.033545004636</v>
      </c>
      <c r="F847" s="15" t="n">
        <f aca="false">D847-E847</f>
        <v>-33.9565227018144</v>
      </c>
      <c r="G847" s="13" t="n">
        <f aca="false">F847/'Final Model'!$B$21</f>
        <v>-0.692537697921023</v>
      </c>
      <c r="H847" s="6" t="n">
        <f aca="false">F847^2</f>
        <v>1153.04543399884</v>
      </c>
      <c r="J847" s="6" t="n">
        <f aca="false">A847</f>
        <v>846</v>
      </c>
      <c r="K847" s="13" t="n">
        <f aca="false">SMALL($G$2:$G$1387,J847)</f>
        <v>0.284228711733033</v>
      </c>
      <c r="L847" s="18" t="n">
        <f aca="false">(J847-0.5)/1386</f>
        <v>0.61002886002886</v>
      </c>
      <c r="M847" s="18" t="n">
        <f aca="false">_xlfn.NORM.DIST(K847,AVERAGE($G$2:$G$1387),_xlfn.STDEV.S($G$2:$G$1387),TRUE())</f>
        <v>0.612158665882486</v>
      </c>
    </row>
    <row r="848" customFormat="false" ht="15" hidden="false" customHeight="false" outlineLevel="0" collapsed="false">
      <c r="A848" s="0" t="n">
        <f aca="false">ROW()-1</f>
        <v>847</v>
      </c>
      <c r="B848" s="0" t="str">
        <f aca="false">'Analysis Data'!A848</f>
        <v>Middletown</v>
      </c>
      <c r="C848" s="5" t="n">
        <f aca="false">'Analysis Data'!B848</f>
        <v>40372</v>
      </c>
      <c r="D848" s="6" t="n">
        <f aca="false">'Analysis Data'!C848</f>
        <v>181.751290233517</v>
      </c>
      <c r="E848" s="15" t="n">
        <f aca="false">SUMPRODUCT('Final Model'!$B$45:$I$45,'Analysis Data'!N848:U848)</f>
        <v>234.033545004636</v>
      </c>
      <c r="F848" s="15" t="n">
        <f aca="false">D848-E848</f>
        <v>-52.2822547711195</v>
      </c>
      <c r="G848" s="13" t="n">
        <f aca="false">F848/'Final Model'!$B$21</f>
        <v>-1.06628799065391</v>
      </c>
      <c r="H848" s="6" t="n">
        <f aca="false">F848^2</f>
        <v>2733.43416395225</v>
      </c>
      <c r="J848" s="6" t="n">
        <f aca="false">A848</f>
        <v>847</v>
      </c>
      <c r="K848" s="13" t="n">
        <f aca="false">SMALL($G$2:$G$1387,J848)</f>
        <v>0.286209628568703</v>
      </c>
      <c r="L848" s="18" t="n">
        <f aca="false">(J848-0.5)/1386</f>
        <v>0.610750360750361</v>
      </c>
      <c r="M848" s="18" t="n">
        <f aca="false">_xlfn.NORM.DIST(K848,AVERAGE($G$2:$G$1387),_xlfn.STDEV.S($G$2:$G$1387),TRUE())</f>
        <v>0.612919205538419</v>
      </c>
    </row>
    <row r="849" customFormat="false" ht="15" hidden="false" customHeight="false" outlineLevel="0" collapsed="false">
      <c r="A849" s="0" t="n">
        <f aca="false">ROW()-1</f>
        <v>848</v>
      </c>
      <c r="B849" s="0" t="str">
        <f aca="false">'Analysis Data'!A849</f>
        <v>Rose City</v>
      </c>
      <c r="C849" s="5" t="n">
        <f aca="false">'Analysis Data'!B849</f>
        <v>40302</v>
      </c>
      <c r="D849" s="6" t="n">
        <f aca="false">'Analysis Data'!C849</f>
        <v>154.701250586176</v>
      </c>
      <c r="E849" s="15" t="n">
        <f aca="false">SUMPRODUCT('Final Model'!$B$45:$I$45,'Analysis Data'!N849:U849)</f>
        <v>172.136604997012</v>
      </c>
      <c r="F849" s="15" t="n">
        <f aca="false">D849-E849</f>
        <v>-17.4353544108363</v>
      </c>
      <c r="G849" s="13" t="n">
        <f aca="false">F849/'Final Model'!$B$21</f>
        <v>-0.355591186769913</v>
      </c>
      <c r="H849" s="6" t="n">
        <f aca="false">F849^2</f>
        <v>303.991583431467</v>
      </c>
      <c r="J849" s="6" t="n">
        <f aca="false">A849</f>
        <v>848</v>
      </c>
      <c r="K849" s="13" t="n">
        <f aca="false">SMALL($G$2:$G$1387,J849)</f>
        <v>0.286504691581341</v>
      </c>
      <c r="L849" s="18" t="n">
        <f aca="false">(J849-0.5)/1386</f>
        <v>0.611471861471862</v>
      </c>
      <c r="M849" s="18" t="n">
        <f aca="false">_xlfn.NORM.DIST(K849,AVERAGE($G$2:$G$1387),_xlfn.STDEV.S($G$2:$G$1387),TRUE())</f>
        <v>0.613032453005363</v>
      </c>
    </row>
    <row r="850" customFormat="false" ht="15" hidden="false" customHeight="false" outlineLevel="0" collapsed="false">
      <c r="A850" s="0" t="n">
        <f aca="false">ROW()-1</f>
        <v>849</v>
      </c>
      <c r="B850" s="0" t="str">
        <f aca="false">'Analysis Data'!A850</f>
        <v>Rose City</v>
      </c>
      <c r="C850" s="5" t="n">
        <f aca="false">'Analysis Data'!B850</f>
        <v>40309</v>
      </c>
      <c r="D850" s="6" t="n">
        <f aca="false">'Analysis Data'!C850</f>
        <v>120.081656526838</v>
      </c>
      <c r="E850" s="15" t="n">
        <f aca="false">SUMPRODUCT('Final Model'!$B$45:$I$45,'Analysis Data'!N850:U850)</f>
        <v>187.646097763422</v>
      </c>
      <c r="F850" s="15" t="n">
        <f aca="false">D850-E850</f>
        <v>-67.5644412365841</v>
      </c>
      <c r="G850" s="13" t="n">
        <f aca="false">F850/'Final Model'!$B$21</f>
        <v>-1.37796567116703</v>
      </c>
      <c r="H850" s="6" t="n">
        <f aca="false">F850^2</f>
        <v>4564.95371961182</v>
      </c>
      <c r="J850" s="6" t="n">
        <f aca="false">A850</f>
        <v>849</v>
      </c>
      <c r="K850" s="13" t="n">
        <f aca="false">SMALL($G$2:$G$1387,J850)</f>
        <v>0.287038048501979</v>
      </c>
      <c r="L850" s="18" t="n">
        <f aca="false">(J850-0.5)/1386</f>
        <v>0.612193362193362</v>
      </c>
      <c r="M850" s="18" t="n">
        <f aca="false">_xlfn.NORM.DIST(K850,AVERAGE($G$2:$G$1387),_xlfn.STDEV.S($G$2:$G$1387),TRUE())</f>
        <v>0.613237135095974</v>
      </c>
    </row>
    <row r="851" customFormat="false" ht="15" hidden="false" customHeight="false" outlineLevel="0" collapsed="false">
      <c r="A851" s="0" t="n">
        <f aca="false">ROW()-1</f>
        <v>850</v>
      </c>
      <c r="B851" s="0" t="str">
        <f aca="false">'Analysis Data'!A851</f>
        <v>Rose City</v>
      </c>
      <c r="C851" s="5" t="n">
        <f aca="false">'Analysis Data'!B851</f>
        <v>40316</v>
      </c>
      <c r="D851" s="6" t="n">
        <f aca="false">'Analysis Data'!C851</f>
        <v>284.829203019676</v>
      </c>
      <c r="E851" s="15" t="n">
        <f aca="false">SUMPRODUCT('Final Model'!$B$45:$I$45,'Analysis Data'!N851:U851)</f>
        <v>195.670225586879</v>
      </c>
      <c r="F851" s="15" t="n">
        <f aca="false">D851-E851</f>
        <v>89.1589774327969</v>
      </c>
      <c r="G851" s="13" t="n">
        <f aca="false">F851/'Final Model'!$B$21</f>
        <v>1.81838268666427</v>
      </c>
      <c r="H851" s="6" t="n">
        <f aca="false">F851^2</f>
        <v>7949.32325686199</v>
      </c>
      <c r="J851" s="6" t="n">
        <f aca="false">A851</f>
        <v>850</v>
      </c>
      <c r="K851" s="13" t="n">
        <f aca="false">SMALL($G$2:$G$1387,J851)</f>
        <v>0.291324329278437</v>
      </c>
      <c r="L851" s="18" t="n">
        <f aca="false">(J851-0.5)/1386</f>
        <v>0.612914862914863</v>
      </c>
      <c r="M851" s="18" t="n">
        <f aca="false">_xlfn.NORM.DIST(K851,AVERAGE($G$2:$G$1387),_xlfn.STDEV.S($G$2:$G$1387),TRUE())</f>
        <v>0.614880898495122</v>
      </c>
    </row>
    <row r="852" customFormat="false" ht="15" hidden="false" customHeight="false" outlineLevel="0" collapsed="false">
      <c r="A852" s="0" t="n">
        <f aca="false">ROW()-1</f>
        <v>851</v>
      </c>
      <c r="B852" s="0" t="str">
        <f aca="false">'Analysis Data'!A852</f>
        <v>Rose City</v>
      </c>
      <c r="C852" s="5" t="n">
        <f aca="false">'Analysis Data'!B852</f>
        <v>40323</v>
      </c>
      <c r="D852" s="6" t="n">
        <f aca="false">'Analysis Data'!C852</f>
        <v>248.174714446629</v>
      </c>
      <c r="E852" s="15" t="n">
        <f aca="false">SUMPRODUCT('Final Model'!$B$45:$I$45,'Analysis Data'!N852:U852)</f>
        <v>255.131986087363</v>
      </c>
      <c r="F852" s="15" t="n">
        <f aca="false">D852-E852</f>
        <v>-6.95727164073421</v>
      </c>
      <c r="G852" s="13" t="n">
        <f aca="false">F852/'Final Model'!$B$21</f>
        <v>-0.14189241131065</v>
      </c>
      <c r="H852" s="6" t="n">
        <f aca="false">F852^2</f>
        <v>48.4036286829644</v>
      </c>
      <c r="J852" s="6" t="n">
        <f aca="false">A852</f>
        <v>851</v>
      </c>
      <c r="K852" s="13" t="n">
        <f aca="false">SMALL($G$2:$G$1387,J852)</f>
        <v>0.292964720550773</v>
      </c>
      <c r="L852" s="18" t="n">
        <f aca="false">(J852-0.5)/1386</f>
        <v>0.613636363636364</v>
      </c>
      <c r="M852" s="18" t="n">
        <f aca="false">_xlfn.NORM.DIST(K852,AVERAGE($G$2:$G$1387),_xlfn.STDEV.S($G$2:$G$1387),TRUE())</f>
        <v>0.615509434888236</v>
      </c>
    </row>
    <row r="853" customFormat="false" ht="15" hidden="false" customHeight="false" outlineLevel="0" collapsed="false">
      <c r="A853" s="0" t="n">
        <f aca="false">ROW()-1</f>
        <v>852</v>
      </c>
      <c r="B853" s="0" t="str">
        <f aca="false">'Analysis Data'!A853</f>
        <v>Rose City</v>
      </c>
      <c r="C853" s="5" t="n">
        <f aca="false">'Analysis Data'!B853</f>
        <v>40330</v>
      </c>
      <c r="D853" s="6" t="n">
        <f aca="false">'Analysis Data'!C853</f>
        <v>278.146967665002</v>
      </c>
      <c r="E853" s="15" t="n">
        <f aca="false">SUMPRODUCT('Final Model'!$B$45:$I$45,'Analysis Data'!N853:U853)</f>
        <v>252.315517216122</v>
      </c>
      <c r="F853" s="15" t="n">
        <f aca="false">D853-E853</f>
        <v>25.8314504488795</v>
      </c>
      <c r="G853" s="13" t="n">
        <f aca="false">F853/'Final Model'!$B$21</f>
        <v>0.526828185115436</v>
      </c>
      <c r="H853" s="6" t="n">
        <f aca="false">F853^2</f>
        <v>667.263832292919</v>
      </c>
      <c r="J853" s="6" t="n">
        <f aca="false">A853</f>
        <v>852</v>
      </c>
      <c r="K853" s="13" t="n">
        <f aca="false">SMALL($G$2:$G$1387,J853)</f>
        <v>0.300158365104735</v>
      </c>
      <c r="L853" s="18" t="n">
        <f aca="false">(J853-0.5)/1386</f>
        <v>0.614357864357864</v>
      </c>
      <c r="M853" s="18" t="n">
        <f aca="false">_xlfn.NORM.DIST(K853,AVERAGE($G$2:$G$1387),_xlfn.STDEV.S($G$2:$G$1387),TRUE())</f>
        <v>0.618262164907753</v>
      </c>
    </row>
    <row r="854" customFormat="false" ht="15" hidden="false" customHeight="false" outlineLevel="0" collapsed="false">
      <c r="A854" s="0" t="n">
        <f aca="false">ROW()-1</f>
        <v>853</v>
      </c>
      <c r="B854" s="0" t="str">
        <f aca="false">'Analysis Data'!A854</f>
        <v>Rose City</v>
      </c>
      <c r="C854" s="5" t="n">
        <f aca="false">'Analysis Data'!B854</f>
        <v>40337</v>
      </c>
      <c r="D854" s="6" t="n">
        <f aca="false">'Analysis Data'!C854</f>
        <v>275.661268527828</v>
      </c>
      <c r="E854" s="15" t="n">
        <f aca="false">SUMPRODUCT('Final Model'!$B$45:$I$45,'Analysis Data'!N854:U854)</f>
        <v>247.107858263906</v>
      </c>
      <c r="F854" s="15" t="n">
        <f aca="false">D854-E854</f>
        <v>28.5534102639219</v>
      </c>
      <c r="G854" s="13" t="n">
        <f aca="false">F854/'Final Model'!$B$21</f>
        <v>0.582342108042599</v>
      </c>
      <c r="H854" s="6" t="n">
        <f aca="false">F854^2</f>
        <v>815.297237699841</v>
      </c>
      <c r="J854" s="6" t="n">
        <f aca="false">A854</f>
        <v>853</v>
      </c>
      <c r="K854" s="13" t="n">
        <f aca="false">SMALL($G$2:$G$1387,J854)</f>
        <v>0.306915350942885</v>
      </c>
      <c r="L854" s="18" t="n">
        <f aca="false">(J854-0.5)/1386</f>
        <v>0.615079365079365</v>
      </c>
      <c r="M854" s="18" t="n">
        <f aca="false">_xlfn.NORM.DIST(K854,AVERAGE($G$2:$G$1387),_xlfn.STDEV.S($G$2:$G$1387),TRUE())</f>
        <v>0.620842369765541</v>
      </c>
    </row>
    <row r="855" customFormat="false" ht="15" hidden="false" customHeight="false" outlineLevel="0" collapsed="false">
      <c r="A855" s="0" t="n">
        <f aca="false">ROW()-1</f>
        <v>854</v>
      </c>
      <c r="B855" s="0" t="str">
        <f aca="false">'Analysis Data'!A855</f>
        <v>Rose City</v>
      </c>
      <c r="C855" s="5" t="n">
        <f aca="false">'Analysis Data'!B855</f>
        <v>40344</v>
      </c>
      <c r="D855" s="6" t="n">
        <f aca="false">'Analysis Data'!C855</f>
        <v>325.039732755255</v>
      </c>
      <c r="E855" s="15" t="n">
        <f aca="false">SUMPRODUCT('Final Model'!$B$45:$I$45,'Analysis Data'!N855:U855)</f>
        <v>362.687095268681</v>
      </c>
      <c r="F855" s="15" t="n">
        <f aca="false">D855-E855</f>
        <v>-37.6473625134265</v>
      </c>
      <c r="G855" s="13" t="n">
        <f aca="false">F855/'Final Model'!$B$21</f>
        <v>-0.76781176909064</v>
      </c>
      <c r="H855" s="6" t="n">
        <f aca="false">F855^2</f>
        <v>1417.32390421735</v>
      </c>
      <c r="J855" s="6" t="n">
        <f aca="false">A855</f>
        <v>854</v>
      </c>
      <c r="K855" s="13" t="n">
        <f aca="false">SMALL($G$2:$G$1387,J855)</f>
        <v>0.307516341445503</v>
      </c>
      <c r="L855" s="18" t="n">
        <f aca="false">(J855-0.5)/1386</f>
        <v>0.615800865800866</v>
      </c>
      <c r="M855" s="18" t="n">
        <f aca="false">_xlfn.NORM.DIST(K855,AVERAGE($G$2:$G$1387),_xlfn.STDEV.S($G$2:$G$1387),TRUE())</f>
        <v>0.621071603821348</v>
      </c>
    </row>
    <row r="856" customFormat="false" ht="15" hidden="false" customHeight="false" outlineLevel="0" collapsed="false">
      <c r="A856" s="0" t="n">
        <f aca="false">ROW()-1</f>
        <v>855</v>
      </c>
      <c r="B856" s="0" t="str">
        <f aca="false">'Analysis Data'!A856</f>
        <v>Rose City</v>
      </c>
      <c r="C856" s="5" t="n">
        <f aca="false">'Analysis Data'!B856</f>
        <v>40351</v>
      </c>
      <c r="D856" s="6" t="n">
        <f aca="false">'Analysis Data'!C856</f>
        <v>336.944472290603</v>
      </c>
      <c r="E856" s="15" t="n">
        <f aca="false">SUMPRODUCT('Final Model'!$B$45:$I$45,'Analysis Data'!N856:U856)</f>
        <v>320.477650526505</v>
      </c>
      <c r="F856" s="15" t="n">
        <f aca="false">D856-E856</f>
        <v>16.4668217640984</v>
      </c>
      <c r="G856" s="13" t="n">
        <f aca="false">F856/'Final Model'!$B$21</f>
        <v>0.335838122670173</v>
      </c>
      <c r="H856" s="6" t="n">
        <f aca="false">F856^2</f>
        <v>271.156219010584</v>
      </c>
      <c r="J856" s="6" t="n">
        <f aca="false">A856</f>
        <v>855</v>
      </c>
      <c r="K856" s="13" t="n">
        <f aca="false">SMALL($G$2:$G$1387,J856)</f>
        <v>0.307942523174096</v>
      </c>
      <c r="L856" s="18" t="n">
        <f aca="false">(J856-0.5)/1386</f>
        <v>0.616522366522367</v>
      </c>
      <c r="M856" s="18" t="n">
        <f aca="false">_xlfn.NORM.DIST(K856,AVERAGE($G$2:$G$1387),_xlfn.STDEV.S($G$2:$G$1387),TRUE())</f>
        <v>0.621234135278705</v>
      </c>
    </row>
    <row r="857" customFormat="false" ht="15" hidden="false" customHeight="false" outlineLevel="0" collapsed="false">
      <c r="A857" s="0" t="n">
        <f aca="false">ROW()-1</f>
        <v>856</v>
      </c>
      <c r="B857" s="0" t="str">
        <f aca="false">'Analysis Data'!A857</f>
        <v>Rose City</v>
      </c>
      <c r="C857" s="5" t="n">
        <f aca="false">'Analysis Data'!B857</f>
        <v>40358</v>
      </c>
      <c r="D857" s="6" t="n">
        <f aca="false">'Analysis Data'!C857</f>
        <v>304.843724408636</v>
      </c>
      <c r="E857" s="15" t="n">
        <f aca="false">SUMPRODUCT('Final Model'!$B$45:$I$45,'Analysis Data'!N857:U857)</f>
        <v>316.45667092612</v>
      </c>
      <c r="F857" s="15" t="n">
        <f aca="false">D857-E857</f>
        <v>-11.6129465174837</v>
      </c>
      <c r="G857" s="13" t="n">
        <f aca="false">F857/'Final Model'!$B$21</f>
        <v>-0.236844135011162</v>
      </c>
      <c r="H857" s="6" t="n">
        <f aca="false">F857^2</f>
        <v>134.860526817937</v>
      </c>
      <c r="J857" s="6" t="n">
        <f aca="false">A857</f>
        <v>856</v>
      </c>
      <c r="K857" s="13" t="n">
        <f aca="false">SMALL($G$2:$G$1387,J857)</f>
        <v>0.308135010792883</v>
      </c>
      <c r="L857" s="18" t="n">
        <f aca="false">(J857-0.5)/1386</f>
        <v>0.617243867243867</v>
      </c>
      <c r="M857" s="18" t="n">
        <f aca="false">_xlfn.NORM.DIST(K857,AVERAGE($G$2:$G$1387),_xlfn.STDEV.S($G$2:$G$1387),TRUE())</f>
        <v>0.621307536592505</v>
      </c>
    </row>
    <row r="858" customFormat="false" ht="15" hidden="false" customHeight="false" outlineLevel="0" collapsed="false">
      <c r="A858" s="0" t="n">
        <f aca="false">ROW()-1</f>
        <v>857</v>
      </c>
      <c r="B858" s="0" t="str">
        <f aca="false">'Analysis Data'!A858</f>
        <v>Rose City</v>
      </c>
      <c r="C858" s="5" t="n">
        <f aca="false">'Analysis Data'!B858</f>
        <v>40365</v>
      </c>
      <c r="D858" s="6" t="n">
        <f aca="false">'Analysis Data'!C858</f>
        <v>257.52693757002</v>
      </c>
      <c r="E858" s="15" t="n">
        <f aca="false">SUMPRODUCT('Final Model'!$B$45:$I$45,'Analysis Data'!N858:U858)</f>
        <v>320.698314041429</v>
      </c>
      <c r="F858" s="15" t="n">
        <f aca="false">D858-E858</f>
        <v>-63.1713764714091</v>
      </c>
      <c r="G858" s="13" t="n">
        <f aca="false">F858/'Final Model'!$B$21</f>
        <v>-1.28836983751797</v>
      </c>
      <c r="H858" s="6" t="n">
        <f aca="false">F858^2</f>
        <v>3990.6228052925</v>
      </c>
      <c r="J858" s="6" t="n">
        <f aca="false">A858</f>
        <v>857</v>
      </c>
      <c r="K858" s="13" t="n">
        <f aca="false">SMALL($G$2:$G$1387,J858)</f>
        <v>0.317478005861302</v>
      </c>
      <c r="L858" s="18" t="n">
        <f aca="false">(J858-0.5)/1386</f>
        <v>0.617965367965368</v>
      </c>
      <c r="M858" s="18" t="n">
        <f aca="false">_xlfn.NORM.DIST(K858,AVERAGE($G$2:$G$1387),_xlfn.STDEV.S($G$2:$G$1387),TRUE())</f>
        <v>0.624864993882137</v>
      </c>
    </row>
    <row r="859" customFormat="false" ht="15" hidden="false" customHeight="false" outlineLevel="0" collapsed="false">
      <c r="A859" s="0" t="n">
        <f aca="false">ROW()-1</f>
        <v>858</v>
      </c>
      <c r="B859" s="0" t="str">
        <f aca="false">'Analysis Data'!A859</f>
        <v>Rose City</v>
      </c>
      <c r="C859" s="5" t="n">
        <f aca="false">'Analysis Data'!B859</f>
        <v>40372</v>
      </c>
      <c r="D859" s="6" t="n">
        <f aca="false">'Analysis Data'!C859</f>
        <v>280.496073228982</v>
      </c>
      <c r="E859" s="15" t="n">
        <f aca="false">SUMPRODUCT('Final Model'!$B$45:$I$45,'Analysis Data'!N859:U859)</f>
        <v>321.963234402287</v>
      </c>
      <c r="F859" s="15" t="n">
        <f aca="false">D859-E859</f>
        <v>-41.4671611733059</v>
      </c>
      <c r="G859" s="13" t="n">
        <f aca="false">F859/'Final Model'!$B$21</f>
        <v>-0.84571593476934</v>
      </c>
      <c r="H859" s="6" t="n">
        <f aca="false">F859^2</f>
        <v>1719.52545577293</v>
      </c>
      <c r="J859" s="6" t="n">
        <f aca="false">A859</f>
        <v>858</v>
      </c>
      <c r="K859" s="13" t="n">
        <f aca="false">SMALL($G$2:$G$1387,J859)</f>
        <v>0.318075460285572</v>
      </c>
      <c r="L859" s="18" t="n">
        <f aca="false">(J859-0.5)/1386</f>
        <v>0.618686868686869</v>
      </c>
      <c r="M859" s="18" t="n">
        <f aca="false">_xlfn.NORM.DIST(K859,AVERAGE($G$2:$G$1387),_xlfn.STDEV.S($G$2:$G$1387),TRUE())</f>
        <v>0.625092124538083</v>
      </c>
    </row>
    <row r="860" customFormat="false" ht="15" hidden="false" customHeight="false" outlineLevel="0" collapsed="false">
      <c r="A860" s="0" t="n">
        <f aca="false">ROW()-1</f>
        <v>859</v>
      </c>
      <c r="B860" s="0" t="str">
        <f aca="false">'Analysis Data'!A860</f>
        <v>Union Square</v>
      </c>
      <c r="C860" s="5" t="n">
        <f aca="false">'Analysis Data'!B860</f>
        <v>40302</v>
      </c>
      <c r="D860" s="6" t="n">
        <f aca="false">'Analysis Data'!C860</f>
        <v>234.368173921646</v>
      </c>
      <c r="E860" s="15" t="n">
        <f aca="false">SUMPRODUCT('Final Model'!$B$45:$I$45,'Analysis Data'!N860:U860)</f>
        <v>183.800247938187</v>
      </c>
      <c r="F860" s="15" t="n">
        <f aca="false">D860-E860</f>
        <v>50.5679259834591</v>
      </c>
      <c r="G860" s="13" t="n">
        <f aca="false">F860/'Final Model'!$B$21</f>
        <v>1.0313245368718</v>
      </c>
      <c r="H860" s="6" t="n">
        <f aca="false">F860^2</f>
        <v>2557.1151382686</v>
      </c>
      <c r="J860" s="6" t="n">
        <f aca="false">A860</f>
        <v>859</v>
      </c>
      <c r="K860" s="13" t="n">
        <f aca="false">SMALL($G$2:$G$1387,J860)</f>
        <v>0.318616683955225</v>
      </c>
      <c r="L860" s="18" t="n">
        <f aca="false">(J860-0.5)/1386</f>
        <v>0.619408369408369</v>
      </c>
      <c r="M860" s="18" t="n">
        <f aca="false">_xlfn.NORM.DIST(K860,AVERAGE($G$2:$G$1387),_xlfn.STDEV.S($G$2:$G$1387),TRUE())</f>
        <v>0.625297840841928</v>
      </c>
    </row>
    <row r="861" customFormat="false" ht="15" hidden="false" customHeight="false" outlineLevel="0" collapsed="false">
      <c r="A861" s="0" t="n">
        <f aca="false">ROW()-1</f>
        <v>860</v>
      </c>
      <c r="B861" s="0" t="str">
        <f aca="false">'Analysis Data'!A861</f>
        <v>Union Square</v>
      </c>
      <c r="C861" s="5" t="n">
        <f aca="false">'Analysis Data'!B861</f>
        <v>40309</v>
      </c>
      <c r="D861" s="6" t="n">
        <f aca="false">'Analysis Data'!C861</f>
        <v>240.358251747784</v>
      </c>
      <c r="E861" s="15" t="n">
        <f aca="false">SUMPRODUCT('Final Model'!$B$45:$I$45,'Analysis Data'!N861:U861)</f>
        <v>184.299367779713</v>
      </c>
      <c r="F861" s="15" t="n">
        <f aca="false">D861-E861</f>
        <v>56.0588839680708</v>
      </c>
      <c r="G861" s="13" t="n">
        <f aca="false">F861/'Final Model'!$B$21</f>
        <v>1.14331172223341</v>
      </c>
      <c r="H861" s="6" t="n">
        <f aca="false">F861^2</f>
        <v>3142.59847174562</v>
      </c>
      <c r="J861" s="6" t="n">
        <f aca="false">A861</f>
        <v>860</v>
      </c>
      <c r="K861" s="13" t="n">
        <f aca="false">SMALL($G$2:$G$1387,J861)</f>
        <v>0.319200147645973</v>
      </c>
      <c r="L861" s="18" t="n">
        <f aca="false">(J861-0.5)/1386</f>
        <v>0.62012987012987</v>
      </c>
      <c r="M861" s="18" t="n">
        <f aca="false">_xlfn.NORM.DIST(K861,AVERAGE($G$2:$G$1387),_xlfn.STDEV.S($G$2:$G$1387),TRUE())</f>
        <v>0.625519572423017</v>
      </c>
    </row>
    <row r="862" customFormat="false" ht="15" hidden="false" customHeight="false" outlineLevel="0" collapsed="false">
      <c r="A862" s="0" t="n">
        <f aca="false">ROW()-1</f>
        <v>861</v>
      </c>
      <c r="B862" s="0" t="str">
        <f aca="false">'Analysis Data'!A862</f>
        <v>Union Square</v>
      </c>
      <c r="C862" s="5" t="n">
        <f aca="false">'Analysis Data'!B862</f>
        <v>40316</v>
      </c>
      <c r="D862" s="6" t="n">
        <f aca="false">'Analysis Data'!C862</f>
        <v>212.82588288713</v>
      </c>
      <c r="E862" s="15" t="n">
        <f aca="false">SUMPRODUCT('Final Model'!$B$45:$I$45,'Analysis Data'!N862:U862)</f>
        <v>189.97882635607</v>
      </c>
      <c r="F862" s="15" t="n">
        <f aca="false">D862-E862</f>
        <v>22.8470565310597</v>
      </c>
      <c r="G862" s="13" t="n">
        <f aca="false">F862/'Final Model'!$B$21</f>
        <v>0.465961961807299</v>
      </c>
      <c r="H862" s="6" t="n">
        <f aca="false">F862^2</f>
        <v>521.987992133436</v>
      </c>
      <c r="J862" s="6" t="n">
        <f aca="false">A862</f>
        <v>861</v>
      </c>
      <c r="K862" s="13" t="n">
        <f aca="false">SMALL($G$2:$G$1387,J862)</f>
        <v>0.319492662550254</v>
      </c>
      <c r="L862" s="18" t="n">
        <f aca="false">(J862-0.5)/1386</f>
        <v>0.620851370851371</v>
      </c>
      <c r="M862" s="18" t="n">
        <f aca="false">_xlfn.NORM.DIST(K862,AVERAGE($G$2:$G$1387),_xlfn.STDEV.S($G$2:$G$1387),TRUE())</f>
        <v>0.625630720182025</v>
      </c>
    </row>
    <row r="863" customFormat="false" ht="15" hidden="false" customHeight="false" outlineLevel="0" collapsed="false">
      <c r="A863" s="0" t="n">
        <f aca="false">ROW()-1</f>
        <v>862</v>
      </c>
      <c r="B863" s="0" t="str">
        <f aca="false">'Analysis Data'!A863</f>
        <v>Union Square</v>
      </c>
      <c r="C863" s="5" t="n">
        <f aca="false">'Analysis Data'!B863</f>
        <v>40323</v>
      </c>
      <c r="D863" s="6" t="n">
        <f aca="false">'Analysis Data'!C863</f>
        <v>213.593335516837</v>
      </c>
      <c r="E863" s="15" t="n">
        <f aca="false">SUMPRODUCT('Final Model'!$B$45:$I$45,'Analysis Data'!N863:U863)</f>
        <v>250.323240916252</v>
      </c>
      <c r="F863" s="15" t="n">
        <f aca="false">D863-E863</f>
        <v>-36.729905399415</v>
      </c>
      <c r="G863" s="13" t="n">
        <f aca="false">F863/'Final Model'!$B$21</f>
        <v>-0.749100382083841</v>
      </c>
      <c r="H863" s="6" t="n">
        <f aca="false">F863^2</f>
        <v>1349.08595064998</v>
      </c>
      <c r="J863" s="6" t="n">
        <f aca="false">A863</f>
        <v>862</v>
      </c>
      <c r="K863" s="13" t="n">
        <f aca="false">SMALL($G$2:$G$1387,J863)</f>
        <v>0.320295040502756</v>
      </c>
      <c r="L863" s="18" t="n">
        <f aca="false">(J863-0.5)/1386</f>
        <v>0.621572871572872</v>
      </c>
      <c r="M863" s="18" t="n">
        <f aca="false">_xlfn.NORM.DIST(K863,AVERAGE($G$2:$G$1387),_xlfn.STDEV.S($G$2:$G$1387),TRUE())</f>
        <v>0.625935548501992</v>
      </c>
    </row>
    <row r="864" customFormat="false" ht="15" hidden="false" customHeight="false" outlineLevel="0" collapsed="false">
      <c r="A864" s="0" t="n">
        <f aca="false">ROW()-1</f>
        <v>863</v>
      </c>
      <c r="B864" s="0" t="str">
        <f aca="false">'Analysis Data'!A864</f>
        <v>Union Square</v>
      </c>
      <c r="C864" s="5" t="n">
        <f aca="false">'Analysis Data'!B864</f>
        <v>40330</v>
      </c>
      <c r="D864" s="6" t="n">
        <f aca="false">'Analysis Data'!C864</f>
        <v>202.78247809056</v>
      </c>
      <c r="E864" s="15" t="n">
        <f aca="false">SUMPRODUCT('Final Model'!$B$45:$I$45,'Analysis Data'!N864:U864)</f>
        <v>259.597413208627</v>
      </c>
      <c r="F864" s="15" t="n">
        <f aca="false">D864-E864</f>
        <v>-56.8149351180677</v>
      </c>
      <c r="G864" s="13" t="n">
        <f aca="false">F864/'Final Model'!$B$21</f>
        <v>-1.15873126113989</v>
      </c>
      <c r="H864" s="6" t="n">
        <f aca="false">F864^2</f>
        <v>3227.93685247024</v>
      </c>
      <c r="J864" s="6" t="n">
        <f aca="false">A864</f>
        <v>863</v>
      </c>
      <c r="K864" s="13" t="n">
        <f aca="false">SMALL($G$2:$G$1387,J864)</f>
        <v>0.321006502423566</v>
      </c>
      <c r="L864" s="18" t="n">
        <f aca="false">(J864-0.5)/1386</f>
        <v>0.622294372294372</v>
      </c>
      <c r="M864" s="18" t="n">
        <f aca="false">_xlfn.NORM.DIST(K864,AVERAGE($G$2:$G$1387),_xlfn.STDEV.S($G$2:$G$1387),TRUE())</f>
        <v>0.62620577141529</v>
      </c>
    </row>
    <row r="865" customFormat="false" ht="15" hidden="false" customHeight="false" outlineLevel="0" collapsed="false">
      <c r="A865" s="0" t="n">
        <f aca="false">ROW()-1</f>
        <v>864</v>
      </c>
      <c r="B865" s="0" t="str">
        <f aca="false">'Analysis Data'!A865</f>
        <v>Union Square</v>
      </c>
      <c r="C865" s="5" t="n">
        <f aca="false">'Analysis Data'!B865</f>
        <v>40337</v>
      </c>
      <c r="D865" s="6" t="n">
        <f aca="false">'Analysis Data'!C865</f>
        <v>172.892990985798</v>
      </c>
      <c r="E865" s="15" t="n">
        <f aca="false">SUMPRODUCT('Final Model'!$B$45:$I$45,'Analysis Data'!N865:U865)</f>
        <v>255.272408316109</v>
      </c>
      <c r="F865" s="15" t="n">
        <f aca="false">D865-E865</f>
        <v>-82.3794173303112</v>
      </c>
      <c r="G865" s="13" t="n">
        <f aca="false">F865/'Final Model'!$B$21</f>
        <v>-1.68011467295974</v>
      </c>
      <c r="H865" s="6" t="n">
        <f aca="false">F865^2</f>
        <v>6786.36839968157</v>
      </c>
      <c r="J865" s="6" t="n">
        <f aca="false">A865</f>
        <v>864</v>
      </c>
      <c r="K865" s="13" t="n">
        <f aca="false">SMALL($G$2:$G$1387,J865)</f>
        <v>0.322405126726463</v>
      </c>
      <c r="L865" s="18" t="n">
        <f aca="false">(J865-0.5)/1386</f>
        <v>0.623015873015873</v>
      </c>
      <c r="M865" s="18" t="n">
        <f aca="false">_xlfn.NORM.DIST(K865,AVERAGE($G$2:$G$1387),_xlfn.STDEV.S($G$2:$G$1387),TRUE())</f>
        <v>0.626736807027718</v>
      </c>
    </row>
    <row r="866" customFormat="false" ht="15" hidden="false" customHeight="false" outlineLevel="0" collapsed="false">
      <c r="A866" s="0" t="n">
        <f aca="false">ROW()-1</f>
        <v>865</v>
      </c>
      <c r="B866" s="0" t="str">
        <f aca="false">'Analysis Data'!A866</f>
        <v>Union Square</v>
      </c>
      <c r="C866" s="5" t="n">
        <f aca="false">'Analysis Data'!B866</f>
        <v>40344</v>
      </c>
      <c r="D866" s="6" t="n">
        <f aca="false">'Analysis Data'!C866</f>
        <v>270.365728405721</v>
      </c>
      <c r="E866" s="15" t="n">
        <f aca="false">SUMPRODUCT('Final Model'!$B$45:$I$45,'Analysis Data'!N866:U866)</f>
        <v>256.081507878187</v>
      </c>
      <c r="F866" s="15" t="n">
        <f aca="false">D866-E866</f>
        <v>14.2842205275333</v>
      </c>
      <c r="G866" s="13" t="n">
        <f aca="false">F866/'Final Model'!$B$21</f>
        <v>0.291324329278437</v>
      </c>
      <c r="H866" s="6" t="n">
        <f aca="false">F866^2</f>
        <v>204.038956079202</v>
      </c>
      <c r="J866" s="6" t="n">
        <f aca="false">A866</f>
        <v>865</v>
      </c>
      <c r="K866" s="13" t="n">
        <f aca="false">SMALL($G$2:$G$1387,J866)</f>
        <v>0.328129028089407</v>
      </c>
      <c r="L866" s="18" t="n">
        <f aca="false">(J866-0.5)/1386</f>
        <v>0.623737373737374</v>
      </c>
      <c r="M866" s="18" t="n">
        <f aca="false">_xlfn.NORM.DIST(K866,AVERAGE($G$2:$G$1387),_xlfn.STDEV.S($G$2:$G$1387),TRUE())</f>
        <v>0.628907564773661</v>
      </c>
    </row>
    <row r="867" customFormat="false" ht="15" hidden="false" customHeight="false" outlineLevel="0" collapsed="false">
      <c r="A867" s="0" t="n">
        <f aca="false">ROW()-1</f>
        <v>866</v>
      </c>
      <c r="B867" s="0" t="str">
        <f aca="false">'Analysis Data'!A867</f>
        <v>Union Square</v>
      </c>
      <c r="C867" s="5" t="n">
        <f aca="false">'Analysis Data'!B867</f>
        <v>40351</v>
      </c>
      <c r="D867" s="6" t="n">
        <f aca="false">'Analysis Data'!C867</f>
        <v>280.23676981467</v>
      </c>
      <c r="E867" s="15" t="n">
        <f aca="false">SUMPRODUCT('Final Model'!$B$45:$I$45,'Analysis Data'!N867:U867)</f>
        <v>248.652502868377</v>
      </c>
      <c r="F867" s="15" t="n">
        <f aca="false">D867-E867</f>
        <v>31.5842669462932</v>
      </c>
      <c r="G867" s="13" t="n">
        <f aca="false">F867/'Final Model'!$B$21</f>
        <v>0.644155931795106</v>
      </c>
      <c r="H867" s="6" t="n">
        <f aca="false">F867^2</f>
        <v>997.56591853471</v>
      </c>
      <c r="J867" s="6" t="n">
        <f aca="false">A867</f>
        <v>866</v>
      </c>
      <c r="K867" s="13" t="n">
        <f aca="false">SMALL($G$2:$G$1387,J867)</f>
        <v>0.331686914655999</v>
      </c>
      <c r="L867" s="18" t="n">
        <f aca="false">(J867-0.5)/1386</f>
        <v>0.624458874458875</v>
      </c>
      <c r="M867" s="18" t="n">
        <f aca="false">_xlfn.NORM.DIST(K867,AVERAGE($G$2:$G$1387),_xlfn.STDEV.S($G$2:$G$1387),TRUE())</f>
        <v>0.630254814276274</v>
      </c>
    </row>
    <row r="868" customFormat="false" ht="15" hidden="false" customHeight="false" outlineLevel="0" collapsed="false">
      <c r="A868" s="0" t="n">
        <f aca="false">ROW()-1</f>
        <v>867</v>
      </c>
      <c r="B868" s="0" t="str">
        <f aca="false">'Analysis Data'!A868</f>
        <v>Union Square</v>
      </c>
      <c r="C868" s="5" t="n">
        <f aca="false">'Analysis Data'!B868</f>
        <v>40358</v>
      </c>
      <c r="D868" s="6" t="n">
        <f aca="false">'Analysis Data'!C868</f>
        <v>350.550990808566</v>
      </c>
      <c r="E868" s="15" t="n">
        <f aca="false">SUMPRODUCT('Final Model'!$B$45:$I$45,'Analysis Data'!N868:U868)</f>
        <v>362.709161620174</v>
      </c>
      <c r="F868" s="15" t="n">
        <f aca="false">D868-E868</f>
        <v>-12.1581708116078</v>
      </c>
      <c r="G868" s="13" t="n">
        <f aca="false">F868/'Final Model'!$B$21</f>
        <v>-0.24796389485286</v>
      </c>
      <c r="H868" s="6" t="n">
        <f aca="false">F868^2</f>
        <v>147.821117484232</v>
      </c>
      <c r="J868" s="6" t="n">
        <f aca="false">A868</f>
        <v>867</v>
      </c>
      <c r="K868" s="13" t="n">
        <f aca="false">SMALL($G$2:$G$1387,J868)</f>
        <v>0.331792809110343</v>
      </c>
      <c r="L868" s="18" t="n">
        <f aca="false">(J868-0.5)/1386</f>
        <v>0.625180375180375</v>
      </c>
      <c r="M868" s="18" t="n">
        <f aca="false">_xlfn.NORM.DIST(K868,AVERAGE($G$2:$G$1387),_xlfn.STDEV.S($G$2:$G$1387),TRUE())</f>
        <v>0.630294888472656</v>
      </c>
    </row>
    <row r="869" customFormat="false" ht="15" hidden="false" customHeight="false" outlineLevel="0" collapsed="false">
      <c r="A869" s="0" t="n">
        <f aca="false">ROW()-1</f>
        <v>868</v>
      </c>
      <c r="B869" s="0" t="str">
        <f aca="false">'Analysis Data'!A869</f>
        <v>Union Square</v>
      </c>
      <c r="C869" s="5" t="n">
        <f aca="false">'Analysis Data'!B869</f>
        <v>40365</v>
      </c>
      <c r="D869" s="6" t="n">
        <f aca="false">'Analysis Data'!C869</f>
        <v>351.30307609864</v>
      </c>
      <c r="E869" s="15" t="n">
        <f aca="false">SUMPRODUCT('Final Model'!$B$45:$I$45,'Analysis Data'!N869:U869)</f>
        <v>343.095660806256</v>
      </c>
      <c r="F869" s="15" t="n">
        <f aca="false">D869-E869</f>
        <v>8.20741529238404</v>
      </c>
      <c r="G869" s="13" t="n">
        <f aca="false">F869/'Final Model'!$B$21</f>
        <v>0.167388885557641</v>
      </c>
      <c r="H869" s="6" t="n">
        <f aca="false">F869^2</f>
        <v>67.3616657816594</v>
      </c>
      <c r="J869" s="6" t="n">
        <f aca="false">A869</f>
        <v>868</v>
      </c>
      <c r="K869" s="13" t="n">
        <f aca="false">SMALL($G$2:$G$1387,J869)</f>
        <v>0.332228356044347</v>
      </c>
      <c r="L869" s="18" t="n">
        <f aca="false">(J869-0.5)/1386</f>
        <v>0.625901875901876</v>
      </c>
      <c r="M869" s="18" t="n">
        <f aca="false">_xlfn.NORM.DIST(K869,AVERAGE($G$2:$G$1387),_xlfn.STDEV.S($G$2:$G$1387),TRUE())</f>
        <v>0.630459699909509</v>
      </c>
    </row>
    <row r="870" customFormat="false" ht="15" hidden="false" customHeight="false" outlineLevel="0" collapsed="false">
      <c r="A870" s="0" t="n">
        <f aca="false">ROW()-1</f>
        <v>869</v>
      </c>
      <c r="B870" s="0" t="str">
        <f aca="false">'Analysis Data'!A870</f>
        <v>Union Square</v>
      </c>
      <c r="C870" s="5" t="n">
        <f aca="false">'Analysis Data'!B870</f>
        <v>40372</v>
      </c>
      <c r="D870" s="6" t="n">
        <f aca="false">'Analysis Data'!C870</f>
        <v>313.28718565791</v>
      </c>
      <c r="E870" s="15" t="n">
        <f aca="false">SUMPRODUCT('Final Model'!$B$45:$I$45,'Analysis Data'!N870:U870)</f>
        <v>340.072570651791</v>
      </c>
      <c r="F870" s="15" t="n">
        <f aca="false">D870-E870</f>
        <v>-26.7853849938815</v>
      </c>
      <c r="G870" s="13" t="n">
        <f aca="false">F870/'Final Model'!$B$21</f>
        <v>-0.546283523330255</v>
      </c>
      <c r="H870" s="6" t="n">
        <f aca="false">F870^2</f>
        <v>717.45684927045</v>
      </c>
      <c r="J870" s="6" t="n">
        <f aca="false">A870</f>
        <v>869</v>
      </c>
      <c r="K870" s="13" t="n">
        <f aca="false">SMALL($G$2:$G$1387,J870)</f>
        <v>0.335838122670173</v>
      </c>
      <c r="L870" s="18" t="n">
        <f aca="false">(J870-0.5)/1386</f>
        <v>0.626623376623377</v>
      </c>
      <c r="M870" s="18" t="n">
        <f aca="false">_xlfn.NORM.DIST(K870,AVERAGE($G$2:$G$1387),_xlfn.STDEV.S($G$2:$G$1387),TRUE())</f>
        <v>0.631824714459715</v>
      </c>
    </row>
    <row r="871" customFormat="false" ht="15" hidden="false" customHeight="false" outlineLevel="0" collapsed="false">
      <c r="A871" s="0" t="n">
        <f aca="false">ROW()-1</f>
        <v>870</v>
      </c>
      <c r="B871" s="0" t="str">
        <f aca="false">'Analysis Data'!A871</f>
        <v>West Orange</v>
      </c>
      <c r="C871" s="5" t="n">
        <f aca="false">'Analysis Data'!B871</f>
        <v>40302</v>
      </c>
      <c r="D871" s="6" t="n">
        <f aca="false">'Analysis Data'!C871</f>
        <v>206.854851600265</v>
      </c>
      <c r="E871" s="15" t="n">
        <f aca="false">SUMPRODUCT('Final Model'!$B$45:$I$45,'Analysis Data'!N871:U871)</f>
        <v>172.136604997012</v>
      </c>
      <c r="F871" s="15" t="n">
        <f aca="false">D871-E871</f>
        <v>34.7182466032527</v>
      </c>
      <c r="G871" s="13" t="n">
        <f aca="false">F871/'Final Model'!$B$21</f>
        <v>0.708072931660527</v>
      </c>
      <c r="H871" s="6" t="n">
        <f aca="false">F871^2</f>
        <v>1205.35664720426</v>
      </c>
      <c r="J871" s="6" t="n">
        <f aca="false">A871</f>
        <v>870</v>
      </c>
      <c r="K871" s="13" t="n">
        <f aca="false">SMALL($G$2:$G$1387,J871)</f>
        <v>0.336107510390569</v>
      </c>
      <c r="L871" s="18" t="n">
        <f aca="false">(J871-0.5)/1386</f>
        <v>0.627344877344877</v>
      </c>
      <c r="M871" s="18" t="n">
        <f aca="false">_xlfn.NORM.DIST(K871,AVERAGE($G$2:$G$1387),_xlfn.STDEV.S($G$2:$G$1387),TRUE())</f>
        <v>0.631926515575327</v>
      </c>
    </row>
    <row r="872" customFormat="false" ht="15" hidden="false" customHeight="false" outlineLevel="0" collapsed="false">
      <c r="A872" s="0" t="n">
        <f aca="false">ROW()-1</f>
        <v>871</v>
      </c>
      <c r="B872" s="0" t="str">
        <f aca="false">'Analysis Data'!A872</f>
        <v>West Orange</v>
      </c>
      <c r="C872" s="5" t="n">
        <f aca="false">'Analysis Data'!B872</f>
        <v>40309</v>
      </c>
      <c r="D872" s="6" t="n">
        <f aca="false">'Analysis Data'!C872</f>
        <v>142.74466259605</v>
      </c>
      <c r="E872" s="15" t="n">
        <f aca="false">SUMPRODUCT('Final Model'!$B$45:$I$45,'Analysis Data'!N872:U872)</f>
        <v>184.745948719587</v>
      </c>
      <c r="F872" s="15" t="n">
        <f aca="false">D872-E872</f>
        <v>-42.0012861235367</v>
      </c>
      <c r="G872" s="13" t="n">
        <f aca="false">F872/'Final Model'!$B$21</f>
        <v>-0.856609325317109</v>
      </c>
      <c r="H872" s="6" t="n">
        <f aca="false">F872^2</f>
        <v>1764.1080360312</v>
      </c>
      <c r="J872" s="6" t="n">
        <f aca="false">A872</f>
        <v>871</v>
      </c>
      <c r="K872" s="13" t="n">
        <f aca="false">SMALL($G$2:$G$1387,J872)</f>
        <v>0.339156541414033</v>
      </c>
      <c r="L872" s="18" t="n">
        <f aca="false">(J872-0.5)/1386</f>
        <v>0.628066378066378</v>
      </c>
      <c r="M872" s="18" t="n">
        <f aca="false">_xlfn.NORM.DIST(K872,AVERAGE($G$2:$G$1387),_xlfn.STDEV.S($G$2:$G$1387),TRUE())</f>
        <v>0.633078091320531</v>
      </c>
    </row>
    <row r="873" customFormat="false" ht="15" hidden="false" customHeight="false" outlineLevel="0" collapsed="false">
      <c r="A873" s="0" t="n">
        <f aca="false">ROW()-1</f>
        <v>872</v>
      </c>
      <c r="B873" s="0" t="str">
        <f aca="false">'Analysis Data'!A873</f>
        <v>West Orange</v>
      </c>
      <c r="C873" s="5" t="n">
        <f aca="false">'Analysis Data'!B873</f>
        <v>40316</v>
      </c>
      <c r="D873" s="6" t="n">
        <f aca="false">'Analysis Data'!C873</f>
        <v>227.909862700159</v>
      </c>
      <c r="E873" s="15" t="n">
        <f aca="false">SUMPRODUCT('Final Model'!$B$45:$I$45,'Analysis Data'!N873:U873)</f>
        <v>190.92452713747</v>
      </c>
      <c r="F873" s="15" t="n">
        <f aca="false">D873-E873</f>
        <v>36.9853355626887</v>
      </c>
      <c r="G873" s="13" t="n">
        <f aca="false">F873/'Final Model'!$B$21</f>
        <v>0.75430983827011</v>
      </c>
      <c r="H873" s="6" t="n">
        <f aca="false">F873^2</f>
        <v>1367.91504668469</v>
      </c>
      <c r="J873" s="6" t="n">
        <f aca="false">A873</f>
        <v>872</v>
      </c>
      <c r="K873" s="13" t="n">
        <f aca="false">SMALL($G$2:$G$1387,J873)</f>
        <v>0.339856648866876</v>
      </c>
      <c r="L873" s="18" t="n">
        <f aca="false">(J873-0.5)/1386</f>
        <v>0.628787878787879</v>
      </c>
      <c r="M873" s="18" t="n">
        <f aca="false">_xlfn.NORM.DIST(K873,AVERAGE($G$2:$G$1387),_xlfn.STDEV.S($G$2:$G$1387),TRUE())</f>
        <v>0.633342343436733</v>
      </c>
    </row>
    <row r="874" customFormat="false" ht="15" hidden="false" customHeight="false" outlineLevel="0" collapsed="false">
      <c r="A874" s="0" t="n">
        <f aca="false">ROW()-1</f>
        <v>873</v>
      </c>
      <c r="B874" s="0" t="str">
        <f aca="false">'Analysis Data'!A874</f>
        <v>West Orange</v>
      </c>
      <c r="C874" s="5" t="n">
        <f aca="false">'Analysis Data'!B874</f>
        <v>40323</v>
      </c>
      <c r="D874" s="6" t="n">
        <f aca="false">'Analysis Data'!C874</f>
        <v>223.912638990611</v>
      </c>
      <c r="E874" s="15" t="n">
        <f aca="false">SUMPRODUCT('Final Model'!$B$45:$I$45,'Analysis Data'!N874:U874)</f>
        <v>244.570227842276</v>
      </c>
      <c r="F874" s="15" t="n">
        <f aca="false">D874-E874</f>
        <v>-20.6575888516646</v>
      </c>
      <c r="G874" s="13" t="n">
        <f aca="false">F874/'Final Model'!$B$21</f>
        <v>-0.421308128442915</v>
      </c>
      <c r="H874" s="6" t="n">
        <f aca="false">F874^2</f>
        <v>426.735977164418</v>
      </c>
      <c r="J874" s="6" t="n">
        <f aca="false">A874</f>
        <v>873</v>
      </c>
      <c r="K874" s="13" t="n">
        <f aca="false">SMALL($G$2:$G$1387,J874)</f>
        <v>0.341314187956233</v>
      </c>
      <c r="L874" s="18" t="n">
        <f aca="false">(J874-0.5)/1386</f>
        <v>0.62950937950938</v>
      </c>
      <c r="M874" s="18" t="n">
        <f aca="false">_xlfn.NORM.DIST(K874,AVERAGE($G$2:$G$1387),_xlfn.STDEV.S($G$2:$G$1387),TRUE())</f>
        <v>0.633892281560427</v>
      </c>
    </row>
    <row r="875" customFormat="false" ht="15" hidden="false" customHeight="false" outlineLevel="0" collapsed="false">
      <c r="A875" s="0" t="n">
        <f aca="false">ROW()-1</f>
        <v>874</v>
      </c>
      <c r="B875" s="0" t="str">
        <f aca="false">'Analysis Data'!A875</f>
        <v>West Orange</v>
      </c>
      <c r="C875" s="5" t="n">
        <f aca="false">'Analysis Data'!B875</f>
        <v>40330</v>
      </c>
      <c r="D875" s="6" t="n">
        <f aca="false">'Analysis Data'!C875</f>
        <v>220.865050263559</v>
      </c>
      <c r="E875" s="15" t="n">
        <f aca="false">SUMPRODUCT('Final Model'!$B$45:$I$45,'Analysis Data'!N875:U875)</f>
        <v>250.386287637954</v>
      </c>
      <c r="F875" s="15" t="n">
        <f aca="false">D875-E875</f>
        <v>-29.5212373743958</v>
      </c>
      <c r="G875" s="13" t="n">
        <f aca="false">F875/'Final Model'!$B$21</f>
        <v>-0.602080782846227</v>
      </c>
      <c r="H875" s="6" t="n">
        <f aca="false">F875^2</f>
        <v>871.503456115422</v>
      </c>
      <c r="J875" s="6" t="n">
        <f aca="false">A875</f>
        <v>874</v>
      </c>
      <c r="K875" s="13" t="n">
        <f aca="false">SMALL($G$2:$G$1387,J875)</f>
        <v>0.345771812444069</v>
      </c>
      <c r="L875" s="18" t="n">
        <f aca="false">(J875-0.5)/1386</f>
        <v>0.63023088023088</v>
      </c>
      <c r="M875" s="18" t="n">
        <f aca="false">_xlfn.NORM.DIST(K875,AVERAGE($G$2:$G$1387),_xlfn.STDEV.S($G$2:$G$1387),TRUE())</f>
        <v>0.635572459246615</v>
      </c>
    </row>
    <row r="876" customFormat="false" ht="15" hidden="false" customHeight="false" outlineLevel="0" collapsed="false">
      <c r="A876" s="0" t="n">
        <f aca="false">ROW()-1</f>
        <v>875</v>
      </c>
      <c r="B876" s="0" t="str">
        <f aca="false">'Analysis Data'!A876</f>
        <v>West Orange</v>
      </c>
      <c r="C876" s="5" t="n">
        <f aca="false">'Analysis Data'!B876</f>
        <v>40337</v>
      </c>
      <c r="D876" s="6" t="n">
        <f aca="false">'Analysis Data'!C876</f>
        <v>229.219501334717</v>
      </c>
      <c r="E876" s="15" t="n">
        <f aca="false">SUMPRODUCT('Final Model'!$B$45:$I$45,'Analysis Data'!N876:U876)</f>
        <v>243.577242025116</v>
      </c>
      <c r="F876" s="15" t="n">
        <f aca="false">D876-E876</f>
        <v>-14.3577406903996</v>
      </c>
      <c r="G876" s="13" t="n">
        <f aca="false">F876/'Final Model'!$B$21</f>
        <v>-0.292823760913099</v>
      </c>
      <c r="H876" s="6" t="n">
        <f aca="false">F876^2</f>
        <v>206.144717732756</v>
      </c>
      <c r="J876" s="6" t="n">
        <f aca="false">A876</f>
        <v>875</v>
      </c>
      <c r="K876" s="13" t="n">
        <f aca="false">SMALL($G$2:$G$1387,J876)</f>
        <v>0.346020384109615</v>
      </c>
      <c r="L876" s="18" t="n">
        <f aca="false">(J876-0.5)/1386</f>
        <v>0.630952380952381</v>
      </c>
      <c r="M876" s="18" t="n">
        <f aca="false">_xlfn.NORM.DIST(K876,AVERAGE($G$2:$G$1387),_xlfn.STDEV.S($G$2:$G$1387),TRUE())</f>
        <v>0.63566607514312</v>
      </c>
    </row>
    <row r="877" customFormat="false" ht="15" hidden="false" customHeight="false" outlineLevel="0" collapsed="false">
      <c r="A877" s="0" t="n">
        <f aca="false">ROW()-1</f>
        <v>876</v>
      </c>
      <c r="B877" s="0" t="str">
        <f aca="false">'Analysis Data'!A877</f>
        <v>West Orange</v>
      </c>
      <c r="C877" s="5" t="n">
        <f aca="false">'Analysis Data'!B877</f>
        <v>40344</v>
      </c>
      <c r="D877" s="6" t="n">
        <f aca="false">'Analysis Data'!C877</f>
        <v>224.888537106716</v>
      </c>
      <c r="E877" s="15" t="n">
        <f aca="false">SUMPRODUCT('Final Model'!$B$45:$I$45,'Analysis Data'!N877:U877)</f>
        <v>244.207709220071</v>
      </c>
      <c r="F877" s="15" t="n">
        <f aca="false">D877-E877</f>
        <v>-19.3191721133557</v>
      </c>
      <c r="G877" s="13" t="n">
        <f aca="false">F877/'Final Model'!$B$21</f>
        <v>-0.394011339105947</v>
      </c>
      <c r="H877" s="6" t="n">
        <f aca="false">F877^2</f>
        <v>373.230411145461</v>
      </c>
      <c r="J877" s="6" t="n">
        <f aca="false">A877</f>
        <v>876</v>
      </c>
      <c r="K877" s="13" t="n">
        <f aca="false">SMALL($G$2:$G$1387,J877)</f>
        <v>0.347121024931309</v>
      </c>
      <c r="L877" s="18" t="n">
        <f aca="false">(J877-0.5)/1386</f>
        <v>0.631673881673882</v>
      </c>
      <c r="M877" s="18" t="n">
        <f aca="false">_xlfn.NORM.DIST(K877,AVERAGE($G$2:$G$1387),_xlfn.STDEV.S($G$2:$G$1387),TRUE())</f>
        <v>0.636080496017125</v>
      </c>
    </row>
    <row r="878" customFormat="false" ht="15" hidden="false" customHeight="false" outlineLevel="0" collapsed="false">
      <c r="A878" s="0" t="n">
        <f aca="false">ROW()-1</f>
        <v>877</v>
      </c>
      <c r="B878" s="0" t="str">
        <f aca="false">'Analysis Data'!A878</f>
        <v>West Orange</v>
      </c>
      <c r="C878" s="5" t="n">
        <f aca="false">'Analysis Data'!B878</f>
        <v>40351</v>
      </c>
      <c r="D878" s="6" t="n">
        <f aca="false">'Analysis Data'!C878</f>
        <v>241.56974188162</v>
      </c>
      <c r="E878" s="15" t="n">
        <f aca="false">SUMPRODUCT('Final Model'!$B$45:$I$45,'Analysis Data'!N878:U878)</f>
        <v>244.207709220071</v>
      </c>
      <c r="F878" s="15" t="n">
        <f aca="false">D878-E878</f>
        <v>-2.63796733845101</v>
      </c>
      <c r="G878" s="13" t="n">
        <f aca="false">F878/'Final Model'!$B$21</f>
        <v>-0.0538009101757669</v>
      </c>
      <c r="H878" s="6" t="n">
        <f aca="false">F878^2</f>
        <v>6.95887167873428</v>
      </c>
      <c r="J878" s="6" t="n">
        <f aca="false">A878</f>
        <v>877</v>
      </c>
      <c r="K878" s="13" t="n">
        <f aca="false">SMALL($G$2:$G$1387,J878)</f>
        <v>0.34897766646935</v>
      </c>
      <c r="L878" s="18" t="n">
        <f aca="false">(J878-0.5)/1386</f>
        <v>0.632395382395382</v>
      </c>
      <c r="M878" s="18" t="n">
        <f aca="false">_xlfn.NORM.DIST(K878,AVERAGE($G$2:$G$1387),_xlfn.STDEV.S($G$2:$G$1387),TRUE())</f>
        <v>0.636779210699409</v>
      </c>
    </row>
    <row r="879" customFormat="false" ht="15" hidden="false" customHeight="false" outlineLevel="0" collapsed="false">
      <c r="A879" s="0" t="n">
        <f aca="false">ROW()-1</f>
        <v>878</v>
      </c>
      <c r="B879" s="0" t="str">
        <f aca="false">'Analysis Data'!A879</f>
        <v>West Orange</v>
      </c>
      <c r="C879" s="5" t="n">
        <f aca="false">'Analysis Data'!B879</f>
        <v>40358</v>
      </c>
      <c r="D879" s="6" t="n">
        <f aca="false">'Analysis Data'!C879</f>
        <v>230.100481233273</v>
      </c>
      <c r="E879" s="15" t="n">
        <f aca="false">SUMPRODUCT('Final Model'!$B$45:$I$45,'Analysis Data'!N879:U879)</f>
        <v>244.207709220071</v>
      </c>
      <c r="F879" s="15" t="n">
        <f aca="false">D879-E879</f>
        <v>-14.1072279867988</v>
      </c>
      <c r="G879" s="13" t="n">
        <f aca="false">F879/'Final Model'!$B$21</f>
        <v>-0.287714595508409</v>
      </c>
      <c r="H879" s="6" t="n">
        <f aca="false">F879^2</f>
        <v>199.013881471519</v>
      </c>
      <c r="J879" s="6" t="n">
        <f aca="false">A879</f>
        <v>878</v>
      </c>
      <c r="K879" s="13" t="n">
        <f aca="false">SMALL($G$2:$G$1387,J879)</f>
        <v>0.351575732411154</v>
      </c>
      <c r="L879" s="18" t="n">
        <f aca="false">(J879-0.5)/1386</f>
        <v>0.633116883116883</v>
      </c>
      <c r="M879" s="18" t="n">
        <f aca="false">_xlfn.NORM.DIST(K879,AVERAGE($G$2:$G$1387),_xlfn.STDEV.S($G$2:$G$1387),TRUE())</f>
        <v>0.637756183455711</v>
      </c>
    </row>
    <row r="880" customFormat="false" ht="15" hidden="false" customHeight="false" outlineLevel="0" collapsed="false">
      <c r="A880" s="0" t="n">
        <f aca="false">ROW()-1</f>
        <v>879</v>
      </c>
      <c r="B880" s="0" t="str">
        <f aca="false">'Analysis Data'!A880</f>
        <v>West Orange</v>
      </c>
      <c r="C880" s="5" t="n">
        <f aca="false">'Analysis Data'!B880</f>
        <v>40365</v>
      </c>
      <c r="D880" s="6" t="n">
        <f aca="false">'Analysis Data'!C880</f>
        <v>308.246585568921</v>
      </c>
      <c r="E880" s="15" t="n">
        <f aca="false">SUMPRODUCT('Final Model'!$B$45:$I$45,'Analysis Data'!N880:U880)</f>
        <v>253.396768439252</v>
      </c>
      <c r="F880" s="15" t="n">
        <f aca="false">D880-E880</f>
        <v>54.8498171296692</v>
      </c>
      <c r="G880" s="13" t="n">
        <f aca="false">F880/'Final Model'!$B$21</f>
        <v>1.11865300283944</v>
      </c>
      <c r="H880" s="6" t="n">
        <f aca="false">F880^2</f>
        <v>3008.50243915816</v>
      </c>
      <c r="J880" s="6" t="n">
        <f aca="false">A880</f>
        <v>879</v>
      </c>
      <c r="K880" s="13" t="n">
        <f aca="false">SMALL($G$2:$G$1387,J880)</f>
        <v>0.355404667733967</v>
      </c>
      <c r="L880" s="18" t="n">
        <f aca="false">(J880-0.5)/1386</f>
        <v>0.633838383838384</v>
      </c>
      <c r="M880" s="18" t="n">
        <f aca="false">_xlfn.NORM.DIST(K880,AVERAGE($G$2:$G$1387),_xlfn.STDEV.S($G$2:$G$1387),TRUE())</f>
        <v>0.639194374576742</v>
      </c>
    </row>
    <row r="881" customFormat="false" ht="15" hidden="false" customHeight="false" outlineLevel="0" collapsed="false">
      <c r="A881" s="0" t="n">
        <f aca="false">ROW()-1</f>
        <v>880</v>
      </c>
      <c r="B881" s="0" t="str">
        <f aca="false">'Analysis Data'!A881</f>
        <v>West Orange</v>
      </c>
      <c r="C881" s="5" t="n">
        <f aca="false">'Analysis Data'!B881</f>
        <v>40372</v>
      </c>
      <c r="D881" s="6" t="n">
        <f aca="false">'Analysis Data'!C881</f>
        <v>326.652946057765</v>
      </c>
      <c r="E881" s="15" t="n">
        <f aca="false">SUMPRODUCT('Final Model'!$B$45:$I$45,'Analysis Data'!N881:U881)</f>
        <v>253.396768439252</v>
      </c>
      <c r="F881" s="15" t="n">
        <f aca="false">D881-E881</f>
        <v>73.2561776185132</v>
      </c>
      <c r="G881" s="13" t="n">
        <f aca="false">F881/'Final Model'!$B$21</f>
        <v>1.4940476989332</v>
      </c>
      <c r="H881" s="6" t="n">
        <f aca="false">F881^2</f>
        <v>5366.46755927515</v>
      </c>
      <c r="J881" s="6" t="n">
        <f aca="false">A881</f>
        <v>880</v>
      </c>
      <c r="K881" s="13" t="n">
        <f aca="false">SMALL($G$2:$G$1387,J881)</f>
        <v>0.359902583897439</v>
      </c>
      <c r="L881" s="18" t="n">
        <f aca="false">(J881-0.5)/1386</f>
        <v>0.634559884559885</v>
      </c>
      <c r="M881" s="18" t="n">
        <f aca="false">_xlfn.NORM.DIST(K881,AVERAGE($G$2:$G$1387),_xlfn.STDEV.S($G$2:$G$1387),TRUE())</f>
        <v>0.640881330157516</v>
      </c>
    </row>
    <row r="882" customFormat="false" ht="15" hidden="false" customHeight="false" outlineLevel="0" collapsed="false">
      <c r="A882" s="0" t="n">
        <f aca="false">ROW()-1</f>
        <v>881</v>
      </c>
      <c r="B882" s="0" t="str">
        <f aca="false">'Analysis Data'!A882</f>
        <v>White Plains</v>
      </c>
      <c r="C882" s="5" t="n">
        <f aca="false">'Analysis Data'!B882</f>
        <v>40302</v>
      </c>
      <c r="D882" s="6" t="n">
        <f aca="false">'Analysis Data'!C882</f>
        <v>120.518992945255</v>
      </c>
      <c r="E882" s="15" t="n">
        <f aca="false">SUMPRODUCT('Final Model'!$B$45:$I$45,'Analysis Data'!N882:U882)</f>
        <v>259.297912524947</v>
      </c>
      <c r="F882" s="15" t="n">
        <f aca="false">D882-E882</f>
        <v>-138.778919579692</v>
      </c>
      <c r="G882" s="13" t="n">
        <f aca="false">F882/'Final Model'!$B$21</f>
        <v>-2.83037324904152</v>
      </c>
      <c r="H882" s="6" t="n">
        <f aca="false">F882^2</f>
        <v>19259.5885197066</v>
      </c>
      <c r="J882" s="6" t="n">
        <f aca="false">A882</f>
        <v>881</v>
      </c>
      <c r="K882" s="13" t="n">
        <f aca="false">SMALL($G$2:$G$1387,J882)</f>
        <v>0.362486664821785</v>
      </c>
      <c r="L882" s="18" t="n">
        <f aca="false">(J882-0.5)/1386</f>
        <v>0.635281385281385</v>
      </c>
      <c r="M882" s="18" t="n">
        <f aca="false">_xlfn.NORM.DIST(K882,AVERAGE($G$2:$G$1387),_xlfn.STDEV.S($G$2:$G$1387),TRUE())</f>
        <v>0.641849258201612</v>
      </c>
    </row>
    <row r="883" customFormat="false" ht="15" hidden="false" customHeight="false" outlineLevel="0" collapsed="false">
      <c r="A883" s="0" t="n">
        <f aca="false">ROW()-1</f>
        <v>882</v>
      </c>
      <c r="B883" s="0" t="str">
        <f aca="false">'Analysis Data'!A883</f>
        <v>White Plains</v>
      </c>
      <c r="C883" s="5" t="n">
        <f aca="false">'Analysis Data'!B883</f>
        <v>40309</v>
      </c>
      <c r="D883" s="6" t="n">
        <f aca="false">'Analysis Data'!C883</f>
        <v>199.315991033702</v>
      </c>
      <c r="E883" s="15" t="n">
        <f aca="false">SUMPRODUCT('Final Model'!$B$45:$I$45,'Analysis Data'!N883:U883)</f>
        <v>260.022949769356</v>
      </c>
      <c r="F883" s="15" t="n">
        <f aca="false">D883-E883</f>
        <v>-60.7069587356535</v>
      </c>
      <c r="G883" s="13" t="n">
        <f aca="false">F883/'Final Model'!$B$21</f>
        <v>-1.23810844295696</v>
      </c>
      <c r="H883" s="6" t="n">
        <f aca="false">F883^2</f>
        <v>3685.33483893233</v>
      </c>
      <c r="J883" s="6" t="n">
        <f aca="false">A883</f>
        <v>882</v>
      </c>
      <c r="K883" s="13" t="n">
        <f aca="false">SMALL($G$2:$G$1387,J883)</f>
        <v>0.364126605797203</v>
      </c>
      <c r="L883" s="18" t="n">
        <f aca="false">(J883-0.5)/1386</f>
        <v>0.636002886002886</v>
      </c>
      <c r="M883" s="18" t="n">
        <f aca="false">_xlfn.NORM.DIST(K883,AVERAGE($G$2:$G$1387),_xlfn.STDEV.S($G$2:$G$1387),TRUE())</f>
        <v>0.642463064423696</v>
      </c>
    </row>
    <row r="884" customFormat="false" ht="15" hidden="false" customHeight="false" outlineLevel="0" collapsed="false">
      <c r="A884" s="0" t="n">
        <f aca="false">ROW()-1</f>
        <v>883</v>
      </c>
      <c r="B884" s="0" t="str">
        <f aca="false">'Analysis Data'!A884</f>
        <v>White Plains</v>
      </c>
      <c r="C884" s="5" t="n">
        <f aca="false">'Analysis Data'!B884</f>
        <v>40316</v>
      </c>
      <c r="D884" s="6" t="n">
        <f aca="false">'Analysis Data'!C884</f>
        <v>265.207807417214</v>
      </c>
      <c r="E884" s="15" t="n">
        <f aca="false">SUMPRODUCT('Final Model'!$B$45:$I$45,'Analysis Data'!N884:U884)</f>
        <v>190.92452713747</v>
      </c>
      <c r="F884" s="15" t="n">
        <f aca="false">D884-E884</f>
        <v>74.2832802797442</v>
      </c>
      <c r="G884" s="13" t="n">
        <f aca="false">F884/'Final Model'!$B$21</f>
        <v>1.51499528884939</v>
      </c>
      <c r="H884" s="6" t="n">
        <f aca="false">F884^2</f>
        <v>5518.00572911903</v>
      </c>
      <c r="J884" s="6" t="n">
        <f aca="false">A884</f>
        <v>883</v>
      </c>
      <c r="K884" s="13" t="n">
        <f aca="false">SMALL($G$2:$G$1387,J884)</f>
        <v>0.364840452328028</v>
      </c>
      <c r="L884" s="18" t="n">
        <f aca="false">(J884-0.5)/1386</f>
        <v>0.636724386724387</v>
      </c>
      <c r="M884" s="18" t="n">
        <f aca="false">_xlfn.NORM.DIST(K884,AVERAGE($G$2:$G$1387),_xlfn.STDEV.S($G$2:$G$1387),TRUE())</f>
        <v>0.642730131909904</v>
      </c>
    </row>
    <row r="885" customFormat="false" ht="15" hidden="false" customHeight="false" outlineLevel="0" collapsed="false">
      <c r="A885" s="0" t="n">
        <f aca="false">ROW()-1</f>
        <v>884</v>
      </c>
      <c r="B885" s="0" t="str">
        <f aca="false">'Analysis Data'!A885</f>
        <v>White Plains</v>
      </c>
      <c r="C885" s="5" t="n">
        <f aca="false">'Analysis Data'!B885</f>
        <v>40323</v>
      </c>
      <c r="D885" s="6" t="n">
        <f aca="false">'Analysis Data'!C885</f>
        <v>292.620087994381</v>
      </c>
      <c r="E885" s="15" t="n">
        <f aca="false">SUMPRODUCT('Final Model'!$B$45:$I$45,'Analysis Data'!N885:U885)</f>
        <v>250.386287637954</v>
      </c>
      <c r="F885" s="15" t="n">
        <f aca="false">D885-E885</f>
        <v>42.2338003564269</v>
      </c>
      <c r="G885" s="13" t="n">
        <f aca="false">F885/'Final Model'!$B$21</f>
        <v>0.861351414870671</v>
      </c>
      <c r="H885" s="6" t="n">
        <f aca="false">F885^2</f>
        <v>1783.69389254652</v>
      </c>
      <c r="J885" s="6" t="n">
        <f aca="false">A885</f>
        <v>884</v>
      </c>
      <c r="K885" s="13" t="n">
        <f aca="false">SMALL($G$2:$G$1387,J885)</f>
        <v>0.368749655944058</v>
      </c>
      <c r="L885" s="18" t="n">
        <f aca="false">(J885-0.5)/1386</f>
        <v>0.637445887445888</v>
      </c>
      <c r="M885" s="18" t="n">
        <f aca="false">_xlfn.NORM.DIST(K885,AVERAGE($G$2:$G$1387),_xlfn.STDEV.S($G$2:$G$1387),TRUE())</f>
        <v>0.644191418171762</v>
      </c>
    </row>
    <row r="886" customFormat="false" ht="15" hidden="false" customHeight="false" outlineLevel="0" collapsed="false">
      <c r="A886" s="0" t="n">
        <f aca="false">ROW()-1</f>
        <v>885</v>
      </c>
      <c r="B886" s="0" t="str">
        <f aca="false">'Analysis Data'!A886</f>
        <v>White Plains</v>
      </c>
      <c r="C886" s="5" t="n">
        <f aca="false">'Analysis Data'!B886</f>
        <v>40330</v>
      </c>
      <c r="D886" s="6" t="n">
        <f aca="false">'Analysis Data'!C886</f>
        <v>296.429275213255</v>
      </c>
      <c r="E886" s="15" t="n">
        <f aca="false">SUMPRODUCT('Final Model'!$B$45:$I$45,'Analysis Data'!N886:U886)</f>
        <v>250.386287637954</v>
      </c>
      <c r="F886" s="15" t="n">
        <f aca="false">D886-E886</f>
        <v>46.0429875753001</v>
      </c>
      <c r="G886" s="13" t="n">
        <f aca="false">F886/'Final Model'!$B$21</f>
        <v>0.939039161954612</v>
      </c>
      <c r="H886" s="6" t="n">
        <f aca="false">F886^2</f>
        <v>2119.95670485924</v>
      </c>
      <c r="J886" s="6" t="n">
        <f aca="false">A886</f>
        <v>885</v>
      </c>
      <c r="K886" s="13" t="n">
        <f aca="false">SMALL($G$2:$G$1387,J886)</f>
        <v>0.370614998987161</v>
      </c>
      <c r="L886" s="18" t="n">
        <f aca="false">(J886-0.5)/1386</f>
        <v>0.638167388167388</v>
      </c>
      <c r="M886" s="18" t="n">
        <f aca="false">_xlfn.NORM.DIST(K886,AVERAGE($G$2:$G$1387),_xlfn.STDEV.S($G$2:$G$1387),TRUE())</f>
        <v>0.644887951364264</v>
      </c>
    </row>
    <row r="887" customFormat="false" ht="15" hidden="false" customHeight="false" outlineLevel="0" collapsed="false">
      <c r="A887" s="0" t="n">
        <f aca="false">ROW()-1</f>
        <v>886</v>
      </c>
      <c r="B887" s="0" t="str">
        <f aca="false">'Analysis Data'!A887</f>
        <v>White Plains</v>
      </c>
      <c r="C887" s="5" t="n">
        <f aca="false">'Analysis Data'!B887</f>
        <v>40337</v>
      </c>
      <c r="D887" s="6" t="n">
        <f aca="false">'Analysis Data'!C887</f>
        <v>349.296497627869</v>
      </c>
      <c r="E887" s="15" t="n">
        <f aca="false">SUMPRODUCT('Final Model'!$B$45:$I$45,'Analysis Data'!N887:U887)</f>
        <v>351.748489593982</v>
      </c>
      <c r="F887" s="15" t="n">
        <f aca="false">D887-E887</f>
        <v>-2.45199196611276</v>
      </c>
      <c r="G887" s="13" t="n">
        <f aca="false">F887/'Final Model'!$B$21</f>
        <v>-0.0500079730319923</v>
      </c>
      <c r="H887" s="6" t="n">
        <f aca="false">F887^2</f>
        <v>6.01226460188151</v>
      </c>
      <c r="J887" s="6" t="n">
        <f aca="false">A887</f>
        <v>886</v>
      </c>
      <c r="K887" s="13" t="n">
        <f aca="false">SMALL($G$2:$G$1387,J887)</f>
        <v>0.370624380791778</v>
      </c>
      <c r="L887" s="18" t="n">
        <f aca="false">(J887-0.5)/1386</f>
        <v>0.638888888888889</v>
      </c>
      <c r="M887" s="18" t="n">
        <f aca="false">_xlfn.NORM.DIST(K887,AVERAGE($G$2:$G$1387),_xlfn.STDEV.S($G$2:$G$1387),TRUE())</f>
        <v>0.644891453380001</v>
      </c>
    </row>
    <row r="888" customFormat="false" ht="15" hidden="false" customHeight="false" outlineLevel="0" collapsed="false">
      <c r="A888" s="0" t="n">
        <f aca="false">ROW()-1</f>
        <v>887</v>
      </c>
      <c r="B888" s="0" t="str">
        <f aca="false">'Analysis Data'!A888</f>
        <v>White Plains</v>
      </c>
      <c r="C888" s="5" t="n">
        <f aca="false">'Analysis Data'!B888</f>
        <v>40344</v>
      </c>
      <c r="D888" s="6" t="n">
        <f aca="false">'Analysis Data'!C888</f>
        <v>284.123614747547</v>
      </c>
      <c r="E888" s="15" t="n">
        <f aca="false">SUMPRODUCT('Final Model'!$B$45:$I$45,'Analysis Data'!N888:U888)</f>
        <v>317.57750148267</v>
      </c>
      <c r="F888" s="15" t="n">
        <f aca="false">D888-E888</f>
        <v>-33.4538867351226</v>
      </c>
      <c r="G888" s="13" t="n">
        <f aca="false">F888/'Final Model'!$B$21</f>
        <v>-0.682286520015623</v>
      </c>
      <c r="H888" s="6" t="n">
        <f aca="false">F888^2</f>
        <v>1119.16253768641</v>
      </c>
      <c r="J888" s="6" t="n">
        <f aca="false">A888</f>
        <v>887</v>
      </c>
      <c r="K888" s="13" t="n">
        <f aca="false">SMALL($G$2:$G$1387,J888)</f>
        <v>0.371525586542136</v>
      </c>
      <c r="L888" s="18" t="n">
        <f aca="false">(J888-0.5)/1386</f>
        <v>0.63961038961039</v>
      </c>
      <c r="M888" s="18" t="n">
        <f aca="false">_xlfn.NORM.DIST(K888,AVERAGE($G$2:$G$1387),_xlfn.STDEV.S($G$2:$G$1387),TRUE())</f>
        <v>0.645227796036425</v>
      </c>
    </row>
    <row r="889" customFormat="false" ht="15" hidden="false" customHeight="false" outlineLevel="0" collapsed="false">
      <c r="A889" s="0" t="n">
        <f aca="false">ROW()-1</f>
        <v>888</v>
      </c>
      <c r="B889" s="0" t="str">
        <f aca="false">'Analysis Data'!A889</f>
        <v>White Plains</v>
      </c>
      <c r="C889" s="5" t="n">
        <f aca="false">'Analysis Data'!B889</f>
        <v>40351</v>
      </c>
      <c r="D889" s="6" t="n">
        <f aca="false">'Analysis Data'!C889</f>
        <v>302.026824430316</v>
      </c>
      <c r="E889" s="15" t="n">
        <f aca="false">SUMPRODUCT('Final Model'!$B$45:$I$45,'Analysis Data'!N889:U889)</f>
        <v>317.57750148267</v>
      </c>
      <c r="F889" s="15" t="n">
        <f aca="false">D889-E889</f>
        <v>-15.5506770523544</v>
      </c>
      <c r="G889" s="13" t="n">
        <f aca="false">F889/'Final Model'!$B$21</f>
        <v>-0.317153501891857</v>
      </c>
      <c r="H889" s="6" t="n">
        <f aca="false">F889^2</f>
        <v>241.823556786621</v>
      </c>
      <c r="J889" s="6" t="n">
        <f aca="false">A889</f>
        <v>888</v>
      </c>
      <c r="K889" s="13" t="n">
        <f aca="false">SMALL($G$2:$G$1387,J889)</f>
        <v>0.372702784520532</v>
      </c>
      <c r="L889" s="18" t="n">
        <f aca="false">(J889-0.5)/1386</f>
        <v>0.64033189033189</v>
      </c>
      <c r="M889" s="18" t="n">
        <f aca="false">_xlfn.NORM.DIST(K889,AVERAGE($G$2:$G$1387),_xlfn.STDEV.S($G$2:$G$1387),TRUE())</f>
        <v>0.645666972375853</v>
      </c>
    </row>
    <row r="890" customFormat="false" ht="15" hidden="false" customHeight="false" outlineLevel="0" collapsed="false">
      <c r="A890" s="0" t="n">
        <f aca="false">ROW()-1</f>
        <v>889</v>
      </c>
      <c r="B890" s="0" t="str">
        <f aca="false">'Analysis Data'!A890</f>
        <v>White Plains</v>
      </c>
      <c r="C890" s="5" t="n">
        <f aca="false">'Analysis Data'!B890</f>
        <v>40358</v>
      </c>
      <c r="D890" s="6" t="n">
        <f aca="false">'Analysis Data'!C890</f>
        <v>262.657035952143</v>
      </c>
      <c r="E890" s="15" t="n">
        <f aca="false">SUMPRODUCT('Final Model'!$B$45:$I$45,'Analysis Data'!N890:U890)</f>
        <v>317.57750148267</v>
      </c>
      <c r="F890" s="15" t="n">
        <f aca="false">D890-E890</f>
        <v>-54.9204655305275</v>
      </c>
      <c r="G890" s="13" t="n">
        <f aca="false">F890/'Final Model'!$B$21</f>
        <v>-1.12009386536007</v>
      </c>
      <c r="H890" s="6" t="n">
        <f aca="false">F890^2</f>
        <v>3016.25753408986</v>
      </c>
      <c r="J890" s="6" t="n">
        <f aca="false">A890</f>
        <v>889</v>
      </c>
      <c r="K890" s="13" t="n">
        <f aca="false">SMALL($G$2:$G$1387,J890)</f>
        <v>0.37566105527284</v>
      </c>
      <c r="L890" s="18" t="n">
        <f aca="false">(J890-0.5)/1386</f>
        <v>0.641053391053391</v>
      </c>
      <c r="M890" s="18" t="n">
        <f aca="false">_xlfn.NORM.DIST(K890,AVERAGE($G$2:$G$1387),_xlfn.STDEV.S($G$2:$G$1387),TRUE())</f>
        <v>0.646769756335082</v>
      </c>
    </row>
    <row r="891" customFormat="false" ht="15" hidden="false" customHeight="false" outlineLevel="0" collapsed="false">
      <c r="A891" s="0" t="n">
        <f aca="false">ROW()-1</f>
        <v>890</v>
      </c>
      <c r="B891" s="0" t="str">
        <f aca="false">'Analysis Data'!A891</f>
        <v>White Plains</v>
      </c>
      <c r="C891" s="5" t="n">
        <f aca="false">'Analysis Data'!B891</f>
        <v>40365</v>
      </c>
      <c r="D891" s="6" t="n">
        <f aca="false">'Analysis Data'!C891</f>
        <v>377.139476472588</v>
      </c>
      <c r="E891" s="15" t="n">
        <f aca="false">SUMPRODUCT('Final Model'!$B$45:$I$45,'Analysis Data'!N891:U891)</f>
        <v>326.146646865374</v>
      </c>
      <c r="F891" s="15" t="n">
        <f aca="false">D891-E891</f>
        <v>50.9928296072144</v>
      </c>
      <c r="G891" s="13" t="n">
        <f aca="false">F891/'Final Model'!$B$21</f>
        <v>1.0399903764225</v>
      </c>
      <c r="H891" s="6" t="n">
        <f aca="false">F891^2</f>
        <v>2600.2686713504</v>
      </c>
      <c r="J891" s="6" t="n">
        <f aca="false">A891</f>
        <v>890</v>
      </c>
      <c r="K891" s="13" t="n">
        <f aca="false">SMALL($G$2:$G$1387,J891)</f>
        <v>0.378370006207298</v>
      </c>
      <c r="L891" s="18" t="n">
        <f aca="false">(J891-0.5)/1386</f>
        <v>0.641774891774892</v>
      </c>
      <c r="M891" s="18" t="n">
        <f aca="false">_xlfn.NORM.DIST(K891,AVERAGE($G$2:$G$1387),_xlfn.STDEV.S($G$2:$G$1387),TRUE())</f>
        <v>0.647778519264267</v>
      </c>
    </row>
    <row r="892" customFormat="false" ht="15" hidden="false" customHeight="false" outlineLevel="0" collapsed="false">
      <c r="A892" s="0" t="n">
        <f aca="false">ROW()-1</f>
        <v>891</v>
      </c>
      <c r="B892" s="0" t="str">
        <f aca="false">'Analysis Data'!A892</f>
        <v>White Plains</v>
      </c>
      <c r="C892" s="5" t="n">
        <f aca="false">'Analysis Data'!B892</f>
        <v>40372</v>
      </c>
      <c r="D892" s="6" t="n">
        <f aca="false">'Analysis Data'!C892</f>
        <v>327.866691513203</v>
      </c>
      <c r="E892" s="15" t="n">
        <f aca="false">SUMPRODUCT('Final Model'!$B$45:$I$45,'Analysis Data'!N892:U892)</f>
        <v>332.945184680228</v>
      </c>
      <c r="F892" s="15" t="n">
        <f aca="false">D892-E892</f>
        <v>-5.07849316702522</v>
      </c>
      <c r="G892" s="13" t="n">
        <f aca="false">F892/'Final Model'!$B$21</f>
        <v>-0.103575033217738</v>
      </c>
      <c r="H892" s="6" t="n">
        <f aca="false">F892^2</f>
        <v>25.7910928475218</v>
      </c>
      <c r="J892" s="6" t="n">
        <f aca="false">A892</f>
        <v>891</v>
      </c>
      <c r="K892" s="13" t="n">
        <f aca="false">SMALL($G$2:$G$1387,J892)</f>
        <v>0.380713073543845</v>
      </c>
      <c r="L892" s="18" t="n">
        <f aca="false">(J892-0.5)/1386</f>
        <v>0.642496392496393</v>
      </c>
      <c r="M892" s="18" t="n">
        <f aca="false">_xlfn.NORM.DIST(K892,AVERAGE($G$2:$G$1387),_xlfn.STDEV.S($G$2:$G$1387),TRUE())</f>
        <v>0.648650196455669</v>
      </c>
    </row>
    <row r="893" customFormat="false" ht="15" hidden="false" customHeight="false" outlineLevel="0" collapsed="false">
      <c r="A893" s="0" t="n">
        <f aca="false">ROW()-1</f>
        <v>892</v>
      </c>
      <c r="B893" s="0" t="str">
        <f aca="false">'Analysis Data'!A893</f>
        <v>Bellevue</v>
      </c>
      <c r="C893" s="5" t="n">
        <f aca="false">'Analysis Data'!B893</f>
        <v>40302</v>
      </c>
      <c r="D893" s="6" t="n">
        <f aca="false">'Analysis Data'!C893</f>
        <v>178.296705853579</v>
      </c>
      <c r="E893" s="15" t="n">
        <f aca="false">SUMPRODUCT('Final Model'!$B$45:$I$45,'Analysis Data'!N893:U893)</f>
        <v>229.318984141088</v>
      </c>
      <c r="F893" s="15" t="n">
        <f aca="false">D893-E893</f>
        <v>-51.0222782875096</v>
      </c>
      <c r="G893" s="13" t="n">
        <f aca="false">F893/'Final Model'!$B$21</f>
        <v>-1.04059097741565</v>
      </c>
      <c r="H893" s="6" t="n">
        <f aca="false">F893^2</f>
        <v>2603.27288164807</v>
      </c>
      <c r="J893" s="6" t="n">
        <f aca="false">A893</f>
        <v>892</v>
      </c>
      <c r="K893" s="13" t="n">
        <f aca="false">SMALL($G$2:$G$1387,J893)</f>
        <v>0.381342664467579</v>
      </c>
      <c r="L893" s="18" t="n">
        <f aca="false">(J893-0.5)/1386</f>
        <v>0.643217893217893</v>
      </c>
      <c r="M893" s="18" t="n">
        <f aca="false">_xlfn.NORM.DIST(K893,AVERAGE($G$2:$G$1387),_xlfn.STDEV.S($G$2:$G$1387),TRUE())</f>
        <v>0.6488842863835</v>
      </c>
    </row>
    <row r="894" customFormat="false" ht="15" hidden="false" customHeight="false" outlineLevel="0" collapsed="false">
      <c r="A894" s="0" t="n">
        <f aca="false">ROW()-1</f>
        <v>893</v>
      </c>
      <c r="B894" s="0" t="str">
        <f aca="false">'Analysis Data'!A894</f>
        <v>Bellevue</v>
      </c>
      <c r="C894" s="5" t="n">
        <f aca="false">'Analysis Data'!B894</f>
        <v>40309</v>
      </c>
      <c r="D894" s="6" t="n">
        <f aca="false">'Analysis Data'!C894</f>
        <v>198.506340000082</v>
      </c>
      <c r="E894" s="15" t="n">
        <f aca="false">SUMPRODUCT('Final Model'!$B$45:$I$45,'Analysis Data'!N894:U894)</f>
        <v>242.988805977962</v>
      </c>
      <c r="F894" s="15" t="n">
        <f aca="false">D894-E894</f>
        <v>-44.4824659778806</v>
      </c>
      <c r="G894" s="13" t="n">
        <f aca="false">F894/'Final Model'!$B$21</f>
        <v>-0.907212580530973</v>
      </c>
      <c r="H894" s="6" t="n">
        <f aca="false">F894^2</f>
        <v>1978.6897794733</v>
      </c>
      <c r="J894" s="6" t="n">
        <f aca="false">A894</f>
        <v>893</v>
      </c>
      <c r="K894" s="13" t="n">
        <f aca="false">SMALL($G$2:$G$1387,J894)</f>
        <v>0.381513498287857</v>
      </c>
      <c r="L894" s="18" t="n">
        <f aca="false">(J894-0.5)/1386</f>
        <v>0.643939393939394</v>
      </c>
      <c r="M894" s="18" t="n">
        <f aca="false">_xlfn.NORM.DIST(K894,AVERAGE($G$2:$G$1387),_xlfn.STDEV.S($G$2:$G$1387),TRUE())</f>
        <v>0.648947794835926</v>
      </c>
    </row>
    <row r="895" customFormat="false" ht="15" hidden="false" customHeight="false" outlineLevel="0" collapsed="false">
      <c r="A895" s="0" t="n">
        <f aca="false">ROW()-1</f>
        <v>894</v>
      </c>
      <c r="B895" s="0" t="str">
        <f aca="false">'Analysis Data'!A895</f>
        <v>Bellevue</v>
      </c>
      <c r="C895" s="5" t="n">
        <f aca="false">'Analysis Data'!B895</f>
        <v>40316</v>
      </c>
      <c r="D895" s="6" t="n">
        <f aca="false">'Analysis Data'!C895</f>
        <v>329.454349465027</v>
      </c>
      <c r="E895" s="15" t="n">
        <f aca="false">SUMPRODUCT('Final Model'!$B$45:$I$45,'Analysis Data'!N895:U895)</f>
        <v>245.370133083877</v>
      </c>
      <c r="F895" s="15" t="n">
        <f aca="false">D895-E895</f>
        <v>84.0842163811498</v>
      </c>
      <c r="G895" s="13" t="n">
        <f aca="false">F895/'Final Model'!$B$21</f>
        <v>1.71488376932609</v>
      </c>
      <c r="H895" s="6" t="n">
        <f aca="false">F895^2</f>
        <v>7070.15544443202</v>
      </c>
      <c r="J895" s="6" t="n">
        <f aca="false">A895</f>
        <v>894</v>
      </c>
      <c r="K895" s="13" t="n">
        <f aca="false">SMALL($G$2:$G$1387,J895)</f>
        <v>0.382146281971462</v>
      </c>
      <c r="L895" s="18" t="n">
        <f aca="false">(J895-0.5)/1386</f>
        <v>0.644660894660895</v>
      </c>
      <c r="M895" s="18" t="n">
        <f aca="false">_xlfn.NORM.DIST(K895,AVERAGE($G$2:$G$1387),_xlfn.STDEV.S($G$2:$G$1387),TRUE())</f>
        <v>0.649182999543486</v>
      </c>
    </row>
    <row r="896" customFormat="false" ht="15" hidden="false" customHeight="false" outlineLevel="0" collapsed="false">
      <c r="A896" s="0" t="n">
        <f aca="false">ROW()-1</f>
        <v>895</v>
      </c>
      <c r="B896" s="0" t="str">
        <f aca="false">'Analysis Data'!A896</f>
        <v>Bellevue</v>
      </c>
      <c r="C896" s="5" t="n">
        <f aca="false">'Analysis Data'!B896</f>
        <v>40323</v>
      </c>
      <c r="D896" s="6" t="n">
        <f aca="false">'Analysis Data'!C896</f>
        <v>241.513705335494</v>
      </c>
      <c r="E896" s="15" t="n">
        <f aca="false">SUMPRODUCT('Final Model'!$B$45:$I$45,'Analysis Data'!N896:U896)</f>
        <v>245.370133083877</v>
      </c>
      <c r="F896" s="15" t="n">
        <f aca="false">D896-E896</f>
        <v>-3.85642774838252</v>
      </c>
      <c r="G896" s="13" t="n">
        <f aca="false">F896/'Final Model'!$B$21</f>
        <v>-0.0786512099167585</v>
      </c>
      <c r="H896" s="6" t="n">
        <f aca="false">F896^2</f>
        <v>14.8720349784946</v>
      </c>
      <c r="J896" s="6" t="n">
        <f aca="false">A896</f>
        <v>895</v>
      </c>
      <c r="K896" s="13" t="n">
        <f aca="false">SMALL($G$2:$G$1387,J896)</f>
        <v>0.383874365735535</v>
      </c>
      <c r="L896" s="18" t="n">
        <f aca="false">(J896-0.5)/1386</f>
        <v>0.645382395382395</v>
      </c>
      <c r="M896" s="18" t="n">
        <f aca="false">_xlfn.NORM.DIST(K896,AVERAGE($G$2:$G$1387),_xlfn.STDEV.S($G$2:$G$1387),TRUE())</f>
        <v>0.649825034155483</v>
      </c>
    </row>
    <row r="897" customFormat="false" ht="15" hidden="false" customHeight="false" outlineLevel="0" collapsed="false">
      <c r="A897" s="0" t="n">
        <f aca="false">ROW()-1</f>
        <v>896</v>
      </c>
      <c r="B897" s="0" t="str">
        <f aca="false">'Analysis Data'!A897</f>
        <v>Bellevue</v>
      </c>
      <c r="C897" s="5" t="n">
        <f aca="false">'Analysis Data'!B897</f>
        <v>40330</v>
      </c>
      <c r="D897" s="6" t="n">
        <f aca="false">'Analysis Data'!C897</f>
        <v>180.82678849893</v>
      </c>
      <c r="E897" s="15" t="n">
        <f aca="false">SUMPRODUCT('Final Model'!$B$45:$I$45,'Analysis Data'!N897:U897)</f>
        <v>245.370133083877</v>
      </c>
      <c r="F897" s="15" t="n">
        <f aca="false">D897-E897</f>
        <v>-64.5433445849469</v>
      </c>
      <c r="G897" s="13" t="n">
        <f aca="false">F897/'Final Model'!$B$21</f>
        <v>-1.31635090163676</v>
      </c>
      <c r="H897" s="6" t="n">
        <f aca="false">F897^2</f>
        <v>4165.8433302112</v>
      </c>
      <c r="J897" s="6" t="n">
        <f aca="false">A897</f>
        <v>896</v>
      </c>
      <c r="K897" s="13" t="n">
        <f aca="false">SMALL($G$2:$G$1387,J897)</f>
        <v>0.384907971199225</v>
      </c>
      <c r="L897" s="18" t="n">
        <f aca="false">(J897-0.5)/1386</f>
        <v>0.646103896103896</v>
      </c>
      <c r="M897" s="18" t="n">
        <f aca="false">_xlfn.NORM.DIST(K897,AVERAGE($G$2:$G$1387),_xlfn.STDEV.S($G$2:$G$1387),TRUE())</f>
        <v>0.65020884496871</v>
      </c>
    </row>
    <row r="898" customFormat="false" ht="15" hidden="false" customHeight="false" outlineLevel="0" collapsed="false">
      <c r="A898" s="0" t="n">
        <f aca="false">ROW()-1</f>
        <v>897</v>
      </c>
      <c r="B898" s="0" t="str">
        <f aca="false">'Analysis Data'!A898</f>
        <v>Bellevue</v>
      </c>
      <c r="C898" s="5" t="n">
        <f aca="false">'Analysis Data'!B898</f>
        <v>40337</v>
      </c>
      <c r="D898" s="6" t="n">
        <f aca="false">'Analysis Data'!C898</f>
        <v>226.095866642017</v>
      </c>
      <c r="E898" s="15" t="n">
        <f aca="false">SUMPRODUCT('Final Model'!$B$45:$I$45,'Analysis Data'!N898:U898)</f>
        <v>235.339137475294</v>
      </c>
      <c r="F898" s="15" t="n">
        <f aca="false">D898-E898</f>
        <v>-9.24327083327745</v>
      </c>
      <c r="G898" s="13" t="n">
        <f aca="false">F898/'Final Model'!$B$21</f>
        <v>-0.188514989015541</v>
      </c>
      <c r="H898" s="6" t="n">
        <f aca="false">F898^2</f>
        <v>85.4380556973176</v>
      </c>
      <c r="J898" s="6" t="n">
        <f aca="false">A898</f>
        <v>897</v>
      </c>
      <c r="K898" s="13" t="n">
        <f aca="false">SMALL($G$2:$G$1387,J898)</f>
        <v>0.385188647719625</v>
      </c>
      <c r="L898" s="18" t="n">
        <f aca="false">(J898-0.5)/1386</f>
        <v>0.646825396825397</v>
      </c>
      <c r="M898" s="18" t="n">
        <f aca="false">_xlfn.NORM.DIST(K898,AVERAGE($G$2:$G$1387),_xlfn.STDEV.S($G$2:$G$1387),TRUE())</f>
        <v>0.650313042674051</v>
      </c>
    </row>
    <row r="899" customFormat="false" ht="15" hidden="false" customHeight="false" outlineLevel="0" collapsed="false">
      <c r="A899" s="0" t="n">
        <f aca="false">ROW()-1</f>
        <v>898</v>
      </c>
      <c r="B899" s="0" t="str">
        <f aca="false">'Analysis Data'!A899</f>
        <v>Bellevue</v>
      </c>
      <c r="C899" s="5" t="n">
        <f aca="false">'Analysis Data'!B899</f>
        <v>40344</v>
      </c>
      <c r="D899" s="6" t="n">
        <f aca="false">'Analysis Data'!C899</f>
        <v>257.029967293295</v>
      </c>
      <c r="E899" s="15" t="n">
        <f aca="false">SUMPRODUCT('Final Model'!$B$45:$I$45,'Analysis Data'!N899:U899)</f>
        <v>240.740139680917</v>
      </c>
      <c r="F899" s="15" t="n">
        <f aca="false">D899-E899</f>
        <v>16.2898276123777</v>
      </c>
      <c r="G899" s="13" t="n">
        <f aca="false">F899/'Final Model'!$B$21</f>
        <v>0.332228356044347</v>
      </c>
      <c r="H899" s="6" t="n">
        <f aca="false">F899^2</f>
        <v>265.358483640983</v>
      </c>
      <c r="J899" s="6" t="n">
        <f aca="false">A899</f>
        <v>898</v>
      </c>
      <c r="K899" s="13" t="n">
        <f aca="false">SMALL($G$2:$G$1387,J899)</f>
        <v>0.386311512240983</v>
      </c>
      <c r="L899" s="18" t="n">
        <f aca="false">(J899-0.5)/1386</f>
        <v>0.647546897546898</v>
      </c>
      <c r="M899" s="18" t="n">
        <f aca="false">_xlfn.NORM.DIST(K899,AVERAGE($G$2:$G$1387),_xlfn.STDEV.S($G$2:$G$1387),TRUE())</f>
        <v>0.650729778997472</v>
      </c>
    </row>
    <row r="900" customFormat="false" ht="15" hidden="false" customHeight="false" outlineLevel="0" collapsed="false">
      <c r="A900" s="0" t="n">
        <f aca="false">ROW()-1</f>
        <v>899</v>
      </c>
      <c r="B900" s="0" t="str">
        <f aca="false">'Analysis Data'!A900</f>
        <v>Bellevue</v>
      </c>
      <c r="C900" s="5" t="n">
        <f aca="false">'Analysis Data'!B900</f>
        <v>40351</v>
      </c>
      <c r="D900" s="6" t="n">
        <f aca="false">'Analysis Data'!C900</f>
        <v>751.927131851851</v>
      </c>
      <c r="E900" s="15" t="n">
        <f aca="false">SUMPRODUCT('Final Model'!$B$45:$I$45,'Analysis Data'!N900:U900)</f>
        <v>807.328028526371</v>
      </c>
      <c r="F900" s="15" t="n">
        <f aca="false">D900-E900</f>
        <v>-55.4008966745199</v>
      </c>
      <c r="G900" s="13" t="n">
        <f aca="false">F900/'Final Model'!$B$21</f>
        <v>-1.12989217955708</v>
      </c>
      <c r="H900" s="6" t="n">
        <f aca="false">F900^2</f>
        <v>3069.25935234083</v>
      </c>
      <c r="J900" s="6" t="n">
        <f aca="false">A900</f>
        <v>899</v>
      </c>
      <c r="K900" s="13" t="n">
        <f aca="false">SMALL($G$2:$G$1387,J900)</f>
        <v>0.38722847112725</v>
      </c>
      <c r="L900" s="18" t="n">
        <f aca="false">(J900-0.5)/1386</f>
        <v>0.648268398268398</v>
      </c>
      <c r="M900" s="18" t="n">
        <f aca="false">_xlfn.NORM.DIST(K900,AVERAGE($G$2:$G$1387),_xlfn.STDEV.S($G$2:$G$1387),TRUE())</f>
        <v>0.651069961448787</v>
      </c>
    </row>
    <row r="901" customFormat="false" ht="15" hidden="false" customHeight="false" outlineLevel="0" collapsed="false">
      <c r="A901" s="0" t="n">
        <f aca="false">ROW()-1</f>
        <v>900</v>
      </c>
      <c r="B901" s="0" t="str">
        <f aca="false">'Analysis Data'!A901</f>
        <v>Bellevue</v>
      </c>
      <c r="C901" s="5" t="n">
        <f aca="false">'Analysis Data'!B901</f>
        <v>40358</v>
      </c>
      <c r="D901" s="6" t="n">
        <f aca="false">'Analysis Data'!C901</f>
        <v>789.091870287685</v>
      </c>
      <c r="E901" s="15" t="n">
        <f aca="false">SUMPRODUCT('Final Model'!$B$45:$I$45,'Analysis Data'!N901:U901)</f>
        <v>788.935532487679</v>
      </c>
      <c r="F901" s="15" t="n">
        <f aca="false">D901-E901</f>
        <v>0.15633780000644</v>
      </c>
      <c r="G901" s="13" t="n">
        <f aca="false">F901/'Final Model'!$B$21</f>
        <v>0.00318848372859781</v>
      </c>
      <c r="H901" s="6" t="n">
        <f aca="false">F901^2</f>
        <v>0.0244415077108538</v>
      </c>
      <c r="J901" s="6" t="n">
        <f aca="false">A901</f>
        <v>900</v>
      </c>
      <c r="K901" s="13" t="n">
        <f aca="false">SMALL($G$2:$G$1387,J901)</f>
        <v>0.390669054710887</v>
      </c>
      <c r="L901" s="18" t="n">
        <f aca="false">(J901-0.5)/1386</f>
        <v>0.648989898989899</v>
      </c>
      <c r="M901" s="18" t="n">
        <f aca="false">_xlfn.NORM.DIST(K901,AVERAGE($G$2:$G$1387),_xlfn.STDEV.S($G$2:$G$1387),TRUE())</f>
        <v>0.652345298914207</v>
      </c>
    </row>
    <row r="902" customFormat="false" ht="15" hidden="false" customHeight="false" outlineLevel="0" collapsed="false">
      <c r="A902" s="0" t="n">
        <f aca="false">ROW()-1</f>
        <v>901</v>
      </c>
      <c r="B902" s="0" t="str">
        <f aca="false">'Analysis Data'!A902</f>
        <v>Bellevue</v>
      </c>
      <c r="C902" s="5" t="n">
        <f aca="false">'Analysis Data'!B902</f>
        <v>40365</v>
      </c>
      <c r="D902" s="6" t="n">
        <f aca="false">'Analysis Data'!C902</f>
        <v>831.144896026972</v>
      </c>
      <c r="E902" s="15" t="n">
        <f aca="false">SUMPRODUCT('Final Model'!$B$45:$I$45,'Analysis Data'!N902:U902)</f>
        <v>786.003466033121</v>
      </c>
      <c r="F902" s="15" t="n">
        <f aca="false">D902-E902</f>
        <v>45.1414299938509</v>
      </c>
      <c r="G902" s="13" t="n">
        <f aca="false">F902/'Final Model'!$B$21</f>
        <v>0.920652043300478</v>
      </c>
      <c r="H902" s="6" t="n">
        <f aca="false">F902^2</f>
        <v>2037.74870188974</v>
      </c>
      <c r="J902" s="6" t="n">
        <f aca="false">A902</f>
        <v>901</v>
      </c>
      <c r="K902" s="13" t="n">
        <f aca="false">SMALL($G$2:$G$1387,J902)</f>
        <v>0.394400349987378</v>
      </c>
      <c r="L902" s="18" t="n">
        <f aca="false">(J902-0.5)/1386</f>
        <v>0.6497113997114</v>
      </c>
      <c r="M902" s="18" t="n">
        <f aca="false">_xlfn.NORM.DIST(K902,AVERAGE($G$2:$G$1387),_xlfn.STDEV.S($G$2:$G$1387),TRUE())</f>
        <v>0.653726449328067</v>
      </c>
    </row>
    <row r="903" customFormat="false" ht="15" hidden="false" customHeight="false" outlineLevel="0" collapsed="false">
      <c r="A903" s="0" t="n">
        <f aca="false">ROW()-1</f>
        <v>902</v>
      </c>
      <c r="B903" s="0" t="str">
        <f aca="false">'Analysis Data'!A903</f>
        <v>Bellevue</v>
      </c>
      <c r="C903" s="5" t="n">
        <f aca="false">'Analysis Data'!B903</f>
        <v>40372</v>
      </c>
      <c r="D903" s="6" t="n">
        <f aca="false">'Analysis Data'!C903</f>
        <v>725.730070068589</v>
      </c>
      <c r="E903" s="15" t="n">
        <f aca="false">SUMPRODUCT('Final Model'!$B$45:$I$45,'Analysis Data'!N903:U903)</f>
        <v>800.07273532581</v>
      </c>
      <c r="F903" s="15" t="n">
        <f aca="false">D903-E903</f>
        <v>-74.3426652572219</v>
      </c>
      <c r="G903" s="13" t="n">
        <f aca="false">F903/'Final Model'!$B$21</f>
        <v>-1.51620643570193</v>
      </c>
      <c r="H903" s="6" t="n">
        <f aca="false">F903^2</f>
        <v>5526.83187754735</v>
      </c>
      <c r="J903" s="6" t="n">
        <f aca="false">A903</f>
        <v>902</v>
      </c>
      <c r="K903" s="13" t="n">
        <f aca="false">SMALL($G$2:$G$1387,J903)</f>
        <v>0.395883406857754</v>
      </c>
      <c r="L903" s="18" t="n">
        <f aca="false">(J903-0.5)/1386</f>
        <v>0.650432900432901</v>
      </c>
      <c r="M903" s="18" t="n">
        <f aca="false">_xlfn.NORM.DIST(K903,AVERAGE($G$2:$G$1387),_xlfn.STDEV.S($G$2:$G$1387),TRUE())</f>
        <v>0.654274841369682</v>
      </c>
    </row>
    <row r="904" customFormat="false" ht="15" hidden="false" customHeight="false" outlineLevel="0" collapsed="false">
      <c r="A904" s="0" t="n">
        <f aca="false">ROW()-1</f>
        <v>903</v>
      </c>
      <c r="B904" s="0" t="str">
        <f aca="false">'Analysis Data'!A904</f>
        <v>Bend</v>
      </c>
      <c r="C904" s="5" t="n">
        <f aca="false">'Analysis Data'!B904</f>
        <v>40302</v>
      </c>
      <c r="D904" s="6" t="n">
        <f aca="false">'Analysis Data'!C904</f>
        <v>222.522639710935</v>
      </c>
      <c r="E904" s="15" t="n">
        <f aca="false">SUMPRODUCT('Final Model'!$B$45:$I$45,'Analysis Data'!N904:U904)</f>
        <v>232.819895672552</v>
      </c>
      <c r="F904" s="15" t="n">
        <f aca="false">D904-E904</f>
        <v>-10.2972559616169</v>
      </c>
      <c r="G904" s="13" t="n">
        <f aca="false">F904/'Final Model'!$B$21</f>
        <v>-0.21001084242883</v>
      </c>
      <c r="H904" s="6" t="n">
        <f aca="false">F904^2</f>
        <v>106.033480339056</v>
      </c>
      <c r="J904" s="6" t="n">
        <f aca="false">A904</f>
        <v>903</v>
      </c>
      <c r="K904" s="13" t="n">
        <f aca="false">SMALL($G$2:$G$1387,J904)</f>
        <v>0.397140482483045</v>
      </c>
      <c r="L904" s="18" t="n">
        <f aca="false">(J904-0.5)/1386</f>
        <v>0.651154401154401</v>
      </c>
      <c r="M904" s="18" t="n">
        <f aca="false">_xlfn.NORM.DIST(K904,AVERAGE($G$2:$G$1387),_xlfn.STDEV.S($G$2:$G$1387),TRUE())</f>
        <v>0.654739418722724</v>
      </c>
    </row>
    <row r="905" customFormat="false" ht="15" hidden="false" customHeight="false" outlineLevel="0" collapsed="false">
      <c r="A905" s="0" t="n">
        <f aca="false">ROW()-1</f>
        <v>904</v>
      </c>
      <c r="B905" s="0" t="str">
        <f aca="false">'Analysis Data'!A905</f>
        <v>Bend</v>
      </c>
      <c r="C905" s="5" t="n">
        <f aca="false">'Analysis Data'!B905</f>
        <v>40309</v>
      </c>
      <c r="D905" s="6" t="n">
        <f aca="false">'Analysis Data'!C905</f>
        <v>242.032806871918</v>
      </c>
      <c r="E905" s="15" t="n">
        <f aca="false">SUMPRODUCT('Final Model'!$B$45:$I$45,'Analysis Data'!N905:U905)</f>
        <v>243.262008438672</v>
      </c>
      <c r="F905" s="15" t="n">
        <f aca="false">D905-E905</f>
        <v>-1.22920156675383</v>
      </c>
      <c r="G905" s="13" t="n">
        <f aca="false">F905/'Final Model'!$B$21</f>
        <v>-0.0250693638684954</v>
      </c>
      <c r="H905" s="6" t="n">
        <f aca="false">F905^2</f>
        <v>1.51093649171007</v>
      </c>
      <c r="J905" s="6" t="n">
        <f aca="false">A905</f>
        <v>904</v>
      </c>
      <c r="K905" s="13" t="n">
        <f aca="false">SMALL($G$2:$G$1387,J905)</f>
        <v>0.398409354182121</v>
      </c>
      <c r="L905" s="18" t="n">
        <f aca="false">(J905-0.5)/1386</f>
        <v>0.651875901875902</v>
      </c>
      <c r="M905" s="18" t="n">
        <f aca="false">_xlfn.NORM.DIST(K905,AVERAGE($G$2:$G$1387),_xlfn.STDEV.S($G$2:$G$1387),TRUE())</f>
        <v>0.655208119204113</v>
      </c>
    </row>
    <row r="906" customFormat="false" ht="15" hidden="false" customHeight="false" outlineLevel="0" collapsed="false">
      <c r="A906" s="0" t="n">
        <f aca="false">ROW()-1</f>
        <v>905</v>
      </c>
      <c r="B906" s="0" t="str">
        <f aca="false">'Analysis Data'!A906</f>
        <v>Bend</v>
      </c>
      <c r="C906" s="5" t="n">
        <f aca="false">'Analysis Data'!B906</f>
        <v>40316</v>
      </c>
      <c r="D906" s="6" t="n">
        <f aca="false">'Analysis Data'!C906</f>
        <v>222.572241332122</v>
      </c>
      <c r="E906" s="15" t="n">
        <f aca="false">SUMPRODUCT('Final Model'!$B$45:$I$45,'Analysis Data'!N906:U906)</f>
        <v>243.301412631461</v>
      </c>
      <c r="F906" s="15" t="n">
        <f aca="false">D906-E906</f>
        <v>-20.7291712993386</v>
      </c>
      <c r="G906" s="13" t="n">
        <f aca="false">F906/'Final Model'!$B$21</f>
        <v>-0.422768040694798</v>
      </c>
      <c r="H906" s="6" t="n">
        <f aca="false">F906^2</f>
        <v>429.698542757325</v>
      </c>
      <c r="J906" s="6" t="n">
        <f aca="false">A906</f>
        <v>905</v>
      </c>
      <c r="K906" s="13" t="n">
        <f aca="false">SMALL($G$2:$G$1387,J906)</f>
        <v>0.398884691989108</v>
      </c>
      <c r="L906" s="18" t="n">
        <f aca="false">(J906-0.5)/1386</f>
        <v>0.652597402597403</v>
      </c>
      <c r="M906" s="18" t="n">
        <f aca="false">_xlfn.NORM.DIST(K906,AVERAGE($G$2:$G$1387),_xlfn.STDEV.S($G$2:$G$1387),TRUE())</f>
        <v>0.655383639959491</v>
      </c>
    </row>
    <row r="907" customFormat="false" ht="15" hidden="false" customHeight="false" outlineLevel="0" collapsed="false">
      <c r="A907" s="0" t="n">
        <f aca="false">ROW()-1</f>
        <v>906</v>
      </c>
      <c r="B907" s="0" t="str">
        <f aca="false">'Analysis Data'!A907</f>
        <v>Bend</v>
      </c>
      <c r="C907" s="5" t="n">
        <f aca="false">'Analysis Data'!B907</f>
        <v>40323</v>
      </c>
      <c r="D907" s="6" t="n">
        <f aca="false">'Analysis Data'!C907</f>
        <v>240.304799947912</v>
      </c>
      <c r="E907" s="15" t="n">
        <f aca="false">SUMPRODUCT('Final Model'!$B$45:$I$45,'Analysis Data'!N907:U907)</f>
        <v>257.062234601377</v>
      </c>
      <c r="F907" s="15" t="n">
        <f aca="false">D907-E907</f>
        <v>-16.757434653465</v>
      </c>
      <c r="G907" s="13" t="n">
        <f aca="false">F907/'Final Model'!$B$21</f>
        <v>-0.341765124770933</v>
      </c>
      <c r="H907" s="6" t="n">
        <f aca="false">F907^2</f>
        <v>280.811616165151</v>
      </c>
      <c r="J907" s="6" t="n">
        <f aca="false">A907</f>
        <v>906</v>
      </c>
      <c r="K907" s="13" t="n">
        <f aca="false">SMALL($G$2:$G$1387,J907)</f>
        <v>0.398976914370404</v>
      </c>
      <c r="L907" s="18" t="n">
        <f aca="false">(J907-0.5)/1386</f>
        <v>0.653318903318903</v>
      </c>
      <c r="M907" s="18" t="n">
        <f aca="false">_xlfn.NORM.DIST(K907,AVERAGE($G$2:$G$1387),_xlfn.STDEV.S($G$2:$G$1387),TRUE())</f>
        <v>0.655417689641345</v>
      </c>
    </row>
    <row r="908" customFormat="false" ht="15" hidden="false" customHeight="false" outlineLevel="0" collapsed="false">
      <c r="A908" s="0" t="n">
        <f aca="false">ROW()-1</f>
        <v>907</v>
      </c>
      <c r="B908" s="0" t="str">
        <f aca="false">'Analysis Data'!A908</f>
        <v>Bend</v>
      </c>
      <c r="C908" s="5" t="n">
        <f aca="false">'Analysis Data'!B908</f>
        <v>40330</v>
      </c>
      <c r="D908" s="6" t="n">
        <f aca="false">'Analysis Data'!C908</f>
        <v>297.322606857285</v>
      </c>
      <c r="E908" s="15" t="n">
        <f aca="false">SUMPRODUCT('Final Model'!$B$45:$I$45,'Analysis Data'!N908:U908)</f>
        <v>246.76460389755</v>
      </c>
      <c r="F908" s="15" t="n">
        <f aca="false">D908-E908</f>
        <v>50.5580029597348</v>
      </c>
      <c r="G908" s="13" t="n">
        <f aca="false">F908/'Final Model'!$B$21</f>
        <v>1.03112215843432</v>
      </c>
      <c r="H908" s="6" t="n">
        <f aca="false">F908^2</f>
        <v>2556.11166327655</v>
      </c>
      <c r="J908" s="6" t="n">
        <f aca="false">A908</f>
        <v>907</v>
      </c>
      <c r="K908" s="13" t="n">
        <f aca="false">SMALL($G$2:$G$1387,J908)</f>
        <v>0.399224786090775</v>
      </c>
      <c r="L908" s="18" t="n">
        <f aca="false">(J908-0.5)/1386</f>
        <v>0.654040404040404</v>
      </c>
      <c r="M908" s="18" t="n">
        <f aca="false">_xlfn.NORM.DIST(K908,AVERAGE($G$2:$G$1387),_xlfn.STDEV.S($G$2:$G$1387),TRUE())</f>
        <v>0.655509200807425</v>
      </c>
    </row>
    <row r="909" customFormat="false" ht="15" hidden="false" customHeight="false" outlineLevel="0" collapsed="false">
      <c r="A909" s="0" t="n">
        <f aca="false">ROW()-1</f>
        <v>908</v>
      </c>
      <c r="B909" s="0" t="str">
        <f aca="false">'Analysis Data'!A909</f>
        <v>Bend</v>
      </c>
      <c r="C909" s="5" t="n">
        <f aca="false">'Analysis Data'!B909</f>
        <v>40337</v>
      </c>
      <c r="D909" s="6" t="n">
        <f aca="false">'Analysis Data'!C909</f>
        <v>214.811878243018</v>
      </c>
      <c r="E909" s="15" t="n">
        <f aca="false">SUMPRODUCT('Final Model'!$B$45:$I$45,'Analysis Data'!N909:U909)</f>
        <v>237.447699938979</v>
      </c>
      <c r="F909" s="15" t="n">
        <f aca="false">D909-E909</f>
        <v>-22.6358216959609</v>
      </c>
      <c r="G909" s="13" t="n">
        <f aca="false">F909/'Final Model'!$B$21</f>
        <v>-0.461653862073275</v>
      </c>
      <c r="H909" s="6" t="n">
        <f aca="false">F909^2</f>
        <v>512.380423851332</v>
      </c>
      <c r="J909" s="6" t="n">
        <f aca="false">A909</f>
        <v>908</v>
      </c>
      <c r="K909" s="13" t="n">
        <f aca="false">SMALL($G$2:$G$1387,J909)</f>
        <v>0.403975546857094</v>
      </c>
      <c r="L909" s="18" t="n">
        <f aca="false">(J909-0.5)/1386</f>
        <v>0.654761904761905</v>
      </c>
      <c r="M909" s="18" t="n">
        <f aca="false">_xlfn.NORM.DIST(K909,AVERAGE($G$2:$G$1387),_xlfn.STDEV.S($G$2:$G$1387),TRUE())</f>
        <v>0.657261358392087</v>
      </c>
    </row>
    <row r="910" customFormat="false" ht="15" hidden="false" customHeight="false" outlineLevel="0" collapsed="false">
      <c r="A910" s="0" t="n">
        <f aca="false">ROW()-1</f>
        <v>909</v>
      </c>
      <c r="B910" s="0" t="str">
        <f aca="false">'Analysis Data'!A910</f>
        <v>Bend</v>
      </c>
      <c r="C910" s="5" t="n">
        <f aca="false">'Analysis Data'!B910</f>
        <v>40344</v>
      </c>
      <c r="D910" s="6" t="n">
        <f aca="false">'Analysis Data'!C910</f>
        <v>224.80509659551</v>
      </c>
      <c r="E910" s="15" t="n">
        <f aca="false">SUMPRODUCT('Final Model'!$B$45:$I$45,'Analysis Data'!N910:U910)</f>
        <v>254.365236090538</v>
      </c>
      <c r="F910" s="15" t="n">
        <f aca="false">D910-E910</f>
        <v>-29.560139495028</v>
      </c>
      <c r="G910" s="13" t="n">
        <f aca="false">F910/'Final Model'!$B$21</f>
        <v>-0.602874185200863</v>
      </c>
      <c r="H910" s="6" t="n">
        <f aca="false">F910^2</f>
        <v>873.801846965512</v>
      </c>
      <c r="J910" s="6" t="n">
        <f aca="false">A910</f>
        <v>909</v>
      </c>
      <c r="K910" s="13" t="n">
        <f aca="false">SMALL($G$2:$G$1387,J910)</f>
        <v>0.404236467302302</v>
      </c>
      <c r="L910" s="18" t="n">
        <f aca="false">(J910-0.5)/1386</f>
        <v>0.655483405483405</v>
      </c>
      <c r="M910" s="18" t="n">
        <f aca="false">_xlfn.NORM.DIST(K910,AVERAGE($G$2:$G$1387),_xlfn.STDEV.S($G$2:$G$1387),TRUE())</f>
        <v>0.657357492569468</v>
      </c>
    </row>
    <row r="911" customFormat="false" ht="15" hidden="false" customHeight="false" outlineLevel="0" collapsed="false">
      <c r="A911" s="0" t="n">
        <f aca="false">ROW()-1</f>
        <v>910</v>
      </c>
      <c r="B911" s="0" t="str">
        <f aca="false">'Analysis Data'!A911</f>
        <v>Bend</v>
      </c>
      <c r="C911" s="5" t="n">
        <f aca="false">'Analysis Data'!B911</f>
        <v>40351</v>
      </c>
      <c r="D911" s="6" t="n">
        <f aca="false">'Analysis Data'!C911</f>
        <v>242.091662690739</v>
      </c>
      <c r="E911" s="15" t="n">
        <f aca="false">SUMPRODUCT('Final Model'!$B$45:$I$45,'Analysis Data'!N911:U911)</f>
        <v>250.197147472848</v>
      </c>
      <c r="F911" s="15" t="n">
        <f aca="false">D911-E911</f>
        <v>-8.10548478210868</v>
      </c>
      <c r="G911" s="13" t="n">
        <f aca="false">F911/'Final Model'!$B$21</f>
        <v>-0.165310029558341</v>
      </c>
      <c r="H911" s="6" t="n">
        <f aca="false">F911^2</f>
        <v>65.6988835529953</v>
      </c>
      <c r="J911" s="6" t="n">
        <f aca="false">A911</f>
        <v>910</v>
      </c>
      <c r="K911" s="13" t="n">
        <f aca="false">SMALL($G$2:$G$1387,J911)</f>
        <v>0.40668397452908</v>
      </c>
      <c r="L911" s="18" t="n">
        <f aca="false">(J911-0.5)/1386</f>
        <v>0.656204906204906</v>
      </c>
      <c r="M911" s="18" t="n">
        <f aca="false">_xlfn.NORM.DIST(K911,AVERAGE($G$2:$G$1387),_xlfn.STDEV.S($G$2:$G$1387),TRUE())</f>
        <v>0.658258761340424</v>
      </c>
    </row>
    <row r="912" customFormat="false" ht="15" hidden="false" customHeight="false" outlineLevel="0" collapsed="false">
      <c r="A912" s="0" t="n">
        <f aca="false">ROW()-1</f>
        <v>911</v>
      </c>
      <c r="B912" s="0" t="str">
        <f aca="false">'Analysis Data'!A912</f>
        <v>Bend</v>
      </c>
      <c r="C912" s="5" t="n">
        <f aca="false">'Analysis Data'!B912</f>
        <v>40358</v>
      </c>
      <c r="D912" s="6" t="n">
        <f aca="false">'Analysis Data'!C912</f>
        <v>221.63976625681</v>
      </c>
      <c r="E912" s="15" t="n">
        <f aca="false">SUMPRODUCT('Final Model'!$B$45:$I$45,'Analysis Data'!N912:U912)</f>
        <v>253.105893809954</v>
      </c>
      <c r="F912" s="15" t="n">
        <f aca="false">D912-E912</f>
        <v>-31.4661275531448</v>
      </c>
      <c r="G912" s="13" t="n">
        <f aca="false">F912/'Final Model'!$B$21</f>
        <v>-0.641746498294414</v>
      </c>
      <c r="H912" s="6" t="n">
        <f aca="false">F912^2</f>
        <v>990.117183190779</v>
      </c>
      <c r="J912" s="6" t="n">
        <f aca="false">A912</f>
        <v>911</v>
      </c>
      <c r="K912" s="13" t="n">
        <f aca="false">SMALL($G$2:$G$1387,J912)</f>
        <v>0.407470241359848</v>
      </c>
      <c r="L912" s="18" t="n">
        <f aca="false">(J912-0.5)/1386</f>
        <v>0.656926406926407</v>
      </c>
      <c r="M912" s="18" t="n">
        <f aca="false">_xlfn.NORM.DIST(K912,AVERAGE($G$2:$G$1387),_xlfn.STDEV.S($G$2:$G$1387),TRUE())</f>
        <v>0.658548104782529</v>
      </c>
    </row>
    <row r="913" customFormat="false" ht="15" hidden="false" customHeight="false" outlineLevel="0" collapsed="false">
      <c r="A913" s="0" t="n">
        <f aca="false">ROW()-1</f>
        <v>912</v>
      </c>
      <c r="B913" s="0" t="str">
        <f aca="false">'Analysis Data'!A913</f>
        <v>Bend</v>
      </c>
      <c r="C913" s="5" t="n">
        <f aca="false">'Analysis Data'!B913</f>
        <v>40365</v>
      </c>
      <c r="D913" s="6" t="n">
        <f aca="false">'Analysis Data'!C913</f>
        <v>269.995177716116</v>
      </c>
      <c r="E913" s="15" t="n">
        <f aca="false">SUMPRODUCT('Final Model'!$B$45:$I$45,'Analysis Data'!N913:U913)</f>
        <v>269.938045008802</v>
      </c>
      <c r="F913" s="15" t="n">
        <f aca="false">D913-E913</f>
        <v>0.0571327073137127</v>
      </c>
      <c r="G913" s="13" t="n">
        <f aca="false">F913/'Final Model'!$B$21</f>
        <v>0.00116521217282711</v>
      </c>
      <c r="H913" s="6" t="n">
        <f aca="false">F913^2</f>
        <v>0.00326414624499436</v>
      </c>
      <c r="J913" s="6" t="n">
        <f aca="false">A913</f>
        <v>912</v>
      </c>
      <c r="K913" s="13" t="n">
        <f aca="false">SMALL($G$2:$G$1387,J913)</f>
        <v>0.407841660454248</v>
      </c>
      <c r="L913" s="18" t="n">
        <f aca="false">(J913-0.5)/1386</f>
        <v>0.657647907647908</v>
      </c>
      <c r="M913" s="18" t="n">
        <f aca="false">_xlfn.NORM.DIST(K913,AVERAGE($G$2:$G$1387),_xlfn.STDEV.S($G$2:$G$1387),TRUE())</f>
        <v>0.658684753322326</v>
      </c>
    </row>
    <row r="914" customFormat="false" ht="15" hidden="false" customHeight="false" outlineLevel="0" collapsed="false">
      <c r="A914" s="0" t="n">
        <f aca="false">ROW()-1</f>
        <v>913</v>
      </c>
      <c r="B914" s="0" t="str">
        <f aca="false">'Analysis Data'!A914</f>
        <v>Bend</v>
      </c>
      <c r="C914" s="5" t="n">
        <f aca="false">'Analysis Data'!B914</f>
        <v>40372</v>
      </c>
      <c r="D914" s="6" t="n">
        <f aca="false">'Analysis Data'!C914</f>
        <v>320.585125329584</v>
      </c>
      <c r="E914" s="15" t="n">
        <f aca="false">SUMPRODUCT('Final Model'!$B$45:$I$45,'Analysis Data'!N914:U914)</f>
        <v>269.938045008802</v>
      </c>
      <c r="F914" s="15" t="n">
        <f aca="false">D914-E914</f>
        <v>50.6470803207815</v>
      </c>
      <c r="G914" s="13" t="n">
        <f aca="false">F914/'Final Model'!$B$21</f>
        <v>1.03293887656821</v>
      </c>
      <c r="H914" s="6" t="n">
        <f aca="false">F914^2</f>
        <v>2565.1267450197</v>
      </c>
      <c r="J914" s="6" t="n">
        <f aca="false">A914</f>
        <v>913</v>
      </c>
      <c r="K914" s="13" t="n">
        <f aca="false">SMALL($G$2:$G$1387,J914)</f>
        <v>0.409618158310807</v>
      </c>
      <c r="L914" s="18" t="n">
        <f aca="false">(J914-0.5)/1386</f>
        <v>0.658369408369408</v>
      </c>
      <c r="M914" s="18" t="n">
        <f aca="false">_xlfn.NORM.DIST(K914,AVERAGE($G$2:$G$1387),_xlfn.STDEV.S($G$2:$G$1387),TRUE())</f>
        <v>0.659338055425818</v>
      </c>
    </row>
    <row r="915" customFormat="false" ht="15" hidden="false" customHeight="false" outlineLevel="0" collapsed="false">
      <c r="A915" s="0" t="n">
        <f aca="false">ROW()-1</f>
        <v>914</v>
      </c>
      <c r="B915" s="0" t="str">
        <f aca="false">'Analysis Data'!A915</f>
        <v>Bridgeport</v>
      </c>
      <c r="C915" s="5" t="n">
        <f aca="false">'Analysis Data'!B915</f>
        <v>40302</v>
      </c>
      <c r="D915" s="6" t="n">
        <f aca="false">'Analysis Data'!C915</f>
        <v>248.681358525504</v>
      </c>
      <c r="E915" s="15" t="n">
        <f aca="false">SUMPRODUCT('Final Model'!$B$45:$I$45,'Analysis Data'!N915:U915)</f>
        <v>235.11847396037</v>
      </c>
      <c r="F915" s="15" t="n">
        <f aca="false">D915-E915</f>
        <v>13.5628845651339</v>
      </c>
      <c r="G915" s="13" t="n">
        <f aca="false">F915/'Final Model'!$B$21</f>
        <v>0.276612800915698</v>
      </c>
      <c r="H915" s="6" t="n">
        <f aca="false">F915^2</f>
        <v>183.951837727146</v>
      </c>
      <c r="J915" s="6" t="n">
        <f aca="false">A915</f>
        <v>914</v>
      </c>
      <c r="K915" s="13" t="n">
        <f aca="false">SMALL($G$2:$G$1387,J915)</f>
        <v>0.412170814985218</v>
      </c>
      <c r="L915" s="18" t="n">
        <f aca="false">(J915-0.5)/1386</f>
        <v>0.659090909090909</v>
      </c>
      <c r="M915" s="18" t="n">
        <f aca="false">_xlfn.NORM.DIST(K915,AVERAGE($G$2:$G$1387),_xlfn.STDEV.S($G$2:$G$1387),TRUE())</f>
        <v>0.660275951069477</v>
      </c>
    </row>
    <row r="916" customFormat="false" ht="15" hidden="false" customHeight="false" outlineLevel="0" collapsed="false">
      <c r="A916" s="0" t="n">
        <f aca="false">ROW()-1</f>
        <v>915</v>
      </c>
      <c r="B916" s="0" t="str">
        <f aca="false">'Analysis Data'!A916</f>
        <v>Bridgeport</v>
      </c>
      <c r="C916" s="5" t="n">
        <f aca="false">'Analysis Data'!B916</f>
        <v>40309</v>
      </c>
      <c r="D916" s="6" t="n">
        <f aca="false">'Analysis Data'!C916</f>
        <v>240.503059206417</v>
      </c>
      <c r="E916" s="15" t="n">
        <f aca="false">SUMPRODUCT('Final Model'!$B$45:$I$45,'Analysis Data'!N916:U916)</f>
        <v>241.972416456012</v>
      </c>
      <c r="F916" s="15" t="n">
        <f aca="false">D916-E916</f>
        <v>-1.46935724959459</v>
      </c>
      <c r="G916" s="13" t="n">
        <f aca="false">F916/'Final Model'!$B$21</f>
        <v>-0.0299672995375181</v>
      </c>
      <c r="H916" s="6" t="n">
        <f aca="false">F916^2</f>
        <v>2.15901072693619</v>
      </c>
      <c r="J916" s="6" t="n">
        <f aca="false">A916</f>
        <v>915</v>
      </c>
      <c r="K916" s="13" t="n">
        <f aca="false">SMALL($G$2:$G$1387,J916)</f>
        <v>0.418512179164052</v>
      </c>
      <c r="L916" s="18" t="n">
        <f aca="false">(J916-0.5)/1386</f>
        <v>0.65981240981241</v>
      </c>
      <c r="M916" s="18" t="n">
        <f aca="false">_xlfn.NORM.DIST(K916,AVERAGE($G$2:$G$1387),_xlfn.STDEV.S($G$2:$G$1387),TRUE())</f>
        <v>0.662601590528615</v>
      </c>
    </row>
    <row r="917" customFormat="false" ht="15" hidden="false" customHeight="false" outlineLevel="0" collapsed="false">
      <c r="A917" s="0" t="n">
        <f aca="false">ROW()-1</f>
        <v>916</v>
      </c>
      <c r="B917" s="0" t="str">
        <f aca="false">'Analysis Data'!A917</f>
        <v>Bridgeport</v>
      </c>
      <c r="C917" s="5" t="n">
        <f aca="false">'Analysis Data'!B917</f>
        <v>40316</v>
      </c>
      <c r="D917" s="6" t="n">
        <f aca="false">'Analysis Data'!C917</f>
        <v>278.554631847517</v>
      </c>
      <c r="E917" s="15" t="n">
        <f aca="false">SUMPRODUCT('Final Model'!$B$45:$I$45,'Analysis Data'!N917:U917)</f>
        <v>243.978448411876</v>
      </c>
      <c r="F917" s="15" t="n">
        <f aca="false">D917-E917</f>
        <v>34.5761834356413</v>
      </c>
      <c r="G917" s="13" t="n">
        <f aca="false">F917/'Final Model'!$B$21</f>
        <v>0.705175576712823</v>
      </c>
      <c r="H917" s="6" t="n">
        <f aca="false">F917^2</f>
        <v>1195.51246097512</v>
      </c>
      <c r="J917" s="6" t="n">
        <f aca="false">A917</f>
        <v>916</v>
      </c>
      <c r="K917" s="13" t="n">
        <f aca="false">SMALL($G$2:$G$1387,J917)</f>
        <v>0.4218104731857</v>
      </c>
      <c r="L917" s="18" t="n">
        <f aca="false">(J917-0.5)/1386</f>
        <v>0.660533910533911</v>
      </c>
      <c r="M917" s="18" t="n">
        <f aca="false">_xlfn.NORM.DIST(K917,AVERAGE($G$2:$G$1387),_xlfn.STDEV.S($G$2:$G$1387),TRUE())</f>
        <v>0.663808766582662</v>
      </c>
    </row>
    <row r="918" customFormat="false" ht="15" hidden="false" customHeight="false" outlineLevel="0" collapsed="false">
      <c r="A918" s="0" t="n">
        <f aca="false">ROW()-1</f>
        <v>917</v>
      </c>
      <c r="B918" s="0" t="str">
        <f aca="false">'Analysis Data'!A918</f>
        <v>Bridgeport</v>
      </c>
      <c r="C918" s="5" t="n">
        <f aca="false">'Analysis Data'!B918</f>
        <v>40323</v>
      </c>
      <c r="D918" s="6" t="n">
        <f aca="false">'Analysis Data'!C918</f>
        <v>204.652404458513</v>
      </c>
      <c r="E918" s="15" t="n">
        <f aca="false">SUMPRODUCT('Final Model'!$B$45:$I$45,'Analysis Data'!N918:U918)</f>
        <v>243.393355770035</v>
      </c>
      <c r="F918" s="15" t="n">
        <f aca="false">D918-E918</f>
        <v>-38.7409513115221</v>
      </c>
      <c r="G918" s="13" t="n">
        <f aca="false">F918/'Final Model'!$B$21</f>
        <v>-0.790115332837609</v>
      </c>
      <c r="H918" s="6" t="n">
        <f aca="false">F918^2</f>
        <v>1500.86130852172</v>
      </c>
      <c r="J918" s="6" t="n">
        <f aca="false">A918</f>
        <v>917</v>
      </c>
      <c r="K918" s="13" t="n">
        <f aca="false">SMALL($G$2:$G$1387,J918)</f>
        <v>0.422538114783942</v>
      </c>
      <c r="L918" s="18" t="n">
        <f aca="false">(J918-0.5)/1386</f>
        <v>0.661255411255411</v>
      </c>
      <c r="M918" s="18" t="n">
        <f aca="false">_xlfn.NORM.DIST(K918,AVERAGE($G$2:$G$1387),_xlfn.STDEV.S($G$2:$G$1387),TRUE())</f>
        <v>0.664074856766997</v>
      </c>
    </row>
    <row r="919" customFormat="false" ht="15" hidden="false" customHeight="false" outlineLevel="0" collapsed="false">
      <c r="A919" s="0" t="n">
        <f aca="false">ROW()-1</f>
        <v>918</v>
      </c>
      <c r="B919" s="0" t="str">
        <f aca="false">'Analysis Data'!A919</f>
        <v>Bridgeport</v>
      </c>
      <c r="C919" s="5" t="n">
        <f aca="false">'Analysis Data'!B919</f>
        <v>40330</v>
      </c>
      <c r="D919" s="6" t="n">
        <f aca="false">'Analysis Data'!C919</f>
        <v>266.284354732413</v>
      </c>
      <c r="E919" s="15" t="n">
        <f aca="false">SUMPRODUCT('Final Model'!$B$45:$I$45,'Analysis Data'!N919:U919)</f>
        <v>243.978448411876</v>
      </c>
      <c r="F919" s="15" t="n">
        <f aca="false">D919-E919</f>
        <v>22.305906320537</v>
      </c>
      <c r="G919" s="13" t="n">
        <f aca="false">F919/'Final Model'!$B$21</f>
        <v>0.454925292230857</v>
      </c>
      <c r="H919" s="6" t="n">
        <f aca="false">F919^2</f>
        <v>497.553456780571</v>
      </c>
      <c r="J919" s="6" t="n">
        <f aca="false">A919</f>
        <v>918</v>
      </c>
      <c r="K919" s="13" t="n">
        <f aca="false">SMALL($G$2:$G$1387,J919)</f>
        <v>0.426263711986668</v>
      </c>
      <c r="L919" s="18" t="n">
        <f aca="false">(J919-0.5)/1386</f>
        <v>0.661976911976912</v>
      </c>
      <c r="M919" s="18" t="n">
        <f aca="false">_xlfn.NORM.DIST(K919,AVERAGE($G$2:$G$1387),_xlfn.STDEV.S($G$2:$G$1387),TRUE())</f>
        <v>0.665435974315553</v>
      </c>
    </row>
    <row r="920" customFormat="false" ht="15" hidden="false" customHeight="false" outlineLevel="0" collapsed="false">
      <c r="A920" s="0" t="n">
        <f aca="false">ROW()-1</f>
        <v>919</v>
      </c>
      <c r="B920" s="0" t="str">
        <f aca="false">'Analysis Data'!A920</f>
        <v>Bridgeport</v>
      </c>
      <c r="C920" s="5" t="n">
        <f aca="false">'Analysis Data'!B920</f>
        <v>40337</v>
      </c>
      <c r="D920" s="6" t="n">
        <f aca="false">'Analysis Data'!C920</f>
        <v>175.165357968174</v>
      </c>
      <c r="E920" s="15" t="n">
        <f aca="false">SUMPRODUCT('Final Model'!$B$45:$I$45,'Analysis Data'!N920:U920)</f>
        <v>243.419625231894</v>
      </c>
      <c r="F920" s="15" t="n">
        <f aca="false">D920-E920</f>
        <v>-68.2542672637204</v>
      </c>
      <c r="G920" s="13" t="n">
        <f aca="false">F920/'Final Model'!$B$21</f>
        <v>-1.39203455958043</v>
      </c>
      <c r="H920" s="6" t="n">
        <f aca="false">F920^2</f>
        <v>4658.64499970737</v>
      </c>
      <c r="J920" s="6" t="n">
        <f aca="false">A920</f>
        <v>919</v>
      </c>
      <c r="K920" s="13" t="n">
        <f aca="false">SMALL($G$2:$G$1387,J920)</f>
        <v>0.42706668104196</v>
      </c>
      <c r="L920" s="18" t="n">
        <f aca="false">(J920-0.5)/1386</f>
        <v>0.662698412698413</v>
      </c>
      <c r="M920" s="18" t="n">
        <f aca="false">_xlfn.NORM.DIST(K920,AVERAGE($G$2:$G$1387),_xlfn.STDEV.S($G$2:$G$1387),TRUE())</f>
        <v>0.665729048901533</v>
      </c>
    </row>
    <row r="921" customFormat="false" ht="15" hidden="false" customHeight="false" outlineLevel="0" collapsed="false">
      <c r="A921" s="0" t="n">
        <f aca="false">ROW()-1</f>
        <v>920</v>
      </c>
      <c r="B921" s="0" t="str">
        <f aca="false">'Analysis Data'!A921</f>
        <v>Bridgeport</v>
      </c>
      <c r="C921" s="5" t="n">
        <f aca="false">'Analysis Data'!B921</f>
        <v>40344</v>
      </c>
      <c r="D921" s="6" t="n">
        <f aca="false">'Analysis Data'!C921</f>
        <v>280.712399599475</v>
      </c>
      <c r="E921" s="15" t="n">
        <f aca="false">SUMPRODUCT('Final Model'!$B$45:$I$45,'Analysis Data'!N921:U921)</f>
        <v>248.936213105004</v>
      </c>
      <c r="F921" s="15" t="n">
        <f aca="false">D921-E921</f>
        <v>31.7761864944713</v>
      </c>
      <c r="G921" s="13" t="n">
        <f aca="false">F921/'Final Model'!$B$21</f>
        <v>0.64807009942789</v>
      </c>
      <c r="H921" s="6" t="n">
        <f aca="false">F921^2</f>
        <v>1009.72602813142</v>
      </c>
      <c r="J921" s="6" t="n">
        <f aca="false">A921</f>
        <v>920</v>
      </c>
      <c r="K921" s="13" t="n">
        <f aca="false">SMALL($G$2:$G$1387,J921)</f>
        <v>0.428964327448306</v>
      </c>
      <c r="L921" s="18" t="n">
        <f aca="false">(J921-0.5)/1386</f>
        <v>0.663419913419914</v>
      </c>
      <c r="M921" s="18" t="n">
        <f aca="false">_xlfn.NORM.DIST(K921,AVERAGE($G$2:$G$1387),_xlfn.STDEV.S($G$2:$G$1387),TRUE())</f>
        <v>0.666421266635102</v>
      </c>
    </row>
    <row r="922" customFormat="false" ht="15" hidden="false" customHeight="false" outlineLevel="0" collapsed="false">
      <c r="A922" s="0" t="n">
        <f aca="false">ROW()-1</f>
        <v>921</v>
      </c>
      <c r="B922" s="0" t="str">
        <f aca="false">'Analysis Data'!A922</f>
        <v>Bridgeport</v>
      </c>
      <c r="C922" s="5" t="n">
        <f aca="false">'Analysis Data'!B922</f>
        <v>40351</v>
      </c>
      <c r="D922" s="6" t="n">
        <f aca="false">'Analysis Data'!C922</f>
        <v>712.72454513583</v>
      </c>
      <c r="E922" s="15" t="n">
        <f aca="false">SUMPRODUCT('Final Model'!$B$45:$I$45,'Analysis Data'!N922:U922)</f>
        <v>720.237017101654</v>
      </c>
      <c r="F922" s="15" t="n">
        <f aca="false">D922-E922</f>
        <v>-7.51247196582403</v>
      </c>
      <c r="G922" s="13" t="n">
        <f aca="false">F922/'Final Model'!$B$21</f>
        <v>-0.153215630663796</v>
      </c>
      <c r="H922" s="6" t="n">
        <f aca="false">F922^2</f>
        <v>56.437235037292</v>
      </c>
      <c r="J922" s="6" t="n">
        <f aca="false">A922</f>
        <v>921</v>
      </c>
      <c r="K922" s="13" t="n">
        <f aca="false">SMALL($G$2:$G$1387,J922)</f>
        <v>0.429453935266212</v>
      </c>
      <c r="L922" s="18" t="n">
        <f aca="false">(J922-0.5)/1386</f>
        <v>0.664141414141414</v>
      </c>
      <c r="M922" s="18" t="n">
        <f aca="false">_xlfn.NORM.DIST(K922,AVERAGE($G$2:$G$1387),_xlfn.STDEV.S($G$2:$G$1387),TRUE())</f>
        <v>0.666599772507267</v>
      </c>
    </row>
    <row r="923" customFormat="false" ht="15" hidden="false" customHeight="false" outlineLevel="0" collapsed="false">
      <c r="A923" s="0" t="n">
        <f aca="false">ROW()-1</f>
        <v>922</v>
      </c>
      <c r="B923" s="0" t="str">
        <f aca="false">'Analysis Data'!A923</f>
        <v>Bridgeport</v>
      </c>
      <c r="C923" s="5" t="n">
        <f aca="false">'Analysis Data'!B923</f>
        <v>40358</v>
      </c>
      <c r="D923" s="6" t="n">
        <f aca="false">'Analysis Data'!C923</f>
        <v>648.383248705256</v>
      </c>
      <c r="E923" s="15" t="n">
        <f aca="false">SUMPRODUCT('Final Model'!$B$45:$I$45,'Analysis Data'!N923:U923)</f>
        <v>711.240735332562</v>
      </c>
      <c r="F923" s="15" t="n">
        <f aca="false">D923-E923</f>
        <v>-62.8574866273061</v>
      </c>
      <c r="G923" s="13" t="n">
        <f aca="false">F923/'Final Model'!$B$21</f>
        <v>-1.28196810575218</v>
      </c>
      <c r="H923" s="6" t="n">
        <f aca="false">F923^2</f>
        <v>3951.06362510197</v>
      </c>
      <c r="J923" s="6" t="n">
        <f aca="false">A923</f>
        <v>922</v>
      </c>
      <c r="K923" s="13" t="n">
        <f aca="false">SMALL($G$2:$G$1387,J923)</f>
        <v>0.433371013850241</v>
      </c>
      <c r="L923" s="18" t="n">
        <f aca="false">(J923-0.5)/1386</f>
        <v>0.664862914862915</v>
      </c>
      <c r="M923" s="18" t="n">
        <f aca="false">_xlfn.NORM.DIST(K923,AVERAGE($G$2:$G$1387),_xlfn.STDEV.S($G$2:$G$1387),TRUE())</f>
        <v>0.668026537249143</v>
      </c>
    </row>
    <row r="924" customFormat="false" ht="15" hidden="false" customHeight="false" outlineLevel="0" collapsed="false">
      <c r="A924" s="0" t="n">
        <f aca="false">ROW()-1</f>
        <v>923</v>
      </c>
      <c r="B924" s="0" t="str">
        <f aca="false">'Analysis Data'!A924</f>
        <v>Bridgeport</v>
      </c>
      <c r="C924" s="5" t="n">
        <f aca="false">'Analysis Data'!B924</f>
        <v>40365</v>
      </c>
      <c r="D924" s="6" t="n">
        <f aca="false">'Analysis Data'!C924</f>
        <v>776.293905732336</v>
      </c>
      <c r="E924" s="15" t="n">
        <f aca="false">SUMPRODUCT('Final Model'!$B$45:$I$45,'Analysis Data'!N924:U924)</f>
        <v>717.308981992983</v>
      </c>
      <c r="F924" s="15" t="n">
        <f aca="false">D924-E924</f>
        <v>58.984923739353</v>
      </c>
      <c r="G924" s="13" t="n">
        <f aca="false">F924/'Final Model'!$B$21</f>
        <v>1.20298782231656</v>
      </c>
      <c r="H924" s="6" t="n">
        <f aca="false">F924^2</f>
        <v>3479.22122853729</v>
      </c>
      <c r="J924" s="6" t="n">
        <f aca="false">A924</f>
        <v>923</v>
      </c>
      <c r="K924" s="13" t="n">
        <f aca="false">SMALL($G$2:$G$1387,J924)</f>
        <v>0.434961610489188</v>
      </c>
      <c r="L924" s="18" t="n">
        <f aca="false">(J924-0.5)/1386</f>
        <v>0.665584415584416</v>
      </c>
      <c r="M924" s="18" t="n">
        <f aca="false">_xlfn.NORM.DIST(K924,AVERAGE($G$2:$G$1387),_xlfn.STDEV.S($G$2:$G$1387),TRUE())</f>
        <v>0.668605206091287</v>
      </c>
    </row>
    <row r="925" customFormat="false" ht="15" hidden="false" customHeight="false" outlineLevel="0" collapsed="false">
      <c r="A925" s="0" t="n">
        <f aca="false">ROW()-1</f>
        <v>924</v>
      </c>
      <c r="B925" s="0" t="str">
        <f aca="false">'Analysis Data'!A925</f>
        <v>Bridgeport</v>
      </c>
      <c r="C925" s="5" t="n">
        <f aca="false">'Analysis Data'!B925</f>
        <v>40372</v>
      </c>
      <c r="D925" s="6" t="n">
        <f aca="false">'Analysis Data'!C925</f>
        <v>737.209162982271</v>
      </c>
      <c r="E925" s="15" t="n">
        <f aca="false">SUMPRODUCT('Final Model'!$B$45:$I$45,'Analysis Data'!N925:U925)</f>
        <v>723.582130482386</v>
      </c>
      <c r="F925" s="15" t="n">
        <f aca="false">D925-E925</f>
        <v>13.6270324998846</v>
      </c>
      <c r="G925" s="13" t="n">
        <f aca="false">F925/'Final Model'!$B$21</f>
        <v>0.277921087498774</v>
      </c>
      <c r="H925" s="6" t="n">
        <f aca="false">F925^2</f>
        <v>185.696014752912</v>
      </c>
      <c r="J925" s="6" t="n">
        <f aca="false">A925</f>
        <v>924</v>
      </c>
      <c r="K925" s="13" t="n">
        <f aca="false">SMALL($G$2:$G$1387,J925)</f>
        <v>0.434963992092284</v>
      </c>
      <c r="L925" s="18" t="n">
        <f aca="false">(J925-0.5)/1386</f>
        <v>0.666305916305916</v>
      </c>
      <c r="M925" s="18" t="n">
        <f aca="false">_xlfn.NORM.DIST(K925,AVERAGE($G$2:$G$1387),_xlfn.STDEV.S($G$2:$G$1387),TRUE())</f>
        <v>0.66860607223185</v>
      </c>
    </row>
    <row r="926" customFormat="false" ht="15" hidden="false" customHeight="false" outlineLevel="0" collapsed="false">
      <c r="A926" s="0" t="n">
        <f aca="false">ROW()-1</f>
        <v>925</v>
      </c>
      <c r="B926" s="0" t="str">
        <f aca="false">'Analysis Data'!A926</f>
        <v>Fremont</v>
      </c>
      <c r="C926" s="5" t="n">
        <f aca="false">'Analysis Data'!B926</f>
        <v>40302</v>
      </c>
      <c r="D926" s="6" t="n">
        <f aca="false">'Analysis Data'!C926</f>
        <v>198.712000236619</v>
      </c>
      <c r="E926" s="15" t="n">
        <f aca="false">SUMPRODUCT('Final Model'!$B$45:$I$45,'Analysis Data'!N926:U926)</f>
        <v>234.75070142814</v>
      </c>
      <c r="F926" s="15" t="n">
        <f aca="false">D926-E926</f>
        <v>-36.0387011915212</v>
      </c>
      <c r="G926" s="13" t="n">
        <f aca="false">F926/'Final Model'!$B$21</f>
        <v>-0.735003385900468</v>
      </c>
      <c r="H926" s="6" t="n">
        <f aca="false">F926^2</f>
        <v>1298.78798357175</v>
      </c>
      <c r="J926" s="6" t="n">
        <f aca="false">A926</f>
        <v>925</v>
      </c>
      <c r="K926" s="13" t="n">
        <f aca="false">SMALL($G$2:$G$1387,J926)</f>
        <v>0.436049335509398</v>
      </c>
      <c r="L926" s="18" t="n">
        <f aca="false">(J926-0.5)/1386</f>
        <v>0.667027417027417</v>
      </c>
      <c r="M926" s="18" t="n">
        <f aca="false">_xlfn.NORM.DIST(K926,AVERAGE($G$2:$G$1387),_xlfn.STDEV.S($G$2:$G$1387),TRUE())</f>
        <v>0.66900069562593</v>
      </c>
    </row>
    <row r="927" customFormat="false" ht="15" hidden="false" customHeight="false" outlineLevel="0" collapsed="false">
      <c r="A927" s="0" t="n">
        <f aca="false">ROW()-1</f>
        <v>926</v>
      </c>
      <c r="B927" s="0" t="str">
        <f aca="false">'Analysis Data'!A927</f>
        <v>Fremont</v>
      </c>
      <c r="C927" s="5" t="n">
        <f aca="false">'Analysis Data'!B927</f>
        <v>40309</v>
      </c>
      <c r="D927" s="6" t="n">
        <f aca="false">'Analysis Data'!C927</f>
        <v>254.849692976631</v>
      </c>
      <c r="E927" s="15" t="n">
        <f aca="false">SUMPRODUCT('Final Model'!$B$45:$I$45,'Analysis Data'!N927:U927)</f>
        <v>232.819895672552</v>
      </c>
      <c r="F927" s="15" t="n">
        <f aca="false">D927-E927</f>
        <v>22.0297973040794</v>
      </c>
      <c r="G927" s="13" t="n">
        <f aca="false">F927/'Final Model'!$B$21</f>
        <v>0.449294094233585</v>
      </c>
      <c r="H927" s="6" t="n">
        <f aca="false">F927^2</f>
        <v>485.311969258822</v>
      </c>
      <c r="J927" s="6" t="n">
        <f aca="false">A927</f>
        <v>926</v>
      </c>
      <c r="K927" s="13" t="n">
        <f aca="false">SMALL($G$2:$G$1387,J927)</f>
        <v>0.439297747229767</v>
      </c>
      <c r="L927" s="18" t="n">
        <f aca="false">(J927-0.5)/1386</f>
        <v>0.667748917748918</v>
      </c>
      <c r="M927" s="18" t="n">
        <f aca="false">_xlfn.NORM.DIST(K927,AVERAGE($G$2:$G$1387),_xlfn.STDEV.S($G$2:$G$1387),TRUE())</f>
        <v>0.670180672881774</v>
      </c>
    </row>
    <row r="928" customFormat="false" ht="15" hidden="false" customHeight="false" outlineLevel="0" collapsed="false">
      <c r="A928" s="0" t="n">
        <f aca="false">ROW()-1</f>
        <v>927</v>
      </c>
      <c r="B928" s="0" t="str">
        <f aca="false">'Analysis Data'!A928</f>
        <v>Fremont</v>
      </c>
      <c r="C928" s="5" t="n">
        <f aca="false">'Analysis Data'!B928</f>
        <v>40316</v>
      </c>
      <c r="D928" s="6" t="n">
        <f aca="false">'Analysis Data'!C928</f>
        <v>343.572470389301</v>
      </c>
      <c r="E928" s="15" t="n">
        <f aca="false">SUMPRODUCT('Final Model'!$B$45:$I$45,'Analysis Data'!N928:U928)</f>
        <v>243.301412631461</v>
      </c>
      <c r="F928" s="15" t="n">
        <f aca="false">D928-E928</f>
        <v>100.27105775784</v>
      </c>
      <c r="G928" s="13" t="n">
        <f aca="false">F928/'Final Model'!$B$21</f>
        <v>2.04501173802493</v>
      </c>
      <c r="H928" s="6" t="n">
        <f aca="false">F928^2</f>
        <v>10054.2850238761</v>
      </c>
      <c r="J928" s="6" t="n">
        <f aca="false">A928</f>
        <v>927</v>
      </c>
      <c r="K928" s="13" t="n">
        <f aca="false">SMALL($G$2:$G$1387,J928)</f>
        <v>0.440770327598339</v>
      </c>
      <c r="L928" s="18" t="n">
        <f aca="false">(J928-0.5)/1386</f>
        <v>0.668470418470418</v>
      </c>
      <c r="M928" s="18" t="n">
        <f aca="false">_xlfn.NORM.DIST(K928,AVERAGE($G$2:$G$1387),_xlfn.STDEV.S($G$2:$G$1387),TRUE())</f>
        <v>0.670715027442822</v>
      </c>
    </row>
    <row r="929" customFormat="false" ht="15" hidden="false" customHeight="false" outlineLevel="0" collapsed="false">
      <c r="A929" s="0" t="n">
        <f aca="false">ROW()-1</f>
        <v>928</v>
      </c>
      <c r="B929" s="0" t="str">
        <f aca="false">'Analysis Data'!A929</f>
        <v>Fremont</v>
      </c>
      <c r="C929" s="5" t="n">
        <f aca="false">'Analysis Data'!B929</f>
        <v>40323</v>
      </c>
      <c r="D929" s="6" t="n">
        <f aca="false">'Analysis Data'!C929</f>
        <v>291.419981269437</v>
      </c>
      <c r="E929" s="15" t="n">
        <f aca="false">SUMPRODUCT('Final Model'!$B$45:$I$45,'Analysis Data'!N929:U929)</f>
        <v>236.466973215789</v>
      </c>
      <c r="F929" s="15" t="n">
        <f aca="false">D929-E929</f>
        <v>54.9530080536482</v>
      </c>
      <c r="G929" s="13" t="n">
        <f aca="false">F929/'Final Model'!$B$21</f>
        <v>1.120757564769</v>
      </c>
      <c r="H929" s="6" t="n">
        <f aca="false">F929^2</f>
        <v>3019.83309414432</v>
      </c>
      <c r="J929" s="6" t="n">
        <f aca="false">A929</f>
        <v>928</v>
      </c>
      <c r="K929" s="13" t="n">
        <f aca="false">SMALL($G$2:$G$1387,J929)</f>
        <v>0.444611237772779</v>
      </c>
      <c r="L929" s="18" t="n">
        <f aca="false">(J929-0.5)/1386</f>
        <v>0.669191919191919</v>
      </c>
      <c r="M929" s="18" t="n">
        <f aca="false">_xlfn.NORM.DIST(K929,AVERAGE($G$2:$G$1387),_xlfn.STDEV.S($G$2:$G$1387),TRUE())</f>
        <v>0.672107134535022</v>
      </c>
    </row>
    <row r="930" customFormat="false" ht="15" hidden="false" customHeight="false" outlineLevel="0" collapsed="false">
      <c r="A930" s="0" t="n">
        <f aca="false">ROW()-1</f>
        <v>929</v>
      </c>
      <c r="B930" s="0" t="str">
        <f aca="false">'Analysis Data'!A930</f>
        <v>Fremont</v>
      </c>
      <c r="C930" s="5" t="n">
        <f aca="false">'Analysis Data'!B930</f>
        <v>40330</v>
      </c>
      <c r="D930" s="6" t="n">
        <f aca="false">'Analysis Data'!C930</f>
        <v>269.077154721976</v>
      </c>
      <c r="E930" s="15" t="n">
        <f aca="false">SUMPRODUCT('Final Model'!$B$45:$I$45,'Analysis Data'!N930:U930)</f>
        <v>243.301412631461</v>
      </c>
      <c r="F930" s="15" t="n">
        <f aca="false">D930-E930</f>
        <v>25.7757420905151</v>
      </c>
      <c r="G930" s="13" t="n">
        <f aca="false">F930/'Final Model'!$B$21</f>
        <v>0.525692022305262</v>
      </c>
      <c r="H930" s="6" t="n">
        <f aca="false">F930^2</f>
        <v>664.388880316754</v>
      </c>
      <c r="J930" s="6" t="n">
        <f aca="false">A930</f>
        <v>929</v>
      </c>
      <c r="K930" s="13" t="n">
        <f aca="false">SMALL($G$2:$G$1387,J930)</f>
        <v>0.445858707107143</v>
      </c>
      <c r="L930" s="18" t="n">
        <f aca="false">(J930-0.5)/1386</f>
        <v>0.66991341991342</v>
      </c>
      <c r="M930" s="18" t="n">
        <f aca="false">_xlfn.NORM.DIST(K930,AVERAGE($G$2:$G$1387),_xlfn.STDEV.S($G$2:$G$1387),TRUE())</f>
        <v>0.672558756990763</v>
      </c>
    </row>
    <row r="931" customFormat="false" ht="15" hidden="false" customHeight="false" outlineLevel="0" collapsed="false">
      <c r="A931" s="0" t="n">
        <f aca="false">ROW()-1</f>
        <v>930</v>
      </c>
      <c r="B931" s="0" t="str">
        <f aca="false">'Analysis Data'!A931</f>
        <v>Fremont</v>
      </c>
      <c r="C931" s="5" t="n">
        <f aca="false">'Analysis Data'!B931</f>
        <v>40337</v>
      </c>
      <c r="D931" s="6" t="n">
        <f aca="false">'Analysis Data'!C931</f>
        <v>219.24672508499</v>
      </c>
      <c r="E931" s="15" t="n">
        <f aca="false">SUMPRODUCT('Final Model'!$B$45:$I$45,'Analysis Data'!N931:U931)</f>
        <v>232.819895672552</v>
      </c>
      <c r="F931" s="15" t="n">
        <f aca="false">D931-E931</f>
        <v>-13.5731705875615</v>
      </c>
      <c r="G931" s="13" t="n">
        <f aca="false">F931/'Final Model'!$B$21</f>
        <v>-0.276822582652049</v>
      </c>
      <c r="H931" s="6" t="n">
        <f aca="false">F931^2</f>
        <v>184.230959799046</v>
      </c>
      <c r="J931" s="6" t="n">
        <f aca="false">A931</f>
        <v>930</v>
      </c>
      <c r="K931" s="13" t="n">
        <f aca="false">SMALL($G$2:$G$1387,J931)</f>
        <v>0.446895374016159</v>
      </c>
      <c r="L931" s="18" t="n">
        <f aca="false">(J931-0.5)/1386</f>
        <v>0.670634920634921</v>
      </c>
      <c r="M931" s="18" t="n">
        <f aca="false">_xlfn.NORM.DIST(K931,AVERAGE($G$2:$G$1387),_xlfn.STDEV.S($G$2:$G$1387),TRUE())</f>
        <v>0.672933870454263</v>
      </c>
    </row>
    <row r="932" customFormat="false" ht="15" hidden="false" customHeight="false" outlineLevel="0" collapsed="false">
      <c r="A932" s="0" t="n">
        <f aca="false">ROW()-1</f>
        <v>931</v>
      </c>
      <c r="B932" s="0" t="str">
        <f aca="false">'Analysis Data'!A932</f>
        <v>Fremont</v>
      </c>
      <c r="C932" s="5" t="n">
        <f aca="false">'Analysis Data'!B932</f>
        <v>40344</v>
      </c>
      <c r="D932" s="6" t="n">
        <f aca="false">'Analysis Data'!C932</f>
        <v>325.613426774262</v>
      </c>
      <c r="E932" s="15" t="n">
        <f aca="false">SUMPRODUCT('Final Model'!$B$45:$I$45,'Analysis Data'!N932:U932)</f>
        <v>244.179051605255</v>
      </c>
      <c r="F932" s="15" t="n">
        <f aca="false">D932-E932</f>
        <v>81.4343751690069</v>
      </c>
      <c r="G932" s="13" t="n">
        <f aca="false">F932/'Final Model'!$B$21</f>
        <v>1.66084069344849</v>
      </c>
      <c r="H932" s="6" t="n">
        <f aca="false">F932^2</f>
        <v>6631.55745916657</v>
      </c>
      <c r="J932" s="6" t="n">
        <f aca="false">A932</f>
        <v>931</v>
      </c>
      <c r="K932" s="13" t="n">
        <f aca="false">SMALL($G$2:$G$1387,J932)</f>
        <v>0.449294094233585</v>
      </c>
      <c r="L932" s="18" t="n">
        <f aca="false">(J932-0.5)/1386</f>
        <v>0.671356421356421</v>
      </c>
      <c r="M932" s="18" t="n">
        <f aca="false">_xlfn.NORM.DIST(K932,AVERAGE($G$2:$G$1387),_xlfn.STDEV.S($G$2:$G$1387),TRUE())</f>
        <v>0.673801167002411</v>
      </c>
    </row>
    <row r="933" customFormat="false" ht="15" hidden="false" customHeight="false" outlineLevel="0" collapsed="false">
      <c r="A933" s="0" t="n">
        <f aca="false">ROW()-1</f>
        <v>932</v>
      </c>
      <c r="B933" s="0" t="str">
        <f aca="false">'Analysis Data'!A933</f>
        <v>Fremont</v>
      </c>
      <c r="C933" s="5" t="n">
        <f aca="false">'Analysis Data'!B933</f>
        <v>40351</v>
      </c>
      <c r="D933" s="6" t="n">
        <f aca="false">'Analysis Data'!C933</f>
        <v>296.142856016262</v>
      </c>
      <c r="E933" s="15" t="n">
        <f aca="false">SUMPRODUCT('Final Model'!$B$45:$I$45,'Analysis Data'!N933:U933)</f>
        <v>233.034429640491</v>
      </c>
      <c r="F933" s="15" t="n">
        <f aca="false">D933-E933</f>
        <v>63.1084263757705</v>
      </c>
      <c r="G933" s="13" t="n">
        <f aca="false">F933/'Final Model'!$B$21</f>
        <v>1.28708598066666</v>
      </c>
      <c r="H933" s="6" t="n">
        <f aca="false">F933^2</f>
        <v>3982.67347962605</v>
      </c>
      <c r="J933" s="6" t="n">
        <f aca="false">A933</f>
        <v>932</v>
      </c>
      <c r="K933" s="13" t="n">
        <f aca="false">SMALL($G$2:$G$1387,J933)</f>
        <v>0.453348555585062</v>
      </c>
      <c r="L933" s="18" t="n">
        <f aca="false">(J933-0.5)/1386</f>
        <v>0.672077922077922</v>
      </c>
      <c r="M933" s="18" t="n">
        <f aca="false">_xlfn.NORM.DIST(K933,AVERAGE($G$2:$G$1387),_xlfn.STDEV.S($G$2:$G$1387),TRUE())</f>
        <v>0.675264986947331</v>
      </c>
    </row>
    <row r="934" customFormat="false" ht="15" hidden="false" customHeight="false" outlineLevel="0" collapsed="false">
      <c r="A934" s="0" t="n">
        <f aca="false">ROW()-1</f>
        <v>933</v>
      </c>
      <c r="B934" s="0" t="str">
        <f aca="false">'Analysis Data'!A934</f>
        <v>Fremont</v>
      </c>
      <c r="C934" s="5" t="n">
        <f aca="false">'Analysis Data'!B934</f>
        <v>40358</v>
      </c>
      <c r="D934" s="6" t="n">
        <f aca="false">'Analysis Data'!C934</f>
        <v>260.037774454636</v>
      </c>
      <c r="E934" s="15" t="n">
        <f aca="false">SUMPRODUCT('Final Model'!$B$45:$I$45,'Analysis Data'!N934:U934)</f>
        <v>252.624446137016</v>
      </c>
      <c r="F934" s="15" t="n">
        <f aca="false">D934-E934</f>
        <v>7.41332831761969</v>
      </c>
      <c r="G934" s="13" t="n">
        <f aca="false">F934/'Final Model'!$B$21</f>
        <v>0.151193612258264</v>
      </c>
      <c r="H934" s="6" t="n">
        <f aca="false">F934^2</f>
        <v>54.9574367448219</v>
      </c>
      <c r="J934" s="6" t="n">
        <f aca="false">A934</f>
        <v>933</v>
      </c>
      <c r="K934" s="13" t="n">
        <f aca="false">SMALL($G$2:$G$1387,J934)</f>
        <v>0.454925292230857</v>
      </c>
      <c r="L934" s="18" t="n">
        <f aca="false">(J934-0.5)/1386</f>
        <v>0.672799422799423</v>
      </c>
      <c r="M934" s="18" t="n">
        <f aca="false">_xlfn.NORM.DIST(K934,AVERAGE($G$2:$G$1387),_xlfn.STDEV.S($G$2:$G$1387),TRUE())</f>
        <v>0.675833522266666</v>
      </c>
    </row>
    <row r="935" customFormat="false" ht="15" hidden="false" customHeight="false" outlineLevel="0" collapsed="false">
      <c r="A935" s="0" t="n">
        <f aca="false">ROW()-1</f>
        <v>934</v>
      </c>
      <c r="B935" s="0" t="str">
        <f aca="false">'Analysis Data'!A935</f>
        <v>Fremont</v>
      </c>
      <c r="C935" s="5" t="n">
        <f aca="false">'Analysis Data'!B935</f>
        <v>40365</v>
      </c>
      <c r="D935" s="6" t="n">
        <f aca="false">'Analysis Data'!C935</f>
        <v>159.474473536905</v>
      </c>
      <c r="E935" s="15" t="n">
        <f aca="false">SUMPRODUCT('Final Model'!$B$45:$I$45,'Analysis Data'!N935:U935)</f>
        <v>249.719043183156</v>
      </c>
      <c r="F935" s="15" t="n">
        <f aca="false">D935-E935</f>
        <v>-90.2445696462513</v>
      </c>
      <c r="G935" s="13" t="n">
        <f aca="false">F935/'Final Model'!$B$21</f>
        <v>-1.84052316138215</v>
      </c>
      <c r="H935" s="6" t="n">
        <f aca="false">F935^2</f>
        <v>8144.0823506371</v>
      </c>
      <c r="J935" s="6" t="n">
        <f aca="false">A935</f>
        <v>934</v>
      </c>
      <c r="K935" s="13" t="n">
        <f aca="false">SMALL($G$2:$G$1387,J935)</f>
        <v>0.455697914679059</v>
      </c>
      <c r="L935" s="18" t="n">
        <f aca="false">(J935-0.5)/1386</f>
        <v>0.673520923520924</v>
      </c>
      <c r="M935" s="18" t="n">
        <f aca="false">_xlfn.NORM.DIST(K935,AVERAGE($G$2:$G$1387),_xlfn.STDEV.S($G$2:$G$1387),TRUE())</f>
        <v>0.676111962813908</v>
      </c>
    </row>
    <row r="936" customFormat="false" ht="15" hidden="false" customHeight="false" outlineLevel="0" collapsed="false">
      <c r="A936" s="0" t="n">
        <f aca="false">ROW()-1</f>
        <v>935</v>
      </c>
      <c r="B936" s="0" t="str">
        <f aca="false">'Analysis Data'!A936</f>
        <v>Fremont</v>
      </c>
      <c r="C936" s="5" t="n">
        <f aca="false">'Analysis Data'!B936</f>
        <v>40372</v>
      </c>
      <c r="D936" s="6" t="n">
        <f aca="false">'Analysis Data'!C936</f>
        <v>283.493150652335</v>
      </c>
      <c r="E936" s="15" t="n">
        <f aca="false">SUMPRODUCT('Final Model'!$B$45:$I$45,'Analysis Data'!N936:U936)</f>
        <v>257.900310173657</v>
      </c>
      <c r="F936" s="15" t="n">
        <f aca="false">D936-E936</f>
        <v>25.5928404786773</v>
      </c>
      <c r="G936" s="13" t="n">
        <f aca="false">F936/'Final Model'!$B$21</f>
        <v>0.521961774001556</v>
      </c>
      <c r="H936" s="6" t="n">
        <f aca="false">F936^2</f>
        <v>654.993483767024</v>
      </c>
      <c r="J936" s="6" t="n">
        <f aca="false">A936</f>
        <v>935</v>
      </c>
      <c r="K936" s="13" t="n">
        <f aca="false">SMALL($G$2:$G$1387,J936)</f>
        <v>0.456885799548151</v>
      </c>
      <c r="L936" s="18" t="n">
        <f aca="false">(J936-0.5)/1386</f>
        <v>0.674242424242424</v>
      </c>
      <c r="M936" s="18" t="n">
        <f aca="false">_xlfn.NORM.DIST(K936,AVERAGE($G$2:$G$1387),_xlfn.STDEV.S($G$2:$G$1387),TRUE())</f>
        <v>0.676539864961465</v>
      </c>
    </row>
    <row r="937" customFormat="false" ht="15" hidden="false" customHeight="false" outlineLevel="0" collapsed="false">
      <c r="A937" s="0" t="n">
        <f aca="false">ROW()-1</f>
        <v>936</v>
      </c>
      <c r="B937" s="0" t="str">
        <f aca="false">'Analysis Data'!A937</f>
        <v>Mill Plain</v>
      </c>
      <c r="C937" s="5" t="n">
        <f aca="false">'Analysis Data'!B937</f>
        <v>40302</v>
      </c>
      <c r="D937" s="6" t="n">
        <f aca="false">'Analysis Data'!C937</f>
        <v>340.724433811753</v>
      </c>
      <c r="E937" s="15" t="n">
        <f aca="false">SUMPRODUCT('Final Model'!$B$45:$I$45,'Analysis Data'!N937:U937)</f>
        <v>308.120493690739</v>
      </c>
      <c r="F937" s="15" t="n">
        <f aca="false">D937-E937</f>
        <v>32.6039401210144</v>
      </c>
      <c r="G937" s="13" t="n">
        <f aca="false">F937/'Final Model'!$B$21</f>
        <v>0.664951998555366</v>
      </c>
      <c r="H937" s="6" t="n">
        <f aca="false">F937^2</f>
        <v>1063.01691141469</v>
      </c>
      <c r="J937" s="6" t="n">
        <f aca="false">A937</f>
        <v>936</v>
      </c>
      <c r="K937" s="13" t="n">
        <f aca="false">SMALL($G$2:$G$1387,J937)</f>
        <v>0.459180544310745</v>
      </c>
      <c r="L937" s="18" t="n">
        <f aca="false">(J937-0.5)/1386</f>
        <v>0.674963924963925</v>
      </c>
      <c r="M937" s="18" t="n">
        <f aca="false">_xlfn.NORM.DIST(K937,AVERAGE($G$2:$G$1387),_xlfn.STDEV.S($G$2:$G$1387),TRUE())</f>
        <v>0.677365821062185</v>
      </c>
    </row>
    <row r="938" customFormat="false" ht="15" hidden="false" customHeight="false" outlineLevel="0" collapsed="false">
      <c r="A938" s="0" t="n">
        <f aca="false">ROW()-1</f>
        <v>937</v>
      </c>
      <c r="B938" s="0" t="str">
        <f aca="false">'Analysis Data'!A938</f>
        <v>Mill Plain</v>
      </c>
      <c r="C938" s="5" t="n">
        <f aca="false">'Analysis Data'!B938</f>
        <v>40309</v>
      </c>
      <c r="D938" s="6" t="n">
        <f aca="false">'Analysis Data'!C938</f>
        <v>276.882353604236</v>
      </c>
      <c r="E938" s="15" t="n">
        <f aca="false">SUMPRODUCT('Final Model'!$B$45:$I$45,'Analysis Data'!N938:U938)</f>
        <v>302.482156592389</v>
      </c>
      <c r="F938" s="15" t="n">
        <f aca="false">D938-E938</f>
        <v>-25.5998029881531</v>
      </c>
      <c r="G938" s="13" t="n">
        <f aca="false">F938/'Final Model'!$B$21</f>
        <v>-0.522103773237651</v>
      </c>
      <c r="H938" s="6" t="n">
        <f aca="false">F938^2</f>
        <v>655.349913032252</v>
      </c>
      <c r="J938" s="6" t="n">
        <f aca="false">A938</f>
        <v>937</v>
      </c>
      <c r="K938" s="13" t="n">
        <f aca="false">SMALL($G$2:$G$1387,J938)</f>
        <v>0.45988968512144</v>
      </c>
      <c r="L938" s="18" t="n">
        <f aca="false">(J938-0.5)/1386</f>
        <v>0.675685425685426</v>
      </c>
      <c r="M938" s="18" t="n">
        <f aca="false">_xlfn.NORM.DIST(K938,AVERAGE($G$2:$G$1387),_xlfn.STDEV.S($G$2:$G$1387),TRUE())</f>
        <v>0.677620888105241</v>
      </c>
    </row>
    <row r="939" customFormat="false" ht="15" hidden="false" customHeight="false" outlineLevel="0" collapsed="false">
      <c r="A939" s="0" t="n">
        <f aca="false">ROW()-1</f>
        <v>938</v>
      </c>
      <c r="B939" s="0" t="str">
        <f aca="false">'Analysis Data'!A939</f>
        <v>Mill Plain</v>
      </c>
      <c r="C939" s="5" t="n">
        <f aca="false">'Analysis Data'!B939</f>
        <v>40316</v>
      </c>
      <c r="D939" s="6" t="n">
        <f aca="false">'Analysis Data'!C939</f>
        <v>469.666502841227</v>
      </c>
      <c r="E939" s="15" t="n">
        <f aca="false">SUMPRODUCT('Final Model'!$B$45:$I$45,'Analysis Data'!N939:U939)</f>
        <v>313.515332338608</v>
      </c>
      <c r="F939" s="15" t="n">
        <f aca="false">D939-E939</f>
        <v>156.151170502618</v>
      </c>
      <c r="G939" s="13" t="n">
        <f aca="false">F939/'Final Model'!$B$21</f>
        <v>3.18467745054996</v>
      </c>
      <c r="H939" s="6" t="n">
        <f aca="false">F939^2</f>
        <v>24383.1880493378</v>
      </c>
      <c r="J939" s="6" t="n">
        <f aca="false">A939</f>
        <v>938</v>
      </c>
      <c r="K939" s="13" t="n">
        <f aca="false">SMALL($G$2:$G$1387,J939)</f>
        <v>0.461035208753856</v>
      </c>
      <c r="L939" s="18" t="n">
        <f aca="false">(J939-0.5)/1386</f>
        <v>0.676406926406927</v>
      </c>
      <c r="M939" s="18" t="n">
        <f aca="false">_xlfn.NORM.DIST(K939,AVERAGE($G$2:$G$1387),_xlfn.STDEV.S($G$2:$G$1387),TRUE())</f>
        <v>0.67803273871263</v>
      </c>
    </row>
    <row r="940" customFormat="false" ht="15" hidden="false" customHeight="false" outlineLevel="0" collapsed="false">
      <c r="A940" s="0" t="n">
        <f aca="false">ROW()-1</f>
        <v>939</v>
      </c>
      <c r="B940" s="0" t="str">
        <f aca="false">'Analysis Data'!A940</f>
        <v>Mill Plain</v>
      </c>
      <c r="C940" s="5" t="n">
        <f aca="false">'Analysis Data'!B940</f>
        <v>40323</v>
      </c>
      <c r="D940" s="6" t="n">
        <f aca="false">'Analysis Data'!C940</f>
        <v>207.851918980809</v>
      </c>
      <c r="E940" s="15" t="n">
        <f aca="false">SUMPRODUCT('Final Model'!$B$45:$I$45,'Analysis Data'!N940:U940)</f>
        <v>246.571961162538</v>
      </c>
      <c r="F940" s="15" t="n">
        <f aca="false">D940-E940</f>
        <v>-38.7200421817286</v>
      </c>
      <c r="G940" s="13" t="n">
        <f aca="false">F940/'Final Model'!$B$21</f>
        <v>-0.789688894573012</v>
      </c>
      <c r="H940" s="6" t="n">
        <f aca="false">F940^2</f>
        <v>1499.24166655484</v>
      </c>
      <c r="J940" s="6" t="n">
        <f aca="false">A940</f>
        <v>939</v>
      </c>
      <c r="K940" s="13" t="n">
        <f aca="false">SMALL($G$2:$G$1387,J940)</f>
        <v>0.463619222171179</v>
      </c>
      <c r="L940" s="18" t="n">
        <f aca="false">(J940-0.5)/1386</f>
        <v>0.677128427128427</v>
      </c>
      <c r="M940" s="18" t="n">
        <f aca="false">_xlfn.NORM.DIST(K940,AVERAGE($G$2:$G$1387),_xlfn.STDEV.S($G$2:$G$1387),TRUE())</f>
        <v>0.678960966964545</v>
      </c>
    </row>
    <row r="941" customFormat="false" ht="15" hidden="false" customHeight="false" outlineLevel="0" collapsed="false">
      <c r="A941" s="0" t="n">
        <f aca="false">ROW()-1</f>
        <v>940</v>
      </c>
      <c r="B941" s="0" t="str">
        <f aca="false">'Analysis Data'!A941</f>
        <v>Mill Plain</v>
      </c>
      <c r="C941" s="5" t="n">
        <f aca="false">'Analysis Data'!B941</f>
        <v>40330</v>
      </c>
      <c r="D941" s="6" t="n">
        <f aca="false">'Analysis Data'!C941</f>
        <v>247.335452284668</v>
      </c>
      <c r="E941" s="15" t="n">
        <f aca="false">SUMPRODUCT('Final Model'!$B$45:$I$45,'Analysis Data'!N941:U941)</f>
        <v>246.571961162538</v>
      </c>
      <c r="F941" s="15" t="n">
        <f aca="false">D941-E941</f>
        <v>0.763491122130318</v>
      </c>
      <c r="G941" s="13" t="n">
        <f aca="false">F941/'Final Model'!$B$21</f>
        <v>0.015571275914981</v>
      </c>
      <c r="H941" s="6" t="n">
        <f aca="false">F941^2</f>
        <v>0.582918693571813</v>
      </c>
      <c r="J941" s="6" t="n">
        <f aca="false">A941</f>
        <v>940</v>
      </c>
      <c r="K941" s="13" t="n">
        <f aca="false">SMALL($G$2:$G$1387,J941)</f>
        <v>0.465961961807299</v>
      </c>
      <c r="L941" s="18" t="n">
        <f aca="false">(J941-0.5)/1386</f>
        <v>0.677849927849928</v>
      </c>
      <c r="M941" s="18" t="n">
        <f aca="false">_xlfn.NORM.DIST(K941,AVERAGE($G$2:$G$1387),_xlfn.STDEV.S($G$2:$G$1387),TRUE())</f>
        <v>0.679801559660314</v>
      </c>
    </row>
    <row r="942" customFormat="false" ht="15" hidden="false" customHeight="false" outlineLevel="0" collapsed="false">
      <c r="A942" s="0" t="n">
        <f aca="false">ROW()-1</f>
        <v>941</v>
      </c>
      <c r="B942" s="0" t="str">
        <f aca="false">'Analysis Data'!A942</f>
        <v>Mill Plain</v>
      </c>
      <c r="C942" s="5" t="n">
        <f aca="false">'Analysis Data'!B942</f>
        <v>40337</v>
      </c>
      <c r="D942" s="6" t="n">
        <f aca="false">'Analysis Data'!C942</f>
        <v>233.351887945007</v>
      </c>
      <c r="E942" s="15" t="n">
        <f aca="false">SUMPRODUCT('Final Model'!$B$45:$I$45,'Analysis Data'!N942:U942)</f>
        <v>237.903037358784</v>
      </c>
      <c r="F942" s="15" t="n">
        <f aca="false">D942-E942</f>
        <v>-4.5511494137767</v>
      </c>
      <c r="G942" s="13" t="n">
        <f aca="false">F942/'Final Model'!$B$21</f>
        <v>-0.0928199440675683</v>
      </c>
      <c r="H942" s="6" t="n">
        <f aca="false">F942^2</f>
        <v>20.71296098652</v>
      </c>
      <c r="J942" s="6" t="n">
        <f aca="false">A942</f>
        <v>941</v>
      </c>
      <c r="K942" s="13" t="n">
        <f aca="false">SMALL($G$2:$G$1387,J942)</f>
        <v>0.468694011293974</v>
      </c>
      <c r="L942" s="18" t="n">
        <f aca="false">(J942-0.5)/1386</f>
        <v>0.678571428571429</v>
      </c>
      <c r="M942" s="18" t="n">
        <f aca="false">_xlfn.NORM.DIST(K942,AVERAGE($G$2:$G$1387),_xlfn.STDEV.S($G$2:$G$1387),TRUE())</f>
        <v>0.680780675158913</v>
      </c>
    </row>
    <row r="943" customFormat="false" ht="15" hidden="false" customHeight="false" outlineLevel="0" collapsed="false">
      <c r="A943" s="0" t="n">
        <f aca="false">ROW()-1</f>
        <v>942</v>
      </c>
      <c r="B943" s="0" t="str">
        <f aca="false">'Analysis Data'!A943</f>
        <v>Mill Plain</v>
      </c>
      <c r="C943" s="5" t="n">
        <f aca="false">'Analysis Data'!B943</f>
        <v>40344</v>
      </c>
      <c r="D943" s="6" t="n">
        <f aca="false">'Analysis Data'!C943</f>
        <v>247.004093334202</v>
      </c>
      <c r="E943" s="15" t="n">
        <f aca="false">SUMPRODUCT('Final Model'!$B$45:$I$45,'Analysis Data'!N943:U943)</f>
        <v>243.916724347282</v>
      </c>
      <c r="F943" s="15" t="n">
        <f aca="false">D943-E943</f>
        <v>3.08736898691996</v>
      </c>
      <c r="G943" s="13" t="n">
        <f aca="false">F943/'Final Model'!$B$21</f>
        <v>0.0629663829129376</v>
      </c>
      <c r="H943" s="6" t="n">
        <f aca="false">F943^2</f>
        <v>9.53184726139515</v>
      </c>
      <c r="J943" s="6" t="n">
        <f aca="false">A943</f>
        <v>942</v>
      </c>
      <c r="K943" s="13" t="n">
        <f aca="false">SMALL($G$2:$G$1387,J943)</f>
        <v>0.474429919263732</v>
      </c>
      <c r="L943" s="18" t="n">
        <f aca="false">(J943-0.5)/1386</f>
        <v>0.679292929292929</v>
      </c>
      <c r="M943" s="18" t="n">
        <f aca="false">_xlfn.NORM.DIST(K943,AVERAGE($G$2:$G$1387),_xlfn.STDEV.S($G$2:$G$1387),TRUE())</f>
        <v>0.682832213236451</v>
      </c>
    </row>
    <row r="944" customFormat="false" ht="15" hidden="false" customHeight="false" outlineLevel="0" collapsed="false">
      <c r="A944" s="0" t="n">
        <f aca="false">ROW()-1</f>
        <v>943</v>
      </c>
      <c r="B944" s="0" t="str">
        <f aca="false">'Analysis Data'!A944</f>
        <v>Mill Plain</v>
      </c>
      <c r="C944" s="5" t="n">
        <f aca="false">'Analysis Data'!B944</f>
        <v>40351</v>
      </c>
      <c r="D944" s="6" t="n">
        <f aca="false">'Analysis Data'!C944</f>
        <v>424.704443180685</v>
      </c>
      <c r="E944" s="15" t="n">
        <f aca="false">SUMPRODUCT('Final Model'!$B$45:$I$45,'Analysis Data'!N944:U944)</f>
        <v>344.655733766583</v>
      </c>
      <c r="F944" s="15" t="n">
        <f aca="false">D944-E944</f>
        <v>80.0487094141015</v>
      </c>
      <c r="G944" s="13" t="n">
        <f aca="false">F944/'Final Model'!$B$21</f>
        <v>1.63258026818596</v>
      </c>
      <c r="H944" s="6" t="n">
        <f aca="false">F944^2</f>
        <v>6407.79587886326</v>
      </c>
      <c r="J944" s="6" t="n">
        <f aca="false">A944</f>
        <v>943</v>
      </c>
      <c r="K944" s="13" t="n">
        <f aca="false">SMALL($G$2:$G$1387,J944)</f>
        <v>0.479440055131013</v>
      </c>
      <c r="L944" s="18" t="n">
        <f aca="false">(J944-0.5)/1386</f>
        <v>0.68001443001443</v>
      </c>
      <c r="M944" s="18" t="n">
        <f aca="false">_xlfn.NORM.DIST(K944,AVERAGE($G$2:$G$1387),_xlfn.STDEV.S($G$2:$G$1387),TRUE())</f>
        <v>0.684619584434682</v>
      </c>
    </row>
    <row r="945" customFormat="false" ht="15" hidden="false" customHeight="false" outlineLevel="0" collapsed="false">
      <c r="A945" s="0" t="n">
        <f aca="false">ROW()-1</f>
        <v>944</v>
      </c>
      <c r="B945" s="0" t="str">
        <f aca="false">'Analysis Data'!A945</f>
        <v>Mill Plain</v>
      </c>
      <c r="C945" s="5" t="n">
        <f aca="false">'Analysis Data'!B945</f>
        <v>40358</v>
      </c>
      <c r="D945" s="6" t="n">
        <f aca="false">'Analysis Data'!C945</f>
        <v>310.582864655975</v>
      </c>
      <c r="E945" s="15" t="n">
        <f aca="false">SUMPRODUCT('Final Model'!$B$45:$I$45,'Analysis Data'!N945:U945)</f>
        <v>316.789417494492</v>
      </c>
      <c r="F945" s="15" t="n">
        <f aca="false">D945-E945</f>
        <v>-6.20655283851767</v>
      </c>
      <c r="G945" s="13" t="n">
        <f aca="false">F945/'Final Model'!$B$21</f>
        <v>-0.126581624760492</v>
      </c>
      <c r="H945" s="6" t="n">
        <f aca="false">F945^2</f>
        <v>38.5212981373117</v>
      </c>
      <c r="J945" s="6" t="n">
        <f aca="false">A945</f>
        <v>944</v>
      </c>
      <c r="K945" s="13" t="n">
        <f aca="false">SMALL($G$2:$G$1387,J945)</f>
        <v>0.480338174406385</v>
      </c>
      <c r="L945" s="18" t="n">
        <f aca="false">(J945-0.5)/1386</f>
        <v>0.680735930735931</v>
      </c>
      <c r="M945" s="18" t="n">
        <f aca="false">_xlfn.NORM.DIST(K945,AVERAGE($G$2:$G$1387),_xlfn.STDEV.S($G$2:$G$1387),TRUE())</f>
        <v>0.684939534871983</v>
      </c>
    </row>
    <row r="946" customFormat="false" ht="15" hidden="false" customHeight="false" outlineLevel="0" collapsed="false">
      <c r="A946" s="0" t="n">
        <f aca="false">ROW()-1</f>
        <v>945</v>
      </c>
      <c r="B946" s="0" t="str">
        <f aca="false">'Analysis Data'!A946</f>
        <v>Mill Plain</v>
      </c>
      <c r="C946" s="5" t="n">
        <f aca="false">'Analysis Data'!B946</f>
        <v>40365</v>
      </c>
      <c r="D946" s="6" t="n">
        <f aca="false">'Analysis Data'!C946</f>
        <v>347.116864449325</v>
      </c>
      <c r="E946" s="15" t="n">
        <f aca="false">SUMPRODUCT('Final Model'!$B$45:$I$45,'Analysis Data'!N946:U946)</f>
        <v>336.518190651553</v>
      </c>
      <c r="F946" s="15" t="n">
        <f aca="false">D946-E946</f>
        <v>10.5986737977718</v>
      </c>
      <c r="G946" s="13" t="n">
        <f aca="false">F946/'Final Model'!$B$21</f>
        <v>0.21615820964296</v>
      </c>
      <c r="H946" s="6" t="n">
        <f aca="false">F946^2</f>
        <v>112.331886271574</v>
      </c>
      <c r="J946" s="6" t="n">
        <f aca="false">A946</f>
        <v>945</v>
      </c>
      <c r="K946" s="13" t="n">
        <f aca="false">SMALL($G$2:$G$1387,J946)</f>
        <v>0.484668971986567</v>
      </c>
      <c r="L946" s="18" t="n">
        <f aca="false">(J946-0.5)/1386</f>
        <v>0.681457431457431</v>
      </c>
      <c r="M946" s="18" t="n">
        <f aca="false">_xlfn.NORM.DIST(K946,AVERAGE($G$2:$G$1387),_xlfn.STDEV.S($G$2:$G$1387),TRUE())</f>
        <v>0.686480409055373</v>
      </c>
    </row>
    <row r="947" customFormat="false" ht="15" hidden="false" customHeight="false" outlineLevel="0" collapsed="false">
      <c r="A947" s="0" t="n">
        <f aca="false">ROW()-1</f>
        <v>946</v>
      </c>
      <c r="B947" s="0" t="str">
        <f aca="false">'Analysis Data'!A947</f>
        <v>Mill Plain</v>
      </c>
      <c r="C947" s="5" t="n">
        <f aca="false">'Analysis Data'!B947</f>
        <v>40372</v>
      </c>
      <c r="D947" s="6" t="n">
        <f aca="false">'Analysis Data'!C947</f>
        <v>331.331117050256</v>
      </c>
      <c r="E947" s="15" t="n">
        <f aca="false">SUMPRODUCT('Final Model'!$B$45:$I$45,'Analysis Data'!N947:U947)</f>
        <v>329.130812644317</v>
      </c>
      <c r="F947" s="15" t="n">
        <f aca="false">D947-E947</f>
        <v>2.2003044059399</v>
      </c>
      <c r="G947" s="13" t="n">
        <f aca="false">F947/'Final Model'!$B$21</f>
        <v>0.0448748466206666</v>
      </c>
      <c r="H947" s="6" t="n">
        <f aca="false">F947^2</f>
        <v>4.84133947879855</v>
      </c>
      <c r="J947" s="6" t="n">
        <f aca="false">A947</f>
        <v>946</v>
      </c>
      <c r="K947" s="13" t="n">
        <f aca="false">SMALL($G$2:$G$1387,J947)</f>
        <v>0.485758019382596</v>
      </c>
      <c r="L947" s="18" t="n">
        <f aca="false">(J947-0.5)/1386</f>
        <v>0.682178932178932</v>
      </c>
      <c r="M947" s="18" t="n">
        <f aca="false">_xlfn.NORM.DIST(K947,AVERAGE($G$2:$G$1387),_xlfn.STDEV.S($G$2:$G$1387),TRUE())</f>
        <v>0.686867376091561</v>
      </c>
    </row>
    <row r="948" customFormat="false" ht="15" hidden="false" customHeight="false" outlineLevel="0" collapsed="false">
      <c r="A948" s="0" t="n">
        <f aca="false">ROW()-1</f>
        <v>947</v>
      </c>
      <c r="B948" s="0" t="str">
        <f aca="false">'Analysis Data'!A948</f>
        <v>Redmond</v>
      </c>
      <c r="C948" s="5" t="n">
        <f aca="false">'Analysis Data'!B948</f>
        <v>40302</v>
      </c>
      <c r="D948" s="6" t="n">
        <f aca="false">'Analysis Data'!C948</f>
        <v>219.48420437034</v>
      </c>
      <c r="E948" s="15" t="n">
        <f aca="false">SUMPRODUCT('Final Model'!$B$45:$I$45,'Analysis Data'!N948:U948)</f>
        <v>242.988805977962</v>
      </c>
      <c r="F948" s="15" t="n">
        <f aca="false">D948-E948</f>
        <v>-23.5046016076222</v>
      </c>
      <c r="G948" s="13" t="n">
        <f aca="false">F948/'Final Model'!$B$21</f>
        <v>-0.47937248554086</v>
      </c>
      <c r="H948" s="6" t="n">
        <f aca="false">F948^2</f>
        <v>552.466296733034</v>
      </c>
      <c r="J948" s="6" t="n">
        <f aca="false">A948</f>
        <v>947</v>
      </c>
      <c r="K948" s="13" t="n">
        <f aca="false">SMALL($G$2:$G$1387,J948)</f>
        <v>0.486372730874812</v>
      </c>
      <c r="L948" s="18" t="n">
        <f aca="false">(J948-0.5)/1386</f>
        <v>0.682900432900433</v>
      </c>
      <c r="M948" s="18" t="n">
        <f aca="false">_xlfn.NORM.DIST(K948,AVERAGE($G$2:$G$1387),_xlfn.STDEV.S($G$2:$G$1387),TRUE())</f>
        <v>0.687085708371994</v>
      </c>
    </row>
    <row r="949" customFormat="false" ht="15" hidden="false" customHeight="false" outlineLevel="0" collapsed="false">
      <c r="A949" s="0" t="n">
        <f aca="false">ROW()-1</f>
        <v>948</v>
      </c>
      <c r="B949" s="0" t="str">
        <f aca="false">'Analysis Data'!A949</f>
        <v>Redmond</v>
      </c>
      <c r="C949" s="5" t="n">
        <f aca="false">'Analysis Data'!B949</f>
        <v>40309</v>
      </c>
      <c r="D949" s="6" t="n">
        <f aca="false">'Analysis Data'!C949</f>
        <v>218.554431391409</v>
      </c>
      <c r="E949" s="15" t="n">
        <f aca="false">SUMPRODUCT('Final Model'!$B$45:$I$45,'Analysis Data'!N949:U949)</f>
        <v>242.988805977962</v>
      </c>
      <c r="F949" s="15" t="n">
        <f aca="false">D949-E949</f>
        <v>-24.4343745865534</v>
      </c>
      <c r="G949" s="13" t="n">
        <f aca="false">F949/'Final Model'!$B$21</f>
        <v>-0.498335052587921</v>
      </c>
      <c r="H949" s="6" t="n">
        <f aca="false">F949^2</f>
        <v>597.038661436005</v>
      </c>
      <c r="J949" s="6" t="n">
        <f aca="false">A949</f>
        <v>948</v>
      </c>
      <c r="K949" s="13" t="n">
        <f aca="false">SMALL($G$2:$G$1387,J949)</f>
        <v>0.486722645435385</v>
      </c>
      <c r="L949" s="18" t="n">
        <f aca="false">(J949-0.5)/1386</f>
        <v>0.683621933621934</v>
      </c>
      <c r="M949" s="18" t="n">
        <f aca="false">_xlfn.NORM.DIST(K949,AVERAGE($G$2:$G$1387),_xlfn.STDEV.S($G$2:$G$1387),TRUE())</f>
        <v>0.687209961192114</v>
      </c>
    </row>
    <row r="950" customFormat="false" ht="15" hidden="false" customHeight="false" outlineLevel="0" collapsed="false">
      <c r="A950" s="0" t="n">
        <f aca="false">ROW()-1</f>
        <v>949</v>
      </c>
      <c r="B950" s="0" t="str">
        <f aca="false">'Analysis Data'!A950</f>
        <v>Redmond</v>
      </c>
      <c r="C950" s="5" t="n">
        <f aca="false">'Analysis Data'!B950</f>
        <v>40316</v>
      </c>
      <c r="D950" s="6" t="n">
        <f aca="false">'Analysis Data'!C950</f>
        <v>214.923423128443</v>
      </c>
      <c r="E950" s="15" t="n">
        <f aca="false">SUMPRODUCT('Final Model'!$B$45:$I$45,'Analysis Data'!N950:U950)</f>
        <v>245.78387717436</v>
      </c>
      <c r="F950" s="15" t="n">
        <f aca="false">D950-E950</f>
        <v>-30.8604540459172</v>
      </c>
      <c r="G950" s="13" t="n">
        <f aca="false">F950/'Final Model'!$B$21</f>
        <v>-0.629393886689552</v>
      </c>
      <c r="H950" s="6" t="n">
        <f aca="false">F950^2</f>
        <v>952.367623920166</v>
      </c>
      <c r="J950" s="6" t="n">
        <f aca="false">A950</f>
        <v>949</v>
      </c>
      <c r="K950" s="13" t="n">
        <f aca="false">SMALL($G$2:$G$1387,J950)</f>
        <v>0.48772698174964</v>
      </c>
      <c r="L950" s="18" t="n">
        <f aca="false">(J950-0.5)/1386</f>
        <v>0.684343434343434</v>
      </c>
      <c r="M950" s="18" t="n">
        <f aca="false">_xlfn.NORM.DIST(K950,AVERAGE($G$2:$G$1387),_xlfn.STDEV.S($G$2:$G$1387),TRUE())</f>
        <v>0.687566477570967</v>
      </c>
    </row>
    <row r="951" customFormat="false" ht="15" hidden="false" customHeight="false" outlineLevel="0" collapsed="false">
      <c r="A951" s="0" t="n">
        <f aca="false">ROW()-1</f>
        <v>950</v>
      </c>
      <c r="B951" s="0" t="str">
        <f aca="false">'Analysis Data'!A951</f>
        <v>Redmond</v>
      </c>
      <c r="C951" s="5" t="n">
        <f aca="false">'Analysis Data'!B951</f>
        <v>40323</v>
      </c>
      <c r="D951" s="6" t="n">
        <f aca="false">'Analysis Data'!C951</f>
        <v>221.326107398236</v>
      </c>
      <c r="E951" s="15" t="n">
        <f aca="false">SUMPRODUCT('Final Model'!$B$45:$I$45,'Analysis Data'!N951:U951)</f>
        <v>252.403782622092</v>
      </c>
      <c r="F951" s="15" t="n">
        <f aca="false">D951-E951</f>
        <v>-31.077675223856</v>
      </c>
      <c r="G951" s="13" t="n">
        <f aca="false">F951/'Final Model'!$B$21</f>
        <v>-0.633824076901621</v>
      </c>
      <c r="H951" s="6" t="n">
        <f aca="false">F951^2</f>
        <v>965.821897319473</v>
      </c>
      <c r="J951" s="6" t="n">
        <f aca="false">A951</f>
        <v>950</v>
      </c>
      <c r="K951" s="13" t="n">
        <f aca="false">SMALL($G$2:$G$1387,J951)</f>
        <v>0.493645575158342</v>
      </c>
      <c r="L951" s="18" t="n">
        <f aca="false">(J951-0.5)/1386</f>
        <v>0.685064935064935</v>
      </c>
      <c r="M951" s="18" t="n">
        <f aca="false">_xlfn.NORM.DIST(K951,AVERAGE($G$2:$G$1387),_xlfn.STDEV.S($G$2:$G$1387),TRUE())</f>
        <v>0.689663869437806</v>
      </c>
    </row>
    <row r="952" customFormat="false" ht="15" hidden="false" customHeight="false" outlineLevel="0" collapsed="false">
      <c r="A952" s="0" t="n">
        <f aca="false">ROW()-1</f>
        <v>951</v>
      </c>
      <c r="B952" s="0" t="str">
        <f aca="false">'Analysis Data'!A952</f>
        <v>Redmond</v>
      </c>
      <c r="C952" s="5" t="n">
        <f aca="false">'Analysis Data'!B952</f>
        <v>40330</v>
      </c>
      <c r="D952" s="6" t="n">
        <f aca="false">'Analysis Data'!C952</f>
        <v>195.68177542014</v>
      </c>
      <c r="E952" s="15" t="n">
        <f aca="false">SUMPRODUCT('Final Model'!$B$45:$I$45,'Analysis Data'!N952:U952)</f>
        <v>254.452800978114</v>
      </c>
      <c r="F952" s="15" t="n">
        <f aca="false">D952-E952</f>
        <v>-58.7710255579741</v>
      </c>
      <c r="G952" s="13" t="n">
        <f aca="false">F952/'Final Model'!$B$21</f>
        <v>-1.19862540407302</v>
      </c>
      <c r="H952" s="6" t="n">
        <f aca="false">F952^2</f>
        <v>3454.03344513604</v>
      </c>
      <c r="J952" s="6" t="n">
        <f aca="false">A952</f>
        <v>951</v>
      </c>
      <c r="K952" s="13" t="n">
        <f aca="false">SMALL($G$2:$G$1387,J952)</f>
        <v>0.49664656213911</v>
      </c>
      <c r="L952" s="18" t="n">
        <f aca="false">(J952-0.5)/1386</f>
        <v>0.685786435786436</v>
      </c>
      <c r="M952" s="18" t="n">
        <f aca="false">_xlfn.NORM.DIST(K952,AVERAGE($G$2:$G$1387),_xlfn.STDEV.S($G$2:$G$1387),TRUE())</f>
        <v>0.69072499306261</v>
      </c>
    </row>
    <row r="953" customFormat="false" ht="15" hidden="false" customHeight="false" outlineLevel="0" collapsed="false">
      <c r="A953" s="0" t="n">
        <f aca="false">ROW()-1</f>
        <v>952</v>
      </c>
      <c r="B953" s="0" t="str">
        <f aca="false">'Analysis Data'!A953</f>
        <v>Redmond</v>
      </c>
      <c r="C953" s="5" t="n">
        <f aca="false">'Analysis Data'!B953</f>
        <v>40337</v>
      </c>
      <c r="D953" s="6" t="n">
        <f aca="false">'Analysis Data'!C953</f>
        <v>218.676930756801</v>
      </c>
      <c r="E953" s="15" t="n">
        <f aca="false">SUMPRODUCT('Final Model'!$B$45:$I$45,'Analysis Data'!N953:U953)</f>
        <v>242.988805977962</v>
      </c>
      <c r="F953" s="15" t="n">
        <f aca="false">D953-E953</f>
        <v>-24.3118752211617</v>
      </c>
      <c r="G953" s="13" t="n">
        <f aca="false">F953/'Final Model'!$B$21</f>
        <v>-0.495836698170122</v>
      </c>
      <c r="H953" s="6" t="n">
        <f aca="false">F953^2</f>
        <v>591.067276769335</v>
      </c>
      <c r="J953" s="6" t="n">
        <f aca="false">A953</f>
        <v>952</v>
      </c>
      <c r="K953" s="13" t="n">
        <f aca="false">SMALL($G$2:$G$1387,J953)</f>
        <v>0.497466901443882</v>
      </c>
      <c r="L953" s="18" t="n">
        <f aca="false">(J953-0.5)/1386</f>
        <v>0.686507936507937</v>
      </c>
      <c r="M953" s="18" t="n">
        <f aca="false">_xlfn.NORM.DIST(K953,AVERAGE($G$2:$G$1387),_xlfn.STDEV.S($G$2:$G$1387),TRUE())</f>
        <v>0.691014781968795</v>
      </c>
    </row>
    <row r="954" customFormat="false" ht="15" hidden="false" customHeight="false" outlineLevel="0" collapsed="false">
      <c r="A954" s="0" t="n">
        <f aca="false">ROW()-1</f>
        <v>953</v>
      </c>
      <c r="B954" s="0" t="str">
        <f aca="false">'Analysis Data'!A954</f>
        <v>Redmond</v>
      </c>
      <c r="C954" s="5" t="n">
        <f aca="false">'Analysis Data'!B954</f>
        <v>40344</v>
      </c>
      <c r="D954" s="6" t="n">
        <f aca="false">'Analysis Data'!C954</f>
        <v>652.756441768676</v>
      </c>
      <c r="E954" s="15" t="n">
        <f aca="false">SUMPRODUCT('Final Model'!$B$45:$I$45,'Analysis Data'!N954:U954)</f>
        <v>708.166157031971</v>
      </c>
      <c r="F954" s="15" t="n">
        <f aca="false">D954-E954</f>
        <v>-55.4097152632947</v>
      </c>
      <c r="G954" s="13" t="n">
        <f aca="false">F954/'Final Model'!$B$21</f>
        <v>-1.13007203322533</v>
      </c>
      <c r="H954" s="6" t="n">
        <f aca="false">F954^2</f>
        <v>3070.2365455594</v>
      </c>
      <c r="J954" s="6" t="n">
        <f aca="false">A954</f>
        <v>953</v>
      </c>
      <c r="K954" s="13" t="n">
        <f aca="false">SMALL($G$2:$G$1387,J954)</f>
        <v>0.498108097110812</v>
      </c>
      <c r="L954" s="18" t="n">
        <f aca="false">(J954-0.5)/1386</f>
        <v>0.687229437229437</v>
      </c>
      <c r="M954" s="18" t="n">
        <f aca="false">_xlfn.NORM.DIST(K954,AVERAGE($G$2:$G$1387),_xlfn.STDEV.S($G$2:$G$1387),TRUE())</f>
        <v>0.691241204765186</v>
      </c>
    </row>
    <row r="955" customFormat="false" ht="15" hidden="false" customHeight="false" outlineLevel="0" collapsed="false">
      <c r="A955" s="0" t="n">
        <f aca="false">ROW()-1</f>
        <v>954</v>
      </c>
      <c r="B955" s="0" t="str">
        <f aca="false">'Analysis Data'!A955</f>
        <v>Redmond</v>
      </c>
      <c r="C955" s="5" t="n">
        <f aca="false">'Analysis Data'!B955</f>
        <v>40351</v>
      </c>
      <c r="D955" s="6" t="n">
        <f aca="false">'Analysis Data'!C955</f>
        <v>891.082941488141</v>
      </c>
      <c r="E955" s="15" t="n">
        <f aca="false">SUMPRODUCT('Final Model'!$B$45:$I$45,'Analysis Data'!N955:U955)</f>
        <v>817.905166334391</v>
      </c>
      <c r="F955" s="15" t="n">
        <f aca="false">D955-E955</f>
        <v>73.1777751537494</v>
      </c>
      <c r="G955" s="13" t="n">
        <f aca="false">F955/'Final Model'!$B$21</f>
        <v>1.492448693554</v>
      </c>
      <c r="H955" s="6" t="n">
        <f aca="false">F955^2</f>
        <v>5354.9867764527</v>
      </c>
      <c r="J955" s="6" t="n">
        <f aca="false">A955</f>
        <v>954</v>
      </c>
      <c r="K955" s="13" t="n">
        <f aca="false">SMALL($G$2:$G$1387,J955)</f>
        <v>0.501190999624957</v>
      </c>
      <c r="L955" s="18" t="n">
        <f aca="false">(J955-0.5)/1386</f>
        <v>0.687950937950938</v>
      </c>
      <c r="M955" s="18" t="n">
        <f aca="false">_xlfn.NORM.DIST(K955,AVERAGE($G$2:$G$1387),_xlfn.STDEV.S($G$2:$G$1387),TRUE())</f>
        <v>0.692328841550969</v>
      </c>
    </row>
    <row r="956" customFormat="false" ht="15" hidden="false" customHeight="false" outlineLevel="0" collapsed="false">
      <c r="A956" s="0" t="n">
        <f aca="false">ROW()-1</f>
        <v>955</v>
      </c>
      <c r="B956" s="0" t="str">
        <f aca="false">'Analysis Data'!A956</f>
        <v>Redmond</v>
      </c>
      <c r="C956" s="5" t="n">
        <f aca="false">'Analysis Data'!B956</f>
        <v>40358</v>
      </c>
      <c r="D956" s="6" t="n">
        <f aca="false">'Analysis Data'!C956</f>
        <v>926.092564186742</v>
      </c>
      <c r="E956" s="15" t="n">
        <f aca="false">SUMPRODUCT('Final Model'!$B$45:$I$45,'Analysis Data'!N956:U956)</f>
        <v>898.455979830358</v>
      </c>
      <c r="F956" s="15" t="n">
        <f aca="false">D956-E956</f>
        <v>27.6365843563839</v>
      </c>
      <c r="G956" s="13" t="n">
        <f aca="false">F956/'Final Model'!$B$21</f>
        <v>0.563643594388054</v>
      </c>
      <c r="H956" s="6" t="n">
        <f aca="false">F956^2</f>
        <v>763.780794887522</v>
      </c>
      <c r="J956" s="6" t="n">
        <f aca="false">A956</f>
        <v>955</v>
      </c>
      <c r="K956" s="13" t="n">
        <f aca="false">SMALL($G$2:$G$1387,J956)</f>
        <v>0.502616884384308</v>
      </c>
      <c r="L956" s="18" t="n">
        <f aca="false">(J956-0.5)/1386</f>
        <v>0.688672438672439</v>
      </c>
      <c r="M956" s="18" t="n">
        <f aca="false">_xlfn.NORM.DIST(K956,AVERAGE($G$2:$G$1387),_xlfn.STDEV.S($G$2:$G$1387),TRUE())</f>
        <v>0.692831318146976</v>
      </c>
    </row>
    <row r="957" customFormat="false" ht="15" hidden="false" customHeight="false" outlineLevel="0" collapsed="false">
      <c r="A957" s="0" t="n">
        <f aca="false">ROW()-1</f>
        <v>956</v>
      </c>
      <c r="B957" s="0" t="str">
        <f aca="false">'Analysis Data'!A957</f>
        <v>Redmond</v>
      </c>
      <c r="C957" s="5" t="n">
        <f aca="false">'Analysis Data'!B957</f>
        <v>40365</v>
      </c>
      <c r="D957" s="6" t="n">
        <f aca="false">'Analysis Data'!C957</f>
        <v>787.333396864992</v>
      </c>
      <c r="E957" s="15" t="n">
        <f aca="false">SUMPRODUCT('Final Model'!$B$45:$I$45,'Analysis Data'!N957:U957)</f>
        <v>789.582812124102</v>
      </c>
      <c r="F957" s="15" t="n">
        <f aca="false">D957-E957</f>
        <v>-2.24941525910992</v>
      </c>
      <c r="G957" s="13" t="n">
        <f aca="false">F957/'Final Model'!$B$21</f>
        <v>-0.0458764543970566</v>
      </c>
      <c r="H957" s="6" t="n">
        <f aca="false">F957^2</f>
        <v>5.05986900791657</v>
      </c>
      <c r="J957" s="6" t="n">
        <f aca="false">A957</f>
        <v>956</v>
      </c>
      <c r="K957" s="13" t="n">
        <f aca="false">SMALL($G$2:$G$1387,J957)</f>
        <v>0.503884231583945</v>
      </c>
      <c r="L957" s="18" t="n">
        <f aca="false">(J957-0.5)/1386</f>
        <v>0.689393939393939</v>
      </c>
      <c r="M957" s="18" t="n">
        <f aca="false">_xlfn.NORM.DIST(K957,AVERAGE($G$2:$G$1387),_xlfn.STDEV.S($G$2:$G$1387),TRUE())</f>
        <v>0.693277623003161</v>
      </c>
    </row>
    <row r="958" customFormat="false" ht="15" hidden="false" customHeight="false" outlineLevel="0" collapsed="false">
      <c r="A958" s="0" t="n">
        <f aca="false">ROW()-1</f>
        <v>957</v>
      </c>
      <c r="B958" s="0" t="str">
        <f aca="false">'Analysis Data'!A958</f>
        <v>Redmond</v>
      </c>
      <c r="C958" s="5" t="n">
        <f aca="false">'Analysis Data'!B958</f>
        <v>40372</v>
      </c>
      <c r="D958" s="6" t="n">
        <f aca="false">'Analysis Data'!C958</f>
        <v>784.792119312042</v>
      </c>
      <c r="E958" s="15" t="n">
        <f aca="false">SUMPRODUCT('Final Model'!$B$45:$I$45,'Analysis Data'!N958:U958)</f>
        <v>789.582812124102</v>
      </c>
      <c r="F958" s="15" t="n">
        <f aca="false">D958-E958</f>
        <v>-4.79069281206012</v>
      </c>
      <c r="G958" s="13" t="n">
        <f aca="false">F958/'Final Model'!$B$21</f>
        <v>-0.0977053922937057</v>
      </c>
      <c r="H958" s="6" t="n">
        <f aca="false">F958^2</f>
        <v>22.9507376195245</v>
      </c>
      <c r="J958" s="6" t="n">
        <f aca="false">A958</f>
        <v>957</v>
      </c>
      <c r="K958" s="13" t="n">
        <f aca="false">SMALL($G$2:$G$1387,J958)</f>
        <v>0.510937449974069</v>
      </c>
      <c r="L958" s="18" t="n">
        <f aca="false">(J958-0.5)/1386</f>
        <v>0.69011544011544</v>
      </c>
      <c r="M958" s="18" t="n">
        <f aca="false">_xlfn.NORM.DIST(K958,AVERAGE($G$2:$G$1387),_xlfn.STDEV.S($G$2:$G$1387),TRUE())</f>
        <v>0.695756214878426</v>
      </c>
    </row>
    <row r="959" customFormat="false" ht="15" hidden="false" customHeight="false" outlineLevel="0" collapsed="false">
      <c r="A959" s="0" t="n">
        <f aca="false">ROW()-1</f>
        <v>958</v>
      </c>
      <c r="B959" s="0" t="str">
        <f aca="false">'Analysis Data'!A959</f>
        <v>Roosevelt Square</v>
      </c>
      <c r="C959" s="5" t="n">
        <f aca="false">'Analysis Data'!B959</f>
        <v>40302</v>
      </c>
      <c r="D959" s="6" t="n">
        <f aca="false">'Analysis Data'!C959</f>
        <v>304.47157961705</v>
      </c>
      <c r="E959" s="15" t="n">
        <f aca="false">SUMPRODUCT('Final Model'!$B$45:$I$45,'Analysis Data'!N959:U959)</f>
        <v>310.773755340352</v>
      </c>
      <c r="F959" s="15" t="n">
        <f aca="false">D959-E959</f>
        <v>-6.30217572330213</v>
      </c>
      <c r="G959" s="13" t="n">
        <f aca="false">F959/'Final Model'!$B$21</f>
        <v>-0.128531837774903</v>
      </c>
      <c r="H959" s="6" t="n">
        <f aca="false">F959^2</f>
        <v>39.7174188473787</v>
      </c>
      <c r="J959" s="6" t="n">
        <f aca="false">A959</f>
        <v>958</v>
      </c>
      <c r="K959" s="13" t="n">
        <f aca="false">SMALL($G$2:$G$1387,J959)</f>
        <v>0.516096483151726</v>
      </c>
      <c r="L959" s="18" t="n">
        <f aca="false">(J959-0.5)/1386</f>
        <v>0.690836940836941</v>
      </c>
      <c r="M959" s="18" t="n">
        <f aca="false">_xlfn.NORM.DIST(K959,AVERAGE($G$2:$G$1387),_xlfn.STDEV.S($G$2:$G$1387),TRUE())</f>
        <v>0.697563496252202</v>
      </c>
    </row>
    <row r="960" customFormat="false" ht="15" hidden="false" customHeight="false" outlineLevel="0" collapsed="false">
      <c r="A960" s="0" t="n">
        <f aca="false">ROW()-1</f>
        <v>959</v>
      </c>
      <c r="B960" s="0" t="str">
        <f aca="false">'Analysis Data'!A960</f>
        <v>Roosevelt Square</v>
      </c>
      <c r="C960" s="5" t="n">
        <f aca="false">'Analysis Data'!B960</f>
        <v>40309</v>
      </c>
      <c r="D960" s="6" t="n">
        <f aca="false">'Analysis Data'!C960</f>
        <v>300.727119527702</v>
      </c>
      <c r="E960" s="15" t="n">
        <f aca="false">SUMPRODUCT('Final Model'!$B$45:$I$45,'Analysis Data'!N960:U960)</f>
        <v>311.509300382744</v>
      </c>
      <c r="F960" s="15" t="n">
        <f aca="false">D960-E960</f>
        <v>-10.782180855042</v>
      </c>
      <c r="G960" s="13" t="n">
        <f aca="false">F960/'Final Model'!$B$21</f>
        <v>-0.219900805906722</v>
      </c>
      <c r="H960" s="6" t="n">
        <f aca="false">F960^2</f>
        <v>116.255423990834</v>
      </c>
      <c r="J960" s="6" t="n">
        <f aca="false">A960</f>
        <v>959</v>
      </c>
      <c r="K960" s="13" t="n">
        <f aca="false">SMALL($G$2:$G$1387,J960)</f>
        <v>0.521239141870897</v>
      </c>
      <c r="L960" s="18" t="n">
        <f aca="false">(J960-0.5)/1386</f>
        <v>0.691558441558442</v>
      </c>
      <c r="M960" s="18" t="n">
        <f aca="false">_xlfn.NORM.DIST(K960,AVERAGE($G$2:$G$1387),_xlfn.STDEV.S($G$2:$G$1387),TRUE())</f>
        <v>0.699360234471478</v>
      </c>
    </row>
    <row r="961" customFormat="false" ht="15" hidden="false" customHeight="false" outlineLevel="0" collapsed="false">
      <c r="A961" s="0" t="n">
        <f aca="false">ROW()-1</f>
        <v>960</v>
      </c>
      <c r="B961" s="0" t="str">
        <f aca="false">'Analysis Data'!A961</f>
        <v>Roosevelt Square</v>
      </c>
      <c r="C961" s="5" t="n">
        <f aca="false">'Analysis Data'!B961</f>
        <v>40316</v>
      </c>
      <c r="D961" s="6" t="n">
        <f aca="false">'Analysis Data'!C961</f>
        <v>222.53229532884</v>
      </c>
      <c r="E961" s="15" t="n">
        <f aca="false">SUMPRODUCT('Final Model'!$B$45:$I$45,'Analysis Data'!N961:U961)</f>
        <v>238.654748232346</v>
      </c>
      <c r="F961" s="15" t="n">
        <f aca="false">D961-E961</f>
        <v>-16.1224529035064</v>
      </c>
      <c r="G961" s="13" t="n">
        <f aca="false">F961/'Final Model'!$B$21</f>
        <v>-0.328814776373961</v>
      </c>
      <c r="H961" s="6" t="n">
        <f aca="false">F961^2</f>
        <v>259.933487625783</v>
      </c>
      <c r="J961" s="6" t="n">
        <f aca="false">A961</f>
        <v>960</v>
      </c>
      <c r="K961" s="13" t="n">
        <f aca="false">SMALL($G$2:$G$1387,J961)</f>
        <v>0.521961774001556</v>
      </c>
      <c r="L961" s="18" t="n">
        <f aca="false">(J961-0.5)/1386</f>
        <v>0.692279942279942</v>
      </c>
      <c r="M961" s="18" t="n">
        <f aca="false">_xlfn.NORM.DIST(K961,AVERAGE($G$2:$G$1387),_xlfn.STDEV.S($G$2:$G$1387),TRUE())</f>
        <v>0.699612320565487</v>
      </c>
    </row>
    <row r="962" customFormat="false" ht="15" hidden="false" customHeight="false" outlineLevel="0" collapsed="false">
      <c r="A962" s="0" t="n">
        <f aca="false">ROW()-1</f>
        <v>961</v>
      </c>
      <c r="B962" s="0" t="str">
        <f aca="false">'Analysis Data'!A962</f>
        <v>Roosevelt Square</v>
      </c>
      <c r="C962" s="5" t="n">
        <f aca="false">'Analysis Data'!B962</f>
        <v>40323</v>
      </c>
      <c r="D962" s="6" t="n">
        <f aca="false">'Analysis Data'!C962</f>
        <v>189.401626003676</v>
      </c>
      <c r="E962" s="15" t="n">
        <f aca="false">SUMPRODUCT('Final Model'!$B$45:$I$45,'Analysis Data'!N962:U962)</f>
        <v>238.654748232346</v>
      </c>
      <c r="F962" s="15" t="n">
        <f aca="false">D962-E962</f>
        <v>-49.2531222286706</v>
      </c>
      <c r="G962" s="13" t="n">
        <f aca="false">F962/'Final Model'!$B$21</f>
        <v>-1.00450933045166</v>
      </c>
      <c r="H962" s="6" t="n">
        <f aca="false">F962^2</f>
        <v>2425.87004927236</v>
      </c>
      <c r="J962" s="6" t="n">
        <f aca="false">A962</f>
        <v>961</v>
      </c>
      <c r="K962" s="13" t="n">
        <f aca="false">SMALL($G$2:$G$1387,J962)</f>
        <v>0.523128011049692</v>
      </c>
      <c r="L962" s="18" t="n">
        <f aca="false">(J962-0.5)/1386</f>
        <v>0.693001443001443</v>
      </c>
      <c r="M962" s="18" t="n">
        <f aca="false">_xlfn.NORM.DIST(K962,AVERAGE($G$2:$G$1387),_xlfn.STDEV.S($G$2:$G$1387),TRUE())</f>
        <v>0.70001895412793</v>
      </c>
    </row>
    <row r="963" customFormat="false" ht="15" hidden="false" customHeight="false" outlineLevel="0" collapsed="false">
      <c r="A963" s="0" t="n">
        <f aca="false">ROW()-1</f>
        <v>962</v>
      </c>
      <c r="B963" s="0" t="str">
        <f aca="false">'Analysis Data'!A963</f>
        <v>Roosevelt Square</v>
      </c>
      <c r="C963" s="5" t="n">
        <f aca="false">'Analysis Data'!B963</f>
        <v>40330</v>
      </c>
      <c r="D963" s="6" t="n">
        <f aca="false">'Analysis Data'!C963</f>
        <v>207.184555334501</v>
      </c>
      <c r="E963" s="15" t="n">
        <f aca="false">SUMPRODUCT('Final Model'!$B$45:$I$45,'Analysis Data'!N963:U963)</f>
        <v>243.430133007811</v>
      </c>
      <c r="F963" s="15" t="n">
        <f aca="false">D963-E963</f>
        <v>-36.2455776733106</v>
      </c>
      <c r="G963" s="13" t="n">
        <f aca="false">F963/'Final Model'!$B$21</f>
        <v>-0.739222597735276</v>
      </c>
      <c r="H963" s="6" t="n">
        <f aca="false">F963^2</f>
        <v>1313.74190087199</v>
      </c>
      <c r="J963" s="6" t="n">
        <f aca="false">A963</f>
        <v>962</v>
      </c>
      <c r="K963" s="13" t="n">
        <f aca="false">SMALL($G$2:$G$1387,J963)</f>
        <v>0.52439792649149</v>
      </c>
      <c r="L963" s="18" t="n">
        <f aca="false">(J963-0.5)/1386</f>
        <v>0.693722943722944</v>
      </c>
      <c r="M963" s="18" t="n">
        <f aca="false">_xlfn.NORM.DIST(K963,AVERAGE($G$2:$G$1387),_xlfn.STDEV.S($G$2:$G$1387),TRUE())</f>
        <v>0.700461453880514</v>
      </c>
    </row>
    <row r="964" customFormat="false" ht="15" hidden="false" customHeight="false" outlineLevel="0" collapsed="false">
      <c r="A964" s="0" t="n">
        <f aca="false">ROW()-1</f>
        <v>963</v>
      </c>
      <c r="B964" s="0" t="str">
        <f aca="false">'Analysis Data'!A964</f>
        <v>Roosevelt Square</v>
      </c>
      <c r="C964" s="5" t="n">
        <f aca="false">'Analysis Data'!B964</f>
        <v>40337</v>
      </c>
      <c r="D964" s="6" t="n">
        <f aca="false">'Analysis Data'!C964</f>
        <v>273.184067612758</v>
      </c>
      <c r="E964" s="15" t="n">
        <f aca="false">SUMPRODUCT('Final Model'!$B$45:$I$45,'Analysis Data'!N964:U964)</f>
        <v>237.784824758351</v>
      </c>
      <c r="F964" s="15" t="n">
        <f aca="false">D964-E964</f>
        <v>35.3992428544076</v>
      </c>
      <c r="G964" s="13" t="n">
        <f aca="false">F964/'Final Model'!$B$21</f>
        <v>0.721961738244439</v>
      </c>
      <c r="H964" s="6" t="n">
        <f aca="false">F964^2</f>
        <v>1253.10639466533</v>
      </c>
      <c r="J964" s="6" t="n">
        <f aca="false">A964</f>
        <v>963</v>
      </c>
      <c r="K964" s="13" t="n">
        <f aca="false">SMALL($G$2:$G$1387,J964)</f>
        <v>0.525692022305262</v>
      </c>
      <c r="L964" s="18" t="n">
        <f aca="false">(J964-0.5)/1386</f>
        <v>0.694444444444444</v>
      </c>
      <c r="M964" s="18" t="n">
        <f aca="false">_xlfn.NORM.DIST(K964,AVERAGE($G$2:$G$1387),_xlfn.STDEV.S($G$2:$G$1387),TRUE())</f>
        <v>0.700912074650304</v>
      </c>
    </row>
    <row r="965" customFormat="false" ht="15" hidden="false" customHeight="false" outlineLevel="0" collapsed="false">
      <c r="A965" s="0" t="n">
        <f aca="false">ROW()-1</f>
        <v>964</v>
      </c>
      <c r="B965" s="0" t="str">
        <f aca="false">'Analysis Data'!A965</f>
        <v>Roosevelt Square</v>
      </c>
      <c r="C965" s="5" t="n">
        <f aca="false">'Analysis Data'!B965</f>
        <v>40344</v>
      </c>
      <c r="D965" s="6" t="n">
        <f aca="false">'Analysis Data'!C965</f>
        <v>130.910080700394</v>
      </c>
      <c r="E965" s="15" t="n">
        <f aca="false">SUMPRODUCT('Final Model'!$B$45:$I$45,'Analysis Data'!N965:U965)</f>
        <v>237.784824758351</v>
      </c>
      <c r="F965" s="15" t="n">
        <f aca="false">D965-E965</f>
        <v>-106.874744057957</v>
      </c>
      <c r="G965" s="13" t="n">
        <f aca="false">F965/'Final Model'!$B$21</f>
        <v>-2.17969283444447</v>
      </c>
      <c r="H965" s="6" t="n">
        <f aca="false">F965^2</f>
        <v>11422.2109174537</v>
      </c>
      <c r="J965" s="6" t="n">
        <f aca="false">A965</f>
        <v>964</v>
      </c>
      <c r="K965" s="13" t="n">
        <f aca="false">SMALL($G$2:$G$1387,J965)</f>
        <v>0.526828185115436</v>
      </c>
      <c r="L965" s="18" t="n">
        <f aca="false">(J965-0.5)/1386</f>
        <v>0.695165945165945</v>
      </c>
      <c r="M965" s="18" t="n">
        <f aca="false">_xlfn.NORM.DIST(K965,AVERAGE($G$2:$G$1387),_xlfn.STDEV.S($G$2:$G$1387),TRUE())</f>
        <v>0.701307447223112</v>
      </c>
    </row>
    <row r="966" customFormat="false" ht="15" hidden="false" customHeight="false" outlineLevel="0" collapsed="false">
      <c r="A966" s="0" t="n">
        <f aca="false">ROW()-1</f>
        <v>965</v>
      </c>
      <c r="B966" s="0" t="str">
        <f aca="false">'Analysis Data'!A966</f>
        <v>Roosevelt Square</v>
      </c>
      <c r="C966" s="5" t="n">
        <f aca="false">'Analysis Data'!B966</f>
        <v>40351</v>
      </c>
      <c r="D966" s="6" t="n">
        <f aca="false">'Analysis Data'!C966</f>
        <v>824.636968368501</v>
      </c>
      <c r="E966" s="15" t="n">
        <f aca="false">SUMPRODUCT('Final Model'!$B$45:$I$45,'Analysis Data'!N966:U966)</f>
        <v>801.374710772618</v>
      </c>
      <c r="F966" s="15" t="n">
        <f aca="false">D966-E966</f>
        <v>23.2622575958834</v>
      </c>
      <c r="G966" s="13" t="n">
        <f aca="false">F966/'Final Model'!$B$21</f>
        <v>0.474429919263732</v>
      </c>
      <c r="H966" s="6" t="n">
        <f aca="false">F966^2</f>
        <v>541.132628457235</v>
      </c>
      <c r="J966" s="6" t="n">
        <f aca="false">A966</f>
        <v>965</v>
      </c>
      <c r="K966" s="13" t="n">
        <f aca="false">SMALL($G$2:$G$1387,J966)</f>
        <v>0.527292959895473</v>
      </c>
      <c r="L966" s="18" t="n">
        <f aca="false">(J966-0.5)/1386</f>
        <v>0.695887445887446</v>
      </c>
      <c r="M966" s="18" t="n">
        <f aca="false">_xlfn.NORM.DIST(K966,AVERAGE($G$2:$G$1387),_xlfn.STDEV.S($G$2:$G$1387),TRUE())</f>
        <v>0.701469115392088</v>
      </c>
    </row>
    <row r="967" customFormat="false" ht="15" hidden="false" customHeight="false" outlineLevel="0" collapsed="false">
      <c r="A967" s="0" t="n">
        <f aca="false">ROW()-1</f>
        <v>966</v>
      </c>
      <c r="B967" s="0" t="str">
        <f aca="false">'Analysis Data'!A967</f>
        <v>Roosevelt Square</v>
      </c>
      <c r="C967" s="5" t="n">
        <f aca="false">'Analysis Data'!B967</f>
        <v>40358</v>
      </c>
      <c r="D967" s="6" t="n">
        <f aca="false">'Analysis Data'!C967</f>
        <v>885.806704649906</v>
      </c>
      <c r="E967" s="15" t="n">
        <f aca="false">SUMPRODUCT('Final Model'!$B$45:$I$45,'Analysis Data'!N967:U967)</f>
        <v>888.329100672749</v>
      </c>
      <c r="F967" s="15" t="n">
        <f aca="false">D967-E967</f>
        <v>-2.5223960228434</v>
      </c>
      <c r="G967" s="13" t="n">
        <f aca="false">F967/'Final Model'!$B$21</f>
        <v>-0.0514438521943169</v>
      </c>
      <c r="H967" s="6" t="n">
        <f aca="false">F967^2</f>
        <v>6.36248169605618</v>
      </c>
      <c r="J967" s="6" t="n">
        <f aca="false">A967</f>
        <v>966</v>
      </c>
      <c r="K967" s="13" t="n">
        <f aca="false">SMALL($G$2:$G$1387,J967)</f>
        <v>0.529269936898304</v>
      </c>
      <c r="L967" s="18" t="n">
        <f aca="false">(J967-0.5)/1386</f>
        <v>0.696608946608947</v>
      </c>
      <c r="M967" s="18" t="n">
        <f aca="false">_xlfn.NORM.DIST(K967,AVERAGE($G$2:$G$1387),_xlfn.STDEV.S($G$2:$G$1387),TRUE())</f>
        <v>0.702156345743701</v>
      </c>
    </row>
    <row r="968" customFormat="false" ht="15" hidden="false" customHeight="false" outlineLevel="0" collapsed="false">
      <c r="A968" s="0" t="n">
        <f aca="false">ROW()-1</f>
        <v>967</v>
      </c>
      <c r="B968" s="0" t="str">
        <f aca="false">'Analysis Data'!A968</f>
        <v>Roosevelt Square</v>
      </c>
      <c r="C968" s="5" t="n">
        <f aca="false">'Analysis Data'!B968</f>
        <v>40365</v>
      </c>
      <c r="D968" s="6" t="n">
        <f aca="false">'Analysis Data'!C968</f>
        <v>703.002274240646</v>
      </c>
      <c r="E968" s="15" t="n">
        <f aca="false">SUMPRODUCT('Final Model'!$B$45:$I$45,'Analysis Data'!N968:U968)</f>
        <v>781.893608067654</v>
      </c>
      <c r="F968" s="15" t="n">
        <f aca="false">D968-E968</f>
        <v>-78.8913338270082</v>
      </c>
      <c r="G968" s="13" t="n">
        <f aca="false">F968/'Final Model'!$B$21</f>
        <v>-1.60897578336417</v>
      </c>
      <c r="H968" s="6" t="n">
        <f aca="false">F968^2</f>
        <v>6223.84255300445</v>
      </c>
      <c r="J968" s="6" t="n">
        <f aca="false">A968</f>
        <v>967</v>
      </c>
      <c r="K968" s="13" t="n">
        <f aca="false">SMALL($G$2:$G$1387,J968)</f>
        <v>0.531072293569723</v>
      </c>
      <c r="L968" s="18" t="n">
        <f aca="false">(J968-0.5)/1386</f>
        <v>0.697330447330447</v>
      </c>
      <c r="M968" s="18" t="n">
        <f aca="false">_xlfn.NORM.DIST(K968,AVERAGE($G$2:$G$1387),_xlfn.STDEV.S($G$2:$G$1387),TRUE())</f>
        <v>0.702782245718794</v>
      </c>
    </row>
    <row r="969" customFormat="false" ht="15" hidden="false" customHeight="false" outlineLevel="0" collapsed="false">
      <c r="A969" s="0" t="n">
        <f aca="false">ROW()-1</f>
        <v>968</v>
      </c>
      <c r="B969" s="0" t="str">
        <f aca="false">'Analysis Data'!A969</f>
        <v>Roosevelt Square</v>
      </c>
      <c r="C969" s="5" t="n">
        <f aca="false">'Analysis Data'!B969</f>
        <v>40372</v>
      </c>
      <c r="D969" s="6" t="n">
        <f aca="false">'Analysis Data'!C969</f>
        <v>772.207792580698</v>
      </c>
      <c r="E969" s="15" t="n">
        <f aca="false">SUMPRODUCT('Final Model'!$B$45:$I$45,'Analysis Data'!N969:U969)</f>
        <v>781.893608067654</v>
      </c>
      <c r="F969" s="15" t="n">
        <f aca="false">D969-E969</f>
        <v>-9.68581548695613</v>
      </c>
      <c r="G969" s="13" t="n">
        <f aca="false">F969/'Final Model'!$B$21</f>
        <v>-0.19754061447128</v>
      </c>
      <c r="H969" s="6" t="n">
        <f aca="false">F969^2</f>
        <v>93.8150216473592</v>
      </c>
      <c r="J969" s="6" t="n">
        <f aca="false">A969</f>
        <v>968</v>
      </c>
      <c r="K969" s="13" t="n">
        <f aca="false">SMALL($G$2:$G$1387,J969)</f>
        <v>0.532232403615998</v>
      </c>
      <c r="L969" s="18" t="n">
        <f aca="false">(J969-0.5)/1386</f>
        <v>0.698051948051948</v>
      </c>
      <c r="M969" s="18" t="n">
        <f aca="false">_xlfn.NORM.DIST(K969,AVERAGE($G$2:$G$1387),_xlfn.STDEV.S($G$2:$G$1387),TRUE())</f>
        <v>0.703184796007549</v>
      </c>
    </row>
    <row r="970" customFormat="false" ht="15" hidden="false" customHeight="false" outlineLevel="0" collapsed="false">
      <c r="A970" s="0" t="n">
        <f aca="false">ROW()-1</f>
        <v>969</v>
      </c>
      <c r="B970" s="0" t="str">
        <f aca="false">'Analysis Data'!A970</f>
        <v>Tanasbourne</v>
      </c>
      <c r="C970" s="5" t="n">
        <f aca="false">'Analysis Data'!B970</f>
        <v>40302</v>
      </c>
      <c r="D970" s="6" t="n">
        <f aca="false">'Analysis Data'!C970</f>
        <v>242.796516789481</v>
      </c>
      <c r="E970" s="15" t="n">
        <f aca="false">SUMPRODUCT('Final Model'!$B$45:$I$45,'Analysis Data'!N970:U970)</f>
        <v>235.11847396037</v>
      </c>
      <c r="F970" s="15" t="n">
        <f aca="false">D970-E970</f>
        <v>7.67804282911084</v>
      </c>
      <c r="G970" s="13" t="n">
        <f aca="false">F970/'Final Model'!$B$21</f>
        <v>0.156592421200046</v>
      </c>
      <c r="H970" s="6" t="n">
        <f aca="false">F970^2</f>
        <v>58.9523416856603</v>
      </c>
      <c r="J970" s="6" t="n">
        <f aca="false">A970</f>
        <v>969</v>
      </c>
      <c r="K970" s="13" t="n">
        <f aca="false">SMALL($G$2:$G$1387,J970)</f>
        <v>0.532866966162538</v>
      </c>
      <c r="L970" s="18" t="n">
        <f aca="false">(J970-0.5)/1386</f>
        <v>0.698773448773449</v>
      </c>
      <c r="M970" s="18" t="n">
        <f aca="false">_xlfn.NORM.DIST(K970,AVERAGE($G$2:$G$1387),_xlfn.STDEV.S($G$2:$G$1387),TRUE())</f>
        <v>0.70340487925464</v>
      </c>
    </row>
    <row r="971" customFormat="false" ht="15" hidden="false" customHeight="false" outlineLevel="0" collapsed="false">
      <c r="A971" s="0" t="n">
        <f aca="false">ROW()-1</f>
        <v>970</v>
      </c>
      <c r="B971" s="0" t="str">
        <f aca="false">'Analysis Data'!A971</f>
        <v>Tanasbourne</v>
      </c>
      <c r="C971" s="5" t="n">
        <f aca="false">'Analysis Data'!B971</f>
        <v>40309</v>
      </c>
      <c r="D971" s="6" t="n">
        <f aca="false">'Analysis Data'!C971</f>
        <v>176.136325941742</v>
      </c>
      <c r="E971" s="15" t="n">
        <f aca="false">SUMPRODUCT('Final Model'!$B$45:$I$45,'Analysis Data'!N971:U971)</f>
        <v>242.988805977962</v>
      </c>
      <c r="F971" s="15" t="n">
        <f aca="false">D971-E971</f>
        <v>-66.8524800362206</v>
      </c>
      <c r="G971" s="13" t="n">
        <f aca="false">F971/'Final Model'!$B$21</f>
        <v>-1.36344533953477</v>
      </c>
      <c r="H971" s="6" t="n">
        <f aca="false">F971^2</f>
        <v>4469.25408699327</v>
      </c>
      <c r="J971" s="6" t="n">
        <f aca="false">A971</f>
        <v>970</v>
      </c>
      <c r="K971" s="13" t="n">
        <f aca="false">SMALL($G$2:$G$1387,J971)</f>
        <v>0.534883290837833</v>
      </c>
      <c r="L971" s="18" t="n">
        <f aca="false">(J971-0.5)/1386</f>
        <v>0.69949494949495</v>
      </c>
      <c r="M971" s="18" t="n">
        <f aca="false">_xlfn.NORM.DIST(K971,AVERAGE($G$2:$G$1387),_xlfn.STDEV.S($G$2:$G$1387),TRUE())</f>
        <v>0.704103697882743</v>
      </c>
    </row>
    <row r="972" customFormat="false" ht="15" hidden="false" customHeight="false" outlineLevel="0" collapsed="false">
      <c r="A972" s="0" t="n">
        <f aca="false">ROW()-1</f>
        <v>971</v>
      </c>
      <c r="B972" s="0" t="str">
        <f aca="false">'Analysis Data'!A972</f>
        <v>Tanasbourne</v>
      </c>
      <c r="C972" s="5" t="n">
        <f aca="false">'Analysis Data'!B972</f>
        <v>40316</v>
      </c>
      <c r="D972" s="6" t="n">
        <f aca="false">'Analysis Data'!C972</f>
        <v>200.17051006424</v>
      </c>
      <c r="E972" s="15" t="n">
        <f aca="false">SUMPRODUCT('Final Model'!$B$45:$I$45,'Analysis Data'!N972:U972)</f>
        <v>243.430133007811</v>
      </c>
      <c r="F972" s="15" t="n">
        <f aca="false">D972-E972</f>
        <v>-43.2596229435715</v>
      </c>
      <c r="G972" s="13" t="n">
        <f aca="false">F972/'Final Model'!$B$21</f>
        <v>-0.88227289788632</v>
      </c>
      <c r="H972" s="6" t="n">
        <f aca="false">F972^2</f>
        <v>1871.39497721997</v>
      </c>
      <c r="J972" s="6" t="n">
        <f aca="false">A972</f>
        <v>971</v>
      </c>
      <c r="K972" s="13" t="n">
        <f aca="false">SMALL($G$2:$G$1387,J972)</f>
        <v>0.539090083552714</v>
      </c>
      <c r="L972" s="18" t="n">
        <f aca="false">(J972-0.5)/1386</f>
        <v>0.70021645021645</v>
      </c>
      <c r="M972" s="18" t="n">
        <f aca="false">_xlfn.NORM.DIST(K972,AVERAGE($G$2:$G$1387),_xlfn.STDEV.S($G$2:$G$1387),TRUE())</f>
        <v>0.705559249881048</v>
      </c>
    </row>
    <row r="973" customFormat="false" ht="15" hidden="false" customHeight="false" outlineLevel="0" collapsed="false">
      <c r="A973" s="0" t="n">
        <f aca="false">ROW()-1</f>
        <v>972</v>
      </c>
      <c r="B973" s="0" t="str">
        <f aca="false">'Analysis Data'!A973</f>
        <v>Tanasbourne</v>
      </c>
      <c r="C973" s="5" t="n">
        <f aca="false">'Analysis Data'!B973</f>
        <v>40323</v>
      </c>
      <c r="D973" s="6" t="n">
        <f aca="false">'Analysis Data'!C973</f>
        <v>214.129890620162</v>
      </c>
      <c r="E973" s="15" t="n">
        <f aca="false">SUMPRODUCT('Final Model'!$B$45:$I$45,'Analysis Data'!N973:U973)</f>
        <v>245.930986191665</v>
      </c>
      <c r="F973" s="15" t="n">
        <f aca="false">D973-E973</f>
        <v>-31.8010955715029</v>
      </c>
      <c r="G973" s="13" t="n">
        <f aca="false">F973/'Final Model'!$B$21</f>
        <v>-0.648578115958801</v>
      </c>
      <c r="H973" s="6" t="n">
        <f aca="false">F973^2</f>
        <v>1011.30967954786</v>
      </c>
      <c r="J973" s="6" t="n">
        <f aca="false">A973</f>
        <v>972</v>
      </c>
      <c r="K973" s="13" t="n">
        <f aca="false">SMALL($G$2:$G$1387,J973)</f>
        <v>0.543667970503524</v>
      </c>
      <c r="L973" s="18" t="n">
        <f aca="false">(J973-0.5)/1386</f>
        <v>0.700937950937951</v>
      </c>
      <c r="M973" s="18" t="n">
        <f aca="false">_xlfn.NORM.DIST(K973,AVERAGE($G$2:$G$1387),_xlfn.STDEV.S($G$2:$G$1387),TRUE())</f>
        <v>0.707139434688145</v>
      </c>
    </row>
    <row r="974" customFormat="false" ht="15" hidden="false" customHeight="false" outlineLevel="0" collapsed="false">
      <c r="A974" s="0" t="n">
        <f aca="false">ROW()-1</f>
        <v>973</v>
      </c>
      <c r="B974" s="0" t="str">
        <f aca="false">'Analysis Data'!A974</f>
        <v>Tanasbourne</v>
      </c>
      <c r="C974" s="5" t="n">
        <f aca="false">'Analysis Data'!B974</f>
        <v>40330</v>
      </c>
      <c r="D974" s="6" t="n">
        <f aca="false">'Analysis Data'!C974</f>
        <v>298.773915713493</v>
      </c>
      <c r="E974" s="15" t="n">
        <f aca="false">SUMPRODUCT('Final Model'!$B$45:$I$45,'Analysis Data'!N974:U974)</f>
        <v>244.425947841564</v>
      </c>
      <c r="F974" s="15" t="n">
        <f aca="false">D974-E974</f>
        <v>54.3479678719291</v>
      </c>
      <c r="G974" s="13" t="n">
        <f aca="false">F974/'Final Model'!$B$21</f>
        <v>1.10841786973377</v>
      </c>
      <c r="H974" s="6" t="n">
        <f aca="false">F974^2</f>
        <v>2953.70161180824</v>
      </c>
      <c r="J974" s="6" t="n">
        <f aca="false">A974</f>
        <v>973</v>
      </c>
      <c r="K974" s="13" t="n">
        <f aca="false">SMALL($G$2:$G$1387,J974)</f>
        <v>0.550315258165336</v>
      </c>
      <c r="L974" s="18" t="n">
        <f aca="false">(J974-0.5)/1386</f>
        <v>0.701659451659452</v>
      </c>
      <c r="M974" s="18" t="n">
        <f aca="false">_xlfn.NORM.DIST(K974,AVERAGE($G$2:$G$1387),_xlfn.STDEV.S($G$2:$G$1387),TRUE())</f>
        <v>0.709426896223352</v>
      </c>
    </row>
    <row r="975" customFormat="false" ht="15" hidden="false" customHeight="false" outlineLevel="0" collapsed="false">
      <c r="A975" s="0" t="n">
        <f aca="false">ROW()-1</f>
        <v>974</v>
      </c>
      <c r="B975" s="0" t="str">
        <f aca="false">'Analysis Data'!A975</f>
        <v>Tanasbourne</v>
      </c>
      <c r="C975" s="5" t="n">
        <f aca="false">'Analysis Data'!B975</f>
        <v>40337</v>
      </c>
      <c r="D975" s="6" t="n">
        <f aca="false">'Analysis Data'!C975</f>
        <v>231.330440119965</v>
      </c>
      <c r="E975" s="15" t="n">
        <f aca="false">SUMPRODUCT('Final Model'!$B$45:$I$45,'Analysis Data'!N975:U975)</f>
        <v>240.740139680917</v>
      </c>
      <c r="F975" s="15" t="n">
        <f aca="false">D975-E975</f>
        <v>-9.40969956095208</v>
      </c>
      <c r="G975" s="13" t="n">
        <f aca="false">F975/'Final Model'!$B$21</f>
        <v>-0.191909275554944</v>
      </c>
      <c r="H975" s="6" t="n">
        <f aca="false">F975^2</f>
        <v>88.5424458273817</v>
      </c>
      <c r="J975" s="6" t="n">
        <f aca="false">A975</f>
        <v>974</v>
      </c>
      <c r="K975" s="13" t="n">
        <f aca="false">SMALL($G$2:$G$1387,J975)</f>
        <v>0.55044962620571</v>
      </c>
      <c r="L975" s="18" t="n">
        <f aca="false">(J975-0.5)/1386</f>
        <v>0.702380952380952</v>
      </c>
      <c r="M975" s="18" t="n">
        <f aca="false">_xlfn.NORM.DIST(K975,AVERAGE($G$2:$G$1387),_xlfn.STDEV.S($G$2:$G$1387),TRUE())</f>
        <v>0.709473048567137</v>
      </c>
    </row>
    <row r="976" customFormat="false" ht="15" hidden="false" customHeight="false" outlineLevel="0" collapsed="false">
      <c r="A976" s="0" t="n">
        <f aca="false">ROW()-1</f>
        <v>975</v>
      </c>
      <c r="B976" s="0" t="str">
        <f aca="false">'Analysis Data'!A976</f>
        <v>Tanasbourne</v>
      </c>
      <c r="C976" s="5" t="n">
        <f aca="false">'Analysis Data'!B976</f>
        <v>40344</v>
      </c>
      <c r="D976" s="6" t="n">
        <f aca="false">'Analysis Data'!C976</f>
        <v>220.28570018462</v>
      </c>
      <c r="E976" s="15" t="n">
        <f aca="false">SUMPRODUCT('Final Model'!$B$45:$I$45,'Analysis Data'!N976:U976)</f>
        <v>243.916724347282</v>
      </c>
      <c r="F976" s="15" t="n">
        <f aca="false">D976-E976</f>
        <v>-23.6310241626616</v>
      </c>
      <c r="G976" s="13" t="n">
        <f aca="false">F976/'Final Model'!$B$21</f>
        <v>-0.481950852766536</v>
      </c>
      <c r="H976" s="6" t="n">
        <f aca="false">F976^2</f>
        <v>558.425302976295</v>
      </c>
      <c r="J976" s="6" t="n">
        <f aca="false">A976</f>
        <v>975</v>
      </c>
      <c r="K976" s="13" t="n">
        <f aca="false">SMALL($G$2:$G$1387,J976)</f>
        <v>0.550591251784949</v>
      </c>
      <c r="L976" s="18" t="n">
        <f aca="false">(J976-0.5)/1386</f>
        <v>0.703102453102453</v>
      </c>
      <c r="M976" s="18" t="n">
        <f aca="false">_xlfn.NORM.DIST(K976,AVERAGE($G$2:$G$1387),_xlfn.STDEV.S($G$2:$G$1387),TRUE())</f>
        <v>0.709521689995524</v>
      </c>
    </row>
    <row r="977" customFormat="false" ht="15" hidden="false" customHeight="false" outlineLevel="0" collapsed="false">
      <c r="A977" s="0" t="n">
        <f aca="false">ROW()-1</f>
        <v>976</v>
      </c>
      <c r="B977" s="0" t="str">
        <f aca="false">'Analysis Data'!A977</f>
        <v>Tanasbourne</v>
      </c>
      <c r="C977" s="5" t="n">
        <f aca="false">'Analysis Data'!B977</f>
        <v>40351</v>
      </c>
      <c r="D977" s="6" t="n">
        <f aca="false">'Analysis Data'!C977</f>
        <v>173.379717036641</v>
      </c>
      <c r="E977" s="15" t="n">
        <f aca="false">SUMPRODUCT('Final Model'!$B$45:$I$45,'Analysis Data'!N977:U977)</f>
        <v>240.740139680917</v>
      </c>
      <c r="F977" s="15" t="n">
        <f aca="false">D977-E977</f>
        <v>-67.3604226442759</v>
      </c>
      <c r="G977" s="13" t="n">
        <f aca="false">F977/'Final Model'!$B$21</f>
        <v>-1.37380474551834</v>
      </c>
      <c r="H977" s="6" t="n">
        <f aca="false">F977^2</f>
        <v>4537.42653881547</v>
      </c>
      <c r="J977" s="6" t="n">
        <f aca="false">A977</f>
        <v>976</v>
      </c>
      <c r="K977" s="13" t="n">
        <f aca="false">SMALL($G$2:$G$1387,J977)</f>
        <v>0.551236996956746</v>
      </c>
      <c r="L977" s="18" t="n">
        <f aca="false">(J977-0.5)/1386</f>
        <v>0.703823953823954</v>
      </c>
      <c r="M977" s="18" t="n">
        <f aca="false">_xlfn.NORM.DIST(K977,AVERAGE($G$2:$G$1387),_xlfn.STDEV.S($G$2:$G$1387),TRUE())</f>
        <v>0.709743423410593</v>
      </c>
    </row>
    <row r="978" customFormat="false" ht="15" hidden="false" customHeight="false" outlineLevel="0" collapsed="false">
      <c r="A978" s="0" t="n">
        <f aca="false">ROW()-1</f>
        <v>977</v>
      </c>
      <c r="B978" s="0" t="str">
        <f aca="false">'Analysis Data'!A978</f>
        <v>Tanasbourne</v>
      </c>
      <c r="C978" s="5" t="n">
        <f aca="false">'Analysis Data'!B978</f>
        <v>40358</v>
      </c>
      <c r="D978" s="6" t="n">
        <f aca="false">'Analysis Data'!C978</f>
        <v>240.301051404713</v>
      </c>
      <c r="E978" s="15" t="n">
        <f aca="false">SUMPRODUCT('Final Model'!$B$45:$I$45,'Analysis Data'!N978:U978)</f>
        <v>243.419625231894</v>
      </c>
      <c r="F978" s="15" t="n">
        <f aca="false">D978-E978</f>
        <v>-3.11857382718077</v>
      </c>
      <c r="G978" s="13" t="n">
        <f aca="false">F978/'Final Model'!$B$21</f>
        <v>-0.0636028004998616</v>
      </c>
      <c r="H978" s="6" t="n">
        <f aca="false">F978^2</f>
        <v>9.7255027155769</v>
      </c>
      <c r="J978" s="6" t="n">
        <f aca="false">A978</f>
        <v>977</v>
      </c>
      <c r="K978" s="13" t="n">
        <f aca="false">SMALL($G$2:$G$1387,J978)</f>
        <v>0.551373561304733</v>
      </c>
      <c r="L978" s="18" t="n">
        <f aca="false">(J978-0.5)/1386</f>
        <v>0.704545454545455</v>
      </c>
      <c r="M978" s="18" t="n">
        <f aca="false">_xlfn.NORM.DIST(K978,AVERAGE($G$2:$G$1387),_xlfn.STDEV.S($G$2:$G$1387),TRUE())</f>
        <v>0.709790306176203</v>
      </c>
    </row>
    <row r="979" customFormat="false" ht="15" hidden="false" customHeight="false" outlineLevel="0" collapsed="false">
      <c r="A979" s="0" t="n">
        <f aca="false">ROW()-1</f>
        <v>978</v>
      </c>
      <c r="B979" s="0" t="str">
        <f aca="false">'Analysis Data'!A979</f>
        <v>Tanasbourne</v>
      </c>
      <c r="C979" s="5" t="n">
        <f aca="false">'Analysis Data'!B979</f>
        <v>40365</v>
      </c>
      <c r="D979" s="6" t="n">
        <f aca="false">'Analysis Data'!C979</f>
        <v>194.69951130814</v>
      </c>
      <c r="E979" s="15" t="n">
        <f aca="false">SUMPRODUCT('Final Model'!$B$45:$I$45,'Analysis Data'!N979:U979)</f>
        <v>263.148398388954</v>
      </c>
      <c r="F979" s="15" t="n">
        <f aca="false">D979-E979</f>
        <v>-68.4488870808146</v>
      </c>
      <c r="G979" s="13" t="n">
        <f aca="false">F979/'Final Model'!$B$21</f>
        <v>-1.39600379875382</v>
      </c>
      <c r="H979" s="6" t="n">
        <f aca="false">F979^2</f>
        <v>4685.25014260211</v>
      </c>
      <c r="J979" s="6" t="n">
        <f aca="false">A979</f>
        <v>978</v>
      </c>
      <c r="K979" s="13" t="n">
        <f aca="false">SMALL($G$2:$G$1387,J979)</f>
        <v>0.55725852031908</v>
      </c>
      <c r="L979" s="18" t="n">
        <f aca="false">(J979-0.5)/1386</f>
        <v>0.705266955266955</v>
      </c>
      <c r="M979" s="18" t="n">
        <f aca="false">_xlfn.NORM.DIST(K979,AVERAGE($G$2:$G$1387),_xlfn.STDEV.S($G$2:$G$1387),TRUE())</f>
        <v>0.711807243446525</v>
      </c>
    </row>
    <row r="980" customFormat="false" ht="15" hidden="false" customHeight="false" outlineLevel="0" collapsed="false">
      <c r="A980" s="0" t="n">
        <f aca="false">ROW()-1</f>
        <v>979</v>
      </c>
      <c r="B980" s="0" t="str">
        <f aca="false">'Analysis Data'!A980</f>
        <v>Tanasbourne</v>
      </c>
      <c r="C980" s="5" t="n">
        <f aca="false">'Analysis Data'!B980</f>
        <v>40372</v>
      </c>
      <c r="D980" s="6" t="n">
        <f aca="false">'Analysis Data'!C980</f>
        <v>295.796617516198</v>
      </c>
      <c r="E980" s="15" t="n">
        <f aca="false">SUMPRODUCT('Final Model'!$B$45:$I$45,'Analysis Data'!N980:U980)</f>
        <v>255.527020074283</v>
      </c>
      <c r="F980" s="15" t="n">
        <f aca="false">D980-E980</f>
        <v>40.2695974419152</v>
      </c>
      <c r="G980" s="13" t="n">
        <f aca="false">F980/'Final Model'!$B$21</f>
        <v>0.821291819351693</v>
      </c>
      <c r="H980" s="6" t="n">
        <f aca="false">F980^2</f>
        <v>1621.6404781339</v>
      </c>
      <c r="J980" s="6" t="n">
        <f aca="false">A980</f>
        <v>979</v>
      </c>
      <c r="K980" s="13" t="n">
        <f aca="false">SMALL($G$2:$G$1387,J980)</f>
        <v>0.560956792668376</v>
      </c>
      <c r="L980" s="18" t="n">
        <f aca="false">(J980-0.5)/1386</f>
        <v>0.705988455988456</v>
      </c>
      <c r="M980" s="18" t="n">
        <f aca="false">_xlfn.NORM.DIST(K980,AVERAGE($G$2:$G$1387),_xlfn.STDEV.S($G$2:$G$1387),TRUE())</f>
        <v>0.713071350099408</v>
      </c>
    </row>
    <row r="981" customFormat="false" ht="15" hidden="false" customHeight="false" outlineLevel="0" collapsed="false">
      <c r="A981" s="0" t="n">
        <f aca="false">ROW()-1</f>
        <v>980</v>
      </c>
      <c r="B981" s="0" t="str">
        <f aca="false">'Analysis Data'!A981</f>
        <v>Westlake</v>
      </c>
      <c r="C981" s="5" t="n">
        <f aca="false">'Analysis Data'!B981</f>
        <v>40302</v>
      </c>
      <c r="D981" s="6" t="n">
        <f aca="false">'Analysis Data'!C981</f>
        <v>273.274045808323</v>
      </c>
      <c r="E981" s="15" t="n">
        <f aca="false">SUMPRODUCT('Final Model'!$B$45:$I$45,'Analysis Data'!N981:U981)</f>
        <v>242.988805977962</v>
      </c>
      <c r="F981" s="15" t="n">
        <f aca="false">D981-E981</f>
        <v>30.2852398303605</v>
      </c>
      <c r="G981" s="13" t="n">
        <f aca="false">F981/'Final Model'!$B$21</f>
        <v>0.617662487330696</v>
      </c>
      <c r="H981" s="6" t="n">
        <f aca="false">F981^2</f>
        <v>917.195751582456</v>
      </c>
      <c r="J981" s="6" t="n">
        <f aca="false">A981</f>
        <v>980</v>
      </c>
      <c r="K981" s="13" t="n">
        <f aca="false">SMALL($G$2:$G$1387,J981)</f>
        <v>0.563348211264588</v>
      </c>
      <c r="L981" s="18" t="n">
        <f aca="false">(J981-0.5)/1386</f>
        <v>0.706709956709957</v>
      </c>
      <c r="M981" s="18" t="n">
        <f aca="false">_xlfn.NORM.DIST(K981,AVERAGE($G$2:$G$1387),_xlfn.STDEV.S($G$2:$G$1387),TRUE())</f>
        <v>0.713887359961846</v>
      </c>
    </row>
    <row r="982" customFormat="false" ht="15" hidden="false" customHeight="false" outlineLevel="0" collapsed="false">
      <c r="A982" s="0" t="n">
        <f aca="false">ROW()-1</f>
        <v>981</v>
      </c>
      <c r="B982" s="0" t="str">
        <f aca="false">'Analysis Data'!A982</f>
        <v>Westlake</v>
      </c>
      <c r="C982" s="5" t="n">
        <f aca="false">'Analysis Data'!B982</f>
        <v>40309</v>
      </c>
      <c r="D982" s="6" t="n">
        <f aca="false">'Analysis Data'!C982</f>
        <v>228.231998032153</v>
      </c>
      <c r="E982" s="15" t="n">
        <f aca="false">SUMPRODUCT('Final Model'!$B$45:$I$45,'Analysis Data'!N982:U982)</f>
        <v>237.839990637082</v>
      </c>
      <c r="F982" s="15" t="n">
        <f aca="false">D982-E982</f>
        <v>-9.60799260492863</v>
      </c>
      <c r="G982" s="13" t="n">
        <f aca="false">F982/'Final Model'!$B$21</f>
        <v>-0.195953429586709</v>
      </c>
      <c r="H982" s="6" t="n">
        <f aca="false">F982^2</f>
        <v>92.3135218963632</v>
      </c>
      <c r="J982" s="6" t="n">
        <f aca="false">A982</f>
        <v>981</v>
      </c>
      <c r="K982" s="13" t="n">
        <f aca="false">SMALL($G$2:$G$1387,J982)</f>
        <v>0.563643594388054</v>
      </c>
      <c r="L982" s="18" t="n">
        <f aca="false">(J982-0.5)/1386</f>
        <v>0.707431457431457</v>
      </c>
      <c r="M982" s="18" t="n">
        <f aca="false">_xlfn.NORM.DIST(K982,AVERAGE($G$2:$G$1387),_xlfn.STDEV.S($G$2:$G$1387),TRUE())</f>
        <v>0.713988075277131</v>
      </c>
    </row>
    <row r="983" customFormat="false" ht="15" hidden="false" customHeight="false" outlineLevel="0" collapsed="false">
      <c r="A983" s="0" t="n">
        <f aca="false">ROW()-1</f>
        <v>982</v>
      </c>
      <c r="B983" s="0" t="str">
        <f aca="false">'Analysis Data'!A983</f>
        <v>Westlake</v>
      </c>
      <c r="C983" s="5" t="n">
        <f aca="false">'Analysis Data'!B983</f>
        <v>40316</v>
      </c>
      <c r="D983" s="6" t="n">
        <f aca="false">'Analysis Data'!C983</f>
        <v>266.403120843235</v>
      </c>
      <c r="E983" s="15" t="n">
        <f aca="false">SUMPRODUCT('Final Model'!$B$45:$I$45,'Analysis Data'!N983:U983)</f>
        <v>245.370133083877</v>
      </c>
      <c r="F983" s="15" t="n">
        <f aca="false">D983-E983</f>
        <v>21.0329877593582</v>
      </c>
      <c r="G983" s="13" t="n">
        <f aca="false">F983/'Final Model'!$B$21</f>
        <v>0.428964327448306</v>
      </c>
      <c r="H983" s="6" t="n">
        <f aca="false">F983^2</f>
        <v>442.386574085311</v>
      </c>
      <c r="J983" s="6" t="n">
        <f aca="false">A983</f>
        <v>982</v>
      </c>
      <c r="K983" s="13" t="n">
        <f aca="false">SMALL($G$2:$G$1387,J983)</f>
        <v>0.564264878872845</v>
      </c>
      <c r="L983" s="18" t="n">
        <f aca="false">(J983-0.5)/1386</f>
        <v>0.708152958152958</v>
      </c>
      <c r="M983" s="18" t="n">
        <f aca="false">_xlfn.NORM.DIST(K983,AVERAGE($G$2:$G$1387),_xlfn.STDEV.S($G$2:$G$1387),TRUE())</f>
        <v>0.714199856553822</v>
      </c>
    </row>
    <row r="984" customFormat="false" ht="15" hidden="false" customHeight="false" outlineLevel="0" collapsed="false">
      <c r="A984" s="0" t="n">
        <f aca="false">ROW()-1</f>
        <v>983</v>
      </c>
      <c r="B984" s="0" t="str">
        <f aca="false">'Analysis Data'!A984</f>
        <v>Westlake</v>
      </c>
      <c r="C984" s="5" t="n">
        <f aca="false">'Analysis Data'!B984</f>
        <v>40323</v>
      </c>
      <c r="D984" s="6" t="n">
        <f aca="false">'Analysis Data'!C984</f>
        <v>288.415270999239</v>
      </c>
      <c r="E984" s="15" t="n">
        <f aca="false">SUMPRODUCT('Final Model'!$B$45:$I$45,'Analysis Data'!N984:U984)</f>
        <v>245.930986191665</v>
      </c>
      <c r="F984" s="15" t="n">
        <f aca="false">D984-E984</f>
        <v>42.4842848075738</v>
      </c>
      <c r="G984" s="13" t="n">
        <f aca="false">F984/'Final Model'!$B$21</f>
        <v>0.866460004071209</v>
      </c>
      <c r="H984" s="6" t="n">
        <f aca="false">F984^2</f>
        <v>1804.91445561104</v>
      </c>
      <c r="J984" s="6" t="n">
        <f aca="false">A984</f>
        <v>983</v>
      </c>
      <c r="K984" s="13" t="n">
        <f aca="false">SMALL($G$2:$G$1387,J984)</f>
        <v>0.567141540078421</v>
      </c>
      <c r="L984" s="18" t="n">
        <f aca="false">(J984-0.5)/1386</f>
        <v>0.708874458874459</v>
      </c>
      <c r="M984" s="18" t="n">
        <f aca="false">_xlfn.NORM.DIST(K984,AVERAGE($G$2:$G$1387),_xlfn.STDEV.S($G$2:$G$1387),TRUE())</f>
        <v>0.715179469389909</v>
      </c>
    </row>
    <row r="985" customFormat="false" ht="15" hidden="false" customHeight="false" outlineLevel="0" collapsed="false">
      <c r="A985" s="0" t="n">
        <f aca="false">ROW()-1</f>
        <v>984</v>
      </c>
      <c r="B985" s="0" t="str">
        <f aca="false">'Analysis Data'!A985</f>
        <v>Westlake</v>
      </c>
      <c r="C985" s="5" t="n">
        <f aca="false">'Analysis Data'!B985</f>
        <v>40330</v>
      </c>
      <c r="D985" s="6" t="n">
        <f aca="false">'Analysis Data'!C985</f>
        <v>286.636420925321</v>
      </c>
      <c r="E985" s="15" t="n">
        <f aca="false">SUMPRODUCT('Final Model'!$B$45:$I$45,'Analysis Data'!N985:U985)</f>
        <v>245.930986191665</v>
      </c>
      <c r="F985" s="15" t="n">
        <f aca="false">D985-E985</f>
        <v>40.705434733656</v>
      </c>
      <c r="G985" s="13" t="n">
        <f aca="false">F985/'Final Model'!$B$21</f>
        <v>0.830180649263426</v>
      </c>
      <c r="H985" s="6" t="n">
        <f aca="false">F985^2</f>
        <v>1656.93241685593</v>
      </c>
      <c r="J985" s="6" t="n">
        <f aca="false">A985</f>
        <v>984</v>
      </c>
      <c r="K985" s="13" t="n">
        <f aca="false">SMALL($G$2:$G$1387,J985)</f>
        <v>0.568792501324639</v>
      </c>
      <c r="L985" s="18" t="n">
        <f aca="false">(J985-0.5)/1386</f>
        <v>0.70959595959596</v>
      </c>
      <c r="M985" s="18" t="n">
        <f aca="false">_xlfn.NORM.DIST(K985,AVERAGE($G$2:$G$1387),_xlfn.STDEV.S($G$2:$G$1387),TRUE())</f>
        <v>0.715740960102619</v>
      </c>
    </row>
    <row r="986" customFormat="false" ht="15" hidden="false" customHeight="false" outlineLevel="0" collapsed="false">
      <c r="A986" s="0" t="n">
        <f aca="false">ROW()-1</f>
        <v>985</v>
      </c>
      <c r="B986" s="0" t="str">
        <f aca="false">'Analysis Data'!A986</f>
        <v>Westlake</v>
      </c>
      <c r="C986" s="5" t="n">
        <f aca="false">'Analysis Data'!B986</f>
        <v>40337</v>
      </c>
      <c r="D986" s="6" t="n">
        <f aca="false">'Analysis Data'!C986</f>
        <v>258.305322567252</v>
      </c>
      <c r="E986" s="15" t="n">
        <f aca="false">SUMPRODUCT('Final Model'!$B$45:$I$45,'Analysis Data'!N986:U986)</f>
        <v>237.784824758351</v>
      </c>
      <c r="F986" s="15" t="n">
        <f aca="false">D986-E986</f>
        <v>20.5204978089014</v>
      </c>
      <c r="G986" s="13" t="n">
        <f aca="false">F986/'Final Model'!$B$21</f>
        <v>0.418512179164052</v>
      </c>
      <c r="H986" s="6" t="n">
        <f aca="false">F986^2</f>
        <v>421.090830325126</v>
      </c>
      <c r="J986" s="6" t="n">
        <f aca="false">A986</f>
        <v>985</v>
      </c>
      <c r="K986" s="13" t="n">
        <f aca="false">SMALL($G$2:$G$1387,J986)</f>
        <v>0.571412539304267</v>
      </c>
      <c r="L986" s="18" t="n">
        <f aca="false">(J986-0.5)/1386</f>
        <v>0.71031746031746</v>
      </c>
      <c r="M986" s="18" t="n">
        <f aca="false">_xlfn.NORM.DIST(K986,AVERAGE($G$2:$G$1387),_xlfn.STDEV.S($G$2:$G$1387),TRUE())</f>
        <v>0.716630945355708</v>
      </c>
    </row>
    <row r="987" customFormat="false" ht="15" hidden="false" customHeight="false" outlineLevel="0" collapsed="false">
      <c r="A987" s="0" t="n">
        <f aca="false">ROW()-1</f>
        <v>986</v>
      </c>
      <c r="B987" s="0" t="str">
        <f aca="false">'Analysis Data'!A987</f>
        <v>Westlake</v>
      </c>
      <c r="C987" s="5" t="n">
        <f aca="false">'Analysis Data'!B987</f>
        <v>40344</v>
      </c>
      <c r="D987" s="6" t="n">
        <f aca="false">'Analysis Data'!C987</f>
        <v>200.363876554379</v>
      </c>
      <c r="E987" s="15" t="n">
        <f aca="false">SUMPRODUCT('Final Model'!$B$45:$I$45,'Analysis Data'!N987:U987)</f>
        <v>243.419625231894</v>
      </c>
      <c r="F987" s="15" t="n">
        <f aca="false">D987-E987</f>
        <v>-43.0557486775153</v>
      </c>
      <c r="G987" s="13" t="n">
        <f aca="false">F987/'Final Model'!$B$21</f>
        <v>-0.878114915747815</v>
      </c>
      <c r="H987" s="6" t="n">
        <f aca="false">F987^2</f>
        <v>1853.79749418136</v>
      </c>
      <c r="J987" s="6" t="n">
        <f aca="false">A987</f>
        <v>986</v>
      </c>
      <c r="K987" s="13" t="n">
        <f aca="false">SMALL($G$2:$G$1387,J987)</f>
        <v>0.573635486607252</v>
      </c>
      <c r="L987" s="18" t="n">
        <f aca="false">(J987-0.5)/1386</f>
        <v>0.711038961038961</v>
      </c>
      <c r="M987" s="18" t="n">
        <f aca="false">_xlfn.NORM.DIST(K987,AVERAGE($G$2:$G$1387),_xlfn.STDEV.S($G$2:$G$1387),TRUE())</f>
        <v>0.717384996054107</v>
      </c>
    </row>
    <row r="988" customFormat="false" ht="15" hidden="false" customHeight="false" outlineLevel="0" collapsed="false">
      <c r="A988" s="0" t="n">
        <f aca="false">ROW()-1</f>
        <v>987</v>
      </c>
      <c r="B988" s="0" t="str">
        <f aca="false">'Analysis Data'!A988</f>
        <v>Westlake</v>
      </c>
      <c r="C988" s="5" t="n">
        <f aca="false">'Analysis Data'!B988</f>
        <v>40351</v>
      </c>
      <c r="D988" s="6" t="n">
        <f aca="false">'Analysis Data'!C988</f>
        <v>247.313515202721</v>
      </c>
      <c r="E988" s="15" t="n">
        <f aca="false">SUMPRODUCT('Final Model'!$B$45:$I$45,'Analysis Data'!N988:U988)</f>
        <v>344.53752116615</v>
      </c>
      <c r="F988" s="15" t="n">
        <f aca="false">D988-E988</f>
        <v>-97.2240059634288</v>
      </c>
      <c r="G988" s="13" t="n">
        <f aca="false">F988/'Final Model'!$B$21</f>
        <v>-1.9828676176249</v>
      </c>
      <c r="H988" s="6" t="n">
        <f aca="false">F988^2</f>
        <v>9452.50733557683</v>
      </c>
      <c r="J988" s="6" t="n">
        <f aca="false">A988</f>
        <v>987</v>
      </c>
      <c r="K988" s="13" t="n">
        <f aca="false">SMALL($G$2:$G$1387,J988)</f>
        <v>0.577482251721805</v>
      </c>
      <c r="L988" s="18" t="n">
        <f aca="false">(J988-0.5)/1386</f>
        <v>0.711760461760462</v>
      </c>
      <c r="M988" s="18" t="n">
        <f aca="false">_xlfn.NORM.DIST(K988,AVERAGE($G$2:$G$1387),_xlfn.STDEV.S($G$2:$G$1387),TRUE())</f>
        <v>0.718687582294949</v>
      </c>
    </row>
    <row r="989" customFormat="false" ht="15" hidden="false" customHeight="false" outlineLevel="0" collapsed="false">
      <c r="A989" s="0" t="n">
        <f aca="false">ROW()-1</f>
        <v>988</v>
      </c>
      <c r="B989" s="0" t="str">
        <f aca="false">'Analysis Data'!A989</f>
        <v>Westlake</v>
      </c>
      <c r="C989" s="5" t="n">
        <f aca="false">'Analysis Data'!B989</f>
        <v>40358</v>
      </c>
      <c r="D989" s="6" t="n">
        <f aca="false">'Analysis Data'!C989</f>
        <v>365.774718715315</v>
      </c>
      <c r="E989" s="15" t="n">
        <f aca="false">SUMPRODUCT('Final Model'!$B$45:$I$45,'Analysis Data'!N989:U989)</f>
        <v>429.058701775402</v>
      </c>
      <c r="F989" s="15" t="n">
        <f aca="false">D989-E989</f>
        <v>-63.2839830600869</v>
      </c>
      <c r="G989" s="13" t="n">
        <f aca="false">F989/'Final Model'!$B$21</f>
        <v>-1.2906664303811</v>
      </c>
      <c r="H989" s="6" t="n">
        <f aca="false">F989^2</f>
        <v>4004.86251194937</v>
      </c>
      <c r="J989" s="6" t="n">
        <f aca="false">A989</f>
        <v>988</v>
      </c>
      <c r="K989" s="13" t="n">
        <f aca="false">SMALL($G$2:$G$1387,J989)</f>
        <v>0.579118318916317</v>
      </c>
      <c r="L989" s="18" t="n">
        <f aca="false">(J989-0.5)/1386</f>
        <v>0.712481962481963</v>
      </c>
      <c r="M989" s="18" t="n">
        <f aca="false">_xlfn.NORM.DIST(K989,AVERAGE($G$2:$G$1387),_xlfn.STDEV.S($G$2:$G$1387),TRUE())</f>
        <v>0.719240705310741</v>
      </c>
    </row>
    <row r="990" customFormat="false" ht="15" hidden="false" customHeight="false" outlineLevel="0" collapsed="false">
      <c r="A990" s="0" t="n">
        <f aca="false">ROW()-1</f>
        <v>989</v>
      </c>
      <c r="B990" s="0" t="str">
        <f aca="false">'Analysis Data'!A990</f>
        <v>Westlake</v>
      </c>
      <c r="C990" s="5" t="n">
        <f aca="false">'Analysis Data'!B990</f>
        <v>40365</v>
      </c>
      <c r="D990" s="6" t="n">
        <f aca="false">'Analysis Data'!C990</f>
        <v>314.157933256645</v>
      </c>
      <c r="E990" s="15" t="n">
        <f aca="false">SUMPRODUCT('Final Model'!$B$45:$I$45,'Analysis Data'!N990:U990)</f>
        <v>329.130812644317</v>
      </c>
      <c r="F990" s="15" t="n">
        <f aca="false">D990-E990</f>
        <v>-14.9728793876716</v>
      </c>
      <c r="G990" s="13" t="n">
        <f aca="false">F990/'Final Model'!$B$21</f>
        <v>-0.305369413512802</v>
      </c>
      <c r="H990" s="6" t="n">
        <f aca="false">F990^2</f>
        <v>224.187117157761</v>
      </c>
      <c r="J990" s="6" t="n">
        <f aca="false">A990</f>
        <v>989</v>
      </c>
      <c r="K990" s="13" t="n">
        <f aca="false">SMALL($G$2:$G$1387,J990)</f>
        <v>0.580455460476414</v>
      </c>
      <c r="L990" s="18" t="n">
        <f aca="false">(J990-0.5)/1386</f>
        <v>0.713203463203463</v>
      </c>
      <c r="M990" s="18" t="n">
        <f aca="false">_xlfn.NORM.DIST(K990,AVERAGE($G$2:$G$1387),_xlfn.STDEV.S($G$2:$G$1387),TRUE())</f>
        <v>0.719692376353551</v>
      </c>
    </row>
    <row r="991" customFormat="false" ht="15" hidden="false" customHeight="false" outlineLevel="0" collapsed="false">
      <c r="A991" s="0" t="n">
        <f aca="false">ROW()-1</f>
        <v>990</v>
      </c>
      <c r="B991" s="0" t="str">
        <f aca="false">'Analysis Data'!A991</f>
        <v>Westlake</v>
      </c>
      <c r="C991" s="5" t="n">
        <f aca="false">'Analysis Data'!B991</f>
        <v>40372</v>
      </c>
      <c r="D991" s="6" t="n">
        <f aca="false">'Analysis Data'!C991</f>
        <v>339.191806352381</v>
      </c>
      <c r="E991" s="15" t="n">
        <f aca="false">SUMPRODUCT('Final Model'!$B$45:$I$45,'Analysis Data'!N991:U991)</f>
        <v>321.953337782562</v>
      </c>
      <c r="F991" s="15" t="n">
        <f aca="false">D991-E991</f>
        <v>17.238468569819</v>
      </c>
      <c r="G991" s="13" t="n">
        <f aca="false">F991/'Final Model'!$B$21</f>
        <v>0.351575732411154</v>
      </c>
      <c r="H991" s="6" t="n">
        <f aca="false">F991^2</f>
        <v>297.164798632638</v>
      </c>
      <c r="J991" s="6" t="n">
        <f aca="false">A991</f>
        <v>990</v>
      </c>
      <c r="K991" s="13" t="n">
        <f aca="false">SMALL($G$2:$G$1387,J991)</f>
        <v>0.581140851886507</v>
      </c>
      <c r="L991" s="18" t="n">
        <f aca="false">(J991-0.5)/1386</f>
        <v>0.713924963924964</v>
      </c>
      <c r="M991" s="18" t="n">
        <f aca="false">_xlfn.NORM.DIST(K991,AVERAGE($G$2:$G$1387),_xlfn.STDEV.S($G$2:$G$1387),TRUE())</f>
        <v>0.719923757187525</v>
      </c>
    </row>
    <row r="992" customFormat="false" ht="15" hidden="false" customHeight="false" outlineLevel="0" collapsed="false">
      <c r="A992" s="0" t="n">
        <f aca="false">ROW()-1</f>
        <v>991</v>
      </c>
      <c r="B992" s="0" t="str">
        <f aca="false">'Analysis Data'!A992</f>
        <v>Academy</v>
      </c>
      <c r="C992" s="5" t="n">
        <f aca="false">'Analysis Data'!B992</f>
        <v>40302</v>
      </c>
      <c r="D992" s="6" t="n">
        <f aca="false">'Analysis Data'!C992</f>
        <v>270.748899992123</v>
      </c>
      <c r="E992" s="15" t="n">
        <f aca="false">SUMPRODUCT('Final Model'!$B$45:$I$45,'Analysis Data'!N992:U992)</f>
        <v>241.370606875872</v>
      </c>
      <c r="F992" s="15" t="n">
        <f aca="false">D992-E992</f>
        <v>29.3782931162506</v>
      </c>
      <c r="G992" s="13" t="n">
        <f aca="false">F992/'Final Model'!$B$21</f>
        <v>0.599165458201941</v>
      </c>
      <c r="H992" s="6" t="n">
        <f aca="false">F992^2</f>
        <v>863.084106424339</v>
      </c>
      <c r="J992" s="6" t="n">
        <f aca="false">A992</f>
        <v>991</v>
      </c>
      <c r="K992" s="13" t="n">
        <f aca="false">SMALL($G$2:$G$1387,J992)</f>
        <v>0.582342108042599</v>
      </c>
      <c r="L992" s="18" t="n">
        <f aca="false">(J992-0.5)/1386</f>
        <v>0.714646464646465</v>
      </c>
      <c r="M992" s="18" t="n">
        <f aca="false">_xlfn.NORM.DIST(K992,AVERAGE($G$2:$G$1387),_xlfn.STDEV.S($G$2:$G$1387),TRUE())</f>
        <v>0.7203290650187</v>
      </c>
    </row>
    <row r="993" customFormat="false" ht="15" hidden="false" customHeight="false" outlineLevel="0" collapsed="false">
      <c r="A993" s="0" t="n">
        <f aca="false">ROW()-1</f>
        <v>992</v>
      </c>
      <c r="B993" s="0" t="str">
        <f aca="false">'Analysis Data'!A993</f>
        <v>Academy</v>
      </c>
      <c r="C993" s="5" t="n">
        <f aca="false">'Analysis Data'!B993</f>
        <v>40309</v>
      </c>
      <c r="D993" s="6" t="n">
        <f aca="false">'Analysis Data'!C993</f>
        <v>314.505824382809</v>
      </c>
      <c r="E993" s="15" t="n">
        <f aca="false">SUMPRODUCT('Final Model'!$B$45:$I$45,'Analysis Data'!N993:U993)</f>
        <v>348.123303283671</v>
      </c>
      <c r="F993" s="15" t="n">
        <f aca="false">D993-E993</f>
        <v>-33.6174789008625</v>
      </c>
      <c r="G993" s="13" t="n">
        <f aca="false">F993/'Final Model'!$B$21</f>
        <v>-0.685622955340709</v>
      </c>
      <c r="H993" s="6" t="n">
        <f aca="false">F993^2</f>
        <v>1130.13488764994</v>
      </c>
      <c r="J993" s="6" t="n">
        <f aca="false">A993</f>
        <v>992</v>
      </c>
      <c r="K993" s="13" t="n">
        <f aca="false">SMALL($G$2:$G$1387,J993)</f>
        <v>0.583056880004031</v>
      </c>
      <c r="L993" s="18" t="n">
        <f aca="false">(J993-0.5)/1386</f>
        <v>0.715367965367965</v>
      </c>
      <c r="M993" s="18" t="n">
        <f aca="false">_xlfn.NORM.DIST(K993,AVERAGE($G$2:$G$1387),_xlfn.STDEV.S($G$2:$G$1387),TRUE())</f>
        <v>0.720570096305085</v>
      </c>
    </row>
    <row r="994" customFormat="false" ht="15" hidden="false" customHeight="false" outlineLevel="0" collapsed="false">
      <c r="A994" s="0" t="n">
        <f aca="false">ROW()-1</f>
        <v>993</v>
      </c>
      <c r="B994" s="0" t="str">
        <f aca="false">'Analysis Data'!A994</f>
        <v>Academy</v>
      </c>
      <c r="C994" s="5" t="n">
        <f aca="false">'Analysis Data'!B994</f>
        <v>40316</v>
      </c>
      <c r="D994" s="6" t="n">
        <f aca="false">'Analysis Data'!C994</f>
        <v>390.606979162614</v>
      </c>
      <c r="E994" s="15" t="n">
        <f aca="false">SUMPRODUCT('Final Model'!$B$45:$I$45,'Analysis Data'!N994:U994)</f>
        <v>319.245612575533</v>
      </c>
      <c r="F994" s="15" t="n">
        <f aca="false">D994-E994</f>
        <v>71.3613665870813</v>
      </c>
      <c r="G994" s="13" t="n">
        <f aca="false">F994/'Final Model'!$B$21</f>
        <v>1.45540333946134</v>
      </c>
      <c r="H994" s="6" t="n">
        <f aca="false">F994^2</f>
        <v>5092.4446411758</v>
      </c>
      <c r="J994" s="6" t="n">
        <f aca="false">A994</f>
        <v>993</v>
      </c>
      <c r="K994" s="13" t="n">
        <f aca="false">SMALL($G$2:$G$1387,J994)</f>
        <v>0.584867976002292</v>
      </c>
      <c r="L994" s="18" t="n">
        <f aca="false">(J994-0.5)/1386</f>
        <v>0.716089466089466</v>
      </c>
      <c r="M994" s="18" t="n">
        <f aca="false">_xlfn.NORM.DIST(K994,AVERAGE($G$2:$G$1387),_xlfn.STDEV.S($G$2:$G$1387),TRUE())</f>
        <v>0.721180371579678</v>
      </c>
    </row>
    <row r="995" customFormat="false" ht="15" hidden="false" customHeight="false" outlineLevel="0" collapsed="false">
      <c r="A995" s="0" t="n">
        <f aca="false">ROW()-1</f>
        <v>994</v>
      </c>
      <c r="B995" s="0" t="str">
        <f aca="false">'Analysis Data'!A995</f>
        <v>Academy</v>
      </c>
      <c r="C995" s="5" t="n">
        <f aca="false">'Analysis Data'!B995</f>
        <v>40323</v>
      </c>
      <c r="D995" s="6" t="n">
        <f aca="false">'Analysis Data'!C995</f>
        <v>249.862379827122</v>
      </c>
      <c r="E995" s="15" t="n">
        <f aca="false">SUMPRODUCT('Final Model'!$B$45:$I$45,'Analysis Data'!N995:U995)</f>
        <v>319.245612575533</v>
      </c>
      <c r="F995" s="15" t="n">
        <f aca="false">D995-E995</f>
        <v>-69.3832327484103</v>
      </c>
      <c r="G995" s="13" t="n">
        <f aca="false">F995/'Final Model'!$B$21</f>
        <v>-1.41505962503443</v>
      </c>
      <c r="H995" s="6" t="n">
        <f aca="false">F995^2</f>
        <v>4814.03298662008</v>
      </c>
      <c r="J995" s="6" t="n">
        <f aca="false">A995</f>
        <v>994</v>
      </c>
      <c r="K995" s="13" t="n">
        <f aca="false">SMALL($G$2:$G$1387,J995)</f>
        <v>0.585457979483075</v>
      </c>
      <c r="L995" s="18" t="n">
        <f aca="false">(J995-0.5)/1386</f>
        <v>0.716810966810967</v>
      </c>
      <c r="M995" s="18" t="n">
        <f aca="false">_xlfn.NORM.DIST(K995,AVERAGE($G$2:$G$1387),_xlfn.STDEV.S($G$2:$G$1387),TRUE())</f>
        <v>0.721379041710631</v>
      </c>
    </row>
    <row r="996" customFormat="false" ht="15" hidden="false" customHeight="false" outlineLevel="0" collapsed="false">
      <c r="A996" s="0" t="n">
        <f aca="false">ROW()-1</f>
        <v>995</v>
      </c>
      <c r="B996" s="0" t="str">
        <f aca="false">'Analysis Data'!A996</f>
        <v>Academy</v>
      </c>
      <c r="C996" s="5" t="n">
        <f aca="false">'Analysis Data'!B996</f>
        <v>40330</v>
      </c>
      <c r="D996" s="6" t="n">
        <f aca="false">'Analysis Data'!C996</f>
        <v>222.033894307816</v>
      </c>
      <c r="E996" s="15" t="n">
        <f aca="false">SUMPRODUCT('Final Model'!$B$45:$I$45,'Analysis Data'!N996:U996)</f>
        <v>303.638266043837</v>
      </c>
      <c r="F996" s="15" t="n">
        <f aca="false">D996-E996</f>
        <v>-81.6043717360215</v>
      </c>
      <c r="G996" s="13" t="n">
        <f aca="false">F996/'Final Model'!$B$21</f>
        <v>-1.66430774548467</v>
      </c>
      <c r="H996" s="6" t="n">
        <f aca="false">F996^2</f>
        <v>6659.27348643079</v>
      </c>
      <c r="J996" s="6" t="n">
        <f aca="false">A996</f>
        <v>995</v>
      </c>
      <c r="K996" s="13" t="n">
        <f aca="false">SMALL($G$2:$G$1387,J996)</f>
        <v>0.586074721756313</v>
      </c>
      <c r="L996" s="18" t="n">
        <f aca="false">(J996-0.5)/1386</f>
        <v>0.717532467532468</v>
      </c>
      <c r="M996" s="18" t="n">
        <f aca="false">_xlfn.NORM.DIST(K996,AVERAGE($G$2:$G$1387),_xlfn.STDEV.S($G$2:$G$1387),TRUE())</f>
        <v>0.721586641795003</v>
      </c>
    </row>
    <row r="997" customFormat="false" ht="15" hidden="false" customHeight="false" outlineLevel="0" collapsed="false">
      <c r="A997" s="0" t="n">
        <f aca="false">ROW()-1</f>
        <v>996</v>
      </c>
      <c r="B997" s="0" t="str">
        <f aca="false">'Analysis Data'!A997</f>
        <v>Academy</v>
      </c>
      <c r="C997" s="5" t="n">
        <f aca="false">'Analysis Data'!B997</f>
        <v>40337</v>
      </c>
      <c r="D997" s="6" t="n">
        <f aca="false">'Analysis Data'!C997</f>
        <v>276.358197057361</v>
      </c>
      <c r="E997" s="15" t="n">
        <f aca="false">SUMPRODUCT('Final Model'!$B$45:$I$45,'Analysis Data'!N997:U997)</f>
        <v>319.074906611876</v>
      </c>
      <c r="F997" s="15" t="n">
        <f aca="false">D997-E997</f>
        <v>-42.7167095545149</v>
      </c>
      <c r="G997" s="13" t="n">
        <f aca="false">F997/'Final Model'!$B$21</f>
        <v>-0.871200268573554</v>
      </c>
      <c r="H997" s="6" t="n">
        <f aca="false">F997^2</f>
        <v>1824.71727516479</v>
      </c>
      <c r="J997" s="6" t="n">
        <f aca="false">A997</f>
        <v>996</v>
      </c>
      <c r="K997" s="13" t="n">
        <f aca="false">SMALL($G$2:$G$1387,J997)</f>
        <v>0.588347201531682</v>
      </c>
      <c r="L997" s="18" t="n">
        <f aca="false">(J997-0.5)/1386</f>
        <v>0.718253968253968</v>
      </c>
      <c r="M997" s="18" t="n">
        <f aca="false">_xlfn.NORM.DIST(K997,AVERAGE($G$2:$G$1387),_xlfn.STDEV.S($G$2:$G$1387),TRUE())</f>
        <v>0.722350924362954</v>
      </c>
    </row>
    <row r="998" customFormat="false" ht="15" hidden="false" customHeight="false" outlineLevel="0" collapsed="false">
      <c r="A998" s="0" t="n">
        <f aca="false">ROW()-1</f>
        <v>997</v>
      </c>
      <c r="B998" s="0" t="str">
        <f aca="false">'Analysis Data'!A998</f>
        <v>Academy</v>
      </c>
      <c r="C998" s="5" t="n">
        <f aca="false">'Analysis Data'!B998</f>
        <v>40344</v>
      </c>
      <c r="D998" s="6" t="n">
        <f aca="false">'Analysis Data'!C998</f>
        <v>294.863181354517</v>
      </c>
      <c r="E998" s="15" t="n">
        <f aca="false">SUMPRODUCT('Final Model'!$B$45:$I$45,'Analysis Data'!N998:U998)</f>
        <v>319.074906611876</v>
      </c>
      <c r="F998" s="15" t="n">
        <f aca="false">D998-E998</f>
        <v>-24.2117252573589</v>
      </c>
      <c r="G998" s="13" t="n">
        <f aca="false">F998/'Final Model'!$B$21</f>
        <v>-0.493794156123403</v>
      </c>
      <c r="H998" s="6" t="n">
        <f aca="false">F998^2</f>
        <v>586.207639937832</v>
      </c>
      <c r="J998" s="6" t="n">
        <f aca="false">A998</f>
        <v>997</v>
      </c>
      <c r="K998" s="13" t="n">
        <f aca="false">SMALL($G$2:$G$1387,J998)</f>
        <v>0.590189092376331</v>
      </c>
      <c r="L998" s="18" t="n">
        <f aca="false">(J998-0.5)/1386</f>
        <v>0.718975468975469</v>
      </c>
      <c r="M998" s="18" t="n">
        <f aca="false">_xlfn.NORM.DIST(K998,AVERAGE($G$2:$G$1387),_xlfn.STDEV.S($G$2:$G$1387),TRUE())</f>
        <v>0.722969637903403</v>
      </c>
    </row>
    <row r="999" customFormat="false" ht="15" hidden="false" customHeight="false" outlineLevel="0" collapsed="false">
      <c r="A999" s="0" t="n">
        <f aca="false">ROW()-1</f>
        <v>998</v>
      </c>
      <c r="B999" s="0" t="str">
        <f aca="false">'Analysis Data'!A999</f>
        <v>Academy</v>
      </c>
      <c r="C999" s="5" t="n">
        <f aca="false">'Analysis Data'!B999</f>
        <v>40351</v>
      </c>
      <c r="D999" s="6" t="n">
        <f aca="false">'Analysis Data'!C999</f>
        <v>383.455807103812</v>
      </c>
      <c r="E999" s="15" t="n">
        <f aca="false">SUMPRODUCT('Final Model'!$B$45:$I$45,'Analysis Data'!N999:U999)</f>
        <v>353.419227641857</v>
      </c>
      <c r="F999" s="15" t="n">
        <f aca="false">D999-E999</f>
        <v>30.0365794619555</v>
      </c>
      <c r="G999" s="13" t="n">
        <f aca="false">F999/'Final Model'!$B$21</f>
        <v>0.612591099997794</v>
      </c>
      <c r="H999" s="6" t="n">
        <f aca="false">F999^2</f>
        <v>902.196105774368</v>
      </c>
      <c r="J999" s="6" t="n">
        <f aca="false">A999</f>
        <v>998</v>
      </c>
      <c r="K999" s="13" t="n">
        <f aca="false">SMALL($G$2:$G$1387,J999)</f>
        <v>0.591694620939409</v>
      </c>
      <c r="L999" s="18" t="n">
        <f aca="false">(J999-0.5)/1386</f>
        <v>0.71969696969697</v>
      </c>
      <c r="M999" s="18" t="n">
        <f aca="false">_xlfn.NORM.DIST(K999,AVERAGE($G$2:$G$1387),_xlfn.STDEV.S($G$2:$G$1387),TRUE())</f>
        <v>0.723474861502207</v>
      </c>
    </row>
    <row r="1000" customFormat="false" ht="15" hidden="false" customHeight="false" outlineLevel="0" collapsed="false">
      <c r="A1000" s="0" t="n">
        <f aca="false">ROW()-1</f>
        <v>999</v>
      </c>
      <c r="B1000" s="0" t="str">
        <f aca="false">'Analysis Data'!A1000</f>
        <v>Academy</v>
      </c>
      <c r="C1000" s="5" t="n">
        <f aca="false">'Analysis Data'!B1000</f>
        <v>40358</v>
      </c>
      <c r="D1000" s="6" t="n">
        <f aca="false">'Analysis Data'!C1000</f>
        <v>300.294244575174</v>
      </c>
      <c r="E1000" s="15" t="n">
        <f aca="false">SUMPRODUCT('Final Model'!$B$45:$I$45,'Analysis Data'!N1000:U1000)</f>
        <v>320.036323496656</v>
      </c>
      <c r="F1000" s="15" t="n">
        <f aca="false">D1000-E1000</f>
        <v>-19.7420789214822</v>
      </c>
      <c r="G1000" s="13" t="n">
        <f aca="false">F1000/'Final Model'!$B$21</f>
        <v>-0.402636453930186</v>
      </c>
      <c r="H1000" s="6" t="n">
        <f aca="false">F1000^2</f>
        <v>389.749680142031</v>
      </c>
      <c r="J1000" s="6" t="n">
        <f aca="false">A1000</f>
        <v>999</v>
      </c>
      <c r="K1000" s="13" t="n">
        <f aca="false">SMALL($G$2:$G$1387,J1000)</f>
        <v>0.592991271624021</v>
      </c>
      <c r="L1000" s="18" t="n">
        <f aca="false">(J1000-0.5)/1386</f>
        <v>0.72041847041847</v>
      </c>
      <c r="M1000" s="18" t="n">
        <f aca="false">_xlfn.NORM.DIST(K1000,AVERAGE($G$2:$G$1387),_xlfn.STDEV.S($G$2:$G$1387),TRUE())</f>
        <v>0.723909627723558</v>
      </c>
    </row>
    <row r="1001" customFormat="false" ht="15" hidden="false" customHeight="false" outlineLevel="0" collapsed="false">
      <c r="A1001" s="0" t="n">
        <f aca="false">ROW()-1</f>
        <v>1000</v>
      </c>
      <c r="B1001" s="0" t="str">
        <f aca="false">'Analysis Data'!A1001</f>
        <v>Academy</v>
      </c>
      <c r="C1001" s="5" t="n">
        <f aca="false">'Analysis Data'!B1001</f>
        <v>40365</v>
      </c>
      <c r="D1001" s="6" t="n">
        <f aca="false">'Analysis Data'!C1001</f>
        <v>296.743122095153</v>
      </c>
      <c r="E1001" s="15" t="n">
        <f aca="false">SUMPRODUCT('Final Model'!$B$45:$I$45,'Analysis Data'!N1001:U1001)</f>
        <v>308.311735411029</v>
      </c>
      <c r="F1001" s="15" t="n">
        <f aca="false">D1001-E1001</f>
        <v>-11.5686133158754</v>
      </c>
      <c r="G1001" s="13" t="n">
        <f aca="false">F1001/'Final Model'!$B$21</f>
        <v>-0.23593996665291</v>
      </c>
      <c r="H1001" s="6" t="n">
        <f aca="false">F1001^2</f>
        <v>133.832814052251</v>
      </c>
      <c r="J1001" s="6" t="n">
        <f aca="false">A1001</f>
        <v>1000</v>
      </c>
      <c r="K1001" s="13" t="n">
        <f aca="false">SMALL($G$2:$G$1387,J1001)</f>
        <v>0.59387276067888</v>
      </c>
      <c r="L1001" s="18" t="n">
        <f aca="false">(J1001-0.5)/1386</f>
        <v>0.721139971139971</v>
      </c>
      <c r="M1001" s="18" t="n">
        <f aca="false">_xlfn.NORM.DIST(K1001,AVERAGE($G$2:$G$1387),_xlfn.STDEV.S($G$2:$G$1387),TRUE())</f>
        <v>0.724204998747976</v>
      </c>
    </row>
    <row r="1002" customFormat="false" ht="15" hidden="false" customHeight="false" outlineLevel="0" collapsed="false">
      <c r="A1002" s="0" t="n">
        <f aca="false">ROW()-1</f>
        <v>1001</v>
      </c>
      <c r="B1002" s="0" t="str">
        <f aca="false">'Analysis Data'!A1002</f>
        <v>Academy</v>
      </c>
      <c r="C1002" s="5" t="n">
        <f aca="false">'Analysis Data'!B1002</f>
        <v>40372</v>
      </c>
      <c r="D1002" s="6" t="n">
        <f aca="false">'Analysis Data'!C1002</f>
        <v>429.797765681415</v>
      </c>
      <c r="E1002" s="15" t="n">
        <f aca="false">SUMPRODUCT('Final Model'!$B$45:$I$45,'Analysis Data'!N1002:U1002)</f>
        <v>330.916732192385</v>
      </c>
      <c r="F1002" s="15" t="n">
        <f aca="false">D1002-E1002</f>
        <v>98.8810334890303</v>
      </c>
      <c r="G1002" s="13" t="n">
        <f aca="false">F1002/'Final Model'!$B$21</f>
        <v>2.01666242158787</v>
      </c>
      <c r="H1002" s="6" t="n">
        <f aca="false">F1002^2</f>
        <v>9777.45878385873</v>
      </c>
      <c r="J1002" s="6" t="n">
        <f aca="false">A1002</f>
        <v>1001</v>
      </c>
      <c r="K1002" s="13" t="n">
        <f aca="false">SMALL($G$2:$G$1387,J1002)</f>
        <v>0.594021872193128</v>
      </c>
      <c r="L1002" s="18" t="n">
        <f aca="false">(J1002-0.5)/1386</f>
        <v>0.721861471861472</v>
      </c>
      <c r="M1002" s="18" t="n">
        <f aca="false">_xlfn.NORM.DIST(K1002,AVERAGE($G$2:$G$1387),_xlfn.STDEV.S($G$2:$G$1387),TRUE())</f>
        <v>0.72425494795714</v>
      </c>
    </row>
    <row r="1003" customFormat="false" ht="15" hidden="false" customHeight="false" outlineLevel="0" collapsed="false">
      <c r="A1003" s="0" t="n">
        <f aca="false">ROW()-1</f>
        <v>1002</v>
      </c>
      <c r="B1003" s="0" t="str">
        <f aca="false">'Analysis Data'!A1003</f>
        <v>Belmar</v>
      </c>
      <c r="C1003" s="5" t="n">
        <f aca="false">'Analysis Data'!B1003</f>
        <v>40302</v>
      </c>
      <c r="D1003" s="6" t="n">
        <f aca="false">'Analysis Data'!C1003</f>
        <v>297.217085045607</v>
      </c>
      <c r="E1003" s="15" t="n">
        <f aca="false">SUMPRODUCT('Final Model'!$B$45:$I$45,'Analysis Data'!N1003:U1003)</f>
        <v>241.370606875872</v>
      </c>
      <c r="F1003" s="15" t="n">
        <f aca="false">D1003-E1003</f>
        <v>55.8464781697348</v>
      </c>
      <c r="G1003" s="13" t="n">
        <f aca="false">F1003/'Final Model'!$B$21</f>
        <v>1.13897974089668</v>
      </c>
      <c r="H1003" s="6" t="n">
        <f aca="false">F1003^2</f>
        <v>3118.82912396267</v>
      </c>
      <c r="J1003" s="6" t="n">
        <f aca="false">A1003</f>
        <v>1002</v>
      </c>
      <c r="K1003" s="13" t="n">
        <f aca="false">SMALL($G$2:$G$1387,J1003)</f>
        <v>0.595662755289371</v>
      </c>
      <c r="L1003" s="18" t="n">
        <f aca="false">(J1003-0.5)/1386</f>
        <v>0.722582972582973</v>
      </c>
      <c r="M1003" s="18" t="n">
        <f aca="false">_xlfn.NORM.DIST(K1003,AVERAGE($G$2:$G$1387),_xlfn.STDEV.S($G$2:$G$1387),TRUE())</f>
        <v>0.724804315295169</v>
      </c>
    </row>
    <row r="1004" customFormat="false" ht="15" hidden="false" customHeight="false" outlineLevel="0" collapsed="false">
      <c r="A1004" s="0" t="n">
        <f aca="false">ROW()-1</f>
        <v>1003</v>
      </c>
      <c r="B1004" s="0" t="str">
        <f aca="false">'Analysis Data'!A1004</f>
        <v>Belmar</v>
      </c>
      <c r="C1004" s="5" t="n">
        <f aca="false">'Analysis Data'!B1004</f>
        <v>40309</v>
      </c>
      <c r="D1004" s="6" t="n">
        <f aca="false">'Analysis Data'!C1004</f>
        <v>268.405566716801</v>
      </c>
      <c r="E1004" s="15" t="n">
        <f aca="false">SUMPRODUCT('Final Model'!$B$45:$I$45,'Analysis Data'!N1004:U1004)</f>
        <v>241.370606875872</v>
      </c>
      <c r="F1004" s="15" t="n">
        <f aca="false">D1004-E1004</f>
        <v>27.0349598409292</v>
      </c>
      <c r="G1004" s="13" t="n">
        <f aca="false">F1004/'Final Model'!$B$21</f>
        <v>0.551373561304733</v>
      </c>
      <c r="H1004" s="6" t="n">
        <f aca="false">F1004^2</f>
        <v>730.889053600656</v>
      </c>
      <c r="J1004" s="6" t="n">
        <f aca="false">A1004</f>
        <v>1003</v>
      </c>
      <c r="K1004" s="13" t="n">
        <f aca="false">SMALL($G$2:$G$1387,J1004)</f>
        <v>0.596724706579754</v>
      </c>
      <c r="L1004" s="18" t="n">
        <f aca="false">(J1004-0.5)/1386</f>
        <v>0.723304473304473</v>
      </c>
      <c r="M1004" s="18" t="n">
        <f aca="false">_xlfn.NORM.DIST(K1004,AVERAGE($G$2:$G$1387),_xlfn.STDEV.S($G$2:$G$1387),TRUE())</f>
        <v>0.725159568919117</v>
      </c>
    </row>
    <row r="1005" customFormat="false" ht="15" hidden="false" customHeight="false" outlineLevel="0" collapsed="false">
      <c r="A1005" s="0" t="n">
        <f aca="false">ROW()-1</f>
        <v>1004</v>
      </c>
      <c r="B1005" s="0" t="str">
        <f aca="false">'Analysis Data'!A1005</f>
        <v>Belmar</v>
      </c>
      <c r="C1005" s="5" t="n">
        <f aca="false">'Analysis Data'!B1005</f>
        <v>40316</v>
      </c>
      <c r="D1005" s="6" t="n">
        <f aca="false">'Analysis Data'!C1005</f>
        <v>206.027988501256</v>
      </c>
      <c r="E1005" s="15" t="n">
        <f aca="false">SUMPRODUCT('Final Model'!$B$45:$I$45,'Analysis Data'!N1005:U1005)</f>
        <v>245.875820312934</v>
      </c>
      <c r="F1005" s="15" t="n">
        <f aca="false">D1005-E1005</f>
        <v>-39.8478318116782</v>
      </c>
      <c r="G1005" s="13" t="n">
        <f aca="false">F1005/'Final Model'!$B$21</f>
        <v>-0.812689978662896</v>
      </c>
      <c r="H1005" s="6" t="n">
        <f aca="false">F1005^2</f>
        <v>1587.84970009179</v>
      </c>
      <c r="J1005" s="6" t="n">
        <f aca="false">A1005</f>
        <v>1004</v>
      </c>
      <c r="K1005" s="13" t="n">
        <f aca="false">SMALL($G$2:$G$1387,J1005)</f>
        <v>0.598152288486697</v>
      </c>
      <c r="L1005" s="18" t="n">
        <f aca="false">(J1005-0.5)/1386</f>
        <v>0.724025974025974</v>
      </c>
      <c r="M1005" s="18" t="n">
        <f aca="false">_xlfn.NORM.DIST(K1005,AVERAGE($G$2:$G$1387),_xlfn.STDEV.S($G$2:$G$1387),TRUE())</f>
        <v>0.725636780164874</v>
      </c>
    </row>
    <row r="1006" customFormat="false" ht="15" hidden="false" customHeight="false" outlineLevel="0" collapsed="false">
      <c r="A1006" s="0" t="n">
        <f aca="false">ROW()-1</f>
        <v>1005</v>
      </c>
      <c r="B1006" s="0" t="str">
        <f aca="false">'Analysis Data'!A1006</f>
        <v>Belmar</v>
      </c>
      <c r="C1006" s="5" t="n">
        <f aca="false">'Analysis Data'!B1006</f>
        <v>40323</v>
      </c>
      <c r="D1006" s="6" t="n">
        <f aca="false">'Analysis Data'!C1006</f>
        <v>201.967341536031</v>
      </c>
      <c r="E1006" s="15" t="n">
        <f aca="false">SUMPRODUCT('Final Model'!$B$45:$I$45,'Analysis Data'!N1006:U1006)</f>
        <v>245.875820312934</v>
      </c>
      <c r="F1006" s="15" t="n">
        <f aca="false">D1006-E1006</f>
        <v>-43.9084787769027</v>
      </c>
      <c r="G1006" s="13" t="n">
        <f aca="false">F1006/'Final Model'!$B$21</f>
        <v>-0.895506205932725</v>
      </c>
      <c r="H1006" s="6" t="n">
        <f aca="false">F1006^2</f>
        <v>1927.95450850171</v>
      </c>
      <c r="J1006" s="6" t="n">
        <f aca="false">A1006</f>
        <v>1005</v>
      </c>
      <c r="K1006" s="13" t="n">
        <f aca="false">SMALL($G$2:$G$1387,J1006)</f>
        <v>0.599165458201941</v>
      </c>
      <c r="L1006" s="18" t="n">
        <f aca="false">(J1006-0.5)/1386</f>
        <v>0.724747474747475</v>
      </c>
      <c r="M1006" s="18" t="n">
        <f aca="false">_xlfn.NORM.DIST(K1006,AVERAGE($G$2:$G$1387),_xlfn.STDEV.S($G$2:$G$1387),TRUE())</f>
        <v>0.725975213605061</v>
      </c>
    </row>
    <row r="1007" customFormat="false" ht="15" hidden="false" customHeight="false" outlineLevel="0" collapsed="false">
      <c r="A1007" s="0" t="n">
        <f aca="false">ROW()-1</f>
        <v>1006</v>
      </c>
      <c r="B1007" s="0" t="str">
        <f aca="false">'Analysis Data'!A1007</f>
        <v>Belmar</v>
      </c>
      <c r="C1007" s="5" t="n">
        <f aca="false">'Analysis Data'!B1007</f>
        <v>40330</v>
      </c>
      <c r="D1007" s="6" t="n">
        <f aca="false">'Analysis Data'!C1007</f>
        <v>239.726974587255</v>
      </c>
      <c r="E1007" s="15" t="n">
        <f aca="false">SUMPRODUCT('Final Model'!$B$45:$I$45,'Analysis Data'!N1007:U1007)</f>
        <v>251.30046504747</v>
      </c>
      <c r="F1007" s="15" t="n">
        <f aca="false">D1007-E1007</f>
        <v>-11.5734904602146</v>
      </c>
      <c r="G1007" s="13" t="n">
        <f aca="false">F1007/'Final Model'!$B$21</f>
        <v>-0.236039435209886</v>
      </c>
      <c r="H1007" s="6" t="n">
        <f aca="false">F1007^2</f>
        <v>133.945681432679</v>
      </c>
      <c r="J1007" s="6" t="n">
        <f aca="false">A1007</f>
        <v>1006</v>
      </c>
      <c r="K1007" s="13" t="n">
        <f aca="false">SMALL($G$2:$G$1387,J1007)</f>
        <v>0.599756298603263</v>
      </c>
      <c r="L1007" s="18" t="n">
        <f aca="false">(J1007-0.5)/1386</f>
        <v>0.725468975468976</v>
      </c>
      <c r="M1007" s="18" t="n">
        <f aca="false">_xlfn.NORM.DIST(K1007,AVERAGE($G$2:$G$1387),_xlfn.STDEV.S($G$2:$G$1387),TRUE())</f>
        <v>0.726172479290038</v>
      </c>
    </row>
    <row r="1008" customFormat="false" ht="15" hidden="false" customHeight="false" outlineLevel="0" collapsed="false">
      <c r="A1008" s="0" t="n">
        <f aca="false">ROW()-1</f>
        <v>1007</v>
      </c>
      <c r="B1008" s="0" t="str">
        <f aca="false">'Analysis Data'!A1008</f>
        <v>Belmar</v>
      </c>
      <c r="C1008" s="5" t="n">
        <f aca="false">'Analysis Data'!B1008</f>
        <v>40337</v>
      </c>
      <c r="D1008" s="6" t="n">
        <f aca="false">'Analysis Data'!C1008</f>
        <v>171.392818591553</v>
      </c>
      <c r="E1008" s="15" t="n">
        <f aca="false">SUMPRODUCT('Final Model'!$B$45:$I$45,'Analysis Data'!N1008:U1008)</f>
        <v>242.04957154227</v>
      </c>
      <c r="F1008" s="15" t="n">
        <f aca="false">D1008-E1008</f>
        <v>-70.6567529507176</v>
      </c>
      <c r="G1008" s="13" t="n">
        <f aca="false">F1008/'Final Model'!$B$21</f>
        <v>-1.44103286018888</v>
      </c>
      <c r="H1008" s="6" t="n">
        <f aca="false">F1008^2</f>
        <v>4992.37673753874</v>
      </c>
      <c r="J1008" s="6" t="n">
        <f aca="false">A1008</f>
        <v>1007</v>
      </c>
      <c r="K1008" s="13" t="n">
        <f aca="false">SMALL($G$2:$G$1387,J1008)</f>
        <v>0.601434282714508</v>
      </c>
      <c r="L1008" s="18" t="n">
        <f aca="false">(J1008-0.5)/1386</f>
        <v>0.726190476190476</v>
      </c>
      <c r="M1008" s="18" t="n">
        <f aca="false">_xlfn.NORM.DIST(K1008,AVERAGE($G$2:$G$1387),_xlfn.STDEV.S($G$2:$G$1387),TRUE())</f>
        <v>0.726732329775456</v>
      </c>
    </row>
    <row r="1009" customFormat="false" ht="15" hidden="false" customHeight="false" outlineLevel="0" collapsed="false">
      <c r="A1009" s="0" t="n">
        <f aca="false">ROW()-1</f>
        <v>1008</v>
      </c>
      <c r="B1009" s="0" t="str">
        <f aca="false">'Analysis Data'!A1009</f>
        <v>Belmar</v>
      </c>
      <c r="C1009" s="5" t="n">
        <f aca="false">'Analysis Data'!B1009</f>
        <v>40344</v>
      </c>
      <c r="D1009" s="6" t="n">
        <f aca="false">'Analysis Data'!C1009</f>
        <v>172.745594513119</v>
      </c>
      <c r="E1009" s="15" t="n">
        <f aca="false">SUMPRODUCT('Final Model'!$B$45:$I$45,'Analysis Data'!N1009:U1009)</f>
        <v>225.924160831165</v>
      </c>
      <c r="F1009" s="15" t="n">
        <f aca="false">D1009-E1009</f>
        <v>-53.1785663180451</v>
      </c>
      <c r="G1009" s="13" t="n">
        <f aca="false">F1009/'Final Model'!$B$21</f>
        <v>-1.0845681172964</v>
      </c>
      <c r="H1009" s="6" t="n">
        <f aca="false">F1009^2</f>
        <v>2827.95991564272</v>
      </c>
      <c r="J1009" s="6" t="n">
        <f aca="false">A1009</f>
        <v>1008</v>
      </c>
      <c r="K1009" s="13" t="n">
        <f aca="false">SMALL($G$2:$G$1387,J1009)</f>
        <v>0.604339787396852</v>
      </c>
      <c r="L1009" s="18" t="n">
        <f aca="false">(J1009-0.5)/1386</f>
        <v>0.726911976911977</v>
      </c>
      <c r="M1009" s="18" t="n">
        <f aca="false">_xlfn.NORM.DIST(K1009,AVERAGE($G$2:$G$1387),_xlfn.STDEV.S($G$2:$G$1387),TRUE())</f>
        <v>0.72770039312732</v>
      </c>
    </row>
    <row r="1010" customFormat="false" ht="15" hidden="false" customHeight="false" outlineLevel="0" collapsed="false">
      <c r="A1010" s="0" t="n">
        <f aca="false">ROW()-1</f>
        <v>1009</v>
      </c>
      <c r="B1010" s="0" t="str">
        <f aca="false">'Analysis Data'!A1010</f>
        <v>Belmar</v>
      </c>
      <c r="C1010" s="5" t="n">
        <f aca="false">'Analysis Data'!B1010</f>
        <v>40351</v>
      </c>
      <c r="D1010" s="6" t="n">
        <f aca="false">'Analysis Data'!C1010</f>
        <v>379.204127363105</v>
      </c>
      <c r="E1010" s="15" t="n">
        <f aca="false">SUMPRODUCT('Final Model'!$B$45:$I$45,'Analysis Data'!N1010:U1010)</f>
        <v>359.629329409558</v>
      </c>
      <c r="F1010" s="15" t="n">
        <f aca="false">D1010-E1010</f>
        <v>19.5747979535468</v>
      </c>
      <c r="G1010" s="13" t="n">
        <f aca="false">F1010/'Final Model'!$B$21</f>
        <v>0.399224786090775</v>
      </c>
      <c r="H1010" s="6" t="n">
        <f aca="false">F1010^2</f>
        <v>383.172714922178</v>
      </c>
      <c r="J1010" s="6" t="n">
        <f aca="false">A1010</f>
        <v>1009</v>
      </c>
      <c r="K1010" s="13" t="n">
        <f aca="false">SMALL($G$2:$G$1387,J1010)</f>
        <v>0.605556284235933</v>
      </c>
      <c r="L1010" s="18" t="n">
        <f aca="false">(J1010-0.5)/1386</f>
        <v>0.727633477633478</v>
      </c>
      <c r="M1010" s="18" t="n">
        <f aca="false">_xlfn.NORM.DIST(K1010,AVERAGE($G$2:$G$1387),_xlfn.STDEV.S($G$2:$G$1387),TRUE())</f>
        <v>0.728105201944797</v>
      </c>
    </row>
    <row r="1011" customFormat="false" ht="15" hidden="false" customHeight="false" outlineLevel="0" collapsed="false">
      <c r="A1011" s="0" t="n">
        <f aca="false">ROW()-1</f>
        <v>1010</v>
      </c>
      <c r="B1011" s="0" t="str">
        <f aca="false">'Analysis Data'!A1011</f>
        <v>Belmar</v>
      </c>
      <c r="C1011" s="5" t="n">
        <f aca="false">'Analysis Data'!B1011</f>
        <v>40358</v>
      </c>
      <c r="D1011" s="6" t="n">
        <f aca="false">'Analysis Data'!C1011</f>
        <v>346.149380281545</v>
      </c>
      <c r="E1011" s="15" t="n">
        <f aca="false">SUMPRODUCT('Final Model'!$B$45:$I$45,'Analysis Data'!N1011:U1011)</f>
        <v>305.638029147839</v>
      </c>
      <c r="F1011" s="15" t="n">
        <f aca="false">D1011-E1011</f>
        <v>40.5113511337057</v>
      </c>
      <c r="G1011" s="13" t="n">
        <f aca="false">F1011/'Final Model'!$B$21</f>
        <v>0.826222346150528</v>
      </c>
      <c r="H1011" s="6" t="n">
        <f aca="false">F1011^2</f>
        <v>1641.1695706784</v>
      </c>
      <c r="J1011" s="6" t="n">
        <f aca="false">A1011</f>
        <v>1010</v>
      </c>
      <c r="K1011" s="13" t="n">
        <f aca="false">SMALL($G$2:$G$1387,J1011)</f>
        <v>0.606922065272175</v>
      </c>
      <c r="L1011" s="18" t="n">
        <f aca="false">(J1011-0.5)/1386</f>
        <v>0.728354978354978</v>
      </c>
      <c r="M1011" s="18" t="n">
        <f aca="false">_xlfn.NORM.DIST(K1011,AVERAGE($G$2:$G$1387),_xlfn.STDEV.S($G$2:$G$1387),TRUE())</f>
        <v>0.72855933043696</v>
      </c>
    </row>
    <row r="1012" customFormat="false" ht="15" hidden="false" customHeight="false" outlineLevel="0" collapsed="false">
      <c r="A1012" s="0" t="n">
        <f aca="false">ROW()-1</f>
        <v>1011</v>
      </c>
      <c r="B1012" s="0" t="str">
        <f aca="false">'Analysis Data'!A1012</f>
        <v>Belmar</v>
      </c>
      <c r="C1012" s="5" t="n">
        <f aca="false">'Analysis Data'!B1012</f>
        <v>40365</v>
      </c>
      <c r="D1012" s="6" t="n">
        <f aca="false">'Analysis Data'!C1012</f>
        <v>371.485301537995</v>
      </c>
      <c r="E1012" s="15" t="n">
        <f aca="false">SUMPRODUCT('Final Model'!$B$45:$I$45,'Analysis Data'!N1012:U1012)</f>
        <v>330.234130218938</v>
      </c>
      <c r="F1012" s="15" t="n">
        <f aca="false">D1012-E1012</f>
        <v>41.2511713190567</v>
      </c>
      <c r="G1012" s="13" t="n">
        <f aca="false">F1012/'Final Model'!$B$21</f>
        <v>0.841310857201486</v>
      </c>
      <c r="H1012" s="6" t="n">
        <f aca="false">F1012^2</f>
        <v>1701.65913519416</v>
      </c>
      <c r="J1012" s="6" t="n">
        <f aca="false">A1012</f>
        <v>1011</v>
      </c>
      <c r="K1012" s="13" t="n">
        <f aca="false">SMALL($G$2:$G$1387,J1012)</f>
        <v>0.609013674118912</v>
      </c>
      <c r="L1012" s="18" t="n">
        <f aca="false">(J1012-0.5)/1386</f>
        <v>0.729076479076479</v>
      </c>
      <c r="M1012" s="18" t="n">
        <f aca="false">_xlfn.NORM.DIST(K1012,AVERAGE($G$2:$G$1387),_xlfn.STDEV.S($G$2:$G$1387),TRUE())</f>
        <v>0.729254066763079</v>
      </c>
    </row>
    <row r="1013" customFormat="false" ht="15" hidden="false" customHeight="false" outlineLevel="0" collapsed="false">
      <c r="A1013" s="0" t="n">
        <f aca="false">ROW()-1</f>
        <v>1012</v>
      </c>
      <c r="B1013" s="0" t="str">
        <f aca="false">'Analysis Data'!A1013</f>
        <v>Belmar</v>
      </c>
      <c r="C1013" s="5" t="n">
        <f aca="false">'Analysis Data'!B1013</f>
        <v>40372</v>
      </c>
      <c r="D1013" s="6" t="n">
        <f aca="false">'Analysis Data'!C1013</f>
        <v>302.607085168187</v>
      </c>
      <c r="E1013" s="15" t="n">
        <f aca="false">SUMPRODUCT('Final Model'!$B$45:$I$45,'Analysis Data'!N1013:U1013)</f>
        <v>324.559925552606</v>
      </c>
      <c r="F1013" s="15" t="n">
        <f aca="false">D1013-E1013</f>
        <v>-21.952840384419</v>
      </c>
      <c r="G1013" s="13" t="n">
        <f aca="false">F1013/'Final Model'!$B$21</f>
        <v>-0.447724570509123</v>
      </c>
      <c r="H1013" s="6" t="n">
        <f aca="false">F1013^2</f>
        <v>481.927200943775</v>
      </c>
      <c r="J1013" s="6" t="n">
        <f aca="false">A1013</f>
        <v>1012</v>
      </c>
      <c r="K1013" s="13" t="n">
        <f aca="false">SMALL($G$2:$G$1387,J1013)</f>
        <v>0.610716508171811</v>
      </c>
      <c r="L1013" s="18" t="n">
        <f aca="false">(J1013-0.5)/1386</f>
        <v>0.72979797979798</v>
      </c>
      <c r="M1013" s="18" t="n">
        <f aca="false">_xlfn.NORM.DIST(K1013,AVERAGE($G$2:$G$1387),_xlfn.STDEV.S($G$2:$G$1387),TRUE())</f>
        <v>0.72981901364245</v>
      </c>
    </row>
    <row r="1014" customFormat="false" ht="15" hidden="false" customHeight="false" outlineLevel="0" collapsed="false">
      <c r="A1014" s="0" t="n">
        <f aca="false">ROW()-1</f>
        <v>1013</v>
      </c>
      <c r="B1014" s="0" t="str">
        <f aca="false">'Analysis Data'!A1014</f>
        <v>Cerrillos (aka Santa Fe)</v>
      </c>
      <c r="C1014" s="5" t="n">
        <f aca="false">'Analysis Data'!B1014</f>
        <v>40302</v>
      </c>
      <c r="D1014" s="6" t="n">
        <f aca="false">'Analysis Data'!C1014</f>
        <v>145.783360792157</v>
      </c>
      <c r="E1014" s="15" t="n">
        <f aca="false">SUMPRODUCT('Final Model'!$B$45:$I$45,'Analysis Data'!N1014:U1014)</f>
        <v>217.097620234189</v>
      </c>
      <c r="F1014" s="15" t="n">
        <f aca="false">D1014-E1014</f>
        <v>-71.3142594420319</v>
      </c>
      <c r="G1014" s="13" t="n">
        <f aca="false">F1014/'Final Model'!$B$21</f>
        <v>-1.45444259698265</v>
      </c>
      <c r="H1014" s="6" t="n">
        <f aca="false">F1014^2</f>
        <v>5085.72359976544</v>
      </c>
      <c r="J1014" s="6" t="n">
        <f aca="false">A1014</f>
        <v>1013</v>
      </c>
      <c r="K1014" s="13" t="n">
        <f aca="false">SMALL($G$2:$G$1387,J1014)</f>
        <v>0.611375459531585</v>
      </c>
      <c r="L1014" s="18" t="n">
        <f aca="false">(J1014-0.5)/1386</f>
        <v>0.730519480519481</v>
      </c>
      <c r="M1014" s="18" t="n">
        <f aca="false">_xlfn.NORM.DIST(K1014,AVERAGE($G$2:$G$1387),_xlfn.STDEV.S($G$2:$G$1387),TRUE())</f>
        <v>0.730037474688314</v>
      </c>
    </row>
    <row r="1015" customFormat="false" ht="15" hidden="false" customHeight="false" outlineLevel="0" collapsed="false">
      <c r="A1015" s="0" t="n">
        <f aca="false">ROW()-1</f>
        <v>1014</v>
      </c>
      <c r="B1015" s="0" t="str">
        <f aca="false">'Analysis Data'!A1015</f>
        <v>Cerrillos (aka Santa Fe)</v>
      </c>
      <c r="C1015" s="5" t="n">
        <f aca="false">'Analysis Data'!B1015</f>
        <v>40309</v>
      </c>
      <c r="D1015" s="6" t="n">
        <f aca="false">'Analysis Data'!C1015</f>
        <v>309.052762469541</v>
      </c>
      <c r="E1015" s="15" t="n">
        <f aca="false">SUMPRODUCT('Final Model'!$B$45:$I$45,'Analysis Data'!N1015:U1015)</f>
        <v>225.293693636209</v>
      </c>
      <c r="F1015" s="15" t="n">
        <f aca="false">D1015-E1015</f>
        <v>83.7590688333322</v>
      </c>
      <c r="G1015" s="13" t="n">
        <f aca="false">F1015/'Final Model'!$B$21</f>
        <v>1.70825243854386</v>
      </c>
      <c r="H1015" s="6" t="n">
        <f aca="false">F1015^2</f>
        <v>7015.58161182688</v>
      </c>
      <c r="J1015" s="6" t="n">
        <f aca="false">A1015</f>
        <v>1014</v>
      </c>
      <c r="K1015" s="13" t="n">
        <f aca="false">SMALL($G$2:$G$1387,J1015)</f>
        <v>0.612591099997794</v>
      </c>
      <c r="L1015" s="18" t="n">
        <f aca="false">(J1015-0.5)/1386</f>
        <v>0.731240981240981</v>
      </c>
      <c r="M1015" s="18" t="n">
        <f aca="false">_xlfn.NORM.DIST(K1015,AVERAGE($G$2:$G$1387),_xlfn.STDEV.S($G$2:$G$1387),TRUE())</f>
        <v>0.730440261829506</v>
      </c>
    </row>
    <row r="1016" customFormat="false" ht="15" hidden="false" customHeight="false" outlineLevel="0" collapsed="false">
      <c r="A1016" s="0" t="n">
        <f aca="false">ROW()-1</f>
        <v>1015</v>
      </c>
      <c r="B1016" s="0" t="str">
        <f aca="false">'Analysis Data'!A1016</f>
        <v>Cerrillos (aka Santa Fe)</v>
      </c>
      <c r="C1016" s="5" t="n">
        <f aca="false">'Analysis Data'!B1016</f>
        <v>40316</v>
      </c>
      <c r="D1016" s="6" t="n">
        <f aca="false">'Analysis Data'!C1016</f>
        <v>154.597880847853</v>
      </c>
      <c r="E1016" s="15" t="n">
        <f aca="false">SUMPRODUCT('Final Model'!$B$45:$I$45,'Analysis Data'!N1016:U1016)</f>
        <v>220.959231745366</v>
      </c>
      <c r="F1016" s="15" t="n">
        <f aca="false">D1016-E1016</f>
        <v>-66.3613508975127</v>
      </c>
      <c r="G1016" s="13" t="n">
        <f aca="false">F1016/'Final Model'!$B$21</f>
        <v>-1.35342884149433</v>
      </c>
      <c r="H1016" s="6" t="n">
        <f aca="false">F1016^2</f>
        <v>4403.82889294281</v>
      </c>
      <c r="J1016" s="6" t="n">
        <f aca="false">A1016</f>
        <v>1015</v>
      </c>
      <c r="K1016" s="13" t="n">
        <f aca="false">SMALL($G$2:$G$1387,J1016)</f>
        <v>0.616020168727676</v>
      </c>
      <c r="L1016" s="18" t="n">
        <f aca="false">(J1016-0.5)/1386</f>
        <v>0.731962481962482</v>
      </c>
      <c r="M1016" s="18" t="n">
        <f aca="false">_xlfn.NORM.DIST(K1016,AVERAGE($G$2:$G$1387),_xlfn.STDEV.S($G$2:$G$1387),TRUE())</f>
        <v>0.731574815310742</v>
      </c>
    </row>
    <row r="1017" customFormat="false" ht="15" hidden="false" customHeight="false" outlineLevel="0" collapsed="false">
      <c r="A1017" s="0" t="n">
        <f aca="false">ROW()-1</f>
        <v>1016</v>
      </c>
      <c r="B1017" s="0" t="str">
        <f aca="false">'Analysis Data'!A1017</f>
        <v>Cerrillos (aka Santa Fe)</v>
      </c>
      <c r="C1017" s="5" t="n">
        <f aca="false">'Analysis Data'!B1017</f>
        <v>40323</v>
      </c>
      <c r="D1017" s="6" t="n">
        <f aca="false">'Analysis Data'!C1017</f>
        <v>247.725645613501</v>
      </c>
      <c r="E1017" s="15" t="n">
        <f aca="false">SUMPRODUCT('Final Model'!$B$45:$I$45,'Analysis Data'!N1017:U1017)</f>
        <v>228.31468223549</v>
      </c>
      <c r="F1017" s="15" t="n">
        <f aca="false">D1017-E1017</f>
        <v>19.4109633780109</v>
      </c>
      <c r="G1017" s="13" t="n">
        <f aca="false">F1017/'Final Model'!$B$21</f>
        <v>0.395883406857754</v>
      </c>
      <c r="H1017" s="6" t="n">
        <f aca="false">F1017^2</f>
        <v>376.785499262481</v>
      </c>
      <c r="J1017" s="6" t="n">
        <f aca="false">A1017</f>
        <v>1016</v>
      </c>
      <c r="K1017" s="13" t="n">
        <f aca="false">SMALL($G$2:$G$1387,J1017)</f>
        <v>0.617662487330696</v>
      </c>
      <c r="L1017" s="18" t="n">
        <f aca="false">(J1017-0.5)/1386</f>
        <v>0.732683982683983</v>
      </c>
      <c r="M1017" s="18" t="n">
        <f aca="false">_xlfn.NORM.DIST(K1017,AVERAGE($G$2:$G$1387),_xlfn.STDEV.S($G$2:$G$1387),TRUE())</f>
        <v>0.732117346813659</v>
      </c>
    </row>
    <row r="1018" customFormat="false" ht="15" hidden="false" customHeight="false" outlineLevel="0" collapsed="false">
      <c r="A1018" s="0" t="n">
        <f aca="false">ROW()-1</f>
        <v>1017</v>
      </c>
      <c r="B1018" s="0" t="str">
        <f aca="false">'Analysis Data'!A1018</f>
        <v>Cerrillos (aka Santa Fe)</v>
      </c>
      <c r="C1018" s="5" t="n">
        <f aca="false">'Analysis Data'!B1018</f>
        <v>40330</v>
      </c>
      <c r="D1018" s="6" t="n">
        <f aca="false">'Analysis Data'!C1018</f>
        <v>227.992363294727</v>
      </c>
      <c r="E1018" s="15" t="n">
        <f aca="false">SUMPRODUCT('Final Model'!$B$45:$I$45,'Analysis Data'!N1018:U1018)</f>
        <v>248.505393851072</v>
      </c>
      <c r="F1018" s="15" t="n">
        <f aca="false">D1018-E1018</f>
        <v>-20.5130305563455</v>
      </c>
      <c r="G1018" s="13" t="n">
        <f aca="false">F1018/'Final Model'!$B$21</f>
        <v>-0.418359885775819</v>
      </c>
      <c r="H1018" s="6" t="n">
        <f aca="false">F1018^2</f>
        <v>420.784422605562</v>
      </c>
      <c r="J1018" s="6" t="n">
        <f aca="false">A1018</f>
        <v>1017</v>
      </c>
      <c r="K1018" s="13" t="n">
        <f aca="false">SMALL($G$2:$G$1387,J1018)</f>
        <v>0.618415339085321</v>
      </c>
      <c r="L1018" s="18" t="n">
        <f aca="false">(J1018-0.5)/1386</f>
        <v>0.733405483405483</v>
      </c>
      <c r="M1018" s="18" t="n">
        <f aca="false">_xlfn.NORM.DIST(K1018,AVERAGE($G$2:$G$1387),_xlfn.STDEV.S($G$2:$G$1387),TRUE())</f>
        <v>0.732365862768016</v>
      </c>
    </row>
    <row r="1019" customFormat="false" ht="15" hidden="false" customHeight="false" outlineLevel="0" collapsed="false">
      <c r="A1019" s="0" t="n">
        <f aca="false">ROW()-1</f>
        <v>1018</v>
      </c>
      <c r="B1019" s="0" t="str">
        <f aca="false">'Analysis Data'!A1019</f>
        <v>Cerrillos (aka Santa Fe)</v>
      </c>
      <c r="C1019" s="5" t="n">
        <f aca="false">'Analysis Data'!B1019</f>
        <v>40337</v>
      </c>
      <c r="D1019" s="6" t="n">
        <f aca="false">'Analysis Data'!C1019</f>
        <v>226.596496846634</v>
      </c>
      <c r="E1019" s="15" t="n">
        <f aca="false">SUMPRODUCT('Final Model'!$B$45:$I$45,'Analysis Data'!N1019:U1019)</f>
        <v>247.820771151488</v>
      </c>
      <c r="F1019" s="15" t="n">
        <f aca="false">D1019-E1019</f>
        <v>-21.2242743048536</v>
      </c>
      <c r="G1019" s="13" t="n">
        <f aca="false">F1019/'Final Model'!$B$21</f>
        <v>-0.432865585095445</v>
      </c>
      <c r="H1019" s="6" t="n">
        <f aca="false">F1019^2</f>
        <v>450.46981976767</v>
      </c>
      <c r="J1019" s="6" t="n">
        <f aca="false">A1019</f>
        <v>1018</v>
      </c>
      <c r="K1019" s="13" t="n">
        <f aca="false">SMALL($G$2:$G$1387,J1019)</f>
        <v>0.620249148055647</v>
      </c>
      <c r="L1019" s="18" t="n">
        <f aca="false">(J1019-0.5)/1386</f>
        <v>0.734126984126984</v>
      </c>
      <c r="M1019" s="18" t="n">
        <f aca="false">_xlfn.NORM.DIST(K1019,AVERAGE($G$2:$G$1387),_xlfn.STDEV.S($G$2:$G$1387),TRUE())</f>
        <v>0.732970715431245</v>
      </c>
    </row>
    <row r="1020" customFormat="false" ht="15" hidden="false" customHeight="false" outlineLevel="0" collapsed="false">
      <c r="A1020" s="0" t="n">
        <f aca="false">ROW()-1</f>
        <v>1019</v>
      </c>
      <c r="B1020" s="0" t="str">
        <f aca="false">'Analysis Data'!A1020</f>
        <v>Cerrillos (aka Santa Fe)</v>
      </c>
      <c r="C1020" s="5" t="n">
        <f aca="false">'Analysis Data'!B1020</f>
        <v>40344</v>
      </c>
      <c r="D1020" s="6" t="n">
        <f aca="false">'Analysis Data'!C1020</f>
        <v>233.315210820971</v>
      </c>
      <c r="E1020" s="15" t="n">
        <f aca="false">SUMPRODUCT('Final Model'!$B$45:$I$45,'Analysis Data'!N1020:U1020)</f>
        <v>228.000993911508</v>
      </c>
      <c r="F1020" s="15" t="n">
        <f aca="false">D1020-E1020</f>
        <v>5.31421690946277</v>
      </c>
      <c r="G1020" s="13" t="n">
        <f aca="false">F1020/'Final Model'!$B$21</f>
        <v>0.108382580190865</v>
      </c>
      <c r="H1020" s="6" t="n">
        <f aca="false">F1020^2</f>
        <v>28.2409013608201</v>
      </c>
      <c r="J1020" s="6" t="n">
        <f aca="false">A1020</f>
        <v>1019</v>
      </c>
      <c r="K1020" s="13" t="n">
        <f aca="false">SMALL($G$2:$G$1387,J1020)</f>
        <v>0.626720747458077</v>
      </c>
      <c r="L1020" s="18" t="n">
        <f aca="false">(J1020-0.5)/1386</f>
        <v>0.734848484848485</v>
      </c>
      <c r="M1020" s="18" t="n">
        <f aca="false">_xlfn.NORM.DIST(K1020,AVERAGE($G$2:$G$1387),_xlfn.STDEV.S($G$2:$G$1387),TRUE())</f>
        <v>0.735099738184706</v>
      </c>
    </row>
    <row r="1021" customFormat="false" ht="15" hidden="false" customHeight="false" outlineLevel="0" collapsed="false">
      <c r="A1021" s="0" t="n">
        <f aca="false">ROW()-1</f>
        <v>1020</v>
      </c>
      <c r="B1021" s="0" t="str">
        <f aca="false">'Analysis Data'!A1021</f>
        <v>Cerrillos (aka Santa Fe)</v>
      </c>
      <c r="C1021" s="5" t="n">
        <f aca="false">'Analysis Data'!B1021</f>
        <v>40351</v>
      </c>
      <c r="D1021" s="6" t="n">
        <f aca="false">'Analysis Data'!C1021</f>
        <v>215.207226205082</v>
      </c>
      <c r="E1021" s="15" t="n">
        <f aca="false">SUMPRODUCT('Final Model'!$B$45:$I$45,'Analysis Data'!N1021:U1021)</f>
        <v>227.303307799442</v>
      </c>
      <c r="F1021" s="15" t="n">
        <f aca="false">D1021-E1021</f>
        <v>-12.0960815943598</v>
      </c>
      <c r="G1021" s="13" t="n">
        <f aca="false">F1021/'Final Model'!$B$21</f>
        <v>-0.246697595474791</v>
      </c>
      <c r="H1021" s="6" t="n">
        <f aca="false">F1021^2</f>
        <v>146.315189937409</v>
      </c>
      <c r="J1021" s="6" t="n">
        <f aca="false">A1021</f>
        <v>1020</v>
      </c>
      <c r="K1021" s="13" t="n">
        <f aca="false">SMALL($G$2:$G$1387,J1021)</f>
        <v>0.62732792372662</v>
      </c>
      <c r="L1021" s="18" t="n">
        <f aca="false">(J1021-0.5)/1386</f>
        <v>0.735569985569986</v>
      </c>
      <c r="M1021" s="18" t="n">
        <f aca="false">_xlfn.NORM.DIST(K1021,AVERAGE($G$2:$G$1387),_xlfn.STDEV.S($G$2:$G$1387),TRUE())</f>
        <v>0.735299043068812</v>
      </c>
    </row>
    <row r="1022" customFormat="false" ht="15" hidden="false" customHeight="false" outlineLevel="0" collapsed="false">
      <c r="A1022" s="0" t="n">
        <f aca="false">ROW()-1</f>
        <v>1021</v>
      </c>
      <c r="B1022" s="0" t="str">
        <f aca="false">'Analysis Data'!A1022</f>
        <v>Cerrillos (aka Santa Fe)</v>
      </c>
      <c r="C1022" s="5" t="n">
        <f aca="false">'Analysis Data'!B1022</f>
        <v>40358</v>
      </c>
      <c r="D1022" s="6" t="n">
        <f aca="false">'Analysis Data'!C1022</f>
        <v>233.414541175179</v>
      </c>
      <c r="E1022" s="15" t="n">
        <f aca="false">SUMPRODUCT('Final Model'!$B$45:$I$45,'Analysis Data'!N1022:U1022)</f>
        <v>240.782170828718</v>
      </c>
      <c r="F1022" s="15" t="n">
        <f aca="false">D1022-E1022</f>
        <v>-7.36762965353972</v>
      </c>
      <c r="G1022" s="13" t="n">
        <f aca="false">F1022/'Final Model'!$B$21</f>
        <v>-0.150261595517389</v>
      </c>
      <c r="H1022" s="6" t="n">
        <f aca="false">F1022^2</f>
        <v>54.2819667117179</v>
      </c>
      <c r="J1022" s="6" t="n">
        <f aca="false">A1022</f>
        <v>1021</v>
      </c>
      <c r="K1022" s="13" t="n">
        <f aca="false">SMALL($G$2:$G$1387,J1022)</f>
        <v>0.630837496747818</v>
      </c>
      <c r="L1022" s="18" t="n">
        <f aca="false">(J1022-0.5)/1386</f>
        <v>0.736291486291486</v>
      </c>
      <c r="M1022" s="18" t="n">
        <f aca="false">_xlfn.NORM.DIST(K1022,AVERAGE($G$2:$G$1387),_xlfn.STDEV.S($G$2:$G$1387),TRUE())</f>
        <v>0.736449559989032</v>
      </c>
    </row>
    <row r="1023" customFormat="false" ht="15" hidden="false" customHeight="false" outlineLevel="0" collapsed="false">
      <c r="A1023" s="0" t="n">
        <f aca="false">ROW()-1</f>
        <v>1022</v>
      </c>
      <c r="B1023" s="0" t="str">
        <f aca="false">'Analysis Data'!A1023</f>
        <v>Cerrillos (aka Santa Fe)</v>
      </c>
      <c r="C1023" s="5" t="n">
        <f aca="false">'Analysis Data'!B1023</f>
        <v>40365</v>
      </c>
      <c r="D1023" s="6" t="n">
        <f aca="false">'Analysis Data'!C1023</f>
        <v>297.117692315788</v>
      </c>
      <c r="E1023" s="15" t="n">
        <f aca="false">SUMPRODUCT('Final Model'!$B$45:$I$45,'Analysis Data'!N1023:U1023)</f>
        <v>245.092464834952</v>
      </c>
      <c r="F1023" s="15" t="n">
        <f aca="false">D1023-E1023</f>
        <v>52.0252274808353</v>
      </c>
      <c r="G1023" s="13" t="n">
        <f aca="false">F1023/'Final Model'!$B$21</f>
        <v>1.06104596132483</v>
      </c>
      <c r="H1023" s="6" t="n">
        <f aca="false">F1023^2</f>
        <v>2706.62429443266</v>
      </c>
      <c r="J1023" s="6" t="n">
        <f aca="false">A1023</f>
        <v>1022</v>
      </c>
      <c r="K1023" s="13" t="n">
        <f aca="false">SMALL($G$2:$G$1387,J1023)</f>
        <v>0.632087030779931</v>
      </c>
      <c r="L1023" s="18" t="n">
        <f aca="false">(J1023-0.5)/1386</f>
        <v>0.737012987012987</v>
      </c>
      <c r="M1023" s="18" t="n">
        <f aca="false">_xlfn.NORM.DIST(K1023,AVERAGE($G$2:$G$1387),_xlfn.STDEV.S($G$2:$G$1387),TRUE())</f>
        <v>0.736858568443055</v>
      </c>
    </row>
    <row r="1024" customFormat="false" ht="15" hidden="false" customHeight="false" outlineLevel="0" collapsed="false">
      <c r="A1024" s="0" t="n">
        <f aca="false">ROW()-1</f>
        <v>1023</v>
      </c>
      <c r="B1024" s="0" t="str">
        <f aca="false">'Analysis Data'!A1024</f>
        <v>Cerrillos (aka Santa Fe)</v>
      </c>
      <c r="C1024" s="5" t="n">
        <f aca="false">'Analysis Data'!B1024</f>
        <v>40372</v>
      </c>
      <c r="D1024" s="6" t="n">
        <f aca="false">'Analysis Data'!C1024</f>
        <v>258.462308843328</v>
      </c>
      <c r="E1024" s="15" t="n">
        <f aca="false">SUMPRODUCT('Final Model'!$B$45:$I$45,'Analysis Data'!N1024:U1024)</f>
        <v>232.75001888547</v>
      </c>
      <c r="F1024" s="15" t="n">
        <f aca="false">D1024-E1024</f>
        <v>25.7122899578578</v>
      </c>
      <c r="G1024" s="13" t="n">
        <f aca="false">F1024/'Final Model'!$B$21</f>
        <v>0.52439792649149</v>
      </c>
      <c r="H1024" s="6" t="n">
        <f aca="false">F1024^2</f>
        <v>661.121854876956</v>
      </c>
      <c r="J1024" s="6" t="n">
        <f aca="false">A1024</f>
        <v>1023</v>
      </c>
      <c r="K1024" s="13" t="n">
        <f aca="false">SMALL($G$2:$G$1387,J1024)</f>
        <v>0.633542997371947</v>
      </c>
      <c r="L1024" s="18" t="n">
        <f aca="false">(J1024-0.5)/1386</f>
        <v>0.737734487734488</v>
      </c>
      <c r="M1024" s="18" t="n">
        <f aca="false">_xlfn.NORM.DIST(K1024,AVERAGE($G$2:$G$1387),_xlfn.STDEV.S($G$2:$G$1387),TRUE())</f>
        <v>0.737334738779207</v>
      </c>
    </row>
    <row r="1025" customFormat="false" ht="15" hidden="false" customHeight="false" outlineLevel="0" collapsed="false">
      <c r="A1025" s="0" t="n">
        <f aca="false">ROW()-1</f>
        <v>1024</v>
      </c>
      <c r="B1025" s="0" t="str">
        <f aca="false">'Analysis Data'!A1025</f>
        <v>Fort Collins</v>
      </c>
      <c r="C1025" s="5" t="n">
        <f aca="false">'Analysis Data'!B1025</f>
        <v>40302</v>
      </c>
      <c r="D1025" s="6" t="n">
        <f aca="false">'Analysis Data'!C1025</f>
        <v>336.221332227382</v>
      </c>
      <c r="E1025" s="15" t="n">
        <f aca="false">SUMPRODUCT('Final Model'!$B$45:$I$45,'Analysis Data'!N1025:U1025)</f>
        <v>315.320761101093</v>
      </c>
      <c r="F1025" s="15" t="n">
        <f aca="false">D1025-E1025</f>
        <v>20.9005711262893</v>
      </c>
      <c r="G1025" s="13" t="n">
        <f aca="false">F1025/'Final Model'!$B$21</f>
        <v>0.426263711986668</v>
      </c>
      <c r="H1025" s="6" t="n">
        <f aca="false">F1025^2</f>
        <v>436.833873405077</v>
      </c>
      <c r="J1025" s="6" t="n">
        <f aca="false">A1025</f>
        <v>1024</v>
      </c>
      <c r="K1025" s="13" t="n">
        <f aca="false">SMALL($G$2:$G$1387,J1025)</f>
        <v>0.636273531046078</v>
      </c>
      <c r="L1025" s="18" t="n">
        <f aca="false">(J1025-0.5)/1386</f>
        <v>0.738455988455989</v>
      </c>
      <c r="M1025" s="18" t="n">
        <f aca="false">_xlfn.NORM.DIST(K1025,AVERAGE($G$2:$G$1387),_xlfn.STDEV.S($G$2:$G$1387),TRUE())</f>
        <v>0.738226562959819</v>
      </c>
    </row>
    <row r="1026" customFormat="false" ht="15" hidden="false" customHeight="false" outlineLevel="0" collapsed="false">
      <c r="A1026" s="0" t="n">
        <f aca="false">ROW()-1</f>
        <v>1025</v>
      </c>
      <c r="B1026" s="0" t="str">
        <f aca="false">'Analysis Data'!A1026</f>
        <v>Fort Collins</v>
      </c>
      <c r="C1026" s="5" t="n">
        <f aca="false">'Analysis Data'!B1026</f>
        <v>40309</v>
      </c>
      <c r="D1026" s="6" t="n">
        <f aca="false">'Analysis Data'!C1026</f>
        <v>364.174539041513</v>
      </c>
      <c r="E1026" s="15" t="n">
        <f aca="false">SUMPRODUCT('Final Model'!$B$45:$I$45,'Analysis Data'!N1026:U1026)</f>
        <v>310.773755340352</v>
      </c>
      <c r="F1026" s="15" t="n">
        <f aca="false">D1026-E1026</f>
        <v>53.4007837011615</v>
      </c>
      <c r="G1026" s="13" t="n">
        <f aca="false">F1026/'Final Model'!$B$21</f>
        <v>1.08910020429167</v>
      </c>
      <c r="H1026" s="6" t="n">
        <f aca="false">F1026^2</f>
        <v>2851.64369989824</v>
      </c>
      <c r="J1026" s="6" t="n">
        <f aca="false">A1026</f>
        <v>1025</v>
      </c>
      <c r="K1026" s="13" t="n">
        <f aca="false">SMALL($G$2:$G$1387,J1026)</f>
        <v>0.639681247028534</v>
      </c>
      <c r="L1026" s="18" t="n">
        <f aca="false">(J1026-0.5)/1386</f>
        <v>0.739177489177489</v>
      </c>
      <c r="M1026" s="18" t="n">
        <f aca="false">_xlfn.NORM.DIST(K1026,AVERAGE($G$2:$G$1387),_xlfn.STDEV.S($G$2:$G$1387),TRUE())</f>
        <v>0.739337379728599</v>
      </c>
    </row>
    <row r="1027" customFormat="false" ht="15" hidden="false" customHeight="false" outlineLevel="0" collapsed="false">
      <c r="A1027" s="0" t="n">
        <f aca="false">ROW()-1</f>
        <v>1026</v>
      </c>
      <c r="B1027" s="0" t="str">
        <f aca="false">'Analysis Data'!A1027</f>
        <v>Fort Collins</v>
      </c>
      <c r="C1027" s="5" t="n">
        <f aca="false">'Analysis Data'!B1027</f>
        <v>40316</v>
      </c>
      <c r="D1027" s="6" t="n">
        <f aca="false">'Analysis Data'!C1027</f>
        <v>291.194798828485</v>
      </c>
      <c r="E1027" s="15" t="n">
        <f aca="false">SUMPRODUCT('Final Model'!$B$45:$I$45,'Analysis Data'!N1027:U1027)</f>
        <v>333.627407763094</v>
      </c>
      <c r="F1027" s="15" t="n">
        <f aca="false">D1027-E1027</f>
        <v>-42.4326089346092</v>
      </c>
      <c r="G1027" s="13" t="n">
        <f aca="false">F1027/'Final Model'!$B$21</f>
        <v>-0.865406083137807</v>
      </c>
      <c r="H1027" s="6" t="n">
        <f aca="false">F1027^2</f>
        <v>1800.52630099747</v>
      </c>
      <c r="J1027" s="6" t="n">
        <f aca="false">A1027</f>
        <v>1026</v>
      </c>
      <c r="K1027" s="13" t="n">
        <f aca="false">SMALL($G$2:$G$1387,J1027)</f>
        <v>0.644155931795106</v>
      </c>
      <c r="L1027" s="18" t="n">
        <f aca="false">(J1027-0.5)/1386</f>
        <v>0.73989898989899</v>
      </c>
      <c r="M1027" s="18" t="n">
        <f aca="false">_xlfn.NORM.DIST(K1027,AVERAGE($G$2:$G$1387),_xlfn.STDEV.S($G$2:$G$1387),TRUE())</f>
        <v>0.740792304261992</v>
      </c>
    </row>
    <row r="1028" customFormat="false" ht="15" hidden="false" customHeight="false" outlineLevel="0" collapsed="false">
      <c r="A1028" s="0" t="n">
        <f aca="false">ROW()-1</f>
        <v>1027</v>
      </c>
      <c r="B1028" s="0" t="str">
        <f aca="false">'Analysis Data'!A1028</f>
        <v>Fort Collins</v>
      </c>
      <c r="C1028" s="5" t="n">
        <f aca="false">'Analysis Data'!B1028</f>
        <v>40323</v>
      </c>
      <c r="D1028" s="6" t="n">
        <f aca="false">'Analysis Data'!C1028</f>
        <v>279.629642512198</v>
      </c>
      <c r="E1028" s="15" t="n">
        <f aca="false">SUMPRODUCT('Final Model'!$B$45:$I$45,'Analysis Data'!N1028:U1028)</f>
        <v>305.828987955437</v>
      </c>
      <c r="F1028" s="15" t="n">
        <f aca="false">D1028-E1028</f>
        <v>-26.1993454432385</v>
      </c>
      <c r="G1028" s="13" t="n">
        <f aca="false">F1028/'Final Model'!$B$21</f>
        <v>-0.53433134304204</v>
      </c>
      <c r="H1028" s="6" t="n">
        <f aca="false">F1028^2</f>
        <v>686.405701654141</v>
      </c>
      <c r="J1028" s="6" t="n">
        <f aca="false">A1028</f>
        <v>1027</v>
      </c>
      <c r="K1028" s="13" t="n">
        <f aca="false">SMALL($G$2:$G$1387,J1028)</f>
        <v>0.644186521301054</v>
      </c>
      <c r="L1028" s="18" t="n">
        <f aca="false">(J1028-0.5)/1386</f>
        <v>0.740620490620491</v>
      </c>
      <c r="M1028" s="18" t="n">
        <f aca="false">_xlfn.NORM.DIST(K1028,AVERAGE($G$2:$G$1387),_xlfn.STDEV.S($G$2:$G$1387),TRUE())</f>
        <v>0.740802235843385</v>
      </c>
    </row>
    <row r="1029" customFormat="false" ht="15" hidden="false" customHeight="false" outlineLevel="0" collapsed="false">
      <c r="A1029" s="0" t="n">
        <f aca="false">ROW()-1</f>
        <v>1028</v>
      </c>
      <c r="B1029" s="0" t="str">
        <f aca="false">'Analysis Data'!A1029</f>
        <v>Fort Collins</v>
      </c>
      <c r="C1029" s="5" t="n">
        <f aca="false">'Analysis Data'!B1029</f>
        <v>40330</v>
      </c>
      <c r="D1029" s="6" t="n">
        <f aca="false">'Analysis Data'!C1029</f>
        <v>328.564645072214</v>
      </c>
      <c r="E1029" s="15" t="n">
        <f aca="false">SUMPRODUCT('Final Model'!$B$45:$I$45,'Analysis Data'!N1029:U1029)</f>
        <v>302.525097409985</v>
      </c>
      <c r="F1029" s="15" t="n">
        <f aca="false">D1029-E1029</f>
        <v>26.0395476622292</v>
      </c>
      <c r="G1029" s="13" t="n">
        <f aca="false">F1029/'Final Model'!$B$21</f>
        <v>0.531072293569723</v>
      </c>
      <c r="H1029" s="6" t="n">
        <f aca="false">F1029^2</f>
        <v>678.058042453507</v>
      </c>
      <c r="J1029" s="6" t="n">
        <f aca="false">A1029</f>
        <v>1028</v>
      </c>
      <c r="K1029" s="13" t="n">
        <f aca="false">SMALL($G$2:$G$1387,J1029)</f>
        <v>0.646270268134786</v>
      </c>
      <c r="L1029" s="18" t="n">
        <f aca="false">(J1029-0.5)/1386</f>
        <v>0.741341991341991</v>
      </c>
      <c r="M1029" s="18" t="n">
        <f aca="false">_xlfn.NORM.DIST(K1029,AVERAGE($G$2:$G$1387),_xlfn.STDEV.S($G$2:$G$1387),TRUE())</f>
        <v>0.741478308467718</v>
      </c>
    </row>
    <row r="1030" customFormat="false" ht="15" hidden="false" customHeight="false" outlineLevel="0" collapsed="false">
      <c r="A1030" s="0" t="n">
        <f aca="false">ROW()-1</f>
        <v>1029</v>
      </c>
      <c r="B1030" s="0" t="str">
        <f aca="false">'Analysis Data'!A1030</f>
        <v>Fort Collins</v>
      </c>
      <c r="C1030" s="5" t="n">
        <f aca="false">'Analysis Data'!B1030</f>
        <v>40337</v>
      </c>
      <c r="D1030" s="6" t="n">
        <f aca="false">'Analysis Data'!C1030</f>
        <v>329.402328188213</v>
      </c>
      <c r="E1030" s="15" t="n">
        <f aca="false">SUMPRODUCT('Final Model'!$B$45:$I$45,'Analysis Data'!N1030:U1030)</f>
        <v>305.638029147839</v>
      </c>
      <c r="F1030" s="15" t="n">
        <f aca="false">D1030-E1030</f>
        <v>23.7642990403733</v>
      </c>
      <c r="G1030" s="13" t="n">
        <f aca="false">F1030/'Final Model'!$B$21</f>
        <v>0.484668971986567</v>
      </c>
      <c r="H1030" s="6" t="n">
        <f aca="false">F1030^2</f>
        <v>564.741908880288</v>
      </c>
      <c r="J1030" s="6" t="n">
        <f aca="false">A1030</f>
        <v>1029</v>
      </c>
      <c r="K1030" s="13" t="n">
        <f aca="false">SMALL($G$2:$G$1387,J1030)</f>
        <v>0.64807009942789</v>
      </c>
      <c r="L1030" s="18" t="n">
        <f aca="false">(J1030-0.5)/1386</f>
        <v>0.742063492063492</v>
      </c>
      <c r="M1030" s="18" t="n">
        <f aca="false">_xlfn.NORM.DIST(K1030,AVERAGE($G$2:$G$1387),_xlfn.STDEV.S($G$2:$G$1387),TRUE())</f>
        <v>0.742061528583396</v>
      </c>
    </row>
    <row r="1031" customFormat="false" ht="15" hidden="false" customHeight="false" outlineLevel="0" collapsed="false">
      <c r="A1031" s="0" t="n">
        <f aca="false">ROW()-1</f>
        <v>1030</v>
      </c>
      <c r="B1031" s="0" t="str">
        <f aca="false">'Analysis Data'!A1031</f>
        <v>Fort Collins</v>
      </c>
      <c r="C1031" s="5" t="n">
        <f aca="false">'Analysis Data'!B1031</f>
        <v>40344</v>
      </c>
      <c r="D1031" s="6" t="n">
        <f aca="false">'Analysis Data'!C1031</f>
        <v>211.372934654636</v>
      </c>
      <c r="E1031" s="15" t="n">
        <f aca="false">SUMPRODUCT('Final Model'!$B$45:$I$45,'Analysis Data'!N1031:U1031)</f>
        <v>302.552957716868</v>
      </c>
      <c r="F1031" s="15" t="n">
        <f aca="false">D1031-E1031</f>
        <v>-91.1800230622318</v>
      </c>
      <c r="G1031" s="13" t="n">
        <f aca="false">F1031/'Final Model'!$B$21</f>
        <v>-1.85960158000895</v>
      </c>
      <c r="H1031" s="6" t="n">
        <f aca="false">F1031^2</f>
        <v>8313.79660562913</v>
      </c>
      <c r="J1031" s="6" t="n">
        <f aca="false">A1031</f>
        <v>1030</v>
      </c>
      <c r="K1031" s="13" t="n">
        <f aca="false">SMALL($G$2:$G$1387,J1031)</f>
        <v>0.649385236722789</v>
      </c>
      <c r="L1031" s="18" t="n">
        <f aca="false">(J1031-0.5)/1386</f>
        <v>0.742784992784993</v>
      </c>
      <c r="M1031" s="18" t="n">
        <f aca="false">_xlfn.NORM.DIST(K1031,AVERAGE($G$2:$G$1387),_xlfn.STDEV.S($G$2:$G$1387),TRUE())</f>
        <v>0.742487255689316</v>
      </c>
    </row>
    <row r="1032" customFormat="false" ht="15" hidden="false" customHeight="false" outlineLevel="0" collapsed="false">
      <c r="A1032" s="0" t="n">
        <f aca="false">ROW()-1</f>
        <v>1031</v>
      </c>
      <c r="B1032" s="0" t="str">
        <f aca="false">'Analysis Data'!A1032</f>
        <v>Fort Collins</v>
      </c>
      <c r="C1032" s="5" t="n">
        <f aca="false">'Analysis Data'!B1032</f>
        <v>40351</v>
      </c>
      <c r="D1032" s="6" t="n">
        <f aca="false">'Analysis Data'!C1032</f>
        <v>428.350160527556</v>
      </c>
      <c r="E1032" s="15" t="n">
        <f aca="false">SUMPRODUCT('Final Model'!$B$45:$I$45,'Analysis Data'!N1032:U1032)</f>
        <v>428.507088548586</v>
      </c>
      <c r="F1032" s="15" t="n">
        <f aca="false">D1032-E1032</f>
        <v>-0.156928021029785</v>
      </c>
      <c r="G1032" s="13" t="n">
        <f aca="false">F1032/'Final Model'!$B$21</f>
        <v>-0.00320052118933432</v>
      </c>
      <c r="H1032" s="6" t="n">
        <f aca="false">F1032^2</f>
        <v>0.0246264037843246</v>
      </c>
      <c r="J1032" s="6" t="n">
        <f aca="false">A1032</f>
        <v>1031</v>
      </c>
      <c r="K1032" s="13" t="n">
        <f aca="false">SMALL($G$2:$G$1387,J1032)</f>
        <v>0.655073391618115</v>
      </c>
      <c r="L1032" s="18" t="n">
        <f aca="false">(J1032-0.5)/1386</f>
        <v>0.743506493506494</v>
      </c>
      <c r="M1032" s="18" t="n">
        <f aca="false">_xlfn.NORM.DIST(K1032,AVERAGE($G$2:$G$1387),_xlfn.STDEV.S($G$2:$G$1387),TRUE())</f>
        <v>0.744324373750895</v>
      </c>
    </row>
    <row r="1033" customFormat="false" ht="15" hidden="false" customHeight="false" outlineLevel="0" collapsed="false">
      <c r="A1033" s="0" t="n">
        <f aca="false">ROW()-1</f>
        <v>1032</v>
      </c>
      <c r="B1033" s="0" t="str">
        <f aca="false">'Analysis Data'!A1033</f>
        <v>Fort Collins</v>
      </c>
      <c r="C1033" s="5" t="n">
        <f aca="false">'Analysis Data'!B1033</f>
        <v>40358</v>
      </c>
      <c r="D1033" s="6" t="n">
        <f aca="false">'Analysis Data'!C1033</f>
        <v>412.791784429063</v>
      </c>
      <c r="E1033" s="15" t="n">
        <f aca="false">SUMPRODUCT('Final Model'!$B$45:$I$45,'Analysis Data'!N1033:U1033)</f>
        <v>409.430156723048</v>
      </c>
      <c r="F1033" s="15" t="n">
        <f aca="false">D1033-E1033</f>
        <v>3.36162770601561</v>
      </c>
      <c r="G1033" s="13" t="n">
        <f aca="false">F1033/'Final Model'!$B$21</f>
        <v>0.0685598443997089</v>
      </c>
      <c r="H1033" s="6" t="n">
        <f aca="false">F1033^2</f>
        <v>11.3005408338518</v>
      </c>
      <c r="J1033" s="6" t="n">
        <f aca="false">A1033</f>
        <v>1032</v>
      </c>
      <c r="K1033" s="13" t="n">
        <f aca="false">SMALL($G$2:$G$1387,J1033)</f>
        <v>0.661164724540407</v>
      </c>
      <c r="L1033" s="18" t="n">
        <f aca="false">(J1033-0.5)/1386</f>
        <v>0.744227994227994</v>
      </c>
      <c r="M1033" s="18" t="n">
        <f aca="false">_xlfn.NORM.DIST(K1033,AVERAGE($G$2:$G$1387),_xlfn.STDEV.S($G$2:$G$1387),TRUE())</f>
        <v>0.746284091711349</v>
      </c>
    </row>
    <row r="1034" customFormat="false" ht="15" hidden="false" customHeight="false" outlineLevel="0" collapsed="false">
      <c r="A1034" s="0" t="n">
        <f aca="false">ROW()-1</f>
        <v>1033</v>
      </c>
      <c r="B1034" s="0" t="str">
        <f aca="false">'Analysis Data'!A1034</f>
        <v>Fort Collins</v>
      </c>
      <c r="C1034" s="5" t="n">
        <f aca="false">'Analysis Data'!B1034</f>
        <v>40365</v>
      </c>
      <c r="D1034" s="6" t="n">
        <f aca="false">'Analysis Data'!C1034</f>
        <v>328.221083027482</v>
      </c>
      <c r="E1034" s="15" t="n">
        <f aca="false">SUMPRODUCT('Final Model'!$B$45:$I$45,'Analysis Data'!N1034:U1034)</f>
        <v>315.681896809504</v>
      </c>
      <c r="F1034" s="15" t="n">
        <f aca="false">D1034-E1034</f>
        <v>12.5391862179778</v>
      </c>
      <c r="G1034" s="13" t="n">
        <f aca="false">F1034/'Final Model'!$B$21</f>
        <v>0.255734641425383</v>
      </c>
      <c r="H1034" s="6" t="n">
        <f aca="false">F1034^2</f>
        <v>157.231191009125</v>
      </c>
      <c r="J1034" s="6" t="n">
        <f aca="false">A1034</f>
        <v>1033</v>
      </c>
      <c r="K1034" s="13" t="n">
        <f aca="false">SMALL($G$2:$G$1387,J1034)</f>
        <v>0.663117058734374</v>
      </c>
      <c r="L1034" s="18" t="n">
        <f aca="false">(J1034-0.5)/1386</f>
        <v>0.744949494949495</v>
      </c>
      <c r="M1034" s="18" t="n">
        <f aca="false">_xlfn.NORM.DIST(K1034,AVERAGE($G$2:$G$1387),_xlfn.STDEV.S($G$2:$G$1387),TRUE())</f>
        <v>0.746910527930199</v>
      </c>
    </row>
    <row r="1035" customFormat="false" ht="15" hidden="false" customHeight="false" outlineLevel="0" collapsed="false">
      <c r="A1035" s="0" t="n">
        <f aca="false">ROW()-1</f>
        <v>1034</v>
      </c>
      <c r="B1035" s="0" t="str">
        <f aca="false">'Analysis Data'!A1035</f>
        <v>Fort Collins</v>
      </c>
      <c r="C1035" s="5" t="n">
        <f aca="false">'Analysis Data'!B1035</f>
        <v>40372</v>
      </c>
      <c r="D1035" s="6" t="n">
        <f aca="false">'Analysis Data'!C1035</f>
        <v>269.833989335756</v>
      </c>
      <c r="E1035" s="15" t="n">
        <f aca="false">SUMPRODUCT('Final Model'!$B$45:$I$45,'Analysis Data'!N1035:U1035)</f>
        <v>309.127270977582</v>
      </c>
      <c r="F1035" s="15" t="n">
        <f aca="false">D1035-E1035</f>
        <v>-39.2932816418259</v>
      </c>
      <c r="G1035" s="13" t="n">
        <f aca="false">F1035/'Final Model'!$B$21</f>
        <v>-0.801380019118932</v>
      </c>
      <c r="H1035" s="6" t="n">
        <f aca="false">F1035^2</f>
        <v>1543.96198218385</v>
      </c>
      <c r="J1035" s="6" t="n">
        <f aca="false">A1035</f>
        <v>1034</v>
      </c>
      <c r="K1035" s="13" t="n">
        <f aca="false">SMALL($G$2:$G$1387,J1035)</f>
        <v>0.664443631204453</v>
      </c>
      <c r="L1035" s="18" t="n">
        <f aca="false">(J1035-0.5)/1386</f>
        <v>0.745670995670996</v>
      </c>
      <c r="M1035" s="18" t="n">
        <f aca="false">_xlfn.NORM.DIST(K1035,AVERAGE($G$2:$G$1387),_xlfn.STDEV.S($G$2:$G$1387),TRUE())</f>
        <v>0.747335714237947</v>
      </c>
    </row>
    <row r="1036" customFormat="false" ht="15" hidden="false" customHeight="false" outlineLevel="0" collapsed="false">
      <c r="A1036" s="0" t="n">
        <f aca="false">ROW()-1</f>
        <v>1035</v>
      </c>
      <c r="B1036" s="0" t="str">
        <f aca="false">'Analysis Data'!A1036</f>
        <v>Highlands Ranch</v>
      </c>
      <c r="C1036" s="5" t="n">
        <f aca="false">'Analysis Data'!B1036</f>
        <v>40302</v>
      </c>
      <c r="D1036" s="6" t="n">
        <f aca="false">'Analysis Data'!C1036</f>
        <v>286.138291909528</v>
      </c>
      <c r="E1036" s="15" t="n">
        <f aca="false">SUMPRODUCT('Final Model'!$B$45:$I$45,'Analysis Data'!N1036:U1036)</f>
        <v>246.385686754499</v>
      </c>
      <c r="F1036" s="15" t="n">
        <f aca="false">D1036-E1036</f>
        <v>39.7526051550286</v>
      </c>
      <c r="G1036" s="13" t="n">
        <f aca="false">F1036/'Final Model'!$B$21</f>
        <v>0.810747846656155</v>
      </c>
      <c r="H1036" s="6" t="n">
        <f aca="false">F1036^2</f>
        <v>1580.26961661161</v>
      </c>
      <c r="J1036" s="6" t="n">
        <f aca="false">A1036</f>
        <v>1035</v>
      </c>
      <c r="K1036" s="13" t="n">
        <f aca="false">SMALL($G$2:$G$1387,J1036)</f>
        <v>0.664951998555366</v>
      </c>
      <c r="L1036" s="18" t="n">
        <f aca="false">(J1036-0.5)/1386</f>
        <v>0.746392496392496</v>
      </c>
      <c r="M1036" s="18" t="n">
        <f aca="false">_xlfn.NORM.DIST(K1036,AVERAGE($G$2:$G$1387),_xlfn.STDEV.S($G$2:$G$1387),TRUE())</f>
        <v>0.747498553807019</v>
      </c>
    </row>
    <row r="1037" customFormat="false" ht="15" hidden="false" customHeight="false" outlineLevel="0" collapsed="false">
      <c r="A1037" s="0" t="n">
        <f aca="false">ROW()-1</f>
        <v>1036</v>
      </c>
      <c r="B1037" s="0" t="str">
        <f aca="false">'Analysis Data'!A1037</f>
        <v>Highlands Ranch</v>
      </c>
      <c r="C1037" s="5" t="n">
        <f aca="false">'Analysis Data'!B1037</f>
        <v>40309</v>
      </c>
      <c r="D1037" s="6" t="n">
        <f aca="false">'Analysis Data'!C1037</f>
        <v>100.099760829136</v>
      </c>
      <c r="E1037" s="15" t="n">
        <f aca="false">SUMPRODUCT('Final Model'!$B$45:$I$45,'Analysis Data'!N1037:U1037)</f>
        <v>231.808521236504</v>
      </c>
      <c r="F1037" s="15" t="n">
        <f aca="false">D1037-E1037</f>
        <v>-131.708760407368</v>
      </c>
      <c r="G1037" s="13" t="n">
        <f aca="false">F1037/'Final Model'!$B$21</f>
        <v>-2.68617851508324</v>
      </c>
      <c r="H1037" s="6" t="n">
        <f aca="false">F1037^2</f>
        <v>17347.1975680455</v>
      </c>
      <c r="J1037" s="6" t="n">
        <f aca="false">A1037</f>
        <v>1036</v>
      </c>
      <c r="K1037" s="13" t="n">
        <f aca="false">SMALL($G$2:$G$1387,J1037)</f>
        <v>0.670950596842598</v>
      </c>
      <c r="L1037" s="18" t="n">
        <f aca="false">(J1037-0.5)/1386</f>
        <v>0.747113997113997</v>
      </c>
      <c r="M1037" s="18" t="n">
        <f aca="false">_xlfn.NORM.DIST(K1037,AVERAGE($G$2:$G$1387),_xlfn.STDEV.S($G$2:$G$1387),TRUE())</f>
        <v>0.749415833336206</v>
      </c>
    </row>
    <row r="1038" customFormat="false" ht="15" hidden="false" customHeight="false" outlineLevel="0" collapsed="false">
      <c r="A1038" s="0" t="n">
        <f aca="false">ROW()-1</f>
        <v>1037</v>
      </c>
      <c r="B1038" s="0" t="str">
        <f aca="false">'Analysis Data'!A1038</f>
        <v>Highlands Ranch</v>
      </c>
      <c r="C1038" s="5" t="n">
        <f aca="false">'Analysis Data'!B1038</f>
        <v>40316</v>
      </c>
      <c r="D1038" s="6" t="n">
        <f aca="false">'Analysis Data'!C1038</f>
        <v>202.211777814886</v>
      </c>
      <c r="E1038" s="15" t="n">
        <f aca="false">SUMPRODUCT('Final Model'!$B$45:$I$45,'Analysis Data'!N1038:U1038)</f>
        <v>245.683575566637</v>
      </c>
      <c r="F1038" s="15" t="n">
        <f aca="false">D1038-E1038</f>
        <v>-43.4717977517508</v>
      </c>
      <c r="G1038" s="13" t="n">
        <f aca="false">F1038/'Final Model'!$B$21</f>
        <v>-0.886600168216787</v>
      </c>
      <c r="H1038" s="6" t="n">
        <f aca="false">F1038^2</f>
        <v>1889.79719976913</v>
      </c>
      <c r="J1038" s="6" t="n">
        <f aca="false">A1038</f>
        <v>1037</v>
      </c>
      <c r="K1038" s="13" t="n">
        <f aca="false">SMALL($G$2:$G$1387,J1038)</f>
        <v>0.674110142039309</v>
      </c>
      <c r="L1038" s="18" t="n">
        <f aca="false">(J1038-0.5)/1386</f>
        <v>0.747835497835498</v>
      </c>
      <c r="M1038" s="18" t="n">
        <f aca="false">_xlfn.NORM.DIST(K1038,AVERAGE($G$2:$G$1387),_xlfn.STDEV.S($G$2:$G$1387),TRUE())</f>
        <v>0.750422581473273</v>
      </c>
    </row>
    <row r="1039" customFormat="false" ht="15" hidden="false" customHeight="false" outlineLevel="0" collapsed="false">
      <c r="A1039" s="0" t="n">
        <f aca="false">ROW()-1</f>
        <v>1038</v>
      </c>
      <c r="B1039" s="0" t="str">
        <f aca="false">'Analysis Data'!A1039</f>
        <v>Highlands Ranch</v>
      </c>
      <c r="C1039" s="5" t="n">
        <f aca="false">'Analysis Data'!B1039</f>
        <v>40323</v>
      </c>
      <c r="D1039" s="6" t="n">
        <f aca="false">'Analysis Data'!C1039</f>
        <v>277.051843529044</v>
      </c>
      <c r="E1039" s="15" t="n">
        <f aca="false">SUMPRODUCT('Final Model'!$B$45:$I$45,'Analysis Data'!N1039:U1039)</f>
        <v>353.238684770022</v>
      </c>
      <c r="F1039" s="15" t="n">
        <f aca="false">D1039-E1039</f>
        <v>-76.1868412409777</v>
      </c>
      <c r="G1039" s="13" t="n">
        <f aca="false">F1039/'Final Model'!$B$21</f>
        <v>-1.55381810170103</v>
      </c>
      <c r="H1039" s="6" t="n">
        <f aca="false">F1039^2</f>
        <v>5804.43477827795</v>
      </c>
      <c r="J1039" s="6" t="n">
        <f aca="false">A1039</f>
        <v>1038</v>
      </c>
      <c r="K1039" s="13" t="n">
        <f aca="false">SMALL($G$2:$G$1387,J1039)</f>
        <v>0.674718328849047</v>
      </c>
      <c r="L1039" s="18" t="n">
        <f aca="false">(J1039-0.5)/1386</f>
        <v>0.748556998556999</v>
      </c>
      <c r="M1039" s="18" t="n">
        <f aca="false">_xlfn.NORM.DIST(K1039,AVERAGE($G$2:$G$1387),_xlfn.STDEV.S($G$2:$G$1387),TRUE())</f>
        <v>0.750616125402064</v>
      </c>
    </row>
    <row r="1040" customFormat="false" ht="15" hidden="false" customHeight="false" outlineLevel="0" collapsed="false">
      <c r="A1040" s="0" t="n">
        <f aca="false">ROW()-1</f>
        <v>1039</v>
      </c>
      <c r="B1040" s="0" t="str">
        <f aca="false">'Analysis Data'!A1040</f>
        <v>Highlands Ranch</v>
      </c>
      <c r="C1040" s="5" t="n">
        <f aca="false">'Analysis Data'!B1040</f>
        <v>40330</v>
      </c>
      <c r="D1040" s="6" t="n">
        <f aca="false">'Analysis Data'!C1040</f>
        <v>432.890252583771</v>
      </c>
      <c r="E1040" s="15" t="n">
        <f aca="false">SUMPRODUCT('Final Model'!$B$45:$I$45,'Analysis Data'!N1040:U1040)</f>
        <v>431.422953717868</v>
      </c>
      <c r="F1040" s="15" t="n">
        <f aca="false">D1040-E1040</f>
        <v>1.4672988659035</v>
      </c>
      <c r="G1040" s="13" t="n">
        <f aca="false">F1040/'Final Model'!$B$21</f>
        <v>0.0299253191405444</v>
      </c>
      <c r="H1040" s="6" t="n">
        <f aca="false">F1040^2</f>
        <v>2.1529659618817</v>
      </c>
      <c r="J1040" s="6" t="n">
        <f aca="false">A1040</f>
        <v>1039</v>
      </c>
      <c r="K1040" s="13" t="n">
        <f aca="false">SMALL($G$2:$G$1387,J1040)</f>
        <v>0.677044756480887</v>
      </c>
      <c r="L1040" s="18" t="n">
        <f aca="false">(J1040-0.5)/1386</f>
        <v>0.749278499278499</v>
      </c>
      <c r="M1040" s="18" t="n">
        <f aca="false">_xlfn.NORM.DIST(K1040,AVERAGE($G$2:$G$1387),_xlfn.STDEV.S($G$2:$G$1387),TRUE())</f>
        <v>0.751355730054632</v>
      </c>
    </row>
    <row r="1041" customFormat="false" ht="15" hidden="false" customHeight="false" outlineLevel="0" collapsed="false">
      <c r="A1041" s="0" t="n">
        <f aca="false">ROW()-1</f>
        <v>1040</v>
      </c>
      <c r="B1041" s="0" t="str">
        <f aca="false">'Analysis Data'!A1041</f>
        <v>Highlands Ranch</v>
      </c>
      <c r="C1041" s="5" t="n">
        <f aca="false">'Analysis Data'!B1041</f>
        <v>40337</v>
      </c>
      <c r="D1041" s="6" t="n">
        <f aca="false">'Analysis Data'!C1041</f>
        <v>427.792626135055</v>
      </c>
      <c r="E1041" s="15" t="n">
        <f aca="false">SUMPRODUCT('Final Model'!$B$45:$I$45,'Analysis Data'!N1041:U1041)</f>
        <v>402.142602697356</v>
      </c>
      <c r="F1041" s="15" t="n">
        <f aca="false">D1041-E1041</f>
        <v>25.6500234376983</v>
      </c>
      <c r="G1041" s="13" t="n">
        <f aca="false">F1041/'Final Model'!$B$21</f>
        <v>0.523128011049692</v>
      </c>
      <c r="H1041" s="6" t="n">
        <f aca="false">F1041^2</f>
        <v>657.923702354474</v>
      </c>
      <c r="J1041" s="6" t="n">
        <f aca="false">A1041</f>
        <v>1040</v>
      </c>
      <c r="K1041" s="13" t="n">
        <f aca="false">SMALL($G$2:$G$1387,J1041)</f>
        <v>0.678677488029875</v>
      </c>
      <c r="L1041" s="18" t="n">
        <f aca="false">(J1041-0.5)/1386</f>
        <v>0.75</v>
      </c>
      <c r="M1041" s="18" t="n">
        <f aca="false">_xlfn.NORM.DIST(K1041,AVERAGE($G$2:$G$1387),_xlfn.STDEV.S($G$2:$G$1387),TRUE())</f>
        <v>0.75187410024943</v>
      </c>
    </row>
    <row r="1042" customFormat="false" ht="15" hidden="false" customHeight="false" outlineLevel="0" collapsed="false">
      <c r="A1042" s="0" t="n">
        <f aca="false">ROW()-1</f>
        <v>1041</v>
      </c>
      <c r="B1042" s="0" t="str">
        <f aca="false">'Analysis Data'!A1042</f>
        <v>Highlands Ranch</v>
      </c>
      <c r="C1042" s="5" t="n">
        <f aca="false">'Analysis Data'!B1042</f>
        <v>40344</v>
      </c>
      <c r="D1042" s="6" t="n">
        <f aca="false">'Analysis Data'!C1042</f>
        <v>241.046743930231</v>
      </c>
      <c r="E1042" s="15" t="n">
        <f aca="false">SUMPRODUCT('Final Model'!$B$45:$I$45,'Analysis Data'!N1042:U1042)</f>
        <v>320.036323496656</v>
      </c>
      <c r="F1042" s="15" t="n">
        <f aca="false">D1042-E1042</f>
        <v>-78.9895795664251</v>
      </c>
      <c r="G1042" s="13" t="n">
        <f aca="false">F1042/'Final Model'!$B$21</f>
        <v>-1.6109794890676</v>
      </c>
      <c r="H1042" s="6" t="n">
        <f aca="false">F1042^2</f>
        <v>6239.3536800806</v>
      </c>
      <c r="J1042" s="6" t="n">
        <f aca="false">A1042</f>
        <v>1041</v>
      </c>
      <c r="K1042" s="13" t="n">
        <f aca="false">SMALL($G$2:$G$1387,J1042)</f>
        <v>0.680042461615823</v>
      </c>
      <c r="L1042" s="18" t="n">
        <f aca="false">(J1042-0.5)/1386</f>
        <v>0.750721500721501</v>
      </c>
      <c r="M1042" s="18" t="n">
        <f aca="false">_xlfn.NORM.DIST(K1042,AVERAGE($G$2:$G$1387),_xlfn.STDEV.S($G$2:$G$1387),TRUE())</f>
        <v>0.752307018118559</v>
      </c>
    </row>
    <row r="1043" customFormat="false" ht="15" hidden="false" customHeight="false" outlineLevel="0" collapsed="false">
      <c r="A1043" s="0" t="n">
        <f aca="false">ROW()-1</f>
        <v>1042</v>
      </c>
      <c r="B1043" s="0" t="str">
        <f aca="false">'Analysis Data'!A1043</f>
        <v>Highlands Ranch</v>
      </c>
      <c r="C1043" s="5" t="n">
        <f aca="false">'Analysis Data'!B1043</f>
        <v>40351</v>
      </c>
      <c r="D1043" s="6" t="n">
        <f aca="false">'Analysis Data'!C1043</f>
        <v>556.55004166699</v>
      </c>
      <c r="E1043" s="15" t="n">
        <f aca="false">SUMPRODUCT('Final Model'!$B$45:$I$45,'Analysis Data'!N1043:U1043)</f>
        <v>505.720305765053</v>
      </c>
      <c r="F1043" s="15" t="n">
        <f aca="false">D1043-E1043</f>
        <v>50.8297359019365</v>
      </c>
      <c r="G1043" s="13" t="n">
        <f aca="false">F1043/'Final Model'!$B$21</f>
        <v>1.03666410711659</v>
      </c>
      <c r="H1043" s="6" t="n">
        <f aca="false">F1043^2</f>
        <v>2583.66205186061</v>
      </c>
      <c r="J1043" s="6" t="n">
        <f aca="false">A1043</f>
        <v>1042</v>
      </c>
      <c r="K1043" s="13" t="n">
        <f aca="false">SMALL($G$2:$G$1387,J1043)</f>
        <v>0.681795984328043</v>
      </c>
      <c r="L1043" s="18" t="n">
        <f aca="false">(J1043-0.5)/1386</f>
        <v>0.751443001443002</v>
      </c>
      <c r="M1043" s="18" t="n">
        <f aca="false">_xlfn.NORM.DIST(K1043,AVERAGE($G$2:$G$1387),_xlfn.STDEV.S($G$2:$G$1387),TRUE())</f>
        <v>0.752862576542033</v>
      </c>
    </row>
    <row r="1044" customFormat="false" ht="15" hidden="false" customHeight="false" outlineLevel="0" collapsed="false">
      <c r="A1044" s="0" t="n">
        <f aca="false">ROW()-1</f>
        <v>1043</v>
      </c>
      <c r="B1044" s="0" t="str">
        <f aca="false">'Analysis Data'!A1044</f>
        <v>Highlands Ranch</v>
      </c>
      <c r="C1044" s="5" t="n">
        <f aca="false">'Analysis Data'!B1044</f>
        <v>40358</v>
      </c>
      <c r="D1044" s="6" t="n">
        <f aca="false">'Analysis Data'!C1044</f>
        <v>309.999666291099</v>
      </c>
      <c r="E1044" s="15" t="n">
        <f aca="false">SUMPRODUCT('Final Model'!$B$45:$I$45,'Analysis Data'!N1044:U1044)</f>
        <v>398.967609357254</v>
      </c>
      <c r="F1044" s="15" t="n">
        <f aca="false">D1044-E1044</f>
        <v>-88.9679430661552</v>
      </c>
      <c r="G1044" s="13" t="n">
        <f aca="false">F1044/'Final Model'!$B$21</f>
        <v>-1.8144865721634</v>
      </c>
      <c r="H1044" s="6" t="n">
        <f aca="false">F1044^2</f>
        <v>7915.29489342264</v>
      </c>
      <c r="J1044" s="6" t="n">
        <f aca="false">A1044</f>
        <v>1043</v>
      </c>
      <c r="K1044" s="13" t="n">
        <f aca="false">SMALL($G$2:$G$1387,J1044)</f>
        <v>0.68212281184761</v>
      </c>
      <c r="L1044" s="18" t="n">
        <f aca="false">(J1044-0.5)/1386</f>
        <v>0.752164502164502</v>
      </c>
      <c r="M1044" s="18" t="n">
        <f aca="false">_xlfn.NORM.DIST(K1044,AVERAGE($G$2:$G$1387),_xlfn.STDEV.S($G$2:$G$1387),TRUE())</f>
        <v>0.752966049672756</v>
      </c>
    </row>
    <row r="1045" customFormat="false" ht="15" hidden="false" customHeight="false" outlineLevel="0" collapsed="false">
      <c r="A1045" s="0" t="n">
        <f aca="false">ROW()-1</f>
        <v>1044</v>
      </c>
      <c r="B1045" s="0" t="str">
        <f aca="false">'Analysis Data'!A1045</f>
        <v>Highlands Ranch</v>
      </c>
      <c r="C1045" s="5" t="n">
        <f aca="false">'Analysis Data'!B1045</f>
        <v>40365</v>
      </c>
      <c r="D1045" s="6" t="n">
        <f aca="false">'Analysis Data'!C1045</f>
        <v>409.7356779298</v>
      </c>
      <c r="E1045" s="15" t="n">
        <f aca="false">SUMPRODUCT('Final Model'!$B$45:$I$45,'Analysis Data'!N1045:U1045)</f>
        <v>385.887840148445</v>
      </c>
      <c r="F1045" s="15" t="n">
        <f aca="false">D1045-E1045</f>
        <v>23.8478377813556</v>
      </c>
      <c r="G1045" s="13" t="n">
        <f aca="false">F1045/'Final Model'!$B$21</f>
        <v>0.486372730874812</v>
      </c>
      <c r="H1045" s="6" t="n">
        <f aca="false">F1045^2</f>
        <v>568.719366845853</v>
      </c>
      <c r="J1045" s="6" t="n">
        <f aca="false">A1045</f>
        <v>1044</v>
      </c>
      <c r="K1045" s="13" t="n">
        <f aca="false">SMALL($G$2:$G$1387,J1045)</f>
        <v>0.683616685772229</v>
      </c>
      <c r="L1045" s="18" t="n">
        <f aca="false">(J1045-0.5)/1386</f>
        <v>0.752886002886003</v>
      </c>
      <c r="M1045" s="18" t="n">
        <f aca="false">_xlfn.NORM.DIST(K1045,AVERAGE($G$2:$G$1387),_xlfn.STDEV.S($G$2:$G$1387),TRUE())</f>
        <v>0.753438712803924</v>
      </c>
    </row>
    <row r="1046" customFormat="false" ht="15" hidden="false" customHeight="false" outlineLevel="0" collapsed="false">
      <c r="A1046" s="0" t="n">
        <f aca="false">ROW()-1</f>
        <v>1045</v>
      </c>
      <c r="B1046" s="0" t="str">
        <f aca="false">'Analysis Data'!A1046</f>
        <v>Highlands Ranch</v>
      </c>
      <c r="C1046" s="5" t="n">
        <f aca="false">'Analysis Data'!B1046</f>
        <v>40372</v>
      </c>
      <c r="D1046" s="6" t="n">
        <f aca="false">'Analysis Data'!C1046</f>
        <v>347.358257893989</v>
      </c>
      <c r="E1046" s="15" t="n">
        <f aca="false">SUMPRODUCT('Final Model'!$B$45:$I$45,'Analysis Data'!N1046:U1046)</f>
        <v>388.748059599662</v>
      </c>
      <c r="F1046" s="15" t="n">
        <f aca="false">D1046-E1046</f>
        <v>-41.3898017056728</v>
      </c>
      <c r="G1046" s="13" t="n">
        <f aca="false">F1046/'Final Model'!$B$21</f>
        <v>-0.844138201145156</v>
      </c>
      <c r="H1046" s="6" t="n">
        <f aca="false">F1046^2</f>
        <v>1713.11568523492</v>
      </c>
      <c r="J1046" s="6" t="n">
        <f aca="false">A1046</f>
        <v>1045</v>
      </c>
      <c r="K1046" s="13" t="n">
        <f aca="false">SMALL($G$2:$G$1387,J1046)</f>
        <v>0.68449807719249</v>
      </c>
      <c r="L1046" s="18" t="n">
        <f aca="false">(J1046-0.5)/1386</f>
        <v>0.753607503607504</v>
      </c>
      <c r="M1046" s="18" t="n">
        <f aca="false">_xlfn.NORM.DIST(K1046,AVERAGE($G$2:$G$1387),_xlfn.STDEV.S($G$2:$G$1387),TRUE())</f>
        <v>0.753717358477568</v>
      </c>
    </row>
    <row r="1047" customFormat="false" ht="15" hidden="false" customHeight="false" outlineLevel="0" collapsed="false">
      <c r="A1047" s="0" t="n">
        <f aca="false">ROW()-1</f>
        <v>1046</v>
      </c>
      <c r="B1047" s="0" t="str">
        <f aca="false">'Analysis Data'!A1047</f>
        <v>Metcalf</v>
      </c>
      <c r="C1047" s="5" t="n">
        <f aca="false">'Analysis Data'!B1047</f>
        <v>40302</v>
      </c>
      <c r="D1047" s="6" t="n">
        <f aca="false">'Analysis Data'!C1047</f>
        <v>305.04944445265</v>
      </c>
      <c r="E1047" s="15" t="n">
        <f aca="false">SUMPRODUCT('Final Model'!$B$45:$I$45,'Analysis Data'!N1047:U1047)</f>
        <v>239.163971726628</v>
      </c>
      <c r="F1047" s="15" t="n">
        <f aca="false">D1047-E1047</f>
        <v>65.8854727260215</v>
      </c>
      <c r="G1047" s="13" t="n">
        <f aca="false">F1047/'Final Model'!$B$21</f>
        <v>1.34372338442296</v>
      </c>
      <c r="H1047" s="6" t="n">
        <f aca="false">F1047^2</f>
        <v>4340.89551633132</v>
      </c>
      <c r="J1047" s="6" t="n">
        <f aca="false">A1047</f>
        <v>1046</v>
      </c>
      <c r="K1047" s="13" t="n">
        <f aca="false">SMALL($G$2:$G$1387,J1047)</f>
        <v>0.685397177324365</v>
      </c>
      <c r="L1047" s="18" t="n">
        <f aca="false">(J1047-0.5)/1386</f>
        <v>0.754329004329004</v>
      </c>
      <c r="M1047" s="18" t="n">
        <f aca="false">_xlfn.NORM.DIST(K1047,AVERAGE($G$2:$G$1387),_xlfn.STDEV.S($G$2:$G$1387),TRUE())</f>
        <v>0.754001428597157</v>
      </c>
    </row>
    <row r="1048" customFormat="false" ht="15" hidden="false" customHeight="false" outlineLevel="0" collapsed="false">
      <c r="A1048" s="0" t="n">
        <f aca="false">ROW()-1</f>
        <v>1047</v>
      </c>
      <c r="B1048" s="0" t="str">
        <f aca="false">'Analysis Data'!A1048</f>
        <v>Metcalf</v>
      </c>
      <c r="C1048" s="5" t="n">
        <f aca="false">'Analysis Data'!B1048</f>
        <v>40309</v>
      </c>
      <c r="D1048" s="6" t="n">
        <f aca="false">'Analysis Data'!C1048</f>
        <v>219.655352170991</v>
      </c>
      <c r="E1048" s="15" t="n">
        <f aca="false">SUMPRODUCT('Final Model'!$B$45:$I$45,'Analysis Data'!N1048:U1048)</f>
        <v>240.26728930125</v>
      </c>
      <c r="F1048" s="15" t="n">
        <f aca="false">D1048-E1048</f>
        <v>-20.6119371302591</v>
      </c>
      <c r="G1048" s="13" t="n">
        <f aca="false">F1048/'Final Model'!$B$21</f>
        <v>-0.420377069090167</v>
      </c>
      <c r="H1048" s="6" t="n">
        <f aca="false">F1048^2</f>
        <v>424.851952261752</v>
      </c>
      <c r="J1048" s="6" t="n">
        <f aca="false">A1048</f>
        <v>1047</v>
      </c>
      <c r="K1048" s="13" t="n">
        <f aca="false">SMALL($G$2:$G$1387,J1048)</f>
        <v>0.69042175155486</v>
      </c>
      <c r="L1048" s="18" t="n">
        <f aca="false">(J1048-0.5)/1386</f>
        <v>0.755050505050505</v>
      </c>
      <c r="M1048" s="18" t="n">
        <f aca="false">_xlfn.NORM.DIST(K1048,AVERAGE($G$2:$G$1387),_xlfn.STDEV.S($G$2:$G$1387),TRUE())</f>
        <v>0.755585698170709</v>
      </c>
    </row>
    <row r="1049" customFormat="false" ht="15" hidden="false" customHeight="false" outlineLevel="0" collapsed="false">
      <c r="A1049" s="0" t="n">
        <f aca="false">ROW()-1</f>
        <v>1048</v>
      </c>
      <c r="B1049" s="0" t="str">
        <f aca="false">'Analysis Data'!A1049</f>
        <v>Metcalf</v>
      </c>
      <c r="C1049" s="5" t="n">
        <f aca="false">'Analysis Data'!B1049</f>
        <v>40316</v>
      </c>
      <c r="D1049" s="6" t="n">
        <f aca="false">'Analysis Data'!C1049</f>
        <v>239.053167313939</v>
      </c>
      <c r="E1049" s="15" t="n">
        <f aca="false">SUMPRODUCT('Final Model'!$B$45:$I$45,'Analysis Data'!N1049:U1049)</f>
        <v>245.673545416898</v>
      </c>
      <c r="F1049" s="15" t="n">
        <f aca="false">D1049-E1049</f>
        <v>-6.62037810295846</v>
      </c>
      <c r="G1049" s="13" t="n">
        <f aca="false">F1049/'Final Model'!$B$21</f>
        <v>-0.135021522994303</v>
      </c>
      <c r="H1049" s="6" t="n">
        <f aca="false">F1049^2</f>
        <v>43.8294062261318</v>
      </c>
      <c r="J1049" s="6" t="n">
        <f aca="false">A1049</f>
        <v>1048</v>
      </c>
      <c r="K1049" s="13" t="n">
        <f aca="false">SMALL($G$2:$G$1387,J1049)</f>
        <v>0.694205171005915</v>
      </c>
      <c r="L1049" s="18" t="n">
        <f aca="false">(J1049-0.5)/1386</f>
        <v>0.755772005772006</v>
      </c>
      <c r="M1049" s="18" t="n">
        <f aca="false">_xlfn.NORM.DIST(K1049,AVERAGE($G$2:$G$1387),_xlfn.STDEV.S($G$2:$G$1387),TRUE())</f>
        <v>0.756774988203165</v>
      </c>
    </row>
    <row r="1050" customFormat="false" ht="15" hidden="false" customHeight="false" outlineLevel="0" collapsed="false">
      <c r="A1050" s="0" t="n">
        <f aca="false">ROW()-1</f>
        <v>1049</v>
      </c>
      <c r="B1050" s="0" t="str">
        <f aca="false">'Analysis Data'!A1050</f>
        <v>Metcalf</v>
      </c>
      <c r="C1050" s="5" t="n">
        <f aca="false">'Analysis Data'!B1050</f>
        <v>40323</v>
      </c>
      <c r="D1050" s="6" t="n">
        <f aca="false">'Analysis Data'!C1050</f>
        <v>249.140475527411</v>
      </c>
      <c r="E1050" s="15" t="n">
        <f aca="false">SUMPRODUCT('Final Model'!$B$45:$I$45,'Analysis Data'!N1050:U1050)</f>
        <v>251.874190186273</v>
      </c>
      <c r="F1050" s="15" t="n">
        <f aca="false">D1050-E1050</f>
        <v>-2.73371465886279</v>
      </c>
      <c r="G1050" s="13" t="n">
        <f aca="false">F1050/'Final Model'!$B$21</f>
        <v>-0.0557536610343389</v>
      </c>
      <c r="H1050" s="6" t="n">
        <f aca="false">F1050^2</f>
        <v>7.47319583608133</v>
      </c>
      <c r="J1050" s="6" t="n">
        <f aca="false">A1050</f>
        <v>1049</v>
      </c>
      <c r="K1050" s="13" t="n">
        <f aca="false">SMALL($G$2:$G$1387,J1050)</f>
        <v>0.694463500981155</v>
      </c>
      <c r="L1050" s="18" t="n">
        <f aca="false">(J1050-0.5)/1386</f>
        <v>0.756493506493506</v>
      </c>
      <c r="M1050" s="18" t="n">
        <f aca="false">_xlfn.NORM.DIST(K1050,AVERAGE($G$2:$G$1387),_xlfn.STDEV.S($G$2:$G$1387),TRUE())</f>
        <v>0.756856078078605</v>
      </c>
    </row>
    <row r="1051" customFormat="false" ht="15" hidden="false" customHeight="false" outlineLevel="0" collapsed="false">
      <c r="A1051" s="0" t="n">
        <f aca="false">ROW()-1</f>
        <v>1050</v>
      </c>
      <c r="B1051" s="0" t="str">
        <f aca="false">'Analysis Data'!A1051</f>
        <v>Metcalf</v>
      </c>
      <c r="C1051" s="5" t="n">
        <f aca="false">'Analysis Data'!B1051</f>
        <v>40330</v>
      </c>
      <c r="D1051" s="6" t="n">
        <f aca="false">'Analysis Data'!C1051</f>
        <v>263.475311657863</v>
      </c>
      <c r="E1051" s="15" t="n">
        <f aca="false">SUMPRODUCT('Final Model'!$B$45:$I$45,'Analysis Data'!N1051:U1051)</f>
        <v>251.874190186273</v>
      </c>
      <c r="F1051" s="15" t="n">
        <f aca="false">D1051-E1051</f>
        <v>11.6011214715893</v>
      </c>
      <c r="G1051" s="13" t="n">
        <f aca="false">F1051/'Final Model'!$B$21</f>
        <v>0.236602965144228</v>
      </c>
      <c r="H1051" s="6" t="n">
        <f aca="false">F1051^2</f>
        <v>134.58601939857</v>
      </c>
      <c r="J1051" s="6" t="n">
        <f aca="false">A1051</f>
        <v>1050</v>
      </c>
      <c r="K1051" s="13" t="n">
        <f aca="false">SMALL($G$2:$G$1387,J1051)</f>
        <v>0.699326009457034</v>
      </c>
      <c r="L1051" s="18" t="n">
        <f aca="false">(J1051-0.5)/1386</f>
        <v>0.757215007215007</v>
      </c>
      <c r="M1051" s="18" t="n">
        <f aca="false">_xlfn.NORM.DIST(K1051,AVERAGE($G$2:$G$1387),_xlfn.STDEV.S($G$2:$G$1387),TRUE())</f>
        <v>0.758379690648414</v>
      </c>
    </row>
    <row r="1052" customFormat="false" ht="15" hidden="false" customHeight="false" outlineLevel="0" collapsed="false">
      <c r="A1052" s="0" t="n">
        <f aca="false">ROW()-1</f>
        <v>1051</v>
      </c>
      <c r="B1052" s="0" t="str">
        <f aca="false">'Analysis Data'!A1052</f>
        <v>Metcalf</v>
      </c>
      <c r="C1052" s="5" t="n">
        <f aca="false">'Analysis Data'!B1052</f>
        <v>40337</v>
      </c>
      <c r="D1052" s="6" t="n">
        <f aca="false">'Analysis Data'!C1052</f>
        <v>666.729351514893</v>
      </c>
      <c r="E1052" s="15" t="n">
        <f aca="false">SUMPRODUCT('Final Model'!$B$45:$I$45,'Analysis Data'!N1052:U1052)</f>
        <v>717.066252126566</v>
      </c>
      <c r="F1052" s="15" t="n">
        <f aca="false">D1052-E1052</f>
        <v>-50.3369006116733</v>
      </c>
      <c r="G1052" s="13" t="n">
        <f aca="false">F1052/'Final Model'!$B$21</f>
        <v>-1.02661281239568</v>
      </c>
      <c r="H1052" s="6" t="n">
        <f aca="false">F1052^2</f>
        <v>2533.80356318947</v>
      </c>
      <c r="J1052" s="6" t="n">
        <f aca="false">A1052</f>
        <v>1051</v>
      </c>
      <c r="K1052" s="13" t="n">
        <f aca="false">SMALL($G$2:$G$1387,J1052)</f>
        <v>0.700503872591319</v>
      </c>
      <c r="L1052" s="18" t="n">
        <f aca="false">(J1052-0.5)/1386</f>
        <v>0.757936507936508</v>
      </c>
      <c r="M1052" s="18" t="n">
        <f aca="false">_xlfn.NORM.DIST(K1052,AVERAGE($G$2:$G$1387),_xlfn.STDEV.S($G$2:$G$1387),TRUE())</f>
        <v>0.758747979434879</v>
      </c>
    </row>
    <row r="1053" customFormat="false" ht="15" hidden="false" customHeight="false" outlineLevel="0" collapsed="false">
      <c r="A1053" s="0" t="n">
        <f aca="false">ROW()-1</f>
        <v>1052</v>
      </c>
      <c r="B1053" s="0" t="str">
        <f aca="false">'Analysis Data'!A1053</f>
        <v>Metcalf</v>
      </c>
      <c r="C1053" s="5" t="n">
        <f aca="false">'Analysis Data'!B1053</f>
        <v>40344</v>
      </c>
      <c r="D1053" s="6" t="n">
        <f aca="false">'Analysis Data'!C1053</f>
        <v>711.86493990728</v>
      </c>
      <c r="E1053" s="15" t="n">
        <f aca="false">SUMPRODUCT('Final Model'!$B$45:$I$45,'Analysis Data'!N1053:U1053)</f>
        <v>719.876034209248</v>
      </c>
      <c r="F1053" s="15" t="n">
        <f aca="false">D1053-E1053</f>
        <v>-8.011094301968</v>
      </c>
      <c r="G1053" s="13" t="n">
        <f aca="false">F1053/'Final Model'!$B$21</f>
        <v>-0.163384951234029</v>
      </c>
      <c r="H1053" s="6" t="n">
        <f aca="false">F1053^2</f>
        <v>64.1776319150242</v>
      </c>
      <c r="J1053" s="6" t="n">
        <f aca="false">A1053</f>
        <v>1052</v>
      </c>
      <c r="K1053" s="13" t="n">
        <f aca="false">SMALL($G$2:$G$1387,J1053)</f>
        <v>0.701910595937182</v>
      </c>
      <c r="L1053" s="18" t="n">
        <f aca="false">(J1053-0.5)/1386</f>
        <v>0.758658008658009</v>
      </c>
      <c r="M1053" s="18" t="n">
        <f aca="false">_xlfn.NORM.DIST(K1053,AVERAGE($G$2:$G$1387),_xlfn.STDEV.S($G$2:$G$1387),TRUE())</f>
        <v>0.759187427117976</v>
      </c>
    </row>
    <row r="1054" customFormat="false" ht="15" hidden="false" customHeight="false" outlineLevel="0" collapsed="false">
      <c r="A1054" s="0" t="n">
        <f aca="false">ROW()-1</f>
        <v>1053</v>
      </c>
      <c r="B1054" s="0" t="str">
        <f aca="false">'Analysis Data'!A1054</f>
        <v>Metcalf</v>
      </c>
      <c r="C1054" s="5" t="n">
        <f aca="false">'Analysis Data'!B1054</f>
        <v>40351</v>
      </c>
      <c r="D1054" s="6" t="n">
        <f aca="false">'Analysis Data'!C1054</f>
        <v>328.157804033539</v>
      </c>
      <c r="E1054" s="15" t="n">
        <f aca="false">SUMPRODUCT('Final Model'!$B$45:$I$45,'Analysis Data'!N1054:U1054)</f>
        <v>239.678853254096</v>
      </c>
      <c r="F1054" s="15" t="n">
        <f aca="false">D1054-E1054</f>
        <v>88.478950779443</v>
      </c>
      <c r="G1054" s="13" t="n">
        <f aca="false">F1054/'Final Model'!$B$21</f>
        <v>1.80451365486811</v>
      </c>
      <c r="H1054" s="6" t="n">
        <f aca="false">F1054^2</f>
        <v>7828.5247310311</v>
      </c>
      <c r="J1054" s="6" t="n">
        <f aca="false">A1054</f>
        <v>1053</v>
      </c>
      <c r="K1054" s="13" t="n">
        <f aca="false">SMALL($G$2:$G$1387,J1054)</f>
        <v>0.704718734028837</v>
      </c>
      <c r="L1054" s="18" t="n">
        <f aca="false">(J1054-0.5)/1386</f>
        <v>0.759379509379509</v>
      </c>
      <c r="M1054" s="18" t="n">
        <f aca="false">_xlfn.NORM.DIST(K1054,AVERAGE($G$2:$G$1387),_xlfn.STDEV.S($G$2:$G$1387),TRUE())</f>
        <v>0.760063360110423</v>
      </c>
    </row>
    <row r="1055" customFormat="false" ht="15" hidden="false" customHeight="false" outlineLevel="0" collapsed="false">
      <c r="A1055" s="0" t="n">
        <f aca="false">ROW()-1</f>
        <v>1054</v>
      </c>
      <c r="B1055" s="0" t="str">
        <f aca="false">'Analysis Data'!A1055</f>
        <v>Metcalf</v>
      </c>
      <c r="C1055" s="5" t="n">
        <f aca="false">'Analysis Data'!B1055</f>
        <v>40358</v>
      </c>
      <c r="D1055" s="6" t="n">
        <f aca="false">'Analysis Data'!C1055</f>
        <v>144.595220434296</v>
      </c>
      <c r="E1055" s="15" t="n">
        <f aca="false">SUMPRODUCT('Final Model'!$B$45:$I$45,'Analysis Data'!N1055:U1055)</f>
        <v>248.231236160073</v>
      </c>
      <c r="F1055" s="15" t="n">
        <f aca="false">D1055-E1055</f>
        <v>-103.636015725777</v>
      </c>
      <c r="G1055" s="13" t="n">
        <f aca="false">F1055/'Final Model'!$B$21</f>
        <v>-2.11363950256902</v>
      </c>
      <c r="H1055" s="6" t="n">
        <f aca="false">F1055^2</f>
        <v>10740.4237555135</v>
      </c>
      <c r="J1055" s="6" t="n">
        <f aca="false">A1055</f>
        <v>1054</v>
      </c>
      <c r="K1055" s="13" t="n">
        <f aca="false">SMALL($G$2:$G$1387,J1055)</f>
        <v>0.705175576712823</v>
      </c>
      <c r="L1055" s="18" t="n">
        <f aca="false">(J1055-0.5)/1386</f>
        <v>0.76010101010101</v>
      </c>
      <c r="M1055" s="18" t="n">
        <f aca="false">_xlfn.NORM.DIST(K1055,AVERAGE($G$2:$G$1387),_xlfn.STDEV.S($G$2:$G$1387),TRUE())</f>
        <v>0.760205696982172</v>
      </c>
    </row>
    <row r="1056" customFormat="false" ht="15" hidden="false" customHeight="false" outlineLevel="0" collapsed="false">
      <c r="A1056" s="0" t="n">
        <f aca="false">ROW()-1</f>
        <v>1055</v>
      </c>
      <c r="B1056" s="0" t="str">
        <f aca="false">'Analysis Data'!A1056</f>
        <v>Metcalf</v>
      </c>
      <c r="C1056" s="5" t="n">
        <f aca="false">'Analysis Data'!B1056</f>
        <v>40365</v>
      </c>
      <c r="D1056" s="6" t="n">
        <f aca="false">'Analysis Data'!C1056</f>
        <v>266.129567222719</v>
      </c>
      <c r="E1056" s="15" t="n">
        <f aca="false">SUMPRODUCT('Final Model'!$B$45:$I$45,'Analysis Data'!N1056:U1056)</f>
        <v>226.671021961996</v>
      </c>
      <c r="F1056" s="15" t="n">
        <f aca="false">D1056-E1056</f>
        <v>39.4585452607232</v>
      </c>
      <c r="G1056" s="13" t="n">
        <f aca="false">F1056/'Final Model'!$B$21</f>
        <v>0.804750543456369</v>
      </c>
      <c r="H1056" s="6" t="n">
        <f aca="false">F1056^2</f>
        <v>1556.97679409254</v>
      </c>
      <c r="J1056" s="6" t="n">
        <f aca="false">A1056</f>
        <v>1055</v>
      </c>
      <c r="K1056" s="13" t="n">
        <f aca="false">SMALL($G$2:$G$1387,J1056)</f>
        <v>0.708072931660527</v>
      </c>
      <c r="L1056" s="18" t="n">
        <f aca="false">(J1056-0.5)/1386</f>
        <v>0.760822510822511</v>
      </c>
      <c r="M1056" s="18" t="n">
        <f aca="false">_xlfn.NORM.DIST(K1056,AVERAGE($G$2:$G$1387),_xlfn.STDEV.S($G$2:$G$1387),TRUE())</f>
        <v>0.761107342228404</v>
      </c>
    </row>
    <row r="1057" customFormat="false" ht="15" hidden="false" customHeight="false" outlineLevel="0" collapsed="false">
      <c r="A1057" s="0" t="n">
        <f aca="false">ROW()-1</f>
        <v>1056</v>
      </c>
      <c r="B1057" s="0" t="str">
        <f aca="false">'Analysis Data'!A1057</f>
        <v>Metcalf</v>
      </c>
      <c r="C1057" s="5" t="n">
        <f aca="false">'Analysis Data'!B1057</f>
        <v>40372</v>
      </c>
      <c r="D1057" s="6" t="n">
        <f aca="false">'Analysis Data'!C1057</f>
        <v>277.187467722705</v>
      </c>
      <c r="E1057" s="15" t="n">
        <f aca="false">SUMPRODUCT('Final Model'!$B$45:$I$45,'Analysis Data'!N1057:U1057)</f>
        <v>251.882214306065</v>
      </c>
      <c r="F1057" s="15" t="n">
        <f aca="false">D1057-E1057</f>
        <v>25.3052534166403</v>
      </c>
      <c r="G1057" s="13" t="n">
        <f aca="false">F1057/'Final Model'!$B$21</f>
        <v>0.516096483151726</v>
      </c>
      <c r="H1057" s="6" t="n">
        <f aca="false">F1057^2</f>
        <v>640.355850480386</v>
      </c>
      <c r="J1057" s="6" t="n">
        <f aca="false">A1057</f>
        <v>1056</v>
      </c>
      <c r="K1057" s="13" t="n">
        <f aca="false">SMALL($G$2:$G$1387,J1057)</f>
        <v>0.708585747252563</v>
      </c>
      <c r="L1057" s="18" t="n">
        <f aca="false">(J1057-0.5)/1386</f>
        <v>0.761544011544012</v>
      </c>
      <c r="M1057" s="18" t="n">
        <f aca="false">_xlfn.NORM.DIST(K1057,AVERAGE($G$2:$G$1387),_xlfn.STDEV.S($G$2:$G$1387),TRUE())</f>
        <v>0.761266735041396</v>
      </c>
    </row>
    <row r="1058" customFormat="false" ht="15" hidden="false" customHeight="false" outlineLevel="0" collapsed="false">
      <c r="A1058" s="0" t="n">
        <f aca="false">ROW()-1</f>
        <v>1057</v>
      </c>
      <c r="B1058" s="0" t="str">
        <f aca="false">'Analysis Data'!A1058</f>
        <v>Pearl</v>
      </c>
      <c r="C1058" s="5" t="n">
        <f aca="false">'Analysis Data'!B1058</f>
        <v>40302</v>
      </c>
      <c r="D1058" s="6" t="n">
        <f aca="false">'Analysis Data'!C1058</f>
        <v>153.977799671602</v>
      </c>
      <c r="E1058" s="15" t="n">
        <f aca="false">SUMPRODUCT('Final Model'!$B$45:$I$45,'Analysis Data'!N1058:U1058)</f>
        <v>225.293693636209</v>
      </c>
      <c r="F1058" s="15" t="n">
        <f aca="false">D1058-E1058</f>
        <v>-71.3158939646072</v>
      </c>
      <c r="G1058" s="13" t="n">
        <f aca="false">F1058/'Final Model'!$B$21</f>
        <v>-1.45447593280185</v>
      </c>
      <c r="H1058" s="6" t="n">
        <f aca="false">F1058^2</f>
        <v>5085.9567319711</v>
      </c>
      <c r="J1058" s="6" t="n">
        <f aca="false">A1058</f>
        <v>1057</v>
      </c>
      <c r="K1058" s="13" t="n">
        <f aca="false">SMALL($G$2:$G$1387,J1058)</f>
        <v>0.721558419937909</v>
      </c>
      <c r="L1058" s="18" t="n">
        <f aca="false">(J1058-0.5)/1386</f>
        <v>0.762265512265512</v>
      </c>
      <c r="M1058" s="18" t="n">
        <f aca="false">_xlfn.NORM.DIST(K1058,AVERAGE($G$2:$G$1387),_xlfn.STDEV.S($G$2:$G$1387),TRUE())</f>
        <v>0.765279473024969</v>
      </c>
    </row>
    <row r="1059" customFormat="false" ht="15" hidden="false" customHeight="false" outlineLevel="0" collapsed="false">
      <c r="A1059" s="0" t="n">
        <f aca="false">ROW()-1</f>
        <v>1058</v>
      </c>
      <c r="B1059" s="0" t="str">
        <f aca="false">'Analysis Data'!A1059</f>
        <v>Pearl</v>
      </c>
      <c r="C1059" s="5" t="n">
        <f aca="false">'Analysis Data'!B1059</f>
        <v>40309</v>
      </c>
      <c r="D1059" s="6" t="n">
        <f aca="false">'Analysis Data'!C1059</f>
        <v>232.914862091978</v>
      </c>
      <c r="E1059" s="15" t="n">
        <f aca="false">SUMPRODUCT('Final Model'!$B$45:$I$45,'Analysis Data'!N1059:U1059)</f>
        <v>225.293693636209</v>
      </c>
      <c r="F1059" s="15" t="n">
        <f aca="false">D1059-E1059</f>
        <v>7.6211684557687</v>
      </c>
      <c r="G1059" s="13" t="n">
        <f aca="false">F1059/'Final Model'!$B$21</f>
        <v>0.155432477706098</v>
      </c>
      <c r="H1059" s="6" t="n">
        <f aca="false">F1059^2</f>
        <v>58.0822086312038</v>
      </c>
      <c r="J1059" s="6" t="n">
        <f aca="false">A1059</f>
        <v>1058</v>
      </c>
      <c r="K1059" s="13" t="n">
        <f aca="false">SMALL($G$2:$G$1387,J1059)</f>
        <v>0.721961738244439</v>
      </c>
      <c r="L1059" s="18" t="n">
        <f aca="false">(J1059-0.5)/1386</f>
        <v>0.762987012987013</v>
      </c>
      <c r="M1059" s="18" t="n">
        <f aca="false">_xlfn.NORM.DIST(K1059,AVERAGE($G$2:$G$1387),_xlfn.STDEV.S($G$2:$G$1387),TRUE())</f>
        <v>0.765403627815483</v>
      </c>
    </row>
    <row r="1060" customFormat="false" ht="15" hidden="false" customHeight="false" outlineLevel="0" collapsed="false">
      <c r="A1060" s="0" t="n">
        <f aca="false">ROW()-1</f>
        <v>1059</v>
      </c>
      <c r="B1060" s="0" t="str">
        <f aca="false">'Analysis Data'!A1060</f>
        <v>Pearl</v>
      </c>
      <c r="C1060" s="5" t="n">
        <f aca="false">'Analysis Data'!B1060</f>
        <v>40316</v>
      </c>
      <c r="D1060" s="6" t="n">
        <f aca="false">'Analysis Data'!C1060</f>
        <v>308.276751999772</v>
      </c>
      <c r="E1060" s="15" t="n">
        <f aca="false">SUMPRODUCT('Final Model'!$B$45:$I$45,'Analysis Data'!N1060:U1060)</f>
        <v>344.294142284203</v>
      </c>
      <c r="F1060" s="15" t="n">
        <f aca="false">D1060-E1060</f>
        <v>-36.0173902844311</v>
      </c>
      <c r="G1060" s="13" t="n">
        <f aca="false">F1060/'Final Model'!$B$21</f>
        <v>-0.734568753453961</v>
      </c>
      <c r="H1060" s="6" t="n">
        <f aca="false">F1060^2</f>
        <v>1297.25240290103</v>
      </c>
      <c r="J1060" s="6" t="n">
        <f aca="false">A1060</f>
        <v>1059</v>
      </c>
      <c r="K1060" s="13" t="n">
        <f aca="false">SMALL($G$2:$G$1387,J1060)</f>
        <v>0.72407547831577</v>
      </c>
      <c r="L1060" s="18" t="n">
        <f aca="false">(J1060-0.5)/1386</f>
        <v>0.763708513708514</v>
      </c>
      <c r="M1060" s="18" t="n">
        <f aca="false">_xlfn.NORM.DIST(K1060,AVERAGE($G$2:$G$1387),_xlfn.STDEV.S($G$2:$G$1387),TRUE())</f>
        <v>0.766053712966645</v>
      </c>
    </row>
    <row r="1061" customFormat="false" ht="15" hidden="false" customHeight="false" outlineLevel="0" collapsed="false">
      <c r="A1061" s="0" t="n">
        <f aca="false">ROW()-1</f>
        <v>1060</v>
      </c>
      <c r="B1061" s="0" t="str">
        <f aca="false">'Analysis Data'!A1061</f>
        <v>Pearl</v>
      </c>
      <c r="C1061" s="5" t="n">
        <f aca="false">'Analysis Data'!B1061</f>
        <v>40323</v>
      </c>
      <c r="D1061" s="6" t="n">
        <f aca="false">'Analysis Data'!C1061</f>
        <v>272.205700820949</v>
      </c>
      <c r="E1061" s="15" t="n">
        <f aca="false">SUMPRODUCT('Final Model'!$B$45:$I$45,'Analysis Data'!N1061:U1061)</f>
        <v>298.839645863644</v>
      </c>
      <c r="F1061" s="15" t="n">
        <f aca="false">D1061-E1061</f>
        <v>-26.6339450426956</v>
      </c>
      <c r="G1061" s="13" t="n">
        <f aca="false">F1061/'Final Model'!$B$21</f>
        <v>-0.543194930423129</v>
      </c>
      <c r="H1061" s="6" t="n">
        <f aca="false">F1061^2</f>
        <v>709.367028537332</v>
      </c>
      <c r="J1061" s="6" t="n">
        <f aca="false">A1061</f>
        <v>1060</v>
      </c>
      <c r="K1061" s="13" t="n">
        <f aca="false">SMALL($G$2:$G$1387,J1061)</f>
        <v>0.728179320699832</v>
      </c>
      <c r="L1061" s="18" t="n">
        <f aca="false">(J1061-0.5)/1386</f>
        <v>0.764430014430015</v>
      </c>
      <c r="M1061" s="18" t="n">
        <f aca="false">_xlfn.NORM.DIST(K1061,AVERAGE($G$2:$G$1387),_xlfn.STDEV.S($G$2:$G$1387),TRUE())</f>
        <v>0.767313003663302</v>
      </c>
    </row>
    <row r="1062" customFormat="false" ht="15" hidden="false" customHeight="false" outlineLevel="0" collapsed="false">
      <c r="A1062" s="0" t="n">
        <f aca="false">ROW()-1</f>
        <v>1061</v>
      </c>
      <c r="B1062" s="0" t="str">
        <f aca="false">'Analysis Data'!A1062</f>
        <v>Pearl</v>
      </c>
      <c r="C1062" s="5" t="n">
        <f aca="false">'Analysis Data'!B1062</f>
        <v>40330</v>
      </c>
      <c r="D1062" s="6" t="n">
        <f aca="false">'Analysis Data'!C1062</f>
        <v>355.871245735596</v>
      </c>
      <c r="E1062" s="15" t="n">
        <f aca="false">SUMPRODUCT('Final Model'!$B$45:$I$45,'Analysis Data'!N1062:U1062)</f>
        <v>301.684474498089</v>
      </c>
      <c r="F1062" s="15" t="n">
        <f aca="false">D1062-E1062</f>
        <v>54.1867712375076</v>
      </c>
      <c r="G1062" s="13" t="n">
        <f aca="false">F1062/'Final Model'!$B$21</f>
        <v>1.10513029087609</v>
      </c>
      <c r="H1062" s="6" t="n">
        <f aca="false">F1062^2</f>
        <v>2936.20617714598</v>
      </c>
      <c r="J1062" s="6" t="n">
        <f aca="false">A1062</f>
        <v>1061</v>
      </c>
      <c r="K1062" s="13" t="n">
        <f aca="false">SMALL($G$2:$G$1387,J1062)</f>
        <v>0.732404963834476</v>
      </c>
      <c r="L1062" s="18" t="n">
        <f aca="false">(J1062-0.5)/1386</f>
        <v>0.765151515151515</v>
      </c>
      <c r="M1062" s="18" t="n">
        <f aca="false">_xlfn.NORM.DIST(K1062,AVERAGE($G$2:$G$1387),_xlfn.STDEV.S($G$2:$G$1387),TRUE())</f>
        <v>0.768605723195923</v>
      </c>
    </row>
    <row r="1063" customFormat="false" ht="15" hidden="false" customHeight="false" outlineLevel="0" collapsed="false">
      <c r="A1063" s="0" t="n">
        <f aca="false">ROW()-1</f>
        <v>1062</v>
      </c>
      <c r="B1063" s="0" t="str">
        <f aca="false">'Analysis Data'!A1063</f>
        <v>Pearl</v>
      </c>
      <c r="C1063" s="5" t="n">
        <f aca="false">'Analysis Data'!B1063</f>
        <v>40337</v>
      </c>
      <c r="D1063" s="6" t="n">
        <f aca="false">'Analysis Data'!C1063</f>
        <v>337.175763139981</v>
      </c>
      <c r="E1063" s="15" t="n">
        <f aca="false">SUMPRODUCT('Final Model'!$B$45:$I$45,'Analysis Data'!N1063:U1063)</f>
        <v>302.759668309136</v>
      </c>
      <c r="F1063" s="15" t="n">
        <f aca="false">D1063-E1063</f>
        <v>34.416094830845</v>
      </c>
      <c r="G1063" s="13" t="n">
        <f aca="false">F1063/'Final Model'!$B$21</f>
        <v>0.701910595937182</v>
      </c>
      <c r="H1063" s="6" t="n">
        <f aca="false">F1063^2</f>
        <v>1184.46758340572</v>
      </c>
      <c r="J1063" s="6" t="n">
        <f aca="false">A1063</f>
        <v>1062</v>
      </c>
      <c r="K1063" s="13" t="n">
        <f aca="false">SMALL($G$2:$G$1387,J1063)</f>
        <v>0.737401547916769</v>
      </c>
      <c r="L1063" s="18" t="n">
        <f aca="false">(J1063-0.5)/1386</f>
        <v>0.765873015873016</v>
      </c>
      <c r="M1063" s="18" t="n">
        <f aca="false">_xlfn.NORM.DIST(K1063,AVERAGE($G$2:$G$1387),_xlfn.STDEV.S($G$2:$G$1387),TRUE())</f>
        <v>0.770129109680035</v>
      </c>
    </row>
    <row r="1064" customFormat="false" ht="15" hidden="false" customHeight="false" outlineLevel="0" collapsed="false">
      <c r="A1064" s="0" t="n">
        <f aca="false">ROW()-1</f>
        <v>1063</v>
      </c>
      <c r="B1064" s="0" t="str">
        <f aca="false">'Analysis Data'!A1064</f>
        <v>Pearl</v>
      </c>
      <c r="C1064" s="5" t="n">
        <f aca="false">'Analysis Data'!B1064</f>
        <v>40344</v>
      </c>
      <c r="D1064" s="6" t="n">
        <f aca="false">'Analysis Data'!C1064</f>
        <v>361.361552027582</v>
      </c>
      <c r="E1064" s="15" t="n">
        <f aca="false">SUMPRODUCT('Final Model'!$B$45:$I$45,'Analysis Data'!N1064:U1064)</f>
        <v>401.920637592168</v>
      </c>
      <c r="F1064" s="15" t="n">
        <f aca="false">D1064-E1064</f>
        <v>-40.5590855645867</v>
      </c>
      <c r="G1064" s="13" t="n">
        <f aca="false">F1064/'Final Model'!$B$21</f>
        <v>-0.827195882020623</v>
      </c>
      <c r="H1064" s="6" t="n">
        <f aca="false">F1064^2</f>
        <v>1645.03942183547</v>
      </c>
      <c r="J1064" s="6" t="n">
        <f aca="false">A1064</f>
        <v>1063</v>
      </c>
      <c r="K1064" s="13" t="n">
        <f aca="false">SMALL($G$2:$G$1387,J1064)</f>
        <v>0.737722766747446</v>
      </c>
      <c r="L1064" s="18" t="n">
        <f aca="false">(J1064-0.5)/1386</f>
        <v>0.766594516594517</v>
      </c>
      <c r="M1064" s="18" t="n">
        <f aca="false">_xlfn.NORM.DIST(K1064,AVERAGE($G$2:$G$1387),_xlfn.STDEV.S($G$2:$G$1387),TRUE())</f>
        <v>0.77022685222009</v>
      </c>
    </row>
    <row r="1065" customFormat="false" ht="15" hidden="false" customHeight="false" outlineLevel="0" collapsed="false">
      <c r="A1065" s="0" t="n">
        <f aca="false">ROW()-1</f>
        <v>1064</v>
      </c>
      <c r="B1065" s="0" t="str">
        <f aca="false">'Analysis Data'!A1065</f>
        <v>Pearl</v>
      </c>
      <c r="C1065" s="5" t="n">
        <f aca="false">'Analysis Data'!B1065</f>
        <v>40351</v>
      </c>
      <c r="D1065" s="6" t="n">
        <f aca="false">'Analysis Data'!C1065</f>
        <v>1041.20025637098</v>
      </c>
      <c r="E1065" s="15" t="n">
        <f aca="false">SUMPRODUCT('Final Model'!$B$45:$I$45,'Analysis Data'!N1065:U1065)</f>
        <v>955.024794331271</v>
      </c>
      <c r="F1065" s="15" t="n">
        <f aca="false">D1065-E1065</f>
        <v>86.1754620397094</v>
      </c>
      <c r="G1065" s="13" t="n">
        <f aca="false">F1065/'Final Model'!$B$21</f>
        <v>1.75753438072362</v>
      </c>
      <c r="H1065" s="6" t="n">
        <f aca="false">F1065^2</f>
        <v>7426.21025775739</v>
      </c>
      <c r="J1065" s="6" t="n">
        <f aca="false">A1065</f>
        <v>1064</v>
      </c>
      <c r="K1065" s="13" t="n">
        <f aca="false">SMALL($G$2:$G$1387,J1065)</f>
        <v>0.738972625560926</v>
      </c>
      <c r="L1065" s="18" t="n">
        <f aca="false">(J1065-0.5)/1386</f>
        <v>0.767316017316017</v>
      </c>
      <c r="M1065" s="18" t="n">
        <f aca="false">_xlfn.NORM.DIST(K1065,AVERAGE($G$2:$G$1387),_xlfn.STDEV.S($G$2:$G$1387),TRUE())</f>
        <v>0.770606945799161</v>
      </c>
    </row>
    <row r="1066" customFormat="false" ht="15" hidden="false" customHeight="false" outlineLevel="0" collapsed="false">
      <c r="A1066" s="0" t="n">
        <f aca="false">ROW()-1</f>
        <v>1065</v>
      </c>
      <c r="B1066" s="0" t="str">
        <f aca="false">'Analysis Data'!A1066</f>
        <v>Pearl</v>
      </c>
      <c r="C1066" s="5" t="n">
        <f aca="false">'Analysis Data'!B1066</f>
        <v>40358</v>
      </c>
      <c r="D1066" s="6" t="n">
        <f aca="false">'Analysis Data'!C1066</f>
        <v>753.387987248907</v>
      </c>
      <c r="E1066" s="15" t="n">
        <f aca="false">SUMPRODUCT('Final Model'!$B$45:$I$45,'Analysis Data'!N1066:U1066)</f>
        <v>773.720134118112</v>
      </c>
      <c r="F1066" s="15" t="n">
        <f aca="false">D1066-E1066</f>
        <v>-20.3321468692047</v>
      </c>
      <c r="G1066" s="13" t="n">
        <f aca="false">F1066/'Final Model'!$B$21</f>
        <v>-0.414670792714555</v>
      </c>
      <c r="H1066" s="6" t="n">
        <f aca="false">F1066^2</f>
        <v>413.396196310912</v>
      </c>
      <c r="J1066" s="6" t="n">
        <f aca="false">A1066</f>
        <v>1065</v>
      </c>
      <c r="K1066" s="13" t="n">
        <f aca="false">SMALL($G$2:$G$1387,J1066)</f>
        <v>0.739129391681201</v>
      </c>
      <c r="L1066" s="18" t="n">
        <f aca="false">(J1066-0.5)/1386</f>
        <v>0.768037518037518</v>
      </c>
      <c r="M1066" s="18" t="n">
        <f aca="false">_xlfn.NORM.DIST(K1066,AVERAGE($G$2:$G$1387),_xlfn.STDEV.S($G$2:$G$1387),TRUE())</f>
        <v>0.770654594934165</v>
      </c>
    </row>
    <row r="1067" customFormat="false" ht="15" hidden="false" customHeight="false" outlineLevel="0" collapsed="false">
      <c r="A1067" s="0" t="n">
        <f aca="false">ROW()-1</f>
        <v>1066</v>
      </c>
      <c r="B1067" s="0" t="str">
        <f aca="false">'Analysis Data'!A1067</f>
        <v>Pearl</v>
      </c>
      <c r="C1067" s="5" t="n">
        <f aca="false">'Analysis Data'!B1067</f>
        <v>40365</v>
      </c>
      <c r="D1067" s="6" t="n">
        <f aca="false">'Analysis Data'!C1067</f>
        <v>192.077597710293</v>
      </c>
      <c r="E1067" s="15" t="n">
        <f aca="false">SUMPRODUCT('Final Model'!$B$45:$I$45,'Analysis Data'!N1067:U1067)</f>
        <v>304.654778475366</v>
      </c>
      <c r="F1067" s="15" t="n">
        <f aca="false">D1067-E1067</f>
        <v>-112.577180765073</v>
      </c>
      <c r="G1067" s="13" t="n">
        <f aca="false">F1067/'Final Model'!$B$21</f>
        <v>-2.29599309358365</v>
      </c>
      <c r="H1067" s="6" t="n">
        <f aca="false">F1067^2</f>
        <v>12673.6216290119</v>
      </c>
      <c r="J1067" s="6" t="n">
        <f aca="false">A1067</f>
        <v>1066</v>
      </c>
      <c r="K1067" s="13" t="n">
        <f aca="false">SMALL($G$2:$G$1387,J1067)</f>
        <v>0.741789491226809</v>
      </c>
      <c r="L1067" s="18" t="n">
        <f aca="false">(J1067-0.5)/1386</f>
        <v>0.768759018759019</v>
      </c>
      <c r="M1067" s="18" t="n">
        <f aca="false">_xlfn.NORM.DIST(K1067,AVERAGE($G$2:$G$1387),_xlfn.STDEV.S($G$2:$G$1387),TRUE())</f>
        <v>0.771462287069571</v>
      </c>
    </row>
    <row r="1068" customFormat="false" ht="15" hidden="false" customHeight="false" outlineLevel="0" collapsed="false">
      <c r="A1068" s="0" t="n">
        <f aca="false">ROW()-1</f>
        <v>1067</v>
      </c>
      <c r="B1068" s="0" t="str">
        <f aca="false">'Analysis Data'!A1068</f>
        <v>Pearl</v>
      </c>
      <c r="C1068" s="5" t="n">
        <f aca="false">'Analysis Data'!B1068</f>
        <v>40372</v>
      </c>
      <c r="D1068" s="6" t="n">
        <f aca="false">'Analysis Data'!C1068</f>
        <v>390.6428764121</v>
      </c>
      <c r="E1068" s="15" t="n">
        <f aca="false">SUMPRODUCT('Final Model'!$B$45:$I$45,'Analysis Data'!N1068:U1068)</f>
        <v>392.425784855757</v>
      </c>
      <c r="F1068" s="15" t="n">
        <f aca="false">D1068-E1068</f>
        <v>-1.7829084436575</v>
      </c>
      <c r="G1068" s="13" t="n">
        <f aca="false">F1068/'Final Model'!$B$21</f>
        <v>-0.036362124591413</v>
      </c>
      <c r="H1068" s="6" t="n">
        <f aca="false">F1068^2</f>
        <v>3.17876251846523</v>
      </c>
      <c r="J1068" s="6" t="n">
        <f aca="false">A1068</f>
        <v>1067</v>
      </c>
      <c r="K1068" s="13" t="n">
        <f aca="false">SMALL($G$2:$G$1387,J1068)</f>
        <v>0.746848287714703</v>
      </c>
      <c r="L1068" s="18" t="n">
        <f aca="false">(J1068-0.5)/1386</f>
        <v>0.769480519480519</v>
      </c>
      <c r="M1068" s="18" t="n">
        <f aca="false">_xlfn.NORM.DIST(K1068,AVERAGE($G$2:$G$1387),_xlfn.STDEV.S($G$2:$G$1387),TRUE())</f>
        <v>0.772993883544121</v>
      </c>
    </row>
    <row r="1069" customFormat="false" ht="15" hidden="false" customHeight="false" outlineLevel="0" collapsed="false">
      <c r="A1069" s="0" t="n">
        <f aca="false">ROW()-1</f>
        <v>1068</v>
      </c>
      <c r="B1069" s="0" t="str">
        <f aca="false">'Analysis Data'!A1069</f>
        <v>Pike's Peak</v>
      </c>
      <c r="C1069" s="5" t="n">
        <f aca="false">'Analysis Data'!B1069</f>
        <v>40302</v>
      </c>
      <c r="D1069" s="6" t="n">
        <f aca="false">'Analysis Data'!C1069</f>
        <v>256.291549063372</v>
      </c>
      <c r="E1069" s="15" t="n">
        <f aca="false">SUMPRODUCT('Final Model'!$B$45:$I$45,'Analysis Data'!N1069:U1069)</f>
        <v>236.756733384004</v>
      </c>
      <c r="F1069" s="15" t="n">
        <f aca="false">D1069-E1069</f>
        <v>19.5348156793671</v>
      </c>
      <c r="G1069" s="13" t="n">
        <f aca="false">F1069/'Final Model'!$B$21</f>
        <v>0.398409354182121</v>
      </c>
      <c r="H1069" s="6" t="n">
        <f aca="false">F1069^2</f>
        <v>381.609023626847</v>
      </c>
      <c r="J1069" s="6" t="n">
        <f aca="false">A1069</f>
        <v>1068</v>
      </c>
      <c r="K1069" s="13" t="n">
        <f aca="false">SMALL($G$2:$G$1387,J1069)</f>
        <v>0.753379565857125</v>
      </c>
      <c r="L1069" s="18" t="n">
        <f aca="false">(J1069-0.5)/1386</f>
        <v>0.77020202020202</v>
      </c>
      <c r="M1069" s="18" t="n">
        <f aca="false">_xlfn.NORM.DIST(K1069,AVERAGE($G$2:$G$1387),_xlfn.STDEV.S($G$2:$G$1387),TRUE())</f>
        <v>0.774962699344675</v>
      </c>
    </row>
    <row r="1070" customFormat="false" ht="15" hidden="false" customHeight="false" outlineLevel="0" collapsed="false">
      <c r="A1070" s="0" t="n">
        <f aca="false">ROW()-1</f>
        <v>1069</v>
      </c>
      <c r="B1070" s="0" t="str">
        <f aca="false">'Analysis Data'!A1070</f>
        <v>Pike's Peak</v>
      </c>
      <c r="C1070" s="5" t="n">
        <f aca="false">'Analysis Data'!B1070</f>
        <v>40309</v>
      </c>
      <c r="D1070" s="6" t="n">
        <f aca="false">'Analysis Data'!C1070</f>
        <v>184.679316694638</v>
      </c>
      <c r="E1070" s="15" t="n">
        <f aca="false">SUMPRODUCT('Final Model'!$B$45:$I$45,'Analysis Data'!N1070:U1070)</f>
        <v>215.03809410225</v>
      </c>
      <c r="F1070" s="15" t="n">
        <f aca="false">D1070-E1070</f>
        <v>-30.3587774076119</v>
      </c>
      <c r="G1070" s="13" t="n">
        <f aca="false">F1070/'Final Model'!$B$21</f>
        <v>-0.619162274128878</v>
      </c>
      <c r="H1070" s="6" t="n">
        <f aca="false">F1070^2</f>
        <v>921.655365684926</v>
      </c>
      <c r="J1070" s="6" t="n">
        <f aca="false">A1070</f>
        <v>1069</v>
      </c>
      <c r="K1070" s="13" t="n">
        <f aca="false">SMALL($G$2:$G$1387,J1070)</f>
        <v>0.75430983827011</v>
      </c>
      <c r="L1070" s="18" t="n">
        <f aca="false">(J1070-0.5)/1386</f>
        <v>0.770923520923521</v>
      </c>
      <c r="M1070" s="18" t="n">
        <f aca="false">_xlfn.NORM.DIST(K1070,AVERAGE($G$2:$G$1387),_xlfn.STDEV.S($G$2:$G$1387),TRUE())</f>
        <v>0.775242335158437</v>
      </c>
    </row>
    <row r="1071" customFormat="false" ht="15" hidden="false" customHeight="false" outlineLevel="0" collapsed="false">
      <c r="A1071" s="0" t="n">
        <f aca="false">ROW()-1</f>
        <v>1070</v>
      </c>
      <c r="B1071" s="0" t="str">
        <f aca="false">'Analysis Data'!A1071</f>
        <v>Pike's Peak</v>
      </c>
      <c r="C1071" s="5" t="n">
        <f aca="false">'Analysis Data'!B1071</f>
        <v>40316</v>
      </c>
      <c r="D1071" s="6" t="n">
        <f aca="false">'Analysis Data'!C1071</f>
        <v>259.952867571588</v>
      </c>
      <c r="E1071" s="15" t="n">
        <f aca="false">SUMPRODUCT('Final Model'!$B$45:$I$45,'Analysis Data'!N1071:U1071)</f>
        <v>241.285736289814</v>
      </c>
      <c r="F1071" s="15" t="n">
        <f aca="false">D1071-E1071</f>
        <v>18.6671312817738</v>
      </c>
      <c r="G1071" s="13" t="n">
        <f aca="false">F1071/'Final Model'!$B$21</f>
        <v>0.380713073543845</v>
      </c>
      <c r="H1071" s="6" t="n">
        <f aca="false">F1071^2</f>
        <v>348.461790290977</v>
      </c>
      <c r="J1071" s="6" t="n">
        <f aca="false">A1071</f>
        <v>1070</v>
      </c>
      <c r="K1071" s="13" t="n">
        <f aca="false">SMALL($G$2:$G$1387,J1071)</f>
        <v>0.755539810970933</v>
      </c>
      <c r="L1071" s="18" t="n">
        <f aca="false">(J1071-0.5)/1386</f>
        <v>0.771645021645022</v>
      </c>
      <c r="M1071" s="18" t="n">
        <f aca="false">_xlfn.NORM.DIST(K1071,AVERAGE($G$2:$G$1387),_xlfn.STDEV.S($G$2:$G$1387),TRUE())</f>
        <v>0.775611756893902</v>
      </c>
    </row>
    <row r="1072" customFormat="false" ht="15" hidden="false" customHeight="false" outlineLevel="0" collapsed="false">
      <c r="A1072" s="0" t="n">
        <f aca="false">ROW()-1</f>
        <v>1071</v>
      </c>
      <c r="B1072" s="0" t="str">
        <f aca="false">'Analysis Data'!A1072</f>
        <v>Pike's Peak</v>
      </c>
      <c r="C1072" s="5" t="n">
        <f aca="false">'Analysis Data'!B1072</f>
        <v>40323</v>
      </c>
      <c r="D1072" s="6" t="n">
        <f aca="false">'Analysis Data'!C1072</f>
        <v>325.841919080723</v>
      </c>
      <c r="E1072" s="15" t="n">
        <f aca="false">SUMPRODUCT('Final Model'!$B$45:$I$45,'Analysis Data'!N1072:U1072)</f>
        <v>246.485988362222</v>
      </c>
      <c r="F1072" s="15" t="n">
        <f aca="false">D1072-E1072</f>
        <v>79.355930718501</v>
      </c>
      <c r="G1072" s="13" t="n">
        <f aca="false">F1072/'Final Model'!$B$21</f>
        <v>1.61845116058466</v>
      </c>
      <c r="H1072" s="6" t="n">
        <f aca="false">F1072^2</f>
        <v>6297.36374019952</v>
      </c>
      <c r="J1072" s="6" t="n">
        <f aca="false">A1072</f>
        <v>1071</v>
      </c>
      <c r="K1072" s="13" t="n">
        <f aca="false">SMALL($G$2:$G$1387,J1072)</f>
        <v>0.756359703920707</v>
      </c>
      <c r="L1072" s="18" t="n">
        <f aca="false">(J1072-0.5)/1386</f>
        <v>0.772366522366522</v>
      </c>
      <c r="M1072" s="18" t="n">
        <f aca="false">_xlfn.NORM.DIST(K1072,AVERAGE($G$2:$G$1387),_xlfn.STDEV.S($G$2:$G$1387),TRUE())</f>
        <v>0.775857819806228</v>
      </c>
    </row>
    <row r="1073" customFormat="false" ht="15" hidden="false" customHeight="false" outlineLevel="0" collapsed="false">
      <c r="A1073" s="0" t="n">
        <f aca="false">ROW()-1</f>
        <v>1072</v>
      </c>
      <c r="B1073" s="0" t="str">
        <f aca="false">'Analysis Data'!A1073</f>
        <v>Pike's Peak</v>
      </c>
      <c r="C1073" s="5" t="n">
        <f aca="false">'Analysis Data'!B1073</f>
        <v>40330</v>
      </c>
      <c r="D1073" s="6" t="n">
        <f aca="false">'Analysis Data'!C1073</f>
        <v>291.772689416078</v>
      </c>
      <c r="E1073" s="15" t="n">
        <f aca="false">SUMPRODUCT('Final Model'!$B$45:$I$45,'Analysis Data'!N1073:U1073)</f>
        <v>247.218190021369</v>
      </c>
      <c r="F1073" s="15" t="n">
        <f aca="false">D1073-E1073</f>
        <v>44.554499394709</v>
      </c>
      <c r="G1073" s="13" t="n">
        <f aca="false">F1073/'Final Model'!$B$21</f>
        <v>0.908681690224618</v>
      </c>
      <c r="H1073" s="6" t="n">
        <f aca="false">F1073^2</f>
        <v>1985.10341631312</v>
      </c>
      <c r="J1073" s="6" t="n">
        <f aca="false">A1073</f>
        <v>1072</v>
      </c>
      <c r="K1073" s="13" t="n">
        <f aca="false">SMALL($G$2:$G$1387,J1073)</f>
        <v>0.757189688598725</v>
      </c>
      <c r="L1073" s="18" t="n">
        <f aca="false">(J1073-0.5)/1386</f>
        <v>0.773088023088023</v>
      </c>
      <c r="M1073" s="18" t="n">
        <f aca="false">_xlfn.NORM.DIST(K1073,AVERAGE($G$2:$G$1387),_xlfn.STDEV.S($G$2:$G$1387),TRUE())</f>
        <v>0.776106755244732</v>
      </c>
    </row>
    <row r="1074" customFormat="false" ht="15" hidden="false" customHeight="false" outlineLevel="0" collapsed="false">
      <c r="A1074" s="0" t="n">
        <f aca="false">ROW()-1</f>
        <v>1073</v>
      </c>
      <c r="B1074" s="0" t="str">
        <f aca="false">'Analysis Data'!A1074</f>
        <v>Pike's Peak</v>
      </c>
      <c r="C1074" s="5" t="n">
        <f aca="false">'Analysis Data'!B1074</f>
        <v>40337</v>
      </c>
      <c r="D1074" s="6" t="n">
        <f aca="false">'Analysis Data'!C1074</f>
        <v>126.718944916272</v>
      </c>
      <c r="E1074" s="15" t="n">
        <f aca="false">SUMPRODUCT('Final Model'!$B$45:$I$45,'Analysis Data'!N1074:U1074)</f>
        <v>198.086609707441</v>
      </c>
      <c r="F1074" s="15" t="n">
        <f aca="false">D1074-E1074</f>
        <v>-71.3676647911694</v>
      </c>
      <c r="G1074" s="13" t="n">
        <f aca="false">F1074/'Final Model'!$B$21</f>
        <v>-1.45553179029827</v>
      </c>
      <c r="H1074" s="6" t="n">
        <f aca="false">F1074^2</f>
        <v>5093.34357774471</v>
      </c>
      <c r="J1074" s="6" t="n">
        <f aca="false">A1074</f>
        <v>1073</v>
      </c>
      <c r="K1074" s="13" t="n">
        <f aca="false">SMALL($G$2:$G$1387,J1074)</f>
        <v>0.757317232985657</v>
      </c>
      <c r="L1074" s="18" t="n">
        <f aca="false">(J1074-0.5)/1386</f>
        <v>0.773809523809524</v>
      </c>
      <c r="M1074" s="18" t="n">
        <f aca="false">_xlfn.NORM.DIST(K1074,AVERAGE($G$2:$G$1387),_xlfn.STDEV.S($G$2:$G$1387),TRUE())</f>
        <v>0.776144995414034</v>
      </c>
    </row>
    <row r="1075" customFormat="false" ht="15" hidden="false" customHeight="false" outlineLevel="0" collapsed="false">
      <c r="A1075" s="0" t="n">
        <f aca="false">ROW()-1</f>
        <v>1074</v>
      </c>
      <c r="B1075" s="0" t="str">
        <f aca="false">'Analysis Data'!A1075</f>
        <v>Pike's Peak</v>
      </c>
      <c r="C1075" s="5" t="n">
        <f aca="false">'Analysis Data'!B1075</f>
        <v>40344</v>
      </c>
      <c r="D1075" s="6" t="n">
        <f aca="false">'Analysis Data'!C1075</f>
        <v>206.701533510027</v>
      </c>
      <c r="E1075" s="15" t="n">
        <f aca="false">SUMPRODUCT('Final Model'!$B$45:$I$45,'Analysis Data'!N1075:U1075)</f>
        <v>210.878921173216</v>
      </c>
      <c r="F1075" s="15" t="n">
        <f aca="false">D1075-E1075</f>
        <v>-4.17738766318939</v>
      </c>
      <c r="G1075" s="13" t="n">
        <f aca="false">F1075/'Final Model'!$B$21</f>
        <v>-0.0851971346122045</v>
      </c>
      <c r="H1075" s="6" t="n">
        <f aca="false">F1075^2</f>
        <v>17.4505676885669</v>
      </c>
      <c r="J1075" s="6" t="n">
        <f aca="false">A1075</f>
        <v>1074</v>
      </c>
      <c r="K1075" s="13" t="n">
        <f aca="false">SMALL($G$2:$G$1387,J1075)</f>
        <v>0.761206499204955</v>
      </c>
      <c r="L1075" s="18" t="n">
        <f aca="false">(J1075-0.5)/1386</f>
        <v>0.774531024531025</v>
      </c>
      <c r="M1075" s="18" t="n">
        <f aca="false">_xlfn.NORM.DIST(K1075,AVERAGE($G$2:$G$1387),_xlfn.STDEV.S($G$2:$G$1387),TRUE())</f>
        <v>0.777309285688727</v>
      </c>
    </row>
    <row r="1076" customFormat="false" ht="15" hidden="false" customHeight="false" outlineLevel="0" collapsed="false">
      <c r="A1076" s="0" t="n">
        <f aca="false">ROW()-1</f>
        <v>1075</v>
      </c>
      <c r="B1076" s="0" t="str">
        <f aca="false">'Analysis Data'!A1076</f>
        <v>Pike's Peak</v>
      </c>
      <c r="C1076" s="5" t="n">
        <f aca="false">'Analysis Data'!B1076</f>
        <v>40351</v>
      </c>
      <c r="D1076" s="6" t="n">
        <f aca="false">'Analysis Data'!C1076</f>
        <v>201.984892266653</v>
      </c>
      <c r="E1076" s="15" t="n">
        <f aca="false">SUMPRODUCT('Final Model'!$B$45:$I$45,'Analysis Data'!N1076:U1076)</f>
        <v>210.986938280739</v>
      </c>
      <c r="F1076" s="15" t="n">
        <f aca="false">D1076-E1076</f>
        <v>-9.0020460140862</v>
      </c>
      <c r="G1076" s="13" t="n">
        <f aca="false">F1076/'Final Model'!$B$21</f>
        <v>-0.18359524848642</v>
      </c>
      <c r="H1076" s="6" t="n">
        <f aca="false">F1076^2</f>
        <v>81.0368324397253</v>
      </c>
      <c r="J1076" s="6" t="n">
        <f aca="false">A1076</f>
        <v>1075</v>
      </c>
      <c r="K1076" s="13" t="n">
        <f aca="false">SMALL($G$2:$G$1387,J1076)</f>
        <v>0.764138633790473</v>
      </c>
      <c r="L1076" s="18" t="n">
        <f aca="false">(J1076-0.5)/1386</f>
        <v>0.775252525252525</v>
      </c>
      <c r="M1076" s="18" t="n">
        <f aca="false">_xlfn.NORM.DIST(K1076,AVERAGE($G$2:$G$1387),_xlfn.STDEV.S($G$2:$G$1387),TRUE())</f>
        <v>0.778184762489778</v>
      </c>
    </row>
    <row r="1077" customFormat="false" ht="15" hidden="false" customHeight="false" outlineLevel="0" collapsed="false">
      <c r="A1077" s="0" t="n">
        <f aca="false">ROW()-1</f>
        <v>1076</v>
      </c>
      <c r="B1077" s="0" t="str">
        <f aca="false">'Analysis Data'!A1077</f>
        <v>Pike's Peak</v>
      </c>
      <c r="C1077" s="5" t="n">
        <f aca="false">'Analysis Data'!B1077</f>
        <v>40358</v>
      </c>
      <c r="D1077" s="6" t="n">
        <f aca="false">'Analysis Data'!C1077</f>
        <v>303.197775699263</v>
      </c>
      <c r="E1077" s="15" t="n">
        <f aca="false">SUMPRODUCT('Final Model'!$B$45:$I$45,'Analysis Data'!N1077:U1077)</f>
        <v>251.045853289296</v>
      </c>
      <c r="F1077" s="15" t="n">
        <f aca="false">D1077-E1077</f>
        <v>52.1519224099672</v>
      </c>
      <c r="G1077" s="13" t="n">
        <f aca="false">F1077/'Final Model'!$B$21</f>
        <v>1.06362988357535</v>
      </c>
      <c r="H1077" s="6" t="n">
        <f aca="false">F1077^2</f>
        <v>2719.82301105524</v>
      </c>
      <c r="J1077" s="6" t="n">
        <f aca="false">A1077</f>
        <v>1076</v>
      </c>
      <c r="K1077" s="13" t="n">
        <f aca="false">SMALL($G$2:$G$1387,J1077)</f>
        <v>0.764488995068809</v>
      </c>
      <c r="L1077" s="18" t="n">
        <f aca="false">(J1077-0.5)/1386</f>
        <v>0.775974025974026</v>
      </c>
      <c r="M1077" s="18" t="n">
        <f aca="false">_xlfn.NORM.DIST(K1077,AVERAGE($G$2:$G$1387),_xlfn.STDEV.S($G$2:$G$1387),TRUE())</f>
        <v>0.77828924171349</v>
      </c>
    </row>
    <row r="1078" customFormat="false" ht="15" hidden="false" customHeight="false" outlineLevel="0" collapsed="false">
      <c r="A1078" s="0" t="n">
        <f aca="false">ROW()-1</f>
        <v>1077</v>
      </c>
      <c r="B1078" s="0" t="str">
        <f aca="false">'Analysis Data'!A1078</f>
        <v>Pike's Peak</v>
      </c>
      <c r="C1078" s="5" t="n">
        <f aca="false">'Analysis Data'!B1078</f>
        <v>40365</v>
      </c>
      <c r="D1078" s="6" t="n">
        <f aca="false">'Analysis Data'!C1078</f>
        <v>342.458028283521</v>
      </c>
      <c r="E1078" s="15" t="n">
        <f aca="false">SUMPRODUCT('Final Model'!$B$45:$I$45,'Analysis Data'!N1078:U1078)</f>
        <v>244.721934008786</v>
      </c>
      <c r="F1078" s="15" t="n">
        <f aca="false">D1078-E1078</f>
        <v>97.7360942747341</v>
      </c>
      <c r="G1078" s="13" t="n">
        <f aca="false">F1078/'Final Model'!$B$21</f>
        <v>1.9933115745447</v>
      </c>
      <c r="H1078" s="6" t="n">
        <f aca="false">F1078^2</f>
        <v>9552.34412407971</v>
      </c>
      <c r="J1078" s="6" t="n">
        <f aca="false">A1078</f>
        <v>1077</v>
      </c>
      <c r="K1078" s="13" t="n">
        <f aca="false">SMALL($G$2:$G$1387,J1078)</f>
        <v>0.771688923868234</v>
      </c>
      <c r="L1078" s="18" t="n">
        <f aca="false">(J1078-0.5)/1386</f>
        <v>0.776695526695527</v>
      </c>
      <c r="M1078" s="18" t="n">
        <f aca="false">_xlfn.NORM.DIST(K1078,AVERAGE($G$2:$G$1387),_xlfn.STDEV.S($G$2:$G$1387),TRUE())</f>
        <v>0.780430056354915</v>
      </c>
    </row>
    <row r="1079" customFormat="false" ht="15" hidden="false" customHeight="false" outlineLevel="0" collapsed="false">
      <c r="A1079" s="0" t="n">
        <f aca="false">ROW()-1</f>
        <v>1078</v>
      </c>
      <c r="B1079" s="0" t="str">
        <f aca="false">'Analysis Data'!A1079</f>
        <v>Pike's Peak</v>
      </c>
      <c r="C1079" s="5" t="n">
        <f aca="false">'Analysis Data'!B1079</f>
        <v>40372</v>
      </c>
      <c r="D1079" s="6" t="n">
        <f aca="false">'Analysis Data'!C1079</f>
        <v>189.924286643969</v>
      </c>
      <c r="E1079" s="15" t="n">
        <f aca="false">SUMPRODUCT('Final Model'!$B$45:$I$45,'Analysis Data'!N1079:U1079)</f>
        <v>244.721934008786</v>
      </c>
      <c r="F1079" s="15" t="n">
        <f aca="false">D1079-E1079</f>
        <v>-54.7976473648173</v>
      </c>
      <c r="G1079" s="13" t="n">
        <f aca="false">F1079/'Final Model'!$B$21</f>
        <v>-1.11758900906219</v>
      </c>
      <c r="H1079" s="6" t="n">
        <f aca="false">F1079^2</f>
        <v>3002.78215671887</v>
      </c>
      <c r="J1079" s="6" t="n">
        <f aca="false">A1079</f>
        <v>1078</v>
      </c>
      <c r="K1079" s="13" t="n">
        <f aca="false">SMALL($G$2:$G$1387,J1079)</f>
        <v>0.774885378035646</v>
      </c>
      <c r="L1079" s="18" t="n">
        <f aca="false">(J1079-0.5)/1386</f>
        <v>0.777417027417028</v>
      </c>
      <c r="M1079" s="18" t="n">
        <f aca="false">_xlfn.NORM.DIST(K1079,AVERAGE($G$2:$G$1387),_xlfn.STDEV.S($G$2:$G$1387),TRUE())</f>
        <v>0.781376666062876</v>
      </c>
    </row>
    <row r="1080" customFormat="false" ht="15" hidden="false" customHeight="false" outlineLevel="0" collapsed="false">
      <c r="A1080" s="0" t="n">
        <f aca="false">ROW()-1</f>
        <v>1079</v>
      </c>
      <c r="B1080" s="0" t="str">
        <f aca="false">'Analysis Data'!A1080</f>
        <v>Superior</v>
      </c>
      <c r="C1080" s="5" t="n">
        <f aca="false">'Analysis Data'!B1080</f>
        <v>40302</v>
      </c>
      <c r="D1080" s="6" t="n">
        <f aca="false">'Analysis Data'!C1080</f>
        <v>192.146936201998</v>
      </c>
      <c r="E1080" s="15" t="n">
        <f aca="false">SUMPRODUCT('Final Model'!$B$45:$I$45,'Analysis Data'!N1080:U1080)</f>
        <v>236.957336577384</v>
      </c>
      <c r="F1080" s="15" t="n">
        <f aca="false">D1080-E1080</f>
        <v>-44.8104003753867</v>
      </c>
      <c r="G1080" s="13" t="n">
        <f aca="false">F1080/'Final Model'!$B$21</f>
        <v>-0.913900748654438</v>
      </c>
      <c r="H1080" s="6" t="n">
        <f aca="false">F1080^2</f>
        <v>2007.97198180245</v>
      </c>
      <c r="J1080" s="6" t="n">
        <f aca="false">A1080</f>
        <v>1079</v>
      </c>
      <c r="K1080" s="13" t="n">
        <f aca="false">SMALL($G$2:$G$1387,J1080)</f>
        <v>0.778712794923267</v>
      </c>
      <c r="L1080" s="18" t="n">
        <f aca="false">(J1080-0.5)/1386</f>
        <v>0.778138528138528</v>
      </c>
      <c r="M1080" s="18" t="n">
        <f aca="false">_xlfn.NORM.DIST(K1080,AVERAGE($G$2:$G$1387),_xlfn.STDEV.S($G$2:$G$1387),TRUE())</f>
        <v>0.782507034698939</v>
      </c>
    </row>
    <row r="1081" customFormat="false" ht="15" hidden="false" customHeight="false" outlineLevel="0" collapsed="false">
      <c r="A1081" s="0" t="n">
        <f aca="false">ROW()-1</f>
        <v>1080</v>
      </c>
      <c r="B1081" s="0" t="str">
        <f aca="false">'Analysis Data'!A1081</f>
        <v>Superior</v>
      </c>
      <c r="C1081" s="5" t="n">
        <f aca="false">'Analysis Data'!B1081</f>
        <v>40309</v>
      </c>
      <c r="D1081" s="6" t="n">
        <f aca="false">'Analysis Data'!C1081</f>
        <v>166.443124243688</v>
      </c>
      <c r="E1081" s="15" t="n">
        <f aca="false">SUMPRODUCT('Final Model'!$B$45:$I$45,'Analysis Data'!N1081:U1081)</f>
        <v>236.957336577384</v>
      </c>
      <c r="F1081" s="15" t="n">
        <f aca="false">D1081-E1081</f>
        <v>-70.5142123336958</v>
      </c>
      <c r="G1081" s="13" t="n">
        <f aca="false">F1081/'Final Model'!$B$21</f>
        <v>-1.43812576773895</v>
      </c>
      <c r="H1081" s="6" t="n">
        <f aca="false">F1081^2</f>
        <v>4972.25414104154</v>
      </c>
      <c r="J1081" s="6" t="n">
        <f aca="false">A1081</f>
        <v>1080</v>
      </c>
      <c r="K1081" s="13" t="n">
        <f aca="false">SMALL($G$2:$G$1387,J1081)</f>
        <v>0.781628039764656</v>
      </c>
      <c r="L1081" s="18" t="n">
        <f aca="false">(J1081-0.5)/1386</f>
        <v>0.778860028860029</v>
      </c>
      <c r="M1081" s="18" t="n">
        <f aca="false">_xlfn.NORM.DIST(K1081,AVERAGE($G$2:$G$1387),_xlfn.STDEV.S($G$2:$G$1387),TRUE())</f>
        <v>0.783365739323011</v>
      </c>
    </row>
    <row r="1082" customFormat="false" ht="15" hidden="false" customHeight="false" outlineLevel="0" collapsed="false">
      <c r="A1082" s="0" t="n">
        <f aca="false">ROW()-1</f>
        <v>1081</v>
      </c>
      <c r="B1082" s="0" t="str">
        <f aca="false">'Analysis Data'!A1082</f>
        <v>Superior</v>
      </c>
      <c r="C1082" s="5" t="n">
        <f aca="false">'Analysis Data'!B1082</f>
        <v>40316</v>
      </c>
      <c r="D1082" s="6" t="n">
        <f aca="false">'Analysis Data'!C1082</f>
        <v>235.781911171713</v>
      </c>
      <c r="E1082" s="15" t="n">
        <f aca="false">SUMPRODUCT('Final Model'!$B$45:$I$45,'Analysis Data'!N1082:U1082)</f>
        <v>244.171336105456</v>
      </c>
      <c r="F1082" s="15" t="n">
        <f aca="false">D1082-E1082</f>
        <v>-8.38942493374321</v>
      </c>
      <c r="G1082" s="13" t="n">
        <f aca="false">F1082/'Final Model'!$B$21</f>
        <v>-0.171100942270078</v>
      </c>
      <c r="H1082" s="6" t="n">
        <f aca="false">F1082^2</f>
        <v>70.3824507189123</v>
      </c>
      <c r="J1082" s="6" t="n">
        <f aca="false">A1082</f>
        <v>1081</v>
      </c>
      <c r="K1082" s="13" t="n">
        <f aca="false">SMALL($G$2:$G$1387,J1082)</f>
        <v>0.783960485060579</v>
      </c>
      <c r="L1082" s="18" t="n">
        <f aca="false">(J1082-0.5)/1386</f>
        <v>0.77958152958153</v>
      </c>
      <c r="M1082" s="18" t="n">
        <f aca="false">_xlfn.NORM.DIST(K1082,AVERAGE($G$2:$G$1387),_xlfn.STDEV.S($G$2:$G$1387),TRUE())</f>
        <v>0.784051362066042</v>
      </c>
    </row>
    <row r="1083" customFormat="false" ht="15" hidden="false" customHeight="false" outlineLevel="0" collapsed="false">
      <c r="A1083" s="0" t="n">
        <f aca="false">ROW()-1</f>
        <v>1082</v>
      </c>
      <c r="B1083" s="0" t="str">
        <f aca="false">'Analysis Data'!A1083</f>
        <v>Superior</v>
      </c>
      <c r="C1083" s="5" t="n">
        <f aca="false">'Analysis Data'!B1083</f>
        <v>40323</v>
      </c>
      <c r="D1083" s="6" t="n">
        <f aca="false">'Analysis Data'!C1083</f>
        <v>284.675014591995</v>
      </c>
      <c r="E1083" s="15" t="n">
        <f aca="false">SUMPRODUCT('Final Model'!$B$45:$I$45,'Analysis Data'!N1083:U1083)</f>
        <v>246.493152754893</v>
      </c>
      <c r="F1083" s="15" t="n">
        <f aca="false">D1083-E1083</f>
        <v>38.1818618371021</v>
      </c>
      <c r="G1083" s="13" t="n">
        <f aca="false">F1083/'Final Model'!$B$21</f>
        <v>0.778712794923267</v>
      </c>
      <c r="H1083" s="6" t="n">
        <f aca="false">F1083^2</f>
        <v>1457.85457334756</v>
      </c>
      <c r="J1083" s="6" t="n">
        <f aca="false">A1083</f>
        <v>1082</v>
      </c>
      <c r="K1083" s="13" t="n">
        <f aca="false">SMALL($G$2:$G$1387,J1083)</f>
        <v>0.785785294623654</v>
      </c>
      <c r="L1083" s="18" t="n">
        <f aca="false">(J1083-0.5)/1386</f>
        <v>0.78030303030303</v>
      </c>
      <c r="M1083" s="18" t="n">
        <f aca="false">_xlfn.NORM.DIST(K1083,AVERAGE($G$2:$G$1387),_xlfn.STDEV.S($G$2:$G$1387),TRUE())</f>
        <v>0.784586887525004</v>
      </c>
    </row>
    <row r="1084" customFormat="false" ht="15" hidden="false" customHeight="false" outlineLevel="0" collapsed="false">
      <c r="A1084" s="0" t="n">
        <f aca="false">ROW()-1</f>
        <v>1083</v>
      </c>
      <c r="B1084" s="0" t="str">
        <f aca="false">'Analysis Data'!A1084</f>
        <v>Superior</v>
      </c>
      <c r="C1084" s="5" t="n">
        <f aca="false">'Analysis Data'!B1084</f>
        <v>40330</v>
      </c>
      <c r="D1084" s="6" t="n">
        <f aca="false">'Analysis Data'!C1084</f>
        <v>214.075048683022</v>
      </c>
      <c r="E1084" s="15" t="n">
        <f aca="false">SUMPRODUCT('Final Model'!$B$45:$I$45,'Analysis Data'!N1084:U1084)</f>
        <v>248.505393851072</v>
      </c>
      <c r="F1084" s="15" t="n">
        <f aca="false">D1084-E1084</f>
        <v>-34.4303451680499</v>
      </c>
      <c r="G1084" s="13" t="n">
        <f aca="false">F1084/'Final Model'!$B$21</f>
        <v>-0.702201229221667</v>
      </c>
      <c r="H1084" s="6" t="n">
        <f aca="false">F1084^2</f>
        <v>1185.44866839106</v>
      </c>
      <c r="J1084" s="6" t="n">
        <f aca="false">A1084</f>
        <v>1083</v>
      </c>
      <c r="K1084" s="13" t="n">
        <f aca="false">SMALL($G$2:$G$1387,J1084)</f>
        <v>0.786342440721779</v>
      </c>
      <c r="L1084" s="18" t="n">
        <f aca="false">(J1084-0.5)/1386</f>
        <v>0.781024531024531</v>
      </c>
      <c r="M1084" s="18" t="n">
        <f aca="false">_xlfn.NORM.DIST(K1084,AVERAGE($G$2:$G$1387),_xlfn.STDEV.S($G$2:$G$1387),TRUE())</f>
        <v>0.784750239109907</v>
      </c>
    </row>
    <row r="1085" customFormat="false" ht="15" hidden="false" customHeight="false" outlineLevel="0" collapsed="false">
      <c r="A1085" s="0" t="n">
        <f aca="false">ROW()-1</f>
        <v>1084</v>
      </c>
      <c r="B1085" s="0" t="str">
        <f aca="false">'Analysis Data'!A1085</f>
        <v>Superior</v>
      </c>
      <c r="C1085" s="5" t="n">
        <f aca="false">'Analysis Data'!B1085</f>
        <v>40337</v>
      </c>
      <c r="D1085" s="6" t="n">
        <f aca="false">'Analysis Data'!C1085</f>
        <v>183.772631149098</v>
      </c>
      <c r="E1085" s="15" t="n">
        <f aca="false">SUMPRODUCT('Final Model'!$B$45:$I$45,'Analysis Data'!N1085:U1085)</f>
        <v>215.909432073509</v>
      </c>
      <c r="F1085" s="15" t="n">
        <f aca="false">D1085-E1085</f>
        <v>-32.1368009244108</v>
      </c>
      <c r="G1085" s="13" t="n">
        <f aca="false">F1085/'Final Model'!$B$21</f>
        <v>-0.65542477144011</v>
      </c>
      <c r="H1085" s="6" t="n">
        <f aca="false">F1085^2</f>
        <v>1032.77397365521</v>
      </c>
      <c r="J1085" s="6" t="n">
        <f aca="false">A1085</f>
        <v>1084</v>
      </c>
      <c r="K1085" s="13" t="n">
        <f aca="false">SMALL($G$2:$G$1387,J1085)</f>
        <v>0.787207026287193</v>
      </c>
      <c r="L1085" s="18" t="n">
        <f aca="false">(J1085-0.5)/1386</f>
        <v>0.781746031746032</v>
      </c>
      <c r="M1085" s="18" t="n">
        <f aca="false">_xlfn.NORM.DIST(K1085,AVERAGE($G$2:$G$1387),_xlfn.STDEV.S($G$2:$G$1387),TRUE())</f>
        <v>0.785003587539153</v>
      </c>
    </row>
    <row r="1086" customFormat="false" ht="15" hidden="false" customHeight="false" outlineLevel="0" collapsed="false">
      <c r="A1086" s="0" t="n">
        <f aca="false">ROW()-1</f>
        <v>1085</v>
      </c>
      <c r="B1086" s="0" t="str">
        <f aca="false">'Analysis Data'!A1086</f>
        <v>Superior</v>
      </c>
      <c r="C1086" s="5" t="n">
        <f aca="false">'Analysis Data'!B1086</f>
        <v>40344</v>
      </c>
      <c r="D1086" s="6" t="n">
        <f aca="false">'Analysis Data'!C1086</f>
        <v>289.286421252236</v>
      </c>
      <c r="E1086" s="15" t="n">
        <f aca="false">SUMPRODUCT('Final Model'!$B$45:$I$45,'Analysis Data'!N1086:U1086)</f>
        <v>241.370606875872</v>
      </c>
      <c r="F1086" s="15" t="n">
        <f aca="false">D1086-E1086</f>
        <v>47.9158143763634</v>
      </c>
      <c r="G1086" s="13" t="n">
        <f aca="false">F1086/'Final Model'!$B$21</f>
        <v>0.977235156662393</v>
      </c>
      <c r="H1086" s="6" t="n">
        <f aca="false">F1086^2</f>
        <v>2295.92526735011</v>
      </c>
      <c r="J1086" s="6" t="n">
        <f aca="false">A1086</f>
        <v>1085</v>
      </c>
      <c r="K1086" s="13" t="n">
        <f aca="false">SMALL($G$2:$G$1387,J1086)</f>
        <v>0.789042728390765</v>
      </c>
      <c r="L1086" s="18" t="n">
        <f aca="false">(J1086-0.5)/1386</f>
        <v>0.782467532467532</v>
      </c>
      <c r="M1086" s="18" t="n">
        <f aca="false">_xlfn.NORM.DIST(K1086,AVERAGE($G$2:$G$1387),_xlfn.STDEV.S($G$2:$G$1387),TRUE())</f>
        <v>0.78554092652162</v>
      </c>
    </row>
    <row r="1087" customFormat="false" ht="15" hidden="false" customHeight="false" outlineLevel="0" collapsed="false">
      <c r="A1087" s="0" t="n">
        <f aca="false">ROW()-1</f>
        <v>1086</v>
      </c>
      <c r="B1087" s="0" t="str">
        <f aca="false">'Analysis Data'!A1087</f>
        <v>Superior</v>
      </c>
      <c r="C1087" s="5" t="n">
        <f aca="false">'Analysis Data'!B1087</f>
        <v>40351</v>
      </c>
      <c r="D1087" s="6" t="n">
        <f aca="false">'Analysis Data'!C1087</f>
        <v>397.148581413618</v>
      </c>
      <c r="E1087" s="15" t="n">
        <f aca="false">SUMPRODUCT('Final Model'!$B$45:$I$45,'Analysis Data'!N1087:U1087)</f>
        <v>347.985388586844</v>
      </c>
      <c r="F1087" s="15" t="n">
        <f aca="false">D1087-E1087</f>
        <v>49.1631928267743</v>
      </c>
      <c r="G1087" s="13" t="n">
        <f aca="false">F1087/'Final Model'!$B$21</f>
        <v>1.00267523508473</v>
      </c>
      <c r="H1087" s="6" t="n">
        <f aca="false">F1087^2</f>
        <v>2417.01952892259</v>
      </c>
      <c r="J1087" s="6" t="n">
        <f aca="false">A1087</f>
        <v>1086</v>
      </c>
      <c r="K1087" s="13" t="n">
        <f aca="false">SMALL($G$2:$G$1387,J1087)</f>
        <v>0.794935951277308</v>
      </c>
      <c r="L1087" s="18" t="n">
        <f aca="false">(J1087-0.5)/1386</f>
        <v>0.783189033189033</v>
      </c>
      <c r="M1087" s="18" t="n">
        <f aca="false">_xlfn.NORM.DIST(K1087,AVERAGE($G$2:$G$1387),_xlfn.STDEV.S($G$2:$G$1387),TRUE())</f>
        <v>0.787260679614635</v>
      </c>
    </row>
    <row r="1088" customFormat="false" ht="15" hidden="false" customHeight="false" outlineLevel="0" collapsed="false">
      <c r="A1088" s="0" t="n">
        <f aca="false">ROW()-1</f>
        <v>1087</v>
      </c>
      <c r="B1088" s="0" t="str">
        <f aca="false">'Analysis Data'!A1088</f>
        <v>Superior</v>
      </c>
      <c r="C1088" s="5" t="n">
        <f aca="false">'Analysis Data'!B1088</f>
        <v>40358</v>
      </c>
      <c r="D1088" s="6" t="n">
        <f aca="false">'Analysis Data'!C1088</f>
        <v>300.046730673288</v>
      </c>
      <c r="E1088" s="15" t="n">
        <f aca="false">SUMPRODUCT('Final Model'!$B$45:$I$45,'Analysis Data'!N1088:U1088)</f>
        <v>312.239545976683</v>
      </c>
      <c r="F1088" s="15" t="n">
        <f aca="false">D1088-E1088</f>
        <v>-12.1928153033951</v>
      </c>
      <c r="G1088" s="13" t="n">
        <f aca="false">F1088/'Final Model'!$B$21</f>
        <v>-0.248670463567174</v>
      </c>
      <c r="H1088" s="6" t="n">
        <f aca="false">F1088^2</f>
        <v>148.664745022706</v>
      </c>
      <c r="J1088" s="6" t="n">
        <f aca="false">A1088</f>
        <v>1087</v>
      </c>
      <c r="K1088" s="13" t="n">
        <f aca="false">SMALL($G$2:$G$1387,J1088)</f>
        <v>0.798837458009574</v>
      </c>
      <c r="L1088" s="18" t="n">
        <f aca="false">(J1088-0.5)/1386</f>
        <v>0.783910533910534</v>
      </c>
      <c r="M1088" s="18" t="n">
        <f aca="false">_xlfn.NORM.DIST(K1088,AVERAGE($G$2:$G$1387),_xlfn.STDEV.S($G$2:$G$1387),TRUE())</f>
        <v>0.788394769439657</v>
      </c>
    </row>
    <row r="1089" customFormat="false" ht="15" hidden="false" customHeight="false" outlineLevel="0" collapsed="false">
      <c r="A1089" s="0" t="n">
        <f aca="false">ROW()-1</f>
        <v>1088</v>
      </c>
      <c r="B1089" s="0" t="str">
        <f aca="false">'Analysis Data'!A1089</f>
        <v>Superior</v>
      </c>
      <c r="C1089" s="5" t="n">
        <f aca="false">'Analysis Data'!B1089</f>
        <v>40365</v>
      </c>
      <c r="D1089" s="6" t="n">
        <f aca="false">'Analysis Data'!C1089</f>
        <v>256.184386209202</v>
      </c>
      <c r="E1089" s="15" t="n">
        <f aca="false">SUMPRODUCT('Final Model'!$B$45:$I$45,'Analysis Data'!N1089:U1089)</f>
        <v>323.758181455737</v>
      </c>
      <c r="F1089" s="15" t="n">
        <f aca="false">D1089-E1089</f>
        <v>-67.5737952465346</v>
      </c>
      <c r="G1089" s="13" t="n">
        <f aca="false">F1089/'Final Model'!$B$21</f>
        <v>-1.37815644466214</v>
      </c>
      <c r="H1089" s="6" t="n">
        <f aca="false">F1089^2</f>
        <v>4566.21780402059</v>
      </c>
      <c r="J1089" s="6" t="n">
        <f aca="false">A1089</f>
        <v>1088</v>
      </c>
      <c r="K1089" s="13" t="n">
        <f aca="false">SMALL($G$2:$G$1387,J1089)</f>
        <v>0.801398578066561</v>
      </c>
      <c r="L1089" s="18" t="n">
        <f aca="false">(J1089-0.5)/1386</f>
        <v>0.784632034632035</v>
      </c>
      <c r="M1089" s="18" t="n">
        <f aca="false">_xlfn.NORM.DIST(K1089,AVERAGE($G$2:$G$1387),_xlfn.STDEV.S($G$2:$G$1387),TRUE())</f>
        <v>0.789137307679719</v>
      </c>
    </row>
    <row r="1090" customFormat="false" ht="15" hidden="false" customHeight="false" outlineLevel="0" collapsed="false">
      <c r="A1090" s="0" t="n">
        <f aca="false">ROW()-1</f>
        <v>1089</v>
      </c>
      <c r="B1090" s="0" t="str">
        <f aca="false">'Analysis Data'!A1090</f>
        <v>Superior</v>
      </c>
      <c r="C1090" s="5" t="n">
        <f aca="false">'Analysis Data'!B1090</f>
        <v>40372</v>
      </c>
      <c r="D1090" s="6" t="n">
        <f aca="false">'Analysis Data'!C1090</f>
        <v>318.578288972741</v>
      </c>
      <c r="E1090" s="15" t="n">
        <f aca="false">SUMPRODUCT('Final Model'!$B$45:$I$45,'Analysis Data'!N1090:U1090)</f>
        <v>318.091726271385</v>
      </c>
      <c r="F1090" s="15" t="n">
        <f aca="false">D1090-E1090</f>
        <v>0.486562701356377</v>
      </c>
      <c r="G1090" s="13" t="n">
        <f aca="false">F1090/'Final Model'!$B$21</f>
        <v>0.00992336630139028</v>
      </c>
      <c r="H1090" s="6" t="n">
        <f aca="false">F1090^2</f>
        <v>0.236743262351215</v>
      </c>
      <c r="J1090" s="6" t="n">
        <f aca="false">A1090</f>
        <v>1089</v>
      </c>
      <c r="K1090" s="13" t="n">
        <f aca="false">SMALL($G$2:$G$1387,J1090)</f>
        <v>0.804750543456369</v>
      </c>
      <c r="L1090" s="18" t="n">
        <f aca="false">(J1090-0.5)/1386</f>
        <v>0.785353535353535</v>
      </c>
      <c r="M1090" s="18" t="n">
        <f aca="false">_xlfn.NORM.DIST(K1090,AVERAGE($G$2:$G$1387),_xlfn.STDEV.S($G$2:$G$1387),TRUE())</f>
        <v>0.79010682126104</v>
      </c>
    </row>
    <row r="1091" customFormat="false" ht="15" hidden="false" customHeight="false" outlineLevel="0" collapsed="false">
      <c r="A1091" s="0" t="n">
        <f aca="false">ROW()-1</f>
        <v>1090</v>
      </c>
      <c r="B1091" s="0" t="str">
        <f aca="false">'Analysis Data'!A1091</f>
        <v>Tamarac</v>
      </c>
      <c r="C1091" s="5" t="n">
        <f aca="false">'Analysis Data'!B1091</f>
        <v>40302</v>
      </c>
      <c r="D1091" s="6" t="n">
        <f aca="false">'Analysis Data'!C1091</f>
        <v>281.765154097375</v>
      </c>
      <c r="E1091" s="15" t="n">
        <f aca="false">SUMPRODUCT('Final Model'!$B$45:$I$45,'Analysis Data'!N1091:U1091)</f>
        <v>246.385686754499</v>
      </c>
      <c r="F1091" s="15" t="n">
        <f aca="false">D1091-E1091</f>
        <v>35.3794673428754</v>
      </c>
      <c r="G1091" s="13" t="n">
        <f aca="false">F1091/'Final Model'!$B$21</f>
        <v>0.721558419937909</v>
      </c>
      <c r="H1091" s="6" t="n">
        <f aca="false">F1091^2</f>
        <v>1251.70670946559</v>
      </c>
      <c r="J1091" s="6" t="n">
        <f aca="false">A1091</f>
        <v>1090</v>
      </c>
      <c r="K1091" s="13" t="n">
        <f aca="false">SMALL($G$2:$G$1387,J1091)</f>
        <v>0.806598377986882</v>
      </c>
      <c r="L1091" s="18" t="n">
        <f aca="false">(J1091-0.5)/1386</f>
        <v>0.786075036075036</v>
      </c>
      <c r="M1091" s="18" t="n">
        <f aca="false">_xlfn.NORM.DIST(K1091,AVERAGE($G$2:$G$1387),_xlfn.STDEV.S($G$2:$G$1387),TRUE())</f>
        <v>0.790640161866361</v>
      </c>
    </row>
    <row r="1092" customFormat="false" ht="15" hidden="false" customHeight="false" outlineLevel="0" collapsed="false">
      <c r="A1092" s="0" t="n">
        <f aca="false">ROW()-1</f>
        <v>1091</v>
      </c>
      <c r="B1092" s="0" t="str">
        <f aca="false">'Analysis Data'!A1092</f>
        <v>Tamarac</v>
      </c>
      <c r="C1092" s="5" t="n">
        <f aca="false">'Analysis Data'!B1092</f>
        <v>40309</v>
      </c>
      <c r="D1092" s="6" t="n">
        <f aca="false">'Analysis Data'!C1092</f>
        <v>348.466746688226</v>
      </c>
      <c r="E1092" s="15" t="n">
        <f aca="false">SUMPRODUCT('Final Model'!$B$45:$I$45,'Analysis Data'!N1092:U1092)</f>
        <v>357.798549697095</v>
      </c>
      <c r="F1092" s="15" t="n">
        <f aca="false">D1092-E1092</f>
        <v>-9.33180300886863</v>
      </c>
      <c r="G1092" s="13" t="n">
        <f aca="false">F1092/'Final Model'!$B$21</f>
        <v>-0.190320588181694</v>
      </c>
      <c r="H1092" s="6" t="n">
        <f aca="false">F1092^2</f>
        <v>87.0825473963297</v>
      </c>
      <c r="J1092" s="6" t="n">
        <f aca="false">A1092</f>
        <v>1091</v>
      </c>
      <c r="K1092" s="13" t="n">
        <f aca="false">SMALL($G$2:$G$1387,J1092)</f>
        <v>0.810747846656155</v>
      </c>
      <c r="L1092" s="18" t="n">
        <f aca="false">(J1092-0.5)/1386</f>
        <v>0.786796536796537</v>
      </c>
      <c r="M1092" s="18" t="n">
        <f aca="false">_xlfn.NORM.DIST(K1092,AVERAGE($G$2:$G$1387),_xlfn.STDEV.S($G$2:$G$1387),TRUE())</f>
        <v>0.791834913008923</v>
      </c>
    </row>
    <row r="1093" customFormat="false" ht="15" hidden="false" customHeight="false" outlineLevel="0" collapsed="false">
      <c r="A1093" s="0" t="n">
        <f aca="false">ROW()-1</f>
        <v>1092</v>
      </c>
      <c r="B1093" s="0" t="str">
        <f aca="false">'Analysis Data'!A1093</f>
        <v>Tamarac</v>
      </c>
      <c r="C1093" s="5" t="n">
        <f aca="false">'Analysis Data'!B1093</f>
        <v>40316</v>
      </c>
      <c r="D1093" s="6" t="n">
        <f aca="false">'Analysis Data'!C1093</f>
        <v>378.719147938433</v>
      </c>
      <c r="E1093" s="15" t="n">
        <f aca="false">SUMPRODUCT('Final Model'!$B$45:$I$45,'Analysis Data'!N1093:U1093)</f>
        <v>330.108036775534</v>
      </c>
      <c r="F1093" s="15" t="n">
        <f aca="false">D1093-E1093</f>
        <v>48.611111162899</v>
      </c>
      <c r="G1093" s="13" t="n">
        <f aca="false">F1093/'Final Model'!$B$21</f>
        <v>0.99141562031433</v>
      </c>
      <c r="H1093" s="6" t="n">
        <f aca="false">F1093^2</f>
        <v>2363.04012849172</v>
      </c>
      <c r="J1093" s="6" t="n">
        <f aca="false">A1093</f>
        <v>1092</v>
      </c>
      <c r="K1093" s="13" t="n">
        <f aca="false">SMALL($G$2:$G$1387,J1093)</f>
        <v>0.811105094147807</v>
      </c>
      <c r="L1093" s="18" t="n">
        <f aca="false">(J1093-0.5)/1386</f>
        <v>0.787518037518038</v>
      </c>
      <c r="M1093" s="18" t="n">
        <f aca="false">_xlfn.NORM.DIST(K1093,AVERAGE($G$2:$G$1387),_xlfn.STDEV.S($G$2:$G$1387),TRUE())</f>
        <v>0.79193758636232</v>
      </c>
    </row>
    <row r="1094" customFormat="false" ht="15" hidden="false" customHeight="false" outlineLevel="0" collapsed="false">
      <c r="A1094" s="0" t="n">
        <f aca="false">ROW()-1</f>
        <v>1093</v>
      </c>
      <c r="B1094" s="0" t="str">
        <f aca="false">'Analysis Data'!A1094</f>
        <v>Tamarac</v>
      </c>
      <c r="C1094" s="5" t="n">
        <f aca="false">'Analysis Data'!B1094</f>
        <v>40323</v>
      </c>
      <c r="D1094" s="6" t="n">
        <f aca="false">'Analysis Data'!C1094</f>
        <v>360.3041564529</v>
      </c>
      <c r="E1094" s="15" t="n">
        <f aca="false">SUMPRODUCT('Final Model'!$B$45:$I$45,'Analysis Data'!N1094:U1094)</f>
        <v>306.948218767703</v>
      </c>
      <c r="F1094" s="15" t="n">
        <f aca="false">D1094-E1094</f>
        <v>53.3559376851965</v>
      </c>
      <c r="G1094" s="13" t="n">
        <f aca="false">F1094/'Final Model'!$B$21</f>
        <v>1.08818557716892</v>
      </c>
      <c r="H1094" s="6" t="n">
        <f aca="false">F1094^2</f>
        <v>2846.85608626657</v>
      </c>
      <c r="J1094" s="6" t="n">
        <f aca="false">A1094</f>
        <v>1093</v>
      </c>
      <c r="K1094" s="13" t="n">
        <f aca="false">SMALL($G$2:$G$1387,J1094)</f>
        <v>0.816440893199212</v>
      </c>
      <c r="L1094" s="18" t="n">
        <f aca="false">(J1094-0.5)/1386</f>
        <v>0.788239538239538</v>
      </c>
      <c r="M1094" s="18" t="n">
        <f aca="false">_xlfn.NORM.DIST(K1094,AVERAGE($G$2:$G$1387),_xlfn.STDEV.S($G$2:$G$1387),TRUE())</f>
        <v>0.793467540807015</v>
      </c>
    </row>
    <row r="1095" customFormat="false" ht="15" hidden="false" customHeight="false" outlineLevel="0" collapsed="false">
      <c r="A1095" s="0" t="n">
        <f aca="false">ROW()-1</f>
        <v>1094</v>
      </c>
      <c r="B1095" s="0" t="str">
        <f aca="false">'Analysis Data'!A1095</f>
        <v>Tamarac</v>
      </c>
      <c r="C1095" s="5" t="n">
        <f aca="false">'Analysis Data'!B1095</f>
        <v>40330</v>
      </c>
      <c r="D1095" s="6" t="n">
        <f aca="false">'Analysis Data'!C1095</f>
        <v>342.763355272621</v>
      </c>
      <c r="E1095" s="15" t="n">
        <f aca="false">SUMPRODUCT('Final Model'!$B$45:$I$45,'Analysis Data'!N1095:U1095)</f>
        <v>304.07499592448</v>
      </c>
      <c r="F1095" s="15" t="n">
        <f aca="false">D1095-E1095</f>
        <v>38.6883593481406</v>
      </c>
      <c r="G1095" s="13" t="n">
        <f aca="false">F1095/'Final Model'!$B$21</f>
        <v>0.789042728390765</v>
      </c>
      <c r="H1095" s="6" t="n">
        <f aca="false">F1095^2</f>
        <v>1496.78914905086</v>
      </c>
      <c r="J1095" s="6" t="n">
        <f aca="false">A1095</f>
        <v>1094</v>
      </c>
      <c r="K1095" s="13" t="n">
        <f aca="false">SMALL($G$2:$G$1387,J1095)</f>
        <v>0.818693990335794</v>
      </c>
      <c r="L1095" s="18" t="n">
        <f aca="false">(J1095-0.5)/1386</f>
        <v>0.788961038961039</v>
      </c>
      <c r="M1095" s="18" t="n">
        <f aca="false">_xlfn.NORM.DIST(K1095,AVERAGE($G$2:$G$1387),_xlfn.STDEV.S($G$2:$G$1387),TRUE())</f>
        <v>0.794111573798433</v>
      </c>
    </row>
    <row r="1096" customFormat="false" ht="15" hidden="false" customHeight="false" outlineLevel="0" collapsed="false">
      <c r="A1096" s="0" t="n">
        <f aca="false">ROW()-1</f>
        <v>1095</v>
      </c>
      <c r="B1096" s="0" t="str">
        <f aca="false">'Analysis Data'!A1096</f>
        <v>Tamarac</v>
      </c>
      <c r="C1096" s="5" t="n">
        <f aca="false">'Analysis Data'!B1096</f>
        <v>40337</v>
      </c>
      <c r="D1096" s="6" t="n">
        <f aca="false">'Analysis Data'!C1096</f>
        <v>360.594649889796</v>
      </c>
      <c r="E1096" s="15" t="n">
        <f aca="false">SUMPRODUCT('Final Model'!$B$45:$I$45,'Analysis Data'!N1096:U1096)</f>
        <v>290.231032878482</v>
      </c>
      <c r="F1096" s="15" t="n">
        <f aca="false">D1096-E1096</f>
        <v>70.3636170113139</v>
      </c>
      <c r="G1096" s="13" t="n">
        <f aca="false">F1096/'Final Model'!$B$21</f>
        <v>1.43505440089742</v>
      </c>
      <c r="H1096" s="6" t="n">
        <f aca="false">F1096^2</f>
        <v>4951.03859891487</v>
      </c>
      <c r="J1096" s="6" t="n">
        <f aca="false">A1096</f>
        <v>1095</v>
      </c>
      <c r="K1096" s="13" t="n">
        <f aca="false">SMALL($G$2:$G$1387,J1096)</f>
        <v>0.821291819351693</v>
      </c>
      <c r="L1096" s="18" t="n">
        <f aca="false">(J1096-0.5)/1386</f>
        <v>0.78968253968254</v>
      </c>
      <c r="M1096" s="18" t="n">
        <f aca="false">_xlfn.NORM.DIST(K1096,AVERAGE($G$2:$G$1387),_xlfn.STDEV.S($G$2:$G$1387),TRUE())</f>
        <v>0.794852665410097</v>
      </c>
    </row>
    <row r="1097" customFormat="false" ht="15" hidden="false" customHeight="false" outlineLevel="0" collapsed="false">
      <c r="A1097" s="0" t="n">
        <f aca="false">ROW()-1</f>
        <v>1096</v>
      </c>
      <c r="B1097" s="0" t="str">
        <f aca="false">'Analysis Data'!A1097</f>
        <v>Tamarac</v>
      </c>
      <c r="C1097" s="5" t="n">
        <f aca="false">'Analysis Data'!B1097</f>
        <v>40344</v>
      </c>
      <c r="D1097" s="6" t="n">
        <f aca="false">'Analysis Data'!C1097</f>
        <v>283.693763499371</v>
      </c>
      <c r="E1097" s="15" t="n">
        <f aca="false">SUMPRODUCT('Final Model'!$B$45:$I$45,'Analysis Data'!N1097:U1097)</f>
        <v>311.656409400049</v>
      </c>
      <c r="F1097" s="15" t="n">
        <f aca="false">D1097-E1097</f>
        <v>-27.9626459006783</v>
      </c>
      <c r="G1097" s="13" t="n">
        <f aca="false">F1097/'Final Model'!$B$21</f>
        <v>-0.570293565978171</v>
      </c>
      <c r="H1097" s="6" t="n">
        <f aca="false">F1097^2</f>
        <v>781.909565766721</v>
      </c>
      <c r="J1097" s="6" t="n">
        <f aca="false">A1097</f>
        <v>1096</v>
      </c>
      <c r="K1097" s="13" t="n">
        <f aca="false">SMALL($G$2:$G$1387,J1097)</f>
        <v>0.826138732040478</v>
      </c>
      <c r="L1097" s="18" t="n">
        <f aca="false">(J1097-0.5)/1386</f>
        <v>0.79040404040404</v>
      </c>
      <c r="M1097" s="18" t="n">
        <f aca="false">_xlfn.NORM.DIST(K1097,AVERAGE($G$2:$G$1387),_xlfn.STDEV.S($G$2:$G$1387),TRUE())</f>
        <v>0.796231115582559</v>
      </c>
    </row>
    <row r="1098" customFormat="false" ht="15" hidden="false" customHeight="false" outlineLevel="0" collapsed="false">
      <c r="A1098" s="0" t="n">
        <f aca="false">ROW()-1</f>
        <v>1097</v>
      </c>
      <c r="B1098" s="0" t="str">
        <f aca="false">'Analysis Data'!A1098</f>
        <v>Tamarac</v>
      </c>
      <c r="C1098" s="5" t="n">
        <f aca="false">'Analysis Data'!B1098</f>
        <v>40351</v>
      </c>
      <c r="D1098" s="6" t="n">
        <f aca="false">'Analysis Data'!C1098</f>
        <v>248.036441056751</v>
      </c>
      <c r="E1098" s="15" t="n">
        <f aca="false">SUMPRODUCT('Final Model'!$B$45:$I$45,'Analysis Data'!N1098:U1098)</f>
        <v>231.01639579605</v>
      </c>
      <c r="F1098" s="15" t="n">
        <f aca="false">D1098-E1098</f>
        <v>17.0200452607004</v>
      </c>
      <c r="G1098" s="13" t="n">
        <f aca="false">F1098/'Final Model'!$B$21</f>
        <v>0.347121024931309</v>
      </c>
      <c r="H1098" s="6" t="n">
        <f aca="false">F1098^2</f>
        <v>289.681940676292</v>
      </c>
      <c r="J1098" s="6" t="n">
        <f aca="false">A1098</f>
        <v>1097</v>
      </c>
      <c r="K1098" s="13" t="n">
        <f aca="false">SMALL($G$2:$G$1387,J1098)</f>
        <v>0.826222346150528</v>
      </c>
      <c r="L1098" s="18" t="n">
        <f aca="false">(J1098-0.5)/1386</f>
        <v>0.791125541125541</v>
      </c>
      <c r="M1098" s="18" t="n">
        <f aca="false">_xlfn.NORM.DIST(K1098,AVERAGE($G$2:$G$1387),_xlfn.STDEV.S($G$2:$G$1387),TRUE())</f>
        <v>0.796254846682359</v>
      </c>
    </row>
    <row r="1099" customFormat="false" ht="15" hidden="false" customHeight="false" outlineLevel="0" collapsed="false">
      <c r="A1099" s="0" t="n">
        <f aca="false">ROW()-1</f>
        <v>1098</v>
      </c>
      <c r="B1099" s="0" t="str">
        <f aca="false">'Analysis Data'!A1099</f>
        <v>Tamarac</v>
      </c>
      <c r="C1099" s="5" t="n">
        <f aca="false">'Analysis Data'!B1099</f>
        <v>40358</v>
      </c>
      <c r="D1099" s="6" t="n">
        <f aca="false">'Analysis Data'!C1099</f>
        <v>378.967575512483</v>
      </c>
      <c r="E1099" s="15" t="n">
        <f aca="false">SUMPRODUCT('Final Model'!$B$45:$I$45,'Analysis Data'!N1099:U1099)</f>
        <v>359.629329409558</v>
      </c>
      <c r="F1099" s="15" t="n">
        <f aca="false">D1099-E1099</f>
        <v>19.3382461029251</v>
      </c>
      <c r="G1099" s="13" t="n">
        <f aca="false">F1099/'Final Model'!$B$21</f>
        <v>0.394400349987378</v>
      </c>
      <c r="H1099" s="6" t="n">
        <f aca="false">F1099^2</f>
        <v>373.967762337298</v>
      </c>
      <c r="J1099" s="6" t="n">
        <f aca="false">A1099</f>
        <v>1098</v>
      </c>
      <c r="K1099" s="13" t="n">
        <f aca="false">SMALL($G$2:$G$1387,J1099)</f>
        <v>0.826477280006826</v>
      </c>
      <c r="L1099" s="18" t="n">
        <f aca="false">(J1099-0.5)/1386</f>
        <v>0.791847041847042</v>
      </c>
      <c r="M1099" s="18" t="n">
        <f aca="false">_xlfn.NORM.DIST(K1099,AVERAGE($G$2:$G$1387),_xlfn.STDEV.S($G$2:$G$1387),TRUE())</f>
        <v>0.796327191055506</v>
      </c>
    </row>
    <row r="1100" customFormat="false" ht="15" hidden="false" customHeight="false" outlineLevel="0" collapsed="false">
      <c r="A1100" s="0" t="n">
        <f aca="false">ROW()-1</f>
        <v>1099</v>
      </c>
      <c r="B1100" s="0" t="str">
        <f aca="false">'Analysis Data'!A1100</f>
        <v>Tamarac</v>
      </c>
      <c r="C1100" s="5" t="n">
        <f aca="false">'Analysis Data'!B1100</f>
        <v>40365</v>
      </c>
      <c r="D1100" s="6" t="n">
        <f aca="false">'Analysis Data'!C1100</f>
        <v>270.206872667468</v>
      </c>
      <c r="E1100" s="15" t="n">
        <f aca="false">SUMPRODUCT('Final Model'!$B$45:$I$45,'Analysis Data'!N1100:U1100)</f>
        <v>300.162815683778</v>
      </c>
      <c r="F1100" s="15" t="n">
        <f aca="false">D1100-E1100</f>
        <v>-29.9559430163101</v>
      </c>
      <c r="G1100" s="13" t="n">
        <f aca="false">F1100/'Final Model'!$B$21</f>
        <v>-0.610946532945797</v>
      </c>
      <c r="H1100" s="6" t="n">
        <f aca="false">F1100^2</f>
        <v>897.35852199642</v>
      </c>
      <c r="J1100" s="6" t="n">
        <f aca="false">A1100</f>
        <v>1099</v>
      </c>
      <c r="K1100" s="13" t="n">
        <f aca="false">SMALL($G$2:$G$1387,J1100)</f>
        <v>0.827187940509811</v>
      </c>
      <c r="L1100" s="18" t="n">
        <f aca="false">(J1100-0.5)/1386</f>
        <v>0.792568542568543</v>
      </c>
      <c r="M1100" s="18" t="n">
        <f aca="false">_xlfn.NORM.DIST(K1100,AVERAGE($G$2:$G$1387),_xlfn.STDEV.S($G$2:$G$1387),TRUE())</f>
        <v>0.796528779308884</v>
      </c>
    </row>
    <row r="1101" customFormat="false" ht="15" hidden="false" customHeight="false" outlineLevel="0" collapsed="false">
      <c r="A1101" s="0" t="n">
        <f aca="false">ROW()-1</f>
        <v>1100</v>
      </c>
      <c r="B1101" s="0" t="str">
        <f aca="false">'Analysis Data'!A1101</f>
        <v>Tamarac</v>
      </c>
      <c r="C1101" s="5" t="n">
        <f aca="false">'Analysis Data'!B1101</f>
        <v>40372</v>
      </c>
      <c r="D1101" s="6" t="n">
        <f aca="false">'Analysis Data'!C1101</f>
        <v>305.500568865987</v>
      </c>
      <c r="E1101" s="15" t="n">
        <f aca="false">SUMPRODUCT('Final Model'!$B$45:$I$45,'Analysis Data'!N1101:U1101)</f>
        <v>310.400683337602</v>
      </c>
      <c r="F1101" s="15" t="n">
        <f aca="false">D1101-E1101</f>
        <v>-4.90011447161521</v>
      </c>
      <c r="G1101" s="13" t="n">
        <f aca="false">F1101/'Final Model'!$B$21</f>
        <v>-0.0999370290509917</v>
      </c>
      <c r="H1101" s="6" t="n">
        <f aca="false">F1101^2</f>
        <v>24.0111218349328</v>
      </c>
      <c r="J1101" s="6" t="n">
        <f aca="false">A1101</f>
        <v>1100</v>
      </c>
      <c r="K1101" s="13" t="n">
        <f aca="false">SMALL($G$2:$G$1387,J1101)</f>
        <v>0.828665167038495</v>
      </c>
      <c r="L1101" s="18" t="n">
        <f aca="false">(J1101-0.5)/1386</f>
        <v>0.793290043290043</v>
      </c>
      <c r="M1101" s="18" t="n">
        <f aca="false">_xlfn.NORM.DIST(K1101,AVERAGE($G$2:$G$1387),_xlfn.STDEV.S($G$2:$G$1387),TRUE())</f>
        <v>0.796947433123159</v>
      </c>
    </row>
    <row r="1102" customFormat="false" ht="15" hidden="false" customHeight="false" outlineLevel="0" collapsed="false">
      <c r="A1102" s="0" t="n">
        <f aca="false">ROW()-1</f>
        <v>1101</v>
      </c>
      <c r="B1102" s="0" t="str">
        <f aca="false">'Analysis Data'!A1102</f>
        <v>Alpharetta (aka Alpharetta Harry's)</v>
      </c>
      <c r="C1102" s="5" t="n">
        <f aca="false">'Analysis Data'!B1102</f>
        <v>40302</v>
      </c>
      <c r="D1102" s="6" t="n">
        <f aca="false">'Analysis Data'!C1102</f>
        <v>194.943435790062</v>
      </c>
      <c r="E1102" s="15" t="n">
        <f aca="false">SUMPRODUCT('Final Model'!$B$45:$I$45,'Analysis Data'!N1102:U1102)</f>
        <v>187.267817455275</v>
      </c>
      <c r="F1102" s="15" t="n">
        <f aca="false">D1102-E1102</f>
        <v>7.67561833478635</v>
      </c>
      <c r="G1102" s="13" t="n">
        <f aca="false">F1102/'Final Model'!$B$21</f>
        <v>0.156542974036894</v>
      </c>
      <c r="H1102" s="6" t="n">
        <f aca="false">F1102^2</f>
        <v>58.9151168213084</v>
      </c>
      <c r="J1102" s="6" t="n">
        <f aca="false">A1102</f>
        <v>1101</v>
      </c>
      <c r="K1102" s="13" t="n">
        <f aca="false">SMALL($G$2:$G$1387,J1102)</f>
        <v>0.828684253152657</v>
      </c>
      <c r="L1102" s="18" t="n">
        <f aca="false">(J1102-0.5)/1386</f>
        <v>0.794011544011544</v>
      </c>
      <c r="M1102" s="18" t="n">
        <f aca="false">_xlfn.NORM.DIST(K1102,AVERAGE($G$2:$G$1387),_xlfn.STDEV.S($G$2:$G$1387),TRUE())</f>
        <v>0.796952838861059</v>
      </c>
    </row>
    <row r="1103" customFormat="false" ht="15" hidden="false" customHeight="false" outlineLevel="0" collapsed="false">
      <c r="A1103" s="0" t="n">
        <f aca="false">ROW()-1</f>
        <v>1102</v>
      </c>
      <c r="B1103" s="0" t="str">
        <f aca="false">'Analysis Data'!A1103</f>
        <v>Alpharetta (aka Alpharetta Harry's)</v>
      </c>
      <c r="C1103" s="5" t="n">
        <f aca="false">'Analysis Data'!B1103</f>
        <v>40309</v>
      </c>
      <c r="D1103" s="6" t="n">
        <f aca="false">'Analysis Data'!C1103</f>
        <v>130.595290689436</v>
      </c>
      <c r="E1103" s="15" t="n">
        <f aca="false">SUMPRODUCT('Final Model'!$B$45:$I$45,'Analysis Data'!N1103:U1103)</f>
        <v>196.251974845473</v>
      </c>
      <c r="F1103" s="15" t="n">
        <f aca="false">D1103-E1103</f>
        <v>-65.6566841560371</v>
      </c>
      <c r="G1103" s="13" t="n">
        <f aca="false">F1103/'Final Model'!$B$21</f>
        <v>-1.33905727915185</v>
      </c>
      <c r="H1103" s="6" t="n">
        <f aca="false">F1103^2</f>
        <v>4310.80017436561</v>
      </c>
      <c r="J1103" s="6" t="n">
        <f aca="false">A1103</f>
        <v>1102</v>
      </c>
      <c r="K1103" s="13" t="n">
        <f aca="false">SMALL($G$2:$G$1387,J1103)</f>
        <v>0.828790602988182</v>
      </c>
      <c r="L1103" s="18" t="n">
        <f aca="false">(J1103-0.5)/1386</f>
        <v>0.794733044733045</v>
      </c>
      <c r="M1103" s="18" t="n">
        <f aca="false">_xlfn.NORM.DIST(K1103,AVERAGE($G$2:$G$1387),_xlfn.STDEV.S($G$2:$G$1387),TRUE())</f>
        <v>0.796982958627729</v>
      </c>
    </row>
    <row r="1104" customFormat="false" ht="15" hidden="false" customHeight="false" outlineLevel="0" collapsed="false">
      <c r="A1104" s="0" t="n">
        <f aca="false">ROW()-1</f>
        <v>1103</v>
      </c>
      <c r="B1104" s="0" t="str">
        <f aca="false">'Analysis Data'!A1104</f>
        <v>Alpharetta (aka Alpharetta Harry's)</v>
      </c>
      <c r="C1104" s="5" t="n">
        <f aca="false">'Analysis Data'!B1104</f>
        <v>40316</v>
      </c>
      <c r="D1104" s="6" t="n">
        <f aca="false">'Analysis Data'!C1104</f>
        <v>232.022321697341</v>
      </c>
      <c r="E1104" s="15" t="n">
        <f aca="false">SUMPRODUCT('Final Model'!$B$45:$I$45,'Analysis Data'!N1104:U1104)</f>
        <v>193.493680908918</v>
      </c>
      <c r="F1104" s="15" t="n">
        <f aca="false">D1104-E1104</f>
        <v>38.5286407884223</v>
      </c>
      <c r="G1104" s="13" t="n">
        <f aca="false">F1104/'Final Model'!$B$21</f>
        <v>0.785785294623654</v>
      </c>
      <c r="H1104" s="6" t="n">
        <f aca="false">F1104^2</f>
        <v>1484.45616100328</v>
      </c>
      <c r="J1104" s="6" t="n">
        <f aca="false">A1104</f>
        <v>1103</v>
      </c>
      <c r="K1104" s="13" t="n">
        <f aca="false">SMALL($G$2:$G$1387,J1104)</f>
        <v>0.830180649263426</v>
      </c>
      <c r="L1104" s="18" t="n">
        <f aca="false">(J1104-0.5)/1386</f>
        <v>0.795454545454545</v>
      </c>
      <c r="M1104" s="18" t="n">
        <f aca="false">_xlfn.NORM.DIST(K1104,AVERAGE($G$2:$G$1387),_xlfn.STDEV.S($G$2:$G$1387),TRUE())</f>
        <v>0.79737639386087</v>
      </c>
    </row>
    <row r="1105" customFormat="false" ht="15" hidden="false" customHeight="false" outlineLevel="0" collapsed="false">
      <c r="A1105" s="0" t="n">
        <f aca="false">ROW()-1</f>
        <v>1104</v>
      </c>
      <c r="B1105" s="0" t="str">
        <f aca="false">'Analysis Data'!A1105</f>
        <v>Alpharetta (aka Alpharetta Harry's)</v>
      </c>
      <c r="C1105" s="5" t="n">
        <f aca="false">'Analysis Data'!B1105</f>
        <v>40323</v>
      </c>
      <c r="D1105" s="6" t="n">
        <f aca="false">'Analysis Data'!C1105</f>
        <v>212.955317634339</v>
      </c>
      <c r="E1105" s="15" t="n">
        <f aca="false">SUMPRODUCT('Final Model'!$B$45:$I$45,'Analysis Data'!N1105:U1105)</f>
        <v>198.237946479793</v>
      </c>
      <c r="F1105" s="15" t="n">
        <f aca="false">D1105-E1105</f>
        <v>14.7173711545458</v>
      </c>
      <c r="G1105" s="13" t="n">
        <f aca="false">F1105/'Final Model'!$B$21</f>
        <v>0.300158365104735</v>
      </c>
      <c r="H1105" s="6" t="n">
        <f aca="false">F1105^2</f>
        <v>216.601013700658</v>
      </c>
      <c r="J1105" s="6" t="n">
        <f aca="false">A1105</f>
        <v>1104</v>
      </c>
      <c r="K1105" s="13" t="n">
        <f aca="false">SMALL($G$2:$G$1387,J1105)</f>
        <v>0.834446556273636</v>
      </c>
      <c r="L1105" s="18" t="n">
        <f aca="false">(J1105-0.5)/1386</f>
        <v>0.796176046176046</v>
      </c>
      <c r="M1105" s="18" t="n">
        <f aca="false">_xlfn.NORM.DIST(K1105,AVERAGE($G$2:$G$1387),_xlfn.STDEV.S($G$2:$G$1387),TRUE())</f>
        <v>0.798580957118863</v>
      </c>
    </row>
    <row r="1106" customFormat="false" ht="15" hidden="false" customHeight="false" outlineLevel="0" collapsed="false">
      <c r="A1106" s="0" t="n">
        <f aca="false">ROW()-1</f>
        <v>1105</v>
      </c>
      <c r="B1106" s="0" t="str">
        <f aca="false">'Analysis Data'!A1106</f>
        <v>Alpharetta (aka Alpharetta Harry's)</v>
      </c>
      <c r="C1106" s="5" t="n">
        <f aca="false">'Analysis Data'!B1106</f>
        <v>40330</v>
      </c>
      <c r="D1106" s="6" t="n">
        <f aca="false">'Analysis Data'!C1106</f>
        <v>162.340529150627</v>
      </c>
      <c r="E1106" s="15" t="n">
        <f aca="false">SUMPRODUCT('Final Model'!$B$45:$I$45,'Analysis Data'!N1106:U1106)</f>
        <v>198.581200846149</v>
      </c>
      <c r="F1106" s="15" t="n">
        <f aca="false">D1106-E1106</f>
        <v>-36.2406716955223</v>
      </c>
      <c r="G1106" s="13" t="n">
        <f aca="false">F1106/'Final Model'!$B$21</f>
        <v>-0.739122541124845</v>
      </c>
      <c r="H1106" s="6" t="n">
        <f aca="false">F1106^2</f>
        <v>1313.38628494263</v>
      </c>
      <c r="J1106" s="6" t="n">
        <f aca="false">A1106</f>
        <v>1105</v>
      </c>
      <c r="K1106" s="13" t="n">
        <f aca="false">SMALL($G$2:$G$1387,J1106)</f>
        <v>0.834701356145327</v>
      </c>
      <c r="L1106" s="18" t="n">
        <f aca="false">(J1106-0.5)/1386</f>
        <v>0.796897546897547</v>
      </c>
      <c r="M1106" s="18" t="n">
        <f aca="false">_xlfn.NORM.DIST(K1106,AVERAGE($G$2:$G$1387),_xlfn.STDEV.S($G$2:$G$1387),TRUE())</f>
        <v>0.798652768820723</v>
      </c>
    </row>
    <row r="1107" customFormat="false" ht="15" hidden="false" customHeight="false" outlineLevel="0" collapsed="false">
      <c r="A1107" s="0" t="n">
        <f aca="false">ROW()-1</f>
        <v>1106</v>
      </c>
      <c r="B1107" s="0" t="str">
        <f aca="false">'Analysis Data'!A1107</f>
        <v>Alpharetta (aka Alpharetta Harry's)</v>
      </c>
      <c r="C1107" s="5" t="n">
        <f aca="false">'Analysis Data'!B1107</f>
        <v>40337</v>
      </c>
      <c r="D1107" s="6" t="n">
        <f aca="false">'Analysis Data'!C1107</f>
        <v>196.185915829739</v>
      </c>
      <c r="E1107" s="15" t="n">
        <f aca="false">SUMPRODUCT('Final Model'!$B$45:$I$45,'Analysis Data'!N1107:U1107)</f>
        <v>191.365854167319</v>
      </c>
      <c r="F1107" s="15" t="n">
        <f aca="false">D1107-E1107</f>
        <v>4.82006166241999</v>
      </c>
      <c r="G1107" s="13" t="n">
        <f aca="false">F1107/'Final Model'!$B$21</f>
        <v>0.0983043651684438</v>
      </c>
      <c r="H1107" s="6" t="n">
        <f aca="false">F1107^2</f>
        <v>23.2329944295309</v>
      </c>
      <c r="J1107" s="6" t="n">
        <f aca="false">A1107</f>
        <v>1106</v>
      </c>
      <c r="K1107" s="13" t="n">
        <f aca="false">SMALL($G$2:$G$1387,J1107)</f>
        <v>0.839774723815283</v>
      </c>
      <c r="L1107" s="18" t="n">
        <f aca="false">(J1107-0.5)/1386</f>
        <v>0.797619047619048</v>
      </c>
      <c r="M1107" s="18" t="n">
        <f aca="false">_xlfn.NORM.DIST(K1107,AVERAGE($G$2:$G$1387),_xlfn.STDEV.S($G$2:$G$1387),TRUE())</f>
        <v>0.80007942775261</v>
      </c>
    </row>
    <row r="1108" customFormat="false" ht="15" hidden="false" customHeight="false" outlineLevel="0" collapsed="false">
      <c r="A1108" s="0" t="n">
        <f aca="false">ROW()-1</f>
        <v>1107</v>
      </c>
      <c r="B1108" s="0" t="str">
        <f aca="false">'Analysis Data'!A1108</f>
        <v>Alpharetta (aka Alpharetta Harry's)</v>
      </c>
      <c r="C1108" s="5" t="n">
        <f aca="false">'Analysis Data'!B1108</f>
        <v>40344</v>
      </c>
      <c r="D1108" s="6" t="n">
        <f aca="false">'Analysis Data'!C1108</f>
        <v>189.97022168515</v>
      </c>
      <c r="E1108" s="15" t="n">
        <f aca="false">SUMPRODUCT('Final Model'!$B$45:$I$45,'Analysis Data'!N1108:U1108)</f>
        <v>196.251974845473</v>
      </c>
      <c r="F1108" s="15" t="n">
        <f aca="false">D1108-E1108</f>
        <v>-6.28175316032377</v>
      </c>
      <c r="G1108" s="13" t="n">
        <f aca="false">F1108/'Final Model'!$B$21</f>
        <v>-0.128115322960507</v>
      </c>
      <c r="H1108" s="6" t="n">
        <f aca="false">F1108^2</f>
        <v>39.4604227672377</v>
      </c>
      <c r="J1108" s="6" t="n">
        <f aca="false">A1108</f>
        <v>1107</v>
      </c>
      <c r="K1108" s="13" t="n">
        <f aca="false">SMALL($G$2:$G$1387,J1108)</f>
        <v>0.841310857201486</v>
      </c>
      <c r="L1108" s="18" t="n">
        <f aca="false">(J1108-0.5)/1386</f>
        <v>0.798340548340548</v>
      </c>
      <c r="M1108" s="18" t="n">
        <f aca="false">_xlfn.NORM.DIST(K1108,AVERAGE($G$2:$G$1387),_xlfn.STDEV.S($G$2:$G$1387),TRUE())</f>
        <v>0.800510195080058</v>
      </c>
    </row>
    <row r="1109" customFormat="false" ht="15" hidden="false" customHeight="false" outlineLevel="0" collapsed="false">
      <c r="A1109" s="0" t="n">
        <f aca="false">ROW()-1</f>
        <v>1108</v>
      </c>
      <c r="B1109" s="0" t="str">
        <f aca="false">'Analysis Data'!A1109</f>
        <v>Alpharetta (aka Alpharetta Harry's)</v>
      </c>
      <c r="C1109" s="5" t="n">
        <f aca="false">'Analysis Data'!B1109</f>
        <v>40351</v>
      </c>
      <c r="D1109" s="6" t="n">
        <f aca="false">'Analysis Data'!C1109</f>
        <v>218.373252849237</v>
      </c>
      <c r="E1109" s="15" t="n">
        <f aca="false">SUMPRODUCT('Final Model'!$B$45:$I$45,'Analysis Data'!N1109:U1109)</f>
        <v>191.716113695553</v>
      </c>
      <c r="F1109" s="15" t="n">
        <f aca="false">D1109-E1109</f>
        <v>26.6571391536834</v>
      </c>
      <c r="G1109" s="13" t="n">
        <f aca="false">F1109/'Final Model'!$B$21</f>
        <v>0.543667970503524</v>
      </c>
      <c r="H1109" s="6" t="n">
        <f aca="false">F1109^2</f>
        <v>710.603067858842</v>
      </c>
      <c r="J1109" s="6" t="n">
        <f aca="false">A1109</f>
        <v>1108</v>
      </c>
      <c r="K1109" s="13" t="n">
        <f aca="false">SMALL($G$2:$G$1387,J1109)</f>
        <v>0.846329517511497</v>
      </c>
      <c r="L1109" s="18" t="n">
        <f aca="false">(J1109-0.5)/1386</f>
        <v>0.799062049062049</v>
      </c>
      <c r="M1109" s="18" t="n">
        <f aca="false">_xlfn.NORM.DIST(K1109,AVERAGE($G$2:$G$1387),_xlfn.STDEV.S($G$2:$G$1387),TRUE())</f>
        <v>0.801913644283091</v>
      </c>
    </row>
    <row r="1110" customFormat="false" ht="15" hidden="false" customHeight="false" outlineLevel="0" collapsed="false">
      <c r="A1110" s="0" t="n">
        <f aca="false">ROW()-1</f>
        <v>1109</v>
      </c>
      <c r="B1110" s="0" t="str">
        <f aca="false">'Analysis Data'!A1110</f>
        <v>Alpharetta (aka Alpharetta Harry's)</v>
      </c>
      <c r="C1110" s="5" t="n">
        <f aca="false">'Analysis Data'!B1110</f>
        <v>40358</v>
      </c>
      <c r="D1110" s="6" t="n">
        <f aca="false">'Analysis Data'!C1110</f>
        <v>116.253893532967</v>
      </c>
      <c r="E1110" s="15" t="n">
        <f aca="false">SUMPRODUCT('Final Model'!$B$45:$I$45,'Analysis Data'!N1110:U1110)</f>
        <v>187.701263642153</v>
      </c>
      <c r="F1110" s="15" t="n">
        <f aca="false">D1110-E1110</f>
        <v>-71.4473701091856</v>
      </c>
      <c r="G1110" s="13" t="n">
        <f aca="false">F1110/'Final Model'!$B$21</f>
        <v>-1.45715736715535</v>
      </c>
      <c r="H1110" s="6" t="n">
        <f aca="false">F1110^2</f>
        <v>5104.72669551895</v>
      </c>
      <c r="J1110" s="6" t="n">
        <f aca="false">A1110</f>
        <v>1109</v>
      </c>
      <c r="K1110" s="13" t="n">
        <f aca="false">SMALL($G$2:$G$1387,J1110)</f>
        <v>0.849221733718064</v>
      </c>
      <c r="L1110" s="18" t="n">
        <f aca="false">(J1110-0.5)/1386</f>
        <v>0.79978354978355</v>
      </c>
      <c r="M1110" s="18" t="n">
        <f aca="false">_xlfn.NORM.DIST(K1110,AVERAGE($G$2:$G$1387),_xlfn.STDEV.S($G$2:$G$1387),TRUE())</f>
        <v>0.802719726660857</v>
      </c>
    </row>
    <row r="1111" customFormat="false" ht="15" hidden="false" customHeight="false" outlineLevel="0" collapsed="false">
      <c r="A1111" s="0" t="n">
        <f aca="false">ROW()-1</f>
        <v>1110</v>
      </c>
      <c r="B1111" s="0" t="str">
        <f aca="false">'Analysis Data'!A1111</f>
        <v>Alpharetta (aka Alpharetta Harry's)</v>
      </c>
      <c r="C1111" s="5" t="n">
        <f aca="false">'Analysis Data'!B1111</f>
        <v>40365</v>
      </c>
      <c r="D1111" s="6" t="n">
        <f aca="false">'Analysis Data'!C1111</f>
        <v>244.414461284145</v>
      </c>
      <c r="E1111" s="15" t="n">
        <f aca="false">SUMPRODUCT('Final Model'!$B$45:$I$45,'Analysis Data'!N1111:U1111)</f>
        <v>196.57071102389</v>
      </c>
      <c r="F1111" s="15" t="n">
        <f aca="false">D1111-E1111</f>
        <v>47.843750260255</v>
      </c>
      <c r="G1111" s="13" t="n">
        <f aca="false">F1111/'Final Model'!$B$21</f>
        <v>0.975765420861981</v>
      </c>
      <c r="H1111" s="6" t="n">
        <f aca="false">F1111^2</f>
        <v>2289.02443896565</v>
      </c>
      <c r="J1111" s="6" t="n">
        <f aca="false">A1111</f>
        <v>1110</v>
      </c>
      <c r="K1111" s="13" t="n">
        <f aca="false">SMALL($G$2:$G$1387,J1111)</f>
        <v>0.849433225108809</v>
      </c>
      <c r="L1111" s="18" t="n">
        <f aca="false">(J1111-0.5)/1386</f>
        <v>0.800505050505051</v>
      </c>
      <c r="M1111" s="18" t="n">
        <f aca="false">_xlfn.NORM.DIST(K1111,AVERAGE($G$2:$G$1387),_xlfn.STDEV.S($G$2:$G$1387),TRUE())</f>
        <v>0.802778592943375</v>
      </c>
    </row>
    <row r="1112" customFormat="false" ht="15" hidden="false" customHeight="false" outlineLevel="0" collapsed="false">
      <c r="A1112" s="0" t="n">
        <f aca="false">ROW()-1</f>
        <v>1111</v>
      </c>
      <c r="B1112" s="0" t="str">
        <f aca="false">'Analysis Data'!A1112</f>
        <v>Alpharetta (aka Alpharetta Harry's)</v>
      </c>
      <c r="C1112" s="5" t="n">
        <f aca="false">'Analysis Data'!B1112</f>
        <v>40372</v>
      </c>
      <c r="D1112" s="6" t="n">
        <f aca="false">'Analysis Data'!C1112</f>
        <v>259.798453524139</v>
      </c>
      <c r="E1112" s="15" t="n">
        <f aca="false">SUMPRODUCT('Final Model'!$B$45:$I$45,'Analysis Data'!N1112:U1112)</f>
        <v>192.997188000338</v>
      </c>
      <c r="F1112" s="15" t="n">
        <f aca="false">D1112-E1112</f>
        <v>66.8012655238004</v>
      </c>
      <c r="G1112" s="13" t="n">
        <f aca="false">F1112/'Final Model'!$B$21</f>
        <v>1.36240082797382</v>
      </c>
      <c r="H1112" s="6" t="n">
        <f aca="false">F1112^2</f>
        <v>4462.40907558129</v>
      </c>
      <c r="J1112" s="6" t="n">
        <f aca="false">A1112</f>
        <v>1111</v>
      </c>
      <c r="K1112" s="13" t="n">
        <f aca="false">SMALL($G$2:$G$1387,J1112)</f>
        <v>0.858342619405697</v>
      </c>
      <c r="L1112" s="18" t="n">
        <f aca="false">(J1112-0.5)/1386</f>
        <v>0.801226551226551</v>
      </c>
      <c r="M1112" s="18" t="n">
        <f aca="false">_xlfn.NORM.DIST(K1112,AVERAGE($G$2:$G$1387),_xlfn.STDEV.S($G$2:$G$1387),TRUE())</f>
        <v>0.805248760824445</v>
      </c>
    </row>
    <row r="1113" customFormat="false" ht="15" hidden="false" customHeight="false" outlineLevel="0" collapsed="false">
      <c r="A1113" s="0" t="n">
        <f aca="false">ROW()-1</f>
        <v>1112</v>
      </c>
      <c r="B1113" s="0" t="str">
        <f aca="false">'Analysis Data'!A1113</f>
        <v>Cobb (aka Cobb Harry's)</v>
      </c>
      <c r="C1113" s="5" t="n">
        <f aca="false">'Analysis Data'!B1113</f>
        <v>40302</v>
      </c>
      <c r="D1113" s="6" t="n">
        <f aca="false">'Analysis Data'!C1113</f>
        <v>87.7735844355747</v>
      </c>
      <c r="E1113" s="15" t="n">
        <f aca="false">SUMPRODUCT('Final Model'!$B$45:$I$45,'Analysis Data'!N1113:U1113)</f>
        <v>187.267817455275</v>
      </c>
      <c r="F1113" s="15" t="n">
        <f aca="false">D1113-E1113</f>
        <v>-99.4942330197006</v>
      </c>
      <c r="G1113" s="13" t="n">
        <f aca="false">F1113/'Final Model'!$B$21</f>
        <v>-2.02916852520354</v>
      </c>
      <c r="H1113" s="6" t="n">
        <f aca="false">F1113^2</f>
        <v>9899.10240417848</v>
      </c>
      <c r="J1113" s="6" t="n">
        <f aca="false">A1113</f>
        <v>1112</v>
      </c>
      <c r="K1113" s="13" t="n">
        <f aca="false">SMALL($G$2:$G$1387,J1113)</f>
        <v>0.859651678943352</v>
      </c>
      <c r="L1113" s="18" t="n">
        <f aca="false">(J1113-0.5)/1386</f>
        <v>0.801948051948052</v>
      </c>
      <c r="M1113" s="18" t="n">
        <f aca="false">_xlfn.NORM.DIST(K1113,AVERAGE($G$2:$G$1387),_xlfn.STDEV.S($G$2:$G$1387),TRUE())</f>
        <v>0.805610110813622</v>
      </c>
    </row>
    <row r="1114" customFormat="false" ht="15" hidden="false" customHeight="false" outlineLevel="0" collapsed="false">
      <c r="A1114" s="0" t="n">
        <f aca="false">ROW()-1</f>
        <v>1113</v>
      </c>
      <c r="B1114" s="0" t="str">
        <f aca="false">'Analysis Data'!A1114</f>
        <v>Cobb (aka Cobb Harry's)</v>
      </c>
      <c r="C1114" s="5" t="n">
        <f aca="false">'Analysis Data'!B1114</f>
        <v>40309</v>
      </c>
      <c r="D1114" s="6" t="n">
        <f aca="false">'Analysis Data'!C1114</f>
        <v>245.933524310011</v>
      </c>
      <c r="E1114" s="15" t="n">
        <f aca="false">SUMPRODUCT('Final Model'!$B$45:$I$45,'Analysis Data'!N1114:U1114)</f>
        <v>194.59699848354</v>
      </c>
      <c r="F1114" s="15" t="n">
        <f aca="false">D1114-E1114</f>
        <v>51.3365258264705</v>
      </c>
      <c r="G1114" s="13" t="n">
        <f aca="false">F1114/'Final Model'!$B$21</f>
        <v>1.04700000430925</v>
      </c>
      <c r="H1114" s="6" t="n">
        <f aca="false">F1114^2</f>
        <v>2635.43888393187</v>
      </c>
      <c r="J1114" s="6" t="n">
        <f aca="false">A1114</f>
        <v>1113</v>
      </c>
      <c r="K1114" s="13" t="n">
        <f aca="false">SMALL($G$2:$G$1387,J1114)</f>
        <v>0.861351414870671</v>
      </c>
      <c r="L1114" s="18" t="n">
        <f aca="false">(J1114-0.5)/1386</f>
        <v>0.802669552669553</v>
      </c>
      <c r="M1114" s="18" t="n">
        <f aca="false">_xlfn.NORM.DIST(K1114,AVERAGE($G$2:$G$1387),_xlfn.STDEV.S($G$2:$G$1387),TRUE())</f>
        <v>0.80607869272928</v>
      </c>
    </row>
    <row r="1115" customFormat="false" ht="15" hidden="false" customHeight="false" outlineLevel="0" collapsed="false">
      <c r="A1115" s="0" t="n">
        <f aca="false">ROW()-1</f>
        <v>1114</v>
      </c>
      <c r="B1115" s="0" t="str">
        <f aca="false">'Analysis Data'!A1115</f>
        <v>Cobb (aka Cobb Harry's)</v>
      </c>
      <c r="C1115" s="5" t="n">
        <f aca="false">'Analysis Data'!B1115</f>
        <v>40316</v>
      </c>
      <c r="D1115" s="6" t="n">
        <f aca="false">'Analysis Data'!C1115</f>
        <v>210.683381887239</v>
      </c>
      <c r="E1115" s="15" t="n">
        <f aca="false">SUMPRODUCT('Final Model'!$B$45:$I$45,'Analysis Data'!N1115:U1115)</f>
        <v>198.237946479793</v>
      </c>
      <c r="F1115" s="15" t="n">
        <f aca="false">D1115-E1115</f>
        <v>12.4454354074456</v>
      </c>
      <c r="G1115" s="13" t="n">
        <f aca="false">F1115/'Final Model'!$B$21</f>
        <v>0.253822609057571</v>
      </c>
      <c r="H1115" s="6" t="n">
        <f aca="false">F1115^2</f>
        <v>154.888862480902</v>
      </c>
      <c r="J1115" s="6" t="n">
        <f aca="false">A1115</f>
        <v>1114</v>
      </c>
      <c r="K1115" s="13" t="n">
        <f aca="false">SMALL($G$2:$G$1387,J1115)</f>
        <v>0.861512809927752</v>
      </c>
      <c r="L1115" s="18" t="n">
        <f aca="false">(J1115-0.5)/1386</f>
        <v>0.803391053391053</v>
      </c>
      <c r="M1115" s="18" t="n">
        <f aca="false">_xlfn.NORM.DIST(K1115,AVERAGE($G$2:$G$1387),_xlfn.STDEV.S($G$2:$G$1387),TRUE())</f>
        <v>0.80612315018394</v>
      </c>
    </row>
    <row r="1116" customFormat="false" ht="15" hidden="false" customHeight="false" outlineLevel="0" collapsed="false">
      <c r="A1116" s="0" t="n">
        <f aca="false">ROW()-1</f>
        <v>1115</v>
      </c>
      <c r="B1116" s="0" t="str">
        <f aca="false">'Analysis Data'!A1116</f>
        <v>Cobb (aka Cobb Harry's)</v>
      </c>
      <c r="C1116" s="5" t="n">
        <f aca="false">'Analysis Data'!B1116</f>
        <v>40323</v>
      </c>
      <c r="D1116" s="6" t="n">
        <f aca="false">'Analysis Data'!C1116</f>
        <v>178.488467406892</v>
      </c>
      <c r="E1116" s="15" t="n">
        <f aca="false">SUMPRODUCT('Final Model'!$B$45:$I$45,'Analysis Data'!N1116:U1116)</f>
        <v>200.297472611732</v>
      </c>
      <c r="F1116" s="15" t="n">
        <f aca="false">D1116-E1116</f>
        <v>-21.8090052048402</v>
      </c>
      <c r="G1116" s="13" t="n">
        <f aca="false">F1116/'Final Model'!$B$21</f>
        <v>-0.444791075668669</v>
      </c>
      <c r="H1116" s="6" t="n">
        <f aca="false">F1116^2</f>
        <v>475.632708024745</v>
      </c>
      <c r="J1116" s="6" t="n">
        <f aca="false">A1116</f>
        <v>1115</v>
      </c>
      <c r="K1116" s="13" t="n">
        <f aca="false">SMALL($G$2:$G$1387,J1116)</f>
        <v>0.864030207469436</v>
      </c>
      <c r="L1116" s="18" t="n">
        <f aca="false">(J1116-0.5)/1386</f>
        <v>0.804112554112554</v>
      </c>
      <c r="M1116" s="18" t="n">
        <f aca="false">_xlfn.NORM.DIST(K1116,AVERAGE($G$2:$G$1387),_xlfn.STDEV.S($G$2:$G$1387),TRUE())</f>
        <v>0.806815781484539</v>
      </c>
    </row>
    <row r="1117" customFormat="false" ht="15" hidden="false" customHeight="false" outlineLevel="0" collapsed="false">
      <c r="A1117" s="0" t="n">
        <f aca="false">ROW()-1</f>
        <v>1116</v>
      </c>
      <c r="B1117" s="0" t="str">
        <f aca="false">'Analysis Data'!A1117</f>
        <v>Cobb (aka Cobb Harry's)</v>
      </c>
      <c r="C1117" s="5" t="n">
        <f aca="false">'Analysis Data'!B1117</f>
        <v>40330</v>
      </c>
      <c r="D1117" s="6" t="n">
        <f aca="false">'Analysis Data'!C1117</f>
        <v>167.605026542743</v>
      </c>
      <c r="E1117" s="15" t="n">
        <f aca="false">SUMPRODUCT('Final Model'!$B$45:$I$45,'Analysis Data'!N1117:U1117)</f>
        <v>196.129383994041</v>
      </c>
      <c r="F1117" s="15" t="n">
        <f aca="false">D1117-E1117</f>
        <v>-28.5243574512988</v>
      </c>
      <c r="G1117" s="13" t="n">
        <f aca="false">F1117/'Final Model'!$B$21</f>
        <v>-0.581749580705545</v>
      </c>
      <c r="H1117" s="6" t="n">
        <f aca="false">F1117^2</f>
        <v>813.638968009468</v>
      </c>
      <c r="J1117" s="6" t="n">
        <f aca="false">A1117</f>
        <v>1116</v>
      </c>
      <c r="K1117" s="13" t="n">
        <f aca="false">SMALL($G$2:$G$1387,J1117)</f>
        <v>0.86593713435382</v>
      </c>
      <c r="L1117" s="18" t="n">
        <f aca="false">(J1117-0.5)/1386</f>
        <v>0.804834054834055</v>
      </c>
      <c r="M1117" s="18" t="n">
        <f aca="false">_xlfn.NORM.DIST(K1117,AVERAGE($G$2:$G$1387),_xlfn.STDEV.S($G$2:$G$1387),TRUE())</f>
        <v>0.807339442441761</v>
      </c>
    </row>
    <row r="1118" customFormat="false" ht="15" hidden="false" customHeight="false" outlineLevel="0" collapsed="false">
      <c r="A1118" s="0" t="n">
        <f aca="false">ROW()-1</f>
        <v>1117</v>
      </c>
      <c r="B1118" s="0" t="str">
        <f aca="false">'Analysis Data'!A1118</f>
        <v>Cobb (aka Cobb Harry's)</v>
      </c>
      <c r="C1118" s="5" t="n">
        <f aca="false">'Analysis Data'!B1118</f>
        <v>40337</v>
      </c>
      <c r="D1118" s="6" t="n">
        <f aca="false">'Analysis Data'!C1118</f>
        <v>198.357488590768</v>
      </c>
      <c r="E1118" s="15" t="n">
        <f aca="false">SUMPRODUCT('Final Model'!$B$45:$I$45,'Analysis Data'!N1118:U1118)</f>
        <v>196.251974845473</v>
      </c>
      <c r="F1118" s="15" t="n">
        <f aca="false">D1118-E1118</f>
        <v>2.10551374529422</v>
      </c>
      <c r="G1118" s="13" t="n">
        <f aca="false">F1118/'Final Model'!$B$21</f>
        <v>0.0429416066807457</v>
      </c>
      <c r="H1118" s="6" t="n">
        <f aca="false">F1118^2</f>
        <v>4.43318813162288</v>
      </c>
      <c r="J1118" s="6" t="n">
        <f aca="false">A1118</f>
        <v>1117</v>
      </c>
      <c r="K1118" s="13" t="n">
        <f aca="false">SMALL($G$2:$G$1387,J1118)</f>
        <v>0.866460004071209</v>
      </c>
      <c r="L1118" s="18" t="n">
        <f aca="false">(J1118-0.5)/1386</f>
        <v>0.805555555555556</v>
      </c>
      <c r="M1118" s="18" t="n">
        <f aca="false">_xlfn.NORM.DIST(K1118,AVERAGE($G$2:$G$1387),_xlfn.STDEV.S($G$2:$G$1387),TRUE())</f>
        <v>0.807482875953785</v>
      </c>
    </row>
    <row r="1119" customFormat="false" ht="15" hidden="false" customHeight="false" outlineLevel="0" collapsed="false">
      <c r="A1119" s="0" t="n">
        <f aca="false">ROW()-1</f>
        <v>1118</v>
      </c>
      <c r="B1119" s="0" t="str">
        <f aca="false">'Analysis Data'!A1119</f>
        <v>Cobb (aka Cobb Harry's)</v>
      </c>
      <c r="C1119" s="5" t="n">
        <f aca="false">'Analysis Data'!B1119</f>
        <v>40344</v>
      </c>
      <c r="D1119" s="6" t="n">
        <f aca="false">'Analysis Data'!C1119</f>
        <v>238.09361478072</v>
      </c>
      <c r="E1119" s="15" t="n">
        <f aca="false">SUMPRODUCT('Final Model'!$B$45:$I$45,'Analysis Data'!N1119:U1119)</f>
        <v>189.531767790018</v>
      </c>
      <c r="F1119" s="15" t="n">
        <f aca="false">D1119-E1119</f>
        <v>48.5618469907015</v>
      </c>
      <c r="G1119" s="13" t="n">
        <f aca="false">F1119/'Final Model'!$B$21</f>
        <v>0.990410885621582</v>
      </c>
      <c r="H1119" s="6" t="n">
        <f aca="false">F1119^2</f>
        <v>2358.25298314831</v>
      </c>
      <c r="J1119" s="6" t="n">
        <f aca="false">A1119</f>
        <v>1118</v>
      </c>
      <c r="K1119" s="13" t="n">
        <f aca="false">SMALL($G$2:$G$1387,J1119)</f>
        <v>0.866992491386869</v>
      </c>
      <c r="L1119" s="18" t="n">
        <f aca="false">(J1119-0.5)/1386</f>
        <v>0.806277056277056</v>
      </c>
      <c r="M1119" s="18" t="n">
        <f aca="false">_xlfn.NORM.DIST(K1119,AVERAGE($G$2:$G$1387),_xlfn.STDEV.S($G$2:$G$1387),TRUE())</f>
        <v>0.807628880653494</v>
      </c>
    </row>
    <row r="1120" customFormat="false" ht="15" hidden="false" customHeight="false" outlineLevel="0" collapsed="false">
      <c r="A1120" s="0" t="n">
        <f aca="false">ROW()-1</f>
        <v>1119</v>
      </c>
      <c r="B1120" s="0" t="str">
        <f aca="false">'Analysis Data'!A1120</f>
        <v>Cobb (aka Cobb Harry's)</v>
      </c>
      <c r="C1120" s="5" t="n">
        <f aca="false">'Analysis Data'!B1120</f>
        <v>40351</v>
      </c>
      <c r="D1120" s="6" t="n">
        <f aca="false">'Analysis Data'!C1120</f>
        <v>175.314193607254</v>
      </c>
      <c r="E1120" s="15" t="n">
        <f aca="false">SUMPRODUCT('Final Model'!$B$45:$I$45,'Analysis Data'!N1120:U1120)</f>
        <v>188.804581216775</v>
      </c>
      <c r="F1120" s="15" t="n">
        <f aca="false">D1120-E1120</f>
        <v>-13.4903876095212</v>
      </c>
      <c r="G1120" s="13" t="n">
        <f aca="false">F1120/'Final Model'!$B$21</f>
        <v>-0.275134237424754</v>
      </c>
      <c r="H1120" s="6" t="n">
        <f aca="false">F1120^2</f>
        <v>181.990557855122</v>
      </c>
      <c r="J1120" s="6" t="n">
        <f aca="false">A1120</f>
        <v>1119</v>
      </c>
      <c r="K1120" s="13" t="n">
        <f aca="false">SMALL($G$2:$G$1387,J1120)</f>
        <v>0.868494115889339</v>
      </c>
      <c r="L1120" s="18" t="n">
        <f aca="false">(J1120-0.5)/1386</f>
        <v>0.806998556998557</v>
      </c>
      <c r="M1120" s="18" t="n">
        <f aca="false">_xlfn.NORM.DIST(K1120,AVERAGE($G$2:$G$1387),_xlfn.STDEV.S($G$2:$G$1387),TRUE())</f>
        <v>0.808040251869944</v>
      </c>
    </row>
    <row r="1121" customFormat="false" ht="15" hidden="false" customHeight="false" outlineLevel="0" collapsed="false">
      <c r="A1121" s="0" t="n">
        <f aca="false">ROW()-1</f>
        <v>1120</v>
      </c>
      <c r="B1121" s="0" t="str">
        <f aca="false">'Analysis Data'!A1121</f>
        <v>Cobb (aka Cobb Harry's)</v>
      </c>
      <c r="C1121" s="5" t="n">
        <f aca="false">'Analysis Data'!B1121</f>
        <v>40358</v>
      </c>
      <c r="D1121" s="6" t="n">
        <f aca="false">'Analysis Data'!C1121</f>
        <v>191.40718785265</v>
      </c>
      <c r="E1121" s="15" t="n">
        <f aca="false">SUMPRODUCT('Final Model'!$B$45:$I$45,'Analysis Data'!N1121:U1121)</f>
        <v>175.840599714967</v>
      </c>
      <c r="F1121" s="15" t="n">
        <f aca="false">D1121-E1121</f>
        <v>15.5665881376836</v>
      </c>
      <c r="G1121" s="13" t="n">
        <f aca="false">F1121/'Final Model'!$B$21</f>
        <v>0.317478005861302</v>
      </c>
      <c r="H1121" s="6" t="n">
        <f aca="false">F1121^2</f>
        <v>242.318666248271</v>
      </c>
      <c r="J1121" s="6" t="n">
        <f aca="false">A1121</f>
        <v>1120</v>
      </c>
      <c r="K1121" s="13" t="n">
        <f aca="false">SMALL($G$2:$G$1387,J1121)</f>
        <v>0.868585502742337</v>
      </c>
      <c r="L1121" s="18" t="n">
        <f aca="false">(J1121-0.5)/1386</f>
        <v>0.807720057720058</v>
      </c>
      <c r="M1121" s="18" t="n">
        <f aca="false">_xlfn.NORM.DIST(K1121,AVERAGE($G$2:$G$1387),_xlfn.STDEV.S($G$2:$G$1387),TRUE())</f>
        <v>0.808065269977517</v>
      </c>
    </row>
    <row r="1122" customFormat="false" ht="15" hidden="false" customHeight="false" outlineLevel="0" collapsed="false">
      <c r="A1122" s="0" t="n">
        <f aca="false">ROW()-1</f>
        <v>1121</v>
      </c>
      <c r="B1122" s="0" t="str">
        <f aca="false">'Analysis Data'!A1122</f>
        <v>Cobb (aka Cobb Harry's)</v>
      </c>
      <c r="C1122" s="5" t="n">
        <f aca="false">'Analysis Data'!B1122</f>
        <v>40365</v>
      </c>
      <c r="D1122" s="6" t="n">
        <f aca="false">'Analysis Data'!C1122</f>
        <v>145.28131779877</v>
      </c>
      <c r="E1122" s="15" t="n">
        <f aca="false">SUMPRODUCT('Final Model'!$B$45:$I$45,'Analysis Data'!N1122:U1122)</f>
        <v>196.57071102389</v>
      </c>
      <c r="F1122" s="15" t="n">
        <f aca="false">D1122-E1122</f>
        <v>-51.2893932251205</v>
      </c>
      <c r="G1122" s="13" t="n">
        <f aca="false">F1122/'Final Model'!$B$21</f>
        <v>-1.0460387426535</v>
      </c>
      <c r="H1122" s="6" t="n">
        <f aca="false">F1122^2</f>
        <v>2630.60185740103</v>
      </c>
      <c r="J1122" s="6" t="n">
        <f aca="false">A1122</f>
        <v>1121</v>
      </c>
      <c r="K1122" s="13" t="n">
        <f aca="false">SMALL($G$2:$G$1387,J1122)</f>
        <v>0.87841297491003</v>
      </c>
      <c r="L1122" s="18" t="n">
        <f aca="false">(J1122-0.5)/1386</f>
        <v>0.808441558441558</v>
      </c>
      <c r="M1122" s="18" t="n">
        <f aca="false">_xlfn.NORM.DIST(K1122,AVERAGE($G$2:$G$1387),_xlfn.STDEV.S($G$2:$G$1387),TRUE())</f>
        <v>0.810743985341079</v>
      </c>
    </row>
    <row r="1123" customFormat="false" ht="15" hidden="false" customHeight="false" outlineLevel="0" collapsed="false">
      <c r="A1123" s="0" t="n">
        <f aca="false">ROW()-1</f>
        <v>1122</v>
      </c>
      <c r="B1123" s="0" t="str">
        <f aca="false">'Analysis Data'!A1123</f>
        <v>Cobb (aka Cobb Harry's)</v>
      </c>
      <c r="C1123" s="5" t="n">
        <f aca="false">'Analysis Data'!B1123</f>
        <v>40372</v>
      </c>
      <c r="D1123" s="6" t="n">
        <f aca="false">'Analysis Data'!C1123</f>
        <v>275.562118844632</v>
      </c>
      <c r="E1123" s="15" t="n">
        <f aca="false">SUMPRODUCT('Final Model'!$B$45:$I$45,'Analysis Data'!N1123:U1123)</f>
        <v>200.665245143961</v>
      </c>
      <c r="F1123" s="15" t="n">
        <f aca="false">D1123-E1123</f>
        <v>74.8968737006707</v>
      </c>
      <c r="G1123" s="13" t="n">
        <f aca="false">F1123/'Final Model'!$B$21</f>
        <v>1.52750942579207</v>
      </c>
      <c r="H1123" s="6" t="n">
        <f aca="false">F1123^2</f>
        <v>5609.54169013422</v>
      </c>
      <c r="J1123" s="6" t="n">
        <f aca="false">A1123</f>
        <v>1122</v>
      </c>
      <c r="K1123" s="13" t="n">
        <f aca="false">SMALL($G$2:$G$1387,J1123)</f>
        <v>0.87884904691193</v>
      </c>
      <c r="L1123" s="18" t="n">
        <f aca="false">(J1123-0.5)/1386</f>
        <v>0.809163059163059</v>
      </c>
      <c r="M1123" s="18" t="n">
        <f aca="false">_xlfn.NORM.DIST(K1123,AVERAGE($G$2:$G$1387),_xlfn.STDEV.S($G$2:$G$1387),TRUE())</f>
        <v>0.810862311550858</v>
      </c>
    </row>
    <row r="1124" customFormat="false" ht="15" hidden="false" customHeight="false" outlineLevel="0" collapsed="false">
      <c r="A1124" s="0" t="n">
        <f aca="false">ROW()-1</f>
        <v>1123</v>
      </c>
      <c r="B1124" s="0" t="str">
        <f aca="false">'Analysis Data'!A1124</f>
        <v>Duluth</v>
      </c>
      <c r="C1124" s="5" t="n">
        <f aca="false">'Analysis Data'!B1124</f>
        <v>40302</v>
      </c>
      <c r="D1124" s="6" t="n">
        <f aca="false">'Analysis Data'!C1124</f>
        <v>230.111228724153</v>
      </c>
      <c r="E1124" s="15" t="n">
        <f aca="false">SUMPRODUCT('Final Model'!$B$45:$I$45,'Analysis Data'!N1124:U1124)</f>
        <v>192.626788535163</v>
      </c>
      <c r="F1124" s="15" t="n">
        <f aca="false">D1124-E1124</f>
        <v>37.4844401889899</v>
      </c>
      <c r="G1124" s="13" t="n">
        <f aca="false">F1124/'Final Model'!$B$21</f>
        <v>0.764488995068809</v>
      </c>
      <c r="H1124" s="6" t="n">
        <f aca="false">F1124^2</f>
        <v>1405.08325628196</v>
      </c>
      <c r="J1124" s="6" t="n">
        <f aca="false">A1124</f>
        <v>1123</v>
      </c>
      <c r="K1124" s="13" t="n">
        <f aca="false">SMALL($G$2:$G$1387,J1124)</f>
        <v>0.886644532285512</v>
      </c>
      <c r="L1124" s="18" t="n">
        <f aca="false">(J1124-0.5)/1386</f>
        <v>0.80988455988456</v>
      </c>
      <c r="M1124" s="18" t="n">
        <f aca="false">_xlfn.NORM.DIST(K1124,AVERAGE($G$2:$G$1387),_xlfn.STDEV.S($G$2:$G$1387),TRUE())</f>
        <v>0.812969888690405</v>
      </c>
    </row>
    <row r="1125" customFormat="false" ht="15" hidden="false" customHeight="false" outlineLevel="0" collapsed="false">
      <c r="A1125" s="0" t="n">
        <f aca="false">ROW()-1</f>
        <v>1124</v>
      </c>
      <c r="B1125" s="0" t="str">
        <f aca="false">'Analysis Data'!A1125</f>
        <v>Duluth</v>
      </c>
      <c r="C1125" s="5" t="n">
        <f aca="false">'Analysis Data'!B1125</f>
        <v>40309</v>
      </c>
      <c r="D1125" s="6" t="n">
        <f aca="false">'Analysis Data'!C1125</f>
        <v>168.728799522356</v>
      </c>
      <c r="E1125" s="15" t="n">
        <f aca="false">SUMPRODUCT('Final Model'!$B$45:$I$45,'Analysis Data'!N1125:U1125)</f>
        <v>200.822861937183</v>
      </c>
      <c r="F1125" s="15" t="n">
        <f aca="false">D1125-E1125</f>
        <v>-32.094062414827</v>
      </c>
      <c r="G1125" s="13" t="n">
        <f aca="false">F1125/'Final Model'!$B$21</f>
        <v>-0.654553126563525</v>
      </c>
      <c r="H1125" s="6" t="n">
        <f aca="false">F1125^2</f>
        <v>1030.02884228681</v>
      </c>
      <c r="J1125" s="6" t="n">
        <f aca="false">A1125</f>
        <v>1124</v>
      </c>
      <c r="K1125" s="13" t="n">
        <f aca="false">SMALL($G$2:$G$1387,J1125)</f>
        <v>0.887409773045804</v>
      </c>
      <c r="L1125" s="18" t="n">
        <f aca="false">(J1125-0.5)/1386</f>
        <v>0.810606060606061</v>
      </c>
      <c r="M1125" s="18" t="n">
        <f aca="false">_xlfn.NORM.DIST(K1125,AVERAGE($G$2:$G$1387),_xlfn.STDEV.S($G$2:$G$1387),TRUE())</f>
        <v>0.813175992179515</v>
      </c>
    </row>
    <row r="1126" customFormat="false" ht="15" hidden="false" customHeight="false" outlineLevel="0" collapsed="false">
      <c r="A1126" s="0" t="n">
        <f aca="false">ROW()-1</f>
        <v>1125</v>
      </c>
      <c r="B1126" s="0" t="str">
        <f aca="false">'Analysis Data'!A1126</f>
        <v>Duluth</v>
      </c>
      <c r="C1126" s="5" t="n">
        <f aca="false">'Analysis Data'!B1126</f>
        <v>40316</v>
      </c>
      <c r="D1126" s="6" t="n">
        <f aca="false">'Analysis Data'!C1126</f>
        <v>245.150878998771</v>
      </c>
      <c r="E1126" s="15" t="n">
        <f aca="false">SUMPRODUCT('Final Model'!$B$45:$I$45,'Analysis Data'!N1126:U1126)</f>
        <v>200.297472611732</v>
      </c>
      <c r="F1126" s="15" t="n">
        <f aca="false">D1126-E1126</f>
        <v>44.8534063870396</v>
      </c>
      <c r="G1126" s="13" t="n">
        <f aca="false">F1126/'Final Model'!$B$21</f>
        <v>0.914777849191747</v>
      </c>
      <c r="H1126" s="6" t="n">
        <f aca="false">F1126^2</f>
        <v>2011.82806452093</v>
      </c>
      <c r="J1126" s="6" t="n">
        <f aca="false">A1126</f>
        <v>1125</v>
      </c>
      <c r="K1126" s="13" t="n">
        <f aca="false">SMALL($G$2:$G$1387,J1126)</f>
        <v>0.89916701356277</v>
      </c>
      <c r="L1126" s="18" t="n">
        <f aca="false">(J1126-0.5)/1386</f>
        <v>0.811327561327561</v>
      </c>
      <c r="M1126" s="18" t="n">
        <f aca="false">_xlfn.NORM.DIST(K1126,AVERAGE($G$2:$G$1387),_xlfn.STDEV.S($G$2:$G$1387),TRUE())</f>
        <v>0.816324895477817</v>
      </c>
    </row>
    <row r="1127" customFormat="false" ht="15" hidden="false" customHeight="false" outlineLevel="0" collapsed="false">
      <c r="A1127" s="0" t="n">
        <f aca="false">ROW()-1</f>
        <v>1126</v>
      </c>
      <c r="B1127" s="0" t="str">
        <f aca="false">'Analysis Data'!A1127</f>
        <v>Duluth</v>
      </c>
      <c r="C1127" s="5" t="n">
        <f aca="false">'Analysis Data'!B1127</f>
        <v>40323</v>
      </c>
      <c r="D1127" s="6" t="n">
        <f aca="false">'Analysis Data'!C1127</f>
        <v>228.758376733239</v>
      </c>
      <c r="E1127" s="15" t="n">
        <f aca="false">SUMPRODUCT('Final Model'!$B$45:$I$45,'Analysis Data'!N1127:U1127)</f>
        <v>200.297472611732</v>
      </c>
      <c r="F1127" s="15" t="n">
        <f aca="false">D1127-E1127</f>
        <v>28.4609041215071</v>
      </c>
      <c r="G1127" s="13" t="n">
        <f aca="false">F1127/'Final Model'!$B$21</f>
        <v>0.580455460476414</v>
      </c>
      <c r="H1127" s="6" t="n">
        <f aca="false">F1127^2</f>
        <v>810.023063413621</v>
      </c>
      <c r="J1127" s="6" t="n">
        <f aca="false">A1127</f>
        <v>1126</v>
      </c>
      <c r="K1127" s="13" t="n">
        <f aca="false">SMALL($G$2:$G$1387,J1127)</f>
        <v>0.902269318030417</v>
      </c>
      <c r="L1127" s="18" t="n">
        <f aca="false">(J1127-0.5)/1386</f>
        <v>0.812049062049062</v>
      </c>
      <c r="M1127" s="18" t="n">
        <f aca="false">_xlfn.NORM.DIST(K1127,AVERAGE($G$2:$G$1387),_xlfn.STDEV.S($G$2:$G$1387),TRUE())</f>
        <v>0.817150229471862</v>
      </c>
    </row>
    <row r="1128" customFormat="false" ht="15" hidden="false" customHeight="false" outlineLevel="0" collapsed="false">
      <c r="A1128" s="0" t="n">
        <f aca="false">ROW()-1</f>
        <v>1127</v>
      </c>
      <c r="B1128" s="0" t="str">
        <f aca="false">'Analysis Data'!A1128</f>
        <v>Duluth</v>
      </c>
      <c r="C1128" s="5" t="n">
        <f aca="false">'Analysis Data'!B1128</f>
        <v>40330</v>
      </c>
      <c r="D1128" s="6" t="n">
        <f aca="false">'Analysis Data'!C1128</f>
        <v>79.2435850355201</v>
      </c>
      <c r="E1128" s="15" t="n">
        <f aca="false">SUMPRODUCT('Final Model'!$B$45:$I$45,'Analysis Data'!N1128:U1128)</f>
        <v>200.297472611732</v>
      </c>
      <c r="F1128" s="15" t="n">
        <f aca="false">D1128-E1128</f>
        <v>-121.053887576212</v>
      </c>
      <c r="G1128" s="13" t="n">
        <f aca="false">F1128/'Final Model'!$B$21</f>
        <v>-2.46887413539374</v>
      </c>
      <c r="H1128" s="6" t="n">
        <f aca="false">F1128^2</f>
        <v>14654.0436973141</v>
      </c>
      <c r="J1128" s="6" t="n">
        <f aca="false">A1128</f>
        <v>1127</v>
      </c>
      <c r="K1128" s="13" t="n">
        <f aca="false">SMALL($G$2:$G$1387,J1128)</f>
        <v>0.904178851254673</v>
      </c>
      <c r="L1128" s="18" t="n">
        <f aca="false">(J1128-0.5)/1386</f>
        <v>0.812770562770563</v>
      </c>
      <c r="M1128" s="18" t="n">
        <f aca="false">_xlfn.NORM.DIST(K1128,AVERAGE($G$2:$G$1387),_xlfn.STDEV.S($G$2:$G$1387),TRUE())</f>
        <v>0.817657087053154</v>
      </c>
    </row>
    <row r="1129" customFormat="false" ht="15" hidden="false" customHeight="false" outlineLevel="0" collapsed="false">
      <c r="A1129" s="0" t="n">
        <f aca="false">ROW()-1</f>
        <v>1128</v>
      </c>
      <c r="B1129" s="0" t="str">
        <f aca="false">'Analysis Data'!A1129</f>
        <v>Duluth</v>
      </c>
      <c r="C1129" s="5" t="n">
        <f aca="false">'Analysis Data'!B1129</f>
        <v>40337</v>
      </c>
      <c r="D1129" s="6" t="n">
        <f aca="false">'Analysis Data'!C1129</f>
        <v>177.136491883965</v>
      </c>
      <c r="E1129" s="15" t="n">
        <f aca="false">SUMPRODUCT('Final Model'!$B$45:$I$45,'Analysis Data'!N1129:U1129)</f>
        <v>198.090837462488</v>
      </c>
      <c r="F1129" s="15" t="n">
        <f aca="false">D1129-E1129</f>
        <v>-20.9543455785228</v>
      </c>
      <c r="G1129" s="13" t="n">
        <f aca="false">F1129/'Final Model'!$B$21</f>
        <v>-0.427360433099245</v>
      </c>
      <c r="H1129" s="6" t="n">
        <f aca="false">F1129^2</f>
        <v>439.084598624158</v>
      </c>
      <c r="J1129" s="6" t="n">
        <f aca="false">A1129</f>
        <v>1128</v>
      </c>
      <c r="K1129" s="13" t="n">
        <f aca="false">SMALL($G$2:$G$1387,J1129)</f>
        <v>0.906141860723604</v>
      </c>
      <c r="L1129" s="18" t="n">
        <f aca="false">(J1129-0.5)/1386</f>
        <v>0.813492063492064</v>
      </c>
      <c r="M1129" s="18" t="n">
        <f aca="false">_xlfn.NORM.DIST(K1129,AVERAGE($G$2:$G$1387),_xlfn.STDEV.S($G$2:$G$1387),TRUE())</f>
        <v>0.818177223052892</v>
      </c>
    </row>
    <row r="1130" customFormat="false" ht="15" hidden="false" customHeight="false" outlineLevel="0" collapsed="false">
      <c r="A1130" s="0" t="n">
        <f aca="false">ROW()-1</f>
        <v>1129</v>
      </c>
      <c r="B1130" s="0" t="str">
        <f aca="false">'Analysis Data'!A1130</f>
        <v>Duluth</v>
      </c>
      <c r="C1130" s="5" t="n">
        <f aca="false">'Analysis Data'!B1130</f>
        <v>40344</v>
      </c>
      <c r="D1130" s="6" t="n">
        <f aca="false">'Analysis Data'!C1130</f>
        <v>212.027145524047</v>
      </c>
      <c r="E1130" s="15" t="n">
        <f aca="false">SUMPRODUCT('Final Model'!$B$45:$I$45,'Analysis Data'!N1130:U1130)</f>
        <v>198.090837462488</v>
      </c>
      <c r="F1130" s="15" t="n">
        <f aca="false">D1130-E1130</f>
        <v>13.9363080615589</v>
      </c>
      <c r="G1130" s="13" t="n">
        <f aca="false">F1130/'Final Model'!$B$21</f>
        <v>0.284228711733033</v>
      </c>
      <c r="H1130" s="6" t="n">
        <f aca="false">F1130^2</f>
        <v>194.220682386671</v>
      </c>
      <c r="J1130" s="6" t="n">
        <f aca="false">A1130</f>
        <v>1129</v>
      </c>
      <c r="K1130" s="13" t="n">
        <f aca="false">SMALL($G$2:$G$1387,J1130)</f>
        <v>0.908681690224618</v>
      </c>
      <c r="L1130" s="18" t="n">
        <f aca="false">(J1130-0.5)/1386</f>
        <v>0.814213564213564</v>
      </c>
      <c r="M1130" s="18" t="n">
        <f aca="false">_xlfn.NORM.DIST(K1130,AVERAGE($G$2:$G$1387),_xlfn.STDEV.S($G$2:$G$1387),TRUE())</f>
        <v>0.81884881955461</v>
      </c>
    </row>
    <row r="1131" customFormat="false" ht="15" hidden="false" customHeight="false" outlineLevel="0" collapsed="false">
      <c r="A1131" s="0" t="n">
        <f aca="false">ROW()-1</f>
        <v>1130</v>
      </c>
      <c r="B1131" s="0" t="str">
        <f aca="false">'Analysis Data'!A1131</f>
        <v>Duluth</v>
      </c>
      <c r="C1131" s="5" t="n">
        <f aca="false">'Analysis Data'!B1131</f>
        <v>40351</v>
      </c>
      <c r="D1131" s="6" t="n">
        <f aca="false">'Analysis Data'!C1131</f>
        <v>189.08602925724</v>
      </c>
      <c r="E1131" s="15" t="n">
        <f aca="false">SUMPRODUCT('Final Model'!$B$45:$I$45,'Analysis Data'!N1131:U1131)</f>
        <v>195.712575152132</v>
      </c>
      <c r="F1131" s="15" t="n">
        <f aca="false">D1131-E1131</f>
        <v>-6.62654589489165</v>
      </c>
      <c r="G1131" s="13" t="n">
        <f aca="false">F1131/'Final Model'!$B$21</f>
        <v>-0.135147314096772</v>
      </c>
      <c r="H1131" s="6" t="n">
        <f aca="false">F1131^2</f>
        <v>43.9111104971054</v>
      </c>
      <c r="J1131" s="6" t="n">
        <f aca="false">A1131</f>
        <v>1130</v>
      </c>
      <c r="K1131" s="13" t="n">
        <f aca="false">SMALL($G$2:$G$1387,J1131)</f>
        <v>0.909746624517692</v>
      </c>
      <c r="L1131" s="18" t="n">
        <f aca="false">(J1131-0.5)/1386</f>
        <v>0.814935064935065</v>
      </c>
      <c r="M1131" s="18" t="n">
        <f aca="false">_xlfn.NORM.DIST(K1131,AVERAGE($G$2:$G$1387),_xlfn.STDEV.S($G$2:$G$1387),TRUE())</f>
        <v>0.819129952721082</v>
      </c>
    </row>
    <row r="1132" customFormat="false" ht="15" hidden="false" customHeight="false" outlineLevel="0" collapsed="false">
      <c r="A1132" s="0" t="n">
        <f aca="false">ROW()-1</f>
        <v>1131</v>
      </c>
      <c r="B1132" s="0" t="str">
        <f aca="false">'Analysis Data'!A1132</f>
        <v>Duluth</v>
      </c>
      <c r="C1132" s="5" t="n">
        <f aca="false">'Analysis Data'!B1132</f>
        <v>40358</v>
      </c>
      <c r="D1132" s="6" t="n">
        <f aca="false">'Analysis Data'!C1132</f>
        <v>140.576264235099</v>
      </c>
      <c r="E1132" s="15" t="n">
        <f aca="false">SUMPRODUCT('Final Model'!$B$45:$I$45,'Analysis Data'!N1132:U1132)</f>
        <v>195.148657270851</v>
      </c>
      <c r="F1132" s="15" t="n">
        <f aca="false">D1132-E1132</f>
        <v>-54.5723930357525</v>
      </c>
      <c r="G1132" s="13" t="n">
        <f aca="false">F1132/'Final Model'!$B$21</f>
        <v>-1.11299498405359</v>
      </c>
      <c r="H1132" s="6" t="n">
        <f aca="false">F1132^2</f>
        <v>2978.14608164865</v>
      </c>
      <c r="J1132" s="6" t="n">
        <f aca="false">A1132</f>
        <v>1131</v>
      </c>
      <c r="K1132" s="13" t="n">
        <f aca="false">SMALL($G$2:$G$1387,J1132)</f>
        <v>0.910124424959918</v>
      </c>
      <c r="L1132" s="18" t="n">
        <f aca="false">(J1132-0.5)/1386</f>
        <v>0.815656565656566</v>
      </c>
      <c r="M1132" s="18" t="n">
        <f aca="false">_xlfn.NORM.DIST(K1132,AVERAGE($G$2:$G$1387),_xlfn.STDEV.S($G$2:$G$1387),TRUE())</f>
        <v>0.819229622921667</v>
      </c>
    </row>
    <row r="1133" customFormat="false" ht="15" hidden="false" customHeight="false" outlineLevel="0" collapsed="false">
      <c r="A1133" s="0" t="n">
        <f aca="false">ROW()-1</f>
        <v>1132</v>
      </c>
      <c r="B1133" s="0" t="str">
        <f aca="false">'Analysis Data'!A1133</f>
        <v>Duluth</v>
      </c>
      <c r="C1133" s="5" t="n">
        <f aca="false">'Analysis Data'!B1133</f>
        <v>40365</v>
      </c>
      <c r="D1133" s="6" t="n">
        <f aca="false">'Analysis Data'!C1133</f>
        <v>167.774612177158</v>
      </c>
      <c r="E1133" s="15" t="n">
        <f aca="false">SUMPRODUCT('Final Model'!$B$45:$I$45,'Analysis Data'!N1133:U1133)</f>
        <v>200.665245143961</v>
      </c>
      <c r="F1133" s="15" t="n">
        <f aca="false">D1133-E1133</f>
        <v>-32.8906329668035</v>
      </c>
      <c r="G1133" s="13" t="n">
        <f aca="false">F1133/'Final Model'!$B$21</f>
        <v>-0.670799052011833</v>
      </c>
      <c r="H1133" s="6" t="n">
        <f aca="false">F1133^2</f>
        <v>1081.79373695698</v>
      </c>
      <c r="J1133" s="6" t="n">
        <f aca="false">A1133</f>
        <v>1132</v>
      </c>
      <c r="K1133" s="13" t="n">
        <f aca="false">SMALL($G$2:$G$1387,J1133)</f>
        <v>0.911783193437782</v>
      </c>
      <c r="L1133" s="18" t="n">
        <f aca="false">(J1133-0.5)/1386</f>
        <v>0.816378066378066</v>
      </c>
      <c r="M1133" s="18" t="n">
        <f aca="false">_xlfn.NORM.DIST(K1133,AVERAGE($G$2:$G$1387),_xlfn.STDEV.S($G$2:$G$1387),TRUE())</f>
        <v>0.819666826753982</v>
      </c>
    </row>
    <row r="1134" customFormat="false" ht="15" hidden="false" customHeight="false" outlineLevel="0" collapsed="false">
      <c r="A1134" s="0" t="n">
        <f aca="false">ROW()-1</f>
        <v>1133</v>
      </c>
      <c r="B1134" s="0" t="str">
        <f aca="false">'Analysis Data'!A1134</f>
        <v>Duluth</v>
      </c>
      <c r="C1134" s="5" t="n">
        <f aca="false">'Analysis Data'!B1134</f>
        <v>40372</v>
      </c>
      <c r="D1134" s="6" t="n">
        <f aca="false">'Analysis Data'!C1134</f>
        <v>249.088755832424</v>
      </c>
      <c r="E1134" s="15" t="n">
        <f aca="false">SUMPRODUCT('Final Model'!$B$45:$I$45,'Analysis Data'!N1134:U1134)</f>
        <v>197.603538874385</v>
      </c>
      <c r="F1134" s="15" t="n">
        <f aca="false">D1134-E1134</f>
        <v>51.485216958039</v>
      </c>
      <c r="G1134" s="13" t="n">
        <f aca="false">F1134/'Final Model'!$B$21</f>
        <v>1.0500325354922</v>
      </c>
      <c r="H1134" s="6" t="n">
        <f aca="false">F1134^2</f>
        <v>2650.72756521635</v>
      </c>
      <c r="J1134" s="6" t="n">
        <f aca="false">A1134</f>
        <v>1133</v>
      </c>
      <c r="K1134" s="13" t="n">
        <f aca="false">SMALL($G$2:$G$1387,J1134)</f>
        <v>0.914777849191747</v>
      </c>
      <c r="L1134" s="18" t="n">
        <f aca="false">(J1134-0.5)/1386</f>
        <v>0.817099567099567</v>
      </c>
      <c r="M1134" s="18" t="n">
        <f aca="false">_xlfn.NORM.DIST(K1134,AVERAGE($G$2:$G$1387),_xlfn.STDEV.S($G$2:$G$1387),TRUE())</f>
        <v>0.820454450348728</v>
      </c>
    </row>
    <row r="1135" customFormat="false" ht="15" hidden="false" customHeight="false" outlineLevel="0" collapsed="false">
      <c r="A1135" s="0" t="n">
        <f aca="false">ROW()-1</f>
        <v>1134</v>
      </c>
      <c r="B1135" s="0" t="str">
        <f aca="false">'Analysis Data'!A1135</f>
        <v>Green Hills</v>
      </c>
      <c r="C1135" s="5" t="n">
        <f aca="false">'Analysis Data'!B1135</f>
        <v>40302</v>
      </c>
      <c r="D1135" s="6" t="n">
        <f aca="false">'Analysis Data'!C1135</f>
        <v>184.181193640252</v>
      </c>
      <c r="E1135" s="15" t="n">
        <f aca="false">SUMPRODUCT('Final Model'!$B$45:$I$45,'Analysis Data'!N1135:U1135)</f>
        <v>186.763443703724</v>
      </c>
      <c r="F1135" s="15" t="n">
        <f aca="false">D1135-E1135</f>
        <v>-2.58225006347251</v>
      </c>
      <c r="G1135" s="13" t="n">
        <f aca="false">F1135/'Final Model'!$B$21</f>
        <v>-0.0526645655127141</v>
      </c>
      <c r="H1135" s="6" t="n">
        <f aca="false">F1135^2</f>
        <v>6.66801539030381</v>
      </c>
      <c r="J1135" s="6" t="n">
        <f aca="false">A1135</f>
        <v>1134</v>
      </c>
      <c r="K1135" s="13" t="n">
        <f aca="false">SMALL($G$2:$G$1387,J1135)</f>
        <v>0.91991311614693</v>
      </c>
      <c r="L1135" s="18" t="n">
        <f aca="false">(J1135-0.5)/1386</f>
        <v>0.817821067821068</v>
      </c>
      <c r="M1135" s="18" t="n">
        <f aca="false">_xlfn.NORM.DIST(K1135,AVERAGE($G$2:$G$1387),_xlfn.STDEV.S($G$2:$G$1387),TRUE())</f>
        <v>0.821800033982888</v>
      </c>
    </row>
    <row r="1136" customFormat="false" ht="15" hidden="false" customHeight="false" outlineLevel="0" collapsed="false">
      <c r="A1136" s="0" t="n">
        <f aca="false">ROW()-1</f>
        <v>1135</v>
      </c>
      <c r="B1136" s="0" t="str">
        <f aca="false">'Analysis Data'!A1136</f>
        <v>Green Hills</v>
      </c>
      <c r="C1136" s="5" t="n">
        <f aca="false">'Analysis Data'!B1136</f>
        <v>40309</v>
      </c>
      <c r="D1136" s="6" t="n">
        <f aca="false">'Analysis Data'!C1136</f>
        <v>152.848382561013</v>
      </c>
      <c r="E1136" s="15" t="n">
        <f aca="false">SUMPRODUCT('Final Model'!$B$45:$I$45,'Analysis Data'!N1136:U1136)</f>
        <v>189.531767790018</v>
      </c>
      <c r="F1136" s="15" t="n">
        <f aca="false">D1136-E1136</f>
        <v>-36.6833852290055</v>
      </c>
      <c r="G1136" s="13" t="n">
        <f aca="false">F1136/'Final Model'!$B$21</f>
        <v>-0.748151610856433</v>
      </c>
      <c r="H1136" s="6" t="n">
        <f aca="false">F1136^2</f>
        <v>1345.67075185962</v>
      </c>
      <c r="J1136" s="6" t="n">
        <f aca="false">A1136</f>
        <v>1135</v>
      </c>
      <c r="K1136" s="13" t="n">
        <f aca="false">SMALL($G$2:$G$1387,J1136)</f>
        <v>0.9203243754589</v>
      </c>
      <c r="L1136" s="18" t="n">
        <f aca="false">(J1136-0.5)/1386</f>
        <v>0.818542568542569</v>
      </c>
      <c r="M1136" s="18" t="n">
        <f aca="false">_xlfn.NORM.DIST(K1136,AVERAGE($G$2:$G$1387),_xlfn.STDEV.S($G$2:$G$1387),TRUE())</f>
        <v>0.821907519842853</v>
      </c>
    </row>
    <row r="1137" customFormat="false" ht="15" hidden="false" customHeight="false" outlineLevel="0" collapsed="false">
      <c r="A1137" s="0" t="n">
        <f aca="false">ROW()-1</f>
        <v>1136</v>
      </c>
      <c r="B1137" s="0" t="str">
        <f aca="false">'Analysis Data'!A1137</f>
        <v>Green Hills</v>
      </c>
      <c r="C1137" s="5" t="n">
        <f aca="false">'Analysis Data'!B1137</f>
        <v>40316</v>
      </c>
      <c r="D1137" s="6" t="n">
        <f aca="false">'Analysis Data'!C1137</f>
        <v>180.343655385048</v>
      </c>
      <c r="E1137" s="15" t="n">
        <f aca="false">SUMPRODUCT('Final Model'!$B$45:$I$45,'Analysis Data'!N1137:U1137)</f>
        <v>191.654818291904</v>
      </c>
      <c r="F1137" s="15" t="n">
        <f aca="false">D1137-E1137</f>
        <v>-11.3111629068562</v>
      </c>
      <c r="G1137" s="13" t="n">
        <f aca="false">F1137/'Final Model'!$B$21</f>
        <v>-0.230689307886797</v>
      </c>
      <c r="H1137" s="6" t="n">
        <f aca="false">F1137^2</f>
        <v>127.94240630544</v>
      </c>
      <c r="J1137" s="6" t="n">
        <f aca="false">A1137</f>
        <v>1136</v>
      </c>
      <c r="K1137" s="13" t="n">
        <f aca="false">SMALL($G$2:$G$1387,J1137)</f>
        <v>0.920652043300478</v>
      </c>
      <c r="L1137" s="18" t="n">
        <f aca="false">(J1137-0.5)/1386</f>
        <v>0.819264069264069</v>
      </c>
      <c r="M1137" s="18" t="n">
        <f aca="false">_xlfn.NORM.DIST(K1137,AVERAGE($G$2:$G$1387),_xlfn.STDEV.S($G$2:$G$1387),TRUE())</f>
        <v>0.821993129152133</v>
      </c>
    </row>
    <row r="1138" customFormat="false" ht="15" hidden="false" customHeight="false" outlineLevel="0" collapsed="false">
      <c r="A1138" s="0" t="n">
        <f aca="false">ROW()-1</f>
        <v>1137</v>
      </c>
      <c r="B1138" s="0" t="str">
        <f aca="false">'Analysis Data'!A1138</f>
        <v>Green Hills</v>
      </c>
      <c r="C1138" s="5" t="n">
        <f aca="false">'Analysis Data'!B1138</f>
        <v>40323</v>
      </c>
      <c r="D1138" s="6" t="n">
        <f aca="false">'Analysis Data'!C1138</f>
        <v>177.075839538727</v>
      </c>
      <c r="E1138" s="15" t="n">
        <f aca="false">SUMPRODUCT('Final Model'!$B$45:$I$45,'Analysis Data'!N1138:U1138)</f>
        <v>191.654818291904</v>
      </c>
      <c r="F1138" s="15" t="n">
        <f aca="false">D1138-E1138</f>
        <v>-14.5789787531764</v>
      </c>
      <c r="G1138" s="13" t="n">
        <f aca="false">F1138/'Final Model'!$B$21</f>
        <v>-0.297335874831048</v>
      </c>
      <c r="H1138" s="6" t="n">
        <f aca="false">F1138^2</f>
        <v>212.54662148557</v>
      </c>
      <c r="J1138" s="6" t="n">
        <f aca="false">A1138</f>
        <v>1137</v>
      </c>
      <c r="K1138" s="13" t="n">
        <f aca="false">SMALL($G$2:$G$1387,J1138)</f>
        <v>0.921606830768106</v>
      </c>
      <c r="L1138" s="18" t="n">
        <f aca="false">(J1138-0.5)/1386</f>
        <v>0.81998556998557</v>
      </c>
      <c r="M1138" s="18" t="n">
        <f aca="false">_xlfn.NORM.DIST(K1138,AVERAGE($G$2:$G$1387),_xlfn.STDEV.S($G$2:$G$1387),TRUE())</f>
        <v>0.822242437114683</v>
      </c>
    </row>
    <row r="1139" customFormat="false" ht="15" hidden="false" customHeight="false" outlineLevel="0" collapsed="false">
      <c r="A1139" s="0" t="n">
        <f aca="false">ROW()-1</f>
        <v>1138</v>
      </c>
      <c r="B1139" s="0" t="str">
        <f aca="false">'Analysis Data'!A1139</f>
        <v>Green Hills</v>
      </c>
      <c r="C1139" s="5" t="n">
        <f aca="false">'Analysis Data'!B1139</f>
        <v>40330</v>
      </c>
      <c r="D1139" s="6" t="n">
        <f aca="false">'Analysis Data'!C1139</f>
        <v>181.742376587192</v>
      </c>
      <c r="E1139" s="15" t="n">
        <f aca="false">SUMPRODUCT('Final Model'!$B$45:$I$45,'Analysis Data'!N1139:U1139)</f>
        <v>189.331164596639</v>
      </c>
      <c r="F1139" s="15" t="n">
        <f aca="false">D1139-E1139</f>
        <v>-7.58878800944689</v>
      </c>
      <c r="G1139" s="13" t="n">
        <f aca="false">F1139/'Final Model'!$B$21</f>
        <v>-0.154772083826834</v>
      </c>
      <c r="H1139" s="6" t="n">
        <f aca="false">F1139^2</f>
        <v>57.5897034523248</v>
      </c>
      <c r="J1139" s="6" t="n">
        <f aca="false">A1139</f>
        <v>1138</v>
      </c>
      <c r="K1139" s="13" t="n">
        <f aca="false">SMALL($G$2:$G$1387,J1139)</f>
        <v>0.927430153393819</v>
      </c>
      <c r="L1139" s="18" t="n">
        <f aca="false">(J1139-0.5)/1386</f>
        <v>0.820707070707071</v>
      </c>
      <c r="M1139" s="18" t="n">
        <f aca="false">_xlfn.NORM.DIST(K1139,AVERAGE($G$2:$G$1387),_xlfn.STDEV.S($G$2:$G$1387),TRUE())</f>
        <v>0.823758213199144</v>
      </c>
    </row>
    <row r="1140" customFormat="false" ht="15" hidden="false" customHeight="false" outlineLevel="0" collapsed="false">
      <c r="A1140" s="0" t="n">
        <f aca="false">ROW()-1</f>
        <v>1139</v>
      </c>
      <c r="B1140" s="0" t="str">
        <f aca="false">'Analysis Data'!A1140</f>
        <v>Green Hills</v>
      </c>
      <c r="C1140" s="5" t="n">
        <f aca="false">'Analysis Data'!B1140</f>
        <v>40337</v>
      </c>
      <c r="D1140" s="6" t="n">
        <f aca="false">'Analysis Data'!C1140</f>
        <v>138.418929482596</v>
      </c>
      <c r="E1140" s="15" t="n">
        <f aca="false">SUMPRODUCT('Final Model'!$B$45:$I$45,'Analysis Data'!N1140:U1140)</f>
        <v>189.44818314266</v>
      </c>
      <c r="F1140" s="15" t="n">
        <f aca="false">D1140-E1140</f>
        <v>-51.0292536600644</v>
      </c>
      <c r="G1140" s="13" t="n">
        <f aca="false">F1140/'Final Model'!$B$21</f>
        <v>-1.04073323899212</v>
      </c>
      <c r="H1140" s="6" t="n">
        <f aca="false">F1140^2</f>
        <v>2603.9847291032</v>
      </c>
      <c r="J1140" s="6" t="n">
        <f aca="false">A1140</f>
        <v>1139</v>
      </c>
      <c r="K1140" s="13" t="n">
        <f aca="false">SMALL($G$2:$G$1387,J1140)</f>
        <v>0.927998965596028</v>
      </c>
      <c r="L1140" s="18" t="n">
        <f aca="false">(J1140-0.5)/1386</f>
        <v>0.821428571428571</v>
      </c>
      <c r="M1140" s="18" t="n">
        <f aca="false">_xlfn.NORM.DIST(K1140,AVERAGE($G$2:$G$1387),_xlfn.STDEV.S($G$2:$G$1387),TRUE())</f>
        <v>0.823905831831602</v>
      </c>
    </row>
    <row r="1141" customFormat="false" ht="15" hidden="false" customHeight="false" outlineLevel="0" collapsed="false">
      <c r="A1141" s="0" t="n">
        <f aca="false">ROW()-1</f>
        <v>1140</v>
      </c>
      <c r="B1141" s="0" t="str">
        <f aca="false">'Analysis Data'!A1141</f>
        <v>Green Hills</v>
      </c>
      <c r="C1141" s="5" t="n">
        <f aca="false">'Analysis Data'!B1141</f>
        <v>40344</v>
      </c>
      <c r="D1141" s="6" t="n">
        <f aca="false">'Analysis Data'!C1141</f>
        <v>215.005591507788</v>
      </c>
      <c r="E1141" s="15" t="n">
        <f aca="false">SUMPRODUCT('Final Model'!$B$45:$I$45,'Analysis Data'!N1141:U1141)</f>
        <v>189.44818314266</v>
      </c>
      <c r="F1141" s="15" t="n">
        <f aca="false">D1141-E1141</f>
        <v>25.5574083651282</v>
      </c>
      <c r="G1141" s="13" t="n">
        <f aca="false">F1141/'Final Model'!$B$21</f>
        <v>0.521239141870897</v>
      </c>
      <c r="H1141" s="6" t="n">
        <f aca="false">F1141^2</f>
        <v>653.181122341925</v>
      </c>
      <c r="J1141" s="6" t="n">
        <f aca="false">A1141</f>
        <v>1140</v>
      </c>
      <c r="K1141" s="13" t="n">
        <f aca="false">SMALL($G$2:$G$1387,J1141)</f>
        <v>0.931081802359225</v>
      </c>
      <c r="L1141" s="18" t="n">
        <f aca="false">(J1141-0.5)/1386</f>
        <v>0.822150072150072</v>
      </c>
      <c r="M1141" s="18" t="n">
        <f aca="false">_xlfn.NORM.DIST(K1141,AVERAGE($G$2:$G$1387),_xlfn.STDEV.S($G$2:$G$1387),TRUE())</f>
        <v>0.8247045300014</v>
      </c>
    </row>
    <row r="1142" customFormat="false" ht="15" hidden="false" customHeight="false" outlineLevel="0" collapsed="false">
      <c r="A1142" s="0" t="n">
        <f aca="false">ROW()-1</f>
        <v>1141</v>
      </c>
      <c r="B1142" s="0" t="str">
        <f aca="false">'Analysis Data'!A1142</f>
        <v>Green Hills</v>
      </c>
      <c r="C1142" s="5" t="n">
        <f aca="false">'Analysis Data'!B1142</f>
        <v>40351</v>
      </c>
      <c r="D1142" s="6" t="n">
        <f aca="false">'Analysis Data'!C1142</f>
        <v>253.087218975875</v>
      </c>
      <c r="E1142" s="15" t="n">
        <f aca="false">SUMPRODUCT('Final Model'!$B$45:$I$45,'Analysis Data'!N1142:U1142)</f>
        <v>187.921927157077</v>
      </c>
      <c r="F1142" s="15" t="n">
        <f aca="false">D1142-E1142</f>
        <v>65.1652918187975</v>
      </c>
      <c r="G1142" s="13" t="n">
        <f aca="false">F1142/'Final Model'!$B$21</f>
        <v>1.32903541322063</v>
      </c>
      <c r="H1142" s="6" t="n">
        <f aca="false">F1142^2</f>
        <v>4246.51525782904</v>
      </c>
      <c r="J1142" s="6" t="n">
        <f aca="false">A1142</f>
        <v>1141</v>
      </c>
      <c r="K1142" s="13" t="n">
        <f aca="false">SMALL($G$2:$G$1387,J1142)</f>
        <v>0.935733466057368</v>
      </c>
      <c r="L1142" s="18" t="n">
        <f aca="false">(J1142-0.5)/1386</f>
        <v>0.822871572871573</v>
      </c>
      <c r="M1142" s="18" t="n">
        <f aca="false">_xlfn.NORM.DIST(K1142,AVERAGE($G$2:$G$1387),_xlfn.STDEV.S($G$2:$G$1387),TRUE())</f>
        <v>0.825905322763035</v>
      </c>
    </row>
    <row r="1143" customFormat="false" ht="15" hidden="false" customHeight="false" outlineLevel="0" collapsed="false">
      <c r="A1143" s="0" t="n">
        <f aca="false">ROW()-1</f>
        <v>1142</v>
      </c>
      <c r="B1143" s="0" t="str">
        <f aca="false">'Analysis Data'!A1143</f>
        <v>Green Hills</v>
      </c>
      <c r="C1143" s="5" t="n">
        <f aca="false">'Analysis Data'!B1143</f>
        <v>40358</v>
      </c>
      <c r="D1143" s="6" t="n">
        <f aca="false">'Analysis Data'!C1143</f>
        <v>178.858567859019</v>
      </c>
      <c r="E1143" s="15" t="n">
        <f aca="false">SUMPRODUCT('Final Model'!$B$45:$I$45,'Analysis Data'!N1143:U1143)</f>
        <v>193.142625314987</v>
      </c>
      <c r="F1143" s="15" t="n">
        <f aca="false">D1143-E1143</f>
        <v>-14.284057455968</v>
      </c>
      <c r="G1143" s="13" t="n">
        <f aca="false">F1143/'Final Model'!$B$21</f>
        <v>-0.291321003460672</v>
      </c>
      <c r="H1143" s="6" t="n">
        <f aca="false">F1143^2</f>
        <v>204.034297405394</v>
      </c>
      <c r="J1143" s="6" t="n">
        <f aca="false">A1143</f>
        <v>1142</v>
      </c>
      <c r="K1143" s="13" t="n">
        <f aca="false">SMALL($G$2:$G$1387,J1143)</f>
        <v>0.939039161954612</v>
      </c>
      <c r="L1143" s="18" t="n">
        <f aca="false">(J1143-0.5)/1386</f>
        <v>0.823593073593074</v>
      </c>
      <c r="M1143" s="18" t="n">
        <f aca="false">_xlfn.NORM.DIST(K1143,AVERAGE($G$2:$G$1387),_xlfn.STDEV.S($G$2:$G$1387),TRUE())</f>
        <v>0.826755477886555</v>
      </c>
    </row>
    <row r="1144" customFormat="false" ht="15" hidden="false" customHeight="false" outlineLevel="0" collapsed="false">
      <c r="A1144" s="0" t="n">
        <f aca="false">ROW()-1</f>
        <v>1143</v>
      </c>
      <c r="B1144" s="0" t="str">
        <f aca="false">'Analysis Data'!A1144</f>
        <v>Green Hills</v>
      </c>
      <c r="C1144" s="5" t="n">
        <f aca="false">'Analysis Data'!B1144</f>
        <v>40365</v>
      </c>
      <c r="D1144" s="6" t="n">
        <f aca="false">'Analysis Data'!C1144</f>
        <v>174.988163201293</v>
      </c>
      <c r="E1144" s="15" t="n">
        <f aca="false">SUMPRODUCT('Final Model'!$B$45:$I$45,'Analysis Data'!N1144:U1144)</f>
        <v>192.096145321753</v>
      </c>
      <c r="F1144" s="15" t="n">
        <f aca="false">D1144-E1144</f>
        <v>-17.1079821204598</v>
      </c>
      <c r="G1144" s="13" t="n">
        <f aca="false">F1144/'Final Model'!$B$21</f>
        <v>-0.348914482728944</v>
      </c>
      <c r="H1144" s="6" t="n">
        <f aca="false">F1144^2</f>
        <v>292.683052233971</v>
      </c>
      <c r="J1144" s="6" t="n">
        <f aca="false">A1144</f>
        <v>1143</v>
      </c>
      <c r="K1144" s="13" t="n">
        <f aca="false">SMALL($G$2:$G$1387,J1144)</f>
        <v>0.940150914263975</v>
      </c>
      <c r="L1144" s="18" t="n">
        <f aca="false">(J1144-0.5)/1386</f>
        <v>0.824314574314574</v>
      </c>
      <c r="M1144" s="18" t="n">
        <f aca="false">_xlfn.NORM.DIST(K1144,AVERAGE($G$2:$G$1387),_xlfn.STDEV.S($G$2:$G$1387),TRUE())</f>
        <v>0.827040802035741</v>
      </c>
    </row>
    <row r="1145" customFormat="false" ht="15" hidden="false" customHeight="false" outlineLevel="0" collapsed="false">
      <c r="A1145" s="0" t="n">
        <f aca="false">ROW()-1</f>
        <v>1144</v>
      </c>
      <c r="B1145" s="0" t="str">
        <f aca="false">'Analysis Data'!A1145</f>
        <v>Green Hills</v>
      </c>
      <c r="C1145" s="5" t="n">
        <f aca="false">'Analysis Data'!B1145</f>
        <v>40372</v>
      </c>
      <c r="D1145" s="6" t="n">
        <f aca="false">'Analysis Data'!C1145</f>
        <v>168.458912634211</v>
      </c>
      <c r="E1145" s="15" t="n">
        <f aca="false">SUMPRODUCT('Final Model'!$B$45:$I$45,'Analysis Data'!N1145:U1145)</f>
        <v>198.438549673173</v>
      </c>
      <c r="F1145" s="15" t="n">
        <f aca="false">D1145-E1145</f>
        <v>-29.9796370389616</v>
      </c>
      <c r="G1145" s="13" t="n">
        <f aca="false">F1145/'Final Model'!$B$21</f>
        <v>-0.611429768642386</v>
      </c>
      <c r="H1145" s="6" t="n">
        <f aca="false">F1145^2</f>
        <v>898.778636987881</v>
      </c>
      <c r="J1145" s="6" t="n">
        <f aca="false">A1145</f>
        <v>1144</v>
      </c>
      <c r="K1145" s="13" t="n">
        <f aca="false">SMALL($G$2:$G$1387,J1145)</f>
        <v>0.944461130301573</v>
      </c>
      <c r="L1145" s="18" t="n">
        <f aca="false">(J1145-0.5)/1386</f>
        <v>0.825036075036075</v>
      </c>
      <c r="M1145" s="18" t="n">
        <f aca="false">_xlfn.NORM.DIST(K1145,AVERAGE($G$2:$G$1387),_xlfn.STDEV.S($G$2:$G$1387),TRUE())</f>
        <v>0.82814415896058</v>
      </c>
    </row>
    <row r="1146" customFormat="false" ht="15" hidden="false" customHeight="false" outlineLevel="0" collapsed="false">
      <c r="A1146" s="0" t="n">
        <f aca="false">ROW()-1</f>
        <v>1145</v>
      </c>
      <c r="B1146" s="0" t="str">
        <f aca="false">'Analysis Data'!A1146</f>
        <v>Mountain Brook</v>
      </c>
      <c r="C1146" s="5" t="n">
        <f aca="false">'Analysis Data'!B1146</f>
        <v>40302</v>
      </c>
      <c r="D1146" s="6" t="n">
        <f aca="false">'Analysis Data'!C1146</f>
        <v>233.716996975795</v>
      </c>
      <c r="E1146" s="15" t="n">
        <f aca="false">SUMPRODUCT('Final Model'!$B$45:$I$45,'Analysis Data'!N1146:U1146)</f>
        <v>188.528751823119</v>
      </c>
      <c r="F1146" s="15" t="n">
        <f aca="false">D1146-E1146</f>
        <v>45.1882451526751</v>
      </c>
      <c r="G1146" s="13" t="n">
        <f aca="false">F1146/'Final Model'!$B$21</f>
        <v>0.921606830768106</v>
      </c>
      <c r="H1146" s="6" t="n">
        <f aca="false">F1146^2</f>
        <v>2041.97749997827</v>
      </c>
      <c r="J1146" s="6" t="n">
        <f aca="false">A1146</f>
        <v>1145</v>
      </c>
      <c r="K1146" s="13" t="n">
        <f aca="false">SMALL($G$2:$G$1387,J1146)</f>
        <v>0.946648018711248</v>
      </c>
      <c r="L1146" s="18" t="n">
        <f aca="false">(J1146-0.5)/1386</f>
        <v>0.825757575757576</v>
      </c>
      <c r="M1146" s="18" t="n">
        <f aca="false">_xlfn.NORM.DIST(K1146,AVERAGE($G$2:$G$1387),_xlfn.STDEV.S($G$2:$G$1387),TRUE())</f>
        <v>0.828702250126939</v>
      </c>
    </row>
    <row r="1147" customFormat="false" ht="15" hidden="false" customHeight="false" outlineLevel="0" collapsed="false">
      <c r="A1147" s="0" t="n">
        <f aca="false">ROW()-1</f>
        <v>1146</v>
      </c>
      <c r="B1147" s="0" t="str">
        <f aca="false">'Analysis Data'!A1147</f>
        <v>Mountain Brook</v>
      </c>
      <c r="C1147" s="5" t="n">
        <f aca="false">'Analysis Data'!B1147</f>
        <v>40309</v>
      </c>
      <c r="D1147" s="6" t="n">
        <f aca="false">'Analysis Data'!C1147</f>
        <v>149.62026121294</v>
      </c>
      <c r="E1147" s="15" t="n">
        <f aca="false">SUMPRODUCT('Final Model'!$B$45:$I$45,'Analysis Data'!N1147:U1147)</f>
        <v>187.425434248497</v>
      </c>
      <c r="F1147" s="15" t="n">
        <f aca="false">D1147-E1147</f>
        <v>-37.8051730355571</v>
      </c>
      <c r="G1147" s="13" t="n">
        <f aca="false">F1147/'Final Model'!$B$21</f>
        <v>-0.771030288744838</v>
      </c>
      <c r="H1147" s="6" t="n">
        <f aca="false">F1147^2</f>
        <v>1429.23110824841</v>
      </c>
      <c r="J1147" s="6" t="n">
        <f aca="false">A1147</f>
        <v>1146</v>
      </c>
      <c r="K1147" s="13" t="n">
        <f aca="false">SMALL($G$2:$G$1387,J1147)</f>
        <v>0.946714124294687</v>
      </c>
      <c r="L1147" s="18" t="n">
        <f aca="false">(J1147-0.5)/1386</f>
        <v>0.826479076479077</v>
      </c>
      <c r="M1147" s="18" t="n">
        <f aca="false">_xlfn.NORM.DIST(K1147,AVERAGE($G$2:$G$1387),_xlfn.STDEV.S($G$2:$G$1387),TRUE())</f>
        <v>0.828719102127119</v>
      </c>
    </row>
    <row r="1148" customFormat="false" ht="15" hidden="false" customHeight="false" outlineLevel="0" collapsed="false">
      <c r="A1148" s="0" t="n">
        <f aca="false">ROW()-1</f>
        <v>1147</v>
      </c>
      <c r="B1148" s="0" t="str">
        <f aca="false">'Analysis Data'!A1148</f>
        <v>Mountain Brook</v>
      </c>
      <c r="C1148" s="5" t="n">
        <f aca="false">'Analysis Data'!B1148</f>
        <v>40316</v>
      </c>
      <c r="D1148" s="6" t="n">
        <f aca="false">'Analysis Data'!C1148</f>
        <v>164.892311267801</v>
      </c>
      <c r="E1148" s="15" t="n">
        <f aca="false">SUMPRODUCT('Final Model'!$B$45:$I$45,'Analysis Data'!N1148:U1148)</f>
        <v>191.654818291904</v>
      </c>
      <c r="F1148" s="15" t="n">
        <f aca="false">D1148-E1148</f>
        <v>-26.7625070241029</v>
      </c>
      <c r="G1148" s="13" t="n">
        <f aca="false">F1148/'Final Model'!$B$21</f>
        <v>-0.545816930897848</v>
      </c>
      <c r="H1148" s="6" t="n">
        <f aca="false">F1148^2</f>
        <v>716.23178221516</v>
      </c>
      <c r="J1148" s="6" t="n">
        <f aca="false">A1148</f>
        <v>1147</v>
      </c>
      <c r="K1148" s="13" t="n">
        <f aca="false">SMALL($G$2:$G$1387,J1148)</f>
        <v>0.948967584266698</v>
      </c>
      <c r="L1148" s="18" t="n">
        <f aca="false">(J1148-0.5)/1386</f>
        <v>0.827200577200577</v>
      </c>
      <c r="M1148" s="18" t="n">
        <f aca="false">_xlfn.NORM.DIST(K1148,AVERAGE($G$2:$G$1387),_xlfn.STDEV.S($G$2:$G$1387),TRUE())</f>
        <v>0.829292932596382</v>
      </c>
    </row>
    <row r="1149" customFormat="false" ht="15" hidden="false" customHeight="false" outlineLevel="0" collapsed="false">
      <c r="A1149" s="0" t="n">
        <f aca="false">ROW()-1</f>
        <v>1148</v>
      </c>
      <c r="B1149" s="0" t="str">
        <f aca="false">'Analysis Data'!A1149</f>
        <v>Mountain Brook</v>
      </c>
      <c r="C1149" s="5" t="n">
        <f aca="false">'Analysis Data'!B1149</f>
        <v>40323</v>
      </c>
      <c r="D1149" s="6" t="n">
        <f aca="false">'Analysis Data'!C1149</f>
        <v>212.594760613489</v>
      </c>
      <c r="E1149" s="15" t="n">
        <f aca="false">SUMPRODUCT('Final Model'!$B$45:$I$45,'Analysis Data'!N1149:U1149)</f>
        <v>191.654818291904</v>
      </c>
      <c r="F1149" s="15" t="n">
        <f aca="false">D1149-E1149</f>
        <v>20.9399423215856</v>
      </c>
      <c r="G1149" s="13" t="n">
        <f aca="false">F1149/'Final Model'!$B$21</f>
        <v>0.42706668104196</v>
      </c>
      <c r="H1149" s="6" t="n">
        <f aca="false">F1149^2</f>
        <v>438.48118443133</v>
      </c>
      <c r="J1149" s="6" t="n">
        <f aca="false">A1149</f>
        <v>1148</v>
      </c>
      <c r="K1149" s="13" t="n">
        <f aca="false">SMALL($G$2:$G$1387,J1149)</f>
        <v>0.95316382537762</v>
      </c>
      <c r="L1149" s="18" t="n">
        <f aca="false">(J1149-0.5)/1386</f>
        <v>0.827922077922078</v>
      </c>
      <c r="M1149" s="18" t="n">
        <f aca="false">_xlfn.NORM.DIST(K1149,AVERAGE($G$2:$G$1387),_xlfn.STDEV.S($G$2:$G$1387),TRUE())</f>
        <v>0.830358197633797</v>
      </c>
    </row>
    <row r="1150" customFormat="false" ht="15" hidden="false" customHeight="false" outlineLevel="0" collapsed="false">
      <c r="A1150" s="0" t="n">
        <f aca="false">ROW()-1</f>
        <v>1149</v>
      </c>
      <c r="B1150" s="0" t="str">
        <f aca="false">'Analysis Data'!A1150</f>
        <v>Mountain Brook</v>
      </c>
      <c r="C1150" s="5" t="n">
        <f aca="false">'Analysis Data'!B1150</f>
        <v>40330</v>
      </c>
      <c r="D1150" s="6" t="n">
        <f aca="false">'Analysis Data'!C1150</f>
        <v>223.999720837136</v>
      </c>
      <c r="E1150" s="15" t="n">
        <f aca="false">SUMPRODUCT('Final Model'!$B$45:$I$45,'Analysis Data'!N1150:U1150)</f>
        <v>193.677567164</v>
      </c>
      <c r="F1150" s="15" t="n">
        <f aca="false">D1150-E1150</f>
        <v>30.3221536731358</v>
      </c>
      <c r="G1150" s="13" t="n">
        <f aca="false">F1150/'Final Model'!$B$21</f>
        <v>0.618415339085321</v>
      </c>
      <c r="H1150" s="6" t="n">
        <f aca="false">F1150^2</f>
        <v>919.433003377263</v>
      </c>
      <c r="J1150" s="6" t="n">
        <f aca="false">A1150</f>
        <v>1149</v>
      </c>
      <c r="K1150" s="13" t="n">
        <f aca="false">SMALL($G$2:$G$1387,J1150)</f>
        <v>0.954269327725815</v>
      </c>
      <c r="L1150" s="18" t="n">
        <f aca="false">(J1150-0.5)/1386</f>
        <v>0.828643578643579</v>
      </c>
      <c r="M1150" s="18" t="n">
        <f aca="false">_xlfn.NORM.DIST(K1150,AVERAGE($G$2:$G$1387),_xlfn.STDEV.S($G$2:$G$1387),TRUE())</f>
        <v>0.830638131161537</v>
      </c>
    </row>
    <row r="1151" customFormat="false" ht="15" hidden="false" customHeight="false" outlineLevel="0" collapsed="false">
      <c r="A1151" s="0" t="n">
        <f aca="false">ROW()-1</f>
        <v>1150</v>
      </c>
      <c r="B1151" s="0" t="str">
        <f aca="false">'Analysis Data'!A1151</f>
        <v>Mountain Brook</v>
      </c>
      <c r="C1151" s="5" t="n">
        <f aca="false">'Analysis Data'!B1151</f>
        <v>40337</v>
      </c>
      <c r="D1151" s="6" t="n">
        <f aca="false">'Analysis Data'!C1151</f>
        <v>265.761067490286</v>
      </c>
      <c r="E1151" s="15" t="n">
        <f aca="false">SUMPRODUCT('Final Model'!$B$45:$I$45,'Analysis Data'!N1151:U1151)</f>
        <v>195.700316058162</v>
      </c>
      <c r="F1151" s="15" t="n">
        <f aca="false">D1151-E1151</f>
        <v>70.0607514321234</v>
      </c>
      <c r="G1151" s="13" t="n">
        <f aca="false">F1151/'Final Model'!$B$21</f>
        <v>1.42887750720209</v>
      </c>
      <c r="H1151" s="6" t="n">
        <f aca="false">F1151^2</f>
        <v>4908.50889123378</v>
      </c>
      <c r="J1151" s="6" t="n">
        <f aca="false">A1151</f>
        <v>1150</v>
      </c>
      <c r="K1151" s="13" t="n">
        <f aca="false">SMALL($G$2:$G$1387,J1151)</f>
        <v>0.95475956367512</v>
      </c>
      <c r="L1151" s="18" t="n">
        <f aca="false">(J1151-0.5)/1386</f>
        <v>0.829365079365079</v>
      </c>
      <c r="M1151" s="18" t="n">
        <f aca="false">_xlfn.NORM.DIST(K1151,AVERAGE($G$2:$G$1387),_xlfn.STDEV.S($G$2:$G$1387),TRUE())</f>
        <v>0.83076217297712</v>
      </c>
    </row>
    <row r="1152" customFormat="false" ht="15" hidden="false" customHeight="false" outlineLevel="0" collapsed="false">
      <c r="A1152" s="0" t="n">
        <f aca="false">ROW()-1</f>
        <v>1151</v>
      </c>
      <c r="B1152" s="0" t="str">
        <f aca="false">'Analysis Data'!A1152</f>
        <v>Mountain Brook</v>
      </c>
      <c r="C1152" s="5" t="n">
        <f aca="false">'Analysis Data'!B1152</f>
        <v>40344</v>
      </c>
      <c r="D1152" s="6" t="n">
        <f aca="false">'Analysis Data'!C1152</f>
        <v>157.255226646033</v>
      </c>
      <c r="E1152" s="15" t="n">
        <f aca="false">SUMPRODUCT('Final Model'!$B$45:$I$45,'Analysis Data'!N1152:U1152)</f>
        <v>197.134628905171</v>
      </c>
      <c r="F1152" s="15" t="n">
        <f aca="false">D1152-E1152</f>
        <v>-39.8794022591375</v>
      </c>
      <c r="G1152" s="13" t="n">
        <f aca="false">F1152/'Final Model'!$B$21</f>
        <v>-0.813333852748526</v>
      </c>
      <c r="H1152" s="6" t="n">
        <f aca="false">F1152^2</f>
        <v>1590.3667245461</v>
      </c>
      <c r="J1152" s="6" t="n">
        <f aca="false">A1152</f>
        <v>1151</v>
      </c>
      <c r="K1152" s="13" t="n">
        <f aca="false">SMALL($G$2:$G$1387,J1152)</f>
        <v>0.956044592025255</v>
      </c>
      <c r="L1152" s="18" t="n">
        <f aca="false">(J1152-0.5)/1386</f>
        <v>0.83008658008658</v>
      </c>
      <c r="M1152" s="18" t="n">
        <f aca="false">_xlfn.NORM.DIST(K1152,AVERAGE($G$2:$G$1387),_xlfn.STDEV.S($G$2:$G$1387),TRUE())</f>
        <v>0.831087040027803</v>
      </c>
    </row>
    <row r="1153" customFormat="false" ht="15" hidden="false" customHeight="false" outlineLevel="0" collapsed="false">
      <c r="A1153" s="0" t="n">
        <f aca="false">ROW()-1</f>
        <v>1152</v>
      </c>
      <c r="B1153" s="0" t="str">
        <f aca="false">'Analysis Data'!A1153</f>
        <v>Mountain Brook</v>
      </c>
      <c r="C1153" s="5" t="n">
        <f aca="false">'Analysis Data'!B1153</f>
        <v>40351</v>
      </c>
      <c r="D1153" s="6" t="n">
        <f aca="false">'Analysis Data'!C1153</f>
        <v>178.687163075632</v>
      </c>
      <c r="E1153" s="15" t="n">
        <f aca="false">SUMPRODUCT('Final Model'!$B$45:$I$45,'Analysis Data'!N1153:U1153)</f>
        <v>184.657110162203</v>
      </c>
      <c r="F1153" s="15" t="n">
        <f aca="false">D1153-E1153</f>
        <v>-5.96994708657144</v>
      </c>
      <c r="G1153" s="13" t="n">
        <f aca="false">F1153/'Final Model'!$B$21</f>
        <v>-0.121756089348442</v>
      </c>
      <c r="H1153" s="6" t="n">
        <f aca="false">F1153^2</f>
        <v>35.6402682164628</v>
      </c>
      <c r="J1153" s="6" t="n">
        <f aca="false">A1153</f>
        <v>1152</v>
      </c>
      <c r="K1153" s="13" t="n">
        <f aca="false">SMALL($G$2:$G$1387,J1153)</f>
        <v>0.956184204769341</v>
      </c>
      <c r="L1153" s="18" t="n">
        <f aca="false">(J1153-0.5)/1386</f>
        <v>0.830808080808081</v>
      </c>
      <c r="M1153" s="18" t="n">
        <f aca="false">_xlfn.NORM.DIST(K1153,AVERAGE($G$2:$G$1387),_xlfn.STDEV.S($G$2:$G$1387),TRUE())</f>
        <v>0.8311223112777</v>
      </c>
    </row>
    <row r="1154" customFormat="false" ht="15" hidden="false" customHeight="false" outlineLevel="0" collapsed="false">
      <c r="A1154" s="0" t="n">
        <f aca="false">ROW()-1</f>
        <v>1153</v>
      </c>
      <c r="B1154" s="0" t="str">
        <f aca="false">'Analysis Data'!A1154</f>
        <v>Mountain Brook</v>
      </c>
      <c r="C1154" s="5" t="n">
        <f aca="false">'Analysis Data'!B1154</f>
        <v>40358</v>
      </c>
      <c r="D1154" s="6" t="n">
        <f aca="false">'Analysis Data'!C1154</f>
        <v>277.61885842195</v>
      </c>
      <c r="E1154" s="15" t="n">
        <f aca="false">SUMPRODUCT('Final Model'!$B$45:$I$45,'Analysis Data'!N1154:U1154)</f>
        <v>164.108656164131</v>
      </c>
      <c r="F1154" s="15" t="n">
        <f aca="false">D1154-E1154</f>
        <v>113.510202257819</v>
      </c>
      <c r="G1154" s="13" t="n">
        <f aca="false">F1154/'Final Model'!$B$21</f>
        <v>2.3150219135359</v>
      </c>
      <c r="H1154" s="6" t="n">
        <f aca="false">F1154^2</f>
        <v>12884.5660166109</v>
      </c>
      <c r="J1154" s="6" t="n">
        <f aca="false">A1154</f>
        <v>1153</v>
      </c>
      <c r="K1154" s="13" t="n">
        <f aca="false">SMALL($G$2:$G$1387,J1154)</f>
        <v>0.958180507121088</v>
      </c>
      <c r="L1154" s="18" t="n">
        <f aca="false">(J1154-0.5)/1386</f>
        <v>0.831529581529582</v>
      </c>
      <c r="M1154" s="18" t="n">
        <f aca="false">_xlfn.NORM.DIST(K1154,AVERAGE($G$2:$G$1387),_xlfn.STDEV.S($G$2:$G$1387),TRUE())</f>
        <v>0.831626132136893</v>
      </c>
    </row>
    <row r="1155" customFormat="false" ht="15" hidden="false" customHeight="false" outlineLevel="0" collapsed="false">
      <c r="A1155" s="0" t="n">
        <f aca="false">ROW()-1</f>
        <v>1154</v>
      </c>
      <c r="B1155" s="0" t="str">
        <f aca="false">'Analysis Data'!A1155</f>
        <v>Mountain Brook</v>
      </c>
      <c r="C1155" s="5" t="n">
        <f aca="false">'Analysis Data'!B1155</f>
        <v>40365</v>
      </c>
      <c r="D1155" s="6" t="n">
        <f aca="false">'Analysis Data'!C1155</f>
        <v>325.654172862425</v>
      </c>
      <c r="E1155" s="15" t="n">
        <f aca="false">SUMPRODUCT('Final Model'!$B$45:$I$45,'Analysis Data'!N1155:U1155)</f>
        <v>199.52180692625</v>
      </c>
      <c r="F1155" s="15" t="n">
        <f aca="false">D1155-E1155</f>
        <v>126.132365936175</v>
      </c>
      <c r="G1155" s="13" t="n">
        <f aca="false">F1155/'Final Model'!$B$21</f>
        <v>2.57244886662389</v>
      </c>
      <c r="H1155" s="6" t="n">
        <f aca="false">F1155^2</f>
        <v>15909.3737366572</v>
      </c>
      <c r="J1155" s="6" t="n">
        <f aca="false">A1155</f>
        <v>1154</v>
      </c>
      <c r="K1155" s="13" t="n">
        <f aca="false">SMALL($G$2:$G$1387,J1155)</f>
        <v>0.962171904111539</v>
      </c>
      <c r="L1155" s="18" t="n">
        <f aca="false">(J1155-0.5)/1386</f>
        <v>0.832251082251082</v>
      </c>
      <c r="M1155" s="18" t="n">
        <f aca="false">_xlfn.NORM.DIST(K1155,AVERAGE($G$2:$G$1387),_xlfn.STDEV.S($G$2:$G$1387),TRUE())</f>
        <v>0.832630567321215</v>
      </c>
    </row>
    <row r="1156" customFormat="false" ht="15" hidden="false" customHeight="false" outlineLevel="0" collapsed="false">
      <c r="A1156" s="0" t="n">
        <f aca="false">ROW()-1</f>
        <v>1155</v>
      </c>
      <c r="B1156" s="0" t="str">
        <f aca="false">'Analysis Data'!A1156</f>
        <v>Mountain Brook</v>
      </c>
      <c r="C1156" s="5" t="n">
        <f aca="false">'Analysis Data'!B1156</f>
        <v>40372</v>
      </c>
      <c r="D1156" s="6" t="n">
        <f aca="false">'Analysis Data'!C1156</f>
        <v>231.015296271965</v>
      </c>
      <c r="E1156" s="15" t="n">
        <f aca="false">SUMPRODUCT('Final Model'!$B$45:$I$45,'Analysis Data'!N1156:U1156)</f>
        <v>199.429529460385</v>
      </c>
      <c r="F1156" s="15" t="n">
        <f aca="false">D1156-E1156</f>
        <v>31.5857668115803</v>
      </c>
      <c r="G1156" s="13" t="n">
        <f aca="false">F1156/'Final Model'!$B$21</f>
        <v>0.644186521301054</v>
      </c>
      <c r="H1156" s="6" t="n">
        <f aca="false">F1156^2</f>
        <v>997.660665075529</v>
      </c>
      <c r="J1156" s="6" t="n">
        <f aca="false">A1156</f>
        <v>1155</v>
      </c>
      <c r="K1156" s="13" t="n">
        <f aca="false">SMALL($G$2:$G$1387,J1156)</f>
        <v>0.964592299460181</v>
      </c>
      <c r="L1156" s="18" t="n">
        <f aca="false">(J1156-0.5)/1386</f>
        <v>0.832972582972583</v>
      </c>
      <c r="M1156" s="18" t="n">
        <f aca="false">_xlfn.NORM.DIST(K1156,AVERAGE($G$2:$G$1387),_xlfn.STDEV.S($G$2:$G$1387),TRUE())</f>
        <v>0.833237775237749</v>
      </c>
    </row>
    <row r="1157" customFormat="false" ht="15" hidden="false" customHeight="false" outlineLevel="0" collapsed="false">
      <c r="A1157" s="0" t="n">
        <f aca="false">ROW()-1</f>
        <v>1156</v>
      </c>
      <c r="B1157" s="0" t="str">
        <f aca="false">'Analysis Data'!A1157</f>
        <v>Ponce de Lyon</v>
      </c>
      <c r="C1157" s="5" t="n">
        <f aca="false">'Analysis Data'!B1157</f>
        <v>40302</v>
      </c>
      <c r="D1157" s="6" t="n">
        <f aca="false">'Analysis Data'!C1157</f>
        <v>196.785780130531</v>
      </c>
      <c r="E1157" s="15" t="n">
        <f aca="false">SUMPRODUCT('Final Model'!$B$45:$I$45,'Analysis Data'!N1157:U1157)</f>
        <v>187.267817455275</v>
      </c>
      <c r="F1157" s="15" t="n">
        <f aca="false">D1157-E1157</f>
        <v>9.51796267525583</v>
      </c>
      <c r="G1157" s="13" t="n">
        <f aca="false">F1157/'Final Model'!$B$21</f>
        <v>0.194117283972298</v>
      </c>
      <c r="H1157" s="6" t="n">
        <f aca="false">F1157^2</f>
        <v>90.5916134875631</v>
      </c>
      <c r="J1157" s="6" t="n">
        <f aca="false">A1157</f>
        <v>1156</v>
      </c>
      <c r="K1157" s="13" t="n">
        <f aca="false">SMALL($G$2:$G$1387,J1157)</f>
        <v>0.965168014406355</v>
      </c>
      <c r="L1157" s="18" t="n">
        <f aca="false">(J1157-0.5)/1386</f>
        <v>0.833694083694084</v>
      </c>
      <c r="M1157" s="18" t="n">
        <f aca="false">_xlfn.NORM.DIST(K1157,AVERAGE($G$2:$G$1387),_xlfn.STDEV.S($G$2:$G$1387),TRUE())</f>
        <v>0.833381996130392</v>
      </c>
    </row>
    <row r="1158" customFormat="false" ht="15" hidden="false" customHeight="false" outlineLevel="0" collapsed="false">
      <c r="A1158" s="0" t="n">
        <f aca="false">ROW()-1</f>
        <v>1157</v>
      </c>
      <c r="B1158" s="0" t="str">
        <f aca="false">'Analysis Data'!A1158</f>
        <v>Ponce de Lyon</v>
      </c>
      <c r="C1158" s="5" t="n">
        <f aca="false">'Analysis Data'!B1158</f>
        <v>40309</v>
      </c>
      <c r="D1158" s="6" t="n">
        <f aca="false">'Analysis Data'!C1158</f>
        <v>146.210181744286</v>
      </c>
      <c r="E1158" s="15" t="n">
        <f aca="false">SUMPRODUCT('Final Model'!$B$45:$I$45,'Analysis Data'!N1158:U1158)</f>
        <v>193.979140641752</v>
      </c>
      <c r="F1158" s="15" t="n">
        <f aca="false">D1158-E1158</f>
        <v>-47.7689588974664</v>
      </c>
      <c r="G1158" s="13" t="n">
        <f aca="false">F1158/'Final Model'!$B$21</f>
        <v>-0.974240063313894</v>
      </c>
      <c r="H1158" s="6" t="n">
        <f aca="false">F1158^2</f>
        <v>2281.87343414784</v>
      </c>
      <c r="J1158" s="6" t="n">
        <f aca="false">A1158</f>
        <v>1157</v>
      </c>
      <c r="K1158" s="13" t="n">
        <f aca="false">SMALL($G$2:$G$1387,J1158)</f>
        <v>0.96711495894886</v>
      </c>
      <c r="L1158" s="18" t="n">
        <f aca="false">(J1158-0.5)/1386</f>
        <v>0.834415584415584</v>
      </c>
      <c r="M1158" s="18" t="n">
        <f aca="false">_xlfn.NORM.DIST(K1158,AVERAGE($G$2:$G$1387),_xlfn.STDEV.S($G$2:$G$1387),TRUE())</f>
        <v>0.833869123655065</v>
      </c>
    </row>
    <row r="1159" customFormat="false" ht="15" hidden="false" customHeight="false" outlineLevel="0" collapsed="false">
      <c r="A1159" s="0" t="n">
        <f aca="false">ROW()-1</f>
        <v>1158</v>
      </c>
      <c r="B1159" s="0" t="str">
        <f aca="false">'Analysis Data'!A1159</f>
        <v>Ponce de Lyon</v>
      </c>
      <c r="C1159" s="5" t="n">
        <f aca="false">'Analysis Data'!B1159</f>
        <v>40316</v>
      </c>
      <c r="D1159" s="6" t="n">
        <f aca="false">'Analysis Data'!C1159</f>
        <v>139.546962262348</v>
      </c>
      <c r="E1159" s="15" t="n">
        <f aca="false">SUMPRODUCT('Final Model'!$B$45:$I$45,'Analysis Data'!N1159:U1159)</f>
        <v>196.207842142488</v>
      </c>
      <c r="F1159" s="15" t="n">
        <f aca="false">D1159-E1159</f>
        <v>-56.6608798801404</v>
      </c>
      <c r="G1159" s="13" t="n">
        <f aca="false">F1159/'Final Model'!$B$21</f>
        <v>-1.15558932988964</v>
      </c>
      <c r="H1159" s="6" t="n">
        <f aca="false">F1159^2</f>
        <v>3210.4553087917</v>
      </c>
      <c r="J1159" s="6" t="n">
        <f aca="false">A1159</f>
        <v>1158</v>
      </c>
      <c r="K1159" s="13" t="n">
        <f aca="false">SMALL($G$2:$G$1387,J1159)</f>
        <v>0.975354345522225</v>
      </c>
      <c r="L1159" s="18" t="n">
        <f aca="false">(J1159-0.5)/1386</f>
        <v>0.835137085137085</v>
      </c>
      <c r="M1159" s="18" t="n">
        <f aca="false">_xlfn.NORM.DIST(K1159,AVERAGE($G$2:$G$1387),_xlfn.STDEV.S($G$2:$G$1387),TRUE())</f>
        <v>0.835920429181158</v>
      </c>
    </row>
    <row r="1160" customFormat="false" ht="15" hidden="false" customHeight="false" outlineLevel="0" collapsed="false">
      <c r="A1160" s="0" t="n">
        <f aca="false">ROW()-1</f>
        <v>1159</v>
      </c>
      <c r="B1160" s="0" t="str">
        <f aca="false">'Analysis Data'!A1160</f>
        <v>Ponce de Lyon</v>
      </c>
      <c r="C1160" s="5" t="n">
        <f aca="false">'Analysis Data'!B1160</f>
        <v>40323</v>
      </c>
      <c r="D1160" s="6" t="n">
        <f aca="false">'Analysis Data'!C1160</f>
        <v>72.6276769605469</v>
      </c>
      <c r="E1160" s="15" t="n">
        <f aca="false">SUMPRODUCT('Final Model'!$B$45:$I$45,'Analysis Data'!N1160:U1160)</f>
        <v>198.237946479793</v>
      </c>
      <c r="F1160" s="15" t="n">
        <f aca="false">D1160-E1160</f>
        <v>-125.610269519246</v>
      </c>
      <c r="G1160" s="13" t="n">
        <f aca="false">F1160/'Final Model'!$B$21</f>
        <v>-2.56180079603527</v>
      </c>
      <c r="H1160" s="6" t="n">
        <f aca="false">F1160^2</f>
        <v>15777.9398086976</v>
      </c>
      <c r="J1160" s="6" t="n">
        <f aca="false">A1160</f>
        <v>1159</v>
      </c>
      <c r="K1160" s="13" t="n">
        <f aca="false">SMALL($G$2:$G$1387,J1160)</f>
        <v>0.975765420861981</v>
      </c>
      <c r="L1160" s="18" t="n">
        <f aca="false">(J1160-0.5)/1386</f>
        <v>0.835858585858586</v>
      </c>
      <c r="M1160" s="18" t="n">
        <f aca="false">_xlfn.NORM.DIST(K1160,AVERAGE($G$2:$G$1387),_xlfn.STDEV.S($G$2:$G$1387),TRUE())</f>
        <v>0.836022339748178</v>
      </c>
    </row>
    <row r="1161" customFormat="false" ht="15" hidden="false" customHeight="false" outlineLevel="0" collapsed="false">
      <c r="A1161" s="0" t="n">
        <f aca="false">ROW()-1</f>
        <v>1160</v>
      </c>
      <c r="B1161" s="0" t="str">
        <f aca="false">'Analysis Data'!A1161</f>
        <v>Ponce de Lyon</v>
      </c>
      <c r="C1161" s="5" t="n">
        <f aca="false">'Analysis Data'!B1161</f>
        <v>40330</v>
      </c>
      <c r="D1161" s="6" t="n">
        <f aca="false">'Analysis Data'!C1161</f>
        <v>234.857427141606</v>
      </c>
      <c r="E1161" s="15" t="n">
        <f aca="false">SUMPRODUCT('Final Model'!$B$45:$I$45,'Analysis Data'!N1161:U1161)</f>
        <v>198.237946479793</v>
      </c>
      <c r="F1161" s="15" t="n">
        <f aca="false">D1161-E1161</f>
        <v>36.6194806618132</v>
      </c>
      <c r="G1161" s="13" t="n">
        <f aca="false">F1161/'Final Model'!$B$21</f>
        <v>0.746848287714703</v>
      </c>
      <c r="H1161" s="6" t="n">
        <f aca="false">F1161^2</f>
        <v>1340.98636394091</v>
      </c>
      <c r="J1161" s="6" t="n">
        <f aca="false">A1161</f>
        <v>1160</v>
      </c>
      <c r="K1161" s="13" t="n">
        <f aca="false">SMALL($G$2:$G$1387,J1161)</f>
        <v>0.977235156662393</v>
      </c>
      <c r="L1161" s="18" t="n">
        <f aca="false">(J1161-0.5)/1386</f>
        <v>0.836580086580087</v>
      </c>
      <c r="M1161" s="18" t="n">
        <f aca="false">_xlfn.NORM.DIST(K1161,AVERAGE($G$2:$G$1387),_xlfn.STDEV.S($G$2:$G$1387),TRUE())</f>
        <v>0.836386369112093</v>
      </c>
    </row>
    <row r="1162" customFormat="false" ht="15" hidden="false" customHeight="false" outlineLevel="0" collapsed="false">
      <c r="A1162" s="0" t="n">
        <f aca="false">ROW()-1</f>
        <v>1161</v>
      </c>
      <c r="B1162" s="0" t="str">
        <f aca="false">'Analysis Data'!A1162</f>
        <v>Ponce de Lyon</v>
      </c>
      <c r="C1162" s="5" t="n">
        <f aca="false">'Analysis Data'!B1162</f>
        <v>40337</v>
      </c>
      <c r="D1162" s="6" t="n">
        <f aca="false">'Analysis Data'!C1162</f>
        <v>236.28789581523</v>
      </c>
      <c r="E1162" s="15" t="n">
        <f aca="false">SUMPRODUCT('Final Model'!$B$45:$I$45,'Analysis Data'!N1162:U1162)</f>
        <v>193.922748844797</v>
      </c>
      <c r="F1162" s="15" t="n">
        <f aca="false">D1162-E1162</f>
        <v>42.3651469704328</v>
      </c>
      <c r="G1162" s="13" t="n">
        <f aca="false">F1162/'Final Model'!$B$21</f>
        <v>0.864030207469436</v>
      </c>
      <c r="H1162" s="6" t="n">
        <f aca="false">F1162^2</f>
        <v>1794.80567782637</v>
      </c>
      <c r="J1162" s="6" t="n">
        <f aca="false">A1162</f>
        <v>1161</v>
      </c>
      <c r="K1162" s="13" t="n">
        <f aca="false">SMALL($G$2:$G$1387,J1162)</f>
        <v>0.977430190479796</v>
      </c>
      <c r="L1162" s="18" t="n">
        <f aca="false">(J1162-0.5)/1386</f>
        <v>0.837301587301587</v>
      </c>
      <c r="M1162" s="18" t="n">
        <f aca="false">_xlfn.NORM.DIST(K1162,AVERAGE($G$2:$G$1387),_xlfn.STDEV.S($G$2:$G$1387),TRUE())</f>
        <v>0.836434636313354</v>
      </c>
    </row>
    <row r="1163" customFormat="false" ht="15" hidden="false" customHeight="false" outlineLevel="0" collapsed="false">
      <c r="A1163" s="0" t="n">
        <f aca="false">ROW()-1</f>
        <v>1162</v>
      </c>
      <c r="B1163" s="0" t="str">
        <f aca="false">'Analysis Data'!A1163</f>
        <v>Ponce de Lyon</v>
      </c>
      <c r="C1163" s="5" t="n">
        <f aca="false">'Analysis Data'!B1163</f>
        <v>40344</v>
      </c>
      <c r="D1163" s="6" t="n">
        <f aca="false">'Analysis Data'!C1163</f>
        <v>141.778699017317</v>
      </c>
      <c r="E1163" s="15" t="n">
        <f aca="false">SUMPRODUCT('Final Model'!$B$45:$I$45,'Analysis Data'!N1163:U1163)</f>
        <v>193.922748844797</v>
      </c>
      <c r="F1163" s="15" t="n">
        <f aca="false">D1163-E1163</f>
        <v>-52.1440498274806</v>
      </c>
      <c r="G1163" s="13" t="n">
        <f aca="false">F1163/'Final Model'!$B$21</f>
        <v>-1.06346932354982</v>
      </c>
      <c r="H1163" s="6" t="n">
        <f aca="false">F1163^2</f>
        <v>2719.00193241078</v>
      </c>
      <c r="J1163" s="6" t="n">
        <f aca="false">A1163</f>
        <v>1162</v>
      </c>
      <c r="K1163" s="13" t="n">
        <f aca="false">SMALL($G$2:$G$1387,J1163)</f>
        <v>0.982659307929814</v>
      </c>
      <c r="L1163" s="18" t="n">
        <f aca="false">(J1163-0.5)/1386</f>
        <v>0.838023088023088</v>
      </c>
      <c r="M1163" s="18" t="n">
        <f aca="false">_xlfn.NORM.DIST(K1163,AVERAGE($G$2:$G$1387),_xlfn.STDEV.S($G$2:$G$1387),TRUE())</f>
        <v>0.837725296701949</v>
      </c>
    </row>
    <row r="1164" customFormat="false" ht="15" hidden="false" customHeight="false" outlineLevel="0" collapsed="false">
      <c r="A1164" s="0" t="n">
        <f aca="false">ROW()-1</f>
        <v>1163</v>
      </c>
      <c r="B1164" s="0" t="str">
        <f aca="false">'Analysis Data'!A1164</f>
        <v>Ponce de Lyon</v>
      </c>
      <c r="C1164" s="5" t="n">
        <f aca="false">'Analysis Data'!B1164</f>
        <v>40351</v>
      </c>
      <c r="D1164" s="6" t="n">
        <f aca="false">'Analysis Data'!C1164</f>
        <v>232.581678138057</v>
      </c>
      <c r="E1164" s="15" t="n">
        <f aca="false">SUMPRODUCT('Final Model'!$B$45:$I$45,'Analysis Data'!N1164:U1164)</f>
        <v>191.667077363807</v>
      </c>
      <c r="F1164" s="15" t="n">
        <f aca="false">D1164-E1164</f>
        <v>40.9146007742497</v>
      </c>
      <c r="G1164" s="13" t="n">
        <f aca="false">F1164/'Final Model'!$B$21</f>
        <v>0.834446556273636</v>
      </c>
      <c r="H1164" s="6" t="n">
        <f aca="false">F1164^2</f>
        <v>1674.00455651623</v>
      </c>
      <c r="J1164" s="6" t="n">
        <f aca="false">A1164</f>
        <v>1163</v>
      </c>
      <c r="K1164" s="13" t="n">
        <f aca="false">SMALL($G$2:$G$1387,J1164)</f>
        <v>0.982944449647885</v>
      </c>
      <c r="L1164" s="18" t="n">
        <f aca="false">(J1164-0.5)/1386</f>
        <v>0.838744588744589</v>
      </c>
      <c r="M1164" s="18" t="n">
        <f aca="false">_xlfn.NORM.DIST(K1164,AVERAGE($G$2:$G$1387),_xlfn.STDEV.S($G$2:$G$1387),TRUE())</f>
        <v>0.837795484760897</v>
      </c>
    </row>
    <row r="1165" customFormat="false" ht="15" hidden="false" customHeight="false" outlineLevel="0" collapsed="false">
      <c r="A1165" s="0" t="n">
        <f aca="false">ROW()-1</f>
        <v>1164</v>
      </c>
      <c r="B1165" s="0" t="str">
        <f aca="false">'Analysis Data'!A1165</f>
        <v>Ponce de Lyon</v>
      </c>
      <c r="C1165" s="5" t="n">
        <f aca="false">'Analysis Data'!B1165</f>
        <v>40358</v>
      </c>
      <c r="D1165" s="6" t="n">
        <f aca="false">'Analysis Data'!C1165</f>
        <v>168.754815338146</v>
      </c>
      <c r="E1165" s="15" t="n">
        <f aca="false">SUMPRODUCT('Final Model'!$B$45:$I$45,'Analysis Data'!N1165:U1165)</f>
        <v>190.051330076098</v>
      </c>
      <c r="F1165" s="15" t="n">
        <f aca="false">D1165-E1165</f>
        <v>-21.2965147379522</v>
      </c>
      <c r="G1165" s="13" t="n">
        <f aca="false">F1165/'Final Model'!$B$21</f>
        <v>-0.434338916851886</v>
      </c>
      <c r="H1165" s="6" t="n">
        <f aca="false">F1165^2</f>
        <v>453.541539983816</v>
      </c>
      <c r="J1165" s="6" t="n">
        <f aca="false">A1165</f>
        <v>1164</v>
      </c>
      <c r="K1165" s="13" t="n">
        <f aca="false">SMALL($G$2:$G$1387,J1165)</f>
        <v>0.986876464905152</v>
      </c>
      <c r="L1165" s="18" t="n">
        <f aca="false">(J1165-0.5)/1386</f>
        <v>0.83946608946609</v>
      </c>
      <c r="M1165" s="18" t="n">
        <f aca="false">_xlfn.NORM.DIST(K1165,AVERAGE($G$2:$G$1387),_xlfn.STDEV.S($G$2:$G$1387),TRUE())</f>
        <v>0.838761340178932</v>
      </c>
    </row>
    <row r="1166" customFormat="false" ht="15" hidden="false" customHeight="false" outlineLevel="0" collapsed="false">
      <c r="A1166" s="0" t="n">
        <f aca="false">ROW()-1</f>
        <v>1165</v>
      </c>
      <c r="B1166" s="0" t="str">
        <f aca="false">'Analysis Data'!A1166</f>
        <v>Ponce de Lyon</v>
      </c>
      <c r="C1166" s="5" t="n">
        <f aca="false">'Analysis Data'!B1166</f>
        <v>40365</v>
      </c>
      <c r="D1166" s="6" t="n">
        <f aca="false">'Analysis Data'!C1166</f>
        <v>232.512332489983</v>
      </c>
      <c r="E1166" s="15" t="n">
        <f aca="false">SUMPRODUCT('Final Model'!$B$45:$I$45,'Analysis Data'!N1166:U1166)</f>
        <v>199.429529460385</v>
      </c>
      <c r="F1166" s="15" t="n">
        <f aca="false">D1166-E1166</f>
        <v>33.0828030295987</v>
      </c>
      <c r="G1166" s="13" t="n">
        <f aca="false">F1166/'Final Model'!$B$21</f>
        <v>0.674718328849047</v>
      </c>
      <c r="H1166" s="6" t="n">
        <f aca="false">F1166^2</f>
        <v>1094.47185629523</v>
      </c>
      <c r="J1166" s="6" t="n">
        <f aca="false">A1166</f>
        <v>1165</v>
      </c>
      <c r="K1166" s="13" t="n">
        <f aca="false">SMALL($G$2:$G$1387,J1166)</f>
        <v>0.990410885621582</v>
      </c>
      <c r="L1166" s="18" t="n">
        <f aca="false">(J1166-0.5)/1386</f>
        <v>0.84018759018759</v>
      </c>
      <c r="M1166" s="18" t="n">
        <f aca="false">_xlfn.NORM.DIST(K1166,AVERAGE($G$2:$G$1387),_xlfn.STDEV.S($G$2:$G$1387),TRUE())</f>
        <v>0.83962632237529</v>
      </c>
    </row>
    <row r="1167" customFormat="false" ht="15" hidden="false" customHeight="false" outlineLevel="0" collapsed="false">
      <c r="A1167" s="0" t="n">
        <f aca="false">ROW()-1</f>
        <v>1166</v>
      </c>
      <c r="B1167" s="0" t="str">
        <f aca="false">'Analysis Data'!A1167</f>
        <v>Ponce de Lyon</v>
      </c>
      <c r="C1167" s="5" t="n">
        <f aca="false">'Analysis Data'!B1167</f>
        <v>40372</v>
      </c>
      <c r="D1167" s="6" t="n">
        <f aca="false">'Analysis Data'!C1167</f>
        <v>247.611300933673</v>
      </c>
      <c r="E1167" s="15" t="n">
        <f aca="false">SUMPRODUCT('Final Model'!$B$45:$I$45,'Analysis Data'!N1167:U1167)</f>
        <v>199.429529460385</v>
      </c>
      <c r="F1167" s="15" t="n">
        <f aca="false">D1167-E1167</f>
        <v>48.1817714732884</v>
      </c>
      <c r="G1167" s="13" t="n">
        <f aca="false">F1167/'Final Model'!$B$21</f>
        <v>0.982659307929814</v>
      </c>
      <c r="H1167" s="6" t="n">
        <f aca="false">F1167^2</f>
        <v>2321.48310230419</v>
      </c>
      <c r="J1167" s="6" t="n">
        <f aca="false">A1167</f>
        <v>1166</v>
      </c>
      <c r="K1167" s="13" t="n">
        <f aca="false">SMALL($G$2:$G$1387,J1167)</f>
        <v>0.99141562031433</v>
      </c>
      <c r="L1167" s="18" t="n">
        <f aca="false">(J1167-0.5)/1386</f>
        <v>0.840909090909091</v>
      </c>
      <c r="M1167" s="18" t="n">
        <f aca="false">_xlfn.NORM.DIST(K1167,AVERAGE($G$2:$G$1387),_xlfn.STDEV.S($G$2:$G$1387),TRUE())</f>
        <v>0.839871657528276</v>
      </c>
    </row>
    <row r="1168" customFormat="false" ht="15" hidden="false" customHeight="false" outlineLevel="0" collapsed="false">
      <c r="A1168" s="0" t="n">
        <f aca="false">ROW()-1</f>
        <v>1167</v>
      </c>
      <c r="B1168" s="0" t="str">
        <f aca="false">'Analysis Data'!A1168</f>
        <v>West Paces Ferry</v>
      </c>
      <c r="C1168" s="5" t="n">
        <f aca="false">'Analysis Data'!B1168</f>
        <v>40302</v>
      </c>
      <c r="D1168" s="6" t="n">
        <f aca="false">'Analysis Data'!C1168</f>
        <v>123.508710605801</v>
      </c>
      <c r="E1168" s="15" t="n">
        <f aca="false">SUMPRODUCT('Final Model'!$B$45:$I$45,'Analysis Data'!N1168:U1168)</f>
        <v>180.192574587739</v>
      </c>
      <c r="F1168" s="15" t="n">
        <f aca="false">D1168-E1168</f>
        <v>-56.6838639819375</v>
      </c>
      <c r="G1168" s="13" t="n">
        <f aca="false">F1168/'Final Model'!$B$21</f>
        <v>-1.15605808686712</v>
      </c>
      <c r="H1168" s="6" t="n">
        <f aca="false">F1168^2</f>
        <v>3213.06043592279</v>
      </c>
      <c r="J1168" s="6" t="n">
        <f aca="false">A1168</f>
        <v>1167</v>
      </c>
      <c r="K1168" s="13" t="n">
        <f aca="false">SMALL($G$2:$G$1387,J1168)</f>
        <v>0.996649736988243</v>
      </c>
      <c r="L1168" s="18" t="n">
        <f aca="false">(J1168-0.5)/1386</f>
        <v>0.841630591630592</v>
      </c>
      <c r="M1168" s="18" t="n">
        <f aca="false">_xlfn.NORM.DIST(K1168,AVERAGE($G$2:$G$1387),_xlfn.STDEV.S($G$2:$G$1387),TRUE())</f>
        <v>0.841145748376827</v>
      </c>
    </row>
    <row r="1169" customFormat="false" ht="15" hidden="false" customHeight="false" outlineLevel="0" collapsed="false">
      <c r="A1169" s="0" t="n">
        <f aca="false">ROW()-1</f>
        <v>1168</v>
      </c>
      <c r="B1169" s="0" t="str">
        <f aca="false">'Analysis Data'!A1169</f>
        <v>West Paces Ferry</v>
      </c>
      <c r="C1169" s="5" t="n">
        <f aca="false">'Analysis Data'!B1169</f>
        <v>40309</v>
      </c>
      <c r="D1169" s="6" t="n">
        <f aca="false">'Analysis Data'!C1169</f>
        <v>203.744525871752</v>
      </c>
      <c r="E1169" s="15" t="n">
        <f aca="false">SUMPRODUCT('Final Model'!$B$45:$I$45,'Analysis Data'!N1169:U1169)</f>
        <v>180.192574587739</v>
      </c>
      <c r="F1169" s="15" t="n">
        <f aca="false">D1169-E1169</f>
        <v>23.5519512840131</v>
      </c>
      <c r="G1169" s="13" t="n">
        <f aca="false">F1169/'Final Model'!$B$21</f>
        <v>0.480338174406385</v>
      </c>
      <c r="H1169" s="6" t="n">
        <f aca="false">F1169^2</f>
        <v>554.694409284527</v>
      </c>
      <c r="J1169" s="6" t="n">
        <f aca="false">A1169</f>
        <v>1168</v>
      </c>
      <c r="K1169" s="13" t="n">
        <f aca="false">SMALL($G$2:$G$1387,J1169)</f>
        <v>1.00012053195372</v>
      </c>
      <c r="L1169" s="18" t="n">
        <f aca="false">(J1169-0.5)/1386</f>
        <v>0.842352092352092</v>
      </c>
      <c r="M1169" s="18" t="n">
        <f aca="false">_xlfn.NORM.DIST(K1169,AVERAGE($G$2:$G$1387),_xlfn.STDEV.S($G$2:$G$1387),TRUE())</f>
        <v>0.841986936849207</v>
      </c>
    </row>
    <row r="1170" customFormat="false" ht="15" hidden="false" customHeight="false" outlineLevel="0" collapsed="false">
      <c r="A1170" s="0" t="n">
        <f aca="false">ROW()-1</f>
        <v>1169</v>
      </c>
      <c r="B1170" s="0" t="str">
        <f aca="false">'Analysis Data'!A1170</f>
        <v>West Paces Ferry</v>
      </c>
      <c r="C1170" s="5" t="n">
        <f aca="false">'Analysis Data'!B1170</f>
        <v>40316</v>
      </c>
      <c r="D1170" s="6" t="n">
        <f aca="false">'Analysis Data'!C1170</f>
        <v>226.208601807633</v>
      </c>
      <c r="E1170" s="15" t="n">
        <f aca="false">SUMPRODUCT('Final Model'!$B$45:$I$45,'Analysis Data'!N1170:U1170)</f>
        <v>191.654818291904</v>
      </c>
      <c r="F1170" s="15" t="n">
        <f aca="false">D1170-E1170</f>
        <v>34.5537835157287</v>
      </c>
      <c r="G1170" s="13" t="n">
        <f aca="false">F1170/'Final Model'!$B$21</f>
        <v>0.704718734028837</v>
      </c>
      <c r="H1170" s="6" t="n">
        <f aca="false">F1170^2</f>
        <v>1193.96395525184</v>
      </c>
      <c r="J1170" s="6" t="n">
        <f aca="false">A1170</f>
        <v>1169</v>
      </c>
      <c r="K1170" s="13" t="n">
        <f aca="false">SMALL($G$2:$G$1387,J1170)</f>
        <v>1.00222694903937</v>
      </c>
      <c r="L1170" s="18" t="n">
        <f aca="false">(J1170-0.5)/1386</f>
        <v>0.843073593073593</v>
      </c>
      <c r="M1170" s="18" t="n">
        <f aca="false">_xlfn.NORM.DIST(K1170,AVERAGE($G$2:$G$1387),_xlfn.STDEV.S($G$2:$G$1387),TRUE())</f>
        <v>0.842496023562942</v>
      </c>
    </row>
    <row r="1171" customFormat="false" ht="15" hidden="false" customHeight="false" outlineLevel="0" collapsed="false">
      <c r="A1171" s="0" t="n">
        <f aca="false">ROW()-1</f>
        <v>1170</v>
      </c>
      <c r="B1171" s="0" t="str">
        <f aca="false">'Analysis Data'!A1171</f>
        <v>West Paces Ferry</v>
      </c>
      <c r="C1171" s="5" t="n">
        <f aca="false">'Analysis Data'!B1171</f>
        <v>40323</v>
      </c>
      <c r="D1171" s="6" t="n">
        <f aca="false">'Analysis Data'!C1171</f>
        <v>196.616235443937</v>
      </c>
      <c r="E1171" s="15" t="n">
        <f aca="false">SUMPRODUCT('Final Model'!$B$45:$I$45,'Analysis Data'!N1171:U1171)</f>
        <v>191.654818291904</v>
      </c>
      <c r="F1171" s="15" t="n">
        <f aca="false">D1171-E1171</f>
        <v>4.96141715203325</v>
      </c>
      <c r="G1171" s="13" t="n">
        <f aca="false">F1171/'Final Model'!$B$21</f>
        <v>0.101187287139722</v>
      </c>
      <c r="H1171" s="6" t="n">
        <f aca="false">F1171^2</f>
        <v>24.6156601564897</v>
      </c>
      <c r="J1171" s="6" t="n">
        <f aca="false">A1171</f>
        <v>1170</v>
      </c>
      <c r="K1171" s="13" t="n">
        <f aca="false">SMALL($G$2:$G$1387,J1171)</f>
        <v>1.00243419830975</v>
      </c>
      <c r="L1171" s="18" t="n">
        <f aca="false">(J1171-0.5)/1386</f>
        <v>0.843795093795094</v>
      </c>
      <c r="M1171" s="18" t="n">
        <f aca="false">_xlfn.NORM.DIST(K1171,AVERAGE($G$2:$G$1387),_xlfn.STDEV.S($G$2:$G$1387),TRUE())</f>
        <v>0.842546054030388</v>
      </c>
    </row>
    <row r="1172" customFormat="false" ht="15" hidden="false" customHeight="false" outlineLevel="0" collapsed="false">
      <c r="A1172" s="0" t="n">
        <f aca="false">ROW()-1</f>
        <v>1171</v>
      </c>
      <c r="B1172" s="0" t="str">
        <f aca="false">'Analysis Data'!A1172</f>
        <v>West Paces Ferry</v>
      </c>
      <c r="C1172" s="5" t="n">
        <f aca="false">'Analysis Data'!B1172</f>
        <v>40330</v>
      </c>
      <c r="D1172" s="6" t="n">
        <f aca="false">'Analysis Data'!C1172</f>
        <v>156.155423348499</v>
      </c>
      <c r="E1172" s="15" t="n">
        <f aca="false">SUMPRODUCT('Final Model'!$B$45:$I$45,'Analysis Data'!N1172:U1172)</f>
        <v>191.654818291904</v>
      </c>
      <c r="F1172" s="15" t="n">
        <f aca="false">D1172-E1172</f>
        <v>-35.4993949434046</v>
      </c>
      <c r="G1172" s="13" t="n">
        <f aca="false">F1172/'Final Model'!$B$21</f>
        <v>-0.724004323634145</v>
      </c>
      <c r="H1172" s="6" t="n">
        <f aca="false">F1172^2</f>
        <v>1260.20704134782</v>
      </c>
      <c r="J1172" s="6" t="n">
        <f aca="false">A1172</f>
        <v>1171</v>
      </c>
      <c r="K1172" s="13" t="n">
        <f aca="false">SMALL($G$2:$G$1387,J1172)</f>
        <v>1.00267523508473</v>
      </c>
      <c r="L1172" s="18" t="n">
        <f aca="false">(J1172-0.5)/1386</f>
        <v>0.844516594516595</v>
      </c>
      <c r="M1172" s="18" t="n">
        <f aca="false">_xlfn.NORM.DIST(K1172,AVERAGE($G$2:$G$1387),_xlfn.STDEV.S($G$2:$G$1387),TRUE())</f>
        <v>0.842604227742947</v>
      </c>
    </row>
    <row r="1173" customFormat="false" ht="15" hidden="false" customHeight="false" outlineLevel="0" collapsed="false">
      <c r="A1173" s="0" t="n">
        <f aca="false">ROW()-1</f>
        <v>1172</v>
      </c>
      <c r="B1173" s="0" t="str">
        <f aca="false">'Analysis Data'!A1173</f>
        <v>West Paces Ferry</v>
      </c>
      <c r="C1173" s="5" t="n">
        <f aca="false">'Analysis Data'!B1173</f>
        <v>40337</v>
      </c>
      <c r="D1173" s="6" t="n">
        <f aca="false">'Analysis Data'!C1173</f>
        <v>172.825130383628</v>
      </c>
      <c r="E1173" s="15" t="n">
        <f aca="false">SUMPRODUCT('Final Model'!$B$45:$I$45,'Analysis Data'!N1173:U1173)</f>
        <v>189.44818314266</v>
      </c>
      <c r="F1173" s="15" t="n">
        <f aca="false">D1173-E1173</f>
        <v>-16.6230527590316</v>
      </c>
      <c r="G1173" s="13" t="n">
        <f aca="false">F1173/'Final Model'!$B$21</f>
        <v>-0.339024428126862</v>
      </c>
      <c r="H1173" s="6" t="n">
        <f aca="false">F1173^2</f>
        <v>276.325883029548</v>
      </c>
      <c r="J1173" s="6" t="n">
        <f aca="false">A1173</f>
        <v>1172</v>
      </c>
      <c r="K1173" s="13" t="n">
        <f aca="false">SMALL($G$2:$G$1387,J1173)</f>
        <v>1.00371380417373</v>
      </c>
      <c r="L1173" s="18" t="n">
        <f aca="false">(J1173-0.5)/1386</f>
        <v>0.845238095238095</v>
      </c>
      <c r="M1173" s="18" t="n">
        <f aca="false">_xlfn.NORM.DIST(K1173,AVERAGE($G$2:$G$1387),_xlfn.STDEV.S($G$2:$G$1387),TRUE())</f>
        <v>0.842854722585346</v>
      </c>
    </row>
    <row r="1174" customFormat="false" ht="15" hidden="false" customHeight="false" outlineLevel="0" collapsed="false">
      <c r="A1174" s="0" t="n">
        <f aca="false">ROW()-1</f>
        <v>1173</v>
      </c>
      <c r="B1174" s="0" t="str">
        <f aca="false">'Analysis Data'!A1174</f>
        <v>West Paces Ferry</v>
      </c>
      <c r="C1174" s="5" t="n">
        <f aca="false">'Analysis Data'!B1174</f>
        <v>40344</v>
      </c>
      <c r="D1174" s="6" t="n">
        <f aca="false">'Analysis Data'!C1174</f>
        <v>195.471216405349</v>
      </c>
      <c r="E1174" s="15" t="n">
        <f aca="false">SUMPRODUCT('Final Model'!$B$45:$I$45,'Analysis Data'!N1174:U1174)</f>
        <v>189.44818314266</v>
      </c>
      <c r="F1174" s="15" t="n">
        <f aca="false">D1174-E1174</f>
        <v>6.0230332626891</v>
      </c>
      <c r="G1174" s="13" t="n">
        <f aca="false">F1174/'Final Model'!$B$21</f>
        <v>0.12283877318279</v>
      </c>
      <c r="H1174" s="6" t="n">
        <f aca="false">F1174^2</f>
        <v>36.2769296834593</v>
      </c>
      <c r="J1174" s="6" t="n">
        <f aca="false">A1174</f>
        <v>1173</v>
      </c>
      <c r="K1174" s="13" t="n">
        <f aca="false">SMALL($G$2:$G$1387,J1174)</f>
        <v>1.01154867283916</v>
      </c>
      <c r="L1174" s="18" t="n">
        <f aca="false">(J1174-0.5)/1386</f>
        <v>0.845959595959596</v>
      </c>
      <c r="M1174" s="18" t="n">
        <f aca="false">_xlfn.NORM.DIST(K1174,AVERAGE($G$2:$G$1387),_xlfn.STDEV.S($G$2:$G$1387),TRUE())</f>
        <v>0.84473597913956</v>
      </c>
    </row>
    <row r="1175" customFormat="false" ht="15" hidden="false" customHeight="false" outlineLevel="0" collapsed="false">
      <c r="A1175" s="0" t="n">
        <f aca="false">ROW()-1</f>
        <v>1174</v>
      </c>
      <c r="B1175" s="0" t="str">
        <f aca="false">'Analysis Data'!A1175</f>
        <v>West Paces Ferry</v>
      </c>
      <c r="C1175" s="5" t="n">
        <f aca="false">'Analysis Data'!B1175</f>
        <v>40351</v>
      </c>
      <c r="D1175" s="6" t="n">
        <f aca="false">'Analysis Data'!C1175</f>
        <v>190.319457524589</v>
      </c>
      <c r="E1175" s="15" t="n">
        <f aca="false">SUMPRODUCT('Final Model'!$B$45:$I$45,'Analysis Data'!N1175:U1175)</f>
        <v>187.793206780727</v>
      </c>
      <c r="F1175" s="15" t="n">
        <f aca="false">D1175-E1175</f>
        <v>2.52625074386168</v>
      </c>
      <c r="G1175" s="13" t="n">
        <f aca="false">F1175/'Final Model'!$B$21</f>
        <v>0.051522468595754</v>
      </c>
      <c r="H1175" s="6" t="n">
        <f aca="false">F1175^2</f>
        <v>6.3819428208617</v>
      </c>
      <c r="J1175" s="6" t="n">
        <f aca="false">A1175</f>
        <v>1174</v>
      </c>
      <c r="K1175" s="13" t="n">
        <f aca="false">SMALL($G$2:$G$1387,J1175)</f>
        <v>1.01344968693345</v>
      </c>
      <c r="L1175" s="18" t="n">
        <f aca="false">(J1175-0.5)/1386</f>
        <v>0.846681096681097</v>
      </c>
      <c r="M1175" s="18" t="n">
        <f aca="false">_xlfn.NORM.DIST(K1175,AVERAGE($G$2:$G$1387),_xlfn.STDEV.S($G$2:$G$1387),TRUE())</f>
        <v>0.845190187762098</v>
      </c>
    </row>
    <row r="1176" customFormat="false" ht="15" hidden="false" customHeight="false" outlineLevel="0" collapsed="false">
      <c r="A1176" s="0" t="n">
        <f aca="false">ROW()-1</f>
        <v>1175</v>
      </c>
      <c r="B1176" s="0" t="str">
        <f aca="false">'Analysis Data'!A1176</f>
        <v>West Paces Ferry</v>
      </c>
      <c r="C1176" s="5" t="n">
        <f aca="false">'Analysis Data'!B1176</f>
        <v>40358</v>
      </c>
      <c r="D1176" s="6" t="n">
        <f aca="false">'Analysis Data'!C1176</f>
        <v>58.1405824586933</v>
      </c>
      <c r="E1176" s="15" t="n">
        <f aca="false">SUMPRODUCT('Final Model'!$B$45:$I$45,'Analysis Data'!N1176:U1176)</f>
        <v>184.516687911391</v>
      </c>
      <c r="F1176" s="15" t="n">
        <f aca="false">D1176-E1176</f>
        <v>-126.376105452698</v>
      </c>
      <c r="G1176" s="13" t="n">
        <f aca="false">F1176/'Final Model'!$B$21</f>
        <v>-2.57741989399166</v>
      </c>
      <c r="H1176" s="6" t="n">
        <f aca="false">F1176^2</f>
        <v>15970.9200293914</v>
      </c>
      <c r="J1176" s="6" t="n">
        <f aca="false">A1176</f>
        <v>1175</v>
      </c>
      <c r="K1176" s="13" t="n">
        <f aca="false">SMALL($G$2:$G$1387,J1176)</f>
        <v>1.01470196911244</v>
      </c>
      <c r="L1176" s="18" t="n">
        <f aca="false">(J1176-0.5)/1386</f>
        <v>0.847402597402597</v>
      </c>
      <c r="M1176" s="18" t="n">
        <f aca="false">_xlfn.NORM.DIST(K1176,AVERAGE($G$2:$G$1387),_xlfn.STDEV.S($G$2:$G$1387),TRUE())</f>
        <v>0.845488915042048</v>
      </c>
    </row>
    <row r="1177" customFormat="false" ht="15" hidden="false" customHeight="false" outlineLevel="0" collapsed="false">
      <c r="A1177" s="0" t="n">
        <f aca="false">ROW()-1</f>
        <v>1176</v>
      </c>
      <c r="B1177" s="0" t="str">
        <f aca="false">'Analysis Data'!A1177</f>
        <v>West Paces Ferry</v>
      </c>
      <c r="C1177" s="5" t="n">
        <f aca="false">'Analysis Data'!B1177</f>
        <v>40365</v>
      </c>
      <c r="D1177" s="6" t="n">
        <f aca="false">'Analysis Data'!C1177</f>
        <v>201.36118578721</v>
      </c>
      <c r="E1177" s="15" t="n">
        <f aca="false">SUMPRODUCT('Final Model'!$B$45:$I$45,'Analysis Data'!N1177:U1177)</f>
        <v>192.096145321753</v>
      </c>
      <c r="F1177" s="15" t="n">
        <f aca="false">D1177-E1177</f>
        <v>9.26504046545705</v>
      </c>
      <c r="G1177" s="13" t="n">
        <f aca="false">F1177/'Final Model'!$B$21</f>
        <v>0.188958977084832</v>
      </c>
      <c r="H1177" s="6" t="n">
        <f aca="false">F1177^2</f>
        <v>85.8409748265566</v>
      </c>
      <c r="J1177" s="6" t="n">
        <f aca="false">A1177</f>
        <v>1176</v>
      </c>
      <c r="K1177" s="13" t="n">
        <f aca="false">SMALL($G$2:$G$1387,J1177)</f>
        <v>1.01496337554676</v>
      </c>
      <c r="L1177" s="18" t="n">
        <f aca="false">(J1177-0.5)/1386</f>
        <v>0.848124098124098</v>
      </c>
      <c r="M1177" s="18" t="n">
        <f aca="false">_xlfn.NORM.DIST(K1177,AVERAGE($G$2:$G$1387),_xlfn.STDEV.S($G$2:$G$1387),TRUE())</f>
        <v>0.845551224477775</v>
      </c>
    </row>
    <row r="1178" customFormat="false" ht="15" hidden="false" customHeight="false" outlineLevel="0" collapsed="false">
      <c r="A1178" s="0" t="n">
        <f aca="false">ROW()-1</f>
        <v>1177</v>
      </c>
      <c r="B1178" s="0" t="str">
        <f aca="false">'Analysis Data'!A1178</f>
        <v>West Paces Ferry</v>
      </c>
      <c r="C1178" s="5" t="n">
        <f aca="false">'Analysis Data'!B1178</f>
        <v>40372</v>
      </c>
      <c r="D1178" s="6" t="n">
        <f aca="false">'Analysis Data'!C1178</f>
        <v>236.721384915788</v>
      </c>
      <c r="E1178" s="15" t="n">
        <f aca="false">SUMPRODUCT('Final Model'!$B$45:$I$45,'Analysis Data'!N1178:U1178)</f>
        <v>192.096145321753</v>
      </c>
      <c r="F1178" s="15" t="n">
        <f aca="false">D1178-E1178</f>
        <v>44.6252395940352</v>
      </c>
      <c r="G1178" s="13" t="n">
        <f aca="false">F1178/'Final Model'!$B$21</f>
        <v>0.910124424959918</v>
      </c>
      <c r="H1178" s="6" t="n">
        <f aca="false">F1178^2</f>
        <v>1991.41200882505</v>
      </c>
      <c r="J1178" s="6" t="n">
        <f aca="false">A1178</f>
        <v>1177</v>
      </c>
      <c r="K1178" s="13" t="n">
        <f aca="false">SMALL($G$2:$G$1387,J1178)</f>
        <v>1.01839478809232</v>
      </c>
      <c r="L1178" s="18" t="n">
        <f aca="false">(J1178-0.5)/1386</f>
        <v>0.848845598845599</v>
      </c>
      <c r="M1178" s="18" t="n">
        <f aca="false">_xlfn.NORM.DIST(K1178,AVERAGE($G$2:$G$1387),_xlfn.STDEV.S($G$2:$G$1387),TRUE())</f>
        <v>0.846367603489031</v>
      </c>
    </row>
    <row r="1179" customFormat="false" ht="15" hidden="false" customHeight="false" outlineLevel="0" collapsed="false">
      <c r="A1179" s="0" t="n">
        <f aca="false">ROW()-1</f>
        <v>1178</v>
      </c>
      <c r="B1179" s="0" t="str">
        <f aca="false">'Analysis Data'!A1179</f>
        <v>Arroyo</v>
      </c>
      <c r="C1179" s="5" t="n">
        <f aca="false">'Analysis Data'!B1179</f>
        <v>40302</v>
      </c>
      <c r="D1179" s="6" t="n">
        <f aca="false">'Analysis Data'!C1179</f>
        <v>291.012138571325</v>
      </c>
      <c r="E1179" s="15" t="n">
        <f aca="false">SUMPRODUCT('Final Model'!$B$45:$I$45,'Analysis Data'!N1179:U1179)</f>
        <v>295.281889182035</v>
      </c>
      <c r="F1179" s="15" t="n">
        <f aca="false">D1179-E1179</f>
        <v>-4.26975061070999</v>
      </c>
      <c r="G1179" s="13" t="n">
        <f aca="false">F1179/'Final Model'!$B$21</f>
        <v>-0.0870808617420646</v>
      </c>
      <c r="H1179" s="6" t="n">
        <f aca="false">F1179^2</f>
        <v>18.2307702776583</v>
      </c>
      <c r="J1179" s="6" t="n">
        <f aca="false">A1179</f>
        <v>1178</v>
      </c>
      <c r="K1179" s="13" t="n">
        <f aca="false">SMALL($G$2:$G$1387,J1179)</f>
        <v>1.02471340675564</v>
      </c>
      <c r="L1179" s="18" t="n">
        <f aca="false">(J1179-0.5)/1386</f>
        <v>0.8495670995671</v>
      </c>
      <c r="M1179" s="18" t="n">
        <f aca="false">_xlfn.NORM.DIST(K1179,AVERAGE($G$2:$G$1387),_xlfn.STDEV.S($G$2:$G$1387),TRUE())</f>
        <v>0.847863399747511</v>
      </c>
    </row>
    <row r="1180" customFormat="false" ht="15" hidden="false" customHeight="false" outlineLevel="0" collapsed="false">
      <c r="A1180" s="0" t="n">
        <f aca="false">ROW()-1</f>
        <v>1179</v>
      </c>
      <c r="B1180" s="0" t="str">
        <f aca="false">'Analysis Data'!A1180</f>
        <v>Arroyo</v>
      </c>
      <c r="C1180" s="5" t="n">
        <f aca="false">'Analysis Data'!B1180</f>
        <v>40309</v>
      </c>
      <c r="D1180" s="6" t="n">
        <f aca="false">'Analysis Data'!C1180</f>
        <v>392.003869385576</v>
      </c>
      <c r="E1180" s="15" t="n">
        <f aca="false">SUMPRODUCT('Final Model'!$B$45:$I$45,'Analysis Data'!N1180:U1180)</f>
        <v>304.574161348568</v>
      </c>
      <c r="F1180" s="15" t="n">
        <f aca="false">D1180-E1180</f>
        <v>87.4297080370078</v>
      </c>
      <c r="G1180" s="13" t="n">
        <f aca="false">F1180/'Final Model'!$B$21</f>
        <v>1.78311452163567</v>
      </c>
      <c r="H1180" s="6" t="n">
        <f aca="false">F1180^2</f>
        <v>7643.95384743643</v>
      </c>
      <c r="J1180" s="6" t="n">
        <f aca="false">A1180</f>
        <v>1179</v>
      </c>
      <c r="K1180" s="13" t="n">
        <f aca="false">SMALL($G$2:$G$1387,J1180)</f>
        <v>1.02746342813379</v>
      </c>
      <c r="L1180" s="18" t="n">
        <f aca="false">(J1180-0.5)/1386</f>
        <v>0.8502886002886</v>
      </c>
      <c r="M1180" s="18" t="n">
        <f aca="false">_xlfn.NORM.DIST(K1180,AVERAGE($G$2:$G$1387),_xlfn.STDEV.S($G$2:$G$1387),TRUE())</f>
        <v>0.848511377295015</v>
      </c>
    </row>
    <row r="1181" customFormat="false" ht="15" hidden="false" customHeight="false" outlineLevel="0" collapsed="false">
      <c r="A1181" s="0" t="n">
        <f aca="false">ROW()-1</f>
        <v>1180</v>
      </c>
      <c r="B1181" s="0" t="str">
        <f aca="false">'Analysis Data'!A1181</f>
        <v>Arroyo</v>
      </c>
      <c r="C1181" s="5" t="n">
        <f aca="false">'Analysis Data'!B1181</f>
        <v>40316</v>
      </c>
      <c r="D1181" s="6" t="n">
        <f aca="false">'Analysis Data'!C1181</f>
        <v>232.241759656341</v>
      </c>
      <c r="E1181" s="15" t="n">
        <f aca="false">SUMPRODUCT('Final Model'!$B$45:$I$45,'Analysis Data'!N1181:U1181)</f>
        <v>307.214848891498</v>
      </c>
      <c r="F1181" s="15" t="n">
        <f aca="false">D1181-E1181</f>
        <v>-74.9730892351571</v>
      </c>
      <c r="G1181" s="13" t="n">
        <f aca="false">F1181/'Final Model'!$B$21</f>
        <v>-1.5290638290878</v>
      </c>
      <c r="H1181" s="6" t="n">
        <f aca="false">F1181^2</f>
        <v>5620.96410946282</v>
      </c>
      <c r="J1181" s="6" t="n">
        <f aca="false">A1181</f>
        <v>1180</v>
      </c>
      <c r="K1181" s="13" t="n">
        <f aca="false">SMALL($G$2:$G$1387,J1181)</f>
        <v>1.03112215843432</v>
      </c>
      <c r="L1181" s="18" t="n">
        <f aca="false">(J1181-0.5)/1386</f>
        <v>0.851010101010101</v>
      </c>
      <c r="M1181" s="18" t="n">
        <f aca="false">_xlfn.NORM.DIST(K1181,AVERAGE($G$2:$G$1387),_xlfn.STDEV.S($G$2:$G$1387),TRUE())</f>
        <v>0.849370621970207</v>
      </c>
    </row>
    <row r="1182" customFormat="false" ht="15" hidden="false" customHeight="false" outlineLevel="0" collapsed="false">
      <c r="A1182" s="0" t="n">
        <f aca="false">ROW()-1</f>
        <v>1181</v>
      </c>
      <c r="B1182" s="0" t="str">
        <f aca="false">'Analysis Data'!A1182</f>
        <v>Arroyo</v>
      </c>
      <c r="C1182" s="5" t="n">
        <f aca="false">'Analysis Data'!B1182</f>
        <v>40323</v>
      </c>
      <c r="D1182" s="6" t="n">
        <f aca="false">'Analysis Data'!C1182</f>
        <v>278.487360157804</v>
      </c>
      <c r="E1182" s="15" t="n">
        <f aca="false">SUMPRODUCT('Final Model'!$B$45:$I$45,'Analysis Data'!N1182:U1182)</f>
        <v>239.889008993104</v>
      </c>
      <c r="F1182" s="15" t="n">
        <f aca="false">D1182-E1182</f>
        <v>38.5983511647005</v>
      </c>
      <c r="G1182" s="13" t="n">
        <f aca="false">F1182/'Final Model'!$B$21</f>
        <v>0.787207026287193</v>
      </c>
      <c r="H1182" s="6" t="n">
        <f aca="false">F1182^2</f>
        <v>1489.83271263353</v>
      </c>
      <c r="J1182" s="6" t="n">
        <f aca="false">A1182</f>
        <v>1181</v>
      </c>
      <c r="K1182" s="13" t="n">
        <f aca="false">SMALL($G$2:$G$1387,J1182)</f>
        <v>1.0313245368718</v>
      </c>
      <c r="L1182" s="18" t="n">
        <f aca="false">(J1182-0.5)/1386</f>
        <v>0.851731601731602</v>
      </c>
      <c r="M1182" s="18" t="n">
        <f aca="false">_xlfn.NORM.DIST(K1182,AVERAGE($G$2:$G$1387),_xlfn.STDEV.S($G$2:$G$1387),TRUE())</f>
        <v>0.849418055177221</v>
      </c>
    </row>
    <row r="1183" customFormat="false" ht="15" hidden="false" customHeight="false" outlineLevel="0" collapsed="false">
      <c r="A1183" s="0" t="n">
        <f aca="false">ROW()-1</f>
        <v>1182</v>
      </c>
      <c r="B1183" s="0" t="str">
        <f aca="false">'Analysis Data'!A1183</f>
        <v>Arroyo</v>
      </c>
      <c r="C1183" s="5" t="n">
        <f aca="false">'Analysis Data'!B1183</f>
        <v>40330</v>
      </c>
      <c r="D1183" s="6" t="n">
        <f aca="false">'Analysis Data'!C1183</f>
        <v>240.169275451782</v>
      </c>
      <c r="E1183" s="15" t="n">
        <f aca="false">SUMPRODUCT('Final Model'!$B$45:$I$45,'Analysis Data'!N1183:U1183)</f>
        <v>243.503687527497</v>
      </c>
      <c r="F1183" s="15" t="n">
        <f aca="false">D1183-E1183</f>
        <v>-3.33441207571497</v>
      </c>
      <c r="G1183" s="13" t="n">
        <f aca="false">F1183/'Final Model'!$B$21</f>
        <v>-0.0680047860940812</v>
      </c>
      <c r="H1183" s="6" t="n">
        <f aca="false">F1183^2</f>
        <v>11.1183038906738</v>
      </c>
      <c r="J1183" s="6" t="n">
        <f aca="false">A1183</f>
        <v>1182</v>
      </c>
      <c r="K1183" s="13" t="n">
        <f aca="false">SMALL($G$2:$G$1387,J1183)</f>
        <v>1.03293887656821</v>
      </c>
      <c r="L1183" s="18" t="n">
        <f aca="false">(J1183-0.5)/1386</f>
        <v>0.852453102453103</v>
      </c>
      <c r="M1183" s="18" t="n">
        <f aca="false">_xlfn.NORM.DIST(K1183,AVERAGE($G$2:$G$1387),_xlfn.STDEV.S($G$2:$G$1387),TRUE())</f>
        <v>0.849796065900869</v>
      </c>
    </row>
    <row r="1184" customFormat="false" ht="15" hidden="false" customHeight="false" outlineLevel="0" collapsed="false">
      <c r="A1184" s="0" t="n">
        <f aca="false">ROW()-1</f>
        <v>1183</v>
      </c>
      <c r="B1184" s="0" t="str">
        <f aca="false">'Analysis Data'!A1184</f>
        <v>Arroyo</v>
      </c>
      <c r="C1184" s="5" t="n">
        <f aca="false">'Analysis Data'!B1184</f>
        <v>40337</v>
      </c>
      <c r="D1184" s="6" t="n">
        <f aca="false">'Analysis Data'!C1184</f>
        <v>229.221191238879</v>
      </c>
      <c r="E1184" s="15" t="n">
        <f aca="false">SUMPRODUCT('Final Model'!$B$45:$I$45,'Analysis Data'!N1184:U1184)</f>
        <v>226.959581941353</v>
      </c>
      <c r="F1184" s="15" t="n">
        <f aca="false">D1184-E1184</f>
        <v>2.2616092975255</v>
      </c>
      <c r="G1184" s="13" t="n">
        <f aca="false">F1184/'Final Model'!$B$21</f>
        <v>0.0461251498057956</v>
      </c>
      <c r="H1184" s="6" t="n">
        <f aca="false">F1184^2</f>
        <v>5.11487661465377</v>
      </c>
      <c r="J1184" s="6" t="n">
        <f aca="false">A1184</f>
        <v>1183</v>
      </c>
      <c r="K1184" s="13" t="n">
        <f aca="false">SMALL($G$2:$G$1387,J1184)</f>
        <v>1.03666410711659</v>
      </c>
      <c r="L1184" s="18" t="n">
        <f aca="false">(J1184-0.5)/1386</f>
        <v>0.853174603174603</v>
      </c>
      <c r="M1184" s="18" t="n">
        <f aca="false">_xlfn.NORM.DIST(K1184,AVERAGE($G$2:$G$1387),_xlfn.STDEV.S($G$2:$G$1387),TRUE())</f>
        <v>0.850665943209656</v>
      </c>
    </row>
    <row r="1185" customFormat="false" ht="15" hidden="false" customHeight="false" outlineLevel="0" collapsed="false">
      <c r="A1185" s="0" t="n">
        <f aca="false">ROW()-1</f>
        <v>1184</v>
      </c>
      <c r="B1185" s="0" t="str">
        <f aca="false">'Analysis Data'!A1185</f>
        <v>Arroyo</v>
      </c>
      <c r="C1185" s="5" t="n">
        <f aca="false">'Analysis Data'!B1185</f>
        <v>40344</v>
      </c>
      <c r="D1185" s="6" t="n">
        <f aca="false">'Analysis Data'!C1185</f>
        <v>226.591724689918</v>
      </c>
      <c r="E1185" s="15" t="n">
        <f aca="false">SUMPRODUCT('Final Model'!$B$45:$I$45,'Analysis Data'!N1185:U1185)</f>
        <v>335.6190374306</v>
      </c>
      <c r="F1185" s="15" t="n">
        <f aca="false">D1185-E1185</f>
        <v>-109.027312740682</v>
      </c>
      <c r="G1185" s="13" t="n">
        <f aca="false">F1185/'Final Model'!$B$21</f>
        <v>-2.22359411883812</v>
      </c>
      <c r="H1185" s="6" t="n">
        <f aca="false">F1185^2</f>
        <v>11886.9549234546</v>
      </c>
      <c r="J1185" s="6" t="n">
        <f aca="false">A1185</f>
        <v>1184</v>
      </c>
      <c r="K1185" s="13" t="n">
        <f aca="false">SMALL($G$2:$G$1387,J1185)</f>
        <v>1.03954196301494</v>
      </c>
      <c r="L1185" s="18" t="n">
        <f aca="false">(J1185-0.5)/1386</f>
        <v>0.853896103896104</v>
      </c>
      <c r="M1185" s="18" t="n">
        <f aca="false">_xlfn.NORM.DIST(K1185,AVERAGE($G$2:$G$1387),_xlfn.STDEV.S($G$2:$G$1387),TRUE())</f>
        <v>0.851335643096749</v>
      </c>
    </row>
    <row r="1186" customFormat="false" ht="15" hidden="false" customHeight="false" outlineLevel="0" collapsed="false">
      <c r="A1186" s="0" t="n">
        <f aca="false">ROW()-1</f>
        <v>1185</v>
      </c>
      <c r="B1186" s="0" t="str">
        <f aca="false">'Analysis Data'!A1186</f>
        <v>Arroyo</v>
      </c>
      <c r="C1186" s="5" t="n">
        <f aca="false">'Analysis Data'!B1186</f>
        <v>40351</v>
      </c>
      <c r="D1186" s="6" t="n">
        <f aca="false">'Analysis Data'!C1186</f>
        <v>300.134532712533</v>
      </c>
      <c r="E1186" s="15" t="n">
        <f aca="false">SUMPRODUCT('Final Model'!$B$45:$I$45,'Analysis Data'!N1186:U1186)</f>
        <v>302.2361332854</v>
      </c>
      <c r="F1186" s="15" t="n">
        <f aca="false">D1186-E1186</f>
        <v>-2.10160057286709</v>
      </c>
      <c r="G1186" s="13" t="n">
        <f aca="false">F1186/'Final Model'!$B$21</f>
        <v>-0.0428617981724349</v>
      </c>
      <c r="H1186" s="6" t="n">
        <f aca="false">F1186^2</f>
        <v>4.41672496787526</v>
      </c>
      <c r="J1186" s="6" t="n">
        <f aca="false">A1186</f>
        <v>1185</v>
      </c>
      <c r="K1186" s="13" t="n">
        <f aca="false">SMALL($G$2:$G$1387,J1186)</f>
        <v>1.0399903764225</v>
      </c>
      <c r="L1186" s="18" t="n">
        <f aca="false">(J1186-0.5)/1386</f>
        <v>0.854617604617605</v>
      </c>
      <c r="M1186" s="18" t="n">
        <f aca="false">_xlfn.NORM.DIST(K1186,AVERAGE($G$2:$G$1387),_xlfn.STDEV.S($G$2:$G$1387),TRUE())</f>
        <v>0.851439811386733</v>
      </c>
    </row>
    <row r="1187" customFormat="false" ht="15" hidden="false" customHeight="false" outlineLevel="0" collapsed="false">
      <c r="A1187" s="0" t="n">
        <f aca="false">ROW()-1</f>
        <v>1186</v>
      </c>
      <c r="B1187" s="0" t="str">
        <f aca="false">'Analysis Data'!A1187</f>
        <v>Arroyo</v>
      </c>
      <c r="C1187" s="5" t="n">
        <f aca="false">'Analysis Data'!B1187</f>
        <v>40358</v>
      </c>
      <c r="D1187" s="6" t="n">
        <f aca="false">'Analysis Data'!C1187</f>
        <v>457.336717973649</v>
      </c>
      <c r="E1187" s="15" t="n">
        <f aca="false">SUMPRODUCT('Final Model'!$B$45:$I$45,'Analysis Data'!N1187:U1187)</f>
        <v>410.45991980005</v>
      </c>
      <c r="F1187" s="15" t="n">
        <f aca="false">D1187-E1187</f>
        <v>46.8767981735987</v>
      </c>
      <c r="G1187" s="13" t="n">
        <f aca="false">F1187/'Final Model'!$B$21</f>
        <v>0.956044592025255</v>
      </c>
      <c r="H1187" s="6" t="n">
        <f aca="false">F1187^2</f>
        <v>2197.43420700831</v>
      </c>
      <c r="J1187" s="6" t="n">
        <f aca="false">A1187</f>
        <v>1186</v>
      </c>
      <c r="K1187" s="13" t="n">
        <f aca="false">SMALL($G$2:$G$1387,J1187)</f>
        <v>1.04002854842286</v>
      </c>
      <c r="L1187" s="18" t="n">
        <f aca="false">(J1187-0.5)/1386</f>
        <v>0.855339105339105</v>
      </c>
      <c r="M1187" s="18" t="n">
        <f aca="false">_xlfn.NORM.DIST(K1187,AVERAGE($G$2:$G$1387),_xlfn.STDEV.S($G$2:$G$1387),TRUE())</f>
        <v>0.85144867664579</v>
      </c>
    </row>
    <row r="1188" customFormat="false" ht="15" hidden="false" customHeight="false" outlineLevel="0" collapsed="false">
      <c r="A1188" s="0" t="n">
        <f aca="false">ROW()-1</f>
        <v>1187</v>
      </c>
      <c r="B1188" s="0" t="str">
        <f aca="false">'Analysis Data'!A1188</f>
        <v>Arroyo</v>
      </c>
      <c r="C1188" s="5" t="n">
        <f aca="false">'Analysis Data'!B1188</f>
        <v>40365</v>
      </c>
      <c r="D1188" s="6" t="n">
        <f aca="false">'Analysis Data'!C1188</f>
        <v>368.986455009874</v>
      </c>
      <c r="E1188" s="15" t="n">
        <f aca="false">SUMPRODUCT('Final Model'!$B$45:$I$45,'Analysis Data'!N1188:U1188)</f>
        <v>323.105552384053</v>
      </c>
      <c r="F1188" s="15" t="n">
        <f aca="false">D1188-E1188</f>
        <v>45.8809026258207</v>
      </c>
      <c r="G1188" s="13" t="n">
        <f aca="false">F1188/'Final Model'!$B$21</f>
        <v>0.935733466057368</v>
      </c>
      <c r="H1188" s="6" t="n">
        <f aca="false">F1188^2</f>
        <v>2105.05722576004</v>
      </c>
      <c r="J1188" s="6" t="n">
        <f aca="false">A1188</f>
        <v>1187</v>
      </c>
      <c r="K1188" s="13" t="n">
        <f aca="false">SMALL($G$2:$G$1387,J1188)</f>
        <v>1.04700000430925</v>
      </c>
      <c r="L1188" s="18" t="n">
        <f aca="false">(J1188-0.5)/1386</f>
        <v>0.856060606060606</v>
      </c>
      <c r="M1188" s="18" t="n">
        <f aca="false">_xlfn.NORM.DIST(K1188,AVERAGE($G$2:$G$1387),_xlfn.STDEV.S($G$2:$G$1387),TRUE())</f>
        <v>0.853061832526684</v>
      </c>
    </row>
    <row r="1189" customFormat="false" ht="15" hidden="false" customHeight="false" outlineLevel="0" collapsed="false">
      <c r="A1189" s="0" t="n">
        <f aca="false">ROW()-1</f>
        <v>1188</v>
      </c>
      <c r="B1189" s="0" t="str">
        <f aca="false">'Analysis Data'!A1189</f>
        <v>Arroyo</v>
      </c>
      <c r="C1189" s="5" t="n">
        <f aca="false">'Analysis Data'!B1189</f>
        <v>40372</v>
      </c>
      <c r="D1189" s="6" t="n">
        <f aca="false">'Analysis Data'!C1189</f>
        <v>409.111526166358</v>
      </c>
      <c r="E1189" s="15" t="n">
        <f aca="false">SUMPRODUCT('Final Model'!$B$45:$I$45,'Analysis Data'!N1189:U1189)</f>
        <v>388.90195825679</v>
      </c>
      <c r="F1189" s="15" t="n">
        <f aca="false">D1189-E1189</f>
        <v>20.2095679095681</v>
      </c>
      <c r="G1189" s="13" t="n">
        <f aca="false">F1189/'Final Model'!$B$21</f>
        <v>0.412170814985218</v>
      </c>
      <c r="H1189" s="6" t="n">
        <f aca="false">F1189^2</f>
        <v>408.426635091446</v>
      </c>
      <c r="J1189" s="6" t="n">
        <f aca="false">A1189</f>
        <v>1188</v>
      </c>
      <c r="K1189" s="13" t="n">
        <f aca="false">SMALL($G$2:$G$1387,J1189)</f>
        <v>1.0500325354922</v>
      </c>
      <c r="L1189" s="18" t="n">
        <f aca="false">(J1189-0.5)/1386</f>
        <v>0.856782106782107</v>
      </c>
      <c r="M1189" s="18" t="n">
        <f aca="false">_xlfn.NORM.DIST(K1189,AVERAGE($G$2:$G$1387),_xlfn.STDEV.S($G$2:$G$1387),TRUE())</f>
        <v>0.853759862738108</v>
      </c>
    </row>
    <row r="1190" customFormat="false" ht="15" hidden="false" customHeight="false" outlineLevel="0" collapsed="false">
      <c r="A1190" s="0" t="n">
        <f aca="false">ROW()-1</f>
        <v>1189</v>
      </c>
      <c r="B1190" s="0" t="str">
        <f aca="false">'Analysis Data'!A1190</f>
        <v>Fairfax</v>
      </c>
      <c r="C1190" s="5" t="n">
        <f aca="false">'Analysis Data'!B1190</f>
        <v>40302</v>
      </c>
      <c r="D1190" s="6" t="n">
        <f aca="false">'Analysis Data'!C1190</f>
        <v>193.071115761226</v>
      </c>
      <c r="E1190" s="15" t="n">
        <f aca="false">SUMPRODUCT('Final Model'!$B$45:$I$45,'Analysis Data'!N1190:U1190)</f>
        <v>229.60188608726</v>
      </c>
      <c r="F1190" s="15" t="n">
        <f aca="false">D1190-E1190</f>
        <v>-36.5307703260343</v>
      </c>
      <c r="G1190" s="13" t="n">
        <f aca="false">F1190/'Final Model'!$B$21</f>
        <v>-0.74503905500081</v>
      </c>
      <c r="H1190" s="6" t="n">
        <f aca="false">F1190^2</f>
        <v>1334.49718061347</v>
      </c>
      <c r="J1190" s="6" t="n">
        <f aca="false">A1190</f>
        <v>1189</v>
      </c>
      <c r="K1190" s="13" t="n">
        <f aca="false">SMALL($G$2:$G$1387,J1190)</f>
        <v>1.06104596132483</v>
      </c>
      <c r="L1190" s="18" t="n">
        <f aca="false">(J1190-0.5)/1386</f>
        <v>0.857503607503608</v>
      </c>
      <c r="M1190" s="18" t="n">
        <f aca="false">_xlfn.NORM.DIST(K1190,AVERAGE($G$2:$G$1387),_xlfn.STDEV.S($G$2:$G$1387),TRUE())</f>
        <v>0.856276186943554</v>
      </c>
    </row>
    <row r="1191" customFormat="false" ht="15" hidden="false" customHeight="false" outlineLevel="0" collapsed="false">
      <c r="A1191" s="0" t="n">
        <f aca="false">ROW()-1</f>
        <v>1190</v>
      </c>
      <c r="B1191" s="0" t="str">
        <f aca="false">'Analysis Data'!A1191</f>
        <v>Fairfax</v>
      </c>
      <c r="C1191" s="5" t="n">
        <f aca="false">'Analysis Data'!B1191</f>
        <v>40309</v>
      </c>
      <c r="D1191" s="6" t="n">
        <f aca="false">'Analysis Data'!C1191</f>
        <v>263.640168363798</v>
      </c>
      <c r="E1191" s="15" t="n">
        <f aca="false">SUMPRODUCT('Final Model'!$B$45:$I$45,'Analysis Data'!N1191:U1191)</f>
        <v>229.60188608726</v>
      </c>
      <c r="F1191" s="15" t="n">
        <f aca="false">D1191-E1191</f>
        <v>34.0382822765376</v>
      </c>
      <c r="G1191" s="13" t="n">
        <f aca="false">F1191/'Final Model'!$B$21</f>
        <v>0.694205171005915</v>
      </c>
      <c r="H1191" s="6" t="n">
        <f aca="false">F1191^2</f>
        <v>1158.60466033726</v>
      </c>
      <c r="J1191" s="6" t="n">
        <f aca="false">A1191</f>
        <v>1190</v>
      </c>
      <c r="K1191" s="13" t="n">
        <f aca="false">SMALL($G$2:$G$1387,J1191)</f>
        <v>1.06362988357535</v>
      </c>
      <c r="L1191" s="18" t="n">
        <f aca="false">(J1191-0.5)/1386</f>
        <v>0.858225108225108</v>
      </c>
      <c r="M1191" s="18" t="n">
        <f aca="false">_xlfn.NORM.DIST(K1191,AVERAGE($G$2:$G$1387),_xlfn.STDEV.S($G$2:$G$1387),TRUE())</f>
        <v>0.856862299228596</v>
      </c>
    </row>
    <row r="1192" customFormat="false" ht="15" hidden="false" customHeight="false" outlineLevel="0" collapsed="false">
      <c r="A1192" s="0" t="n">
        <f aca="false">ROW()-1</f>
        <v>1191</v>
      </c>
      <c r="B1192" s="0" t="str">
        <f aca="false">'Analysis Data'!A1192</f>
        <v>Fairfax</v>
      </c>
      <c r="C1192" s="5" t="n">
        <f aca="false">'Analysis Data'!B1192</f>
        <v>40316</v>
      </c>
      <c r="D1192" s="6" t="n">
        <f aca="false">'Analysis Data'!C1192</f>
        <v>176.274119713336</v>
      </c>
      <c r="E1192" s="15" t="n">
        <f aca="false">SUMPRODUCT('Final Model'!$B$45:$I$45,'Analysis Data'!N1192:U1192)</f>
        <v>237.269943230883</v>
      </c>
      <c r="F1192" s="15" t="n">
        <f aca="false">D1192-E1192</f>
        <v>-60.9958235175469</v>
      </c>
      <c r="G1192" s="13" t="n">
        <f aca="false">F1192/'Final Model'!$B$21</f>
        <v>-1.2439997926932</v>
      </c>
      <c r="H1192" s="6" t="n">
        <f aca="false">F1192^2</f>
        <v>3720.49048658373</v>
      </c>
      <c r="J1192" s="6" t="n">
        <f aca="false">A1192</f>
        <v>1191</v>
      </c>
      <c r="K1192" s="13" t="n">
        <f aca="false">SMALL($G$2:$G$1387,J1192)</f>
        <v>1.06446598833101</v>
      </c>
      <c r="L1192" s="18" t="n">
        <f aca="false">(J1192-0.5)/1386</f>
        <v>0.858946608946609</v>
      </c>
      <c r="M1192" s="18" t="n">
        <f aca="false">_xlfn.NORM.DIST(K1192,AVERAGE($G$2:$G$1387),_xlfn.STDEV.S($G$2:$G$1387),TRUE())</f>
        <v>0.857051607012363</v>
      </c>
    </row>
    <row r="1193" customFormat="false" ht="15" hidden="false" customHeight="false" outlineLevel="0" collapsed="false">
      <c r="A1193" s="0" t="n">
        <f aca="false">ROW()-1</f>
        <v>1192</v>
      </c>
      <c r="B1193" s="0" t="str">
        <f aca="false">'Analysis Data'!A1193</f>
        <v>Fairfax</v>
      </c>
      <c r="C1193" s="5" t="n">
        <f aca="false">'Analysis Data'!B1193</f>
        <v>40323</v>
      </c>
      <c r="D1193" s="6" t="n">
        <f aca="false">'Analysis Data'!C1193</f>
        <v>223.054092168069</v>
      </c>
      <c r="E1193" s="15" t="n">
        <f aca="false">SUMPRODUCT('Final Model'!$B$45:$I$45,'Analysis Data'!N1193:U1193)</f>
        <v>243.34081682425</v>
      </c>
      <c r="F1193" s="15" t="n">
        <f aca="false">D1193-E1193</f>
        <v>-20.2867246561807</v>
      </c>
      <c r="G1193" s="13" t="n">
        <f aca="false">F1193/'Final Model'!$B$21</f>
        <v>-0.413744414147515</v>
      </c>
      <c r="H1193" s="6" t="n">
        <f aca="false">F1193^2</f>
        <v>411.551197275689</v>
      </c>
      <c r="J1193" s="6" t="n">
        <f aca="false">A1193</f>
        <v>1192</v>
      </c>
      <c r="K1193" s="13" t="n">
        <f aca="false">SMALL($G$2:$G$1387,J1193)</f>
        <v>1.06895937190425</v>
      </c>
      <c r="L1193" s="18" t="n">
        <f aca="false">(J1193-0.5)/1386</f>
        <v>0.85966810966811</v>
      </c>
      <c r="M1193" s="18" t="n">
        <f aca="false">_xlfn.NORM.DIST(K1193,AVERAGE($G$2:$G$1387),_xlfn.STDEV.S($G$2:$G$1387),TRUE())</f>
        <v>0.85806608379324</v>
      </c>
    </row>
    <row r="1194" customFormat="false" ht="15" hidden="false" customHeight="false" outlineLevel="0" collapsed="false">
      <c r="A1194" s="0" t="n">
        <f aca="false">ROW()-1</f>
        <v>1193</v>
      </c>
      <c r="B1194" s="0" t="str">
        <f aca="false">'Analysis Data'!A1194</f>
        <v>Fairfax</v>
      </c>
      <c r="C1194" s="5" t="n">
        <f aca="false">'Analysis Data'!B1194</f>
        <v>40330</v>
      </c>
      <c r="D1194" s="6" t="n">
        <f aca="false">'Analysis Data'!C1194</f>
        <v>164.639545269204</v>
      </c>
      <c r="E1194" s="15" t="n">
        <f aca="false">SUMPRODUCT('Final Model'!$B$45:$I$45,'Analysis Data'!N1194:U1194)</f>
        <v>240.198331952836</v>
      </c>
      <c r="F1194" s="15" t="n">
        <f aca="false">D1194-E1194</f>
        <v>-75.5587866836323</v>
      </c>
      <c r="G1194" s="13" t="n">
        <f aca="false">F1194/'Final Model'!$B$21</f>
        <v>-1.54100903225855</v>
      </c>
      <c r="H1194" s="6" t="n">
        <f aca="false">F1194^2</f>
        <v>5709.13024510265</v>
      </c>
      <c r="J1194" s="6" t="n">
        <f aca="false">A1194</f>
        <v>1193</v>
      </c>
      <c r="K1194" s="13" t="n">
        <f aca="false">SMALL($G$2:$G$1387,J1194)</f>
        <v>1.07063535678959</v>
      </c>
      <c r="L1194" s="18" t="n">
        <f aca="false">(J1194-0.5)/1386</f>
        <v>0.86038961038961</v>
      </c>
      <c r="M1194" s="18" t="n">
        <f aca="false">_xlfn.NORM.DIST(K1194,AVERAGE($G$2:$G$1387),_xlfn.STDEV.S($G$2:$G$1387),TRUE())</f>
        <v>0.858443221799694</v>
      </c>
    </row>
    <row r="1195" customFormat="false" ht="15" hidden="false" customHeight="false" outlineLevel="0" collapsed="false">
      <c r="A1195" s="0" t="n">
        <f aca="false">ROW()-1</f>
        <v>1194</v>
      </c>
      <c r="B1195" s="0" t="str">
        <f aca="false">'Analysis Data'!A1195</f>
        <v>Fairfax</v>
      </c>
      <c r="C1195" s="5" t="n">
        <f aca="false">'Analysis Data'!B1195</f>
        <v>40337</v>
      </c>
      <c r="D1195" s="6" t="n">
        <f aca="false">'Analysis Data'!C1195</f>
        <v>248.940880692599</v>
      </c>
      <c r="E1195" s="15" t="n">
        <f aca="false">SUMPRODUCT('Final Model'!$B$45:$I$45,'Analysis Data'!N1195:U1195)</f>
        <v>235.536815200058</v>
      </c>
      <c r="F1195" s="15" t="n">
        <f aca="false">D1195-E1195</f>
        <v>13.4040654925407</v>
      </c>
      <c r="G1195" s="13" t="n">
        <f aca="false">F1195/'Final Model'!$B$21</f>
        <v>0.273373712040624</v>
      </c>
      <c r="H1195" s="6" t="n">
        <f aca="false">F1195^2</f>
        <v>179.668971728319</v>
      </c>
      <c r="J1195" s="6" t="n">
        <f aca="false">A1195</f>
        <v>1194</v>
      </c>
      <c r="K1195" s="13" t="n">
        <f aca="false">SMALL($G$2:$G$1387,J1195)</f>
        <v>1.08185616938134</v>
      </c>
      <c r="L1195" s="18" t="n">
        <f aca="false">(J1195-0.5)/1386</f>
        <v>0.861111111111111</v>
      </c>
      <c r="M1195" s="18" t="n">
        <f aca="false">_xlfn.NORM.DIST(K1195,AVERAGE($G$2:$G$1387),_xlfn.STDEV.S($G$2:$G$1387),TRUE())</f>
        <v>0.860950685268657</v>
      </c>
    </row>
    <row r="1196" customFormat="false" ht="15" hidden="false" customHeight="false" outlineLevel="0" collapsed="false">
      <c r="A1196" s="0" t="n">
        <f aca="false">ROW()-1</f>
        <v>1195</v>
      </c>
      <c r="B1196" s="0" t="str">
        <f aca="false">'Analysis Data'!A1196</f>
        <v>Fairfax</v>
      </c>
      <c r="C1196" s="5" t="n">
        <f aca="false">'Analysis Data'!B1196</f>
        <v>40344</v>
      </c>
      <c r="D1196" s="6" t="n">
        <f aca="false">'Analysis Data'!C1196</f>
        <v>373.232066775126</v>
      </c>
      <c r="E1196" s="15" t="n">
        <f aca="false">SUMPRODUCT('Final Model'!$B$45:$I$45,'Analysis Data'!N1196:U1196)</f>
        <v>340.813824351801</v>
      </c>
      <c r="F1196" s="15" t="n">
        <f aca="false">D1196-E1196</f>
        <v>32.4182424233251</v>
      </c>
      <c r="G1196" s="13" t="n">
        <f aca="false">F1196/'Final Model'!$B$21</f>
        <v>0.661164724540407</v>
      </c>
      <c r="H1196" s="6" t="n">
        <f aca="false">F1196^2</f>
        <v>1050.94244181748</v>
      </c>
      <c r="J1196" s="6" t="n">
        <f aca="false">A1196</f>
        <v>1195</v>
      </c>
      <c r="K1196" s="13" t="n">
        <f aca="false">SMALL($G$2:$G$1387,J1196)</f>
        <v>1.08369489265731</v>
      </c>
      <c r="L1196" s="18" t="n">
        <f aca="false">(J1196-0.5)/1386</f>
        <v>0.861832611832612</v>
      </c>
      <c r="M1196" s="18" t="n">
        <f aca="false">_xlfn.NORM.DIST(K1196,AVERAGE($G$2:$G$1387),_xlfn.STDEV.S($G$2:$G$1387),TRUE())</f>
        <v>0.861358675196381</v>
      </c>
    </row>
    <row r="1197" customFormat="false" ht="15" hidden="false" customHeight="false" outlineLevel="0" collapsed="false">
      <c r="A1197" s="0" t="n">
        <f aca="false">ROW()-1</f>
        <v>1196</v>
      </c>
      <c r="B1197" s="0" t="str">
        <f aca="false">'Analysis Data'!A1197</f>
        <v>Fairfax</v>
      </c>
      <c r="C1197" s="5" t="n">
        <f aca="false">'Analysis Data'!B1197</f>
        <v>40351</v>
      </c>
      <c r="D1197" s="6" t="n">
        <f aca="false">'Analysis Data'!C1197</f>
        <v>338.160304834533</v>
      </c>
      <c r="E1197" s="15" t="n">
        <f aca="false">SUMPRODUCT('Final Model'!$B$45:$I$45,'Analysis Data'!N1197:U1197)</f>
        <v>307.4309202066</v>
      </c>
      <c r="F1197" s="15" t="n">
        <f aca="false">D1197-E1197</f>
        <v>30.7293846279329</v>
      </c>
      <c r="G1197" s="13" t="n">
        <f aca="false">F1197/'Final Model'!$B$21</f>
        <v>0.626720747458077</v>
      </c>
      <c r="H1197" s="6" t="n">
        <f aca="false">F1197^2</f>
        <v>944.295079611436</v>
      </c>
      <c r="J1197" s="6" t="n">
        <f aca="false">A1197</f>
        <v>1196</v>
      </c>
      <c r="K1197" s="13" t="n">
        <f aca="false">SMALL($G$2:$G$1387,J1197)</f>
        <v>1.08818557716892</v>
      </c>
      <c r="L1197" s="18" t="n">
        <f aca="false">(J1197-0.5)/1386</f>
        <v>0.862554112554113</v>
      </c>
      <c r="M1197" s="18" t="n">
        <f aca="false">_xlfn.NORM.DIST(K1197,AVERAGE($G$2:$G$1387),_xlfn.STDEV.S($G$2:$G$1387),TRUE())</f>
        <v>0.862351671754628</v>
      </c>
    </row>
    <row r="1198" customFormat="false" ht="15" hidden="false" customHeight="false" outlineLevel="0" collapsed="false">
      <c r="A1198" s="0" t="n">
        <f aca="false">ROW()-1</f>
        <v>1197</v>
      </c>
      <c r="B1198" s="0" t="str">
        <f aca="false">'Analysis Data'!A1198</f>
        <v>Fairfax</v>
      </c>
      <c r="C1198" s="5" t="n">
        <f aca="false">'Analysis Data'!B1198</f>
        <v>40358</v>
      </c>
      <c r="D1198" s="6" t="n">
        <f aca="false">'Analysis Data'!C1198</f>
        <v>415.114452041858</v>
      </c>
      <c r="E1198" s="15" t="n">
        <f aca="false">SUMPRODUCT('Final Model'!$B$45:$I$45,'Analysis Data'!N1198:U1198)</f>
        <v>307.4309202066</v>
      </c>
      <c r="F1198" s="15" t="n">
        <f aca="false">D1198-E1198</f>
        <v>107.683531835258</v>
      </c>
      <c r="G1198" s="13" t="n">
        <f aca="false">F1198/'Final Model'!$B$21</f>
        <v>2.19618792819472</v>
      </c>
      <c r="H1198" s="6" t="n">
        <f aca="false">F1198^2</f>
        <v>11595.7430285151</v>
      </c>
      <c r="J1198" s="6" t="n">
        <f aca="false">A1198</f>
        <v>1197</v>
      </c>
      <c r="K1198" s="13" t="n">
        <f aca="false">SMALL($G$2:$G$1387,J1198)</f>
        <v>1.08910020429167</v>
      </c>
      <c r="L1198" s="18" t="n">
        <f aca="false">(J1198-0.5)/1386</f>
        <v>0.863275613275613</v>
      </c>
      <c r="M1198" s="18" t="n">
        <f aca="false">_xlfn.NORM.DIST(K1198,AVERAGE($G$2:$G$1387),_xlfn.STDEV.S($G$2:$G$1387),TRUE())</f>
        <v>0.862553320961971</v>
      </c>
    </row>
    <row r="1199" customFormat="false" ht="15" hidden="false" customHeight="false" outlineLevel="0" collapsed="false">
      <c r="A1199" s="0" t="n">
        <f aca="false">ROW()-1</f>
        <v>1198</v>
      </c>
      <c r="B1199" s="0" t="str">
        <f aca="false">'Analysis Data'!A1199</f>
        <v>Fairfax</v>
      </c>
      <c r="C1199" s="5" t="n">
        <f aca="false">'Analysis Data'!B1199</f>
        <v>40365</v>
      </c>
      <c r="D1199" s="6" t="n">
        <f aca="false">'Analysis Data'!C1199</f>
        <v>302.529392482098</v>
      </c>
      <c r="E1199" s="15" t="n">
        <f aca="false">SUMPRODUCT('Final Model'!$B$45:$I$45,'Analysis Data'!N1199:U1199)</f>
        <v>314.809356486885</v>
      </c>
      <c r="F1199" s="15" t="n">
        <f aca="false">D1199-E1199</f>
        <v>-12.2799640047869</v>
      </c>
      <c r="G1199" s="13" t="n">
        <f aca="false">F1199/'Final Model'!$B$21</f>
        <v>-0.250447847004479</v>
      </c>
      <c r="H1199" s="6" t="n">
        <f aca="false">F1199^2</f>
        <v>150.797515958862</v>
      </c>
      <c r="J1199" s="6" t="n">
        <f aca="false">A1199</f>
        <v>1198</v>
      </c>
      <c r="K1199" s="13" t="n">
        <f aca="false">SMALL($G$2:$G$1387,J1199)</f>
        <v>1.09244541216083</v>
      </c>
      <c r="L1199" s="18" t="n">
        <f aca="false">(J1199-0.5)/1386</f>
        <v>0.863997113997114</v>
      </c>
      <c r="M1199" s="18" t="n">
        <f aca="false">_xlfn.NORM.DIST(K1199,AVERAGE($G$2:$G$1387),_xlfn.STDEV.S($G$2:$G$1387),TRUE())</f>
        <v>0.863289125525869</v>
      </c>
    </row>
    <row r="1200" customFormat="false" ht="15" hidden="false" customHeight="false" outlineLevel="0" collapsed="false">
      <c r="A1200" s="0" t="n">
        <f aca="false">ROW()-1</f>
        <v>1199</v>
      </c>
      <c r="B1200" s="0" t="str">
        <f aca="false">'Analysis Data'!A1200</f>
        <v>Fairfax</v>
      </c>
      <c r="C1200" s="5" t="n">
        <f aca="false">'Analysis Data'!B1200</f>
        <v>40372</v>
      </c>
      <c r="D1200" s="6" t="n">
        <f aca="false">'Analysis Data'!C1200</f>
        <v>287.386447027802</v>
      </c>
      <c r="E1200" s="15" t="n">
        <f aca="false">SUMPRODUCT('Final Model'!$B$45:$I$45,'Analysis Data'!N1200:U1200)</f>
        <v>316.846599149978</v>
      </c>
      <c r="F1200" s="15" t="n">
        <f aca="false">D1200-E1200</f>
        <v>-29.4601521221761</v>
      </c>
      <c r="G1200" s="13" t="n">
        <f aca="false">F1200/'Final Model'!$B$21</f>
        <v>-0.600834959169856</v>
      </c>
      <c r="H1200" s="6" t="n">
        <f aca="false">F1200^2</f>
        <v>867.900563061754</v>
      </c>
      <c r="J1200" s="6" t="n">
        <f aca="false">A1200</f>
        <v>1199</v>
      </c>
      <c r="K1200" s="13" t="n">
        <f aca="false">SMALL($G$2:$G$1387,J1200)</f>
        <v>1.09294493480424</v>
      </c>
      <c r="L1200" s="18" t="n">
        <f aca="false">(J1200-0.5)/1386</f>
        <v>0.864718614718615</v>
      </c>
      <c r="M1200" s="18" t="n">
        <f aca="false">_xlfn.NORM.DIST(K1200,AVERAGE($G$2:$G$1387),_xlfn.STDEV.S($G$2:$G$1387),TRUE())</f>
        <v>0.86339876789707</v>
      </c>
    </row>
    <row r="1201" customFormat="false" ht="15" hidden="false" customHeight="false" outlineLevel="0" collapsed="false">
      <c r="A1201" s="0" t="n">
        <f aca="false">ROW()-1</f>
        <v>1200</v>
      </c>
      <c r="B1201" s="0" t="str">
        <f aca="false">'Analysis Data'!A1201</f>
        <v>Fort Apache</v>
      </c>
      <c r="C1201" s="5" t="n">
        <f aca="false">'Analysis Data'!B1201</f>
        <v>40302</v>
      </c>
      <c r="D1201" s="6" t="n">
        <f aca="false">'Analysis Data'!C1201</f>
        <v>347.91721538663</v>
      </c>
      <c r="E1201" s="15" t="n">
        <f aca="false">SUMPRODUCT('Final Model'!$B$45:$I$45,'Analysis Data'!N1201:U1201)</f>
        <v>307.774994750654</v>
      </c>
      <c r="F1201" s="15" t="n">
        <f aca="false">D1201-E1201</f>
        <v>40.1422206359758</v>
      </c>
      <c r="G1201" s="13" t="n">
        <f aca="false">F1201/'Final Model'!$B$21</f>
        <v>0.818693990335794</v>
      </c>
      <c r="H1201" s="6" t="n">
        <f aca="false">F1201^2</f>
        <v>1611.39787758736</v>
      </c>
      <c r="J1201" s="6" t="n">
        <f aca="false">A1201</f>
        <v>1200</v>
      </c>
      <c r="K1201" s="13" t="n">
        <f aca="false">SMALL($G$2:$G$1387,J1201)</f>
        <v>1.10095401260679</v>
      </c>
      <c r="L1201" s="18" t="n">
        <f aca="false">(J1201-0.5)/1386</f>
        <v>0.865440115440116</v>
      </c>
      <c r="M1201" s="18" t="n">
        <f aca="false">_xlfn.NORM.DIST(K1201,AVERAGE($G$2:$G$1387),_xlfn.STDEV.S($G$2:$G$1387),TRUE())</f>
        <v>0.865148505420539</v>
      </c>
    </row>
    <row r="1202" customFormat="false" ht="15" hidden="false" customHeight="false" outlineLevel="0" collapsed="false">
      <c r="A1202" s="0" t="n">
        <f aca="false">ROW()-1</f>
        <v>1201</v>
      </c>
      <c r="B1202" s="0" t="str">
        <f aca="false">'Analysis Data'!A1202</f>
        <v>Fort Apache</v>
      </c>
      <c r="C1202" s="5" t="n">
        <f aca="false">'Analysis Data'!B1202</f>
        <v>40309</v>
      </c>
      <c r="D1202" s="6" t="n">
        <f aca="false">'Analysis Data'!C1202</f>
        <v>203.796789390291</v>
      </c>
      <c r="E1202" s="15" t="n">
        <f aca="false">SUMPRODUCT('Final Model'!$B$45:$I$45,'Analysis Data'!N1202:U1202)</f>
        <v>313.568826514683</v>
      </c>
      <c r="F1202" s="15" t="n">
        <f aca="false">D1202-E1202</f>
        <v>-109.772037124392</v>
      </c>
      <c r="G1202" s="13" t="n">
        <f aca="false">F1202/'Final Model'!$B$21</f>
        <v>-2.23878265020833</v>
      </c>
      <c r="H1202" s="6" t="n">
        <f aca="false">F1202^2</f>
        <v>12049.9001344388</v>
      </c>
      <c r="J1202" s="6" t="n">
        <f aca="false">A1202</f>
        <v>1201</v>
      </c>
      <c r="K1202" s="13" t="n">
        <f aca="false">SMALL($G$2:$G$1387,J1202)</f>
        <v>1.10459734168573</v>
      </c>
      <c r="L1202" s="18" t="n">
        <f aca="false">(J1202-0.5)/1386</f>
        <v>0.866161616161616</v>
      </c>
      <c r="M1202" s="18" t="n">
        <f aca="false">_xlfn.NORM.DIST(K1202,AVERAGE($G$2:$G$1387),_xlfn.STDEV.S($G$2:$G$1387),TRUE())</f>
        <v>0.865939350644655</v>
      </c>
    </row>
    <row r="1203" customFormat="false" ht="15" hidden="false" customHeight="false" outlineLevel="0" collapsed="false">
      <c r="A1203" s="0" t="n">
        <f aca="false">ROW()-1</f>
        <v>1202</v>
      </c>
      <c r="B1203" s="0" t="str">
        <f aca="false">'Analysis Data'!A1203</f>
        <v>Fort Apache</v>
      </c>
      <c r="C1203" s="5" t="n">
        <f aca="false">'Analysis Data'!B1203</f>
        <v>40316</v>
      </c>
      <c r="D1203" s="6" t="n">
        <f aca="false">'Analysis Data'!C1203</f>
        <v>241.462311432864</v>
      </c>
      <c r="E1203" s="15" t="n">
        <f aca="false">SUMPRODUCT('Final Model'!$B$45:$I$45,'Analysis Data'!N1203:U1203)</f>
        <v>244.391999620381</v>
      </c>
      <c r="F1203" s="15" t="n">
        <f aca="false">D1203-E1203</f>
        <v>-2.92968818751683</v>
      </c>
      <c r="G1203" s="13" t="n">
        <f aca="false">F1203/'Final Model'!$B$21</f>
        <v>-0.0597505089324387</v>
      </c>
      <c r="H1203" s="6" t="n">
        <f aca="false">F1203^2</f>
        <v>8.58307287607565</v>
      </c>
      <c r="J1203" s="6" t="n">
        <f aca="false">A1203</f>
        <v>1202</v>
      </c>
      <c r="K1203" s="13" t="n">
        <f aca="false">SMALL($G$2:$G$1387,J1203)</f>
        <v>1.10464008785459</v>
      </c>
      <c r="L1203" s="18" t="n">
        <f aca="false">(J1203-0.5)/1386</f>
        <v>0.866883116883117</v>
      </c>
      <c r="M1203" s="18" t="n">
        <f aca="false">_xlfn.NORM.DIST(K1203,AVERAGE($G$2:$G$1387),_xlfn.STDEV.S($G$2:$G$1387),TRUE())</f>
        <v>0.865948610460069</v>
      </c>
    </row>
    <row r="1204" customFormat="false" ht="15" hidden="false" customHeight="false" outlineLevel="0" collapsed="false">
      <c r="A1204" s="0" t="n">
        <f aca="false">ROW()-1</f>
        <v>1203</v>
      </c>
      <c r="B1204" s="0" t="str">
        <f aca="false">'Analysis Data'!A1204</f>
        <v>Fort Apache</v>
      </c>
      <c r="C1204" s="5" t="n">
        <f aca="false">'Analysis Data'!B1204</f>
        <v>40323</v>
      </c>
      <c r="D1204" s="6" t="n">
        <f aca="false">'Analysis Data'!C1204</f>
        <v>233.11930465913</v>
      </c>
      <c r="E1204" s="15" t="n">
        <f aca="false">SUMPRODUCT('Final Model'!$B$45:$I$45,'Analysis Data'!N1204:U1204)</f>
        <v>245.563213659436</v>
      </c>
      <c r="F1204" s="15" t="n">
        <f aca="false">D1204-E1204</f>
        <v>-12.4439090003053</v>
      </c>
      <c r="G1204" s="13" t="n">
        <f aca="false">F1204/'Final Model'!$B$21</f>
        <v>-0.253791478234891</v>
      </c>
      <c r="H1204" s="6" t="n">
        <f aca="false">F1204^2</f>
        <v>154.850871207878</v>
      </c>
      <c r="J1204" s="6" t="n">
        <f aca="false">A1204</f>
        <v>1203</v>
      </c>
      <c r="K1204" s="13" t="n">
        <f aca="false">SMALL($G$2:$G$1387,J1204)</f>
        <v>1.10513029087609</v>
      </c>
      <c r="L1204" s="18" t="n">
        <f aca="false">(J1204-0.5)/1386</f>
        <v>0.867604617604618</v>
      </c>
      <c r="M1204" s="18" t="n">
        <f aca="false">_xlfn.NORM.DIST(K1204,AVERAGE($G$2:$G$1387),_xlfn.STDEV.S($G$2:$G$1387),TRUE())</f>
        <v>0.866054768432842</v>
      </c>
    </row>
    <row r="1205" customFormat="false" ht="15" hidden="false" customHeight="false" outlineLevel="0" collapsed="false">
      <c r="A1205" s="0" t="n">
        <f aca="false">ROW()-1</f>
        <v>1204</v>
      </c>
      <c r="B1205" s="0" t="str">
        <f aca="false">'Analysis Data'!A1205</f>
        <v>Fort Apache</v>
      </c>
      <c r="C1205" s="5" t="n">
        <f aca="false">'Analysis Data'!B1205</f>
        <v>40330</v>
      </c>
      <c r="D1205" s="6" t="n">
        <f aca="false">'Analysis Data'!C1205</f>
        <v>206.841884966254</v>
      </c>
      <c r="E1205" s="15" t="n">
        <f aca="false">SUMPRODUCT('Final Model'!$B$45:$I$45,'Analysis Data'!N1205:U1205)</f>
        <v>244.617512878036</v>
      </c>
      <c r="F1205" s="15" t="n">
        <f aca="false">D1205-E1205</f>
        <v>-37.7756279117822</v>
      </c>
      <c r="G1205" s="13" t="n">
        <f aca="false">F1205/'Final Model'!$B$21</f>
        <v>-0.77042772080278</v>
      </c>
      <c r="H1205" s="6" t="n">
        <f aca="false">F1205^2</f>
        <v>1426.99806412941</v>
      </c>
      <c r="J1205" s="6" t="n">
        <f aca="false">A1205</f>
        <v>1204</v>
      </c>
      <c r="K1205" s="13" t="n">
        <f aca="false">SMALL($G$2:$G$1387,J1205)</f>
        <v>1.10841786973377</v>
      </c>
      <c r="L1205" s="18" t="n">
        <f aca="false">(J1205-0.5)/1386</f>
        <v>0.868326118326118</v>
      </c>
      <c r="M1205" s="18" t="n">
        <f aca="false">_xlfn.NORM.DIST(K1205,AVERAGE($G$2:$G$1387),_xlfn.STDEV.S($G$2:$G$1387),TRUE())</f>
        <v>0.86676523083054</v>
      </c>
    </row>
    <row r="1206" customFormat="false" ht="15" hidden="false" customHeight="false" outlineLevel="0" collapsed="false">
      <c r="A1206" s="0" t="n">
        <f aca="false">ROW()-1</f>
        <v>1205</v>
      </c>
      <c r="B1206" s="0" t="str">
        <f aca="false">'Analysis Data'!A1206</f>
        <v>Fort Apache</v>
      </c>
      <c r="C1206" s="5" t="n">
        <f aca="false">'Analysis Data'!B1206</f>
        <v>40337</v>
      </c>
      <c r="D1206" s="6" t="n">
        <f aca="false">'Analysis Data'!C1206</f>
        <v>268.008559541113</v>
      </c>
      <c r="E1206" s="15" t="n">
        <f aca="false">SUMPRODUCT('Final Model'!$B$45:$I$45,'Analysis Data'!N1206:U1206)</f>
        <v>240.503714502117</v>
      </c>
      <c r="F1206" s="15" t="n">
        <f aca="false">D1206-E1206</f>
        <v>27.504845038996</v>
      </c>
      <c r="G1206" s="13" t="n">
        <f aca="false">F1206/'Final Model'!$B$21</f>
        <v>0.560956792668376</v>
      </c>
      <c r="H1206" s="6" t="n">
        <f aca="false">F1206^2</f>
        <v>756.516500619181</v>
      </c>
      <c r="J1206" s="6" t="n">
        <f aca="false">A1206</f>
        <v>1205</v>
      </c>
      <c r="K1206" s="13" t="n">
        <f aca="false">SMALL($G$2:$G$1387,J1206)</f>
        <v>1.11013350048459</v>
      </c>
      <c r="L1206" s="18" t="n">
        <f aca="false">(J1206-0.5)/1386</f>
        <v>0.869047619047619</v>
      </c>
      <c r="M1206" s="18" t="n">
        <f aca="false">_xlfn.NORM.DIST(K1206,AVERAGE($G$2:$G$1387),_xlfn.STDEV.S($G$2:$G$1387),TRUE())</f>
        <v>0.867134955813336</v>
      </c>
    </row>
    <row r="1207" customFormat="false" ht="15" hidden="false" customHeight="false" outlineLevel="0" collapsed="false">
      <c r="A1207" s="0" t="n">
        <f aca="false">ROW()-1</f>
        <v>1206</v>
      </c>
      <c r="B1207" s="0" t="str">
        <f aca="false">'Analysis Data'!A1207</f>
        <v>Fort Apache</v>
      </c>
      <c r="C1207" s="5" t="n">
        <f aca="false">'Analysis Data'!B1207</f>
        <v>40344</v>
      </c>
      <c r="D1207" s="6" t="n">
        <f aca="false">'Analysis Data'!C1207</f>
        <v>340.762268105308</v>
      </c>
      <c r="E1207" s="15" t="n">
        <f aca="false">SUMPRODUCT('Final Model'!$B$45:$I$45,'Analysis Data'!N1207:U1207)</f>
        <v>240.451175556332</v>
      </c>
      <c r="F1207" s="15" t="n">
        <f aca="false">D1207-E1207</f>
        <v>100.311092548976</v>
      </c>
      <c r="G1207" s="13" t="n">
        <f aca="false">F1207/'Final Model'!$B$21</f>
        <v>2.04582824100828</v>
      </c>
      <c r="H1207" s="6" t="n">
        <f aca="false">F1207^2</f>
        <v>10062.3152883693</v>
      </c>
      <c r="J1207" s="6" t="n">
        <f aca="false">A1207</f>
        <v>1206</v>
      </c>
      <c r="K1207" s="13" t="n">
        <f aca="false">SMALL($G$2:$G$1387,J1207)</f>
        <v>1.11260158738557</v>
      </c>
      <c r="L1207" s="18" t="n">
        <f aca="false">(J1207-0.5)/1386</f>
        <v>0.86976911976912</v>
      </c>
      <c r="M1207" s="18" t="n">
        <f aca="false">_xlfn.NORM.DIST(K1207,AVERAGE($G$2:$G$1387),_xlfn.STDEV.S($G$2:$G$1387),TRUE())</f>
        <v>0.867665597793068</v>
      </c>
    </row>
    <row r="1208" customFormat="false" ht="15" hidden="false" customHeight="false" outlineLevel="0" collapsed="false">
      <c r="A1208" s="0" t="n">
        <f aca="false">ROW()-1</f>
        <v>1207</v>
      </c>
      <c r="B1208" s="0" t="str">
        <f aca="false">'Analysis Data'!A1208</f>
        <v>Fort Apache</v>
      </c>
      <c r="C1208" s="5" t="n">
        <f aca="false">'Analysis Data'!B1208</f>
        <v>40351</v>
      </c>
      <c r="D1208" s="6" t="n">
        <f aca="false">'Analysis Data'!C1208</f>
        <v>299.351381567875</v>
      </c>
      <c r="E1208" s="15" t="n">
        <f aca="false">SUMPRODUCT('Final Model'!$B$45:$I$45,'Analysis Data'!N1208:U1208)</f>
        <v>241.031124553706</v>
      </c>
      <c r="F1208" s="15" t="n">
        <f aca="false">D1208-E1208</f>
        <v>58.3202570141683</v>
      </c>
      <c r="G1208" s="13" t="n">
        <f aca="false">F1208/'Final Model'!$B$21</f>
        <v>1.18943205373018</v>
      </c>
      <c r="H1208" s="6" t="n">
        <f aca="false">F1208^2</f>
        <v>3401.25237819865</v>
      </c>
      <c r="J1208" s="6" t="n">
        <f aca="false">A1208</f>
        <v>1207</v>
      </c>
      <c r="K1208" s="13" t="n">
        <f aca="false">SMALL($G$2:$G$1387,J1208)</f>
        <v>1.11301854200842</v>
      </c>
      <c r="L1208" s="18" t="n">
        <f aca="false">(J1208-0.5)/1386</f>
        <v>0.870490620490621</v>
      </c>
      <c r="M1208" s="18" t="n">
        <f aca="false">_xlfn.NORM.DIST(K1208,AVERAGE($G$2:$G$1387),_xlfn.STDEV.S($G$2:$G$1387),TRUE())</f>
        <v>0.867755099163586</v>
      </c>
    </row>
    <row r="1209" customFormat="false" ht="15" hidden="false" customHeight="false" outlineLevel="0" collapsed="false">
      <c r="A1209" s="0" t="n">
        <f aca="false">ROW()-1</f>
        <v>1208</v>
      </c>
      <c r="B1209" s="0" t="str">
        <f aca="false">'Analysis Data'!A1209</f>
        <v>Fort Apache</v>
      </c>
      <c r="C1209" s="5" t="n">
        <f aca="false">'Analysis Data'!B1209</f>
        <v>40358</v>
      </c>
      <c r="D1209" s="6" t="n">
        <f aca="false">'Analysis Data'!C1209</f>
        <v>398.973990221609</v>
      </c>
      <c r="E1209" s="15" t="n">
        <f aca="false">SUMPRODUCT('Final Model'!$B$45:$I$45,'Analysis Data'!N1209:U1209)</f>
        <v>344.813350559805</v>
      </c>
      <c r="F1209" s="15" t="n">
        <f aca="false">D1209-E1209</f>
        <v>54.1606396618032</v>
      </c>
      <c r="G1209" s="13" t="n">
        <f aca="false">F1209/'Final Model'!$B$21</f>
        <v>1.10459734168573</v>
      </c>
      <c r="H1209" s="6" t="n">
        <f aca="false">F1209^2</f>
        <v>2933.37488857569</v>
      </c>
      <c r="J1209" s="6" t="n">
        <f aca="false">A1209</f>
        <v>1208</v>
      </c>
      <c r="K1209" s="13" t="n">
        <f aca="false">SMALL($G$2:$G$1387,J1209)</f>
        <v>1.11865300283944</v>
      </c>
      <c r="L1209" s="18" t="n">
        <f aca="false">(J1209-0.5)/1386</f>
        <v>0.871212121212121</v>
      </c>
      <c r="M1209" s="18" t="n">
        <f aca="false">_xlfn.NORM.DIST(K1209,AVERAGE($G$2:$G$1387),_xlfn.STDEV.S($G$2:$G$1387),TRUE())</f>
        <v>0.868960472800477</v>
      </c>
    </row>
    <row r="1210" customFormat="false" ht="15" hidden="false" customHeight="false" outlineLevel="0" collapsed="false">
      <c r="A1210" s="0" t="n">
        <f aca="false">ROW()-1</f>
        <v>1209</v>
      </c>
      <c r="B1210" s="0" t="str">
        <f aca="false">'Analysis Data'!A1210</f>
        <v>Fort Apache</v>
      </c>
      <c r="C1210" s="5" t="n">
        <f aca="false">'Analysis Data'!B1210</f>
        <v>40365</v>
      </c>
      <c r="D1210" s="6" t="n">
        <f aca="false">'Analysis Data'!C1210</f>
        <v>317.90317570909</v>
      </c>
      <c r="E1210" s="15" t="n">
        <f aca="false">SUMPRODUCT('Final Model'!$B$45:$I$45,'Analysis Data'!N1210:U1210)</f>
        <v>323.787603250371</v>
      </c>
      <c r="F1210" s="15" t="n">
        <f aca="false">D1210-E1210</f>
        <v>-5.88442754128079</v>
      </c>
      <c r="G1210" s="13" t="n">
        <f aca="false">F1210/'Final Model'!$B$21</f>
        <v>-0.12001193228198</v>
      </c>
      <c r="H1210" s="6" t="n">
        <f aca="false">F1210^2</f>
        <v>34.6264874885838</v>
      </c>
      <c r="J1210" s="6" t="n">
        <f aca="false">A1210</f>
        <v>1209</v>
      </c>
      <c r="K1210" s="13" t="n">
        <f aca="false">SMALL($G$2:$G$1387,J1210)</f>
        <v>1.120757564769</v>
      </c>
      <c r="L1210" s="18" t="n">
        <f aca="false">(J1210-0.5)/1386</f>
        <v>0.871933621933622</v>
      </c>
      <c r="M1210" s="18" t="n">
        <f aca="false">_xlfn.NORM.DIST(K1210,AVERAGE($G$2:$G$1387),_xlfn.STDEV.S($G$2:$G$1387),TRUE())</f>
        <v>0.869408746177125</v>
      </c>
    </row>
    <row r="1211" customFormat="false" ht="15" hidden="false" customHeight="false" outlineLevel="0" collapsed="false">
      <c r="A1211" s="0" t="n">
        <f aca="false">ROW()-1</f>
        <v>1210</v>
      </c>
      <c r="B1211" s="0" t="str">
        <f aca="false">'Analysis Data'!A1211</f>
        <v>Fort Apache</v>
      </c>
      <c r="C1211" s="5" t="n">
        <f aca="false">'Analysis Data'!B1211</f>
        <v>40372</v>
      </c>
      <c r="D1211" s="6" t="n">
        <f aca="false">'Analysis Data'!C1211</f>
        <v>343.421042108361</v>
      </c>
      <c r="E1211" s="15" t="n">
        <f aca="false">SUMPRODUCT('Final Model'!$B$45:$I$45,'Analysis Data'!N1211:U1211)</f>
        <v>324.534464381202</v>
      </c>
      <c r="F1211" s="15" t="n">
        <f aca="false">D1211-E1211</f>
        <v>18.8865777271583</v>
      </c>
      <c r="G1211" s="13" t="n">
        <f aca="false">F1211/'Final Model'!$B$21</f>
        <v>0.385188647719625</v>
      </c>
      <c r="H1211" s="6" t="n">
        <f aca="false">F1211^2</f>
        <v>356.702818243991</v>
      </c>
      <c r="J1211" s="6" t="n">
        <f aca="false">A1211</f>
        <v>1210</v>
      </c>
      <c r="K1211" s="13" t="n">
        <f aca="false">SMALL($G$2:$G$1387,J1211)</f>
        <v>1.12207546600587</v>
      </c>
      <c r="L1211" s="18" t="n">
        <f aca="false">(J1211-0.5)/1386</f>
        <v>0.872655122655123</v>
      </c>
      <c r="M1211" s="18" t="n">
        <f aca="false">_xlfn.NORM.DIST(K1211,AVERAGE($G$2:$G$1387),_xlfn.STDEV.S($G$2:$G$1387),TRUE())</f>
        <v>0.869688919694516</v>
      </c>
    </row>
    <row r="1212" customFormat="false" ht="15" hidden="false" customHeight="false" outlineLevel="0" collapsed="false">
      <c r="A1212" s="0" t="n">
        <f aca="false">ROW()-1</f>
        <v>1211</v>
      </c>
      <c r="B1212" s="0" t="str">
        <f aca="false">'Analysis Data'!A1212</f>
        <v>Glendale</v>
      </c>
      <c r="C1212" s="5" t="n">
        <f aca="false">'Analysis Data'!B1212</f>
        <v>40302</v>
      </c>
      <c r="D1212" s="6" t="n">
        <f aca="false">'Analysis Data'!C1212</f>
        <v>280.803612613473</v>
      </c>
      <c r="E1212" s="15" t="n">
        <f aca="false">SUMPRODUCT('Final Model'!$B$45:$I$45,'Analysis Data'!N1212:U1212)</f>
        <v>298.778712981562</v>
      </c>
      <c r="F1212" s="15" t="n">
        <f aca="false">D1212-E1212</f>
        <v>-17.975100368089</v>
      </c>
      <c r="G1212" s="13" t="n">
        <f aca="false">F1212/'Final Model'!$B$21</f>
        <v>-0.36659921683178</v>
      </c>
      <c r="H1212" s="6" t="n">
        <f aca="false">F1212^2</f>
        <v>323.104233242875</v>
      </c>
      <c r="J1212" s="6" t="n">
        <f aca="false">A1212</f>
        <v>1211</v>
      </c>
      <c r="K1212" s="13" t="n">
        <f aca="false">SMALL($G$2:$G$1387,J1212)</f>
        <v>1.12406549263203</v>
      </c>
      <c r="L1212" s="18" t="n">
        <f aca="false">(J1212-0.5)/1386</f>
        <v>0.873376623376623</v>
      </c>
      <c r="M1212" s="18" t="n">
        <f aca="false">_xlfn.NORM.DIST(K1212,AVERAGE($G$2:$G$1387),_xlfn.STDEV.S($G$2:$G$1387),TRUE())</f>
        <v>0.870111192296461</v>
      </c>
    </row>
    <row r="1213" customFormat="false" ht="15" hidden="false" customHeight="false" outlineLevel="0" collapsed="false">
      <c r="A1213" s="0" t="n">
        <f aca="false">ROW()-1</f>
        <v>1212</v>
      </c>
      <c r="B1213" s="0" t="str">
        <f aca="false">'Analysis Data'!A1213</f>
        <v>Glendale</v>
      </c>
      <c r="C1213" s="5" t="n">
        <f aca="false">'Analysis Data'!B1213</f>
        <v>40309</v>
      </c>
      <c r="D1213" s="6" t="n">
        <f aca="false">'Analysis Data'!C1213</f>
        <v>335.641355564361</v>
      </c>
      <c r="E1213" s="15" t="n">
        <f aca="false">SUMPRODUCT('Final Model'!$B$45:$I$45,'Analysis Data'!N1213:U1213)</f>
        <v>308.613091749362</v>
      </c>
      <c r="F1213" s="15" t="n">
        <f aca="false">D1213-E1213</f>
        <v>27.0282638149994</v>
      </c>
      <c r="G1213" s="13" t="n">
        <f aca="false">F1213/'Final Model'!$B$21</f>
        <v>0.551236996956746</v>
      </c>
      <c r="H1213" s="6" t="n">
        <f aca="false">F1213^2</f>
        <v>730.527044853205</v>
      </c>
      <c r="J1213" s="6" t="n">
        <f aca="false">A1213</f>
        <v>1212</v>
      </c>
      <c r="K1213" s="13" t="n">
        <f aca="false">SMALL($G$2:$G$1387,J1213)</f>
        <v>1.12696586506866</v>
      </c>
      <c r="L1213" s="18" t="n">
        <f aca="false">(J1213-0.5)/1386</f>
        <v>0.874098124098124</v>
      </c>
      <c r="M1213" s="18" t="n">
        <f aca="false">_xlfn.NORM.DIST(K1213,AVERAGE($G$2:$G$1387),_xlfn.STDEV.S($G$2:$G$1387),TRUE())</f>
        <v>0.870724937082665</v>
      </c>
    </row>
    <row r="1214" customFormat="false" ht="15" hidden="false" customHeight="false" outlineLevel="0" collapsed="false">
      <c r="A1214" s="0" t="n">
        <f aca="false">ROW()-1</f>
        <v>1213</v>
      </c>
      <c r="B1214" s="0" t="str">
        <f aca="false">'Analysis Data'!A1214</f>
        <v>Glendale</v>
      </c>
      <c r="C1214" s="5" t="n">
        <f aca="false">'Analysis Data'!B1214</f>
        <v>40316</v>
      </c>
      <c r="D1214" s="6" t="n">
        <f aca="false">'Analysis Data'!C1214</f>
        <v>253.821108815621</v>
      </c>
      <c r="E1214" s="15" t="n">
        <f aca="false">SUMPRODUCT('Final Model'!$B$45:$I$45,'Analysis Data'!N1214:U1214)</f>
        <v>244.886512206312</v>
      </c>
      <c r="F1214" s="15" t="n">
        <f aca="false">D1214-E1214</f>
        <v>8.93459660930844</v>
      </c>
      <c r="G1214" s="13" t="n">
        <f aca="false">F1214/'Final Model'!$B$21</f>
        <v>0.182219628964918</v>
      </c>
      <c r="H1214" s="6" t="n">
        <f aca="false">F1214^2</f>
        <v>79.8270165710659</v>
      </c>
      <c r="J1214" s="6" t="n">
        <f aca="false">A1214</f>
        <v>1213</v>
      </c>
      <c r="K1214" s="13" t="n">
        <f aca="false">SMALL($G$2:$G$1387,J1214)</f>
        <v>1.12947487936479</v>
      </c>
      <c r="L1214" s="18" t="n">
        <f aca="false">(J1214-0.5)/1386</f>
        <v>0.874819624819625</v>
      </c>
      <c r="M1214" s="18" t="n">
        <f aca="false">_xlfn.NORM.DIST(K1214,AVERAGE($G$2:$G$1387),_xlfn.STDEV.S($G$2:$G$1387),TRUE())</f>
        <v>0.871254243052051</v>
      </c>
    </row>
    <row r="1215" customFormat="false" ht="15" hidden="false" customHeight="false" outlineLevel="0" collapsed="false">
      <c r="A1215" s="0" t="n">
        <f aca="false">ROW()-1</f>
        <v>1214</v>
      </c>
      <c r="B1215" s="0" t="str">
        <f aca="false">'Analysis Data'!A1215</f>
        <v>Glendale</v>
      </c>
      <c r="C1215" s="5" t="n">
        <f aca="false">'Analysis Data'!B1215</f>
        <v>40323</v>
      </c>
      <c r="D1215" s="6" t="n">
        <f aca="false">'Analysis Data'!C1215</f>
        <v>295.806982574553</v>
      </c>
      <c r="E1215" s="15" t="n">
        <f aca="false">SUMPRODUCT('Final Model'!$B$45:$I$45,'Analysis Data'!N1215:U1215)</f>
        <v>245.563213659436</v>
      </c>
      <c r="F1215" s="15" t="n">
        <f aca="false">D1215-E1215</f>
        <v>50.2437689151176</v>
      </c>
      <c r="G1215" s="13" t="n">
        <f aca="false">F1215/'Final Model'!$B$21</f>
        <v>1.02471340675564</v>
      </c>
      <c r="H1215" s="6" t="n">
        <f aca="false">F1215^2</f>
        <v>2524.43631479573</v>
      </c>
      <c r="J1215" s="6" t="n">
        <f aca="false">A1215</f>
        <v>1214</v>
      </c>
      <c r="K1215" s="13" t="n">
        <f aca="false">SMALL($G$2:$G$1387,J1215)</f>
        <v>1.13135872919498</v>
      </c>
      <c r="L1215" s="18" t="n">
        <f aca="false">(J1215-0.5)/1386</f>
        <v>0.875541125541126</v>
      </c>
      <c r="M1215" s="18" t="n">
        <f aca="false">_xlfn.NORM.DIST(K1215,AVERAGE($G$2:$G$1387),_xlfn.STDEV.S($G$2:$G$1387),TRUE())</f>
        <v>0.871650673675384</v>
      </c>
    </row>
    <row r="1216" customFormat="false" ht="15" hidden="false" customHeight="false" outlineLevel="0" collapsed="false">
      <c r="A1216" s="0" t="n">
        <f aca="false">ROW()-1</f>
        <v>1215</v>
      </c>
      <c r="B1216" s="0" t="str">
        <f aca="false">'Analysis Data'!A1216</f>
        <v>Glendale</v>
      </c>
      <c r="C1216" s="5" t="n">
        <f aca="false">'Analysis Data'!B1216</f>
        <v>40330</v>
      </c>
      <c r="D1216" s="6" t="n">
        <f aca="false">'Analysis Data'!C1216</f>
        <v>252.159757537827</v>
      </c>
      <c r="E1216" s="15" t="n">
        <f aca="false">SUMPRODUCT('Final Model'!$B$45:$I$45,'Analysis Data'!N1216:U1216)</f>
        <v>244.617512878036</v>
      </c>
      <c r="F1216" s="15" t="n">
        <f aca="false">D1216-E1216</f>
        <v>7.54224465979056</v>
      </c>
      <c r="G1216" s="13" t="n">
        <f aca="false">F1216/'Final Model'!$B$21</f>
        <v>0.153822839862498</v>
      </c>
      <c r="H1216" s="6" t="n">
        <f aca="false">F1216^2</f>
        <v>56.8854545081391</v>
      </c>
      <c r="J1216" s="6" t="n">
        <f aca="false">A1216</f>
        <v>1215</v>
      </c>
      <c r="K1216" s="13" t="n">
        <f aca="false">SMALL($G$2:$G$1387,J1216)</f>
        <v>1.13774738719004</v>
      </c>
      <c r="L1216" s="18" t="n">
        <f aca="false">(J1216-0.5)/1386</f>
        <v>0.876262626262626</v>
      </c>
      <c r="M1216" s="18" t="n">
        <f aca="false">_xlfn.NORM.DIST(K1216,AVERAGE($G$2:$G$1387),_xlfn.STDEV.S($G$2:$G$1387),TRUE())</f>
        <v>0.872988765996221</v>
      </c>
    </row>
    <row r="1217" customFormat="false" ht="15" hidden="false" customHeight="false" outlineLevel="0" collapsed="false">
      <c r="A1217" s="0" t="n">
        <f aca="false">ROW()-1</f>
        <v>1216</v>
      </c>
      <c r="B1217" s="0" t="str">
        <f aca="false">'Analysis Data'!A1217</f>
        <v>Glendale</v>
      </c>
      <c r="C1217" s="5" t="n">
        <f aca="false">'Analysis Data'!B1217</f>
        <v>40337</v>
      </c>
      <c r="D1217" s="6" t="n">
        <f aca="false">'Analysis Data'!C1217</f>
        <v>184.0866570524</v>
      </c>
      <c r="E1217" s="15" t="n">
        <f aca="false">SUMPRODUCT('Final Model'!$B$45:$I$45,'Analysis Data'!N1217:U1217)</f>
        <v>240.826303531703</v>
      </c>
      <c r="F1217" s="15" t="n">
        <f aca="false">D1217-E1217</f>
        <v>-56.7396464793033</v>
      </c>
      <c r="G1217" s="13" t="n">
        <f aca="false">F1217/'Final Model'!$B$21</f>
        <v>-1.15719576173004</v>
      </c>
      <c r="H1217" s="6" t="n">
        <f aca="false">F1217^2</f>
        <v>3219.38748259632</v>
      </c>
      <c r="J1217" s="6" t="n">
        <f aca="false">A1217</f>
        <v>1216</v>
      </c>
      <c r="K1217" s="13" t="n">
        <f aca="false">SMALL($G$2:$G$1387,J1217)</f>
        <v>1.13897974089668</v>
      </c>
      <c r="L1217" s="18" t="n">
        <f aca="false">(J1217-0.5)/1386</f>
        <v>0.876984126984127</v>
      </c>
      <c r="M1217" s="18" t="n">
        <f aca="false">_xlfn.NORM.DIST(K1217,AVERAGE($G$2:$G$1387),_xlfn.STDEV.S($G$2:$G$1387),TRUE())</f>
        <v>0.873245759027529</v>
      </c>
    </row>
    <row r="1218" customFormat="false" ht="15" hidden="false" customHeight="false" outlineLevel="0" collapsed="false">
      <c r="A1218" s="0" t="n">
        <f aca="false">ROW()-1</f>
        <v>1217</v>
      </c>
      <c r="B1218" s="0" t="str">
        <f aca="false">'Analysis Data'!A1218</f>
        <v>Glendale</v>
      </c>
      <c r="C1218" s="5" t="n">
        <f aca="false">'Analysis Data'!B1218</f>
        <v>40344</v>
      </c>
      <c r="D1218" s="6" t="n">
        <f aca="false">'Analysis Data'!C1218</f>
        <v>328.610829300981</v>
      </c>
      <c r="E1218" s="15" t="n">
        <f aca="false">SUMPRODUCT('Final Model'!$B$45:$I$45,'Analysis Data'!N1218:U1218)</f>
        <v>239.016862709323</v>
      </c>
      <c r="F1218" s="15" t="n">
        <f aca="false">D1218-E1218</f>
        <v>89.5939665916578</v>
      </c>
      <c r="G1218" s="13" t="n">
        <f aca="false">F1218/'Final Model'!$B$21</f>
        <v>1.82725421904535</v>
      </c>
      <c r="H1218" s="6" t="n">
        <f aca="false">F1218^2</f>
        <v>8027.0788496271</v>
      </c>
      <c r="J1218" s="6" t="n">
        <f aca="false">A1218</f>
        <v>1217</v>
      </c>
      <c r="K1218" s="13" t="n">
        <f aca="false">SMALL($G$2:$G$1387,J1218)</f>
        <v>1.14331172223341</v>
      </c>
      <c r="L1218" s="18" t="n">
        <f aca="false">(J1218-0.5)/1386</f>
        <v>0.877705627705628</v>
      </c>
      <c r="M1218" s="18" t="n">
        <f aca="false">_xlfn.NORM.DIST(K1218,AVERAGE($G$2:$G$1387),_xlfn.STDEV.S($G$2:$G$1387),TRUE())</f>
        <v>0.87414626895907</v>
      </c>
    </row>
    <row r="1219" customFormat="false" ht="15" hidden="false" customHeight="false" outlineLevel="0" collapsed="false">
      <c r="A1219" s="0" t="n">
        <f aca="false">ROW()-1</f>
        <v>1218</v>
      </c>
      <c r="B1219" s="0" t="str">
        <f aca="false">'Analysis Data'!A1219</f>
        <v>Glendale</v>
      </c>
      <c r="C1219" s="5" t="n">
        <f aca="false">'Analysis Data'!B1219</f>
        <v>40351</v>
      </c>
      <c r="D1219" s="6" t="n">
        <f aca="false">'Analysis Data'!C1219</f>
        <v>360.376468654037</v>
      </c>
      <c r="E1219" s="15" t="n">
        <f aca="false">SUMPRODUCT('Final Model'!$B$45:$I$45,'Analysis Data'!N1219:U1219)</f>
        <v>340.813824351801</v>
      </c>
      <c r="F1219" s="15" t="n">
        <f aca="false">D1219-E1219</f>
        <v>19.5626443022362</v>
      </c>
      <c r="G1219" s="13" t="n">
        <f aca="false">F1219/'Final Model'!$B$21</f>
        <v>0.398976914370404</v>
      </c>
      <c r="H1219" s="6" t="n">
        <f aca="false">F1219^2</f>
        <v>382.697052095815</v>
      </c>
      <c r="J1219" s="6" t="n">
        <f aca="false">A1219</f>
        <v>1218</v>
      </c>
      <c r="K1219" s="13" t="n">
        <f aca="false">SMALL($G$2:$G$1387,J1219)</f>
        <v>1.14436832655075</v>
      </c>
      <c r="L1219" s="18" t="n">
        <f aca="false">(J1219-0.5)/1386</f>
        <v>0.878427128427128</v>
      </c>
      <c r="M1219" s="18" t="n">
        <f aca="false">_xlfn.NORM.DIST(K1219,AVERAGE($G$2:$G$1387),_xlfn.STDEV.S($G$2:$G$1387),TRUE())</f>
        <v>0.874365231876629</v>
      </c>
    </row>
    <row r="1220" customFormat="false" ht="15" hidden="false" customHeight="false" outlineLevel="0" collapsed="false">
      <c r="A1220" s="0" t="n">
        <f aca="false">ROW()-1</f>
        <v>1219</v>
      </c>
      <c r="B1220" s="0" t="str">
        <f aca="false">'Analysis Data'!A1220</f>
        <v>Glendale</v>
      </c>
      <c r="C1220" s="5" t="n">
        <f aca="false">'Analysis Data'!B1220</f>
        <v>40358</v>
      </c>
      <c r="D1220" s="6" t="n">
        <f aca="false">'Analysis Data'!C1220</f>
        <v>290.588182355154</v>
      </c>
      <c r="E1220" s="15" t="n">
        <f aca="false">SUMPRODUCT('Final Model'!$B$45:$I$45,'Analysis Data'!N1220:U1220)</f>
        <v>301.342971449785</v>
      </c>
      <c r="F1220" s="15" t="n">
        <f aca="false">D1220-E1220</f>
        <v>-10.7547890946304</v>
      </c>
      <c r="G1220" s="13" t="n">
        <f aca="false">F1220/'Final Model'!$B$21</f>
        <v>-0.219342155456438</v>
      </c>
      <c r="H1220" s="6" t="n">
        <f aca="false">F1220^2</f>
        <v>115.665488469981</v>
      </c>
      <c r="J1220" s="6" t="n">
        <f aca="false">A1220</f>
        <v>1219</v>
      </c>
      <c r="K1220" s="13" t="n">
        <f aca="false">SMALL($G$2:$G$1387,J1220)</f>
        <v>1.15793562587095</v>
      </c>
      <c r="L1220" s="18" t="n">
        <f aca="false">(J1220-0.5)/1386</f>
        <v>0.879148629148629</v>
      </c>
      <c r="M1220" s="18" t="n">
        <f aca="false">_xlfn.NORM.DIST(K1220,AVERAGE($G$2:$G$1387),_xlfn.STDEV.S($G$2:$G$1387),TRUE())</f>
        <v>0.877153215838314</v>
      </c>
    </row>
    <row r="1221" customFormat="false" ht="15" hidden="false" customHeight="false" outlineLevel="0" collapsed="false">
      <c r="A1221" s="0" t="n">
        <f aca="false">ROW()-1</f>
        <v>1220</v>
      </c>
      <c r="B1221" s="0" t="str">
        <f aca="false">'Analysis Data'!A1221</f>
        <v>Glendale</v>
      </c>
      <c r="C1221" s="5" t="n">
        <f aca="false">'Analysis Data'!B1221</f>
        <v>40365</v>
      </c>
      <c r="D1221" s="6" t="n">
        <f aca="false">'Analysis Data'!C1221</f>
        <v>317.507209081621</v>
      </c>
      <c r="E1221" s="15" t="n">
        <f aca="false">SUMPRODUCT('Final Model'!$B$45:$I$45,'Analysis Data'!N1221:U1221)</f>
        <v>315.126560289588</v>
      </c>
      <c r="F1221" s="15" t="n">
        <f aca="false">D1221-E1221</f>
        <v>2.38064879203245</v>
      </c>
      <c r="G1221" s="13" t="n">
        <f aca="false">F1221/'Final Model'!$B$21</f>
        <v>0.0485529407257157</v>
      </c>
      <c r="H1221" s="6" t="n">
        <f aca="false">F1221^2</f>
        <v>5.66748867100554</v>
      </c>
      <c r="J1221" s="6" t="n">
        <f aca="false">A1221</f>
        <v>1220</v>
      </c>
      <c r="K1221" s="13" t="n">
        <f aca="false">SMALL($G$2:$G$1387,J1221)</f>
        <v>1.15816008039397</v>
      </c>
      <c r="L1221" s="18" t="n">
        <f aca="false">(J1221-0.5)/1386</f>
        <v>0.87987012987013</v>
      </c>
      <c r="M1221" s="18" t="n">
        <f aca="false">_xlfn.NORM.DIST(K1221,AVERAGE($G$2:$G$1387),_xlfn.STDEV.S($G$2:$G$1387),TRUE())</f>
        <v>0.877198971907343</v>
      </c>
    </row>
    <row r="1222" customFormat="false" ht="15" hidden="false" customHeight="false" outlineLevel="0" collapsed="false">
      <c r="A1222" s="0" t="n">
        <f aca="false">ROW()-1</f>
        <v>1221</v>
      </c>
      <c r="B1222" s="0" t="str">
        <f aca="false">'Analysis Data'!A1222</f>
        <v>Glendale</v>
      </c>
      <c r="C1222" s="5" t="n">
        <f aca="false">'Analysis Data'!B1222</f>
        <v>40372</v>
      </c>
      <c r="D1222" s="6" t="n">
        <f aca="false">'Analysis Data'!C1222</f>
        <v>304.352097794595</v>
      </c>
      <c r="E1222" s="15" t="n">
        <f aca="false">SUMPRODUCT('Final Model'!$B$45:$I$45,'Analysis Data'!N1222:U1222)</f>
        <v>316.667527161455</v>
      </c>
      <c r="F1222" s="15" t="n">
        <f aca="false">D1222-E1222</f>
        <v>-12.3154293668599</v>
      </c>
      <c r="G1222" s="13" t="n">
        <f aca="false">F1222/'Final Model'!$B$21</f>
        <v>-0.251171157233316</v>
      </c>
      <c r="H1222" s="6" t="n">
        <f aca="false">F1222^2</f>
        <v>151.669800490114</v>
      </c>
      <c r="J1222" s="6" t="n">
        <f aca="false">A1222</f>
        <v>1221</v>
      </c>
      <c r="K1222" s="13" t="n">
        <f aca="false">SMALL($G$2:$G$1387,J1222)</f>
        <v>1.15912944408721</v>
      </c>
      <c r="L1222" s="18" t="n">
        <f aca="false">(J1222-0.5)/1386</f>
        <v>0.880591630591631</v>
      </c>
      <c r="M1222" s="18" t="n">
        <f aca="false">_xlfn.NORM.DIST(K1222,AVERAGE($G$2:$G$1387),_xlfn.STDEV.S($G$2:$G$1387),TRUE())</f>
        <v>0.877396443801433</v>
      </c>
    </row>
    <row r="1223" customFormat="false" ht="15" hidden="false" customHeight="false" outlineLevel="0" collapsed="false">
      <c r="A1223" s="0" t="n">
        <f aca="false">ROW()-1</f>
        <v>1222</v>
      </c>
      <c r="B1223" s="0" t="str">
        <f aca="false">'Analysis Data'!A1223</f>
        <v>Henderson</v>
      </c>
      <c r="C1223" s="5" t="n">
        <f aca="false">'Analysis Data'!B1223</f>
        <v>40302</v>
      </c>
      <c r="D1223" s="6" t="n">
        <f aca="false">'Analysis Data'!C1223</f>
        <v>401.502228548367</v>
      </c>
      <c r="E1223" s="15" t="n">
        <f aca="false">SUMPRODUCT('Final Model'!$B$45:$I$45,'Analysis Data'!N1223:U1223)</f>
        <v>307.774994750654</v>
      </c>
      <c r="F1223" s="15" t="n">
        <f aca="false">D1223-E1223</f>
        <v>93.7272337977128</v>
      </c>
      <c r="G1223" s="13" t="n">
        <f aca="false">F1223/'Final Model'!$B$21</f>
        <v>1.91155152418787</v>
      </c>
      <c r="H1223" s="6" t="n">
        <f aca="false">F1223^2</f>
        <v>8784.79435537111</v>
      </c>
      <c r="J1223" s="6" t="n">
        <f aca="false">A1223</f>
        <v>1222</v>
      </c>
      <c r="K1223" s="13" t="n">
        <f aca="false">SMALL($G$2:$G$1387,J1223)</f>
        <v>1.16461997179127</v>
      </c>
      <c r="L1223" s="18" t="n">
        <f aca="false">(J1223-0.5)/1386</f>
        <v>0.881313131313131</v>
      </c>
      <c r="M1223" s="18" t="n">
        <f aca="false">_xlfn.NORM.DIST(K1223,AVERAGE($G$2:$G$1387),_xlfn.STDEV.S($G$2:$G$1387),TRUE())</f>
        <v>0.878510730637663</v>
      </c>
    </row>
    <row r="1224" customFormat="false" ht="15" hidden="false" customHeight="false" outlineLevel="0" collapsed="false">
      <c r="A1224" s="0" t="n">
        <f aca="false">ROW()-1</f>
        <v>1223</v>
      </c>
      <c r="B1224" s="0" t="str">
        <f aca="false">'Analysis Data'!A1224</f>
        <v>Henderson</v>
      </c>
      <c r="C1224" s="5" t="n">
        <f aca="false">'Analysis Data'!B1224</f>
        <v>40309</v>
      </c>
      <c r="D1224" s="6" t="n">
        <f aca="false">'Analysis Data'!C1224</f>
        <v>375.915064982088</v>
      </c>
      <c r="E1224" s="15" t="n">
        <f aca="false">SUMPRODUCT('Final Model'!$B$45:$I$45,'Analysis Data'!N1224:U1224)</f>
        <v>311.67904155486</v>
      </c>
      <c r="F1224" s="15" t="n">
        <f aca="false">D1224-E1224</f>
        <v>64.236023427228</v>
      </c>
      <c r="G1224" s="13" t="n">
        <f aca="false">F1224/'Final Model'!$B$21</f>
        <v>1.31008313714986</v>
      </c>
      <c r="H1224" s="6" t="n">
        <f aca="false">F1224^2</f>
        <v>4126.26670574338</v>
      </c>
      <c r="J1224" s="6" t="n">
        <f aca="false">A1224</f>
        <v>1223</v>
      </c>
      <c r="K1224" s="13" t="n">
        <f aca="false">SMALL($G$2:$G$1387,J1224)</f>
        <v>1.17171941144995</v>
      </c>
      <c r="L1224" s="18" t="n">
        <f aca="false">(J1224-0.5)/1386</f>
        <v>0.882034632034632</v>
      </c>
      <c r="M1224" s="18" t="n">
        <f aca="false">_xlfn.NORM.DIST(K1224,AVERAGE($G$2:$G$1387),_xlfn.STDEV.S($G$2:$G$1387),TRUE())</f>
        <v>0.879940960769856</v>
      </c>
    </row>
    <row r="1225" customFormat="false" ht="15" hidden="false" customHeight="false" outlineLevel="0" collapsed="false">
      <c r="A1225" s="0" t="n">
        <f aca="false">ROW()-1</f>
        <v>1224</v>
      </c>
      <c r="B1225" s="0" t="str">
        <f aca="false">'Analysis Data'!A1225</f>
        <v>Henderson</v>
      </c>
      <c r="C1225" s="5" t="n">
        <f aca="false">'Analysis Data'!B1225</f>
        <v>40316</v>
      </c>
      <c r="D1225" s="6" t="n">
        <f aca="false">'Analysis Data'!C1225</f>
        <v>237.302470369736</v>
      </c>
      <c r="E1225" s="15" t="n">
        <f aca="false">SUMPRODUCT('Final Model'!$B$45:$I$45,'Analysis Data'!N1225:U1225)</f>
        <v>245.180730240922</v>
      </c>
      <c r="F1225" s="15" t="n">
        <f aca="false">D1225-E1225</f>
        <v>-7.87825987118603</v>
      </c>
      <c r="G1225" s="13" t="n">
        <f aca="false">F1225/'Final Model'!$B$21</f>
        <v>-0.16067581485672</v>
      </c>
      <c r="H1225" s="6" t="n">
        <f aca="false">F1225^2</f>
        <v>62.0669785979402</v>
      </c>
      <c r="J1225" s="6" t="n">
        <f aca="false">A1225</f>
        <v>1224</v>
      </c>
      <c r="K1225" s="13" t="n">
        <f aca="false">SMALL($G$2:$G$1387,J1225)</f>
        <v>1.17295620031152</v>
      </c>
      <c r="L1225" s="18" t="n">
        <f aca="false">(J1225-0.5)/1386</f>
        <v>0.882756132756133</v>
      </c>
      <c r="M1225" s="18" t="n">
        <f aca="false">_xlfn.NORM.DIST(K1225,AVERAGE($G$2:$G$1387),_xlfn.STDEV.S($G$2:$G$1387),TRUE())</f>
        <v>0.880188901539601</v>
      </c>
    </row>
    <row r="1226" customFormat="false" ht="15" hidden="false" customHeight="false" outlineLevel="0" collapsed="false">
      <c r="A1226" s="0" t="n">
        <f aca="false">ROW()-1</f>
        <v>1225</v>
      </c>
      <c r="B1226" s="0" t="str">
        <f aca="false">'Analysis Data'!A1226</f>
        <v>Henderson</v>
      </c>
      <c r="C1226" s="5" t="n">
        <f aca="false">'Analysis Data'!B1226</f>
        <v>40323</v>
      </c>
      <c r="D1226" s="6" t="n">
        <f aca="false">'Analysis Data'!C1226</f>
        <v>189.991216427091</v>
      </c>
      <c r="E1226" s="15" t="n">
        <f aca="false">SUMPRODUCT('Final Model'!$B$45:$I$45,'Analysis Data'!N1226:U1226)</f>
        <v>245.563213659436</v>
      </c>
      <c r="F1226" s="15" t="n">
        <f aca="false">D1226-E1226</f>
        <v>-55.5719972323446</v>
      </c>
      <c r="G1226" s="13" t="n">
        <f aca="false">F1226/'Final Model'!$B$21</f>
        <v>-1.13338174730432</v>
      </c>
      <c r="H1226" s="6" t="n">
        <f aca="false">F1226^2</f>
        <v>3088.24687639171</v>
      </c>
      <c r="J1226" s="6" t="n">
        <f aca="false">A1226</f>
        <v>1225</v>
      </c>
      <c r="K1226" s="13" t="n">
        <f aca="false">SMALL($G$2:$G$1387,J1226)</f>
        <v>1.17328931274777</v>
      </c>
      <c r="L1226" s="18" t="n">
        <f aca="false">(J1226-0.5)/1386</f>
        <v>0.883477633477634</v>
      </c>
      <c r="M1226" s="18" t="n">
        <f aca="false">_xlfn.NORM.DIST(K1226,AVERAGE($G$2:$G$1387),_xlfn.STDEV.S($G$2:$G$1387),TRUE())</f>
        <v>0.880255619291252</v>
      </c>
    </row>
    <row r="1227" customFormat="false" ht="15" hidden="false" customHeight="false" outlineLevel="0" collapsed="false">
      <c r="A1227" s="0" t="n">
        <f aca="false">ROW()-1</f>
        <v>1226</v>
      </c>
      <c r="B1227" s="0" t="str">
        <f aca="false">'Analysis Data'!A1227</f>
        <v>Henderson</v>
      </c>
      <c r="C1227" s="5" t="n">
        <f aca="false">'Analysis Data'!B1227</f>
        <v>40330</v>
      </c>
      <c r="D1227" s="6" t="n">
        <f aca="false">'Analysis Data'!C1227</f>
        <v>218.773910140884</v>
      </c>
      <c r="E1227" s="15" t="n">
        <f aca="false">SUMPRODUCT('Final Model'!$B$45:$I$45,'Analysis Data'!N1227:U1227)</f>
        <v>244.680559599738</v>
      </c>
      <c r="F1227" s="15" t="n">
        <f aca="false">D1227-E1227</f>
        <v>-25.9066494588541</v>
      </c>
      <c r="G1227" s="13" t="n">
        <f aca="false">F1227/'Final Model'!$B$21</f>
        <v>-0.528361856560862</v>
      </c>
      <c r="H1227" s="6" t="n">
        <f aca="false">F1227^2</f>
        <v>671.154486183946</v>
      </c>
      <c r="J1227" s="6" t="n">
        <f aca="false">A1227</f>
        <v>1226</v>
      </c>
      <c r="K1227" s="13" t="n">
        <f aca="false">SMALL($G$2:$G$1387,J1227)</f>
        <v>1.17795363156336</v>
      </c>
      <c r="L1227" s="18" t="n">
        <f aca="false">(J1227-0.5)/1386</f>
        <v>0.884199134199134</v>
      </c>
      <c r="M1227" s="18" t="n">
        <f aca="false">_xlfn.NORM.DIST(K1227,AVERAGE($G$2:$G$1387),_xlfn.STDEV.S($G$2:$G$1387),TRUE())</f>
        <v>0.881187066100937</v>
      </c>
    </row>
    <row r="1228" customFormat="false" ht="15" hidden="false" customHeight="false" outlineLevel="0" collapsed="false">
      <c r="A1228" s="0" t="n">
        <f aca="false">ROW()-1</f>
        <v>1227</v>
      </c>
      <c r="B1228" s="0" t="str">
        <f aca="false">'Analysis Data'!A1228</f>
        <v>Henderson</v>
      </c>
      <c r="C1228" s="5" t="n">
        <f aca="false">'Analysis Data'!B1228</f>
        <v>40337</v>
      </c>
      <c r="D1228" s="6" t="n">
        <f aca="false">'Analysis Data'!C1228</f>
        <v>255.953775596971</v>
      </c>
      <c r="E1228" s="15" t="n">
        <f aca="false">SUMPRODUCT('Final Model'!$B$45:$I$45,'Analysis Data'!N1228:U1228)</f>
        <v>243.34081682425</v>
      </c>
      <c r="F1228" s="15" t="n">
        <f aca="false">D1228-E1228</f>
        <v>12.6129587727212</v>
      </c>
      <c r="G1228" s="13" t="n">
        <f aca="false">F1228/'Final Model'!$B$21</f>
        <v>0.257239220550883</v>
      </c>
      <c r="H1228" s="6" t="n">
        <f aca="false">F1228^2</f>
        <v>159.086729002365</v>
      </c>
      <c r="J1228" s="6" t="n">
        <f aca="false">A1228</f>
        <v>1227</v>
      </c>
      <c r="K1228" s="13" t="n">
        <f aca="false">SMALL($G$2:$G$1387,J1228)</f>
        <v>1.18260723039231</v>
      </c>
      <c r="L1228" s="18" t="n">
        <f aca="false">(J1228-0.5)/1386</f>
        <v>0.884920634920635</v>
      </c>
      <c r="M1228" s="18" t="n">
        <f aca="false">_xlfn.NORM.DIST(K1228,AVERAGE($G$2:$G$1387),_xlfn.STDEV.S($G$2:$G$1387),TRUE())</f>
        <v>0.882111260326507</v>
      </c>
    </row>
    <row r="1229" customFormat="false" ht="15" hidden="false" customHeight="false" outlineLevel="0" collapsed="false">
      <c r="A1229" s="0" t="n">
        <f aca="false">ROW()-1</f>
        <v>1228</v>
      </c>
      <c r="B1229" s="0" t="str">
        <f aca="false">'Analysis Data'!A1229</f>
        <v>Henderson</v>
      </c>
      <c r="C1229" s="5" t="n">
        <f aca="false">'Analysis Data'!B1229</f>
        <v>40344</v>
      </c>
      <c r="D1229" s="6" t="n">
        <f aca="false">'Analysis Data'!C1229</f>
        <v>188.096757210951</v>
      </c>
      <c r="E1229" s="15" t="n">
        <f aca="false">SUMPRODUCT('Final Model'!$B$45:$I$45,'Analysis Data'!N1229:U1229)</f>
        <v>240.776512795532</v>
      </c>
      <c r="F1229" s="15" t="n">
        <f aca="false">D1229-E1229</f>
        <v>-52.6797555845811</v>
      </c>
      <c r="G1229" s="13" t="n">
        <f aca="false">F1229/'Final Model'!$B$21</f>
        <v>-1.0743949543938</v>
      </c>
      <c r="H1229" s="6" t="n">
        <f aca="false">F1229^2</f>
        <v>2775.15664845121</v>
      </c>
      <c r="J1229" s="6" t="n">
        <f aca="false">A1229</f>
        <v>1228</v>
      </c>
      <c r="K1229" s="13" t="n">
        <f aca="false">SMALL($G$2:$G$1387,J1229)</f>
        <v>1.18943205373018</v>
      </c>
      <c r="L1229" s="18" t="n">
        <f aca="false">(J1229-0.5)/1386</f>
        <v>0.885642135642136</v>
      </c>
      <c r="M1229" s="18" t="n">
        <f aca="false">_xlfn.NORM.DIST(K1229,AVERAGE($G$2:$G$1387),_xlfn.STDEV.S($G$2:$G$1387),TRUE())</f>
        <v>0.883457436579306</v>
      </c>
    </row>
    <row r="1230" customFormat="false" ht="15" hidden="false" customHeight="false" outlineLevel="0" collapsed="false">
      <c r="A1230" s="0" t="n">
        <f aca="false">ROW()-1</f>
        <v>1229</v>
      </c>
      <c r="B1230" s="0" t="str">
        <f aca="false">'Analysis Data'!A1230</f>
        <v>Henderson</v>
      </c>
      <c r="C1230" s="5" t="n">
        <f aca="false">'Analysis Data'!B1230</f>
        <v>40351</v>
      </c>
      <c r="D1230" s="6" t="n">
        <f aca="false">'Analysis Data'!C1230</f>
        <v>290.119177317559</v>
      </c>
      <c r="E1230" s="15" t="n">
        <f aca="false">SUMPRODUCT('Final Model'!$B$45:$I$45,'Analysis Data'!N1230:U1230)</f>
        <v>244.617512878036</v>
      </c>
      <c r="F1230" s="15" t="n">
        <f aca="false">D1230-E1230</f>
        <v>45.5016644395226</v>
      </c>
      <c r="G1230" s="13" t="n">
        <f aca="false">F1230/'Final Model'!$B$21</f>
        <v>0.927998965596028</v>
      </c>
      <c r="H1230" s="6" t="n">
        <f aca="false">F1230^2</f>
        <v>2070.40146676691</v>
      </c>
      <c r="J1230" s="6" t="n">
        <f aca="false">A1230</f>
        <v>1229</v>
      </c>
      <c r="K1230" s="13" t="n">
        <f aca="false">SMALL($G$2:$G$1387,J1230)</f>
        <v>1.1901204799021</v>
      </c>
      <c r="L1230" s="18" t="n">
        <f aca="false">(J1230-0.5)/1386</f>
        <v>0.886363636363636</v>
      </c>
      <c r="M1230" s="18" t="n">
        <f aca="false">_xlfn.NORM.DIST(K1230,AVERAGE($G$2:$G$1387),_xlfn.STDEV.S($G$2:$G$1387),TRUE())</f>
        <v>0.88359261882551</v>
      </c>
    </row>
    <row r="1231" customFormat="false" ht="15" hidden="false" customHeight="false" outlineLevel="0" collapsed="false">
      <c r="A1231" s="0" t="n">
        <f aca="false">ROW()-1</f>
        <v>1230</v>
      </c>
      <c r="B1231" s="0" t="str">
        <f aca="false">'Analysis Data'!A1231</f>
        <v>Henderson</v>
      </c>
      <c r="C1231" s="5" t="n">
        <f aca="false">'Analysis Data'!B1231</f>
        <v>40358</v>
      </c>
      <c r="D1231" s="6" t="n">
        <f aca="false">'Analysis Data'!C1231</f>
        <v>357.721308464048</v>
      </c>
      <c r="E1231" s="15" t="n">
        <f aca="false">SUMPRODUCT('Final Model'!$B$45:$I$45,'Analysis Data'!N1231:U1231)</f>
        <v>352.996289230896</v>
      </c>
      <c r="F1231" s="15" t="n">
        <f aca="false">D1231-E1231</f>
        <v>4.72501923315144</v>
      </c>
      <c r="G1231" s="13" t="n">
        <f aca="false">F1231/'Final Model'!$B$21</f>
        <v>0.0963659904488515</v>
      </c>
      <c r="H1231" s="6" t="n">
        <f aca="false">F1231^2</f>
        <v>22.325806753651</v>
      </c>
      <c r="J1231" s="6" t="n">
        <f aca="false">A1231</f>
        <v>1230</v>
      </c>
      <c r="K1231" s="13" t="n">
        <f aca="false">SMALL($G$2:$G$1387,J1231)</f>
        <v>1.19793353452706</v>
      </c>
      <c r="L1231" s="18" t="n">
        <f aca="false">(J1231-0.5)/1386</f>
        <v>0.887085137085137</v>
      </c>
      <c r="M1231" s="18" t="n">
        <f aca="false">_xlfn.NORM.DIST(K1231,AVERAGE($G$2:$G$1387),_xlfn.STDEV.S($G$2:$G$1387),TRUE())</f>
        <v>0.885119032010364</v>
      </c>
    </row>
    <row r="1232" customFormat="false" ht="15" hidden="false" customHeight="false" outlineLevel="0" collapsed="false">
      <c r="A1232" s="0" t="n">
        <f aca="false">ROW()-1</f>
        <v>1231</v>
      </c>
      <c r="B1232" s="0" t="str">
        <f aca="false">'Analysis Data'!A1232</f>
        <v>Henderson</v>
      </c>
      <c r="C1232" s="5" t="n">
        <f aca="false">'Analysis Data'!B1232</f>
        <v>40365</v>
      </c>
      <c r="D1232" s="6" t="n">
        <f aca="false">'Analysis Data'!C1232</f>
        <v>367.787961032668</v>
      </c>
      <c r="E1232" s="15" t="n">
        <f aca="false">SUMPRODUCT('Final Model'!$B$45:$I$45,'Analysis Data'!N1232:U1232)</f>
        <v>321.479123393444</v>
      </c>
      <c r="F1232" s="15" t="n">
        <f aca="false">D1232-E1232</f>
        <v>46.3088376392241</v>
      </c>
      <c r="G1232" s="13" t="n">
        <f aca="false">F1232/'Final Model'!$B$21</f>
        <v>0.944461130301573</v>
      </c>
      <c r="H1232" s="6" t="n">
        <f aca="false">F1232^2</f>
        <v>2144.50844349602</v>
      </c>
      <c r="J1232" s="6" t="n">
        <f aca="false">A1232</f>
        <v>1231</v>
      </c>
      <c r="K1232" s="13" t="n">
        <f aca="false">SMALL($G$2:$G$1387,J1232)</f>
        <v>1.19863894839103</v>
      </c>
      <c r="L1232" s="18" t="n">
        <f aca="false">(J1232-0.5)/1386</f>
        <v>0.887806637806638</v>
      </c>
      <c r="M1232" s="18" t="n">
        <f aca="false">_xlfn.NORM.DIST(K1232,AVERAGE($G$2:$G$1387),_xlfn.STDEV.S($G$2:$G$1387),TRUE())</f>
        <v>0.885256142574472</v>
      </c>
    </row>
    <row r="1233" customFormat="false" ht="15" hidden="false" customHeight="false" outlineLevel="0" collapsed="false">
      <c r="A1233" s="0" t="n">
        <f aca="false">ROW()-1</f>
        <v>1232</v>
      </c>
      <c r="B1233" s="0" t="str">
        <f aca="false">'Analysis Data'!A1233</f>
        <v>Henderson</v>
      </c>
      <c r="C1233" s="5" t="n">
        <f aca="false">'Analysis Data'!B1233</f>
        <v>40372</v>
      </c>
      <c r="D1233" s="6" t="n">
        <f aca="false">'Analysis Data'!C1233</f>
        <v>388.246696627884</v>
      </c>
      <c r="E1233" s="15" t="n">
        <f aca="false">SUMPRODUCT('Final Model'!$B$45:$I$45,'Analysis Data'!N1233:U1233)</f>
        <v>315.567887319437</v>
      </c>
      <c r="F1233" s="15" t="n">
        <f aca="false">D1233-E1233</f>
        <v>72.6788093084471</v>
      </c>
      <c r="G1233" s="13" t="n">
        <f aca="false">F1233/'Final Model'!$B$21</f>
        <v>1.48227236717096</v>
      </c>
      <c r="H1233" s="6" t="n">
        <f aca="false">F1233^2</f>
        <v>5282.20932249361</v>
      </c>
      <c r="J1233" s="6" t="n">
        <f aca="false">A1233</f>
        <v>1232</v>
      </c>
      <c r="K1233" s="13" t="n">
        <f aca="false">SMALL($G$2:$G$1387,J1233)</f>
        <v>1.20126213694247</v>
      </c>
      <c r="L1233" s="18" t="n">
        <f aca="false">(J1233-0.5)/1386</f>
        <v>0.888528138528139</v>
      </c>
      <c r="M1233" s="18" t="n">
        <f aca="false">_xlfn.NORM.DIST(K1233,AVERAGE($G$2:$G$1387),_xlfn.STDEV.S($G$2:$G$1387),TRUE())</f>
        <v>0.885764987403144</v>
      </c>
    </row>
    <row r="1234" customFormat="false" ht="15" hidden="false" customHeight="false" outlineLevel="0" collapsed="false">
      <c r="A1234" s="0" t="n">
        <f aca="false">ROW()-1</f>
        <v>1233</v>
      </c>
      <c r="B1234" s="0" t="str">
        <f aca="false">'Analysis Data'!A1234</f>
        <v>Jamboree</v>
      </c>
      <c r="C1234" s="5" t="n">
        <f aca="false">'Analysis Data'!B1234</f>
        <v>40302</v>
      </c>
      <c r="D1234" s="6" t="n">
        <f aca="false">'Analysis Data'!C1234</f>
        <v>256.552288730344</v>
      </c>
      <c r="E1234" s="15" t="n">
        <f aca="false">SUMPRODUCT('Final Model'!$B$45:$I$45,'Analysis Data'!N1234:U1234)</f>
        <v>302.482156592389</v>
      </c>
      <c r="F1234" s="15" t="n">
        <f aca="false">D1234-E1234</f>
        <v>-45.9298678620449</v>
      </c>
      <c r="G1234" s="13" t="n">
        <f aca="false">F1234/'Final Model'!$B$21</f>
        <v>-0.936732104000087</v>
      </c>
      <c r="H1234" s="6" t="n">
        <f aca="false">F1234^2</f>
        <v>2109.5527618249</v>
      </c>
      <c r="J1234" s="6" t="n">
        <f aca="false">A1234</f>
        <v>1233</v>
      </c>
      <c r="K1234" s="13" t="n">
        <f aca="false">SMALL($G$2:$G$1387,J1234)</f>
        <v>1.20226426483411</v>
      </c>
      <c r="L1234" s="18" t="n">
        <f aca="false">(J1234-0.5)/1386</f>
        <v>0.889249639249639</v>
      </c>
      <c r="M1234" s="18" t="n">
        <f aca="false">_xlfn.NORM.DIST(K1234,AVERAGE($G$2:$G$1387),_xlfn.STDEV.S($G$2:$G$1387),TRUE())</f>
        <v>0.885958954832115</v>
      </c>
    </row>
    <row r="1235" customFormat="false" ht="15" hidden="false" customHeight="false" outlineLevel="0" collapsed="false">
      <c r="A1235" s="0" t="n">
        <f aca="false">ROW()-1</f>
        <v>1234</v>
      </c>
      <c r="B1235" s="0" t="str">
        <f aca="false">'Analysis Data'!A1235</f>
        <v>Jamboree</v>
      </c>
      <c r="C1235" s="5" t="n">
        <f aca="false">'Analysis Data'!B1235</f>
        <v>40309</v>
      </c>
      <c r="D1235" s="6" t="n">
        <f aca="false">'Analysis Data'!C1235</f>
        <v>325.718762683012</v>
      </c>
      <c r="E1235" s="15" t="n">
        <f aca="false">SUMPRODUCT('Final Model'!$B$45:$I$45,'Analysis Data'!N1235:U1235)</f>
        <v>313.568826514683</v>
      </c>
      <c r="F1235" s="15" t="n">
        <f aca="false">D1235-E1235</f>
        <v>12.1499361683286</v>
      </c>
      <c r="G1235" s="13" t="n">
        <f aca="false">F1235/'Final Model'!$B$21</f>
        <v>0.247795950656986</v>
      </c>
      <c r="H1235" s="6" t="n">
        <f aca="false">F1235^2</f>
        <v>147.620948894459</v>
      </c>
      <c r="J1235" s="6" t="n">
        <f aca="false">A1235</f>
        <v>1234</v>
      </c>
      <c r="K1235" s="13" t="n">
        <f aca="false">SMALL($G$2:$G$1387,J1235)</f>
        <v>1.20298782231656</v>
      </c>
      <c r="L1235" s="18" t="n">
        <f aca="false">(J1235-0.5)/1386</f>
        <v>0.88997113997114</v>
      </c>
      <c r="M1235" s="18" t="n">
        <f aca="false">_xlfn.NORM.DIST(K1235,AVERAGE($G$2:$G$1387),_xlfn.STDEV.S($G$2:$G$1387),TRUE())</f>
        <v>0.886098857472299</v>
      </c>
    </row>
    <row r="1236" customFormat="false" ht="15" hidden="false" customHeight="false" outlineLevel="0" collapsed="false">
      <c r="A1236" s="0" t="n">
        <f aca="false">ROW()-1</f>
        <v>1235</v>
      </c>
      <c r="B1236" s="0" t="str">
        <f aca="false">'Analysis Data'!A1236</f>
        <v>Jamboree</v>
      </c>
      <c r="C1236" s="5" t="n">
        <f aca="false">'Analysis Data'!B1236</f>
        <v>40316</v>
      </c>
      <c r="D1236" s="6" t="n">
        <f aca="false">'Analysis Data'!C1236</f>
        <v>247.137806675274</v>
      </c>
      <c r="E1236" s="15" t="n">
        <f aca="false">SUMPRODUCT('Final Model'!$B$45:$I$45,'Analysis Data'!N1236:U1236)</f>
        <v>244.518739696149</v>
      </c>
      <c r="F1236" s="15" t="n">
        <f aca="false">D1236-E1236</f>
        <v>2.61906697912499</v>
      </c>
      <c r="G1236" s="13" t="n">
        <f aca="false">F1236/'Final Model'!$B$21</f>
        <v>0.0534154404546044</v>
      </c>
      <c r="H1236" s="6" t="n">
        <f aca="false">F1236^2</f>
        <v>6.85951184114293</v>
      </c>
      <c r="J1236" s="6" t="n">
        <f aca="false">A1236</f>
        <v>1235</v>
      </c>
      <c r="K1236" s="13" t="n">
        <f aca="false">SMALL($G$2:$G$1387,J1236)</f>
        <v>1.20303521768662</v>
      </c>
      <c r="L1236" s="18" t="n">
        <f aca="false">(J1236-0.5)/1386</f>
        <v>0.890692640692641</v>
      </c>
      <c r="M1236" s="18" t="n">
        <f aca="false">_xlfn.NORM.DIST(K1236,AVERAGE($G$2:$G$1387),_xlfn.STDEV.S($G$2:$G$1387),TRUE())</f>
        <v>0.886108017280892</v>
      </c>
    </row>
    <row r="1237" customFormat="false" ht="15" hidden="false" customHeight="false" outlineLevel="0" collapsed="false">
      <c r="A1237" s="0" t="n">
        <f aca="false">ROW()-1</f>
        <v>1236</v>
      </c>
      <c r="B1237" s="0" t="str">
        <f aca="false">'Analysis Data'!A1237</f>
        <v>Jamboree</v>
      </c>
      <c r="C1237" s="5" t="n">
        <f aca="false">'Analysis Data'!B1237</f>
        <v>40323</v>
      </c>
      <c r="D1237" s="6" t="n">
        <f aca="false">'Analysis Data'!C1237</f>
        <v>256.537100470522</v>
      </c>
      <c r="E1237" s="15" t="n">
        <f aca="false">SUMPRODUCT('Final Model'!$B$45:$I$45,'Analysis Data'!N1237:U1237)</f>
        <v>245.563213659436</v>
      </c>
      <c r="F1237" s="15" t="n">
        <f aca="false">D1237-E1237</f>
        <v>10.9738868110863</v>
      </c>
      <c r="G1237" s="13" t="n">
        <f aca="false">F1237/'Final Model'!$B$21</f>
        <v>0.223810617363052</v>
      </c>
      <c r="H1237" s="6" t="n">
        <f aca="false">F1237^2</f>
        <v>120.426191742534</v>
      </c>
      <c r="J1237" s="6" t="n">
        <f aca="false">A1237</f>
        <v>1236</v>
      </c>
      <c r="K1237" s="13" t="n">
        <f aca="false">SMALL($G$2:$G$1387,J1237)</f>
        <v>1.21710689560252</v>
      </c>
      <c r="L1237" s="18" t="n">
        <f aca="false">(J1237-0.5)/1386</f>
        <v>0.891414141414141</v>
      </c>
      <c r="M1237" s="18" t="n">
        <f aca="false">_xlfn.NORM.DIST(K1237,AVERAGE($G$2:$G$1387),_xlfn.STDEV.S($G$2:$G$1387),TRUE())</f>
        <v>0.888804391197117</v>
      </c>
    </row>
    <row r="1238" customFormat="false" ht="15" hidden="false" customHeight="false" outlineLevel="0" collapsed="false">
      <c r="A1238" s="0" t="n">
        <f aca="false">ROW()-1</f>
        <v>1237</v>
      </c>
      <c r="B1238" s="0" t="str">
        <f aca="false">'Analysis Data'!A1238</f>
        <v>Jamboree</v>
      </c>
      <c r="C1238" s="5" t="n">
        <f aca="false">'Analysis Data'!B1238</f>
        <v>40330</v>
      </c>
      <c r="D1238" s="6" t="n">
        <f aca="false">'Analysis Data'!C1238</f>
        <v>254.036396716152</v>
      </c>
      <c r="E1238" s="15" t="n">
        <f aca="false">SUMPRODUCT('Final Model'!$B$45:$I$45,'Analysis Data'!N1238:U1238)</f>
        <v>245.563213659436</v>
      </c>
      <c r="F1238" s="15" t="n">
        <f aca="false">D1238-E1238</f>
        <v>8.47318305671655</v>
      </c>
      <c r="G1238" s="13" t="n">
        <f aca="false">F1238/'Final Model'!$B$21</f>
        <v>0.172809175417963</v>
      </c>
      <c r="H1238" s="6" t="n">
        <f aca="false">F1238^2</f>
        <v>71.7948311126284</v>
      </c>
      <c r="J1238" s="6" t="n">
        <f aca="false">A1238</f>
        <v>1237</v>
      </c>
      <c r="K1238" s="13" t="n">
        <f aca="false">SMALL($G$2:$G$1387,J1238)</f>
        <v>1.21990700094472</v>
      </c>
      <c r="L1238" s="18" t="n">
        <f aca="false">(J1238-0.5)/1386</f>
        <v>0.892135642135642</v>
      </c>
      <c r="M1238" s="18" t="n">
        <f aca="false">_xlfn.NORM.DIST(K1238,AVERAGE($G$2:$G$1387),_xlfn.STDEV.S($G$2:$G$1387),TRUE())</f>
        <v>0.889335441462826</v>
      </c>
    </row>
    <row r="1239" customFormat="false" ht="15" hidden="false" customHeight="false" outlineLevel="0" collapsed="false">
      <c r="A1239" s="0" t="n">
        <f aca="false">ROW()-1</f>
        <v>1238</v>
      </c>
      <c r="B1239" s="0" t="str">
        <f aca="false">'Analysis Data'!A1239</f>
        <v>Jamboree</v>
      </c>
      <c r="C1239" s="5" t="n">
        <f aca="false">'Analysis Data'!B1239</f>
        <v>40337</v>
      </c>
      <c r="D1239" s="6" t="n">
        <f aca="false">'Analysis Data'!C1239</f>
        <v>335.140337314964</v>
      </c>
      <c r="E1239" s="15" t="n">
        <f aca="false">SUMPRODUCT('Final Model'!$B$45:$I$45,'Analysis Data'!N1239:U1239)</f>
        <v>237.72965887962</v>
      </c>
      <c r="F1239" s="15" t="n">
        <f aca="false">D1239-E1239</f>
        <v>97.4106784353439</v>
      </c>
      <c r="G1239" s="13" t="n">
        <f aca="false">F1239/'Final Model'!$B$21</f>
        <v>1.98667477199994</v>
      </c>
      <c r="H1239" s="6" t="n">
        <f aca="false">F1239^2</f>
        <v>9488.84027323397</v>
      </c>
      <c r="J1239" s="6" t="n">
        <f aca="false">A1239</f>
        <v>1238</v>
      </c>
      <c r="K1239" s="13" t="n">
        <f aca="false">SMALL($G$2:$G$1387,J1239)</f>
        <v>1.22670195796806</v>
      </c>
      <c r="L1239" s="18" t="n">
        <f aca="false">(J1239-0.5)/1386</f>
        <v>0.892857142857143</v>
      </c>
      <c r="M1239" s="18" t="n">
        <f aca="false">_xlfn.NORM.DIST(K1239,AVERAGE($G$2:$G$1387),_xlfn.STDEV.S($G$2:$G$1387),TRUE())</f>
        <v>0.890616566733992</v>
      </c>
    </row>
    <row r="1240" customFormat="false" ht="15" hidden="false" customHeight="false" outlineLevel="0" collapsed="false">
      <c r="A1240" s="0" t="n">
        <f aca="false">ROW()-1</f>
        <v>1239</v>
      </c>
      <c r="B1240" s="0" t="str">
        <f aca="false">'Analysis Data'!A1240</f>
        <v>Jamboree</v>
      </c>
      <c r="C1240" s="5" t="n">
        <f aca="false">'Analysis Data'!B1240</f>
        <v>40344</v>
      </c>
      <c r="D1240" s="6" t="n">
        <f aca="false">'Analysis Data'!C1240</f>
        <v>254.095010311714</v>
      </c>
      <c r="E1240" s="15" t="n">
        <f aca="false">SUMPRODUCT('Final Model'!$B$45:$I$45,'Analysis Data'!N1240:U1240)</f>
        <v>239.016862709323</v>
      </c>
      <c r="F1240" s="15" t="n">
        <f aca="false">D1240-E1240</f>
        <v>15.0781476023908</v>
      </c>
      <c r="G1240" s="13" t="n">
        <f aca="false">F1240/'Final Model'!$B$21</f>
        <v>0.307516341445503</v>
      </c>
      <c r="H1240" s="6" t="n">
        <f aca="false">F1240^2</f>
        <v>227.350535119484</v>
      </c>
      <c r="J1240" s="6" t="n">
        <f aca="false">A1240</f>
        <v>1239</v>
      </c>
      <c r="K1240" s="13" t="n">
        <f aca="false">SMALL($G$2:$G$1387,J1240)</f>
        <v>1.23700877486434</v>
      </c>
      <c r="L1240" s="18" t="n">
        <f aca="false">(J1240-0.5)/1386</f>
        <v>0.893578643578644</v>
      </c>
      <c r="M1240" s="18" t="n">
        <f aca="false">_xlfn.NORM.DIST(K1240,AVERAGE($G$2:$G$1387),_xlfn.STDEV.S($G$2:$G$1387),TRUE())</f>
        <v>0.89253942880873</v>
      </c>
    </row>
    <row r="1241" customFormat="false" ht="15" hidden="false" customHeight="false" outlineLevel="0" collapsed="false">
      <c r="A1241" s="0" t="n">
        <f aca="false">ROW()-1</f>
        <v>1240</v>
      </c>
      <c r="B1241" s="0" t="str">
        <f aca="false">'Analysis Data'!A1241</f>
        <v>Jamboree</v>
      </c>
      <c r="C1241" s="5" t="n">
        <f aca="false">'Analysis Data'!B1241</f>
        <v>40351</v>
      </c>
      <c r="D1241" s="6" t="n">
        <f aca="false">'Analysis Data'!C1241</f>
        <v>327.023072948753</v>
      </c>
      <c r="E1241" s="15" t="n">
        <f aca="false">SUMPRODUCT('Final Model'!$B$45:$I$45,'Analysis Data'!N1241:U1241)</f>
        <v>346.902298508445</v>
      </c>
      <c r="F1241" s="15" t="n">
        <f aca="false">D1241-E1241</f>
        <v>-19.8792255596926</v>
      </c>
      <c r="G1241" s="13" t="n">
        <f aca="false">F1241/'Final Model'!$B$21</f>
        <v>-0.405433537069055</v>
      </c>
      <c r="H1241" s="6" t="n">
        <f aca="false">F1241^2</f>
        <v>395.183608853136</v>
      </c>
      <c r="J1241" s="6" t="n">
        <f aca="false">A1241</f>
        <v>1240</v>
      </c>
      <c r="K1241" s="13" t="n">
        <f aca="false">SMALL($G$2:$G$1387,J1241)</f>
        <v>1.24242666627111</v>
      </c>
      <c r="L1241" s="18" t="n">
        <f aca="false">(J1241-0.5)/1386</f>
        <v>0.894300144300144</v>
      </c>
      <c r="M1241" s="18" t="n">
        <f aca="false">_xlfn.NORM.DIST(K1241,AVERAGE($G$2:$G$1387),_xlfn.STDEV.S($G$2:$G$1387),TRUE())</f>
        <v>0.893540377973655</v>
      </c>
    </row>
    <row r="1242" customFormat="false" ht="15" hidden="false" customHeight="false" outlineLevel="0" collapsed="false">
      <c r="A1242" s="0" t="n">
        <f aca="false">ROW()-1</f>
        <v>1241</v>
      </c>
      <c r="B1242" s="0" t="str">
        <f aca="false">'Analysis Data'!A1242</f>
        <v>Jamboree</v>
      </c>
      <c r="C1242" s="5" t="n">
        <f aca="false">'Analysis Data'!B1242</f>
        <v>40358</v>
      </c>
      <c r="D1242" s="6" t="n">
        <f aca="false">'Analysis Data'!C1242</f>
        <v>301.254696087796</v>
      </c>
      <c r="E1242" s="15" t="n">
        <f aca="false">SUMPRODUCT('Final Model'!$B$45:$I$45,'Analysis Data'!N1242:U1242)</f>
        <v>312.386654971922</v>
      </c>
      <c r="F1242" s="15" t="n">
        <f aca="false">D1242-E1242</f>
        <v>-11.1319588841259</v>
      </c>
      <c r="G1242" s="13" t="n">
        <f aca="false">F1242/'Final Model'!$B$21</f>
        <v>-0.227034471305041</v>
      </c>
      <c r="H1242" s="6" t="n">
        <f aca="false">F1242^2</f>
        <v>123.92050859787</v>
      </c>
      <c r="J1242" s="6" t="n">
        <f aca="false">A1242</f>
        <v>1241</v>
      </c>
      <c r="K1242" s="13" t="n">
        <f aca="false">SMALL($G$2:$G$1387,J1242)</f>
        <v>1.24659469013131</v>
      </c>
      <c r="L1242" s="18" t="n">
        <f aca="false">(J1242-0.5)/1386</f>
        <v>0.895021645021645</v>
      </c>
      <c r="M1242" s="18" t="n">
        <f aca="false">_xlfn.NORM.DIST(K1242,AVERAGE($G$2:$G$1387),_xlfn.STDEV.S($G$2:$G$1387),TRUE())</f>
        <v>0.894305821481613</v>
      </c>
    </row>
    <row r="1243" customFormat="false" ht="15" hidden="false" customHeight="false" outlineLevel="0" collapsed="false">
      <c r="A1243" s="0" t="n">
        <f aca="false">ROW()-1</f>
        <v>1242</v>
      </c>
      <c r="B1243" s="0" t="str">
        <f aca="false">'Analysis Data'!A1243</f>
        <v>Jamboree</v>
      </c>
      <c r="C1243" s="5" t="n">
        <f aca="false">'Analysis Data'!B1243</f>
        <v>40365</v>
      </c>
      <c r="D1243" s="6" t="n">
        <f aca="false">'Analysis Data'!C1243</f>
        <v>333.54676087387</v>
      </c>
      <c r="E1243" s="15" t="n">
        <f aca="false">SUMPRODUCT('Final Model'!$B$45:$I$45,'Analysis Data'!N1243:U1243)</f>
        <v>314.809356486885</v>
      </c>
      <c r="F1243" s="15" t="n">
        <f aca="false">D1243-E1243</f>
        <v>18.7374043869851</v>
      </c>
      <c r="G1243" s="13" t="n">
        <f aca="false">F1243/'Final Model'!$B$21</f>
        <v>0.382146281971462</v>
      </c>
      <c r="H1243" s="6" t="n">
        <f aca="false">F1243^2</f>
        <v>351.090323161408</v>
      </c>
      <c r="J1243" s="6" t="n">
        <f aca="false">A1243</f>
        <v>1242</v>
      </c>
      <c r="K1243" s="13" t="n">
        <f aca="false">SMALL($G$2:$G$1387,J1243)</f>
        <v>1.24789080886334</v>
      </c>
      <c r="L1243" s="18" t="n">
        <f aca="false">(J1243-0.5)/1386</f>
        <v>0.895743145743146</v>
      </c>
      <c r="M1243" s="18" t="n">
        <f aca="false">_xlfn.NORM.DIST(K1243,AVERAGE($G$2:$G$1387),_xlfn.STDEV.S($G$2:$G$1387),TRUE())</f>
        <v>0.894543036294358</v>
      </c>
    </row>
    <row r="1244" customFormat="false" ht="15" hidden="false" customHeight="false" outlineLevel="0" collapsed="false">
      <c r="A1244" s="0" t="n">
        <f aca="false">ROW()-1</f>
        <v>1243</v>
      </c>
      <c r="B1244" s="0" t="str">
        <f aca="false">'Analysis Data'!A1244</f>
        <v>Jamboree</v>
      </c>
      <c r="C1244" s="5" t="n">
        <f aca="false">'Analysis Data'!B1244</f>
        <v>40372</v>
      </c>
      <c r="D1244" s="6" t="n">
        <f aca="false">'Analysis Data'!C1244</f>
        <v>309.273176410925</v>
      </c>
      <c r="E1244" s="15" t="n">
        <f aca="false">SUMPRODUCT('Final Model'!$B$45:$I$45,'Analysis Data'!N1244:U1244)</f>
        <v>315.664427607217</v>
      </c>
      <c r="F1244" s="15" t="n">
        <f aca="false">D1244-E1244</f>
        <v>-6.39125119629199</v>
      </c>
      <c r="G1244" s="13" t="n">
        <f aca="false">F1244/'Final Model'!$B$21</f>
        <v>-0.130348517402182</v>
      </c>
      <c r="H1244" s="6" t="n">
        <f aca="false">F1244^2</f>
        <v>40.8480918541038</v>
      </c>
      <c r="J1244" s="6" t="n">
        <f aca="false">A1244</f>
        <v>1243</v>
      </c>
      <c r="K1244" s="13" t="n">
        <f aca="false">SMALL($G$2:$G$1387,J1244)</f>
        <v>1.25196382126756</v>
      </c>
      <c r="L1244" s="18" t="n">
        <f aca="false">(J1244-0.5)/1386</f>
        <v>0.896464646464647</v>
      </c>
      <c r="M1244" s="18" t="n">
        <f aca="false">_xlfn.NORM.DIST(K1244,AVERAGE($G$2:$G$1387),_xlfn.STDEV.S($G$2:$G$1387),TRUE())</f>
        <v>0.895285969543272</v>
      </c>
    </row>
    <row r="1245" customFormat="false" ht="15" hidden="false" customHeight="false" outlineLevel="0" collapsed="false">
      <c r="A1245" s="0" t="n">
        <f aca="false">ROW()-1</f>
        <v>1244</v>
      </c>
      <c r="B1245" s="0" t="str">
        <f aca="false">'Analysis Data'!A1245</f>
        <v>Las Vegas Blvd</v>
      </c>
      <c r="C1245" s="5" t="n">
        <f aca="false">'Analysis Data'!B1245</f>
        <v>40302</v>
      </c>
      <c r="D1245" s="6" t="n">
        <f aca="false">'Analysis Data'!C1245</f>
        <v>287.350198698677</v>
      </c>
      <c r="E1245" s="15" t="n">
        <f aca="false">SUMPRODUCT('Final Model'!$B$45:$I$45,'Analysis Data'!N1245:U1245)</f>
        <v>322.358589873882</v>
      </c>
      <c r="F1245" s="15" t="n">
        <f aca="false">D1245-E1245</f>
        <v>-35.0083911752059</v>
      </c>
      <c r="G1245" s="13" t="n">
        <f aca="false">F1245/'Final Model'!$B$21</f>
        <v>-0.713990382504634</v>
      </c>
      <c r="H1245" s="6" t="n">
        <f aca="false">F1245^2</f>
        <v>1225.58745267624</v>
      </c>
      <c r="J1245" s="6" t="n">
        <f aca="false">A1245</f>
        <v>1244</v>
      </c>
      <c r="K1245" s="13" t="n">
        <f aca="false">SMALL($G$2:$G$1387,J1245)</f>
        <v>1.2549026730781</v>
      </c>
      <c r="L1245" s="18" t="n">
        <f aca="false">(J1245-0.5)/1386</f>
        <v>0.897186147186147</v>
      </c>
      <c r="M1245" s="18" t="n">
        <f aca="false">_xlfn.NORM.DIST(K1245,AVERAGE($G$2:$G$1387),_xlfn.STDEV.S($G$2:$G$1387),TRUE())</f>
        <v>0.895819668274693</v>
      </c>
    </row>
    <row r="1246" customFormat="false" ht="15" hidden="false" customHeight="false" outlineLevel="0" collapsed="false">
      <c r="A1246" s="0" t="n">
        <f aca="false">ROW()-1</f>
        <v>1245</v>
      </c>
      <c r="B1246" s="0" t="str">
        <f aca="false">'Analysis Data'!A1246</f>
        <v>Las Vegas Blvd</v>
      </c>
      <c r="C1246" s="5" t="n">
        <f aca="false">'Analysis Data'!B1246</f>
        <v>40309</v>
      </c>
      <c r="D1246" s="6" t="n">
        <f aca="false">'Analysis Data'!C1246</f>
        <v>296.961369774163</v>
      </c>
      <c r="E1246" s="15" t="n">
        <f aca="false">SUMPRODUCT('Final Model'!$B$45:$I$45,'Analysis Data'!N1246:U1246)</f>
        <v>319.232523405098</v>
      </c>
      <c r="F1246" s="15" t="n">
        <f aca="false">D1246-E1246</f>
        <v>-22.2711536309346</v>
      </c>
      <c r="G1246" s="13" t="n">
        <f aca="false">F1246/'Final Model'!$B$21</f>
        <v>-0.454216516839892</v>
      </c>
      <c r="H1246" s="6" t="n">
        <f aca="false">F1246^2</f>
        <v>496.00428405269</v>
      </c>
      <c r="J1246" s="6" t="n">
        <f aca="false">A1246</f>
        <v>1245</v>
      </c>
      <c r="K1246" s="13" t="n">
        <f aca="false">SMALL($G$2:$G$1387,J1246)</f>
        <v>1.2580568836272</v>
      </c>
      <c r="L1246" s="18" t="n">
        <f aca="false">(J1246-0.5)/1386</f>
        <v>0.897907647907648</v>
      </c>
      <c r="M1246" s="18" t="n">
        <f aca="false">_xlfn.NORM.DIST(K1246,AVERAGE($G$2:$G$1387),_xlfn.STDEV.S($G$2:$G$1387),TRUE())</f>
        <v>0.896390279512805</v>
      </c>
    </row>
    <row r="1247" customFormat="false" ht="15" hidden="false" customHeight="false" outlineLevel="0" collapsed="false">
      <c r="A1247" s="0" t="n">
        <f aca="false">ROW()-1</f>
        <v>1246</v>
      </c>
      <c r="B1247" s="0" t="str">
        <f aca="false">'Analysis Data'!A1247</f>
        <v>Las Vegas Blvd</v>
      </c>
      <c r="C1247" s="5" t="n">
        <f aca="false">'Analysis Data'!B1247</f>
        <v>40316</v>
      </c>
      <c r="D1247" s="6" t="n">
        <f aca="false">'Analysis Data'!C1247</f>
        <v>305.485365790556</v>
      </c>
      <c r="E1247" s="15" t="n">
        <f aca="false">SUMPRODUCT('Final Model'!$B$45:$I$45,'Analysis Data'!N1247:U1247)</f>
        <v>249.374674377784</v>
      </c>
      <c r="F1247" s="15" t="n">
        <f aca="false">D1247-E1247</f>
        <v>56.1106914127716</v>
      </c>
      <c r="G1247" s="13" t="n">
        <f aca="false">F1247/'Final Model'!$B$21</f>
        <v>1.14436832655075</v>
      </c>
      <c r="H1247" s="6" t="n">
        <f aca="false">F1247^2</f>
        <v>3148.40969081929</v>
      </c>
      <c r="J1247" s="6" t="n">
        <f aca="false">A1247</f>
        <v>1246</v>
      </c>
      <c r="K1247" s="13" t="n">
        <f aca="false">SMALL($G$2:$G$1387,J1247)</f>
        <v>1.26759504820325</v>
      </c>
      <c r="L1247" s="18" t="n">
        <f aca="false">(J1247-0.5)/1386</f>
        <v>0.898629148629149</v>
      </c>
      <c r="M1247" s="18" t="n">
        <f aca="false">_xlfn.NORM.DIST(K1247,AVERAGE($G$2:$G$1387),_xlfn.STDEV.S($G$2:$G$1387),TRUE())</f>
        <v>0.898101972852397</v>
      </c>
    </row>
    <row r="1248" customFormat="false" ht="15" hidden="false" customHeight="false" outlineLevel="0" collapsed="false">
      <c r="A1248" s="0" t="n">
        <f aca="false">ROW()-1</f>
        <v>1247</v>
      </c>
      <c r="B1248" s="0" t="str">
        <f aca="false">'Analysis Data'!A1248</f>
        <v>Las Vegas Blvd</v>
      </c>
      <c r="C1248" s="5" t="n">
        <f aca="false">'Analysis Data'!B1248</f>
        <v>40323</v>
      </c>
      <c r="D1248" s="6" t="n">
        <f aca="false">'Analysis Data'!C1248</f>
        <v>295.202044767528</v>
      </c>
      <c r="E1248" s="15" t="n">
        <f aca="false">SUMPRODUCT('Final Model'!$B$45:$I$45,'Analysis Data'!N1248:U1248)</f>
        <v>250.096845865125</v>
      </c>
      <c r="F1248" s="15" t="n">
        <f aca="false">D1248-E1248</f>
        <v>45.1051989024031</v>
      </c>
      <c r="G1248" s="13" t="n">
        <f aca="false">F1248/'Final Model'!$B$21</f>
        <v>0.91991311614693</v>
      </c>
      <c r="H1248" s="6" t="n">
        <f aca="false">F1248^2</f>
        <v>2034.47896802534</v>
      </c>
      <c r="J1248" s="6" t="n">
        <f aca="false">A1248</f>
        <v>1247</v>
      </c>
      <c r="K1248" s="13" t="n">
        <f aca="false">SMALL($G$2:$G$1387,J1248)</f>
        <v>1.27510356111537</v>
      </c>
      <c r="L1248" s="18" t="n">
        <f aca="false">(J1248-0.5)/1386</f>
        <v>0.899350649350649</v>
      </c>
      <c r="M1248" s="18" t="n">
        <f aca="false">_xlfn.NORM.DIST(K1248,AVERAGE($G$2:$G$1387),_xlfn.STDEV.S($G$2:$G$1387),TRUE())</f>
        <v>0.899434882149082</v>
      </c>
    </row>
    <row r="1249" customFormat="false" ht="15" hidden="false" customHeight="false" outlineLevel="0" collapsed="false">
      <c r="A1249" s="0" t="n">
        <f aca="false">ROW()-1</f>
        <v>1248</v>
      </c>
      <c r="B1249" s="0" t="str">
        <f aca="false">'Analysis Data'!A1249</f>
        <v>Las Vegas Blvd</v>
      </c>
      <c r="C1249" s="5" t="n">
        <f aca="false">'Analysis Data'!B1249</f>
        <v>40330</v>
      </c>
      <c r="D1249" s="6" t="n">
        <f aca="false">'Analysis Data'!C1249</f>
        <v>224.869067025156</v>
      </c>
      <c r="E1249" s="15" t="n">
        <f aca="false">SUMPRODUCT('Final Model'!$B$45:$I$45,'Analysis Data'!N1249:U1249)</f>
        <v>250.096845865125</v>
      </c>
      <c r="F1249" s="15" t="n">
        <f aca="false">D1249-E1249</f>
        <v>-25.227778839969</v>
      </c>
      <c r="G1249" s="13" t="n">
        <f aca="false">F1249/'Final Model'!$B$21</f>
        <v>-0.514516401897632</v>
      </c>
      <c r="H1249" s="6" t="n">
        <f aca="false">F1249^2</f>
        <v>636.440825198387</v>
      </c>
      <c r="J1249" s="6" t="n">
        <f aca="false">A1249</f>
        <v>1248</v>
      </c>
      <c r="K1249" s="13" t="n">
        <f aca="false">SMALL($G$2:$G$1387,J1249)</f>
        <v>1.28627305305284</v>
      </c>
      <c r="L1249" s="18" t="n">
        <f aca="false">(J1249-0.5)/1386</f>
        <v>0.90007215007215</v>
      </c>
      <c r="M1249" s="18" t="n">
        <f aca="false">_xlfn.NORM.DIST(K1249,AVERAGE($G$2:$G$1387),_xlfn.STDEV.S($G$2:$G$1387),TRUE())</f>
        <v>0.901394084302803</v>
      </c>
    </row>
    <row r="1250" customFormat="false" ht="15" hidden="false" customHeight="false" outlineLevel="0" collapsed="false">
      <c r="A1250" s="0" t="n">
        <f aca="false">ROW()-1</f>
        <v>1249</v>
      </c>
      <c r="B1250" s="0" t="str">
        <f aca="false">'Analysis Data'!A1250</f>
        <v>Las Vegas Blvd</v>
      </c>
      <c r="C1250" s="5" t="n">
        <f aca="false">'Analysis Data'!B1250</f>
        <v>40337</v>
      </c>
      <c r="D1250" s="6" t="n">
        <f aca="false">'Analysis Data'!C1250</f>
        <v>212.909659568831</v>
      </c>
      <c r="E1250" s="15" t="n">
        <f aca="false">SUMPRODUCT('Final Model'!$B$45:$I$45,'Analysis Data'!N1250:U1250)</f>
        <v>245.924299403106</v>
      </c>
      <c r="F1250" s="15" t="n">
        <f aca="false">D1250-E1250</f>
        <v>-33.0146398342753</v>
      </c>
      <c r="G1250" s="13" t="n">
        <f aca="false">F1250/'Final Model'!$B$21</f>
        <v>-0.673328151686716</v>
      </c>
      <c r="H1250" s="6" t="n">
        <f aca="false">F1250^2</f>
        <v>1089.96644338692</v>
      </c>
      <c r="J1250" s="6" t="n">
        <f aca="false">A1250</f>
        <v>1249</v>
      </c>
      <c r="K1250" s="13" t="n">
        <f aca="false">SMALL($G$2:$G$1387,J1250)</f>
        <v>1.28708598066666</v>
      </c>
      <c r="L1250" s="18" t="n">
        <f aca="false">(J1250-0.5)/1386</f>
        <v>0.900793650793651</v>
      </c>
      <c r="M1250" s="18" t="n">
        <f aca="false">_xlfn.NORM.DIST(K1250,AVERAGE($G$2:$G$1387),_xlfn.STDEV.S($G$2:$G$1387),TRUE())</f>
        <v>0.901535578684474</v>
      </c>
    </row>
    <row r="1251" customFormat="false" ht="15" hidden="false" customHeight="false" outlineLevel="0" collapsed="false">
      <c r="A1251" s="0" t="n">
        <f aca="false">ROW()-1</f>
        <v>1250</v>
      </c>
      <c r="B1251" s="0" t="str">
        <f aca="false">'Analysis Data'!A1251</f>
        <v>Las Vegas Blvd</v>
      </c>
      <c r="C1251" s="5" t="n">
        <f aca="false">'Analysis Data'!B1251</f>
        <v>40344</v>
      </c>
      <c r="D1251" s="6" t="n">
        <f aca="false">'Analysis Data'!C1251</f>
        <v>274.800618170394</v>
      </c>
      <c r="E1251" s="15" t="n">
        <f aca="false">SUMPRODUCT('Final Model'!$B$45:$I$45,'Analysis Data'!N1251:U1251)</f>
        <v>246.123359496526</v>
      </c>
      <c r="F1251" s="15" t="n">
        <f aca="false">D1251-E1251</f>
        <v>28.6772586738678</v>
      </c>
      <c r="G1251" s="13" t="n">
        <f aca="false">F1251/'Final Model'!$B$21</f>
        <v>0.584867976002292</v>
      </c>
      <c r="H1251" s="6" t="n">
        <f aca="false">F1251^2</f>
        <v>822.385165047925</v>
      </c>
      <c r="J1251" s="6" t="n">
        <f aca="false">A1251</f>
        <v>1250</v>
      </c>
      <c r="K1251" s="13" t="n">
        <f aca="false">SMALL($G$2:$G$1387,J1251)</f>
        <v>1.28975024981755</v>
      </c>
      <c r="L1251" s="18" t="n">
        <f aca="false">(J1251-0.5)/1386</f>
        <v>0.901515151515152</v>
      </c>
      <c r="M1251" s="18" t="n">
        <f aca="false">_xlfn.NORM.DIST(K1251,AVERAGE($G$2:$G$1387),_xlfn.STDEV.S($G$2:$G$1387),TRUE())</f>
        <v>0.901998266831665</v>
      </c>
    </row>
    <row r="1252" customFormat="false" ht="15" hidden="false" customHeight="false" outlineLevel="0" collapsed="false">
      <c r="A1252" s="0" t="n">
        <f aca="false">ROW()-1</f>
        <v>1251</v>
      </c>
      <c r="B1252" s="0" t="str">
        <f aca="false">'Analysis Data'!A1252</f>
        <v>Las Vegas Blvd</v>
      </c>
      <c r="C1252" s="5" t="n">
        <f aca="false">'Analysis Data'!B1252</f>
        <v>40351</v>
      </c>
      <c r="D1252" s="6" t="n">
        <f aca="false">'Analysis Data'!C1252</f>
        <v>413.586002580374</v>
      </c>
      <c r="E1252" s="15" t="n">
        <f aca="false">SUMPRODUCT('Final Model'!$B$45:$I$45,'Analysis Data'!N1252:U1252)</f>
        <v>351.433256007537</v>
      </c>
      <c r="F1252" s="15" t="n">
        <f aca="false">D1252-E1252</f>
        <v>62.152746572837</v>
      </c>
      <c r="G1252" s="13" t="n">
        <f aca="false">F1252/'Final Model'!$B$21</f>
        <v>1.26759504820325</v>
      </c>
      <c r="H1252" s="6" t="n">
        <f aca="false">F1252^2</f>
        <v>3862.9639065473</v>
      </c>
      <c r="J1252" s="6" t="n">
        <f aca="false">A1252</f>
        <v>1251</v>
      </c>
      <c r="K1252" s="13" t="n">
        <f aca="false">SMALL($G$2:$G$1387,J1252)</f>
        <v>1.29327967808436</v>
      </c>
      <c r="L1252" s="18" t="n">
        <f aca="false">(J1252-0.5)/1386</f>
        <v>0.902236652236652</v>
      </c>
      <c r="M1252" s="18" t="n">
        <f aca="false">_xlfn.NORM.DIST(K1252,AVERAGE($G$2:$G$1387),_xlfn.STDEV.S($G$2:$G$1387),TRUE())</f>
        <v>0.902608746153718</v>
      </c>
    </row>
    <row r="1253" customFormat="false" ht="15" hidden="false" customHeight="false" outlineLevel="0" collapsed="false">
      <c r="A1253" s="0" t="n">
        <f aca="false">ROW()-1</f>
        <v>1252</v>
      </c>
      <c r="B1253" s="0" t="str">
        <f aca="false">'Analysis Data'!A1253</f>
        <v>Las Vegas Blvd</v>
      </c>
      <c r="C1253" s="5" t="n">
        <f aca="false">'Analysis Data'!B1253</f>
        <v>40358</v>
      </c>
      <c r="D1253" s="6" t="n">
        <f aca="false">'Analysis Data'!C1253</f>
        <v>279.539834738027</v>
      </c>
      <c r="E1253" s="15" t="n">
        <f aca="false">SUMPRODUCT('Final Model'!$B$45:$I$45,'Analysis Data'!N1253:U1253)</f>
        <v>319.493151759125</v>
      </c>
      <c r="F1253" s="15" t="n">
        <f aca="false">D1253-E1253</f>
        <v>-39.9533170210977</v>
      </c>
      <c r="G1253" s="13" t="n">
        <f aca="false">F1253/'Final Model'!$B$21</f>
        <v>-0.814841332166835</v>
      </c>
      <c r="H1253" s="6" t="n">
        <f aca="false">F1253^2</f>
        <v>1596.26754098834</v>
      </c>
      <c r="J1253" s="6" t="n">
        <f aca="false">A1253</f>
        <v>1252</v>
      </c>
      <c r="K1253" s="13" t="n">
        <f aca="false">SMALL($G$2:$G$1387,J1253)</f>
        <v>1.29665526321747</v>
      </c>
      <c r="L1253" s="18" t="n">
        <f aca="false">(J1253-0.5)/1386</f>
        <v>0.902958152958153</v>
      </c>
      <c r="M1253" s="18" t="n">
        <f aca="false">_xlfn.NORM.DIST(K1253,AVERAGE($G$2:$G$1387),_xlfn.STDEV.S($G$2:$G$1387),TRUE())</f>
        <v>0.903190001165897</v>
      </c>
    </row>
    <row r="1254" customFormat="false" ht="15" hidden="false" customHeight="false" outlineLevel="0" collapsed="false">
      <c r="A1254" s="0" t="n">
        <f aca="false">ROW()-1</f>
        <v>1253</v>
      </c>
      <c r="B1254" s="0" t="str">
        <f aca="false">'Analysis Data'!A1254</f>
        <v>Las Vegas Blvd</v>
      </c>
      <c r="C1254" s="5" t="n">
        <f aca="false">'Analysis Data'!B1254</f>
        <v>40365</v>
      </c>
      <c r="D1254" s="6" t="n">
        <f aca="false">'Analysis Data'!C1254</f>
        <v>250.60871439653</v>
      </c>
      <c r="E1254" s="15" t="n">
        <f aca="false">SUMPRODUCT('Final Model'!$B$45:$I$45,'Analysis Data'!N1254:U1254)</f>
        <v>327.081794288295</v>
      </c>
      <c r="F1254" s="15" t="n">
        <f aca="false">D1254-E1254</f>
        <v>-76.4730798917644</v>
      </c>
      <c r="G1254" s="13" t="n">
        <f aca="false">F1254/'Final Model'!$B$21</f>
        <v>-1.55965589192509</v>
      </c>
      <c r="H1254" s="6" t="n">
        <f aca="false">F1254^2</f>
        <v>5848.13194813218</v>
      </c>
      <c r="J1254" s="6" t="n">
        <f aca="false">A1254</f>
        <v>1253</v>
      </c>
      <c r="K1254" s="13" t="n">
        <f aca="false">SMALL($G$2:$G$1387,J1254)</f>
        <v>1.29931010775902</v>
      </c>
      <c r="L1254" s="18" t="n">
        <f aca="false">(J1254-0.5)/1386</f>
        <v>0.903679653679654</v>
      </c>
      <c r="M1254" s="18" t="n">
        <f aca="false">_xlfn.NORM.DIST(K1254,AVERAGE($G$2:$G$1387),_xlfn.STDEV.S($G$2:$G$1387),TRUE())</f>
        <v>0.903645356408203</v>
      </c>
    </row>
    <row r="1255" customFormat="false" ht="15" hidden="false" customHeight="false" outlineLevel="0" collapsed="false">
      <c r="A1255" s="0" t="n">
        <f aca="false">ROW()-1</f>
        <v>1254</v>
      </c>
      <c r="B1255" s="0" t="str">
        <f aca="false">'Analysis Data'!A1255</f>
        <v>Las Vegas Blvd</v>
      </c>
      <c r="C1255" s="5" t="n">
        <f aca="false">'Analysis Data'!B1255</f>
        <v>40372</v>
      </c>
      <c r="D1255" s="6" t="n">
        <f aca="false">'Analysis Data'!C1255</f>
        <v>273.280147583363</v>
      </c>
      <c r="E1255" s="15" t="n">
        <f aca="false">SUMPRODUCT('Final Model'!$B$45:$I$45,'Analysis Data'!N1255:U1255)</f>
        <v>329.626699346088</v>
      </c>
      <c r="F1255" s="15" t="n">
        <f aca="false">D1255-E1255</f>
        <v>-56.346551762725</v>
      </c>
      <c r="G1255" s="13" t="n">
        <f aca="false">F1255/'Final Model'!$B$21</f>
        <v>-1.1491786596117</v>
      </c>
      <c r="H1255" s="6" t="n">
        <f aca="false">F1255^2</f>
        <v>3174.93389554944</v>
      </c>
      <c r="J1255" s="6" t="n">
        <f aca="false">A1255</f>
        <v>1254</v>
      </c>
      <c r="K1255" s="13" t="n">
        <f aca="false">SMALL($G$2:$G$1387,J1255)</f>
        <v>1.30685625498486</v>
      </c>
      <c r="L1255" s="18" t="n">
        <f aca="false">(J1255-0.5)/1386</f>
        <v>0.904401154401154</v>
      </c>
      <c r="M1255" s="18" t="n">
        <f aca="false">_xlfn.NORM.DIST(K1255,AVERAGE($G$2:$G$1387),_xlfn.STDEV.S($G$2:$G$1387),TRUE())</f>
        <v>0.904931062481588</v>
      </c>
    </row>
    <row r="1256" customFormat="false" ht="15" hidden="false" customHeight="false" outlineLevel="0" collapsed="false">
      <c r="A1256" s="0" t="n">
        <f aca="false">ROW()-1</f>
        <v>1255</v>
      </c>
      <c r="B1256" s="0" t="str">
        <f aca="false">'Analysis Data'!A1256</f>
        <v>Pacific Coast Highway (aka El Segundo)</v>
      </c>
      <c r="C1256" s="5" t="n">
        <f aca="false">'Analysis Data'!B1256</f>
        <v>40302</v>
      </c>
      <c r="D1256" s="6" t="n">
        <f aca="false">'Analysis Data'!C1256</f>
        <v>274.489422929519</v>
      </c>
      <c r="E1256" s="15" t="n">
        <f aca="false">SUMPRODUCT('Final Model'!$B$45:$I$45,'Analysis Data'!N1256:U1256)</f>
        <v>309.696661645028</v>
      </c>
      <c r="F1256" s="15" t="n">
        <f aca="false">D1256-E1256</f>
        <v>-35.207238715509</v>
      </c>
      <c r="G1256" s="13" t="n">
        <f aca="false">F1256/'Final Model'!$B$21</f>
        <v>-0.718045845397817</v>
      </c>
      <c r="H1256" s="6" t="n">
        <f aca="false">F1256^2</f>
        <v>1239.54965797084</v>
      </c>
      <c r="J1256" s="6" t="n">
        <f aca="false">A1256</f>
        <v>1255</v>
      </c>
      <c r="K1256" s="13" t="n">
        <f aca="false">SMALL($G$2:$G$1387,J1256)</f>
        <v>1.31008313714986</v>
      </c>
      <c r="L1256" s="18" t="n">
        <f aca="false">(J1256-0.5)/1386</f>
        <v>0.905122655122655</v>
      </c>
      <c r="M1256" s="18" t="n">
        <f aca="false">_xlfn.NORM.DIST(K1256,AVERAGE($G$2:$G$1387),_xlfn.STDEV.S($G$2:$G$1387),TRUE())</f>
        <v>0.905476982184642</v>
      </c>
    </row>
    <row r="1257" customFormat="false" ht="15" hidden="false" customHeight="false" outlineLevel="0" collapsed="false">
      <c r="A1257" s="0" t="n">
        <f aca="false">ROW()-1</f>
        <v>1256</v>
      </c>
      <c r="B1257" s="0" t="str">
        <f aca="false">'Analysis Data'!A1257</f>
        <v>Pacific Coast Highway (aka El Segundo)</v>
      </c>
      <c r="C1257" s="5" t="n">
        <f aca="false">'Analysis Data'!B1257</f>
        <v>40309</v>
      </c>
      <c r="D1257" s="6" t="n">
        <f aca="false">'Analysis Data'!C1257</f>
        <v>215.175613913591</v>
      </c>
      <c r="E1257" s="15" t="n">
        <f aca="false">SUMPRODUCT('Final Model'!$B$45:$I$45,'Analysis Data'!N1257:U1257)</f>
        <v>308.613091749362</v>
      </c>
      <c r="F1257" s="15" t="n">
        <f aca="false">D1257-E1257</f>
        <v>-93.4374778357709</v>
      </c>
      <c r="G1257" s="13" t="n">
        <f aca="false">F1257/'Final Model'!$B$21</f>
        <v>-1.90564199898106</v>
      </c>
      <c r="H1257" s="6" t="n">
        <f aca="false">F1257^2</f>
        <v>8730.56226431018</v>
      </c>
      <c r="J1257" s="6" t="n">
        <f aca="false">A1257</f>
        <v>1256</v>
      </c>
      <c r="K1257" s="13" t="n">
        <f aca="false">SMALL($G$2:$G$1387,J1257)</f>
        <v>1.31077244487565</v>
      </c>
      <c r="L1257" s="18" t="n">
        <f aca="false">(J1257-0.5)/1386</f>
        <v>0.905844155844156</v>
      </c>
      <c r="M1257" s="18" t="n">
        <f aca="false">_xlfn.NORM.DIST(K1257,AVERAGE($G$2:$G$1387),_xlfn.STDEV.S($G$2:$G$1387),TRUE())</f>
        <v>0.905593298190219</v>
      </c>
    </row>
    <row r="1258" customFormat="false" ht="15" hidden="false" customHeight="false" outlineLevel="0" collapsed="false">
      <c r="A1258" s="0" t="n">
        <f aca="false">ROW()-1</f>
        <v>1257</v>
      </c>
      <c r="B1258" s="0" t="str">
        <f aca="false">'Analysis Data'!A1258</f>
        <v>Pacific Coast Highway (aka El Segundo)</v>
      </c>
      <c r="C1258" s="5" t="n">
        <f aca="false">'Analysis Data'!B1258</f>
        <v>40316</v>
      </c>
      <c r="D1258" s="6" t="n">
        <f aca="false">'Analysis Data'!C1258</f>
        <v>359.241251930267</v>
      </c>
      <c r="E1258" s="15" t="n">
        <f aca="false">SUMPRODUCT('Final Model'!$B$45:$I$45,'Analysis Data'!N1258:U1258)</f>
        <v>314.115888152789</v>
      </c>
      <c r="F1258" s="15" t="n">
        <f aca="false">D1258-E1258</f>
        <v>45.125363777478</v>
      </c>
      <c r="G1258" s="13" t="n">
        <f aca="false">F1258/'Final Model'!$B$21</f>
        <v>0.9203243754589</v>
      </c>
      <c r="H1258" s="6" t="n">
        <f aca="false">F1258^2</f>
        <v>2036.29845604972</v>
      </c>
      <c r="J1258" s="6" t="n">
        <f aca="false">A1258</f>
        <v>1257</v>
      </c>
      <c r="K1258" s="13" t="n">
        <f aca="false">SMALL($G$2:$G$1387,J1258)</f>
        <v>1.3107744830998</v>
      </c>
      <c r="L1258" s="18" t="n">
        <f aca="false">(J1258-0.5)/1386</f>
        <v>0.906565656565657</v>
      </c>
      <c r="M1258" s="18" t="n">
        <f aca="false">_xlfn.NORM.DIST(K1258,AVERAGE($G$2:$G$1387),_xlfn.STDEV.S($G$2:$G$1387),TRUE())</f>
        <v>0.905593641970148</v>
      </c>
    </row>
    <row r="1259" customFormat="false" ht="15" hidden="false" customHeight="false" outlineLevel="0" collapsed="false">
      <c r="A1259" s="0" t="n">
        <f aca="false">ROW()-1</f>
        <v>1258</v>
      </c>
      <c r="B1259" s="0" t="str">
        <f aca="false">'Analysis Data'!A1259</f>
        <v>Pacific Coast Highway (aka El Segundo)</v>
      </c>
      <c r="C1259" s="5" t="n">
        <f aca="false">'Analysis Data'!B1259</f>
        <v>40323</v>
      </c>
      <c r="D1259" s="6" t="n">
        <f aca="false">'Analysis Data'!C1259</f>
        <v>184.327155105049</v>
      </c>
      <c r="E1259" s="15" t="n">
        <f aca="false">SUMPRODUCT('Final Model'!$B$45:$I$45,'Analysis Data'!N1259:U1259)</f>
        <v>240.198331952836</v>
      </c>
      <c r="F1259" s="15" t="n">
        <f aca="false">D1259-E1259</f>
        <v>-55.8711768477869</v>
      </c>
      <c r="G1259" s="13" t="n">
        <f aca="false">F1259/'Final Model'!$B$21</f>
        <v>-1.13948346637499</v>
      </c>
      <c r="H1259" s="6" t="n">
        <f aca="false">F1259^2</f>
        <v>3121.58840235668</v>
      </c>
      <c r="J1259" s="6" t="n">
        <f aca="false">A1259</f>
        <v>1258</v>
      </c>
      <c r="K1259" s="13" t="n">
        <f aca="false">SMALL($G$2:$G$1387,J1259)</f>
        <v>1.31368202214398</v>
      </c>
      <c r="L1259" s="18" t="n">
        <f aca="false">(J1259-0.5)/1386</f>
        <v>0.907287157287157</v>
      </c>
      <c r="M1259" s="18" t="n">
        <f aca="false">_xlfn.NORM.DIST(K1259,AVERAGE($G$2:$G$1387),_xlfn.STDEV.S($G$2:$G$1387),TRUE())</f>
        <v>0.90608310671831</v>
      </c>
    </row>
    <row r="1260" customFormat="false" ht="15" hidden="false" customHeight="false" outlineLevel="0" collapsed="false">
      <c r="A1260" s="0" t="n">
        <f aca="false">ROW()-1</f>
        <v>1259</v>
      </c>
      <c r="B1260" s="0" t="str">
        <f aca="false">'Analysis Data'!A1260</f>
        <v>Pacific Coast Highway (aka El Segundo)</v>
      </c>
      <c r="C1260" s="5" t="n">
        <f aca="false">'Analysis Data'!B1260</f>
        <v>40330</v>
      </c>
      <c r="D1260" s="6" t="n">
        <f aca="false">'Analysis Data'!C1260</f>
        <v>232.621919813079</v>
      </c>
      <c r="E1260" s="15" t="n">
        <f aca="false">SUMPRODUCT('Final Model'!$B$45:$I$45,'Analysis Data'!N1260:U1260)</f>
        <v>245.563213659436</v>
      </c>
      <c r="F1260" s="15" t="n">
        <f aca="false">D1260-E1260</f>
        <v>-12.9412938463571</v>
      </c>
      <c r="G1260" s="13" t="n">
        <f aca="false">F1260/'Final Model'!$B$21</f>
        <v>-0.263935560398142</v>
      </c>
      <c r="H1260" s="6" t="n">
        <f aca="false">F1260^2</f>
        <v>167.477086417759</v>
      </c>
      <c r="J1260" s="6" t="n">
        <f aca="false">A1260</f>
        <v>1259</v>
      </c>
      <c r="K1260" s="13" t="n">
        <f aca="false">SMALL($G$2:$G$1387,J1260)</f>
        <v>1.3140992073602</v>
      </c>
      <c r="L1260" s="18" t="n">
        <f aca="false">(J1260-0.5)/1386</f>
        <v>0.908008658008658</v>
      </c>
      <c r="M1260" s="18" t="n">
        <f aca="false">_xlfn.NORM.DIST(K1260,AVERAGE($G$2:$G$1387),_xlfn.STDEV.S($G$2:$G$1387),TRUE())</f>
        <v>0.906153183133717</v>
      </c>
    </row>
    <row r="1261" customFormat="false" ht="15" hidden="false" customHeight="false" outlineLevel="0" collapsed="false">
      <c r="A1261" s="0" t="n">
        <f aca="false">ROW()-1</f>
        <v>1260</v>
      </c>
      <c r="B1261" s="0" t="str">
        <f aca="false">'Analysis Data'!A1261</f>
        <v>Pacific Coast Highway (aka El Segundo)</v>
      </c>
      <c r="C1261" s="5" t="n">
        <f aca="false">'Analysis Data'!B1261</f>
        <v>40337</v>
      </c>
      <c r="D1261" s="6" t="n">
        <f aca="false">'Analysis Data'!C1261</f>
        <v>223.706830388597</v>
      </c>
      <c r="E1261" s="15" t="n">
        <f aca="false">SUMPRODUCT('Final Model'!$B$45:$I$45,'Analysis Data'!N1261:U1261)</f>
        <v>235.633355487838</v>
      </c>
      <c r="F1261" s="15" t="n">
        <f aca="false">D1261-E1261</f>
        <v>-11.9265250992407</v>
      </c>
      <c r="G1261" s="13" t="n">
        <f aca="false">F1261/'Final Model'!$B$21</f>
        <v>-0.243239518632575</v>
      </c>
      <c r="H1261" s="6" t="n">
        <f aca="false">F1261^2</f>
        <v>142.242000942818</v>
      </c>
      <c r="J1261" s="6" t="n">
        <f aca="false">A1261</f>
        <v>1260</v>
      </c>
      <c r="K1261" s="13" t="n">
        <f aca="false">SMALL($G$2:$G$1387,J1261)</f>
        <v>1.31728948382943</v>
      </c>
      <c r="L1261" s="18" t="n">
        <f aca="false">(J1261-0.5)/1386</f>
        <v>0.908730158730159</v>
      </c>
      <c r="M1261" s="18" t="n">
        <f aca="false">_xlfn.NORM.DIST(K1261,AVERAGE($G$2:$G$1387),_xlfn.STDEV.S($G$2:$G$1387),TRUE())</f>
        <v>0.906687792112717</v>
      </c>
    </row>
    <row r="1262" customFormat="false" ht="15" hidden="false" customHeight="false" outlineLevel="0" collapsed="false">
      <c r="A1262" s="0" t="n">
        <f aca="false">ROW()-1</f>
        <v>1261</v>
      </c>
      <c r="B1262" s="0" t="str">
        <f aca="false">'Analysis Data'!A1262</f>
        <v>Pacific Coast Highway (aka El Segundo)</v>
      </c>
      <c r="C1262" s="5" t="n">
        <f aca="false">'Analysis Data'!B1262</f>
        <v>40344</v>
      </c>
      <c r="D1262" s="6" t="n">
        <f aca="false">'Analysis Data'!C1262</f>
        <v>219.069300378575</v>
      </c>
      <c r="E1262" s="15" t="n">
        <f aca="false">SUMPRODUCT('Final Model'!$B$45:$I$45,'Analysis Data'!N1262:U1262)</f>
        <v>234.061127944002</v>
      </c>
      <c r="F1262" s="15" t="n">
        <f aca="false">D1262-E1262</f>
        <v>-14.9918275654267</v>
      </c>
      <c r="G1262" s="13" t="n">
        <f aca="false">F1262/'Final Model'!$B$21</f>
        <v>-0.305755858482964</v>
      </c>
      <c r="H1262" s="6" t="n">
        <f aca="false">F1262^2</f>
        <v>224.754893751487</v>
      </c>
      <c r="J1262" s="6" t="n">
        <f aca="false">A1262</f>
        <v>1261</v>
      </c>
      <c r="K1262" s="13" t="n">
        <f aca="false">SMALL($G$2:$G$1387,J1262)</f>
        <v>1.31931810691118</v>
      </c>
      <c r="L1262" s="18" t="n">
        <f aca="false">(J1262-0.5)/1386</f>
        <v>0.909451659451659</v>
      </c>
      <c r="M1262" s="18" t="n">
        <f aca="false">_xlfn.NORM.DIST(K1262,AVERAGE($G$2:$G$1387),_xlfn.STDEV.S($G$2:$G$1387),TRUE())</f>
        <v>0.907026565364476</v>
      </c>
    </row>
    <row r="1263" customFormat="false" ht="15" hidden="false" customHeight="false" outlineLevel="0" collapsed="false">
      <c r="A1263" s="0" t="n">
        <f aca="false">ROW()-1</f>
        <v>1262</v>
      </c>
      <c r="B1263" s="0" t="str">
        <f aca="false">'Analysis Data'!A1263</f>
        <v>Pacific Coast Highway (aka El Segundo)</v>
      </c>
      <c r="C1263" s="5" t="n">
        <f aca="false">'Analysis Data'!B1263</f>
        <v>40351</v>
      </c>
      <c r="D1263" s="6" t="n">
        <f aca="false">'Analysis Data'!C1263</f>
        <v>367.810425976205</v>
      </c>
      <c r="E1263" s="15" t="n">
        <f aca="false">SUMPRODUCT('Final Model'!$B$45:$I$45,'Analysis Data'!N1263:U1263)</f>
        <v>340.813824351801</v>
      </c>
      <c r="F1263" s="15" t="n">
        <f aca="false">D1263-E1263</f>
        <v>26.9966016244045</v>
      </c>
      <c r="G1263" s="13" t="n">
        <f aca="false">F1263/'Final Model'!$B$21</f>
        <v>0.550591251784949</v>
      </c>
      <c r="H1263" s="6" t="n">
        <f aca="false">F1263^2</f>
        <v>728.816499266799</v>
      </c>
      <c r="J1263" s="6" t="n">
        <f aca="false">A1263</f>
        <v>1262</v>
      </c>
      <c r="K1263" s="13" t="n">
        <f aca="false">SMALL($G$2:$G$1387,J1263)</f>
        <v>1.32060443792848</v>
      </c>
      <c r="L1263" s="18" t="n">
        <f aca="false">(J1263-0.5)/1386</f>
        <v>0.91017316017316</v>
      </c>
      <c r="M1263" s="18" t="n">
        <f aca="false">_xlfn.NORM.DIST(K1263,AVERAGE($G$2:$G$1387),_xlfn.STDEV.S($G$2:$G$1387),TRUE())</f>
        <v>0.907240906772808</v>
      </c>
    </row>
    <row r="1264" customFormat="false" ht="15" hidden="false" customHeight="false" outlineLevel="0" collapsed="false">
      <c r="A1264" s="0" t="n">
        <f aca="false">ROW()-1</f>
        <v>1263</v>
      </c>
      <c r="B1264" s="0" t="str">
        <f aca="false">'Analysis Data'!A1264</f>
        <v>Pacific Coast Highway (aka El Segundo)</v>
      </c>
      <c r="C1264" s="5" t="n">
        <f aca="false">'Analysis Data'!B1264</f>
        <v>40358</v>
      </c>
      <c r="D1264" s="6" t="n">
        <f aca="false">'Analysis Data'!C1264</f>
        <v>364.882690578809</v>
      </c>
      <c r="E1264" s="15" t="n">
        <f aca="false">SUMPRODUCT('Final Model'!$B$45:$I$45,'Analysis Data'!N1264:U1264)</f>
        <v>307.4309202066</v>
      </c>
      <c r="F1264" s="15" t="n">
        <f aca="false">D1264-E1264</f>
        <v>57.4517703722092</v>
      </c>
      <c r="G1264" s="13" t="n">
        <f aca="false">F1264/'Final Model'!$B$21</f>
        <v>1.17171941144995</v>
      </c>
      <c r="H1264" s="6" t="n">
        <f aca="false">F1264^2</f>
        <v>3300.70591890106</v>
      </c>
      <c r="J1264" s="6" t="n">
        <f aca="false">A1264</f>
        <v>1263</v>
      </c>
      <c r="K1264" s="13" t="n">
        <f aca="false">SMALL($G$2:$G$1387,J1264)</f>
        <v>1.3269699648939</v>
      </c>
      <c r="L1264" s="18" t="n">
        <f aca="false">(J1264-0.5)/1386</f>
        <v>0.910894660894661</v>
      </c>
      <c r="M1264" s="18" t="n">
        <f aca="false">_xlfn.NORM.DIST(K1264,AVERAGE($G$2:$G$1387),_xlfn.STDEV.S($G$2:$G$1387),TRUE())</f>
        <v>0.908296218299489</v>
      </c>
    </row>
    <row r="1265" customFormat="false" ht="15" hidden="false" customHeight="false" outlineLevel="0" collapsed="false">
      <c r="A1265" s="0" t="n">
        <f aca="false">ROW()-1</f>
        <v>1264</v>
      </c>
      <c r="B1265" s="0" t="str">
        <f aca="false">'Analysis Data'!A1265</f>
        <v>Pacific Coast Highway (aka El Segundo)</v>
      </c>
      <c r="C1265" s="5" t="n">
        <f aca="false">'Analysis Data'!B1265</f>
        <v>40365</v>
      </c>
      <c r="D1265" s="6" t="n">
        <f aca="false">'Analysis Data'!C1265</f>
        <v>301.491053629619</v>
      </c>
      <c r="E1265" s="15" t="n">
        <f aca="false">SUMPRODUCT('Final Model'!$B$45:$I$45,'Analysis Data'!N1265:U1265)</f>
        <v>314.947271183712</v>
      </c>
      <c r="F1265" s="15" t="n">
        <f aca="false">D1265-E1265</f>
        <v>-13.456217554093</v>
      </c>
      <c r="G1265" s="13" t="n">
        <f aca="false">F1265/'Final Model'!$B$21</f>
        <v>-0.274437344761986</v>
      </c>
      <c r="H1265" s="6" t="n">
        <f aca="false">F1265^2</f>
        <v>181.069790863081</v>
      </c>
      <c r="J1265" s="6" t="n">
        <f aca="false">A1265</f>
        <v>1264</v>
      </c>
      <c r="K1265" s="13" t="n">
        <f aca="false">SMALL($G$2:$G$1387,J1265)</f>
        <v>1.32903541322063</v>
      </c>
      <c r="L1265" s="18" t="n">
        <f aca="false">(J1265-0.5)/1386</f>
        <v>0.911616161616162</v>
      </c>
      <c r="M1265" s="18" t="n">
        <f aca="false">_xlfn.NORM.DIST(K1265,AVERAGE($G$2:$G$1387),_xlfn.STDEV.S($G$2:$G$1387),TRUE())</f>
        <v>0.908636720891713</v>
      </c>
    </row>
    <row r="1266" customFormat="false" ht="15" hidden="false" customHeight="false" outlineLevel="0" collapsed="false">
      <c r="A1266" s="0" t="n">
        <f aca="false">ROW()-1</f>
        <v>1265</v>
      </c>
      <c r="B1266" s="0" t="str">
        <f aca="false">'Analysis Data'!A1266</f>
        <v>Pacific Coast Highway (aka El Segundo)</v>
      </c>
      <c r="C1266" s="5" t="n">
        <f aca="false">'Analysis Data'!B1266</f>
        <v>40372</v>
      </c>
      <c r="D1266" s="6" t="n">
        <f aca="false">'Analysis Data'!C1266</f>
        <v>430.635572688579</v>
      </c>
      <c r="E1266" s="15" t="n">
        <f aca="false">SUMPRODUCT('Final Model'!$B$45:$I$45,'Analysis Data'!N1266:U1266)</f>
        <v>315.28470248264</v>
      </c>
      <c r="F1266" s="15" t="n">
        <f aca="false">D1266-E1266</f>
        <v>115.35087020594</v>
      </c>
      <c r="G1266" s="13" t="n">
        <f aca="false">F1266/'Final Model'!$B$21</f>
        <v>2.35256203372495</v>
      </c>
      <c r="H1266" s="6" t="n">
        <f aca="false">F1266^2</f>
        <v>13305.8232572675</v>
      </c>
      <c r="J1266" s="6" t="n">
        <f aca="false">A1266</f>
        <v>1265</v>
      </c>
      <c r="K1266" s="13" t="n">
        <f aca="false">SMALL($G$2:$G$1387,J1266)</f>
        <v>1.33035281976852</v>
      </c>
      <c r="L1266" s="18" t="n">
        <f aca="false">(J1266-0.5)/1386</f>
        <v>0.912337662337662</v>
      </c>
      <c r="M1266" s="18" t="n">
        <f aca="false">_xlfn.NORM.DIST(K1266,AVERAGE($G$2:$G$1387),_xlfn.STDEV.S($G$2:$G$1387),TRUE())</f>
        <v>0.908853413835523</v>
      </c>
    </row>
    <row r="1267" customFormat="false" ht="15" hidden="false" customHeight="false" outlineLevel="0" collapsed="false">
      <c r="A1267" s="0" t="n">
        <f aca="false">ROW()-1</f>
        <v>1266</v>
      </c>
      <c r="B1267" s="0" t="str">
        <f aca="false">'Analysis Data'!A1267</f>
        <v>Pasadena</v>
      </c>
      <c r="C1267" s="5" t="n">
        <f aca="false">'Analysis Data'!B1267</f>
        <v>40302</v>
      </c>
      <c r="D1267" s="6" t="n">
        <f aca="false">'Analysis Data'!C1267</f>
        <v>299.200909874376</v>
      </c>
      <c r="E1267" s="15" t="n">
        <f aca="false">SUMPRODUCT('Final Model'!$B$45:$I$45,'Analysis Data'!N1267:U1267)</f>
        <v>302.682759785768</v>
      </c>
      <c r="F1267" s="15" t="n">
        <f aca="false">D1267-E1267</f>
        <v>-3.48184991139289</v>
      </c>
      <c r="G1267" s="13" t="n">
        <f aca="false">F1267/'Final Model'!$B$21</f>
        <v>-0.0710117565133871</v>
      </c>
      <c r="H1267" s="6" t="n">
        <f aca="false">F1267^2</f>
        <v>12.1232788054666</v>
      </c>
      <c r="J1267" s="6" t="n">
        <f aca="false">A1267</f>
        <v>1266</v>
      </c>
      <c r="K1267" s="13" t="n">
        <f aca="false">SMALL($G$2:$G$1387,J1267)</f>
        <v>1.34181057131091</v>
      </c>
      <c r="L1267" s="18" t="n">
        <f aca="false">(J1267-0.5)/1386</f>
        <v>0.913059163059163</v>
      </c>
      <c r="M1267" s="18" t="n">
        <f aca="false">_xlfn.NORM.DIST(K1267,AVERAGE($G$2:$G$1387),_xlfn.STDEV.S($G$2:$G$1387),TRUE())</f>
        <v>0.910721986063188</v>
      </c>
    </row>
    <row r="1268" customFormat="false" ht="15" hidden="false" customHeight="false" outlineLevel="0" collapsed="false">
      <c r="A1268" s="0" t="n">
        <f aca="false">ROW()-1</f>
        <v>1267</v>
      </c>
      <c r="B1268" s="0" t="str">
        <f aca="false">'Analysis Data'!A1268</f>
        <v>Pasadena</v>
      </c>
      <c r="C1268" s="5" t="n">
        <f aca="false">'Analysis Data'!B1268</f>
        <v>40309</v>
      </c>
      <c r="D1268" s="6" t="n">
        <f aca="false">'Analysis Data'!C1268</f>
        <v>268.365065114903</v>
      </c>
      <c r="E1268" s="15" t="n">
        <f aca="false">SUMPRODUCT('Final Model'!$B$45:$I$45,'Analysis Data'!N1268:U1268)</f>
        <v>309.824233549527</v>
      </c>
      <c r="F1268" s="15" t="n">
        <f aca="false">D1268-E1268</f>
        <v>-41.4591684346248</v>
      </c>
      <c r="G1268" s="13" t="n">
        <f aca="false">F1268/'Final Model'!$B$21</f>
        <v>-0.845552924177975</v>
      </c>
      <c r="H1268" s="6" t="n">
        <f aca="false">F1268^2</f>
        <v>1718.86264729059</v>
      </c>
      <c r="J1268" s="6" t="n">
        <f aca="false">A1268</f>
        <v>1267</v>
      </c>
      <c r="K1268" s="13" t="n">
        <f aca="false">SMALL($G$2:$G$1387,J1268)</f>
        <v>1.34372338442296</v>
      </c>
      <c r="L1268" s="18" t="n">
        <f aca="false">(J1268-0.5)/1386</f>
        <v>0.913780663780664</v>
      </c>
      <c r="M1268" s="18" t="n">
        <f aca="false">_xlfn.NORM.DIST(K1268,AVERAGE($G$2:$G$1387),_xlfn.STDEV.S($G$2:$G$1387),TRUE())</f>
        <v>0.911031138428056</v>
      </c>
    </row>
    <row r="1269" customFormat="false" ht="15" hidden="false" customHeight="false" outlineLevel="0" collapsed="false">
      <c r="A1269" s="0" t="n">
        <f aca="false">ROW()-1</f>
        <v>1268</v>
      </c>
      <c r="B1269" s="0" t="str">
        <f aca="false">'Analysis Data'!A1269</f>
        <v>Pasadena</v>
      </c>
      <c r="C1269" s="5" t="n">
        <f aca="false">'Analysis Data'!B1269</f>
        <v>40316</v>
      </c>
      <c r="D1269" s="6" t="n">
        <f aca="false">'Analysis Data'!C1269</f>
        <v>198.949257112747</v>
      </c>
      <c r="E1269" s="15" t="n">
        <f aca="false">SUMPRODUCT('Final Model'!$B$45:$I$45,'Analysis Data'!N1269:U1269)</f>
        <v>231.22008518935</v>
      </c>
      <c r="F1269" s="15" t="n">
        <f aca="false">D1269-E1269</f>
        <v>-32.2708280766027</v>
      </c>
      <c r="G1269" s="13" t="n">
        <f aca="false">F1269/'Final Model'!$B$21</f>
        <v>-0.658158233174487</v>
      </c>
      <c r="H1269" s="6" t="n">
        <f aca="false">F1269^2</f>
        <v>1041.40634474965</v>
      </c>
      <c r="J1269" s="6" t="n">
        <f aca="false">A1269</f>
        <v>1268</v>
      </c>
      <c r="K1269" s="13" t="n">
        <f aca="false">SMALL($G$2:$G$1387,J1269)</f>
        <v>1.35190273998189</v>
      </c>
      <c r="L1269" s="18" t="n">
        <f aca="false">(J1269-0.5)/1386</f>
        <v>0.914502164502165</v>
      </c>
      <c r="M1269" s="18" t="n">
        <f aca="false">_xlfn.NORM.DIST(K1269,AVERAGE($G$2:$G$1387),_xlfn.STDEV.S($G$2:$G$1387),TRUE())</f>
        <v>0.912344114797507</v>
      </c>
    </row>
    <row r="1270" customFormat="false" ht="15" hidden="false" customHeight="false" outlineLevel="0" collapsed="false">
      <c r="A1270" s="0" t="n">
        <f aca="false">ROW()-1</f>
        <v>1269</v>
      </c>
      <c r="B1270" s="0" t="str">
        <f aca="false">'Analysis Data'!A1270</f>
        <v>Pasadena</v>
      </c>
      <c r="C1270" s="5" t="n">
        <f aca="false">'Analysis Data'!B1270</f>
        <v>40323</v>
      </c>
      <c r="D1270" s="6" t="n">
        <f aca="false">'Analysis Data'!C1270</f>
        <v>199.739564726052</v>
      </c>
      <c r="E1270" s="15" t="n">
        <f aca="false">SUMPRODUCT('Final Model'!$B$45:$I$45,'Analysis Data'!N1270:U1270)</f>
        <v>241.733125498077</v>
      </c>
      <c r="F1270" s="15" t="n">
        <f aca="false">D1270-E1270</f>
        <v>-41.9935607720248</v>
      </c>
      <c r="G1270" s="13" t="n">
        <f aca="false">F1270/'Final Model'!$B$21</f>
        <v>-0.856451768043101</v>
      </c>
      <c r="H1270" s="6" t="n">
        <f aca="false">F1270^2</f>
        <v>1763.45914631374</v>
      </c>
      <c r="J1270" s="6" t="n">
        <f aca="false">A1270</f>
        <v>1269</v>
      </c>
      <c r="K1270" s="13" t="n">
        <f aca="false">SMALL($G$2:$G$1387,J1270)</f>
        <v>1.35814961854692</v>
      </c>
      <c r="L1270" s="18" t="n">
        <f aca="false">(J1270-0.5)/1386</f>
        <v>0.915223665223665</v>
      </c>
      <c r="M1270" s="18" t="n">
        <f aca="false">_xlfn.NORM.DIST(K1270,AVERAGE($G$2:$G$1387),_xlfn.STDEV.S($G$2:$G$1387),TRUE())</f>
        <v>0.913337106217243</v>
      </c>
    </row>
    <row r="1271" customFormat="false" ht="15" hidden="false" customHeight="false" outlineLevel="0" collapsed="false">
      <c r="A1271" s="0" t="n">
        <f aca="false">ROW()-1</f>
        <v>1270</v>
      </c>
      <c r="B1271" s="0" t="str">
        <f aca="false">'Analysis Data'!A1271</f>
        <v>Pasadena</v>
      </c>
      <c r="C1271" s="5" t="n">
        <f aca="false">'Analysis Data'!B1271</f>
        <v>40330</v>
      </c>
      <c r="D1271" s="6" t="n">
        <f aca="false">'Analysis Data'!C1271</f>
        <v>285.301753252906</v>
      </c>
      <c r="E1271" s="15" t="n">
        <f aca="false">SUMPRODUCT('Final Model'!$B$45:$I$45,'Analysis Data'!N1271:U1271)</f>
        <v>236.263822682793</v>
      </c>
      <c r="F1271" s="15" t="n">
        <f aca="false">D1271-E1271</f>
        <v>49.0379305701131</v>
      </c>
      <c r="G1271" s="13" t="n">
        <f aca="false">F1271/'Final Model'!$B$21</f>
        <v>1.00012053195372</v>
      </c>
      <c r="H1271" s="6" t="n">
        <f aca="false">F1271^2</f>
        <v>2404.71863459924</v>
      </c>
      <c r="J1271" s="6" t="n">
        <f aca="false">A1271</f>
        <v>1270</v>
      </c>
      <c r="K1271" s="13" t="n">
        <f aca="false">SMALL($G$2:$G$1387,J1271)</f>
        <v>1.36075956246216</v>
      </c>
      <c r="L1271" s="18" t="n">
        <f aca="false">(J1271-0.5)/1386</f>
        <v>0.915945165945166</v>
      </c>
      <c r="M1271" s="18" t="n">
        <f aca="false">_xlfn.NORM.DIST(K1271,AVERAGE($G$2:$G$1387),_xlfn.STDEV.S($G$2:$G$1387),TRUE())</f>
        <v>0.913749478590235</v>
      </c>
    </row>
    <row r="1272" customFormat="false" ht="15" hidden="false" customHeight="false" outlineLevel="0" collapsed="false">
      <c r="A1272" s="0" t="n">
        <f aca="false">ROW()-1</f>
        <v>1271</v>
      </c>
      <c r="B1272" s="0" t="str">
        <f aca="false">'Analysis Data'!A1272</f>
        <v>Pasadena</v>
      </c>
      <c r="C1272" s="5" t="n">
        <f aca="false">'Analysis Data'!B1272</f>
        <v>40337</v>
      </c>
      <c r="D1272" s="6" t="n">
        <f aca="false">'Analysis Data'!C1272</f>
        <v>199.936802158148</v>
      </c>
      <c r="E1272" s="15" t="n">
        <f aca="false">SUMPRODUCT('Final Model'!$B$45:$I$45,'Analysis Data'!N1272:U1272)</f>
        <v>242.326815433189</v>
      </c>
      <c r="F1272" s="15" t="n">
        <f aca="false">D1272-E1272</f>
        <v>-42.3900132750413</v>
      </c>
      <c r="G1272" s="13" t="n">
        <f aca="false">F1272/'Final Model'!$B$21</f>
        <v>-0.86453735166381</v>
      </c>
      <c r="H1272" s="6" t="n">
        <f aca="false">F1272^2</f>
        <v>1796.91322545818</v>
      </c>
      <c r="J1272" s="6" t="n">
        <f aca="false">A1272</f>
        <v>1271</v>
      </c>
      <c r="K1272" s="13" t="n">
        <f aca="false">SMALL($G$2:$G$1387,J1272)</f>
        <v>1.36240082797382</v>
      </c>
      <c r="L1272" s="18" t="n">
        <f aca="false">(J1272-0.5)/1386</f>
        <v>0.916666666666667</v>
      </c>
      <c r="M1272" s="18" t="n">
        <f aca="false">_xlfn.NORM.DIST(K1272,AVERAGE($G$2:$G$1387),_xlfn.STDEV.S($G$2:$G$1387),TRUE())</f>
        <v>0.914008046628711</v>
      </c>
    </row>
    <row r="1273" customFormat="false" ht="15" hidden="false" customHeight="false" outlineLevel="0" collapsed="false">
      <c r="A1273" s="0" t="n">
        <f aca="false">ROW()-1</f>
        <v>1272</v>
      </c>
      <c r="B1273" s="0" t="str">
        <f aca="false">'Analysis Data'!A1273</f>
        <v>Pasadena</v>
      </c>
      <c r="C1273" s="5" t="n">
        <f aca="false">'Analysis Data'!B1273</f>
        <v>40344</v>
      </c>
      <c r="D1273" s="6" t="n">
        <f aca="false">'Analysis Data'!C1273</f>
        <v>162.82189992113</v>
      </c>
      <c r="E1273" s="15" t="n">
        <f aca="false">SUMPRODUCT('Final Model'!$B$45:$I$45,'Analysis Data'!N1273:U1273)</f>
        <v>230.337431129652</v>
      </c>
      <c r="F1273" s="15" t="n">
        <f aca="false">D1273-E1273</f>
        <v>-67.5155312085226</v>
      </c>
      <c r="G1273" s="13" t="n">
        <f aca="false">F1273/'Final Model'!$B$21</f>
        <v>-1.37696815918571</v>
      </c>
      <c r="H1273" s="6" t="n">
        <f aca="false">F1273^2</f>
        <v>4558.34695436899</v>
      </c>
      <c r="J1273" s="6" t="n">
        <f aca="false">A1273</f>
        <v>1272</v>
      </c>
      <c r="K1273" s="13" t="n">
        <f aca="false">SMALL($G$2:$G$1387,J1273)</f>
        <v>1.36592326691264</v>
      </c>
      <c r="L1273" s="18" t="n">
        <f aca="false">(J1273-0.5)/1386</f>
        <v>0.917388167388167</v>
      </c>
      <c r="M1273" s="18" t="n">
        <f aca="false">_xlfn.NORM.DIST(K1273,AVERAGE($G$2:$G$1387),_xlfn.STDEV.S($G$2:$G$1387),TRUE())</f>
        <v>0.914561019335255</v>
      </c>
    </row>
    <row r="1274" customFormat="false" ht="15" hidden="false" customHeight="false" outlineLevel="0" collapsed="false">
      <c r="A1274" s="0" t="n">
        <f aca="false">ROW()-1</f>
        <v>1273</v>
      </c>
      <c r="B1274" s="0" t="str">
        <f aca="false">'Analysis Data'!A1274</f>
        <v>Pasadena</v>
      </c>
      <c r="C1274" s="5" t="n">
        <f aca="false">'Analysis Data'!B1274</f>
        <v>40351</v>
      </c>
      <c r="D1274" s="6" t="n">
        <f aca="false">'Analysis Data'!C1274</f>
        <v>289.621913536735</v>
      </c>
      <c r="E1274" s="15" t="n">
        <f aca="false">SUMPRODUCT('Final Model'!$B$45:$I$45,'Analysis Data'!N1274:U1274)</f>
        <v>234.241477933858</v>
      </c>
      <c r="F1274" s="15" t="n">
        <f aca="false">D1274-E1274</f>
        <v>55.3804356028767</v>
      </c>
      <c r="G1274" s="13" t="n">
        <f aca="false">F1274/'Final Model'!$B$21</f>
        <v>1.12947487936479</v>
      </c>
      <c r="H1274" s="6" t="n">
        <f aca="false">F1274^2</f>
        <v>3066.99264756437</v>
      </c>
      <c r="J1274" s="6" t="n">
        <f aca="false">A1274</f>
        <v>1273</v>
      </c>
      <c r="K1274" s="13" t="n">
        <f aca="false">SMALL($G$2:$G$1387,J1274)</f>
        <v>1.36844183083743</v>
      </c>
      <c r="L1274" s="18" t="n">
        <f aca="false">(J1274-0.5)/1386</f>
        <v>0.918109668109668</v>
      </c>
      <c r="M1274" s="18" t="n">
        <f aca="false">_xlfn.NORM.DIST(K1274,AVERAGE($G$2:$G$1387),_xlfn.STDEV.S($G$2:$G$1387),TRUE())</f>
        <v>0.914954762052726</v>
      </c>
    </row>
    <row r="1275" customFormat="false" ht="15" hidden="false" customHeight="false" outlineLevel="0" collapsed="false">
      <c r="A1275" s="0" t="n">
        <f aca="false">ROW()-1</f>
        <v>1274</v>
      </c>
      <c r="B1275" s="0" t="str">
        <f aca="false">'Analysis Data'!A1275</f>
        <v>Pasadena</v>
      </c>
      <c r="C1275" s="5" t="n">
        <f aca="false">'Analysis Data'!B1275</f>
        <v>40358</v>
      </c>
      <c r="D1275" s="6" t="n">
        <f aca="false">'Analysis Data'!C1275</f>
        <v>347.110378621595</v>
      </c>
      <c r="E1275" s="15" t="n">
        <f aca="false">SUMPRODUCT('Final Model'!$B$45:$I$45,'Analysis Data'!N1275:U1275)</f>
        <v>341.656164886431</v>
      </c>
      <c r="F1275" s="15" t="n">
        <f aca="false">D1275-E1275</f>
        <v>5.45421373516456</v>
      </c>
      <c r="G1275" s="13" t="n">
        <f aca="false">F1275/'Final Model'!$B$21</f>
        <v>0.111237792435038</v>
      </c>
      <c r="H1275" s="6" t="n">
        <f aca="false">F1275^2</f>
        <v>29.7484474688577</v>
      </c>
      <c r="J1275" s="6" t="n">
        <f aca="false">A1275</f>
        <v>1274</v>
      </c>
      <c r="K1275" s="13" t="n">
        <f aca="false">SMALL($G$2:$G$1387,J1275)</f>
        <v>1.3711161052562</v>
      </c>
      <c r="L1275" s="18" t="n">
        <f aca="false">(J1275-0.5)/1386</f>
        <v>0.918831168831169</v>
      </c>
      <c r="M1275" s="18" t="n">
        <f aca="false">_xlfn.NORM.DIST(K1275,AVERAGE($G$2:$G$1387),_xlfn.STDEV.S($G$2:$G$1387),TRUE())</f>
        <v>0.915371357565521</v>
      </c>
    </row>
    <row r="1276" customFormat="false" ht="15" hidden="false" customHeight="false" outlineLevel="0" collapsed="false">
      <c r="A1276" s="0" t="n">
        <f aca="false">ROW()-1</f>
        <v>1275</v>
      </c>
      <c r="B1276" s="0" t="str">
        <f aca="false">'Analysis Data'!A1276</f>
        <v>Pasadena</v>
      </c>
      <c r="C1276" s="5" t="n">
        <f aca="false">'Analysis Data'!B1276</f>
        <v>40365</v>
      </c>
      <c r="D1276" s="6" t="n">
        <f aca="false">'Analysis Data'!C1276</f>
        <v>299.168866548079</v>
      </c>
      <c r="E1276" s="15" t="n">
        <f aca="false">SUMPRODUCT('Final Model'!$B$45:$I$45,'Analysis Data'!N1276:U1276)</f>
        <v>316.763148032633</v>
      </c>
      <c r="F1276" s="15" t="n">
        <f aca="false">D1276-E1276</f>
        <v>-17.5942814845541</v>
      </c>
      <c r="G1276" s="13" t="n">
        <f aca="false">F1276/'Final Model'!$B$21</f>
        <v>-0.358832478310168</v>
      </c>
      <c r="H1276" s="6" t="n">
        <f aca="false">F1276^2</f>
        <v>309.558740957722</v>
      </c>
      <c r="J1276" s="6" t="n">
        <f aca="false">A1276</f>
        <v>1275</v>
      </c>
      <c r="K1276" s="13" t="n">
        <f aca="false">SMALL($G$2:$G$1387,J1276)</f>
        <v>1.37888136406505</v>
      </c>
      <c r="L1276" s="18" t="n">
        <f aca="false">(J1276-0.5)/1386</f>
        <v>0.91955266955267</v>
      </c>
      <c r="M1276" s="18" t="n">
        <f aca="false">_xlfn.NORM.DIST(K1276,AVERAGE($G$2:$G$1387),_xlfn.STDEV.S($G$2:$G$1387),TRUE())</f>
        <v>0.916572345186316</v>
      </c>
    </row>
    <row r="1277" customFormat="false" ht="15" hidden="false" customHeight="false" outlineLevel="0" collapsed="false">
      <c r="A1277" s="0" t="n">
        <f aca="false">ROW()-1</f>
        <v>1276</v>
      </c>
      <c r="B1277" s="0" t="str">
        <f aca="false">'Analysis Data'!A1277</f>
        <v>Pasadena</v>
      </c>
      <c r="C1277" s="5" t="n">
        <f aca="false">'Analysis Data'!B1277</f>
        <v>40372</v>
      </c>
      <c r="D1277" s="6" t="n">
        <f aca="false">'Analysis Data'!C1277</f>
        <v>318.749247601807</v>
      </c>
      <c r="E1277" s="15" t="n">
        <f aca="false">SUMPRODUCT('Final Model'!$B$45:$I$45,'Analysis Data'!N1277:U1277)</f>
        <v>315.28470248264</v>
      </c>
      <c r="F1277" s="15" t="n">
        <f aca="false">D1277-E1277</f>
        <v>3.46454511916721</v>
      </c>
      <c r="G1277" s="13" t="n">
        <f aca="false">F1277/'Final Model'!$B$21</f>
        <v>0.0706588281209186</v>
      </c>
      <c r="H1277" s="6" t="n">
        <f aca="false">F1277^2</f>
        <v>12.0030728827454</v>
      </c>
      <c r="J1277" s="6" t="n">
        <f aca="false">A1277</f>
        <v>1276</v>
      </c>
      <c r="K1277" s="13" t="n">
        <f aca="false">SMALL($G$2:$G$1387,J1277)</f>
        <v>1.38255767485017</v>
      </c>
      <c r="L1277" s="18" t="n">
        <f aca="false">(J1277-0.5)/1386</f>
        <v>0.92027417027417</v>
      </c>
      <c r="M1277" s="18" t="n">
        <f aca="false">_xlfn.NORM.DIST(K1277,AVERAGE($G$2:$G$1387),_xlfn.STDEV.S($G$2:$G$1387),TRUE())</f>
        <v>0.917136441633183</v>
      </c>
    </row>
    <row r="1278" customFormat="false" ht="15" hidden="false" customHeight="false" outlineLevel="0" collapsed="false">
      <c r="A1278" s="0" t="n">
        <f aca="false">ROW()-1</f>
        <v>1277</v>
      </c>
      <c r="B1278" s="0" t="str">
        <f aca="false">'Analysis Data'!A1278</f>
        <v>Thousand Oaks</v>
      </c>
      <c r="C1278" s="5" t="n">
        <f aca="false">'Analysis Data'!B1278</f>
        <v>40302</v>
      </c>
      <c r="D1278" s="6" t="n">
        <f aca="false">'Analysis Data'!C1278</f>
        <v>333.132655097278</v>
      </c>
      <c r="E1278" s="15" t="n">
        <f aca="false">SUMPRODUCT('Final Model'!$B$45:$I$45,'Analysis Data'!N1278:U1278)</f>
        <v>302.927941466566</v>
      </c>
      <c r="F1278" s="15" t="n">
        <f aca="false">D1278-E1278</f>
        <v>30.2047136307118</v>
      </c>
      <c r="G1278" s="13" t="n">
        <f aca="false">F1278/'Final Model'!$B$21</f>
        <v>0.616020168727676</v>
      </c>
      <c r="H1278" s="6" t="n">
        <f aca="false">F1278^2</f>
        <v>912.324725513308</v>
      </c>
      <c r="J1278" s="6" t="n">
        <f aca="false">A1278</f>
        <v>1277</v>
      </c>
      <c r="K1278" s="13" t="n">
        <f aca="false">SMALL($G$2:$G$1387,J1278)</f>
        <v>1.38760538517672</v>
      </c>
      <c r="L1278" s="18" t="n">
        <f aca="false">(J1278-0.5)/1386</f>
        <v>0.920995670995671</v>
      </c>
      <c r="M1278" s="18" t="n">
        <f aca="false">_xlfn.NORM.DIST(K1278,AVERAGE($G$2:$G$1387),_xlfn.STDEV.S($G$2:$G$1387),TRUE())</f>
        <v>0.917906285588616</v>
      </c>
    </row>
    <row r="1279" customFormat="false" ht="15" hidden="false" customHeight="false" outlineLevel="0" collapsed="false">
      <c r="A1279" s="0" t="n">
        <f aca="false">ROW()-1</f>
        <v>1278</v>
      </c>
      <c r="B1279" s="0" t="str">
        <f aca="false">'Analysis Data'!A1279</f>
        <v>Thousand Oaks</v>
      </c>
      <c r="C1279" s="5" t="n">
        <f aca="false">'Analysis Data'!B1279</f>
        <v>40309</v>
      </c>
      <c r="D1279" s="6" t="n">
        <f aca="false">'Analysis Data'!C1279</f>
        <v>338.337628008382</v>
      </c>
      <c r="E1279" s="15" t="n">
        <f aca="false">SUMPRODUCT('Final Model'!$B$45:$I$45,'Analysis Data'!N1279:U1279)</f>
        <v>313.763220567748</v>
      </c>
      <c r="F1279" s="15" t="n">
        <f aca="false">D1279-E1279</f>
        <v>24.574407440634</v>
      </c>
      <c r="G1279" s="13" t="n">
        <f aca="false">F1279/'Final Model'!$B$21</f>
        <v>0.501190999624957</v>
      </c>
      <c r="H1279" s="6" t="n">
        <f aca="false">F1279^2</f>
        <v>603.901501058287</v>
      </c>
      <c r="J1279" s="6" t="n">
        <f aca="false">A1279</f>
        <v>1278</v>
      </c>
      <c r="K1279" s="13" t="n">
        <f aca="false">SMALL($G$2:$G$1387,J1279)</f>
        <v>1.40287665974127</v>
      </c>
      <c r="L1279" s="18" t="n">
        <f aca="false">(J1279-0.5)/1386</f>
        <v>0.921717171717172</v>
      </c>
      <c r="M1279" s="18" t="n">
        <f aca="false">_xlfn.NORM.DIST(K1279,AVERAGE($G$2:$G$1387),_xlfn.STDEV.S($G$2:$G$1387),TRUE())</f>
        <v>0.920202552401506</v>
      </c>
    </row>
    <row r="1280" customFormat="false" ht="15" hidden="false" customHeight="false" outlineLevel="0" collapsed="false">
      <c r="A1280" s="0" t="n">
        <f aca="false">ROW()-1</f>
        <v>1279</v>
      </c>
      <c r="B1280" s="0" t="str">
        <f aca="false">'Analysis Data'!A1280</f>
        <v>Thousand Oaks</v>
      </c>
      <c r="C1280" s="5" t="n">
        <f aca="false">'Analysis Data'!B1280</f>
        <v>40316</v>
      </c>
      <c r="D1280" s="6" t="n">
        <f aca="false">'Analysis Data'!C1280</f>
        <v>265.799995983037</v>
      </c>
      <c r="E1280" s="15" t="n">
        <f aca="false">SUMPRODUCT('Final Model'!$B$45:$I$45,'Analysis Data'!N1280:U1280)</f>
        <v>247.6279937014</v>
      </c>
      <c r="F1280" s="15" t="n">
        <f aca="false">D1280-E1280</f>
        <v>18.172002281637</v>
      </c>
      <c r="G1280" s="13" t="n">
        <f aca="false">F1280/'Final Model'!$B$21</f>
        <v>0.370614998987161</v>
      </c>
      <c r="H1280" s="6" t="n">
        <f aca="false">F1280^2</f>
        <v>330.22166692382</v>
      </c>
      <c r="J1280" s="6" t="n">
        <f aca="false">A1280</f>
        <v>1279</v>
      </c>
      <c r="K1280" s="13" t="n">
        <f aca="false">SMALL($G$2:$G$1387,J1280)</f>
        <v>1.40613444258917</v>
      </c>
      <c r="L1280" s="18" t="n">
        <f aca="false">(J1280-0.5)/1386</f>
        <v>0.922438672438672</v>
      </c>
      <c r="M1280" s="18" t="n">
        <f aca="false">_xlfn.NORM.DIST(K1280,AVERAGE($G$2:$G$1387),_xlfn.STDEV.S($G$2:$G$1387),TRUE())</f>
        <v>0.920686061086341</v>
      </c>
    </row>
    <row r="1281" customFormat="false" ht="15" hidden="false" customHeight="false" outlineLevel="0" collapsed="false">
      <c r="A1281" s="0" t="n">
        <f aca="false">ROW()-1</f>
        <v>1280</v>
      </c>
      <c r="B1281" s="0" t="str">
        <f aca="false">'Analysis Data'!A1281</f>
        <v>Thousand Oaks</v>
      </c>
      <c r="C1281" s="5" t="n">
        <f aca="false">'Analysis Data'!B1281</f>
        <v>40323</v>
      </c>
      <c r="D1281" s="6" t="n">
        <f aca="false">'Analysis Data'!C1281</f>
        <v>306.01776661582</v>
      </c>
      <c r="E1281" s="15" t="n">
        <f aca="false">SUMPRODUCT('Final Model'!$B$45:$I$45,'Analysis Data'!N1281:U1281)</f>
        <v>242.949199723593</v>
      </c>
      <c r="F1281" s="15" t="n">
        <f aca="false">D1281-E1281</f>
        <v>63.0685668922268</v>
      </c>
      <c r="G1281" s="13" t="n">
        <f aca="false">F1281/'Final Model'!$B$21</f>
        <v>1.28627305305284</v>
      </c>
      <c r="H1281" s="6" t="n">
        <f aca="false">F1281^2</f>
        <v>3977.64412983928</v>
      </c>
      <c r="J1281" s="6" t="n">
        <f aca="false">A1281</f>
        <v>1280</v>
      </c>
      <c r="K1281" s="13" t="n">
        <f aca="false">SMALL($G$2:$G$1387,J1281)</f>
        <v>1.4087279918473</v>
      </c>
      <c r="L1281" s="18" t="n">
        <f aca="false">(J1281-0.5)/1386</f>
        <v>0.923160173160173</v>
      </c>
      <c r="M1281" s="18" t="n">
        <f aca="false">_xlfn.NORM.DIST(K1281,AVERAGE($G$2:$G$1387),_xlfn.STDEV.S($G$2:$G$1387),TRUE())</f>
        <v>0.921069398386854</v>
      </c>
    </row>
    <row r="1282" customFormat="false" ht="15" hidden="false" customHeight="false" outlineLevel="0" collapsed="false">
      <c r="A1282" s="0" t="n">
        <f aca="false">ROW()-1</f>
        <v>1281</v>
      </c>
      <c r="B1282" s="0" t="str">
        <f aca="false">'Analysis Data'!A1282</f>
        <v>Thousand Oaks</v>
      </c>
      <c r="C1282" s="5" t="n">
        <f aca="false">'Analysis Data'!B1282</f>
        <v>40330</v>
      </c>
      <c r="D1282" s="6" t="n">
        <f aca="false">'Analysis Data'!C1282</f>
        <v>253.197269997935</v>
      </c>
      <c r="E1282" s="15" t="n">
        <f aca="false">SUMPRODUCT('Final Model'!$B$45:$I$45,'Analysis Data'!N1282:U1282)</f>
        <v>246.055463032093</v>
      </c>
      <c r="F1282" s="15" t="n">
        <f aca="false">D1282-E1282</f>
        <v>7.14180696584236</v>
      </c>
      <c r="G1282" s="13" t="n">
        <f aca="false">F1282/'Final Model'!$B$21</f>
        <v>0.145655978927916</v>
      </c>
      <c r="H1282" s="6" t="n">
        <f aca="false">F1282^2</f>
        <v>51.0054067373545</v>
      </c>
      <c r="J1282" s="6" t="n">
        <f aca="false">A1282</f>
        <v>1281</v>
      </c>
      <c r="K1282" s="13" t="n">
        <f aca="false">SMALL($G$2:$G$1387,J1282)</f>
        <v>1.4252283587705</v>
      </c>
      <c r="L1282" s="18" t="n">
        <f aca="false">(J1282-0.5)/1386</f>
        <v>0.923881673881674</v>
      </c>
      <c r="M1282" s="18" t="n">
        <f aca="false">_xlfn.NORM.DIST(K1282,AVERAGE($G$2:$G$1387),_xlfn.STDEV.S($G$2:$G$1387),TRUE())</f>
        <v>0.923475423114854</v>
      </c>
    </row>
    <row r="1283" customFormat="false" ht="15" hidden="false" customHeight="false" outlineLevel="0" collapsed="false">
      <c r="A1283" s="0" t="n">
        <f aca="false">ROW()-1</f>
        <v>1282</v>
      </c>
      <c r="B1283" s="0" t="str">
        <f aca="false">'Analysis Data'!A1283</f>
        <v>Thousand Oaks</v>
      </c>
      <c r="C1283" s="5" t="n">
        <f aca="false">'Analysis Data'!B1283</f>
        <v>40337</v>
      </c>
      <c r="D1283" s="6" t="n">
        <f aca="false">'Analysis Data'!C1283</f>
        <v>208.386839146861</v>
      </c>
      <c r="E1283" s="15" t="n">
        <f aca="false">SUMPRODUCT('Final Model'!$B$45:$I$45,'Analysis Data'!N1283:U1283)</f>
        <v>239.859910514651</v>
      </c>
      <c r="F1283" s="15" t="n">
        <f aca="false">D1283-E1283</f>
        <v>-31.4730713677899</v>
      </c>
      <c r="G1283" s="13" t="n">
        <f aca="false">F1283/'Final Model'!$B$21</f>
        <v>-0.641888116252512</v>
      </c>
      <c r="H1283" s="6" t="n">
        <f aca="false">F1283^2</f>
        <v>990.554221321999</v>
      </c>
      <c r="J1283" s="6" t="n">
        <f aca="false">A1283</f>
        <v>1282</v>
      </c>
      <c r="K1283" s="13" t="n">
        <f aca="false">SMALL($G$2:$G$1387,J1283)</f>
        <v>1.42887750720209</v>
      </c>
      <c r="L1283" s="18" t="n">
        <f aca="false">(J1283-0.5)/1386</f>
        <v>0.924603174603175</v>
      </c>
      <c r="M1283" s="18" t="n">
        <f aca="false">_xlfn.NORM.DIST(K1283,AVERAGE($G$2:$G$1387),_xlfn.STDEV.S($G$2:$G$1387),TRUE())</f>
        <v>0.923999916139253</v>
      </c>
    </row>
    <row r="1284" customFormat="false" ht="15" hidden="false" customHeight="false" outlineLevel="0" collapsed="false">
      <c r="A1284" s="0" t="n">
        <f aca="false">ROW()-1</f>
        <v>1283</v>
      </c>
      <c r="B1284" s="0" t="str">
        <f aca="false">'Analysis Data'!A1284</f>
        <v>Thousand Oaks</v>
      </c>
      <c r="C1284" s="5" t="n">
        <f aca="false">'Analysis Data'!B1284</f>
        <v>40344</v>
      </c>
      <c r="D1284" s="6" t="n">
        <f aca="false">'Analysis Data'!C1284</f>
        <v>273.30763615258</v>
      </c>
      <c r="E1284" s="15" t="n">
        <f aca="false">SUMPRODUCT('Final Model'!$B$45:$I$45,'Analysis Data'!N1284:U1284)</f>
        <v>236.221791534992</v>
      </c>
      <c r="F1284" s="15" t="n">
        <f aca="false">D1284-E1284</f>
        <v>37.085844617588</v>
      </c>
      <c r="G1284" s="13" t="n">
        <f aca="false">F1284/'Final Model'!$B$21</f>
        <v>0.756359703920707</v>
      </c>
      <c r="H1284" s="6" t="n">
        <f aca="false">F1284^2</f>
        <v>1375.35987099988</v>
      </c>
      <c r="J1284" s="6" t="n">
        <f aca="false">A1284</f>
        <v>1283</v>
      </c>
      <c r="K1284" s="13" t="n">
        <f aca="false">SMALL($G$2:$G$1387,J1284)</f>
        <v>1.43505440089742</v>
      </c>
      <c r="L1284" s="18" t="n">
        <f aca="false">(J1284-0.5)/1386</f>
        <v>0.925324675324675</v>
      </c>
      <c r="M1284" s="18" t="n">
        <f aca="false">_xlfn.NORM.DIST(K1284,AVERAGE($G$2:$G$1387),_xlfn.STDEV.S($G$2:$G$1387),TRUE())</f>
        <v>0.924881478749098</v>
      </c>
    </row>
    <row r="1285" customFormat="false" ht="15" hidden="false" customHeight="false" outlineLevel="0" collapsed="false">
      <c r="A1285" s="0" t="n">
        <f aca="false">ROW()-1</f>
        <v>1284</v>
      </c>
      <c r="B1285" s="0" t="str">
        <f aca="false">'Analysis Data'!A1285</f>
        <v>Thousand Oaks</v>
      </c>
      <c r="C1285" s="5" t="n">
        <f aca="false">'Analysis Data'!B1285</f>
        <v>40351</v>
      </c>
      <c r="D1285" s="6" t="n">
        <f aca="false">'Analysis Data'!C1285</f>
        <v>326.511404647303</v>
      </c>
      <c r="E1285" s="15" t="n">
        <f aca="false">SUMPRODUCT('Final Model'!$B$45:$I$45,'Analysis Data'!N1285:U1285)</f>
        <v>346.086409306543</v>
      </c>
      <c r="F1285" s="15" t="n">
        <f aca="false">D1285-E1285</f>
        <v>-19.5750046592408</v>
      </c>
      <c r="G1285" s="13" t="n">
        <f aca="false">F1285/'Final Model'!$B$21</f>
        <v>-0.399229001819423</v>
      </c>
      <c r="H1285" s="6" t="n">
        <f aca="false">F1285^2</f>
        <v>383.180807409301</v>
      </c>
      <c r="J1285" s="6" t="n">
        <f aca="false">A1285</f>
        <v>1284</v>
      </c>
      <c r="K1285" s="13" t="n">
        <f aca="false">SMALL($G$2:$G$1387,J1285)</f>
        <v>1.43631314789076</v>
      </c>
      <c r="L1285" s="18" t="n">
        <f aca="false">(J1285-0.5)/1386</f>
        <v>0.926046176046176</v>
      </c>
      <c r="M1285" s="18" t="n">
        <f aca="false">_xlfn.NORM.DIST(K1285,AVERAGE($G$2:$G$1387),_xlfn.STDEV.S($G$2:$G$1387),TRUE())</f>
        <v>0.925060166145276</v>
      </c>
    </row>
    <row r="1286" customFormat="false" ht="15" hidden="false" customHeight="false" outlineLevel="0" collapsed="false">
      <c r="A1286" s="0" t="n">
        <f aca="false">ROW()-1</f>
        <v>1285</v>
      </c>
      <c r="B1286" s="0" t="str">
        <f aca="false">'Analysis Data'!A1286</f>
        <v>Thousand Oaks</v>
      </c>
      <c r="C1286" s="5" t="n">
        <f aca="false">'Analysis Data'!B1286</f>
        <v>40358</v>
      </c>
      <c r="D1286" s="6" t="n">
        <f aca="false">'Analysis Data'!C1286</f>
        <v>357.980130998756</v>
      </c>
      <c r="E1286" s="15" t="n">
        <f aca="false">SUMPRODUCT('Final Model'!$B$45:$I$45,'Analysis Data'!N1286:U1286)</f>
        <v>309.59158379759</v>
      </c>
      <c r="F1286" s="15" t="n">
        <f aca="false">D1286-E1286</f>
        <v>48.3885472011659</v>
      </c>
      <c r="G1286" s="13" t="n">
        <f aca="false">F1286/'Final Model'!$B$21</f>
        <v>0.986876464905152</v>
      </c>
      <c r="H1286" s="6" t="n">
        <f aca="false">F1286^2</f>
        <v>2341.45150023946</v>
      </c>
      <c r="J1286" s="6" t="n">
        <f aca="false">A1286</f>
        <v>1285</v>
      </c>
      <c r="K1286" s="13" t="n">
        <f aca="false">SMALL($G$2:$G$1387,J1286)</f>
        <v>1.43771680347123</v>
      </c>
      <c r="L1286" s="18" t="n">
        <f aca="false">(J1286-0.5)/1386</f>
        <v>0.926767676767677</v>
      </c>
      <c r="M1286" s="18" t="n">
        <f aca="false">_xlfn.NORM.DIST(K1286,AVERAGE($G$2:$G$1387),_xlfn.STDEV.S($G$2:$G$1387),TRUE())</f>
        <v>0.925259041706683</v>
      </c>
    </row>
    <row r="1287" customFormat="false" ht="15" hidden="false" customHeight="false" outlineLevel="0" collapsed="false">
      <c r="A1287" s="0" t="n">
        <f aca="false">ROW()-1</f>
        <v>1286</v>
      </c>
      <c r="B1287" s="0" t="str">
        <f aca="false">'Analysis Data'!A1287</f>
        <v>Thousand Oaks</v>
      </c>
      <c r="C1287" s="5" t="n">
        <f aca="false">'Analysis Data'!B1287</f>
        <v>40365</v>
      </c>
      <c r="D1287" s="6" t="n">
        <f aca="false">'Analysis Data'!C1287</f>
        <v>364.29686869111</v>
      </c>
      <c r="E1287" s="15" t="n">
        <f aca="false">SUMPRODUCT('Final Model'!$B$45:$I$45,'Analysis Data'!N1287:U1287)</f>
        <v>326.829607423553</v>
      </c>
      <c r="F1287" s="15" t="n">
        <f aca="false">D1287-E1287</f>
        <v>37.4672612675573</v>
      </c>
      <c r="G1287" s="13" t="n">
        <f aca="false">F1287/'Final Model'!$B$21</f>
        <v>0.764138633790473</v>
      </c>
      <c r="H1287" s="6" t="n">
        <f aca="false">F1287^2</f>
        <v>1403.7956668914</v>
      </c>
      <c r="J1287" s="6" t="n">
        <f aca="false">A1287</f>
        <v>1286</v>
      </c>
      <c r="K1287" s="13" t="n">
        <f aca="false">SMALL($G$2:$G$1387,J1287)</f>
        <v>1.45034497639063</v>
      </c>
      <c r="L1287" s="18" t="n">
        <f aca="false">(J1287-0.5)/1386</f>
        <v>0.927489177489178</v>
      </c>
      <c r="M1287" s="18" t="n">
        <f aca="false">_xlfn.NORM.DIST(K1287,AVERAGE($G$2:$G$1387),_xlfn.STDEV.S($G$2:$G$1387),TRUE())</f>
        <v>0.927030182112959</v>
      </c>
    </row>
    <row r="1288" customFormat="false" ht="15" hidden="false" customHeight="false" outlineLevel="0" collapsed="false">
      <c r="A1288" s="0" t="n">
        <f aca="false">ROW()-1</f>
        <v>1287</v>
      </c>
      <c r="B1288" s="0" t="str">
        <f aca="false">'Analysis Data'!A1288</f>
        <v>Thousand Oaks</v>
      </c>
      <c r="C1288" s="5" t="n">
        <f aca="false">'Analysis Data'!B1288</f>
        <v>40372</v>
      </c>
      <c r="D1288" s="6" t="n">
        <f aca="false">'Analysis Data'!C1288</f>
        <v>275.775436010846</v>
      </c>
      <c r="E1288" s="15" t="n">
        <f aca="false">SUMPRODUCT('Final Model'!$B$45:$I$45,'Analysis Data'!N1288:U1288)</f>
        <v>322.731570711509</v>
      </c>
      <c r="F1288" s="15" t="n">
        <f aca="false">D1288-E1288</f>
        <v>-46.956134700663</v>
      </c>
      <c r="G1288" s="13" t="n">
        <f aca="false">F1288/'Final Model'!$B$21</f>
        <v>-0.957662647451501</v>
      </c>
      <c r="H1288" s="6" t="n">
        <f aca="false">F1288^2</f>
        <v>2204.87858602681</v>
      </c>
      <c r="J1288" s="6" t="n">
        <f aca="false">A1288</f>
        <v>1287</v>
      </c>
      <c r="K1288" s="13" t="n">
        <f aca="false">SMALL($G$2:$G$1387,J1288)</f>
        <v>1.45350751537508</v>
      </c>
      <c r="L1288" s="18" t="n">
        <f aca="false">(J1288-0.5)/1386</f>
        <v>0.928210678210678</v>
      </c>
      <c r="M1288" s="18" t="n">
        <f aca="false">_xlfn.NORM.DIST(K1288,AVERAGE($G$2:$G$1387),_xlfn.STDEV.S($G$2:$G$1387),TRUE())</f>
        <v>0.927468667550992</v>
      </c>
    </row>
    <row r="1289" customFormat="false" ht="15" hidden="false" customHeight="false" outlineLevel="0" collapsed="false">
      <c r="A1289" s="0" t="n">
        <f aca="false">ROW()-1</f>
        <v>1288</v>
      </c>
      <c r="B1289" s="0" t="str">
        <f aca="false">'Analysis Data'!A1289</f>
        <v>Valencia</v>
      </c>
      <c r="C1289" s="5" t="n">
        <f aca="false">'Analysis Data'!B1289</f>
        <v>40302</v>
      </c>
      <c r="D1289" s="6" t="n">
        <f aca="false">'Analysis Data'!C1289</f>
        <v>223.599983750506</v>
      </c>
      <c r="E1289" s="15" t="n">
        <f aca="false">SUMPRODUCT('Final Model'!$B$45:$I$45,'Analysis Data'!N1289:U1289)</f>
        <v>303.306017005491</v>
      </c>
      <c r="F1289" s="15" t="n">
        <f aca="false">D1289-E1289</f>
        <v>-79.7060332549852</v>
      </c>
      <c r="G1289" s="13" t="n">
        <f aca="false">F1289/'Final Model'!$B$21</f>
        <v>-1.62559144425806</v>
      </c>
      <c r="H1289" s="6" t="n">
        <f aca="false">F1289^2</f>
        <v>6353.05173724481</v>
      </c>
      <c r="J1289" s="6" t="n">
        <f aca="false">A1289</f>
        <v>1288</v>
      </c>
      <c r="K1289" s="13" t="n">
        <f aca="false">SMALL($G$2:$G$1387,J1289)</f>
        <v>1.45540333946134</v>
      </c>
      <c r="L1289" s="18" t="n">
        <f aca="false">(J1289-0.5)/1386</f>
        <v>0.928932178932179</v>
      </c>
      <c r="M1289" s="18" t="n">
        <f aca="false">_xlfn.NORM.DIST(K1289,AVERAGE($G$2:$G$1387),_xlfn.STDEV.S($G$2:$G$1387),TRUE())</f>
        <v>0.927730553915593</v>
      </c>
    </row>
    <row r="1290" customFormat="false" ht="15" hidden="false" customHeight="false" outlineLevel="0" collapsed="false">
      <c r="A1290" s="0" t="n">
        <f aca="false">ROW()-1</f>
        <v>1289</v>
      </c>
      <c r="B1290" s="0" t="str">
        <f aca="false">'Analysis Data'!A1290</f>
        <v>Valencia</v>
      </c>
      <c r="C1290" s="5" t="n">
        <f aca="false">'Analysis Data'!B1290</f>
        <v>40309</v>
      </c>
      <c r="D1290" s="6" t="n">
        <f aca="false">'Analysis Data'!C1290</f>
        <v>317.034586246341</v>
      </c>
      <c r="E1290" s="15" t="n">
        <f aca="false">SUMPRODUCT('Final Model'!$B$45:$I$45,'Analysis Data'!N1290:U1290)</f>
        <v>304.488188548253</v>
      </c>
      <c r="F1290" s="15" t="n">
        <f aca="false">D1290-E1290</f>
        <v>12.546397698088</v>
      </c>
      <c r="G1290" s="13" t="n">
        <f aca="false">F1290/'Final Model'!$B$21</f>
        <v>0.255881718376635</v>
      </c>
      <c r="H1290" s="6" t="n">
        <f aca="false">F1290^2</f>
        <v>157.412095198588</v>
      </c>
      <c r="J1290" s="6" t="n">
        <f aca="false">A1290</f>
        <v>1289</v>
      </c>
      <c r="K1290" s="13" t="n">
        <f aca="false">SMALL($G$2:$G$1387,J1290)</f>
        <v>1.45742390318863</v>
      </c>
      <c r="L1290" s="18" t="n">
        <f aca="false">(J1290-0.5)/1386</f>
        <v>0.92965367965368</v>
      </c>
      <c r="M1290" s="18" t="n">
        <f aca="false">_xlfn.NORM.DIST(K1290,AVERAGE($G$2:$G$1387),_xlfn.STDEV.S($G$2:$G$1387),TRUE())</f>
        <v>0.928008873249488</v>
      </c>
    </row>
    <row r="1291" customFormat="false" ht="15" hidden="false" customHeight="false" outlineLevel="0" collapsed="false">
      <c r="A1291" s="0" t="n">
        <f aca="false">ROW()-1</f>
        <v>1290</v>
      </c>
      <c r="B1291" s="0" t="str">
        <f aca="false">'Analysis Data'!A1291</f>
        <v>Valencia</v>
      </c>
      <c r="C1291" s="5" t="n">
        <f aca="false">'Analysis Data'!B1291</f>
        <v>40316</v>
      </c>
      <c r="D1291" s="6" t="n">
        <f aca="false">'Analysis Data'!C1291</f>
        <v>331.331939861407</v>
      </c>
      <c r="E1291" s="15" t="n">
        <f aca="false">SUMPRODUCT('Final Model'!$B$45:$I$45,'Analysis Data'!N1291:U1291)</f>
        <v>310.004776421363</v>
      </c>
      <c r="F1291" s="15" t="n">
        <f aca="false">D1291-E1291</f>
        <v>21.327163440044</v>
      </c>
      <c r="G1291" s="13" t="n">
        <f aca="false">F1291/'Final Model'!$B$21</f>
        <v>0.434963992092284</v>
      </c>
      <c r="H1291" s="6" t="n">
        <f aca="false">F1291^2</f>
        <v>454.847900398349</v>
      </c>
      <c r="J1291" s="6" t="n">
        <f aca="false">A1291</f>
        <v>1290</v>
      </c>
      <c r="K1291" s="13" t="n">
        <f aca="false">SMALL($G$2:$G$1387,J1291)</f>
        <v>1.47001654901958</v>
      </c>
      <c r="L1291" s="18" t="n">
        <f aca="false">(J1291-0.5)/1386</f>
        <v>0.93037518037518</v>
      </c>
      <c r="M1291" s="18" t="n">
        <f aca="false">_xlfn.NORM.DIST(K1291,AVERAGE($G$2:$G$1387),_xlfn.STDEV.S($G$2:$G$1387),TRUE())</f>
        <v>0.929724940917648</v>
      </c>
    </row>
    <row r="1292" customFormat="false" ht="15" hidden="false" customHeight="false" outlineLevel="0" collapsed="false">
      <c r="A1292" s="0" t="n">
        <f aca="false">ROW()-1</f>
        <v>1291</v>
      </c>
      <c r="B1292" s="0" t="str">
        <f aca="false">'Analysis Data'!A1292</f>
        <v>Valencia</v>
      </c>
      <c r="C1292" s="5" t="n">
        <f aca="false">'Analysis Data'!B1292</f>
        <v>40323</v>
      </c>
      <c r="D1292" s="6" t="n">
        <f aca="false">'Analysis Data'!C1292</f>
        <v>253.203776858438</v>
      </c>
      <c r="E1292" s="15" t="n">
        <f aca="false">SUMPRODUCT('Final Model'!$B$45:$I$45,'Analysis Data'!N1292:U1292)</f>
        <v>234.987126629007</v>
      </c>
      <c r="F1292" s="15" t="n">
        <f aca="false">D1292-E1292</f>
        <v>18.2166502294315</v>
      </c>
      <c r="G1292" s="13" t="n">
        <f aca="false">F1292/'Final Model'!$B$21</f>
        <v>0.371525586542136</v>
      </c>
      <c r="H1292" s="6" t="n">
        <f aca="false">F1292^2</f>
        <v>331.846345581446</v>
      </c>
      <c r="J1292" s="6" t="n">
        <f aca="false">A1292</f>
        <v>1291</v>
      </c>
      <c r="K1292" s="13" t="n">
        <f aca="false">SMALL($G$2:$G$1387,J1292)</f>
        <v>1.47264417997996</v>
      </c>
      <c r="L1292" s="18" t="n">
        <f aca="false">(J1292-0.5)/1386</f>
        <v>0.931096681096681</v>
      </c>
      <c r="M1292" s="18" t="n">
        <f aca="false">_xlfn.NORM.DIST(K1292,AVERAGE($G$2:$G$1387),_xlfn.STDEV.S($G$2:$G$1387),TRUE())</f>
        <v>0.930079022829808</v>
      </c>
    </row>
    <row r="1293" customFormat="false" ht="15" hidden="false" customHeight="false" outlineLevel="0" collapsed="false">
      <c r="A1293" s="0" t="n">
        <f aca="false">ROW()-1</f>
        <v>1292</v>
      </c>
      <c r="B1293" s="0" t="str">
        <f aca="false">'Analysis Data'!A1293</f>
        <v>Valencia</v>
      </c>
      <c r="C1293" s="5" t="n">
        <f aca="false">'Analysis Data'!B1293</f>
        <v>40330</v>
      </c>
      <c r="D1293" s="6" t="n">
        <f aca="false">'Analysis Data'!C1293</f>
        <v>281.96865303568</v>
      </c>
      <c r="E1293" s="15" t="n">
        <f aca="false">SUMPRODUCT('Final Model'!$B$45:$I$45,'Analysis Data'!N1293:U1293)</f>
        <v>234.987126629007</v>
      </c>
      <c r="F1293" s="15" t="n">
        <f aca="false">D1293-E1293</f>
        <v>46.9815264066733</v>
      </c>
      <c r="G1293" s="13" t="n">
        <f aca="false">F1293/'Final Model'!$B$21</f>
        <v>0.958180507121088</v>
      </c>
      <c r="H1293" s="6" t="n">
        <f aca="false">F1293^2</f>
        <v>2207.26382350094</v>
      </c>
      <c r="J1293" s="6" t="n">
        <f aca="false">A1293</f>
        <v>1292</v>
      </c>
      <c r="K1293" s="13" t="n">
        <f aca="false">SMALL($G$2:$G$1387,J1293)</f>
        <v>1.48016692491773</v>
      </c>
      <c r="L1293" s="18" t="n">
        <f aca="false">(J1293-0.5)/1386</f>
        <v>0.931818181818182</v>
      </c>
      <c r="M1293" s="18" t="n">
        <f aca="false">_xlfn.NORM.DIST(K1293,AVERAGE($G$2:$G$1387),_xlfn.STDEV.S($G$2:$G$1387),TRUE())</f>
        <v>0.931085147257993</v>
      </c>
    </row>
    <row r="1294" customFormat="false" ht="15" hidden="false" customHeight="false" outlineLevel="0" collapsed="false">
      <c r="A1294" s="0" t="n">
        <f aca="false">ROW()-1</f>
        <v>1293</v>
      </c>
      <c r="B1294" s="0" t="str">
        <f aca="false">'Analysis Data'!A1294</f>
        <v>Valencia</v>
      </c>
      <c r="C1294" s="5" t="n">
        <f aca="false">'Analysis Data'!B1294</f>
        <v>40337</v>
      </c>
      <c r="D1294" s="6" t="n">
        <f aca="false">'Analysis Data'!C1294</f>
        <v>236.205451251985</v>
      </c>
      <c r="E1294" s="15" t="n">
        <f aca="false">SUMPRODUCT('Final Model'!$B$45:$I$45,'Analysis Data'!N1294:U1294)</f>
        <v>228.096847737159</v>
      </c>
      <c r="F1294" s="15" t="n">
        <f aca="false">D1294-E1294</f>
        <v>8.10860351482671</v>
      </c>
      <c r="G1294" s="13" t="n">
        <f aca="false">F1294/'Final Model'!$B$21</f>
        <v>0.165373635599394</v>
      </c>
      <c r="H1294" s="6" t="n">
        <f aca="false">F1294^2</f>
        <v>65.7494509606601</v>
      </c>
      <c r="J1294" s="6" t="n">
        <f aca="false">A1294</f>
        <v>1293</v>
      </c>
      <c r="K1294" s="13" t="n">
        <f aca="false">SMALL($G$2:$G$1387,J1294)</f>
        <v>1.48227236717096</v>
      </c>
      <c r="L1294" s="18" t="n">
        <f aca="false">(J1294-0.5)/1386</f>
        <v>0.932539682539683</v>
      </c>
      <c r="M1294" s="18" t="n">
        <f aca="false">_xlfn.NORM.DIST(K1294,AVERAGE($G$2:$G$1387),_xlfn.STDEV.S($G$2:$G$1387),TRUE())</f>
        <v>0.931364729801954</v>
      </c>
    </row>
    <row r="1295" customFormat="false" ht="15" hidden="false" customHeight="false" outlineLevel="0" collapsed="false">
      <c r="A1295" s="0" t="n">
        <f aca="false">ROW()-1</f>
        <v>1294</v>
      </c>
      <c r="B1295" s="0" t="str">
        <f aca="false">'Analysis Data'!A1295</f>
        <v>Valencia</v>
      </c>
      <c r="C1295" s="5" t="n">
        <f aca="false">'Analysis Data'!B1295</f>
        <v>40344</v>
      </c>
      <c r="D1295" s="6" t="n">
        <f aca="false">'Analysis Data'!C1295</f>
        <v>209.258133152729</v>
      </c>
      <c r="E1295" s="15" t="n">
        <f aca="false">SUMPRODUCT('Final Model'!$B$45:$I$45,'Analysis Data'!N1295:U1295)</f>
        <v>232.034842784614</v>
      </c>
      <c r="F1295" s="15" t="n">
        <f aca="false">D1295-E1295</f>
        <v>-22.7767096318854</v>
      </c>
      <c r="G1295" s="13" t="n">
        <f aca="false">F1295/'Final Model'!$B$21</f>
        <v>-0.46452724836394</v>
      </c>
      <c r="H1295" s="6" t="n">
        <f aca="false">F1295^2</f>
        <v>518.778501655222</v>
      </c>
      <c r="J1295" s="6" t="n">
        <f aca="false">A1295</f>
        <v>1294</v>
      </c>
      <c r="K1295" s="13" t="n">
        <f aca="false">SMALL($G$2:$G$1387,J1295)</f>
        <v>1.48278040665648</v>
      </c>
      <c r="L1295" s="18" t="n">
        <f aca="false">(J1295-0.5)/1386</f>
        <v>0.933261183261183</v>
      </c>
      <c r="M1295" s="18" t="n">
        <f aca="false">_xlfn.NORM.DIST(K1295,AVERAGE($G$2:$G$1387),_xlfn.STDEV.S($G$2:$G$1387),TRUE())</f>
        <v>0.931432061387838</v>
      </c>
    </row>
    <row r="1296" customFormat="false" ht="15" hidden="false" customHeight="false" outlineLevel="0" collapsed="false">
      <c r="A1296" s="0" t="n">
        <f aca="false">ROW()-1</f>
        <v>1295</v>
      </c>
      <c r="B1296" s="0" t="str">
        <f aca="false">'Analysis Data'!A1296</f>
        <v>Valencia</v>
      </c>
      <c r="C1296" s="5" t="n">
        <f aca="false">'Analysis Data'!B1296</f>
        <v>40351</v>
      </c>
      <c r="D1296" s="6" t="n">
        <f aca="false">'Analysis Data'!C1296</f>
        <v>258.259346672333</v>
      </c>
      <c r="E1296" s="15" t="n">
        <f aca="false">SUMPRODUCT('Final Model'!$B$45:$I$45,'Analysis Data'!N1296:U1296)</f>
        <v>228.31468223549</v>
      </c>
      <c r="F1296" s="15" t="n">
        <f aca="false">D1296-E1296</f>
        <v>29.9446644368432</v>
      </c>
      <c r="G1296" s="13" t="n">
        <f aca="false">F1296/'Final Model'!$B$21</f>
        <v>0.610716508171811</v>
      </c>
      <c r="H1296" s="6" t="n">
        <f aca="false">F1296^2</f>
        <v>896.682928235143</v>
      </c>
      <c r="J1296" s="6" t="n">
        <f aca="false">A1296</f>
        <v>1295</v>
      </c>
      <c r="K1296" s="13" t="n">
        <f aca="false">SMALL($G$2:$G$1387,J1296)</f>
        <v>1.48829061182398</v>
      </c>
      <c r="L1296" s="18" t="n">
        <f aca="false">(J1296-0.5)/1386</f>
        <v>0.933982683982684</v>
      </c>
      <c r="M1296" s="18" t="n">
        <f aca="false">_xlfn.NORM.DIST(K1296,AVERAGE($G$2:$G$1387),_xlfn.STDEV.S($G$2:$G$1387),TRUE())</f>
        <v>0.932159071685163</v>
      </c>
    </row>
    <row r="1297" customFormat="false" ht="15" hidden="false" customHeight="false" outlineLevel="0" collapsed="false">
      <c r="A1297" s="0" t="n">
        <f aca="false">ROW()-1</f>
        <v>1296</v>
      </c>
      <c r="B1297" s="0" t="str">
        <f aca="false">'Analysis Data'!A1297</f>
        <v>Valencia</v>
      </c>
      <c r="C1297" s="5" t="n">
        <f aca="false">'Analysis Data'!B1297</f>
        <v>40358</v>
      </c>
      <c r="D1297" s="6" t="n">
        <f aca="false">'Analysis Data'!C1297</f>
        <v>288.530053729689</v>
      </c>
      <c r="E1297" s="15" t="n">
        <f aca="false">SUMPRODUCT('Final Model'!$B$45:$I$45,'Analysis Data'!N1297:U1297)</f>
        <v>330.6708252831</v>
      </c>
      <c r="F1297" s="15" t="n">
        <f aca="false">D1297-E1297</f>
        <v>-42.1407715534106</v>
      </c>
      <c r="G1297" s="13" t="n">
        <f aca="false">F1297/'Final Model'!$B$21</f>
        <v>-0.859454107727446</v>
      </c>
      <c r="H1297" s="6" t="n">
        <f aca="false">F1297^2</f>
        <v>1775.84462711674</v>
      </c>
      <c r="J1297" s="6" t="n">
        <f aca="false">A1297</f>
        <v>1296</v>
      </c>
      <c r="K1297" s="13" t="n">
        <f aca="false">SMALL($G$2:$G$1387,J1297)</f>
        <v>1.492448693554</v>
      </c>
      <c r="L1297" s="18" t="n">
        <f aca="false">(J1297-0.5)/1386</f>
        <v>0.934704184704185</v>
      </c>
      <c r="M1297" s="18" t="n">
        <f aca="false">_xlfn.NORM.DIST(K1297,AVERAGE($G$2:$G$1387),_xlfn.STDEV.S($G$2:$G$1387),TRUE())</f>
        <v>0.932703732072162</v>
      </c>
    </row>
    <row r="1298" customFormat="false" ht="15" hidden="false" customHeight="false" outlineLevel="0" collapsed="false">
      <c r="A1298" s="0" t="n">
        <f aca="false">ROW()-1</f>
        <v>1297</v>
      </c>
      <c r="B1298" s="0" t="str">
        <f aca="false">'Analysis Data'!A1298</f>
        <v>Valencia</v>
      </c>
      <c r="C1298" s="5" t="n">
        <f aca="false">'Analysis Data'!B1298</f>
        <v>40365</v>
      </c>
      <c r="D1298" s="6" t="n">
        <f aca="false">'Analysis Data'!C1298</f>
        <v>261.402152407955</v>
      </c>
      <c r="E1298" s="15" t="n">
        <f aca="false">SUMPRODUCT('Final Model'!$B$45:$I$45,'Analysis Data'!N1298:U1298)</f>
        <v>323.162389965441</v>
      </c>
      <c r="F1298" s="15" t="n">
        <f aca="false">D1298-E1298</f>
        <v>-61.7602375574861</v>
      </c>
      <c r="G1298" s="13" t="n">
        <f aca="false">F1298/'Final Model'!$B$21</f>
        <v>-1.25958989136516</v>
      </c>
      <c r="H1298" s="6" t="n">
        <f aca="false">F1298^2</f>
        <v>3814.32694315711</v>
      </c>
      <c r="J1298" s="6" t="n">
        <f aca="false">A1298</f>
        <v>1297</v>
      </c>
      <c r="K1298" s="13" t="n">
        <f aca="false">SMALL($G$2:$G$1387,J1298)</f>
        <v>1.4940476989332</v>
      </c>
      <c r="L1298" s="18" t="n">
        <f aca="false">(J1298-0.5)/1386</f>
        <v>0.935425685425685</v>
      </c>
      <c r="M1298" s="18" t="n">
        <f aca="false">_xlfn.NORM.DIST(K1298,AVERAGE($G$2:$G$1387),_xlfn.STDEV.S($G$2:$G$1387),TRUE())</f>
        <v>0.93291228098329</v>
      </c>
    </row>
    <row r="1299" customFormat="false" ht="15" hidden="false" customHeight="false" outlineLevel="0" collapsed="false">
      <c r="A1299" s="0" t="n">
        <f aca="false">ROW()-1</f>
        <v>1298</v>
      </c>
      <c r="B1299" s="0" t="str">
        <f aca="false">'Analysis Data'!A1299</f>
        <v>Valencia</v>
      </c>
      <c r="C1299" s="5" t="n">
        <f aca="false">'Analysis Data'!B1299</f>
        <v>40372</v>
      </c>
      <c r="D1299" s="6" t="n">
        <f aca="false">'Analysis Data'!C1299</f>
        <v>312.332782171368</v>
      </c>
      <c r="E1299" s="15" t="n">
        <f aca="false">SUMPRODUCT('Final Model'!$B$45:$I$45,'Analysis Data'!N1299:U1299)</f>
        <v>318.003066826577</v>
      </c>
      <c r="F1299" s="15" t="n">
        <f aca="false">D1299-E1299</f>
        <v>-5.67028465520838</v>
      </c>
      <c r="G1299" s="13" t="n">
        <f aca="false">F1299/'Final Model'!$B$21</f>
        <v>-0.115644523326444</v>
      </c>
      <c r="H1299" s="6" t="n">
        <f aca="false">F1299^2</f>
        <v>32.1521280710916</v>
      </c>
      <c r="J1299" s="6" t="n">
        <f aca="false">A1299</f>
        <v>1298</v>
      </c>
      <c r="K1299" s="13" t="n">
        <f aca="false">SMALL($G$2:$G$1387,J1299)</f>
        <v>1.50205498530717</v>
      </c>
      <c r="L1299" s="18" t="n">
        <f aca="false">(J1299-0.5)/1386</f>
        <v>0.936147186147186</v>
      </c>
      <c r="M1299" s="18" t="n">
        <f aca="false">_xlfn.NORM.DIST(K1299,AVERAGE($G$2:$G$1387),_xlfn.STDEV.S($G$2:$G$1387),TRUE())</f>
        <v>0.933949114494892</v>
      </c>
    </row>
    <row r="1300" customFormat="false" ht="15" hidden="false" customHeight="false" outlineLevel="0" collapsed="false">
      <c r="A1300" s="0" t="n">
        <f aca="false">ROW()-1</f>
        <v>1299</v>
      </c>
      <c r="B1300" s="0" t="str">
        <f aca="false">'Analysis Data'!A1300</f>
        <v>Woodland Hills</v>
      </c>
      <c r="C1300" s="5" t="n">
        <f aca="false">'Analysis Data'!B1300</f>
        <v>40302</v>
      </c>
      <c r="D1300" s="6" t="n">
        <f aca="false">'Analysis Data'!C1300</f>
        <v>246.842450305691</v>
      </c>
      <c r="E1300" s="15" t="n">
        <f aca="false">SUMPRODUCT('Final Model'!$B$45:$I$45,'Analysis Data'!N1300:U1300)</f>
        <v>304.933131818305</v>
      </c>
      <c r="F1300" s="15" t="n">
        <f aca="false">D1300-E1300</f>
        <v>-58.0906815126135</v>
      </c>
      <c r="G1300" s="13" t="n">
        <f aca="false">F1300/'Final Model'!$B$21</f>
        <v>-1.18474989911906</v>
      </c>
      <c r="H1300" s="6" t="n">
        <f aca="false">F1300^2</f>
        <v>3374.5272785999</v>
      </c>
      <c r="J1300" s="6" t="n">
        <f aca="false">A1300</f>
        <v>1299</v>
      </c>
      <c r="K1300" s="13" t="n">
        <f aca="false">SMALL($G$2:$G$1387,J1300)</f>
        <v>1.50591939352415</v>
      </c>
      <c r="L1300" s="18" t="n">
        <f aca="false">(J1300-0.5)/1386</f>
        <v>0.936868686868687</v>
      </c>
      <c r="M1300" s="18" t="n">
        <f aca="false">_xlfn.NORM.DIST(K1300,AVERAGE($G$2:$G$1387),_xlfn.STDEV.S($G$2:$G$1387),TRUE())</f>
        <v>0.934445039950324</v>
      </c>
    </row>
    <row r="1301" customFormat="false" ht="15" hidden="false" customHeight="false" outlineLevel="0" collapsed="false">
      <c r="A1301" s="0" t="n">
        <f aca="false">ROW()-1</f>
        <v>1300</v>
      </c>
      <c r="B1301" s="0" t="str">
        <f aca="false">'Analysis Data'!A1301</f>
        <v>Woodland Hills</v>
      </c>
      <c r="C1301" s="5" t="n">
        <f aca="false">'Analysis Data'!B1301</f>
        <v>40309</v>
      </c>
      <c r="D1301" s="6" t="n">
        <f aca="false">'Analysis Data'!C1301</f>
        <v>392.396703103651</v>
      </c>
      <c r="E1301" s="15" t="n">
        <f aca="false">SUMPRODUCT('Final Model'!$B$45:$I$45,'Analysis Data'!N1301:U1301)</f>
        <v>315.701907166308</v>
      </c>
      <c r="F1301" s="15" t="n">
        <f aca="false">D1301-E1301</f>
        <v>76.6947959373435</v>
      </c>
      <c r="G1301" s="13" t="n">
        <f aca="false">F1301/'Final Model'!$B$21</f>
        <v>1.56417775422371</v>
      </c>
      <c r="H1301" s="6" t="n">
        <f aca="false">F1301^2</f>
        <v>5882.09172387076</v>
      </c>
      <c r="J1301" s="6" t="n">
        <f aca="false">A1301</f>
        <v>1300</v>
      </c>
      <c r="K1301" s="13" t="n">
        <f aca="false">SMALL($G$2:$G$1387,J1301)</f>
        <v>1.50602457422466</v>
      </c>
      <c r="L1301" s="18" t="n">
        <f aca="false">(J1301-0.5)/1386</f>
        <v>0.937590187590188</v>
      </c>
      <c r="M1301" s="18" t="n">
        <f aca="false">_xlfn.NORM.DIST(K1301,AVERAGE($G$2:$G$1387),_xlfn.STDEV.S($G$2:$G$1387),TRUE())</f>
        <v>0.934458497477239</v>
      </c>
    </row>
    <row r="1302" customFormat="false" ht="15" hidden="false" customHeight="false" outlineLevel="0" collapsed="false">
      <c r="A1302" s="0" t="n">
        <f aca="false">ROW()-1</f>
        <v>1301</v>
      </c>
      <c r="B1302" s="0" t="str">
        <f aca="false">'Analysis Data'!A1302</f>
        <v>Woodland Hills</v>
      </c>
      <c r="C1302" s="5" t="n">
        <f aca="false">'Analysis Data'!B1302</f>
        <v>40316</v>
      </c>
      <c r="D1302" s="6" t="n">
        <f aca="false">'Analysis Data'!C1302</f>
        <v>312.248945949136</v>
      </c>
      <c r="E1302" s="15" t="n">
        <f aca="false">SUMPRODUCT('Final Model'!$B$45:$I$45,'Analysis Data'!N1302:U1302)</f>
        <v>323.358931134184</v>
      </c>
      <c r="F1302" s="15" t="n">
        <f aca="false">D1302-E1302</f>
        <v>-11.1099851850483</v>
      </c>
      <c r="G1302" s="13" t="n">
        <f aca="false">F1302/'Final Model'!$B$21</f>
        <v>-0.226586321324914</v>
      </c>
      <c r="H1302" s="6" t="n">
        <f aca="false">F1302^2</f>
        <v>123.431770811994</v>
      </c>
      <c r="J1302" s="6" t="n">
        <f aca="false">A1302</f>
        <v>1301</v>
      </c>
      <c r="K1302" s="13" t="n">
        <f aca="false">SMALL($G$2:$G$1387,J1302)</f>
        <v>1.51499528884939</v>
      </c>
      <c r="L1302" s="18" t="n">
        <f aca="false">(J1302-0.5)/1386</f>
        <v>0.938311688311688</v>
      </c>
      <c r="M1302" s="18" t="n">
        <f aca="false">_xlfn.NORM.DIST(K1302,AVERAGE($G$2:$G$1387),_xlfn.STDEV.S($G$2:$G$1387),TRUE())</f>
        <v>0.935598407527065</v>
      </c>
    </row>
    <row r="1303" customFormat="false" ht="15" hidden="false" customHeight="false" outlineLevel="0" collapsed="false">
      <c r="A1303" s="0" t="n">
        <f aca="false">ROW()-1</f>
        <v>1302</v>
      </c>
      <c r="B1303" s="0" t="str">
        <f aca="false">'Analysis Data'!A1303</f>
        <v>Woodland Hills</v>
      </c>
      <c r="C1303" s="5" t="n">
        <f aca="false">'Analysis Data'!B1303</f>
        <v>40323</v>
      </c>
      <c r="D1303" s="6" t="n">
        <f aca="false">'Analysis Data'!C1303</f>
        <v>171.104436249284</v>
      </c>
      <c r="E1303" s="15" t="n">
        <f aca="false">SUMPRODUCT('Final Model'!$B$45:$I$45,'Analysis Data'!N1303:U1303)</f>
        <v>245.710322676741</v>
      </c>
      <c r="F1303" s="15" t="n">
        <f aca="false">D1303-E1303</f>
        <v>-74.6058864274563</v>
      </c>
      <c r="G1303" s="13" t="n">
        <f aca="false">F1303/'Final Model'!$B$21</f>
        <v>-1.52157478819429</v>
      </c>
      <c r="H1303" s="6" t="n">
        <f aca="false">F1303^2</f>
        <v>5566.03828962651</v>
      </c>
      <c r="J1303" s="6" t="n">
        <f aca="false">A1303</f>
        <v>1302</v>
      </c>
      <c r="K1303" s="13" t="n">
        <f aca="false">SMALL($G$2:$G$1387,J1303)</f>
        <v>1.51601457910924</v>
      </c>
      <c r="L1303" s="18" t="n">
        <f aca="false">(J1303-0.5)/1386</f>
        <v>0.939033189033189</v>
      </c>
      <c r="M1303" s="18" t="n">
        <f aca="false">_xlfn.NORM.DIST(K1303,AVERAGE($G$2:$G$1387),_xlfn.STDEV.S($G$2:$G$1387),TRUE())</f>
        <v>0.935726948240083</v>
      </c>
    </row>
    <row r="1304" customFormat="false" ht="15" hidden="false" customHeight="false" outlineLevel="0" collapsed="false">
      <c r="A1304" s="0" t="n">
        <f aca="false">ROW()-1</f>
        <v>1303</v>
      </c>
      <c r="B1304" s="0" t="str">
        <f aca="false">'Analysis Data'!A1304</f>
        <v>Woodland Hills</v>
      </c>
      <c r="C1304" s="5" t="n">
        <f aca="false">'Analysis Data'!B1304</f>
        <v>40330</v>
      </c>
      <c r="D1304" s="6" t="n">
        <f aca="false">'Analysis Data'!C1304</f>
        <v>250.181969302393</v>
      </c>
      <c r="E1304" s="15" t="n">
        <f aca="false">SUMPRODUCT('Final Model'!$B$45:$I$45,'Analysis Data'!N1304:U1304)</f>
        <v>241.839516845087</v>
      </c>
      <c r="F1304" s="15" t="n">
        <f aca="false">D1304-E1304</f>
        <v>8.34245245730659</v>
      </c>
      <c r="G1304" s="13" t="n">
        <f aca="false">F1304/'Final Model'!$B$21</f>
        <v>0.170142946335609</v>
      </c>
      <c r="H1304" s="6" t="n">
        <f aca="false">F1304^2</f>
        <v>69.5965130024208</v>
      </c>
      <c r="J1304" s="6" t="n">
        <f aca="false">A1304</f>
        <v>1303</v>
      </c>
      <c r="K1304" s="13" t="n">
        <f aca="false">SMALL($G$2:$G$1387,J1304)</f>
        <v>1.51961457880411</v>
      </c>
      <c r="L1304" s="18" t="n">
        <f aca="false">(J1304-0.5)/1386</f>
        <v>0.93975468975469</v>
      </c>
      <c r="M1304" s="18" t="n">
        <f aca="false">_xlfn.NORM.DIST(K1304,AVERAGE($G$2:$G$1387),_xlfn.STDEV.S($G$2:$G$1387),TRUE())</f>
        <v>0.936179341933267</v>
      </c>
    </row>
    <row r="1305" customFormat="false" ht="15" hidden="false" customHeight="false" outlineLevel="0" collapsed="false">
      <c r="A1305" s="0" t="n">
        <f aca="false">ROW()-1</f>
        <v>1304</v>
      </c>
      <c r="B1305" s="0" t="str">
        <f aca="false">'Analysis Data'!A1305</f>
        <v>Woodland Hills</v>
      </c>
      <c r="C1305" s="5" t="n">
        <f aca="false">'Analysis Data'!B1305</f>
        <v>40337</v>
      </c>
      <c r="D1305" s="6" t="n">
        <f aca="false">'Analysis Data'!C1305</f>
        <v>163.333482825611</v>
      </c>
      <c r="E1305" s="15" t="n">
        <f aca="false">SUMPRODUCT('Final Model'!$B$45:$I$45,'Analysis Data'!N1305:U1305)</f>
        <v>238.943308211704</v>
      </c>
      <c r="F1305" s="15" t="n">
        <f aca="false">D1305-E1305</f>
        <v>-75.6098253860928</v>
      </c>
      <c r="G1305" s="13" t="n">
        <f aca="false">F1305/'Final Model'!$B$21</f>
        <v>-1.54204995820427</v>
      </c>
      <c r="H1305" s="6" t="n">
        <f aca="false">F1305^2</f>
        <v>5716.84569491544</v>
      </c>
      <c r="J1305" s="6" t="n">
        <f aca="false">A1305</f>
        <v>1304</v>
      </c>
      <c r="K1305" s="13" t="n">
        <f aca="false">SMALL($G$2:$G$1387,J1305)</f>
        <v>1.52185806625163</v>
      </c>
      <c r="L1305" s="18" t="n">
        <f aca="false">(J1305-0.5)/1386</f>
        <v>0.940476190476191</v>
      </c>
      <c r="M1305" s="18" t="n">
        <f aca="false">_xlfn.NORM.DIST(K1305,AVERAGE($G$2:$G$1387),_xlfn.STDEV.S($G$2:$G$1387),TRUE())</f>
        <v>0.936460014480343</v>
      </c>
    </row>
    <row r="1306" customFormat="false" ht="15" hidden="false" customHeight="false" outlineLevel="0" collapsed="false">
      <c r="A1306" s="0" t="n">
        <f aca="false">ROW()-1</f>
        <v>1305</v>
      </c>
      <c r="B1306" s="0" t="str">
        <f aca="false">'Analysis Data'!A1306</f>
        <v>Woodland Hills</v>
      </c>
      <c r="C1306" s="5" t="n">
        <f aca="false">'Analysis Data'!B1306</f>
        <v>40344</v>
      </c>
      <c r="D1306" s="6" t="n">
        <f aca="false">'Analysis Data'!C1306</f>
        <v>332.512398343101</v>
      </c>
      <c r="E1306" s="15" t="n">
        <f aca="false">SUMPRODUCT('Final Model'!$B$45:$I$45,'Analysis Data'!N1306:U1306)</f>
        <v>230.827794491247</v>
      </c>
      <c r="F1306" s="15" t="n">
        <f aca="false">D1306-E1306</f>
        <v>101.684603851854</v>
      </c>
      <c r="G1306" s="13" t="n">
        <f aca="false">F1306/'Final Model'!$B$21</f>
        <v>2.07384077821994</v>
      </c>
      <c r="H1306" s="6" t="n">
        <f aca="false">F1306^2</f>
        <v>10339.7586605084</v>
      </c>
      <c r="J1306" s="6" t="n">
        <f aca="false">A1306</f>
        <v>1305</v>
      </c>
      <c r="K1306" s="13" t="n">
        <f aca="false">SMALL($G$2:$G$1387,J1306)</f>
        <v>1.52750942579207</v>
      </c>
      <c r="L1306" s="18" t="n">
        <f aca="false">(J1306-0.5)/1386</f>
        <v>0.941197691197691</v>
      </c>
      <c r="M1306" s="18" t="n">
        <f aca="false">_xlfn.NORM.DIST(K1306,AVERAGE($G$2:$G$1387),_xlfn.STDEV.S($G$2:$G$1387),TRUE())</f>
        <v>0.937162773090416</v>
      </c>
    </row>
    <row r="1307" customFormat="false" ht="15" hidden="false" customHeight="false" outlineLevel="0" collapsed="false">
      <c r="A1307" s="0" t="n">
        <f aca="false">ROW()-1</f>
        <v>1306</v>
      </c>
      <c r="B1307" s="0" t="str">
        <f aca="false">'Analysis Data'!A1307</f>
        <v>Woodland Hills</v>
      </c>
      <c r="C1307" s="5" t="n">
        <f aca="false">'Analysis Data'!B1307</f>
        <v>40351</v>
      </c>
      <c r="D1307" s="6" t="n">
        <f aca="false">'Analysis Data'!C1307</f>
        <v>231.775468199284</v>
      </c>
      <c r="E1307" s="15" t="n">
        <f aca="false">SUMPRODUCT('Final Model'!$B$45:$I$45,'Analysis Data'!N1307:U1307)</f>
        <v>225.924160831165</v>
      </c>
      <c r="F1307" s="15" t="n">
        <f aca="false">D1307-E1307</f>
        <v>5.85130736811991</v>
      </c>
      <c r="G1307" s="13" t="n">
        <f aca="false">F1307/'Final Model'!$B$21</f>
        <v>0.119336451795447</v>
      </c>
      <c r="H1307" s="6" t="n">
        <f aca="false">F1307^2</f>
        <v>34.2377979162143</v>
      </c>
      <c r="J1307" s="6" t="n">
        <f aca="false">A1307</f>
        <v>1306</v>
      </c>
      <c r="K1307" s="13" t="n">
        <f aca="false">SMALL($G$2:$G$1387,J1307)</f>
        <v>1.53180257690918</v>
      </c>
      <c r="L1307" s="18" t="n">
        <f aca="false">(J1307-0.5)/1386</f>
        <v>0.941919191919192</v>
      </c>
      <c r="M1307" s="18" t="n">
        <f aca="false">_xlfn.NORM.DIST(K1307,AVERAGE($G$2:$G$1387),_xlfn.STDEV.S($G$2:$G$1387),TRUE())</f>
        <v>0.937692576234882</v>
      </c>
    </row>
    <row r="1308" customFormat="false" ht="15" hidden="false" customHeight="false" outlineLevel="0" collapsed="false">
      <c r="A1308" s="0" t="n">
        <f aca="false">ROW()-1</f>
        <v>1307</v>
      </c>
      <c r="B1308" s="0" t="str">
        <f aca="false">'Analysis Data'!A1308</f>
        <v>Woodland Hills</v>
      </c>
      <c r="C1308" s="5" t="n">
        <f aca="false">'Analysis Data'!B1308</f>
        <v>40358</v>
      </c>
      <c r="D1308" s="6" t="n">
        <f aca="false">'Analysis Data'!C1308</f>
        <v>316.407758617603</v>
      </c>
      <c r="E1308" s="15" t="n">
        <f aca="false">SUMPRODUCT('Final Model'!$B$45:$I$45,'Analysis Data'!N1308:U1308)</f>
        <v>328.999131982868</v>
      </c>
      <c r="F1308" s="15" t="n">
        <f aca="false">D1308-E1308</f>
        <v>-12.5913733652655</v>
      </c>
      <c r="G1308" s="13" t="n">
        <f aca="false">F1308/'Final Model'!$B$21</f>
        <v>-0.256798989714548</v>
      </c>
      <c r="H1308" s="6" t="n">
        <f aca="false">F1308^2</f>
        <v>158.542683223517</v>
      </c>
      <c r="J1308" s="6" t="n">
        <f aca="false">A1308</f>
        <v>1307</v>
      </c>
      <c r="K1308" s="13" t="n">
        <f aca="false">SMALL($G$2:$G$1387,J1308)</f>
        <v>1.53376736447163</v>
      </c>
      <c r="L1308" s="18" t="n">
        <f aca="false">(J1308-0.5)/1386</f>
        <v>0.942640692640693</v>
      </c>
      <c r="M1308" s="18" t="n">
        <f aca="false">_xlfn.NORM.DIST(K1308,AVERAGE($G$2:$G$1387),_xlfn.STDEV.S($G$2:$G$1387),TRUE())</f>
        <v>0.937933878979764</v>
      </c>
    </row>
    <row r="1309" customFormat="false" ht="15" hidden="false" customHeight="false" outlineLevel="0" collapsed="false">
      <c r="A1309" s="0" t="n">
        <f aca="false">ROW()-1</f>
        <v>1308</v>
      </c>
      <c r="B1309" s="0" t="str">
        <f aca="false">'Analysis Data'!A1309</f>
        <v>Woodland Hills</v>
      </c>
      <c r="C1309" s="5" t="n">
        <f aca="false">'Analysis Data'!B1309</f>
        <v>40365</v>
      </c>
      <c r="D1309" s="6" t="n">
        <f aca="false">'Analysis Data'!C1309</f>
        <v>261.562925813078</v>
      </c>
      <c r="E1309" s="15" t="n">
        <f aca="false">SUMPRODUCT('Final Model'!$B$45:$I$45,'Analysis Data'!N1309:U1309)</f>
        <v>300.176607153461</v>
      </c>
      <c r="F1309" s="15" t="n">
        <f aca="false">D1309-E1309</f>
        <v>-38.6136813403829</v>
      </c>
      <c r="G1309" s="13" t="n">
        <f aca="false">F1309/'Final Model'!$B$21</f>
        <v>-0.787519682699896</v>
      </c>
      <c r="H1309" s="6" t="n">
        <f aca="false">F1309^2</f>
        <v>1491.01638665663</v>
      </c>
      <c r="J1309" s="6" t="n">
        <f aca="false">A1309</f>
        <v>1308</v>
      </c>
      <c r="K1309" s="13" t="n">
        <f aca="false">SMALL($G$2:$G$1387,J1309)</f>
        <v>1.53581252371038</v>
      </c>
      <c r="L1309" s="18" t="n">
        <f aca="false">(J1309-0.5)/1386</f>
        <v>0.943362193362193</v>
      </c>
      <c r="M1309" s="18" t="n">
        <f aca="false">_xlfn.NORM.DIST(K1309,AVERAGE($G$2:$G$1387),_xlfn.STDEV.S($G$2:$G$1387),TRUE())</f>
        <v>0.938184277334314</v>
      </c>
    </row>
    <row r="1310" customFormat="false" ht="15" hidden="false" customHeight="false" outlineLevel="0" collapsed="false">
      <c r="A1310" s="0" t="n">
        <f aca="false">ROW()-1</f>
        <v>1309</v>
      </c>
      <c r="B1310" s="0" t="str">
        <f aca="false">'Analysis Data'!A1310</f>
        <v>Woodland Hills</v>
      </c>
      <c r="C1310" s="5" t="n">
        <f aca="false">'Analysis Data'!B1310</f>
        <v>40372</v>
      </c>
      <c r="D1310" s="6" t="n">
        <f aca="false">'Analysis Data'!C1310</f>
        <v>324.381047185873</v>
      </c>
      <c r="E1310" s="15" t="n">
        <f aca="false">SUMPRODUCT('Final Model'!$B$45:$I$45,'Analysis Data'!N1310:U1310)</f>
        <v>300.176607153461</v>
      </c>
      <c r="F1310" s="15" t="n">
        <f aca="false">D1310-E1310</f>
        <v>24.2044400324126</v>
      </c>
      <c r="G1310" s="13" t="n">
        <f aca="false">F1310/'Final Model'!$B$21</f>
        <v>0.493645575158342</v>
      </c>
      <c r="H1310" s="6" t="n">
        <f aca="false">F1310^2</f>
        <v>585.854917282658</v>
      </c>
      <c r="J1310" s="6" t="n">
        <f aca="false">A1310</f>
        <v>1309</v>
      </c>
      <c r="K1310" s="13" t="n">
        <f aca="false">SMALL($G$2:$G$1387,J1310)</f>
        <v>1.55117808958521</v>
      </c>
      <c r="L1310" s="18" t="n">
        <f aca="false">(J1310-0.5)/1386</f>
        <v>0.944083694083694</v>
      </c>
      <c r="M1310" s="18" t="n">
        <f aca="false">_xlfn.NORM.DIST(K1310,AVERAGE($G$2:$G$1387),_xlfn.STDEV.S($G$2:$G$1387),TRUE())</f>
        <v>0.940040415081472</v>
      </c>
    </row>
    <row r="1311" customFormat="false" ht="15" hidden="false" customHeight="false" outlineLevel="0" collapsed="false">
      <c r="A1311" s="0" t="n">
        <f aca="false">ROW()-1</f>
        <v>1310</v>
      </c>
      <c r="B1311" s="0" t="str">
        <f aca="false">'Analysis Data'!A1311</f>
        <v>Alamo Quarry</v>
      </c>
      <c r="C1311" s="5" t="n">
        <f aca="false">'Analysis Data'!B1311</f>
        <v>40302</v>
      </c>
      <c r="D1311" s="6" t="n">
        <f aca="false">'Analysis Data'!C1311</f>
        <v>186.94634432042</v>
      </c>
      <c r="E1311" s="15" t="n">
        <f aca="false">SUMPRODUCT('Final Model'!$B$45:$I$45,'Analysis Data'!N1311:U1311)</f>
        <v>179.702211226144</v>
      </c>
      <c r="F1311" s="15" t="n">
        <f aca="false">D1311-E1311</f>
        <v>7.24413309427624</v>
      </c>
      <c r="G1311" s="13" t="n">
        <f aca="false">F1311/'Final Model'!$B$21</f>
        <v>0.147742903494518</v>
      </c>
      <c r="H1311" s="6" t="n">
        <f aca="false">F1311^2</f>
        <v>52.4774642875882</v>
      </c>
      <c r="J1311" s="6" t="n">
        <f aca="false">A1311</f>
        <v>1310</v>
      </c>
      <c r="K1311" s="13" t="n">
        <f aca="false">SMALL($G$2:$G$1387,J1311)</f>
        <v>1.55611611350087</v>
      </c>
      <c r="L1311" s="18" t="n">
        <f aca="false">(J1311-0.5)/1386</f>
        <v>0.944805194805195</v>
      </c>
      <c r="M1311" s="18" t="n">
        <f aca="false">_xlfn.NORM.DIST(K1311,AVERAGE($G$2:$G$1387),_xlfn.STDEV.S($G$2:$G$1387),TRUE())</f>
        <v>0.940627562760426</v>
      </c>
    </row>
    <row r="1312" customFormat="false" ht="15" hidden="false" customHeight="false" outlineLevel="0" collapsed="false">
      <c r="A1312" s="0" t="n">
        <f aca="false">ROW()-1</f>
        <v>1311</v>
      </c>
      <c r="B1312" s="0" t="str">
        <f aca="false">'Analysis Data'!A1312</f>
        <v>Alamo Quarry</v>
      </c>
      <c r="C1312" s="5" t="n">
        <f aca="false">'Analysis Data'!B1312</f>
        <v>40309</v>
      </c>
      <c r="D1312" s="6" t="n">
        <f aca="false">'Analysis Data'!C1312</f>
        <v>179.850245991679</v>
      </c>
      <c r="E1312" s="15" t="n">
        <f aca="false">SUMPRODUCT('Final Model'!$B$45:$I$45,'Analysis Data'!N1312:U1312)</f>
        <v>179.702211226144</v>
      </c>
      <c r="F1312" s="15" t="n">
        <f aca="false">D1312-E1312</f>
        <v>0.148034765535328</v>
      </c>
      <c r="G1312" s="13" t="n">
        <f aca="false">F1312/'Final Model'!$B$21</f>
        <v>0.00301914470561018</v>
      </c>
      <c r="H1312" s="6" t="n">
        <f aca="false">F1312^2</f>
        <v>0.0219142918070997</v>
      </c>
      <c r="J1312" s="6" t="n">
        <f aca="false">A1312</f>
        <v>1311</v>
      </c>
      <c r="K1312" s="13" t="n">
        <f aca="false">SMALL($G$2:$G$1387,J1312)</f>
        <v>1.55760172587081</v>
      </c>
      <c r="L1312" s="18" t="n">
        <f aca="false">(J1312-0.5)/1386</f>
        <v>0.945526695526696</v>
      </c>
      <c r="M1312" s="18" t="n">
        <f aca="false">_xlfn.NORM.DIST(K1312,AVERAGE($G$2:$G$1387),_xlfn.STDEV.S($G$2:$G$1387),TRUE())</f>
        <v>0.94080332221172</v>
      </c>
    </row>
    <row r="1313" customFormat="false" ht="15" hidden="false" customHeight="false" outlineLevel="0" collapsed="false">
      <c r="A1313" s="0" t="n">
        <f aca="false">ROW()-1</f>
        <v>1312</v>
      </c>
      <c r="B1313" s="0" t="str">
        <f aca="false">'Analysis Data'!A1313</f>
        <v>Alamo Quarry</v>
      </c>
      <c r="C1313" s="5" t="n">
        <f aca="false">'Analysis Data'!B1313</f>
        <v>40316</v>
      </c>
      <c r="D1313" s="6" t="n">
        <f aca="false">'Analysis Data'!C1313</f>
        <v>133.853047235151</v>
      </c>
      <c r="E1313" s="15" t="n">
        <f aca="false">SUMPRODUCT('Final Model'!$B$45:$I$45,'Analysis Data'!N1313:U1313)</f>
        <v>191.838704546985</v>
      </c>
      <c r="F1313" s="15" t="n">
        <f aca="false">D1313-E1313</f>
        <v>-57.9856573118345</v>
      </c>
      <c r="G1313" s="13" t="n">
        <f aca="false">F1313/'Final Model'!$B$21</f>
        <v>-1.18260794781055</v>
      </c>
      <c r="H1313" s="6" t="n">
        <f aca="false">F1313^2</f>
        <v>3362.33645388551</v>
      </c>
      <c r="J1313" s="6" t="n">
        <f aca="false">A1313</f>
        <v>1312</v>
      </c>
      <c r="K1313" s="13" t="n">
        <f aca="false">SMALL($G$2:$G$1387,J1313)</f>
        <v>1.5592031386908</v>
      </c>
      <c r="L1313" s="18" t="n">
        <f aca="false">(J1313-0.5)/1386</f>
        <v>0.946248196248196</v>
      </c>
      <c r="M1313" s="18" t="n">
        <f aca="false">_xlfn.NORM.DIST(K1313,AVERAGE($G$2:$G$1387),_xlfn.STDEV.S($G$2:$G$1387),TRUE())</f>
        <v>0.940992324493352</v>
      </c>
    </row>
    <row r="1314" customFormat="false" ht="15" hidden="false" customHeight="false" outlineLevel="0" collapsed="false">
      <c r="A1314" s="0" t="n">
        <f aca="false">ROW()-1</f>
        <v>1313</v>
      </c>
      <c r="B1314" s="0" t="str">
        <f aca="false">'Analysis Data'!A1314</f>
        <v>Alamo Quarry</v>
      </c>
      <c r="C1314" s="5" t="n">
        <f aca="false">'Analysis Data'!B1314</f>
        <v>40323</v>
      </c>
      <c r="D1314" s="6" t="n">
        <f aca="false">'Analysis Data'!C1314</f>
        <v>202.418789469493</v>
      </c>
      <c r="E1314" s="15" t="n">
        <f aca="false">SUMPRODUCT('Final Model'!$B$45:$I$45,'Analysis Data'!N1314:U1314)</f>
        <v>193.790727938055</v>
      </c>
      <c r="F1314" s="15" t="n">
        <f aca="false">D1314-E1314</f>
        <v>8.62806153143794</v>
      </c>
      <c r="G1314" s="13" t="n">
        <f aca="false">F1314/'Final Model'!$B$21</f>
        <v>0.175967896447291</v>
      </c>
      <c r="H1314" s="6" t="n">
        <f aca="false">F1314^2</f>
        <v>74.4434457902791</v>
      </c>
      <c r="J1314" s="6" t="n">
        <f aca="false">A1314</f>
        <v>1313</v>
      </c>
      <c r="K1314" s="13" t="n">
        <f aca="false">SMALL($G$2:$G$1387,J1314)</f>
        <v>1.56417775422371</v>
      </c>
      <c r="L1314" s="18" t="n">
        <f aca="false">(J1314-0.5)/1386</f>
        <v>0.946969696969697</v>
      </c>
      <c r="M1314" s="18" t="n">
        <f aca="false">_xlfn.NORM.DIST(K1314,AVERAGE($G$2:$G$1387),_xlfn.STDEV.S($G$2:$G$1387),TRUE())</f>
        <v>0.941576421315555</v>
      </c>
    </row>
    <row r="1315" customFormat="false" ht="15" hidden="false" customHeight="false" outlineLevel="0" collapsed="false">
      <c r="A1315" s="0" t="n">
        <f aca="false">ROW()-1</f>
        <v>1314</v>
      </c>
      <c r="B1315" s="0" t="str">
        <f aca="false">'Analysis Data'!A1315</f>
        <v>Alamo Quarry</v>
      </c>
      <c r="C1315" s="5" t="n">
        <f aca="false">'Analysis Data'!B1315</f>
        <v>40330</v>
      </c>
      <c r="D1315" s="6" t="n">
        <f aca="false">'Analysis Data'!C1315</f>
        <v>235.23401257871</v>
      </c>
      <c r="E1315" s="15" t="n">
        <f aca="false">SUMPRODUCT('Final Model'!$B$45:$I$45,'Analysis Data'!N1315:U1315)</f>
        <v>195.463890857296</v>
      </c>
      <c r="F1315" s="15" t="n">
        <f aca="false">D1315-E1315</f>
        <v>39.7701217214146</v>
      </c>
      <c r="G1315" s="13" t="n">
        <f aca="false">F1315/'Final Model'!$B$21</f>
        <v>0.811105094147807</v>
      </c>
      <c r="H1315" s="6" t="n">
        <f aca="false">F1315^2</f>
        <v>1581.66258173614</v>
      </c>
      <c r="J1315" s="6" t="n">
        <f aca="false">A1315</f>
        <v>1314</v>
      </c>
      <c r="K1315" s="13" t="n">
        <f aca="false">SMALL($G$2:$G$1387,J1315)</f>
        <v>1.58512811101768</v>
      </c>
      <c r="L1315" s="18" t="n">
        <f aca="false">(J1315-0.5)/1386</f>
        <v>0.947691197691198</v>
      </c>
      <c r="M1315" s="18" t="n">
        <f aca="false">_xlfn.NORM.DIST(K1315,AVERAGE($G$2:$G$1387),_xlfn.STDEV.S($G$2:$G$1387),TRUE())</f>
        <v>0.943986632396707</v>
      </c>
    </row>
    <row r="1316" customFormat="false" ht="15" hidden="false" customHeight="false" outlineLevel="0" collapsed="false">
      <c r="A1316" s="0" t="n">
        <f aca="false">ROW()-1</f>
        <v>1315</v>
      </c>
      <c r="B1316" s="0" t="str">
        <f aca="false">'Analysis Data'!A1316</f>
        <v>Alamo Quarry</v>
      </c>
      <c r="C1316" s="5" t="n">
        <f aca="false">'Analysis Data'!B1316</f>
        <v>40337</v>
      </c>
      <c r="D1316" s="6" t="n">
        <f aca="false">'Analysis Data'!C1316</f>
        <v>145.638057140129</v>
      </c>
      <c r="E1316" s="15" t="n">
        <f aca="false">SUMPRODUCT('Final Model'!$B$45:$I$45,'Analysis Data'!N1316:U1316)</f>
        <v>170.560437042723</v>
      </c>
      <c r="F1316" s="15" t="n">
        <f aca="false">D1316-E1316</f>
        <v>-24.9223799025949</v>
      </c>
      <c r="G1316" s="13" t="n">
        <f aca="false">F1316/'Final Model'!$B$21</f>
        <v>-0.508287840778643</v>
      </c>
      <c r="H1316" s="6" t="n">
        <f aca="false">F1316^2</f>
        <v>621.125020009265</v>
      </c>
      <c r="J1316" s="6" t="n">
        <f aca="false">A1316</f>
        <v>1315</v>
      </c>
      <c r="K1316" s="13" t="n">
        <f aca="false">SMALL($G$2:$G$1387,J1316)</f>
        <v>1.61845116058466</v>
      </c>
      <c r="L1316" s="18" t="n">
        <f aca="false">(J1316-0.5)/1386</f>
        <v>0.948412698412698</v>
      </c>
      <c r="M1316" s="18" t="n">
        <f aca="false">_xlfn.NORM.DIST(K1316,AVERAGE($G$2:$G$1387),_xlfn.STDEV.S($G$2:$G$1387),TRUE())</f>
        <v>0.947657896143261</v>
      </c>
    </row>
    <row r="1317" customFormat="false" ht="15" hidden="false" customHeight="false" outlineLevel="0" collapsed="false">
      <c r="A1317" s="0" t="n">
        <f aca="false">ROW()-1</f>
        <v>1316</v>
      </c>
      <c r="B1317" s="0" t="str">
        <f aca="false">'Analysis Data'!A1317</f>
        <v>Alamo Quarry</v>
      </c>
      <c r="C1317" s="5" t="n">
        <f aca="false">'Analysis Data'!B1317</f>
        <v>40344</v>
      </c>
      <c r="D1317" s="6" t="n">
        <f aca="false">'Analysis Data'!C1317</f>
        <v>179.264614060591</v>
      </c>
      <c r="E1317" s="15" t="n">
        <f aca="false">SUMPRODUCT('Final Model'!$B$45:$I$45,'Analysis Data'!N1317:U1317)</f>
        <v>182.570836920161</v>
      </c>
      <c r="F1317" s="15" t="n">
        <f aca="false">D1317-E1317</f>
        <v>-3.30622285957</v>
      </c>
      <c r="G1317" s="13" t="n">
        <f aca="false">F1317/'Final Model'!$B$21</f>
        <v>-0.0674298716652198</v>
      </c>
      <c r="H1317" s="6" t="n">
        <f aca="false">F1317^2</f>
        <v>10.9311095971432</v>
      </c>
      <c r="J1317" s="6" t="n">
        <f aca="false">A1317</f>
        <v>1316</v>
      </c>
      <c r="K1317" s="13" t="n">
        <f aca="false">SMALL($G$2:$G$1387,J1317)</f>
        <v>1.6285806798131</v>
      </c>
      <c r="L1317" s="18" t="n">
        <f aca="false">(J1317-0.5)/1386</f>
        <v>0.949134199134199</v>
      </c>
      <c r="M1317" s="18" t="n">
        <f aca="false">_xlfn.NORM.DIST(K1317,AVERAGE($G$2:$G$1387),_xlfn.STDEV.S($G$2:$G$1387),TRUE())</f>
        <v>0.948735197542526</v>
      </c>
    </row>
    <row r="1318" customFormat="false" ht="15" hidden="false" customHeight="false" outlineLevel="0" collapsed="false">
      <c r="A1318" s="0" t="n">
        <f aca="false">ROW()-1</f>
        <v>1317</v>
      </c>
      <c r="B1318" s="0" t="str">
        <f aca="false">'Analysis Data'!A1318</f>
        <v>Alamo Quarry</v>
      </c>
      <c r="C1318" s="5" t="n">
        <f aca="false">'Analysis Data'!B1318</f>
        <v>40351</v>
      </c>
      <c r="D1318" s="6" t="n">
        <f aca="false">'Analysis Data'!C1318</f>
        <v>220.796391642227</v>
      </c>
      <c r="E1318" s="15" t="n">
        <f aca="false">SUMPRODUCT('Final Model'!$B$45:$I$45,'Analysis Data'!N1318:U1318)</f>
        <v>174.380326445352</v>
      </c>
      <c r="F1318" s="15" t="n">
        <f aca="false">D1318-E1318</f>
        <v>46.4160651968753</v>
      </c>
      <c r="G1318" s="13" t="n">
        <f aca="false">F1318/'Final Model'!$B$21</f>
        <v>0.946648018711248</v>
      </c>
      <c r="H1318" s="6" t="n">
        <f aca="false">F1318^2</f>
        <v>2154.45110836058</v>
      </c>
      <c r="J1318" s="6" t="n">
        <f aca="false">A1318</f>
        <v>1317</v>
      </c>
      <c r="K1318" s="13" t="n">
        <f aca="false">SMALL($G$2:$G$1387,J1318)</f>
        <v>1.63258026818596</v>
      </c>
      <c r="L1318" s="18" t="n">
        <f aca="false">(J1318-0.5)/1386</f>
        <v>0.9498556998557</v>
      </c>
      <c r="M1318" s="18" t="n">
        <f aca="false">_xlfn.NORM.DIST(K1318,AVERAGE($G$2:$G$1387),_xlfn.STDEV.S($G$2:$G$1387),TRUE())</f>
        <v>0.94915567604554</v>
      </c>
    </row>
    <row r="1319" customFormat="false" ht="15" hidden="false" customHeight="false" outlineLevel="0" collapsed="false">
      <c r="A1319" s="0" t="n">
        <f aca="false">ROW()-1</f>
        <v>1318</v>
      </c>
      <c r="B1319" s="0" t="str">
        <f aca="false">'Analysis Data'!A1319</f>
        <v>Alamo Quarry</v>
      </c>
      <c r="C1319" s="5" t="n">
        <f aca="false">'Analysis Data'!B1319</f>
        <v>40358</v>
      </c>
      <c r="D1319" s="6" t="n">
        <f aca="false">'Analysis Data'!C1319</f>
        <v>199.024647896943</v>
      </c>
      <c r="E1319" s="15" t="n">
        <f aca="false">SUMPRODUCT('Final Model'!$B$45:$I$45,'Analysis Data'!N1319:U1319)</f>
        <v>174.380326445352</v>
      </c>
      <c r="F1319" s="15" t="n">
        <f aca="false">D1319-E1319</f>
        <v>24.6443214515917</v>
      </c>
      <c r="G1319" s="13" t="n">
        <f aca="false">F1319/'Final Model'!$B$21</f>
        <v>0.502616884384308</v>
      </c>
      <c r="H1319" s="6" t="n">
        <f aca="false">F1319^2</f>
        <v>607.342579809383</v>
      </c>
      <c r="J1319" s="6" t="n">
        <f aca="false">A1319</f>
        <v>1318</v>
      </c>
      <c r="K1319" s="13" t="n">
        <f aca="false">SMALL($G$2:$G$1387,J1319)</f>
        <v>1.63575824033569</v>
      </c>
      <c r="L1319" s="18" t="n">
        <f aca="false">(J1319-0.5)/1386</f>
        <v>0.950577200577201</v>
      </c>
      <c r="M1319" s="18" t="n">
        <f aca="false">_xlfn.NORM.DIST(K1319,AVERAGE($G$2:$G$1387),_xlfn.STDEV.S($G$2:$G$1387),TRUE())</f>
        <v>0.949487816126232</v>
      </c>
    </row>
    <row r="1320" customFormat="false" ht="15" hidden="false" customHeight="false" outlineLevel="0" collapsed="false">
      <c r="A1320" s="0" t="n">
        <f aca="false">ROW()-1</f>
        <v>1319</v>
      </c>
      <c r="B1320" s="0" t="str">
        <f aca="false">'Analysis Data'!A1320</f>
        <v>Alamo Quarry</v>
      </c>
      <c r="C1320" s="5" t="n">
        <f aca="false">'Analysis Data'!B1320</f>
        <v>40365</v>
      </c>
      <c r="D1320" s="6" t="n">
        <f aca="false">'Analysis Data'!C1320</f>
        <v>113.136783353201</v>
      </c>
      <c r="E1320" s="15" t="n">
        <f aca="false">SUMPRODUCT('Final Model'!$B$45:$I$45,'Analysis Data'!N1320:U1320)</f>
        <v>179.014260258764</v>
      </c>
      <c r="F1320" s="15" t="n">
        <f aca="false">D1320-E1320</f>
        <v>-65.8774769055627</v>
      </c>
      <c r="G1320" s="13" t="n">
        <f aca="false">F1320/'Final Model'!$B$21</f>
        <v>-1.34356031097925</v>
      </c>
      <c r="H1320" s="6" t="n">
        <f aca="false">F1320^2</f>
        <v>4339.84196344295</v>
      </c>
      <c r="J1320" s="6" t="n">
        <f aca="false">A1320</f>
        <v>1319</v>
      </c>
      <c r="K1320" s="13" t="n">
        <f aca="false">SMALL($G$2:$G$1387,J1320)</f>
        <v>1.63662494658235</v>
      </c>
      <c r="L1320" s="18" t="n">
        <f aca="false">(J1320-0.5)/1386</f>
        <v>0.951298701298701</v>
      </c>
      <c r="M1320" s="18" t="n">
        <f aca="false">_xlfn.NORM.DIST(K1320,AVERAGE($G$2:$G$1387),_xlfn.STDEV.S($G$2:$G$1387),TRUE())</f>
        <v>0.949578097754059</v>
      </c>
    </row>
    <row r="1321" customFormat="false" ht="15" hidden="false" customHeight="false" outlineLevel="0" collapsed="false">
      <c r="A1321" s="0" t="n">
        <f aca="false">ROW()-1</f>
        <v>1320</v>
      </c>
      <c r="B1321" s="0" t="str">
        <f aca="false">'Analysis Data'!A1321</f>
        <v>Alamo Quarry</v>
      </c>
      <c r="C1321" s="5" t="n">
        <f aca="false">'Analysis Data'!B1321</f>
        <v>40372</v>
      </c>
      <c r="D1321" s="6" t="n">
        <f aca="false">'Analysis Data'!C1321</f>
        <v>158.695729295327</v>
      </c>
      <c r="E1321" s="15" t="n">
        <f aca="false">SUMPRODUCT('Final Model'!$B$45:$I$45,'Analysis Data'!N1321:U1321)</f>
        <v>186.69448635531</v>
      </c>
      <c r="F1321" s="15" t="n">
        <f aca="false">D1321-E1321</f>
        <v>-27.9987570599838</v>
      </c>
      <c r="G1321" s="13" t="n">
        <f aca="false">F1321/'Final Model'!$B$21</f>
        <v>-0.571030047135395</v>
      </c>
      <c r="H1321" s="6" t="n">
        <f aca="false">F1321^2</f>
        <v>783.930396903994</v>
      </c>
      <c r="J1321" s="6" t="n">
        <f aca="false">A1321</f>
        <v>1320</v>
      </c>
      <c r="K1321" s="13" t="n">
        <f aca="false">SMALL($G$2:$G$1387,J1321)</f>
        <v>1.65315947054382</v>
      </c>
      <c r="L1321" s="18" t="n">
        <f aca="false">(J1321-0.5)/1386</f>
        <v>0.952020202020202</v>
      </c>
      <c r="M1321" s="18" t="n">
        <f aca="false">_xlfn.NORM.DIST(K1321,AVERAGE($G$2:$G$1387),_xlfn.STDEV.S($G$2:$G$1387),TRUE())</f>
        <v>0.951275939419625</v>
      </c>
    </row>
    <row r="1322" customFormat="false" ht="15" hidden="false" customHeight="false" outlineLevel="0" collapsed="false">
      <c r="A1322" s="0" t="n">
        <f aca="false">ROW()-1</f>
        <v>1321</v>
      </c>
      <c r="B1322" s="0" t="str">
        <f aca="false">'Analysis Data'!A1322</f>
        <v>Bellaire</v>
      </c>
      <c r="C1322" s="5" t="n">
        <f aca="false">'Analysis Data'!B1322</f>
        <v>40302</v>
      </c>
      <c r="D1322" s="6" t="n">
        <f aca="false">'Analysis Data'!C1322</f>
        <v>202.145816681568</v>
      </c>
      <c r="E1322" s="15" t="n">
        <f aca="false">SUMPRODUCT('Final Model'!$B$45:$I$45,'Analysis Data'!N1322:U1322)</f>
        <v>175.919408122611</v>
      </c>
      <c r="F1322" s="15" t="n">
        <f aca="false">D1322-E1322</f>
        <v>26.2264085589567</v>
      </c>
      <c r="G1322" s="13" t="n">
        <f aca="false">F1322/'Final Model'!$B$21</f>
        <v>0.534883290837833</v>
      </c>
      <c r="H1322" s="6" t="n">
        <f aca="false">F1322^2</f>
        <v>687.824505901318</v>
      </c>
      <c r="J1322" s="6" t="n">
        <f aca="false">A1322</f>
        <v>1321</v>
      </c>
      <c r="K1322" s="13" t="n">
        <f aca="false">SMALL($G$2:$G$1387,J1322)</f>
        <v>1.65873631577515</v>
      </c>
      <c r="L1322" s="18" t="n">
        <f aca="false">(J1322-0.5)/1386</f>
        <v>0.952741702741703</v>
      </c>
      <c r="M1322" s="18" t="n">
        <f aca="false">_xlfn.NORM.DIST(K1322,AVERAGE($G$2:$G$1387),_xlfn.STDEV.S($G$2:$G$1387),TRUE())</f>
        <v>0.951838179638109</v>
      </c>
    </row>
    <row r="1323" customFormat="false" ht="15" hidden="false" customHeight="false" outlineLevel="0" collapsed="false">
      <c r="A1323" s="0" t="n">
        <f aca="false">ROW()-1</f>
        <v>1322</v>
      </c>
      <c r="B1323" s="0" t="str">
        <f aca="false">'Analysis Data'!A1323</f>
        <v>Bellaire</v>
      </c>
      <c r="C1323" s="5" t="n">
        <f aca="false">'Analysis Data'!B1323</f>
        <v>40309</v>
      </c>
      <c r="D1323" s="6" t="n">
        <f aca="false">'Analysis Data'!C1323</f>
        <v>52.2131457856578</v>
      </c>
      <c r="E1323" s="15" t="n">
        <f aca="false">SUMPRODUCT('Final Model'!$B$45:$I$45,'Analysis Data'!N1323:U1323)</f>
        <v>175.919408122611</v>
      </c>
      <c r="F1323" s="15" t="n">
        <f aca="false">D1323-E1323</f>
        <v>-123.706262336953</v>
      </c>
      <c r="G1323" s="13" t="n">
        <f aca="false">F1323/'Final Model'!$B$21</f>
        <v>-2.52296888257848</v>
      </c>
      <c r="H1323" s="6" t="n">
        <f aca="false">F1323^2</f>
        <v>15303.2393413791</v>
      </c>
      <c r="J1323" s="6" t="n">
        <f aca="false">A1323</f>
        <v>1322</v>
      </c>
      <c r="K1323" s="13" t="n">
        <f aca="false">SMALL($G$2:$G$1387,J1323)</f>
        <v>1.66084069344849</v>
      </c>
      <c r="L1323" s="18" t="n">
        <f aca="false">(J1323-0.5)/1386</f>
        <v>0.953463203463204</v>
      </c>
      <c r="M1323" s="18" t="n">
        <f aca="false">_xlfn.NORM.DIST(K1323,AVERAGE($G$2:$G$1387),_xlfn.STDEV.S($G$2:$G$1387),TRUE())</f>
        <v>0.9520489826697</v>
      </c>
    </row>
    <row r="1324" customFormat="false" ht="15" hidden="false" customHeight="false" outlineLevel="0" collapsed="false">
      <c r="A1324" s="0" t="n">
        <f aca="false">ROW()-1</f>
        <v>1323</v>
      </c>
      <c r="B1324" s="0" t="str">
        <f aca="false">'Analysis Data'!A1324</f>
        <v>Bellaire</v>
      </c>
      <c r="C1324" s="5" t="n">
        <f aca="false">'Analysis Data'!B1324</f>
        <v>40316</v>
      </c>
      <c r="D1324" s="6" t="n">
        <f aca="false">'Analysis Data'!C1324</f>
        <v>207.05881042358</v>
      </c>
      <c r="E1324" s="15" t="n">
        <f aca="false">SUMPRODUCT('Final Model'!$B$45:$I$45,'Analysis Data'!N1324:U1324)</f>
        <v>190.104919777408</v>
      </c>
      <c r="F1324" s="15" t="n">
        <f aca="false">D1324-E1324</f>
        <v>16.9538906461717</v>
      </c>
      <c r="G1324" s="13" t="n">
        <f aca="false">F1324/'Final Model'!$B$21</f>
        <v>0.345771812444069</v>
      </c>
      <c r="H1324" s="6" t="n">
        <f aca="false">F1324^2</f>
        <v>287.43440804235</v>
      </c>
      <c r="J1324" s="6" t="n">
        <f aca="false">A1324</f>
        <v>1323</v>
      </c>
      <c r="K1324" s="13" t="n">
        <f aca="false">SMALL($G$2:$G$1387,J1324)</f>
        <v>1.66456553997275</v>
      </c>
      <c r="L1324" s="18" t="n">
        <f aca="false">(J1324-0.5)/1386</f>
        <v>0.954184704184704</v>
      </c>
      <c r="M1324" s="18" t="n">
        <f aca="false">_xlfn.NORM.DIST(K1324,AVERAGE($G$2:$G$1387),_xlfn.STDEV.S($G$2:$G$1387),TRUE())</f>
        <v>0.952420302693408</v>
      </c>
    </row>
    <row r="1325" customFormat="false" ht="15" hidden="false" customHeight="false" outlineLevel="0" collapsed="false">
      <c r="A1325" s="0" t="n">
        <f aca="false">ROW()-1</f>
        <v>1324</v>
      </c>
      <c r="B1325" s="0" t="str">
        <f aca="false">'Analysis Data'!A1325</f>
        <v>Bellaire</v>
      </c>
      <c r="C1325" s="5" t="n">
        <f aca="false">'Analysis Data'!B1325</f>
        <v>40323</v>
      </c>
      <c r="D1325" s="6" t="n">
        <f aca="false">'Analysis Data'!C1325</f>
        <v>152.876238856897</v>
      </c>
      <c r="E1325" s="15" t="n">
        <f aca="false">SUMPRODUCT('Final Model'!$B$45:$I$45,'Analysis Data'!N1325:U1325)</f>
        <v>190.367614440134</v>
      </c>
      <c r="F1325" s="15" t="n">
        <f aca="false">D1325-E1325</f>
        <v>-37.4913755832372</v>
      </c>
      <c r="G1325" s="13" t="n">
        <f aca="false">F1325/'Final Model'!$B$21</f>
        <v>-0.764630441294278</v>
      </c>
      <c r="H1325" s="6" t="n">
        <f aca="false">F1325^2</f>
        <v>1405.60324312335</v>
      </c>
      <c r="J1325" s="6" t="n">
        <f aca="false">A1325</f>
        <v>1324</v>
      </c>
      <c r="K1325" s="13" t="n">
        <f aca="false">SMALL($G$2:$G$1387,J1325)</f>
        <v>1.68763774640142</v>
      </c>
      <c r="L1325" s="18" t="n">
        <f aca="false">(J1325-0.5)/1386</f>
        <v>0.954906204906205</v>
      </c>
      <c r="M1325" s="18" t="n">
        <f aca="false">_xlfn.NORM.DIST(K1325,AVERAGE($G$2:$G$1387),_xlfn.STDEV.S($G$2:$G$1387),TRUE())</f>
        <v>0.954669268639352</v>
      </c>
    </row>
    <row r="1326" customFormat="false" ht="15" hidden="false" customHeight="false" outlineLevel="0" collapsed="false">
      <c r="A1326" s="0" t="n">
        <f aca="false">ROW()-1</f>
        <v>1325</v>
      </c>
      <c r="B1326" s="0" t="str">
        <f aca="false">'Analysis Data'!A1326</f>
        <v>Bellaire</v>
      </c>
      <c r="C1326" s="5" t="n">
        <f aca="false">'Analysis Data'!B1326</f>
        <v>40330</v>
      </c>
      <c r="D1326" s="6" t="n">
        <f aca="false">'Analysis Data'!C1326</f>
        <v>196.047162997307</v>
      </c>
      <c r="E1326" s="15" t="n">
        <f aca="false">SUMPRODUCT('Final Model'!$B$45:$I$45,'Analysis Data'!N1326:U1326)</f>
        <v>190.367614440134</v>
      </c>
      <c r="F1326" s="15" t="n">
        <f aca="false">D1326-E1326</f>
        <v>5.67954855717301</v>
      </c>
      <c r="G1326" s="13" t="n">
        <f aca="false">F1326/'Final Model'!$B$21</f>
        <v>0.115833459083992</v>
      </c>
      <c r="H1326" s="6" t="n">
        <f aca="false">F1326^2</f>
        <v>32.257271813286</v>
      </c>
      <c r="J1326" s="6" t="n">
        <f aca="false">A1326</f>
        <v>1325</v>
      </c>
      <c r="K1326" s="13" t="n">
        <f aca="false">SMALL($G$2:$G$1387,J1326)</f>
        <v>1.68780691668831</v>
      </c>
      <c r="L1326" s="18" t="n">
        <f aca="false">(J1326-0.5)/1386</f>
        <v>0.955627705627706</v>
      </c>
      <c r="M1326" s="18" t="n">
        <f aca="false">_xlfn.NORM.DIST(K1326,AVERAGE($G$2:$G$1387),_xlfn.STDEV.S($G$2:$G$1387),TRUE())</f>
        <v>0.954685437104282</v>
      </c>
    </row>
    <row r="1327" customFormat="false" ht="15" hidden="false" customHeight="false" outlineLevel="0" collapsed="false">
      <c r="A1327" s="0" t="n">
        <f aca="false">ROW()-1</f>
        <v>1326</v>
      </c>
      <c r="B1327" s="0" t="str">
        <f aca="false">'Analysis Data'!A1327</f>
        <v>Bellaire</v>
      </c>
      <c r="C1327" s="5" t="n">
        <f aca="false">'Analysis Data'!B1327</f>
        <v>40337</v>
      </c>
      <c r="D1327" s="6" t="n">
        <f aca="false">'Analysis Data'!C1327</f>
        <v>119.1376865984</v>
      </c>
      <c r="E1327" s="15" t="n">
        <f aca="false">SUMPRODUCT('Final Model'!$B$45:$I$45,'Analysis Data'!N1327:U1327)</f>
        <v>177.4955760769</v>
      </c>
      <c r="F1327" s="15" t="n">
        <f aca="false">D1327-E1327</f>
        <v>-58.3578894784996</v>
      </c>
      <c r="G1327" s="13" t="n">
        <f aca="false">F1327/'Final Model'!$B$21</f>
        <v>-1.19019956165329</v>
      </c>
      <c r="H1327" s="6" t="n">
        <f aca="false">F1327^2</f>
        <v>3405.64326438477</v>
      </c>
      <c r="J1327" s="6" t="n">
        <f aca="false">A1327</f>
        <v>1326</v>
      </c>
      <c r="K1327" s="13" t="n">
        <f aca="false">SMALL($G$2:$G$1387,J1327)</f>
        <v>1.70825243854386</v>
      </c>
      <c r="L1327" s="18" t="n">
        <f aca="false">(J1327-0.5)/1386</f>
        <v>0.956349206349206</v>
      </c>
      <c r="M1327" s="18" t="n">
        <f aca="false">_xlfn.NORM.DIST(K1327,AVERAGE($G$2:$G$1387),_xlfn.STDEV.S($G$2:$G$1387),TRUE())</f>
        <v>0.956605612083506</v>
      </c>
    </row>
    <row r="1328" customFormat="false" ht="15" hidden="false" customHeight="false" outlineLevel="0" collapsed="false">
      <c r="A1328" s="0" t="n">
        <f aca="false">ROW()-1</f>
        <v>1327</v>
      </c>
      <c r="B1328" s="0" t="str">
        <f aca="false">'Analysis Data'!A1328</f>
        <v>Bellaire</v>
      </c>
      <c r="C1328" s="5" t="n">
        <f aca="false">'Analysis Data'!B1328</f>
        <v>40344</v>
      </c>
      <c r="D1328" s="6" t="n">
        <f aca="false">'Analysis Data'!C1328</f>
        <v>195.477530575144</v>
      </c>
      <c r="E1328" s="15" t="n">
        <f aca="false">SUMPRODUCT('Final Model'!$B$45:$I$45,'Analysis Data'!N1328:U1328)</f>
        <v>175.919408122611</v>
      </c>
      <c r="F1328" s="15" t="n">
        <f aca="false">D1328-E1328</f>
        <v>19.5581224525326</v>
      </c>
      <c r="G1328" s="13" t="n">
        <f aca="false">F1328/'Final Model'!$B$21</f>
        <v>0.398884691989108</v>
      </c>
      <c r="H1328" s="6" t="n">
        <f aca="false">F1328^2</f>
        <v>382.520153868259</v>
      </c>
      <c r="J1328" s="6" t="n">
        <f aca="false">A1328</f>
        <v>1327</v>
      </c>
      <c r="K1328" s="13" t="n">
        <f aca="false">SMALL($G$2:$G$1387,J1328)</f>
        <v>1.71318881244122</v>
      </c>
      <c r="L1328" s="18" t="n">
        <f aca="false">(J1328-0.5)/1386</f>
        <v>0.957070707070707</v>
      </c>
      <c r="M1328" s="18" t="n">
        <f aca="false">_xlfn.NORM.DIST(K1328,AVERAGE($G$2:$G$1387),_xlfn.STDEV.S($G$2:$G$1387),TRUE())</f>
        <v>0.957059235553939</v>
      </c>
    </row>
    <row r="1329" customFormat="false" ht="15" hidden="false" customHeight="false" outlineLevel="0" collapsed="false">
      <c r="A1329" s="0" t="n">
        <f aca="false">ROW()-1</f>
        <v>1328</v>
      </c>
      <c r="B1329" s="0" t="str">
        <f aca="false">'Analysis Data'!A1329</f>
        <v>Bellaire</v>
      </c>
      <c r="C1329" s="5" t="n">
        <f aca="false">'Analysis Data'!B1329</f>
        <v>40351</v>
      </c>
      <c r="D1329" s="6" t="n">
        <f aca="false">'Analysis Data'!C1329</f>
        <v>225.251282686031</v>
      </c>
      <c r="E1329" s="15" t="n">
        <f aca="false">SUMPRODUCT('Final Model'!$B$45:$I$45,'Analysis Data'!N1329:U1329)</f>
        <v>178.721484502954</v>
      </c>
      <c r="F1329" s="15" t="n">
        <f aca="false">D1329-E1329</f>
        <v>46.5297981830773</v>
      </c>
      <c r="G1329" s="13" t="n">
        <f aca="false">F1329/'Final Model'!$B$21</f>
        <v>0.948967584266698</v>
      </c>
      <c r="H1329" s="6" t="n">
        <f aca="false">F1329^2</f>
        <v>2165.0221189579</v>
      </c>
      <c r="J1329" s="6" t="n">
        <f aca="false">A1329</f>
        <v>1328</v>
      </c>
      <c r="K1329" s="13" t="n">
        <f aca="false">SMALL($G$2:$G$1387,J1329)</f>
        <v>1.71488376932609</v>
      </c>
      <c r="L1329" s="18" t="n">
        <f aca="false">(J1329-0.5)/1386</f>
        <v>0.957792207792208</v>
      </c>
      <c r="M1329" s="18" t="n">
        <f aca="false">_xlfn.NORM.DIST(K1329,AVERAGE($G$2:$G$1387),_xlfn.STDEV.S($G$2:$G$1387),TRUE())</f>
        <v>0.957214105468381</v>
      </c>
    </row>
    <row r="1330" customFormat="false" ht="15" hidden="false" customHeight="false" outlineLevel="0" collapsed="false">
      <c r="A1330" s="0" t="n">
        <f aca="false">ROW()-1</f>
        <v>1329</v>
      </c>
      <c r="B1330" s="0" t="str">
        <f aca="false">'Analysis Data'!A1330</f>
        <v>Bellaire</v>
      </c>
      <c r="C1330" s="5" t="n">
        <f aca="false">'Analysis Data'!B1330</f>
        <v>40358</v>
      </c>
      <c r="D1330" s="6" t="n">
        <f aca="false">'Analysis Data'!C1330</f>
        <v>114.943961782598</v>
      </c>
      <c r="E1330" s="15" t="n">
        <f aca="false">SUMPRODUCT('Final Model'!$B$45:$I$45,'Analysis Data'!N1330:U1330)</f>
        <v>177.4955760769</v>
      </c>
      <c r="F1330" s="15" t="n">
        <f aca="false">D1330-E1330</f>
        <v>-62.5516142943018</v>
      </c>
      <c r="G1330" s="13" t="n">
        <f aca="false">F1330/'Final Model'!$B$21</f>
        <v>-1.27572988980714</v>
      </c>
      <c r="H1330" s="6" t="n">
        <f aca="false">F1330^2</f>
        <v>3912.7044508231</v>
      </c>
      <c r="J1330" s="6" t="n">
        <f aca="false">A1330</f>
        <v>1329</v>
      </c>
      <c r="K1330" s="13" t="n">
        <f aca="false">SMALL($G$2:$G$1387,J1330)</f>
        <v>1.72266104676248</v>
      </c>
      <c r="L1330" s="18" t="n">
        <f aca="false">(J1330-0.5)/1386</f>
        <v>0.958513708513709</v>
      </c>
      <c r="M1330" s="18" t="n">
        <f aca="false">_xlfn.NORM.DIST(K1330,AVERAGE($G$2:$G$1387),_xlfn.STDEV.S($G$2:$G$1387),TRUE())</f>
        <v>0.957918944109435</v>
      </c>
    </row>
    <row r="1331" customFormat="false" ht="15" hidden="false" customHeight="false" outlineLevel="0" collapsed="false">
      <c r="A1331" s="0" t="n">
        <f aca="false">ROW()-1</f>
        <v>1330</v>
      </c>
      <c r="B1331" s="0" t="str">
        <f aca="false">'Analysis Data'!A1331</f>
        <v>Bellaire</v>
      </c>
      <c r="C1331" s="5" t="n">
        <f aca="false">'Analysis Data'!B1331</f>
        <v>40365</v>
      </c>
      <c r="D1331" s="6" t="n">
        <f aca="false">'Analysis Data'!C1331</f>
        <v>170.280205414481</v>
      </c>
      <c r="E1331" s="15" t="n">
        <f aca="false">SUMPRODUCT('Final Model'!$B$45:$I$45,'Analysis Data'!N1331:U1331)</f>
        <v>180.647912007543</v>
      </c>
      <c r="F1331" s="15" t="n">
        <f aca="false">D1331-E1331</f>
        <v>-10.3677065930624</v>
      </c>
      <c r="G1331" s="13" t="n">
        <f aca="false">F1331/'Final Model'!$B$21</f>
        <v>-0.211447671474806</v>
      </c>
      <c r="H1331" s="6" t="n">
        <f aca="false">F1331^2</f>
        <v>107.48933999983</v>
      </c>
      <c r="J1331" s="6" t="n">
        <f aca="false">A1331</f>
        <v>1330</v>
      </c>
      <c r="K1331" s="13" t="n">
        <f aca="false">SMALL($G$2:$G$1387,J1331)</f>
        <v>1.73907131812873</v>
      </c>
      <c r="L1331" s="18" t="n">
        <f aca="false">(J1331-0.5)/1386</f>
        <v>0.959235209235209</v>
      </c>
      <c r="M1331" s="18" t="n">
        <f aca="false">_xlfn.NORM.DIST(K1331,AVERAGE($G$2:$G$1387),_xlfn.STDEV.S($G$2:$G$1387),TRUE())</f>
        <v>0.959375343009507</v>
      </c>
    </row>
    <row r="1332" customFormat="false" ht="15" hidden="false" customHeight="false" outlineLevel="0" collapsed="false">
      <c r="A1332" s="0" t="n">
        <f aca="false">ROW()-1</f>
        <v>1331</v>
      </c>
      <c r="B1332" s="0" t="str">
        <f aca="false">'Analysis Data'!A1332</f>
        <v>Bellaire</v>
      </c>
      <c r="C1332" s="5" t="n">
        <f aca="false">'Analysis Data'!B1332</f>
        <v>40372</v>
      </c>
      <c r="D1332" s="6" t="n">
        <f aca="false">'Analysis Data'!C1332</f>
        <v>223.10655945634</v>
      </c>
      <c r="E1332" s="15" t="n">
        <f aca="false">SUMPRODUCT('Final Model'!$B$45:$I$45,'Analysis Data'!N1332:U1332)</f>
        <v>180.647912007543</v>
      </c>
      <c r="F1332" s="15" t="n">
        <f aca="false">D1332-E1332</f>
        <v>42.4586474487962</v>
      </c>
      <c r="G1332" s="13" t="n">
        <f aca="false">F1332/'Final Model'!$B$21</f>
        <v>0.86593713435382</v>
      </c>
      <c r="H1332" s="6" t="n">
        <f aca="false">F1332^2</f>
        <v>1802.73674318117</v>
      </c>
      <c r="J1332" s="6" t="n">
        <f aca="false">A1332</f>
        <v>1331</v>
      </c>
      <c r="K1332" s="13" t="n">
        <f aca="false">SMALL($G$2:$G$1387,J1332)</f>
        <v>1.74916353264179</v>
      </c>
      <c r="L1332" s="18" t="n">
        <f aca="false">(J1332-0.5)/1386</f>
        <v>0.95995670995671</v>
      </c>
      <c r="M1332" s="18" t="n">
        <f aca="false">_xlfn.NORM.DIST(K1332,AVERAGE($G$2:$G$1387),_xlfn.STDEV.S($G$2:$G$1387),TRUE())</f>
        <v>0.96025051831685</v>
      </c>
    </row>
    <row r="1333" customFormat="false" ht="15" hidden="false" customHeight="false" outlineLevel="0" collapsed="false">
      <c r="A1333" s="0" t="n">
        <f aca="false">ROW()-1</f>
        <v>1332</v>
      </c>
      <c r="B1333" s="0" t="str">
        <f aca="false">'Analysis Data'!A1333</f>
        <v>Forest</v>
      </c>
      <c r="C1333" s="5" t="n">
        <f aca="false">'Analysis Data'!B1333</f>
        <v>40302</v>
      </c>
      <c r="D1333" s="6" t="n">
        <f aca="false">'Analysis Data'!C1333</f>
        <v>237.395478456163</v>
      </c>
      <c r="E1333" s="15" t="n">
        <f aca="false">SUMPRODUCT('Final Model'!$B$45:$I$45,'Analysis Data'!N1333:U1333)</f>
        <v>173.817850820804</v>
      </c>
      <c r="F1333" s="15" t="n">
        <f aca="false">D1333-E1333</f>
        <v>63.5776276353586</v>
      </c>
      <c r="G1333" s="13" t="n">
        <f aca="false">F1333/'Final Model'!$B$21</f>
        <v>1.29665526321747</v>
      </c>
      <c r="H1333" s="6" t="n">
        <f aca="false">F1333^2</f>
        <v>4042.11473574031</v>
      </c>
      <c r="J1333" s="6" t="n">
        <f aca="false">A1333</f>
        <v>1332</v>
      </c>
      <c r="K1333" s="13" t="n">
        <f aca="false">SMALL($G$2:$G$1387,J1333)</f>
        <v>1.7528700896039</v>
      </c>
      <c r="L1333" s="18" t="n">
        <f aca="false">(J1333-0.5)/1386</f>
        <v>0.960678210678211</v>
      </c>
      <c r="M1333" s="18" t="n">
        <f aca="false">_xlfn.NORM.DIST(K1333,AVERAGE($G$2:$G$1387),_xlfn.STDEV.S($G$2:$G$1387),TRUE())</f>
        <v>0.960568068978112</v>
      </c>
    </row>
    <row r="1334" customFormat="false" ht="15" hidden="false" customHeight="false" outlineLevel="0" collapsed="false">
      <c r="A1334" s="0" t="n">
        <f aca="false">ROW()-1</f>
        <v>1333</v>
      </c>
      <c r="B1334" s="0" t="str">
        <f aca="false">'Analysis Data'!A1334</f>
        <v>Forest</v>
      </c>
      <c r="C1334" s="5" t="n">
        <f aca="false">'Analysis Data'!B1334</f>
        <v>40309</v>
      </c>
      <c r="D1334" s="6" t="n">
        <f aca="false">'Analysis Data'!C1334</f>
        <v>127.587485981619</v>
      </c>
      <c r="E1334" s="15" t="n">
        <f aca="false">SUMPRODUCT('Final Model'!$B$45:$I$45,'Analysis Data'!N1334:U1334)</f>
        <v>173.817850820804</v>
      </c>
      <c r="F1334" s="15" t="n">
        <f aca="false">D1334-E1334</f>
        <v>-46.2303648391858</v>
      </c>
      <c r="G1334" s="13" t="n">
        <f aca="false">F1334/'Final Model'!$B$21</f>
        <v>-0.942860690446021</v>
      </c>
      <c r="H1334" s="6" t="n">
        <f aca="false">F1334^2</f>
        <v>2137.24663316423</v>
      </c>
      <c r="J1334" s="6" t="n">
        <f aca="false">A1334</f>
        <v>1333</v>
      </c>
      <c r="K1334" s="13" t="n">
        <f aca="false">SMALL($G$2:$G$1387,J1334)</f>
        <v>1.75753438072362</v>
      </c>
      <c r="L1334" s="18" t="n">
        <f aca="false">(J1334-0.5)/1386</f>
        <v>0.961399711399711</v>
      </c>
      <c r="M1334" s="18" t="n">
        <f aca="false">_xlfn.NORM.DIST(K1334,AVERAGE($G$2:$G$1387),_xlfn.STDEV.S($G$2:$G$1387),TRUE())</f>
        <v>0.960964735432928</v>
      </c>
    </row>
    <row r="1335" customFormat="false" ht="15" hidden="false" customHeight="false" outlineLevel="0" collapsed="false">
      <c r="A1335" s="0" t="n">
        <f aca="false">ROW()-1</f>
        <v>1334</v>
      </c>
      <c r="B1335" s="0" t="str">
        <f aca="false">'Analysis Data'!A1335</f>
        <v>Forest</v>
      </c>
      <c r="C1335" s="5" t="n">
        <f aca="false">'Analysis Data'!B1335</f>
        <v>40316</v>
      </c>
      <c r="D1335" s="6" t="n">
        <f aca="false">'Analysis Data'!C1335</f>
        <v>225.129055894358</v>
      </c>
      <c r="E1335" s="15" t="n">
        <f aca="false">SUMPRODUCT('Final Model'!$B$45:$I$45,'Analysis Data'!N1335:U1335)</f>
        <v>186.689889206105</v>
      </c>
      <c r="F1335" s="15" t="n">
        <f aca="false">D1335-E1335</f>
        <v>38.4391666882527</v>
      </c>
      <c r="G1335" s="13" t="n">
        <f aca="false">F1335/'Final Model'!$B$21</f>
        <v>0.783960485060579</v>
      </c>
      <c r="H1335" s="6" t="n">
        <f aca="false">F1335^2</f>
        <v>1477.56953568728</v>
      </c>
      <c r="J1335" s="6" t="n">
        <f aca="false">A1335</f>
        <v>1334</v>
      </c>
      <c r="K1335" s="13" t="n">
        <f aca="false">SMALL($G$2:$G$1387,J1335)</f>
        <v>1.76888379985833</v>
      </c>
      <c r="L1335" s="18" t="n">
        <f aca="false">(J1335-0.5)/1386</f>
        <v>0.962121212121212</v>
      </c>
      <c r="M1335" s="18" t="n">
        <f aca="false">_xlfn.NORM.DIST(K1335,AVERAGE($G$2:$G$1387),_xlfn.STDEV.S($G$2:$G$1387),TRUE())</f>
        <v>0.961916367766766</v>
      </c>
    </row>
    <row r="1336" customFormat="false" ht="15" hidden="false" customHeight="false" outlineLevel="0" collapsed="false">
      <c r="A1336" s="0" t="n">
        <f aca="false">ROW()-1</f>
        <v>1335</v>
      </c>
      <c r="B1336" s="0" t="str">
        <f aca="false">'Analysis Data'!A1336</f>
        <v>Forest</v>
      </c>
      <c r="C1336" s="5" t="n">
        <f aca="false">'Analysis Data'!B1336</f>
        <v>40323</v>
      </c>
      <c r="D1336" s="6" t="n">
        <f aca="false">'Analysis Data'!C1336</f>
        <v>180.175318166903</v>
      </c>
      <c r="E1336" s="15" t="n">
        <f aca="false">SUMPRODUCT('Final Model'!$B$45:$I$45,'Analysis Data'!N1336:U1336)</f>
        <v>186.689889206105</v>
      </c>
      <c r="F1336" s="15" t="n">
        <f aca="false">D1336-E1336</f>
        <v>-6.51457103920237</v>
      </c>
      <c r="G1336" s="13" t="n">
        <f aca="false">F1336/'Final Model'!$B$21</f>
        <v>-0.132863605324084</v>
      </c>
      <c r="H1336" s="6" t="n">
        <f aca="false">F1336^2</f>
        <v>42.4396358248142</v>
      </c>
      <c r="J1336" s="6" t="n">
        <f aca="false">A1336</f>
        <v>1335</v>
      </c>
      <c r="K1336" s="13" t="n">
        <f aca="false">SMALL($G$2:$G$1387,J1336)</f>
        <v>1.78311452163567</v>
      </c>
      <c r="L1336" s="18" t="n">
        <f aca="false">(J1336-0.5)/1386</f>
        <v>0.962842712842713</v>
      </c>
      <c r="M1336" s="18" t="n">
        <f aca="false">_xlfn.NORM.DIST(K1336,AVERAGE($G$2:$G$1387),_xlfn.STDEV.S($G$2:$G$1387),TRUE())</f>
        <v>0.963082763768095</v>
      </c>
    </row>
    <row r="1337" customFormat="false" ht="15" hidden="false" customHeight="false" outlineLevel="0" collapsed="false">
      <c r="A1337" s="0" t="n">
        <f aca="false">ROW()-1</f>
        <v>1336</v>
      </c>
      <c r="B1337" s="0" t="str">
        <f aca="false">'Analysis Data'!A1337</f>
        <v>Forest</v>
      </c>
      <c r="C1337" s="5" t="n">
        <f aca="false">'Analysis Data'!B1337</f>
        <v>40330</v>
      </c>
      <c r="D1337" s="6" t="n">
        <f aca="false">'Analysis Data'!C1337</f>
        <v>243.546379237422</v>
      </c>
      <c r="E1337" s="15" t="n">
        <f aca="false">SUMPRODUCT('Final Model'!$B$45:$I$45,'Analysis Data'!N1337:U1337)</f>
        <v>188.528751823119</v>
      </c>
      <c r="F1337" s="15" t="n">
        <f aca="false">D1337-E1337</f>
        <v>55.0176274143022</v>
      </c>
      <c r="G1337" s="13" t="n">
        <f aca="false">F1337/'Final Model'!$B$21</f>
        <v>1.12207546600587</v>
      </c>
      <c r="H1337" s="6" t="n">
        <f aca="false">F1337^2</f>
        <v>3026.93932629898</v>
      </c>
      <c r="J1337" s="6" t="n">
        <f aca="false">A1337</f>
        <v>1336</v>
      </c>
      <c r="K1337" s="13" t="n">
        <f aca="false">SMALL($G$2:$G$1387,J1337)</f>
        <v>1.78910604549926</v>
      </c>
      <c r="L1337" s="18" t="n">
        <f aca="false">(J1337-0.5)/1386</f>
        <v>0.963564213564214</v>
      </c>
      <c r="M1337" s="18" t="n">
        <f aca="false">_xlfn.NORM.DIST(K1337,AVERAGE($G$2:$G$1387),_xlfn.STDEV.S($G$2:$G$1387),TRUE())</f>
        <v>0.963565032527202</v>
      </c>
    </row>
    <row r="1338" customFormat="false" ht="15" hidden="false" customHeight="false" outlineLevel="0" collapsed="false">
      <c r="A1338" s="0" t="n">
        <f aca="false">ROW()-1</f>
        <v>1337</v>
      </c>
      <c r="B1338" s="0" t="str">
        <f aca="false">'Analysis Data'!A1338</f>
        <v>Forest</v>
      </c>
      <c r="C1338" s="5" t="n">
        <f aca="false">'Analysis Data'!B1338</f>
        <v>40337</v>
      </c>
      <c r="D1338" s="6" t="n">
        <f aca="false">'Analysis Data'!C1338</f>
        <v>237.604479213041</v>
      </c>
      <c r="E1338" s="15" t="n">
        <f aca="false">SUMPRODUCT('Final Model'!$B$45:$I$45,'Analysis Data'!N1338:U1338)</f>
        <v>175.919408122611</v>
      </c>
      <c r="F1338" s="15" t="n">
        <f aca="false">D1338-E1338</f>
        <v>61.6850710904301</v>
      </c>
      <c r="G1338" s="13" t="n">
        <f aca="false">F1338/'Final Model'!$B$21</f>
        <v>1.2580568836272</v>
      </c>
      <c r="H1338" s="6" t="n">
        <f aca="false">F1338^2</f>
        <v>3805.04799543141</v>
      </c>
      <c r="J1338" s="6" t="n">
        <f aca="false">A1338</f>
        <v>1337</v>
      </c>
      <c r="K1338" s="13" t="n">
        <f aca="false">SMALL($G$2:$G$1387,J1338)</f>
        <v>1.79834801233987</v>
      </c>
      <c r="L1338" s="18" t="n">
        <f aca="false">(J1338-0.5)/1386</f>
        <v>0.964285714285714</v>
      </c>
      <c r="M1338" s="18" t="n">
        <f aca="false">_xlfn.NORM.DIST(K1338,AVERAGE($G$2:$G$1387),_xlfn.STDEV.S($G$2:$G$1387),TRUE())</f>
        <v>0.964298814949454</v>
      </c>
    </row>
    <row r="1339" customFormat="false" ht="15" hidden="false" customHeight="false" outlineLevel="0" collapsed="false">
      <c r="A1339" s="0" t="n">
        <f aca="false">ROW()-1</f>
        <v>1338</v>
      </c>
      <c r="B1339" s="0" t="str">
        <f aca="false">'Analysis Data'!A1339</f>
        <v>Forest</v>
      </c>
      <c r="C1339" s="5" t="n">
        <f aca="false">'Analysis Data'!B1339</f>
        <v>40344</v>
      </c>
      <c r="D1339" s="6" t="n">
        <f aca="false">'Analysis Data'!C1339</f>
        <v>191.123722603828</v>
      </c>
      <c r="E1339" s="15" t="n">
        <f aca="false">SUMPRODUCT('Final Model'!$B$45:$I$45,'Analysis Data'!N1339:U1339)</f>
        <v>188.528751823119</v>
      </c>
      <c r="F1339" s="15" t="n">
        <f aca="false">D1339-E1339</f>
        <v>2.59497078070831</v>
      </c>
      <c r="G1339" s="13" t="n">
        <f aca="false">F1339/'Final Model'!$B$21</f>
        <v>0.0529240024494035</v>
      </c>
      <c r="H1339" s="6" t="n">
        <f aca="false">F1339^2</f>
        <v>6.73387335272989</v>
      </c>
      <c r="J1339" s="6" t="n">
        <f aca="false">A1339</f>
        <v>1338</v>
      </c>
      <c r="K1339" s="13" t="n">
        <f aca="false">SMALL($G$2:$G$1387,J1339)</f>
        <v>1.80064294766522</v>
      </c>
      <c r="L1339" s="18" t="n">
        <f aca="false">(J1339-0.5)/1386</f>
        <v>0.965007215007215</v>
      </c>
      <c r="M1339" s="18" t="n">
        <f aca="false">_xlfn.NORM.DIST(K1339,AVERAGE($G$2:$G$1387),_xlfn.STDEV.S($G$2:$G$1387),TRUE())</f>
        <v>0.964479135966846</v>
      </c>
    </row>
    <row r="1340" customFormat="false" ht="15" hidden="false" customHeight="false" outlineLevel="0" collapsed="false">
      <c r="A1340" s="0" t="n">
        <f aca="false">ROW()-1</f>
        <v>1339</v>
      </c>
      <c r="B1340" s="0" t="str">
        <f aca="false">'Analysis Data'!A1340</f>
        <v>Forest</v>
      </c>
      <c r="C1340" s="5" t="n">
        <f aca="false">'Analysis Data'!B1340</f>
        <v>40351</v>
      </c>
      <c r="D1340" s="6" t="n">
        <f aca="false">'Analysis Data'!C1340</f>
        <v>254.320435457141</v>
      </c>
      <c r="E1340" s="15" t="n">
        <f aca="false">SUMPRODUCT('Final Model'!$B$45:$I$45,'Analysis Data'!N1340:U1340)</f>
        <v>188.528751823119</v>
      </c>
      <c r="F1340" s="15" t="n">
        <f aca="false">D1340-E1340</f>
        <v>65.7916836340216</v>
      </c>
      <c r="G1340" s="13" t="n">
        <f aca="false">F1340/'Final Model'!$B$21</f>
        <v>1.34181057131091</v>
      </c>
      <c r="H1340" s="6" t="n">
        <f aca="false">F1340^2</f>
        <v>4328.54563539919</v>
      </c>
      <c r="J1340" s="6" t="n">
        <f aca="false">A1340</f>
        <v>1339</v>
      </c>
      <c r="K1340" s="13" t="n">
        <f aca="false">SMALL($G$2:$G$1387,J1340)</f>
        <v>1.80451365486811</v>
      </c>
      <c r="L1340" s="18" t="n">
        <f aca="false">(J1340-0.5)/1386</f>
        <v>0.965728715728716</v>
      </c>
      <c r="M1340" s="18" t="n">
        <f aca="false">_xlfn.NORM.DIST(K1340,AVERAGE($G$2:$G$1387),_xlfn.STDEV.S($G$2:$G$1387),TRUE())</f>
        <v>0.964781578626621</v>
      </c>
    </row>
    <row r="1341" customFormat="false" ht="15" hidden="false" customHeight="false" outlineLevel="0" collapsed="false">
      <c r="A1341" s="0" t="n">
        <f aca="false">ROW()-1</f>
        <v>1340</v>
      </c>
      <c r="B1341" s="0" t="str">
        <f aca="false">'Analysis Data'!A1341</f>
        <v>Forest</v>
      </c>
      <c r="C1341" s="5" t="n">
        <f aca="false">'Analysis Data'!B1341</f>
        <v>40358</v>
      </c>
      <c r="D1341" s="6" t="n">
        <f aca="false">'Analysis Data'!C1341</f>
        <v>217.857367180976</v>
      </c>
      <c r="E1341" s="15" t="n">
        <f aca="false">SUMPRODUCT('Final Model'!$B$45:$I$45,'Analysis Data'!N1341:U1341)</f>
        <v>188.528751823119</v>
      </c>
      <c r="F1341" s="15" t="n">
        <f aca="false">D1341-E1341</f>
        <v>29.328615357856</v>
      </c>
      <c r="G1341" s="13" t="n">
        <f aca="false">F1341/'Final Model'!$B$21</f>
        <v>0.598152288486697</v>
      </c>
      <c r="H1341" s="6" t="n">
        <f aca="false">F1341^2</f>
        <v>860.167678809068</v>
      </c>
      <c r="J1341" s="6" t="n">
        <f aca="false">A1341</f>
        <v>1340</v>
      </c>
      <c r="K1341" s="13" t="n">
        <f aca="false">SMALL($G$2:$G$1387,J1341)</f>
        <v>1.80727482011108</v>
      </c>
      <c r="L1341" s="18" t="n">
        <f aca="false">(J1341-0.5)/1386</f>
        <v>0.966450216450216</v>
      </c>
      <c r="M1341" s="18" t="n">
        <f aca="false">_xlfn.NORM.DIST(K1341,AVERAGE($G$2:$G$1387),_xlfn.STDEV.S($G$2:$G$1387),TRUE())</f>
        <v>0.964996032235002</v>
      </c>
    </row>
    <row r="1342" customFormat="false" ht="15" hidden="false" customHeight="false" outlineLevel="0" collapsed="false">
      <c r="A1342" s="0" t="n">
        <f aca="false">ROW()-1</f>
        <v>1341</v>
      </c>
      <c r="B1342" s="0" t="str">
        <f aca="false">'Analysis Data'!A1342</f>
        <v>Forest</v>
      </c>
      <c r="C1342" s="5" t="n">
        <f aca="false">'Analysis Data'!B1342</f>
        <v>40365</v>
      </c>
      <c r="D1342" s="6" t="n">
        <f aca="false">'Analysis Data'!C1342</f>
        <v>200.951267724137</v>
      </c>
      <c r="E1342" s="15" t="n">
        <f aca="false">SUMPRODUCT('Final Model'!$B$45:$I$45,'Analysis Data'!N1342:U1342)</f>
        <v>179.702211226144</v>
      </c>
      <c r="F1342" s="15" t="n">
        <f aca="false">D1342-E1342</f>
        <v>21.2490564979933</v>
      </c>
      <c r="G1342" s="13" t="n">
        <f aca="false">F1342/'Final Model'!$B$21</f>
        <v>0.433371013850241</v>
      </c>
      <c r="H1342" s="6" t="n">
        <f aca="false">F1342^2</f>
        <v>451.522402054913</v>
      </c>
      <c r="J1342" s="6" t="n">
        <f aca="false">A1342</f>
        <v>1341</v>
      </c>
      <c r="K1342" s="13" t="n">
        <f aca="false">SMALL($G$2:$G$1387,J1342)</f>
        <v>1.81838268666427</v>
      </c>
      <c r="L1342" s="18" t="n">
        <f aca="false">(J1342-0.5)/1386</f>
        <v>0.967171717171717</v>
      </c>
      <c r="M1342" s="18" t="n">
        <f aca="false">_xlfn.NORM.DIST(K1342,AVERAGE($G$2:$G$1387),_xlfn.STDEV.S($G$2:$G$1387),TRUE())</f>
        <v>0.96584795391917</v>
      </c>
    </row>
    <row r="1343" customFormat="false" ht="15" hidden="false" customHeight="false" outlineLevel="0" collapsed="false">
      <c r="A1343" s="0" t="n">
        <f aca="false">ROW()-1</f>
        <v>1342</v>
      </c>
      <c r="B1343" s="0" t="str">
        <f aca="false">'Analysis Data'!A1343</f>
        <v>Forest</v>
      </c>
      <c r="C1343" s="5" t="n">
        <f aca="false">'Analysis Data'!B1343</f>
        <v>40372</v>
      </c>
      <c r="D1343" s="6" t="n">
        <f aca="false">'Analysis Data'!C1343</f>
        <v>120.850520450594</v>
      </c>
      <c r="E1343" s="15" t="n">
        <f aca="false">SUMPRODUCT('Final Model'!$B$45:$I$45,'Analysis Data'!N1343:U1343)</f>
        <v>179.702211226144</v>
      </c>
      <c r="F1343" s="15" t="n">
        <f aca="false">D1343-E1343</f>
        <v>-58.8516907755497</v>
      </c>
      <c r="G1343" s="13" t="n">
        <f aca="false">F1343/'Final Model'!$B$21</f>
        <v>-1.2002705579238</v>
      </c>
      <c r="H1343" s="6" t="n">
        <f aca="false">F1343^2</f>
        <v>3463.52150714092</v>
      </c>
      <c r="J1343" s="6" t="n">
        <f aca="false">A1343</f>
        <v>1342</v>
      </c>
      <c r="K1343" s="13" t="n">
        <f aca="false">SMALL($G$2:$G$1387,J1343)</f>
        <v>1.82725421904535</v>
      </c>
      <c r="L1343" s="18" t="n">
        <f aca="false">(J1343-0.5)/1386</f>
        <v>0.967893217893218</v>
      </c>
      <c r="M1343" s="18" t="n">
        <f aca="false">_xlfn.NORM.DIST(K1343,AVERAGE($G$2:$G$1387),_xlfn.STDEV.S($G$2:$G$1387),TRUE())</f>
        <v>0.966516050430153</v>
      </c>
    </row>
    <row r="1344" customFormat="false" ht="15" hidden="false" customHeight="false" outlineLevel="0" collapsed="false">
      <c r="A1344" s="0" t="n">
        <f aca="false">ROW()-1</f>
        <v>1343</v>
      </c>
      <c r="B1344" s="0" t="str">
        <f aca="false">'Analysis Data'!A1344</f>
        <v>Lamar</v>
      </c>
      <c r="C1344" s="5" t="n">
        <f aca="false">'Analysis Data'!B1344</f>
        <v>40302</v>
      </c>
      <c r="D1344" s="6" t="n">
        <f aca="false">'Analysis Data'!C1344</f>
        <v>273.493827005974</v>
      </c>
      <c r="E1344" s="15" t="n">
        <f aca="false">SUMPRODUCT('Final Model'!$B$45:$I$45,'Analysis Data'!N1344:U1344)</f>
        <v>179.702211226144</v>
      </c>
      <c r="F1344" s="15" t="n">
        <f aca="false">D1344-E1344</f>
        <v>93.7916157798302</v>
      </c>
      <c r="G1344" s="13" t="n">
        <f aca="false">F1344/'Final Model'!$B$21</f>
        <v>1.91286458412851</v>
      </c>
      <c r="H1344" s="6" t="n">
        <f aca="false">F1344^2</f>
        <v>8796.8671905913</v>
      </c>
      <c r="J1344" s="6" t="n">
        <f aca="false">A1344</f>
        <v>1343</v>
      </c>
      <c r="K1344" s="13" t="n">
        <f aca="false">SMALL($G$2:$G$1387,J1344)</f>
        <v>1.84858960179527</v>
      </c>
      <c r="L1344" s="18" t="n">
        <f aca="false">(J1344-0.5)/1386</f>
        <v>0.968614718614719</v>
      </c>
      <c r="M1344" s="18" t="n">
        <f aca="false">_xlfn.NORM.DIST(K1344,AVERAGE($G$2:$G$1387),_xlfn.STDEV.S($G$2:$G$1387),TRUE())</f>
        <v>0.968078803840691</v>
      </c>
    </row>
    <row r="1345" customFormat="false" ht="15" hidden="false" customHeight="false" outlineLevel="0" collapsed="false">
      <c r="A1345" s="0" t="n">
        <f aca="false">ROW()-1</f>
        <v>1344</v>
      </c>
      <c r="B1345" s="0" t="str">
        <f aca="false">'Analysis Data'!A1345</f>
        <v>Lamar</v>
      </c>
      <c r="C1345" s="5" t="n">
        <f aca="false">'Analysis Data'!B1345</f>
        <v>40309</v>
      </c>
      <c r="D1345" s="6" t="n">
        <f aca="false">'Analysis Data'!C1345</f>
        <v>92.0885807051829</v>
      </c>
      <c r="E1345" s="15" t="n">
        <f aca="false">SUMPRODUCT('Final Model'!$B$45:$I$45,'Analysis Data'!N1345:U1345)</f>
        <v>179.702211226144</v>
      </c>
      <c r="F1345" s="15" t="n">
        <f aca="false">D1345-E1345</f>
        <v>-87.6136305209608</v>
      </c>
      <c r="G1345" s="13" t="n">
        <f aca="false">F1345/'Final Model'!$B$21</f>
        <v>-1.78686559045833</v>
      </c>
      <c r="H1345" s="6" t="n">
        <f aca="false">F1345^2</f>
        <v>7676.14825306343</v>
      </c>
      <c r="J1345" s="6" t="n">
        <f aca="false">A1345</f>
        <v>1344</v>
      </c>
      <c r="K1345" s="13" t="n">
        <f aca="false">SMALL($G$2:$G$1387,J1345)</f>
        <v>1.90970728486912</v>
      </c>
      <c r="L1345" s="18" t="n">
        <f aca="false">(J1345-0.5)/1386</f>
        <v>0.969336219336219</v>
      </c>
      <c r="M1345" s="18" t="n">
        <f aca="false">_xlfn.NORM.DIST(K1345,AVERAGE($G$2:$G$1387),_xlfn.STDEV.S($G$2:$G$1387),TRUE())</f>
        <v>0.972225145658893</v>
      </c>
    </row>
    <row r="1346" customFormat="false" ht="15" hidden="false" customHeight="false" outlineLevel="0" collapsed="false">
      <c r="A1346" s="0" t="n">
        <f aca="false">ROW()-1</f>
        <v>1345</v>
      </c>
      <c r="B1346" s="0" t="str">
        <f aca="false">'Analysis Data'!A1346</f>
        <v>Lamar</v>
      </c>
      <c r="C1346" s="5" t="n">
        <f aca="false">'Analysis Data'!B1346</f>
        <v>40316</v>
      </c>
      <c r="D1346" s="6" t="n">
        <f aca="false">'Analysis Data'!C1346</f>
        <v>213.750887751843</v>
      </c>
      <c r="E1346" s="15" t="n">
        <f aca="false">SUMPRODUCT('Final Model'!$B$45:$I$45,'Analysis Data'!N1346:U1346)</f>
        <v>191.838704546985</v>
      </c>
      <c r="F1346" s="15" t="n">
        <f aca="false">D1346-E1346</f>
        <v>21.9121832048573</v>
      </c>
      <c r="G1346" s="13" t="n">
        <f aca="false">F1346/'Final Model'!$B$21</f>
        <v>0.446895374016159</v>
      </c>
      <c r="H1346" s="6" t="n">
        <f aca="false">F1346^2</f>
        <v>480.14377280323</v>
      </c>
      <c r="J1346" s="6" t="n">
        <f aca="false">A1346</f>
        <v>1345</v>
      </c>
      <c r="K1346" s="13" t="n">
        <f aca="false">SMALL($G$2:$G$1387,J1346)</f>
        <v>1.91155152418787</v>
      </c>
      <c r="L1346" s="18" t="n">
        <f aca="false">(J1346-0.5)/1386</f>
        <v>0.97005772005772</v>
      </c>
      <c r="M1346" s="18" t="n">
        <f aca="false">_xlfn.NORM.DIST(K1346,AVERAGE($G$2:$G$1387),_xlfn.STDEV.S($G$2:$G$1387),TRUE())</f>
        <v>0.972342934458124</v>
      </c>
    </row>
    <row r="1347" customFormat="false" ht="15" hidden="false" customHeight="false" outlineLevel="0" collapsed="false">
      <c r="A1347" s="0" t="n">
        <f aca="false">ROW()-1</f>
        <v>1346</v>
      </c>
      <c r="B1347" s="0" t="str">
        <f aca="false">'Analysis Data'!A1347</f>
        <v>Lamar</v>
      </c>
      <c r="C1347" s="5" t="n">
        <f aca="false">'Analysis Data'!B1347</f>
        <v>40323</v>
      </c>
      <c r="D1347" s="6" t="n">
        <f aca="false">'Analysis Data'!C1347</f>
        <v>132.543487853759</v>
      </c>
      <c r="E1347" s="15" t="n">
        <f aca="false">SUMPRODUCT('Final Model'!$B$45:$I$45,'Analysis Data'!N1347:U1347)</f>
        <v>191.838704546985</v>
      </c>
      <c r="F1347" s="15" t="n">
        <f aca="false">D1347-E1347</f>
        <v>-59.2952166932262</v>
      </c>
      <c r="G1347" s="13" t="n">
        <f aca="false">F1347/'Final Model'!$B$21</f>
        <v>-1.20931619609746</v>
      </c>
      <c r="H1347" s="6" t="n">
        <f aca="false">F1347^2</f>
        <v>3515.92272269665</v>
      </c>
      <c r="J1347" s="6" t="n">
        <f aca="false">A1347</f>
        <v>1346</v>
      </c>
      <c r="K1347" s="13" t="n">
        <f aca="false">SMALL($G$2:$G$1387,J1347)</f>
        <v>1.91286458412851</v>
      </c>
      <c r="L1347" s="18" t="n">
        <f aca="false">(J1347-0.5)/1386</f>
        <v>0.970779220779221</v>
      </c>
      <c r="M1347" s="18" t="n">
        <f aca="false">_xlfn.NORM.DIST(K1347,AVERAGE($G$2:$G$1387),_xlfn.STDEV.S($G$2:$G$1387),TRUE())</f>
        <v>0.972426543657544</v>
      </c>
    </row>
    <row r="1348" customFormat="false" ht="15" hidden="false" customHeight="false" outlineLevel="0" collapsed="false">
      <c r="A1348" s="0" t="n">
        <f aca="false">ROW()-1</f>
        <v>1347</v>
      </c>
      <c r="B1348" s="0" t="str">
        <f aca="false">'Analysis Data'!A1348</f>
        <v>Lamar</v>
      </c>
      <c r="C1348" s="5" t="n">
        <f aca="false">'Analysis Data'!B1348</f>
        <v>40330</v>
      </c>
      <c r="D1348" s="6" t="n">
        <f aca="false">'Analysis Data'!C1348</f>
        <v>218.026278037295</v>
      </c>
      <c r="E1348" s="15" t="n">
        <f aca="false">SUMPRODUCT('Final Model'!$B$45:$I$45,'Analysis Data'!N1348:U1348)</f>
        <v>189.531767790018</v>
      </c>
      <c r="F1348" s="15" t="n">
        <f aca="false">D1348-E1348</f>
        <v>28.4945102472766</v>
      </c>
      <c r="G1348" s="13" t="n">
        <f aca="false">F1348/'Final Model'!$B$21</f>
        <v>0.581140851886507</v>
      </c>
      <c r="H1348" s="6" t="n">
        <f aca="false">F1348^2</f>
        <v>811.937114232153</v>
      </c>
      <c r="J1348" s="6" t="n">
        <f aca="false">A1348</f>
        <v>1347</v>
      </c>
      <c r="K1348" s="13" t="n">
        <f aca="false">SMALL($G$2:$G$1387,J1348)</f>
        <v>1.91976826569361</v>
      </c>
      <c r="L1348" s="18" t="n">
        <f aca="false">(J1348-0.5)/1386</f>
        <v>0.971500721500722</v>
      </c>
      <c r="M1348" s="18" t="n">
        <f aca="false">_xlfn.NORM.DIST(K1348,AVERAGE($G$2:$G$1387),_xlfn.STDEV.S($G$2:$G$1387),TRUE())</f>
        <v>0.972862677365938</v>
      </c>
    </row>
    <row r="1349" customFormat="false" ht="15" hidden="false" customHeight="false" outlineLevel="0" collapsed="false">
      <c r="A1349" s="0" t="n">
        <f aca="false">ROW()-1</f>
        <v>1348</v>
      </c>
      <c r="B1349" s="0" t="str">
        <f aca="false">'Analysis Data'!A1349</f>
        <v>Lamar</v>
      </c>
      <c r="C1349" s="5" t="n">
        <f aca="false">'Analysis Data'!B1349</f>
        <v>40337</v>
      </c>
      <c r="D1349" s="6" t="n">
        <f aca="false">'Analysis Data'!C1349</f>
        <v>227.033600200477</v>
      </c>
      <c r="E1349" s="15" t="n">
        <f aca="false">SUMPRODUCT('Final Model'!$B$45:$I$45,'Analysis Data'!N1349:U1349)</f>
        <v>172.480496198272</v>
      </c>
      <c r="F1349" s="15" t="n">
        <f aca="false">D1349-E1349</f>
        <v>54.5531040022046</v>
      </c>
      <c r="G1349" s="13" t="n">
        <f aca="false">F1349/'Final Model'!$B$21</f>
        <v>1.11260158738557</v>
      </c>
      <c r="H1349" s="6" t="n">
        <f aca="false">F1349^2</f>
        <v>2976.04115627535</v>
      </c>
      <c r="J1349" s="6" t="n">
        <f aca="false">A1349</f>
        <v>1348</v>
      </c>
      <c r="K1349" s="13" t="n">
        <f aca="false">SMALL($G$2:$G$1387,J1349)</f>
        <v>1.92624295418089</v>
      </c>
      <c r="L1349" s="18" t="n">
        <f aca="false">(J1349-0.5)/1386</f>
        <v>0.972222222222222</v>
      </c>
      <c r="M1349" s="18" t="n">
        <f aca="false">_xlfn.NORM.DIST(K1349,AVERAGE($G$2:$G$1387),_xlfn.STDEV.S($G$2:$G$1387),TRUE())</f>
        <v>0.973266464456222</v>
      </c>
    </row>
    <row r="1350" customFormat="false" ht="15" hidden="false" customHeight="false" outlineLevel="0" collapsed="false">
      <c r="A1350" s="0" t="n">
        <f aca="false">ROW()-1</f>
        <v>1349</v>
      </c>
      <c r="B1350" s="0" t="str">
        <f aca="false">'Analysis Data'!A1350</f>
        <v>Lamar</v>
      </c>
      <c r="C1350" s="5" t="n">
        <f aca="false">'Analysis Data'!B1350</f>
        <v>40344</v>
      </c>
      <c r="D1350" s="6" t="n">
        <f aca="false">'Analysis Data'!C1350</f>
        <v>85.5142496717893</v>
      </c>
      <c r="E1350" s="15" t="n">
        <f aca="false">SUMPRODUCT('Final Model'!$B$45:$I$45,'Analysis Data'!N1350:U1350)</f>
        <v>172.480496198272</v>
      </c>
      <c r="F1350" s="15" t="n">
        <f aca="false">D1350-E1350</f>
        <v>-86.9662465264832</v>
      </c>
      <c r="G1350" s="13" t="n">
        <f aca="false">F1350/'Final Model'!$B$21</f>
        <v>-1.77366230032337</v>
      </c>
      <c r="H1350" s="6" t="n">
        <f aca="false">F1350^2</f>
        <v>7563.12803490505</v>
      </c>
      <c r="J1350" s="6" t="n">
        <f aca="false">A1350</f>
        <v>1349</v>
      </c>
      <c r="K1350" s="13" t="n">
        <f aca="false">SMALL($G$2:$G$1387,J1350)</f>
        <v>1.98667477199994</v>
      </c>
      <c r="L1350" s="18" t="n">
        <f aca="false">(J1350-0.5)/1386</f>
        <v>0.972943722943723</v>
      </c>
      <c r="M1350" s="18" t="n">
        <f aca="false">_xlfn.NORM.DIST(K1350,AVERAGE($G$2:$G$1387),_xlfn.STDEV.S($G$2:$G$1387),TRUE())</f>
        <v>0.976798796437508</v>
      </c>
    </row>
    <row r="1351" customFormat="false" ht="15" hidden="false" customHeight="false" outlineLevel="0" collapsed="false">
      <c r="A1351" s="0" t="n">
        <f aca="false">ROW()-1</f>
        <v>1350</v>
      </c>
      <c r="B1351" s="0" t="str">
        <f aca="false">'Analysis Data'!A1351</f>
        <v>Lamar</v>
      </c>
      <c r="C1351" s="5" t="n">
        <f aca="false">'Analysis Data'!B1351</f>
        <v>40351</v>
      </c>
      <c r="D1351" s="6" t="n">
        <f aca="false">'Analysis Data'!C1351</f>
        <v>126.255841282436</v>
      </c>
      <c r="E1351" s="15" t="n">
        <f aca="false">SUMPRODUCT('Final Model'!$B$45:$I$45,'Analysis Data'!N1351:U1351)</f>
        <v>172.480496198272</v>
      </c>
      <c r="F1351" s="15" t="n">
        <f aca="false">D1351-E1351</f>
        <v>-46.2246549158368</v>
      </c>
      <c r="G1351" s="13" t="n">
        <f aca="false">F1351/'Final Model'!$B$21</f>
        <v>-0.94274423749805</v>
      </c>
      <c r="H1351" s="6" t="n">
        <f aca="false">F1351^2</f>
        <v>2136.71872208819</v>
      </c>
      <c r="J1351" s="6" t="n">
        <f aca="false">A1351</f>
        <v>1350</v>
      </c>
      <c r="K1351" s="13" t="n">
        <f aca="false">SMALL($G$2:$G$1387,J1351)</f>
        <v>1.9933115745447</v>
      </c>
      <c r="L1351" s="18" t="n">
        <f aca="false">(J1351-0.5)/1386</f>
        <v>0.973665223665224</v>
      </c>
      <c r="M1351" s="18" t="n">
        <f aca="false">_xlfn.NORM.DIST(K1351,AVERAGE($G$2:$G$1387),_xlfn.STDEV.S($G$2:$G$1387),TRUE())</f>
        <v>0.977161610825148</v>
      </c>
    </row>
    <row r="1352" customFormat="false" ht="15" hidden="false" customHeight="false" outlineLevel="0" collapsed="false">
      <c r="A1352" s="0" t="n">
        <f aca="false">ROW()-1</f>
        <v>1351</v>
      </c>
      <c r="B1352" s="0" t="str">
        <f aca="false">'Analysis Data'!A1352</f>
        <v>Lamar</v>
      </c>
      <c r="C1352" s="5" t="n">
        <f aca="false">'Analysis Data'!B1352</f>
        <v>40358</v>
      </c>
      <c r="D1352" s="6" t="n">
        <f aca="false">'Analysis Data'!C1352</f>
        <v>201.418659960046</v>
      </c>
      <c r="E1352" s="15" t="n">
        <f aca="false">SUMPRODUCT('Final Model'!$B$45:$I$45,'Analysis Data'!N1352:U1352)</f>
        <v>172.480496198272</v>
      </c>
      <c r="F1352" s="15" t="n">
        <f aca="false">D1352-E1352</f>
        <v>28.9381637617734</v>
      </c>
      <c r="G1352" s="13" t="n">
        <f aca="false">F1352/'Final Model'!$B$21</f>
        <v>0.590189092376331</v>
      </c>
      <c r="H1352" s="6" t="n">
        <f aca="false">F1352^2</f>
        <v>837.417321903217</v>
      </c>
      <c r="J1352" s="6" t="n">
        <f aca="false">A1352</f>
        <v>1351</v>
      </c>
      <c r="K1352" s="13" t="n">
        <f aca="false">SMALL($G$2:$G$1387,J1352)</f>
        <v>1.99443057161842</v>
      </c>
      <c r="L1352" s="18" t="n">
        <f aca="false">(J1352-0.5)/1386</f>
        <v>0.974386724386724</v>
      </c>
      <c r="M1352" s="18" t="n">
        <f aca="false">_xlfn.NORM.DIST(K1352,AVERAGE($G$2:$G$1387),_xlfn.STDEV.S($G$2:$G$1387),TRUE())</f>
        <v>0.977222309677639</v>
      </c>
    </row>
    <row r="1353" customFormat="false" ht="15" hidden="false" customHeight="false" outlineLevel="0" collapsed="false">
      <c r="A1353" s="0" t="n">
        <f aca="false">ROW()-1</f>
        <v>1352</v>
      </c>
      <c r="B1353" s="0" t="str">
        <f aca="false">'Analysis Data'!A1353</f>
        <v>Lamar</v>
      </c>
      <c r="C1353" s="5" t="n">
        <f aca="false">'Analysis Data'!B1353</f>
        <v>40365</v>
      </c>
      <c r="D1353" s="6" t="n">
        <f aca="false">'Analysis Data'!C1353</f>
        <v>108.883872937452</v>
      </c>
      <c r="E1353" s="15" t="n">
        <f aca="false">SUMPRODUCT('Final Model'!$B$45:$I$45,'Analysis Data'!N1353:U1353)</f>
        <v>176.492560110001</v>
      </c>
      <c r="F1353" s="15" t="n">
        <f aca="false">D1353-E1353</f>
        <v>-67.6086871725492</v>
      </c>
      <c r="G1353" s="13" t="n">
        <f aca="false">F1353/'Final Model'!$B$21</f>
        <v>-1.37886805975684</v>
      </c>
      <c r="H1353" s="6" t="n">
        <f aca="false">F1353^2</f>
        <v>4570.93458119562</v>
      </c>
      <c r="J1353" s="6" t="n">
        <f aca="false">A1353</f>
        <v>1352</v>
      </c>
      <c r="K1353" s="13" t="n">
        <f aca="false">SMALL($G$2:$G$1387,J1353)</f>
        <v>2.01665481128228</v>
      </c>
      <c r="L1353" s="18" t="n">
        <f aca="false">(J1353-0.5)/1386</f>
        <v>0.975108225108225</v>
      </c>
      <c r="M1353" s="18" t="n">
        <f aca="false">_xlfn.NORM.DIST(K1353,AVERAGE($G$2:$G$1387),_xlfn.STDEV.S($G$2:$G$1387),TRUE())</f>
        <v>0.978399964082405</v>
      </c>
    </row>
    <row r="1354" customFormat="false" ht="15" hidden="false" customHeight="false" outlineLevel="0" collapsed="false">
      <c r="A1354" s="0" t="n">
        <f aca="false">ROW()-1</f>
        <v>1353</v>
      </c>
      <c r="B1354" s="0" t="str">
        <f aca="false">'Analysis Data'!A1354</f>
        <v>Lamar</v>
      </c>
      <c r="C1354" s="5" t="n">
        <f aca="false">'Analysis Data'!B1354</f>
        <v>40372</v>
      </c>
      <c r="D1354" s="6" t="n">
        <f aca="false">'Analysis Data'!C1354</f>
        <v>206.904629142428</v>
      </c>
      <c r="E1354" s="15" t="n">
        <f aca="false">SUMPRODUCT('Final Model'!$B$45:$I$45,'Analysis Data'!N1354:U1354)</f>
        <v>176.492560110001</v>
      </c>
      <c r="F1354" s="15" t="n">
        <f aca="false">D1354-E1354</f>
        <v>30.4120690324276</v>
      </c>
      <c r="G1354" s="13" t="n">
        <f aca="false">F1354/'Final Model'!$B$21</f>
        <v>0.620249148055647</v>
      </c>
      <c r="H1354" s="6" t="n">
        <f aca="false">F1354^2</f>
        <v>924.893942833142</v>
      </c>
      <c r="J1354" s="6" t="n">
        <f aca="false">A1354</f>
        <v>1353</v>
      </c>
      <c r="K1354" s="13" t="n">
        <f aca="false">SMALL($G$2:$G$1387,J1354)</f>
        <v>2.01666242158787</v>
      </c>
      <c r="L1354" s="18" t="n">
        <f aca="false">(J1354-0.5)/1386</f>
        <v>0.975829725829726</v>
      </c>
      <c r="M1354" s="18" t="n">
        <f aca="false">_xlfn.NORM.DIST(K1354,AVERAGE($G$2:$G$1387),_xlfn.STDEV.S($G$2:$G$1387),TRUE())</f>
        <v>0.978400358365027</v>
      </c>
    </row>
    <row r="1355" customFormat="false" ht="15" hidden="false" customHeight="false" outlineLevel="0" collapsed="false">
      <c r="A1355" s="0" t="n">
        <f aca="false">ROW()-1</f>
        <v>1354</v>
      </c>
      <c r="B1355" s="0" t="str">
        <f aca="false">'Analysis Data'!A1355</f>
        <v>Parkway (aka Arlington)</v>
      </c>
      <c r="C1355" s="5" t="n">
        <f aca="false">'Analysis Data'!B1355</f>
        <v>40302</v>
      </c>
      <c r="D1355" s="6" t="n">
        <f aca="false">'Analysis Data'!C1355</f>
        <v>131.669753014369</v>
      </c>
      <c r="E1355" s="15" t="n">
        <f aca="false">SUMPRODUCT('Final Model'!$B$45:$I$45,'Analysis Data'!N1355:U1355)</f>
        <v>188.528751823119</v>
      </c>
      <c r="F1355" s="15" t="n">
        <f aca="false">D1355-E1355</f>
        <v>-56.8589988087508</v>
      </c>
      <c r="G1355" s="13" t="n">
        <f aca="false">F1355/'Final Model'!$B$21</f>
        <v>-1.15962993286714</v>
      </c>
      <c r="H1355" s="6" t="n">
        <f aca="false">F1355^2</f>
        <v>3232.94574553352</v>
      </c>
      <c r="J1355" s="6" t="n">
        <f aca="false">A1355</f>
        <v>1354</v>
      </c>
      <c r="K1355" s="13" t="n">
        <f aca="false">SMALL($G$2:$G$1387,J1355)</f>
        <v>2.01894303216894</v>
      </c>
      <c r="L1355" s="18" t="n">
        <f aca="false">(J1355-0.5)/1386</f>
        <v>0.976551226551227</v>
      </c>
      <c r="M1355" s="18" t="n">
        <f aca="false">_xlfn.NORM.DIST(K1355,AVERAGE($G$2:$G$1387),_xlfn.STDEV.S($G$2:$G$1387),TRUE())</f>
        <v>0.978518240923326</v>
      </c>
    </row>
    <row r="1356" customFormat="false" ht="15" hidden="false" customHeight="false" outlineLevel="0" collapsed="false">
      <c r="A1356" s="0" t="n">
        <f aca="false">ROW()-1</f>
        <v>1355</v>
      </c>
      <c r="B1356" s="0" t="str">
        <f aca="false">'Analysis Data'!A1356</f>
        <v>Parkway (aka Arlington)</v>
      </c>
      <c r="C1356" s="5" t="n">
        <f aca="false">'Analysis Data'!B1356</f>
        <v>40309</v>
      </c>
      <c r="D1356" s="6" t="n">
        <f aca="false">'Analysis Data'!C1356</f>
        <v>140.282133017038</v>
      </c>
      <c r="E1356" s="15" t="n">
        <f aca="false">SUMPRODUCT('Final Model'!$B$45:$I$45,'Analysis Data'!N1356:U1356)</f>
        <v>188.528751823119</v>
      </c>
      <c r="F1356" s="15" t="n">
        <f aca="false">D1356-E1356</f>
        <v>-48.2466188060816</v>
      </c>
      <c r="G1356" s="13" t="n">
        <f aca="false">F1356/'Final Model'!$B$21</f>
        <v>-0.98398185862098</v>
      </c>
      <c r="H1356" s="6" t="n">
        <f aca="false">F1356^2</f>
        <v>2327.73622621935</v>
      </c>
      <c r="J1356" s="6" t="n">
        <f aca="false">A1356</f>
        <v>1355</v>
      </c>
      <c r="K1356" s="13" t="n">
        <f aca="false">SMALL($G$2:$G$1387,J1356)</f>
        <v>2.04335586132716</v>
      </c>
      <c r="L1356" s="18" t="n">
        <f aca="false">(J1356-0.5)/1386</f>
        <v>0.977272727272727</v>
      </c>
      <c r="M1356" s="18" t="n">
        <f aca="false">_xlfn.NORM.DIST(K1356,AVERAGE($G$2:$G$1387),_xlfn.STDEV.S($G$2:$G$1387),TRUE())</f>
        <v>0.979746404023116</v>
      </c>
    </row>
    <row r="1357" customFormat="false" ht="15" hidden="false" customHeight="false" outlineLevel="0" collapsed="false">
      <c r="A1357" s="0" t="n">
        <f aca="false">ROW()-1</f>
        <v>1356</v>
      </c>
      <c r="B1357" s="0" t="str">
        <f aca="false">'Analysis Data'!A1357</f>
        <v>Parkway (aka Arlington)</v>
      </c>
      <c r="C1357" s="5" t="n">
        <f aca="false">'Analysis Data'!B1357</f>
        <v>40316</v>
      </c>
      <c r="D1357" s="6" t="n">
        <f aca="false">'Analysis Data'!C1357</f>
        <v>187.402700002377</v>
      </c>
      <c r="E1357" s="15" t="n">
        <f aca="false">SUMPRODUCT('Final Model'!$B$45:$I$45,'Analysis Data'!N1357:U1357)</f>
        <v>194.045339696229</v>
      </c>
      <c r="F1357" s="15" t="n">
        <f aca="false">D1357-E1357</f>
        <v>-6.64263969385206</v>
      </c>
      <c r="G1357" s="13" t="n">
        <f aca="false">F1357/'Final Model'!$B$21</f>
        <v>-0.135475544480687</v>
      </c>
      <c r="H1357" s="6" t="n">
        <f aca="false">F1357^2</f>
        <v>44.124662102339</v>
      </c>
      <c r="J1357" s="6" t="n">
        <f aca="false">A1357</f>
        <v>1356</v>
      </c>
      <c r="K1357" s="13" t="n">
        <f aca="false">SMALL($G$2:$G$1387,J1357)</f>
        <v>2.04501173802493</v>
      </c>
      <c r="L1357" s="18" t="n">
        <f aca="false">(J1357-0.5)/1386</f>
        <v>0.977994227994228</v>
      </c>
      <c r="M1357" s="18" t="n">
        <f aca="false">_xlfn.NORM.DIST(K1357,AVERAGE($G$2:$G$1387),_xlfn.STDEV.S($G$2:$G$1387),TRUE())</f>
        <v>0.979827507350344</v>
      </c>
    </row>
    <row r="1358" customFormat="false" ht="15" hidden="false" customHeight="false" outlineLevel="0" collapsed="false">
      <c r="A1358" s="0" t="n">
        <f aca="false">ROW()-1</f>
        <v>1357</v>
      </c>
      <c r="B1358" s="0" t="str">
        <f aca="false">'Analysis Data'!A1358</f>
        <v>Parkway (aka Arlington)</v>
      </c>
      <c r="C1358" s="5" t="n">
        <f aca="false">'Analysis Data'!B1358</f>
        <v>40323</v>
      </c>
      <c r="D1358" s="6" t="n">
        <f aca="false">'Analysis Data'!C1358</f>
        <v>190.10765770326</v>
      </c>
      <c r="E1358" s="15" t="n">
        <f aca="false">SUMPRODUCT('Final Model'!$B$45:$I$45,'Analysis Data'!N1358:U1358)</f>
        <v>194.045339696229</v>
      </c>
      <c r="F1358" s="15" t="n">
        <f aca="false">D1358-E1358</f>
        <v>-3.93768199296906</v>
      </c>
      <c r="G1358" s="13" t="n">
        <f aca="false">F1358/'Final Model'!$B$21</f>
        <v>-0.0803083768765918</v>
      </c>
      <c r="H1358" s="6" t="n">
        <f aca="false">F1358^2</f>
        <v>15.5053394777528</v>
      </c>
      <c r="J1358" s="6" t="n">
        <f aca="false">A1358</f>
        <v>1357</v>
      </c>
      <c r="K1358" s="13" t="n">
        <f aca="false">SMALL($G$2:$G$1387,J1358)</f>
        <v>2.04582824100828</v>
      </c>
      <c r="L1358" s="18" t="n">
        <f aca="false">(J1358-0.5)/1386</f>
        <v>0.978715728715729</v>
      </c>
      <c r="M1358" s="18" t="n">
        <f aca="false">_xlfn.NORM.DIST(K1358,AVERAGE($G$2:$G$1387),_xlfn.STDEV.S($G$2:$G$1387),TRUE())</f>
        <v>0.979867397435335</v>
      </c>
    </row>
    <row r="1359" customFormat="false" ht="15" hidden="false" customHeight="false" outlineLevel="0" collapsed="false">
      <c r="A1359" s="0" t="n">
        <f aca="false">ROW()-1</f>
        <v>1358</v>
      </c>
      <c r="B1359" s="0" t="str">
        <f aca="false">'Analysis Data'!A1359</f>
        <v>Parkway (aka Arlington)</v>
      </c>
      <c r="C1359" s="5" t="n">
        <f aca="false">'Analysis Data'!B1359</f>
        <v>40330</v>
      </c>
      <c r="D1359" s="6" t="n">
        <f aca="false">'Analysis Data'!C1359</f>
        <v>148.669094765205</v>
      </c>
      <c r="E1359" s="15" t="n">
        <f aca="false">SUMPRODUCT('Final Model'!$B$45:$I$45,'Analysis Data'!N1359:U1359)</f>
        <v>194.045339696229</v>
      </c>
      <c r="F1359" s="15" t="n">
        <f aca="false">D1359-E1359</f>
        <v>-45.3762449310248</v>
      </c>
      <c r="G1359" s="13" t="n">
        <f aca="false">F1359/'Final Model'!$B$21</f>
        <v>-0.925441055339663</v>
      </c>
      <c r="H1359" s="6" t="n">
        <f aca="false">F1359^2</f>
        <v>2059.00360404035</v>
      </c>
      <c r="J1359" s="6" t="n">
        <f aca="false">A1359</f>
        <v>1358</v>
      </c>
      <c r="K1359" s="13" t="n">
        <f aca="false">SMALL($G$2:$G$1387,J1359)</f>
        <v>2.05230047836497</v>
      </c>
      <c r="L1359" s="18" t="n">
        <f aca="false">(J1359-0.5)/1386</f>
        <v>0.979437229437229</v>
      </c>
      <c r="M1359" s="18" t="n">
        <f aca="false">_xlfn.NORM.DIST(K1359,AVERAGE($G$2:$G$1387),_xlfn.STDEV.S($G$2:$G$1387),TRUE())</f>
        <v>0.980181236748565</v>
      </c>
    </row>
    <row r="1360" customFormat="false" ht="15" hidden="false" customHeight="false" outlineLevel="0" collapsed="false">
      <c r="A1360" s="0" t="n">
        <f aca="false">ROW()-1</f>
        <v>1359</v>
      </c>
      <c r="B1360" s="0" t="str">
        <f aca="false">'Analysis Data'!A1360</f>
        <v>Parkway (aka Arlington)</v>
      </c>
      <c r="C1360" s="5" t="n">
        <f aca="false">'Analysis Data'!B1360</f>
        <v>40337</v>
      </c>
      <c r="D1360" s="6" t="n">
        <f aca="false">'Analysis Data'!C1360</f>
        <v>174.013891941406</v>
      </c>
      <c r="E1360" s="15" t="n">
        <f aca="false">SUMPRODUCT('Final Model'!$B$45:$I$45,'Analysis Data'!N1360:U1360)</f>
        <v>178.721484502954</v>
      </c>
      <c r="F1360" s="15" t="n">
        <f aca="false">D1360-E1360</f>
        <v>-4.70759256154753</v>
      </c>
      <c r="G1360" s="13" t="n">
        <f aca="false">F1360/'Final Model'!$B$21</f>
        <v>-0.0960105763465012</v>
      </c>
      <c r="H1360" s="6" t="n">
        <f aca="false">F1360^2</f>
        <v>22.1614277255376</v>
      </c>
      <c r="J1360" s="6" t="n">
        <f aca="false">A1360</f>
        <v>1359</v>
      </c>
      <c r="K1360" s="13" t="n">
        <f aca="false">SMALL($G$2:$G$1387,J1360)</f>
        <v>2.06344641710305</v>
      </c>
      <c r="L1360" s="18" t="n">
        <f aca="false">(J1360-0.5)/1386</f>
        <v>0.98015873015873</v>
      </c>
      <c r="M1360" s="18" t="n">
        <f aca="false">_xlfn.NORM.DIST(K1360,AVERAGE($G$2:$G$1387),_xlfn.STDEV.S($G$2:$G$1387),TRUE())</f>
        <v>0.980711972719304</v>
      </c>
    </row>
    <row r="1361" customFormat="false" ht="15" hidden="false" customHeight="false" outlineLevel="0" collapsed="false">
      <c r="A1361" s="0" t="n">
        <f aca="false">ROW()-1</f>
        <v>1360</v>
      </c>
      <c r="B1361" s="0" t="str">
        <f aca="false">'Analysis Data'!A1361</f>
        <v>Parkway (aka Arlington)</v>
      </c>
      <c r="C1361" s="5" t="n">
        <f aca="false">'Analysis Data'!B1361</f>
        <v>40344</v>
      </c>
      <c r="D1361" s="6" t="n">
        <f aca="false">'Analysis Data'!C1361</f>
        <v>230.167809402856</v>
      </c>
      <c r="E1361" s="15" t="n">
        <f aca="false">SUMPRODUCT('Final Model'!$B$45:$I$45,'Analysis Data'!N1361:U1361)</f>
        <v>188.528751823119</v>
      </c>
      <c r="F1361" s="15" t="n">
        <f aca="false">D1361-E1361</f>
        <v>41.6390575797365</v>
      </c>
      <c r="G1361" s="13" t="n">
        <f aca="false">F1361/'Final Model'!$B$21</f>
        <v>0.849221733718064</v>
      </c>
      <c r="H1361" s="6" t="n">
        <f aca="false">F1361^2</f>
        <v>1733.81111612861</v>
      </c>
      <c r="J1361" s="6" t="n">
        <f aca="false">A1361</f>
        <v>1360</v>
      </c>
      <c r="K1361" s="13" t="n">
        <f aca="false">SMALL($G$2:$G$1387,J1361)</f>
        <v>2.07384077821994</v>
      </c>
      <c r="L1361" s="18" t="n">
        <f aca="false">(J1361-0.5)/1386</f>
        <v>0.980880230880231</v>
      </c>
      <c r="M1361" s="18" t="n">
        <f aca="false">_xlfn.NORM.DIST(K1361,AVERAGE($G$2:$G$1387),_xlfn.STDEV.S($G$2:$G$1387),TRUE())</f>
        <v>0.981195987982735</v>
      </c>
    </row>
    <row r="1362" customFormat="false" ht="15" hidden="false" customHeight="false" outlineLevel="0" collapsed="false">
      <c r="A1362" s="0" t="n">
        <f aca="false">ROW()-1</f>
        <v>1361</v>
      </c>
      <c r="B1362" s="0" t="str">
        <f aca="false">'Analysis Data'!A1362</f>
        <v>Parkway (aka Arlington)</v>
      </c>
      <c r="C1362" s="5" t="n">
        <f aca="false">'Analysis Data'!B1362</f>
        <v>40351</v>
      </c>
      <c r="D1362" s="6" t="n">
        <f aca="false">'Analysis Data'!C1362</f>
        <v>103.596697934323</v>
      </c>
      <c r="E1362" s="15" t="n">
        <f aca="false">SUMPRODUCT('Final Model'!$B$45:$I$45,'Analysis Data'!N1362:U1362)</f>
        <v>188.528751823119</v>
      </c>
      <c r="F1362" s="15" t="n">
        <f aca="false">D1362-E1362</f>
        <v>-84.9320538887961</v>
      </c>
      <c r="G1362" s="13" t="n">
        <f aca="false">F1362/'Final Model'!$B$21</f>
        <v>-1.73217527590681</v>
      </c>
      <c r="H1362" s="6" t="n">
        <f aca="false">F1362^2</f>
        <v>7213.45377776936</v>
      </c>
      <c r="J1362" s="6" t="n">
        <f aca="false">A1362</f>
        <v>1361</v>
      </c>
      <c r="K1362" s="13" t="n">
        <f aca="false">SMALL($G$2:$G$1387,J1362)</f>
        <v>2.08529885799013</v>
      </c>
      <c r="L1362" s="18" t="n">
        <f aca="false">(J1362-0.5)/1386</f>
        <v>0.981601731601732</v>
      </c>
      <c r="M1362" s="18" t="n">
        <f aca="false">_xlfn.NORM.DIST(K1362,AVERAGE($G$2:$G$1387),_xlfn.STDEV.S($G$2:$G$1387),TRUE())</f>
        <v>0.9817175219042</v>
      </c>
    </row>
    <row r="1363" customFormat="false" ht="15" hidden="false" customHeight="false" outlineLevel="0" collapsed="false">
      <c r="A1363" s="0" t="n">
        <f aca="false">ROW()-1</f>
        <v>1362</v>
      </c>
      <c r="B1363" s="0" t="str">
        <f aca="false">'Analysis Data'!A1363</f>
        <v>Parkway (aka Arlington)</v>
      </c>
      <c r="C1363" s="5" t="n">
        <f aca="false">'Analysis Data'!B1363</f>
        <v>40358</v>
      </c>
      <c r="D1363" s="6" t="n">
        <f aca="false">'Analysis Data'!C1363</f>
        <v>181.251275646666</v>
      </c>
      <c r="E1363" s="15" t="n">
        <f aca="false">SUMPRODUCT('Final Model'!$B$45:$I$45,'Analysis Data'!N1363:U1363)</f>
        <v>188.528751823119</v>
      </c>
      <c r="F1363" s="15" t="n">
        <f aca="false">D1363-E1363</f>
        <v>-7.27747617645349</v>
      </c>
      <c r="G1363" s="13" t="n">
        <f aca="false">F1363/'Final Model'!$B$21</f>
        <v>-0.148422930173792</v>
      </c>
      <c r="H1363" s="6" t="n">
        <f aca="false">F1363^2</f>
        <v>52.9616594988481</v>
      </c>
      <c r="J1363" s="6" t="n">
        <f aca="false">A1363</f>
        <v>1362</v>
      </c>
      <c r="K1363" s="13" t="n">
        <f aca="false">SMALL($G$2:$G$1387,J1363)</f>
        <v>2.17556695859786</v>
      </c>
      <c r="L1363" s="18" t="n">
        <f aca="false">(J1363-0.5)/1386</f>
        <v>0.982323232323232</v>
      </c>
      <c r="M1363" s="18" t="n">
        <f aca="false">_xlfn.NORM.DIST(K1363,AVERAGE($G$2:$G$1387),_xlfn.STDEV.S($G$2:$G$1387),TRUE())</f>
        <v>0.985411461187846</v>
      </c>
    </row>
    <row r="1364" customFormat="false" ht="15" hidden="false" customHeight="false" outlineLevel="0" collapsed="false">
      <c r="A1364" s="0" t="n">
        <f aca="false">ROW()-1</f>
        <v>1363</v>
      </c>
      <c r="B1364" s="0" t="str">
        <f aca="false">'Analysis Data'!A1364</f>
        <v>Parkway (aka Arlington)</v>
      </c>
      <c r="C1364" s="5" t="n">
        <f aca="false">'Analysis Data'!B1364</f>
        <v>40365</v>
      </c>
      <c r="D1364" s="6" t="n">
        <f aca="false">'Analysis Data'!C1364</f>
        <v>134.425826764566</v>
      </c>
      <c r="E1364" s="15" t="n">
        <f aca="false">SUMPRODUCT('Final Model'!$B$45:$I$45,'Analysis Data'!N1364:U1364)</f>
        <v>175.288940927656</v>
      </c>
      <c r="F1364" s="15" t="n">
        <f aca="false">D1364-E1364</f>
        <v>-40.8631141630899</v>
      </c>
      <c r="G1364" s="13" t="n">
        <f aca="false">F1364/'Final Model'!$B$21</f>
        <v>-0.833396495303629</v>
      </c>
      <c r="H1364" s="6" t="n">
        <f aca="false">F1364^2</f>
        <v>1669.79409910572</v>
      </c>
      <c r="J1364" s="6" t="n">
        <f aca="false">A1364</f>
        <v>1363</v>
      </c>
      <c r="K1364" s="13" t="n">
        <f aca="false">SMALL($G$2:$G$1387,J1364)</f>
        <v>2.1771044362628</v>
      </c>
      <c r="L1364" s="18" t="n">
        <f aca="false">(J1364-0.5)/1386</f>
        <v>0.983044733044733</v>
      </c>
      <c r="M1364" s="18" t="n">
        <f aca="false">_xlfn.NORM.DIST(K1364,AVERAGE($G$2:$G$1387),_xlfn.STDEV.S($G$2:$G$1387),TRUE())</f>
        <v>0.985468358330543</v>
      </c>
    </row>
    <row r="1365" customFormat="false" ht="15" hidden="false" customHeight="false" outlineLevel="0" collapsed="false">
      <c r="A1365" s="0" t="n">
        <f aca="false">ROW()-1</f>
        <v>1364</v>
      </c>
      <c r="B1365" s="0" t="str">
        <f aca="false">'Analysis Data'!A1365</f>
        <v>Parkway (aka Arlington)</v>
      </c>
      <c r="C1365" s="5" t="n">
        <f aca="false">'Analysis Data'!B1365</f>
        <v>40372</v>
      </c>
      <c r="D1365" s="6" t="n">
        <f aca="false">'Analysis Data'!C1365</f>
        <v>143.392060599618</v>
      </c>
      <c r="E1365" s="15" t="n">
        <f aca="false">SUMPRODUCT('Final Model'!$B$45:$I$45,'Analysis Data'!N1365:U1365)</f>
        <v>175.288940927656</v>
      </c>
      <c r="F1365" s="15" t="n">
        <f aca="false">D1365-E1365</f>
        <v>-31.8968803280382</v>
      </c>
      <c r="G1365" s="13" t="n">
        <f aca="false">F1365/'Final Model'!$B$21</f>
        <v>-0.650531630320956</v>
      </c>
      <c r="H1365" s="6" t="n">
        <f aca="false">F1365^2</f>
        <v>1017.41097466119</v>
      </c>
      <c r="J1365" s="6" t="n">
        <f aca="false">A1365</f>
        <v>1364</v>
      </c>
      <c r="K1365" s="13" t="n">
        <f aca="false">SMALL($G$2:$G$1387,J1365)</f>
        <v>2.19377701801355</v>
      </c>
      <c r="L1365" s="18" t="n">
        <f aca="false">(J1365-0.5)/1386</f>
        <v>0.983766233766234</v>
      </c>
      <c r="M1365" s="18" t="n">
        <f aca="false">_xlfn.NORM.DIST(K1365,AVERAGE($G$2:$G$1387),_xlfn.STDEV.S($G$2:$G$1387),TRUE())</f>
        <v>0.986073191963986</v>
      </c>
    </row>
    <row r="1366" customFormat="false" ht="15" hidden="false" customHeight="false" outlineLevel="0" collapsed="false">
      <c r="A1366" s="0" t="n">
        <f aca="false">ROW()-1</f>
        <v>1365</v>
      </c>
      <c r="B1366" s="0" t="str">
        <f aca="false">'Analysis Data'!A1366</f>
        <v>Plano</v>
      </c>
      <c r="C1366" s="5" t="n">
        <f aca="false">'Analysis Data'!B1366</f>
        <v>40302</v>
      </c>
      <c r="D1366" s="6" t="n">
        <f aca="false">'Analysis Data'!C1366</f>
        <v>136.50867259413</v>
      </c>
      <c r="E1366" s="15" t="n">
        <f aca="false">SUMPRODUCT('Final Model'!$B$45:$I$45,'Analysis Data'!N1366:U1366)</f>
        <v>188.528751823119</v>
      </c>
      <c r="F1366" s="15" t="n">
        <f aca="false">D1366-E1366</f>
        <v>-52.0200792289891</v>
      </c>
      <c r="G1366" s="13" t="n">
        <f aca="false">F1366/'Final Model'!$B$21</f>
        <v>-1.06094096357482</v>
      </c>
      <c r="H1366" s="6" t="n">
        <f aca="false">F1366^2</f>
        <v>2706.0886429903</v>
      </c>
      <c r="J1366" s="6" t="n">
        <f aca="false">A1366</f>
        <v>1365</v>
      </c>
      <c r="K1366" s="13" t="n">
        <f aca="false">SMALL($G$2:$G$1387,J1366)</f>
        <v>2.19618792819472</v>
      </c>
      <c r="L1366" s="18" t="n">
        <f aca="false">(J1366-0.5)/1386</f>
        <v>0.984487734487735</v>
      </c>
      <c r="M1366" s="18" t="n">
        <f aca="false">_xlfn.NORM.DIST(K1366,AVERAGE($G$2:$G$1387),_xlfn.STDEV.S($G$2:$G$1387),TRUE())</f>
        <v>0.986158831265895</v>
      </c>
    </row>
    <row r="1367" customFormat="false" ht="15" hidden="false" customHeight="false" outlineLevel="0" collapsed="false">
      <c r="A1367" s="0" t="n">
        <f aca="false">ROW()-1</f>
        <v>1366</v>
      </c>
      <c r="B1367" s="0" t="str">
        <f aca="false">'Analysis Data'!A1367</f>
        <v>Plano</v>
      </c>
      <c r="C1367" s="5" t="n">
        <f aca="false">'Analysis Data'!B1367</f>
        <v>40309</v>
      </c>
      <c r="D1367" s="6" t="n">
        <f aca="false">'Analysis Data'!C1367</f>
        <v>221.581734224507</v>
      </c>
      <c r="E1367" s="15" t="n">
        <f aca="false">SUMPRODUCT('Final Model'!$B$45:$I$45,'Analysis Data'!N1367:U1367)</f>
        <v>188.528751823119</v>
      </c>
      <c r="F1367" s="15" t="n">
        <f aca="false">D1367-E1367</f>
        <v>33.0529824013877</v>
      </c>
      <c r="G1367" s="13" t="n">
        <f aca="false">F1367/'Final Model'!$B$21</f>
        <v>0.674110142039309</v>
      </c>
      <c r="H1367" s="6" t="n">
        <f aca="false">F1367^2</f>
        <v>1092.49964562645</v>
      </c>
      <c r="J1367" s="6" t="n">
        <f aca="false">A1367</f>
        <v>1366</v>
      </c>
      <c r="K1367" s="13" t="n">
        <f aca="false">SMALL($G$2:$G$1387,J1367)</f>
        <v>2.21125513873074</v>
      </c>
      <c r="L1367" s="18" t="n">
        <f aca="false">(J1367-0.5)/1386</f>
        <v>0.985209235209235</v>
      </c>
      <c r="M1367" s="18" t="n">
        <f aca="false">_xlfn.NORM.DIST(K1367,AVERAGE($G$2:$G$1387),_xlfn.STDEV.S($G$2:$G$1387),TRUE())</f>
        <v>0.986683821110683</v>
      </c>
    </row>
    <row r="1368" customFormat="false" ht="15" hidden="false" customHeight="false" outlineLevel="0" collapsed="false">
      <c r="A1368" s="0" t="n">
        <f aca="false">ROW()-1</f>
        <v>1367</v>
      </c>
      <c r="B1368" s="0" t="str">
        <f aca="false">'Analysis Data'!A1368</f>
        <v>Plano</v>
      </c>
      <c r="C1368" s="5" t="n">
        <f aca="false">'Analysis Data'!B1368</f>
        <v>40316</v>
      </c>
      <c r="D1368" s="6" t="n">
        <f aca="false">'Analysis Data'!C1368</f>
        <v>231.251451561304</v>
      </c>
      <c r="E1368" s="15" t="n">
        <f aca="false">SUMPRODUCT('Final Model'!$B$45:$I$45,'Analysis Data'!N1368:U1368)</f>
        <v>193.257255708052</v>
      </c>
      <c r="F1368" s="15" t="n">
        <f aca="false">D1368-E1368</f>
        <v>37.9941958532518</v>
      </c>
      <c r="G1368" s="13" t="n">
        <f aca="false">F1368/'Final Model'!$B$21</f>
        <v>0.774885378035646</v>
      </c>
      <c r="H1368" s="6" t="n">
        <f aca="false">F1368^2</f>
        <v>1443.55891853525</v>
      </c>
      <c r="J1368" s="6" t="n">
        <f aca="false">A1368</f>
        <v>1367</v>
      </c>
      <c r="K1368" s="13" t="n">
        <f aca="false">SMALL($G$2:$G$1387,J1368)</f>
        <v>2.2338703919187</v>
      </c>
      <c r="L1368" s="18" t="n">
        <f aca="false">(J1368-0.5)/1386</f>
        <v>0.985930735930736</v>
      </c>
      <c r="M1368" s="18" t="n">
        <f aca="false">_xlfn.NORM.DIST(K1368,AVERAGE($G$2:$G$1387),_xlfn.STDEV.S($G$2:$G$1387),TRUE())</f>
        <v>0.987439502994451</v>
      </c>
    </row>
    <row r="1369" customFormat="false" ht="15" hidden="false" customHeight="false" outlineLevel="0" collapsed="false">
      <c r="A1369" s="0" t="n">
        <f aca="false">ROW()-1</f>
        <v>1368</v>
      </c>
      <c r="B1369" s="0" t="str">
        <f aca="false">'Analysis Data'!A1369</f>
        <v>Plano</v>
      </c>
      <c r="C1369" s="5" t="n">
        <f aca="false">'Analysis Data'!B1369</f>
        <v>40323</v>
      </c>
      <c r="D1369" s="6" t="n">
        <f aca="false">'Analysis Data'!C1369</f>
        <v>136.011336115198</v>
      </c>
      <c r="E1369" s="15" t="n">
        <f aca="false">SUMPRODUCT('Final Model'!$B$45:$I$45,'Analysis Data'!N1369:U1369)</f>
        <v>193.257255708052</v>
      </c>
      <c r="F1369" s="15" t="n">
        <f aca="false">D1369-E1369</f>
        <v>-57.2459195928541</v>
      </c>
      <c r="G1369" s="13" t="n">
        <f aca="false">F1369/'Final Model'!$B$21</f>
        <v>-1.16752111864766</v>
      </c>
      <c r="H1369" s="6" t="n">
        <f aca="false">F1369^2</f>
        <v>3277.09531003151</v>
      </c>
      <c r="J1369" s="6" t="n">
        <f aca="false">A1369</f>
        <v>1368</v>
      </c>
      <c r="K1369" s="13" t="n">
        <f aca="false">SMALL($G$2:$G$1387,J1369)</f>
        <v>2.23796895532237</v>
      </c>
      <c r="L1369" s="18" t="n">
        <f aca="false">(J1369-0.5)/1386</f>
        <v>0.986652236652237</v>
      </c>
      <c r="M1369" s="18" t="n">
        <f aca="false">_xlfn.NORM.DIST(K1369,AVERAGE($G$2:$G$1387),_xlfn.STDEV.S($G$2:$G$1387),TRUE())</f>
        <v>0.987572406495659</v>
      </c>
    </row>
    <row r="1370" customFormat="false" ht="15" hidden="false" customHeight="false" outlineLevel="0" collapsed="false">
      <c r="A1370" s="0" t="n">
        <f aca="false">ROW()-1</f>
        <v>1369</v>
      </c>
      <c r="B1370" s="0" t="str">
        <f aca="false">'Analysis Data'!A1370</f>
        <v>Plano</v>
      </c>
      <c r="C1370" s="5" t="n">
        <f aca="false">'Analysis Data'!B1370</f>
        <v>40330</v>
      </c>
      <c r="D1370" s="6" t="n">
        <f aca="false">'Analysis Data'!C1370</f>
        <v>213.820018075</v>
      </c>
      <c r="E1370" s="15" t="n">
        <f aca="false">SUMPRODUCT('Final Model'!$B$45:$I$45,'Analysis Data'!N1370:U1370)</f>
        <v>194.833423684407</v>
      </c>
      <c r="F1370" s="15" t="n">
        <f aca="false">D1370-E1370</f>
        <v>18.9865943905928</v>
      </c>
      <c r="G1370" s="13" t="n">
        <f aca="false">F1370/'Final Model'!$B$21</f>
        <v>0.38722847112725</v>
      </c>
      <c r="H1370" s="6" t="n">
        <f aca="false">F1370^2</f>
        <v>360.490766552892</v>
      </c>
      <c r="J1370" s="6" t="n">
        <f aca="false">A1370</f>
        <v>1369</v>
      </c>
      <c r="K1370" s="13" t="n">
        <f aca="false">SMALL($G$2:$G$1387,J1370)</f>
        <v>2.25363691213054</v>
      </c>
      <c r="L1370" s="18" t="n">
        <f aca="false">(J1370-0.5)/1386</f>
        <v>0.987373737373737</v>
      </c>
      <c r="M1370" s="18" t="n">
        <f aca="false">_xlfn.NORM.DIST(K1370,AVERAGE($G$2:$G$1387),_xlfn.STDEV.S($G$2:$G$1387),TRUE())</f>
        <v>0.988069304076342</v>
      </c>
    </row>
    <row r="1371" customFormat="false" ht="15" hidden="false" customHeight="false" outlineLevel="0" collapsed="false">
      <c r="A1371" s="0" t="n">
        <f aca="false">ROW()-1</f>
        <v>1370</v>
      </c>
      <c r="B1371" s="0" t="str">
        <f aca="false">'Analysis Data'!A1371</f>
        <v>Plano</v>
      </c>
      <c r="C1371" s="5" t="n">
        <f aca="false">'Analysis Data'!B1371</f>
        <v>40337</v>
      </c>
      <c r="D1371" s="6" t="n">
        <f aca="false">'Analysis Data'!C1371</f>
        <v>155.718572447858</v>
      </c>
      <c r="E1371" s="15" t="n">
        <f aca="false">SUMPRODUCT('Final Model'!$B$45:$I$45,'Analysis Data'!N1371:U1371)</f>
        <v>188.528751823119</v>
      </c>
      <c r="F1371" s="15" t="n">
        <f aca="false">D1371-E1371</f>
        <v>-32.8101793752618</v>
      </c>
      <c r="G1371" s="13" t="n">
        <f aca="false">F1371/'Final Model'!$B$21</f>
        <v>-0.669158214239218</v>
      </c>
      <c r="H1371" s="6" t="n">
        <f aca="false">F1371^2</f>
        <v>1076.50787063685</v>
      </c>
      <c r="J1371" s="6" t="n">
        <f aca="false">A1371</f>
        <v>1370</v>
      </c>
      <c r="K1371" s="13" t="n">
        <f aca="false">SMALL($G$2:$G$1387,J1371)</f>
        <v>2.25897127342649</v>
      </c>
      <c r="L1371" s="18" t="n">
        <f aca="false">(J1371-0.5)/1386</f>
        <v>0.988095238095238</v>
      </c>
      <c r="M1371" s="18" t="n">
        <f aca="false">_xlfn.NORM.DIST(K1371,AVERAGE($G$2:$G$1387),_xlfn.STDEV.S($G$2:$G$1387),TRUE())</f>
        <v>0.988234501249639</v>
      </c>
    </row>
    <row r="1372" customFormat="false" ht="15" hidden="false" customHeight="false" outlineLevel="0" collapsed="false">
      <c r="A1372" s="0" t="n">
        <f aca="false">ROW()-1</f>
        <v>1371</v>
      </c>
      <c r="B1372" s="0" t="str">
        <f aca="false">'Analysis Data'!A1372</f>
        <v>Plano</v>
      </c>
      <c r="C1372" s="5" t="n">
        <f aca="false">'Analysis Data'!B1372</f>
        <v>40344</v>
      </c>
      <c r="D1372" s="6" t="n">
        <f aca="false">'Analysis Data'!C1372</f>
        <v>196.578793706513</v>
      </c>
      <c r="E1372" s="15" t="n">
        <f aca="false">SUMPRODUCT('Final Model'!$B$45:$I$45,'Analysis Data'!N1372:U1372)</f>
        <v>188.528751823119</v>
      </c>
      <c r="F1372" s="15" t="n">
        <f aca="false">D1372-E1372</f>
        <v>8.05004188339353</v>
      </c>
      <c r="G1372" s="13" t="n">
        <f aca="false">F1372/'Final Model'!$B$21</f>
        <v>0.164179280754071</v>
      </c>
      <c r="H1372" s="6" t="n">
        <f aca="false">F1372^2</f>
        <v>64.8031743243901</v>
      </c>
      <c r="J1372" s="6" t="n">
        <f aca="false">A1372</f>
        <v>1371</v>
      </c>
      <c r="K1372" s="13" t="n">
        <f aca="false">SMALL($G$2:$G$1387,J1372)</f>
        <v>2.26555117043673</v>
      </c>
      <c r="L1372" s="18" t="n">
        <f aca="false">(J1372-0.5)/1386</f>
        <v>0.988816738816739</v>
      </c>
      <c r="M1372" s="18" t="n">
        <f aca="false">_xlfn.NORM.DIST(K1372,AVERAGE($G$2:$G$1387),_xlfn.STDEV.S($G$2:$G$1387),TRUE())</f>
        <v>0.98843553344793</v>
      </c>
    </row>
    <row r="1373" customFormat="false" ht="15" hidden="false" customHeight="false" outlineLevel="0" collapsed="false">
      <c r="A1373" s="0" t="n">
        <f aca="false">ROW()-1</f>
        <v>1372</v>
      </c>
      <c r="B1373" s="0" t="str">
        <f aca="false">'Analysis Data'!A1373</f>
        <v>Plano</v>
      </c>
      <c r="C1373" s="5" t="n">
        <f aca="false">'Analysis Data'!B1373</f>
        <v>40351</v>
      </c>
      <c r="D1373" s="6" t="n">
        <f aca="false">'Analysis Data'!C1373</f>
        <v>147.894127233224</v>
      </c>
      <c r="E1373" s="15" t="n">
        <f aca="false">SUMPRODUCT('Final Model'!$B$45:$I$45,'Analysis Data'!N1373:U1373)</f>
        <v>188.528751823119</v>
      </c>
      <c r="F1373" s="15" t="n">
        <f aca="false">D1373-E1373</f>
        <v>-40.6346245898952</v>
      </c>
      <c r="G1373" s="13" t="n">
        <f aca="false">F1373/'Final Model'!$B$21</f>
        <v>-0.828736488022883</v>
      </c>
      <c r="H1373" s="6" t="n">
        <f aca="false">F1373^2</f>
        <v>1651.17271556171</v>
      </c>
      <c r="J1373" s="6" t="n">
        <f aca="false">A1373</f>
        <v>1372</v>
      </c>
      <c r="K1373" s="13" t="n">
        <f aca="false">SMALL($G$2:$G$1387,J1373)</f>
        <v>2.27734850615288</v>
      </c>
      <c r="L1373" s="18" t="n">
        <f aca="false">(J1373-0.5)/1386</f>
        <v>0.98953823953824</v>
      </c>
      <c r="M1373" s="18" t="n">
        <f aca="false">_xlfn.NORM.DIST(K1373,AVERAGE($G$2:$G$1387),_xlfn.STDEV.S($G$2:$G$1387),TRUE())</f>
        <v>0.988788509961034</v>
      </c>
    </row>
    <row r="1374" customFormat="false" ht="15" hidden="false" customHeight="false" outlineLevel="0" collapsed="false">
      <c r="A1374" s="0" t="n">
        <f aca="false">ROW()-1</f>
        <v>1373</v>
      </c>
      <c r="B1374" s="0" t="str">
        <f aca="false">'Analysis Data'!A1374</f>
        <v>Plano</v>
      </c>
      <c r="C1374" s="5" t="n">
        <f aca="false">'Analysis Data'!B1374</f>
        <v>40358</v>
      </c>
      <c r="D1374" s="6" t="n">
        <f aca="false">'Analysis Data'!C1374</f>
        <v>218.220400053407</v>
      </c>
      <c r="E1374" s="15" t="n">
        <f aca="false">SUMPRODUCT('Final Model'!$B$45:$I$45,'Analysis Data'!N1374:U1374)</f>
        <v>188.528751823119</v>
      </c>
      <c r="F1374" s="15" t="n">
        <f aca="false">D1374-E1374</f>
        <v>29.6916482302871</v>
      </c>
      <c r="G1374" s="13" t="n">
        <f aca="false">F1374/'Final Model'!$B$21</f>
        <v>0.605556284235933</v>
      </c>
      <c r="H1374" s="6" t="n">
        <f aca="false">F1374^2</f>
        <v>881.593974631112</v>
      </c>
      <c r="J1374" s="6" t="n">
        <f aca="false">A1374</f>
        <v>1373</v>
      </c>
      <c r="K1374" s="13" t="n">
        <f aca="false">SMALL($G$2:$G$1387,J1374)</f>
        <v>2.3098149552489</v>
      </c>
      <c r="L1374" s="18" t="n">
        <f aca="false">(J1374-0.5)/1386</f>
        <v>0.99025974025974</v>
      </c>
      <c r="M1374" s="18" t="n">
        <f aca="false">_xlfn.NORM.DIST(K1374,AVERAGE($G$2:$G$1387),_xlfn.STDEV.S($G$2:$G$1387),TRUE())</f>
        <v>0.989711969373242</v>
      </c>
    </row>
    <row r="1375" customFormat="false" ht="15" hidden="false" customHeight="false" outlineLevel="0" collapsed="false">
      <c r="A1375" s="0" t="n">
        <f aca="false">ROW()-1</f>
        <v>1374</v>
      </c>
      <c r="B1375" s="0" t="str">
        <f aca="false">'Analysis Data'!A1375</f>
        <v>Plano</v>
      </c>
      <c r="C1375" s="5" t="n">
        <f aca="false">'Analysis Data'!B1375</f>
        <v>40365</v>
      </c>
      <c r="D1375" s="6" t="n">
        <f aca="false">'Analysis Data'!C1375</f>
        <v>182.414218676552</v>
      </c>
      <c r="E1375" s="15" t="n">
        <f aca="false">SUMPRODUCT('Final Model'!$B$45:$I$45,'Analysis Data'!N1375:U1375)</f>
        <v>193.257255708052</v>
      </c>
      <c r="F1375" s="15" t="n">
        <f aca="false">D1375-E1375</f>
        <v>-10.8430370315003</v>
      </c>
      <c r="G1375" s="13" t="n">
        <f aca="false">F1375/'Final Model'!$B$21</f>
        <v>-0.221141957620602</v>
      </c>
      <c r="H1375" s="6" t="n">
        <f aca="false">F1375^2</f>
        <v>117.571452066488</v>
      </c>
      <c r="J1375" s="6" t="n">
        <f aca="false">A1375</f>
        <v>1374</v>
      </c>
      <c r="K1375" s="13" t="n">
        <f aca="false">SMALL($G$2:$G$1387,J1375)</f>
        <v>2.3150219135359</v>
      </c>
      <c r="L1375" s="18" t="n">
        <f aca="false">(J1375-0.5)/1386</f>
        <v>0.990981240981241</v>
      </c>
      <c r="M1375" s="18" t="n">
        <f aca="false">_xlfn.NORM.DIST(K1375,AVERAGE($G$2:$G$1387),_xlfn.STDEV.S($G$2:$G$1387),TRUE())</f>
        <v>0.989853728585281</v>
      </c>
    </row>
    <row r="1376" customFormat="false" ht="15" hidden="false" customHeight="false" outlineLevel="0" collapsed="false">
      <c r="A1376" s="0" t="n">
        <f aca="false">ROW()-1</f>
        <v>1375</v>
      </c>
      <c r="B1376" s="0" t="str">
        <f aca="false">'Analysis Data'!A1376</f>
        <v>Plano</v>
      </c>
      <c r="C1376" s="5" t="n">
        <f aca="false">'Analysis Data'!B1376</f>
        <v>40372</v>
      </c>
      <c r="D1376" s="6" t="n">
        <f aca="false">'Analysis Data'!C1376</f>
        <v>114.825828022261</v>
      </c>
      <c r="E1376" s="15" t="n">
        <f aca="false">SUMPRODUCT('Final Model'!$B$45:$I$45,'Analysis Data'!N1376:U1376)</f>
        <v>193.257255708052</v>
      </c>
      <c r="F1376" s="15" t="n">
        <f aca="false">D1376-E1376</f>
        <v>-78.4314276857904</v>
      </c>
      <c r="G1376" s="13" t="n">
        <f aca="false">F1376/'Final Model'!$B$21</f>
        <v>-1.59959607322437</v>
      </c>
      <c r="H1376" s="6" t="n">
        <f aca="false">F1376^2</f>
        <v>6151.48884883137</v>
      </c>
      <c r="J1376" s="6" t="n">
        <f aca="false">A1376</f>
        <v>1375</v>
      </c>
      <c r="K1376" s="13" t="n">
        <f aca="false">SMALL($G$2:$G$1387,J1376)</f>
        <v>2.34712053001094</v>
      </c>
      <c r="L1376" s="18" t="n">
        <f aca="false">(J1376-0.5)/1386</f>
        <v>0.991702741702742</v>
      </c>
      <c r="M1376" s="18" t="n">
        <f aca="false">_xlfn.NORM.DIST(K1376,AVERAGE($G$2:$G$1387),_xlfn.STDEV.S($G$2:$G$1387),TRUE())</f>
        <v>0.990690547343055</v>
      </c>
    </row>
    <row r="1377" customFormat="false" ht="15" hidden="false" customHeight="false" outlineLevel="0" collapsed="false">
      <c r="A1377" s="0" t="n">
        <f aca="false">ROW()-1</f>
        <v>1376</v>
      </c>
      <c r="B1377" s="0" t="str">
        <f aca="false">'Analysis Data'!A1377</f>
        <v>Veterans</v>
      </c>
      <c r="C1377" s="5" t="n">
        <f aca="false">'Analysis Data'!B1377</f>
        <v>40302</v>
      </c>
      <c r="D1377" s="6" t="n">
        <f aca="false">'Analysis Data'!C1377</f>
        <v>81.3460444383771</v>
      </c>
      <c r="E1377" s="15" t="n">
        <f aca="false">SUMPRODUCT('Final Model'!$B$45:$I$45,'Analysis Data'!N1377:U1377)</f>
        <v>179.702211226144</v>
      </c>
      <c r="F1377" s="15" t="n">
        <f aca="false">D1377-E1377</f>
        <v>-98.3561667877666</v>
      </c>
      <c r="G1377" s="13" t="n">
        <f aca="false">F1377/'Final Model'!$B$21</f>
        <v>-2.0059578515057</v>
      </c>
      <c r="H1377" s="6" t="n">
        <f aca="false">F1377^2</f>
        <v>9673.93554518297</v>
      </c>
      <c r="J1377" s="6" t="n">
        <f aca="false">A1377</f>
        <v>1376</v>
      </c>
      <c r="K1377" s="13" t="n">
        <f aca="false">SMALL($G$2:$G$1387,J1377)</f>
        <v>2.35256203372495</v>
      </c>
      <c r="L1377" s="18" t="n">
        <f aca="false">(J1377-0.5)/1386</f>
        <v>0.992424242424242</v>
      </c>
      <c r="M1377" s="18" t="n">
        <f aca="false">_xlfn.NORM.DIST(K1377,AVERAGE($G$2:$G$1387),_xlfn.STDEV.S($G$2:$G$1387),TRUE())</f>
        <v>0.990826255885033</v>
      </c>
    </row>
    <row r="1378" customFormat="false" ht="15" hidden="false" customHeight="false" outlineLevel="0" collapsed="false">
      <c r="A1378" s="0" t="n">
        <f aca="false">ROW()-1</f>
        <v>1377</v>
      </c>
      <c r="B1378" s="0" t="str">
        <f aca="false">'Analysis Data'!A1378</f>
        <v>Veterans</v>
      </c>
      <c r="C1378" s="5" t="n">
        <f aca="false">'Analysis Data'!B1378</f>
        <v>40309</v>
      </c>
      <c r="D1378" s="6" t="n">
        <f aca="false">'Analysis Data'!C1378</f>
        <v>292.957105797738</v>
      </c>
      <c r="E1378" s="15" t="n">
        <f aca="false">SUMPRODUCT('Final Model'!$B$45:$I$45,'Analysis Data'!N1378:U1378)</f>
        <v>179.702211226144</v>
      </c>
      <c r="F1378" s="15" t="n">
        <f aca="false">D1378-E1378</f>
        <v>113.254894571594</v>
      </c>
      <c r="G1378" s="13" t="n">
        <f aca="false">F1378/'Final Model'!$B$21</f>
        <v>2.3098149552489</v>
      </c>
      <c r="H1378" s="6" t="n">
        <f aca="false">F1378^2</f>
        <v>12826.6711444229</v>
      </c>
      <c r="J1378" s="6" t="n">
        <f aca="false">A1378</f>
        <v>1377</v>
      </c>
      <c r="K1378" s="13" t="n">
        <f aca="false">SMALL($G$2:$G$1387,J1378)</f>
        <v>2.36406048588879</v>
      </c>
      <c r="L1378" s="18" t="n">
        <f aca="false">(J1378-0.5)/1386</f>
        <v>0.993145743145743</v>
      </c>
      <c r="M1378" s="18" t="n">
        <f aca="false">_xlfn.NORM.DIST(K1378,AVERAGE($G$2:$G$1387),_xlfn.STDEV.S($G$2:$G$1387),TRUE())</f>
        <v>0.991107337764991</v>
      </c>
    </row>
    <row r="1379" customFormat="false" ht="15" hidden="false" customHeight="false" outlineLevel="0" collapsed="false">
      <c r="A1379" s="0" t="n">
        <f aca="false">ROW()-1</f>
        <v>1378</v>
      </c>
      <c r="B1379" s="0" t="str">
        <f aca="false">'Analysis Data'!A1379</f>
        <v>Veterans</v>
      </c>
      <c r="C1379" s="5" t="n">
        <f aca="false">'Analysis Data'!B1379</f>
        <v>40316</v>
      </c>
      <c r="D1379" s="6" t="n">
        <f aca="false">'Analysis Data'!C1379</f>
        <v>113.457457786556</v>
      </c>
      <c r="E1379" s="15" t="n">
        <f aca="false">SUMPRODUCT('Final Model'!$B$45:$I$45,'Analysis Data'!N1379:U1379)</f>
        <v>191.838704546985</v>
      </c>
      <c r="F1379" s="15" t="n">
        <f aca="false">D1379-E1379</f>
        <v>-78.381246760429</v>
      </c>
      <c r="G1379" s="13" t="n">
        <f aca="false">F1379/'Final Model'!$B$21</f>
        <v>-1.59857264150156</v>
      </c>
      <c r="H1379" s="6" t="n">
        <f aca="false">F1379^2</f>
        <v>6143.61984371926</v>
      </c>
      <c r="J1379" s="6" t="n">
        <f aca="false">A1379</f>
        <v>1378</v>
      </c>
      <c r="K1379" s="13" t="n">
        <f aca="false">SMALL($G$2:$G$1387,J1379)</f>
        <v>2.41719628873173</v>
      </c>
      <c r="L1379" s="18" t="n">
        <f aca="false">(J1379-0.5)/1386</f>
        <v>0.993867243867244</v>
      </c>
      <c r="M1379" s="18" t="n">
        <f aca="false">_xlfn.NORM.DIST(K1379,AVERAGE($G$2:$G$1387),_xlfn.STDEV.S($G$2:$G$1387),TRUE())</f>
        <v>0.992310482558</v>
      </c>
    </row>
    <row r="1380" customFormat="false" ht="15" hidden="false" customHeight="false" outlineLevel="0" collapsed="false">
      <c r="A1380" s="0" t="n">
        <f aca="false">ROW()-1</f>
        <v>1379</v>
      </c>
      <c r="B1380" s="0" t="str">
        <f aca="false">'Analysis Data'!A1380</f>
        <v>Veterans</v>
      </c>
      <c r="C1380" s="5" t="n">
        <f aca="false">'Analysis Data'!B1380</f>
        <v>40323</v>
      </c>
      <c r="D1380" s="6" t="n">
        <f aca="false">'Analysis Data'!C1380</f>
        <v>200.755260109891</v>
      </c>
      <c r="E1380" s="15" t="n">
        <f aca="false">SUMPRODUCT('Final Model'!$B$45:$I$45,'Analysis Data'!N1380:U1380)</f>
        <v>191.838704546985</v>
      </c>
      <c r="F1380" s="15" t="n">
        <f aca="false">D1380-E1380</f>
        <v>8.9165555629059</v>
      </c>
      <c r="G1380" s="13" t="n">
        <f aca="false">F1380/'Final Model'!$B$21</f>
        <v>0.181851684789555</v>
      </c>
      <c r="H1380" s="6" t="n">
        <f aca="false">F1380^2</f>
        <v>79.5049631063881</v>
      </c>
      <c r="J1380" s="6" t="n">
        <f aca="false">A1380</f>
        <v>1379</v>
      </c>
      <c r="K1380" s="13" t="n">
        <f aca="false">SMALL($G$2:$G$1387,J1380)</f>
        <v>2.44690645108313</v>
      </c>
      <c r="L1380" s="18" t="n">
        <f aca="false">(J1380-0.5)/1386</f>
        <v>0.994588744588745</v>
      </c>
      <c r="M1380" s="18" t="n">
        <f aca="false">_xlfn.NORM.DIST(K1380,AVERAGE($G$2:$G$1387),_xlfn.STDEV.S($G$2:$G$1387),TRUE())</f>
        <v>0.992918717948728</v>
      </c>
    </row>
    <row r="1381" customFormat="false" ht="15" hidden="false" customHeight="false" outlineLevel="0" collapsed="false">
      <c r="A1381" s="0" t="n">
        <f aca="false">ROW()-1</f>
        <v>1380</v>
      </c>
      <c r="B1381" s="0" t="str">
        <f aca="false">'Analysis Data'!A1381</f>
        <v>Veterans</v>
      </c>
      <c r="C1381" s="5" t="n">
        <f aca="false">'Analysis Data'!B1381</f>
        <v>40330</v>
      </c>
      <c r="D1381" s="6" t="n">
        <f aca="false">'Analysis Data'!C1381</f>
        <v>254.359608679942</v>
      </c>
      <c r="E1381" s="15" t="n">
        <f aca="false">SUMPRODUCT('Final Model'!$B$45:$I$45,'Analysis Data'!N1381:U1381)</f>
        <v>191.838704546985</v>
      </c>
      <c r="F1381" s="15" t="n">
        <f aca="false">D1381-E1381</f>
        <v>62.5209041329563</v>
      </c>
      <c r="G1381" s="13" t="n">
        <f aca="false">F1381/'Final Model'!$B$21</f>
        <v>1.27510356111537</v>
      </c>
      <c r="H1381" s="6" t="n">
        <f aca="false">F1381^2</f>
        <v>3908.86345360231</v>
      </c>
      <c r="J1381" s="6" t="n">
        <f aca="false">A1381</f>
        <v>1380</v>
      </c>
      <c r="K1381" s="13" t="n">
        <f aca="false">SMALL($G$2:$G$1387,J1381)</f>
        <v>2.49314466510078</v>
      </c>
      <c r="L1381" s="18" t="n">
        <f aca="false">(J1381-0.5)/1386</f>
        <v>0.995310245310245</v>
      </c>
      <c r="M1381" s="18" t="n">
        <f aca="false">_xlfn.NORM.DIST(K1381,AVERAGE($G$2:$G$1387),_xlfn.STDEV.S($G$2:$G$1387),TRUE())</f>
        <v>0.99378102121163</v>
      </c>
    </row>
    <row r="1382" customFormat="false" ht="15" hidden="false" customHeight="false" outlineLevel="0" collapsed="false">
      <c r="A1382" s="0" t="n">
        <f aca="false">ROW()-1</f>
        <v>1381</v>
      </c>
      <c r="B1382" s="0" t="str">
        <f aca="false">'Analysis Data'!A1382</f>
        <v>Veterans</v>
      </c>
      <c r="C1382" s="5" t="n">
        <f aca="false">'Analysis Data'!B1382</f>
        <v>40337</v>
      </c>
      <c r="D1382" s="6" t="n">
        <f aca="false">'Analysis Data'!C1382</f>
        <v>201.029257891376</v>
      </c>
      <c r="E1382" s="15" t="n">
        <f aca="false">SUMPRODUCT('Final Model'!$B$45:$I$45,'Analysis Data'!N1382:U1382)</f>
        <v>179.702211226144</v>
      </c>
      <c r="F1382" s="15" t="n">
        <f aca="false">D1382-E1382</f>
        <v>21.3270466652318</v>
      </c>
      <c r="G1382" s="13" t="n">
        <f aca="false">F1382/'Final Model'!$B$21</f>
        <v>0.434961610489188</v>
      </c>
      <c r="H1382" s="6" t="n">
        <f aca="false">F1382^2</f>
        <v>454.842919460976</v>
      </c>
      <c r="J1382" s="6" t="n">
        <f aca="false">A1382</f>
        <v>1381</v>
      </c>
      <c r="K1382" s="13" t="n">
        <f aca="false">SMALL($G$2:$G$1387,J1382)</f>
        <v>2.57244886662389</v>
      </c>
      <c r="L1382" s="18" t="n">
        <f aca="false">(J1382-0.5)/1386</f>
        <v>0.996031746031746</v>
      </c>
      <c r="M1382" s="18" t="n">
        <f aca="false">_xlfn.NORM.DIST(K1382,AVERAGE($G$2:$G$1387),_xlfn.STDEV.S($G$2:$G$1387),TRUE())</f>
        <v>0.995045293298033</v>
      </c>
    </row>
    <row r="1383" customFormat="false" ht="15" hidden="false" customHeight="false" outlineLevel="0" collapsed="false">
      <c r="A1383" s="0" t="n">
        <f aca="false">ROW()-1</f>
        <v>1382</v>
      </c>
      <c r="B1383" s="0" t="str">
        <f aca="false">'Analysis Data'!A1383</f>
        <v>Veterans</v>
      </c>
      <c r="C1383" s="5" t="n">
        <f aca="false">'Analysis Data'!B1383</f>
        <v>40344</v>
      </c>
      <c r="D1383" s="6" t="n">
        <f aca="false">'Analysis Data'!C1383</f>
        <v>192.685157046473</v>
      </c>
      <c r="E1383" s="15" t="n">
        <f aca="false">SUMPRODUCT('Final Model'!$B$45:$I$45,'Analysis Data'!N1383:U1383)</f>
        <v>179.702211226144</v>
      </c>
      <c r="F1383" s="15" t="n">
        <f aca="false">D1383-E1383</f>
        <v>12.9829458203294</v>
      </c>
      <c r="G1383" s="13" t="n">
        <f aca="false">F1383/'Final Model'!$B$21</f>
        <v>0.264785045559564</v>
      </c>
      <c r="H1383" s="6" t="n">
        <f aca="false">F1383^2</f>
        <v>168.55688217361</v>
      </c>
      <c r="J1383" s="6" t="n">
        <f aca="false">A1383</f>
        <v>1382</v>
      </c>
      <c r="K1383" s="13" t="n">
        <f aca="false">SMALL($G$2:$G$1387,J1383)</f>
        <v>2.57794870237353</v>
      </c>
      <c r="L1383" s="18" t="n">
        <f aca="false">(J1383-0.5)/1386</f>
        <v>0.996753246753247</v>
      </c>
      <c r="M1383" s="18" t="n">
        <f aca="false">_xlfn.NORM.DIST(K1383,AVERAGE($G$2:$G$1387),_xlfn.STDEV.S($G$2:$G$1387),TRUE())</f>
        <v>0.995123817543273</v>
      </c>
    </row>
    <row r="1384" customFormat="false" ht="15" hidden="false" customHeight="false" outlineLevel="0" collapsed="false">
      <c r="A1384" s="0" t="n">
        <f aca="false">ROW()-1</f>
        <v>1383</v>
      </c>
      <c r="B1384" s="0" t="str">
        <f aca="false">'Analysis Data'!A1384</f>
        <v>Veterans</v>
      </c>
      <c r="C1384" s="5" t="n">
        <f aca="false">'Analysis Data'!B1384</f>
        <v>40351</v>
      </c>
      <c r="D1384" s="6" t="n">
        <f aca="false">'Analysis Data'!C1384</f>
        <v>173.720881851359</v>
      </c>
      <c r="E1384" s="15" t="n">
        <f aca="false">SUMPRODUCT('Final Model'!$B$45:$I$45,'Analysis Data'!N1384:U1384)</f>
        <v>179.702211226144</v>
      </c>
      <c r="F1384" s="15" t="n">
        <f aca="false">D1384-E1384</f>
        <v>-5.98132937478457</v>
      </c>
      <c r="G1384" s="13" t="n">
        <f aca="false">F1384/'Final Model'!$B$21</f>
        <v>-0.121988229245256</v>
      </c>
      <c r="H1384" s="6" t="n">
        <f aca="false">F1384^2</f>
        <v>35.7763010896607</v>
      </c>
      <c r="J1384" s="6" t="n">
        <f aca="false">A1384</f>
        <v>1383</v>
      </c>
      <c r="K1384" s="13" t="n">
        <f aca="false">SMALL($G$2:$G$1387,J1384)</f>
        <v>2.6619288022775</v>
      </c>
      <c r="L1384" s="18" t="n">
        <f aca="false">(J1384-0.5)/1386</f>
        <v>0.997474747474748</v>
      </c>
      <c r="M1384" s="18" t="n">
        <f aca="false">_xlfn.NORM.DIST(K1384,AVERAGE($G$2:$G$1387),_xlfn.STDEV.S($G$2:$G$1387),TRUE())</f>
        <v>0.996192516647175</v>
      </c>
    </row>
    <row r="1385" customFormat="false" ht="15" hidden="false" customHeight="false" outlineLevel="0" collapsed="false">
      <c r="A1385" s="0" t="n">
        <f aca="false">ROW()-1</f>
        <v>1384</v>
      </c>
      <c r="B1385" s="0" t="str">
        <f aca="false">'Analysis Data'!A1385</f>
        <v>Veterans</v>
      </c>
      <c r="C1385" s="5" t="n">
        <f aca="false">'Analysis Data'!B1385</f>
        <v>40358</v>
      </c>
      <c r="D1385" s="6" t="n">
        <f aca="false">'Analysis Data'!C1385</f>
        <v>278.582871566513</v>
      </c>
      <c r="E1385" s="15" t="n">
        <f aca="false">SUMPRODUCT('Final Model'!$B$45:$I$45,'Analysis Data'!N1385:U1385)</f>
        <v>179.702211226144</v>
      </c>
      <c r="F1385" s="15" t="n">
        <f aca="false">D1385-E1385</f>
        <v>98.8806603403695</v>
      </c>
      <c r="G1385" s="13" t="n">
        <f aca="false">F1385/'Final Model'!$B$21</f>
        <v>2.01665481128228</v>
      </c>
      <c r="H1385" s="6" t="n">
        <f aca="false">F1385^2</f>
        <v>9777.38498934752</v>
      </c>
      <c r="J1385" s="6" t="n">
        <f aca="false">A1385</f>
        <v>1384</v>
      </c>
      <c r="K1385" s="13" t="n">
        <f aca="false">SMALL($G$2:$G$1387,J1385)</f>
        <v>2.7057112929123</v>
      </c>
      <c r="L1385" s="18" t="n">
        <f aca="false">(J1385-0.5)/1386</f>
        <v>0.998196248196248</v>
      </c>
      <c r="M1385" s="18" t="n">
        <f aca="false">_xlfn.NORM.DIST(K1385,AVERAGE($G$2:$G$1387),_xlfn.STDEV.S($G$2:$G$1387),TRUE())</f>
        <v>0.996661865002935</v>
      </c>
    </row>
    <row r="1386" customFormat="false" ht="15" hidden="false" customHeight="false" outlineLevel="0" collapsed="false">
      <c r="A1386" s="0" t="n">
        <f aca="false">ROW()-1</f>
        <v>1385</v>
      </c>
      <c r="B1386" s="0" t="str">
        <f aca="false">'Analysis Data'!A1386</f>
        <v>Veterans</v>
      </c>
      <c r="C1386" s="5" t="n">
        <f aca="false">'Analysis Data'!B1386</f>
        <v>40365</v>
      </c>
      <c r="D1386" s="6" t="n">
        <f aca="false">'Analysis Data'!C1386</f>
        <v>122.22976754875</v>
      </c>
      <c r="E1386" s="15" t="n">
        <f aca="false">SUMPRODUCT('Final Model'!$B$45:$I$45,'Analysis Data'!N1386:U1386)</f>
        <v>184.115481524632</v>
      </c>
      <c r="F1386" s="15" t="n">
        <f aca="false">D1386-E1386</f>
        <v>-61.885713975882</v>
      </c>
      <c r="G1386" s="13" t="n">
        <f aca="false">F1386/'Final Model'!$B$21</f>
        <v>-1.26214896228954</v>
      </c>
      <c r="H1386" s="6" t="n">
        <f aca="false">F1386^2</f>
        <v>3829.84159430468</v>
      </c>
      <c r="J1386" s="6" t="n">
        <f aca="false">A1386</f>
        <v>1385</v>
      </c>
      <c r="K1386" s="13" t="n">
        <f aca="false">SMALL($G$2:$G$1387,J1386)</f>
        <v>3.18467745054996</v>
      </c>
      <c r="L1386" s="18" t="n">
        <f aca="false">(J1386-0.5)/1386</f>
        <v>0.998917748917749</v>
      </c>
      <c r="M1386" s="18" t="n">
        <f aca="false">_xlfn.NORM.DIST(K1386,AVERAGE($G$2:$G$1387),_xlfn.STDEV.S($G$2:$G$1387),TRUE())</f>
        <v>0.99929539017341</v>
      </c>
    </row>
    <row r="1387" customFormat="false" ht="15" hidden="false" customHeight="false" outlineLevel="0" collapsed="false">
      <c r="A1387" s="0" t="n">
        <f aca="false">ROW()-1</f>
        <v>1386</v>
      </c>
      <c r="B1387" s="0" t="str">
        <f aca="false">'Analysis Data'!A1387</f>
        <v>Veterans</v>
      </c>
      <c r="C1387" s="5" t="n">
        <f aca="false">'Analysis Data'!B1387</f>
        <v>40372</v>
      </c>
      <c r="D1387" s="6" t="n">
        <f aca="false">'Analysis Data'!C1387</f>
        <v>166.893025763623</v>
      </c>
      <c r="E1387" s="15" t="n">
        <f aca="false">SUMPRODUCT('Final Model'!$B$45:$I$45,'Analysis Data'!N1387:U1387)</f>
        <v>184.115481524632</v>
      </c>
      <c r="F1387" s="15" t="n">
        <f aca="false">D1387-E1387</f>
        <v>-17.2224557610089</v>
      </c>
      <c r="G1387" s="13" t="n">
        <f aca="false">F1387/'Final Model'!$B$21</f>
        <v>-0.351249153808038</v>
      </c>
      <c r="H1387" s="6" t="n">
        <f aca="false">F1387^2</f>
        <v>296.612982439907</v>
      </c>
      <c r="J1387" s="6" t="n">
        <f aca="false">A1387</f>
        <v>1386</v>
      </c>
      <c r="K1387" s="13" t="n">
        <f aca="false">SMALL($G$2:$G$1387,J1387)</f>
        <v>3.72456068721502</v>
      </c>
      <c r="L1387" s="18" t="n">
        <f aca="false">(J1387-0.5)/1386</f>
        <v>0.99963924963925</v>
      </c>
      <c r="M1387" s="18" t="n">
        <f aca="false">_xlfn.NORM.DIST(K1387,AVERAGE($G$2:$G$1387),_xlfn.STDEV.S($G$2:$G$1387),TRUE())</f>
        <v>0.999905772034036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71"/>
    <col collapsed="false" customWidth="true" hidden="false" outlineLevel="0" max="11" min="2" style="0" width="11.72"/>
  </cols>
  <sheetData>
    <row r="1" customFormat="false" ht="17.35" hidden="false" customHeight="false" outlineLevel="0" collapsed="false">
      <c r="A1" s="1" t="s">
        <v>445</v>
      </c>
    </row>
    <row r="3" customFormat="false" ht="15" hidden="false" customHeight="false" outlineLevel="0" collapsed="false">
      <c r="A3" s="7" t="s">
        <v>446</v>
      </c>
    </row>
    <row r="4" customFormat="false" ht="15" hidden="false" customHeight="false" outlineLevel="0" collapsed="false">
      <c r="B4" s="4" t="s">
        <v>171</v>
      </c>
      <c r="C4" s="4" t="s">
        <v>172</v>
      </c>
      <c r="D4" s="4" t="s">
        <v>27</v>
      </c>
      <c r="E4" s="4" t="s">
        <v>28</v>
      </c>
      <c r="F4" s="4" t="s">
        <v>173</v>
      </c>
      <c r="G4" s="4" t="s">
        <v>174</v>
      </c>
      <c r="H4" s="4" t="s">
        <v>175</v>
      </c>
    </row>
    <row r="5" customFormat="false" ht="15" hidden="false" customHeight="false" outlineLevel="0" collapsed="false">
      <c r="A5" s="7" t="s">
        <v>171</v>
      </c>
      <c r="B5" s="13" t="n">
        <f aca="false">CORREL('Analysis Data'!$O$2:$O$1387,'Analysis Data'!$O$2:$O$1387)</f>
        <v>1</v>
      </c>
      <c r="C5" s="13" t="n">
        <f aca="false">CORREL('Analysis Data'!$O$2:$O$1387,'Analysis Data'!$P$2:$P$1387)</f>
        <v>0.328900409658894</v>
      </c>
      <c r="D5" s="13" t="n">
        <f aca="false">CORREL('Analysis Data'!$O$2:$O$1387,'Analysis Data'!$Q$2:$Q$1387)</f>
        <v>-0.0672935654074435</v>
      </c>
      <c r="E5" s="13" t="n">
        <f aca="false">CORREL('Analysis Data'!$O$2:$O$1387,'Analysis Data'!$R$2:$R$1387)</f>
        <v>0.0516644615159318</v>
      </c>
      <c r="F5" s="13" t="n">
        <f aca="false">CORREL('Analysis Data'!$O$2:$O$1387,'Analysis Data'!$S$2:$S$1387)</f>
        <v>-0.0150976197177645</v>
      </c>
      <c r="G5" s="13" t="n">
        <f aca="false">CORREL('Analysis Data'!$O$2:$O$1387,'Analysis Data'!$T$2:$T$1387)</f>
        <v>0.0879359816649733</v>
      </c>
      <c r="H5" s="13" t="n">
        <f aca="false">CORREL('Analysis Data'!$O$2:$O$1387,'Analysis Data'!$U$2:$U$1387)</f>
        <v>-0.0582668016978584</v>
      </c>
    </row>
    <row r="6" customFormat="false" ht="15" hidden="false" customHeight="false" outlineLevel="0" collapsed="false">
      <c r="A6" s="7" t="s">
        <v>172</v>
      </c>
      <c r="B6" s="13" t="n">
        <f aca="false">CORREL('Analysis Data'!$P$2:$P$1387,'Analysis Data'!$O$2:$O$1387)</f>
        <v>0.328900409658894</v>
      </c>
      <c r="C6" s="13" t="n">
        <f aca="false">CORREL('Analysis Data'!$P$2:$P$1387,'Analysis Data'!$P$2:$P$1387)</f>
        <v>1</v>
      </c>
      <c r="D6" s="13" t="n">
        <f aca="false">CORREL('Analysis Data'!$P$2:$P$1387,'Analysis Data'!$Q$2:$Q$1387)</f>
        <v>0.0518869003006587</v>
      </c>
      <c r="E6" s="13" t="n">
        <f aca="false">CORREL('Analysis Data'!$P$2:$P$1387,'Analysis Data'!$R$2:$R$1387)</f>
        <v>0.151264096530836</v>
      </c>
      <c r="F6" s="13" t="n">
        <f aca="false">CORREL('Analysis Data'!$P$2:$P$1387,'Analysis Data'!$S$2:$S$1387)</f>
        <v>0.242227438521859</v>
      </c>
      <c r="G6" s="13" t="n">
        <f aca="false">CORREL('Analysis Data'!$P$2:$P$1387,'Analysis Data'!$T$2:$T$1387)</f>
        <v>0.138508474512182</v>
      </c>
      <c r="H6" s="13" t="n">
        <f aca="false">CORREL('Analysis Data'!$P$2:$P$1387,'Analysis Data'!$U$2:$U$1387)</f>
        <v>0.147774390004518</v>
      </c>
    </row>
    <row r="7" customFormat="false" ht="15" hidden="false" customHeight="false" outlineLevel="0" collapsed="false">
      <c r="A7" s="7" t="s">
        <v>27</v>
      </c>
      <c r="B7" s="13" t="n">
        <f aca="false">CORREL('Analysis Data'!$Q$2:$Q$1387,'Analysis Data'!$O$2:$O$1387)</f>
        <v>-0.0672935654074435</v>
      </c>
      <c r="C7" s="13" t="n">
        <f aca="false">CORREL('Analysis Data'!$Q$2:$Q$1387,'Analysis Data'!$P$2:$P$1387)</f>
        <v>0.0518869003006587</v>
      </c>
      <c r="D7" s="13" t="n">
        <f aca="false">CORREL('Analysis Data'!$Q$2:$Q$1387,'Analysis Data'!$Q$2:$Q$1387)</f>
        <v>1</v>
      </c>
      <c r="E7" s="13" t="n">
        <f aca="false">CORREL('Analysis Data'!$Q$2:$Q$1387,'Analysis Data'!$R$2:$R$1387)</f>
        <v>0.0786300743434362</v>
      </c>
      <c r="F7" s="13" t="n">
        <f aca="false">CORREL('Analysis Data'!$Q$2:$Q$1387,'Analysis Data'!$S$2:$S$1387)</f>
        <v>0.090093443263289</v>
      </c>
      <c r="G7" s="13" t="n">
        <f aca="false">CORREL('Analysis Data'!$Q$2:$Q$1387,'Analysis Data'!$T$2:$T$1387)</f>
        <v>-0.000215425480757903</v>
      </c>
      <c r="H7" s="13" t="n">
        <f aca="false">CORREL('Analysis Data'!$Q$2:$Q$1387,'Analysis Data'!$U$2:$U$1387)</f>
        <v>0.818957766859422</v>
      </c>
    </row>
    <row r="8" customFormat="false" ht="15" hidden="false" customHeight="false" outlineLevel="0" collapsed="false">
      <c r="A8" s="7" t="s">
        <v>28</v>
      </c>
      <c r="B8" s="13" t="n">
        <f aca="false">CORREL('Analysis Data'!$R$2:$R$1387,'Analysis Data'!$O$2:$O$1387)</f>
        <v>0.0516644615159318</v>
      </c>
      <c r="C8" s="13" t="n">
        <f aca="false">CORREL('Analysis Data'!$R$2:$R$1387,'Analysis Data'!$P$2:$P$1387)</f>
        <v>0.151264096530836</v>
      </c>
      <c r="D8" s="13" t="n">
        <f aca="false">CORREL('Analysis Data'!$R$2:$R$1387,'Analysis Data'!$Q$2:$Q$1387)</f>
        <v>0.0786300743434362</v>
      </c>
      <c r="E8" s="13" t="n">
        <f aca="false">CORREL('Analysis Data'!$R$2:$R$1387,'Analysis Data'!$R$2:$R$1387)</f>
        <v>1</v>
      </c>
      <c r="F8" s="13" t="n">
        <f aca="false">CORREL('Analysis Data'!$R$2:$R$1387,'Analysis Data'!$S$2:$S$1387)</f>
        <v>0.0365493171082828</v>
      </c>
      <c r="G8" s="13" t="n">
        <f aca="false">CORREL('Analysis Data'!$R$2:$R$1387,'Analysis Data'!$T$2:$T$1387)</f>
        <v>-0.0132088065101521</v>
      </c>
      <c r="H8" s="13" t="n">
        <f aca="false">CORREL('Analysis Data'!$R$2:$R$1387,'Analysis Data'!$U$2:$U$1387)</f>
        <v>0.0946777558759428</v>
      </c>
    </row>
    <row r="9" customFormat="false" ht="15" hidden="false" customHeight="false" outlineLevel="0" collapsed="false">
      <c r="A9" s="7" t="s">
        <v>173</v>
      </c>
      <c r="B9" s="13" t="n">
        <f aca="false">CORREL('Analysis Data'!$S$2:$S$1387,'Analysis Data'!$O$2:$O$1387)</f>
        <v>-0.0150976197177645</v>
      </c>
      <c r="C9" s="13" t="n">
        <f aca="false">CORREL('Analysis Data'!$S$2:$S$1387,'Analysis Data'!$P$2:$P$1387)</f>
        <v>0.242227438521859</v>
      </c>
      <c r="D9" s="13" t="n">
        <f aca="false">CORREL('Analysis Data'!$S$2:$S$1387,'Analysis Data'!$Q$2:$Q$1387)</f>
        <v>0.090093443263289</v>
      </c>
      <c r="E9" s="13" t="n">
        <f aca="false">CORREL('Analysis Data'!$S$2:$S$1387,'Analysis Data'!$R$2:$R$1387)</f>
        <v>0.0365493171082828</v>
      </c>
      <c r="F9" s="13" t="n">
        <f aca="false">CORREL('Analysis Data'!$S$2:$S$1387,'Analysis Data'!$S$2:$S$1387)</f>
        <v>1</v>
      </c>
      <c r="G9" s="13" t="n">
        <f aca="false">CORREL('Analysis Data'!$S$2:$S$1387,'Analysis Data'!$T$2:$T$1387)</f>
        <v>0.0117098190092051</v>
      </c>
      <c r="H9" s="13" t="n">
        <f aca="false">CORREL('Analysis Data'!$S$2:$S$1387,'Analysis Data'!$U$2:$U$1387)</f>
        <v>0.104400629020619</v>
      </c>
    </row>
    <row r="10" customFormat="false" ht="15" hidden="false" customHeight="false" outlineLevel="0" collapsed="false">
      <c r="A10" s="7" t="s">
        <v>174</v>
      </c>
      <c r="B10" s="13" t="n">
        <f aca="false">CORREL('Analysis Data'!$T$2:$T$1387,'Analysis Data'!$O$2:$O$1387)</f>
        <v>0.0879359816649733</v>
      </c>
      <c r="C10" s="13" t="n">
        <f aca="false">CORREL('Analysis Data'!$T$2:$T$1387,'Analysis Data'!$P$2:$P$1387)</f>
        <v>0.138508474512182</v>
      </c>
      <c r="D10" s="13" t="n">
        <f aca="false">CORREL('Analysis Data'!$T$2:$T$1387,'Analysis Data'!$Q$2:$Q$1387)</f>
        <v>-0.000215425480757903</v>
      </c>
      <c r="E10" s="13" t="n">
        <f aca="false">CORREL('Analysis Data'!$T$2:$T$1387,'Analysis Data'!$R$2:$R$1387)</f>
        <v>-0.0132088065101521</v>
      </c>
      <c r="F10" s="13" t="n">
        <f aca="false">CORREL('Analysis Data'!$T$2:$T$1387,'Analysis Data'!$S$2:$S$1387)</f>
        <v>0.0117098190092051</v>
      </c>
      <c r="G10" s="13" t="n">
        <f aca="false">CORREL('Analysis Data'!$T$2:$T$1387,'Analysis Data'!$T$2:$T$1387)</f>
        <v>1</v>
      </c>
      <c r="H10" s="13" t="n">
        <f aca="false">CORREL('Analysis Data'!$T$2:$T$1387,'Analysis Data'!$U$2:$U$1387)</f>
        <v>-0.0124673221923249</v>
      </c>
    </row>
    <row r="11" customFormat="false" ht="15" hidden="false" customHeight="false" outlineLevel="0" collapsed="false">
      <c r="A11" s="7" t="s">
        <v>175</v>
      </c>
      <c r="B11" s="13" t="n">
        <f aca="false">CORREL('Analysis Data'!$U$2:$U$1387,'Analysis Data'!$O$2:$O$1387)</f>
        <v>-0.0582668016978584</v>
      </c>
      <c r="C11" s="13" t="n">
        <f aca="false">CORREL('Analysis Data'!$U$2:$U$1387,'Analysis Data'!$P$2:$P$1387)</f>
        <v>0.147774390004518</v>
      </c>
      <c r="D11" s="13" t="n">
        <f aca="false">CORREL('Analysis Data'!$U$2:$U$1387,'Analysis Data'!$Q$2:$Q$1387)</f>
        <v>0.818957766859422</v>
      </c>
      <c r="E11" s="13" t="n">
        <f aca="false">CORREL('Analysis Data'!$U$2:$U$1387,'Analysis Data'!$R$2:$R$1387)</f>
        <v>0.0946777558759428</v>
      </c>
      <c r="F11" s="13" t="n">
        <f aca="false">CORREL('Analysis Data'!$U$2:$U$1387,'Analysis Data'!$S$2:$S$1387)</f>
        <v>0.104400629020619</v>
      </c>
      <c r="G11" s="13" t="n">
        <f aca="false">CORREL('Analysis Data'!$U$2:$U$1387,'Analysis Data'!$T$2:$T$1387)</f>
        <v>-0.0124673221923249</v>
      </c>
      <c r="H11" s="13" t="n">
        <f aca="false">CORREL('Analysis Data'!$U$2:$U$1387,'Analysis Data'!$U$2:$U$1387)</f>
        <v>1</v>
      </c>
    </row>
    <row r="13" customFormat="false" ht="15" hidden="false" customHeight="false" outlineLevel="0" collapsed="false">
      <c r="A13" s="2" t="s">
        <v>447</v>
      </c>
    </row>
    <row r="14" customFormat="false" ht="15" hidden="false" customHeight="false" outlineLevel="0" collapsed="false">
      <c r="B14" s="13" t="n">
        <f aca="false" t="array" ref="B14:H20">MINVERSE(B5:H11)</f>
        <v>1.14887149375754</v>
      </c>
      <c r="C14" s="13" t="n">
        <v>-0.414498526012359</v>
      </c>
      <c r="D14" s="13" t="n">
        <v>-0.0188535439341515</v>
      </c>
      <c r="E14" s="13" t="n">
        <v>-0.0122448404106891</v>
      </c>
      <c r="F14" s="13" t="n">
        <v>0.106502907761432</v>
      </c>
      <c r="G14" s="13" t="n">
        <v>-0.0433687000918947</v>
      </c>
      <c r="H14" s="13" t="n">
        <v>0.133133242471257</v>
      </c>
    </row>
    <row r="15" customFormat="false" ht="15" hidden="false" customHeight="false" outlineLevel="0" collapsed="false">
      <c r="B15" s="13" t="n">
        <v>-0.414498526012359</v>
      </c>
      <c r="C15" s="13" t="n">
        <v>1.29392251276439</v>
      </c>
      <c r="D15" s="13" t="n">
        <v>0.256054865471059</v>
      </c>
      <c r="E15" s="13" t="n">
        <v>-0.149409327581175</v>
      </c>
      <c r="F15" s="13" t="n">
        <v>-0.295713650081771</v>
      </c>
      <c r="G15" s="13" t="n">
        <v>-0.145986273354363</v>
      </c>
      <c r="H15" s="13" t="n">
        <v>-0.381859861260482</v>
      </c>
    </row>
    <row r="16" customFormat="false" ht="15" hidden="false" customHeight="false" outlineLevel="0" collapsed="false">
      <c r="B16" s="13" t="n">
        <v>-0.0188535439341516</v>
      </c>
      <c r="C16" s="13" t="n">
        <v>0.256054865471059</v>
      </c>
      <c r="D16" s="13" t="n">
        <v>3.0923861177831</v>
      </c>
      <c r="E16" s="13" t="n">
        <v>-0.0366543475357425</v>
      </c>
      <c r="F16" s="13" t="n">
        <v>-0.0714075164927393</v>
      </c>
      <c r="G16" s="13" t="n">
        <v>-0.0647228780735339</v>
      </c>
      <c r="H16" s="13" t="n">
        <v>-2.56135209651285</v>
      </c>
    </row>
    <row r="17" customFormat="false" ht="15" hidden="false" customHeight="false" outlineLevel="0" collapsed="false">
      <c r="B17" s="13" t="n">
        <v>-0.0122448404106891</v>
      </c>
      <c r="C17" s="13" t="n">
        <v>-0.149409327581175</v>
      </c>
      <c r="D17" s="13" t="n">
        <v>-0.0366543475357425</v>
      </c>
      <c r="E17" s="13" t="n">
        <v>1.0307453777063</v>
      </c>
      <c r="F17" s="13" t="n">
        <v>0.00607359868748684</v>
      </c>
      <c r="G17" s="13" t="n">
        <v>0.0347285606900307</v>
      </c>
      <c r="H17" s="13" t="n">
        <v>-0.0464060074489047</v>
      </c>
    </row>
    <row r="18" customFormat="false" ht="15" hidden="false" customHeight="false" outlineLevel="0" collapsed="false">
      <c r="B18" s="13" t="n">
        <v>0.106502907761432</v>
      </c>
      <c r="C18" s="13" t="n">
        <v>-0.295713650081771</v>
      </c>
      <c r="D18" s="13" t="n">
        <v>-0.0714075164927393</v>
      </c>
      <c r="E18" s="13" t="n">
        <v>0.00607359868748684</v>
      </c>
      <c r="F18" s="13" t="n">
        <v>1.07971561391355</v>
      </c>
      <c r="G18" s="13" t="n">
        <v>0.0189566610305685</v>
      </c>
      <c r="H18" s="13" t="n">
        <v>-0.00467745684152703</v>
      </c>
    </row>
    <row r="19" customFormat="false" ht="15" hidden="false" customHeight="false" outlineLevel="0" collapsed="false">
      <c r="B19" s="13" t="n">
        <v>-0.0433687000918947</v>
      </c>
      <c r="C19" s="13" t="n">
        <v>-0.145986273354363</v>
      </c>
      <c r="D19" s="13" t="n">
        <v>-0.0647228780735339</v>
      </c>
      <c r="E19" s="13" t="n">
        <v>0.0347285606900307</v>
      </c>
      <c r="F19" s="13" t="n">
        <v>0.0189566610305685</v>
      </c>
      <c r="G19" s="13" t="n">
        <v>1.02524878572194</v>
      </c>
      <c r="H19" s="13" t="n">
        <v>0.0795663781498712</v>
      </c>
    </row>
    <row r="20" customFormat="false" ht="15" hidden="false" customHeight="false" outlineLevel="0" collapsed="false">
      <c r="B20" s="13" t="n">
        <v>0.133133242471257</v>
      </c>
      <c r="C20" s="13" t="n">
        <v>-0.381859861260482</v>
      </c>
      <c r="D20" s="13" t="n">
        <v>-2.56135209651285</v>
      </c>
      <c r="E20" s="13" t="n">
        <v>-0.0464060074489047</v>
      </c>
      <c r="F20" s="13" t="n">
        <v>-0.00467745684152703</v>
      </c>
      <c r="G20" s="13" t="n">
        <v>0.0795663781498712</v>
      </c>
      <c r="H20" s="13" t="n">
        <v>3.16769947515727</v>
      </c>
    </row>
    <row r="22" customFormat="false" ht="15" hidden="false" customHeight="false" outlineLevel="0" collapsed="false">
      <c r="A22" s="4" t="s">
        <v>214</v>
      </c>
      <c r="B22" s="4" t="s">
        <v>448</v>
      </c>
      <c r="C22" s="4" t="s">
        <v>449</v>
      </c>
      <c r="D22" s="4" t="s">
        <v>450</v>
      </c>
    </row>
    <row r="23" customFormat="false" ht="15" hidden="false" customHeight="false" outlineLevel="0" collapsed="false">
      <c r="A23" s="8" t="s">
        <v>171</v>
      </c>
      <c r="B23" s="16" t="n">
        <f aca="false">B14</f>
        <v>1.14887149375754</v>
      </c>
      <c r="C23" s="13" t="n">
        <f aca="false">1/B23</f>
        <v>0.870419368426805</v>
      </c>
      <c r="D23" s="8" t="str">
        <f aca="false">IF(B23&gt;4,"Check","OK")</f>
        <v>OK</v>
      </c>
    </row>
    <row r="24" customFormat="false" ht="15" hidden="false" customHeight="false" outlineLevel="0" collapsed="false">
      <c r="A24" s="8" t="s">
        <v>172</v>
      </c>
      <c r="B24" s="16" t="n">
        <f aca="false">C15</f>
        <v>1.29392251276439</v>
      </c>
      <c r="C24" s="13" t="n">
        <f aca="false">1/B24</f>
        <v>0.772843806437496</v>
      </c>
      <c r="D24" s="8" t="str">
        <f aca="false">IF(B24&gt;4,"Check","OK")</f>
        <v>OK</v>
      </c>
    </row>
    <row r="25" customFormat="false" ht="15" hidden="false" customHeight="false" outlineLevel="0" collapsed="false">
      <c r="A25" s="8" t="s">
        <v>27</v>
      </c>
      <c r="B25" s="16" t="n">
        <f aca="false">D16</f>
        <v>3.0923861177831</v>
      </c>
      <c r="C25" s="13" t="n">
        <f aca="false">1/B25</f>
        <v>0.323374883314018</v>
      </c>
      <c r="D25" s="8" t="str">
        <f aca="false">IF(B25&gt;4,"Check","OK")</f>
        <v>OK</v>
      </c>
    </row>
    <row r="26" customFormat="false" ht="15" hidden="false" customHeight="false" outlineLevel="0" collapsed="false">
      <c r="A26" s="8" t="s">
        <v>28</v>
      </c>
      <c r="B26" s="16" t="n">
        <f aca="false">E17</f>
        <v>1.0307453777063</v>
      </c>
      <c r="C26" s="13" t="n">
        <f aca="false">1/B26</f>
        <v>0.970171704505032</v>
      </c>
      <c r="D26" s="8" t="str">
        <f aca="false">IF(B26&gt;4,"Check","OK")</f>
        <v>OK</v>
      </c>
    </row>
    <row r="27" customFormat="false" ht="15" hidden="false" customHeight="false" outlineLevel="0" collapsed="false">
      <c r="A27" s="8" t="s">
        <v>173</v>
      </c>
      <c r="B27" s="16" t="n">
        <f aca="false">F18</f>
        <v>1.07971561391355</v>
      </c>
      <c r="C27" s="13" t="n">
        <f aca="false">1/B27</f>
        <v>0.926169805376237</v>
      </c>
      <c r="D27" s="8" t="str">
        <f aca="false">IF(B27&gt;4,"Check","OK")</f>
        <v>OK</v>
      </c>
    </row>
    <row r="28" customFormat="false" ht="15" hidden="false" customHeight="false" outlineLevel="0" collapsed="false">
      <c r="A28" s="8" t="s">
        <v>174</v>
      </c>
      <c r="B28" s="16" t="n">
        <f aca="false">G19</f>
        <v>1.02524878572194</v>
      </c>
      <c r="C28" s="13" t="n">
        <f aca="false">1/B28</f>
        <v>0.975373015726952</v>
      </c>
      <c r="D28" s="8" t="str">
        <f aca="false">IF(B28&gt;4,"Check","OK")</f>
        <v>OK</v>
      </c>
    </row>
    <row r="29" customFormat="false" ht="15" hidden="false" customHeight="false" outlineLevel="0" collapsed="false">
      <c r="A29" s="8" t="s">
        <v>175</v>
      </c>
      <c r="B29" s="16" t="n">
        <f aca="false">H20</f>
        <v>3.16769947515727</v>
      </c>
      <c r="C29" s="13" t="n">
        <f aca="false">1/B29</f>
        <v>0.315686512512476</v>
      </c>
      <c r="D29" s="8" t="str">
        <f aca="false">IF(B29&gt;4,"Check","OK")</f>
        <v>OK</v>
      </c>
    </row>
    <row r="32" customFormat="false" ht="15" hidden="false" customHeight="false" outlineLevel="0" collapsed="false">
      <c r="A32" s="7" t="s">
        <v>451</v>
      </c>
    </row>
    <row r="33" customFormat="false" ht="15" hidden="false" customHeight="false" outlineLevel="0" collapsed="false">
      <c r="B33" s="4" t="s">
        <v>171</v>
      </c>
      <c r="C33" s="4" t="s">
        <v>172</v>
      </c>
      <c r="D33" s="4" t="s">
        <v>27</v>
      </c>
      <c r="E33" s="4" t="s">
        <v>28</v>
      </c>
      <c r="F33" s="4" t="s">
        <v>173</v>
      </c>
      <c r="G33" s="4" t="s">
        <v>174</v>
      </c>
      <c r="H33" s="4" t="s">
        <v>31</v>
      </c>
      <c r="I33" s="4" t="s">
        <v>32</v>
      </c>
    </row>
    <row r="34" customFormat="false" ht="15" hidden="false" customHeight="false" outlineLevel="0" collapsed="false">
      <c r="A34" s="7" t="s">
        <v>171</v>
      </c>
      <c r="B34" s="13" t="n">
        <f aca="false">CORREL('Analysis Data'!$D$2:$D$1387,'Analysis Data'!$D$2:$D$1387)</f>
        <v>1</v>
      </c>
      <c r="C34" s="13" t="n">
        <f aca="false">CORREL('Analysis Data'!$D$2:$D$1387,'Analysis Data'!$E$2:$E$1387)</f>
        <v>0.328900409658894</v>
      </c>
      <c r="D34" s="13" t="n">
        <f aca="false">CORREL('Analysis Data'!$D$2:$D$1387,'Analysis Data'!$F$2:$F$1387)</f>
        <v>-0.0672935654074435</v>
      </c>
      <c r="E34" s="13" t="n">
        <f aca="false">CORREL('Analysis Data'!$D$2:$D$1387,'Analysis Data'!$G$2:$G$1387)</f>
        <v>0.0516644615159318</v>
      </c>
      <c r="F34" s="13" t="n">
        <f aca="false">CORREL('Analysis Data'!$D$2:$D$1387,'Analysis Data'!$H$2:$H$1387)</f>
        <v>-0.0150976197177645</v>
      </c>
      <c r="G34" s="13" t="n">
        <f aca="false">CORREL('Analysis Data'!$D$2:$D$1387,'Analysis Data'!$I$2:$I$1387)</f>
        <v>0.0879359816649733</v>
      </c>
      <c r="H34" s="13" t="n">
        <f aca="false">CORREL('Analysis Data'!$D$2:$D$1387,'Analysis Data'!$J$2:$J$1387)</f>
        <v>-0.00481238550807004</v>
      </c>
      <c r="I34" s="13" t="n">
        <f aca="false">CORREL('Analysis Data'!$D$2:$D$1387,'Analysis Data'!$K$2:$K$1387)</f>
        <v>0.0711749122224978</v>
      </c>
    </row>
    <row r="35" customFormat="false" ht="15" hidden="false" customHeight="false" outlineLevel="0" collapsed="false">
      <c r="A35" s="7" t="s">
        <v>172</v>
      </c>
      <c r="B35" s="13" t="n">
        <f aca="false">CORREL('Analysis Data'!$E$2:$E$1387,'Analysis Data'!$D$2:$D$1387)</f>
        <v>0.328900409658894</v>
      </c>
      <c r="C35" s="13" t="n">
        <f aca="false">CORREL('Analysis Data'!$E$2:$E$1387,'Analysis Data'!$E$2:$E$1387)</f>
        <v>1</v>
      </c>
      <c r="D35" s="13" t="n">
        <f aca="false">CORREL('Analysis Data'!$E$2:$E$1387,'Analysis Data'!$F$2:$F$1387)</f>
        <v>0.0518869003006587</v>
      </c>
      <c r="E35" s="13" t="n">
        <f aca="false">CORREL('Analysis Data'!$E$2:$E$1387,'Analysis Data'!$G$2:$G$1387)</f>
        <v>0.151264096530836</v>
      </c>
      <c r="F35" s="13" t="n">
        <f aca="false">CORREL('Analysis Data'!$E$2:$E$1387,'Analysis Data'!$H$2:$H$1387)</f>
        <v>0.242227438521859</v>
      </c>
      <c r="G35" s="13" t="n">
        <f aca="false">CORREL('Analysis Data'!$E$2:$E$1387,'Analysis Data'!$I$2:$I$1387)</f>
        <v>0.138508474512182</v>
      </c>
      <c r="H35" s="13" t="n">
        <f aca="false">CORREL('Analysis Data'!$E$2:$E$1387,'Analysis Data'!$J$2:$J$1387)</f>
        <v>0.0893189078417809</v>
      </c>
      <c r="I35" s="13" t="n">
        <f aca="false">CORREL('Analysis Data'!$E$2:$E$1387,'Analysis Data'!$K$2:$K$1387)</f>
        <v>0.0575112546010473</v>
      </c>
    </row>
    <row r="36" customFormat="false" ht="15" hidden="false" customHeight="false" outlineLevel="0" collapsed="false">
      <c r="A36" s="7" t="s">
        <v>27</v>
      </c>
      <c r="B36" s="13" t="n">
        <f aca="false">CORREL('Analysis Data'!$F$2:$F$1387,'Analysis Data'!$D$2:$D$1387)</f>
        <v>-0.0672935654074435</v>
      </c>
      <c r="C36" s="13" t="n">
        <f aca="false">CORREL('Analysis Data'!$F$2:$F$1387,'Analysis Data'!$E$2:$E$1387)</f>
        <v>0.0518869003006587</v>
      </c>
      <c r="D36" s="13" t="n">
        <f aca="false">CORREL('Analysis Data'!$F$2:$F$1387,'Analysis Data'!$F$2:$F$1387)</f>
        <v>1</v>
      </c>
      <c r="E36" s="13" t="n">
        <f aca="false">CORREL('Analysis Data'!$F$2:$F$1387,'Analysis Data'!$G$2:$G$1387)</f>
        <v>0.0786300743434362</v>
      </c>
      <c r="F36" s="13" t="n">
        <f aca="false">CORREL('Analysis Data'!$F$2:$F$1387,'Analysis Data'!$H$2:$H$1387)</f>
        <v>0.090093443263289</v>
      </c>
      <c r="G36" s="13" t="n">
        <f aca="false">CORREL('Analysis Data'!$F$2:$F$1387,'Analysis Data'!$I$2:$I$1387)</f>
        <v>-0.000215425480757903</v>
      </c>
      <c r="H36" s="13" t="n">
        <f aca="false">CORREL('Analysis Data'!$F$2:$F$1387,'Analysis Data'!$J$2:$J$1387)</f>
        <v>0.0818844630934673</v>
      </c>
      <c r="I36" s="13" t="n">
        <f aca="false">CORREL('Analysis Data'!$F$2:$F$1387,'Analysis Data'!$K$2:$K$1387)</f>
        <v>-0.0596351008890716</v>
      </c>
    </row>
    <row r="37" customFormat="false" ht="15" hidden="false" customHeight="false" outlineLevel="0" collapsed="false">
      <c r="A37" s="7" t="s">
        <v>28</v>
      </c>
      <c r="B37" s="13" t="n">
        <f aca="false">CORREL('Analysis Data'!$G$2:$G$1387,'Analysis Data'!$D$2:$D$1387)</f>
        <v>0.0516644615159318</v>
      </c>
      <c r="C37" s="13" t="n">
        <f aca="false">CORREL('Analysis Data'!$G$2:$G$1387,'Analysis Data'!$E$2:$E$1387)</f>
        <v>0.151264096530836</v>
      </c>
      <c r="D37" s="13" t="n">
        <f aca="false">CORREL('Analysis Data'!$G$2:$G$1387,'Analysis Data'!$F$2:$F$1387)</f>
        <v>0.0786300743434362</v>
      </c>
      <c r="E37" s="13" t="n">
        <f aca="false">CORREL('Analysis Data'!$G$2:$G$1387,'Analysis Data'!$G$2:$G$1387)</f>
        <v>1</v>
      </c>
      <c r="F37" s="13" t="n">
        <f aca="false">CORREL('Analysis Data'!$G$2:$G$1387,'Analysis Data'!$H$2:$H$1387)</f>
        <v>0.0365493171082828</v>
      </c>
      <c r="G37" s="13" t="n">
        <f aca="false">CORREL('Analysis Data'!$G$2:$G$1387,'Analysis Data'!$I$2:$I$1387)</f>
        <v>-0.0132088065101521</v>
      </c>
      <c r="H37" s="13" t="n">
        <f aca="false">CORREL('Analysis Data'!$G$2:$G$1387,'Analysis Data'!$J$2:$J$1387)</f>
        <v>-0.00110646225969071</v>
      </c>
      <c r="I37" s="13" t="n">
        <f aca="false">CORREL('Analysis Data'!$G$2:$G$1387,'Analysis Data'!$K$2:$K$1387)</f>
        <v>0.00662313838521066</v>
      </c>
    </row>
    <row r="38" customFormat="false" ht="15" hidden="false" customHeight="false" outlineLevel="0" collapsed="false">
      <c r="A38" s="7" t="s">
        <v>173</v>
      </c>
      <c r="B38" s="13" t="n">
        <f aca="false">CORREL('Analysis Data'!$H$2:$H$1387,'Analysis Data'!$D$2:$D$1387)</f>
        <v>-0.0150976197177645</v>
      </c>
      <c r="C38" s="13" t="n">
        <f aca="false">CORREL('Analysis Data'!$H$2:$H$1387,'Analysis Data'!$E$2:$E$1387)</f>
        <v>0.242227438521859</v>
      </c>
      <c r="D38" s="13" t="n">
        <f aca="false">CORREL('Analysis Data'!$H$2:$H$1387,'Analysis Data'!$F$2:$F$1387)</f>
        <v>0.090093443263289</v>
      </c>
      <c r="E38" s="13" t="n">
        <f aca="false">CORREL('Analysis Data'!$H$2:$H$1387,'Analysis Data'!$G$2:$G$1387)</f>
        <v>0.0365493171082828</v>
      </c>
      <c r="F38" s="13" t="n">
        <f aca="false">CORREL('Analysis Data'!$H$2:$H$1387,'Analysis Data'!$H$2:$H$1387)</f>
        <v>1</v>
      </c>
      <c r="G38" s="13" t="n">
        <f aca="false">CORREL('Analysis Data'!$H$2:$H$1387,'Analysis Data'!$I$2:$I$1387)</f>
        <v>0.0117098190092051</v>
      </c>
      <c r="H38" s="13" t="n">
        <f aca="false">CORREL('Analysis Data'!$H$2:$H$1387,'Analysis Data'!$J$2:$J$1387)</f>
        <v>-0.00485569072534782</v>
      </c>
      <c r="I38" s="13" t="n">
        <f aca="false">CORREL('Analysis Data'!$H$2:$H$1387,'Analysis Data'!$K$2:$K$1387)</f>
        <v>0.00831323411964478</v>
      </c>
    </row>
    <row r="39" customFormat="false" ht="15" hidden="false" customHeight="false" outlineLevel="0" collapsed="false">
      <c r="A39" s="7" t="s">
        <v>174</v>
      </c>
      <c r="B39" s="13" t="n">
        <f aca="false">CORREL('Analysis Data'!$I$2:$I$1387,'Analysis Data'!$D$2:$D$1387)</f>
        <v>0.0879359816649733</v>
      </c>
      <c r="C39" s="13" t="n">
        <f aca="false">CORREL('Analysis Data'!$I$2:$I$1387,'Analysis Data'!$E$2:$E$1387)</f>
        <v>0.138508474512182</v>
      </c>
      <c r="D39" s="13" t="n">
        <f aca="false">CORREL('Analysis Data'!$I$2:$I$1387,'Analysis Data'!$F$2:$F$1387)</f>
        <v>-0.000215425480757903</v>
      </c>
      <c r="E39" s="13" t="n">
        <f aca="false">CORREL('Analysis Data'!$I$2:$I$1387,'Analysis Data'!$G$2:$G$1387)</f>
        <v>-0.0132088065101521</v>
      </c>
      <c r="F39" s="13" t="n">
        <f aca="false">CORREL('Analysis Data'!$I$2:$I$1387,'Analysis Data'!$H$2:$H$1387)</f>
        <v>0.0117098190092051</v>
      </c>
      <c r="G39" s="13" t="n">
        <f aca="false">CORREL('Analysis Data'!$I$2:$I$1387,'Analysis Data'!$I$2:$I$1387)</f>
        <v>1</v>
      </c>
      <c r="H39" s="13" t="n">
        <f aca="false">CORREL('Analysis Data'!$I$2:$I$1387,'Analysis Data'!$J$2:$J$1387)</f>
        <v>0.0136475298605237</v>
      </c>
      <c r="I39" s="13" t="n">
        <f aca="false">CORREL('Analysis Data'!$I$2:$I$1387,'Analysis Data'!$K$2:$K$1387)</f>
        <v>-0.0119874613124041</v>
      </c>
    </row>
    <row r="40" customFormat="false" ht="15" hidden="false" customHeight="false" outlineLevel="0" collapsed="false">
      <c r="A40" s="7" t="s">
        <v>31</v>
      </c>
      <c r="B40" s="13" t="n">
        <f aca="false">CORREL('Analysis Data'!$J$2:$J$1387,'Analysis Data'!$D$2:$D$1387)</f>
        <v>-0.00481238550807004</v>
      </c>
      <c r="C40" s="13" t="n">
        <f aca="false">CORREL('Analysis Data'!$J$2:$J$1387,'Analysis Data'!$E$2:$E$1387)</f>
        <v>0.0893189078417809</v>
      </c>
      <c r="D40" s="13" t="n">
        <f aca="false">CORREL('Analysis Data'!$J$2:$J$1387,'Analysis Data'!$F$2:$F$1387)</f>
        <v>0.0818844630934673</v>
      </c>
      <c r="E40" s="13" t="n">
        <f aca="false">CORREL('Analysis Data'!$J$2:$J$1387,'Analysis Data'!$G$2:$G$1387)</f>
        <v>-0.00110646225969071</v>
      </c>
      <c r="F40" s="13" t="n">
        <f aca="false">CORREL('Analysis Data'!$J$2:$J$1387,'Analysis Data'!$H$2:$H$1387)</f>
        <v>-0.00485569072534782</v>
      </c>
      <c r="G40" s="13" t="n">
        <f aca="false">CORREL('Analysis Data'!$J$2:$J$1387,'Analysis Data'!$I$2:$I$1387)</f>
        <v>0.0136475298605237</v>
      </c>
      <c r="H40" s="13" t="n">
        <f aca="false">CORREL('Analysis Data'!$J$2:$J$1387,'Analysis Data'!$J$2:$J$1387)</f>
        <v>1</v>
      </c>
      <c r="I40" s="13" t="n">
        <f aca="false">CORREL('Analysis Data'!$J$2:$J$1387,'Analysis Data'!$K$2:$K$1387)</f>
        <v>-0.0856275789395811</v>
      </c>
    </row>
    <row r="41" customFormat="false" ht="15" hidden="false" customHeight="false" outlineLevel="0" collapsed="false">
      <c r="A41" s="7" t="s">
        <v>32</v>
      </c>
      <c r="B41" s="13" t="n">
        <f aca="false">CORREL('Analysis Data'!$K$2:$K$1387,'Analysis Data'!$D$2:$D$1387)</f>
        <v>0.0711749122224978</v>
      </c>
      <c r="C41" s="13" t="n">
        <f aca="false">CORREL('Analysis Data'!$K$2:$K$1387,'Analysis Data'!$E$2:$E$1387)</f>
        <v>0.0575112546010473</v>
      </c>
      <c r="D41" s="13" t="n">
        <f aca="false">CORREL('Analysis Data'!$K$2:$K$1387,'Analysis Data'!$F$2:$F$1387)</f>
        <v>-0.0596351008890716</v>
      </c>
      <c r="E41" s="13" t="n">
        <f aca="false">CORREL('Analysis Data'!$K$2:$K$1387,'Analysis Data'!$G$2:$G$1387)</f>
        <v>0.00662313838521066</v>
      </c>
      <c r="F41" s="13" t="n">
        <f aca="false">CORREL('Analysis Data'!$K$2:$K$1387,'Analysis Data'!$H$2:$H$1387)</f>
        <v>0.00831323411964478</v>
      </c>
      <c r="G41" s="13" t="n">
        <f aca="false">CORREL('Analysis Data'!$K$2:$K$1387,'Analysis Data'!$I$2:$I$1387)</f>
        <v>-0.0119874613124041</v>
      </c>
      <c r="H41" s="13" t="n">
        <f aca="false">CORREL('Analysis Data'!$K$2:$K$1387,'Analysis Data'!$J$2:$J$1387)</f>
        <v>-0.0856275789395811</v>
      </c>
      <c r="I41" s="13" t="n">
        <f aca="false">CORREL('Analysis Data'!$K$2:$K$1387,'Analysis Data'!$K$2:$K$1387)</f>
        <v>1</v>
      </c>
    </row>
    <row r="43" customFormat="false" ht="15" hidden="false" customHeight="false" outlineLevel="0" collapsed="false">
      <c r="A43" s="2" t="s">
        <v>447</v>
      </c>
    </row>
    <row r="44" customFormat="false" ht="15" hidden="false" customHeight="false" outlineLevel="0" collapsed="false">
      <c r="B44" s="13" t="n">
        <f aca="false" t="array" ref="B44:I51">MINVERSE(B34:I41)</f>
        <v>1.1472235552512</v>
      </c>
      <c r="C44" s="13" t="n">
        <v>-0.39948437302664</v>
      </c>
      <c r="D44" s="13" t="n">
        <v>0.0832628846099692</v>
      </c>
      <c r="E44" s="13" t="n">
        <v>-0.009592303165628</v>
      </c>
      <c r="F44" s="13" t="n">
        <v>0.10808434763973</v>
      </c>
      <c r="G44" s="13" t="n">
        <v>-0.0479774867651421</v>
      </c>
      <c r="H44" s="13" t="n">
        <v>0.0310610951771656</v>
      </c>
      <c r="I44" s="13" t="n">
        <v>-0.0524637390568106</v>
      </c>
    </row>
    <row r="45" customFormat="false" ht="15" hidden="false" customHeight="false" outlineLevel="0" collapsed="false">
      <c r="B45" s="13" t="n">
        <v>-0.39948437302664</v>
      </c>
      <c r="C45" s="13" t="n">
        <v>1.26289888657046</v>
      </c>
      <c r="D45" s="13" t="n">
        <v>-0.0468341857840316</v>
      </c>
      <c r="E45" s="13" t="n">
        <v>-0.157306794994948</v>
      </c>
      <c r="F45" s="13" t="n">
        <v>-0.30046472224594</v>
      </c>
      <c r="G45" s="13" t="n">
        <v>-0.137447424415967</v>
      </c>
      <c r="H45" s="13" t="n">
        <v>-0.115352885784677</v>
      </c>
      <c r="I45" s="13" t="n">
        <v>-0.0549759313739925</v>
      </c>
    </row>
    <row r="46" customFormat="false" ht="15" hidden="false" customHeight="false" outlineLevel="0" collapsed="false">
      <c r="B46" s="13" t="n">
        <v>0.0832628846099692</v>
      </c>
      <c r="C46" s="13" t="n">
        <v>-0.0468341857840316</v>
      </c>
      <c r="D46" s="13" t="n">
        <v>1.03040196025647</v>
      </c>
      <c r="E46" s="13" t="n">
        <v>-0.0757982410479343</v>
      </c>
      <c r="F46" s="13" t="n">
        <v>-0.0782793367814227</v>
      </c>
      <c r="G46" s="13" t="n">
        <v>0.000970243580651405</v>
      </c>
      <c r="H46" s="13" t="n">
        <v>-0.0757380185979475</v>
      </c>
      <c r="I46" s="13" t="n">
        <v>0.0528945334197174</v>
      </c>
    </row>
    <row r="47" customFormat="false" ht="15" hidden="false" customHeight="false" outlineLevel="0" collapsed="false">
      <c r="B47" s="13" t="n">
        <v>-0.00959230316562799</v>
      </c>
      <c r="C47" s="13" t="n">
        <v>-0.157306794994948</v>
      </c>
      <c r="D47" s="13" t="n">
        <v>-0.0757982410479343</v>
      </c>
      <c r="E47" s="13" t="n">
        <v>1.03049518850862</v>
      </c>
      <c r="F47" s="13" t="n">
        <v>0.00680132659280597</v>
      </c>
      <c r="G47" s="13" t="n">
        <v>0.0358682722178787</v>
      </c>
      <c r="H47" s="13" t="n">
        <v>0.0209418979388728</v>
      </c>
      <c r="I47" s="13" t="n">
        <v>0.00055092700653024</v>
      </c>
    </row>
    <row r="48" customFormat="false" ht="15" hidden="false" customHeight="false" outlineLevel="0" collapsed="false">
      <c r="B48" s="13" t="n">
        <v>0.10808434763973</v>
      </c>
      <c r="C48" s="13" t="n">
        <v>-0.30046472224594</v>
      </c>
      <c r="D48" s="13" t="n">
        <v>-0.0782793367814227</v>
      </c>
      <c r="E48" s="13" t="n">
        <v>0.00680132659280597</v>
      </c>
      <c r="F48" s="13" t="n">
        <v>1.08118686756054</v>
      </c>
      <c r="G48" s="13" t="n">
        <v>0.0189896444926946</v>
      </c>
      <c r="H48" s="13" t="n">
        <v>0.0387165350880367</v>
      </c>
      <c r="I48" s="13" t="n">
        <v>-0.000571351853787206</v>
      </c>
    </row>
    <row r="49" customFormat="false" ht="15" hidden="false" customHeight="false" outlineLevel="0" collapsed="false">
      <c r="B49" s="13" t="n">
        <v>-0.0479774867651421</v>
      </c>
      <c r="C49" s="13" t="n">
        <v>-0.137447424415968</v>
      </c>
      <c r="D49" s="13" t="n">
        <v>0.000970243580651405</v>
      </c>
      <c r="E49" s="13" t="n">
        <v>0.0358682722178787</v>
      </c>
      <c r="F49" s="13" t="n">
        <v>0.0189896444926946</v>
      </c>
      <c r="G49" s="13" t="n">
        <v>1.02378547330347</v>
      </c>
      <c r="H49" s="13" t="n">
        <v>0.000118172458376615</v>
      </c>
      <c r="I49" s="13" t="n">
        <v>0.0232647094867098</v>
      </c>
    </row>
    <row r="50" customFormat="false" ht="15" hidden="false" customHeight="false" outlineLevel="0" collapsed="false">
      <c r="B50" s="13" t="n">
        <v>0.0310610951771656</v>
      </c>
      <c r="C50" s="13" t="n">
        <v>-0.115352885784677</v>
      </c>
      <c r="D50" s="13" t="n">
        <v>-0.0757380185979475</v>
      </c>
      <c r="E50" s="13" t="n">
        <v>0.0209418979388728</v>
      </c>
      <c r="F50" s="13" t="n">
        <v>0.0387165350880367</v>
      </c>
      <c r="G50" s="13" t="n">
        <v>0.000118172458376615</v>
      </c>
      <c r="H50" s="13" t="n">
        <v>1.02432713707917</v>
      </c>
      <c r="I50" s="13" t="n">
        <v>0.0871581827497204</v>
      </c>
    </row>
    <row r="51" customFormat="false" ht="15" hidden="false" customHeight="false" outlineLevel="0" collapsed="false">
      <c r="B51" s="13" t="n">
        <v>-0.0524637390568106</v>
      </c>
      <c r="C51" s="13" t="n">
        <v>-0.0549759313739925</v>
      </c>
      <c r="D51" s="13" t="n">
        <v>0.0528945334197174</v>
      </c>
      <c r="E51" s="13" t="n">
        <v>0.00055092700653024</v>
      </c>
      <c r="F51" s="13" t="n">
        <v>-0.000571351853787206</v>
      </c>
      <c r="G51" s="13" t="n">
        <v>0.0232647094867098</v>
      </c>
      <c r="H51" s="13" t="n">
        <v>0.0871581827497204</v>
      </c>
      <c r="I51" s="13" t="n">
        <v>1.01779333753985</v>
      </c>
    </row>
    <row r="53" customFormat="false" ht="15" hidden="false" customHeight="false" outlineLevel="0" collapsed="false">
      <c r="A53" s="4" t="s">
        <v>214</v>
      </c>
      <c r="B53" s="4" t="s">
        <v>448</v>
      </c>
      <c r="C53" s="4" t="s">
        <v>449</v>
      </c>
      <c r="D53" s="4" t="s">
        <v>450</v>
      </c>
    </row>
    <row r="54" customFormat="false" ht="15" hidden="false" customHeight="false" outlineLevel="0" collapsed="false">
      <c r="A54" s="8" t="s">
        <v>171</v>
      </c>
      <c r="B54" s="16" t="n">
        <f aca="false">B44</f>
        <v>1.1472235552512</v>
      </c>
      <c r="C54" s="13" t="n">
        <f aca="false">1/B54</f>
        <v>0.871669689331857</v>
      </c>
      <c r="D54" s="8" t="str">
        <f aca="false">IF(B54&gt;4,"Check","OK")</f>
        <v>OK</v>
      </c>
    </row>
    <row r="55" customFormat="false" ht="15" hidden="false" customHeight="false" outlineLevel="0" collapsed="false">
      <c r="A55" s="8" t="s">
        <v>172</v>
      </c>
      <c r="B55" s="16" t="n">
        <f aca="false">C45</f>
        <v>1.26289888657046</v>
      </c>
      <c r="C55" s="13" t="n">
        <f aca="false">1/B55</f>
        <v>0.791829029729852</v>
      </c>
      <c r="D55" s="8" t="str">
        <f aca="false">IF(B55&gt;4,"Check","OK")</f>
        <v>OK</v>
      </c>
    </row>
    <row r="56" customFormat="false" ht="15" hidden="false" customHeight="false" outlineLevel="0" collapsed="false">
      <c r="A56" s="8" t="s">
        <v>27</v>
      </c>
      <c r="B56" s="16" t="n">
        <f aca="false">D46</f>
        <v>1.03040196025647</v>
      </c>
      <c r="C56" s="13" t="n">
        <f aca="false">1/B56</f>
        <v>0.970495048118016</v>
      </c>
      <c r="D56" s="8" t="str">
        <f aca="false">IF(B56&gt;4,"Check","OK")</f>
        <v>OK</v>
      </c>
    </row>
    <row r="57" customFormat="false" ht="15" hidden="false" customHeight="false" outlineLevel="0" collapsed="false">
      <c r="A57" s="8" t="s">
        <v>28</v>
      </c>
      <c r="B57" s="16" t="n">
        <f aca="false">E47</f>
        <v>1.03049518850862</v>
      </c>
      <c r="C57" s="13" t="n">
        <f aca="false">1/B57</f>
        <v>0.970407248040867</v>
      </c>
      <c r="D57" s="8" t="str">
        <f aca="false">IF(B57&gt;4,"Check","OK")</f>
        <v>OK</v>
      </c>
    </row>
    <row r="58" customFormat="false" ht="15" hidden="false" customHeight="false" outlineLevel="0" collapsed="false">
      <c r="A58" s="8" t="s">
        <v>173</v>
      </c>
      <c r="B58" s="16" t="n">
        <f aca="false">F48</f>
        <v>1.08118686756054</v>
      </c>
      <c r="C58" s="13" t="n">
        <f aca="false">1/B58</f>
        <v>0.924909495299622</v>
      </c>
      <c r="D58" s="8" t="str">
        <f aca="false">IF(B58&gt;4,"Check","OK")</f>
        <v>OK</v>
      </c>
    </row>
    <row r="59" customFormat="false" ht="15" hidden="false" customHeight="false" outlineLevel="0" collapsed="false">
      <c r="A59" s="8" t="s">
        <v>174</v>
      </c>
      <c r="B59" s="16" t="n">
        <f aca="false">G49</f>
        <v>1.02378547330347</v>
      </c>
      <c r="C59" s="13" t="n">
        <f aca="false">1/B59</f>
        <v>0.976767131470699</v>
      </c>
      <c r="D59" s="8" t="str">
        <f aca="false">IF(B59&gt;4,"Check","OK")</f>
        <v>OK</v>
      </c>
    </row>
    <row r="60" customFormat="false" ht="15" hidden="false" customHeight="false" outlineLevel="0" collapsed="false">
      <c r="A60" s="8" t="s">
        <v>31</v>
      </c>
      <c r="B60" s="16" t="n">
        <f aca="false">H50</f>
        <v>1.02432713707917</v>
      </c>
      <c r="C60" s="13" t="n">
        <f aca="false">1/B60</f>
        <v>0.976250617406718</v>
      </c>
      <c r="D60" s="8" t="str">
        <f aca="false">IF(B60&gt;4,"Check","OK")</f>
        <v>OK</v>
      </c>
    </row>
    <row r="61" customFormat="false" ht="15" hidden="false" customHeight="false" outlineLevel="0" collapsed="false">
      <c r="A61" s="8" t="s">
        <v>32</v>
      </c>
      <c r="B61" s="16" t="n">
        <f aca="false">I51</f>
        <v>1.01779333753985</v>
      </c>
      <c r="C61" s="13" t="n">
        <f aca="false">1/B61</f>
        <v>0.982517730384387</v>
      </c>
      <c r="D61" s="8" t="str">
        <f aca="false">IF(B61&gt;4,"Check","OK")</f>
        <v>OK</v>
      </c>
    </row>
    <row r="62" customFormat="false" ht="102.2" hidden="false" customHeight="false" outlineLevel="0" collapsed="false">
      <c r="A62" s="3" t="s">
        <v>452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71"/>
    <col collapsed="false" customWidth="true" hidden="false" outlineLevel="0" max="3" min="2" style="0" width="13.72"/>
    <col collapsed="false" customWidth="true" hidden="false" outlineLevel="0" max="4" min="4" style="0" width="26.71"/>
    <col collapsed="false" customWidth="true" hidden="false" outlineLevel="0" max="8" min="5" style="0" width="13.72"/>
  </cols>
  <sheetData>
    <row r="1" customFormat="false" ht="17.35" hidden="false" customHeight="false" outlineLevel="0" collapsed="false">
      <c r="A1" s="1" t="s">
        <v>453</v>
      </c>
    </row>
    <row r="3" customFormat="false" ht="15" hidden="false" customHeight="false" outlineLevel="0" collapsed="false">
      <c r="A3" s="7" t="s">
        <v>454</v>
      </c>
    </row>
    <row r="4" customFormat="false" ht="15" hidden="false" customHeight="false" outlineLevel="0" collapsed="false">
      <c r="A4" s="8" t="s">
        <v>455</v>
      </c>
      <c r="B4" s="16" t="n">
        <f aca="false">COUNTIF(Influence!I2:I1387,"&gt;2")</f>
        <v>64</v>
      </c>
    </row>
    <row r="5" customFormat="false" ht="15" hidden="false" customHeight="false" outlineLevel="0" collapsed="false">
      <c r="A5" s="8" t="s">
        <v>456</v>
      </c>
      <c r="B5" s="16" t="n">
        <f aca="false">COUNTIF(Influence!I2:I1387,"&gt;3")</f>
        <v>5</v>
      </c>
    </row>
    <row r="6" customFormat="false" ht="15" hidden="false" customHeight="false" outlineLevel="0" collapsed="false">
      <c r="A6" s="8" t="s">
        <v>457</v>
      </c>
      <c r="B6" s="16" t="n">
        <f aca="false">0.0455*1386</f>
        <v>63.063</v>
      </c>
    </row>
    <row r="7" customFormat="false" ht="15" hidden="false" customHeight="false" outlineLevel="0" collapsed="false">
      <c r="A7" s="8" t="s">
        <v>458</v>
      </c>
      <c r="B7" s="16" t="n">
        <f aca="false">0.0027*1386</f>
        <v>3.7422</v>
      </c>
    </row>
    <row r="9" customFormat="false" ht="15" hidden="false" customHeight="false" outlineLevel="0" collapsed="false">
      <c r="A9" s="4" t="s">
        <v>423</v>
      </c>
      <c r="B9" s="4" t="s">
        <v>459</v>
      </c>
      <c r="C9" s="4" t="s">
        <v>460</v>
      </c>
      <c r="D9" s="4" t="s">
        <v>23</v>
      </c>
      <c r="E9" s="4" t="s">
        <v>21</v>
      </c>
      <c r="F9" s="4" t="s">
        <v>170</v>
      </c>
      <c r="G9" s="4" t="s">
        <v>419</v>
      </c>
      <c r="H9" s="4" t="s">
        <v>420</v>
      </c>
    </row>
    <row r="10" customFormat="false" ht="15" hidden="false" customHeight="false" outlineLevel="0" collapsed="false">
      <c r="A10" s="12" t="n">
        <v>1</v>
      </c>
      <c r="B10" s="13" t="n">
        <f aca="false">LARGE(Influence!$I$2:$I$1387,A10)</f>
        <v>3.72839997379626</v>
      </c>
      <c r="C10" s="12" t="n">
        <f aca="false">MATCH(B10,Influence!$I$2:$I$1387,0)</f>
        <v>436</v>
      </c>
      <c r="D10" s="0" t="str">
        <f aca="false">INDEX('Residual Diagnostics'!$B$2:$B$1387,C10)</f>
        <v>South Loop</v>
      </c>
      <c r="E10" s="5" t="n">
        <f aca="false">INDEX('Residual Diagnostics'!$C$2:$C$1387,C10)</f>
        <v>40344</v>
      </c>
      <c r="F10" s="15" t="n">
        <f aca="false">INDEX('Residual Diagnostics'!$D$2:$D$1387,C10)</f>
        <v>428.259504665654</v>
      </c>
      <c r="G10" s="15" t="n">
        <f aca="false">INDEX('Residual Diagnostics'!$E$2:$E$1387,C10)</f>
        <v>245.636768157055</v>
      </c>
      <c r="H10" s="15" t="n">
        <f aca="false">INDEX('Residual Diagnostics'!$F$2:$F$1387,C10)</f>
        <v>182.622736508599</v>
      </c>
    </row>
    <row r="11" customFormat="false" ht="15" hidden="false" customHeight="false" outlineLevel="0" collapsed="false">
      <c r="A11" s="12" t="n">
        <v>2</v>
      </c>
      <c r="B11" s="13" t="n">
        <f aca="false">LARGE(Influence!$I$2:$I$1387,A11)</f>
        <v>3.42780738296694</v>
      </c>
      <c r="C11" s="12" t="n">
        <f aca="false">MATCH(B11,Influence!$I$2:$I$1387,0)</f>
        <v>353</v>
      </c>
      <c r="D11" s="0" t="str">
        <f aca="false">INDEX('Residual Diagnostics'!$B$2:$B$1387,C11)</f>
        <v>Lakeview</v>
      </c>
      <c r="E11" s="5" t="n">
        <f aca="false">INDEX('Residual Diagnostics'!$C$2:$C$1387,C11)</f>
        <v>40302</v>
      </c>
      <c r="F11" s="15" t="n">
        <f aca="false">INDEX('Residual Diagnostics'!$D$2:$D$1387,C11)</f>
        <v>66.3866532139855</v>
      </c>
      <c r="G11" s="15" t="n">
        <f aca="false">INDEX('Residual Diagnostics'!$E$2:$E$1387,C11)</f>
        <v>234.260338066545</v>
      </c>
      <c r="H11" s="15" t="n">
        <f aca="false">INDEX('Residual Diagnostics'!$F$2:$F$1387,C11)</f>
        <v>-167.87368485256</v>
      </c>
    </row>
    <row r="12" customFormat="false" ht="15" hidden="false" customHeight="false" outlineLevel="0" collapsed="false">
      <c r="A12" s="12" t="n">
        <v>3</v>
      </c>
      <c r="B12" s="13" t="n">
        <f aca="false">LARGE(Influence!$I$2:$I$1387,A12)</f>
        <v>3.20070594434081</v>
      </c>
      <c r="C12" s="12" t="n">
        <f aca="false">MATCH(B12,Influence!$I$2:$I$1387,0)</f>
        <v>938</v>
      </c>
      <c r="D12" s="0" t="str">
        <f aca="false">INDEX('Residual Diagnostics'!$B$2:$B$1387,C12)</f>
        <v>Mill Plain</v>
      </c>
      <c r="E12" s="5" t="n">
        <f aca="false">INDEX('Residual Diagnostics'!$C$2:$C$1387,C12)</f>
        <v>40316</v>
      </c>
      <c r="F12" s="15" t="n">
        <f aca="false">INDEX('Residual Diagnostics'!$D$2:$D$1387,C12)</f>
        <v>469.666502841227</v>
      </c>
      <c r="G12" s="15" t="n">
        <f aca="false">INDEX('Residual Diagnostics'!$E$2:$E$1387,C12)</f>
        <v>313.515332338608</v>
      </c>
      <c r="H12" s="15" t="n">
        <f aca="false">INDEX('Residual Diagnostics'!$F$2:$F$1387,C12)</f>
        <v>156.151170502618</v>
      </c>
    </row>
    <row r="13" customFormat="false" ht="15" hidden="false" customHeight="false" outlineLevel="0" collapsed="false">
      <c r="A13" s="12" t="n">
        <v>4</v>
      </c>
      <c r="B13" s="13" t="n">
        <f aca="false">LARGE(Influence!$I$2:$I$1387,A13)</f>
        <v>3.0684630980464</v>
      </c>
      <c r="C13" s="12" t="n">
        <f aca="false">MATCH(B13,Influence!$I$2:$I$1387,0)</f>
        <v>458</v>
      </c>
      <c r="D13" s="0" t="str">
        <f aca="false">INDEX('Residual Diagnostics'!$B$2:$B$1387,C13)</f>
        <v>Wheaton</v>
      </c>
      <c r="E13" s="5" t="n">
        <f aca="false">INDEX('Residual Diagnostics'!$C$2:$C$1387,C13)</f>
        <v>40344</v>
      </c>
      <c r="F13" s="15" t="n">
        <f aca="false">INDEX('Residual Diagnostics'!$D$2:$D$1387,C13)</f>
        <v>196.44880610037</v>
      </c>
      <c r="G13" s="15" t="n">
        <f aca="false">INDEX('Residual Diagnostics'!$E$2:$E$1387,C13)</f>
        <v>345.916668134427</v>
      </c>
      <c r="H13" s="15" t="n">
        <f aca="false">INDEX('Residual Diagnostics'!$F$2:$F$1387,C13)</f>
        <v>-149.467862034057</v>
      </c>
    </row>
    <row r="14" customFormat="false" ht="15" hidden="false" customHeight="false" outlineLevel="0" collapsed="false">
      <c r="A14" s="12" t="n">
        <v>5</v>
      </c>
      <c r="B14" s="13" t="n">
        <f aca="false">LARGE(Influence!$I$2:$I$1387,A14)</f>
        <v>3.0249282329916</v>
      </c>
      <c r="C14" s="12" t="n">
        <f aca="false">MATCH(B14,Influence!$I$2:$I$1387,0)</f>
        <v>762</v>
      </c>
      <c r="D14" s="0" t="str">
        <f aca="false">INDEX('Residual Diagnostics'!$B$2:$B$1387,C14)</f>
        <v>Stevens Creek (aka Cupertino)</v>
      </c>
      <c r="E14" s="5" t="n">
        <f aca="false">INDEX('Residual Diagnostics'!$C$2:$C$1387,C14)</f>
        <v>40316</v>
      </c>
      <c r="F14" s="15" t="n">
        <f aca="false">INDEX('Residual Diagnostics'!$D$2:$D$1387,C14)</f>
        <v>237.750020544913</v>
      </c>
      <c r="G14" s="15" t="n">
        <f aca="false">INDEX('Residual Diagnostics'!$E$2:$E$1387,C14)</f>
        <v>385.048833817459</v>
      </c>
      <c r="H14" s="15" t="n">
        <f aca="false">INDEX('Residual Diagnostics'!$F$2:$F$1387,C14)</f>
        <v>-147.298813272546</v>
      </c>
    </row>
    <row r="15" customFormat="false" ht="15" hidden="false" customHeight="false" outlineLevel="0" collapsed="false">
      <c r="A15" s="12" t="n">
        <v>6</v>
      </c>
      <c r="B15" s="13" t="n">
        <f aca="false">LARGE(Influence!$I$2:$I$1387,A15)</f>
        <v>2.86866729888757</v>
      </c>
      <c r="C15" s="12" t="n">
        <f aca="false">MATCH(B15,Influence!$I$2:$I$1387,0)</f>
        <v>325</v>
      </c>
      <c r="D15" s="0" t="str">
        <f aca="false">INDEX('Residual Diagnostics'!$B$2:$B$1387,C15)</f>
        <v>Galleria</v>
      </c>
      <c r="E15" s="5" t="n">
        <f aca="false">INDEX('Residual Diagnostics'!$C$2:$C$1387,C15)</f>
        <v>40337</v>
      </c>
      <c r="F15" s="15" t="n">
        <f aca="false">INDEX('Residual Diagnostics'!$D$2:$D$1387,C15)</f>
        <v>112.291422195347</v>
      </c>
      <c r="G15" s="15" t="n">
        <f aca="false">INDEX('Residual Diagnostics'!$E$2:$E$1387,C15)</f>
        <v>252.743264944258</v>
      </c>
      <c r="H15" s="15" t="n">
        <f aca="false">INDEX('Residual Diagnostics'!$F$2:$F$1387,C15)</f>
        <v>-140.451842748911</v>
      </c>
    </row>
    <row r="16" customFormat="false" ht="15" hidden="false" customHeight="false" outlineLevel="0" collapsed="false">
      <c r="A16" s="12" t="n">
        <v>7</v>
      </c>
      <c r="B16" s="13" t="n">
        <f aca="false">LARGE(Influence!$I$2:$I$1387,A16)</f>
        <v>2.85317257971249</v>
      </c>
      <c r="C16" s="12" t="n">
        <f aca="false">MATCH(B16,Influence!$I$2:$I$1387,0)</f>
        <v>751</v>
      </c>
      <c r="D16" s="0" t="str">
        <f aca="false">INDEX('Residual Diagnostics'!$B$2:$B$1387,C16)</f>
        <v>SoMa</v>
      </c>
      <c r="E16" s="5" t="n">
        <f aca="false">INDEX('Residual Diagnostics'!$C$2:$C$1387,C16)</f>
        <v>40316</v>
      </c>
      <c r="F16" s="15" t="n">
        <f aca="false">INDEX('Residual Diagnostics'!$D$2:$D$1387,C16)</f>
        <v>247.341197632124</v>
      </c>
      <c r="G16" s="15" t="n">
        <f aca="false">INDEX('Residual Diagnostics'!$E$2:$E$1387,C16)</f>
        <v>386.283315021068</v>
      </c>
      <c r="H16" s="15" t="n">
        <f aca="false">INDEX('Residual Diagnostics'!$F$2:$F$1387,C16)</f>
        <v>-138.942117388944</v>
      </c>
    </row>
    <row r="17" customFormat="false" ht="15" hidden="false" customHeight="false" outlineLevel="0" collapsed="false">
      <c r="A17" s="12" t="n">
        <v>8</v>
      </c>
      <c r="B17" s="13" t="n">
        <f aca="false">LARGE(Influence!$I$2:$I$1387,A17)</f>
        <v>2.8469231275464</v>
      </c>
      <c r="C17" s="12" t="n">
        <f aca="false">MATCH(B17,Influence!$I$2:$I$1387,0)</f>
        <v>881</v>
      </c>
      <c r="D17" s="0" t="str">
        <f aca="false">INDEX('Residual Diagnostics'!$B$2:$B$1387,C17)</f>
        <v>White Plains</v>
      </c>
      <c r="E17" s="5" t="n">
        <f aca="false">INDEX('Residual Diagnostics'!$C$2:$C$1387,C17)</f>
        <v>40302</v>
      </c>
      <c r="F17" s="15" t="n">
        <f aca="false">INDEX('Residual Diagnostics'!$D$2:$D$1387,C17)</f>
        <v>120.518992945255</v>
      </c>
      <c r="G17" s="15" t="n">
        <f aca="false">INDEX('Residual Diagnostics'!$E$2:$E$1387,C17)</f>
        <v>259.297912524947</v>
      </c>
      <c r="H17" s="15" t="n">
        <f aca="false">INDEX('Residual Diagnostics'!$F$2:$F$1387,C17)</f>
        <v>-138.778919579692</v>
      </c>
    </row>
    <row r="18" customFormat="false" ht="15" hidden="false" customHeight="false" outlineLevel="0" collapsed="false">
      <c r="A18" s="12" t="n">
        <v>9</v>
      </c>
      <c r="B18" s="13" t="n">
        <f aca="false">LARGE(Influence!$I$2:$I$1387,A18)</f>
        <v>2.80228442109685</v>
      </c>
      <c r="C18" s="12" t="n">
        <f aca="false">MATCH(B18,Influence!$I$2:$I$1387,0)</f>
        <v>270</v>
      </c>
      <c r="D18" s="0" t="str">
        <f aca="false">INDEX('Residual Diagnostics'!$B$2:$B$1387,C18)</f>
        <v>Short Pump</v>
      </c>
      <c r="E18" s="5" t="n">
        <f aca="false">INDEX('Residual Diagnostics'!$C$2:$C$1387,C18)</f>
        <v>40337</v>
      </c>
      <c r="F18" s="15" t="n">
        <f aca="false">INDEX('Residual Diagnostics'!$D$2:$D$1387,C18)</f>
        <v>51.7332929950279</v>
      </c>
      <c r="G18" s="15" t="n">
        <f aca="false">INDEX('Residual Diagnostics'!$E$2:$E$1387,C18)</f>
        <v>189.019115184715</v>
      </c>
      <c r="H18" s="15" t="n">
        <f aca="false">INDEX('Residual Diagnostics'!$F$2:$F$1387,C18)</f>
        <v>-137.285822189687</v>
      </c>
    </row>
    <row r="19" customFormat="false" ht="15" hidden="false" customHeight="false" outlineLevel="0" collapsed="false">
      <c r="A19" s="12" t="n">
        <v>10</v>
      </c>
      <c r="B19" s="13" t="n">
        <f aca="false">LARGE(Influence!$I$2:$I$1387,A19)</f>
        <v>2.74106168130456</v>
      </c>
      <c r="C19" s="12" t="n">
        <f aca="false">MATCH(B19,Influence!$I$2:$I$1387,0)</f>
        <v>560</v>
      </c>
      <c r="D19" s="0" t="str">
        <f aca="false">INDEX('Residual Diagnostics'!$B$2:$B$1387,C19)</f>
        <v>Newtonville</v>
      </c>
      <c r="E19" s="5" t="n">
        <f aca="false">INDEX('Residual Diagnostics'!$C$2:$C$1387,C19)</f>
        <v>40365</v>
      </c>
      <c r="F19" s="15" t="n">
        <f aca="false">INDEX('Residual Diagnostics'!$D$2:$D$1387,C19)</f>
        <v>47.559851899868</v>
      </c>
      <c r="G19" s="15" t="n">
        <f aca="false">INDEX('Residual Diagnostics'!$E$2:$E$1387,C19)</f>
        <v>181.814276303868</v>
      </c>
      <c r="H19" s="15" t="n">
        <f aca="false">INDEX('Residual Diagnostics'!$F$2:$F$1387,C19)</f>
        <v>-134.254424404</v>
      </c>
    </row>
    <row r="22" customFormat="false" ht="68.65" hidden="false" customHeight="false" outlineLevel="0" collapsed="false">
      <c r="A22" s="3" t="s">
        <v>461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71"/>
    <col collapsed="false" customWidth="true" hidden="false" outlineLevel="0" max="13" min="2" style="0" width="13.72"/>
    <col collapsed="false" customWidth="true" hidden="false" outlineLevel="0" max="15" min="15" style="0" width="30.72"/>
    <col collapsed="false" customWidth="true" hidden="false" outlineLevel="0" max="16" min="16" style="0" width="12.72"/>
  </cols>
  <sheetData>
    <row r="1" customFormat="false" ht="23.85" hidden="false" customHeight="false" outlineLevel="0" collapsed="false">
      <c r="A1" s="4" t="s">
        <v>418</v>
      </c>
      <c r="B1" s="4" t="s">
        <v>462</v>
      </c>
      <c r="C1" s="4" t="s">
        <v>420</v>
      </c>
      <c r="D1" s="4" t="s">
        <v>463</v>
      </c>
      <c r="E1" s="4" t="s">
        <v>464</v>
      </c>
      <c r="F1" s="4" t="s">
        <v>465</v>
      </c>
      <c r="G1" s="4" t="s">
        <v>466</v>
      </c>
      <c r="H1" s="4" t="s">
        <v>467</v>
      </c>
      <c r="I1" s="4" t="s">
        <v>468</v>
      </c>
      <c r="J1" s="4" t="s">
        <v>469</v>
      </c>
      <c r="K1" s="4" t="s">
        <v>470</v>
      </c>
      <c r="L1" s="4" t="s">
        <v>471</v>
      </c>
      <c r="M1" s="4" t="s">
        <v>472</v>
      </c>
      <c r="O1" s="7" t="s">
        <v>473</v>
      </c>
    </row>
    <row r="2" customFormat="false" ht="15" hidden="false" customHeight="false" outlineLevel="0" collapsed="false">
      <c r="A2" s="0" t="n">
        <f aca="false">ROW()-1</f>
        <v>1</v>
      </c>
      <c r="B2" s="22" t="n">
        <f aca="false">SUMPRODUCT(MMULT('Analysis Data'!N2:U2,'Final Model'!$B$59:$I$66),'Analysis Data'!N2:U2)</f>
        <v>0.00245757096629676</v>
      </c>
      <c r="C2" s="15" t="n">
        <f aca="false">'Residual Diagnostics'!F2</f>
        <v>-29.0001233134403</v>
      </c>
      <c r="D2" s="13" t="n">
        <f aca="false">C2/('Final Model'!$B$21*SQRT(1-B2))</f>
        <v>-0.592180858109245</v>
      </c>
      <c r="E2" s="13" t="n">
        <f aca="false">D2*SQRT(('Final Model'!$B$24-1)/('Final Model'!$B$24-D2^2))</f>
        <v>-0.592041286568102</v>
      </c>
      <c r="F2" s="23" t="n">
        <f aca="false">D2^2/($P$3+1)*B2/(1-B2)</f>
        <v>0.000107992459876255</v>
      </c>
      <c r="G2" s="13" t="n">
        <f aca="false">($P$2-1)*(B2-1/$P$2)</f>
        <v>2.40445728904251</v>
      </c>
      <c r="H2" s="13" t="n">
        <f aca="false">E2*SQRT(B2/(1-B2))</f>
        <v>-0.0293859231920275</v>
      </c>
      <c r="I2" s="13" t="n">
        <f aca="false">ABS(D2)</f>
        <v>0.592180858109245</v>
      </c>
      <c r="J2" s="6" t="n">
        <f aca="false">IF(B2&gt;$P$4,1,0)</f>
        <v>0</v>
      </c>
      <c r="K2" s="6" t="n">
        <f aca="false">IF(F2&gt;$P$6,1,0)</f>
        <v>0</v>
      </c>
      <c r="L2" s="6" t="n">
        <f aca="false">IF(G2&gt;$P$9,1,0)</f>
        <v>0</v>
      </c>
      <c r="M2" s="6" t="n">
        <f aca="false">IF(ABS(H2)&gt;$P$8,1,0)</f>
        <v>0</v>
      </c>
      <c r="O2" s="8" t="s">
        <v>474</v>
      </c>
      <c r="P2" s="12" t="n">
        <f aca="false">COUNT('Analysis Data'!$C$2:$C$1387)</f>
        <v>1386</v>
      </c>
    </row>
    <row r="3" customFormat="false" ht="15" hidden="false" customHeight="false" outlineLevel="0" collapsed="false">
      <c r="A3" s="0" t="n">
        <f aca="false">ROW()-1</f>
        <v>2</v>
      </c>
      <c r="B3" s="22" t="n">
        <f aca="false">SUMPRODUCT(MMULT('Analysis Data'!N3:U3,'Final Model'!$B$59:$I$66),'Analysis Data'!N3:U3)</f>
        <v>0.0016949693289889</v>
      </c>
      <c r="C3" s="15" t="n">
        <f aca="false">'Residual Diagnostics'!F3</f>
        <v>9.04478681059354</v>
      </c>
      <c r="D3" s="13" t="n">
        <f aca="false">C3/('Final Model'!$B$21*SQRT(1-B3))</f>
        <v>0.184623471922927</v>
      </c>
      <c r="E3" s="13" t="n">
        <f aca="false">D3*SQRT(('Final Model'!$B$24-1)/('Final Model'!$B$24-D3^2))</f>
        <v>0.184558752727571</v>
      </c>
      <c r="F3" s="23" t="n">
        <f aca="false">D3^2/($P$3+1)*B3/(1-B3)</f>
        <v>7.23406530326358E-006</v>
      </c>
      <c r="G3" s="13" t="n">
        <f aca="false">($P$2-1)*(B3-1/$P$2)</f>
        <v>1.34825402137112</v>
      </c>
      <c r="H3" s="13" t="n">
        <f aca="false">E3*SQRT(B3/(1-B3))</f>
        <v>0.00760473243875035</v>
      </c>
      <c r="I3" s="13" t="n">
        <f aca="false">ABS(D3)</f>
        <v>0.184623471922927</v>
      </c>
      <c r="J3" s="6" t="n">
        <f aca="false">IF(B3&gt;$P$4,1,0)</f>
        <v>0</v>
      </c>
      <c r="K3" s="6" t="n">
        <f aca="false">IF(F3&gt;$P$6,1,0)</f>
        <v>0</v>
      </c>
      <c r="L3" s="6" t="n">
        <f aca="false">IF(G3&gt;$P$9,1,0)</f>
        <v>0</v>
      </c>
      <c r="M3" s="6" t="n">
        <f aca="false">IF(ABS(H3)&gt;$P$8,1,0)</f>
        <v>0</v>
      </c>
      <c r="O3" s="8" t="s">
        <v>475</v>
      </c>
      <c r="P3" s="11" t="n">
        <v>7</v>
      </c>
    </row>
    <row r="4" customFormat="false" ht="15" hidden="false" customHeight="false" outlineLevel="0" collapsed="false">
      <c r="A4" s="0" t="n">
        <f aca="false">ROW()-1</f>
        <v>3</v>
      </c>
      <c r="B4" s="22" t="n">
        <f aca="false">SUMPRODUCT(MMULT('Analysis Data'!N4:U4,'Final Model'!$B$59:$I$66),'Analysis Data'!N4:U4)</f>
        <v>0.00175064183851551</v>
      </c>
      <c r="C4" s="15" t="n">
        <f aca="false">'Residual Diagnostics'!F4</f>
        <v>42.5885023022971</v>
      </c>
      <c r="D4" s="13" t="n">
        <f aca="false">C4/('Final Model'!$B$21*SQRT(1-B4))</f>
        <v>0.869346793509603</v>
      </c>
      <c r="E4" s="13" t="n">
        <f aca="false">D4*SQRT(('Final Model'!$B$24-1)/('Final Model'!$B$24-D4^2))</f>
        <v>0.869269706481501</v>
      </c>
      <c r="F4" s="23" t="n">
        <f aca="false">D4^2/($P$3+1)*B4/(1-B4)</f>
        <v>0.000165674012266226</v>
      </c>
      <c r="G4" s="13" t="n">
        <f aca="false">($P$2-1)*(B4-1/$P$2)</f>
        <v>1.42536044706548</v>
      </c>
      <c r="H4" s="13" t="n">
        <f aca="false">E4*SQRT(B4/(1-B4))</f>
        <v>0.0364027067300214</v>
      </c>
      <c r="I4" s="13" t="n">
        <f aca="false">ABS(D4)</f>
        <v>0.869346793509603</v>
      </c>
      <c r="J4" s="6" t="n">
        <f aca="false">IF(B4&gt;$P$4,1,0)</f>
        <v>0</v>
      </c>
      <c r="K4" s="6" t="n">
        <f aca="false">IF(F4&gt;$P$6,1,0)</f>
        <v>0</v>
      </c>
      <c r="L4" s="6" t="n">
        <f aca="false">IF(G4&gt;$P$9,1,0)</f>
        <v>0</v>
      </c>
      <c r="M4" s="6" t="n">
        <f aca="false">IF(ABS(H4)&gt;$P$8,1,0)</f>
        <v>0</v>
      </c>
      <c r="O4" s="8" t="s">
        <v>476</v>
      </c>
      <c r="P4" s="18" t="n">
        <f aca="false">2*(P3+1)/P2</f>
        <v>0.0115440115440115</v>
      </c>
    </row>
    <row r="5" customFormat="false" ht="15" hidden="false" customHeight="false" outlineLevel="0" collapsed="false">
      <c r="A5" s="0" t="n">
        <f aca="false">ROW()-1</f>
        <v>4</v>
      </c>
      <c r="B5" s="22" t="n">
        <f aca="false">SUMPRODUCT(MMULT('Analysis Data'!N5:U5,'Final Model'!$B$59:$I$66),'Analysis Data'!N5:U5)</f>
        <v>0.00172686448099424</v>
      </c>
      <c r="C5" s="15" t="n">
        <f aca="false">'Residual Diagnostics'!F5</f>
        <v>34.7433909879484</v>
      </c>
      <c r="D5" s="13" t="n">
        <f aca="false">C5/('Final Model'!$B$21*SQRT(1-B5))</f>
        <v>0.709198356566122</v>
      </c>
      <c r="E5" s="13" t="n">
        <f aca="false">D5*SQRT(('Final Model'!$B$24-1)/('Final Model'!$B$24-D5^2))</f>
        <v>0.709070396175852</v>
      </c>
      <c r="F5" s="23" t="n">
        <f aca="false">D5^2/($P$3+1)*B5/(1-B5)</f>
        <v>0.000108756275676441</v>
      </c>
      <c r="G5" s="13" t="n">
        <f aca="false">($P$2-1)*(B5-1/$P$2)</f>
        <v>1.39242880689853</v>
      </c>
      <c r="H5" s="13" t="n">
        <f aca="false">E5*SQRT(B5/(1-B5))</f>
        <v>0.0294912913938892</v>
      </c>
      <c r="I5" s="13" t="n">
        <f aca="false">ABS(D5)</f>
        <v>0.709198356566122</v>
      </c>
      <c r="J5" s="6" t="n">
        <f aca="false">IF(B5&gt;$P$4,1,0)</f>
        <v>0</v>
      </c>
      <c r="K5" s="6" t="n">
        <f aca="false">IF(F5&gt;$P$6,1,0)</f>
        <v>0</v>
      </c>
      <c r="L5" s="6" t="n">
        <f aca="false">IF(G5&gt;$P$9,1,0)</f>
        <v>0</v>
      </c>
      <c r="M5" s="6" t="n">
        <f aca="false">IF(ABS(H5)&gt;$P$8,1,0)</f>
        <v>0</v>
      </c>
      <c r="O5" s="8" t="s">
        <v>477</v>
      </c>
      <c r="P5" s="18" t="n">
        <f aca="false">3*(P3+1)/P2</f>
        <v>0.0173160173160173</v>
      </c>
    </row>
    <row r="6" customFormat="false" ht="15" hidden="false" customHeight="false" outlineLevel="0" collapsed="false">
      <c r="A6" s="0" t="n">
        <f aca="false">ROW()-1</f>
        <v>5</v>
      </c>
      <c r="B6" s="22" t="n">
        <f aca="false">SUMPRODUCT(MMULT('Analysis Data'!N6:U6,'Final Model'!$B$59:$I$66),'Analysis Data'!N6:U6)</f>
        <v>0.00168885644118353</v>
      </c>
      <c r="C6" s="15" t="n">
        <f aca="false">'Residual Diagnostics'!F6</f>
        <v>67.2285931794358</v>
      </c>
      <c r="D6" s="13" t="n">
        <f aca="false">C6/('Final Model'!$B$21*SQRT(1-B6))</f>
        <v>1.37227538298626</v>
      </c>
      <c r="E6" s="13" t="n">
        <f aca="false">D6*SQRT(('Final Model'!$B$24-1)/('Final Model'!$B$24-D6^2))</f>
        <v>1.37271564956698</v>
      </c>
      <c r="F6" s="23" t="n">
        <f aca="false">D6^2/($P$3+1)*B6/(1-B6)</f>
        <v>0.000398216612837888</v>
      </c>
      <c r="G6" s="13" t="n">
        <f aca="false">($P$2-1)*(B6-1/$P$2)</f>
        <v>1.33978767176069</v>
      </c>
      <c r="H6" s="13" t="n">
        <f aca="false">E6*SQRT(B6/(1-B6))</f>
        <v>0.0564604054672609</v>
      </c>
      <c r="I6" s="13" t="n">
        <f aca="false">ABS(D6)</f>
        <v>1.37227538298626</v>
      </c>
      <c r="J6" s="6" t="n">
        <f aca="false">IF(B6&gt;$P$4,1,0)</f>
        <v>0</v>
      </c>
      <c r="K6" s="6" t="n">
        <f aca="false">IF(F6&gt;$P$6,1,0)</f>
        <v>0</v>
      </c>
      <c r="L6" s="6" t="n">
        <f aca="false">IF(G6&gt;$P$9,1,0)</f>
        <v>0</v>
      </c>
      <c r="M6" s="6" t="n">
        <f aca="false">IF(ABS(H6)&gt;$P$8,1,0)</f>
        <v>0</v>
      </c>
      <c r="O6" s="8" t="s">
        <v>478</v>
      </c>
      <c r="P6" s="24" t="n">
        <f aca="false">4/(P2-P3-1)</f>
        <v>0.00290275761973875</v>
      </c>
    </row>
    <row r="7" customFormat="false" ht="15" hidden="false" customHeight="false" outlineLevel="0" collapsed="false">
      <c r="A7" s="0" t="n">
        <f aca="false">ROW()-1</f>
        <v>6</v>
      </c>
      <c r="B7" s="22" t="n">
        <f aca="false">SUMPRODUCT(MMULT('Analysis Data'!N7:U7,'Final Model'!$B$59:$I$66),'Analysis Data'!N7:U7)</f>
        <v>0.00287452904062576</v>
      </c>
      <c r="C7" s="15" t="n">
        <f aca="false">'Residual Diagnostics'!F7</f>
        <v>-44.36864512475</v>
      </c>
      <c r="D7" s="13" t="n">
        <f aca="false">C7/('Final Model'!$B$21*SQRT(1-B7))</f>
        <v>-0.906194601617401</v>
      </c>
      <c r="E7" s="13" t="n">
        <f aca="false">D7*SQRT(('Final Model'!$B$24-1)/('Final Model'!$B$24-D7^2))</f>
        <v>-0.906135770065045</v>
      </c>
      <c r="F7" s="23" t="n">
        <f aca="false">D7^2/($P$3+1)*B7/(1-B7)</f>
        <v>0.000295916951809833</v>
      </c>
      <c r="G7" s="13" t="n">
        <f aca="false">($P$2-1)*(B7-1/$P$2)</f>
        <v>2.98194422198818</v>
      </c>
      <c r="H7" s="13" t="n">
        <f aca="false">E7*SQRT(B7/(1-B7))</f>
        <v>-0.0486521144688678</v>
      </c>
      <c r="I7" s="13" t="n">
        <f aca="false">ABS(D7)</f>
        <v>0.906194601617401</v>
      </c>
      <c r="J7" s="6" t="n">
        <f aca="false">IF(B7&gt;$P$4,1,0)</f>
        <v>0</v>
      </c>
      <c r="K7" s="6" t="n">
        <f aca="false">IF(F7&gt;$P$6,1,0)</f>
        <v>0</v>
      </c>
      <c r="L7" s="6" t="n">
        <f aca="false">IF(G7&gt;$P$9,1,0)</f>
        <v>0</v>
      </c>
      <c r="M7" s="6" t="n">
        <f aca="false">IF(ABS(H7)&gt;$P$8,1,0)</f>
        <v>0</v>
      </c>
      <c r="O7" s="8" t="s">
        <v>479</v>
      </c>
      <c r="P7" s="11" t="n">
        <v>1</v>
      </c>
    </row>
    <row r="8" customFormat="false" ht="15" hidden="false" customHeight="false" outlineLevel="0" collapsed="false">
      <c r="A8" s="0" t="n">
        <f aca="false">ROW()-1</f>
        <v>7</v>
      </c>
      <c r="B8" s="22" t="n">
        <f aca="false">SUMPRODUCT(MMULT('Analysis Data'!N8:U8,'Final Model'!$B$59:$I$66),'Analysis Data'!N8:U8)</f>
        <v>0.00180085483073274</v>
      </c>
      <c r="C8" s="15" t="n">
        <f aca="false">'Residual Diagnostics'!F8</f>
        <v>36.1562879210142</v>
      </c>
      <c r="D8" s="13" t="n">
        <f aca="false">C8/('Final Model'!$B$21*SQRT(1-B8))</f>
        <v>0.738066422628661</v>
      </c>
      <c r="E8" s="13" t="n">
        <f aca="false">D8*SQRT(('Final Model'!$B$24-1)/('Final Model'!$B$24-D8^2))</f>
        <v>0.737944444663542</v>
      </c>
      <c r="F8" s="23" t="n">
        <f aca="false">D8^2/($P$3+1)*B8/(1-B8)</f>
        <v>0.000122846396253903</v>
      </c>
      <c r="G8" s="13" t="n">
        <f aca="false">($P$2-1)*(B8-1/$P$2)</f>
        <v>1.49490544128634</v>
      </c>
      <c r="H8" s="13" t="n">
        <f aca="false">E8*SQRT(B8/(1-B8))</f>
        <v>0.0313440003468492</v>
      </c>
      <c r="I8" s="13" t="n">
        <f aca="false">ABS(D8)</f>
        <v>0.738066422628661</v>
      </c>
      <c r="J8" s="6" t="n">
        <f aca="false">IF(B8&gt;$P$4,1,0)</f>
        <v>0</v>
      </c>
      <c r="K8" s="6" t="n">
        <f aca="false">IF(F8&gt;$P$6,1,0)</f>
        <v>0</v>
      </c>
      <c r="L8" s="6" t="n">
        <f aca="false">IF(G8&gt;$P$9,1,0)</f>
        <v>0</v>
      </c>
      <c r="M8" s="6" t="n">
        <f aca="false">IF(ABS(H8)&gt;$P$8,1,0)</f>
        <v>0</v>
      </c>
      <c r="O8" s="8" t="s">
        <v>480</v>
      </c>
      <c r="P8" s="18" t="n">
        <f aca="false">2*SQRT((P3+1)/P2)</f>
        <v>0.151947435279517</v>
      </c>
    </row>
    <row r="9" customFormat="false" ht="15" hidden="false" customHeight="false" outlineLevel="0" collapsed="false">
      <c r="A9" s="0" t="n">
        <f aca="false">ROW()-1</f>
        <v>8</v>
      </c>
      <c r="B9" s="22" t="n">
        <f aca="false">SUMPRODUCT(MMULT('Analysis Data'!N9:U9,'Final Model'!$B$59:$I$66),'Analysis Data'!N9:U9)</f>
        <v>0.00180085483073274</v>
      </c>
      <c r="C9" s="15" t="n">
        <f aca="false">'Residual Diagnostics'!F9</f>
        <v>60.1476757281924</v>
      </c>
      <c r="D9" s="13" t="n">
        <f aca="false">C9/('Final Model'!$B$21*SQRT(1-B9))</f>
        <v>1.22780800814274</v>
      </c>
      <c r="E9" s="13" t="n">
        <f aca="false">D9*SQRT(('Final Model'!$B$24-1)/('Final Model'!$B$24-D9^2))</f>
        <v>1.22803433356665</v>
      </c>
      <c r="F9" s="23" t="n">
        <f aca="false">D9^2/($P$3+1)*B9/(1-B9)</f>
        <v>0.000339963622227126</v>
      </c>
      <c r="G9" s="13" t="n">
        <f aca="false">($P$2-1)*(B9-1/$P$2)</f>
        <v>1.49490544128634</v>
      </c>
      <c r="H9" s="13" t="n">
        <f aca="false">E9*SQRT(B9/(1-B9))</f>
        <v>0.052160442233298</v>
      </c>
      <c r="I9" s="13" t="n">
        <f aca="false">ABS(D9)</f>
        <v>1.22780800814274</v>
      </c>
      <c r="J9" s="6" t="n">
        <f aca="false">IF(B9&gt;$P$4,1,0)</f>
        <v>0</v>
      </c>
      <c r="K9" s="6" t="n">
        <f aca="false">IF(F9&gt;$P$6,1,0)</f>
        <v>0</v>
      </c>
      <c r="L9" s="6" t="n">
        <f aca="false">IF(G9&gt;$P$9,1,0)</f>
        <v>0</v>
      </c>
      <c r="M9" s="6" t="n">
        <f aca="false">IF(ABS(H9)&gt;$P$8,1,0)</f>
        <v>0</v>
      </c>
      <c r="O9" s="8" t="s">
        <v>481</v>
      </c>
      <c r="P9" s="11" t="n">
        <v>10</v>
      </c>
    </row>
    <row r="10" customFormat="false" ht="15" hidden="false" customHeight="false" outlineLevel="0" collapsed="false">
      <c r="A10" s="0" t="n">
        <f aca="false">ROW()-1</f>
        <v>9</v>
      </c>
      <c r="B10" s="22" t="n">
        <f aca="false">SUMPRODUCT(MMULT('Analysis Data'!N10:U10,'Final Model'!$B$59:$I$66),'Analysis Data'!N10:U10)</f>
        <v>0.00180085483073274</v>
      </c>
      <c r="C10" s="15" t="n">
        <f aca="false">'Residual Diagnostics'!F10</f>
        <v>-29.6311456746468</v>
      </c>
      <c r="D10" s="13" t="n">
        <f aca="false">C10/('Final Model'!$B$21*SQRT(1-B10))</f>
        <v>-0.604867229021164</v>
      </c>
      <c r="E10" s="13" t="n">
        <f aca="false">D10*SQRT(('Final Model'!$B$24-1)/('Final Model'!$B$24-D10^2))</f>
        <v>-0.604728000468179</v>
      </c>
      <c r="F10" s="23" t="n">
        <f aca="false">D10^2/($P$3+1)*B10/(1-B10)</f>
        <v>8.25071594969666E-005</v>
      </c>
      <c r="G10" s="13" t="n">
        <f aca="false">($P$2-1)*(B10-1/$P$2)</f>
        <v>1.49490544128634</v>
      </c>
      <c r="H10" s="13" t="n">
        <f aca="false">E10*SQRT(B10/(1-B10))</f>
        <v>-0.0256856661683607</v>
      </c>
      <c r="I10" s="13" t="n">
        <f aca="false">ABS(D10)</f>
        <v>0.604867229021164</v>
      </c>
      <c r="J10" s="6" t="n">
        <f aca="false">IF(B10&gt;$P$4,1,0)</f>
        <v>0</v>
      </c>
      <c r="K10" s="6" t="n">
        <f aca="false">IF(F10&gt;$P$6,1,0)</f>
        <v>0</v>
      </c>
      <c r="L10" s="6" t="n">
        <f aca="false">IF(G10&gt;$P$9,1,0)</f>
        <v>0</v>
      </c>
      <c r="M10" s="6" t="n">
        <f aca="false">IF(ABS(H10)&gt;$P$8,1,0)</f>
        <v>0</v>
      </c>
    </row>
    <row r="11" customFormat="false" ht="15" hidden="false" customHeight="false" outlineLevel="0" collapsed="false">
      <c r="A11" s="0" t="n">
        <f aca="false">ROW()-1</f>
        <v>10</v>
      </c>
      <c r="B11" s="22" t="n">
        <f aca="false">SUMPRODUCT(MMULT('Analysis Data'!N11:U11,'Final Model'!$B$59:$I$66),'Analysis Data'!N11:U11)</f>
        <v>0.00182867734536192</v>
      </c>
      <c r="C11" s="15" t="n">
        <f aca="false">'Residual Diagnostics'!F11</f>
        <v>6.22044624288375</v>
      </c>
      <c r="D11" s="13" t="n">
        <f aca="false">C11/('Final Model'!$B$21*SQRT(1-B11))</f>
        <v>0.126981135348828</v>
      </c>
      <c r="E11" s="13" t="n">
        <f aca="false">D11*SQRT(('Final Model'!$B$24-1)/('Final Model'!$B$24-D11^2))</f>
        <v>0.126935795205257</v>
      </c>
      <c r="F11" s="23" t="n">
        <f aca="false">D11^2/($P$3+1)*B11/(1-B11)</f>
        <v>3.69249929288287E-006</v>
      </c>
      <c r="G11" s="13" t="n">
        <f aca="false">($P$2-1)*(B11-1/$P$2)</f>
        <v>1.53343962404776</v>
      </c>
      <c r="H11" s="13" t="n">
        <f aca="false">E11*SQRT(B11/(1-B11))</f>
        <v>0.00543313011879632</v>
      </c>
      <c r="I11" s="13" t="n">
        <f aca="false">ABS(D11)</f>
        <v>0.126981135348828</v>
      </c>
      <c r="J11" s="6" t="n">
        <f aca="false">IF(B11&gt;$P$4,1,0)</f>
        <v>0</v>
      </c>
      <c r="K11" s="6" t="n">
        <f aca="false">IF(F11&gt;$P$6,1,0)</f>
        <v>0</v>
      </c>
      <c r="L11" s="6" t="n">
        <f aca="false">IF(G11&gt;$P$9,1,0)</f>
        <v>0</v>
      </c>
      <c r="M11" s="6" t="n">
        <f aca="false">IF(ABS(H11)&gt;$P$8,1,0)</f>
        <v>0</v>
      </c>
      <c r="O11" s="7" t="s">
        <v>482</v>
      </c>
    </row>
    <row r="12" customFormat="false" ht="15" hidden="false" customHeight="false" outlineLevel="0" collapsed="false">
      <c r="A12" s="0" t="n">
        <f aca="false">ROW()-1</f>
        <v>11</v>
      </c>
      <c r="B12" s="22" t="n">
        <f aca="false">SUMPRODUCT(MMULT('Analysis Data'!N12:U12,'Final Model'!$B$59:$I$66),'Analysis Data'!N12:U12)</f>
        <v>0.00170220062001732</v>
      </c>
      <c r="C12" s="15" t="n">
        <f aca="false">'Residual Diagnostics'!F12</f>
        <v>-59.6362555611145</v>
      </c>
      <c r="D12" s="13" t="n">
        <f aca="false">C12/('Final Model'!$B$21*SQRT(1-B12))</f>
        <v>-1.21730812032597</v>
      </c>
      <c r="E12" s="13" t="n">
        <f aca="false">D12*SQRT(('Final Model'!$B$24-1)/('Final Model'!$B$24-D12^2))</f>
        <v>-1.2175211561205</v>
      </c>
      <c r="F12" s="23" t="n">
        <f aca="false">D12^2/($P$3+1)*B12/(1-B12)</f>
        <v>0.000315836037095302</v>
      </c>
      <c r="G12" s="13" t="n">
        <f aca="false">($P$2-1)*(B12-1/$P$2)</f>
        <v>1.35826935944549</v>
      </c>
      <c r="H12" s="13" t="n">
        <f aca="false">E12*SQRT(B12/(1-B12))</f>
        <v>-0.0502749713434505</v>
      </c>
      <c r="I12" s="13" t="n">
        <f aca="false">ABS(D12)</f>
        <v>1.21730812032597</v>
      </c>
      <c r="J12" s="6" t="n">
        <f aca="false">IF(B12&gt;$P$4,1,0)</f>
        <v>0</v>
      </c>
      <c r="K12" s="6" t="n">
        <f aca="false">IF(F12&gt;$P$6,1,0)</f>
        <v>0</v>
      </c>
      <c r="L12" s="6" t="n">
        <f aca="false">IF(G12&gt;$P$9,1,0)</f>
        <v>0</v>
      </c>
      <c r="M12" s="6" t="n">
        <f aca="false">IF(ABS(H12)&gt;$P$8,1,0)</f>
        <v>0</v>
      </c>
      <c r="O12" s="8" t="s">
        <v>483</v>
      </c>
      <c r="P12" s="25" t="n">
        <f aca="false">SUM(J2:J1387)</f>
        <v>171</v>
      </c>
    </row>
    <row r="13" customFormat="false" ht="15" hidden="false" customHeight="false" outlineLevel="0" collapsed="false">
      <c r="A13" s="0" t="n">
        <f aca="false">ROW()-1</f>
        <v>12</v>
      </c>
      <c r="B13" s="22" t="n">
        <f aca="false">SUMPRODUCT(MMULT('Analysis Data'!N13:U13,'Final Model'!$B$59:$I$66),'Analysis Data'!N13:U13)</f>
        <v>0.00245757096629676</v>
      </c>
      <c r="C13" s="15" t="n">
        <f aca="false">'Residual Diagnostics'!F13</f>
        <v>-36.9240010642305</v>
      </c>
      <c r="D13" s="13" t="n">
        <f aca="false">C13/('Final Model'!$B$21*SQRT(1-B13))</f>
        <v>-0.753985988221951</v>
      </c>
      <c r="E13" s="13" t="n">
        <f aca="false">D13*SQRT(('Final Model'!$B$24-1)/('Final Model'!$B$24-D13^2))</f>
        <v>-0.753867879152768</v>
      </c>
      <c r="F13" s="23" t="n">
        <f aca="false">D13^2/($P$3+1)*B13/(1-B13)</f>
        <v>0.000175069807484671</v>
      </c>
      <c r="G13" s="13" t="n">
        <f aca="false">($P$2-1)*(B13-1/$P$2)</f>
        <v>2.40445728904251</v>
      </c>
      <c r="H13" s="13" t="n">
        <f aca="false">E13*SQRT(B13/(1-B13))</f>
        <v>-0.0374181735232272</v>
      </c>
      <c r="I13" s="13" t="n">
        <f aca="false">ABS(D13)</f>
        <v>0.753985988221951</v>
      </c>
      <c r="J13" s="6" t="n">
        <f aca="false">IF(B13&gt;$P$4,1,0)</f>
        <v>0</v>
      </c>
      <c r="K13" s="6" t="n">
        <f aca="false">IF(F13&gt;$P$6,1,0)</f>
        <v>0</v>
      </c>
      <c r="L13" s="6" t="n">
        <f aca="false">IF(G13&gt;$P$9,1,0)</f>
        <v>0</v>
      </c>
      <c r="M13" s="6" t="n">
        <f aca="false">IF(ABS(H13)&gt;$P$8,1,0)</f>
        <v>0</v>
      </c>
      <c r="O13" s="8" t="s">
        <v>484</v>
      </c>
      <c r="P13" s="25" t="n">
        <f aca="false">COUNTIF(B2:B1387,"&gt;"&amp;P5)</f>
        <v>63</v>
      </c>
    </row>
    <row r="14" customFormat="false" ht="15" hidden="false" customHeight="false" outlineLevel="0" collapsed="false">
      <c r="A14" s="0" t="n">
        <f aca="false">ROW()-1</f>
        <v>13</v>
      </c>
      <c r="B14" s="22" t="n">
        <f aca="false">SUMPRODUCT(MMULT('Analysis Data'!N14:U14,'Final Model'!$B$59:$I$66),'Analysis Data'!N14:U14)</f>
        <v>0.00201547291007034</v>
      </c>
      <c r="C14" s="15" t="n">
        <f aca="false">'Residual Diagnostics'!F14</f>
        <v>54.4320887143223</v>
      </c>
      <c r="D14" s="13" t="n">
        <f aca="false">C14/('Final Model'!$B$21*SQRT(1-B14))</f>
        <v>1.11125391639366</v>
      </c>
      <c r="E14" s="13" t="n">
        <f aca="false">D14*SQRT(('Final Model'!$B$24-1)/('Final Model'!$B$24-D14^2))</f>
        <v>1.11134870599788</v>
      </c>
      <c r="F14" s="23" t="n">
        <f aca="false">D14^2/($P$3+1)*B14/(1-B14)</f>
        <v>0.000311738024803947</v>
      </c>
      <c r="G14" s="13" t="n">
        <f aca="false">($P$2-1)*(B14-1/$P$2)</f>
        <v>1.79215148116892</v>
      </c>
      <c r="H14" s="13" t="n">
        <f aca="false">E14*SQRT(B14/(1-B14))</f>
        <v>0.0499432645613084</v>
      </c>
      <c r="I14" s="13" t="n">
        <f aca="false">ABS(D14)</f>
        <v>1.11125391639366</v>
      </c>
      <c r="J14" s="6" t="n">
        <f aca="false">IF(B14&gt;$P$4,1,0)</f>
        <v>0</v>
      </c>
      <c r="K14" s="6" t="n">
        <f aca="false">IF(F14&gt;$P$6,1,0)</f>
        <v>0</v>
      </c>
      <c r="L14" s="6" t="n">
        <f aca="false">IF(G14&gt;$P$9,1,0)</f>
        <v>0</v>
      </c>
      <c r="M14" s="6" t="n">
        <f aca="false">IF(ABS(H14)&gt;$P$8,1,0)</f>
        <v>0</v>
      </c>
      <c r="O14" s="8" t="s">
        <v>485</v>
      </c>
      <c r="P14" s="25" t="n">
        <f aca="false">SUM(K2:K1387)</f>
        <v>76</v>
      </c>
    </row>
    <row r="15" customFormat="false" ht="15" hidden="false" customHeight="false" outlineLevel="0" collapsed="false">
      <c r="A15" s="0" t="n">
        <f aca="false">ROW()-1</f>
        <v>14</v>
      </c>
      <c r="B15" s="22" t="n">
        <f aca="false">SUMPRODUCT(MMULT('Analysis Data'!N15:U15,'Final Model'!$B$59:$I$66),'Analysis Data'!N15:U15)</f>
        <v>0.00175064183851551</v>
      </c>
      <c r="C15" s="15" t="n">
        <f aca="false">'Residual Diagnostics'!F15</f>
        <v>-50.984372439253</v>
      </c>
      <c r="D15" s="13" t="n">
        <f aca="false">C15/('Final Model'!$B$21*SQRT(1-B15))</f>
        <v>-1.04072926501511</v>
      </c>
      <c r="E15" s="13" t="n">
        <f aca="false">D15*SQRT(('Final Model'!$B$24-1)/('Final Model'!$B$24-D15^2))</f>
        <v>-1.04076067628237</v>
      </c>
      <c r="F15" s="23" t="n">
        <f aca="false">D15^2/($P$3+1)*B15/(1-B15)</f>
        <v>0.000237434492984721</v>
      </c>
      <c r="G15" s="13" t="n">
        <f aca="false">($P$2-1)*(B15-1/$P$2)</f>
        <v>1.42536044706548</v>
      </c>
      <c r="H15" s="13" t="n">
        <f aca="false">E15*SQRT(B15/(1-B15))</f>
        <v>-0.0435842931052979</v>
      </c>
      <c r="I15" s="13" t="n">
        <f aca="false">ABS(D15)</f>
        <v>1.04072926501511</v>
      </c>
      <c r="J15" s="6" t="n">
        <f aca="false">IF(B15&gt;$P$4,1,0)</f>
        <v>0</v>
      </c>
      <c r="K15" s="6" t="n">
        <f aca="false">IF(F15&gt;$P$6,1,0)</f>
        <v>0</v>
      </c>
      <c r="L15" s="6" t="n">
        <f aca="false">IF(G15&gt;$P$9,1,0)</f>
        <v>0</v>
      </c>
      <c r="M15" s="6" t="n">
        <f aca="false">IF(ABS(H15)&gt;$P$8,1,0)</f>
        <v>0</v>
      </c>
      <c r="O15" s="8" t="s">
        <v>486</v>
      </c>
      <c r="P15" s="25" t="n">
        <f aca="false">COUNTIF(F2:F1387,"&gt;1")</f>
        <v>0</v>
      </c>
    </row>
    <row r="16" customFormat="false" ht="15" hidden="false" customHeight="false" outlineLevel="0" collapsed="false">
      <c r="A16" s="0" t="n">
        <f aca="false">ROW()-1</f>
        <v>15</v>
      </c>
      <c r="B16" s="22" t="n">
        <f aca="false">SUMPRODUCT(MMULT('Analysis Data'!N16:U16,'Final Model'!$B$59:$I$66),'Analysis Data'!N16:U16)</f>
        <v>0.00175064183851551</v>
      </c>
      <c r="C16" s="15" t="n">
        <f aca="false">'Residual Diagnostics'!F16</f>
        <v>-34.4437199770646</v>
      </c>
      <c r="D16" s="13" t="n">
        <f aca="false">C16/('Final Model'!$B$21*SQRT(1-B16))</f>
        <v>-0.703089704964541</v>
      </c>
      <c r="E16" s="13" t="n">
        <f aca="false">D16*SQRT(('Final Model'!$B$24-1)/('Final Model'!$B$24-D16^2))</f>
        <v>-0.702960645460656</v>
      </c>
      <c r="F16" s="23" t="n">
        <f aca="false">D16^2/($P$3+1)*B16/(1-B16)</f>
        <v>0.000108365179426385</v>
      </c>
      <c r="G16" s="13" t="n">
        <f aca="false">($P$2-1)*(B16-1/$P$2)</f>
        <v>1.42536044706548</v>
      </c>
      <c r="H16" s="13" t="n">
        <f aca="false">E16*SQRT(B16/(1-B16))</f>
        <v>-0.0294381249325124</v>
      </c>
      <c r="I16" s="13" t="n">
        <f aca="false">ABS(D16)</f>
        <v>0.703089704964541</v>
      </c>
      <c r="J16" s="6" t="n">
        <f aca="false">IF(B16&gt;$P$4,1,0)</f>
        <v>0</v>
      </c>
      <c r="K16" s="6" t="n">
        <f aca="false">IF(F16&gt;$P$6,1,0)</f>
        <v>0</v>
      </c>
      <c r="L16" s="6" t="n">
        <f aca="false">IF(G16&gt;$P$9,1,0)</f>
        <v>0</v>
      </c>
      <c r="M16" s="6" t="n">
        <f aca="false">IF(ABS(H16)&gt;$P$8,1,0)</f>
        <v>0</v>
      </c>
      <c r="O16" s="8" t="s">
        <v>487</v>
      </c>
      <c r="P16" s="25" t="n">
        <f aca="false">SUM(L2:L1387)</f>
        <v>246</v>
      </c>
    </row>
    <row r="17" customFormat="false" ht="15" hidden="false" customHeight="false" outlineLevel="0" collapsed="false">
      <c r="A17" s="0" t="n">
        <f aca="false">ROW()-1</f>
        <v>16</v>
      </c>
      <c r="B17" s="22" t="n">
        <f aca="false">SUMPRODUCT(MMULT('Analysis Data'!N17:U17,'Final Model'!$B$59:$I$66),'Analysis Data'!N17:U17)</f>
        <v>0.00173289354449798</v>
      </c>
      <c r="C17" s="15" t="n">
        <f aca="false">'Residual Diagnostics'!F17</f>
        <v>68.0370958929178</v>
      </c>
      <c r="D17" s="13" t="n">
        <f aca="false">C17/('Final Model'!$B$21*SQRT(1-B17))</f>
        <v>1.38880923621927</v>
      </c>
      <c r="E17" s="13" t="n">
        <f aca="false">D17*SQRT(('Final Model'!$B$24-1)/('Final Model'!$B$24-D17^2))</f>
        <v>1.38927785152646</v>
      </c>
      <c r="F17" s="23" t="n">
        <f aca="false">D17^2/($P$3+1)*B17/(1-B17)</f>
        <v>0.000418523962038449</v>
      </c>
      <c r="G17" s="13" t="n">
        <f aca="false">($P$2-1)*(B17-1/$P$2)</f>
        <v>1.4007790598512</v>
      </c>
      <c r="H17" s="13" t="n">
        <f aca="false">E17*SQRT(B17/(1-B17))</f>
        <v>0.0578830855007097</v>
      </c>
      <c r="I17" s="13" t="n">
        <f aca="false">ABS(D17)</f>
        <v>1.38880923621927</v>
      </c>
      <c r="J17" s="6" t="n">
        <f aca="false">IF(B17&gt;$P$4,1,0)</f>
        <v>0</v>
      </c>
      <c r="K17" s="6" t="n">
        <f aca="false">IF(F17&gt;$P$6,1,0)</f>
        <v>0</v>
      </c>
      <c r="L17" s="6" t="n">
        <f aca="false">IF(G17&gt;$P$9,1,0)</f>
        <v>0</v>
      </c>
      <c r="M17" s="6" t="n">
        <f aca="false">IF(ABS(H17)&gt;$P$8,1,0)</f>
        <v>0</v>
      </c>
      <c r="O17" s="8" t="s">
        <v>488</v>
      </c>
      <c r="P17" s="25" t="n">
        <f aca="false">SUM(M2:M1387)</f>
        <v>76</v>
      </c>
    </row>
    <row r="18" customFormat="false" ht="15" hidden="false" customHeight="false" outlineLevel="0" collapsed="false">
      <c r="A18" s="0" t="n">
        <f aca="false">ROW()-1</f>
        <v>17</v>
      </c>
      <c r="B18" s="22" t="n">
        <f aca="false">SUMPRODUCT(MMULT('Analysis Data'!N18:U18,'Final Model'!$B$59:$I$66),'Analysis Data'!N18:U18)</f>
        <v>0.002434698860178</v>
      </c>
      <c r="C18" s="15" t="n">
        <f aca="false">'Residual Diagnostics'!F18</f>
        <v>-50.0556937145101</v>
      </c>
      <c r="D18" s="13" t="n">
        <f aca="false">C18/('Final Model'!$B$21*SQRT(1-B18))</f>
        <v>-1.02212268271025</v>
      </c>
      <c r="E18" s="13" t="n">
        <f aca="false">D18*SQRT(('Final Model'!$B$24-1)/('Final Model'!$B$24-D18^2))</f>
        <v>-1.02213928603121</v>
      </c>
      <c r="F18" s="23" t="n">
        <f aca="false">D18^2/($P$3+1)*B18/(1-B18)</f>
        <v>0.000318727828083309</v>
      </c>
      <c r="G18" s="13" t="n">
        <f aca="false">($P$2-1)*(B18-1/$P$2)</f>
        <v>2.37277942206804</v>
      </c>
      <c r="H18" s="13" t="n">
        <f aca="false">E18*SQRT(B18/(1-B18))</f>
        <v>-0.0504965886350523</v>
      </c>
      <c r="I18" s="13" t="n">
        <f aca="false">ABS(D18)</f>
        <v>1.02212268271025</v>
      </c>
      <c r="J18" s="6" t="n">
        <f aca="false">IF(B18&gt;$P$4,1,0)</f>
        <v>0</v>
      </c>
      <c r="K18" s="6" t="n">
        <f aca="false">IF(F18&gt;$P$6,1,0)</f>
        <v>0</v>
      </c>
      <c r="L18" s="6" t="n">
        <f aca="false">IF(G18&gt;$P$9,1,0)</f>
        <v>0</v>
      </c>
      <c r="M18" s="6" t="n">
        <f aca="false">IF(ABS(H18)&gt;$P$8,1,0)</f>
        <v>0</v>
      </c>
      <c r="O18" s="8" t="s">
        <v>489</v>
      </c>
      <c r="P18" s="19" t="n">
        <f aca="false">MAX(F2:F1387)</f>
        <v>0.0231021216108048</v>
      </c>
    </row>
    <row r="19" customFormat="false" ht="15" hidden="false" customHeight="false" outlineLevel="0" collapsed="false">
      <c r="A19" s="0" t="n">
        <f aca="false">ROW()-1</f>
        <v>18</v>
      </c>
      <c r="B19" s="22" t="n">
        <f aca="false">SUMPRODUCT(MMULT('Analysis Data'!N19:U19,'Final Model'!$B$59:$I$66),'Analysis Data'!N19:U19)</f>
        <v>0.00235332006151604</v>
      </c>
      <c r="C19" s="15" t="n">
        <f aca="false">'Residual Diagnostics'!F19</f>
        <v>-42.6274996575614</v>
      </c>
      <c r="D19" s="13" t="n">
        <f aca="false">C19/('Final Model'!$B$21*SQRT(1-B19))</f>
        <v>-0.870405622158658</v>
      </c>
      <c r="E19" s="13" t="n">
        <f aca="false">D19*SQRT(('Final Model'!$B$24-1)/('Final Model'!$B$24-D19^2))</f>
        <v>-0.870329023285681</v>
      </c>
      <c r="F19" s="23" t="n">
        <f aca="false">D19^2/($P$3+1)*B19/(1-B19)</f>
        <v>0.000223386860029177</v>
      </c>
      <c r="G19" s="13" t="n">
        <f aca="false">($P$2-1)*(B19-1/$P$2)</f>
        <v>2.26006978592122</v>
      </c>
      <c r="H19" s="13" t="n">
        <f aca="false">E19*SQRT(B19/(1-B19))</f>
        <v>-0.0422703247246103</v>
      </c>
      <c r="I19" s="13" t="n">
        <f aca="false">ABS(D19)</f>
        <v>0.870405622158658</v>
      </c>
      <c r="J19" s="6" t="n">
        <f aca="false">IF(B19&gt;$P$4,1,0)</f>
        <v>0</v>
      </c>
      <c r="K19" s="6" t="n">
        <f aca="false">IF(F19&gt;$P$6,1,0)</f>
        <v>0</v>
      </c>
      <c r="L19" s="6" t="n">
        <f aca="false">IF(G19&gt;$P$9,1,0)</f>
        <v>0</v>
      </c>
      <c r="M19" s="6" t="n">
        <f aca="false">IF(ABS(H19)&gt;$P$8,1,0)</f>
        <v>0</v>
      </c>
      <c r="O19" s="8" t="s">
        <v>490</v>
      </c>
      <c r="P19" s="19" t="n">
        <f aca="false">MAX(B2:B1387)</f>
        <v>0.0719058949430416</v>
      </c>
    </row>
    <row r="20" customFormat="false" ht="15" hidden="false" customHeight="false" outlineLevel="0" collapsed="false">
      <c r="A20" s="0" t="n">
        <f aca="false">ROW()-1</f>
        <v>19</v>
      </c>
      <c r="B20" s="22" t="n">
        <f aca="false">SUMPRODUCT(MMULT('Analysis Data'!N20:U20,'Final Model'!$B$59:$I$66),'Analysis Data'!N20:U20)</f>
        <v>0.00235332006151604</v>
      </c>
      <c r="C20" s="15" t="n">
        <f aca="false">'Residual Diagnostics'!F20</f>
        <v>126.402033996195</v>
      </c>
      <c r="D20" s="13" t="n">
        <f aca="false">C20/('Final Model'!$B$21*SQRT(1-B20))</f>
        <v>2.58098743596053</v>
      </c>
      <c r="E20" s="13" t="n">
        <f aca="false">D20*SQRT(('Final Model'!$B$24-1)/('Final Model'!$B$24-D20^2))</f>
        <v>2.58630968132839</v>
      </c>
      <c r="F20" s="23" t="n">
        <f aca="false">D20^2/($P$3+1)*B20/(1-B20)</f>
        <v>0.00196420145929481</v>
      </c>
      <c r="G20" s="13" t="n">
        <f aca="false">($P$2-1)*(B20-1/$P$2)</f>
        <v>2.26006978592122</v>
      </c>
      <c r="H20" s="13" t="n">
        <f aca="false">E20*SQRT(B20/(1-B20))</f>
        <v>0.125612437530156</v>
      </c>
      <c r="I20" s="13" t="n">
        <f aca="false">ABS(D20)</f>
        <v>2.58098743596053</v>
      </c>
      <c r="J20" s="6" t="n">
        <f aca="false">IF(B20&gt;$P$4,1,0)</f>
        <v>0</v>
      </c>
      <c r="K20" s="6" t="n">
        <f aca="false">IF(F20&gt;$P$6,1,0)</f>
        <v>0</v>
      </c>
      <c r="L20" s="6" t="n">
        <f aca="false">IF(G20&gt;$P$9,1,0)</f>
        <v>0</v>
      </c>
      <c r="M20" s="6" t="n">
        <f aca="false">IF(ABS(H20)&gt;$P$8,1,0)</f>
        <v>0</v>
      </c>
    </row>
    <row r="21" customFormat="false" ht="91" hidden="false" customHeight="false" outlineLevel="0" collapsed="false">
      <c r="A21" s="0" t="n">
        <f aca="false">ROW()-1</f>
        <v>20</v>
      </c>
      <c r="B21" s="22" t="n">
        <f aca="false">SUMPRODUCT(MMULT('Analysis Data'!N21:U21,'Final Model'!$B$59:$I$66),'Analysis Data'!N21:U21)</f>
        <v>0.00235332006151604</v>
      </c>
      <c r="C21" s="15" t="n">
        <f aca="false">'Residual Diagnostics'!F21</f>
        <v>-77.0727620427543</v>
      </c>
      <c r="D21" s="13" t="n">
        <f aca="false">C21/('Final Model'!$B$21*SQRT(1-B21))</f>
        <v>-1.57373915749736</v>
      </c>
      <c r="E21" s="13" t="n">
        <f aca="false">D21*SQRT(('Final Model'!$B$24-1)/('Final Model'!$B$24-D21^2))</f>
        <v>-1.5745836529238</v>
      </c>
      <c r="F21" s="23" t="n">
        <f aca="false">D21^2/($P$3+1)*B21/(1-B21)</f>
        <v>0.000730263762608518</v>
      </c>
      <c r="G21" s="13" t="n">
        <f aca="false">($P$2-1)*(B21-1/$P$2)</f>
        <v>2.26006978592122</v>
      </c>
      <c r="H21" s="13" t="n">
        <f aca="false">E21*SQRT(B21/(1-B21))</f>
        <v>-0.0764747130503363</v>
      </c>
      <c r="I21" s="13" t="n">
        <f aca="false">ABS(D21)</f>
        <v>1.57373915749736</v>
      </c>
      <c r="J21" s="6" t="n">
        <f aca="false">IF(B21&gt;$P$4,1,0)</f>
        <v>0</v>
      </c>
      <c r="K21" s="6" t="n">
        <f aca="false">IF(F21&gt;$P$6,1,0)</f>
        <v>0</v>
      </c>
      <c r="L21" s="6" t="n">
        <f aca="false">IF(G21&gt;$P$9,1,0)</f>
        <v>0</v>
      </c>
      <c r="M21" s="6" t="n">
        <f aca="false">IF(ABS(H21)&gt;$P$8,1,0)</f>
        <v>0</v>
      </c>
      <c r="O21" s="3" t="s">
        <v>491</v>
      </c>
    </row>
    <row r="22" customFormat="false" ht="15" hidden="false" customHeight="false" outlineLevel="0" collapsed="false">
      <c r="A22" s="0" t="n">
        <f aca="false">ROW()-1</f>
        <v>21</v>
      </c>
      <c r="B22" s="22" t="n">
        <f aca="false">SUMPRODUCT(MMULT('Analysis Data'!N22:U22,'Final Model'!$B$59:$I$66),'Analysis Data'!N22:U22)</f>
        <v>0.00170220062001732</v>
      </c>
      <c r="C22" s="15" t="n">
        <f aca="false">'Residual Diagnostics'!F22</f>
        <v>52.1929183156082</v>
      </c>
      <c r="D22" s="13" t="n">
        <f aca="false">C22/('Final Model'!$B$21*SQRT(1-B22))</f>
        <v>1.06537311391038</v>
      </c>
      <c r="E22" s="13" t="n">
        <f aca="false">D22*SQRT(('Final Model'!$B$24-1)/('Final Model'!$B$24-D22^2))</f>
        <v>1.06542534961143</v>
      </c>
      <c r="F22" s="23" t="n">
        <f aca="false">D22^2/($P$3+1)*B22/(1-B22)</f>
        <v>0.000241915730304028</v>
      </c>
      <c r="G22" s="13" t="n">
        <f aca="false">($P$2-1)*(B22-1/$P$2)</f>
        <v>1.35826935944549</v>
      </c>
      <c r="H22" s="13" t="n">
        <f aca="false">E22*SQRT(B22/(1-B22))</f>
        <v>0.0439944954147465</v>
      </c>
      <c r="I22" s="13" t="n">
        <f aca="false">ABS(D22)</f>
        <v>1.06537311391038</v>
      </c>
      <c r="J22" s="6" t="n">
        <f aca="false">IF(B22&gt;$P$4,1,0)</f>
        <v>0</v>
      </c>
      <c r="K22" s="6" t="n">
        <f aca="false">IF(F22&gt;$P$6,1,0)</f>
        <v>0</v>
      </c>
      <c r="L22" s="6" t="n">
        <f aca="false">IF(G22&gt;$P$9,1,0)</f>
        <v>0</v>
      </c>
      <c r="M22" s="6" t="n">
        <f aca="false">IF(ABS(H22)&gt;$P$8,1,0)</f>
        <v>0</v>
      </c>
    </row>
    <row r="23" customFormat="false" ht="15" hidden="false" customHeight="false" outlineLevel="0" collapsed="false">
      <c r="A23" s="0" t="n">
        <f aca="false">ROW()-1</f>
        <v>22</v>
      </c>
      <c r="B23" s="22" t="n">
        <f aca="false">SUMPRODUCT(MMULT('Analysis Data'!N23:U23,'Final Model'!$B$59:$I$66),'Analysis Data'!N23:U23)</f>
        <v>0.00170220062001732</v>
      </c>
      <c r="C23" s="15" t="n">
        <f aca="false">'Residual Diagnostics'!F23</f>
        <v>1.99254211608613</v>
      </c>
      <c r="D23" s="13" t="n">
        <f aca="false">C23/('Final Model'!$B$21*SQRT(1-B23))</f>
        <v>0.0406721997412709</v>
      </c>
      <c r="E23" s="13" t="n">
        <f aca="false">D23*SQRT(('Final Model'!$B$24-1)/('Final Model'!$B$24-D23^2))</f>
        <v>0.0406574637744576</v>
      </c>
      <c r="F23" s="23" t="n">
        <f aca="false">D23^2/($P$3+1)*B23/(1-B23)</f>
        <v>3.52578614652639E-007</v>
      </c>
      <c r="G23" s="13" t="n">
        <f aca="false">($P$2-1)*(B23-1/$P$2)</f>
        <v>1.35826935944549</v>
      </c>
      <c r="H23" s="13" t="n">
        <f aca="false">E23*SQRT(B23/(1-B23))</f>
        <v>0.00167886431860567</v>
      </c>
      <c r="I23" s="13" t="n">
        <f aca="false">ABS(D23)</f>
        <v>0.0406721997412709</v>
      </c>
      <c r="J23" s="6" t="n">
        <f aca="false">IF(B23&gt;$P$4,1,0)</f>
        <v>0</v>
      </c>
      <c r="K23" s="6" t="n">
        <f aca="false">IF(F23&gt;$P$6,1,0)</f>
        <v>0</v>
      </c>
      <c r="L23" s="6" t="n">
        <f aca="false">IF(G23&gt;$P$9,1,0)</f>
        <v>0</v>
      </c>
      <c r="M23" s="6" t="n">
        <f aca="false">IF(ABS(H23)&gt;$P$8,1,0)</f>
        <v>0</v>
      </c>
    </row>
    <row r="24" customFormat="false" ht="15" hidden="false" customHeight="false" outlineLevel="0" collapsed="false">
      <c r="A24" s="0" t="n">
        <f aca="false">ROW()-1</f>
        <v>23</v>
      </c>
      <c r="B24" s="22" t="n">
        <f aca="false">SUMPRODUCT(MMULT('Analysis Data'!N24:U24,'Final Model'!$B$59:$I$66),'Analysis Data'!N24:U24)</f>
        <v>0.00296571840885044</v>
      </c>
      <c r="C24" s="15" t="n">
        <f aca="false">'Residual Diagnostics'!F24</f>
        <v>-27.0972374107294</v>
      </c>
      <c r="D24" s="13" t="n">
        <f aca="false">C24/('Final Model'!$B$21*SQRT(1-B24))</f>
        <v>-0.55346502220785</v>
      </c>
      <c r="E24" s="13" t="n">
        <f aca="false">D24*SQRT(('Final Model'!$B$24-1)/('Final Model'!$B$24-D24^2))</f>
        <v>-0.553325668297639</v>
      </c>
      <c r="F24" s="23" t="n">
        <f aca="false">D24^2/($P$3+1)*B24/(1-B24)</f>
        <v>0.000113896451600712</v>
      </c>
      <c r="G24" s="13" t="n">
        <f aca="false">($P$2-1)*(B24-1/$P$2)</f>
        <v>3.10824149697936</v>
      </c>
      <c r="H24" s="13" t="n">
        <f aca="false">E24*SQRT(B24/(1-B24))</f>
        <v>-0.0301780190337937</v>
      </c>
      <c r="I24" s="13" t="n">
        <f aca="false">ABS(D24)</f>
        <v>0.55346502220785</v>
      </c>
      <c r="J24" s="6" t="n">
        <f aca="false">IF(B24&gt;$P$4,1,0)</f>
        <v>0</v>
      </c>
      <c r="K24" s="6" t="n">
        <f aca="false">IF(F24&gt;$P$6,1,0)</f>
        <v>0</v>
      </c>
      <c r="L24" s="6" t="n">
        <f aca="false">IF(G24&gt;$P$9,1,0)</f>
        <v>0</v>
      </c>
      <c r="M24" s="6" t="n">
        <f aca="false">IF(ABS(H24)&gt;$P$8,1,0)</f>
        <v>0</v>
      </c>
    </row>
    <row r="25" customFormat="false" ht="15" hidden="false" customHeight="false" outlineLevel="0" collapsed="false">
      <c r="A25" s="0" t="n">
        <f aca="false">ROW()-1</f>
        <v>24</v>
      </c>
      <c r="B25" s="22" t="n">
        <f aca="false">SUMPRODUCT(MMULT('Analysis Data'!N25:U25,'Final Model'!$B$59:$I$66),'Analysis Data'!N25:U25)</f>
        <v>0.00187254113686294</v>
      </c>
      <c r="C25" s="15" t="n">
        <f aca="false">'Residual Diagnostics'!F25</f>
        <v>29.1260927008779</v>
      </c>
      <c r="D25" s="13" t="n">
        <f aca="false">C25/('Final Model'!$B$21*SQRT(1-B25))</f>
        <v>0.594578819691564</v>
      </c>
      <c r="E25" s="13" t="n">
        <f aca="false">D25*SQRT(('Final Model'!$B$24-1)/('Final Model'!$B$24-D25^2))</f>
        <v>0.594439296938726</v>
      </c>
      <c r="F25" s="23" t="n">
        <f aca="false">D25^2/($P$3+1)*B25/(1-B25)</f>
        <v>8.2903763455415E-005</v>
      </c>
      <c r="G25" s="13" t="n">
        <f aca="false">($P$2-1)*(B25-1/$P$2)</f>
        <v>1.59419097527668</v>
      </c>
      <c r="H25" s="13" t="n">
        <f aca="false">E25*SQRT(B25/(1-B25))</f>
        <v>0.0257472111012551</v>
      </c>
      <c r="I25" s="13" t="n">
        <f aca="false">ABS(D25)</f>
        <v>0.594578819691564</v>
      </c>
      <c r="J25" s="6" t="n">
        <f aca="false">IF(B25&gt;$P$4,1,0)</f>
        <v>0</v>
      </c>
      <c r="K25" s="6" t="n">
        <f aca="false">IF(F25&gt;$P$6,1,0)</f>
        <v>0</v>
      </c>
      <c r="L25" s="6" t="n">
        <f aca="false">IF(G25&gt;$P$9,1,0)</f>
        <v>0</v>
      </c>
      <c r="M25" s="6" t="n">
        <f aca="false">IF(ABS(H25)&gt;$P$8,1,0)</f>
        <v>0</v>
      </c>
    </row>
    <row r="26" customFormat="false" ht="15" hidden="false" customHeight="false" outlineLevel="0" collapsed="false">
      <c r="A26" s="0" t="n">
        <f aca="false">ROW()-1</f>
        <v>25</v>
      </c>
      <c r="B26" s="22" t="n">
        <f aca="false">SUMPRODUCT(MMULT('Analysis Data'!N26:U26,'Final Model'!$B$59:$I$66),'Analysis Data'!N26:U26)</f>
        <v>0.00176751795696155</v>
      </c>
      <c r="C26" s="15" t="n">
        <f aca="false">'Residual Diagnostics'!F26</f>
        <v>23.5079146811615</v>
      </c>
      <c r="D26" s="13" t="n">
        <f aca="false">C26/('Final Model'!$B$21*SQRT(1-B26))</f>
        <v>0.479864327098534</v>
      </c>
      <c r="E26" s="13" t="n">
        <f aca="false">D26*SQRT(('Final Model'!$B$24-1)/('Final Model'!$B$24-D26^2))</f>
        <v>0.479730263447247</v>
      </c>
      <c r="F26" s="23" t="n">
        <f aca="false">D26^2/($P$3+1)*B26/(1-B26)</f>
        <v>5.09658277283082E-005</v>
      </c>
      <c r="G26" s="13" t="n">
        <f aca="false">($P$2-1)*(B26-1/$P$2)</f>
        <v>1.44873387111325</v>
      </c>
      <c r="H26" s="13" t="n">
        <f aca="false">E26*SQRT(B26/(1-B26))</f>
        <v>0.0201866003516731</v>
      </c>
      <c r="I26" s="13" t="n">
        <f aca="false">ABS(D26)</f>
        <v>0.479864327098534</v>
      </c>
      <c r="J26" s="6" t="n">
        <f aca="false">IF(B26&gt;$P$4,1,0)</f>
        <v>0</v>
      </c>
      <c r="K26" s="6" t="n">
        <f aca="false">IF(F26&gt;$P$6,1,0)</f>
        <v>0</v>
      </c>
      <c r="L26" s="6" t="n">
        <f aca="false">IF(G26&gt;$P$9,1,0)</f>
        <v>0</v>
      </c>
      <c r="M26" s="6" t="n">
        <f aca="false">IF(ABS(H26)&gt;$P$8,1,0)</f>
        <v>0</v>
      </c>
    </row>
    <row r="27" customFormat="false" ht="15" hidden="false" customHeight="false" outlineLevel="0" collapsed="false">
      <c r="A27" s="0" t="n">
        <f aca="false">ROW()-1</f>
        <v>26</v>
      </c>
      <c r="B27" s="22" t="n">
        <f aca="false">SUMPRODUCT(MMULT('Analysis Data'!N27:U27,'Final Model'!$B$59:$I$66),'Analysis Data'!N27:U27)</f>
        <v>0.00168841088654735</v>
      </c>
      <c r="C27" s="15" t="n">
        <f aca="false">'Residual Diagnostics'!F27</f>
        <v>15.1084822106039</v>
      </c>
      <c r="D27" s="13" t="n">
        <f aca="false">C27/('Final Model'!$B$21*SQRT(1-B27))</f>
        <v>0.308395469914215</v>
      </c>
      <c r="E27" s="13" t="n">
        <f aca="false">D27*SQRT(('Final Model'!$B$24-1)/('Final Model'!$B$24-D27^2))</f>
        <v>0.308294189158573</v>
      </c>
      <c r="F27" s="23" t="n">
        <f aca="false">D27^2/($P$3+1)*B27/(1-B27)</f>
        <v>2.01065715642345E-005</v>
      </c>
      <c r="G27" s="13" t="n">
        <f aca="false">($P$2-1)*(B27-1/$P$2)</f>
        <v>1.33917057858957</v>
      </c>
      <c r="H27" s="13" t="n">
        <f aca="false">E27*SQRT(B27/(1-B27))</f>
        <v>0.0126786015810349</v>
      </c>
      <c r="I27" s="13" t="n">
        <f aca="false">ABS(D27)</f>
        <v>0.308395469914215</v>
      </c>
      <c r="J27" s="6" t="n">
        <f aca="false">IF(B27&gt;$P$4,1,0)</f>
        <v>0</v>
      </c>
      <c r="K27" s="6" t="n">
        <f aca="false">IF(F27&gt;$P$6,1,0)</f>
        <v>0</v>
      </c>
      <c r="L27" s="6" t="n">
        <f aca="false">IF(G27&gt;$P$9,1,0)</f>
        <v>0</v>
      </c>
      <c r="M27" s="6" t="n">
        <f aca="false">IF(ABS(H27)&gt;$P$8,1,0)</f>
        <v>0</v>
      </c>
    </row>
    <row r="28" customFormat="false" ht="15" hidden="false" customHeight="false" outlineLevel="0" collapsed="false">
      <c r="A28" s="0" t="n">
        <f aca="false">ROW()-1</f>
        <v>27</v>
      </c>
      <c r="B28" s="22" t="n">
        <f aca="false">SUMPRODUCT(MMULT('Analysis Data'!N28:U28,'Final Model'!$B$59:$I$66),'Analysis Data'!N28:U28)</f>
        <v>0.00172268402296859</v>
      </c>
      <c r="C28" s="15" t="n">
        <f aca="false">'Residual Diagnostics'!F28</f>
        <v>-55.7253502177731</v>
      </c>
      <c r="D28" s="13" t="n">
        <f aca="false">C28/('Final Model'!$B$21*SQRT(1-B28))</f>
        <v>-1.1374895460853</v>
      </c>
      <c r="E28" s="13" t="n">
        <f aca="false">D28*SQRT(('Final Model'!$B$24-1)/('Final Model'!$B$24-D28^2))</f>
        <v>-1.1376109483193</v>
      </c>
      <c r="F28" s="23" t="n">
        <f aca="false">D28^2/($P$3+1)*B28/(1-B28)</f>
        <v>0.000279099632262446</v>
      </c>
      <c r="G28" s="13" t="n">
        <f aca="false">($P$2-1)*(B28-1/$P$2)</f>
        <v>1.386638872533</v>
      </c>
      <c r="H28" s="13" t="n">
        <f aca="false">E28*SQRT(B28/(1-B28))</f>
        <v>-0.0472575252043776</v>
      </c>
      <c r="I28" s="13" t="n">
        <f aca="false">ABS(D28)</f>
        <v>1.1374895460853</v>
      </c>
      <c r="J28" s="6" t="n">
        <f aca="false">IF(B28&gt;$P$4,1,0)</f>
        <v>0</v>
      </c>
      <c r="K28" s="6" t="n">
        <f aca="false">IF(F28&gt;$P$6,1,0)</f>
        <v>0</v>
      </c>
      <c r="L28" s="6" t="n">
        <f aca="false">IF(G28&gt;$P$9,1,0)</f>
        <v>0</v>
      </c>
      <c r="M28" s="6" t="n">
        <f aca="false">IF(ABS(H28)&gt;$P$8,1,0)</f>
        <v>0</v>
      </c>
    </row>
    <row r="29" customFormat="false" ht="15" hidden="false" customHeight="false" outlineLevel="0" collapsed="false">
      <c r="A29" s="0" t="n">
        <f aca="false">ROW()-1</f>
        <v>28</v>
      </c>
      <c r="B29" s="22" t="n">
        <f aca="false">SUMPRODUCT(MMULT('Analysis Data'!N29:U29,'Final Model'!$B$59:$I$66),'Analysis Data'!N29:U29)</f>
        <v>0.0599094189128933</v>
      </c>
      <c r="C29" s="15" t="n">
        <f aca="false">'Residual Diagnostics'!F29</f>
        <v>19.9790892865263</v>
      </c>
      <c r="D29" s="13" t="n">
        <f aca="false">C29/('Final Model'!$B$21*SQRT(1-B29))</f>
        <v>0.420253216243889</v>
      </c>
      <c r="E29" s="13" t="n">
        <f aca="false">D29*SQRT(('Final Model'!$B$24-1)/('Final Model'!$B$24-D29^2))</f>
        <v>0.420127625820214</v>
      </c>
      <c r="F29" s="23" t="n">
        <f aca="false">D29^2/($P$3+1)*B29/(1-B29)</f>
        <v>0.0014068814726934</v>
      </c>
      <c r="G29" s="13" t="n">
        <f aca="false">($P$2-1)*(B29-1/$P$2)</f>
        <v>81.9752666950787</v>
      </c>
      <c r="H29" s="13" t="n">
        <f aca="false">E29*SQRT(B29/(1-B29))</f>
        <v>0.106058124454386</v>
      </c>
      <c r="I29" s="13" t="n">
        <f aca="false">ABS(D29)</f>
        <v>0.420253216243889</v>
      </c>
      <c r="J29" s="6" t="n">
        <f aca="false">IF(B29&gt;$P$4,1,0)</f>
        <v>1</v>
      </c>
      <c r="K29" s="6" t="n">
        <f aca="false">IF(F29&gt;$P$6,1,0)</f>
        <v>0</v>
      </c>
      <c r="L29" s="6" t="n">
        <f aca="false">IF(G29&gt;$P$9,1,0)</f>
        <v>1</v>
      </c>
      <c r="M29" s="6" t="n">
        <f aca="false">IF(ABS(H29)&gt;$P$8,1,0)</f>
        <v>0</v>
      </c>
    </row>
    <row r="30" customFormat="false" ht="15" hidden="false" customHeight="false" outlineLevel="0" collapsed="false">
      <c r="A30" s="0" t="n">
        <f aca="false">ROW()-1</f>
        <v>29</v>
      </c>
      <c r="B30" s="22" t="n">
        <f aca="false">SUMPRODUCT(MMULT('Analysis Data'!N30:U30,'Final Model'!$B$59:$I$66),'Analysis Data'!N30:U30)</f>
        <v>0.0597611490362249</v>
      </c>
      <c r="C30" s="15" t="n">
        <f aca="false">'Residual Diagnostics'!F30</f>
        <v>36.9397224265298</v>
      </c>
      <c r="D30" s="13" t="n">
        <f aca="false">C30/('Final Model'!$B$21*SQRT(1-B30))</f>
        <v>0.776952986369852</v>
      </c>
      <c r="E30" s="13" t="n">
        <f aca="false">D30*SQRT(('Final Model'!$B$24-1)/('Final Model'!$B$24-D30^2))</f>
        <v>0.776841194707417</v>
      </c>
      <c r="F30" s="23" t="n">
        <f aca="false">D30^2/($P$3+1)*B30/(1-B30)</f>
        <v>0.00479601177150128</v>
      </c>
      <c r="G30" s="13" t="n">
        <f aca="false">($P$2-1)*(B30-1/$P$2)</f>
        <v>81.7699129158931</v>
      </c>
      <c r="H30" s="13" t="n">
        <f aca="false">E30*SQRT(B30/(1-B30))</f>
        <v>0.195849569316375</v>
      </c>
      <c r="I30" s="13" t="n">
        <f aca="false">ABS(D30)</f>
        <v>0.776952986369852</v>
      </c>
      <c r="J30" s="6" t="n">
        <f aca="false">IF(B30&gt;$P$4,1,0)</f>
        <v>1</v>
      </c>
      <c r="K30" s="6" t="n">
        <f aca="false">IF(F30&gt;$P$6,1,0)</f>
        <v>1</v>
      </c>
      <c r="L30" s="6" t="n">
        <f aca="false">IF(G30&gt;$P$9,1,0)</f>
        <v>1</v>
      </c>
      <c r="M30" s="6" t="n">
        <f aca="false">IF(ABS(H30)&gt;$P$8,1,0)</f>
        <v>1</v>
      </c>
    </row>
    <row r="31" customFormat="false" ht="15" hidden="false" customHeight="false" outlineLevel="0" collapsed="false">
      <c r="A31" s="0" t="n">
        <f aca="false">ROW()-1</f>
        <v>30</v>
      </c>
      <c r="B31" s="22" t="n">
        <f aca="false">SUMPRODUCT(MMULT('Analysis Data'!N31:U31,'Final Model'!$B$59:$I$66),'Analysis Data'!N31:U31)</f>
        <v>0.0598558385863651</v>
      </c>
      <c r="C31" s="15" t="n">
        <f aca="false">'Residual Diagnostics'!F31</f>
        <v>-40.7090624425061</v>
      </c>
      <c r="D31" s="13" t="n">
        <f aca="false">C31/('Final Model'!$B$21*SQRT(1-B31))</f>
        <v>-0.85627661301164</v>
      </c>
      <c r="E31" s="13" t="n">
        <f aca="false">D31*SQRT(('Final Model'!$B$24-1)/('Final Model'!$B$24-D31^2))</f>
        <v>-0.856193674319833</v>
      </c>
      <c r="F31" s="23" t="n">
        <f aca="false">D31^2/($P$3+1)*B31/(1-B31)</f>
        <v>0.00583512608262489</v>
      </c>
      <c r="G31" s="13" t="n">
        <f aca="false">($P$2-1)*(B31-1/$P$2)</f>
        <v>81.9010579428371</v>
      </c>
      <c r="H31" s="13" t="n">
        <f aca="false">E31*SQRT(B31/(1-B31))</f>
        <v>-0.216036955362741</v>
      </c>
      <c r="I31" s="13" t="n">
        <f aca="false">ABS(D31)</f>
        <v>0.85627661301164</v>
      </c>
      <c r="J31" s="6" t="n">
        <f aca="false">IF(B31&gt;$P$4,1,0)</f>
        <v>1</v>
      </c>
      <c r="K31" s="6" t="n">
        <f aca="false">IF(F31&gt;$P$6,1,0)</f>
        <v>1</v>
      </c>
      <c r="L31" s="6" t="n">
        <f aca="false">IF(G31&gt;$P$9,1,0)</f>
        <v>1</v>
      </c>
      <c r="M31" s="6" t="n">
        <f aca="false">IF(ABS(H31)&gt;$P$8,1,0)</f>
        <v>1</v>
      </c>
    </row>
    <row r="32" customFormat="false" ht="15" hidden="false" customHeight="false" outlineLevel="0" collapsed="false">
      <c r="A32" s="0" t="n">
        <f aca="false">ROW()-1</f>
        <v>31</v>
      </c>
      <c r="B32" s="22" t="n">
        <f aca="false">SUMPRODUCT(MMULT('Analysis Data'!N32:U32,'Final Model'!$B$59:$I$66),'Analysis Data'!N32:U32)</f>
        <v>0.0603337698741423</v>
      </c>
      <c r="C32" s="15" t="n">
        <f aca="false">'Residual Diagnostics'!F32</f>
        <v>-71.0204284941676</v>
      </c>
      <c r="D32" s="13" t="n">
        <f aca="false">C32/('Final Model'!$B$21*SQRT(1-B32))</f>
        <v>-1.4942273705394</v>
      </c>
      <c r="E32" s="13" t="n">
        <f aca="false">D32*SQRT(('Final Model'!$B$24-1)/('Final Model'!$B$24-D32^2))</f>
        <v>-1.49489664969022</v>
      </c>
      <c r="F32" s="23" t="n">
        <f aca="false">D32^2/($P$3+1)*B32/(1-B32)</f>
        <v>0.0179196792067055</v>
      </c>
      <c r="G32" s="13" t="n">
        <f aca="false">($P$2-1)*(B32-1/$P$2)</f>
        <v>82.5629927764086</v>
      </c>
      <c r="H32" s="13" t="n">
        <f aca="false">E32*SQRT(B32/(1-B32))</f>
        <v>-0.378795307291972</v>
      </c>
      <c r="I32" s="13" t="n">
        <f aca="false">ABS(D32)</f>
        <v>1.4942273705394</v>
      </c>
      <c r="J32" s="6" t="n">
        <f aca="false">IF(B32&gt;$P$4,1,0)</f>
        <v>1</v>
      </c>
      <c r="K32" s="6" t="n">
        <f aca="false">IF(F32&gt;$P$6,1,0)</f>
        <v>1</v>
      </c>
      <c r="L32" s="6" t="n">
        <f aca="false">IF(G32&gt;$P$9,1,0)</f>
        <v>1</v>
      </c>
      <c r="M32" s="6" t="n">
        <f aca="false">IF(ABS(H32)&gt;$P$8,1,0)</f>
        <v>1</v>
      </c>
    </row>
    <row r="33" customFormat="false" ht="15" hidden="false" customHeight="false" outlineLevel="0" collapsed="false">
      <c r="A33" s="0" t="n">
        <f aca="false">ROW()-1</f>
        <v>32</v>
      </c>
      <c r="B33" s="22" t="n">
        <f aca="false">SUMPRODUCT(MMULT('Analysis Data'!N33:U33,'Final Model'!$B$59:$I$66),'Analysis Data'!N33:U33)</f>
        <v>0.0592368701268321</v>
      </c>
      <c r="C33" s="15" t="n">
        <f aca="false">'Residual Diagnostics'!F33</f>
        <v>12.6420457236047</v>
      </c>
      <c r="D33" s="13" t="n">
        <f aca="false">C33/('Final Model'!$B$21*SQRT(1-B33))</f>
        <v>0.265825978624203</v>
      </c>
      <c r="E33" s="13" t="n">
        <f aca="false">D33*SQRT(('Final Model'!$B$24-1)/('Final Model'!$B$24-D33^2))</f>
        <v>0.265736321100006</v>
      </c>
      <c r="F33" s="23" t="n">
        <f aca="false">D33^2/($P$3+1)*B33/(1-B33)</f>
        <v>0.000556181669359683</v>
      </c>
      <c r="G33" s="13" t="n">
        <f aca="false">($P$2-1)*(B33-1/$P$2)</f>
        <v>81.043786626384</v>
      </c>
      <c r="H33" s="13" t="n">
        <f aca="false">E33*SQRT(B33/(1-B33))</f>
        <v>0.0666817249817823</v>
      </c>
      <c r="I33" s="13" t="n">
        <f aca="false">ABS(D33)</f>
        <v>0.265825978624203</v>
      </c>
      <c r="J33" s="6" t="n">
        <f aca="false">IF(B33&gt;$P$4,1,0)</f>
        <v>1</v>
      </c>
      <c r="K33" s="6" t="n">
        <f aca="false">IF(F33&gt;$P$6,1,0)</f>
        <v>0</v>
      </c>
      <c r="L33" s="6" t="n">
        <f aca="false">IF(G33&gt;$P$9,1,0)</f>
        <v>1</v>
      </c>
      <c r="M33" s="6" t="n">
        <f aca="false">IF(ABS(H33)&gt;$P$8,1,0)</f>
        <v>0</v>
      </c>
    </row>
    <row r="34" customFormat="false" ht="15" hidden="false" customHeight="false" outlineLevel="0" collapsed="false">
      <c r="A34" s="0" t="n">
        <f aca="false">ROW()-1</f>
        <v>33</v>
      </c>
      <c r="B34" s="22" t="n">
        <f aca="false">SUMPRODUCT(MMULT('Analysis Data'!N34:U34,'Final Model'!$B$59:$I$66),'Analysis Data'!N34:U34)</f>
        <v>0.00192738190499505</v>
      </c>
      <c r="C34" s="15" t="n">
        <f aca="false">'Residual Diagnostics'!F34</f>
        <v>-24.6029777506079</v>
      </c>
      <c r="D34" s="13" t="n">
        <f aca="false">C34/('Final Model'!$B$21*SQRT(1-B34))</f>
        <v>-0.502257941282204</v>
      </c>
      <c r="E34" s="13" t="n">
        <f aca="false">D34*SQRT(('Final Model'!$B$24-1)/('Final Model'!$B$24-D34^2))</f>
        <v>-0.502121629029222</v>
      </c>
      <c r="F34" s="23" t="n">
        <f aca="false">D34^2/($P$3+1)*B34/(1-B34)</f>
        <v>6.08932668040169E-005</v>
      </c>
      <c r="G34" s="13" t="n">
        <f aca="false">($P$2-1)*(B34-1/$P$2)</f>
        <v>1.67014543913964</v>
      </c>
      <c r="H34" s="13" t="n">
        <f aca="false">E34*SQRT(B34/(1-B34))</f>
        <v>-0.0220653970837507</v>
      </c>
      <c r="I34" s="13" t="n">
        <f aca="false">ABS(D34)</f>
        <v>0.502257941282204</v>
      </c>
      <c r="J34" s="6" t="n">
        <f aca="false">IF(B34&gt;$P$4,1,0)</f>
        <v>0</v>
      </c>
      <c r="K34" s="6" t="n">
        <f aca="false">IF(F34&gt;$P$6,1,0)</f>
        <v>0</v>
      </c>
      <c r="L34" s="6" t="n">
        <f aca="false">IF(G34&gt;$P$9,1,0)</f>
        <v>0</v>
      </c>
      <c r="M34" s="6" t="n">
        <f aca="false">IF(ABS(H34)&gt;$P$8,1,0)</f>
        <v>0</v>
      </c>
    </row>
    <row r="35" customFormat="false" ht="15" hidden="false" customHeight="false" outlineLevel="0" collapsed="false">
      <c r="A35" s="0" t="n">
        <f aca="false">ROW()-1</f>
        <v>34</v>
      </c>
      <c r="B35" s="22" t="n">
        <f aca="false">SUMPRODUCT(MMULT('Analysis Data'!N35:U35,'Final Model'!$B$59:$I$66),'Analysis Data'!N35:U35)</f>
        <v>0.0123979397360472</v>
      </c>
      <c r="C35" s="15" t="n">
        <f aca="false">'Residual Diagnostics'!F35</f>
        <v>53.1357503495136</v>
      </c>
      <c r="D35" s="13" t="n">
        <f aca="false">C35/('Final Model'!$B$21*SQRT(1-B35))</f>
        <v>1.09047580217354</v>
      </c>
      <c r="E35" s="13" t="n">
        <f aca="false">D35*SQRT(('Final Model'!$B$24-1)/('Final Model'!$B$24-D35^2))</f>
        <v>1.09055070089881</v>
      </c>
      <c r="F35" s="23" t="n">
        <f aca="false">D35^2/($P$3+1)*B35/(1-B35)</f>
        <v>0.0018659912918959</v>
      </c>
      <c r="G35" s="13" t="n">
        <f aca="false">($P$2-1)*(B35-1/$P$2)</f>
        <v>16.1718680351469</v>
      </c>
      <c r="H35" s="13" t="n">
        <f aca="false">E35*SQRT(B35/(1-B35))</f>
        <v>0.122188301562837</v>
      </c>
      <c r="I35" s="13" t="n">
        <f aca="false">ABS(D35)</f>
        <v>1.09047580217354</v>
      </c>
      <c r="J35" s="6" t="n">
        <f aca="false">IF(B35&gt;$P$4,1,0)</f>
        <v>1</v>
      </c>
      <c r="K35" s="6" t="n">
        <f aca="false">IF(F35&gt;$P$6,1,0)</f>
        <v>0</v>
      </c>
      <c r="L35" s="6" t="n">
        <f aca="false">IF(G35&gt;$P$9,1,0)</f>
        <v>1</v>
      </c>
      <c r="M35" s="6" t="n">
        <f aca="false">IF(ABS(H35)&gt;$P$8,1,0)</f>
        <v>0</v>
      </c>
    </row>
    <row r="36" customFormat="false" ht="15" hidden="false" customHeight="false" outlineLevel="0" collapsed="false">
      <c r="A36" s="0" t="n">
        <f aca="false">ROW()-1</f>
        <v>35</v>
      </c>
      <c r="B36" s="22" t="n">
        <f aca="false">SUMPRODUCT(MMULT('Analysis Data'!N36:U36,'Final Model'!$B$59:$I$66),'Analysis Data'!N36:U36)</f>
        <v>0.0120979524011802</v>
      </c>
      <c r="C36" s="15" t="n">
        <f aca="false">'Residual Diagnostics'!F36</f>
        <v>-18.5518843337174</v>
      </c>
      <c r="D36" s="13" t="n">
        <f aca="false">C36/('Final Model'!$B$21*SQRT(1-B36))</f>
        <v>-0.380672315633179</v>
      </c>
      <c r="E36" s="13" t="n">
        <f aca="false">D36*SQRT(('Final Model'!$B$24-1)/('Final Model'!$B$24-D36^2))</f>
        <v>-0.380554175825356</v>
      </c>
      <c r="F36" s="23" t="n">
        <f aca="false">D36^2/($P$3+1)*B36/(1-B36)</f>
        <v>0.000221825049316433</v>
      </c>
      <c r="G36" s="13" t="n">
        <f aca="false">($P$2-1)*(B36-1/$P$2)</f>
        <v>15.7563855763561</v>
      </c>
      <c r="H36" s="13" t="n">
        <f aca="false">E36*SQRT(B36/(1-B36))</f>
        <v>-0.0421129325527281</v>
      </c>
      <c r="I36" s="13" t="n">
        <f aca="false">ABS(D36)</f>
        <v>0.380672315633179</v>
      </c>
      <c r="J36" s="6" t="n">
        <f aca="false">IF(B36&gt;$P$4,1,0)</f>
        <v>1</v>
      </c>
      <c r="K36" s="6" t="n">
        <f aca="false">IF(F36&gt;$P$6,1,0)</f>
        <v>0</v>
      </c>
      <c r="L36" s="6" t="n">
        <f aca="false">IF(G36&gt;$P$9,1,0)</f>
        <v>1</v>
      </c>
      <c r="M36" s="6" t="n">
        <f aca="false">IF(ABS(H36)&gt;$P$8,1,0)</f>
        <v>0</v>
      </c>
    </row>
    <row r="37" customFormat="false" ht="15" hidden="false" customHeight="false" outlineLevel="0" collapsed="false">
      <c r="A37" s="0" t="n">
        <f aca="false">ROW()-1</f>
        <v>36</v>
      </c>
      <c r="B37" s="22" t="n">
        <f aca="false">SUMPRODUCT(MMULT('Analysis Data'!N37:U37,'Final Model'!$B$59:$I$66),'Analysis Data'!N37:U37)</f>
        <v>0.00175064183851551</v>
      </c>
      <c r="C37" s="15" t="n">
        <f aca="false">'Residual Diagnostics'!F37</f>
        <v>47.177232666311</v>
      </c>
      <c r="D37" s="13" t="n">
        <f aca="false">C37/('Final Model'!$B$21*SQRT(1-B37))</f>
        <v>0.963015220727819</v>
      </c>
      <c r="E37" s="13" t="n">
        <f aca="false">D37*SQRT(('Final Model'!$B$24-1)/('Final Model'!$B$24-D37^2))</f>
        <v>0.962989834466836</v>
      </c>
      <c r="F37" s="23" t="n">
        <f aca="false">D37^2/($P$3+1)*B37/(1-B37)</f>
        <v>0.000203298689670171</v>
      </c>
      <c r="G37" s="13" t="n">
        <f aca="false">($P$2-1)*(B37-1/$P$2)</f>
        <v>1.42536044706548</v>
      </c>
      <c r="H37" s="13" t="n">
        <f aca="false">E37*SQRT(B37/(1-B37))</f>
        <v>0.0403274567912647</v>
      </c>
      <c r="I37" s="13" t="n">
        <f aca="false">ABS(D37)</f>
        <v>0.963015220727819</v>
      </c>
      <c r="J37" s="6" t="n">
        <f aca="false">IF(B37&gt;$P$4,1,0)</f>
        <v>0</v>
      </c>
      <c r="K37" s="6" t="n">
        <f aca="false">IF(F37&gt;$P$6,1,0)</f>
        <v>0</v>
      </c>
      <c r="L37" s="6" t="n">
        <f aca="false">IF(G37&gt;$P$9,1,0)</f>
        <v>0</v>
      </c>
      <c r="M37" s="6" t="n">
        <f aca="false">IF(ABS(H37)&gt;$P$8,1,0)</f>
        <v>0</v>
      </c>
    </row>
    <row r="38" customFormat="false" ht="15" hidden="false" customHeight="false" outlineLevel="0" collapsed="false">
      <c r="A38" s="0" t="n">
        <f aca="false">ROW()-1</f>
        <v>37</v>
      </c>
      <c r="B38" s="22" t="n">
        <f aca="false">SUMPRODUCT(MMULT('Analysis Data'!N38:U38,'Final Model'!$B$59:$I$66),'Analysis Data'!N38:U38)</f>
        <v>0.00174051722567515</v>
      </c>
      <c r="C38" s="15" t="n">
        <f aca="false">'Residual Diagnostics'!F38</f>
        <v>34.0509487172168</v>
      </c>
      <c r="D38" s="13" t="n">
        <f aca="false">C38/('Final Model'!$B$21*SQRT(1-B38))</f>
        <v>0.69506865389817</v>
      </c>
      <c r="E38" s="13" t="n">
        <f aca="false">D38*SQRT(('Final Model'!$B$24-1)/('Final Model'!$B$24-D38^2))</f>
        <v>0.694938237894708</v>
      </c>
      <c r="F38" s="23" t="n">
        <f aca="false">D38^2/($P$3+1)*B38/(1-B38)</f>
        <v>0.000105293194219763</v>
      </c>
      <c r="G38" s="13" t="n">
        <f aca="false">($P$2-1)*(B38-1/$P$2)</f>
        <v>1.41133785828159</v>
      </c>
      <c r="H38" s="13" t="n">
        <f aca="false">E38*SQRT(B38/(1-B38))</f>
        <v>0.0290177442982982</v>
      </c>
      <c r="I38" s="13" t="n">
        <f aca="false">ABS(D38)</f>
        <v>0.69506865389817</v>
      </c>
      <c r="J38" s="6" t="n">
        <f aca="false">IF(B38&gt;$P$4,1,0)</f>
        <v>0</v>
      </c>
      <c r="K38" s="6" t="n">
        <f aca="false">IF(F38&gt;$P$6,1,0)</f>
        <v>0</v>
      </c>
      <c r="L38" s="6" t="n">
        <f aca="false">IF(G38&gt;$P$9,1,0)</f>
        <v>0</v>
      </c>
      <c r="M38" s="6" t="n">
        <f aca="false">IF(ABS(H38)&gt;$P$8,1,0)</f>
        <v>0</v>
      </c>
    </row>
    <row r="39" customFormat="false" ht="15" hidden="false" customHeight="false" outlineLevel="0" collapsed="false">
      <c r="A39" s="0" t="n">
        <f aca="false">ROW()-1</f>
        <v>38</v>
      </c>
      <c r="B39" s="22" t="n">
        <f aca="false">SUMPRODUCT(MMULT('Analysis Data'!N39:U39,'Final Model'!$B$59:$I$66),'Analysis Data'!N39:U39)</f>
        <v>0.0016839087522768</v>
      </c>
      <c r="C39" s="15" t="n">
        <f aca="false">'Residual Diagnostics'!F39</f>
        <v>44.0879755721959</v>
      </c>
      <c r="D39" s="13" t="n">
        <f aca="false">C39/('Final Model'!$B$21*SQRT(1-B39))</f>
        <v>0.899925028620311</v>
      </c>
      <c r="E39" s="13" t="n">
        <f aca="false">D39*SQRT(('Final Model'!$B$24-1)/('Final Model'!$B$24-D39^2))</f>
        <v>0.899862904627504</v>
      </c>
      <c r="F39" s="23" t="n">
        <f aca="false">D39^2/($P$3+1)*B39/(1-B39)</f>
        <v>0.000170754892893211</v>
      </c>
      <c r="G39" s="13" t="n">
        <f aca="false">($P$2-1)*(B39-1/$P$2)</f>
        <v>1.33293512262486</v>
      </c>
      <c r="H39" s="13" t="n">
        <f aca="false">E39*SQRT(B39/(1-B39))</f>
        <v>0.0369574153277707</v>
      </c>
      <c r="I39" s="13" t="n">
        <f aca="false">ABS(D39)</f>
        <v>0.899925028620311</v>
      </c>
      <c r="J39" s="6" t="n">
        <f aca="false">IF(B39&gt;$P$4,1,0)</f>
        <v>0</v>
      </c>
      <c r="K39" s="6" t="n">
        <f aca="false">IF(F39&gt;$P$6,1,0)</f>
        <v>0</v>
      </c>
      <c r="L39" s="6" t="n">
        <f aca="false">IF(G39&gt;$P$9,1,0)</f>
        <v>0</v>
      </c>
      <c r="M39" s="6" t="n">
        <f aca="false">IF(ABS(H39)&gt;$P$8,1,0)</f>
        <v>0</v>
      </c>
    </row>
    <row r="40" customFormat="false" ht="15" hidden="false" customHeight="false" outlineLevel="0" collapsed="false">
      <c r="A40" s="0" t="n">
        <f aca="false">ROW()-1</f>
        <v>39</v>
      </c>
      <c r="B40" s="22" t="n">
        <f aca="false">SUMPRODUCT(MMULT('Analysis Data'!N40:U40,'Final Model'!$B$59:$I$66),'Analysis Data'!N40:U40)</f>
        <v>0.0019273161857138</v>
      </c>
      <c r="C40" s="15" t="n">
        <f aca="false">'Residual Diagnostics'!F40</f>
        <v>-51.3538582165394</v>
      </c>
      <c r="D40" s="13" t="n">
        <f aca="false">C40/('Final Model'!$B$21*SQRT(1-B40))</f>
        <v>-1.04836424749108</v>
      </c>
      <c r="E40" s="13" t="n">
        <f aca="false">D40*SQRT(('Final Model'!$B$24-1)/('Final Model'!$B$24-D40^2))</f>
        <v>-1.04840196155408</v>
      </c>
      <c r="F40" s="23" t="n">
        <f aca="false">D40^2/($P$3+1)*B40/(1-B40)</f>
        <v>0.000265292648545714</v>
      </c>
      <c r="G40" s="13" t="n">
        <f aca="false">($P$2-1)*(B40-1/$P$2)</f>
        <v>1.67005441793512</v>
      </c>
      <c r="H40" s="13" t="n">
        <f aca="false">E40*SQRT(B40/(1-B40))</f>
        <v>-0.0460705316895361</v>
      </c>
      <c r="I40" s="13" t="n">
        <f aca="false">ABS(D40)</f>
        <v>1.04836424749108</v>
      </c>
      <c r="J40" s="6" t="n">
        <f aca="false">IF(B40&gt;$P$4,1,0)</f>
        <v>0</v>
      </c>
      <c r="K40" s="6" t="n">
        <f aca="false">IF(F40&gt;$P$6,1,0)</f>
        <v>0</v>
      </c>
      <c r="L40" s="6" t="n">
        <f aca="false">IF(G40&gt;$P$9,1,0)</f>
        <v>0</v>
      </c>
      <c r="M40" s="6" t="n">
        <f aca="false">IF(ABS(H40)&gt;$P$8,1,0)</f>
        <v>0</v>
      </c>
    </row>
    <row r="41" customFormat="false" ht="15" hidden="false" customHeight="false" outlineLevel="0" collapsed="false">
      <c r="A41" s="0" t="n">
        <f aca="false">ROW()-1</f>
        <v>40</v>
      </c>
      <c r="B41" s="22" t="n">
        <f aca="false">SUMPRODUCT(MMULT('Analysis Data'!N41:U41,'Final Model'!$B$59:$I$66),'Analysis Data'!N41:U41)</f>
        <v>0.00358345072416715</v>
      </c>
      <c r="C41" s="15" t="n">
        <f aca="false">'Residual Diagnostics'!F41</f>
        <v>18.8221358257812</v>
      </c>
      <c r="D41" s="13" t="n">
        <f aca="false">C41/('Final Model'!$B$21*SQRT(1-B41))</f>
        <v>0.384564017226064</v>
      </c>
      <c r="E41" s="13" t="n">
        <f aca="false">D41*SQRT(('Final Model'!$B$24-1)/('Final Model'!$B$24-D41^2))</f>
        <v>0.384445085114123</v>
      </c>
      <c r="F41" s="23" t="n">
        <f aca="false">D41^2/($P$3+1)*B41/(1-B41)</f>
        <v>6.64825715428296E-005</v>
      </c>
      <c r="G41" s="13" t="n">
        <f aca="false">($P$2-1)*(B41-1/$P$2)</f>
        <v>3.963800753693</v>
      </c>
      <c r="H41" s="13" t="n">
        <f aca="false">E41*SQRT(B41/(1-B41))</f>
        <v>0.0230549702170827</v>
      </c>
      <c r="I41" s="13" t="n">
        <f aca="false">ABS(D41)</f>
        <v>0.384564017226064</v>
      </c>
      <c r="J41" s="6" t="n">
        <f aca="false">IF(B41&gt;$P$4,1,0)</f>
        <v>0</v>
      </c>
      <c r="K41" s="6" t="n">
        <f aca="false">IF(F41&gt;$P$6,1,0)</f>
        <v>0</v>
      </c>
      <c r="L41" s="6" t="n">
        <f aca="false">IF(G41&gt;$P$9,1,0)</f>
        <v>0</v>
      </c>
      <c r="M41" s="6" t="n">
        <f aca="false">IF(ABS(H41)&gt;$P$8,1,0)</f>
        <v>0</v>
      </c>
    </row>
    <row r="42" customFormat="false" ht="15" hidden="false" customHeight="false" outlineLevel="0" collapsed="false">
      <c r="A42" s="0" t="n">
        <f aca="false">ROW()-1</f>
        <v>41</v>
      </c>
      <c r="B42" s="22" t="n">
        <f aca="false">SUMPRODUCT(MMULT('Analysis Data'!N42:U42,'Final Model'!$B$59:$I$66),'Analysis Data'!N42:U42)</f>
        <v>0.00237356778403209</v>
      </c>
      <c r="C42" s="15" t="n">
        <f aca="false">'Residual Diagnostics'!F42</f>
        <v>-45.5409466401727</v>
      </c>
      <c r="D42" s="13" t="n">
        <f aca="false">C42/('Final Model'!$B$21*SQRT(1-B42))</f>
        <v>-0.92990437079155</v>
      </c>
      <c r="E42" s="13" t="n">
        <f aca="false">D42*SQRT(('Final Model'!$B$24-1)/('Final Model'!$B$24-D42^2))</f>
        <v>-0.92985869678776</v>
      </c>
      <c r="F42" s="23" t="n">
        <f aca="false">D42^2/($P$3+1)*B42/(1-B42)</f>
        <v>0.000257169986750057</v>
      </c>
      <c r="G42" s="13" t="n">
        <f aca="false">($P$2-1)*(B42-1/$P$2)</f>
        <v>2.28811288160594</v>
      </c>
      <c r="H42" s="13" t="n">
        <f aca="false">E42*SQRT(B42/(1-B42))</f>
        <v>-0.0453559014545527</v>
      </c>
      <c r="I42" s="13" t="n">
        <f aca="false">ABS(D42)</f>
        <v>0.92990437079155</v>
      </c>
      <c r="J42" s="6" t="n">
        <f aca="false">IF(B42&gt;$P$4,1,0)</f>
        <v>0</v>
      </c>
      <c r="K42" s="6" t="n">
        <f aca="false">IF(F42&gt;$P$6,1,0)</f>
        <v>0</v>
      </c>
      <c r="L42" s="6" t="n">
        <f aca="false">IF(G42&gt;$P$9,1,0)</f>
        <v>0</v>
      </c>
      <c r="M42" s="6" t="n">
        <f aca="false">IF(ABS(H42)&gt;$P$8,1,0)</f>
        <v>0</v>
      </c>
    </row>
    <row r="43" customFormat="false" ht="15" hidden="false" customHeight="false" outlineLevel="0" collapsed="false">
      <c r="A43" s="0" t="n">
        <f aca="false">ROW()-1</f>
        <v>42</v>
      </c>
      <c r="B43" s="22" t="n">
        <f aca="false">SUMPRODUCT(MMULT('Analysis Data'!N43:U43,'Final Model'!$B$59:$I$66),'Analysis Data'!N43:U43)</f>
        <v>0.00358345072416715</v>
      </c>
      <c r="C43" s="15" t="n">
        <f aca="false">'Residual Diagnostics'!F43</f>
        <v>-55.1618294638885</v>
      </c>
      <c r="D43" s="13" t="n">
        <f aca="false">C43/('Final Model'!$B$21*SQRT(1-B43))</f>
        <v>-1.12703759724843</v>
      </c>
      <c r="E43" s="13" t="n">
        <f aca="false">D43*SQRT(('Final Model'!$B$24-1)/('Final Model'!$B$24-D43^2))</f>
        <v>-1.12714819488054</v>
      </c>
      <c r="F43" s="23" t="n">
        <f aca="false">D43^2/($P$3+1)*B43/(1-B43)</f>
        <v>0.000571014749035775</v>
      </c>
      <c r="G43" s="13" t="n">
        <f aca="false">($P$2-1)*(B43-1/$P$2)</f>
        <v>3.963800753693</v>
      </c>
      <c r="H43" s="13" t="n">
        <f aca="false">E43*SQRT(B43/(1-B43))</f>
        <v>-0.0675944863633653</v>
      </c>
      <c r="I43" s="13" t="n">
        <f aca="false">ABS(D43)</f>
        <v>1.12703759724843</v>
      </c>
      <c r="J43" s="6" t="n">
        <f aca="false">IF(B43&gt;$P$4,1,0)</f>
        <v>0</v>
      </c>
      <c r="K43" s="6" t="n">
        <f aca="false">IF(F43&gt;$P$6,1,0)</f>
        <v>0</v>
      </c>
      <c r="L43" s="6" t="n">
        <f aca="false">IF(G43&gt;$P$9,1,0)</f>
        <v>0</v>
      </c>
      <c r="M43" s="6" t="n">
        <f aca="false">IF(ABS(H43)&gt;$P$8,1,0)</f>
        <v>0</v>
      </c>
    </row>
    <row r="44" customFormat="false" ht="15" hidden="false" customHeight="false" outlineLevel="0" collapsed="false">
      <c r="A44" s="0" t="n">
        <f aca="false">ROW()-1</f>
        <v>43</v>
      </c>
      <c r="B44" s="22" t="n">
        <f aca="false">SUMPRODUCT(MMULT('Analysis Data'!N44:U44,'Final Model'!$B$59:$I$66),'Analysis Data'!N44:U44)</f>
        <v>0.00168915117898429</v>
      </c>
      <c r="C44" s="15" t="n">
        <f aca="false">'Residual Diagnostics'!F44</f>
        <v>15.7395974539698</v>
      </c>
      <c r="D44" s="13" t="n">
        <f aca="false">C44/('Final Model'!$B$21*SQRT(1-B44))</f>
        <v>0.32127796062849</v>
      </c>
      <c r="E44" s="13" t="n">
        <f aca="false">D44*SQRT(('Final Model'!$B$24-1)/('Final Model'!$B$24-D44^2))</f>
        <v>0.321173394488511</v>
      </c>
      <c r="F44" s="23" t="n">
        <f aca="false">D44^2/($P$3+1)*B44/(1-B44)</f>
        <v>2.18310493666613E-005</v>
      </c>
      <c r="G44" s="13" t="n">
        <f aca="false">($P$2-1)*(B44-1/$P$2)</f>
        <v>1.34019588361475</v>
      </c>
      <c r="H44" s="13" t="n">
        <f aca="false">E44*SQRT(B44/(1-B44))</f>
        <v>0.0132111592232769</v>
      </c>
      <c r="I44" s="13" t="n">
        <f aca="false">ABS(D44)</f>
        <v>0.32127796062849</v>
      </c>
      <c r="J44" s="6" t="n">
        <f aca="false">IF(B44&gt;$P$4,1,0)</f>
        <v>0</v>
      </c>
      <c r="K44" s="6" t="n">
        <f aca="false">IF(F44&gt;$P$6,1,0)</f>
        <v>0</v>
      </c>
      <c r="L44" s="6" t="n">
        <f aca="false">IF(G44&gt;$P$9,1,0)</f>
        <v>0</v>
      </c>
      <c r="M44" s="6" t="n">
        <f aca="false">IF(ABS(H44)&gt;$P$8,1,0)</f>
        <v>0</v>
      </c>
    </row>
    <row r="45" customFormat="false" ht="15" hidden="false" customHeight="false" outlineLevel="0" collapsed="false">
      <c r="A45" s="0" t="n">
        <f aca="false">ROW()-1</f>
        <v>44</v>
      </c>
      <c r="B45" s="22" t="n">
        <f aca="false">SUMPRODUCT(MMULT('Analysis Data'!N45:U45,'Final Model'!$B$59:$I$66),'Analysis Data'!N45:U45)</f>
        <v>0.00178149158016874</v>
      </c>
      <c r="C45" s="15" t="n">
        <f aca="false">'Residual Diagnostics'!F45</f>
        <v>-36.6813481632219</v>
      </c>
      <c r="D45" s="13" t="n">
        <f aca="false">C45/('Final Model'!$B$21*SQRT(1-B45))</f>
        <v>-0.748777332806952</v>
      </c>
      <c r="E45" s="13" t="n">
        <f aca="false">D45*SQRT(('Final Model'!$B$24-1)/('Final Model'!$B$24-D45^2))</f>
        <v>-0.748657912499682</v>
      </c>
      <c r="F45" s="23" t="n">
        <f aca="false">D45^2/($P$3+1)*B45/(1-B45)</f>
        <v>0.000125075874123993</v>
      </c>
      <c r="G45" s="13" t="n">
        <f aca="false">($P$2-1)*(B45-1/$P$2)</f>
        <v>1.46808733925521</v>
      </c>
      <c r="H45" s="13" t="n">
        <f aca="false">E45*SQRT(B45/(1-B45))</f>
        <v>-0.0316273275930285</v>
      </c>
      <c r="I45" s="13" t="n">
        <f aca="false">ABS(D45)</f>
        <v>0.748777332806952</v>
      </c>
      <c r="J45" s="6" t="n">
        <f aca="false">IF(B45&gt;$P$4,1,0)</f>
        <v>0</v>
      </c>
      <c r="K45" s="6" t="n">
        <f aca="false">IF(F45&gt;$P$6,1,0)</f>
        <v>0</v>
      </c>
      <c r="L45" s="6" t="n">
        <f aca="false">IF(G45&gt;$P$9,1,0)</f>
        <v>0</v>
      </c>
      <c r="M45" s="6" t="n">
        <f aca="false">IF(ABS(H45)&gt;$P$8,1,0)</f>
        <v>0</v>
      </c>
    </row>
    <row r="46" customFormat="false" ht="15" hidden="false" customHeight="false" outlineLevel="0" collapsed="false">
      <c r="A46" s="0" t="n">
        <f aca="false">ROW()-1</f>
        <v>45</v>
      </c>
      <c r="B46" s="22" t="n">
        <f aca="false">SUMPRODUCT(MMULT('Analysis Data'!N46:U46,'Final Model'!$B$59:$I$66),'Analysis Data'!N46:U46)</f>
        <v>0.00240103332506424</v>
      </c>
      <c r="C46" s="15" t="n">
        <f aca="false">'Residual Diagnostics'!F46</f>
        <v>-27.7196985863706</v>
      </c>
      <c r="D46" s="13" t="n">
        <f aca="false">C46/('Final Model'!$B$21*SQRT(1-B46))</f>
        <v>-0.566018618602089</v>
      </c>
      <c r="E46" s="13" t="n">
        <f aca="false">D46*SQRT(('Final Model'!$B$24-1)/('Final Model'!$B$24-D46^2))</f>
        <v>-0.565878990100989</v>
      </c>
      <c r="F46" s="23" t="n">
        <f aca="false">D46^2/($P$3+1)*B46/(1-B46)</f>
        <v>9.63859305204196E-005</v>
      </c>
      <c r="G46" s="13" t="n">
        <f aca="false">($P$2-1)*(B46-1/$P$2)</f>
        <v>2.32615265593547</v>
      </c>
      <c r="H46" s="13" t="n">
        <f aca="false">E46*SQRT(B46/(1-B46))</f>
        <v>-0.0277616112488917</v>
      </c>
      <c r="I46" s="13" t="n">
        <f aca="false">ABS(D46)</f>
        <v>0.566018618602089</v>
      </c>
      <c r="J46" s="6" t="n">
        <f aca="false">IF(B46&gt;$P$4,1,0)</f>
        <v>0</v>
      </c>
      <c r="K46" s="6" t="n">
        <f aca="false">IF(F46&gt;$P$6,1,0)</f>
        <v>0</v>
      </c>
      <c r="L46" s="6" t="n">
        <f aca="false">IF(G46&gt;$P$9,1,0)</f>
        <v>0</v>
      </c>
      <c r="M46" s="6" t="n">
        <f aca="false">IF(ABS(H46)&gt;$P$8,1,0)</f>
        <v>0</v>
      </c>
    </row>
    <row r="47" customFormat="false" ht="15" hidden="false" customHeight="false" outlineLevel="0" collapsed="false">
      <c r="A47" s="0" t="n">
        <f aca="false">ROW()-1</f>
        <v>46</v>
      </c>
      <c r="B47" s="22" t="n">
        <f aca="false">SUMPRODUCT(MMULT('Analysis Data'!N47:U47,'Final Model'!$B$59:$I$66),'Analysis Data'!N47:U47)</f>
        <v>0.00171763397794424</v>
      </c>
      <c r="C47" s="15" t="n">
        <f aca="false">'Residual Diagnostics'!F47</f>
        <v>-68.7308648746503</v>
      </c>
      <c r="D47" s="13" t="n">
        <f aca="false">C47/('Final Model'!$B$21*SQRT(1-B47))</f>
        <v>-1.40296009329693</v>
      </c>
      <c r="E47" s="13" t="n">
        <f aca="false">D47*SQRT(('Final Model'!$B$24-1)/('Final Model'!$B$24-D47^2))</f>
        <v>-1.40345362959282</v>
      </c>
      <c r="F47" s="23" t="n">
        <f aca="false">D47^2/($P$3+1)*B47/(1-B47)</f>
        <v>0.000423328854781118</v>
      </c>
      <c r="G47" s="13" t="n">
        <f aca="false">($P$2-1)*(B47-1/$P$2)</f>
        <v>1.37964456017427</v>
      </c>
      <c r="H47" s="13" t="n">
        <f aca="false">E47*SQRT(B47/(1-B47))</f>
        <v>-0.0582152382954427</v>
      </c>
      <c r="I47" s="13" t="n">
        <f aca="false">ABS(D47)</f>
        <v>1.40296009329693</v>
      </c>
      <c r="J47" s="6" t="n">
        <f aca="false">IF(B47&gt;$P$4,1,0)</f>
        <v>0</v>
      </c>
      <c r="K47" s="6" t="n">
        <f aca="false">IF(F47&gt;$P$6,1,0)</f>
        <v>0</v>
      </c>
      <c r="L47" s="6" t="n">
        <f aca="false">IF(G47&gt;$P$9,1,0)</f>
        <v>0</v>
      </c>
      <c r="M47" s="6" t="n">
        <f aca="false">IF(ABS(H47)&gt;$P$8,1,0)</f>
        <v>0</v>
      </c>
    </row>
    <row r="48" customFormat="false" ht="15" hidden="false" customHeight="false" outlineLevel="0" collapsed="false">
      <c r="A48" s="0" t="n">
        <f aca="false">ROW()-1</f>
        <v>47</v>
      </c>
      <c r="B48" s="22" t="n">
        <f aca="false">SUMPRODUCT(MMULT('Analysis Data'!N48:U48,'Final Model'!$B$59:$I$66),'Analysis Data'!N48:U48)</f>
        <v>0.00172009052379536</v>
      </c>
      <c r="C48" s="15" t="n">
        <f aca="false">'Residual Diagnostics'!F48</f>
        <v>-43.9422310114678</v>
      </c>
      <c r="D48" s="13" t="n">
        <f aca="false">C48/('Final Model'!$B$21*SQRT(1-B48))</f>
        <v>-0.896966340877918</v>
      </c>
      <c r="E48" s="13" t="n">
        <f aca="false">D48*SQRT(('Final Model'!$B$24-1)/('Final Model'!$B$24-D48^2))</f>
        <v>-0.8969026899515</v>
      </c>
      <c r="F48" s="23" t="n">
        <f aca="false">D48^2/($P$3+1)*B48/(1-B48)</f>
        <v>0.000173285122530073</v>
      </c>
      <c r="G48" s="13" t="n">
        <f aca="false">($P$2-1)*(B48-1/$P$2)</f>
        <v>1.38304687617807</v>
      </c>
      <c r="H48" s="13" t="n">
        <f aca="false">E48*SQRT(B48/(1-B48))</f>
        <v>-0.0372301522887066</v>
      </c>
      <c r="I48" s="13" t="n">
        <f aca="false">ABS(D48)</f>
        <v>0.896966340877918</v>
      </c>
      <c r="J48" s="6" t="n">
        <f aca="false">IF(B48&gt;$P$4,1,0)</f>
        <v>0</v>
      </c>
      <c r="K48" s="6" t="n">
        <f aca="false">IF(F48&gt;$P$6,1,0)</f>
        <v>0</v>
      </c>
      <c r="L48" s="6" t="n">
        <f aca="false">IF(G48&gt;$P$9,1,0)</f>
        <v>0</v>
      </c>
      <c r="M48" s="6" t="n">
        <f aca="false">IF(ABS(H48)&gt;$P$8,1,0)</f>
        <v>0</v>
      </c>
    </row>
    <row r="49" customFormat="false" ht="15" hidden="false" customHeight="false" outlineLevel="0" collapsed="false">
      <c r="A49" s="0" t="n">
        <f aca="false">ROW()-1</f>
        <v>48</v>
      </c>
      <c r="B49" s="22" t="n">
        <f aca="false">SUMPRODUCT(MMULT('Analysis Data'!N49:U49,'Final Model'!$B$59:$I$66),'Analysis Data'!N49:U49)</f>
        <v>0.00173268270962777</v>
      </c>
      <c r="C49" s="15" t="n">
        <f aca="false">'Residual Diagnostics'!F49</f>
        <v>12.0073744617379</v>
      </c>
      <c r="D49" s="13" t="n">
        <f aca="false">C49/('Final Model'!$B$21*SQRT(1-B49))</f>
        <v>0.245100861160556</v>
      </c>
      <c r="E49" s="13" t="n">
        <f aca="false">D49*SQRT(('Final Model'!$B$24-1)/('Final Model'!$B$24-D49^2))</f>
        <v>0.245017252339311</v>
      </c>
      <c r="F49" s="23" t="n">
        <f aca="false">D49^2/($P$3+1)*B49/(1-B49)</f>
        <v>1.30338247155421E-005</v>
      </c>
      <c r="G49" s="13" t="n">
        <f aca="false">($P$2-1)*(B49-1/$P$2)</f>
        <v>1.40048705355597</v>
      </c>
      <c r="H49" s="13" t="n">
        <f aca="false">E49*SQRT(B49/(1-B49))</f>
        <v>0.0102078142749463</v>
      </c>
      <c r="I49" s="13" t="n">
        <f aca="false">ABS(D49)</f>
        <v>0.245100861160556</v>
      </c>
      <c r="J49" s="6" t="n">
        <f aca="false">IF(B49&gt;$P$4,1,0)</f>
        <v>0</v>
      </c>
      <c r="K49" s="6" t="n">
        <f aca="false">IF(F49&gt;$P$6,1,0)</f>
        <v>0</v>
      </c>
      <c r="L49" s="6" t="n">
        <f aca="false">IF(G49&gt;$P$9,1,0)</f>
        <v>0</v>
      </c>
      <c r="M49" s="6" t="n">
        <f aca="false">IF(ABS(H49)&gt;$P$8,1,0)</f>
        <v>0</v>
      </c>
    </row>
    <row r="50" customFormat="false" ht="15" hidden="false" customHeight="false" outlineLevel="0" collapsed="false">
      <c r="A50" s="0" t="n">
        <f aca="false">ROW()-1</f>
        <v>49</v>
      </c>
      <c r="B50" s="22" t="n">
        <f aca="false">SUMPRODUCT(MMULT('Analysis Data'!N50:U50,'Final Model'!$B$59:$I$66),'Analysis Data'!N50:U50)</f>
        <v>0.00172009052379536</v>
      </c>
      <c r="C50" s="15" t="n">
        <f aca="false">'Residual Diagnostics'!F50</f>
        <v>-30.7901257795735</v>
      </c>
      <c r="D50" s="13" t="n">
        <f aca="false">C50/('Final Model'!$B$21*SQRT(1-B50))</f>
        <v>-0.628500324630021</v>
      </c>
      <c r="E50" s="13" t="n">
        <f aca="false">D50*SQRT(('Final Model'!$B$24-1)/('Final Model'!$B$24-D50^2))</f>
        <v>-0.628362303753454</v>
      </c>
      <c r="F50" s="23" t="n">
        <f aca="false">D50^2/($P$3+1)*B50/(1-B50)</f>
        <v>8.50785340186806E-005</v>
      </c>
      <c r="G50" s="13" t="n">
        <f aca="false">($P$2-1)*(B50-1/$P$2)</f>
        <v>1.38304687617807</v>
      </c>
      <c r="H50" s="13" t="n">
        <f aca="false">E50*SQRT(B50/(1-B50))</f>
        <v>-0.0260831242043533</v>
      </c>
      <c r="I50" s="13" t="n">
        <f aca="false">ABS(D50)</f>
        <v>0.628500324630021</v>
      </c>
      <c r="J50" s="6" t="n">
        <f aca="false">IF(B50&gt;$P$4,1,0)</f>
        <v>0</v>
      </c>
      <c r="K50" s="6" t="n">
        <f aca="false">IF(F50&gt;$P$6,1,0)</f>
        <v>0</v>
      </c>
      <c r="L50" s="6" t="n">
        <f aca="false">IF(G50&gt;$P$9,1,0)</f>
        <v>0</v>
      </c>
      <c r="M50" s="6" t="n">
        <f aca="false">IF(ABS(H50)&gt;$P$8,1,0)</f>
        <v>0</v>
      </c>
    </row>
    <row r="51" customFormat="false" ht="15" hidden="false" customHeight="false" outlineLevel="0" collapsed="false">
      <c r="A51" s="0" t="n">
        <f aca="false">ROW()-1</f>
        <v>50</v>
      </c>
      <c r="B51" s="22" t="n">
        <f aca="false">SUMPRODUCT(MMULT('Analysis Data'!N51:U51,'Final Model'!$B$59:$I$66),'Analysis Data'!N51:U51)</f>
        <v>0.00178474743720922</v>
      </c>
      <c r="C51" s="15" t="n">
        <f aca="false">'Residual Diagnostics'!F51</f>
        <v>18.5522459557559</v>
      </c>
      <c r="D51" s="13" t="n">
        <f aca="false">C51/('Final Model'!$B$21*SQRT(1-B51))</f>
        <v>0.37870810629156</v>
      </c>
      <c r="E51" s="13" t="n">
        <f aca="false">D51*SQRT(('Final Model'!$B$24-1)/('Final Model'!$B$24-D51^2))</f>
        <v>0.378590371147185</v>
      </c>
      <c r="F51" s="23" t="n">
        <f aca="false">D51^2/($P$3+1)*B51/(1-B51)</f>
        <v>3.20532286212192E-005</v>
      </c>
      <c r="G51" s="13" t="n">
        <f aca="false">($P$2-1)*(B51-1/$P$2)</f>
        <v>1.47259670125626</v>
      </c>
      <c r="H51" s="13" t="n">
        <f aca="false">E51*SQRT(B51/(1-B51))</f>
        <v>0.0160083233107901</v>
      </c>
      <c r="I51" s="13" t="n">
        <f aca="false">ABS(D51)</f>
        <v>0.37870810629156</v>
      </c>
      <c r="J51" s="6" t="n">
        <f aca="false">IF(B51&gt;$P$4,1,0)</f>
        <v>0</v>
      </c>
      <c r="K51" s="6" t="n">
        <f aca="false">IF(F51&gt;$P$6,1,0)</f>
        <v>0</v>
      </c>
      <c r="L51" s="6" t="n">
        <f aca="false">IF(G51&gt;$P$9,1,0)</f>
        <v>0</v>
      </c>
      <c r="M51" s="6" t="n">
        <f aca="false">IF(ABS(H51)&gt;$P$8,1,0)</f>
        <v>0</v>
      </c>
    </row>
    <row r="52" customFormat="false" ht="15" hidden="false" customHeight="false" outlineLevel="0" collapsed="false">
      <c r="A52" s="0" t="n">
        <f aca="false">ROW()-1</f>
        <v>51</v>
      </c>
      <c r="B52" s="22" t="n">
        <f aca="false">SUMPRODUCT(MMULT('Analysis Data'!N52:U52,'Final Model'!$B$59:$I$66),'Analysis Data'!N52:U52)</f>
        <v>0.00180085483073274</v>
      </c>
      <c r="C52" s="15" t="n">
        <f aca="false">'Residual Diagnostics'!F52</f>
        <v>3.55614718635803</v>
      </c>
      <c r="D52" s="13" t="n">
        <f aca="false">C52/('Final Model'!$B$21*SQRT(1-B52))</f>
        <v>0.0725924308908598</v>
      </c>
      <c r="E52" s="13" t="n">
        <f aca="false">D52*SQRT(('Final Model'!$B$24-1)/('Final Model'!$B$24-D52^2))</f>
        <v>0.0725662250832445</v>
      </c>
      <c r="F52" s="23" t="n">
        <f aca="false">D52^2/($P$3+1)*B52/(1-B52)</f>
        <v>1.18837690791446E-006</v>
      </c>
      <c r="G52" s="13" t="n">
        <f aca="false">($P$2-1)*(B52-1/$P$2)</f>
        <v>1.49490544128634</v>
      </c>
      <c r="H52" s="13" t="n">
        <f aca="false">E52*SQRT(B52/(1-B52))</f>
        <v>0.00308223173251991</v>
      </c>
      <c r="I52" s="13" t="n">
        <f aca="false">ABS(D52)</f>
        <v>0.0725924308908598</v>
      </c>
      <c r="J52" s="6" t="n">
        <f aca="false">IF(B52&gt;$P$4,1,0)</f>
        <v>0</v>
      </c>
      <c r="K52" s="6" t="n">
        <f aca="false">IF(F52&gt;$P$6,1,0)</f>
        <v>0</v>
      </c>
      <c r="L52" s="6" t="n">
        <f aca="false">IF(G52&gt;$P$9,1,0)</f>
        <v>0</v>
      </c>
      <c r="M52" s="6" t="n">
        <f aca="false">IF(ABS(H52)&gt;$P$8,1,0)</f>
        <v>0</v>
      </c>
    </row>
    <row r="53" customFormat="false" ht="15" hidden="false" customHeight="false" outlineLevel="0" collapsed="false">
      <c r="A53" s="0" t="n">
        <f aca="false">ROW()-1</f>
        <v>52</v>
      </c>
      <c r="B53" s="22" t="n">
        <f aca="false">SUMPRODUCT(MMULT('Analysis Data'!N53:U53,'Final Model'!$B$59:$I$66),'Analysis Data'!N53:U53)</f>
        <v>0.00178474743720922</v>
      </c>
      <c r="C53" s="15" t="n">
        <f aca="false">'Residual Diagnostics'!F53</f>
        <v>-8.58609946031115</v>
      </c>
      <c r="D53" s="13" t="n">
        <f aca="false">C53/('Final Model'!$B$21*SQRT(1-B53))</f>
        <v>-0.17526856181187</v>
      </c>
      <c r="E53" s="13" t="n">
        <f aca="false">D53*SQRT(('Final Model'!$B$24-1)/('Final Model'!$B$24-D53^2))</f>
        <v>-0.175206907912036</v>
      </c>
      <c r="F53" s="23" t="n">
        <f aca="false">D53^2/($P$3+1)*B53/(1-B53)</f>
        <v>6.86547554515347E-006</v>
      </c>
      <c r="G53" s="13" t="n">
        <f aca="false">($P$2-1)*(B53-1/$P$2)</f>
        <v>1.47259670125626</v>
      </c>
      <c r="H53" s="13" t="n">
        <f aca="false">E53*SQRT(B53/(1-B53))</f>
        <v>-0.00740845262292552</v>
      </c>
      <c r="I53" s="13" t="n">
        <f aca="false">ABS(D53)</f>
        <v>0.17526856181187</v>
      </c>
      <c r="J53" s="6" t="n">
        <f aca="false">IF(B53&gt;$P$4,1,0)</f>
        <v>0</v>
      </c>
      <c r="K53" s="6" t="n">
        <f aca="false">IF(F53&gt;$P$6,1,0)</f>
        <v>0</v>
      </c>
      <c r="L53" s="6" t="n">
        <f aca="false">IF(G53&gt;$P$9,1,0)</f>
        <v>0</v>
      </c>
      <c r="M53" s="6" t="n">
        <f aca="false">IF(ABS(H53)&gt;$P$8,1,0)</f>
        <v>0</v>
      </c>
    </row>
    <row r="54" customFormat="false" ht="15" hidden="false" customHeight="false" outlineLevel="0" collapsed="false">
      <c r="A54" s="0" t="n">
        <f aca="false">ROW()-1</f>
        <v>53</v>
      </c>
      <c r="B54" s="22" t="n">
        <f aca="false">SUMPRODUCT(MMULT('Analysis Data'!N54:U54,'Final Model'!$B$59:$I$66),'Analysis Data'!N54:U54)</f>
        <v>0.00180085483073274</v>
      </c>
      <c r="C54" s="15" t="n">
        <f aca="false">'Residual Diagnostics'!F54</f>
        <v>-11.74238459906</v>
      </c>
      <c r="D54" s="13" t="n">
        <f aca="false">C54/('Final Model'!$B$21*SQRT(1-B54))</f>
        <v>-0.239699933054272</v>
      </c>
      <c r="E54" s="13" t="n">
        <f aca="false">D54*SQRT(('Final Model'!$B$24-1)/('Final Model'!$B$24-D54^2))</f>
        <v>-0.239617938935956</v>
      </c>
      <c r="F54" s="23" t="n">
        <f aca="false">D54^2/($P$3+1)*B54/(1-B54)</f>
        <v>1.2957086260795E-005</v>
      </c>
      <c r="G54" s="13" t="n">
        <f aca="false">($P$2-1)*(B54-1/$P$2)</f>
        <v>1.49490544128634</v>
      </c>
      <c r="H54" s="13" t="n">
        <f aca="false">E54*SQRT(B54/(1-B54))</f>
        <v>-0.0101777102808116</v>
      </c>
      <c r="I54" s="13" t="n">
        <f aca="false">ABS(D54)</f>
        <v>0.239699933054272</v>
      </c>
      <c r="J54" s="6" t="n">
        <f aca="false">IF(B54&gt;$P$4,1,0)</f>
        <v>0</v>
      </c>
      <c r="K54" s="6" t="n">
        <f aca="false">IF(F54&gt;$P$6,1,0)</f>
        <v>0</v>
      </c>
      <c r="L54" s="6" t="n">
        <f aca="false">IF(G54&gt;$P$9,1,0)</f>
        <v>0</v>
      </c>
      <c r="M54" s="6" t="n">
        <f aca="false">IF(ABS(H54)&gt;$P$8,1,0)</f>
        <v>0</v>
      </c>
    </row>
    <row r="55" customFormat="false" ht="15" hidden="false" customHeight="false" outlineLevel="0" collapsed="false">
      <c r="A55" s="0" t="n">
        <f aca="false">ROW()-1</f>
        <v>54</v>
      </c>
      <c r="B55" s="22" t="n">
        <f aca="false">SUMPRODUCT(MMULT('Analysis Data'!N55:U55,'Final Model'!$B$59:$I$66),'Analysis Data'!N55:U55)</f>
        <v>0.00189258946149586</v>
      </c>
      <c r="C55" s="15" t="n">
        <f aca="false">'Residual Diagnostics'!F55</f>
        <v>-52.8709867987566</v>
      </c>
      <c r="D55" s="13" t="n">
        <f aca="false">C55/('Final Model'!$B$21*SQRT(1-B55))</f>
        <v>-1.079316919189</v>
      </c>
      <c r="E55" s="13" t="n">
        <f aca="false">D55*SQRT(('Final Model'!$B$24-1)/('Final Model'!$B$24-D55^2))</f>
        <v>-1.07938156056429</v>
      </c>
      <c r="F55" s="23" t="n">
        <f aca="false">D55^2/($P$3+1)*B55/(1-B55)</f>
        <v>0.000276113169028172</v>
      </c>
      <c r="G55" s="13" t="n">
        <f aca="false">($P$2-1)*(B55-1/$P$2)</f>
        <v>1.62195790489327</v>
      </c>
      <c r="H55" s="13" t="n">
        <f aca="false">E55*SQRT(B55/(1-B55))</f>
        <v>-0.0470018079149377</v>
      </c>
      <c r="I55" s="13" t="n">
        <f aca="false">ABS(D55)</f>
        <v>1.079316919189</v>
      </c>
      <c r="J55" s="6" t="n">
        <f aca="false">IF(B55&gt;$P$4,1,0)</f>
        <v>0</v>
      </c>
      <c r="K55" s="6" t="n">
        <f aca="false">IF(F55&gt;$P$6,1,0)</f>
        <v>0</v>
      </c>
      <c r="L55" s="6" t="n">
        <f aca="false">IF(G55&gt;$P$9,1,0)</f>
        <v>0</v>
      </c>
      <c r="M55" s="6" t="n">
        <f aca="false">IF(ABS(H55)&gt;$P$8,1,0)</f>
        <v>0</v>
      </c>
    </row>
    <row r="56" customFormat="false" ht="15" hidden="false" customHeight="false" outlineLevel="0" collapsed="false">
      <c r="A56" s="0" t="n">
        <f aca="false">ROW()-1</f>
        <v>55</v>
      </c>
      <c r="B56" s="22" t="n">
        <f aca="false">SUMPRODUCT(MMULT('Analysis Data'!N56:U56,'Final Model'!$B$59:$I$66),'Analysis Data'!N56:U56)</f>
        <v>0.00189258946149586</v>
      </c>
      <c r="C56" s="15" t="n">
        <f aca="false">'Residual Diagnostics'!F56</f>
        <v>37.3234927840267</v>
      </c>
      <c r="D56" s="13" t="n">
        <f aca="false">C56/('Final Model'!$B$21*SQRT(1-B56))</f>
        <v>0.761927848980041</v>
      </c>
      <c r="E56" s="13" t="n">
        <f aca="false">D56*SQRT(('Final Model'!$B$24-1)/('Final Model'!$B$24-D56^2))</f>
        <v>0.76181182509079</v>
      </c>
      <c r="F56" s="23" t="n">
        <f aca="false">D56^2/($P$3+1)*B56/(1-B56)</f>
        <v>0.000137599496793655</v>
      </c>
      <c r="G56" s="13" t="n">
        <f aca="false">($P$2-1)*(B56-1/$P$2)</f>
        <v>1.62195790489327</v>
      </c>
      <c r="H56" s="13" t="n">
        <f aca="false">E56*SQRT(B56/(1-B56))</f>
        <v>0.0331731932232807</v>
      </c>
      <c r="I56" s="13" t="n">
        <f aca="false">ABS(D56)</f>
        <v>0.761927848980041</v>
      </c>
      <c r="J56" s="6" t="n">
        <f aca="false">IF(B56&gt;$P$4,1,0)</f>
        <v>0</v>
      </c>
      <c r="K56" s="6" t="n">
        <f aca="false">IF(F56&gt;$P$6,1,0)</f>
        <v>0</v>
      </c>
      <c r="L56" s="6" t="n">
        <f aca="false">IF(G56&gt;$P$9,1,0)</f>
        <v>0</v>
      </c>
      <c r="M56" s="6" t="n">
        <f aca="false">IF(ABS(H56)&gt;$P$8,1,0)</f>
        <v>0</v>
      </c>
    </row>
    <row r="57" customFormat="false" ht="15" hidden="false" customHeight="false" outlineLevel="0" collapsed="false">
      <c r="A57" s="0" t="n">
        <f aca="false">ROW()-1</f>
        <v>56</v>
      </c>
      <c r="B57" s="22" t="n">
        <f aca="false">SUMPRODUCT(MMULT('Analysis Data'!N57:U57,'Final Model'!$B$59:$I$66),'Analysis Data'!N57:U57)</f>
        <v>0.00315294518397188</v>
      </c>
      <c r="C57" s="15" t="n">
        <f aca="false">'Residual Diagnostics'!F57</f>
        <v>3.06285443413188</v>
      </c>
      <c r="D57" s="13" t="n">
        <f aca="false">C57/('Final Model'!$B$21*SQRT(1-B57))</f>
        <v>0.0625651227085621</v>
      </c>
      <c r="E57" s="13" t="n">
        <f aca="false">D57*SQRT(('Final Model'!$B$24-1)/('Final Model'!$B$24-D57^2))</f>
        <v>0.0625425059954561</v>
      </c>
      <c r="F57" s="23" t="n">
        <f aca="false">D57^2/($P$3+1)*B57/(1-B57)</f>
        <v>1.54761348269168E-006</v>
      </c>
      <c r="G57" s="13" t="n">
        <f aca="false">($P$2-1)*(B57-1/$P$2)</f>
        <v>3.36755058052255</v>
      </c>
      <c r="H57" s="13" t="n">
        <f aca="false">E57*SQRT(B57/(1-B57))</f>
        <v>0.00351737946660416</v>
      </c>
      <c r="I57" s="13" t="n">
        <f aca="false">ABS(D57)</f>
        <v>0.0625651227085621</v>
      </c>
      <c r="J57" s="6" t="n">
        <f aca="false">IF(B57&gt;$P$4,1,0)</f>
        <v>0</v>
      </c>
      <c r="K57" s="6" t="n">
        <f aca="false">IF(F57&gt;$P$6,1,0)</f>
        <v>0</v>
      </c>
      <c r="L57" s="6" t="n">
        <f aca="false">IF(G57&gt;$P$9,1,0)</f>
        <v>0</v>
      </c>
      <c r="M57" s="6" t="n">
        <f aca="false">IF(ABS(H57)&gt;$P$8,1,0)</f>
        <v>0</v>
      </c>
    </row>
    <row r="58" customFormat="false" ht="15" hidden="false" customHeight="false" outlineLevel="0" collapsed="false">
      <c r="A58" s="0" t="n">
        <f aca="false">ROW()-1</f>
        <v>57</v>
      </c>
      <c r="B58" s="22" t="n">
        <f aca="false">SUMPRODUCT(MMULT('Analysis Data'!N58:U58,'Final Model'!$B$59:$I$66),'Analysis Data'!N58:U58)</f>
        <v>0.001957743487144</v>
      </c>
      <c r="C58" s="15" t="n">
        <f aca="false">'Residual Diagnostics'!F58</f>
        <v>54.57354812988</v>
      </c>
      <c r="D58" s="13" t="n">
        <f aca="false">C58/('Final Model'!$B$21*SQRT(1-B58))</f>
        <v>1.11410964674829</v>
      </c>
      <c r="E58" s="13" t="n">
        <f aca="false">D58*SQRT(('Final Model'!$B$24-1)/('Final Model'!$B$24-D58^2))</f>
        <v>1.11420725149439</v>
      </c>
      <c r="F58" s="23" t="n">
        <f aca="false">D58^2/($P$3+1)*B58/(1-B58)</f>
        <v>0.00030434960383604</v>
      </c>
      <c r="G58" s="13" t="n">
        <f aca="false">($P$2-1)*(B58-1/$P$2)</f>
        <v>1.71219623041594</v>
      </c>
      <c r="H58" s="13" t="n">
        <f aca="false">E58*SQRT(B58/(1-B58))</f>
        <v>0.0493479833831755</v>
      </c>
      <c r="I58" s="13" t="n">
        <f aca="false">ABS(D58)</f>
        <v>1.11410964674829</v>
      </c>
      <c r="J58" s="6" t="n">
        <f aca="false">IF(B58&gt;$P$4,1,0)</f>
        <v>0</v>
      </c>
      <c r="K58" s="6" t="n">
        <f aca="false">IF(F58&gt;$P$6,1,0)</f>
        <v>0</v>
      </c>
      <c r="L58" s="6" t="n">
        <f aca="false">IF(G58&gt;$P$9,1,0)</f>
        <v>0</v>
      </c>
      <c r="M58" s="6" t="n">
        <f aca="false">IF(ABS(H58)&gt;$P$8,1,0)</f>
        <v>0</v>
      </c>
    </row>
    <row r="59" customFormat="false" ht="15" hidden="false" customHeight="false" outlineLevel="0" collapsed="false">
      <c r="A59" s="0" t="n">
        <f aca="false">ROW()-1</f>
        <v>58</v>
      </c>
      <c r="B59" s="22" t="n">
        <f aca="false">SUMPRODUCT(MMULT('Analysis Data'!N59:U59,'Final Model'!$B$59:$I$66),'Analysis Data'!N59:U59)</f>
        <v>0.00173289354449798</v>
      </c>
      <c r="C59" s="15" t="n">
        <f aca="false">'Residual Diagnostics'!F59</f>
        <v>-23.9853062809511</v>
      </c>
      <c r="D59" s="13" t="n">
        <f aca="false">C59/('Final Model'!$B$21*SQRT(1-B59))</f>
        <v>-0.489600775273545</v>
      </c>
      <c r="E59" s="13" t="n">
        <f aca="false">D59*SQRT(('Final Model'!$B$24-1)/('Final Model'!$B$24-D59^2))</f>
        <v>-0.489465668146243</v>
      </c>
      <c r="F59" s="23" t="n">
        <f aca="false">D59^2/($P$3+1)*B59/(1-B59)</f>
        <v>5.20138893519507E-005</v>
      </c>
      <c r="G59" s="13" t="n">
        <f aca="false">($P$2-1)*(B59-1/$P$2)</f>
        <v>1.4007790598512</v>
      </c>
      <c r="H59" s="13" t="n">
        <f aca="false">E59*SQRT(B59/(1-B59))</f>
        <v>-0.0203931726744521</v>
      </c>
      <c r="I59" s="13" t="n">
        <f aca="false">ABS(D59)</f>
        <v>0.489600775273545</v>
      </c>
      <c r="J59" s="6" t="n">
        <f aca="false">IF(B59&gt;$P$4,1,0)</f>
        <v>0</v>
      </c>
      <c r="K59" s="6" t="n">
        <f aca="false">IF(F59&gt;$P$6,1,0)</f>
        <v>0</v>
      </c>
      <c r="L59" s="6" t="n">
        <f aca="false">IF(G59&gt;$P$9,1,0)</f>
        <v>0</v>
      </c>
      <c r="M59" s="6" t="n">
        <f aca="false">IF(ABS(H59)&gt;$P$8,1,0)</f>
        <v>0</v>
      </c>
    </row>
    <row r="60" customFormat="false" ht="15" hidden="false" customHeight="false" outlineLevel="0" collapsed="false">
      <c r="A60" s="0" t="n">
        <f aca="false">ROW()-1</f>
        <v>59</v>
      </c>
      <c r="B60" s="22" t="n">
        <f aca="false">SUMPRODUCT(MMULT('Analysis Data'!N60:U60,'Final Model'!$B$59:$I$66),'Analysis Data'!N60:U60)</f>
        <v>0.00173289354449798</v>
      </c>
      <c r="C60" s="15" t="n">
        <f aca="false">'Residual Diagnostics'!F60</f>
        <v>52.4954149172353</v>
      </c>
      <c r="D60" s="13" t="n">
        <f aca="false">C60/('Final Model'!$B$21*SQRT(1-B60))</f>
        <v>1.07156421271955</v>
      </c>
      <c r="E60" s="13" t="n">
        <f aca="false">D60*SQRT(('Final Model'!$B$24-1)/('Final Model'!$B$24-D60^2))</f>
        <v>1.07162190047375</v>
      </c>
      <c r="F60" s="23" t="n">
        <f aca="false">D60^2/($P$3+1)*B60/(1-B60)</f>
        <v>0.000249156107672815</v>
      </c>
      <c r="G60" s="13" t="n">
        <f aca="false">($P$2-1)*(B60-1/$P$2)</f>
        <v>1.4007790598512</v>
      </c>
      <c r="H60" s="13" t="n">
        <f aca="false">E60*SQRT(B60/(1-B60))</f>
        <v>0.0446482192323165</v>
      </c>
      <c r="I60" s="13" t="n">
        <f aca="false">ABS(D60)</f>
        <v>1.07156421271955</v>
      </c>
      <c r="J60" s="6" t="n">
        <f aca="false">IF(B60&gt;$P$4,1,0)</f>
        <v>0</v>
      </c>
      <c r="K60" s="6" t="n">
        <f aca="false">IF(F60&gt;$P$6,1,0)</f>
        <v>0</v>
      </c>
      <c r="L60" s="6" t="n">
        <f aca="false">IF(G60&gt;$P$9,1,0)</f>
        <v>0</v>
      </c>
      <c r="M60" s="6" t="n">
        <f aca="false">IF(ABS(H60)&gt;$P$8,1,0)</f>
        <v>0</v>
      </c>
    </row>
    <row r="61" customFormat="false" ht="15" hidden="false" customHeight="false" outlineLevel="0" collapsed="false">
      <c r="A61" s="0" t="n">
        <f aca="false">ROW()-1</f>
        <v>60</v>
      </c>
      <c r="B61" s="22" t="n">
        <f aca="false">SUMPRODUCT(MMULT('Analysis Data'!N61:U61,'Final Model'!$B$59:$I$66),'Analysis Data'!N61:U61)</f>
        <v>0.00173289354449798</v>
      </c>
      <c r="C61" s="15" t="n">
        <f aca="false">'Residual Diagnostics'!F61</f>
        <v>17.853863252795</v>
      </c>
      <c r="D61" s="13" t="n">
        <f aca="false">C61/('Final Model'!$B$21*SQRT(1-B61))</f>
        <v>0.364442512753672</v>
      </c>
      <c r="E61" s="13" t="n">
        <f aca="false">D61*SQRT(('Final Model'!$B$24-1)/('Final Model'!$B$24-D61^2))</f>
        <v>0.364327810985971</v>
      </c>
      <c r="F61" s="23" t="n">
        <f aca="false">D61^2/($P$3+1)*B61/(1-B61)</f>
        <v>2.88199485050328E-005</v>
      </c>
      <c r="G61" s="13" t="n">
        <f aca="false">($P$2-1)*(B61-1/$P$2)</f>
        <v>1.4007790598512</v>
      </c>
      <c r="H61" s="13" t="n">
        <f aca="false">E61*SQRT(B61/(1-B61))</f>
        <v>0.0151794097994267</v>
      </c>
      <c r="I61" s="13" t="n">
        <f aca="false">ABS(D61)</f>
        <v>0.364442512753672</v>
      </c>
      <c r="J61" s="6" t="n">
        <f aca="false">IF(B61&gt;$P$4,1,0)</f>
        <v>0</v>
      </c>
      <c r="K61" s="6" t="n">
        <f aca="false">IF(F61&gt;$P$6,1,0)</f>
        <v>0</v>
      </c>
      <c r="L61" s="6" t="n">
        <f aca="false">IF(G61&gt;$P$9,1,0)</f>
        <v>0</v>
      </c>
      <c r="M61" s="6" t="n">
        <f aca="false">IF(ABS(H61)&gt;$P$8,1,0)</f>
        <v>0</v>
      </c>
    </row>
    <row r="62" customFormat="false" ht="15" hidden="false" customHeight="false" outlineLevel="0" collapsed="false">
      <c r="A62" s="0" t="n">
        <f aca="false">ROW()-1</f>
        <v>61</v>
      </c>
      <c r="B62" s="22" t="n">
        <f aca="false">SUMPRODUCT(MMULT('Analysis Data'!N62:U62,'Final Model'!$B$59:$I$66),'Analysis Data'!N62:U62)</f>
        <v>0.002434698860178</v>
      </c>
      <c r="C62" s="15" t="n">
        <f aca="false">'Residual Diagnostics'!F62</f>
        <v>-23.4398564318118</v>
      </c>
      <c r="D62" s="13" t="n">
        <f aca="false">C62/('Final Model'!$B$21*SQRT(1-B62))</f>
        <v>-0.478635039503637</v>
      </c>
      <c r="E62" s="13" t="n">
        <f aca="false">D62*SQRT(('Final Model'!$B$24-1)/('Final Model'!$B$24-D62^2))</f>
        <v>-0.478501114681052</v>
      </c>
      <c r="F62" s="23" t="n">
        <f aca="false">D62^2/($P$3+1)*B62/(1-B62)</f>
        <v>6.98912662437769E-005</v>
      </c>
      <c r="G62" s="13" t="n">
        <f aca="false">($P$2-1)*(B62-1/$P$2)</f>
        <v>2.37277942206804</v>
      </c>
      <c r="H62" s="13" t="n">
        <f aca="false">E62*SQRT(B62/(1-B62))</f>
        <v>-0.023639316362922</v>
      </c>
      <c r="I62" s="13" t="n">
        <f aca="false">ABS(D62)</f>
        <v>0.478635039503637</v>
      </c>
      <c r="J62" s="6" t="n">
        <f aca="false">IF(B62&gt;$P$4,1,0)</f>
        <v>0</v>
      </c>
      <c r="K62" s="6" t="n">
        <f aca="false">IF(F62&gt;$P$6,1,0)</f>
        <v>0</v>
      </c>
      <c r="L62" s="6" t="n">
        <f aca="false">IF(G62&gt;$P$9,1,0)</f>
        <v>0</v>
      </c>
      <c r="M62" s="6" t="n">
        <f aca="false">IF(ABS(H62)&gt;$P$8,1,0)</f>
        <v>0</v>
      </c>
    </row>
    <row r="63" customFormat="false" ht="15" hidden="false" customHeight="false" outlineLevel="0" collapsed="false">
      <c r="A63" s="0" t="n">
        <f aca="false">ROW()-1</f>
        <v>62</v>
      </c>
      <c r="B63" s="22" t="n">
        <f aca="false">SUMPRODUCT(MMULT('Analysis Data'!N63:U63,'Final Model'!$B$59:$I$66),'Analysis Data'!N63:U63)</f>
        <v>0.00275876931528282</v>
      </c>
      <c r="C63" s="15" t="n">
        <f aca="false">'Residual Diagnostics'!F63</f>
        <v>64.7519040642164</v>
      </c>
      <c r="D63" s="13" t="n">
        <f aca="false">C63/('Final Model'!$B$21*SQRT(1-B63))</f>
        <v>1.32242983719007</v>
      </c>
      <c r="E63" s="13" t="n">
        <f aca="false">D63*SQRT(('Final Model'!$B$24-1)/('Final Model'!$B$24-D63^2))</f>
        <v>1.3227895564597</v>
      </c>
      <c r="F63" s="23" t="n">
        <f aca="false">D63^2/($P$3+1)*B63/(1-B63)</f>
        <v>0.000604742446676166</v>
      </c>
      <c r="G63" s="13" t="n">
        <f aca="false">($P$2-1)*(B63-1/$P$2)</f>
        <v>2.8216170023882</v>
      </c>
      <c r="H63" s="13" t="n">
        <f aca="false">E63*SQRT(B63/(1-B63))</f>
        <v>0.0695742186790102</v>
      </c>
      <c r="I63" s="13" t="n">
        <f aca="false">ABS(D63)</f>
        <v>1.32242983719007</v>
      </c>
      <c r="J63" s="6" t="n">
        <f aca="false">IF(B63&gt;$P$4,1,0)</f>
        <v>0</v>
      </c>
      <c r="K63" s="6" t="n">
        <f aca="false">IF(F63&gt;$P$6,1,0)</f>
        <v>0</v>
      </c>
      <c r="L63" s="6" t="n">
        <f aca="false">IF(G63&gt;$P$9,1,0)</f>
        <v>0</v>
      </c>
      <c r="M63" s="6" t="n">
        <f aca="false">IF(ABS(H63)&gt;$P$8,1,0)</f>
        <v>0</v>
      </c>
    </row>
    <row r="64" customFormat="false" ht="15" hidden="false" customHeight="false" outlineLevel="0" collapsed="false">
      <c r="A64" s="0" t="n">
        <f aca="false">ROW()-1</f>
        <v>63</v>
      </c>
      <c r="B64" s="22" t="n">
        <f aca="false">SUMPRODUCT(MMULT('Analysis Data'!N64:U64,'Final Model'!$B$59:$I$66),'Analysis Data'!N64:U64)</f>
        <v>0.00275876931528282</v>
      </c>
      <c r="C64" s="15" t="n">
        <f aca="false">'Residual Diagnostics'!F64</f>
        <v>61.186607902731</v>
      </c>
      <c r="D64" s="13" t="n">
        <f aca="false">C64/('Final Model'!$B$21*SQRT(1-B64))</f>
        <v>1.24961570005379</v>
      </c>
      <c r="E64" s="13" t="n">
        <f aca="false">D64*SQRT(('Final Model'!$B$24-1)/('Final Model'!$B$24-D64^2))</f>
        <v>1.24987057410526</v>
      </c>
      <c r="F64" s="23" t="n">
        <f aca="false">D64^2/($P$3+1)*B64/(1-B64)</f>
        <v>0.000539980553696581</v>
      </c>
      <c r="G64" s="13" t="n">
        <f aca="false">($P$2-1)*(B64-1/$P$2)</f>
        <v>2.8216170023882</v>
      </c>
      <c r="H64" s="13" t="n">
        <f aca="false">E64*SQRT(B64/(1-B64))</f>
        <v>0.0657389289313675</v>
      </c>
      <c r="I64" s="13" t="n">
        <f aca="false">ABS(D64)</f>
        <v>1.24961570005379</v>
      </c>
      <c r="J64" s="6" t="n">
        <f aca="false">IF(B64&gt;$P$4,1,0)</f>
        <v>0</v>
      </c>
      <c r="K64" s="6" t="n">
        <f aca="false">IF(F64&gt;$P$6,1,0)</f>
        <v>0</v>
      </c>
      <c r="L64" s="6" t="n">
        <f aca="false">IF(G64&gt;$P$9,1,0)</f>
        <v>0</v>
      </c>
      <c r="M64" s="6" t="n">
        <f aca="false">IF(ABS(H64)&gt;$P$8,1,0)</f>
        <v>0</v>
      </c>
    </row>
    <row r="65" customFormat="false" ht="15" hidden="false" customHeight="false" outlineLevel="0" collapsed="false">
      <c r="A65" s="0" t="n">
        <f aca="false">ROW()-1</f>
        <v>64</v>
      </c>
      <c r="B65" s="22" t="n">
        <f aca="false">SUMPRODUCT(MMULT('Analysis Data'!N65:U65,'Final Model'!$B$59:$I$66),'Analysis Data'!N65:U65)</f>
        <v>0.00177742426298396</v>
      </c>
      <c r="C65" s="15" t="n">
        <f aca="false">'Residual Diagnostics'!F65</f>
        <v>12.8751689591075</v>
      </c>
      <c r="D65" s="13" t="n">
        <f aca="false">C65/('Final Model'!$B$21*SQRT(1-B65))</f>
        <v>0.262820629957546</v>
      </c>
      <c r="E65" s="13" t="n">
        <f aca="false">D65*SQRT(('Final Model'!$B$24-1)/('Final Model'!$B$24-D65^2))</f>
        <v>0.262731834608112</v>
      </c>
      <c r="F65" s="23" t="n">
        <f aca="false">D65^2/($P$3+1)*B65/(1-B65)</f>
        <v>1.53742037911472E-005</v>
      </c>
      <c r="G65" s="13" t="n">
        <f aca="false">($P$2-1)*(B65-1/$P$2)</f>
        <v>1.46245410495429</v>
      </c>
      <c r="H65" s="13" t="n">
        <f aca="false">E65*SQRT(B65/(1-B65))</f>
        <v>0.0110865024359562</v>
      </c>
      <c r="I65" s="13" t="n">
        <f aca="false">ABS(D65)</f>
        <v>0.262820629957546</v>
      </c>
      <c r="J65" s="6" t="n">
        <f aca="false">IF(B65&gt;$P$4,1,0)</f>
        <v>0</v>
      </c>
      <c r="K65" s="6" t="n">
        <f aca="false">IF(F65&gt;$P$6,1,0)</f>
        <v>0</v>
      </c>
      <c r="L65" s="6" t="n">
        <f aca="false">IF(G65&gt;$P$9,1,0)</f>
        <v>0</v>
      </c>
      <c r="M65" s="6" t="n">
        <f aca="false">IF(ABS(H65)&gt;$P$8,1,0)</f>
        <v>0</v>
      </c>
    </row>
    <row r="66" customFormat="false" ht="15" hidden="false" customHeight="false" outlineLevel="0" collapsed="false">
      <c r="A66" s="0" t="n">
        <f aca="false">ROW()-1</f>
        <v>65</v>
      </c>
      <c r="B66" s="22" t="n">
        <f aca="false">SUMPRODUCT(MMULT('Analysis Data'!N66:U66,'Final Model'!$B$59:$I$66),'Analysis Data'!N66:U66)</f>
        <v>0.00192738190499505</v>
      </c>
      <c r="C66" s="15" t="n">
        <f aca="false">'Residual Diagnostics'!F66</f>
        <v>-76.9036442256359</v>
      </c>
      <c r="D66" s="13" t="n">
        <f aca="false">C66/('Final Model'!$B$21*SQRT(1-B66))</f>
        <v>-1.56995085787584</v>
      </c>
      <c r="E66" s="13" t="n">
        <f aca="false">D66*SQRT(('Final Model'!$B$24-1)/('Final Model'!$B$24-D66^2))</f>
        <v>-1.57078652053924</v>
      </c>
      <c r="F66" s="23" t="n">
        <f aca="false">D66^2/($P$3+1)*B66/(1-B66)</f>
        <v>0.000594959997028023</v>
      </c>
      <c r="G66" s="13" t="n">
        <f aca="false">($P$2-1)*(B66-1/$P$2)</f>
        <v>1.67014543913964</v>
      </c>
      <c r="H66" s="13" t="n">
        <f aca="false">E66*SQRT(B66/(1-B66))</f>
        <v>-0.0690271565805908</v>
      </c>
      <c r="I66" s="13" t="n">
        <f aca="false">ABS(D66)</f>
        <v>1.56995085787584</v>
      </c>
      <c r="J66" s="6" t="n">
        <f aca="false">IF(B66&gt;$P$4,1,0)</f>
        <v>0</v>
      </c>
      <c r="K66" s="6" t="n">
        <f aca="false">IF(F66&gt;$P$6,1,0)</f>
        <v>0</v>
      </c>
      <c r="L66" s="6" t="n">
        <f aca="false">IF(G66&gt;$P$9,1,0)</f>
        <v>0</v>
      </c>
      <c r="M66" s="6" t="n">
        <f aca="false">IF(ABS(H66)&gt;$P$8,1,0)</f>
        <v>0</v>
      </c>
    </row>
    <row r="67" customFormat="false" ht="15" hidden="false" customHeight="false" outlineLevel="0" collapsed="false">
      <c r="A67" s="0" t="n">
        <f aca="false">ROW()-1</f>
        <v>66</v>
      </c>
      <c r="B67" s="22" t="n">
        <f aca="false">SUMPRODUCT(MMULT('Analysis Data'!N67:U67,'Final Model'!$B$59:$I$66),'Analysis Data'!N67:U67)</f>
        <v>0.00239470827348022</v>
      </c>
      <c r="C67" s="15" t="n">
        <f aca="false">'Residual Diagnostics'!F67</f>
        <v>61.5304137736681</v>
      </c>
      <c r="D67" s="13" t="n">
        <f aca="false">C67/('Final Model'!$B$21*SQRT(1-B67))</f>
        <v>1.25640794003149</v>
      </c>
      <c r="E67" s="13" t="n">
        <f aca="false">D67*SQRT(('Final Model'!$B$24-1)/('Final Model'!$B$24-D67^2))</f>
        <v>1.25667196968553</v>
      </c>
      <c r="F67" s="23" t="n">
        <f aca="false">D67^2/($P$3+1)*B67/(1-B67)</f>
        <v>0.000473658383101078</v>
      </c>
      <c r="G67" s="13" t="n">
        <f aca="false">($P$2-1)*(B67-1/$P$2)</f>
        <v>2.3173924594916</v>
      </c>
      <c r="H67" s="13" t="n">
        <f aca="false">E67*SQRT(B67/(1-B67))</f>
        <v>0.0615699588606787</v>
      </c>
      <c r="I67" s="13" t="n">
        <f aca="false">ABS(D67)</f>
        <v>1.25640794003149</v>
      </c>
      <c r="J67" s="6" t="n">
        <f aca="false">IF(B67&gt;$P$4,1,0)</f>
        <v>0</v>
      </c>
      <c r="K67" s="6" t="n">
        <f aca="false">IF(F67&gt;$P$6,1,0)</f>
        <v>0</v>
      </c>
      <c r="L67" s="6" t="n">
        <f aca="false">IF(G67&gt;$P$9,1,0)</f>
        <v>0</v>
      </c>
      <c r="M67" s="6" t="n">
        <f aca="false">IF(ABS(H67)&gt;$P$8,1,0)</f>
        <v>0</v>
      </c>
    </row>
    <row r="68" customFormat="false" ht="15" hidden="false" customHeight="false" outlineLevel="0" collapsed="false">
      <c r="A68" s="0" t="n">
        <f aca="false">ROW()-1</f>
        <v>67</v>
      </c>
      <c r="B68" s="22" t="n">
        <f aca="false">SUMPRODUCT(MMULT('Analysis Data'!N68:U68,'Final Model'!$B$59:$I$66),'Analysis Data'!N68:U68)</f>
        <v>0.00245757096629676</v>
      </c>
      <c r="C68" s="15" t="n">
        <f aca="false">'Residual Diagnostics'!F68</f>
        <v>21.6118598024479</v>
      </c>
      <c r="D68" s="13" t="n">
        <f aca="false">C68/('Final Model'!$B$21*SQRT(1-B68))</f>
        <v>0.441312940114946</v>
      </c>
      <c r="E68" s="13" t="n">
        <f aca="false">D68*SQRT(('Final Model'!$B$24-1)/('Final Model'!$B$24-D68^2))</f>
        <v>0.441183961057144</v>
      </c>
      <c r="F68" s="23" t="n">
        <f aca="false">D68^2/($P$3+1)*B68/(1-B68)</f>
        <v>5.99760731749685E-005</v>
      </c>
      <c r="G68" s="13" t="n">
        <f aca="false">($P$2-1)*(B68-1/$P$2)</f>
        <v>2.40445728904251</v>
      </c>
      <c r="H68" s="13" t="n">
        <f aca="false">E68*SQRT(B68/(1-B68))</f>
        <v>0.0218981315785118</v>
      </c>
      <c r="I68" s="13" t="n">
        <f aca="false">ABS(D68)</f>
        <v>0.441312940114946</v>
      </c>
      <c r="J68" s="6" t="n">
        <f aca="false">IF(B68&gt;$P$4,1,0)</f>
        <v>0</v>
      </c>
      <c r="K68" s="6" t="n">
        <f aca="false">IF(F68&gt;$P$6,1,0)</f>
        <v>0</v>
      </c>
      <c r="L68" s="6" t="n">
        <f aca="false">IF(G68&gt;$P$9,1,0)</f>
        <v>0</v>
      </c>
      <c r="M68" s="6" t="n">
        <f aca="false">IF(ABS(H68)&gt;$P$8,1,0)</f>
        <v>0</v>
      </c>
    </row>
    <row r="69" customFormat="false" ht="15" hidden="false" customHeight="false" outlineLevel="0" collapsed="false">
      <c r="A69" s="0" t="n">
        <f aca="false">ROW()-1</f>
        <v>68</v>
      </c>
      <c r="B69" s="22" t="n">
        <f aca="false">SUMPRODUCT(MMULT('Analysis Data'!N69:U69,'Final Model'!$B$59:$I$66),'Analysis Data'!N69:U69)</f>
        <v>0.00245757096629676</v>
      </c>
      <c r="C69" s="15" t="n">
        <f aca="false">'Residual Diagnostics'!F69</f>
        <v>-47.403927775621</v>
      </c>
      <c r="D69" s="13" t="n">
        <f aca="false">C69/('Final Model'!$B$21*SQRT(1-B69))</f>
        <v>-0.967985491803269</v>
      </c>
      <c r="E69" s="13" t="n">
        <f aca="false">D69*SQRT(('Final Model'!$B$24-1)/('Final Model'!$B$24-D69^2))</f>
        <v>-0.967963347667456</v>
      </c>
      <c r="F69" s="23" t="n">
        <f aca="false">D69^2/($P$3+1)*B69/(1-B69)</f>
        <v>0.000288550877973695</v>
      </c>
      <c r="G69" s="13" t="n">
        <f aca="false">($P$2-1)*(B69-1/$P$2)</f>
        <v>2.40445728904251</v>
      </c>
      <c r="H69" s="13" t="n">
        <f aca="false">E69*SQRT(B69/(1-B69))</f>
        <v>-0.0480447854441681</v>
      </c>
      <c r="I69" s="13" t="n">
        <f aca="false">ABS(D69)</f>
        <v>0.967985491803269</v>
      </c>
      <c r="J69" s="6" t="n">
        <f aca="false">IF(B69&gt;$P$4,1,0)</f>
        <v>0</v>
      </c>
      <c r="K69" s="6" t="n">
        <f aca="false">IF(F69&gt;$P$6,1,0)</f>
        <v>0</v>
      </c>
      <c r="L69" s="6" t="n">
        <f aca="false">IF(G69&gt;$P$9,1,0)</f>
        <v>0</v>
      </c>
      <c r="M69" s="6" t="n">
        <f aca="false">IF(ABS(H69)&gt;$P$8,1,0)</f>
        <v>0</v>
      </c>
    </row>
    <row r="70" customFormat="false" ht="15" hidden="false" customHeight="false" outlineLevel="0" collapsed="false">
      <c r="A70" s="0" t="n">
        <f aca="false">ROW()-1</f>
        <v>69</v>
      </c>
      <c r="B70" s="22" t="n">
        <f aca="false">SUMPRODUCT(MMULT('Analysis Data'!N70:U70,'Final Model'!$B$59:$I$66),'Analysis Data'!N70:U70)</f>
        <v>0.0017023247832942</v>
      </c>
      <c r="C70" s="15" t="n">
        <f aca="false">'Residual Diagnostics'!F70</f>
        <v>-22.4589486199795</v>
      </c>
      <c r="D70" s="13" t="n">
        <f aca="false">C70/('Final Model'!$B$21*SQRT(1-B70))</f>
        <v>-0.458436935250575</v>
      </c>
      <c r="E70" s="13" t="n">
        <f aca="false">D70*SQRT(('Final Model'!$B$24-1)/('Final Model'!$B$24-D70^2))</f>
        <v>-0.458305514006322</v>
      </c>
      <c r="F70" s="23" t="n">
        <f aca="false">D70^2/($P$3+1)*B70/(1-B70)</f>
        <v>4.47972728658641E-005</v>
      </c>
      <c r="G70" s="13" t="n">
        <f aca="false">($P$2-1)*(B70-1/$P$2)</f>
        <v>1.35844132558397</v>
      </c>
      <c r="H70" s="13" t="n">
        <f aca="false">E70*SQRT(B70/(1-B70))</f>
        <v>-0.0189254521232065</v>
      </c>
      <c r="I70" s="13" t="n">
        <f aca="false">ABS(D70)</f>
        <v>0.458436935250575</v>
      </c>
      <c r="J70" s="6" t="n">
        <f aca="false">IF(B70&gt;$P$4,1,0)</f>
        <v>0</v>
      </c>
      <c r="K70" s="6" t="n">
        <f aca="false">IF(F70&gt;$P$6,1,0)</f>
        <v>0</v>
      </c>
      <c r="L70" s="6" t="n">
        <f aca="false">IF(G70&gt;$P$9,1,0)</f>
        <v>0</v>
      </c>
      <c r="M70" s="6" t="n">
        <f aca="false">IF(ABS(H70)&gt;$P$8,1,0)</f>
        <v>0</v>
      </c>
    </row>
    <row r="71" customFormat="false" ht="15" hidden="false" customHeight="false" outlineLevel="0" collapsed="false">
      <c r="A71" s="0" t="n">
        <f aca="false">ROW()-1</f>
        <v>70</v>
      </c>
      <c r="B71" s="22" t="n">
        <f aca="false">SUMPRODUCT(MMULT('Analysis Data'!N71:U71,'Final Model'!$B$59:$I$66),'Analysis Data'!N71:U71)</f>
        <v>0.00175064183851551</v>
      </c>
      <c r="C71" s="15" t="n">
        <f aca="false">'Residual Diagnostics'!F71</f>
        <v>-0.819365512651331</v>
      </c>
      <c r="D71" s="13" t="n">
        <f aca="false">C71/('Final Model'!$B$21*SQRT(1-B71))</f>
        <v>-0.016725471491806</v>
      </c>
      <c r="E71" s="13" t="n">
        <f aca="false">D71*SQRT(('Final Model'!$B$24-1)/('Final Model'!$B$24-D71^2))</f>
        <v>-0.016719403338737</v>
      </c>
      <c r="F71" s="23" t="n">
        <f aca="false">D71^2/($P$3+1)*B71/(1-B71)</f>
        <v>6.13232291222447E-008</v>
      </c>
      <c r="G71" s="13" t="n">
        <f aca="false">($P$2-1)*(B71-1/$P$2)</f>
        <v>1.42536044706548</v>
      </c>
      <c r="H71" s="13" t="n">
        <f aca="false">E71*SQRT(B71/(1-B71))</f>
        <v>-0.000700164208993904</v>
      </c>
      <c r="I71" s="13" t="n">
        <f aca="false">ABS(D71)</f>
        <v>0.016725471491806</v>
      </c>
      <c r="J71" s="6" t="n">
        <f aca="false">IF(B71&gt;$P$4,1,0)</f>
        <v>0</v>
      </c>
      <c r="K71" s="6" t="n">
        <f aca="false">IF(F71&gt;$P$6,1,0)</f>
        <v>0</v>
      </c>
      <c r="L71" s="6" t="n">
        <f aca="false">IF(G71&gt;$P$9,1,0)</f>
        <v>0</v>
      </c>
      <c r="M71" s="6" t="n">
        <f aca="false">IF(ABS(H71)&gt;$P$8,1,0)</f>
        <v>0</v>
      </c>
    </row>
    <row r="72" customFormat="false" ht="15" hidden="false" customHeight="false" outlineLevel="0" collapsed="false">
      <c r="A72" s="0" t="n">
        <f aca="false">ROW()-1</f>
        <v>71</v>
      </c>
      <c r="B72" s="22" t="n">
        <f aca="false">SUMPRODUCT(MMULT('Analysis Data'!N72:U72,'Final Model'!$B$59:$I$66),'Analysis Data'!N72:U72)</f>
        <v>0.00184478657278308</v>
      </c>
      <c r="C72" s="15" t="n">
        <f aca="false">'Residual Diagnostics'!F72</f>
        <v>-2.33230096436117</v>
      </c>
      <c r="D72" s="13" t="n">
        <f aca="false">C72/('Final Model'!$B$21*SQRT(1-B72))</f>
        <v>-0.0476108309122954</v>
      </c>
      <c r="E72" s="13" t="n">
        <f aca="false">D72*SQRT(('Final Model'!$B$24-1)/('Final Model'!$B$24-D72^2))</f>
        <v>-0.0475935915846695</v>
      </c>
      <c r="F72" s="23" t="n">
        <f aca="false">D72^2/($P$3+1)*B72/(1-B72)</f>
        <v>5.23684336614092E-007</v>
      </c>
      <c r="G72" s="13" t="n">
        <f aca="false">($P$2-1)*(B72-1/$P$2)</f>
        <v>1.55575090402607</v>
      </c>
      <c r="H72" s="13" t="n">
        <f aca="false">E72*SQRT(B72/(1-B72))</f>
        <v>-0.0020460795004483</v>
      </c>
      <c r="I72" s="13" t="n">
        <f aca="false">ABS(D72)</f>
        <v>0.0476108309122954</v>
      </c>
      <c r="J72" s="6" t="n">
        <f aca="false">IF(B72&gt;$P$4,1,0)</f>
        <v>0</v>
      </c>
      <c r="K72" s="6" t="n">
        <f aca="false">IF(F72&gt;$P$6,1,0)</f>
        <v>0</v>
      </c>
      <c r="L72" s="6" t="n">
        <f aca="false">IF(G72&gt;$P$9,1,0)</f>
        <v>0</v>
      </c>
      <c r="M72" s="6" t="n">
        <f aca="false">IF(ABS(H72)&gt;$P$8,1,0)</f>
        <v>0</v>
      </c>
    </row>
    <row r="73" customFormat="false" ht="15" hidden="false" customHeight="false" outlineLevel="0" collapsed="false">
      <c r="A73" s="0" t="n">
        <f aca="false">ROW()-1</f>
        <v>72</v>
      </c>
      <c r="B73" s="22" t="n">
        <f aca="false">SUMPRODUCT(MMULT('Analysis Data'!N73:U73,'Final Model'!$B$59:$I$66),'Analysis Data'!N73:U73)</f>
        <v>0.00235332006151604</v>
      </c>
      <c r="C73" s="15" t="n">
        <f aca="false">'Residual Diagnostics'!F73</f>
        <v>28.7061877367181</v>
      </c>
      <c r="D73" s="13" t="n">
        <f aca="false">C73/('Final Model'!$B$21*SQRT(1-B73))</f>
        <v>0.58614808275177</v>
      </c>
      <c r="E73" s="13" t="n">
        <f aca="false">D73*SQRT(('Final Model'!$B$24-1)/('Final Model'!$B$24-D73^2))</f>
        <v>0.586008421196416</v>
      </c>
      <c r="F73" s="23" t="n">
        <f aca="false">D73^2/($P$3+1)*B73/(1-B73)</f>
        <v>0.000101304548673047</v>
      </c>
      <c r="G73" s="13" t="n">
        <f aca="false">($P$2-1)*(B73-1/$P$2)</f>
        <v>2.26006978592122</v>
      </c>
      <c r="H73" s="13" t="n">
        <f aca="false">E73*SQRT(B73/(1-B73))</f>
        <v>0.0284613813771413</v>
      </c>
      <c r="I73" s="13" t="n">
        <f aca="false">ABS(D73)</f>
        <v>0.58614808275177</v>
      </c>
      <c r="J73" s="6" t="n">
        <f aca="false">IF(B73&gt;$P$4,1,0)</f>
        <v>0</v>
      </c>
      <c r="K73" s="6" t="n">
        <f aca="false">IF(F73&gt;$P$6,1,0)</f>
        <v>0</v>
      </c>
      <c r="L73" s="6" t="n">
        <f aca="false">IF(G73&gt;$P$9,1,0)</f>
        <v>0</v>
      </c>
      <c r="M73" s="6" t="n">
        <f aca="false">IF(ABS(H73)&gt;$P$8,1,0)</f>
        <v>0</v>
      </c>
    </row>
    <row r="74" customFormat="false" ht="15" hidden="false" customHeight="false" outlineLevel="0" collapsed="false">
      <c r="A74" s="0" t="n">
        <f aca="false">ROW()-1</f>
        <v>73</v>
      </c>
      <c r="B74" s="22" t="n">
        <f aca="false">SUMPRODUCT(MMULT('Analysis Data'!N74:U74,'Final Model'!$B$59:$I$66),'Analysis Data'!N74:U74)</f>
        <v>0.00235332006151604</v>
      </c>
      <c r="C74" s="15" t="n">
        <f aca="false">'Residual Diagnostics'!F74</f>
        <v>58.9494462539355</v>
      </c>
      <c r="D74" s="13" t="n">
        <f aca="false">C74/('Final Model'!$B$21*SQRT(1-B74))</f>
        <v>1.20368142290193</v>
      </c>
      <c r="E74" s="13" t="n">
        <f aca="false">D74*SQRT(('Final Model'!$B$24-1)/('Final Model'!$B$24-D74^2))</f>
        <v>1.20387764776789</v>
      </c>
      <c r="F74" s="23" t="n">
        <f aca="false">D74^2/($P$3+1)*B74/(1-B74)</f>
        <v>0.000427206020263241</v>
      </c>
      <c r="G74" s="13" t="n">
        <f aca="false">($P$2-1)*(B74-1/$P$2)</f>
        <v>2.26006978592122</v>
      </c>
      <c r="H74" s="13" t="n">
        <f aca="false">E74*SQRT(B74/(1-B74))</f>
        <v>0.0584701851119872</v>
      </c>
      <c r="I74" s="13" t="n">
        <f aca="false">ABS(D74)</f>
        <v>1.20368142290193</v>
      </c>
      <c r="J74" s="6" t="n">
        <f aca="false">IF(B74&gt;$P$4,1,0)</f>
        <v>0</v>
      </c>
      <c r="K74" s="6" t="n">
        <f aca="false">IF(F74&gt;$P$6,1,0)</f>
        <v>0</v>
      </c>
      <c r="L74" s="6" t="n">
        <f aca="false">IF(G74&gt;$P$9,1,0)</f>
        <v>0</v>
      </c>
      <c r="M74" s="6" t="n">
        <f aca="false">IF(ABS(H74)&gt;$P$8,1,0)</f>
        <v>0</v>
      </c>
    </row>
    <row r="75" customFormat="false" ht="15" hidden="false" customHeight="false" outlineLevel="0" collapsed="false">
      <c r="A75" s="0" t="n">
        <f aca="false">ROW()-1</f>
        <v>74</v>
      </c>
      <c r="B75" s="22" t="n">
        <f aca="false">SUMPRODUCT(MMULT('Analysis Data'!N75:U75,'Final Model'!$B$59:$I$66),'Analysis Data'!N75:U75)</f>
        <v>0.00180085483073274</v>
      </c>
      <c r="C75" s="15" t="n">
        <f aca="false">'Residual Diagnostics'!F75</f>
        <v>-47.8617799416206</v>
      </c>
      <c r="D75" s="13" t="n">
        <f aca="false">C75/('Final Model'!$B$21*SQRT(1-B75))</f>
        <v>-0.97701325919636</v>
      </c>
      <c r="E75" s="13" t="n">
        <f aca="false">D75*SQRT(('Final Model'!$B$24-1)/('Final Model'!$B$24-D75^2))</f>
        <v>-0.976997137425177</v>
      </c>
      <c r="F75" s="23" t="n">
        <f aca="false">D75^2/($P$3+1)*B75/(1-B75)</f>
        <v>0.000215264512441351</v>
      </c>
      <c r="G75" s="13" t="n">
        <f aca="false">($P$2-1)*(B75-1/$P$2)</f>
        <v>1.49490544128634</v>
      </c>
      <c r="H75" s="13" t="n">
        <f aca="false">E75*SQRT(B75/(1-B75))</f>
        <v>-0.0414977019418957</v>
      </c>
      <c r="I75" s="13" t="n">
        <f aca="false">ABS(D75)</f>
        <v>0.97701325919636</v>
      </c>
      <c r="J75" s="6" t="n">
        <f aca="false">IF(B75&gt;$P$4,1,0)</f>
        <v>0</v>
      </c>
      <c r="K75" s="6" t="n">
        <f aca="false">IF(F75&gt;$P$6,1,0)</f>
        <v>0</v>
      </c>
      <c r="L75" s="6" t="n">
        <f aca="false">IF(G75&gt;$P$9,1,0)</f>
        <v>0</v>
      </c>
      <c r="M75" s="6" t="n">
        <f aca="false">IF(ABS(H75)&gt;$P$8,1,0)</f>
        <v>0</v>
      </c>
    </row>
    <row r="76" customFormat="false" ht="15" hidden="false" customHeight="false" outlineLevel="0" collapsed="false">
      <c r="A76" s="0" t="n">
        <f aca="false">ROW()-1</f>
        <v>75</v>
      </c>
      <c r="B76" s="22" t="n">
        <f aca="false">SUMPRODUCT(MMULT('Analysis Data'!N76:U76,'Final Model'!$B$59:$I$66),'Analysis Data'!N76:U76)</f>
        <v>0.00228262997076976</v>
      </c>
      <c r="C76" s="15" t="n">
        <f aca="false">'Residual Diagnostics'!F76</f>
        <v>57.5124126292029</v>
      </c>
      <c r="D76" s="13" t="n">
        <f aca="false">C76/('Final Model'!$B$21*SQRT(1-B76))</f>
        <v>1.17429720900732</v>
      </c>
      <c r="E76" s="13" t="n">
        <f aca="false">D76*SQRT(('Final Model'!$B$24-1)/('Final Model'!$B$24-D76^2))</f>
        <v>1.17445883570115</v>
      </c>
      <c r="F76" s="23" t="n">
        <f aca="false">D76^2/($P$3+1)*B76/(1-B76)</f>
        <v>0.000394361084572115</v>
      </c>
      <c r="G76" s="13" t="n">
        <f aca="false">($P$2-1)*(B76-1/$P$2)</f>
        <v>2.16216401023761</v>
      </c>
      <c r="H76" s="13" t="n">
        <f aca="false">E76*SQRT(B76/(1-B76))</f>
        <v>0.0561761265565167</v>
      </c>
      <c r="I76" s="13" t="n">
        <f aca="false">ABS(D76)</f>
        <v>1.17429720900732</v>
      </c>
      <c r="J76" s="6" t="n">
        <f aca="false">IF(B76&gt;$P$4,1,0)</f>
        <v>0</v>
      </c>
      <c r="K76" s="6" t="n">
        <f aca="false">IF(F76&gt;$P$6,1,0)</f>
        <v>0</v>
      </c>
      <c r="L76" s="6" t="n">
        <f aca="false">IF(G76&gt;$P$9,1,0)</f>
        <v>0</v>
      </c>
      <c r="M76" s="6" t="n">
        <f aca="false">IF(ABS(H76)&gt;$P$8,1,0)</f>
        <v>0</v>
      </c>
    </row>
    <row r="77" customFormat="false" ht="15" hidden="false" customHeight="false" outlineLevel="0" collapsed="false">
      <c r="A77" s="0" t="n">
        <f aca="false">ROW()-1</f>
        <v>76</v>
      </c>
      <c r="B77" s="22" t="n">
        <f aca="false">SUMPRODUCT(MMULT('Analysis Data'!N77:U77,'Final Model'!$B$59:$I$66),'Analysis Data'!N77:U77)</f>
        <v>0.00177118450933019</v>
      </c>
      <c r="C77" s="15" t="n">
        <f aca="false">'Residual Diagnostics'!F77</f>
        <v>50.9708429917573</v>
      </c>
      <c r="D77" s="13" t="n">
        <f aca="false">C77/('Final Model'!$B$21*SQRT(1-B77))</f>
        <v>1.04046379806165</v>
      </c>
      <c r="E77" s="13" t="n">
        <f aca="false">D77*SQRT(('Final Model'!$B$24-1)/('Final Model'!$B$24-D77^2))</f>
        <v>1.04049499256728</v>
      </c>
      <c r="F77" s="23" t="n">
        <f aca="false">D77^2/($P$3+1)*B77/(1-B77)</f>
        <v>0.000240103042781083</v>
      </c>
      <c r="G77" s="13" t="n">
        <f aca="false">($P$2-1)*(B77-1/$P$2)</f>
        <v>1.45381204614382</v>
      </c>
      <c r="H77" s="13" t="n">
        <f aca="false">E77*SQRT(B77/(1-B77))</f>
        <v>0.0438285240656758</v>
      </c>
      <c r="I77" s="13" t="n">
        <f aca="false">ABS(D77)</f>
        <v>1.04046379806165</v>
      </c>
      <c r="J77" s="6" t="n">
        <f aca="false">IF(B77&gt;$P$4,1,0)</f>
        <v>0</v>
      </c>
      <c r="K77" s="6" t="n">
        <f aca="false">IF(F77&gt;$P$6,1,0)</f>
        <v>0</v>
      </c>
      <c r="L77" s="6" t="n">
        <f aca="false">IF(G77&gt;$P$9,1,0)</f>
        <v>0</v>
      </c>
      <c r="M77" s="6" t="n">
        <f aca="false">IF(ABS(H77)&gt;$P$8,1,0)</f>
        <v>0</v>
      </c>
    </row>
    <row r="78" customFormat="false" ht="15" hidden="false" customHeight="false" outlineLevel="0" collapsed="false">
      <c r="A78" s="0" t="n">
        <f aca="false">ROW()-1</f>
        <v>77</v>
      </c>
      <c r="B78" s="22" t="n">
        <f aca="false">SUMPRODUCT(MMULT('Analysis Data'!N78:U78,'Final Model'!$B$59:$I$66),'Analysis Data'!N78:U78)</f>
        <v>0.00177118450933019</v>
      </c>
      <c r="C78" s="15" t="n">
        <f aca="false">'Residual Diagnostics'!F78</f>
        <v>-74.8076789802881</v>
      </c>
      <c r="D78" s="13" t="n">
        <f aca="false">C78/('Final Model'!$B$21*SQRT(1-B78))</f>
        <v>-1.52704325115036</v>
      </c>
      <c r="E78" s="13" t="n">
        <f aca="false">D78*SQRT(('Final Model'!$B$24-1)/('Final Model'!$B$24-D78^2))</f>
        <v>-1.52778228021188</v>
      </c>
      <c r="F78" s="23" t="n">
        <f aca="false">D78^2/($P$3+1)*B78/(1-B78)</f>
        <v>0.000517185561315062</v>
      </c>
      <c r="G78" s="13" t="n">
        <f aca="false">($P$2-1)*(B78-1/$P$2)</f>
        <v>1.45381204614382</v>
      </c>
      <c r="H78" s="13" t="n">
        <f aca="false">E78*SQRT(B78/(1-B78))</f>
        <v>-0.0643544110386957</v>
      </c>
      <c r="I78" s="13" t="n">
        <f aca="false">ABS(D78)</f>
        <v>1.52704325115036</v>
      </c>
      <c r="J78" s="6" t="n">
        <f aca="false">IF(B78&gt;$P$4,1,0)</f>
        <v>0</v>
      </c>
      <c r="K78" s="6" t="n">
        <f aca="false">IF(F78&gt;$P$6,1,0)</f>
        <v>0</v>
      </c>
      <c r="L78" s="6" t="n">
        <f aca="false">IF(G78&gt;$P$9,1,0)</f>
        <v>0</v>
      </c>
      <c r="M78" s="6" t="n">
        <f aca="false">IF(ABS(H78)&gt;$P$8,1,0)</f>
        <v>0</v>
      </c>
    </row>
    <row r="79" customFormat="false" ht="15" hidden="false" customHeight="false" outlineLevel="0" collapsed="false">
      <c r="A79" s="0" t="n">
        <f aca="false">ROW()-1</f>
        <v>78</v>
      </c>
      <c r="B79" s="22" t="n">
        <f aca="false">SUMPRODUCT(MMULT('Analysis Data'!N79:U79,'Final Model'!$B$59:$I$66),'Analysis Data'!N79:U79)</f>
        <v>0.00245757096629676</v>
      </c>
      <c r="C79" s="15" t="n">
        <f aca="false">'Residual Diagnostics'!F79</f>
        <v>-51.0102998050518</v>
      </c>
      <c r="D79" s="13" t="n">
        <f aca="false">C79/('Final Model'!$B$21*SQRT(1-B79))</f>
        <v>-1.04162740221748</v>
      </c>
      <c r="E79" s="13" t="n">
        <f aca="false">D79*SQRT(('Final Model'!$B$24-1)/('Final Model'!$B$24-D79^2))</f>
        <v>-1.04165954802647</v>
      </c>
      <c r="F79" s="23" t="n">
        <f aca="false">D79^2/($P$3+1)*B79/(1-B79)</f>
        <v>0.000334125403799782</v>
      </c>
      <c r="G79" s="13" t="n">
        <f aca="false">($P$2-1)*(B79-1/$P$2)</f>
        <v>2.40445728904251</v>
      </c>
      <c r="H79" s="13" t="n">
        <f aca="false">E79*SQRT(B79/(1-B79))</f>
        <v>-0.0517026906146804</v>
      </c>
      <c r="I79" s="13" t="n">
        <f aca="false">ABS(D79)</f>
        <v>1.04162740221748</v>
      </c>
      <c r="J79" s="6" t="n">
        <f aca="false">IF(B79&gt;$P$4,1,0)</f>
        <v>0</v>
      </c>
      <c r="K79" s="6" t="n">
        <f aca="false">IF(F79&gt;$P$6,1,0)</f>
        <v>0</v>
      </c>
      <c r="L79" s="6" t="n">
        <f aca="false">IF(G79&gt;$P$9,1,0)</f>
        <v>0</v>
      </c>
      <c r="M79" s="6" t="n">
        <f aca="false">IF(ABS(H79)&gt;$P$8,1,0)</f>
        <v>0</v>
      </c>
    </row>
    <row r="80" customFormat="false" ht="15" hidden="false" customHeight="false" outlineLevel="0" collapsed="false">
      <c r="A80" s="0" t="n">
        <f aca="false">ROW()-1</f>
        <v>79</v>
      </c>
      <c r="B80" s="22" t="n">
        <f aca="false">SUMPRODUCT(MMULT('Analysis Data'!N80:U80,'Final Model'!$B$59:$I$66),'Analysis Data'!N80:U80)</f>
        <v>0.00245757096629676</v>
      </c>
      <c r="C80" s="15" t="n">
        <f aca="false">'Residual Diagnostics'!F80</f>
        <v>102.246416655696</v>
      </c>
      <c r="D80" s="13" t="n">
        <f aca="false">C80/('Final Model'!$B$21*SQRT(1-B80))</f>
        <v>2.08786597558032</v>
      </c>
      <c r="E80" s="13" t="n">
        <f aca="false">D80*SQRT(('Final Model'!$B$24-1)/('Final Model'!$B$24-D80^2))</f>
        <v>2.0904173136018</v>
      </c>
      <c r="F80" s="23" t="n">
        <f aca="false">D80^2/($P$3+1)*B80/(1-B80)</f>
        <v>0.0013424247103707</v>
      </c>
      <c r="G80" s="13" t="n">
        <f aca="false">($P$2-1)*(B80-1/$P$2)</f>
        <v>2.40445728904251</v>
      </c>
      <c r="H80" s="13" t="n">
        <f aca="false">E80*SQRT(B80/(1-B80))</f>
        <v>0.103757700705086</v>
      </c>
      <c r="I80" s="13" t="n">
        <f aca="false">ABS(D80)</f>
        <v>2.08786597558032</v>
      </c>
      <c r="J80" s="6" t="n">
        <f aca="false">IF(B80&gt;$P$4,1,0)</f>
        <v>0</v>
      </c>
      <c r="K80" s="6" t="n">
        <f aca="false">IF(F80&gt;$P$6,1,0)</f>
        <v>0</v>
      </c>
      <c r="L80" s="6" t="n">
        <f aca="false">IF(G80&gt;$P$9,1,0)</f>
        <v>0</v>
      </c>
      <c r="M80" s="6" t="n">
        <f aca="false">IF(ABS(H80)&gt;$P$8,1,0)</f>
        <v>0</v>
      </c>
    </row>
    <row r="81" customFormat="false" ht="15" hidden="false" customHeight="false" outlineLevel="0" collapsed="false">
      <c r="A81" s="0" t="n">
        <f aca="false">ROW()-1</f>
        <v>80</v>
      </c>
      <c r="B81" s="22" t="n">
        <f aca="false">SUMPRODUCT(MMULT('Analysis Data'!N81:U81,'Final Model'!$B$59:$I$66),'Analysis Data'!N81:U81)</f>
        <v>0.001842163843596</v>
      </c>
      <c r="C81" s="15" t="n">
        <f aca="false">'Residual Diagnostics'!F81</f>
        <v>12.4263237339493</v>
      </c>
      <c r="D81" s="13" t="n">
        <f aca="false">C81/('Final Model'!$B$21*SQRT(1-B81))</f>
        <v>0.253666585027844</v>
      </c>
      <c r="E81" s="13" t="n">
        <f aca="false">D81*SQRT(('Final Model'!$B$24-1)/('Final Model'!$B$24-D81^2))</f>
        <v>0.253580447379862</v>
      </c>
      <c r="F81" s="23" t="n">
        <f aca="false">D81^2/($P$3+1)*B81/(1-B81)</f>
        <v>1.48444998978909E-005</v>
      </c>
      <c r="G81" s="13" t="n">
        <f aca="false">($P$2-1)*(B81-1/$P$2)</f>
        <v>1.55211842410196</v>
      </c>
      <c r="H81" s="13" t="n">
        <f aca="false">E81*SQRT(B81/(1-B81))</f>
        <v>0.0108938221413384</v>
      </c>
      <c r="I81" s="13" t="n">
        <f aca="false">ABS(D81)</f>
        <v>0.253666585027844</v>
      </c>
      <c r="J81" s="6" t="n">
        <f aca="false">IF(B81&gt;$P$4,1,0)</f>
        <v>0</v>
      </c>
      <c r="K81" s="6" t="n">
        <f aca="false">IF(F81&gt;$P$6,1,0)</f>
        <v>0</v>
      </c>
      <c r="L81" s="6" t="n">
        <f aca="false">IF(G81&gt;$P$9,1,0)</f>
        <v>0</v>
      </c>
      <c r="M81" s="6" t="n">
        <f aca="false">IF(ABS(H81)&gt;$P$8,1,0)</f>
        <v>0</v>
      </c>
    </row>
    <row r="82" customFormat="false" ht="15" hidden="false" customHeight="false" outlineLevel="0" collapsed="false">
      <c r="A82" s="0" t="n">
        <f aca="false">ROW()-1</f>
        <v>81</v>
      </c>
      <c r="B82" s="22" t="n">
        <f aca="false">SUMPRODUCT(MMULT('Analysis Data'!N82:U82,'Final Model'!$B$59:$I$66),'Analysis Data'!N82:U82)</f>
        <v>0.059425585376056</v>
      </c>
      <c r="C82" s="15" t="n">
        <f aca="false">'Residual Diagnostics'!F82</f>
        <v>81.3311932794827</v>
      </c>
      <c r="D82" s="13" t="n">
        <f aca="false">C82/('Final Model'!$B$21*SQRT(1-B82))</f>
        <v>1.71033338310299</v>
      </c>
      <c r="E82" s="13" t="n">
        <f aca="false">D82*SQRT(('Final Model'!$B$24-1)/('Final Model'!$B$24-D82^2))</f>
        <v>1.71153028201501</v>
      </c>
      <c r="F82" s="23" t="n">
        <f aca="false">D82^2/($P$3+1)*B82/(1-B82)</f>
        <v>0.0231021216108048</v>
      </c>
      <c r="G82" s="13" t="n">
        <f aca="false">($P$2-1)*(B82-1/$P$2)</f>
        <v>81.3051572465591</v>
      </c>
      <c r="H82" s="13" t="n">
        <f aca="false">E82*SQRT(B82/(1-B82))</f>
        <v>0.430204294348845</v>
      </c>
      <c r="I82" s="13" t="n">
        <f aca="false">ABS(D82)</f>
        <v>1.71033338310299</v>
      </c>
      <c r="J82" s="6" t="n">
        <f aca="false">IF(B82&gt;$P$4,1,0)</f>
        <v>1</v>
      </c>
      <c r="K82" s="6" t="n">
        <f aca="false">IF(F82&gt;$P$6,1,0)</f>
        <v>1</v>
      </c>
      <c r="L82" s="6" t="n">
        <f aca="false">IF(G82&gt;$P$9,1,0)</f>
        <v>1</v>
      </c>
      <c r="M82" s="6" t="n">
        <f aca="false">IF(ABS(H82)&gt;$P$8,1,0)</f>
        <v>1</v>
      </c>
    </row>
    <row r="83" customFormat="false" ht="15" hidden="false" customHeight="false" outlineLevel="0" collapsed="false">
      <c r="A83" s="0" t="n">
        <f aca="false">ROW()-1</f>
        <v>82</v>
      </c>
      <c r="B83" s="22" t="n">
        <f aca="false">SUMPRODUCT(MMULT('Analysis Data'!N83:U83,'Final Model'!$B$59:$I$66),'Analysis Data'!N83:U83)</f>
        <v>0.0592143962479028</v>
      </c>
      <c r="C83" s="15" t="n">
        <f aca="false">'Residual Diagnostics'!F83</f>
        <v>40.6311275779162</v>
      </c>
      <c r="D83" s="13" t="n">
        <f aca="false">C83/('Final Model'!$B$21*SQRT(1-B83))</f>
        <v>0.854345924643276</v>
      </c>
      <c r="E83" s="13" t="n">
        <f aca="false">D83*SQRT(('Final Model'!$B$24-1)/('Final Model'!$B$24-D83^2))</f>
        <v>0.85426214869974</v>
      </c>
      <c r="F83" s="23" t="n">
        <f aca="false">D83^2/($P$3+1)*B83/(1-B83)</f>
        <v>0.00574267395770903</v>
      </c>
      <c r="G83" s="13" t="n">
        <f aca="false">($P$2-1)*(B83-1/$P$2)</f>
        <v>81.0126603040669</v>
      </c>
      <c r="H83" s="13" t="n">
        <f aca="false">E83*SQRT(B83/(1-B83))</f>
        <v>0.214318413134904</v>
      </c>
      <c r="I83" s="13" t="n">
        <f aca="false">ABS(D83)</f>
        <v>0.854345924643276</v>
      </c>
      <c r="J83" s="6" t="n">
        <f aca="false">IF(B83&gt;$P$4,1,0)</f>
        <v>1</v>
      </c>
      <c r="K83" s="6" t="n">
        <f aca="false">IF(F83&gt;$P$6,1,0)</f>
        <v>1</v>
      </c>
      <c r="L83" s="6" t="n">
        <f aca="false">IF(G83&gt;$P$9,1,0)</f>
        <v>1</v>
      </c>
      <c r="M83" s="6" t="n">
        <f aca="false">IF(ABS(H83)&gt;$P$8,1,0)</f>
        <v>1</v>
      </c>
    </row>
    <row r="84" customFormat="false" ht="15" hidden="false" customHeight="false" outlineLevel="0" collapsed="false">
      <c r="A84" s="0" t="n">
        <f aca="false">ROW()-1</f>
        <v>83</v>
      </c>
      <c r="B84" s="22" t="n">
        <f aca="false">SUMPRODUCT(MMULT('Analysis Data'!N84:U84,'Final Model'!$B$59:$I$66),'Analysis Data'!N84:U84)</f>
        <v>0.0592827524326221</v>
      </c>
      <c r="C84" s="15" t="n">
        <f aca="false">'Residual Diagnostics'!F84</f>
        <v>-67.125404720436</v>
      </c>
      <c r="D84" s="13" t="n">
        <f aca="false">C84/('Final Model'!$B$21*SQRT(1-B84))</f>
        <v>-1.41148924285397</v>
      </c>
      <c r="E84" s="13" t="n">
        <f aca="false">D84*SQRT(('Final Model'!$B$24-1)/('Final Model'!$B$24-D84^2))</f>
        <v>-1.41199809575234</v>
      </c>
      <c r="F84" s="23" t="n">
        <f aca="false">D84^2/($P$3+1)*B84/(1-B84)</f>
        <v>0.0156940275609018</v>
      </c>
      <c r="G84" s="13" t="n">
        <f aca="false">($P$2-1)*(B84-1/$P$2)</f>
        <v>81.1073336199032</v>
      </c>
      <c r="H84" s="13" t="n">
        <f aca="false">E84*SQRT(B84/(1-B84))</f>
        <v>-0.354461227664293</v>
      </c>
      <c r="I84" s="13" t="n">
        <f aca="false">ABS(D84)</f>
        <v>1.41148924285397</v>
      </c>
      <c r="J84" s="6" t="n">
        <f aca="false">IF(B84&gt;$P$4,1,0)</f>
        <v>1</v>
      </c>
      <c r="K84" s="6" t="n">
        <f aca="false">IF(F84&gt;$P$6,1,0)</f>
        <v>1</v>
      </c>
      <c r="L84" s="6" t="n">
        <f aca="false">IF(G84&gt;$P$9,1,0)</f>
        <v>1</v>
      </c>
      <c r="M84" s="6" t="n">
        <f aca="false">IF(ABS(H84)&gt;$P$8,1,0)</f>
        <v>1</v>
      </c>
    </row>
    <row r="85" customFormat="false" ht="15" hidden="false" customHeight="false" outlineLevel="0" collapsed="false">
      <c r="A85" s="0" t="n">
        <f aca="false">ROW()-1</f>
        <v>84</v>
      </c>
      <c r="B85" s="22" t="n">
        <f aca="false">SUMPRODUCT(MMULT('Analysis Data'!N85:U85,'Final Model'!$B$59:$I$66),'Analysis Data'!N85:U85)</f>
        <v>0.0594290544183088</v>
      </c>
      <c r="C85" s="15" t="n">
        <f aca="false">'Residual Diagnostics'!F85</f>
        <v>-12.0539412288061</v>
      </c>
      <c r="D85" s="13" t="n">
        <f aca="false">C85/('Final Model'!$B$21*SQRT(1-B85))</f>
        <v>-0.253485720164739</v>
      </c>
      <c r="E85" s="13" t="n">
        <f aca="false">D85*SQRT(('Final Model'!$B$24-1)/('Final Model'!$B$24-D85^2))</f>
        <v>-0.253399635498981</v>
      </c>
      <c r="F85" s="23" t="n">
        <f aca="false">D85^2/($P$3+1)*B85/(1-B85)</f>
        <v>0.00050748624058292</v>
      </c>
      <c r="G85" s="13" t="n">
        <f aca="false">($P$2-1)*(B85-1/$P$2)</f>
        <v>81.3099618700792</v>
      </c>
      <c r="H85" s="13" t="n">
        <f aca="false">E85*SQRT(B85/(1-B85))</f>
        <v>-0.0636956269012271</v>
      </c>
      <c r="I85" s="13" t="n">
        <f aca="false">ABS(D85)</f>
        <v>0.253485720164739</v>
      </c>
      <c r="J85" s="6" t="n">
        <f aca="false">IF(B85&gt;$P$4,1,0)</f>
        <v>1</v>
      </c>
      <c r="K85" s="6" t="n">
        <f aca="false">IF(F85&gt;$P$6,1,0)</f>
        <v>0</v>
      </c>
      <c r="L85" s="6" t="n">
        <f aca="false">IF(G85&gt;$P$9,1,0)</f>
        <v>1</v>
      </c>
      <c r="M85" s="6" t="n">
        <f aca="false">IF(ABS(H85)&gt;$P$8,1,0)</f>
        <v>0</v>
      </c>
    </row>
    <row r="86" customFormat="false" ht="15" hidden="false" customHeight="false" outlineLevel="0" collapsed="false">
      <c r="A86" s="0" t="n">
        <f aca="false">ROW()-1</f>
        <v>85</v>
      </c>
      <c r="B86" s="22" t="n">
        <f aca="false">SUMPRODUCT(MMULT('Analysis Data'!N86:U86,'Final Model'!$B$59:$I$66),'Analysis Data'!N86:U86)</f>
        <v>0.0606738964895382</v>
      </c>
      <c r="C86" s="15" t="n">
        <f aca="false">'Residual Diagnostics'!F86</f>
        <v>13.4541693512872</v>
      </c>
      <c r="D86" s="13" t="n">
        <f aca="false">C86/('Final Model'!$B$21*SQRT(1-B86))</f>
        <v>0.283118926597174</v>
      </c>
      <c r="E86" s="13" t="n">
        <f aca="false">D86*SQRT(('Final Model'!$B$24-1)/('Final Model'!$B$24-D86^2))</f>
        <v>0.283024411436698</v>
      </c>
      <c r="F86" s="23" t="n">
        <f aca="false">D86^2/($P$3+1)*B86/(1-B86)</f>
        <v>0.000647192259001555</v>
      </c>
      <c r="G86" s="13" t="n">
        <f aca="false">($P$2-1)*(B86-1/$P$2)</f>
        <v>83.0340681387319</v>
      </c>
      <c r="H86" s="13" t="n">
        <f aca="false">E86*SQRT(B86/(1-B86))</f>
        <v>0.0719310903335006</v>
      </c>
      <c r="I86" s="13" t="n">
        <f aca="false">ABS(D86)</f>
        <v>0.283118926597174</v>
      </c>
      <c r="J86" s="6" t="n">
        <f aca="false">IF(B86&gt;$P$4,1,0)</f>
        <v>1</v>
      </c>
      <c r="K86" s="6" t="n">
        <f aca="false">IF(F86&gt;$P$6,1,0)</f>
        <v>0</v>
      </c>
      <c r="L86" s="6" t="n">
        <f aca="false">IF(G86&gt;$P$9,1,0)</f>
        <v>1</v>
      </c>
      <c r="M86" s="6" t="n">
        <f aca="false">IF(ABS(H86)&gt;$P$8,1,0)</f>
        <v>0</v>
      </c>
    </row>
    <row r="87" customFormat="false" ht="15" hidden="false" customHeight="false" outlineLevel="0" collapsed="false">
      <c r="A87" s="0" t="n">
        <f aca="false">ROW()-1</f>
        <v>86</v>
      </c>
      <c r="B87" s="22" t="n">
        <f aca="false">SUMPRODUCT(MMULT('Analysis Data'!N87:U87,'Final Model'!$B$59:$I$66),'Analysis Data'!N87:U87)</f>
        <v>0.0592704331569361</v>
      </c>
      <c r="C87" s="15" t="n">
        <f aca="false">'Residual Diagnostics'!F87</f>
        <v>35.9112953071374</v>
      </c>
      <c r="D87" s="13" t="n">
        <f aca="false">C87/('Final Model'!$B$21*SQRT(1-B87))</f>
        <v>0.75512505793122</v>
      </c>
      <c r="E87" s="13" t="n">
        <f aca="false">D87*SQRT(('Final Model'!$B$24-1)/('Final Model'!$B$24-D87^2))</f>
        <v>0.75500724154151</v>
      </c>
      <c r="F87" s="23" t="n">
        <f aca="false">D87^2/($P$3+1)*B87/(1-B87)</f>
        <v>0.00449077280780936</v>
      </c>
      <c r="G87" s="13" t="n">
        <f aca="false">($P$2-1)*(B87-1/$P$2)</f>
        <v>81.090271423078</v>
      </c>
      <c r="H87" s="13" t="n">
        <f aca="false">E87*SQRT(B87/(1-B87))</f>
        <v>0.189512460703383</v>
      </c>
      <c r="I87" s="13" t="n">
        <f aca="false">ABS(D87)</f>
        <v>0.75512505793122</v>
      </c>
      <c r="J87" s="6" t="n">
        <f aca="false">IF(B87&gt;$P$4,1,0)</f>
        <v>1</v>
      </c>
      <c r="K87" s="6" t="n">
        <f aca="false">IF(F87&gt;$P$6,1,0)</f>
        <v>1</v>
      </c>
      <c r="L87" s="6" t="n">
        <f aca="false">IF(G87&gt;$P$9,1,0)</f>
        <v>1</v>
      </c>
      <c r="M87" s="6" t="n">
        <f aca="false">IF(ABS(H87)&gt;$P$8,1,0)</f>
        <v>1</v>
      </c>
    </row>
    <row r="88" customFormat="false" ht="15" hidden="false" customHeight="false" outlineLevel="0" collapsed="false">
      <c r="A88" s="0" t="n">
        <f aca="false">ROW()-1</f>
        <v>87</v>
      </c>
      <c r="B88" s="22" t="n">
        <f aca="false">SUMPRODUCT(MMULT('Analysis Data'!N88:U88,'Final Model'!$B$59:$I$66),'Analysis Data'!N88:U88)</f>
        <v>0.00168734484664329</v>
      </c>
      <c r="C88" s="15" t="n">
        <f aca="false">'Residual Diagnostics'!F88</f>
        <v>-74.4400385642042</v>
      </c>
      <c r="D88" s="13" t="n">
        <f aca="false">C88/('Final Model'!$B$21*SQRT(1-B88))</f>
        <v>-1.51947482852505</v>
      </c>
      <c r="E88" s="13" t="n">
        <f aca="false">D88*SQRT(('Final Model'!$B$24-1)/('Final Model'!$B$24-D88^2))</f>
        <v>-1.5201974549365</v>
      </c>
      <c r="F88" s="23" t="n">
        <f aca="false">D88^2/($P$3+1)*B88/(1-B88)</f>
        <v>0.000487791587258759</v>
      </c>
      <c r="G88" s="13" t="n">
        <f aca="false">($P$2-1)*(B88-1/$P$2)</f>
        <v>1.33769411332246</v>
      </c>
      <c r="H88" s="13" t="n">
        <f aca="false">E88*SQRT(B88/(1-B88))</f>
        <v>-0.0624983623430509</v>
      </c>
      <c r="I88" s="13" t="n">
        <f aca="false">ABS(D88)</f>
        <v>1.51947482852505</v>
      </c>
      <c r="J88" s="6" t="n">
        <f aca="false">IF(B88&gt;$P$4,1,0)</f>
        <v>0</v>
      </c>
      <c r="K88" s="6" t="n">
        <f aca="false">IF(F88&gt;$P$6,1,0)</f>
        <v>0</v>
      </c>
      <c r="L88" s="6" t="n">
        <f aca="false">IF(G88&gt;$P$9,1,0)</f>
        <v>0</v>
      </c>
      <c r="M88" s="6" t="n">
        <f aca="false">IF(ABS(H88)&gt;$P$8,1,0)</f>
        <v>0</v>
      </c>
    </row>
    <row r="89" customFormat="false" ht="15" hidden="false" customHeight="false" outlineLevel="0" collapsed="false">
      <c r="A89" s="0" t="n">
        <f aca="false">ROW()-1</f>
        <v>88</v>
      </c>
      <c r="B89" s="22" t="n">
        <f aca="false">SUMPRODUCT(MMULT('Analysis Data'!N89:U89,'Final Model'!$B$59:$I$66),'Analysis Data'!N89:U89)</f>
        <v>0.00169342957800237</v>
      </c>
      <c r="C89" s="15" t="n">
        <f aca="false">'Residual Diagnostics'!F89</f>
        <v>-11.341519990362</v>
      </c>
      <c r="D89" s="13" t="n">
        <f aca="false">C89/('Final Model'!$B$21*SQRT(1-B89))</f>
        <v>-0.231504536985406</v>
      </c>
      <c r="E89" s="13" t="n">
        <f aca="false">D89*SQRT(('Final Model'!$B$24-1)/('Final Model'!$B$24-D89^2))</f>
        <v>-0.231425021978891</v>
      </c>
      <c r="F89" s="23" t="n">
        <f aca="false">D89^2/($P$3+1)*B89/(1-B89)</f>
        <v>1.13640265030781E-005</v>
      </c>
      <c r="G89" s="13" t="n">
        <f aca="false">($P$2-1)*(B89-1/$P$2)</f>
        <v>1.34612146625478</v>
      </c>
      <c r="H89" s="13" t="n">
        <f aca="false">E89*SQRT(B89/(1-B89))</f>
        <v>-0.00953151464366137</v>
      </c>
      <c r="I89" s="13" t="n">
        <f aca="false">ABS(D89)</f>
        <v>0.231504536985406</v>
      </c>
      <c r="J89" s="6" t="n">
        <f aca="false">IF(B89&gt;$P$4,1,0)</f>
        <v>0</v>
      </c>
      <c r="K89" s="6" t="n">
        <f aca="false">IF(F89&gt;$P$6,1,0)</f>
        <v>0</v>
      </c>
      <c r="L89" s="6" t="n">
        <f aca="false">IF(G89&gt;$P$9,1,0)</f>
        <v>0</v>
      </c>
      <c r="M89" s="6" t="n">
        <f aca="false">IF(ABS(H89)&gt;$P$8,1,0)</f>
        <v>0</v>
      </c>
    </row>
    <row r="90" customFormat="false" ht="15" hidden="false" customHeight="false" outlineLevel="0" collapsed="false">
      <c r="A90" s="0" t="n">
        <f aca="false">ROW()-1</f>
        <v>89</v>
      </c>
      <c r="B90" s="22" t="n">
        <f aca="false">SUMPRODUCT(MMULT('Analysis Data'!N90:U90,'Final Model'!$B$59:$I$66),'Analysis Data'!N90:U90)</f>
        <v>0.00168832798629141</v>
      </c>
      <c r="C90" s="15" t="n">
        <f aca="false">'Residual Diagnostics'!F90</f>
        <v>-34.5472029598374</v>
      </c>
      <c r="D90" s="13" t="n">
        <f aca="false">C90/('Final Model'!$B$21*SQRT(1-B90))</f>
        <v>-0.705180063764332</v>
      </c>
      <c r="E90" s="13" t="n">
        <f aca="false">D90*SQRT(('Final Model'!$B$24-1)/('Final Model'!$B$24-D90^2))</f>
        <v>-0.705051373916144</v>
      </c>
      <c r="F90" s="23" t="n">
        <f aca="false">D90^2/($P$3+1)*B90/(1-B90)</f>
        <v>0.000105123723519904</v>
      </c>
      <c r="G90" s="13" t="n">
        <f aca="false">($P$2-1)*(B90-1/$P$2)</f>
        <v>1.3390557617351</v>
      </c>
      <c r="H90" s="13" t="n">
        <f aca="false">E90*SQRT(B90/(1-B90))</f>
        <v>-0.0289945316921126</v>
      </c>
      <c r="I90" s="13" t="n">
        <f aca="false">ABS(D90)</f>
        <v>0.705180063764332</v>
      </c>
      <c r="J90" s="6" t="n">
        <f aca="false">IF(B90&gt;$P$4,1,0)</f>
        <v>0</v>
      </c>
      <c r="K90" s="6" t="n">
        <f aca="false">IF(F90&gt;$P$6,1,0)</f>
        <v>0</v>
      </c>
      <c r="L90" s="6" t="n">
        <f aca="false">IF(G90&gt;$P$9,1,0)</f>
        <v>0</v>
      </c>
      <c r="M90" s="6" t="n">
        <f aca="false">IF(ABS(H90)&gt;$P$8,1,0)</f>
        <v>0</v>
      </c>
    </row>
    <row r="91" customFormat="false" ht="15" hidden="false" customHeight="false" outlineLevel="0" collapsed="false">
      <c r="A91" s="0" t="n">
        <f aca="false">ROW()-1</f>
        <v>90</v>
      </c>
      <c r="B91" s="22" t="n">
        <f aca="false">SUMPRODUCT(MMULT('Analysis Data'!N91:U91,'Final Model'!$B$59:$I$66),'Analysis Data'!N91:U91)</f>
        <v>0.00230529624841536</v>
      </c>
      <c r="C91" s="15" t="n">
        <f aca="false">'Residual Diagnostics'!F91</f>
        <v>-4.94839196464264</v>
      </c>
      <c r="D91" s="13" t="n">
        <f aca="false">C91/('Final Model'!$B$21*SQRT(1-B91))</f>
        <v>-0.101038169237543</v>
      </c>
      <c r="E91" s="13" t="n">
        <f aca="false">D91*SQRT(('Final Model'!$B$24-1)/('Final Model'!$B$24-D91^2))</f>
        <v>-0.10100187554903</v>
      </c>
      <c r="F91" s="23" t="n">
        <f aca="false">D91^2/($P$3+1)*B91/(1-B91)</f>
        <v>2.94856038663158E-006</v>
      </c>
      <c r="G91" s="13" t="n">
        <f aca="false">($P$2-1)*(B91-1/$P$2)</f>
        <v>2.19355680477678</v>
      </c>
      <c r="H91" s="13" t="n">
        <f aca="false">E91*SQRT(B91/(1-B91))</f>
        <v>-0.00485505301794963</v>
      </c>
      <c r="I91" s="13" t="n">
        <f aca="false">ABS(D91)</f>
        <v>0.101038169237543</v>
      </c>
      <c r="J91" s="6" t="n">
        <f aca="false">IF(B91&gt;$P$4,1,0)</f>
        <v>0</v>
      </c>
      <c r="K91" s="6" t="n">
        <f aca="false">IF(F91&gt;$P$6,1,0)</f>
        <v>0</v>
      </c>
      <c r="L91" s="6" t="n">
        <f aca="false">IF(G91&gt;$P$9,1,0)</f>
        <v>0</v>
      </c>
      <c r="M91" s="6" t="n">
        <f aca="false">IF(ABS(H91)&gt;$P$8,1,0)</f>
        <v>0</v>
      </c>
    </row>
    <row r="92" customFormat="false" ht="15" hidden="false" customHeight="false" outlineLevel="0" collapsed="false">
      <c r="A92" s="0" t="n">
        <f aca="false">ROW()-1</f>
        <v>91</v>
      </c>
      <c r="B92" s="22" t="n">
        <f aca="false">SUMPRODUCT(MMULT('Analysis Data'!N92:U92,'Final Model'!$B$59:$I$66),'Analysis Data'!N92:U92)</f>
        <v>0.00250183651263945</v>
      </c>
      <c r="C92" s="15" t="n">
        <f aca="false">'Residual Diagnostics'!F92</f>
        <v>109.732140019945</v>
      </c>
      <c r="D92" s="13" t="n">
        <f aca="false">C92/('Final Model'!$B$21*SQRT(1-B92))</f>
        <v>2.2407737354703</v>
      </c>
      <c r="E92" s="13" t="n">
        <f aca="false">D92*SQRT(('Final Model'!$B$24-1)/('Final Model'!$B$24-D92^2))</f>
        <v>2.24405263270738</v>
      </c>
      <c r="F92" s="23" t="n">
        <f aca="false">D92^2/($P$3+1)*B92/(1-B92)</f>
        <v>0.00157417440034465</v>
      </c>
      <c r="G92" s="13" t="n">
        <f aca="false">($P$2-1)*(B92-1/$P$2)</f>
        <v>2.46576507072715</v>
      </c>
      <c r="H92" s="13" t="n">
        <f aca="false">E92*SQRT(B92/(1-B92))</f>
        <v>0.112384508252397</v>
      </c>
      <c r="I92" s="13" t="n">
        <f aca="false">ABS(D92)</f>
        <v>2.2407737354703</v>
      </c>
      <c r="J92" s="6" t="n">
        <f aca="false">IF(B92&gt;$P$4,1,0)</f>
        <v>0</v>
      </c>
      <c r="K92" s="6" t="n">
        <f aca="false">IF(F92&gt;$P$6,1,0)</f>
        <v>0</v>
      </c>
      <c r="L92" s="6" t="n">
        <f aca="false">IF(G92&gt;$P$9,1,0)</f>
        <v>0</v>
      </c>
      <c r="M92" s="6" t="n">
        <f aca="false">IF(ABS(H92)&gt;$P$8,1,0)</f>
        <v>0</v>
      </c>
    </row>
    <row r="93" customFormat="false" ht="15" hidden="false" customHeight="false" outlineLevel="0" collapsed="false">
      <c r="A93" s="0" t="n">
        <f aca="false">ROW()-1</f>
        <v>92</v>
      </c>
      <c r="B93" s="22" t="n">
        <f aca="false">SUMPRODUCT(MMULT('Analysis Data'!N93:U93,'Final Model'!$B$59:$I$66),'Analysis Data'!N93:U93)</f>
        <v>0.00213768653607563</v>
      </c>
      <c r="C93" s="15" t="n">
        <f aca="false">'Residual Diagnostics'!F93</f>
        <v>57.7574467815144</v>
      </c>
      <c r="D93" s="13" t="n">
        <f aca="false">C93/('Final Model'!$B$21*SQRT(1-B93))</f>
        <v>1.17921470156234</v>
      </c>
      <c r="E93" s="13" t="n">
        <f aca="false">D93*SQRT(('Final Model'!$B$24-1)/('Final Model'!$B$24-D93^2))</f>
        <v>1.17938196268064</v>
      </c>
      <c r="F93" s="23" t="n">
        <f aca="false">D93^2/($P$3+1)*B93/(1-B93)</f>
        <v>0.000372365283684999</v>
      </c>
      <c r="G93" s="13" t="n">
        <f aca="false">($P$2-1)*(B93-1/$P$2)</f>
        <v>1.96141735318625</v>
      </c>
      <c r="H93" s="13" t="n">
        <f aca="false">E93*SQRT(B93/(1-B93))</f>
        <v>0.0545872457326394</v>
      </c>
      <c r="I93" s="13" t="n">
        <f aca="false">ABS(D93)</f>
        <v>1.17921470156234</v>
      </c>
      <c r="J93" s="6" t="n">
        <f aca="false">IF(B93&gt;$P$4,1,0)</f>
        <v>0</v>
      </c>
      <c r="K93" s="6" t="n">
        <f aca="false">IF(F93&gt;$P$6,1,0)</f>
        <v>0</v>
      </c>
      <c r="L93" s="6" t="n">
        <f aca="false">IF(G93&gt;$P$9,1,0)</f>
        <v>0</v>
      </c>
      <c r="M93" s="6" t="n">
        <f aca="false">IF(ABS(H93)&gt;$P$8,1,0)</f>
        <v>0</v>
      </c>
    </row>
    <row r="94" customFormat="false" ht="15" hidden="false" customHeight="false" outlineLevel="0" collapsed="false">
      <c r="A94" s="0" t="n">
        <f aca="false">ROW()-1</f>
        <v>93</v>
      </c>
      <c r="B94" s="22" t="n">
        <f aca="false">SUMPRODUCT(MMULT('Analysis Data'!N94:U94,'Final Model'!$B$59:$I$66),'Analysis Data'!N94:U94)</f>
        <v>0.00250183651263945</v>
      </c>
      <c r="C94" s="15" t="n">
        <f aca="false">'Residual Diagnostics'!F94</f>
        <v>-4.45413204162</v>
      </c>
      <c r="D94" s="13" t="n">
        <f aca="false">C94/('Final Model'!$B$21*SQRT(1-B94))</f>
        <v>-0.0909551394091532</v>
      </c>
      <c r="E94" s="13" t="n">
        <f aca="false">D94*SQRT(('Final Model'!$B$24-1)/('Final Model'!$B$24-D94^2))</f>
        <v>-0.090922403756285</v>
      </c>
      <c r="F94" s="23" t="n">
        <f aca="false">D94^2/($P$3+1)*B94/(1-B94)</f>
        <v>2.59364971665811E-006</v>
      </c>
      <c r="G94" s="13" t="n">
        <f aca="false">($P$2-1)*(B94-1/$P$2)</f>
        <v>2.46576507072715</v>
      </c>
      <c r="H94" s="13" t="n">
        <f aca="false">E94*SQRT(B94/(1-B94))</f>
        <v>-0.00455348929269453</v>
      </c>
      <c r="I94" s="13" t="n">
        <f aca="false">ABS(D94)</f>
        <v>0.0909551394091532</v>
      </c>
      <c r="J94" s="6" t="n">
        <f aca="false">IF(B94&gt;$P$4,1,0)</f>
        <v>0</v>
      </c>
      <c r="K94" s="6" t="n">
        <f aca="false">IF(F94&gt;$P$6,1,0)</f>
        <v>0</v>
      </c>
      <c r="L94" s="6" t="n">
        <f aca="false">IF(G94&gt;$P$9,1,0)</f>
        <v>0</v>
      </c>
      <c r="M94" s="6" t="n">
        <f aca="false">IF(ABS(H94)&gt;$P$8,1,0)</f>
        <v>0</v>
      </c>
    </row>
    <row r="95" customFormat="false" ht="15" hidden="false" customHeight="false" outlineLevel="0" collapsed="false">
      <c r="A95" s="0" t="n">
        <f aca="false">ROW()-1</f>
        <v>94</v>
      </c>
      <c r="B95" s="22" t="n">
        <f aca="false">SUMPRODUCT(MMULT('Analysis Data'!N95:U95,'Final Model'!$B$59:$I$66),'Analysis Data'!N95:U95)</f>
        <v>0.0147073819910373</v>
      </c>
      <c r="C95" s="15" t="n">
        <f aca="false">'Residual Diagnostics'!F95</f>
        <v>-25.8716154807255</v>
      </c>
      <c r="D95" s="13" t="n">
        <f aca="false">C95/('Final Model'!$B$21*SQRT(1-B95))</f>
        <v>-0.531570831465522</v>
      </c>
      <c r="E95" s="13" t="n">
        <f aca="false">D95*SQRT(('Final Model'!$B$24-1)/('Final Model'!$B$24-D95^2))</f>
        <v>-0.531432408369224</v>
      </c>
      <c r="F95" s="23" t="n">
        <f aca="false">D95^2/($P$3+1)*B95/(1-B95)</f>
        <v>0.000527232824476268</v>
      </c>
      <c r="G95" s="13" t="n">
        <f aca="false">($P$2-1)*(B95-1/$P$2)</f>
        <v>19.3704455583081</v>
      </c>
      <c r="H95" s="13" t="n">
        <f aca="false">E95*SQRT(B95/(1-B95))</f>
        <v>-0.0649281617360571</v>
      </c>
      <c r="I95" s="13" t="n">
        <f aca="false">ABS(D95)</f>
        <v>0.531570831465522</v>
      </c>
      <c r="J95" s="6" t="n">
        <f aca="false">IF(B95&gt;$P$4,1,0)</f>
        <v>1</v>
      </c>
      <c r="K95" s="6" t="n">
        <f aca="false">IF(F95&gt;$P$6,1,0)</f>
        <v>0</v>
      </c>
      <c r="L95" s="6" t="n">
        <f aca="false">IF(G95&gt;$P$9,1,0)</f>
        <v>1</v>
      </c>
      <c r="M95" s="6" t="n">
        <f aca="false">IF(ABS(H95)&gt;$P$8,1,0)</f>
        <v>0</v>
      </c>
    </row>
    <row r="96" customFormat="false" ht="15" hidden="false" customHeight="false" outlineLevel="0" collapsed="false">
      <c r="A96" s="0" t="n">
        <f aca="false">ROW()-1</f>
        <v>95</v>
      </c>
      <c r="B96" s="22" t="n">
        <f aca="false">SUMPRODUCT(MMULT('Analysis Data'!N96:U96,'Final Model'!$B$59:$I$66),'Analysis Data'!N96:U96)</f>
        <v>0.00706948132789686</v>
      </c>
      <c r="C96" s="15" t="n">
        <f aca="false">'Residual Diagnostics'!F96</f>
        <v>-13.2973576561218</v>
      </c>
      <c r="D96" s="13" t="n">
        <f aca="false">C96/('Final Model'!$B$21*SQRT(1-B96))</f>
        <v>-0.272161148619799</v>
      </c>
      <c r="E96" s="13" t="n">
        <f aca="false">D96*SQRT(('Final Model'!$B$24-1)/('Final Model'!$B$24-D96^2))</f>
        <v>-0.272069690851361</v>
      </c>
      <c r="F96" s="23" t="n">
        <f aca="false">D96^2/($P$3+1)*B96/(1-B96)</f>
        <v>6.59220893754281E-005</v>
      </c>
      <c r="G96" s="13" t="n">
        <f aca="false">($P$2-1)*(B96-1/$P$2)</f>
        <v>8.79195313985865</v>
      </c>
      <c r="H96" s="13" t="n">
        <f aca="false">E96*SQRT(B96/(1-B96))</f>
        <v>-0.0229569669678313</v>
      </c>
      <c r="I96" s="13" t="n">
        <f aca="false">ABS(D96)</f>
        <v>0.272161148619799</v>
      </c>
      <c r="J96" s="6" t="n">
        <f aca="false">IF(B96&gt;$P$4,1,0)</f>
        <v>0</v>
      </c>
      <c r="K96" s="6" t="n">
        <f aca="false">IF(F96&gt;$P$6,1,0)</f>
        <v>0</v>
      </c>
      <c r="L96" s="6" t="n">
        <f aca="false">IF(G96&gt;$P$9,1,0)</f>
        <v>0</v>
      </c>
      <c r="M96" s="6" t="n">
        <f aca="false">IF(ABS(H96)&gt;$P$8,1,0)</f>
        <v>0</v>
      </c>
    </row>
    <row r="97" customFormat="false" ht="15" hidden="false" customHeight="false" outlineLevel="0" collapsed="false">
      <c r="A97" s="0" t="n">
        <f aca="false">ROW()-1</f>
        <v>96</v>
      </c>
      <c r="B97" s="22" t="n">
        <f aca="false">SUMPRODUCT(MMULT('Analysis Data'!N97:U97,'Final Model'!$B$59:$I$66),'Analysis Data'!N97:U97)</f>
        <v>0.00690559615125278</v>
      </c>
      <c r="C97" s="15" t="n">
        <f aca="false">'Residual Diagnostics'!F97</f>
        <v>31.3648641104393</v>
      </c>
      <c r="D97" s="13" t="n">
        <f aca="false">C97/('Final Model'!$B$21*SQRT(1-B97))</f>
        <v>0.641901442678326</v>
      </c>
      <c r="E97" s="13" t="n">
        <f aca="false">D97*SQRT(('Final Model'!$B$24-1)/('Final Model'!$B$24-D97^2))</f>
        <v>0.641764444428199</v>
      </c>
      <c r="F97" s="23" t="n">
        <f aca="false">D97^2/($P$3+1)*B97/(1-B97)</f>
        <v>0.000358143735065483</v>
      </c>
      <c r="G97" s="13" t="n">
        <f aca="false">($P$2-1)*(B97-1/$P$2)</f>
        <v>8.5649721702066</v>
      </c>
      <c r="H97" s="13" t="n">
        <f aca="false">E97*SQRT(B97/(1-B97))</f>
        <v>0.0535156707696504</v>
      </c>
      <c r="I97" s="13" t="n">
        <f aca="false">ABS(D97)</f>
        <v>0.641901442678326</v>
      </c>
      <c r="J97" s="6" t="n">
        <f aca="false">IF(B97&gt;$P$4,1,0)</f>
        <v>0</v>
      </c>
      <c r="K97" s="6" t="n">
        <f aca="false">IF(F97&gt;$P$6,1,0)</f>
        <v>0</v>
      </c>
      <c r="L97" s="6" t="n">
        <f aca="false">IF(G97&gt;$P$9,1,0)</f>
        <v>0</v>
      </c>
      <c r="M97" s="6" t="n">
        <f aca="false">IF(ABS(H97)&gt;$P$8,1,0)</f>
        <v>0</v>
      </c>
    </row>
    <row r="98" customFormat="false" ht="15" hidden="false" customHeight="false" outlineLevel="0" collapsed="false">
      <c r="A98" s="0" t="n">
        <f aca="false">ROW()-1</f>
        <v>97</v>
      </c>
      <c r="B98" s="22" t="n">
        <f aca="false">SUMPRODUCT(MMULT('Analysis Data'!N98:U98,'Final Model'!$B$59:$I$66),'Analysis Data'!N98:U98)</f>
        <v>0.00704058311388872</v>
      </c>
      <c r="C98" s="15" t="n">
        <f aca="false">'Residual Diagnostics'!F98</f>
        <v>4.92630262125374</v>
      </c>
      <c r="D98" s="13" t="n">
        <f aca="false">C98/('Final Model'!$B$21*SQRT(1-B98))</f>
        <v>0.100826698386535</v>
      </c>
      <c r="E98" s="13" t="n">
        <f aca="false">D98*SQRT(('Final Model'!$B$24-1)/('Final Model'!$B$24-D98^2))</f>
        <v>0.100790479098794</v>
      </c>
      <c r="F98" s="23" t="n">
        <f aca="false">D98^2/($P$3+1)*B98/(1-B98)</f>
        <v>9.01027894608336E-006</v>
      </c>
      <c r="G98" s="13" t="n">
        <f aca="false">($P$2-1)*(B98-1/$P$2)</f>
        <v>8.75192911345737</v>
      </c>
      <c r="H98" s="13" t="n">
        <f aca="false">E98*SQRT(B98/(1-B98))</f>
        <v>0.00848707568321505</v>
      </c>
      <c r="I98" s="13" t="n">
        <f aca="false">ABS(D98)</f>
        <v>0.100826698386535</v>
      </c>
      <c r="J98" s="6" t="n">
        <f aca="false">IF(B98&gt;$P$4,1,0)</f>
        <v>0</v>
      </c>
      <c r="K98" s="6" t="n">
        <f aca="false">IF(F98&gt;$P$6,1,0)</f>
        <v>0</v>
      </c>
      <c r="L98" s="6" t="n">
        <f aca="false">IF(G98&gt;$P$9,1,0)</f>
        <v>0</v>
      </c>
      <c r="M98" s="6" t="n">
        <f aca="false">IF(ABS(H98)&gt;$P$8,1,0)</f>
        <v>0</v>
      </c>
    </row>
    <row r="99" customFormat="false" ht="15" hidden="false" customHeight="false" outlineLevel="0" collapsed="false">
      <c r="A99" s="0" t="n">
        <f aca="false">ROW()-1</f>
        <v>98</v>
      </c>
      <c r="B99" s="22" t="n">
        <f aca="false">SUMPRODUCT(MMULT('Analysis Data'!N99:U99,'Final Model'!$B$59:$I$66),'Analysis Data'!N99:U99)</f>
        <v>0.0118402303429532</v>
      </c>
      <c r="C99" s="15" t="n">
        <f aca="false">'Residual Diagnostics'!F99</f>
        <v>-10.1797373268871</v>
      </c>
      <c r="D99" s="13" t="n">
        <f aca="false">C99/('Final Model'!$B$21*SQRT(1-B99))</f>
        <v>-0.2088541918288</v>
      </c>
      <c r="E99" s="13" t="n">
        <f aca="false">D99*SQRT(('Final Model'!$B$24-1)/('Final Model'!$B$24-D99^2))</f>
        <v>-0.208781700917624</v>
      </c>
      <c r="F99" s="23" t="n">
        <f aca="false">D99^2/($P$3+1)*B99/(1-B99)</f>
        <v>6.53325166913808E-005</v>
      </c>
      <c r="G99" s="13" t="n">
        <f aca="false">($P$2-1)*(B99-1/$P$2)</f>
        <v>15.3994405257117</v>
      </c>
      <c r="H99" s="13" t="n">
        <f aca="false">E99*SQRT(B99/(1-B99))</f>
        <v>-0.0228538263259671</v>
      </c>
      <c r="I99" s="13" t="n">
        <f aca="false">ABS(D99)</f>
        <v>0.2088541918288</v>
      </c>
      <c r="J99" s="6" t="n">
        <f aca="false">IF(B99&gt;$P$4,1,0)</f>
        <v>1</v>
      </c>
      <c r="K99" s="6" t="n">
        <f aca="false">IF(F99&gt;$P$6,1,0)</f>
        <v>0</v>
      </c>
      <c r="L99" s="6" t="n">
        <f aca="false">IF(G99&gt;$P$9,1,0)</f>
        <v>1</v>
      </c>
      <c r="M99" s="6" t="n">
        <f aca="false">IF(ABS(H99)&gt;$P$8,1,0)</f>
        <v>0</v>
      </c>
    </row>
    <row r="100" customFormat="false" ht="15" hidden="false" customHeight="false" outlineLevel="0" collapsed="false">
      <c r="A100" s="0" t="n">
        <f aca="false">ROW()-1</f>
        <v>99</v>
      </c>
      <c r="B100" s="22" t="n">
        <f aca="false">SUMPRODUCT(MMULT('Analysis Data'!N100:U100,'Final Model'!$B$59:$I$66),'Analysis Data'!N100:U100)</f>
        <v>0.0118402303429532</v>
      </c>
      <c r="C100" s="15" t="n">
        <f aca="false">'Residual Diagnostics'!F100</f>
        <v>11.4351579284728</v>
      </c>
      <c r="D100" s="13" t="n">
        <f aca="false">C100/('Final Model'!$B$21*SQRT(1-B100))</f>
        <v>0.234611227273801</v>
      </c>
      <c r="E100" s="13" t="n">
        <f aca="false">D100*SQRT(('Final Model'!$B$24-1)/('Final Model'!$B$24-D100^2))</f>
        <v>0.234530768444119</v>
      </c>
      <c r="F100" s="23" t="n">
        <f aca="false">D100^2/($P$3+1)*B100/(1-B100)</f>
        <v>8.24404926369548E-005</v>
      </c>
      <c r="G100" s="13" t="n">
        <f aca="false">($P$2-1)*(B100-1/$P$2)</f>
        <v>15.3994405257117</v>
      </c>
      <c r="H100" s="13" t="n">
        <f aca="false">E100*SQRT(B100/(1-B100))</f>
        <v>0.0256723909545707</v>
      </c>
      <c r="I100" s="13" t="n">
        <f aca="false">ABS(D100)</f>
        <v>0.234611227273801</v>
      </c>
      <c r="J100" s="6" t="n">
        <f aca="false">IF(B100&gt;$P$4,1,0)</f>
        <v>1</v>
      </c>
      <c r="K100" s="6" t="n">
        <f aca="false">IF(F100&gt;$P$6,1,0)</f>
        <v>0</v>
      </c>
      <c r="L100" s="6" t="n">
        <f aca="false">IF(G100&gt;$P$9,1,0)</f>
        <v>1</v>
      </c>
      <c r="M100" s="6" t="n">
        <f aca="false">IF(ABS(H100)&gt;$P$8,1,0)</f>
        <v>0</v>
      </c>
    </row>
    <row r="101" customFormat="false" ht="15" hidden="false" customHeight="false" outlineLevel="0" collapsed="false">
      <c r="A101" s="0" t="n">
        <f aca="false">ROW()-1</f>
        <v>100</v>
      </c>
      <c r="B101" s="22" t="n">
        <f aca="false">SUMPRODUCT(MMULT('Analysis Data'!N101:U101,'Final Model'!$B$59:$I$66),'Analysis Data'!N101:U101)</f>
        <v>0.00168292281620115</v>
      </c>
      <c r="C101" s="15" t="n">
        <f aca="false">'Residual Diagnostics'!F101</f>
        <v>-51.4008435397602</v>
      </c>
      <c r="D101" s="13" t="n">
        <f aca="false">C101/('Final Model'!$B$21*SQRT(1-B101))</f>
        <v>-1.0491949823429</v>
      </c>
      <c r="E101" s="13" t="n">
        <f aca="false">D101*SQRT(('Final Model'!$B$24-1)/('Final Model'!$B$24-D101^2))</f>
        <v>-1.04923339021164</v>
      </c>
      <c r="F101" s="23" t="n">
        <f aca="false">D101^2/($P$3+1)*B101/(1-B101)</f>
        <v>0.000231962681797488</v>
      </c>
      <c r="G101" s="13" t="n">
        <f aca="false">($P$2-1)*(B101-1/$P$2)</f>
        <v>1.33156960116009</v>
      </c>
      <c r="H101" s="13" t="n">
        <f aca="false">E101*SQRT(B101/(1-B101))</f>
        <v>-0.0430794303600983</v>
      </c>
      <c r="I101" s="13" t="n">
        <f aca="false">ABS(D101)</f>
        <v>1.0491949823429</v>
      </c>
      <c r="J101" s="6" t="n">
        <f aca="false">IF(B101&gt;$P$4,1,0)</f>
        <v>0</v>
      </c>
      <c r="K101" s="6" t="n">
        <f aca="false">IF(F101&gt;$P$6,1,0)</f>
        <v>0</v>
      </c>
      <c r="L101" s="6" t="n">
        <f aca="false">IF(G101&gt;$P$9,1,0)</f>
        <v>0</v>
      </c>
      <c r="M101" s="6" t="n">
        <f aca="false">IF(ABS(H101)&gt;$P$8,1,0)</f>
        <v>0</v>
      </c>
    </row>
    <row r="102" customFormat="false" ht="15" hidden="false" customHeight="false" outlineLevel="0" collapsed="false">
      <c r="A102" s="0" t="n">
        <f aca="false">ROW()-1</f>
        <v>101</v>
      </c>
      <c r="B102" s="22" t="n">
        <f aca="false">SUMPRODUCT(MMULT('Analysis Data'!N102:U102,'Final Model'!$B$59:$I$66),'Analysis Data'!N102:U102)</f>
        <v>0.00235800440650381</v>
      </c>
      <c r="C102" s="15" t="n">
        <f aca="false">'Residual Diagnostics'!F102</f>
        <v>64.4124840305583</v>
      </c>
      <c r="D102" s="13" t="n">
        <f aca="false">C102/('Final Model'!$B$21*SQRT(1-B102))</f>
        <v>1.31523360065401</v>
      </c>
      <c r="E102" s="13" t="n">
        <f aca="false">D102*SQRT(('Final Model'!$B$24-1)/('Final Model'!$B$24-D102^2))</f>
        <v>1.31558229022622</v>
      </c>
      <c r="F102" s="23" t="n">
        <f aca="false">D102^2/($P$3+1)*B102/(1-B102)</f>
        <v>0.000511076243160708</v>
      </c>
      <c r="G102" s="13" t="n">
        <f aca="false">($P$2-1)*(B102-1/$P$2)</f>
        <v>2.26655760372928</v>
      </c>
      <c r="H102" s="13" t="n">
        <f aca="false">E102*SQRT(B102/(1-B102))</f>
        <v>0.0639591912481386</v>
      </c>
      <c r="I102" s="13" t="n">
        <f aca="false">ABS(D102)</f>
        <v>1.31523360065401</v>
      </c>
      <c r="J102" s="6" t="n">
        <f aca="false">IF(B102&gt;$P$4,1,0)</f>
        <v>0</v>
      </c>
      <c r="K102" s="6" t="n">
        <f aca="false">IF(F102&gt;$P$6,1,0)</f>
        <v>0</v>
      </c>
      <c r="L102" s="6" t="n">
        <f aca="false">IF(G102&gt;$P$9,1,0)</f>
        <v>0</v>
      </c>
      <c r="M102" s="6" t="n">
        <f aca="false">IF(ABS(H102)&gt;$P$8,1,0)</f>
        <v>0</v>
      </c>
    </row>
    <row r="103" customFormat="false" ht="15" hidden="false" customHeight="false" outlineLevel="0" collapsed="false">
      <c r="A103" s="0" t="n">
        <f aca="false">ROW()-1</f>
        <v>102</v>
      </c>
      <c r="B103" s="22" t="n">
        <f aca="false">SUMPRODUCT(MMULT('Analysis Data'!N103:U103,'Final Model'!$B$59:$I$66),'Analysis Data'!N103:U103)</f>
        <v>0.00228336277577938</v>
      </c>
      <c r="C103" s="15" t="n">
        <f aca="false">'Residual Diagnostics'!F103</f>
        <v>-78.3390116775312</v>
      </c>
      <c r="D103" s="13" t="n">
        <f aca="false">C103/('Final Model'!$B$21*SQRT(1-B103))</f>
        <v>-1.59953847087105</v>
      </c>
      <c r="E103" s="13" t="n">
        <f aca="false">D103*SQRT(('Final Model'!$B$24-1)/('Final Model'!$B$24-D103^2))</f>
        <v>-1.6004444389779</v>
      </c>
      <c r="F103" s="23" t="n">
        <f aca="false">D103^2/($P$3+1)*B103/(1-B103)</f>
        <v>0.000731925865950288</v>
      </c>
      <c r="G103" s="13" t="n">
        <f aca="false">($P$2-1)*(B103-1/$P$2)</f>
        <v>2.16317894517594</v>
      </c>
      <c r="H103" s="13" t="n">
        <f aca="false">E103*SQRT(B103/(1-B103))</f>
        <v>-0.0765639715156101</v>
      </c>
      <c r="I103" s="13" t="n">
        <f aca="false">ABS(D103)</f>
        <v>1.59953847087105</v>
      </c>
      <c r="J103" s="6" t="n">
        <f aca="false">IF(B103&gt;$P$4,1,0)</f>
        <v>0</v>
      </c>
      <c r="K103" s="6" t="n">
        <f aca="false">IF(F103&gt;$P$6,1,0)</f>
        <v>0</v>
      </c>
      <c r="L103" s="6" t="n">
        <f aca="false">IF(G103&gt;$P$9,1,0)</f>
        <v>0</v>
      </c>
      <c r="M103" s="6" t="n">
        <f aca="false">IF(ABS(H103)&gt;$P$8,1,0)</f>
        <v>0</v>
      </c>
    </row>
    <row r="104" customFormat="false" ht="15" hidden="false" customHeight="false" outlineLevel="0" collapsed="false">
      <c r="A104" s="0" t="n">
        <f aca="false">ROW()-1</f>
        <v>103</v>
      </c>
      <c r="B104" s="22" t="n">
        <f aca="false">SUMPRODUCT(MMULT('Analysis Data'!N104:U104,'Final Model'!$B$59:$I$66),'Analysis Data'!N104:U104)</f>
        <v>0.00265367630729723</v>
      </c>
      <c r="C104" s="15" t="n">
        <f aca="false">'Residual Diagnostics'!F104</f>
        <v>11.6967466226796</v>
      </c>
      <c r="D104" s="13" t="n">
        <f aca="false">C104/('Final Model'!$B$21*SQRT(1-B104))</f>
        <v>0.238870377254932</v>
      </c>
      <c r="E104" s="13" t="n">
        <f aca="false">D104*SQRT(('Final Model'!$B$24-1)/('Final Model'!$B$24-D104^2))</f>
        <v>0.238788632503792</v>
      </c>
      <c r="F104" s="23" t="n">
        <f aca="false">D104^2/($P$3+1)*B104/(1-B104)</f>
        <v>1.89773933619352E-005</v>
      </c>
      <c r="G104" s="13" t="n">
        <f aca="false">($P$2-1)*(B104-1/$P$2)</f>
        <v>2.67606318632817</v>
      </c>
      <c r="H104" s="13" t="n">
        <f aca="false">E104*SQRT(B104/(1-B104))</f>
        <v>0.0123172746760775</v>
      </c>
      <c r="I104" s="13" t="n">
        <f aca="false">ABS(D104)</f>
        <v>0.238870377254932</v>
      </c>
      <c r="J104" s="6" t="n">
        <f aca="false">IF(B104&gt;$P$4,1,0)</f>
        <v>0</v>
      </c>
      <c r="K104" s="6" t="n">
        <f aca="false">IF(F104&gt;$P$6,1,0)</f>
        <v>0</v>
      </c>
      <c r="L104" s="6" t="n">
        <f aca="false">IF(G104&gt;$P$9,1,0)</f>
        <v>0</v>
      </c>
      <c r="M104" s="6" t="n">
        <f aca="false">IF(ABS(H104)&gt;$P$8,1,0)</f>
        <v>0</v>
      </c>
    </row>
    <row r="105" customFormat="false" ht="15" hidden="false" customHeight="false" outlineLevel="0" collapsed="false">
      <c r="A105" s="0" t="n">
        <f aca="false">ROW()-1</f>
        <v>104</v>
      </c>
      <c r="B105" s="22" t="n">
        <f aca="false">SUMPRODUCT(MMULT('Analysis Data'!N105:U105,'Final Model'!$B$59:$I$66),'Analysis Data'!N105:U105)</f>
        <v>0.00228336277577938</v>
      </c>
      <c r="C105" s="15" t="n">
        <f aca="false">'Residual Diagnostics'!F105</f>
        <v>-31.2116224550826</v>
      </c>
      <c r="D105" s="13" t="n">
        <f aca="false">C105/('Final Model'!$B$21*SQRT(1-B105))</f>
        <v>-0.637283899632426</v>
      </c>
      <c r="E105" s="13" t="n">
        <f aca="false">D105*SQRT(('Final Model'!$B$24-1)/('Final Model'!$B$24-D105^2))</f>
        <v>-0.637146520937255</v>
      </c>
      <c r="F105" s="23" t="n">
        <f aca="false">D105^2/($P$3+1)*B105/(1-B105)</f>
        <v>0.00011618327348915</v>
      </c>
      <c r="G105" s="13" t="n">
        <f aca="false">($P$2-1)*(B105-1/$P$2)</f>
        <v>2.16317894517594</v>
      </c>
      <c r="H105" s="13" t="n">
        <f aca="false">E105*SQRT(B105/(1-B105))</f>
        <v>-0.0304805758277146</v>
      </c>
      <c r="I105" s="13" t="n">
        <f aca="false">ABS(D105)</f>
        <v>0.637283899632426</v>
      </c>
      <c r="J105" s="6" t="n">
        <f aca="false">IF(B105&gt;$P$4,1,0)</f>
        <v>0</v>
      </c>
      <c r="K105" s="6" t="n">
        <f aca="false">IF(F105&gt;$P$6,1,0)</f>
        <v>0</v>
      </c>
      <c r="L105" s="6" t="n">
        <f aca="false">IF(G105&gt;$P$9,1,0)</f>
        <v>0</v>
      </c>
      <c r="M105" s="6" t="n">
        <f aca="false">IF(ABS(H105)&gt;$P$8,1,0)</f>
        <v>0</v>
      </c>
    </row>
    <row r="106" customFormat="false" ht="15" hidden="false" customHeight="false" outlineLevel="0" collapsed="false">
      <c r="A106" s="0" t="n">
        <f aca="false">ROW()-1</f>
        <v>105</v>
      </c>
      <c r="B106" s="22" t="n">
        <f aca="false">SUMPRODUCT(MMULT('Analysis Data'!N106:U106,'Final Model'!$B$59:$I$66),'Analysis Data'!N106:U106)</f>
        <v>0.0719058949430416</v>
      </c>
      <c r="C106" s="15" t="n">
        <f aca="false">'Residual Diagnostics'!F106</f>
        <v>-12.677627566444</v>
      </c>
      <c r="D106" s="13" t="n">
        <f aca="false">C106/('Final Model'!$B$21*SQRT(1-B106))</f>
        <v>-0.26838744191972</v>
      </c>
      <c r="E106" s="13" t="n">
        <f aca="false">D106*SQRT(('Final Model'!$B$24-1)/('Final Model'!$B$24-D106^2))</f>
        <v>-0.268297053685427</v>
      </c>
      <c r="F106" s="23" t="n">
        <f aca="false">D106^2/($P$3+1)*B106/(1-B106)</f>
        <v>0.000697600650074887</v>
      </c>
      <c r="G106" s="13" t="n">
        <f aca="false">($P$2-1)*(B106-1/$P$2)</f>
        <v>98.5903859968341</v>
      </c>
      <c r="H106" s="13" t="n">
        <f aca="false">E106*SQRT(B106/(1-B106))</f>
        <v>-0.0746796277229838</v>
      </c>
      <c r="I106" s="13" t="n">
        <f aca="false">ABS(D106)</f>
        <v>0.26838744191972</v>
      </c>
      <c r="J106" s="6" t="n">
        <f aca="false">IF(B106&gt;$P$4,1,0)</f>
        <v>1</v>
      </c>
      <c r="K106" s="6" t="n">
        <f aca="false">IF(F106&gt;$P$6,1,0)</f>
        <v>0</v>
      </c>
      <c r="L106" s="6" t="n">
        <f aca="false">IF(G106&gt;$P$9,1,0)</f>
        <v>1</v>
      </c>
      <c r="M106" s="6" t="n">
        <f aca="false">IF(ABS(H106)&gt;$P$8,1,0)</f>
        <v>0</v>
      </c>
    </row>
    <row r="107" customFormat="false" ht="15" hidden="false" customHeight="false" outlineLevel="0" collapsed="false">
      <c r="A107" s="0" t="n">
        <f aca="false">ROW()-1</f>
        <v>106</v>
      </c>
      <c r="B107" s="22" t="n">
        <f aca="false">SUMPRODUCT(MMULT('Analysis Data'!N107:U107,'Final Model'!$B$59:$I$66),'Analysis Data'!N107:U107)</f>
        <v>0.0631609149436861</v>
      </c>
      <c r="C107" s="15" t="n">
        <f aca="false">'Residual Diagnostics'!F107</f>
        <v>-62.6972795604946</v>
      </c>
      <c r="D107" s="13" t="n">
        <f aca="false">C107/('Final Model'!$B$21*SQRT(1-B107))</f>
        <v>-1.32110216821518</v>
      </c>
      <c r="E107" s="13" t="n">
        <f aca="false">D107*SQRT(('Final Model'!$B$24-1)/('Final Model'!$B$24-D107^2))</f>
        <v>-1.3214598413386</v>
      </c>
      <c r="F107" s="23" t="n">
        <f aca="false">D107^2/($P$3+1)*B107/(1-B107)</f>
        <v>0.0147084271885889</v>
      </c>
      <c r="G107" s="13" t="n">
        <f aca="false">($P$2-1)*(B107-1/$P$2)</f>
        <v>86.4785886977267</v>
      </c>
      <c r="H107" s="13" t="n">
        <f aca="false">E107*SQRT(B107/(1-B107))</f>
        <v>-0.343119717178697</v>
      </c>
      <c r="I107" s="13" t="n">
        <f aca="false">ABS(D107)</f>
        <v>1.32110216821518</v>
      </c>
      <c r="J107" s="6" t="n">
        <f aca="false">IF(B107&gt;$P$4,1,0)</f>
        <v>1</v>
      </c>
      <c r="K107" s="6" t="n">
        <f aca="false">IF(F107&gt;$P$6,1,0)</f>
        <v>1</v>
      </c>
      <c r="L107" s="6" t="n">
        <f aca="false">IF(G107&gt;$P$9,1,0)</f>
        <v>1</v>
      </c>
      <c r="M107" s="6" t="n">
        <f aca="false">IF(ABS(H107)&gt;$P$8,1,0)</f>
        <v>1</v>
      </c>
    </row>
    <row r="108" customFormat="false" ht="15" hidden="false" customHeight="false" outlineLevel="0" collapsed="false">
      <c r="A108" s="0" t="n">
        <f aca="false">ROW()-1</f>
        <v>107</v>
      </c>
      <c r="B108" s="22" t="n">
        <f aca="false">SUMPRODUCT(MMULT('Analysis Data'!N108:U108,'Final Model'!$B$59:$I$66),'Analysis Data'!N108:U108)</f>
        <v>0.0631609149436861</v>
      </c>
      <c r="C108" s="15" t="n">
        <f aca="false">'Residual Diagnostics'!F108</f>
        <v>3.19027726910963</v>
      </c>
      <c r="D108" s="13" t="n">
        <f aca="false">C108/('Final Model'!$B$21*SQRT(1-B108))</f>
        <v>0.0672227287527158</v>
      </c>
      <c r="E108" s="13" t="n">
        <f aca="false">D108*SQRT(('Final Model'!$B$24-1)/('Final Model'!$B$24-D108^2))</f>
        <v>0.0671984430974508</v>
      </c>
      <c r="F108" s="23" t="n">
        <f aca="false">D108^2/($P$3+1)*B108/(1-B108)</f>
        <v>3.8082521823884E-005</v>
      </c>
      <c r="G108" s="13" t="n">
        <f aca="false">($P$2-1)*(B108-1/$P$2)</f>
        <v>86.4785886977267</v>
      </c>
      <c r="H108" s="13" t="n">
        <f aca="false">E108*SQRT(B108/(1-B108))</f>
        <v>0.017448211492443</v>
      </c>
      <c r="I108" s="13" t="n">
        <f aca="false">ABS(D108)</f>
        <v>0.0672227287527158</v>
      </c>
      <c r="J108" s="6" t="n">
        <f aca="false">IF(B108&gt;$P$4,1,0)</f>
        <v>1</v>
      </c>
      <c r="K108" s="6" t="n">
        <f aca="false">IF(F108&gt;$P$6,1,0)</f>
        <v>0</v>
      </c>
      <c r="L108" s="6" t="n">
        <f aca="false">IF(G108&gt;$P$9,1,0)</f>
        <v>1</v>
      </c>
      <c r="M108" s="6" t="n">
        <f aca="false">IF(ABS(H108)&gt;$P$8,1,0)</f>
        <v>0</v>
      </c>
    </row>
    <row r="109" customFormat="false" ht="15" hidden="false" customHeight="false" outlineLevel="0" collapsed="false">
      <c r="A109" s="0" t="n">
        <f aca="false">ROW()-1</f>
        <v>108</v>
      </c>
      <c r="B109" s="22" t="n">
        <f aca="false">SUMPRODUCT(MMULT('Analysis Data'!N109:U109,'Final Model'!$B$59:$I$66),'Analysis Data'!N109:U109)</f>
        <v>0.0633920558092793</v>
      </c>
      <c r="C109" s="15" t="n">
        <f aca="false">'Residual Diagnostics'!F109</f>
        <v>-20.5661813143621</v>
      </c>
      <c r="D109" s="13" t="n">
        <f aca="false">C109/('Final Model'!$B$21*SQRT(1-B109))</f>
        <v>-0.433406031148015</v>
      </c>
      <c r="E109" s="13" t="n">
        <f aca="false">D109*SQRT(('Final Model'!$B$24-1)/('Final Model'!$B$24-D109^2))</f>
        <v>-0.433278275493856</v>
      </c>
      <c r="F109" s="23" t="n">
        <f aca="false">D109^2/($P$3+1)*B109/(1-B109)</f>
        <v>0.00158919398714024</v>
      </c>
      <c r="G109" s="13" t="n">
        <f aca="false">($P$2-1)*(B109-1/$P$2)</f>
        <v>86.7987187965734</v>
      </c>
      <c r="H109" s="13" t="n">
        <f aca="false">E109*SQRT(B109/(1-B109))</f>
        <v>-0.112721150728959</v>
      </c>
      <c r="I109" s="13" t="n">
        <f aca="false">ABS(D109)</f>
        <v>0.433406031148015</v>
      </c>
      <c r="J109" s="6" t="n">
        <f aca="false">IF(B109&gt;$P$4,1,0)</f>
        <v>1</v>
      </c>
      <c r="K109" s="6" t="n">
        <f aca="false">IF(F109&gt;$P$6,1,0)</f>
        <v>0</v>
      </c>
      <c r="L109" s="6" t="n">
        <f aca="false">IF(G109&gt;$P$9,1,0)</f>
        <v>1</v>
      </c>
      <c r="M109" s="6" t="n">
        <f aca="false">IF(ABS(H109)&gt;$P$8,1,0)</f>
        <v>0</v>
      </c>
    </row>
    <row r="110" customFormat="false" ht="15" hidden="false" customHeight="false" outlineLevel="0" collapsed="false">
      <c r="A110" s="0" t="n">
        <f aca="false">ROW()-1</f>
        <v>109</v>
      </c>
      <c r="B110" s="22" t="n">
        <f aca="false">SUMPRODUCT(MMULT('Analysis Data'!N110:U110,'Final Model'!$B$59:$I$66),'Analysis Data'!N110:U110)</f>
        <v>0.0699650348677712</v>
      </c>
      <c r="C110" s="15" t="n">
        <f aca="false">'Residual Diagnostics'!F110</f>
        <v>18.4194206176116</v>
      </c>
      <c r="D110" s="13" t="n">
        <f aca="false">C110/('Final Model'!$B$21*SQRT(1-B110))</f>
        <v>0.389535045319956</v>
      </c>
      <c r="E110" s="13" t="n">
        <f aca="false">D110*SQRT(('Final Model'!$B$24-1)/('Final Model'!$B$24-D110^2))</f>
        <v>0.38941511962408</v>
      </c>
      <c r="F110" s="23" t="n">
        <f aca="false">D110^2/($P$3+1)*B110/(1-B110)</f>
        <v>0.0014268714996923</v>
      </c>
      <c r="G110" s="13" t="n">
        <f aca="false">($P$2-1)*(B110-1/$P$2)</f>
        <v>95.9022947925847</v>
      </c>
      <c r="H110" s="13" t="n">
        <f aca="false">E110*SQRT(B110/(1-B110))</f>
        <v>0.106807979343782</v>
      </c>
      <c r="I110" s="13" t="n">
        <f aca="false">ABS(D110)</f>
        <v>0.389535045319956</v>
      </c>
      <c r="J110" s="6" t="n">
        <f aca="false">IF(B110&gt;$P$4,1,0)</f>
        <v>1</v>
      </c>
      <c r="K110" s="6" t="n">
        <f aca="false">IF(F110&gt;$P$6,1,0)</f>
        <v>0</v>
      </c>
      <c r="L110" s="6" t="n">
        <f aca="false">IF(G110&gt;$P$9,1,0)</f>
        <v>1</v>
      </c>
      <c r="M110" s="6" t="n">
        <f aca="false">IF(ABS(H110)&gt;$P$8,1,0)</f>
        <v>0</v>
      </c>
    </row>
    <row r="111" customFormat="false" ht="15" hidden="false" customHeight="false" outlineLevel="0" collapsed="false">
      <c r="A111" s="0" t="n">
        <f aca="false">ROW()-1</f>
        <v>110</v>
      </c>
      <c r="B111" s="22" t="n">
        <f aca="false">SUMPRODUCT(MMULT('Analysis Data'!N111:U111,'Final Model'!$B$59:$I$66),'Analysis Data'!N111:U111)</f>
        <v>0.0699650348677712</v>
      </c>
      <c r="C111" s="15" t="n">
        <f aca="false">'Residual Diagnostics'!F111</f>
        <v>24.3515844880086</v>
      </c>
      <c r="D111" s="13" t="n">
        <f aca="false">C111/('Final Model'!$B$21*SQRT(1-B111))</f>
        <v>0.514988813387506</v>
      </c>
      <c r="E111" s="13" t="n">
        <f aca="false">D111*SQRT(('Final Model'!$B$24-1)/('Final Model'!$B$24-D111^2))</f>
        <v>0.514851465724465</v>
      </c>
      <c r="F111" s="23" t="n">
        <f aca="false">D111^2/($P$3+1)*B111/(1-B111)</f>
        <v>0.00249394793278507</v>
      </c>
      <c r="G111" s="13" t="n">
        <f aca="false">($P$2-1)*(B111-1/$P$2)</f>
        <v>95.9022947925847</v>
      </c>
      <c r="H111" s="13" t="n">
        <f aca="false">E111*SQRT(B111/(1-B111))</f>
        <v>0.141212402767769</v>
      </c>
      <c r="I111" s="13" t="n">
        <f aca="false">ABS(D111)</f>
        <v>0.514988813387506</v>
      </c>
      <c r="J111" s="6" t="n">
        <f aca="false">IF(B111&gt;$P$4,1,0)</f>
        <v>1</v>
      </c>
      <c r="K111" s="6" t="n">
        <f aca="false">IF(F111&gt;$P$6,1,0)</f>
        <v>0</v>
      </c>
      <c r="L111" s="6" t="n">
        <f aca="false">IF(G111&gt;$P$9,1,0)</f>
        <v>1</v>
      </c>
      <c r="M111" s="6" t="n">
        <f aca="false">IF(ABS(H111)&gt;$P$8,1,0)</f>
        <v>0</v>
      </c>
    </row>
    <row r="112" customFormat="false" ht="15" hidden="false" customHeight="false" outlineLevel="0" collapsed="false">
      <c r="A112" s="0" t="n">
        <f aca="false">ROW()-1</f>
        <v>111</v>
      </c>
      <c r="B112" s="22" t="n">
        <f aca="false">SUMPRODUCT(MMULT('Analysis Data'!N112:U112,'Final Model'!$B$59:$I$66),'Analysis Data'!N112:U112)</f>
        <v>0.00168832798629141</v>
      </c>
      <c r="C112" s="15" t="n">
        <f aca="false">'Residual Diagnostics'!F112</f>
        <v>-19.7176292907695</v>
      </c>
      <c r="D112" s="13" t="n">
        <f aca="false">C112/('Final Model'!$B$21*SQRT(1-B112))</f>
        <v>-0.402477708447508</v>
      </c>
      <c r="E112" s="13" t="n">
        <f aca="false">D112*SQRT(('Final Model'!$B$24-1)/('Final Model'!$B$24-D112^2))</f>
        <v>-0.402355294809873</v>
      </c>
      <c r="F112" s="23" t="n">
        <f aca="false">D112^2/($P$3+1)*B112/(1-B112)</f>
        <v>3.42439888508982E-005</v>
      </c>
      <c r="G112" s="13" t="n">
        <f aca="false">($P$2-1)*(B112-1/$P$2)</f>
        <v>1.3390557617351</v>
      </c>
      <c r="H112" s="13" t="n">
        <f aca="false">E112*SQRT(B112/(1-B112))</f>
        <v>-0.0165464585680557</v>
      </c>
      <c r="I112" s="13" t="n">
        <f aca="false">ABS(D112)</f>
        <v>0.402477708447508</v>
      </c>
      <c r="J112" s="6" t="n">
        <f aca="false">IF(B112&gt;$P$4,1,0)</f>
        <v>0</v>
      </c>
      <c r="K112" s="6" t="n">
        <f aca="false">IF(F112&gt;$P$6,1,0)</f>
        <v>0</v>
      </c>
      <c r="L112" s="6" t="n">
        <f aca="false">IF(G112&gt;$P$9,1,0)</f>
        <v>0</v>
      </c>
      <c r="M112" s="6" t="n">
        <f aca="false">IF(ABS(H112)&gt;$P$8,1,0)</f>
        <v>0</v>
      </c>
    </row>
    <row r="113" customFormat="false" ht="15" hidden="false" customHeight="false" outlineLevel="0" collapsed="false">
      <c r="A113" s="0" t="n">
        <f aca="false">ROW()-1</f>
        <v>112</v>
      </c>
      <c r="B113" s="22" t="n">
        <f aca="false">SUMPRODUCT(MMULT('Analysis Data'!N113:U113,'Final Model'!$B$59:$I$66),'Analysis Data'!N113:U113)</f>
        <v>0.00168832798629141</v>
      </c>
      <c r="C113" s="15" t="n">
        <f aca="false">'Residual Diagnostics'!F113</f>
        <v>-74.7321555836957</v>
      </c>
      <c r="D113" s="13" t="n">
        <f aca="false">C113/('Final Model'!$B$21*SQRT(1-B113))</f>
        <v>-1.5254382909384</v>
      </c>
      <c r="E113" s="13" t="n">
        <f aca="false">D113*SQRT(('Final Model'!$B$24-1)/('Final Model'!$B$24-D113^2))</f>
        <v>-1.52617382571391</v>
      </c>
      <c r="F113" s="23" t="n">
        <f aca="false">D113^2/($P$3+1)*B113/(1-B113)</f>
        <v>0.000491914892800413</v>
      </c>
      <c r="G113" s="13" t="n">
        <f aca="false">($P$2-1)*(B113-1/$P$2)</f>
        <v>1.3390557617351</v>
      </c>
      <c r="H113" s="13" t="n">
        <f aca="false">E113*SQRT(B113/(1-B113))</f>
        <v>-0.06276237022495</v>
      </c>
      <c r="I113" s="13" t="n">
        <f aca="false">ABS(D113)</f>
        <v>1.5254382909384</v>
      </c>
      <c r="J113" s="6" t="n">
        <f aca="false">IF(B113&gt;$P$4,1,0)</f>
        <v>0</v>
      </c>
      <c r="K113" s="6" t="n">
        <f aca="false">IF(F113&gt;$P$6,1,0)</f>
        <v>0</v>
      </c>
      <c r="L113" s="6" t="n">
        <f aca="false">IF(G113&gt;$P$9,1,0)</f>
        <v>0</v>
      </c>
      <c r="M113" s="6" t="n">
        <f aca="false">IF(ABS(H113)&gt;$P$8,1,0)</f>
        <v>0</v>
      </c>
    </row>
    <row r="114" customFormat="false" ht="15" hidden="false" customHeight="false" outlineLevel="0" collapsed="false">
      <c r="A114" s="0" t="n">
        <f aca="false">ROW()-1</f>
        <v>113</v>
      </c>
      <c r="B114" s="22" t="n">
        <f aca="false">SUMPRODUCT(MMULT('Analysis Data'!N114:U114,'Final Model'!$B$59:$I$66),'Analysis Data'!N114:U114)</f>
        <v>0.00208566736713166</v>
      </c>
      <c r="C114" s="15" t="n">
        <f aca="false">'Residual Diagnostics'!F114</f>
        <v>-34.31913637482</v>
      </c>
      <c r="D114" s="13" t="n">
        <f aca="false">C114/('Final Model'!$B$21*SQRT(1-B114))</f>
        <v>-0.700664201782098</v>
      </c>
      <c r="E114" s="13" t="n">
        <f aca="false">D114*SQRT(('Final Model'!$B$24-1)/('Final Model'!$B$24-D114^2))</f>
        <v>-0.700534721742183</v>
      </c>
      <c r="F114" s="23" t="n">
        <f aca="false">D114^2/($P$3+1)*B114/(1-B114)</f>
        <v>0.000128257171245523</v>
      </c>
      <c r="G114" s="13" t="n">
        <f aca="false">($P$2-1)*(B114-1/$P$2)</f>
        <v>1.88937080419885</v>
      </c>
      <c r="H114" s="13" t="n">
        <f aca="false">E114*SQRT(B114/(1-B114))</f>
        <v>-0.0320262108611197</v>
      </c>
      <c r="I114" s="13" t="n">
        <f aca="false">ABS(D114)</f>
        <v>0.700664201782098</v>
      </c>
      <c r="J114" s="6" t="n">
        <f aca="false">IF(B114&gt;$P$4,1,0)</f>
        <v>0</v>
      </c>
      <c r="K114" s="6" t="n">
        <f aca="false">IF(F114&gt;$P$6,1,0)</f>
        <v>0</v>
      </c>
      <c r="L114" s="6" t="n">
        <f aca="false">IF(G114&gt;$P$9,1,0)</f>
        <v>0</v>
      </c>
      <c r="M114" s="6" t="n">
        <f aca="false">IF(ABS(H114)&gt;$P$8,1,0)</f>
        <v>0</v>
      </c>
    </row>
    <row r="115" customFormat="false" ht="15" hidden="false" customHeight="false" outlineLevel="0" collapsed="false">
      <c r="A115" s="0" t="n">
        <f aca="false">ROW()-1</f>
        <v>114</v>
      </c>
      <c r="B115" s="22" t="n">
        <f aca="false">SUMPRODUCT(MMULT('Analysis Data'!N115:U115,'Final Model'!$B$59:$I$66),'Analysis Data'!N115:U115)</f>
        <v>0.00178695478833632</v>
      </c>
      <c r="C115" s="15" t="n">
        <f aca="false">'Residual Diagnostics'!F115</f>
        <v>64.2699215161181</v>
      </c>
      <c r="D115" s="13" t="n">
        <f aca="false">C115/('Final Model'!$B$21*SQRT(1-B115))</f>
        <v>1.31194720240083</v>
      </c>
      <c r="E115" s="13" t="n">
        <f aca="false">D115*SQRT(('Final Model'!$B$24-1)/('Final Model'!$B$24-D115^2))</f>
        <v>1.31229090440663</v>
      </c>
      <c r="F115" s="23" t="n">
        <f aca="false">D115^2/($P$3+1)*B115/(1-B115)</f>
        <v>0.000385152793357112</v>
      </c>
      <c r="G115" s="13" t="n">
        <f aca="false">($P$2-1)*(B115-1/$P$2)</f>
        <v>1.4756538825673</v>
      </c>
      <c r="H115" s="13" t="n">
        <f aca="false">E115*SQRT(B115/(1-B115))</f>
        <v>0.0555233012937919</v>
      </c>
      <c r="I115" s="13" t="n">
        <f aca="false">ABS(D115)</f>
        <v>1.31194720240083</v>
      </c>
      <c r="J115" s="6" t="n">
        <f aca="false">IF(B115&gt;$P$4,1,0)</f>
        <v>0</v>
      </c>
      <c r="K115" s="6" t="n">
        <f aca="false">IF(F115&gt;$P$6,1,0)</f>
        <v>0</v>
      </c>
      <c r="L115" s="6" t="n">
        <f aca="false">IF(G115&gt;$P$9,1,0)</f>
        <v>0</v>
      </c>
      <c r="M115" s="6" t="n">
        <f aca="false">IF(ABS(H115)&gt;$P$8,1,0)</f>
        <v>0</v>
      </c>
    </row>
    <row r="116" customFormat="false" ht="15" hidden="false" customHeight="false" outlineLevel="0" collapsed="false">
      <c r="A116" s="0" t="n">
        <f aca="false">ROW()-1</f>
        <v>115</v>
      </c>
      <c r="B116" s="22" t="n">
        <f aca="false">SUMPRODUCT(MMULT('Analysis Data'!N116:U116,'Final Model'!$B$59:$I$66),'Analysis Data'!N116:U116)</f>
        <v>0.00178695478833632</v>
      </c>
      <c r="C116" s="15" t="n">
        <f aca="false">'Residual Diagnostics'!F116</f>
        <v>55.4728045666425</v>
      </c>
      <c r="D116" s="13" t="n">
        <f aca="false">C116/('Final Model'!$B$21*SQRT(1-B116))</f>
        <v>1.13237092941343</v>
      </c>
      <c r="E116" s="13" t="n">
        <f aca="false">D116*SQRT(('Final Model'!$B$24-1)/('Final Model'!$B$24-D116^2))</f>
        <v>1.13248700661273</v>
      </c>
      <c r="F116" s="23" t="n">
        <f aca="false">D116^2/($P$3+1)*B116/(1-B116)</f>
        <v>0.000286931189930869</v>
      </c>
      <c r="G116" s="13" t="n">
        <f aca="false">($P$2-1)*(B116-1/$P$2)</f>
        <v>1.4756538825673</v>
      </c>
      <c r="H116" s="13" t="n">
        <f aca="false">E116*SQRT(B116/(1-B116))</f>
        <v>0.047915760955377</v>
      </c>
      <c r="I116" s="13" t="n">
        <f aca="false">ABS(D116)</f>
        <v>1.13237092941343</v>
      </c>
      <c r="J116" s="6" t="n">
        <f aca="false">IF(B116&gt;$P$4,1,0)</f>
        <v>0</v>
      </c>
      <c r="K116" s="6" t="n">
        <f aca="false">IF(F116&gt;$P$6,1,0)</f>
        <v>0</v>
      </c>
      <c r="L116" s="6" t="n">
        <f aca="false">IF(G116&gt;$P$9,1,0)</f>
        <v>0</v>
      </c>
      <c r="M116" s="6" t="n">
        <f aca="false">IF(ABS(H116)&gt;$P$8,1,0)</f>
        <v>0</v>
      </c>
    </row>
    <row r="117" customFormat="false" ht="15" hidden="false" customHeight="false" outlineLevel="0" collapsed="false">
      <c r="A117" s="0" t="n">
        <f aca="false">ROW()-1</f>
        <v>116</v>
      </c>
      <c r="B117" s="22" t="n">
        <f aca="false">SUMPRODUCT(MMULT('Analysis Data'!N117:U117,'Final Model'!$B$59:$I$66),'Analysis Data'!N117:U117)</f>
        <v>0.001821033460329</v>
      </c>
      <c r="C117" s="15" t="n">
        <f aca="false">'Residual Diagnostics'!F117</f>
        <v>-42.4760983365206</v>
      </c>
      <c r="D117" s="13" t="n">
        <f aca="false">C117/('Final Model'!$B$21*SQRT(1-B117))</f>
        <v>-0.867082895573973</v>
      </c>
      <c r="E117" s="13" t="n">
        <f aca="false">D117*SQRT(('Final Model'!$B$24-1)/('Final Model'!$B$24-D117^2))</f>
        <v>-0.867004771936184</v>
      </c>
      <c r="F117" s="23" t="n">
        <f aca="false">D117^2/($P$3+1)*B117/(1-B117)</f>
        <v>0.000171451292328814</v>
      </c>
      <c r="G117" s="13" t="n">
        <f aca="false">($P$2-1)*(B117-1/$P$2)</f>
        <v>1.52285284327717</v>
      </c>
      <c r="H117" s="13" t="n">
        <f aca="false">E117*SQRT(B117/(1-B117))</f>
        <v>-0.0370319211932402</v>
      </c>
      <c r="I117" s="13" t="n">
        <f aca="false">ABS(D117)</f>
        <v>0.867082895573973</v>
      </c>
      <c r="J117" s="6" t="n">
        <f aca="false">IF(B117&gt;$P$4,1,0)</f>
        <v>0</v>
      </c>
      <c r="K117" s="6" t="n">
        <f aca="false">IF(F117&gt;$P$6,1,0)</f>
        <v>0</v>
      </c>
      <c r="L117" s="6" t="n">
        <f aca="false">IF(G117&gt;$P$9,1,0)</f>
        <v>0</v>
      </c>
      <c r="M117" s="6" t="n">
        <f aca="false">IF(ABS(H117)&gt;$P$8,1,0)</f>
        <v>0</v>
      </c>
    </row>
    <row r="118" customFormat="false" ht="15" hidden="false" customHeight="false" outlineLevel="0" collapsed="false">
      <c r="A118" s="0" t="n">
        <f aca="false">ROW()-1</f>
        <v>117</v>
      </c>
      <c r="B118" s="22" t="n">
        <f aca="false">SUMPRODUCT(MMULT('Analysis Data'!N118:U118,'Final Model'!$B$59:$I$66),'Analysis Data'!N118:U118)</f>
        <v>0.00168293835673296</v>
      </c>
      <c r="C118" s="15" t="n">
        <f aca="false">'Residual Diagnostics'!F118</f>
        <v>-33.9289487107615</v>
      </c>
      <c r="D118" s="13" t="n">
        <f aca="false">C118/('Final Model'!$B$21*SQRT(1-B118))</f>
        <v>-0.692558342803018</v>
      </c>
      <c r="E118" s="13" t="n">
        <f aca="false">D118*SQRT(('Final Model'!$B$24-1)/('Final Model'!$B$24-D118^2))</f>
        <v>-0.692427522327831</v>
      </c>
      <c r="F118" s="23" t="n">
        <f aca="false">D118^2/($P$3+1)*B118/(1-B118)</f>
        <v>0.000101070044971885</v>
      </c>
      <c r="G118" s="13" t="n">
        <f aca="false">($P$2-1)*(B118-1/$P$2)</f>
        <v>1.33159112479665</v>
      </c>
      <c r="H118" s="13" t="n">
        <f aca="false">E118*SQRT(B118/(1-B118))</f>
        <v>-0.0284298245401659</v>
      </c>
      <c r="I118" s="13" t="n">
        <f aca="false">ABS(D118)</f>
        <v>0.692558342803018</v>
      </c>
      <c r="J118" s="6" t="n">
        <f aca="false">IF(B118&gt;$P$4,1,0)</f>
        <v>0</v>
      </c>
      <c r="K118" s="6" t="n">
        <f aca="false">IF(F118&gt;$P$6,1,0)</f>
        <v>0</v>
      </c>
      <c r="L118" s="6" t="n">
        <f aca="false">IF(G118&gt;$P$9,1,0)</f>
        <v>0</v>
      </c>
      <c r="M118" s="6" t="n">
        <f aca="false">IF(ABS(H118)&gt;$P$8,1,0)</f>
        <v>0</v>
      </c>
    </row>
    <row r="119" customFormat="false" ht="15" hidden="false" customHeight="false" outlineLevel="0" collapsed="false">
      <c r="A119" s="0" t="n">
        <f aca="false">ROW()-1</f>
        <v>118</v>
      </c>
      <c r="B119" s="22" t="n">
        <f aca="false">SUMPRODUCT(MMULT('Analysis Data'!N119:U119,'Final Model'!$B$59:$I$66),'Analysis Data'!N119:U119)</f>
        <v>0.00171083541114542</v>
      </c>
      <c r="C119" s="15" t="n">
        <f aca="false">'Residual Diagnostics'!F119</f>
        <v>-80.9107332703741</v>
      </c>
      <c r="D119" s="13" t="n">
        <f aca="false">C119/('Final Model'!$B$21*SQRT(1-B119))</f>
        <v>-1.65157449385729</v>
      </c>
      <c r="E119" s="13" t="n">
        <f aca="false">D119*SQRT(('Final Model'!$B$24-1)/('Final Model'!$B$24-D119^2))</f>
        <v>-1.6526115709726</v>
      </c>
      <c r="F119" s="23" t="n">
        <f aca="false">D119^2/($P$3+1)*B119/(1-B119)</f>
        <v>0.000584330049734381</v>
      </c>
      <c r="G119" s="13" t="n">
        <f aca="false">($P$2-1)*(B119-1/$P$2)</f>
        <v>1.3702285451579</v>
      </c>
      <c r="H119" s="13" t="n">
        <f aca="false">E119*SQRT(B119/(1-B119))</f>
        <v>-0.0684142745141275</v>
      </c>
      <c r="I119" s="13" t="n">
        <f aca="false">ABS(D119)</f>
        <v>1.65157449385729</v>
      </c>
      <c r="J119" s="6" t="n">
        <f aca="false">IF(B119&gt;$P$4,1,0)</f>
        <v>0</v>
      </c>
      <c r="K119" s="6" t="n">
        <f aca="false">IF(F119&gt;$P$6,1,0)</f>
        <v>0</v>
      </c>
      <c r="L119" s="6" t="n">
        <f aca="false">IF(G119&gt;$P$9,1,0)</f>
        <v>0</v>
      </c>
      <c r="M119" s="6" t="n">
        <f aca="false">IF(ABS(H119)&gt;$P$8,1,0)</f>
        <v>0</v>
      </c>
    </row>
    <row r="120" customFormat="false" ht="15" hidden="false" customHeight="false" outlineLevel="0" collapsed="false">
      <c r="A120" s="0" t="n">
        <f aca="false">ROW()-1</f>
        <v>119</v>
      </c>
      <c r="B120" s="22" t="n">
        <f aca="false">SUMPRODUCT(MMULT('Analysis Data'!N120:U120,'Final Model'!$B$59:$I$66),'Analysis Data'!N120:U120)</f>
        <v>0.00168551903148942</v>
      </c>
      <c r="C120" s="15" t="n">
        <f aca="false">'Residual Diagnostics'!F120</f>
        <v>44.2400878289003</v>
      </c>
      <c r="D120" s="13" t="n">
        <f aca="false">C120/('Final Model'!$B$21*SQRT(1-B120))</f>
        <v>0.903030676682627</v>
      </c>
      <c r="E120" s="13" t="n">
        <f aca="false">D120*SQRT(('Final Model'!$B$24-1)/('Final Model'!$B$24-D120^2))</f>
        <v>0.902970173938318</v>
      </c>
      <c r="F120" s="23" t="n">
        <f aca="false">D120^2/($P$3+1)*B120/(1-B120)</f>
        <v>0.000172100174470521</v>
      </c>
      <c r="G120" s="13" t="n">
        <f aca="false">($P$2-1)*(B120-1/$P$2)</f>
        <v>1.33516535933435</v>
      </c>
      <c r="H120" s="13" t="n">
        <f aca="false">E120*SQRT(B120/(1-B120))</f>
        <v>0.037102788459979</v>
      </c>
      <c r="I120" s="13" t="n">
        <f aca="false">ABS(D120)</f>
        <v>0.903030676682627</v>
      </c>
      <c r="J120" s="6" t="n">
        <f aca="false">IF(B120&gt;$P$4,1,0)</f>
        <v>0</v>
      </c>
      <c r="K120" s="6" t="n">
        <f aca="false">IF(F120&gt;$P$6,1,0)</f>
        <v>0</v>
      </c>
      <c r="L120" s="6" t="n">
        <f aca="false">IF(G120&gt;$P$9,1,0)</f>
        <v>0</v>
      </c>
      <c r="M120" s="6" t="n">
        <f aca="false">IF(ABS(H120)&gt;$P$8,1,0)</f>
        <v>0</v>
      </c>
    </row>
    <row r="121" customFormat="false" ht="15" hidden="false" customHeight="false" outlineLevel="0" collapsed="false">
      <c r="A121" s="0" t="n">
        <f aca="false">ROW()-1</f>
        <v>120</v>
      </c>
      <c r="B121" s="22" t="n">
        <f aca="false">SUMPRODUCT(MMULT('Analysis Data'!N121:U121,'Final Model'!$B$59:$I$66),'Analysis Data'!N121:U121)</f>
        <v>0.00252898132439279</v>
      </c>
      <c r="C121" s="15" t="n">
        <f aca="false">'Residual Diagnostics'!F121</f>
        <v>28.3953413689273</v>
      </c>
      <c r="D121" s="13" t="n">
        <f aca="false">C121/('Final Model'!$B$21*SQRT(1-B121))</f>
        <v>0.579852000516842</v>
      </c>
      <c r="E121" s="13" t="n">
        <f aca="false">D121*SQRT(('Final Model'!$B$24-1)/('Final Model'!$B$24-D121^2))</f>
        <v>0.579712294551053</v>
      </c>
      <c r="F121" s="23" t="n">
        <f aca="false">D121^2/($P$3+1)*B121/(1-B121)</f>
        <v>0.000106558885296187</v>
      </c>
      <c r="G121" s="13" t="n">
        <f aca="false">($P$2-1)*(B121-1/$P$2)</f>
        <v>2.50336063500552</v>
      </c>
      <c r="H121" s="13" t="n">
        <f aca="false">E121*SQRT(B121/(1-B121))</f>
        <v>0.0291900728605076</v>
      </c>
      <c r="I121" s="13" t="n">
        <f aca="false">ABS(D121)</f>
        <v>0.579852000516842</v>
      </c>
      <c r="J121" s="6" t="n">
        <f aca="false">IF(B121&gt;$P$4,1,0)</f>
        <v>0</v>
      </c>
      <c r="K121" s="6" t="n">
        <f aca="false">IF(F121&gt;$P$6,1,0)</f>
        <v>0</v>
      </c>
      <c r="L121" s="6" t="n">
        <f aca="false">IF(G121&gt;$P$9,1,0)</f>
        <v>0</v>
      </c>
      <c r="M121" s="6" t="n">
        <f aca="false">IF(ABS(H121)&gt;$P$8,1,0)</f>
        <v>0</v>
      </c>
    </row>
    <row r="122" customFormat="false" ht="15" hidden="false" customHeight="false" outlineLevel="0" collapsed="false">
      <c r="A122" s="0" t="n">
        <f aca="false">ROW()-1</f>
        <v>121</v>
      </c>
      <c r="B122" s="22" t="n">
        <f aca="false">SUMPRODUCT(MMULT('Analysis Data'!N122:U122,'Final Model'!$B$59:$I$66),'Analysis Data'!N122:U122)</f>
        <v>0.00252898132439279</v>
      </c>
      <c r="C122" s="15" t="n">
        <f aca="false">'Residual Diagnostics'!F122</f>
        <v>21.8613533315725</v>
      </c>
      <c r="D122" s="13" t="n">
        <f aca="false">C122/('Final Model'!$B$21*SQRT(1-B122))</f>
        <v>0.446423562887306</v>
      </c>
      <c r="E122" s="13" t="n">
        <f aca="false">D122*SQRT(('Final Model'!$B$24-1)/('Final Model'!$B$24-D122^2))</f>
        <v>0.446293824974771</v>
      </c>
      <c r="F122" s="23" t="n">
        <f aca="false">D122^2/($P$3+1)*B122/(1-B122)</f>
        <v>6.31610829170762E-005</v>
      </c>
      <c r="G122" s="13" t="n">
        <f aca="false">($P$2-1)*(B122-1/$P$2)</f>
        <v>2.50336063500552</v>
      </c>
      <c r="H122" s="13" t="n">
        <f aca="false">E122*SQRT(B122/(1-B122))</f>
        <v>0.0224720941588741</v>
      </c>
      <c r="I122" s="13" t="n">
        <f aca="false">ABS(D122)</f>
        <v>0.446423562887306</v>
      </c>
      <c r="J122" s="6" t="n">
        <f aca="false">IF(B122&gt;$P$4,1,0)</f>
        <v>0</v>
      </c>
      <c r="K122" s="6" t="n">
        <f aca="false">IF(F122&gt;$P$6,1,0)</f>
        <v>0</v>
      </c>
      <c r="L122" s="6" t="n">
        <f aca="false">IF(G122&gt;$P$9,1,0)</f>
        <v>0</v>
      </c>
      <c r="M122" s="6" t="n">
        <f aca="false">IF(ABS(H122)&gt;$P$8,1,0)</f>
        <v>0</v>
      </c>
    </row>
    <row r="123" customFormat="false" ht="15" hidden="false" customHeight="false" outlineLevel="0" collapsed="false">
      <c r="A123" s="0" t="n">
        <f aca="false">ROW()-1</f>
        <v>122</v>
      </c>
      <c r="B123" s="22" t="n">
        <f aca="false">SUMPRODUCT(MMULT('Analysis Data'!N123:U123,'Final Model'!$B$59:$I$66),'Analysis Data'!N123:U123)</f>
        <v>0.0115490547241255</v>
      </c>
      <c r="C123" s="15" t="n">
        <f aca="false">'Residual Diagnostics'!F123</f>
        <v>66.720790959349</v>
      </c>
      <c r="D123" s="13" t="n">
        <f aca="false">C123/('Final Model'!$B$21*SQRT(1-B123))</f>
        <v>1.36868602965299</v>
      </c>
      <c r="E123" s="13" t="n">
        <f aca="false">D123*SQRT(('Final Model'!$B$24-1)/('Final Model'!$B$24-D123^2))</f>
        <v>1.36912025054257</v>
      </c>
      <c r="F123" s="23" t="n">
        <f aca="false">D123^2/($P$3+1)*B123/(1-B123)</f>
        <v>0.00273595531453123</v>
      </c>
      <c r="G123" s="13" t="n">
        <f aca="false">($P$2-1)*(B123-1/$P$2)</f>
        <v>14.9961622936353</v>
      </c>
      <c r="H123" s="13" t="n">
        <f aca="false">E123*SQRT(B123/(1-B123))</f>
        <v>0.14799166394167</v>
      </c>
      <c r="I123" s="13" t="n">
        <f aca="false">ABS(D123)</f>
        <v>1.36868602965299</v>
      </c>
      <c r="J123" s="6" t="n">
        <f aca="false">IF(B123&gt;$P$4,1,0)</f>
        <v>1</v>
      </c>
      <c r="K123" s="6" t="n">
        <f aca="false">IF(F123&gt;$P$6,1,0)</f>
        <v>0</v>
      </c>
      <c r="L123" s="6" t="n">
        <f aca="false">IF(G123&gt;$P$9,1,0)</f>
        <v>1</v>
      </c>
      <c r="M123" s="6" t="n">
        <f aca="false">IF(ABS(H123)&gt;$P$8,1,0)</f>
        <v>0</v>
      </c>
    </row>
    <row r="124" customFormat="false" ht="15" hidden="false" customHeight="false" outlineLevel="0" collapsed="false">
      <c r="A124" s="0" t="n">
        <f aca="false">ROW()-1</f>
        <v>123</v>
      </c>
      <c r="B124" s="22" t="n">
        <f aca="false">SUMPRODUCT(MMULT('Analysis Data'!N124:U124,'Final Model'!$B$59:$I$66),'Analysis Data'!N124:U124)</f>
        <v>0.0115569811172193</v>
      </c>
      <c r="C124" s="15" t="n">
        <f aca="false">'Residual Diagnostics'!F124</f>
        <v>-87.9105710642484</v>
      </c>
      <c r="D124" s="13" t="n">
        <f aca="false">C124/('Final Model'!$B$21*SQRT(1-B124))</f>
        <v>-1.80337269955187</v>
      </c>
      <c r="E124" s="13" t="n">
        <f aca="false">D124*SQRT(('Final Model'!$B$24-1)/('Final Model'!$B$24-D124^2))</f>
        <v>-1.80484926464279</v>
      </c>
      <c r="F124" s="23" t="n">
        <f aca="false">D124^2/($P$3+1)*B124/(1-B124)</f>
        <v>0.00475306506972959</v>
      </c>
      <c r="G124" s="13" t="n">
        <f aca="false">($P$2-1)*(B124-1/$P$2)</f>
        <v>15.0071403480702</v>
      </c>
      <c r="H124" s="13" t="n">
        <f aca="false">E124*SQRT(B124/(1-B124))</f>
        <v>-0.195158431706564</v>
      </c>
      <c r="I124" s="13" t="n">
        <f aca="false">ABS(D124)</f>
        <v>1.80337269955187</v>
      </c>
      <c r="J124" s="6" t="n">
        <f aca="false">IF(B124&gt;$P$4,1,0)</f>
        <v>1</v>
      </c>
      <c r="K124" s="6" t="n">
        <f aca="false">IF(F124&gt;$P$6,1,0)</f>
        <v>1</v>
      </c>
      <c r="L124" s="6" t="n">
        <f aca="false">IF(G124&gt;$P$9,1,0)</f>
        <v>1</v>
      </c>
      <c r="M124" s="6" t="n">
        <f aca="false">IF(ABS(H124)&gt;$P$8,1,0)</f>
        <v>1</v>
      </c>
    </row>
    <row r="125" customFormat="false" ht="15" hidden="false" customHeight="false" outlineLevel="0" collapsed="false">
      <c r="A125" s="0" t="n">
        <f aca="false">ROW()-1</f>
        <v>124</v>
      </c>
      <c r="B125" s="22" t="n">
        <f aca="false">SUMPRODUCT(MMULT('Analysis Data'!N125:U125,'Final Model'!$B$59:$I$66),'Analysis Data'!N125:U125)</f>
        <v>0.00208566736713166</v>
      </c>
      <c r="C125" s="15" t="n">
        <f aca="false">'Residual Diagnostics'!F125</f>
        <v>12.574162321184</v>
      </c>
      <c r="D125" s="13" t="n">
        <f aca="false">C125/('Final Model'!$B$21*SQRT(1-B125))</f>
        <v>0.256715824944681</v>
      </c>
      <c r="E125" s="13" t="n">
        <f aca="false">D125*SQRT(('Final Model'!$B$24-1)/('Final Model'!$B$24-D125^2))</f>
        <v>0.256628796787121</v>
      </c>
      <c r="F125" s="23" t="n">
        <f aca="false">D125^2/($P$3+1)*B125/(1-B125)</f>
        <v>1.7217380643461E-005</v>
      </c>
      <c r="G125" s="13" t="n">
        <f aca="false">($P$2-1)*(B125-1/$P$2)</f>
        <v>1.88937080419885</v>
      </c>
      <c r="H125" s="13" t="n">
        <f aca="false">E125*SQRT(B125/(1-B125))</f>
        <v>0.0117322492431211</v>
      </c>
      <c r="I125" s="13" t="n">
        <f aca="false">ABS(D125)</f>
        <v>0.256715824944681</v>
      </c>
      <c r="J125" s="6" t="n">
        <f aca="false">IF(B125&gt;$P$4,1,0)</f>
        <v>0</v>
      </c>
      <c r="K125" s="6" t="n">
        <f aca="false">IF(F125&gt;$P$6,1,0)</f>
        <v>0</v>
      </c>
      <c r="L125" s="6" t="n">
        <f aca="false">IF(G125&gt;$P$9,1,0)</f>
        <v>0</v>
      </c>
      <c r="M125" s="6" t="n">
        <f aca="false">IF(ABS(H125)&gt;$P$8,1,0)</f>
        <v>0</v>
      </c>
    </row>
    <row r="126" customFormat="false" ht="15" hidden="false" customHeight="false" outlineLevel="0" collapsed="false">
      <c r="A126" s="0" t="n">
        <f aca="false">ROW()-1</f>
        <v>125</v>
      </c>
      <c r="B126" s="22" t="n">
        <f aca="false">SUMPRODUCT(MMULT('Analysis Data'!N126:U126,'Final Model'!$B$59:$I$66),'Analysis Data'!N126:U126)</f>
        <v>0.00181561440572565</v>
      </c>
      <c r="C126" s="15" t="n">
        <f aca="false">'Residual Diagnostics'!F126</f>
        <v>-34.9847718258358</v>
      </c>
      <c r="D126" s="13" t="n">
        <f aca="false">C126/('Final Model'!$B$21*SQRT(1-B126))</f>
        <v>-0.714157281422318</v>
      </c>
      <c r="E126" s="13" t="n">
        <f aca="false">D126*SQRT(('Final Model'!$B$24-1)/('Final Model'!$B$24-D126^2))</f>
        <v>-0.714030255647858</v>
      </c>
      <c r="F126" s="23" t="n">
        <f aca="false">D126^2/($P$3+1)*B126/(1-B126)</f>
        <v>0.000115960638508923</v>
      </c>
      <c r="G126" s="13" t="n">
        <f aca="false">($P$2-1)*(B126-1/$P$2)</f>
        <v>1.51534745265153</v>
      </c>
      <c r="H126" s="13" t="n">
        <f aca="false">E126*SQRT(B126/(1-B126))</f>
        <v>-0.0304525060759957</v>
      </c>
      <c r="I126" s="13" t="n">
        <f aca="false">ABS(D126)</f>
        <v>0.714157281422318</v>
      </c>
      <c r="J126" s="6" t="n">
        <f aca="false">IF(B126&gt;$P$4,1,0)</f>
        <v>0</v>
      </c>
      <c r="K126" s="6" t="n">
        <f aca="false">IF(F126&gt;$P$6,1,0)</f>
        <v>0</v>
      </c>
      <c r="L126" s="6" t="n">
        <f aca="false">IF(G126&gt;$P$9,1,0)</f>
        <v>0</v>
      </c>
      <c r="M126" s="6" t="n">
        <f aca="false">IF(ABS(H126)&gt;$P$8,1,0)</f>
        <v>0</v>
      </c>
    </row>
    <row r="127" customFormat="false" ht="15" hidden="false" customHeight="false" outlineLevel="0" collapsed="false">
      <c r="A127" s="0" t="n">
        <f aca="false">ROW()-1</f>
        <v>126</v>
      </c>
      <c r="B127" s="22" t="n">
        <f aca="false">SUMPRODUCT(MMULT('Analysis Data'!N127:U127,'Final Model'!$B$59:$I$66),'Analysis Data'!N127:U127)</f>
        <v>0.00178695478833632</v>
      </c>
      <c r="C127" s="15" t="n">
        <f aca="false">'Residual Diagnostics'!F127</f>
        <v>10.2653741044564</v>
      </c>
      <c r="D127" s="13" t="n">
        <f aca="false">C127/('Final Model'!$B$21*SQRT(1-B127))</f>
        <v>0.209547927245594</v>
      </c>
      <c r="E127" s="13" t="n">
        <f aca="false">D127*SQRT(('Final Model'!$B$24-1)/('Final Model'!$B$24-D127^2))</f>
        <v>0.209475217609267</v>
      </c>
      <c r="F127" s="23" t="n">
        <f aca="false">D127^2/($P$3+1)*B127/(1-B127)</f>
        <v>9.82578088425677E-006</v>
      </c>
      <c r="G127" s="13" t="n">
        <f aca="false">($P$2-1)*(B127-1/$P$2)</f>
        <v>1.4756538825673</v>
      </c>
      <c r="H127" s="13" t="n">
        <f aca="false">E127*SQRT(B127/(1-B127))</f>
        <v>0.00886294005532334</v>
      </c>
      <c r="I127" s="13" t="n">
        <f aca="false">ABS(D127)</f>
        <v>0.209547927245594</v>
      </c>
      <c r="J127" s="6" t="n">
        <f aca="false">IF(B127&gt;$P$4,1,0)</f>
        <v>0</v>
      </c>
      <c r="K127" s="6" t="n">
        <f aca="false">IF(F127&gt;$P$6,1,0)</f>
        <v>0</v>
      </c>
      <c r="L127" s="6" t="n">
        <f aca="false">IF(G127&gt;$P$9,1,0)</f>
        <v>0</v>
      </c>
      <c r="M127" s="6" t="n">
        <f aca="false">IF(ABS(H127)&gt;$P$8,1,0)</f>
        <v>0</v>
      </c>
    </row>
    <row r="128" customFormat="false" ht="15" hidden="false" customHeight="false" outlineLevel="0" collapsed="false">
      <c r="A128" s="0" t="n">
        <f aca="false">ROW()-1</f>
        <v>127</v>
      </c>
      <c r="B128" s="22" t="n">
        <f aca="false">SUMPRODUCT(MMULT('Analysis Data'!N128:U128,'Final Model'!$B$59:$I$66),'Analysis Data'!N128:U128)</f>
        <v>0.00204707809940915</v>
      </c>
      <c r="C128" s="15" t="n">
        <f aca="false">'Residual Diagnostics'!F128</f>
        <v>-13.2779039885429</v>
      </c>
      <c r="D128" s="13" t="n">
        <f aca="false">C128/('Final Model'!$B$21*SQRT(1-B128))</f>
        <v>-0.27107827024383</v>
      </c>
      <c r="E128" s="13" t="n">
        <f aca="false">D128*SQRT(('Final Model'!$B$24-1)/('Final Model'!$B$24-D128^2))</f>
        <v>-0.270987118524055</v>
      </c>
      <c r="F128" s="23" t="n">
        <f aca="false">D128^2/($P$3+1)*B128/(1-B128)</f>
        <v>1.88418604289931E-005</v>
      </c>
      <c r="G128" s="13" t="n">
        <f aca="false">($P$2-1)*(B128-1/$P$2)</f>
        <v>1.83592466840317</v>
      </c>
      <c r="H128" s="13" t="n">
        <f aca="false">E128*SQRT(B128/(1-B128))</f>
        <v>-0.0122732851930362</v>
      </c>
      <c r="I128" s="13" t="n">
        <f aca="false">ABS(D128)</f>
        <v>0.27107827024383</v>
      </c>
      <c r="J128" s="6" t="n">
        <f aca="false">IF(B128&gt;$P$4,1,0)</f>
        <v>0</v>
      </c>
      <c r="K128" s="6" t="n">
        <f aca="false">IF(F128&gt;$P$6,1,0)</f>
        <v>0</v>
      </c>
      <c r="L128" s="6" t="n">
        <f aca="false">IF(G128&gt;$P$9,1,0)</f>
        <v>0</v>
      </c>
      <c r="M128" s="6" t="n">
        <f aca="false">IF(ABS(H128)&gt;$P$8,1,0)</f>
        <v>0</v>
      </c>
    </row>
    <row r="129" customFormat="false" ht="15" hidden="false" customHeight="false" outlineLevel="0" collapsed="false">
      <c r="A129" s="0" t="n">
        <f aca="false">ROW()-1</f>
        <v>128</v>
      </c>
      <c r="B129" s="22" t="n">
        <f aca="false">SUMPRODUCT(MMULT('Analysis Data'!N129:U129,'Final Model'!$B$59:$I$66),'Analysis Data'!N129:U129)</f>
        <v>0.001821033460329</v>
      </c>
      <c r="C129" s="15" t="n">
        <f aca="false">'Residual Diagnostics'!F129</f>
        <v>-31.3741987137722</v>
      </c>
      <c r="D129" s="13" t="n">
        <f aca="false">C129/('Final Model'!$B$21*SQRT(1-B129))</f>
        <v>-0.640455035477234</v>
      </c>
      <c r="E129" s="13" t="n">
        <f aca="false">D129*SQRT(('Final Model'!$B$24-1)/('Final Model'!$B$24-D129^2))</f>
        <v>-0.640317914859808</v>
      </c>
      <c r="F129" s="23" t="n">
        <f aca="false">D129^2/($P$3+1)*B129/(1-B129)</f>
        <v>9.35398811272821E-005</v>
      </c>
      <c r="G129" s="13" t="n">
        <f aca="false">($P$2-1)*(B129-1/$P$2)</f>
        <v>1.52285284327717</v>
      </c>
      <c r="H129" s="13" t="n">
        <f aca="false">E129*SQRT(B129/(1-B129))</f>
        <v>-0.0273495640730495</v>
      </c>
      <c r="I129" s="13" t="n">
        <f aca="false">ABS(D129)</f>
        <v>0.640455035477234</v>
      </c>
      <c r="J129" s="6" t="n">
        <f aca="false">IF(B129&gt;$P$4,1,0)</f>
        <v>0</v>
      </c>
      <c r="K129" s="6" t="n">
        <f aca="false">IF(F129&gt;$P$6,1,0)</f>
        <v>0</v>
      </c>
      <c r="L129" s="6" t="n">
        <f aca="false">IF(G129&gt;$P$9,1,0)</f>
        <v>0</v>
      </c>
      <c r="M129" s="6" t="n">
        <f aca="false">IF(ABS(H129)&gt;$P$8,1,0)</f>
        <v>0</v>
      </c>
    </row>
    <row r="130" customFormat="false" ht="15" hidden="false" customHeight="false" outlineLevel="0" collapsed="false">
      <c r="A130" s="0" t="n">
        <f aca="false">ROW()-1</f>
        <v>129</v>
      </c>
      <c r="B130" s="22" t="n">
        <f aca="false">SUMPRODUCT(MMULT('Analysis Data'!N130:U130,'Final Model'!$B$59:$I$66),'Analysis Data'!N130:U130)</f>
        <v>0.0148727846617894</v>
      </c>
      <c r="C130" s="15" t="n">
        <f aca="false">'Residual Diagnostics'!F130</f>
        <v>71.2684105013446</v>
      </c>
      <c r="D130" s="13" t="n">
        <f aca="false">C130/('Final Model'!$B$21*SQRT(1-B130))</f>
        <v>1.46443844984553</v>
      </c>
      <c r="E130" s="13" t="n">
        <f aca="false">D130*SQRT(('Final Model'!$B$24-1)/('Final Model'!$B$24-D130^2))</f>
        <v>1.46504745949868</v>
      </c>
      <c r="F130" s="23" t="n">
        <f aca="false">D130^2/($P$3+1)*B130/(1-B130)</f>
        <v>0.00404717731344033</v>
      </c>
      <c r="G130" s="13" t="n">
        <f aca="false">($P$2-1)*(B130-1/$P$2)</f>
        <v>19.5995282572998</v>
      </c>
      <c r="H130" s="13" t="n">
        <f aca="false">E130*SQRT(B130/(1-B130))</f>
        <v>0.180012092426126</v>
      </c>
      <c r="I130" s="13" t="n">
        <f aca="false">ABS(D130)</f>
        <v>1.46443844984553</v>
      </c>
      <c r="J130" s="6" t="n">
        <f aca="false">IF(B130&gt;$P$4,1,0)</f>
        <v>1</v>
      </c>
      <c r="K130" s="6" t="n">
        <f aca="false">IF(F130&gt;$P$6,1,0)</f>
        <v>1</v>
      </c>
      <c r="L130" s="6" t="n">
        <f aca="false">IF(G130&gt;$P$9,1,0)</f>
        <v>1</v>
      </c>
      <c r="M130" s="6" t="n">
        <f aca="false">IF(ABS(H130)&gt;$P$8,1,0)</f>
        <v>1</v>
      </c>
    </row>
    <row r="131" customFormat="false" ht="15" hidden="false" customHeight="false" outlineLevel="0" collapsed="false">
      <c r="A131" s="0" t="n">
        <f aca="false">ROW()-1</f>
        <v>130</v>
      </c>
      <c r="B131" s="22" t="n">
        <f aca="false">SUMPRODUCT(MMULT('Analysis Data'!N131:U131,'Final Model'!$B$59:$I$66),'Analysis Data'!N131:U131)</f>
        <v>0.00688971607669869</v>
      </c>
      <c r="C131" s="15" t="n">
        <f aca="false">'Residual Diagnostics'!F131</f>
        <v>122.243920689869</v>
      </c>
      <c r="D131" s="13" t="n">
        <f aca="false">C131/('Final Model'!$B$21*SQRT(1-B131))</f>
        <v>2.50177783028499</v>
      </c>
      <c r="E131" s="13" t="n">
        <f aca="false">D131*SQRT(('Final Model'!$B$24-1)/('Final Model'!$B$24-D131^2))</f>
        <v>2.50656881982614</v>
      </c>
      <c r="F131" s="23" t="n">
        <f aca="false">D131^2/($P$3+1)*B131/(1-B131)</f>
        <v>0.00542764379786261</v>
      </c>
      <c r="G131" s="13" t="n">
        <f aca="false">($P$2-1)*(B131-1/$P$2)</f>
        <v>8.54297826694919</v>
      </c>
      <c r="H131" s="13" t="n">
        <f aca="false">E131*SQRT(B131/(1-B131))</f>
        <v>0.208776472764658</v>
      </c>
      <c r="I131" s="13" t="n">
        <f aca="false">ABS(D131)</f>
        <v>2.50177783028499</v>
      </c>
      <c r="J131" s="6" t="n">
        <f aca="false">IF(B131&gt;$P$4,1,0)</f>
        <v>0</v>
      </c>
      <c r="K131" s="6" t="n">
        <f aca="false">IF(F131&gt;$P$6,1,0)</f>
        <v>1</v>
      </c>
      <c r="L131" s="6" t="n">
        <f aca="false">IF(G131&gt;$P$9,1,0)</f>
        <v>0</v>
      </c>
      <c r="M131" s="6" t="n">
        <f aca="false">IF(ABS(H131)&gt;$P$8,1,0)</f>
        <v>1</v>
      </c>
    </row>
    <row r="132" customFormat="false" ht="15" hidden="false" customHeight="false" outlineLevel="0" collapsed="false">
      <c r="A132" s="0" t="n">
        <f aca="false">ROW()-1</f>
        <v>131</v>
      </c>
      <c r="B132" s="22" t="n">
        <f aca="false">SUMPRODUCT(MMULT('Analysis Data'!N132:U132,'Final Model'!$B$59:$I$66),'Analysis Data'!N132:U132)</f>
        <v>0.00727588384901022</v>
      </c>
      <c r="C132" s="15" t="n">
        <f aca="false">'Residual Diagnostics'!F132</f>
        <v>29.8611710424067</v>
      </c>
      <c r="D132" s="13" t="n">
        <f aca="false">C132/('Final Model'!$B$21*SQRT(1-B132))</f>
        <v>0.611241394369625</v>
      </c>
      <c r="E132" s="13" t="n">
        <f aca="false">D132*SQRT(('Final Model'!$B$24-1)/('Final Model'!$B$24-D132^2))</f>
        <v>0.611102417888226</v>
      </c>
      <c r="F132" s="23" t="n">
        <f aca="false">D132^2/($P$3+1)*B132/(1-B132)</f>
        <v>0.000342288819582606</v>
      </c>
      <c r="G132" s="13" t="n">
        <f aca="false">($P$2-1)*(B132-1/$P$2)</f>
        <v>9.07782063160066</v>
      </c>
      <c r="H132" s="13" t="n">
        <f aca="false">E132*SQRT(B132/(1-B132))</f>
        <v>0.0523169713581434</v>
      </c>
      <c r="I132" s="13" t="n">
        <f aca="false">ABS(D132)</f>
        <v>0.611241394369625</v>
      </c>
      <c r="J132" s="6" t="n">
        <f aca="false">IF(B132&gt;$P$4,1,0)</f>
        <v>0</v>
      </c>
      <c r="K132" s="6" t="n">
        <f aca="false">IF(F132&gt;$P$6,1,0)</f>
        <v>0</v>
      </c>
      <c r="L132" s="6" t="n">
        <f aca="false">IF(G132&gt;$P$9,1,0)</f>
        <v>0</v>
      </c>
      <c r="M132" s="6" t="n">
        <f aca="false">IF(ABS(H132)&gt;$P$8,1,0)</f>
        <v>0</v>
      </c>
    </row>
    <row r="133" customFormat="false" ht="15" hidden="false" customHeight="false" outlineLevel="0" collapsed="false">
      <c r="A133" s="0" t="n">
        <f aca="false">ROW()-1</f>
        <v>132</v>
      </c>
      <c r="B133" s="22" t="n">
        <f aca="false">SUMPRODUCT(MMULT('Analysis Data'!N133:U133,'Final Model'!$B$59:$I$66),'Analysis Data'!N133:U133)</f>
        <v>0.00727588384901022</v>
      </c>
      <c r="C133" s="15" t="n">
        <f aca="false">'Residual Diagnostics'!F133</f>
        <v>29.0755602724968</v>
      </c>
      <c r="D133" s="13" t="n">
        <f aca="false">C133/('Final Model'!$B$21*SQRT(1-B133))</f>
        <v>0.595160383288393</v>
      </c>
      <c r="E133" s="13" t="n">
        <f aca="false">D133*SQRT(('Final Model'!$B$24-1)/('Final Model'!$B$24-D133^2))</f>
        <v>0.595020873488557</v>
      </c>
      <c r="F133" s="23" t="n">
        <f aca="false">D133^2/($P$3+1)*B133/(1-B133)</f>
        <v>0.000324515337617901</v>
      </c>
      <c r="G133" s="13" t="n">
        <f aca="false">($P$2-1)*(B133-1/$P$2)</f>
        <v>9.07782063160066</v>
      </c>
      <c r="H133" s="13" t="n">
        <f aca="false">E133*SQRT(B133/(1-B133))</f>
        <v>0.0509402173589371</v>
      </c>
      <c r="I133" s="13" t="n">
        <f aca="false">ABS(D133)</f>
        <v>0.595160383288393</v>
      </c>
      <c r="J133" s="6" t="n">
        <f aca="false">IF(B133&gt;$P$4,1,0)</f>
        <v>0</v>
      </c>
      <c r="K133" s="6" t="n">
        <f aca="false">IF(F133&gt;$P$6,1,0)</f>
        <v>0</v>
      </c>
      <c r="L133" s="6" t="n">
        <f aca="false">IF(G133&gt;$P$9,1,0)</f>
        <v>0</v>
      </c>
      <c r="M133" s="6" t="n">
        <f aca="false">IF(ABS(H133)&gt;$P$8,1,0)</f>
        <v>0</v>
      </c>
    </row>
    <row r="134" customFormat="false" ht="15" hidden="false" customHeight="false" outlineLevel="0" collapsed="false">
      <c r="A134" s="0" t="n">
        <f aca="false">ROW()-1</f>
        <v>133</v>
      </c>
      <c r="B134" s="22" t="n">
        <f aca="false">SUMPRODUCT(MMULT('Analysis Data'!N134:U134,'Final Model'!$B$59:$I$66),'Analysis Data'!N134:U134)</f>
        <v>0.00168832798629141</v>
      </c>
      <c r="C134" s="15" t="n">
        <f aca="false">'Residual Diagnostics'!F134</f>
        <v>-53.2993750144886</v>
      </c>
      <c r="D134" s="13" t="n">
        <f aca="false">C134/('Final Model'!$B$21*SQRT(1-B134))</f>
        <v>-1.08795078765164</v>
      </c>
      <c r="E134" s="13" t="n">
        <f aca="false">D134*SQRT(('Final Model'!$B$24-1)/('Final Model'!$B$24-D134^2))</f>
        <v>-1.08802333954446</v>
      </c>
      <c r="F134" s="23" t="n">
        <f aca="false">D134^2/($P$3+1)*B134/(1-B134)</f>
        <v>0.000250218367107428</v>
      </c>
      <c r="G134" s="13" t="n">
        <f aca="false">($P$2-1)*(B134-1/$P$2)</f>
        <v>1.3390557617351</v>
      </c>
      <c r="H134" s="13" t="n">
        <f aca="false">E134*SQRT(B134/(1-B134))</f>
        <v>-0.0447438702586403</v>
      </c>
      <c r="I134" s="13" t="n">
        <f aca="false">ABS(D134)</f>
        <v>1.08795078765164</v>
      </c>
      <c r="J134" s="6" t="n">
        <f aca="false">IF(B134&gt;$P$4,1,0)</f>
        <v>0</v>
      </c>
      <c r="K134" s="6" t="n">
        <f aca="false">IF(F134&gt;$P$6,1,0)</f>
        <v>0</v>
      </c>
      <c r="L134" s="6" t="n">
        <f aca="false">IF(G134&gt;$P$9,1,0)</f>
        <v>0</v>
      </c>
      <c r="M134" s="6" t="n">
        <f aca="false">IF(ABS(H134)&gt;$P$8,1,0)</f>
        <v>0</v>
      </c>
    </row>
    <row r="135" customFormat="false" ht="15" hidden="false" customHeight="false" outlineLevel="0" collapsed="false">
      <c r="A135" s="0" t="n">
        <f aca="false">ROW()-1</f>
        <v>134</v>
      </c>
      <c r="B135" s="22" t="n">
        <f aca="false">SUMPRODUCT(MMULT('Analysis Data'!N135:U135,'Final Model'!$B$59:$I$66),'Analysis Data'!N135:U135)</f>
        <v>0.00230529624841536</v>
      </c>
      <c r="C135" s="15" t="n">
        <f aca="false">'Residual Diagnostics'!F135</f>
        <v>-13.5352088099555</v>
      </c>
      <c r="D135" s="13" t="n">
        <f aca="false">C135/('Final Model'!$B$21*SQRT(1-B135))</f>
        <v>-0.276367096256194</v>
      </c>
      <c r="E135" s="13" t="n">
        <f aca="false">D135*SQRT(('Final Model'!$B$24-1)/('Final Model'!$B$24-D135^2))</f>
        <v>-0.27627445639497</v>
      </c>
      <c r="F135" s="23" t="n">
        <f aca="false">D135^2/($P$3+1)*B135/(1-B135)</f>
        <v>2.20603176053758E-005</v>
      </c>
      <c r="G135" s="13" t="n">
        <f aca="false">($P$2-1)*(B135-1/$P$2)</f>
        <v>2.19355680477678</v>
      </c>
      <c r="H135" s="13" t="n">
        <f aca="false">E135*SQRT(B135/(1-B135))</f>
        <v>-0.0132802200554352</v>
      </c>
      <c r="I135" s="13" t="n">
        <f aca="false">ABS(D135)</f>
        <v>0.276367096256194</v>
      </c>
      <c r="J135" s="6" t="n">
        <f aca="false">IF(B135&gt;$P$4,1,0)</f>
        <v>0</v>
      </c>
      <c r="K135" s="6" t="n">
        <f aca="false">IF(F135&gt;$P$6,1,0)</f>
        <v>0</v>
      </c>
      <c r="L135" s="6" t="n">
        <f aca="false">IF(G135&gt;$P$9,1,0)</f>
        <v>0</v>
      </c>
      <c r="M135" s="6" t="n">
        <f aca="false">IF(ABS(H135)&gt;$P$8,1,0)</f>
        <v>0</v>
      </c>
    </row>
    <row r="136" customFormat="false" ht="15" hidden="false" customHeight="false" outlineLevel="0" collapsed="false">
      <c r="A136" s="0" t="n">
        <f aca="false">ROW()-1</f>
        <v>135</v>
      </c>
      <c r="B136" s="22" t="n">
        <f aca="false">SUMPRODUCT(MMULT('Analysis Data'!N136:U136,'Final Model'!$B$59:$I$66),'Analysis Data'!N136:U136)</f>
        <v>0.00307917104651043</v>
      </c>
      <c r="C136" s="15" t="n">
        <f aca="false">'Residual Diagnostics'!F136</f>
        <v>-33.0363068054037</v>
      </c>
      <c r="D136" s="13" t="n">
        <f aca="false">C136/('Final Model'!$B$21*SQRT(1-B136))</f>
        <v>-0.674809774352725</v>
      </c>
      <c r="E136" s="13" t="n">
        <f aca="false">D136*SQRT(('Final Model'!$B$24-1)/('Final Model'!$B$24-D136^2))</f>
        <v>-0.674676363367044</v>
      </c>
      <c r="F136" s="23" t="n">
        <f aca="false">D136^2/($P$3+1)*B136/(1-B136)</f>
        <v>0.000175810936210225</v>
      </c>
      <c r="G136" s="13" t="n">
        <f aca="false">($P$2-1)*(B136-1/$P$2)</f>
        <v>3.26537340013844</v>
      </c>
      <c r="H136" s="13" t="n">
        <f aca="false">E136*SQRT(B136/(1-B136))</f>
        <v>-0.0374957519586528</v>
      </c>
      <c r="I136" s="13" t="n">
        <f aca="false">ABS(D136)</f>
        <v>0.674809774352725</v>
      </c>
      <c r="J136" s="6" t="n">
        <f aca="false">IF(B136&gt;$P$4,1,0)</f>
        <v>0</v>
      </c>
      <c r="K136" s="6" t="n">
        <f aca="false">IF(F136&gt;$P$6,1,0)</f>
        <v>0</v>
      </c>
      <c r="L136" s="6" t="n">
        <f aca="false">IF(G136&gt;$P$9,1,0)</f>
        <v>0</v>
      </c>
      <c r="M136" s="6" t="n">
        <f aca="false">IF(ABS(H136)&gt;$P$8,1,0)</f>
        <v>0</v>
      </c>
    </row>
    <row r="137" customFormat="false" ht="15" hidden="false" customHeight="false" outlineLevel="0" collapsed="false">
      <c r="A137" s="0" t="n">
        <f aca="false">ROW()-1</f>
        <v>136</v>
      </c>
      <c r="B137" s="22" t="n">
        <f aca="false">SUMPRODUCT(MMULT('Analysis Data'!N137:U137,'Final Model'!$B$59:$I$66),'Analysis Data'!N137:U137)</f>
        <v>0.00307917104651043</v>
      </c>
      <c r="C137" s="15" t="n">
        <f aca="false">'Residual Diagnostics'!F137</f>
        <v>16.4800303883663</v>
      </c>
      <c r="D137" s="13" t="n">
        <f aca="false">C137/('Final Model'!$B$21*SQRT(1-B137))</f>
        <v>0.336626174747852</v>
      </c>
      <c r="E137" s="13" t="n">
        <f aca="false">D137*SQRT(('Final Model'!$B$24-1)/('Final Model'!$B$24-D137^2))</f>
        <v>0.336517846289735</v>
      </c>
      <c r="F137" s="23" t="n">
        <f aca="false">D137^2/($P$3+1)*B137/(1-B137)</f>
        <v>4.37500870544766E-005</v>
      </c>
      <c r="G137" s="13" t="n">
        <f aca="false">($P$2-1)*(B137-1/$P$2)</f>
        <v>3.26537340013844</v>
      </c>
      <c r="H137" s="13" t="n">
        <f aca="false">E137*SQRT(B137/(1-B137))</f>
        <v>0.0187022850943948</v>
      </c>
      <c r="I137" s="13" t="n">
        <f aca="false">ABS(D137)</f>
        <v>0.336626174747852</v>
      </c>
      <c r="J137" s="6" t="n">
        <f aca="false">IF(B137&gt;$P$4,1,0)</f>
        <v>0</v>
      </c>
      <c r="K137" s="6" t="n">
        <f aca="false">IF(F137&gt;$P$6,1,0)</f>
        <v>0</v>
      </c>
      <c r="L137" s="6" t="n">
        <f aca="false">IF(G137&gt;$P$9,1,0)</f>
        <v>0</v>
      </c>
      <c r="M137" s="6" t="n">
        <f aca="false">IF(ABS(H137)&gt;$P$8,1,0)</f>
        <v>0</v>
      </c>
    </row>
    <row r="138" customFormat="false" ht="15" hidden="false" customHeight="false" outlineLevel="0" collapsed="false">
      <c r="A138" s="0" t="n">
        <f aca="false">ROW()-1</f>
        <v>137</v>
      </c>
      <c r="B138" s="22" t="n">
        <f aca="false">SUMPRODUCT(MMULT('Analysis Data'!N138:U138,'Final Model'!$B$59:$I$66),'Analysis Data'!N138:U138)</f>
        <v>0.00307917104651043</v>
      </c>
      <c r="C138" s="15" t="n">
        <f aca="false">'Residual Diagnostics'!F138</f>
        <v>-54.2315100383674</v>
      </c>
      <c r="D138" s="13" t="n">
        <f aca="false">C138/('Final Model'!$B$21*SQRT(1-B138))</f>
        <v>-1.10774952137847</v>
      </c>
      <c r="E138" s="13" t="n">
        <f aca="false">D138*SQRT(('Final Model'!$B$24-1)/('Final Model'!$B$24-D138^2))</f>
        <v>-1.1078408834019</v>
      </c>
      <c r="F138" s="23" t="n">
        <f aca="false">D138^2/($P$3+1)*B138/(1-B138)</f>
        <v>0.000473768628421182</v>
      </c>
      <c r="G138" s="13" t="n">
        <f aca="false">($P$2-1)*(B138-1/$P$2)</f>
        <v>3.26537340013844</v>
      </c>
      <c r="H138" s="13" t="n">
        <f aca="false">E138*SQRT(B138/(1-B138))</f>
        <v>-0.0615692637672764</v>
      </c>
      <c r="I138" s="13" t="n">
        <f aca="false">ABS(D138)</f>
        <v>1.10774952137847</v>
      </c>
      <c r="J138" s="6" t="n">
        <f aca="false">IF(B138&gt;$P$4,1,0)</f>
        <v>0</v>
      </c>
      <c r="K138" s="6" t="n">
        <f aca="false">IF(F138&gt;$P$6,1,0)</f>
        <v>0</v>
      </c>
      <c r="L138" s="6" t="n">
        <f aca="false">IF(G138&gt;$P$9,1,0)</f>
        <v>0</v>
      </c>
      <c r="M138" s="6" t="n">
        <f aca="false">IF(ABS(H138)&gt;$P$8,1,0)</f>
        <v>0</v>
      </c>
    </row>
    <row r="139" customFormat="false" ht="15" hidden="false" customHeight="false" outlineLevel="0" collapsed="false">
      <c r="A139" s="0" t="n">
        <f aca="false">ROW()-1</f>
        <v>138</v>
      </c>
      <c r="B139" s="22" t="n">
        <f aca="false">SUMPRODUCT(MMULT('Analysis Data'!N139:U139,'Final Model'!$B$59:$I$66),'Analysis Data'!N139:U139)</f>
        <v>0.00230529624841536</v>
      </c>
      <c r="C139" s="15" t="n">
        <f aca="false">'Residual Diagnostics'!F139</f>
        <v>94.4475842964332</v>
      </c>
      <c r="D139" s="13" t="n">
        <f aca="false">C139/('Final Model'!$B$21*SQRT(1-B139))</f>
        <v>1.92846708070129</v>
      </c>
      <c r="E139" s="13" t="n">
        <f aca="false">D139*SQRT(('Final Model'!$B$24-1)/('Final Model'!$B$24-D139^2))</f>
        <v>1.93037385325708</v>
      </c>
      <c r="F139" s="23" t="n">
        <f aca="false">D139^2/($P$3+1)*B139/(1-B139)</f>
        <v>0.00107414657820257</v>
      </c>
      <c r="G139" s="13" t="n">
        <f aca="false">($P$2-1)*(B139-1/$P$2)</f>
        <v>2.19355680477678</v>
      </c>
      <c r="H139" s="13" t="n">
        <f aca="false">E139*SQRT(B139/(1-B139))</f>
        <v>0.0927910234446819</v>
      </c>
      <c r="I139" s="13" t="n">
        <f aca="false">ABS(D139)</f>
        <v>1.92846708070129</v>
      </c>
      <c r="J139" s="6" t="n">
        <f aca="false">IF(B139&gt;$P$4,1,0)</f>
        <v>0</v>
      </c>
      <c r="K139" s="6" t="n">
        <f aca="false">IF(F139&gt;$P$6,1,0)</f>
        <v>0</v>
      </c>
      <c r="L139" s="6" t="n">
        <f aca="false">IF(G139&gt;$P$9,1,0)</f>
        <v>0</v>
      </c>
      <c r="M139" s="6" t="n">
        <f aca="false">IF(ABS(H139)&gt;$P$8,1,0)</f>
        <v>0</v>
      </c>
    </row>
    <row r="140" customFormat="false" ht="15" hidden="false" customHeight="false" outlineLevel="0" collapsed="false">
      <c r="A140" s="0" t="n">
        <f aca="false">ROW()-1</f>
        <v>139</v>
      </c>
      <c r="B140" s="22" t="n">
        <f aca="false">SUMPRODUCT(MMULT('Analysis Data'!N140:U140,'Final Model'!$B$59:$I$66),'Analysis Data'!N140:U140)</f>
        <v>0.00230529624841536</v>
      </c>
      <c r="C140" s="15" t="n">
        <f aca="false">'Residual Diagnostics'!F140</f>
        <v>23.8176972347787</v>
      </c>
      <c r="D140" s="13" t="n">
        <f aca="false">C140/('Final Model'!$B$21*SQRT(1-B140))</f>
        <v>0.486318897381426</v>
      </c>
      <c r="E140" s="13" t="n">
        <f aca="false">D140*SQRT(('Final Model'!$B$24-1)/('Final Model'!$B$24-D140^2))</f>
        <v>0.486184130789873</v>
      </c>
      <c r="F140" s="23" t="n">
        <f aca="false">D140^2/($P$3+1)*B140/(1-B140)</f>
        <v>6.83095432066673E-005</v>
      </c>
      <c r="G140" s="13" t="n">
        <f aca="false">($P$2-1)*(B140-1/$P$2)</f>
        <v>2.19355680477678</v>
      </c>
      <c r="H140" s="13" t="n">
        <f aca="false">E140*SQRT(B140/(1-B140))</f>
        <v>0.0233703554378527</v>
      </c>
      <c r="I140" s="13" t="n">
        <f aca="false">ABS(D140)</f>
        <v>0.486318897381426</v>
      </c>
      <c r="J140" s="6" t="n">
        <f aca="false">IF(B140&gt;$P$4,1,0)</f>
        <v>0</v>
      </c>
      <c r="K140" s="6" t="n">
        <f aca="false">IF(F140&gt;$P$6,1,0)</f>
        <v>0</v>
      </c>
      <c r="L140" s="6" t="n">
        <f aca="false">IF(G140&gt;$P$9,1,0)</f>
        <v>0</v>
      </c>
      <c r="M140" s="6" t="n">
        <f aca="false">IF(ABS(H140)&gt;$P$8,1,0)</f>
        <v>0</v>
      </c>
    </row>
    <row r="141" customFormat="false" ht="15" hidden="false" customHeight="false" outlineLevel="0" collapsed="false">
      <c r="A141" s="0" t="n">
        <f aca="false">ROW()-1</f>
        <v>140</v>
      </c>
      <c r="B141" s="22" t="n">
        <f aca="false">SUMPRODUCT(MMULT('Analysis Data'!N141:U141,'Final Model'!$B$59:$I$66),'Analysis Data'!N141:U141)</f>
        <v>0.00204707809940915</v>
      </c>
      <c r="C141" s="15" t="n">
        <f aca="false">'Residual Diagnostics'!F141</f>
        <v>-48.227131370893</v>
      </c>
      <c r="D141" s="13" t="n">
        <f aca="false">C141/('Final Model'!$B$21*SQRT(1-B141))</f>
        <v>-0.984592700935645</v>
      </c>
      <c r="E141" s="13" t="n">
        <f aca="false">D141*SQRT(('Final Model'!$B$24-1)/('Final Model'!$B$24-D141^2))</f>
        <v>-0.984581769345372</v>
      </c>
      <c r="F141" s="23" t="n">
        <f aca="false">D141^2/($P$3+1)*B141/(1-B141)</f>
        <v>0.00024856936036816</v>
      </c>
      <c r="G141" s="13" t="n">
        <f aca="false">($P$2-1)*(B141-1/$P$2)</f>
        <v>1.83592466840317</v>
      </c>
      <c r="H141" s="13" t="n">
        <f aca="false">E141*SQRT(B141/(1-B141))</f>
        <v>-0.044592720557554</v>
      </c>
      <c r="I141" s="13" t="n">
        <f aca="false">ABS(D141)</f>
        <v>0.984592700935645</v>
      </c>
      <c r="J141" s="6" t="n">
        <f aca="false">IF(B141&gt;$P$4,1,0)</f>
        <v>0</v>
      </c>
      <c r="K141" s="6" t="n">
        <f aca="false">IF(F141&gt;$P$6,1,0)</f>
        <v>0</v>
      </c>
      <c r="L141" s="6" t="n">
        <f aca="false">IF(G141&gt;$P$9,1,0)</f>
        <v>0</v>
      </c>
      <c r="M141" s="6" t="n">
        <f aca="false">IF(ABS(H141)&gt;$P$8,1,0)</f>
        <v>0</v>
      </c>
    </row>
    <row r="142" customFormat="false" ht="15" hidden="false" customHeight="false" outlineLevel="0" collapsed="false">
      <c r="A142" s="0" t="n">
        <f aca="false">ROW()-1</f>
        <v>141</v>
      </c>
      <c r="B142" s="22" t="n">
        <f aca="false">SUMPRODUCT(MMULT('Analysis Data'!N142:U142,'Final Model'!$B$59:$I$66),'Analysis Data'!N142:U142)</f>
        <v>0.001821033460329</v>
      </c>
      <c r="C142" s="15" t="n">
        <f aca="false">'Residual Diagnostics'!F142</f>
        <v>76.3723599793827</v>
      </c>
      <c r="D142" s="13" t="n">
        <f aca="false">C142/('Final Model'!$B$21*SQRT(1-B142))</f>
        <v>1.55902188821812</v>
      </c>
      <c r="E142" s="13" t="n">
        <f aca="false">D142*SQRT(('Final Model'!$B$24-1)/('Final Model'!$B$24-D142^2))</f>
        <v>1.55983234458594</v>
      </c>
      <c r="F142" s="23" t="n">
        <f aca="false">D142^2/($P$3+1)*B142/(1-B142)</f>
        <v>0.000554273288640036</v>
      </c>
      <c r="G142" s="13" t="n">
        <f aca="false">($P$2-1)*(B142-1/$P$2)</f>
        <v>1.52285284327717</v>
      </c>
      <c r="H142" s="13" t="n">
        <f aca="false">E142*SQRT(B142/(1-B142))</f>
        <v>0.0666243028055967</v>
      </c>
      <c r="I142" s="13" t="n">
        <f aca="false">ABS(D142)</f>
        <v>1.55902188821812</v>
      </c>
      <c r="J142" s="6" t="n">
        <f aca="false">IF(B142&gt;$P$4,1,0)</f>
        <v>0</v>
      </c>
      <c r="K142" s="6" t="n">
        <f aca="false">IF(F142&gt;$P$6,1,0)</f>
        <v>0</v>
      </c>
      <c r="L142" s="6" t="n">
        <f aca="false">IF(G142&gt;$P$9,1,0)</f>
        <v>0</v>
      </c>
      <c r="M142" s="6" t="n">
        <f aca="false">IF(ABS(H142)&gt;$P$8,1,0)</f>
        <v>0</v>
      </c>
    </row>
    <row r="143" customFormat="false" ht="15" hidden="false" customHeight="false" outlineLevel="0" collapsed="false">
      <c r="A143" s="0" t="n">
        <f aca="false">ROW()-1</f>
        <v>142</v>
      </c>
      <c r="B143" s="22" t="n">
        <f aca="false">SUMPRODUCT(MMULT('Analysis Data'!N143:U143,'Final Model'!$B$59:$I$66),'Analysis Data'!N143:U143)</f>
        <v>0.00352212684322418</v>
      </c>
      <c r="C143" s="15" t="n">
        <f aca="false">'Residual Diagnostics'!F143</f>
        <v>-10.6542103561274</v>
      </c>
      <c r="D143" s="13" t="n">
        <f aca="false">C143/('Final Model'!$B$21*SQRT(1-B143))</f>
        <v>-0.217674545437594</v>
      </c>
      <c r="E143" s="13" t="n">
        <f aca="false">D143*SQRT(('Final Model'!$B$24-1)/('Final Model'!$B$24-D143^2))</f>
        <v>-0.217599290130118</v>
      </c>
      <c r="F143" s="23" t="n">
        <f aca="false">D143^2/($P$3+1)*B143/(1-B143)</f>
        <v>2.09345021898889E-005</v>
      </c>
      <c r="G143" s="13" t="n">
        <f aca="false">($P$2-1)*(B143-1/$P$2)</f>
        <v>3.87886717858699</v>
      </c>
      <c r="H143" s="13" t="n">
        <f aca="false">E143*SQRT(B143/(1-B143))</f>
        <v>-0.0129367784471333</v>
      </c>
      <c r="I143" s="13" t="n">
        <f aca="false">ABS(D143)</f>
        <v>0.217674545437594</v>
      </c>
      <c r="J143" s="6" t="n">
        <f aca="false">IF(B143&gt;$P$4,1,0)</f>
        <v>0</v>
      </c>
      <c r="K143" s="6" t="n">
        <f aca="false">IF(F143&gt;$P$6,1,0)</f>
        <v>0</v>
      </c>
      <c r="L143" s="6" t="n">
        <f aca="false">IF(G143&gt;$P$9,1,0)</f>
        <v>0</v>
      </c>
      <c r="M143" s="6" t="n">
        <f aca="false">IF(ABS(H143)&gt;$P$8,1,0)</f>
        <v>0</v>
      </c>
    </row>
    <row r="144" customFormat="false" ht="15" hidden="false" customHeight="false" outlineLevel="0" collapsed="false">
      <c r="A144" s="0" t="n">
        <f aca="false">ROW()-1</f>
        <v>143</v>
      </c>
      <c r="B144" s="22" t="n">
        <f aca="false">SUMPRODUCT(MMULT('Analysis Data'!N144:U144,'Final Model'!$B$59:$I$66),'Analysis Data'!N144:U144)</f>
        <v>0.00424881969140385</v>
      </c>
      <c r="C144" s="15" t="n">
        <f aca="false">'Residual Diagnostics'!F144</f>
        <v>-37.056400185798</v>
      </c>
      <c r="D144" s="13" t="n">
        <f aca="false">C144/('Final Model'!$B$21*SQRT(1-B144))</f>
        <v>-0.757369866265735</v>
      </c>
      <c r="E144" s="13" t="n">
        <f aca="false">D144*SQRT(('Final Model'!$B$24-1)/('Final Model'!$B$24-D144^2))</f>
        <v>-0.757252632921817</v>
      </c>
      <c r="F144" s="23" t="n">
        <f aca="false">D144^2/($P$3+1)*B144/(1-B144)</f>
        <v>0.000305945118157878</v>
      </c>
      <c r="G144" s="13" t="n">
        <f aca="false">($P$2-1)*(B144-1/$P$2)</f>
        <v>4.88533677331583</v>
      </c>
      <c r="H144" s="13" t="n">
        <f aca="false">E144*SQRT(B144/(1-B144))</f>
        <v>-0.0494651724710052</v>
      </c>
      <c r="I144" s="13" t="n">
        <f aca="false">ABS(D144)</f>
        <v>0.757369866265735</v>
      </c>
      <c r="J144" s="6" t="n">
        <f aca="false">IF(B144&gt;$P$4,1,0)</f>
        <v>0</v>
      </c>
      <c r="K144" s="6" t="n">
        <f aca="false">IF(F144&gt;$P$6,1,0)</f>
        <v>0</v>
      </c>
      <c r="L144" s="6" t="n">
        <f aca="false">IF(G144&gt;$P$9,1,0)</f>
        <v>0</v>
      </c>
      <c r="M144" s="6" t="n">
        <f aca="false">IF(ABS(H144)&gt;$P$8,1,0)</f>
        <v>0</v>
      </c>
    </row>
    <row r="145" customFormat="false" ht="15" hidden="false" customHeight="false" outlineLevel="0" collapsed="false">
      <c r="A145" s="0" t="n">
        <f aca="false">ROW()-1</f>
        <v>144</v>
      </c>
      <c r="B145" s="22" t="n">
        <f aca="false">SUMPRODUCT(MMULT('Analysis Data'!N145:U145,'Final Model'!$B$59:$I$66),'Analysis Data'!N145:U145)</f>
        <v>0.00208566736713166</v>
      </c>
      <c r="C145" s="15" t="n">
        <f aca="false">'Residual Diagnostics'!F145</f>
        <v>-25.1589595312581</v>
      </c>
      <c r="D145" s="13" t="n">
        <f aca="false">C145/('Final Model'!$B$21*SQRT(1-B145))</f>
        <v>-0.513648773241588</v>
      </c>
      <c r="E145" s="13" t="n">
        <f aca="false">D145*SQRT(('Final Model'!$B$24-1)/('Final Model'!$B$24-D145^2))</f>
        <v>-0.513511526085048</v>
      </c>
      <c r="F145" s="23" t="n">
        <f aca="false">D145^2/($P$3+1)*B145/(1-B145)</f>
        <v>6.89277828831198E-005</v>
      </c>
      <c r="G145" s="13" t="n">
        <f aca="false">($P$2-1)*(B145-1/$P$2)</f>
        <v>1.88937080419885</v>
      </c>
      <c r="H145" s="13" t="n">
        <f aca="false">E145*SQRT(B145/(1-B145))</f>
        <v>-0.0234761074698988</v>
      </c>
      <c r="I145" s="13" t="n">
        <f aca="false">ABS(D145)</f>
        <v>0.513648773241588</v>
      </c>
      <c r="J145" s="6" t="n">
        <f aca="false">IF(B145&gt;$P$4,1,0)</f>
        <v>0</v>
      </c>
      <c r="K145" s="6" t="n">
        <f aca="false">IF(F145&gt;$P$6,1,0)</f>
        <v>0</v>
      </c>
      <c r="L145" s="6" t="n">
        <f aca="false">IF(G145&gt;$P$9,1,0)</f>
        <v>0</v>
      </c>
      <c r="M145" s="6" t="n">
        <f aca="false">IF(ABS(H145)&gt;$P$8,1,0)</f>
        <v>0</v>
      </c>
    </row>
    <row r="146" customFormat="false" ht="15" hidden="false" customHeight="false" outlineLevel="0" collapsed="false">
      <c r="A146" s="0" t="n">
        <f aca="false">ROW()-1</f>
        <v>145</v>
      </c>
      <c r="B146" s="22" t="n">
        <f aca="false">SUMPRODUCT(MMULT('Analysis Data'!N146:U146,'Final Model'!$B$59:$I$66),'Analysis Data'!N146:U146)</f>
        <v>0.00208566736713166</v>
      </c>
      <c r="C146" s="15" t="n">
        <f aca="false">'Residual Diagnostics'!F146</f>
        <v>30.9312371640972</v>
      </c>
      <c r="D146" s="13" t="n">
        <f aca="false">C146/('Final Model'!$B$21*SQRT(1-B146))</f>
        <v>0.631496386185756</v>
      </c>
      <c r="E146" s="13" t="n">
        <f aca="false">D146*SQRT(('Final Model'!$B$24-1)/('Final Model'!$B$24-D146^2))</f>
        <v>0.631358572414773</v>
      </c>
      <c r="F146" s="23" t="n">
        <f aca="false">D146^2/($P$3+1)*B146/(1-B146)</f>
        <v>0.000104184602252001</v>
      </c>
      <c r="G146" s="13" t="n">
        <f aca="false">($P$2-1)*(B146-1/$P$2)</f>
        <v>1.88937080419885</v>
      </c>
      <c r="H146" s="13" t="n">
        <f aca="false">E146*SQRT(B146/(1-B146))</f>
        <v>0.0288636981745104</v>
      </c>
      <c r="I146" s="13" t="n">
        <f aca="false">ABS(D146)</f>
        <v>0.631496386185756</v>
      </c>
      <c r="J146" s="6" t="n">
        <f aca="false">IF(B146&gt;$P$4,1,0)</f>
        <v>0</v>
      </c>
      <c r="K146" s="6" t="n">
        <f aca="false">IF(F146&gt;$P$6,1,0)</f>
        <v>0</v>
      </c>
      <c r="L146" s="6" t="n">
        <f aca="false">IF(G146&gt;$P$9,1,0)</f>
        <v>0</v>
      </c>
      <c r="M146" s="6" t="n">
        <f aca="false">IF(ABS(H146)&gt;$P$8,1,0)</f>
        <v>0</v>
      </c>
    </row>
    <row r="147" customFormat="false" ht="15" hidden="false" customHeight="false" outlineLevel="0" collapsed="false">
      <c r="A147" s="0" t="n">
        <f aca="false">ROW()-1</f>
        <v>146</v>
      </c>
      <c r="B147" s="22" t="n">
        <f aca="false">SUMPRODUCT(MMULT('Analysis Data'!N147:U147,'Final Model'!$B$59:$I$66),'Analysis Data'!N147:U147)</f>
        <v>0.00307917104651043</v>
      </c>
      <c r="C147" s="15" t="n">
        <f aca="false">'Residual Diagnostics'!F147</f>
        <v>-16.6234078261961</v>
      </c>
      <c r="D147" s="13" t="n">
        <f aca="false">C147/('Final Model'!$B$21*SQRT(1-B147))</f>
        <v>-0.33955484643743</v>
      </c>
      <c r="E147" s="13" t="n">
        <f aca="false">D147*SQRT(('Final Model'!$B$24-1)/('Final Model'!$B$24-D147^2))</f>
        <v>-0.339445819441527</v>
      </c>
      <c r="F147" s="23" t="n">
        <f aca="false">D147^2/($P$3+1)*B147/(1-B147)</f>
        <v>4.45146562979175E-005</v>
      </c>
      <c r="G147" s="13" t="n">
        <f aca="false">($P$2-1)*(B147-1/$P$2)</f>
        <v>3.26537340013844</v>
      </c>
      <c r="H147" s="13" t="n">
        <f aca="false">E147*SQRT(B147/(1-B147))</f>
        <v>-0.0188650098628946</v>
      </c>
      <c r="I147" s="13" t="n">
        <f aca="false">ABS(D147)</f>
        <v>0.33955484643743</v>
      </c>
      <c r="J147" s="6" t="n">
        <f aca="false">IF(B147&gt;$P$4,1,0)</f>
        <v>0</v>
      </c>
      <c r="K147" s="6" t="n">
        <f aca="false">IF(F147&gt;$P$6,1,0)</f>
        <v>0</v>
      </c>
      <c r="L147" s="6" t="n">
        <f aca="false">IF(G147&gt;$P$9,1,0)</f>
        <v>0</v>
      </c>
      <c r="M147" s="6" t="n">
        <f aca="false">IF(ABS(H147)&gt;$P$8,1,0)</f>
        <v>0</v>
      </c>
    </row>
    <row r="148" customFormat="false" ht="15" hidden="false" customHeight="false" outlineLevel="0" collapsed="false">
      <c r="A148" s="0" t="n">
        <f aca="false">ROW()-1</f>
        <v>147</v>
      </c>
      <c r="B148" s="22" t="n">
        <f aca="false">SUMPRODUCT(MMULT('Analysis Data'!N148:U148,'Final Model'!$B$59:$I$66),'Analysis Data'!N148:U148)</f>
        <v>0.00300290006900344</v>
      </c>
      <c r="C148" s="15" t="n">
        <f aca="false">'Residual Diagnostics'!F148</f>
        <v>33.4458597928489</v>
      </c>
      <c r="D148" s="13" t="n">
        <f aca="false">C148/('Final Model'!$B$21*SQRT(1-B148))</f>
        <v>0.683149297571917</v>
      </c>
      <c r="E148" s="13" t="n">
        <f aca="false">D148*SQRT(('Final Model'!$B$24-1)/('Final Model'!$B$24-D148^2))</f>
        <v>0.68301704538065</v>
      </c>
      <c r="F148" s="23" t="n">
        <f aca="false">D148^2/($P$3+1)*B148/(1-B148)</f>
        <v>0.000175706670838294</v>
      </c>
      <c r="G148" s="13" t="n">
        <f aca="false">($P$2-1)*(B148-1/$P$2)</f>
        <v>3.15973809629126</v>
      </c>
      <c r="H148" s="13" t="n">
        <f aca="false">E148*SQRT(B148/(1-B148))</f>
        <v>0.0374847858882739</v>
      </c>
      <c r="I148" s="13" t="n">
        <f aca="false">ABS(D148)</f>
        <v>0.683149297571917</v>
      </c>
      <c r="J148" s="6" t="n">
        <f aca="false">IF(B148&gt;$P$4,1,0)</f>
        <v>0</v>
      </c>
      <c r="K148" s="6" t="n">
        <f aca="false">IF(F148&gt;$P$6,1,0)</f>
        <v>0</v>
      </c>
      <c r="L148" s="6" t="n">
        <f aca="false">IF(G148&gt;$P$9,1,0)</f>
        <v>0</v>
      </c>
      <c r="M148" s="6" t="n">
        <f aca="false">IF(ABS(H148)&gt;$P$8,1,0)</f>
        <v>0</v>
      </c>
    </row>
    <row r="149" customFormat="false" ht="15" hidden="false" customHeight="false" outlineLevel="0" collapsed="false">
      <c r="A149" s="0" t="n">
        <f aca="false">ROW()-1</f>
        <v>148</v>
      </c>
      <c r="B149" s="22" t="n">
        <f aca="false">SUMPRODUCT(MMULT('Analysis Data'!N149:U149,'Final Model'!$B$59:$I$66),'Analysis Data'!N149:U149)</f>
        <v>0.00307917104651043</v>
      </c>
      <c r="C149" s="15" t="n">
        <f aca="false">'Residual Diagnostics'!F149</f>
        <v>-8.97582271253376</v>
      </c>
      <c r="D149" s="13" t="n">
        <f aca="false">C149/('Final Model'!$B$21*SQRT(1-B149))</f>
        <v>-0.183342918291467</v>
      </c>
      <c r="E149" s="13" t="n">
        <f aca="false">D149*SQRT(('Final Model'!$B$24-1)/('Final Model'!$B$24-D149^2))</f>
        <v>-0.183278616653875</v>
      </c>
      <c r="F149" s="23" t="n">
        <f aca="false">D149^2/($P$3+1)*B149/(1-B149)</f>
        <v>1.29781095888645E-005</v>
      </c>
      <c r="G149" s="13" t="n">
        <f aca="false">($P$2-1)*(B149-1/$P$2)</f>
        <v>3.26537340013844</v>
      </c>
      <c r="H149" s="13" t="n">
        <f aca="false">E149*SQRT(B149/(1-B149))</f>
        <v>-0.010185875662047</v>
      </c>
      <c r="I149" s="13" t="n">
        <f aca="false">ABS(D149)</f>
        <v>0.183342918291467</v>
      </c>
      <c r="J149" s="6" t="n">
        <f aca="false">IF(B149&gt;$P$4,1,0)</f>
        <v>0</v>
      </c>
      <c r="K149" s="6" t="n">
        <f aca="false">IF(F149&gt;$P$6,1,0)</f>
        <v>0</v>
      </c>
      <c r="L149" s="6" t="n">
        <f aca="false">IF(G149&gt;$P$9,1,0)</f>
        <v>0</v>
      </c>
      <c r="M149" s="6" t="n">
        <f aca="false">IF(ABS(H149)&gt;$P$8,1,0)</f>
        <v>0</v>
      </c>
    </row>
    <row r="150" customFormat="false" ht="15" hidden="false" customHeight="false" outlineLevel="0" collapsed="false">
      <c r="A150" s="0" t="n">
        <f aca="false">ROW()-1</f>
        <v>149</v>
      </c>
      <c r="B150" s="22" t="n">
        <f aca="false">SUMPRODUCT(MMULT('Analysis Data'!N150:U150,'Final Model'!$B$59:$I$66),'Analysis Data'!N150:U150)</f>
        <v>0.015362801340865</v>
      </c>
      <c r="C150" s="15" t="n">
        <f aca="false">'Residual Diagnostics'!F150</f>
        <v>-11.2291855645743</v>
      </c>
      <c r="D150" s="13" t="n">
        <f aca="false">C150/('Final Model'!$B$21*SQRT(1-B150))</f>
        <v>-0.230797100245349</v>
      </c>
      <c r="E150" s="13" t="n">
        <f aca="false">D150*SQRT(('Final Model'!$B$24-1)/('Final Model'!$B$24-D150^2))</f>
        <v>-0.230717800842673</v>
      </c>
      <c r="F150" s="23" t="n">
        <f aca="false">D150^2/($P$3+1)*B150/(1-B150)</f>
        <v>0.000103887880193478</v>
      </c>
      <c r="G150" s="13" t="n">
        <f aca="false">($P$2-1)*(B150-1/$P$2)</f>
        <v>20.2782013578196</v>
      </c>
      <c r="H150" s="13" t="n">
        <f aca="false">E150*SQRT(B150/(1-B150))</f>
        <v>-0.0288189525056055</v>
      </c>
      <c r="I150" s="13" t="n">
        <f aca="false">ABS(D150)</f>
        <v>0.230797100245349</v>
      </c>
      <c r="J150" s="6" t="n">
        <f aca="false">IF(B150&gt;$P$4,1,0)</f>
        <v>1</v>
      </c>
      <c r="K150" s="6" t="n">
        <f aca="false">IF(F150&gt;$P$6,1,0)</f>
        <v>0</v>
      </c>
      <c r="L150" s="6" t="n">
        <f aca="false">IF(G150&gt;$P$9,1,0)</f>
        <v>1</v>
      </c>
      <c r="M150" s="6" t="n">
        <f aca="false">IF(ABS(H150)&gt;$P$8,1,0)</f>
        <v>0</v>
      </c>
    </row>
    <row r="151" customFormat="false" ht="15" hidden="false" customHeight="false" outlineLevel="0" collapsed="false">
      <c r="A151" s="0" t="n">
        <f aca="false">ROW()-1</f>
        <v>150</v>
      </c>
      <c r="B151" s="22" t="n">
        <f aca="false">SUMPRODUCT(MMULT('Analysis Data'!N151:U151,'Final Model'!$B$59:$I$66),'Analysis Data'!N151:U151)</f>
        <v>0.0071697013325724</v>
      </c>
      <c r="C151" s="15" t="n">
        <f aca="false">'Residual Diagnostics'!F151</f>
        <v>16.2684718661178</v>
      </c>
      <c r="D151" s="13" t="n">
        <f aca="false">C151/('Final Model'!$B$21*SQRT(1-B151))</f>
        <v>0.332988671119117</v>
      </c>
      <c r="E151" s="13" t="n">
        <f aca="false">D151*SQRT(('Final Model'!$B$24-1)/('Final Model'!$B$24-D151^2))</f>
        <v>0.332881219011654</v>
      </c>
      <c r="F151" s="23" t="n">
        <f aca="false">D151^2/($P$3+1)*B151/(1-B151)</f>
        <v>0.000100090987025894</v>
      </c>
      <c r="G151" s="13" t="n">
        <f aca="false">($P$2-1)*(B151-1/$P$2)</f>
        <v>8.93075784633428</v>
      </c>
      <c r="H151" s="13" t="n">
        <f aca="false">E151*SQRT(B151/(1-B151))</f>
        <v>0.0282880046282724</v>
      </c>
      <c r="I151" s="13" t="n">
        <f aca="false">ABS(D151)</f>
        <v>0.332988671119117</v>
      </c>
      <c r="J151" s="6" t="n">
        <f aca="false">IF(B151&gt;$P$4,1,0)</f>
        <v>0</v>
      </c>
      <c r="K151" s="6" t="n">
        <f aca="false">IF(F151&gt;$P$6,1,0)</f>
        <v>0</v>
      </c>
      <c r="L151" s="6" t="n">
        <f aca="false">IF(G151&gt;$P$9,1,0)</f>
        <v>0</v>
      </c>
      <c r="M151" s="6" t="n">
        <f aca="false">IF(ABS(H151)&gt;$P$8,1,0)</f>
        <v>0</v>
      </c>
    </row>
    <row r="152" customFormat="false" ht="15" hidden="false" customHeight="false" outlineLevel="0" collapsed="false">
      <c r="A152" s="0" t="n">
        <f aca="false">ROW()-1</f>
        <v>151</v>
      </c>
      <c r="B152" s="22" t="n">
        <f aca="false">SUMPRODUCT(MMULT('Analysis Data'!N152:U152,'Final Model'!$B$59:$I$66),'Analysis Data'!N152:U152)</f>
        <v>0.00720720742799828</v>
      </c>
      <c r="C152" s="15" t="n">
        <f aca="false">'Residual Diagnostics'!F152</f>
        <v>-51.8509442040032</v>
      </c>
      <c r="D152" s="13" t="n">
        <f aca="false">C152/('Final Model'!$B$21*SQRT(1-B152))</f>
        <v>-1.0613229860953</v>
      </c>
      <c r="E152" s="13" t="n">
        <f aca="false">D152*SQRT(('Final Model'!$B$24-1)/('Final Model'!$B$24-D152^2))</f>
        <v>-1.06137170335783</v>
      </c>
      <c r="F152" s="23" t="n">
        <f aca="false">D152^2/($P$3+1)*B152/(1-B152)</f>
        <v>0.00102214747329578</v>
      </c>
      <c r="G152" s="13" t="n">
        <f aca="false">($P$2-1)*(B152-1/$P$2)</f>
        <v>8.98270378849912</v>
      </c>
      <c r="H152" s="13" t="n">
        <f aca="false">E152*SQRT(B152/(1-B152))</f>
        <v>-0.0904319108932301</v>
      </c>
      <c r="I152" s="13" t="n">
        <f aca="false">ABS(D152)</f>
        <v>1.0613229860953</v>
      </c>
      <c r="J152" s="6" t="n">
        <f aca="false">IF(B152&gt;$P$4,1,0)</f>
        <v>0</v>
      </c>
      <c r="K152" s="6" t="n">
        <f aca="false">IF(F152&gt;$P$6,1,0)</f>
        <v>0</v>
      </c>
      <c r="L152" s="6" t="n">
        <f aca="false">IF(G152&gt;$P$9,1,0)</f>
        <v>0</v>
      </c>
      <c r="M152" s="6" t="n">
        <f aca="false">IF(ABS(H152)&gt;$P$8,1,0)</f>
        <v>0</v>
      </c>
    </row>
    <row r="153" customFormat="false" ht="15" hidden="false" customHeight="false" outlineLevel="0" collapsed="false">
      <c r="A153" s="0" t="n">
        <f aca="false">ROW()-1</f>
        <v>152</v>
      </c>
      <c r="B153" s="22" t="n">
        <f aca="false">SUMPRODUCT(MMULT('Analysis Data'!N153:U153,'Final Model'!$B$59:$I$66),'Analysis Data'!N153:U153)</f>
        <v>0.00699762820319244</v>
      </c>
      <c r="C153" s="15" t="n">
        <f aca="false">'Residual Diagnostics'!F153</f>
        <v>40.03174673066</v>
      </c>
      <c r="D153" s="13" t="n">
        <f aca="false">C153/('Final Model'!$B$21*SQRT(1-B153))</f>
        <v>0.819312548008337</v>
      </c>
      <c r="E153" s="13" t="n">
        <f aca="false">D153*SQRT(('Final Model'!$B$24-1)/('Final Model'!$B$24-D153^2))</f>
        <v>0.8192147695402</v>
      </c>
      <c r="F153" s="23" t="n">
        <f aca="false">D153^2/($P$3+1)*B153/(1-B153)</f>
        <v>0.000591302620391482</v>
      </c>
      <c r="G153" s="13" t="n">
        <f aca="false">($P$2-1)*(B153-1/$P$2)</f>
        <v>8.69243656214303</v>
      </c>
      <c r="H153" s="13" t="n">
        <f aca="false">E153*SQRT(B153/(1-B153))</f>
        <v>0.0687698477088554</v>
      </c>
      <c r="I153" s="13" t="n">
        <f aca="false">ABS(D153)</f>
        <v>0.819312548008337</v>
      </c>
      <c r="J153" s="6" t="n">
        <f aca="false">IF(B153&gt;$P$4,1,0)</f>
        <v>0</v>
      </c>
      <c r="K153" s="6" t="n">
        <f aca="false">IF(F153&gt;$P$6,1,0)</f>
        <v>0</v>
      </c>
      <c r="L153" s="6" t="n">
        <f aca="false">IF(G153&gt;$P$9,1,0)</f>
        <v>0</v>
      </c>
      <c r="M153" s="6" t="n">
        <f aca="false">IF(ABS(H153)&gt;$P$8,1,0)</f>
        <v>0</v>
      </c>
    </row>
    <row r="154" customFormat="false" ht="15" hidden="false" customHeight="false" outlineLevel="0" collapsed="false">
      <c r="A154" s="0" t="n">
        <f aca="false">ROW()-1</f>
        <v>153</v>
      </c>
      <c r="B154" s="22" t="n">
        <f aca="false">SUMPRODUCT(MMULT('Analysis Data'!N154:U154,'Final Model'!$B$59:$I$66),'Analysis Data'!N154:U154)</f>
        <v>0.0145007254738034</v>
      </c>
      <c r="C154" s="15" t="n">
        <f aca="false">'Residual Diagnostics'!F154</f>
        <v>-29.3223851277745</v>
      </c>
      <c r="D154" s="13" t="n">
        <f aca="false">C154/('Final Model'!$B$21*SQRT(1-B154))</f>
        <v>-0.602408856184497</v>
      </c>
      <c r="E154" s="13" t="n">
        <f aca="false">D154*SQRT(('Final Model'!$B$24-1)/('Final Model'!$B$24-D154^2))</f>
        <v>-0.602269544745035</v>
      </c>
      <c r="F154" s="23" t="n">
        <f aca="false">D154^2/($P$3+1)*B154/(1-B154)</f>
        <v>0.00066746136235377</v>
      </c>
      <c r="G154" s="13" t="n">
        <f aca="false">($P$2-1)*(B154-1/$P$2)</f>
        <v>19.0842262819391</v>
      </c>
      <c r="H154" s="13" t="n">
        <f aca="false">E154*SQRT(B154/(1-B154))</f>
        <v>-0.0730562899379971</v>
      </c>
      <c r="I154" s="13" t="n">
        <f aca="false">ABS(D154)</f>
        <v>0.602408856184497</v>
      </c>
      <c r="J154" s="6" t="n">
        <f aca="false">IF(B154&gt;$P$4,1,0)</f>
        <v>1</v>
      </c>
      <c r="K154" s="6" t="n">
        <f aca="false">IF(F154&gt;$P$6,1,0)</f>
        <v>0</v>
      </c>
      <c r="L154" s="6" t="n">
        <f aca="false">IF(G154&gt;$P$9,1,0)</f>
        <v>1</v>
      </c>
      <c r="M154" s="6" t="n">
        <f aca="false">IF(ABS(H154)&gt;$P$8,1,0)</f>
        <v>0</v>
      </c>
    </row>
    <row r="155" customFormat="false" ht="15" hidden="false" customHeight="false" outlineLevel="0" collapsed="false">
      <c r="A155" s="0" t="n">
        <f aca="false">ROW()-1</f>
        <v>154</v>
      </c>
      <c r="B155" s="22" t="n">
        <f aca="false">SUMPRODUCT(MMULT('Analysis Data'!N155:U155,'Final Model'!$B$59:$I$66),'Analysis Data'!N155:U155)</f>
        <v>0.0140419938409356</v>
      </c>
      <c r="C155" s="15" t="n">
        <f aca="false">'Residual Diagnostics'!F155</f>
        <v>-6.26380002566191</v>
      </c>
      <c r="D155" s="13" t="n">
        <f aca="false">C155/('Final Model'!$B$21*SQRT(1-B155))</f>
        <v>-0.128655656158802</v>
      </c>
      <c r="E155" s="13" t="n">
        <f aca="false">D155*SQRT(('Final Model'!$B$24-1)/('Final Model'!$B$24-D155^2))</f>
        <v>-0.128609738083646</v>
      </c>
      <c r="F155" s="23" t="n">
        <f aca="false">D155^2/($P$3+1)*B155/(1-B155)</f>
        <v>2.94671505194503E-005</v>
      </c>
      <c r="G155" s="13" t="n">
        <f aca="false">($P$2-1)*(B155-1/$P$2)</f>
        <v>18.4488829704173</v>
      </c>
      <c r="H155" s="13" t="n">
        <f aca="false">E155*SQRT(B155/(1-B155))</f>
        <v>-0.0153482559847833</v>
      </c>
      <c r="I155" s="13" t="n">
        <f aca="false">ABS(D155)</f>
        <v>0.128655656158802</v>
      </c>
      <c r="J155" s="6" t="n">
        <f aca="false">IF(B155&gt;$P$4,1,0)</f>
        <v>1</v>
      </c>
      <c r="K155" s="6" t="n">
        <f aca="false">IF(F155&gt;$P$6,1,0)</f>
        <v>0</v>
      </c>
      <c r="L155" s="6" t="n">
        <f aca="false">IF(G155&gt;$P$9,1,0)</f>
        <v>1</v>
      </c>
      <c r="M155" s="6" t="n">
        <f aca="false">IF(ABS(H155)&gt;$P$8,1,0)</f>
        <v>0</v>
      </c>
    </row>
    <row r="156" customFormat="false" ht="15" hidden="false" customHeight="false" outlineLevel="0" collapsed="false">
      <c r="A156" s="0" t="n">
        <f aca="false">ROW()-1</f>
        <v>155</v>
      </c>
      <c r="B156" s="22" t="n">
        <f aca="false">SUMPRODUCT(MMULT('Analysis Data'!N156:U156,'Final Model'!$B$59:$I$66),'Analysis Data'!N156:U156)</f>
        <v>0.00168832798629141</v>
      </c>
      <c r="C156" s="15" t="n">
        <f aca="false">'Residual Diagnostics'!F156</f>
        <v>30.7591557072672</v>
      </c>
      <c r="D156" s="13" t="n">
        <f aca="false">C156/('Final Model'!$B$21*SQRT(1-B156))</f>
        <v>0.62785816287947</v>
      </c>
      <c r="E156" s="13" t="n">
        <f aca="false">D156*SQRT(('Final Model'!$B$24-1)/('Final Model'!$B$24-D156^2))</f>
        <v>0.627720099213814</v>
      </c>
      <c r="F156" s="23" t="n">
        <f aca="false">D156^2/($P$3+1)*B156/(1-B156)</f>
        <v>8.33342965288419E-005</v>
      </c>
      <c r="G156" s="13" t="n">
        <f aca="false">($P$2-1)*(B156-1/$P$2)</f>
        <v>1.3390557617351</v>
      </c>
      <c r="H156" s="13" t="n">
        <f aca="false">E156*SQRT(B156/(1-B156))</f>
        <v>0.0258143604619026</v>
      </c>
      <c r="I156" s="13" t="n">
        <f aca="false">ABS(D156)</f>
        <v>0.62785816287947</v>
      </c>
      <c r="J156" s="6" t="n">
        <f aca="false">IF(B156&gt;$P$4,1,0)</f>
        <v>0</v>
      </c>
      <c r="K156" s="6" t="n">
        <f aca="false">IF(F156&gt;$P$6,1,0)</f>
        <v>0</v>
      </c>
      <c r="L156" s="6" t="n">
        <f aca="false">IF(G156&gt;$P$9,1,0)</f>
        <v>0</v>
      </c>
      <c r="M156" s="6" t="n">
        <f aca="false">IF(ABS(H156)&gt;$P$8,1,0)</f>
        <v>0</v>
      </c>
    </row>
    <row r="157" customFormat="false" ht="15" hidden="false" customHeight="false" outlineLevel="0" collapsed="false">
      <c r="A157" s="0" t="n">
        <f aca="false">ROW()-1</f>
        <v>156</v>
      </c>
      <c r="B157" s="22" t="n">
        <f aca="false">SUMPRODUCT(MMULT('Analysis Data'!N157:U157,'Final Model'!$B$59:$I$66),'Analysis Data'!N157:U157)</f>
        <v>0.00168832798629141</v>
      </c>
      <c r="C157" s="15" t="n">
        <f aca="false">'Residual Diagnostics'!F157</f>
        <v>22.6054878736311</v>
      </c>
      <c r="D157" s="13" t="n">
        <f aca="false">C157/('Final Model'!$B$21*SQRT(1-B157))</f>
        <v>0.461424891580457</v>
      </c>
      <c r="E157" s="13" t="n">
        <f aca="false">D157*SQRT(('Final Model'!$B$24-1)/('Final Model'!$B$24-D157^2))</f>
        <v>0.461293073880719</v>
      </c>
      <c r="F157" s="23" t="n">
        <f aca="false">D157^2/($P$3+1)*B157/(1-B157)</f>
        <v>4.50093479573902E-005</v>
      </c>
      <c r="G157" s="13" t="n">
        <f aca="false">($P$2-1)*(B157-1/$P$2)</f>
        <v>1.3390557617351</v>
      </c>
      <c r="H157" s="13" t="n">
        <f aca="false">E157*SQRT(B157/(1-B157))</f>
        <v>0.0189702157102347</v>
      </c>
      <c r="I157" s="13" t="n">
        <f aca="false">ABS(D157)</f>
        <v>0.461424891580457</v>
      </c>
      <c r="J157" s="6" t="n">
        <f aca="false">IF(B157&gt;$P$4,1,0)</f>
        <v>0</v>
      </c>
      <c r="K157" s="6" t="n">
        <f aca="false">IF(F157&gt;$P$6,1,0)</f>
        <v>0</v>
      </c>
      <c r="L157" s="6" t="n">
        <f aca="false">IF(G157&gt;$P$9,1,0)</f>
        <v>0</v>
      </c>
      <c r="M157" s="6" t="n">
        <f aca="false">IF(ABS(H157)&gt;$P$8,1,0)</f>
        <v>0</v>
      </c>
    </row>
    <row r="158" customFormat="false" ht="15" hidden="false" customHeight="false" outlineLevel="0" collapsed="false">
      <c r="A158" s="0" t="n">
        <f aca="false">ROW()-1</f>
        <v>157</v>
      </c>
      <c r="B158" s="22" t="n">
        <f aca="false">SUMPRODUCT(MMULT('Analysis Data'!N158:U158,'Final Model'!$B$59:$I$66),'Analysis Data'!N158:U158)</f>
        <v>0.00208566736713166</v>
      </c>
      <c r="C158" s="15" t="n">
        <f aca="false">'Residual Diagnostics'!F158</f>
        <v>43.0917446119102</v>
      </c>
      <c r="D158" s="13" t="n">
        <f aca="false">C158/('Final Model'!$B$21*SQRT(1-B158))</f>
        <v>0.879766976422362</v>
      </c>
      <c r="E158" s="13" t="n">
        <f aca="false">D158*SQRT(('Final Model'!$B$24-1)/('Final Model'!$B$24-D158^2))</f>
        <v>0.879694786255246</v>
      </c>
      <c r="F158" s="23" t="n">
        <f aca="false">D158^2/($P$3+1)*B158/(1-B158)</f>
        <v>0.000202207430606453</v>
      </c>
      <c r="G158" s="13" t="n">
        <f aca="false">($P$2-1)*(B158-1/$P$2)</f>
        <v>1.88937080419885</v>
      </c>
      <c r="H158" s="13" t="n">
        <f aca="false">E158*SQRT(B158/(1-B158))</f>
        <v>0.0402168370012739</v>
      </c>
      <c r="I158" s="13" t="n">
        <f aca="false">ABS(D158)</f>
        <v>0.879766976422362</v>
      </c>
      <c r="J158" s="6" t="n">
        <f aca="false">IF(B158&gt;$P$4,1,0)</f>
        <v>0</v>
      </c>
      <c r="K158" s="6" t="n">
        <f aca="false">IF(F158&gt;$P$6,1,0)</f>
        <v>0</v>
      </c>
      <c r="L158" s="6" t="n">
        <f aca="false">IF(G158&gt;$P$9,1,0)</f>
        <v>0</v>
      </c>
      <c r="M158" s="6" t="n">
        <f aca="false">IF(ABS(H158)&gt;$P$8,1,0)</f>
        <v>0</v>
      </c>
    </row>
    <row r="159" customFormat="false" ht="15" hidden="false" customHeight="false" outlineLevel="0" collapsed="false">
      <c r="A159" s="0" t="n">
        <f aca="false">ROW()-1</f>
        <v>158</v>
      </c>
      <c r="B159" s="22" t="n">
        <f aca="false">SUMPRODUCT(MMULT('Analysis Data'!N159:U159,'Final Model'!$B$59:$I$66),'Analysis Data'!N159:U159)</f>
        <v>0.00208566736713166</v>
      </c>
      <c r="C159" s="15" t="n">
        <f aca="false">'Residual Diagnostics'!F159</f>
        <v>33.8527735759053</v>
      </c>
      <c r="D159" s="13" t="n">
        <f aca="false">C159/('Final Model'!$B$21*SQRT(1-B159))</f>
        <v>0.691142874826966</v>
      </c>
      <c r="E159" s="13" t="n">
        <f aca="false">D159*SQRT(('Final Model'!$B$24-1)/('Final Model'!$B$24-D159^2))</f>
        <v>0.691011830479188</v>
      </c>
      <c r="F159" s="23" t="n">
        <f aca="false">D159^2/($P$3+1)*B159/(1-B159)</f>
        <v>0.000124795081529359</v>
      </c>
      <c r="G159" s="13" t="n">
        <f aca="false">($P$2-1)*(B159-1/$P$2)</f>
        <v>1.88937080419885</v>
      </c>
      <c r="H159" s="13" t="n">
        <f aca="false">E159*SQRT(B159/(1-B159))</f>
        <v>0.0315908546765787</v>
      </c>
      <c r="I159" s="13" t="n">
        <f aca="false">ABS(D159)</f>
        <v>0.691142874826966</v>
      </c>
      <c r="J159" s="6" t="n">
        <f aca="false">IF(B159&gt;$P$4,1,0)</f>
        <v>0</v>
      </c>
      <c r="K159" s="6" t="n">
        <f aca="false">IF(F159&gt;$P$6,1,0)</f>
        <v>0</v>
      </c>
      <c r="L159" s="6" t="n">
        <f aca="false">IF(G159&gt;$P$9,1,0)</f>
        <v>0</v>
      </c>
      <c r="M159" s="6" t="n">
        <f aca="false">IF(ABS(H159)&gt;$P$8,1,0)</f>
        <v>0</v>
      </c>
    </row>
    <row r="160" customFormat="false" ht="15" hidden="false" customHeight="false" outlineLevel="0" collapsed="false">
      <c r="A160" s="0" t="n">
        <f aca="false">ROW()-1</f>
        <v>159</v>
      </c>
      <c r="B160" s="22" t="n">
        <f aca="false">SUMPRODUCT(MMULT('Analysis Data'!N160:U160,'Final Model'!$B$59:$I$66),'Analysis Data'!N160:U160)</f>
        <v>0.00208566736713166</v>
      </c>
      <c r="C160" s="15" t="n">
        <f aca="false">'Residual Diagnostics'!F160</f>
        <v>-4.64596346331288</v>
      </c>
      <c r="D160" s="13" t="n">
        <f aca="false">C160/('Final Model'!$B$21*SQRT(1-B160))</f>
        <v>-0.094852628165763</v>
      </c>
      <c r="E160" s="13" t="n">
        <f aca="false">D160*SQRT(('Final Model'!$B$24-1)/('Final Model'!$B$24-D160^2))</f>
        <v>-0.094818514683458</v>
      </c>
      <c r="F160" s="23" t="n">
        <f aca="false">D160^2/($P$3+1)*B160/(1-B160)</f>
        <v>2.35050152019154E-006</v>
      </c>
      <c r="G160" s="13" t="n">
        <f aca="false">($P$2-1)*(B160-1/$P$2)</f>
        <v>1.88937080419885</v>
      </c>
      <c r="H160" s="13" t="n">
        <f aca="false">E160*SQRT(B160/(1-B160))</f>
        <v>-0.00433479976158581</v>
      </c>
      <c r="I160" s="13" t="n">
        <f aca="false">ABS(D160)</f>
        <v>0.094852628165763</v>
      </c>
      <c r="J160" s="6" t="n">
        <f aca="false">IF(B160&gt;$P$4,1,0)</f>
        <v>0</v>
      </c>
      <c r="K160" s="6" t="n">
        <f aca="false">IF(F160&gt;$P$6,1,0)</f>
        <v>0</v>
      </c>
      <c r="L160" s="6" t="n">
        <f aca="false">IF(G160&gt;$P$9,1,0)</f>
        <v>0</v>
      </c>
      <c r="M160" s="6" t="n">
        <f aca="false">IF(ABS(H160)&gt;$P$8,1,0)</f>
        <v>0</v>
      </c>
    </row>
    <row r="161" customFormat="false" ht="15" hidden="false" customHeight="false" outlineLevel="0" collapsed="false">
      <c r="A161" s="0" t="n">
        <f aca="false">ROW()-1</f>
        <v>160</v>
      </c>
      <c r="B161" s="22" t="n">
        <f aca="false">SUMPRODUCT(MMULT('Analysis Data'!N161:U161,'Final Model'!$B$59:$I$66),'Analysis Data'!N161:U161)</f>
        <v>0.00168832798629141</v>
      </c>
      <c r="C161" s="15" t="n">
        <f aca="false">'Residual Diagnostics'!F161</f>
        <v>50.994701257524</v>
      </c>
      <c r="D161" s="13" t="n">
        <f aca="false">C161/('Final Model'!$B$21*SQRT(1-B161))</f>
        <v>1.04090761634826</v>
      </c>
      <c r="E161" s="13" t="n">
        <f aca="false">D161*SQRT(('Final Model'!$B$24-1)/('Final Model'!$B$24-D161^2))</f>
        <v>1.04093917333449</v>
      </c>
      <c r="F161" s="23" t="n">
        <f aca="false">D161^2/($P$3+1)*B161/(1-B161)</f>
        <v>0.000229047236516105</v>
      </c>
      <c r="G161" s="13" t="n">
        <f aca="false">($P$2-1)*(B161-1/$P$2)</f>
        <v>1.3390557617351</v>
      </c>
      <c r="H161" s="13" t="n">
        <f aca="false">E161*SQRT(B161/(1-B161))</f>
        <v>0.0428075810747914</v>
      </c>
      <c r="I161" s="13" t="n">
        <f aca="false">ABS(D161)</f>
        <v>1.04090761634826</v>
      </c>
      <c r="J161" s="6" t="n">
        <f aca="false">IF(B161&gt;$P$4,1,0)</f>
        <v>0</v>
      </c>
      <c r="K161" s="6" t="n">
        <f aca="false">IF(F161&gt;$P$6,1,0)</f>
        <v>0</v>
      </c>
      <c r="L161" s="6" t="n">
        <f aca="false">IF(G161&gt;$P$9,1,0)</f>
        <v>0</v>
      </c>
      <c r="M161" s="6" t="n">
        <f aca="false">IF(ABS(H161)&gt;$P$8,1,0)</f>
        <v>0</v>
      </c>
    </row>
    <row r="162" customFormat="false" ht="15" hidden="false" customHeight="false" outlineLevel="0" collapsed="false">
      <c r="A162" s="0" t="n">
        <f aca="false">ROW()-1</f>
        <v>161</v>
      </c>
      <c r="B162" s="22" t="n">
        <f aca="false">SUMPRODUCT(MMULT('Analysis Data'!N162:U162,'Final Model'!$B$59:$I$66),'Analysis Data'!N162:U162)</f>
        <v>0.00168832798629141</v>
      </c>
      <c r="C162" s="15" t="n">
        <f aca="false">'Residual Diagnostics'!F162</f>
        <v>-60.4962583667184</v>
      </c>
      <c r="D162" s="13" t="n">
        <f aca="false">C162/('Final Model'!$B$21*SQRT(1-B162))</f>
        <v>-1.23485410330153</v>
      </c>
      <c r="E162" s="13" t="n">
        <f aca="false">D162*SQRT(('Final Model'!$B$24-1)/('Final Model'!$B$24-D162^2))</f>
        <v>-1.23508951238557</v>
      </c>
      <c r="F162" s="23" t="n">
        <f aca="false">D162^2/($P$3+1)*B162/(1-B162)</f>
        <v>0.000322353197271342</v>
      </c>
      <c r="G162" s="13" t="n">
        <f aca="false">($P$2-1)*(B162-1/$P$2)</f>
        <v>1.3390557617351</v>
      </c>
      <c r="H162" s="13" t="n">
        <f aca="false">E162*SQRT(B162/(1-B162))</f>
        <v>-0.05079181934013</v>
      </c>
      <c r="I162" s="13" t="n">
        <f aca="false">ABS(D162)</f>
        <v>1.23485410330153</v>
      </c>
      <c r="J162" s="6" t="n">
        <f aca="false">IF(B162&gt;$P$4,1,0)</f>
        <v>0</v>
      </c>
      <c r="K162" s="6" t="n">
        <f aca="false">IF(F162&gt;$P$6,1,0)</f>
        <v>0</v>
      </c>
      <c r="L162" s="6" t="n">
        <f aca="false">IF(G162&gt;$P$9,1,0)</f>
        <v>0</v>
      </c>
      <c r="M162" s="6" t="n">
        <f aca="false">IF(ABS(H162)&gt;$P$8,1,0)</f>
        <v>0</v>
      </c>
    </row>
    <row r="163" customFormat="false" ht="15" hidden="false" customHeight="false" outlineLevel="0" collapsed="false">
      <c r="A163" s="0" t="n">
        <f aca="false">ROW()-1</f>
        <v>162</v>
      </c>
      <c r="B163" s="22" t="n">
        <f aca="false">SUMPRODUCT(MMULT('Analysis Data'!N163:U163,'Final Model'!$B$59:$I$66),'Analysis Data'!N163:U163)</f>
        <v>0.00230529624841536</v>
      </c>
      <c r="C163" s="15" t="n">
        <f aca="false">'Residual Diagnostics'!F163</f>
        <v>-11.8856258486825</v>
      </c>
      <c r="D163" s="13" t="n">
        <f aca="false">C163/('Final Model'!$B$21*SQRT(1-B163))</f>
        <v>-0.242685277272698</v>
      </c>
      <c r="E163" s="13" t="n">
        <f aca="false">D163*SQRT(('Final Model'!$B$24-1)/('Final Model'!$B$24-D163^2))</f>
        <v>-0.242602388729904</v>
      </c>
      <c r="F163" s="23" t="n">
        <f aca="false">D163^2/($P$3+1)*B163/(1-B163)</f>
        <v>1.70108474627919E-005</v>
      </c>
      <c r="G163" s="13" t="n">
        <f aca="false">($P$2-1)*(B163-1/$P$2)</f>
        <v>2.19355680477678</v>
      </c>
      <c r="H163" s="13" t="n">
        <f aca="false">E163*SQRT(B163/(1-B163))</f>
        <v>-0.0116616394810722</v>
      </c>
      <c r="I163" s="13" t="n">
        <f aca="false">ABS(D163)</f>
        <v>0.242685277272698</v>
      </c>
      <c r="J163" s="6" t="n">
        <f aca="false">IF(B163&gt;$P$4,1,0)</f>
        <v>0</v>
      </c>
      <c r="K163" s="6" t="n">
        <f aca="false">IF(F163&gt;$P$6,1,0)</f>
        <v>0</v>
      </c>
      <c r="L163" s="6" t="n">
        <f aca="false">IF(G163&gt;$P$9,1,0)</f>
        <v>0</v>
      </c>
      <c r="M163" s="6" t="n">
        <f aca="false">IF(ABS(H163)&gt;$P$8,1,0)</f>
        <v>0</v>
      </c>
    </row>
    <row r="164" customFormat="false" ht="15" hidden="false" customHeight="false" outlineLevel="0" collapsed="false">
      <c r="A164" s="0" t="n">
        <f aca="false">ROW()-1</f>
        <v>163</v>
      </c>
      <c r="B164" s="22" t="n">
        <f aca="false">SUMPRODUCT(MMULT('Analysis Data'!N164:U164,'Final Model'!$B$59:$I$66),'Analysis Data'!N164:U164)</f>
        <v>0.015362801340865</v>
      </c>
      <c r="C164" s="15" t="n">
        <f aca="false">'Residual Diagnostics'!F164</f>
        <v>44.6067152749524</v>
      </c>
      <c r="D164" s="13" t="n">
        <f aca="false">C164/('Final Model'!$B$21*SQRT(1-B164))</f>
        <v>0.916816315638048</v>
      </c>
      <c r="E164" s="13" t="n">
        <f aca="false">D164*SQRT(('Final Model'!$B$24-1)/('Final Model'!$B$24-D164^2))</f>
        <v>0.916763239497847</v>
      </c>
      <c r="F164" s="23" t="n">
        <f aca="false">D164^2/($P$3+1)*B164/(1-B164)</f>
        <v>0.00163933931913903</v>
      </c>
      <c r="G164" s="13" t="n">
        <f aca="false">($P$2-1)*(B164-1/$P$2)</f>
        <v>20.2782013578196</v>
      </c>
      <c r="H164" s="13" t="n">
        <f aca="false">E164*SQRT(B164/(1-B164))</f>
        <v>0.114512864466793</v>
      </c>
      <c r="I164" s="13" t="n">
        <f aca="false">ABS(D164)</f>
        <v>0.916816315638048</v>
      </c>
      <c r="J164" s="6" t="n">
        <f aca="false">IF(B164&gt;$P$4,1,0)</f>
        <v>1</v>
      </c>
      <c r="K164" s="6" t="n">
        <f aca="false">IF(F164&gt;$P$6,1,0)</f>
        <v>0</v>
      </c>
      <c r="L164" s="6" t="n">
        <f aca="false">IF(G164&gt;$P$9,1,0)</f>
        <v>1</v>
      </c>
      <c r="M164" s="6" t="n">
        <f aca="false">IF(ABS(H164)&gt;$P$8,1,0)</f>
        <v>0</v>
      </c>
    </row>
    <row r="165" customFormat="false" ht="15" hidden="false" customHeight="false" outlineLevel="0" collapsed="false">
      <c r="A165" s="0" t="n">
        <f aca="false">ROW()-1</f>
        <v>164</v>
      </c>
      <c r="B165" s="22" t="n">
        <f aca="false">SUMPRODUCT(MMULT('Analysis Data'!N165:U165,'Final Model'!$B$59:$I$66),'Analysis Data'!N165:U165)</f>
        <v>0.0087356055465751</v>
      </c>
      <c r="C165" s="15" t="n">
        <f aca="false">'Residual Diagnostics'!F165</f>
        <v>4.32958214851169</v>
      </c>
      <c r="D165" s="13" t="n">
        <f aca="false">C165/('Final Model'!$B$21*SQRT(1-B165))</f>
        <v>0.0886893433888367</v>
      </c>
      <c r="E165" s="13" t="n">
        <f aca="false">D165*SQRT(('Final Model'!$B$24-1)/('Final Model'!$B$24-D165^2))</f>
        <v>0.0886574101243084</v>
      </c>
      <c r="F165" s="23" t="n">
        <f aca="false">D165^2/($P$3+1)*B165/(1-B165)</f>
        <v>8.6647572619178E-006</v>
      </c>
      <c r="G165" s="13" t="n">
        <f aca="false">($P$2-1)*(B165-1/$P$2)</f>
        <v>11.099535182728</v>
      </c>
      <c r="H165" s="13" t="n">
        <f aca="false">E165*SQRT(B165/(1-B165))</f>
        <v>0.00832274895130457</v>
      </c>
      <c r="I165" s="13" t="n">
        <f aca="false">ABS(D165)</f>
        <v>0.0886893433888367</v>
      </c>
      <c r="J165" s="6" t="n">
        <f aca="false">IF(B165&gt;$P$4,1,0)</f>
        <v>0</v>
      </c>
      <c r="K165" s="6" t="n">
        <f aca="false">IF(F165&gt;$P$6,1,0)</f>
        <v>0</v>
      </c>
      <c r="L165" s="6" t="n">
        <f aca="false">IF(G165&gt;$P$9,1,0)</f>
        <v>1</v>
      </c>
      <c r="M165" s="6" t="n">
        <f aca="false">IF(ABS(H165)&gt;$P$8,1,0)</f>
        <v>0</v>
      </c>
    </row>
    <row r="166" customFormat="false" ht="15" hidden="false" customHeight="false" outlineLevel="0" collapsed="false">
      <c r="A166" s="0" t="n">
        <f aca="false">ROW()-1</f>
        <v>165</v>
      </c>
      <c r="B166" s="22" t="n">
        <f aca="false">SUMPRODUCT(MMULT('Analysis Data'!N166:U166,'Final Model'!$B$59:$I$66),'Analysis Data'!N166:U166)</f>
        <v>0.00812302951306542</v>
      </c>
      <c r="C166" s="15" t="n">
        <f aca="false">'Residual Diagnostics'!F166</f>
        <v>-5.4686535622759</v>
      </c>
      <c r="D166" s="13" t="n">
        <f aca="false">C166/('Final Model'!$B$21*SQRT(1-B166))</f>
        <v>-0.111988058931609</v>
      </c>
      <c r="E166" s="13" t="n">
        <f aca="false">D166*SQRT(('Final Model'!$B$24-1)/('Final Model'!$B$24-D166^2))</f>
        <v>-0.111947926709229</v>
      </c>
      <c r="F166" s="23" t="n">
        <f aca="false">D166^2/($P$3+1)*B166/(1-B166)</f>
        <v>1.2838481854045E-005</v>
      </c>
      <c r="G166" s="13" t="n">
        <f aca="false">($P$2-1)*(B166-1/$P$2)</f>
        <v>10.2511173763171</v>
      </c>
      <c r="H166" s="13" t="n">
        <f aca="false">E166*SQRT(B166/(1-B166))</f>
        <v>-0.0101308565736384</v>
      </c>
      <c r="I166" s="13" t="n">
        <f aca="false">ABS(D166)</f>
        <v>0.111988058931609</v>
      </c>
      <c r="J166" s="6" t="n">
        <f aca="false">IF(B166&gt;$P$4,1,0)</f>
        <v>0</v>
      </c>
      <c r="K166" s="6" t="n">
        <f aca="false">IF(F166&gt;$P$6,1,0)</f>
        <v>0</v>
      </c>
      <c r="L166" s="6" t="n">
        <f aca="false">IF(G166&gt;$P$9,1,0)</f>
        <v>1</v>
      </c>
      <c r="M166" s="6" t="n">
        <f aca="false">IF(ABS(H166)&gt;$P$8,1,0)</f>
        <v>0</v>
      </c>
    </row>
    <row r="167" customFormat="false" ht="15" hidden="false" customHeight="false" outlineLevel="0" collapsed="false">
      <c r="A167" s="0" t="n">
        <f aca="false">ROW()-1</f>
        <v>166</v>
      </c>
      <c r="B167" s="22" t="n">
        <f aca="false">SUMPRODUCT(MMULT('Analysis Data'!N167:U167,'Final Model'!$B$59:$I$66),'Analysis Data'!N167:U167)</f>
        <v>0.00168832798629141</v>
      </c>
      <c r="C167" s="15" t="n">
        <f aca="false">'Residual Diagnostics'!F167</f>
        <v>-57.2527693114328</v>
      </c>
      <c r="D167" s="13" t="n">
        <f aca="false">C167/('Final Model'!$B$21*SQRT(1-B167))</f>
        <v>-1.16864776464412</v>
      </c>
      <c r="E167" s="13" t="n">
        <f aca="false">D167*SQRT(('Final Model'!$B$24-1)/('Final Model'!$B$24-D167^2))</f>
        <v>-1.1688029947052</v>
      </c>
      <c r="F167" s="23" t="n">
        <f aca="false">D167^2/($P$3+1)*B167/(1-B167)</f>
        <v>0.000288714070083201</v>
      </c>
      <c r="G167" s="13" t="n">
        <f aca="false">($P$2-1)*(B167-1/$P$2)</f>
        <v>1.3390557617351</v>
      </c>
      <c r="H167" s="13" t="n">
        <f aca="false">E167*SQRT(B167/(1-B167))</f>
        <v>-0.0480658526818881</v>
      </c>
      <c r="I167" s="13" t="n">
        <f aca="false">ABS(D167)</f>
        <v>1.16864776464412</v>
      </c>
      <c r="J167" s="6" t="n">
        <f aca="false">IF(B167&gt;$P$4,1,0)</f>
        <v>0</v>
      </c>
      <c r="K167" s="6" t="n">
        <f aca="false">IF(F167&gt;$P$6,1,0)</f>
        <v>0</v>
      </c>
      <c r="L167" s="6" t="n">
        <f aca="false">IF(G167&gt;$P$9,1,0)</f>
        <v>0</v>
      </c>
      <c r="M167" s="6" t="n">
        <f aca="false">IF(ABS(H167)&gt;$P$8,1,0)</f>
        <v>0</v>
      </c>
    </row>
    <row r="168" customFormat="false" ht="15" hidden="false" customHeight="false" outlineLevel="0" collapsed="false">
      <c r="A168" s="0" t="n">
        <f aca="false">ROW()-1</f>
        <v>167</v>
      </c>
      <c r="B168" s="22" t="n">
        <f aca="false">SUMPRODUCT(MMULT('Analysis Data'!N168:U168,'Final Model'!$B$59:$I$66),'Analysis Data'!N168:U168)</f>
        <v>0.00230529624841536</v>
      </c>
      <c r="C168" s="15" t="n">
        <f aca="false">'Residual Diagnostics'!F168</f>
        <v>29.6320009321589</v>
      </c>
      <c r="D168" s="13" t="n">
        <f aca="false">C168/('Final Model'!$B$21*SQRT(1-B168))</f>
        <v>0.605037585224255</v>
      </c>
      <c r="E168" s="13" t="n">
        <f aca="false">D168*SQRT(('Final Model'!$B$24-1)/('Final Model'!$B$24-D168^2))</f>
        <v>0.604898362709567</v>
      </c>
      <c r="F168" s="23" t="n">
        <f aca="false">D168^2/($P$3+1)*B168/(1-B168)</f>
        <v>0.000105731354986658</v>
      </c>
      <c r="G168" s="13" t="n">
        <f aca="false">($P$2-1)*(B168-1/$P$2)</f>
        <v>2.19355680477678</v>
      </c>
      <c r="H168" s="13" t="n">
        <f aca="false">E168*SQRT(B168/(1-B168))</f>
        <v>0.0290768226378157</v>
      </c>
      <c r="I168" s="13" t="n">
        <f aca="false">ABS(D168)</f>
        <v>0.605037585224255</v>
      </c>
      <c r="J168" s="6" t="n">
        <f aca="false">IF(B168&gt;$P$4,1,0)</f>
        <v>0</v>
      </c>
      <c r="K168" s="6" t="n">
        <f aca="false">IF(F168&gt;$P$6,1,0)</f>
        <v>0</v>
      </c>
      <c r="L168" s="6" t="n">
        <f aca="false">IF(G168&gt;$P$9,1,0)</f>
        <v>0</v>
      </c>
      <c r="M168" s="6" t="n">
        <f aca="false">IF(ABS(H168)&gt;$P$8,1,0)</f>
        <v>0</v>
      </c>
    </row>
    <row r="169" customFormat="false" ht="15" hidden="false" customHeight="false" outlineLevel="0" collapsed="false">
      <c r="A169" s="0" t="n">
        <f aca="false">ROW()-1</f>
        <v>168</v>
      </c>
      <c r="B169" s="22" t="n">
        <f aca="false">SUMPRODUCT(MMULT('Analysis Data'!N169:U169,'Final Model'!$B$59:$I$66),'Analysis Data'!N169:U169)</f>
        <v>0.00307917104651043</v>
      </c>
      <c r="C169" s="15" t="n">
        <f aca="false">'Residual Diagnostics'!F169</f>
        <v>-33.2004705271042</v>
      </c>
      <c r="D169" s="13" t="n">
        <f aca="false">C169/('Final Model'!$B$21*SQRT(1-B169))</f>
        <v>-0.678163033076533</v>
      </c>
      <c r="E169" s="13" t="n">
        <f aca="false">D169*SQRT(('Final Model'!$B$24-1)/('Final Model'!$B$24-D169^2))</f>
        <v>-0.678030075674566</v>
      </c>
      <c r="F169" s="23" t="n">
        <f aca="false">D169^2/($P$3+1)*B169/(1-B169)</f>
        <v>0.000177562553763514</v>
      </c>
      <c r="G169" s="13" t="n">
        <f aca="false">($P$2-1)*(B169-1/$P$2)</f>
        <v>3.26537340013844</v>
      </c>
      <c r="H169" s="13" t="n">
        <f aca="false">E169*SQRT(B169/(1-B169))</f>
        <v>-0.0376821375675927</v>
      </c>
      <c r="I169" s="13" t="n">
        <f aca="false">ABS(D169)</f>
        <v>0.678163033076533</v>
      </c>
      <c r="J169" s="6" t="n">
        <f aca="false">IF(B169&gt;$P$4,1,0)</f>
        <v>0</v>
      </c>
      <c r="K169" s="6" t="n">
        <f aca="false">IF(F169&gt;$P$6,1,0)</f>
        <v>0</v>
      </c>
      <c r="L169" s="6" t="n">
        <f aca="false">IF(G169&gt;$P$9,1,0)</f>
        <v>0</v>
      </c>
      <c r="M169" s="6" t="n">
        <f aca="false">IF(ABS(H169)&gt;$P$8,1,0)</f>
        <v>0</v>
      </c>
    </row>
    <row r="170" customFormat="false" ht="15" hidden="false" customHeight="false" outlineLevel="0" collapsed="false">
      <c r="A170" s="0" t="n">
        <f aca="false">ROW()-1</f>
        <v>169</v>
      </c>
      <c r="B170" s="22" t="n">
        <f aca="false">SUMPRODUCT(MMULT('Analysis Data'!N170:U170,'Final Model'!$B$59:$I$66),'Analysis Data'!N170:U170)</f>
        <v>0.00242690189389474</v>
      </c>
      <c r="C170" s="15" t="n">
        <f aca="false">'Residual Diagnostics'!F170</f>
        <v>-17.2857619754312</v>
      </c>
      <c r="D170" s="13" t="n">
        <f aca="false">C170/('Final Model'!$B$21*SQRT(1-B170))</f>
        <v>-0.352968844204272</v>
      </c>
      <c r="E170" s="13" t="n">
        <f aca="false">D170*SQRT(('Final Model'!$B$24-1)/('Final Model'!$B$24-D170^2))</f>
        <v>-0.352856699592225</v>
      </c>
      <c r="F170" s="23" t="n">
        <f aca="false">D170^2/($P$3+1)*B170/(1-B170)</f>
        <v>3.78870028311705E-005</v>
      </c>
      <c r="G170" s="13" t="n">
        <f aca="false">($P$2-1)*(B170-1/$P$2)</f>
        <v>2.36198062376572</v>
      </c>
      <c r="H170" s="13" t="n">
        <f aca="false">E170*SQRT(B170/(1-B170))</f>
        <v>-0.017404121782599</v>
      </c>
      <c r="I170" s="13" t="n">
        <f aca="false">ABS(D170)</f>
        <v>0.352968844204272</v>
      </c>
      <c r="J170" s="6" t="n">
        <f aca="false">IF(B170&gt;$P$4,1,0)</f>
        <v>0</v>
      </c>
      <c r="K170" s="6" t="n">
        <f aca="false">IF(F170&gt;$P$6,1,0)</f>
        <v>0</v>
      </c>
      <c r="L170" s="6" t="n">
        <f aca="false">IF(G170&gt;$P$9,1,0)</f>
        <v>0</v>
      </c>
      <c r="M170" s="6" t="n">
        <f aca="false">IF(ABS(H170)&gt;$P$8,1,0)</f>
        <v>0</v>
      </c>
    </row>
    <row r="171" customFormat="false" ht="15" hidden="false" customHeight="false" outlineLevel="0" collapsed="false">
      <c r="A171" s="0" t="n">
        <f aca="false">ROW()-1</f>
        <v>170</v>
      </c>
      <c r="B171" s="22" t="n">
        <f aca="false">SUMPRODUCT(MMULT('Analysis Data'!N171:U171,'Final Model'!$B$59:$I$66),'Analysis Data'!N171:U171)</f>
        <v>0.00307917104651043</v>
      </c>
      <c r="C171" s="15" t="n">
        <f aca="false">'Residual Diagnostics'!F171</f>
        <v>46.883643668549</v>
      </c>
      <c r="D171" s="13" t="n">
        <f aca="false">C171/('Final Model'!$B$21*SQRT(1-B171))</f>
        <v>0.957659740574639</v>
      </c>
      <c r="E171" s="13" t="n">
        <f aca="false">D171*SQRT(('Final Model'!$B$24-1)/('Final Model'!$B$24-D171^2))</f>
        <v>0.957630918952997</v>
      </c>
      <c r="F171" s="23" t="n">
        <f aca="false">D171^2/($P$3+1)*B171/(1-B171)</f>
        <v>0.000354083441870879</v>
      </c>
      <c r="G171" s="13" t="n">
        <f aca="false">($P$2-1)*(B171-1/$P$2)</f>
        <v>3.26537340013844</v>
      </c>
      <c r="H171" s="13" t="n">
        <f aca="false">E171*SQRT(B171/(1-B171))</f>
        <v>0.0532212085003248</v>
      </c>
      <c r="I171" s="13" t="n">
        <f aca="false">ABS(D171)</f>
        <v>0.957659740574639</v>
      </c>
      <c r="J171" s="6" t="n">
        <f aca="false">IF(B171&gt;$P$4,1,0)</f>
        <v>0</v>
      </c>
      <c r="K171" s="6" t="n">
        <f aca="false">IF(F171&gt;$P$6,1,0)</f>
        <v>0</v>
      </c>
      <c r="L171" s="6" t="n">
        <f aca="false">IF(G171&gt;$P$9,1,0)</f>
        <v>0</v>
      </c>
      <c r="M171" s="6" t="n">
        <f aca="false">IF(ABS(H171)&gt;$P$8,1,0)</f>
        <v>0</v>
      </c>
    </row>
    <row r="172" customFormat="false" ht="15" hidden="false" customHeight="false" outlineLevel="0" collapsed="false">
      <c r="A172" s="0" t="n">
        <f aca="false">ROW()-1</f>
        <v>171</v>
      </c>
      <c r="B172" s="22" t="n">
        <f aca="false">SUMPRODUCT(MMULT('Analysis Data'!N172:U172,'Final Model'!$B$59:$I$66),'Analysis Data'!N172:U172)</f>
        <v>0.00230529624841536</v>
      </c>
      <c r="C172" s="15" t="n">
        <f aca="false">'Residual Diagnostics'!F172</f>
        <v>1.81938423080965</v>
      </c>
      <c r="D172" s="13" t="n">
        <f aca="false">C172/('Final Model'!$B$21*SQRT(1-B172))</f>
        <v>0.0371488865744969</v>
      </c>
      <c r="E172" s="13" t="n">
        <f aca="false">D172*SQRT(('Final Model'!$B$24-1)/('Final Model'!$B$24-D172^2))</f>
        <v>0.0371354234466721</v>
      </c>
      <c r="F172" s="23" t="n">
        <f aca="false">D172^2/($P$3+1)*B172/(1-B172)</f>
        <v>3.98593941246379E-007</v>
      </c>
      <c r="G172" s="13" t="n">
        <f aca="false">($P$2-1)*(B172-1/$P$2)</f>
        <v>2.19355680477678</v>
      </c>
      <c r="H172" s="13" t="n">
        <f aca="false">E172*SQRT(B172/(1-B172))</f>
        <v>0.00178506041296314</v>
      </c>
      <c r="I172" s="13" t="n">
        <f aca="false">ABS(D172)</f>
        <v>0.0371488865744969</v>
      </c>
      <c r="J172" s="6" t="n">
        <f aca="false">IF(B172&gt;$P$4,1,0)</f>
        <v>0</v>
      </c>
      <c r="K172" s="6" t="n">
        <f aca="false">IF(F172&gt;$P$6,1,0)</f>
        <v>0</v>
      </c>
      <c r="L172" s="6" t="n">
        <f aca="false">IF(G172&gt;$P$9,1,0)</f>
        <v>0</v>
      </c>
      <c r="M172" s="6" t="n">
        <f aca="false">IF(ABS(H172)&gt;$P$8,1,0)</f>
        <v>0</v>
      </c>
    </row>
    <row r="173" customFormat="false" ht="15" hidden="false" customHeight="false" outlineLevel="0" collapsed="false">
      <c r="A173" s="0" t="n">
        <f aca="false">ROW()-1</f>
        <v>172</v>
      </c>
      <c r="B173" s="22" t="n">
        <f aca="false">SUMPRODUCT(MMULT('Analysis Data'!N173:U173,'Final Model'!$B$59:$I$66),'Analysis Data'!N173:U173)</f>
        <v>0.015362801340865</v>
      </c>
      <c r="C173" s="15" t="n">
        <f aca="false">'Residual Diagnostics'!F173</f>
        <v>-101.736269206803</v>
      </c>
      <c r="D173" s="13" t="n">
        <f aca="false">C173/('Final Model'!$B$21*SQRT(1-B173))</f>
        <v>-2.0910186039481</v>
      </c>
      <c r="E173" s="13" t="n">
        <f aca="false">D173*SQRT(('Final Model'!$B$24-1)/('Final Model'!$B$24-D173^2))</f>
        <v>-2.09358383414447</v>
      </c>
      <c r="F173" s="23" t="n">
        <f aca="false">D173^2/($P$3+1)*B173/(1-B173)</f>
        <v>0.00852746572017324</v>
      </c>
      <c r="G173" s="13" t="n">
        <f aca="false">($P$2-1)*(B173-1/$P$2)</f>
        <v>20.2782013578196</v>
      </c>
      <c r="H173" s="13" t="n">
        <f aca="false">E173*SQRT(B173/(1-B173))</f>
        <v>-0.261509484150534</v>
      </c>
      <c r="I173" s="13" t="n">
        <f aca="false">ABS(D173)</f>
        <v>2.0910186039481</v>
      </c>
      <c r="J173" s="6" t="n">
        <f aca="false">IF(B173&gt;$P$4,1,0)</f>
        <v>1</v>
      </c>
      <c r="K173" s="6" t="n">
        <f aca="false">IF(F173&gt;$P$6,1,0)</f>
        <v>1</v>
      </c>
      <c r="L173" s="6" t="n">
        <f aca="false">IF(G173&gt;$P$9,1,0)</f>
        <v>1</v>
      </c>
      <c r="M173" s="6" t="n">
        <f aca="false">IF(ABS(H173)&gt;$P$8,1,0)</f>
        <v>1</v>
      </c>
    </row>
    <row r="174" customFormat="false" ht="15" hidden="false" customHeight="false" outlineLevel="0" collapsed="false">
      <c r="A174" s="0" t="n">
        <f aca="false">ROW()-1</f>
        <v>173</v>
      </c>
      <c r="B174" s="22" t="n">
        <f aca="false">SUMPRODUCT(MMULT('Analysis Data'!N174:U174,'Final Model'!$B$59:$I$66),'Analysis Data'!N174:U174)</f>
        <v>0.0071697013325724</v>
      </c>
      <c r="C174" s="15" t="n">
        <f aca="false">'Residual Diagnostics'!F174</f>
        <v>72.9738960045197</v>
      </c>
      <c r="D174" s="13" t="n">
        <f aca="false">C174/('Final Model'!$B$21*SQRT(1-B174))</f>
        <v>1.49365477328808</v>
      </c>
      <c r="E174" s="13" t="n">
        <f aca="false">D174*SQRT(('Final Model'!$B$24-1)/('Final Model'!$B$24-D174^2))</f>
        <v>1.49432286682502</v>
      </c>
      <c r="F174" s="23" t="n">
        <f aca="false">D174^2/($P$3+1)*B174/(1-B174)</f>
        <v>0.00201389358084835</v>
      </c>
      <c r="G174" s="13" t="n">
        <f aca="false">($P$2-1)*(B174-1/$P$2)</f>
        <v>8.93075784633428</v>
      </c>
      <c r="H174" s="13" t="n">
        <f aca="false">E174*SQRT(B174/(1-B174))</f>
        <v>0.126986473728935</v>
      </c>
      <c r="I174" s="13" t="n">
        <f aca="false">ABS(D174)</f>
        <v>1.49365477328808</v>
      </c>
      <c r="J174" s="6" t="n">
        <f aca="false">IF(B174&gt;$P$4,1,0)</f>
        <v>0</v>
      </c>
      <c r="K174" s="6" t="n">
        <f aca="false">IF(F174&gt;$P$6,1,0)</f>
        <v>0</v>
      </c>
      <c r="L174" s="6" t="n">
        <f aca="false">IF(G174&gt;$P$9,1,0)</f>
        <v>0</v>
      </c>
      <c r="M174" s="6" t="n">
        <f aca="false">IF(ABS(H174)&gt;$P$8,1,0)</f>
        <v>0</v>
      </c>
    </row>
    <row r="175" customFormat="false" ht="15" hidden="false" customHeight="false" outlineLevel="0" collapsed="false">
      <c r="A175" s="0" t="n">
        <f aca="false">ROW()-1</f>
        <v>174</v>
      </c>
      <c r="B175" s="22" t="n">
        <f aca="false">SUMPRODUCT(MMULT('Analysis Data'!N175:U175,'Final Model'!$B$59:$I$66),'Analysis Data'!N175:U175)</f>
        <v>0.00699762820319244</v>
      </c>
      <c r="C175" s="15" t="n">
        <f aca="false">'Residual Diagnostics'!F175</f>
        <v>-3.72582430597873</v>
      </c>
      <c r="D175" s="13" t="n">
        <f aca="false">C175/('Final Model'!$B$21*SQRT(1-B175))</f>
        <v>-0.0762548440891504</v>
      </c>
      <c r="E175" s="13" t="n">
        <f aca="false">D175*SQRT(('Final Model'!$B$24-1)/('Final Model'!$B$24-D175^2))</f>
        <v>-0.0762273312313144</v>
      </c>
      <c r="F175" s="23" t="n">
        <f aca="false">D175^2/($P$3+1)*B175/(1-B175)</f>
        <v>5.12206948820816E-006</v>
      </c>
      <c r="G175" s="13" t="n">
        <f aca="false">($P$2-1)*(B175-1/$P$2)</f>
        <v>8.69243656214303</v>
      </c>
      <c r="H175" s="13" t="n">
        <f aca="false">E175*SQRT(B175/(1-B175))</f>
        <v>-0.00639898370359244</v>
      </c>
      <c r="I175" s="13" t="n">
        <f aca="false">ABS(D175)</f>
        <v>0.0762548440891504</v>
      </c>
      <c r="J175" s="6" t="n">
        <f aca="false">IF(B175&gt;$P$4,1,0)</f>
        <v>0</v>
      </c>
      <c r="K175" s="6" t="n">
        <f aca="false">IF(F175&gt;$P$6,1,0)</f>
        <v>0</v>
      </c>
      <c r="L175" s="6" t="n">
        <f aca="false">IF(G175&gt;$P$9,1,0)</f>
        <v>0</v>
      </c>
      <c r="M175" s="6" t="n">
        <f aca="false">IF(ABS(H175)&gt;$P$8,1,0)</f>
        <v>0</v>
      </c>
    </row>
    <row r="176" customFormat="false" ht="15" hidden="false" customHeight="false" outlineLevel="0" collapsed="false">
      <c r="A176" s="0" t="n">
        <f aca="false">ROW()-1</f>
        <v>175</v>
      </c>
      <c r="B176" s="22" t="n">
        <f aca="false">SUMPRODUCT(MMULT('Analysis Data'!N176:U176,'Final Model'!$B$59:$I$66),'Analysis Data'!N176:U176)</f>
        <v>0.0087356055465751</v>
      </c>
      <c r="C176" s="15" t="n">
        <f aca="false">'Residual Diagnostics'!F176</f>
        <v>18.9416340435509</v>
      </c>
      <c r="D176" s="13" t="n">
        <f aca="false">C176/('Final Model'!$B$21*SQRT(1-B176))</f>
        <v>0.388009980734895</v>
      </c>
      <c r="E176" s="13" t="n">
        <f aca="false">D176*SQRT(('Final Model'!$B$24-1)/('Final Model'!$B$24-D176^2))</f>
        <v>0.387890357645426</v>
      </c>
      <c r="F176" s="23" t="n">
        <f aca="false">D176^2/($P$3+1)*B176/(1-B176)</f>
        <v>0.000165843828767695</v>
      </c>
      <c r="G176" s="13" t="n">
        <f aca="false">($P$2-1)*(B176-1/$P$2)</f>
        <v>11.099535182728</v>
      </c>
      <c r="H176" s="13" t="n">
        <f aca="false">E176*SQRT(B176/(1-B176))</f>
        <v>0.0364133585989951</v>
      </c>
      <c r="I176" s="13" t="n">
        <f aca="false">ABS(D176)</f>
        <v>0.388009980734895</v>
      </c>
      <c r="J176" s="6" t="n">
        <f aca="false">IF(B176&gt;$P$4,1,0)</f>
        <v>0</v>
      </c>
      <c r="K176" s="6" t="n">
        <f aca="false">IF(F176&gt;$P$6,1,0)</f>
        <v>0</v>
      </c>
      <c r="L176" s="6" t="n">
        <f aca="false">IF(G176&gt;$P$9,1,0)</f>
        <v>1</v>
      </c>
      <c r="M176" s="6" t="n">
        <f aca="false">IF(ABS(H176)&gt;$P$8,1,0)</f>
        <v>0</v>
      </c>
    </row>
    <row r="177" customFormat="false" ht="15" hidden="false" customHeight="false" outlineLevel="0" collapsed="false">
      <c r="A177" s="0" t="n">
        <f aca="false">ROW()-1</f>
        <v>176</v>
      </c>
      <c r="B177" s="22" t="n">
        <f aca="false">SUMPRODUCT(MMULT('Analysis Data'!N177:U177,'Final Model'!$B$59:$I$66),'Analysis Data'!N177:U177)</f>
        <v>0.0149420541583211</v>
      </c>
      <c r="C177" s="15" t="n">
        <f aca="false">'Residual Diagnostics'!F177</f>
        <v>49.2141159677875</v>
      </c>
      <c r="D177" s="13" t="n">
        <f aca="false">C177/('Final Model'!$B$21*SQRT(1-B177))</f>
        <v>1.01129767273943</v>
      </c>
      <c r="E177" s="13" t="n">
        <f aca="false">D177*SQRT(('Final Model'!$B$24-1)/('Final Model'!$B$24-D177^2))</f>
        <v>1.01130601696024</v>
      </c>
      <c r="F177" s="23" t="n">
        <f aca="false">D177^2/($P$3+1)*B177/(1-B177)</f>
        <v>0.00193917300294166</v>
      </c>
      <c r="G177" s="13" t="n">
        <f aca="false">($P$2-1)*(B177-1/$P$2)</f>
        <v>19.6954665099962</v>
      </c>
      <c r="H177" s="13" t="n">
        <f aca="false">E177*SQRT(B177/(1-B177))</f>
        <v>0.124553763598563</v>
      </c>
      <c r="I177" s="13" t="n">
        <f aca="false">ABS(D177)</f>
        <v>1.01129767273943</v>
      </c>
      <c r="J177" s="6" t="n">
        <f aca="false">IF(B177&gt;$P$4,1,0)</f>
        <v>1</v>
      </c>
      <c r="K177" s="6" t="n">
        <f aca="false">IF(F177&gt;$P$6,1,0)</f>
        <v>0</v>
      </c>
      <c r="L177" s="6" t="n">
        <f aca="false">IF(G177&gt;$P$9,1,0)</f>
        <v>1</v>
      </c>
      <c r="M177" s="6" t="n">
        <f aca="false">IF(ABS(H177)&gt;$P$8,1,0)</f>
        <v>0</v>
      </c>
    </row>
    <row r="178" customFormat="false" ht="15" hidden="false" customHeight="false" outlineLevel="0" collapsed="false">
      <c r="A178" s="0" t="n">
        <f aca="false">ROW()-1</f>
        <v>177</v>
      </c>
      <c r="B178" s="22" t="n">
        <f aca="false">SUMPRODUCT(MMULT('Analysis Data'!N178:U178,'Final Model'!$B$59:$I$66),'Analysis Data'!N178:U178)</f>
        <v>0.00168551903148942</v>
      </c>
      <c r="C178" s="15" t="n">
        <f aca="false">'Residual Diagnostics'!F178</f>
        <v>56.7759235131352</v>
      </c>
      <c r="D178" s="13" t="n">
        <f aca="false">C178/('Final Model'!$B$21*SQRT(1-B178))</f>
        <v>1.15891272249814</v>
      </c>
      <c r="E178" s="13" t="n">
        <f aca="false">D178*SQRT(('Final Model'!$B$24-1)/('Final Model'!$B$24-D178^2))</f>
        <v>1.15905712067526</v>
      </c>
      <c r="F178" s="23" t="n">
        <f aca="false">D178^2/($P$3+1)*B178/(1-B178)</f>
        <v>0.000283450850163365</v>
      </c>
      <c r="G178" s="13" t="n">
        <f aca="false">($P$2-1)*(B178-1/$P$2)</f>
        <v>1.33516535933435</v>
      </c>
      <c r="H178" s="13" t="n">
        <f aca="false">E178*SQRT(B178/(1-B178))</f>
        <v>0.0476253285021398</v>
      </c>
      <c r="I178" s="13" t="n">
        <f aca="false">ABS(D178)</f>
        <v>1.15891272249814</v>
      </c>
      <c r="J178" s="6" t="n">
        <f aca="false">IF(B178&gt;$P$4,1,0)</f>
        <v>0</v>
      </c>
      <c r="K178" s="6" t="n">
        <f aca="false">IF(F178&gt;$P$6,1,0)</f>
        <v>0</v>
      </c>
      <c r="L178" s="6" t="n">
        <f aca="false">IF(G178&gt;$P$9,1,0)</f>
        <v>0</v>
      </c>
      <c r="M178" s="6" t="n">
        <f aca="false">IF(ABS(H178)&gt;$P$8,1,0)</f>
        <v>0</v>
      </c>
    </row>
    <row r="179" customFormat="false" ht="15" hidden="false" customHeight="false" outlineLevel="0" collapsed="false">
      <c r="A179" s="0" t="n">
        <f aca="false">ROW()-1</f>
        <v>178</v>
      </c>
      <c r="B179" s="22" t="n">
        <f aca="false">SUMPRODUCT(MMULT('Analysis Data'!N179:U179,'Final Model'!$B$59:$I$66),'Analysis Data'!N179:U179)</f>
        <v>0.00173381231032148</v>
      </c>
      <c r="C179" s="15" t="n">
        <f aca="false">'Residual Diagnostics'!F179</f>
        <v>28.5884569774912</v>
      </c>
      <c r="D179" s="13" t="n">
        <f aca="false">C179/('Final Model'!$B$21*SQRT(1-B179))</f>
        <v>0.58356299382707</v>
      </c>
      <c r="E179" s="13" t="n">
        <f aca="false">D179*SQRT(('Final Model'!$B$24-1)/('Final Model'!$B$24-D179^2))</f>
        <v>0.583423307945843</v>
      </c>
      <c r="F179" s="23" t="n">
        <f aca="false">D179^2/($P$3+1)*B179/(1-B179)</f>
        <v>7.39334923464028E-005</v>
      </c>
      <c r="G179" s="13" t="n">
        <f aca="false">($P$2-1)*(B179-1/$P$2)</f>
        <v>1.40205155051676</v>
      </c>
      <c r="H179" s="13" t="n">
        <f aca="false">E179*SQRT(B179/(1-B179))</f>
        <v>0.0243142924332115</v>
      </c>
      <c r="I179" s="13" t="n">
        <f aca="false">ABS(D179)</f>
        <v>0.58356299382707</v>
      </c>
      <c r="J179" s="6" t="n">
        <f aca="false">IF(B179&gt;$P$4,1,0)</f>
        <v>0</v>
      </c>
      <c r="K179" s="6" t="n">
        <f aca="false">IF(F179&gt;$P$6,1,0)</f>
        <v>0</v>
      </c>
      <c r="L179" s="6" t="n">
        <f aca="false">IF(G179&gt;$P$9,1,0)</f>
        <v>0</v>
      </c>
      <c r="M179" s="6" t="n">
        <f aca="false">IF(ABS(H179)&gt;$P$8,1,0)</f>
        <v>0</v>
      </c>
    </row>
    <row r="180" customFormat="false" ht="15" hidden="false" customHeight="false" outlineLevel="0" collapsed="false">
      <c r="A180" s="0" t="n">
        <f aca="false">ROW()-1</f>
        <v>179</v>
      </c>
      <c r="B180" s="22" t="n">
        <f aca="false">SUMPRODUCT(MMULT('Analysis Data'!N180:U180,'Final Model'!$B$59:$I$66),'Analysis Data'!N180:U180)</f>
        <v>0.00213768653607563</v>
      </c>
      <c r="C180" s="15" t="n">
        <f aca="false">'Residual Diagnostics'!F180</f>
        <v>-58.8646151604046</v>
      </c>
      <c r="D180" s="13" t="n">
        <f aca="false">C180/('Final Model'!$B$21*SQRT(1-B180))</f>
        <v>-1.20181939242465</v>
      </c>
      <c r="E180" s="13" t="n">
        <f aca="false">D180*SQRT(('Final Model'!$B$24-1)/('Final Model'!$B$24-D180^2))</f>
        <v>-1.20201335814644</v>
      </c>
      <c r="F180" s="23" t="n">
        <f aca="false">D180^2/($P$3+1)*B180/(1-B180)</f>
        <v>0.000386778058466903</v>
      </c>
      <c r="G180" s="13" t="n">
        <f aca="false">($P$2-1)*(B180-1/$P$2)</f>
        <v>1.96141735318625</v>
      </c>
      <c r="H180" s="13" t="n">
        <f aca="false">E180*SQRT(B180/(1-B180))</f>
        <v>-0.0556347312671442</v>
      </c>
      <c r="I180" s="13" t="n">
        <f aca="false">ABS(D180)</f>
        <v>1.20181939242465</v>
      </c>
      <c r="J180" s="6" t="n">
        <f aca="false">IF(B180&gt;$P$4,1,0)</f>
        <v>0</v>
      </c>
      <c r="K180" s="6" t="n">
        <f aca="false">IF(F180&gt;$P$6,1,0)</f>
        <v>0</v>
      </c>
      <c r="L180" s="6" t="n">
        <f aca="false">IF(G180&gt;$P$9,1,0)</f>
        <v>0</v>
      </c>
      <c r="M180" s="6" t="n">
        <f aca="false">IF(ABS(H180)&gt;$P$8,1,0)</f>
        <v>0</v>
      </c>
    </row>
    <row r="181" customFormat="false" ht="15" hidden="false" customHeight="false" outlineLevel="0" collapsed="false">
      <c r="A181" s="0" t="n">
        <f aca="false">ROW()-1</f>
        <v>180</v>
      </c>
      <c r="B181" s="22" t="n">
        <f aca="false">SUMPRODUCT(MMULT('Analysis Data'!N181:U181,'Final Model'!$B$59:$I$66),'Analysis Data'!N181:U181)</f>
        <v>0.00213768653607563</v>
      </c>
      <c r="C181" s="15" t="n">
        <f aca="false">'Residual Diagnostics'!F181</f>
        <v>4.20274886373596</v>
      </c>
      <c r="D181" s="13" t="n">
        <f aca="false">C181/('Final Model'!$B$21*SQRT(1-B181))</f>
        <v>0.0858061345031278</v>
      </c>
      <c r="E181" s="13" t="n">
        <f aca="false">D181*SQRT(('Final Model'!$B$24-1)/('Final Model'!$B$24-D181^2))</f>
        <v>0.0857752237012968</v>
      </c>
      <c r="F181" s="23" t="n">
        <f aca="false">D181^2/($P$3+1)*B181/(1-B181)</f>
        <v>1.97160581186337E-006</v>
      </c>
      <c r="G181" s="13" t="n">
        <f aca="false">($P$2-1)*(B181-1/$P$2)</f>
        <v>1.96141735318625</v>
      </c>
      <c r="H181" s="13" t="n">
        <f aca="false">E181*SQRT(B181/(1-B181))</f>
        <v>0.00397007361661904</v>
      </c>
      <c r="I181" s="13" t="n">
        <f aca="false">ABS(D181)</f>
        <v>0.0858061345031278</v>
      </c>
      <c r="J181" s="6" t="n">
        <f aca="false">IF(B181&gt;$P$4,1,0)</f>
        <v>0</v>
      </c>
      <c r="K181" s="6" t="n">
        <f aca="false">IF(F181&gt;$P$6,1,0)</f>
        <v>0</v>
      </c>
      <c r="L181" s="6" t="n">
        <f aca="false">IF(G181&gt;$P$9,1,0)</f>
        <v>0</v>
      </c>
      <c r="M181" s="6" t="n">
        <f aca="false">IF(ABS(H181)&gt;$P$8,1,0)</f>
        <v>0</v>
      </c>
    </row>
    <row r="182" customFormat="false" ht="15" hidden="false" customHeight="false" outlineLevel="0" collapsed="false">
      <c r="A182" s="0" t="n">
        <f aca="false">ROW()-1</f>
        <v>181</v>
      </c>
      <c r="B182" s="22" t="n">
        <f aca="false">SUMPRODUCT(MMULT('Analysis Data'!N182:U182,'Final Model'!$B$59:$I$66),'Analysis Data'!N182:U182)</f>
        <v>0.00213768653607563</v>
      </c>
      <c r="C182" s="15" t="n">
        <f aca="false">'Residual Diagnostics'!F182</f>
        <v>59.8145052551431</v>
      </c>
      <c r="D182" s="13" t="n">
        <f aca="false">C182/('Final Model'!$B$21*SQRT(1-B182))</f>
        <v>1.22121298454137</v>
      </c>
      <c r="E182" s="13" t="n">
        <f aca="false">D182*SQRT(('Final Model'!$B$24-1)/('Final Model'!$B$24-D182^2))</f>
        <v>1.22143092835377</v>
      </c>
      <c r="F182" s="23" t="n">
        <f aca="false">D182^2/($P$3+1)*B182/(1-B182)</f>
        <v>0.000399361542104526</v>
      </c>
      <c r="G182" s="13" t="n">
        <f aca="false">($P$2-1)*(B182-1/$P$2)</f>
        <v>1.96141735318625</v>
      </c>
      <c r="H182" s="13" t="n">
        <f aca="false">E182*SQRT(B182/(1-B182))</f>
        <v>0.0565334661214821</v>
      </c>
      <c r="I182" s="13" t="n">
        <f aca="false">ABS(D182)</f>
        <v>1.22121298454137</v>
      </c>
      <c r="J182" s="6" t="n">
        <f aca="false">IF(B182&gt;$P$4,1,0)</f>
        <v>0</v>
      </c>
      <c r="K182" s="6" t="n">
        <f aca="false">IF(F182&gt;$P$6,1,0)</f>
        <v>0</v>
      </c>
      <c r="L182" s="6" t="n">
        <f aca="false">IF(G182&gt;$P$9,1,0)</f>
        <v>0</v>
      </c>
      <c r="M182" s="6" t="n">
        <f aca="false">IF(ABS(H182)&gt;$P$8,1,0)</f>
        <v>0</v>
      </c>
    </row>
    <row r="183" customFormat="false" ht="15" hidden="false" customHeight="false" outlineLevel="0" collapsed="false">
      <c r="A183" s="0" t="n">
        <f aca="false">ROW()-1</f>
        <v>182</v>
      </c>
      <c r="B183" s="22" t="n">
        <f aca="false">SUMPRODUCT(MMULT('Analysis Data'!N183:U183,'Final Model'!$B$59:$I$66),'Analysis Data'!N183:U183)</f>
        <v>0.00173381231032148</v>
      </c>
      <c r="C183" s="15" t="n">
        <f aca="false">'Residual Diagnostics'!F183</f>
        <v>1.04671216585123</v>
      </c>
      <c r="D183" s="13" t="n">
        <f aca="false">C183/('Final Model'!$B$21*SQRT(1-B183))</f>
        <v>0.0213660529373896</v>
      </c>
      <c r="E183" s="13" t="n">
        <f aca="false">D183*SQRT(('Final Model'!$B$24-1)/('Final Model'!$B$24-D183^2))</f>
        <v>0.021358302509094</v>
      </c>
      <c r="F183" s="23" t="n">
        <f aca="false">D183^2/($P$3+1)*B183/(1-B183)</f>
        <v>9.91092829379701E-008</v>
      </c>
      <c r="G183" s="13" t="n">
        <f aca="false">($P$2-1)*(B183-1/$P$2)</f>
        <v>1.40205155051676</v>
      </c>
      <c r="H183" s="13" t="n">
        <f aca="false">E183*SQRT(B183/(1-B183))</f>
        <v>0.000890111872478212</v>
      </c>
      <c r="I183" s="13" t="n">
        <f aca="false">ABS(D183)</f>
        <v>0.0213660529373896</v>
      </c>
      <c r="J183" s="6" t="n">
        <f aca="false">IF(B183&gt;$P$4,1,0)</f>
        <v>0</v>
      </c>
      <c r="K183" s="6" t="n">
        <f aca="false">IF(F183&gt;$P$6,1,0)</f>
        <v>0</v>
      </c>
      <c r="L183" s="6" t="n">
        <f aca="false">IF(G183&gt;$P$9,1,0)</f>
        <v>0</v>
      </c>
      <c r="M183" s="6" t="n">
        <f aca="false">IF(ABS(H183)&gt;$P$8,1,0)</f>
        <v>0</v>
      </c>
    </row>
    <row r="184" customFormat="false" ht="15" hidden="false" customHeight="false" outlineLevel="0" collapsed="false">
      <c r="A184" s="0" t="n">
        <f aca="false">ROW()-1</f>
        <v>183</v>
      </c>
      <c r="B184" s="22" t="n">
        <f aca="false">SUMPRODUCT(MMULT('Analysis Data'!N184:U184,'Final Model'!$B$59:$I$66),'Analysis Data'!N184:U184)</f>
        <v>0.00173381231032148</v>
      </c>
      <c r="C184" s="15" t="n">
        <f aca="false">'Residual Diagnostics'!F184</f>
        <v>-62.6678108800711</v>
      </c>
      <c r="D184" s="13" t="n">
        <f aca="false">C184/('Final Model'!$B$21*SQRT(1-B184))</f>
        <v>-1.27920913544079</v>
      </c>
      <c r="E184" s="13" t="n">
        <f aca="false">D184*SQRT(('Final Model'!$B$24-1)/('Final Model'!$B$24-D184^2))</f>
        <v>-1.27950482907832</v>
      </c>
      <c r="F184" s="23" t="n">
        <f aca="false">D184^2/($P$3+1)*B184/(1-B184)</f>
        <v>0.000355262067027551</v>
      </c>
      <c r="G184" s="13" t="n">
        <f aca="false">($P$2-1)*(B184-1/$P$2)</f>
        <v>1.40205155051676</v>
      </c>
      <c r="H184" s="13" t="n">
        <f aca="false">E184*SQRT(B184/(1-B184))</f>
        <v>-0.0533236402457966</v>
      </c>
      <c r="I184" s="13" t="n">
        <f aca="false">ABS(D184)</f>
        <v>1.27920913544079</v>
      </c>
      <c r="J184" s="6" t="n">
        <f aca="false">IF(B184&gt;$P$4,1,0)</f>
        <v>0</v>
      </c>
      <c r="K184" s="6" t="n">
        <f aca="false">IF(F184&gt;$P$6,1,0)</f>
        <v>0</v>
      </c>
      <c r="L184" s="6" t="n">
        <f aca="false">IF(G184&gt;$P$9,1,0)</f>
        <v>0</v>
      </c>
      <c r="M184" s="6" t="n">
        <f aca="false">IF(ABS(H184)&gt;$P$8,1,0)</f>
        <v>0</v>
      </c>
    </row>
    <row r="185" customFormat="false" ht="15" hidden="false" customHeight="false" outlineLevel="0" collapsed="false">
      <c r="A185" s="0" t="n">
        <f aca="false">ROW()-1</f>
        <v>184</v>
      </c>
      <c r="B185" s="22" t="n">
        <f aca="false">SUMPRODUCT(MMULT('Analysis Data'!N185:U185,'Final Model'!$B$59:$I$66),'Analysis Data'!N185:U185)</f>
        <v>0.00184703226166082</v>
      </c>
      <c r="C185" s="15" t="n">
        <f aca="false">'Residual Diagnostics'!F185</f>
        <v>-37.9715730905925</v>
      </c>
      <c r="D185" s="13" t="n">
        <f aca="false">C185/('Final Model'!$B$21*SQRT(1-B185))</f>
        <v>-0.775140175823698</v>
      </c>
      <c r="E185" s="13" t="n">
        <f aca="false">D185*SQRT(('Final Model'!$B$24-1)/('Final Model'!$B$24-D185^2))</f>
        <v>-0.775027853410512</v>
      </c>
      <c r="F185" s="23" t="n">
        <f aca="false">D185^2/($P$3+1)*B185/(1-B185)</f>
        <v>0.000138978585157878</v>
      </c>
      <c r="G185" s="13" t="n">
        <f aca="false">($P$2-1)*(B185-1/$P$2)</f>
        <v>1.55886118312173</v>
      </c>
      <c r="H185" s="13" t="n">
        <f aca="false">E185*SQRT(B185/(1-B185))</f>
        <v>-0.0333392633910241</v>
      </c>
      <c r="I185" s="13" t="n">
        <f aca="false">ABS(D185)</f>
        <v>0.775140175823698</v>
      </c>
      <c r="J185" s="6" t="n">
        <f aca="false">IF(B185&gt;$P$4,1,0)</f>
        <v>0</v>
      </c>
      <c r="K185" s="6" t="n">
        <f aca="false">IF(F185&gt;$P$6,1,0)</f>
        <v>0</v>
      </c>
      <c r="L185" s="6" t="n">
        <f aca="false">IF(G185&gt;$P$9,1,0)</f>
        <v>0</v>
      </c>
      <c r="M185" s="6" t="n">
        <f aca="false">IF(ABS(H185)&gt;$P$8,1,0)</f>
        <v>0</v>
      </c>
    </row>
    <row r="186" customFormat="false" ht="15" hidden="false" customHeight="false" outlineLevel="0" collapsed="false">
      <c r="A186" s="0" t="n">
        <f aca="false">ROW()-1</f>
        <v>185</v>
      </c>
      <c r="B186" s="22" t="n">
        <f aca="false">SUMPRODUCT(MMULT('Analysis Data'!N186:U186,'Final Model'!$B$59:$I$66),'Analysis Data'!N186:U186)</f>
        <v>0.00173381231032148</v>
      </c>
      <c r="C186" s="15" t="n">
        <f aca="false">'Residual Diagnostics'!F186</f>
        <v>101.17494732298</v>
      </c>
      <c r="D186" s="13" t="n">
        <f aca="false">C186/('Final Model'!$B$21*SQRT(1-B186))</f>
        <v>2.06523756097016</v>
      </c>
      <c r="E186" s="13" t="n">
        <f aca="false">D186*SQRT(('Final Model'!$B$24-1)/('Final Model'!$B$24-D186^2))</f>
        <v>2.0676905177404</v>
      </c>
      <c r="F186" s="23" t="n">
        <f aca="false">D186^2/($P$3+1)*B186/(1-B186)</f>
        <v>0.000925988864212527</v>
      </c>
      <c r="G186" s="13" t="n">
        <f aca="false">($P$2-1)*(B186-1/$P$2)</f>
        <v>1.40205155051676</v>
      </c>
      <c r="H186" s="13" t="n">
        <f aca="false">E186*SQRT(B186/(1-B186))</f>
        <v>0.0861714491433814</v>
      </c>
      <c r="I186" s="13" t="n">
        <f aca="false">ABS(D186)</f>
        <v>2.06523756097016</v>
      </c>
      <c r="J186" s="6" t="n">
        <f aca="false">IF(B186&gt;$P$4,1,0)</f>
        <v>0</v>
      </c>
      <c r="K186" s="6" t="n">
        <f aca="false">IF(F186&gt;$P$6,1,0)</f>
        <v>0</v>
      </c>
      <c r="L186" s="6" t="n">
        <f aca="false">IF(G186&gt;$P$9,1,0)</f>
        <v>0</v>
      </c>
      <c r="M186" s="6" t="n">
        <f aca="false">IF(ABS(H186)&gt;$P$8,1,0)</f>
        <v>0</v>
      </c>
    </row>
    <row r="187" customFormat="false" ht="15" hidden="false" customHeight="false" outlineLevel="0" collapsed="false">
      <c r="A187" s="0" t="n">
        <f aca="false">ROW()-1</f>
        <v>186</v>
      </c>
      <c r="B187" s="22" t="n">
        <f aca="false">SUMPRODUCT(MMULT('Analysis Data'!N187:U187,'Final Model'!$B$59:$I$66),'Analysis Data'!N187:U187)</f>
        <v>0.00188706025342149</v>
      </c>
      <c r="C187" s="15" t="n">
        <f aca="false">'Residual Diagnostics'!F187</f>
        <v>-46.4045532405614</v>
      </c>
      <c r="D187" s="13" t="n">
        <f aca="false">C187/('Final Model'!$B$21*SQRT(1-B187))</f>
        <v>-0.947307469459668</v>
      </c>
      <c r="E187" s="13" t="n">
        <f aca="false">D187*SQRT(('Final Model'!$B$24-1)/('Final Model'!$B$24-D187^2))</f>
        <v>-0.94727217664132</v>
      </c>
      <c r="F187" s="23" t="n">
        <f aca="false">D187^2/($P$3+1)*B187/(1-B187)</f>
        <v>0.000212079171347517</v>
      </c>
      <c r="G187" s="13" t="n">
        <f aca="false">($P$2-1)*(B187-1/$P$2)</f>
        <v>1.61429995171027</v>
      </c>
      <c r="H187" s="13" t="n">
        <f aca="false">E187*SQRT(B187/(1-B187))</f>
        <v>-0.0411886750677362</v>
      </c>
      <c r="I187" s="13" t="n">
        <f aca="false">ABS(D187)</f>
        <v>0.947307469459668</v>
      </c>
      <c r="J187" s="6" t="n">
        <f aca="false">IF(B187&gt;$P$4,1,0)</f>
        <v>0</v>
      </c>
      <c r="K187" s="6" t="n">
        <f aca="false">IF(F187&gt;$P$6,1,0)</f>
        <v>0</v>
      </c>
      <c r="L187" s="6" t="n">
        <f aca="false">IF(G187&gt;$P$9,1,0)</f>
        <v>0</v>
      </c>
      <c r="M187" s="6" t="n">
        <f aca="false">IF(ABS(H187)&gt;$P$8,1,0)</f>
        <v>0</v>
      </c>
    </row>
    <row r="188" customFormat="false" ht="15" hidden="false" customHeight="false" outlineLevel="0" collapsed="false">
      <c r="A188" s="0" t="n">
        <f aca="false">ROW()-1</f>
        <v>187</v>
      </c>
      <c r="B188" s="22" t="n">
        <f aca="false">SUMPRODUCT(MMULT('Analysis Data'!N188:U188,'Final Model'!$B$59:$I$66),'Analysis Data'!N188:U188)</f>
        <v>0.00188706025342149</v>
      </c>
      <c r="C188" s="15" t="n">
        <f aca="false">'Residual Diagnostics'!F188</f>
        <v>-52.2130579147356</v>
      </c>
      <c r="D188" s="13" t="n">
        <f aca="false">C188/('Final Model'!$B$21*SQRT(1-B188))</f>
        <v>-1.0658828996704</v>
      </c>
      <c r="E188" s="13" t="n">
        <f aca="false">D188*SQRT(('Final Model'!$B$24-1)/('Final Model'!$B$24-D188^2))</f>
        <v>-1.06593558093136</v>
      </c>
      <c r="F188" s="23" t="n">
        <f aca="false">D188^2/($P$3+1)*B188/(1-B188)</f>
        <v>0.000268494308401178</v>
      </c>
      <c r="G188" s="13" t="n">
        <f aca="false">($P$2-1)*(B188-1/$P$2)</f>
        <v>1.61429995171027</v>
      </c>
      <c r="H188" s="13" t="n">
        <f aca="false">E188*SQRT(B188/(1-B188))</f>
        <v>-0.0463483203336442</v>
      </c>
      <c r="I188" s="13" t="n">
        <f aca="false">ABS(D188)</f>
        <v>1.0658828996704</v>
      </c>
      <c r="J188" s="6" t="n">
        <f aca="false">IF(B188&gt;$P$4,1,0)</f>
        <v>0</v>
      </c>
      <c r="K188" s="6" t="n">
        <f aca="false">IF(F188&gt;$P$6,1,0)</f>
        <v>0</v>
      </c>
      <c r="L188" s="6" t="n">
        <f aca="false">IF(G188&gt;$P$9,1,0)</f>
        <v>0</v>
      </c>
      <c r="M188" s="6" t="n">
        <f aca="false">IF(ABS(H188)&gt;$P$8,1,0)</f>
        <v>0</v>
      </c>
    </row>
    <row r="189" customFormat="false" ht="15" hidden="false" customHeight="false" outlineLevel="0" collapsed="false">
      <c r="A189" s="0" t="n">
        <f aca="false">ROW()-1</f>
        <v>188</v>
      </c>
      <c r="B189" s="22" t="n">
        <f aca="false">SUMPRODUCT(MMULT('Analysis Data'!N189:U189,'Final Model'!$B$59:$I$66),'Analysis Data'!N189:U189)</f>
        <v>0.00180830922848265</v>
      </c>
      <c r="C189" s="15" t="n">
        <f aca="false">'Residual Diagnostics'!F189</f>
        <v>63.7078000277286</v>
      </c>
      <c r="D189" s="13" t="n">
        <f aca="false">C189/('Final Model'!$B$21*SQRT(1-B189))</f>
        <v>1.3004864806634</v>
      </c>
      <c r="E189" s="13" t="n">
        <f aca="false">D189*SQRT(('Final Model'!$B$24-1)/('Final Model'!$B$24-D189^2))</f>
        <v>1.30081303095853</v>
      </c>
      <c r="F189" s="23" t="n">
        <f aca="false">D189^2/($P$3+1)*B189/(1-B189)</f>
        <v>0.000382983836146065</v>
      </c>
      <c r="G189" s="13" t="n">
        <f aca="false">($P$2-1)*(B189-1/$P$2)</f>
        <v>1.50522978216997</v>
      </c>
      <c r="H189" s="13" t="n">
        <f aca="false">E189*SQRT(B189/(1-B189))</f>
        <v>0.0553661408212845</v>
      </c>
      <c r="I189" s="13" t="n">
        <f aca="false">ABS(D189)</f>
        <v>1.3004864806634</v>
      </c>
      <c r="J189" s="6" t="n">
        <f aca="false">IF(B189&gt;$P$4,1,0)</f>
        <v>0</v>
      </c>
      <c r="K189" s="6" t="n">
        <f aca="false">IF(F189&gt;$P$6,1,0)</f>
        <v>0</v>
      </c>
      <c r="L189" s="6" t="n">
        <f aca="false">IF(G189&gt;$P$9,1,0)</f>
        <v>0</v>
      </c>
      <c r="M189" s="6" t="n">
        <f aca="false">IF(ABS(H189)&gt;$P$8,1,0)</f>
        <v>0</v>
      </c>
    </row>
    <row r="190" customFormat="false" ht="15" hidden="false" customHeight="false" outlineLevel="0" collapsed="false">
      <c r="A190" s="0" t="n">
        <f aca="false">ROW()-1</f>
        <v>189</v>
      </c>
      <c r="B190" s="22" t="n">
        <f aca="false">SUMPRODUCT(MMULT('Analysis Data'!N190:U190,'Final Model'!$B$59:$I$66),'Analysis Data'!N190:U190)</f>
        <v>0.00235800440650381</v>
      </c>
      <c r="C190" s="15" t="n">
        <f aca="false">'Residual Diagnostics'!F190</f>
        <v>-34.5504357059826</v>
      </c>
      <c r="D190" s="13" t="n">
        <f aca="false">C190/('Final Model'!$B$21*SQRT(1-B190))</f>
        <v>-0.705482712577674</v>
      </c>
      <c r="E190" s="13" t="n">
        <f aca="false">D190*SQRT(('Final Model'!$B$24-1)/('Final Model'!$B$24-D190^2))</f>
        <v>-0.705354076805182</v>
      </c>
      <c r="F190" s="23" t="n">
        <f aca="false">D190^2/($P$3+1)*B190/(1-B190)</f>
        <v>0.000147045810382304</v>
      </c>
      <c r="G190" s="13" t="n">
        <f aca="false">($P$2-1)*(B190-1/$P$2)</f>
        <v>2.26655760372928</v>
      </c>
      <c r="H190" s="13" t="n">
        <f aca="false">E190*SQRT(B190/(1-B190))</f>
        <v>-0.0342919455751258</v>
      </c>
      <c r="I190" s="13" t="n">
        <f aca="false">ABS(D190)</f>
        <v>0.705482712577674</v>
      </c>
      <c r="J190" s="6" t="n">
        <f aca="false">IF(B190&gt;$P$4,1,0)</f>
        <v>0</v>
      </c>
      <c r="K190" s="6" t="n">
        <f aca="false">IF(F190&gt;$P$6,1,0)</f>
        <v>0</v>
      </c>
      <c r="L190" s="6" t="n">
        <f aca="false">IF(G190&gt;$P$9,1,0)</f>
        <v>0</v>
      </c>
      <c r="M190" s="6" t="n">
        <f aca="false">IF(ABS(H190)&gt;$P$8,1,0)</f>
        <v>0</v>
      </c>
    </row>
    <row r="191" customFormat="false" ht="15" hidden="false" customHeight="false" outlineLevel="0" collapsed="false">
      <c r="A191" s="0" t="n">
        <f aca="false">ROW()-1</f>
        <v>190</v>
      </c>
      <c r="B191" s="22" t="n">
        <f aca="false">SUMPRODUCT(MMULT('Analysis Data'!N191:U191,'Final Model'!$B$59:$I$66),'Analysis Data'!N191:U191)</f>
        <v>0.00300290006900344</v>
      </c>
      <c r="C191" s="15" t="n">
        <f aca="false">'Residual Diagnostics'!F191</f>
        <v>-121.97898953111</v>
      </c>
      <c r="D191" s="13" t="n">
        <f aca="false">C191/('Final Model'!$B$21*SQRT(1-B191))</f>
        <v>-2.49148509061583</v>
      </c>
      <c r="E191" s="13" t="n">
        <f aca="false">D191*SQRT(('Final Model'!$B$24-1)/('Final Model'!$B$24-D191^2))</f>
        <v>-2.49620960751459</v>
      </c>
      <c r="F191" s="23" t="n">
        <f aca="false">D191^2/($P$3+1)*B191/(1-B191)</f>
        <v>0.00233708002309965</v>
      </c>
      <c r="G191" s="13" t="n">
        <f aca="false">($P$2-1)*(B191-1/$P$2)</f>
        <v>3.15973809629126</v>
      </c>
      <c r="H191" s="13" t="n">
        <f aca="false">E191*SQRT(B191/(1-B191))</f>
        <v>-0.136994945152195</v>
      </c>
      <c r="I191" s="13" t="n">
        <f aca="false">ABS(D191)</f>
        <v>2.49148509061583</v>
      </c>
      <c r="J191" s="6" t="n">
        <f aca="false">IF(B191&gt;$P$4,1,0)</f>
        <v>0</v>
      </c>
      <c r="K191" s="6" t="n">
        <f aca="false">IF(F191&gt;$P$6,1,0)</f>
        <v>0</v>
      </c>
      <c r="L191" s="6" t="n">
        <f aca="false">IF(G191&gt;$P$9,1,0)</f>
        <v>0</v>
      </c>
      <c r="M191" s="6" t="n">
        <f aca="false">IF(ABS(H191)&gt;$P$8,1,0)</f>
        <v>0</v>
      </c>
    </row>
    <row r="192" customFormat="false" ht="15" hidden="false" customHeight="false" outlineLevel="0" collapsed="false">
      <c r="A192" s="0" t="n">
        <f aca="false">ROW()-1</f>
        <v>191</v>
      </c>
      <c r="B192" s="22" t="n">
        <f aca="false">SUMPRODUCT(MMULT('Analysis Data'!N192:U192,'Final Model'!$B$59:$I$66),'Analysis Data'!N192:U192)</f>
        <v>0.00307917104651043</v>
      </c>
      <c r="C192" s="15" t="n">
        <f aca="false">'Residual Diagnostics'!F192</f>
        <v>68.7858773426406</v>
      </c>
      <c r="D192" s="13" t="n">
        <f aca="false">C192/('Final Model'!$B$21*SQRT(1-B192))</f>
        <v>1.4050415090784</v>
      </c>
      <c r="E192" s="13" t="n">
        <f aca="false">D192*SQRT(('Final Model'!$B$24-1)/('Final Model'!$B$24-D192^2))</f>
        <v>1.40553876255657</v>
      </c>
      <c r="F192" s="23" t="n">
        <f aca="false">D192^2/($P$3+1)*B192/(1-B192)</f>
        <v>0.000762186877073332</v>
      </c>
      <c r="G192" s="13" t="n">
        <f aca="false">($P$2-1)*(B192-1/$P$2)</f>
        <v>3.26537340013844</v>
      </c>
      <c r="H192" s="13" t="n">
        <f aca="false">E192*SQRT(B192/(1-B192))</f>
        <v>0.0781140939132349</v>
      </c>
      <c r="I192" s="13" t="n">
        <f aca="false">ABS(D192)</f>
        <v>1.4050415090784</v>
      </c>
      <c r="J192" s="6" t="n">
        <f aca="false">IF(B192&gt;$P$4,1,0)</f>
        <v>0</v>
      </c>
      <c r="K192" s="6" t="n">
        <f aca="false">IF(F192&gt;$P$6,1,0)</f>
        <v>0</v>
      </c>
      <c r="L192" s="6" t="n">
        <f aca="false">IF(G192&gt;$P$9,1,0)</f>
        <v>0</v>
      </c>
      <c r="M192" s="6" t="n">
        <f aca="false">IF(ABS(H192)&gt;$P$8,1,0)</f>
        <v>0</v>
      </c>
    </row>
    <row r="193" customFormat="false" ht="15" hidden="false" customHeight="false" outlineLevel="0" collapsed="false">
      <c r="A193" s="0" t="n">
        <f aca="false">ROW()-1</f>
        <v>192</v>
      </c>
      <c r="B193" s="22" t="n">
        <f aca="false">SUMPRODUCT(MMULT('Analysis Data'!N193:U193,'Final Model'!$B$59:$I$66),'Analysis Data'!N193:U193)</f>
        <v>0.00265367630729723</v>
      </c>
      <c r="C193" s="15" t="n">
        <f aca="false">'Residual Diagnostics'!F193</f>
        <v>7.62501122915759</v>
      </c>
      <c r="D193" s="13" t="n">
        <f aca="false">C193/('Final Model'!$B$21*SQRT(1-B193))</f>
        <v>0.15571759974268</v>
      </c>
      <c r="E193" s="13" t="n">
        <f aca="false">D193*SQRT(('Final Model'!$B$24-1)/('Final Model'!$B$24-D193^2))</f>
        <v>0.155662457745109</v>
      </c>
      <c r="F193" s="23" t="n">
        <f aca="false">D193^2/($P$3+1)*B193/(1-B193)</f>
        <v>8.06468428620968E-006</v>
      </c>
      <c r="G193" s="13" t="n">
        <f aca="false">($P$2-1)*(B193-1/$P$2)</f>
        <v>2.67606318632817</v>
      </c>
      <c r="H193" s="13" t="n">
        <f aca="false">E193*SQRT(B193/(1-B193))</f>
        <v>0.00802943267732551</v>
      </c>
      <c r="I193" s="13" t="n">
        <f aca="false">ABS(D193)</f>
        <v>0.15571759974268</v>
      </c>
      <c r="J193" s="6" t="n">
        <f aca="false">IF(B193&gt;$P$4,1,0)</f>
        <v>0</v>
      </c>
      <c r="K193" s="6" t="n">
        <f aca="false">IF(F193&gt;$P$6,1,0)</f>
        <v>0</v>
      </c>
      <c r="L193" s="6" t="n">
        <f aca="false">IF(G193&gt;$P$9,1,0)</f>
        <v>0</v>
      </c>
      <c r="M193" s="6" t="n">
        <f aca="false">IF(ABS(H193)&gt;$P$8,1,0)</f>
        <v>0</v>
      </c>
    </row>
    <row r="194" customFormat="false" ht="15" hidden="false" customHeight="false" outlineLevel="0" collapsed="false">
      <c r="A194" s="0" t="n">
        <f aca="false">ROW()-1</f>
        <v>193</v>
      </c>
      <c r="B194" s="22" t="n">
        <f aca="false">SUMPRODUCT(MMULT('Analysis Data'!N194:U194,'Final Model'!$B$59:$I$66),'Analysis Data'!N194:U194)</f>
        <v>0.0154602167168641</v>
      </c>
      <c r="C194" s="15" t="n">
        <f aca="false">'Residual Diagnostics'!F194</f>
        <v>26.4326761062014</v>
      </c>
      <c r="D194" s="13" t="n">
        <f aca="false">C194/('Final Model'!$B$21*SQRT(1-B194))</f>
        <v>0.54330625902904</v>
      </c>
      <c r="E194" s="13" t="n">
        <f aca="false">D194*SQRT(('Final Model'!$B$24-1)/('Final Model'!$B$24-D194^2))</f>
        <v>0.543167266560516</v>
      </c>
      <c r="F194" s="23" t="n">
        <f aca="false">D194^2/($P$3+1)*B194/(1-B194)</f>
        <v>0.000579404330930175</v>
      </c>
      <c r="G194" s="13" t="n">
        <f aca="false">($P$2-1)*(B194-1/$P$2)</f>
        <v>20.4131216535782</v>
      </c>
      <c r="H194" s="13" t="n">
        <f aca="false">E194*SQRT(B194/(1-B194))</f>
        <v>0.0680651402221774</v>
      </c>
      <c r="I194" s="13" t="n">
        <f aca="false">ABS(D194)</f>
        <v>0.54330625902904</v>
      </c>
      <c r="J194" s="6" t="n">
        <f aca="false">IF(B194&gt;$P$4,1,0)</f>
        <v>1</v>
      </c>
      <c r="K194" s="6" t="n">
        <f aca="false">IF(F194&gt;$P$6,1,0)</f>
        <v>0</v>
      </c>
      <c r="L194" s="6" t="n">
        <f aca="false">IF(G194&gt;$P$9,1,0)</f>
        <v>1</v>
      </c>
      <c r="M194" s="6" t="n">
        <f aca="false">IF(ABS(H194)&gt;$P$8,1,0)</f>
        <v>0</v>
      </c>
    </row>
    <row r="195" customFormat="false" ht="15" hidden="false" customHeight="false" outlineLevel="0" collapsed="false">
      <c r="A195" s="0" t="n">
        <f aca="false">ROW()-1</f>
        <v>194</v>
      </c>
      <c r="B195" s="22" t="n">
        <f aca="false">SUMPRODUCT(MMULT('Analysis Data'!N195:U195,'Final Model'!$B$59:$I$66),'Analysis Data'!N195:U195)</f>
        <v>0.00720720742799828</v>
      </c>
      <c r="C195" s="15" t="n">
        <f aca="false">'Residual Diagnostics'!F195</f>
        <v>42.2417138821976</v>
      </c>
      <c r="D195" s="13" t="n">
        <f aca="false">C195/('Final Model'!$B$21*SQRT(1-B195))</f>
        <v>0.864634243473931</v>
      </c>
      <c r="E195" s="13" t="n">
        <f aca="false">D195*SQRT(('Final Model'!$B$24-1)/('Final Model'!$B$24-D195^2))</f>
        <v>0.86455500953149</v>
      </c>
      <c r="F195" s="23" t="n">
        <f aca="false">D195^2/($P$3+1)*B195/(1-B195)</f>
        <v>0.000678396005495744</v>
      </c>
      <c r="G195" s="13" t="n">
        <f aca="false">($P$2-1)*(B195-1/$P$2)</f>
        <v>8.98270378849912</v>
      </c>
      <c r="H195" s="13" t="n">
        <f aca="false">E195*SQRT(B195/(1-B195))</f>
        <v>0.0736625645256046</v>
      </c>
      <c r="I195" s="13" t="n">
        <f aca="false">ABS(D195)</f>
        <v>0.864634243473931</v>
      </c>
      <c r="J195" s="6" t="n">
        <f aca="false">IF(B195&gt;$P$4,1,0)</f>
        <v>0</v>
      </c>
      <c r="K195" s="6" t="n">
        <f aca="false">IF(F195&gt;$P$6,1,0)</f>
        <v>0</v>
      </c>
      <c r="L195" s="6" t="n">
        <f aca="false">IF(G195&gt;$P$9,1,0)</f>
        <v>0</v>
      </c>
      <c r="M195" s="6" t="n">
        <f aca="false">IF(ABS(H195)&gt;$P$8,1,0)</f>
        <v>0</v>
      </c>
    </row>
    <row r="196" customFormat="false" ht="15" hidden="false" customHeight="false" outlineLevel="0" collapsed="false">
      <c r="A196" s="0" t="n">
        <f aca="false">ROW()-1</f>
        <v>195</v>
      </c>
      <c r="B196" s="22" t="n">
        <f aca="false">SUMPRODUCT(MMULT('Analysis Data'!N196:U196,'Final Model'!$B$59:$I$66),'Analysis Data'!N196:U196)</f>
        <v>0.00720720742799828</v>
      </c>
      <c r="C196" s="15" t="n">
        <f aca="false">'Residual Diagnostics'!F196</f>
        <v>32.8980635160742</v>
      </c>
      <c r="D196" s="13" t="n">
        <f aca="false">C196/('Final Model'!$B$21*SQRT(1-B196))</f>
        <v>0.673381585304614</v>
      </c>
      <c r="E196" s="13" t="n">
        <f aca="false">D196*SQRT(('Final Model'!$B$24-1)/('Final Model'!$B$24-D196^2))</f>
        <v>0.673247986155971</v>
      </c>
      <c r="F196" s="23" t="n">
        <f aca="false">D196^2/($P$3+1)*B196/(1-B196)</f>
        <v>0.000411472571160898</v>
      </c>
      <c r="G196" s="13" t="n">
        <f aca="false">($P$2-1)*(B196-1/$P$2)</f>
        <v>8.98270378849912</v>
      </c>
      <c r="H196" s="13" t="n">
        <f aca="false">E196*SQRT(B196/(1-B196))</f>
        <v>0.0573626578704605</v>
      </c>
      <c r="I196" s="13" t="n">
        <f aca="false">ABS(D196)</f>
        <v>0.673381585304614</v>
      </c>
      <c r="J196" s="6" t="n">
        <f aca="false">IF(B196&gt;$P$4,1,0)</f>
        <v>0</v>
      </c>
      <c r="K196" s="6" t="n">
        <f aca="false">IF(F196&gt;$P$6,1,0)</f>
        <v>0</v>
      </c>
      <c r="L196" s="6" t="n">
        <f aca="false">IF(G196&gt;$P$9,1,0)</f>
        <v>0</v>
      </c>
      <c r="M196" s="6" t="n">
        <f aca="false">IF(ABS(H196)&gt;$P$8,1,0)</f>
        <v>0</v>
      </c>
    </row>
    <row r="197" customFormat="false" ht="15" hidden="false" customHeight="false" outlineLevel="0" collapsed="false">
      <c r="A197" s="0" t="n">
        <f aca="false">ROW()-1</f>
        <v>196</v>
      </c>
      <c r="B197" s="22" t="n">
        <f aca="false">SUMPRODUCT(MMULT('Analysis Data'!N197:U197,'Final Model'!$B$59:$I$66),'Analysis Data'!N197:U197)</f>
        <v>0.00720720742799828</v>
      </c>
      <c r="C197" s="15" t="n">
        <f aca="false">'Residual Diagnostics'!F197</f>
        <v>-47.9101586565316</v>
      </c>
      <c r="D197" s="13" t="n">
        <f aca="false">C197/('Final Model'!$B$21*SQRT(1-B197))</f>
        <v>-0.980660110056858</v>
      </c>
      <c r="E197" s="13" t="n">
        <f aca="false">D197*SQRT(('Final Model'!$B$24-1)/('Final Model'!$B$24-D197^2))</f>
        <v>-0.980646470210868</v>
      </c>
      <c r="F197" s="23" t="n">
        <f aca="false">D197^2/($P$3+1)*B197/(1-B197)</f>
        <v>0.000872680835872847</v>
      </c>
      <c r="G197" s="13" t="n">
        <f aca="false">($P$2-1)*(B197-1/$P$2)</f>
        <v>8.98270378849912</v>
      </c>
      <c r="H197" s="13" t="n">
        <f aca="false">E197*SQRT(B197/(1-B197))</f>
        <v>-0.0835538896800335</v>
      </c>
      <c r="I197" s="13" t="n">
        <f aca="false">ABS(D197)</f>
        <v>0.980660110056858</v>
      </c>
      <c r="J197" s="6" t="n">
        <f aca="false">IF(B197&gt;$P$4,1,0)</f>
        <v>0</v>
      </c>
      <c r="K197" s="6" t="n">
        <f aca="false">IF(F197&gt;$P$6,1,0)</f>
        <v>0</v>
      </c>
      <c r="L197" s="6" t="n">
        <f aca="false">IF(G197&gt;$P$9,1,0)</f>
        <v>0</v>
      </c>
      <c r="M197" s="6" t="n">
        <f aca="false">IF(ABS(H197)&gt;$P$8,1,0)</f>
        <v>0</v>
      </c>
    </row>
    <row r="198" customFormat="false" ht="15" hidden="false" customHeight="false" outlineLevel="0" collapsed="false">
      <c r="A198" s="0" t="n">
        <f aca="false">ROW()-1</f>
        <v>197</v>
      </c>
      <c r="B198" s="22" t="n">
        <f aca="false">SUMPRODUCT(MMULT('Analysis Data'!N198:U198,'Final Model'!$B$59:$I$66),'Analysis Data'!N198:U198)</f>
        <v>0.0149420541583211</v>
      </c>
      <c r="C198" s="15" t="n">
        <f aca="false">'Residual Diagnostics'!F198</f>
        <v>-68.0527894698799</v>
      </c>
      <c r="D198" s="13" t="n">
        <f aca="false">C198/('Final Model'!$B$21*SQRT(1-B198))</f>
        <v>-1.39841235102876</v>
      </c>
      <c r="E198" s="13" t="n">
        <f aca="false">D198*SQRT(('Final Model'!$B$24-1)/('Final Model'!$B$24-D198^2))</f>
        <v>-1.39889781171286</v>
      </c>
      <c r="F198" s="23" t="n">
        <f aca="false">D198^2/($P$3+1)*B198/(1-B198)</f>
        <v>0.00370790879278752</v>
      </c>
      <c r="G198" s="13" t="n">
        <f aca="false">($P$2-1)*(B198-1/$P$2)</f>
        <v>19.6954665099962</v>
      </c>
      <c r="H198" s="13" t="n">
        <f aca="false">E198*SQRT(B198/(1-B198))</f>
        <v>-0.172290072852875</v>
      </c>
      <c r="I198" s="13" t="n">
        <f aca="false">ABS(D198)</f>
        <v>1.39841235102876</v>
      </c>
      <c r="J198" s="6" t="n">
        <f aca="false">IF(B198&gt;$P$4,1,0)</f>
        <v>1</v>
      </c>
      <c r="K198" s="6" t="n">
        <f aca="false">IF(F198&gt;$P$6,1,0)</f>
        <v>1</v>
      </c>
      <c r="L198" s="6" t="n">
        <f aca="false">IF(G198&gt;$P$9,1,0)</f>
        <v>1</v>
      </c>
      <c r="M198" s="6" t="n">
        <f aca="false">IF(ABS(H198)&gt;$P$8,1,0)</f>
        <v>1</v>
      </c>
    </row>
    <row r="199" customFormat="false" ht="15" hidden="false" customHeight="false" outlineLevel="0" collapsed="false">
      <c r="A199" s="0" t="n">
        <f aca="false">ROW()-1</f>
        <v>198</v>
      </c>
      <c r="B199" s="22" t="n">
        <f aca="false">SUMPRODUCT(MMULT('Analysis Data'!N199:U199,'Final Model'!$B$59:$I$66),'Analysis Data'!N199:U199)</f>
        <v>0.0149420541583211</v>
      </c>
      <c r="C199" s="15" t="n">
        <f aca="false">'Residual Diagnostics'!F199</f>
        <v>39.168614733021</v>
      </c>
      <c r="D199" s="13" t="n">
        <f aca="false">C199/('Final Model'!$B$21*SQRT(1-B199))</f>
        <v>0.804873320285958</v>
      </c>
      <c r="E199" s="13" t="n">
        <f aca="false">D199*SQRT(('Final Model'!$B$24-1)/('Final Model'!$B$24-D199^2))</f>
        <v>0.804770413579279</v>
      </c>
      <c r="F199" s="23" t="n">
        <f aca="false">D199^2/($P$3+1)*B199/(1-B199)</f>
        <v>0.00122832588552358</v>
      </c>
      <c r="G199" s="13" t="n">
        <f aca="false">($P$2-1)*(B199-1/$P$2)</f>
        <v>19.6954665099962</v>
      </c>
      <c r="H199" s="13" t="n">
        <f aca="false">E199*SQRT(B199/(1-B199))</f>
        <v>0.0991165702201215</v>
      </c>
      <c r="I199" s="13" t="n">
        <f aca="false">ABS(D199)</f>
        <v>0.804873320285958</v>
      </c>
      <c r="J199" s="6" t="n">
        <f aca="false">IF(B199&gt;$P$4,1,0)</f>
        <v>1</v>
      </c>
      <c r="K199" s="6" t="n">
        <f aca="false">IF(F199&gt;$P$6,1,0)</f>
        <v>0</v>
      </c>
      <c r="L199" s="6" t="n">
        <f aca="false">IF(G199&gt;$P$9,1,0)</f>
        <v>1</v>
      </c>
      <c r="M199" s="6" t="n">
        <f aca="false">IF(ABS(H199)&gt;$P$8,1,0)</f>
        <v>0</v>
      </c>
    </row>
    <row r="200" customFormat="false" ht="15" hidden="false" customHeight="false" outlineLevel="0" collapsed="false">
      <c r="A200" s="0" t="n">
        <f aca="false">ROW()-1</f>
        <v>199</v>
      </c>
      <c r="B200" s="22" t="n">
        <f aca="false">SUMPRODUCT(MMULT('Analysis Data'!N200:U200,'Final Model'!$B$59:$I$66),'Analysis Data'!N200:U200)</f>
        <v>0.00168832798629141</v>
      </c>
      <c r="C200" s="15" t="n">
        <f aca="false">'Residual Diagnostics'!F200</f>
        <v>47.2959095410143</v>
      </c>
      <c r="D200" s="13" t="n">
        <f aca="false">C200/('Final Model'!$B$21*SQRT(1-B200))</f>
        <v>0.96540760607155</v>
      </c>
      <c r="E200" s="13" t="n">
        <f aca="false">D200*SQRT(('Final Model'!$B$24-1)/('Final Model'!$B$24-D200^2))</f>
        <v>0.965383773881761</v>
      </c>
      <c r="F200" s="23" t="n">
        <f aca="false">D200^2/($P$3+1)*B200/(1-B200)</f>
        <v>0.000197025353784041</v>
      </c>
      <c r="G200" s="13" t="n">
        <f aca="false">($P$2-1)*(B200-1/$P$2)</f>
        <v>1.3390557617351</v>
      </c>
      <c r="H200" s="13" t="n">
        <f aca="false">E200*SQRT(B200/(1-B200))</f>
        <v>0.039700440935805</v>
      </c>
      <c r="I200" s="13" t="n">
        <f aca="false">ABS(D200)</f>
        <v>0.96540760607155</v>
      </c>
      <c r="J200" s="6" t="n">
        <f aca="false">IF(B200&gt;$P$4,1,0)</f>
        <v>0</v>
      </c>
      <c r="K200" s="6" t="n">
        <f aca="false">IF(F200&gt;$P$6,1,0)</f>
        <v>0</v>
      </c>
      <c r="L200" s="6" t="n">
        <f aca="false">IF(G200&gt;$P$9,1,0)</f>
        <v>0</v>
      </c>
      <c r="M200" s="6" t="n">
        <f aca="false">IF(ABS(H200)&gt;$P$8,1,0)</f>
        <v>0</v>
      </c>
    </row>
    <row r="201" customFormat="false" ht="15" hidden="false" customHeight="false" outlineLevel="0" collapsed="false">
      <c r="A201" s="0" t="n">
        <f aca="false">ROW()-1</f>
        <v>200</v>
      </c>
      <c r="B201" s="22" t="n">
        <f aca="false">SUMPRODUCT(MMULT('Analysis Data'!N201:U201,'Final Model'!$B$59:$I$66),'Analysis Data'!N201:U201)</f>
        <v>0.00168832798629141</v>
      </c>
      <c r="C201" s="15" t="n">
        <f aca="false">'Residual Diagnostics'!F201</f>
        <v>-41.1032057404734</v>
      </c>
      <c r="D201" s="13" t="n">
        <f aca="false">C201/('Final Model'!$B$21*SQRT(1-B201))</f>
        <v>-0.839001677753248</v>
      </c>
      <c r="E201" s="13" t="n">
        <f aca="false">D201*SQRT(('Final Model'!$B$24-1)/('Final Model'!$B$24-D201^2))</f>
        <v>-0.838911493162041</v>
      </c>
      <c r="F201" s="23" t="n">
        <f aca="false">D201^2/($P$3+1)*B201/(1-B201)</f>
        <v>0.000148808021439936</v>
      </c>
      <c r="G201" s="13" t="n">
        <f aca="false">($P$2-1)*(B201-1/$P$2)</f>
        <v>1.3390557617351</v>
      </c>
      <c r="H201" s="13" t="n">
        <f aca="false">E201*SQRT(B201/(1-B201))</f>
        <v>-0.0344993950444487</v>
      </c>
      <c r="I201" s="13" t="n">
        <f aca="false">ABS(D201)</f>
        <v>0.839001677753248</v>
      </c>
      <c r="J201" s="6" t="n">
        <f aca="false">IF(B201&gt;$P$4,1,0)</f>
        <v>0</v>
      </c>
      <c r="K201" s="6" t="n">
        <f aca="false">IF(F201&gt;$P$6,1,0)</f>
        <v>0</v>
      </c>
      <c r="L201" s="6" t="n">
        <f aca="false">IF(G201&gt;$P$9,1,0)</f>
        <v>0</v>
      </c>
      <c r="M201" s="6" t="n">
        <f aca="false">IF(ABS(H201)&gt;$P$8,1,0)</f>
        <v>0</v>
      </c>
    </row>
    <row r="202" customFormat="false" ht="15" hidden="false" customHeight="false" outlineLevel="0" collapsed="false">
      <c r="A202" s="0" t="n">
        <f aca="false">ROW()-1</f>
        <v>201</v>
      </c>
      <c r="B202" s="22" t="n">
        <f aca="false">SUMPRODUCT(MMULT('Analysis Data'!N202:U202,'Final Model'!$B$59:$I$66),'Analysis Data'!N202:U202)</f>
        <v>0.00208566736713166</v>
      </c>
      <c r="C202" s="15" t="n">
        <f aca="false">'Residual Diagnostics'!F202</f>
        <v>-92.8287484227798</v>
      </c>
      <c r="D202" s="13" t="n">
        <f aca="false">C202/('Final Model'!$B$21*SQRT(1-B202))</f>
        <v>-1.89520447734225</v>
      </c>
      <c r="E202" s="13" t="n">
        <f aca="false">D202*SQRT(('Final Model'!$B$24-1)/('Final Model'!$B$24-D202^2))</f>
        <v>-1.89699058334065</v>
      </c>
      <c r="F202" s="23" t="n">
        <f aca="false">D202^2/($P$3+1)*B202/(1-B202)</f>
        <v>0.000938369635937579</v>
      </c>
      <c r="G202" s="13" t="n">
        <f aca="false">($P$2-1)*(B202-1/$P$2)</f>
        <v>1.88937080419885</v>
      </c>
      <c r="H202" s="13" t="n">
        <f aca="false">E202*SQRT(B202/(1-B202))</f>
        <v>-0.0867243528950807</v>
      </c>
      <c r="I202" s="13" t="n">
        <f aca="false">ABS(D202)</f>
        <v>1.89520447734225</v>
      </c>
      <c r="J202" s="6" t="n">
        <f aca="false">IF(B202&gt;$P$4,1,0)</f>
        <v>0</v>
      </c>
      <c r="K202" s="6" t="n">
        <f aca="false">IF(F202&gt;$P$6,1,0)</f>
        <v>0</v>
      </c>
      <c r="L202" s="6" t="n">
        <f aca="false">IF(G202&gt;$P$9,1,0)</f>
        <v>0</v>
      </c>
      <c r="M202" s="6" t="n">
        <f aca="false">IF(ABS(H202)&gt;$P$8,1,0)</f>
        <v>0</v>
      </c>
    </row>
    <row r="203" customFormat="false" ht="15" hidden="false" customHeight="false" outlineLevel="0" collapsed="false">
      <c r="A203" s="0" t="n">
        <f aca="false">ROW()-1</f>
        <v>202</v>
      </c>
      <c r="B203" s="22" t="n">
        <f aca="false">SUMPRODUCT(MMULT('Analysis Data'!N203:U203,'Final Model'!$B$59:$I$66),'Analysis Data'!N203:U203)</f>
        <v>0.00208566736713166</v>
      </c>
      <c r="C203" s="15" t="n">
        <f aca="false">'Residual Diagnostics'!F203</f>
        <v>-55.5158187760584</v>
      </c>
      <c r="D203" s="13" t="n">
        <f aca="false">C203/('Final Model'!$B$21*SQRT(1-B203))</f>
        <v>-1.13341858093918</v>
      </c>
      <c r="E203" s="13" t="n">
        <f aca="false">D203*SQRT(('Final Model'!$B$24-1)/('Final Model'!$B$24-D203^2))</f>
        <v>-1.13353574276154</v>
      </c>
      <c r="F203" s="23" t="n">
        <f aca="false">D203^2/($P$3+1)*B203/(1-B203)</f>
        <v>0.000335615843884403</v>
      </c>
      <c r="G203" s="13" t="n">
        <f aca="false">($P$2-1)*(B203-1/$P$2)</f>
        <v>1.88937080419885</v>
      </c>
      <c r="H203" s="13" t="n">
        <f aca="false">E203*SQRT(B203/(1-B203))</f>
        <v>-0.0518216350875716</v>
      </c>
      <c r="I203" s="13" t="n">
        <f aca="false">ABS(D203)</f>
        <v>1.13341858093918</v>
      </c>
      <c r="J203" s="6" t="n">
        <f aca="false">IF(B203&gt;$P$4,1,0)</f>
        <v>0</v>
      </c>
      <c r="K203" s="6" t="n">
        <f aca="false">IF(F203&gt;$P$6,1,0)</f>
        <v>0</v>
      </c>
      <c r="L203" s="6" t="n">
        <f aca="false">IF(G203&gt;$P$9,1,0)</f>
        <v>0</v>
      </c>
      <c r="M203" s="6" t="n">
        <f aca="false">IF(ABS(H203)&gt;$P$8,1,0)</f>
        <v>0</v>
      </c>
    </row>
    <row r="204" customFormat="false" ht="15" hidden="false" customHeight="false" outlineLevel="0" collapsed="false">
      <c r="A204" s="0" t="n">
        <f aca="false">ROW()-1</f>
        <v>203</v>
      </c>
      <c r="B204" s="22" t="n">
        <f aca="false">SUMPRODUCT(MMULT('Analysis Data'!N204:U204,'Final Model'!$B$59:$I$66),'Analysis Data'!N204:U204)</f>
        <v>0.00208566736713166</v>
      </c>
      <c r="C204" s="15" t="n">
        <f aca="false">'Residual Diagnostics'!F204</f>
        <v>19.8077373535197</v>
      </c>
      <c r="D204" s="13" t="n">
        <f aca="false">C204/('Final Model'!$B$21*SQRT(1-B204))</f>
        <v>0.404397486298521</v>
      </c>
      <c r="E204" s="13" t="n">
        <f aca="false">D204*SQRT(('Final Model'!$B$24-1)/('Final Model'!$B$24-D204^2))</f>
        <v>0.404274716011293</v>
      </c>
      <c r="F204" s="23" t="n">
        <f aca="false">D204^2/($P$3+1)*B204/(1-B204)</f>
        <v>4.27246677045155E-005</v>
      </c>
      <c r="G204" s="13" t="n">
        <f aca="false">($P$2-1)*(B204-1/$P$2)</f>
        <v>1.88937080419885</v>
      </c>
      <c r="H204" s="13" t="n">
        <f aca="false">E204*SQRT(B204/(1-B204))</f>
        <v>0.0184821492767663</v>
      </c>
      <c r="I204" s="13" t="n">
        <f aca="false">ABS(D204)</f>
        <v>0.404397486298521</v>
      </c>
      <c r="J204" s="6" t="n">
        <f aca="false">IF(B204&gt;$P$4,1,0)</f>
        <v>0</v>
      </c>
      <c r="K204" s="6" t="n">
        <f aca="false">IF(F204&gt;$P$6,1,0)</f>
        <v>0</v>
      </c>
      <c r="L204" s="6" t="n">
        <f aca="false">IF(G204&gt;$P$9,1,0)</f>
        <v>0</v>
      </c>
      <c r="M204" s="6" t="n">
        <f aca="false">IF(ABS(H204)&gt;$P$8,1,0)</f>
        <v>0</v>
      </c>
    </row>
    <row r="205" customFormat="false" ht="15" hidden="false" customHeight="false" outlineLevel="0" collapsed="false">
      <c r="A205" s="0" t="n">
        <f aca="false">ROW()-1</f>
        <v>204</v>
      </c>
      <c r="B205" s="22" t="n">
        <f aca="false">SUMPRODUCT(MMULT('Analysis Data'!N205:U205,'Final Model'!$B$59:$I$66),'Analysis Data'!N205:U205)</f>
        <v>0.0146866528115663</v>
      </c>
      <c r="C205" s="15" t="n">
        <f aca="false">'Residual Diagnostics'!F205</f>
        <v>55.2574135621103</v>
      </c>
      <c r="D205" s="13" t="n">
        <f aca="false">C205/('Final Model'!$B$21*SQRT(1-B205))</f>
        <v>1.13533382995585</v>
      </c>
      <c r="E205" s="13" t="n">
        <f aca="false">D205*SQRT(('Final Model'!$B$24-1)/('Final Model'!$B$24-D205^2))</f>
        <v>1.13545298163302</v>
      </c>
      <c r="F205" s="23" t="n">
        <f aca="false">D205^2/($P$3+1)*B205/(1-B205)</f>
        <v>0.00240162741962906</v>
      </c>
      <c r="G205" s="13" t="n">
        <f aca="false">($P$2-1)*(B205-1/$P$2)</f>
        <v>19.3417356447408</v>
      </c>
      <c r="H205" s="13" t="n">
        <f aca="false">E205*SQRT(B205/(1-B205))</f>
        <v>0.138625583234042</v>
      </c>
      <c r="I205" s="13" t="n">
        <f aca="false">ABS(D205)</f>
        <v>1.13533382995585</v>
      </c>
      <c r="J205" s="6" t="n">
        <f aca="false">IF(B205&gt;$P$4,1,0)</f>
        <v>1</v>
      </c>
      <c r="K205" s="6" t="n">
        <f aca="false">IF(F205&gt;$P$6,1,0)</f>
        <v>0</v>
      </c>
      <c r="L205" s="6" t="n">
        <f aca="false">IF(G205&gt;$P$9,1,0)</f>
        <v>1</v>
      </c>
      <c r="M205" s="6" t="n">
        <f aca="false">IF(ABS(H205)&gt;$P$8,1,0)</f>
        <v>0</v>
      </c>
    </row>
    <row r="206" customFormat="false" ht="15" hidden="false" customHeight="false" outlineLevel="0" collapsed="false">
      <c r="A206" s="0" t="n">
        <f aca="false">ROW()-1</f>
        <v>205</v>
      </c>
      <c r="B206" s="22" t="n">
        <f aca="false">SUMPRODUCT(MMULT('Analysis Data'!N206:U206,'Final Model'!$B$59:$I$66),'Analysis Data'!N206:U206)</f>
        <v>0.00688500671888133</v>
      </c>
      <c r="C206" s="15" t="n">
        <f aca="false">'Residual Diagnostics'!F206</f>
        <v>-77.1221373608083</v>
      </c>
      <c r="D206" s="13" t="n">
        <f aca="false">C206/('Final Model'!$B$21*SQRT(1-B206))</f>
        <v>-1.57833612433965</v>
      </c>
      <c r="E206" s="13" t="n">
        <f aca="false">D206*SQRT(('Final Model'!$B$24-1)/('Final Model'!$B$24-D206^2))</f>
        <v>-1.57919140432818</v>
      </c>
      <c r="F206" s="23" t="n">
        <f aca="false">D206^2/($P$3+1)*B206/(1-B206)</f>
        <v>0.00215880709151928</v>
      </c>
      <c r="G206" s="13" t="n">
        <f aca="false">($P$2-1)*(B206-1/$P$2)</f>
        <v>8.53645580637214</v>
      </c>
      <c r="H206" s="13" t="n">
        <f aca="false">E206*SQRT(B206/(1-B206))</f>
        <v>-0.131488322975767</v>
      </c>
      <c r="I206" s="13" t="n">
        <f aca="false">ABS(D206)</f>
        <v>1.57833612433965</v>
      </c>
      <c r="J206" s="6" t="n">
        <f aca="false">IF(B206&gt;$P$4,1,0)</f>
        <v>0</v>
      </c>
      <c r="K206" s="6" t="n">
        <f aca="false">IF(F206&gt;$P$6,1,0)</f>
        <v>0</v>
      </c>
      <c r="L206" s="6" t="n">
        <f aca="false">IF(G206&gt;$P$9,1,0)</f>
        <v>0</v>
      </c>
      <c r="M206" s="6" t="n">
        <f aca="false">IF(ABS(H206)&gt;$P$8,1,0)</f>
        <v>0</v>
      </c>
    </row>
    <row r="207" customFormat="false" ht="15" hidden="false" customHeight="false" outlineLevel="0" collapsed="false">
      <c r="A207" s="0" t="n">
        <f aca="false">ROW()-1</f>
        <v>206</v>
      </c>
      <c r="B207" s="22" t="n">
        <f aca="false">SUMPRODUCT(MMULT('Analysis Data'!N207:U207,'Final Model'!$B$59:$I$66),'Analysis Data'!N207:U207)</f>
        <v>0.00688500671888133</v>
      </c>
      <c r="C207" s="15" t="n">
        <f aca="false">'Residual Diagnostics'!F207</f>
        <v>26.9896574360794</v>
      </c>
      <c r="D207" s="13" t="n">
        <f aca="false">C207/('Final Model'!$B$21*SQRT(1-B207))</f>
        <v>0.552354392301427</v>
      </c>
      <c r="E207" s="13" t="n">
        <f aca="false">D207*SQRT(('Final Model'!$B$24-1)/('Final Model'!$B$24-D207^2))</f>
        <v>0.552215071892375</v>
      </c>
      <c r="F207" s="23" t="n">
        <f aca="false">D207^2/($P$3+1)*B207/(1-B207)</f>
        <v>0.000264393312819248</v>
      </c>
      <c r="G207" s="13" t="n">
        <f aca="false">($P$2-1)*(B207-1/$P$2)</f>
        <v>8.53645580637214</v>
      </c>
      <c r="H207" s="13" t="n">
        <f aca="false">E207*SQRT(B207/(1-B207))</f>
        <v>0.045979121673323</v>
      </c>
      <c r="I207" s="13" t="n">
        <f aca="false">ABS(D207)</f>
        <v>0.552354392301427</v>
      </c>
      <c r="J207" s="6" t="n">
        <f aca="false">IF(B207&gt;$P$4,1,0)</f>
        <v>0</v>
      </c>
      <c r="K207" s="6" t="n">
        <f aca="false">IF(F207&gt;$P$6,1,0)</f>
        <v>0</v>
      </c>
      <c r="L207" s="6" t="n">
        <f aca="false">IF(G207&gt;$P$9,1,0)</f>
        <v>0</v>
      </c>
      <c r="M207" s="6" t="n">
        <f aca="false">IF(ABS(H207)&gt;$P$8,1,0)</f>
        <v>0</v>
      </c>
    </row>
    <row r="208" customFormat="false" ht="15" hidden="false" customHeight="false" outlineLevel="0" collapsed="false">
      <c r="A208" s="0" t="n">
        <f aca="false">ROW()-1</f>
        <v>207</v>
      </c>
      <c r="B208" s="22" t="n">
        <f aca="false">SUMPRODUCT(MMULT('Analysis Data'!N208:U208,'Final Model'!$B$59:$I$66),'Analysis Data'!N208:U208)</f>
        <v>0.00688500671888133</v>
      </c>
      <c r="C208" s="15" t="n">
        <f aca="false">'Residual Diagnostics'!F208</f>
        <v>9.5537678925877</v>
      </c>
      <c r="D208" s="13" t="n">
        <f aca="false">C208/('Final Model'!$B$21*SQRT(1-B208))</f>
        <v>0.195521772404745</v>
      </c>
      <c r="E208" s="13" t="n">
        <f aca="false">D208*SQRT(('Final Model'!$B$24-1)/('Final Model'!$B$24-D208^2))</f>
        <v>0.195453526664965</v>
      </c>
      <c r="F208" s="23" t="n">
        <f aca="false">D208^2/($P$3+1)*B208/(1-B208)</f>
        <v>3.31287533700261E-005</v>
      </c>
      <c r="G208" s="13" t="n">
        <f aca="false">($P$2-1)*(B208-1/$P$2)</f>
        <v>8.53645580637214</v>
      </c>
      <c r="H208" s="13" t="n">
        <f aca="false">E208*SQRT(B208/(1-B208))</f>
        <v>0.016274060490982</v>
      </c>
      <c r="I208" s="13" t="n">
        <f aca="false">ABS(D208)</f>
        <v>0.195521772404745</v>
      </c>
      <c r="J208" s="6" t="n">
        <f aca="false">IF(B208&gt;$P$4,1,0)</f>
        <v>0</v>
      </c>
      <c r="K208" s="6" t="n">
        <f aca="false">IF(F208&gt;$P$6,1,0)</f>
        <v>0</v>
      </c>
      <c r="L208" s="6" t="n">
        <f aca="false">IF(G208&gt;$P$9,1,0)</f>
        <v>0</v>
      </c>
      <c r="M208" s="6" t="n">
        <f aca="false">IF(ABS(H208)&gt;$P$8,1,0)</f>
        <v>0</v>
      </c>
    </row>
    <row r="209" customFormat="false" ht="15" hidden="false" customHeight="false" outlineLevel="0" collapsed="false">
      <c r="A209" s="0" t="n">
        <f aca="false">ROW()-1</f>
        <v>208</v>
      </c>
      <c r="B209" s="22" t="n">
        <f aca="false">SUMPRODUCT(MMULT('Analysis Data'!N209:U209,'Final Model'!$B$59:$I$66),'Analysis Data'!N209:U209)</f>
        <v>0.0121167329059979</v>
      </c>
      <c r="C209" s="15" t="n">
        <f aca="false">'Residual Diagnostics'!F209</f>
        <v>27.8080957016886</v>
      </c>
      <c r="D209" s="13" t="n">
        <f aca="false">C209/('Final Model'!$B$21*SQRT(1-B209))</f>
        <v>0.570609034397616</v>
      </c>
      <c r="E209" s="13" t="n">
        <f aca="false">D209*SQRT(('Final Model'!$B$24-1)/('Final Model'!$B$24-D209^2))</f>
        <v>0.570469353759351</v>
      </c>
      <c r="F209" s="23" t="n">
        <f aca="false">D209^2/($P$3+1)*B209/(1-B209)</f>
        <v>0.000499191527109999</v>
      </c>
      <c r="G209" s="13" t="n">
        <f aca="false">($P$2-1)*(B209-1/$P$2)</f>
        <v>15.7823965755285</v>
      </c>
      <c r="H209" s="13" t="n">
        <f aca="false">E209*SQRT(B209/(1-B209))</f>
        <v>0.063178930705952</v>
      </c>
      <c r="I209" s="13" t="n">
        <f aca="false">ABS(D209)</f>
        <v>0.570609034397616</v>
      </c>
      <c r="J209" s="6" t="n">
        <f aca="false">IF(B209&gt;$P$4,1,0)</f>
        <v>1</v>
      </c>
      <c r="K209" s="6" t="n">
        <f aca="false">IF(F209&gt;$P$6,1,0)</f>
        <v>0</v>
      </c>
      <c r="L209" s="6" t="n">
        <f aca="false">IF(G209&gt;$P$9,1,0)</f>
        <v>1</v>
      </c>
      <c r="M209" s="6" t="n">
        <f aca="false">IF(ABS(H209)&gt;$P$8,1,0)</f>
        <v>0</v>
      </c>
    </row>
    <row r="210" customFormat="false" ht="15" hidden="false" customHeight="false" outlineLevel="0" collapsed="false">
      <c r="A210" s="0" t="n">
        <f aca="false">ROW()-1</f>
        <v>209</v>
      </c>
      <c r="B210" s="22" t="n">
        <f aca="false">SUMPRODUCT(MMULT('Analysis Data'!N210:U210,'Final Model'!$B$59:$I$66),'Analysis Data'!N210:U210)</f>
        <v>0.0121167329059979</v>
      </c>
      <c r="C210" s="15" t="n">
        <f aca="false">'Residual Diagnostics'!F210</f>
        <v>-22.2232043701091</v>
      </c>
      <c r="D210" s="13" t="n">
        <f aca="false">C210/('Final Model'!$B$21*SQRT(1-B210))</f>
        <v>-0.456009693108142</v>
      </c>
      <c r="E210" s="13" t="n">
        <f aca="false">D210*SQRT(('Final Model'!$B$24-1)/('Final Model'!$B$24-D210^2))</f>
        <v>-0.455878600483262</v>
      </c>
      <c r="F210" s="23" t="n">
        <f aca="false">D210^2/($P$3+1)*B210/(1-B210)</f>
        <v>0.000318814501155534</v>
      </c>
      <c r="G210" s="13" t="n">
        <f aca="false">($P$2-1)*(B210-1/$P$2)</f>
        <v>15.7823965755285</v>
      </c>
      <c r="H210" s="13" t="n">
        <f aca="false">E210*SQRT(B210/(1-B210))</f>
        <v>-0.0504881153044521</v>
      </c>
      <c r="I210" s="13" t="n">
        <f aca="false">ABS(D210)</f>
        <v>0.456009693108142</v>
      </c>
      <c r="J210" s="6" t="n">
        <f aca="false">IF(B210&gt;$P$4,1,0)</f>
        <v>1</v>
      </c>
      <c r="K210" s="6" t="n">
        <f aca="false">IF(F210&gt;$P$6,1,0)</f>
        <v>0</v>
      </c>
      <c r="L210" s="6" t="n">
        <f aca="false">IF(G210&gt;$P$9,1,0)</f>
        <v>1</v>
      </c>
      <c r="M210" s="6" t="n">
        <f aca="false">IF(ABS(H210)&gt;$P$8,1,0)</f>
        <v>0</v>
      </c>
    </row>
    <row r="211" customFormat="false" ht="15" hidden="false" customHeight="false" outlineLevel="0" collapsed="false">
      <c r="A211" s="0" t="n">
        <f aca="false">ROW()-1</f>
        <v>210</v>
      </c>
      <c r="B211" s="22" t="n">
        <f aca="false">SUMPRODUCT(MMULT('Analysis Data'!N211:U211,'Final Model'!$B$59:$I$66),'Analysis Data'!N211:U211)</f>
        <v>0.00168832798629141</v>
      </c>
      <c r="C211" s="15" t="n">
        <f aca="false">'Residual Diagnostics'!F211</f>
        <v>-76.9094221581244</v>
      </c>
      <c r="D211" s="13" t="n">
        <f aca="false">C211/('Final Model'!$B$21*SQRT(1-B211))</f>
        <v>-1.56988081740205</v>
      </c>
      <c r="E211" s="13" t="n">
        <f aca="false">D211*SQRT(('Final Model'!$B$24-1)/('Final Model'!$B$24-D211^2))</f>
        <v>-1.57071631722385</v>
      </c>
      <c r="F211" s="23" t="n">
        <f aca="false">D211^2/($P$3+1)*B211/(1-B211)</f>
        <v>0.000520995592532177</v>
      </c>
      <c r="G211" s="13" t="n">
        <f aca="false">($P$2-1)*(B211-1/$P$2)</f>
        <v>1.3390557617351</v>
      </c>
      <c r="H211" s="13" t="n">
        <f aca="false">E211*SQRT(B211/(1-B211))</f>
        <v>-0.0645941355820719</v>
      </c>
      <c r="I211" s="13" t="n">
        <f aca="false">ABS(D211)</f>
        <v>1.56988081740205</v>
      </c>
      <c r="J211" s="6" t="n">
        <f aca="false">IF(B211&gt;$P$4,1,0)</f>
        <v>0</v>
      </c>
      <c r="K211" s="6" t="n">
        <f aca="false">IF(F211&gt;$P$6,1,0)</f>
        <v>0</v>
      </c>
      <c r="L211" s="6" t="n">
        <f aca="false">IF(G211&gt;$P$9,1,0)</f>
        <v>0</v>
      </c>
      <c r="M211" s="6" t="n">
        <f aca="false">IF(ABS(H211)&gt;$P$8,1,0)</f>
        <v>0</v>
      </c>
    </row>
    <row r="212" customFormat="false" ht="15" hidden="false" customHeight="false" outlineLevel="0" collapsed="false">
      <c r="A212" s="0" t="n">
        <f aca="false">ROW()-1</f>
        <v>211</v>
      </c>
      <c r="B212" s="22" t="n">
        <f aca="false">SUMPRODUCT(MMULT('Analysis Data'!N212:U212,'Final Model'!$B$59:$I$66),'Analysis Data'!N212:U212)</f>
        <v>0.00230529624841536</v>
      </c>
      <c r="C212" s="15" t="n">
        <f aca="false">'Residual Diagnostics'!F212</f>
        <v>69.0727799792633</v>
      </c>
      <c r="D212" s="13" t="n">
        <f aca="false">C212/('Final Model'!$B$21*SQRT(1-B212))</f>
        <v>1.41035457237801</v>
      </c>
      <c r="E212" s="13" t="n">
        <f aca="false">D212*SQRT(('Final Model'!$B$24-1)/('Final Model'!$B$24-D212^2))</f>
        <v>1.41086137473744</v>
      </c>
      <c r="F212" s="23" t="n">
        <f aca="false">D212^2/($P$3+1)*B212/(1-B212)</f>
        <v>0.000574507511690312</v>
      </c>
      <c r="G212" s="13" t="n">
        <f aca="false">($P$2-1)*(B212-1/$P$2)</f>
        <v>2.19355680477678</v>
      </c>
      <c r="H212" s="13" t="n">
        <f aca="false">E212*SQRT(B212/(1-B212))</f>
        <v>0.0678186096851483</v>
      </c>
      <c r="I212" s="13" t="n">
        <f aca="false">ABS(D212)</f>
        <v>1.41035457237801</v>
      </c>
      <c r="J212" s="6" t="n">
        <f aca="false">IF(B212&gt;$P$4,1,0)</f>
        <v>0</v>
      </c>
      <c r="K212" s="6" t="n">
        <f aca="false">IF(F212&gt;$P$6,1,0)</f>
        <v>0</v>
      </c>
      <c r="L212" s="6" t="n">
        <f aca="false">IF(G212&gt;$P$9,1,0)</f>
        <v>0</v>
      </c>
      <c r="M212" s="6" t="n">
        <f aca="false">IF(ABS(H212)&gt;$P$8,1,0)</f>
        <v>0</v>
      </c>
    </row>
    <row r="213" customFormat="false" ht="15" hidden="false" customHeight="false" outlineLevel="0" collapsed="false">
      <c r="A213" s="0" t="n">
        <f aca="false">ROW()-1</f>
        <v>212</v>
      </c>
      <c r="B213" s="22" t="n">
        <f aca="false">SUMPRODUCT(MMULT('Analysis Data'!N213:U213,'Final Model'!$B$59:$I$66),'Analysis Data'!N213:U213)</f>
        <v>0.00307917104651043</v>
      </c>
      <c r="C213" s="15" t="n">
        <f aca="false">'Residual Diagnostics'!F213</f>
        <v>-27.0433264046484</v>
      </c>
      <c r="D213" s="13" t="n">
        <f aca="false">C213/('Final Model'!$B$21*SQRT(1-B213))</f>
        <v>-0.552395311508697</v>
      </c>
      <c r="E213" s="13" t="n">
        <f aca="false">D213*SQRT(('Final Model'!$B$24-1)/('Final Model'!$B$24-D213^2))</f>
        <v>-0.552255989839013</v>
      </c>
      <c r="F213" s="23" t="n">
        <f aca="false">D213^2/($P$3+1)*B213/(1-B213)</f>
        <v>0.000117810262899974</v>
      </c>
      <c r="G213" s="13" t="n">
        <f aca="false">($P$2-1)*(B213-1/$P$2)</f>
        <v>3.26537340013844</v>
      </c>
      <c r="H213" s="13" t="n">
        <f aca="false">E213*SQRT(B213/(1-B213))</f>
        <v>-0.030692128458958</v>
      </c>
      <c r="I213" s="13" t="n">
        <f aca="false">ABS(D213)</f>
        <v>0.552395311508697</v>
      </c>
      <c r="J213" s="6" t="n">
        <f aca="false">IF(B213&gt;$P$4,1,0)</f>
        <v>0</v>
      </c>
      <c r="K213" s="6" t="n">
        <f aca="false">IF(F213&gt;$P$6,1,0)</f>
        <v>0</v>
      </c>
      <c r="L213" s="6" t="n">
        <f aca="false">IF(G213&gt;$P$9,1,0)</f>
        <v>0</v>
      </c>
      <c r="M213" s="6" t="n">
        <f aca="false">IF(ABS(H213)&gt;$P$8,1,0)</f>
        <v>0</v>
      </c>
    </row>
    <row r="214" customFormat="false" ht="15" hidden="false" customHeight="false" outlineLevel="0" collapsed="false">
      <c r="A214" s="0" t="n">
        <f aca="false">ROW()-1</f>
        <v>213</v>
      </c>
      <c r="B214" s="22" t="n">
        <f aca="false">SUMPRODUCT(MMULT('Analysis Data'!N214:U214,'Final Model'!$B$59:$I$66),'Analysis Data'!N214:U214)</f>
        <v>0.00276413402245908</v>
      </c>
      <c r="C214" s="15" t="n">
        <f aca="false">'Residual Diagnostics'!F214</f>
        <v>34.2893673331919</v>
      </c>
      <c r="D214" s="13" t="n">
        <f aca="false">C214/('Final Model'!$B$21*SQRT(1-B214))</f>
        <v>0.700294533174956</v>
      </c>
      <c r="E214" s="13" t="n">
        <f aca="false">D214*SQRT(('Final Model'!$B$24-1)/('Final Model'!$B$24-D214^2))</f>
        <v>0.700164989830822</v>
      </c>
      <c r="F214" s="23" t="n">
        <f aca="false">D214^2/($P$3+1)*B214/(1-B214)</f>
        <v>0.000169915380337542</v>
      </c>
      <c r="G214" s="13" t="n">
        <f aca="false">($P$2-1)*(B214-1/$P$2)</f>
        <v>2.82904712182732</v>
      </c>
      <c r="H214" s="13" t="n">
        <f aca="false">E214*SQRT(B214/(1-B214))</f>
        <v>0.0368621782177065</v>
      </c>
      <c r="I214" s="13" t="n">
        <f aca="false">ABS(D214)</f>
        <v>0.700294533174956</v>
      </c>
      <c r="J214" s="6" t="n">
        <f aca="false">IF(B214&gt;$P$4,1,0)</f>
        <v>0</v>
      </c>
      <c r="K214" s="6" t="n">
        <f aca="false">IF(F214&gt;$P$6,1,0)</f>
        <v>0</v>
      </c>
      <c r="L214" s="6" t="n">
        <f aca="false">IF(G214&gt;$P$9,1,0)</f>
        <v>0</v>
      </c>
      <c r="M214" s="6" t="n">
        <f aca="false">IF(ABS(H214)&gt;$P$8,1,0)</f>
        <v>0</v>
      </c>
    </row>
    <row r="215" customFormat="false" ht="15" hidden="false" customHeight="false" outlineLevel="0" collapsed="false">
      <c r="A215" s="0" t="n">
        <f aca="false">ROW()-1</f>
        <v>214</v>
      </c>
      <c r="B215" s="22" t="n">
        <f aca="false">SUMPRODUCT(MMULT('Analysis Data'!N215:U215,'Final Model'!$B$59:$I$66),'Analysis Data'!N215:U215)</f>
        <v>0.00307917104651043</v>
      </c>
      <c r="C215" s="15" t="n">
        <f aca="false">'Residual Diagnostics'!F215</f>
        <v>-51.5346099201067</v>
      </c>
      <c r="D215" s="13" t="n">
        <f aca="false">C215/('Final Model'!$B$21*SQRT(1-B215))</f>
        <v>-1.05266180921454</v>
      </c>
      <c r="E215" s="13" t="n">
        <f aca="false">D215*SQRT(('Final Model'!$B$24-1)/('Final Model'!$B$24-D215^2))</f>
        <v>-1.05270312953481</v>
      </c>
      <c r="F215" s="23" t="n">
        <f aca="false">D215^2/($P$3+1)*B215/(1-B215)</f>
        <v>0.000427819810840103</v>
      </c>
      <c r="G215" s="13" t="n">
        <f aca="false">($P$2-1)*(B215-1/$P$2)</f>
        <v>3.26537340013844</v>
      </c>
      <c r="H215" s="13" t="n">
        <f aca="false">E215*SQRT(B215/(1-B215))</f>
        <v>-0.0585049329935706</v>
      </c>
      <c r="I215" s="13" t="n">
        <f aca="false">ABS(D215)</f>
        <v>1.05266180921454</v>
      </c>
      <c r="J215" s="6" t="n">
        <f aca="false">IF(B215&gt;$P$4,1,0)</f>
        <v>0</v>
      </c>
      <c r="K215" s="6" t="n">
        <f aca="false">IF(F215&gt;$P$6,1,0)</f>
        <v>0</v>
      </c>
      <c r="L215" s="6" t="n">
        <f aca="false">IF(G215&gt;$P$9,1,0)</f>
        <v>0</v>
      </c>
      <c r="M215" s="6" t="n">
        <f aca="false">IF(ABS(H215)&gt;$P$8,1,0)</f>
        <v>0</v>
      </c>
    </row>
    <row r="216" customFormat="false" ht="15" hidden="false" customHeight="false" outlineLevel="0" collapsed="false">
      <c r="A216" s="0" t="n">
        <f aca="false">ROW()-1</f>
        <v>215</v>
      </c>
      <c r="B216" s="22" t="n">
        <f aca="false">SUMPRODUCT(MMULT('Analysis Data'!N216:U216,'Final Model'!$B$59:$I$66),'Analysis Data'!N216:U216)</f>
        <v>0.00204707809940915</v>
      </c>
      <c r="C216" s="15" t="n">
        <f aca="false">'Residual Diagnostics'!F216</f>
        <v>15.0486798236591</v>
      </c>
      <c r="D216" s="13" t="n">
        <f aca="false">C216/('Final Model'!$B$21*SQRT(1-B216))</f>
        <v>0.307229973915363</v>
      </c>
      <c r="E216" s="13" t="n">
        <f aca="false">D216*SQRT(('Final Model'!$B$24-1)/('Final Model'!$B$24-D216^2))</f>
        <v>0.307128995957723</v>
      </c>
      <c r="F216" s="23" t="n">
        <f aca="false">D216^2/($P$3+1)*B216/(1-B216)</f>
        <v>2.42025730122058E-005</v>
      </c>
      <c r="G216" s="13" t="n">
        <f aca="false">($P$2-1)*(B216-1/$P$2)</f>
        <v>1.83592466840317</v>
      </c>
      <c r="H216" s="13" t="n">
        <f aca="false">E216*SQRT(B216/(1-B216))</f>
        <v>0.0139101879785677</v>
      </c>
      <c r="I216" s="13" t="n">
        <f aca="false">ABS(D216)</f>
        <v>0.307229973915363</v>
      </c>
      <c r="J216" s="6" t="n">
        <f aca="false">IF(B216&gt;$P$4,1,0)</f>
        <v>0</v>
      </c>
      <c r="K216" s="6" t="n">
        <f aca="false">IF(F216&gt;$P$6,1,0)</f>
        <v>0</v>
      </c>
      <c r="L216" s="6" t="n">
        <f aca="false">IF(G216&gt;$P$9,1,0)</f>
        <v>0</v>
      </c>
      <c r="M216" s="6" t="n">
        <f aca="false">IF(ABS(H216)&gt;$P$8,1,0)</f>
        <v>0</v>
      </c>
    </row>
    <row r="217" customFormat="false" ht="15" hidden="false" customHeight="false" outlineLevel="0" collapsed="false">
      <c r="A217" s="0" t="n">
        <f aca="false">ROW()-1</f>
        <v>216</v>
      </c>
      <c r="B217" s="22" t="n">
        <f aca="false">SUMPRODUCT(MMULT('Analysis Data'!N217:U217,'Final Model'!$B$59:$I$66),'Analysis Data'!N217:U217)</f>
        <v>0.00230529624841536</v>
      </c>
      <c r="C217" s="15" t="n">
        <f aca="false">'Residual Diagnostics'!F217</f>
        <v>73.8434280150653</v>
      </c>
      <c r="D217" s="13" t="n">
        <f aca="false">C217/('Final Model'!$B$21*SQRT(1-B217))</f>
        <v>1.50776349775382</v>
      </c>
      <c r="E217" s="13" t="n">
        <f aca="false">D217*SQRT(('Final Model'!$B$24-1)/('Final Model'!$B$24-D217^2))</f>
        <v>1.50846111735365</v>
      </c>
      <c r="F217" s="23" t="n">
        <f aca="false">D217^2/($P$3+1)*B217/(1-B217)</f>
        <v>0.000656607047544992</v>
      </c>
      <c r="G217" s="13" t="n">
        <f aca="false">($P$2-1)*(B217-1/$P$2)</f>
        <v>2.19355680477678</v>
      </c>
      <c r="H217" s="13" t="n">
        <f aca="false">E217*SQRT(B217/(1-B217))</f>
        <v>0.0725101257818956</v>
      </c>
      <c r="I217" s="13" t="n">
        <f aca="false">ABS(D217)</f>
        <v>1.50776349775382</v>
      </c>
      <c r="J217" s="6" t="n">
        <f aca="false">IF(B217&gt;$P$4,1,0)</f>
        <v>0</v>
      </c>
      <c r="K217" s="6" t="n">
        <f aca="false">IF(F217&gt;$P$6,1,0)</f>
        <v>0</v>
      </c>
      <c r="L217" s="6" t="n">
        <f aca="false">IF(G217&gt;$P$9,1,0)</f>
        <v>0</v>
      </c>
      <c r="M217" s="6" t="n">
        <f aca="false">IF(ABS(H217)&gt;$P$8,1,0)</f>
        <v>0</v>
      </c>
    </row>
    <row r="218" customFormat="false" ht="15" hidden="false" customHeight="false" outlineLevel="0" collapsed="false">
      <c r="A218" s="0" t="n">
        <f aca="false">ROW()-1</f>
        <v>217</v>
      </c>
      <c r="B218" s="22" t="n">
        <f aca="false">SUMPRODUCT(MMULT('Analysis Data'!N218:U218,'Final Model'!$B$59:$I$66),'Analysis Data'!N218:U218)</f>
        <v>0.00230529624841536</v>
      </c>
      <c r="C218" s="15" t="n">
        <f aca="false">'Residual Diagnostics'!F218</f>
        <v>-35.4333207991554</v>
      </c>
      <c r="D218" s="13" t="n">
        <f aca="false">C218/('Final Model'!$B$21*SQRT(1-B218))</f>
        <v>-0.723491164227479</v>
      </c>
      <c r="E218" s="13" t="n">
        <f aca="false">D218*SQRT(('Final Model'!$B$24-1)/('Final Model'!$B$24-D218^2))</f>
        <v>-0.723366001603032</v>
      </c>
      <c r="F218" s="23" t="n">
        <f aca="false">D218^2/($P$3+1)*B218/(1-B218)</f>
        <v>0.000151183902969408</v>
      </c>
      <c r="G218" s="13" t="n">
        <f aca="false">($P$2-1)*(B218-1/$P$2)</f>
        <v>2.19355680477678</v>
      </c>
      <c r="H218" s="13" t="n">
        <f aca="false">E218*SQRT(B218/(1-B218))</f>
        <v>-0.0347714363725862</v>
      </c>
      <c r="I218" s="13" t="n">
        <f aca="false">ABS(D218)</f>
        <v>0.723491164227479</v>
      </c>
      <c r="J218" s="6" t="n">
        <f aca="false">IF(B218&gt;$P$4,1,0)</f>
        <v>0</v>
      </c>
      <c r="K218" s="6" t="n">
        <f aca="false">IF(F218&gt;$P$6,1,0)</f>
        <v>0</v>
      </c>
      <c r="L218" s="6" t="n">
        <f aca="false">IF(G218&gt;$P$9,1,0)</f>
        <v>0</v>
      </c>
      <c r="M218" s="6" t="n">
        <f aca="false">IF(ABS(H218)&gt;$P$8,1,0)</f>
        <v>0</v>
      </c>
    </row>
    <row r="219" customFormat="false" ht="15" hidden="false" customHeight="false" outlineLevel="0" collapsed="false">
      <c r="A219" s="0" t="n">
        <f aca="false">ROW()-1</f>
        <v>218</v>
      </c>
      <c r="B219" s="22" t="n">
        <f aca="false">SUMPRODUCT(MMULT('Analysis Data'!N219:U219,'Final Model'!$B$59:$I$66),'Analysis Data'!N219:U219)</f>
        <v>0.00230529624841536</v>
      </c>
      <c r="C219" s="15" t="n">
        <f aca="false">'Residual Diagnostics'!F219</f>
        <v>-27.4961290630177</v>
      </c>
      <c r="D219" s="13" t="n">
        <f aca="false">C219/('Final Model'!$B$21*SQRT(1-B219))</f>
        <v>-0.561426532396193</v>
      </c>
      <c r="E219" s="13" t="n">
        <f aca="false">D219*SQRT(('Final Model'!$B$24-1)/('Final Model'!$B$24-D219^2))</f>
        <v>-0.561286982037158</v>
      </c>
      <c r="F219" s="23" t="n">
        <f aca="false">D219^2/($P$3+1)*B219/(1-B219)</f>
        <v>9.10384711614779E-005</v>
      </c>
      <c r="G219" s="13" t="n">
        <f aca="false">($P$2-1)*(B219-1/$P$2)</f>
        <v>2.19355680477678</v>
      </c>
      <c r="H219" s="13" t="n">
        <f aca="false">E219*SQRT(B219/(1-B219))</f>
        <v>-0.0269804698305082</v>
      </c>
      <c r="I219" s="13" t="n">
        <f aca="false">ABS(D219)</f>
        <v>0.561426532396193</v>
      </c>
      <c r="J219" s="6" t="n">
        <f aca="false">IF(B219&gt;$P$4,1,0)</f>
        <v>0</v>
      </c>
      <c r="K219" s="6" t="n">
        <f aca="false">IF(F219&gt;$P$6,1,0)</f>
        <v>0</v>
      </c>
      <c r="L219" s="6" t="n">
        <f aca="false">IF(G219&gt;$P$9,1,0)</f>
        <v>0</v>
      </c>
      <c r="M219" s="6" t="n">
        <f aca="false">IF(ABS(H219)&gt;$P$8,1,0)</f>
        <v>0</v>
      </c>
    </row>
    <row r="220" customFormat="false" ht="15" hidden="false" customHeight="false" outlineLevel="0" collapsed="false">
      <c r="A220" s="0" t="n">
        <f aca="false">ROW()-1</f>
        <v>219</v>
      </c>
      <c r="B220" s="22" t="n">
        <f aca="false">SUMPRODUCT(MMULT('Analysis Data'!N220:U220,'Final Model'!$B$59:$I$66),'Analysis Data'!N220:U220)</f>
        <v>0.00424881969140385</v>
      </c>
      <c r="C220" s="15" t="n">
        <f aca="false">'Residual Diagnostics'!F220</f>
        <v>-31.4423903412592</v>
      </c>
      <c r="D220" s="13" t="n">
        <f aca="false">C220/('Final Model'!$B$21*SQRT(1-B220))</f>
        <v>-0.642629042444364</v>
      </c>
      <c r="E220" s="13" t="n">
        <f aca="false">D220*SQRT(('Final Model'!$B$24-1)/('Final Model'!$B$24-D220^2))</f>
        <v>-0.642492106855075</v>
      </c>
      <c r="F220" s="23" t="n">
        <f aca="false">D220^2/($P$3+1)*B220/(1-B220)</f>
        <v>0.000220266363539859</v>
      </c>
      <c r="G220" s="13" t="n">
        <f aca="false">($P$2-1)*(B220-1/$P$2)</f>
        <v>4.88533677331583</v>
      </c>
      <c r="H220" s="13" t="n">
        <f aca="false">E220*SQRT(B220/(1-B220))</f>
        <v>-0.0419687981198833</v>
      </c>
      <c r="I220" s="13" t="n">
        <f aca="false">ABS(D220)</f>
        <v>0.642629042444364</v>
      </c>
      <c r="J220" s="6" t="n">
        <f aca="false">IF(B220&gt;$P$4,1,0)</f>
        <v>0</v>
      </c>
      <c r="K220" s="6" t="n">
        <f aca="false">IF(F220&gt;$P$6,1,0)</f>
        <v>0</v>
      </c>
      <c r="L220" s="6" t="n">
        <f aca="false">IF(G220&gt;$P$9,1,0)</f>
        <v>0</v>
      </c>
      <c r="M220" s="6" t="n">
        <f aca="false">IF(ABS(H220)&gt;$P$8,1,0)</f>
        <v>0</v>
      </c>
    </row>
    <row r="221" customFormat="false" ht="15" hidden="false" customHeight="false" outlineLevel="0" collapsed="false">
      <c r="A221" s="0" t="n">
        <f aca="false">ROW()-1</f>
        <v>220</v>
      </c>
      <c r="B221" s="22" t="n">
        <f aca="false">SUMPRODUCT(MMULT('Analysis Data'!N221:U221,'Final Model'!$B$59:$I$66),'Analysis Data'!N221:U221)</f>
        <v>0.00424881969140385</v>
      </c>
      <c r="C221" s="15" t="n">
        <f aca="false">'Residual Diagnostics'!F221</f>
        <v>-61.9436478940052</v>
      </c>
      <c r="D221" s="13" t="n">
        <f aca="false">C221/('Final Model'!$B$21*SQRT(1-B221))</f>
        <v>-1.26602292954173</v>
      </c>
      <c r="E221" s="13" t="n">
        <f aca="false">D221*SQRT(('Final Model'!$B$24-1)/('Final Model'!$B$24-D221^2))</f>
        <v>-1.26630013618118</v>
      </c>
      <c r="F221" s="23" t="n">
        <f aca="false">D221^2/($P$3+1)*B221/(1-B221)</f>
        <v>0.00085489076820773</v>
      </c>
      <c r="G221" s="13" t="n">
        <f aca="false">($P$2-1)*(B221-1/$P$2)</f>
        <v>4.88533677331583</v>
      </c>
      <c r="H221" s="13" t="n">
        <f aca="false">E221*SQRT(B221/(1-B221))</f>
        <v>-0.0827171170004063</v>
      </c>
      <c r="I221" s="13" t="n">
        <f aca="false">ABS(D221)</f>
        <v>1.26602292954173</v>
      </c>
      <c r="J221" s="6" t="n">
        <f aca="false">IF(B221&gt;$P$4,1,0)</f>
        <v>0</v>
      </c>
      <c r="K221" s="6" t="n">
        <f aca="false">IF(F221&gt;$P$6,1,0)</f>
        <v>0</v>
      </c>
      <c r="L221" s="6" t="n">
        <f aca="false">IF(G221&gt;$P$9,1,0)</f>
        <v>0</v>
      </c>
      <c r="M221" s="6" t="n">
        <f aca="false">IF(ABS(H221)&gt;$P$8,1,0)</f>
        <v>0</v>
      </c>
    </row>
    <row r="222" customFormat="false" ht="15" hidden="false" customHeight="false" outlineLevel="0" collapsed="false">
      <c r="A222" s="0" t="n">
        <f aca="false">ROW()-1</f>
        <v>221</v>
      </c>
      <c r="B222" s="22" t="n">
        <f aca="false">SUMPRODUCT(MMULT('Analysis Data'!N222:U222,'Final Model'!$B$59:$I$66),'Analysis Data'!N222:U222)</f>
        <v>0.00181591847011311</v>
      </c>
      <c r="C222" s="15" t="n">
        <f aca="false">'Residual Diagnostics'!F222</f>
        <v>-48.9215438712032</v>
      </c>
      <c r="D222" s="13" t="n">
        <f aca="false">C222/('Final Model'!$B$21*SQRT(1-B222))</f>
        <v>-0.998653993494234</v>
      </c>
      <c r="E222" s="13" t="n">
        <f aca="false">D222*SQRT(('Final Model'!$B$24-1)/('Final Model'!$B$24-D222^2))</f>
        <v>-0.998653017976328</v>
      </c>
      <c r="F222" s="23" t="n">
        <f aca="false">D222^2/($P$3+1)*B222/(1-B222)</f>
        <v>0.000226790994446174</v>
      </c>
      <c r="G222" s="13" t="n">
        <f aca="false">($P$2-1)*(B222-1/$P$2)</f>
        <v>1.51576858182815</v>
      </c>
      <c r="H222" s="13" t="n">
        <f aca="false">E222*SQRT(B222/(1-B222))</f>
        <v>-0.0425948871460093</v>
      </c>
      <c r="I222" s="13" t="n">
        <f aca="false">ABS(D222)</f>
        <v>0.998653993494234</v>
      </c>
      <c r="J222" s="6" t="n">
        <f aca="false">IF(B222&gt;$P$4,1,0)</f>
        <v>0</v>
      </c>
      <c r="K222" s="6" t="n">
        <f aca="false">IF(F222&gt;$P$6,1,0)</f>
        <v>0</v>
      </c>
      <c r="L222" s="6" t="n">
        <f aca="false">IF(G222&gt;$P$9,1,0)</f>
        <v>0</v>
      </c>
      <c r="M222" s="6" t="n">
        <f aca="false">IF(ABS(H222)&gt;$P$8,1,0)</f>
        <v>0</v>
      </c>
    </row>
    <row r="223" customFormat="false" ht="15" hidden="false" customHeight="false" outlineLevel="0" collapsed="false">
      <c r="A223" s="0" t="n">
        <f aca="false">ROW()-1</f>
        <v>222</v>
      </c>
      <c r="B223" s="22" t="n">
        <f aca="false">SUMPRODUCT(MMULT('Analysis Data'!N223:U223,'Final Model'!$B$59:$I$66),'Analysis Data'!N223:U223)</f>
        <v>0.00230529624841536</v>
      </c>
      <c r="C223" s="15" t="n">
        <f aca="false">'Residual Diagnostics'!F223</f>
        <v>76.4508804858337</v>
      </c>
      <c r="D223" s="13" t="n">
        <f aca="false">C223/('Final Model'!$B$21*SQRT(1-B223))</f>
        <v>1.56100346457592</v>
      </c>
      <c r="E223" s="13" t="n">
        <f aca="false">D223*SQRT(('Final Model'!$B$24-1)/('Final Model'!$B$24-D223^2))</f>
        <v>1.56181846090585</v>
      </c>
      <c r="F223" s="23" t="n">
        <f aca="false">D223^2/($P$3+1)*B223/(1-B223)</f>
        <v>0.000703796047736351</v>
      </c>
      <c r="G223" s="13" t="n">
        <f aca="false">($P$2-1)*(B223-1/$P$2)</f>
        <v>2.19355680477678</v>
      </c>
      <c r="H223" s="13" t="n">
        <f aca="false">E223*SQRT(B223/(1-B223))</f>
        <v>0.0750749566866161</v>
      </c>
      <c r="I223" s="13" t="n">
        <f aca="false">ABS(D223)</f>
        <v>1.56100346457592</v>
      </c>
      <c r="J223" s="6" t="n">
        <f aca="false">IF(B223&gt;$P$4,1,0)</f>
        <v>0</v>
      </c>
      <c r="K223" s="6" t="n">
        <f aca="false">IF(F223&gt;$P$6,1,0)</f>
        <v>0</v>
      </c>
      <c r="L223" s="6" t="n">
        <f aca="false">IF(G223&gt;$P$9,1,0)</f>
        <v>0</v>
      </c>
      <c r="M223" s="6" t="n">
        <f aca="false">IF(ABS(H223)&gt;$P$8,1,0)</f>
        <v>0</v>
      </c>
    </row>
    <row r="224" customFormat="false" ht="15" hidden="false" customHeight="false" outlineLevel="0" collapsed="false">
      <c r="A224" s="0" t="n">
        <f aca="false">ROW()-1</f>
        <v>223</v>
      </c>
      <c r="B224" s="22" t="n">
        <f aca="false">SUMPRODUCT(MMULT('Analysis Data'!N224:U224,'Final Model'!$B$59:$I$66),'Analysis Data'!N224:U224)</f>
        <v>0.00213768653607563</v>
      </c>
      <c r="C224" s="15" t="n">
        <f aca="false">'Residual Diagnostics'!F224</f>
        <v>4.51704108312057</v>
      </c>
      <c r="D224" s="13" t="n">
        <f aca="false">C224/('Final Model'!$B$21*SQRT(1-B224))</f>
        <v>0.0922229348697882</v>
      </c>
      <c r="E224" s="13" t="n">
        <f aca="false">D224*SQRT(('Final Model'!$B$24-1)/('Final Model'!$B$24-D224^2))</f>
        <v>0.0921897506931632</v>
      </c>
      <c r="F224" s="23" t="n">
        <f aca="false">D224^2/($P$3+1)*B224/(1-B224)</f>
        <v>2.2775152412008E-006</v>
      </c>
      <c r="G224" s="13" t="n">
        <f aca="false">($P$2-1)*(B224-1/$P$2)</f>
        <v>1.96141735318625</v>
      </c>
      <c r="H224" s="13" t="n">
        <f aca="false">E224*SQRT(B224/(1-B224))</f>
        <v>0.0042669675595854</v>
      </c>
      <c r="I224" s="13" t="n">
        <f aca="false">ABS(D224)</f>
        <v>0.0922229348697882</v>
      </c>
      <c r="J224" s="6" t="n">
        <f aca="false">IF(B224&gt;$P$4,1,0)</f>
        <v>0</v>
      </c>
      <c r="K224" s="6" t="n">
        <f aca="false">IF(F224&gt;$P$6,1,0)</f>
        <v>0</v>
      </c>
      <c r="L224" s="6" t="n">
        <f aca="false">IF(G224&gt;$P$9,1,0)</f>
        <v>0</v>
      </c>
      <c r="M224" s="6" t="n">
        <f aca="false">IF(ABS(H224)&gt;$P$8,1,0)</f>
        <v>0</v>
      </c>
    </row>
    <row r="225" customFormat="false" ht="15" hidden="false" customHeight="false" outlineLevel="0" collapsed="false">
      <c r="A225" s="0" t="n">
        <f aca="false">ROW()-1</f>
        <v>224</v>
      </c>
      <c r="B225" s="22" t="n">
        <f aca="false">SUMPRODUCT(MMULT('Analysis Data'!N225:U225,'Final Model'!$B$59:$I$66),'Analysis Data'!N225:U225)</f>
        <v>0.00213768653607563</v>
      </c>
      <c r="C225" s="15" t="n">
        <f aca="false">'Residual Diagnostics'!F225</f>
        <v>-23.2831320059648</v>
      </c>
      <c r="D225" s="13" t="n">
        <f aca="false">C225/('Final Model'!$B$21*SQRT(1-B225))</f>
        <v>-0.475364010873102</v>
      </c>
      <c r="E225" s="13" t="n">
        <f aca="false">D225*SQRT(('Final Model'!$B$24-1)/('Final Model'!$B$24-D225^2))</f>
        <v>-0.47523046312087</v>
      </c>
      <c r="F225" s="23" t="n">
        <f aca="false">D225^2/($P$3+1)*B225/(1-B225)</f>
        <v>6.05112343057561E-005</v>
      </c>
      <c r="G225" s="13" t="n">
        <f aca="false">($P$2-1)*(B225-1/$P$2)</f>
        <v>1.96141735318625</v>
      </c>
      <c r="H225" s="13" t="n">
        <f aca="false">E225*SQRT(B225/(1-B225))</f>
        <v>-0.021995861299296</v>
      </c>
      <c r="I225" s="13" t="n">
        <f aca="false">ABS(D225)</f>
        <v>0.475364010873102</v>
      </c>
      <c r="J225" s="6" t="n">
        <f aca="false">IF(B225&gt;$P$4,1,0)</f>
        <v>0</v>
      </c>
      <c r="K225" s="6" t="n">
        <f aca="false">IF(F225&gt;$P$6,1,0)</f>
        <v>0</v>
      </c>
      <c r="L225" s="6" t="n">
        <f aca="false">IF(G225&gt;$P$9,1,0)</f>
        <v>0</v>
      </c>
      <c r="M225" s="6" t="n">
        <f aca="false">IF(ABS(H225)&gt;$P$8,1,0)</f>
        <v>0</v>
      </c>
    </row>
    <row r="226" customFormat="false" ht="15" hidden="false" customHeight="false" outlineLevel="0" collapsed="false">
      <c r="A226" s="0" t="n">
        <f aca="false">ROW()-1</f>
        <v>225</v>
      </c>
      <c r="B226" s="22" t="n">
        <f aca="false">SUMPRODUCT(MMULT('Analysis Data'!N226:U226,'Final Model'!$B$59:$I$66),'Analysis Data'!N226:U226)</f>
        <v>0.00213768653607563</v>
      </c>
      <c r="C226" s="15" t="n">
        <f aca="false">'Residual Diagnostics'!F226</f>
        <v>56.7869289719417</v>
      </c>
      <c r="D226" s="13" t="n">
        <f aca="false">C226/('Final Model'!$B$21*SQRT(1-B226))</f>
        <v>1.1593999602095</v>
      </c>
      <c r="E226" s="13" t="n">
        <f aca="false">D226*SQRT(('Final Model'!$B$24-1)/('Final Model'!$B$24-D226^2))</f>
        <v>1.15954489480827</v>
      </c>
      <c r="F226" s="23" t="n">
        <f aca="false">D226^2/($P$3+1)*B226/(1-B226)</f>
        <v>0.000359956463537686</v>
      </c>
      <c r="G226" s="13" t="n">
        <f aca="false">($P$2-1)*(B226-1/$P$2)</f>
        <v>1.96141735318625</v>
      </c>
      <c r="H226" s="13" t="n">
        <f aca="false">E226*SQRT(B226/(1-B226))</f>
        <v>0.0536690945883712</v>
      </c>
      <c r="I226" s="13" t="n">
        <f aca="false">ABS(D226)</f>
        <v>1.1593999602095</v>
      </c>
      <c r="J226" s="6" t="n">
        <f aca="false">IF(B226&gt;$P$4,1,0)</f>
        <v>0</v>
      </c>
      <c r="K226" s="6" t="n">
        <f aca="false">IF(F226&gt;$P$6,1,0)</f>
        <v>0</v>
      </c>
      <c r="L226" s="6" t="n">
        <f aca="false">IF(G226&gt;$P$9,1,0)</f>
        <v>0</v>
      </c>
      <c r="M226" s="6" t="n">
        <f aca="false">IF(ABS(H226)&gt;$P$8,1,0)</f>
        <v>0</v>
      </c>
    </row>
    <row r="227" customFormat="false" ht="15" hidden="false" customHeight="false" outlineLevel="0" collapsed="false">
      <c r="A227" s="0" t="n">
        <f aca="false">ROW()-1</f>
        <v>226</v>
      </c>
      <c r="B227" s="22" t="n">
        <f aca="false">SUMPRODUCT(MMULT('Analysis Data'!N227:U227,'Final Model'!$B$59:$I$66),'Analysis Data'!N227:U227)</f>
        <v>0.00173381231032148</v>
      </c>
      <c r="C227" s="15" t="n">
        <f aca="false">'Residual Diagnostics'!F227</f>
        <v>49.6914859722581</v>
      </c>
      <c r="D227" s="13" t="n">
        <f aca="false">C227/('Final Model'!$B$21*SQRT(1-B227))</f>
        <v>1.01432939680928</v>
      </c>
      <c r="E227" s="13" t="n">
        <f aca="false">D227*SQRT(('Final Model'!$B$24-1)/('Final Model'!$B$24-D227^2))</f>
        <v>1.01434002796071</v>
      </c>
      <c r="F227" s="23" t="n">
        <f aca="false">D227^2/($P$3+1)*B227/(1-B227)</f>
        <v>0.000223369441434119</v>
      </c>
      <c r="G227" s="13" t="n">
        <f aca="false">($P$2-1)*(B227-1/$P$2)</f>
        <v>1.40205155051676</v>
      </c>
      <c r="H227" s="13" t="n">
        <f aca="false">E227*SQRT(B227/(1-B227))</f>
        <v>0.0422728398585645</v>
      </c>
      <c r="I227" s="13" t="n">
        <f aca="false">ABS(D227)</f>
        <v>1.01432939680928</v>
      </c>
      <c r="J227" s="6" t="n">
        <f aca="false">IF(B227&gt;$P$4,1,0)</f>
        <v>0</v>
      </c>
      <c r="K227" s="6" t="n">
        <f aca="false">IF(F227&gt;$P$6,1,0)</f>
        <v>0</v>
      </c>
      <c r="L227" s="6" t="n">
        <f aca="false">IF(G227&gt;$P$9,1,0)</f>
        <v>0</v>
      </c>
      <c r="M227" s="6" t="n">
        <f aca="false">IF(ABS(H227)&gt;$P$8,1,0)</f>
        <v>0</v>
      </c>
    </row>
    <row r="228" customFormat="false" ht="15" hidden="false" customHeight="false" outlineLevel="0" collapsed="false">
      <c r="A228" s="0" t="n">
        <f aca="false">ROW()-1</f>
        <v>227</v>
      </c>
      <c r="B228" s="22" t="n">
        <f aca="false">SUMPRODUCT(MMULT('Analysis Data'!N228:U228,'Final Model'!$B$59:$I$66),'Analysis Data'!N228:U228)</f>
        <v>0.00173381231032148</v>
      </c>
      <c r="C228" s="15" t="n">
        <f aca="false">'Residual Diagnostics'!F228</f>
        <v>82.756583583616</v>
      </c>
      <c r="D228" s="13" t="n">
        <f aca="false">C228/('Final Model'!$B$21*SQRT(1-B228))</f>
        <v>1.6892719922932</v>
      </c>
      <c r="E228" s="13" t="n">
        <f aca="false">D228*SQRT(('Final Model'!$B$24-1)/('Final Model'!$B$24-D228^2))</f>
        <v>1.6904101429262</v>
      </c>
      <c r="F228" s="23" t="n">
        <f aca="false">D228^2/($P$3+1)*B228/(1-B228)</f>
        <v>0.000619533645728388</v>
      </c>
      <c r="G228" s="13" t="n">
        <f aca="false">($P$2-1)*(B228-1/$P$2)</f>
        <v>1.40205155051676</v>
      </c>
      <c r="H228" s="13" t="n">
        <f aca="false">E228*SQRT(B228/(1-B228))</f>
        <v>0.0704482079947856</v>
      </c>
      <c r="I228" s="13" t="n">
        <f aca="false">ABS(D228)</f>
        <v>1.6892719922932</v>
      </c>
      <c r="J228" s="6" t="n">
        <f aca="false">IF(B228&gt;$P$4,1,0)</f>
        <v>0</v>
      </c>
      <c r="K228" s="6" t="n">
        <f aca="false">IF(F228&gt;$P$6,1,0)</f>
        <v>0</v>
      </c>
      <c r="L228" s="6" t="n">
        <f aca="false">IF(G228&gt;$P$9,1,0)</f>
        <v>0</v>
      </c>
      <c r="M228" s="6" t="n">
        <f aca="false">IF(ABS(H228)&gt;$P$8,1,0)</f>
        <v>0</v>
      </c>
    </row>
    <row r="229" customFormat="false" ht="15" hidden="false" customHeight="false" outlineLevel="0" collapsed="false">
      <c r="A229" s="0" t="n">
        <f aca="false">ROW()-1</f>
        <v>228</v>
      </c>
      <c r="B229" s="22" t="n">
        <f aca="false">SUMPRODUCT(MMULT('Analysis Data'!N229:U229,'Final Model'!$B$59:$I$66),'Analysis Data'!N229:U229)</f>
        <v>0.0147073819910373</v>
      </c>
      <c r="C229" s="15" t="n">
        <f aca="false">'Residual Diagnostics'!F229</f>
        <v>55.1152024409198</v>
      </c>
      <c r="D229" s="13" t="n">
        <f aca="false">C229/('Final Model'!$B$21*SQRT(1-B229))</f>
        <v>1.13242383374696</v>
      </c>
      <c r="E229" s="13" t="n">
        <f aca="false">D229*SQRT(('Final Model'!$B$24-1)/('Final Model'!$B$24-D229^2))</f>
        <v>1.13253996565257</v>
      </c>
      <c r="F229" s="23" t="n">
        <f aca="false">D229^2/($P$3+1)*B229/(1-B229)</f>
        <v>0.002392754594846</v>
      </c>
      <c r="G229" s="13" t="n">
        <f aca="false">($P$2-1)*(B229-1/$P$2)</f>
        <v>19.3704455583081</v>
      </c>
      <c r="H229" s="13" t="n">
        <f aca="false">E229*SQRT(B229/(1-B229))</f>
        <v>0.138368938183667</v>
      </c>
      <c r="I229" s="13" t="n">
        <f aca="false">ABS(D229)</f>
        <v>1.13242383374696</v>
      </c>
      <c r="J229" s="6" t="n">
        <f aca="false">IF(B229&gt;$P$4,1,0)</f>
        <v>1</v>
      </c>
      <c r="K229" s="6" t="n">
        <f aca="false">IF(F229&gt;$P$6,1,0)</f>
        <v>0</v>
      </c>
      <c r="L229" s="6" t="n">
        <f aca="false">IF(G229&gt;$P$9,1,0)</f>
        <v>1</v>
      </c>
      <c r="M229" s="6" t="n">
        <f aca="false">IF(ABS(H229)&gt;$P$8,1,0)</f>
        <v>0</v>
      </c>
    </row>
    <row r="230" customFormat="false" ht="15" hidden="false" customHeight="false" outlineLevel="0" collapsed="false">
      <c r="A230" s="0" t="n">
        <f aca="false">ROW()-1</f>
        <v>229</v>
      </c>
      <c r="B230" s="22" t="n">
        <f aca="false">SUMPRODUCT(MMULT('Analysis Data'!N230:U230,'Final Model'!$B$59:$I$66),'Analysis Data'!N230:U230)</f>
        <v>0.00706948132789686</v>
      </c>
      <c r="C230" s="15" t="n">
        <f aca="false">'Residual Diagnostics'!F230</f>
        <v>-17.3393430173755</v>
      </c>
      <c r="D230" s="13" t="n">
        <f aca="false">C230/('Final Model'!$B$21*SQRT(1-B230))</f>
        <v>-0.354889718240305</v>
      </c>
      <c r="E230" s="13" t="n">
        <f aca="false">D230*SQRT(('Final Model'!$B$24-1)/('Final Model'!$B$24-D230^2))</f>
        <v>-0.354777138381308</v>
      </c>
      <c r="F230" s="23" t="n">
        <f aca="false">D230^2/($P$3+1)*B230/(1-B230)</f>
        <v>0.000112089656935583</v>
      </c>
      <c r="G230" s="13" t="n">
        <f aca="false">($P$2-1)*(B230-1/$P$2)</f>
        <v>8.79195313985865</v>
      </c>
      <c r="H230" s="13" t="n">
        <f aca="false">E230*SQRT(B230/(1-B230))</f>
        <v>-0.0299357382341094</v>
      </c>
      <c r="I230" s="13" t="n">
        <f aca="false">ABS(D230)</f>
        <v>0.354889718240305</v>
      </c>
      <c r="J230" s="6" t="n">
        <f aca="false">IF(B230&gt;$P$4,1,0)</f>
        <v>0</v>
      </c>
      <c r="K230" s="6" t="n">
        <f aca="false">IF(F230&gt;$P$6,1,0)</f>
        <v>0</v>
      </c>
      <c r="L230" s="6" t="n">
        <f aca="false">IF(G230&gt;$P$9,1,0)</f>
        <v>0</v>
      </c>
      <c r="M230" s="6" t="n">
        <f aca="false">IF(ABS(H230)&gt;$P$8,1,0)</f>
        <v>0</v>
      </c>
    </row>
    <row r="231" customFormat="false" ht="15" hidden="false" customHeight="false" outlineLevel="0" collapsed="false">
      <c r="A231" s="0" t="n">
        <f aca="false">ROW()-1</f>
        <v>230</v>
      </c>
      <c r="B231" s="22" t="n">
        <f aca="false">SUMPRODUCT(MMULT('Analysis Data'!N231:U231,'Final Model'!$B$59:$I$66),'Analysis Data'!N231:U231)</f>
        <v>0.00690804658017539</v>
      </c>
      <c r="C231" s="15" t="n">
        <f aca="false">'Residual Diagnostics'!F231</f>
        <v>5.49190729539271</v>
      </c>
      <c r="D231" s="13" t="n">
        <f aca="false">C231/('Final Model'!$B$21*SQRT(1-B231))</f>
        <v>0.112395435631442</v>
      </c>
      <c r="E231" s="13" t="n">
        <f aca="false">D231*SQRT(('Final Model'!$B$24-1)/('Final Model'!$B$24-D231^2))</f>
        <v>0.112355161147419</v>
      </c>
      <c r="F231" s="23" t="n">
        <f aca="false">D231^2/($P$3+1)*B231/(1-B231)</f>
        <v>1.09843195117087E-005</v>
      </c>
      <c r="G231" s="13" t="n">
        <f aca="false">($P$2-1)*(B231-1/$P$2)</f>
        <v>8.56836601426441</v>
      </c>
      <c r="H231" s="13" t="n">
        <f aca="false">E231*SQRT(B231/(1-B231))</f>
        <v>0.00937078393022424</v>
      </c>
      <c r="I231" s="13" t="n">
        <f aca="false">ABS(D231)</f>
        <v>0.112395435631442</v>
      </c>
      <c r="J231" s="6" t="n">
        <f aca="false">IF(B231&gt;$P$4,1,0)</f>
        <v>0</v>
      </c>
      <c r="K231" s="6" t="n">
        <f aca="false">IF(F231&gt;$P$6,1,0)</f>
        <v>0</v>
      </c>
      <c r="L231" s="6" t="n">
        <f aca="false">IF(G231&gt;$P$9,1,0)</f>
        <v>0</v>
      </c>
      <c r="M231" s="6" t="n">
        <f aca="false">IF(ABS(H231)&gt;$P$8,1,0)</f>
        <v>0</v>
      </c>
    </row>
    <row r="232" customFormat="false" ht="15" hidden="false" customHeight="false" outlineLevel="0" collapsed="false">
      <c r="A232" s="0" t="n">
        <f aca="false">ROW()-1</f>
        <v>231</v>
      </c>
      <c r="B232" s="22" t="n">
        <f aca="false">SUMPRODUCT(MMULT('Analysis Data'!N232:U232,'Final Model'!$B$59:$I$66),'Analysis Data'!N232:U232)</f>
        <v>0.00690804658017539</v>
      </c>
      <c r="C232" s="15" t="n">
        <f aca="false">'Residual Diagnostics'!F232</f>
        <v>18.2743706250113</v>
      </c>
      <c r="D232" s="13" t="n">
        <f aca="false">C232/('Final Model'!$B$21*SQRT(1-B232))</f>
        <v>0.373996816918538</v>
      </c>
      <c r="E232" s="13" t="n">
        <f aca="false">D232*SQRT(('Final Model'!$B$24-1)/('Final Model'!$B$24-D232^2))</f>
        <v>0.373880065319134</v>
      </c>
      <c r="F232" s="23" t="n">
        <f aca="false">D232^2/($P$3+1)*B232/(1-B232)</f>
        <v>0.000121621853912004</v>
      </c>
      <c r="G232" s="13" t="n">
        <f aca="false">($P$2-1)*(B232-1/$P$2)</f>
        <v>8.56836601426441</v>
      </c>
      <c r="H232" s="13" t="n">
        <f aca="false">E232*SQRT(B232/(1-B232))</f>
        <v>0.0311828070214486</v>
      </c>
      <c r="I232" s="13" t="n">
        <f aca="false">ABS(D232)</f>
        <v>0.373996816918538</v>
      </c>
      <c r="J232" s="6" t="n">
        <f aca="false">IF(B232&gt;$P$4,1,0)</f>
        <v>0</v>
      </c>
      <c r="K232" s="6" t="n">
        <f aca="false">IF(F232&gt;$P$6,1,0)</f>
        <v>0</v>
      </c>
      <c r="L232" s="6" t="n">
        <f aca="false">IF(G232&gt;$P$9,1,0)</f>
        <v>0</v>
      </c>
      <c r="M232" s="6" t="n">
        <f aca="false">IF(ABS(H232)&gt;$P$8,1,0)</f>
        <v>0</v>
      </c>
    </row>
    <row r="233" customFormat="false" ht="15" hidden="false" customHeight="false" outlineLevel="0" collapsed="false">
      <c r="A233" s="0" t="n">
        <f aca="false">ROW()-1</f>
        <v>232</v>
      </c>
      <c r="B233" s="22" t="n">
        <f aca="false">SUMPRODUCT(MMULT('Analysis Data'!N233:U233,'Final Model'!$B$59:$I$66),'Analysis Data'!N233:U233)</f>
        <v>0.00168832798629141</v>
      </c>
      <c r="C233" s="15" t="n">
        <f aca="false">'Residual Diagnostics'!F233</f>
        <v>-33.7891547751659</v>
      </c>
      <c r="D233" s="13" t="n">
        <f aca="false">C233/('Final Model'!$B$21*SQRT(1-B233))</f>
        <v>-0.689706728113265</v>
      </c>
      <c r="E233" s="13" t="n">
        <f aca="false">D233*SQRT(('Final Model'!$B$24-1)/('Final Model'!$B$24-D233^2))</f>
        <v>-0.689575459704891</v>
      </c>
      <c r="F233" s="23" t="n">
        <f aca="false">D233^2/($P$3+1)*B233/(1-B233)</f>
        <v>0.00010056100589544</v>
      </c>
      <c r="G233" s="13" t="n">
        <f aca="false">($P$2-1)*(B233-1/$P$2)</f>
        <v>1.3390557617351</v>
      </c>
      <c r="H233" s="13" t="n">
        <f aca="false">E233*SQRT(B233/(1-B233))</f>
        <v>-0.0283581002182326</v>
      </c>
      <c r="I233" s="13" t="n">
        <f aca="false">ABS(D233)</f>
        <v>0.689706728113265</v>
      </c>
      <c r="J233" s="6" t="n">
        <f aca="false">IF(B233&gt;$P$4,1,0)</f>
        <v>0</v>
      </c>
      <c r="K233" s="6" t="n">
        <f aca="false">IF(F233&gt;$P$6,1,0)</f>
        <v>0</v>
      </c>
      <c r="L233" s="6" t="n">
        <f aca="false">IF(G233&gt;$P$9,1,0)</f>
        <v>0</v>
      </c>
      <c r="M233" s="6" t="n">
        <f aca="false">IF(ABS(H233)&gt;$P$8,1,0)</f>
        <v>0</v>
      </c>
    </row>
    <row r="234" customFormat="false" ht="15" hidden="false" customHeight="false" outlineLevel="0" collapsed="false">
      <c r="A234" s="0" t="n">
        <f aca="false">ROW()-1</f>
        <v>233</v>
      </c>
      <c r="B234" s="22" t="n">
        <f aca="false">SUMPRODUCT(MMULT('Analysis Data'!N234:U234,'Final Model'!$B$59:$I$66),'Analysis Data'!N234:U234)</f>
        <v>0.00204707809940915</v>
      </c>
      <c r="C234" s="15" t="n">
        <f aca="false">'Residual Diagnostics'!F234</f>
        <v>-25.73012990243</v>
      </c>
      <c r="D234" s="13" t="n">
        <f aca="false">C234/('Final Model'!$B$21*SQRT(1-B234))</f>
        <v>-0.52529970943593</v>
      </c>
      <c r="E234" s="13" t="n">
        <f aca="false">D234*SQRT(('Final Model'!$B$24-1)/('Final Model'!$B$24-D234^2))</f>
        <v>-0.52516165617197</v>
      </c>
      <c r="F234" s="23" t="n">
        <f aca="false">D234^2/($P$3+1)*B234/(1-B234)</f>
        <v>7.07536244555226E-005</v>
      </c>
      <c r="G234" s="13" t="n">
        <f aca="false">($P$2-1)*(B234-1/$P$2)</f>
        <v>1.83592466840317</v>
      </c>
      <c r="H234" s="13" t="n">
        <f aca="false">E234*SQRT(B234/(1-B234))</f>
        <v>-0.023785111313598</v>
      </c>
      <c r="I234" s="13" t="n">
        <f aca="false">ABS(D234)</f>
        <v>0.52529970943593</v>
      </c>
      <c r="J234" s="6" t="n">
        <f aca="false">IF(B234&gt;$P$4,1,0)</f>
        <v>0</v>
      </c>
      <c r="K234" s="6" t="n">
        <f aca="false">IF(F234&gt;$P$6,1,0)</f>
        <v>0</v>
      </c>
      <c r="L234" s="6" t="n">
        <f aca="false">IF(G234&gt;$P$9,1,0)</f>
        <v>0</v>
      </c>
      <c r="M234" s="6" t="n">
        <f aca="false">IF(ABS(H234)&gt;$P$8,1,0)</f>
        <v>0</v>
      </c>
    </row>
    <row r="235" customFormat="false" ht="15" hidden="false" customHeight="false" outlineLevel="0" collapsed="false">
      <c r="A235" s="0" t="n">
        <f aca="false">ROW()-1</f>
        <v>234</v>
      </c>
      <c r="B235" s="22" t="n">
        <f aca="false">SUMPRODUCT(MMULT('Analysis Data'!N235:U235,'Final Model'!$B$59:$I$66),'Analysis Data'!N235:U235)</f>
        <v>0.00307917104651043</v>
      </c>
      <c r="C235" s="15" t="n">
        <f aca="false">'Residual Diagnostics'!F235</f>
        <v>-16.4741405141916</v>
      </c>
      <c r="D235" s="13" t="n">
        <f aca="false">C235/('Final Model'!$B$21*SQRT(1-B235))</f>
        <v>-0.336505866364528</v>
      </c>
      <c r="E235" s="13" t="n">
        <f aca="false">D235*SQRT(('Final Model'!$B$24-1)/('Final Model'!$B$24-D235^2))</f>
        <v>-0.336397566736764</v>
      </c>
      <c r="F235" s="23" t="n">
        <f aca="false">D235^2/($P$3+1)*B235/(1-B235)</f>
        <v>4.3718820551365E-005</v>
      </c>
      <c r="G235" s="13" t="n">
        <f aca="false">($P$2-1)*(B235-1/$P$2)</f>
        <v>3.26537340013844</v>
      </c>
      <c r="H235" s="13" t="n">
        <f aca="false">E235*SQRT(B235/(1-B235))</f>
        <v>-0.0186956004489429</v>
      </c>
      <c r="I235" s="13" t="n">
        <f aca="false">ABS(D235)</f>
        <v>0.336505866364528</v>
      </c>
      <c r="J235" s="6" t="n">
        <f aca="false">IF(B235&gt;$P$4,1,0)</f>
        <v>0</v>
      </c>
      <c r="K235" s="6" t="n">
        <f aca="false">IF(F235&gt;$P$6,1,0)</f>
        <v>0</v>
      </c>
      <c r="L235" s="6" t="n">
        <f aca="false">IF(G235&gt;$P$9,1,0)</f>
        <v>0</v>
      </c>
      <c r="M235" s="6" t="n">
        <f aca="false">IF(ABS(H235)&gt;$P$8,1,0)</f>
        <v>0</v>
      </c>
    </row>
    <row r="236" customFormat="false" ht="15" hidden="false" customHeight="false" outlineLevel="0" collapsed="false">
      <c r="A236" s="0" t="n">
        <f aca="false">ROW()-1</f>
        <v>235</v>
      </c>
      <c r="B236" s="22" t="n">
        <f aca="false">SUMPRODUCT(MMULT('Analysis Data'!N236:U236,'Final Model'!$B$59:$I$66),'Analysis Data'!N236:U236)</f>
        <v>0.00276413402245908</v>
      </c>
      <c r="C236" s="15" t="n">
        <f aca="false">'Residual Diagnostics'!F236</f>
        <v>49.5982754099406</v>
      </c>
      <c r="D236" s="13" t="n">
        <f aca="false">C236/('Final Model'!$B$21*SQRT(1-B236))</f>
        <v>1.01294960583497</v>
      </c>
      <c r="E236" s="13" t="n">
        <f aca="false">D236*SQRT(('Final Model'!$B$24-1)/('Final Model'!$B$24-D236^2))</f>
        <v>1.01295919364724</v>
      </c>
      <c r="F236" s="23" t="n">
        <f aca="false">D236^2/($P$3+1)*B236/(1-B236)</f>
        <v>0.000355505970969352</v>
      </c>
      <c r="G236" s="13" t="n">
        <f aca="false">($P$2-1)*(B236-1/$P$2)</f>
        <v>2.82904712182732</v>
      </c>
      <c r="H236" s="13" t="n">
        <f aca="false">E236*SQRT(B236/(1-B236))</f>
        <v>0.0533301191373636</v>
      </c>
      <c r="I236" s="13" t="n">
        <f aca="false">ABS(D236)</f>
        <v>1.01294960583497</v>
      </c>
      <c r="J236" s="6" t="n">
        <f aca="false">IF(B236&gt;$P$4,1,0)</f>
        <v>0</v>
      </c>
      <c r="K236" s="6" t="n">
        <f aca="false">IF(F236&gt;$P$6,1,0)</f>
        <v>0</v>
      </c>
      <c r="L236" s="6" t="n">
        <f aca="false">IF(G236&gt;$P$9,1,0)</f>
        <v>0</v>
      </c>
      <c r="M236" s="6" t="n">
        <f aca="false">IF(ABS(H236)&gt;$P$8,1,0)</f>
        <v>0</v>
      </c>
    </row>
    <row r="237" customFormat="false" ht="15" hidden="false" customHeight="false" outlineLevel="0" collapsed="false">
      <c r="A237" s="0" t="n">
        <f aca="false">ROW()-1</f>
        <v>236</v>
      </c>
      <c r="B237" s="22" t="n">
        <f aca="false">SUMPRODUCT(MMULT('Analysis Data'!N237:U237,'Final Model'!$B$59:$I$66),'Analysis Data'!N237:U237)</f>
        <v>0.00279678626479507</v>
      </c>
      <c r="C237" s="15" t="n">
        <f aca="false">'Residual Diagnostics'!F237</f>
        <v>-1.76404969808252</v>
      </c>
      <c r="D237" s="13" t="n">
        <f aca="false">C237/('Final Model'!$B$21*SQRT(1-B237))</f>
        <v>-0.0360279200475361</v>
      </c>
      <c r="E237" s="13" t="n">
        <f aca="false">D237*SQRT(('Final Model'!$B$24-1)/('Final Model'!$B$24-D237^2))</f>
        <v>-0.036014862097249</v>
      </c>
      <c r="F237" s="23" t="n">
        <f aca="false">D237^2/($P$3+1)*B237/(1-B237)</f>
        <v>4.55055116968835E-007</v>
      </c>
      <c r="G237" s="13" t="n">
        <f aca="false">($P$2-1)*(B237-1/$P$2)</f>
        <v>2.87427047746267</v>
      </c>
      <c r="H237" s="13" t="n">
        <f aca="false">E237*SQRT(B237/(1-B237))</f>
        <v>-0.0019073024230501</v>
      </c>
      <c r="I237" s="13" t="n">
        <f aca="false">ABS(D237)</f>
        <v>0.0360279200475361</v>
      </c>
      <c r="J237" s="6" t="n">
        <f aca="false">IF(B237&gt;$P$4,1,0)</f>
        <v>0</v>
      </c>
      <c r="K237" s="6" t="n">
        <f aca="false">IF(F237&gt;$P$6,1,0)</f>
        <v>0</v>
      </c>
      <c r="L237" s="6" t="n">
        <f aca="false">IF(G237&gt;$P$9,1,0)</f>
        <v>0</v>
      </c>
      <c r="M237" s="6" t="n">
        <f aca="false">IF(ABS(H237)&gt;$P$8,1,0)</f>
        <v>0</v>
      </c>
    </row>
    <row r="238" customFormat="false" ht="15" hidden="false" customHeight="false" outlineLevel="0" collapsed="false">
      <c r="A238" s="0" t="n">
        <f aca="false">ROW()-1</f>
        <v>237</v>
      </c>
      <c r="B238" s="22" t="n">
        <f aca="false">SUMPRODUCT(MMULT('Analysis Data'!N238:U238,'Final Model'!$B$59:$I$66),'Analysis Data'!N238:U238)</f>
        <v>0.00168832798629141</v>
      </c>
      <c r="C238" s="15" t="n">
        <f aca="false">'Residual Diagnostics'!F238</f>
        <v>-41.7852198160041</v>
      </c>
      <c r="D238" s="13" t="n">
        <f aca="false">C238/('Final Model'!$B$21*SQRT(1-B238))</f>
        <v>-0.852922999541005</v>
      </c>
      <c r="E238" s="13" t="n">
        <f aca="false">D238*SQRT(('Final Model'!$B$24-1)/('Final Model'!$B$24-D238^2))</f>
        <v>-0.852838610982557</v>
      </c>
      <c r="F238" s="23" t="n">
        <f aca="false">D238^2/($P$3+1)*B238/(1-B238)</f>
        <v>0.000153787251361001</v>
      </c>
      <c r="G238" s="13" t="n">
        <f aca="false">($P$2-1)*(B238-1/$P$2)</f>
        <v>1.3390557617351</v>
      </c>
      <c r="H238" s="13" t="n">
        <f aca="false">E238*SQRT(B238/(1-B238))</f>
        <v>-0.0350721338177721</v>
      </c>
      <c r="I238" s="13" t="n">
        <f aca="false">ABS(D238)</f>
        <v>0.852922999541005</v>
      </c>
      <c r="J238" s="6" t="n">
        <f aca="false">IF(B238&gt;$P$4,1,0)</f>
        <v>0</v>
      </c>
      <c r="K238" s="6" t="n">
        <f aca="false">IF(F238&gt;$P$6,1,0)</f>
        <v>0</v>
      </c>
      <c r="L238" s="6" t="n">
        <f aca="false">IF(G238&gt;$P$9,1,0)</f>
        <v>0</v>
      </c>
      <c r="M238" s="6" t="n">
        <f aca="false">IF(ABS(H238)&gt;$P$8,1,0)</f>
        <v>0</v>
      </c>
    </row>
    <row r="239" customFormat="false" ht="15" hidden="false" customHeight="false" outlineLevel="0" collapsed="false">
      <c r="A239" s="0" t="n">
        <f aca="false">ROW()-1</f>
        <v>238</v>
      </c>
      <c r="B239" s="22" t="n">
        <f aca="false">SUMPRODUCT(MMULT('Analysis Data'!N239:U239,'Final Model'!$B$59:$I$66),'Analysis Data'!N239:U239)</f>
        <v>0.00168832798629141</v>
      </c>
      <c r="C239" s="15" t="n">
        <f aca="false">'Residual Diagnostics'!F239</f>
        <v>130.519747988445</v>
      </c>
      <c r="D239" s="13" t="n">
        <f aca="false">C239/('Final Model'!$B$21*SQRT(1-B239))</f>
        <v>2.66417875612091</v>
      </c>
      <c r="E239" s="13" t="n">
        <f aca="false">D239*SQRT(('Final Model'!$B$24-1)/('Final Model'!$B$24-D239^2))</f>
        <v>2.67009738890775</v>
      </c>
      <c r="F239" s="23" t="n">
        <f aca="false">D239^2/($P$3+1)*B239/(1-B239)</f>
        <v>0.00150047030743961</v>
      </c>
      <c r="G239" s="13" t="n">
        <f aca="false">($P$2-1)*(B239-1/$P$2)</f>
        <v>1.3390557617351</v>
      </c>
      <c r="H239" s="13" t="n">
        <f aca="false">E239*SQRT(B239/(1-B239))</f>
        <v>0.109805081200963</v>
      </c>
      <c r="I239" s="13" t="n">
        <f aca="false">ABS(D239)</f>
        <v>2.66417875612091</v>
      </c>
      <c r="J239" s="6" t="n">
        <f aca="false">IF(B239&gt;$P$4,1,0)</f>
        <v>0</v>
      </c>
      <c r="K239" s="6" t="n">
        <f aca="false">IF(F239&gt;$P$6,1,0)</f>
        <v>0</v>
      </c>
      <c r="L239" s="6" t="n">
        <f aca="false">IF(G239&gt;$P$9,1,0)</f>
        <v>0</v>
      </c>
      <c r="M239" s="6" t="n">
        <f aca="false">IF(ABS(H239)&gt;$P$8,1,0)</f>
        <v>0</v>
      </c>
    </row>
    <row r="240" customFormat="false" ht="15" hidden="false" customHeight="false" outlineLevel="0" collapsed="false">
      <c r="A240" s="0" t="n">
        <f aca="false">ROW()-1</f>
        <v>239</v>
      </c>
      <c r="B240" s="22" t="n">
        <f aca="false">SUMPRODUCT(MMULT('Analysis Data'!N240:U240,'Final Model'!$B$59:$I$66),'Analysis Data'!N240:U240)</f>
        <v>0.00168832798629141</v>
      </c>
      <c r="C240" s="15" t="n">
        <f aca="false">'Residual Diagnostics'!F240</f>
        <v>-2.69266160240204</v>
      </c>
      <c r="D240" s="13" t="n">
        <f aca="false">C240/('Final Model'!$B$21*SQRT(1-B240))</f>
        <v>-0.0549628079206612</v>
      </c>
      <c r="E240" s="13" t="n">
        <f aca="false">D240*SQRT(('Final Model'!$B$24-1)/('Final Model'!$B$24-D240^2))</f>
        <v>-0.0549429215617003</v>
      </c>
      <c r="F240" s="23" t="n">
        <f aca="false">D240^2/($P$3+1)*B240/(1-B240)</f>
        <v>6.38614105915799E-007</v>
      </c>
      <c r="G240" s="13" t="n">
        <f aca="false">($P$2-1)*(B240-1/$P$2)</f>
        <v>1.3390557617351</v>
      </c>
      <c r="H240" s="13" t="n">
        <f aca="false">E240*SQRT(B240/(1-B240))</f>
        <v>-0.0022594726276889</v>
      </c>
      <c r="I240" s="13" t="n">
        <f aca="false">ABS(D240)</f>
        <v>0.0549628079206612</v>
      </c>
      <c r="J240" s="6" t="n">
        <f aca="false">IF(B240&gt;$P$4,1,0)</f>
        <v>0</v>
      </c>
      <c r="K240" s="6" t="n">
        <f aca="false">IF(F240&gt;$P$6,1,0)</f>
        <v>0</v>
      </c>
      <c r="L240" s="6" t="n">
        <f aca="false">IF(G240&gt;$P$9,1,0)</f>
        <v>0</v>
      </c>
      <c r="M240" s="6" t="n">
        <f aca="false">IF(ABS(H240)&gt;$P$8,1,0)</f>
        <v>0</v>
      </c>
    </row>
    <row r="241" customFormat="false" ht="15" hidden="false" customHeight="false" outlineLevel="0" collapsed="false">
      <c r="A241" s="0" t="n">
        <f aca="false">ROW()-1</f>
        <v>240</v>
      </c>
      <c r="B241" s="22" t="n">
        <f aca="false">SUMPRODUCT(MMULT('Analysis Data'!N241:U241,'Final Model'!$B$59:$I$66),'Analysis Data'!N241:U241)</f>
        <v>0.00168832798629141</v>
      </c>
      <c r="C241" s="15" t="n">
        <f aca="false">'Residual Diagnostics'!F241</f>
        <v>44.706572364287</v>
      </c>
      <c r="D241" s="13" t="n">
        <f aca="false">C241/('Final Model'!$B$21*SQRT(1-B241))</f>
        <v>0.912553863975129</v>
      </c>
      <c r="E241" s="13" t="n">
        <f aca="false">D241*SQRT(('Final Model'!$B$24-1)/('Final Model'!$B$24-D241^2))</f>
        <v>0.912498451274969</v>
      </c>
      <c r="F241" s="23" t="n">
        <f aca="false">D241^2/($P$3+1)*B241/(1-B241)</f>
        <v>0.000176042570140104</v>
      </c>
      <c r="G241" s="13" t="n">
        <f aca="false">($P$2-1)*(B241-1/$P$2)</f>
        <v>1.3390557617351</v>
      </c>
      <c r="H241" s="13" t="n">
        <f aca="false">E241*SQRT(B241/(1-B241))</f>
        <v>0.0375255850045937</v>
      </c>
      <c r="I241" s="13" t="n">
        <f aca="false">ABS(D241)</f>
        <v>0.912553863975129</v>
      </c>
      <c r="J241" s="6" t="n">
        <f aca="false">IF(B241&gt;$P$4,1,0)</f>
        <v>0</v>
      </c>
      <c r="K241" s="6" t="n">
        <f aca="false">IF(F241&gt;$P$6,1,0)</f>
        <v>0</v>
      </c>
      <c r="L241" s="6" t="n">
        <f aca="false">IF(G241&gt;$P$9,1,0)</f>
        <v>0</v>
      </c>
      <c r="M241" s="6" t="n">
        <f aca="false">IF(ABS(H241)&gt;$P$8,1,0)</f>
        <v>0</v>
      </c>
    </row>
    <row r="242" customFormat="false" ht="15" hidden="false" customHeight="false" outlineLevel="0" collapsed="false">
      <c r="A242" s="0" t="n">
        <f aca="false">ROW()-1</f>
        <v>241</v>
      </c>
      <c r="B242" s="22" t="n">
        <f aca="false">SUMPRODUCT(MMULT('Analysis Data'!N242:U242,'Final Model'!$B$59:$I$66),'Analysis Data'!N242:U242)</f>
        <v>0.00211097620177443</v>
      </c>
      <c r="C242" s="15" t="n">
        <f aca="false">'Residual Diagnostics'!F242</f>
        <v>18.6980013969441</v>
      </c>
      <c r="D242" s="13" t="n">
        <f aca="false">C242/('Final Model'!$B$21*SQRT(1-B242))</f>
        <v>0.381745805490514</v>
      </c>
      <c r="E242" s="13" t="n">
        <f aca="false">D242*SQRT(('Final Model'!$B$24-1)/('Final Model'!$B$24-D242^2))</f>
        <v>0.38162744587399</v>
      </c>
      <c r="F242" s="23" t="n">
        <f aca="false">D242^2/($P$3+1)*B242/(1-B242)</f>
        <v>3.85353805673273E-005</v>
      </c>
      <c r="G242" s="13" t="n">
        <f aca="false">($P$2-1)*(B242-1/$P$2)</f>
        <v>1.92442354017909</v>
      </c>
      <c r="H242" s="13" t="n">
        <f aca="false">E242*SQRT(B242/(1-B242))</f>
        <v>0.0175525470784388</v>
      </c>
      <c r="I242" s="13" t="n">
        <f aca="false">ABS(D242)</f>
        <v>0.381745805490514</v>
      </c>
      <c r="J242" s="6" t="n">
        <f aca="false">IF(B242&gt;$P$4,1,0)</f>
        <v>0</v>
      </c>
      <c r="K242" s="6" t="n">
        <f aca="false">IF(F242&gt;$P$6,1,0)</f>
        <v>0</v>
      </c>
      <c r="L242" s="6" t="n">
        <f aca="false">IF(G242&gt;$P$9,1,0)</f>
        <v>0</v>
      </c>
      <c r="M242" s="6" t="n">
        <f aca="false">IF(ABS(H242)&gt;$P$8,1,0)</f>
        <v>0</v>
      </c>
    </row>
    <row r="243" customFormat="false" ht="15" hidden="false" customHeight="false" outlineLevel="0" collapsed="false">
      <c r="A243" s="0" t="n">
        <f aca="false">ROW()-1</f>
        <v>242</v>
      </c>
      <c r="B243" s="22" t="n">
        <f aca="false">SUMPRODUCT(MMULT('Analysis Data'!N243:U243,'Final Model'!$B$59:$I$66),'Analysis Data'!N243:U243)</f>
        <v>0.00211097620177443</v>
      </c>
      <c r="C243" s="15" t="n">
        <f aca="false">'Residual Diagnostics'!F243</f>
        <v>18.0805407430378</v>
      </c>
      <c r="D243" s="13" t="n">
        <f aca="false">C243/('Final Model'!$B$21*SQRT(1-B243))</f>
        <v>0.369139484115295</v>
      </c>
      <c r="E243" s="13" t="n">
        <f aca="false">D243*SQRT(('Final Model'!$B$24-1)/('Final Model'!$B$24-D243^2))</f>
        <v>0.369023765466432</v>
      </c>
      <c r="F243" s="23" t="n">
        <f aca="false">D243^2/($P$3+1)*B243/(1-B243)</f>
        <v>3.60323101047183E-005</v>
      </c>
      <c r="G243" s="13" t="n">
        <f aca="false">($P$2-1)*(B243-1/$P$2)</f>
        <v>1.92442354017909</v>
      </c>
      <c r="H243" s="13" t="n">
        <f aca="false">E243*SQRT(B243/(1-B243))</f>
        <v>0.0169728542494584</v>
      </c>
      <c r="I243" s="13" t="n">
        <f aca="false">ABS(D243)</f>
        <v>0.369139484115295</v>
      </c>
      <c r="J243" s="6" t="n">
        <f aca="false">IF(B243&gt;$P$4,1,0)</f>
        <v>0</v>
      </c>
      <c r="K243" s="6" t="n">
        <f aca="false">IF(F243&gt;$P$6,1,0)</f>
        <v>0</v>
      </c>
      <c r="L243" s="6" t="n">
        <f aca="false">IF(G243&gt;$P$9,1,0)</f>
        <v>0</v>
      </c>
      <c r="M243" s="6" t="n">
        <f aca="false">IF(ABS(H243)&gt;$P$8,1,0)</f>
        <v>0</v>
      </c>
    </row>
    <row r="244" customFormat="false" ht="15" hidden="false" customHeight="false" outlineLevel="0" collapsed="false">
      <c r="A244" s="0" t="n">
        <f aca="false">ROW()-1</f>
        <v>243</v>
      </c>
      <c r="B244" s="22" t="n">
        <f aca="false">SUMPRODUCT(MMULT('Analysis Data'!N244:U244,'Final Model'!$B$59:$I$66),'Analysis Data'!N244:U244)</f>
        <v>0.00183008807543873</v>
      </c>
      <c r="C244" s="15" t="n">
        <f aca="false">'Residual Diagnostics'!F244</f>
        <v>-21.7030089677081</v>
      </c>
      <c r="D244" s="13" t="n">
        <f aca="false">C244/('Final Model'!$B$21*SQRT(1-B244))</f>
        <v>-0.443034881913452</v>
      </c>
      <c r="E244" s="13" t="n">
        <f aca="false">D244*SQRT(('Final Model'!$B$24-1)/('Final Model'!$B$24-D244^2))</f>
        <v>-0.442905644354259</v>
      </c>
      <c r="F244" s="23" t="n">
        <f aca="false">D244^2/($P$3+1)*B244/(1-B244)</f>
        <v>4.49835133541767E-005</v>
      </c>
      <c r="G244" s="13" t="n">
        <f aca="false">($P$2-1)*(B244-1/$P$2)</f>
        <v>1.53539348520414</v>
      </c>
      <c r="H244" s="13" t="n">
        <f aca="false">E244*SQRT(B244/(1-B244))</f>
        <v>-0.0189646561646358</v>
      </c>
      <c r="I244" s="13" t="n">
        <f aca="false">ABS(D244)</f>
        <v>0.443034881913452</v>
      </c>
      <c r="J244" s="6" t="n">
        <f aca="false">IF(B244&gt;$P$4,1,0)</f>
        <v>0</v>
      </c>
      <c r="K244" s="6" t="n">
        <f aca="false">IF(F244&gt;$P$6,1,0)</f>
        <v>0</v>
      </c>
      <c r="L244" s="6" t="n">
        <f aca="false">IF(G244&gt;$P$9,1,0)</f>
        <v>0</v>
      </c>
      <c r="M244" s="6" t="n">
        <f aca="false">IF(ABS(H244)&gt;$P$8,1,0)</f>
        <v>0</v>
      </c>
    </row>
    <row r="245" customFormat="false" ht="15" hidden="false" customHeight="false" outlineLevel="0" collapsed="false">
      <c r="A245" s="0" t="n">
        <f aca="false">ROW()-1</f>
        <v>244</v>
      </c>
      <c r="B245" s="22" t="n">
        <f aca="false">SUMPRODUCT(MMULT('Analysis Data'!N245:U245,'Final Model'!$B$59:$I$66),'Analysis Data'!N245:U245)</f>
        <v>0.00183988017164561</v>
      </c>
      <c r="C245" s="15" t="n">
        <f aca="false">'Residual Diagnostics'!F245</f>
        <v>46.0974990374847</v>
      </c>
      <c r="D245" s="13" t="n">
        <f aca="false">C245/('Final Model'!$B$21*SQRT(1-B245))</f>
        <v>0.941016992069673</v>
      </c>
      <c r="E245" s="13" t="n">
        <f aca="false">D245*SQRT(('Final Model'!$B$24-1)/('Final Model'!$B$24-D245^2))</f>
        <v>0.940977875325193</v>
      </c>
      <c r="F245" s="23" t="n">
        <f aca="false">D245^2/($P$3+1)*B245/(1-B245)</f>
        <v>0.000204030112516736</v>
      </c>
      <c r="G245" s="13" t="n">
        <f aca="false">($P$2-1)*(B245-1/$P$2)</f>
        <v>1.54895553845066</v>
      </c>
      <c r="H245" s="13" t="n">
        <f aca="false">E245*SQRT(B245/(1-B245))</f>
        <v>0.0403993218144352</v>
      </c>
      <c r="I245" s="13" t="n">
        <f aca="false">ABS(D245)</f>
        <v>0.941016992069673</v>
      </c>
      <c r="J245" s="6" t="n">
        <f aca="false">IF(B245&gt;$P$4,1,0)</f>
        <v>0</v>
      </c>
      <c r="K245" s="6" t="n">
        <f aca="false">IF(F245&gt;$P$6,1,0)</f>
        <v>0</v>
      </c>
      <c r="L245" s="6" t="n">
        <f aca="false">IF(G245&gt;$P$9,1,0)</f>
        <v>0</v>
      </c>
      <c r="M245" s="6" t="n">
        <f aca="false">IF(ABS(H245)&gt;$P$8,1,0)</f>
        <v>0</v>
      </c>
    </row>
    <row r="246" customFormat="false" ht="15" hidden="false" customHeight="false" outlineLevel="0" collapsed="false">
      <c r="A246" s="0" t="n">
        <f aca="false">ROW()-1</f>
        <v>245</v>
      </c>
      <c r="B246" s="22" t="n">
        <f aca="false">SUMPRODUCT(MMULT('Analysis Data'!N246:U246,'Final Model'!$B$59:$I$66),'Analysis Data'!N246:U246)</f>
        <v>0.00199631723329465</v>
      </c>
      <c r="C246" s="15" t="n">
        <f aca="false">'Residual Diagnostics'!F246</f>
        <v>-21.9198466329759</v>
      </c>
      <c r="D246" s="13" t="n">
        <f aca="false">C246/('Final Model'!$B$21*SQRT(1-B246))</f>
        <v>-0.447498566071221</v>
      </c>
      <c r="E246" s="13" t="n">
        <f aca="false">D246*SQRT(('Final Model'!$B$24-1)/('Final Model'!$B$24-D246^2))</f>
        <v>-0.447368671757607</v>
      </c>
      <c r="F246" s="23" t="n">
        <f aca="false">D246^2/($P$3+1)*B246/(1-B246)</f>
        <v>5.00715137442712E-005</v>
      </c>
      <c r="G246" s="13" t="n">
        <f aca="false">($P$2-1)*(B246-1/$P$2)</f>
        <v>1.76562086883459</v>
      </c>
      <c r="H246" s="13" t="n">
        <f aca="false">E246*SQRT(B246/(1-B246))</f>
        <v>-0.0200084881370981</v>
      </c>
      <c r="I246" s="13" t="n">
        <f aca="false">ABS(D246)</f>
        <v>0.447498566071221</v>
      </c>
      <c r="J246" s="6" t="n">
        <f aca="false">IF(B246&gt;$P$4,1,0)</f>
        <v>0</v>
      </c>
      <c r="K246" s="6" t="n">
        <f aca="false">IF(F246&gt;$P$6,1,0)</f>
        <v>0</v>
      </c>
      <c r="L246" s="6" t="n">
        <f aca="false">IF(G246&gt;$P$9,1,0)</f>
        <v>0</v>
      </c>
      <c r="M246" s="6" t="n">
        <f aca="false">IF(ABS(H246)&gt;$P$8,1,0)</f>
        <v>0</v>
      </c>
    </row>
    <row r="247" customFormat="false" ht="15" hidden="false" customHeight="false" outlineLevel="0" collapsed="false">
      <c r="A247" s="0" t="n">
        <f aca="false">ROW()-1</f>
        <v>246</v>
      </c>
      <c r="B247" s="22" t="n">
        <f aca="false">SUMPRODUCT(MMULT('Analysis Data'!N247:U247,'Final Model'!$B$59:$I$66),'Analysis Data'!N247:U247)</f>
        <v>0.00307917104651043</v>
      </c>
      <c r="C247" s="15" t="n">
        <f aca="false">'Residual Diagnostics'!F247</f>
        <v>5.85403825340856</v>
      </c>
      <c r="D247" s="13" t="n">
        <f aca="false">C247/('Final Model'!$B$21*SQRT(1-B247))</f>
        <v>0.119576387763438</v>
      </c>
      <c r="E247" s="13" t="n">
        <f aca="false">D247*SQRT(('Final Model'!$B$24-1)/('Final Model'!$B$24-D247^2))</f>
        <v>0.119533612388916</v>
      </c>
      <c r="F247" s="23" t="n">
        <f aca="false">D247^2/($P$3+1)*B247/(1-B247)</f>
        <v>5.52044410799356E-006</v>
      </c>
      <c r="G247" s="13" t="n">
        <f aca="false">($P$2-1)*(B247-1/$P$2)</f>
        <v>3.26537340013844</v>
      </c>
      <c r="H247" s="13" t="n">
        <f aca="false">E247*SQRT(B247/(1-B247))</f>
        <v>0.00664318912624806</v>
      </c>
      <c r="I247" s="13" t="n">
        <f aca="false">ABS(D247)</f>
        <v>0.119576387763438</v>
      </c>
      <c r="J247" s="6" t="n">
        <f aca="false">IF(B247&gt;$P$4,1,0)</f>
        <v>0</v>
      </c>
      <c r="K247" s="6" t="n">
        <f aca="false">IF(F247&gt;$P$6,1,0)</f>
        <v>0</v>
      </c>
      <c r="L247" s="6" t="n">
        <f aca="false">IF(G247&gt;$P$9,1,0)</f>
        <v>0</v>
      </c>
      <c r="M247" s="6" t="n">
        <f aca="false">IF(ABS(H247)&gt;$P$8,1,0)</f>
        <v>0</v>
      </c>
    </row>
    <row r="248" customFormat="false" ht="15" hidden="false" customHeight="false" outlineLevel="0" collapsed="false">
      <c r="A248" s="0" t="n">
        <f aca="false">ROW()-1</f>
        <v>247</v>
      </c>
      <c r="B248" s="22" t="n">
        <f aca="false">SUMPRODUCT(MMULT('Analysis Data'!N248:U248,'Final Model'!$B$59:$I$66),'Analysis Data'!N248:U248)</f>
        <v>0.00250183651263945</v>
      </c>
      <c r="C248" s="15" t="n">
        <f aca="false">'Residual Diagnostics'!F248</f>
        <v>42.1504588693477</v>
      </c>
      <c r="D248" s="13" t="n">
        <f aca="false">C248/('Final Model'!$B$21*SQRT(1-B248))</f>
        <v>0.860729054908511</v>
      </c>
      <c r="E248" s="13" t="n">
        <f aca="false">D248*SQRT(('Final Model'!$B$24-1)/('Final Model'!$B$24-D248^2))</f>
        <v>0.860648073580355</v>
      </c>
      <c r="F248" s="23" t="n">
        <f aca="false">D248^2/($P$3+1)*B248/(1-B248)</f>
        <v>0.000232268203769596</v>
      </c>
      <c r="G248" s="13" t="n">
        <f aca="false">($P$2-1)*(B248-1/$P$2)</f>
        <v>2.46576507072715</v>
      </c>
      <c r="H248" s="13" t="n">
        <f aca="false">E248*SQRT(B248/(1-B248))</f>
        <v>0.0431021577292541</v>
      </c>
      <c r="I248" s="13" t="n">
        <f aca="false">ABS(D248)</f>
        <v>0.860729054908511</v>
      </c>
      <c r="J248" s="6" t="n">
        <f aca="false">IF(B248&gt;$P$4,1,0)</f>
        <v>0</v>
      </c>
      <c r="K248" s="6" t="n">
        <f aca="false">IF(F248&gt;$P$6,1,0)</f>
        <v>0</v>
      </c>
      <c r="L248" s="6" t="n">
        <f aca="false">IF(G248&gt;$P$9,1,0)</f>
        <v>0</v>
      </c>
      <c r="M248" s="6" t="n">
        <f aca="false">IF(ABS(H248)&gt;$P$8,1,0)</f>
        <v>0</v>
      </c>
    </row>
    <row r="249" customFormat="false" ht="15" hidden="false" customHeight="false" outlineLevel="0" collapsed="false">
      <c r="A249" s="0" t="n">
        <f aca="false">ROW()-1</f>
        <v>248</v>
      </c>
      <c r="B249" s="22" t="n">
        <f aca="false">SUMPRODUCT(MMULT('Analysis Data'!N249:U249,'Final Model'!$B$59:$I$66),'Analysis Data'!N249:U249)</f>
        <v>0.00184703226166082</v>
      </c>
      <c r="C249" s="15" t="n">
        <f aca="false">'Residual Diagnostics'!F249</f>
        <v>5.2269134240573</v>
      </c>
      <c r="D249" s="13" t="n">
        <f aca="false">C249/('Final Model'!$B$21*SQRT(1-B249))</f>
        <v>0.106700625251231</v>
      </c>
      <c r="E249" s="13" t="n">
        <f aca="false">D249*SQRT(('Final Model'!$B$24-1)/('Final Model'!$B$24-D249^2))</f>
        <v>0.106662343090718</v>
      </c>
      <c r="F249" s="23" t="n">
        <f aca="false">D249^2/($P$3+1)*B249/(1-B249)</f>
        <v>2.6334272216789E-006</v>
      </c>
      <c r="G249" s="13" t="n">
        <f aca="false">($P$2-1)*(B249-1/$P$2)</f>
        <v>1.55886118312173</v>
      </c>
      <c r="H249" s="13" t="n">
        <f aca="false">E249*SQRT(B249/(1-B249))</f>
        <v>0.00458827890450238</v>
      </c>
      <c r="I249" s="13" t="n">
        <f aca="false">ABS(D249)</f>
        <v>0.106700625251231</v>
      </c>
      <c r="J249" s="6" t="n">
        <f aca="false">IF(B249&gt;$P$4,1,0)</f>
        <v>0</v>
      </c>
      <c r="K249" s="6" t="n">
        <f aca="false">IF(F249&gt;$P$6,1,0)</f>
        <v>0</v>
      </c>
      <c r="L249" s="6" t="n">
        <f aca="false">IF(G249&gt;$P$9,1,0)</f>
        <v>0</v>
      </c>
      <c r="M249" s="6" t="n">
        <f aca="false">IF(ABS(H249)&gt;$P$8,1,0)</f>
        <v>0</v>
      </c>
    </row>
    <row r="250" customFormat="false" ht="15" hidden="false" customHeight="false" outlineLevel="0" collapsed="false">
      <c r="A250" s="0" t="n">
        <f aca="false">ROW()-1</f>
        <v>249</v>
      </c>
      <c r="B250" s="22" t="n">
        <f aca="false">SUMPRODUCT(MMULT('Analysis Data'!N250:U250,'Final Model'!$B$59:$I$66),'Analysis Data'!N250:U250)</f>
        <v>0.00184703226166082</v>
      </c>
      <c r="C250" s="15" t="n">
        <f aca="false">'Residual Diagnostics'!F250</f>
        <v>-65.9862129897737</v>
      </c>
      <c r="D250" s="13" t="n">
        <f aca="false">C250/('Final Model'!$B$21*SQRT(1-B250))</f>
        <v>-1.34702253753889</v>
      </c>
      <c r="E250" s="13" t="n">
        <f aca="false">D250*SQRT(('Final Model'!$B$24-1)/('Final Model'!$B$24-D250^2))</f>
        <v>-1.34742108365147</v>
      </c>
      <c r="F250" s="23" t="n">
        <f aca="false">D250^2/($P$3+1)*B250/(1-B250)</f>
        <v>0.000419698209187078</v>
      </c>
      <c r="G250" s="13" t="n">
        <f aca="false">($P$2-1)*(B250-1/$P$2)</f>
        <v>1.55886118312173</v>
      </c>
      <c r="H250" s="13" t="n">
        <f aca="false">E250*SQRT(B250/(1-B250))</f>
        <v>-0.0579618218994273</v>
      </c>
      <c r="I250" s="13" t="n">
        <f aca="false">ABS(D250)</f>
        <v>1.34702253753889</v>
      </c>
      <c r="J250" s="6" t="n">
        <f aca="false">IF(B250&gt;$P$4,1,0)</f>
        <v>0</v>
      </c>
      <c r="K250" s="6" t="n">
        <f aca="false">IF(F250&gt;$P$6,1,0)</f>
        <v>0</v>
      </c>
      <c r="L250" s="6" t="n">
        <f aca="false">IF(G250&gt;$P$9,1,0)</f>
        <v>0</v>
      </c>
      <c r="M250" s="6" t="n">
        <f aca="false">IF(ABS(H250)&gt;$P$8,1,0)</f>
        <v>0</v>
      </c>
    </row>
    <row r="251" customFormat="false" ht="15" hidden="false" customHeight="false" outlineLevel="0" collapsed="false">
      <c r="A251" s="0" t="n">
        <f aca="false">ROW()-1</f>
        <v>250</v>
      </c>
      <c r="B251" s="22" t="n">
        <f aca="false">SUMPRODUCT(MMULT('Analysis Data'!N251:U251,'Final Model'!$B$59:$I$66),'Analysis Data'!N251:U251)</f>
        <v>0.0148727846617894</v>
      </c>
      <c r="C251" s="15" t="n">
        <f aca="false">'Residual Diagnostics'!F251</f>
        <v>-5.93676042255044</v>
      </c>
      <c r="D251" s="13" t="n">
        <f aca="false">C251/('Final Model'!$B$21*SQRT(1-B251))</f>
        <v>-0.121989815251177</v>
      </c>
      <c r="E251" s="13" t="n">
        <f aca="false">D251*SQRT(('Final Model'!$B$24-1)/('Final Model'!$B$24-D251^2))</f>
        <v>-0.121946202331793</v>
      </c>
      <c r="F251" s="23" t="n">
        <f aca="false">D251^2/($P$3+1)*B251/(1-B251)</f>
        <v>2.80838815741507E-005</v>
      </c>
      <c r="G251" s="13" t="n">
        <f aca="false">($P$2-1)*(B251-1/$P$2)</f>
        <v>19.5995282572998</v>
      </c>
      <c r="H251" s="13" t="n">
        <f aca="false">E251*SQRT(B251/(1-B251))</f>
        <v>-0.0149836723055219</v>
      </c>
      <c r="I251" s="13" t="n">
        <f aca="false">ABS(D251)</f>
        <v>0.121989815251177</v>
      </c>
      <c r="J251" s="6" t="n">
        <f aca="false">IF(B251&gt;$P$4,1,0)</f>
        <v>1</v>
      </c>
      <c r="K251" s="6" t="n">
        <f aca="false">IF(F251&gt;$P$6,1,0)</f>
        <v>0</v>
      </c>
      <c r="L251" s="6" t="n">
        <f aca="false">IF(G251&gt;$P$9,1,0)</f>
        <v>1</v>
      </c>
      <c r="M251" s="6" t="n">
        <f aca="false">IF(ABS(H251)&gt;$P$8,1,0)</f>
        <v>0</v>
      </c>
    </row>
    <row r="252" customFormat="false" ht="15" hidden="false" customHeight="false" outlineLevel="0" collapsed="false">
      <c r="A252" s="0" t="n">
        <f aca="false">ROW()-1</f>
        <v>251</v>
      </c>
      <c r="B252" s="22" t="n">
        <f aca="false">SUMPRODUCT(MMULT('Analysis Data'!N252:U252,'Final Model'!$B$59:$I$66),'Analysis Data'!N252:U252)</f>
        <v>0.00685995219757704</v>
      </c>
      <c r="C252" s="15" t="n">
        <f aca="false">'Residual Diagnostics'!F252</f>
        <v>-90.8609258353276</v>
      </c>
      <c r="D252" s="13" t="n">
        <f aca="false">C252/('Final Model'!$B$21*SQRT(1-B252))</f>
        <v>-1.85948260124568</v>
      </c>
      <c r="E252" s="13" t="n">
        <f aca="false">D252*SQRT(('Final Model'!$B$24-1)/('Final Model'!$B$24-D252^2))</f>
        <v>-1.8611442321282</v>
      </c>
      <c r="F252" s="23" t="n">
        <f aca="false">D252^2/($P$3+1)*B252/(1-B252)</f>
        <v>0.00298541592917301</v>
      </c>
      <c r="G252" s="13" t="n">
        <f aca="false">($P$2-1)*(B252-1/$P$2)</f>
        <v>8.5017552943657</v>
      </c>
      <c r="H252" s="13" t="n">
        <f aca="false">E252*SQRT(B252/(1-B252))</f>
        <v>-0.154680414779287</v>
      </c>
      <c r="I252" s="13" t="n">
        <f aca="false">ABS(D252)</f>
        <v>1.85948260124568</v>
      </c>
      <c r="J252" s="6" t="n">
        <f aca="false">IF(B252&gt;$P$4,1,0)</f>
        <v>0</v>
      </c>
      <c r="K252" s="6" t="n">
        <f aca="false">IF(F252&gt;$P$6,1,0)</f>
        <v>1</v>
      </c>
      <c r="L252" s="6" t="n">
        <f aca="false">IF(G252&gt;$P$9,1,0)</f>
        <v>0</v>
      </c>
      <c r="M252" s="6" t="n">
        <f aca="false">IF(ABS(H252)&gt;$P$8,1,0)</f>
        <v>1</v>
      </c>
    </row>
    <row r="253" customFormat="false" ht="15" hidden="false" customHeight="false" outlineLevel="0" collapsed="false">
      <c r="A253" s="0" t="n">
        <f aca="false">ROW()-1</f>
        <v>252</v>
      </c>
      <c r="B253" s="22" t="n">
        <f aca="false">SUMPRODUCT(MMULT('Analysis Data'!N253:U253,'Final Model'!$B$59:$I$66),'Analysis Data'!N253:U253)</f>
        <v>0.00769137816516485</v>
      </c>
      <c r="C253" s="15" t="n">
        <f aca="false">'Residual Diagnostics'!F253</f>
        <v>60.6530397870337</v>
      </c>
      <c r="D253" s="13" t="n">
        <f aca="false">C253/('Final Model'!$B$21*SQRT(1-B253))</f>
        <v>1.2417935448708</v>
      </c>
      <c r="E253" s="13" t="n">
        <f aca="false">D253*SQRT(('Final Model'!$B$24-1)/('Final Model'!$B$24-D253^2))</f>
        <v>1.24203803088518</v>
      </c>
      <c r="F253" s="23" t="n">
        <f aca="false">D253^2/($P$3+1)*B253/(1-B253)</f>
        <v>0.0014940537059785</v>
      </c>
      <c r="G253" s="13" t="n">
        <f aca="false">($P$2-1)*(B253-1/$P$2)</f>
        <v>9.65328025947482</v>
      </c>
      <c r="H253" s="13" t="n">
        <f aca="false">E253*SQRT(B253/(1-B253))</f>
        <v>0.10934869241367</v>
      </c>
      <c r="I253" s="13" t="n">
        <f aca="false">ABS(D253)</f>
        <v>1.2417935448708</v>
      </c>
      <c r="J253" s="6" t="n">
        <f aca="false">IF(B253&gt;$P$4,1,0)</f>
        <v>0</v>
      </c>
      <c r="K253" s="6" t="n">
        <f aca="false">IF(F253&gt;$P$6,1,0)</f>
        <v>0</v>
      </c>
      <c r="L253" s="6" t="n">
        <f aca="false">IF(G253&gt;$P$9,1,0)</f>
        <v>0</v>
      </c>
      <c r="M253" s="6" t="n">
        <f aca="false">IF(ABS(H253)&gt;$P$8,1,0)</f>
        <v>0</v>
      </c>
    </row>
    <row r="254" customFormat="false" ht="15" hidden="false" customHeight="false" outlineLevel="0" collapsed="false">
      <c r="A254" s="0" t="n">
        <f aca="false">ROW()-1</f>
        <v>253</v>
      </c>
      <c r="B254" s="22" t="n">
        <f aca="false">SUMPRODUCT(MMULT('Analysis Data'!N254:U254,'Final Model'!$B$59:$I$66),'Analysis Data'!N254:U254)</f>
        <v>0.00769137816516485</v>
      </c>
      <c r="C254" s="15" t="n">
        <f aca="false">'Residual Diagnostics'!F254</f>
        <v>32.1195720617245</v>
      </c>
      <c r="D254" s="13" t="n">
        <f aca="false">C254/('Final Model'!$B$21*SQRT(1-B254))</f>
        <v>0.657607226122716</v>
      </c>
      <c r="E254" s="13" t="n">
        <f aca="false">D254*SQRT(('Final Model'!$B$24-1)/('Final Model'!$B$24-D254^2))</f>
        <v>0.657471746294633</v>
      </c>
      <c r="F254" s="23" t="n">
        <f aca="false">D254^2/($P$3+1)*B254/(1-B254)</f>
        <v>0.000418987017945317</v>
      </c>
      <c r="G254" s="13" t="n">
        <f aca="false">($P$2-1)*(B254-1/$P$2)</f>
        <v>9.65328025947482</v>
      </c>
      <c r="H254" s="13" t="n">
        <f aca="false">E254*SQRT(B254/(1-B254))</f>
        <v>0.0578836347748648</v>
      </c>
      <c r="I254" s="13" t="n">
        <f aca="false">ABS(D254)</f>
        <v>0.657607226122716</v>
      </c>
      <c r="J254" s="6" t="n">
        <f aca="false">IF(B254&gt;$P$4,1,0)</f>
        <v>0</v>
      </c>
      <c r="K254" s="6" t="n">
        <f aca="false">IF(F254&gt;$P$6,1,0)</f>
        <v>0</v>
      </c>
      <c r="L254" s="6" t="n">
        <f aca="false">IF(G254&gt;$P$9,1,0)</f>
        <v>0</v>
      </c>
      <c r="M254" s="6" t="n">
        <f aca="false">IF(ABS(H254)&gt;$P$8,1,0)</f>
        <v>0</v>
      </c>
    </row>
    <row r="255" customFormat="false" ht="15" hidden="false" customHeight="false" outlineLevel="0" collapsed="false">
      <c r="A255" s="0" t="n">
        <f aca="false">ROW()-1</f>
        <v>254</v>
      </c>
      <c r="B255" s="22" t="n">
        <f aca="false">SUMPRODUCT(MMULT('Analysis Data'!N255:U255,'Final Model'!$B$59:$I$66),'Analysis Data'!N255:U255)</f>
        <v>0.00168832798629141</v>
      </c>
      <c r="C255" s="15" t="n">
        <f aca="false">'Residual Diagnostics'!F255</f>
        <v>-18.4543393707405</v>
      </c>
      <c r="D255" s="13" t="n">
        <f aca="false">C255/('Final Model'!$B$21*SQRT(1-B255))</f>
        <v>-0.37669134109978</v>
      </c>
      <c r="E255" s="13" t="n">
        <f aca="false">D255*SQRT(('Final Model'!$B$24-1)/('Final Model'!$B$24-D255^2))</f>
        <v>-0.376574024755558</v>
      </c>
      <c r="F255" s="23" t="n">
        <f aca="false">D255^2/($P$3+1)*B255/(1-B255)</f>
        <v>2.99965949215397E-005</v>
      </c>
      <c r="G255" s="13" t="n">
        <f aca="false">($P$2-1)*(B255-1/$P$2)</f>
        <v>1.3390557617351</v>
      </c>
      <c r="H255" s="13" t="n">
        <f aca="false">E255*SQRT(B255/(1-B255))</f>
        <v>-0.0154862296552308</v>
      </c>
      <c r="I255" s="13" t="n">
        <f aca="false">ABS(D255)</f>
        <v>0.37669134109978</v>
      </c>
      <c r="J255" s="6" t="n">
        <f aca="false">IF(B255&gt;$P$4,1,0)</f>
        <v>0</v>
      </c>
      <c r="K255" s="6" t="n">
        <f aca="false">IF(F255&gt;$P$6,1,0)</f>
        <v>0</v>
      </c>
      <c r="L255" s="6" t="n">
        <f aca="false">IF(G255&gt;$P$9,1,0)</f>
        <v>0</v>
      </c>
      <c r="M255" s="6" t="n">
        <f aca="false">IF(ABS(H255)&gt;$P$8,1,0)</f>
        <v>0</v>
      </c>
    </row>
    <row r="256" customFormat="false" ht="15" hidden="false" customHeight="false" outlineLevel="0" collapsed="false">
      <c r="A256" s="0" t="n">
        <f aca="false">ROW()-1</f>
        <v>255</v>
      </c>
      <c r="B256" s="22" t="n">
        <f aca="false">SUMPRODUCT(MMULT('Analysis Data'!N256:U256,'Final Model'!$B$59:$I$66),'Analysis Data'!N256:U256)</f>
        <v>0.00168832798629141</v>
      </c>
      <c r="C256" s="15" t="n">
        <f aca="false">'Residual Diagnostics'!F256</f>
        <v>64.0778028742955</v>
      </c>
      <c r="D256" s="13" t="n">
        <f aca="false">C256/('Final Model'!$B$21*SQRT(1-B256))</f>
        <v>1.30796085487167</v>
      </c>
      <c r="E256" s="13" t="n">
        <f aca="false">D256*SQRT(('Final Model'!$B$24-1)/('Final Model'!$B$24-D256^2))</f>
        <v>1.30829854855076</v>
      </c>
      <c r="F256" s="23" t="n">
        <f aca="false">D256^2/($P$3+1)*B256/(1-B256)</f>
        <v>0.000361651421662441</v>
      </c>
      <c r="G256" s="13" t="n">
        <f aca="false">($P$2-1)*(B256-1/$P$2)</f>
        <v>1.3390557617351</v>
      </c>
      <c r="H256" s="13" t="n">
        <f aca="false">E256*SQRT(B256/(1-B256))</f>
        <v>0.0538024676386371</v>
      </c>
      <c r="I256" s="13" t="n">
        <f aca="false">ABS(D256)</f>
        <v>1.30796085487167</v>
      </c>
      <c r="J256" s="6" t="n">
        <f aca="false">IF(B256&gt;$P$4,1,0)</f>
        <v>0</v>
      </c>
      <c r="K256" s="6" t="n">
        <f aca="false">IF(F256&gt;$P$6,1,0)</f>
        <v>0</v>
      </c>
      <c r="L256" s="6" t="n">
        <f aca="false">IF(G256&gt;$P$9,1,0)</f>
        <v>0</v>
      </c>
      <c r="M256" s="6" t="n">
        <f aca="false">IF(ABS(H256)&gt;$P$8,1,0)</f>
        <v>0</v>
      </c>
    </row>
    <row r="257" customFormat="false" ht="15" hidden="false" customHeight="false" outlineLevel="0" collapsed="false">
      <c r="A257" s="0" t="n">
        <f aca="false">ROW()-1</f>
        <v>256</v>
      </c>
      <c r="B257" s="22" t="n">
        <f aca="false">SUMPRODUCT(MMULT('Analysis Data'!N257:U257,'Final Model'!$B$59:$I$66),'Analysis Data'!N257:U257)</f>
        <v>0.00307917104651043</v>
      </c>
      <c r="C257" s="15" t="n">
        <f aca="false">'Residual Diagnostics'!F257</f>
        <v>-33.2682243756853</v>
      </c>
      <c r="D257" s="13" t="n">
        <f aca="false">C257/('Final Model'!$B$21*SQRT(1-B257))</f>
        <v>-0.679546994048375</v>
      </c>
      <c r="E257" s="13" t="n">
        <f aca="false">D257*SQRT(('Final Model'!$B$24-1)/('Final Model'!$B$24-D257^2))</f>
        <v>-0.679414228687369</v>
      </c>
      <c r="F257" s="23" t="n">
        <f aca="false">D257^2/($P$3+1)*B257/(1-B257)</f>
        <v>0.000178288014689628</v>
      </c>
      <c r="G257" s="13" t="n">
        <f aca="false">($P$2-1)*(B257-1/$P$2)</f>
        <v>3.26537340013844</v>
      </c>
      <c r="H257" s="13" t="n">
        <f aca="false">E257*SQRT(B257/(1-B257))</f>
        <v>-0.0377590631290306</v>
      </c>
      <c r="I257" s="13" t="n">
        <f aca="false">ABS(D257)</f>
        <v>0.679546994048375</v>
      </c>
      <c r="J257" s="6" t="n">
        <f aca="false">IF(B257&gt;$P$4,1,0)</f>
        <v>0</v>
      </c>
      <c r="K257" s="6" t="n">
        <f aca="false">IF(F257&gt;$P$6,1,0)</f>
        <v>0</v>
      </c>
      <c r="L257" s="6" t="n">
        <f aca="false">IF(G257&gt;$P$9,1,0)</f>
        <v>0</v>
      </c>
      <c r="M257" s="6" t="n">
        <f aca="false">IF(ABS(H257)&gt;$P$8,1,0)</f>
        <v>0</v>
      </c>
    </row>
    <row r="258" customFormat="false" ht="15" hidden="false" customHeight="false" outlineLevel="0" collapsed="false">
      <c r="A258" s="0" t="n">
        <f aca="false">ROW()-1</f>
        <v>257</v>
      </c>
      <c r="B258" s="22" t="n">
        <f aca="false">SUMPRODUCT(MMULT('Analysis Data'!N258:U258,'Final Model'!$B$59:$I$66),'Analysis Data'!N258:U258)</f>
        <v>0.00307917104651043</v>
      </c>
      <c r="C258" s="15" t="n">
        <f aca="false">'Residual Diagnostics'!F258</f>
        <v>-74.635620205077</v>
      </c>
      <c r="D258" s="13" t="n">
        <f aca="false">C258/('Final Model'!$B$21*SQRT(1-B258))</f>
        <v>-1.52453015786333</v>
      </c>
      <c r="E258" s="13" t="n">
        <f aca="false">D258*SQRT(('Final Model'!$B$24-1)/('Final Model'!$B$24-D258^2))</f>
        <v>-1.52526371927524</v>
      </c>
      <c r="F258" s="23" t="n">
        <f aca="false">D258^2/($P$3+1)*B258/(1-B258)</f>
        <v>0.000897336218659317</v>
      </c>
      <c r="G258" s="13" t="n">
        <f aca="false">($P$2-1)*(B258-1/$P$2)</f>
        <v>3.26537340013844</v>
      </c>
      <c r="H258" s="13" t="n">
        <f aca="false">E258*SQRT(B258/(1-B258))</f>
        <v>-0.0847679171744794</v>
      </c>
      <c r="I258" s="13" t="n">
        <f aca="false">ABS(D258)</f>
        <v>1.52453015786333</v>
      </c>
      <c r="J258" s="6" t="n">
        <f aca="false">IF(B258&gt;$P$4,1,0)</f>
        <v>0</v>
      </c>
      <c r="K258" s="6" t="n">
        <f aca="false">IF(F258&gt;$P$6,1,0)</f>
        <v>0</v>
      </c>
      <c r="L258" s="6" t="n">
        <f aca="false">IF(G258&gt;$P$9,1,0)</f>
        <v>0</v>
      </c>
      <c r="M258" s="6" t="n">
        <f aca="false">IF(ABS(H258)&gt;$P$8,1,0)</f>
        <v>0</v>
      </c>
    </row>
    <row r="259" customFormat="false" ht="15" hidden="false" customHeight="false" outlineLevel="0" collapsed="false">
      <c r="A259" s="0" t="n">
        <f aca="false">ROW()-1</f>
        <v>258</v>
      </c>
      <c r="B259" s="22" t="n">
        <f aca="false">SUMPRODUCT(MMULT('Analysis Data'!N259:U259,'Final Model'!$B$59:$I$66),'Analysis Data'!N259:U259)</f>
        <v>0.00307917104651043</v>
      </c>
      <c r="C259" s="15" t="n">
        <f aca="false">'Residual Diagnostics'!F259</f>
        <v>17.6467509238013</v>
      </c>
      <c r="D259" s="13" t="n">
        <f aca="false">C259/('Final Model'!$B$21*SQRT(1-B259))</f>
        <v>0.36045796762613</v>
      </c>
      <c r="E259" s="13" t="n">
        <f aca="false">D259*SQRT(('Final Model'!$B$24-1)/('Final Model'!$B$24-D259^2))</f>
        <v>0.360344142231459</v>
      </c>
      <c r="F259" s="23" t="n">
        <f aca="false">D259^2/($P$3+1)*B259/(1-B259)</f>
        <v>5.01640297664085E-005</v>
      </c>
      <c r="G259" s="13" t="n">
        <f aca="false">($P$2-1)*(B259-1/$P$2)</f>
        <v>3.26537340013844</v>
      </c>
      <c r="H259" s="13" t="n">
        <f aca="false">E259*SQRT(B259/(1-B259))</f>
        <v>0.020026453141821</v>
      </c>
      <c r="I259" s="13" t="n">
        <f aca="false">ABS(D259)</f>
        <v>0.36045796762613</v>
      </c>
      <c r="J259" s="6" t="n">
        <f aca="false">IF(B259&gt;$P$4,1,0)</f>
        <v>0</v>
      </c>
      <c r="K259" s="6" t="n">
        <f aca="false">IF(F259&gt;$P$6,1,0)</f>
        <v>0</v>
      </c>
      <c r="L259" s="6" t="n">
        <f aca="false">IF(G259&gt;$P$9,1,0)</f>
        <v>0</v>
      </c>
      <c r="M259" s="6" t="n">
        <f aca="false">IF(ABS(H259)&gt;$P$8,1,0)</f>
        <v>0</v>
      </c>
    </row>
    <row r="260" customFormat="false" ht="15" hidden="false" customHeight="false" outlineLevel="0" collapsed="false">
      <c r="A260" s="0" t="n">
        <f aca="false">ROW()-1</f>
        <v>259</v>
      </c>
      <c r="B260" s="22" t="n">
        <f aca="false">SUMPRODUCT(MMULT('Analysis Data'!N260:U260,'Final Model'!$B$59:$I$66),'Analysis Data'!N260:U260)</f>
        <v>0.00230529624841536</v>
      </c>
      <c r="C260" s="15" t="n">
        <f aca="false">'Residual Diagnostics'!F260</f>
        <v>64.4329394646926</v>
      </c>
      <c r="D260" s="13" t="n">
        <f aca="false">C260/('Final Model'!$B$21*SQRT(1-B260))</f>
        <v>1.31561652525157</v>
      </c>
      <c r="E260" s="13" t="n">
        <f aca="false">D260*SQRT(('Final Model'!$B$24-1)/('Final Model'!$B$24-D260^2))</f>
        <v>1.31596579798083</v>
      </c>
      <c r="F260" s="23" t="n">
        <f aca="false">D260^2/($P$3+1)*B260/(1-B260)</f>
        <v>0.000499916797608818</v>
      </c>
      <c r="G260" s="13" t="n">
        <f aca="false">($P$2-1)*(B260-1/$P$2)</f>
        <v>2.19355680477678</v>
      </c>
      <c r="H260" s="13" t="n">
        <f aca="false">E260*SQRT(B260/(1-B260))</f>
        <v>0.0632570799727758</v>
      </c>
      <c r="I260" s="13" t="n">
        <f aca="false">ABS(D260)</f>
        <v>1.31561652525157</v>
      </c>
      <c r="J260" s="6" t="n">
        <f aca="false">IF(B260&gt;$P$4,1,0)</f>
        <v>0</v>
      </c>
      <c r="K260" s="6" t="n">
        <f aca="false">IF(F260&gt;$P$6,1,0)</f>
        <v>0</v>
      </c>
      <c r="L260" s="6" t="n">
        <f aca="false">IF(G260&gt;$P$9,1,0)</f>
        <v>0</v>
      </c>
      <c r="M260" s="6" t="n">
        <f aca="false">IF(ABS(H260)&gt;$P$8,1,0)</f>
        <v>0</v>
      </c>
    </row>
    <row r="261" customFormat="false" ht="15" hidden="false" customHeight="false" outlineLevel="0" collapsed="false">
      <c r="A261" s="0" t="n">
        <f aca="false">ROW()-1</f>
        <v>260</v>
      </c>
      <c r="B261" s="22" t="n">
        <f aca="false">SUMPRODUCT(MMULT('Analysis Data'!N261:U261,'Final Model'!$B$59:$I$66),'Analysis Data'!N261:U261)</f>
        <v>0.00230529624841536</v>
      </c>
      <c r="C261" s="15" t="n">
        <f aca="false">'Residual Diagnostics'!F261</f>
        <v>110.761926114816</v>
      </c>
      <c r="D261" s="13" t="n">
        <f aca="false">C261/('Final Model'!$B$21*SQRT(1-B261))</f>
        <v>2.26157958298947</v>
      </c>
      <c r="E261" s="13" t="n">
        <f aca="false">D261*SQRT(('Final Model'!$B$24-1)/('Final Model'!$B$24-D261^2))</f>
        <v>2.26496619327529</v>
      </c>
      <c r="F261" s="23" t="n">
        <f aca="false">D261^2/($P$3+1)*B261/(1-B261)</f>
        <v>0.00147728007180413</v>
      </c>
      <c r="G261" s="13" t="n">
        <f aca="false">($P$2-1)*(B261-1/$P$2)</f>
        <v>2.19355680477678</v>
      </c>
      <c r="H261" s="13" t="n">
        <f aca="false">E261*SQRT(B261/(1-B261))</f>
        <v>0.108874522304064</v>
      </c>
      <c r="I261" s="13" t="n">
        <f aca="false">ABS(D261)</f>
        <v>2.26157958298947</v>
      </c>
      <c r="J261" s="6" t="n">
        <f aca="false">IF(B261&gt;$P$4,1,0)</f>
        <v>0</v>
      </c>
      <c r="K261" s="6" t="n">
        <f aca="false">IF(F261&gt;$P$6,1,0)</f>
        <v>0</v>
      </c>
      <c r="L261" s="6" t="n">
        <f aca="false">IF(G261&gt;$P$9,1,0)</f>
        <v>0</v>
      </c>
      <c r="M261" s="6" t="n">
        <f aca="false">IF(ABS(H261)&gt;$P$8,1,0)</f>
        <v>0</v>
      </c>
    </row>
    <row r="262" customFormat="false" ht="15" hidden="false" customHeight="false" outlineLevel="0" collapsed="false">
      <c r="A262" s="0" t="n">
        <f aca="false">ROW()-1</f>
        <v>261</v>
      </c>
      <c r="B262" s="22" t="n">
        <f aca="false">SUMPRODUCT(MMULT('Analysis Data'!N262:U262,'Final Model'!$B$59:$I$66),'Analysis Data'!N262:U262)</f>
        <v>0.015362801340865</v>
      </c>
      <c r="C262" s="15" t="n">
        <f aca="false">'Residual Diagnostics'!F262</f>
        <v>-61.637462256316</v>
      </c>
      <c r="D262" s="13" t="n">
        <f aca="false">C262/('Final Model'!$B$21*SQRT(1-B262))</f>
        <v>-1.26685479311333</v>
      </c>
      <c r="E262" s="13" t="n">
        <f aca="false">D262*SQRT(('Final Model'!$B$24-1)/('Final Model'!$B$24-D262^2))</f>
        <v>-1.26713315176973</v>
      </c>
      <c r="F262" s="23" t="n">
        <f aca="false">D262^2/($P$3+1)*B262/(1-B262)</f>
        <v>0.00313009750585284</v>
      </c>
      <c r="G262" s="13" t="n">
        <f aca="false">($P$2-1)*(B262-1/$P$2)</f>
        <v>20.2782013578196</v>
      </c>
      <c r="H262" s="13" t="n">
        <f aca="false">E262*SQRT(B262/(1-B262))</f>
        <v>-0.158277558063374</v>
      </c>
      <c r="I262" s="13" t="n">
        <f aca="false">ABS(D262)</f>
        <v>1.26685479311333</v>
      </c>
      <c r="J262" s="6" t="n">
        <f aca="false">IF(B262&gt;$P$4,1,0)</f>
        <v>1</v>
      </c>
      <c r="K262" s="6" t="n">
        <f aca="false">IF(F262&gt;$P$6,1,0)</f>
        <v>1</v>
      </c>
      <c r="L262" s="6" t="n">
        <f aca="false">IF(G262&gt;$P$9,1,0)</f>
        <v>1</v>
      </c>
      <c r="M262" s="6" t="n">
        <f aca="false">IF(ABS(H262)&gt;$P$8,1,0)</f>
        <v>1</v>
      </c>
    </row>
    <row r="263" customFormat="false" ht="15" hidden="false" customHeight="false" outlineLevel="0" collapsed="false">
      <c r="A263" s="0" t="n">
        <f aca="false">ROW()-1</f>
        <v>262</v>
      </c>
      <c r="B263" s="22" t="n">
        <f aca="false">SUMPRODUCT(MMULT('Analysis Data'!N263:U263,'Final Model'!$B$59:$I$66),'Analysis Data'!N263:U263)</f>
        <v>0.0071697013325724</v>
      </c>
      <c r="C263" s="15" t="n">
        <f aca="false">'Residual Diagnostics'!F263</f>
        <v>-37.2940974226202</v>
      </c>
      <c r="D263" s="13" t="n">
        <f aca="false">C263/('Final Model'!$B$21*SQRT(1-B263))</f>
        <v>-0.76334839827268</v>
      </c>
      <c r="E263" s="13" t="n">
        <f aca="false">D263*SQRT(('Final Model'!$B$24-1)/('Final Model'!$B$24-D263^2))</f>
        <v>-0.763232758363265</v>
      </c>
      <c r="F263" s="23" t="n">
        <f aca="false">D263^2/($P$3+1)*B263/(1-B263)</f>
        <v>0.00052599504467156</v>
      </c>
      <c r="G263" s="13" t="n">
        <f aca="false">($P$2-1)*(B263-1/$P$2)</f>
        <v>8.93075784633428</v>
      </c>
      <c r="H263" s="13" t="n">
        <f aca="false">E263*SQRT(B263/(1-B263))</f>
        <v>-0.0648589664058916</v>
      </c>
      <c r="I263" s="13" t="n">
        <f aca="false">ABS(D263)</f>
        <v>0.76334839827268</v>
      </c>
      <c r="J263" s="6" t="n">
        <f aca="false">IF(B263&gt;$P$4,1,0)</f>
        <v>0</v>
      </c>
      <c r="K263" s="6" t="n">
        <f aca="false">IF(F263&gt;$P$6,1,0)</f>
        <v>0</v>
      </c>
      <c r="L263" s="6" t="n">
        <f aca="false">IF(G263&gt;$P$9,1,0)</f>
        <v>0</v>
      </c>
      <c r="M263" s="6" t="n">
        <f aca="false">IF(ABS(H263)&gt;$P$8,1,0)</f>
        <v>0</v>
      </c>
    </row>
    <row r="264" customFormat="false" ht="15" hidden="false" customHeight="false" outlineLevel="0" collapsed="false">
      <c r="A264" s="0" t="n">
        <f aca="false">ROW()-1</f>
        <v>263</v>
      </c>
      <c r="B264" s="22" t="n">
        <f aca="false">SUMPRODUCT(MMULT('Analysis Data'!N264:U264,'Final Model'!$B$59:$I$66),'Analysis Data'!N264:U264)</f>
        <v>0.0087356055465751</v>
      </c>
      <c r="C264" s="15" t="n">
        <f aca="false">'Residual Diagnostics'!F264</f>
        <v>42.5840214202343</v>
      </c>
      <c r="D264" s="13" t="n">
        <f aca="false">C264/('Final Model'!$B$21*SQRT(1-B264))</f>
        <v>0.872312562521769</v>
      </c>
      <c r="E264" s="13" t="n">
        <f aca="false">D264*SQRT(('Final Model'!$B$24-1)/('Final Model'!$B$24-D264^2))</f>
        <v>0.872236848177158</v>
      </c>
      <c r="F264" s="23" t="n">
        <f aca="false">D264^2/($P$3+1)*B264/(1-B264)</f>
        <v>0.000838219530037136</v>
      </c>
      <c r="G264" s="13" t="n">
        <f aca="false">($P$2-1)*(B264-1/$P$2)</f>
        <v>11.099535182728</v>
      </c>
      <c r="H264" s="13" t="n">
        <f aca="false">E264*SQRT(B264/(1-B264))</f>
        <v>0.0818815742900347</v>
      </c>
      <c r="I264" s="13" t="n">
        <f aca="false">ABS(D264)</f>
        <v>0.872312562521769</v>
      </c>
      <c r="J264" s="6" t="n">
        <f aca="false">IF(B264&gt;$P$4,1,0)</f>
        <v>0</v>
      </c>
      <c r="K264" s="6" t="n">
        <f aca="false">IF(F264&gt;$P$6,1,0)</f>
        <v>0</v>
      </c>
      <c r="L264" s="6" t="n">
        <f aca="false">IF(G264&gt;$P$9,1,0)</f>
        <v>1</v>
      </c>
      <c r="M264" s="6" t="n">
        <f aca="false">IF(ABS(H264)&gt;$P$8,1,0)</f>
        <v>0</v>
      </c>
    </row>
    <row r="265" customFormat="false" ht="15" hidden="false" customHeight="false" outlineLevel="0" collapsed="false">
      <c r="A265" s="0" t="n">
        <f aca="false">ROW()-1</f>
        <v>264</v>
      </c>
      <c r="B265" s="22" t="n">
        <f aca="false">SUMPRODUCT(MMULT('Analysis Data'!N265:U265,'Final Model'!$B$59:$I$66),'Analysis Data'!N265:U265)</f>
        <v>0.0087356055465751</v>
      </c>
      <c r="C265" s="15" t="n">
        <f aca="false">'Residual Diagnostics'!F265</f>
        <v>17.4262090056151</v>
      </c>
      <c r="D265" s="13" t="n">
        <f aca="false">C265/('Final Model'!$B$21*SQRT(1-B265))</f>
        <v>0.356967250291327</v>
      </c>
      <c r="E265" s="13" t="n">
        <f aca="false">D265*SQRT(('Final Model'!$B$24-1)/('Final Model'!$B$24-D265^2))</f>
        <v>0.356854202897603</v>
      </c>
      <c r="F265" s="23" t="n">
        <f aca="false">D265^2/($P$3+1)*B265/(1-B265)</f>
        <v>0.000140368697252729</v>
      </c>
      <c r="G265" s="13" t="n">
        <f aca="false">($P$2-1)*(B265-1/$P$2)</f>
        <v>11.099535182728</v>
      </c>
      <c r="H265" s="13" t="n">
        <f aca="false">E265*SQRT(B265/(1-B265))</f>
        <v>0.0334998274681196</v>
      </c>
      <c r="I265" s="13" t="n">
        <f aca="false">ABS(D265)</f>
        <v>0.356967250291327</v>
      </c>
      <c r="J265" s="6" t="n">
        <f aca="false">IF(B265&gt;$P$4,1,0)</f>
        <v>0</v>
      </c>
      <c r="K265" s="6" t="n">
        <f aca="false">IF(F265&gt;$P$6,1,0)</f>
        <v>0</v>
      </c>
      <c r="L265" s="6" t="n">
        <f aca="false">IF(G265&gt;$P$9,1,0)</f>
        <v>1</v>
      </c>
      <c r="M265" s="6" t="n">
        <f aca="false">IF(ABS(H265)&gt;$P$8,1,0)</f>
        <v>0</v>
      </c>
    </row>
    <row r="266" customFormat="false" ht="15" hidden="false" customHeight="false" outlineLevel="0" collapsed="false">
      <c r="A266" s="0" t="n">
        <f aca="false">ROW()-1</f>
        <v>265</v>
      </c>
      <c r="B266" s="22" t="n">
        <f aca="false">SUMPRODUCT(MMULT('Analysis Data'!N266:U266,'Final Model'!$B$59:$I$66),'Analysis Data'!N266:U266)</f>
        <v>0.00168832798629141</v>
      </c>
      <c r="C266" s="15" t="n">
        <f aca="false">'Residual Diagnostics'!F266</f>
        <v>12.2697437545714</v>
      </c>
      <c r="D266" s="13" t="n">
        <f aca="false">C266/('Final Model'!$B$21*SQRT(1-B266))</f>
        <v>0.250450917640986</v>
      </c>
      <c r="E266" s="13" t="n">
        <f aca="false">D266*SQRT(('Final Model'!$B$24-1)/('Final Model'!$B$24-D266^2))</f>
        <v>0.250365724666764</v>
      </c>
      <c r="F266" s="23" t="n">
        <f aca="false">D266^2/($P$3+1)*B266/(1-B266)</f>
        <v>1.32600737112717E-005</v>
      </c>
      <c r="G266" s="13" t="n">
        <f aca="false">($P$2-1)*(B266-1/$P$2)</f>
        <v>1.3390557617351</v>
      </c>
      <c r="H266" s="13" t="n">
        <f aca="false">E266*SQRT(B266/(1-B266))</f>
        <v>0.010296039702963</v>
      </c>
      <c r="I266" s="13" t="n">
        <f aca="false">ABS(D266)</f>
        <v>0.250450917640986</v>
      </c>
      <c r="J266" s="6" t="n">
        <f aca="false">IF(B266&gt;$P$4,1,0)</f>
        <v>0</v>
      </c>
      <c r="K266" s="6" t="n">
        <f aca="false">IF(F266&gt;$P$6,1,0)</f>
        <v>0</v>
      </c>
      <c r="L266" s="6" t="n">
        <f aca="false">IF(G266&gt;$P$9,1,0)</f>
        <v>0</v>
      </c>
      <c r="M266" s="6" t="n">
        <f aca="false">IF(ABS(H266)&gt;$P$8,1,0)</f>
        <v>0</v>
      </c>
    </row>
    <row r="267" customFormat="false" ht="15" hidden="false" customHeight="false" outlineLevel="0" collapsed="false">
      <c r="A267" s="0" t="n">
        <f aca="false">ROW()-1</f>
        <v>266</v>
      </c>
      <c r="B267" s="22" t="n">
        <f aca="false">SUMPRODUCT(MMULT('Analysis Data'!N267:U267,'Final Model'!$B$59:$I$66),'Analysis Data'!N267:U267)</f>
        <v>0.00168832798629141</v>
      </c>
      <c r="C267" s="15" t="n">
        <f aca="false">'Residual Diagnostics'!F267</f>
        <v>86.7319469930298</v>
      </c>
      <c r="D267" s="13" t="n">
        <f aca="false">C267/('Final Model'!$B$21*SQRT(1-B267))</f>
        <v>1.77037892132838</v>
      </c>
      <c r="E267" s="13" t="n">
        <f aca="false">D267*SQRT(('Final Model'!$B$24-1)/('Final Model'!$B$24-D267^2))</f>
        <v>1.77175249216182</v>
      </c>
      <c r="F267" s="23" t="n">
        <f aca="false">D267^2/($P$3+1)*B267/(1-B267)</f>
        <v>0.000662572099342719</v>
      </c>
      <c r="G267" s="13" t="n">
        <f aca="false">($P$2-1)*(B267-1/$P$2)</f>
        <v>1.3390557617351</v>
      </c>
      <c r="H267" s="13" t="n">
        <f aca="false">E267*SQRT(B267/(1-B267))</f>
        <v>0.0728615469525704</v>
      </c>
      <c r="I267" s="13" t="n">
        <f aca="false">ABS(D267)</f>
        <v>1.77037892132838</v>
      </c>
      <c r="J267" s="6" t="n">
        <f aca="false">IF(B267&gt;$P$4,1,0)</f>
        <v>0</v>
      </c>
      <c r="K267" s="6" t="n">
        <f aca="false">IF(F267&gt;$P$6,1,0)</f>
        <v>0</v>
      </c>
      <c r="L267" s="6" t="n">
        <f aca="false">IF(G267&gt;$P$9,1,0)</f>
        <v>0</v>
      </c>
      <c r="M267" s="6" t="n">
        <f aca="false">IF(ABS(H267)&gt;$P$8,1,0)</f>
        <v>0</v>
      </c>
    </row>
    <row r="268" customFormat="false" ht="15" hidden="false" customHeight="false" outlineLevel="0" collapsed="false">
      <c r="A268" s="0" t="n">
        <f aca="false">ROW()-1</f>
        <v>267</v>
      </c>
      <c r="B268" s="22" t="n">
        <f aca="false">SUMPRODUCT(MMULT('Analysis Data'!N268:U268,'Final Model'!$B$59:$I$66),'Analysis Data'!N268:U268)</f>
        <v>0.00178695478833632</v>
      </c>
      <c r="C268" s="15" t="n">
        <f aca="false">'Residual Diagnostics'!F268</f>
        <v>-8.27648797682224</v>
      </c>
      <c r="D268" s="13" t="n">
        <f aca="false">C268/('Final Model'!$B$21*SQRT(1-B268))</f>
        <v>-0.168948630879733</v>
      </c>
      <c r="E268" s="13" t="n">
        <f aca="false">D268*SQRT(('Final Model'!$B$24-1)/('Final Model'!$B$24-D268^2))</f>
        <v>-0.168889066816091</v>
      </c>
      <c r="F268" s="23" t="n">
        <f aca="false">D268^2/($P$3+1)*B268/(1-B268)</f>
        <v>6.38718786008172E-006</v>
      </c>
      <c r="G268" s="13" t="n">
        <f aca="false">($P$2-1)*(B268-1/$P$2)</f>
        <v>1.4756538825673</v>
      </c>
      <c r="H268" s="13" t="n">
        <f aca="false">E268*SQRT(B268/(1-B268))</f>
        <v>-0.00714573156803007</v>
      </c>
      <c r="I268" s="13" t="n">
        <f aca="false">ABS(D268)</f>
        <v>0.168948630879733</v>
      </c>
      <c r="J268" s="6" t="n">
        <f aca="false">IF(B268&gt;$P$4,1,0)</f>
        <v>0</v>
      </c>
      <c r="K268" s="6" t="n">
        <f aca="false">IF(F268&gt;$P$6,1,0)</f>
        <v>0</v>
      </c>
      <c r="L268" s="6" t="n">
        <f aca="false">IF(G268&gt;$P$9,1,0)</f>
        <v>0</v>
      </c>
      <c r="M268" s="6" t="n">
        <f aca="false">IF(ABS(H268)&gt;$P$8,1,0)</f>
        <v>0</v>
      </c>
    </row>
    <row r="269" customFormat="false" ht="15" hidden="false" customHeight="false" outlineLevel="0" collapsed="false">
      <c r="A269" s="0" t="n">
        <f aca="false">ROW()-1</f>
        <v>268</v>
      </c>
      <c r="B269" s="22" t="n">
        <f aca="false">SUMPRODUCT(MMULT('Analysis Data'!N269:U269,'Final Model'!$B$59:$I$66),'Analysis Data'!N269:U269)</f>
        <v>0.00208566736713166</v>
      </c>
      <c r="C269" s="15" t="n">
        <f aca="false">'Residual Diagnostics'!F269</f>
        <v>72.7037195109892</v>
      </c>
      <c r="D269" s="13" t="n">
        <f aca="false">C269/('Final Model'!$B$21*SQRT(1-B269))</f>
        <v>1.48432912301174</v>
      </c>
      <c r="E269" s="13" t="n">
        <f aca="false">D269*SQRT(('Final Model'!$B$24-1)/('Final Model'!$B$24-D269^2))</f>
        <v>1.4849780572952</v>
      </c>
      <c r="F269" s="23" t="n">
        <f aca="false">D269^2/($P$3+1)*B269/(1-B269)</f>
        <v>0.000575601896147945</v>
      </c>
      <c r="G269" s="13" t="n">
        <f aca="false">($P$2-1)*(B269-1/$P$2)</f>
        <v>1.88937080419885</v>
      </c>
      <c r="H269" s="13" t="n">
        <f aca="false">E269*SQRT(B269/(1-B269))</f>
        <v>0.0678884556482763</v>
      </c>
      <c r="I269" s="13" t="n">
        <f aca="false">ABS(D269)</f>
        <v>1.48432912301174</v>
      </c>
      <c r="J269" s="6" t="n">
        <f aca="false">IF(B269&gt;$P$4,1,0)</f>
        <v>0</v>
      </c>
      <c r="K269" s="6" t="n">
        <f aca="false">IF(F269&gt;$P$6,1,0)</f>
        <v>0</v>
      </c>
      <c r="L269" s="6" t="n">
        <f aca="false">IF(G269&gt;$P$9,1,0)</f>
        <v>0</v>
      </c>
      <c r="M269" s="6" t="n">
        <f aca="false">IF(ABS(H269)&gt;$P$8,1,0)</f>
        <v>0</v>
      </c>
    </row>
    <row r="270" customFormat="false" ht="15" hidden="false" customHeight="false" outlineLevel="0" collapsed="false">
      <c r="A270" s="0" t="n">
        <f aca="false">ROW()-1</f>
        <v>269</v>
      </c>
      <c r="B270" s="22" t="n">
        <f aca="false">SUMPRODUCT(MMULT('Analysis Data'!N270:U270,'Final Model'!$B$59:$I$66),'Analysis Data'!N270:U270)</f>
        <v>0.00242690189389474</v>
      </c>
      <c r="C270" s="15" t="n">
        <f aca="false">'Residual Diagnostics'!F270</f>
        <v>27.6670471900685</v>
      </c>
      <c r="D270" s="13" t="n">
        <f aca="false">C270/('Final Model'!$B$21*SQRT(1-B270))</f>
        <v>0.564950835439228</v>
      </c>
      <c r="E270" s="13" t="n">
        <f aca="false">D270*SQRT(('Final Model'!$B$24-1)/('Final Model'!$B$24-D270^2))</f>
        <v>0.564811222796869</v>
      </c>
      <c r="F270" s="23" t="n">
        <f aca="false">D270^2/($P$3+1)*B270/(1-B270)</f>
        <v>9.70596710614649E-005</v>
      </c>
      <c r="G270" s="13" t="n">
        <f aca="false">($P$2-1)*(B270-1/$P$2)</f>
        <v>2.36198062376572</v>
      </c>
      <c r="H270" s="13" t="n">
        <f aca="false">E270*SQRT(B270/(1-B270))</f>
        <v>0.0278584573201964</v>
      </c>
      <c r="I270" s="13" t="n">
        <f aca="false">ABS(D270)</f>
        <v>0.564950835439228</v>
      </c>
      <c r="J270" s="6" t="n">
        <f aca="false">IF(B270&gt;$P$4,1,0)</f>
        <v>0</v>
      </c>
      <c r="K270" s="6" t="n">
        <f aca="false">IF(F270&gt;$P$6,1,0)</f>
        <v>0</v>
      </c>
      <c r="L270" s="6" t="n">
        <f aca="false">IF(G270&gt;$P$9,1,0)</f>
        <v>0</v>
      </c>
      <c r="M270" s="6" t="n">
        <f aca="false">IF(ABS(H270)&gt;$P$8,1,0)</f>
        <v>0</v>
      </c>
    </row>
    <row r="271" customFormat="false" ht="15" hidden="false" customHeight="false" outlineLevel="0" collapsed="false">
      <c r="A271" s="0" t="n">
        <f aca="false">ROW()-1</f>
        <v>270</v>
      </c>
      <c r="B271" s="22" t="n">
        <f aca="false">SUMPRODUCT(MMULT('Analysis Data'!N271:U271,'Final Model'!$B$59:$I$66),'Analysis Data'!N271:U271)</f>
        <v>0.00168551903148942</v>
      </c>
      <c r="C271" s="15" t="n">
        <f aca="false">'Residual Diagnostics'!F271</f>
        <v>-137.285822189687</v>
      </c>
      <c r="D271" s="13" t="n">
        <f aca="false">C271/('Final Model'!$B$21*SQRT(1-B271))</f>
        <v>-2.80228442109685</v>
      </c>
      <c r="E271" s="13" t="n">
        <f aca="false">D271*SQRT(('Final Model'!$B$24-1)/('Final Model'!$B$24-D271^2))</f>
        <v>-2.80928350019453</v>
      </c>
      <c r="F271" s="23" t="n">
        <f aca="false">D271^2/($P$3+1)*B271/(1-B271)</f>
        <v>0.0016572984631263</v>
      </c>
      <c r="G271" s="13" t="n">
        <f aca="false">($P$2-1)*(B271-1/$P$2)</f>
        <v>1.33516535933435</v>
      </c>
      <c r="H271" s="13" t="n">
        <f aca="false">E271*SQRT(B271/(1-B271))</f>
        <v>-0.115432662606359</v>
      </c>
      <c r="I271" s="13" t="n">
        <f aca="false">ABS(D271)</f>
        <v>2.80228442109685</v>
      </c>
      <c r="J271" s="6" t="n">
        <f aca="false">IF(B271&gt;$P$4,1,0)</f>
        <v>0</v>
      </c>
      <c r="K271" s="6" t="n">
        <f aca="false">IF(F271&gt;$P$6,1,0)</f>
        <v>0</v>
      </c>
      <c r="L271" s="6" t="n">
        <f aca="false">IF(G271&gt;$P$9,1,0)</f>
        <v>0</v>
      </c>
      <c r="M271" s="6" t="n">
        <f aca="false">IF(ABS(H271)&gt;$P$8,1,0)</f>
        <v>0</v>
      </c>
    </row>
    <row r="272" customFormat="false" ht="15" hidden="false" customHeight="false" outlineLevel="0" collapsed="false">
      <c r="A272" s="0" t="n">
        <f aca="false">ROW()-1</f>
        <v>271</v>
      </c>
      <c r="B272" s="22" t="n">
        <f aca="false">SUMPRODUCT(MMULT('Analysis Data'!N272:U272,'Final Model'!$B$59:$I$66),'Analysis Data'!N272:U272)</f>
        <v>0.001821033460329</v>
      </c>
      <c r="C272" s="15" t="n">
        <f aca="false">'Residual Diagnostics'!F272</f>
        <v>21.5396562114149</v>
      </c>
      <c r="D272" s="13" t="n">
        <f aca="false">C272/('Final Model'!$B$21*SQRT(1-B272))</f>
        <v>0.43969828230206</v>
      </c>
      <c r="E272" s="13" t="n">
        <f aca="false">D272*SQRT(('Final Model'!$B$24-1)/('Final Model'!$B$24-D272^2))</f>
        <v>0.439569548228198</v>
      </c>
      <c r="F272" s="23" t="n">
        <f aca="false">D272^2/($P$3+1)*B272/(1-B272)</f>
        <v>4.40888796042591E-005</v>
      </c>
      <c r="G272" s="13" t="n">
        <f aca="false">($P$2-1)*(B272-1/$P$2)</f>
        <v>1.52285284327717</v>
      </c>
      <c r="H272" s="13" t="n">
        <f aca="false">E272*SQRT(B272/(1-B272))</f>
        <v>0.0187751041238017</v>
      </c>
      <c r="I272" s="13" t="n">
        <f aca="false">ABS(D272)</f>
        <v>0.43969828230206</v>
      </c>
      <c r="J272" s="6" t="n">
        <f aca="false">IF(B272&gt;$P$4,1,0)</f>
        <v>0</v>
      </c>
      <c r="K272" s="6" t="n">
        <f aca="false">IF(F272&gt;$P$6,1,0)</f>
        <v>0</v>
      </c>
      <c r="L272" s="6" t="n">
        <f aca="false">IF(G272&gt;$P$9,1,0)</f>
        <v>0</v>
      </c>
      <c r="M272" s="6" t="n">
        <f aca="false">IF(ABS(H272)&gt;$P$8,1,0)</f>
        <v>0</v>
      </c>
    </row>
    <row r="273" customFormat="false" ht="15" hidden="false" customHeight="false" outlineLevel="0" collapsed="false">
      <c r="A273" s="0" t="n">
        <f aca="false">ROW()-1</f>
        <v>272</v>
      </c>
      <c r="B273" s="22" t="n">
        <f aca="false">SUMPRODUCT(MMULT('Analysis Data'!N273:U273,'Final Model'!$B$59:$I$66),'Analysis Data'!N273:U273)</f>
        <v>0.00172284415375771</v>
      </c>
      <c r="C273" s="15" t="n">
        <f aca="false">'Residual Diagnostics'!F273</f>
        <v>69.8818263108894</v>
      </c>
      <c r="D273" s="13" t="n">
        <f aca="false">C273/('Final Model'!$B$21*SQRT(1-B273))</f>
        <v>1.42645767060612</v>
      </c>
      <c r="E273" s="13" t="n">
        <f aca="false">D273*SQRT(('Final Model'!$B$24-1)/('Final Model'!$B$24-D273^2))</f>
        <v>1.42699394672565</v>
      </c>
      <c r="F273" s="23" t="n">
        <f aca="false">D273^2/($P$3+1)*B273/(1-B273)</f>
        <v>0.000438957679094048</v>
      </c>
      <c r="G273" s="13" t="n">
        <f aca="false">($P$2-1)*(B273-1/$P$2)</f>
        <v>1.38686065367594</v>
      </c>
      <c r="H273" s="13" t="n">
        <f aca="false">E273*SQRT(B273/(1-B273))</f>
        <v>0.0592815514654894</v>
      </c>
      <c r="I273" s="13" t="n">
        <f aca="false">ABS(D273)</f>
        <v>1.42645767060612</v>
      </c>
      <c r="J273" s="6" t="n">
        <f aca="false">IF(B273&gt;$P$4,1,0)</f>
        <v>0</v>
      </c>
      <c r="K273" s="6" t="n">
        <f aca="false">IF(F273&gt;$P$6,1,0)</f>
        <v>0</v>
      </c>
      <c r="L273" s="6" t="n">
        <f aca="false">IF(G273&gt;$P$9,1,0)</f>
        <v>0</v>
      </c>
      <c r="M273" s="6" t="n">
        <f aca="false">IF(ABS(H273)&gt;$P$8,1,0)</f>
        <v>0</v>
      </c>
    </row>
    <row r="274" customFormat="false" ht="15" hidden="false" customHeight="false" outlineLevel="0" collapsed="false">
      <c r="A274" s="0" t="n">
        <f aca="false">ROW()-1</f>
        <v>273</v>
      </c>
      <c r="B274" s="22" t="n">
        <f aca="false">SUMPRODUCT(MMULT('Analysis Data'!N274:U274,'Final Model'!$B$59:$I$66),'Analysis Data'!N274:U274)</f>
        <v>0.00172284415375771</v>
      </c>
      <c r="C274" s="15" t="n">
        <f aca="false">'Residual Diagnostics'!F274</f>
        <v>4.93510087715598</v>
      </c>
      <c r="D274" s="13" t="n">
        <f aca="false">C274/('Final Model'!$B$21*SQRT(1-B274))</f>
        <v>0.100737385856459</v>
      </c>
      <c r="E274" s="13" t="n">
        <f aca="false">D274*SQRT(('Final Model'!$B$24-1)/('Final Model'!$B$24-D274^2))</f>
        <v>0.100701197994064</v>
      </c>
      <c r="F274" s="23" t="n">
        <f aca="false">D274^2/($P$3+1)*B274/(1-B274)</f>
        <v>2.18920396921154E-006</v>
      </c>
      <c r="G274" s="13" t="n">
        <f aca="false">($P$2-1)*(B274-1/$P$2)</f>
        <v>1.38686065367594</v>
      </c>
      <c r="H274" s="13" t="n">
        <f aca="false">E274*SQRT(B274/(1-B274))</f>
        <v>0.00418342577080972</v>
      </c>
      <c r="I274" s="13" t="n">
        <f aca="false">ABS(D274)</f>
        <v>0.100737385856459</v>
      </c>
      <c r="J274" s="6" t="n">
        <f aca="false">IF(B274&gt;$P$4,1,0)</f>
        <v>0</v>
      </c>
      <c r="K274" s="6" t="n">
        <f aca="false">IF(F274&gt;$P$6,1,0)</f>
        <v>0</v>
      </c>
      <c r="L274" s="6" t="n">
        <f aca="false">IF(G274&gt;$P$9,1,0)</f>
        <v>0</v>
      </c>
      <c r="M274" s="6" t="n">
        <f aca="false">IF(ABS(H274)&gt;$P$8,1,0)</f>
        <v>0</v>
      </c>
    </row>
    <row r="275" customFormat="false" ht="15" hidden="false" customHeight="false" outlineLevel="0" collapsed="false">
      <c r="A275" s="0" t="n">
        <f aca="false">ROW()-1</f>
        <v>274</v>
      </c>
      <c r="B275" s="22" t="n">
        <f aca="false">SUMPRODUCT(MMULT('Analysis Data'!N275:U275,'Final Model'!$B$59:$I$66),'Analysis Data'!N275:U275)</f>
        <v>0.00295605470718956</v>
      </c>
      <c r="C275" s="15" t="n">
        <f aca="false">'Residual Diagnostics'!F275</f>
        <v>-61.2728186296056</v>
      </c>
      <c r="D275" s="13" t="n">
        <f aca="false">C275/('Final Model'!$B$21*SQRT(1-B275))</f>
        <v>-1.2515001829839</v>
      </c>
      <c r="E275" s="13" t="n">
        <f aca="false">D275*SQRT(('Final Model'!$B$24-1)/('Final Model'!$B$24-D275^2))</f>
        <v>-1.25175758458402</v>
      </c>
      <c r="F275" s="23" t="n">
        <f aca="false">D275^2/($P$3+1)*B275/(1-B275)</f>
        <v>0.000580456948765425</v>
      </c>
      <c r="G275" s="13" t="n">
        <f aca="false">($P$2-1)*(B275-1/$P$2)</f>
        <v>3.09485727017904</v>
      </c>
      <c r="H275" s="13" t="n">
        <f aca="false">E275*SQRT(B275/(1-B275))</f>
        <v>-0.0681583886920119</v>
      </c>
      <c r="I275" s="13" t="n">
        <f aca="false">ABS(D275)</f>
        <v>1.2515001829839</v>
      </c>
      <c r="J275" s="6" t="n">
        <f aca="false">IF(B275&gt;$P$4,1,0)</f>
        <v>0</v>
      </c>
      <c r="K275" s="6" t="n">
        <f aca="false">IF(F275&gt;$P$6,1,0)</f>
        <v>0</v>
      </c>
      <c r="L275" s="6" t="n">
        <f aca="false">IF(G275&gt;$P$9,1,0)</f>
        <v>0</v>
      </c>
      <c r="M275" s="6" t="n">
        <f aca="false">IF(ABS(H275)&gt;$P$8,1,0)</f>
        <v>0</v>
      </c>
    </row>
    <row r="276" customFormat="false" ht="15" hidden="false" customHeight="false" outlineLevel="0" collapsed="false">
      <c r="A276" s="0" t="n">
        <f aca="false">ROW()-1</f>
        <v>275</v>
      </c>
      <c r="B276" s="22" t="n">
        <f aca="false">SUMPRODUCT(MMULT('Analysis Data'!N276:U276,'Final Model'!$B$59:$I$66),'Analysis Data'!N276:U276)</f>
        <v>0.00198662203728575</v>
      </c>
      <c r="C276" s="15" t="n">
        <f aca="false">'Residual Diagnostics'!F276</f>
        <v>5.8170923165128</v>
      </c>
      <c r="D276" s="13" t="n">
        <f aca="false">C276/('Final Model'!$B$21*SQRT(1-B276))</f>
        <v>0.118756662389188</v>
      </c>
      <c r="E276" s="13" t="n">
        <f aca="false">D276*SQRT(('Final Model'!$B$24-1)/('Final Model'!$B$24-D276^2))</f>
        <v>0.118714171834806</v>
      </c>
      <c r="F276" s="23" t="n">
        <f aca="false">D276^2/($P$3+1)*B276/(1-B276)</f>
        <v>3.50917369899359E-006</v>
      </c>
      <c r="G276" s="13" t="n">
        <f aca="false">($P$2-1)*(B276-1/$P$2)</f>
        <v>1.75219302236226</v>
      </c>
      <c r="H276" s="13" t="n">
        <f aca="false">E276*SQRT(B276/(1-B276))</f>
        <v>0.0052965369952622</v>
      </c>
      <c r="I276" s="13" t="n">
        <f aca="false">ABS(D276)</f>
        <v>0.118756662389188</v>
      </c>
      <c r="J276" s="6" t="n">
        <f aca="false">IF(B276&gt;$P$4,1,0)</f>
        <v>0</v>
      </c>
      <c r="K276" s="6" t="n">
        <f aca="false">IF(F276&gt;$P$6,1,0)</f>
        <v>0</v>
      </c>
      <c r="L276" s="6" t="n">
        <f aca="false">IF(G276&gt;$P$9,1,0)</f>
        <v>0</v>
      </c>
      <c r="M276" s="6" t="n">
        <f aca="false">IF(ABS(H276)&gt;$P$8,1,0)</f>
        <v>0</v>
      </c>
    </row>
    <row r="277" customFormat="false" ht="15" hidden="false" customHeight="false" outlineLevel="0" collapsed="false">
      <c r="A277" s="0" t="n">
        <f aca="false">ROW()-1</f>
        <v>276</v>
      </c>
      <c r="B277" s="22" t="n">
        <f aca="false">SUMPRODUCT(MMULT('Analysis Data'!N277:U277,'Final Model'!$B$59:$I$66),'Analysis Data'!N277:U277)</f>
        <v>0.001821033460329</v>
      </c>
      <c r="C277" s="15" t="n">
        <f aca="false">'Residual Diagnostics'!F277</f>
        <v>-8.39318444287886</v>
      </c>
      <c r="D277" s="13" t="n">
        <f aca="false">C277/('Final Model'!$B$21*SQRT(1-B277))</f>
        <v>-0.171333690118158</v>
      </c>
      <c r="E277" s="13" t="n">
        <f aca="false">D277*SQRT(('Final Model'!$B$24-1)/('Final Model'!$B$24-D277^2))</f>
        <v>-0.171273335622639</v>
      </c>
      <c r="F277" s="23" t="n">
        <f aca="false">D277^2/($P$3+1)*B277/(1-B277)</f>
        <v>6.69429831643202E-006</v>
      </c>
      <c r="G277" s="13" t="n">
        <f aca="false">($P$2-1)*(B277-1/$P$2)</f>
        <v>1.52285284327717</v>
      </c>
      <c r="H277" s="13" t="n">
        <f aca="false">E277*SQRT(B277/(1-B277))</f>
        <v>-0.00731550837155924</v>
      </c>
      <c r="I277" s="13" t="n">
        <f aca="false">ABS(D277)</f>
        <v>0.171333690118158</v>
      </c>
      <c r="J277" s="6" t="n">
        <f aca="false">IF(B277&gt;$P$4,1,0)</f>
        <v>0</v>
      </c>
      <c r="K277" s="6" t="n">
        <f aca="false">IF(F277&gt;$P$6,1,0)</f>
        <v>0</v>
      </c>
      <c r="L277" s="6" t="n">
        <f aca="false">IF(G277&gt;$P$9,1,0)</f>
        <v>0</v>
      </c>
      <c r="M277" s="6" t="n">
        <f aca="false">IF(ABS(H277)&gt;$P$8,1,0)</f>
        <v>0</v>
      </c>
    </row>
    <row r="278" customFormat="false" ht="15" hidden="false" customHeight="false" outlineLevel="0" collapsed="false">
      <c r="A278" s="0" t="n">
        <f aca="false">ROW()-1</f>
        <v>277</v>
      </c>
      <c r="B278" s="22" t="n">
        <f aca="false">SUMPRODUCT(MMULT('Analysis Data'!N278:U278,'Final Model'!$B$59:$I$66),'Analysis Data'!N278:U278)</f>
        <v>0.00230529624841536</v>
      </c>
      <c r="C278" s="15" t="n">
        <f aca="false">'Residual Diagnostics'!F278</f>
        <v>22.4020339557929</v>
      </c>
      <c r="D278" s="13" t="n">
        <f aca="false">C278/('Final Model'!$B$21*SQRT(1-B278))</f>
        <v>0.457413340386839</v>
      </c>
      <c r="E278" s="13" t="n">
        <f aca="false">D278*SQRT(('Final Model'!$B$24-1)/('Final Model'!$B$24-D278^2))</f>
        <v>0.457282057009817</v>
      </c>
      <c r="F278" s="23" t="n">
        <f aca="false">D278^2/($P$3+1)*B278/(1-B278)</f>
        <v>6.04305772697185E-005</v>
      </c>
      <c r="G278" s="13" t="n">
        <f aca="false">($P$2-1)*(B278-1/$P$2)</f>
        <v>2.19355680477678</v>
      </c>
      <c r="H278" s="13" t="n">
        <f aca="false">E278*SQRT(B278/(1-B278))</f>
        <v>0.021981063409679</v>
      </c>
      <c r="I278" s="13" t="n">
        <f aca="false">ABS(D278)</f>
        <v>0.457413340386839</v>
      </c>
      <c r="J278" s="6" t="n">
        <f aca="false">IF(B278&gt;$P$4,1,0)</f>
        <v>0</v>
      </c>
      <c r="K278" s="6" t="n">
        <f aca="false">IF(F278&gt;$P$6,1,0)</f>
        <v>0</v>
      </c>
      <c r="L278" s="6" t="n">
        <f aca="false">IF(G278&gt;$P$9,1,0)</f>
        <v>0</v>
      </c>
      <c r="M278" s="6" t="n">
        <f aca="false">IF(ABS(H278)&gt;$P$8,1,0)</f>
        <v>0</v>
      </c>
    </row>
    <row r="279" customFormat="false" ht="15" hidden="false" customHeight="false" outlineLevel="0" collapsed="false">
      <c r="A279" s="0" t="n">
        <f aca="false">ROW()-1</f>
        <v>278</v>
      </c>
      <c r="B279" s="22" t="n">
        <f aca="false">SUMPRODUCT(MMULT('Analysis Data'!N279:U279,'Final Model'!$B$59:$I$66),'Analysis Data'!N279:U279)</f>
        <v>0.00307917104651043</v>
      </c>
      <c r="C279" s="15" t="n">
        <f aca="false">'Residual Diagnostics'!F279</f>
        <v>-22.7394162642211</v>
      </c>
      <c r="D279" s="13" t="n">
        <f aca="false">C279/('Final Model'!$B$21*SQRT(1-B279))</f>
        <v>-0.46448231784982</v>
      </c>
      <c r="E279" s="13" t="n">
        <f aca="false">D279*SQRT(('Final Model'!$B$24-1)/('Final Model'!$B$24-D279^2))</f>
        <v>-0.464350103761435</v>
      </c>
      <c r="F279" s="23" t="n">
        <f aca="false">D279^2/($P$3+1)*B279/(1-B279)</f>
        <v>8.32954979703563E-005</v>
      </c>
      <c r="G279" s="13" t="n">
        <f aca="false">($P$2-1)*(B279-1/$P$2)</f>
        <v>3.26537340013844</v>
      </c>
      <c r="H279" s="13" t="n">
        <f aca="false">E279*SQRT(B279/(1-B279))</f>
        <v>-0.0258066789619266</v>
      </c>
      <c r="I279" s="13" t="n">
        <f aca="false">ABS(D279)</f>
        <v>0.46448231784982</v>
      </c>
      <c r="J279" s="6" t="n">
        <f aca="false">IF(B279&gt;$P$4,1,0)</f>
        <v>0</v>
      </c>
      <c r="K279" s="6" t="n">
        <f aca="false">IF(F279&gt;$P$6,1,0)</f>
        <v>0</v>
      </c>
      <c r="L279" s="6" t="n">
        <f aca="false">IF(G279&gt;$P$9,1,0)</f>
        <v>0</v>
      </c>
      <c r="M279" s="6" t="n">
        <f aca="false">IF(ABS(H279)&gt;$P$8,1,0)</f>
        <v>0</v>
      </c>
    </row>
    <row r="280" customFormat="false" ht="15" hidden="false" customHeight="false" outlineLevel="0" collapsed="false">
      <c r="A280" s="0" t="n">
        <f aca="false">ROW()-1</f>
        <v>279</v>
      </c>
      <c r="B280" s="22" t="n">
        <f aca="false">SUMPRODUCT(MMULT('Analysis Data'!N280:U280,'Final Model'!$B$59:$I$66),'Analysis Data'!N280:U280)</f>
        <v>0.00307917104651043</v>
      </c>
      <c r="C280" s="15" t="n">
        <f aca="false">'Residual Diagnostics'!F280</f>
        <v>18.8728155902155</v>
      </c>
      <c r="D280" s="13" t="n">
        <f aca="false">C280/('Final Model'!$B$21*SQRT(1-B280))</f>
        <v>0.385501941995245</v>
      </c>
      <c r="E280" s="13" t="n">
        <f aca="false">D280*SQRT(('Final Model'!$B$24-1)/('Final Model'!$B$24-D280^2))</f>
        <v>0.385382820824184</v>
      </c>
      <c r="F280" s="23" t="n">
        <f aca="false">D280^2/($P$3+1)*B280/(1-B280)</f>
        <v>5.73767966462726E-005</v>
      </c>
      <c r="G280" s="13" t="n">
        <f aca="false">($P$2-1)*(B280-1/$P$2)</f>
        <v>3.26537340013844</v>
      </c>
      <c r="H280" s="13" t="n">
        <f aca="false">E280*SQRT(B280/(1-B280))</f>
        <v>0.0214180004567437</v>
      </c>
      <c r="I280" s="13" t="n">
        <f aca="false">ABS(D280)</f>
        <v>0.385501941995245</v>
      </c>
      <c r="J280" s="6" t="n">
        <f aca="false">IF(B280&gt;$P$4,1,0)</f>
        <v>0</v>
      </c>
      <c r="K280" s="6" t="n">
        <f aca="false">IF(F280&gt;$P$6,1,0)</f>
        <v>0</v>
      </c>
      <c r="L280" s="6" t="n">
        <f aca="false">IF(G280&gt;$P$9,1,0)</f>
        <v>0</v>
      </c>
      <c r="M280" s="6" t="n">
        <f aca="false">IF(ABS(H280)&gt;$P$8,1,0)</f>
        <v>0</v>
      </c>
    </row>
    <row r="281" customFormat="false" ht="15" hidden="false" customHeight="false" outlineLevel="0" collapsed="false">
      <c r="A281" s="0" t="n">
        <f aca="false">ROW()-1</f>
        <v>280</v>
      </c>
      <c r="B281" s="22" t="n">
        <f aca="false">SUMPRODUCT(MMULT('Analysis Data'!N281:U281,'Final Model'!$B$59:$I$66),'Analysis Data'!N281:U281)</f>
        <v>0.00276413402245908</v>
      </c>
      <c r="C281" s="15" t="n">
        <f aca="false">'Residual Diagnostics'!F281</f>
        <v>-4.41151686609754</v>
      </c>
      <c r="D281" s="13" t="n">
        <f aca="false">C281/('Final Model'!$B$21*SQRT(1-B281))</f>
        <v>-0.0900967671499363</v>
      </c>
      <c r="E281" s="13" t="n">
        <f aca="false">D281*SQRT(('Final Model'!$B$24-1)/('Final Model'!$B$24-D281^2))</f>
        <v>-0.0900643353549921</v>
      </c>
      <c r="F281" s="23" t="n">
        <f aca="false">D281^2/($P$3+1)*B281/(1-B281)</f>
        <v>2.81248124908219E-006</v>
      </c>
      <c r="G281" s="13" t="n">
        <f aca="false">($P$2-1)*(B281-1/$P$2)</f>
        <v>2.82904712182732</v>
      </c>
      <c r="H281" s="13" t="n">
        <f aca="false">E281*SQRT(B281/(1-B281))</f>
        <v>-0.00474169321393404</v>
      </c>
      <c r="I281" s="13" t="n">
        <f aca="false">ABS(D281)</f>
        <v>0.0900967671499363</v>
      </c>
      <c r="J281" s="6" t="n">
        <f aca="false">IF(B281&gt;$P$4,1,0)</f>
        <v>0</v>
      </c>
      <c r="K281" s="6" t="n">
        <f aca="false">IF(F281&gt;$P$6,1,0)</f>
        <v>0</v>
      </c>
      <c r="L281" s="6" t="n">
        <f aca="false">IF(G281&gt;$P$9,1,0)</f>
        <v>0</v>
      </c>
      <c r="M281" s="6" t="n">
        <f aca="false">IF(ABS(H281)&gt;$P$8,1,0)</f>
        <v>0</v>
      </c>
    </row>
    <row r="282" customFormat="false" ht="15" hidden="false" customHeight="false" outlineLevel="0" collapsed="false">
      <c r="A282" s="0" t="n">
        <f aca="false">ROW()-1</f>
        <v>281</v>
      </c>
      <c r="B282" s="22" t="n">
        <f aca="false">SUMPRODUCT(MMULT('Analysis Data'!N282:U282,'Final Model'!$B$59:$I$66),'Analysis Data'!N282:U282)</f>
        <v>0.00204707809940915</v>
      </c>
      <c r="C282" s="15" t="n">
        <f aca="false">'Residual Diagnostics'!F282</f>
        <v>37.1265404434555</v>
      </c>
      <c r="D282" s="13" t="n">
        <f aca="false">C282/('Final Model'!$B$21*SQRT(1-B282))</f>
        <v>0.757965893730937</v>
      </c>
      <c r="E282" s="13" t="n">
        <f aca="false">D282*SQRT(('Final Model'!$B$24-1)/('Final Model'!$B$24-D282^2))</f>
        <v>0.757848816589548</v>
      </c>
      <c r="F282" s="23" t="n">
        <f aca="false">D282^2/($P$3+1)*B282/(1-B282)</f>
        <v>0.0001473104984833</v>
      </c>
      <c r="G282" s="13" t="n">
        <f aca="false">($P$2-1)*(B282-1/$P$2)</f>
        <v>1.83592466840317</v>
      </c>
      <c r="H282" s="13" t="n">
        <f aca="false">E282*SQRT(B282/(1-B282))</f>
        <v>0.0343237520287624</v>
      </c>
      <c r="I282" s="13" t="n">
        <f aca="false">ABS(D282)</f>
        <v>0.757965893730937</v>
      </c>
      <c r="J282" s="6" t="n">
        <f aca="false">IF(B282&gt;$P$4,1,0)</f>
        <v>0</v>
      </c>
      <c r="K282" s="6" t="n">
        <f aca="false">IF(F282&gt;$P$6,1,0)</f>
        <v>0</v>
      </c>
      <c r="L282" s="6" t="n">
        <f aca="false">IF(G282&gt;$P$9,1,0)</f>
        <v>0</v>
      </c>
      <c r="M282" s="6" t="n">
        <f aca="false">IF(ABS(H282)&gt;$P$8,1,0)</f>
        <v>0</v>
      </c>
    </row>
    <row r="283" customFormat="false" ht="15" hidden="false" customHeight="false" outlineLevel="0" collapsed="false">
      <c r="A283" s="0" t="n">
        <f aca="false">ROW()-1</f>
        <v>282</v>
      </c>
      <c r="B283" s="22" t="n">
        <f aca="false">SUMPRODUCT(MMULT('Analysis Data'!N283:U283,'Final Model'!$B$59:$I$66),'Analysis Data'!N283:U283)</f>
        <v>0.014844016730233</v>
      </c>
      <c r="C283" s="15" t="n">
        <f aca="false">'Residual Diagnostics'!F283</f>
        <v>11.7154167251764</v>
      </c>
      <c r="D283" s="13" t="n">
        <f aca="false">C283/('Final Model'!$B$21*SQRT(1-B283))</f>
        <v>0.240727358570351</v>
      </c>
      <c r="E283" s="13" t="n">
        <f aca="false">D283*SQRT(('Final Model'!$B$24-1)/('Final Model'!$B$24-D283^2))</f>
        <v>0.240645056102401</v>
      </c>
      <c r="F283" s="23" t="n">
        <f aca="false">D283^2/($P$3+1)*B283/(1-B283)</f>
        <v>0.000109145880759224</v>
      </c>
      <c r="G283" s="13" t="n">
        <f aca="false">($P$2-1)*(B283-1/$P$2)</f>
        <v>19.5596846720942</v>
      </c>
      <c r="H283" s="13" t="n">
        <f aca="false">E283*SQRT(B283/(1-B283))</f>
        <v>0.0295392974287973</v>
      </c>
      <c r="I283" s="13" t="n">
        <f aca="false">ABS(D283)</f>
        <v>0.240727358570351</v>
      </c>
      <c r="J283" s="6" t="n">
        <f aca="false">IF(B283&gt;$P$4,1,0)</f>
        <v>1</v>
      </c>
      <c r="K283" s="6" t="n">
        <f aca="false">IF(F283&gt;$P$6,1,0)</f>
        <v>0</v>
      </c>
      <c r="L283" s="6" t="n">
        <f aca="false">IF(G283&gt;$P$9,1,0)</f>
        <v>1</v>
      </c>
      <c r="M283" s="6" t="n">
        <f aca="false">IF(ABS(H283)&gt;$P$8,1,0)</f>
        <v>0</v>
      </c>
    </row>
    <row r="284" customFormat="false" ht="15" hidden="false" customHeight="false" outlineLevel="0" collapsed="false">
      <c r="A284" s="0" t="n">
        <f aca="false">ROW()-1</f>
        <v>283</v>
      </c>
      <c r="B284" s="22" t="n">
        <f aca="false">SUMPRODUCT(MMULT('Analysis Data'!N284:U284,'Final Model'!$B$59:$I$66),'Analysis Data'!N284:U284)</f>
        <v>0.00699762820319244</v>
      </c>
      <c r="C284" s="15" t="n">
        <f aca="false">'Residual Diagnostics'!F284</f>
        <v>-11.8913049303322</v>
      </c>
      <c r="D284" s="13" t="n">
        <f aca="false">C284/('Final Model'!$B$21*SQRT(1-B284))</f>
        <v>-0.243374225140987</v>
      </c>
      <c r="E284" s="13" t="n">
        <f aca="false">D284*SQRT(('Final Model'!$B$24-1)/('Final Model'!$B$24-D284^2))</f>
        <v>-0.243291130852311</v>
      </c>
      <c r="F284" s="23" t="n">
        <f aca="false">D284^2/($P$3+1)*B284/(1-B284)</f>
        <v>5.21746752681729E-005</v>
      </c>
      <c r="G284" s="13" t="n">
        <f aca="false">($P$2-1)*(B284-1/$P$2)</f>
        <v>8.69243656214303</v>
      </c>
      <c r="H284" s="13" t="n">
        <f aca="false">E284*SQRT(B284/(1-B284))</f>
        <v>-0.0204233305351896</v>
      </c>
      <c r="I284" s="13" t="n">
        <f aca="false">ABS(D284)</f>
        <v>0.243374225140987</v>
      </c>
      <c r="J284" s="6" t="n">
        <f aca="false">IF(B284&gt;$P$4,1,0)</f>
        <v>0</v>
      </c>
      <c r="K284" s="6" t="n">
        <f aca="false">IF(F284&gt;$P$6,1,0)</f>
        <v>0</v>
      </c>
      <c r="L284" s="6" t="n">
        <f aca="false">IF(G284&gt;$P$9,1,0)</f>
        <v>0</v>
      </c>
      <c r="M284" s="6" t="n">
        <f aca="false">IF(ABS(H284)&gt;$P$8,1,0)</f>
        <v>0</v>
      </c>
    </row>
    <row r="285" customFormat="false" ht="15" hidden="false" customHeight="false" outlineLevel="0" collapsed="false">
      <c r="A285" s="0" t="n">
        <f aca="false">ROW()-1</f>
        <v>284</v>
      </c>
      <c r="B285" s="22" t="n">
        <f aca="false">SUMPRODUCT(MMULT('Analysis Data'!N285:U285,'Final Model'!$B$59:$I$66),'Analysis Data'!N285:U285)</f>
        <v>0.00706948132789686</v>
      </c>
      <c r="C285" s="15" t="n">
        <f aca="false">'Residual Diagnostics'!F285</f>
        <v>15.6224198254927</v>
      </c>
      <c r="D285" s="13" t="n">
        <f aca="false">C285/('Final Model'!$B$21*SQRT(1-B285))</f>
        <v>0.319748918084442</v>
      </c>
      <c r="E285" s="13" t="n">
        <f aca="false">D285*SQRT(('Final Model'!$B$24-1)/('Final Model'!$B$24-D285^2))</f>
        <v>0.319644735912479</v>
      </c>
      <c r="F285" s="23" t="n">
        <f aca="false">D285^2/($P$3+1)*B285/(1-B285)</f>
        <v>9.09906720504418E-005</v>
      </c>
      <c r="G285" s="13" t="n">
        <f aca="false">($P$2-1)*(B285-1/$P$2)</f>
        <v>8.79195313985865</v>
      </c>
      <c r="H285" s="13" t="n">
        <f aca="false">E285*SQRT(B285/(1-B285))</f>
        <v>0.0269713014368547</v>
      </c>
      <c r="I285" s="13" t="n">
        <f aca="false">ABS(D285)</f>
        <v>0.319748918084442</v>
      </c>
      <c r="J285" s="6" t="n">
        <f aca="false">IF(B285&gt;$P$4,1,0)</f>
        <v>0</v>
      </c>
      <c r="K285" s="6" t="n">
        <f aca="false">IF(F285&gt;$P$6,1,0)</f>
        <v>0</v>
      </c>
      <c r="L285" s="6" t="n">
        <f aca="false">IF(G285&gt;$P$9,1,0)</f>
        <v>0</v>
      </c>
      <c r="M285" s="6" t="n">
        <f aca="false">IF(ABS(H285)&gt;$P$8,1,0)</f>
        <v>0</v>
      </c>
    </row>
    <row r="286" customFormat="false" ht="15" hidden="false" customHeight="false" outlineLevel="0" collapsed="false">
      <c r="A286" s="0" t="n">
        <f aca="false">ROW()-1</f>
        <v>285</v>
      </c>
      <c r="B286" s="22" t="n">
        <f aca="false">SUMPRODUCT(MMULT('Analysis Data'!N286:U286,'Final Model'!$B$59:$I$66),'Analysis Data'!N286:U286)</f>
        <v>0.0087356055465751</v>
      </c>
      <c r="C286" s="15" t="n">
        <f aca="false">'Residual Diagnostics'!F286</f>
        <v>49.7528878979116</v>
      </c>
      <c r="D286" s="13" t="n">
        <f aca="false">C286/('Final Model'!$B$21*SQRT(1-B286))</f>
        <v>1.01916323746877</v>
      </c>
      <c r="E286" s="13" t="n">
        <f aca="false">D286*SQRT(('Final Model'!$B$24-1)/('Final Model'!$B$24-D286^2))</f>
        <v>1.01917755701575</v>
      </c>
      <c r="F286" s="23" t="n">
        <f aca="false">D286^2/($P$3+1)*B286/(1-B286)</f>
        <v>0.00114419756953037</v>
      </c>
      <c r="G286" s="13" t="n">
        <f aca="false">($P$2-1)*(B286-1/$P$2)</f>
        <v>11.099535182728</v>
      </c>
      <c r="H286" s="13" t="n">
        <f aca="false">E286*SQRT(B286/(1-B286))</f>
        <v>0.0956756906382973</v>
      </c>
      <c r="I286" s="13" t="n">
        <f aca="false">ABS(D286)</f>
        <v>1.01916323746877</v>
      </c>
      <c r="J286" s="6" t="n">
        <f aca="false">IF(B286&gt;$P$4,1,0)</f>
        <v>0</v>
      </c>
      <c r="K286" s="6" t="n">
        <f aca="false">IF(F286&gt;$P$6,1,0)</f>
        <v>0</v>
      </c>
      <c r="L286" s="6" t="n">
        <f aca="false">IF(G286&gt;$P$9,1,0)</f>
        <v>1</v>
      </c>
      <c r="M286" s="6" t="n">
        <f aca="false">IF(ABS(H286)&gt;$P$8,1,0)</f>
        <v>0</v>
      </c>
    </row>
    <row r="287" customFormat="false" ht="15" hidden="false" customHeight="false" outlineLevel="0" collapsed="false">
      <c r="A287" s="0" t="n">
        <f aca="false">ROW()-1</f>
        <v>286</v>
      </c>
      <c r="B287" s="22" t="n">
        <f aca="false">SUMPRODUCT(MMULT('Analysis Data'!N287:U287,'Final Model'!$B$59:$I$66),'Analysis Data'!N287:U287)</f>
        <v>0.0123758103388407</v>
      </c>
      <c r="C287" s="15" t="n">
        <f aca="false">'Residual Diagnostics'!F287</f>
        <v>47.4196006331432</v>
      </c>
      <c r="D287" s="13" t="n">
        <f aca="false">C287/('Final Model'!$B$21*SQRT(1-B287))</f>
        <v>0.973155500231643</v>
      </c>
      <c r="E287" s="13" t="n">
        <f aca="false">D287*SQRT(('Final Model'!$B$24-1)/('Final Model'!$B$24-D287^2))</f>
        <v>0.973136783827923</v>
      </c>
      <c r="F287" s="23" t="n">
        <f aca="false">D287^2/($P$3+1)*B287/(1-B287)</f>
        <v>0.00148339367483334</v>
      </c>
      <c r="G287" s="13" t="n">
        <f aca="false">($P$2-1)*(B287-1/$P$2)</f>
        <v>16.1412188200159</v>
      </c>
      <c r="H287" s="13" t="n">
        <f aca="false">E287*SQRT(B287/(1-B287))</f>
        <v>0.108934351462278</v>
      </c>
      <c r="I287" s="13" t="n">
        <f aca="false">ABS(D287)</f>
        <v>0.973155500231643</v>
      </c>
      <c r="J287" s="6" t="n">
        <f aca="false">IF(B287&gt;$P$4,1,0)</f>
        <v>1</v>
      </c>
      <c r="K287" s="6" t="n">
        <f aca="false">IF(F287&gt;$P$6,1,0)</f>
        <v>0</v>
      </c>
      <c r="L287" s="6" t="n">
        <f aca="false">IF(G287&gt;$P$9,1,0)</f>
        <v>1</v>
      </c>
      <c r="M287" s="6" t="n">
        <f aca="false">IF(ABS(H287)&gt;$P$8,1,0)</f>
        <v>0</v>
      </c>
    </row>
    <row r="288" customFormat="false" ht="15" hidden="false" customHeight="false" outlineLevel="0" collapsed="false">
      <c r="A288" s="0" t="n">
        <f aca="false">ROW()-1</f>
        <v>287</v>
      </c>
      <c r="B288" s="22" t="n">
        <f aca="false">SUMPRODUCT(MMULT('Analysis Data'!N288:U288,'Final Model'!$B$59:$I$66),'Analysis Data'!N288:U288)</f>
        <v>0.00223025040249667</v>
      </c>
      <c r="C288" s="15" t="n">
        <f aca="false">'Residual Diagnostics'!F288</f>
        <v>6.50600378540202</v>
      </c>
      <c r="D288" s="13" t="n">
        <f aca="false">C288/('Final Model'!$B$21*SQRT(1-B288))</f>
        <v>0.132837090262297</v>
      </c>
      <c r="E288" s="13" t="n">
        <f aca="false">D288*SQRT(('Final Model'!$B$24-1)/('Final Model'!$B$24-D288^2))</f>
        <v>0.132789732488591</v>
      </c>
      <c r="F288" s="23" t="n">
        <f aca="false">D288^2/($P$3+1)*B288/(1-B288)</f>
        <v>4.93028488366224E-006</v>
      </c>
      <c r="G288" s="13" t="n">
        <f aca="false">($P$2-1)*(B288-1/$P$2)</f>
        <v>2.08961830817938</v>
      </c>
      <c r="H288" s="13" t="n">
        <f aca="false">E288*SQRT(B288/(1-B288))</f>
        <v>0.00627806984152896</v>
      </c>
      <c r="I288" s="13" t="n">
        <f aca="false">ABS(D288)</f>
        <v>0.132837090262297</v>
      </c>
      <c r="J288" s="6" t="n">
        <f aca="false">IF(B288&gt;$P$4,1,0)</f>
        <v>0</v>
      </c>
      <c r="K288" s="6" t="n">
        <f aca="false">IF(F288&gt;$P$6,1,0)</f>
        <v>0</v>
      </c>
      <c r="L288" s="6" t="n">
        <f aca="false">IF(G288&gt;$P$9,1,0)</f>
        <v>0</v>
      </c>
      <c r="M288" s="6" t="n">
        <f aca="false">IF(ABS(H288)&gt;$P$8,1,0)</f>
        <v>0</v>
      </c>
    </row>
    <row r="289" customFormat="false" ht="15" hidden="false" customHeight="false" outlineLevel="0" collapsed="false">
      <c r="A289" s="0" t="n">
        <f aca="false">ROW()-1</f>
        <v>288</v>
      </c>
      <c r="B289" s="22" t="n">
        <f aca="false">SUMPRODUCT(MMULT('Analysis Data'!N289:U289,'Final Model'!$B$59:$I$66),'Analysis Data'!N289:U289)</f>
        <v>0.00230529624841536</v>
      </c>
      <c r="C289" s="15" t="n">
        <f aca="false">'Residual Diagnostics'!F289</f>
        <v>-20.7557957428729</v>
      </c>
      <c r="D289" s="13" t="n">
        <f aca="false">C289/('Final Model'!$B$21*SQRT(1-B289))</f>
        <v>-0.423799815760897</v>
      </c>
      <c r="E289" s="13" t="n">
        <f aca="false">D289*SQRT(('Final Model'!$B$24-1)/('Final Model'!$B$24-D289^2))</f>
        <v>-0.423673625700923</v>
      </c>
      <c r="F289" s="23" t="n">
        <f aca="false">D289^2/($P$3+1)*B289/(1-B289)</f>
        <v>5.18752994739883E-005</v>
      </c>
      <c r="G289" s="13" t="n">
        <f aca="false">($P$2-1)*(B289-1/$P$2)</f>
        <v>2.19355680477678</v>
      </c>
      <c r="H289" s="13" t="n">
        <f aca="false">E289*SQRT(B289/(1-B289))</f>
        <v>-0.0203655417674537</v>
      </c>
      <c r="I289" s="13" t="n">
        <f aca="false">ABS(D289)</f>
        <v>0.423799815760897</v>
      </c>
      <c r="J289" s="6" t="n">
        <f aca="false">IF(B289&gt;$P$4,1,0)</f>
        <v>0</v>
      </c>
      <c r="K289" s="6" t="n">
        <f aca="false">IF(F289&gt;$P$6,1,0)</f>
        <v>0</v>
      </c>
      <c r="L289" s="6" t="n">
        <f aca="false">IF(G289&gt;$P$9,1,0)</f>
        <v>0</v>
      </c>
      <c r="M289" s="6" t="n">
        <f aca="false">IF(ABS(H289)&gt;$P$8,1,0)</f>
        <v>0</v>
      </c>
    </row>
    <row r="290" customFormat="false" ht="15" hidden="false" customHeight="false" outlineLevel="0" collapsed="false">
      <c r="A290" s="0" t="n">
        <f aca="false">ROW()-1</f>
        <v>289</v>
      </c>
      <c r="B290" s="22" t="n">
        <f aca="false">SUMPRODUCT(MMULT('Analysis Data'!N290:U290,'Final Model'!$B$59:$I$66),'Analysis Data'!N290:U290)</f>
        <v>0.00307917104651043</v>
      </c>
      <c r="C290" s="15" t="n">
        <f aca="false">'Residual Diagnostics'!F290</f>
        <v>-104.773381815695</v>
      </c>
      <c r="D290" s="13" t="n">
        <f aca="false">C290/('Final Model'!$B$21*SQRT(1-B290))</f>
        <v>-2.14013335563455</v>
      </c>
      <c r="E290" s="13" t="n">
        <f aca="false">D290*SQRT(('Final Model'!$B$24-1)/('Final Model'!$B$24-D290^2))</f>
        <v>-2.14292094322063</v>
      </c>
      <c r="F290" s="23" t="n">
        <f aca="false">D290^2/($P$3+1)*B290/(1-B290)</f>
        <v>0.001768336166216</v>
      </c>
      <c r="G290" s="13" t="n">
        <f aca="false">($P$2-1)*(B290-1/$P$2)</f>
        <v>3.26537340013844</v>
      </c>
      <c r="H290" s="13" t="n">
        <f aca="false">E290*SQRT(B290/(1-B290))</f>
        <v>-0.119094778647655</v>
      </c>
      <c r="I290" s="13" t="n">
        <f aca="false">ABS(D290)</f>
        <v>2.14013335563455</v>
      </c>
      <c r="J290" s="6" t="n">
        <f aca="false">IF(B290&gt;$P$4,1,0)</f>
        <v>0</v>
      </c>
      <c r="K290" s="6" t="n">
        <f aca="false">IF(F290&gt;$P$6,1,0)</f>
        <v>0</v>
      </c>
      <c r="L290" s="6" t="n">
        <f aca="false">IF(G290&gt;$P$9,1,0)</f>
        <v>0</v>
      </c>
      <c r="M290" s="6" t="n">
        <f aca="false">IF(ABS(H290)&gt;$P$8,1,0)</f>
        <v>0</v>
      </c>
    </row>
    <row r="291" customFormat="false" ht="15" hidden="false" customHeight="false" outlineLevel="0" collapsed="false">
      <c r="A291" s="0" t="n">
        <f aca="false">ROW()-1</f>
        <v>290</v>
      </c>
      <c r="B291" s="22" t="n">
        <f aca="false">SUMPRODUCT(MMULT('Analysis Data'!N291:U291,'Final Model'!$B$59:$I$66),'Analysis Data'!N291:U291)</f>
        <v>0.00276413402245908</v>
      </c>
      <c r="C291" s="15" t="n">
        <f aca="false">'Residual Diagnostics'!F291</f>
        <v>-23.5168778830594</v>
      </c>
      <c r="D291" s="13" t="n">
        <f aca="false">C291/('Final Model'!$B$21*SQRT(1-B291))</f>
        <v>-0.480287106461362</v>
      </c>
      <c r="E291" s="13" t="n">
        <f aca="false">D291*SQRT(('Final Model'!$B$24-1)/('Final Model'!$B$24-D291^2))</f>
        <v>-0.480152995428449</v>
      </c>
      <c r="F291" s="23" t="n">
        <f aca="false">D291^2/($P$3+1)*B291/(1-B291)</f>
        <v>7.99232389603545E-005</v>
      </c>
      <c r="G291" s="13" t="n">
        <f aca="false">($P$2-1)*(B291-1/$P$2)</f>
        <v>2.82904712182732</v>
      </c>
      <c r="H291" s="13" t="n">
        <f aca="false">E291*SQRT(B291/(1-B291))</f>
        <v>-0.0252790207255661</v>
      </c>
      <c r="I291" s="13" t="n">
        <f aca="false">ABS(D291)</f>
        <v>0.480287106461362</v>
      </c>
      <c r="J291" s="6" t="n">
        <f aca="false">IF(B291&gt;$P$4,1,0)</f>
        <v>0</v>
      </c>
      <c r="K291" s="6" t="n">
        <f aca="false">IF(F291&gt;$P$6,1,0)</f>
        <v>0</v>
      </c>
      <c r="L291" s="6" t="n">
        <f aca="false">IF(G291&gt;$P$9,1,0)</f>
        <v>0</v>
      </c>
      <c r="M291" s="6" t="n">
        <f aca="false">IF(ABS(H291)&gt;$P$8,1,0)</f>
        <v>0</v>
      </c>
    </row>
    <row r="292" customFormat="false" ht="15" hidden="false" customHeight="false" outlineLevel="0" collapsed="false">
      <c r="A292" s="0" t="n">
        <f aca="false">ROW()-1</f>
        <v>291</v>
      </c>
      <c r="B292" s="22" t="n">
        <f aca="false">SUMPRODUCT(MMULT('Analysis Data'!N292:U292,'Final Model'!$B$59:$I$66),'Analysis Data'!N292:U292)</f>
        <v>0.00307917104651043</v>
      </c>
      <c r="C292" s="15" t="n">
        <f aca="false">'Residual Diagnostics'!F292</f>
        <v>11.0272135339426</v>
      </c>
      <c r="D292" s="13" t="n">
        <f aca="false">C292/('Final Model'!$B$21*SQRT(1-B292))</f>
        <v>0.2252452588121</v>
      </c>
      <c r="E292" s="13" t="n">
        <f aca="false">D292*SQRT(('Final Model'!$B$24-1)/('Final Model'!$B$24-D292^2))</f>
        <v>0.225167660098122</v>
      </c>
      <c r="F292" s="23" t="n">
        <f aca="false">D292^2/($P$3+1)*B292/(1-B292)</f>
        <v>1.95881974946333E-005</v>
      </c>
      <c r="G292" s="13" t="n">
        <f aca="false">($P$2-1)*(B292-1/$P$2)</f>
        <v>3.26537340013844</v>
      </c>
      <c r="H292" s="13" t="n">
        <f aca="false">E292*SQRT(B292/(1-B292))</f>
        <v>0.0125138973151729</v>
      </c>
      <c r="I292" s="13" t="n">
        <f aca="false">ABS(D292)</f>
        <v>0.2252452588121</v>
      </c>
      <c r="J292" s="6" t="n">
        <f aca="false">IF(B292&gt;$P$4,1,0)</f>
        <v>0</v>
      </c>
      <c r="K292" s="6" t="n">
        <f aca="false">IF(F292&gt;$P$6,1,0)</f>
        <v>0</v>
      </c>
      <c r="L292" s="6" t="n">
        <f aca="false">IF(G292&gt;$P$9,1,0)</f>
        <v>0</v>
      </c>
      <c r="M292" s="6" t="n">
        <f aca="false">IF(ABS(H292)&gt;$P$8,1,0)</f>
        <v>0</v>
      </c>
    </row>
    <row r="293" customFormat="false" ht="15" hidden="false" customHeight="false" outlineLevel="0" collapsed="false">
      <c r="A293" s="0" t="n">
        <f aca="false">ROW()-1</f>
        <v>292</v>
      </c>
      <c r="B293" s="22" t="n">
        <f aca="false">SUMPRODUCT(MMULT('Analysis Data'!N293:U293,'Final Model'!$B$59:$I$66),'Analysis Data'!N293:U293)</f>
        <v>0.00204707809940915</v>
      </c>
      <c r="C293" s="15" t="n">
        <f aca="false">'Residual Diagnostics'!F293</f>
        <v>-2.45057373692211</v>
      </c>
      <c r="D293" s="13" t="n">
        <f aca="false">C293/('Final Model'!$B$21*SQRT(1-B293))</f>
        <v>-0.0500302826623092</v>
      </c>
      <c r="E293" s="13" t="n">
        <f aca="false">D293*SQRT(('Final Model'!$B$24-1)/('Final Model'!$B$24-D293^2))</f>
        <v>-0.0500121715663052</v>
      </c>
      <c r="F293" s="23" t="n">
        <f aca="false">D293^2/($P$3+1)*B293/(1-B293)</f>
        <v>6.4180084435956E-007</v>
      </c>
      <c r="G293" s="13" t="n">
        <f aca="false">($P$2-1)*(B293-1/$P$2)</f>
        <v>1.83592466840317</v>
      </c>
      <c r="H293" s="13" t="n">
        <f aca="false">E293*SQRT(B293/(1-B293))</f>
        <v>-0.00226510266650122</v>
      </c>
      <c r="I293" s="13" t="n">
        <f aca="false">ABS(D293)</f>
        <v>0.0500302826623092</v>
      </c>
      <c r="J293" s="6" t="n">
        <f aca="false">IF(B293&gt;$P$4,1,0)</f>
        <v>0</v>
      </c>
      <c r="K293" s="6" t="n">
        <f aca="false">IF(F293&gt;$P$6,1,0)</f>
        <v>0</v>
      </c>
      <c r="L293" s="6" t="n">
        <f aca="false">IF(G293&gt;$P$9,1,0)</f>
        <v>0</v>
      </c>
      <c r="M293" s="6" t="n">
        <f aca="false">IF(ABS(H293)&gt;$P$8,1,0)</f>
        <v>0</v>
      </c>
    </row>
    <row r="294" customFormat="false" ht="15" hidden="false" customHeight="false" outlineLevel="0" collapsed="false">
      <c r="A294" s="0" t="n">
        <f aca="false">ROW()-1</f>
        <v>293</v>
      </c>
      <c r="B294" s="22" t="n">
        <f aca="false">SUMPRODUCT(MMULT('Analysis Data'!N294:U294,'Final Model'!$B$59:$I$66),'Analysis Data'!N294:U294)</f>
        <v>0.00252040240612148</v>
      </c>
      <c r="C294" s="15" t="n">
        <f aca="false">'Residual Diagnostics'!F294</f>
        <v>1.47551693946701</v>
      </c>
      <c r="D294" s="13" t="n">
        <f aca="false">C294/('Final Model'!$B$21*SQRT(1-B294))</f>
        <v>0.0301309203776612</v>
      </c>
      <c r="E294" s="13" t="n">
        <f aca="false">D294*SQRT(('Final Model'!$B$24-1)/('Final Model'!$B$24-D294^2))</f>
        <v>0.0301199954706697</v>
      </c>
      <c r="F294" s="23" t="n">
        <f aca="false">D294^2/($P$3+1)*B294/(1-B294)</f>
        <v>2.86748181765374E-007</v>
      </c>
      <c r="G294" s="13" t="n">
        <f aca="false">($P$2-1)*(B294-1/$P$2)</f>
        <v>2.49147883319975</v>
      </c>
      <c r="H294" s="13" t="n">
        <f aca="false">E294*SQRT(B294/(1-B294))</f>
        <v>0.00151404169144783</v>
      </c>
      <c r="I294" s="13" t="n">
        <f aca="false">ABS(D294)</f>
        <v>0.0301309203776612</v>
      </c>
      <c r="J294" s="6" t="n">
        <f aca="false">IF(B294&gt;$P$4,1,0)</f>
        <v>0</v>
      </c>
      <c r="K294" s="6" t="n">
        <f aca="false">IF(F294&gt;$P$6,1,0)</f>
        <v>0</v>
      </c>
      <c r="L294" s="6" t="n">
        <f aca="false">IF(G294&gt;$P$9,1,0)</f>
        <v>0</v>
      </c>
      <c r="M294" s="6" t="n">
        <f aca="false">IF(ABS(H294)&gt;$P$8,1,0)</f>
        <v>0</v>
      </c>
    </row>
    <row r="295" customFormat="false" ht="15" hidden="false" customHeight="false" outlineLevel="0" collapsed="false">
      <c r="A295" s="0" t="n">
        <f aca="false">ROW()-1</f>
        <v>294</v>
      </c>
      <c r="B295" s="22" t="n">
        <f aca="false">SUMPRODUCT(MMULT('Analysis Data'!N295:U295,'Final Model'!$B$59:$I$66),'Analysis Data'!N295:U295)</f>
        <v>0.00230529624841536</v>
      </c>
      <c r="C295" s="15" t="n">
        <f aca="false">'Residual Diagnostics'!F295</f>
        <v>-3.30726629674845</v>
      </c>
      <c r="D295" s="13" t="n">
        <f aca="false">C295/('Final Model'!$B$21*SQRT(1-B295))</f>
        <v>-0.0675290345211413</v>
      </c>
      <c r="E295" s="13" t="n">
        <f aca="false">D295*SQRT(('Final Model'!$B$24-1)/('Final Model'!$B$24-D295^2))</f>
        <v>-0.0675046392173222</v>
      </c>
      <c r="F295" s="23" t="n">
        <f aca="false">D295^2/($P$3+1)*B295/(1-B295)</f>
        <v>1.31710430981474E-006</v>
      </c>
      <c r="G295" s="13" t="n">
        <f aca="false">($P$2-1)*(B295-1/$P$2)</f>
        <v>2.19355680477678</v>
      </c>
      <c r="H295" s="13" t="n">
        <f aca="false">E295*SQRT(B295/(1-B295))</f>
        <v>-0.00324487640032551</v>
      </c>
      <c r="I295" s="13" t="n">
        <f aca="false">ABS(D295)</f>
        <v>0.0675290345211413</v>
      </c>
      <c r="J295" s="6" t="n">
        <f aca="false">IF(B295&gt;$P$4,1,0)</f>
        <v>0</v>
      </c>
      <c r="K295" s="6" t="n">
        <f aca="false">IF(F295&gt;$P$6,1,0)</f>
        <v>0</v>
      </c>
      <c r="L295" s="6" t="n">
        <f aca="false">IF(G295&gt;$P$9,1,0)</f>
        <v>0</v>
      </c>
      <c r="M295" s="6" t="n">
        <f aca="false">IF(ABS(H295)&gt;$P$8,1,0)</f>
        <v>0</v>
      </c>
    </row>
    <row r="296" customFormat="false" ht="15" hidden="false" customHeight="false" outlineLevel="0" collapsed="false">
      <c r="A296" s="0" t="n">
        <f aca="false">ROW()-1</f>
        <v>295</v>
      </c>
      <c r="B296" s="22" t="n">
        <f aca="false">SUMPRODUCT(MMULT('Analysis Data'!N296:U296,'Final Model'!$B$59:$I$66),'Analysis Data'!N296:U296)</f>
        <v>0.00230529624841536</v>
      </c>
      <c r="C296" s="15" t="n">
        <f aca="false">'Residual Diagnostics'!F296</f>
        <v>-20.8681423503953</v>
      </c>
      <c r="D296" s="13" t="n">
        <f aca="false">C296/('Final Model'!$B$21*SQRT(1-B296))</f>
        <v>-0.426093751978001</v>
      </c>
      <c r="E296" s="13" t="n">
        <f aca="false">D296*SQRT(('Final Model'!$B$24-1)/('Final Model'!$B$24-D296^2))</f>
        <v>-0.42596718024837</v>
      </c>
      <c r="F296" s="23" t="n">
        <f aca="false">D296^2/($P$3+1)*B296/(1-B296)</f>
        <v>5.2438398751732E-005</v>
      </c>
      <c r="G296" s="13" t="n">
        <f aca="false">($P$2-1)*(B296-1/$P$2)</f>
        <v>2.19355680477678</v>
      </c>
      <c r="H296" s="13" t="n">
        <f aca="false">E296*SQRT(B296/(1-B296))</f>
        <v>-0.0204757905016172</v>
      </c>
      <c r="I296" s="13" t="n">
        <f aca="false">ABS(D296)</f>
        <v>0.426093751978001</v>
      </c>
      <c r="J296" s="6" t="n">
        <f aca="false">IF(B296&gt;$P$4,1,0)</f>
        <v>0</v>
      </c>
      <c r="K296" s="6" t="n">
        <f aca="false">IF(F296&gt;$P$6,1,0)</f>
        <v>0</v>
      </c>
      <c r="L296" s="6" t="n">
        <f aca="false">IF(G296&gt;$P$9,1,0)</f>
        <v>0</v>
      </c>
      <c r="M296" s="6" t="n">
        <f aca="false">IF(ABS(H296)&gt;$P$8,1,0)</f>
        <v>0</v>
      </c>
    </row>
    <row r="297" customFormat="false" ht="15" hidden="false" customHeight="false" outlineLevel="0" collapsed="false">
      <c r="A297" s="0" t="n">
        <f aca="false">ROW()-1</f>
        <v>296</v>
      </c>
      <c r="B297" s="22" t="n">
        <f aca="false">SUMPRODUCT(MMULT('Analysis Data'!N297:U297,'Final Model'!$B$59:$I$66),'Analysis Data'!N297:U297)</f>
        <v>0.00424881969140385</v>
      </c>
      <c r="C297" s="15" t="n">
        <f aca="false">'Residual Diagnostics'!F297</f>
        <v>-33.9202498323256</v>
      </c>
      <c r="D297" s="13" t="n">
        <f aca="false">C297/('Final Model'!$B$21*SQRT(1-B297))</f>
        <v>-0.693272280912343</v>
      </c>
      <c r="E297" s="13" t="n">
        <f aca="false">D297*SQRT(('Final Model'!$B$24-1)/('Final Model'!$B$24-D297^2))</f>
        <v>-0.693141574500987</v>
      </c>
      <c r="F297" s="23" t="n">
        <f aca="false">D297^2/($P$3+1)*B297/(1-B297)</f>
        <v>0.000256351083062004</v>
      </c>
      <c r="G297" s="13" t="n">
        <f aca="false">($P$2-1)*(B297-1/$P$2)</f>
        <v>4.88533677331583</v>
      </c>
      <c r="H297" s="13" t="n">
        <f aca="false">E297*SQRT(B297/(1-B297))</f>
        <v>-0.0452773170259222</v>
      </c>
      <c r="I297" s="13" t="n">
        <f aca="false">ABS(D297)</f>
        <v>0.693272280912343</v>
      </c>
      <c r="J297" s="6" t="n">
        <f aca="false">IF(B297&gt;$P$4,1,0)</f>
        <v>0</v>
      </c>
      <c r="K297" s="6" t="n">
        <f aca="false">IF(F297&gt;$P$6,1,0)</f>
        <v>0</v>
      </c>
      <c r="L297" s="6" t="n">
        <f aca="false">IF(G297&gt;$P$9,1,0)</f>
        <v>0</v>
      </c>
      <c r="M297" s="6" t="n">
        <f aca="false">IF(ABS(H297)&gt;$P$8,1,0)</f>
        <v>0</v>
      </c>
    </row>
    <row r="298" customFormat="false" ht="15" hidden="false" customHeight="false" outlineLevel="0" collapsed="false">
      <c r="A298" s="0" t="n">
        <f aca="false">ROW()-1</f>
        <v>297</v>
      </c>
      <c r="B298" s="22" t="n">
        <f aca="false">SUMPRODUCT(MMULT('Analysis Data'!N298:U298,'Final Model'!$B$59:$I$66),'Analysis Data'!N298:U298)</f>
        <v>0.00278350358104268</v>
      </c>
      <c r="C298" s="15" t="n">
        <f aca="false">'Residual Diagnostics'!F298</f>
        <v>-43.2627424551568</v>
      </c>
      <c r="D298" s="13" t="n">
        <f aca="false">C298/('Final Model'!$B$21*SQRT(1-B298))</f>
        <v>-0.883567082797614</v>
      </c>
      <c r="E298" s="13" t="n">
        <f aca="false">D298*SQRT(('Final Model'!$B$24-1)/('Final Model'!$B$24-D298^2))</f>
        <v>-0.883496730126624</v>
      </c>
      <c r="F298" s="23" t="n">
        <f aca="false">D298^2/($P$3+1)*B298/(1-B298)</f>
        <v>0.000272390150096364</v>
      </c>
      <c r="G298" s="13" t="n">
        <f aca="false">($P$2-1)*(B298-1/$P$2)</f>
        <v>2.85587396046561</v>
      </c>
      <c r="H298" s="13" t="n">
        <f aca="false">E298*SQRT(B298/(1-B298))</f>
        <v>-0.0466773413578086</v>
      </c>
      <c r="I298" s="13" t="n">
        <f aca="false">ABS(D298)</f>
        <v>0.883567082797614</v>
      </c>
      <c r="J298" s="6" t="n">
        <f aca="false">IF(B298&gt;$P$4,1,0)</f>
        <v>0</v>
      </c>
      <c r="K298" s="6" t="n">
        <f aca="false">IF(F298&gt;$P$6,1,0)</f>
        <v>0</v>
      </c>
      <c r="L298" s="6" t="n">
        <f aca="false">IF(G298&gt;$P$9,1,0)</f>
        <v>0</v>
      </c>
      <c r="M298" s="6" t="n">
        <f aca="false">IF(ABS(H298)&gt;$P$8,1,0)</f>
        <v>0</v>
      </c>
    </row>
    <row r="299" customFormat="false" ht="15" hidden="false" customHeight="false" outlineLevel="0" collapsed="false">
      <c r="A299" s="0" t="n">
        <f aca="false">ROW()-1</f>
        <v>298</v>
      </c>
      <c r="B299" s="22" t="n">
        <f aca="false">SUMPRODUCT(MMULT('Analysis Data'!N299:U299,'Final Model'!$B$59:$I$66),'Analysis Data'!N299:U299)</f>
        <v>0.0019614929876262</v>
      </c>
      <c r="C299" s="15" t="n">
        <f aca="false">'Residual Diagnostics'!F299</f>
        <v>-72.5557662977262</v>
      </c>
      <c r="D299" s="13" t="n">
        <f aca="false">C299/('Final Model'!$B$21*SQRT(1-B299))</f>
        <v>-1.48121633598776</v>
      </c>
      <c r="E299" s="13" t="n">
        <f aca="false">D299*SQRT(('Final Model'!$B$24-1)/('Final Model'!$B$24-D299^2))</f>
        <v>-1.48185893802368</v>
      </c>
      <c r="F299" s="23" t="n">
        <f aca="false">D299^2/($P$3+1)*B299/(1-B299)</f>
        <v>0.000538997140639732</v>
      </c>
      <c r="G299" s="13" t="n">
        <f aca="false">($P$2-1)*(B299-1/$P$2)</f>
        <v>1.71738928858379</v>
      </c>
      <c r="H299" s="13" t="n">
        <f aca="false">E299*SQRT(B299/(1-B299))</f>
        <v>-0.0656941344521321</v>
      </c>
      <c r="I299" s="13" t="n">
        <f aca="false">ABS(D299)</f>
        <v>1.48121633598776</v>
      </c>
      <c r="J299" s="6" t="n">
        <f aca="false">IF(B299&gt;$P$4,1,0)</f>
        <v>0</v>
      </c>
      <c r="K299" s="6" t="n">
        <f aca="false">IF(F299&gt;$P$6,1,0)</f>
        <v>0</v>
      </c>
      <c r="L299" s="6" t="n">
        <f aca="false">IF(G299&gt;$P$9,1,0)</f>
        <v>0</v>
      </c>
      <c r="M299" s="6" t="n">
        <f aca="false">IF(ABS(H299)&gt;$P$8,1,0)</f>
        <v>0</v>
      </c>
    </row>
    <row r="300" customFormat="false" ht="15" hidden="false" customHeight="false" outlineLevel="0" collapsed="false">
      <c r="A300" s="0" t="n">
        <f aca="false">ROW()-1</f>
        <v>299</v>
      </c>
      <c r="B300" s="22" t="n">
        <f aca="false">SUMPRODUCT(MMULT('Analysis Data'!N300:U300,'Final Model'!$B$59:$I$66),'Analysis Data'!N300:U300)</f>
        <v>0.0025860993832785</v>
      </c>
      <c r="C300" s="15" t="n">
        <f aca="false">'Residual Diagnostics'!F300</f>
        <v>-18.6168839795868</v>
      </c>
      <c r="D300" s="13" t="n">
        <f aca="false">C300/('Final Model'!$B$21*SQRT(1-B300))</f>
        <v>-0.380180198202645</v>
      </c>
      <c r="E300" s="13" t="n">
        <f aca="false">D300*SQRT(('Final Model'!$B$24-1)/('Final Model'!$B$24-D300^2))</f>
        <v>-0.380062159480599</v>
      </c>
      <c r="F300" s="23" t="n">
        <f aca="false">D300^2/($P$3+1)*B300/(1-B300)</f>
        <v>4.68445199428613E-005</v>
      </c>
      <c r="G300" s="13" t="n">
        <f aca="false">($P$2-1)*(B300-1/$P$2)</f>
        <v>2.58246914656222</v>
      </c>
      <c r="H300" s="13" t="n">
        <f aca="false">E300*SQRT(B300/(1-B300))</f>
        <v>-0.0193526092903884</v>
      </c>
      <c r="I300" s="13" t="n">
        <f aca="false">ABS(D300)</f>
        <v>0.380180198202645</v>
      </c>
      <c r="J300" s="6" t="n">
        <f aca="false">IF(B300&gt;$P$4,1,0)</f>
        <v>0</v>
      </c>
      <c r="K300" s="6" t="n">
        <f aca="false">IF(F300&gt;$P$6,1,0)</f>
        <v>0</v>
      </c>
      <c r="L300" s="6" t="n">
        <f aca="false">IF(G300&gt;$P$9,1,0)</f>
        <v>0</v>
      </c>
      <c r="M300" s="6" t="n">
        <f aca="false">IF(ABS(H300)&gt;$P$8,1,0)</f>
        <v>0</v>
      </c>
    </row>
    <row r="301" customFormat="false" ht="15" hidden="false" customHeight="false" outlineLevel="0" collapsed="false">
      <c r="A301" s="0" t="n">
        <f aca="false">ROW()-1</f>
        <v>300</v>
      </c>
      <c r="B301" s="22" t="n">
        <f aca="false">SUMPRODUCT(MMULT('Analysis Data'!N301:U301,'Final Model'!$B$59:$I$66),'Analysis Data'!N301:U301)</f>
        <v>0.00199236464672368</v>
      </c>
      <c r="C301" s="15" t="n">
        <f aca="false">'Residual Diagnostics'!F301</f>
        <v>58.7371017961132</v>
      </c>
      <c r="D301" s="13" t="n">
        <f aca="false">C301/('Final Model'!$B$21*SQRT(1-B301))</f>
        <v>1.19912868091108</v>
      </c>
      <c r="E301" s="13" t="n">
        <f aca="false">D301*SQRT(('Final Model'!$B$24-1)/('Final Model'!$B$24-D301^2))</f>
        <v>1.19931939813394</v>
      </c>
      <c r="F301" s="23" t="n">
        <f aca="false">D301^2/($P$3+1)*B301/(1-B301)</f>
        <v>0.000358819930023394</v>
      </c>
      <c r="G301" s="13" t="n">
        <f aca="false">($P$2-1)*(B301-1/$P$2)</f>
        <v>1.7601465364338</v>
      </c>
      <c r="H301" s="13" t="n">
        <f aca="false">E301*SQRT(B301/(1-B301))</f>
        <v>0.05358612336864</v>
      </c>
      <c r="I301" s="13" t="n">
        <f aca="false">ABS(D301)</f>
        <v>1.19912868091108</v>
      </c>
      <c r="J301" s="6" t="n">
        <f aca="false">IF(B301&gt;$P$4,1,0)</f>
        <v>0</v>
      </c>
      <c r="K301" s="6" t="n">
        <f aca="false">IF(F301&gt;$P$6,1,0)</f>
        <v>0</v>
      </c>
      <c r="L301" s="6" t="n">
        <f aca="false">IF(G301&gt;$P$9,1,0)</f>
        <v>0</v>
      </c>
      <c r="M301" s="6" t="n">
        <f aca="false">IF(ABS(H301)&gt;$P$8,1,0)</f>
        <v>0</v>
      </c>
    </row>
    <row r="302" customFormat="false" ht="15" hidden="false" customHeight="false" outlineLevel="0" collapsed="false">
      <c r="A302" s="0" t="n">
        <f aca="false">ROW()-1</f>
        <v>301</v>
      </c>
      <c r="B302" s="22" t="n">
        <f aca="false">SUMPRODUCT(MMULT('Analysis Data'!N302:U302,'Final Model'!$B$59:$I$66),'Analysis Data'!N302:U302)</f>
        <v>0.00193368861802319</v>
      </c>
      <c r="C302" s="15" t="n">
        <f aca="false">'Residual Diagnostics'!F302</f>
        <v>-6.59484649179046</v>
      </c>
      <c r="D302" s="13" t="n">
        <f aca="false">C302/('Final Model'!$B$21*SQRT(1-B302))</f>
        <v>-0.134631040223731</v>
      </c>
      <c r="E302" s="13" t="n">
        <f aca="false">D302*SQRT(('Final Model'!$B$24-1)/('Final Model'!$B$24-D302^2))</f>
        <v>-0.134583066320069</v>
      </c>
      <c r="F302" s="23" t="n">
        <f aca="false">D302^2/($P$3+1)*B302/(1-B302)</f>
        <v>4.38962640845868E-006</v>
      </c>
      <c r="G302" s="13" t="n">
        <f aca="false">($P$2-1)*(B302-1/$P$2)</f>
        <v>1.67888023668361</v>
      </c>
      <c r="H302" s="13" t="n">
        <f aca="false">E302*SQRT(B302/(1-B302))</f>
        <v>-0.00592384915464441</v>
      </c>
      <c r="I302" s="13" t="n">
        <f aca="false">ABS(D302)</f>
        <v>0.134631040223731</v>
      </c>
      <c r="J302" s="6" t="n">
        <f aca="false">IF(B302&gt;$P$4,1,0)</f>
        <v>0</v>
      </c>
      <c r="K302" s="6" t="n">
        <f aca="false">IF(F302&gt;$P$6,1,0)</f>
        <v>0</v>
      </c>
      <c r="L302" s="6" t="n">
        <f aca="false">IF(G302&gt;$P$9,1,0)</f>
        <v>0</v>
      </c>
      <c r="M302" s="6" t="n">
        <f aca="false">IF(ABS(H302)&gt;$P$8,1,0)</f>
        <v>0</v>
      </c>
    </row>
    <row r="303" customFormat="false" ht="15" hidden="false" customHeight="false" outlineLevel="0" collapsed="false">
      <c r="A303" s="0" t="n">
        <f aca="false">ROW()-1</f>
        <v>302</v>
      </c>
      <c r="B303" s="22" t="n">
        <f aca="false">SUMPRODUCT(MMULT('Analysis Data'!N303:U303,'Final Model'!$B$59:$I$66),'Analysis Data'!N303:U303)</f>
        <v>0.00334847164465055</v>
      </c>
      <c r="C303" s="15" t="n">
        <f aca="false">'Residual Diagnostics'!F303</f>
        <v>14.0740555200123</v>
      </c>
      <c r="D303" s="13" t="n">
        <f aca="false">C303/('Final Model'!$B$21*SQRT(1-B303))</f>
        <v>0.287519828142431</v>
      </c>
      <c r="E303" s="13" t="n">
        <f aca="false">D303*SQRT(('Final Model'!$B$24-1)/('Final Model'!$B$24-D303^2))</f>
        <v>0.287424105726826</v>
      </c>
      <c r="F303" s="23" t="n">
        <f aca="false">D303^2/($P$3+1)*B303/(1-B303)</f>
        <v>3.47175365904599E-005</v>
      </c>
      <c r="G303" s="13" t="n">
        <f aca="false">($P$2-1)*(B303-1/$P$2)</f>
        <v>3.63835472856251</v>
      </c>
      <c r="H303" s="13" t="n">
        <f aca="false">E303*SQRT(B303/(1-B303))</f>
        <v>0.0166599937086465</v>
      </c>
      <c r="I303" s="13" t="n">
        <f aca="false">ABS(D303)</f>
        <v>0.287519828142431</v>
      </c>
      <c r="J303" s="6" t="n">
        <f aca="false">IF(B303&gt;$P$4,1,0)</f>
        <v>0</v>
      </c>
      <c r="K303" s="6" t="n">
        <f aca="false">IF(F303&gt;$P$6,1,0)</f>
        <v>0</v>
      </c>
      <c r="L303" s="6" t="n">
        <f aca="false">IF(G303&gt;$P$9,1,0)</f>
        <v>0</v>
      </c>
      <c r="M303" s="6" t="n">
        <f aca="false">IF(ABS(H303)&gt;$P$8,1,0)</f>
        <v>0</v>
      </c>
    </row>
    <row r="304" customFormat="false" ht="15" hidden="false" customHeight="false" outlineLevel="0" collapsed="false">
      <c r="A304" s="0" t="n">
        <f aca="false">ROW()-1</f>
        <v>303</v>
      </c>
      <c r="B304" s="22" t="n">
        <f aca="false">SUMPRODUCT(MMULT('Analysis Data'!N304:U304,'Final Model'!$B$59:$I$66),'Analysis Data'!N304:U304)</f>
        <v>0.00211032367819772</v>
      </c>
      <c r="C304" s="15" t="n">
        <f aca="false">'Residual Diagnostics'!F304</f>
        <v>54.1627355928376</v>
      </c>
      <c r="D304" s="13" t="n">
        <f aca="false">C304/('Final Model'!$B$21*SQRT(1-B304))</f>
        <v>1.10580750997543</v>
      </c>
      <c r="E304" s="13" t="n">
        <f aca="false">D304*SQRT(('Final Model'!$B$24-1)/('Final Model'!$B$24-D304^2))</f>
        <v>1.10589698533898</v>
      </c>
      <c r="F304" s="23" t="n">
        <f aca="false">D304^2/($P$3+1)*B304/(1-B304)</f>
        <v>0.000323247835393044</v>
      </c>
      <c r="G304" s="13" t="n">
        <f aca="false">($P$2-1)*(B304-1/$P$2)</f>
        <v>1.92351979502534</v>
      </c>
      <c r="H304" s="13" t="n">
        <f aca="false">E304*SQRT(B304/(1-B304))</f>
        <v>0.0508566729617307</v>
      </c>
      <c r="I304" s="13" t="n">
        <f aca="false">ABS(D304)</f>
        <v>1.10580750997543</v>
      </c>
      <c r="J304" s="6" t="n">
        <f aca="false">IF(B304&gt;$P$4,1,0)</f>
        <v>0</v>
      </c>
      <c r="K304" s="6" t="n">
        <f aca="false">IF(F304&gt;$P$6,1,0)</f>
        <v>0</v>
      </c>
      <c r="L304" s="6" t="n">
        <f aca="false">IF(G304&gt;$P$9,1,0)</f>
        <v>0</v>
      </c>
      <c r="M304" s="6" t="n">
        <f aca="false">IF(ABS(H304)&gt;$P$8,1,0)</f>
        <v>0</v>
      </c>
    </row>
    <row r="305" customFormat="false" ht="15" hidden="false" customHeight="false" outlineLevel="0" collapsed="false">
      <c r="A305" s="0" t="n">
        <f aca="false">ROW()-1</f>
        <v>304</v>
      </c>
      <c r="B305" s="22" t="n">
        <f aca="false">SUMPRODUCT(MMULT('Analysis Data'!N305:U305,'Final Model'!$B$59:$I$66),'Analysis Data'!N305:U305)</f>
        <v>0.0130520414142321</v>
      </c>
      <c r="C305" s="15" t="n">
        <f aca="false">'Residual Diagnostics'!F305</f>
        <v>-57.7364836868672</v>
      </c>
      <c r="D305" s="13" t="n">
        <f aca="false">C305/('Final Model'!$B$21*SQRT(1-B305))</f>
        <v>-1.18528670440032</v>
      </c>
      <c r="E305" s="13" t="n">
        <f aca="false">D305*SQRT(('Final Model'!$B$24-1)/('Final Model'!$B$24-D305^2))</f>
        <v>-1.1854610086388</v>
      </c>
      <c r="F305" s="23" t="n">
        <f aca="false">D305^2/($P$3+1)*B305/(1-B305)</f>
        <v>0.00232242142207408</v>
      </c>
      <c r="G305" s="13" t="n">
        <f aca="false">($P$2-1)*(B305-1/$P$2)</f>
        <v>17.0777988594329</v>
      </c>
      <c r="H305" s="13" t="n">
        <f aca="false">E305*SQRT(B305/(1-B305))</f>
        <v>-0.13632621250857</v>
      </c>
      <c r="I305" s="13" t="n">
        <f aca="false">ABS(D305)</f>
        <v>1.18528670440032</v>
      </c>
      <c r="J305" s="6" t="n">
        <f aca="false">IF(B305&gt;$P$4,1,0)</f>
        <v>1</v>
      </c>
      <c r="K305" s="6" t="n">
        <f aca="false">IF(F305&gt;$P$6,1,0)</f>
        <v>0</v>
      </c>
      <c r="L305" s="6" t="n">
        <f aca="false">IF(G305&gt;$P$9,1,0)</f>
        <v>1</v>
      </c>
      <c r="M305" s="6" t="n">
        <f aca="false">IF(ABS(H305)&gt;$P$8,1,0)</f>
        <v>0</v>
      </c>
    </row>
    <row r="306" customFormat="false" ht="15" hidden="false" customHeight="false" outlineLevel="0" collapsed="false">
      <c r="A306" s="0" t="n">
        <f aca="false">ROW()-1</f>
        <v>305</v>
      </c>
      <c r="B306" s="22" t="n">
        <f aca="false">SUMPRODUCT(MMULT('Analysis Data'!N306:U306,'Final Model'!$B$59:$I$66),'Analysis Data'!N306:U306)</f>
        <v>0.0164343178861796</v>
      </c>
      <c r="C306" s="15" t="n">
        <f aca="false">'Residual Diagnostics'!F306</f>
        <v>-23.0368784134155</v>
      </c>
      <c r="D306" s="13" t="n">
        <f aca="false">C306/('Final Model'!$B$21*SQRT(1-B306))</f>
        <v>-0.473742290321212</v>
      </c>
      <c r="E306" s="13" t="n">
        <f aca="false">D306*SQRT(('Final Model'!$B$24-1)/('Final Model'!$B$24-D306^2))</f>
        <v>-0.473608933624811</v>
      </c>
      <c r="F306" s="23" t="n">
        <f aca="false">D306^2/($P$3+1)*B306/(1-B306)</f>
        <v>0.000468751466712293</v>
      </c>
      <c r="G306" s="13" t="n">
        <f aca="false">($P$2-1)*(B306-1/$P$2)</f>
        <v>21.7622517730802</v>
      </c>
      <c r="H306" s="13" t="n">
        <f aca="false">E306*SQRT(B306/(1-B306))</f>
        <v>-0.0612201012910026</v>
      </c>
      <c r="I306" s="13" t="n">
        <f aca="false">ABS(D306)</f>
        <v>0.473742290321212</v>
      </c>
      <c r="J306" s="6" t="n">
        <f aca="false">IF(B306&gt;$P$4,1,0)</f>
        <v>1</v>
      </c>
      <c r="K306" s="6" t="n">
        <f aca="false">IF(F306&gt;$P$6,1,0)</f>
        <v>0</v>
      </c>
      <c r="L306" s="6" t="n">
        <f aca="false">IF(G306&gt;$P$9,1,0)</f>
        <v>1</v>
      </c>
      <c r="M306" s="6" t="n">
        <f aca="false">IF(ABS(H306)&gt;$P$8,1,0)</f>
        <v>0</v>
      </c>
    </row>
    <row r="307" customFormat="false" ht="15" hidden="false" customHeight="false" outlineLevel="0" collapsed="false">
      <c r="A307" s="0" t="n">
        <f aca="false">ROW()-1</f>
        <v>306</v>
      </c>
      <c r="B307" s="22" t="n">
        <f aca="false">SUMPRODUCT(MMULT('Analysis Data'!N307:U307,'Final Model'!$B$59:$I$66),'Analysis Data'!N307:U307)</f>
        <v>0.00574904694634023</v>
      </c>
      <c r="C307" s="15" t="n">
        <f aca="false">'Residual Diagnostics'!F307</f>
        <v>-70.4270566376447</v>
      </c>
      <c r="D307" s="13" t="n">
        <f aca="false">C307/('Final Model'!$B$21*SQRT(1-B307))</f>
        <v>-1.44049494667504</v>
      </c>
      <c r="E307" s="13" t="n">
        <f aca="false">D307*SQRT(('Final Model'!$B$24-1)/('Final Model'!$B$24-D307^2))</f>
        <v>-1.44105757426898</v>
      </c>
      <c r="F307" s="23" t="n">
        <f aca="false">D307^2/($P$3+1)*B307/(1-B307)</f>
        <v>0.00149979993457141</v>
      </c>
      <c r="G307" s="13" t="n">
        <f aca="false">($P$2-1)*(B307-1/$P$2)</f>
        <v>6.96315152140272</v>
      </c>
      <c r="H307" s="13" t="n">
        <f aca="false">E307*SQRT(B307/(1-B307))</f>
        <v>-0.109579988872623</v>
      </c>
      <c r="I307" s="13" t="n">
        <f aca="false">ABS(D307)</f>
        <v>1.44049494667504</v>
      </c>
      <c r="J307" s="6" t="n">
        <f aca="false">IF(B307&gt;$P$4,1,0)</f>
        <v>0</v>
      </c>
      <c r="K307" s="6" t="n">
        <f aca="false">IF(F307&gt;$P$6,1,0)</f>
        <v>0</v>
      </c>
      <c r="L307" s="6" t="n">
        <f aca="false">IF(G307&gt;$P$9,1,0)</f>
        <v>0</v>
      </c>
      <c r="M307" s="6" t="n">
        <f aca="false">IF(ABS(H307)&gt;$P$8,1,0)</f>
        <v>0</v>
      </c>
    </row>
    <row r="308" customFormat="false" ht="15" hidden="false" customHeight="false" outlineLevel="0" collapsed="false">
      <c r="A308" s="0" t="n">
        <f aca="false">ROW()-1</f>
        <v>307</v>
      </c>
      <c r="B308" s="22" t="n">
        <f aca="false">SUMPRODUCT(MMULT('Analysis Data'!N308:U308,'Final Model'!$B$59:$I$66),'Analysis Data'!N308:U308)</f>
        <v>0.00529396921783484</v>
      </c>
      <c r="C308" s="15" t="n">
        <f aca="false">'Residual Diagnostics'!F308</f>
        <v>-27.20963462469</v>
      </c>
      <c r="D308" s="13" t="n">
        <f aca="false">C308/('Final Model'!$B$21*SQRT(1-B308))</f>
        <v>-0.556410790030312</v>
      </c>
      <c r="E308" s="13" t="n">
        <f aca="false">D308*SQRT(('Final Model'!$B$24-1)/('Final Model'!$B$24-D308^2))</f>
        <v>-0.556271354471988</v>
      </c>
      <c r="F308" s="23" t="n">
        <f aca="false">D308^2/($P$3+1)*B308/(1-B308)</f>
        <v>0.000205962312987993</v>
      </c>
      <c r="G308" s="13" t="n">
        <f aca="false">($P$2-1)*(B308-1/$P$2)</f>
        <v>6.33286886742275</v>
      </c>
      <c r="H308" s="13" t="n">
        <f aca="false">E308*SQRT(B308/(1-B308))</f>
        <v>-0.040581680432506</v>
      </c>
      <c r="I308" s="13" t="n">
        <f aca="false">ABS(D308)</f>
        <v>0.556410790030312</v>
      </c>
      <c r="J308" s="6" t="n">
        <f aca="false">IF(B308&gt;$P$4,1,0)</f>
        <v>0</v>
      </c>
      <c r="K308" s="6" t="n">
        <f aca="false">IF(F308&gt;$P$6,1,0)</f>
        <v>0</v>
      </c>
      <c r="L308" s="6" t="n">
        <f aca="false">IF(G308&gt;$P$9,1,0)</f>
        <v>0</v>
      </c>
      <c r="M308" s="6" t="n">
        <f aca="false">IF(ABS(H308)&gt;$P$8,1,0)</f>
        <v>0</v>
      </c>
    </row>
    <row r="309" customFormat="false" ht="15" hidden="false" customHeight="false" outlineLevel="0" collapsed="false">
      <c r="A309" s="0" t="n">
        <f aca="false">ROW()-1</f>
        <v>308</v>
      </c>
      <c r="B309" s="22" t="n">
        <f aca="false">SUMPRODUCT(MMULT('Analysis Data'!N309:U309,'Final Model'!$B$59:$I$66),'Analysis Data'!N309:U309)</f>
        <v>0.0134973473992286</v>
      </c>
      <c r="C309" s="15" t="n">
        <f aca="false">'Residual Diagnostics'!F309</f>
        <v>63.2390608757803</v>
      </c>
      <c r="D309" s="13" t="n">
        <f aca="false">C309/('Final Model'!$B$21*SQRT(1-B309))</f>
        <v>1.29854346805083</v>
      </c>
      <c r="E309" s="13" t="n">
        <f aca="false">D309*SQRT(('Final Model'!$B$24-1)/('Final Model'!$B$24-D309^2))</f>
        <v>1.2988671475607</v>
      </c>
      <c r="F309" s="23" t="n">
        <f aca="false">D309^2/($P$3+1)*B309/(1-B309)</f>
        <v>0.00288385330909363</v>
      </c>
      <c r="G309" s="13" t="n">
        <f aca="false">($P$2-1)*(B309-1/$P$2)</f>
        <v>17.6945476486531</v>
      </c>
      <c r="H309" s="13" t="n">
        <f aca="false">E309*SQRT(B309/(1-B309))</f>
        <v>0.15192869820023</v>
      </c>
      <c r="I309" s="13" t="n">
        <f aca="false">ABS(D309)</f>
        <v>1.29854346805083</v>
      </c>
      <c r="J309" s="6" t="n">
        <f aca="false">IF(B309&gt;$P$4,1,0)</f>
        <v>1</v>
      </c>
      <c r="K309" s="6" t="n">
        <f aca="false">IF(F309&gt;$P$6,1,0)</f>
        <v>0</v>
      </c>
      <c r="L309" s="6" t="n">
        <f aca="false">IF(G309&gt;$P$9,1,0)</f>
        <v>1</v>
      </c>
      <c r="M309" s="6" t="n">
        <f aca="false">IF(ABS(H309)&gt;$P$8,1,0)</f>
        <v>0</v>
      </c>
    </row>
    <row r="310" customFormat="false" ht="15" hidden="false" customHeight="false" outlineLevel="0" collapsed="false">
      <c r="A310" s="0" t="n">
        <f aca="false">ROW()-1</f>
        <v>309</v>
      </c>
      <c r="B310" s="22" t="n">
        <f aca="false">SUMPRODUCT(MMULT('Analysis Data'!N310:U310,'Final Model'!$B$59:$I$66),'Analysis Data'!N310:U310)</f>
        <v>0.00236231798678867</v>
      </c>
      <c r="C310" s="15" t="n">
        <f aca="false">'Residual Diagnostics'!F310</f>
        <v>75.107375574876</v>
      </c>
      <c r="D310" s="13" t="n">
        <f aca="false">C310/('Final Model'!$B$21*SQRT(1-B310))</f>
        <v>1.53361509123331</v>
      </c>
      <c r="E310" s="13" t="n">
        <f aca="false">D310*SQRT(('Final Model'!$B$24-1)/('Final Model'!$B$24-D310^2))</f>
        <v>1.53436851813609</v>
      </c>
      <c r="F310" s="23" t="n">
        <f aca="false">D310^2/($P$3+1)*B310/(1-B310)</f>
        <v>0.00069615872740472</v>
      </c>
      <c r="G310" s="13" t="n">
        <f aca="false">($P$2-1)*(B310-1/$P$2)</f>
        <v>2.27253191242381</v>
      </c>
      <c r="H310" s="13" t="n">
        <f aca="false">E310*SQRT(B310/(1-B310))</f>
        <v>0.074664203273923</v>
      </c>
      <c r="I310" s="13" t="n">
        <f aca="false">ABS(D310)</f>
        <v>1.53361509123331</v>
      </c>
      <c r="J310" s="6" t="n">
        <f aca="false">IF(B310&gt;$P$4,1,0)</f>
        <v>0</v>
      </c>
      <c r="K310" s="6" t="n">
        <f aca="false">IF(F310&gt;$P$6,1,0)</f>
        <v>0</v>
      </c>
      <c r="L310" s="6" t="n">
        <f aca="false">IF(G310&gt;$P$9,1,0)</f>
        <v>0</v>
      </c>
      <c r="M310" s="6" t="n">
        <f aca="false">IF(ABS(H310)&gt;$P$8,1,0)</f>
        <v>0</v>
      </c>
    </row>
    <row r="311" customFormat="false" ht="15" hidden="false" customHeight="false" outlineLevel="0" collapsed="false">
      <c r="A311" s="0" t="n">
        <f aca="false">ROW()-1</f>
        <v>310</v>
      </c>
      <c r="B311" s="22" t="n">
        <f aca="false">SUMPRODUCT(MMULT('Analysis Data'!N311:U311,'Final Model'!$B$59:$I$66),'Analysis Data'!N311:U311)</f>
        <v>0.00230694874348541</v>
      </c>
      <c r="C311" s="15" t="n">
        <f aca="false">'Residual Diagnostics'!F311</f>
        <v>115.914662549821</v>
      </c>
      <c r="D311" s="13" t="n">
        <f aca="false">C311/('Final Model'!$B$21*SQRT(1-B311))</f>
        <v>2.36679209624597</v>
      </c>
      <c r="E311" s="13" t="n">
        <f aca="false">D311*SQRT(('Final Model'!$B$24-1)/('Final Model'!$B$24-D311^2))</f>
        <v>2.37075674856511</v>
      </c>
      <c r="F311" s="23" t="n">
        <f aca="false">D311^2/($P$3+1)*B311/(1-B311)</f>
        <v>0.0016190908986747</v>
      </c>
      <c r="G311" s="13" t="n">
        <f aca="false">($P$2-1)*(B311-1/$P$2)</f>
        <v>2.19584551044879</v>
      </c>
      <c r="H311" s="13" t="n">
        <f aca="false">E311*SQRT(B311/(1-B311))</f>
        <v>0.114000693801035</v>
      </c>
      <c r="I311" s="13" t="n">
        <f aca="false">ABS(D311)</f>
        <v>2.36679209624597</v>
      </c>
      <c r="J311" s="6" t="n">
        <f aca="false">IF(B311&gt;$P$4,1,0)</f>
        <v>0</v>
      </c>
      <c r="K311" s="6" t="n">
        <f aca="false">IF(F311&gt;$P$6,1,0)</f>
        <v>0</v>
      </c>
      <c r="L311" s="6" t="n">
        <f aca="false">IF(G311&gt;$P$9,1,0)</f>
        <v>0</v>
      </c>
      <c r="M311" s="6" t="n">
        <f aca="false">IF(ABS(H311)&gt;$P$8,1,0)</f>
        <v>0</v>
      </c>
    </row>
    <row r="312" customFormat="false" ht="15" hidden="false" customHeight="false" outlineLevel="0" collapsed="false">
      <c r="A312" s="0" t="n">
        <f aca="false">ROW()-1</f>
        <v>311</v>
      </c>
      <c r="B312" s="22" t="n">
        <f aca="false">SUMPRODUCT(MMULT('Analysis Data'!N312:U312,'Final Model'!$B$59:$I$66),'Analysis Data'!N312:U312)</f>
        <v>0.00294636298658433</v>
      </c>
      <c r="C312" s="15" t="n">
        <f aca="false">'Residual Diagnostics'!F312</f>
        <v>93.6368070173616</v>
      </c>
      <c r="D312" s="13" t="n">
        <f aca="false">C312/('Final Model'!$B$21*SQRT(1-B312))</f>
        <v>1.91252686245514</v>
      </c>
      <c r="E312" s="13" t="n">
        <f aca="false">D312*SQRT(('Final Model'!$B$24-1)/('Final Model'!$B$24-D312^2))</f>
        <v>1.91437523044426</v>
      </c>
      <c r="F312" s="23" t="n">
        <f aca="false">D312^2/($P$3+1)*B312/(1-B312)</f>
        <v>0.00135111659621765</v>
      </c>
      <c r="G312" s="13" t="n">
        <f aca="false">($P$2-1)*(B312-1/$P$2)</f>
        <v>3.08143423714079</v>
      </c>
      <c r="H312" s="13" t="n">
        <f aca="false">E312*SQRT(B312/(1-B312))</f>
        <v>0.104066495684998</v>
      </c>
      <c r="I312" s="13" t="n">
        <f aca="false">ABS(D312)</f>
        <v>1.91252686245514</v>
      </c>
      <c r="J312" s="6" t="n">
        <f aca="false">IF(B312&gt;$P$4,1,0)</f>
        <v>0</v>
      </c>
      <c r="K312" s="6" t="n">
        <f aca="false">IF(F312&gt;$P$6,1,0)</f>
        <v>0</v>
      </c>
      <c r="L312" s="6" t="n">
        <f aca="false">IF(G312&gt;$P$9,1,0)</f>
        <v>0</v>
      </c>
      <c r="M312" s="6" t="n">
        <f aca="false">IF(ABS(H312)&gt;$P$8,1,0)</f>
        <v>0</v>
      </c>
    </row>
    <row r="313" customFormat="false" ht="15" hidden="false" customHeight="false" outlineLevel="0" collapsed="false">
      <c r="A313" s="0" t="n">
        <f aca="false">ROW()-1</f>
        <v>312</v>
      </c>
      <c r="B313" s="22" t="n">
        <f aca="false">SUMPRODUCT(MMULT('Analysis Data'!N313:U313,'Final Model'!$B$59:$I$66),'Analysis Data'!N313:U313)</f>
        <v>0.00316216722160197</v>
      </c>
      <c r="C313" s="15" t="n">
        <f aca="false">'Residual Diagnostics'!F313</f>
        <v>11.5498461342736</v>
      </c>
      <c r="D313" s="13" t="n">
        <f aca="false">C313/('Final Model'!$B$21*SQRT(1-B313))</f>
        <v>0.235930534330396</v>
      </c>
      <c r="E313" s="13" t="n">
        <f aca="false">D313*SQRT(('Final Model'!$B$24-1)/('Final Model'!$B$24-D313^2))</f>
        <v>0.235849676177765</v>
      </c>
      <c r="F313" s="23" t="n">
        <f aca="false">D313^2/($P$3+1)*B313/(1-B313)</f>
        <v>2.20718449069059E-005</v>
      </c>
      <c r="G313" s="13" t="n">
        <f aca="false">($P$2-1)*(B313-1/$P$2)</f>
        <v>3.38032310264023</v>
      </c>
      <c r="H313" s="13" t="n">
        <f aca="false">E313*SQRT(B313/(1-B313))</f>
        <v>0.0132835894445926</v>
      </c>
      <c r="I313" s="13" t="n">
        <f aca="false">ABS(D313)</f>
        <v>0.235930534330396</v>
      </c>
      <c r="J313" s="6" t="n">
        <f aca="false">IF(B313&gt;$P$4,1,0)</f>
        <v>0</v>
      </c>
      <c r="K313" s="6" t="n">
        <f aca="false">IF(F313&gt;$P$6,1,0)</f>
        <v>0</v>
      </c>
      <c r="L313" s="6" t="n">
        <f aca="false">IF(G313&gt;$P$9,1,0)</f>
        <v>0</v>
      </c>
      <c r="M313" s="6" t="n">
        <f aca="false">IF(ABS(H313)&gt;$P$8,1,0)</f>
        <v>0</v>
      </c>
    </row>
    <row r="314" customFormat="false" ht="15" hidden="false" customHeight="false" outlineLevel="0" collapsed="false">
      <c r="A314" s="0" t="n">
        <f aca="false">ROW()-1</f>
        <v>313</v>
      </c>
      <c r="B314" s="22" t="n">
        <f aca="false">SUMPRODUCT(MMULT('Analysis Data'!N314:U314,'Final Model'!$B$59:$I$66),'Analysis Data'!N314:U314)</f>
        <v>0.0020099820962087</v>
      </c>
      <c r="C314" s="15" t="n">
        <f aca="false">'Residual Diagnostics'!F314</f>
        <v>43.5114943124414</v>
      </c>
      <c r="D314" s="13" t="n">
        <f aca="false">C314/('Final Model'!$B$21*SQRT(1-B314))</f>
        <v>0.888302958614724</v>
      </c>
      <c r="E314" s="13" t="n">
        <f aca="false">D314*SQRT(('Final Model'!$B$24-1)/('Final Model'!$B$24-D314^2))</f>
        <v>0.888234934855604</v>
      </c>
      <c r="F314" s="23" t="n">
        <f aca="false">D314^2/($P$3+1)*B314/(1-B314)</f>
        <v>0.000198654415126251</v>
      </c>
      <c r="G314" s="13" t="n">
        <f aca="false">($P$2-1)*(B314-1/$P$2)</f>
        <v>1.78454670397055</v>
      </c>
      <c r="H314" s="13" t="n">
        <f aca="false">E314*SQRT(B314/(1-B314))</f>
        <v>0.0398621616564706</v>
      </c>
      <c r="I314" s="13" t="n">
        <f aca="false">ABS(D314)</f>
        <v>0.888302958614724</v>
      </c>
      <c r="J314" s="6" t="n">
        <f aca="false">IF(B314&gt;$P$4,1,0)</f>
        <v>0</v>
      </c>
      <c r="K314" s="6" t="n">
        <f aca="false">IF(F314&gt;$P$6,1,0)</f>
        <v>0</v>
      </c>
      <c r="L314" s="6" t="n">
        <f aca="false">IF(G314&gt;$P$9,1,0)</f>
        <v>0</v>
      </c>
      <c r="M314" s="6" t="n">
        <f aca="false">IF(ABS(H314)&gt;$P$8,1,0)</f>
        <v>0</v>
      </c>
    </row>
    <row r="315" customFormat="false" ht="15" hidden="false" customHeight="false" outlineLevel="0" collapsed="false">
      <c r="A315" s="0" t="n">
        <f aca="false">ROW()-1</f>
        <v>314</v>
      </c>
      <c r="B315" s="22" t="n">
        <f aca="false">SUMPRODUCT(MMULT('Analysis Data'!N315:U315,'Final Model'!$B$59:$I$66),'Analysis Data'!N315:U315)</f>
        <v>0.0132125214714224</v>
      </c>
      <c r="C315" s="15" t="n">
        <f aca="false">'Residual Diagnostics'!F315</f>
        <v>-8.79371750495727</v>
      </c>
      <c r="D315" s="13" t="n">
        <f aca="false">C315/('Final Model'!$B$21*SQRT(1-B315))</f>
        <v>-0.180543103544889</v>
      </c>
      <c r="E315" s="13" t="n">
        <f aca="false">D315*SQRT(('Final Model'!$B$24-1)/('Final Model'!$B$24-D315^2))</f>
        <v>-0.180479717132615</v>
      </c>
      <c r="F315" s="23" t="n">
        <f aca="false">D315^2/($P$3+1)*B315/(1-B315)</f>
        <v>5.45549166409927E-005</v>
      </c>
      <c r="G315" s="13" t="n">
        <f aca="false">($P$2-1)*(B315-1/$P$2)</f>
        <v>17.3000637386416</v>
      </c>
      <c r="H315" s="13" t="n">
        <f aca="false">E315*SQRT(B315/(1-B315))</f>
        <v>-0.0208837958763798</v>
      </c>
      <c r="I315" s="13" t="n">
        <f aca="false">ABS(D315)</f>
        <v>0.180543103544889</v>
      </c>
      <c r="J315" s="6" t="n">
        <f aca="false">IF(B315&gt;$P$4,1,0)</f>
        <v>1</v>
      </c>
      <c r="K315" s="6" t="n">
        <f aca="false">IF(F315&gt;$P$6,1,0)</f>
        <v>0</v>
      </c>
      <c r="L315" s="6" t="n">
        <f aca="false">IF(G315&gt;$P$9,1,0)</f>
        <v>1</v>
      </c>
      <c r="M315" s="6" t="n">
        <f aca="false">IF(ABS(H315)&gt;$P$8,1,0)</f>
        <v>0</v>
      </c>
    </row>
    <row r="316" customFormat="false" ht="15" hidden="false" customHeight="false" outlineLevel="0" collapsed="false">
      <c r="A316" s="0" t="n">
        <f aca="false">ROW()-1</f>
        <v>315</v>
      </c>
      <c r="B316" s="22" t="n">
        <f aca="false">SUMPRODUCT(MMULT('Analysis Data'!N316:U316,'Final Model'!$B$59:$I$66),'Analysis Data'!N316:U316)</f>
        <v>0.00508220857238634</v>
      </c>
      <c r="C316" s="15" t="n">
        <f aca="false">'Residual Diagnostics'!F316</f>
        <v>-11.0074894490583</v>
      </c>
      <c r="D316" s="13" t="n">
        <f aca="false">C316/('Final Model'!$B$21*SQRT(1-B316))</f>
        <v>-0.225068588906127</v>
      </c>
      <c r="E316" s="13" t="n">
        <f aca="false">D316*SQRT(('Final Model'!$B$24-1)/('Final Model'!$B$24-D316^2))</f>
        <v>-0.224991044561272</v>
      </c>
      <c r="F316" s="23" t="n">
        <f aca="false">D316^2/($P$3+1)*B316/(1-B316)</f>
        <v>3.23448451609751E-005</v>
      </c>
      <c r="G316" s="13" t="n">
        <f aca="false">($P$2-1)*(B316-1/$P$2)</f>
        <v>6.03958037347658</v>
      </c>
      <c r="H316" s="13" t="n">
        <f aca="false">E316*SQRT(B316/(1-B316))</f>
        <v>-0.0160804380638622</v>
      </c>
      <c r="I316" s="13" t="n">
        <f aca="false">ABS(D316)</f>
        <v>0.225068588906127</v>
      </c>
      <c r="J316" s="6" t="n">
        <f aca="false">IF(B316&gt;$P$4,1,0)</f>
        <v>0</v>
      </c>
      <c r="K316" s="6" t="n">
        <f aca="false">IF(F316&gt;$P$6,1,0)</f>
        <v>0</v>
      </c>
      <c r="L316" s="6" t="n">
        <f aca="false">IF(G316&gt;$P$9,1,0)</f>
        <v>0</v>
      </c>
      <c r="M316" s="6" t="n">
        <f aca="false">IF(ABS(H316)&gt;$P$8,1,0)</f>
        <v>0</v>
      </c>
    </row>
    <row r="317" customFormat="false" ht="15" hidden="false" customHeight="false" outlineLevel="0" collapsed="false">
      <c r="A317" s="0" t="n">
        <f aca="false">ROW()-1</f>
        <v>316</v>
      </c>
      <c r="B317" s="22" t="n">
        <f aca="false">SUMPRODUCT(MMULT('Analysis Data'!N317:U317,'Final Model'!$B$59:$I$66),'Analysis Data'!N317:U317)</f>
        <v>0.00630651272762736</v>
      </c>
      <c r="C317" s="15" t="n">
        <f aca="false">'Residual Diagnostics'!F317</f>
        <v>20.7178975673307</v>
      </c>
      <c r="D317" s="13" t="n">
        <f aca="false">C317/('Final Model'!$B$21*SQRT(1-B317))</f>
        <v>0.423876821047638</v>
      </c>
      <c r="E317" s="13" t="n">
        <f aca="false">D317*SQRT(('Final Model'!$B$24-1)/('Final Model'!$B$24-D317^2))</f>
        <v>0.423750618096473</v>
      </c>
      <c r="F317" s="23" t="n">
        <f aca="false">D317^2/($P$3+1)*B317/(1-B317)</f>
        <v>0.000142536530479123</v>
      </c>
      <c r="G317" s="13" t="n">
        <f aca="false">($P$2-1)*(B317-1/$P$2)</f>
        <v>7.73524162848539</v>
      </c>
      <c r="H317" s="13" t="n">
        <f aca="false">E317*SQRT(B317/(1-B317))</f>
        <v>0.0337581595346836</v>
      </c>
      <c r="I317" s="13" t="n">
        <f aca="false">ABS(D317)</f>
        <v>0.423876821047638</v>
      </c>
      <c r="J317" s="6" t="n">
        <f aca="false">IF(B317&gt;$P$4,1,0)</f>
        <v>0</v>
      </c>
      <c r="K317" s="6" t="n">
        <f aca="false">IF(F317&gt;$P$6,1,0)</f>
        <v>0</v>
      </c>
      <c r="L317" s="6" t="n">
        <f aca="false">IF(G317&gt;$P$9,1,0)</f>
        <v>0</v>
      </c>
      <c r="M317" s="6" t="n">
        <f aca="false">IF(ABS(H317)&gt;$P$8,1,0)</f>
        <v>0</v>
      </c>
    </row>
    <row r="318" customFormat="false" ht="15" hidden="false" customHeight="false" outlineLevel="0" collapsed="false">
      <c r="A318" s="0" t="n">
        <f aca="false">ROW()-1</f>
        <v>317</v>
      </c>
      <c r="B318" s="22" t="n">
        <f aca="false">SUMPRODUCT(MMULT('Analysis Data'!N318:U318,'Final Model'!$B$59:$I$66),'Analysis Data'!N318:U318)</f>
        <v>0.00509594730869742</v>
      </c>
      <c r="C318" s="15" t="n">
        <f aca="false">'Residual Diagnostics'!F318</f>
        <v>13.1764316874303</v>
      </c>
      <c r="D318" s="13" t="n">
        <f aca="false">C318/('Final Model'!$B$21*SQRT(1-B318))</f>
        <v>0.269418506055495</v>
      </c>
      <c r="E318" s="13" t="n">
        <f aca="false">D318*SQRT(('Final Model'!$B$24-1)/('Final Model'!$B$24-D318^2))</f>
        <v>0.269327824768796</v>
      </c>
      <c r="F318" s="23" t="n">
        <f aca="false">D318^2/($P$3+1)*B318/(1-B318)</f>
        <v>4.64738432781304E-005</v>
      </c>
      <c r="G318" s="13" t="n">
        <f aca="false">($P$2-1)*(B318-1/$P$2)</f>
        <v>6.05860852326743</v>
      </c>
      <c r="H318" s="13" t="n">
        <f aca="false">E318*SQRT(B318/(1-B318))</f>
        <v>0.0192753861845895</v>
      </c>
      <c r="I318" s="13" t="n">
        <f aca="false">ABS(D318)</f>
        <v>0.269418506055495</v>
      </c>
      <c r="J318" s="6" t="n">
        <f aca="false">IF(B318&gt;$P$4,1,0)</f>
        <v>0</v>
      </c>
      <c r="K318" s="6" t="n">
        <f aca="false">IF(F318&gt;$P$6,1,0)</f>
        <v>0</v>
      </c>
      <c r="L318" s="6" t="n">
        <f aca="false">IF(G318&gt;$P$9,1,0)</f>
        <v>0</v>
      </c>
      <c r="M318" s="6" t="n">
        <f aca="false">IF(ABS(H318)&gt;$P$8,1,0)</f>
        <v>0</v>
      </c>
    </row>
    <row r="319" customFormat="false" ht="15" hidden="false" customHeight="false" outlineLevel="0" collapsed="false">
      <c r="A319" s="0" t="n">
        <f aca="false">ROW()-1</f>
        <v>318</v>
      </c>
      <c r="B319" s="22" t="n">
        <f aca="false">SUMPRODUCT(MMULT('Analysis Data'!N319:U319,'Final Model'!$B$59:$I$66),'Analysis Data'!N319:U319)</f>
        <v>0.0136110813875169</v>
      </c>
      <c r="C319" s="15" t="n">
        <f aca="false">'Residual Diagnostics'!F319</f>
        <v>16.7353243102571</v>
      </c>
      <c r="D319" s="13" t="n">
        <f aca="false">C319/('Final Model'!$B$21*SQRT(1-B319))</f>
        <v>0.343660999897873</v>
      </c>
      <c r="E319" s="13" t="n">
        <f aca="false">D319*SQRT(('Final Model'!$B$24-1)/('Final Model'!$B$24-D319^2))</f>
        <v>0.343551004202332</v>
      </c>
      <c r="F319" s="23" t="n">
        <f aca="false">D319^2/($P$3+1)*B319/(1-B319)</f>
        <v>0.000203711223870489</v>
      </c>
      <c r="G319" s="13" t="n">
        <f aca="false">($P$2-1)*(B319-1/$P$2)</f>
        <v>17.8520692224325</v>
      </c>
      <c r="H319" s="13" t="n">
        <f aca="false">E319*SQRT(B319/(1-B319))</f>
        <v>0.0403564954767287</v>
      </c>
      <c r="I319" s="13" t="n">
        <f aca="false">ABS(D319)</f>
        <v>0.343660999897873</v>
      </c>
      <c r="J319" s="6" t="n">
        <f aca="false">IF(B319&gt;$P$4,1,0)</f>
        <v>1</v>
      </c>
      <c r="K319" s="6" t="n">
        <f aca="false">IF(F319&gt;$P$6,1,0)</f>
        <v>0</v>
      </c>
      <c r="L319" s="6" t="n">
        <f aca="false">IF(G319&gt;$P$9,1,0)</f>
        <v>1</v>
      </c>
      <c r="M319" s="6" t="n">
        <f aca="false">IF(ABS(H319)&gt;$P$8,1,0)</f>
        <v>0</v>
      </c>
    </row>
    <row r="320" customFormat="false" ht="15" hidden="false" customHeight="false" outlineLevel="0" collapsed="false">
      <c r="A320" s="0" t="n">
        <f aca="false">ROW()-1</f>
        <v>319</v>
      </c>
      <c r="B320" s="22" t="n">
        <f aca="false">SUMPRODUCT(MMULT('Analysis Data'!N320:U320,'Final Model'!$B$59:$I$66),'Analysis Data'!N320:U320)</f>
        <v>0.0101831196515854</v>
      </c>
      <c r="C320" s="15" t="n">
        <f aca="false">'Residual Diagnostics'!F320</f>
        <v>28.3151216884696</v>
      </c>
      <c r="D320" s="13" t="n">
        <f aca="false">C320/('Final Model'!$B$21*SQRT(1-B320))</f>
        <v>0.580445185386962</v>
      </c>
      <c r="E320" s="13" t="n">
        <f aca="false">D320*SQRT(('Final Model'!$B$24-1)/('Final Model'!$B$24-D320^2))</f>
        <v>0.580305481461072</v>
      </c>
      <c r="F320" s="23" t="n">
        <f aca="false">D320^2/($P$3+1)*B320/(1-B320)</f>
        <v>0.000433269811484097</v>
      </c>
      <c r="G320" s="13" t="n">
        <f aca="false">($P$2-1)*(B320-1/$P$2)</f>
        <v>13.1043422181672</v>
      </c>
      <c r="H320" s="13" t="n">
        <f aca="false">E320*SQRT(B320/(1-B320))</f>
        <v>0.0588599201002086</v>
      </c>
      <c r="I320" s="13" t="n">
        <f aca="false">ABS(D320)</f>
        <v>0.580445185386962</v>
      </c>
      <c r="J320" s="6" t="n">
        <f aca="false">IF(B320&gt;$P$4,1,0)</f>
        <v>0</v>
      </c>
      <c r="K320" s="6" t="n">
        <f aca="false">IF(F320&gt;$P$6,1,0)</f>
        <v>0</v>
      </c>
      <c r="L320" s="6" t="n">
        <f aca="false">IF(G320&gt;$P$9,1,0)</f>
        <v>1</v>
      </c>
      <c r="M320" s="6" t="n">
        <f aca="false">IF(ABS(H320)&gt;$P$8,1,0)</f>
        <v>0</v>
      </c>
    </row>
    <row r="321" customFormat="false" ht="15" hidden="false" customHeight="false" outlineLevel="0" collapsed="false">
      <c r="A321" s="0" t="n">
        <f aca="false">ROW()-1</f>
        <v>320</v>
      </c>
      <c r="B321" s="22" t="n">
        <f aca="false">SUMPRODUCT(MMULT('Analysis Data'!N321:U321,'Final Model'!$B$59:$I$66),'Analysis Data'!N321:U321)</f>
        <v>0.00197847825844007</v>
      </c>
      <c r="C321" s="15" t="n">
        <f aca="false">'Residual Diagnostics'!F321</f>
        <v>70.4941599892781</v>
      </c>
      <c r="D321" s="13" t="n">
        <f aca="false">C321/('Final Model'!$B$21*SQRT(1-B321))</f>
        <v>1.43914116308717</v>
      </c>
      <c r="E321" s="13" t="n">
        <f aca="false">D321*SQRT(('Final Model'!$B$24-1)/('Final Model'!$B$24-D321^2))</f>
        <v>1.43970122237206</v>
      </c>
      <c r="F321" s="23" t="n">
        <f aca="false">D321^2/($P$3+1)*B321/(1-B321)</f>
        <v>0.000513225443928614</v>
      </c>
      <c r="G321" s="13" t="n">
        <f aca="false">($P$2-1)*(B321-1/$P$2)</f>
        <v>1.74091388866099</v>
      </c>
      <c r="H321" s="13" t="n">
        <f aca="false">E321*SQRT(B321/(1-B321))</f>
        <v>0.0641014806381726</v>
      </c>
      <c r="I321" s="13" t="n">
        <f aca="false">ABS(D321)</f>
        <v>1.43914116308717</v>
      </c>
      <c r="J321" s="6" t="n">
        <f aca="false">IF(B321&gt;$P$4,1,0)</f>
        <v>0</v>
      </c>
      <c r="K321" s="6" t="n">
        <f aca="false">IF(F321&gt;$P$6,1,0)</f>
        <v>0</v>
      </c>
      <c r="L321" s="6" t="n">
        <f aca="false">IF(G321&gt;$P$9,1,0)</f>
        <v>0</v>
      </c>
      <c r="M321" s="6" t="n">
        <f aca="false">IF(ABS(H321)&gt;$P$8,1,0)</f>
        <v>0</v>
      </c>
    </row>
    <row r="322" customFormat="false" ht="15" hidden="false" customHeight="false" outlineLevel="0" collapsed="false">
      <c r="A322" s="0" t="n">
        <f aca="false">ROW()-1</f>
        <v>321</v>
      </c>
      <c r="B322" s="22" t="n">
        <f aca="false">SUMPRODUCT(MMULT('Analysis Data'!N322:U322,'Final Model'!$B$59:$I$66),'Analysis Data'!N322:U322)</f>
        <v>0.00197847825844007</v>
      </c>
      <c r="C322" s="15" t="n">
        <f aca="false">'Residual Diagnostics'!F322</f>
        <v>-46.140977141062</v>
      </c>
      <c r="D322" s="13" t="n">
        <f aca="false">C322/('Final Model'!$B$21*SQRT(1-B322))</f>
        <v>-0.941969937919204</v>
      </c>
      <c r="E322" s="13" t="n">
        <f aca="false">D322*SQRT(('Final Model'!$B$24-1)/('Final Model'!$B$24-D322^2))</f>
        <v>-0.941931395232123</v>
      </c>
      <c r="F322" s="23" t="n">
        <f aca="false">D322^2/($P$3+1)*B322/(1-B322)</f>
        <v>0.00021987480854278</v>
      </c>
      <c r="G322" s="13" t="n">
        <f aca="false">($P$2-1)*(B322-1/$P$2)</f>
        <v>1.74091388866099</v>
      </c>
      <c r="H322" s="13" t="n">
        <f aca="false">E322*SQRT(B322/(1-B322))</f>
        <v>-0.0419386996105191</v>
      </c>
      <c r="I322" s="13" t="n">
        <f aca="false">ABS(D322)</f>
        <v>0.941969937919204</v>
      </c>
      <c r="J322" s="6" t="n">
        <f aca="false">IF(B322&gt;$P$4,1,0)</f>
        <v>0</v>
      </c>
      <c r="K322" s="6" t="n">
        <f aca="false">IF(F322&gt;$P$6,1,0)</f>
        <v>0</v>
      </c>
      <c r="L322" s="6" t="n">
        <f aca="false">IF(G322&gt;$P$9,1,0)</f>
        <v>0</v>
      </c>
      <c r="M322" s="6" t="n">
        <f aca="false">IF(ABS(H322)&gt;$P$8,1,0)</f>
        <v>0</v>
      </c>
    </row>
    <row r="323" customFormat="false" ht="15" hidden="false" customHeight="false" outlineLevel="0" collapsed="false">
      <c r="A323" s="0" t="n">
        <f aca="false">ROW()-1</f>
        <v>322</v>
      </c>
      <c r="B323" s="22" t="n">
        <f aca="false">SUMPRODUCT(MMULT('Analysis Data'!N323:U323,'Final Model'!$B$59:$I$66),'Analysis Data'!N323:U323)</f>
        <v>0.00400983400866624</v>
      </c>
      <c r="C323" s="15" t="n">
        <f aca="false">'Residual Diagnostics'!F323</f>
        <v>-53.04366119136</v>
      </c>
      <c r="D323" s="13" t="n">
        <f aca="false">C323/('Final Model'!$B$21*SQRT(1-B323))</f>
        <v>-1.08399224694163</v>
      </c>
      <c r="E323" s="13" t="n">
        <f aca="false">D323*SQRT(('Final Model'!$B$24-1)/('Final Model'!$B$24-D323^2))</f>
        <v>-1.0840611500708</v>
      </c>
      <c r="F323" s="23" t="n">
        <f aca="false">D323^2/($P$3+1)*B323/(1-B323)</f>
        <v>0.000591335169788081</v>
      </c>
      <c r="G323" s="13" t="n">
        <f aca="false">($P$2-1)*(B323-1/$P$2)</f>
        <v>4.55434160272425</v>
      </c>
      <c r="H323" s="13" t="n">
        <f aca="false">E323*SQRT(B323/(1-B323))</f>
        <v>-0.0687843207542626</v>
      </c>
      <c r="I323" s="13" t="n">
        <f aca="false">ABS(D323)</f>
        <v>1.08399224694163</v>
      </c>
      <c r="J323" s="6" t="n">
        <f aca="false">IF(B323&gt;$P$4,1,0)</f>
        <v>0</v>
      </c>
      <c r="K323" s="6" t="n">
        <f aca="false">IF(F323&gt;$P$6,1,0)</f>
        <v>0</v>
      </c>
      <c r="L323" s="6" t="n">
        <f aca="false">IF(G323&gt;$P$9,1,0)</f>
        <v>0</v>
      </c>
      <c r="M323" s="6" t="n">
        <f aca="false">IF(ABS(H323)&gt;$P$8,1,0)</f>
        <v>0</v>
      </c>
    </row>
    <row r="324" customFormat="false" ht="15" hidden="false" customHeight="false" outlineLevel="0" collapsed="false">
      <c r="A324" s="0" t="n">
        <f aca="false">ROW()-1</f>
        <v>323</v>
      </c>
      <c r="B324" s="22" t="n">
        <f aca="false">SUMPRODUCT(MMULT('Analysis Data'!N324:U324,'Final Model'!$B$59:$I$66),'Analysis Data'!N324:U324)</f>
        <v>0.00350111234697565</v>
      </c>
      <c r="C324" s="15" t="n">
        <f aca="false">'Residual Diagnostics'!F324</f>
        <v>-74.239679564643</v>
      </c>
      <c r="D324" s="13" t="n">
        <f aca="false">C324/('Final Model'!$B$21*SQRT(1-B324))</f>
        <v>-1.51676356735755</v>
      </c>
      <c r="E324" s="13" t="n">
        <f aca="false">D324*SQRT(('Final Model'!$B$24-1)/('Final Model'!$B$24-D324^2))</f>
        <v>-1.51748036411827</v>
      </c>
      <c r="F324" s="23" t="n">
        <f aca="false">D324^2/($P$3+1)*B324/(1-B324)</f>
        <v>0.00101035738112886</v>
      </c>
      <c r="G324" s="13" t="n">
        <f aca="false">($P$2-1)*(B324-1/$P$2)</f>
        <v>3.84976210128278</v>
      </c>
      <c r="H324" s="13" t="n">
        <f aca="false">E324*SQRT(B324/(1-B324))</f>
        <v>-0.0899472095101502</v>
      </c>
      <c r="I324" s="13" t="n">
        <f aca="false">ABS(D324)</f>
        <v>1.51676356735755</v>
      </c>
      <c r="J324" s="6" t="n">
        <f aca="false">IF(B324&gt;$P$4,1,0)</f>
        <v>0</v>
      </c>
      <c r="K324" s="6" t="n">
        <f aca="false">IF(F324&gt;$P$6,1,0)</f>
        <v>0</v>
      </c>
      <c r="L324" s="6" t="n">
        <f aca="false">IF(G324&gt;$P$9,1,0)</f>
        <v>0</v>
      </c>
      <c r="M324" s="6" t="n">
        <f aca="false">IF(ABS(H324)&gt;$P$8,1,0)</f>
        <v>0</v>
      </c>
    </row>
    <row r="325" customFormat="false" ht="15" hidden="false" customHeight="false" outlineLevel="0" collapsed="false">
      <c r="A325" s="0" t="n">
        <f aca="false">ROW()-1</f>
        <v>324</v>
      </c>
      <c r="B325" s="22" t="n">
        <f aca="false">SUMPRODUCT(MMULT('Analysis Data'!N325:U325,'Final Model'!$B$59:$I$66),'Analysis Data'!N325:U325)</f>
        <v>0.00400983400866624</v>
      </c>
      <c r="C325" s="15" t="n">
        <f aca="false">'Residual Diagnostics'!F325</f>
        <v>29.4072632150061</v>
      </c>
      <c r="D325" s="13" t="n">
        <f aca="false">C325/('Final Model'!$B$21*SQRT(1-B325))</f>
        <v>0.600962388584721</v>
      </c>
      <c r="E325" s="13" t="n">
        <f aca="false">D325*SQRT(('Final Model'!$B$24-1)/('Final Model'!$B$24-D325^2))</f>
        <v>0.600823032083124</v>
      </c>
      <c r="F325" s="23" t="n">
        <f aca="false">D325^2/($P$3+1)*B325/(1-B325)</f>
        <v>0.000181750637282354</v>
      </c>
      <c r="G325" s="13" t="n">
        <f aca="false">($P$2-1)*(B325-1/$P$2)</f>
        <v>4.55434160272425</v>
      </c>
      <c r="H325" s="13" t="n">
        <f aca="false">E325*SQRT(B325/(1-B325))</f>
        <v>0.0381225765286904</v>
      </c>
      <c r="I325" s="13" t="n">
        <f aca="false">ABS(D325)</f>
        <v>0.600962388584721</v>
      </c>
      <c r="J325" s="6" t="n">
        <f aca="false">IF(B325&gt;$P$4,1,0)</f>
        <v>0</v>
      </c>
      <c r="K325" s="6" t="n">
        <f aca="false">IF(F325&gt;$P$6,1,0)</f>
        <v>0</v>
      </c>
      <c r="L325" s="6" t="n">
        <f aca="false">IF(G325&gt;$P$9,1,0)</f>
        <v>0</v>
      </c>
      <c r="M325" s="6" t="n">
        <f aca="false">IF(ABS(H325)&gt;$P$8,1,0)</f>
        <v>0</v>
      </c>
    </row>
    <row r="326" customFormat="false" ht="15" hidden="false" customHeight="false" outlineLevel="0" collapsed="false">
      <c r="A326" s="0" t="n">
        <f aca="false">ROW()-1</f>
        <v>325</v>
      </c>
      <c r="B326" s="22" t="n">
        <f aca="false">SUMPRODUCT(MMULT('Analysis Data'!N326:U326,'Final Model'!$B$59:$I$66),'Analysis Data'!N326:U326)</f>
        <v>0.00290868073734595</v>
      </c>
      <c r="C326" s="15" t="n">
        <f aca="false">'Residual Diagnostics'!F326</f>
        <v>-140.451842748911</v>
      </c>
      <c r="D326" s="13" t="n">
        <f aca="false">C326/('Final Model'!$B$21*SQRT(1-B326))</f>
        <v>-2.86866729888757</v>
      </c>
      <c r="E326" s="13" t="n">
        <f aca="false">D326*SQRT(('Final Model'!$B$24-1)/('Final Model'!$B$24-D326^2))</f>
        <v>-2.87622733340722</v>
      </c>
      <c r="F326" s="23" t="n">
        <f aca="false">D326^2/($P$3+1)*B326/(1-B326)</f>
        <v>0.00300076163051933</v>
      </c>
      <c r="G326" s="13" t="n">
        <f aca="false">($P$2-1)*(B326-1/$P$2)</f>
        <v>3.02924432194564</v>
      </c>
      <c r="H326" s="13" t="n">
        <f aca="false">E326*SQRT(B326/(1-B326))</f>
        <v>-0.155347321280947</v>
      </c>
      <c r="I326" s="13" t="n">
        <f aca="false">ABS(D326)</f>
        <v>2.86866729888757</v>
      </c>
      <c r="J326" s="6" t="n">
        <f aca="false">IF(B326&gt;$P$4,1,0)</f>
        <v>0</v>
      </c>
      <c r="K326" s="6" t="n">
        <f aca="false">IF(F326&gt;$P$6,1,0)</f>
        <v>1</v>
      </c>
      <c r="L326" s="6" t="n">
        <f aca="false">IF(G326&gt;$P$9,1,0)</f>
        <v>0</v>
      </c>
      <c r="M326" s="6" t="n">
        <f aca="false">IF(ABS(H326)&gt;$P$8,1,0)</f>
        <v>1</v>
      </c>
    </row>
    <row r="327" customFormat="false" ht="15" hidden="false" customHeight="false" outlineLevel="0" collapsed="false">
      <c r="A327" s="0" t="n">
        <f aca="false">ROW()-1</f>
        <v>326</v>
      </c>
      <c r="B327" s="22" t="n">
        <f aca="false">SUMPRODUCT(MMULT('Analysis Data'!N327:U327,'Final Model'!$B$59:$I$66),'Analysis Data'!N327:U327)</f>
        <v>0.00274549846980161</v>
      </c>
      <c r="C327" s="15" t="n">
        <f aca="false">'Residual Diagnostics'!F327</f>
        <v>-19.3714375659108</v>
      </c>
      <c r="D327" s="13" t="n">
        <f aca="false">C327/('Final Model'!$B$21*SQRT(1-B327))</f>
        <v>-0.395620745768692</v>
      </c>
      <c r="E327" s="13" t="n">
        <f aca="false">D327*SQRT(('Final Model'!$B$24-1)/('Final Model'!$B$24-D327^2))</f>
        <v>-0.395499632250119</v>
      </c>
      <c r="F327" s="23" t="n">
        <f aca="false">D327^2/($P$3+1)*B327/(1-B327)</f>
        <v>5.38621057466233E-005</v>
      </c>
      <c r="G327" s="13" t="n">
        <f aca="false">($P$2-1)*(B327-1/$P$2)</f>
        <v>2.80323688139673</v>
      </c>
      <c r="H327" s="13" t="n">
        <f aca="false">E327*SQRT(B327/(1-B327))</f>
        <v>-0.020751700190402</v>
      </c>
      <c r="I327" s="13" t="n">
        <f aca="false">ABS(D327)</f>
        <v>0.395620745768692</v>
      </c>
      <c r="J327" s="6" t="n">
        <f aca="false">IF(B327&gt;$P$4,1,0)</f>
        <v>0</v>
      </c>
      <c r="K327" s="6" t="n">
        <f aca="false">IF(F327&gt;$P$6,1,0)</f>
        <v>0</v>
      </c>
      <c r="L327" s="6" t="n">
        <f aca="false">IF(G327&gt;$P$9,1,0)</f>
        <v>0</v>
      </c>
      <c r="M327" s="6" t="n">
        <f aca="false">IF(ABS(H327)&gt;$P$8,1,0)</f>
        <v>0</v>
      </c>
    </row>
    <row r="328" customFormat="false" ht="15" hidden="false" customHeight="false" outlineLevel="0" collapsed="false">
      <c r="A328" s="0" t="n">
        <f aca="false">ROW()-1</f>
        <v>327</v>
      </c>
      <c r="B328" s="22" t="n">
        <f aca="false">SUMPRODUCT(MMULT('Analysis Data'!N328:U328,'Final Model'!$B$59:$I$66),'Analysis Data'!N328:U328)</f>
        <v>0.00274549846980161</v>
      </c>
      <c r="C328" s="15" t="n">
        <f aca="false">'Residual Diagnostics'!F328</f>
        <v>-24.3329997921192</v>
      </c>
      <c r="D328" s="13" t="n">
        <f aca="false">C328/('Final Model'!$B$21*SQRT(1-B328))</f>
        <v>-0.496950187191489</v>
      </c>
      <c r="E328" s="13" t="n">
        <f aca="false">D328*SQRT(('Final Model'!$B$24-1)/('Final Model'!$B$24-D328^2))</f>
        <v>-0.496814359230638</v>
      </c>
      <c r="F328" s="23" t="n">
        <f aca="false">D328^2/($P$3+1)*B328/(1-B328)</f>
        <v>8.49866930753001E-005</v>
      </c>
      <c r="G328" s="13" t="n">
        <f aca="false">($P$2-1)*(B328-1/$P$2)</f>
        <v>2.80323688139673</v>
      </c>
      <c r="H328" s="13" t="n">
        <f aca="false">E328*SQRT(B328/(1-B328))</f>
        <v>-0.0260676415155827</v>
      </c>
      <c r="I328" s="13" t="n">
        <f aca="false">ABS(D328)</f>
        <v>0.496950187191489</v>
      </c>
      <c r="J328" s="6" t="n">
        <f aca="false">IF(B328&gt;$P$4,1,0)</f>
        <v>0</v>
      </c>
      <c r="K328" s="6" t="n">
        <f aca="false">IF(F328&gt;$P$6,1,0)</f>
        <v>0</v>
      </c>
      <c r="L328" s="6" t="n">
        <f aca="false">IF(G328&gt;$P$9,1,0)</f>
        <v>0</v>
      </c>
      <c r="M328" s="6" t="n">
        <f aca="false">IF(ABS(H328)&gt;$P$8,1,0)</f>
        <v>0</v>
      </c>
    </row>
    <row r="329" customFormat="false" ht="15" hidden="false" customHeight="false" outlineLevel="0" collapsed="false">
      <c r="A329" s="0" t="n">
        <f aca="false">ROW()-1</f>
        <v>328</v>
      </c>
      <c r="B329" s="22" t="n">
        <f aca="false">SUMPRODUCT(MMULT('Analysis Data'!N329:U329,'Final Model'!$B$59:$I$66),'Analysis Data'!N329:U329)</f>
        <v>0.00274549846980161</v>
      </c>
      <c r="C329" s="15" t="n">
        <f aca="false">'Residual Diagnostics'!F329</f>
        <v>27.889045667597</v>
      </c>
      <c r="D329" s="13" t="n">
        <f aca="false">C329/('Final Model'!$B$21*SQRT(1-B329))</f>
        <v>0.569574922266387</v>
      </c>
      <c r="E329" s="13" t="n">
        <f aca="false">D329*SQRT(('Final Model'!$B$24-1)/('Final Model'!$B$24-D329^2))</f>
        <v>0.56943525109612</v>
      </c>
      <c r="F329" s="23" t="n">
        <f aca="false">D329^2/($P$3+1)*B329/(1-B329)</f>
        <v>0.000111641826416221</v>
      </c>
      <c r="G329" s="13" t="n">
        <f aca="false">($P$2-1)*(B329-1/$P$2)</f>
        <v>2.80323688139673</v>
      </c>
      <c r="H329" s="13" t="n">
        <f aca="false">E329*SQRT(B329/(1-B329))</f>
        <v>0.0298780293204416</v>
      </c>
      <c r="I329" s="13" t="n">
        <f aca="false">ABS(D329)</f>
        <v>0.569574922266387</v>
      </c>
      <c r="J329" s="6" t="n">
        <f aca="false">IF(B329&gt;$P$4,1,0)</f>
        <v>0</v>
      </c>
      <c r="K329" s="6" t="n">
        <f aca="false">IF(F329&gt;$P$6,1,0)</f>
        <v>0</v>
      </c>
      <c r="L329" s="6" t="n">
        <f aca="false">IF(G329&gt;$P$9,1,0)</f>
        <v>0</v>
      </c>
      <c r="M329" s="6" t="n">
        <f aca="false">IF(ABS(H329)&gt;$P$8,1,0)</f>
        <v>0</v>
      </c>
    </row>
    <row r="330" customFormat="false" ht="15" hidden="false" customHeight="false" outlineLevel="0" collapsed="false">
      <c r="A330" s="0" t="n">
        <f aca="false">ROW()-1</f>
        <v>329</v>
      </c>
      <c r="B330" s="22" t="n">
        <f aca="false">SUMPRODUCT(MMULT('Analysis Data'!N330:U330,'Final Model'!$B$59:$I$66),'Analysis Data'!N330:U330)</f>
        <v>0.00508562682556464</v>
      </c>
      <c r="C330" s="15" t="n">
        <f aca="false">'Residual Diagnostics'!F330</f>
        <v>-8.11980385111491</v>
      </c>
      <c r="D330" s="13" t="n">
        <f aca="false">C330/('Final Model'!$B$21*SQRT(1-B330))</f>
        <v>-0.16602477275463</v>
      </c>
      <c r="E330" s="13" t="n">
        <f aca="false">D330*SQRT(('Final Model'!$B$24-1)/('Final Model'!$B$24-D330^2))</f>
        <v>-0.165966180536834</v>
      </c>
      <c r="F330" s="23" t="n">
        <f aca="false">D330^2/($P$3+1)*B330/(1-B330)</f>
        <v>1.7612239646082E-005</v>
      </c>
      <c r="G330" s="13" t="n">
        <f aca="false">($P$2-1)*(B330-1/$P$2)</f>
        <v>6.04431465412853</v>
      </c>
      <c r="H330" s="13" t="n">
        <f aca="false">E330*SQRT(B330/(1-B330))</f>
        <v>-0.0118658537596082</v>
      </c>
      <c r="I330" s="13" t="n">
        <f aca="false">ABS(D330)</f>
        <v>0.16602477275463</v>
      </c>
      <c r="J330" s="6" t="n">
        <f aca="false">IF(B330&gt;$P$4,1,0)</f>
        <v>0</v>
      </c>
      <c r="K330" s="6" t="n">
        <f aca="false">IF(F330&gt;$P$6,1,0)</f>
        <v>0</v>
      </c>
      <c r="L330" s="6" t="n">
        <f aca="false">IF(G330&gt;$P$9,1,0)</f>
        <v>0</v>
      </c>
      <c r="M330" s="6" t="n">
        <f aca="false">IF(ABS(H330)&gt;$P$8,1,0)</f>
        <v>0</v>
      </c>
    </row>
    <row r="331" customFormat="false" ht="15" hidden="false" customHeight="false" outlineLevel="0" collapsed="false">
      <c r="A331" s="0" t="n">
        <f aca="false">ROW()-1</f>
        <v>330</v>
      </c>
      <c r="B331" s="22" t="n">
        <f aca="false">SUMPRODUCT(MMULT('Analysis Data'!N331:U331,'Final Model'!$B$59:$I$66),'Analysis Data'!N331:U331)</f>
        <v>0.00508562682556464</v>
      </c>
      <c r="C331" s="15" t="n">
        <f aca="false">'Residual Diagnostics'!F331</f>
        <v>-29.7602732662694</v>
      </c>
      <c r="D331" s="13" t="n">
        <f aca="false">C331/('Final Model'!$B$21*SQRT(1-B331))</f>
        <v>-0.608505167950533</v>
      </c>
      <c r="E331" s="13" t="n">
        <f aca="false">D331*SQRT(('Final Model'!$B$24-1)/('Final Model'!$B$24-D331^2))</f>
        <v>-0.60836607667058</v>
      </c>
      <c r="F331" s="23" t="n">
        <f aca="false">D331^2/($P$3+1)*B331/(1-B331)</f>
        <v>0.000236590520223573</v>
      </c>
      <c r="G331" s="13" t="n">
        <f aca="false">($P$2-1)*(B331-1/$P$2)</f>
        <v>6.04431465412853</v>
      </c>
      <c r="H331" s="13" t="n">
        <f aca="false">E331*SQRT(B331/(1-B331))</f>
        <v>-0.0434955053778417</v>
      </c>
      <c r="I331" s="13" t="n">
        <f aca="false">ABS(D331)</f>
        <v>0.608505167950533</v>
      </c>
      <c r="J331" s="6" t="n">
        <f aca="false">IF(B331&gt;$P$4,1,0)</f>
        <v>0</v>
      </c>
      <c r="K331" s="6" t="n">
        <f aca="false">IF(F331&gt;$P$6,1,0)</f>
        <v>0</v>
      </c>
      <c r="L331" s="6" t="n">
        <f aca="false">IF(G331&gt;$P$9,1,0)</f>
        <v>0</v>
      </c>
      <c r="M331" s="6" t="n">
        <f aca="false">IF(ABS(H331)&gt;$P$8,1,0)</f>
        <v>0</v>
      </c>
    </row>
    <row r="332" customFormat="false" ht="15" hidden="false" customHeight="false" outlineLevel="0" collapsed="false">
      <c r="A332" s="0" t="n">
        <f aca="false">ROW()-1</f>
        <v>331</v>
      </c>
      <c r="B332" s="22" t="n">
        <f aca="false">SUMPRODUCT(MMULT('Analysis Data'!N332:U332,'Final Model'!$B$59:$I$66),'Analysis Data'!N332:U332)</f>
        <v>0.00236231798678867</v>
      </c>
      <c r="C332" s="15" t="n">
        <f aca="false">'Residual Diagnostics'!F332</f>
        <v>-27.1382695835707</v>
      </c>
      <c r="D332" s="13" t="n">
        <f aca="false">C332/('Final Model'!$B$21*SQRT(1-B332))</f>
        <v>-0.554135455602899</v>
      </c>
      <c r="E332" s="13" t="n">
        <f aca="false">D332*SQRT(('Final Model'!$B$24-1)/('Final Model'!$B$24-D332^2))</f>
        <v>-0.553996082189007</v>
      </c>
      <c r="F332" s="23" t="n">
        <f aca="false">D332^2/($P$3+1)*B332/(1-B332)</f>
        <v>9.08881791076768E-005</v>
      </c>
      <c r="G332" s="13" t="n">
        <f aca="false">($P$2-1)*(B332-1/$P$2)</f>
        <v>2.27253191242381</v>
      </c>
      <c r="H332" s="13" t="n">
        <f aca="false">E332*SQRT(B332/(1-B332))</f>
        <v>-0.0269581105220826</v>
      </c>
      <c r="I332" s="13" t="n">
        <f aca="false">ABS(D332)</f>
        <v>0.554135455602899</v>
      </c>
      <c r="J332" s="6" t="n">
        <f aca="false">IF(B332&gt;$P$4,1,0)</f>
        <v>0</v>
      </c>
      <c r="K332" s="6" t="n">
        <f aca="false">IF(F332&gt;$P$6,1,0)</f>
        <v>0</v>
      </c>
      <c r="L332" s="6" t="n">
        <f aca="false">IF(G332&gt;$P$9,1,0)</f>
        <v>0</v>
      </c>
      <c r="M332" s="6" t="n">
        <f aca="false">IF(ABS(H332)&gt;$P$8,1,0)</f>
        <v>0</v>
      </c>
    </row>
    <row r="333" customFormat="false" ht="15" hidden="false" customHeight="false" outlineLevel="0" collapsed="false">
      <c r="A333" s="0" t="n">
        <f aca="false">ROW()-1</f>
        <v>332</v>
      </c>
      <c r="B333" s="22" t="n">
        <f aca="false">SUMPRODUCT(MMULT('Analysis Data'!N333:U333,'Final Model'!$B$59:$I$66),'Analysis Data'!N333:U333)</f>
        <v>0.00236231798678867</v>
      </c>
      <c r="C333" s="15" t="n">
        <f aca="false">'Residual Diagnostics'!F333</f>
        <v>-43.257220768605</v>
      </c>
      <c r="D333" s="13" t="n">
        <f aca="false">C333/('Final Model'!$B$21*SQRT(1-B333))</f>
        <v>-0.883267802499744</v>
      </c>
      <c r="E333" s="13" t="n">
        <f aca="false">D333*SQRT(('Final Model'!$B$24-1)/('Final Model'!$B$24-D333^2))</f>
        <v>-0.883197304108139</v>
      </c>
      <c r="F333" s="23" t="n">
        <f aca="false">D333^2/($P$3+1)*B333/(1-B333)</f>
        <v>0.000230919348810643</v>
      </c>
      <c r="G333" s="13" t="n">
        <f aca="false">($P$2-1)*(B333-1/$P$2)</f>
        <v>2.27253191242381</v>
      </c>
      <c r="H333" s="13" t="n">
        <f aca="false">E333*SQRT(B333/(1-B333))</f>
        <v>-0.0429774348635729</v>
      </c>
      <c r="I333" s="13" t="n">
        <f aca="false">ABS(D333)</f>
        <v>0.883267802499744</v>
      </c>
      <c r="J333" s="6" t="n">
        <f aca="false">IF(B333&gt;$P$4,1,0)</f>
        <v>0</v>
      </c>
      <c r="K333" s="6" t="n">
        <f aca="false">IF(F333&gt;$P$6,1,0)</f>
        <v>0</v>
      </c>
      <c r="L333" s="6" t="n">
        <f aca="false">IF(G333&gt;$P$9,1,0)</f>
        <v>0</v>
      </c>
      <c r="M333" s="6" t="n">
        <f aca="false">IF(ABS(H333)&gt;$P$8,1,0)</f>
        <v>0</v>
      </c>
    </row>
    <row r="334" customFormat="false" ht="15" hidden="false" customHeight="false" outlineLevel="0" collapsed="false">
      <c r="A334" s="0" t="n">
        <f aca="false">ROW()-1</f>
        <v>333</v>
      </c>
      <c r="B334" s="22" t="n">
        <f aca="false">SUMPRODUCT(MMULT('Analysis Data'!N334:U334,'Final Model'!$B$59:$I$66),'Analysis Data'!N334:U334)</f>
        <v>0.00222962928685014</v>
      </c>
      <c r="C334" s="15" t="n">
        <f aca="false">'Residual Diagnostics'!F334</f>
        <v>-38.5670961986424</v>
      </c>
      <c r="D334" s="13" t="n">
        <f aca="false">C334/('Final Model'!$B$21*SQRT(1-B334))</f>
        <v>-0.787447934752489</v>
      </c>
      <c r="E334" s="13" t="n">
        <f aca="false">D334*SQRT(('Final Model'!$B$24-1)/('Final Model'!$B$24-D334^2))</f>
        <v>-0.787339325510118</v>
      </c>
      <c r="F334" s="23" t="n">
        <f aca="false">D334^2/($P$3+1)*B334/(1-B334)</f>
        <v>0.000173203142261204</v>
      </c>
      <c r="G334" s="13" t="n">
        <f aca="false">($P$2-1)*(B334-1/$P$2)</f>
        <v>2.08875806300895</v>
      </c>
      <c r="H334" s="13" t="n">
        <f aca="false">E334*SQRT(B334/(1-B334))</f>
        <v>-0.0372188519173339</v>
      </c>
      <c r="I334" s="13" t="n">
        <f aca="false">ABS(D334)</f>
        <v>0.787447934752489</v>
      </c>
      <c r="J334" s="6" t="n">
        <f aca="false">IF(B334&gt;$P$4,1,0)</f>
        <v>0</v>
      </c>
      <c r="K334" s="6" t="n">
        <f aca="false">IF(F334&gt;$P$6,1,0)</f>
        <v>0</v>
      </c>
      <c r="L334" s="6" t="n">
        <f aca="false">IF(G334&gt;$P$9,1,0)</f>
        <v>0</v>
      </c>
      <c r="M334" s="6" t="n">
        <f aca="false">IF(ABS(H334)&gt;$P$8,1,0)</f>
        <v>0</v>
      </c>
    </row>
    <row r="335" customFormat="false" ht="15" hidden="false" customHeight="false" outlineLevel="0" collapsed="false">
      <c r="A335" s="0" t="n">
        <f aca="false">ROW()-1</f>
        <v>334</v>
      </c>
      <c r="B335" s="22" t="n">
        <f aca="false">SUMPRODUCT(MMULT('Analysis Data'!N335:U335,'Final Model'!$B$59:$I$66),'Analysis Data'!N335:U335)</f>
        <v>0.00269023320863554</v>
      </c>
      <c r="C335" s="15" t="n">
        <f aca="false">'Residual Diagnostics'!F335</f>
        <v>82.7482888226164</v>
      </c>
      <c r="D335" s="13" t="n">
        <f aca="false">C335/('Final Model'!$B$21*SQRT(1-B335))</f>
        <v>1.68991240651109</v>
      </c>
      <c r="E335" s="13" t="n">
        <f aca="false">D335*SQRT(('Final Model'!$B$24-1)/('Final Model'!$B$24-D335^2))</f>
        <v>1.69105231923568</v>
      </c>
      <c r="F335" s="23" t="n">
        <f aca="false">D335^2/($P$3+1)*B335/(1-B335)</f>
        <v>0.000962937852546289</v>
      </c>
      <c r="G335" s="13" t="n">
        <f aca="false">($P$2-1)*(B335-1/$P$2)</f>
        <v>2.72669449468173</v>
      </c>
      <c r="H335" s="13" t="n">
        <f aca="false">E335*SQRT(B335/(1-B335))</f>
        <v>0.0878288048414254</v>
      </c>
      <c r="I335" s="13" t="n">
        <f aca="false">ABS(D335)</f>
        <v>1.68991240651109</v>
      </c>
      <c r="J335" s="6" t="n">
        <f aca="false">IF(B335&gt;$P$4,1,0)</f>
        <v>0</v>
      </c>
      <c r="K335" s="6" t="n">
        <f aca="false">IF(F335&gt;$P$6,1,0)</f>
        <v>0</v>
      </c>
      <c r="L335" s="6" t="n">
        <f aca="false">IF(G335&gt;$P$9,1,0)</f>
        <v>0</v>
      </c>
      <c r="M335" s="6" t="n">
        <f aca="false">IF(ABS(H335)&gt;$P$8,1,0)</f>
        <v>0</v>
      </c>
    </row>
    <row r="336" customFormat="false" ht="15" hidden="false" customHeight="false" outlineLevel="0" collapsed="false">
      <c r="A336" s="0" t="n">
        <f aca="false">ROW()-1</f>
        <v>335</v>
      </c>
      <c r="B336" s="22" t="n">
        <f aca="false">SUMPRODUCT(MMULT('Analysis Data'!N336:U336,'Final Model'!$B$59:$I$66),'Analysis Data'!N336:U336)</f>
        <v>0.00308954724534171</v>
      </c>
      <c r="C336" s="15" t="n">
        <f aca="false">'Residual Diagnostics'!F336</f>
        <v>15.8081748296639</v>
      </c>
      <c r="D336" s="13" t="n">
        <f aca="false">C336/('Final Model'!$B$21*SQRT(1-B336))</f>
        <v>0.322904326686715</v>
      </c>
      <c r="E336" s="13" t="n">
        <f aca="false">D336*SQRT(('Final Model'!$B$24-1)/('Final Model'!$B$24-D336^2))</f>
        <v>0.322799353933752</v>
      </c>
      <c r="F336" s="23" t="n">
        <f aca="false">D336^2/($P$3+1)*B336/(1-B336)</f>
        <v>4.03920999879973E-005</v>
      </c>
      <c r="G336" s="13" t="n">
        <f aca="false">($P$2-1)*(B336-1/$P$2)</f>
        <v>3.27974443551977</v>
      </c>
      <c r="H336" s="13" t="n">
        <f aca="false">E336*SQRT(B336/(1-B336))</f>
        <v>0.0179701624199398</v>
      </c>
      <c r="I336" s="13" t="n">
        <f aca="false">ABS(D336)</f>
        <v>0.322904326686715</v>
      </c>
      <c r="J336" s="6" t="n">
        <f aca="false">IF(B336&gt;$P$4,1,0)</f>
        <v>0</v>
      </c>
      <c r="K336" s="6" t="n">
        <f aca="false">IF(F336&gt;$P$6,1,0)</f>
        <v>0</v>
      </c>
      <c r="L336" s="6" t="n">
        <f aca="false">IF(G336&gt;$P$9,1,0)</f>
        <v>0</v>
      </c>
      <c r="M336" s="6" t="n">
        <f aca="false">IF(ABS(H336)&gt;$P$8,1,0)</f>
        <v>0</v>
      </c>
    </row>
    <row r="337" customFormat="false" ht="15" hidden="false" customHeight="false" outlineLevel="0" collapsed="false">
      <c r="A337" s="0" t="n">
        <f aca="false">ROW()-1</f>
        <v>336</v>
      </c>
      <c r="B337" s="22" t="n">
        <f aca="false">SUMPRODUCT(MMULT('Analysis Data'!N337:U337,'Final Model'!$B$59:$I$66),'Analysis Data'!N337:U337)</f>
        <v>0.00205842177484457</v>
      </c>
      <c r="C337" s="15" t="n">
        <f aca="false">'Residual Diagnostics'!F337</f>
        <v>100.18986677741</v>
      </c>
      <c r="D337" s="13" t="n">
        <f aca="false">C337/('Final Model'!$B$21*SQRT(1-B337))</f>
        <v>2.04546215771965</v>
      </c>
      <c r="E337" s="13" t="n">
        <f aca="false">D337*SQRT(('Final Model'!$B$24-1)/('Final Model'!$B$24-D337^2))</f>
        <v>2.04783103723806</v>
      </c>
      <c r="F337" s="23" t="n">
        <f aca="false">D337^2/($P$3+1)*B337/(1-B337)</f>
        <v>0.00107875335978704</v>
      </c>
      <c r="G337" s="13" t="n">
        <f aca="false">($P$2-1)*(B337-1/$P$2)</f>
        <v>1.85163565888124</v>
      </c>
      <c r="H337" s="13" t="n">
        <f aca="false">E337*SQRT(B337/(1-B337))</f>
        <v>0.0930055244208734</v>
      </c>
      <c r="I337" s="13" t="n">
        <f aca="false">ABS(D337)</f>
        <v>2.04546215771965</v>
      </c>
      <c r="J337" s="6" t="n">
        <f aca="false">IF(B337&gt;$P$4,1,0)</f>
        <v>0</v>
      </c>
      <c r="K337" s="6" t="n">
        <f aca="false">IF(F337&gt;$P$6,1,0)</f>
        <v>0</v>
      </c>
      <c r="L337" s="6" t="n">
        <f aca="false">IF(G337&gt;$P$9,1,0)</f>
        <v>0</v>
      </c>
      <c r="M337" s="6" t="n">
        <f aca="false">IF(ABS(H337)&gt;$P$8,1,0)</f>
        <v>0</v>
      </c>
    </row>
    <row r="338" customFormat="false" ht="15" hidden="false" customHeight="false" outlineLevel="0" collapsed="false">
      <c r="A338" s="0" t="n">
        <f aca="false">ROW()-1</f>
        <v>337</v>
      </c>
      <c r="B338" s="22" t="n">
        <f aca="false">SUMPRODUCT(MMULT('Analysis Data'!N338:U338,'Final Model'!$B$59:$I$66),'Analysis Data'!N338:U338)</f>
        <v>0.00208941407668419</v>
      </c>
      <c r="C338" s="15" t="n">
        <f aca="false">'Residual Diagnostics'!F338</f>
        <v>-14.0397505359608</v>
      </c>
      <c r="D338" s="13" t="n">
        <f aca="false">C338/('Final Model'!$B$21*SQRT(1-B338))</f>
        <v>-0.286638013325924</v>
      </c>
      <c r="E338" s="13" t="n">
        <f aca="false">D338*SQRT(('Final Model'!$B$24-1)/('Final Model'!$B$24-D338^2))</f>
        <v>-0.286542531844659</v>
      </c>
      <c r="F338" s="23" t="n">
        <f aca="false">D338^2/($P$3+1)*B338/(1-B338)</f>
        <v>2.15035651864683E-005</v>
      </c>
      <c r="G338" s="13" t="n">
        <f aca="false">($P$2-1)*(B338-1/$P$2)</f>
        <v>1.89455999692911</v>
      </c>
      <c r="H338" s="13" t="n">
        <f aca="false">E338*SQRT(B338/(1-B338))</f>
        <v>-0.0131115953395313</v>
      </c>
      <c r="I338" s="13" t="n">
        <f aca="false">ABS(D338)</f>
        <v>0.286638013325924</v>
      </c>
      <c r="J338" s="6" t="n">
        <f aca="false">IF(B338&gt;$P$4,1,0)</f>
        <v>0</v>
      </c>
      <c r="K338" s="6" t="n">
        <f aca="false">IF(F338&gt;$P$6,1,0)</f>
        <v>0</v>
      </c>
      <c r="L338" s="6" t="n">
        <f aca="false">IF(G338&gt;$P$9,1,0)</f>
        <v>0</v>
      </c>
      <c r="M338" s="6" t="n">
        <f aca="false">IF(ABS(H338)&gt;$P$8,1,0)</f>
        <v>0</v>
      </c>
    </row>
    <row r="339" customFormat="false" ht="15" hidden="false" customHeight="false" outlineLevel="0" collapsed="false">
      <c r="A339" s="0" t="n">
        <f aca="false">ROW()-1</f>
        <v>338</v>
      </c>
      <c r="B339" s="22" t="n">
        <f aca="false">SUMPRODUCT(MMULT('Analysis Data'!N339:U339,'Final Model'!$B$59:$I$66),'Analysis Data'!N339:U339)</f>
        <v>0.00205842177484457</v>
      </c>
      <c r="C339" s="15" t="n">
        <f aca="false">'Residual Diagnostics'!F339</f>
        <v>-49.3926355695863</v>
      </c>
      <c r="D339" s="13" t="n">
        <f aca="false">C339/('Final Model'!$B$21*SQRT(1-B339))</f>
        <v>-1.00839306585849</v>
      </c>
      <c r="E339" s="13" t="n">
        <f aca="false">D339*SQRT(('Final Model'!$B$24-1)/('Final Model'!$B$24-D339^2))</f>
        <v>-1.00839923804792</v>
      </c>
      <c r="F339" s="23" t="n">
        <f aca="false">D339^2/($P$3+1)*B339/(1-B339)</f>
        <v>0.000262179640835707</v>
      </c>
      <c r="G339" s="13" t="n">
        <f aca="false">($P$2-1)*(B339-1/$P$2)</f>
        <v>1.85163565888124</v>
      </c>
      <c r="H339" s="13" t="n">
        <f aca="false">E339*SQRT(B339/(1-B339))</f>
        <v>-0.0457980654921352</v>
      </c>
      <c r="I339" s="13" t="n">
        <f aca="false">ABS(D339)</f>
        <v>1.00839306585849</v>
      </c>
      <c r="J339" s="6" t="n">
        <f aca="false">IF(B339&gt;$P$4,1,0)</f>
        <v>0</v>
      </c>
      <c r="K339" s="6" t="n">
        <f aca="false">IF(F339&gt;$P$6,1,0)</f>
        <v>0</v>
      </c>
      <c r="L339" s="6" t="n">
        <f aca="false">IF(G339&gt;$P$9,1,0)</f>
        <v>0</v>
      </c>
      <c r="M339" s="6" t="n">
        <f aca="false">IF(ABS(H339)&gt;$P$8,1,0)</f>
        <v>0</v>
      </c>
    </row>
    <row r="340" customFormat="false" ht="15" hidden="false" customHeight="false" outlineLevel="0" collapsed="false">
      <c r="A340" s="0" t="n">
        <f aca="false">ROW()-1</f>
        <v>339</v>
      </c>
      <c r="B340" s="22" t="n">
        <f aca="false">SUMPRODUCT(MMULT('Analysis Data'!N340:U340,'Final Model'!$B$59:$I$66),'Analysis Data'!N340:U340)</f>
        <v>0.00208941407668419</v>
      </c>
      <c r="C340" s="15" t="n">
        <f aca="false">'Residual Diagnostics'!F340</f>
        <v>23.8649947993136</v>
      </c>
      <c r="D340" s="13" t="n">
        <f aca="false">C340/('Final Model'!$B$21*SQRT(1-B340))</f>
        <v>0.487231926221729</v>
      </c>
      <c r="E340" s="13" t="n">
        <f aca="false">D340*SQRT(('Final Model'!$B$24-1)/('Final Model'!$B$24-D340^2))</f>
        <v>0.487097063743733</v>
      </c>
      <c r="F340" s="23" t="n">
        <f aca="false">D340^2/($P$3+1)*B340/(1-B340)</f>
        <v>6.21318629536823E-005</v>
      </c>
      <c r="G340" s="13" t="n">
        <f aca="false">($P$2-1)*(B340-1/$P$2)</f>
        <v>1.89455999692911</v>
      </c>
      <c r="H340" s="13" t="n">
        <f aca="false">E340*SQRT(B340/(1-B340))</f>
        <v>0.0222885571289082</v>
      </c>
      <c r="I340" s="13" t="n">
        <f aca="false">ABS(D340)</f>
        <v>0.487231926221729</v>
      </c>
      <c r="J340" s="6" t="n">
        <f aca="false">IF(B340&gt;$P$4,1,0)</f>
        <v>0</v>
      </c>
      <c r="K340" s="6" t="n">
        <f aca="false">IF(F340&gt;$P$6,1,0)</f>
        <v>0</v>
      </c>
      <c r="L340" s="6" t="n">
        <f aca="false">IF(G340&gt;$P$9,1,0)</f>
        <v>0</v>
      </c>
      <c r="M340" s="6" t="n">
        <f aca="false">IF(ABS(H340)&gt;$P$8,1,0)</f>
        <v>0</v>
      </c>
    </row>
    <row r="341" customFormat="false" ht="15" hidden="false" customHeight="false" outlineLevel="0" collapsed="false">
      <c r="A341" s="0" t="n">
        <f aca="false">ROW()-1</f>
        <v>340</v>
      </c>
      <c r="B341" s="22" t="n">
        <f aca="false">SUMPRODUCT(MMULT('Analysis Data'!N341:U341,'Final Model'!$B$59:$I$66),'Analysis Data'!N341:U341)</f>
        <v>0.00404591772009535</v>
      </c>
      <c r="C341" s="15" t="n">
        <f aca="false">'Residual Diagnostics'!F341</f>
        <v>-1.36064604579127</v>
      </c>
      <c r="D341" s="13" t="n">
        <f aca="false">C341/('Final Model'!$B$21*SQRT(1-B341))</f>
        <v>-0.0278064607470743</v>
      </c>
      <c r="E341" s="13" t="n">
        <f aca="false">D341*SQRT(('Final Model'!$B$24-1)/('Final Model'!$B$24-D341^2))</f>
        <v>-0.0277963772872955</v>
      </c>
      <c r="F341" s="23" t="n">
        <f aca="false">D341^2/($P$3+1)*B341/(1-B341)</f>
        <v>3.92626105954431E-007</v>
      </c>
      <c r="G341" s="13" t="n">
        <f aca="false">($P$2-1)*(B341-1/$P$2)</f>
        <v>4.60431754305355</v>
      </c>
      <c r="H341" s="13" t="n">
        <f aca="false">E341*SQRT(B341/(1-B341))</f>
        <v>-0.00177164646923247</v>
      </c>
      <c r="I341" s="13" t="n">
        <f aca="false">ABS(D341)</f>
        <v>0.0278064607470743</v>
      </c>
      <c r="J341" s="6" t="n">
        <f aca="false">IF(B341&gt;$P$4,1,0)</f>
        <v>0</v>
      </c>
      <c r="K341" s="6" t="n">
        <f aca="false">IF(F341&gt;$P$6,1,0)</f>
        <v>0</v>
      </c>
      <c r="L341" s="6" t="n">
        <f aca="false">IF(G341&gt;$P$9,1,0)</f>
        <v>0</v>
      </c>
      <c r="M341" s="6" t="n">
        <f aca="false">IF(ABS(H341)&gt;$P$8,1,0)</f>
        <v>0</v>
      </c>
    </row>
    <row r="342" customFormat="false" ht="15" hidden="false" customHeight="false" outlineLevel="0" collapsed="false">
      <c r="A342" s="0" t="n">
        <f aca="false">ROW()-1</f>
        <v>341</v>
      </c>
      <c r="B342" s="22" t="n">
        <f aca="false">SUMPRODUCT(MMULT('Analysis Data'!N342:U342,'Final Model'!$B$59:$I$66),'Analysis Data'!N342:U342)</f>
        <v>0.00428734695758698</v>
      </c>
      <c r="C342" s="15" t="n">
        <f aca="false">'Residual Diagnostics'!F342</f>
        <v>-14.689394368345</v>
      </c>
      <c r="D342" s="13" t="n">
        <f aca="false">C342/('Final Model'!$B$21*SQRT(1-B342))</f>
        <v>-0.300232074000558</v>
      </c>
      <c r="E342" s="13" t="n">
        <f aca="false">D342*SQRT(('Final Model'!$B$24-1)/('Final Model'!$B$24-D342^2))</f>
        <v>-0.300132933090479</v>
      </c>
      <c r="F342" s="23" t="n">
        <f aca="false">D342^2/($P$3+1)*B342/(1-B342)</f>
        <v>4.85153077255186E-005</v>
      </c>
      <c r="G342" s="13" t="n">
        <f aca="false">($P$2-1)*(B342-1/$P$2)</f>
        <v>4.93869703697947</v>
      </c>
      <c r="H342" s="13" t="n">
        <f aca="false">E342*SQRT(B342/(1-B342))</f>
        <v>-0.019694318393585</v>
      </c>
      <c r="I342" s="13" t="n">
        <f aca="false">ABS(D342)</f>
        <v>0.300232074000558</v>
      </c>
      <c r="J342" s="6" t="n">
        <f aca="false">IF(B342&gt;$P$4,1,0)</f>
        <v>0</v>
      </c>
      <c r="K342" s="6" t="n">
        <f aca="false">IF(F342&gt;$P$6,1,0)</f>
        <v>0</v>
      </c>
      <c r="L342" s="6" t="n">
        <f aca="false">IF(G342&gt;$P$9,1,0)</f>
        <v>0</v>
      </c>
      <c r="M342" s="6" t="n">
        <f aca="false">IF(ABS(H342)&gt;$P$8,1,0)</f>
        <v>0</v>
      </c>
    </row>
    <row r="343" customFormat="false" ht="15" hidden="false" customHeight="false" outlineLevel="0" collapsed="false">
      <c r="A343" s="0" t="n">
        <f aca="false">ROW()-1</f>
        <v>342</v>
      </c>
      <c r="B343" s="22" t="n">
        <f aca="false">SUMPRODUCT(MMULT('Analysis Data'!N343:U343,'Final Model'!$B$59:$I$66),'Analysis Data'!N343:U343)</f>
        <v>0.00221688059806092</v>
      </c>
      <c r="C343" s="15" t="n">
        <f aca="false">'Residual Diagnostics'!F343</f>
        <v>-62.0218086254678</v>
      </c>
      <c r="D343" s="13" t="n">
        <f aca="false">C343/('Final Model'!$B$21*SQRT(1-B343))</f>
        <v>-1.26632901920474</v>
      </c>
      <c r="E343" s="13" t="n">
        <f aca="false">D343*SQRT(('Final Model'!$B$24-1)/('Final Model'!$B$24-D343^2))</f>
        <v>-1.26660664951398</v>
      </c>
      <c r="F343" s="23" t="n">
        <f aca="false">D343^2/($P$3+1)*B343/(1-B343)</f>
        <v>0.00044535802446624</v>
      </c>
      <c r="G343" s="13" t="n">
        <f aca="false">($P$2-1)*(B343-1/$P$2)</f>
        <v>2.07110112903587</v>
      </c>
      <c r="H343" s="13" t="n">
        <f aca="false">E343*SQRT(B343/(1-B343))</f>
        <v>-0.0597028191424962</v>
      </c>
      <c r="I343" s="13" t="n">
        <f aca="false">ABS(D343)</f>
        <v>1.26632901920474</v>
      </c>
      <c r="J343" s="6" t="n">
        <f aca="false">IF(B343&gt;$P$4,1,0)</f>
        <v>0</v>
      </c>
      <c r="K343" s="6" t="n">
        <f aca="false">IF(F343&gt;$P$6,1,0)</f>
        <v>0</v>
      </c>
      <c r="L343" s="6" t="n">
        <f aca="false">IF(G343&gt;$P$9,1,0)</f>
        <v>0</v>
      </c>
      <c r="M343" s="6" t="n">
        <f aca="false">IF(ABS(H343)&gt;$P$8,1,0)</f>
        <v>0</v>
      </c>
    </row>
    <row r="344" customFormat="false" ht="15" hidden="false" customHeight="false" outlineLevel="0" collapsed="false">
      <c r="A344" s="0" t="n">
        <f aca="false">ROW()-1</f>
        <v>343</v>
      </c>
      <c r="B344" s="22" t="n">
        <f aca="false">SUMPRODUCT(MMULT('Analysis Data'!N344:U344,'Final Model'!$B$59:$I$66),'Analysis Data'!N344:U344)</f>
        <v>0.0021817057471263</v>
      </c>
      <c r="C344" s="15" t="n">
        <f aca="false">'Residual Diagnostics'!F344</f>
        <v>32.5139693138294</v>
      </c>
      <c r="D344" s="13" t="n">
        <f aca="false">C344/('Final Model'!$B$21*SQRT(1-B344))</f>
        <v>0.663841607663607</v>
      </c>
      <c r="E344" s="13" t="n">
        <f aca="false">D344*SQRT(('Final Model'!$B$24-1)/('Final Model'!$B$24-D344^2))</f>
        <v>0.66370682805398</v>
      </c>
      <c r="F344" s="23" t="n">
        <f aca="false">D344^2/($P$3+1)*B344/(1-B344)</f>
        <v>0.000120443582565657</v>
      </c>
      <c r="G344" s="13" t="n">
        <f aca="false">($P$2-1)*(B344-1/$P$2)</f>
        <v>2.02238396049143</v>
      </c>
      <c r="H344" s="13" t="n">
        <f aca="false">E344*SQRT(B344/(1-B344))</f>
        <v>0.0310347779453288</v>
      </c>
      <c r="I344" s="13" t="n">
        <f aca="false">ABS(D344)</f>
        <v>0.663841607663607</v>
      </c>
      <c r="J344" s="6" t="n">
        <f aca="false">IF(B344&gt;$P$4,1,0)</f>
        <v>0</v>
      </c>
      <c r="K344" s="6" t="n">
        <f aca="false">IF(F344&gt;$P$6,1,0)</f>
        <v>0</v>
      </c>
      <c r="L344" s="6" t="n">
        <f aca="false">IF(G344&gt;$P$9,1,0)</f>
        <v>0</v>
      </c>
      <c r="M344" s="6" t="n">
        <f aca="false">IF(ABS(H344)&gt;$P$8,1,0)</f>
        <v>0</v>
      </c>
    </row>
    <row r="345" customFormat="false" ht="15" hidden="false" customHeight="false" outlineLevel="0" collapsed="false">
      <c r="A345" s="0" t="n">
        <f aca="false">ROW()-1</f>
        <v>344</v>
      </c>
      <c r="B345" s="22" t="n">
        <f aca="false">SUMPRODUCT(MMULT('Analysis Data'!N345:U345,'Final Model'!$B$59:$I$66),'Analysis Data'!N345:U345)</f>
        <v>0.00308954724534171</v>
      </c>
      <c r="C345" s="15" t="n">
        <f aca="false">'Residual Diagnostics'!F345</f>
        <v>-16.5731149810658</v>
      </c>
      <c r="D345" s="13" t="n">
        <f aca="false">C345/('Final Model'!$B$21*SQRT(1-B345))</f>
        <v>-0.338529311051169</v>
      </c>
      <c r="E345" s="13" t="n">
        <f aca="false">D345*SQRT(('Final Model'!$B$24-1)/('Final Model'!$B$24-D345^2))</f>
        <v>-0.338420527944339</v>
      </c>
      <c r="F345" s="23" t="n">
        <f aca="false">D345^2/($P$3+1)*B345/(1-B345)</f>
        <v>4.43957358722065E-005</v>
      </c>
      <c r="G345" s="13" t="n">
        <f aca="false">($P$2-1)*(B345-1/$P$2)</f>
        <v>3.27974443551977</v>
      </c>
      <c r="H345" s="13" t="n">
        <f aca="false">E345*SQRT(B345/(1-B345))</f>
        <v>-0.0188397894211698</v>
      </c>
      <c r="I345" s="13" t="n">
        <f aca="false">ABS(D345)</f>
        <v>0.338529311051169</v>
      </c>
      <c r="J345" s="6" t="n">
        <f aca="false">IF(B345&gt;$P$4,1,0)</f>
        <v>0</v>
      </c>
      <c r="K345" s="6" t="n">
        <f aca="false">IF(F345&gt;$P$6,1,0)</f>
        <v>0</v>
      </c>
      <c r="L345" s="6" t="n">
        <f aca="false">IF(G345&gt;$P$9,1,0)</f>
        <v>0</v>
      </c>
      <c r="M345" s="6" t="n">
        <f aca="false">IF(ABS(H345)&gt;$P$8,1,0)</f>
        <v>0</v>
      </c>
    </row>
    <row r="346" customFormat="false" ht="15" hidden="false" customHeight="false" outlineLevel="0" collapsed="false">
      <c r="A346" s="0" t="n">
        <f aca="false">ROW()-1</f>
        <v>345</v>
      </c>
      <c r="B346" s="22" t="n">
        <f aca="false">SUMPRODUCT(MMULT('Analysis Data'!N346:U346,'Final Model'!$B$59:$I$66),'Analysis Data'!N346:U346)</f>
        <v>0.00308954724534171</v>
      </c>
      <c r="C346" s="15" t="n">
        <f aca="false">'Residual Diagnostics'!F346</f>
        <v>-0.70391925576908</v>
      </c>
      <c r="D346" s="13" t="n">
        <f aca="false">C346/('Final Model'!$B$21*SQRT(1-B346))</f>
        <v>-0.0143785462759056</v>
      </c>
      <c r="E346" s="13" t="n">
        <f aca="false">D346*SQRT(('Final Model'!$B$24-1)/('Final Model'!$B$24-D346^2))</f>
        <v>-0.0143733292279255</v>
      </c>
      <c r="F346" s="23" t="n">
        <f aca="false">D346^2/($P$3+1)*B346/(1-B346)</f>
        <v>8.00900681398726E-008</v>
      </c>
      <c r="G346" s="13" t="n">
        <f aca="false">($P$2-1)*(B346-1/$P$2)</f>
        <v>3.27974443551977</v>
      </c>
      <c r="H346" s="13" t="n">
        <f aca="false">E346*SQRT(B346/(1-B346))</f>
        <v>-0.000800159782209782</v>
      </c>
      <c r="I346" s="13" t="n">
        <f aca="false">ABS(D346)</f>
        <v>0.0143785462759056</v>
      </c>
      <c r="J346" s="6" t="n">
        <f aca="false">IF(B346&gt;$P$4,1,0)</f>
        <v>0</v>
      </c>
      <c r="K346" s="6" t="n">
        <f aca="false">IF(F346&gt;$P$6,1,0)</f>
        <v>0</v>
      </c>
      <c r="L346" s="6" t="n">
        <f aca="false">IF(G346&gt;$P$9,1,0)</f>
        <v>0</v>
      </c>
      <c r="M346" s="6" t="n">
        <f aca="false">IF(ABS(H346)&gt;$P$8,1,0)</f>
        <v>0</v>
      </c>
    </row>
    <row r="347" customFormat="false" ht="15" hidden="false" customHeight="false" outlineLevel="0" collapsed="false">
      <c r="A347" s="0" t="n">
        <f aca="false">ROW()-1</f>
        <v>346</v>
      </c>
      <c r="B347" s="22" t="n">
        <f aca="false">SUMPRODUCT(MMULT('Analysis Data'!N347:U347,'Final Model'!$B$59:$I$66),'Analysis Data'!N347:U347)</f>
        <v>0.00248743895260237</v>
      </c>
      <c r="C347" s="15" t="n">
        <f aca="false">'Residual Diagnostics'!F347</f>
        <v>-41.955677811666</v>
      </c>
      <c r="D347" s="13" t="n">
        <f aca="false">C347/('Final Model'!$B$21*SQRT(1-B347))</f>
        <v>-0.856745365640768</v>
      </c>
      <c r="E347" s="13" t="n">
        <f aca="false">D347*SQRT(('Final Model'!$B$24-1)/('Final Model'!$B$24-D347^2))</f>
        <v>-0.85666263127443</v>
      </c>
      <c r="F347" s="23" t="n">
        <f aca="false">D347^2/($P$3+1)*B347/(1-B347)</f>
        <v>0.000228795563313571</v>
      </c>
      <c r="G347" s="13" t="n">
        <f aca="false">($P$2-1)*(B347-1/$P$2)</f>
        <v>2.44582445007578</v>
      </c>
      <c r="H347" s="13" t="n">
        <f aca="false">E347*SQRT(B347/(1-B347))</f>
        <v>-0.0427786279996169</v>
      </c>
      <c r="I347" s="13" t="n">
        <f aca="false">ABS(D347)</f>
        <v>0.856745365640768</v>
      </c>
      <c r="J347" s="6" t="n">
        <f aca="false">IF(B347&gt;$P$4,1,0)</f>
        <v>0</v>
      </c>
      <c r="K347" s="6" t="n">
        <f aca="false">IF(F347&gt;$P$6,1,0)</f>
        <v>0</v>
      </c>
      <c r="L347" s="6" t="n">
        <f aca="false">IF(G347&gt;$P$9,1,0)</f>
        <v>0</v>
      </c>
      <c r="M347" s="6" t="n">
        <f aca="false">IF(ABS(H347)&gt;$P$8,1,0)</f>
        <v>0</v>
      </c>
    </row>
    <row r="348" customFormat="false" ht="15" hidden="false" customHeight="false" outlineLevel="0" collapsed="false">
      <c r="A348" s="0" t="n">
        <f aca="false">ROW()-1</f>
        <v>347</v>
      </c>
      <c r="B348" s="22" t="n">
        <f aca="false">SUMPRODUCT(MMULT('Analysis Data'!N348:U348,'Final Model'!$B$59:$I$66),'Analysis Data'!N348:U348)</f>
        <v>0.00205842177484457</v>
      </c>
      <c r="C348" s="15" t="n">
        <f aca="false">'Residual Diagnostics'!F348</f>
        <v>29.7586152342525</v>
      </c>
      <c r="D348" s="13" t="n">
        <f aca="false">C348/('Final Model'!$B$21*SQRT(1-B348))</f>
        <v>0.60754768207285</v>
      </c>
      <c r="E348" s="13" t="n">
        <f aca="false">D348*SQRT(('Final Model'!$B$24-1)/('Final Model'!$B$24-D348^2))</f>
        <v>0.607408552967146</v>
      </c>
      <c r="F348" s="23" t="n">
        <f aca="false">D348^2/($P$3+1)*B348/(1-B348)</f>
        <v>9.51699847000876E-005</v>
      </c>
      <c r="G348" s="13" t="n">
        <f aca="false">($P$2-1)*(B348-1/$P$2)</f>
        <v>1.85163565888124</v>
      </c>
      <c r="H348" s="13" t="n">
        <f aca="false">E348*SQRT(B348/(1-B348))</f>
        <v>0.0275864316826769</v>
      </c>
      <c r="I348" s="13" t="n">
        <f aca="false">ABS(D348)</f>
        <v>0.60754768207285</v>
      </c>
      <c r="J348" s="6" t="n">
        <f aca="false">IF(B348&gt;$P$4,1,0)</f>
        <v>0</v>
      </c>
      <c r="K348" s="6" t="n">
        <f aca="false">IF(F348&gt;$P$6,1,0)</f>
        <v>0</v>
      </c>
      <c r="L348" s="6" t="n">
        <f aca="false">IF(G348&gt;$P$9,1,0)</f>
        <v>0</v>
      </c>
      <c r="M348" s="6" t="n">
        <f aca="false">IF(ABS(H348)&gt;$P$8,1,0)</f>
        <v>0</v>
      </c>
    </row>
    <row r="349" customFormat="false" ht="15" hidden="false" customHeight="false" outlineLevel="0" collapsed="false">
      <c r="A349" s="0" t="n">
        <f aca="false">ROW()-1</f>
        <v>348</v>
      </c>
      <c r="B349" s="22" t="n">
        <f aca="false">SUMPRODUCT(MMULT('Analysis Data'!N349:U349,'Final Model'!$B$59:$I$66),'Analysis Data'!N349:U349)</f>
        <v>0.00237883722533435</v>
      </c>
      <c r="C349" s="15" t="n">
        <f aca="false">'Residual Diagnostics'!F349</f>
        <v>38.32480218235</v>
      </c>
      <c r="D349" s="13" t="n">
        <f aca="false">C349/('Final Model'!$B$21*SQRT(1-B349))</f>
        <v>0.782559384671575</v>
      </c>
      <c r="E349" s="13" t="n">
        <f aca="false">D349*SQRT(('Final Model'!$B$24-1)/('Final Model'!$B$24-D349^2))</f>
        <v>0.782449269700089</v>
      </c>
      <c r="F349" s="23" t="n">
        <f aca="false">D349^2/($P$3+1)*B349/(1-B349)</f>
        <v>0.000182533967498694</v>
      </c>
      <c r="G349" s="13" t="n">
        <f aca="false">($P$2-1)*(B349-1/$P$2)</f>
        <v>2.29541105780957</v>
      </c>
      <c r="H349" s="13" t="n">
        <f aca="false">E349*SQRT(B349/(1-B349))</f>
        <v>0.0382081249912413</v>
      </c>
      <c r="I349" s="13" t="n">
        <f aca="false">ABS(D349)</f>
        <v>0.782559384671575</v>
      </c>
      <c r="J349" s="6" t="n">
        <f aca="false">IF(B349&gt;$P$4,1,0)</f>
        <v>0</v>
      </c>
      <c r="K349" s="6" t="n">
        <f aca="false">IF(F349&gt;$P$6,1,0)</f>
        <v>0</v>
      </c>
      <c r="L349" s="6" t="n">
        <f aca="false">IF(G349&gt;$P$9,1,0)</f>
        <v>0</v>
      </c>
      <c r="M349" s="6" t="n">
        <f aca="false">IF(ABS(H349)&gt;$P$8,1,0)</f>
        <v>0</v>
      </c>
    </row>
    <row r="350" customFormat="false" ht="15" hidden="false" customHeight="false" outlineLevel="0" collapsed="false">
      <c r="A350" s="0" t="n">
        <f aca="false">ROW()-1</f>
        <v>349</v>
      </c>
      <c r="B350" s="22" t="n">
        <f aca="false">SUMPRODUCT(MMULT('Analysis Data'!N350:U350,'Final Model'!$B$59:$I$66),'Analysis Data'!N350:U350)</f>
        <v>0.00205842177484457</v>
      </c>
      <c r="C350" s="15" t="n">
        <f aca="false">'Residual Diagnostics'!F350</f>
        <v>11.4197080146734</v>
      </c>
      <c r="D350" s="13" t="n">
        <f aca="false">C350/('Final Model'!$B$21*SQRT(1-B350))</f>
        <v>0.233143144586843</v>
      </c>
      <c r="E350" s="13" t="n">
        <f aca="false">D350*SQRT(('Final Model'!$B$24-1)/('Final Model'!$B$24-D350^2))</f>
        <v>0.233063131155521</v>
      </c>
      <c r="F350" s="23" t="n">
        <f aca="false">D350^2/($P$3+1)*B350/(1-B350)</f>
        <v>1.40147244281623E-005</v>
      </c>
      <c r="G350" s="13" t="n">
        <f aca="false">($P$2-1)*(B350-1/$P$2)</f>
        <v>1.85163565888124</v>
      </c>
      <c r="H350" s="13" t="n">
        <f aca="false">E350*SQRT(B350/(1-B350))</f>
        <v>0.0105849351543792</v>
      </c>
      <c r="I350" s="13" t="n">
        <f aca="false">ABS(D350)</f>
        <v>0.233143144586843</v>
      </c>
      <c r="J350" s="6" t="n">
        <f aca="false">IF(B350&gt;$P$4,1,0)</f>
        <v>0</v>
      </c>
      <c r="K350" s="6" t="n">
        <f aca="false">IF(F350&gt;$P$6,1,0)</f>
        <v>0</v>
      </c>
      <c r="L350" s="6" t="n">
        <f aca="false">IF(G350&gt;$P$9,1,0)</f>
        <v>0</v>
      </c>
      <c r="M350" s="6" t="n">
        <f aca="false">IF(ABS(H350)&gt;$P$8,1,0)</f>
        <v>0</v>
      </c>
    </row>
    <row r="351" customFormat="false" ht="15" hidden="false" customHeight="false" outlineLevel="0" collapsed="false">
      <c r="A351" s="0" t="n">
        <f aca="false">ROW()-1</f>
        <v>350</v>
      </c>
      <c r="B351" s="22" t="n">
        <f aca="false">SUMPRODUCT(MMULT('Analysis Data'!N351:U351,'Final Model'!$B$59:$I$66),'Analysis Data'!N351:U351)</f>
        <v>0.0130266215615665</v>
      </c>
      <c r="C351" s="15" t="n">
        <f aca="false">'Residual Diagnostics'!F351</f>
        <v>0.214646985575769</v>
      </c>
      <c r="D351" s="13" t="n">
        <f aca="false">C351/('Final Model'!$B$21*SQRT(1-B351))</f>
        <v>0.004406484869864</v>
      </c>
      <c r="E351" s="13" t="n">
        <f aca="false">D351*SQRT(('Final Model'!$B$24-1)/('Final Model'!$B$24-D351^2))</f>
        <v>0.00440488574103063</v>
      </c>
      <c r="F351" s="23" t="n">
        <f aca="false">D351^2/($P$3+1)*B351/(1-B351)</f>
        <v>3.20347203752428E-008</v>
      </c>
      <c r="G351" s="13" t="n">
        <f aca="false">($P$2-1)*(B351-1/$P$2)</f>
        <v>17.0425923634911</v>
      </c>
      <c r="H351" s="13" t="n">
        <f aca="false">E351*SQRT(B351/(1-B351))</f>
        <v>0.000506055124026175</v>
      </c>
      <c r="I351" s="13" t="n">
        <f aca="false">ABS(D351)</f>
        <v>0.004406484869864</v>
      </c>
      <c r="J351" s="6" t="n">
        <f aca="false">IF(B351&gt;$P$4,1,0)</f>
        <v>1</v>
      </c>
      <c r="K351" s="6" t="n">
        <f aca="false">IF(F351&gt;$P$6,1,0)</f>
        <v>0</v>
      </c>
      <c r="L351" s="6" t="n">
        <f aca="false">IF(G351&gt;$P$9,1,0)</f>
        <v>1</v>
      </c>
      <c r="M351" s="6" t="n">
        <f aca="false">IF(ABS(H351)&gt;$P$8,1,0)</f>
        <v>0</v>
      </c>
    </row>
    <row r="352" customFormat="false" ht="15" hidden="false" customHeight="false" outlineLevel="0" collapsed="false">
      <c r="A352" s="0" t="n">
        <f aca="false">ROW()-1</f>
        <v>351</v>
      </c>
      <c r="B352" s="22" t="n">
        <f aca="false">SUMPRODUCT(MMULT('Analysis Data'!N352:U352,'Final Model'!$B$59:$I$66),'Analysis Data'!N352:U352)</f>
        <v>0.00593741150688516</v>
      </c>
      <c r="C352" s="15" t="n">
        <f aca="false">'Residual Diagnostics'!F352</f>
        <v>-39.5465429107111</v>
      </c>
      <c r="D352" s="13" t="n">
        <f aca="false">C352/('Final Model'!$B$21*SQRT(1-B352))</f>
        <v>-0.808950351973156</v>
      </c>
      <c r="E352" s="13" t="n">
        <f aca="false">D352*SQRT(('Final Model'!$B$24-1)/('Final Model'!$B$24-D352^2))</f>
        <v>-0.808848855936947</v>
      </c>
      <c r="F352" s="23" t="n">
        <f aca="false">D352^2/($P$3+1)*B352/(1-B352)</f>
        <v>0.000488581670406147</v>
      </c>
      <c r="G352" s="13" t="n">
        <f aca="false">($P$2-1)*(B352-1/$P$2)</f>
        <v>7.22403643775744</v>
      </c>
      <c r="H352" s="13" t="n">
        <f aca="false">E352*SQRT(B352/(1-B352))</f>
        <v>-0.0625113798915885</v>
      </c>
      <c r="I352" s="13" t="n">
        <f aca="false">ABS(D352)</f>
        <v>0.808950351973156</v>
      </c>
      <c r="J352" s="6" t="n">
        <f aca="false">IF(B352&gt;$P$4,1,0)</f>
        <v>0</v>
      </c>
      <c r="K352" s="6" t="n">
        <f aca="false">IF(F352&gt;$P$6,1,0)</f>
        <v>0</v>
      </c>
      <c r="L352" s="6" t="n">
        <f aca="false">IF(G352&gt;$P$9,1,0)</f>
        <v>0</v>
      </c>
      <c r="M352" s="6" t="n">
        <f aca="false">IF(ABS(H352)&gt;$P$8,1,0)</f>
        <v>0</v>
      </c>
    </row>
    <row r="353" customFormat="false" ht="15" hidden="false" customHeight="false" outlineLevel="0" collapsed="false">
      <c r="A353" s="0" t="n">
        <f aca="false">ROW()-1</f>
        <v>352</v>
      </c>
      <c r="B353" s="22" t="n">
        <f aca="false">SUMPRODUCT(MMULT('Analysis Data'!N353:U353,'Final Model'!$B$59:$I$66),'Analysis Data'!N353:U353)</f>
        <v>0.00613402959301852</v>
      </c>
      <c r="C353" s="15" t="n">
        <f aca="false">'Residual Diagnostics'!F353</f>
        <v>1.57057861682432</v>
      </c>
      <c r="D353" s="13" t="n">
        <f aca="false">C353/('Final Model'!$B$21*SQRT(1-B353))</f>
        <v>0.0321303886421699</v>
      </c>
      <c r="E353" s="13" t="n">
        <f aca="false">D353*SQRT(('Final Model'!$B$24-1)/('Final Model'!$B$24-D353^2))</f>
        <v>0.0321187402162773</v>
      </c>
      <c r="F353" s="23" t="n">
        <f aca="false">D353^2/($P$3+1)*B353/(1-B353)</f>
        <v>7.96452750697358E-007</v>
      </c>
      <c r="G353" s="13" t="n">
        <f aca="false">($P$2-1)*(B353-1/$P$2)</f>
        <v>7.49635248705216</v>
      </c>
      <c r="H353" s="13" t="n">
        <f aca="false">E353*SQRT(B353/(1-B353))</f>
        <v>0.00252329208713354</v>
      </c>
      <c r="I353" s="13" t="n">
        <f aca="false">ABS(D353)</f>
        <v>0.0321303886421699</v>
      </c>
      <c r="J353" s="6" t="n">
        <f aca="false">IF(B353&gt;$P$4,1,0)</f>
        <v>0</v>
      </c>
      <c r="K353" s="6" t="n">
        <f aca="false">IF(F353&gt;$P$6,1,0)</f>
        <v>0</v>
      </c>
      <c r="L353" s="6" t="n">
        <f aca="false">IF(G353&gt;$P$9,1,0)</f>
        <v>0</v>
      </c>
      <c r="M353" s="6" t="n">
        <f aca="false">IF(ABS(H353)&gt;$P$8,1,0)</f>
        <v>0</v>
      </c>
    </row>
    <row r="354" customFormat="false" ht="15" hidden="false" customHeight="false" outlineLevel="0" collapsed="false">
      <c r="A354" s="0" t="n">
        <f aca="false">ROW()-1</f>
        <v>353</v>
      </c>
      <c r="B354" s="22" t="n">
        <f aca="false">SUMPRODUCT(MMULT('Analysis Data'!N354:U354,'Final Model'!$B$59:$I$66),'Analysis Data'!N354:U354)</f>
        <v>0.00236231798678867</v>
      </c>
      <c r="C354" s="15" t="n">
        <f aca="false">'Residual Diagnostics'!F354</f>
        <v>-167.87368485256</v>
      </c>
      <c r="D354" s="13" t="n">
        <f aca="false">C354/('Final Model'!$B$21*SQRT(1-B354))</f>
        <v>-3.42780738296694</v>
      </c>
      <c r="E354" s="13" t="n">
        <f aca="false">D354*SQRT(('Final Model'!$B$24-1)/('Final Model'!$B$24-D354^2))</f>
        <v>-3.4412662151994</v>
      </c>
      <c r="F354" s="23" t="n">
        <f aca="false">D354^2/($P$3+1)*B354/(1-B354)</f>
        <v>0.00347782996295176</v>
      </c>
      <c r="G354" s="13" t="n">
        <f aca="false">($P$2-1)*(B354-1/$P$2)</f>
        <v>2.27253191242381</v>
      </c>
      <c r="H354" s="13" t="n">
        <f aca="false">E354*SQRT(B354/(1-B354))</f>
        <v>-0.167456120986798</v>
      </c>
      <c r="I354" s="13" t="n">
        <f aca="false">ABS(D354)</f>
        <v>3.42780738296694</v>
      </c>
      <c r="J354" s="6" t="n">
        <f aca="false">IF(B354&gt;$P$4,1,0)</f>
        <v>0</v>
      </c>
      <c r="K354" s="6" t="n">
        <f aca="false">IF(F354&gt;$P$6,1,0)</f>
        <v>1</v>
      </c>
      <c r="L354" s="6" t="n">
        <f aca="false">IF(G354&gt;$P$9,1,0)</f>
        <v>0</v>
      </c>
      <c r="M354" s="6" t="n">
        <f aca="false">IF(ABS(H354)&gt;$P$8,1,0)</f>
        <v>1</v>
      </c>
    </row>
    <row r="355" customFormat="false" ht="15" hidden="false" customHeight="false" outlineLevel="0" collapsed="false">
      <c r="A355" s="0" t="n">
        <f aca="false">ROW()-1</f>
        <v>354</v>
      </c>
      <c r="B355" s="22" t="n">
        <f aca="false">SUMPRODUCT(MMULT('Analysis Data'!N355:U355,'Final Model'!$B$59:$I$66),'Analysis Data'!N355:U355)</f>
        <v>0.00236231798678867</v>
      </c>
      <c r="C355" s="15" t="n">
        <f aca="false">'Residual Diagnostics'!F355</f>
        <v>33.4298347791622</v>
      </c>
      <c r="D355" s="13" t="n">
        <f aca="false">C355/('Final Model'!$B$21*SQRT(1-B355))</f>
        <v>0.682602723398966</v>
      </c>
      <c r="E355" s="13" t="n">
        <f aca="false">D355*SQRT(('Final Model'!$B$24-1)/('Final Model'!$B$24-D355^2))</f>
        <v>0.682470392104849</v>
      </c>
      <c r="F355" s="23" t="n">
        <f aca="false">D355^2/($P$3+1)*B355/(1-B355)</f>
        <v>0.000137915017356223</v>
      </c>
      <c r="G355" s="13" t="n">
        <f aca="false">($P$2-1)*(B355-1/$P$2)</f>
        <v>2.27253191242381</v>
      </c>
      <c r="H355" s="13" t="n">
        <f aca="false">E355*SQRT(B355/(1-B355))</f>
        <v>0.0332098237693578</v>
      </c>
      <c r="I355" s="13" t="n">
        <f aca="false">ABS(D355)</f>
        <v>0.682602723398966</v>
      </c>
      <c r="J355" s="6" t="n">
        <f aca="false">IF(B355&gt;$P$4,1,0)</f>
        <v>0</v>
      </c>
      <c r="K355" s="6" t="n">
        <f aca="false">IF(F355&gt;$P$6,1,0)</f>
        <v>0</v>
      </c>
      <c r="L355" s="6" t="n">
        <f aca="false">IF(G355&gt;$P$9,1,0)</f>
        <v>0</v>
      </c>
      <c r="M355" s="6" t="n">
        <f aca="false">IF(ABS(H355)&gt;$P$8,1,0)</f>
        <v>0</v>
      </c>
    </row>
    <row r="356" customFormat="false" ht="15" hidden="false" customHeight="false" outlineLevel="0" collapsed="false">
      <c r="A356" s="0" t="n">
        <f aca="false">ROW()-1</f>
        <v>355</v>
      </c>
      <c r="B356" s="22" t="n">
        <f aca="false">SUMPRODUCT(MMULT('Analysis Data'!N356:U356,'Final Model'!$B$59:$I$66),'Analysis Data'!N356:U356)</f>
        <v>0.00222962928685014</v>
      </c>
      <c r="C356" s="15" t="n">
        <f aca="false">'Residual Diagnostics'!F356</f>
        <v>-56.4016588558618</v>
      </c>
      <c r="D356" s="13" t="n">
        <f aca="false">C356/('Final Model'!$B$21*SQRT(1-B356))</f>
        <v>-1.15158708226071</v>
      </c>
      <c r="E356" s="13" t="n">
        <f aca="false">D356*SQRT(('Final Model'!$B$24-1)/('Final Model'!$B$24-D356^2))</f>
        <v>-1.15172348752408</v>
      </c>
      <c r="F356" s="23" t="n">
        <f aca="false">D356^2/($P$3+1)*B356/(1-B356)</f>
        <v>0.000370429563055211</v>
      </c>
      <c r="G356" s="13" t="n">
        <f aca="false">($P$2-1)*(B356-1/$P$2)</f>
        <v>2.08875806300895</v>
      </c>
      <c r="H356" s="13" t="n">
        <f aca="false">E356*SQRT(B356/(1-B356))</f>
        <v>-0.0544439030834658</v>
      </c>
      <c r="I356" s="13" t="n">
        <f aca="false">ABS(D356)</f>
        <v>1.15158708226071</v>
      </c>
      <c r="J356" s="6" t="n">
        <f aca="false">IF(B356&gt;$P$4,1,0)</f>
        <v>0</v>
      </c>
      <c r="K356" s="6" t="n">
        <f aca="false">IF(F356&gt;$P$6,1,0)</f>
        <v>0</v>
      </c>
      <c r="L356" s="6" t="n">
        <f aca="false">IF(G356&gt;$P$9,1,0)</f>
        <v>0</v>
      </c>
      <c r="M356" s="6" t="n">
        <f aca="false">IF(ABS(H356)&gt;$P$8,1,0)</f>
        <v>0</v>
      </c>
    </row>
    <row r="357" customFormat="false" ht="15" hidden="false" customHeight="false" outlineLevel="0" collapsed="false">
      <c r="A357" s="0" t="n">
        <f aca="false">ROW()-1</f>
        <v>356</v>
      </c>
      <c r="B357" s="22" t="n">
        <f aca="false">SUMPRODUCT(MMULT('Analysis Data'!N357:U357,'Final Model'!$B$59:$I$66),'Analysis Data'!N357:U357)</f>
        <v>0.002329768933886</v>
      </c>
      <c r="C357" s="15" t="n">
        <f aca="false">'Residual Diagnostics'!F357</f>
        <v>37.1327942024686</v>
      </c>
      <c r="D357" s="13" t="n">
        <f aca="false">C357/('Final Model'!$B$21*SQRT(1-B357))</f>
        <v>0.758200964534788</v>
      </c>
      <c r="E357" s="13" t="n">
        <f aca="false">D357*SQRT(('Final Model'!$B$24-1)/('Final Model'!$B$24-D357^2))</f>
        <v>0.758083949160314</v>
      </c>
      <c r="F357" s="23" t="n">
        <f aca="false">D357^2/($P$3+1)*B357/(1-B357)</f>
        <v>0.000167804852085203</v>
      </c>
      <c r="G357" s="13" t="n">
        <f aca="false">($P$2-1)*(B357-1/$P$2)</f>
        <v>2.22745147415361</v>
      </c>
      <c r="H357" s="13" t="n">
        <f aca="false">E357*SQRT(B357/(1-B357))</f>
        <v>0.0366336523381389</v>
      </c>
      <c r="I357" s="13" t="n">
        <f aca="false">ABS(D357)</f>
        <v>0.758200964534788</v>
      </c>
      <c r="J357" s="6" t="n">
        <f aca="false">IF(B357&gt;$P$4,1,0)</f>
        <v>0</v>
      </c>
      <c r="K357" s="6" t="n">
        <f aca="false">IF(F357&gt;$P$6,1,0)</f>
        <v>0</v>
      </c>
      <c r="L357" s="6" t="n">
        <f aca="false">IF(G357&gt;$P$9,1,0)</f>
        <v>0</v>
      </c>
      <c r="M357" s="6" t="n">
        <f aca="false">IF(ABS(H357)&gt;$P$8,1,0)</f>
        <v>0</v>
      </c>
    </row>
    <row r="358" customFormat="false" ht="15" hidden="false" customHeight="false" outlineLevel="0" collapsed="false">
      <c r="A358" s="0" t="n">
        <f aca="false">ROW()-1</f>
        <v>357</v>
      </c>
      <c r="B358" s="22" t="n">
        <f aca="false">SUMPRODUCT(MMULT('Analysis Data'!N358:U358,'Final Model'!$B$59:$I$66),'Analysis Data'!N358:U358)</f>
        <v>0.00334847164465055</v>
      </c>
      <c r="C358" s="15" t="n">
        <f aca="false">'Residual Diagnostics'!F358</f>
        <v>20.6822198294637</v>
      </c>
      <c r="D358" s="13" t="n">
        <f aca="false">C358/('Final Model'!$B$21*SQRT(1-B358))</f>
        <v>0.4225184618972</v>
      </c>
      <c r="E358" s="13" t="n">
        <f aca="false">D358*SQRT(('Final Model'!$B$24-1)/('Final Model'!$B$24-D358^2))</f>
        <v>0.422392487146436</v>
      </c>
      <c r="F358" s="23" t="n">
        <f aca="false">D358^2/($P$3+1)*B358/(1-B358)</f>
        <v>7.49729641987214E-005</v>
      </c>
      <c r="G358" s="13" t="n">
        <f aca="false">($P$2-1)*(B358-1/$P$2)</f>
        <v>3.63835472856251</v>
      </c>
      <c r="H358" s="13" t="n">
        <f aca="false">E358*SQRT(B358/(1-B358))</f>
        <v>0.0244831802142835</v>
      </c>
      <c r="I358" s="13" t="n">
        <f aca="false">ABS(D358)</f>
        <v>0.4225184618972</v>
      </c>
      <c r="J358" s="6" t="n">
        <f aca="false">IF(B358&gt;$P$4,1,0)</f>
        <v>0</v>
      </c>
      <c r="K358" s="6" t="n">
        <f aca="false">IF(F358&gt;$P$6,1,0)</f>
        <v>0</v>
      </c>
      <c r="L358" s="6" t="n">
        <f aca="false">IF(G358&gt;$P$9,1,0)</f>
        <v>0</v>
      </c>
      <c r="M358" s="6" t="n">
        <f aca="false">IF(ABS(H358)&gt;$P$8,1,0)</f>
        <v>0</v>
      </c>
    </row>
    <row r="359" customFormat="false" ht="15" hidden="false" customHeight="false" outlineLevel="0" collapsed="false">
      <c r="A359" s="0" t="n">
        <f aca="false">ROW()-1</f>
        <v>358</v>
      </c>
      <c r="B359" s="22" t="n">
        <f aca="false">SUMPRODUCT(MMULT('Analysis Data'!N359:U359,'Final Model'!$B$59:$I$66),'Analysis Data'!N359:U359)</f>
        <v>0.00208941407668419</v>
      </c>
      <c r="C359" s="15" t="n">
        <f aca="false">'Residual Diagnostics'!F359</f>
        <v>-19.8730273644539</v>
      </c>
      <c r="D359" s="13" t="n">
        <f aca="false">C359/('Final Model'!$B$21*SQRT(1-B359))</f>
        <v>-0.405731217796809</v>
      </c>
      <c r="E359" s="13" t="n">
        <f aca="false">D359*SQRT(('Final Model'!$B$24-1)/('Final Model'!$B$24-D359^2))</f>
        <v>-0.405608201642739</v>
      </c>
      <c r="F359" s="23" t="n">
        <f aca="false">D359^2/($P$3+1)*B359/(1-B359)</f>
        <v>4.30843701731155E-005</v>
      </c>
      <c r="G359" s="13" t="n">
        <f aca="false">($P$2-1)*(B359-1/$P$2)</f>
        <v>1.89455999692911</v>
      </c>
      <c r="H359" s="13" t="n">
        <f aca="false">E359*SQRT(B359/(1-B359))</f>
        <v>-0.0185597948482485</v>
      </c>
      <c r="I359" s="13" t="n">
        <f aca="false">ABS(D359)</f>
        <v>0.405731217796809</v>
      </c>
      <c r="J359" s="6" t="n">
        <f aca="false">IF(B359&gt;$P$4,1,0)</f>
        <v>0</v>
      </c>
      <c r="K359" s="6" t="n">
        <f aca="false">IF(F359&gt;$P$6,1,0)</f>
        <v>0</v>
      </c>
      <c r="L359" s="6" t="n">
        <f aca="false">IF(G359&gt;$P$9,1,0)</f>
        <v>0</v>
      </c>
      <c r="M359" s="6" t="n">
        <f aca="false">IF(ABS(H359)&gt;$P$8,1,0)</f>
        <v>0</v>
      </c>
    </row>
    <row r="360" customFormat="false" ht="15" hidden="false" customHeight="false" outlineLevel="0" collapsed="false">
      <c r="A360" s="0" t="n">
        <f aca="false">ROW()-1</f>
        <v>359</v>
      </c>
      <c r="B360" s="22" t="n">
        <f aca="false">SUMPRODUCT(MMULT('Analysis Data'!N360:U360,'Final Model'!$B$59:$I$66),'Analysis Data'!N360:U360)</f>
        <v>0.0140807033453972</v>
      </c>
      <c r="C360" s="15" t="n">
        <f aca="false">'Residual Diagnostics'!F360</f>
        <v>53.9819998751888</v>
      </c>
      <c r="D360" s="13" t="n">
        <f aca="false">C360/('Final Model'!$B$21*SQRT(1-B360))</f>
        <v>1.10878794424636</v>
      </c>
      <c r="E360" s="13" t="n">
        <f aca="false">D360*SQRT(('Final Model'!$B$24-1)/('Final Model'!$B$24-D360^2))</f>
        <v>1.10888031883327</v>
      </c>
      <c r="F360" s="23" t="n">
        <f aca="false">D360^2/($P$3+1)*B360/(1-B360)</f>
        <v>0.00219477490320575</v>
      </c>
      <c r="G360" s="13" t="n">
        <f aca="false">($P$2-1)*(B360-1/$P$2)</f>
        <v>18.5024956340967</v>
      </c>
      <c r="H360" s="13" t="n">
        <f aca="false">E360*SQRT(B360/(1-B360))</f>
        <v>0.132518394726965</v>
      </c>
      <c r="I360" s="13" t="n">
        <f aca="false">ABS(D360)</f>
        <v>1.10878794424636</v>
      </c>
      <c r="J360" s="6" t="n">
        <f aca="false">IF(B360&gt;$P$4,1,0)</f>
        <v>1</v>
      </c>
      <c r="K360" s="6" t="n">
        <f aca="false">IF(F360&gt;$P$6,1,0)</f>
        <v>0</v>
      </c>
      <c r="L360" s="6" t="n">
        <f aca="false">IF(G360&gt;$P$9,1,0)</f>
        <v>1</v>
      </c>
      <c r="M360" s="6" t="n">
        <f aca="false">IF(ABS(H360)&gt;$P$8,1,0)</f>
        <v>0</v>
      </c>
    </row>
    <row r="361" customFormat="false" ht="15" hidden="false" customHeight="false" outlineLevel="0" collapsed="false">
      <c r="A361" s="0" t="n">
        <f aca="false">ROW()-1</f>
        <v>360</v>
      </c>
      <c r="B361" s="22" t="n">
        <f aca="false">SUMPRODUCT(MMULT('Analysis Data'!N361:U361,'Final Model'!$B$59:$I$66),'Analysis Data'!N361:U361)</f>
        <v>0.00508220857238634</v>
      </c>
      <c r="C361" s="15" t="n">
        <f aca="false">'Residual Diagnostics'!F361</f>
        <v>6.86257291693119</v>
      </c>
      <c r="D361" s="13" t="n">
        <f aca="false">C361/('Final Model'!$B$21*SQRT(1-B361))</f>
        <v>0.140318063426465</v>
      </c>
      <c r="E361" s="13" t="n">
        <f aca="false">D361*SQRT(('Final Model'!$B$24-1)/('Final Model'!$B$24-D361^2))</f>
        <v>0.140268142614461</v>
      </c>
      <c r="F361" s="23" t="n">
        <f aca="false">D361^2/($P$3+1)*B361/(1-B361)</f>
        <v>1.2571944778698E-005</v>
      </c>
      <c r="G361" s="13" t="n">
        <f aca="false">($P$2-1)*(B361-1/$P$2)</f>
        <v>6.03958037347658</v>
      </c>
      <c r="H361" s="13" t="n">
        <f aca="false">E361*SQRT(B361/(1-B361))</f>
        <v>0.0100251687085731</v>
      </c>
      <c r="I361" s="13" t="n">
        <f aca="false">ABS(D361)</f>
        <v>0.140318063426465</v>
      </c>
      <c r="J361" s="6" t="n">
        <f aca="false">IF(B361&gt;$P$4,1,0)</f>
        <v>0</v>
      </c>
      <c r="K361" s="6" t="n">
        <f aca="false">IF(F361&gt;$P$6,1,0)</f>
        <v>0</v>
      </c>
      <c r="L361" s="6" t="n">
        <f aca="false">IF(G361&gt;$P$9,1,0)</f>
        <v>0</v>
      </c>
      <c r="M361" s="6" t="n">
        <f aca="false">IF(ABS(H361)&gt;$P$8,1,0)</f>
        <v>0</v>
      </c>
    </row>
    <row r="362" customFormat="false" ht="15" hidden="false" customHeight="false" outlineLevel="0" collapsed="false">
      <c r="A362" s="0" t="n">
        <f aca="false">ROW()-1</f>
        <v>361</v>
      </c>
      <c r="B362" s="22" t="n">
        <f aca="false">SUMPRODUCT(MMULT('Analysis Data'!N362:U362,'Final Model'!$B$59:$I$66),'Analysis Data'!N362:U362)</f>
        <v>0.0166009292282109</v>
      </c>
      <c r="C362" s="15" t="n">
        <f aca="false">'Residual Diagnostics'!F362</f>
        <v>43.4739730116845</v>
      </c>
      <c r="D362" s="13" t="n">
        <f aca="false">C362/('Final Model'!$B$21*SQRT(1-B362))</f>
        <v>0.894097011856863</v>
      </c>
      <c r="E362" s="13" t="n">
        <f aca="false">D362*SQRT(('Final Model'!$B$24-1)/('Final Model'!$B$24-D362^2))</f>
        <v>0.89403189645946</v>
      </c>
      <c r="F362" s="23" t="n">
        <f aca="false">D362^2/($P$3+1)*B362/(1-B362)</f>
        <v>0.00168687112562069</v>
      </c>
      <c r="G362" s="13" t="n">
        <f aca="false">($P$2-1)*(B362-1/$P$2)</f>
        <v>21.9930084817936</v>
      </c>
      <c r="H362" s="13" t="n">
        <f aca="false">E362*SQRT(B362/(1-B362))</f>
        <v>0.116159388128171</v>
      </c>
      <c r="I362" s="13" t="n">
        <f aca="false">ABS(D362)</f>
        <v>0.894097011856863</v>
      </c>
      <c r="J362" s="6" t="n">
        <f aca="false">IF(B362&gt;$P$4,1,0)</f>
        <v>1</v>
      </c>
      <c r="K362" s="6" t="n">
        <f aca="false">IF(F362&gt;$P$6,1,0)</f>
        <v>0</v>
      </c>
      <c r="L362" s="6" t="n">
        <f aca="false">IF(G362&gt;$P$9,1,0)</f>
        <v>1</v>
      </c>
      <c r="M362" s="6" t="n">
        <f aca="false">IF(ABS(H362)&gt;$P$8,1,0)</f>
        <v>0</v>
      </c>
    </row>
    <row r="363" customFormat="false" ht="15" hidden="false" customHeight="false" outlineLevel="0" collapsed="false">
      <c r="A363" s="0" t="n">
        <f aca="false">ROW()-1</f>
        <v>362</v>
      </c>
      <c r="B363" s="22" t="n">
        <f aca="false">SUMPRODUCT(MMULT('Analysis Data'!N363:U363,'Final Model'!$B$59:$I$66),'Analysis Data'!N363:U363)</f>
        <v>0.00593741150688516</v>
      </c>
      <c r="C363" s="15" t="n">
        <f aca="false">'Residual Diagnostics'!F363</f>
        <v>24.7064620456485</v>
      </c>
      <c r="D363" s="13" t="n">
        <f aca="false">C363/('Final Model'!$B$21*SQRT(1-B363))</f>
        <v>0.505386809991564</v>
      </c>
      <c r="E363" s="13" t="n">
        <f aca="false">D363*SQRT(('Final Model'!$B$24-1)/('Final Model'!$B$24-D363^2))</f>
        <v>0.505250226665565</v>
      </c>
      <c r="F363" s="23" t="n">
        <f aca="false">D363^2/($P$3+1)*B363/(1-B363)</f>
        <v>0.000190695849041719</v>
      </c>
      <c r="G363" s="13" t="n">
        <f aca="false">($P$2-1)*(B363-1/$P$2)</f>
        <v>7.22403643775744</v>
      </c>
      <c r="H363" s="13" t="n">
        <f aca="false">E363*SQRT(B363/(1-B363))</f>
        <v>0.039047948980303</v>
      </c>
      <c r="I363" s="13" t="n">
        <f aca="false">ABS(D363)</f>
        <v>0.505386809991564</v>
      </c>
      <c r="J363" s="6" t="n">
        <f aca="false">IF(B363&gt;$P$4,1,0)</f>
        <v>0</v>
      </c>
      <c r="K363" s="6" t="n">
        <f aca="false">IF(F363&gt;$P$6,1,0)</f>
        <v>0</v>
      </c>
      <c r="L363" s="6" t="n">
        <f aca="false">IF(G363&gt;$P$9,1,0)</f>
        <v>0</v>
      </c>
      <c r="M363" s="6" t="n">
        <f aca="false">IF(ABS(H363)&gt;$P$8,1,0)</f>
        <v>0</v>
      </c>
    </row>
    <row r="364" customFormat="false" ht="15" hidden="false" customHeight="false" outlineLevel="0" collapsed="false">
      <c r="A364" s="0" t="n">
        <f aca="false">ROW()-1</f>
        <v>363</v>
      </c>
      <c r="B364" s="22" t="n">
        <f aca="false">SUMPRODUCT(MMULT('Analysis Data'!N364:U364,'Final Model'!$B$59:$I$66),'Analysis Data'!N364:U364)</f>
        <v>0.0156016850337632</v>
      </c>
      <c r="C364" s="15" t="n">
        <f aca="false">'Residual Diagnostics'!F364</f>
        <v>5.75620244194045</v>
      </c>
      <c r="D364" s="13" t="n">
        <f aca="false">C364/('Final Model'!$B$21*SQRT(1-B364))</f>
        <v>0.118323453627808</v>
      </c>
      <c r="E364" s="13" t="n">
        <f aca="false">D364*SQRT(('Final Model'!$B$24-1)/('Final Model'!$B$24-D364^2))</f>
        <v>0.118281113665495</v>
      </c>
      <c r="F364" s="23" t="n">
        <f aca="false">D364^2/($P$3+1)*B364/(1-B364)</f>
        <v>2.77365430837157E-005</v>
      </c>
      <c r="G364" s="13" t="n">
        <f aca="false">($P$2-1)*(B364-1/$P$2)</f>
        <v>20.6090552724835</v>
      </c>
      <c r="H364" s="13" t="n">
        <f aca="false">E364*SQRT(B364/(1-B364))</f>
        <v>0.0148907210219241</v>
      </c>
      <c r="I364" s="13" t="n">
        <f aca="false">ABS(D364)</f>
        <v>0.118323453627808</v>
      </c>
      <c r="J364" s="6" t="n">
        <f aca="false">IF(B364&gt;$P$4,1,0)</f>
        <v>1</v>
      </c>
      <c r="K364" s="6" t="n">
        <f aca="false">IF(F364&gt;$P$6,1,0)</f>
        <v>0</v>
      </c>
      <c r="L364" s="6" t="n">
        <f aca="false">IF(G364&gt;$P$9,1,0)</f>
        <v>1</v>
      </c>
      <c r="M364" s="6" t="n">
        <f aca="false">IF(ABS(H364)&gt;$P$8,1,0)</f>
        <v>0</v>
      </c>
    </row>
    <row r="365" customFormat="false" ht="15" hidden="false" customHeight="false" outlineLevel="0" collapsed="false">
      <c r="A365" s="0" t="n">
        <f aca="false">ROW()-1</f>
        <v>364</v>
      </c>
      <c r="B365" s="22" t="n">
        <f aca="false">SUMPRODUCT(MMULT('Analysis Data'!N365:U365,'Final Model'!$B$59:$I$66),'Analysis Data'!N365:U365)</f>
        <v>0.00197847825844007</v>
      </c>
      <c r="C365" s="15" t="n">
        <f aca="false">'Residual Diagnostics'!F365</f>
        <v>4.80185134475838</v>
      </c>
      <c r="D365" s="13" t="n">
        <f aca="false">C365/('Final Model'!$B$21*SQRT(1-B365))</f>
        <v>0.098029991850649</v>
      </c>
      <c r="E365" s="13" t="n">
        <f aca="false">D365*SQRT(('Final Model'!$B$24-1)/('Final Model'!$B$24-D365^2))</f>
        <v>0.0979947574298561</v>
      </c>
      <c r="F365" s="23" t="n">
        <f aca="false">D365^2/($P$3+1)*B365/(1-B365)</f>
        <v>2.38132856500603E-006</v>
      </c>
      <c r="G365" s="13" t="n">
        <f aca="false">($P$2-1)*(B365-1/$P$2)</f>
        <v>1.74091388866099</v>
      </c>
      <c r="H365" s="13" t="n">
        <f aca="false">E365*SQRT(B365/(1-B365))</f>
        <v>0.00436313378666355</v>
      </c>
      <c r="I365" s="13" t="n">
        <f aca="false">ABS(D365)</f>
        <v>0.098029991850649</v>
      </c>
      <c r="J365" s="6" t="n">
        <f aca="false">IF(B365&gt;$P$4,1,0)</f>
        <v>0</v>
      </c>
      <c r="K365" s="6" t="n">
        <f aca="false">IF(F365&gt;$P$6,1,0)</f>
        <v>0</v>
      </c>
      <c r="L365" s="6" t="n">
        <f aca="false">IF(G365&gt;$P$9,1,0)</f>
        <v>0</v>
      </c>
      <c r="M365" s="6" t="n">
        <f aca="false">IF(ABS(H365)&gt;$P$8,1,0)</f>
        <v>0</v>
      </c>
    </row>
    <row r="366" customFormat="false" ht="15" hidden="false" customHeight="false" outlineLevel="0" collapsed="false">
      <c r="A366" s="0" t="n">
        <f aca="false">ROW()-1</f>
        <v>365</v>
      </c>
      <c r="B366" s="22" t="n">
        <f aca="false">SUMPRODUCT(MMULT('Analysis Data'!N366:U366,'Final Model'!$B$59:$I$66),'Analysis Data'!N366:U366)</f>
        <v>0.00197847825844007</v>
      </c>
      <c r="C366" s="15" t="n">
        <f aca="false">'Residual Diagnostics'!F366</f>
        <v>88.1766368677096</v>
      </c>
      <c r="D366" s="13" t="n">
        <f aca="false">C366/('Final Model'!$B$21*SQRT(1-B366))</f>
        <v>1.80012965270048</v>
      </c>
      <c r="E366" s="13" t="n">
        <f aca="false">D366*SQRT(('Final Model'!$B$24-1)/('Final Model'!$B$24-D366^2))</f>
        <v>1.80159590504815</v>
      </c>
      <c r="F366" s="23" t="n">
        <f aca="false">D366^2/($P$3+1)*B366/(1-B366)</f>
        <v>0.000802987824550193</v>
      </c>
      <c r="G366" s="13" t="n">
        <f aca="false">($P$2-1)*(B366-1/$P$2)</f>
        <v>1.74091388866099</v>
      </c>
      <c r="H366" s="13" t="n">
        <f aca="false">E366*SQRT(B366/(1-B366))</f>
        <v>0.0802145356485711</v>
      </c>
      <c r="I366" s="13" t="n">
        <f aca="false">ABS(D366)</f>
        <v>1.80012965270048</v>
      </c>
      <c r="J366" s="6" t="n">
        <f aca="false">IF(B366&gt;$P$4,1,0)</f>
        <v>0</v>
      </c>
      <c r="K366" s="6" t="n">
        <f aca="false">IF(F366&gt;$P$6,1,0)</f>
        <v>0</v>
      </c>
      <c r="L366" s="6" t="n">
        <f aca="false">IF(G366&gt;$P$9,1,0)</f>
        <v>0</v>
      </c>
      <c r="M366" s="6" t="n">
        <f aca="false">IF(ABS(H366)&gt;$P$8,1,0)</f>
        <v>0</v>
      </c>
    </row>
    <row r="367" customFormat="false" ht="15" hidden="false" customHeight="false" outlineLevel="0" collapsed="false">
      <c r="A367" s="0" t="n">
        <f aca="false">ROW()-1</f>
        <v>366</v>
      </c>
      <c r="B367" s="22" t="n">
        <f aca="false">SUMPRODUCT(MMULT('Analysis Data'!N367:U367,'Final Model'!$B$59:$I$66),'Analysis Data'!N367:U367)</f>
        <v>0.00294636298658433</v>
      </c>
      <c r="C367" s="15" t="n">
        <f aca="false">'Residual Diagnostics'!F367</f>
        <v>56.834458832561</v>
      </c>
      <c r="D367" s="13" t="n">
        <f aca="false">C367/('Final Model'!$B$21*SQRT(1-B367))</f>
        <v>1.16084083484627</v>
      </c>
      <c r="E367" s="13" t="n">
        <f aca="false">D367*SQRT(('Final Model'!$B$24-1)/('Final Model'!$B$24-D367^2))</f>
        <v>1.16098735928237</v>
      </c>
      <c r="F367" s="23" t="n">
        <f aca="false">D367^2/($P$3+1)*B367/(1-B367)</f>
        <v>0.000497763554195637</v>
      </c>
      <c r="G367" s="13" t="n">
        <f aca="false">($P$2-1)*(B367-1/$P$2)</f>
        <v>3.08143423714079</v>
      </c>
      <c r="H367" s="13" t="n">
        <f aca="false">E367*SQRT(B367/(1-B367))</f>
        <v>0.0631119145785528</v>
      </c>
      <c r="I367" s="13" t="n">
        <f aca="false">ABS(D367)</f>
        <v>1.16084083484627</v>
      </c>
      <c r="J367" s="6" t="n">
        <f aca="false">IF(B367&gt;$P$4,1,0)</f>
        <v>0</v>
      </c>
      <c r="K367" s="6" t="n">
        <f aca="false">IF(F367&gt;$P$6,1,0)</f>
        <v>0</v>
      </c>
      <c r="L367" s="6" t="n">
        <f aca="false">IF(G367&gt;$P$9,1,0)</f>
        <v>0</v>
      </c>
      <c r="M367" s="6" t="n">
        <f aca="false">IF(ABS(H367)&gt;$P$8,1,0)</f>
        <v>0</v>
      </c>
    </row>
    <row r="368" customFormat="false" ht="15" hidden="false" customHeight="false" outlineLevel="0" collapsed="false">
      <c r="A368" s="0" t="n">
        <f aca="false">ROW()-1</f>
        <v>367</v>
      </c>
      <c r="B368" s="22" t="n">
        <f aca="false">SUMPRODUCT(MMULT('Analysis Data'!N368:U368,'Final Model'!$B$59:$I$66),'Analysis Data'!N368:U368)</f>
        <v>0.00222962928685014</v>
      </c>
      <c r="C368" s="15" t="n">
        <f aca="false">'Residual Diagnostics'!F368</f>
        <v>-45.9128160501144</v>
      </c>
      <c r="D368" s="13" t="n">
        <f aca="false">C368/('Final Model'!$B$21*SQRT(1-B368))</f>
        <v>-0.937429978941639</v>
      </c>
      <c r="E368" s="13" t="n">
        <f aca="false">D368*SQRT(('Final Model'!$B$24-1)/('Final Model'!$B$24-D368^2))</f>
        <v>-0.937388718056058</v>
      </c>
      <c r="F368" s="23" t="n">
        <f aca="false">D368^2/($P$3+1)*B368/(1-B368)</f>
        <v>0.000245465096098142</v>
      </c>
      <c r="G368" s="13" t="n">
        <f aca="false">($P$2-1)*(B368-1/$P$2)</f>
        <v>2.08875806300895</v>
      </c>
      <c r="H368" s="13" t="n">
        <f aca="false">E368*SQRT(B368/(1-B368))</f>
        <v>-0.0443119386469151</v>
      </c>
      <c r="I368" s="13" t="n">
        <f aca="false">ABS(D368)</f>
        <v>0.937429978941639</v>
      </c>
      <c r="J368" s="6" t="n">
        <f aca="false">IF(B368&gt;$P$4,1,0)</f>
        <v>0</v>
      </c>
      <c r="K368" s="6" t="n">
        <f aca="false">IF(F368&gt;$P$6,1,0)</f>
        <v>0</v>
      </c>
      <c r="L368" s="6" t="n">
        <f aca="false">IF(G368&gt;$P$9,1,0)</f>
        <v>0</v>
      </c>
      <c r="M368" s="6" t="n">
        <f aca="false">IF(ABS(H368)&gt;$P$8,1,0)</f>
        <v>0</v>
      </c>
    </row>
    <row r="369" customFormat="false" ht="15" hidden="false" customHeight="false" outlineLevel="0" collapsed="false">
      <c r="A369" s="0" t="n">
        <f aca="false">ROW()-1</f>
        <v>368</v>
      </c>
      <c r="B369" s="22" t="n">
        <f aca="false">SUMPRODUCT(MMULT('Analysis Data'!N369:U369,'Final Model'!$B$59:$I$66),'Analysis Data'!N369:U369)</f>
        <v>0.00269023320863554</v>
      </c>
      <c r="C369" s="15" t="n">
        <f aca="false">'Residual Diagnostics'!F369</f>
        <v>-5.88483774068868</v>
      </c>
      <c r="D369" s="13" t="n">
        <f aca="false">C369/('Final Model'!$B$21*SQRT(1-B369))</f>
        <v>-0.120182065995502</v>
      </c>
      <c r="E369" s="13" t="n">
        <f aca="false">D369*SQRT(('Final Model'!$B$24-1)/('Final Model'!$B$24-D369^2))</f>
        <v>-0.120139080285502</v>
      </c>
      <c r="F369" s="23" t="n">
        <f aca="false">D369^2/($P$3+1)*B369/(1-B369)</f>
        <v>4.8702269684763E-006</v>
      </c>
      <c r="G369" s="13" t="n">
        <f aca="false">($P$2-1)*(B369-1/$P$2)</f>
        <v>2.72669449468173</v>
      </c>
      <c r="H369" s="13" t="n">
        <f aca="false">E369*SQRT(B369/(1-B369))</f>
        <v>-0.00623970749822383</v>
      </c>
      <c r="I369" s="13" t="n">
        <f aca="false">ABS(D369)</f>
        <v>0.120182065995502</v>
      </c>
      <c r="J369" s="6" t="n">
        <f aca="false">IF(B369&gt;$P$4,1,0)</f>
        <v>0</v>
      </c>
      <c r="K369" s="6" t="n">
        <f aca="false">IF(F369&gt;$P$6,1,0)</f>
        <v>0</v>
      </c>
      <c r="L369" s="6" t="n">
        <f aca="false">IF(G369&gt;$P$9,1,0)</f>
        <v>0</v>
      </c>
      <c r="M369" s="6" t="n">
        <f aca="false">IF(ABS(H369)&gt;$P$8,1,0)</f>
        <v>0</v>
      </c>
    </row>
    <row r="370" customFormat="false" ht="15" hidden="false" customHeight="false" outlineLevel="0" collapsed="false">
      <c r="A370" s="0" t="n">
        <f aca="false">ROW()-1</f>
        <v>369</v>
      </c>
      <c r="B370" s="22" t="n">
        <f aca="false">SUMPRODUCT(MMULT('Analysis Data'!N370:U370,'Final Model'!$B$59:$I$66),'Analysis Data'!N370:U370)</f>
        <v>0.00197847825844007</v>
      </c>
      <c r="C370" s="15" t="n">
        <f aca="false">'Residual Diagnostics'!F370</f>
        <v>-33.1978432583985</v>
      </c>
      <c r="D370" s="13" t="n">
        <f aca="false">C370/('Final Model'!$B$21*SQRT(1-B370))</f>
        <v>-0.677735329652045</v>
      </c>
      <c r="E370" s="13" t="n">
        <f aca="false">D370*SQRT(('Final Model'!$B$24-1)/('Final Model'!$B$24-D370^2))</f>
        <v>-0.677602313473707</v>
      </c>
      <c r="F370" s="23" t="n">
        <f aca="false">D370^2/($P$3+1)*B370/(1-B370)</f>
        <v>0.000113820801526742</v>
      </c>
      <c r="G370" s="13" t="n">
        <f aca="false">($P$2-1)*(B370-1/$P$2)</f>
        <v>1.74091388866099</v>
      </c>
      <c r="H370" s="13" t="n">
        <f aca="false">E370*SQRT(B370/(1-B370))</f>
        <v>-0.030169670555639</v>
      </c>
      <c r="I370" s="13" t="n">
        <f aca="false">ABS(D370)</f>
        <v>0.677735329652045</v>
      </c>
      <c r="J370" s="6" t="n">
        <f aca="false">IF(B370&gt;$P$4,1,0)</f>
        <v>0</v>
      </c>
      <c r="K370" s="6" t="n">
        <f aca="false">IF(F370&gt;$P$6,1,0)</f>
        <v>0</v>
      </c>
      <c r="L370" s="6" t="n">
        <f aca="false">IF(G370&gt;$P$9,1,0)</f>
        <v>0</v>
      </c>
      <c r="M370" s="6" t="n">
        <f aca="false">IF(ABS(H370)&gt;$P$8,1,0)</f>
        <v>0</v>
      </c>
    </row>
    <row r="371" customFormat="false" ht="15" hidden="false" customHeight="false" outlineLevel="0" collapsed="false">
      <c r="A371" s="0" t="n">
        <f aca="false">ROW()-1</f>
        <v>370</v>
      </c>
      <c r="B371" s="22" t="n">
        <f aca="false">SUMPRODUCT(MMULT('Analysis Data'!N371:U371,'Final Model'!$B$59:$I$66),'Analysis Data'!N371:U371)</f>
        <v>0.0130520157406009</v>
      </c>
      <c r="C371" s="15" t="n">
        <f aca="false">'Residual Diagnostics'!F371</f>
        <v>10.0327954480895</v>
      </c>
      <c r="D371" s="13" t="n">
        <f aca="false">C371/('Final Model'!$B$21*SQRT(1-B371))</f>
        <v>0.205965762695429</v>
      </c>
      <c r="E371" s="13" t="n">
        <f aca="false">D371*SQRT(('Final Model'!$B$24-1)/('Final Model'!$B$24-D371^2))</f>
        <v>0.205894184809268</v>
      </c>
      <c r="F371" s="23" t="n">
        <f aca="false">D371^2/($P$3+1)*B371/(1-B371)</f>
        <v>7.01267006180899E-005</v>
      </c>
      <c r="G371" s="13" t="n">
        <f aca="false">($P$2-1)*(B371-1/$P$2)</f>
        <v>17.0777633014537</v>
      </c>
      <c r="H371" s="13" t="n">
        <f aca="false">E371*SQRT(B371/(1-B371))</f>
        <v>0.0236774944237092</v>
      </c>
      <c r="I371" s="13" t="n">
        <f aca="false">ABS(D371)</f>
        <v>0.205965762695429</v>
      </c>
      <c r="J371" s="6" t="n">
        <f aca="false">IF(B371&gt;$P$4,1,0)</f>
        <v>1</v>
      </c>
      <c r="K371" s="6" t="n">
        <f aca="false">IF(F371&gt;$P$6,1,0)</f>
        <v>0</v>
      </c>
      <c r="L371" s="6" t="n">
        <f aca="false">IF(G371&gt;$P$9,1,0)</f>
        <v>1</v>
      </c>
      <c r="M371" s="6" t="n">
        <f aca="false">IF(ABS(H371)&gt;$P$8,1,0)</f>
        <v>0</v>
      </c>
    </row>
    <row r="372" customFormat="false" ht="15" hidden="false" customHeight="false" outlineLevel="0" collapsed="false">
      <c r="A372" s="0" t="n">
        <f aca="false">ROW()-1</f>
        <v>371</v>
      </c>
      <c r="B372" s="22" t="n">
        <f aca="false">SUMPRODUCT(MMULT('Analysis Data'!N372:U372,'Final Model'!$B$59:$I$66),'Analysis Data'!N372:U372)</f>
        <v>0.00559932213989853</v>
      </c>
      <c r="C372" s="15" t="n">
        <f aca="false">'Residual Diagnostics'!F372</f>
        <v>-46.1581527438876</v>
      </c>
      <c r="D372" s="13" t="n">
        <f aca="false">C372/('Final Model'!$B$21*SQRT(1-B372))</f>
        <v>-0.944034623733349</v>
      </c>
      <c r="E372" s="13" t="n">
        <f aca="false">D372*SQRT(('Final Model'!$B$24-1)/('Final Model'!$B$24-D372^2))</f>
        <v>-0.943997331218116</v>
      </c>
      <c r="F372" s="23" t="n">
        <f aca="false">D372^2/($P$3+1)*B372/(1-B372)</f>
        <v>0.000627277776173696</v>
      </c>
      <c r="G372" s="13" t="n">
        <f aca="false">($P$2-1)*(B372-1/$P$2)</f>
        <v>6.75578266448097</v>
      </c>
      <c r="H372" s="13" t="n">
        <f aca="false">E372*SQRT(B372/(1-B372))</f>
        <v>-0.0708366130204047</v>
      </c>
      <c r="I372" s="13" t="n">
        <f aca="false">ABS(D372)</f>
        <v>0.944034623733349</v>
      </c>
      <c r="J372" s="6" t="n">
        <f aca="false">IF(B372&gt;$P$4,1,0)</f>
        <v>0</v>
      </c>
      <c r="K372" s="6" t="n">
        <f aca="false">IF(F372&gt;$P$6,1,0)</f>
        <v>0</v>
      </c>
      <c r="L372" s="6" t="n">
        <f aca="false">IF(G372&gt;$P$9,1,0)</f>
        <v>0</v>
      </c>
      <c r="M372" s="6" t="n">
        <f aca="false">IF(ABS(H372)&gt;$P$8,1,0)</f>
        <v>0</v>
      </c>
    </row>
    <row r="373" customFormat="false" ht="15" hidden="false" customHeight="false" outlineLevel="0" collapsed="false">
      <c r="A373" s="0" t="n">
        <f aca="false">ROW()-1</f>
        <v>372</v>
      </c>
      <c r="B373" s="22" t="n">
        <f aca="false">SUMPRODUCT(MMULT('Analysis Data'!N373:U373,'Final Model'!$B$59:$I$66),'Analysis Data'!N373:U373)</f>
        <v>0.00520454550699415</v>
      </c>
      <c r="C373" s="15" t="n">
        <f aca="false">'Residual Diagnostics'!F373</f>
        <v>57.1036705002975</v>
      </c>
      <c r="D373" s="13" t="n">
        <f aca="false">C373/('Final Model'!$B$21*SQRT(1-B373))</f>
        <v>1.16766251205582</v>
      </c>
      <c r="E373" s="13" t="n">
        <f aca="false">D373*SQRT(('Final Model'!$B$24-1)/('Final Model'!$B$24-D373^2))</f>
        <v>1.16781663490042</v>
      </c>
      <c r="F373" s="23" t="n">
        <f aca="false">D373^2/($P$3+1)*B373/(1-B373)</f>
        <v>0.000891648546111514</v>
      </c>
      <c r="G373" s="13" t="n">
        <f aca="false">($P$2-1)*(B373-1/$P$2)</f>
        <v>6.2090170279084</v>
      </c>
      <c r="H373" s="13" t="n">
        <f aca="false">E373*SQRT(B373/(1-B373))</f>
        <v>0.0844693527247424</v>
      </c>
      <c r="I373" s="13" t="n">
        <f aca="false">ABS(D373)</f>
        <v>1.16766251205582</v>
      </c>
      <c r="J373" s="6" t="n">
        <f aca="false">IF(B373&gt;$P$4,1,0)</f>
        <v>0</v>
      </c>
      <c r="K373" s="6" t="n">
        <f aca="false">IF(F373&gt;$P$6,1,0)</f>
        <v>0</v>
      </c>
      <c r="L373" s="6" t="n">
        <f aca="false">IF(G373&gt;$P$9,1,0)</f>
        <v>0</v>
      </c>
      <c r="M373" s="6" t="n">
        <f aca="false">IF(ABS(H373)&gt;$P$8,1,0)</f>
        <v>0</v>
      </c>
    </row>
    <row r="374" customFormat="false" ht="15" hidden="false" customHeight="false" outlineLevel="0" collapsed="false">
      <c r="A374" s="0" t="n">
        <f aca="false">ROW()-1</f>
        <v>373</v>
      </c>
      <c r="B374" s="22" t="n">
        <f aca="false">SUMPRODUCT(MMULT('Analysis Data'!N374:U374,'Final Model'!$B$59:$I$66),'Analysis Data'!N374:U374)</f>
        <v>0.00534696541134178</v>
      </c>
      <c r="C374" s="15" t="n">
        <f aca="false">'Residual Diagnostics'!F374</f>
        <v>-80.9174702682616</v>
      </c>
      <c r="D374" s="13" t="n">
        <f aca="false">C374/('Final Model'!$B$21*SQRT(1-B374))</f>
        <v>-1.65472831998134</v>
      </c>
      <c r="E374" s="13" t="n">
        <f aca="false">D374*SQRT(('Final Model'!$B$24-1)/('Final Model'!$B$24-D374^2))</f>
        <v>-1.65577365465018</v>
      </c>
      <c r="F374" s="23" t="n">
        <f aca="false">D374^2/($P$3+1)*B374/(1-B374)</f>
        <v>0.00183992099564035</v>
      </c>
      <c r="G374" s="13" t="n">
        <f aca="false">($P$2-1)*(B374-1/$P$2)</f>
        <v>6.40626859542987</v>
      </c>
      <c r="H374" s="13" t="n">
        <f aca="false">E374*SQRT(B374/(1-B374))</f>
        <v>-0.121400045510809</v>
      </c>
      <c r="I374" s="13" t="n">
        <f aca="false">ABS(D374)</f>
        <v>1.65472831998134</v>
      </c>
      <c r="J374" s="6" t="n">
        <f aca="false">IF(B374&gt;$P$4,1,0)</f>
        <v>0</v>
      </c>
      <c r="K374" s="6" t="n">
        <f aca="false">IF(F374&gt;$P$6,1,0)</f>
        <v>0</v>
      </c>
      <c r="L374" s="6" t="n">
        <f aca="false">IF(G374&gt;$P$9,1,0)</f>
        <v>0</v>
      </c>
      <c r="M374" s="6" t="n">
        <f aca="false">IF(ABS(H374)&gt;$P$8,1,0)</f>
        <v>0</v>
      </c>
    </row>
    <row r="375" customFormat="false" ht="15" hidden="false" customHeight="false" outlineLevel="0" collapsed="false">
      <c r="A375" s="0" t="n">
        <f aca="false">ROW()-1</f>
        <v>374</v>
      </c>
      <c r="B375" s="22" t="n">
        <f aca="false">SUMPRODUCT(MMULT('Analysis Data'!N375:U375,'Final Model'!$B$59:$I$66),'Analysis Data'!N375:U375)</f>
        <v>0.0107933584884166</v>
      </c>
      <c r="C375" s="15" t="n">
        <f aca="false">'Residual Diagnostics'!F375</f>
        <v>50.378608020105</v>
      </c>
      <c r="D375" s="13" t="n">
        <f aca="false">C375/('Final Model'!$B$21*SQRT(1-B375))</f>
        <v>1.03305361226004</v>
      </c>
      <c r="E375" s="13" t="n">
        <f aca="false">D375*SQRT(('Final Model'!$B$24-1)/('Final Model'!$B$24-D375^2))</f>
        <v>1.03307882050325</v>
      </c>
      <c r="F375" s="23" t="n">
        <f aca="false">D375^2/($P$3+1)*B375/(1-B375)</f>
        <v>0.00145554391363948</v>
      </c>
      <c r="G375" s="13" t="n">
        <f aca="false">($P$2-1)*(B375-1/$P$2)</f>
        <v>13.9495230071785</v>
      </c>
      <c r="H375" s="13" t="n">
        <f aca="false">E375*SQRT(B375/(1-B375))</f>
        <v>0.107911628657471</v>
      </c>
      <c r="I375" s="13" t="n">
        <f aca="false">ABS(D375)</f>
        <v>1.03305361226004</v>
      </c>
      <c r="J375" s="6" t="n">
        <f aca="false">IF(B375&gt;$P$4,1,0)</f>
        <v>0</v>
      </c>
      <c r="K375" s="6" t="n">
        <f aca="false">IF(F375&gt;$P$6,1,0)</f>
        <v>0</v>
      </c>
      <c r="L375" s="6" t="n">
        <f aca="false">IF(G375&gt;$P$9,1,0)</f>
        <v>1</v>
      </c>
      <c r="M375" s="6" t="n">
        <f aca="false">IF(ABS(H375)&gt;$P$8,1,0)</f>
        <v>0</v>
      </c>
    </row>
    <row r="376" customFormat="false" ht="15" hidden="false" customHeight="false" outlineLevel="0" collapsed="false">
      <c r="A376" s="0" t="n">
        <f aca="false">ROW()-1</f>
        <v>375</v>
      </c>
      <c r="B376" s="22" t="n">
        <f aca="false">SUMPRODUCT(MMULT('Analysis Data'!N376:U376,'Final Model'!$B$59:$I$66),'Analysis Data'!N376:U376)</f>
        <v>0.00221688059806092</v>
      </c>
      <c r="C376" s="15" t="n">
        <f aca="false">'Residual Diagnostics'!F376</f>
        <v>-77.9063618789098</v>
      </c>
      <c r="D376" s="13" t="n">
        <f aca="false">C376/('Final Model'!$B$21*SQRT(1-B376))</f>
        <v>-1.5906515629636</v>
      </c>
      <c r="E376" s="13" t="n">
        <f aca="false">D376*SQRT(('Final Model'!$B$24-1)/('Final Model'!$B$24-D376^2))</f>
        <v>-1.59153609510936</v>
      </c>
      <c r="F376" s="23" t="n">
        <f aca="false">D376^2/($P$3+1)*B376/(1-B376)</f>
        <v>0.0007026940502676</v>
      </c>
      <c r="G376" s="13" t="n">
        <f aca="false">($P$2-1)*(B376-1/$P$2)</f>
        <v>2.07110112903587</v>
      </c>
      <c r="H376" s="13" t="n">
        <f aca="false">E376*SQRT(B376/(1-B376))</f>
        <v>-0.0750187058322561</v>
      </c>
      <c r="I376" s="13" t="n">
        <f aca="false">ABS(D376)</f>
        <v>1.5906515629636</v>
      </c>
      <c r="J376" s="6" t="n">
        <f aca="false">IF(B376&gt;$P$4,1,0)</f>
        <v>0</v>
      </c>
      <c r="K376" s="6" t="n">
        <f aca="false">IF(F376&gt;$P$6,1,0)</f>
        <v>0</v>
      </c>
      <c r="L376" s="6" t="n">
        <f aca="false">IF(G376&gt;$P$9,1,0)</f>
        <v>0</v>
      </c>
      <c r="M376" s="6" t="n">
        <f aca="false">IF(ABS(H376)&gt;$P$8,1,0)</f>
        <v>0</v>
      </c>
    </row>
    <row r="377" customFormat="false" ht="15" hidden="false" customHeight="false" outlineLevel="0" collapsed="false">
      <c r="A377" s="0" t="n">
        <f aca="false">ROW()-1</f>
        <v>376</v>
      </c>
      <c r="B377" s="22" t="n">
        <f aca="false">SUMPRODUCT(MMULT('Analysis Data'!N377:U377,'Final Model'!$B$59:$I$66),'Analysis Data'!N377:U377)</f>
        <v>0.00324990242261724</v>
      </c>
      <c r="C377" s="15" t="n">
        <f aca="false">'Residual Diagnostics'!F377</f>
        <v>72.5755752204202</v>
      </c>
      <c r="D377" s="13" t="n">
        <f aca="false">C377/('Final Model'!$B$21*SQRT(1-B377))</f>
        <v>1.48257800237435</v>
      </c>
      <c r="E377" s="13" t="n">
        <f aca="false">D377*SQRT(('Final Model'!$B$24-1)/('Final Model'!$B$24-D377^2))</f>
        <v>1.48322337054417</v>
      </c>
      <c r="F377" s="23" t="n">
        <f aca="false">D377^2/($P$3+1)*B377/(1-B377)</f>
        <v>0.000895837321870661</v>
      </c>
      <c r="G377" s="13" t="n">
        <f aca="false">($P$2-1)*(B377-1/$P$2)</f>
        <v>3.50183635604638</v>
      </c>
      <c r="H377" s="13" t="n">
        <f aca="false">E377*SQRT(B377/(1-B377))</f>
        <v>0.0846932068098957</v>
      </c>
      <c r="I377" s="13" t="n">
        <f aca="false">ABS(D377)</f>
        <v>1.48257800237435</v>
      </c>
      <c r="J377" s="6" t="n">
        <f aca="false">IF(B377&gt;$P$4,1,0)</f>
        <v>0</v>
      </c>
      <c r="K377" s="6" t="n">
        <f aca="false">IF(F377&gt;$P$6,1,0)</f>
        <v>0</v>
      </c>
      <c r="L377" s="6" t="n">
        <f aca="false">IF(G377&gt;$P$9,1,0)</f>
        <v>0</v>
      </c>
      <c r="M377" s="6" t="n">
        <f aca="false">IF(ABS(H377)&gt;$P$8,1,0)</f>
        <v>0</v>
      </c>
    </row>
    <row r="378" customFormat="false" ht="15" hidden="false" customHeight="false" outlineLevel="0" collapsed="false">
      <c r="A378" s="0" t="n">
        <f aca="false">ROW()-1</f>
        <v>377</v>
      </c>
      <c r="B378" s="22" t="n">
        <f aca="false">SUMPRODUCT(MMULT('Analysis Data'!N378:U378,'Final Model'!$B$59:$I$66),'Analysis Data'!N378:U378)</f>
        <v>0.0020099820962087</v>
      </c>
      <c r="C378" s="15" t="n">
        <f aca="false">'Residual Diagnostics'!F378</f>
        <v>-6.18779653333337</v>
      </c>
      <c r="D378" s="13" t="n">
        <f aca="false">C378/('Final Model'!$B$21*SQRT(1-B378))</f>
        <v>-0.126326113472373</v>
      </c>
      <c r="E378" s="13" t="n">
        <f aca="false">D378*SQRT(('Final Model'!$B$24-1)/('Final Model'!$B$24-D378^2))</f>
        <v>-0.126280999609561</v>
      </c>
      <c r="F378" s="23" t="n">
        <f aca="false">D378^2/($P$3+1)*B378/(1-B378)</f>
        <v>4.01755910257675E-006</v>
      </c>
      <c r="G378" s="13" t="n">
        <f aca="false">($P$2-1)*(B378-1/$P$2)</f>
        <v>1.78454670397055</v>
      </c>
      <c r="H378" s="13" t="n">
        <f aca="false">E378*SQRT(B378/(1-B378))</f>
        <v>-0.00566723219617041</v>
      </c>
      <c r="I378" s="13" t="n">
        <f aca="false">ABS(D378)</f>
        <v>0.126326113472373</v>
      </c>
      <c r="J378" s="6" t="n">
        <f aca="false">IF(B378&gt;$P$4,1,0)</f>
        <v>0</v>
      </c>
      <c r="K378" s="6" t="n">
        <f aca="false">IF(F378&gt;$P$6,1,0)</f>
        <v>0</v>
      </c>
      <c r="L378" s="6" t="n">
        <f aca="false">IF(G378&gt;$P$9,1,0)</f>
        <v>0</v>
      </c>
      <c r="M378" s="6" t="n">
        <f aca="false">IF(ABS(H378)&gt;$P$8,1,0)</f>
        <v>0</v>
      </c>
    </row>
    <row r="379" customFormat="false" ht="15" hidden="false" customHeight="false" outlineLevel="0" collapsed="false">
      <c r="A379" s="0" t="n">
        <f aca="false">ROW()-1</f>
        <v>378</v>
      </c>
      <c r="B379" s="22" t="n">
        <f aca="false">SUMPRODUCT(MMULT('Analysis Data'!N379:U379,'Final Model'!$B$59:$I$66),'Analysis Data'!N379:U379)</f>
        <v>0.0020099820962087</v>
      </c>
      <c r="C379" s="15" t="n">
        <f aca="false">'Residual Diagnostics'!F379</f>
        <v>71.1133448245693</v>
      </c>
      <c r="D379" s="13" t="n">
        <f aca="false">C379/('Final Model'!$B$21*SQRT(1-B379))</f>
        <v>1.45180476108336</v>
      </c>
      <c r="E379" s="13" t="n">
        <f aca="false">D379*SQRT(('Final Model'!$B$24-1)/('Final Model'!$B$24-D379^2))</f>
        <v>1.45238907077884</v>
      </c>
      <c r="F379" s="23" t="n">
        <f aca="false">D379^2/($P$3+1)*B379/(1-B379)</f>
        <v>0.0005306307787108</v>
      </c>
      <c r="G379" s="13" t="n">
        <f aca="false">($P$2-1)*(B379-1/$P$2)</f>
        <v>1.78454670397055</v>
      </c>
      <c r="H379" s="13" t="n">
        <f aca="false">E379*SQRT(B379/(1-B379))</f>
        <v>0.0651802419107612</v>
      </c>
      <c r="I379" s="13" t="n">
        <f aca="false">ABS(D379)</f>
        <v>1.45180476108336</v>
      </c>
      <c r="J379" s="6" t="n">
        <f aca="false">IF(B379&gt;$P$4,1,0)</f>
        <v>0</v>
      </c>
      <c r="K379" s="6" t="n">
        <f aca="false">IF(F379&gt;$P$6,1,0)</f>
        <v>0</v>
      </c>
      <c r="L379" s="6" t="n">
        <f aca="false">IF(G379&gt;$P$9,1,0)</f>
        <v>0</v>
      </c>
      <c r="M379" s="6" t="n">
        <f aca="false">IF(ABS(H379)&gt;$P$8,1,0)</f>
        <v>0</v>
      </c>
    </row>
    <row r="380" customFormat="false" ht="15" hidden="false" customHeight="false" outlineLevel="0" collapsed="false">
      <c r="A380" s="0" t="n">
        <f aca="false">ROW()-1</f>
        <v>379</v>
      </c>
      <c r="B380" s="22" t="n">
        <f aca="false">SUMPRODUCT(MMULT('Analysis Data'!N380:U380,'Final Model'!$B$59:$I$66),'Analysis Data'!N380:U380)</f>
        <v>0.0020099820962087</v>
      </c>
      <c r="C380" s="15" t="n">
        <f aca="false">'Residual Diagnostics'!F380</f>
        <v>-24.6827140497965</v>
      </c>
      <c r="D380" s="13" t="n">
        <f aca="false">C380/('Final Model'!$B$21*SQRT(1-B380))</f>
        <v>-0.503906571436829</v>
      </c>
      <c r="E380" s="13" t="n">
        <f aca="false">D380*SQRT(('Final Model'!$B$24-1)/('Final Model'!$B$24-D380^2))</f>
        <v>-0.503770115014372</v>
      </c>
      <c r="F380" s="23" t="n">
        <f aca="false">D380^2/($P$3+1)*B380/(1-B380)</f>
        <v>6.39257818818577E-005</v>
      </c>
      <c r="G380" s="13" t="n">
        <f aca="false">($P$2-1)*(B380-1/$P$2)</f>
        <v>1.78454670397055</v>
      </c>
      <c r="H380" s="13" t="n">
        <f aca="false">E380*SQRT(B380/(1-B380))</f>
        <v>-0.0226081692741192</v>
      </c>
      <c r="I380" s="13" t="n">
        <f aca="false">ABS(D380)</f>
        <v>0.503906571436829</v>
      </c>
      <c r="J380" s="6" t="n">
        <f aca="false">IF(B380&gt;$P$4,1,0)</f>
        <v>0</v>
      </c>
      <c r="K380" s="6" t="n">
        <f aca="false">IF(F380&gt;$P$6,1,0)</f>
        <v>0</v>
      </c>
      <c r="L380" s="6" t="n">
        <f aca="false">IF(G380&gt;$P$9,1,0)</f>
        <v>0</v>
      </c>
      <c r="M380" s="6" t="n">
        <f aca="false">IF(ABS(H380)&gt;$P$8,1,0)</f>
        <v>0</v>
      </c>
    </row>
    <row r="381" customFormat="false" ht="15" hidden="false" customHeight="false" outlineLevel="0" collapsed="false">
      <c r="A381" s="0" t="n">
        <f aca="false">ROW()-1</f>
        <v>380</v>
      </c>
      <c r="B381" s="22" t="n">
        <f aca="false">SUMPRODUCT(MMULT('Analysis Data'!N381:U381,'Final Model'!$B$59:$I$66),'Analysis Data'!N381:U381)</f>
        <v>0.0130266215615665</v>
      </c>
      <c r="C381" s="15" t="n">
        <f aca="false">'Residual Diagnostics'!F381</f>
        <v>21.0569942199936</v>
      </c>
      <c r="D381" s="13" t="n">
        <f aca="false">C381/('Final Model'!$B$21*SQRT(1-B381))</f>
        <v>0.43227873052269</v>
      </c>
      <c r="E381" s="13" t="n">
        <f aca="false">D381*SQRT(('Final Model'!$B$24-1)/('Final Model'!$B$24-D381^2))</f>
        <v>0.43215115412081</v>
      </c>
      <c r="F381" s="23" t="n">
        <f aca="false">D381^2/($P$3+1)*B381/(1-B381)</f>
        <v>0.000308293313661142</v>
      </c>
      <c r="G381" s="13" t="n">
        <f aca="false">($P$2-1)*(B381-1/$P$2)</f>
        <v>17.0425923634911</v>
      </c>
      <c r="H381" s="13" t="n">
        <f aca="false">E381*SQRT(B381/(1-B381))</f>
        <v>0.0496476682379264</v>
      </c>
      <c r="I381" s="13" t="n">
        <f aca="false">ABS(D381)</f>
        <v>0.43227873052269</v>
      </c>
      <c r="J381" s="6" t="n">
        <f aca="false">IF(B381&gt;$P$4,1,0)</f>
        <v>1</v>
      </c>
      <c r="K381" s="6" t="n">
        <f aca="false">IF(F381&gt;$P$6,1,0)</f>
        <v>0</v>
      </c>
      <c r="L381" s="6" t="n">
        <f aca="false">IF(G381&gt;$P$9,1,0)</f>
        <v>1</v>
      </c>
      <c r="M381" s="6" t="n">
        <f aca="false">IF(ABS(H381)&gt;$P$8,1,0)</f>
        <v>0</v>
      </c>
    </row>
    <row r="382" customFormat="false" ht="15" hidden="false" customHeight="false" outlineLevel="0" collapsed="false">
      <c r="A382" s="0" t="n">
        <f aca="false">ROW()-1</f>
        <v>381</v>
      </c>
      <c r="B382" s="22" t="n">
        <f aca="false">SUMPRODUCT(MMULT('Analysis Data'!N382:U382,'Final Model'!$B$59:$I$66),'Analysis Data'!N382:U382)</f>
        <v>0.00507032743469802</v>
      </c>
      <c r="C382" s="15" t="n">
        <f aca="false">'Residual Diagnostics'!F382</f>
        <v>6.71919551247737</v>
      </c>
      <c r="D382" s="13" t="n">
        <f aca="false">C382/('Final Model'!$B$21*SQRT(1-B382))</f>
        <v>0.137385625483798</v>
      </c>
      <c r="E382" s="13" t="n">
        <f aca="false">D382*SQRT(('Final Model'!$B$24-1)/('Final Model'!$B$24-D382^2))</f>
        <v>0.137336707361081</v>
      </c>
      <c r="F382" s="23" t="n">
        <f aca="false">D382^2/($P$3+1)*B382/(1-B382)</f>
        <v>1.20236472562841E-005</v>
      </c>
      <c r="G382" s="13" t="n">
        <f aca="false">($P$2-1)*(B382-1/$P$2)</f>
        <v>6.02312499777825</v>
      </c>
      <c r="H382" s="13" t="n">
        <f aca="false">E382*SQRT(B382/(1-B382))</f>
        <v>0.00980411603215716</v>
      </c>
      <c r="I382" s="13" t="n">
        <f aca="false">ABS(D382)</f>
        <v>0.137385625483798</v>
      </c>
      <c r="J382" s="6" t="n">
        <f aca="false">IF(B382&gt;$P$4,1,0)</f>
        <v>0</v>
      </c>
      <c r="K382" s="6" t="n">
        <f aca="false">IF(F382&gt;$P$6,1,0)</f>
        <v>0</v>
      </c>
      <c r="L382" s="6" t="n">
        <f aca="false">IF(G382&gt;$P$9,1,0)</f>
        <v>0</v>
      </c>
      <c r="M382" s="6" t="n">
        <f aca="false">IF(ABS(H382)&gt;$P$8,1,0)</f>
        <v>0</v>
      </c>
    </row>
    <row r="383" customFormat="false" ht="15" hidden="false" customHeight="false" outlineLevel="0" collapsed="false">
      <c r="A383" s="0" t="n">
        <f aca="false">ROW()-1</f>
        <v>382</v>
      </c>
      <c r="B383" s="22" t="n">
        <f aca="false">SUMPRODUCT(MMULT('Analysis Data'!N383:U383,'Final Model'!$B$59:$I$66),'Analysis Data'!N383:U383)</f>
        <v>0.0162798078721616</v>
      </c>
      <c r="C383" s="15" t="n">
        <f aca="false">'Residual Diagnostics'!F383</f>
        <v>-45.5565055883033</v>
      </c>
      <c r="D383" s="13" t="n">
        <f aca="false">C383/('Final Model'!$B$21*SQRT(1-B383))</f>
        <v>-0.936773981648954</v>
      </c>
      <c r="E383" s="13" t="n">
        <f aca="false">D383*SQRT(('Final Model'!$B$24-1)/('Final Model'!$B$24-D383^2))</f>
        <v>-0.936732331486986</v>
      </c>
      <c r="F383" s="23" t="n">
        <f aca="false">D383^2/($P$3+1)*B383/(1-B383)</f>
        <v>0.00181533734573</v>
      </c>
      <c r="G383" s="13" t="n">
        <f aca="false">($P$2-1)*(B383-1/$P$2)</f>
        <v>21.5482554036654</v>
      </c>
      <c r="H383" s="13" t="n">
        <f aca="false">E383*SQRT(B383/(1-B383))</f>
        <v>-0.120504802390835</v>
      </c>
      <c r="I383" s="13" t="n">
        <f aca="false">ABS(D383)</f>
        <v>0.936773981648954</v>
      </c>
      <c r="J383" s="6" t="n">
        <f aca="false">IF(B383&gt;$P$4,1,0)</f>
        <v>1</v>
      </c>
      <c r="K383" s="6" t="n">
        <f aca="false">IF(F383&gt;$P$6,1,0)</f>
        <v>0</v>
      </c>
      <c r="L383" s="6" t="n">
        <f aca="false">IF(G383&gt;$P$9,1,0)</f>
        <v>1</v>
      </c>
      <c r="M383" s="6" t="n">
        <f aca="false">IF(ABS(H383)&gt;$P$8,1,0)</f>
        <v>0</v>
      </c>
    </row>
    <row r="384" customFormat="false" ht="15" hidden="false" customHeight="false" outlineLevel="0" collapsed="false">
      <c r="A384" s="0" t="n">
        <f aca="false">ROW()-1</f>
        <v>383</v>
      </c>
      <c r="B384" s="22" t="n">
        <f aca="false">SUMPRODUCT(MMULT('Analysis Data'!N384:U384,'Final Model'!$B$59:$I$66),'Analysis Data'!N384:U384)</f>
        <v>0.00507407813854102</v>
      </c>
      <c r="C384" s="15" t="n">
        <f aca="false">'Residual Diagnostics'!F384</f>
        <v>29.4895381665904</v>
      </c>
      <c r="D384" s="13" t="n">
        <f aca="false">C384/('Final Model'!$B$21*SQRT(1-B384))</f>
        <v>0.602965976408454</v>
      </c>
      <c r="E384" s="13" t="n">
        <f aca="false">D384*SQRT(('Final Model'!$B$24-1)/('Final Model'!$B$24-D384^2))</f>
        <v>0.602826683056907</v>
      </c>
      <c r="F384" s="23" t="n">
        <f aca="false">D384^2/($P$3+1)*B384/(1-B384)</f>
        <v>0.000231772567352856</v>
      </c>
      <c r="G384" s="13" t="n">
        <f aca="false">($P$2-1)*(B384-1/$P$2)</f>
        <v>6.02831972260081</v>
      </c>
      <c r="H384" s="13" t="n">
        <f aca="false">E384*SQRT(B384/(1-B384))</f>
        <v>0.043050249196343</v>
      </c>
      <c r="I384" s="13" t="n">
        <f aca="false">ABS(D384)</f>
        <v>0.602965976408454</v>
      </c>
      <c r="J384" s="6" t="n">
        <f aca="false">IF(B384&gt;$P$4,1,0)</f>
        <v>0</v>
      </c>
      <c r="K384" s="6" t="n">
        <f aca="false">IF(F384&gt;$P$6,1,0)</f>
        <v>0</v>
      </c>
      <c r="L384" s="6" t="n">
        <f aca="false">IF(G384&gt;$P$9,1,0)</f>
        <v>0</v>
      </c>
      <c r="M384" s="6" t="n">
        <f aca="false">IF(ABS(H384)&gt;$P$8,1,0)</f>
        <v>0</v>
      </c>
    </row>
    <row r="385" customFormat="false" ht="15" hidden="false" customHeight="false" outlineLevel="0" collapsed="false">
      <c r="A385" s="0" t="n">
        <f aca="false">ROW()-1</f>
        <v>384</v>
      </c>
      <c r="B385" s="22" t="n">
        <f aca="false">SUMPRODUCT(MMULT('Analysis Data'!N385:U385,'Final Model'!$B$59:$I$66),'Analysis Data'!N385:U385)</f>
        <v>0.0137391687453219</v>
      </c>
      <c r="C385" s="15" t="n">
        <f aca="false">'Residual Diagnostics'!F385</f>
        <v>19.4726003360224</v>
      </c>
      <c r="D385" s="13" t="n">
        <f aca="false">C385/('Final Model'!$B$21*SQRT(1-B385))</f>
        <v>0.399897110617079</v>
      </c>
      <c r="E385" s="13" t="n">
        <f aca="false">D385*SQRT(('Final Model'!$B$24-1)/('Final Model'!$B$24-D385^2))</f>
        <v>0.399775181478785</v>
      </c>
      <c r="F385" s="23" t="n">
        <f aca="false">D385^2/($P$3+1)*B385/(1-B385)</f>
        <v>0.000278467949779964</v>
      </c>
      <c r="G385" s="13" t="n">
        <f aca="false">($P$2-1)*(B385-1/$P$2)</f>
        <v>18.0294702129923</v>
      </c>
      <c r="H385" s="13" t="n">
        <f aca="false">E385*SQRT(B385/(1-B385))</f>
        <v>0.0471845877551259</v>
      </c>
      <c r="I385" s="13" t="n">
        <f aca="false">ABS(D385)</f>
        <v>0.399897110617079</v>
      </c>
      <c r="J385" s="6" t="n">
        <f aca="false">IF(B385&gt;$P$4,1,0)</f>
        <v>1</v>
      </c>
      <c r="K385" s="6" t="n">
        <f aca="false">IF(F385&gt;$P$6,1,0)</f>
        <v>0</v>
      </c>
      <c r="L385" s="6" t="n">
        <f aca="false">IF(G385&gt;$P$9,1,0)</f>
        <v>1</v>
      </c>
      <c r="M385" s="6" t="n">
        <f aca="false">IF(ABS(H385)&gt;$P$8,1,0)</f>
        <v>0</v>
      </c>
    </row>
    <row r="386" customFormat="false" ht="15" hidden="false" customHeight="false" outlineLevel="0" collapsed="false">
      <c r="A386" s="0" t="n">
        <f aca="false">ROW()-1</f>
        <v>385</v>
      </c>
      <c r="B386" s="22" t="n">
        <f aca="false">SUMPRODUCT(MMULT('Analysis Data'!N386:U386,'Final Model'!$B$59:$I$66),'Analysis Data'!N386:U386)</f>
        <v>0.0137391687453219</v>
      </c>
      <c r="C386" s="15" t="n">
        <f aca="false">'Residual Diagnostics'!F386</f>
        <v>75.2037130792008</v>
      </c>
      <c r="D386" s="13" t="n">
        <f aca="false">C386/('Final Model'!$B$21*SQRT(1-B386))</f>
        <v>1.54441353743674</v>
      </c>
      <c r="E386" s="13" t="n">
        <f aca="false">D386*SQRT(('Final Model'!$B$24-1)/('Final Model'!$B$24-D386^2))</f>
        <v>1.54519093664155</v>
      </c>
      <c r="F386" s="23" t="n">
        <f aca="false">D386^2/($P$3+1)*B386/(1-B386)</f>
        <v>0.00415342033024244</v>
      </c>
      <c r="G386" s="13" t="n">
        <f aca="false">($P$2-1)*(B386-1/$P$2)</f>
        <v>18.0294702129923</v>
      </c>
      <c r="H386" s="13" t="n">
        <f aca="false">E386*SQRT(B386/(1-B386))</f>
        <v>0.182375496844737</v>
      </c>
      <c r="I386" s="13" t="n">
        <f aca="false">ABS(D386)</f>
        <v>1.54441353743674</v>
      </c>
      <c r="J386" s="6" t="n">
        <f aca="false">IF(B386&gt;$P$4,1,0)</f>
        <v>1</v>
      </c>
      <c r="K386" s="6" t="n">
        <f aca="false">IF(F386&gt;$P$6,1,0)</f>
        <v>1</v>
      </c>
      <c r="L386" s="6" t="n">
        <f aca="false">IF(G386&gt;$P$9,1,0)</f>
        <v>1</v>
      </c>
      <c r="M386" s="6" t="n">
        <f aca="false">IF(ABS(H386)&gt;$P$8,1,0)</f>
        <v>1</v>
      </c>
    </row>
    <row r="387" customFormat="false" ht="15" hidden="false" customHeight="false" outlineLevel="0" collapsed="false">
      <c r="A387" s="0" t="n">
        <f aca="false">ROW()-1</f>
        <v>386</v>
      </c>
      <c r="B387" s="22" t="n">
        <f aca="false">SUMPRODUCT(MMULT('Analysis Data'!N387:U387,'Final Model'!$B$59:$I$66),'Analysis Data'!N387:U387)</f>
        <v>0.00426547936262854</v>
      </c>
      <c r="C387" s="15" t="n">
        <f aca="false">'Residual Diagnostics'!F387</f>
        <v>100.628439424668</v>
      </c>
      <c r="D387" s="13" t="n">
        <f aca="false">C387/('Final Model'!$B$21*SQRT(1-B387))</f>
        <v>2.05669155356762</v>
      </c>
      <c r="E387" s="13" t="n">
        <f aca="false">D387*SQRT(('Final Model'!$B$24-1)/('Final Model'!$B$24-D387^2))</f>
        <v>2.05910795973778</v>
      </c>
      <c r="F387" s="23" t="n">
        <f aca="false">D387^2/($P$3+1)*B387/(1-B387)</f>
        <v>0.00226502303642953</v>
      </c>
      <c r="G387" s="13" t="n">
        <f aca="false">($P$2-1)*(B387-1/$P$2)</f>
        <v>4.90841041796203</v>
      </c>
      <c r="H387" s="13" t="n">
        <f aca="false">E387*SQRT(B387/(1-B387))</f>
        <v>0.134769388588134</v>
      </c>
      <c r="I387" s="13" t="n">
        <f aca="false">ABS(D387)</f>
        <v>2.05669155356762</v>
      </c>
      <c r="J387" s="6" t="n">
        <f aca="false">IF(B387&gt;$P$4,1,0)</f>
        <v>0</v>
      </c>
      <c r="K387" s="6" t="n">
        <f aca="false">IF(F387&gt;$P$6,1,0)</f>
        <v>0</v>
      </c>
      <c r="L387" s="6" t="n">
        <f aca="false">IF(G387&gt;$P$9,1,0)</f>
        <v>0</v>
      </c>
      <c r="M387" s="6" t="n">
        <f aca="false">IF(ABS(H387)&gt;$P$8,1,0)</f>
        <v>0</v>
      </c>
    </row>
    <row r="388" customFormat="false" ht="15" hidden="false" customHeight="false" outlineLevel="0" collapsed="false">
      <c r="A388" s="0" t="n">
        <f aca="false">ROW()-1</f>
        <v>387</v>
      </c>
      <c r="B388" s="22" t="n">
        <f aca="false">SUMPRODUCT(MMULT('Analysis Data'!N388:U388,'Final Model'!$B$59:$I$66),'Analysis Data'!N388:U388)</f>
        <v>0.00426547936262854</v>
      </c>
      <c r="C388" s="15" t="n">
        <f aca="false">'Residual Diagnostics'!F388</f>
        <v>3.19320859417184</v>
      </c>
      <c r="D388" s="13" t="n">
        <f aca="false">C388/('Final Model'!$B$21*SQRT(1-B388))</f>
        <v>0.065264304822388</v>
      </c>
      <c r="E388" s="13" t="n">
        <f aca="false">D388*SQRT(('Final Model'!$B$24-1)/('Final Model'!$B$24-D388^2))</f>
        <v>0.0652407205476925</v>
      </c>
      <c r="F388" s="23" t="n">
        <f aca="false">D388^2/($P$3+1)*B388/(1-B388)</f>
        <v>2.28079224228472E-006</v>
      </c>
      <c r="G388" s="13" t="n">
        <f aca="false">($P$2-1)*(B388-1/$P$2)</f>
        <v>4.90841041796203</v>
      </c>
      <c r="H388" s="13" t="n">
        <f aca="false">E388*SQRT(B388/(1-B388))</f>
        <v>0.00427002963962195</v>
      </c>
      <c r="I388" s="13" t="n">
        <f aca="false">ABS(D388)</f>
        <v>0.065264304822388</v>
      </c>
      <c r="J388" s="6" t="n">
        <f aca="false">IF(B388&gt;$P$4,1,0)</f>
        <v>0</v>
      </c>
      <c r="K388" s="6" t="n">
        <f aca="false">IF(F388&gt;$P$6,1,0)</f>
        <v>0</v>
      </c>
      <c r="L388" s="6" t="n">
        <f aca="false">IF(G388&gt;$P$9,1,0)</f>
        <v>0</v>
      </c>
      <c r="M388" s="6" t="n">
        <f aca="false">IF(ABS(H388)&gt;$P$8,1,0)</f>
        <v>0</v>
      </c>
    </row>
    <row r="389" customFormat="false" ht="15" hidden="false" customHeight="false" outlineLevel="0" collapsed="false">
      <c r="A389" s="0" t="n">
        <f aca="false">ROW()-1</f>
        <v>388</v>
      </c>
      <c r="B389" s="22" t="n">
        <f aca="false">SUMPRODUCT(MMULT('Analysis Data'!N389:U389,'Final Model'!$B$59:$I$66),'Analysis Data'!N389:U389)</f>
        <v>0.00421955699412843</v>
      </c>
      <c r="C389" s="15" t="n">
        <f aca="false">'Residual Diagnostics'!F389</f>
        <v>-11.6365954257433</v>
      </c>
      <c r="D389" s="13" t="n">
        <f aca="false">C389/('Final Model'!$B$21*SQRT(1-B389))</f>
        <v>-0.237828747010781</v>
      </c>
      <c r="E389" s="13" t="n">
        <f aca="false">D389*SQRT(('Final Model'!$B$24-1)/('Final Model'!$B$24-D389^2))</f>
        <v>-0.237747315883602</v>
      </c>
      <c r="F389" s="23" t="n">
        <f aca="false">D389^2/($P$3+1)*B389/(1-B389)</f>
        <v>2.99600113419749E-005</v>
      </c>
      <c r="G389" s="13" t="n">
        <f aca="false">($P$2-1)*(B389-1/$P$2)</f>
        <v>4.84480793758937</v>
      </c>
      <c r="H389" s="13" t="n">
        <f aca="false">E389*SQRT(B389/(1-B389))</f>
        <v>-0.0154763041066716</v>
      </c>
      <c r="I389" s="13" t="n">
        <f aca="false">ABS(D389)</f>
        <v>0.237828747010781</v>
      </c>
      <c r="J389" s="6" t="n">
        <f aca="false">IF(B389&gt;$P$4,1,0)</f>
        <v>0</v>
      </c>
      <c r="K389" s="6" t="n">
        <f aca="false">IF(F389&gt;$P$6,1,0)</f>
        <v>0</v>
      </c>
      <c r="L389" s="6" t="n">
        <f aca="false">IF(G389&gt;$P$9,1,0)</f>
        <v>0</v>
      </c>
      <c r="M389" s="6" t="n">
        <f aca="false">IF(ABS(H389)&gt;$P$8,1,0)</f>
        <v>0</v>
      </c>
    </row>
    <row r="390" customFormat="false" ht="15" hidden="false" customHeight="false" outlineLevel="0" collapsed="false">
      <c r="A390" s="0" t="n">
        <f aca="false">ROW()-1</f>
        <v>389</v>
      </c>
      <c r="B390" s="22" t="n">
        <f aca="false">SUMPRODUCT(MMULT('Analysis Data'!N390:U390,'Final Model'!$B$59:$I$66),'Analysis Data'!N390:U390)</f>
        <v>0.00430968353925578</v>
      </c>
      <c r="C390" s="15" t="n">
        <f aca="false">'Residual Diagnostics'!F390</f>
        <v>-26.8314865860309</v>
      </c>
      <c r="D390" s="13" t="n">
        <f aca="false">C390/('Final Model'!$B$21*SQRT(1-B390))</f>
        <v>-0.548406763494958</v>
      </c>
      <c r="E390" s="13" t="n">
        <f aca="false">D390*SQRT(('Final Model'!$B$24-1)/('Final Model'!$B$24-D390^2))</f>
        <v>-0.548267574150277</v>
      </c>
      <c r="F390" s="23" t="n">
        <f aca="false">D390^2/($P$3+1)*B390/(1-B390)</f>
        <v>0.000162718418726054</v>
      </c>
      <c r="G390" s="13" t="n">
        <f aca="false">($P$2-1)*(B390-1/$P$2)</f>
        <v>4.96963320259076</v>
      </c>
      <c r="H390" s="13" t="n">
        <f aca="false">E390*SQRT(B390/(1-B390))</f>
        <v>-0.0360705787187519</v>
      </c>
      <c r="I390" s="13" t="n">
        <f aca="false">ABS(D390)</f>
        <v>0.548406763494958</v>
      </c>
      <c r="J390" s="6" t="n">
        <f aca="false">IF(B390&gt;$P$4,1,0)</f>
        <v>0</v>
      </c>
      <c r="K390" s="6" t="n">
        <f aca="false">IF(F390&gt;$P$6,1,0)</f>
        <v>0</v>
      </c>
      <c r="L390" s="6" t="n">
        <f aca="false">IF(G390&gt;$P$9,1,0)</f>
        <v>0</v>
      </c>
      <c r="M390" s="6" t="n">
        <f aca="false">IF(ABS(H390)&gt;$P$8,1,0)</f>
        <v>0</v>
      </c>
    </row>
    <row r="391" customFormat="false" ht="15" hidden="false" customHeight="false" outlineLevel="0" collapsed="false">
      <c r="A391" s="0" t="n">
        <f aca="false">ROW()-1</f>
        <v>390</v>
      </c>
      <c r="B391" s="22" t="n">
        <f aca="false">SUMPRODUCT(MMULT('Analysis Data'!N391:U391,'Final Model'!$B$59:$I$66),'Analysis Data'!N391:U391)</f>
        <v>0.00345229830402529</v>
      </c>
      <c r="C391" s="15" t="n">
        <f aca="false">'Residual Diagnostics'!F391</f>
        <v>28.736427856592</v>
      </c>
      <c r="D391" s="13" t="n">
        <f aca="false">C391/('Final Model'!$B$21*SQRT(1-B391))</f>
        <v>0.587089001093256</v>
      </c>
      <c r="E391" s="13" t="n">
        <f aca="false">D391*SQRT(('Final Model'!$B$24-1)/('Final Model'!$B$24-D391^2))</f>
        <v>0.586949350507403</v>
      </c>
      <c r="F391" s="23" t="n">
        <f aca="false">D391^2/($P$3+1)*B391/(1-B391)</f>
        <v>0.00014925473724345</v>
      </c>
      <c r="G391" s="13" t="n">
        <f aca="false">($P$2-1)*(B391-1/$P$2)</f>
        <v>3.78215465179653</v>
      </c>
      <c r="H391" s="13" t="n">
        <f aca="false">E391*SQRT(B391/(1-B391))</f>
        <v>0.0345466339176037</v>
      </c>
      <c r="I391" s="13" t="n">
        <f aca="false">ABS(D391)</f>
        <v>0.587089001093256</v>
      </c>
      <c r="J391" s="6" t="n">
        <f aca="false">IF(B391&gt;$P$4,1,0)</f>
        <v>0</v>
      </c>
      <c r="K391" s="6" t="n">
        <f aca="false">IF(F391&gt;$P$6,1,0)</f>
        <v>0</v>
      </c>
      <c r="L391" s="6" t="n">
        <f aca="false">IF(G391&gt;$P$9,1,0)</f>
        <v>0</v>
      </c>
      <c r="M391" s="6" t="n">
        <f aca="false">IF(ABS(H391)&gt;$P$8,1,0)</f>
        <v>0</v>
      </c>
    </row>
    <row r="392" customFormat="false" ht="15" hidden="false" customHeight="false" outlineLevel="0" collapsed="false">
      <c r="A392" s="0" t="n">
        <f aca="false">ROW()-1</f>
        <v>391</v>
      </c>
      <c r="B392" s="22" t="n">
        <f aca="false">SUMPRODUCT(MMULT('Analysis Data'!N392:U392,'Final Model'!$B$59:$I$66),'Analysis Data'!N392:U392)</f>
        <v>0.0201001456527299</v>
      </c>
      <c r="C392" s="15" t="n">
        <f aca="false">'Residual Diagnostics'!F392</f>
        <v>-48.5747317185287</v>
      </c>
      <c r="D392" s="13" t="n">
        <f aca="false">C392/('Final Model'!$B$21*SQRT(1-B392))</f>
        <v>-1.0007826620907</v>
      </c>
      <c r="E392" s="13" t="n">
        <f aca="false">D392*SQRT(('Final Model'!$B$24-1)/('Final Model'!$B$24-D392^2))</f>
        <v>-1.00078323114069</v>
      </c>
      <c r="F392" s="23" t="n">
        <f aca="false">D392^2/($P$3+1)*B392/(1-B392)</f>
        <v>0.0025680712574863</v>
      </c>
      <c r="G392" s="13" t="n">
        <f aca="false">($P$2-1)*(B392-1/$P$2)</f>
        <v>26.8394232297524</v>
      </c>
      <c r="H392" s="13" t="n">
        <f aca="false">E392*SQRT(B392/(1-B392))</f>
        <v>-0.143333853026374</v>
      </c>
      <c r="I392" s="13" t="n">
        <f aca="false">ABS(D392)</f>
        <v>1.0007826620907</v>
      </c>
      <c r="J392" s="6" t="n">
        <f aca="false">IF(B392&gt;$P$4,1,0)</f>
        <v>1</v>
      </c>
      <c r="K392" s="6" t="n">
        <f aca="false">IF(F392&gt;$P$6,1,0)</f>
        <v>0</v>
      </c>
      <c r="L392" s="6" t="n">
        <f aca="false">IF(G392&gt;$P$9,1,0)</f>
        <v>1</v>
      </c>
      <c r="M392" s="6" t="n">
        <f aca="false">IF(ABS(H392)&gt;$P$8,1,0)</f>
        <v>0</v>
      </c>
    </row>
    <row r="393" customFormat="false" ht="15" hidden="false" customHeight="false" outlineLevel="0" collapsed="false">
      <c r="A393" s="0" t="n">
        <f aca="false">ROW()-1</f>
        <v>392</v>
      </c>
      <c r="B393" s="22" t="n">
        <f aca="false">SUMPRODUCT(MMULT('Analysis Data'!N393:U393,'Final Model'!$B$59:$I$66),'Analysis Data'!N393:U393)</f>
        <v>0.0111801594197618</v>
      </c>
      <c r="C393" s="15" t="n">
        <f aca="false">'Residual Diagnostics'!F393</f>
        <v>28.0175114239045</v>
      </c>
      <c r="D393" s="13" t="n">
        <f aca="false">C393/('Final Model'!$B$21*SQRT(1-B393))</f>
        <v>0.57463381705236</v>
      </c>
      <c r="E393" s="13" t="n">
        <f aca="false">D393*SQRT(('Final Model'!$B$24-1)/('Final Model'!$B$24-D393^2))</f>
        <v>0.574494112236234</v>
      </c>
      <c r="F393" s="23" t="n">
        <f aca="false">D393^2/($P$3+1)*B393/(1-B393)</f>
        <v>0.000466684308216391</v>
      </c>
      <c r="G393" s="13" t="n">
        <f aca="false">($P$2-1)*(B393-1/$P$2)</f>
        <v>14.4852422970916</v>
      </c>
      <c r="H393" s="13" t="n">
        <f aca="false">E393*SQRT(B393/(1-B393))</f>
        <v>0.0610873090242845</v>
      </c>
      <c r="I393" s="13" t="n">
        <f aca="false">ABS(D393)</f>
        <v>0.57463381705236</v>
      </c>
      <c r="J393" s="6" t="n">
        <f aca="false">IF(B393&gt;$P$4,1,0)</f>
        <v>0</v>
      </c>
      <c r="K393" s="6" t="n">
        <f aca="false">IF(F393&gt;$P$6,1,0)</f>
        <v>0</v>
      </c>
      <c r="L393" s="6" t="n">
        <f aca="false">IF(G393&gt;$P$9,1,0)</f>
        <v>1</v>
      </c>
      <c r="M393" s="6" t="n">
        <f aca="false">IF(ABS(H393)&gt;$P$8,1,0)</f>
        <v>0</v>
      </c>
    </row>
    <row r="394" customFormat="false" ht="15" hidden="false" customHeight="false" outlineLevel="0" collapsed="false">
      <c r="A394" s="0" t="n">
        <f aca="false">ROW()-1</f>
        <v>393</v>
      </c>
      <c r="B394" s="22" t="n">
        <f aca="false">SUMPRODUCT(MMULT('Analysis Data'!N394:U394,'Final Model'!$B$59:$I$66),'Analysis Data'!N394:U394)</f>
        <v>0.00733201074081623</v>
      </c>
      <c r="C394" s="15" t="n">
        <f aca="false">'Residual Diagnostics'!F394</f>
        <v>0.692389351487122</v>
      </c>
      <c r="D394" s="13" t="n">
        <f aca="false">C394/('Final Model'!$B$21*SQRT(1-B394))</f>
        <v>0.0141732216908968</v>
      </c>
      <c r="E394" s="13" t="n">
        <f aca="false">D394*SQRT(('Final Model'!$B$24-1)/('Final Model'!$B$24-D394^2))</f>
        <v>0.0141680791118414</v>
      </c>
      <c r="F394" s="23" t="n">
        <f aca="false">D394^2/($P$3+1)*B394/(1-B394)</f>
        <v>1.85466829795824E-007</v>
      </c>
      <c r="G394" s="13" t="n">
        <f aca="false">($P$2-1)*(B394-1/$P$2)</f>
        <v>9.15555637675198</v>
      </c>
      <c r="H394" s="13" t="n">
        <f aca="false">E394*SQRT(B394/(1-B394))</f>
        <v>0.0012176444982</v>
      </c>
      <c r="I394" s="13" t="n">
        <f aca="false">ABS(D394)</f>
        <v>0.0141732216908968</v>
      </c>
      <c r="J394" s="6" t="n">
        <f aca="false">IF(B394&gt;$P$4,1,0)</f>
        <v>0</v>
      </c>
      <c r="K394" s="6" t="n">
        <f aca="false">IF(F394&gt;$P$6,1,0)</f>
        <v>0</v>
      </c>
      <c r="L394" s="6" t="n">
        <f aca="false">IF(G394&gt;$P$9,1,0)</f>
        <v>0</v>
      </c>
      <c r="M394" s="6" t="n">
        <f aca="false">IF(ABS(H394)&gt;$P$8,1,0)</f>
        <v>0</v>
      </c>
    </row>
    <row r="395" customFormat="false" ht="15" hidden="false" customHeight="false" outlineLevel="0" collapsed="false">
      <c r="A395" s="0" t="n">
        <f aca="false">ROW()-1</f>
        <v>394</v>
      </c>
      <c r="B395" s="22" t="n">
        <f aca="false">SUMPRODUCT(MMULT('Analysis Data'!N395:U395,'Final Model'!$B$59:$I$66),'Analysis Data'!N395:U395)</f>
        <v>0.00951125699255428</v>
      </c>
      <c r="C395" s="15" t="n">
        <f aca="false">'Residual Diagnostics'!F395</f>
        <v>67.0974681009249</v>
      </c>
      <c r="D395" s="13" t="n">
        <f aca="false">C395/('Final Model'!$B$21*SQRT(1-B395))</f>
        <v>1.37499642586901</v>
      </c>
      <c r="E395" s="13" t="n">
        <f aca="false">D395*SQRT(('Final Model'!$B$24-1)/('Final Model'!$B$24-D395^2))</f>
        <v>1.37544130133323</v>
      </c>
      <c r="F395" s="23" t="n">
        <f aca="false">D395^2/($P$3+1)*B395/(1-B395)</f>
        <v>0.00226935021899573</v>
      </c>
      <c r="G395" s="13" t="n">
        <f aca="false">($P$2-1)*(B395-1/$P$2)</f>
        <v>12.1738124354092</v>
      </c>
      <c r="H395" s="13" t="n">
        <f aca="false">E395*SQRT(B395/(1-B395))</f>
        <v>0.134783350241861</v>
      </c>
      <c r="I395" s="13" t="n">
        <f aca="false">ABS(D395)</f>
        <v>1.37499642586901</v>
      </c>
      <c r="J395" s="6" t="n">
        <f aca="false">IF(B395&gt;$P$4,1,0)</f>
        <v>0</v>
      </c>
      <c r="K395" s="6" t="n">
        <f aca="false">IF(F395&gt;$P$6,1,0)</f>
        <v>0</v>
      </c>
      <c r="L395" s="6" t="n">
        <f aca="false">IF(G395&gt;$P$9,1,0)</f>
        <v>1</v>
      </c>
      <c r="M395" s="6" t="n">
        <f aca="false">IF(ABS(H395)&gt;$P$8,1,0)</f>
        <v>0</v>
      </c>
    </row>
    <row r="396" customFormat="false" ht="15" hidden="false" customHeight="false" outlineLevel="0" collapsed="false">
      <c r="A396" s="0" t="n">
        <f aca="false">ROW()-1</f>
        <v>395</v>
      </c>
      <c r="B396" s="22" t="n">
        <f aca="false">SUMPRODUCT(MMULT('Analysis Data'!N396:U396,'Final Model'!$B$59:$I$66),'Analysis Data'!N396:U396)</f>
        <v>0.0116509482448015</v>
      </c>
      <c r="C396" s="15" t="n">
        <f aca="false">'Residual Diagnostics'!F396</f>
        <v>12.0563381154253</v>
      </c>
      <c r="D396" s="13" t="n">
        <f aca="false">C396/('Final Model'!$B$21*SQRT(1-B396))</f>
        <v>0.247332081774624</v>
      </c>
      <c r="E396" s="13" t="n">
        <f aca="false">D396*SQRT(('Final Model'!$B$24-1)/('Final Model'!$B$24-D396^2))</f>
        <v>0.247247810413147</v>
      </c>
      <c r="F396" s="23" t="n">
        <f aca="false">D396^2/($P$3+1)*B396/(1-B396)</f>
        <v>9.01408900564245E-005</v>
      </c>
      <c r="G396" s="13" t="n">
        <f aca="false">($P$2-1)*(B396-1/$P$2)</f>
        <v>15.1372848197715</v>
      </c>
      <c r="H396" s="13" t="n">
        <f aca="false">E396*SQRT(B396/(1-B396))</f>
        <v>0.0268446604955003</v>
      </c>
      <c r="I396" s="13" t="n">
        <f aca="false">ABS(D396)</f>
        <v>0.247332081774624</v>
      </c>
      <c r="J396" s="6" t="n">
        <f aca="false">IF(B396&gt;$P$4,1,0)</f>
        <v>1</v>
      </c>
      <c r="K396" s="6" t="n">
        <f aca="false">IF(F396&gt;$P$6,1,0)</f>
        <v>0</v>
      </c>
      <c r="L396" s="6" t="n">
        <f aca="false">IF(G396&gt;$P$9,1,0)</f>
        <v>1</v>
      </c>
      <c r="M396" s="6" t="n">
        <f aca="false">IF(ABS(H396)&gt;$P$8,1,0)</f>
        <v>0</v>
      </c>
    </row>
    <row r="397" customFormat="false" ht="15" hidden="false" customHeight="false" outlineLevel="0" collapsed="false">
      <c r="A397" s="0" t="n">
        <f aca="false">ROW()-1</f>
        <v>396</v>
      </c>
      <c r="B397" s="22" t="n">
        <f aca="false">SUMPRODUCT(MMULT('Analysis Data'!N397:U397,'Final Model'!$B$59:$I$66),'Analysis Data'!N397:U397)</f>
        <v>0.0136931576154486</v>
      </c>
      <c r="C397" s="15" t="n">
        <f aca="false">'Residual Diagnostics'!F397</f>
        <v>-11.9096664513889</v>
      </c>
      <c r="D397" s="13" t="n">
        <f aca="false">C397/('Final Model'!$B$21*SQRT(1-B397))</f>
        <v>-0.244575969846993</v>
      </c>
      <c r="E397" s="13" t="n">
        <f aca="false">D397*SQRT(('Final Model'!$B$24-1)/('Final Model'!$B$24-D397^2))</f>
        <v>-0.244492517274114</v>
      </c>
      <c r="F397" s="23" t="n">
        <f aca="false">D397^2/($P$3+1)*B397/(1-B397)</f>
        <v>0.000103807598200886</v>
      </c>
      <c r="G397" s="13" t="n">
        <f aca="false">($P$2-1)*(B397-1/$P$2)</f>
        <v>17.9657447981178</v>
      </c>
      <c r="H397" s="13" t="n">
        <f aca="false">E397*SQRT(B397/(1-B397))</f>
        <v>-0.0288078835350752</v>
      </c>
      <c r="I397" s="13" t="n">
        <f aca="false">ABS(D397)</f>
        <v>0.244575969846993</v>
      </c>
      <c r="J397" s="6" t="n">
        <f aca="false">IF(B397&gt;$P$4,1,0)</f>
        <v>1</v>
      </c>
      <c r="K397" s="6" t="n">
        <f aca="false">IF(F397&gt;$P$6,1,0)</f>
        <v>0</v>
      </c>
      <c r="L397" s="6" t="n">
        <f aca="false">IF(G397&gt;$P$9,1,0)</f>
        <v>1</v>
      </c>
      <c r="M397" s="6" t="n">
        <f aca="false">IF(ABS(H397)&gt;$P$8,1,0)</f>
        <v>0</v>
      </c>
    </row>
    <row r="398" customFormat="false" ht="15" hidden="false" customHeight="false" outlineLevel="0" collapsed="false">
      <c r="A398" s="0" t="n">
        <f aca="false">ROW()-1</f>
        <v>397</v>
      </c>
      <c r="B398" s="22" t="n">
        <f aca="false">SUMPRODUCT(MMULT('Analysis Data'!N398:U398,'Final Model'!$B$59:$I$66),'Analysis Data'!N398:U398)</f>
        <v>0.0019614929876262</v>
      </c>
      <c r="C398" s="15" t="n">
        <f aca="false">'Residual Diagnostics'!F398</f>
        <v>-16.7418366940584</v>
      </c>
      <c r="D398" s="13" t="n">
        <f aca="false">C398/('Final Model'!$B$21*SQRT(1-B398))</f>
        <v>-0.341782373352947</v>
      </c>
      <c r="E398" s="13" t="n">
        <f aca="false">D398*SQRT(('Final Model'!$B$24-1)/('Final Model'!$B$24-D398^2))</f>
        <v>-0.341672819295846</v>
      </c>
      <c r="F398" s="23" t="n">
        <f aca="false">D398^2/($P$3+1)*B398/(1-B398)</f>
        <v>2.86978127427644E-005</v>
      </c>
      <c r="G398" s="13" t="n">
        <f aca="false">($P$2-1)*(B398-1/$P$2)</f>
        <v>1.71738928858379</v>
      </c>
      <c r="H398" s="13" t="n">
        <f aca="false">E398*SQRT(B398/(1-B398))</f>
        <v>-0.0151471233553417</v>
      </c>
      <c r="I398" s="13" t="n">
        <f aca="false">ABS(D398)</f>
        <v>0.341782373352947</v>
      </c>
      <c r="J398" s="6" t="n">
        <f aca="false">IF(B398&gt;$P$4,1,0)</f>
        <v>0</v>
      </c>
      <c r="K398" s="6" t="n">
        <f aca="false">IF(F398&gt;$P$6,1,0)</f>
        <v>0</v>
      </c>
      <c r="L398" s="6" t="n">
        <f aca="false">IF(G398&gt;$P$9,1,0)</f>
        <v>0</v>
      </c>
      <c r="M398" s="6" t="n">
        <f aca="false">IF(ABS(H398)&gt;$P$8,1,0)</f>
        <v>0</v>
      </c>
    </row>
    <row r="399" customFormat="false" ht="15" hidden="false" customHeight="false" outlineLevel="0" collapsed="false">
      <c r="A399" s="0" t="n">
        <f aca="false">ROW()-1</f>
        <v>398</v>
      </c>
      <c r="B399" s="22" t="n">
        <f aca="false">SUMPRODUCT(MMULT('Analysis Data'!N399:U399,'Final Model'!$B$59:$I$66),'Analysis Data'!N399:U399)</f>
        <v>0.00197847825844007</v>
      </c>
      <c r="C399" s="15" t="n">
        <f aca="false">'Residual Diagnostics'!F399</f>
        <v>75.3039913692174</v>
      </c>
      <c r="D399" s="13" t="n">
        <f aca="false">C399/('Final Model'!$B$21*SQRT(1-B399))</f>
        <v>1.53733406768284</v>
      </c>
      <c r="E399" s="13" t="n">
        <f aca="false">D399*SQRT(('Final Model'!$B$24-1)/('Final Model'!$B$24-D399^2))</f>
        <v>1.53809570636283</v>
      </c>
      <c r="F399" s="23" t="n">
        <f aca="false">D399^2/($P$3+1)*B399/(1-B399)</f>
        <v>0.00058564965418704</v>
      </c>
      <c r="G399" s="13" t="n">
        <f aca="false">($P$2-1)*(B399-1/$P$2)</f>
        <v>1.74091388866099</v>
      </c>
      <c r="H399" s="13" t="n">
        <f aca="false">E399*SQRT(B399/(1-B399))</f>
        <v>0.068482411912264</v>
      </c>
      <c r="I399" s="13" t="n">
        <f aca="false">ABS(D399)</f>
        <v>1.53733406768284</v>
      </c>
      <c r="J399" s="6" t="n">
        <f aca="false">IF(B399&gt;$P$4,1,0)</f>
        <v>0</v>
      </c>
      <c r="K399" s="6" t="n">
        <f aca="false">IF(F399&gt;$P$6,1,0)</f>
        <v>0</v>
      </c>
      <c r="L399" s="6" t="n">
        <f aca="false">IF(G399&gt;$P$9,1,0)</f>
        <v>0</v>
      </c>
      <c r="M399" s="6" t="n">
        <f aca="false">IF(ABS(H399)&gt;$P$8,1,0)</f>
        <v>0</v>
      </c>
    </row>
    <row r="400" customFormat="false" ht="15" hidden="false" customHeight="false" outlineLevel="0" collapsed="false">
      <c r="A400" s="0" t="n">
        <f aca="false">ROW()-1</f>
        <v>399</v>
      </c>
      <c r="B400" s="22" t="n">
        <f aca="false">SUMPRODUCT(MMULT('Analysis Data'!N400:U400,'Final Model'!$B$59:$I$66),'Analysis Data'!N400:U400)</f>
        <v>0.00294636298658433</v>
      </c>
      <c r="C400" s="15" t="n">
        <f aca="false">'Residual Diagnostics'!F400</f>
        <v>26.9830690995498</v>
      </c>
      <c r="D400" s="13" t="n">
        <f aca="false">C400/('Final Model'!$B$21*SQRT(1-B400))</f>
        <v>0.551127768323023</v>
      </c>
      <c r="E400" s="13" t="n">
        <f aca="false">D400*SQRT(('Final Model'!$B$24-1)/('Final Model'!$B$24-D400^2))</f>
        <v>0.550988486637957</v>
      </c>
      <c r="F400" s="23" t="n">
        <f aca="false">D400^2/($P$3+1)*B400/(1-B400)</f>
        <v>0.000112197279804401</v>
      </c>
      <c r="G400" s="13" t="n">
        <f aca="false">($P$2-1)*(B400-1/$P$2)</f>
        <v>3.08143423714079</v>
      </c>
      <c r="H400" s="13" t="n">
        <f aca="false">E400*SQRT(B400/(1-B400))</f>
        <v>0.0299520386888238</v>
      </c>
      <c r="I400" s="13" t="n">
        <f aca="false">ABS(D400)</f>
        <v>0.551127768323023</v>
      </c>
      <c r="J400" s="6" t="n">
        <f aca="false">IF(B400&gt;$P$4,1,0)</f>
        <v>0</v>
      </c>
      <c r="K400" s="6" t="n">
        <f aca="false">IF(F400&gt;$P$6,1,0)</f>
        <v>0</v>
      </c>
      <c r="L400" s="6" t="n">
        <f aca="false">IF(G400&gt;$P$9,1,0)</f>
        <v>0</v>
      </c>
      <c r="M400" s="6" t="n">
        <f aca="false">IF(ABS(H400)&gt;$P$8,1,0)</f>
        <v>0</v>
      </c>
    </row>
    <row r="401" customFormat="false" ht="15" hidden="false" customHeight="false" outlineLevel="0" collapsed="false">
      <c r="A401" s="0" t="n">
        <f aca="false">ROW()-1</f>
        <v>400</v>
      </c>
      <c r="B401" s="22" t="n">
        <f aca="false">SUMPRODUCT(MMULT('Analysis Data'!N401:U401,'Final Model'!$B$59:$I$66),'Analysis Data'!N401:U401)</f>
        <v>0.00294636298658433</v>
      </c>
      <c r="C401" s="15" t="n">
        <f aca="false">'Residual Diagnostics'!F401</f>
        <v>-55.4483724634608</v>
      </c>
      <c r="D401" s="13" t="n">
        <f aca="false">C401/('Final Model'!$B$21*SQRT(1-B401))</f>
        <v>-1.13253009360009</v>
      </c>
      <c r="E401" s="13" t="n">
        <f aca="false">D401*SQRT(('Final Model'!$B$24-1)/('Final Model'!$B$24-D401^2))</f>
        <v>-1.13264633540576</v>
      </c>
      <c r="F401" s="23" t="n">
        <f aca="false">D401^2/($P$3+1)*B401/(1-B401)</f>
        <v>0.000473780566510806</v>
      </c>
      <c r="G401" s="13" t="n">
        <f aca="false">($P$2-1)*(B401-1/$P$2)</f>
        <v>3.08143423714079</v>
      </c>
      <c r="H401" s="13" t="n">
        <f aca="false">E401*SQRT(B401/(1-B401))</f>
        <v>-0.06157128085531</v>
      </c>
      <c r="I401" s="13" t="n">
        <f aca="false">ABS(D401)</f>
        <v>1.13253009360009</v>
      </c>
      <c r="J401" s="6" t="n">
        <f aca="false">IF(B401&gt;$P$4,1,0)</f>
        <v>0</v>
      </c>
      <c r="K401" s="6" t="n">
        <f aca="false">IF(F401&gt;$P$6,1,0)</f>
        <v>0</v>
      </c>
      <c r="L401" s="6" t="n">
        <f aca="false">IF(G401&gt;$P$9,1,0)</f>
        <v>0</v>
      </c>
      <c r="M401" s="6" t="n">
        <f aca="false">IF(ABS(H401)&gt;$P$8,1,0)</f>
        <v>0</v>
      </c>
    </row>
    <row r="402" customFormat="false" ht="15" hidden="false" customHeight="false" outlineLevel="0" collapsed="false">
      <c r="A402" s="0" t="n">
        <f aca="false">ROW()-1</f>
        <v>401</v>
      </c>
      <c r="B402" s="22" t="n">
        <f aca="false">SUMPRODUCT(MMULT('Analysis Data'!N402:U402,'Final Model'!$B$59:$I$66),'Analysis Data'!N402:U402)</f>
        <v>0.003264753600257</v>
      </c>
      <c r="C402" s="15" t="n">
        <f aca="false">'Residual Diagnostics'!F402</f>
        <v>26.0964302019684</v>
      </c>
      <c r="D402" s="13" t="n">
        <f aca="false">C402/('Final Model'!$B$21*SQRT(1-B402))</f>
        <v>0.533103340570992</v>
      </c>
      <c r="E402" s="13" t="n">
        <f aca="false">D402*SQRT(('Final Model'!$B$24-1)/('Final Model'!$B$24-D402^2))</f>
        <v>0.532964833997101</v>
      </c>
      <c r="F402" s="23" t="n">
        <f aca="false">D402^2/($P$3+1)*B402/(1-B402)</f>
        <v>0.000116359920104197</v>
      </c>
      <c r="G402" s="13" t="n">
        <f aca="false">($P$2-1)*(B402-1/$P$2)</f>
        <v>3.52240523707745</v>
      </c>
      <c r="H402" s="13" t="n">
        <f aca="false">E402*SQRT(B402/(1-B402))</f>
        <v>0.0305023887041941</v>
      </c>
      <c r="I402" s="13" t="n">
        <f aca="false">ABS(D402)</f>
        <v>0.533103340570992</v>
      </c>
      <c r="J402" s="6" t="n">
        <f aca="false">IF(B402&gt;$P$4,1,0)</f>
        <v>0</v>
      </c>
      <c r="K402" s="6" t="n">
        <f aca="false">IF(F402&gt;$P$6,1,0)</f>
        <v>0</v>
      </c>
      <c r="L402" s="6" t="n">
        <f aca="false">IF(G402&gt;$P$9,1,0)</f>
        <v>0</v>
      </c>
      <c r="M402" s="6" t="n">
        <f aca="false">IF(ABS(H402)&gt;$P$8,1,0)</f>
        <v>0</v>
      </c>
    </row>
    <row r="403" customFormat="false" ht="15" hidden="false" customHeight="false" outlineLevel="0" collapsed="false">
      <c r="A403" s="0" t="n">
        <f aca="false">ROW()-1</f>
        <v>402</v>
      </c>
      <c r="B403" s="22" t="n">
        <f aca="false">SUMPRODUCT(MMULT('Analysis Data'!N403:U403,'Final Model'!$B$59:$I$66),'Analysis Data'!N403:U403)</f>
        <v>0.00279288869623363</v>
      </c>
      <c r="C403" s="15" t="n">
        <f aca="false">'Residual Diagnostics'!F403</f>
        <v>-31.5503726525131</v>
      </c>
      <c r="D403" s="13" t="n">
        <f aca="false">C403/('Final Model'!$B$21*SQRT(1-B403))</f>
        <v>-0.644365112418349</v>
      </c>
      <c r="E403" s="13" t="n">
        <f aca="false">D403*SQRT(('Final Model'!$B$24-1)/('Final Model'!$B$24-D403^2))</f>
        <v>-0.644228329333939</v>
      </c>
      <c r="F403" s="23" t="n">
        <f aca="false">D403^2/($P$3+1)*B403/(1-B403)</f>
        <v>0.0001453591288507</v>
      </c>
      <c r="G403" s="13" t="n">
        <f aca="false">($P$2-1)*(B403-1/$P$2)</f>
        <v>2.86887234500508</v>
      </c>
      <c r="H403" s="13" t="n">
        <f aca="false">E403*SQRT(B403/(1-B403))</f>
        <v>-0.0340936853937423</v>
      </c>
      <c r="I403" s="13" t="n">
        <f aca="false">ABS(D403)</f>
        <v>0.644365112418349</v>
      </c>
      <c r="J403" s="6" t="n">
        <f aca="false">IF(B403&gt;$P$4,1,0)</f>
        <v>0</v>
      </c>
      <c r="K403" s="6" t="n">
        <f aca="false">IF(F403&gt;$P$6,1,0)</f>
        <v>0</v>
      </c>
      <c r="L403" s="6" t="n">
        <f aca="false">IF(G403&gt;$P$9,1,0)</f>
        <v>0</v>
      </c>
      <c r="M403" s="6" t="n">
        <f aca="false">IF(ABS(H403)&gt;$P$8,1,0)</f>
        <v>0</v>
      </c>
    </row>
    <row r="404" customFormat="false" ht="15" hidden="false" customHeight="false" outlineLevel="0" collapsed="false">
      <c r="A404" s="0" t="n">
        <f aca="false">ROW()-1</f>
        <v>403</v>
      </c>
      <c r="B404" s="22" t="n">
        <f aca="false">SUMPRODUCT(MMULT('Analysis Data'!N404:U404,'Final Model'!$B$59:$I$66),'Analysis Data'!N404:U404)</f>
        <v>0.00208941407668419</v>
      </c>
      <c r="C404" s="15" t="n">
        <f aca="false">'Residual Diagnostics'!F404</f>
        <v>24.391807381736</v>
      </c>
      <c r="D404" s="13" t="n">
        <f aca="false">C404/('Final Model'!$B$21*SQRT(1-B404))</f>
        <v>0.49798742445041</v>
      </c>
      <c r="E404" s="13" t="n">
        <f aca="false">D404*SQRT(('Final Model'!$B$24-1)/('Final Model'!$B$24-D404^2))</f>
        <v>0.497851499443002</v>
      </c>
      <c r="F404" s="23" t="n">
        <f aca="false">D404^2/($P$3+1)*B404/(1-B404)</f>
        <v>6.49052237100954E-005</v>
      </c>
      <c r="G404" s="13" t="n">
        <f aca="false">($P$2-1)*(B404-1/$P$2)</f>
        <v>1.89455999692911</v>
      </c>
      <c r="H404" s="13" t="n">
        <f aca="false">E404*SQRT(B404/(1-B404))</f>
        <v>0.0227806579283465</v>
      </c>
      <c r="I404" s="13" t="n">
        <f aca="false">ABS(D404)</f>
        <v>0.49798742445041</v>
      </c>
      <c r="J404" s="6" t="n">
        <f aca="false">IF(B404&gt;$P$4,1,0)</f>
        <v>0</v>
      </c>
      <c r="K404" s="6" t="n">
        <f aca="false">IF(F404&gt;$P$6,1,0)</f>
        <v>0</v>
      </c>
      <c r="L404" s="6" t="n">
        <f aca="false">IF(G404&gt;$P$9,1,0)</f>
        <v>0</v>
      </c>
      <c r="M404" s="6" t="n">
        <f aca="false">IF(ABS(H404)&gt;$P$8,1,0)</f>
        <v>0</v>
      </c>
    </row>
    <row r="405" customFormat="false" ht="15" hidden="false" customHeight="false" outlineLevel="0" collapsed="false">
      <c r="A405" s="0" t="n">
        <f aca="false">ROW()-1</f>
        <v>404</v>
      </c>
      <c r="B405" s="22" t="n">
        <f aca="false">SUMPRODUCT(MMULT('Analysis Data'!N405:U405,'Final Model'!$B$59:$I$66),'Analysis Data'!N405:U405)</f>
        <v>0.0139103801707904</v>
      </c>
      <c r="C405" s="15" t="n">
        <f aca="false">'Residual Diagnostics'!F405</f>
        <v>-8.28203110838319</v>
      </c>
      <c r="D405" s="13" t="n">
        <f aca="false">C405/('Final Model'!$B$21*SQRT(1-B405))</f>
        <v>-0.170097868949918</v>
      </c>
      <c r="E405" s="13" t="n">
        <f aca="false">D405*SQRT(('Final Model'!$B$24-1)/('Final Model'!$B$24-D405^2))</f>
        <v>-0.170037923754645</v>
      </c>
      <c r="F405" s="23" t="n">
        <f aca="false">D405^2/($P$3+1)*B405/(1-B405)</f>
        <v>5.10188153975642E-005</v>
      </c>
      <c r="G405" s="13" t="n">
        <f aca="false">($P$2-1)*(B405-1/$P$2)</f>
        <v>18.2665980372662</v>
      </c>
      <c r="H405" s="13" t="n">
        <f aca="false">E405*SQRT(B405/(1-B405))</f>
        <v>-0.0201956157716347</v>
      </c>
      <c r="I405" s="13" t="n">
        <f aca="false">ABS(D405)</f>
        <v>0.170097868949918</v>
      </c>
      <c r="J405" s="6" t="n">
        <f aca="false">IF(B405&gt;$P$4,1,0)</f>
        <v>1</v>
      </c>
      <c r="K405" s="6" t="n">
        <f aca="false">IF(F405&gt;$P$6,1,0)</f>
        <v>0</v>
      </c>
      <c r="L405" s="6" t="n">
        <f aca="false">IF(G405&gt;$P$9,1,0)</f>
        <v>1</v>
      </c>
      <c r="M405" s="6" t="n">
        <f aca="false">IF(ABS(H405)&gt;$P$8,1,0)</f>
        <v>0</v>
      </c>
    </row>
    <row r="406" customFormat="false" ht="15" hidden="false" customHeight="false" outlineLevel="0" collapsed="false">
      <c r="A406" s="0" t="n">
        <f aca="false">ROW()-1</f>
        <v>405</v>
      </c>
      <c r="B406" s="22" t="n">
        <f aca="false">SUMPRODUCT(MMULT('Analysis Data'!N406:U406,'Final Model'!$B$59:$I$66),'Analysis Data'!N406:U406)</f>
        <v>0.00506834829239433</v>
      </c>
      <c r="C406" s="15" t="n">
        <f aca="false">'Residual Diagnostics'!F406</f>
        <v>4.36264884302295</v>
      </c>
      <c r="D406" s="13" t="n">
        <f aca="false">C406/('Final Model'!$B$21*SQRT(1-B406))</f>
        <v>0.0892018460864249</v>
      </c>
      <c r="E406" s="13" t="n">
        <f aca="false">D406*SQRT(('Final Model'!$B$24-1)/('Final Model'!$B$24-D406^2))</f>
        <v>0.0891697312412407</v>
      </c>
      <c r="F406" s="23" t="n">
        <f aca="false">D406^2/($P$3+1)*B406/(1-B406)</f>
        <v>5.06676663722265E-006</v>
      </c>
      <c r="G406" s="13" t="n">
        <f aca="false">($P$2-1)*(B406-1/$P$2)</f>
        <v>6.02038388568765</v>
      </c>
      <c r="H406" s="13" t="n">
        <f aca="false">E406*SQRT(B406/(1-B406))</f>
        <v>0.00636435006847716</v>
      </c>
      <c r="I406" s="13" t="n">
        <f aca="false">ABS(D406)</f>
        <v>0.0892018460864249</v>
      </c>
      <c r="J406" s="6" t="n">
        <f aca="false">IF(B406&gt;$P$4,1,0)</f>
        <v>0</v>
      </c>
      <c r="K406" s="6" t="n">
        <f aca="false">IF(F406&gt;$P$6,1,0)</f>
        <v>0</v>
      </c>
      <c r="L406" s="6" t="n">
        <f aca="false">IF(G406&gt;$P$9,1,0)</f>
        <v>0</v>
      </c>
      <c r="M406" s="6" t="n">
        <f aca="false">IF(ABS(H406)&gt;$P$8,1,0)</f>
        <v>0</v>
      </c>
    </row>
    <row r="407" customFormat="false" ht="15" hidden="false" customHeight="false" outlineLevel="0" collapsed="false">
      <c r="A407" s="0" t="n">
        <f aca="false">ROW()-1</f>
        <v>406</v>
      </c>
      <c r="B407" s="22" t="n">
        <f aca="false">SUMPRODUCT(MMULT('Analysis Data'!N407:U407,'Final Model'!$B$59:$I$66),'Analysis Data'!N407:U407)</f>
        <v>0.00574120851975671</v>
      </c>
      <c r="C407" s="15" t="n">
        <f aca="false">'Residual Diagnostics'!F407</f>
        <v>-56.0466281073983</v>
      </c>
      <c r="D407" s="13" t="n">
        <f aca="false">C407/('Final Model'!$B$21*SQRT(1-B407))</f>
        <v>-1.1463572407591</v>
      </c>
      <c r="E407" s="13" t="n">
        <f aca="false">D407*SQRT(('Final Model'!$B$24-1)/('Final Model'!$B$24-D407^2))</f>
        <v>-1.14648802233856</v>
      </c>
      <c r="F407" s="23" t="n">
        <f aca="false">D407^2/($P$3+1)*B407/(1-B407)</f>
        <v>0.000948536070691381</v>
      </c>
      <c r="G407" s="13" t="n">
        <f aca="false">($P$2-1)*(B407-1/$P$2)</f>
        <v>6.95229530058455</v>
      </c>
      <c r="H407" s="13" t="n">
        <f aca="false">E407*SQRT(B407/(1-B407))</f>
        <v>-0.0871207212799225</v>
      </c>
      <c r="I407" s="13" t="n">
        <f aca="false">ABS(D407)</f>
        <v>1.1463572407591</v>
      </c>
      <c r="J407" s="6" t="n">
        <f aca="false">IF(B407&gt;$P$4,1,0)</f>
        <v>0</v>
      </c>
      <c r="K407" s="6" t="n">
        <f aca="false">IF(F407&gt;$P$6,1,0)</f>
        <v>0</v>
      </c>
      <c r="L407" s="6" t="n">
        <f aca="false">IF(G407&gt;$P$9,1,0)</f>
        <v>0</v>
      </c>
      <c r="M407" s="6" t="n">
        <f aca="false">IF(ABS(H407)&gt;$P$8,1,0)</f>
        <v>0</v>
      </c>
    </row>
    <row r="408" customFormat="false" ht="15" hidden="false" customHeight="false" outlineLevel="0" collapsed="false">
      <c r="A408" s="0" t="n">
        <f aca="false">ROW()-1</f>
        <v>407</v>
      </c>
      <c r="B408" s="22" t="n">
        <f aca="false">SUMPRODUCT(MMULT('Analysis Data'!N408:U408,'Final Model'!$B$59:$I$66),'Analysis Data'!N408:U408)</f>
        <v>0.00704374889689697</v>
      </c>
      <c r="C408" s="15" t="n">
        <f aca="false">'Residual Diagnostics'!F408</f>
        <v>39.5491483215716</v>
      </c>
      <c r="D408" s="13" t="n">
        <f aca="false">C408/('Final Model'!$B$21*SQRT(1-B408))</f>
        <v>0.809454211924316</v>
      </c>
      <c r="E408" s="13" t="n">
        <f aca="false">D408*SQRT(('Final Model'!$B$24-1)/('Final Model'!$B$24-D408^2))</f>
        <v>0.809352892256957</v>
      </c>
      <c r="F408" s="23" t="n">
        <f aca="false">D408^2/($P$3+1)*B408/(1-B408)</f>
        <v>0.000580989573535928</v>
      </c>
      <c r="G408" s="13" t="n">
        <f aca="false">($P$2-1)*(B408-1/$P$2)</f>
        <v>8.7563137229238</v>
      </c>
      <c r="H408" s="13" t="n">
        <f aca="false">E408*SQRT(B408/(1-B408))</f>
        <v>0.0681670968900172</v>
      </c>
      <c r="I408" s="13" t="n">
        <f aca="false">ABS(D408)</f>
        <v>0.809454211924316</v>
      </c>
      <c r="J408" s="6" t="n">
        <f aca="false">IF(B408&gt;$P$4,1,0)</f>
        <v>0</v>
      </c>
      <c r="K408" s="6" t="n">
        <f aca="false">IF(F408&gt;$P$6,1,0)</f>
        <v>0</v>
      </c>
      <c r="L408" s="6" t="n">
        <f aca="false">IF(G408&gt;$P$9,1,0)</f>
        <v>0</v>
      </c>
      <c r="M408" s="6" t="n">
        <f aca="false">IF(ABS(H408)&gt;$P$8,1,0)</f>
        <v>0</v>
      </c>
    </row>
    <row r="409" customFormat="false" ht="15" hidden="false" customHeight="false" outlineLevel="0" collapsed="false">
      <c r="A409" s="0" t="n">
        <f aca="false">ROW()-1</f>
        <v>408</v>
      </c>
      <c r="B409" s="22" t="n">
        <f aca="false">SUMPRODUCT(MMULT('Analysis Data'!N409:U409,'Final Model'!$B$59:$I$66),'Analysis Data'!N409:U409)</f>
        <v>0.00270551163428543</v>
      </c>
      <c r="C409" s="15" t="n">
        <f aca="false">'Residual Diagnostics'!F409</f>
        <v>-71.0262314840729</v>
      </c>
      <c r="D409" s="13" t="n">
        <f aca="false">C409/('Final Model'!$B$21*SQRT(1-B409))</f>
        <v>-1.45053185854014</v>
      </c>
      <c r="E409" s="13" t="n">
        <f aca="false">D409*SQRT(('Final Model'!$B$24-1)/('Final Model'!$B$24-D409^2))</f>
        <v>-1.45111370774631</v>
      </c>
      <c r="F409" s="23" t="n">
        <f aca="false">D409^2/($P$3+1)*B409/(1-B409)</f>
        <v>0.000713494358520513</v>
      </c>
      <c r="G409" s="13" t="n">
        <f aca="false">($P$2-1)*(B409-1/$P$2)</f>
        <v>2.74785511420682</v>
      </c>
      <c r="H409" s="13" t="n">
        <f aca="false">E409*SQRT(B409/(1-B409))</f>
        <v>-0.0755813140247307</v>
      </c>
      <c r="I409" s="13" t="n">
        <f aca="false">ABS(D409)</f>
        <v>1.45053185854014</v>
      </c>
      <c r="J409" s="6" t="n">
        <f aca="false">IF(B409&gt;$P$4,1,0)</f>
        <v>0</v>
      </c>
      <c r="K409" s="6" t="n">
        <f aca="false">IF(F409&gt;$P$6,1,0)</f>
        <v>0</v>
      </c>
      <c r="L409" s="6" t="n">
        <f aca="false">IF(G409&gt;$P$9,1,0)</f>
        <v>0</v>
      </c>
      <c r="M409" s="6" t="n">
        <f aca="false">IF(ABS(H409)&gt;$P$8,1,0)</f>
        <v>0</v>
      </c>
    </row>
    <row r="410" customFormat="false" ht="15" hidden="false" customHeight="false" outlineLevel="0" collapsed="false">
      <c r="A410" s="0" t="n">
        <f aca="false">ROW()-1</f>
        <v>409</v>
      </c>
      <c r="B410" s="22" t="n">
        <f aca="false">SUMPRODUCT(MMULT('Analysis Data'!N410:U410,'Final Model'!$B$59:$I$66),'Analysis Data'!N410:U410)</f>
        <v>0.00290868073734595</v>
      </c>
      <c r="C410" s="15" t="n">
        <f aca="false">'Residual Diagnostics'!F410</f>
        <v>-28.1124333517575</v>
      </c>
      <c r="D410" s="13" t="n">
        <f aca="false">C410/('Final Model'!$B$21*SQRT(1-B410))</f>
        <v>-0.574184123682266</v>
      </c>
      <c r="E410" s="13" t="n">
        <f aca="false">D410*SQRT(('Final Model'!$B$24-1)/('Final Model'!$B$24-D410^2))</f>
        <v>-0.574044420564309</v>
      </c>
      <c r="F410" s="23" t="n">
        <f aca="false">D410^2/($P$3+1)*B410/(1-B410)</f>
        <v>0.000120219105580612</v>
      </c>
      <c r="G410" s="13" t="n">
        <f aca="false">($P$2-1)*(B410-1/$P$2)</f>
        <v>3.02924432194564</v>
      </c>
      <c r="H410" s="13" t="n">
        <f aca="false">E410*SQRT(B410/(1-B410))</f>
        <v>-0.0310045948020734</v>
      </c>
      <c r="I410" s="13" t="n">
        <f aca="false">ABS(D410)</f>
        <v>0.574184123682266</v>
      </c>
      <c r="J410" s="6" t="n">
        <f aca="false">IF(B410&gt;$P$4,1,0)</f>
        <v>0</v>
      </c>
      <c r="K410" s="6" t="n">
        <f aca="false">IF(F410&gt;$P$6,1,0)</f>
        <v>0</v>
      </c>
      <c r="L410" s="6" t="n">
        <f aca="false">IF(G410&gt;$P$9,1,0)</f>
        <v>0</v>
      </c>
      <c r="M410" s="6" t="n">
        <f aca="false">IF(ABS(H410)&gt;$P$8,1,0)</f>
        <v>0</v>
      </c>
    </row>
    <row r="411" customFormat="false" ht="15" hidden="false" customHeight="false" outlineLevel="0" collapsed="false">
      <c r="A411" s="0" t="n">
        <f aca="false">ROW()-1</f>
        <v>410</v>
      </c>
      <c r="B411" s="22" t="n">
        <f aca="false">SUMPRODUCT(MMULT('Analysis Data'!N411:U411,'Final Model'!$B$59:$I$66),'Analysis Data'!N411:U411)</f>
        <v>0.0036817432920853</v>
      </c>
      <c r="C411" s="15" t="n">
        <f aca="false">'Residual Diagnostics'!F411</f>
        <v>-43.2659764913508</v>
      </c>
      <c r="D411" s="13" t="n">
        <f aca="false">C411/('Final Model'!$B$21*SQRT(1-B411))</f>
        <v>-0.884031366395625</v>
      </c>
      <c r="E411" s="13" t="n">
        <f aca="false">D411*SQRT(('Final Model'!$B$24-1)/('Final Model'!$B$24-D411^2))</f>
        <v>-0.883961240127274</v>
      </c>
      <c r="F411" s="23" t="n">
        <f aca="false">D411^2/($P$3+1)*B411/(1-B411)</f>
        <v>0.000360994660125345</v>
      </c>
      <c r="G411" s="13" t="n">
        <f aca="false">($P$2-1)*(B411-1/$P$2)</f>
        <v>4.09993596025965</v>
      </c>
      <c r="H411" s="13" t="n">
        <f aca="false">E411*SQRT(B411/(1-B411))</f>
        <v>-0.0537354549772793</v>
      </c>
      <c r="I411" s="13" t="n">
        <f aca="false">ABS(D411)</f>
        <v>0.884031366395625</v>
      </c>
      <c r="J411" s="6" t="n">
        <f aca="false">IF(B411&gt;$P$4,1,0)</f>
        <v>0</v>
      </c>
      <c r="K411" s="6" t="n">
        <f aca="false">IF(F411&gt;$P$6,1,0)</f>
        <v>0</v>
      </c>
      <c r="L411" s="6" t="n">
        <f aca="false">IF(G411&gt;$P$9,1,0)</f>
        <v>0</v>
      </c>
      <c r="M411" s="6" t="n">
        <f aca="false">IF(ABS(H411)&gt;$P$8,1,0)</f>
        <v>0</v>
      </c>
    </row>
    <row r="412" customFormat="false" ht="15" hidden="false" customHeight="false" outlineLevel="0" collapsed="false">
      <c r="A412" s="0" t="n">
        <f aca="false">ROW()-1</f>
        <v>411</v>
      </c>
      <c r="B412" s="22" t="n">
        <f aca="false">SUMPRODUCT(MMULT('Analysis Data'!N412:U412,'Final Model'!$B$59:$I$66),'Analysis Data'!N412:U412)</f>
        <v>0.00400983400866624</v>
      </c>
      <c r="C412" s="15" t="n">
        <f aca="false">'Residual Diagnostics'!F412</f>
        <v>-73.806983406571</v>
      </c>
      <c r="D412" s="13" t="n">
        <f aca="false">C412/('Final Model'!$B$21*SQRT(1-B412))</f>
        <v>-1.50830836307175</v>
      </c>
      <c r="E412" s="13" t="n">
        <f aca="false">D412*SQRT(('Final Model'!$B$24-1)/('Final Model'!$B$24-D412^2))</f>
        <v>-1.50900713605342</v>
      </c>
      <c r="F412" s="23" t="n">
        <f aca="false">D412^2/($P$3+1)*B412/(1-B412)</f>
        <v>0.00114488439442097</v>
      </c>
      <c r="G412" s="13" t="n">
        <f aca="false">($P$2-1)*(B412-1/$P$2)</f>
        <v>4.55434160272425</v>
      </c>
      <c r="H412" s="13" t="n">
        <f aca="false">E412*SQRT(B412/(1-B412))</f>
        <v>-0.0957473947479725</v>
      </c>
      <c r="I412" s="13" t="n">
        <f aca="false">ABS(D412)</f>
        <v>1.50830836307175</v>
      </c>
      <c r="J412" s="6" t="n">
        <f aca="false">IF(B412&gt;$P$4,1,0)</f>
        <v>0</v>
      </c>
      <c r="K412" s="6" t="n">
        <f aca="false">IF(F412&gt;$P$6,1,0)</f>
        <v>0</v>
      </c>
      <c r="L412" s="6" t="n">
        <f aca="false">IF(G412&gt;$P$9,1,0)</f>
        <v>0</v>
      </c>
      <c r="M412" s="6" t="n">
        <f aca="false">IF(ABS(H412)&gt;$P$8,1,0)</f>
        <v>0</v>
      </c>
    </row>
    <row r="413" customFormat="false" ht="15" hidden="false" customHeight="false" outlineLevel="0" collapsed="false">
      <c r="A413" s="0" t="n">
        <f aca="false">ROW()-1</f>
        <v>412</v>
      </c>
      <c r="B413" s="22" t="n">
        <f aca="false">SUMPRODUCT(MMULT('Analysis Data'!N413:U413,'Final Model'!$B$59:$I$66),'Analysis Data'!N413:U413)</f>
        <v>0.00350111234697565</v>
      </c>
      <c r="C413" s="15" t="n">
        <f aca="false">'Residual Diagnostics'!F413</f>
        <v>8.62091434398144</v>
      </c>
      <c r="D413" s="13" t="n">
        <f aca="false">C413/('Final Model'!$B$21*SQRT(1-B413))</f>
        <v>0.176130727812148</v>
      </c>
      <c r="E413" s="13" t="n">
        <f aca="false">D413*SQRT(('Final Model'!$B$24-1)/('Final Model'!$B$24-D413^2))</f>
        <v>0.176068789985276</v>
      </c>
      <c r="F413" s="23" t="n">
        <f aca="false">D413^2/($P$3+1)*B413/(1-B413)</f>
        <v>1.36241526570379E-005</v>
      </c>
      <c r="G413" s="13" t="n">
        <f aca="false">($P$2-1)*(B413-1/$P$2)</f>
        <v>3.84976210128278</v>
      </c>
      <c r="H413" s="13" t="n">
        <f aca="false">E413*SQRT(B413/(1-B413))</f>
        <v>0.010436310554968</v>
      </c>
      <c r="I413" s="13" t="n">
        <f aca="false">ABS(D413)</f>
        <v>0.176130727812148</v>
      </c>
      <c r="J413" s="6" t="n">
        <f aca="false">IF(B413&gt;$P$4,1,0)</f>
        <v>0</v>
      </c>
      <c r="K413" s="6" t="n">
        <f aca="false">IF(F413&gt;$P$6,1,0)</f>
        <v>0</v>
      </c>
      <c r="L413" s="6" t="n">
        <f aca="false">IF(G413&gt;$P$9,1,0)</f>
        <v>0</v>
      </c>
      <c r="M413" s="6" t="n">
        <f aca="false">IF(ABS(H413)&gt;$P$8,1,0)</f>
        <v>0</v>
      </c>
    </row>
    <row r="414" customFormat="false" ht="15" hidden="false" customHeight="false" outlineLevel="0" collapsed="false">
      <c r="A414" s="0" t="n">
        <f aca="false">ROW()-1</f>
        <v>413</v>
      </c>
      <c r="B414" s="22" t="n">
        <f aca="false">SUMPRODUCT(MMULT('Analysis Data'!N414:U414,'Final Model'!$B$59:$I$66),'Analysis Data'!N414:U414)</f>
        <v>0.0026560760065111</v>
      </c>
      <c r="C414" s="15" t="n">
        <f aca="false">'Residual Diagnostics'!F414</f>
        <v>-11.5516874814518</v>
      </c>
      <c r="D414" s="13" t="n">
        <f aca="false">C414/('Final Model'!$B$21*SQRT(1-B414))</f>
        <v>-0.235908270501688</v>
      </c>
      <c r="E414" s="13" t="n">
        <f aca="false">D414*SQRT(('Final Model'!$B$24-1)/('Final Model'!$B$24-D414^2))</f>
        <v>-0.23582741908039</v>
      </c>
      <c r="F414" s="23" t="n">
        <f aca="false">D414^2/($P$3+1)*B414/(1-B414)</f>
        <v>1.85264367845339E-005</v>
      </c>
      <c r="G414" s="13" t="n">
        <f aca="false">($P$2-1)*(B414-1/$P$2)</f>
        <v>2.67938676973937</v>
      </c>
      <c r="H414" s="13" t="n">
        <f aca="false">E414*SQRT(B414/(1-B414))</f>
        <v>-0.0121700419234634</v>
      </c>
      <c r="I414" s="13" t="n">
        <f aca="false">ABS(D414)</f>
        <v>0.235908270501688</v>
      </c>
      <c r="J414" s="6" t="n">
        <f aca="false">IF(B414&gt;$P$4,1,0)</f>
        <v>0</v>
      </c>
      <c r="K414" s="6" t="n">
        <f aca="false">IF(F414&gt;$P$6,1,0)</f>
        <v>0</v>
      </c>
      <c r="L414" s="6" t="n">
        <f aca="false">IF(G414&gt;$P$9,1,0)</f>
        <v>0</v>
      </c>
      <c r="M414" s="6" t="n">
        <f aca="false">IF(ABS(H414)&gt;$P$8,1,0)</f>
        <v>0</v>
      </c>
    </row>
    <row r="415" customFormat="false" ht="15" hidden="false" customHeight="false" outlineLevel="0" collapsed="false">
      <c r="A415" s="0" t="n">
        <f aca="false">ROW()-1</f>
        <v>414</v>
      </c>
      <c r="B415" s="22" t="n">
        <f aca="false">SUMPRODUCT(MMULT('Analysis Data'!N415:U415,'Final Model'!$B$59:$I$66),'Analysis Data'!N415:U415)</f>
        <v>0.00284987211706819</v>
      </c>
      <c r="C415" s="15" t="n">
        <f aca="false">'Residual Diagnostics'!F415</f>
        <v>81.6170119206834</v>
      </c>
      <c r="D415" s="13" t="n">
        <f aca="false">C415/('Final Model'!$B$21*SQRT(1-B415))</f>
        <v>1.66694252121017</v>
      </c>
      <c r="E415" s="13" t="n">
        <f aca="false">D415*SQRT(('Final Model'!$B$24-1)/('Final Model'!$B$24-D415^2))</f>
        <v>1.66802017619187</v>
      </c>
      <c r="F415" s="23" t="n">
        <f aca="false">D415^2/($P$3+1)*B415/(1-B415)</f>
        <v>0.000992695574656026</v>
      </c>
      <c r="G415" s="13" t="n">
        <f aca="false">($P$2-1)*(B415-1/$P$2)</f>
        <v>2.94779438286094</v>
      </c>
      <c r="H415" s="13" t="n">
        <f aca="false">E415*SQRT(B415/(1-B415))</f>
        <v>0.0891730684502795</v>
      </c>
      <c r="I415" s="13" t="n">
        <f aca="false">ABS(D415)</f>
        <v>1.66694252121017</v>
      </c>
      <c r="J415" s="6" t="n">
        <f aca="false">IF(B415&gt;$P$4,1,0)</f>
        <v>0</v>
      </c>
      <c r="K415" s="6" t="n">
        <f aca="false">IF(F415&gt;$P$6,1,0)</f>
        <v>0</v>
      </c>
      <c r="L415" s="6" t="n">
        <f aca="false">IF(G415&gt;$P$9,1,0)</f>
        <v>0</v>
      </c>
      <c r="M415" s="6" t="n">
        <f aca="false">IF(ABS(H415)&gt;$P$8,1,0)</f>
        <v>0</v>
      </c>
    </row>
    <row r="416" customFormat="false" ht="15" hidden="false" customHeight="false" outlineLevel="0" collapsed="false">
      <c r="A416" s="0" t="n">
        <f aca="false">ROW()-1</f>
        <v>415</v>
      </c>
      <c r="B416" s="22" t="n">
        <f aca="false">SUMPRODUCT(MMULT('Analysis Data'!N416:U416,'Final Model'!$B$59:$I$66),'Analysis Data'!N416:U416)</f>
        <v>0.00290868073734595</v>
      </c>
      <c r="C416" s="15" t="n">
        <f aca="false">'Residual Diagnostics'!F416</f>
        <v>-49.2602750923676</v>
      </c>
      <c r="D416" s="13" t="n">
        <f aca="false">C416/('Final Model'!$B$21*SQRT(1-B416))</f>
        <v>-1.0061195177361</v>
      </c>
      <c r="E416" s="13" t="n">
        <f aca="false">D416*SQRT(('Final Model'!$B$24-1)/('Final Model'!$B$24-D416^2))</f>
        <v>-1.00612400273709</v>
      </c>
      <c r="F416" s="23" t="n">
        <f aca="false">D416^2/($P$3+1)*B416/(1-B416)</f>
        <v>0.000369122297640676</v>
      </c>
      <c r="G416" s="13" t="n">
        <f aca="false">($P$2-1)*(B416-1/$P$2)</f>
        <v>3.02924432194564</v>
      </c>
      <c r="H416" s="13" t="n">
        <f aca="false">E416*SQRT(B416/(1-B416))</f>
        <v>-0.0543415559981196</v>
      </c>
      <c r="I416" s="13" t="n">
        <f aca="false">ABS(D416)</f>
        <v>1.0061195177361</v>
      </c>
      <c r="J416" s="6" t="n">
        <f aca="false">IF(B416&gt;$P$4,1,0)</f>
        <v>0</v>
      </c>
      <c r="K416" s="6" t="n">
        <f aca="false">IF(F416&gt;$P$6,1,0)</f>
        <v>0</v>
      </c>
      <c r="L416" s="6" t="n">
        <f aca="false">IF(G416&gt;$P$9,1,0)</f>
        <v>0</v>
      </c>
      <c r="M416" s="6" t="n">
        <f aca="false">IF(ABS(H416)&gt;$P$8,1,0)</f>
        <v>0</v>
      </c>
    </row>
    <row r="417" customFormat="false" ht="15" hidden="false" customHeight="false" outlineLevel="0" collapsed="false">
      <c r="A417" s="0" t="n">
        <f aca="false">ROW()-1</f>
        <v>416</v>
      </c>
      <c r="B417" s="22" t="n">
        <f aca="false">SUMPRODUCT(MMULT('Analysis Data'!N417:U417,'Final Model'!$B$59:$I$66),'Analysis Data'!N417:U417)</f>
        <v>0.00311789147613859</v>
      </c>
      <c r="C417" s="15" t="n">
        <f aca="false">'Residual Diagnostics'!F417</f>
        <v>-9.91629015499822</v>
      </c>
      <c r="D417" s="13" t="n">
        <f aca="false">C417/('Final Model'!$B$21*SQRT(1-B417))</f>
        <v>-0.202557129531837</v>
      </c>
      <c r="E417" s="13" t="n">
        <f aca="false">D417*SQRT(('Final Model'!$B$24-1)/('Final Model'!$B$24-D417^2))</f>
        <v>-0.202486633912751</v>
      </c>
      <c r="F417" s="23" t="n">
        <f aca="false">D417^2/($P$3+1)*B417/(1-B417)</f>
        <v>1.60406614929997E-005</v>
      </c>
      <c r="G417" s="13" t="n">
        <f aca="false">($P$2-1)*(B417-1/$P$2)</f>
        <v>3.31900119517344</v>
      </c>
      <c r="H417" s="13" t="n">
        <f aca="false">E417*SQRT(B417/(1-B417))</f>
        <v>-0.0113241328945611</v>
      </c>
      <c r="I417" s="13" t="n">
        <f aca="false">ABS(D417)</f>
        <v>0.202557129531837</v>
      </c>
      <c r="J417" s="6" t="n">
        <f aca="false">IF(B417&gt;$P$4,1,0)</f>
        <v>0</v>
      </c>
      <c r="K417" s="6" t="n">
        <f aca="false">IF(F417&gt;$P$6,1,0)</f>
        <v>0</v>
      </c>
      <c r="L417" s="6" t="n">
        <f aca="false">IF(G417&gt;$P$9,1,0)</f>
        <v>0</v>
      </c>
      <c r="M417" s="6" t="n">
        <f aca="false">IF(ABS(H417)&gt;$P$8,1,0)</f>
        <v>0</v>
      </c>
    </row>
    <row r="418" customFormat="false" ht="15" hidden="false" customHeight="false" outlineLevel="0" collapsed="false">
      <c r="A418" s="0" t="n">
        <f aca="false">ROW()-1</f>
        <v>417</v>
      </c>
      <c r="B418" s="22" t="n">
        <f aca="false">SUMPRODUCT(MMULT('Analysis Data'!N418:U418,'Final Model'!$B$59:$I$66),'Analysis Data'!N418:U418)</f>
        <v>0.00565451288030556</v>
      </c>
      <c r="C418" s="15" t="n">
        <f aca="false">'Residual Diagnostics'!F418</f>
        <v>14.0334364167413</v>
      </c>
      <c r="D418" s="13" t="n">
        <f aca="false">C418/('Final Model'!$B$21*SQRT(1-B418))</f>
        <v>0.287022264508132</v>
      </c>
      <c r="E418" s="13" t="n">
        <f aca="false">D418*SQRT(('Final Model'!$B$24-1)/('Final Model'!$B$24-D418^2))</f>
        <v>0.286926677979897</v>
      </c>
      <c r="F418" s="23" t="n">
        <f aca="false">D418^2/($P$3+1)*B418/(1-B418)</f>
        <v>5.85597314986555E-005</v>
      </c>
      <c r="G418" s="13" t="n">
        <f aca="false">($P$2-1)*(B418-1/$P$2)</f>
        <v>6.8322218399447</v>
      </c>
      <c r="H418" s="13" t="n">
        <f aca="false">E418*SQRT(B418/(1-B418))</f>
        <v>0.0216371410128471</v>
      </c>
      <c r="I418" s="13" t="n">
        <f aca="false">ABS(D418)</f>
        <v>0.287022264508132</v>
      </c>
      <c r="J418" s="6" t="n">
        <f aca="false">IF(B418&gt;$P$4,1,0)</f>
        <v>0</v>
      </c>
      <c r="K418" s="6" t="n">
        <f aca="false">IF(F418&gt;$P$6,1,0)</f>
        <v>0</v>
      </c>
      <c r="L418" s="6" t="n">
        <f aca="false">IF(G418&gt;$P$9,1,0)</f>
        <v>0</v>
      </c>
      <c r="M418" s="6" t="n">
        <f aca="false">IF(ABS(H418)&gt;$P$8,1,0)</f>
        <v>0</v>
      </c>
    </row>
    <row r="419" customFormat="false" ht="15" hidden="false" customHeight="false" outlineLevel="0" collapsed="false">
      <c r="A419" s="0" t="n">
        <f aca="false">ROW()-1</f>
        <v>418</v>
      </c>
      <c r="B419" s="22" t="n">
        <f aca="false">SUMPRODUCT(MMULT('Analysis Data'!N419:U419,'Final Model'!$B$59:$I$66),'Analysis Data'!N419:U419)</f>
        <v>0.00565451288030556</v>
      </c>
      <c r="C419" s="15" t="n">
        <f aca="false">'Residual Diagnostics'!F419</f>
        <v>73.8382707927865</v>
      </c>
      <c r="D419" s="13" t="n">
        <f aca="false">C419/('Final Model'!$B$21*SQRT(1-B419))</f>
        <v>1.51019515540952</v>
      </c>
      <c r="E419" s="13" t="n">
        <f aca="false">D419*SQRT(('Final Model'!$B$24-1)/('Final Model'!$B$24-D419^2))</f>
        <v>1.51089792995463</v>
      </c>
      <c r="F419" s="23" t="n">
        <f aca="false">D419^2/($P$3+1)*B419/(1-B419)</f>
        <v>0.00162119049632369</v>
      </c>
      <c r="G419" s="13" t="n">
        <f aca="false">($P$2-1)*(B419-1/$P$2)</f>
        <v>6.8322218399447</v>
      </c>
      <c r="H419" s="13" t="n">
        <f aca="false">E419*SQRT(B419/(1-B419))</f>
        <v>0.113936814089966</v>
      </c>
      <c r="I419" s="13" t="n">
        <f aca="false">ABS(D419)</f>
        <v>1.51019515540952</v>
      </c>
      <c r="J419" s="6" t="n">
        <f aca="false">IF(B419&gt;$P$4,1,0)</f>
        <v>0</v>
      </c>
      <c r="K419" s="6" t="n">
        <f aca="false">IF(F419&gt;$P$6,1,0)</f>
        <v>0</v>
      </c>
      <c r="L419" s="6" t="n">
        <f aca="false">IF(G419&gt;$P$9,1,0)</f>
        <v>0</v>
      </c>
      <c r="M419" s="6" t="n">
        <f aca="false">IF(ABS(H419)&gt;$P$8,1,0)</f>
        <v>0</v>
      </c>
    </row>
    <row r="420" customFormat="false" ht="15" hidden="false" customHeight="false" outlineLevel="0" collapsed="false">
      <c r="A420" s="0" t="n">
        <f aca="false">ROW()-1</f>
        <v>419</v>
      </c>
      <c r="B420" s="22" t="n">
        <f aca="false">SUMPRODUCT(MMULT('Analysis Data'!N420:U420,'Final Model'!$B$59:$I$66),'Analysis Data'!N420:U420)</f>
        <v>0.0019614929876262</v>
      </c>
      <c r="C420" s="15" t="n">
        <f aca="false">'Residual Diagnostics'!F420</f>
        <v>44.3337161013741</v>
      </c>
      <c r="D420" s="13" t="n">
        <f aca="false">C420/('Final Model'!$B$21*SQRT(1-B420))</f>
        <v>0.90506692817407</v>
      </c>
      <c r="E420" s="13" t="n">
        <f aca="false">D420*SQRT(('Final Model'!$B$24-1)/('Final Model'!$B$24-D420^2))</f>
        <v>0.90500749871816</v>
      </c>
      <c r="F420" s="23" t="n">
        <f aca="false">D420^2/($P$3+1)*B420/(1-B420)</f>
        <v>0.000201238404998704</v>
      </c>
      <c r="G420" s="13" t="n">
        <f aca="false">($P$2-1)*(B420-1/$P$2)</f>
        <v>1.71738928858379</v>
      </c>
      <c r="H420" s="13" t="n">
        <f aca="false">E420*SQRT(B420/(1-B420))</f>
        <v>0.0401210147440016</v>
      </c>
      <c r="I420" s="13" t="n">
        <f aca="false">ABS(D420)</f>
        <v>0.90506692817407</v>
      </c>
      <c r="J420" s="6" t="n">
        <f aca="false">IF(B420&gt;$P$4,1,0)</f>
        <v>0</v>
      </c>
      <c r="K420" s="6" t="n">
        <f aca="false">IF(F420&gt;$P$6,1,0)</f>
        <v>0</v>
      </c>
      <c r="L420" s="6" t="n">
        <f aca="false">IF(G420&gt;$P$9,1,0)</f>
        <v>0</v>
      </c>
      <c r="M420" s="6" t="n">
        <f aca="false">IF(ABS(H420)&gt;$P$8,1,0)</f>
        <v>0</v>
      </c>
    </row>
    <row r="421" customFormat="false" ht="15" hidden="false" customHeight="false" outlineLevel="0" collapsed="false">
      <c r="A421" s="0" t="n">
        <f aca="false">ROW()-1</f>
        <v>420</v>
      </c>
      <c r="B421" s="22" t="n">
        <f aca="false">SUMPRODUCT(MMULT('Analysis Data'!N421:U421,'Final Model'!$B$59:$I$66),'Analysis Data'!N421:U421)</f>
        <v>0.00197847825844007</v>
      </c>
      <c r="C421" s="15" t="n">
        <f aca="false">'Residual Diagnostics'!F421</f>
        <v>39.2941916245292</v>
      </c>
      <c r="D421" s="13" t="n">
        <f aca="false">C421/('Final Model'!$B$21*SQRT(1-B421))</f>
        <v>0.802192531206787</v>
      </c>
      <c r="E421" s="13" t="n">
        <f aca="false">D421*SQRT(('Final Model'!$B$24-1)/('Final Model'!$B$24-D421^2))</f>
        <v>0.80208871282995</v>
      </c>
      <c r="F421" s="23" t="n">
        <f aca="false">D421^2/($P$3+1)*B421/(1-B421)</f>
        <v>0.000159462517730164</v>
      </c>
      <c r="G421" s="13" t="n">
        <f aca="false">($P$2-1)*(B421-1/$P$2)</f>
        <v>1.74091388866099</v>
      </c>
      <c r="H421" s="13" t="n">
        <f aca="false">E421*SQRT(B421/(1-B421))</f>
        <v>0.0357123223184142</v>
      </c>
      <c r="I421" s="13" t="n">
        <f aca="false">ABS(D421)</f>
        <v>0.802192531206787</v>
      </c>
      <c r="J421" s="6" t="n">
        <f aca="false">IF(B421&gt;$P$4,1,0)</f>
        <v>0</v>
      </c>
      <c r="K421" s="6" t="n">
        <f aca="false">IF(F421&gt;$P$6,1,0)</f>
        <v>0</v>
      </c>
      <c r="L421" s="6" t="n">
        <f aca="false">IF(G421&gt;$P$9,1,0)</f>
        <v>0</v>
      </c>
      <c r="M421" s="6" t="n">
        <f aca="false">IF(ABS(H421)&gt;$P$8,1,0)</f>
        <v>0</v>
      </c>
    </row>
    <row r="422" customFormat="false" ht="15" hidden="false" customHeight="false" outlineLevel="0" collapsed="false">
      <c r="A422" s="0" t="n">
        <f aca="false">ROW()-1</f>
        <v>421</v>
      </c>
      <c r="B422" s="22" t="n">
        <f aca="false">SUMPRODUCT(MMULT('Analysis Data'!N422:U422,'Final Model'!$B$59:$I$66),'Analysis Data'!N422:U422)</f>
        <v>0.00400983400866624</v>
      </c>
      <c r="C422" s="15" t="n">
        <f aca="false">'Residual Diagnostics'!F422</f>
        <v>-17.0509723767816</v>
      </c>
      <c r="D422" s="13" t="n">
        <f aca="false">C422/('Final Model'!$B$21*SQRT(1-B422))</f>
        <v>-0.348451095646803</v>
      </c>
      <c r="E422" s="13" t="n">
        <f aca="false">D422*SQRT(('Final Model'!$B$24-1)/('Final Model'!$B$24-D422^2))</f>
        <v>-0.348339985849467</v>
      </c>
      <c r="F422" s="23" t="n">
        <f aca="false">D422^2/($P$3+1)*B422/(1-B422)</f>
        <v>6.11033507347042E-005</v>
      </c>
      <c r="G422" s="13" t="n">
        <f aca="false">($P$2-1)*(B422-1/$P$2)</f>
        <v>4.55434160272425</v>
      </c>
      <c r="H422" s="13" t="n">
        <f aca="false">E422*SQRT(B422/(1-B422))</f>
        <v>-0.0221023780038979</v>
      </c>
      <c r="I422" s="13" t="n">
        <f aca="false">ABS(D422)</f>
        <v>0.348451095646803</v>
      </c>
      <c r="J422" s="6" t="n">
        <f aca="false">IF(B422&gt;$P$4,1,0)</f>
        <v>0</v>
      </c>
      <c r="K422" s="6" t="n">
        <f aca="false">IF(F422&gt;$P$6,1,0)</f>
        <v>0</v>
      </c>
      <c r="L422" s="6" t="n">
        <f aca="false">IF(G422&gt;$P$9,1,0)</f>
        <v>0</v>
      </c>
      <c r="M422" s="6" t="n">
        <f aca="false">IF(ABS(H422)&gt;$P$8,1,0)</f>
        <v>0</v>
      </c>
    </row>
    <row r="423" customFormat="false" ht="15" hidden="false" customHeight="false" outlineLevel="0" collapsed="false">
      <c r="A423" s="0" t="n">
        <f aca="false">ROW()-1</f>
        <v>422</v>
      </c>
      <c r="B423" s="22" t="n">
        <f aca="false">SUMPRODUCT(MMULT('Analysis Data'!N423:U423,'Final Model'!$B$59:$I$66),'Analysis Data'!N423:U423)</f>
        <v>0.00308954724534171</v>
      </c>
      <c r="C423" s="15" t="n">
        <f aca="false">'Residual Diagnostics'!F423</f>
        <v>-62.939196373096</v>
      </c>
      <c r="D423" s="13" t="n">
        <f aca="false">C423/('Final Model'!$B$21*SQRT(1-B423))</f>
        <v>-1.28562209401435</v>
      </c>
      <c r="E423" s="13" t="n">
        <f aca="false">D423*SQRT(('Final Model'!$B$24-1)/('Final Model'!$B$24-D423^2))</f>
        <v>-1.28592695375153</v>
      </c>
      <c r="F423" s="23" t="n">
        <f aca="false">D423^2/($P$3+1)*B423/(1-B423)</f>
        <v>0.000640287994658558</v>
      </c>
      <c r="G423" s="13" t="n">
        <f aca="false">($P$2-1)*(B423-1/$P$2)</f>
        <v>3.27974443551977</v>
      </c>
      <c r="H423" s="13" t="n">
        <f aca="false">E423*SQRT(B423/(1-B423))</f>
        <v>-0.0715872443283635</v>
      </c>
      <c r="I423" s="13" t="n">
        <f aca="false">ABS(D423)</f>
        <v>1.28562209401435</v>
      </c>
      <c r="J423" s="6" t="n">
        <f aca="false">IF(B423&gt;$P$4,1,0)</f>
        <v>0</v>
      </c>
      <c r="K423" s="6" t="n">
        <f aca="false">IF(F423&gt;$P$6,1,0)</f>
        <v>0</v>
      </c>
      <c r="L423" s="6" t="n">
        <f aca="false">IF(G423&gt;$P$9,1,0)</f>
        <v>0</v>
      </c>
      <c r="M423" s="6" t="n">
        <f aca="false">IF(ABS(H423)&gt;$P$8,1,0)</f>
        <v>0</v>
      </c>
    </row>
    <row r="424" customFormat="false" ht="15" hidden="false" customHeight="false" outlineLevel="0" collapsed="false">
      <c r="A424" s="0" t="n">
        <f aca="false">ROW()-1</f>
        <v>423</v>
      </c>
      <c r="B424" s="22" t="n">
        <f aca="false">SUMPRODUCT(MMULT('Analysis Data'!N424:U424,'Final Model'!$B$59:$I$66),'Analysis Data'!N424:U424)</f>
        <v>0.00272038866450289</v>
      </c>
      <c r="C424" s="15" t="n">
        <f aca="false">'Residual Diagnostics'!F424</f>
        <v>-68.9357104371926</v>
      </c>
      <c r="D424" s="13" t="n">
        <f aca="false">C424/('Final Model'!$B$21*SQRT(1-B424))</f>
        <v>-1.40784873306399</v>
      </c>
      <c r="E424" s="13" t="n">
        <f aca="false">D424*SQRT(('Final Model'!$B$24-1)/('Final Model'!$B$24-D424^2))</f>
        <v>-1.40835102099958</v>
      </c>
      <c r="F424" s="23" t="n">
        <f aca="false">D424^2/($P$3+1)*B424/(1-B424)</f>
        <v>0.000675827746384412</v>
      </c>
      <c r="G424" s="13" t="n">
        <f aca="false">($P$2-1)*(B424-1/$P$2)</f>
        <v>2.768459801058</v>
      </c>
      <c r="H424" s="13" t="n">
        <f aca="false">E424*SQRT(B424/(1-B424))</f>
        <v>-0.0735559689974774</v>
      </c>
      <c r="I424" s="13" t="n">
        <f aca="false">ABS(D424)</f>
        <v>1.40784873306399</v>
      </c>
      <c r="J424" s="6" t="n">
        <f aca="false">IF(B424&gt;$P$4,1,0)</f>
        <v>0</v>
      </c>
      <c r="K424" s="6" t="n">
        <f aca="false">IF(F424&gt;$P$6,1,0)</f>
        <v>0</v>
      </c>
      <c r="L424" s="6" t="n">
        <f aca="false">IF(G424&gt;$P$9,1,0)</f>
        <v>0</v>
      </c>
      <c r="M424" s="6" t="n">
        <f aca="false">IF(ABS(H424)&gt;$P$8,1,0)</f>
        <v>0</v>
      </c>
    </row>
    <row r="425" customFormat="false" ht="15" hidden="false" customHeight="false" outlineLevel="0" collapsed="false">
      <c r="A425" s="0" t="n">
        <f aca="false">ROW()-1</f>
        <v>424</v>
      </c>
      <c r="B425" s="22" t="n">
        <f aca="false">SUMPRODUCT(MMULT('Analysis Data'!N425:U425,'Final Model'!$B$59:$I$66),'Analysis Data'!N425:U425)</f>
        <v>0.00240272850142621</v>
      </c>
      <c r="C425" s="15" t="n">
        <f aca="false">'Residual Diagnostics'!F425</f>
        <v>46.4193064872072</v>
      </c>
      <c r="D425" s="13" t="n">
        <f aca="false">C425/('Final Model'!$B$21*SQRT(1-B425))</f>
        <v>0.947853526466427</v>
      </c>
      <c r="E425" s="13" t="n">
        <f aca="false">D425*SQRT(('Final Model'!$B$24-1)/('Final Model'!$B$24-D425^2))</f>
        <v>0.947818569437935</v>
      </c>
      <c r="F425" s="23" t="n">
        <f aca="false">D425^2/($P$3+1)*B425/(1-B425)</f>
        <v>0.000270484212098764</v>
      </c>
      <c r="G425" s="13" t="n">
        <f aca="false">($P$2-1)*(B425-1/$P$2)</f>
        <v>2.32850047519681</v>
      </c>
      <c r="H425" s="13" t="n">
        <f aca="false">E425*SQRT(B425/(1-B425))</f>
        <v>0.0465157402557449</v>
      </c>
      <c r="I425" s="13" t="n">
        <f aca="false">ABS(D425)</f>
        <v>0.947853526466427</v>
      </c>
      <c r="J425" s="6" t="n">
        <f aca="false">IF(B425&gt;$P$4,1,0)</f>
        <v>0</v>
      </c>
      <c r="K425" s="6" t="n">
        <f aca="false">IF(F425&gt;$P$6,1,0)</f>
        <v>0</v>
      </c>
      <c r="L425" s="6" t="n">
        <f aca="false">IF(G425&gt;$P$9,1,0)</f>
        <v>0</v>
      </c>
      <c r="M425" s="6" t="n">
        <f aca="false">IF(ABS(H425)&gt;$P$8,1,0)</f>
        <v>0</v>
      </c>
    </row>
    <row r="426" customFormat="false" ht="15" hidden="false" customHeight="false" outlineLevel="0" collapsed="false">
      <c r="A426" s="0" t="n">
        <f aca="false">ROW()-1</f>
        <v>425</v>
      </c>
      <c r="B426" s="22" t="n">
        <f aca="false">SUMPRODUCT(MMULT('Analysis Data'!N426:U426,'Final Model'!$B$59:$I$66),'Analysis Data'!N426:U426)</f>
        <v>0.00304767352362118</v>
      </c>
      <c r="C426" s="15" t="n">
        <f aca="false">'Residual Diagnostics'!F426</f>
        <v>-25.7203931967321</v>
      </c>
      <c r="D426" s="13" t="n">
        <f aca="false">C426/('Final Model'!$B$21*SQRT(1-B426))</f>
        <v>-0.52536437115816</v>
      </c>
      <c r="E426" s="13" t="n">
        <f aca="false">D426*SQRT(('Final Model'!$B$24-1)/('Final Model'!$B$24-D426^2))</f>
        <v>-0.525226313850414</v>
      </c>
      <c r="F426" s="23" t="n">
        <f aca="false">D426^2/($P$3+1)*B426/(1-B426)</f>
        <v>0.000105469113941697</v>
      </c>
      <c r="G426" s="13" t="n">
        <f aca="false">($P$2-1)*(B426-1/$P$2)</f>
        <v>3.22174933093683</v>
      </c>
      <c r="H426" s="13" t="n">
        <f aca="false">E426*SQRT(B426/(1-B426))</f>
        <v>-0.0290397920172941</v>
      </c>
      <c r="I426" s="13" t="n">
        <f aca="false">ABS(D426)</f>
        <v>0.52536437115816</v>
      </c>
      <c r="J426" s="6" t="n">
        <f aca="false">IF(B426&gt;$P$4,1,0)</f>
        <v>0</v>
      </c>
      <c r="K426" s="6" t="n">
        <f aca="false">IF(F426&gt;$P$6,1,0)</f>
        <v>0</v>
      </c>
      <c r="L426" s="6" t="n">
        <f aca="false">IF(G426&gt;$P$9,1,0)</f>
        <v>0</v>
      </c>
      <c r="M426" s="6" t="n">
        <f aca="false">IF(ABS(H426)&gt;$P$8,1,0)</f>
        <v>0</v>
      </c>
    </row>
    <row r="427" customFormat="false" ht="15" hidden="false" customHeight="false" outlineLevel="0" collapsed="false">
      <c r="A427" s="0" t="n">
        <f aca="false">ROW()-1</f>
        <v>426</v>
      </c>
      <c r="B427" s="22" t="n">
        <f aca="false">SUMPRODUCT(MMULT('Analysis Data'!N427:U427,'Final Model'!$B$59:$I$66),'Analysis Data'!N427:U427)</f>
        <v>0.00304767352362118</v>
      </c>
      <c r="C427" s="15" t="n">
        <f aca="false">'Residual Diagnostics'!F427</f>
        <v>-73.2438693811405</v>
      </c>
      <c r="D427" s="13" t="n">
        <f aca="false">C427/('Final Model'!$B$21*SQRT(1-B427))</f>
        <v>-1.49607819306208</v>
      </c>
      <c r="E427" s="13" t="n">
        <f aca="false">D427*SQRT(('Final Model'!$B$24-1)/('Final Model'!$B$24-D427^2))</f>
        <v>-1.49675131183115</v>
      </c>
      <c r="F427" s="23" t="n">
        <f aca="false">D427^2/($P$3+1)*B427/(1-B427)</f>
        <v>0.000855288532916106</v>
      </c>
      <c r="G427" s="13" t="n">
        <f aca="false">($P$2-1)*(B427-1/$P$2)</f>
        <v>3.22174933093683</v>
      </c>
      <c r="H427" s="13" t="n">
        <f aca="false">E427*SQRT(B427/(1-B427))</f>
        <v>-0.0827554630280156</v>
      </c>
      <c r="I427" s="13" t="n">
        <f aca="false">ABS(D427)</f>
        <v>1.49607819306208</v>
      </c>
      <c r="J427" s="6" t="n">
        <f aca="false">IF(B427&gt;$P$4,1,0)</f>
        <v>0</v>
      </c>
      <c r="K427" s="6" t="n">
        <f aca="false">IF(F427&gt;$P$6,1,0)</f>
        <v>0</v>
      </c>
      <c r="L427" s="6" t="n">
        <f aca="false">IF(G427&gt;$P$9,1,0)</f>
        <v>0</v>
      </c>
      <c r="M427" s="6" t="n">
        <f aca="false">IF(ABS(H427)&gt;$P$8,1,0)</f>
        <v>0</v>
      </c>
    </row>
    <row r="428" customFormat="false" ht="15" hidden="false" customHeight="false" outlineLevel="0" collapsed="false">
      <c r="A428" s="0" t="n">
        <f aca="false">ROW()-1</f>
        <v>427</v>
      </c>
      <c r="B428" s="22" t="n">
        <f aca="false">SUMPRODUCT(MMULT('Analysis Data'!N428:U428,'Final Model'!$B$59:$I$66),'Analysis Data'!N428:U428)</f>
        <v>0.00348359023360544</v>
      </c>
      <c r="C428" s="15" t="n">
        <f aca="false">'Residual Diagnostics'!F428</f>
        <v>-84.3198367408939</v>
      </c>
      <c r="D428" s="13" t="n">
        <f aca="false">C428/('Final Model'!$B$21*SQRT(1-B428))</f>
        <v>-1.72269240279809</v>
      </c>
      <c r="E428" s="13" t="n">
        <f aca="false">D428*SQRT(('Final Model'!$B$24-1)/('Final Model'!$B$24-D428^2))</f>
        <v>-1.72392454722336</v>
      </c>
      <c r="F428" s="23" t="n">
        <f aca="false">D428^2/($P$3+1)*B428/(1-B428)</f>
        <v>0.00129678536187119</v>
      </c>
      <c r="G428" s="13" t="n">
        <f aca="false">($P$2-1)*(B428-1/$P$2)</f>
        <v>3.82549397426503</v>
      </c>
      <c r="H428" s="13" t="n">
        <f aca="false">E428*SQRT(B428/(1-B428))</f>
        <v>-0.101927074310826</v>
      </c>
      <c r="I428" s="13" t="n">
        <f aca="false">ABS(D428)</f>
        <v>1.72269240279809</v>
      </c>
      <c r="J428" s="6" t="n">
        <f aca="false">IF(B428&gt;$P$4,1,0)</f>
        <v>0</v>
      </c>
      <c r="K428" s="6" t="n">
        <f aca="false">IF(F428&gt;$P$6,1,0)</f>
        <v>0</v>
      </c>
      <c r="L428" s="6" t="n">
        <f aca="false">IF(G428&gt;$P$9,1,0)</f>
        <v>0</v>
      </c>
      <c r="M428" s="6" t="n">
        <f aca="false">IF(ABS(H428)&gt;$P$8,1,0)</f>
        <v>0</v>
      </c>
    </row>
    <row r="429" customFormat="false" ht="15" hidden="false" customHeight="false" outlineLevel="0" collapsed="false">
      <c r="A429" s="0" t="n">
        <f aca="false">ROW()-1</f>
        <v>428</v>
      </c>
      <c r="B429" s="22" t="n">
        <f aca="false">SUMPRODUCT(MMULT('Analysis Data'!N429:U429,'Final Model'!$B$59:$I$66),'Analysis Data'!N429:U429)</f>
        <v>0.00415873641157279</v>
      </c>
      <c r="C429" s="15" t="n">
        <f aca="false">'Residual Diagnostics'!F429</f>
        <v>46.7897533778185</v>
      </c>
      <c r="D429" s="13" t="n">
        <f aca="false">C429/('Final Model'!$B$21*SQRT(1-B429))</f>
        <v>0.956259815617589</v>
      </c>
      <c r="E429" s="13" t="n">
        <f aca="false">D429*SQRT(('Final Model'!$B$24-1)/('Final Model'!$B$24-D429^2))</f>
        <v>0.956230105876045</v>
      </c>
      <c r="F429" s="23" t="n">
        <f aca="false">D429^2/($P$3+1)*B429/(1-B429)</f>
        <v>0.00047734579618182</v>
      </c>
      <c r="G429" s="13" t="n">
        <f aca="false">($P$2-1)*(B429-1/$P$2)</f>
        <v>4.76057143074982</v>
      </c>
      <c r="H429" s="13" t="n">
        <f aca="false">E429*SQRT(B429/(1-B429))</f>
        <v>0.06179424799275</v>
      </c>
      <c r="I429" s="13" t="n">
        <f aca="false">ABS(D429)</f>
        <v>0.956259815617589</v>
      </c>
      <c r="J429" s="6" t="n">
        <f aca="false">IF(B429&gt;$P$4,1,0)</f>
        <v>0</v>
      </c>
      <c r="K429" s="6" t="n">
        <f aca="false">IF(F429&gt;$P$6,1,0)</f>
        <v>0</v>
      </c>
      <c r="L429" s="6" t="n">
        <f aca="false">IF(G429&gt;$P$9,1,0)</f>
        <v>0</v>
      </c>
      <c r="M429" s="6" t="n">
        <f aca="false">IF(ABS(H429)&gt;$P$8,1,0)</f>
        <v>0</v>
      </c>
    </row>
    <row r="430" customFormat="false" ht="15" hidden="false" customHeight="false" outlineLevel="0" collapsed="false">
      <c r="A430" s="0" t="n">
        <f aca="false">ROW()-1</f>
        <v>429</v>
      </c>
      <c r="B430" s="22" t="n">
        <f aca="false">SUMPRODUCT(MMULT('Analysis Data'!N430:U430,'Final Model'!$B$59:$I$66),'Analysis Data'!N430:U430)</f>
        <v>0.00288150022035099</v>
      </c>
      <c r="C430" s="15" t="n">
        <f aca="false">'Residual Diagnostics'!F430</f>
        <v>8.32561298892594</v>
      </c>
      <c r="D430" s="13" t="n">
        <f aca="false">C430/('Final Model'!$B$21*SQRT(1-B430))</f>
        <v>0.17004467677403</v>
      </c>
      <c r="E430" s="13" t="n">
        <f aca="false">D430*SQRT(('Final Model'!$B$24-1)/('Final Model'!$B$24-D430^2))</f>
        <v>0.169984749208567</v>
      </c>
      <c r="F430" s="23" t="n">
        <f aca="false">D430^2/($P$3+1)*B430/(1-B430)</f>
        <v>1.0444988788156E-005</v>
      </c>
      <c r="G430" s="13" t="n">
        <f aca="false">($P$2-1)*(B430-1/$P$2)</f>
        <v>2.99159930590762</v>
      </c>
      <c r="H430" s="13" t="n">
        <f aca="false">E430*SQRT(B430/(1-B430))</f>
        <v>0.00913788946656181</v>
      </c>
      <c r="I430" s="13" t="n">
        <f aca="false">ABS(D430)</f>
        <v>0.17004467677403</v>
      </c>
      <c r="J430" s="6" t="n">
        <f aca="false">IF(B430&gt;$P$4,1,0)</f>
        <v>0</v>
      </c>
      <c r="K430" s="6" t="n">
        <f aca="false">IF(F430&gt;$P$6,1,0)</f>
        <v>0</v>
      </c>
      <c r="L430" s="6" t="n">
        <f aca="false">IF(G430&gt;$P$9,1,0)</f>
        <v>0</v>
      </c>
      <c r="M430" s="6" t="n">
        <f aca="false">IF(ABS(H430)&gt;$P$8,1,0)</f>
        <v>0</v>
      </c>
    </row>
    <row r="431" customFormat="false" ht="15" hidden="false" customHeight="false" outlineLevel="0" collapsed="false">
      <c r="A431" s="0" t="n">
        <f aca="false">ROW()-1</f>
        <v>430</v>
      </c>
      <c r="B431" s="22" t="n">
        <f aca="false">SUMPRODUCT(MMULT('Analysis Data'!N431:U431,'Final Model'!$B$59:$I$66),'Analysis Data'!N431:U431)</f>
        <v>0.00197847825844007</v>
      </c>
      <c r="C431" s="15" t="n">
        <f aca="false">'Residual Diagnostics'!F431</f>
        <v>-49.0746643115798</v>
      </c>
      <c r="D431" s="13" t="n">
        <f aca="false">C431/('Final Model'!$B$21*SQRT(1-B431))</f>
        <v>-1.0018612816469</v>
      </c>
      <c r="E431" s="13" t="n">
        <f aca="false">D431*SQRT(('Final Model'!$B$24-1)/('Final Model'!$B$24-D431^2))</f>
        <v>-1.00186263711909</v>
      </c>
      <c r="F431" s="23" t="n">
        <f aca="false">D431^2/($P$3+1)*B431/(1-B431)</f>
        <v>0.0002487233591537</v>
      </c>
      <c r="G431" s="13" t="n">
        <f aca="false">($P$2-1)*(B431-1/$P$2)</f>
        <v>1.74091388866099</v>
      </c>
      <c r="H431" s="13" t="n">
        <f aca="false">E431*SQRT(B431/(1-B431))</f>
        <v>-0.0446070875244431</v>
      </c>
      <c r="I431" s="13" t="n">
        <f aca="false">ABS(D431)</f>
        <v>1.0018612816469</v>
      </c>
      <c r="J431" s="6" t="n">
        <f aca="false">IF(B431&gt;$P$4,1,0)</f>
        <v>0</v>
      </c>
      <c r="K431" s="6" t="n">
        <f aca="false">IF(F431&gt;$P$6,1,0)</f>
        <v>0</v>
      </c>
      <c r="L431" s="6" t="n">
        <f aca="false">IF(G431&gt;$P$9,1,0)</f>
        <v>0</v>
      </c>
      <c r="M431" s="6" t="n">
        <f aca="false">IF(ABS(H431)&gt;$P$8,1,0)</f>
        <v>0</v>
      </c>
    </row>
    <row r="432" customFormat="false" ht="15" hidden="false" customHeight="false" outlineLevel="0" collapsed="false">
      <c r="A432" s="0" t="n">
        <f aca="false">ROW()-1</f>
        <v>431</v>
      </c>
      <c r="B432" s="22" t="n">
        <f aca="false">SUMPRODUCT(MMULT('Analysis Data'!N432:U432,'Final Model'!$B$59:$I$66),'Analysis Data'!N432:U432)</f>
        <v>0.00221688059806092</v>
      </c>
      <c r="C432" s="15" t="n">
        <f aca="false">'Residual Diagnostics'!F432</f>
        <v>36.3714376479806</v>
      </c>
      <c r="D432" s="13" t="n">
        <f aca="false">C432/('Final Model'!$B$21*SQRT(1-B432))</f>
        <v>0.742613090210996</v>
      </c>
      <c r="E432" s="13" t="n">
        <f aca="false">D432*SQRT(('Final Model'!$B$24-1)/('Final Model'!$B$24-D432^2))</f>
        <v>0.742492175257811</v>
      </c>
      <c r="F432" s="23" t="n">
        <f aca="false">D432^2/($P$3+1)*B432/(1-B432)</f>
        <v>0.000153158591584704</v>
      </c>
      <c r="G432" s="13" t="n">
        <f aca="false">($P$2-1)*(B432-1/$P$2)</f>
        <v>2.07110112903587</v>
      </c>
      <c r="H432" s="13" t="n">
        <f aca="false">E432*SQRT(B432/(1-B432))</f>
        <v>0.0349981393759029</v>
      </c>
      <c r="I432" s="13" t="n">
        <f aca="false">ABS(D432)</f>
        <v>0.742613090210996</v>
      </c>
      <c r="J432" s="6" t="n">
        <f aca="false">IF(B432&gt;$P$4,1,0)</f>
        <v>0</v>
      </c>
      <c r="K432" s="6" t="n">
        <f aca="false">IF(F432&gt;$P$6,1,0)</f>
        <v>0</v>
      </c>
      <c r="L432" s="6" t="n">
        <f aca="false">IF(G432&gt;$P$9,1,0)</f>
        <v>0</v>
      </c>
      <c r="M432" s="6" t="n">
        <f aca="false">IF(ABS(H432)&gt;$P$8,1,0)</f>
        <v>0</v>
      </c>
    </row>
    <row r="433" customFormat="false" ht="15" hidden="false" customHeight="false" outlineLevel="0" collapsed="false">
      <c r="A433" s="0" t="n">
        <f aca="false">ROW()-1</f>
        <v>432</v>
      </c>
      <c r="B433" s="22" t="n">
        <f aca="false">SUMPRODUCT(MMULT('Analysis Data'!N433:U433,'Final Model'!$B$59:$I$66),'Analysis Data'!N433:U433)</f>
        <v>0.00355839447475502</v>
      </c>
      <c r="C433" s="15" t="n">
        <f aca="false">'Residual Diagnostics'!F433</f>
        <v>31.8406703334657</v>
      </c>
      <c r="D433" s="13" t="n">
        <f aca="false">C433/('Final Model'!$B$21*SQRT(1-B433))</f>
        <v>0.650543713799218</v>
      </c>
      <c r="E433" s="13" t="n">
        <f aca="false">D433*SQRT(('Final Model'!$B$24-1)/('Final Model'!$B$24-D433^2))</f>
        <v>0.650407507865984</v>
      </c>
      <c r="F433" s="23" t="n">
        <f aca="false">D433^2/($P$3+1)*B433/(1-B433)</f>
        <v>0.000188914468471555</v>
      </c>
      <c r="G433" s="13" t="n">
        <f aca="false">($P$2-1)*(B433-1/$P$2)</f>
        <v>3.9290978482572</v>
      </c>
      <c r="H433" s="13" t="n">
        <f aca="false">E433*SQRT(B433/(1-B433))</f>
        <v>0.0388675051714483</v>
      </c>
      <c r="I433" s="13" t="n">
        <f aca="false">ABS(D433)</f>
        <v>0.650543713799218</v>
      </c>
      <c r="J433" s="6" t="n">
        <f aca="false">IF(B433&gt;$P$4,1,0)</f>
        <v>0</v>
      </c>
      <c r="K433" s="6" t="n">
        <f aca="false">IF(F433&gt;$P$6,1,0)</f>
        <v>0</v>
      </c>
      <c r="L433" s="6" t="n">
        <f aca="false">IF(G433&gt;$P$9,1,0)</f>
        <v>0</v>
      </c>
      <c r="M433" s="6" t="n">
        <f aca="false">IF(ABS(H433)&gt;$P$8,1,0)</f>
        <v>0</v>
      </c>
    </row>
    <row r="434" customFormat="false" ht="15" hidden="false" customHeight="false" outlineLevel="0" collapsed="false">
      <c r="A434" s="0" t="n">
        <f aca="false">ROW()-1</f>
        <v>433</v>
      </c>
      <c r="B434" s="22" t="n">
        <f aca="false">SUMPRODUCT(MMULT('Analysis Data'!N434:U434,'Final Model'!$B$59:$I$66),'Analysis Data'!N434:U434)</f>
        <v>0.00296054084046904</v>
      </c>
      <c r="C434" s="15" t="n">
        <f aca="false">'Residual Diagnostics'!F434</f>
        <v>-3.1206070753465</v>
      </c>
      <c r="D434" s="13" t="n">
        <f aca="false">C434/('Final Model'!$B$21*SQRT(1-B434))</f>
        <v>-0.0637386886931107</v>
      </c>
      <c r="E434" s="13" t="n">
        <f aca="false">D434*SQRT(('Final Model'!$B$24-1)/('Final Model'!$B$24-D434^2))</f>
        <v>-0.0637156511735838</v>
      </c>
      <c r="F434" s="23" t="n">
        <f aca="false">D434^2/($P$3+1)*B434/(1-B434)</f>
        <v>1.50790843964945E-006</v>
      </c>
      <c r="G434" s="13" t="n">
        <f aca="false">($P$2-1)*(B434-1/$P$2)</f>
        <v>3.10107056477112</v>
      </c>
      <c r="H434" s="13" t="n">
        <f aca="false">E434*SQRT(B434/(1-B434))</f>
        <v>-0.00347196613909148</v>
      </c>
      <c r="I434" s="13" t="n">
        <f aca="false">ABS(D434)</f>
        <v>0.0637386886931107</v>
      </c>
      <c r="J434" s="6" t="n">
        <f aca="false">IF(B434&gt;$P$4,1,0)</f>
        <v>0</v>
      </c>
      <c r="K434" s="6" t="n">
        <f aca="false">IF(F434&gt;$P$6,1,0)</f>
        <v>0</v>
      </c>
      <c r="L434" s="6" t="n">
        <f aca="false">IF(G434&gt;$P$9,1,0)</f>
        <v>0</v>
      </c>
      <c r="M434" s="6" t="n">
        <f aca="false">IF(ABS(H434)&gt;$P$8,1,0)</f>
        <v>0</v>
      </c>
    </row>
    <row r="435" customFormat="false" ht="15" hidden="false" customHeight="false" outlineLevel="0" collapsed="false">
      <c r="A435" s="0" t="n">
        <f aca="false">ROW()-1</f>
        <v>434</v>
      </c>
      <c r="B435" s="22" t="n">
        <f aca="false">SUMPRODUCT(MMULT('Analysis Data'!N435:U435,'Final Model'!$B$59:$I$66),'Analysis Data'!N435:U435)</f>
        <v>0.00329733880810711</v>
      </c>
      <c r="C435" s="15" t="n">
        <f aca="false">'Residual Diagnostics'!F435</f>
        <v>76.2995174029896</v>
      </c>
      <c r="D435" s="13" t="n">
        <f aca="false">C435/('Final Model'!$B$21*SQRT(1-B435))</f>
        <v>1.55868799655426</v>
      </c>
      <c r="E435" s="13" t="n">
        <f aca="false">D435*SQRT(('Final Model'!$B$24-1)/('Final Model'!$B$24-D435^2))</f>
        <v>1.55949768926532</v>
      </c>
      <c r="F435" s="23" t="n">
        <f aca="false">D435^2/($P$3+1)*B435/(1-B435)</f>
        <v>0.00100467674778937</v>
      </c>
      <c r="G435" s="13" t="n">
        <f aca="false">($P$2-1)*(B435-1/$P$2)</f>
        <v>3.56753574994985</v>
      </c>
      <c r="H435" s="13" t="n">
        <f aca="false">E435*SQRT(B435/(1-B435))</f>
        <v>0.0896981970443006</v>
      </c>
      <c r="I435" s="13" t="n">
        <f aca="false">ABS(D435)</f>
        <v>1.55868799655426</v>
      </c>
      <c r="J435" s="6" t="n">
        <f aca="false">IF(B435&gt;$P$4,1,0)</f>
        <v>0</v>
      </c>
      <c r="K435" s="6" t="n">
        <f aca="false">IF(F435&gt;$P$6,1,0)</f>
        <v>0</v>
      </c>
      <c r="L435" s="6" t="n">
        <f aca="false">IF(G435&gt;$P$9,1,0)</f>
        <v>0</v>
      </c>
      <c r="M435" s="6" t="n">
        <f aca="false">IF(ABS(H435)&gt;$P$8,1,0)</f>
        <v>0</v>
      </c>
    </row>
    <row r="436" customFormat="false" ht="15" hidden="false" customHeight="false" outlineLevel="0" collapsed="false">
      <c r="A436" s="0" t="n">
        <f aca="false">ROW()-1</f>
        <v>435</v>
      </c>
      <c r="B436" s="22" t="n">
        <f aca="false">SUMPRODUCT(MMULT('Analysis Data'!N436:U436,'Final Model'!$B$59:$I$66),'Analysis Data'!N436:U436)</f>
        <v>0.00205842177484457</v>
      </c>
      <c r="C436" s="15" t="n">
        <f aca="false">'Residual Diagnostics'!F436</f>
        <v>49.1412124561436</v>
      </c>
      <c r="D436" s="13" t="n">
        <f aca="false">C436/('Final Model'!$B$21*SQRT(1-B436))</f>
        <v>1.00326004711454</v>
      </c>
      <c r="E436" s="13" t="n">
        <f aca="false">D436*SQRT(('Final Model'!$B$24-1)/('Final Model'!$B$24-D436^2))</f>
        <v>1.00326242621254</v>
      </c>
      <c r="F436" s="23" t="n">
        <f aca="false">D436^2/($P$3+1)*B436/(1-B436)</f>
        <v>0.000259517290478584</v>
      </c>
      <c r="G436" s="13" t="n">
        <f aca="false">($P$2-1)*(B436-1/$P$2)</f>
        <v>1.85163565888124</v>
      </c>
      <c r="H436" s="13" t="n">
        <f aca="false">E436*SQRT(B436/(1-B436))</f>
        <v>0.0455647689603836</v>
      </c>
      <c r="I436" s="13" t="n">
        <f aca="false">ABS(D436)</f>
        <v>1.00326004711454</v>
      </c>
      <c r="J436" s="6" t="n">
        <f aca="false">IF(B436&gt;$P$4,1,0)</f>
        <v>0</v>
      </c>
      <c r="K436" s="6" t="n">
        <f aca="false">IF(F436&gt;$P$6,1,0)</f>
        <v>0</v>
      </c>
      <c r="L436" s="6" t="n">
        <f aca="false">IF(G436&gt;$P$9,1,0)</f>
        <v>0</v>
      </c>
      <c r="M436" s="6" t="n">
        <f aca="false">IF(ABS(H436)&gt;$P$8,1,0)</f>
        <v>0</v>
      </c>
    </row>
    <row r="437" customFormat="false" ht="15" hidden="false" customHeight="false" outlineLevel="0" collapsed="false">
      <c r="A437" s="0" t="n">
        <f aca="false">ROW()-1</f>
        <v>436</v>
      </c>
      <c r="B437" s="22" t="n">
        <f aca="false">SUMPRODUCT(MMULT('Analysis Data'!N437:U437,'Final Model'!$B$59:$I$66),'Analysis Data'!N437:U437)</f>
        <v>0.00205842177484457</v>
      </c>
      <c r="C437" s="15" t="n">
        <f aca="false">'Residual Diagnostics'!F437</f>
        <v>182.622736508599</v>
      </c>
      <c r="D437" s="13" t="n">
        <f aca="false">C437/('Final Model'!$B$21*SQRT(1-B437))</f>
        <v>3.72839997379626</v>
      </c>
      <c r="E437" s="13" t="n">
        <f aca="false">D437*SQRT(('Final Model'!$B$24-1)/('Final Model'!$B$24-D437^2))</f>
        <v>3.74598915528199</v>
      </c>
      <c r="F437" s="23" t="n">
        <f aca="false">D437^2/($P$3+1)*B437/(1-B437)</f>
        <v>0.00358413414179678</v>
      </c>
      <c r="G437" s="13" t="n">
        <f aca="false">($P$2-1)*(B437-1/$P$2)</f>
        <v>1.85163565888124</v>
      </c>
      <c r="H437" s="13" t="n">
        <f aca="false">E437*SQRT(B437/(1-B437))</f>
        <v>0.170130093511911</v>
      </c>
      <c r="I437" s="13" t="n">
        <f aca="false">ABS(D437)</f>
        <v>3.72839997379626</v>
      </c>
      <c r="J437" s="6" t="n">
        <f aca="false">IF(B437&gt;$P$4,1,0)</f>
        <v>0</v>
      </c>
      <c r="K437" s="6" t="n">
        <f aca="false">IF(F437&gt;$P$6,1,0)</f>
        <v>1</v>
      </c>
      <c r="L437" s="6" t="n">
        <f aca="false">IF(G437&gt;$P$9,1,0)</f>
        <v>0</v>
      </c>
      <c r="M437" s="6" t="n">
        <f aca="false">IF(ABS(H437)&gt;$P$8,1,0)</f>
        <v>1</v>
      </c>
    </row>
    <row r="438" customFormat="false" ht="15" hidden="false" customHeight="false" outlineLevel="0" collapsed="false">
      <c r="A438" s="0" t="n">
        <f aca="false">ROW()-1</f>
        <v>437</v>
      </c>
      <c r="B438" s="22" t="n">
        <f aca="false">SUMPRODUCT(MMULT('Analysis Data'!N438:U438,'Final Model'!$B$59:$I$66),'Analysis Data'!N438:U438)</f>
        <v>0.013025612368644</v>
      </c>
      <c r="C438" s="15" t="n">
        <f aca="false">'Residual Diagnostics'!F438</f>
        <v>-43.1485858004104</v>
      </c>
      <c r="D438" s="13" t="n">
        <f aca="false">C438/('Final Model'!$B$21*SQRT(1-B438))</f>
        <v>-0.885796242460997</v>
      </c>
      <c r="E438" s="13" t="n">
        <f aca="false">D438*SQRT(('Final Model'!$B$24-1)/('Final Model'!$B$24-D438^2))</f>
        <v>-0.885726980606205</v>
      </c>
      <c r="F438" s="23" t="n">
        <f aca="false">D438^2/($P$3+1)*B438/(1-B438)</f>
        <v>0.00129440430136461</v>
      </c>
      <c r="G438" s="13" t="n">
        <f aca="false">($P$2-1)*(B438-1/$P$2)</f>
        <v>17.0411946312934</v>
      </c>
      <c r="H438" s="13" t="n">
        <f aca="false">E438*SQRT(B438/(1-B438))</f>
        <v>-0.101752715388085</v>
      </c>
      <c r="I438" s="13" t="n">
        <f aca="false">ABS(D438)</f>
        <v>0.885796242460997</v>
      </c>
      <c r="J438" s="6" t="n">
        <f aca="false">IF(B438&gt;$P$4,1,0)</f>
        <v>1</v>
      </c>
      <c r="K438" s="6" t="n">
        <f aca="false">IF(F438&gt;$P$6,1,0)</f>
        <v>0</v>
      </c>
      <c r="L438" s="6" t="n">
        <f aca="false">IF(G438&gt;$P$9,1,0)</f>
        <v>1</v>
      </c>
      <c r="M438" s="6" t="n">
        <f aca="false">IF(ABS(H438)&gt;$P$8,1,0)</f>
        <v>0</v>
      </c>
    </row>
    <row r="439" customFormat="false" ht="15" hidden="false" customHeight="false" outlineLevel="0" collapsed="false">
      <c r="A439" s="0" t="n">
        <f aca="false">ROW()-1</f>
        <v>438</v>
      </c>
      <c r="B439" s="22" t="n">
        <f aca="false">SUMPRODUCT(MMULT('Analysis Data'!N439:U439,'Final Model'!$B$59:$I$66),'Analysis Data'!N439:U439)</f>
        <v>0.0186653239114025</v>
      </c>
      <c r="C439" s="15" t="n">
        <f aca="false">'Residual Diagnostics'!F439</f>
        <v>-18.6388565024056</v>
      </c>
      <c r="D439" s="13" t="n">
        <f aca="false">C439/('Final Model'!$B$21*SQRT(1-B439))</f>
        <v>-0.383734548056881</v>
      </c>
      <c r="E439" s="13" t="n">
        <f aca="false">D439*SQRT(('Final Model'!$B$24-1)/('Final Model'!$B$24-D439^2))</f>
        <v>-0.383615783756158</v>
      </c>
      <c r="F439" s="23" t="n">
        <f aca="false">D439^2/($P$3+1)*B439/(1-B439)</f>
        <v>0.000350098460237964</v>
      </c>
      <c r="G439" s="13" t="n">
        <f aca="false">($P$2-1)*(B439-1/$P$2)</f>
        <v>24.852195118014</v>
      </c>
      <c r="H439" s="13" t="n">
        <f aca="false">E439*SQRT(B439/(1-B439))</f>
        <v>-0.0529060893009278</v>
      </c>
      <c r="I439" s="13" t="n">
        <f aca="false">ABS(D439)</f>
        <v>0.383734548056881</v>
      </c>
      <c r="J439" s="6" t="n">
        <f aca="false">IF(B439&gt;$P$4,1,0)</f>
        <v>1</v>
      </c>
      <c r="K439" s="6" t="n">
        <f aca="false">IF(F439&gt;$P$6,1,0)</f>
        <v>0</v>
      </c>
      <c r="L439" s="6" t="n">
        <f aca="false">IF(G439&gt;$P$9,1,0)</f>
        <v>1</v>
      </c>
      <c r="M439" s="6" t="n">
        <f aca="false">IF(ABS(H439)&gt;$P$8,1,0)</f>
        <v>0</v>
      </c>
    </row>
    <row r="440" customFormat="false" ht="15" hidden="false" customHeight="false" outlineLevel="0" collapsed="false">
      <c r="A440" s="0" t="n">
        <f aca="false">ROW()-1</f>
        <v>439</v>
      </c>
      <c r="B440" s="22" t="n">
        <f aca="false">SUMPRODUCT(MMULT('Analysis Data'!N440:U440,'Final Model'!$B$59:$I$66),'Analysis Data'!N440:U440)</f>
        <v>0.00635922820550178</v>
      </c>
      <c r="C440" s="15" t="n">
        <f aca="false">'Residual Diagnostics'!F440</f>
        <v>-24.9178127375061</v>
      </c>
      <c r="D440" s="13" t="n">
        <f aca="false">C440/('Final Model'!$B$21*SQRT(1-B440))</f>
        <v>-0.509818305014662</v>
      </c>
      <c r="E440" s="13" t="n">
        <f aca="false">D440*SQRT(('Final Model'!$B$24-1)/('Final Model'!$B$24-D440^2))</f>
        <v>-0.509681356210297</v>
      </c>
      <c r="F440" s="23" t="n">
        <f aca="false">D440^2/($P$3+1)*B440/(1-B440)</f>
        <v>0.000207929385099927</v>
      </c>
      <c r="G440" s="13" t="n">
        <f aca="false">($P$2-1)*(B440-1/$P$2)</f>
        <v>7.80825256534146</v>
      </c>
      <c r="H440" s="13" t="n">
        <f aca="false">E440*SQRT(B440/(1-B440))</f>
        <v>-0.0407742753186084</v>
      </c>
      <c r="I440" s="13" t="n">
        <f aca="false">ABS(D440)</f>
        <v>0.509818305014662</v>
      </c>
      <c r="J440" s="6" t="n">
        <f aca="false">IF(B440&gt;$P$4,1,0)</f>
        <v>0</v>
      </c>
      <c r="K440" s="6" t="n">
        <f aca="false">IF(F440&gt;$P$6,1,0)</f>
        <v>0</v>
      </c>
      <c r="L440" s="6" t="n">
        <f aca="false">IF(G440&gt;$P$9,1,0)</f>
        <v>0</v>
      </c>
      <c r="M440" s="6" t="n">
        <f aca="false">IF(ABS(H440)&gt;$P$8,1,0)</f>
        <v>0</v>
      </c>
    </row>
    <row r="441" customFormat="false" ht="15" hidden="false" customHeight="false" outlineLevel="0" collapsed="false">
      <c r="A441" s="0" t="n">
        <f aca="false">ROW()-1</f>
        <v>440</v>
      </c>
      <c r="B441" s="22" t="n">
        <f aca="false">SUMPRODUCT(MMULT('Analysis Data'!N441:U441,'Final Model'!$B$59:$I$66),'Analysis Data'!N441:U441)</f>
        <v>0.0107176124937647</v>
      </c>
      <c r="C441" s="15" t="n">
        <f aca="false">'Residual Diagnostics'!F441</f>
        <v>18.7063777243469</v>
      </c>
      <c r="D441" s="13" t="n">
        <f aca="false">C441/('Final Model'!$B$21*SQRT(1-B441))</f>
        <v>0.383574537144039</v>
      </c>
      <c r="E441" s="13" t="n">
        <f aca="false">D441*SQRT(('Final Model'!$B$24-1)/('Final Model'!$B$24-D441^2))</f>
        <v>0.383455805281544</v>
      </c>
      <c r="F441" s="23" t="n">
        <f aca="false">D441^2/($P$3+1)*B441/(1-B441)</f>
        <v>0.000199244951358037</v>
      </c>
      <c r="G441" s="13" t="n">
        <f aca="false">($P$2-1)*(B441-1/$P$2)</f>
        <v>13.8446148045857</v>
      </c>
      <c r="H441" s="13" t="n">
        <f aca="false">E441*SQRT(B441/(1-B441))</f>
        <v>0.0399120655116939</v>
      </c>
      <c r="I441" s="13" t="n">
        <f aca="false">ABS(D441)</f>
        <v>0.383574537144039</v>
      </c>
      <c r="J441" s="6" t="n">
        <f aca="false">IF(B441&gt;$P$4,1,0)</f>
        <v>0</v>
      </c>
      <c r="K441" s="6" t="n">
        <f aca="false">IF(F441&gt;$P$6,1,0)</f>
        <v>0</v>
      </c>
      <c r="L441" s="6" t="n">
        <f aca="false">IF(G441&gt;$P$9,1,0)</f>
        <v>1</v>
      </c>
      <c r="M441" s="6" t="n">
        <f aca="false">IF(ABS(H441)&gt;$P$8,1,0)</f>
        <v>0</v>
      </c>
    </row>
    <row r="442" customFormat="false" ht="15" hidden="false" customHeight="false" outlineLevel="0" collapsed="false">
      <c r="A442" s="0" t="n">
        <f aca="false">ROW()-1</f>
        <v>441</v>
      </c>
      <c r="B442" s="22" t="n">
        <f aca="false">SUMPRODUCT(MMULT('Analysis Data'!N442:U442,'Final Model'!$B$59:$I$66),'Analysis Data'!N442:U442)</f>
        <v>0.00197847825844007</v>
      </c>
      <c r="C442" s="15" t="n">
        <f aca="false">'Residual Diagnostics'!F442</f>
        <v>-11.8045586854357</v>
      </c>
      <c r="D442" s="13" t="n">
        <f aca="false">C442/('Final Model'!$B$21*SQRT(1-B442))</f>
        <v>-0.240990548988351</v>
      </c>
      <c r="E442" s="13" t="n">
        <f aca="false">D442*SQRT(('Final Model'!$B$24-1)/('Final Model'!$B$24-D442^2))</f>
        <v>-0.240908167620921</v>
      </c>
      <c r="F442" s="23" t="n">
        <f aca="false">D442^2/($P$3+1)*B442/(1-B442)</f>
        <v>1.43913458611239E-005</v>
      </c>
      <c r="G442" s="13" t="n">
        <f aca="false">($P$2-1)*(B442-1/$P$2)</f>
        <v>1.74091388866099</v>
      </c>
      <c r="H442" s="13" t="n">
        <f aca="false">E442*SQRT(B442/(1-B442))</f>
        <v>-0.0107262326393575</v>
      </c>
      <c r="I442" s="13" t="n">
        <f aca="false">ABS(D442)</f>
        <v>0.240990548988351</v>
      </c>
      <c r="J442" s="6" t="n">
        <f aca="false">IF(B442&gt;$P$4,1,0)</f>
        <v>0</v>
      </c>
      <c r="K442" s="6" t="n">
        <f aca="false">IF(F442&gt;$P$6,1,0)</f>
        <v>0</v>
      </c>
      <c r="L442" s="6" t="n">
        <f aca="false">IF(G442&gt;$P$9,1,0)</f>
        <v>0</v>
      </c>
      <c r="M442" s="6" t="n">
        <f aca="false">IF(ABS(H442)&gt;$P$8,1,0)</f>
        <v>0</v>
      </c>
    </row>
    <row r="443" customFormat="false" ht="15" hidden="false" customHeight="false" outlineLevel="0" collapsed="false">
      <c r="A443" s="0" t="n">
        <f aca="false">ROW()-1</f>
        <v>442</v>
      </c>
      <c r="B443" s="22" t="n">
        <f aca="false">SUMPRODUCT(MMULT('Analysis Data'!N443:U443,'Final Model'!$B$59:$I$66),'Analysis Data'!N443:U443)</f>
        <v>0.00197847825844007</v>
      </c>
      <c r="C443" s="15" t="n">
        <f aca="false">'Residual Diagnostics'!F443</f>
        <v>-22.9155962395178</v>
      </c>
      <c r="D443" s="13" t="n">
        <f aca="false">C443/('Final Model'!$B$21*SQRT(1-B443))</f>
        <v>-0.467822835678753</v>
      </c>
      <c r="E443" s="13" t="n">
        <f aca="false">D443*SQRT(('Final Model'!$B$24-1)/('Final Model'!$B$24-D443^2))</f>
        <v>-0.467690199308035</v>
      </c>
      <c r="F443" s="23" t="n">
        <f aca="false">D443^2/($P$3+1)*B443/(1-B443)</f>
        <v>5.42330741363423E-005</v>
      </c>
      <c r="G443" s="13" t="n">
        <f aca="false">($P$2-1)*(B443-1/$P$2)</f>
        <v>1.74091388866099</v>
      </c>
      <c r="H443" s="13" t="n">
        <f aca="false">E443*SQRT(B443/(1-B443))</f>
        <v>-0.0208235110103001</v>
      </c>
      <c r="I443" s="13" t="n">
        <f aca="false">ABS(D443)</f>
        <v>0.467822835678753</v>
      </c>
      <c r="J443" s="6" t="n">
        <f aca="false">IF(B443&gt;$P$4,1,0)</f>
        <v>0</v>
      </c>
      <c r="K443" s="6" t="n">
        <f aca="false">IF(F443&gt;$P$6,1,0)</f>
        <v>0</v>
      </c>
      <c r="L443" s="6" t="n">
        <f aca="false">IF(G443&gt;$P$9,1,0)</f>
        <v>0</v>
      </c>
      <c r="M443" s="6" t="n">
        <f aca="false">IF(ABS(H443)&gt;$P$8,1,0)</f>
        <v>0</v>
      </c>
    </row>
    <row r="444" customFormat="false" ht="15" hidden="false" customHeight="false" outlineLevel="0" collapsed="false">
      <c r="A444" s="0" t="n">
        <f aca="false">ROW()-1</f>
        <v>443</v>
      </c>
      <c r="B444" s="22" t="n">
        <f aca="false">SUMPRODUCT(MMULT('Analysis Data'!N444:U444,'Final Model'!$B$59:$I$66),'Analysis Data'!N444:U444)</f>
        <v>0.00222962928685014</v>
      </c>
      <c r="C444" s="15" t="n">
        <f aca="false">'Residual Diagnostics'!F444</f>
        <v>35.7041034857216</v>
      </c>
      <c r="D444" s="13" t="n">
        <f aca="false">C444/('Final Model'!$B$21*SQRT(1-B444))</f>
        <v>0.728992465681415</v>
      </c>
      <c r="E444" s="13" t="n">
        <f aca="false">D444*SQRT(('Final Model'!$B$24-1)/('Final Model'!$B$24-D444^2))</f>
        <v>0.728868465377517</v>
      </c>
      <c r="F444" s="23" t="n">
        <f aca="false">D444^2/($P$3+1)*B444/(1-B444)</f>
        <v>0.000148442462336488</v>
      </c>
      <c r="G444" s="13" t="n">
        <f aca="false">($P$2-1)*(B444-1/$P$2)</f>
        <v>2.08875806300895</v>
      </c>
      <c r="H444" s="13" t="n">
        <f aca="false">E444*SQRT(B444/(1-B444))</f>
        <v>0.0344548361820034</v>
      </c>
      <c r="I444" s="13" t="n">
        <f aca="false">ABS(D444)</f>
        <v>0.728992465681415</v>
      </c>
      <c r="J444" s="6" t="n">
        <f aca="false">IF(B444&gt;$P$4,1,0)</f>
        <v>0</v>
      </c>
      <c r="K444" s="6" t="n">
        <f aca="false">IF(F444&gt;$P$6,1,0)</f>
        <v>0</v>
      </c>
      <c r="L444" s="6" t="n">
        <f aca="false">IF(G444&gt;$P$9,1,0)</f>
        <v>0</v>
      </c>
      <c r="M444" s="6" t="n">
        <f aca="false">IF(ABS(H444)&gt;$P$8,1,0)</f>
        <v>0</v>
      </c>
    </row>
    <row r="445" customFormat="false" ht="15" hidden="false" customHeight="false" outlineLevel="0" collapsed="false">
      <c r="A445" s="0" t="n">
        <f aca="false">ROW()-1</f>
        <v>444</v>
      </c>
      <c r="B445" s="22" t="n">
        <f aca="false">SUMPRODUCT(MMULT('Analysis Data'!N445:U445,'Final Model'!$B$59:$I$66),'Analysis Data'!N445:U445)</f>
        <v>0.00269023320863554</v>
      </c>
      <c r="C445" s="15" t="n">
        <f aca="false">'Residual Diagnostics'!F445</f>
        <v>-13.3382355146343</v>
      </c>
      <c r="D445" s="13" t="n">
        <f aca="false">C445/('Final Model'!$B$21*SQRT(1-B445))</f>
        <v>-0.272397773994653</v>
      </c>
      <c r="E445" s="13" t="n">
        <f aca="false">D445*SQRT(('Final Model'!$B$24-1)/('Final Model'!$B$24-D445^2))</f>
        <v>-0.272306249442316</v>
      </c>
      <c r="F445" s="23" t="n">
        <f aca="false">D445^2/($P$3+1)*B445/(1-B445)</f>
        <v>2.50194050824341E-005</v>
      </c>
      <c r="G445" s="13" t="n">
        <f aca="false">($P$2-1)*(B445-1/$P$2)</f>
        <v>2.72669449468173</v>
      </c>
      <c r="H445" s="13" t="n">
        <f aca="false">E445*SQRT(B445/(1-B445))</f>
        <v>-0.0141428696009709</v>
      </c>
      <c r="I445" s="13" t="n">
        <f aca="false">ABS(D445)</f>
        <v>0.272397773994653</v>
      </c>
      <c r="J445" s="6" t="n">
        <f aca="false">IF(B445&gt;$P$4,1,0)</f>
        <v>0</v>
      </c>
      <c r="K445" s="6" t="n">
        <f aca="false">IF(F445&gt;$P$6,1,0)</f>
        <v>0</v>
      </c>
      <c r="L445" s="6" t="n">
        <f aca="false">IF(G445&gt;$P$9,1,0)</f>
        <v>0</v>
      </c>
      <c r="M445" s="6" t="n">
        <f aca="false">IF(ABS(H445)&gt;$P$8,1,0)</f>
        <v>0</v>
      </c>
    </row>
    <row r="446" customFormat="false" ht="15" hidden="false" customHeight="false" outlineLevel="0" collapsed="false">
      <c r="A446" s="0" t="n">
        <f aca="false">ROW()-1</f>
        <v>445</v>
      </c>
      <c r="B446" s="22" t="n">
        <f aca="false">SUMPRODUCT(MMULT('Analysis Data'!N446:U446,'Final Model'!$B$59:$I$66),'Analysis Data'!N446:U446)</f>
        <v>0.00222962928685014</v>
      </c>
      <c r="C446" s="15" t="n">
        <f aca="false">'Residual Diagnostics'!F446</f>
        <v>4.96273061977229</v>
      </c>
      <c r="D446" s="13" t="n">
        <f aca="false">C446/('Final Model'!$B$21*SQRT(1-B446))</f>
        <v>0.101327099067681</v>
      </c>
      <c r="E446" s="13" t="n">
        <f aca="false">D446*SQRT(('Final Model'!$B$24-1)/('Final Model'!$B$24-D446^2))</f>
        <v>0.101290703742277</v>
      </c>
      <c r="F446" s="23" t="n">
        <f aca="false">D446^2/($P$3+1)*B446/(1-B446)</f>
        <v>2.86789527619832E-006</v>
      </c>
      <c r="G446" s="13" t="n">
        <f aca="false">($P$2-1)*(B446-1/$P$2)</f>
        <v>2.08875806300895</v>
      </c>
      <c r="H446" s="13" t="n">
        <f aca="false">E446*SQRT(B446/(1-B446))</f>
        <v>0.00478818164041761</v>
      </c>
      <c r="I446" s="13" t="n">
        <f aca="false">ABS(D446)</f>
        <v>0.101327099067681</v>
      </c>
      <c r="J446" s="6" t="n">
        <f aca="false">IF(B446&gt;$P$4,1,0)</f>
        <v>0</v>
      </c>
      <c r="K446" s="6" t="n">
        <f aca="false">IF(F446&gt;$P$6,1,0)</f>
        <v>0</v>
      </c>
      <c r="L446" s="6" t="n">
        <f aca="false">IF(G446&gt;$P$9,1,0)</f>
        <v>0</v>
      </c>
      <c r="M446" s="6" t="n">
        <f aca="false">IF(ABS(H446)&gt;$P$8,1,0)</f>
        <v>0</v>
      </c>
    </row>
    <row r="447" customFormat="false" ht="15" hidden="false" customHeight="false" outlineLevel="0" collapsed="false">
      <c r="A447" s="0" t="n">
        <f aca="false">ROW()-1</f>
        <v>446</v>
      </c>
      <c r="B447" s="22" t="n">
        <f aca="false">SUMPRODUCT(MMULT('Analysis Data'!N447:U447,'Final Model'!$B$59:$I$66),'Analysis Data'!N447:U447)</f>
        <v>0.00221688059806092</v>
      </c>
      <c r="C447" s="15" t="n">
        <f aca="false">'Residual Diagnostics'!F447</f>
        <v>64.2698215778697</v>
      </c>
      <c r="D447" s="13" t="n">
        <f aca="false">C447/('Final Model'!$B$21*SQRT(1-B447))</f>
        <v>1.31222777804883</v>
      </c>
      <c r="E447" s="13" t="n">
        <f aca="false">D447*SQRT(('Final Model'!$B$24-1)/('Final Model'!$B$24-D447^2))</f>
        <v>1.31257190465836</v>
      </c>
      <c r="F447" s="23" t="n">
        <f aca="false">D447^2/($P$3+1)*B447/(1-B447)</f>
        <v>0.000478227578150062</v>
      </c>
      <c r="G447" s="13" t="n">
        <f aca="false">($P$2-1)*(B447-1/$P$2)</f>
        <v>2.07110112903587</v>
      </c>
      <c r="H447" s="13" t="n">
        <f aca="false">E447*SQRT(B447/(1-B447))</f>
        <v>0.0618694391549337</v>
      </c>
      <c r="I447" s="13" t="n">
        <f aca="false">ABS(D447)</f>
        <v>1.31222777804883</v>
      </c>
      <c r="J447" s="6" t="n">
        <f aca="false">IF(B447&gt;$P$4,1,0)</f>
        <v>0</v>
      </c>
      <c r="K447" s="6" t="n">
        <f aca="false">IF(F447&gt;$P$6,1,0)</f>
        <v>0</v>
      </c>
      <c r="L447" s="6" t="n">
        <f aca="false">IF(G447&gt;$P$9,1,0)</f>
        <v>0</v>
      </c>
      <c r="M447" s="6" t="n">
        <f aca="false">IF(ABS(H447)&gt;$P$8,1,0)</f>
        <v>0</v>
      </c>
    </row>
    <row r="448" customFormat="false" ht="15" hidden="false" customHeight="false" outlineLevel="0" collapsed="false">
      <c r="A448" s="0" t="n">
        <f aca="false">ROW()-1</f>
        <v>447</v>
      </c>
      <c r="B448" s="22" t="n">
        <f aca="false">SUMPRODUCT(MMULT('Analysis Data'!N448:U448,'Final Model'!$B$59:$I$66),'Analysis Data'!N448:U448)</f>
        <v>0.00221688059806092</v>
      </c>
      <c r="C448" s="15" t="n">
        <f aca="false">'Residual Diagnostics'!F448</f>
        <v>53.5892986070275</v>
      </c>
      <c r="D448" s="13" t="n">
        <f aca="false">C448/('Final Model'!$B$21*SQRT(1-B448))</f>
        <v>1.09415841699659</v>
      </c>
      <c r="E448" s="13" t="n">
        <f aca="false">D448*SQRT(('Final Model'!$B$24-1)/('Final Model'!$B$24-D448^2))</f>
        <v>1.09423676566058</v>
      </c>
      <c r="F448" s="23" t="n">
        <f aca="false">D448^2/($P$3+1)*B448/(1-B448)</f>
        <v>0.000332488458492994</v>
      </c>
      <c r="G448" s="13" t="n">
        <f aca="false">($P$2-1)*(B448-1/$P$2)</f>
        <v>2.07110112903587</v>
      </c>
      <c r="H448" s="13" t="n">
        <f aca="false">E448*SQRT(B448/(1-B448))</f>
        <v>0.0515779857498549</v>
      </c>
      <c r="I448" s="13" t="n">
        <f aca="false">ABS(D448)</f>
        <v>1.09415841699659</v>
      </c>
      <c r="J448" s="6" t="n">
        <f aca="false">IF(B448&gt;$P$4,1,0)</f>
        <v>0</v>
      </c>
      <c r="K448" s="6" t="n">
        <f aca="false">IF(F448&gt;$P$6,1,0)</f>
        <v>0</v>
      </c>
      <c r="L448" s="6" t="n">
        <f aca="false">IF(G448&gt;$P$9,1,0)</f>
        <v>0</v>
      </c>
      <c r="M448" s="6" t="n">
        <f aca="false">IF(ABS(H448)&gt;$P$8,1,0)</f>
        <v>0</v>
      </c>
    </row>
    <row r="449" customFormat="false" ht="15" hidden="false" customHeight="false" outlineLevel="0" collapsed="false">
      <c r="A449" s="0" t="n">
        <f aca="false">ROW()-1</f>
        <v>448</v>
      </c>
      <c r="B449" s="22" t="n">
        <f aca="false">SUMPRODUCT(MMULT('Analysis Data'!N449:U449,'Final Model'!$B$59:$I$66),'Analysis Data'!N449:U449)</f>
        <v>0.0132629376057184</v>
      </c>
      <c r="C449" s="15" t="n">
        <f aca="false">'Residual Diagnostics'!F449</f>
        <v>58.3540119404427</v>
      </c>
      <c r="D449" s="13" t="n">
        <f aca="false">C449/('Final Model'!$B$21*SQRT(1-B449))</f>
        <v>1.19809211039148</v>
      </c>
      <c r="E449" s="13" t="n">
        <f aca="false">D449*SQRT(('Final Model'!$B$24-1)/('Final Model'!$B$24-D449^2))</f>
        <v>1.19828158121841</v>
      </c>
      <c r="F449" s="23" t="n">
        <f aca="false">D449^2/($P$3+1)*B449/(1-B449)</f>
        <v>0.00241173016417515</v>
      </c>
      <c r="G449" s="13" t="n">
        <f aca="false">($P$2-1)*(B449-1/$P$2)</f>
        <v>17.3698900846414</v>
      </c>
      <c r="H449" s="13" t="n">
        <f aca="false">E449*SQRT(B449/(1-B449))</f>
        <v>0.138924239059648</v>
      </c>
      <c r="I449" s="13" t="n">
        <f aca="false">ABS(D449)</f>
        <v>1.19809211039148</v>
      </c>
      <c r="J449" s="6" t="n">
        <f aca="false">IF(B449&gt;$P$4,1,0)</f>
        <v>1</v>
      </c>
      <c r="K449" s="6" t="n">
        <f aca="false">IF(F449&gt;$P$6,1,0)</f>
        <v>0</v>
      </c>
      <c r="L449" s="6" t="n">
        <f aca="false">IF(G449&gt;$P$9,1,0)</f>
        <v>1</v>
      </c>
      <c r="M449" s="6" t="n">
        <f aca="false">IF(ABS(H449)&gt;$P$8,1,0)</f>
        <v>0</v>
      </c>
    </row>
    <row r="450" customFormat="false" ht="15" hidden="false" customHeight="false" outlineLevel="0" collapsed="false">
      <c r="A450" s="0" t="n">
        <f aca="false">ROW()-1</f>
        <v>449</v>
      </c>
      <c r="B450" s="22" t="n">
        <f aca="false">SUMPRODUCT(MMULT('Analysis Data'!N450:U450,'Final Model'!$B$59:$I$66),'Analysis Data'!N450:U450)</f>
        <v>0.00578927093855297</v>
      </c>
      <c r="C450" s="15" t="n">
        <f aca="false">'Residual Diagnostics'!F450</f>
        <v>-15.4300747103329</v>
      </c>
      <c r="D450" s="13" t="n">
        <f aca="false">C450/('Final Model'!$B$21*SQRT(1-B450))</f>
        <v>-0.315608735263906</v>
      </c>
      <c r="E450" s="13" t="n">
        <f aca="false">D450*SQRT(('Final Model'!$B$24-1)/('Final Model'!$B$24-D450^2))</f>
        <v>-0.315505600906503</v>
      </c>
      <c r="F450" s="23" t="n">
        <f aca="false">D450^2/($P$3+1)*B450/(1-B450)</f>
        <v>7.25025818610024E-005</v>
      </c>
      <c r="G450" s="13" t="n">
        <f aca="false">($P$2-1)*(B450-1/$P$2)</f>
        <v>7.01886175061736</v>
      </c>
      <c r="H450" s="13" t="n">
        <f aca="false">E450*SQRT(B450/(1-B450))</f>
        <v>-0.0240757479530857</v>
      </c>
      <c r="I450" s="13" t="n">
        <f aca="false">ABS(D450)</f>
        <v>0.315608735263906</v>
      </c>
      <c r="J450" s="6" t="n">
        <f aca="false">IF(B450&gt;$P$4,1,0)</f>
        <v>0</v>
      </c>
      <c r="K450" s="6" t="n">
        <f aca="false">IF(F450&gt;$P$6,1,0)</f>
        <v>0</v>
      </c>
      <c r="L450" s="6" t="n">
        <f aca="false">IF(G450&gt;$P$9,1,0)</f>
        <v>0</v>
      </c>
      <c r="M450" s="6" t="n">
        <f aca="false">IF(ABS(H450)&gt;$P$8,1,0)</f>
        <v>0</v>
      </c>
    </row>
    <row r="451" customFormat="false" ht="15" hidden="false" customHeight="false" outlineLevel="0" collapsed="false">
      <c r="A451" s="0" t="n">
        <f aca="false">ROW()-1</f>
        <v>450</v>
      </c>
      <c r="B451" s="22" t="n">
        <f aca="false">SUMPRODUCT(MMULT('Analysis Data'!N451:U451,'Final Model'!$B$59:$I$66),'Analysis Data'!N451:U451)</f>
        <v>0.00638544922666945</v>
      </c>
      <c r="C451" s="15" t="n">
        <f aca="false">'Residual Diagnostics'!F451</f>
        <v>7.99781932835879</v>
      </c>
      <c r="D451" s="13" t="n">
        <f aca="false">C451/('Final Model'!$B$21*SQRT(1-B451))</f>
        <v>0.163637496484512</v>
      </c>
      <c r="E451" s="13" t="n">
        <f aca="false">D451*SQRT(('Final Model'!$B$24-1)/('Final Model'!$B$24-D451^2))</f>
        <v>0.16357970005411</v>
      </c>
      <c r="F451" s="23" t="n">
        <f aca="false">D451^2/($P$3+1)*B451/(1-B451)</f>
        <v>2.15104343147515E-005</v>
      </c>
      <c r="G451" s="13" t="n">
        <f aca="false">($P$2-1)*(B451-1/$P$2)</f>
        <v>7.84456867965869</v>
      </c>
      <c r="H451" s="13" t="n">
        <f aca="false">E451*SQRT(B451/(1-B451))</f>
        <v>0.0131134258269891</v>
      </c>
      <c r="I451" s="13" t="n">
        <f aca="false">ABS(D451)</f>
        <v>0.163637496484512</v>
      </c>
      <c r="J451" s="6" t="n">
        <f aca="false">IF(B451&gt;$P$4,1,0)</f>
        <v>0</v>
      </c>
      <c r="K451" s="6" t="n">
        <f aca="false">IF(F451&gt;$P$6,1,0)</f>
        <v>0</v>
      </c>
      <c r="L451" s="6" t="n">
        <f aca="false">IF(G451&gt;$P$9,1,0)</f>
        <v>0</v>
      </c>
      <c r="M451" s="6" t="n">
        <f aca="false">IF(ABS(H451)&gt;$P$8,1,0)</f>
        <v>0</v>
      </c>
    </row>
    <row r="452" customFormat="false" ht="15" hidden="false" customHeight="false" outlineLevel="0" collapsed="false">
      <c r="A452" s="0" t="n">
        <f aca="false">ROW()-1</f>
        <v>451</v>
      </c>
      <c r="B452" s="22" t="n">
        <f aca="false">SUMPRODUCT(MMULT('Analysis Data'!N452:U452,'Final Model'!$B$59:$I$66),'Analysis Data'!N452:U452)</f>
        <v>0.00638544922666945</v>
      </c>
      <c r="C452" s="15" t="n">
        <f aca="false">'Residual Diagnostics'!F452</f>
        <v>-116.115310499284</v>
      </c>
      <c r="D452" s="13" t="n">
        <f aca="false">C452/('Final Model'!$B$21*SQRT(1-B452))</f>
        <v>-2.37574993051558</v>
      </c>
      <c r="E452" s="13" t="n">
        <f aca="false">D452*SQRT(('Final Model'!$B$24-1)/('Final Model'!$B$24-D452^2))</f>
        <v>-2.37976642164409</v>
      </c>
      <c r="F452" s="23" t="n">
        <f aca="false">D452^2/($P$3+1)*B452/(1-B452)</f>
        <v>0.00453403613134334</v>
      </c>
      <c r="G452" s="13" t="n">
        <f aca="false">($P$2-1)*(B452-1/$P$2)</f>
        <v>7.84456867965869</v>
      </c>
      <c r="H452" s="13" t="n">
        <f aca="false">E452*SQRT(B452/(1-B452))</f>
        <v>-0.190774836030792</v>
      </c>
      <c r="I452" s="13" t="n">
        <f aca="false">ABS(D452)</f>
        <v>2.37574993051558</v>
      </c>
      <c r="J452" s="6" t="n">
        <f aca="false">IF(B452&gt;$P$4,1,0)</f>
        <v>0</v>
      </c>
      <c r="K452" s="6" t="n">
        <f aca="false">IF(F452&gt;$P$6,1,0)</f>
        <v>1</v>
      </c>
      <c r="L452" s="6" t="n">
        <f aca="false">IF(G452&gt;$P$9,1,0)</f>
        <v>0</v>
      </c>
      <c r="M452" s="6" t="n">
        <f aca="false">IF(ABS(H452)&gt;$P$8,1,0)</f>
        <v>1</v>
      </c>
    </row>
    <row r="453" customFormat="false" ht="15" hidden="false" customHeight="false" outlineLevel="0" collapsed="false">
      <c r="A453" s="0" t="n">
        <f aca="false">ROW()-1</f>
        <v>452</v>
      </c>
      <c r="B453" s="22" t="n">
        <f aca="false">SUMPRODUCT(MMULT('Analysis Data'!N453:U453,'Final Model'!$B$59:$I$66),'Analysis Data'!N453:U453)</f>
        <v>0.00236231798678867</v>
      </c>
      <c r="C453" s="15" t="n">
        <f aca="false">'Residual Diagnostics'!F453</f>
        <v>34.3471203427091</v>
      </c>
      <c r="D453" s="13" t="n">
        <f aca="false">C453/('Final Model'!$B$21*SQRT(1-B453))</f>
        <v>0.701332747880031</v>
      </c>
      <c r="E453" s="13" t="n">
        <f aca="false">D453*SQRT(('Final Model'!$B$24-1)/('Final Model'!$B$24-D453^2))</f>
        <v>0.701203382855605</v>
      </c>
      <c r="F453" s="23" t="n">
        <f aca="false">D453^2/($P$3+1)*B453/(1-B453)</f>
        <v>0.000145587390400994</v>
      </c>
      <c r="G453" s="13" t="n">
        <f aca="false">($P$2-1)*(B453-1/$P$2)</f>
        <v>2.27253191242381</v>
      </c>
      <c r="H453" s="13" t="n">
        <f aca="false">E453*SQRT(B453/(1-B453))</f>
        <v>0.034121393456047</v>
      </c>
      <c r="I453" s="13" t="n">
        <f aca="false">ABS(D453)</f>
        <v>0.701332747880031</v>
      </c>
      <c r="J453" s="6" t="n">
        <f aca="false">IF(B453&gt;$P$4,1,0)</f>
        <v>0</v>
      </c>
      <c r="K453" s="6" t="n">
        <f aca="false">IF(F453&gt;$P$6,1,0)</f>
        <v>0</v>
      </c>
      <c r="L453" s="6" t="n">
        <f aca="false">IF(G453&gt;$P$9,1,0)</f>
        <v>0</v>
      </c>
      <c r="M453" s="6" t="n">
        <f aca="false">IF(ABS(H453)&gt;$P$8,1,0)</f>
        <v>0</v>
      </c>
    </row>
    <row r="454" customFormat="false" ht="15" hidden="false" customHeight="false" outlineLevel="0" collapsed="false">
      <c r="A454" s="0" t="n">
        <f aca="false">ROW()-1</f>
        <v>453</v>
      </c>
      <c r="B454" s="22" t="n">
        <f aca="false">SUMPRODUCT(MMULT('Analysis Data'!N454:U454,'Final Model'!$B$59:$I$66),'Analysis Data'!N454:U454)</f>
        <v>0.00236231798678867</v>
      </c>
      <c r="C454" s="15" t="n">
        <f aca="false">'Residual Diagnostics'!F454</f>
        <v>106.747829664876</v>
      </c>
      <c r="D454" s="13" t="n">
        <f aca="false">C454/('Final Model'!$B$21*SQRT(1-B454))</f>
        <v>2.17968050777185</v>
      </c>
      <c r="E454" s="13" t="n">
        <f aca="false">D454*SQRT(('Final Model'!$B$24-1)/('Final Model'!$B$24-D454^2))</f>
        <v>2.18265535850874</v>
      </c>
      <c r="F454" s="23" t="n">
        <f aca="false">D454^2/($P$3+1)*B454/(1-B454)</f>
        <v>0.00140624569517388</v>
      </c>
      <c r="G454" s="13" t="n">
        <f aca="false">($P$2-1)*(B454-1/$P$2)</f>
        <v>2.27253191242381</v>
      </c>
      <c r="H454" s="13" t="n">
        <f aca="false">E454*SQRT(B454/(1-B454))</f>
        <v>0.10621061461987</v>
      </c>
      <c r="I454" s="13" t="n">
        <f aca="false">ABS(D454)</f>
        <v>2.17968050777185</v>
      </c>
      <c r="J454" s="6" t="n">
        <f aca="false">IF(B454&gt;$P$4,1,0)</f>
        <v>0</v>
      </c>
      <c r="K454" s="6" t="n">
        <f aca="false">IF(F454&gt;$P$6,1,0)</f>
        <v>0</v>
      </c>
      <c r="L454" s="6" t="n">
        <f aca="false">IF(G454&gt;$P$9,1,0)</f>
        <v>0</v>
      </c>
      <c r="M454" s="6" t="n">
        <f aca="false">IF(ABS(H454)&gt;$P$8,1,0)</f>
        <v>0</v>
      </c>
    </row>
    <row r="455" customFormat="false" ht="15" hidden="false" customHeight="false" outlineLevel="0" collapsed="false">
      <c r="A455" s="0" t="n">
        <f aca="false">ROW()-1</f>
        <v>454</v>
      </c>
      <c r="B455" s="22" t="n">
        <f aca="false">SUMPRODUCT(MMULT('Analysis Data'!N455:U455,'Final Model'!$B$59:$I$66),'Analysis Data'!N455:U455)</f>
        <v>0.0021020376157614</v>
      </c>
      <c r="C455" s="15" t="n">
        <f aca="false">'Residual Diagnostics'!F455</f>
        <v>-71.0839020562596</v>
      </c>
      <c r="D455" s="13" t="n">
        <f aca="false">C455/('Final Model'!$B$21*SQRT(1-B455))</f>
        <v>-1.45127061108878</v>
      </c>
      <c r="E455" s="13" t="n">
        <f aca="false">D455*SQRT(('Final Model'!$B$24-1)/('Final Model'!$B$24-D455^2))</f>
        <v>-1.45185388765995</v>
      </c>
      <c r="F455" s="23" t="n">
        <f aca="false">D455^2/($P$3+1)*B455/(1-B455)</f>
        <v>0.000554576116164332</v>
      </c>
      <c r="G455" s="13" t="n">
        <f aca="false">($P$2-1)*(B455-1/$P$2)</f>
        <v>1.91204359855103</v>
      </c>
      <c r="H455" s="13" t="n">
        <f aca="false">E455*SQRT(B455/(1-B455))</f>
        <v>-0.0666346445847543</v>
      </c>
      <c r="I455" s="13" t="n">
        <f aca="false">ABS(D455)</f>
        <v>1.45127061108878</v>
      </c>
      <c r="J455" s="6" t="n">
        <f aca="false">IF(B455&gt;$P$4,1,0)</f>
        <v>0</v>
      </c>
      <c r="K455" s="6" t="n">
        <f aca="false">IF(F455&gt;$P$6,1,0)</f>
        <v>0</v>
      </c>
      <c r="L455" s="6" t="n">
        <f aca="false">IF(G455&gt;$P$9,1,0)</f>
        <v>0</v>
      </c>
      <c r="M455" s="6" t="n">
        <f aca="false">IF(ABS(H455)&gt;$P$8,1,0)</f>
        <v>0</v>
      </c>
    </row>
    <row r="456" customFormat="false" ht="15" hidden="false" customHeight="false" outlineLevel="0" collapsed="false">
      <c r="A456" s="0" t="n">
        <f aca="false">ROW()-1</f>
        <v>455</v>
      </c>
      <c r="B456" s="22" t="n">
        <f aca="false">SUMPRODUCT(MMULT('Analysis Data'!N456:U456,'Final Model'!$B$59:$I$66),'Analysis Data'!N456:U456)</f>
        <v>0.0021020376157614</v>
      </c>
      <c r="C456" s="15" t="n">
        <f aca="false">'Residual Diagnostics'!F456</f>
        <v>-26.3363659989426</v>
      </c>
      <c r="D456" s="13" t="n">
        <f aca="false">C456/('Final Model'!$B$21*SQRT(1-B456))</f>
        <v>-0.537691275682825</v>
      </c>
      <c r="E456" s="13" t="n">
        <f aca="false">D456*SQRT(('Final Model'!$B$24-1)/('Final Model'!$B$24-D456^2))</f>
        <v>-0.537552535527284</v>
      </c>
      <c r="F456" s="23" t="n">
        <f aca="false">D456^2/($P$3+1)*B456/(1-B456)</f>
        <v>7.61255319398859E-005</v>
      </c>
      <c r="G456" s="13" t="n">
        <f aca="false">($P$2-1)*(B456-1/$P$2)</f>
        <v>1.91204359855103</v>
      </c>
      <c r="H456" s="13" t="n">
        <f aca="false">E456*SQRT(B456/(1-B456))</f>
        <v>-0.0246716439270807</v>
      </c>
      <c r="I456" s="13" t="n">
        <f aca="false">ABS(D456)</f>
        <v>0.537691275682825</v>
      </c>
      <c r="J456" s="6" t="n">
        <f aca="false">IF(B456&gt;$P$4,1,0)</f>
        <v>0</v>
      </c>
      <c r="K456" s="6" t="n">
        <f aca="false">IF(F456&gt;$P$6,1,0)</f>
        <v>0</v>
      </c>
      <c r="L456" s="6" t="n">
        <f aca="false">IF(G456&gt;$P$9,1,0)</f>
        <v>0</v>
      </c>
      <c r="M456" s="6" t="n">
        <f aca="false">IF(ABS(H456)&gt;$P$8,1,0)</f>
        <v>0</v>
      </c>
    </row>
    <row r="457" customFormat="false" ht="15" hidden="false" customHeight="false" outlineLevel="0" collapsed="false">
      <c r="A457" s="0" t="n">
        <f aca="false">ROW()-1</f>
        <v>456</v>
      </c>
      <c r="B457" s="22" t="n">
        <f aca="false">SUMPRODUCT(MMULT('Analysis Data'!N457:U457,'Final Model'!$B$59:$I$66),'Analysis Data'!N457:U457)</f>
        <v>0.00319590638274499</v>
      </c>
      <c r="C457" s="15" t="n">
        <f aca="false">'Residual Diagnostics'!F457</f>
        <v>52.4132379917368</v>
      </c>
      <c r="D457" s="13" t="n">
        <f aca="false">C457/('Final Model'!$B$21*SQRT(1-B457))</f>
        <v>1.07067162418733</v>
      </c>
      <c r="E457" s="13" t="n">
        <f aca="false">D457*SQRT(('Final Model'!$B$24-1)/('Final Model'!$B$24-D457^2))</f>
        <v>1.07072852038953</v>
      </c>
      <c r="F457" s="23" t="n">
        <f aca="false">D457^2/($P$3+1)*B457/(1-B457)</f>
        <v>0.000459416760204917</v>
      </c>
      <c r="G457" s="13" t="n">
        <f aca="false">($P$2-1)*(B457-1/$P$2)</f>
        <v>3.42705184082331</v>
      </c>
      <c r="H457" s="13" t="n">
        <f aca="false">E457*SQRT(B457/(1-B457))</f>
        <v>0.060627755289251</v>
      </c>
      <c r="I457" s="13" t="n">
        <f aca="false">ABS(D457)</f>
        <v>1.07067162418733</v>
      </c>
      <c r="J457" s="6" t="n">
        <f aca="false">IF(B457&gt;$P$4,1,0)</f>
        <v>0</v>
      </c>
      <c r="K457" s="6" t="n">
        <f aca="false">IF(F457&gt;$P$6,1,0)</f>
        <v>0</v>
      </c>
      <c r="L457" s="6" t="n">
        <f aca="false">IF(G457&gt;$P$9,1,0)</f>
        <v>0</v>
      </c>
      <c r="M457" s="6" t="n">
        <f aca="false">IF(ABS(H457)&gt;$P$8,1,0)</f>
        <v>0</v>
      </c>
    </row>
    <row r="458" customFormat="false" ht="15" hidden="false" customHeight="false" outlineLevel="0" collapsed="false">
      <c r="A458" s="0" t="n">
        <f aca="false">ROW()-1</f>
        <v>457</v>
      </c>
      <c r="B458" s="22" t="n">
        <f aca="false">SUMPRODUCT(MMULT('Analysis Data'!N458:U458,'Final Model'!$B$59:$I$66),'Analysis Data'!N458:U458)</f>
        <v>0.0020479911912186</v>
      </c>
      <c r="C458" s="15" t="n">
        <f aca="false">'Residual Diagnostics'!F458</f>
        <v>-30.3543090758434</v>
      </c>
      <c r="D458" s="13" t="n">
        <f aca="false">C458/('Final Model'!$B$21*SQRT(1-B458))</f>
        <v>-0.619706044732221</v>
      </c>
      <c r="E458" s="13" t="n">
        <f aca="false">D458*SQRT(('Final Model'!$B$24-1)/('Final Model'!$B$24-D458^2))</f>
        <v>-0.619567486686548</v>
      </c>
      <c r="F458" s="23" t="n">
        <f aca="false">D458^2/($P$3+1)*B458/(1-B458)</f>
        <v>9.85144428110776E-005</v>
      </c>
      <c r="G458" s="13" t="n">
        <f aca="false">($P$2-1)*(B458-1/$P$2)</f>
        <v>1.83718930055926</v>
      </c>
      <c r="H458" s="13" t="n">
        <f aca="false">E458*SQRT(B458/(1-B458))</f>
        <v>-0.0280671187965472</v>
      </c>
      <c r="I458" s="13" t="n">
        <f aca="false">ABS(D458)</f>
        <v>0.619706044732221</v>
      </c>
      <c r="J458" s="6" t="n">
        <f aca="false">IF(B458&gt;$P$4,1,0)</f>
        <v>0</v>
      </c>
      <c r="K458" s="6" t="n">
        <f aca="false">IF(F458&gt;$P$6,1,0)</f>
        <v>0</v>
      </c>
      <c r="L458" s="6" t="n">
        <f aca="false">IF(G458&gt;$P$9,1,0)</f>
        <v>0</v>
      </c>
      <c r="M458" s="6" t="n">
        <f aca="false">IF(ABS(H458)&gt;$P$8,1,0)</f>
        <v>0</v>
      </c>
    </row>
    <row r="459" customFormat="false" ht="15" hidden="false" customHeight="false" outlineLevel="0" collapsed="false">
      <c r="A459" s="0" t="n">
        <f aca="false">ROW()-1</f>
        <v>458</v>
      </c>
      <c r="B459" s="22" t="n">
        <f aca="false">SUMPRODUCT(MMULT('Analysis Data'!N459:U459,'Final Model'!$B$59:$I$66),'Analysis Data'!N459:U459)</f>
        <v>0.0130520414142321</v>
      </c>
      <c r="C459" s="15" t="n">
        <f aca="false">'Residual Diagnostics'!F459</f>
        <v>-149.467862034057</v>
      </c>
      <c r="D459" s="13" t="n">
        <f aca="false">C459/('Final Model'!$B$21*SQRT(1-B459))</f>
        <v>-3.0684630980464</v>
      </c>
      <c r="E459" s="13" t="n">
        <f aca="false">D459*SQRT(('Final Model'!$B$24-1)/('Final Model'!$B$24-D459^2))</f>
        <v>-3.07788267398412</v>
      </c>
      <c r="F459" s="23" t="n">
        <f aca="false">D459^2/($P$3+1)*B459/(1-B459)</f>
        <v>0.0155645300594286</v>
      </c>
      <c r="G459" s="13" t="n">
        <f aca="false">($P$2-1)*(B459-1/$P$2)</f>
        <v>17.0777988594329</v>
      </c>
      <c r="H459" s="13" t="n">
        <f aca="false">E459*SQRT(B459/(1-B459))</f>
        <v>-0.353951825013464</v>
      </c>
      <c r="I459" s="13" t="n">
        <f aca="false">ABS(D459)</f>
        <v>3.0684630980464</v>
      </c>
      <c r="J459" s="6" t="n">
        <f aca="false">IF(B459&gt;$P$4,1,0)</f>
        <v>1</v>
      </c>
      <c r="K459" s="6" t="n">
        <f aca="false">IF(F459&gt;$P$6,1,0)</f>
        <v>1</v>
      </c>
      <c r="L459" s="6" t="n">
        <f aca="false">IF(G459&gt;$P$9,1,0)</f>
        <v>1</v>
      </c>
      <c r="M459" s="6" t="n">
        <f aca="false">IF(ABS(H459)&gt;$P$8,1,0)</f>
        <v>1</v>
      </c>
    </row>
    <row r="460" customFormat="false" ht="15" hidden="false" customHeight="false" outlineLevel="0" collapsed="false">
      <c r="A460" s="0" t="n">
        <f aca="false">ROW()-1</f>
        <v>459</v>
      </c>
      <c r="B460" s="22" t="n">
        <f aca="false">SUMPRODUCT(MMULT('Analysis Data'!N460:U460,'Final Model'!$B$59:$I$66),'Analysis Data'!N460:U460)</f>
        <v>0.00507810471328873</v>
      </c>
      <c r="C460" s="15" t="n">
        <f aca="false">'Residual Diagnostics'!F460</f>
        <v>46.7355483638589</v>
      </c>
      <c r="D460" s="13" t="n">
        <f aca="false">C460/('Final Model'!$B$21*SQRT(1-B460))</f>
        <v>0.955593214680076</v>
      </c>
      <c r="E460" s="13" t="n">
        <f aca="false">D460*SQRT(('Final Model'!$B$24-1)/('Final Model'!$B$24-D460^2))</f>
        <v>0.95556308347947</v>
      </c>
      <c r="F460" s="23" t="n">
        <f aca="false">D460^2/($P$3+1)*B460/(1-B460)</f>
        <v>0.000582597734062153</v>
      </c>
      <c r="G460" s="13" t="n">
        <f aca="false">($P$2-1)*(B460-1/$P$2)</f>
        <v>6.03389652862639</v>
      </c>
      <c r="H460" s="13" t="n">
        <f aca="false">E460*SQRT(B460/(1-B460))</f>
        <v>0.068267766589299</v>
      </c>
      <c r="I460" s="13" t="n">
        <f aca="false">ABS(D460)</f>
        <v>0.955593214680076</v>
      </c>
      <c r="J460" s="6" t="n">
        <f aca="false">IF(B460&gt;$P$4,1,0)</f>
        <v>0</v>
      </c>
      <c r="K460" s="6" t="n">
        <f aca="false">IF(F460&gt;$P$6,1,0)</f>
        <v>0</v>
      </c>
      <c r="L460" s="6" t="n">
        <f aca="false">IF(G460&gt;$P$9,1,0)</f>
        <v>0</v>
      </c>
      <c r="M460" s="6" t="n">
        <f aca="false">IF(ABS(H460)&gt;$P$8,1,0)</f>
        <v>0</v>
      </c>
    </row>
    <row r="461" customFormat="false" ht="15" hidden="false" customHeight="false" outlineLevel="0" collapsed="false">
      <c r="A461" s="0" t="n">
        <f aca="false">ROW()-1</f>
        <v>460</v>
      </c>
      <c r="B461" s="22" t="n">
        <f aca="false">SUMPRODUCT(MMULT('Analysis Data'!N461:U461,'Final Model'!$B$59:$I$66),'Analysis Data'!N461:U461)</f>
        <v>0.00509594730869742</v>
      </c>
      <c r="C461" s="15" t="n">
        <f aca="false">'Residual Diagnostics'!F461</f>
        <v>-59.8125197657798</v>
      </c>
      <c r="D461" s="13" t="n">
        <f aca="false">C461/('Final Model'!$B$21*SQRT(1-B461))</f>
        <v>-1.22298662498161</v>
      </c>
      <c r="E461" s="13" t="n">
        <f aca="false">D461*SQRT(('Final Model'!$B$24-1)/('Final Model'!$B$24-D461^2))</f>
        <v>-1.22320681149208</v>
      </c>
      <c r="F461" s="23" t="n">
        <f aca="false">D461^2/($P$3+1)*B461/(1-B461)</f>
        <v>0.000957628707633261</v>
      </c>
      <c r="G461" s="13" t="n">
        <f aca="false">($P$2-1)*(B461-1/$P$2)</f>
        <v>6.05860852326743</v>
      </c>
      <c r="H461" s="13" t="n">
        <f aca="false">E461*SQRT(B461/(1-B461))</f>
        <v>-0.0875430665040666</v>
      </c>
      <c r="I461" s="13" t="n">
        <f aca="false">ABS(D461)</f>
        <v>1.22298662498161</v>
      </c>
      <c r="J461" s="6" t="n">
        <f aca="false">IF(B461&gt;$P$4,1,0)</f>
        <v>0</v>
      </c>
      <c r="K461" s="6" t="n">
        <f aca="false">IF(F461&gt;$P$6,1,0)</f>
        <v>0</v>
      </c>
      <c r="L461" s="6" t="n">
        <f aca="false">IF(G461&gt;$P$9,1,0)</f>
        <v>0</v>
      </c>
      <c r="M461" s="6" t="n">
        <f aca="false">IF(ABS(H461)&gt;$P$8,1,0)</f>
        <v>0</v>
      </c>
    </row>
    <row r="462" customFormat="false" ht="15" hidden="false" customHeight="false" outlineLevel="0" collapsed="false">
      <c r="A462" s="0" t="n">
        <f aca="false">ROW()-1</f>
        <v>461</v>
      </c>
      <c r="B462" s="22" t="n">
        <f aca="false">SUMPRODUCT(MMULT('Analysis Data'!N462:U462,'Final Model'!$B$59:$I$66),'Analysis Data'!N462:U462)</f>
        <v>0.00612129113104763</v>
      </c>
      <c r="C462" s="15" t="n">
        <f aca="false">'Residual Diagnostics'!F462</f>
        <v>16.6295305404556</v>
      </c>
      <c r="D462" s="13" t="n">
        <f aca="false">C462/('Final Model'!$B$21*SQRT(1-B462))</f>
        <v>0.340199369418582</v>
      </c>
      <c r="E462" s="13" t="n">
        <f aca="false">D462*SQRT(('Final Model'!$B$24-1)/('Final Model'!$B$24-D462^2))</f>
        <v>0.340090189542225</v>
      </c>
      <c r="F462" s="23" t="n">
        <f aca="false">D462^2/($P$3+1)*B462/(1-B462)</f>
        <v>8.91018394082997E-005</v>
      </c>
      <c r="G462" s="13" t="n">
        <f aca="false">($P$2-1)*(B462-1/$P$2)</f>
        <v>7.47870971722247</v>
      </c>
      <c r="H462" s="13" t="n">
        <f aca="false">E462*SQRT(B462/(1-B462))</f>
        <v>0.0266900217818869</v>
      </c>
      <c r="I462" s="13" t="n">
        <f aca="false">ABS(D462)</f>
        <v>0.340199369418582</v>
      </c>
      <c r="J462" s="6" t="n">
        <f aca="false">IF(B462&gt;$P$4,1,0)</f>
        <v>0</v>
      </c>
      <c r="K462" s="6" t="n">
        <f aca="false">IF(F462&gt;$P$6,1,0)</f>
        <v>0</v>
      </c>
      <c r="L462" s="6" t="n">
        <f aca="false">IF(G462&gt;$P$9,1,0)</f>
        <v>0</v>
      </c>
      <c r="M462" s="6" t="n">
        <f aca="false">IF(ABS(H462)&gt;$P$8,1,0)</f>
        <v>0</v>
      </c>
    </row>
    <row r="463" customFormat="false" ht="15" hidden="false" customHeight="false" outlineLevel="0" collapsed="false">
      <c r="A463" s="0" t="n">
        <f aca="false">ROW()-1</f>
        <v>462</v>
      </c>
      <c r="B463" s="22" t="n">
        <f aca="false">SUMPRODUCT(MMULT('Analysis Data'!N463:U463,'Final Model'!$B$59:$I$66),'Analysis Data'!N463:U463)</f>
        <v>0.0117873794566037</v>
      </c>
      <c r="C463" s="15" t="n">
        <f aca="false">'Residual Diagnostics'!F463</f>
        <v>17.1110801469238</v>
      </c>
      <c r="D463" s="13" t="n">
        <f aca="false">C463/('Final Model'!$B$21*SQRT(1-B463))</f>
        <v>0.351052795938685</v>
      </c>
      <c r="E463" s="13" t="n">
        <f aca="false">D463*SQRT(('Final Model'!$B$24-1)/('Final Model'!$B$24-D463^2))</f>
        <v>0.350941088304423</v>
      </c>
      <c r="F463" s="23" t="n">
        <f aca="false">D463^2/($P$3+1)*B463/(1-B463)</f>
        <v>0.000183747633325127</v>
      </c>
      <c r="G463" s="13" t="n">
        <f aca="false">($P$2-1)*(B463-1/$P$2)</f>
        <v>15.3262420481177</v>
      </c>
      <c r="H463" s="13" t="n">
        <f aca="false">E463*SQRT(B463/(1-B463))</f>
        <v>0.0383281319324425</v>
      </c>
      <c r="I463" s="13" t="n">
        <f aca="false">ABS(D463)</f>
        <v>0.351052795938685</v>
      </c>
      <c r="J463" s="6" t="n">
        <f aca="false">IF(B463&gt;$P$4,1,0)</f>
        <v>1</v>
      </c>
      <c r="K463" s="6" t="n">
        <f aca="false">IF(F463&gt;$P$6,1,0)</f>
        <v>0</v>
      </c>
      <c r="L463" s="6" t="n">
        <f aca="false">IF(G463&gt;$P$9,1,0)</f>
        <v>1</v>
      </c>
      <c r="M463" s="6" t="n">
        <f aca="false">IF(ABS(H463)&gt;$P$8,1,0)</f>
        <v>0</v>
      </c>
    </row>
    <row r="464" customFormat="false" ht="15" hidden="false" customHeight="false" outlineLevel="0" collapsed="false">
      <c r="A464" s="0" t="n">
        <f aca="false">ROW()-1</f>
        <v>463</v>
      </c>
      <c r="B464" s="22" t="n">
        <f aca="false">SUMPRODUCT(MMULT('Analysis Data'!N464:U464,'Final Model'!$B$59:$I$66),'Analysis Data'!N464:U464)</f>
        <v>0.00221688059806092</v>
      </c>
      <c r="C464" s="15" t="n">
        <f aca="false">'Residual Diagnostics'!F464</f>
        <v>0.883754008917521</v>
      </c>
      <c r="D464" s="13" t="n">
        <f aca="false">C464/('Final Model'!$B$21*SQRT(1-B464))</f>
        <v>0.0180440295459433</v>
      </c>
      <c r="E464" s="13" t="n">
        <f aca="false">D464*SQRT(('Final Model'!$B$24-1)/('Final Model'!$B$24-D464^2))</f>
        <v>0.018037483308079</v>
      </c>
      <c r="F464" s="23" t="n">
        <f aca="false">D464^2/($P$3+1)*B464/(1-B464)</f>
        <v>9.04238975189667E-008</v>
      </c>
      <c r="G464" s="13" t="n">
        <f aca="false">($P$2-1)*(B464-1/$P$2)</f>
        <v>2.07110112903587</v>
      </c>
      <c r="H464" s="13" t="n">
        <f aca="false">E464*SQRT(B464/(1-B464))</f>
        <v>0.000850215498348483</v>
      </c>
      <c r="I464" s="13" t="n">
        <f aca="false">ABS(D464)</f>
        <v>0.0180440295459433</v>
      </c>
      <c r="J464" s="6" t="n">
        <f aca="false">IF(B464&gt;$P$4,1,0)</f>
        <v>0</v>
      </c>
      <c r="K464" s="6" t="n">
        <f aca="false">IF(F464&gt;$P$6,1,0)</f>
        <v>0</v>
      </c>
      <c r="L464" s="6" t="n">
        <f aca="false">IF(G464&gt;$P$9,1,0)</f>
        <v>0</v>
      </c>
      <c r="M464" s="6" t="n">
        <f aca="false">IF(ABS(H464)&gt;$P$8,1,0)</f>
        <v>0</v>
      </c>
    </row>
    <row r="465" customFormat="false" ht="15" hidden="false" customHeight="false" outlineLevel="0" collapsed="false">
      <c r="A465" s="0" t="n">
        <f aca="false">ROW()-1</f>
        <v>464</v>
      </c>
      <c r="B465" s="22" t="n">
        <f aca="false">SUMPRODUCT(MMULT('Analysis Data'!N465:U465,'Final Model'!$B$59:$I$66),'Analysis Data'!N465:U465)</f>
        <v>0.00205842177484457</v>
      </c>
      <c r="C465" s="15" t="n">
        <f aca="false">'Residual Diagnostics'!F465</f>
        <v>-44.8760533775614</v>
      </c>
      <c r="D465" s="13" t="n">
        <f aca="false">C465/('Final Model'!$B$21*SQRT(1-B465))</f>
        <v>-0.916183162270714</v>
      </c>
      <c r="E465" s="13" t="n">
        <f aca="false">D465*SQRT(('Final Model'!$B$24-1)/('Final Model'!$B$24-D465^2))</f>
        <v>-0.916129736761232</v>
      </c>
      <c r="F465" s="23" t="n">
        <f aca="false">D465^2/($P$3+1)*B465/(1-B465)</f>
        <v>0.000216423230283404</v>
      </c>
      <c r="G465" s="13" t="n">
        <f aca="false">($P$2-1)*(B465-1/$P$2)</f>
        <v>1.85163565888124</v>
      </c>
      <c r="H465" s="13" t="n">
        <f aca="false">E465*SQRT(B465/(1-B465))</f>
        <v>-0.0416074983998448</v>
      </c>
      <c r="I465" s="13" t="n">
        <f aca="false">ABS(D465)</f>
        <v>0.916183162270714</v>
      </c>
      <c r="J465" s="6" t="n">
        <f aca="false">IF(B465&gt;$P$4,1,0)</f>
        <v>0</v>
      </c>
      <c r="K465" s="6" t="n">
        <f aca="false">IF(F465&gt;$P$6,1,0)</f>
        <v>0</v>
      </c>
      <c r="L465" s="6" t="n">
        <f aca="false">IF(G465&gt;$P$9,1,0)</f>
        <v>0</v>
      </c>
      <c r="M465" s="6" t="n">
        <f aca="false">IF(ABS(H465)&gt;$P$8,1,0)</f>
        <v>0</v>
      </c>
    </row>
    <row r="466" customFormat="false" ht="15" hidden="false" customHeight="false" outlineLevel="0" collapsed="false">
      <c r="A466" s="0" t="n">
        <f aca="false">ROW()-1</f>
        <v>465</v>
      </c>
      <c r="B466" s="22" t="n">
        <f aca="false">SUMPRODUCT(MMULT('Analysis Data'!N466:U466,'Final Model'!$B$59:$I$66),'Analysis Data'!N466:U466)</f>
        <v>0.00238087116260208</v>
      </c>
      <c r="C466" s="15" t="n">
        <f aca="false">'Residual Diagnostics'!F466</f>
        <v>6.53485033375006</v>
      </c>
      <c r="D466" s="13" t="n">
        <f aca="false">C466/('Final Model'!$B$21*SQRT(1-B466))</f>
        <v>0.133436139992628</v>
      </c>
      <c r="E466" s="13" t="n">
        <f aca="false">D466*SQRT(('Final Model'!$B$24-1)/('Final Model'!$B$24-D466^2))</f>
        <v>0.133388576371922</v>
      </c>
      <c r="F466" s="23" t="n">
        <f aca="false">D466^2/($P$3+1)*B466/(1-B466)</f>
        <v>5.31163324604283E-006</v>
      </c>
      <c r="G466" s="13" t="n">
        <f aca="false">($P$2-1)*(B466-1/$P$2)</f>
        <v>2.29822806092538</v>
      </c>
      <c r="H466" s="13" t="n">
        <f aca="false">E466*SQRT(B466/(1-B466))</f>
        <v>0.00651634697235775</v>
      </c>
      <c r="I466" s="13" t="n">
        <f aca="false">ABS(D466)</f>
        <v>0.133436139992628</v>
      </c>
      <c r="J466" s="6" t="n">
        <f aca="false">IF(B466&gt;$P$4,1,0)</f>
        <v>0</v>
      </c>
      <c r="K466" s="6" t="n">
        <f aca="false">IF(F466&gt;$P$6,1,0)</f>
        <v>0</v>
      </c>
      <c r="L466" s="6" t="n">
        <f aca="false">IF(G466&gt;$P$9,1,0)</f>
        <v>0</v>
      </c>
      <c r="M466" s="6" t="n">
        <f aca="false">IF(ABS(H466)&gt;$P$8,1,0)</f>
        <v>0</v>
      </c>
    </row>
    <row r="467" customFormat="false" ht="15" hidden="false" customHeight="false" outlineLevel="0" collapsed="false">
      <c r="A467" s="0" t="n">
        <f aca="false">ROW()-1</f>
        <v>466</v>
      </c>
      <c r="B467" s="22" t="n">
        <f aca="false">SUMPRODUCT(MMULT('Analysis Data'!N467:U467,'Final Model'!$B$59:$I$66),'Analysis Data'!N467:U467)</f>
        <v>0.00267134938059803</v>
      </c>
      <c r="C467" s="15" t="n">
        <f aca="false">'Residual Diagnostics'!F467</f>
        <v>18.1724622904747</v>
      </c>
      <c r="D467" s="13" t="n">
        <f aca="false">C467/('Final Model'!$B$21*SQRT(1-B467))</f>
        <v>0.371120408415651</v>
      </c>
      <c r="E467" s="13" t="n">
        <f aca="false">D467*SQRT(('Final Model'!$B$24-1)/('Final Model'!$B$24-D467^2))</f>
        <v>0.371004266204012</v>
      </c>
      <c r="F467" s="23" t="n">
        <f aca="false">D467^2/($P$3+1)*B467/(1-B467)</f>
        <v>4.6113924567702E-005</v>
      </c>
      <c r="G467" s="13" t="n">
        <f aca="false">($P$2-1)*(B467-1/$P$2)</f>
        <v>2.70054039284977</v>
      </c>
      <c r="H467" s="13" t="n">
        <f aca="false">E467*SQRT(B467/(1-B467))</f>
        <v>0.0192010554624011</v>
      </c>
      <c r="I467" s="13" t="n">
        <f aca="false">ABS(D467)</f>
        <v>0.371120408415651</v>
      </c>
      <c r="J467" s="6" t="n">
        <f aca="false">IF(B467&gt;$P$4,1,0)</f>
        <v>0</v>
      </c>
      <c r="K467" s="6" t="n">
        <f aca="false">IF(F467&gt;$P$6,1,0)</f>
        <v>0</v>
      </c>
      <c r="L467" s="6" t="n">
        <f aca="false">IF(G467&gt;$P$9,1,0)</f>
        <v>0</v>
      </c>
      <c r="M467" s="6" t="n">
        <f aca="false">IF(ABS(H467)&gt;$P$8,1,0)</f>
        <v>0</v>
      </c>
    </row>
    <row r="468" customFormat="false" ht="15" hidden="false" customHeight="false" outlineLevel="0" collapsed="false">
      <c r="A468" s="0" t="n">
        <f aca="false">ROW()-1</f>
        <v>467</v>
      </c>
      <c r="B468" s="22" t="n">
        <f aca="false">SUMPRODUCT(MMULT('Analysis Data'!N468:U468,'Final Model'!$B$59:$I$66),'Analysis Data'!N468:U468)</f>
        <v>0.00308954724534171</v>
      </c>
      <c r="C468" s="15" t="n">
        <f aca="false">'Residual Diagnostics'!F468</f>
        <v>-54.6801897402503</v>
      </c>
      <c r="D468" s="13" t="n">
        <f aca="false">C468/('Final Model'!$B$21*SQRT(1-B468))</f>
        <v>-1.11692020371922</v>
      </c>
      <c r="E468" s="13" t="n">
        <f aca="false">D468*SQRT(('Final Model'!$B$24-1)/('Final Model'!$B$24-D468^2))</f>
        <v>-1.11702059842565</v>
      </c>
      <c r="F468" s="23" t="n">
        <f aca="false">D468^2/($P$3+1)*B468/(1-B468)</f>
        <v>0.000483273518224725</v>
      </c>
      <c r="G468" s="13" t="n">
        <f aca="false">($P$2-1)*(B468-1/$P$2)</f>
        <v>3.27974443551977</v>
      </c>
      <c r="H468" s="13" t="n">
        <f aca="false">E468*SQRT(B468/(1-B468))</f>
        <v>-0.0621842681390463</v>
      </c>
      <c r="I468" s="13" t="n">
        <f aca="false">ABS(D468)</f>
        <v>1.11692020371922</v>
      </c>
      <c r="J468" s="6" t="n">
        <f aca="false">IF(B468&gt;$P$4,1,0)</f>
        <v>0</v>
      </c>
      <c r="K468" s="6" t="n">
        <f aca="false">IF(F468&gt;$P$6,1,0)</f>
        <v>0</v>
      </c>
      <c r="L468" s="6" t="n">
        <f aca="false">IF(G468&gt;$P$9,1,0)</f>
        <v>0</v>
      </c>
      <c r="M468" s="6" t="n">
        <f aca="false">IF(ABS(H468)&gt;$P$8,1,0)</f>
        <v>0</v>
      </c>
    </row>
    <row r="469" customFormat="false" ht="15" hidden="false" customHeight="false" outlineLevel="0" collapsed="false">
      <c r="A469" s="0" t="n">
        <f aca="false">ROW()-1</f>
        <v>468</v>
      </c>
      <c r="B469" s="22" t="n">
        <f aca="false">SUMPRODUCT(MMULT('Analysis Data'!N469:U469,'Final Model'!$B$59:$I$66),'Analysis Data'!N469:U469)</f>
        <v>0.00194644887045216</v>
      </c>
      <c r="C469" s="15" t="n">
        <f aca="false">'Residual Diagnostics'!F469</f>
        <v>-1.13551338467349</v>
      </c>
      <c r="D469" s="13" t="n">
        <f aca="false">C469/('Final Model'!$B$21*SQRT(1-B469))</f>
        <v>-0.0231811802776546</v>
      </c>
      <c r="E469" s="13" t="n">
        <f aca="false">D469*SQRT(('Final Model'!$B$24-1)/('Final Model'!$B$24-D469^2))</f>
        <v>-0.0231727721009123</v>
      </c>
      <c r="F469" s="23" t="n">
        <f aca="false">D469^2/($P$3+1)*B469/(1-B469)</f>
        <v>1.30999686932964E-007</v>
      </c>
      <c r="G469" s="13" t="n">
        <f aca="false">($P$2-1)*(B469-1/$P$2)</f>
        <v>1.69655318629774</v>
      </c>
      <c r="H469" s="13" t="n">
        <f aca="false">E469*SQRT(B469/(1-B469))</f>
        <v>-0.00102334616976234</v>
      </c>
      <c r="I469" s="13" t="n">
        <f aca="false">ABS(D469)</f>
        <v>0.0231811802776546</v>
      </c>
      <c r="J469" s="6" t="n">
        <f aca="false">IF(B469&gt;$P$4,1,0)</f>
        <v>0</v>
      </c>
      <c r="K469" s="6" t="n">
        <f aca="false">IF(F469&gt;$P$6,1,0)</f>
        <v>0</v>
      </c>
      <c r="L469" s="6" t="n">
        <f aca="false">IF(G469&gt;$P$9,1,0)</f>
        <v>0</v>
      </c>
      <c r="M469" s="6" t="n">
        <f aca="false">IF(ABS(H469)&gt;$P$8,1,0)</f>
        <v>0</v>
      </c>
    </row>
    <row r="470" customFormat="false" ht="15" hidden="false" customHeight="false" outlineLevel="0" collapsed="false">
      <c r="A470" s="0" t="n">
        <f aca="false">ROW()-1</f>
        <v>469</v>
      </c>
      <c r="B470" s="22" t="n">
        <f aca="false">SUMPRODUCT(MMULT('Analysis Data'!N470:U470,'Final Model'!$B$59:$I$66),'Analysis Data'!N470:U470)</f>
        <v>0.00205842177484457</v>
      </c>
      <c r="C470" s="15" t="n">
        <f aca="false">'Residual Diagnostics'!F470</f>
        <v>11.8983441542882</v>
      </c>
      <c r="D470" s="13" t="n">
        <f aca="false">C470/('Final Model'!$B$21*SQRT(1-B470))</f>
        <v>0.242914912355276</v>
      </c>
      <c r="E470" s="13" t="n">
        <f aca="false">D470*SQRT(('Final Model'!$B$24-1)/('Final Model'!$B$24-D470^2))</f>
        <v>0.242831955206873</v>
      </c>
      <c r="F470" s="23" t="n">
        <f aca="false">D470^2/($P$3+1)*B470/(1-B470)</f>
        <v>1.52141472824136E-005</v>
      </c>
      <c r="G470" s="13" t="n">
        <f aca="false">($P$2-1)*(B470-1/$P$2)</f>
        <v>1.85163565888124</v>
      </c>
      <c r="H470" s="13" t="n">
        <f aca="false">E470*SQRT(B470/(1-B470))</f>
        <v>0.0110286019351585</v>
      </c>
      <c r="I470" s="13" t="n">
        <f aca="false">ABS(D470)</f>
        <v>0.242914912355276</v>
      </c>
      <c r="J470" s="6" t="n">
        <f aca="false">IF(B470&gt;$P$4,1,0)</f>
        <v>0</v>
      </c>
      <c r="K470" s="6" t="n">
        <f aca="false">IF(F470&gt;$P$6,1,0)</f>
        <v>0</v>
      </c>
      <c r="L470" s="6" t="n">
        <f aca="false">IF(G470&gt;$P$9,1,0)</f>
        <v>0</v>
      </c>
      <c r="M470" s="6" t="n">
        <f aca="false">IF(ABS(H470)&gt;$P$8,1,0)</f>
        <v>0</v>
      </c>
    </row>
    <row r="471" customFormat="false" ht="15" hidden="false" customHeight="false" outlineLevel="0" collapsed="false">
      <c r="A471" s="0" t="n">
        <f aca="false">ROW()-1</f>
        <v>470</v>
      </c>
      <c r="B471" s="22" t="n">
        <f aca="false">SUMPRODUCT(MMULT('Analysis Data'!N471:U471,'Final Model'!$B$59:$I$66),'Analysis Data'!N471:U471)</f>
        <v>0.013178125337212</v>
      </c>
      <c r="C471" s="15" t="n">
        <f aca="false">'Residual Diagnostics'!F471</f>
        <v>115.084062283495</v>
      </c>
      <c r="D471" s="13" t="n">
        <f aca="false">C471/('Final Model'!$B$21*SQRT(1-B471))</f>
        <v>2.36274040544463</v>
      </c>
      <c r="E471" s="13" t="n">
        <f aca="false">D471*SQRT(('Final Model'!$B$24-1)/('Final Model'!$B$24-D471^2))</f>
        <v>2.36668174794633</v>
      </c>
      <c r="F471" s="23" t="n">
        <f aca="false">D471^2/($P$3+1)*B471/(1-B471)</f>
        <v>0.00931873357932156</v>
      </c>
      <c r="G471" s="13" t="n">
        <f aca="false">($P$2-1)*(B471-1/$P$2)</f>
        <v>17.2524250927601</v>
      </c>
      <c r="H471" s="13" t="n">
        <f aca="false">E471*SQRT(B471/(1-B471))</f>
        <v>0.273493679701711</v>
      </c>
      <c r="I471" s="13" t="n">
        <f aca="false">ABS(D471)</f>
        <v>2.36274040544463</v>
      </c>
      <c r="J471" s="6" t="n">
        <f aca="false">IF(B471&gt;$P$4,1,0)</f>
        <v>1</v>
      </c>
      <c r="K471" s="6" t="n">
        <f aca="false">IF(F471&gt;$P$6,1,0)</f>
        <v>1</v>
      </c>
      <c r="L471" s="6" t="n">
        <f aca="false">IF(G471&gt;$P$9,1,0)</f>
        <v>1</v>
      </c>
      <c r="M471" s="6" t="n">
        <f aca="false">IF(ABS(H471)&gt;$P$8,1,0)</f>
        <v>1</v>
      </c>
    </row>
    <row r="472" customFormat="false" ht="15" hidden="false" customHeight="false" outlineLevel="0" collapsed="false">
      <c r="A472" s="0" t="n">
        <f aca="false">ROW()-1</f>
        <v>471</v>
      </c>
      <c r="B472" s="22" t="n">
        <f aca="false">SUMPRODUCT(MMULT('Analysis Data'!N472:U472,'Final Model'!$B$59:$I$66),'Analysis Data'!N472:U472)</f>
        <v>0.0163632918464385</v>
      </c>
      <c r="C472" s="15" t="n">
        <f aca="false">'Residual Diagnostics'!F472</f>
        <v>67.609339509664</v>
      </c>
      <c r="D472" s="13" t="n">
        <f aca="false">C472/('Final Model'!$B$21*SQRT(1-B472))</f>
        <v>1.39030325062679</v>
      </c>
      <c r="E472" s="13" t="n">
        <f aca="false">D472*SQRT(('Final Model'!$B$24-1)/('Final Model'!$B$24-D472^2))</f>
        <v>1.39077446824865</v>
      </c>
      <c r="F472" s="23" t="n">
        <f aca="false">D472^2/($P$3+1)*B472/(1-B472)</f>
        <v>0.00401943525940017</v>
      </c>
      <c r="G472" s="13" t="n">
        <f aca="false">($P$2-1)*(B472-1/$P$2)</f>
        <v>21.6638807080388</v>
      </c>
      <c r="H472" s="13" t="n">
        <f aca="false">E472*SQRT(B472/(1-B472))</f>
        <v>0.179380274230948</v>
      </c>
      <c r="I472" s="13" t="n">
        <f aca="false">ABS(D472)</f>
        <v>1.39030325062679</v>
      </c>
      <c r="J472" s="6" t="n">
        <f aca="false">IF(B472&gt;$P$4,1,0)</f>
        <v>1</v>
      </c>
      <c r="K472" s="6" t="n">
        <f aca="false">IF(F472&gt;$P$6,1,0)</f>
        <v>1</v>
      </c>
      <c r="L472" s="6" t="n">
        <f aca="false">IF(G472&gt;$P$9,1,0)</f>
        <v>1</v>
      </c>
      <c r="M472" s="6" t="n">
        <f aca="false">IF(ABS(H472)&gt;$P$8,1,0)</f>
        <v>1</v>
      </c>
    </row>
    <row r="473" customFormat="false" ht="15" hidden="false" customHeight="false" outlineLevel="0" collapsed="false">
      <c r="A473" s="0" t="n">
        <f aca="false">ROW()-1</f>
        <v>472</v>
      </c>
      <c r="B473" s="22" t="n">
        <f aca="false">SUMPRODUCT(MMULT('Analysis Data'!N473:U473,'Final Model'!$B$59:$I$66),'Analysis Data'!N473:U473)</f>
        <v>0.00593741150688516</v>
      </c>
      <c r="C473" s="15" t="n">
        <f aca="false">'Residual Diagnostics'!F473</f>
        <v>-31.8290648299051</v>
      </c>
      <c r="D473" s="13" t="n">
        <f aca="false">C473/('Final Model'!$B$21*SQRT(1-B473))</f>
        <v>-0.651084299713952</v>
      </c>
      <c r="E473" s="13" t="n">
        <f aca="false">D473*SQRT(('Final Model'!$B$24-1)/('Final Model'!$B$24-D473^2))</f>
        <v>-0.65094814684332</v>
      </c>
      <c r="F473" s="23" t="n">
        <f aca="false">D473^2/($P$3+1)*B473/(1-B473)</f>
        <v>0.000316495747491364</v>
      </c>
      <c r="G473" s="13" t="n">
        <f aca="false">($P$2-1)*(B473-1/$P$2)</f>
        <v>7.22403643775744</v>
      </c>
      <c r="H473" s="13" t="n">
        <f aca="false">E473*SQRT(B473/(1-B473))</f>
        <v>-0.050308121966634</v>
      </c>
      <c r="I473" s="13" t="n">
        <f aca="false">ABS(D473)</f>
        <v>0.651084299713952</v>
      </c>
      <c r="J473" s="6" t="n">
        <f aca="false">IF(B473&gt;$P$4,1,0)</f>
        <v>0</v>
      </c>
      <c r="K473" s="6" t="n">
        <f aca="false">IF(F473&gt;$P$6,1,0)</f>
        <v>0</v>
      </c>
      <c r="L473" s="6" t="n">
        <f aca="false">IF(G473&gt;$P$9,1,0)</f>
        <v>0</v>
      </c>
      <c r="M473" s="6" t="n">
        <f aca="false">IF(ABS(H473)&gt;$P$8,1,0)</f>
        <v>0</v>
      </c>
    </row>
    <row r="474" customFormat="false" ht="15" hidden="false" customHeight="false" outlineLevel="0" collapsed="false">
      <c r="A474" s="0" t="n">
        <f aca="false">ROW()-1</f>
        <v>473</v>
      </c>
      <c r="B474" s="22" t="n">
        <f aca="false">SUMPRODUCT(MMULT('Analysis Data'!N474:U474,'Final Model'!$B$59:$I$66),'Analysis Data'!N474:U474)</f>
        <v>0.00522357849424358</v>
      </c>
      <c r="C474" s="15" t="n">
        <f aca="false">'Residual Diagnostics'!F474</f>
        <v>7.12084034119982</v>
      </c>
      <c r="D474" s="13" t="n">
        <f aca="false">C474/('Final Model'!$B$21*SQRT(1-B474))</f>
        <v>0.145609166454222</v>
      </c>
      <c r="E474" s="13" t="n">
        <f aca="false">D474*SQRT(('Final Model'!$B$24-1)/('Final Model'!$B$24-D474^2))</f>
        <v>0.14555744313501</v>
      </c>
      <c r="F474" s="23" t="n">
        <f aca="false">D474^2/($P$3+1)*B474/(1-B474)</f>
        <v>1.39165020125875E-005</v>
      </c>
      <c r="G474" s="13" t="n">
        <f aca="false">($P$2-1)*(B474-1/$P$2)</f>
        <v>6.23537771524886</v>
      </c>
      <c r="H474" s="13" t="n">
        <f aca="false">E474*SQRT(B474/(1-B474))</f>
        <v>0.0105476507044767</v>
      </c>
      <c r="I474" s="13" t="n">
        <f aca="false">ABS(D474)</f>
        <v>0.145609166454222</v>
      </c>
      <c r="J474" s="6" t="n">
        <f aca="false">IF(B474&gt;$P$4,1,0)</f>
        <v>0</v>
      </c>
      <c r="K474" s="6" t="n">
        <f aca="false">IF(F474&gt;$P$6,1,0)</f>
        <v>0</v>
      </c>
      <c r="L474" s="6" t="n">
        <f aca="false">IF(G474&gt;$P$9,1,0)</f>
        <v>0</v>
      </c>
      <c r="M474" s="6" t="n">
        <f aca="false">IF(ABS(H474)&gt;$P$8,1,0)</f>
        <v>0</v>
      </c>
    </row>
    <row r="475" customFormat="false" ht="15" hidden="false" customHeight="false" outlineLevel="0" collapsed="false">
      <c r="A475" s="0" t="n">
        <f aca="false">ROW()-1</f>
        <v>474</v>
      </c>
      <c r="B475" s="22" t="n">
        <f aca="false">SUMPRODUCT(MMULT('Analysis Data'!N475:U475,'Final Model'!$B$59:$I$66),'Analysis Data'!N475:U475)</f>
        <v>0.00194862918316512</v>
      </c>
      <c r="C475" s="15" t="n">
        <f aca="false">'Residual Diagnostics'!F475</f>
        <v>2.1304299135073</v>
      </c>
      <c r="D475" s="13" t="n">
        <f aca="false">C475/('Final Model'!$B$21*SQRT(1-B475))</f>
        <v>0.0434921635481546</v>
      </c>
      <c r="E475" s="13" t="n">
        <f aca="false">D475*SQRT(('Final Model'!$B$24-1)/('Final Model'!$B$24-D475^2))</f>
        <v>0.0434764096228146</v>
      </c>
      <c r="F475" s="23" t="n">
        <f aca="false">D475^2/($P$3+1)*B475/(1-B475)</f>
        <v>4.61645221856263E-007</v>
      </c>
      <c r="G475" s="13" t="n">
        <f aca="false">($P$2-1)*(B475-1/$P$2)</f>
        <v>1.69957291940519</v>
      </c>
      <c r="H475" s="13" t="n">
        <f aca="false">E475*SQRT(B475/(1-B475))</f>
        <v>0.00192106396363515</v>
      </c>
      <c r="I475" s="13" t="n">
        <f aca="false">ABS(D475)</f>
        <v>0.0434921635481546</v>
      </c>
      <c r="J475" s="6" t="n">
        <f aca="false">IF(B475&gt;$P$4,1,0)</f>
        <v>0</v>
      </c>
      <c r="K475" s="6" t="n">
        <f aca="false">IF(F475&gt;$P$6,1,0)</f>
        <v>0</v>
      </c>
      <c r="L475" s="6" t="n">
        <f aca="false">IF(G475&gt;$P$9,1,0)</f>
        <v>0</v>
      </c>
      <c r="M475" s="6" t="n">
        <f aca="false">IF(ABS(H475)&gt;$P$8,1,0)</f>
        <v>0</v>
      </c>
    </row>
    <row r="476" customFormat="false" ht="15" hidden="false" customHeight="false" outlineLevel="0" collapsed="false">
      <c r="A476" s="0" t="n">
        <f aca="false">ROW()-1</f>
        <v>475</v>
      </c>
      <c r="B476" s="22" t="n">
        <f aca="false">SUMPRODUCT(MMULT('Analysis Data'!N476:U476,'Final Model'!$B$59:$I$66),'Analysis Data'!N476:U476)</f>
        <v>0.00194862918316512</v>
      </c>
      <c r="C476" s="15" t="n">
        <f aca="false">'Residual Diagnostics'!F476</f>
        <v>-44.0188657677559</v>
      </c>
      <c r="D476" s="13" t="n">
        <f aca="false">C476/('Final Model'!$B$21*SQRT(1-B476))</f>
        <v>-0.898633509151084</v>
      </c>
      <c r="E476" s="13" t="n">
        <f aca="false">D476*SQRT(('Final Model'!$B$24-1)/('Final Model'!$B$24-D476^2))</f>
        <v>-0.898570716516526</v>
      </c>
      <c r="F476" s="23" t="n">
        <f aca="false">D476^2/($P$3+1)*B476/(1-B476)</f>
        <v>0.00019708407702522</v>
      </c>
      <c r="G476" s="13" t="n">
        <f aca="false">($P$2-1)*(B476-1/$P$2)</f>
        <v>1.69957291940519</v>
      </c>
      <c r="H476" s="13" t="n">
        <f aca="false">E476*SQRT(B476/(1-B476))</f>
        <v>-0.0397045624800597</v>
      </c>
      <c r="I476" s="13" t="n">
        <f aca="false">ABS(D476)</f>
        <v>0.898633509151084</v>
      </c>
      <c r="J476" s="6" t="n">
        <f aca="false">IF(B476&gt;$P$4,1,0)</f>
        <v>0</v>
      </c>
      <c r="K476" s="6" t="n">
        <f aca="false">IF(F476&gt;$P$6,1,0)</f>
        <v>0</v>
      </c>
      <c r="L476" s="6" t="n">
        <f aca="false">IF(G476&gt;$P$9,1,0)</f>
        <v>0</v>
      </c>
      <c r="M476" s="6" t="n">
        <f aca="false">IF(ABS(H476)&gt;$P$8,1,0)</f>
        <v>0</v>
      </c>
    </row>
    <row r="477" customFormat="false" ht="15" hidden="false" customHeight="false" outlineLevel="0" collapsed="false">
      <c r="A477" s="0" t="n">
        <f aca="false">ROW()-1</f>
        <v>476</v>
      </c>
      <c r="B477" s="22" t="n">
        <f aca="false">SUMPRODUCT(MMULT('Analysis Data'!N477:U477,'Final Model'!$B$59:$I$66),'Analysis Data'!N477:U477)</f>
        <v>0.00181501898205437</v>
      </c>
      <c r="C477" s="15" t="n">
        <f aca="false">'Residual Diagnostics'!F477</f>
        <v>-45.6412729377422</v>
      </c>
      <c r="D477" s="13" t="n">
        <f aca="false">C477/('Final Model'!$B$21*SQRT(1-B477))</f>
        <v>-0.931692161451323</v>
      </c>
      <c r="E477" s="13" t="n">
        <f aca="false">D477*SQRT(('Final Model'!$B$24-1)/('Final Model'!$B$24-D477^2))</f>
        <v>-0.93164752540126</v>
      </c>
      <c r="F477" s="23" t="n">
        <f aca="false">D477^2/($P$3+1)*B477/(1-B477)</f>
        <v>0.000197299069344883</v>
      </c>
      <c r="G477" s="13" t="n">
        <f aca="false">($P$2-1)*(B477-1/$P$2)</f>
        <v>1.51452279086681</v>
      </c>
      <c r="H477" s="13" t="n">
        <f aca="false">E477*SQRT(B477/(1-B477))</f>
        <v>-0.0397270854869121</v>
      </c>
      <c r="I477" s="13" t="n">
        <f aca="false">ABS(D477)</f>
        <v>0.931692161451323</v>
      </c>
      <c r="J477" s="6" t="n">
        <f aca="false">IF(B477&gt;$P$4,1,0)</f>
        <v>0</v>
      </c>
      <c r="K477" s="6" t="n">
        <f aca="false">IF(F477&gt;$P$6,1,0)</f>
        <v>0</v>
      </c>
      <c r="L477" s="6" t="n">
        <f aca="false">IF(G477&gt;$P$9,1,0)</f>
        <v>0</v>
      </c>
      <c r="M477" s="6" t="n">
        <f aca="false">IF(ABS(H477)&gt;$P$8,1,0)</f>
        <v>0</v>
      </c>
    </row>
    <row r="478" customFormat="false" ht="15" hidden="false" customHeight="false" outlineLevel="0" collapsed="false">
      <c r="A478" s="0" t="n">
        <f aca="false">ROW()-1</f>
        <v>477</v>
      </c>
      <c r="B478" s="22" t="n">
        <f aca="false">SUMPRODUCT(MMULT('Analysis Data'!N478:U478,'Final Model'!$B$59:$I$66),'Analysis Data'!N478:U478)</f>
        <v>0.00170779778462098</v>
      </c>
      <c r="C478" s="15" t="n">
        <f aca="false">'Residual Diagnostics'!F478</f>
        <v>-3.31252651506051</v>
      </c>
      <c r="D478" s="13" t="n">
        <f aca="false">C478/('Final Model'!$B$21*SQRT(1-B478))</f>
        <v>-0.0676161957492768</v>
      </c>
      <c r="E478" s="13" t="n">
        <f aca="false">D478*SQRT(('Final Model'!$B$24-1)/('Final Model'!$B$24-D478^2))</f>
        <v>-0.067591769246791</v>
      </c>
      <c r="F478" s="23" t="n">
        <f aca="false">D478^2/($P$3+1)*B478/(1-B478)</f>
        <v>9.77665399523535E-007</v>
      </c>
      <c r="G478" s="13" t="n">
        <f aca="false">($P$2-1)*(B478-1/$P$2)</f>
        <v>1.36602143242155</v>
      </c>
      <c r="H478" s="13" t="n">
        <f aca="false">E478*SQRT(B478/(1-B478))</f>
        <v>-0.0027956525670718</v>
      </c>
      <c r="I478" s="13" t="n">
        <f aca="false">ABS(D478)</f>
        <v>0.0676161957492768</v>
      </c>
      <c r="J478" s="6" t="n">
        <f aca="false">IF(B478&gt;$P$4,1,0)</f>
        <v>0</v>
      </c>
      <c r="K478" s="6" t="n">
        <f aca="false">IF(F478&gt;$P$6,1,0)</f>
        <v>0</v>
      </c>
      <c r="L478" s="6" t="n">
        <f aca="false">IF(G478&gt;$P$9,1,0)</f>
        <v>0</v>
      </c>
      <c r="M478" s="6" t="n">
        <f aca="false">IF(ABS(H478)&gt;$P$8,1,0)</f>
        <v>0</v>
      </c>
    </row>
    <row r="479" customFormat="false" ht="15" hidden="false" customHeight="false" outlineLevel="0" collapsed="false">
      <c r="A479" s="0" t="n">
        <f aca="false">ROW()-1</f>
        <v>478</v>
      </c>
      <c r="B479" s="22" t="n">
        <f aca="false">SUMPRODUCT(MMULT('Analysis Data'!N479:U479,'Final Model'!$B$59:$I$66),'Analysis Data'!N479:U479)</f>
        <v>0.00170779778462098</v>
      </c>
      <c r="C479" s="15" t="n">
        <f aca="false">'Residual Diagnostics'!F479</f>
        <v>-5.12530837975351</v>
      </c>
      <c r="D479" s="13" t="n">
        <f aca="false">C479/('Final Model'!$B$21*SQRT(1-B479))</f>
        <v>-0.104619194172546</v>
      </c>
      <c r="E479" s="13" t="n">
        <f aca="false">D479*SQRT(('Final Model'!$B$24-1)/('Final Model'!$B$24-D479^2))</f>
        <v>-0.104581642099036</v>
      </c>
      <c r="F479" s="23" t="n">
        <f aca="false">D479^2/($P$3+1)*B479/(1-B479)</f>
        <v>2.34051549784153E-006</v>
      </c>
      <c r="G479" s="13" t="n">
        <f aca="false">($P$2-1)*(B479-1/$P$2)</f>
        <v>1.36602143242155</v>
      </c>
      <c r="H479" s="13" t="n">
        <f aca="false">E479*SQRT(B479/(1-B479))</f>
        <v>-0.00432558489681249</v>
      </c>
      <c r="I479" s="13" t="n">
        <f aca="false">ABS(D479)</f>
        <v>0.104619194172546</v>
      </c>
      <c r="J479" s="6" t="n">
        <f aca="false">IF(B479&gt;$P$4,1,0)</f>
        <v>0</v>
      </c>
      <c r="K479" s="6" t="n">
        <f aca="false">IF(F479&gt;$P$6,1,0)</f>
        <v>0</v>
      </c>
      <c r="L479" s="6" t="n">
        <f aca="false">IF(G479&gt;$P$9,1,0)</f>
        <v>0</v>
      </c>
      <c r="M479" s="6" t="n">
        <f aca="false">IF(ABS(H479)&gt;$P$8,1,0)</f>
        <v>0</v>
      </c>
    </row>
    <row r="480" customFormat="false" ht="15" hidden="false" customHeight="false" outlineLevel="0" collapsed="false">
      <c r="A480" s="0" t="n">
        <f aca="false">ROW()-1</f>
        <v>479</v>
      </c>
      <c r="B480" s="22" t="n">
        <f aca="false">SUMPRODUCT(MMULT('Analysis Data'!N480:U480,'Final Model'!$B$59:$I$66),'Analysis Data'!N480:U480)</f>
        <v>0.00194862918316512</v>
      </c>
      <c r="C480" s="15" t="n">
        <f aca="false">'Residual Diagnostics'!F480</f>
        <v>-16.2906803287704</v>
      </c>
      <c r="D480" s="13" t="n">
        <f aca="false">C480/('Final Model'!$B$21*SQRT(1-B480))</f>
        <v>-0.332569932799697</v>
      </c>
      <c r="E480" s="13" t="n">
        <f aca="false">D480*SQRT(('Final Model'!$B$24-1)/('Final Model'!$B$24-D480^2))</f>
        <v>-0.332462582192589</v>
      </c>
      <c r="F480" s="23" t="n">
        <f aca="false">D480^2/($P$3+1)*B480/(1-B480)</f>
        <v>2.69930702680927E-005</v>
      </c>
      <c r="G480" s="13" t="n">
        <f aca="false">($P$2-1)*(B480-1/$P$2)</f>
        <v>1.69957291940519</v>
      </c>
      <c r="H480" s="13" t="n">
        <f aca="false">E480*SQRT(B480/(1-B480))</f>
        <v>-0.0146903088697581</v>
      </c>
      <c r="I480" s="13" t="n">
        <f aca="false">ABS(D480)</f>
        <v>0.332569932799697</v>
      </c>
      <c r="J480" s="6" t="n">
        <f aca="false">IF(B480&gt;$P$4,1,0)</f>
        <v>0</v>
      </c>
      <c r="K480" s="6" t="n">
        <f aca="false">IF(F480&gt;$P$6,1,0)</f>
        <v>0</v>
      </c>
      <c r="L480" s="6" t="n">
        <f aca="false">IF(G480&gt;$P$9,1,0)</f>
        <v>0</v>
      </c>
      <c r="M480" s="6" t="n">
        <f aca="false">IF(ABS(H480)&gt;$P$8,1,0)</f>
        <v>0</v>
      </c>
    </row>
    <row r="481" customFormat="false" ht="15" hidden="false" customHeight="false" outlineLevel="0" collapsed="false">
      <c r="A481" s="0" t="n">
        <f aca="false">ROW()-1</f>
        <v>480</v>
      </c>
      <c r="B481" s="22" t="n">
        <f aca="false">SUMPRODUCT(MMULT('Analysis Data'!N481:U481,'Final Model'!$B$59:$I$66),'Analysis Data'!N481:U481)</f>
        <v>0.0018609727804065</v>
      </c>
      <c r="C481" s="15" t="n">
        <f aca="false">'Residual Diagnostics'!F481</f>
        <v>-78.5988721811069</v>
      </c>
      <c r="D481" s="13" t="n">
        <f aca="false">C481/('Final Model'!$B$21*SQRT(1-B481))</f>
        <v>-1.60450474124369</v>
      </c>
      <c r="E481" s="13" t="n">
        <f aca="false">D481*SQRT(('Final Model'!$B$24-1)/('Final Model'!$B$24-D481^2))</f>
        <v>-1.60542280861162</v>
      </c>
      <c r="F481" s="23" t="n">
        <f aca="false">D481^2/($P$3+1)*B481/(1-B481)</f>
        <v>0.000599985847915414</v>
      </c>
      <c r="G481" s="13" t="n">
        <f aca="false">($P$2-1)*(B481-1/$P$2)</f>
        <v>1.57816880158451</v>
      </c>
      <c r="H481" s="13" t="n">
        <f aca="false">E481*SQRT(B481/(1-B481))</f>
        <v>-0.0693208566323505</v>
      </c>
      <c r="I481" s="13" t="n">
        <f aca="false">ABS(D481)</f>
        <v>1.60450474124369</v>
      </c>
      <c r="J481" s="6" t="n">
        <f aca="false">IF(B481&gt;$P$4,1,0)</f>
        <v>0</v>
      </c>
      <c r="K481" s="6" t="n">
        <f aca="false">IF(F481&gt;$P$6,1,0)</f>
        <v>0</v>
      </c>
      <c r="L481" s="6" t="n">
        <f aca="false">IF(G481&gt;$P$9,1,0)</f>
        <v>0</v>
      </c>
      <c r="M481" s="6" t="n">
        <f aca="false">IF(ABS(H481)&gt;$P$8,1,0)</f>
        <v>0</v>
      </c>
    </row>
    <row r="482" customFormat="false" ht="15" hidden="false" customHeight="false" outlineLevel="0" collapsed="false">
      <c r="A482" s="0" t="n">
        <f aca="false">ROW()-1</f>
        <v>481</v>
      </c>
      <c r="B482" s="22" t="n">
        <f aca="false">SUMPRODUCT(MMULT('Analysis Data'!N482:U482,'Final Model'!$B$59:$I$66),'Analysis Data'!N482:U482)</f>
        <v>0.00179861767502441</v>
      </c>
      <c r="C482" s="15" t="n">
        <f aca="false">'Residual Diagnostics'!F482</f>
        <v>-17.8256660067532</v>
      </c>
      <c r="D482" s="13" t="n">
        <f aca="false">C482/('Final Model'!$B$21*SQRT(1-B482))</f>
        <v>-0.363878914400597</v>
      </c>
      <c r="E482" s="13" t="n">
        <f aca="false">D482*SQRT(('Final Model'!$B$24-1)/('Final Model'!$B$24-D482^2))</f>
        <v>-0.363764335830847</v>
      </c>
      <c r="F482" s="23" t="n">
        <f aca="false">D482^2/($P$3+1)*B482/(1-B482)</f>
        <v>2.98225299699922E-005</v>
      </c>
      <c r="G482" s="13" t="n">
        <f aca="false">($P$2-1)*(B482-1/$P$2)</f>
        <v>1.49180698063031</v>
      </c>
      <c r="H482" s="13" t="n">
        <f aca="false">E482*SQRT(B482/(1-B482))</f>
        <v>-0.0154411791851784</v>
      </c>
      <c r="I482" s="13" t="n">
        <f aca="false">ABS(D482)</f>
        <v>0.363878914400597</v>
      </c>
      <c r="J482" s="6" t="n">
        <f aca="false">IF(B482&gt;$P$4,1,0)</f>
        <v>0</v>
      </c>
      <c r="K482" s="6" t="n">
        <f aca="false">IF(F482&gt;$P$6,1,0)</f>
        <v>0</v>
      </c>
      <c r="L482" s="6" t="n">
        <f aca="false">IF(G482&gt;$P$9,1,0)</f>
        <v>0</v>
      </c>
      <c r="M482" s="6" t="n">
        <f aca="false">IF(ABS(H482)&gt;$P$8,1,0)</f>
        <v>0</v>
      </c>
    </row>
    <row r="483" customFormat="false" ht="15" hidden="false" customHeight="false" outlineLevel="0" collapsed="false">
      <c r="A483" s="0" t="n">
        <f aca="false">ROW()-1</f>
        <v>482</v>
      </c>
      <c r="B483" s="22" t="n">
        <f aca="false">SUMPRODUCT(MMULT('Analysis Data'!N483:U483,'Final Model'!$B$59:$I$66),'Analysis Data'!N483:U483)</f>
        <v>0.00194862918316512</v>
      </c>
      <c r="C483" s="15" t="n">
        <f aca="false">'Residual Diagnostics'!F483</f>
        <v>-96.2838804115931</v>
      </c>
      <c r="D483" s="13" t="n">
        <f aca="false">C483/('Final Model'!$B$21*SQRT(1-B483))</f>
        <v>-1.96560996790455</v>
      </c>
      <c r="E483" s="13" t="n">
        <f aca="false">D483*SQRT(('Final Model'!$B$24-1)/('Final Model'!$B$24-D483^2))</f>
        <v>-1.96765701201802</v>
      </c>
      <c r="F483" s="23" t="n">
        <f aca="false">D483^2/($P$3+1)*B483/(1-B483)</f>
        <v>0.000942933383224023</v>
      </c>
      <c r="G483" s="13" t="n">
        <f aca="false">($P$2-1)*(B483-1/$P$2)</f>
        <v>1.69957291940519</v>
      </c>
      <c r="H483" s="13" t="n">
        <f aca="false">E483*SQRT(B483/(1-B483))</f>
        <v>-0.0869435864501159</v>
      </c>
      <c r="I483" s="13" t="n">
        <f aca="false">ABS(D483)</f>
        <v>1.96560996790455</v>
      </c>
      <c r="J483" s="6" t="n">
        <f aca="false">IF(B483&gt;$P$4,1,0)</f>
        <v>0</v>
      </c>
      <c r="K483" s="6" t="n">
        <f aca="false">IF(F483&gt;$P$6,1,0)</f>
        <v>0</v>
      </c>
      <c r="L483" s="6" t="n">
        <f aca="false">IF(G483&gt;$P$9,1,0)</f>
        <v>0</v>
      </c>
      <c r="M483" s="6" t="n">
        <f aca="false">IF(ABS(H483)&gt;$P$8,1,0)</f>
        <v>0</v>
      </c>
    </row>
    <row r="484" customFormat="false" ht="15" hidden="false" customHeight="false" outlineLevel="0" collapsed="false">
      <c r="A484" s="0" t="n">
        <f aca="false">ROW()-1</f>
        <v>483</v>
      </c>
      <c r="B484" s="22" t="n">
        <f aca="false">SUMPRODUCT(MMULT('Analysis Data'!N484:U484,'Final Model'!$B$59:$I$66),'Analysis Data'!N484:U484)</f>
        <v>0.00178381200285069</v>
      </c>
      <c r="C484" s="15" t="n">
        <f aca="false">'Residual Diagnostics'!F484</f>
        <v>-21.709830599012</v>
      </c>
      <c r="D484" s="13" t="n">
        <f aca="false">C484/('Final Model'!$B$21*SQRT(1-B484))</f>
        <v>-0.443163862821353</v>
      </c>
      <c r="E484" s="13" t="n">
        <f aca="false">D484*SQRT(('Final Model'!$B$24-1)/('Final Model'!$B$24-D484^2))</f>
        <v>-0.443034606014278</v>
      </c>
      <c r="F484" s="23" t="n">
        <f aca="false">D484^2/($P$3+1)*B484/(1-B484)</f>
        <v>4.38695485095502E-005</v>
      </c>
      <c r="G484" s="13" t="n">
        <f aca="false">($P$2-1)*(B484-1/$P$2)</f>
        <v>1.47130112466971</v>
      </c>
      <c r="H484" s="13" t="n">
        <f aca="false">E484*SQRT(B484/(1-B484))</f>
        <v>-0.0187283659803779</v>
      </c>
      <c r="I484" s="13" t="n">
        <f aca="false">ABS(D484)</f>
        <v>0.443163862821353</v>
      </c>
      <c r="J484" s="6" t="n">
        <f aca="false">IF(B484&gt;$P$4,1,0)</f>
        <v>0</v>
      </c>
      <c r="K484" s="6" t="n">
        <f aca="false">IF(F484&gt;$P$6,1,0)</f>
        <v>0</v>
      </c>
      <c r="L484" s="6" t="n">
        <f aca="false">IF(G484&gt;$P$9,1,0)</f>
        <v>0</v>
      </c>
      <c r="M484" s="6" t="n">
        <f aca="false">IF(ABS(H484)&gt;$P$8,1,0)</f>
        <v>0</v>
      </c>
    </row>
    <row r="485" customFormat="false" ht="15" hidden="false" customHeight="false" outlineLevel="0" collapsed="false">
      <c r="A485" s="0" t="n">
        <f aca="false">ROW()-1</f>
        <v>484</v>
      </c>
      <c r="B485" s="22" t="n">
        <f aca="false">SUMPRODUCT(MMULT('Analysis Data'!N485:U485,'Final Model'!$B$59:$I$66),'Analysis Data'!N485:U485)</f>
        <v>0.00340567569677705</v>
      </c>
      <c r="C485" s="15" t="n">
        <f aca="false">'Residual Diagnostics'!F485</f>
        <v>-88.0875886143339</v>
      </c>
      <c r="D485" s="13" t="n">
        <f aca="false">C485/('Final Model'!$B$21*SQRT(1-B485))</f>
        <v>-1.79959892657819</v>
      </c>
      <c r="E485" s="13" t="n">
        <f aca="false">D485*SQRT(('Final Model'!$B$24-1)/('Final Model'!$B$24-D485^2))</f>
        <v>-1.80106349518895</v>
      </c>
      <c r="F485" s="23" t="n">
        <f aca="false">D485^2/($P$3+1)*B485/(1-B485)</f>
        <v>0.00138339545525289</v>
      </c>
      <c r="G485" s="13" t="n">
        <f aca="false">($P$2-1)*(B485-1/$P$2)</f>
        <v>3.71758234075771</v>
      </c>
      <c r="H485" s="13" t="n">
        <f aca="false">E485*SQRT(B485/(1-B485))</f>
        <v>-0.105286203104221</v>
      </c>
      <c r="I485" s="13" t="n">
        <f aca="false">ABS(D485)</f>
        <v>1.79959892657819</v>
      </c>
      <c r="J485" s="6" t="n">
        <f aca="false">IF(B485&gt;$P$4,1,0)</f>
        <v>0</v>
      </c>
      <c r="K485" s="6" t="n">
        <f aca="false">IF(F485&gt;$P$6,1,0)</f>
        <v>0</v>
      </c>
      <c r="L485" s="6" t="n">
        <f aca="false">IF(G485&gt;$P$9,1,0)</f>
        <v>0</v>
      </c>
      <c r="M485" s="6" t="n">
        <f aca="false">IF(ABS(H485)&gt;$P$8,1,0)</f>
        <v>0</v>
      </c>
    </row>
    <row r="486" customFormat="false" ht="15" hidden="false" customHeight="false" outlineLevel="0" collapsed="false">
      <c r="A486" s="0" t="n">
        <f aca="false">ROW()-1</f>
        <v>485</v>
      </c>
      <c r="B486" s="22" t="n">
        <f aca="false">SUMPRODUCT(MMULT('Analysis Data'!N486:U486,'Final Model'!$B$59:$I$66),'Analysis Data'!N486:U486)</f>
        <v>0.00194862918316512</v>
      </c>
      <c r="C486" s="15" t="n">
        <f aca="false">'Residual Diagnostics'!F486</f>
        <v>-27.615260795031</v>
      </c>
      <c r="D486" s="13" t="n">
        <f aca="false">C486/('Final Model'!$B$21*SQRT(1-B486))</f>
        <v>-0.563758249594403</v>
      </c>
      <c r="E486" s="13" t="n">
        <f aca="false">D486*SQRT(('Final Model'!$B$24-1)/('Final Model'!$B$24-D486^2))</f>
        <v>-0.563618656322353</v>
      </c>
      <c r="F486" s="23" t="n">
        <f aca="false">D486^2/($P$3+1)*B486/(1-B486)</f>
        <v>7.75661328994848E-005</v>
      </c>
      <c r="G486" s="13" t="n">
        <f aca="false">($P$2-1)*(B486-1/$P$2)</f>
        <v>1.69957291940519</v>
      </c>
      <c r="H486" s="13" t="n">
        <f aca="false">E486*SQRT(B486/(1-B486))</f>
        <v>-0.0249042526576333</v>
      </c>
      <c r="I486" s="13" t="n">
        <f aca="false">ABS(D486)</f>
        <v>0.563758249594403</v>
      </c>
      <c r="J486" s="6" t="n">
        <f aca="false">IF(B486&gt;$P$4,1,0)</f>
        <v>0</v>
      </c>
      <c r="K486" s="6" t="n">
        <f aca="false">IF(F486&gt;$P$6,1,0)</f>
        <v>0</v>
      </c>
      <c r="L486" s="6" t="n">
        <f aca="false">IF(G486&gt;$P$9,1,0)</f>
        <v>0</v>
      </c>
      <c r="M486" s="6" t="n">
        <f aca="false">IF(ABS(H486)&gt;$P$8,1,0)</f>
        <v>0</v>
      </c>
    </row>
    <row r="487" customFormat="false" ht="15" hidden="false" customHeight="false" outlineLevel="0" collapsed="false">
      <c r="A487" s="0" t="n">
        <f aca="false">ROW()-1</f>
        <v>486</v>
      </c>
      <c r="B487" s="22" t="n">
        <f aca="false">SUMPRODUCT(MMULT('Analysis Data'!N487:U487,'Final Model'!$B$59:$I$66),'Analysis Data'!N487:U487)</f>
        <v>0.00180343780921772</v>
      </c>
      <c r="C487" s="15" t="n">
        <f aca="false">'Residual Diagnostics'!F487</f>
        <v>22.3437895603679</v>
      </c>
      <c r="D487" s="13" t="n">
        <f aca="false">C487/('Final Model'!$B$21*SQRT(1-B487))</f>
        <v>0.456109382730012</v>
      </c>
      <c r="E487" s="13" t="n">
        <f aca="false">D487*SQRT(('Final Model'!$B$24-1)/('Final Model'!$B$24-D487^2))</f>
        <v>0.455978276492966</v>
      </c>
      <c r="F487" s="23" t="n">
        <f aca="false">D487^2/($P$3+1)*B487/(1-B487)</f>
        <v>4.69821758710963E-005</v>
      </c>
      <c r="G487" s="13" t="n">
        <f aca="false">($P$2-1)*(B487-1/$P$2)</f>
        <v>1.49848286648805</v>
      </c>
      <c r="H487" s="13" t="n">
        <f aca="false">E487*SQRT(B487/(1-B487))</f>
        <v>0.0193814695408847</v>
      </c>
      <c r="I487" s="13" t="n">
        <f aca="false">ABS(D487)</f>
        <v>0.456109382730012</v>
      </c>
      <c r="J487" s="6" t="n">
        <f aca="false">IF(B487&gt;$P$4,1,0)</f>
        <v>0</v>
      </c>
      <c r="K487" s="6" t="n">
        <f aca="false">IF(F487&gt;$P$6,1,0)</f>
        <v>0</v>
      </c>
      <c r="L487" s="6" t="n">
        <f aca="false">IF(G487&gt;$P$9,1,0)</f>
        <v>0</v>
      </c>
      <c r="M487" s="6" t="n">
        <f aca="false">IF(ABS(H487)&gt;$P$8,1,0)</f>
        <v>0</v>
      </c>
    </row>
    <row r="488" customFormat="false" ht="15" hidden="false" customHeight="false" outlineLevel="0" collapsed="false">
      <c r="A488" s="0" t="n">
        <f aca="false">ROW()-1</f>
        <v>487</v>
      </c>
      <c r="B488" s="22" t="n">
        <f aca="false">SUMPRODUCT(MMULT('Analysis Data'!N488:U488,'Final Model'!$B$59:$I$66),'Analysis Data'!N488:U488)</f>
        <v>0.00170779778462098</v>
      </c>
      <c r="C488" s="15" t="n">
        <f aca="false">'Residual Diagnostics'!F488</f>
        <v>-26.2266528885826</v>
      </c>
      <c r="D488" s="13" t="n">
        <f aca="false">C488/('Final Model'!$B$21*SQRT(1-B488))</f>
        <v>-0.535345600254114</v>
      </c>
      <c r="E488" s="13" t="n">
        <f aca="false">D488*SQRT(('Final Model'!$B$24-1)/('Final Model'!$B$24-D488^2))</f>
        <v>-0.535206976456281</v>
      </c>
      <c r="F488" s="23" t="n">
        <f aca="false">D488^2/($P$3+1)*B488/(1-B488)</f>
        <v>6.12854325389742E-005</v>
      </c>
      <c r="G488" s="13" t="n">
        <f aca="false">($P$2-1)*(B488-1/$P$2)</f>
        <v>1.36602143242155</v>
      </c>
      <c r="H488" s="13" t="n">
        <f aca="false">E488*SQRT(B488/(1-B488))</f>
        <v>-0.0221366118141044</v>
      </c>
      <c r="I488" s="13" t="n">
        <f aca="false">ABS(D488)</f>
        <v>0.535345600254114</v>
      </c>
      <c r="J488" s="6" t="n">
        <f aca="false">IF(B488&gt;$P$4,1,0)</f>
        <v>0</v>
      </c>
      <c r="K488" s="6" t="n">
        <f aca="false">IF(F488&gt;$P$6,1,0)</f>
        <v>0</v>
      </c>
      <c r="L488" s="6" t="n">
        <f aca="false">IF(G488&gt;$P$9,1,0)</f>
        <v>0</v>
      </c>
      <c r="M488" s="6" t="n">
        <f aca="false">IF(ABS(H488)&gt;$P$8,1,0)</f>
        <v>0</v>
      </c>
    </row>
    <row r="489" customFormat="false" ht="15" hidden="false" customHeight="false" outlineLevel="0" collapsed="false">
      <c r="A489" s="0" t="n">
        <f aca="false">ROW()-1</f>
        <v>488</v>
      </c>
      <c r="B489" s="22" t="n">
        <f aca="false">SUMPRODUCT(MMULT('Analysis Data'!N489:U489,'Final Model'!$B$59:$I$66),'Analysis Data'!N489:U489)</f>
        <v>0.00170779778462098</v>
      </c>
      <c r="C489" s="15" t="n">
        <f aca="false">'Residual Diagnostics'!F489</f>
        <v>-25.4979399718576</v>
      </c>
      <c r="D489" s="13" t="n">
        <f aca="false">C489/('Final Model'!$B$21*SQRT(1-B489))</f>
        <v>-0.520470913214392</v>
      </c>
      <c r="E489" s="13" t="n">
        <f aca="false">D489*SQRT(('Final Model'!$B$24-1)/('Final Model'!$B$24-D489^2))</f>
        <v>-0.520333175403941</v>
      </c>
      <c r="F489" s="23" t="n">
        <f aca="false">D489^2/($P$3+1)*B489/(1-B489)</f>
        <v>5.7927089405899E-005</v>
      </c>
      <c r="G489" s="13" t="n">
        <f aca="false">($P$2-1)*(B489-1/$P$2)</f>
        <v>1.36602143242155</v>
      </c>
      <c r="H489" s="13" t="n">
        <f aca="false">E489*SQRT(B489/(1-B489))</f>
        <v>-0.0215214188615089</v>
      </c>
      <c r="I489" s="13" t="n">
        <f aca="false">ABS(D489)</f>
        <v>0.520470913214392</v>
      </c>
      <c r="J489" s="6" t="n">
        <f aca="false">IF(B489&gt;$P$4,1,0)</f>
        <v>0</v>
      </c>
      <c r="K489" s="6" t="n">
        <f aca="false">IF(F489&gt;$P$6,1,0)</f>
        <v>0</v>
      </c>
      <c r="L489" s="6" t="n">
        <f aca="false">IF(G489&gt;$P$9,1,0)</f>
        <v>0</v>
      </c>
      <c r="M489" s="6" t="n">
        <f aca="false">IF(ABS(H489)&gt;$P$8,1,0)</f>
        <v>0</v>
      </c>
    </row>
    <row r="490" customFormat="false" ht="15" hidden="false" customHeight="false" outlineLevel="0" collapsed="false">
      <c r="A490" s="0" t="n">
        <f aca="false">ROW()-1</f>
        <v>489</v>
      </c>
      <c r="B490" s="22" t="n">
        <f aca="false">SUMPRODUCT(MMULT('Analysis Data'!N490:U490,'Final Model'!$B$59:$I$66),'Analysis Data'!N490:U490)</f>
        <v>0.00181501898205437</v>
      </c>
      <c r="C490" s="15" t="n">
        <f aca="false">'Residual Diagnostics'!F490</f>
        <v>-59.3411235114904</v>
      </c>
      <c r="D490" s="13" t="n">
        <f aca="false">C490/('Final Model'!$B$21*SQRT(1-B490))</f>
        <v>-1.21135227106366</v>
      </c>
      <c r="E490" s="13" t="n">
        <f aca="false">D490*SQRT(('Final Model'!$B$24-1)/('Final Model'!$B$24-D490^2))</f>
        <v>-1.2115578989182</v>
      </c>
      <c r="F490" s="23" t="n">
        <f aca="false">D490^2/($P$3+1)*B490/(1-B490)</f>
        <v>0.000333519375616169</v>
      </c>
      <c r="G490" s="13" t="n">
        <f aca="false">($P$2-1)*(B490-1/$P$2)</f>
        <v>1.51452279086681</v>
      </c>
      <c r="H490" s="13" t="n">
        <f aca="false">E490*SQRT(B490/(1-B490))</f>
        <v>-0.0516629550450817</v>
      </c>
      <c r="I490" s="13" t="n">
        <f aca="false">ABS(D490)</f>
        <v>1.21135227106366</v>
      </c>
      <c r="J490" s="6" t="n">
        <f aca="false">IF(B490&gt;$P$4,1,0)</f>
        <v>0</v>
      </c>
      <c r="K490" s="6" t="n">
        <f aca="false">IF(F490&gt;$P$6,1,0)</f>
        <v>0</v>
      </c>
      <c r="L490" s="6" t="n">
        <f aca="false">IF(G490&gt;$P$9,1,0)</f>
        <v>0</v>
      </c>
      <c r="M490" s="6" t="n">
        <f aca="false">IF(ABS(H490)&gt;$P$8,1,0)</f>
        <v>0</v>
      </c>
    </row>
    <row r="491" customFormat="false" ht="15" hidden="false" customHeight="false" outlineLevel="0" collapsed="false">
      <c r="A491" s="0" t="n">
        <f aca="false">ROW()-1</f>
        <v>490</v>
      </c>
      <c r="B491" s="22" t="n">
        <f aca="false">SUMPRODUCT(MMULT('Analysis Data'!N491:U491,'Final Model'!$B$59:$I$66),'Analysis Data'!N491:U491)</f>
        <v>0.00194862918316512</v>
      </c>
      <c r="C491" s="15" t="n">
        <f aca="false">'Residual Diagnostics'!F491</f>
        <v>3.27870266866569</v>
      </c>
      <c r="D491" s="13" t="n">
        <f aca="false">C491/('Final Model'!$B$21*SQRT(1-B491))</f>
        <v>0.066933848322014</v>
      </c>
      <c r="E491" s="13" t="n">
        <f aca="false">D491*SQRT(('Final Model'!$B$24-1)/('Final Model'!$B$24-D491^2))</f>
        <v>0.0669096660901172</v>
      </c>
      <c r="F491" s="23" t="n">
        <f aca="false">D491^2/($P$3+1)*B491/(1-B491)</f>
        <v>1.09339708151486E-006</v>
      </c>
      <c r="G491" s="13" t="n">
        <f aca="false">($P$2-1)*(B491-1/$P$2)</f>
        <v>1.69957291940519</v>
      </c>
      <c r="H491" s="13" t="n">
        <f aca="false">E491*SQRT(B491/(1-B491))</f>
        <v>0.00295649409552746</v>
      </c>
      <c r="I491" s="13" t="n">
        <f aca="false">ABS(D491)</f>
        <v>0.066933848322014</v>
      </c>
      <c r="J491" s="6" t="n">
        <f aca="false">IF(B491&gt;$P$4,1,0)</f>
        <v>0</v>
      </c>
      <c r="K491" s="6" t="n">
        <f aca="false">IF(F491&gt;$P$6,1,0)</f>
        <v>0</v>
      </c>
      <c r="L491" s="6" t="n">
        <f aca="false">IF(G491&gt;$P$9,1,0)</f>
        <v>0</v>
      </c>
      <c r="M491" s="6" t="n">
        <f aca="false">IF(ABS(H491)&gt;$P$8,1,0)</f>
        <v>0</v>
      </c>
    </row>
    <row r="492" customFormat="false" ht="15" hidden="false" customHeight="false" outlineLevel="0" collapsed="false">
      <c r="A492" s="0" t="n">
        <f aca="false">ROW()-1</f>
        <v>491</v>
      </c>
      <c r="B492" s="22" t="n">
        <f aca="false">SUMPRODUCT(MMULT('Analysis Data'!N492:U492,'Final Model'!$B$59:$I$66),'Analysis Data'!N492:U492)</f>
        <v>0.00194862918316512</v>
      </c>
      <c r="C492" s="15" t="n">
        <f aca="false">'Residual Diagnostics'!F492</f>
        <v>46.8137906370057</v>
      </c>
      <c r="D492" s="13" t="n">
        <f aca="false">C492/('Final Model'!$B$21*SQRT(1-B492))</f>
        <v>0.955691161574907</v>
      </c>
      <c r="E492" s="13" t="n">
        <f aca="false">D492*SQRT(('Final Model'!$B$24-1)/('Final Model'!$B$24-D492^2))</f>
        <v>0.955661092243289</v>
      </c>
      <c r="F492" s="23" t="n">
        <f aca="false">D492^2/($P$3+1)*B492/(1-B492)</f>
        <v>0.000222905846248308</v>
      </c>
      <c r="G492" s="13" t="n">
        <f aca="false">($P$2-1)*(B492-1/$P$2)</f>
        <v>1.69957291940519</v>
      </c>
      <c r="H492" s="13" t="n">
        <f aca="false">E492*SQRT(B492/(1-B492))</f>
        <v>0.0422271779497034</v>
      </c>
      <c r="I492" s="13" t="n">
        <f aca="false">ABS(D492)</f>
        <v>0.955691161574907</v>
      </c>
      <c r="J492" s="6" t="n">
        <f aca="false">IF(B492&gt;$P$4,1,0)</f>
        <v>0</v>
      </c>
      <c r="K492" s="6" t="n">
        <f aca="false">IF(F492&gt;$P$6,1,0)</f>
        <v>0</v>
      </c>
      <c r="L492" s="6" t="n">
        <f aca="false">IF(G492&gt;$P$9,1,0)</f>
        <v>0</v>
      </c>
      <c r="M492" s="6" t="n">
        <f aca="false">IF(ABS(H492)&gt;$P$8,1,0)</f>
        <v>0</v>
      </c>
    </row>
    <row r="493" customFormat="false" ht="15" hidden="false" customHeight="false" outlineLevel="0" collapsed="false">
      <c r="A493" s="0" t="n">
        <f aca="false">ROW()-1</f>
        <v>492</v>
      </c>
      <c r="B493" s="22" t="n">
        <f aca="false">SUMPRODUCT(MMULT('Analysis Data'!N493:U493,'Final Model'!$B$59:$I$66),'Analysis Data'!N493:U493)</f>
        <v>0.00194862918316512</v>
      </c>
      <c r="C493" s="15" t="n">
        <f aca="false">'Residual Diagnostics'!F493</f>
        <v>-33.3459764065413</v>
      </c>
      <c r="D493" s="13" t="n">
        <f aca="false">C493/('Final Model'!$B$21*SQRT(1-B493))</f>
        <v>-0.680749294004518</v>
      </c>
      <c r="E493" s="13" t="n">
        <f aca="false">D493*SQRT(('Final Model'!$B$24-1)/('Final Model'!$B$24-D493^2))</f>
        <v>-0.680616697777844</v>
      </c>
      <c r="F493" s="23" t="n">
        <f aca="false">D493^2/($P$3+1)*B493/(1-B493)</f>
        <v>0.000113099508893614</v>
      </c>
      <c r="G493" s="13" t="n">
        <f aca="false">($P$2-1)*(B493-1/$P$2)</f>
        <v>1.69957291940519</v>
      </c>
      <c r="H493" s="13" t="n">
        <f aca="false">E493*SQRT(B493/(1-B493))</f>
        <v>-0.030073969366211</v>
      </c>
      <c r="I493" s="13" t="n">
        <f aca="false">ABS(D493)</f>
        <v>0.680749294004518</v>
      </c>
      <c r="J493" s="6" t="n">
        <f aca="false">IF(B493&gt;$P$4,1,0)</f>
        <v>0</v>
      </c>
      <c r="K493" s="6" t="n">
        <f aca="false">IF(F493&gt;$P$6,1,0)</f>
        <v>0</v>
      </c>
      <c r="L493" s="6" t="n">
        <f aca="false">IF(G493&gt;$P$9,1,0)</f>
        <v>0</v>
      </c>
      <c r="M493" s="6" t="n">
        <f aca="false">IF(ABS(H493)&gt;$P$8,1,0)</f>
        <v>0</v>
      </c>
    </row>
    <row r="494" customFormat="false" ht="15" hidden="false" customHeight="false" outlineLevel="0" collapsed="false">
      <c r="A494" s="0" t="n">
        <f aca="false">ROW()-1</f>
        <v>493</v>
      </c>
      <c r="B494" s="22" t="n">
        <f aca="false">SUMPRODUCT(MMULT('Analysis Data'!N494:U494,'Final Model'!$B$59:$I$66),'Analysis Data'!N494:U494)</f>
        <v>0.00173699497090935</v>
      </c>
      <c r="C494" s="15" t="n">
        <f aca="false">'Residual Diagnostics'!F494</f>
        <v>111.084551760863</v>
      </c>
      <c r="D494" s="13" t="n">
        <f aca="false">C494/('Final Model'!$B$21*SQRT(1-B494))</f>
        <v>2.26752136296415</v>
      </c>
      <c r="E494" s="13" t="n">
        <f aca="false">D494*SQRT(('Final Model'!$B$24-1)/('Final Model'!$B$24-D494^2))</f>
        <v>2.27093912806214</v>
      </c>
      <c r="F494" s="23" t="n">
        <f aca="false">D494^2/($P$3+1)*B494/(1-B494)</f>
        <v>0.00111832072141568</v>
      </c>
      <c r="G494" s="13" t="n">
        <f aca="false">($P$2-1)*(B494-1/$P$2)</f>
        <v>1.40645953543095</v>
      </c>
      <c r="H494" s="13" t="n">
        <f aca="false">E494*SQRT(B494/(1-B494))</f>
        <v>0.0947288544353793</v>
      </c>
      <c r="I494" s="13" t="n">
        <f aca="false">ABS(D494)</f>
        <v>2.26752136296415</v>
      </c>
      <c r="J494" s="6" t="n">
        <f aca="false">IF(B494&gt;$P$4,1,0)</f>
        <v>0</v>
      </c>
      <c r="K494" s="6" t="n">
        <f aca="false">IF(F494&gt;$P$6,1,0)</f>
        <v>0</v>
      </c>
      <c r="L494" s="6" t="n">
        <f aca="false">IF(G494&gt;$P$9,1,0)</f>
        <v>0</v>
      </c>
      <c r="M494" s="6" t="n">
        <f aca="false">IF(ABS(H494)&gt;$P$8,1,0)</f>
        <v>0</v>
      </c>
    </row>
    <row r="495" customFormat="false" ht="15" hidden="false" customHeight="false" outlineLevel="0" collapsed="false">
      <c r="A495" s="0" t="n">
        <f aca="false">ROW()-1</f>
        <v>494</v>
      </c>
      <c r="B495" s="22" t="n">
        <f aca="false">SUMPRODUCT(MMULT('Analysis Data'!N495:U495,'Final Model'!$B$59:$I$66),'Analysis Data'!N495:U495)</f>
        <v>0.00444101310060512</v>
      </c>
      <c r="C495" s="15" t="n">
        <f aca="false">'Residual Diagnostics'!F495</f>
        <v>47.9253772785247</v>
      </c>
      <c r="D495" s="13" t="n">
        <f aca="false">C495/('Final Model'!$B$21*SQRT(1-B495))</f>
        <v>0.979607836526466</v>
      </c>
      <c r="E495" s="13" t="n">
        <f aca="false">D495*SQRT(('Final Model'!$B$24-1)/('Final Model'!$B$24-D495^2))</f>
        <v>0.979593477624371</v>
      </c>
      <c r="F495" s="23" t="n">
        <f aca="false">D495^2/($P$3+1)*B495/(1-B495)</f>
        <v>0.000535093372011668</v>
      </c>
      <c r="G495" s="13" t="n">
        <f aca="false">($P$2-1)*(B495-1/$P$2)</f>
        <v>5.15152464505959</v>
      </c>
      <c r="H495" s="13" t="n">
        <f aca="false">E495*SQRT(B495/(1-B495))</f>
        <v>0.0654264585950633</v>
      </c>
      <c r="I495" s="13" t="n">
        <f aca="false">ABS(D495)</f>
        <v>0.979607836526466</v>
      </c>
      <c r="J495" s="6" t="n">
        <f aca="false">IF(B495&gt;$P$4,1,0)</f>
        <v>0</v>
      </c>
      <c r="K495" s="6" t="n">
        <f aca="false">IF(F495&gt;$P$6,1,0)</f>
        <v>0</v>
      </c>
      <c r="L495" s="6" t="n">
        <f aca="false">IF(G495&gt;$P$9,1,0)</f>
        <v>0</v>
      </c>
      <c r="M495" s="6" t="n">
        <f aca="false">IF(ABS(H495)&gt;$P$8,1,0)</f>
        <v>0</v>
      </c>
    </row>
    <row r="496" customFormat="false" ht="15" hidden="false" customHeight="false" outlineLevel="0" collapsed="false">
      <c r="A496" s="0" t="n">
        <f aca="false">ROW()-1</f>
        <v>495</v>
      </c>
      <c r="B496" s="22" t="n">
        <f aca="false">SUMPRODUCT(MMULT('Analysis Data'!N496:U496,'Final Model'!$B$59:$I$66),'Analysis Data'!N496:U496)</f>
        <v>0.00444101310060512</v>
      </c>
      <c r="C496" s="15" t="n">
        <f aca="false">'Residual Diagnostics'!F496</f>
        <v>33.1968724772719</v>
      </c>
      <c r="D496" s="13" t="n">
        <f aca="false">C496/('Final Model'!$B$21*SQRT(1-B496))</f>
        <v>0.678553164806852</v>
      </c>
      <c r="E496" s="13" t="n">
        <f aca="false">D496*SQRT(('Final Model'!$B$24-1)/('Final Model'!$B$24-D496^2))</f>
        <v>0.678420261253674</v>
      </c>
      <c r="F496" s="23" t="n">
        <f aca="false">D496^2/($P$3+1)*B496/(1-B496)</f>
        <v>0.000256739582741751</v>
      </c>
      <c r="G496" s="13" t="n">
        <f aca="false">($P$2-1)*(B496-1/$P$2)</f>
        <v>5.15152464505959</v>
      </c>
      <c r="H496" s="13" t="n">
        <f aca="false">E496*SQRT(B496/(1-B496))</f>
        <v>0.0453112807984475</v>
      </c>
      <c r="I496" s="13" t="n">
        <f aca="false">ABS(D496)</f>
        <v>0.678553164806852</v>
      </c>
      <c r="J496" s="6" t="n">
        <f aca="false">IF(B496&gt;$P$4,1,0)</f>
        <v>0</v>
      </c>
      <c r="K496" s="6" t="n">
        <f aca="false">IF(F496&gt;$P$6,1,0)</f>
        <v>0</v>
      </c>
      <c r="L496" s="6" t="n">
        <f aca="false">IF(G496&gt;$P$9,1,0)</f>
        <v>0</v>
      </c>
      <c r="M496" s="6" t="n">
        <f aca="false">IF(ABS(H496)&gt;$P$8,1,0)</f>
        <v>0</v>
      </c>
    </row>
    <row r="497" customFormat="false" ht="15" hidden="false" customHeight="false" outlineLevel="0" collapsed="false">
      <c r="A497" s="0" t="n">
        <f aca="false">ROW()-1</f>
        <v>496</v>
      </c>
      <c r="B497" s="22" t="n">
        <f aca="false">SUMPRODUCT(MMULT('Analysis Data'!N497:U497,'Final Model'!$B$59:$I$66),'Analysis Data'!N497:U497)</f>
        <v>0.00194862918316512</v>
      </c>
      <c r="C497" s="15" t="n">
        <f aca="false">'Residual Diagnostics'!F497</f>
        <v>-12.930594686991</v>
      </c>
      <c r="D497" s="13" t="n">
        <f aca="false">C497/('Final Model'!$B$21*SQRT(1-B497))</f>
        <v>-0.263974672593511</v>
      </c>
      <c r="E497" s="13" t="n">
        <f aca="false">D497*SQRT(('Final Model'!$B$24-1)/('Final Model'!$B$24-D497^2))</f>
        <v>-0.263885545557891</v>
      </c>
      <c r="F497" s="23" t="n">
        <f aca="false">D497^2/($P$3+1)*B497/(1-B497)</f>
        <v>1.70063393033044E-005</v>
      </c>
      <c r="G497" s="13" t="n">
        <f aca="false">($P$2-1)*(B497-1/$P$2)</f>
        <v>1.69957291940519</v>
      </c>
      <c r="H497" s="13" t="n">
        <f aca="false">E497*SQRT(B497/(1-B497))</f>
        <v>-0.0116601397514997</v>
      </c>
      <c r="I497" s="13" t="n">
        <f aca="false">ABS(D497)</f>
        <v>0.263974672593511</v>
      </c>
      <c r="J497" s="6" t="n">
        <f aca="false">IF(B497&gt;$P$4,1,0)</f>
        <v>0</v>
      </c>
      <c r="K497" s="6" t="n">
        <f aca="false">IF(F497&gt;$P$6,1,0)</f>
        <v>0</v>
      </c>
      <c r="L497" s="6" t="n">
        <f aca="false">IF(G497&gt;$P$9,1,0)</f>
        <v>0</v>
      </c>
      <c r="M497" s="6" t="n">
        <f aca="false">IF(ABS(H497)&gt;$P$8,1,0)</f>
        <v>0</v>
      </c>
    </row>
    <row r="498" customFormat="false" ht="15" hidden="false" customHeight="false" outlineLevel="0" collapsed="false">
      <c r="A498" s="0" t="n">
        <f aca="false">ROW()-1</f>
        <v>497</v>
      </c>
      <c r="B498" s="22" t="n">
        <f aca="false">SUMPRODUCT(MMULT('Analysis Data'!N498:U498,'Final Model'!$B$59:$I$66),'Analysis Data'!N498:U498)</f>
        <v>0.00184104637395181</v>
      </c>
      <c r="C498" s="15" t="n">
        <f aca="false">'Residual Diagnostics'!F498</f>
        <v>-3.80236835142696</v>
      </c>
      <c r="D498" s="13" t="n">
        <f aca="false">C498/('Final Model'!$B$21*SQRT(1-B498))</f>
        <v>-0.0776201614783711</v>
      </c>
      <c r="E498" s="13" t="n">
        <f aca="false">D498*SQRT(('Final Model'!$B$24-1)/('Final Model'!$B$24-D498^2))</f>
        <v>-0.077592161926879</v>
      </c>
      <c r="F498" s="23" t="n">
        <f aca="false">D498^2/($P$3+1)*B498/(1-B498)</f>
        <v>1.38906995575397E-006</v>
      </c>
      <c r="G498" s="13" t="n">
        <f aca="false">($P$2-1)*(B498-1/$P$2)</f>
        <v>1.55057072864476</v>
      </c>
      <c r="H498" s="13" t="n">
        <f aca="false">E498*SQRT(B498/(1-B498))</f>
        <v>-0.00333234811064281</v>
      </c>
      <c r="I498" s="13" t="n">
        <f aca="false">ABS(D498)</f>
        <v>0.0776201614783711</v>
      </c>
      <c r="J498" s="6" t="n">
        <f aca="false">IF(B498&gt;$P$4,1,0)</f>
        <v>0</v>
      </c>
      <c r="K498" s="6" t="n">
        <f aca="false">IF(F498&gt;$P$6,1,0)</f>
        <v>0</v>
      </c>
      <c r="L498" s="6" t="n">
        <f aca="false">IF(G498&gt;$P$9,1,0)</f>
        <v>0</v>
      </c>
      <c r="M498" s="6" t="n">
        <f aca="false">IF(ABS(H498)&gt;$P$8,1,0)</f>
        <v>0</v>
      </c>
    </row>
    <row r="499" customFormat="false" ht="15" hidden="false" customHeight="false" outlineLevel="0" collapsed="false">
      <c r="A499" s="0" t="n">
        <f aca="false">ROW()-1</f>
        <v>498</v>
      </c>
      <c r="B499" s="22" t="n">
        <f aca="false">SUMPRODUCT(MMULT('Analysis Data'!N499:U499,'Final Model'!$B$59:$I$66),'Analysis Data'!N499:U499)</f>
        <v>0.00170779778462098</v>
      </c>
      <c r="C499" s="15" t="n">
        <f aca="false">'Residual Diagnostics'!F499</f>
        <v>16.2632796470462</v>
      </c>
      <c r="D499" s="13" t="n">
        <f aca="false">C499/('Final Model'!$B$21*SQRT(1-B499))</f>
        <v>0.331970505033019</v>
      </c>
      <c r="E499" s="13" t="n">
        <f aca="false">D499*SQRT(('Final Model'!$B$24-1)/('Final Model'!$B$24-D499^2))</f>
        <v>0.331863299945471</v>
      </c>
      <c r="F499" s="23" t="n">
        <f aca="false">D499^2/($P$3+1)*B499/(1-B499)</f>
        <v>2.35661033718923E-005</v>
      </c>
      <c r="G499" s="13" t="n">
        <f aca="false">($P$2-1)*(B499-1/$P$2)</f>
        <v>1.36602143242155</v>
      </c>
      <c r="H499" s="13" t="n">
        <f aca="false">E499*SQRT(B499/(1-B499))</f>
        <v>0.013726145901315</v>
      </c>
      <c r="I499" s="13" t="n">
        <f aca="false">ABS(D499)</f>
        <v>0.331970505033019</v>
      </c>
      <c r="J499" s="6" t="n">
        <f aca="false">IF(B499&gt;$P$4,1,0)</f>
        <v>0</v>
      </c>
      <c r="K499" s="6" t="n">
        <f aca="false">IF(F499&gt;$P$6,1,0)</f>
        <v>0</v>
      </c>
      <c r="L499" s="6" t="n">
        <f aca="false">IF(G499&gt;$P$9,1,0)</f>
        <v>0</v>
      </c>
      <c r="M499" s="6" t="n">
        <f aca="false">IF(ABS(H499)&gt;$P$8,1,0)</f>
        <v>0</v>
      </c>
    </row>
    <row r="500" customFormat="false" ht="15" hidden="false" customHeight="false" outlineLevel="0" collapsed="false">
      <c r="A500" s="0" t="n">
        <f aca="false">ROW()-1</f>
        <v>499</v>
      </c>
      <c r="B500" s="22" t="n">
        <f aca="false">SUMPRODUCT(MMULT('Analysis Data'!N500:U500,'Final Model'!$B$59:$I$66),'Analysis Data'!N500:U500)</f>
        <v>0.00170779778462098</v>
      </c>
      <c r="C500" s="15" t="n">
        <f aca="false">'Residual Diagnostics'!F500</f>
        <v>84.4655520089715</v>
      </c>
      <c r="D500" s="13" t="n">
        <f aca="false">C500/('Final Model'!$B$21*SQRT(1-B500))</f>
        <v>1.72413391190772</v>
      </c>
      <c r="E500" s="13" t="n">
        <f aca="false">D500*SQRT(('Final Model'!$B$24-1)/('Final Model'!$B$24-D500^2))</f>
        <v>1.72537020464836</v>
      </c>
      <c r="F500" s="23" t="n">
        <f aca="false">D500^2/($P$3+1)*B500/(1-B500)</f>
        <v>0.000635668613127297</v>
      </c>
      <c r="G500" s="13" t="n">
        <f aca="false">($P$2-1)*(B500-1/$P$2)</f>
        <v>1.36602143242155</v>
      </c>
      <c r="H500" s="13" t="n">
        <f aca="false">E500*SQRT(B500/(1-B500))</f>
        <v>0.0713627664362905</v>
      </c>
      <c r="I500" s="13" t="n">
        <f aca="false">ABS(D500)</f>
        <v>1.72413391190772</v>
      </c>
      <c r="J500" s="6" t="n">
        <f aca="false">IF(B500&gt;$P$4,1,0)</f>
        <v>0</v>
      </c>
      <c r="K500" s="6" t="n">
        <f aca="false">IF(F500&gt;$P$6,1,0)</f>
        <v>0</v>
      </c>
      <c r="L500" s="6" t="n">
        <f aca="false">IF(G500&gt;$P$9,1,0)</f>
        <v>0</v>
      </c>
      <c r="M500" s="6" t="n">
        <f aca="false">IF(ABS(H500)&gt;$P$8,1,0)</f>
        <v>0</v>
      </c>
    </row>
    <row r="501" customFormat="false" ht="15" hidden="false" customHeight="false" outlineLevel="0" collapsed="false">
      <c r="A501" s="0" t="n">
        <f aca="false">ROW()-1</f>
        <v>500</v>
      </c>
      <c r="B501" s="22" t="n">
        <f aca="false">SUMPRODUCT(MMULT('Analysis Data'!N501:U501,'Final Model'!$B$59:$I$66),'Analysis Data'!N501:U501)</f>
        <v>0.00170779778462098</v>
      </c>
      <c r="C501" s="15" t="n">
        <f aca="false">'Residual Diagnostics'!F501</f>
        <v>74.3332581408082</v>
      </c>
      <c r="D501" s="13" t="n">
        <f aca="false">C501/('Final Model'!$B$21*SQRT(1-B501))</f>
        <v>1.51731076273018</v>
      </c>
      <c r="E501" s="13" t="n">
        <f aca="false">D501*SQRT(('Final Model'!$B$24-1)/('Final Model'!$B$24-D501^2))</f>
        <v>1.51802873408559</v>
      </c>
      <c r="F501" s="23" t="n">
        <f aca="false">D501^2/($P$3+1)*B501/(1-B501)</f>
        <v>0.000492309092513004</v>
      </c>
      <c r="G501" s="13" t="n">
        <f aca="false">($P$2-1)*(B501-1/$P$2)</f>
        <v>1.36602143242155</v>
      </c>
      <c r="H501" s="13" t="n">
        <f aca="false">E501*SQRT(B501/(1-B501))</f>
        <v>0.0627869483907112</v>
      </c>
      <c r="I501" s="13" t="n">
        <f aca="false">ABS(D501)</f>
        <v>1.51731076273018</v>
      </c>
      <c r="J501" s="6" t="n">
        <f aca="false">IF(B501&gt;$P$4,1,0)</f>
        <v>0</v>
      </c>
      <c r="K501" s="6" t="n">
        <f aca="false">IF(F501&gt;$P$6,1,0)</f>
        <v>0</v>
      </c>
      <c r="L501" s="6" t="n">
        <f aca="false">IF(G501&gt;$P$9,1,0)</f>
        <v>0</v>
      </c>
      <c r="M501" s="6" t="n">
        <f aca="false">IF(ABS(H501)&gt;$P$8,1,0)</f>
        <v>0</v>
      </c>
    </row>
    <row r="502" customFormat="false" ht="15" hidden="false" customHeight="false" outlineLevel="0" collapsed="false">
      <c r="A502" s="0" t="n">
        <f aca="false">ROW()-1</f>
        <v>501</v>
      </c>
      <c r="B502" s="22" t="n">
        <f aca="false">SUMPRODUCT(MMULT('Analysis Data'!N502:U502,'Final Model'!$B$59:$I$66),'Analysis Data'!N502:U502)</f>
        <v>0.00194862918316512</v>
      </c>
      <c r="C502" s="15" t="n">
        <f aca="false">'Residual Diagnostics'!F502</f>
        <v>-8.02030006461641</v>
      </c>
      <c r="D502" s="13" t="n">
        <f aca="false">C502/('Final Model'!$B$21*SQRT(1-B502))</f>
        <v>-0.163732305814892</v>
      </c>
      <c r="E502" s="13" t="n">
        <f aca="false">D502*SQRT(('Final Model'!$B$24-1)/('Final Model'!$B$24-D502^2))</f>
        <v>-0.163674477741344</v>
      </c>
      <c r="F502" s="23" t="n">
        <f aca="false">D502^2/($P$3+1)*B502/(1-B502)</f>
        <v>6.54267090339644E-006</v>
      </c>
      <c r="G502" s="13" t="n">
        <f aca="false">($P$2-1)*(B502-1/$P$2)</f>
        <v>1.69957291940519</v>
      </c>
      <c r="H502" s="13" t="n">
        <f aca="false">E502*SQRT(B502/(1-B502))</f>
        <v>-0.00723217817854721</v>
      </c>
      <c r="I502" s="13" t="n">
        <f aca="false">ABS(D502)</f>
        <v>0.163732305814892</v>
      </c>
      <c r="J502" s="6" t="n">
        <f aca="false">IF(B502&gt;$P$4,1,0)</f>
        <v>0</v>
      </c>
      <c r="K502" s="6" t="n">
        <f aca="false">IF(F502&gt;$P$6,1,0)</f>
        <v>0</v>
      </c>
      <c r="L502" s="6" t="n">
        <f aca="false">IF(G502&gt;$P$9,1,0)</f>
        <v>0</v>
      </c>
      <c r="M502" s="6" t="n">
        <f aca="false">IF(ABS(H502)&gt;$P$8,1,0)</f>
        <v>0</v>
      </c>
    </row>
    <row r="503" customFormat="false" ht="15" hidden="false" customHeight="false" outlineLevel="0" collapsed="false">
      <c r="A503" s="0" t="n">
        <f aca="false">ROW()-1</f>
        <v>502</v>
      </c>
      <c r="B503" s="22" t="n">
        <f aca="false">SUMPRODUCT(MMULT('Analysis Data'!N503:U503,'Final Model'!$B$59:$I$66),'Analysis Data'!N503:U503)</f>
        <v>0.00194862918316512</v>
      </c>
      <c r="C503" s="15" t="n">
        <f aca="false">'Residual Diagnostics'!F503</f>
        <v>76.0573961124123</v>
      </c>
      <c r="D503" s="13" t="n">
        <f aca="false">C503/('Final Model'!$B$21*SQRT(1-B503))</f>
        <v>1.55269163739917</v>
      </c>
      <c r="E503" s="13" t="n">
        <f aca="false">D503*SQRT(('Final Model'!$B$24-1)/('Final Model'!$B$24-D503^2))</f>
        <v>1.55348768018727</v>
      </c>
      <c r="F503" s="23" t="n">
        <f aca="false">D503^2/($P$3+1)*B503/(1-B503)</f>
        <v>0.000588378436401808</v>
      </c>
      <c r="G503" s="13" t="n">
        <f aca="false">($P$2-1)*(B503-1/$P$2)</f>
        <v>1.69957291940519</v>
      </c>
      <c r="H503" s="13" t="n">
        <f aca="false">E503*SQRT(B503/(1-B503))</f>
        <v>0.0686429543343171</v>
      </c>
      <c r="I503" s="13" t="n">
        <f aca="false">ABS(D503)</f>
        <v>1.55269163739917</v>
      </c>
      <c r="J503" s="6" t="n">
        <f aca="false">IF(B503&gt;$P$4,1,0)</f>
        <v>0</v>
      </c>
      <c r="K503" s="6" t="n">
        <f aca="false">IF(F503&gt;$P$6,1,0)</f>
        <v>0</v>
      </c>
      <c r="L503" s="6" t="n">
        <f aca="false">IF(G503&gt;$P$9,1,0)</f>
        <v>0</v>
      </c>
      <c r="M503" s="6" t="n">
        <f aca="false">IF(ABS(H503)&gt;$P$8,1,0)</f>
        <v>0</v>
      </c>
    </row>
    <row r="504" customFormat="false" ht="15" hidden="false" customHeight="false" outlineLevel="0" collapsed="false">
      <c r="A504" s="0" t="n">
        <f aca="false">ROW()-1</f>
        <v>503</v>
      </c>
      <c r="B504" s="22" t="n">
        <f aca="false">SUMPRODUCT(MMULT('Analysis Data'!N504:U504,'Final Model'!$B$59:$I$66),'Analysis Data'!N504:U504)</f>
        <v>0.00194862918316512</v>
      </c>
      <c r="C504" s="15" t="n">
        <f aca="false">'Residual Diagnostics'!F504</f>
        <v>-5.58266583547783</v>
      </c>
      <c r="D504" s="13" t="n">
        <f aca="false">C504/('Final Model'!$B$21*SQRT(1-B504))</f>
        <v>-0.113968647366378</v>
      </c>
      <c r="E504" s="13" t="n">
        <f aca="false">D504*SQRT(('Final Model'!$B$24-1)/('Final Model'!$B$24-D504^2))</f>
        <v>-0.113927823877214</v>
      </c>
      <c r="F504" s="23" t="n">
        <f aca="false">D504^2/($P$3+1)*B504/(1-B504)</f>
        <v>3.16998427363223E-006</v>
      </c>
      <c r="G504" s="13" t="n">
        <f aca="false">($P$2-1)*(B504-1/$P$2)</f>
        <v>1.69957291940519</v>
      </c>
      <c r="H504" s="13" t="n">
        <f aca="false">E504*SQRT(B504/(1-B504))</f>
        <v>-0.0050340549922282</v>
      </c>
      <c r="I504" s="13" t="n">
        <f aca="false">ABS(D504)</f>
        <v>0.113968647366378</v>
      </c>
      <c r="J504" s="6" t="n">
        <f aca="false">IF(B504&gt;$P$4,1,0)</f>
        <v>0</v>
      </c>
      <c r="K504" s="6" t="n">
        <f aca="false">IF(F504&gt;$P$6,1,0)</f>
        <v>0</v>
      </c>
      <c r="L504" s="6" t="n">
        <f aca="false">IF(G504&gt;$P$9,1,0)</f>
        <v>0</v>
      </c>
      <c r="M504" s="6" t="n">
        <f aca="false">IF(ABS(H504)&gt;$P$8,1,0)</f>
        <v>0</v>
      </c>
    </row>
    <row r="505" customFormat="false" ht="15" hidden="false" customHeight="false" outlineLevel="0" collapsed="false">
      <c r="A505" s="0" t="n">
        <f aca="false">ROW()-1</f>
        <v>504</v>
      </c>
      <c r="B505" s="22" t="n">
        <f aca="false">SUMPRODUCT(MMULT('Analysis Data'!N505:U505,'Final Model'!$B$59:$I$66),'Analysis Data'!N505:U505)</f>
        <v>0.00194862918316512</v>
      </c>
      <c r="C505" s="15" t="n">
        <f aca="false">'Residual Diagnostics'!F505</f>
        <v>73.6487910493111</v>
      </c>
      <c r="D505" s="13" t="n">
        <f aca="false">C505/('Final Model'!$B$21*SQRT(1-B505))</f>
        <v>1.50352060170203</v>
      </c>
      <c r="E505" s="13" t="n">
        <f aca="false">D505*SQRT(('Final Model'!$B$24-1)/('Final Model'!$B$24-D505^2))</f>
        <v>1.50420927329286</v>
      </c>
      <c r="F505" s="23" t="n">
        <f aca="false">D505^2/($P$3+1)*B505/(1-B505)</f>
        <v>0.000551702670966106</v>
      </c>
      <c r="G505" s="13" t="n">
        <f aca="false">($P$2-1)*(B505-1/$P$2)</f>
        <v>1.69957291940519</v>
      </c>
      <c r="H505" s="13" t="n">
        <f aca="false">E505*SQRT(B505/(1-B505))</f>
        <v>0.0664655212736872</v>
      </c>
      <c r="I505" s="13" t="n">
        <f aca="false">ABS(D505)</f>
        <v>1.50352060170203</v>
      </c>
      <c r="J505" s="6" t="n">
        <f aca="false">IF(B505&gt;$P$4,1,0)</f>
        <v>0</v>
      </c>
      <c r="K505" s="6" t="n">
        <f aca="false">IF(F505&gt;$P$6,1,0)</f>
        <v>0</v>
      </c>
      <c r="L505" s="6" t="n">
        <f aca="false">IF(G505&gt;$P$9,1,0)</f>
        <v>0</v>
      </c>
      <c r="M505" s="6" t="n">
        <f aca="false">IF(ABS(H505)&gt;$P$8,1,0)</f>
        <v>0</v>
      </c>
    </row>
    <row r="506" customFormat="false" ht="15" hidden="false" customHeight="false" outlineLevel="0" collapsed="false">
      <c r="A506" s="0" t="n">
        <f aca="false">ROW()-1</f>
        <v>505</v>
      </c>
      <c r="B506" s="22" t="n">
        <f aca="false">SUMPRODUCT(MMULT('Analysis Data'!N506:U506,'Final Model'!$B$59:$I$66),'Analysis Data'!N506:U506)</f>
        <v>0.00178381200285069</v>
      </c>
      <c r="C506" s="15" t="n">
        <f aca="false">'Residual Diagnostics'!F506</f>
        <v>-35.7383374050467</v>
      </c>
      <c r="D506" s="13" t="n">
        <f aca="false">C506/('Final Model'!$B$21*SQRT(1-B506))</f>
        <v>-0.729528477110923</v>
      </c>
      <c r="E506" s="13" t="n">
        <f aca="false">D506*SQRT(('Final Model'!$B$24-1)/('Final Model'!$B$24-D506^2))</f>
        <v>-0.729404592619691</v>
      </c>
      <c r="F506" s="23" t="n">
        <f aca="false">D506^2/($P$3+1)*B506/(1-B506)</f>
        <v>0.000118882788916393</v>
      </c>
      <c r="G506" s="13" t="n">
        <f aca="false">($P$2-1)*(B506-1/$P$2)</f>
        <v>1.47130112466971</v>
      </c>
      <c r="H506" s="13" t="n">
        <f aca="false">E506*SQRT(B506/(1-B506))</f>
        <v>-0.0308340612062928</v>
      </c>
      <c r="I506" s="13" t="n">
        <f aca="false">ABS(D506)</f>
        <v>0.729528477110923</v>
      </c>
      <c r="J506" s="6" t="n">
        <f aca="false">IF(B506&gt;$P$4,1,0)</f>
        <v>0</v>
      </c>
      <c r="K506" s="6" t="n">
        <f aca="false">IF(F506&gt;$P$6,1,0)</f>
        <v>0</v>
      </c>
      <c r="L506" s="6" t="n">
        <f aca="false">IF(G506&gt;$P$9,1,0)</f>
        <v>0</v>
      </c>
      <c r="M506" s="6" t="n">
        <f aca="false">IF(ABS(H506)&gt;$P$8,1,0)</f>
        <v>0</v>
      </c>
    </row>
    <row r="507" customFormat="false" ht="15" hidden="false" customHeight="false" outlineLevel="0" collapsed="false">
      <c r="A507" s="0" t="n">
        <f aca="false">ROW()-1</f>
        <v>506</v>
      </c>
      <c r="B507" s="22" t="n">
        <f aca="false">SUMPRODUCT(MMULT('Analysis Data'!N507:U507,'Final Model'!$B$59:$I$66),'Analysis Data'!N507:U507)</f>
        <v>0.00271543288709589</v>
      </c>
      <c r="C507" s="15" t="n">
        <f aca="false">'Residual Diagnostics'!F507</f>
        <v>16.6638582235371</v>
      </c>
      <c r="D507" s="13" t="n">
        <f aca="false">C507/('Final Model'!$B$21*SQRT(1-B507))</f>
        <v>0.340319019693576</v>
      </c>
      <c r="E507" s="13" t="n">
        <f aca="false">D507*SQRT(('Final Model'!$B$24-1)/('Final Model'!$B$24-D507^2))</f>
        <v>0.340209811470086</v>
      </c>
      <c r="F507" s="23" t="n">
        <f aca="false">D507^2/($P$3+1)*B507/(1-B507)</f>
        <v>3.94187121389988E-005</v>
      </c>
      <c r="G507" s="13" t="n">
        <f aca="false">($P$2-1)*(B507-1/$P$2)</f>
        <v>2.76159604934931</v>
      </c>
      <c r="H507" s="13" t="n">
        <f aca="false">E507*SQRT(B507/(1-B507))</f>
        <v>0.0177523896540116</v>
      </c>
      <c r="I507" s="13" t="n">
        <f aca="false">ABS(D507)</f>
        <v>0.340319019693576</v>
      </c>
      <c r="J507" s="6" t="n">
        <f aca="false">IF(B507&gt;$P$4,1,0)</f>
        <v>0</v>
      </c>
      <c r="K507" s="6" t="n">
        <f aca="false">IF(F507&gt;$P$6,1,0)</f>
        <v>0</v>
      </c>
      <c r="L507" s="6" t="n">
        <f aca="false">IF(G507&gt;$P$9,1,0)</f>
        <v>0</v>
      </c>
      <c r="M507" s="6" t="n">
        <f aca="false">IF(ABS(H507)&gt;$P$8,1,0)</f>
        <v>0</v>
      </c>
    </row>
    <row r="508" customFormat="false" ht="15" hidden="false" customHeight="false" outlineLevel="0" collapsed="false">
      <c r="A508" s="0" t="n">
        <f aca="false">ROW()-1</f>
        <v>507</v>
      </c>
      <c r="B508" s="22" t="n">
        <f aca="false">SUMPRODUCT(MMULT('Analysis Data'!N508:U508,'Final Model'!$B$59:$I$66),'Analysis Data'!N508:U508)</f>
        <v>0.00194862918316512</v>
      </c>
      <c r="C508" s="15" t="n">
        <f aca="false">'Residual Diagnostics'!F508</f>
        <v>-72.6441042049685</v>
      </c>
      <c r="D508" s="13" t="n">
        <f aca="false">C508/('Final Model'!$B$21*SQRT(1-B508))</f>
        <v>-1.48301018534344</v>
      </c>
      <c r="E508" s="13" t="n">
        <f aca="false">D508*SQRT(('Final Model'!$B$24-1)/('Final Model'!$B$24-D508^2))</f>
        <v>-1.48365643271941</v>
      </c>
      <c r="F508" s="23" t="n">
        <f aca="false">D508^2/($P$3+1)*B508/(1-B508)</f>
        <v>0.000536753132239518</v>
      </c>
      <c r="G508" s="13" t="n">
        <f aca="false">($P$2-1)*(B508-1/$P$2)</f>
        <v>1.69957291940519</v>
      </c>
      <c r="H508" s="13" t="n">
        <f aca="false">E508*SQRT(B508/(1-B508))</f>
        <v>-0.0655573662140001</v>
      </c>
      <c r="I508" s="13" t="n">
        <f aca="false">ABS(D508)</f>
        <v>1.48301018534344</v>
      </c>
      <c r="J508" s="6" t="n">
        <f aca="false">IF(B508&gt;$P$4,1,0)</f>
        <v>0</v>
      </c>
      <c r="K508" s="6" t="n">
        <f aca="false">IF(F508&gt;$P$6,1,0)</f>
        <v>0</v>
      </c>
      <c r="L508" s="6" t="n">
        <f aca="false">IF(G508&gt;$P$9,1,0)</f>
        <v>0</v>
      </c>
      <c r="M508" s="6" t="n">
        <f aca="false">IF(ABS(H508)&gt;$P$8,1,0)</f>
        <v>0</v>
      </c>
    </row>
    <row r="509" customFormat="false" ht="15" hidden="false" customHeight="false" outlineLevel="0" collapsed="false">
      <c r="A509" s="0" t="n">
        <f aca="false">ROW()-1</f>
        <v>508</v>
      </c>
      <c r="B509" s="22" t="n">
        <f aca="false">SUMPRODUCT(MMULT('Analysis Data'!N509:U509,'Final Model'!$B$59:$I$66),'Analysis Data'!N509:U509)</f>
        <v>0.00194862918316512</v>
      </c>
      <c r="C509" s="15" t="n">
        <f aca="false">'Residual Diagnostics'!F509</f>
        <v>9.97484324762539</v>
      </c>
      <c r="D509" s="13" t="n">
        <f aca="false">C509/('Final Model'!$B$21*SQRT(1-B509))</f>
        <v>0.203633788252027</v>
      </c>
      <c r="E509" s="13" t="n">
        <f aca="false">D509*SQRT(('Final Model'!$B$24-1)/('Final Model'!$B$24-D509^2))</f>
        <v>0.203562950228051</v>
      </c>
      <c r="F509" s="23" t="n">
        <f aca="false">D509^2/($P$3+1)*B509/(1-B509)</f>
        <v>1.01201278981061E-005</v>
      </c>
      <c r="G509" s="13" t="n">
        <f aca="false">($P$2-1)*(B509-1/$P$2)</f>
        <v>1.69957291940519</v>
      </c>
      <c r="H509" s="13" t="n">
        <f aca="false">E509*SQRT(B509/(1-B509))</f>
        <v>0.00899470428692328</v>
      </c>
      <c r="I509" s="13" t="n">
        <f aca="false">ABS(D509)</f>
        <v>0.203633788252027</v>
      </c>
      <c r="J509" s="6" t="n">
        <f aca="false">IF(B509&gt;$P$4,1,0)</f>
        <v>0</v>
      </c>
      <c r="K509" s="6" t="n">
        <f aca="false">IF(F509&gt;$P$6,1,0)</f>
        <v>0</v>
      </c>
      <c r="L509" s="6" t="n">
        <f aca="false">IF(G509&gt;$P$9,1,0)</f>
        <v>0</v>
      </c>
      <c r="M509" s="6" t="n">
        <f aca="false">IF(ABS(H509)&gt;$P$8,1,0)</f>
        <v>0</v>
      </c>
    </row>
    <row r="510" customFormat="false" ht="15" hidden="false" customHeight="false" outlineLevel="0" collapsed="false">
      <c r="A510" s="0" t="n">
        <f aca="false">ROW()-1</f>
        <v>509</v>
      </c>
      <c r="B510" s="22" t="n">
        <f aca="false">SUMPRODUCT(MMULT('Analysis Data'!N510:U510,'Final Model'!$B$59:$I$66),'Analysis Data'!N510:U510)</f>
        <v>0.00170779778462098</v>
      </c>
      <c r="C510" s="15" t="n">
        <f aca="false">'Residual Diagnostics'!F510</f>
        <v>-72.2549656884467</v>
      </c>
      <c r="D510" s="13" t="n">
        <f aca="false">C510/('Final Model'!$B$21*SQRT(1-B510))</f>
        <v>-1.47488808969067</v>
      </c>
      <c r="E510" s="13" t="n">
        <f aca="false">D510*SQRT(('Final Model'!$B$24-1)/('Final Model'!$B$24-D510^2))</f>
        <v>-1.47551791497781</v>
      </c>
      <c r="F510" s="23" t="n">
        <f aca="false">D510^2/($P$3+1)*B510/(1-B510)</f>
        <v>0.000465164879053456</v>
      </c>
      <c r="G510" s="13" t="n">
        <f aca="false">($P$2-1)*(B510-1/$P$2)</f>
        <v>1.36602143242155</v>
      </c>
      <c r="H510" s="13" t="n">
        <f aca="false">E510*SQRT(B510/(1-B510))</f>
        <v>-0.0610286650687721</v>
      </c>
      <c r="I510" s="13" t="n">
        <f aca="false">ABS(D510)</f>
        <v>1.47488808969067</v>
      </c>
      <c r="J510" s="6" t="n">
        <f aca="false">IF(B510&gt;$P$4,1,0)</f>
        <v>0</v>
      </c>
      <c r="K510" s="6" t="n">
        <f aca="false">IF(F510&gt;$P$6,1,0)</f>
        <v>0</v>
      </c>
      <c r="L510" s="6" t="n">
        <f aca="false">IF(G510&gt;$P$9,1,0)</f>
        <v>0</v>
      </c>
      <c r="M510" s="6" t="n">
        <f aca="false">IF(ABS(H510)&gt;$P$8,1,0)</f>
        <v>0</v>
      </c>
    </row>
    <row r="511" customFormat="false" ht="15" hidden="false" customHeight="false" outlineLevel="0" collapsed="false">
      <c r="A511" s="0" t="n">
        <f aca="false">ROW()-1</f>
        <v>510</v>
      </c>
      <c r="B511" s="22" t="n">
        <f aca="false">SUMPRODUCT(MMULT('Analysis Data'!N511:U511,'Final Model'!$B$59:$I$66),'Analysis Data'!N511:U511)</f>
        <v>0.00170779778462098</v>
      </c>
      <c r="C511" s="15" t="n">
        <f aca="false">'Residual Diagnostics'!F511</f>
        <v>68.9456130184954</v>
      </c>
      <c r="D511" s="13" t="n">
        <f aca="false">C511/('Final Model'!$B$21*SQRT(1-B511))</f>
        <v>1.40733667933442</v>
      </c>
      <c r="E511" s="13" t="n">
        <f aca="false">D511*SQRT(('Final Model'!$B$24-1)/('Final Model'!$B$24-D511^2))</f>
        <v>1.40783804715068</v>
      </c>
      <c r="F511" s="23" t="n">
        <f aca="false">D511^2/($P$3+1)*B511/(1-B511)</f>
        <v>0.000423530600177482</v>
      </c>
      <c r="G511" s="13" t="n">
        <f aca="false">($P$2-1)*(B511-1/$P$2)</f>
        <v>1.36602143242155</v>
      </c>
      <c r="H511" s="13" t="n">
        <f aca="false">E511*SQRT(B511/(1-B511))</f>
        <v>0.0582293686701357</v>
      </c>
      <c r="I511" s="13" t="n">
        <f aca="false">ABS(D511)</f>
        <v>1.40733667933442</v>
      </c>
      <c r="J511" s="6" t="n">
        <f aca="false">IF(B511&gt;$P$4,1,0)</f>
        <v>0</v>
      </c>
      <c r="K511" s="6" t="n">
        <f aca="false">IF(F511&gt;$P$6,1,0)</f>
        <v>0</v>
      </c>
      <c r="L511" s="6" t="n">
        <f aca="false">IF(G511&gt;$P$9,1,0)</f>
        <v>0</v>
      </c>
      <c r="M511" s="6" t="n">
        <f aca="false">IF(ABS(H511)&gt;$P$8,1,0)</f>
        <v>0</v>
      </c>
    </row>
    <row r="512" customFormat="false" ht="15" hidden="false" customHeight="false" outlineLevel="0" collapsed="false">
      <c r="A512" s="0" t="n">
        <f aca="false">ROW()-1</f>
        <v>511</v>
      </c>
      <c r="B512" s="22" t="n">
        <f aca="false">SUMPRODUCT(MMULT('Analysis Data'!N512:U512,'Final Model'!$B$59:$I$66),'Analysis Data'!N512:U512)</f>
        <v>0.00170779778462098</v>
      </c>
      <c r="C512" s="15" t="n">
        <f aca="false">'Residual Diagnostics'!F512</f>
        <v>36.2333210324972</v>
      </c>
      <c r="D512" s="13" t="n">
        <f aca="false">C512/('Final Model'!$B$21*SQRT(1-B512))</f>
        <v>0.739604442844728</v>
      </c>
      <c r="E512" s="13" t="n">
        <f aca="false">D512*SQRT(('Final Model'!$B$24-1)/('Final Model'!$B$24-D512^2))</f>
        <v>0.739482820738853</v>
      </c>
      <c r="F512" s="23" t="n">
        <f aca="false">D512^2/($P$3+1)*B512/(1-B512)</f>
        <v>0.000116973585636946</v>
      </c>
      <c r="G512" s="13" t="n">
        <f aca="false">($P$2-1)*(B512-1/$P$2)</f>
        <v>1.36602143242155</v>
      </c>
      <c r="H512" s="13" t="n">
        <f aca="false">E512*SQRT(B512/(1-B512))</f>
        <v>0.0305856329719053</v>
      </c>
      <c r="I512" s="13" t="n">
        <f aca="false">ABS(D512)</f>
        <v>0.739604442844728</v>
      </c>
      <c r="J512" s="6" t="n">
        <f aca="false">IF(B512&gt;$P$4,1,0)</f>
        <v>0</v>
      </c>
      <c r="K512" s="6" t="n">
        <f aca="false">IF(F512&gt;$P$6,1,0)</f>
        <v>0</v>
      </c>
      <c r="L512" s="6" t="n">
        <f aca="false">IF(G512&gt;$P$9,1,0)</f>
        <v>0</v>
      </c>
      <c r="M512" s="6" t="n">
        <f aca="false">IF(ABS(H512)&gt;$P$8,1,0)</f>
        <v>0</v>
      </c>
    </row>
    <row r="513" customFormat="false" ht="15" hidden="false" customHeight="false" outlineLevel="0" collapsed="false">
      <c r="A513" s="0" t="n">
        <f aca="false">ROW()-1</f>
        <v>512</v>
      </c>
      <c r="B513" s="22" t="n">
        <f aca="false">SUMPRODUCT(MMULT('Analysis Data'!N513:U513,'Final Model'!$B$59:$I$66),'Analysis Data'!N513:U513)</f>
        <v>0.00194862918316512</v>
      </c>
      <c r="C513" s="15" t="n">
        <f aca="false">'Residual Diagnostics'!F513</f>
        <v>-21.9071632284733</v>
      </c>
      <c r="D513" s="13" t="n">
        <f aca="false">C513/('Final Model'!$B$21*SQRT(1-B513))</f>
        <v>-0.447228946593373</v>
      </c>
      <c r="E513" s="13" t="n">
        <f aca="false">D513*SQRT(('Final Model'!$B$24-1)/('Final Model'!$B$24-D513^2))</f>
        <v>-0.447099091400742</v>
      </c>
      <c r="F513" s="23" t="n">
        <f aca="false">D513^2/($P$3+1)*B513/(1-B513)</f>
        <v>4.8814194842031E-005</v>
      </c>
      <c r="G513" s="13" t="n">
        <f aca="false">($P$2-1)*(B513-1/$P$2)</f>
        <v>1.69957291940519</v>
      </c>
      <c r="H513" s="13" t="n">
        <f aca="false">E513*SQRT(B513/(1-B513))</f>
        <v>-0.0197556780818733</v>
      </c>
      <c r="I513" s="13" t="n">
        <f aca="false">ABS(D513)</f>
        <v>0.447228946593373</v>
      </c>
      <c r="J513" s="6" t="n">
        <f aca="false">IF(B513&gt;$P$4,1,0)</f>
        <v>0</v>
      </c>
      <c r="K513" s="6" t="n">
        <f aca="false">IF(F513&gt;$P$6,1,0)</f>
        <v>0</v>
      </c>
      <c r="L513" s="6" t="n">
        <f aca="false">IF(G513&gt;$P$9,1,0)</f>
        <v>0</v>
      </c>
      <c r="M513" s="6" t="n">
        <f aca="false">IF(ABS(H513)&gt;$P$8,1,0)</f>
        <v>0</v>
      </c>
    </row>
    <row r="514" customFormat="false" ht="15" hidden="false" customHeight="false" outlineLevel="0" collapsed="false">
      <c r="A514" s="0" t="n">
        <f aca="false">ROW()-1</f>
        <v>513</v>
      </c>
      <c r="B514" s="22" t="n">
        <f aca="false">SUMPRODUCT(MMULT('Analysis Data'!N514:U514,'Final Model'!$B$59:$I$66),'Analysis Data'!N514:U514)</f>
        <v>0.00194862918316512</v>
      </c>
      <c r="C514" s="15" t="n">
        <f aca="false">'Residual Diagnostics'!F514</f>
        <v>-42.4216527068893</v>
      </c>
      <c r="D514" s="13" t="n">
        <f aca="false">C514/('Final Model'!$B$21*SQRT(1-B514))</f>
        <v>-0.866026826704489</v>
      </c>
      <c r="E514" s="13" t="n">
        <f aca="false">D514*SQRT(('Final Model'!$B$24-1)/('Final Model'!$B$24-D514^2))</f>
        <v>-0.865948222820477</v>
      </c>
      <c r="F514" s="23" t="n">
        <f aca="false">D514^2/($P$3+1)*B514/(1-B514)</f>
        <v>0.000183041265791052</v>
      </c>
      <c r="G514" s="13" t="n">
        <f aca="false">($P$2-1)*(B514-1/$P$2)</f>
        <v>1.69957291940519</v>
      </c>
      <c r="H514" s="13" t="n">
        <f aca="false">E514*SQRT(B514/(1-B514))</f>
        <v>-0.0382630934722208</v>
      </c>
      <c r="I514" s="13" t="n">
        <f aca="false">ABS(D514)</f>
        <v>0.866026826704489</v>
      </c>
      <c r="J514" s="6" t="n">
        <f aca="false">IF(B514&gt;$P$4,1,0)</f>
        <v>0</v>
      </c>
      <c r="K514" s="6" t="n">
        <f aca="false">IF(F514&gt;$P$6,1,0)</f>
        <v>0</v>
      </c>
      <c r="L514" s="6" t="n">
        <f aca="false">IF(G514&gt;$P$9,1,0)</f>
        <v>0</v>
      </c>
      <c r="M514" s="6" t="n">
        <f aca="false">IF(ABS(H514)&gt;$P$8,1,0)</f>
        <v>0</v>
      </c>
    </row>
    <row r="515" customFormat="false" ht="15" hidden="false" customHeight="false" outlineLevel="0" collapsed="false">
      <c r="A515" s="0" t="n">
        <f aca="false">ROW()-1</f>
        <v>514</v>
      </c>
      <c r="B515" s="22" t="n">
        <f aca="false">SUMPRODUCT(MMULT('Analysis Data'!N515:U515,'Final Model'!$B$59:$I$66),'Analysis Data'!N515:U515)</f>
        <v>0.00194862918316512</v>
      </c>
      <c r="C515" s="15" t="n">
        <f aca="false">'Residual Diagnostics'!F515</f>
        <v>47.3241380081407</v>
      </c>
      <c r="D515" s="13" t="n">
        <f aca="false">C515/('Final Model'!$B$21*SQRT(1-B515))</f>
        <v>0.966109768256614</v>
      </c>
      <c r="E515" s="13" t="n">
        <f aca="false">D515*SQRT(('Final Model'!$B$24-1)/('Final Model'!$B$24-D515^2))</f>
        <v>0.966086394469953</v>
      </c>
      <c r="F515" s="23" t="n">
        <f aca="false">D515^2/($P$3+1)*B515/(1-B515)</f>
        <v>0.000227792418923033</v>
      </c>
      <c r="G515" s="13" t="n">
        <f aca="false">($P$2-1)*(B515-1/$P$2)</f>
        <v>1.69957291940519</v>
      </c>
      <c r="H515" s="13" t="n">
        <f aca="false">E515*SQRT(B515/(1-B515))</f>
        <v>0.0426878340294349</v>
      </c>
      <c r="I515" s="13" t="n">
        <f aca="false">ABS(D515)</f>
        <v>0.966109768256614</v>
      </c>
      <c r="J515" s="6" t="n">
        <f aca="false">IF(B515&gt;$P$4,1,0)</f>
        <v>0</v>
      </c>
      <c r="K515" s="6" t="n">
        <f aca="false">IF(F515&gt;$P$6,1,0)</f>
        <v>0</v>
      </c>
      <c r="L515" s="6" t="n">
        <f aca="false">IF(G515&gt;$P$9,1,0)</f>
        <v>0</v>
      </c>
      <c r="M515" s="6" t="n">
        <f aca="false">IF(ABS(H515)&gt;$P$8,1,0)</f>
        <v>0</v>
      </c>
    </row>
    <row r="516" customFormat="false" ht="15" hidden="false" customHeight="false" outlineLevel="0" collapsed="false">
      <c r="A516" s="0" t="n">
        <f aca="false">ROW()-1</f>
        <v>515</v>
      </c>
      <c r="B516" s="22" t="n">
        <f aca="false">SUMPRODUCT(MMULT('Analysis Data'!N516:U516,'Final Model'!$B$59:$I$66),'Analysis Data'!N516:U516)</f>
        <v>0.00194862918316512</v>
      </c>
      <c r="C516" s="15" t="n">
        <f aca="false">'Residual Diagnostics'!F516</f>
        <v>14.3646522262641</v>
      </c>
      <c r="D516" s="13" t="n">
        <f aca="false">C516/('Final Model'!$B$21*SQRT(1-B516))</f>
        <v>0.29325057819364</v>
      </c>
      <c r="E516" s="13" t="n">
        <f aca="false">D516*SQRT(('Final Model'!$B$24-1)/('Final Model'!$B$24-D516^2))</f>
        <v>0.293153301915019</v>
      </c>
      <c r="F516" s="23" t="n">
        <f aca="false">D516^2/($P$3+1)*B516/(1-B516)</f>
        <v>2.09876626108003E-005</v>
      </c>
      <c r="G516" s="13" t="n">
        <f aca="false">($P$2-1)*(B516-1/$P$2)</f>
        <v>1.69957291940519</v>
      </c>
      <c r="H516" s="13" t="n">
        <f aca="false">E516*SQRT(B516/(1-B516))</f>
        <v>0.0129533751525349</v>
      </c>
      <c r="I516" s="13" t="n">
        <f aca="false">ABS(D516)</f>
        <v>0.29325057819364</v>
      </c>
      <c r="J516" s="6" t="n">
        <f aca="false">IF(B516&gt;$P$4,1,0)</f>
        <v>0</v>
      </c>
      <c r="K516" s="6" t="n">
        <f aca="false">IF(F516&gt;$P$6,1,0)</f>
        <v>0</v>
      </c>
      <c r="L516" s="6" t="n">
        <f aca="false">IF(G516&gt;$P$9,1,0)</f>
        <v>0</v>
      </c>
      <c r="M516" s="6" t="n">
        <f aca="false">IF(ABS(H516)&gt;$P$8,1,0)</f>
        <v>0</v>
      </c>
    </row>
    <row r="517" customFormat="false" ht="15" hidden="false" customHeight="false" outlineLevel="0" collapsed="false">
      <c r="A517" s="0" t="n">
        <f aca="false">ROW()-1</f>
        <v>516</v>
      </c>
      <c r="B517" s="22" t="n">
        <f aca="false">SUMPRODUCT(MMULT('Analysis Data'!N517:U517,'Final Model'!$B$59:$I$66),'Analysis Data'!N517:U517)</f>
        <v>0.00178381200285069</v>
      </c>
      <c r="C517" s="15" t="n">
        <f aca="false">'Residual Diagnostics'!F517</f>
        <v>85.9467624212338</v>
      </c>
      <c r="D517" s="13" t="n">
        <f aca="false">C517/('Final Model'!$B$21*SQRT(1-B517))</f>
        <v>1.75443557967313</v>
      </c>
      <c r="E517" s="13" t="n">
        <f aca="false">D517*SQRT(('Final Model'!$B$24-1)/('Final Model'!$B$24-D517^2))</f>
        <v>1.7557608978688</v>
      </c>
      <c r="F517" s="23" t="n">
        <f aca="false">D517^2/($P$3+1)*B517/(1-B517)</f>
        <v>0.000687557998587309</v>
      </c>
      <c r="G517" s="13" t="n">
        <f aca="false">($P$2-1)*(B517-1/$P$2)</f>
        <v>1.47130112466971</v>
      </c>
      <c r="H517" s="13" t="n">
        <f aca="false">E517*SQRT(B517/(1-B517))</f>
        <v>0.0742211380847846</v>
      </c>
      <c r="I517" s="13" t="n">
        <f aca="false">ABS(D517)</f>
        <v>1.75443557967313</v>
      </c>
      <c r="J517" s="6" t="n">
        <f aca="false">IF(B517&gt;$P$4,1,0)</f>
        <v>0</v>
      </c>
      <c r="K517" s="6" t="n">
        <f aca="false">IF(F517&gt;$P$6,1,0)</f>
        <v>0</v>
      </c>
      <c r="L517" s="6" t="n">
        <f aca="false">IF(G517&gt;$P$9,1,0)</f>
        <v>0</v>
      </c>
      <c r="M517" s="6" t="n">
        <f aca="false">IF(ABS(H517)&gt;$P$8,1,0)</f>
        <v>0</v>
      </c>
    </row>
    <row r="518" customFormat="false" ht="15" hidden="false" customHeight="false" outlineLevel="0" collapsed="false">
      <c r="A518" s="0" t="n">
        <f aca="false">ROW()-1</f>
        <v>517</v>
      </c>
      <c r="B518" s="22" t="n">
        <f aca="false">SUMPRODUCT(MMULT('Analysis Data'!N518:U518,'Final Model'!$B$59:$I$66),'Analysis Data'!N518:U518)</f>
        <v>0.00178381200285069</v>
      </c>
      <c r="C518" s="15" t="n">
        <f aca="false">'Residual Diagnostics'!F518</f>
        <v>-45.1864918907885</v>
      </c>
      <c r="D518" s="13" t="n">
        <f aca="false">C518/('Final Model'!$B$21*SQRT(1-B518))</f>
        <v>-0.92239412934797</v>
      </c>
      <c r="E518" s="13" t="n">
        <f aca="false">D518*SQRT(('Final Model'!$B$24-1)/('Final Model'!$B$24-D518^2))</f>
        <v>-0.922344165680027</v>
      </c>
      <c r="F518" s="23" t="n">
        <f aca="false">D518^2/($P$3+1)*B518/(1-B518)</f>
        <v>0.000190049856819857</v>
      </c>
      <c r="G518" s="13" t="n">
        <f aca="false">($P$2-1)*(B518-1/$P$2)</f>
        <v>1.47130112466971</v>
      </c>
      <c r="H518" s="13" t="n">
        <f aca="false">E518*SQRT(B518/(1-B518))</f>
        <v>-0.0389901801354208</v>
      </c>
      <c r="I518" s="13" t="n">
        <f aca="false">ABS(D518)</f>
        <v>0.92239412934797</v>
      </c>
      <c r="J518" s="6" t="n">
        <f aca="false">IF(B518&gt;$P$4,1,0)</f>
        <v>0</v>
      </c>
      <c r="K518" s="6" t="n">
        <f aca="false">IF(F518&gt;$P$6,1,0)</f>
        <v>0</v>
      </c>
      <c r="L518" s="6" t="n">
        <f aca="false">IF(G518&gt;$P$9,1,0)</f>
        <v>0</v>
      </c>
      <c r="M518" s="6" t="n">
        <f aca="false">IF(ABS(H518)&gt;$P$8,1,0)</f>
        <v>0</v>
      </c>
    </row>
    <row r="519" customFormat="false" ht="15" hidden="false" customHeight="false" outlineLevel="0" collapsed="false">
      <c r="A519" s="0" t="n">
        <f aca="false">ROW()-1</f>
        <v>518</v>
      </c>
      <c r="B519" s="22" t="n">
        <f aca="false">SUMPRODUCT(MMULT('Analysis Data'!N519:U519,'Final Model'!$B$59:$I$66),'Analysis Data'!N519:U519)</f>
        <v>0.00349598211540633</v>
      </c>
      <c r="C519" s="15" t="n">
        <f aca="false">'Residual Diagnostics'!F519</f>
        <v>9.18993792698424</v>
      </c>
      <c r="D519" s="13" t="n">
        <f aca="false">C519/('Final Model'!$B$21*SQRT(1-B519))</f>
        <v>0.187755755885937</v>
      </c>
      <c r="E519" s="13" t="n">
        <f aca="false">D519*SQRT(('Final Model'!$B$24-1)/('Final Model'!$B$24-D519^2))</f>
        <v>0.187690018114352</v>
      </c>
      <c r="F519" s="23" t="n">
        <f aca="false">D519^2/($P$3+1)*B519/(1-B519)</f>
        <v>1.54591880664835E-005</v>
      </c>
      <c r="G519" s="13" t="n">
        <f aca="false">($P$2-1)*(B519-1/$P$2)</f>
        <v>3.84265673055927</v>
      </c>
      <c r="H519" s="13" t="n">
        <f aca="false">E519*SQRT(B519/(1-B519))</f>
        <v>0.0111169653053754</v>
      </c>
      <c r="I519" s="13" t="n">
        <f aca="false">ABS(D519)</f>
        <v>0.187755755885937</v>
      </c>
      <c r="J519" s="6" t="n">
        <f aca="false">IF(B519&gt;$P$4,1,0)</f>
        <v>0</v>
      </c>
      <c r="K519" s="6" t="n">
        <f aca="false">IF(F519&gt;$P$6,1,0)</f>
        <v>0</v>
      </c>
      <c r="L519" s="6" t="n">
        <f aca="false">IF(G519&gt;$P$9,1,0)</f>
        <v>0</v>
      </c>
      <c r="M519" s="6" t="n">
        <f aca="false">IF(ABS(H519)&gt;$P$8,1,0)</f>
        <v>0</v>
      </c>
    </row>
    <row r="520" customFormat="false" ht="15" hidden="false" customHeight="false" outlineLevel="0" collapsed="false">
      <c r="A520" s="0" t="n">
        <f aca="false">ROW()-1</f>
        <v>519</v>
      </c>
      <c r="B520" s="22" t="n">
        <f aca="false">SUMPRODUCT(MMULT('Analysis Data'!N520:U520,'Final Model'!$B$59:$I$66),'Analysis Data'!N520:U520)</f>
        <v>0.00194862918316512</v>
      </c>
      <c r="C520" s="15" t="n">
        <f aca="false">'Residual Diagnostics'!F520</f>
        <v>13.3004220193671</v>
      </c>
      <c r="D520" s="13" t="n">
        <f aca="false">C520/('Final Model'!$B$21*SQRT(1-B520))</f>
        <v>0.271524599827587</v>
      </c>
      <c r="E520" s="13" t="n">
        <f aca="false">D520*SQRT(('Final Model'!$B$24-1)/('Final Model'!$B$24-D520^2))</f>
        <v>0.271433321879874</v>
      </c>
      <c r="F520" s="23" t="n">
        <f aca="false">D520^2/($P$3+1)*B520/(1-B520)</f>
        <v>1.79930457618719E-005</v>
      </c>
      <c r="G520" s="13" t="n">
        <f aca="false">($P$2-1)*(B520-1/$P$2)</f>
        <v>1.69957291940519</v>
      </c>
      <c r="H520" s="13" t="n">
        <f aca="false">E520*SQRT(B520/(1-B520))</f>
        <v>0.0119936484571066</v>
      </c>
      <c r="I520" s="13" t="n">
        <f aca="false">ABS(D520)</f>
        <v>0.271524599827587</v>
      </c>
      <c r="J520" s="6" t="n">
        <f aca="false">IF(B520&gt;$P$4,1,0)</f>
        <v>0</v>
      </c>
      <c r="K520" s="6" t="n">
        <f aca="false">IF(F520&gt;$P$6,1,0)</f>
        <v>0</v>
      </c>
      <c r="L520" s="6" t="n">
        <f aca="false">IF(G520&gt;$P$9,1,0)</f>
        <v>0</v>
      </c>
      <c r="M520" s="6" t="n">
        <f aca="false">IF(ABS(H520)&gt;$P$8,1,0)</f>
        <v>0</v>
      </c>
    </row>
    <row r="521" customFormat="false" ht="15" hidden="false" customHeight="false" outlineLevel="0" collapsed="false">
      <c r="A521" s="0" t="n">
        <f aca="false">ROW()-1</f>
        <v>520</v>
      </c>
      <c r="B521" s="22" t="n">
        <f aca="false">SUMPRODUCT(MMULT('Analysis Data'!N521:U521,'Final Model'!$B$59:$I$66),'Analysis Data'!N521:U521)</f>
        <v>0.00170779778462098</v>
      </c>
      <c r="C521" s="15" t="n">
        <f aca="false">'Residual Diagnostics'!F521</f>
        <v>8.53930449483551</v>
      </c>
      <c r="D521" s="13" t="n">
        <f aca="false">C521/('Final Model'!$B$21*SQRT(1-B521))</f>
        <v>0.174306615104915</v>
      </c>
      <c r="E521" s="13" t="n">
        <f aca="false">D521*SQRT(('Final Model'!$B$24-1)/('Final Model'!$B$24-D521^2))</f>
        <v>0.174245278326337</v>
      </c>
      <c r="F521" s="23" t="n">
        <f aca="false">D521^2/($P$3+1)*B521/(1-B521)</f>
        <v>6.49705463273304E-006</v>
      </c>
      <c r="G521" s="13" t="n">
        <f aca="false">($P$2-1)*(B521-1/$P$2)</f>
        <v>1.36602143242155</v>
      </c>
      <c r="H521" s="13" t="n">
        <f aca="false">E521*SQRT(B521/(1-B521))</f>
        <v>0.0072069316291242</v>
      </c>
      <c r="I521" s="13" t="n">
        <f aca="false">ABS(D521)</f>
        <v>0.174306615104915</v>
      </c>
      <c r="J521" s="6" t="n">
        <f aca="false">IF(B521&gt;$P$4,1,0)</f>
        <v>0</v>
      </c>
      <c r="K521" s="6" t="n">
        <f aca="false">IF(F521&gt;$P$6,1,0)</f>
        <v>0</v>
      </c>
      <c r="L521" s="6" t="n">
        <f aca="false">IF(G521&gt;$P$9,1,0)</f>
        <v>0</v>
      </c>
      <c r="M521" s="6" t="n">
        <f aca="false">IF(ABS(H521)&gt;$P$8,1,0)</f>
        <v>0</v>
      </c>
    </row>
    <row r="522" customFormat="false" ht="15" hidden="false" customHeight="false" outlineLevel="0" collapsed="false">
      <c r="A522" s="0" t="n">
        <f aca="false">ROW()-1</f>
        <v>521</v>
      </c>
      <c r="B522" s="22" t="n">
        <f aca="false">SUMPRODUCT(MMULT('Analysis Data'!N522:U522,'Final Model'!$B$59:$I$66),'Analysis Data'!N522:U522)</f>
        <v>0.00174146366347137</v>
      </c>
      <c r="C522" s="15" t="n">
        <f aca="false">'Residual Diagnostics'!F522</f>
        <v>9.31538841882471</v>
      </c>
      <c r="D522" s="13" t="n">
        <f aca="false">C522/('Final Model'!$B$21*SQRT(1-B522))</f>
        <v>0.190151458390814</v>
      </c>
      <c r="E522" s="13" t="n">
        <f aca="false">D522*SQRT(('Final Model'!$B$24-1)/('Final Model'!$B$24-D522^2))</f>
        <v>0.190084944271613</v>
      </c>
      <c r="F522" s="23" t="n">
        <f aca="false">D522^2/($P$3+1)*B522/(1-B522)</f>
        <v>7.88461911867581E-006</v>
      </c>
      <c r="G522" s="13" t="n">
        <f aca="false">($P$2-1)*(B522-1/$P$2)</f>
        <v>1.41264867462934</v>
      </c>
      <c r="H522" s="13" t="n">
        <f aca="false">E522*SQRT(B522/(1-B522))</f>
        <v>0.00793932192332604</v>
      </c>
      <c r="I522" s="13" t="n">
        <f aca="false">ABS(D522)</f>
        <v>0.190151458390814</v>
      </c>
      <c r="J522" s="6" t="n">
        <f aca="false">IF(B522&gt;$P$4,1,0)</f>
        <v>0</v>
      </c>
      <c r="K522" s="6" t="n">
        <f aca="false">IF(F522&gt;$P$6,1,0)</f>
        <v>0</v>
      </c>
      <c r="L522" s="6" t="n">
        <f aca="false">IF(G522&gt;$P$9,1,0)</f>
        <v>0</v>
      </c>
      <c r="M522" s="6" t="n">
        <f aca="false">IF(ABS(H522)&gt;$P$8,1,0)</f>
        <v>0</v>
      </c>
    </row>
    <row r="523" customFormat="false" ht="15" hidden="false" customHeight="false" outlineLevel="0" collapsed="false">
      <c r="A523" s="0" t="n">
        <f aca="false">ROW()-1</f>
        <v>522</v>
      </c>
      <c r="B523" s="22" t="n">
        <f aca="false">SUMPRODUCT(MMULT('Analysis Data'!N523:U523,'Final Model'!$B$59:$I$66),'Analysis Data'!N523:U523)</f>
        <v>0.00170779778462098</v>
      </c>
      <c r="C523" s="15" t="n">
        <f aca="false">'Residual Diagnostics'!F523</f>
        <v>-37.8068714818621</v>
      </c>
      <c r="D523" s="13" t="n">
        <f aca="false">C523/('Final Model'!$B$21*SQRT(1-B523))</f>
        <v>-0.771724184293402</v>
      </c>
      <c r="E523" s="13" t="n">
        <f aca="false">D523*SQRT(('Final Model'!$B$24-1)/('Final Model'!$B$24-D523^2))</f>
        <v>-0.771610876825122</v>
      </c>
      <c r="F523" s="23" t="n">
        <f aca="false">D523^2/($P$3+1)*B523/(1-B523)</f>
        <v>0.00012735412045504</v>
      </c>
      <c r="G523" s="13" t="n">
        <f aca="false">($P$2-1)*(B523-1/$P$2)</f>
        <v>1.36602143242155</v>
      </c>
      <c r="H523" s="13" t="n">
        <f aca="false">E523*SQRT(B523/(1-B523))</f>
        <v>-0.0319144764608908</v>
      </c>
      <c r="I523" s="13" t="n">
        <f aca="false">ABS(D523)</f>
        <v>0.771724184293402</v>
      </c>
      <c r="J523" s="6" t="n">
        <f aca="false">IF(B523&gt;$P$4,1,0)</f>
        <v>0</v>
      </c>
      <c r="K523" s="6" t="n">
        <f aca="false">IF(F523&gt;$P$6,1,0)</f>
        <v>0</v>
      </c>
      <c r="L523" s="6" t="n">
        <f aca="false">IF(G523&gt;$P$9,1,0)</f>
        <v>0</v>
      </c>
      <c r="M523" s="6" t="n">
        <f aca="false">IF(ABS(H523)&gt;$P$8,1,0)</f>
        <v>0</v>
      </c>
    </row>
    <row r="524" customFormat="false" ht="15" hidden="false" customHeight="false" outlineLevel="0" collapsed="false">
      <c r="A524" s="0" t="n">
        <f aca="false">ROW()-1</f>
        <v>523</v>
      </c>
      <c r="B524" s="22" t="n">
        <f aca="false">SUMPRODUCT(MMULT('Analysis Data'!N524:U524,'Final Model'!$B$59:$I$66),'Analysis Data'!N524:U524)</f>
        <v>0.00194862918316512</v>
      </c>
      <c r="C524" s="15" t="n">
        <f aca="false">'Residual Diagnostics'!F524</f>
        <v>-8.36493678328</v>
      </c>
      <c r="D524" s="13" t="n">
        <f aca="false">C524/('Final Model'!$B$21*SQRT(1-B524))</f>
        <v>-0.170767973328657</v>
      </c>
      <c r="E524" s="13" t="n">
        <f aca="false">D524*SQRT(('Final Model'!$B$24-1)/('Final Model'!$B$24-D524^2))</f>
        <v>-0.170707806126403</v>
      </c>
      <c r="F524" s="23" t="n">
        <f aca="false">D524^2/($P$3+1)*B524/(1-B524)</f>
        <v>7.11703609467441E-006</v>
      </c>
      <c r="G524" s="13" t="n">
        <f aca="false">($P$2-1)*(B524-1/$P$2)</f>
        <v>1.69957291940519</v>
      </c>
      <c r="H524" s="13" t="n">
        <f aca="false">E524*SQRT(B524/(1-B524))</f>
        <v>-0.00754295530623942</v>
      </c>
      <c r="I524" s="13" t="n">
        <f aca="false">ABS(D524)</f>
        <v>0.170767973328657</v>
      </c>
      <c r="J524" s="6" t="n">
        <f aca="false">IF(B524&gt;$P$4,1,0)</f>
        <v>0</v>
      </c>
      <c r="K524" s="6" t="n">
        <f aca="false">IF(F524&gt;$P$6,1,0)</f>
        <v>0</v>
      </c>
      <c r="L524" s="6" t="n">
        <f aca="false">IF(G524&gt;$P$9,1,0)</f>
        <v>0</v>
      </c>
      <c r="M524" s="6" t="n">
        <f aca="false">IF(ABS(H524)&gt;$P$8,1,0)</f>
        <v>0</v>
      </c>
    </row>
    <row r="525" customFormat="false" ht="15" hidden="false" customHeight="false" outlineLevel="0" collapsed="false">
      <c r="A525" s="0" t="n">
        <f aca="false">ROW()-1</f>
        <v>524</v>
      </c>
      <c r="B525" s="22" t="n">
        <f aca="false">SUMPRODUCT(MMULT('Analysis Data'!N525:U525,'Final Model'!$B$59:$I$66),'Analysis Data'!N525:U525)</f>
        <v>0.00349598211540633</v>
      </c>
      <c r="C525" s="15" t="n">
        <f aca="false">'Residual Diagnostics'!F525</f>
        <v>2.28326251042475</v>
      </c>
      <c r="D525" s="13" t="n">
        <f aca="false">C525/('Final Model'!$B$21*SQRT(1-B525))</f>
        <v>0.0466483758581273</v>
      </c>
      <c r="E525" s="13" t="n">
        <f aca="false">D525*SQRT(('Final Model'!$B$24-1)/('Final Model'!$B$24-D525^2))</f>
        <v>0.0466314834892845</v>
      </c>
      <c r="F525" s="23" t="n">
        <f aca="false">D525^2/($P$3+1)*B525/(1-B525)</f>
        <v>9.54274275008371E-007</v>
      </c>
      <c r="G525" s="13" t="n">
        <f aca="false">($P$2-1)*(B525-1/$P$2)</f>
        <v>3.84265673055927</v>
      </c>
      <c r="H525" s="13" t="n">
        <f aca="false">E525*SQRT(B525/(1-B525))</f>
        <v>0.00276200401756434</v>
      </c>
      <c r="I525" s="13" t="n">
        <f aca="false">ABS(D525)</f>
        <v>0.0466483758581273</v>
      </c>
      <c r="J525" s="6" t="n">
        <f aca="false">IF(B525&gt;$P$4,1,0)</f>
        <v>0</v>
      </c>
      <c r="K525" s="6" t="n">
        <f aca="false">IF(F525&gt;$P$6,1,0)</f>
        <v>0</v>
      </c>
      <c r="L525" s="6" t="n">
        <f aca="false">IF(G525&gt;$P$9,1,0)</f>
        <v>0</v>
      </c>
      <c r="M525" s="6" t="n">
        <f aca="false">IF(ABS(H525)&gt;$P$8,1,0)</f>
        <v>0</v>
      </c>
    </row>
    <row r="526" customFormat="false" ht="15" hidden="false" customHeight="false" outlineLevel="0" collapsed="false">
      <c r="A526" s="0" t="n">
        <f aca="false">ROW()-1</f>
        <v>525</v>
      </c>
      <c r="B526" s="22" t="n">
        <f aca="false">SUMPRODUCT(MMULT('Analysis Data'!N526:U526,'Final Model'!$B$59:$I$66),'Analysis Data'!N526:U526)</f>
        <v>0.00194862918316512</v>
      </c>
      <c r="C526" s="15" t="n">
        <f aca="false">'Residual Diagnostics'!F526</f>
        <v>-46.2914532595748</v>
      </c>
      <c r="D526" s="13" t="n">
        <f aca="false">C526/('Final Model'!$B$21*SQRT(1-B526))</f>
        <v>-0.945027782083986</v>
      </c>
      <c r="E526" s="13" t="n">
        <f aca="false">D526*SQRT(('Final Model'!$B$24-1)/('Final Model'!$B$24-D526^2))</f>
        <v>-0.944991094051857</v>
      </c>
      <c r="F526" s="23" t="n">
        <f aca="false">D526^2/($P$3+1)*B526/(1-B526)</f>
        <v>0.000217959334005431</v>
      </c>
      <c r="G526" s="13" t="n">
        <f aca="false">($P$2-1)*(B526-1/$P$2)</f>
        <v>1.69957291940519</v>
      </c>
      <c r="H526" s="13" t="n">
        <f aca="false">E526*SQRT(B526/(1-B526))</f>
        <v>-0.0417557096478026</v>
      </c>
      <c r="I526" s="13" t="n">
        <f aca="false">ABS(D526)</f>
        <v>0.945027782083986</v>
      </c>
      <c r="J526" s="6" t="n">
        <f aca="false">IF(B526&gt;$P$4,1,0)</f>
        <v>0</v>
      </c>
      <c r="K526" s="6" t="n">
        <f aca="false">IF(F526&gt;$P$6,1,0)</f>
        <v>0</v>
      </c>
      <c r="L526" s="6" t="n">
        <f aca="false">IF(G526&gt;$P$9,1,0)</f>
        <v>0</v>
      </c>
      <c r="M526" s="6" t="n">
        <f aca="false">IF(ABS(H526)&gt;$P$8,1,0)</f>
        <v>0</v>
      </c>
    </row>
    <row r="527" customFormat="false" ht="15" hidden="false" customHeight="false" outlineLevel="0" collapsed="false">
      <c r="A527" s="0" t="n">
        <f aca="false">ROW()-1</f>
        <v>526</v>
      </c>
      <c r="B527" s="22" t="n">
        <f aca="false">SUMPRODUCT(MMULT('Analysis Data'!N527:U527,'Final Model'!$B$59:$I$66),'Analysis Data'!N527:U527)</f>
        <v>0.00172363903612306</v>
      </c>
      <c r="C527" s="15" t="n">
        <f aca="false">'Residual Diagnostics'!F527</f>
        <v>-21.8727901008755</v>
      </c>
      <c r="D527" s="13" t="n">
        <f aca="false">C527/('Final Model'!$B$21*SQRT(1-B527))</f>
        <v>-0.446476906598889</v>
      </c>
      <c r="E527" s="13" t="n">
        <f aca="false">D527*SQRT(('Final Model'!$B$24-1)/('Final Model'!$B$24-D527^2))</f>
        <v>-0.446347160898927</v>
      </c>
      <c r="F527" s="23" t="n">
        <f aca="false">D527^2/($P$3+1)*B527/(1-B527)</f>
        <v>4.30232830804914E-005</v>
      </c>
      <c r="G527" s="13" t="n">
        <f aca="false">($P$2-1)*(B527-1/$P$2)</f>
        <v>1.38796156575193</v>
      </c>
      <c r="H527" s="13" t="n">
        <f aca="false">E527*SQRT(B527/(1-B527))</f>
        <v>-0.018546866403971</v>
      </c>
      <c r="I527" s="13" t="n">
        <f aca="false">ABS(D527)</f>
        <v>0.446476906598889</v>
      </c>
      <c r="J527" s="6" t="n">
        <f aca="false">IF(B527&gt;$P$4,1,0)</f>
        <v>0</v>
      </c>
      <c r="K527" s="6" t="n">
        <f aca="false">IF(F527&gt;$P$6,1,0)</f>
        <v>0</v>
      </c>
      <c r="L527" s="6" t="n">
        <f aca="false">IF(G527&gt;$P$9,1,0)</f>
        <v>0</v>
      </c>
      <c r="M527" s="6" t="n">
        <f aca="false">IF(ABS(H527)&gt;$P$8,1,0)</f>
        <v>0</v>
      </c>
    </row>
    <row r="528" customFormat="false" ht="15" hidden="false" customHeight="false" outlineLevel="0" collapsed="false">
      <c r="A528" s="0" t="n">
        <f aca="false">ROW()-1</f>
        <v>527</v>
      </c>
      <c r="B528" s="22" t="n">
        <f aca="false">SUMPRODUCT(MMULT('Analysis Data'!N528:U528,'Final Model'!$B$59:$I$66),'Analysis Data'!N528:U528)</f>
        <v>0.00241998923677409</v>
      </c>
      <c r="C528" s="15" t="n">
        <f aca="false">'Residual Diagnostics'!F528</f>
        <v>20.0844059948091</v>
      </c>
      <c r="D528" s="13" t="n">
        <f aca="false">C528/('Final Model'!$B$21*SQRT(1-B528))</f>
        <v>0.410114695470857</v>
      </c>
      <c r="E528" s="13" t="n">
        <f aca="false">D528*SQRT(('Final Model'!$B$24-1)/('Final Model'!$B$24-D528^2))</f>
        <v>0.409990882339633</v>
      </c>
      <c r="F528" s="23" t="n">
        <f aca="false">D528^2/($P$3+1)*B528/(1-B528)</f>
        <v>5.10019019558996E-005</v>
      </c>
      <c r="G528" s="13" t="n">
        <f aca="false">($P$2-1)*(B528-1/$P$2)</f>
        <v>2.35240659365361</v>
      </c>
      <c r="H528" s="13" t="n">
        <f aca="false">E528*SQRT(B528/(1-B528))</f>
        <v>0.0201932883462124</v>
      </c>
      <c r="I528" s="13" t="n">
        <f aca="false">ABS(D528)</f>
        <v>0.410114695470857</v>
      </c>
      <c r="J528" s="6" t="n">
        <f aca="false">IF(B528&gt;$P$4,1,0)</f>
        <v>0</v>
      </c>
      <c r="K528" s="6" t="n">
        <f aca="false">IF(F528&gt;$P$6,1,0)</f>
        <v>0</v>
      </c>
      <c r="L528" s="6" t="n">
        <f aca="false">IF(G528&gt;$P$9,1,0)</f>
        <v>0</v>
      </c>
      <c r="M528" s="6" t="n">
        <f aca="false">IF(ABS(H528)&gt;$P$8,1,0)</f>
        <v>0</v>
      </c>
    </row>
    <row r="529" customFormat="false" ht="15" hidden="false" customHeight="false" outlineLevel="0" collapsed="false">
      <c r="A529" s="0" t="n">
        <f aca="false">ROW()-1</f>
        <v>528</v>
      </c>
      <c r="B529" s="22" t="n">
        <f aca="false">SUMPRODUCT(MMULT('Analysis Data'!N529:U529,'Final Model'!$B$59:$I$66),'Analysis Data'!N529:U529)</f>
        <v>0.00241998923677409</v>
      </c>
      <c r="C529" s="15" t="n">
        <f aca="false">'Residual Diagnostics'!F529</f>
        <v>-37.1735785560007</v>
      </c>
      <c r="D529" s="13" t="n">
        <f aca="false">C529/('Final Model'!$B$21*SQRT(1-B529))</f>
        <v>-0.759068047767826</v>
      </c>
      <c r="E529" s="13" t="n">
        <f aca="false">D529*SQRT(('Final Model'!$B$24-1)/('Final Model'!$B$24-D529^2))</f>
        <v>-0.758951261016569</v>
      </c>
      <c r="F529" s="23" t="n">
        <f aca="false">D529^2/($P$3+1)*B529/(1-B529)</f>
        <v>0.000174717791069108</v>
      </c>
      <c r="G529" s="13" t="n">
        <f aca="false">($P$2-1)*(B529-1/$P$2)</f>
        <v>2.35240659365361</v>
      </c>
      <c r="H529" s="13" t="n">
        <f aca="false">E529*SQRT(B529/(1-B529))</f>
        <v>-0.0373806401912454</v>
      </c>
      <c r="I529" s="13" t="n">
        <f aca="false">ABS(D529)</f>
        <v>0.759068047767826</v>
      </c>
      <c r="J529" s="6" t="n">
        <f aca="false">IF(B529&gt;$P$4,1,0)</f>
        <v>0</v>
      </c>
      <c r="K529" s="6" t="n">
        <f aca="false">IF(F529&gt;$P$6,1,0)</f>
        <v>0</v>
      </c>
      <c r="L529" s="6" t="n">
        <f aca="false">IF(G529&gt;$P$9,1,0)</f>
        <v>0</v>
      </c>
      <c r="M529" s="6" t="n">
        <f aca="false">IF(ABS(H529)&gt;$P$8,1,0)</f>
        <v>0</v>
      </c>
    </row>
    <row r="530" customFormat="false" ht="15" hidden="false" customHeight="false" outlineLevel="0" collapsed="false">
      <c r="A530" s="0" t="n">
        <f aca="false">ROW()-1</f>
        <v>529</v>
      </c>
      <c r="B530" s="22" t="n">
        <f aca="false">SUMPRODUCT(MMULT('Analysis Data'!N530:U530,'Final Model'!$B$59:$I$66),'Analysis Data'!N530:U530)</f>
        <v>0.00360134113470913</v>
      </c>
      <c r="C530" s="15" t="n">
        <f aca="false">'Residual Diagnostics'!F530</f>
        <v>-69.2723376075126</v>
      </c>
      <c r="D530" s="13" t="n">
        <f aca="false">C530/('Final Model'!$B$21*SQRT(1-B530))</f>
        <v>-1.41534881253152</v>
      </c>
      <c r="E530" s="13" t="n">
        <f aca="false">D530*SQRT(('Final Model'!$B$24-1)/('Final Model'!$B$24-D530^2))</f>
        <v>-1.41586467004842</v>
      </c>
      <c r="F530" s="23" t="n">
        <f aca="false">D530^2/($P$3+1)*B530/(1-B530)</f>
        <v>0.000905040699998605</v>
      </c>
      <c r="G530" s="13" t="n">
        <f aca="false">($P$2-1)*(B530-1/$P$2)</f>
        <v>3.98857897229364</v>
      </c>
      <c r="H530" s="13" t="n">
        <f aca="false">E530*SQRT(B530/(1-B530))</f>
        <v>-0.0851211159426962</v>
      </c>
      <c r="I530" s="13" t="n">
        <f aca="false">ABS(D530)</f>
        <v>1.41534881253152</v>
      </c>
      <c r="J530" s="6" t="n">
        <f aca="false">IF(B530&gt;$P$4,1,0)</f>
        <v>0</v>
      </c>
      <c r="K530" s="6" t="n">
        <f aca="false">IF(F530&gt;$P$6,1,0)</f>
        <v>0</v>
      </c>
      <c r="L530" s="6" t="n">
        <f aca="false">IF(G530&gt;$P$9,1,0)</f>
        <v>0</v>
      </c>
      <c r="M530" s="6" t="n">
        <f aca="false">IF(ABS(H530)&gt;$P$8,1,0)</f>
        <v>0</v>
      </c>
    </row>
    <row r="531" customFormat="false" ht="15" hidden="false" customHeight="false" outlineLevel="0" collapsed="false">
      <c r="A531" s="0" t="n">
        <f aca="false">ROW()-1</f>
        <v>530</v>
      </c>
      <c r="B531" s="22" t="n">
        <f aca="false">SUMPRODUCT(MMULT('Analysis Data'!N531:U531,'Final Model'!$B$59:$I$66),'Analysis Data'!N531:U531)</f>
        <v>0.00349598211540633</v>
      </c>
      <c r="C531" s="15" t="n">
        <f aca="false">'Residual Diagnostics'!F531</f>
        <v>27.622101124976</v>
      </c>
      <c r="D531" s="13" t="n">
        <f aca="false">C531/('Final Model'!$B$21*SQRT(1-B531))</f>
        <v>0.564335528388008</v>
      </c>
      <c r="E531" s="13" t="n">
        <f aca="false">D531*SQRT(('Final Model'!$B$24-1)/('Final Model'!$B$24-D531^2))</f>
        <v>0.564195925521383</v>
      </c>
      <c r="F531" s="23" t="n">
        <f aca="false">D531^2/($P$3+1)*B531/(1-B531)</f>
        <v>0.000139660935377348</v>
      </c>
      <c r="G531" s="13" t="n">
        <f aca="false">($P$2-1)*(B531-1/$P$2)</f>
        <v>3.84265673055927</v>
      </c>
      <c r="H531" s="13" t="n">
        <f aca="false">E531*SQRT(B531/(1-B531))</f>
        <v>0.0334175817790909</v>
      </c>
      <c r="I531" s="13" t="n">
        <f aca="false">ABS(D531)</f>
        <v>0.564335528388008</v>
      </c>
      <c r="J531" s="6" t="n">
        <f aca="false">IF(B531&gt;$P$4,1,0)</f>
        <v>0</v>
      </c>
      <c r="K531" s="6" t="n">
        <f aca="false">IF(F531&gt;$P$6,1,0)</f>
        <v>0</v>
      </c>
      <c r="L531" s="6" t="n">
        <f aca="false">IF(G531&gt;$P$9,1,0)</f>
        <v>0</v>
      </c>
      <c r="M531" s="6" t="n">
        <f aca="false">IF(ABS(H531)&gt;$P$8,1,0)</f>
        <v>0</v>
      </c>
    </row>
    <row r="532" customFormat="false" ht="15" hidden="false" customHeight="false" outlineLevel="0" collapsed="false">
      <c r="A532" s="0" t="n">
        <f aca="false">ROW()-1</f>
        <v>531</v>
      </c>
      <c r="B532" s="22" t="n">
        <f aca="false">SUMPRODUCT(MMULT('Analysis Data'!N532:U532,'Final Model'!$B$59:$I$66),'Analysis Data'!N532:U532)</f>
        <v>0.00169798037158465</v>
      </c>
      <c r="C532" s="15" t="n">
        <f aca="false">'Residual Diagnostics'!F532</f>
        <v>-46.0917549554487</v>
      </c>
      <c r="D532" s="13" t="n">
        <f aca="false">C532/('Final Model'!$B$21*SQRT(1-B532))</f>
        <v>-0.940832861878371</v>
      </c>
      <c r="E532" s="13" t="n">
        <f aca="false">D532*SQRT(('Final Model'!$B$24-1)/('Final Model'!$B$24-D532^2))</f>
        <v>-0.940793634428109</v>
      </c>
      <c r="F532" s="23" t="n">
        <f aca="false">D532^2/($P$3+1)*B532/(1-B532)</f>
        <v>0.000188193961955981</v>
      </c>
      <c r="G532" s="13" t="n">
        <f aca="false">($P$2-1)*(B532-1/$P$2)</f>
        <v>1.35242431536625</v>
      </c>
      <c r="H532" s="13" t="n">
        <f aca="false">E532*SQRT(B532/(1-B532))</f>
        <v>-0.0387998215479456</v>
      </c>
      <c r="I532" s="13" t="n">
        <f aca="false">ABS(D532)</f>
        <v>0.940832861878371</v>
      </c>
      <c r="J532" s="6" t="n">
        <f aca="false">IF(B532&gt;$P$4,1,0)</f>
        <v>0</v>
      </c>
      <c r="K532" s="6" t="n">
        <f aca="false">IF(F532&gt;$P$6,1,0)</f>
        <v>0</v>
      </c>
      <c r="L532" s="6" t="n">
        <f aca="false">IF(G532&gt;$P$9,1,0)</f>
        <v>0</v>
      </c>
      <c r="M532" s="6" t="n">
        <f aca="false">IF(ABS(H532)&gt;$P$8,1,0)</f>
        <v>0</v>
      </c>
    </row>
    <row r="533" customFormat="false" ht="15" hidden="false" customHeight="false" outlineLevel="0" collapsed="false">
      <c r="A533" s="0" t="n">
        <f aca="false">ROW()-1</f>
        <v>532</v>
      </c>
      <c r="B533" s="22" t="n">
        <f aca="false">SUMPRODUCT(MMULT('Analysis Data'!N533:U533,'Final Model'!$B$59:$I$66),'Analysis Data'!N533:U533)</f>
        <v>0.00170779778462098</v>
      </c>
      <c r="C533" s="15" t="n">
        <f aca="false">'Residual Diagnostics'!F533</f>
        <v>31.6879371293506</v>
      </c>
      <c r="D533" s="13" t="n">
        <f aca="false">C533/('Final Model'!$B$21*SQRT(1-B533))</f>
        <v>0.6468228254438</v>
      </c>
      <c r="E533" s="13" t="n">
        <f aca="false">D533*SQRT(('Final Model'!$B$24-1)/('Final Model'!$B$24-D533^2))</f>
        <v>0.646686265492</v>
      </c>
      <c r="F533" s="23" t="n">
        <f aca="false">D533^2/($P$3+1)*B533/(1-B533)</f>
        <v>8.94662953525674E-005</v>
      </c>
      <c r="G533" s="13" t="n">
        <f aca="false">($P$2-1)*(B533-1/$P$2)</f>
        <v>1.36602143242155</v>
      </c>
      <c r="H533" s="13" t="n">
        <f aca="false">E533*SQRT(B533/(1-B533))</f>
        <v>0.0267474892040737</v>
      </c>
      <c r="I533" s="13" t="n">
        <f aca="false">ABS(D533)</f>
        <v>0.6468228254438</v>
      </c>
      <c r="J533" s="6" t="n">
        <f aca="false">IF(B533&gt;$P$4,1,0)</f>
        <v>0</v>
      </c>
      <c r="K533" s="6" t="n">
        <f aca="false">IF(F533&gt;$P$6,1,0)</f>
        <v>0</v>
      </c>
      <c r="L533" s="6" t="n">
        <f aca="false">IF(G533&gt;$P$9,1,0)</f>
        <v>0</v>
      </c>
      <c r="M533" s="6" t="n">
        <f aca="false">IF(ABS(H533)&gt;$P$8,1,0)</f>
        <v>0</v>
      </c>
    </row>
    <row r="534" customFormat="false" ht="15" hidden="false" customHeight="false" outlineLevel="0" collapsed="false">
      <c r="A534" s="0" t="n">
        <f aca="false">ROW()-1</f>
        <v>533</v>
      </c>
      <c r="B534" s="22" t="n">
        <f aca="false">SUMPRODUCT(MMULT('Analysis Data'!N534:U534,'Final Model'!$B$59:$I$66),'Analysis Data'!N534:U534)</f>
        <v>0.00170779778462098</v>
      </c>
      <c r="C534" s="15" t="n">
        <f aca="false">'Residual Diagnostics'!F534</f>
        <v>65.0640187138002</v>
      </c>
      <c r="D534" s="13" t="n">
        <f aca="false">C534/('Final Model'!$B$21*SQRT(1-B534))</f>
        <v>1.32810451647254</v>
      </c>
      <c r="E534" s="13" t="n">
        <f aca="false">D534*SQRT(('Final Model'!$B$24-1)/('Final Model'!$B$24-D534^2))</f>
        <v>1.32847303873809</v>
      </c>
      <c r="F534" s="23" t="n">
        <f aca="false">D534^2/($P$3+1)*B534/(1-B534)</f>
        <v>0.000377184022069431</v>
      </c>
      <c r="G534" s="13" t="n">
        <f aca="false">($P$2-1)*(B534-1/$P$2)</f>
        <v>1.36602143242155</v>
      </c>
      <c r="H534" s="13" t="n">
        <f aca="false">E534*SQRT(B534/(1-B534))</f>
        <v>0.0549467650043818</v>
      </c>
      <c r="I534" s="13" t="n">
        <f aca="false">ABS(D534)</f>
        <v>1.32810451647254</v>
      </c>
      <c r="J534" s="6" t="n">
        <f aca="false">IF(B534&gt;$P$4,1,0)</f>
        <v>0</v>
      </c>
      <c r="K534" s="6" t="n">
        <f aca="false">IF(F534&gt;$P$6,1,0)</f>
        <v>0</v>
      </c>
      <c r="L534" s="6" t="n">
        <f aca="false">IF(G534&gt;$P$9,1,0)</f>
        <v>0</v>
      </c>
      <c r="M534" s="6" t="n">
        <f aca="false">IF(ABS(H534)&gt;$P$8,1,0)</f>
        <v>0</v>
      </c>
    </row>
    <row r="535" customFormat="false" ht="15" hidden="false" customHeight="false" outlineLevel="0" collapsed="false">
      <c r="A535" s="0" t="n">
        <f aca="false">ROW()-1</f>
        <v>534</v>
      </c>
      <c r="B535" s="22" t="n">
        <f aca="false">SUMPRODUCT(MMULT('Analysis Data'!N535:U535,'Final Model'!$B$59:$I$66),'Analysis Data'!N535:U535)</f>
        <v>0.00349598211540633</v>
      </c>
      <c r="C535" s="15" t="n">
        <f aca="false">'Residual Diagnostics'!F535</f>
        <v>-6.25954354901836</v>
      </c>
      <c r="D535" s="13" t="n">
        <f aca="false">C535/('Final Model'!$B$21*SQRT(1-B535))</f>
        <v>-0.127886101068863</v>
      </c>
      <c r="E535" s="13" t="n">
        <f aca="false">D535*SQRT(('Final Model'!$B$24-1)/('Final Model'!$B$24-D535^2))</f>
        <v>-0.127840448495312</v>
      </c>
      <c r="F535" s="23" t="n">
        <f aca="false">D535^2/($P$3+1)*B535/(1-B535)</f>
        <v>7.17210856875662E-006</v>
      </c>
      <c r="G535" s="13" t="n">
        <f aca="false">($P$2-1)*(B535-1/$P$2)</f>
        <v>3.84265673055927</v>
      </c>
      <c r="H535" s="13" t="n">
        <f aca="false">E535*SQRT(B535/(1-B535))</f>
        <v>-0.00757204802271446</v>
      </c>
      <c r="I535" s="13" t="n">
        <f aca="false">ABS(D535)</f>
        <v>0.127886101068863</v>
      </c>
      <c r="J535" s="6" t="n">
        <f aca="false">IF(B535&gt;$P$4,1,0)</f>
        <v>0</v>
      </c>
      <c r="K535" s="6" t="n">
        <f aca="false">IF(F535&gt;$P$6,1,0)</f>
        <v>0</v>
      </c>
      <c r="L535" s="6" t="n">
        <f aca="false">IF(G535&gt;$P$9,1,0)</f>
        <v>0</v>
      </c>
      <c r="M535" s="6" t="n">
        <f aca="false">IF(ABS(H535)&gt;$P$8,1,0)</f>
        <v>0</v>
      </c>
    </row>
    <row r="536" customFormat="false" ht="15" hidden="false" customHeight="false" outlineLevel="0" collapsed="false">
      <c r="A536" s="0" t="n">
        <f aca="false">ROW()-1</f>
        <v>535</v>
      </c>
      <c r="B536" s="22" t="n">
        <f aca="false">SUMPRODUCT(MMULT('Analysis Data'!N536:U536,'Final Model'!$B$59:$I$66),'Analysis Data'!N536:U536)</f>
        <v>0.00479379139310168</v>
      </c>
      <c r="C536" s="15" t="n">
        <f aca="false">'Residual Diagnostics'!F536</f>
        <v>-69.1069339649636</v>
      </c>
      <c r="D536" s="13" t="n">
        <f aca="false">C536/('Final Model'!$B$21*SQRT(1-B536))</f>
        <v>-1.41281499509722</v>
      </c>
      <c r="E536" s="13" t="n">
        <f aca="false">D536*SQRT(('Final Model'!$B$24-1)/('Final Model'!$B$24-D536^2))</f>
        <v>-1.41332624887952</v>
      </c>
      <c r="F536" s="23" t="n">
        <f aca="false">D536^2/($P$3+1)*B536/(1-B536)</f>
        <v>0.00120184001325045</v>
      </c>
      <c r="G536" s="13" t="n">
        <f aca="false">($P$2-1)*(B536-1/$P$2)</f>
        <v>5.64012258016733</v>
      </c>
      <c r="H536" s="13" t="n">
        <f aca="false">E536*SQRT(B536/(1-B536))</f>
        <v>-0.0980901621013413</v>
      </c>
      <c r="I536" s="13" t="n">
        <f aca="false">ABS(D536)</f>
        <v>1.41281499509722</v>
      </c>
      <c r="J536" s="6" t="n">
        <f aca="false">IF(B536&gt;$P$4,1,0)</f>
        <v>0</v>
      </c>
      <c r="K536" s="6" t="n">
        <f aca="false">IF(F536&gt;$P$6,1,0)</f>
        <v>0</v>
      </c>
      <c r="L536" s="6" t="n">
        <f aca="false">IF(G536&gt;$P$9,1,0)</f>
        <v>0</v>
      </c>
      <c r="M536" s="6" t="n">
        <f aca="false">IF(ABS(H536)&gt;$P$8,1,0)</f>
        <v>0</v>
      </c>
    </row>
    <row r="537" customFormat="false" ht="15" hidden="false" customHeight="false" outlineLevel="0" collapsed="false">
      <c r="A537" s="0" t="n">
        <f aca="false">ROW()-1</f>
        <v>536</v>
      </c>
      <c r="B537" s="22" t="n">
        <f aca="false">SUMPRODUCT(MMULT('Analysis Data'!N537:U537,'Final Model'!$B$59:$I$66),'Analysis Data'!N537:U537)</f>
        <v>0.00349598211540633</v>
      </c>
      <c r="C537" s="15" t="n">
        <f aca="false">'Residual Diagnostics'!F537</f>
        <v>55.786053377349</v>
      </c>
      <c r="D537" s="13" t="n">
        <f aca="false">C537/('Final Model'!$B$21*SQRT(1-B537))</f>
        <v>1.13974138922117</v>
      </c>
      <c r="E537" s="13" t="n">
        <f aca="false">D537*SQRT(('Final Model'!$B$24-1)/('Final Model'!$B$24-D537^2))</f>
        <v>1.13986515468215</v>
      </c>
      <c r="F537" s="23" t="n">
        <f aca="false">D537^2/($P$3+1)*B537/(1-B537)</f>
        <v>0.000569656163516125</v>
      </c>
      <c r="G537" s="13" t="n">
        <f aca="false">($P$2-1)*(B537-1/$P$2)</f>
        <v>3.84265673055927</v>
      </c>
      <c r="H537" s="13" t="n">
        <f aca="false">E537*SQRT(B537/(1-B537))</f>
        <v>0.0675147325612567</v>
      </c>
      <c r="I537" s="13" t="n">
        <f aca="false">ABS(D537)</f>
        <v>1.13974138922117</v>
      </c>
      <c r="J537" s="6" t="n">
        <f aca="false">IF(B537&gt;$P$4,1,0)</f>
        <v>0</v>
      </c>
      <c r="K537" s="6" t="n">
        <f aca="false">IF(F537&gt;$P$6,1,0)</f>
        <v>0</v>
      </c>
      <c r="L537" s="6" t="n">
        <f aca="false">IF(G537&gt;$P$9,1,0)</f>
        <v>0</v>
      </c>
      <c r="M537" s="6" t="n">
        <f aca="false">IF(ABS(H537)&gt;$P$8,1,0)</f>
        <v>0</v>
      </c>
    </row>
    <row r="538" customFormat="false" ht="15" hidden="false" customHeight="false" outlineLevel="0" collapsed="false">
      <c r="A538" s="0" t="n">
        <f aca="false">ROW()-1</f>
        <v>537</v>
      </c>
      <c r="B538" s="22" t="n">
        <f aca="false">SUMPRODUCT(MMULT('Analysis Data'!N538:U538,'Final Model'!$B$59:$I$66),'Analysis Data'!N538:U538)</f>
        <v>0.00349598211540633</v>
      </c>
      <c r="C538" s="15" t="n">
        <f aca="false">'Residual Diagnostics'!F538</f>
        <v>-52.0769205265505</v>
      </c>
      <c r="D538" s="13" t="n">
        <f aca="false">C538/('Final Model'!$B$21*SQRT(1-B538))</f>
        <v>-1.06396165625495</v>
      </c>
      <c r="E538" s="13" t="n">
        <f aca="false">D538*SQRT(('Final Model'!$B$24-1)/('Final Model'!$B$24-D538^2))</f>
        <v>-1.06401266147145</v>
      </c>
      <c r="F538" s="23" t="n">
        <f aca="false">D538^2/($P$3+1)*B538/(1-B538)</f>
        <v>0.000496423251520377</v>
      </c>
      <c r="G538" s="13" t="n">
        <f aca="false">($P$2-1)*(B538-1/$P$2)</f>
        <v>3.84265673055927</v>
      </c>
      <c r="H538" s="13" t="n">
        <f aca="false">E538*SQRT(B538/(1-B538))</f>
        <v>-0.0630219548215487</v>
      </c>
      <c r="I538" s="13" t="n">
        <f aca="false">ABS(D538)</f>
        <v>1.06396165625495</v>
      </c>
      <c r="J538" s="6" t="n">
        <f aca="false">IF(B538&gt;$P$4,1,0)</f>
        <v>0</v>
      </c>
      <c r="K538" s="6" t="n">
        <f aca="false">IF(F538&gt;$P$6,1,0)</f>
        <v>0</v>
      </c>
      <c r="L538" s="6" t="n">
        <f aca="false">IF(G538&gt;$P$9,1,0)</f>
        <v>0</v>
      </c>
      <c r="M538" s="6" t="n">
        <f aca="false">IF(ABS(H538)&gt;$P$8,1,0)</f>
        <v>0</v>
      </c>
    </row>
    <row r="539" customFormat="false" ht="15" hidden="false" customHeight="false" outlineLevel="0" collapsed="false">
      <c r="A539" s="0" t="n">
        <f aca="false">ROW()-1</f>
        <v>538</v>
      </c>
      <c r="B539" s="22" t="n">
        <f aca="false">SUMPRODUCT(MMULT('Analysis Data'!N539:U539,'Final Model'!$B$59:$I$66),'Analysis Data'!N539:U539)</f>
        <v>0.00206423679736866</v>
      </c>
      <c r="C539" s="15" t="n">
        <f aca="false">'Residual Diagnostics'!F539</f>
        <v>-7.19635827856754</v>
      </c>
      <c r="D539" s="13" t="n">
        <f aca="false">C539/('Final Model'!$B$21*SQRT(1-B539))</f>
        <v>-0.146920261423083</v>
      </c>
      <c r="E539" s="13" t="n">
        <f aca="false">D539*SQRT(('Final Model'!$B$24-1)/('Final Model'!$B$24-D539^2))</f>
        <v>-0.146868092815391</v>
      </c>
      <c r="F539" s="23" t="n">
        <f aca="false">D539^2/($P$3+1)*B539/(1-B539)</f>
        <v>5.58123522659064E-006</v>
      </c>
      <c r="G539" s="13" t="n">
        <f aca="false">($P$2-1)*(B539-1/$P$2)</f>
        <v>1.85968946507709</v>
      </c>
      <c r="H539" s="13" t="n">
        <f aca="false">E539*SQRT(B539/(1-B539))</f>
        <v>-0.0066796840332616</v>
      </c>
      <c r="I539" s="13" t="n">
        <f aca="false">ABS(D539)</f>
        <v>0.146920261423083</v>
      </c>
      <c r="J539" s="6" t="n">
        <f aca="false">IF(B539&gt;$P$4,1,0)</f>
        <v>0</v>
      </c>
      <c r="K539" s="6" t="n">
        <f aca="false">IF(F539&gt;$P$6,1,0)</f>
        <v>0</v>
      </c>
      <c r="L539" s="6" t="n">
        <f aca="false">IF(G539&gt;$P$9,1,0)</f>
        <v>0</v>
      </c>
      <c r="M539" s="6" t="n">
        <f aca="false">IF(ABS(H539)&gt;$P$8,1,0)</f>
        <v>0</v>
      </c>
    </row>
    <row r="540" customFormat="false" ht="15" hidden="false" customHeight="false" outlineLevel="0" collapsed="false">
      <c r="A540" s="0" t="n">
        <f aca="false">ROW()-1</f>
        <v>539</v>
      </c>
      <c r="B540" s="22" t="n">
        <f aca="false">SUMPRODUCT(MMULT('Analysis Data'!N540:U540,'Final Model'!$B$59:$I$66),'Analysis Data'!N540:U540)</f>
        <v>0.00168317198986371</v>
      </c>
      <c r="C540" s="15" t="n">
        <f aca="false">'Residual Diagnostics'!F540</f>
        <v>-83.5305118473925</v>
      </c>
      <c r="D540" s="13" t="n">
        <f aca="false">C540/('Final Model'!$B$21*SQRT(1-B540))</f>
        <v>-1.70502658720375</v>
      </c>
      <c r="E540" s="13" t="n">
        <f aca="false">D540*SQRT(('Final Model'!$B$24-1)/('Final Model'!$B$24-D540^2))</f>
        <v>-1.70620852781635</v>
      </c>
      <c r="F540" s="23" t="n">
        <f aca="false">D540^2/($P$3+1)*B540/(1-B540)</f>
        <v>0.000612678199706586</v>
      </c>
      <c r="G540" s="13" t="n">
        <f aca="false">($P$2-1)*(B540-1/$P$2)</f>
        <v>1.33191470668274</v>
      </c>
      <c r="H540" s="13" t="n">
        <f aca="false">E540*SQRT(B540/(1-B540))</f>
        <v>-0.0700587138225354</v>
      </c>
      <c r="I540" s="13" t="n">
        <f aca="false">ABS(D540)</f>
        <v>1.70502658720375</v>
      </c>
      <c r="J540" s="6" t="n">
        <f aca="false">IF(B540&gt;$P$4,1,0)</f>
        <v>0</v>
      </c>
      <c r="K540" s="6" t="n">
        <f aca="false">IF(F540&gt;$P$6,1,0)</f>
        <v>0</v>
      </c>
      <c r="L540" s="6" t="n">
        <f aca="false">IF(G540&gt;$P$9,1,0)</f>
        <v>0</v>
      </c>
      <c r="M540" s="6" t="n">
        <f aca="false">IF(ABS(H540)&gt;$P$8,1,0)</f>
        <v>0</v>
      </c>
    </row>
    <row r="541" customFormat="false" ht="15" hidden="false" customHeight="false" outlineLevel="0" collapsed="false">
      <c r="A541" s="0" t="n">
        <f aca="false">ROW()-1</f>
        <v>540</v>
      </c>
      <c r="B541" s="22" t="n">
        <f aca="false">SUMPRODUCT(MMULT('Analysis Data'!N541:U541,'Final Model'!$B$59:$I$66),'Analysis Data'!N541:U541)</f>
        <v>0.00349598211540633</v>
      </c>
      <c r="C541" s="15" t="n">
        <f aca="false">'Residual Diagnostics'!F541</f>
        <v>-5.13101491023264</v>
      </c>
      <c r="D541" s="13" t="n">
        <f aca="false">C541/('Final Model'!$B$21*SQRT(1-B541))</f>
        <v>-0.104829607184178</v>
      </c>
      <c r="E541" s="13" t="n">
        <f aca="false">D541*SQRT(('Final Model'!$B$24-1)/('Final Model'!$B$24-D541^2))</f>
        <v>-0.104791981260627</v>
      </c>
      <c r="F541" s="23" t="n">
        <f aca="false">D541^2/($P$3+1)*B541/(1-B541)</f>
        <v>4.81912374216244E-006</v>
      </c>
      <c r="G541" s="13" t="n">
        <f aca="false">($P$2-1)*(B541-1/$P$2)</f>
        <v>3.84265673055927</v>
      </c>
      <c r="H541" s="13" t="n">
        <f aca="false">E541*SQRT(B541/(1-B541))</f>
        <v>-0.00620687680495706</v>
      </c>
      <c r="I541" s="13" t="n">
        <f aca="false">ABS(D541)</f>
        <v>0.104829607184178</v>
      </c>
      <c r="J541" s="6" t="n">
        <f aca="false">IF(B541&gt;$P$4,1,0)</f>
        <v>0</v>
      </c>
      <c r="K541" s="6" t="n">
        <f aca="false">IF(F541&gt;$P$6,1,0)</f>
        <v>0</v>
      </c>
      <c r="L541" s="6" t="n">
        <f aca="false">IF(G541&gt;$P$9,1,0)</f>
        <v>0</v>
      </c>
      <c r="M541" s="6" t="n">
        <f aca="false">IF(ABS(H541)&gt;$P$8,1,0)</f>
        <v>0</v>
      </c>
    </row>
    <row r="542" customFormat="false" ht="15" hidden="false" customHeight="false" outlineLevel="0" collapsed="false">
      <c r="A542" s="0" t="n">
        <f aca="false">ROW()-1</f>
        <v>541</v>
      </c>
      <c r="B542" s="22" t="n">
        <f aca="false">SUMPRODUCT(MMULT('Analysis Data'!N542:U542,'Final Model'!$B$59:$I$66),'Analysis Data'!N542:U542)</f>
        <v>0.00194862918316512</v>
      </c>
      <c r="C542" s="15" t="n">
        <f aca="false">'Residual Diagnostics'!F542</f>
        <v>-63.4973991598824</v>
      </c>
      <c r="D542" s="13" t="n">
        <f aca="false">C542/('Final Model'!$B$21*SQRT(1-B542))</f>
        <v>-1.29628261959466</v>
      </c>
      <c r="E542" s="13" t="n">
        <f aca="false">D542*SQRT(('Final Model'!$B$24-1)/('Final Model'!$B$24-D542^2))</f>
        <v>-1.29660297218899</v>
      </c>
      <c r="F542" s="23" t="n">
        <f aca="false">D542^2/($P$3+1)*B542/(1-B542)</f>
        <v>0.000410096172625247</v>
      </c>
      <c r="G542" s="13" t="n">
        <f aca="false">($P$2-1)*(B542-1/$P$2)</f>
        <v>1.69957291940519</v>
      </c>
      <c r="H542" s="13" t="n">
        <f aca="false">E542*SQRT(B542/(1-B542))</f>
        <v>-0.0572921560594414</v>
      </c>
      <c r="I542" s="13" t="n">
        <f aca="false">ABS(D542)</f>
        <v>1.29628261959466</v>
      </c>
      <c r="J542" s="6" t="n">
        <f aca="false">IF(B542&gt;$P$4,1,0)</f>
        <v>0</v>
      </c>
      <c r="K542" s="6" t="n">
        <f aca="false">IF(F542&gt;$P$6,1,0)</f>
        <v>0</v>
      </c>
      <c r="L542" s="6" t="n">
        <f aca="false">IF(G542&gt;$P$9,1,0)</f>
        <v>0</v>
      </c>
      <c r="M542" s="6" t="n">
        <f aca="false">IF(ABS(H542)&gt;$P$8,1,0)</f>
        <v>0</v>
      </c>
    </row>
    <row r="543" customFormat="false" ht="15" hidden="false" customHeight="false" outlineLevel="0" collapsed="false">
      <c r="A543" s="0" t="n">
        <f aca="false">ROW()-1</f>
        <v>542</v>
      </c>
      <c r="B543" s="22" t="n">
        <f aca="false">SUMPRODUCT(MMULT('Analysis Data'!N543:U543,'Final Model'!$B$59:$I$66),'Analysis Data'!N543:U543)</f>
        <v>0.00174146366347137</v>
      </c>
      <c r="C543" s="15" t="n">
        <f aca="false">'Residual Diagnostics'!F543</f>
        <v>-34.8009189952591</v>
      </c>
      <c r="D543" s="13" t="n">
        <f aca="false">C543/('Final Model'!$B$21*SQRT(1-B543))</f>
        <v>-0.710377839631082</v>
      </c>
      <c r="E543" s="13" t="n">
        <f aca="false">D543*SQRT(('Final Model'!$B$24-1)/('Final Model'!$B$24-D543^2))</f>
        <v>-0.710250098086511</v>
      </c>
      <c r="F543" s="23" t="n">
        <f aca="false">D543^2/($P$3+1)*B543/(1-B543)</f>
        <v>0.000110042439013393</v>
      </c>
      <c r="G543" s="13" t="n">
        <f aca="false">($P$2-1)*(B543-1/$P$2)</f>
        <v>1.41264867462934</v>
      </c>
      <c r="H543" s="13" t="n">
        <f aca="false">E543*SQRT(B543/(1-B543))</f>
        <v>-0.029665180461243</v>
      </c>
      <c r="I543" s="13" t="n">
        <f aca="false">ABS(D543)</f>
        <v>0.710377839631082</v>
      </c>
      <c r="J543" s="6" t="n">
        <f aca="false">IF(B543&gt;$P$4,1,0)</f>
        <v>0</v>
      </c>
      <c r="K543" s="6" t="n">
        <f aca="false">IF(F543&gt;$P$6,1,0)</f>
        <v>0</v>
      </c>
      <c r="L543" s="6" t="n">
        <f aca="false">IF(G543&gt;$P$9,1,0)</f>
        <v>0</v>
      </c>
      <c r="M543" s="6" t="n">
        <f aca="false">IF(ABS(H543)&gt;$P$8,1,0)</f>
        <v>0</v>
      </c>
    </row>
    <row r="544" customFormat="false" ht="15" hidden="false" customHeight="false" outlineLevel="0" collapsed="false">
      <c r="A544" s="0" t="n">
        <f aca="false">ROW()-1</f>
        <v>543</v>
      </c>
      <c r="B544" s="22" t="n">
        <f aca="false">SUMPRODUCT(MMULT('Analysis Data'!N544:U544,'Final Model'!$B$59:$I$66),'Analysis Data'!N544:U544)</f>
        <v>0.00272413740840879</v>
      </c>
      <c r="C544" s="15" t="n">
        <f aca="false">'Residual Diagnostics'!F544</f>
        <v>6.4533959865025</v>
      </c>
      <c r="D544" s="13" t="n">
        <f aca="false">C544/('Final Model'!$B$21*SQRT(1-B544))</f>
        <v>0.131795587248872</v>
      </c>
      <c r="E544" s="13" t="n">
        <f aca="false">D544*SQRT(('Final Model'!$B$24-1)/('Final Model'!$B$24-D544^2))</f>
        <v>0.131748587605804</v>
      </c>
      <c r="F544" s="23" t="n">
        <f aca="false">D544^2/($P$3+1)*B544/(1-B544)</f>
        <v>5.93096627304205E-006</v>
      </c>
      <c r="G544" s="13" t="n">
        <f aca="false">($P$2-1)*(B544-1/$P$2)</f>
        <v>2.77365181136768</v>
      </c>
      <c r="H544" s="13" t="n">
        <f aca="false">E544*SQRT(B544/(1-B544))</f>
        <v>0.00688577486814056</v>
      </c>
      <c r="I544" s="13" t="n">
        <f aca="false">ABS(D544)</f>
        <v>0.131795587248872</v>
      </c>
      <c r="J544" s="6" t="n">
        <f aca="false">IF(B544&gt;$P$4,1,0)</f>
        <v>0</v>
      </c>
      <c r="K544" s="6" t="n">
        <f aca="false">IF(F544&gt;$P$6,1,0)</f>
        <v>0</v>
      </c>
      <c r="L544" s="6" t="n">
        <f aca="false">IF(G544&gt;$P$9,1,0)</f>
        <v>0</v>
      </c>
      <c r="M544" s="6" t="n">
        <f aca="false">IF(ABS(H544)&gt;$P$8,1,0)</f>
        <v>0</v>
      </c>
    </row>
    <row r="545" customFormat="false" ht="15" hidden="false" customHeight="false" outlineLevel="0" collapsed="false">
      <c r="A545" s="0" t="n">
        <f aca="false">ROW()-1</f>
        <v>544</v>
      </c>
      <c r="B545" s="22" t="n">
        <f aca="false">SUMPRODUCT(MMULT('Analysis Data'!N545:U545,'Final Model'!$B$59:$I$66),'Analysis Data'!N545:U545)</f>
        <v>0.00170779778462098</v>
      </c>
      <c r="C545" s="15" t="n">
        <f aca="false">'Residual Diagnostics'!F545</f>
        <v>-36.7989850359413</v>
      </c>
      <c r="D545" s="13" t="n">
        <f aca="false">C545/('Final Model'!$B$21*SQRT(1-B545))</f>
        <v>-0.751150930944159</v>
      </c>
      <c r="E545" s="13" t="n">
        <f aca="false">D545*SQRT(('Final Model'!$B$24-1)/('Final Model'!$B$24-D545^2))</f>
        <v>-0.751032102664584</v>
      </c>
      <c r="F545" s="23" t="n">
        <f aca="false">D545^2/($P$3+1)*B545/(1-B545)</f>
        <v>0.000120654409839462</v>
      </c>
      <c r="G545" s="13" t="n">
        <f aca="false">($P$2-1)*(B545-1/$P$2)</f>
        <v>1.36602143242155</v>
      </c>
      <c r="H545" s="13" t="n">
        <f aca="false">E545*SQRT(B545/(1-B545))</f>
        <v>-0.0310633210103056</v>
      </c>
      <c r="I545" s="13" t="n">
        <f aca="false">ABS(D545)</f>
        <v>0.751150930944159</v>
      </c>
      <c r="J545" s="6" t="n">
        <f aca="false">IF(B545&gt;$P$4,1,0)</f>
        <v>0</v>
      </c>
      <c r="K545" s="6" t="n">
        <f aca="false">IF(F545&gt;$P$6,1,0)</f>
        <v>0</v>
      </c>
      <c r="L545" s="6" t="n">
        <f aca="false">IF(G545&gt;$P$9,1,0)</f>
        <v>0</v>
      </c>
      <c r="M545" s="6" t="n">
        <f aca="false">IF(ABS(H545)&gt;$P$8,1,0)</f>
        <v>0</v>
      </c>
    </row>
    <row r="546" customFormat="false" ht="15" hidden="false" customHeight="false" outlineLevel="0" collapsed="false">
      <c r="A546" s="0" t="n">
        <f aca="false">ROW()-1</f>
        <v>545</v>
      </c>
      <c r="B546" s="22" t="n">
        <f aca="false">SUMPRODUCT(MMULT('Analysis Data'!N546:U546,'Final Model'!$B$59:$I$66),'Analysis Data'!N546:U546)</f>
        <v>0.00349598211540633</v>
      </c>
      <c r="C546" s="15" t="n">
        <f aca="false">'Residual Diagnostics'!F546</f>
        <v>-104.235627663173</v>
      </c>
      <c r="D546" s="13" t="n">
        <f aca="false">C546/('Final Model'!$B$21*SQRT(1-B546))</f>
        <v>-2.12959426033538</v>
      </c>
      <c r="E546" s="13" t="n">
        <f aca="false">D546*SQRT(('Final Model'!$B$24-1)/('Final Model'!$B$24-D546^2))</f>
        <v>-2.13233318857591</v>
      </c>
      <c r="F546" s="23" t="n">
        <f aca="false">D546^2/($P$3+1)*B546/(1-B546)</f>
        <v>0.00198881275397241</v>
      </c>
      <c r="G546" s="13" t="n">
        <f aca="false">($P$2-1)*(B546-1/$P$2)</f>
        <v>3.84265673055927</v>
      </c>
      <c r="H546" s="13" t="n">
        <f aca="false">E546*SQRT(B546/(1-B546))</f>
        <v>-0.126299066487683</v>
      </c>
      <c r="I546" s="13" t="n">
        <f aca="false">ABS(D546)</f>
        <v>2.12959426033538</v>
      </c>
      <c r="J546" s="6" t="n">
        <f aca="false">IF(B546&gt;$P$4,1,0)</f>
        <v>0</v>
      </c>
      <c r="K546" s="6" t="n">
        <f aca="false">IF(F546&gt;$P$6,1,0)</f>
        <v>0</v>
      </c>
      <c r="L546" s="6" t="n">
        <f aca="false">IF(G546&gt;$P$9,1,0)</f>
        <v>0</v>
      </c>
      <c r="M546" s="6" t="n">
        <f aca="false">IF(ABS(H546)&gt;$P$8,1,0)</f>
        <v>0</v>
      </c>
    </row>
    <row r="547" customFormat="false" ht="15" hidden="false" customHeight="false" outlineLevel="0" collapsed="false">
      <c r="A547" s="0" t="n">
        <f aca="false">ROW()-1</f>
        <v>546</v>
      </c>
      <c r="B547" s="22" t="n">
        <f aca="false">SUMPRODUCT(MMULT('Analysis Data'!N547:U547,'Final Model'!$B$59:$I$66),'Analysis Data'!N547:U547)</f>
        <v>0.00349598211540633</v>
      </c>
      <c r="C547" s="15" t="n">
        <f aca="false">'Residual Diagnostics'!F547</f>
        <v>-25.2917499187681</v>
      </c>
      <c r="D547" s="13" t="n">
        <f aca="false">C547/('Final Model'!$B$21*SQRT(1-B547))</f>
        <v>-0.51672510319498</v>
      </c>
      <c r="E547" s="13" t="n">
        <f aca="false">D547*SQRT(('Final Model'!$B$24-1)/('Final Model'!$B$24-D547^2))</f>
        <v>-0.516587628301102</v>
      </c>
      <c r="F547" s="23" t="n">
        <f aca="false">D547^2/($P$3+1)*B547/(1-B547)</f>
        <v>0.000117089858846109</v>
      </c>
      <c r="G547" s="13" t="n">
        <f aca="false">($P$2-1)*(B547-1/$P$2)</f>
        <v>3.84265673055927</v>
      </c>
      <c r="H547" s="13" t="n">
        <f aca="false">E547*SQRT(B547/(1-B547))</f>
        <v>-0.0305977206390946</v>
      </c>
      <c r="I547" s="13" t="n">
        <f aca="false">ABS(D547)</f>
        <v>0.51672510319498</v>
      </c>
      <c r="J547" s="6" t="n">
        <f aca="false">IF(B547&gt;$P$4,1,0)</f>
        <v>0</v>
      </c>
      <c r="K547" s="6" t="n">
        <f aca="false">IF(F547&gt;$P$6,1,0)</f>
        <v>0</v>
      </c>
      <c r="L547" s="6" t="n">
        <f aca="false">IF(G547&gt;$P$9,1,0)</f>
        <v>0</v>
      </c>
      <c r="M547" s="6" t="n">
        <f aca="false">IF(ABS(H547)&gt;$P$8,1,0)</f>
        <v>0</v>
      </c>
    </row>
    <row r="548" customFormat="false" ht="15" hidden="false" customHeight="false" outlineLevel="0" collapsed="false">
      <c r="A548" s="0" t="n">
        <f aca="false">ROW()-1</f>
        <v>547</v>
      </c>
      <c r="B548" s="22" t="n">
        <f aca="false">SUMPRODUCT(MMULT('Analysis Data'!N548:U548,'Final Model'!$B$59:$I$66),'Analysis Data'!N548:U548)</f>
        <v>0.00194862918316512</v>
      </c>
      <c r="C548" s="15" t="n">
        <f aca="false">'Residual Diagnostics'!F548</f>
        <v>40.5238510558108</v>
      </c>
      <c r="D548" s="13" t="n">
        <f aca="false">C548/('Final Model'!$B$21*SQRT(1-B548))</f>
        <v>0.827283707643237</v>
      </c>
      <c r="E548" s="13" t="n">
        <f aca="false">D548*SQRT(('Final Model'!$B$24-1)/('Final Model'!$B$24-D548^2))</f>
        <v>0.827188919246337</v>
      </c>
      <c r="F548" s="23" t="n">
        <f aca="false">D548^2/($P$3+1)*B548/(1-B548)</f>
        <v>0.000167030300675962</v>
      </c>
      <c r="G548" s="13" t="n">
        <f aca="false">($P$2-1)*(B548-1/$P$2)</f>
        <v>1.69957291940519</v>
      </c>
      <c r="H548" s="13" t="n">
        <f aca="false">E548*SQRT(B548/(1-B548))</f>
        <v>0.0365504612195152</v>
      </c>
      <c r="I548" s="13" t="n">
        <f aca="false">ABS(D548)</f>
        <v>0.827283707643237</v>
      </c>
      <c r="J548" s="6" t="n">
        <f aca="false">IF(B548&gt;$P$4,1,0)</f>
        <v>0</v>
      </c>
      <c r="K548" s="6" t="n">
        <f aca="false">IF(F548&gt;$P$6,1,0)</f>
        <v>0</v>
      </c>
      <c r="L548" s="6" t="n">
        <f aca="false">IF(G548&gt;$P$9,1,0)</f>
        <v>0</v>
      </c>
      <c r="M548" s="6" t="n">
        <f aca="false">IF(ABS(H548)&gt;$P$8,1,0)</f>
        <v>0</v>
      </c>
    </row>
    <row r="549" customFormat="false" ht="15" hidden="false" customHeight="false" outlineLevel="0" collapsed="false">
      <c r="A549" s="0" t="n">
        <f aca="false">ROW()-1</f>
        <v>548</v>
      </c>
      <c r="B549" s="22" t="n">
        <f aca="false">SUMPRODUCT(MMULT('Analysis Data'!N549:U549,'Final Model'!$B$59:$I$66),'Analysis Data'!N549:U549)</f>
        <v>0.00349598211540633</v>
      </c>
      <c r="C549" s="15" t="n">
        <f aca="false">'Residual Diagnostics'!F549</f>
        <v>40.9270941268188</v>
      </c>
      <c r="D549" s="13" t="n">
        <f aca="false">C549/('Final Model'!$B$21*SQRT(1-B549))</f>
        <v>0.836164243442002</v>
      </c>
      <c r="E549" s="13" t="n">
        <f aca="false">D549*SQRT(('Final Model'!$B$24-1)/('Final Model'!$B$24-D549^2))</f>
        <v>0.836072921167257</v>
      </c>
      <c r="F549" s="23" t="n">
        <f aca="false">D549^2/($P$3+1)*B549/(1-B549)</f>
        <v>0.000306607903257153</v>
      </c>
      <c r="G549" s="13" t="n">
        <f aca="false">($P$2-1)*(B549-1/$P$2)</f>
        <v>3.84265673055927</v>
      </c>
      <c r="H549" s="13" t="n">
        <f aca="false">E549*SQRT(B549/(1-B549))</f>
        <v>0.0495209801286155</v>
      </c>
      <c r="I549" s="13" t="n">
        <f aca="false">ABS(D549)</f>
        <v>0.836164243442002</v>
      </c>
      <c r="J549" s="6" t="n">
        <f aca="false">IF(B549&gt;$P$4,1,0)</f>
        <v>0</v>
      </c>
      <c r="K549" s="6" t="n">
        <f aca="false">IF(F549&gt;$P$6,1,0)</f>
        <v>0</v>
      </c>
      <c r="L549" s="6" t="n">
        <f aca="false">IF(G549&gt;$P$9,1,0)</f>
        <v>0</v>
      </c>
      <c r="M549" s="6" t="n">
        <f aca="false">IF(ABS(H549)&gt;$P$8,1,0)</f>
        <v>0</v>
      </c>
    </row>
    <row r="550" customFormat="false" ht="15" hidden="false" customHeight="false" outlineLevel="0" collapsed="false">
      <c r="A550" s="0" t="n">
        <f aca="false">ROW()-1</f>
        <v>549</v>
      </c>
      <c r="B550" s="22" t="n">
        <f aca="false">SUMPRODUCT(MMULT('Analysis Data'!N550:U550,'Final Model'!$B$59:$I$66),'Analysis Data'!N550:U550)</f>
        <v>0.00183219689709334</v>
      </c>
      <c r="C550" s="15" t="n">
        <f aca="false">'Residual Diagnostics'!F550</f>
        <v>-24.42846249826</v>
      </c>
      <c r="D550" s="13" t="n">
        <f aca="false">C550/('Final Model'!$B$21*SQRT(1-B550))</f>
        <v>-0.498671518166827</v>
      </c>
      <c r="E550" s="13" t="n">
        <f aca="false">D550*SQRT(('Final Model'!$B$24-1)/('Final Model'!$B$24-D550^2))</f>
        <v>-0.498535529792096</v>
      </c>
      <c r="F550" s="23" t="n">
        <f aca="false">D550^2/($P$3+1)*B550/(1-B550)</f>
        <v>5.70568415629522E-005</v>
      </c>
      <c r="G550" s="13" t="n">
        <f aca="false">($P$2-1)*(B550-1/$P$2)</f>
        <v>1.53831420319578</v>
      </c>
      <c r="H550" s="13" t="n">
        <f aca="false">E550*SQRT(B550/(1-B550))</f>
        <v>-0.0213589750419846</v>
      </c>
      <c r="I550" s="13" t="n">
        <f aca="false">ABS(D550)</f>
        <v>0.498671518166827</v>
      </c>
      <c r="J550" s="6" t="n">
        <f aca="false">IF(B550&gt;$P$4,1,0)</f>
        <v>0</v>
      </c>
      <c r="K550" s="6" t="n">
        <f aca="false">IF(F550&gt;$P$6,1,0)</f>
        <v>0</v>
      </c>
      <c r="L550" s="6" t="n">
        <f aca="false">IF(G550&gt;$P$9,1,0)</f>
        <v>0</v>
      </c>
      <c r="M550" s="6" t="n">
        <f aca="false">IF(ABS(H550)&gt;$P$8,1,0)</f>
        <v>0</v>
      </c>
    </row>
    <row r="551" customFormat="false" ht="15" hidden="false" customHeight="false" outlineLevel="0" collapsed="false">
      <c r="A551" s="0" t="n">
        <f aca="false">ROW()-1</f>
        <v>550</v>
      </c>
      <c r="B551" s="22" t="n">
        <f aca="false">SUMPRODUCT(MMULT('Analysis Data'!N551:U551,'Final Model'!$B$59:$I$66),'Analysis Data'!N551:U551)</f>
        <v>0.00241998923677409</v>
      </c>
      <c r="C551" s="15" t="n">
        <f aca="false">'Residual Diagnostics'!F551</f>
        <v>11.1212198114654</v>
      </c>
      <c r="D551" s="13" t="n">
        <f aca="false">C551/('Final Model'!$B$21*SQRT(1-B551))</f>
        <v>0.22709039428014</v>
      </c>
      <c r="E551" s="13" t="n">
        <f aca="false">D551*SQRT(('Final Model'!$B$24-1)/('Final Model'!$B$24-D551^2))</f>
        <v>0.227012228653276</v>
      </c>
      <c r="F551" s="23" t="n">
        <f aca="false">D551^2/($P$3+1)*B551/(1-B551)</f>
        <v>1.56377129848311E-005</v>
      </c>
      <c r="G551" s="13" t="n">
        <f aca="false">($P$2-1)*(B551-1/$P$2)</f>
        <v>2.35240659365361</v>
      </c>
      <c r="H551" s="13" t="n">
        <f aca="false">E551*SQRT(B551/(1-B551))</f>
        <v>0.0111810374053988</v>
      </c>
      <c r="I551" s="13" t="n">
        <f aca="false">ABS(D551)</f>
        <v>0.22709039428014</v>
      </c>
      <c r="J551" s="6" t="n">
        <f aca="false">IF(B551&gt;$P$4,1,0)</f>
        <v>0</v>
      </c>
      <c r="K551" s="6" t="n">
        <f aca="false">IF(F551&gt;$P$6,1,0)</f>
        <v>0</v>
      </c>
      <c r="L551" s="6" t="n">
        <f aca="false">IF(G551&gt;$P$9,1,0)</f>
        <v>0</v>
      </c>
      <c r="M551" s="6" t="n">
        <f aca="false">IF(ABS(H551)&gt;$P$8,1,0)</f>
        <v>0</v>
      </c>
    </row>
    <row r="552" customFormat="false" ht="15" hidden="false" customHeight="false" outlineLevel="0" collapsed="false">
      <c r="A552" s="0" t="n">
        <f aca="false">ROW()-1</f>
        <v>551</v>
      </c>
      <c r="B552" s="22" t="n">
        <f aca="false">SUMPRODUCT(MMULT('Analysis Data'!N552:U552,'Final Model'!$B$59:$I$66),'Analysis Data'!N552:U552)</f>
        <v>0.00202584688551941</v>
      </c>
      <c r="C552" s="15" t="n">
        <f aca="false">'Residual Diagnostics'!F552</f>
        <v>38.5559587874078</v>
      </c>
      <c r="D552" s="13" t="n">
        <f aca="false">C552/('Final Model'!$B$21*SQRT(1-B552))</f>
        <v>0.787140157658126</v>
      </c>
      <c r="E552" s="13" t="n">
        <f aca="false">D552*SQRT(('Final Model'!$B$24-1)/('Final Model'!$B$24-D552^2))</f>
        <v>0.78703145241017</v>
      </c>
      <c r="F552" s="23" t="n">
        <f aca="false">D552^2/($P$3+1)*B552/(1-B552)</f>
        <v>0.000157217713737577</v>
      </c>
      <c r="G552" s="13" t="n">
        <f aca="false">($P$2-1)*(B552-1/$P$2)</f>
        <v>1.80651943716588</v>
      </c>
      <c r="H552" s="13" t="n">
        <f aca="false">E552*SQRT(B552/(1-B552))</f>
        <v>0.035459756651987</v>
      </c>
      <c r="I552" s="13" t="n">
        <f aca="false">ABS(D552)</f>
        <v>0.787140157658126</v>
      </c>
      <c r="J552" s="6" t="n">
        <f aca="false">IF(B552&gt;$P$4,1,0)</f>
        <v>0</v>
      </c>
      <c r="K552" s="6" t="n">
        <f aca="false">IF(F552&gt;$P$6,1,0)</f>
        <v>0</v>
      </c>
      <c r="L552" s="6" t="n">
        <f aca="false">IF(G552&gt;$P$9,1,0)</f>
        <v>0</v>
      </c>
      <c r="M552" s="6" t="n">
        <f aca="false">IF(ABS(H552)&gt;$P$8,1,0)</f>
        <v>0</v>
      </c>
    </row>
    <row r="553" customFormat="false" ht="15" hidden="false" customHeight="false" outlineLevel="0" collapsed="false">
      <c r="A553" s="0" t="n">
        <f aca="false">ROW()-1</f>
        <v>552</v>
      </c>
      <c r="B553" s="22" t="n">
        <f aca="false">SUMPRODUCT(MMULT('Analysis Data'!N553:U553,'Final Model'!$B$59:$I$66),'Analysis Data'!N553:U553)</f>
        <v>0.00202584688551941</v>
      </c>
      <c r="C553" s="15" t="n">
        <f aca="false">'Residual Diagnostics'!F553</f>
        <v>19.8205308101758</v>
      </c>
      <c r="D553" s="13" t="n">
        <f aca="false">C553/('Final Model'!$B$21*SQRT(1-B553))</f>
        <v>0.404646551076948</v>
      </c>
      <c r="E553" s="13" t="n">
        <f aca="false">D553*SQRT(('Final Model'!$B$24-1)/('Final Model'!$B$24-D553^2))</f>
        <v>0.404523734756785</v>
      </c>
      <c r="F553" s="23" t="n">
        <f aca="false">D553^2/($P$3+1)*B553/(1-B553)</f>
        <v>4.15478948514587E-005</v>
      </c>
      <c r="G553" s="13" t="n">
        <f aca="false">($P$2-1)*(B553-1/$P$2)</f>
        <v>1.80651943716588</v>
      </c>
      <c r="H553" s="13" t="n">
        <f aca="false">E553*SQRT(B553/(1-B553))</f>
        <v>0.0182258449144582</v>
      </c>
      <c r="I553" s="13" t="n">
        <f aca="false">ABS(D553)</f>
        <v>0.404646551076948</v>
      </c>
      <c r="J553" s="6" t="n">
        <f aca="false">IF(B553&gt;$P$4,1,0)</f>
        <v>0</v>
      </c>
      <c r="K553" s="6" t="n">
        <f aca="false">IF(F553&gt;$P$6,1,0)</f>
        <v>0</v>
      </c>
      <c r="L553" s="6" t="n">
        <f aca="false">IF(G553&gt;$P$9,1,0)</f>
        <v>0</v>
      </c>
      <c r="M553" s="6" t="n">
        <f aca="false">IF(ABS(H553)&gt;$P$8,1,0)</f>
        <v>0</v>
      </c>
    </row>
    <row r="554" customFormat="false" ht="15" hidden="false" customHeight="false" outlineLevel="0" collapsed="false">
      <c r="A554" s="0" t="n">
        <f aca="false">ROW()-1</f>
        <v>553</v>
      </c>
      <c r="B554" s="22" t="n">
        <f aca="false">SUMPRODUCT(MMULT('Analysis Data'!N554:U554,'Final Model'!$B$59:$I$66),'Analysis Data'!N554:U554)</f>
        <v>0.00174146366347137</v>
      </c>
      <c r="C554" s="15" t="n">
        <f aca="false">'Residual Diagnostics'!F554</f>
        <v>21.3803800208787</v>
      </c>
      <c r="D554" s="13" t="n">
        <f aca="false">C554/('Final Model'!$B$21*SQRT(1-B554))</f>
        <v>0.436429514168647</v>
      </c>
      <c r="E554" s="13" t="n">
        <f aca="false">D554*SQRT(('Final Model'!$B$24-1)/('Final Model'!$B$24-D554^2))</f>
        <v>0.436301283679129</v>
      </c>
      <c r="F554" s="23" t="n">
        <f aca="false">D554^2/($P$3+1)*B554/(1-B554)</f>
        <v>4.15345608401904E-005</v>
      </c>
      <c r="G554" s="13" t="n">
        <f aca="false">($P$2-1)*(B554-1/$P$2)</f>
        <v>1.41264867462934</v>
      </c>
      <c r="H554" s="13" t="n">
        <f aca="false">E554*SQRT(B554/(1-B554))</f>
        <v>0.0182230968368509</v>
      </c>
      <c r="I554" s="13" t="n">
        <f aca="false">ABS(D554)</f>
        <v>0.436429514168647</v>
      </c>
      <c r="J554" s="6" t="n">
        <f aca="false">IF(B554&gt;$P$4,1,0)</f>
        <v>0</v>
      </c>
      <c r="K554" s="6" t="n">
        <f aca="false">IF(F554&gt;$P$6,1,0)</f>
        <v>0</v>
      </c>
      <c r="L554" s="6" t="n">
        <f aca="false">IF(G554&gt;$P$9,1,0)</f>
        <v>0</v>
      </c>
      <c r="M554" s="6" t="n">
        <f aca="false">IF(ABS(H554)&gt;$P$8,1,0)</f>
        <v>0</v>
      </c>
    </row>
    <row r="555" customFormat="false" ht="15" hidden="false" customHeight="false" outlineLevel="0" collapsed="false">
      <c r="A555" s="0" t="n">
        <f aca="false">ROW()-1</f>
        <v>554</v>
      </c>
      <c r="B555" s="22" t="n">
        <f aca="false">SUMPRODUCT(MMULT('Analysis Data'!N555:U555,'Final Model'!$B$59:$I$66),'Analysis Data'!N555:U555)</f>
        <v>0.00170779778462098</v>
      </c>
      <c r="C555" s="15" t="n">
        <f aca="false">'Residual Diagnostics'!F555</f>
        <v>-61.7472358207036</v>
      </c>
      <c r="D555" s="13" t="n">
        <f aca="false">C555/('Final Model'!$B$21*SQRT(1-B555))</f>
        <v>-1.26040143837254</v>
      </c>
      <c r="E555" s="13" t="n">
        <f aca="false">D555*SQRT(('Final Model'!$B$24-1)/('Final Model'!$B$24-D555^2))</f>
        <v>-1.260670910076</v>
      </c>
      <c r="F555" s="23" t="n">
        <f aca="false">D555^2/($P$3+1)*B555/(1-B555)</f>
        <v>0.000339708614682081</v>
      </c>
      <c r="G555" s="13" t="n">
        <f aca="false">($P$2-1)*(B555-1/$P$2)</f>
        <v>1.36602143242155</v>
      </c>
      <c r="H555" s="13" t="n">
        <f aca="false">E555*SQRT(B555/(1-B555))</f>
        <v>-0.0521424117945255</v>
      </c>
      <c r="I555" s="13" t="n">
        <f aca="false">ABS(D555)</f>
        <v>1.26040143837254</v>
      </c>
      <c r="J555" s="6" t="n">
        <f aca="false">IF(B555&gt;$P$4,1,0)</f>
        <v>0</v>
      </c>
      <c r="K555" s="6" t="n">
        <f aca="false">IF(F555&gt;$P$6,1,0)</f>
        <v>0</v>
      </c>
      <c r="L555" s="6" t="n">
        <f aca="false">IF(G555&gt;$P$9,1,0)</f>
        <v>0</v>
      </c>
      <c r="M555" s="6" t="n">
        <f aca="false">IF(ABS(H555)&gt;$P$8,1,0)</f>
        <v>0</v>
      </c>
    </row>
    <row r="556" customFormat="false" ht="15" hidden="false" customHeight="false" outlineLevel="0" collapsed="false">
      <c r="A556" s="0" t="n">
        <f aca="false">ROW()-1</f>
        <v>555</v>
      </c>
      <c r="B556" s="22" t="n">
        <f aca="false">SUMPRODUCT(MMULT('Analysis Data'!N556:U556,'Final Model'!$B$59:$I$66),'Analysis Data'!N556:U556)</f>
        <v>0.00174146366347137</v>
      </c>
      <c r="C556" s="15" t="n">
        <f aca="false">'Residual Diagnostics'!F556</f>
        <v>-41.3182283717963</v>
      </c>
      <c r="D556" s="13" t="n">
        <f aca="false">C556/('Final Model'!$B$21*SQRT(1-B556))</f>
        <v>-0.843413181477733</v>
      </c>
      <c r="E556" s="13" t="n">
        <f aca="false">D556*SQRT(('Final Model'!$B$24-1)/('Final Model'!$B$24-D556^2))</f>
        <v>-0.843324794951734</v>
      </c>
      <c r="F556" s="23" t="n">
        <f aca="false">D556^2/($P$3+1)*B556/(1-B556)</f>
        <v>0.00015511798904353</v>
      </c>
      <c r="G556" s="13" t="n">
        <f aca="false">($P$2-1)*(B556-1/$P$2)</f>
        <v>1.41264867462934</v>
      </c>
      <c r="H556" s="13" t="n">
        <f aca="false">E556*SQRT(B556/(1-B556))</f>
        <v>-0.0352233421678975</v>
      </c>
      <c r="I556" s="13" t="n">
        <f aca="false">ABS(D556)</f>
        <v>0.843413181477733</v>
      </c>
      <c r="J556" s="6" t="n">
        <f aca="false">IF(B556&gt;$P$4,1,0)</f>
        <v>0</v>
      </c>
      <c r="K556" s="6" t="n">
        <f aca="false">IF(F556&gt;$P$6,1,0)</f>
        <v>0</v>
      </c>
      <c r="L556" s="6" t="n">
        <f aca="false">IF(G556&gt;$P$9,1,0)</f>
        <v>0</v>
      </c>
      <c r="M556" s="6" t="n">
        <f aca="false">IF(ABS(H556)&gt;$P$8,1,0)</f>
        <v>0</v>
      </c>
    </row>
    <row r="557" customFormat="false" ht="15" hidden="false" customHeight="false" outlineLevel="0" collapsed="false">
      <c r="A557" s="0" t="n">
        <f aca="false">ROW()-1</f>
        <v>556</v>
      </c>
      <c r="B557" s="22" t="n">
        <f aca="false">SUMPRODUCT(MMULT('Analysis Data'!N557:U557,'Final Model'!$B$59:$I$66),'Analysis Data'!N557:U557)</f>
        <v>0.00400954679065473</v>
      </c>
      <c r="C557" s="15" t="n">
        <f aca="false">'Residual Diagnostics'!F557</f>
        <v>33.606408548504</v>
      </c>
      <c r="D557" s="13" t="n">
        <f aca="false">C557/('Final Model'!$B$21*SQRT(1-B557))</f>
        <v>0.686775389242158</v>
      </c>
      <c r="E557" s="13" t="n">
        <f aca="false">D557*SQRT(('Final Model'!$B$24-1)/('Final Model'!$B$24-D557^2))</f>
        <v>0.686643673110244</v>
      </c>
      <c r="F557" s="23" t="n">
        <f aca="false">D557^2/($P$3+1)*B557/(1-B557)</f>
        <v>0.000237344717815408</v>
      </c>
      <c r="G557" s="13" t="n">
        <f aca="false">($P$2-1)*(B557-1/$P$2)</f>
        <v>4.5539438057783</v>
      </c>
      <c r="H557" s="13" t="n">
        <f aca="false">E557*SQRT(B557/(1-B557))</f>
        <v>0.0435663802690318</v>
      </c>
      <c r="I557" s="13" t="n">
        <f aca="false">ABS(D557)</f>
        <v>0.686775389242158</v>
      </c>
      <c r="J557" s="6" t="n">
        <f aca="false">IF(B557&gt;$P$4,1,0)</f>
        <v>0</v>
      </c>
      <c r="K557" s="6" t="n">
        <f aca="false">IF(F557&gt;$P$6,1,0)</f>
        <v>0</v>
      </c>
      <c r="L557" s="6" t="n">
        <f aca="false">IF(G557&gt;$P$9,1,0)</f>
        <v>0</v>
      </c>
      <c r="M557" s="6" t="n">
        <f aca="false">IF(ABS(H557)&gt;$P$8,1,0)</f>
        <v>0</v>
      </c>
    </row>
    <row r="558" customFormat="false" ht="15" hidden="false" customHeight="false" outlineLevel="0" collapsed="false">
      <c r="A558" s="0" t="n">
        <f aca="false">ROW()-1</f>
        <v>557</v>
      </c>
      <c r="B558" s="22" t="n">
        <f aca="false">SUMPRODUCT(MMULT('Analysis Data'!N558:U558,'Final Model'!$B$59:$I$66),'Analysis Data'!N558:U558)</f>
        <v>0.00479379139310168</v>
      </c>
      <c r="C558" s="15" t="n">
        <f aca="false">'Residual Diagnostics'!F558</f>
        <v>-5.17360409781938</v>
      </c>
      <c r="D558" s="13" t="n">
        <f aca="false">C558/('Final Model'!$B$21*SQRT(1-B558))</f>
        <v>-0.105768625935588</v>
      </c>
      <c r="E558" s="13" t="n">
        <f aca="false">D558*SQRT(('Final Model'!$B$24-1)/('Final Model'!$B$24-D558^2))</f>
        <v>-0.105730670561841</v>
      </c>
      <c r="F558" s="23" t="n">
        <f aca="false">D558^2/($P$3+1)*B558/(1-B558)</f>
        <v>6.73580944230765E-006</v>
      </c>
      <c r="G558" s="13" t="n">
        <f aca="false">($P$2-1)*(B558-1/$P$2)</f>
        <v>5.64012258016733</v>
      </c>
      <c r="H558" s="13" t="n">
        <f aca="false">E558*SQRT(B558/(1-B558))</f>
        <v>-0.00733810655729115</v>
      </c>
      <c r="I558" s="13" t="n">
        <f aca="false">ABS(D558)</f>
        <v>0.105768625935588</v>
      </c>
      <c r="J558" s="6" t="n">
        <f aca="false">IF(B558&gt;$P$4,1,0)</f>
        <v>0</v>
      </c>
      <c r="K558" s="6" t="n">
        <f aca="false">IF(F558&gt;$P$6,1,0)</f>
        <v>0</v>
      </c>
      <c r="L558" s="6" t="n">
        <f aca="false">IF(G558&gt;$P$9,1,0)</f>
        <v>0</v>
      </c>
      <c r="M558" s="6" t="n">
        <f aca="false">IF(ABS(H558)&gt;$P$8,1,0)</f>
        <v>0</v>
      </c>
    </row>
    <row r="559" customFormat="false" ht="15" hidden="false" customHeight="false" outlineLevel="0" collapsed="false">
      <c r="A559" s="0" t="n">
        <f aca="false">ROW()-1</f>
        <v>558</v>
      </c>
      <c r="B559" s="22" t="n">
        <f aca="false">SUMPRODUCT(MMULT('Analysis Data'!N559:U559,'Final Model'!$B$59:$I$66),'Analysis Data'!N559:U559)</f>
        <v>0.00400954679065473</v>
      </c>
      <c r="C559" s="15" t="n">
        <f aca="false">'Residual Diagnostics'!F559</f>
        <v>8.74844037894488</v>
      </c>
      <c r="D559" s="13" t="n">
        <f aca="false">C559/('Final Model'!$B$21*SQRT(1-B559))</f>
        <v>0.178781780202429</v>
      </c>
      <c r="E559" s="13" t="n">
        <f aca="false">D559*SQRT(('Final Model'!$B$24-1)/('Final Model'!$B$24-D559^2))</f>
        <v>0.178718971126666</v>
      </c>
      <c r="F559" s="23" t="n">
        <f aca="false">D559^2/($P$3+1)*B559/(1-B559)</f>
        <v>1.60840953180683E-005</v>
      </c>
      <c r="G559" s="13" t="n">
        <f aca="false">($P$2-1)*(B559-1/$P$2)</f>
        <v>4.5539438057783</v>
      </c>
      <c r="H559" s="13" t="n">
        <f aca="false">E559*SQRT(B559/(1-B559))</f>
        <v>0.0113394165887032</v>
      </c>
      <c r="I559" s="13" t="n">
        <f aca="false">ABS(D559)</f>
        <v>0.178781780202429</v>
      </c>
      <c r="J559" s="6" t="n">
        <f aca="false">IF(B559&gt;$P$4,1,0)</f>
        <v>0</v>
      </c>
      <c r="K559" s="6" t="n">
        <f aca="false">IF(F559&gt;$P$6,1,0)</f>
        <v>0</v>
      </c>
      <c r="L559" s="6" t="n">
        <f aca="false">IF(G559&gt;$P$9,1,0)</f>
        <v>0</v>
      </c>
      <c r="M559" s="6" t="n">
        <f aca="false">IF(ABS(H559)&gt;$P$8,1,0)</f>
        <v>0</v>
      </c>
    </row>
    <row r="560" customFormat="false" ht="15" hidden="false" customHeight="false" outlineLevel="0" collapsed="false">
      <c r="A560" s="0" t="n">
        <f aca="false">ROW()-1</f>
        <v>559</v>
      </c>
      <c r="B560" s="22" t="n">
        <f aca="false">SUMPRODUCT(MMULT('Analysis Data'!N560:U560,'Final Model'!$B$59:$I$66),'Analysis Data'!N560:U560)</f>
        <v>0.00400954679065473</v>
      </c>
      <c r="C560" s="15" t="n">
        <f aca="false">'Residual Diagnostics'!F560</f>
        <v>58.9872476301164</v>
      </c>
      <c r="D560" s="13" t="n">
        <f aca="false">C560/('Final Model'!$B$21*SQRT(1-B560))</f>
        <v>1.2054543077112</v>
      </c>
      <c r="E560" s="13" t="n">
        <f aca="false">D560*SQRT(('Final Model'!$B$24-1)/('Final Model'!$B$24-D560^2))</f>
        <v>1.20565269202621</v>
      </c>
      <c r="F560" s="23" t="n">
        <f aca="false">D560^2/($P$3+1)*B560/(1-B560)</f>
        <v>0.000731226008043056</v>
      </c>
      <c r="G560" s="13" t="n">
        <f aca="false">($P$2-1)*(B560-1/$P$2)</f>
        <v>4.5539438057783</v>
      </c>
      <c r="H560" s="13" t="n">
        <f aca="false">E560*SQRT(B560/(1-B560))</f>
        <v>0.0764966251203812</v>
      </c>
      <c r="I560" s="13" t="n">
        <f aca="false">ABS(D560)</f>
        <v>1.2054543077112</v>
      </c>
      <c r="J560" s="6" t="n">
        <f aca="false">IF(B560&gt;$P$4,1,0)</f>
        <v>0</v>
      </c>
      <c r="K560" s="6" t="n">
        <f aca="false">IF(F560&gt;$P$6,1,0)</f>
        <v>0</v>
      </c>
      <c r="L560" s="6" t="n">
        <f aca="false">IF(G560&gt;$P$9,1,0)</f>
        <v>0</v>
      </c>
      <c r="M560" s="6" t="n">
        <f aca="false">IF(ABS(H560)&gt;$P$8,1,0)</f>
        <v>0</v>
      </c>
    </row>
    <row r="561" customFormat="false" ht="15" hidden="false" customHeight="false" outlineLevel="0" collapsed="false">
      <c r="A561" s="0" t="n">
        <f aca="false">ROW()-1</f>
        <v>560</v>
      </c>
      <c r="B561" s="22" t="n">
        <f aca="false">SUMPRODUCT(MMULT('Analysis Data'!N561:U561,'Final Model'!$B$59:$I$66),'Analysis Data'!N561:U561)</f>
        <v>0.0021620558062087</v>
      </c>
      <c r="C561" s="15" t="n">
        <f aca="false">'Residual Diagnostics'!F561</f>
        <v>-134.254424404</v>
      </c>
      <c r="D561" s="13" t="n">
        <f aca="false">C561/('Final Model'!$B$21*SQRT(1-B561))</f>
        <v>-2.74106168130456</v>
      </c>
      <c r="E561" s="13" t="n">
        <f aca="false">D561*SQRT(('Final Model'!$B$24-1)/('Final Model'!$B$24-D561^2))</f>
        <v>-2.74756758991031</v>
      </c>
      <c r="F561" s="23" t="n">
        <f aca="false">D561^2/($P$3+1)*B561/(1-B561)</f>
        <v>0.00203495361799328</v>
      </c>
      <c r="G561" s="13" t="n">
        <f aca="false">($P$2-1)*(B561-1/$P$2)</f>
        <v>1.99516879232055</v>
      </c>
      <c r="H561" s="13" t="n">
        <f aca="false">E561*SQRT(B561/(1-B561))</f>
        <v>-0.127894487912703</v>
      </c>
      <c r="I561" s="13" t="n">
        <f aca="false">ABS(D561)</f>
        <v>2.74106168130456</v>
      </c>
      <c r="J561" s="6" t="n">
        <f aca="false">IF(B561&gt;$P$4,1,0)</f>
        <v>0</v>
      </c>
      <c r="K561" s="6" t="n">
        <f aca="false">IF(F561&gt;$P$6,1,0)</f>
        <v>0</v>
      </c>
      <c r="L561" s="6" t="n">
        <f aca="false">IF(G561&gt;$P$9,1,0)</f>
        <v>0</v>
      </c>
      <c r="M561" s="6" t="n">
        <f aca="false">IF(ABS(H561)&gt;$P$8,1,0)</f>
        <v>0</v>
      </c>
    </row>
    <row r="562" customFormat="false" ht="15" hidden="false" customHeight="false" outlineLevel="0" collapsed="false">
      <c r="A562" s="0" t="n">
        <f aca="false">ROW()-1</f>
        <v>561</v>
      </c>
      <c r="B562" s="22" t="n">
        <f aca="false">SUMPRODUCT(MMULT('Analysis Data'!N562:U562,'Final Model'!$B$59:$I$66),'Analysis Data'!N562:U562)</f>
        <v>0.00271543288709589</v>
      </c>
      <c r="C562" s="15" t="n">
        <f aca="false">'Residual Diagnostics'!F562</f>
        <v>21.8001873894162</v>
      </c>
      <c r="D562" s="13" t="n">
        <f aca="false">C562/('Final Model'!$B$21*SQRT(1-B562))</f>
        <v>0.445216125940348</v>
      </c>
      <c r="E562" s="13" t="n">
        <f aca="false">D562*SQRT(('Final Model'!$B$24-1)/('Final Model'!$B$24-D562^2))</f>
        <v>0.44508656503563</v>
      </c>
      <c r="F562" s="23" t="n">
        <f aca="false">D562^2/($P$3+1)*B562/(1-B562)</f>
        <v>6.74639492626306E-005</v>
      </c>
      <c r="G562" s="13" t="n">
        <f aca="false">($P$2-1)*(B562-1/$P$2)</f>
        <v>2.76159604934931</v>
      </c>
      <c r="H562" s="13" t="n">
        <f aca="false">E562*SQRT(B562/(1-B562))</f>
        <v>0.0232249331614965</v>
      </c>
      <c r="I562" s="13" t="n">
        <f aca="false">ABS(D562)</f>
        <v>0.445216125940348</v>
      </c>
      <c r="J562" s="6" t="n">
        <f aca="false">IF(B562&gt;$P$4,1,0)</f>
        <v>0</v>
      </c>
      <c r="K562" s="6" t="n">
        <f aca="false">IF(F562&gt;$P$6,1,0)</f>
        <v>0</v>
      </c>
      <c r="L562" s="6" t="n">
        <f aca="false">IF(G562&gt;$P$9,1,0)</f>
        <v>0</v>
      </c>
      <c r="M562" s="6" t="n">
        <f aca="false">IF(ABS(H562)&gt;$P$8,1,0)</f>
        <v>0</v>
      </c>
    </row>
    <row r="563" customFormat="false" ht="15" hidden="false" customHeight="false" outlineLevel="0" collapsed="false">
      <c r="A563" s="0" t="n">
        <f aca="false">ROW()-1</f>
        <v>562</v>
      </c>
      <c r="B563" s="22" t="n">
        <f aca="false">SUMPRODUCT(MMULT('Analysis Data'!N563:U563,'Final Model'!$B$59:$I$66),'Analysis Data'!N563:U563)</f>
        <v>0.00349598211540633</v>
      </c>
      <c r="C563" s="15" t="n">
        <f aca="false">'Residual Diagnostics'!F563</f>
        <v>-26.0660992303619</v>
      </c>
      <c r="D563" s="13" t="n">
        <f aca="false">C563/('Final Model'!$B$21*SQRT(1-B563))</f>
        <v>-0.532545508237231</v>
      </c>
      <c r="E563" s="13" t="n">
        <f aca="false">D563*SQRT(('Final Model'!$B$24-1)/('Final Model'!$B$24-D563^2))</f>
        <v>-0.532407031733981</v>
      </c>
      <c r="F563" s="23" t="n">
        <f aca="false">D563^2/($P$3+1)*B563/(1-B563)</f>
        <v>0.000124369421168891</v>
      </c>
      <c r="G563" s="13" t="n">
        <f aca="false">($P$2-1)*(B563-1/$P$2)</f>
        <v>3.84265673055927</v>
      </c>
      <c r="H563" s="13" t="n">
        <f aca="false">E563*SQRT(B563/(1-B563))</f>
        <v>-0.0315347111135049</v>
      </c>
      <c r="I563" s="13" t="n">
        <f aca="false">ABS(D563)</f>
        <v>0.532545508237231</v>
      </c>
      <c r="J563" s="6" t="n">
        <f aca="false">IF(B563&gt;$P$4,1,0)</f>
        <v>0</v>
      </c>
      <c r="K563" s="6" t="n">
        <f aca="false">IF(F563&gt;$P$6,1,0)</f>
        <v>0</v>
      </c>
      <c r="L563" s="6" t="n">
        <f aca="false">IF(G563&gt;$P$9,1,0)</f>
        <v>0</v>
      </c>
      <c r="M563" s="6" t="n">
        <f aca="false">IF(ABS(H563)&gt;$P$8,1,0)</f>
        <v>0</v>
      </c>
    </row>
    <row r="564" customFormat="false" ht="15" hidden="false" customHeight="false" outlineLevel="0" collapsed="false">
      <c r="A564" s="0" t="n">
        <f aca="false">ROW()-1</f>
        <v>563</v>
      </c>
      <c r="B564" s="22" t="n">
        <f aca="false">SUMPRODUCT(MMULT('Analysis Data'!N564:U564,'Final Model'!$B$59:$I$66),'Analysis Data'!N564:U564)</f>
        <v>0.00349598211540633</v>
      </c>
      <c r="C564" s="15" t="n">
        <f aca="false">'Residual Diagnostics'!F564</f>
        <v>7.96362599467975</v>
      </c>
      <c r="D564" s="13" t="n">
        <f aca="false">C564/('Final Model'!$B$21*SQRT(1-B564))</f>
        <v>0.16270149266554</v>
      </c>
      <c r="E564" s="13" t="n">
        <f aca="false">D564*SQRT(('Final Model'!$B$24-1)/('Final Model'!$B$24-D564^2))</f>
        <v>0.162644008803178</v>
      </c>
      <c r="F564" s="23" t="n">
        <f aca="false">D564^2/($P$3+1)*B564/(1-B564)</f>
        <v>1.16086905827564E-005</v>
      </c>
      <c r="G564" s="13" t="n">
        <f aca="false">($P$2-1)*(B564-1/$P$2)</f>
        <v>3.84265673055927</v>
      </c>
      <c r="H564" s="13" t="n">
        <f aca="false">E564*SQRT(B564/(1-B564))</f>
        <v>0.00963347876012513</v>
      </c>
      <c r="I564" s="13" t="n">
        <f aca="false">ABS(D564)</f>
        <v>0.16270149266554</v>
      </c>
      <c r="J564" s="6" t="n">
        <f aca="false">IF(B564&gt;$P$4,1,0)</f>
        <v>0</v>
      </c>
      <c r="K564" s="6" t="n">
        <f aca="false">IF(F564&gt;$P$6,1,0)</f>
        <v>0</v>
      </c>
      <c r="L564" s="6" t="n">
        <f aca="false">IF(G564&gt;$P$9,1,0)</f>
        <v>0</v>
      </c>
      <c r="M564" s="6" t="n">
        <f aca="false">IF(ABS(H564)&gt;$P$8,1,0)</f>
        <v>0</v>
      </c>
    </row>
    <row r="565" customFormat="false" ht="15" hidden="false" customHeight="false" outlineLevel="0" collapsed="false">
      <c r="A565" s="0" t="n">
        <f aca="false">ROW()-1</f>
        <v>564</v>
      </c>
      <c r="B565" s="22" t="n">
        <f aca="false">SUMPRODUCT(MMULT('Analysis Data'!N565:U565,'Final Model'!$B$59:$I$66),'Analysis Data'!N565:U565)</f>
        <v>0.00174146366347137</v>
      </c>
      <c r="C565" s="15" t="n">
        <f aca="false">'Residual Diagnostics'!F565</f>
        <v>-8.50877672526937</v>
      </c>
      <c r="D565" s="13" t="n">
        <f aca="false">C565/('Final Model'!$B$21*SQRT(1-B565))</f>
        <v>-0.173686402615503</v>
      </c>
      <c r="E565" s="13" t="n">
        <f aca="false">D565*SQRT(('Final Model'!$B$24-1)/('Final Model'!$B$24-D565^2))</f>
        <v>-0.173625270486232</v>
      </c>
      <c r="F565" s="23" t="n">
        <f aca="false">D565^2/($P$3+1)*B565/(1-B565)</f>
        <v>6.5782903430947E-006</v>
      </c>
      <c r="G565" s="13" t="n">
        <f aca="false">($P$2-1)*(B565-1/$P$2)</f>
        <v>1.41264867462934</v>
      </c>
      <c r="H565" s="13" t="n">
        <f aca="false">E565*SQRT(B565/(1-B565))</f>
        <v>-0.0072518469134781</v>
      </c>
      <c r="I565" s="13" t="n">
        <f aca="false">ABS(D565)</f>
        <v>0.173686402615503</v>
      </c>
      <c r="J565" s="6" t="n">
        <f aca="false">IF(B565&gt;$P$4,1,0)</f>
        <v>0</v>
      </c>
      <c r="K565" s="6" t="n">
        <f aca="false">IF(F565&gt;$P$6,1,0)</f>
        <v>0</v>
      </c>
      <c r="L565" s="6" t="n">
        <f aca="false">IF(G565&gt;$P$9,1,0)</f>
        <v>0</v>
      </c>
      <c r="M565" s="6" t="n">
        <f aca="false">IF(ABS(H565)&gt;$P$8,1,0)</f>
        <v>0</v>
      </c>
    </row>
    <row r="566" customFormat="false" ht="15" hidden="false" customHeight="false" outlineLevel="0" collapsed="false">
      <c r="A566" s="0" t="n">
        <f aca="false">ROW()-1</f>
        <v>565</v>
      </c>
      <c r="B566" s="22" t="n">
        <f aca="false">SUMPRODUCT(MMULT('Analysis Data'!N566:U566,'Final Model'!$B$59:$I$66),'Analysis Data'!N566:U566)</f>
        <v>0.00174146366347137</v>
      </c>
      <c r="C566" s="15" t="n">
        <f aca="false">'Residual Diagnostics'!F566</f>
        <v>-14.0577647954391</v>
      </c>
      <c r="D566" s="13" t="n">
        <f aca="false">C566/('Final Model'!$B$21*SQRT(1-B566))</f>
        <v>-0.286955772253782</v>
      </c>
      <c r="E566" s="13" t="n">
        <f aca="false">D566*SQRT(('Final Model'!$B$24-1)/('Final Model'!$B$24-D566^2))</f>
        <v>-0.28686020389667</v>
      </c>
      <c r="F566" s="23" t="n">
        <f aca="false">D566^2/($P$3+1)*B566/(1-B566)</f>
        <v>1.79560715763768E-005</v>
      </c>
      <c r="G566" s="13" t="n">
        <f aca="false">($P$2-1)*(B566-1/$P$2)</f>
        <v>1.41264867462934</v>
      </c>
      <c r="H566" s="13" t="n">
        <f aca="false">E566*SQRT(B566/(1-B566))</f>
        <v>-0.0119813566216603</v>
      </c>
      <c r="I566" s="13" t="n">
        <f aca="false">ABS(D566)</f>
        <v>0.286955772253782</v>
      </c>
      <c r="J566" s="6" t="n">
        <f aca="false">IF(B566&gt;$P$4,1,0)</f>
        <v>0</v>
      </c>
      <c r="K566" s="6" t="n">
        <f aca="false">IF(F566&gt;$P$6,1,0)</f>
        <v>0</v>
      </c>
      <c r="L566" s="6" t="n">
        <f aca="false">IF(G566&gt;$P$9,1,0)</f>
        <v>0</v>
      </c>
      <c r="M566" s="6" t="n">
        <f aca="false">IF(ABS(H566)&gt;$P$8,1,0)</f>
        <v>0</v>
      </c>
    </row>
    <row r="567" customFormat="false" ht="15" hidden="false" customHeight="false" outlineLevel="0" collapsed="false">
      <c r="A567" s="0" t="n">
        <f aca="false">ROW()-1</f>
        <v>566</v>
      </c>
      <c r="B567" s="22" t="n">
        <f aca="false">SUMPRODUCT(MMULT('Analysis Data'!N567:U567,'Final Model'!$B$59:$I$66),'Analysis Data'!N567:U567)</f>
        <v>0.00174146366347137</v>
      </c>
      <c r="C567" s="15" t="n">
        <f aca="false">'Residual Diagnostics'!F567</f>
        <v>119.976767625574</v>
      </c>
      <c r="D567" s="13" t="n">
        <f aca="false">C567/('Final Model'!$B$21*SQRT(1-B567))</f>
        <v>2.44903983723494</v>
      </c>
      <c r="E567" s="13" t="n">
        <f aca="false">D567*SQRT(('Final Model'!$B$24-1)/('Final Model'!$B$24-D567^2))</f>
        <v>2.45349634449791</v>
      </c>
      <c r="F567" s="23" t="n">
        <f aca="false">D567^2/($P$3+1)*B567/(1-B567)</f>
        <v>0.00130789565419349</v>
      </c>
      <c r="G567" s="13" t="n">
        <f aca="false">($P$2-1)*(B567-1/$P$2)</f>
        <v>1.41264867462934</v>
      </c>
      <c r="H567" s="13" t="n">
        <f aca="false">E567*SQRT(B567/(1-B567))</f>
        <v>0.102475750466796</v>
      </c>
      <c r="I567" s="13" t="n">
        <f aca="false">ABS(D567)</f>
        <v>2.44903983723494</v>
      </c>
      <c r="J567" s="6" t="n">
        <f aca="false">IF(B567&gt;$P$4,1,0)</f>
        <v>0</v>
      </c>
      <c r="K567" s="6" t="n">
        <f aca="false">IF(F567&gt;$P$6,1,0)</f>
        <v>0</v>
      </c>
      <c r="L567" s="6" t="n">
        <f aca="false">IF(G567&gt;$P$9,1,0)</f>
        <v>0</v>
      </c>
      <c r="M567" s="6" t="n">
        <f aca="false">IF(ABS(H567)&gt;$P$8,1,0)</f>
        <v>0</v>
      </c>
    </row>
    <row r="568" customFormat="false" ht="15" hidden="false" customHeight="false" outlineLevel="0" collapsed="false">
      <c r="A568" s="0" t="n">
        <f aca="false">ROW()-1</f>
        <v>567</v>
      </c>
      <c r="B568" s="22" t="n">
        <f aca="false">SUMPRODUCT(MMULT('Analysis Data'!N568:U568,'Final Model'!$B$59:$I$66),'Analysis Data'!N568:U568)</f>
        <v>0.00349598211540633</v>
      </c>
      <c r="C568" s="15" t="n">
        <f aca="false">'Residual Diagnostics'!F568</f>
        <v>-2.27007826974446</v>
      </c>
      <c r="D568" s="13" t="n">
        <f aca="false">C568/('Final Model'!$B$21*SQRT(1-B568))</f>
        <v>-0.0463790141829585</v>
      </c>
      <c r="E568" s="13" t="n">
        <f aca="false">D568*SQRT(('Final Model'!$B$24-1)/('Final Model'!$B$24-D568^2))</f>
        <v>-0.0463622189341723</v>
      </c>
      <c r="F568" s="23" t="n">
        <f aca="false">D568^2/($P$3+1)*B568/(1-B568)</f>
        <v>9.43285562734753E-007</v>
      </c>
      <c r="G568" s="13" t="n">
        <f aca="false">($P$2-1)*(B568-1/$P$2)</f>
        <v>3.84265673055927</v>
      </c>
      <c r="H568" s="13" t="n">
        <f aca="false">E568*SQRT(B568/(1-B568))</f>
        <v>-0.00274605535525815</v>
      </c>
      <c r="I568" s="13" t="n">
        <f aca="false">ABS(D568)</f>
        <v>0.0463790141829585</v>
      </c>
      <c r="J568" s="6" t="n">
        <f aca="false">IF(B568&gt;$P$4,1,0)</f>
        <v>0</v>
      </c>
      <c r="K568" s="6" t="n">
        <f aca="false">IF(F568&gt;$P$6,1,0)</f>
        <v>0</v>
      </c>
      <c r="L568" s="6" t="n">
        <f aca="false">IF(G568&gt;$P$9,1,0)</f>
        <v>0</v>
      </c>
      <c r="M568" s="6" t="n">
        <f aca="false">IF(ABS(H568)&gt;$P$8,1,0)</f>
        <v>0</v>
      </c>
    </row>
    <row r="569" customFormat="false" ht="15" hidden="false" customHeight="false" outlineLevel="0" collapsed="false">
      <c r="A569" s="0" t="n">
        <f aca="false">ROW()-1</f>
        <v>568</v>
      </c>
      <c r="B569" s="22" t="n">
        <f aca="false">SUMPRODUCT(MMULT('Analysis Data'!N569:U569,'Final Model'!$B$59:$I$66),'Analysis Data'!N569:U569)</f>
        <v>0.00349598211540633</v>
      </c>
      <c r="C569" s="15" t="n">
        <f aca="false">'Residual Diagnostics'!F569</f>
        <v>23.9142394382085</v>
      </c>
      <c r="D569" s="13" t="n">
        <f aca="false">C569/('Final Model'!$B$21*SQRT(1-B569))</f>
        <v>0.488581766039367</v>
      </c>
      <c r="E569" s="13" t="n">
        <f aca="false">D569*SQRT(('Final Model'!$B$24-1)/('Final Model'!$B$24-D569^2))</f>
        <v>0.488446763421577</v>
      </c>
      <c r="F569" s="23" t="n">
        <f aca="false">D569^2/($P$3+1)*B569/(1-B569)</f>
        <v>0.000104682641082697</v>
      </c>
      <c r="G569" s="13" t="n">
        <f aca="false">($P$2-1)*(B569-1/$P$2)</f>
        <v>3.84265673055927</v>
      </c>
      <c r="H569" s="13" t="n">
        <f aca="false">E569*SQRT(B569/(1-B569))</f>
        <v>0.0289309243881702</v>
      </c>
      <c r="I569" s="13" t="n">
        <f aca="false">ABS(D569)</f>
        <v>0.488581766039367</v>
      </c>
      <c r="J569" s="6" t="n">
        <f aca="false">IF(B569&gt;$P$4,1,0)</f>
        <v>0</v>
      </c>
      <c r="K569" s="6" t="n">
        <f aca="false">IF(F569&gt;$P$6,1,0)</f>
        <v>0</v>
      </c>
      <c r="L569" s="6" t="n">
        <f aca="false">IF(G569&gt;$P$9,1,0)</f>
        <v>0</v>
      </c>
      <c r="M569" s="6" t="n">
        <f aca="false">IF(ABS(H569)&gt;$P$8,1,0)</f>
        <v>0</v>
      </c>
    </row>
    <row r="570" customFormat="false" ht="15" hidden="false" customHeight="false" outlineLevel="0" collapsed="false">
      <c r="A570" s="0" t="n">
        <f aca="false">ROW()-1</f>
        <v>569</v>
      </c>
      <c r="B570" s="22" t="n">
        <f aca="false">SUMPRODUCT(MMULT('Analysis Data'!N570:U570,'Final Model'!$B$59:$I$66),'Analysis Data'!N570:U570)</f>
        <v>0.00349598211540633</v>
      </c>
      <c r="C570" s="15" t="n">
        <f aca="false">'Residual Diagnostics'!F570</f>
        <v>-31.9407785848188</v>
      </c>
      <c r="D570" s="13" t="n">
        <f aca="false">C570/('Final Model'!$B$21*SQRT(1-B570))</f>
        <v>-0.652568610846536</v>
      </c>
      <c r="E570" s="13" t="n">
        <f aca="false">D570*SQRT(('Final Model'!$B$24-1)/('Final Model'!$B$24-D570^2))</f>
        <v>-0.652432605804312</v>
      </c>
      <c r="F570" s="23" t="n">
        <f aca="false">D570^2/($P$3+1)*B570/(1-B570)</f>
        <v>0.000186746521533297</v>
      </c>
      <c r="G570" s="13" t="n">
        <f aca="false">($P$2-1)*(B570-1/$P$2)</f>
        <v>3.84265673055927</v>
      </c>
      <c r="H570" s="13" t="n">
        <f aca="false">E570*SQRT(B570/(1-B570))</f>
        <v>-0.0386438805627012</v>
      </c>
      <c r="I570" s="13" t="n">
        <f aca="false">ABS(D570)</f>
        <v>0.652568610846536</v>
      </c>
      <c r="J570" s="6" t="n">
        <f aca="false">IF(B570&gt;$P$4,1,0)</f>
        <v>0</v>
      </c>
      <c r="K570" s="6" t="n">
        <f aca="false">IF(F570&gt;$P$6,1,0)</f>
        <v>0</v>
      </c>
      <c r="L570" s="6" t="n">
        <f aca="false">IF(G570&gt;$P$9,1,0)</f>
        <v>0</v>
      </c>
      <c r="M570" s="6" t="n">
        <f aca="false">IF(ABS(H570)&gt;$P$8,1,0)</f>
        <v>0</v>
      </c>
    </row>
    <row r="571" customFormat="false" ht="15" hidden="false" customHeight="false" outlineLevel="0" collapsed="false">
      <c r="A571" s="0" t="n">
        <f aca="false">ROW()-1</f>
        <v>570</v>
      </c>
      <c r="B571" s="22" t="n">
        <f aca="false">SUMPRODUCT(MMULT('Analysis Data'!N571:U571,'Final Model'!$B$59:$I$66),'Analysis Data'!N571:U571)</f>
        <v>0.00349598211540633</v>
      </c>
      <c r="C571" s="15" t="n">
        <f aca="false">'Residual Diagnostics'!F571</f>
        <v>17.8888645906316</v>
      </c>
      <c r="D571" s="13" t="n">
        <f aca="false">C571/('Final Model'!$B$21*SQRT(1-B571))</f>
        <v>0.365479867202695</v>
      </c>
      <c r="E571" s="13" t="n">
        <f aca="false">D571*SQRT(('Final Model'!$B$24-1)/('Final Model'!$B$24-D571^2))</f>
        <v>0.365364939336908</v>
      </c>
      <c r="F571" s="23" t="n">
        <f aca="false">D571^2/($P$3+1)*B571/(1-B571)</f>
        <v>5.85769935693037E-005</v>
      </c>
      <c r="G571" s="13" t="n">
        <f aca="false">($P$2-1)*(B571-1/$P$2)</f>
        <v>3.84265673055927</v>
      </c>
      <c r="H571" s="13" t="n">
        <f aca="false">E571*SQRT(B571/(1-B571))</f>
        <v>0.021640731857857</v>
      </c>
      <c r="I571" s="13" t="n">
        <f aca="false">ABS(D571)</f>
        <v>0.365479867202695</v>
      </c>
      <c r="J571" s="6" t="n">
        <f aca="false">IF(B571&gt;$P$4,1,0)</f>
        <v>0</v>
      </c>
      <c r="K571" s="6" t="n">
        <f aca="false">IF(F571&gt;$P$6,1,0)</f>
        <v>0</v>
      </c>
      <c r="L571" s="6" t="n">
        <f aca="false">IF(G571&gt;$P$9,1,0)</f>
        <v>0</v>
      </c>
      <c r="M571" s="6" t="n">
        <f aca="false">IF(ABS(H571)&gt;$P$8,1,0)</f>
        <v>0</v>
      </c>
    </row>
    <row r="572" customFormat="false" ht="15" hidden="false" customHeight="false" outlineLevel="0" collapsed="false">
      <c r="A572" s="0" t="n">
        <f aca="false">ROW()-1</f>
        <v>571</v>
      </c>
      <c r="B572" s="22" t="n">
        <f aca="false">SUMPRODUCT(MMULT('Analysis Data'!N572:U572,'Final Model'!$B$59:$I$66),'Analysis Data'!N572:U572)</f>
        <v>0.00206423679736866</v>
      </c>
      <c r="C572" s="15" t="n">
        <f aca="false">'Residual Diagnostics'!F572</f>
        <v>58.9003098984641</v>
      </c>
      <c r="D572" s="13" t="n">
        <f aca="false">C572/('Final Model'!$B$21*SQRT(1-B572))</f>
        <v>1.20250390450342</v>
      </c>
      <c r="E572" s="13" t="n">
        <f aca="false">D572*SQRT(('Final Model'!$B$24-1)/('Final Model'!$B$24-D572^2))</f>
        <v>1.20269869966502</v>
      </c>
      <c r="F572" s="23" t="n">
        <f aca="false">D572^2/($P$3+1)*B572/(1-B572)</f>
        <v>0.000373886627330774</v>
      </c>
      <c r="G572" s="13" t="n">
        <f aca="false">($P$2-1)*(B572-1/$P$2)</f>
        <v>1.85968946507709</v>
      </c>
      <c r="H572" s="13" t="n">
        <f aca="false">E572*SQRT(B572/(1-B572))</f>
        <v>0.0546997455129684</v>
      </c>
      <c r="I572" s="13" t="n">
        <f aca="false">ABS(D572)</f>
        <v>1.20250390450342</v>
      </c>
      <c r="J572" s="6" t="n">
        <f aca="false">IF(B572&gt;$P$4,1,0)</f>
        <v>0</v>
      </c>
      <c r="K572" s="6" t="n">
        <f aca="false">IF(F572&gt;$P$6,1,0)</f>
        <v>0</v>
      </c>
      <c r="L572" s="6" t="n">
        <f aca="false">IF(G572&gt;$P$9,1,0)</f>
        <v>0</v>
      </c>
      <c r="M572" s="6" t="n">
        <f aca="false">IF(ABS(H572)&gt;$P$8,1,0)</f>
        <v>0</v>
      </c>
    </row>
    <row r="573" customFormat="false" ht="15" hidden="false" customHeight="false" outlineLevel="0" collapsed="false">
      <c r="A573" s="0" t="n">
        <f aca="false">ROW()-1</f>
        <v>572</v>
      </c>
      <c r="B573" s="22" t="n">
        <f aca="false">SUMPRODUCT(MMULT('Analysis Data'!N573:U573,'Final Model'!$B$59:$I$66),'Analysis Data'!N573:U573)</f>
        <v>0.00178381200285069</v>
      </c>
      <c r="C573" s="15" t="n">
        <f aca="false">'Residual Diagnostics'!F573</f>
        <v>98.9928564341242</v>
      </c>
      <c r="D573" s="13" t="n">
        <f aca="false">C573/('Final Model'!$B$21*SQRT(1-B573))</f>
        <v>2.02074615225522</v>
      </c>
      <c r="E573" s="13" t="n">
        <f aca="false">D573*SQRT(('Final Model'!$B$24-1)/('Final Model'!$B$24-D573^2))</f>
        <v>2.02301241322609</v>
      </c>
      <c r="F573" s="23" t="n">
        <f aca="false">D573^2/($P$3+1)*B573/(1-B573)</f>
        <v>0.000912132662036529</v>
      </c>
      <c r="G573" s="13" t="n">
        <f aca="false">($P$2-1)*(B573-1/$P$2)</f>
        <v>1.47130112466971</v>
      </c>
      <c r="H573" s="13" t="n">
        <f aca="false">E573*SQRT(B573/(1-B573))</f>
        <v>0.0855186397256847</v>
      </c>
      <c r="I573" s="13" t="n">
        <f aca="false">ABS(D573)</f>
        <v>2.02074615225522</v>
      </c>
      <c r="J573" s="6" t="n">
        <f aca="false">IF(B573&gt;$P$4,1,0)</f>
        <v>0</v>
      </c>
      <c r="K573" s="6" t="n">
        <f aca="false">IF(F573&gt;$P$6,1,0)</f>
        <v>0</v>
      </c>
      <c r="L573" s="6" t="n">
        <f aca="false">IF(G573&gt;$P$9,1,0)</f>
        <v>0</v>
      </c>
      <c r="M573" s="6" t="n">
        <f aca="false">IF(ABS(H573)&gt;$P$8,1,0)</f>
        <v>0</v>
      </c>
    </row>
    <row r="574" customFormat="false" ht="15" hidden="false" customHeight="false" outlineLevel="0" collapsed="false">
      <c r="A574" s="0" t="n">
        <f aca="false">ROW()-1</f>
        <v>573</v>
      </c>
      <c r="B574" s="22" t="n">
        <f aca="false">SUMPRODUCT(MMULT('Analysis Data'!N574:U574,'Final Model'!$B$59:$I$66),'Analysis Data'!N574:U574)</f>
        <v>0.00186895153502392</v>
      </c>
      <c r="C574" s="15" t="n">
        <f aca="false">'Residual Diagnostics'!F574</f>
        <v>-21.8915603985056</v>
      </c>
      <c r="D574" s="13" t="n">
        <f aca="false">C574/('Final Model'!$B$21*SQRT(1-B574))</f>
        <v>-0.446892580864483</v>
      </c>
      <c r="E574" s="13" t="n">
        <f aca="false">D574*SQRT(('Final Model'!$B$24-1)/('Final Model'!$B$24-D574^2))</f>
        <v>-0.446762774576743</v>
      </c>
      <c r="F574" s="23" t="n">
        <f aca="false">D574^2/($P$3+1)*B574/(1-B574)</f>
        <v>4.67440972462692E-005</v>
      </c>
      <c r="G574" s="13" t="n">
        <f aca="false">($P$2-1)*(B574-1/$P$2)</f>
        <v>1.58921937672963</v>
      </c>
      <c r="H574" s="13" t="n">
        <f aca="false">E574*SQRT(B574/(1-B574))</f>
        <v>-0.0193322417154649</v>
      </c>
      <c r="I574" s="13" t="n">
        <f aca="false">ABS(D574)</f>
        <v>0.446892580864483</v>
      </c>
      <c r="J574" s="6" t="n">
        <f aca="false">IF(B574&gt;$P$4,1,0)</f>
        <v>0</v>
      </c>
      <c r="K574" s="6" t="n">
        <f aca="false">IF(F574&gt;$P$6,1,0)</f>
        <v>0</v>
      </c>
      <c r="L574" s="6" t="n">
        <f aca="false">IF(G574&gt;$P$9,1,0)</f>
        <v>0</v>
      </c>
      <c r="M574" s="6" t="n">
        <f aca="false">IF(ABS(H574)&gt;$P$8,1,0)</f>
        <v>0</v>
      </c>
    </row>
    <row r="575" customFormat="false" ht="15" hidden="false" customHeight="false" outlineLevel="0" collapsed="false">
      <c r="A575" s="0" t="n">
        <f aca="false">ROW()-1</f>
        <v>574</v>
      </c>
      <c r="B575" s="22" t="n">
        <f aca="false">SUMPRODUCT(MMULT('Analysis Data'!N575:U575,'Final Model'!$B$59:$I$66),'Analysis Data'!N575:U575)</f>
        <v>0.00180149795172921</v>
      </c>
      <c r="C575" s="15" t="n">
        <f aca="false">'Residual Diagnostics'!F575</f>
        <v>29.9769741535196</v>
      </c>
      <c r="D575" s="13" t="n">
        <f aca="false">C575/('Final Model'!$B$21*SQRT(1-B575))</f>
        <v>0.611926900527449</v>
      </c>
      <c r="E575" s="13" t="n">
        <f aca="false">D575*SQRT(('Final Model'!$B$24-1)/('Final Model'!$B$24-D575^2))</f>
        <v>0.611787954365921</v>
      </c>
      <c r="F575" s="23" t="n">
        <f aca="false">D575^2/($P$3+1)*B575/(1-B575)</f>
        <v>8.44745647144986E-005</v>
      </c>
      <c r="G575" s="13" t="n">
        <f aca="false">($P$2-1)*(B575-1/$P$2)</f>
        <v>1.49579616386646</v>
      </c>
      <c r="H575" s="13" t="n">
        <f aca="false">E575*SQRT(B575/(1-B575))</f>
        <v>0.0259901838265755</v>
      </c>
      <c r="I575" s="13" t="n">
        <f aca="false">ABS(D575)</f>
        <v>0.611926900527449</v>
      </c>
      <c r="J575" s="6" t="n">
        <f aca="false">IF(B575&gt;$P$4,1,0)</f>
        <v>0</v>
      </c>
      <c r="K575" s="6" t="n">
        <f aca="false">IF(F575&gt;$P$6,1,0)</f>
        <v>0</v>
      </c>
      <c r="L575" s="6" t="n">
        <f aca="false">IF(G575&gt;$P$9,1,0)</f>
        <v>0</v>
      </c>
      <c r="M575" s="6" t="n">
        <f aca="false">IF(ABS(H575)&gt;$P$8,1,0)</f>
        <v>0</v>
      </c>
    </row>
    <row r="576" customFormat="false" ht="15" hidden="false" customHeight="false" outlineLevel="0" collapsed="false">
      <c r="A576" s="0" t="n">
        <f aca="false">ROW()-1</f>
        <v>575</v>
      </c>
      <c r="B576" s="22" t="n">
        <f aca="false">SUMPRODUCT(MMULT('Analysis Data'!N576:U576,'Final Model'!$B$59:$I$66),'Analysis Data'!N576:U576)</f>
        <v>0.00174143150297212</v>
      </c>
      <c r="C576" s="15" t="n">
        <f aca="false">'Residual Diagnostics'!F576</f>
        <v>48.8677504797119</v>
      </c>
      <c r="D576" s="13" t="n">
        <f aca="false">C576/('Final Model'!$B$21*SQRT(1-B576))</f>
        <v>0.997518670669156</v>
      </c>
      <c r="E576" s="13" t="n">
        <f aca="false">D576*SQRT(('Final Model'!$B$24-1)/('Final Model'!$B$24-D576^2))</f>
        <v>0.997516875393336</v>
      </c>
      <c r="F576" s="23" t="n">
        <f aca="false">D576^2/($P$3+1)*B576/(1-B576)</f>
        <v>0.00021697786394092</v>
      </c>
      <c r="G576" s="13" t="n">
        <f aca="false">($P$2-1)*(B576-1/$P$2)</f>
        <v>1.41260413233788</v>
      </c>
      <c r="H576" s="13" t="n">
        <f aca="false">E576*SQRT(B576/(1-B576))</f>
        <v>0.0416631331451161</v>
      </c>
      <c r="I576" s="13" t="n">
        <f aca="false">ABS(D576)</f>
        <v>0.997518670669156</v>
      </c>
      <c r="J576" s="6" t="n">
        <f aca="false">IF(B576&gt;$P$4,1,0)</f>
        <v>0</v>
      </c>
      <c r="K576" s="6" t="n">
        <f aca="false">IF(F576&gt;$P$6,1,0)</f>
        <v>0</v>
      </c>
      <c r="L576" s="6" t="n">
        <f aca="false">IF(G576&gt;$P$9,1,0)</f>
        <v>0</v>
      </c>
      <c r="M576" s="6" t="n">
        <f aca="false">IF(ABS(H576)&gt;$P$8,1,0)</f>
        <v>0</v>
      </c>
    </row>
    <row r="577" customFormat="false" ht="15" hidden="false" customHeight="false" outlineLevel="0" collapsed="false">
      <c r="A577" s="0" t="n">
        <f aca="false">ROW()-1</f>
        <v>576</v>
      </c>
      <c r="B577" s="22" t="n">
        <f aca="false">SUMPRODUCT(MMULT('Analysis Data'!N577:U577,'Final Model'!$B$59:$I$66),'Analysis Data'!N577:U577)</f>
        <v>0.00174143150297212</v>
      </c>
      <c r="C577" s="15" t="n">
        <f aca="false">'Residual Diagnostics'!F577</f>
        <v>-64.6118333684035</v>
      </c>
      <c r="D577" s="13" t="n">
        <f aca="false">C577/('Final Model'!$B$21*SQRT(1-B577))</f>
        <v>-1.31889660355667</v>
      </c>
      <c r="E577" s="13" t="n">
        <f aca="false">D577*SQRT(('Final Model'!$B$24-1)/('Final Model'!$B$24-D577^2))</f>
        <v>-1.31925088879439</v>
      </c>
      <c r="F577" s="23" t="n">
        <f aca="false">D577^2/($P$3+1)*B577/(1-B577)</f>
        <v>0.000379310498140953</v>
      </c>
      <c r="G577" s="13" t="n">
        <f aca="false">($P$2-1)*(B577-1/$P$2)</f>
        <v>1.41260413233788</v>
      </c>
      <c r="H577" s="13" t="n">
        <f aca="false">E577*SQRT(B577/(1-B577))</f>
        <v>-0.0551009479513621</v>
      </c>
      <c r="I577" s="13" t="n">
        <f aca="false">ABS(D577)</f>
        <v>1.31889660355667</v>
      </c>
      <c r="J577" s="6" t="n">
        <f aca="false">IF(B577&gt;$P$4,1,0)</f>
        <v>0</v>
      </c>
      <c r="K577" s="6" t="n">
        <f aca="false">IF(F577&gt;$P$6,1,0)</f>
        <v>0</v>
      </c>
      <c r="L577" s="6" t="n">
        <f aca="false">IF(G577&gt;$P$9,1,0)</f>
        <v>0</v>
      </c>
      <c r="M577" s="6" t="n">
        <f aca="false">IF(ABS(H577)&gt;$P$8,1,0)</f>
        <v>0</v>
      </c>
    </row>
    <row r="578" customFormat="false" ht="15" hidden="false" customHeight="false" outlineLevel="0" collapsed="false">
      <c r="A578" s="0" t="n">
        <f aca="false">ROW()-1</f>
        <v>577</v>
      </c>
      <c r="B578" s="22" t="n">
        <f aca="false">SUMPRODUCT(MMULT('Analysis Data'!N578:U578,'Final Model'!$B$59:$I$66),'Analysis Data'!N578:U578)</f>
        <v>0.00174143150297212</v>
      </c>
      <c r="C578" s="15" t="n">
        <f aca="false">'Residual Diagnostics'!F578</f>
        <v>-90.741718585966</v>
      </c>
      <c r="D578" s="13" t="n">
        <f aca="false">C578/('Final Model'!$B$21*SQRT(1-B578))</f>
        <v>-1.85227594087202</v>
      </c>
      <c r="E578" s="13" t="n">
        <f aca="false">D578*SQRT(('Final Model'!$B$24-1)/('Final Model'!$B$24-D578^2))</f>
        <v>-1.85391309287447</v>
      </c>
      <c r="F578" s="23" t="n">
        <f aca="false">D578^2/($P$3+1)*B578/(1-B578)</f>
        <v>0.000748143202813208</v>
      </c>
      <c r="G578" s="13" t="n">
        <f aca="false">($P$2-1)*(B578-1/$P$2)</f>
        <v>1.41260413233788</v>
      </c>
      <c r="H578" s="13" t="n">
        <f aca="false">E578*SQRT(B578/(1-B578))</f>
        <v>-0.0774321015846938</v>
      </c>
      <c r="I578" s="13" t="n">
        <f aca="false">ABS(D578)</f>
        <v>1.85227594087202</v>
      </c>
      <c r="J578" s="6" t="n">
        <f aca="false">IF(B578&gt;$P$4,1,0)</f>
        <v>0</v>
      </c>
      <c r="K578" s="6" t="n">
        <f aca="false">IF(F578&gt;$P$6,1,0)</f>
        <v>0</v>
      </c>
      <c r="L578" s="6" t="n">
        <f aca="false">IF(G578&gt;$P$9,1,0)</f>
        <v>0</v>
      </c>
      <c r="M578" s="6" t="n">
        <f aca="false">IF(ABS(H578)&gt;$P$8,1,0)</f>
        <v>0</v>
      </c>
    </row>
    <row r="579" customFormat="false" ht="15" hidden="false" customHeight="false" outlineLevel="0" collapsed="false">
      <c r="A579" s="0" t="n">
        <f aca="false">ROW()-1</f>
        <v>578</v>
      </c>
      <c r="B579" s="22" t="n">
        <f aca="false">SUMPRODUCT(MMULT('Analysis Data'!N579:U579,'Final Model'!$B$59:$I$66),'Analysis Data'!N579:U579)</f>
        <v>0.00186895153502392</v>
      </c>
      <c r="C579" s="15" t="n">
        <f aca="false">'Residual Diagnostics'!F579</f>
        <v>-8.07554374301392</v>
      </c>
      <c r="D579" s="13" t="n">
        <f aca="false">C579/('Final Model'!$B$21*SQRT(1-B579))</f>
        <v>-0.164853510645402</v>
      </c>
      <c r="E579" s="13" t="n">
        <f aca="false">D579*SQRT(('Final Model'!$B$24-1)/('Final Model'!$B$24-D579^2))</f>
        <v>-0.16479530860688</v>
      </c>
      <c r="F579" s="23" t="n">
        <f aca="false">D579^2/($P$3+1)*B579/(1-B579)</f>
        <v>6.36087538665997E-006</v>
      </c>
      <c r="G579" s="13" t="n">
        <f aca="false">($P$2-1)*(B579-1/$P$2)</f>
        <v>1.58921937672963</v>
      </c>
      <c r="H579" s="13" t="n">
        <f aca="false">E579*SQRT(B579/(1-B579))</f>
        <v>-0.00713099416705222</v>
      </c>
      <c r="I579" s="13" t="n">
        <f aca="false">ABS(D579)</f>
        <v>0.164853510645402</v>
      </c>
      <c r="J579" s="6" t="n">
        <f aca="false">IF(B579&gt;$P$4,1,0)</f>
        <v>0</v>
      </c>
      <c r="K579" s="6" t="n">
        <f aca="false">IF(F579&gt;$P$6,1,0)</f>
        <v>0</v>
      </c>
      <c r="L579" s="6" t="n">
        <f aca="false">IF(G579&gt;$P$9,1,0)</f>
        <v>0</v>
      </c>
      <c r="M579" s="6" t="n">
        <f aca="false">IF(ABS(H579)&gt;$P$8,1,0)</f>
        <v>0</v>
      </c>
    </row>
    <row r="580" customFormat="false" ht="15" hidden="false" customHeight="false" outlineLevel="0" collapsed="false">
      <c r="A580" s="0" t="n">
        <f aca="false">ROW()-1</f>
        <v>579</v>
      </c>
      <c r="B580" s="22" t="n">
        <f aca="false">SUMPRODUCT(MMULT('Analysis Data'!N580:U580,'Final Model'!$B$59:$I$66),'Analysis Data'!N580:U580)</f>
        <v>0.00186895153502392</v>
      </c>
      <c r="C580" s="15" t="n">
        <f aca="false">'Residual Diagnostics'!F580</f>
        <v>13.4010578648509</v>
      </c>
      <c r="D580" s="13" t="n">
        <f aca="false">C580/('Final Model'!$B$21*SQRT(1-B580))</f>
        <v>0.273568134318387</v>
      </c>
      <c r="E580" s="13" t="n">
        <f aca="false">D580*SQRT(('Final Model'!$B$24-1)/('Final Model'!$B$24-D580^2))</f>
        <v>0.273476279938429</v>
      </c>
      <c r="F580" s="23" t="n">
        <f aca="false">D580^2/($P$3+1)*B580/(1-B580)</f>
        <v>1.75166682382609E-005</v>
      </c>
      <c r="G580" s="13" t="n">
        <f aca="false">($P$2-1)*(B580-1/$P$2)</f>
        <v>1.58921937672963</v>
      </c>
      <c r="H580" s="13" t="n">
        <f aca="false">E580*SQRT(B580/(1-B580))</f>
        <v>0.0118338184111794</v>
      </c>
      <c r="I580" s="13" t="n">
        <f aca="false">ABS(D580)</f>
        <v>0.273568134318387</v>
      </c>
      <c r="J580" s="6" t="n">
        <f aca="false">IF(B580&gt;$P$4,1,0)</f>
        <v>0</v>
      </c>
      <c r="K580" s="6" t="n">
        <f aca="false">IF(F580&gt;$P$6,1,0)</f>
        <v>0</v>
      </c>
      <c r="L580" s="6" t="n">
        <f aca="false">IF(G580&gt;$P$9,1,0)</f>
        <v>0</v>
      </c>
      <c r="M580" s="6" t="n">
        <f aca="false">IF(ABS(H580)&gt;$P$8,1,0)</f>
        <v>0</v>
      </c>
    </row>
    <row r="581" customFormat="false" ht="15" hidden="false" customHeight="false" outlineLevel="0" collapsed="false">
      <c r="A581" s="0" t="n">
        <f aca="false">ROW()-1</f>
        <v>580</v>
      </c>
      <c r="B581" s="22" t="n">
        <f aca="false">SUMPRODUCT(MMULT('Analysis Data'!N581:U581,'Final Model'!$B$59:$I$66),'Analysis Data'!N581:U581)</f>
        <v>0.00186895153502392</v>
      </c>
      <c r="C581" s="15" t="n">
        <f aca="false">'Residual Diagnostics'!F581</f>
        <v>12.4657928083621</v>
      </c>
      <c r="D581" s="13" t="n">
        <f aca="false">C581/('Final Model'!$B$21*SQRT(1-B581))</f>
        <v>0.25447570749827</v>
      </c>
      <c r="E581" s="13" t="n">
        <f aca="false">D581*SQRT(('Final Model'!$B$24-1)/('Final Model'!$B$24-D581^2))</f>
        <v>0.254389333048728</v>
      </c>
      <c r="F581" s="23" t="n">
        <f aca="false">D581^2/($P$3+1)*B581/(1-B581)</f>
        <v>1.51569964288076E-005</v>
      </c>
      <c r="G581" s="13" t="n">
        <f aca="false">($P$2-1)*(B581-1/$P$2)</f>
        <v>1.58921937672963</v>
      </c>
      <c r="H581" s="13" t="n">
        <f aca="false">E581*SQRT(B581/(1-B581))</f>
        <v>0.0110078913378427</v>
      </c>
      <c r="I581" s="13" t="n">
        <f aca="false">ABS(D581)</f>
        <v>0.25447570749827</v>
      </c>
      <c r="J581" s="6" t="n">
        <f aca="false">IF(B581&gt;$P$4,1,0)</f>
        <v>0</v>
      </c>
      <c r="K581" s="6" t="n">
        <f aca="false">IF(F581&gt;$P$6,1,0)</f>
        <v>0</v>
      </c>
      <c r="L581" s="6" t="n">
        <f aca="false">IF(G581&gt;$P$9,1,0)</f>
        <v>0</v>
      </c>
      <c r="M581" s="6" t="n">
        <f aca="false">IF(ABS(H581)&gt;$P$8,1,0)</f>
        <v>0</v>
      </c>
    </row>
    <row r="582" customFormat="false" ht="15" hidden="false" customHeight="false" outlineLevel="0" collapsed="false">
      <c r="A582" s="0" t="n">
        <f aca="false">ROW()-1</f>
        <v>581</v>
      </c>
      <c r="B582" s="22" t="n">
        <f aca="false">SUMPRODUCT(MMULT('Analysis Data'!N582:U582,'Final Model'!$B$59:$I$66),'Analysis Data'!N582:U582)</f>
        <v>0.00186895153502392</v>
      </c>
      <c r="C582" s="15" t="n">
        <f aca="false">'Residual Diagnostics'!F582</f>
        <v>-65.4548455222853</v>
      </c>
      <c r="D582" s="13" t="n">
        <f aca="false">C582/('Final Model'!$B$21*SQRT(1-B582))</f>
        <v>-1.33619003456405</v>
      </c>
      <c r="E582" s="13" t="n">
        <f aca="false">D582*SQRT(('Final Model'!$B$24-1)/('Final Model'!$B$24-D582^2))</f>
        <v>-1.33657126110308</v>
      </c>
      <c r="F582" s="23" t="n">
        <f aca="false">D582^2/($P$3+1)*B582/(1-B582)</f>
        <v>0.000417885155662428</v>
      </c>
      <c r="G582" s="13" t="n">
        <f aca="false">($P$2-1)*(B582-1/$P$2)</f>
        <v>1.58921937672963</v>
      </c>
      <c r="H582" s="13" t="n">
        <f aca="false">E582*SQRT(B582/(1-B582))</f>
        <v>-0.0578358810535812</v>
      </c>
      <c r="I582" s="13" t="n">
        <f aca="false">ABS(D582)</f>
        <v>1.33619003456405</v>
      </c>
      <c r="J582" s="6" t="n">
        <f aca="false">IF(B582&gt;$P$4,1,0)</f>
        <v>0</v>
      </c>
      <c r="K582" s="6" t="n">
        <f aca="false">IF(F582&gt;$P$6,1,0)</f>
        <v>0</v>
      </c>
      <c r="L582" s="6" t="n">
        <f aca="false">IF(G582&gt;$P$9,1,0)</f>
        <v>0</v>
      </c>
      <c r="M582" s="6" t="n">
        <f aca="false">IF(ABS(H582)&gt;$P$8,1,0)</f>
        <v>0</v>
      </c>
    </row>
    <row r="583" customFormat="false" ht="15" hidden="false" customHeight="false" outlineLevel="0" collapsed="false">
      <c r="A583" s="0" t="n">
        <f aca="false">ROW()-1</f>
        <v>582</v>
      </c>
      <c r="B583" s="22" t="n">
        <f aca="false">SUMPRODUCT(MMULT('Analysis Data'!N583:U583,'Final Model'!$B$59:$I$66),'Analysis Data'!N583:U583)</f>
        <v>0.00178381200285069</v>
      </c>
      <c r="C583" s="15" t="n">
        <f aca="false">'Residual Diagnostics'!F583</f>
        <v>72.2067198353252</v>
      </c>
      <c r="D583" s="13" t="n">
        <f aca="false">C583/('Final Model'!$B$21*SQRT(1-B583))</f>
        <v>1.47395940000279</v>
      </c>
      <c r="E583" s="13" t="n">
        <f aca="false">D583*SQRT(('Final Model'!$B$24-1)/('Final Model'!$B$24-D583^2))</f>
        <v>1.47458736113477</v>
      </c>
      <c r="F583" s="23" t="n">
        <f aca="false">D583^2/($P$3+1)*B583/(1-B583)</f>
        <v>0.000485294677939255</v>
      </c>
      <c r="G583" s="13" t="n">
        <f aca="false">($P$2-1)*(B583-1/$P$2)</f>
        <v>1.47130112466971</v>
      </c>
      <c r="H583" s="13" t="n">
        <f aca="false">E583*SQRT(B583/(1-B583))</f>
        <v>0.0623351119629729</v>
      </c>
      <c r="I583" s="13" t="n">
        <f aca="false">ABS(D583)</f>
        <v>1.47395940000279</v>
      </c>
      <c r="J583" s="6" t="n">
        <f aca="false">IF(B583&gt;$P$4,1,0)</f>
        <v>0</v>
      </c>
      <c r="K583" s="6" t="n">
        <f aca="false">IF(F583&gt;$P$6,1,0)</f>
        <v>0</v>
      </c>
      <c r="L583" s="6" t="n">
        <f aca="false">IF(G583&gt;$P$9,1,0)</f>
        <v>0</v>
      </c>
      <c r="M583" s="6" t="n">
        <f aca="false">IF(ABS(H583)&gt;$P$8,1,0)</f>
        <v>0</v>
      </c>
    </row>
    <row r="584" customFormat="false" ht="15" hidden="false" customHeight="false" outlineLevel="0" collapsed="false">
      <c r="A584" s="0" t="n">
        <f aca="false">ROW()-1</f>
        <v>583</v>
      </c>
      <c r="B584" s="22" t="n">
        <f aca="false">SUMPRODUCT(MMULT('Analysis Data'!N584:U584,'Final Model'!$B$59:$I$66),'Analysis Data'!N584:U584)</f>
        <v>0.00178381200285069</v>
      </c>
      <c r="C584" s="15" t="n">
        <f aca="false">'Residual Diagnostics'!F584</f>
        <v>-67.9516385897066</v>
      </c>
      <c r="D584" s="13" t="n">
        <f aca="false">C584/('Final Model'!$B$21*SQRT(1-B584))</f>
        <v>-1.38710021274074</v>
      </c>
      <c r="E584" s="13" t="n">
        <f aca="false">D584*SQRT(('Final Model'!$B$24-1)/('Final Model'!$B$24-D584^2))</f>
        <v>-1.38756585952575</v>
      </c>
      <c r="F584" s="23" t="n">
        <f aca="false">D584^2/($P$3+1)*B584/(1-B584)</f>
        <v>0.000429783920338179</v>
      </c>
      <c r="G584" s="13" t="n">
        <f aca="false">($P$2-1)*(B584-1/$P$2)</f>
        <v>1.47130112466971</v>
      </c>
      <c r="H584" s="13" t="n">
        <f aca="false">E584*SQRT(B584/(1-B584))</f>
        <v>-0.0586564590808474</v>
      </c>
      <c r="I584" s="13" t="n">
        <f aca="false">ABS(D584)</f>
        <v>1.38710021274074</v>
      </c>
      <c r="J584" s="6" t="n">
        <f aca="false">IF(B584&gt;$P$4,1,0)</f>
        <v>0</v>
      </c>
      <c r="K584" s="6" t="n">
        <f aca="false">IF(F584&gt;$P$6,1,0)</f>
        <v>0</v>
      </c>
      <c r="L584" s="6" t="n">
        <f aca="false">IF(G584&gt;$P$9,1,0)</f>
        <v>0</v>
      </c>
      <c r="M584" s="6" t="n">
        <f aca="false">IF(ABS(H584)&gt;$P$8,1,0)</f>
        <v>0</v>
      </c>
    </row>
    <row r="585" customFormat="false" ht="15" hidden="false" customHeight="false" outlineLevel="0" collapsed="false">
      <c r="A585" s="0" t="n">
        <f aca="false">ROW()-1</f>
        <v>584</v>
      </c>
      <c r="B585" s="22" t="n">
        <f aca="false">SUMPRODUCT(MMULT('Analysis Data'!N585:U585,'Final Model'!$B$59:$I$66),'Analysis Data'!N585:U585)</f>
        <v>0.00194862918316512</v>
      </c>
      <c r="C585" s="15" t="n">
        <f aca="false">'Residual Diagnostics'!F585</f>
        <v>6.20798720985999</v>
      </c>
      <c r="D585" s="13" t="n">
        <f aca="false">C585/('Final Model'!$B$21*SQRT(1-B585))</f>
        <v>0.126734417933321</v>
      </c>
      <c r="E585" s="13" t="n">
        <f aca="false">D585*SQRT(('Final Model'!$B$24-1)/('Final Model'!$B$24-D585^2))</f>
        <v>0.126689163005695</v>
      </c>
      <c r="F585" s="23" t="n">
        <f aca="false">D585^2/($P$3+1)*B585/(1-B585)</f>
        <v>3.91990434178075E-006</v>
      </c>
      <c r="G585" s="13" t="n">
        <f aca="false">($P$2-1)*(B585-1/$P$2)</f>
        <v>1.69957291940519</v>
      </c>
      <c r="H585" s="13" t="n">
        <f aca="false">E585*SQRT(B585/(1-B585))</f>
        <v>0.00559793202209651</v>
      </c>
      <c r="I585" s="13" t="n">
        <f aca="false">ABS(D585)</f>
        <v>0.126734417933321</v>
      </c>
      <c r="J585" s="6" t="n">
        <f aca="false">IF(B585&gt;$P$4,1,0)</f>
        <v>0</v>
      </c>
      <c r="K585" s="6" t="n">
        <f aca="false">IF(F585&gt;$P$6,1,0)</f>
        <v>0</v>
      </c>
      <c r="L585" s="6" t="n">
        <f aca="false">IF(G585&gt;$P$9,1,0)</f>
        <v>0</v>
      </c>
      <c r="M585" s="6" t="n">
        <f aca="false">IF(ABS(H585)&gt;$P$8,1,0)</f>
        <v>0</v>
      </c>
    </row>
    <row r="586" customFormat="false" ht="15" hidden="false" customHeight="false" outlineLevel="0" collapsed="false">
      <c r="A586" s="0" t="n">
        <f aca="false">ROW()-1</f>
        <v>585</v>
      </c>
      <c r="B586" s="22" t="n">
        <f aca="false">SUMPRODUCT(MMULT('Analysis Data'!N586:U586,'Final Model'!$B$59:$I$66),'Analysis Data'!N586:U586)</f>
        <v>0.00185009629181082</v>
      </c>
      <c r="C586" s="15" t="n">
        <f aca="false">'Residual Diagnostics'!F586</f>
        <v>37.0456436095481</v>
      </c>
      <c r="D586" s="13" t="n">
        <f aca="false">C586/('Final Model'!$B$21*SQRT(1-B586))</f>
        <v>0.756239692958896</v>
      </c>
      <c r="E586" s="13" t="n">
        <f aca="false">D586*SQRT(('Final Model'!$B$24-1)/('Final Model'!$B$24-D586^2))</f>
        <v>0.75612216503649</v>
      </c>
      <c r="F586" s="23" t="n">
        <f aca="false">D586^2/($P$3+1)*B586/(1-B586)</f>
        <v>0.000132503549897785</v>
      </c>
      <c r="G586" s="13" t="n">
        <f aca="false">($P$2-1)*(B586-1/$P$2)</f>
        <v>1.56310486487949</v>
      </c>
      <c r="H586" s="13" t="n">
        <f aca="false">E586*SQRT(B586/(1-B586))</f>
        <v>0.0325530174448143</v>
      </c>
      <c r="I586" s="13" t="n">
        <f aca="false">ABS(D586)</f>
        <v>0.756239692958896</v>
      </c>
      <c r="J586" s="6" t="n">
        <f aca="false">IF(B586&gt;$P$4,1,0)</f>
        <v>0</v>
      </c>
      <c r="K586" s="6" t="n">
        <f aca="false">IF(F586&gt;$P$6,1,0)</f>
        <v>0</v>
      </c>
      <c r="L586" s="6" t="n">
        <f aca="false">IF(G586&gt;$P$9,1,0)</f>
        <v>0</v>
      </c>
      <c r="M586" s="6" t="n">
        <f aca="false">IF(ABS(H586)&gt;$P$8,1,0)</f>
        <v>0</v>
      </c>
    </row>
    <row r="587" customFormat="false" ht="15" hidden="false" customHeight="false" outlineLevel="0" collapsed="false">
      <c r="A587" s="0" t="n">
        <f aca="false">ROW()-1</f>
        <v>586</v>
      </c>
      <c r="B587" s="22" t="n">
        <f aca="false">SUMPRODUCT(MMULT('Analysis Data'!N587:U587,'Final Model'!$B$59:$I$66),'Analysis Data'!N587:U587)</f>
        <v>0.00174146366347137</v>
      </c>
      <c r="C587" s="15" t="n">
        <f aca="false">'Residual Diagnostics'!F587</f>
        <v>-29.447614568814</v>
      </c>
      <c r="D587" s="13" t="n">
        <f aca="false">C587/('Final Model'!$B$21*SQRT(1-B587))</f>
        <v>-0.601102885315547</v>
      </c>
      <c r="E587" s="13" t="n">
        <f aca="false">D587*SQRT(('Final Model'!$B$24-1)/('Final Model'!$B$24-D587^2))</f>
        <v>-0.600963533070706</v>
      </c>
      <c r="F587" s="23" t="n">
        <f aca="false">D587^2/($P$3+1)*B587/(1-B587)</f>
        <v>7.87914372664799E-005</v>
      </c>
      <c r="G587" s="13" t="n">
        <f aca="false">($P$2-1)*(B587-1/$P$2)</f>
        <v>1.41264867462934</v>
      </c>
      <c r="H587" s="13" t="n">
        <f aca="false">E587*SQRT(B587/(1-B587))</f>
        <v>-0.0251005831709117</v>
      </c>
      <c r="I587" s="13" t="n">
        <f aca="false">ABS(D587)</f>
        <v>0.601102885315547</v>
      </c>
      <c r="J587" s="6" t="n">
        <f aca="false">IF(B587&gt;$P$4,1,0)</f>
        <v>0</v>
      </c>
      <c r="K587" s="6" t="n">
        <f aca="false">IF(F587&gt;$P$6,1,0)</f>
        <v>0</v>
      </c>
      <c r="L587" s="6" t="n">
        <f aca="false">IF(G587&gt;$P$9,1,0)</f>
        <v>0</v>
      </c>
      <c r="M587" s="6" t="n">
        <f aca="false">IF(ABS(H587)&gt;$P$8,1,0)</f>
        <v>0</v>
      </c>
    </row>
    <row r="588" customFormat="false" ht="15" hidden="false" customHeight="false" outlineLevel="0" collapsed="false">
      <c r="A588" s="0" t="n">
        <f aca="false">ROW()-1</f>
        <v>587</v>
      </c>
      <c r="B588" s="22" t="n">
        <f aca="false">SUMPRODUCT(MMULT('Analysis Data'!N588:U588,'Final Model'!$B$59:$I$66),'Analysis Data'!N588:U588)</f>
        <v>0.00169798037158465</v>
      </c>
      <c r="C588" s="15" t="n">
        <f aca="false">'Residual Diagnostics'!F588</f>
        <v>-17.2369491721297</v>
      </c>
      <c r="D588" s="13" t="n">
        <f aca="false">C588/('Final Model'!$B$21*SQRT(1-B588))</f>
        <v>-0.351843583203588</v>
      </c>
      <c r="E588" s="13" t="n">
        <f aca="false">D588*SQRT(('Final Model'!$B$24-1)/('Final Model'!$B$24-D588^2))</f>
        <v>-0.351731694879942</v>
      </c>
      <c r="F588" s="23" t="n">
        <f aca="false">D588^2/($P$3+1)*B588/(1-B588)</f>
        <v>2.63196432724525E-005</v>
      </c>
      <c r="G588" s="13" t="n">
        <f aca="false">($P$2-1)*(B588-1/$P$2)</f>
        <v>1.35242431536625</v>
      </c>
      <c r="H588" s="13" t="n">
        <f aca="false">E588*SQRT(B588/(1-B588))</f>
        <v>-0.0145059729303909</v>
      </c>
      <c r="I588" s="13" t="n">
        <f aca="false">ABS(D588)</f>
        <v>0.351843583203588</v>
      </c>
      <c r="J588" s="6" t="n">
        <f aca="false">IF(B588&gt;$P$4,1,0)</f>
        <v>0</v>
      </c>
      <c r="K588" s="6" t="n">
        <f aca="false">IF(F588&gt;$P$6,1,0)</f>
        <v>0</v>
      </c>
      <c r="L588" s="6" t="n">
        <f aca="false">IF(G588&gt;$P$9,1,0)</f>
        <v>0</v>
      </c>
      <c r="M588" s="6" t="n">
        <f aca="false">IF(ABS(H588)&gt;$P$8,1,0)</f>
        <v>0</v>
      </c>
    </row>
    <row r="589" customFormat="false" ht="15" hidden="false" customHeight="false" outlineLevel="0" collapsed="false">
      <c r="A589" s="0" t="n">
        <f aca="false">ROW()-1</f>
        <v>588</v>
      </c>
      <c r="B589" s="22" t="n">
        <f aca="false">SUMPRODUCT(MMULT('Analysis Data'!N589:U589,'Final Model'!$B$59:$I$66),'Analysis Data'!N589:U589)</f>
        <v>0.00174146366347137</v>
      </c>
      <c r="C589" s="15" t="n">
        <f aca="false">'Residual Diagnostics'!F589</f>
        <v>-18.9742900122587</v>
      </c>
      <c r="D589" s="13" t="n">
        <f aca="false">C589/('Final Model'!$B$21*SQRT(1-B589))</f>
        <v>-0.387314919737555</v>
      </c>
      <c r="E589" s="13" t="n">
        <f aca="false">D589*SQRT(('Final Model'!$B$24-1)/('Final Model'!$B$24-D589^2))</f>
        <v>-0.387195435215662</v>
      </c>
      <c r="F589" s="23" t="n">
        <f aca="false">D589^2/($P$3+1)*B589/(1-B589)</f>
        <v>3.27122073947476E-005</v>
      </c>
      <c r="G589" s="13" t="n">
        <f aca="false">($P$2-1)*(B589-1/$P$2)</f>
        <v>1.41264867462934</v>
      </c>
      <c r="H589" s="13" t="n">
        <f aca="false">E589*SQRT(B589/(1-B589))</f>
        <v>-0.0161720814828287</v>
      </c>
      <c r="I589" s="13" t="n">
        <f aca="false">ABS(D589)</f>
        <v>0.387314919737555</v>
      </c>
      <c r="J589" s="6" t="n">
        <f aca="false">IF(B589&gt;$P$4,1,0)</f>
        <v>0</v>
      </c>
      <c r="K589" s="6" t="n">
        <f aca="false">IF(F589&gt;$P$6,1,0)</f>
        <v>0</v>
      </c>
      <c r="L589" s="6" t="n">
        <f aca="false">IF(G589&gt;$P$9,1,0)</f>
        <v>0</v>
      </c>
      <c r="M589" s="6" t="n">
        <f aca="false">IF(ABS(H589)&gt;$P$8,1,0)</f>
        <v>0</v>
      </c>
    </row>
    <row r="590" customFormat="false" ht="15" hidden="false" customHeight="false" outlineLevel="0" collapsed="false">
      <c r="A590" s="0" t="n">
        <f aca="false">ROW()-1</f>
        <v>589</v>
      </c>
      <c r="B590" s="22" t="n">
        <f aca="false">SUMPRODUCT(MMULT('Analysis Data'!N590:U590,'Final Model'!$B$59:$I$66),'Analysis Data'!N590:U590)</f>
        <v>0.00349598211540633</v>
      </c>
      <c r="C590" s="15" t="n">
        <f aca="false">'Residual Diagnostics'!F590</f>
        <v>-56.8327876877975</v>
      </c>
      <c r="D590" s="13" t="n">
        <f aca="false">C590/('Final Model'!$B$21*SQRT(1-B590))</f>
        <v>-1.16112677759174</v>
      </c>
      <c r="E590" s="13" t="n">
        <f aca="false">D590*SQRT(('Final Model'!$B$24-1)/('Final Model'!$B$24-D590^2))</f>
        <v>-1.16127361815738</v>
      </c>
      <c r="F590" s="23" t="n">
        <f aca="false">D590^2/($P$3+1)*B590/(1-B590)</f>
        <v>0.000591234056673525</v>
      </c>
      <c r="G590" s="13" t="n">
        <f aca="false">($P$2-1)*(B590-1/$P$2)</f>
        <v>3.84265673055927</v>
      </c>
      <c r="H590" s="13" t="n">
        <f aca="false">E590*SQRT(B590/(1-B590))</f>
        <v>-0.0687827656089732</v>
      </c>
      <c r="I590" s="13" t="n">
        <f aca="false">ABS(D590)</f>
        <v>1.16112677759174</v>
      </c>
      <c r="J590" s="6" t="n">
        <f aca="false">IF(B590&gt;$P$4,1,0)</f>
        <v>0</v>
      </c>
      <c r="K590" s="6" t="n">
        <f aca="false">IF(F590&gt;$P$6,1,0)</f>
        <v>0</v>
      </c>
      <c r="L590" s="6" t="n">
        <f aca="false">IF(G590&gt;$P$9,1,0)</f>
        <v>0</v>
      </c>
      <c r="M590" s="6" t="n">
        <f aca="false">IF(ABS(H590)&gt;$P$8,1,0)</f>
        <v>0</v>
      </c>
    </row>
    <row r="591" customFormat="false" ht="15" hidden="false" customHeight="false" outlineLevel="0" collapsed="false">
      <c r="A591" s="0" t="n">
        <f aca="false">ROW()-1</f>
        <v>590</v>
      </c>
      <c r="B591" s="22" t="n">
        <f aca="false">SUMPRODUCT(MMULT('Analysis Data'!N591:U591,'Final Model'!$B$59:$I$66),'Analysis Data'!N591:U591)</f>
        <v>0.00194862918316512</v>
      </c>
      <c r="C591" s="15" t="n">
        <f aca="false">'Residual Diagnostics'!F591</f>
        <v>80.2045318101559</v>
      </c>
      <c r="D591" s="13" t="n">
        <f aca="false">C591/('Final Model'!$B$21*SQRT(1-B591))</f>
        <v>1.63735431645708</v>
      </c>
      <c r="E591" s="13" t="n">
        <f aca="false">D591*SQRT(('Final Model'!$B$24-1)/('Final Model'!$B$24-D591^2))</f>
        <v>1.63835460657831</v>
      </c>
      <c r="F591" s="23" t="n">
        <f aca="false">D591^2/($P$3+1)*B591/(1-B591)</f>
        <v>0.000654292071942934</v>
      </c>
      <c r="G591" s="13" t="n">
        <f aca="false">($P$2-1)*(B591-1/$P$2)</f>
        <v>1.69957291940519</v>
      </c>
      <c r="H591" s="13" t="n">
        <f aca="false">E591*SQRT(B591/(1-B591))</f>
        <v>0.0723929142645123</v>
      </c>
      <c r="I591" s="13" t="n">
        <f aca="false">ABS(D591)</f>
        <v>1.63735431645708</v>
      </c>
      <c r="J591" s="6" t="n">
        <f aca="false">IF(B591&gt;$P$4,1,0)</f>
        <v>0</v>
      </c>
      <c r="K591" s="6" t="n">
        <f aca="false">IF(F591&gt;$P$6,1,0)</f>
        <v>0</v>
      </c>
      <c r="L591" s="6" t="n">
        <f aca="false">IF(G591&gt;$P$9,1,0)</f>
        <v>0</v>
      </c>
      <c r="M591" s="6" t="n">
        <f aca="false">IF(ABS(H591)&gt;$P$8,1,0)</f>
        <v>0</v>
      </c>
    </row>
    <row r="592" customFormat="false" ht="15" hidden="false" customHeight="false" outlineLevel="0" collapsed="false">
      <c r="A592" s="0" t="n">
        <f aca="false">ROW()-1</f>
        <v>591</v>
      </c>
      <c r="B592" s="22" t="n">
        <f aca="false">SUMPRODUCT(MMULT('Analysis Data'!N592:U592,'Final Model'!$B$59:$I$66),'Analysis Data'!N592:U592)</f>
        <v>0.00349598211540633</v>
      </c>
      <c r="C592" s="15" t="n">
        <f aca="false">'Residual Diagnostics'!F592</f>
        <v>-8.08279163522406</v>
      </c>
      <c r="D592" s="13" t="n">
        <f aca="false">C592/('Final Model'!$B$21*SQRT(1-B592))</f>
        <v>-0.165136115738491</v>
      </c>
      <c r="E592" s="13" t="n">
        <f aca="false">D592*SQRT(('Final Model'!$B$24-1)/('Final Model'!$B$24-D592^2))</f>
        <v>-0.165077819511338</v>
      </c>
      <c r="F592" s="23" t="n">
        <f aca="false">D592^2/($P$3+1)*B592/(1-B592)</f>
        <v>1.19587088153374E-005</v>
      </c>
      <c r="G592" s="13" t="n">
        <f aca="false">($P$2-1)*(B592-1/$P$2)</f>
        <v>3.84265673055927</v>
      </c>
      <c r="H592" s="13" t="n">
        <f aca="false">E592*SQRT(B592/(1-B592))</f>
        <v>-0.00977763447748452</v>
      </c>
      <c r="I592" s="13" t="n">
        <f aca="false">ABS(D592)</f>
        <v>0.165136115738491</v>
      </c>
      <c r="J592" s="6" t="n">
        <f aca="false">IF(B592&gt;$P$4,1,0)</f>
        <v>0</v>
      </c>
      <c r="K592" s="6" t="n">
        <f aca="false">IF(F592&gt;$P$6,1,0)</f>
        <v>0</v>
      </c>
      <c r="L592" s="6" t="n">
        <f aca="false">IF(G592&gt;$P$9,1,0)</f>
        <v>0</v>
      </c>
      <c r="M592" s="6" t="n">
        <f aca="false">IF(ABS(H592)&gt;$P$8,1,0)</f>
        <v>0</v>
      </c>
    </row>
    <row r="593" customFormat="false" ht="15" hidden="false" customHeight="false" outlineLevel="0" collapsed="false">
      <c r="A593" s="0" t="n">
        <f aca="false">ROW()-1</f>
        <v>592</v>
      </c>
      <c r="B593" s="22" t="n">
        <f aca="false">SUMPRODUCT(MMULT('Analysis Data'!N593:U593,'Final Model'!$B$59:$I$66),'Analysis Data'!N593:U593)</f>
        <v>0.0018609727804065</v>
      </c>
      <c r="C593" s="15" t="n">
        <f aca="false">'Residual Diagnostics'!F593</f>
        <v>2.47824290676121</v>
      </c>
      <c r="D593" s="13" t="n">
        <f aca="false">C593/('Final Model'!$B$21*SQRT(1-B593))</f>
        <v>0.0505904522992343</v>
      </c>
      <c r="E593" s="13" t="n">
        <f aca="false">D593*SQRT(('Final Model'!$B$24-1)/('Final Model'!$B$24-D593^2))</f>
        <v>0.0505721394546094</v>
      </c>
      <c r="F593" s="23" t="n">
        <f aca="false">D593^2/($P$3+1)*B593/(1-B593)</f>
        <v>5.96480323013642E-007</v>
      </c>
      <c r="G593" s="13" t="n">
        <f aca="false">($P$2-1)*(B593-1/$P$2)</f>
        <v>1.57816880158451</v>
      </c>
      <c r="H593" s="13" t="n">
        <f aca="false">E593*SQRT(B593/(1-B593))</f>
        <v>0.00218366402290993</v>
      </c>
      <c r="I593" s="13" t="n">
        <f aca="false">ABS(D593)</f>
        <v>0.0505904522992343</v>
      </c>
      <c r="J593" s="6" t="n">
        <f aca="false">IF(B593&gt;$P$4,1,0)</f>
        <v>0</v>
      </c>
      <c r="K593" s="6" t="n">
        <f aca="false">IF(F593&gt;$P$6,1,0)</f>
        <v>0</v>
      </c>
      <c r="L593" s="6" t="n">
        <f aca="false">IF(G593&gt;$P$9,1,0)</f>
        <v>0</v>
      </c>
      <c r="M593" s="6" t="n">
        <f aca="false">IF(ABS(H593)&gt;$P$8,1,0)</f>
        <v>0</v>
      </c>
    </row>
    <row r="594" customFormat="false" ht="15" hidden="false" customHeight="false" outlineLevel="0" collapsed="false">
      <c r="A594" s="0" t="n">
        <f aca="false">ROW()-1</f>
        <v>593</v>
      </c>
      <c r="B594" s="22" t="n">
        <f aca="false">SUMPRODUCT(MMULT('Analysis Data'!N594:U594,'Final Model'!$B$59:$I$66),'Analysis Data'!N594:U594)</f>
        <v>0.00178381200285069</v>
      </c>
      <c r="C594" s="15" t="n">
        <f aca="false">'Residual Diagnostics'!F594</f>
        <v>107.565320037482</v>
      </c>
      <c r="D594" s="13" t="n">
        <f aca="false">C594/('Final Model'!$B$21*SQRT(1-B594))</f>
        <v>2.19573628251135</v>
      </c>
      <c r="E594" s="13" t="n">
        <f aca="false">D594*SQRT(('Final Model'!$B$24-1)/('Final Model'!$B$24-D594^2))</f>
        <v>2.19878928831427</v>
      </c>
      <c r="F594" s="23" t="n">
        <f aca="false">D594^2/($P$3+1)*B594/(1-B594)</f>
        <v>0.00107694826979036</v>
      </c>
      <c r="G594" s="13" t="n">
        <f aca="false">($P$2-1)*(B594-1/$P$2)</f>
        <v>1.47130112466971</v>
      </c>
      <c r="H594" s="13" t="n">
        <f aca="false">E594*SQRT(B594/(1-B594))</f>
        <v>0.0929492413149263</v>
      </c>
      <c r="I594" s="13" t="n">
        <f aca="false">ABS(D594)</f>
        <v>2.19573628251135</v>
      </c>
      <c r="J594" s="6" t="n">
        <f aca="false">IF(B594&gt;$P$4,1,0)</f>
        <v>0</v>
      </c>
      <c r="K594" s="6" t="n">
        <f aca="false">IF(F594&gt;$P$6,1,0)</f>
        <v>0</v>
      </c>
      <c r="L594" s="6" t="n">
        <f aca="false">IF(G594&gt;$P$9,1,0)</f>
        <v>0</v>
      </c>
      <c r="M594" s="6" t="n">
        <f aca="false">IF(ABS(H594)&gt;$P$8,1,0)</f>
        <v>0</v>
      </c>
    </row>
    <row r="595" customFormat="false" ht="15" hidden="false" customHeight="false" outlineLevel="0" collapsed="false">
      <c r="A595" s="0" t="n">
        <f aca="false">ROW()-1</f>
        <v>594</v>
      </c>
      <c r="B595" s="22" t="n">
        <f aca="false">SUMPRODUCT(MMULT('Analysis Data'!N595:U595,'Final Model'!$B$59:$I$66),'Analysis Data'!N595:U595)</f>
        <v>0.00208522243291347</v>
      </c>
      <c r="C595" s="15" t="n">
        <f aca="false">'Residual Diagnostics'!F595</f>
        <v>-40.0687208011682</v>
      </c>
      <c r="D595" s="13" t="n">
        <f aca="false">C595/('Final Model'!$B$21*SQRT(1-B595))</f>
        <v>-0.818048324736567</v>
      </c>
      <c r="E595" s="13" t="n">
        <f aca="false">D595*SQRT(('Final Model'!$B$24-1)/('Final Model'!$B$24-D595^2))</f>
        <v>-0.817950082494407</v>
      </c>
      <c r="F595" s="23" t="n">
        <f aca="false">D595^2/($P$3+1)*B595/(1-B595)</f>
        <v>0.000174794139189137</v>
      </c>
      <c r="G595" s="13" t="n">
        <f aca="false">($P$2-1)*(B595-1/$P$2)</f>
        <v>1.88875457030665</v>
      </c>
      <c r="H595" s="13" t="n">
        <f aca="false">E595*SQRT(B595/(1-B595))</f>
        <v>-0.0373900691038814</v>
      </c>
      <c r="I595" s="13" t="n">
        <f aca="false">ABS(D595)</f>
        <v>0.818048324736567</v>
      </c>
      <c r="J595" s="6" t="n">
        <f aca="false">IF(B595&gt;$P$4,1,0)</f>
        <v>0</v>
      </c>
      <c r="K595" s="6" t="n">
        <f aca="false">IF(F595&gt;$P$6,1,0)</f>
        <v>0</v>
      </c>
      <c r="L595" s="6" t="n">
        <f aca="false">IF(G595&gt;$P$9,1,0)</f>
        <v>0</v>
      </c>
      <c r="M595" s="6" t="n">
        <f aca="false">IF(ABS(H595)&gt;$P$8,1,0)</f>
        <v>0</v>
      </c>
    </row>
    <row r="596" customFormat="false" ht="15" hidden="false" customHeight="false" outlineLevel="0" collapsed="false">
      <c r="A596" s="0" t="n">
        <f aca="false">ROW()-1</f>
        <v>595</v>
      </c>
      <c r="B596" s="22" t="n">
        <f aca="false">SUMPRODUCT(MMULT('Analysis Data'!N596:U596,'Final Model'!$B$59:$I$66),'Analysis Data'!N596:U596)</f>
        <v>0.00400954679065473</v>
      </c>
      <c r="C596" s="15" t="n">
        <f aca="false">'Residual Diagnostics'!F596</f>
        <v>3.86176780997849</v>
      </c>
      <c r="D596" s="13" t="n">
        <f aca="false">C596/('Final Model'!$B$21*SQRT(1-B596))</f>
        <v>0.0789184921986814</v>
      </c>
      <c r="E596" s="13" t="n">
        <f aca="false">D596*SQRT(('Final Model'!$B$24-1)/('Final Model'!$B$24-D596^2))</f>
        <v>0.0788900301242324</v>
      </c>
      <c r="F596" s="23" t="n">
        <f aca="false">D596^2/($P$3+1)*B596/(1-B596)</f>
        <v>3.13406270628609E-006</v>
      </c>
      <c r="G596" s="13" t="n">
        <f aca="false">($P$2-1)*(B596-1/$P$2)</f>
        <v>4.5539438057783</v>
      </c>
      <c r="H596" s="13" t="n">
        <f aca="false">E596*SQRT(B596/(1-B596))</f>
        <v>0.00500543904564</v>
      </c>
      <c r="I596" s="13" t="n">
        <f aca="false">ABS(D596)</f>
        <v>0.0789184921986814</v>
      </c>
      <c r="J596" s="6" t="n">
        <f aca="false">IF(B596&gt;$P$4,1,0)</f>
        <v>0</v>
      </c>
      <c r="K596" s="6" t="n">
        <f aca="false">IF(F596&gt;$P$6,1,0)</f>
        <v>0</v>
      </c>
      <c r="L596" s="6" t="n">
        <f aca="false">IF(G596&gt;$P$9,1,0)</f>
        <v>0</v>
      </c>
      <c r="M596" s="6" t="n">
        <f aca="false">IF(ABS(H596)&gt;$P$8,1,0)</f>
        <v>0</v>
      </c>
    </row>
    <row r="597" customFormat="false" ht="15" hidden="false" customHeight="false" outlineLevel="0" collapsed="false">
      <c r="A597" s="0" t="n">
        <f aca="false">ROW()-1</f>
        <v>596</v>
      </c>
      <c r="B597" s="22" t="n">
        <f aca="false">SUMPRODUCT(MMULT('Analysis Data'!N597:U597,'Final Model'!$B$59:$I$66),'Analysis Data'!N597:U597)</f>
        <v>0.00400954679065473</v>
      </c>
      <c r="C597" s="15" t="n">
        <f aca="false">'Residual Diagnostics'!F597</f>
        <v>-47.7913259269528</v>
      </c>
      <c r="D597" s="13" t="n">
        <f aca="false">C597/('Final Model'!$B$21*SQRT(1-B597))</f>
        <v>-0.97665617611326</v>
      </c>
      <c r="E597" s="13" t="n">
        <f aca="false">D597*SQRT(('Final Model'!$B$24-1)/('Final Model'!$B$24-D597^2))</f>
        <v>-0.976639812847569</v>
      </c>
      <c r="F597" s="23" t="n">
        <f aca="false">D597^2/($P$3+1)*B597/(1-B597)</f>
        <v>0.000479991475930343</v>
      </c>
      <c r="G597" s="13" t="n">
        <f aca="false">($P$2-1)*(B597-1/$P$2)</f>
        <v>4.5539438057783</v>
      </c>
      <c r="H597" s="13" t="n">
        <f aca="false">E597*SQRT(B597/(1-B597))</f>
        <v>-0.0619661450889999</v>
      </c>
      <c r="I597" s="13" t="n">
        <f aca="false">ABS(D597)</f>
        <v>0.97665617611326</v>
      </c>
      <c r="J597" s="6" t="n">
        <f aca="false">IF(B597&gt;$P$4,1,0)</f>
        <v>0</v>
      </c>
      <c r="K597" s="6" t="n">
        <f aca="false">IF(F597&gt;$P$6,1,0)</f>
        <v>0</v>
      </c>
      <c r="L597" s="6" t="n">
        <f aca="false">IF(G597&gt;$P$9,1,0)</f>
        <v>0</v>
      </c>
      <c r="M597" s="6" t="n">
        <f aca="false">IF(ABS(H597)&gt;$P$8,1,0)</f>
        <v>0</v>
      </c>
    </row>
    <row r="598" customFormat="false" ht="15" hidden="false" customHeight="false" outlineLevel="0" collapsed="false">
      <c r="A598" s="0" t="n">
        <f aca="false">ROW()-1</f>
        <v>597</v>
      </c>
      <c r="B598" s="22" t="n">
        <f aca="false">SUMPRODUCT(MMULT('Analysis Data'!N598:U598,'Final Model'!$B$59:$I$66),'Analysis Data'!N598:U598)</f>
        <v>0.00174146366347137</v>
      </c>
      <c r="C598" s="15" t="n">
        <f aca="false">'Residual Diagnostics'!F598</f>
        <v>6.26129491864762</v>
      </c>
      <c r="D598" s="13" t="n">
        <f aca="false">C598/('Final Model'!$B$21*SQRT(1-B598))</f>
        <v>0.127809416705573</v>
      </c>
      <c r="E598" s="13" t="n">
        <f aca="false">D598*SQRT(('Final Model'!$B$24-1)/('Final Model'!$B$24-D598^2))</f>
        <v>0.127763790597683</v>
      </c>
      <c r="F598" s="23" t="n">
        <f aca="false">D598^2/($P$3+1)*B598/(1-B598)</f>
        <v>3.56210816717905E-006</v>
      </c>
      <c r="G598" s="13" t="n">
        <f aca="false">($P$2-1)*(B598-1/$P$2)</f>
        <v>1.41264867462934</v>
      </c>
      <c r="H598" s="13" t="n">
        <f aca="false">E598*SQRT(B598/(1-B598))</f>
        <v>0.00533633985367092</v>
      </c>
      <c r="I598" s="13" t="n">
        <f aca="false">ABS(D598)</f>
        <v>0.127809416705573</v>
      </c>
      <c r="J598" s="6" t="n">
        <f aca="false">IF(B598&gt;$P$4,1,0)</f>
        <v>0</v>
      </c>
      <c r="K598" s="6" t="n">
        <f aca="false">IF(F598&gt;$P$6,1,0)</f>
        <v>0</v>
      </c>
      <c r="L598" s="6" t="n">
        <f aca="false">IF(G598&gt;$P$9,1,0)</f>
        <v>0</v>
      </c>
      <c r="M598" s="6" t="n">
        <f aca="false">IF(ABS(H598)&gt;$P$8,1,0)</f>
        <v>0</v>
      </c>
    </row>
    <row r="599" customFormat="false" ht="15" hidden="false" customHeight="false" outlineLevel="0" collapsed="false">
      <c r="A599" s="0" t="n">
        <f aca="false">ROW()-1</f>
        <v>598</v>
      </c>
      <c r="B599" s="22" t="n">
        <f aca="false">SUMPRODUCT(MMULT('Analysis Data'!N599:U599,'Final Model'!$B$59:$I$66),'Analysis Data'!N599:U599)</f>
        <v>0.00186895153502392</v>
      </c>
      <c r="C599" s="15" t="n">
        <f aca="false">'Residual Diagnostics'!F599</f>
        <v>22.7321872728559</v>
      </c>
      <c r="D599" s="13" t="n">
        <f aca="false">C599/('Final Model'!$B$21*SQRT(1-B599))</f>
        <v>0.464053071326737</v>
      </c>
      <c r="E599" s="13" t="n">
        <f aca="false">D599*SQRT(('Final Model'!$B$24-1)/('Final Model'!$B$24-D599^2))</f>
        <v>0.463920912320249</v>
      </c>
      <c r="F599" s="23" t="n">
        <f aca="false">D599^2/($P$3+1)*B599/(1-B599)</f>
        <v>5.04029307809778E-005</v>
      </c>
      <c r="G599" s="13" t="n">
        <f aca="false">($P$2-1)*(B599-1/$P$2)</f>
        <v>1.58921937672963</v>
      </c>
      <c r="H599" s="13" t="n">
        <f aca="false">E599*SQRT(B599/(1-B599))</f>
        <v>0.0200747056921445</v>
      </c>
      <c r="I599" s="13" t="n">
        <f aca="false">ABS(D599)</f>
        <v>0.464053071326737</v>
      </c>
      <c r="J599" s="6" t="n">
        <f aca="false">IF(B599&gt;$P$4,1,0)</f>
        <v>0</v>
      </c>
      <c r="K599" s="6" t="n">
        <f aca="false">IF(F599&gt;$P$6,1,0)</f>
        <v>0</v>
      </c>
      <c r="L599" s="6" t="n">
        <f aca="false">IF(G599&gt;$P$9,1,0)</f>
        <v>0</v>
      </c>
      <c r="M599" s="6" t="n">
        <f aca="false">IF(ABS(H599)&gt;$P$8,1,0)</f>
        <v>0</v>
      </c>
    </row>
    <row r="600" customFormat="false" ht="15" hidden="false" customHeight="false" outlineLevel="0" collapsed="false">
      <c r="A600" s="0" t="n">
        <f aca="false">ROW()-1</f>
        <v>599</v>
      </c>
      <c r="B600" s="22" t="n">
        <f aca="false">SUMPRODUCT(MMULT('Analysis Data'!N600:U600,'Final Model'!$B$59:$I$66),'Analysis Data'!N600:U600)</f>
        <v>0.00186895153502392</v>
      </c>
      <c r="C600" s="15" t="n">
        <f aca="false">'Residual Diagnostics'!F600</f>
        <v>-35.4426235142414</v>
      </c>
      <c r="D600" s="13" t="n">
        <f aca="false">C600/('Final Model'!$B$21*SQRT(1-B600))</f>
        <v>-0.723522910498821</v>
      </c>
      <c r="E600" s="13" t="n">
        <f aca="false">D600*SQRT(('Final Model'!$B$24-1)/('Final Model'!$B$24-D600^2))</f>
        <v>-0.723397754444581</v>
      </c>
      <c r="F600" s="23" t="n">
        <f aca="false">D600^2/($P$3+1)*B600/(1-B600)</f>
        <v>0.000122525099179903</v>
      </c>
      <c r="G600" s="13" t="n">
        <f aca="false">($P$2-1)*(B600-1/$P$2)</f>
        <v>1.58921937672963</v>
      </c>
      <c r="H600" s="13" t="n">
        <f aca="false">E600*SQRT(B600/(1-B600))</f>
        <v>-0.0313027428451178</v>
      </c>
      <c r="I600" s="13" t="n">
        <f aca="false">ABS(D600)</f>
        <v>0.723522910498821</v>
      </c>
      <c r="J600" s="6" t="n">
        <f aca="false">IF(B600&gt;$P$4,1,0)</f>
        <v>0</v>
      </c>
      <c r="K600" s="6" t="n">
        <f aca="false">IF(F600&gt;$P$6,1,0)</f>
        <v>0</v>
      </c>
      <c r="L600" s="6" t="n">
        <f aca="false">IF(G600&gt;$P$9,1,0)</f>
        <v>0</v>
      </c>
      <c r="M600" s="6" t="n">
        <f aca="false">IF(ABS(H600)&gt;$P$8,1,0)</f>
        <v>0</v>
      </c>
    </row>
    <row r="601" customFormat="false" ht="15" hidden="false" customHeight="false" outlineLevel="0" collapsed="false">
      <c r="A601" s="0" t="n">
        <f aca="false">ROW()-1</f>
        <v>600</v>
      </c>
      <c r="B601" s="22" t="n">
        <f aca="false">SUMPRODUCT(MMULT('Analysis Data'!N601:U601,'Final Model'!$B$59:$I$66),'Analysis Data'!N601:U601)</f>
        <v>0.00400954679065473</v>
      </c>
      <c r="C601" s="15" t="n">
        <f aca="false">'Residual Diagnostics'!F601</f>
        <v>-41.2423271603079</v>
      </c>
      <c r="D601" s="13" t="n">
        <f aca="false">C601/('Final Model'!$B$21*SQRT(1-B601))</f>
        <v>-0.842821845955145</v>
      </c>
      <c r="E601" s="13" t="n">
        <f aca="false">D601*SQRT(('Final Model'!$B$24-1)/('Final Model'!$B$24-D601^2))</f>
        <v>-0.842733216337564</v>
      </c>
      <c r="F601" s="23" t="n">
        <f aca="false">D601^2/($P$3+1)*B601/(1-B601)</f>
        <v>0.00035745525934594</v>
      </c>
      <c r="G601" s="13" t="n">
        <f aca="false">($P$2-1)*(B601-1/$P$2)</f>
        <v>4.5539438057783</v>
      </c>
      <c r="H601" s="13" t="n">
        <f aca="false">E601*SQRT(B601/(1-B601))</f>
        <v>-0.0534699979131851</v>
      </c>
      <c r="I601" s="13" t="n">
        <f aca="false">ABS(D601)</f>
        <v>0.842821845955145</v>
      </c>
      <c r="J601" s="6" t="n">
        <f aca="false">IF(B601&gt;$P$4,1,0)</f>
        <v>0</v>
      </c>
      <c r="K601" s="6" t="n">
        <f aca="false">IF(F601&gt;$P$6,1,0)</f>
        <v>0</v>
      </c>
      <c r="L601" s="6" t="n">
        <f aca="false">IF(G601&gt;$P$9,1,0)</f>
        <v>0</v>
      </c>
      <c r="M601" s="6" t="n">
        <f aca="false">IF(ABS(H601)&gt;$P$8,1,0)</f>
        <v>0</v>
      </c>
    </row>
    <row r="602" customFormat="false" ht="15" hidden="false" customHeight="false" outlineLevel="0" collapsed="false">
      <c r="A602" s="0" t="n">
        <f aca="false">ROW()-1</f>
        <v>601</v>
      </c>
      <c r="B602" s="22" t="n">
        <f aca="false">SUMPRODUCT(MMULT('Analysis Data'!N602:U602,'Final Model'!$B$59:$I$66),'Analysis Data'!N602:U602)</f>
        <v>0.00400954679065473</v>
      </c>
      <c r="C602" s="15" t="n">
        <f aca="false">'Residual Diagnostics'!F602</f>
        <v>80.2470281687352</v>
      </c>
      <c r="D602" s="13" t="n">
        <f aca="false">C602/('Final Model'!$B$21*SQRT(1-B602))</f>
        <v>1.63991590849606</v>
      </c>
      <c r="E602" s="13" t="n">
        <f aca="false">D602*SQRT(('Final Model'!$B$24-1)/('Final Model'!$B$24-D602^2))</f>
        <v>1.64092277169406</v>
      </c>
      <c r="F602" s="23" t="n">
        <f aca="false">D602^2/($P$3+1)*B602/(1-B602)</f>
        <v>0.00135329750501418</v>
      </c>
      <c r="G602" s="13" t="n">
        <f aca="false">($P$2-1)*(B602-1/$P$2)</f>
        <v>4.5539438057783</v>
      </c>
      <c r="H602" s="13" t="n">
        <f aca="false">E602*SQRT(B602/(1-B602))</f>
        <v>0.104113775839392</v>
      </c>
      <c r="I602" s="13" t="n">
        <f aca="false">ABS(D602)</f>
        <v>1.63991590849606</v>
      </c>
      <c r="J602" s="6" t="n">
        <f aca="false">IF(B602&gt;$P$4,1,0)</f>
        <v>0</v>
      </c>
      <c r="K602" s="6" t="n">
        <f aca="false">IF(F602&gt;$P$6,1,0)</f>
        <v>0</v>
      </c>
      <c r="L602" s="6" t="n">
        <f aca="false">IF(G602&gt;$P$9,1,0)</f>
        <v>0</v>
      </c>
      <c r="M602" s="6" t="n">
        <f aca="false">IF(ABS(H602)&gt;$P$8,1,0)</f>
        <v>0</v>
      </c>
    </row>
    <row r="603" customFormat="false" ht="15" hidden="false" customHeight="false" outlineLevel="0" collapsed="false">
      <c r="A603" s="0" t="n">
        <f aca="false">ROW()-1</f>
        <v>602</v>
      </c>
      <c r="B603" s="22" t="n">
        <f aca="false">SUMPRODUCT(MMULT('Analysis Data'!N603:U603,'Final Model'!$B$59:$I$66),'Analysis Data'!N603:U603)</f>
        <v>0.00400954679065473</v>
      </c>
      <c r="C603" s="15" t="n">
        <f aca="false">'Residual Diagnostics'!F603</f>
        <v>-22.2777307967042</v>
      </c>
      <c r="D603" s="13" t="n">
        <f aca="false">C603/('Final Model'!$B$21*SQRT(1-B603))</f>
        <v>-0.455264275480566</v>
      </c>
      <c r="E603" s="13" t="n">
        <f aca="false">D603*SQRT(('Final Model'!$B$24-1)/('Final Model'!$B$24-D603^2))</f>
        <v>-0.455133284951644</v>
      </c>
      <c r="F603" s="23" t="n">
        <f aca="false">D603^2/($P$3+1)*B603/(1-B603)</f>
        <v>0.000104298309330407</v>
      </c>
      <c r="G603" s="13" t="n">
        <f aca="false">($P$2-1)*(B603-1/$P$2)</f>
        <v>4.5539438057783</v>
      </c>
      <c r="H603" s="13" t="n">
        <f aca="false">E603*SQRT(B603/(1-B603))</f>
        <v>-0.0288774375149793</v>
      </c>
      <c r="I603" s="13" t="n">
        <f aca="false">ABS(D603)</f>
        <v>0.455264275480566</v>
      </c>
      <c r="J603" s="6" t="n">
        <f aca="false">IF(B603&gt;$P$4,1,0)</f>
        <v>0</v>
      </c>
      <c r="K603" s="6" t="n">
        <f aca="false">IF(F603&gt;$P$6,1,0)</f>
        <v>0</v>
      </c>
      <c r="L603" s="6" t="n">
        <f aca="false">IF(G603&gt;$P$9,1,0)</f>
        <v>0</v>
      </c>
      <c r="M603" s="6" t="n">
        <f aca="false">IF(ABS(H603)&gt;$P$8,1,0)</f>
        <v>0</v>
      </c>
    </row>
    <row r="604" customFormat="false" ht="15" hidden="false" customHeight="false" outlineLevel="0" collapsed="false">
      <c r="A604" s="0" t="n">
        <f aca="false">ROW()-1</f>
        <v>603</v>
      </c>
      <c r="B604" s="22" t="n">
        <f aca="false">SUMPRODUCT(MMULT('Analysis Data'!N604:U604,'Final Model'!$B$59:$I$66),'Analysis Data'!N604:U604)</f>
        <v>0.00400954679065473</v>
      </c>
      <c r="C604" s="15" t="n">
        <f aca="false">'Residual Diagnostics'!F604</f>
        <v>49.9339542743709</v>
      </c>
      <c r="D604" s="13" t="n">
        <f aca="false">C604/('Final Model'!$B$21*SQRT(1-B604))</f>
        <v>1.02044259902648</v>
      </c>
      <c r="E604" s="13" t="n">
        <f aca="false">D604*SQRT(('Final Model'!$B$24-1)/('Final Model'!$B$24-D604^2))</f>
        <v>1.02045790345232</v>
      </c>
      <c r="F604" s="23" t="n">
        <f aca="false">D604^2/($P$3+1)*B604/(1-B604)</f>
        <v>0.000523995169941399</v>
      </c>
      <c r="G604" s="13" t="n">
        <f aca="false">($P$2-1)*(B604-1/$P$2)</f>
        <v>4.5539438057783</v>
      </c>
      <c r="H604" s="13" t="n">
        <f aca="false">E604*SQRT(B604/(1-B604))</f>
        <v>0.0647463288621969</v>
      </c>
      <c r="I604" s="13" t="n">
        <f aca="false">ABS(D604)</f>
        <v>1.02044259902648</v>
      </c>
      <c r="J604" s="6" t="n">
        <f aca="false">IF(B604&gt;$P$4,1,0)</f>
        <v>0</v>
      </c>
      <c r="K604" s="6" t="n">
        <f aca="false">IF(F604&gt;$P$6,1,0)</f>
        <v>0</v>
      </c>
      <c r="L604" s="6" t="n">
        <f aca="false">IF(G604&gt;$P$9,1,0)</f>
        <v>0</v>
      </c>
      <c r="M604" s="6" t="n">
        <f aca="false">IF(ABS(H604)&gt;$P$8,1,0)</f>
        <v>0</v>
      </c>
    </row>
    <row r="605" customFormat="false" ht="15" hidden="false" customHeight="false" outlineLevel="0" collapsed="false">
      <c r="A605" s="0" t="n">
        <f aca="false">ROW()-1</f>
        <v>604</v>
      </c>
      <c r="B605" s="22" t="n">
        <f aca="false">SUMPRODUCT(MMULT('Analysis Data'!N605:U605,'Final Model'!$B$59:$I$66),'Analysis Data'!N605:U605)</f>
        <v>0.00230983539883527</v>
      </c>
      <c r="C605" s="15" t="n">
        <f aca="false">'Residual Diagnostics'!F605</f>
        <v>-51.82465117313</v>
      </c>
      <c r="D605" s="13" t="n">
        <f aca="false">C605/('Final Model'!$B$21*SQRT(1-B605))</f>
        <v>-1.05817805560388</v>
      </c>
      <c r="E605" s="13" t="n">
        <f aca="false">D605*SQRT(('Final Model'!$B$24-1)/('Final Model'!$B$24-D605^2))</f>
        <v>-1.05822406698672</v>
      </c>
      <c r="F605" s="23" t="n">
        <f aca="false">D605^2/($P$3+1)*B605/(1-B605)</f>
        <v>0.000324050620001328</v>
      </c>
      <c r="G605" s="13" t="n">
        <f aca="false">($P$2-1)*(B605-1/$P$2)</f>
        <v>2.19984352810836</v>
      </c>
      <c r="H605" s="13" t="n">
        <f aca="false">E605*SQRT(B605/(1-B605))</f>
        <v>-0.050917879072794</v>
      </c>
      <c r="I605" s="13" t="n">
        <f aca="false">ABS(D605)</f>
        <v>1.05817805560388</v>
      </c>
      <c r="J605" s="6" t="n">
        <f aca="false">IF(B605&gt;$P$4,1,0)</f>
        <v>0</v>
      </c>
      <c r="K605" s="6" t="n">
        <f aca="false">IF(F605&gt;$P$6,1,0)</f>
        <v>0</v>
      </c>
      <c r="L605" s="6" t="n">
        <f aca="false">IF(G605&gt;$P$9,1,0)</f>
        <v>0</v>
      </c>
      <c r="M605" s="6" t="n">
        <f aca="false">IF(ABS(H605)&gt;$P$8,1,0)</f>
        <v>0</v>
      </c>
    </row>
    <row r="606" customFormat="false" ht="15" hidden="false" customHeight="false" outlineLevel="0" collapsed="false">
      <c r="A606" s="0" t="n">
        <f aca="false">ROW()-1</f>
        <v>605</v>
      </c>
      <c r="B606" s="22" t="n">
        <f aca="false">SUMPRODUCT(MMULT('Analysis Data'!N606:U606,'Final Model'!$B$59:$I$66),'Analysis Data'!N606:U606)</f>
        <v>0.00186768643216952</v>
      </c>
      <c r="C606" s="15" t="n">
        <f aca="false">'Residual Diagnostics'!F606</f>
        <v>-1.43762971839075</v>
      </c>
      <c r="D606" s="13" t="n">
        <f aca="false">C606/('Final Model'!$B$21*SQRT(1-B606))</f>
        <v>-0.0293476406583423</v>
      </c>
      <c r="E606" s="13" t="n">
        <f aca="false">D606*SQRT(('Final Model'!$B$24-1)/('Final Model'!$B$24-D606^2))</f>
        <v>-0.0293369992579734</v>
      </c>
      <c r="F606" s="23" t="n">
        <f aca="false">D606^2/($P$3+1)*B606/(1-B606)</f>
        <v>2.01452307723283E-007</v>
      </c>
      <c r="G606" s="13" t="n">
        <f aca="false">($P$2-1)*(B606-1/$P$2)</f>
        <v>1.58746720927628</v>
      </c>
      <c r="H606" s="13" t="n">
        <f aca="false">E606*SQRT(B606/(1-B606))</f>
        <v>-0.00126903504045976</v>
      </c>
      <c r="I606" s="13" t="n">
        <f aca="false">ABS(D606)</f>
        <v>0.0293476406583423</v>
      </c>
      <c r="J606" s="6" t="n">
        <f aca="false">IF(B606&gt;$P$4,1,0)</f>
        <v>0</v>
      </c>
      <c r="K606" s="6" t="n">
        <f aca="false">IF(F606&gt;$P$6,1,0)</f>
        <v>0</v>
      </c>
      <c r="L606" s="6" t="n">
        <f aca="false">IF(G606&gt;$P$9,1,0)</f>
        <v>0</v>
      </c>
      <c r="M606" s="6" t="n">
        <f aca="false">IF(ABS(H606)&gt;$P$8,1,0)</f>
        <v>0</v>
      </c>
    </row>
    <row r="607" customFormat="false" ht="15" hidden="false" customHeight="false" outlineLevel="0" collapsed="false">
      <c r="A607" s="0" t="n">
        <f aca="false">ROW()-1</f>
        <v>606</v>
      </c>
      <c r="B607" s="22" t="n">
        <f aca="false">SUMPRODUCT(MMULT('Analysis Data'!N607:U607,'Final Model'!$B$59:$I$66),'Analysis Data'!N607:U607)</f>
        <v>0.00194862918316512</v>
      </c>
      <c r="C607" s="15" t="n">
        <f aca="false">'Residual Diagnostics'!F607</f>
        <v>44.4299664221808</v>
      </c>
      <c r="D607" s="13" t="n">
        <f aca="false">C607/('Final Model'!$B$21*SQRT(1-B607))</f>
        <v>0.907026020345017</v>
      </c>
      <c r="E607" s="13" t="n">
        <f aca="false">D607*SQRT(('Final Model'!$B$24-1)/('Final Model'!$B$24-D607^2))</f>
        <v>0.9069676312274</v>
      </c>
      <c r="F607" s="23" t="n">
        <f aca="false">D607^2/($P$3+1)*B607/(1-B607)</f>
        <v>0.00020078247900851</v>
      </c>
      <c r="G607" s="13" t="n">
        <f aca="false">($P$2-1)*(B607-1/$P$2)</f>
        <v>1.69957291940519</v>
      </c>
      <c r="H607" s="13" t="n">
        <f aca="false">E607*SQRT(B607/(1-B607))</f>
        <v>0.0400755915138903</v>
      </c>
      <c r="I607" s="13" t="n">
        <f aca="false">ABS(D607)</f>
        <v>0.907026020345017</v>
      </c>
      <c r="J607" s="6" t="n">
        <f aca="false">IF(B607&gt;$P$4,1,0)</f>
        <v>0</v>
      </c>
      <c r="K607" s="6" t="n">
        <f aca="false">IF(F607&gt;$P$6,1,0)</f>
        <v>0</v>
      </c>
      <c r="L607" s="6" t="n">
        <f aca="false">IF(G607&gt;$P$9,1,0)</f>
        <v>0</v>
      </c>
      <c r="M607" s="6" t="n">
        <f aca="false">IF(ABS(H607)&gt;$P$8,1,0)</f>
        <v>0</v>
      </c>
    </row>
    <row r="608" customFormat="false" ht="15" hidden="false" customHeight="false" outlineLevel="0" collapsed="false">
      <c r="A608" s="0" t="n">
        <f aca="false">ROW()-1</f>
        <v>607</v>
      </c>
      <c r="B608" s="22" t="n">
        <f aca="false">SUMPRODUCT(MMULT('Analysis Data'!N608:U608,'Final Model'!$B$59:$I$66),'Analysis Data'!N608:U608)</f>
        <v>0.00192049619875929</v>
      </c>
      <c r="C608" s="15" t="n">
        <f aca="false">'Residual Diagnostics'!F608</f>
        <v>57.9856221353685</v>
      </c>
      <c r="D608" s="13" t="n">
        <f aca="false">C608/('Final Model'!$B$21*SQRT(1-B608))</f>
        <v>1.18374446504113</v>
      </c>
      <c r="E608" s="13" t="n">
        <f aca="false">D608*SQRT(('Final Model'!$B$24-1)/('Final Model'!$B$24-D608^2))</f>
        <v>1.18391697137056</v>
      </c>
      <c r="F608" s="23" t="n">
        <f aca="false">D608^2/($P$3+1)*B608/(1-B608)</f>
        <v>0.00033703441573137</v>
      </c>
      <c r="G608" s="13" t="n">
        <f aca="false">($P$2-1)*(B608-1/$P$2)</f>
        <v>1.66060873600312</v>
      </c>
      <c r="H608" s="13" t="n">
        <f aca="false">E608*SQRT(B608/(1-B608))</f>
        <v>0.0519332382592794</v>
      </c>
      <c r="I608" s="13" t="n">
        <f aca="false">ABS(D608)</f>
        <v>1.18374446504113</v>
      </c>
      <c r="J608" s="6" t="n">
        <f aca="false">IF(B608&gt;$P$4,1,0)</f>
        <v>0</v>
      </c>
      <c r="K608" s="6" t="n">
        <f aca="false">IF(F608&gt;$P$6,1,0)</f>
        <v>0</v>
      </c>
      <c r="L608" s="6" t="n">
        <f aca="false">IF(G608&gt;$P$9,1,0)</f>
        <v>0</v>
      </c>
      <c r="M608" s="6" t="n">
        <f aca="false">IF(ABS(H608)&gt;$P$8,1,0)</f>
        <v>0</v>
      </c>
    </row>
    <row r="609" customFormat="false" ht="15" hidden="false" customHeight="false" outlineLevel="0" collapsed="false">
      <c r="A609" s="0" t="n">
        <f aca="false">ROW()-1</f>
        <v>608</v>
      </c>
      <c r="B609" s="22" t="n">
        <f aca="false">SUMPRODUCT(MMULT('Analysis Data'!N609:U609,'Final Model'!$B$59:$I$66),'Analysis Data'!N609:U609)</f>
        <v>0.00170779778462098</v>
      </c>
      <c r="C609" s="15" t="n">
        <f aca="false">'Residual Diagnostics'!F609</f>
        <v>59.6772104321965</v>
      </c>
      <c r="D609" s="13" t="n">
        <f aca="false">C609/('Final Model'!$B$21*SQRT(1-B609))</f>
        <v>1.21814751489785</v>
      </c>
      <c r="E609" s="13" t="n">
        <f aca="false">D609*SQRT(('Final Model'!$B$24-1)/('Final Model'!$B$24-D609^2))</f>
        <v>1.21836160230411</v>
      </c>
      <c r="F609" s="23" t="n">
        <f aca="false">D609^2/($P$3+1)*B609/(1-B609)</f>
        <v>0.000317313498363882</v>
      </c>
      <c r="G609" s="13" t="n">
        <f aca="false">($P$2-1)*(B609-1/$P$2)</f>
        <v>1.36602143242155</v>
      </c>
      <c r="H609" s="13" t="n">
        <f aca="false">E609*SQRT(B609/(1-B609))</f>
        <v>0.0503924631513458</v>
      </c>
      <c r="I609" s="13" t="n">
        <f aca="false">ABS(D609)</f>
        <v>1.21814751489785</v>
      </c>
      <c r="J609" s="6" t="n">
        <f aca="false">IF(B609&gt;$P$4,1,0)</f>
        <v>0</v>
      </c>
      <c r="K609" s="6" t="n">
        <f aca="false">IF(F609&gt;$P$6,1,0)</f>
        <v>0</v>
      </c>
      <c r="L609" s="6" t="n">
        <f aca="false">IF(G609&gt;$P$9,1,0)</f>
        <v>0</v>
      </c>
      <c r="M609" s="6" t="n">
        <f aca="false">IF(ABS(H609)&gt;$P$8,1,0)</f>
        <v>0</v>
      </c>
    </row>
    <row r="610" customFormat="false" ht="15" hidden="false" customHeight="false" outlineLevel="0" collapsed="false">
      <c r="A610" s="0" t="n">
        <f aca="false">ROW()-1</f>
        <v>609</v>
      </c>
      <c r="B610" s="22" t="n">
        <f aca="false">SUMPRODUCT(MMULT('Analysis Data'!N610:U610,'Final Model'!$B$59:$I$66),'Analysis Data'!N610:U610)</f>
        <v>0.00170779778462098</v>
      </c>
      <c r="C610" s="15" t="n">
        <f aca="false">'Residual Diagnostics'!F610</f>
        <v>-1.7838984585523</v>
      </c>
      <c r="D610" s="13" t="n">
        <f aca="false">C610/('Final Model'!$B$21*SQRT(1-B610))</f>
        <v>-0.0364134224501753</v>
      </c>
      <c r="E610" s="13" t="n">
        <f aca="false">D610*SQRT(('Final Model'!$B$24-1)/('Final Model'!$B$24-D610^2))</f>
        <v>-0.036400225147335</v>
      </c>
      <c r="F610" s="23" t="n">
        <f aca="false">D610^2/($P$3+1)*B610/(1-B610)</f>
        <v>2.83538331442418E-007</v>
      </c>
      <c r="G610" s="13" t="n">
        <f aca="false">($P$2-1)*(B610-1/$P$2)</f>
        <v>1.36602143242155</v>
      </c>
      <c r="H610" s="13" t="n">
        <f aca="false">E610*SQRT(B610/(1-B610))</f>
        <v>-0.00150554400349522</v>
      </c>
      <c r="I610" s="13" t="n">
        <f aca="false">ABS(D610)</f>
        <v>0.0364134224501753</v>
      </c>
      <c r="J610" s="6" t="n">
        <f aca="false">IF(B610&gt;$P$4,1,0)</f>
        <v>0</v>
      </c>
      <c r="K610" s="6" t="n">
        <f aca="false">IF(F610&gt;$P$6,1,0)</f>
        <v>0</v>
      </c>
      <c r="L610" s="6" t="n">
        <f aca="false">IF(G610&gt;$P$9,1,0)</f>
        <v>0</v>
      </c>
      <c r="M610" s="6" t="n">
        <f aca="false">IF(ABS(H610)&gt;$P$8,1,0)</f>
        <v>0</v>
      </c>
    </row>
    <row r="611" customFormat="false" ht="15" hidden="false" customHeight="false" outlineLevel="0" collapsed="false">
      <c r="A611" s="0" t="n">
        <f aca="false">ROW()-1</f>
        <v>610</v>
      </c>
      <c r="B611" s="22" t="n">
        <f aca="false">SUMPRODUCT(MMULT('Analysis Data'!N611:U611,'Final Model'!$B$59:$I$66),'Analysis Data'!N611:U611)</f>
        <v>0.00170779778462098</v>
      </c>
      <c r="C611" s="15" t="n">
        <f aca="false">'Residual Diagnostics'!F611</f>
        <v>-58.0351652290776</v>
      </c>
      <c r="D611" s="13" t="n">
        <f aca="false">C611/('Final Model'!$B$21*SQRT(1-B611))</f>
        <v>-1.18462963983226</v>
      </c>
      <c r="E611" s="13" t="n">
        <f aca="false">D611*SQRT(('Final Model'!$B$24-1)/('Final Model'!$B$24-D611^2))</f>
        <v>-1.18480317732758</v>
      </c>
      <c r="F611" s="23" t="n">
        <f aca="false">D611^2/($P$3+1)*B611/(1-B611)</f>
        <v>0.000300091690012506</v>
      </c>
      <c r="G611" s="13" t="n">
        <f aca="false">($P$2-1)*(B611-1/$P$2)</f>
        <v>1.36602143242155</v>
      </c>
      <c r="H611" s="13" t="n">
        <f aca="false">E611*SQRT(B611/(1-B611))</f>
        <v>-0.0490044583990222</v>
      </c>
      <c r="I611" s="13" t="n">
        <f aca="false">ABS(D611)</f>
        <v>1.18462963983226</v>
      </c>
      <c r="J611" s="6" t="n">
        <f aca="false">IF(B611&gt;$P$4,1,0)</f>
        <v>0</v>
      </c>
      <c r="K611" s="6" t="n">
        <f aca="false">IF(F611&gt;$P$6,1,0)</f>
        <v>0</v>
      </c>
      <c r="L611" s="6" t="n">
        <f aca="false">IF(G611&gt;$P$9,1,0)</f>
        <v>0</v>
      </c>
      <c r="M611" s="6" t="n">
        <f aca="false">IF(ABS(H611)&gt;$P$8,1,0)</f>
        <v>0</v>
      </c>
    </row>
    <row r="612" customFormat="false" ht="15" hidden="false" customHeight="false" outlineLevel="0" collapsed="false">
      <c r="A612" s="0" t="n">
        <f aca="false">ROW()-1</f>
        <v>611</v>
      </c>
      <c r="B612" s="22" t="n">
        <f aca="false">SUMPRODUCT(MMULT('Analysis Data'!N612:U612,'Final Model'!$B$59:$I$66),'Analysis Data'!N612:U612)</f>
        <v>0.00192049619875929</v>
      </c>
      <c r="C612" s="15" t="n">
        <f aca="false">'Residual Diagnostics'!F612</f>
        <v>-115.237902251687</v>
      </c>
      <c r="D612" s="13" t="n">
        <f aca="false">C612/('Final Model'!$B$21*SQRT(1-B612))</f>
        <v>-2.35251815760343</v>
      </c>
      <c r="E612" s="13" t="n">
        <f aca="false">D612*SQRT(('Final Model'!$B$24-1)/('Final Model'!$B$24-D612^2))</f>
        <v>-2.3564010690301</v>
      </c>
      <c r="F612" s="23" t="n">
        <f aca="false">D612^2/($P$3+1)*B612/(1-B612)</f>
        <v>0.00133114172294835</v>
      </c>
      <c r="G612" s="13" t="n">
        <f aca="false">($P$2-1)*(B612-1/$P$2)</f>
        <v>1.66060873600312</v>
      </c>
      <c r="H612" s="13" t="n">
        <f aca="false">E612*SQRT(B612/(1-B612))</f>
        <v>-0.103364966557319</v>
      </c>
      <c r="I612" s="13" t="n">
        <f aca="false">ABS(D612)</f>
        <v>2.35251815760343</v>
      </c>
      <c r="J612" s="6" t="n">
        <f aca="false">IF(B612&gt;$P$4,1,0)</f>
        <v>0</v>
      </c>
      <c r="K612" s="6" t="n">
        <f aca="false">IF(F612&gt;$P$6,1,0)</f>
        <v>0</v>
      </c>
      <c r="L612" s="6" t="n">
        <f aca="false">IF(G612&gt;$P$9,1,0)</f>
        <v>0</v>
      </c>
      <c r="M612" s="6" t="n">
        <f aca="false">IF(ABS(H612)&gt;$P$8,1,0)</f>
        <v>0</v>
      </c>
    </row>
    <row r="613" customFormat="false" ht="15" hidden="false" customHeight="false" outlineLevel="0" collapsed="false">
      <c r="A613" s="0" t="n">
        <f aca="false">ROW()-1</f>
        <v>612</v>
      </c>
      <c r="B613" s="22" t="n">
        <f aca="false">SUMPRODUCT(MMULT('Analysis Data'!N613:U613,'Final Model'!$B$59:$I$66),'Analysis Data'!N613:U613)</f>
        <v>0.00194862918316512</v>
      </c>
      <c r="C613" s="15" t="n">
        <f aca="false">'Residual Diagnostics'!F613</f>
        <v>77.7220342641828</v>
      </c>
      <c r="D613" s="13" t="n">
        <f aca="false">C613/('Final Model'!$B$21*SQRT(1-B613))</f>
        <v>1.5866747852541</v>
      </c>
      <c r="E613" s="13" t="n">
        <f aca="false">D613*SQRT(('Final Model'!$B$24-1)/('Final Model'!$B$24-D613^2))</f>
        <v>1.58754981412477</v>
      </c>
      <c r="F613" s="23" t="n">
        <f aca="false">D613^2/($P$3+1)*B613/(1-B613)</f>
        <v>0.000614415495801297</v>
      </c>
      <c r="G613" s="13" t="n">
        <f aca="false">($P$2-1)*(B613-1/$P$2)</f>
        <v>1.69957291940519</v>
      </c>
      <c r="H613" s="13" t="n">
        <f aca="false">E613*SQRT(B613/(1-B613))</f>
        <v>0.0701480357934243</v>
      </c>
      <c r="I613" s="13" t="n">
        <f aca="false">ABS(D613)</f>
        <v>1.5866747852541</v>
      </c>
      <c r="J613" s="6" t="n">
        <f aca="false">IF(B613&gt;$P$4,1,0)</f>
        <v>0</v>
      </c>
      <c r="K613" s="6" t="n">
        <f aca="false">IF(F613&gt;$P$6,1,0)</f>
        <v>0</v>
      </c>
      <c r="L613" s="6" t="n">
        <f aca="false">IF(G613&gt;$P$9,1,0)</f>
        <v>0</v>
      </c>
      <c r="M613" s="6" t="n">
        <f aca="false">IF(ABS(H613)&gt;$P$8,1,0)</f>
        <v>0</v>
      </c>
    </row>
    <row r="614" customFormat="false" ht="15" hidden="false" customHeight="false" outlineLevel="0" collapsed="false">
      <c r="A614" s="0" t="n">
        <f aca="false">ROW()-1</f>
        <v>613</v>
      </c>
      <c r="B614" s="22" t="n">
        <f aca="false">SUMPRODUCT(MMULT('Analysis Data'!N614:U614,'Final Model'!$B$59:$I$66),'Analysis Data'!N614:U614)</f>
        <v>0.00194862918316512</v>
      </c>
      <c r="C614" s="15" t="n">
        <f aca="false">'Residual Diagnostics'!F614</f>
        <v>-92.3012446351121</v>
      </c>
      <c r="D614" s="13" t="n">
        <f aca="false">C614/('Final Model'!$B$21*SQRT(1-B614))</f>
        <v>-1.88430551125697</v>
      </c>
      <c r="E614" s="13" t="n">
        <f aca="false">D614*SQRT(('Final Model'!$B$24-1)/('Final Model'!$B$24-D614^2))</f>
        <v>-1.88605308220844</v>
      </c>
      <c r="F614" s="23" t="n">
        <f aca="false">D614^2/($P$3+1)*B614/(1-B614)</f>
        <v>0.000866540682000522</v>
      </c>
      <c r="G614" s="13" t="n">
        <f aca="false">($P$2-1)*(B614-1/$P$2)</f>
        <v>1.69957291940519</v>
      </c>
      <c r="H614" s="13" t="n">
        <f aca="false">E614*SQRT(B614/(1-B614))</f>
        <v>-0.0833378064372711</v>
      </c>
      <c r="I614" s="13" t="n">
        <f aca="false">ABS(D614)</f>
        <v>1.88430551125697</v>
      </c>
      <c r="J614" s="6" t="n">
        <f aca="false">IF(B614&gt;$P$4,1,0)</f>
        <v>0</v>
      </c>
      <c r="K614" s="6" t="n">
        <f aca="false">IF(F614&gt;$P$6,1,0)</f>
        <v>0</v>
      </c>
      <c r="L614" s="6" t="n">
        <f aca="false">IF(G614&gt;$P$9,1,0)</f>
        <v>0</v>
      </c>
      <c r="M614" s="6" t="n">
        <f aca="false">IF(ABS(H614)&gt;$P$8,1,0)</f>
        <v>0</v>
      </c>
    </row>
    <row r="615" customFormat="false" ht="15" hidden="false" customHeight="false" outlineLevel="0" collapsed="false">
      <c r="A615" s="0" t="n">
        <f aca="false">ROW()-1</f>
        <v>614</v>
      </c>
      <c r="B615" s="22" t="n">
        <f aca="false">SUMPRODUCT(MMULT('Analysis Data'!N615:U615,'Final Model'!$B$59:$I$66),'Analysis Data'!N615:U615)</f>
        <v>0.00194862918316512</v>
      </c>
      <c r="C615" s="15" t="n">
        <f aca="false">'Residual Diagnostics'!F615</f>
        <v>-87.3752774314037</v>
      </c>
      <c r="D615" s="13" t="n">
        <f aca="false">C615/('Final Model'!$B$21*SQRT(1-B615))</f>
        <v>-1.78374319287316</v>
      </c>
      <c r="E615" s="13" t="n">
        <f aca="false">D615*SQRT(('Final Model'!$B$24-1)/('Final Model'!$B$24-D615^2))</f>
        <v>-1.78515796923498</v>
      </c>
      <c r="F615" s="23" t="n">
        <f aca="false">D615^2/($P$3+1)*B615/(1-B615)</f>
        <v>0.000776517016830785</v>
      </c>
      <c r="G615" s="13" t="n">
        <f aca="false">($P$2-1)*(B615-1/$P$2)</f>
        <v>1.69957291940519</v>
      </c>
      <c r="H615" s="13" t="n">
        <f aca="false">E615*SQRT(B615/(1-B615))</f>
        <v>-0.078879619403848</v>
      </c>
      <c r="I615" s="13" t="n">
        <f aca="false">ABS(D615)</f>
        <v>1.78374319287316</v>
      </c>
      <c r="J615" s="6" t="n">
        <f aca="false">IF(B615&gt;$P$4,1,0)</f>
        <v>0</v>
      </c>
      <c r="K615" s="6" t="n">
        <f aca="false">IF(F615&gt;$P$6,1,0)</f>
        <v>0</v>
      </c>
      <c r="L615" s="6" t="n">
        <f aca="false">IF(G615&gt;$P$9,1,0)</f>
        <v>0</v>
      </c>
      <c r="M615" s="6" t="n">
        <f aca="false">IF(ABS(H615)&gt;$P$8,1,0)</f>
        <v>0</v>
      </c>
    </row>
    <row r="616" customFormat="false" ht="15" hidden="false" customHeight="false" outlineLevel="0" collapsed="false">
      <c r="A616" s="0" t="n">
        <f aca="false">ROW()-1</f>
        <v>615</v>
      </c>
      <c r="B616" s="22" t="n">
        <f aca="false">SUMPRODUCT(MMULT('Analysis Data'!N616:U616,'Final Model'!$B$59:$I$66),'Analysis Data'!N616:U616)</f>
        <v>0.00178381200285069</v>
      </c>
      <c r="C616" s="15" t="n">
        <f aca="false">'Residual Diagnostics'!F616</f>
        <v>-16.1610387870968</v>
      </c>
      <c r="D616" s="13" t="n">
        <f aca="false">C616/('Final Model'!$B$21*SQRT(1-B616))</f>
        <v>-0.3298960967674</v>
      </c>
      <c r="E616" s="13" t="n">
        <f aca="false">D616*SQRT(('Final Model'!$B$24-1)/('Final Model'!$B$24-D616^2))</f>
        <v>-0.329789397272809</v>
      </c>
      <c r="F616" s="23" t="n">
        <f aca="false">D616^2/($P$3+1)*B616/(1-B616)</f>
        <v>2.43102172871624E-005</v>
      </c>
      <c r="G616" s="13" t="n">
        <f aca="false">($P$2-1)*(B616-1/$P$2)</f>
        <v>1.47130112466971</v>
      </c>
      <c r="H616" s="13" t="n">
        <f aca="false">E616*SQRT(B616/(1-B616))</f>
        <v>-0.0139411604527669</v>
      </c>
      <c r="I616" s="13" t="n">
        <f aca="false">ABS(D616)</f>
        <v>0.3298960967674</v>
      </c>
      <c r="J616" s="6" t="n">
        <f aca="false">IF(B616&gt;$P$4,1,0)</f>
        <v>0</v>
      </c>
      <c r="K616" s="6" t="n">
        <f aca="false">IF(F616&gt;$P$6,1,0)</f>
        <v>0</v>
      </c>
      <c r="L616" s="6" t="n">
        <f aca="false">IF(G616&gt;$P$9,1,0)</f>
        <v>0</v>
      </c>
      <c r="M616" s="6" t="n">
        <f aca="false">IF(ABS(H616)&gt;$P$8,1,0)</f>
        <v>0</v>
      </c>
    </row>
    <row r="617" customFormat="false" ht="15" hidden="false" customHeight="false" outlineLevel="0" collapsed="false">
      <c r="A617" s="0" t="n">
        <f aca="false">ROW()-1</f>
        <v>616</v>
      </c>
      <c r="B617" s="22" t="n">
        <f aca="false">SUMPRODUCT(MMULT('Analysis Data'!N617:U617,'Final Model'!$B$59:$I$66),'Analysis Data'!N617:U617)</f>
        <v>0.00183219689709334</v>
      </c>
      <c r="C617" s="15" t="n">
        <f aca="false">'Residual Diagnostics'!F617</f>
        <v>-57.0464982368827</v>
      </c>
      <c r="D617" s="13" t="n">
        <f aca="false">C617/('Final Model'!$B$21*SQRT(1-B617))</f>
        <v>-1.16452125809857</v>
      </c>
      <c r="E617" s="13" t="n">
        <f aca="false">D617*SQRT(('Final Model'!$B$24-1)/('Final Model'!$B$24-D617^2))</f>
        <v>-1.16467186733541</v>
      </c>
      <c r="F617" s="23" t="n">
        <f aca="false">D617^2/($P$3+1)*B617/(1-B617)</f>
        <v>0.000311152604764771</v>
      </c>
      <c r="G617" s="13" t="n">
        <f aca="false">($P$2-1)*(B617-1/$P$2)</f>
        <v>1.53831420319578</v>
      </c>
      <c r="H617" s="13" t="n">
        <f aca="false">E617*SQRT(B617/(1-B617))</f>
        <v>-0.0498985445568797</v>
      </c>
      <c r="I617" s="13" t="n">
        <f aca="false">ABS(D617)</f>
        <v>1.16452125809857</v>
      </c>
      <c r="J617" s="6" t="n">
        <f aca="false">IF(B617&gt;$P$4,1,0)</f>
        <v>0</v>
      </c>
      <c r="K617" s="6" t="n">
        <f aca="false">IF(F617&gt;$P$6,1,0)</f>
        <v>0</v>
      </c>
      <c r="L617" s="6" t="n">
        <f aca="false">IF(G617&gt;$P$9,1,0)</f>
        <v>0</v>
      </c>
      <c r="M617" s="6" t="n">
        <f aca="false">IF(ABS(H617)&gt;$P$8,1,0)</f>
        <v>0</v>
      </c>
    </row>
    <row r="618" customFormat="false" ht="15" hidden="false" customHeight="false" outlineLevel="0" collapsed="false">
      <c r="A618" s="0" t="n">
        <f aca="false">ROW()-1</f>
        <v>617</v>
      </c>
      <c r="B618" s="22" t="n">
        <f aca="false">SUMPRODUCT(MMULT('Analysis Data'!N618:U618,'Final Model'!$B$59:$I$66),'Analysis Data'!N618:U618)</f>
        <v>0.00212905375648909</v>
      </c>
      <c r="C618" s="15" t="n">
        <f aca="false">'Residual Diagnostics'!F618</f>
        <v>-41.7153036141752</v>
      </c>
      <c r="D618" s="13" t="n">
        <f aca="false">C618/('Final Model'!$B$21*SQRT(1-B618))</f>
        <v>-0.851683882525942</v>
      </c>
      <c r="E618" s="13" t="n">
        <f aca="false">D618*SQRT(('Final Model'!$B$24-1)/('Final Model'!$B$24-D618^2))</f>
        <v>-0.851598963553535</v>
      </c>
      <c r="F618" s="23" t="n">
        <f aca="false">D618^2/($P$3+1)*B618/(1-B618)</f>
        <v>0.000193454626025798</v>
      </c>
      <c r="G618" s="13" t="n">
        <f aca="false">($P$2-1)*(B618-1/$P$2)</f>
        <v>1.94946095345889</v>
      </c>
      <c r="H618" s="13" t="n">
        <f aca="false">E618*SQRT(B618/(1-B618))</f>
        <v>-0.0393360954168357</v>
      </c>
      <c r="I618" s="13" t="n">
        <f aca="false">ABS(D618)</f>
        <v>0.851683882525942</v>
      </c>
      <c r="J618" s="6" t="n">
        <f aca="false">IF(B618&gt;$P$4,1,0)</f>
        <v>0</v>
      </c>
      <c r="K618" s="6" t="n">
        <f aca="false">IF(F618&gt;$P$6,1,0)</f>
        <v>0</v>
      </c>
      <c r="L618" s="6" t="n">
        <f aca="false">IF(G618&gt;$P$9,1,0)</f>
        <v>0</v>
      </c>
      <c r="M618" s="6" t="n">
        <f aca="false">IF(ABS(H618)&gt;$P$8,1,0)</f>
        <v>0</v>
      </c>
    </row>
    <row r="619" customFormat="false" ht="15" hidden="false" customHeight="false" outlineLevel="0" collapsed="false">
      <c r="A619" s="0" t="n">
        <f aca="false">ROW()-1</f>
        <v>618</v>
      </c>
      <c r="B619" s="22" t="n">
        <f aca="false">SUMPRODUCT(MMULT('Analysis Data'!N619:U619,'Final Model'!$B$59:$I$66),'Analysis Data'!N619:U619)</f>
        <v>0.00230694874348541</v>
      </c>
      <c r="C619" s="15" t="n">
        <f aca="false">'Residual Diagnostics'!F619</f>
        <v>-18.9090675573017</v>
      </c>
      <c r="D619" s="13" t="n">
        <f aca="false">C619/('Final Model'!$B$21*SQRT(1-B619))</f>
        <v>-0.386092929552958</v>
      </c>
      <c r="E619" s="13" t="n">
        <f aca="false">D619*SQRT(('Final Model'!$B$24-1)/('Final Model'!$B$24-D619^2))</f>
        <v>-0.385973689634529</v>
      </c>
      <c r="F619" s="23" t="n">
        <f aca="false">D619^2/($P$3+1)*B619/(1-B619)</f>
        <v>4.3085854249228E-005</v>
      </c>
      <c r="G619" s="13" t="n">
        <f aca="false">($P$2-1)*(B619-1/$P$2)</f>
        <v>2.19584551044879</v>
      </c>
      <c r="H619" s="13" t="n">
        <f aca="false">E619*SQRT(B619/(1-B619))</f>
        <v>-0.0185600097664652</v>
      </c>
      <c r="I619" s="13" t="n">
        <f aca="false">ABS(D619)</f>
        <v>0.386092929552958</v>
      </c>
      <c r="J619" s="6" t="n">
        <f aca="false">IF(B619&gt;$P$4,1,0)</f>
        <v>0</v>
      </c>
      <c r="K619" s="6" t="n">
        <f aca="false">IF(F619&gt;$P$6,1,0)</f>
        <v>0</v>
      </c>
      <c r="L619" s="6" t="n">
        <f aca="false">IF(G619&gt;$P$9,1,0)</f>
        <v>0</v>
      </c>
      <c r="M619" s="6" t="n">
        <f aca="false">IF(ABS(H619)&gt;$P$8,1,0)</f>
        <v>0</v>
      </c>
    </row>
    <row r="620" customFormat="false" ht="15" hidden="false" customHeight="false" outlineLevel="0" collapsed="false">
      <c r="A620" s="0" t="n">
        <f aca="false">ROW()-1</f>
        <v>619</v>
      </c>
      <c r="B620" s="22" t="n">
        <f aca="false">SUMPRODUCT(MMULT('Analysis Data'!N620:U620,'Final Model'!$B$59:$I$66),'Analysis Data'!N620:U620)</f>
        <v>0.00197999150489315</v>
      </c>
      <c r="C620" s="15" t="n">
        <f aca="false">'Residual Diagnostics'!F620</f>
        <v>97.7909609623547</v>
      </c>
      <c r="D620" s="13" t="n">
        <f aca="false">C620/('Final Model'!$B$21*SQRT(1-B620))</f>
        <v>1.99640798634614</v>
      </c>
      <c r="E620" s="13" t="n">
        <f aca="false">D620*SQRT(('Final Model'!$B$24-1)/('Final Model'!$B$24-D620^2))</f>
        <v>1.99857584242728</v>
      </c>
      <c r="F620" s="23" t="n">
        <f aca="false">D620^2/($P$3+1)*B620/(1-B620)</f>
        <v>0.000988399890944448</v>
      </c>
      <c r="G620" s="13" t="n">
        <f aca="false">($P$2-1)*(B620-1/$P$2)</f>
        <v>1.74300973499852</v>
      </c>
      <c r="H620" s="13" t="n">
        <f aca="false">E620*SQRT(B620/(1-B620))</f>
        <v>0.0890189921468784</v>
      </c>
      <c r="I620" s="13" t="n">
        <f aca="false">ABS(D620)</f>
        <v>1.99640798634614</v>
      </c>
      <c r="J620" s="6" t="n">
        <f aca="false">IF(B620&gt;$P$4,1,0)</f>
        <v>0</v>
      </c>
      <c r="K620" s="6" t="n">
        <f aca="false">IF(F620&gt;$P$6,1,0)</f>
        <v>0</v>
      </c>
      <c r="L620" s="6" t="n">
        <f aca="false">IF(G620&gt;$P$9,1,0)</f>
        <v>0</v>
      </c>
      <c r="M620" s="6" t="n">
        <f aca="false">IF(ABS(H620)&gt;$P$8,1,0)</f>
        <v>0</v>
      </c>
    </row>
    <row r="621" customFormat="false" ht="15" hidden="false" customHeight="false" outlineLevel="0" collapsed="false">
      <c r="A621" s="0" t="n">
        <f aca="false">ROW()-1</f>
        <v>620</v>
      </c>
      <c r="B621" s="22" t="n">
        <f aca="false">SUMPRODUCT(MMULT('Analysis Data'!N621:U621,'Final Model'!$B$59:$I$66),'Analysis Data'!N621:U621)</f>
        <v>0.0020238731981182</v>
      </c>
      <c r="C621" s="15" t="n">
        <f aca="false">'Residual Diagnostics'!F621</f>
        <v>-19.2853888705363</v>
      </c>
      <c r="D621" s="13" t="n">
        <f aca="false">C621/('Final Model'!$B$21*SQRT(1-B621))</f>
        <v>-0.393720957862288</v>
      </c>
      <c r="E621" s="13" t="n">
        <f aca="false">D621*SQRT(('Final Model'!$B$24-1)/('Final Model'!$B$24-D621^2))</f>
        <v>-0.393600211747887</v>
      </c>
      <c r="F621" s="23" t="n">
        <f aca="false">D621^2/($P$3+1)*B621/(1-B621)</f>
        <v>3.92961701654485E-005</v>
      </c>
      <c r="G621" s="13" t="n">
        <f aca="false">($P$2-1)*(B621-1/$P$2)</f>
        <v>1.8037858801152</v>
      </c>
      <c r="H621" s="13" t="n">
        <f aca="false">E621*SQRT(B621/(1-B621))</f>
        <v>-0.017725026647791</v>
      </c>
      <c r="I621" s="13" t="n">
        <f aca="false">ABS(D621)</f>
        <v>0.393720957862288</v>
      </c>
      <c r="J621" s="6" t="n">
        <f aca="false">IF(B621&gt;$P$4,1,0)</f>
        <v>0</v>
      </c>
      <c r="K621" s="6" t="n">
        <f aca="false">IF(F621&gt;$P$6,1,0)</f>
        <v>0</v>
      </c>
      <c r="L621" s="6" t="n">
        <f aca="false">IF(G621&gt;$P$9,1,0)</f>
        <v>0</v>
      </c>
      <c r="M621" s="6" t="n">
        <f aca="false">IF(ABS(H621)&gt;$P$8,1,0)</f>
        <v>0</v>
      </c>
    </row>
    <row r="622" customFormat="false" ht="15" hidden="false" customHeight="false" outlineLevel="0" collapsed="false">
      <c r="A622" s="0" t="n">
        <f aca="false">ROW()-1</f>
        <v>621</v>
      </c>
      <c r="B622" s="22" t="n">
        <f aca="false">SUMPRODUCT(MMULT('Analysis Data'!N622:U622,'Final Model'!$B$59:$I$66),'Analysis Data'!N622:U622)</f>
        <v>0.0021500451355457</v>
      </c>
      <c r="C622" s="15" t="n">
        <f aca="false">'Residual Diagnostics'!F622</f>
        <v>-12.7095954591488</v>
      </c>
      <c r="D622" s="13" t="n">
        <f aca="false">C622/('Final Model'!$B$21*SQRT(1-B622))</f>
        <v>-0.259489216751051</v>
      </c>
      <c r="E622" s="13" t="n">
        <f aca="false">D622*SQRT(('Final Model'!$B$24-1)/('Final Model'!$B$24-D622^2))</f>
        <v>-0.259401383153328</v>
      </c>
      <c r="F622" s="23" t="n">
        <f aca="false">D622^2/($P$3+1)*B622/(1-B622)</f>
        <v>1.81355603292656E-005</v>
      </c>
      <c r="G622" s="13" t="n">
        <f aca="false">($P$2-1)*(B622-1/$P$2)</f>
        <v>1.9785340134523</v>
      </c>
      <c r="H622" s="13" t="n">
        <f aca="false">E622*SQRT(B622/(1-B622))</f>
        <v>-0.0120410249139503</v>
      </c>
      <c r="I622" s="13" t="n">
        <f aca="false">ABS(D622)</f>
        <v>0.259489216751051</v>
      </c>
      <c r="J622" s="6" t="n">
        <f aca="false">IF(B622&gt;$P$4,1,0)</f>
        <v>0</v>
      </c>
      <c r="K622" s="6" t="n">
        <f aca="false">IF(F622&gt;$P$6,1,0)</f>
        <v>0</v>
      </c>
      <c r="L622" s="6" t="n">
        <f aca="false">IF(G622&gt;$P$9,1,0)</f>
        <v>0</v>
      </c>
      <c r="M622" s="6" t="n">
        <f aca="false">IF(ABS(H622)&gt;$P$8,1,0)</f>
        <v>0</v>
      </c>
    </row>
    <row r="623" customFormat="false" ht="15" hidden="false" customHeight="false" outlineLevel="0" collapsed="false">
      <c r="A623" s="0" t="n">
        <f aca="false">ROW()-1</f>
        <v>622</v>
      </c>
      <c r="B623" s="22" t="n">
        <f aca="false">SUMPRODUCT(MMULT('Analysis Data'!N623:U623,'Final Model'!$B$59:$I$66),'Analysis Data'!N623:U623)</f>
        <v>0.00340208245125719</v>
      </c>
      <c r="C623" s="15" t="n">
        <f aca="false">'Residual Diagnostics'!F623</f>
        <v>71.4604389094721</v>
      </c>
      <c r="D623" s="13" t="n">
        <f aca="false">C623/('Final Model'!$B$21*SQRT(1-B623))</f>
        <v>1.45990938499272</v>
      </c>
      <c r="E623" s="13" t="n">
        <f aca="false">D623*SQRT(('Final Model'!$B$24-1)/('Final Model'!$B$24-D623^2))</f>
        <v>1.46050948144203</v>
      </c>
      <c r="F623" s="23" t="n">
        <f aca="false">D623^2/($P$3+1)*B623/(1-B623)</f>
        <v>0.000909466430311871</v>
      </c>
      <c r="G623" s="13" t="n">
        <f aca="false">($P$2-1)*(B623-1/$P$2)</f>
        <v>3.71260569571271</v>
      </c>
      <c r="H623" s="13" t="n">
        <f aca="false">E623*SQRT(B623/(1-B623))</f>
        <v>0.0853329599720004</v>
      </c>
      <c r="I623" s="13" t="n">
        <f aca="false">ABS(D623)</f>
        <v>1.45990938499272</v>
      </c>
      <c r="J623" s="6" t="n">
        <f aca="false">IF(B623&gt;$P$4,1,0)</f>
        <v>0</v>
      </c>
      <c r="K623" s="6" t="n">
        <f aca="false">IF(F623&gt;$P$6,1,0)</f>
        <v>0</v>
      </c>
      <c r="L623" s="6" t="n">
        <f aca="false">IF(G623&gt;$P$9,1,0)</f>
        <v>0</v>
      </c>
      <c r="M623" s="6" t="n">
        <f aca="false">IF(ABS(H623)&gt;$P$8,1,0)</f>
        <v>0</v>
      </c>
    </row>
    <row r="624" customFormat="false" ht="15" hidden="false" customHeight="false" outlineLevel="0" collapsed="false">
      <c r="A624" s="0" t="n">
        <f aca="false">ROW()-1</f>
        <v>623</v>
      </c>
      <c r="B624" s="22" t="n">
        <f aca="false">SUMPRODUCT(MMULT('Analysis Data'!N624:U624,'Final Model'!$B$59:$I$66),'Analysis Data'!N624:U624)</f>
        <v>0.00332893654319822</v>
      </c>
      <c r="C624" s="15" t="n">
        <f aca="false">'Residual Diagnostics'!F624</f>
        <v>-74.7164342186759</v>
      </c>
      <c r="D624" s="13" t="n">
        <f aca="false">C624/('Final Model'!$B$21*SQRT(1-B624))</f>
        <v>-1.52637210806524</v>
      </c>
      <c r="E624" s="13" t="n">
        <f aca="false">D624*SQRT(('Final Model'!$B$24-1)/('Final Model'!$B$24-D624^2))</f>
        <v>-1.5271096748827</v>
      </c>
      <c r="F624" s="23" t="n">
        <f aca="false">D624^2/($P$3+1)*B624/(1-B624)</f>
        <v>0.000972712558465928</v>
      </c>
      <c r="G624" s="13" t="n">
        <f aca="false">($P$2-1)*(B624-1/$P$2)</f>
        <v>3.61129861305103</v>
      </c>
      <c r="H624" s="13" t="n">
        <f aca="false">E624*SQRT(B624/(1-B624))</f>
        <v>-0.0882565734826012</v>
      </c>
      <c r="I624" s="13" t="n">
        <f aca="false">ABS(D624)</f>
        <v>1.52637210806524</v>
      </c>
      <c r="J624" s="6" t="n">
        <f aca="false">IF(B624&gt;$P$4,1,0)</f>
        <v>0</v>
      </c>
      <c r="K624" s="6" t="n">
        <f aca="false">IF(F624&gt;$P$6,1,0)</f>
        <v>0</v>
      </c>
      <c r="L624" s="6" t="n">
        <f aca="false">IF(G624&gt;$P$9,1,0)</f>
        <v>0</v>
      </c>
      <c r="M624" s="6" t="n">
        <f aca="false">IF(ABS(H624)&gt;$P$8,1,0)</f>
        <v>0</v>
      </c>
    </row>
    <row r="625" customFormat="false" ht="15" hidden="false" customHeight="false" outlineLevel="0" collapsed="false">
      <c r="A625" s="0" t="n">
        <f aca="false">ROW()-1</f>
        <v>624</v>
      </c>
      <c r="B625" s="22" t="n">
        <f aca="false">SUMPRODUCT(MMULT('Analysis Data'!N625:U625,'Final Model'!$B$59:$I$66),'Analysis Data'!N625:U625)</f>
        <v>0.014284988368685</v>
      </c>
      <c r="C625" s="15" t="n">
        <f aca="false">'Residual Diagnostics'!F625</f>
        <v>33.5623238522761</v>
      </c>
      <c r="D625" s="13" t="n">
        <f aca="false">C625/('Final Model'!$B$21*SQRT(1-B625))</f>
        <v>0.689440111893194</v>
      </c>
      <c r="E625" s="13" t="n">
        <f aca="false">D625*SQRT(('Final Model'!$B$24-1)/('Final Model'!$B$24-D625^2))</f>
        <v>0.689308802229861</v>
      </c>
      <c r="F625" s="23" t="n">
        <f aca="false">D625^2/($P$3+1)*B625/(1-B625)</f>
        <v>0.000861056457363755</v>
      </c>
      <c r="G625" s="13" t="n">
        <f aca="false">($P$2-1)*(B625-1/$P$2)</f>
        <v>18.7854303913503</v>
      </c>
      <c r="H625" s="13" t="n">
        <f aca="false">E625*SQRT(B625/(1-B625))</f>
        <v>0.0829808892563051</v>
      </c>
      <c r="I625" s="13" t="n">
        <f aca="false">ABS(D625)</f>
        <v>0.689440111893194</v>
      </c>
      <c r="J625" s="6" t="n">
        <f aca="false">IF(B625&gt;$P$4,1,0)</f>
        <v>1</v>
      </c>
      <c r="K625" s="6" t="n">
        <f aca="false">IF(F625&gt;$P$6,1,0)</f>
        <v>0</v>
      </c>
      <c r="L625" s="6" t="n">
        <f aca="false">IF(G625&gt;$P$9,1,0)</f>
        <v>1</v>
      </c>
      <c r="M625" s="6" t="n">
        <f aca="false">IF(ABS(H625)&gt;$P$8,1,0)</f>
        <v>0</v>
      </c>
    </row>
    <row r="626" customFormat="false" ht="15" hidden="false" customHeight="false" outlineLevel="0" collapsed="false">
      <c r="A626" s="0" t="n">
        <f aca="false">ROW()-1</f>
        <v>625</v>
      </c>
      <c r="B626" s="22" t="n">
        <f aca="false">SUMPRODUCT(MMULT('Analysis Data'!N626:U626,'Final Model'!$B$59:$I$66),'Analysis Data'!N626:U626)</f>
        <v>0.00552316919091509</v>
      </c>
      <c r="C626" s="15" t="n">
        <f aca="false">'Residual Diagnostics'!F626</f>
        <v>33.5191074499616</v>
      </c>
      <c r="D626" s="13" t="n">
        <f aca="false">C626/('Final Model'!$B$21*SQRT(1-B626))</f>
        <v>0.685512407499107</v>
      </c>
      <c r="E626" s="13" t="n">
        <f aca="false">D626*SQRT(('Final Model'!$B$24-1)/('Final Model'!$B$24-D626^2))</f>
        <v>0.685380502428659</v>
      </c>
      <c r="F626" s="23" t="n">
        <f aca="false">D626^2/($P$3+1)*B626/(1-B626)</f>
        <v>0.000326237837902239</v>
      </c>
      <c r="G626" s="13" t="n">
        <f aca="false">($P$2-1)*(B626-1/$P$2)</f>
        <v>6.65031083013889</v>
      </c>
      <c r="H626" s="13" t="n">
        <f aca="false">E626*SQRT(B626/(1-B626))</f>
        <v>0.0510773767360424</v>
      </c>
      <c r="I626" s="13" t="n">
        <f aca="false">ABS(D626)</f>
        <v>0.685512407499107</v>
      </c>
      <c r="J626" s="6" t="n">
        <f aca="false">IF(B626&gt;$P$4,1,0)</f>
        <v>0</v>
      </c>
      <c r="K626" s="6" t="n">
        <f aca="false">IF(F626&gt;$P$6,1,0)</f>
        <v>0</v>
      </c>
      <c r="L626" s="6" t="n">
        <f aca="false">IF(G626&gt;$P$9,1,0)</f>
        <v>0</v>
      </c>
      <c r="M626" s="6" t="n">
        <f aca="false">IF(ABS(H626)&gt;$P$8,1,0)</f>
        <v>0</v>
      </c>
    </row>
    <row r="627" customFormat="false" ht="15" hidden="false" customHeight="false" outlineLevel="0" collapsed="false">
      <c r="A627" s="0" t="n">
        <f aca="false">ROW()-1</f>
        <v>626</v>
      </c>
      <c r="B627" s="22" t="n">
        <f aca="false">SUMPRODUCT(MMULT('Analysis Data'!N627:U627,'Final Model'!$B$59:$I$66),'Analysis Data'!N627:U627)</f>
        <v>0.00519997874898849</v>
      </c>
      <c r="C627" s="15" t="n">
        <f aca="false">'Residual Diagnostics'!F627</f>
        <v>-121.865895367469</v>
      </c>
      <c r="D627" s="13" t="n">
        <f aca="false">C627/('Final Model'!$B$21*SQRT(1-B627))</f>
        <v>-2.49192231694412</v>
      </c>
      <c r="E627" s="13" t="n">
        <f aca="false">D627*SQRT(('Final Model'!$B$24-1)/('Final Model'!$B$24-D627^2))</f>
        <v>-2.49664964570873</v>
      </c>
      <c r="F627" s="23" t="n">
        <f aca="false">D627^2/($P$3+1)*B627/(1-B627)</f>
        <v>0.00405737169323705</v>
      </c>
      <c r="G627" s="13" t="n">
        <f aca="false">($P$2-1)*(B627-1/$P$2)</f>
        <v>6.20269206807055</v>
      </c>
      <c r="H627" s="13" t="n">
        <f aca="false">E627*SQRT(B627/(1-B627))</f>
        <v>-0.180505522545372</v>
      </c>
      <c r="I627" s="13" t="n">
        <f aca="false">ABS(D627)</f>
        <v>2.49192231694412</v>
      </c>
      <c r="J627" s="6" t="n">
        <f aca="false">IF(B627&gt;$P$4,1,0)</f>
        <v>0</v>
      </c>
      <c r="K627" s="6" t="n">
        <f aca="false">IF(F627&gt;$P$6,1,0)</f>
        <v>1</v>
      </c>
      <c r="L627" s="6" t="n">
        <f aca="false">IF(G627&gt;$P$9,1,0)</f>
        <v>0</v>
      </c>
      <c r="M627" s="6" t="n">
        <f aca="false">IF(ABS(H627)&gt;$P$8,1,0)</f>
        <v>1</v>
      </c>
    </row>
    <row r="628" customFormat="false" ht="15" hidden="false" customHeight="false" outlineLevel="0" collapsed="false">
      <c r="A628" s="0" t="n">
        <f aca="false">ROW()-1</f>
        <v>627</v>
      </c>
      <c r="B628" s="22" t="n">
        <f aca="false">SUMPRODUCT(MMULT('Analysis Data'!N628:U628,'Final Model'!$B$59:$I$66),'Analysis Data'!N628:U628)</f>
        <v>0.00516606565213937</v>
      </c>
      <c r="C628" s="15" t="n">
        <f aca="false">'Residual Diagnostics'!F628</f>
        <v>-23.9853650934535</v>
      </c>
      <c r="D628" s="13" t="n">
        <f aca="false">C628/('Final Model'!$B$21*SQRT(1-B628))</f>
        <v>-0.490446056440548</v>
      </c>
      <c r="E628" s="13" t="n">
        <f aca="false">D628*SQRT(('Final Model'!$B$24-1)/('Final Model'!$B$24-D628^2))</f>
        <v>-0.490310863461077</v>
      </c>
      <c r="F628" s="23" t="n">
        <f aca="false">D628^2/($P$3+1)*B628/(1-B628)</f>
        <v>0.000156135564158977</v>
      </c>
      <c r="G628" s="13" t="n">
        <f aca="false">($P$2-1)*(B628-1/$P$2)</f>
        <v>6.15572242893453</v>
      </c>
      <c r="H628" s="13" t="n">
        <f aca="false">E628*SQRT(B628/(1-B628))</f>
        <v>-0.0353326475108796</v>
      </c>
      <c r="I628" s="13" t="n">
        <f aca="false">ABS(D628)</f>
        <v>0.490446056440548</v>
      </c>
      <c r="J628" s="6" t="n">
        <f aca="false">IF(B628&gt;$P$4,1,0)</f>
        <v>0</v>
      </c>
      <c r="K628" s="6" t="n">
        <f aca="false">IF(F628&gt;$P$6,1,0)</f>
        <v>0</v>
      </c>
      <c r="L628" s="6" t="n">
        <f aca="false">IF(G628&gt;$P$9,1,0)</f>
        <v>0</v>
      </c>
      <c r="M628" s="6" t="n">
        <f aca="false">IF(ABS(H628)&gt;$P$8,1,0)</f>
        <v>0</v>
      </c>
    </row>
    <row r="629" customFormat="false" ht="15" hidden="false" customHeight="false" outlineLevel="0" collapsed="false">
      <c r="A629" s="0" t="n">
        <f aca="false">ROW()-1</f>
        <v>628</v>
      </c>
      <c r="B629" s="22" t="n">
        <f aca="false">SUMPRODUCT(MMULT('Analysis Data'!N629:U629,'Final Model'!$B$59:$I$66),'Analysis Data'!N629:U629)</f>
        <v>0.00322271640737964</v>
      </c>
      <c r="C629" s="15" t="n">
        <f aca="false">'Residual Diagnostics'!F629</f>
        <v>22.5145499283671</v>
      </c>
      <c r="D629" s="13" t="n">
        <f aca="false">C629/('Final Model'!$B$21*SQRT(1-B629))</f>
        <v>0.459922241840621</v>
      </c>
      <c r="E629" s="13" t="n">
        <f aca="false">D629*SQRT(('Final Model'!$B$24-1)/('Final Model'!$B$24-D629^2))</f>
        <v>0.459790622401793</v>
      </c>
      <c r="F629" s="23" t="n">
        <f aca="false">D629^2/($P$3+1)*B629/(1-B629)</f>
        <v>8.54875353566687E-005</v>
      </c>
      <c r="G629" s="13" t="n">
        <f aca="false">($P$2-1)*(B629-1/$P$2)</f>
        <v>3.4641837249423</v>
      </c>
      <c r="H629" s="13" t="n">
        <f aca="false">E629*SQRT(B629/(1-B629))</f>
        <v>0.0261440032319736</v>
      </c>
      <c r="I629" s="13" t="n">
        <f aca="false">ABS(D629)</f>
        <v>0.459922241840621</v>
      </c>
      <c r="J629" s="6" t="n">
        <f aca="false">IF(B629&gt;$P$4,1,0)</f>
        <v>0</v>
      </c>
      <c r="K629" s="6" t="n">
        <f aca="false">IF(F629&gt;$P$6,1,0)</f>
        <v>0</v>
      </c>
      <c r="L629" s="6" t="n">
        <f aca="false">IF(G629&gt;$P$9,1,0)</f>
        <v>0</v>
      </c>
      <c r="M629" s="6" t="n">
        <f aca="false">IF(ABS(H629)&gt;$P$8,1,0)</f>
        <v>0</v>
      </c>
    </row>
    <row r="630" customFormat="false" ht="15" hidden="false" customHeight="false" outlineLevel="0" collapsed="false">
      <c r="A630" s="0" t="n">
        <f aca="false">ROW()-1</f>
        <v>629</v>
      </c>
      <c r="B630" s="22" t="n">
        <f aca="false">SUMPRODUCT(MMULT('Analysis Data'!N630:U630,'Final Model'!$B$59:$I$66),'Analysis Data'!N630:U630)</f>
        <v>0.00255753549563219</v>
      </c>
      <c r="C630" s="15" t="n">
        <f aca="false">'Residual Diagnostics'!F630</f>
        <v>-37.6064325700431</v>
      </c>
      <c r="D630" s="13" t="n">
        <f aca="false">C630/('Final Model'!$B$21*SQRT(1-B630))</f>
        <v>-0.767959680401386</v>
      </c>
      <c r="E630" s="13" t="n">
        <f aca="false">D630*SQRT(('Final Model'!$B$24-1)/('Final Model'!$B$24-D630^2))</f>
        <v>-0.767845310099189</v>
      </c>
      <c r="F630" s="23" t="n">
        <f aca="false">D630^2/($P$3+1)*B630/(1-B630)</f>
        <v>0.000189025618459991</v>
      </c>
      <c r="G630" s="13" t="n">
        <f aca="false">($P$2-1)*(B630-1/$P$2)</f>
        <v>2.54290816217209</v>
      </c>
      <c r="H630" s="13" t="n">
        <f aca="false">E630*SQRT(B630/(1-B630))</f>
        <v>-0.0388812880890878</v>
      </c>
      <c r="I630" s="13" t="n">
        <f aca="false">ABS(D630)</f>
        <v>0.767959680401386</v>
      </c>
      <c r="J630" s="6" t="n">
        <f aca="false">IF(B630&gt;$P$4,1,0)</f>
        <v>0</v>
      </c>
      <c r="K630" s="6" t="n">
        <f aca="false">IF(F630&gt;$P$6,1,0)</f>
        <v>0</v>
      </c>
      <c r="L630" s="6" t="n">
        <f aca="false">IF(G630&gt;$P$9,1,0)</f>
        <v>0</v>
      </c>
      <c r="M630" s="6" t="n">
        <f aca="false">IF(ABS(H630)&gt;$P$8,1,0)</f>
        <v>0</v>
      </c>
    </row>
    <row r="631" customFormat="false" ht="15" hidden="false" customHeight="false" outlineLevel="0" collapsed="false">
      <c r="A631" s="0" t="n">
        <f aca="false">ROW()-1</f>
        <v>630</v>
      </c>
      <c r="B631" s="22" t="n">
        <f aca="false">SUMPRODUCT(MMULT('Analysis Data'!N631:U631,'Final Model'!$B$59:$I$66),'Analysis Data'!N631:U631)</f>
        <v>0.00230694874348541</v>
      </c>
      <c r="C631" s="15" t="n">
        <f aca="false">'Residual Diagnostics'!F631</f>
        <v>87.7234845587819</v>
      </c>
      <c r="D631" s="13" t="n">
        <f aca="false">C631/('Final Model'!$B$21*SQRT(1-B631))</f>
        <v>1.7911733109661</v>
      </c>
      <c r="E631" s="13" t="n">
        <f aca="false">D631*SQRT(('Final Model'!$B$24-1)/('Final Model'!$B$24-D631^2))</f>
        <v>1.79261129760378</v>
      </c>
      <c r="F631" s="23" t="n">
        <f aca="false">D631^2/($P$3+1)*B631/(1-B631)</f>
        <v>0.00092731274738359</v>
      </c>
      <c r="G631" s="13" t="n">
        <f aca="false">($P$2-1)*(B631-1/$P$2)</f>
        <v>2.19584551044879</v>
      </c>
      <c r="H631" s="13" t="n">
        <f aca="false">E631*SQRT(B631/(1-B631))</f>
        <v>0.0861998734227342</v>
      </c>
      <c r="I631" s="13" t="n">
        <f aca="false">ABS(D631)</f>
        <v>1.7911733109661</v>
      </c>
      <c r="J631" s="6" t="n">
        <f aca="false">IF(B631&gt;$P$4,1,0)</f>
        <v>0</v>
      </c>
      <c r="K631" s="6" t="n">
        <f aca="false">IF(F631&gt;$P$6,1,0)</f>
        <v>0</v>
      </c>
      <c r="L631" s="6" t="n">
        <f aca="false">IF(G631&gt;$P$9,1,0)</f>
        <v>0</v>
      </c>
      <c r="M631" s="6" t="n">
        <f aca="false">IF(ABS(H631)&gt;$P$8,1,0)</f>
        <v>0</v>
      </c>
    </row>
    <row r="632" customFormat="false" ht="15" hidden="false" customHeight="false" outlineLevel="0" collapsed="false">
      <c r="A632" s="0" t="n">
        <f aca="false">ROW()-1</f>
        <v>631</v>
      </c>
      <c r="B632" s="22" t="n">
        <f aca="false">SUMPRODUCT(MMULT('Analysis Data'!N632:U632,'Final Model'!$B$59:$I$66),'Analysis Data'!N632:U632)</f>
        <v>0.00230694874348541</v>
      </c>
      <c r="C632" s="15" t="n">
        <f aca="false">'Residual Diagnostics'!F632</f>
        <v>-35.478671082844</v>
      </c>
      <c r="D632" s="13" t="n">
        <f aca="false">C632/('Final Model'!$B$21*SQRT(1-B632))</f>
        <v>-0.72441774368359</v>
      </c>
      <c r="E632" s="13" t="n">
        <f aca="false">D632*SQRT(('Final Model'!$B$24-1)/('Final Model'!$B$24-D632^2))</f>
        <v>-0.72429277347764</v>
      </c>
      <c r="F632" s="23" t="n">
        <f aca="false">D632^2/($P$3+1)*B632/(1-B632)</f>
        <v>0.000151680296664732</v>
      </c>
      <c r="G632" s="13" t="n">
        <f aca="false">($P$2-1)*(B632-1/$P$2)</f>
        <v>2.19584551044879</v>
      </c>
      <c r="H632" s="13" t="n">
        <f aca="false">E632*SQRT(B632/(1-B632))</f>
        <v>-0.0348284904140849</v>
      </c>
      <c r="I632" s="13" t="n">
        <f aca="false">ABS(D632)</f>
        <v>0.72441774368359</v>
      </c>
      <c r="J632" s="6" t="n">
        <f aca="false">IF(B632&gt;$P$4,1,0)</f>
        <v>0</v>
      </c>
      <c r="K632" s="6" t="n">
        <f aca="false">IF(F632&gt;$P$6,1,0)</f>
        <v>0</v>
      </c>
      <c r="L632" s="6" t="n">
        <f aca="false">IF(G632&gt;$P$9,1,0)</f>
        <v>0</v>
      </c>
      <c r="M632" s="6" t="n">
        <f aca="false">IF(ABS(H632)&gt;$P$8,1,0)</f>
        <v>0</v>
      </c>
    </row>
    <row r="633" customFormat="false" ht="15" hidden="false" customHeight="false" outlineLevel="0" collapsed="false">
      <c r="A633" s="0" t="n">
        <f aca="false">ROW()-1</f>
        <v>632</v>
      </c>
      <c r="B633" s="22" t="n">
        <f aca="false">SUMPRODUCT(MMULT('Analysis Data'!N633:U633,'Final Model'!$B$59:$I$66),'Analysis Data'!N633:U633)</f>
        <v>0.00230694874348541</v>
      </c>
      <c r="C633" s="15" t="n">
        <f aca="false">'Residual Diagnostics'!F633</f>
        <v>15.6653708260486</v>
      </c>
      <c r="D633" s="13" t="n">
        <f aca="false">C633/('Final Model'!$B$21*SQRT(1-B633))</f>
        <v>0.319861828005739</v>
      </c>
      <c r="E633" s="13" t="n">
        <f aca="false">D633*SQRT(('Final Model'!$B$24-1)/('Final Model'!$B$24-D633^2))</f>
        <v>0.319757617424479</v>
      </c>
      <c r="F633" s="23" t="n">
        <f aca="false">D633^2/($P$3+1)*B633/(1-B633)</f>
        <v>2.95716692906314E-005</v>
      </c>
      <c r="G633" s="13" t="n">
        <f aca="false">($P$2-1)*(B633-1/$P$2)</f>
        <v>2.19584551044879</v>
      </c>
      <c r="H633" s="13" t="n">
        <f aca="false">E633*SQRT(B633/(1-B633))</f>
        <v>0.0153759301778301</v>
      </c>
      <c r="I633" s="13" t="n">
        <f aca="false">ABS(D633)</f>
        <v>0.319861828005739</v>
      </c>
      <c r="J633" s="6" t="n">
        <f aca="false">IF(B633&gt;$P$4,1,0)</f>
        <v>0</v>
      </c>
      <c r="K633" s="6" t="n">
        <f aca="false">IF(F633&gt;$P$6,1,0)</f>
        <v>0</v>
      </c>
      <c r="L633" s="6" t="n">
        <f aca="false">IF(G633&gt;$P$9,1,0)</f>
        <v>0</v>
      </c>
      <c r="M633" s="6" t="n">
        <f aca="false">IF(ABS(H633)&gt;$P$8,1,0)</f>
        <v>0</v>
      </c>
    </row>
    <row r="634" customFormat="false" ht="15" hidden="false" customHeight="false" outlineLevel="0" collapsed="false">
      <c r="A634" s="0" t="n">
        <f aca="false">ROW()-1</f>
        <v>633</v>
      </c>
      <c r="B634" s="22" t="n">
        <f aca="false">SUMPRODUCT(MMULT('Analysis Data'!N634:U634,'Final Model'!$B$59:$I$66),'Analysis Data'!N634:U634)</f>
        <v>0.00367710881112829</v>
      </c>
      <c r="C634" s="15" t="n">
        <f aca="false">'Residual Diagnostics'!F634</f>
        <v>22.2285957367688</v>
      </c>
      <c r="D634" s="13" t="n">
        <f aca="false">C634/('Final Model'!$B$21*SQRT(1-B634))</f>
        <v>0.454184367304789</v>
      </c>
      <c r="E634" s="13" t="n">
        <f aca="false">D634*SQRT(('Final Model'!$B$24-1)/('Final Model'!$B$24-D634^2))</f>
        <v>0.454053525661884</v>
      </c>
      <c r="F634" s="23" t="n">
        <f aca="false">D634^2/($P$3+1)*B634/(1-B634)</f>
        <v>9.51657665022981E-005</v>
      </c>
      <c r="G634" s="13" t="n">
        <f aca="false">($P$2-1)*(B634-1/$P$2)</f>
        <v>4.09351720413418</v>
      </c>
      <c r="H634" s="13" t="n">
        <f aca="false">E634*SQRT(B634/(1-B634))</f>
        <v>0.0275841901971331</v>
      </c>
      <c r="I634" s="13" t="n">
        <f aca="false">ABS(D634)</f>
        <v>0.454184367304789</v>
      </c>
      <c r="J634" s="6" t="n">
        <f aca="false">IF(B634&gt;$P$4,1,0)</f>
        <v>0</v>
      </c>
      <c r="K634" s="6" t="n">
        <f aca="false">IF(F634&gt;$P$6,1,0)</f>
        <v>0</v>
      </c>
      <c r="L634" s="6" t="n">
        <f aca="false">IF(G634&gt;$P$9,1,0)</f>
        <v>0</v>
      </c>
      <c r="M634" s="6" t="n">
        <f aca="false">IF(ABS(H634)&gt;$P$8,1,0)</f>
        <v>0</v>
      </c>
    </row>
    <row r="635" customFormat="false" ht="15" hidden="false" customHeight="false" outlineLevel="0" collapsed="false">
      <c r="A635" s="0" t="n">
        <f aca="false">ROW()-1</f>
        <v>634</v>
      </c>
      <c r="B635" s="22" t="n">
        <f aca="false">SUMPRODUCT(MMULT('Analysis Data'!N635:U635,'Final Model'!$B$59:$I$66),'Analysis Data'!N635:U635)</f>
        <v>0.013893513334181</v>
      </c>
      <c r="C635" s="15" t="n">
        <f aca="false">'Residual Diagnostics'!F635</f>
        <v>-52.9241808711464</v>
      </c>
      <c r="D635" s="13" t="n">
        <f aca="false">C635/('Final Model'!$B$21*SQRT(1-B635))</f>
        <v>-1.08695720581418</v>
      </c>
      <c r="E635" s="13" t="n">
        <f aca="false">D635*SQRT(('Final Model'!$B$24-1)/('Final Model'!$B$24-D635^2))</f>
        <v>-1.08702883838859</v>
      </c>
      <c r="F635" s="23" t="n">
        <f aca="false">D635^2/($P$3+1)*B635/(1-B635)</f>
        <v>0.00208076565858527</v>
      </c>
      <c r="G635" s="13" t="n">
        <f aca="false">($P$2-1)*(B635-1/$P$2)</f>
        <v>18.2432374685622</v>
      </c>
      <c r="H635" s="13" t="n">
        <f aca="false">E635*SQRT(B635/(1-B635))</f>
        <v>-0.129028366510784</v>
      </c>
      <c r="I635" s="13" t="n">
        <f aca="false">ABS(D635)</f>
        <v>1.08695720581418</v>
      </c>
      <c r="J635" s="6" t="n">
        <f aca="false">IF(B635&gt;$P$4,1,0)</f>
        <v>1</v>
      </c>
      <c r="K635" s="6" t="n">
        <f aca="false">IF(F635&gt;$P$6,1,0)</f>
        <v>0</v>
      </c>
      <c r="L635" s="6" t="n">
        <f aca="false">IF(G635&gt;$P$9,1,0)</f>
        <v>1</v>
      </c>
      <c r="M635" s="6" t="n">
        <f aca="false">IF(ABS(H635)&gt;$P$8,1,0)</f>
        <v>0</v>
      </c>
    </row>
    <row r="636" customFormat="false" ht="15" hidden="false" customHeight="false" outlineLevel="0" collapsed="false">
      <c r="A636" s="0" t="n">
        <f aca="false">ROW()-1</f>
        <v>635</v>
      </c>
      <c r="B636" s="22" t="n">
        <f aca="false">SUMPRODUCT(MMULT('Analysis Data'!N636:U636,'Final Model'!$B$59:$I$66),'Analysis Data'!N636:U636)</f>
        <v>0.00607720024037659</v>
      </c>
      <c r="C636" s="15" t="n">
        <f aca="false">'Residual Diagnostics'!F636</f>
        <v>-50.0156598634348</v>
      </c>
      <c r="D636" s="13" t="n">
        <f aca="false">C636/('Final Model'!$B$21*SQRT(1-B636))</f>
        <v>-1.02317491751699</v>
      </c>
      <c r="E636" s="13" t="n">
        <f aca="false">D636*SQRT(('Final Model'!$B$24-1)/('Final Model'!$B$24-D636^2))</f>
        <v>-1.0231923375378</v>
      </c>
      <c r="F636" s="23" t="n">
        <f aca="false">D636^2/($P$3+1)*B636/(1-B636)</f>
        <v>0.00080013022563157</v>
      </c>
      <c r="G636" s="13" t="n">
        <f aca="false">($P$2-1)*(B636-1/$P$2)</f>
        <v>7.41764383364308</v>
      </c>
      <c r="H636" s="13" t="n">
        <f aca="false">E636*SQRT(B636/(1-B636))</f>
        <v>-0.0800078731640526</v>
      </c>
      <c r="I636" s="13" t="n">
        <f aca="false">ABS(D636)</f>
        <v>1.02317491751699</v>
      </c>
      <c r="J636" s="6" t="n">
        <f aca="false">IF(B636&gt;$P$4,1,0)</f>
        <v>0</v>
      </c>
      <c r="K636" s="6" t="n">
        <f aca="false">IF(F636&gt;$P$6,1,0)</f>
        <v>0</v>
      </c>
      <c r="L636" s="6" t="n">
        <f aca="false">IF(G636&gt;$P$9,1,0)</f>
        <v>0</v>
      </c>
      <c r="M636" s="6" t="n">
        <f aca="false">IF(ABS(H636)&gt;$P$8,1,0)</f>
        <v>0</v>
      </c>
    </row>
    <row r="637" customFormat="false" ht="15" hidden="false" customHeight="false" outlineLevel="0" collapsed="false">
      <c r="A637" s="0" t="n">
        <f aca="false">ROW()-1</f>
        <v>636</v>
      </c>
      <c r="B637" s="22" t="n">
        <f aca="false">SUMPRODUCT(MMULT('Analysis Data'!N637:U637,'Final Model'!$B$59:$I$66),'Analysis Data'!N637:U637)</f>
        <v>0.00527451924673896</v>
      </c>
      <c r="C637" s="15" t="n">
        <f aca="false">'Residual Diagnostics'!F637</f>
        <v>15.7047130383806</v>
      </c>
      <c r="D637" s="13" t="n">
        <f aca="false">C637/('Final Model'!$B$21*SQRT(1-B637))</f>
        <v>0.321143097980748</v>
      </c>
      <c r="E637" s="13" t="n">
        <f aca="false">D637*SQRT(('Final Model'!$B$24-1)/('Final Model'!$B$24-D637^2))</f>
        <v>0.321038565641392</v>
      </c>
      <c r="F637" s="23" t="n">
        <f aca="false">D637^2/($P$3+1)*B637/(1-B637)</f>
        <v>6.83576047532012E-005</v>
      </c>
      <c r="G637" s="13" t="n">
        <f aca="false">($P$2-1)*(B637-1/$P$2)</f>
        <v>6.30593065745496</v>
      </c>
      <c r="H637" s="13" t="n">
        <f aca="false">E637*SQRT(B637/(1-B637))</f>
        <v>0.0233774440149393</v>
      </c>
      <c r="I637" s="13" t="n">
        <f aca="false">ABS(D637)</f>
        <v>0.321143097980748</v>
      </c>
      <c r="J637" s="6" t="n">
        <f aca="false">IF(B637&gt;$P$4,1,0)</f>
        <v>0</v>
      </c>
      <c r="K637" s="6" t="n">
        <f aca="false">IF(F637&gt;$P$6,1,0)</f>
        <v>0</v>
      </c>
      <c r="L637" s="6" t="n">
        <f aca="false">IF(G637&gt;$P$9,1,0)</f>
        <v>0</v>
      </c>
      <c r="M637" s="6" t="n">
        <f aca="false">IF(ABS(H637)&gt;$P$8,1,0)</f>
        <v>0</v>
      </c>
    </row>
    <row r="638" customFormat="false" ht="15" hidden="false" customHeight="false" outlineLevel="0" collapsed="false">
      <c r="A638" s="0" t="n">
        <f aca="false">ROW()-1</f>
        <v>637</v>
      </c>
      <c r="B638" s="22" t="n">
        <f aca="false">SUMPRODUCT(MMULT('Analysis Data'!N638:U638,'Final Model'!$B$59:$I$66),'Analysis Data'!N638:U638)</f>
        <v>0.00539497426708903</v>
      </c>
      <c r="C638" s="15" t="n">
        <f aca="false">'Residual Diagnostics'!F638</f>
        <v>-23.4918457431813</v>
      </c>
      <c r="D638" s="13" t="n">
        <f aca="false">C638/('Final Model'!$B$21*SQRT(1-B638))</f>
        <v>-0.480409984100817</v>
      </c>
      <c r="E638" s="13" t="n">
        <f aca="false">D638*SQRT(('Final Model'!$B$24-1)/('Final Model'!$B$24-D638^2))</f>
        <v>-0.48027585933184</v>
      </c>
      <c r="F638" s="23" t="n">
        <f aca="false">D638^2/($P$3+1)*B638/(1-B638)</f>
        <v>0.000156485027382039</v>
      </c>
      <c r="G638" s="13" t="n">
        <f aca="false">($P$2-1)*(B638-1/$P$2)</f>
        <v>6.47276086063981</v>
      </c>
      <c r="H638" s="13" t="n">
        <f aca="false">E638*SQRT(B638/(1-B638))</f>
        <v>-0.0353720411684209</v>
      </c>
      <c r="I638" s="13" t="n">
        <f aca="false">ABS(D638)</f>
        <v>0.480409984100817</v>
      </c>
      <c r="J638" s="6" t="n">
        <f aca="false">IF(B638&gt;$P$4,1,0)</f>
        <v>0</v>
      </c>
      <c r="K638" s="6" t="n">
        <f aca="false">IF(F638&gt;$P$6,1,0)</f>
        <v>0</v>
      </c>
      <c r="L638" s="6" t="n">
        <f aca="false">IF(G638&gt;$P$9,1,0)</f>
        <v>0</v>
      </c>
      <c r="M638" s="6" t="n">
        <f aca="false">IF(ABS(H638)&gt;$P$8,1,0)</f>
        <v>0</v>
      </c>
    </row>
    <row r="639" customFormat="false" ht="15" hidden="false" customHeight="false" outlineLevel="0" collapsed="false">
      <c r="A639" s="0" t="n">
        <f aca="false">ROW()-1</f>
        <v>638</v>
      </c>
      <c r="B639" s="22" t="n">
        <f aca="false">SUMPRODUCT(MMULT('Analysis Data'!N639:U639,'Final Model'!$B$59:$I$66),'Analysis Data'!N639:U639)</f>
        <v>0.0100276955496514</v>
      </c>
      <c r="C639" s="15" t="n">
        <f aca="false">'Residual Diagnostics'!F639</f>
        <v>-83.4321940558652</v>
      </c>
      <c r="D639" s="13" t="n">
        <f aca="false">C639/('Final Model'!$B$21*SQRT(1-B639))</f>
        <v>-1.71018207811198</v>
      </c>
      <c r="E639" s="13" t="n">
        <f aca="false">D639*SQRT(('Final Model'!$B$24-1)/('Final Model'!$B$24-D639^2))</f>
        <v>-1.71137854908175</v>
      </c>
      <c r="F639" s="23" t="n">
        <f aca="false">D639^2/($P$3+1)*B639/(1-B639)</f>
        <v>0.00370316284038725</v>
      </c>
      <c r="G639" s="13" t="n">
        <f aca="false">($P$2-1)*(B639-1/$P$2)</f>
        <v>12.8890798369887</v>
      </c>
      <c r="H639" s="13" t="n">
        <f aca="false">E639*SQRT(B639/(1-B639))</f>
        <v>-0.172240442123664</v>
      </c>
      <c r="I639" s="13" t="n">
        <f aca="false">ABS(D639)</f>
        <v>1.71018207811198</v>
      </c>
      <c r="J639" s="6" t="n">
        <f aca="false">IF(B639&gt;$P$4,1,0)</f>
        <v>0</v>
      </c>
      <c r="K639" s="6" t="n">
        <f aca="false">IF(F639&gt;$P$6,1,0)</f>
        <v>1</v>
      </c>
      <c r="L639" s="6" t="n">
        <f aca="false">IF(G639&gt;$P$9,1,0)</f>
        <v>1</v>
      </c>
      <c r="M639" s="6" t="n">
        <f aca="false">IF(ABS(H639)&gt;$P$8,1,0)</f>
        <v>1</v>
      </c>
    </row>
    <row r="640" customFormat="false" ht="15" hidden="false" customHeight="false" outlineLevel="0" collapsed="false">
      <c r="A640" s="0" t="n">
        <f aca="false">ROW()-1</f>
        <v>639</v>
      </c>
      <c r="B640" s="22" t="n">
        <f aca="false">SUMPRODUCT(MMULT('Analysis Data'!N640:U640,'Final Model'!$B$59:$I$66),'Analysis Data'!N640:U640)</f>
        <v>0.00588372148782229</v>
      </c>
      <c r="C640" s="15" t="n">
        <f aca="false">'Residual Diagnostics'!F640</f>
        <v>-53.7649646864836</v>
      </c>
      <c r="D640" s="13" t="n">
        <f aca="false">C640/('Final Model'!$B$21*SQRT(1-B640))</f>
        <v>-1.09976775223884</v>
      </c>
      <c r="E640" s="13" t="n">
        <f aca="false">D640*SQRT(('Final Model'!$B$24-1)/('Final Model'!$B$24-D640^2))</f>
        <v>-1.09985141805486</v>
      </c>
      <c r="F640" s="23" t="n">
        <f aca="false">D640^2/($P$3+1)*B640/(1-B640)</f>
        <v>0.000894801897541025</v>
      </c>
      <c r="G640" s="13" t="n">
        <f aca="false">($P$2-1)*(B640-1/$P$2)</f>
        <v>7.14967576135537</v>
      </c>
      <c r="H640" s="13" t="n">
        <f aca="false">E640*SQRT(B640/(1-B640))</f>
        <v>-0.084613854583282</v>
      </c>
      <c r="I640" s="13" t="n">
        <f aca="false">ABS(D640)</f>
        <v>1.09976775223884</v>
      </c>
      <c r="J640" s="6" t="n">
        <f aca="false">IF(B640&gt;$P$4,1,0)</f>
        <v>0</v>
      </c>
      <c r="K640" s="6" t="n">
        <f aca="false">IF(F640&gt;$P$6,1,0)</f>
        <v>0</v>
      </c>
      <c r="L640" s="6" t="n">
        <f aca="false">IF(G640&gt;$P$9,1,0)</f>
        <v>0</v>
      </c>
      <c r="M640" s="6" t="n">
        <f aca="false">IF(ABS(H640)&gt;$P$8,1,0)</f>
        <v>0</v>
      </c>
    </row>
    <row r="641" customFormat="false" ht="15" hidden="false" customHeight="false" outlineLevel="0" collapsed="false">
      <c r="A641" s="0" t="n">
        <f aca="false">ROW()-1</f>
        <v>640</v>
      </c>
      <c r="B641" s="22" t="n">
        <f aca="false">SUMPRODUCT(MMULT('Analysis Data'!N641:U641,'Final Model'!$B$59:$I$66),'Analysis Data'!N641:U641)</f>
        <v>0.0102794091447032</v>
      </c>
      <c r="C641" s="15" t="n">
        <f aca="false">'Residual Diagnostics'!F641</f>
        <v>13.1821011202254</v>
      </c>
      <c r="D641" s="13" t="n">
        <f aca="false">C641/('Final Model'!$B$21*SQRT(1-B641))</f>
        <v>0.270239323306106</v>
      </c>
      <c r="E641" s="13" t="n">
        <f aca="false">D641*SQRT(('Final Model'!$B$24-1)/('Final Model'!$B$24-D641^2))</f>
        <v>0.270148409169625</v>
      </c>
      <c r="F641" s="23" t="n">
        <f aca="false">D641^2/($P$3+1)*B641/(1-B641)</f>
        <v>9.48118561848134E-005</v>
      </c>
      <c r="G641" s="13" t="n">
        <f aca="false">($P$2-1)*(B641-1/$P$2)</f>
        <v>13.2377031661355</v>
      </c>
      <c r="H641" s="13" t="n">
        <f aca="false">E641*SQRT(B641/(1-B641))</f>
        <v>0.0275315199071167</v>
      </c>
      <c r="I641" s="13" t="n">
        <f aca="false">ABS(D641)</f>
        <v>0.270239323306106</v>
      </c>
      <c r="J641" s="6" t="n">
        <f aca="false">IF(B641&gt;$P$4,1,0)</f>
        <v>0</v>
      </c>
      <c r="K641" s="6" t="n">
        <f aca="false">IF(F641&gt;$P$6,1,0)</f>
        <v>0</v>
      </c>
      <c r="L641" s="6" t="n">
        <f aca="false">IF(G641&gt;$P$9,1,0)</f>
        <v>1</v>
      </c>
      <c r="M641" s="6" t="n">
        <f aca="false">IF(ABS(H641)&gt;$P$8,1,0)</f>
        <v>0</v>
      </c>
    </row>
    <row r="642" customFormat="false" ht="15" hidden="false" customHeight="false" outlineLevel="0" collapsed="false">
      <c r="A642" s="0" t="n">
        <f aca="false">ROW()-1</f>
        <v>641</v>
      </c>
      <c r="B642" s="22" t="n">
        <f aca="false">SUMPRODUCT(MMULT('Analysis Data'!N642:U642,'Final Model'!$B$59:$I$66),'Analysis Data'!N642:U642)</f>
        <v>0.00999018939866834</v>
      </c>
      <c r="C642" s="15" t="n">
        <f aca="false">'Residual Diagnostics'!F642</f>
        <v>-84.355824864426</v>
      </c>
      <c r="D642" s="13" t="n">
        <f aca="false">C642/('Final Model'!$B$21*SQRT(1-B642))</f>
        <v>-1.72908178651777</v>
      </c>
      <c r="E642" s="13" t="n">
        <f aca="false">D642*SQRT(('Final Model'!$B$24-1)/('Final Model'!$B$24-D642^2))</f>
        <v>-1.73033237772021</v>
      </c>
      <c r="F642" s="23" t="n">
        <f aca="false">D642^2/($P$3+1)*B642/(1-B642)</f>
        <v>0.00377116304004091</v>
      </c>
      <c r="G642" s="13" t="n">
        <f aca="false">($P$2-1)*(B642-1/$P$2)</f>
        <v>12.8371338178771</v>
      </c>
      <c r="H642" s="13" t="n">
        <f aca="false">E642*SQRT(B642/(1-B642))</f>
        <v>-0.17381875947591</v>
      </c>
      <c r="I642" s="13" t="n">
        <f aca="false">ABS(D642)</f>
        <v>1.72908178651777</v>
      </c>
      <c r="J642" s="6" t="n">
        <f aca="false">IF(B642&gt;$P$4,1,0)</f>
        <v>0</v>
      </c>
      <c r="K642" s="6" t="n">
        <f aca="false">IF(F642&gt;$P$6,1,0)</f>
        <v>1</v>
      </c>
      <c r="L642" s="6" t="n">
        <f aca="false">IF(G642&gt;$P$9,1,0)</f>
        <v>1</v>
      </c>
      <c r="M642" s="6" t="n">
        <f aca="false">IF(ABS(H642)&gt;$P$8,1,0)</f>
        <v>1</v>
      </c>
    </row>
    <row r="643" customFormat="false" ht="15" hidden="false" customHeight="false" outlineLevel="0" collapsed="false">
      <c r="A643" s="0" t="n">
        <f aca="false">ROW()-1</f>
        <v>642</v>
      </c>
      <c r="B643" s="22" t="n">
        <f aca="false">SUMPRODUCT(MMULT('Analysis Data'!N643:U643,'Final Model'!$B$59:$I$66),'Analysis Data'!N643:U643)</f>
        <v>0.00193218490609401</v>
      </c>
      <c r="C643" s="15" t="n">
        <f aca="false">'Residual Diagnostics'!F643</f>
        <v>-57.5204600845625</v>
      </c>
      <c r="D643" s="13" t="n">
        <f aca="false">C643/('Final Model'!$B$21*SQRT(1-B643))</f>
        <v>-1.17425531455451</v>
      </c>
      <c r="E643" s="13" t="n">
        <f aca="false">D643*SQRT(('Final Model'!$B$24-1)/('Final Model'!$B$24-D643^2))</f>
        <v>-1.17441689351253</v>
      </c>
      <c r="F643" s="23" t="n">
        <f aca="false">D643^2/($P$3+1)*B643/(1-B643)</f>
        <v>0.00033367503599738</v>
      </c>
      <c r="G643" s="13" t="n">
        <f aca="false">($P$2-1)*(B643-1/$P$2)</f>
        <v>1.6767975956617</v>
      </c>
      <c r="H643" s="13" t="n">
        <f aca="false">E643*SQRT(B643/(1-B643))</f>
        <v>-0.0516733486815757</v>
      </c>
      <c r="I643" s="13" t="n">
        <f aca="false">ABS(D643)</f>
        <v>1.17425531455451</v>
      </c>
      <c r="J643" s="6" t="n">
        <f aca="false">IF(B643&gt;$P$4,1,0)</f>
        <v>0</v>
      </c>
      <c r="K643" s="6" t="n">
        <f aca="false">IF(F643&gt;$P$6,1,0)</f>
        <v>0</v>
      </c>
      <c r="L643" s="6" t="n">
        <f aca="false">IF(G643&gt;$P$9,1,0)</f>
        <v>0</v>
      </c>
      <c r="M643" s="6" t="n">
        <f aca="false">IF(ABS(H643)&gt;$P$8,1,0)</f>
        <v>0</v>
      </c>
    </row>
    <row r="644" customFormat="false" ht="15" hidden="false" customHeight="false" outlineLevel="0" collapsed="false">
      <c r="A644" s="0" t="n">
        <f aca="false">ROW()-1</f>
        <v>643</v>
      </c>
      <c r="B644" s="22" t="n">
        <f aca="false">SUMPRODUCT(MMULT('Analysis Data'!N644:U644,'Final Model'!$B$59:$I$66),'Analysis Data'!N644:U644)</f>
        <v>0.00193218490609401</v>
      </c>
      <c r="C644" s="15" t="n">
        <f aca="false">'Residual Diagnostics'!F644</f>
        <v>-12.630139786714</v>
      </c>
      <c r="D644" s="13" t="n">
        <f aca="false">C644/('Final Model'!$B$21*SQRT(1-B644))</f>
        <v>-0.257838841106482</v>
      </c>
      <c r="E644" s="13" t="n">
        <f aca="false">D644*SQRT(('Final Model'!$B$24-1)/('Final Model'!$B$24-D644^2))</f>
        <v>-0.257751486285507</v>
      </c>
      <c r="F644" s="23" t="n">
        <f aca="false">D644^2/($P$3+1)*B644/(1-B644)</f>
        <v>1.60877507167377E-005</v>
      </c>
      <c r="G644" s="13" t="n">
        <f aca="false">($P$2-1)*(B644-1/$P$2)</f>
        <v>1.6767975956617</v>
      </c>
      <c r="H644" s="13" t="n">
        <f aca="false">E644*SQRT(B644/(1-B644))</f>
        <v>-0.0113408471025909</v>
      </c>
      <c r="I644" s="13" t="n">
        <f aca="false">ABS(D644)</f>
        <v>0.257838841106482</v>
      </c>
      <c r="J644" s="6" t="n">
        <f aca="false">IF(B644&gt;$P$4,1,0)</f>
        <v>0</v>
      </c>
      <c r="K644" s="6" t="n">
        <f aca="false">IF(F644&gt;$P$6,1,0)</f>
        <v>0</v>
      </c>
      <c r="L644" s="6" t="n">
        <f aca="false">IF(G644&gt;$P$9,1,0)</f>
        <v>0</v>
      </c>
      <c r="M644" s="6" t="n">
        <f aca="false">IF(ABS(H644)&gt;$P$8,1,0)</f>
        <v>0</v>
      </c>
    </row>
    <row r="645" customFormat="false" ht="15" hidden="false" customHeight="false" outlineLevel="0" collapsed="false">
      <c r="A645" s="0" t="n">
        <f aca="false">ROW()-1</f>
        <v>644</v>
      </c>
      <c r="B645" s="22" t="n">
        <f aca="false">SUMPRODUCT(MMULT('Analysis Data'!N645:U645,'Final Model'!$B$59:$I$66),'Analysis Data'!N645:U645)</f>
        <v>0.00239365248902697</v>
      </c>
      <c r="C645" s="15" t="n">
        <f aca="false">'Residual Diagnostics'!F645</f>
        <v>0.0311863033373356</v>
      </c>
      <c r="D645" s="13" t="n">
        <f aca="false">C645/('Final Model'!$B$21*SQRT(1-B645))</f>
        <v>0.000636802127538094</v>
      </c>
      <c r="E645" s="13" t="n">
        <f aca="false">D645*SQRT(('Final Model'!$B$24-1)/('Final Model'!$B$24-D645^2))</f>
        <v>0.000636571025418545</v>
      </c>
      <c r="F645" s="23" t="n">
        <f aca="false">D645^2/($P$3+1)*B645/(1-B645)</f>
        <v>1.21624458668385E-010</v>
      </c>
      <c r="G645" s="13" t="n">
        <f aca="false">($P$2-1)*(B645-1/$P$2)</f>
        <v>2.31593019802386</v>
      </c>
      <c r="H645" s="13" t="n">
        <f aca="false">E645*SQRT(B645/(1-B645))</f>
        <v>3.11815582834615E-005</v>
      </c>
      <c r="I645" s="13" t="n">
        <f aca="false">ABS(D645)</f>
        <v>0.000636802127538094</v>
      </c>
      <c r="J645" s="6" t="n">
        <f aca="false">IF(B645&gt;$P$4,1,0)</f>
        <v>0</v>
      </c>
      <c r="K645" s="6" t="n">
        <f aca="false">IF(F645&gt;$P$6,1,0)</f>
        <v>0</v>
      </c>
      <c r="L645" s="6" t="n">
        <f aca="false">IF(G645&gt;$P$9,1,0)</f>
        <v>0</v>
      </c>
      <c r="M645" s="6" t="n">
        <f aca="false">IF(ABS(H645)&gt;$P$8,1,0)</f>
        <v>0</v>
      </c>
    </row>
    <row r="646" customFormat="false" ht="15" hidden="false" customHeight="false" outlineLevel="0" collapsed="false">
      <c r="A646" s="0" t="n">
        <f aca="false">ROW()-1</f>
        <v>645</v>
      </c>
      <c r="B646" s="22" t="n">
        <f aca="false">SUMPRODUCT(MMULT('Analysis Data'!N646:U646,'Final Model'!$B$59:$I$66),'Analysis Data'!N646:U646)</f>
        <v>0.00243688472834053</v>
      </c>
      <c r="C646" s="15" t="n">
        <f aca="false">'Residual Diagnostics'!F646</f>
        <v>61.123056582304</v>
      </c>
      <c r="D646" s="13" t="n">
        <f aca="false">C646/('Final Model'!$B$21*SQRT(1-B646))</f>
        <v>1.24811637560725</v>
      </c>
      <c r="E646" s="13" t="n">
        <f aca="false">D646*SQRT(('Final Model'!$B$24-1)/('Final Model'!$B$24-D646^2))</f>
        <v>1.24836924561993</v>
      </c>
      <c r="F646" s="23" t="n">
        <f aca="false">D646^2/($P$3+1)*B646/(1-B646)</f>
        <v>0.000475679876452395</v>
      </c>
      <c r="G646" s="13" t="n">
        <f aca="false">($P$2-1)*(B646-1/$P$2)</f>
        <v>2.37580684947313</v>
      </c>
      <c r="H646" s="13" t="n">
        <f aca="false">E646*SQRT(B646/(1-B646))</f>
        <v>0.061700738582934</v>
      </c>
      <c r="I646" s="13" t="n">
        <f aca="false">ABS(D646)</f>
        <v>1.24811637560725</v>
      </c>
      <c r="J646" s="6" t="n">
        <f aca="false">IF(B646&gt;$P$4,1,0)</f>
        <v>0</v>
      </c>
      <c r="K646" s="6" t="n">
        <f aca="false">IF(F646&gt;$P$6,1,0)</f>
        <v>0</v>
      </c>
      <c r="L646" s="6" t="n">
        <f aca="false">IF(G646&gt;$P$9,1,0)</f>
        <v>0</v>
      </c>
      <c r="M646" s="6" t="n">
        <f aca="false">IF(ABS(H646)&gt;$P$8,1,0)</f>
        <v>0</v>
      </c>
    </row>
    <row r="647" customFormat="false" ht="15" hidden="false" customHeight="false" outlineLevel="0" collapsed="false">
      <c r="A647" s="0" t="n">
        <f aca="false">ROW()-1</f>
        <v>646</v>
      </c>
      <c r="B647" s="22" t="n">
        <f aca="false">SUMPRODUCT(MMULT('Analysis Data'!N647:U647,'Final Model'!$B$59:$I$66),'Analysis Data'!N647:U647)</f>
        <v>0.00243688472834053</v>
      </c>
      <c r="C647" s="15" t="n">
        <f aca="false">'Residual Diagnostics'!F647</f>
        <v>-29.5722359041707</v>
      </c>
      <c r="D647" s="13" t="n">
        <f aca="false">C647/('Final Model'!$B$21*SQRT(1-B647))</f>
        <v>-0.603857103343915</v>
      </c>
      <c r="E647" s="13" t="n">
        <f aca="false">D647*SQRT(('Final Model'!$B$24-1)/('Final Model'!$B$24-D647^2))</f>
        <v>-0.603717839771887</v>
      </c>
      <c r="F647" s="23" t="n">
        <f aca="false">D647^2/($P$3+1)*B647/(1-B647)</f>
        <v>0.000111345578316614</v>
      </c>
      <c r="G647" s="13" t="n">
        <f aca="false">($P$2-1)*(B647-1/$P$2)</f>
        <v>2.37580684947313</v>
      </c>
      <c r="H647" s="13" t="n">
        <f aca="false">E647*SQRT(B647/(1-B647))</f>
        <v>-0.0298387970869315</v>
      </c>
      <c r="I647" s="13" t="n">
        <f aca="false">ABS(D647)</f>
        <v>0.603857103343915</v>
      </c>
      <c r="J647" s="6" t="n">
        <f aca="false">IF(B647&gt;$P$4,1,0)</f>
        <v>0</v>
      </c>
      <c r="K647" s="6" t="n">
        <f aca="false">IF(F647&gt;$P$6,1,0)</f>
        <v>0</v>
      </c>
      <c r="L647" s="6" t="n">
        <f aca="false">IF(G647&gt;$P$9,1,0)</f>
        <v>0</v>
      </c>
      <c r="M647" s="6" t="n">
        <f aca="false">IF(ABS(H647)&gt;$P$8,1,0)</f>
        <v>0</v>
      </c>
    </row>
    <row r="648" customFormat="false" ht="15" hidden="false" customHeight="false" outlineLevel="0" collapsed="false">
      <c r="A648" s="0" t="n">
        <f aca="false">ROW()-1</f>
        <v>647</v>
      </c>
      <c r="B648" s="22" t="n">
        <f aca="false">SUMPRODUCT(MMULT('Analysis Data'!N648:U648,'Final Model'!$B$59:$I$66),'Analysis Data'!N648:U648)</f>
        <v>0.00243688472834053</v>
      </c>
      <c r="C648" s="15" t="n">
        <f aca="false">'Residual Diagnostics'!F648</f>
        <v>43.0703631205104</v>
      </c>
      <c r="D648" s="13" t="n">
        <f aca="false">C648/('Final Model'!$B$21*SQRT(1-B648))</f>
        <v>0.879485230613012</v>
      </c>
      <c r="E648" s="13" t="n">
        <f aca="false">D648*SQRT(('Final Model'!$B$24-1)/('Final Model'!$B$24-D648^2))</f>
        <v>0.879412905315039</v>
      </c>
      <c r="F648" s="23" t="n">
        <f aca="false">D648^2/($P$3+1)*B648/(1-B648)</f>
        <v>0.000236190115101135</v>
      </c>
      <c r="G648" s="13" t="n">
        <f aca="false">($P$2-1)*(B648-1/$P$2)</f>
        <v>2.37580684947313</v>
      </c>
      <c r="H648" s="13" t="n">
        <f aca="false">E648*SQRT(B648/(1-B648))</f>
        <v>0.0434650452722074</v>
      </c>
      <c r="I648" s="13" t="n">
        <f aca="false">ABS(D648)</f>
        <v>0.879485230613012</v>
      </c>
      <c r="J648" s="6" t="n">
        <f aca="false">IF(B648&gt;$P$4,1,0)</f>
        <v>0</v>
      </c>
      <c r="K648" s="6" t="n">
        <f aca="false">IF(F648&gt;$P$6,1,0)</f>
        <v>0</v>
      </c>
      <c r="L648" s="6" t="n">
        <f aca="false">IF(G648&gt;$P$9,1,0)</f>
        <v>0</v>
      </c>
      <c r="M648" s="6" t="n">
        <f aca="false">IF(ABS(H648)&gt;$P$8,1,0)</f>
        <v>0</v>
      </c>
    </row>
    <row r="649" customFormat="false" ht="15" hidden="false" customHeight="false" outlineLevel="0" collapsed="false">
      <c r="A649" s="0" t="n">
        <f aca="false">ROW()-1</f>
        <v>648</v>
      </c>
      <c r="B649" s="22" t="n">
        <f aca="false">SUMPRODUCT(MMULT('Analysis Data'!N649:U649,'Final Model'!$B$59:$I$66),'Analysis Data'!N649:U649)</f>
        <v>0.002073759353771</v>
      </c>
      <c r="C649" s="15" t="n">
        <f aca="false">'Residual Diagnostics'!F649</f>
        <v>-27.9797505098585</v>
      </c>
      <c r="D649" s="13" t="n">
        <f aca="false">C649/('Final Model'!$B$21*SQRT(1-B649))</f>
        <v>-0.571235021046143</v>
      </c>
      <c r="E649" s="13" t="n">
        <f aca="false">D649*SQRT(('Final Model'!$B$24-1)/('Final Model'!$B$24-D649^2))</f>
        <v>-0.571095335322014</v>
      </c>
      <c r="F649" s="23" t="n">
        <f aca="false">D649^2/($P$3+1)*B649/(1-B649)</f>
        <v>8.47616844167345E-005</v>
      </c>
      <c r="G649" s="13" t="n">
        <f aca="false">($P$2-1)*(B649-1/$P$2)</f>
        <v>1.87287820569434</v>
      </c>
      <c r="H649" s="13" t="n">
        <f aca="false">E649*SQRT(B649/(1-B649))</f>
        <v>-0.0260338603289966</v>
      </c>
      <c r="I649" s="13" t="n">
        <f aca="false">ABS(D649)</f>
        <v>0.571235021046143</v>
      </c>
      <c r="J649" s="6" t="n">
        <f aca="false">IF(B649&gt;$P$4,1,0)</f>
        <v>0</v>
      </c>
      <c r="K649" s="6" t="n">
        <f aca="false">IF(F649&gt;$P$6,1,0)</f>
        <v>0</v>
      </c>
      <c r="L649" s="6" t="n">
        <f aca="false">IF(G649&gt;$P$9,1,0)</f>
        <v>0</v>
      </c>
      <c r="M649" s="6" t="n">
        <f aca="false">IF(ABS(H649)&gt;$P$8,1,0)</f>
        <v>0</v>
      </c>
    </row>
    <row r="650" customFormat="false" ht="15" hidden="false" customHeight="false" outlineLevel="0" collapsed="false">
      <c r="A650" s="0" t="n">
        <f aca="false">ROW()-1</f>
        <v>649</v>
      </c>
      <c r="B650" s="22" t="n">
        <f aca="false">SUMPRODUCT(MMULT('Analysis Data'!N650:U650,'Final Model'!$B$59:$I$66),'Analysis Data'!N650:U650)</f>
        <v>0.00201649506445317</v>
      </c>
      <c r="C650" s="15" t="n">
        <f aca="false">'Residual Diagnostics'!F650</f>
        <v>11.66211180654</v>
      </c>
      <c r="D650" s="13" t="n">
        <f aca="false">C650/('Final Model'!$B$21*SQRT(1-B650))</f>
        <v>0.238087024791112</v>
      </c>
      <c r="E650" s="13" t="n">
        <f aca="false">D650*SQRT(('Final Model'!$B$24-1)/('Final Model'!$B$24-D650^2))</f>
        <v>0.238005515846738</v>
      </c>
      <c r="F650" s="23" t="n">
        <f aca="false">D650^2/($P$3+1)*B650/(1-B650)</f>
        <v>1.43171069494802E-005</v>
      </c>
      <c r="G650" s="13" t="n">
        <f aca="false">($P$2-1)*(B650-1/$P$2)</f>
        <v>1.79356716498914</v>
      </c>
      <c r="H650" s="13" t="n">
        <f aca="false">E650*SQRT(B650/(1-B650))</f>
        <v>0.0106985254020275</v>
      </c>
      <c r="I650" s="13" t="n">
        <f aca="false">ABS(D650)</f>
        <v>0.238087024791112</v>
      </c>
      <c r="J650" s="6" t="n">
        <f aca="false">IF(B650&gt;$P$4,1,0)</f>
        <v>0</v>
      </c>
      <c r="K650" s="6" t="n">
        <f aca="false">IF(F650&gt;$P$6,1,0)</f>
        <v>0</v>
      </c>
      <c r="L650" s="6" t="n">
        <f aca="false">IF(G650&gt;$P$9,1,0)</f>
        <v>0</v>
      </c>
      <c r="M650" s="6" t="n">
        <f aca="false">IF(ABS(H650)&gt;$P$8,1,0)</f>
        <v>0</v>
      </c>
    </row>
    <row r="651" customFormat="false" ht="15" hidden="false" customHeight="false" outlineLevel="0" collapsed="false">
      <c r="A651" s="0" t="n">
        <f aca="false">ROW()-1</f>
        <v>650</v>
      </c>
      <c r="B651" s="22" t="n">
        <f aca="false">SUMPRODUCT(MMULT('Analysis Data'!N651:U651,'Final Model'!$B$59:$I$66),'Analysis Data'!N651:U651)</f>
        <v>0.00255753549563219</v>
      </c>
      <c r="C651" s="15" t="n">
        <f aca="false">'Residual Diagnostics'!F651</f>
        <v>79.8526015144325</v>
      </c>
      <c r="D651" s="13" t="n">
        <f aca="false">C651/('Final Model'!$B$21*SQRT(1-B651))</f>
        <v>1.63066725949147</v>
      </c>
      <c r="E651" s="13" t="n">
        <f aca="false">D651*SQRT(('Final Model'!$B$24-1)/('Final Model'!$B$24-D651^2))</f>
        <v>1.63165050117544</v>
      </c>
      <c r="F651" s="23" t="n">
        <f aca="false">D651^2/($P$3+1)*B651/(1-B651)</f>
        <v>0.000852264761994181</v>
      </c>
      <c r="G651" s="13" t="n">
        <f aca="false">($P$2-1)*(B651-1/$P$2)</f>
        <v>2.54290816217209</v>
      </c>
      <c r="H651" s="13" t="n">
        <f aca="false">E651*SQRT(B651/(1-B651))</f>
        <v>0.0826216848139784</v>
      </c>
      <c r="I651" s="13" t="n">
        <f aca="false">ABS(D651)</f>
        <v>1.63066725949147</v>
      </c>
      <c r="J651" s="6" t="n">
        <f aca="false">IF(B651&gt;$P$4,1,0)</f>
        <v>0</v>
      </c>
      <c r="K651" s="6" t="n">
        <f aca="false">IF(F651&gt;$P$6,1,0)</f>
        <v>0</v>
      </c>
      <c r="L651" s="6" t="n">
        <f aca="false">IF(G651&gt;$P$9,1,0)</f>
        <v>0</v>
      </c>
      <c r="M651" s="6" t="n">
        <f aca="false">IF(ABS(H651)&gt;$P$8,1,0)</f>
        <v>0</v>
      </c>
    </row>
    <row r="652" customFormat="false" ht="15" hidden="false" customHeight="false" outlineLevel="0" collapsed="false">
      <c r="A652" s="0" t="n">
        <f aca="false">ROW()-1</f>
        <v>651</v>
      </c>
      <c r="B652" s="22" t="n">
        <f aca="false">SUMPRODUCT(MMULT('Analysis Data'!N652:U652,'Final Model'!$B$59:$I$66),'Analysis Data'!N652:U652)</f>
        <v>0.0135823255837173</v>
      </c>
      <c r="C652" s="15" t="n">
        <f aca="false">'Residual Diagnostics'!F652</f>
        <v>-71.6949484570057</v>
      </c>
      <c r="D652" s="13" t="n">
        <f aca="false">C652/('Final Model'!$B$21*SQRT(1-B652))</f>
        <v>-1.47223908443538</v>
      </c>
      <c r="E652" s="13" t="n">
        <f aca="false">D652*SQRT(('Final Model'!$B$24-1)/('Final Model'!$B$24-D652^2))</f>
        <v>-1.47286359972129</v>
      </c>
      <c r="F652" s="23" t="n">
        <f aca="false">D652^2/($P$3+1)*B652/(1-B652)</f>
        <v>0.00373061120752636</v>
      </c>
      <c r="G652" s="13" t="n">
        <f aca="false">($P$2-1)*(B652-1/$P$2)</f>
        <v>17.81224243417</v>
      </c>
      <c r="H652" s="13" t="n">
        <f aca="false">E652*SQRT(B652/(1-B652))</f>
        <v>-0.172830017904653</v>
      </c>
      <c r="I652" s="13" t="n">
        <f aca="false">ABS(D652)</f>
        <v>1.47223908443538</v>
      </c>
      <c r="J652" s="6" t="n">
        <f aca="false">IF(B652&gt;$P$4,1,0)</f>
        <v>1</v>
      </c>
      <c r="K652" s="6" t="n">
        <f aca="false">IF(F652&gt;$P$6,1,0)</f>
        <v>1</v>
      </c>
      <c r="L652" s="6" t="n">
        <f aca="false">IF(G652&gt;$P$9,1,0)</f>
        <v>1</v>
      </c>
      <c r="M652" s="6" t="n">
        <f aca="false">IF(ABS(H652)&gt;$P$8,1,0)</f>
        <v>1</v>
      </c>
    </row>
    <row r="653" customFormat="false" ht="15" hidden="false" customHeight="false" outlineLevel="0" collapsed="false">
      <c r="A653" s="0" t="n">
        <f aca="false">ROW()-1</f>
        <v>652</v>
      </c>
      <c r="B653" s="22" t="n">
        <f aca="false">SUMPRODUCT(MMULT('Analysis Data'!N653:U653,'Final Model'!$B$59:$I$66),'Analysis Data'!N653:U653)</f>
        <v>0.00576883544884717</v>
      </c>
      <c r="C653" s="15" t="n">
        <f aca="false">'Residual Diagnostics'!F653</f>
        <v>-14.830982390301</v>
      </c>
      <c r="D653" s="13" t="n">
        <f aca="false">C653/('Final Model'!$B$21*SQRT(1-B653))</f>
        <v>-0.303351706193722</v>
      </c>
      <c r="E653" s="13" t="n">
        <f aca="false">D653*SQRT(('Final Model'!$B$24-1)/('Final Model'!$B$24-D653^2))</f>
        <v>-0.303251742338467</v>
      </c>
      <c r="F653" s="23" t="n">
        <f aca="false">D653^2/($P$3+1)*B653/(1-B653)</f>
        <v>6.67426853212791E-005</v>
      </c>
      <c r="G653" s="13" t="n">
        <f aca="false">($P$2-1)*(B653-1/$P$2)</f>
        <v>6.99055859737483</v>
      </c>
      <c r="H653" s="13" t="n">
        <f aca="false">E653*SQRT(B653/(1-B653))</f>
        <v>-0.0230995592984828</v>
      </c>
      <c r="I653" s="13" t="n">
        <f aca="false">ABS(D653)</f>
        <v>0.303351706193722</v>
      </c>
      <c r="J653" s="6" t="n">
        <f aca="false">IF(B653&gt;$P$4,1,0)</f>
        <v>0</v>
      </c>
      <c r="K653" s="6" t="n">
        <f aca="false">IF(F653&gt;$P$6,1,0)</f>
        <v>0</v>
      </c>
      <c r="L653" s="6" t="n">
        <f aca="false">IF(G653&gt;$P$9,1,0)</f>
        <v>0</v>
      </c>
      <c r="M653" s="6" t="n">
        <f aca="false">IF(ABS(H653)&gt;$P$8,1,0)</f>
        <v>0</v>
      </c>
    </row>
    <row r="654" customFormat="false" ht="15" hidden="false" customHeight="false" outlineLevel="0" collapsed="false">
      <c r="A654" s="0" t="n">
        <f aca="false">ROW()-1</f>
        <v>653</v>
      </c>
      <c r="B654" s="22" t="n">
        <f aca="false">SUMPRODUCT(MMULT('Analysis Data'!N654:U654,'Final Model'!$B$59:$I$66),'Analysis Data'!N654:U654)</f>
        <v>0.00576883544884717</v>
      </c>
      <c r="C654" s="15" t="n">
        <f aca="false">'Residual Diagnostics'!F654</f>
        <v>5.38517167397748</v>
      </c>
      <c r="D654" s="13" t="n">
        <f aca="false">C654/('Final Model'!$B$21*SQRT(1-B654))</f>
        <v>0.110147862930206</v>
      </c>
      <c r="E654" s="13" t="n">
        <f aca="false">D654*SQRT(('Final Model'!$B$24-1)/('Final Model'!$B$24-D654^2))</f>
        <v>0.110108373831879</v>
      </c>
      <c r="F654" s="23" t="n">
        <f aca="false">D654^2/($P$3+1)*B654/(1-B654)</f>
        <v>8.79960024314443E-006</v>
      </c>
      <c r="G654" s="13" t="n">
        <f aca="false">($P$2-1)*(B654-1/$P$2)</f>
        <v>6.99055859737483</v>
      </c>
      <c r="H654" s="13" t="n">
        <f aca="false">E654*SQRT(B654/(1-B654))</f>
        <v>0.00838727220815168</v>
      </c>
      <c r="I654" s="13" t="n">
        <f aca="false">ABS(D654)</f>
        <v>0.110147862930206</v>
      </c>
      <c r="J654" s="6" t="n">
        <f aca="false">IF(B654&gt;$P$4,1,0)</f>
        <v>0</v>
      </c>
      <c r="K654" s="6" t="n">
        <f aca="false">IF(F654&gt;$P$6,1,0)</f>
        <v>0</v>
      </c>
      <c r="L654" s="6" t="n">
        <f aca="false">IF(G654&gt;$P$9,1,0)</f>
        <v>0</v>
      </c>
      <c r="M654" s="6" t="n">
        <f aca="false">IF(ABS(H654)&gt;$P$8,1,0)</f>
        <v>0</v>
      </c>
    </row>
    <row r="655" customFormat="false" ht="15" hidden="false" customHeight="false" outlineLevel="0" collapsed="false">
      <c r="A655" s="0" t="n">
        <f aca="false">ROW()-1</f>
        <v>654</v>
      </c>
      <c r="B655" s="22" t="n">
        <f aca="false">SUMPRODUCT(MMULT('Analysis Data'!N655:U655,'Final Model'!$B$59:$I$66),'Analysis Data'!N655:U655)</f>
        <v>0.00576883544884717</v>
      </c>
      <c r="C655" s="15" t="n">
        <f aca="false">'Residual Diagnostics'!F655</f>
        <v>-8.6261018237285</v>
      </c>
      <c r="D655" s="13" t="n">
        <f aca="false">C655/('Final Model'!$B$21*SQRT(1-B655))</f>
        <v>-0.176437584319437</v>
      </c>
      <c r="E655" s="13" t="n">
        <f aca="false">D655*SQRT(('Final Model'!$B$24-1)/('Final Model'!$B$24-D655^2))</f>
        <v>-0.176375545507785</v>
      </c>
      <c r="F655" s="23" t="n">
        <f aca="false">D655^2/($P$3+1)*B655/(1-B655)</f>
        <v>2.25783914450738E-005</v>
      </c>
      <c r="G655" s="13" t="n">
        <f aca="false">($P$2-1)*(B655-1/$P$2)</f>
        <v>6.99055859737483</v>
      </c>
      <c r="H655" s="13" t="n">
        <f aca="false">E655*SQRT(B655/(1-B655))</f>
        <v>-0.0134350336813961</v>
      </c>
      <c r="I655" s="13" t="n">
        <f aca="false">ABS(D655)</f>
        <v>0.176437584319437</v>
      </c>
      <c r="J655" s="6" t="n">
        <f aca="false">IF(B655&gt;$P$4,1,0)</f>
        <v>0</v>
      </c>
      <c r="K655" s="6" t="n">
        <f aca="false">IF(F655&gt;$P$6,1,0)</f>
        <v>0</v>
      </c>
      <c r="L655" s="6" t="n">
        <f aca="false">IF(G655&gt;$P$9,1,0)</f>
        <v>0</v>
      </c>
      <c r="M655" s="6" t="n">
        <f aca="false">IF(ABS(H655)&gt;$P$8,1,0)</f>
        <v>0</v>
      </c>
    </row>
    <row r="656" customFormat="false" ht="15" hidden="false" customHeight="false" outlineLevel="0" collapsed="false">
      <c r="A656" s="0" t="n">
        <f aca="false">ROW()-1</f>
        <v>655</v>
      </c>
      <c r="B656" s="22" t="n">
        <f aca="false">SUMPRODUCT(MMULT('Analysis Data'!N656:U656,'Final Model'!$B$59:$I$66),'Analysis Data'!N656:U656)</f>
        <v>0.0115111397113992</v>
      </c>
      <c r="C656" s="15" t="n">
        <f aca="false">'Residual Diagnostics'!F656</f>
        <v>-23.2640460648782</v>
      </c>
      <c r="D656" s="13" t="n">
        <f aca="false">C656/('Final Model'!$B$21*SQRT(1-B656))</f>
        <v>-0.477221023909837</v>
      </c>
      <c r="E656" s="13" t="n">
        <f aca="false">D656*SQRT(('Final Model'!$B$24-1)/('Final Model'!$B$24-D656^2))</f>
        <v>-0.477087260725295</v>
      </c>
      <c r="F656" s="23" t="n">
        <f aca="false">D656^2/($P$3+1)*B656/(1-B656)</f>
        <v>0.000331509283671343</v>
      </c>
      <c r="G656" s="13" t="n">
        <f aca="false">($P$2-1)*(B656-1/$P$2)</f>
        <v>14.9436500010094</v>
      </c>
      <c r="H656" s="13" t="n">
        <f aca="false">E656*SQRT(B656/(1-B656))</f>
        <v>-0.0514838590789891</v>
      </c>
      <c r="I656" s="13" t="n">
        <f aca="false">ABS(D656)</f>
        <v>0.477221023909837</v>
      </c>
      <c r="J656" s="6" t="n">
        <f aca="false">IF(B656&gt;$P$4,1,0)</f>
        <v>0</v>
      </c>
      <c r="K656" s="6" t="n">
        <f aca="false">IF(F656&gt;$P$6,1,0)</f>
        <v>0</v>
      </c>
      <c r="L656" s="6" t="n">
        <f aca="false">IF(G656&gt;$P$9,1,0)</f>
        <v>1</v>
      </c>
      <c r="M656" s="6" t="n">
        <f aca="false">IF(ABS(H656)&gt;$P$8,1,0)</f>
        <v>0</v>
      </c>
    </row>
    <row r="657" customFormat="false" ht="15" hidden="false" customHeight="false" outlineLevel="0" collapsed="false">
      <c r="A657" s="0" t="n">
        <f aca="false">ROW()-1</f>
        <v>656</v>
      </c>
      <c r="B657" s="22" t="n">
        <f aca="false">SUMPRODUCT(MMULT('Analysis Data'!N657:U657,'Final Model'!$B$59:$I$66),'Analysis Data'!N657:U657)</f>
        <v>0.0113097836774825</v>
      </c>
      <c r="C657" s="15" t="n">
        <f aca="false">'Residual Diagnostics'!F657</f>
        <v>-3.3672175866655</v>
      </c>
      <c r="D657" s="13" t="n">
        <f aca="false">C657/('Final Model'!$B$21*SQRT(1-B657))</f>
        <v>-0.0690655176997461</v>
      </c>
      <c r="E657" s="13" t="n">
        <f aca="false">D657*SQRT(('Final Model'!$B$24-1)/('Final Model'!$B$24-D657^2))</f>
        <v>-0.0690405725889685</v>
      </c>
      <c r="F657" s="23" t="n">
        <f aca="false">D657^2/($P$3+1)*B657/(1-B657)</f>
        <v>6.8206634021228E-006</v>
      </c>
      <c r="G657" s="13" t="n">
        <f aca="false">($P$2-1)*(B657-1/$P$2)</f>
        <v>14.6647718940348</v>
      </c>
      <c r="H657" s="13" t="n">
        <f aca="false">E657*SQRT(B657/(1-B657))</f>
        <v>-0.00738416538932888</v>
      </c>
      <c r="I657" s="13" t="n">
        <f aca="false">ABS(D657)</f>
        <v>0.0690655176997461</v>
      </c>
      <c r="J657" s="6" t="n">
        <f aca="false">IF(B657&gt;$P$4,1,0)</f>
        <v>0</v>
      </c>
      <c r="K657" s="6" t="n">
        <f aca="false">IF(F657&gt;$P$6,1,0)</f>
        <v>0</v>
      </c>
      <c r="L657" s="6" t="n">
        <f aca="false">IF(G657&gt;$P$9,1,0)</f>
        <v>1</v>
      </c>
      <c r="M657" s="6" t="n">
        <f aca="false">IF(ABS(H657)&gt;$P$8,1,0)</f>
        <v>0</v>
      </c>
    </row>
    <row r="658" customFormat="false" ht="15" hidden="false" customHeight="false" outlineLevel="0" collapsed="false">
      <c r="A658" s="0" t="n">
        <f aca="false">ROW()-1</f>
        <v>657</v>
      </c>
      <c r="B658" s="22" t="n">
        <f aca="false">SUMPRODUCT(MMULT('Analysis Data'!N658:U658,'Final Model'!$B$59:$I$66),'Analysis Data'!N658:U658)</f>
        <v>0.00357907924679886</v>
      </c>
      <c r="C658" s="15" t="n">
        <f aca="false">'Residual Diagnostics'!F658</f>
        <v>111.662998969252</v>
      </c>
      <c r="D658" s="13" t="n">
        <f aca="false">C658/('Final Model'!$B$21*SQRT(1-B658))</f>
        <v>2.28143488392081</v>
      </c>
      <c r="E658" s="13" t="n">
        <f aca="false">D658*SQRT(('Final Model'!$B$24-1)/('Final Model'!$B$24-D658^2))</f>
        <v>2.2849262912849</v>
      </c>
      <c r="F658" s="23" t="n">
        <f aca="false">D658^2/($P$3+1)*B658/(1-B658)</f>
        <v>0.00233697811662411</v>
      </c>
      <c r="G658" s="13" t="n">
        <f aca="false">($P$2-1)*(B658-1/$P$2)</f>
        <v>3.95774625753792</v>
      </c>
      <c r="H658" s="13" t="n">
        <f aca="false">E658*SQRT(B658/(1-B658))</f>
        <v>0.136941926563314</v>
      </c>
      <c r="I658" s="13" t="n">
        <f aca="false">ABS(D658)</f>
        <v>2.28143488392081</v>
      </c>
      <c r="J658" s="6" t="n">
        <f aca="false">IF(B658&gt;$P$4,1,0)</f>
        <v>0</v>
      </c>
      <c r="K658" s="6" t="n">
        <f aca="false">IF(F658&gt;$P$6,1,0)</f>
        <v>0</v>
      </c>
      <c r="L658" s="6" t="n">
        <f aca="false">IF(G658&gt;$P$9,1,0)</f>
        <v>0</v>
      </c>
      <c r="M658" s="6" t="n">
        <f aca="false">IF(ABS(H658)&gt;$P$8,1,0)</f>
        <v>0</v>
      </c>
    </row>
    <row r="659" customFormat="false" ht="15" hidden="false" customHeight="false" outlineLevel="0" collapsed="false">
      <c r="A659" s="0" t="n">
        <f aca="false">ROW()-1</f>
        <v>658</v>
      </c>
      <c r="B659" s="22" t="n">
        <f aca="false">SUMPRODUCT(MMULT('Analysis Data'!N659:U659,'Final Model'!$B$59:$I$66),'Analysis Data'!N659:U659)</f>
        <v>0.0036446366791453</v>
      </c>
      <c r="C659" s="15" t="n">
        <f aca="false">'Residual Diagnostics'!F659</f>
        <v>-38.1546188902419</v>
      </c>
      <c r="D659" s="13" t="n">
        <f aca="false">C659/('Final Model'!$B$21*SQRT(1-B659))</f>
        <v>-0.779579117618701</v>
      </c>
      <c r="E659" s="13" t="n">
        <f aca="false">D659*SQRT(('Final Model'!$B$24-1)/('Final Model'!$B$24-D659^2))</f>
        <v>-0.779468104698962</v>
      </c>
      <c r="F659" s="23" t="n">
        <f aca="false">D659^2/($P$3+1)*B659/(1-B659)</f>
        <v>0.00027788837947574</v>
      </c>
      <c r="G659" s="13" t="n">
        <f aca="false">($P$2-1)*(B659-1/$P$2)</f>
        <v>4.04854330133774</v>
      </c>
      <c r="H659" s="13" t="n">
        <f aca="false">E659*SQRT(B659/(1-B659))</f>
        <v>-0.0471431218221201</v>
      </c>
      <c r="I659" s="13" t="n">
        <f aca="false">ABS(D659)</f>
        <v>0.779579117618701</v>
      </c>
      <c r="J659" s="6" t="n">
        <f aca="false">IF(B659&gt;$P$4,1,0)</f>
        <v>0</v>
      </c>
      <c r="K659" s="6" t="n">
        <f aca="false">IF(F659&gt;$P$6,1,0)</f>
        <v>0</v>
      </c>
      <c r="L659" s="6" t="n">
        <f aca="false">IF(G659&gt;$P$9,1,0)</f>
        <v>0</v>
      </c>
      <c r="M659" s="6" t="n">
        <f aca="false">IF(ABS(H659)&gt;$P$8,1,0)</f>
        <v>0</v>
      </c>
    </row>
    <row r="660" customFormat="false" ht="15" hidden="false" customHeight="false" outlineLevel="0" collapsed="false">
      <c r="A660" s="0" t="n">
        <f aca="false">ROW()-1</f>
        <v>659</v>
      </c>
      <c r="B660" s="22" t="n">
        <f aca="false">SUMPRODUCT(MMULT('Analysis Data'!N660:U660,'Final Model'!$B$59:$I$66),'Analysis Data'!N660:U660)</f>
        <v>0.00294236470340294</v>
      </c>
      <c r="C660" s="15" t="n">
        <f aca="false">'Residual Diagnostics'!F660</f>
        <v>106.672444028268</v>
      </c>
      <c r="D660" s="13" t="n">
        <f aca="false">C660/('Final Model'!$B$21*SQRT(1-B660))</f>
        <v>2.17877469479787</v>
      </c>
      <c r="E660" s="13" t="n">
        <f aca="false">D660*SQRT(('Final Model'!$B$24-1)/('Final Model'!$B$24-D660^2))</f>
        <v>2.18174517313096</v>
      </c>
      <c r="F660" s="23" t="n">
        <f aca="false">D660^2/($P$3+1)*B660/(1-B660)</f>
        <v>0.00175109979282355</v>
      </c>
      <c r="G660" s="13" t="n">
        <f aca="false">($P$2-1)*(B660-1/$P$2)</f>
        <v>3.07589661493458</v>
      </c>
      <c r="H660" s="13" t="n">
        <f aca="false">E660*SQRT(B660/(1-B660))</f>
        <v>0.118520136525192</v>
      </c>
      <c r="I660" s="13" t="n">
        <f aca="false">ABS(D660)</f>
        <v>2.17877469479787</v>
      </c>
      <c r="J660" s="6" t="n">
        <f aca="false">IF(B660&gt;$P$4,1,0)</f>
        <v>0</v>
      </c>
      <c r="K660" s="6" t="n">
        <f aca="false">IF(F660&gt;$P$6,1,0)</f>
        <v>0</v>
      </c>
      <c r="L660" s="6" t="n">
        <f aca="false">IF(G660&gt;$P$9,1,0)</f>
        <v>0</v>
      </c>
      <c r="M660" s="6" t="n">
        <f aca="false">IF(ABS(H660)&gt;$P$8,1,0)</f>
        <v>0</v>
      </c>
    </row>
    <row r="661" customFormat="false" ht="15" hidden="false" customHeight="false" outlineLevel="0" collapsed="false">
      <c r="A661" s="0" t="n">
        <f aca="false">ROW()-1</f>
        <v>660</v>
      </c>
      <c r="B661" s="22" t="n">
        <f aca="false">SUMPRODUCT(MMULT('Analysis Data'!N661:U661,'Final Model'!$B$59:$I$66),'Analysis Data'!N661:U661)</f>
        <v>0.00294236470340294</v>
      </c>
      <c r="C661" s="15" t="n">
        <f aca="false">'Residual Diagnostics'!F661</f>
        <v>37.8374672465249</v>
      </c>
      <c r="D661" s="13" t="n">
        <f aca="false">C661/('Final Model'!$B$21*SQRT(1-B661))</f>
        <v>0.772826730492138</v>
      </c>
      <c r="E661" s="13" t="n">
        <f aca="false">D661*SQRT(('Final Model'!$B$24-1)/('Final Model'!$B$24-D661^2))</f>
        <v>0.772713738812037</v>
      </c>
      <c r="F661" s="23" t="n">
        <f aca="false">D661^2/($P$3+1)*B661/(1-B661)</f>
        <v>0.000220318274496173</v>
      </c>
      <c r="G661" s="13" t="n">
        <f aca="false">($P$2-1)*(B661-1/$P$2)</f>
        <v>3.07589661493458</v>
      </c>
      <c r="H661" s="13" t="n">
        <f aca="false">E661*SQRT(B661/(1-B661))</f>
        <v>0.0419765511329022</v>
      </c>
      <c r="I661" s="13" t="n">
        <f aca="false">ABS(D661)</f>
        <v>0.772826730492138</v>
      </c>
      <c r="J661" s="6" t="n">
        <f aca="false">IF(B661&gt;$P$4,1,0)</f>
        <v>0</v>
      </c>
      <c r="K661" s="6" t="n">
        <f aca="false">IF(F661&gt;$P$6,1,0)</f>
        <v>0</v>
      </c>
      <c r="L661" s="6" t="n">
        <f aca="false">IF(G661&gt;$P$9,1,0)</f>
        <v>0</v>
      </c>
      <c r="M661" s="6" t="n">
        <f aca="false">IF(ABS(H661)&gt;$P$8,1,0)</f>
        <v>0</v>
      </c>
    </row>
    <row r="662" customFormat="false" ht="15" hidden="false" customHeight="false" outlineLevel="0" collapsed="false">
      <c r="A662" s="0" t="n">
        <f aca="false">ROW()-1</f>
        <v>661</v>
      </c>
      <c r="B662" s="22" t="n">
        <f aca="false">SUMPRODUCT(MMULT('Analysis Data'!N662:U662,'Final Model'!$B$59:$I$66),'Analysis Data'!N662:U662)</f>
        <v>0.00328289952934105</v>
      </c>
      <c r="C662" s="15" t="n">
        <f aca="false">'Residual Diagnostics'!F662</f>
        <v>5.79300774837466</v>
      </c>
      <c r="D662" s="13" t="n">
        <f aca="false">C662/('Final Model'!$B$21*SQRT(1-B662))</f>
        <v>0.118341852531261</v>
      </c>
      <c r="E662" s="13" t="n">
        <f aca="false">D662*SQRT(('Final Model'!$B$24-1)/('Final Model'!$B$24-D662^2))</f>
        <v>0.118299506172135</v>
      </c>
      <c r="F662" s="23" t="n">
        <f aca="false">D662^2/($P$3+1)*B662/(1-B662)</f>
        <v>5.76597058083538E-006</v>
      </c>
      <c r="G662" s="13" t="n">
        <f aca="false">($P$2-1)*(B662-1/$P$2)</f>
        <v>3.54753734885886</v>
      </c>
      <c r="H662" s="13" t="n">
        <f aca="false">E662*SQRT(B662/(1-B662))</f>
        <v>0.00678931209207982</v>
      </c>
      <c r="I662" s="13" t="n">
        <f aca="false">ABS(D662)</f>
        <v>0.118341852531261</v>
      </c>
      <c r="J662" s="6" t="n">
        <f aca="false">IF(B662&gt;$P$4,1,0)</f>
        <v>0</v>
      </c>
      <c r="K662" s="6" t="n">
        <f aca="false">IF(F662&gt;$P$6,1,0)</f>
        <v>0</v>
      </c>
      <c r="L662" s="6" t="n">
        <f aca="false">IF(G662&gt;$P$9,1,0)</f>
        <v>0</v>
      </c>
      <c r="M662" s="6" t="n">
        <f aca="false">IF(ABS(H662)&gt;$P$8,1,0)</f>
        <v>0</v>
      </c>
    </row>
    <row r="663" customFormat="false" ht="15" hidden="false" customHeight="false" outlineLevel="0" collapsed="false">
      <c r="A663" s="0" t="n">
        <f aca="false">ROW()-1</f>
        <v>662</v>
      </c>
      <c r="B663" s="22" t="n">
        <f aca="false">SUMPRODUCT(MMULT('Analysis Data'!N663:U663,'Final Model'!$B$59:$I$66),'Analysis Data'!N663:U663)</f>
        <v>0.00294236470340294</v>
      </c>
      <c r="C663" s="15" t="n">
        <f aca="false">'Residual Diagnostics'!F663</f>
        <v>85.7650224437462</v>
      </c>
      <c r="D663" s="13" t="n">
        <f aca="false">C663/('Final Model'!$B$21*SQRT(1-B663))</f>
        <v>1.75174256389671</v>
      </c>
      <c r="E663" s="13" t="n">
        <f aca="false">D663*SQRT(('Final Model'!$B$24-1)/('Final Model'!$B$24-D663^2))</f>
        <v>1.75305982825567</v>
      </c>
      <c r="F663" s="23" t="n">
        <f aca="false">D663^2/($P$3+1)*B663/(1-B663)</f>
        <v>0.00113194888688933</v>
      </c>
      <c r="G663" s="13" t="n">
        <f aca="false">($P$2-1)*(B663-1/$P$2)</f>
        <v>3.07589661493458</v>
      </c>
      <c r="H663" s="13" t="n">
        <f aca="false">E663*SQRT(B663/(1-B663))</f>
        <v>0.0952324280307784</v>
      </c>
      <c r="I663" s="13" t="n">
        <f aca="false">ABS(D663)</f>
        <v>1.75174256389671</v>
      </c>
      <c r="J663" s="6" t="n">
        <f aca="false">IF(B663&gt;$P$4,1,0)</f>
        <v>0</v>
      </c>
      <c r="K663" s="6" t="n">
        <f aca="false">IF(F663&gt;$P$6,1,0)</f>
        <v>0</v>
      </c>
      <c r="L663" s="6" t="n">
        <f aca="false">IF(G663&gt;$P$9,1,0)</f>
        <v>0</v>
      </c>
      <c r="M663" s="6" t="n">
        <f aca="false">IF(ABS(H663)&gt;$P$8,1,0)</f>
        <v>0</v>
      </c>
    </row>
    <row r="664" customFormat="false" ht="15" hidden="false" customHeight="false" outlineLevel="0" collapsed="false">
      <c r="A664" s="0" t="n">
        <f aca="false">ROW()-1</f>
        <v>663</v>
      </c>
      <c r="B664" s="22" t="n">
        <f aca="false">SUMPRODUCT(MMULT('Analysis Data'!N664:U664,'Final Model'!$B$59:$I$66),'Analysis Data'!N664:U664)</f>
        <v>0.0019614929876262</v>
      </c>
      <c r="C664" s="15" t="n">
        <f aca="false">'Residual Diagnostics'!F664</f>
        <v>74.6197761230119</v>
      </c>
      <c r="D664" s="13" t="n">
        <f aca="false">C664/('Final Model'!$B$21*SQRT(1-B664))</f>
        <v>1.52335282253946</v>
      </c>
      <c r="E664" s="13" t="n">
        <f aca="false">D664*SQRT(('Final Model'!$B$24-1)/('Final Model'!$B$24-D664^2))</f>
        <v>1.52408382970419</v>
      </c>
      <c r="F664" s="23" t="n">
        <f aca="false">D664^2/($P$3+1)*B664/(1-B664)</f>
        <v>0.000570099261177021</v>
      </c>
      <c r="G664" s="13" t="n">
        <f aca="false">($P$2-1)*(B664-1/$P$2)</f>
        <v>1.71738928858379</v>
      </c>
      <c r="H664" s="13" t="n">
        <f aca="false">E664*SQRT(B664/(1-B664))</f>
        <v>0.0675660587224582</v>
      </c>
      <c r="I664" s="13" t="n">
        <f aca="false">ABS(D664)</f>
        <v>1.52335282253946</v>
      </c>
      <c r="J664" s="6" t="n">
        <f aca="false">IF(B664&gt;$P$4,1,0)</f>
        <v>0</v>
      </c>
      <c r="K664" s="6" t="n">
        <f aca="false">IF(F664&gt;$P$6,1,0)</f>
        <v>0</v>
      </c>
      <c r="L664" s="6" t="n">
        <f aca="false">IF(G664&gt;$P$9,1,0)</f>
        <v>0</v>
      </c>
      <c r="M664" s="6" t="n">
        <f aca="false">IF(ABS(H664)&gt;$P$8,1,0)</f>
        <v>0</v>
      </c>
    </row>
    <row r="665" customFormat="false" ht="15" hidden="false" customHeight="false" outlineLevel="0" collapsed="false">
      <c r="A665" s="0" t="n">
        <f aca="false">ROW()-1</f>
        <v>664</v>
      </c>
      <c r="B665" s="22" t="n">
        <f aca="false">SUMPRODUCT(MMULT('Analysis Data'!N665:U665,'Final Model'!$B$59:$I$66),'Analysis Data'!N665:U665)</f>
        <v>0.0019614929876262</v>
      </c>
      <c r="C665" s="15" t="n">
        <f aca="false">'Residual Diagnostics'!F665</f>
        <v>-3.78896323415012</v>
      </c>
      <c r="D665" s="13" t="n">
        <f aca="false">C665/('Final Model'!$B$21*SQRT(1-B665))</f>
        <v>-0.0773511813775171</v>
      </c>
      <c r="E665" s="13" t="n">
        <f aca="false">D665*SQRT(('Final Model'!$B$24-1)/('Final Model'!$B$24-D665^2))</f>
        <v>-0.0773232776844253</v>
      </c>
      <c r="F665" s="23" t="n">
        <f aca="false">D665^2/($P$3+1)*B665/(1-B665)</f>
        <v>1.46988506449589E-006</v>
      </c>
      <c r="G665" s="13" t="n">
        <f aca="false">($P$2-1)*(B665-1/$P$2)</f>
        <v>1.71738928858379</v>
      </c>
      <c r="H665" s="13" t="n">
        <f aca="false">E665*SQRT(B665/(1-B665))</f>
        <v>-0.0034279145404048</v>
      </c>
      <c r="I665" s="13" t="n">
        <f aca="false">ABS(D665)</f>
        <v>0.0773511813775171</v>
      </c>
      <c r="J665" s="6" t="n">
        <f aca="false">IF(B665&gt;$P$4,1,0)</f>
        <v>0</v>
      </c>
      <c r="K665" s="6" t="n">
        <f aca="false">IF(F665&gt;$P$6,1,0)</f>
        <v>0</v>
      </c>
      <c r="L665" s="6" t="n">
        <f aca="false">IF(G665&gt;$P$9,1,0)</f>
        <v>0</v>
      </c>
      <c r="M665" s="6" t="n">
        <f aca="false">IF(ABS(H665)&gt;$P$8,1,0)</f>
        <v>0</v>
      </c>
    </row>
    <row r="666" customFormat="false" ht="15" hidden="false" customHeight="false" outlineLevel="0" collapsed="false">
      <c r="A666" s="0" t="n">
        <f aca="false">ROW()-1</f>
        <v>665</v>
      </c>
      <c r="B666" s="22" t="n">
        <f aca="false">SUMPRODUCT(MMULT('Analysis Data'!N666:U666,'Final Model'!$B$59:$I$66),'Analysis Data'!N666:U666)</f>
        <v>0.00201649506445317</v>
      </c>
      <c r="C666" s="15" t="n">
        <f aca="false">'Residual Diagnostics'!F666</f>
        <v>-30.7076834376194</v>
      </c>
      <c r="D666" s="13" t="n">
        <f aca="false">C666/('Final Model'!$B$21*SQRT(1-B666))</f>
        <v>-0.626910555238384</v>
      </c>
      <c r="E666" s="13" t="n">
        <f aca="false">D666*SQRT(('Final Model'!$B$24-1)/('Final Model'!$B$24-D666^2))</f>
        <v>-0.626772429460691</v>
      </c>
      <c r="F666" s="23" t="n">
        <f aca="false">D666^2/($P$3+1)*B666/(1-B666)</f>
        <v>9.92647326830296E-005</v>
      </c>
      <c r="G666" s="13" t="n">
        <f aca="false">($P$2-1)*(B666-1/$P$2)</f>
        <v>1.79356716498914</v>
      </c>
      <c r="H666" s="13" t="n">
        <f aca="false">E666*SQRT(B666/(1-B666))</f>
        <v>-0.0281738880463329</v>
      </c>
      <c r="I666" s="13" t="n">
        <f aca="false">ABS(D666)</f>
        <v>0.626910555238384</v>
      </c>
      <c r="J666" s="6" t="n">
        <f aca="false">IF(B666&gt;$P$4,1,0)</f>
        <v>0</v>
      </c>
      <c r="K666" s="6" t="n">
        <f aca="false">IF(F666&gt;$P$6,1,0)</f>
        <v>0</v>
      </c>
      <c r="L666" s="6" t="n">
        <f aca="false">IF(G666&gt;$P$9,1,0)</f>
        <v>0</v>
      </c>
      <c r="M666" s="6" t="n">
        <f aca="false">IF(ABS(H666)&gt;$P$8,1,0)</f>
        <v>0</v>
      </c>
    </row>
    <row r="667" customFormat="false" ht="15" hidden="false" customHeight="false" outlineLevel="0" collapsed="false">
      <c r="A667" s="0" t="n">
        <f aca="false">ROW()-1</f>
        <v>666</v>
      </c>
      <c r="B667" s="22" t="n">
        <f aca="false">SUMPRODUCT(MMULT('Analysis Data'!N667:U667,'Final Model'!$B$59:$I$66),'Analysis Data'!N667:U667)</f>
        <v>0.00341896675372911</v>
      </c>
      <c r="C667" s="15" t="n">
        <f aca="false">'Residual Diagnostics'!F667</f>
        <v>-39.4367278718548</v>
      </c>
      <c r="D667" s="13" t="n">
        <f aca="false">C667/('Final Model'!$B$21*SQRT(1-B667))</f>
        <v>-0.805684064167472</v>
      </c>
      <c r="E667" s="13" t="n">
        <f aca="false">D667*SQRT(('Final Model'!$B$24-1)/('Final Model'!$B$24-D667^2))</f>
        <v>-0.805581435654955</v>
      </c>
      <c r="F667" s="23" t="n">
        <f aca="false">D667^2/($P$3+1)*B667/(1-B667)</f>
        <v>0.000278369609769754</v>
      </c>
      <c r="G667" s="13" t="n">
        <f aca="false">($P$2-1)*(B667-1/$P$2)</f>
        <v>3.73599045463632</v>
      </c>
      <c r="H667" s="13" t="n">
        <f aca="false">E667*SQRT(B667/(1-B667))</f>
        <v>-0.047184632796327</v>
      </c>
      <c r="I667" s="13" t="n">
        <f aca="false">ABS(D667)</f>
        <v>0.805684064167472</v>
      </c>
      <c r="J667" s="6" t="n">
        <f aca="false">IF(B667&gt;$P$4,1,0)</f>
        <v>0</v>
      </c>
      <c r="K667" s="6" t="n">
        <f aca="false">IF(F667&gt;$P$6,1,0)</f>
        <v>0</v>
      </c>
      <c r="L667" s="6" t="n">
        <f aca="false">IF(G667&gt;$P$9,1,0)</f>
        <v>0</v>
      </c>
      <c r="M667" s="6" t="n">
        <f aca="false">IF(ABS(H667)&gt;$P$8,1,0)</f>
        <v>0</v>
      </c>
    </row>
    <row r="668" customFormat="false" ht="15" hidden="false" customHeight="false" outlineLevel="0" collapsed="false">
      <c r="A668" s="0" t="n">
        <f aca="false">ROW()-1</f>
        <v>667</v>
      </c>
      <c r="B668" s="22" t="n">
        <f aca="false">SUMPRODUCT(MMULT('Analysis Data'!N668:U668,'Final Model'!$B$59:$I$66),'Analysis Data'!N668:U668)</f>
        <v>0.0382513579588664</v>
      </c>
      <c r="C668" s="15" t="n">
        <f aca="false">'Residual Diagnostics'!F668</f>
        <v>-6.02201378832024</v>
      </c>
      <c r="D668" s="13" t="n">
        <f aca="false">C668/('Final Model'!$B$21*SQRT(1-B668))</f>
        <v>-0.125236569681451</v>
      </c>
      <c r="E668" s="13" t="n">
        <f aca="false">D668*SQRT(('Final Model'!$B$24-1)/('Final Model'!$B$24-D668^2))</f>
        <v>-0.125191832468273</v>
      </c>
      <c r="F668" s="23" t="n">
        <f aca="false">D668^2/($P$3+1)*B668/(1-B668)</f>
        <v>7.79754008114993E-005</v>
      </c>
      <c r="G668" s="13" t="n">
        <f aca="false">($P$2-1)*(B668-1/$P$2)</f>
        <v>51.9788522737515</v>
      </c>
      <c r="H668" s="13" t="n">
        <f aca="false">E668*SQRT(B668/(1-B668))</f>
        <v>-0.0249671306737728</v>
      </c>
      <c r="I668" s="13" t="n">
        <f aca="false">ABS(D668)</f>
        <v>0.125236569681451</v>
      </c>
      <c r="J668" s="6" t="n">
        <f aca="false">IF(B668&gt;$P$4,1,0)</f>
        <v>1</v>
      </c>
      <c r="K668" s="6" t="n">
        <f aca="false">IF(F668&gt;$P$6,1,0)</f>
        <v>0</v>
      </c>
      <c r="L668" s="6" t="n">
        <f aca="false">IF(G668&gt;$P$9,1,0)</f>
        <v>1</v>
      </c>
      <c r="M668" s="6" t="n">
        <f aca="false">IF(ABS(H668)&gt;$P$8,1,0)</f>
        <v>0</v>
      </c>
    </row>
    <row r="669" customFormat="false" ht="15" hidden="false" customHeight="false" outlineLevel="0" collapsed="false">
      <c r="A669" s="0" t="n">
        <f aca="false">ROW()-1</f>
        <v>668</v>
      </c>
      <c r="B669" s="22" t="n">
        <f aca="false">SUMPRODUCT(MMULT('Analysis Data'!N669:U669,'Final Model'!$B$59:$I$66),'Analysis Data'!N669:U669)</f>
        <v>0.0311669984617334</v>
      </c>
      <c r="C669" s="15" t="n">
        <f aca="false">'Residual Diagnostics'!F669</f>
        <v>29.2065485147286</v>
      </c>
      <c r="D669" s="13" t="n">
        <f aca="false">C669/('Final Model'!$B$21*SQRT(1-B669))</f>
        <v>0.605168040025111</v>
      </c>
      <c r="E669" s="13" t="n">
        <f aca="false">D669*SQRT(('Final Model'!$B$24-1)/('Final Model'!$B$24-D669^2))</f>
        <v>0.605028822160263</v>
      </c>
      <c r="F669" s="23" t="n">
        <f aca="false">D669^2/($P$3+1)*B669/(1-B669)</f>
        <v>0.00147267880671728</v>
      </c>
      <c r="G669" s="13" t="n">
        <f aca="false">($P$2-1)*(B669-1/$P$2)</f>
        <v>42.1670143702223</v>
      </c>
      <c r="H669" s="13" t="n">
        <f aca="false">E669*SQRT(B669/(1-B669))</f>
        <v>0.108517328025006</v>
      </c>
      <c r="I669" s="13" t="n">
        <f aca="false">ABS(D669)</f>
        <v>0.605168040025111</v>
      </c>
      <c r="J669" s="6" t="n">
        <f aca="false">IF(B669&gt;$P$4,1,0)</f>
        <v>1</v>
      </c>
      <c r="K669" s="6" t="n">
        <f aca="false">IF(F669&gt;$P$6,1,0)</f>
        <v>0</v>
      </c>
      <c r="L669" s="6" t="n">
        <f aca="false">IF(G669&gt;$P$9,1,0)</f>
        <v>1</v>
      </c>
      <c r="M669" s="6" t="n">
        <f aca="false">IF(ABS(H669)&gt;$P$8,1,0)</f>
        <v>0</v>
      </c>
    </row>
    <row r="670" customFormat="false" ht="15" hidden="false" customHeight="false" outlineLevel="0" collapsed="false">
      <c r="A670" s="0" t="n">
        <f aca="false">ROW()-1</f>
        <v>669</v>
      </c>
      <c r="B670" s="22" t="n">
        <f aca="false">SUMPRODUCT(MMULT('Analysis Data'!N670:U670,'Final Model'!$B$59:$I$66),'Analysis Data'!N670:U670)</f>
        <v>0.0311669984617334</v>
      </c>
      <c r="C670" s="15" t="n">
        <f aca="false">'Residual Diagnostics'!F670</f>
        <v>66.9739778225688</v>
      </c>
      <c r="D670" s="13" t="n">
        <f aca="false">C670/('Final Model'!$B$21*SQRT(1-B670))</f>
        <v>1.38771997900163</v>
      </c>
      <c r="E670" s="13" t="n">
        <f aca="false">D670*SQRT(('Final Model'!$B$24-1)/('Final Model'!$B$24-D670^2))</f>
        <v>1.38818670127883</v>
      </c>
      <c r="F670" s="23" t="n">
        <f aca="false">D670^2/($P$3+1)*B670/(1-B670)</f>
        <v>0.00774390025573144</v>
      </c>
      <c r="G670" s="13" t="n">
        <f aca="false">($P$2-1)*(B670-1/$P$2)</f>
        <v>42.1670143702223</v>
      </c>
      <c r="H670" s="13" t="n">
        <f aca="false">E670*SQRT(B670/(1-B670))</f>
        <v>0.248983694834166</v>
      </c>
      <c r="I670" s="13" t="n">
        <f aca="false">ABS(D670)</f>
        <v>1.38771997900163</v>
      </c>
      <c r="J670" s="6" t="n">
        <f aca="false">IF(B670&gt;$P$4,1,0)</f>
        <v>1</v>
      </c>
      <c r="K670" s="6" t="n">
        <f aca="false">IF(F670&gt;$P$6,1,0)</f>
        <v>1</v>
      </c>
      <c r="L670" s="6" t="n">
        <f aca="false">IF(G670&gt;$P$9,1,0)</f>
        <v>1</v>
      </c>
      <c r="M670" s="6" t="n">
        <f aca="false">IF(ABS(H670)&gt;$P$8,1,0)</f>
        <v>1</v>
      </c>
    </row>
    <row r="671" customFormat="false" ht="15" hidden="false" customHeight="false" outlineLevel="0" collapsed="false">
      <c r="A671" s="0" t="n">
        <f aca="false">ROW()-1</f>
        <v>670</v>
      </c>
      <c r="B671" s="22" t="n">
        <f aca="false">SUMPRODUCT(MMULT('Analysis Data'!N671:U671,'Final Model'!$B$59:$I$66),'Analysis Data'!N671:U671)</f>
        <v>0.0333498389428633</v>
      </c>
      <c r="C671" s="15" t="n">
        <f aca="false">'Residual Diagnostics'!F671</f>
        <v>-3.24564517412432</v>
      </c>
      <c r="D671" s="13" t="n">
        <f aca="false">C671/('Final Model'!$B$21*SQRT(1-B671))</f>
        <v>-0.0673265846966318</v>
      </c>
      <c r="E671" s="13" t="n">
        <f aca="false">D671*SQRT(('Final Model'!$B$24-1)/('Final Model'!$B$24-D671^2))</f>
        <v>-0.0673022618624191</v>
      </c>
      <c r="F671" s="23" t="n">
        <f aca="false">D671^2/($P$3+1)*B671/(1-B671)</f>
        <v>1.95482369707975E-005</v>
      </c>
      <c r="G671" s="13" t="n">
        <f aca="false">($P$2-1)*(B671-1/$P$2)</f>
        <v>45.1902484365871</v>
      </c>
      <c r="H671" s="13" t="n">
        <f aca="false">E671*SQRT(B671/(1-B671))</f>
        <v>-0.0125009168556346</v>
      </c>
      <c r="I671" s="13" t="n">
        <f aca="false">ABS(D671)</f>
        <v>0.0673265846966318</v>
      </c>
      <c r="J671" s="6" t="n">
        <f aca="false">IF(B671&gt;$P$4,1,0)</f>
        <v>1</v>
      </c>
      <c r="K671" s="6" t="n">
        <f aca="false">IF(F671&gt;$P$6,1,0)</f>
        <v>0</v>
      </c>
      <c r="L671" s="6" t="n">
        <f aca="false">IF(G671&gt;$P$9,1,0)</f>
        <v>1</v>
      </c>
      <c r="M671" s="6" t="n">
        <f aca="false">IF(ABS(H671)&gt;$P$8,1,0)</f>
        <v>0</v>
      </c>
    </row>
    <row r="672" customFormat="false" ht="15" hidden="false" customHeight="false" outlineLevel="0" collapsed="false">
      <c r="A672" s="0" t="n">
        <f aca="false">ROW()-1</f>
        <v>671</v>
      </c>
      <c r="B672" s="22" t="n">
        <f aca="false">SUMPRODUCT(MMULT('Analysis Data'!N672:U672,'Final Model'!$B$59:$I$66),'Analysis Data'!N672:U672)</f>
        <v>0.0401130282432699</v>
      </c>
      <c r="C672" s="15" t="n">
        <f aca="false">'Residual Diagnostics'!F672</f>
        <v>-34.300968935108</v>
      </c>
      <c r="D672" s="13" t="n">
        <f aca="false">C672/('Final Model'!$B$21*SQRT(1-B672))</f>
        <v>-0.714030146875114</v>
      </c>
      <c r="E672" s="13" t="n">
        <f aca="false">D672*SQRT(('Final Model'!$B$24-1)/('Final Model'!$B$24-D672^2))</f>
        <v>-0.71390309666275</v>
      </c>
      <c r="F672" s="23" t="n">
        <f aca="false">D672^2/($P$3+1)*B672/(1-B672)</f>
        <v>0.00266322869773358</v>
      </c>
      <c r="G672" s="13" t="n">
        <f aca="false">($P$2-1)*(B672-1/$P$2)</f>
        <v>54.5572656176503</v>
      </c>
      <c r="H672" s="13" t="n">
        <f aca="false">E672*SQRT(B672/(1-B672))</f>
        <v>-0.145939193485227</v>
      </c>
      <c r="I672" s="13" t="n">
        <f aca="false">ABS(D672)</f>
        <v>0.714030146875114</v>
      </c>
      <c r="J672" s="6" t="n">
        <f aca="false">IF(B672&gt;$P$4,1,0)</f>
        <v>1</v>
      </c>
      <c r="K672" s="6" t="n">
        <f aca="false">IF(F672&gt;$P$6,1,0)</f>
        <v>0</v>
      </c>
      <c r="L672" s="6" t="n">
        <f aca="false">IF(G672&gt;$P$9,1,0)</f>
        <v>1</v>
      </c>
      <c r="M672" s="6" t="n">
        <f aca="false">IF(ABS(H672)&gt;$P$8,1,0)</f>
        <v>0</v>
      </c>
    </row>
    <row r="673" customFormat="false" ht="15" hidden="false" customHeight="false" outlineLevel="0" collapsed="false">
      <c r="A673" s="0" t="n">
        <f aca="false">ROW()-1</f>
        <v>672</v>
      </c>
      <c r="B673" s="22" t="n">
        <f aca="false">SUMPRODUCT(MMULT('Analysis Data'!N673:U673,'Final Model'!$B$59:$I$66),'Analysis Data'!N673:U673)</f>
        <v>0.00588372148782229</v>
      </c>
      <c r="C673" s="15" t="n">
        <f aca="false">'Residual Diagnostics'!F673</f>
        <v>-21.8638316099058</v>
      </c>
      <c r="D673" s="13" t="n">
        <f aca="false">C673/('Final Model'!$B$21*SQRT(1-B673))</f>
        <v>-0.447226871349542</v>
      </c>
      <c r="E673" s="13" t="n">
        <f aca="false">D673*SQRT(('Final Model'!$B$24-1)/('Final Model'!$B$24-D673^2))</f>
        <v>-0.447097016458297</v>
      </c>
      <c r="F673" s="23" t="n">
        <f aca="false">D673^2/($P$3+1)*B673/(1-B673)</f>
        <v>0.000147972398827945</v>
      </c>
      <c r="G673" s="13" t="n">
        <f aca="false">($P$2-1)*(B673-1/$P$2)</f>
        <v>7.14967576135537</v>
      </c>
      <c r="H673" s="13" t="n">
        <f aca="false">E673*SQRT(B673/(1-B673))</f>
        <v>-0.0343961023409204</v>
      </c>
      <c r="I673" s="13" t="n">
        <f aca="false">ABS(D673)</f>
        <v>0.447226871349542</v>
      </c>
      <c r="J673" s="6" t="n">
        <f aca="false">IF(B673&gt;$P$4,1,0)</f>
        <v>0</v>
      </c>
      <c r="K673" s="6" t="n">
        <f aca="false">IF(F673&gt;$P$6,1,0)</f>
        <v>0</v>
      </c>
      <c r="L673" s="6" t="n">
        <f aca="false">IF(G673&gt;$P$9,1,0)</f>
        <v>0</v>
      </c>
      <c r="M673" s="6" t="n">
        <f aca="false">IF(ABS(H673)&gt;$P$8,1,0)</f>
        <v>0</v>
      </c>
    </row>
    <row r="674" customFormat="false" ht="15" hidden="false" customHeight="false" outlineLevel="0" collapsed="false">
      <c r="A674" s="0" t="n">
        <f aca="false">ROW()-1</f>
        <v>673</v>
      </c>
      <c r="B674" s="22" t="n">
        <f aca="false">SUMPRODUCT(MMULT('Analysis Data'!N674:U674,'Final Model'!$B$59:$I$66),'Analysis Data'!N674:U674)</f>
        <v>0.00610234254121429</v>
      </c>
      <c r="C674" s="15" t="n">
        <f aca="false">'Residual Diagnostics'!F674</f>
        <v>-16.9931829370868</v>
      </c>
      <c r="D674" s="13" t="n">
        <f aca="false">C674/('Final Model'!$B$21*SQRT(1-B674))</f>
        <v>-0.347635490817666</v>
      </c>
      <c r="E674" s="13" t="n">
        <f aca="false">D674*SQRT(('Final Model'!$B$24-1)/('Final Model'!$B$24-D674^2))</f>
        <v>-0.347524569494556</v>
      </c>
      <c r="F674" s="23" t="n">
        <f aca="false">D674^2/($P$3+1)*B674/(1-B674)</f>
        <v>9.27498346903421E-005</v>
      </c>
      <c r="G674" s="13" t="n">
        <f aca="false">($P$2-1)*(B674-1/$P$2)</f>
        <v>7.45246592030329</v>
      </c>
      <c r="H674" s="13" t="n">
        <f aca="false">E674*SQRT(B674/(1-B674))</f>
        <v>-0.0272309612136483</v>
      </c>
      <c r="I674" s="13" t="n">
        <f aca="false">ABS(D674)</f>
        <v>0.347635490817666</v>
      </c>
      <c r="J674" s="6" t="n">
        <f aca="false">IF(B674&gt;$P$4,1,0)</f>
        <v>0</v>
      </c>
      <c r="K674" s="6" t="n">
        <f aca="false">IF(F674&gt;$P$6,1,0)</f>
        <v>0</v>
      </c>
      <c r="L674" s="6" t="n">
        <f aca="false">IF(G674&gt;$P$9,1,0)</f>
        <v>0</v>
      </c>
      <c r="M674" s="6" t="n">
        <f aca="false">IF(ABS(H674)&gt;$P$8,1,0)</f>
        <v>0</v>
      </c>
    </row>
    <row r="675" customFormat="false" ht="15" hidden="false" customHeight="false" outlineLevel="0" collapsed="false">
      <c r="A675" s="0" t="n">
        <f aca="false">ROW()-1</f>
        <v>674</v>
      </c>
      <c r="B675" s="22" t="n">
        <f aca="false">SUMPRODUCT(MMULT('Analysis Data'!N675:U675,'Final Model'!$B$59:$I$66),'Analysis Data'!N675:U675)</f>
        <v>0.00509127241101125</v>
      </c>
      <c r="C675" s="15" t="n">
        <f aca="false">'Residual Diagnostics'!F675</f>
        <v>-8.27408653429524</v>
      </c>
      <c r="D675" s="13" t="n">
        <f aca="false">C675/('Final Model'!$B$21*SQRT(1-B675))</f>
        <v>-0.169179854503196</v>
      </c>
      <c r="E675" s="13" t="n">
        <f aca="false">D675*SQRT(('Final Model'!$B$24-1)/('Final Model'!$B$24-D675^2))</f>
        <v>-0.169120213717759</v>
      </c>
      <c r="F675" s="23" t="n">
        <f aca="false">D675^2/($P$3+1)*B675/(1-B675)</f>
        <v>1.83084003858809E-005</v>
      </c>
      <c r="G675" s="13" t="n">
        <f aca="false">($P$2-1)*(B675-1/$P$2)</f>
        <v>6.05213378997208</v>
      </c>
      <c r="H675" s="13" t="n">
        <f aca="false">E675*SQRT(B675/(1-B675))</f>
        <v>-0.0120980971003695</v>
      </c>
      <c r="I675" s="13" t="n">
        <f aca="false">ABS(D675)</f>
        <v>0.169179854503196</v>
      </c>
      <c r="J675" s="6" t="n">
        <f aca="false">IF(B675&gt;$P$4,1,0)</f>
        <v>0</v>
      </c>
      <c r="K675" s="6" t="n">
        <f aca="false">IF(F675&gt;$P$6,1,0)</f>
        <v>0</v>
      </c>
      <c r="L675" s="6" t="n">
        <f aca="false">IF(G675&gt;$P$9,1,0)</f>
        <v>0</v>
      </c>
      <c r="M675" s="6" t="n">
        <f aca="false">IF(ABS(H675)&gt;$P$8,1,0)</f>
        <v>0</v>
      </c>
    </row>
    <row r="676" customFormat="false" ht="15" hidden="false" customHeight="false" outlineLevel="0" collapsed="false">
      <c r="A676" s="0" t="n">
        <f aca="false">ROW()-1</f>
        <v>675</v>
      </c>
      <c r="B676" s="22" t="n">
        <f aca="false">SUMPRODUCT(MMULT('Analysis Data'!N676:U676,'Final Model'!$B$59:$I$66),'Analysis Data'!N676:U676)</f>
        <v>0.0102842549929661</v>
      </c>
      <c r="C676" s="15" t="n">
        <f aca="false">'Residual Diagnostics'!F676</f>
        <v>-60.7989368783908</v>
      </c>
      <c r="D676" s="13" t="n">
        <f aca="false">C676/('Final Model'!$B$21*SQRT(1-B676))</f>
        <v>-1.24641008537203</v>
      </c>
      <c r="E676" s="13" t="n">
        <f aca="false">D676*SQRT(('Final Model'!$B$24-1)/('Final Model'!$B$24-D676^2))</f>
        <v>-1.24666068215884</v>
      </c>
      <c r="F676" s="23" t="n">
        <f aca="false">D676^2/($P$3+1)*B676/(1-B676)</f>
        <v>0.00201787508834244</v>
      </c>
      <c r="G676" s="13" t="n">
        <f aca="false">($P$2-1)*(B676-1/$P$2)</f>
        <v>13.2444146659796</v>
      </c>
      <c r="H676" s="13" t="n">
        <f aca="false">E676*SQRT(B676/(1-B676))</f>
        <v>-0.127080653981267</v>
      </c>
      <c r="I676" s="13" t="n">
        <f aca="false">ABS(D676)</f>
        <v>1.24641008537203</v>
      </c>
      <c r="J676" s="6" t="n">
        <f aca="false">IF(B676&gt;$P$4,1,0)</f>
        <v>0</v>
      </c>
      <c r="K676" s="6" t="n">
        <f aca="false">IF(F676&gt;$P$6,1,0)</f>
        <v>0</v>
      </c>
      <c r="L676" s="6" t="n">
        <f aca="false">IF(G676&gt;$P$9,1,0)</f>
        <v>1</v>
      </c>
      <c r="M676" s="6" t="n">
        <f aca="false">IF(ABS(H676)&gt;$P$8,1,0)</f>
        <v>0</v>
      </c>
    </row>
    <row r="677" customFormat="false" ht="15" hidden="false" customHeight="false" outlineLevel="0" collapsed="false">
      <c r="A677" s="0" t="n">
        <f aca="false">ROW()-1</f>
        <v>676</v>
      </c>
      <c r="B677" s="22" t="n">
        <f aca="false">SUMPRODUCT(MMULT('Analysis Data'!N677:U677,'Final Model'!$B$59:$I$66),'Analysis Data'!N677:U677)</f>
        <v>0.00999018939866834</v>
      </c>
      <c r="C677" s="15" t="n">
        <f aca="false">'Residual Diagnostics'!F677</f>
        <v>-13.9504655981972</v>
      </c>
      <c r="D677" s="13" t="n">
        <f aca="false">C677/('Final Model'!$B$21*SQRT(1-B677))</f>
        <v>-0.285949381895712</v>
      </c>
      <c r="E677" s="13" t="n">
        <f aca="false">D677*SQRT(('Final Model'!$B$24-1)/('Final Model'!$B$24-D677^2))</f>
        <v>-0.285854088903586</v>
      </c>
      <c r="F677" s="23" t="n">
        <f aca="false">D677^2/($P$3+1)*B677/(1-B677)</f>
        <v>0.0001031389155691</v>
      </c>
      <c r="G677" s="13" t="n">
        <f aca="false">($P$2-1)*(B677-1/$P$2)</f>
        <v>12.8371338178771</v>
      </c>
      <c r="H677" s="13" t="n">
        <f aca="false">E677*SQRT(B677/(1-B677))</f>
        <v>-0.028715178519518</v>
      </c>
      <c r="I677" s="13" t="n">
        <f aca="false">ABS(D677)</f>
        <v>0.285949381895712</v>
      </c>
      <c r="J677" s="6" t="n">
        <f aca="false">IF(B677&gt;$P$4,1,0)</f>
        <v>0</v>
      </c>
      <c r="K677" s="6" t="n">
        <f aca="false">IF(F677&gt;$P$6,1,0)</f>
        <v>0</v>
      </c>
      <c r="L677" s="6" t="n">
        <f aca="false">IF(G677&gt;$P$9,1,0)</f>
        <v>1</v>
      </c>
      <c r="M677" s="6" t="n">
        <f aca="false">IF(ABS(H677)&gt;$P$8,1,0)</f>
        <v>0</v>
      </c>
    </row>
    <row r="678" customFormat="false" ht="15" hidden="false" customHeight="false" outlineLevel="0" collapsed="false">
      <c r="A678" s="0" t="n">
        <f aca="false">ROW()-1</f>
        <v>677</v>
      </c>
      <c r="B678" s="22" t="n">
        <f aca="false">SUMPRODUCT(MMULT('Analysis Data'!N678:U678,'Final Model'!$B$59:$I$66),'Analysis Data'!N678:U678)</f>
        <v>0.00234275989226856</v>
      </c>
      <c r="C678" s="15" t="n">
        <f aca="false">'Residual Diagnostics'!F678</f>
        <v>66.5928201354151</v>
      </c>
      <c r="D678" s="13" t="n">
        <f aca="false">C678/('Final Model'!$B$21*SQRT(1-B678))</f>
        <v>1.35974332858123</v>
      </c>
      <c r="E678" s="13" t="n">
        <f aca="false">D678*SQRT(('Final Model'!$B$24-1)/('Final Model'!$B$24-D678^2))</f>
        <v>1.3601626541799</v>
      </c>
      <c r="F678" s="23" t="n">
        <f aca="false">D678^2/($P$3+1)*B678/(1-B678)</f>
        <v>0.000542713104246991</v>
      </c>
      <c r="G678" s="13" t="n">
        <f aca="false">($P$2-1)*(B678-1/$P$2)</f>
        <v>2.24544395151345</v>
      </c>
      <c r="H678" s="13" t="n">
        <f aca="false">E678*SQRT(B678/(1-B678))</f>
        <v>0.0659119343330857</v>
      </c>
      <c r="I678" s="13" t="n">
        <f aca="false">ABS(D678)</f>
        <v>1.35974332858123</v>
      </c>
      <c r="J678" s="6" t="n">
        <f aca="false">IF(B678&gt;$P$4,1,0)</f>
        <v>0</v>
      </c>
      <c r="K678" s="6" t="n">
        <f aca="false">IF(F678&gt;$P$6,1,0)</f>
        <v>0</v>
      </c>
      <c r="L678" s="6" t="n">
        <f aca="false">IF(G678&gt;$P$9,1,0)</f>
        <v>0</v>
      </c>
      <c r="M678" s="6" t="n">
        <f aca="false">IF(ABS(H678)&gt;$P$8,1,0)</f>
        <v>0</v>
      </c>
    </row>
    <row r="679" customFormat="false" ht="15" hidden="false" customHeight="false" outlineLevel="0" collapsed="false">
      <c r="A679" s="0" t="n">
        <f aca="false">ROW()-1</f>
        <v>678</v>
      </c>
      <c r="B679" s="22" t="n">
        <f aca="false">SUMPRODUCT(MMULT('Analysis Data'!N679:U679,'Final Model'!$B$59:$I$66),'Analysis Data'!N679:U679)</f>
        <v>0.00193842984429895</v>
      </c>
      <c r="C679" s="15" t="n">
        <f aca="false">'Residual Diagnostics'!F679</f>
        <v>-17.5024563305667</v>
      </c>
      <c r="D679" s="13" t="n">
        <f aca="false">C679/('Final Model'!$B$21*SQRT(1-B679))</f>
        <v>-0.357306193871444</v>
      </c>
      <c r="E679" s="13" t="n">
        <f aca="false">D679*SQRT(('Final Model'!$B$24-1)/('Final Model'!$B$24-D679^2))</f>
        <v>-0.357193070518428</v>
      </c>
      <c r="F679" s="23" t="n">
        <f aca="false">D679^2/($P$3+1)*B679/(1-B679)</f>
        <v>3.09944444554728E-005</v>
      </c>
      <c r="G679" s="13" t="n">
        <f aca="false">($P$2-1)*(B679-1/$P$2)</f>
        <v>1.68544683507554</v>
      </c>
      <c r="H679" s="13" t="n">
        <f aca="false">E679*SQRT(B679/(1-B679))</f>
        <v>-0.0157416191907223</v>
      </c>
      <c r="I679" s="13" t="n">
        <f aca="false">ABS(D679)</f>
        <v>0.357306193871444</v>
      </c>
      <c r="J679" s="6" t="n">
        <f aca="false">IF(B679&gt;$P$4,1,0)</f>
        <v>0</v>
      </c>
      <c r="K679" s="6" t="n">
        <f aca="false">IF(F679&gt;$P$6,1,0)</f>
        <v>0</v>
      </c>
      <c r="L679" s="6" t="n">
        <f aca="false">IF(G679&gt;$P$9,1,0)</f>
        <v>0</v>
      </c>
      <c r="M679" s="6" t="n">
        <f aca="false">IF(ABS(H679)&gt;$P$8,1,0)</f>
        <v>0</v>
      </c>
    </row>
    <row r="680" customFormat="false" ht="15" hidden="false" customHeight="false" outlineLevel="0" collapsed="false">
      <c r="A680" s="0" t="n">
        <f aca="false">ROW()-1</f>
        <v>679</v>
      </c>
      <c r="B680" s="22" t="n">
        <f aca="false">SUMPRODUCT(MMULT('Analysis Data'!N680:U680,'Final Model'!$B$59:$I$66),'Analysis Data'!N680:U680)</f>
        <v>0.00232726594360433</v>
      </c>
      <c r="C680" s="15" t="n">
        <f aca="false">'Residual Diagnostics'!F680</f>
        <v>11.8860351925507</v>
      </c>
      <c r="D680" s="13" t="n">
        <f aca="false">C680/('Final Model'!$B$21*SQRT(1-B680))</f>
        <v>0.242696307569886</v>
      </c>
      <c r="E680" s="13" t="n">
        <f aca="false">D680*SQRT(('Final Model'!$B$24-1)/('Final Model'!$B$24-D680^2))</f>
        <v>0.242613415731051</v>
      </c>
      <c r="F680" s="23" t="n">
        <f aca="false">D680^2/($P$3+1)*B680/(1-B680)</f>
        <v>1.71749017693787E-005</v>
      </c>
      <c r="G680" s="13" t="n">
        <f aca="false">($P$2-1)*(B680-1/$P$2)</f>
        <v>2.22398483261349</v>
      </c>
      <c r="H680" s="13" t="n">
        <f aca="false">E680*SQRT(B680/(1-B680))</f>
        <v>0.0117177375806276</v>
      </c>
      <c r="I680" s="13" t="n">
        <f aca="false">ABS(D680)</f>
        <v>0.242696307569886</v>
      </c>
      <c r="J680" s="6" t="n">
        <f aca="false">IF(B680&gt;$P$4,1,0)</f>
        <v>0</v>
      </c>
      <c r="K680" s="6" t="n">
        <f aca="false">IF(F680&gt;$P$6,1,0)</f>
        <v>0</v>
      </c>
      <c r="L680" s="6" t="n">
        <f aca="false">IF(G680&gt;$P$9,1,0)</f>
        <v>0</v>
      </c>
      <c r="M680" s="6" t="n">
        <f aca="false">IF(ABS(H680)&gt;$P$8,1,0)</f>
        <v>0</v>
      </c>
    </row>
    <row r="681" customFormat="false" ht="15" hidden="false" customHeight="false" outlineLevel="0" collapsed="false">
      <c r="A681" s="0" t="n">
        <f aca="false">ROW()-1</f>
        <v>680</v>
      </c>
      <c r="B681" s="22" t="n">
        <f aca="false">SUMPRODUCT(MMULT('Analysis Data'!N681:U681,'Final Model'!$B$59:$I$66),'Analysis Data'!N681:U681)</f>
        <v>0.00203811918384995</v>
      </c>
      <c r="C681" s="15" t="n">
        <f aca="false">'Residual Diagnostics'!F681</f>
        <v>-21.9745892566725</v>
      </c>
      <c r="D681" s="13" t="n">
        <f aca="false">C681/('Final Model'!$B$21*SQRT(1-B681))</f>
        <v>-0.448625544530039</v>
      </c>
      <c r="E681" s="13" t="n">
        <f aca="false">D681*SQRT(('Final Model'!$B$24-1)/('Final Model'!$B$24-D681^2))</f>
        <v>-0.448495487462388</v>
      </c>
      <c r="F681" s="23" t="n">
        <f aca="false">D681^2/($P$3+1)*B681/(1-B681)</f>
        <v>5.13799448691399E-005</v>
      </c>
      <c r="G681" s="13" t="n">
        <f aca="false">($P$2-1)*(B681-1/$P$2)</f>
        <v>1.82351657035368</v>
      </c>
      <c r="H681" s="13" t="n">
        <f aca="false">E681*SQRT(B681/(1-B681))</f>
        <v>-0.0202682330706117</v>
      </c>
      <c r="I681" s="13" t="n">
        <f aca="false">ABS(D681)</f>
        <v>0.448625544530039</v>
      </c>
      <c r="J681" s="6" t="n">
        <f aca="false">IF(B681&gt;$P$4,1,0)</f>
        <v>0</v>
      </c>
      <c r="K681" s="6" t="n">
        <f aca="false">IF(F681&gt;$P$6,1,0)</f>
        <v>0</v>
      </c>
      <c r="L681" s="6" t="n">
        <f aca="false">IF(G681&gt;$P$9,1,0)</f>
        <v>0</v>
      </c>
      <c r="M681" s="6" t="n">
        <f aca="false">IF(ABS(H681)&gt;$P$8,1,0)</f>
        <v>0</v>
      </c>
    </row>
    <row r="682" customFormat="false" ht="15" hidden="false" customHeight="false" outlineLevel="0" collapsed="false">
      <c r="A682" s="0" t="n">
        <f aca="false">ROW()-1</f>
        <v>681</v>
      </c>
      <c r="B682" s="22" t="n">
        <f aca="false">SUMPRODUCT(MMULT('Analysis Data'!N682:U682,'Final Model'!$B$59:$I$66),'Analysis Data'!N682:U682)</f>
        <v>0.0023215517870076</v>
      </c>
      <c r="C682" s="15" t="n">
        <f aca="false">'Residual Diagnostics'!F682</f>
        <v>28.1265070219569</v>
      </c>
      <c r="D682" s="13" t="n">
        <f aca="false">C682/('Final Model'!$B$21*SQRT(1-B682))</f>
        <v>0.574302510474551</v>
      </c>
      <c r="E682" s="13" t="n">
        <f aca="false">D682*SQRT(('Final Model'!$B$24-1)/('Final Model'!$B$24-D682^2))</f>
        <v>0.574162806885004</v>
      </c>
      <c r="F682" s="23" t="n">
        <f aca="false">D682^2/($P$3+1)*B682/(1-B682)</f>
        <v>9.59354744512195E-005</v>
      </c>
      <c r="G682" s="13" t="n">
        <f aca="false">($P$2-1)*(B682-1/$P$2)</f>
        <v>2.21607072572702</v>
      </c>
      <c r="H682" s="13" t="n">
        <f aca="false">E682*SQRT(B682/(1-B682))</f>
        <v>0.0276967588017232</v>
      </c>
      <c r="I682" s="13" t="n">
        <f aca="false">ABS(D682)</f>
        <v>0.574302510474551</v>
      </c>
      <c r="J682" s="6" t="n">
        <f aca="false">IF(B682&gt;$P$4,1,0)</f>
        <v>0</v>
      </c>
      <c r="K682" s="6" t="n">
        <f aca="false">IF(F682&gt;$P$6,1,0)</f>
        <v>0</v>
      </c>
      <c r="L682" s="6" t="n">
        <f aca="false">IF(G682&gt;$P$9,1,0)</f>
        <v>0</v>
      </c>
      <c r="M682" s="6" t="n">
        <f aca="false">IF(ABS(H682)&gt;$P$8,1,0)</f>
        <v>0</v>
      </c>
    </row>
    <row r="683" customFormat="false" ht="15" hidden="false" customHeight="false" outlineLevel="0" collapsed="false">
      <c r="A683" s="0" t="n">
        <f aca="false">ROW()-1</f>
        <v>682</v>
      </c>
      <c r="B683" s="22" t="n">
        <f aca="false">SUMPRODUCT(MMULT('Analysis Data'!N683:U683,'Final Model'!$B$59:$I$66),'Analysis Data'!N683:U683)</f>
        <v>0.0023215517870076</v>
      </c>
      <c r="C683" s="15" t="n">
        <f aca="false">'Residual Diagnostics'!F683</f>
        <v>19.9405370350477</v>
      </c>
      <c r="D683" s="13" t="n">
        <f aca="false">C683/('Final Model'!$B$21*SQRT(1-B683))</f>
        <v>0.407156867025782</v>
      </c>
      <c r="E683" s="13" t="n">
        <f aca="false">D683*SQRT(('Final Model'!$B$24-1)/('Final Model'!$B$24-D683^2))</f>
        <v>0.407033589797727</v>
      </c>
      <c r="F683" s="23" t="n">
        <f aca="false">D683^2/($P$3+1)*B683/(1-B683)</f>
        <v>4.82193471466888E-005</v>
      </c>
      <c r="G683" s="13" t="n">
        <f aca="false">($P$2-1)*(B683-1/$P$2)</f>
        <v>2.21607072572702</v>
      </c>
      <c r="H683" s="13" t="n">
        <f aca="false">E683*SQRT(B683/(1-B683))</f>
        <v>0.0196346942463745</v>
      </c>
      <c r="I683" s="13" t="n">
        <f aca="false">ABS(D683)</f>
        <v>0.407156867025782</v>
      </c>
      <c r="J683" s="6" t="n">
        <f aca="false">IF(B683&gt;$P$4,1,0)</f>
        <v>0</v>
      </c>
      <c r="K683" s="6" t="n">
        <f aca="false">IF(F683&gt;$P$6,1,0)</f>
        <v>0</v>
      </c>
      <c r="L683" s="6" t="n">
        <f aca="false">IF(G683&gt;$P$9,1,0)</f>
        <v>0</v>
      </c>
      <c r="M683" s="6" t="n">
        <f aca="false">IF(ABS(H683)&gt;$P$8,1,0)</f>
        <v>0</v>
      </c>
    </row>
    <row r="684" customFormat="false" ht="15" hidden="false" customHeight="false" outlineLevel="0" collapsed="false">
      <c r="A684" s="0" t="n">
        <f aca="false">ROW()-1</f>
        <v>683</v>
      </c>
      <c r="B684" s="22" t="n">
        <f aca="false">SUMPRODUCT(MMULT('Analysis Data'!N684:U684,'Final Model'!$B$59:$I$66),'Analysis Data'!N684:U684)</f>
        <v>0.00230694874348541</v>
      </c>
      <c r="C684" s="15" t="n">
        <f aca="false">'Residual Diagnostics'!F684</f>
        <v>53.045594031886</v>
      </c>
      <c r="D684" s="13" t="n">
        <f aca="false">C684/('Final Model'!$B$21*SQRT(1-B684))</f>
        <v>1.08310622602537</v>
      </c>
      <c r="E684" s="13" t="n">
        <f aca="false">D684*SQRT(('Final Model'!$B$24-1)/('Final Model'!$B$24-D684^2))</f>
        <v>1.08317431754815</v>
      </c>
      <c r="F684" s="23" t="n">
        <f aca="false">D684^2/($P$3+1)*B684/(1-B684)</f>
        <v>0.000339072927169305</v>
      </c>
      <c r="G684" s="13" t="n">
        <f aca="false">($P$2-1)*(B684-1/$P$2)</f>
        <v>2.19584551044879</v>
      </c>
      <c r="H684" s="13" t="n">
        <f aca="false">E684*SQRT(B684/(1-B684))</f>
        <v>0.0520857417289604</v>
      </c>
      <c r="I684" s="13" t="n">
        <f aca="false">ABS(D684)</f>
        <v>1.08310622602537</v>
      </c>
      <c r="J684" s="6" t="n">
        <f aca="false">IF(B684&gt;$P$4,1,0)</f>
        <v>0</v>
      </c>
      <c r="K684" s="6" t="n">
        <f aca="false">IF(F684&gt;$P$6,1,0)</f>
        <v>0</v>
      </c>
      <c r="L684" s="6" t="n">
        <f aca="false">IF(G684&gt;$P$9,1,0)</f>
        <v>0</v>
      </c>
      <c r="M684" s="6" t="n">
        <f aca="false">IF(ABS(H684)&gt;$P$8,1,0)</f>
        <v>0</v>
      </c>
    </row>
    <row r="685" customFormat="false" ht="15" hidden="false" customHeight="false" outlineLevel="0" collapsed="false">
      <c r="A685" s="0" t="n">
        <f aca="false">ROW()-1</f>
        <v>684</v>
      </c>
      <c r="B685" s="22" t="n">
        <f aca="false">SUMPRODUCT(MMULT('Analysis Data'!N685:U685,'Final Model'!$B$59:$I$66),'Analysis Data'!N685:U685)</f>
        <v>0.00230694874348541</v>
      </c>
      <c r="C685" s="15" t="n">
        <f aca="false">'Residual Diagnostics'!F685</f>
        <v>45.4737744278808</v>
      </c>
      <c r="D685" s="13" t="n">
        <f aca="false">C685/('Final Model'!$B$21*SQRT(1-B685))</f>
        <v>0.928501774795936</v>
      </c>
      <c r="E685" s="13" t="n">
        <f aca="false">D685*SQRT(('Final Model'!$B$24-1)/('Final Model'!$B$24-D685^2))</f>
        <v>0.928455291010012</v>
      </c>
      <c r="F685" s="23" t="n">
        <f aca="false">D685^2/($P$3+1)*B685/(1-B685)</f>
        <v>0.000249181896753704</v>
      </c>
      <c r="G685" s="13" t="n">
        <f aca="false">($P$2-1)*(B685-1/$P$2)</f>
        <v>2.19584551044879</v>
      </c>
      <c r="H685" s="13" t="n">
        <f aca="false">E685*SQRT(B685/(1-B685))</f>
        <v>0.0446458909807788</v>
      </c>
      <c r="I685" s="13" t="n">
        <f aca="false">ABS(D685)</f>
        <v>0.928501774795936</v>
      </c>
      <c r="J685" s="6" t="n">
        <f aca="false">IF(B685&gt;$P$4,1,0)</f>
        <v>0</v>
      </c>
      <c r="K685" s="6" t="n">
        <f aca="false">IF(F685&gt;$P$6,1,0)</f>
        <v>0</v>
      </c>
      <c r="L685" s="6" t="n">
        <f aca="false">IF(G685&gt;$P$9,1,0)</f>
        <v>0</v>
      </c>
      <c r="M685" s="6" t="n">
        <f aca="false">IF(ABS(H685)&gt;$P$8,1,0)</f>
        <v>0</v>
      </c>
    </row>
    <row r="686" customFormat="false" ht="15" hidden="false" customHeight="false" outlineLevel="0" collapsed="false">
      <c r="A686" s="0" t="n">
        <f aca="false">ROW()-1</f>
        <v>685</v>
      </c>
      <c r="B686" s="22" t="n">
        <f aca="false">SUMPRODUCT(MMULT('Analysis Data'!N686:U686,'Final Model'!$B$59:$I$66),'Analysis Data'!N686:U686)</f>
        <v>0.00247933583522425</v>
      </c>
      <c r="C686" s="15" t="n">
        <f aca="false">'Residual Diagnostics'!F686</f>
        <v>64.6888326552197</v>
      </c>
      <c r="D686" s="13" t="n">
        <f aca="false">C686/('Final Model'!$B$21*SQRT(1-B686))</f>
        <v>1.32095667078434</v>
      </c>
      <c r="E686" s="13" t="n">
        <f aca="false">D686*SQRT(('Final Model'!$B$24-1)/('Final Model'!$B$24-D686^2))</f>
        <v>1.32131411998259</v>
      </c>
      <c r="F686" s="23" t="n">
        <f aca="false">D686^2/($P$3+1)*B686/(1-B686)</f>
        <v>0.000542126471834773</v>
      </c>
      <c r="G686" s="13" t="n">
        <f aca="false">($P$2-1)*(B686-1/$P$2)</f>
        <v>2.43460163250708</v>
      </c>
      <c r="H686" s="13" t="n">
        <f aca="false">E686*SQRT(B686/(1-B686))</f>
        <v>0.0658738132493595</v>
      </c>
      <c r="I686" s="13" t="n">
        <f aca="false">ABS(D686)</f>
        <v>1.32095667078434</v>
      </c>
      <c r="J686" s="6" t="n">
        <f aca="false">IF(B686&gt;$P$4,1,0)</f>
        <v>0</v>
      </c>
      <c r="K686" s="6" t="n">
        <f aca="false">IF(F686&gt;$P$6,1,0)</f>
        <v>0</v>
      </c>
      <c r="L686" s="6" t="n">
        <f aca="false">IF(G686&gt;$P$9,1,0)</f>
        <v>0</v>
      </c>
      <c r="M686" s="6" t="n">
        <f aca="false">IF(ABS(H686)&gt;$P$8,1,0)</f>
        <v>0</v>
      </c>
    </row>
    <row r="687" customFormat="false" ht="15" hidden="false" customHeight="false" outlineLevel="0" collapsed="false">
      <c r="A687" s="0" t="n">
        <f aca="false">ROW()-1</f>
        <v>686</v>
      </c>
      <c r="B687" s="22" t="n">
        <f aca="false">SUMPRODUCT(MMULT('Analysis Data'!N687:U687,'Final Model'!$B$59:$I$66),'Analysis Data'!N687:U687)</f>
        <v>0.0019614929876262</v>
      </c>
      <c r="C687" s="15" t="n">
        <f aca="false">'Residual Diagnostics'!F687</f>
        <v>-19.8660666927357</v>
      </c>
      <c r="D687" s="13" t="n">
        <f aca="false">C687/('Final Model'!$B$21*SQRT(1-B687))</f>
        <v>-0.405563113982638</v>
      </c>
      <c r="E687" s="13" t="n">
        <f aca="false">D687*SQRT(('Final Model'!$B$24-1)/('Final Model'!$B$24-D687^2))</f>
        <v>-0.405440128731252</v>
      </c>
      <c r="F687" s="23" t="n">
        <f aca="false">D687^2/($P$3+1)*B687/(1-B687)</f>
        <v>4.04079085822607E-005</v>
      </c>
      <c r="G687" s="13" t="n">
        <f aca="false">($P$2-1)*(B687-1/$P$2)</f>
        <v>1.71738928858379</v>
      </c>
      <c r="H687" s="13" t="n">
        <f aca="false">E687*SQRT(B687/(1-B687))</f>
        <v>-0.0179740713813712</v>
      </c>
      <c r="I687" s="13" t="n">
        <f aca="false">ABS(D687)</f>
        <v>0.405563113982638</v>
      </c>
      <c r="J687" s="6" t="n">
        <f aca="false">IF(B687&gt;$P$4,1,0)</f>
        <v>0</v>
      </c>
      <c r="K687" s="6" t="n">
        <f aca="false">IF(F687&gt;$P$6,1,0)</f>
        <v>0</v>
      </c>
      <c r="L687" s="6" t="n">
        <f aca="false">IF(G687&gt;$P$9,1,0)</f>
        <v>0</v>
      </c>
      <c r="M687" s="6" t="n">
        <f aca="false">IF(ABS(H687)&gt;$P$8,1,0)</f>
        <v>0</v>
      </c>
    </row>
    <row r="688" customFormat="false" ht="15" hidden="false" customHeight="false" outlineLevel="0" collapsed="false">
      <c r="A688" s="0" t="n">
        <f aca="false">ROW()-1</f>
        <v>687</v>
      </c>
      <c r="B688" s="22" t="n">
        <f aca="false">SUMPRODUCT(MMULT('Analysis Data'!N688:U688,'Final Model'!$B$59:$I$66),'Analysis Data'!N688:U688)</f>
        <v>0.00247933583522425</v>
      </c>
      <c r="C688" s="15" t="n">
        <f aca="false">'Residual Diagnostics'!F688</f>
        <v>-57.2705998580231</v>
      </c>
      <c r="D688" s="13" t="n">
        <f aca="false">C688/('Final Model'!$B$21*SQRT(1-B688))</f>
        <v>-1.16947512912296</v>
      </c>
      <c r="E688" s="13" t="n">
        <f aca="false">D688*SQRT(('Final Model'!$B$24-1)/('Final Model'!$B$24-D688^2))</f>
        <v>-1.16963129087926</v>
      </c>
      <c r="F688" s="23" t="n">
        <f aca="false">D688^2/($P$3+1)*B688/(1-B688)</f>
        <v>0.000424918314318908</v>
      </c>
      <c r="G688" s="13" t="n">
        <f aca="false">($P$2-1)*(B688-1/$P$2)</f>
        <v>2.43460163250708</v>
      </c>
      <c r="H688" s="13" t="n">
        <f aca="false">E688*SQRT(B688/(1-B688))</f>
        <v>-0.0583117004963231</v>
      </c>
      <c r="I688" s="13" t="n">
        <f aca="false">ABS(D688)</f>
        <v>1.16947512912296</v>
      </c>
      <c r="J688" s="6" t="n">
        <f aca="false">IF(B688&gt;$P$4,1,0)</f>
        <v>0</v>
      </c>
      <c r="K688" s="6" t="n">
        <f aca="false">IF(F688&gt;$P$6,1,0)</f>
        <v>0</v>
      </c>
      <c r="L688" s="6" t="n">
        <f aca="false">IF(G688&gt;$P$9,1,0)</f>
        <v>0</v>
      </c>
      <c r="M688" s="6" t="n">
        <f aca="false">IF(ABS(H688)&gt;$P$8,1,0)</f>
        <v>0</v>
      </c>
    </row>
    <row r="689" customFormat="false" ht="15" hidden="false" customHeight="false" outlineLevel="0" collapsed="false">
      <c r="A689" s="0" t="n">
        <f aca="false">ROW()-1</f>
        <v>688</v>
      </c>
      <c r="B689" s="22" t="n">
        <f aca="false">SUMPRODUCT(MMULT('Analysis Data'!N689:U689,'Final Model'!$B$59:$I$66),'Analysis Data'!N689:U689)</f>
        <v>0.00194362853987585</v>
      </c>
      <c r="C689" s="15" t="n">
        <f aca="false">'Residual Diagnostics'!F689</f>
        <v>-73.5316877751153</v>
      </c>
      <c r="D689" s="13" t="n">
        <f aca="false">C689/('Final Model'!$B$21*SQRT(1-B689))</f>
        <v>-1.5011262086915</v>
      </c>
      <c r="E689" s="13" t="n">
        <f aca="false">D689*SQRT(('Final Model'!$B$24-1)/('Final Model'!$B$24-D689^2))</f>
        <v>-1.50180985677162</v>
      </c>
      <c r="F689" s="23" t="n">
        <f aca="false">D689^2/($P$3+1)*B689/(1-B689)</f>
        <v>0.000548532828307426</v>
      </c>
      <c r="G689" s="13" t="n">
        <f aca="false">($P$2-1)*(B689-1/$P$2)</f>
        <v>1.69264702844955</v>
      </c>
      <c r="H689" s="13" t="n">
        <f aca="false">E689*SQRT(B689/(1-B689))</f>
        <v>-0.0662741319977866</v>
      </c>
      <c r="I689" s="13" t="n">
        <f aca="false">ABS(D689)</f>
        <v>1.5011262086915</v>
      </c>
      <c r="J689" s="6" t="n">
        <f aca="false">IF(B689&gt;$P$4,1,0)</f>
        <v>0</v>
      </c>
      <c r="K689" s="6" t="n">
        <f aca="false">IF(F689&gt;$P$6,1,0)</f>
        <v>0</v>
      </c>
      <c r="L689" s="6" t="n">
        <f aca="false">IF(G689&gt;$P$9,1,0)</f>
        <v>0</v>
      </c>
      <c r="M689" s="6" t="n">
        <f aca="false">IF(ABS(H689)&gt;$P$8,1,0)</f>
        <v>0</v>
      </c>
    </row>
    <row r="690" customFormat="false" ht="15" hidden="false" customHeight="false" outlineLevel="0" collapsed="false">
      <c r="A690" s="0" t="n">
        <f aca="false">ROW()-1</f>
        <v>689</v>
      </c>
      <c r="B690" s="22" t="n">
        <f aca="false">SUMPRODUCT(MMULT('Analysis Data'!N690:U690,'Final Model'!$B$59:$I$66),'Analysis Data'!N690:U690)</f>
        <v>0.00218518621200041</v>
      </c>
      <c r="C690" s="15" t="n">
        <f aca="false">'Residual Diagnostics'!F690</f>
        <v>13.815439418749</v>
      </c>
      <c r="D690" s="13" t="n">
        <f aca="false">C690/('Final Model'!$B$21*SQRT(1-B690))</f>
        <v>0.282071974075744</v>
      </c>
      <c r="E690" s="13" t="n">
        <f aca="false">D690*SQRT(('Final Model'!$B$24-1)/('Final Model'!$B$24-D690^2))</f>
        <v>0.281977747879576</v>
      </c>
      <c r="F690" s="23" t="n">
        <f aca="false">D690^2/($P$3+1)*B690/(1-B690)</f>
        <v>2.17805274751347E-005</v>
      </c>
      <c r="G690" s="13" t="n">
        <f aca="false">($P$2-1)*(B690-1/$P$2)</f>
        <v>2.02720440434207</v>
      </c>
      <c r="H690" s="13" t="n">
        <f aca="false">E690*SQRT(B690/(1-B690))</f>
        <v>0.0131957503240967</v>
      </c>
      <c r="I690" s="13" t="n">
        <f aca="false">ABS(D690)</f>
        <v>0.282071974075744</v>
      </c>
      <c r="J690" s="6" t="n">
        <f aca="false">IF(B690&gt;$P$4,1,0)</f>
        <v>0</v>
      </c>
      <c r="K690" s="6" t="n">
        <f aca="false">IF(F690&gt;$P$6,1,0)</f>
        <v>0</v>
      </c>
      <c r="L690" s="6" t="n">
        <f aca="false">IF(G690&gt;$P$9,1,0)</f>
        <v>0</v>
      </c>
      <c r="M690" s="6" t="n">
        <f aca="false">IF(ABS(H690)&gt;$P$8,1,0)</f>
        <v>0</v>
      </c>
    </row>
    <row r="691" customFormat="false" ht="15" hidden="false" customHeight="false" outlineLevel="0" collapsed="false">
      <c r="A691" s="0" t="n">
        <f aca="false">ROW()-1</f>
        <v>690</v>
      </c>
      <c r="B691" s="22" t="n">
        <f aca="false">SUMPRODUCT(MMULT('Analysis Data'!N691:U691,'Final Model'!$B$59:$I$66),'Analysis Data'!N691:U691)</f>
        <v>0.00223824091421206</v>
      </c>
      <c r="C691" s="15" t="n">
        <f aca="false">'Residual Diagnostics'!F691</f>
        <v>-76.3082985327811</v>
      </c>
      <c r="D691" s="13" t="n">
        <f aca="false">C691/('Final Model'!$B$21*SQRT(1-B691))</f>
        <v>-1.55803981419015</v>
      </c>
      <c r="E691" s="13" t="n">
        <f aca="false">D691*SQRT(('Final Model'!$B$24-1)/('Final Model'!$B$24-D691^2))</f>
        <v>-1.5588480255022</v>
      </c>
      <c r="F691" s="23" t="n">
        <f aca="false">D691^2/($P$3+1)*B691/(1-B691)</f>
        <v>0.000680686427771941</v>
      </c>
      <c r="G691" s="13" t="n">
        <f aca="false">($P$2-1)*(B691-1/$P$2)</f>
        <v>2.10068516690521</v>
      </c>
      <c r="H691" s="13" t="n">
        <f aca="false">E691*SQRT(B691/(1-B691))</f>
        <v>-0.0738318524226543</v>
      </c>
      <c r="I691" s="13" t="n">
        <f aca="false">ABS(D691)</f>
        <v>1.55803981419015</v>
      </c>
      <c r="J691" s="6" t="n">
        <f aca="false">IF(B691&gt;$P$4,1,0)</f>
        <v>0</v>
      </c>
      <c r="K691" s="6" t="n">
        <f aca="false">IF(F691&gt;$P$6,1,0)</f>
        <v>0</v>
      </c>
      <c r="L691" s="6" t="n">
        <f aca="false">IF(G691&gt;$P$9,1,0)</f>
        <v>0</v>
      </c>
      <c r="M691" s="6" t="n">
        <f aca="false">IF(ABS(H691)&gt;$P$8,1,0)</f>
        <v>0</v>
      </c>
    </row>
    <row r="692" customFormat="false" ht="15" hidden="false" customHeight="false" outlineLevel="0" collapsed="false">
      <c r="A692" s="0" t="n">
        <f aca="false">ROW()-1</f>
        <v>691</v>
      </c>
      <c r="B692" s="22" t="n">
        <f aca="false">SUMPRODUCT(MMULT('Analysis Data'!N692:U692,'Final Model'!$B$59:$I$66),'Analysis Data'!N692:U692)</f>
        <v>0.0019695096064974</v>
      </c>
      <c r="C692" s="15" t="n">
        <f aca="false">'Residual Diagnostics'!F692</f>
        <v>-16.9230699370087</v>
      </c>
      <c r="D692" s="13" t="n">
        <f aca="false">C692/('Final Model'!$B$21*SQRT(1-B692))</f>
        <v>-0.345483613475699</v>
      </c>
      <c r="E692" s="13" t="n">
        <f aca="false">D692*SQRT(('Final Model'!$B$24-1)/('Final Model'!$B$24-D692^2))</f>
        <v>-0.345373191832623</v>
      </c>
      <c r="F692" s="23" t="n">
        <f aca="false">D692^2/($P$3+1)*B692/(1-B692)</f>
        <v>2.9442807104269E-005</v>
      </c>
      <c r="G692" s="13" t="n">
        <f aca="false">($P$2-1)*(B692-1/$P$2)</f>
        <v>1.7284923057204</v>
      </c>
      <c r="H692" s="13" t="n">
        <f aca="false">E692*SQRT(B692/(1-B692))</f>
        <v>-0.0153424872569644</v>
      </c>
      <c r="I692" s="13" t="n">
        <f aca="false">ABS(D692)</f>
        <v>0.345483613475699</v>
      </c>
      <c r="J692" s="6" t="n">
        <f aca="false">IF(B692&gt;$P$4,1,0)</f>
        <v>0</v>
      </c>
      <c r="K692" s="6" t="n">
        <f aca="false">IF(F692&gt;$P$6,1,0)</f>
        <v>0</v>
      </c>
      <c r="L692" s="6" t="n">
        <f aca="false">IF(G692&gt;$P$9,1,0)</f>
        <v>0</v>
      </c>
      <c r="M692" s="6" t="n">
        <f aca="false">IF(ABS(H692)&gt;$P$8,1,0)</f>
        <v>0</v>
      </c>
    </row>
    <row r="693" customFormat="false" ht="15" hidden="false" customHeight="false" outlineLevel="0" collapsed="false">
      <c r="A693" s="0" t="n">
        <f aca="false">ROW()-1</f>
        <v>692</v>
      </c>
      <c r="B693" s="22" t="n">
        <f aca="false">SUMPRODUCT(MMULT('Analysis Data'!N693:U693,'Final Model'!$B$59:$I$66),'Analysis Data'!N693:U693)</f>
        <v>0.00225145319168454</v>
      </c>
      <c r="C693" s="15" t="n">
        <f aca="false">'Residual Diagnostics'!F693</f>
        <v>4.19293708150778</v>
      </c>
      <c r="D693" s="13" t="n">
        <f aca="false">C693/('Final Model'!$B$21*SQRT(1-B693))</f>
        <v>0.0856106909808192</v>
      </c>
      <c r="E693" s="13" t="n">
        <f aca="false">D693*SQRT(('Final Model'!$B$24-1)/('Final Model'!$B$24-D693^2))</f>
        <v>0.0855798495452368</v>
      </c>
      <c r="F693" s="23" t="n">
        <f aca="false">D693^2/($P$3+1)*B693/(1-B693)</f>
        <v>2.06732061829661E-006</v>
      </c>
      <c r="G693" s="13" t="n">
        <f aca="false">($P$2-1)*(B693-1/$P$2)</f>
        <v>2.11898417120459</v>
      </c>
      <c r="H693" s="13" t="n">
        <f aca="false">E693*SQRT(B693/(1-B693))</f>
        <v>0.00406529838825868</v>
      </c>
      <c r="I693" s="13" t="n">
        <f aca="false">ABS(D693)</f>
        <v>0.0856106909808192</v>
      </c>
      <c r="J693" s="6" t="n">
        <f aca="false">IF(B693&gt;$P$4,1,0)</f>
        <v>0</v>
      </c>
      <c r="K693" s="6" t="n">
        <f aca="false">IF(F693&gt;$P$6,1,0)</f>
        <v>0</v>
      </c>
      <c r="L693" s="6" t="n">
        <f aca="false">IF(G693&gt;$P$9,1,0)</f>
        <v>0</v>
      </c>
      <c r="M693" s="6" t="n">
        <f aca="false">IF(ABS(H693)&gt;$P$8,1,0)</f>
        <v>0</v>
      </c>
    </row>
    <row r="694" customFormat="false" ht="15" hidden="false" customHeight="false" outlineLevel="0" collapsed="false">
      <c r="A694" s="0" t="n">
        <f aca="false">ROW()-1</f>
        <v>693</v>
      </c>
      <c r="B694" s="22" t="n">
        <f aca="false">SUMPRODUCT(MMULT('Analysis Data'!N694:U694,'Final Model'!$B$59:$I$66),'Analysis Data'!N694:U694)</f>
        <v>0.00225145319168454</v>
      </c>
      <c r="C694" s="15" t="n">
        <f aca="false">'Residual Diagnostics'!F694</f>
        <v>36.1720379293515</v>
      </c>
      <c r="D694" s="13" t="n">
        <f aca="false">C694/('Final Model'!$B$21*SQRT(1-B694))</f>
        <v>0.738554645852831</v>
      </c>
      <c r="E694" s="13" t="n">
        <f aca="false">D694*SQRT(('Final Model'!$B$24-1)/('Final Model'!$B$24-D694^2))</f>
        <v>0.738432780437891</v>
      </c>
      <c r="F694" s="23" t="n">
        <f aca="false">D694^2/($P$3+1)*B694/(1-B694)</f>
        <v>0.000153856943367976</v>
      </c>
      <c r="G694" s="13" t="n">
        <f aca="false">($P$2-1)*(B694-1/$P$2)</f>
        <v>2.11898417120459</v>
      </c>
      <c r="H694" s="13" t="n">
        <f aca="false">E694*SQRT(B694/(1-B694))</f>
        <v>0.0350777619743855</v>
      </c>
      <c r="I694" s="13" t="n">
        <f aca="false">ABS(D694)</f>
        <v>0.738554645852831</v>
      </c>
      <c r="J694" s="6" t="n">
        <f aca="false">IF(B694&gt;$P$4,1,0)</f>
        <v>0</v>
      </c>
      <c r="K694" s="6" t="n">
        <f aca="false">IF(F694&gt;$P$6,1,0)</f>
        <v>0</v>
      </c>
      <c r="L694" s="6" t="n">
        <f aca="false">IF(G694&gt;$P$9,1,0)</f>
        <v>0</v>
      </c>
      <c r="M694" s="6" t="n">
        <f aca="false">IF(ABS(H694)&gt;$P$8,1,0)</f>
        <v>0</v>
      </c>
    </row>
    <row r="695" customFormat="false" ht="15" hidden="false" customHeight="false" outlineLevel="0" collapsed="false">
      <c r="A695" s="0" t="n">
        <f aca="false">ROW()-1</f>
        <v>694</v>
      </c>
      <c r="B695" s="22" t="n">
        <f aca="false">SUMPRODUCT(MMULT('Analysis Data'!N695:U695,'Final Model'!$B$59:$I$66),'Analysis Data'!N695:U695)</f>
        <v>0.00700018088232605</v>
      </c>
      <c r="C695" s="15" t="n">
        <f aca="false">'Residual Diagnostics'!F695</f>
        <v>-27.4747166298118</v>
      </c>
      <c r="D695" s="13" t="n">
        <f aca="false">C695/('Final Model'!$B$21*SQRT(1-B695))</f>
        <v>-0.562313934803825</v>
      </c>
      <c r="E695" s="13" t="n">
        <f aca="false">D695*SQRT(('Final Model'!$B$24-1)/('Final Model'!$B$24-D695^2))</f>
        <v>-0.562174367328058</v>
      </c>
      <c r="F695" s="23" t="n">
        <f aca="false">D695^2/($P$3+1)*B695/(1-B695)</f>
        <v>0.000278629950473016</v>
      </c>
      <c r="G695" s="13" t="n">
        <f aca="false">($P$2-1)*(B695-1/$P$2)</f>
        <v>8.69597202274307</v>
      </c>
      <c r="H695" s="13" t="n">
        <f aca="false">E695*SQRT(B695/(1-B695))</f>
        <v>-0.0472009876662465</v>
      </c>
      <c r="I695" s="13" t="n">
        <f aca="false">ABS(D695)</f>
        <v>0.562313934803825</v>
      </c>
      <c r="J695" s="6" t="n">
        <f aca="false">IF(B695&gt;$P$4,1,0)</f>
        <v>0</v>
      </c>
      <c r="K695" s="6" t="n">
        <f aca="false">IF(F695&gt;$P$6,1,0)</f>
        <v>0</v>
      </c>
      <c r="L695" s="6" t="n">
        <f aca="false">IF(G695&gt;$P$9,1,0)</f>
        <v>0</v>
      </c>
      <c r="M695" s="6" t="n">
        <f aca="false">IF(ABS(H695)&gt;$P$8,1,0)</f>
        <v>0</v>
      </c>
    </row>
    <row r="696" customFormat="false" ht="15" hidden="false" customHeight="false" outlineLevel="0" collapsed="false">
      <c r="A696" s="0" t="n">
        <f aca="false">ROW()-1</f>
        <v>695</v>
      </c>
      <c r="B696" s="22" t="n">
        <f aca="false">SUMPRODUCT(MMULT('Analysis Data'!N696:U696,'Final Model'!$B$59:$I$66),'Analysis Data'!N696:U696)</f>
        <v>0.00700018088232605</v>
      </c>
      <c r="C696" s="15" t="n">
        <f aca="false">'Residual Diagnostics'!F696</f>
        <v>4.96865083444357</v>
      </c>
      <c r="D696" s="13" t="n">
        <f aca="false">C696/('Final Model'!$B$21*SQRT(1-B696))</f>
        <v>0.101691370980353</v>
      </c>
      <c r="E696" s="13" t="n">
        <f aca="false">D696*SQRT(('Final Model'!$B$24-1)/('Final Model'!$B$24-D696^2))</f>
        <v>0.101654847541203</v>
      </c>
      <c r="F696" s="23" t="n">
        <f aca="false">D696^2/($P$3+1)*B696/(1-B696)</f>
        <v>9.11251614274068E-006</v>
      </c>
      <c r="G696" s="13" t="n">
        <f aca="false">($P$2-1)*(B696-1/$P$2)</f>
        <v>8.69597202274307</v>
      </c>
      <c r="H696" s="13" t="n">
        <f aca="false">E696*SQRT(B696/(1-B696))</f>
        <v>0.00853509068336174</v>
      </c>
      <c r="I696" s="13" t="n">
        <f aca="false">ABS(D696)</f>
        <v>0.101691370980353</v>
      </c>
      <c r="J696" s="6" t="n">
        <f aca="false">IF(B696&gt;$P$4,1,0)</f>
        <v>0</v>
      </c>
      <c r="K696" s="6" t="n">
        <f aca="false">IF(F696&gt;$P$6,1,0)</f>
        <v>0</v>
      </c>
      <c r="L696" s="6" t="n">
        <f aca="false">IF(G696&gt;$P$9,1,0)</f>
        <v>0</v>
      </c>
      <c r="M696" s="6" t="n">
        <f aca="false">IF(ABS(H696)&gt;$P$8,1,0)</f>
        <v>0</v>
      </c>
    </row>
    <row r="697" customFormat="false" ht="15" hidden="false" customHeight="false" outlineLevel="0" collapsed="false">
      <c r="A697" s="0" t="n">
        <f aca="false">ROW()-1</f>
        <v>696</v>
      </c>
      <c r="B697" s="22" t="n">
        <f aca="false">SUMPRODUCT(MMULT('Analysis Data'!N697:U697,'Final Model'!$B$59:$I$66),'Analysis Data'!N697:U697)</f>
        <v>0.0101422648058861</v>
      </c>
      <c r="C697" s="15" t="n">
        <f aca="false">'Residual Diagnostics'!F697</f>
        <v>57.5287458050543</v>
      </c>
      <c r="D697" s="13" t="n">
        <f aca="false">C697/('Final Model'!$B$21*SQRT(1-B697))</f>
        <v>1.17928486328829</v>
      </c>
      <c r="E697" s="13" t="n">
        <f aca="false">D697*SQRT(('Final Model'!$B$24-1)/('Final Model'!$B$24-D697^2))</f>
        <v>1.1794522052469</v>
      </c>
      <c r="F697" s="23" t="n">
        <f aca="false">D697^2/($P$3+1)*B697/(1-B697)</f>
        <v>0.00178118744634325</v>
      </c>
      <c r="G697" s="13" t="n">
        <f aca="false">($P$2-1)*(B697-1/$P$2)</f>
        <v>13.0477582568738</v>
      </c>
      <c r="H697" s="13" t="n">
        <f aca="false">E697*SQRT(B697/(1-B697))</f>
        <v>0.119388206705547</v>
      </c>
      <c r="I697" s="13" t="n">
        <f aca="false">ABS(D697)</f>
        <v>1.17928486328829</v>
      </c>
      <c r="J697" s="6" t="n">
        <f aca="false">IF(B697&gt;$P$4,1,0)</f>
        <v>0</v>
      </c>
      <c r="K697" s="6" t="n">
        <f aca="false">IF(F697&gt;$P$6,1,0)</f>
        <v>0</v>
      </c>
      <c r="L697" s="6" t="n">
        <f aca="false">IF(G697&gt;$P$9,1,0)</f>
        <v>1</v>
      </c>
      <c r="M697" s="6" t="n">
        <f aca="false">IF(ABS(H697)&gt;$P$8,1,0)</f>
        <v>0</v>
      </c>
    </row>
    <row r="698" customFormat="false" ht="15" hidden="false" customHeight="false" outlineLevel="0" collapsed="false">
      <c r="A698" s="0" t="n">
        <f aca="false">ROW()-1</f>
        <v>697</v>
      </c>
      <c r="B698" s="22" t="n">
        <f aca="false">SUMPRODUCT(MMULT('Analysis Data'!N698:U698,'Final Model'!$B$59:$I$66),'Analysis Data'!N698:U698)</f>
        <v>0.0101422648058861</v>
      </c>
      <c r="C698" s="15" t="n">
        <f aca="false">'Residual Diagnostics'!F698</f>
        <v>-33.3358805348155</v>
      </c>
      <c r="D698" s="13" t="n">
        <f aca="false">C698/('Final Model'!$B$21*SQRT(1-B698))</f>
        <v>-0.68335401317998</v>
      </c>
      <c r="E698" s="13" t="n">
        <f aca="false">D698*SQRT(('Final Model'!$B$24-1)/('Final Model'!$B$24-D698^2))</f>
        <v>-0.68322179073055</v>
      </c>
      <c r="F698" s="23" t="n">
        <f aca="false">D698^2/($P$3+1)*B698/(1-B698)</f>
        <v>0.000598086053993072</v>
      </c>
      <c r="G698" s="13" t="n">
        <f aca="false">($P$2-1)*(B698-1/$P$2)</f>
        <v>13.0477582568738</v>
      </c>
      <c r="H698" s="13" t="n">
        <f aca="false">E698*SQRT(B698/(1-B698))</f>
        <v>-0.0691580583041923</v>
      </c>
      <c r="I698" s="13" t="n">
        <f aca="false">ABS(D698)</f>
        <v>0.68335401317998</v>
      </c>
      <c r="J698" s="6" t="n">
        <f aca="false">IF(B698&gt;$P$4,1,0)</f>
        <v>0</v>
      </c>
      <c r="K698" s="6" t="n">
        <f aca="false">IF(F698&gt;$P$6,1,0)</f>
        <v>0</v>
      </c>
      <c r="L698" s="6" t="n">
        <f aca="false">IF(G698&gt;$P$9,1,0)</f>
        <v>1</v>
      </c>
      <c r="M698" s="6" t="n">
        <f aca="false">IF(ABS(H698)&gt;$P$8,1,0)</f>
        <v>0</v>
      </c>
    </row>
    <row r="699" customFormat="false" ht="15" hidden="false" customHeight="false" outlineLevel="0" collapsed="false">
      <c r="A699" s="0" t="n">
        <f aca="false">ROW()-1</f>
        <v>698</v>
      </c>
      <c r="B699" s="22" t="n">
        <f aca="false">SUMPRODUCT(MMULT('Analysis Data'!N699:U699,'Final Model'!$B$59:$I$66),'Analysis Data'!N699:U699)</f>
        <v>0.00221688059806092</v>
      </c>
      <c r="C699" s="15" t="n">
        <f aca="false">'Residual Diagnostics'!F699</f>
        <v>-38.9198785893024</v>
      </c>
      <c r="D699" s="13" t="n">
        <f aca="false">C699/('Final Model'!$B$21*SQRT(1-B699))</f>
        <v>-0.794645831423255</v>
      </c>
      <c r="E699" s="13" t="n">
        <f aca="false">D699*SQRT(('Final Model'!$B$24-1)/('Final Model'!$B$24-D699^2))</f>
        <v>-0.794539513915725</v>
      </c>
      <c r="F699" s="23" t="n">
        <f aca="false">D699^2/($P$3+1)*B699/(1-B699)</f>
        <v>0.00017537326288957</v>
      </c>
      <c r="G699" s="13" t="n">
        <f aca="false">($P$2-1)*(B699-1/$P$2)</f>
        <v>2.07110112903587</v>
      </c>
      <c r="H699" s="13" t="n">
        <f aca="false">E699*SQRT(B699/(1-B699))</f>
        <v>-0.0374514447078574</v>
      </c>
      <c r="I699" s="13" t="n">
        <f aca="false">ABS(D699)</f>
        <v>0.794645831423255</v>
      </c>
      <c r="J699" s="6" t="n">
        <f aca="false">IF(B699&gt;$P$4,1,0)</f>
        <v>0</v>
      </c>
      <c r="K699" s="6" t="n">
        <f aca="false">IF(F699&gt;$P$6,1,0)</f>
        <v>0</v>
      </c>
      <c r="L699" s="6" t="n">
        <f aca="false">IF(G699&gt;$P$9,1,0)</f>
        <v>0</v>
      </c>
      <c r="M699" s="6" t="n">
        <f aca="false">IF(ABS(H699)&gt;$P$8,1,0)</f>
        <v>0</v>
      </c>
    </row>
    <row r="700" customFormat="false" ht="15" hidden="false" customHeight="false" outlineLevel="0" collapsed="false">
      <c r="A700" s="0" t="n">
        <f aca="false">ROW()-1</f>
        <v>699</v>
      </c>
      <c r="B700" s="22" t="n">
        <f aca="false">SUMPRODUCT(MMULT('Analysis Data'!N700:U700,'Final Model'!$B$59:$I$66),'Analysis Data'!N700:U700)</f>
        <v>0.00239143065804752</v>
      </c>
      <c r="C700" s="15" t="n">
        <f aca="false">'Residual Diagnostics'!F700</f>
        <v>-2.7204171151696</v>
      </c>
      <c r="D700" s="13" t="n">
        <f aca="false">C700/('Final Model'!$B$21*SQRT(1-B700))</f>
        <v>-0.0555489202700358</v>
      </c>
      <c r="E700" s="13" t="n">
        <f aca="false">D700*SQRT(('Final Model'!$B$24-1)/('Final Model'!$B$24-D700^2))</f>
        <v>-0.0555288231519923</v>
      </c>
      <c r="F700" s="23" t="n">
        <f aca="false">D700^2/($P$3+1)*B700/(1-B700)</f>
        <v>9.24610621528467E-007</v>
      </c>
      <c r="G700" s="13" t="n">
        <f aca="false">($P$2-1)*(B700-1/$P$2)</f>
        <v>2.31285296211731</v>
      </c>
      <c r="H700" s="13" t="n">
        <f aca="false">E700*SQRT(B700/(1-B700))</f>
        <v>-0.00271873751631974</v>
      </c>
      <c r="I700" s="13" t="n">
        <f aca="false">ABS(D700)</f>
        <v>0.0555489202700358</v>
      </c>
      <c r="J700" s="6" t="n">
        <f aca="false">IF(B700&gt;$P$4,1,0)</f>
        <v>0</v>
      </c>
      <c r="K700" s="6" t="n">
        <f aca="false">IF(F700&gt;$P$6,1,0)</f>
        <v>0</v>
      </c>
      <c r="L700" s="6" t="n">
        <f aca="false">IF(G700&gt;$P$9,1,0)</f>
        <v>0</v>
      </c>
      <c r="M700" s="6" t="n">
        <f aca="false">IF(ABS(H700)&gt;$P$8,1,0)</f>
        <v>0</v>
      </c>
    </row>
    <row r="701" customFormat="false" ht="15" hidden="false" customHeight="false" outlineLevel="0" collapsed="false">
      <c r="A701" s="0" t="n">
        <f aca="false">ROW()-1</f>
        <v>700</v>
      </c>
      <c r="B701" s="22" t="n">
        <f aca="false">SUMPRODUCT(MMULT('Analysis Data'!N701:U701,'Final Model'!$B$59:$I$66),'Analysis Data'!N701:U701)</f>
        <v>0.0036446366791453</v>
      </c>
      <c r="C701" s="15" t="n">
        <f aca="false">'Residual Diagnostics'!F701</f>
        <v>38.9773159743784</v>
      </c>
      <c r="D701" s="13" t="n">
        <f aca="false">C701/('Final Model'!$B$21*SQRT(1-B701))</f>
        <v>0.796388549492824</v>
      </c>
      <c r="E701" s="13" t="n">
        <f aca="false">D701*SQRT(('Final Model'!$B$24-1)/('Final Model'!$B$24-D701^2))</f>
        <v>0.796282800305604</v>
      </c>
      <c r="F701" s="23" t="n">
        <f aca="false">D701^2/($P$3+1)*B701/(1-B701)</f>
        <v>0.00029000134078939</v>
      </c>
      <c r="G701" s="13" t="n">
        <f aca="false">($P$2-1)*(B701-1/$P$2)</f>
        <v>4.04854330133774</v>
      </c>
      <c r="H701" s="13" t="n">
        <f aca="false">E701*SQRT(B701/(1-B701))</f>
        <v>0.0481600938298355</v>
      </c>
      <c r="I701" s="13" t="n">
        <f aca="false">ABS(D701)</f>
        <v>0.796388549492824</v>
      </c>
      <c r="J701" s="6" t="n">
        <f aca="false">IF(B701&gt;$P$4,1,0)</f>
        <v>0</v>
      </c>
      <c r="K701" s="6" t="n">
        <f aca="false">IF(F701&gt;$P$6,1,0)</f>
        <v>0</v>
      </c>
      <c r="L701" s="6" t="n">
        <f aca="false">IF(G701&gt;$P$9,1,0)</f>
        <v>0</v>
      </c>
      <c r="M701" s="6" t="n">
        <f aca="false">IF(ABS(H701)&gt;$P$8,1,0)</f>
        <v>0</v>
      </c>
    </row>
    <row r="702" customFormat="false" ht="15" hidden="false" customHeight="false" outlineLevel="0" collapsed="false">
      <c r="A702" s="0" t="n">
        <f aca="false">ROW()-1</f>
        <v>701</v>
      </c>
      <c r="B702" s="22" t="n">
        <f aca="false">SUMPRODUCT(MMULT('Analysis Data'!N702:U702,'Final Model'!$B$59:$I$66),'Analysis Data'!N702:U702)</f>
        <v>0.00323418361247135</v>
      </c>
      <c r="C702" s="15" t="n">
        <f aca="false">'Residual Diagnostics'!F702</f>
        <v>84.0011092201787</v>
      </c>
      <c r="D702" s="13" t="n">
        <f aca="false">C702/('Final Model'!$B$21*SQRT(1-B702))</f>
        <v>1.71596593414195</v>
      </c>
      <c r="E702" s="13" t="n">
        <f aca="false">D702*SQRT(('Final Model'!$B$24-1)/('Final Model'!$B$24-D702^2))</f>
        <v>1.71717882485286</v>
      </c>
      <c r="F702" s="23" t="n">
        <f aca="false">D702^2/($P$3+1)*B702/(1-B702)</f>
        <v>0.0011942599637407</v>
      </c>
      <c r="G702" s="13" t="n">
        <f aca="false">($P$2-1)*(B702-1/$P$2)</f>
        <v>3.48006580399432</v>
      </c>
      <c r="H702" s="13" t="n">
        <f aca="false">E702*SQRT(B702/(1-B702))</f>
        <v>0.0978140615779165</v>
      </c>
      <c r="I702" s="13" t="n">
        <f aca="false">ABS(D702)</f>
        <v>1.71596593414195</v>
      </c>
      <c r="J702" s="6" t="n">
        <f aca="false">IF(B702&gt;$P$4,1,0)</f>
        <v>0</v>
      </c>
      <c r="K702" s="6" t="n">
        <f aca="false">IF(F702&gt;$P$6,1,0)</f>
        <v>0</v>
      </c>
      <c r="L702" s="6" t="n">
        <f aca="false">IF(G702&gt;$P$9,1,0)</f>
        <v>0</v>
      </c>
      <c r="M702" s="6" t="n">
        <f aca="false">IF(ABS(H702)&gt;$P$8,1,0)</f>
        <v>0</v>
      </c>
    </row>
    <row r="703" customFormat="false" ht="15" hidden="false" customHeight="false" outlineLevel="0" collapsed="false">
      <c r="A703" s="0" t="n">
        <f aca="false">ROW()-1</f>
        <v>702</v>
      </c>
      <c r="B703" s="22" t="n">
        <f aca="false">SUMPRODUCT(MMULT('Analysis Data'!N703:U703,'Final Model'!$B$59:$I$66),'Analysis Data'!N703:U703)</f>
        <v>0.00323418361247135</v>
      </c>
      <c r="C703" s="15" t="n">
        <f aca="false">'Residual Diagnostics'!F703</f>
        <v>16.088829279461</v>
      </c>
      <c r="D703" s="13" t="n">
        <f aca="false">C703/('Final Model'!$B$21*SQRT(1-B703))</f>
        <v>0.328660933410017</v>
      </c>
      <c r="E703" s="13" t="n">
        <f aca="false">D703*SQRT(('Final Model'!$B$24-1)/('Final Model'!$B$24-D703^2))</f>
        <v>0.328554536429227</v>
      </c>
      <c r="F703" s="23" t="n">
        <f aca="false">D703^2/($P$3+1)*B703/(1-B703)</f>
        <v>4.38104504213737E-005</v>
      </c>
      <c r="G703" s="13" t="n">
        <f aca="false">($P$2-1)*(B703-1/$P$2)</f>
        <v>3.48006580399432</v>
      </c>
      <c r="H703" s="13" t="n">
        <f aca="false">E703*SQRT(B703/(1-B703))</f>
        <v>0.0187151467237234</v>
      </c>
      <c r="I703" s="13" t="n">
        <f aca="false">ABS(D703)</f>
        <v>0.328660933410017</v>
      </c>
      <c r="J703" s="6" t="n">
        <f aca="false">IF(B703&gt;$P$4,1,0)</f>
        <v>0</v>
      </c>
      <c r="K703" s="6" t="n">
        <f aca="false">IF(F703&gt;$P$6,1,0)</f>
        <v>0</v>
      </c>
      <c r="L703" s="6" t="n">
        <f aca="false">IF(G703&gt;$P$9,1,0)</f>
        <v>0</v>
      </c>
      <c r="M703" s="6" t="n">
        <f aca="false">IF(ABS(H703)&gt;$P$8,1,0)</f>
        <v>0</v>
      </c>
    </row>
    <row r="704" customFormat="false" ht="15" hidden="false" customHeight="false" outlineLevel="0" collapsed="false">
      <c r="A704" s="0" t="n">
        <f aca="false">ROW()-1</f>
        <v>703</v>
      </c>
      <c r="B704" s="22" t="n">
        <f aca="false">SUMPRODUCT(MMULT('Analysis Data'!N704:U704,'Final Model'!$B$59:$I$66),'Analysis Data'!N704:U704)</f>
        <v>0.00271399850712771</v>
      </c>
      <c r="C704" s="15" t="n">
        <f aca="false">'Residual Diagnostics'!F704</f>
        <v>-25.0979133653036</v>
      </c>
      <c r="D704" s="13" t="n">
        <f aca="false">C704/('Final Model'!$B$21*SQRT(1-B704))</f>
        <v>-0.512563838209128</v>
      </c>
      <c r="E704" s="13" t="n">
        <f aca="false">D704*SQRT(('Final Model'!$B$24-1)/('Final Model'!$B$24-D704^2))</f>
        <v>-0.512426673896978</v>
      </c>
      <c r="F704" s="23" t="n">
        <f aca="false">D704^2/($P$3+1)*B704/(1-B704)</f>
        <v>8.93708360246195E-005</v>
      </c>
      <c r="G704" s="13" t="n">
        <f aca="false">($P$2-1)*(B704-1/$P$2)</f>
        <v>2.75960943309337</v>
      </c>
      <c r="H704" s="13" t="n">
        <f aca="false">E704*SQRT(B704/(1-B704))</f>
        <v>-0.0267317055760977</v>
      </c>
      <c r="I704" s="13" t="n">
        <f aca="false">ABS(D704)</f>
        <v>0.512563838209128</v>
      </c>
      <c r="J704" s="6" t="n">
        <f aca="false">IF(B704&gt;$P$4,1,0)</f>
        <v>0</v>
      </c>
      <c r="K704" s="6" t="n">
        <f aca="false">IF(F704&gt;$P$6,1,0)</f>
        <v>0</v>
      </c>
      <c r="L704" s="6" t="n">
        <f aca="false">IF(G704&gt;$P$9,1,0)</f>
        <v>0</v>
      </c>
      <c r="M704" s="6" t="n">
        <f aca="false">IF(ABS(H704)&gt;$P$8,1,0)</f>
        <v>0</v>
      </c>
    </row>
    <row r="705" customFormat="false" ht="15" hidden="false" customHeight="false" outlineLevel="0" collapsed="false">
      <c r="A705" s="0" t="n">
        <f aca="false">ROW()-1</f>
        <v>704</v>
      </c>
      <c r="B705" s="22" t="n">
        <f aca="false">SUMPRODUCT(MMULT('Analysis Data'!N705:U705,'Final Model'!$B$59:$I$66),'Analysis Data'!N705:U705)</f>
        <v>0.00271399850712771</v>
      </c>
      <c r="C705" s="15" t="n">
        <f aca="false">'Residual Diagnostics'!F705</f>
        <v>94.1301172368556</v>
      </c>
      <c r="D705" s="13" t="n">
        <f aca="false">C705/('Final Model'!$B$21*SQRT(1-B705))</f>
        <v>1.92237870454591</v>
      </c>
      <c r="E705" s="13" t="n">
        <f aca="false">D705*SQRT(('Final Model'!$B$24-1)/('Final Model'!$B$24-D705^2))</f>
        <v>1.92426304320923</v>
      </c>
      <c r="F705" s="23" t="n">
        <f aca="false">D705^2/($P$3+1)*B705/(1-B705)</f>
        <v>0.00125712304599134</v>
      </c>
      <c r="G705" s="13" t="n">
        <f aca="false">($P$2-1)*(B705-1/$P$2)</f>
        <v>2.75960943309337</v>
      </c>
      <c r="H705" s="13" t="n">
        <f aca="false">E705*SQRT(B705/(1-B705))</f>
        <v>0.100382817176252</v>
      </c>
      <c r="I705" s="13" t="n">
        <f aca="false">ABS(D705)</f>
        <v>1.92237870454591</v>
      </c>
      <c r="J705" s="6" t="n">
        <f aca="false">IF(B705&gt;$P$4,1,0)</f>
        <v>0</v>
      </c>
      <c r="K705" s="6" t="n">
        <f aca="false">IF(F705&gt;$P$6,1,0)</f>
        <v>0</v>
      </c>
      <c r="L705" s="6" t="n">
        <f aca="false">IF(G705&gt;$P$9,1,0)</f>
        <v>0</v>
      </c>
      <c r="M705" s="6" t="n">
        <f aca="false">IF(ABS(H705)&gt;$P$8,1,0)</f>
        <v>0</v>
      </c>
    </row>
    <row r="706" customFormat="false" ht="15" hidden="false" customHeight="false" outlineLevel="0" collapsed="false">
      <c r="A706" s="0" t="n">
        <f aca="false">ROW()-1</f>
        <v>705</v>
      </c>
      <c r="B706" s="22" t="n">
        <f aca="false">SUMPRODUCT(MMULT('Analysis Data'!N706:U706,'Final Model'!$B$59:$I$66),'Analysis Data'!N706:U706)</f>
        <v>0.00294236470340294</v>
      </c>
      <c r="C706" s="15" t="n">
        <f aca="false">'Residual Diagnostics'!F706</f>
        <v>41.6494274299737</v>
      </c>
      <c r="D706" s="13" t="n">
        <f aca="false">C706/('Final Model'!$B$21*SQRT(1-B706))</f>
        <v>0.850685660799149</v>
      </c>
      <c r="E706" s="13" t="n">
        <f aca="false">D706*SQRT(('Final Model'!$B$24-1)/('Final Model'!$B$24-D706^2))</f>
        <v>0.850600316602631</v>
      </c>
      <c r="F706" s="23" t="n">
        <f aca="false">D706^2/($P$3+1)*B706/(1-B706)</f>
        <v>0.000266946650719314</v>
      </c>
      <c r="G706" s="13" t="n">
        <f aca="false">($P$2-1)*(B706-1/$P$2)</f>
        <v>3.07589661493458</v>
      </c>
      <c r="H706" s="13" t="n">
        <f aca="false">E706*SQRT(B706/(1-B706))</f>
        <v>0.0462076263046986</v>
      </c>
      <c r="I706" s="13" t="n">
        <f aca="false">ABS(D706)</f>
        <v>0.850685660799149</v>
      </c>
      <c r="J706" s="6" t="n">
        <f aca="false">IF(B706&gt;$P$4,1,0)</f>
        <v>0</v>
      </c>
      <c r="K706" s="6" t="n">
        <f aca="false">IF(F706&gt;$P$6,1,0)</f>
        <v>0</v>
      </c>
      <c r="L706" s="6" t="n">
        <f aca="false">IF(G706&gt;$P$9,1,0)</f>
        <v>0</v>
      </c>
      <c r="M706" s="6" t="n">
        <f aca="false">IF(ABS(H706)&gt;$P$8,1,0)</f>
        <v>0</v>
      </c>
    </row>
    <row r="707" customFormat="false" ht="15" hidden="false" customHeight="false" outlineLevel="0" collapsed="false">
      <c r="A707" s="0" t="n">
        <f aca="false">ROW()-1</f>
        <v>706</v>
      </c>
      <c r="B707" s="22" t="n">
        <f aca="false">SUMPRODUCT(MMULT('Analysis Data'!N707:U707,'Final Model'!$B$59:$I$66),'Analysis Data'!N707:U707)</f>
        <v>0.00294236470340294</v>
      </c>
      <c r="C707" s="15" t="n">
        <f aca="false">'Residual Diagnostics'!F707</f>
        <v>-18.5158208831657</v>
      </c>
      <c r="D707" s="13" t="n">
        <f aca="false">C707/('Final Model'!$B$21*SQRT(1-B707))</f>
        <v>-0.378183910204223</v>
      </c>
      <c r="E707" s="13" t="n">
        <f aca="false">D707*SQRT(('Final Model'!$B$24-1)/('Final Model'!$B$24-D707^2))</f>
        <v>-0.378066283592289</v>
      </c>
      <c r="F707" s="23" t="n">
        <f aca="false">D707^2/($P$3+1)*B707/(1-B707)</f>
        <v>5.27584888097796E-005</v>
      </c>
      <c r="G707" s="13" t="n">
        <f aca="false">($P$2-1)*(B707-1/$P$2)</f>
        <v>3.07589661493458</v>
      </c>
      <c r="H707" s="13" t="n">
        <f aca="false">E707*SQRT(B707/(1-B707))</f>
        <v>-0.0205379015380732</v>
      </c>
      <c r="I707" s="13" t="n">
        <f aca="false">ABS(D707)</f>
        <v>0.378183910204223</v>
      </c>
      <c r="J707" s="6" t="n">
        <f aca="false">IF(B707&gt;$P$4,1,0)</f>
        <v>0</v>
      </c>
      <c r="K707" s="6" t="n">
        <f aca="false">IF(F707&gt;$P$6,1,0)</f>
        <v>0</v>
      </c>
      <c r="L707" s="6" t="n">
        <f aca="false">IF(G707&gt;$P$9,1,0)</f>
        <v>0</v>
      </c>
      <c r="M707" s="6" t="n">
        <f aca="false">IF(ABS(H707)&gt;$P$8,1,0)</f>
        <v>0</v>
      </c>
    </row>
    <row r="708" customFormat="false" ht="15" hidden="false" customHeight="false" outlineLevel="0" collapsed="false">
      <c r="A708" s="0" t="n">
        <f aca="false">ROW()-1</f>
        <v>707</v>
      </c>
      <c r="B708" s="22" t="n">
        <f aca="false">SUMPRODUCT(MMULT('Analysis Data'!N708:U708,'Final Model'!$B$59:$I$66),'Analysis Data'!N708:U708)</f>
        <v>0.0131496196596459</v>
      </c>
      <c r="C708" s="15" t="n">
        <f aca="false">'Residual Diagnostics'!F708</f>
        <v>-47.5879952580904</v>
      </c>
      <c r="D708" s="13" t="n">
        <f aca="false">C708/('Final Model'!$B$21*SQRT(1-B708))</f>
        <v>-0.976994147165297</v>
      </c>
      <c r="E708" s="13" t="n">
        <f aca="false">D708*SQRT(('Final Model'!$B$24-1)/('Final Model'!$B$24-D708^2))</f>
        <v>-0.97697801246181</v>
      </c>
      <c r="F708" s="23" t="n">
        <f aca="false">D708^2/($P$3+1)*B708/(1-B708)</f>
        <v>0.00158984877162945</v>
      </c>
      <c r="G708" s="13" t="n">
        <f aca="false">($P$2-1)*(B708-1/$P$2)</f>
        <v>17.2129447293311</v>
      </c>
      <c r="H708" s="13" t="n">
        <f aca="false">E708*SQRT(B708/(1-B708))</f>
        <v>-0.112775751312524</v>
      </c>
      <c r="I708" s="13" t="n">
        <f aca="false">ABS(D708)</f>
        <v>0.976994147165297</v>
      </c>
      <c r="J708" s="6" t="n">
        <f aca="false">IF(B708&gt;$P$4,1,0)</f>
        <v>1</v>
      </c>
      <c r="K708" s="6" t="n">
        <f aca="false">IF(F708&gt;$P$6,1,0)</f>
        <v>0</v>
      </c>
      <c r="L708" s="6" t="n">
        <f aca="false">IF(G708&gt;$P$9,1,0)</f>
        <v>1</v>
      </c>
      <c r="M708" s="6" t="n">
        <f aca="false">IF(ABS(H708)&gt;$P$8,1,0)</f>
        <v>0</v>
      </c>
    </row>
    <row r="709" customFormat="false" ht="15" hidden="false" customHeight="false" outlineLevel="0" collapsed="false">
      <c r="A709" s="0" t="n">
        <f aca="false">ROW()-1</f>
        <v>708</v>
      </c>
      <c r="B709" s="22" t="n">
        <f aca="false">SUMPRODUCT(MMULT('Analysis Data'!N709:U709,'Final Model'!$B$59:$I$66),'Analysis Data'!N709:U709)</f>
        <v>0.00545622364953005</v>
      </c>
      <c r="C709" s="15" t="n">
        <f aca="false">'Residual Diagnostics'!F709</f>
        <v>41.1758515951511</v>
      </c>
      <c r="D709" s="13" t="n">
        <f aca="false">C709/('Final Model'!$B$21*SQRT(1-B709))</f>
        <v>0.842075141155067</v>
      </c>
      <c r="E709" s="13" t="n">
        <f aca="false">D709*SQRT(('Final Model'!$B$24-1)/('Final Model'!$B$24-D709^2))</f>
        <v>0.841986205492716</v>
      </c>
      <c r="F709" s="23" t="n">
        <f aca="false">D709^2/($P$3+1)*B709/(1-B709)</f>
        <v>0.000486272787117647</v>
      </c>
      <c r="G709" s="13" t="n">
        <f aca="false">($P$2-1)*(B709-1/$P$2)</f>
        <v>6.55759125532061</v>
      </c>
      <c r="H709" s="13" t="n">
        <f aca="false">E709*SQRT(B709/(1-B709))</f>
        <v>0.0623647385794698</v>
      </c>
      <c r="I709" s="13" t="n">
        <f aca="false">ABS(D709)</f>
        <v>0.842075141155067</v>
      </c>
      <c r="J709" s="6" t="n">
        <f aca="false">IF(B709&gt;$P$4,1,0)</f>
        <v>0</v>
      </c>
      <c r="K709" s="6" t="n">
        <f aca="false">IF(F709&gt;$P$6,1,0)</f>
        <v>0</v>
      </c>
      <c r="L709" s="6" t="n">
        <f aca="false">IF(G709&gt;$P$9,1,0)</f>
        <v>0</v>
      </c>
      <c r="M709" s="6" t="n">
        <f aca="false">IF(ABS(H709)&gt;$P$8,1,0)</f>
        <v>0</v>
      </c>
    </row>
    <row r="710" customFormat="false" ht="15" hidden="false" customHeight="false" outlineLevel="0" collapsed="false">
      <c r="A710" s="0" t="n">
        <f aca="false">ROW()-1</f>
        <v>709</v>
      </c>
      <c r="B710" s="22" t="n">
        <f aca="false">SUMPRODUCT(MMULT('Analysis Data'!N710:U710,'Final Model'!$B$59:$I$66),'Analysis Data'!N710:U710)</f>
        <v>0.0166160921689908</v>
      </c>
      <c r="C710" s="15" t="n">
        <f aca="false">'Residual Diagnostics'!F710</f>
        <v>63.4121158754232</v>
      </c>
      <c r="D710" s="13" t="n">
        <f aca="false">C710/('Final Model'!$B$21*SQRT(1-B710))</f>
        <v>1.30416008698544</v>
      </c>
      <c r="E710" s="13" t="n">
        <f aca="false">D710*SQRT(('Final Model'!$B$24-1)/('Final Model'!$B$24-D710^2))</f>
        <v>1.30449209430508</v>
      </c>
      <c r="F710" s="23" t="n">
        <f aca="false">D710^2/($P$3+1)*B710/(1-B710)</f>
        <v>0.00359234152029058</v>
      </c>
      <c r="G710" s="13" t="n">
        <f aca="false">($P$2-1)*(B710-1/$P$2)</f>
        <v>22.0140091547737</v>
      </c>
      <c r="H710" s="13" t="n">
        <f aca="false">E710*SQRT(B710/(1-B710))</f>
        <v>0.169568176212587</v>
      </c>
      <c r="I710" s="13" t="n">
        <f aca="false">ABS(D710)</f>
        <v>1.30416008698544</v>
      </c>
      <c r="J710" s="6" t="n">
        <f aca="false">IF(B710&gt;$P$4,1,0)</f>
        <v>1</v>
      </c>
      <c r="K710" s="6" t="n">
        <f aca="false">IF(F710&gt;$P$6,1,0)</f>
        <v>1</v>
      </c>
      <c r="L710" s="6" t="n">
        <f aca="false">IF(G710&gt;$P$9,1,0)</f>
        <v>1</v>
      </c>
      <c r="M710" s="6" t="n">
        <f aca="false">IF(ABS(H710)&gt;$P$8,1,0)</f>
        <v>1</v>
      </c>
    </row>
    <row r="711" customFormat="false" ht="15" hidden="false" customHeight="false" outlineLevel="0" collapsed="false">
      <c r="A711" s="0" t="n">
        <f aca="false">ROW()-1</f>
        <v>710</v>
      </c>
      <c r="B711" s="22" t="n">
        <f aca="false">SUMPRODUCT(MMULT('Analysis Data'!N711:U711,'Final Model'!$B$59:$I$66),'Analysis Data'!N711:U711)</f>
        <v>0.0181965003516065</v>
      </c>
      <c r="C711" s="15" t="n">
        <f aca="false">'Residual Diagnostics'!F711</f>
        <v>-3.00637443214356</v>
      </c>
      <c r="D711" s="13" t="n">
        <f aca="false">C711/('Final Model'!$B$21*SQRT(1-B711))</f>
        <v>-0.0618800976238774</v>
      </c>
      <c r="E711" s="13" t="n">
        <f aca="false">D711*SQRT(('Final Model'!$B$24-1)/('Final Model'!$B$24-D711^2))</f>
        <v>-0.0618577266276252</v>
      </c>
      <c r="F711" s="23" t="n">
        <f aca="false">D711^2/($P$3+1)*B711/(1-B711)</f>
        <v>8.87105532445365E-006</v>
      </c>
      <c r="G711" s="13" t="n">
        <f aca="false">($P$2-1)*(B711-1/$P$2)</f>
        <v>24.2028744876965</v>
      </c>
      <c r="H711" s="13" t="n">
        <f aca="false">E711*SQRT(B711/(1-B711))</f>
        <v>-0.00842123141893413</v>
      </c>
      <c r="I711" s="13" t="n">
        <f aca="false">ABS(D711)</f>
        <v>0.0618800976238774</v>
      </c>
      <c r="J711" s="6" t="n">
        <f aca="false">IF(B711&gt;$P$4,1,0)</f>
        <v>1</v>
      </c>
      <c r="K711" s="6" t="n">
        <f aca="false">IF(F711&gt;$P$6,1,0)</f>
        <v>0</v>
      </c>
      <c r="L711" s="6" t="n">
        <f aca="false">IF(G711&gt;$P$9,1,0)</f>
        <v>1</v>
      </c>
      <c r="M711" s="6" t="n">
        <f aca="false">IF(ABS(H711)&gt;$P$8,1,0)</f>
        <v>0</v>
      </c>
    </row>
    <row r="712" customFormat="false" ht="15" hidden="false" customHeight="false" outlineLevel="0" collapsed="false">
      <c r="A712" s="0" t="n">
        <f aca="false">ROW()-1</f>
        <v>711</v>
      </c>
      <c r="B712" s="22" t="n">
        <f aca="false">SUMPRODUCT(MMULT('Analysis Data'!N712:U712,'Final Model'!$B$59:$I$66),'Analysis Data'!N712:U712)</f>
        <v>0.0149937725152252</v>
      </c>
      <c r="C712" s="15" t="n">
        <f aca="false">'Residual Diagnostics'!F712</f>
        <v>-56.1807747162914</v>
      </c>
      <c r="D712" s="13" t="n">
        <f aca="false">C712/('Final Model'!$B$21*SQRT(1-B712))</f>
        <v>-1.15448539819155</v>
      </c>
      <c r="E712" s="13" t="n">
        <f aca="false">D712*SQRT(('Final Model'!$B$24-1)/('Final Model'!$B$24-D712^2))</f>
        <v>-1.15462494960489</v>
      </c>
      <c r="F712" s="23" t="n">
        <f aca="false">D712^2/($P$3+1)*B712/(1-B712)</f>
        <v>0.00253605602212357</v>
      </c>
      <c r="G712" s="13" t="n">
        <f aca="false">($P$2-1)*(B712-1/$P$2)</f>
        <v>19.7670964343084</v>
      </c>
      <c r="H712" s="13" t="n">
        <f aca="false">E712*SQRT(B712/(1-B712))</f>
        <v>-0.142454741272087</v>
      </c>
      <c r="I712" s="13" t="n">
        <f aca="false">ABS(D712)</f>
        <v>1.15448539819155</v>
      </c>
      <c r="J712" s="6" t="n">
        <f aca="false">IF(B712&gt;$P$4,1,0)</f>
        <v>1</v>
      </c>
      <c r="K712" s="6" t="n">
        <f aca="false">IF(F712&gt;$P$6,1,0)</f>
        <v>0</v>
      </c>
      <c r="L712" s="6" t="n">
        <f aca="false">IF(G712&gt;$P$9,1,0)</f>
        <v>1</v>
      </c>
      <c r="M712" s="6" t="n">
        <f aca="false">IF(ABS(H712)&gt;$P$8,1,0)</f>
        <v>0</v>
      </c>
    </row>
    <row r="713" customFormat="false" ht="15" hidden="false" customHeight="false" outlineLevel="0" collapsed="false">
      <c r="A713" s="0" t="n">
        <f aca="false">ROW()-1</f>
        <v>712</v>
      </c>
      <c r="B713" s="22" t="n">
        <f aca="false">SUMPRODUCT(MMULT('Analysis Data'!N713:U713,'Final Model'!$B$59:$I$66),'Analysis Data'!N713:U713)</f>
        <v>0.0259303338440393</v>
      </c>
      <c r="C713" s="15" t="n">
        <f aca="false">'Residual Diagnostics'!F713</f>
        <v>19.1552931558961</v>
      </c>
      <c r="D713" s="13" t="n">
        <f aca="false">C713/('Final Model'!$B$21*SQRT(1-B713))</f>
        <v>0.395834826809636</v>
      </c>
      <c r="E713" s="13" t="n">
        <f aca="false">D713*SQRT(('Final Model'!$B$24-1)/('Final Model'!$B$24-D713^2))</f>
        <v>0.395713672084051</v>
      </c>
      <c r="F713" s="23" t="n">
        <f aca="false">D713^2/($P$3+1)*B713/(1-B713)</f>
        <v>0.000521382087426797</v>
      </c>
      <c r="G713" s="13" t="n">
        <f aca="false">($P$2-1)*(B713-1/$P$2)</f>
        <v>34.914233874716</v>
      </c>
      <c r="H713" s="13" t="n">
        <f aca="false">E713*SQRT(B713/(1-B713))</f>
        <v>0.0645639511386704</v>
      </c>
      <c r="I713" s="13" t="n">
        <f aca="false">ABS(D713)</f>
        <v>0.395834826809636</v>
      </c>
      <c r="J713" s="6" t="n">
        <f aca="false">IF(B713&gt;$P$4,1,0)</f>
        <v>1</v>
      </c>
      <c r="K713" s="6" t="n">
        <f aca="false">IF(F713&gt;$P$6,1,0)</f>
        <v>0</v>
      </c>
      <c r="L713" s="6" t="n">
        <f aca="false">IF(G713&gt;$P$9,1,0)</f>
        <v>1</v>
      </c>
      <c r="M713" s="6" t="n">
        <f aca="false">IF(ABS(H713)&gt;$P$8,1,0)</f>
        <v>0</v>
      </c>
    </row>
    <row r="714" customFormat="false" ht="15" hidden="false" customHeight="false" outlineLevel="0" collapsed="false">
      <c r="A714" s="0" t="n">
        <f aca="false">ROW()-1</f>
        <v>713</v>
      </c>
      <c r="B714" s="22" t="n">
        <f aca="false">SUMPRODUCT(MMULT('Analysis Data'!N714:U714,'Final Model'!$B$59:$I$66),'Analysis Data'!N714:U714)</f>
        <v>0.0149937725152252</v>
      </c>
      <c r="C714" s="15" t="n">
        <f aca="false">'Residual Diagnostics'!F714</f>
        <v>-78.6195681179321</v>
      </c>
      <c r="D714" s="13" t="n">
        <f aca="false">C714/('Final Model'!$B$21*SQRT(1-B714))</f>
        <v>-1.61559081131643</v>
      </c>
      <c r="E714" s="13" t="n">
        <f aca="false">D714*SQRT(('Final Model'!$B$24-1)/('Final Model'!$B$24-D714^2))</f>
        <v>-1.61653620009192</v>
      </c>
      <c r="F714" s="23" t="n">
        <f aca="false">D714^2/($P$3+1)*B714/(1-B714)</f>
        <v>0.00496643439712015</v>
      </c>
      <c r="G714" s="13" t="n">
        <f aca="false">($P$2-1)*(B714-1/$P$2)</f>
        <v>19.7670964343084</v>
      </c>
      <c r="H714" s="13" t="n">
        <f aca="false">E714*SQRT(B714/(1-B714))</f>
        <v>-0.199444197200015</v>
      </c>
      <c r="I714" s="13" t="n">
        <f aca="false">ABS(D714)</f>
        <v>1.61559081131643</v>
      </c>
      <c r="J714" s="6" t="n">
        <f aca="false">IF(B714&gt;$P$4,1,0)</f>
        <v>1</v>
      </c>
      <c r="K714" s="6" t="n">
        <f aca="false">IF(F714&gt;$P$6,1,0)</f>
        <v>1</v>
      </c>
      <c r="L714" s="6" t="n">
        <f aca="false">IF(G714&gt;$P$9,1,0)</f>
        <v>1</v>
      </c>
      <c r="M714" s="6" t="n">
        <f aca="false">IF(ABS(H714)&gt;$P$8,1,0)</f>
        <v>1</v>
      </c>
    </row>
    <row r="715" customFormat="false" ht="15" hidden="false" customHeight="false" outlineLevel="0" collapsed="false">
      <c r="A715" s="0" t="n">
        <f aca="false">ROW()-1</f>
        <v>714</v>
      </c>
      <c r="B715" s="22" t="n">
        <f aca="false">SUMPRODUCT(MMULT('Analysis Data'!N715:U715,'Final Model'!$B$59:$I$66),'Analysis Data'!N715:U715)</f>
        <v>0.0144210121998259</v>
      </c>
      <c r="C715" s="15" t="n">
        <f aca="false">'Residual Diagnostics'!F715</f>
        <v>-8.58467473654446</v>
      </c>
      <c r="D715" s="13" t="n">
        <f aca="false">C715/('Final Model'!$B$21*SQRT(1-B715))</f>
        <v>-0.176359287558236</v>
      </c>
      <c r="E715" s="13" t="n">
        <f aca="false">D715*SQRT(('Final Model'!$B$24-1)/('Final Model'!$B$24-D715^2))</f>
        <v>-0.176297274510182</v>
      </c>
      <c r="F715" s="23" t="n">
        <f aca="false">D715^2/($P$3+1)*B715/(1-B715)</f>
        <v>5.68867329760877E-005</v>
      </c>
      <c r="G715" s="13" t="n">
        <f aca="false">($P$2-1)*(B715-1/$P$2)</f>
        <v>18.9738233974803</v>
      </c>
      <c r="H715" s="13" t="n">
        <f aca="false">E715*SQRT(B715/(1-B715))</f>
        <v>-0.0213254278183449</v>
      </c>
      <c r="I715" s="13" t="n">
        <f aca="false">ABS(D715)</f>
        <v>0.176359287558236</v>
      </c>
      <c r="J715" s="6" t="n">
        <f aca="false">IF(B715&gt;$P$4,1,0)</f>
        <v>1</v>
      </c>
      <c r="K715" s="6" t="n">
        <f aca="false">IF(F715&gt;$P$6,1,0)</f>
        <v>0</v>
      </c>
      <c r="L715" s="6" t="n">
        <f aca="false">IF(G715&gt;$P$9,1,0)</f>
        <v>1</v>
      </c>
      <c r="M715" s="6" t="n">
        <f aca="false">IF(ABS(H715)&gt;$P$8,1,0)</f>
        <v>0</v>
      </c>
    </row>
    <row r="716" customFormat="false" ht="15" hidden="false" customHeight="false" outlineLevel="0" collapsed="false">
      <c r="A716" s="0" t="n">
        <f aca="false">ROW()-1</f>
        <v>715</v>
      </c>
      <c r="B716" s="22" t="n">
        <f aca="false">SUMPRODUCT(MMULT('Analysis Data'!N716:U716,'Final Model'!$B$59:$I$66),'Analysis Data'!N716:U716)</f>
        <v>0.0144210121998259</v>
      </c>
      <c r="C716" s="15" t="n">
        <f aca="false">'Residual Diagnostics'!F716</f>
        <v>15.651028229223</v>
      </c>
      <c r="D716" s="13" t="n">
        <f aca="false">C716/('Final Model'!$B$21*SQRT(1-B716))</f>
        <v>0.321526938732992</v>
      </c>
      <c r="E716" s="13" t="n">
        <f aca="false">D716*SQRT(('Final Model'!$B$24-1)/('Final Model'!$B$24-D716^2))</f>
        <v>0.321422310225055</v>
      </c>
      <c r="F716" s="23" t="n">
        <f aca="false">D716^2/($P$3+1)*B716/(1-B716)</f>
        <v>0.00018908150592854</v>
      </c>
      <c r="G716" s="13" t="n">
        <f aca="false">($P$2-1)*(B716-1/$P$2)</f>
        <v>18.9738233974803</v>
      </c>
      <c r="H716" s="13" t="n">
        <f aca="false">E716*SQRT(B716/(1-B716))</f>
        <v>0.0388801715452169</v>
      </c>
      <c r="I716" s="13" t="n">
        <f aca="false">ABS(D716)</f>
        <v>0.321526938732992</v>
      </c>
      <c r="J716" s="6" t="n">
        <f aca="false">IF(B716&gt;$P$4,1,0)</f>
        <v>1</v>
      </c>
      <c r="K716" s="6" t="n">
        <f aca="false">IF(F716&gt;$P$6,1,0)</f>
        <v>0</v>
      </c>
      <c r="L716" s="6" t="n">
        <f aca="false">IF(G716&gt;$P$9,1,0)</f>
        <v>1</v>
      </c>
      <c r="M716" s="6" t="n">
        <f aca="false">IF(ABS(H716)&gt;$P$8,1,0)</f>
        <v>0</v>
      </c>
    </row>
    <row r="717" customFormat="false" ht="15" hidden="false" customHeight="false" outlineLevel="0" collapsed="false">
      <c r="A717" s="0" t="n">
        <f aca="false">ROW()-1</f>
        <v>716</v>
      </c>
      <c r="B717" s="22" t="n">
        <f aca="false">SUMPRODUCT(MMULT('Analysis Data'!N717:U717,'Final Model'!$B$59:$I$66),'Analysis Data'!N717:U717)</f>
        <v>0.00243688472834053</v>
      </c>
      <c r="C717" s="15" t="n">
        <f aca="false">'Residual Diagnostics'!F717</f>
        <v>36.241007592143</v>
      </c>
      <c r="D717" s="13" t="n">
        <f aca="false">C717/('Final Model'!$B$21*SQRT(1-B717))</f>
        <v>0.740031627563535</v>
      </c>
      <c r="E717" s="13" t="n">
        <f aca="false">D717*SQRT(('Final Model'!$B$24-1)/('Final Model'!$B$24-D717^2))</f>
        <v>0.739910104973433</v>
      </c>
      <c r="F717" s="23" t="n">
        <f aca="false">D717^2/($P$3+1)*B717/(1-B717)</f>
        <v>0.000167226530191625</v>
      </c>
      <c r="G717" s="13" t="n">
        <f aca="false">($P$2-1)*(B717-1/$P$2)</f>
        <v>2.37580684947313</v>
      </c>
      <c r="H717" s="13" t="n">
        <f aca="false">E717*SQRT(B717/(1-B717))</f>
        <v>0.0365701094624179</v>
      </c>
      <c r="I717" s="13" t="n">
        <f aca="false">ABS(D717)</f>
        <v>0.740031627563535</v>
      </c>
      <c r="J717" s="6" t="n">
        <f aca="false">IF(B717&gt;$P$4,1,0)</f>
        <v>0</v>
      </c>
      <c r="K717" s="6" t="n">
        <f aca="false">IF(F717&gt;$P$6,1,0)</f>
        <v>0</v>
      </c>
      <c r="L717" s="6" t="n">
        <f aca="false">IF(G717&gt;$P$9,1,0)</f>
        <v>0</v>
      </c>
      <c r="M717" s="6" t="n">
        <f aca="false">IF(ABS(H717)&gt;$P$8,1,0)</f>
        <v>0</v>
      </c>
    </row>
    <row r="718" customFormat="false" ht="15" hidden="false" customHeight="false" outlineLevel="0" collapsed="false">
      <c r="A718" s="0" t="n">
        <f aca="false">ROW()-1</f>
        <v>717</v>
      </c>
      <c r="B718" s="22" t="n">
        <f aca="false">SUMPRODUCT(MMULT('Analysis Data'!N718:U718,'Final Model'!$B$59:$I$66),'Analysis Data'!N718:U718)</f>
        <v>0.00243688472834053</v>
      </c>
      <c r="C718" s="15" t="n">
        <f aca="false">'Residual Diagnostics'!F718</f>
        <v>-49.2938977988426</v>
      </c>
      <c r="D718" s="13" t="n">
        <f aca="false">C718/('Final Model'!$B$21*SQRT(1-B718))</f>
        <v>-1.00656813484779</v>
      </c>
      <c r="E718" s="13" t="n">
        <f aca="false">D718*SQRT(('Final Model'!$B$24-1)/('Final Model'!$B$24-D718^2))</f>
        <v>-1.00657295186648</v>
      </c>
      <c r="F718" s="23" t="n">
        <f aca="false">D718^2/($P$3+1)*B718/(1-B718)</f>
        <v>0.000309379100144377</v>
      </c>
      <c r="G718" s="13" t="n">
        <f aca="false">($P$2-1)*(B718-1/$P$2)</f>
        <v>2.37580684947313</v>
      </c>
      <c r="H718" s="13" t="n">
        <f aca="false">E718*SQRT(B718/(1-B718))</f>
        <v>-0.049749939599741</v>
      </c>
      <c r="I718" s="13" t="n">
        <f aca="false">ABS(D718)</f>
        <v>1.00656813484779</v>
      </c>
      <c r="J718" s="6" t="n">
        <f aca="false">IF(B718&gt;$P$4,1,0)</f>
        <v>0</v>
      </c>
      <c r="K718" s="6" t="n">
        <f aca="false">IF(F718&gt;$P$6,1,0)</f>
        <v>0</v>
      </c>
      <c r="L718" s="6" t="n">
        <f aca="false">IF(G718&gt;$P$9,1,0)</f>
        <v>0</v>
      </c>
      <c r="M718" s="6" t="n">
        <f aca="false">IF(ABS(H718)&gt;$P$8,1,0)</f>
        <v>0</v>
      </c>
    </row>
    <row r="719" customFormat="false" ht="15" hidden="false" customHeight="false" outlineLevel="0" collapsed="false">
      <c r="A719" s="0" t="n">
        <f aca="false">ROW()-1</f>
        <v>718</v>
      </c>
      <c r="B719" s="22" t="n">
        <f aca="false">SUMPRODUCT(MMULT('Analysis Data'!N719:U719,'Final Model'!$B$59:$I$66),'Analysis Data'!N719:U719)</f>
        <v>0.00193368861802319</v>
      </c>
      <c r="C719" s="15" t="n">
        <f aca="false">'Residual Diagnostics'!F719</f>
        <v>5.42543312401725</v>
      </c>
      <c r="D719" s="13" t="n">
        <f aca="false">C719/('Final Model'!$B$21*SQRT(1-B719))</f>
        <v>0.110757954117658</v>
      </c>
      <c r="E719" s="13" t="n">
        <f aca="false">D719*SQRT(('Final Model'!$B$24-1)/('Final Model'!$B$24-D719^2))</f>
        <v>0.110718251709949</v>
      </c>
      <c r="F719" s="23" t="n">
        <f aca="false">D719^2/($P$3+1)*B719/(1-B719)</f>
        <v>2.97089297775079E-006</v>
      </c>
      <c r="G719" s="13" t="n">
        <f aca="false">($P$2-1)*(B719-1/$P$2)</f>
        <v>1.67888023668361</v>
      </c>
      <c r="H719" s="13" t="n">
        <f aca="false">E719*SQRT(B719/(1-B719))</f>
        <v>0.00487340822088169</v>
      </c>
      <c r="I719" s="13" t="n">
        <f aca="false">ABS(D719)</f>
        <v>0.110757954117658</v>
      </c>
      <c r="J719" s="6" t="n">
        <f aca="false">IF(B719&gt;$P$4,1,0)</f>
        <v>0</v>
      </c>
      <c r="K719" s="6" t="n">
        <f aca="false">IF(F719&gt;$P$6,1,0)</f>
        <v>0</v>
      </c>
      <c r="L719" s="6" t="n">
        <f aca="false">IF(G719&gt;$P$9,1,0)</f>
        <v>0</v>
      </c>
      <c r="M719" s="6" t="n">
        <f aca="false">IF(ABS(H719)&gt;$P$8,1,0)</f>
        <v>0</v>
      </c>
    </row>
    <row r="720" customFormat="false" ht="15" hidden="false" customHeight="false" outlineLevel="0" collapsed="false">
      <c r="A720" s="0" t="n">
        <f aca="false">ROW()-1</f>
        <v>719</v>
      </c>
      <c r="B720" s="22" t="n">
        <f aca="false">SUMPRODUCT(MMULT('Analysis Data'!N720:U720,'Final Model'!$B$59:$I$66),'Analysis Data'!N720:U720)</f>
        <v>0.0019614929876262</v>
      </c>
      <c r="C720" s="15" t="n">
        <f aca="false">'Residual Diagnostics'!F720</f>
        <v>31.1977769100357</v>
      </c>
      <c r="D720" s="13" t="n">
        <f aca="false">C720/('Final Model'!$B$21*SQRT(1-B720))</f>
        <v>0.636898473596505</v>
      </c>
      <c r="E720" s="13" t="n">
        <f aca="false">D720*SQRT(('Final Model'!$B$24-1)/('Final Model'!$B$24-D720^2))</f>
        <v>0.63676106448673</v>
      </c>
      <c r="F720" s="23" t="n">
        <f aca="false">D720^2/($P$3+1)*B720/(1-B720)</f>
        <v>9.96528884060394E-005</v>
      </c>
      <c r="G720" s="13" t="n">
        <f aca="false">($P$2-1)*(B720-1/$P$2)</f>
        <v>1.71738928858379</v>
      </c>
      <c r="H720" s="13" t="n">
        <f aca="false">E720*SQRT(B720/(1-B720))</f>
        <v>0.0282290479281811</v>
      </c>
      <c r="I720" s="13" t="n">
        <f aca="false">ABS(D720)</f>
        <v>0.636898473596505</v>
      </c>
      <c r="J720" s="6" t="n">
        <f aca="false">IF(B720&gt;$P$4,1,0)</f>
        <v>0</v>
      </c>
      <c r="K720" s="6" t="n">
        <f aca="false">IF(F720&gt;$P$6,1,0)</f>
        <v>0</v>
      </c>
      <c r="L720" s="6" t="n">
        <f aca="false">IF(G720&gt;$P$9,1,0)</f>
        <v>0</v>
      </c>
      <c r="M720" s="6" t="n">
        <f aca="false">IF(ABS(H720)&gt;$P$8,1,0)</f>
        <v>0</v>
      </c>
    </row>
    <row r="721" customFormat="false" ht="15" hidden="false" customHeight="false" outlineLevel="0" collapsed="false">
      <c r="A721" s="0" t="n">
        <f aca="false">ROW()-1</f>
        <v>720</v>
      </c>
      <c r="B721" s="22" t="n">
        <f aca="false">SUMPRODUCT(MMULT('Analysis Data'!N721:U721,'Final Model'!$B$59:$I$66),'Analysis Data'!N721:U721)</f>
        <v>0.0020238731981182</v>
      </c>
      <c r="C721" s="15" t="n">
        <f aca="false">'Residual Diagnostics'!F721</f>
        <v>-44.9548645209723</v>
      </c>
      <c r="D721" s="13" t="n">
        <f aca="false">C721/('Final Model'!$B$21*SQRT(1-B721))</f>
        <v>-0.9177762729383</v>
      </c>
      <c r="E721" s="13" t="n">
        <f aca="false">D721*SQRT(('Final Model'!$B$24-1)/('Final Model'!$B$24-D721^2))</f>
        <v>-0.917723728023536</v>
      </c>
      <c r="F721" s="23" t="n">
        <f aca="false">D721^2/($P$3+1)*B721/(1-B721)</f>
        <v>0.000213524056404811</v>
      </c>
      <c r="G721" s="13" t="n">
        <f aca="false">($P$2-1)*(B721-1/$P$2)</f>
        <v>1.8037858801152</v>
      </c>
      <c r="H721" s="13" t="n">
        <f aca="false">E721*SQRT(B721/(1-B721))</f>
        <v>-0.0413279186570829</v>
      </c>
      <c r="I721" s="13" t="n">
        <f aca="false">ABS(D721)</f>
        <v>0.9177762729383</v>
      </c>
      <c r="J721" s="6" t="n">
        <f aca="false">IF(B721&gt;$P$4,1,0)</f>
        <v>0</v>
      </c>
      <c r="K721" s="6" t="n">
        <f aca="false">IF(F721&gt;$P$6,1,0)</f>
        <v>0</v>
      </c>
      <c r="L721" s="6" t="n">
        <f aca="false">IF(G721&gt;$P$9,1,0)</f>
        <v>0</v>
      </c>
      <c r="M721" s="6" t="n">
        <f aca="false">IF(ABS(H721)&gt;$P$8,1,0)</f>
        <v>0</v>
      </c>
    </row>
    <row r="722" customFormat="false" ht="15" hidden="false" customHeight="false" outlineLevel="0" collapsed="false">
      <c r="A722" s="0" t="n">
        <f aca="false">ROW()-1</f>
        <v>721</v>
      </c>
      <c r="B722" s="22" t="n">
        <f aca="false">SUMPRODUCT(MMULT('Analysis Data'!N722:U722,'Final Model'!$B$59:$I$66),'Analysis Data'!N722:U722)</f>
        <v>0.00294236470340294</v>
      </c>
      <c r="C722" s="15" t="n">
        <f aca="false">'Residual Diagnostics'!F722</f>
        <v>35.502883801223</v>
      </c>
      <c r="D722" s="13" t="n">
        <f aca="false">C722/('Final Model'!$B$21*SQRT(1-B722))</f>
        <v>0.725143081918662</v>
      </c>
      <c r="E722" s="13" t="n">
        <f aca="false">D722*SQRT(('Final Model'!$B$24-1)/('Final Model'!$B$24-D722^2))</f>
        <v>0.725018263285683</v>
      </c>
      <c r="F722" s="23" t="n">
        <f aca="false">D722^2/($P$3+1)*B722/(1-B722)</f>
        <v>0.000193969598836767</v>
      </c>
      <c r="G722" s="13" t="n">
        <f aca="false">($P$2-1)*(B722-1/$P$2)</f>
        <v>3.07589661493458</v>
      </c>
      <c r="H722" s="13" t="n">
        <f aca="false">E722*SQRT(B722/(1-B722))</f>
        <v>0.0393855637249157</v>
      </c>
      <c r="I722" s="13" t="n">
        <f aca="false">ABS(D722)</f>
        <v>0.725143081918662</v>
      </c>
      <c r="J722" s="6" t="n">
        <f aca="false">IF(B722&gt;$P$4,1,0)</f>
        <v>0</v>
      </c>
      <c r="K722" s="6" t="n">
        <f aca="false">IF(F722&gt;$P$6,1,0)</f>
        <v>0</v>
      </c>
      <c r="L722" s="6" t="n">
        <f aca="false">IF(G722&gt;$P$9,1,0)</f>
        <v>0</v>
      </c>
      <c r="M722" s="6" t="n">
        <f aca="false">IF(ABS(H722)&gt;$P$8,1,0)</f>
        <v>0</v>
      </c>
    </row>
    <row r="723" customFormat="false" ht="15" hidden="false" customHeight="false" outlineLevel="0" collapsed="false">
      <c r="A723" s="0" t="n">
        <f aca="false">ROW()-1</f>
        <v>722</v>
      </c>
      <c r="B723" s="22" t="n">
        <f aca="false">SUMPRODUCT(MMULT('Analysis Data'!N723:U723,'Final Model'!$B$59:$I$66),'Analysis Data'!N723:U723)</f>
        <v>0.00294236470340294</v>
      </c>
      <c r="C723" s="15" t="n">
        <f aca="false">'Residual Diagnostics'!F723</f>
        <v>-26.3942847681482</v>
      </c>
      <c r="D723" s="13" t="n">
        <f aca="false">C723/('Final Model'!$B$21*SQRT(1-B723))</f>
        <v>-0.539100798373862</v>
      </c>
      <c r="E723" s="13" t="n">
        <f aca="false">D723*SQRT(('Final Model'!$B$24-1)/('Final Model'!$B$24-D723^2))</f>
        <v>-0.53896199139535</v>
      </c>
      <c r="F723" s="23" t="n">
        <f aca="false">D723^2/($P$3+1)*B723/(1-B723)</f>
        <v>0.000107207754957257</v>
      </c>
      <c r="G723" s="13" t="n">
        <f aca="false">($P$2-1)*(B723-1/$P$2)</f>
        <v>3.07589661493458</v>
      </c>
      <c r="H723" s="13" t="n">
        <f aca="false">E723*SQRT(B723/(1-B723))</f>
        <v>-0.0292783270882167</v>
      </c>
      <c r="I723" s="13" t="n">
        <f aca="false">ABS(D723)</f>
        <v>0.539100798373862</v>
      </c>
      <c r="J723" s="6" t="n">
        <f aca="false">IF(B723&gt;$P$4,1,0)</f>
        <v>0</v>
      </c>
      <c r="K723" s="6" t="n">
        <f aca="false">IF(F723&gt;$P$6,1,0)</f>
        <v>0</v>
      </c>
      <c r="L723" s="6" t="n">
        <f aca="false">IF(G723&gt;$P$9,1,0)</f>
        <v>0</v>
      </c>
      <c r="M723" s="6" t="n">
        <f aca="false">IF(ABS(H723)&gt;$P$8,1,0)</f>
        <v>0</v>
      </c>
    </row>
    <row r="724" customFormat="false" ht="15" hidden="false" customHeight="false" outlineLevel="0" collapsed="false">
      <c r="A724" s="0" t="n">
        <f aca="false">ROW()-1</f>
        <v>723</v>
      </c>
      <c r="B724" s="22" t="n">
        <f aca="false">SUMPRODUCT(MMULT('Analysis Data'!N724:U724,'Final Model'!$B$59:$I$66),'Analysis Data'!N724:U724)</f>
        <v>0.0034439512070608</v>
      </c>
      <c r="C724" s="15" t="n">
        <f aca="false">'Residual Diagnostics'!F724</f>
        <v>25.9511744727067</v>
      </c>
      <c r="D724" s="13" t="n">
        <f aca="false">C724/('Final Model'!$B$21*SQRT(1-B724))</f>
        <v>0.530183687680689</v>
      </c>
      <c r="E724" s="13" t="n">
        <f aca="false">D724*SQRT(('Final Model'!$B$24-1)/('Final Model'!$B$24-D724^2))</f>
        <v>0.530045342487778</v>
      </c>
      <c r="F724" s="23" t="n">
        <f aca="false">D724^2/($P$3+1)*B724/(1-B724)</f>
        <v>0.000121427763588044</v>
      </c>
      <c r="G724" s="13" t="n">
        <f aca="false">($P$2-1)*(B724-1/$P$2)</f>
        <v>3.77059392250071</v>
      </c>
      <c r="H724" s="13" t="n">
        <f aca="false">E724*SQRT(B724/(1-B724))</f>
        <v>0.031159512392149</v>
      </c>
      <c r="I724" s="13" t="n">
        <f aca="false">ABS(D724)</f>
        <v>0.530183687680689</v>
      </c>
      <c r="J724" s="6" t="n">
        <f aca="false">IF(B724&gt;$P$4,1,0)</f>
        <v>0</v>
      </c>
      <c r="K724" s="6" t="n">
        <f aca="false">IF(F724&gt;$P$6,1,0)</f>
        <v>0</v>
      </c>
      <c r="L724" s="6" t="n">
        <f aca="false">IF(G724&gt;$P$9,1,0)</f>
        <v>0</v>
      </c>
      <c r="M724" s="6" t="n">
        <f aca="false">IF(ABS(H724)&gt;$P$8,1,0)</f>
        <v>0</v>
      </c>
    </row>
    <row r="725" customFormat="false" ht="15" hidden="false" customHeight="false" outlineLevel="0" collapsed="false">
      <c r="A725" s="0" t="n">
        <f aca="false">ROW()-1</f>
        <v>724</v>
      </c>
      <c r="B725" s="22" t="n">
        <f aca="false">SUMPRODUCT(MMULT('Analysis Data'!N725:U725,'Final Model'!$B$59:$I$66),'Analysis Data'!N725:U725)</f>
        <v>0.00239143065804752</v>
      </c>
      <c r="C725" s="15" t="n">
        <f aca="false">'Residual Diagnostics'!F725</f>
        <v>60.918689950342</v>
      </c>
      <c r="D725" s="13" t="n">
        <f aca="false">C725/('Final Model'!$B$21*SQRT(1-B725))</f>
        <v>1.2439149247139</v>
      </c>
      <c r="E725" s="13" t="n">
        <f aca="false">D725*SQRT(('Final Model'!$B$24-1)/('Final Model'!$B$24-D725^2))</f>
        <v>1.24416221154795</v>
      </c>
      <c r="F725" s="23" t="n">
        <f aca="false">D725^2/($P$3+1)*B725/(1-B725)</f>
        <v>0.000463648641631424</v>
      </c>
      <c r="G725" s="13" t="n">
        <f aca="false">($P$2-1)*(B725-1/$P$2)</f>
        <v>2.31285296211731</v>
      </c>
      <c r="H725" s="13" t="n">
        <f aca="false">E725*SQRT(B725/(1-B725))</f>
        <v>0.0609152200410244</v>
      </c>
      <c r="I725" s="13" t="n">
        <f aca="false">ABS(D725)</f>
        <v>1.2439149247139</v>
      </c>
      <c r="J725" s="6" t="n">
        <f aca="false">IF(B725&gt;$P$4,1,0)</f>
        <v>0</v>
      </c>
      <c r="K725" s="6" t="n">
        <f aca="false">IF(F725&gt;$P$6,1,0)</f>
        <v>0</v>
      </c>
      <c r="L725" s="6" t="n">
        <f aca="false">IF(G725&gt;$P$9,1,0)</f>
        <v>0</v>
      </c>
      <c r="M725" s="6" t="n">
        <f aca="false">IF(ABS(H725)&gt;$P$8,1,0)</f>
        <v>0</v>
      </c>
    </row>
    <row r="726" customFormat="false" ht="15" hidden="false" customHeight="false" outlineLevel="0" collapsed="false">
      <c r="A726" s="0" t="n">
        <f aca="false">ROW()-1</f>
        <v>725</v>
      </c>
      <c r="B726" s="22" t="n">
        <f aca="false">SUMPRODUCT(MMULT('Analysis Data'!N726:U726,'Final Model'!$B$59:$I$66),'Analysis Data'!N726:U726)</f>
        <v>0.002073759353771</v>
      </c>
      <c r="C726" s="15" t="n">
        <f aca="false">'Residual Diagnostics'!F726</f>
        <v>-46.2614120166061</v>
      </c>
      <c r="D726" s="13" t="n">
        <f aca="false">C726/('Final Model'!$B$21*SQRT(1-B726))</f>
        <v>-0.944473706354856</v>
      </c>
      <c r="E726" s="13" t="n">
        <f aca="false">D726*SQRT(('Final Model'!$B$24-1)/('Final Model'!$B$24-D726^2))</f>
        <v>-0.944436680835611</v>
      </c>
      <c r="F726" s="23" t="n">
        <f aca="false">D726^2/($P$3+1)*B726/(1-B726)</f>
        <v>0.000231712611603616</v>
      </c>
      <c r="G726" s="13" t="n">
        <f aca="false">($P$2-1)*(B726-1/$P$2)</f>
        <v>1.87287820569434</v>
      </c>
      <c r="H726" s="13" t="n">
        <f aca="false">E726*SQRT(B726/(1-B726))</f>
        <v>-0.0430529390063951</v>
      </c>
      <c r="I726" s="13" t="n">
        <f aca="false">ABS(D726)</f>
        <v>0.944473706354856</v>
      </c>
      <c r="J726" s="6" t="n">
        <f aca="false">IF(B726&gt;$P$4,1,0)</f>
        <v>0</v>
      </c>
      <c r="K726" s="6" t="n">
        <f aca="false">IF(F726&gt;$P$6,1,0)</f>
        <v>0</v>
      </c>
      <c r="L726" s="6" t="n">
        <f aca="false">IF(G726&gt;$P$9,1,0)</f>
        <v>0</v>
      </c>
      <c r="M726" s="6" t="n">
        <f aca="false">IF(ABS(H726)&gt;$P$8,1,0)</f>
        <v>0</v>
      </c>
    </row>
    <row r="727" customFormat="false" ht="15" hidden="false" customHeight="false" outlineLevel="0" collapsed="false">
      <c r="A727" s="0" t="n">
        <f aca="false">ROW()-1</f>
        <v>726</v>
      </c>
      <c r="B727" s="22" t="n">
        <f aca="false">SUMPRODUCT(MMULT('Analysis Data'!N727:U727,'Final Model'!$B$59:$I$66),'Analysis Data'!N727:U727)</f>
        <v>0.00201649506445317</v>
      </c>
      <c r="C727" s="15" t="n">
        <f aca="false">'Residual Diagnostics'!F727</f>
        <v>-38.8794648545184</v>
      </c>
      <c r="D727" s="13" t="n">
        <f aca="false">C727/('Final Model'!$B$21*SQRT(1-B727))</f>
        <v>-0.793740985015408</v>
      </c>
      <c r="E727" s="13" t="n">
        <f aca="false">D727*SQRT(('Final Model'!$B$24-1)/('Final Model'!$B$24-D727^2))</f>
        <v>-0.793634374501687</v>
      </c>
      <c r="F727" s="23" t="n">
        <f aca="false">D727^2/($P$3+1)*B727/(1-B727)</f>
        <v>0.000159126102182944</v>
      </c>
      <c r="G727" s="13" t="n">
        <f aca="false">($P$2-1)*(B727-1/$P$2)</f>
        <v>1.79356716498914</v>
      </c>
      <c r="H727" s="13" t="n">
        <f aca="false">E727*SQRT(B727/(1-B727))</f>
        <v>-0.0356744568936632</v>
      </c>
      <c r="I727" s="13" t="n">
        <f aca="false">ABS(D727)</f>
        <v>0.793740985015408</v>
      </c>
      <c r="J727" s="6" t="n">
        <f aca="false">IF(B727&gt;$P$4,1,0)</f>
        <v>0</v>
      </c>
      <c r="K727" s="6" t="n">
        <f aca="false">IF(F727&gt;$P$6,1,0)</f>
        <v>0</v>
      </c>
      <c r="L727" s="6" t="n">
        <f aca="false">IF(G727&gt;$P$9,1,0)</f>
        <v>0</v>
      </c>
      <c r="M727" s="6" t="n">
        <f aca="false">IF(ABS(H727)&gt;$P$8,1,0)</f>
        <v>0</v>
      </c>
    </row>
    <row r="728" customFormat="false" ht="15" hidden="false" customHeight="false" outlineLevel="0" collapsed="false">
      <c r="A728" s="0" t="n">
        <f aca="false">ROW()-1</f>
        <v>727</v>
      </c>
      <c r="B728" s="22" t="n">
        <f aca="false">SUMPRODUCT(MMULT('Analysis Data'!N728:U728,'Final Model'!$B$59:$I$66),'Analysis Data'!N728:U728)</f>
        <v>0.00998021351415871</v>
      </c>
      <c r="C728" s="15" t="n">
        <f aca="false">'Residual Diagnostics'!F728</f>
        <v>53.5648060024633</v>
      </c>
      <c r="D728" s="13" t="n">
        <f aca="false">C728/('Final Model'!$B$21*SQRT(1-B728))</f>
        <v>1.0979379784969</v>
      </c>
      <c r="E728" s="13" t="n">
        <f aca="false">D728*SQRT(('Final Model'!$B$24-1)/('Final Model'!$B$24-D728^2))</f>
        <v>1.09801990157431</v>
      </c>
      <c r="F728" s="23" t="n">
        <f aca="false">D728^2/($P$3+1)*B728/(1-B728)</f>
        <v>0.00151901333675797</v>
      </c>
      <c r="G728" s="13" t="n">
        <f aca="false">($P$2-1)*(B728-1/$P$2)</f>
        <v>12.8233172178313</v>
      </c>
      <c r="H728" s="13" t="n">
        <f aca="false">E728*SQRT(B728/(1-B728))</f>
        <v>0.110244819516541</v>
      </c>
      <c r="I728" s="13" t="n">
        <f aca="false">ABS(D728)</f>
        <v>1.0979379784969</v>
      </c>
      <c r="J728" s="6" t="n">
        <f aca="false">IF(B728&gt;$P$4,1,0)</f>
        <v>0</v>
      </c>
      <c r="K728" s="6" t="n">
        <f aca="false">IF(F728&gt;$P$6,1,0)</f>
        <v>0</v>
      </c>
      <c r="L728" s="6" t="n">
        <f aca="false">IF(G728&gt;$P$9,1,0)</f>
        <v>1</v>
      </c>
      <c r="M728" s="6" t="n">
        <f aca="false">IF(ABS(H728)&gt;$P$8,1,0)</f>
        <v>0</v>
      </c>
    </row>
    <row r="729" customFormat="false" ht="15" hidden="false" customHeight="false" outlineLevel="0" collapsed="false">
      <c r="A729" s="0" t="n">
        <f aca="false">ROW()-1</f>
        <v>728</v>
      </c>
      <c r="B729" s="22" t="n">
        <f aca="false">SUMPRODUCT(MMULT('Analysis Data'!N729:U729,'Final Model'!$B$59:$I$66),'Analysis Data'!N729:U729)</f>
        <v>0.0100399498030575</v>
      </c>
      <c r="C729" s="15" t="n">
        <f aca="false">'Residual Diagnostics'!F729</f>
        <v>29.2586181323226</v>
      </c>
      <c r="D729" s="13" t="n">
        <f aca="false">C729/('Final Model'!$B$21*SQRT(1-B729))</f>
        <v>0.599742996349639</v>
      </c>
      <c r="E729" s="13" t="n">
        <f aca="false">D729*SQRT(('Final Model'!$B$24-1)/('Final Model'!$B$24-D729^2))</f>
        <v>0.599603603987451</v>
      </c>
      <c r="F729" s="23" t="n">
        <f aca="false">D729^2/($P$3+1)*B729/(1-B729)</f>
        <v>0.000455988883974554</v>
      </c>
      <c r="G729" s="13" t="n">
        <f aca="false">($P$2-1)*(B729-1/$P$2)</f>
        <v>12.9060519779561</v>
      </c>
      <c r="H729" s="13" t="n">
        <f aca="false">E729*SQRT(B729/(1-B729))</f>
        <v>0.0603839016022931</v>
      </c>
      <c r="I729" s="13" t="n">
        <f aca="false">ABS(D729)</f>
        <v>0.599742996349639</v>
      </c>
      <c r="J729" s="6" t="n">
        <f aca="false">IF(B729&gt;$P$4,1,0)</f>
        <v>0</v>
      </c>
      <c r="K729" s="6" t="n">
        <f aca="false">IF(F729&gt;$P$6,1,0)</f>
        <v>0</v>
      </c>
      <c r="L729" s="6" t="n">
        <f aca="false">IF(G729&gt;$P$9,1,0)</f>
        <v>1</v>
      </c>
      <c r="M729" s="6" t="n">
        <f aca="false">IF(ABS(H729)&gt;$P$8,1,0)</f>
        <v>0</v>
      </c>
    </row>
    <row r="730" customFormat="false" ht="15" hidden="false" customHeight="false" outlineLevel="0" collapsed="false">
      <c r="A730" s="0" t="n">
        <f aca="false">ROW()-1</f>
        <v>729</v>
      </c>
      <c r="B730" s="22" t="n">
        <f aca="false">SUMPRODUCT(MMULT('Analysis Data'!N730:U730,'Final Model'!$B$59:$I$66),'Analysis Data'!N730:U730)</f>
        <v>0.00211032367819772</v>
      </c>
      <c r="C730" s="15" t="n">
        <f aca="false">'Residual Diagnostics'!F730</f>
        <v>-1.89319138703021</v>
      </c>
      <c r="D730" s="13" t="n">
        <f aca="false">C730/('Final Model'!$B$21*SQRT(1-B730))</f>
        <v>-0.0386521328859109</v>
      </c>
      <c r="E730" s="13" t="n">
        <f aca="false">D730*SQRT(('Final Model'!$B$24-1)/('Final Model'!$B$24-D730^2))</f>
        <v>-0.0386381265641027</v>
      </c>
      <c r="F730" s="23" t="n">
        <f aca="false">D730^2/($P$3+1)*B730/(1-B730)</f>
        <v>3.94933053553094E-007</v>
      </c>
      <c r="G730" s="13" t="n">
        <f aca="false">($P$2-1)*(B730-1/$P$2)</f>
        <v>1.92351979502534</v>
      </c>
      <c r="H730" s="13" t="n">
        <f aca="false">E730*SQRT(B730/(1-B730))</f>
        <v>-0.00177684412976513</v>
      </c>
      <c r="I730" s="13" t="n">
        <f aca="false">ABS(D730)</f>
        <v>0.0386521328859109</v>
      </c>
      <c r="J730" s="6" t="n">
        <f aca="false">IF(B730&gt;$P$4,1,0)</f>
        <v>0</v>
      </c>
      <c r="K730" s="6" t="n">
        <f aca="false">IF(F730&gt;$P$6,1,0)</f>
        <v>0</v>
      </c>
      <c r="L730" s="6" t="n">
        <f aca="false">IF(G730&gt;$P$9,1,0)</f>
        <v>0</v>
      </c>
      <c r="M730" s="6" t="n">
        <f aca="false">IF(ABS(H730)&gt;$P$8,1,0)</f>
        <v>0</v>
      </c>
    </row>
    <row r="731" customFormat="false" ht="15" hidden="false" customHeight="false" outlineLevel="0" collapsed="false">
      <c r="A731" s="0" t="n">
        <f aca="false">ROW()-1</f>
        <v>730</v>
      </c>
      <c r="B731" s="22" t="n">
        <f aca="false">SUMPRODUCT(MMULT('Analysis Data'!N731:U731,'Final Model'!$B$59:$I$66),'Analysis Data'!N731:U731)</f>
        <v>0.00211032367819772</v>
      </c>
      <c r="C731" s="15" t="n">
        <f aca="false">'Residual Diagnostics'!F731</f>
        <v>-29.5633144460365</v>
      </c>
      <c r="D731" s="13" t="n">
        <f aca="false">C731/('Final Model'!$B$21*SQRT(1-B731))</f>
        <v>-0.603576144675295</v>
      </c>
      <c r="E731" s="13" t="n">
        <f aca="false">D731*SQRT(('Final Model'!$B$24-1)/('Final Model'!$B$24-D731^2))</f>
        <v>-0.603436871601595</v>
      </c>
      <c r="F731" s="23" t="n">
        <f aca="false">D731^2/($P$3+1)*B731/(1-B731)</f>
        <v>9.63031934122466E-005</v>
      </c>
      <c r="G731" s="13" t="n">
        <f aca="false">($P$2-1)*(B731-1/$P$2)</f>
        <v>1.92351979502534</v>
      </c>
      <c r="H731" s="13" t="n">
        <f aca="false">E731*SQRT(B731/(1-B731))</f>
        <v>-0.0277501358977712</v>
      </c>
      <c r="I731" s="13" t="n">
        <f aca="false">ABS(D731)</f>
        <v>0.603576144675295</v>
      </c>
      <c r="J731" s="6" t="n">
        <f aca="false">IF(B731&gt;$P$4,1,0)</f>
        <v>0</v>
      </c>
      <c r="K731" s="6" t="n">
        <f aca="false">IF(F731&gt;$P$6,1,0)</f>
        <v>0</v>
      </c>
      <c r="L731" s="6" t="n">
        <f aca="false">IF(G731&gt;$P$9,1,0)</f>
        <v>0</v>
      </c>
      <c r="M731" s="6" t="n">
        <f aca="false">IF(ABS(H731)&gt;$P$8,1,0)</f>
        <v>0</v>
      </c>
    </row>
    <row r="732" customFormat="false" ht="15" hidden="false" customHeight="false" outlineLevel="0" collapsed="false">
      <c r="A732" s="0" t="n">
        <f aca="false">ROW()-1</f>
        <v>731</v>
      </c>
      <c r="B732" s="22" t="n">
        <f aca="false">SUMPRODUCT(MMULT('Analysis Data'!N732:U732,'Final Model'!$B$59:$I$66),'Analysis Data'!N732:U732)</f>
        <v>0.00211032367819772</v>
      </c>
      <c r="C732" s="15" t="n">
        <f aca="false">'Residual Diagnostics'!F732</f>
        <v>-33.0985305453935</v>
      </c>
      <c r="D732" s="13" t="n">
        <f aca="false">C732/('Final Model'!$B$21*SQRT(1-B732))</f>
        <v>-0.675752493769671</v>
      </c>
      <c r="E732" s="13" t="n">
        <f aca="false">D732*SQRT(('Final Model'!$B$24-1)/('Final Model'!$B$24-D732^2))</f>
        <v>-0.675619208628818</v>
      </c>
      <c r="F732" s="23" t="n">
        <f aca="false">D732^2/($P$3+1)*B732/(1-B732)</f>
        <v>0.000120712395746971</v>
      </c>
      <c r="G732" s="13" t="n">
        <f aca="false">($P$2-1)*(B732-1/$P$2)</f>
        <v>1.92351979502534</v>
      </c>
      <c r="H732" s="13" t="n">
        <f aca="false">E732*SQRT(B732/(1-B732))</f>
        <v>-0.0310695712126994</v>
      </c>
      <c r="I732" s="13" t="n">
        <f aca="false">ABS(D732)</f>
        <v>0.675752493769671</v>
      </c>
      <c r="J732" s="6" t="n">
        <f aca="false">IF(B732&gt;$P$4,1,0)</f>
        <v>0</v>
      </c>
      <c r="K732" s="6" t="n">
        <f aca="false">IF(F732&gt;$P$6,1,0)</f>
        <v>0</v>
      </c>
      <c r="L732" s="6" t="n">
        <f aca="false">IF(G732&gt;$P$9,1,0)</f>
        <v>0</v>
      </c>
      <c r="M732" s="6" t="n">
        <f aca="false">IF(ABS(H732)&gt;$P$8,1,0)</f>
        <v>0</v>
      </c>
    </row>
    <row r="733" customFormat="false" ht="15" hidden="false" customHeight="false" outlineLevel="0" collapsed="false">
      <c r="A733" s="0" t="n">
        <f aca="false">ROW()-1</f>
        <v>732</v>
      </c>
      <c r="B733" s="22" t="n">
        <f aca="false">SUMPRODUCT(MMULT('Analysis Data'!N733:U733,'Final Model'!$B$59:$I$66),'Analysis Data'!N733:U733)</f>
        <v>0.00193176929736135</v>
      </c>
      <c r="C733" s="15" t="n">
        <f aca="false">'Residual Diagnostics'!F733</f>
        <v>30.9925043425562</v>
      </c>
      <c r="D733" s="13" t="n">
        <f aca="false">C733/('Final Model'!$B$21*SQRT(1-B733))</f>
        <v>0.632698439908367</v>
      </c>
      <c r="E733" s="13" t="n">
        <f aca="false">D733*SQRT(('Final Model'!$B$24-1)/('Final Model'!$B$24-D733^2))</f>
        <v>0.632560712697339</v>
      </c>
      <c r="F733" s="23" t="n">
        <f aca="false">D733^2/($P$3+1)*B733/(1-B733)</f>
        <v>9.68497641874482E-005</v>
      </c>
      <c r="G733" s="13" t="n">
        <f aca="false">($P$2-1)*(B733-1/$P$2)</f>
        <v>1.67622197756697</v>
      </c>
      <c r="H733" s="13" t="n">
        <f aca="false">E733*SQRT(B733/(1-B733))</f>
        <v>0.0278291363617781</v>
      </c>
      <c r="I733" s="13" t="n">
        <f aca="false">ABS(D733)</f>
        <v>0.632698439908367</v>
      </c>
      <c r="J733" s="6" t="n">
        <f aca="false">IF(B733&gt;$P$4,1,0)</f>
        <v>0</v>
      </c>
      <c r="K733" s="6" t="n">
        <f aca="false">IF(F733&gt;$P$6,1,0)</f>
        <v>0</v>
      </c>
      <c r="L733" s="6" t="n">
        <f aca="false">IF(G733&gt;$P$9,1,0)</f>
        <v>0</v>
      </c>
      <c r="M733" s="6" t="n">
        <f aca="false">IF(ABS(H733)&gt;$P$8,1,0)</f>
        <v>0</v>
      </c>
    </row>
    <row r="734" customFormat="false" ht="15" hidden="false" customHeight="false" outlineLevel="0" collapsed="false">
      <c r="A734" s="0" t="n">
        <f aca="false">ROW()-1</f>
        <v>733</v>
      </c>
      <c r="B734" s="22" t="n">
        <f aca="false">SUMPRODUCT(MMULT('Analysis Data'!N734:U734,'Final Model'!$B$59:$I$66),'Analysis Data'!N734:U734)</f>
        <v>0.0019695096064974</v>
      </c>
      <c r="C734" s="15" t="n">
        <f aca="false">'Residual Diagnostics'!F734</f>
        <v>61.3863159310214</v>
      </c>
      <c r="D734" s="13" t="n">
        <f aca="false">C734/('Final Model'!$B$21*SQRT(1-B734))</f>
        <v>1.25319852277103</v>
      </c>
      <c r="E734" s="13" t="n">
        <f aca="false">D734*SQRT(('Final Model'!$B$24-1)/('Final Model'!$B$24-D734^2))</f>
        <v>1.25345821056625</v>
      </c>
      <c r="F734" s="23" t="n">
        <f aca="false">D734^2/($P$3+1)*B734/(1-B734)</f>
        <v>0.000387403959898733</v>
      </c>
      <c r="G734" s="13" t="n">
        <f aca="false">($P$2-1)*(B734-1/$P$2)</f>
        <v>1.7284923057204</v>
      </c>
      <c r="H734" s="13" t="n">
        <f aca="false">E734*SQRT(B734/(1-B734))</f>
        <v>0.0556822795675178</v>
      </c>
      <c r="I734" s="13" t="n">
        <f aca="false">ABS(D734)</f>
        <v>1.25319852277103</v>
      </c>
      <c r="J734" s="6" t="n">
        <f aca="false">IF(B734&gt;$P$4,1,0)</f>
        <v>0</v>
      </c>
      <c r="K734" s="6" t="n">
        <f aca="false">IF(F734&gt;$P$6,1,0)</f>
        <v>0</v>
      </c>
      <c r="L734" s="6" t="n">
        <f aca="false">IF(G734&gt;$P$9,1,0)</f>
        <v>0</v>
      </c>
      <c r="M734" s="6" t="n">
        <f aca="false">IF(ABS(H734)&gt;$P$8,1,0)</f>
        <v>0</v>
      </c>
    </row>
    <row r="735" customFormat="false" ht="15" hidden="false" customHeight="false" outlineLevel="0" collapsed="false">
      <c r="A735" s="0" t="n">
        <f aca="false">ROW()-1</f>
        <v>734</v>
      </c>
      <c r="B735" s="22" t="n">
        <f aca="false">SUMPRODUCT(MMULT('Analysis Data'!N735:U735,'Final Model'!$B$59:$I$66),'Analysis Data'!N735:U735)</f>
        <v>0.00362936282967387</v>
      </c>
      <c r="C735" s="15" t="n">
        <f aca="false">'Residual Diagnostics'!F735</f>
        <v>11.6915875085626</v>
      </c>
      <c r="D735" s="13" t="n">
        <f aca="false">C735/('Final Model'!$B$21*SQRT(1-B735))</f>
        <v>0.238881893670743</v>
      </c>
      <c r="E735" s="13" t="n">
        <f aca="false">D735*SQRT(('Final Model'!$B$24-1)/('Final Model'!$B$24-D735^2))</f>
        <v>0.23880014545528</v>
      </c>
      <c r="F735" s="23" t="n">
        <f aca="false">D735^2/($P$3+1)*B735/(1-B735)</f>
        <v>2.59827997294687E-005</v>
      </c>
      <c r="G735" s="13" t="n">
        <f aca="false">($P$2-1)*(B735-1/$P$2)</f>
        <v>4.02738901981982</v>
      </c>
      <c r="H735" s="13" t="n">
        <f aca="false">E735*SQRT(B735/(1-B735))</f>
        <v>0.0144124999991557</v>
      </c>
      <c r="I735" s="13" t="n">
        <f aca="false">ABS(D735)</f>
        <v>0.238881893670743</v>
      </c>
      <c r="J735" s="6" t="n">
        <f aca="false">IF(B735&gt;$P$4,1,0)</f>
        <v>0</v>
      </c>
      <c r="K735" s="6" t="n">
        <f aca="false">IF(F735&gt;$P$6,1,0)</f>
        <v>0</v>
      </c>
      <c r="L735" s="6" t="n">
        <f aca="false">IF(G735&gt;$P$9,1,0)</f>
        <v>0</v>
      </c>
      <c r="M735" s="6" t="n">
        <f aca="false">IF(ABS(H735)&gt;$P$8,1,0)</f>
        <v>0</v>
      </c>
    </row>
    <row r="736" customFormat="false" ht="15" hidden="false" customHeight="false" outlineLevel="0" collapsed="false">
      <c r="A736" s="0" t="n">
        <f aca="false">ROW()-1</f>
        <v>735</v>
      </c>
      <c r="B736" s="22" t="n">
        <f aca="false">SUMPRODUCT(MMULT('Analysis Data'!N736:U736,'Final Model'!$B$59:$I$66),'Analysis Data'!N736:U736)</f>
        <v>0.00334847164465055</v>
      </c>
      <c r="C736" s="15" t="n">
        <f aca="false">'Residual Diagnostics'!F736</f>
        <v>7.35743624953895</v>
      </c>
      <c r="D736" s="13" t="n">
        <f aca="false">C736/('Final Model'!$B$21*SQRT(1-B736))</f>
        <v>0.150305560684224</v>
      </c>
      <c r="E736" s="13" t="n">
        <f aca="false">D736*SQRT(('Final Model'!$B$24-1)/('Final Model'!$B$24-D736^2))</f>
        <v>0.150252244877777</v>
      </c>
      <c r="F736" s="23" t="n">
        <f aca="false">D736^2/($P$3+1)*B736/(1-B736)</f>
        <v>9.48775360247845E-006</v>
      </c>
      <c r="G736" s="13" t="n">
        <f aca="false">($P$2-1)*(B736-1/$P$2)</f>
        <v>3.63835472856251</v>
      </c>
      <c r="H736" s="13" t="n">
        <f aca="false">E736*SQRT(B736/(1-B736))</f>
        <v>0.00870908669279421</v>
      </c>
      <c r="I736" s="13" t="n">
        <f aca="false">ABS(D736)</f>
        <v>0.150305560684224</v>
      </c>
      <c r="J736" s="6" t="n">
        <f aca="false">IF(B736&gt;$P$4,1,0)</f>
        <v>0</v>
      </c>
      <c r="K736" s="6" t="n">
        <f aca="false">IF(F736&gt;$P$6,1,0)</f>
        <v>0</v>
      </c>
      <c r="L736" s="6" t="n">
        <f aca="false">IF(G736&gt;$P$9,1,0)</f>
        <v>0</v>
      </c>
      <c r="M736" s="6" t="n">
        <f aca="false">IF(ABS(H736)&gt;$P$8,1,0)</f>
        <v>0</v>
      </c>
    </row>
    <row r="737" customFormat="false" ht="15" hidden="false" customHeight="false" outlineLevel="0" collapsed="false">
      <c r="A737" s="0" t="n">
        <f aca="false">ROW()-1</f>
        <v>736</v>
      </c>
      <c r="B737" s="22" t="n">
        <f aca="false">SUMPRODUCT(MMULT('Analysis Data'!N737:U737,'Final Model'!$B$59:$I$66),'Analysis Data'!N737:U737)</f>
        <v>0.00334847164465055</v>
      </c>
      <c r="C737" s="15" t="n">
        <f aca="false">'Residual Diagnostics'!F737</f>
        <v>-9.88215767061723</v>
      </c>
      <c r="D737" s="13" t="n">
        <f aca="false">C737/('Final Model'!$B$21*SQRT(1-B737))</f>
        <v>-0.20188326464196</v>
      </c>
      <c r="E737" s="13" t="n">
        <f aca="false">D737*SQRT(('Final Model'!$B$24-1)/('Final Model'!$B$24-D737^2))</f>
        <v>-0.20181298358926</v>
      </c>
      <c r="F737" s="23" t="n">
        <f aca="false">D737^2/($P$3+1)*B737/(1-B737)</f>
        <v>1.71164596126386E-005</v>
      </c>
      <c r="G737" s="13" t="n">
        <f aca="false">($P$2-1)*(B737-1/$P$2)</f>
        <v>3.63835472856251</v>
      </c>
      <c r="H737" s="13" t="n">
        <f aca="false">E737*SQRT(B737/(1-B737))</f>
        <v>-0.011697707220548</v>
      </c>
      <c r="I737" s="13" t="n">
        <f aca="false">ABS(D737)</f>
        <v>0.20188326464196</v>
      </c>
      <c r="J737" s="6" t="n">
        <f aca="false">IF(B737&gt;$P$4,1,0)</f>
        <v>0</v>
      </c>
      <c r="K737" s="6" t="n">
        <f aca="false">IF(F737&gt;$P$6,1,0)</f>
        <v>0</v>
      </c>
      <c r="L737" s="6" t="n">
        <f aca="false">IF(G737&gt;$P$9,1,0)</f>
        <v>0</v>
      </c>
      <c r="M737" s="6" t="n">
        <f aca="false">IF(ABS(H737)&gt;$P$8,1,0)</f>
        <v>0</v>
      </c>
    </row>
    <row r="738" customFormat="false" ht="15" hidden="false" customHeight="false" outlineLevel="0" collapsed="false">
      <c r="A738" s="0" t="n">
        <f aca="false">ROW()-1</f>
        <v>737</v>
      </c>
      <c r="B738" s="22" t="n">
        <f aca="false">SUMPRODUCT(MMULT('Analysis Data'!N738:U738,'Final Model'!$B$59:$I$66),'Analysis Data'!N738:U738)</f>
        <v>0.00436946219816286</v>
      </c>
      <c r="C738" s="15" t="n">
        <f aca="false">'Residual Diagnostics'!F738</f>
        <v>42.0862730350721</v>
      </c>
      <c r="D738" s="13" t="n">
        <f aca="false">C738/('Final Model'!$B$21*SQRT(1-B738))</f>
        <v>0.860224035050826</v>
      </c>
      <c r="E738" s="13" t="n">
        <f aca="false">D738*SQRT(('Final Model'!$B$24-1)/('Final Model'!$B$24-D738^2))</f>
        <v>0.860142829841944</v>
      </c>
      <c r="F738" s="23" t="n">
        <f aca="false">D738^2/($P$3+1)*B738/(1-B738)</f>
        <v>0.000405941017793347</v>
      </c>
      <c r="G738" s="13" t="n">
        <f aca="false">($P$2-1)*(B738-1/$P$2)</f>
        <v>5.05242664517706</v>
      </c>
      <c r="H738" s="13" t="n">
        <f aca="false">E738*SQRT(B738/(1-B738))</f>
        <v>0.0569817079203547</v>
      </c>
      <c r="I738" s="13" t="n">
        <f aca="false">ABS(D738)</f>
        <v>0.860224035050826</v>
      </c>
      <c r="J738" s="6" t="n">
        <f aca="false">IF(B738&gt;$P$4,1,0)</f>
        <v>0</v>
      </c>
      <c r="K738" s="6" t="n">
        <f aca="false">IF(F738&gt;$P$6,1,0)</f>
        <v>0</v>
      </c>
      <c r="L738" s="6" t="n">
        <f aca="false">IF(G738&gt;$P$9,1,0)</f>
        <v>0</v>
      </c>
      <c r="M738" s="6" t="n">
        <f aca="false">IF(ABS(H738)&gt;$P$8,1,0)</f>
        <v>0</v>
      </c>
    </row>
    <row r="739" customFormat="false" ht="15" hidden="false" customHeight="false" outlineLevel="0" collapsed="false">
      <c r="A739" s="0" t="n">
        <f aca="false">ROW()-1</f>
        <v>738</v>
      </c>
      <c r="B739" s="22" t="n">
        <f aca="false">SUMPRODUCT(MMULT('Analysis Data'!N739:U739,'Final Model'!$B$59:$I$66),'Analysis Data'!N739:U739)</f>
        <v>0.00248448087317289</v>
      </c>
      <c r="C739" s="15" t="n">
        <f aca="false">'Residual Diagnostics'!F739</f>
        <v>-19.3178538713637</v>
      </c>
      <c r="D739" s="13" t="n">
        <f aca="false">C739/('Final Model'!$B$21*SQRT(1-B739))</f>
        <v>-0.394474791061719</v>
      </c>
      <c r="E739" s="13" t="n">
        <f aca="false">D739*SQRT(('Final Model'!$B$24-1)/('Final Model'!$B$24-D739^2))</f>
        <v>-0.39435389879082</v>
      </c>
      <c r="F739" s="23" t="n">
        <f aca="false">D739^2/($P$3+1)*B739/(1-B739)</f>
        <v>4.84467356171784E-005</v>
      </c>
      <c r="G739" s="13" t="n">
        <f aca="false">($P$2-1)*(B739-1/$P$2)</f>
        <v>2.44172751006595</v>
      </c>
      <c r="H739" s="13" t="n">
        <f aca="false">E739*SQRT(B739/(1-B739))</f>
        <v>-0.0196808629524571</v>
      </c>
      <c r="I739" s="13" t="n">
        <f aca="false">ABS(D739)</f>
        <v>0.394474791061719</v>
      </c>
      <c r="J739" s="6" t="n">
        <f aca="false">IF(B739&gt;$P$4,1,0)</f>
        <v>0</v>
      </c>
      <c r="K739" s="6" t="n">
        <f aca="false">IF(F739&gt;$P$6,1,0)</f>
        <v>0</v>
      </c>
      <c r="L739" s="6" t="n">
        <f aca="false">IF(G739&gt;$P$9,1,0)</f>
        <v>0</v>
      </c>
      <c r="M739" s="6" t="n">
        <f aca="false">IF(ABS(H739)&gt;$P$8,1,0)</f>
        <v>0</v>
      </c>
    </row>
    <row r="740" customFormat="false" ht="15" hidden="false" customHeight="false" outlineLevel="0" collapsed="false">
      <c r="A740" s="0" t="n">
        <f aca="false">ROW()-1</f>
        <v>739</v>
      </c>
      <c r="B740" s="22" t="n">
        <f aca="false">SUMPRODUCT(MMULT('Analysis Data'!N740:U740,'Final Model'!$B$59:$I$66),'Analysis Data'!N740:U740)</f>
        <v>0.00252410008089338</v>
      </c>
      <c r="C740" s="15" t="n">
        <f aca="false">'Residual Diagnostics'!F740</f>
        <v>-10.5835256608736</v>
      </c>
      <c r="D740" s="13" t="n">
        <f aca="false">C740/('Final Model'!$B$21*SQRT(1-B740))</f>
        <v>-0.216122195240649</v>
      </c>
      <c r="E740" s="13" t="n">
        <f aca="false">D740*SQRT(('Final Model'!$B$24-1)/('Final Model'!$B$24-D740^2))</f>
        <v>-0.216047423826738</v>
      </c>
      <c r="F740" s="23" t="n">
        <f aca="false">D740^2/($P$3+1)*B740/(1-B740)</f>
        <v>1.47745040927843E-005</v>
      </c>
      <c r="G740" s="13" t="n">
        <f aca="false">($P$2-1)*(B740-1/$P$2)</f>
        <v>2.49660011275883</v>
      </c>
      <c r="H740" s="13" t="n">
        <f aca="false">E740*SQRT(B740/(1-B740))</f>
        <v>-0.0108680385877369</v>
      </c>
      <c r="I740" s="13" t="n">
        <f aca="false">ABS(D740)</f>
        <v>0.216122195240649</v>
      </c>
      <c r="J740" s="6" t="n">
        <f aca="false">IF(B740&gt;$P$4,1,0)</f>
        <v>0</v>
      </c>
      <c r="K740" s="6" t="n">
        <f aca="false">IF(F740&gt;$P$6,1,0)</f>
        <v>0</v>
      </c>
      <c r="L740" s="6" t="n">
        <f aca="false">IF(G740&gt;$P$9,1,0)</f>
        <v>0</v>
      </c>
      <c r="M740" s="6" t="n">
        <f aca="false">IF(ABS(H740)&gt;$P$8,1,0)</f>
        <v>0</v>
      </c>
    </row>
    <row r="741" customFormat="false" ht="15" hidden="false" customHeight="false" outlineLevel="0" collapsed="false">
      <c r="A741" s="0" t="n">
        <f aca="false">ROW()-1</f>
        <v>740</v>
      </c>
      <c r="B741" s="22" t="n">
        <f aca="false">SUMPRODUCT(MMULT('Analysis Data'!N741:U741,'Final Model'!$B$59:$I$66),'Analysis Data'!N741:U741)</f>
        <v>0.0130316269099877</v>
      </c>
      <c r="C741" s="15" t="n">
        <f aca="false">'Residual Diagnostics'!F741</f>
        <v>-1.60229513557607</v>
      </c>
      <c r="D741" s="13" t="n">
        <f aca="false">C741/('Final Model'!$B$21*SQRT(1-B741))</f>
        <v>-0.0328935771281664</v>
      </c>
      <c r="E741" s="13" t="n">
        <f aca="false">D741*SQRT(('Final Model'!$B$24-1)/('Final Model'!$B$24-D741^2))</f>
        <v>-0.0328816526109737</v>
      </c>
      <c r="F741" s="23" t="n">
        <f aca="false">D741^2/($P$3+1)*B741/(1-B741)</f>
        <v>1.78577864230396E-006</v>
      </c>
      <c r="G741" s="13" t="n">
        <f aca="false">($P$2-1)*(B741-1/$P$2)</f>
        <v>17.0495247710545</v>
      </c>
      <c r="H741" s="13" t="n">
        <f aca="false">E741*SQRT(B741/(1-B741))</f>
        <v>-0.00377834262376197</v>
      </c>
      <c r="I741" s="13" t="n">
        <f aca="false">ABS(D741)</f>
        <v>0.0328935771281664</v>
      </c>
      <c r="J741" s="6" t="n">
        <f aca="false">IF(B741&gt;$P$4,1,0)</f>
        <v>1</v>
      </c>
      <c r="K741" s="6" t="n">
        <f aca="false">IF(F741&gt;$P$6,1,0)</f>
        <v>0</v>
      </c>
      <c r="L741" s="6" t="n">
        <f aca="false">IF(G741&gt;$P$9,1,0)</f>
        <v>1</v>
      </c>
      <c r="M741" s="6" t="n">
        <f aca="false">IF(ABS(H741)&gt;$P$8,1,0)</f>
        <v>0</v>
      </c>
    </row>
    <row r="742" customFormat="false" ht="15" hidden="false" customHeight="false" outlineLevel="0" collapsed="false">
      <c r="A742" s="0" t="n">
        <f aca="false">ROW()-1</f>
        <v>741</v>
      </c>
      <c r="B742" s="22" t="n">
        <f aca="false">SUMPRODUCT(MMULT('Analysis Data'!N742:U742,'Final Model'!$B$59:$I$66),'Analysis Data'!N742:U742)</f>
        <v>0.00570978176791696</v>
      </c>
      <c r="C742" s="15" t="n">
        <f aca="false">'Residual Diagnostics'!F742</f>
        <v>72.0778817798289</v>
      </c>
      <c r="D742" s="13" t="n">
        <f aca="false">C742/('Final Model'!$B$21*SQRT(1-B742))</f>
        <v>1.47423134364545</v>
      </c>
      <c r="E742" s="13" t="n">
        <f aca="false">D742*SQRT(('Final Model'!$B$24-1)/('Final Model'!$B$24-D742^2))</f>
        <v>1.47485985036118</v>
      </c>
      <c r="F742" s="23" t="n">
        <f aca="false">D742^2/($P$3+1)*B742/(1-B742)</f>
        <v>0.00156008275648372</v>
      </c>
      <c r="G742" s="13" t="n">
        <f aca="false">($P$2-1)*(B742-1/$P$2)</f>
        <v>6.90876924928649</v>
      </c>
      <c r="H742" s="13" t="n">
        <f aca="false">E742*SQRT(B742/(1-B742))</f>
        <v>0.111764511550434</v>
      </c>
      <c r="I742" s="13" t="n">
        <f aca="false">ABS(D742)</f>
        <v>1.47423134364545</v>
      </c>
      <c r="J742" s="6" t="n">
        <f aca="false">IF(B742&gt;$P$4,1,0)</f>
        <v>0</v>
      </c>
      <c r="K742" s="6" t="n">
        <f aca="false">IF(F742&gt;$P$6,1,0)</f>
        <v>0</v>
      </c>
      <c r="L742" s="6" t="n">
        <f aca="false">IF(G742&gt;$P$9,1,0)</f>
        <v>0</v>
      </c>
      <c r="M742" s="6" t="n">
        <f aca="false">IF(ABS(H742)&gt;$P$8,1,0)</f>
        <v>0</v>
      </c>
    </row>
    <row r="743" customFormat="false" ht="15" hidden="false" customHeight="false" outlineLevel="0" collapsed="false">
      <c r="A743" s="0" t="n">
        <f aca="false">ROW()-1</f>
        <v>742</v>
      </c>
      <c r="B743" s="22" t="n">
        <f aca="false">SUMPRODUCT(MMULT('Analysis Data'!N743:U743,'Final Model'!$B$59:$I$66),'Analysis Data'!N743:U743)</f>
        <v>0.00570978176791696</v>
      </c>
      <c r="C743" s="15" t="n">
        <f aca="false">'Residual Diagnostics'!F743</f>
        <v>33.3438560173353</v>
      </c>
      <c r="D743" s="13" t="n">
        <f aca="false">C743/('Final Model'!$B$21*SQRT(1-B743))</f>
        <v>0.681992262326906</v>
      </c>
      <c r="E743" s="13" t="n">
        <f aca="false">D743*SQRT(('Final Model'!$B$24-1)/('Final Model'!$B$24-D743^2))</f>
        <v>0.68185984320898</v>
      </c>
      <c r="F743" s="23" t="n">
        <f aca="false">D743^2/($P$3+1)*B743/(1-B743)</f>
        <v>0.000333868349573164</v>
      </c>
      <c r="G743" s="13" t="n">
        <f aca="false">($P$2-1)*(B743-1/$P$2)</f>
        <v>6.90876924928649</v>
      </c>
      <c r="H743" s="13" t="n">
        <f aca="false">E743*SQRT(B743/(1-B743))</f>
        <v>0.0516711688255972</v>
      </c>
      <c r="I743" s="13" t="n">
        <f aca="false">ABS(D743)</f>
        <v>0.681992262326906</v>
      </c>
      <c r="J743" s="6" t="n">
        <f aca="false">IF(B743&gt;$P$4,1,0)</f>
        <v>0</v>
      </c>
      <c r="K743" s="6" t="n">
        <f aca="false">IF(F743&gt;$P$6,1,0)</f>
        <v>0</v>
      </c>
      <c r="L743" s="6" t="n">
        <f aca="false">IF(G743&gt;$P$9,1,0)</f>
        <v>0</v>
      </c>
      <c r="M743" s="6" t="n">
        <f aca="false">IF(ABS(H743)&gt;$P$8,1,0)</f>
        <v>0</v>
      </c>
    </row>
    <row r="744" customFormat="false" ht="15" hidden="false" customHeight="false" outlineLevel="0" collapsed="false">
      <c r="A744" s="0" t="n">
        <f aca="false">ROW()-1</f>
        <v>743</v>
      </c>
      <c r="B744" s="22" t="n">
        <f aca="false">SUMPRODUCT(MMULT('Analysis Data'!N744:U744,'Final Model'!$B$59:$I$66),'Analysis Data'!N744:U744)</f>
        <v>0.00586005881833002</v>
      </c>
      <c r="C744" s="15" t="n">
        <f aca="false">'Residual Diagnostics'!F744</f>
        <v>49.7657051835959</v>
      </c>
      <c r="D744" s="13" t="n">
        <f aca="false">C744/('Final Model'!$B$21*SQRT(1-B744))</f>
        <v>1.01795038254363</v>
      </c>
      <c r="E744" s="13" t="n">
        <f aca="false">D744*SQRT(('Final Model'!$B$24-1)/('Final Model'!$B$24-D744^2))</f>
        <v>1.01796377176846</v>
      </c>
      <c r="F744" s="23" t="n">
        <f aca="false">D744^2/($P$3+1)*B744/(1-B744)</f>
        <v>0.000763515196390123</v>
      </c>
      <c r="G744" s="13" t="n">
        <f aca="false">($P$2-1)*(B744-1/$P$2)</f>
        <v>7.11690296410857</v>
      </c>
      <c r="H744" s="13" t="n">
        <f aca="false">E744*SQRT(B744/(1-B744))</f>
        <v>0.0781555004712099</v>
      </c>
      <c r="I744" s="13" t="n">
        <f aca="false">ABS(D744)</f>
        <v>1.01795038254363</v>
      </c>
      <c r="J744" s="6" t="n">
        <f aca="false">IF(B744&gt;$P$4,1,0)</f>
        <v>0</v>
      </c>
      <c r="K744" s="6" t="n">
        <f aca="false">IF(F744&gt;$P$6,1,0)</f>
        <v>0</v>
      </c>
      <c r="L744" s="6" t="n">
        <f aca="false">IF(G744&gt;$P$9,1,0)</f>
        <v>0</v>
      </c>
      <c r="M744" s="6" t="n">
        <f aca="false">IF(ABS(H744)&gt;$P$8,1,0)</f>
        <v>0</v>
      </c>
    </row>
    <row r="745" customFormat="false" ht="15" hidden="false" customHeight="false" outlineLevel="0" collapsed="false">
      <c r="A745" s="0" t="n">
        <f aca="false">ROW()-1</f>
        <v>744</v>
      </c>
      <c r="B745" s="22" t="n">
        <f aca="false">SUMPRODUCT(MMULT('Analysis Data'!N745:U745,'Final Model'!$B$59:$I$66),'Analysis Data'!N745:U745)</f>
        <v>0.0113097836774825</v>
      </c>
      <c r="C745" s="15" t="n">
        <f aca="false">'Residual Diagnostics'!F745</f>
        <v>-23.639464803623</v>
      </c>
      <c r="D745" s="13" t="n">
        <f aca="false">C745/('Final Model'!$B$21*SQRT(1-B745))</f>
        <v>-0.484872697645879</v>
      </c>
      <c r="E745" s="13" t="n">
        <f aca="false">D745*SQRT(('Final Model'!$B$24-1)/('Final Model'!$B$24-D745^2))</f>
        <v>-0.484738084740107</v>
      </c>
      <c r="F745" s="23" t="n">
        <f aca="false">D745^2/($P$3+1)*B745/(1-B745)</f>
        <v>0.000336170450018065</v>
      </c>
      <c r="G745" s="13" t="n">
        <f aca="false">($P$2-1)*(B745-1/$P$2)</f>
        <v>14.6647718940348</v>
      </c>
      <c r="H745" s="13" t="n">
        <f aca="false">E745*SQRT(B745/(1-B745))</f>
        <v>-0.0518446770355927</v>
      </c>
      <c r="I745" s="13" t="n">
        <f aca="false">ABS(D745)</f>
        <v>0.484872697645879</v>
      </c>
      <c r="J745" s="6" t="n">
        <f aca="false">IF(B745&gt;$P$4,1,0)</f>
        <v>0</v>
      </c>
      <c r="K745" s="6" t="n">
        <f aca="false">IF(F745&gt;$P$6,1,0)</f>
        <v>0</v>
      </c>
      <c r="L745" s="6" t="n">
        <f aca="false">IF(G745&gt;$P$9,1,0)</f>
        <v>1</v>
      </c>
      <c r="M745" s="6" t="n">
        <f aca="false">IF(ABS(H745)&gt;$P$8,1,0)</f>
        <v>0</v>
      </c>
    </row>
    <row r="746" customFormat="false" ht="15" hidden="false" customHeight="false" outlineLevel="0" collapsed="false">
      <c r="A746" s="0" t="n">
        <f aca="false">ROW()-1</f>
        <v>745</v>
      </c>
      <c r="B746" s="22" t="n">
        <f aca="false">SUMPRODUCT(MMULT('Analysis Data'!N746:U746,'Final Model'!$B$59:$I$66),'Analysis Data'!N746:U746)</f>
        <v>0.0113097836774825</v>
      </c>
      <c r="C746" s="15" t="n">
        <f aca="false">'Residual Diagnostics'!F746</f>
        <v>-17.3364843318822</v>
      </c>
      <c r="D746" s="13" t="n">
        <f aca="false">C746/('Final Model'!$B$21*SQRT(1-B746))</f>
        <v>-0.355591295975827</v>
      </c>
      <c r="E746" s="13" t="n">
        <f aca="false">D746*SQRT(('Final Model'!$B$24-1)/('Final Model'!$B$24-D746^2))</f>
        <v>-0.355478557857598</v>
      </c>
      <c r="F746" s="23" t="n">
        <f aca="false">D746^2/($P$3+1)*B746/(1-B746)</f>
        <v>0.000180803285699928</v>
      </c>
      <c r="G746" s="13" t="n">
        <f aca="false">($P$2-1)*(B746-1/$P$2)</f>
        <v>14.6647718940348</v>
      </c>
      <c r="H746" s="13" t="n">
        <f aca="false">E746*SQRT(B746/(1-B746))</f>
        <v>-0.0380198536186537</v>
      </c>
      <c r="I746" s="13" t="n">
        <f aca="false">ABS(D746)</f>
        <v>0.355591295975827</v>
      </c>
      <c r="J746" s="6" t="n">
        <f aca="false">IF(B746&gt;$P$4,1,0)</f>
        <v>0</v>
      </c>
      <c r="K746" s="6" t="n">
        <f aca="false">IF(F746&gt;$P$6,1,0)</f>
        <v>0</v>
      </c>
      <c r="L746" s="6" t="n">
        <f aca="false">IF(G746&gt;$P$9,1,0)</f>
        <v>1</v>
      </c>
      <c r="M746" s="6" t="n">
        <f aca="false">IF(ABS(H746)&gt;$P$8,1,0)</f>
        <v>0</v>
      </c>
    </row>
    <row r="747" customFormat="false" ht="15" hidden="false" customHeight="false" outlineLevel="0" collapsed="false">
      <c r="A747" s="0" t="n">
        <f aca="false">ROW()-1</f>
        <v>746</v>
      </c>
      <c r="B747" s="22" t="n">
        <f aca="false">SUMPRODUCT(MMULT('Analysis Data'!N747:U747,'Final Model'!$B$59:$I$66),'Analysis Data'!N747:U747)</f>
        <v>0.0036446366791453</v>
      </c>
      <c r="C747" s="15" t="n">
        <f aca="false">'Residual Diagnostics'!F747</f>
        <v>33.2769286042894</v>
      </c>
      <c r="D747" s="13" t="n">
        <f aca="false">C747/('Final Model'!$B$21*SQRT(1-B747))</f>
        <v>0.67991764543682</v>
      </c>
      <c r="E747" s="13" t="n">
        <f aca="false">D747*SQRT(('Final Model'!$B$24-1)/('Final Model'!$B$24-D747^2))</f>
        <v>0.679784931989138</v>
      </c>
      <c r="F747" s="23" t="n">
        <f aca="false">D747^2/($P$3+1)*B747/(1-B747)</f>
        <v>0.000211379378261207</v>
      </c>
      <c r="G747" s="13" t="n">
        <f aca="false">($P$2-1)*(B747-1/$P$2)</f>
        <v>4.04854330133774</v>
      </c>
      <c r="H747" s="13" t="n">
        <f aca="false">E747*SQRT(B747/(1-B747))</f>
        <v>0.0411141696092652</v>
      </c>
      <c r="I747" s="13" t="n">
        <f aca="false">ABS(D747)</f>
        <v>0.67991764543682</v>
      </c>
      <c r="J747" s="6" t="n">
        <f aca="false">IF(B747&gt;$P$4,1,0)</f>
        <v>0</v>
      </c>
      <c r="K747" s="6" t="n">
        <f aca="false">IF(F747&gt;$P$6,1,0)</f>
        <v>0</v>
      </c>
      <c r="L747" s="6" t="n">
        <f aca="false">IF(G747&gt;$P$9,1,0)</f>
        <v>0</v>
      </c>
      <c r="M747" s="6" t="n">
        <f aca="false">IF(ABS(H747)&gt;$P$8,1,0)</f>
        <v>0</v>
      </c>
    </row>
    <row r="748" customFormat="false" ht="15" hidden="false" customHeight="false" outlineLevel="0" collapsed="false">
      <c r="A748" s="0" t="n">
        <f aca="false">ROW()-1</f>
        <v>747</v>
      </c>
      <c r="B748" s="22" t="n">
        <f aca="false">SUMPRODUCT(MMULT('Analysis Data'!N748:U748,'Final Model'!$B$59:$I$66),'Analysis Data'!N748:U748)</f>
        <v>0.00271399850712771</v>
      </c>
      <c r="C748" s="15" t="n">
        <f aca="false">'Residual Diagnostics'!F748</f>
        <v>88.6143362906405</v>
      </c>
      <c r="D748" s="13" t="n">
        <f aca="false">C748/('Final Model'!$B$21*SQRT(1-B748))</f>
        <v>1.80973229401119</v>
      </c>
      <c r="E748" s="13" t="n">
        <f aca="false">D748*SQRT(('Final Model'!$B$24-1)/('Final Model'!$B$24-D748^2))</f>
        <v>1.8112292029437</v>
      </c>
      <c r="F748" s="23" t="n">
        <f aca="false">D748^2/($P$3+1)*B748/(1-B748)</f>
        <v>0.00111411126875473</v>
      </c>
      <c r="G748" s="13" t="n">
        <f aca="false">($P$2-1)*(B748-1/$P$2)</f>
        <v>2.75960943309337</v>
      </c>
      <c r="H748" s="13" t="n">
        <f aca="false">E748*SQRT(B748/(1-B748))</f>
        <v>0.0944861933429627</v>
      </c>
      <c r="I748" s="13" t="n">
        <f aca="false">ABS(D748)</f>
        <v>1.80973229401119</v>
      </c>
      <c r="J748" s="6" t="n">
        <f aca="false">IF(B748&gt;$P$4,1,0)</f>
        <v>0</v>
      </c>
      <c r="K748" s="6" t="n">
        <f aca="false">IF(F748&gt;$P$6,1,0)</f>
        <v>0</v>
      </c>
      <c r="L748" s="6" t="n">
        <f aca="false">IF(G748&gt;$P$9,1,0)</f>
        <v>0</v>
      </c>
      <c r="M748" s="6" t="n">
        <f aca="false">IF(ABS(H748)&gt;$P$8,1,0)</f>
        <v>0</v>
      </c>
    </row>
    <row r="749" customFormat="false" ht="15" hidden="false" customHeight="false" outlineLevel="0" collapsed="false">
      <c r="A749" s="0" t="n">
        <f aca="false">ROW()-1</f>
        <v>748</v>
      </c>
      <c r="B749" s="22" t="n">
        <f aca="false">SUMPRODUCT(MMULT('Analysis Data'!N749:U749,'Final Model'!$B$59:$I$66),'Analysis Data'!N749:U749)</f>
        <v>0.00269628619102737</v>
      </c>
      <c r="C749" s="15" t="n">
        <f aca="false">'Residual Diagnostics'!F749</f>
        <v>27.3235112728149</v>
      </c>
      <c r="D749" s="13" t="n">
        <f aca="false">C749/('Final Model'!$B$21*SQRT(1-B749))</f>
        <v>0.558011307184795</v>
      </c>
      <c r="E749" s="13" t="n">
        <f aca="false">D749*SQRT(('Final Model'!$B$24-1)/('Final Model'!$B$24-D749^2))</f>
        <v>0.557871831669228</v>
      </c>
      <c r="F749" s="23" t="n">
        <f aca="false">D749^2/($P$3+1)*B749/(1-B749)</f>
        <v>0.000105228786658505</v>
      </c>
      <c r="G749" s="13" t="n">
        <f aca="false">($P$2-1)*(B749-1/$P$2)</f>
        <v>2.7350778752944</v>
      </c>
      <c r="H749" s="13" t="n">
        <f aca="false">E749*SQRT(B749/(1-B749))</f>
        <v>0.0290070597117332</v>
      </c>
      <c r="I749" s="13" t="n">
        <f aca="false">ABS(D749)</f>
        <v>0.558011307184795</v>
      </c>
      <c r="J749" s="6" t="n">
        <f aca="false">IF(B749&gt;$P$4,1,0)</f>
        <v>0</v>
      </c>
      <c r="K749" s="6" t="n">
        <f aca="false">IF(F749&gt;$P$6,1,0)</f>
        <v>0</v>
      </c>
      <c r="L749" s="6" t="n">
        <f aca="false">IF(G749&gt;$P$9,1,0)</f>
        <v>0</v>
      </c>
      <c r="M749" s="6" t="n">
        <f aca="false">IF(ABS(H749)&gt;$P$8,1,0)</f>
        <v>0</v>
      </c>
    </row>
    <row r="750" customFormat="false" ht="15" hidden="false" customHeight="false" outlineLevel="0" collapsed="false">
      <c r="A750" s="0" t="n">
        <f aca="false">ROW()-1</f>
        <v>749</v>
      </c>
      <c r="B750" s="22" t="n">
        <f aca="false">SUMPRODUCT(MMULT('Analysis Data'!N750:U750,'Final Model'!$B$59:$I$66),'Analysis Data'!N750:U750)</f>
        <v>0.00839179732188174</v>
      </c>
      <c r="C750" s="15" t="n">
        <f aca="false">'Residual Diagnostics'!F750</f>
        <v>58.7716896632546</v>
      </c>
      <c r="D750" s="13" t="n">
        <f aca="false">C750/('Final Model'!$B$21*SQRT(1-B750))</f>
        <v>1.20370019302439</v>
      </c>
      <c r="E750" s="13" t="n">
        <f aca="false">D750*SQRT(('Final Model'!$B$24-1)/('Final Model'!$B$24-D750^2))</f>
        <v>1.2038964407099</v>
      </c>
      <c r="F750" s="23" t="n">
        <f aca="false">D750^2/($P$3+1)*B750/(1-B750)</f>
        <v>0.00153271549869113</v>
      </c>
      <c r="G750" s="13" t="n">
        <f aca="false">($P$2-1)*(B750-1/$P$2)</f>
        <v>10.6233607915277</v>
      </c>
      <c r="H750" s="13" t="n">
        <f aca="false">E750*SQRT(B750/(1-B750))</f>
        <v>0.110750722549319</v>
      </c>
      <c r="I750" s="13" t="n">
        <f aca="false">ABS(D750)</f>
        <v>1.20370019302439</v>
      </c>
      <c r="J750" s="6" t="n">
        <f aca="false">IF(B750&gt;$P$4,1,0)</f>
        <v>0</v>
      </c>
      <c r="K750" s="6" t="n">
        <f aca="false">IF(F750&gt;$P$6,1,0)</f>
        <v>0</v>
      </c>
      <c r="L750" s="6" t="n">
        <f aca="false">IF(G750&gt;$P$9,1,0)</f>
        <v>1</v>
      </c>
      <c r="M750" s="6" t="n">
        <f aca="false">IF(ABS(H750)&gt;$P$8,1,0)</f>
        <v>0</v>
      </c>
    </row>
    <row r="751" customFormat="false" ht="15" hidden="false" customHeight="false" outlineLevel="0" collapsed="false">
      <c r="A751" s="0" t="n">
        <f aca="false">ROW()-1</f>
        <v>750</v>
      </c>
      <c r="B751" s="22" t="n">
        <f aca="false">SUMPRODUCT(MMULT('Analysis Data'!N751:U751,'Final Model'!$B$59:$I$66),'Analysis Data'!N751:U751)</f>
        <v>0.00839179732188174</v>
      </c>
      <c r="C751" s="15" t="n">
        <f aca="false">'Residual Diagnostics'!F751</f>
        <v>67.7895964559771</v>
      </c>
      <c r="D751" s="13" t="n">
        <f aca="false">C751/('Final Model'!$B$21*SQRT(1-B751))</f>
        <v>1.38839551502843</v>
      </c>
      <c r="E751" s="13" t="n">
        <f aca="false">D751*SQRT(('Final Model'!$B$24-1)/('Final Model'!$B$24-D751^2))</f>
        <v>1.38886341090212</v>
      </c>
      <c r="F751" s="23" t="n">
        <f aca="false">D751^2/($P$3+1)*B751/(1-B751)</f>
        <v>0.00203915995000041</v>
      </c>
      <c r="G751" s="13" t="n">
        <f aca="false">($P$2-1)*(B751-1/$P$2)</f>
        <v>10.6233607915277</v>
      </c>
      <c r="H751" s="13" t="n">
        <f aca="false">E751*SQRT(B751/(1-B751))</f>
        <v>0.127766493095552</v>
      </c>
      <c r="I751" s="13" t="n">
        <f aca="false">ABS(D751)</f>
        <v>1.38839551502843</v>
      </c>
      <c r="J751" s="6" t="n">
        <f aca="false">IF(B751&gt;$P$4,1,0)</f>
        <v>0</v>
      </c>
      <c r="K751" s="6" t="n">
        <f aca="false">IF(F751&gt;$P$6,1,0)</f>
        <v>0</v>
      </c>
      <c r="L751" s="6" t="n">
        <f aca="false">IF(G751&gt;$P$9,1,0)</f>
        <v>1</v>
      </c>
      <c r="M751" s="6" t="n">
        <f aca="false">IF(ABS(H751)&gt;$P$8,1,0)</f>
        <v>0</v>
      </c>
    </row>
    <row r="752" customFormat="false" ht="15" hidden="false" customHeight="false" outlineLevel="0" collapsed="false">
      <c r="A752" s="0" t="n">
        <f aca="false">ROW()-1</f>
        <v>751</v>
      </c>
      <c r="B752" s="22" t="n">
        <f aca="false">SUMPRODUCT(MMULT('Analysis Data'!N752:U752,'Final Model'!$B$59:$I$66),'Analysis Data'!N752:U752)</f>
        <v>0.0136020515876508</v>
      </c>
      <c r="C752" s="15" t="n">
        <f aca="false">'Residual Diagnostics'!F752</f>
        <v>-138.942117388944</v>
      </c>
      <c r="D752" s="13" t="n">
        <f aca="false">C752/('Final Model'!$B$21*SQRT(1-B752))</f>
        <v>-2.85317257971249</v>
      </c>
      <c r="E752" s="13" t="n">
        <f aca="false">D752*SQRT(('Final Model'!$B$24-1)/('Final Model'!$B$24-D752^2))</f>
        <v>-2.86059920519679</v>
      </c>
      <c r="F752" s="23" t="n">
        <f aca="false">D752^2/($P$3+1)*B752/(1-B752)</f>
        <v>0.0140319605016852</v>
      </c>
      <c r="G752" s="13" t="n">
        <f aca="false">($P$2-1)*(B752-1/$P$2)</f>
        <v>17.8395629496178</v>
      </c>
      <c r="H752" s="13" t="n">
        <f aca="false">E752*SQRT(B752/(1-B752))</f>
        <v>-0.335917896647515</v>
      </c>
      <c r="I752" s="13" t="n">
        <f aca="false">ABS(D752)</f>
        <v>2.85317257971249</v>
      </c>
      <c r="J752" s="6" t="n">
        <f aca="false">IF(B752&gt;$P$4,1,0)</f>
        <v>1</v>
      </c>
      <c r="K752" s="6" t="n">
        <f aca="false">IF(F752&gt;$P$6,1,0)</f>
        <v>1</v>
      </c>
      <c r="L752" s="6" t="n">
        <f aca="false">IF(G752&gt;$P$9,1,0)</f>
        <v>1</v>
      </c>
      <c r="M752" s="6" t="n">
        <f aca="false">IF(ABS(H752)&gt;$P$8,1,0)</f>
        <v>1</v>
      </c>
    </row>
    <row r="753" customFormat="false" ht="15" hidden="false" customHeight="false" outlineLevel="0" collapsed="false">
      <c r="A753" s="0" t="n">
        <f aca="false">ROW()-1</f>
        <v>752</v>
      </c>
      <c r="B753" s="22" t="n">
        <f aca="false">SUMPRODUCT(MMULT('Analysis Data'!N753:U753,'Final Model'!$B$59:$I$66),'Analysis Data'!N753:U753)</f>
        <v>0.0100049434638131</v>
      </c>
      <c r="C753" s="15" t="n">
        <f aca="false">'Residual Diagnostics'!F753</f>
        <v>65.2298869238514</v>
      </c>
      <c r="D753" s="13" t="n">
        <f aca="false">C753/('Final Model'!$B$21*SQRT(1-B753))</f>
        <v>1.33705822974006</v>
      </c>
      <c r="E753" s="13" t="n">
        <f aca="false">D753*SQRT(('Final Model'!$B$24-1)/('Final Model'!$B$24-D753^2))</f>
        <v>1.33744083173898</v>
      </c>
      <c r="F753" s="23" t="n">
        <f aca="false">D753^2/($P$3+1)*B753/(1-B753)</f>
        <v>0.00225835529827627</v>
      </c>
      <c r="G753" s="13" t="n">
        <f aca="false">($P$2-1)*(B753-1/$P$2)</f>
        <v>12.8575681981026</v>
      </c>
      <c r="H753" s="13" t="n">
        <f aca="false">E753*SQRT(B753/(1-B753))</f>
        <v>0.134451417228601</v>
      </c>
      <c r="I753" s="13" t="n">
        <f aca="false">ABS(D753)</f>
        <v>1.33705822974006</v>
      </c>
      <c r="J753" s="6" t="n">
        <f aca="false">IF(B753&gt;$P$4,1,0)</f>
        <v>0</v>
      </c>
      <c r="K753" s="6" t="n">
        <f aca="false">IF(F753&gt;$P$6,1,0)</f>
        <v>0</v>
      </c>
      <c r="L753" s="6" t="n">
        <f aca="false">IF(G753&gt;$P$9,1,0)</f>
        <v>1</v>
      </c>
      <c r="M753" s="6" t="n">
        <f aca="false">IF(ABS(H753)&gt;$P$8,1,0)</f>
        <v>0</v>
      </c>
    </row>
    <row r="754" customFormat="false" ht="15" hidden="false" customHeight="false" outlineLevel="0" collapsed="false">
      <c r="A754" s="0" t="n">
        <f aca="false">ROW()-1</f>
        <v>753</v>
      </c>
      <c r="B754" s="22" t="n">
        <f aca="false">SUMPRODUCT(MMULT('Analysis Data'!N754:U754,'Final Model'!$B$59:$I$66),'Analysis Data'!N754:U754)</f>
        <v>0.0100049434638131</v>
      </c>
      <c r="C754" s="15" t="n">
        <f aca="false">'Residual Diagnostics'!F754</f>
        <v>31.0638933265542</v>
      </c>
      <c r="D754" s="13" t="n">
        <f aca="false">C754/('Final Model'!$B$21*SQRT(1-B754))</f>
        <v>0.636736259692175</v>
      </c>
      <c r="E754" s="13" t="n">
        <f aca="false">D754*SQRT(('Final Model'!$B$24-1)/('Final Model'!$B$24-D754^2))</f>
        <v>0.636598837843452</v>
      </c>
      <c r="F754" s="23" t="n">
        <f aca="false">D754^2/($P$3+1)*B754/(1-B754)</f>
        <v>0.000512166053376912</v>
      </c>
      <c r="G754" s="13" t="n">
        <f aca="false">($P$2-1)*(B754-1/$P$2)</f>
        <v>12.8575681981026</v>
      </c>
      <c r="H754" s="13" t="n">
        <f aca="false">E754*SQRT(B754/(1-B754))</f>
        <v>0.0639965626313677</v>
      </c>
      <c r="I754" s="13" t="n">
        <f aca="false">ABS(D754)</f>
        <v>0.636736259692175</v>
      </c>
      <c r="J754" s="6" t="n">
        <f aca="false">IF(B754&gt;$P$4,1,0)</f>
        <v>0</v>
      </c>
      <c r="K754" s="6" t="n">
        <f aca="false">IF(F754&gt;$P$6,1,0)</f>
        <v>0</v>
      </c>
      <c r="L754" s="6" t="n">
        <f aca="false">IF(G754&gt;$P$9,1,0)</f>
        <v>1</v>
      </c>
      <c r="M754" s="6" t="n">
        <f aca="false">IF(ABS(H754)&gt;$P$8,1,0)</f>
        <v>0</v>
      </c>
    </row>
    <row r="755" customFormat="false" ht="15" hidden="false" customHeight="false" outlineLevel="0" collapsed="false">
      <c r="A755" s="0" t="n">
        <f aca="false">ROW()-1</f>
        <v>754</v>
      </c>
      <c r="B755" s="22" t="n">
        <f aca="false">SUMPRODUCT(MMULT('Analysis Data'!N755:U755,'Final Model'!$B$59:$I$66),'Analysis Data'!N755:U755)</f>
        <v>0.00338003823030562</v>
      </c>
      <c r="C755" s="15" t="n">
        <f aca="false">'Residual Diagnostics'!F755</f>
        <v>-59.0696013365524</v>
      </c>
      <c r="D755" s="13" t="n">
        <f aca="false">C755/('Final Model'!$B$21*SQRT(1-B755))</f>
        <v>-1.20675597492057</v>
      </c>
      <c r="E755" s="13" t="n">
        <f aca="false">D755*SQRT(('Final Model'!$B$24-1)/('Final Model'!$B$24-D755^2))</f>
        <v>-1.20695594998423</v>
      </c>
      <c r="F755" s="23" t="n">
        <f aca="false">D755^2/($P$3+1)*B755/(1-B755)</f>
        <v>0.000617363514258463</v>
      </c>
      <c r="G755" s="13" t="n">
        <f aca="false">($P$2-1)*(B755-1/$P$2)</f>
        <v>3.68207444969478</v>
      </c>
      <c r="H755" s="13" t="n">
        <f aca="false">E755*SQRT(B755/(1-B755))</f>
        <v>-0.0702890114564454</v>
      </c>
      <c r="I755" s="13" t="n">
        <f aca="false">ABS(D755)</f>
        <v>1.20675597492057</v>
      </c>
      <c r="J755" s="6" t="n">
        <f aca="false">IF(B755&gt;$P$4,1,0)</f>
        <v>0</v>
      </c>
      <c r="K755" s="6" t="n">
        <f aca="false">IF(F755&gt;$P$6,1,0)</f>
        <v>0</v>
      </c>
      <c r="L755" s="6" t="n">
        <f aca="false">IF(G755&gt;$P$9,1,0)</f>
        <v>0</v>
      </c>
      <c r="M755" s="6" t="n">
        <f aca="false">IF(ABS(H755)&gt;$P$8,1,0)</f>
        <v>0</v>
      </c>
    </row>
    <row r="756" customFormat="false" ht="15" hidden="false" customHeight="false" outlineLevel="0" collapsed="false">
      <c r="A756" s="0" t="n">
        <f aca="false">ROW()-1</f>
        <v>755</v>
      </c>
      <c r="B756" s="22" t="n">
        <f aca="false">SUMPRODUCT(MMULT('Analysis Data'!N756:U756,'Final Model'!$B$59:$I$66),'Analysis Data'!N756:U756)</f>
        <v>0.0032912125383028</v>
      </c>
      <c r="C756" s="15" t="n">
        <f aca="false">'Residual Diagnostics'!F756</f>
        <v>-7.63875426661738</v>
      </c>
      <c r="D756" s="13" t="n">
        <f aca="false">C756/('Final Model'!$B$21*SQRT(1-B756))</f>
        <v>-0.156048142868539</v>
      </c>
      <c r="E756" s="13" t="n">
        <f aca="false">D756*SQRT(('Final Model'!$B$24-1)/('Final Model'!$B$24-D756^2))</f>
        <v>-0.155992889653533</v>
      </c>
      <c r="F756" s="23" t="n">
        <f aca="false">D756^2/($P$3+1)*B756/(1-B756)</f>
        <v>1.00511293861873E-005</v>
      </c>
      <c r="G756" s="13" t="n">
        <f aca="false">($P$2-1)*(B756-1/$P$2)</f>
        <v>3.55905086627088</v>
      </c>
      <c r="H756" s="13" t="n">
        <f aca="false">E756*SQRT(B756/(1-B756))</f>
        <v>-0.00896393345742419</v>
      </c>
      <c r="I756" s="13" t="n">
        <f aca="false">ABS(D756)</f>
        <v>0.156048142868539</v>
      </c>
      <c r="J756" s="6" t="n">
        <f aca="false">IF(B756&gt;$P$4,1,0)</f>
        <v>0</v>
      </c>
      <c r="K756" s="6" t="n">
        <f aca="false">IF(F756&gt;$P$6,1,0)</f>
        <v>0</v>
      </c>
      <c r="L756" s="6" t="n">
        <f aca="false">IF(G756&gt;$P$9,1,0)</f>
        <v>0</v>
      </c>
      <c r="M756" s="6" t="n">
        <f aca="false">IF(ABS(H756)&gt;$P$8,1,0)</f>
        <v>0</v>
      </c>
    </row>
    <row r="757" customFormat="false" ht="15" hidden="false" customHeight="false" outlineLevel="0" collapsed="false">
      <c r="A757" s="0" t="n">
        <f aca="false">ROW()-1</f>
        <v>756</v>
      </c>
      <c r="B757" s="22" t="n">
        <f aca="false">SUMPRODUCT(MMULT('Analysis Data'!N757:U757,'Final Model'!$B$59:$I$66),'Analysis Data'!N757:U757)</f>
        <v>0.0032912125383028</v>
      </c>
      <c r="C757" s="15" t="n">
        <f aca="false">'Residual Diagnostics'!F757</f>
        <v>-38.8741184159658</v>
      </c>
      <c r="D757" s="13" t="n">
        <f aca="false">C757/('Final Model'!$B$21*SQRT(1-B757))</f>
        <v>-0.794139171484229</v>
      </c>
      <c r="E757" s="13" t="n">
        <f aca="false">D757*SQRT(('Final Model'!$B$24-1)/('Final Model'!$B$24-D757^2))</f>
        <v>-0.794032689736193</v>
      </c>
      <c r="F757" s="23" t="n">
        <f aca="false">D757^2/($P$3+1)*B757/(1-B757)</f>
        <v>0.000260310023578819</v>
      </c>
      <c r="G757" s="13" t="n">
        <f aca="false">($P$2-1)*(B757-1/$P$2)</f>
        <v>3.55905086627088</v>
      </c>
      <c r="H757" s="13" t="n">
        <f aca="false">E757*SQRT(B757/(1-B757))</f>
        <v>-0.0456280809312745</v>
      </c>
      <c r="I757" s="13" t="n">
        <f aca="false">ABS(D757)</f>
        <v>0.794139171484229</v>
      </c>
      <c r="J757" s="6" t="n">
        <f aca="false">IF(B757&gt;$P$4,1,0)</f>
        <v>0</v>
      </c>
      <c r="K757" s="6" t="n">
        <f aca="false">IF(F757&gt;$P$6,1,0)</f>
        <v>0</v>
      </c>
      <c r="L757" s="6" t="n">
        <f aca="false">IF(G757&gt;$P$9,1,0)</f>
        <v>0</v>
      </c>
      <c r="M757" s="6" t="n">
        <f aca="false">IF(ABS(H757)&gt;$P$8,1,0)</f>
        <v>0</v>
      </c>
    </row>
    <row r="758" customFormat="false" ht="15" hidden="false" customHeight="false" outlineLevel="0" collapsed="false">
      <c r="A758" s="0" t="n">
        <f aca="false">ROW()-1</f>
        <v>757</v>
      </c>
      <c r="B758" s="22" t="n">
        <f aca="false">SUMPRODUCT(MMULT('Analysis Data'!N758:U758,'Final Model'!$B$59:$I$66),'Analysis Data'!N758:U758)</f>
        <v>0.0032912125383028</v>
      </c>
      <c r="C758" s="15" t="n">
        <f aca="false">'Residual Diagnostics'!F758</f>
        <v>-55.1736430158304</v>
      </c>
      <c r="D758" s="13" t="n">
        <f aca="false">C758/('Final Model'!$B$21*SQRT(1-B758))</f>
        <v>-1.12711369254776</v>
      </c>
      <c r="E758" s="13" t="n">
        <f aca="false">D758*SQRT(('Final Model'!$B$24-1)/('Final Model'!$B$24-D758^2))</f>
        <v>-1.1272243678691</v>
      </c>
      <c r="F758" s="23" t="n">
        <f aca="false">D758^2/($P$3+1)*B758/(1-B758)</f>
        <v>0.000524364287895415</v>
      </c>
      <c r="G758" s="13" t="n">
        <f aca="false">($P$2-1)*(B758-1/$P$2)</f>
        <v>3.55905086627088</v>
      </c>
      <c r="H758" s="13" t="n">
        <f aca="false">E758*SQRT(B758/(1-B758))</f>
        <v>-0.0647745179130144</v>
      </c>
      <c r="I758" s="13" t="n">
        <f aca="false">ABS(D758)</f>
        <v>1.12711369254776</v>
      </c>
      <c r="J758" s="6" t="n">
        <f aca="false">IF(B758&gt;$P$4,1,0)</f>
        <v>0</v>
      </c>
      <c r="K758" s="6" t="n">
        <f aca="false">IF(F758&gt;$P$6,1,0)</f>
        <v>0</v>
      </c>
      <c r="L758" s="6" t="n">
        <f aca="false">IF(G758&gt;$P$9,1,0)</f>
        <v>0</v>
      </c>
      <c r="M758" s="6" t="n">
        <f aca="false">IF(ABS(H758)&gt;$P$8,1,0)</f>
        <v>0</v>
      </c>
    </row>
    <row r="759" customFormat="false" ht="15" hidden="false" customHeight="false" outlineLevel="0" collapsed="false">
      <c r="A759" s="0" t="n">
        <f aca="false">ROW()-1</f>
        <v>758</v>
      </c>
      <c r="B759" s="22" t="n">
        <f aca="false">SUMPRODUCT(MMULT('Analysis Data'!N759:U759,'Final Model'!$B$59:$I$66),'Analysis Data'!N759:U759)</f>
        <v>0.00267561491458716</v>
      </c>
      <c r="C759" s="15" t="n">
        <f aca="false">'Residual Diagnostics'!F759</f>
        <v>-15.6090303646448</v>
      </c>
      <c r="D759" s="13" t="n">
        <f aca="false">C759/('Final Model'!$B$21*SQRT(1-B759))</f>
        <v>-0.318770347088503</v>
      </c>
      <c r="E759" s="13" t="n">
        <f aca="false">D759*SQRT(('Final Model'!$B$24-1)/('Final Model'!$B$24-D759^2))</f>
        <v>-0.318666411506423</v>
      </c>
      <c r="F759" s="23" t="n">
        <f aca="false">D759^2/($P$3+1)*B759/(1-B759)</f>
        <v>3.40763455782964E-005</v>
      </c>
      <c r="G759" s="13" t="n">
        <f aca="false">($P$2-1)*(B759-1/$P$2)</f>
        <v>2.70644815742472</v>
      </c>
      <c r="H759" s="13" t="n">
        <f aca="false">E759*SQRT(B759/(1-B759))</f>
        <v>-0.0165055452274352</v>
      </c>
      <c r="I759" s="13" t="n">
        <f aca="false">ABS(D759)</f>
        <v>0.318770347088503</v>
      </c>
      <c r="J759" s="6" t="n">
        <f aca="false">IF(B759&gt;$P$4,1,0)</f>
        <v>0</v>
      </c>
      <c r="K759" s="6" t="n">
        <f aca="false">IF(F759&gt;$P$6,1,0)</f>
        <v>0</v>
      </c>
      <c r="L759" s="6" t="n">
        <f aca="false">IF(G759&gt;$P$9,1,0)</f>
        <v>0</v>
      </c>
      <c r="M759" s="6" t="n">
        <f aca="false">IF(ABS(H759)&gt;$P$8,1,0)</f>
        <v>0</v>
      </c>
    </row>
    <row r="760" customFormat="false" ht="15" hidden="false" customHeight="false" outlineLevel="0" collapsed="false">
      <c r="A760" s="0" t="n">
        <f aca="false">ROW()-1</f>
        <v>759</v>
      </c>
      <c r="B760" s="22" t="n">
        <f aca="false">SUMPRODUCT(MMULT('Analysis Data'!N760:U760,'Final Model'!$B$59:$I$66),'Analysis Data'!N760:U760)</f>
        <v>0.00267561491458716</v>
      </c>
      <c r="C760" s="15" t="n">
        <f aca="false">'Residual Diagnostics'!F760</f>
        <v>-21.7790591629337</v>
      </c>
      <c r="D760" s="13" t="n">
        <f aca="false">C760/('Final Model'!$B$21*SQRT(1-B760))</f>
        <v>-0.444775753935013</v>
      </c>
      <c r="E760" s="13" t="n">
        <f aca="false">D760*SQRT(('Final Model'!$B$24-1)/('Final Model'!$B$24-D760^2))</f>
        <v>-0.444646257939816</v>
      </c>
      <c r="F760" s="23" t="n">
        <f aca="false">D760^2/($P$3+1)*B760/(1-B760)</f>
        <v>6.63405995807606E-005</v>
      </c>
      <c r="G760" s="13" t="n">
        <f aca="false">($P$2-1)*(B760-1/$P$2)</f>
        <v>2.70644815742472</v>
      </c>
      <c r="H760" s="13" t="n">
        <f aca="false">E760*SQRT(B760/(1-B760))</f>
        <v>-0.0230307577317026</v>
      </c>
      <c r="I760" s="13" t="n">
        <f aca="false">ABS(D760)</f>
        <v>0.444775753935013</v>
      </c>
      <c r="J760" s="6" t="n">
        <f aca="false">IF(B760&gt;$P$4,1,0)</f>
        <v>0</v>
      </c>
      <c r="K760" s="6" t="n">
        <f aca="false">IF(F760&gt;$P$6,1,0)</f>
        <v>0</v>
      </c>
      <c r="L760" s="6" t="n">
        <f aca="false">IF(G760&gt;$P$9,1,0)</f>
        <v>0</v>
      </c>
      <c r="M760" s="6" t="n">
        <f aca="false">IF(ABS(H760)&gt;$P$8,1,0)</f>
        <v>0</v>
      </c>
    </row>
    <row r="761" customFormat="false" ht="15" hidden="false" customHeight="false" outlineLevel="0" collapsed="false">
      <c r="A761" s="0" t="n">
        <f aca="false">ROW()-1</f>
        <v>760</v>
      </c>
      <c r="B761" s="22" t="n">
        <f aca="false">SUMPRODUCT(MMULT('Analysis Data'!N761:U761,'Final Model'!$B$59:$I$66),'Analysis Data'!N761:U761)</f>
        <v>0.00576883544884717</v>
      </c>
      <c r="C761" s="15" t="n">
        <f aca="false">'Residual Diagnostics'!F761</f>
        <v>13.1433657595134</v>
      </c>
      <c r="D761" s="13" t="n">
        <f aca="false">C761/('Final Model'!$B$21*SQRT(1-B761))</f>
        <v>0.268833333042317</v>
      </c>
      <c r="E761" s="13" t="n">
        <f aca="false">D761*SQRT(('Final Model'!$B$24-1)/('Final Model'!$B$24-D761^2))</f>
        <v>0.268742817999047</v>
      </c>
      <c r="F761" s="23" t="n">
        <f aca="false">D761^2/($P$3+1)*B761/(1-B761)</f>
        <v>5.24175870608252E-005</v>
      </c>
      <c r="G761" s="13" t="n">
        <f aca="false">($P$2-1)*(B761-1/$P$2)</f>
        <v>6.99055859737483</v>
      </c>
      <c r="H761" s="13" t="n">
        <f aca="false">E761*SQRT(B761/(1-B761))</f>
        <v>0.0204709150639657</v>
      </c>
      <c r="I761" s="13" t="n">
        <f aca="false">ABS(D761)</f>
        <v>0.268833333042317</v>
      </c>
      <c r="J761" s="6" t="n">
        <f aca="false">IF(B761&gt;$P$4,1,0)</f>
        <v>0</v>
      </c>
      <c r="K761" s="6" t="n">
        <f aca="false">IF(F761&gt;$P$6,1,0)</f>
        <v>0</v>
      </c>
      <c r="L761" s="6" t="n">
        <f aca="false">IF(G761&gt;$P$9,1,0)</f>
        <v>0</v>
      </c>
      <c r="M761" s="6" t="n">
        <f aca="false">IF(ABS(H761)&gt;$P$8,1,0)</f>
        <v>0</v>
      </c>
    </row>
    <row r="762" customFormat="false" ht="15" hidden="false" customHeight="false" outlineLevel="0" collapsed="false">
      <c r="A762" s="0" t="n">
        <f aca="false">ROW()-1</f>
        <v>761</v>
      </c>
      <c r="B762" s="22" t="n">
        <f aca="false">SUMPRODUCT(MMULT('Analysis Data'!N762:U762,'Final Model'!$B$59:$I$66),'Analysis Data'!N762:U762)</f>
        <v>0.00583043837535715</v>
      </c>
      <c r="C762" s="15" t="n">
        <f aca="false">'Residual Diagnostics'!F762</f>
        <v>118.520018331798</v>
      </c>
      <c r="D762" s="13" t="n">
        <f aca="false">C762/('Final Model'!$B$21*SQRT(1-B762))</f>
        <v>2.42427391004048</v>
      </c>
      <c r="E762" s="13" t="n">
        <f aca="false">D762*SQRT(('Final Model'!$B$24-1)/('Final Model'!$B$24-D762^2))</f>
        <v>2.42857853474141</v>
      </c>
      <c r="F762" s="23" t="n">
        <f aca="false">D762^2/($P$3+1)*B762/(1-B762)</f>
        <v>0.00430838133242189</v>
      </c>
      <c r="G762" s="13" t="n">
        <f aca="false">($P$2-1)*(B762-1/$P$2)</f>
        <v>7.07587865059115</v>
      </c>
      <c r="H762" s="13" t="n">
        <f aca="false">E762*SQRT(B762/(1-B762))</f>
        <v>0.18598269034268</v>
      </c>
      <c r="I762" s="13" t="n">
        <f aca="false">ABS(D762)</f>
        <v>2.42427391004048</v>
      </c>
      <c r="J762" s="6" t="n">
        <f aca="false">IF(B762&gt;$P$4,1,0)</f>
        <v>0</v>
      </c>
      <c r="K762" s="6" t="n">
        <f aca="false">IF(F762&gt;$P$6,1,0)</f>
        <v>1</v>
      </c>
      <c r="L762" s="6" t="n">
        <f aca="false">IF(G762&gt;$P$9,1,0)</f>
        <v>0</v>
      </c>
      <c r="M762" s="6" t="n">
        <f aca="false">IF(ABS(H762)&gt;$P$8,1,0)</f>
        <v>1</v>
      </c>
    </row>
    <row r="763" customFormat="false" ht="15" hidden="false" customHeight="false" outlineLevel="0" collapsed="false">
      <c r="A763" s="0" t="n">
        <f aca="false">ROW()-1</f>
        <v>762</v>
      </c>
      <c r="B763" s="22" t="n">
        <f aca="false">SUMPRODUCT(MMULT('Analysis Data'!N763:U763,'Final Model'!$B$59:$I$66),'Analysis Data'!N763:U763)</f>
        <v>0.0137006142467267</v>
      </c>
      <c r="C763" s="15" t="n">
        <f aca="false">'Residual Diagnostics'!F763</f>
        <v>-147.298813272546</v>
      </c>
      <c r="D763" s="13" t="n">
        <f aca="false">C763/('Final Model'!$B$21*SQRT(1-B763))</f>
        <v>-3.0249282329916</v>
      </c>
      <c r="E763" s="13" t="n">
        <f aca="false">D763*SQRT(('Final Model'!$B$24-1)/('Final Model'!$B$24-D763^2))</f>
        <v>-3.03392014489358</v>
      </c>
      <c r="F763" s="23" t="n">
        <f aca="false">D763^2/($P$3+1)*B763/(1-B763)</f>
        <v>0.0158880807957061</v>
      </c>
      <c r="G763" s="13" t="n">
        <f aca="false">($P$2-1)*(B763-1/$P$2)</f>
        <v>17.9760722324379</v>
      </c>
      <c r="H763" s="13" t="n">
        <f aca="false">E763*SQRT(B763/(1-B763))</f>
        <v>-0.357577170570608</v>
      </c>
      <c r="I763" s="13" t="n">
        <f aca="false">ABS(D763)</f>
        <v>3.0249282329916</v>
      </c>
      <c r="J763" s="6" t="n">
        <f aca="false">IF(B763&gt;$P$4,1,0)</f>
        <v>1</v>
      </c>
      <c r="K763" s="6" t="n">
        <f aca="false">IF(F763&gt;$P$6,1,0)</f>
        <v>1</v>
      </c>
      <c r="L763" s="6" t="n">
        <f aca="false">IF(G763&gt;$P$9,1,0)</f>
        <v>1</v>
      </c>
      <c r="M763" s="6" t="n">
        <f aca="false">IF(ABS(H763)&gt;$P$8,1,0)</f>
        <v>1</v>
      </c>
    </row>
    <row r="764" customFormat="false" ht="15" hidden="false" customHeight="false" outlineLevel="0" collapsed="false">
      <c r="A764" s="0" t="n">
        <f aca="false">ROW()-1</f>
        <v>763</v>
      </c>
      <c r="B764" s="22" t="n">
        <f aca="false">SUMPRODUCT(MMULT('Analysis Data'!N764:U764,'Final Model'!$B$59:$I$66),'Analysis Data'!N764:U764)</f>
        <v>0.0100524782212149</v>
      </c>
      <c r="C764" s="15" t="n">
        <f aca="false">'Residual Diagnostics'!F764</f>
        <v>-14.3057139231252</v>
      </c>
      <c r="D764" s="13" t="n">
        <f aca="false">C764/('Final Model'!$B$21*SQRT(1-B764))</f>
        <v>-0.293240302235763</v>
      </c>
      <c r="E764" s="13" t="n">
        <f aca="false">D764*SQRT(('Final Model'!$B$24-1)/('Final Model'!$B$24-D764^2))</f>
        <v>-0.293143028724776</v>
      </c>
      <c r="F764" s="23" t="n">
        <f aca="false">D764^2/($P$3+1)*B764/(1-B764)</f>
        <v>0.000109148632277358</v>
      </c>
      <c r="G764" s="13" t="n">
        <f aca="false">($P$2-1)*(B764-1/$P$2)</f>
        <v>12.9234038371042</v>
      </c>
      <c r="H764" s="13" t="n">
        <f aca="false">E764*SQRT(B764/(1-B764))</f>
        <v>-0.0295399703235986</v>
      </c>
      <c r="I764" s="13" t="n">
        <f aca="false">ABS(D764)</f>
        <v>0.293240302235763</v>
      </c>
      <c r="J764" s="6" t="n">
        <f aca="false">IF(B764&gt;$P$4,1,0)</f>
        <v>0</v>
      </c>
      <c r="K764" s="6" t="n">
        <f aca="false">IF(F764&gt;$P$6,1,0)</f>
        <v>0</v>
      </c>
      <c r="L764" s="6" t="n">
        <f aca="false">IF(G764&gt;$P$9,1,0)</f>
        <v>1</v>
      </c>
      <c r="M764" s="6" t="n">
        <f aca="false">IF(ABS(H764)&gt;$P$8,1,0)</f>
        <v>0</v>
      </c>
    </row>
    <row r="765" customFormat="false" ht="15" hidden="false" customHeight="false" outlineLevel="0" collapsed="false">
      <c r="A765" s="0" t="n">
        <f aca="false">ROW()-1</f>
        <v>764</v>
      </c>
      <c r="B765" s="22" t="n">
        <f aca="false">SUMPRODUCT(MMULT('Analysis Data'!N765:U765,'Final Model'!$B$59:$I$66),'Analysis Data'!N765:U765)</f>
        <v>0.0100524782212149</v>
      </c>
      <c r="C765" s="15" t="n">
        <f aca="false">'Residual Diagnostics'!F765</f>
        <v>85.2701807733894</v>
      </c>
      <c r="D765" s="13" t="n">
        <f aca="false">C765/('Final Model'!$B$21*SQRT(1-B765))</f>
        <v>1.74787876481068</v>
      </c>
      <c r="E765" s="13" t="n">
        <f aca="false">D765*SQRT(('Final Model'!$B$24-1)/('Final Model'!$B$24-D765^2))</f>
        <v>1.74918452249278</v>
      </c>
      <c r="F765" s="23" t="n">
        <f aca="false">D765^2/($P$3+1)*B765/(1-B765)</f>
        <v>0.00387787310216558</v>
      </c>
      <c r="G765" s="13" t="n">
        <f aca="false">($P$2-1)*(B765-1/$P$2)</f>
        <v>12.9234038371042</v>
      </c>
      <c r="H765" s="13" t="n">
        <f aca="false">E765*SQRT(B765/(1-B765))</f>
        <v>0.176265009984075</v>
      </c>
      <c r="I765" s="13" t="n">
        <f aca="false">ABS(D765)</f>
        <v>1.74787876481068</v>
      </c>
      <c r="J765" s="6" t="n">
        <f aca="false">IF(B765&gt;$P$4,1,0)</f>
        <v>0</v>
      </c>
      <c r="K765" s="6" t="n">
        <f aca="false">IF(F765&gt;$P$6,1,0)</f>
        <v>1</v>
      </c>
      <c r="L765" s="6" t="n">
        <f aca="false">IF(G765&gt;$P$9,1,0)</f>
        <v>1</v>
      </c>
      <c r="M765" s="6" t="n">
        <f aca="false">IF(ABS(H765)&gt;$P$8,1,0)</f>
        <v>1</v>
      </c>
    </row>
    <row r="766" customFormat="false" ht="15" hidden="false" customHeight="false" outlineLevel="0" collapsed="false">
      <c r="A766" s="0" t="n">
        <f aca="false">ROW()-1</f>
        <v>765</v>
      </c>
      <c r="B766" s="22" t="n">
        <f aca="false">SUMPRODUCT(MMULT('Analysis Data'!N766:U766,'Final Model'!$B$59:$I$66),'Analysis Data'!N766:U766)</f>
        <v>0.00326888943661786</v>
      </c>
      <c r="C766" s="15" t="n">
        <f aca="false">'Residual Diagnostics'!F766</f>
        <v>-89.8203684110335</v>
      </c>
      <c r="D766" s="13" t="n">
        <f aca="false">C766/('Final Model'!$B$21*SQRT(1-B766))</f>
        <v>-1.83487310044071</v>
      </c>
      <c r="E766" s="13" t="n">
        <f aca="false">D766*SQRT(('Final Model'!$B$24-1)/('Final Model'!$B$24-D766^2))</f>
        <v>-1.83645200716071</v>
      </c>
      <c r="F766" s="23" t="n">
        <f aca="false">D766^2/($P$3+1)*B766/(1-B766)</f>
        <v>0.00138020723160826</v>
      </c>
      <c r="G766" s="13" t="n">
        <f aca="false">($P$2-1)*(B766-1/$P$2)</f>
        <v>3.52813337043723</v>
      </c>
      <c r="H766" s="13" t="n">
        <f aca="false">E766*SQRT(B766/(1-B766))</f>
        <v>-0.105169713809975</v>
      </c>
      <c r="I766" s="13" t="n">
        <f aca="false">ABS(D766)</f>
        <v>1.83487310044071</v>
      </c>
      <c r="J766" s="6" t="n">
        <f aca="false">IF(B766&gt;$P$4,1,0)</f>
        <v>0</v>
      </c>
      <c r="K766" s="6" t="n">
        <f aca="false">IF(F766&gt;$P$6,1,0)</f>
        <v>0</v>
      </c>
      <c r="L766" s="6" t="n">
        <f aca="false">IF(G766&gt;$P$9,1,0)</f>
        <v>0</v>
      </c>
      <c r="M766" s="6" t="n">
        <f aca="false">IF(ABS(H766)&gt;$P$8,1,0)</f>
        <v>0</v>
      </c>
    </row>
    <row r="767" customFormat="false" ht="15" hidden="false" customHeight="false" outlineLevel="0" collapsed="false">
      <c r="A767" s="0" t="n">
        <f aca="false">ROW()-1</f>
        <v>766</v>
      </c>
      <c r="B767" s="22" t="n">
        <f aca="false">SUMPRODUCT(MMULT('Analysis Data'!N767:U767,'Final Model'!$B$59:$I$66),'Analysis Data'!N767:U767)</f>
        <v>0.0293472422735772</v>
      </c>
      <c r="C767" s="15" t="n">
        <f aca="false">'Residual Diagnostics'!F767</f>
        <v>8.87016665252179</v>
      </c>
      <c r="D767" s="13" t="n">
        <f aca="false">C767/('Final Model'!$B$21*SQRT(1-B767))</f>
        <v>0.183620024855554</v>
      </c>
      <c r="E767" s="13" t="n">
        <f aca="false">D767*SQRT(('Final Model'!$B$24-1)/('Final Model'!$B$24-D767^2))</f>
        <v>0.183555632804537</v>
      </c>
      <c r="F767" s="23" t="n">
        <f aca="false">D767^2/($P$3+1)*B767/(1-B767)</f>
        <v>0.000127424665231782</v>
      </c>
      <c r="G767" s="13" t="n">
        <f aca="false">($P$2-1)*(B767-1/$P$2)</f>
        <v>39.6466520496259</v>
      </c>
      <c r="H767" s="13" t="n">
        <f aca="false">E767*SQRT(B767/(1-B767))</f>
        <v>0.0319168056156126</v>
      </c>
      <c r="I767" s="13" t="n">
        <f aca="false">ABS(D767)</f>
        <v>0.183620024855554</v>
      </c>
      <c r="J767" s="6" t="n">
        <f aca="false">IF(B767&gt;$P$4,1,0)</f>
        <v>1</v>
      </c>
      <c r="K767" s="6" t="n">
        <f aca="false">IF(F767&gt;$P$6,1,0)</f>
        <v>0</v>
      </c>
      <c r="L767" s="6" t="n">
        <f aca="false">IF(G767&gt;$P$9,1,0)</f>
        <v>1</v>
      </c>
      <c r="M767" s="6" t="n">
        <f aca="false">IF(ABS(H767)&gt;$P$8,1,0)</f>
        <v>0</v>
      </c>
    </row>
    <row r="768" customFormat="false" ht="15" hidden="false" customHeight="false" outlineLevel="0" collapsed="false">
      <c r="A768" s="0" t="n">
        <f aca="false">ROW()-1</f>
        <v>767</v>
      </c>
      <c r="B768" s="22" t="n">
        <f aca="false">SUMPRODUCT(MMULT('Analysis Data'!N768:U768,'Final Model'!$B$59:$I$66),'Analysis Data'!N768:U768)</f>
        <v>0.0293070872927475</v>
      </c>
      <c r="C768" s="15" t="n">
        <f aca="false">'Residual Diagnostics'!F768</f>
        <v>-62.7371794402428</v>
      </c>
      <c r="D768" s="13" t="n">
        <f aca="false">C768/('Final Model'!$B$21*SQRT(1-B768))</f>
        <v>-1.29868632971744</v>
      </c>
      <c r="E768" s="13" t="n">
        <f aca="false">D768*SQRT(('Final Model'!$B$24-1)/('Final Model'!$B$24-D768^2))</f>
        <v>-1.29901021993956</v>
      </c>
      <c r="F768" s="23" t="n">
        <f aca="false">D768^2/($P$3+1)*B768/(1-B768)</f>
        <v>0.00636516037213025</v>
      </c>
      <c r="G768" s="13" t="n">
        <f aca="false">($P$2-1)*(B768-1/$P$2)</f>
        <v>39.5910374011767</v>
      </c>
      <c r="H768" s="13" t="n">
        <f aca="false">E768*SQRT(B768/(1-B768))</f>
        <v>-0.22571372468635</v>
      </c>
      <c r="I768" s="13" t="n">
        <f aca="false">ABS(D768)</f>
        <v>1.29868632971744</v>
      </c>
      <c r="J768" s="6" t="n">
        <f aca="false">IF(B768&gt;$P$4,1,0)</f>
        <v>1</v>
      </c>
      <c r="K768" s="6" t="n">
        <f aca="false">IF(F768&gt;$P$6,1,0)</f>
        <v>1</v>
      </c>
      <c r="L768" s="6" t="n">
        <f aca="false">IF(G768&gt;$P$9,1,0)</f>
        <v>1</v>
      </c>
      <c r="M768" s="6" t="n">
        <f aca="false">IF(ABS(H768)&gt;$P$8,1,0)</f>
        <v>1</v>
      </c>
    </row>
    <row r="769" customFormat="false" ht="15" hidden="false" customHeight="false" outlineLevel="0" collapsed="false">
      <c r="A769" s="0" t="n">
        <f aca="false">ROW()-1</f>
        <v>768</v>
      </c>
      <c r="B769" s="22" t="n">
        <f aca="false">SUMPRODUCT(MMULT('Analysis Data'!N769:U769,'Final Model'!$B$59:$I$66),'Analysis Data'!N769:U769)</f>
        <v>0.0293070872927475</v>
      </c>
      <c r="C769" s="15" t="n">
        <f aca="false">'Residual Diagnostics'!F769</f>
        <v>40.6320634086599</v>
      </c>
      <c r="D769" s="13" t="n">
        <f aca="false">C769/('Final Model'!$B$21*SQRT(1-B769))</f>
        <v>0.841101014866324</v>
      </c>
      <c r="E769" s="13" t="n">
        <f aca="false">D769*SQRT(('Final Model'!$B$24-1)/('Final Model'!$B$24-D769^2))</f>
        <v>0.841011681485957</v>
      </c>
      <c r="F769" s="23" t="n">
        <f aca="false">D769^2/($P$3+1)*B769/(1-B769)</f>
        <v>0.00266991309951956</v>
      </c>
      <c r="G769" s="13" t="n">
        <f aca="false">($P$2-1)*(B769-1/$P$2)</f>
        <v>39.5910374011767</v>
      </c>
      <c r="H769" s="13" t="n">
        <f aca="false">E769*SQRT(B769/(1-B769))</f>
        <v>0.146132706439952</v>
      </c>
      <c r="I769" s="13" t="n">
        <f aca="false">ABS(D769)</f>
        <v>0.841101014866324</v>
      </c>
      <c r="J769" s="6" t="n">
        <f aca="false">IF(B769&gt;$P$4,1,0)</f>
        <v>1</v>
      </c>
      <c r="K769" s="6" t="n">
        <f aca="false">IF(F769&gt;$P$6,1,0)</f>
        <v>0</v>
      </c>
      <c r="L769" s="6" t="n">
        <f aca="false">IF(G769&gt;$P$9,1,0)</f>
        <v>1</v>
      </c>
      <c r="M769" s="6" t="n">
        <f aca="false">IF(ABS(H769)&gt;$P$8,1,0)</f>
        <v>0</v>
      </c>
    </row>
    <row r="770" customFormat="false" ht="15" hidden="false" customHeight="false" outlineLevel="0" collapsed="false">
      <c r="A770" s="0" t="n">
        <f aca="false">ROW()-1</f>
        <v>769</v>
      </c>
      <c r="B770" s="22" t="n">
        <f aca="false">SUMPRODUCT(MMULT('Analysis Data'!N770:U770,'Final Model'!$B$59:$I$66),'Analysis Data'!N770:U770)</f>
        <v>0.0314134591306082</v>
      </c>
      <c r="C770" s="15" t="n">
        <f aca="false">'Residual Diagnostics'!F770</f>
        <v>48.1957525478956</v>
      </c>
      <c r="D770" s="13" t="n">
        <f aca="false">C770/('Final Model'!$B$21*SQRT(1-B770))</f>
        <v>0.998756824191118</v>
      </c>
      <c r="E770" s="13" t="n">
        <f aca="false">D770*SQRT(('Final Model'!$B$24-1)/('Final Model'!$B$24-D770^2))</f>
        <v>0.9987559230605</v>
      </c>
      <c r="F770" s="23" t="n">
        <f aca="false">D770^2/($P$3+1)*B770/(1-B770)</f>
        <v>0.00404396012288911</v>
      </c>
      <c r="G770" s="13" t="n">
        <f aca="false">($P$2-1)*(B770-1/$P$2)</f>
        <v>42.5083623966138</v>
      </c>
      <c r="H770" s="13" t="n">
        <f aca="false">E770*SQRT(B770/(1-B770))</f>
        <v>0.179865568145723</v>
      </c>
      <c r="I770" s="13" t="n">
        <f aca="false">ABS(D770)</f>
        <v>0.998756824191118</v>
      </c>
      <c r="J770" s="6" t="n">
        <f aca="false">IF(B770&gt;$P$4,1,0)</f>
        <v>1</v>
      </c>
      <c r="K770" s="6" t="n">
        <f aca="false">IF(F770&gt;$P$6,1,0)</f>
        <v>1</v>
      </c>
      <c r="L770" s="6" t="n">
        <f aca="false">IF(G770&gt;$P$9,1,0)</f>
        <v>1</v>
      </c>
      <c r="M770" s="6" t="n">
        <f aca="false">IF(ABS(H770)&gt;$P$8,1,0)</f>
        <v>1</v>
      </c>
    </row>
    <row r="771" customFormat="false" ht="15" hidden="false" customHeight="false" outlineLevel="0" collapsed="false">
      <c r="A771" s="0" t="n">
        <f aca="false">ROW()-1</f>
        <v>770</v>
      </c>
      <c r="B771" s="22" t="n">
        <f aca="false">SUMPRODUCT(MMULT('Analysis Data'!N771:U771,'Final Model'!$B$59:$I$66),'Analysis Data'!N771:U771)</f>
        <v>0.0313911995853932</v>
      </c>
      <c r="C771" s="15" t="n">
        <f aca="false">'Residual Diagnostics'!F771</f>
        <v>-68.4103963136336</v>
      </c>
      <c r="D771" s="13" t="n">
        <f aca="false">C771/('Final Model'!$B$21*SQRT(1-B771))</f>
        <v>-1.41764702192182</v>
      </c>
      <c r="E771" s="13" t="n">
        <f aca="false">D771*SQRT(('Final Model'!$B$24-1)/('Final Model'!$B$24-D771^2))</f>
        <v>-1.41816707225732</v>
      </c>
      <c r="F771" s="23" t="n">
        <f aca="false">D771^2/($P$3+1)*B771/(1-B771)</f>
        <v>0.00814152450528031</v>
      </c>
      <c r="G771" s="13" t="n">
        <f aca="false">($P$2-1)*(B771-1/$P$2)</f>
        <v>42.4775329264911</v>
      </c>
      <c r="H771" s="13" t="n">
        <f aca="false">E771*SQRT(B771/(1-B771))</f>
        <v>-0.255303723163812</v>
      </c>
      <c r="I771" s="13" t="n">
        <f aca="false">ABS(D771)</f>
        <v>1.41764702192182</v>
      </c>
      <c r="J771" s="6" t="n">
        <f aca="false">IF(B771&gt;$P$4,1,0)</f>
        <v>1</v>
      </c>
      <c r="K771" s="6" t="n">
        <f aca="false">IF(F771&gt;$P$6,1,0)</f>
        <v>1</v>
      </c>
      <c r="L771" s="6" t="n">
        <f aca="false">IF(G771&gt;$P$9,1,0)</f>
        <v>1</v>
      </c>
      <c r="M771" s="6" t="n">
        <f aca="false">IF(ABS(H771)&gt;$P$8,1,0)</f>
        <v>1</v>
      </c>
    </row>
    <row r="772" customFormat="false" ht="15" hidden="false" customHeight="false" outlineLevel="0" collapsed="false">
      <c r="A772" s="0" t="n">
        <f aca="false">ROW()-1</f>
        <v>771</v>
      </c>
      <c r="B772" s="22" t="n">
        <f aca="false">SUMPRODUCT(MMULT('Analysis Data'!N772:U772,'Final Model'!$B$59:$I$66),'Analysis Data'!N772:U772)</f>
        <v>0.00239143065804752</v>
      </c>
      <c r="C772" s="15" t="n">
        <f aca="false">'Residual Diagnostics'!F772</f>
        <v>-72.9510285182304</v>
      </c>
      <c r="D772" s="13" t="n">
        <f aca="false">C772/('Final Model'!$B$21*SQRT(1-B772))</f>
        <v>-1.48960644460717</v>
      </c>
      <c r="E772" s="13" t="n">
        <f aca="false">D772*SQRT(('Final Model'!$B$24-1)/('Final Model'!$B$24-D772^2))</f>
        <v>-1.49026618622132</v>
      </c>
      <c r="F772" s="23" t="n">
        <f aca="false">D772^2/($P$3+1)*B772/(1-B772)</f>
        <v>0.000664891406223435</v>
      </c>
      <c r="G772" s="13" t="n">
        <f aca="false">($P$2-1)*(B772-1/$P$2)</f>
        <v>2.31285296211731</v>
      </c>
      <c r="H772" s="13" t="n">
        <f aca="false">E772*SQRT(B772/(1-B772))</f>
        <v>-0.0729646759970509</v>
      </c>
      <c r="I772" s="13" t="n">
        <f aca="false">ABS(D772)</f>
        <v>1.48960644460717</v>
      </c>
      <c r="J772" s="6" t="n">
        <f aca="false">IF(B772&gt;$P$4,1,0)</f>
        <v>0</v>
      </c>
      <c r="K772" s="6" t="n">
        <f aca="false">IF(F772&gt;$P$6,1,0)</f>
        <v>0</v>
      </c>
      <c r="L772" s="6" t="n">
        <f aca="false">IF(G772&gt;$P$9,1,0)</f>
        <v>0</v>
      </c>
      <c r="M772" s="6" t="n">
        <f aca="false">IF(ABS(H772)&gt;$P$8,1,0)</f>
        <v>0</v>
      </c>
    </row>
    <row r="773" customFormat="false" ht="15" hidden="false" customHeight="false" outlineLevel="0" collapsed="false">
      <c r="A773" s="0" t="n">
        <f aca="false">ROW()-1</f>
        <v>772</v>
      </c>
      <c r="B773" s="22" t="n">
        <f aca="false">SUMPRODUCT(MMULT('Analysis Data'!N773:U773,'Final Model'!$B$59:$I$66),'Analysis Data'!N773:U773)</f>
        <v>0.00255753549563219</v>
      </c>
      <c r="C773" s="15" t="n">
        <f aca="false">'Residual Diagnostics'!F773</f>
        <v>-5.46057225886091</v>
      </c>
      <c r="D773" s="13" t="n">
        <f aca="false">C773/('Final Model'!$B$21*SQRT(1-B773))</f>
        <v>-0.111510160367192</v>
      </c>
      <c r="E773" s="13" t="n">
        <f aca="false">D773*SQRT(('Final Model'!$B$24-1)/('Final Model'!$B$24-D773^2))</f>
        <v>-0.111470195085221</v>
      </c>
      <c r="F773" s="23" t="n">
        <f aca="false">D773^2/($P$3+1)*B773/(1-B773)</f>
        <v>3.98540728259453E-006</v>
      </c>
      <c r="G773" s="13" t="n">
        <f aca="false">($P$2-1)*(B773-1/$P$2)</f>
        <v>2.54290816217209</v>
      </c>
      <c r="H773" s="13" t="n">
        <f aca="false">E773*SQRT(B773/(1-B773))</f>
        <v>-0.00564450249477391</v>
      </c>
      <c r="I773" s="13" t="n">
        <f aca="false">ABS(D773)</f>
        <v>0.111510160367192</v>
      </c>
      <c r="J773" s="6" t="n">
        <f aca="false">IF(B773&gt;$P$4,1,0)</f>
        <v>0</v>
      </c>
      <c r="K773" s="6" t="n">
        <f aca="false">IF(F773&gt;$P$6,1,0)</f>
        <v>0</v>
      </c>
      <c r="L773" s="6" t="n">
        <f aca="false">IF(G773&gt;$P$9,1,0)</f>
        <v>0</v>
      </c>
      <c r="M773" s="6" t="n">
        <f aca="false">IF(ABS(H773)&gt;$P$8,1,0)</f>
        <v>0</v>
      </c>
    </row>
    <row r="774" customFormat="false" ht="15" hidden="false" customHeight="false" outlineLevel="0" collapsed="false">
      <c r="A774" s="0" t="n">
        <f aca="false">ROW()-1</f>
        <v>773</v>
      </c>
      <c r="B774" s="22" t="n">
        <f aca="false">SUMPRODUCT(MMULT('Analysis Data'!N774:U774,'Final Model'!$B$59:$I$66),'Analysis Data'!N774:U774)</f>
        <v>0.00209256565507326</v>
      </c>
      <c r="C774" s="15" t="n">
        <f aca="false">'Residual Diagnostics'!F774</f>
        <v>32.5790138425692</v>
      </c>
      <c r="D774" s="13" t="n">
        <f aca="false">C774/('Final Model'!$B$21*SQRT(1-B774))</f>
        <v>0.665139920129124</v>
      </c>
      <c r="E774" s="13" t="n">
        <f aca="false">D774*SQRT(('Final Model'!$B$24-1)/('Final Model'!$B$24-D774^2))</f>
        <v>0.665005293392823</v>
      </c>
      <c r="F774" s="23" t="n">
        <f aca="false">D774^2/($P$3+1)*B774/(1-B774)</f>
        <v>0.000115964450879323</v>
      </c>
      <c r="G774" s="13" t="n">
        <f aca="false">($P$2-1)*(B774-1/$P$2)</f>
        <v>1.89892493299796</v>
      </c>
      <c r="H774" s="13" t="n">
        <f aca="false">E774*SQRT(B774/(1-B774))</f>
        <v>0.0304522593418284</v>
      </c>
      <c r="I774" s="13" t="n">
        <f aca="false">ABS(D774)</f>
        <v>0.665139920129124</v>
      </c>
      <c r="J774" s="6" t="n">
        <f aca="false">IF(B774&gt;$P$4,1,0)</f>
        <v>0</v>
      </c>
      <c r="K774" s="6" t="n">
        <f aca="false">IF(F774&gt;$P$6,1,0)</f>
        <v>0</v>
      </c>
      <c r="L774" s="6" t="n">
        <f aca="false">IF(G774&gt;$P$9,1,0)</f>
        <v>0</v>
      </c>
      <c r="M774" s="6" t="n">
        <f aca="false">IF(ABS(H774)&gt;$P$8,1,0)</f>
        <v>0</v>
      </c>
    </row>
    <row r="775" customFormat="false" ht="15" hidden="false" customHeight="false" outlineLevel="0" collapsed="false">
      <c r="A775" s="0" t="n">
        <f aca="false">ROW()-1</f>
        <v>774</v>
      </c>
      <c r="B775" s="22" t="n">
        <f aca="false">SUMPRODUCT(MMULT('Analysis Data'!N775:U775,'Final Model'!$B$59:$I$66),'Analysis Data'!N775:U775)</f>
        <v>0.00209256565507326</v>
      </c>
      <c r="C775" s="15" t="n">
        <f aca="false">'Residual Diagnostics'!F775</f>
        <v>74.5097734001686</v>
      </c>
      <c r="D775" s="13" t="n">
        <f aca="false">C775/('Final Model'!$B$21*SQRT(1-B775))</f>
        <v>1.52120702510248</v>
      </c>
      <c r="E775" s="13" t="n">
        <f aca="false">D775*SQRT(('Final Model'!$B$24-1)/('Final Model'!$B$24-D775^2))</f>
        <v>1.52193338879401</v>
      </c>
      <c r="F775" s="23" t="n">
        <f aca="false">D775^2/($P$3+1)*B775/(1-B775)</f>
        <v>0.000606562410061203</v>
      </c>
      <c r="G775" s="13" t="n">
        <f aca="false">($P$2-1)*(B775-1/$P$2)</f>
        <v>1.89892493299796</v>
      </c>
      <c r="H775" s="13" t="n">
        <f aca="false">E775*SQRT(B775/(1-B775))</f>
        <v>0.069693144877218</v>
      </c>
      <c r="I775" s="13" t="n">
        <f aca="false">ABS(D775)</f>
        <v>1.52120702510248</v>
      </c>
      <c r="J775" s="6" t="n">
        <f aca="false">IF(B775&gt;$P$4,1,0)</f>
        <v>0</v>
      </c>
      <c r="K775" s="6" t="n">
        <f aca="false">IF(F775&gt;$P$6,1,0)</f>
        <v>0</v>
      </c>
      <c r="L775" s="6" t="n">
        <f aca="false">IF(G775&gt;$P$9,1,0)</f>
        <v>0</v>
      </c>
      <c r="M775" s="6" t="n">
        <f aca="false">IF(ABS(H775)&gt;$P$8,1,0)</f>
        <v>0</v>
      </c>
    </row>
    <row r="776" customFormat="false" ht="15" hidden="false" customHeight="false" outlineLevel="0" collapsed="false">
      <c r="A776" s="0" t="n">
        <f aca="false">ROW()-1</f>
        <v>775</v>
      </c>
      <c r="B776" s="22" t="n">
        <f aca="false">SUMPRODUCT(MMULT('Analysis Data'!N776:U776,'Final Model'!$B$59:$I$66),'Analysis Data'!N776:U776)</f>
        <v>0.00193218490609401</v>
      </c>
      <c r="C776" s="15" t="n">
        <f aca="false">'Residual Diagnostics'!F776</f>
        <v>-29.4563307102557</v>
      </c>
      <c r="D776" s="13" t="n">
        <f aca="false">C776/('Final Model'!$B$21*SQRT(1-B776))</f>
        <v>-0.60133825134469</v>
      </c>
      <c r="E776" s="13" t="n">
        <f aca="false">D776*SQRT(('Final Model'!$B$24-1)/('Final Model'!$B$24-D776^2))</f>
        <v>-0.601198906288851</v>
      </c>
      <c r="F776" s="23" t="n">
        <f aca="false">D776^2/($P$3+1)*B776/(1-B776)</f>
        <v>8.75056928582515E-005</v>
      </c>
      <c r="G776" s="13" t="n">
        <f aca="false">($P$2-1)*(B776-1/$P$2)</f>
        <v>1.6767975956617</v>
      </c>
      <c r="H776" s="13" t="n">
        <f aca="false">E776*SQRT(B776/(1-B776))</f>
        <v>-0.0264522427114714</v>
      </c>
      <c r="I776" s="13" t="n">
        <f aca="false">ABS(D776)</f>
        <v>0.60133825134469</v>
      </c>
      <c r="J776" s="6" t="n">
        <f aca="false">IF(B776&gt;$P$4,1,0)</f>
        <v>0</v>
      </c>
      <c r="K776" s="6" t="n">
        <f aca="false">IF(F776&gt;$P$6,1,0)</f>
        <v>0</v>
      </c>
      <c r="L776" s="6" t="n">
        <f aca="false">IF(G776&gt;$P$9,1,0)</f>
        <v>0</v>
      </c>
      <c r="M776" s="6" t="n">
        <f aca="false">IF(ABS(H776)&gt;$P$8,1,0)</f>
        <v>0</v>
      </c>
    </row>
    <row r="777" customFormat="false" ht="15" hidden="false" customHeight="false" outlineLevel="0" collapsed="false">
      <c r="A777" s="0" t="n">
        <f aca="false">ROW()-1</f>
        <v>776</v>
      </c>
      <c r="B777" s="22" t="n">
        <f aca="false">SUMPRODUCT(MMULT('Analysis Data'!N777:U777,'Final Model'!$B$59:$I$66),'Analysis Data'!N777:U777)</f>
        <v>0.0034604482249626</v>
      </c>
      <c r="C777" s="15" t="n">
        <f aca="false">'Residual Diagnostics'!F777</f>
        <v>25.0522955953658</v>
      </c>
      <c r="D777" s="13" t="n">
        <f aca="false">C777/('Final Model'!$B$21*SQRT(1-B777))</f>
        <v>0.511823787277748</v>
      </c>
      <c r="E777" s="13" t="n">
        <f aca="false">D777*SQRT(('Final Model'!$B$24-1)/('Final Model'!$B$24-D777^2))</f>
        <v>0.511686680228837</v>
      </c>
      <c r="F777" s="23" t="n">
        <f aca="false">D777^2/($P$3+1)*B777/(1-B777)</f>
        <v>0.000113707408265689</v>
      </c>
      <c r="G777" s="13" t="n">
        <f aca="false">($P$2-1)*(B777-1/$P$2)</f>
        <v>3.7934422922947</v>
      </c>
      <c r="H777" s="13" t="n">
        <f aca="false">E777*SQRT(B777/(1-B777))</f>
        <v>0.0301524787280537</v>
      </c>
      <c r="I777" s="13" t="n">
        <f aca="false">ABS(D777)</f>
        <v>0.511823787277748</v>
      </c>
      <c r="J777" s="6" t="n">
        <f aca="false">IF(B777&gt;$P$4,1,0)</f>
        <v>0</v>
      </c>
      <c r="K777" s="6" t="n">
        <f aca="false">IF(F777&gt;$P$6,1,0)</f>
        <v>0</v>
      </c>
      <c r="L777" s="6" t="n">
        <f aca="false">IF(G777&gt;$P$9,1,0)</f>
        <v>0</v>
      </c>
      <c r="M777" s="6" t="n">
        <f aca="false">IF(ABS(H777)&gt;$P$8,1,0)</f>
        <v>0</v>
      </c>
    </row>
    <row r="778" customFormat="false" ht="15" hidden="false" customHeight="false" outlineLevel="0" collapsed="false">
      <c r="A778" s="0" t="n">
        <f aca="false">ROW()-1</f>
        <v>777</v>
      </c>
      <c r="B778" s="22" t="n">
        <f aca="false">SUMPRODUCT(MMULT('Analysis Data'!N778:U778,'Final Model'!$B$59:$I$66),'Analysis Data'!N778:U778)</f>
        <v>0.0322120201525944</v>
      </c>
      <c r="C778" s="15" t="n">
        <f aca="false">'Residual Diagnostics'!F778</f>
        <v>25.8542392954895</v>
      </c>
      <c r="D778" s="13" t="n">
        <f aca="false">C778/('Final Model'!$B$21*SQRT(1-B778))</f>
        <v>0.535996385514567</v>
      </c>
      <c r="E778" s="13" t="n">
        <f aca="false">D778*SQRT(('Final Model'!$B$24-1)/('Final Model'!$B$24-D778^2))</f>
        <v>0.535857728790326</v>
      </c>
      <c r="F778" s="23" t="n">
        <f aca="false">D778^2/($P$3+1)*B778/(1-B778)</f>
        <v>0.00119528501103245</v>
      </c>
      <c r="G778" s="13" t="n">
        <f aca="false">($P$2-1)*(B778-1/$P$2)</f>
        <v>43.6143694120647</v>
      </c>
      <c r="H778" s="13" t="n">
        <f aca="false">E778*SQRT(B778/(1-B778))</f>
        <v>0.0977616151776709</v>
      </c>
      <c r="I778" s="13" t="n">
        <f aca="false">ABS(D778)</f>
        <v>0.535996385514567</v>
      </c>
      <c r="J778" s="6" t="n">
        <f aca="false">IF(B778&gt;$P$4,1,0)</f>
        <v>1</v>
      </c>
      <c r="K778" s="6" t="n">
        <f aca="false">IF(F778&gt;$P$6,1,0)</f>
        <v>0</v>
      </c>
      <c r="L778" s="6" t="n">
        <f aca="false">IF(G778&gt;$P$9,1,0)</f>
        <v>1</v>
      </c>
      <c r="M778" s="6" t="n">
        <f aca="false">IF(ABS(H778)&gt;$P$8,1,0)</f>
        <v>0</v>
      </c>
    </row>
    <row r="779" customFormat="false" ht="15" hidden="false" customHeight="false" outlineLevel="0" collapsed="false">
      <c r="A779" s="0" t="n">
        <f aca="false">ROW()-1</f>
        <v>778</v>
      </c>
      <c r="B779" s="22" t="n">
        <f aca="false">SUMPRODUCT(MMULT('Analysis Data'!N779:U779,'Final Model'!$B$59:$I$66),'Analysis Data'!N779:U779)</f>
        <v>0.0296013729680299</v>
      </c>
      <c r="C779" s="15" t="n">
        <f aca="false">'Residual Diagnostics'!F779</f>
        <v>40.5072513649355</v>
      </c>
      <c r="D779" s="13" t="n">
        <f aca="false">C779/('Final Model'!$B$21*SQRT(1-B779))</f>
        <v>0.838644488278629</v>
      </c>
      <c r="E779" s="13" t="n">
        <f aca="false">D779*SQRT(('Final Model'!$B$24-1)/('Final Model'!$B$24-D779^2))</f>
        <v>0.838554159661707</v>
      </c>
      <c r="F779" s="23" t="n">
        <f aca="false">D779^2/($P$3+1)*B779/(1-B779)</f>
        <v>0.00268180680633703</v>
      </c>
      <c r="G779" s="13" t="n">
        <f aca="false">($P$2-1)*(B779-1/$P$2)</f>
        <v>39.998623061443</v>
      </c>
      <c r="H779" s="13" t="n">
        <f aca="false">E779*SQRT(B779/(1-B779))</f>
        <v>0.14645761527531</v>
      </c>
      <c r="I779" s="13" t="n">
        <f aca="false">ABS(D779)</f>
        <v>0.838644488278629</v>
      </c>
      <c r="J779" s="6" t="n">
        <f aca="false">IF(B779&gt;$P$4,1,0)</f>
        <v>1</v>
      </c>
      <c r="K779" s="6" t="n">
        <f aca="false">IF(F779&gt;$P$6,1,0)</f>
        <v>0</v>
      </c>
      <c r="L779" s="6" t="n">
        <f aca="false">IF(G779&gt;$P$9,1,0)</f>
        <v>1</v>
      </c>
      <c r="M779" s="6" t="n">
        <f aca="false">IF(ABS(H779)&gt;$P$8,1,0)</f>
        <v>0</v>
      </c>
    </row>
    <row r="780" customFormat="false" ht="15" hidden="false" customHeight="false" outlineLevel="0" collapsed="false">
      <c r="A780" s="0" t="n">
        <f aca="false">ROW()-1</f>
        <v>779</v>
      </c>
      <c r="B780" s="22" t="n">
        <f aca="false">SUMPRODUCT(MMULT('Analysis Data'!N780:U780,'Final Model'!$B$59:$I$66),'Analysis Data'!N780:U780)</f>
        <v>0.0321291448397684</v>
      </c>
      <c r="C780" s="15" t="n">
        <f aca="false">'Residual Diagnostics'!F780</f>
        <v>-20.2613464113747</v>
      </c>
      <c r="D780" s="13" t="n">
        <f aca="false">C780/('Final Model'!$B$21*SQRT(1-B780))</f>
        <v>-0.420029510684315</v>
      </c>
      <c r="E780" s="13" t="n">
        <f aca="false">D780*SQRT(('Final Model'!$B$24-1)/('Final Model'!$B$24-D780^2))</f>
        <v>-0.419903958470181</v>
      </c>
      <c r="F780" s="23" t="n">
        <f aca="false">D780^2/($P$3+1)*B780/(1-B780)</f>
        <v>0.000732067919503057</v>
      </c>
      <c r="G780" s="13" t="n">
        <f aca="false">($P$2-1)*(B780-1/$P$2)</f>
        <v>43.4995871038007</v>
      </c>
      <c r="H780" s="13" t="n">
        <f aca="false">E780*SQRT(B780/(1-B780))</f>
        <v>-0.0765051807871854</v>
      </c>
      <c r="I780" s="13" t="n">
        <f aca="false">ABS(D780)</f>
        <v>0.420029510684315</v>
      </c>
      <c r="J780" s="6" t="n">
        <f aca="false">IF(B780&gt;$P$4,1,0)</f>
        <v>1</v>
      </c>
      <c r="K780" s="6" t="n">
        <f aca="false">IF(F780&gt;$P$6,1,0)</f>
        <v>0</v>
      </c>
      <c r="L780" s="6" t="n">
        <f aca="false">IF(G780&gt;$P$9,1,0)</f>
        <v>1</v>
      </c>
      <c r="M780" s="6" t="n">
        <f aca="false">IF(ABS(H780)&gt;$P$8,1,0)</f>
        <v>0</v>
      </c>
    </row>
    <row r="781" customFormat="false" ht="15" hidden="false" customHeight="false" outlineLevel="0" collapsed="false">
      <c r="A781" s="0" t="n">
        <f aca="false">ROW()-1</f>
        <v>780</v>
      </c>
      <c r="B781" s="22" t="n">
        <f aca="false">SUMPRODUCT(MMULT('Analysis Data'!N781:U781,'Final Model'!$B$59:$I$66),'Analysis Data'!N781:U781)</f>
        <v>0.0302699763968332</v>
      </c>
      <c r="C781" s="15" t="n">
        <f aca="false">'Residual Diagnostics'!F781</f>
        <v>47.8235944057095</v>
      </c>
      <c r="D781" s="13" t="n">
        <f aca="false">C781/('Final Model'!$B$21*SQRT(1-B781))</f>
        <v>0.990460139459212</v>
      </c>
      <c r="E781" s="13" t="n">
        <f aca="false">D781*SQRT(('Final Model'!$B$24-1)/('Final Model'!$B$24-D781^2))</f>
        <v>0.990453310349567</v>
      </c>
      <c r="F781" s="23" t="n">
        <f aca="false">D781^2/($P$3+1)*B781/(1-B781)</f>
        <v>0.00382776491983546</v>
      </c>
      <c r="G781" s="13" t="n">
        <f aca="false">($P$2-1)*(B781-1/$P$2)</f>
        <v>40.9246388103354</v>
      </c>
      <c r="H781" s="13" t="n">
        <f aca="false">E781*SQRT(B781/(1-B781))</f>
        <v>0.174990562854406</v>
      </c>
      <c r="I781" s="13" t="n">
        <f aca="false">ABS(D781)</f>
        <v>0.990460139459212</v>
      </c>
      <c r="J781" s="6" t="n">
        <f aca="false">IF(B781&gt;$P$4,1,0)</f>
        <v>1</v>
      </c>
      <c r="K781" s="6" t="n">
        <f aca="false">IF(F781&gt;$P$6,1,0)</f>
        <v>1</v>
      </c>
      <c r="L781" s="6" t="n">
        <f aca="false">IF(G781&gt;$P$9,1,0)</f>
        <v>1</v>
      </c>
      <c r="M781" s="6" t="n">
        <f aca="false">IF(ABS(H781)&gt;$P$8,1,0)</f>
        <v>1</v>
      </c>
    </row>
    <row r="782" customFormat="false" ht="15" hidden="false" customHeight="false" outlineLevel="0" collapsed="false">
      <c r="A782" s="0" t="n">
        <f aca="false">ROW()-1</f>
        <v>781</v>
      </c>
      <c r="B782" s="22" t="n">
        <f aca="false">SUMPRODUCT(MMULT('Analysis Data'!N782:U782,'Final Model'!$B$59:$I$66),'Analysis Data'!N782:U782)</f>
        <v>0.0304838026948706</v>
      </c>
      <c r="C782" s="15" t="n">
        <f aca="false">'Residual Diagnostics'!F782</f>
        <v>-8.90481614954103</v>
      </c>
      <c r="D782" s="13" t="n">
        <f aca="false">C782/('Final Model'!$B$21*SQRT(1-B782))</f>
        <v>-0.184445316369816</v>
      </c>
      <c r="E782" s="13" t="n">
        <f aca="false">D782*SQRT(('Final Model'!$B$24-1)/('Final Model'!$B$24-D782^2))</f>
        <v>-0.184380655227351</v>
      </c>
      <c r="F782" s="23" t="n">
        <f aca="false">D782^2/($P$3+1)*B782/(1-B782)</f>
        <v>0.000133708602373007</v>
      </c>
      <c r="G782" s="13" t="n">
        <f aca="false">($P$2-1)*(B782-1/$P$2)</f>
        <v>41.2207882331173</v>
      </c>
      <c r="H782" s="13" t="n">
        <f aca="false">E782*SQRT(B782/(1-B782))</f>
        <v>-0.0326943261306143</v>
      </c>
      <c r="I782" s="13" t="n">
        <f aca="false">ABS(D782)</f>
        <v>0.184445316369816</v>
      </c>
      <c r="J782" s="6" t="n">
        <f aca="false">IF(B782&gt;$P$4,1,0)</f>
        <v>1</v>
      </c>
      <c r="K782" s="6" t="n">
        <f aca="false">IF(F782&gt;$P$6,1,0)</f>
        <v>0</v>
      </c>
      <c r="L782" s="6" t="n">
        <f aca="false">IF(G782&gt;$P$9,1,0)</f>
        <v>1</v>
      </c>
      <c r="M782" s="6" t="n">
        <f aca="false">IF(ABS(H782)&gt;$P$8,1,0)</f>
        <v>0</v>
      </c>
    </row>
    <row r="783" customFormat="false" ht="15" hidden="false" customHeight="false" outlineLevel="0" collapsed="false">
      <c r="A783" s="0" t="n">
        <f aca="false">ROW()-1</f>
        <v>782</v>
      </c>
      <c r="B783" s="22" t="n">
        <f aca="false">SUMPRODUCT(MMULT('Analysis Data'!N783:U783,'Final Model'!$B$59:$I$66),'Analysis Data'!N783:U783)</f>
        <v>0.00352442131268631</v>
      </c>
      <c r="C783" s="15" t="n">
        <f aca="false">'Residual Diagnostics'!F783</f>
        <v>-46.3646936154696</v>
      </c>
      <c r="D783" s="13" t="n">
        <f aca="false">C783/('Final Model'!$B$21*SQRT(1-B783))</f>
        <v>-0.94727106834421</v>
      </c>
      <c r="E783" s="13" t="n">
        <f aca="false">D783*SQRT(('Final Model'!$B$24-1)/('Final Model'!$B$24-D783^2))</f>
        <v>-0.947235753163418</v>
      </c>
      <c r="F783" s="23" t="n">
        <f aca="false">D783^2/($P$3+1)*B783/(1-B783)</f>
        <v>0.000396716002084869</v>
      </c>
      <c r="G783" s="13" t="n">
        <f aca="false">($P$2-1)*(B783-1/$P$2)</f>
        <v>3.88204501879204</v>
      </c>
      <c r="H783" s="13" t="n">
        <f aca="false">E783*SQRT(B783/(1-B783))</f>
        <v>-0.0563337499355</v>
      </c>
      <c r="I783" s="13" t="n">
        <f aca="false">ABS(D783)</f>
        <v>0.94727106834421</v>
      </c>
      <c r="J783" s="6" t="n">
        <f aca="false">IF(B783&gt;$P$4,1,0)</f>
        <v>0</v>
      </c>
      <c r="K783" s="6" t="n">
        <f aca="false">IF(F783&gt;$P$6,1,0)</f>
        <v>0</v>
      </c>
      <c r="L783" s="6" t="n">
        <f aca="false">IF(G783&gt;$P$9,1,0)</f>
        <v>0</v>
      </c>
      <c r="M783" s="6" t="n">
        <f aca="false">IF(ABS(H783)&gt;$P$8,1,0)</f>
        <v>0</v>
      </c>
    </row>
    <row r="784" customFormat="false" ht="15" hidden="false" customHeight="false" outlineLevel="0" collapsed="false">
      <c r="A784" s="0" t="n">
        <f aca="false">ROW()-1</f>
        <v>783</v>
      </c>
      <c r="B784" s="22" t="n">
        <f aca="false">SUMPRODUCT(MMULT('Analysis Data'!N784:U784,'Final Model'!$B$59:$I$66),'Analysis Data'!N784:U784)</f>
        <v>0.00542939646655816</v>
      </c>
      <c r="C784" s="15" t="n">
        <f aca="false">'Residual Diagnostics'!F784</f>
        <v>-15.3068871249996</v>
      </c>
      <c r="D784" s="13" t="n">
        <f aca="false">C784/('Final Model'!$B$21*SQRT(1-B784))</f>
        <v>-0.313032391485182</v>
      </c>
      <c r="E784" s="13" t="n">
        <f aca="false">D784*SQRT(('Final Model'!$B$24-1)/('Final Model'!$B$24-D784^2))</f>
        <v>-0.312929915113068</v>
      </c>
      <c r="F784" s="23" t="n">
        <f aca="false">D784^2/($P$3+1)*B784/(1-B784)</f>
        <v>6.68658713732067E-005</v>
      </c>
      <c r="G784" s="13" t="n">
        <f aca="false">($P$2-1)*(B784-1/$P$2)</f>
        <v>6.52043560690456</v>
      </c>
      <c r="H784" s="13" t="n">
        <f aca="false">E784*SQRT(B784/(1-B784))</f>
        <v>-0.0231209168025209</v>
      </c>
      <c r="I784" s="13" t="n">
        <f aca="false">ABS(D784)</f>
        <v>0.313032391485182</v>
      </c>
      <c r="J784" s="6" t="n">
        <f aca="false">IF(B784&gt;$P$4,1,0)</f>
        <v>0</v>
      </c>
      <c r="K784" s="6" t="n">
        <f aca="false">IF(F784&gt;$P$6,1,0)</f>
        <v>0</v>
      </c>
      <c r="L784" s="6" t="n">
        <f aca="false">IF(G784&gt;$P$9,1,0)</f>
        <v>0</v>
      </c>
      <c r="M784" s="6" t="n">
        <f aca="false">IF(ABS(H784)&gt;$P$8,1,0)</f>
        <v>0</v>
      </c>
    </row>
    <row r="785" customFormat="false" ht="15" hidden="false" customHeight="false" outlineLevel="0" collapsed="false">
      <c r="A785" s="0" t="n">
        <f aca="false">ROW()-1</f>
        <v>784</v>
      </c>
      <c r="B785" s="22" t="n">
        <f aca="false">SUMPRODUCT(MMULT('Analysis Data'!N785:U785,'Final Model'!$B$59:$I$66),'Analysis Data'!N785:U785)</f>
        <v>0.00238586100756735</v>
      </c>
      <c r="C785" s="15" t="n">
        <f aca="false">'Residual Diagnostics'!F785</f>
        <v>70.4253359198783</v>
      </c>
      <c r="D785" s="13" t="n">
        <f aca="false">C785/('Final Model'!$B$21*SQRT(1-B785))</f>
        <v>1.43802964175611</v>
      </c>
      <c r="E785" s="13" t="n">
        <f aca="false">D785*SQRT(('Final Model'!$B$24-1)/('Final Model'!$B$24-D785^2))</f>
        <v>1.43858759664352</v>
      </c>
      <c r="F785" s="23" t="n">
        <f aca="false">D785^2/($P$3+1)*B785/(1-B785)</f>
        <v>0.000618198907335565</v>
      </c>
      <c r="G785" s="13" t="n">
        <f aca="false">($P$2-1)*(B785-1/$P$2)</f>
        <v>2.30513899620228</v>
      </c>
      <c r="H785" s="13" t="n">
        <f aca="false">E785*SQRT(B785/(1-B785))</f>
        <v>0.0703521838879806</v>
      </c>
      <c r="I785" s="13" t="n">
        <f aca="false">ABS(D785)</f>
        <v>1.43802964175611</v>
      </c>
      <c r="J785" s="6" t="n">
        <f aca="false">IF(B785&gt;$P$4,1,0)</f>
        <v>0</v>
      </c>
      <c r="K785" s="6" t="n">
        <f aca="false">IF(F785&gt;$P$6,1,0)</f>
        <v>0</v>
      </c>
      <c r="L785" s="6" t="n">
        <f aca="false">IF(G785&gt;$P$9,1,0)</f>
        <v>0</v>
      </c>
      <c r="M785" s="6" t="n">
        <f aca="false">IF(ABS(H785)&gt;$P$8,1,0)</f>
        <v>0</v>
      </c>
    </row>
    <row r="786" customFormat="false" ht="15" hidden="false" customHeight="false" outlineLevel="0" collapsed="false">
      <c r="A786" s="0" t="n">
        <f aca="false">ROW()-1</f>
        <v>785</v>
      </c>
      <c r="B786" s="22" t="n">
        <f aca="false">SUMPRODUCT(MMULT('Analysis Data'!N786:U786,'Final Model'!$B$59:$I$66),'Analysis Data'!N786:U786)</f>
        <v>0.00195021924387488</v>
      </c>
      <c r="C786" s="15" t="n">
        <f aca="false">'Residual Diagnostics'!F786</f>
        <v>-12.9796851287272</v>
      </c>
      <c r="D786" s="13" t="n">
        <f aca="false">C786/('Final Model'!$B$21*SQRT(1-B786))</f>
        <v>-0.264977052061683</v>
      </c>
      <c r="E786" s="13" t="n">
        <f aca="false">D786*SQRT(('Final Model'!$B$24-1)/('Final Model'!$B$24-D786^2))</f>
        <v>-0.264887637550602</v>
      </c>
      <c r="F786" s="23" t="n">
        <f aca="false">D786^2/($P$3+1)*B786/(1-B786)</f>
        <v>1.71497492794887E-005</v>
      </c>
      <c r="G786" s="13" t="n">
        <f aca="false">($P$2-1)*(B786-1/$P$2)</f>
        <v>1.7017751534882</v>
      </c>
      <c r="H786" s="13" t="n">
        <f aca="false">E786*SQRT(B786/(1-B786))</f>
        <v>-0.0117092022357648</v>
      </c>
      <c r="I786" s="13" t="n">
        <f aca="false">ABS(D786)</f>
        <v>0.264977052061683</v>
      </c>
      <c r="J786" s="6" t="n">
        <f aca="false">IF(B786&gt;$P$4,1,0)</f>
        <v>0</v>
      </c>
      <c r="K786" s="6" t="n">
        <f aca="false">IF(F786&gt;$P$6,1,0)</f>
        <v>0</v>
      </c>
      <c r="L786" s="6" t="n">
        <f aca="false">IF(G786&gt;$P$9,1,0)</f>
        <v>0</v>
      </c>
      <c r="M786" s="6" t="n">
        <f aca="false">IF(ABS(H786)&gt;$P$8,1,0)</f>
        <v>0</v>
      </c>
    </row>
    <row r="787" customFormat="false" ht="15" hidden="false" customHeight="false" outlineLevel="0" collapsed="false">
      <c r="A787" s="0" t="n">
        <f aca="false">ROW()-1</f>
        <v>786</v>
      </c>
      <c r="B787" s="22" t="n">
        <f aca="false">SUMPRODUCT(MMULT('Analysis Data'!N787:U787,'Final Model'!$B$59:$I$66),'Analysis Data'!N787:U787)</f>
        <v>0.00195021924387488</v>
      </c>
      <c r="C787" s="15" t="n">
        <f aca="false">'Residual Diagnostics'!F787</f>
        <v>15.0990441537056</v>
      </c>
      <c r="D787" s="13" t="n">
        <f aca="false">C787/('Final Model'!$B$21*SQRT(1-B787))</f>
        <v>0.308243240811993</v>
      </c>
      <c r="E787" s="13" t="n">
        <f aca="false">D787*SQRT(('Final Model'!$B$24-1)/('Final Model'!$B$24-D787^2))</f>
        <v>0.308141999554053</v>
      </c>
      <c r="F787" s="23" t="n">
        <f aca="false">D787^2/($P$3+1)*B787/(1-B787)</f>
        <v>2.32075006458448E-005</v>
      </c>
      <c r="G787" s="13" t="n">
        <f aca="false">($P$2-1)*(B787-1/$P$2)</f>
        <v>1.7017751534882</v>
      </c>
      <c r="H787" s="13" t="n">
        <f aca="false">E787*SQRT(B787/(1-B787))</f>
        <v>0.0136212358699529</v>
      </c>
      <c r="I787" s="13" t="n">
        <f aca="false">ABS(D787)</f>
        <v>0.308243240811993</v>
      </c>
      <c r="J787" s="6" t="n">
        <f aca="false">IF(B787&gt;$P$4,1,0)</f>
        <v>0</v>
      </c>
      <c r="K787" s="6" t="n">
        <f aca="false">IF(F787&gt;$P$6,1,0)</f>
        <v>0</v>
      </c>
      <c r="L787" s="6" t="n">
        <f aca="false">IF(G787&gt;$P$9,1,0)</f>
        <v>0</v>
      </c>
      <c r="M787" s="6" t="n">
        <f aca="false">IF(ABS(H787)&gt;$P$8,1,0)</f>
        <v>0</v>
      </c>
    </row>
    <row r="788" customFormat="false" ht="15" hidden="false" customHeight="false" outlineLevel="0" collapsed="false">
      <c r="A788" s="0" t="n">
        <f aca="false">ROW()-1</f>
        <v>787</v>
      </c>
      <c r="B788" s="22" t="n">
        <f aca="false">SUMPRODUCT(MMULT('Analysis Data'!N788:U788,'Final Model'!$B$59:$I$66),'Analysis Data'!N788:U788)</f>
        <v>0.00241714211844095</v>
      </c>
      <c r="C788" s="15" t="n">
        <f aca="false">'Residual Diagnostics'!F788</f>
        <v>-112.833253422026</v>
      </c>
      <c r="D788" s="13" t="n">
        <f aca="false">C788/('Final Model'!$B$21*SQRT(1-B788))</f>
        <v>-2.30400188802511</v>
      </c>
      <c r="E788" s="13" t="n">
        <f aca="false">D788*SQRT(('Final Model'!$B$24-1)/('Final Model'!$B$24-D788^2))</f>
        <v>-2.30761480513212</v>
      </c>
      <c r="F788" s="23" t="n">
        <f aca="false">D788^2/($P$3+1)*B788/(1-B788)</f>
        <v>0.00160778836860811</v>
      </c>
      <c r="G788" s="13" t="n">
        <f aca="false">($P$2-1)*(B788-1/$P$2)</f>
        <v>2.34846333476221</v>
      </c>
      <c r="H788" s="13" t="n">
        <f aca="false">E788*SQRT(B788/(1-B788))</f>
        <v>-0.113589953230401</v>
      </c>
      <c r="I788" s="13" t="n">
        <f aca="false">ABS(D788)</f>
        <v>2.30400188802511</v>
      </c>
      <c r="J788" s="6" t="n">
        <f aca="false">IF(B788&gt;$P$4,1,0)</f>
        <v>0</v>
      </c>
      <c r="K788" s="6" t="n">
        <f aca="false">IF(F788&gt;$P$6,1,0)</f>
        <v>0</v>
      </c>
      <c r="L788" s="6" t="n">
        <f aca="false">IF(G788&gt;$P$9,1,0)</f>
        <v>0</v>
      </c>
      <c r="M788" s="6" t="n">
        <f aca="false">IF(ABS(H788)&gt;$P$8,1,0)</f>
        <v>0</v>
      </c>
    </row>
    <row r="789" customFormat="false" ht="15" hidden="false" customHeight="false" outlineLevel="0" collapsed="false">
      <c r="A789" s="0" t="n">
        <f aca="false">ROW()-1</f>
        <v>788</v>
      </c>
      <c r="B789" s="22" t="n">
        <f aca="false">SUMPRODUCT(MMULT('Analysis Data'!N789:U789,'Final Model'!$B$59:$I$66),'Analysis Data'!N789:U789)</f>
        <v>0.013483045571695</v>
      </c>
      <c r="C789" s="15" t="n">
        <f aca="false">'Residual Diagnostics'!F789</f>
        <v>-16.322246832111</v>
      </c>
      <c r="D789" s="13" t="n">
        <f aca="false">C789/('Final Model'!$B$21*SQRT(1-B789))</f>
        <v>-0.335156674965107</v>
      </c>
      <c r="E789" s="13" t="n">
        <f aca="false">D789*SQRT(('Final Model'!$B$24-1)/('Final Model'!$B$24-D789^2))</f>
        <v>-0.335048699378892</v>
      </c>
      <c r="F789" s="23" t="n">
        <f aca="false">D789^2/($P$3+1)*B789/(1-B789)</f>
        <v>0.000191906289442003</v>
      </c>
      <c r="G789" s="13" t="n">
        <f aca="false">($P$2-1)*(B789-1/$P$2)</f>
        <v>17.6747396175191</v>
      </c>
      <c r="H789" s="13" t="n">
        <f aca="false">E789*SQRT(B789/(1-B789))</f>
        <v>-0.0391696472864646</v>
      </c>
      <c r="I789" s="13" t="n">
        <f aca="false">ABS(D789)</f>
        <v>0.335156674965107</v>
      </c>
      <c r="J789" s="6" t="n">
        <f aca="false">IF(B789&gt;$P$4,1,0)</f>
        <v>1</v>
      </c>
      <c r="K789" s="6" t="n">
        <f aca="false">IF(F789&gt;$P$6,1,0)</f>
        <v>0</v>
      </c>
      <c r="L789" s="6" t="n">
        <f aca="false">IF(G789&gt;$P$9,1,0)</f>
        <v>1</v>
      </c>
      <c r="M789" s="6" t="n">
        <f aca="false">IF(ABS(H789)&gt;$P$8,1,0)</f>
        <v>0</v>
      </c>
    </row>
    <row r="790" customFormat="false" ht="15" hidden="false" customHeight="false" outlineLevel="0" collapsed="false">
      <c r="A790" s="0" t="n">
        <f aca="false">ROW()-1</f>
        <v>789</v>
      </c>
      <c r="B790" s="22" t="n">
        <f aca="false">SUMPRODUCT(MMULT('Analysis Data'!N790:U790,'Final Model'!$B$59:$I$66),'Analysis Data'!N790:U790)</f>
        <v>0.00506108042634719</v>
      </c>
      <c r="C790" s="15" t="n">
        <f aca="false">'Residual Diagnostics'!F790</f>
        <v>14.0479039524685</v>
      </c>
      <c r="D790" s="13" t="n">
        <f aca="false">C790/('Final Model'!$B$21*SQRT(1-B790))</f>
        <v>0.287232466889736</v>
      </c>
      <c r="E790" s="13" t="n">
        <f aca="false">D790*SQRT(('Final Model'!$B$24-1)/('Final Model'!$B$24-D790^2))</f>
        <v>0.287136822935189</v>
      </c>
      <c r="F790" s="23" t="n">
        <f aca="false">D790^2/($P$3+1)*B790/(1-B790)</f>
        <v>5.24594687710604E-005</v>
      </c>
      <c r="G790" s="13" t="n">
        <f aca="false">($P$2-1)*(B790-1/$P$2)</f>
        <v>6.01031789121236</v>
      </c>
      <c r="H790" s="13" t="n">
        <f aca="false">E790*SQRT(B790/(1-B790))</f>
        <v>0.0204791676021269</v>
      </c>
      <c r="I790" s="13" t="n">
        <f aca="false">ABS(D790)</f>
        <v>0.287232466889736</v>
      </c>
      <c r="J790" s="6" t="n">
        <f aca="false">IF(B790&gt;$P$4,1,0)</f>
        <v>0</v>
      </c>
      <c r="K790" s="6" t="n">
        <f aca="false">IF(F790&gt;$P$6,1,0)</f>
        <v>0</v>
      </c>
      <c r="L790" s="6" t="n">
        <f aca="false">IF(G790&gt;$P$9,1,0)</f>
        <v>0</v>
      </c>
      <c r="M790" s="6" t="n">
        <f aca="false">IF(ABS(H790)&gt;$P$8,1,0)</f>
        <v>0</v>
      </c>
    </row>
    <row r="791" customFormat="false" ht="15" hidden="false" customHeight="false" outlineLevel="0" collapsed="false">
      <c r="A791" s="0" t="n">
        <f aca="false">ROW()-1</f>
        <v>790</v>
      </c>
      <c r="B791" s="22" t="n">
        <f aca="false">SUMPRODUCT(MMULT('Analysis Data'!N791:U791,'Final Model'!$B$59:$I$66),'Analysis Data'!N791:U791)</f>
        <v>0.00506108042634719</v>
      </c>
      <c r="C791" s="15" t="n">
        <f aca="false">'Residual Diagnostics'!F791</f>
        <v>0.263123171127518</v>
      </c>
      <c r="D791" s="13" t="n">
        <f aca="false">C791/('Final Model'!$B$21*SQRT(1-B791))</f>
        <v>0.00537998535543281</v>
      </c>
      <c r="E791" s="13" t="n">
        <f aca="false">D791*SQRT(('Final Model'!$B$24-1)/('Final Model'!$B$24-D791^2))</f>
        <v>0.00537803295844578</v>
      </c>
      <c r="F791" s="23" t="n">
        <f aca="false">D791^2/($P$3+1)*B791/(1-B791)</f>
        <v>1.84042879302739E-008</v>
      </c>
      <c r="G791" s="13" t="n">
        <f aca="false">($P$2-1)*(B791-1/$P$2)</f>
        <v>6.01031789121236</v>
      </c>
      <c r="H791" s="13" t="n">
        <f aca="false">E791*SQRT(B791/(1-B791))</f>
        <v>0.000383571975199549</v>
      </c>
      <c r="I791" s="13" t="n">
        <f aca="false">ABS(D791)</f>
        <v>0.00537998535543281</v>
      </c>
      <c r="J791" s="6" t="n">
        <f aca="false">IF(B791&gt;$P$4,1,0)</f>
        <v>0</v>
      </c>
      <c r="K791" s="6" t="n">
        <f aca="false">IF(F791&gt;$P$6,1,0)</f>
        <v>0</v>
      </c>
      <c r="L791" s="6" t="n">
        <f aca="false">IF(G791&gt;$P$9,1,0)</f>
        <v>0</v>
      </c>
      <c r="M791" s="6" t="n">
        <f aca="false">IF(ABS(H791)&gt;$P$8,1,0)</f>
        <v>0</v>
      </c>
    </row>
    <row r="792" customFormat="false" ht="15" hidden="false" customHeight="false" outlineLevel="0" collapsed="false">
      <c r="A792" s="0" t="n">
        <f aca="false">ROW()-1</f>
        <v>791</v>
      </c>
      <c r="B792" s="22" t="n">
        <f aca="false">SUMPRODUCT(MMULT('Analysis Data'!N792:U792,'Final Model'!$B$59:$I$66),'Analysis Data'!N792:U792)</f>
        <v>0.0078316815066217</v>
      </c>
      <c r="C792" s="15" t="n">
        <f aca="false">'Residual Diagnostics'!F792</f>
        <v>-2.49285342372269</v>
      </c>
      <c r="D792" s="13" t="n">
        <f aca="false">C792/('Final Model'!$B$21*SQRT(1-B792))</f>
        <v>-0.0510415993881604</v>
      </c>
      <c r="E792" s="13" t="n">
        <f aca="false">D792*SQRT(('Final Model'!$B$24-1)/('Final Model'!$B$24-D792^2))</f>
        <v>-0.0510231240851699</v>
      </c>
      <c r="F792" s="23" t="n">
        <f aca="false">D792^2/($P$3+1)*B792/(1-B792)</f>
        <v>2.57056283614182E-006</v>
      </c>
      <c r="G792" s="13" t="n">
        <f aca="false">($P$2-1)*(B792-1/$P$2)</f>
        <v>9.84760038739255</v>
      </c>
      <c r="H792" s="13" t="n">
        <f aca="false">E792*SQRT(B792/(1-B792))</f>
        <v>-0.00453316865983326</v>
      </c>
      <c r="I792" s="13" t="n">
        <f aca="false">ABS(D792)</f>
        <v>0.0510415993881604</v>
      </c>
      <c r="J792" s="6" t="n">
        <f aca="false">IF(B792&gt;$P$4,1,0)</f>
        <v>0</v>
      </c>
      <c r="K792" s="6" t="n">
        <f aca="false">IF(F792&gt;$P$6,1,0)</f>
        <v>0</v>
      </c>
      <c r="L792" s="6" t="n">
        <f aca="false">IF(G792&gt;$P$9,1,0)</f>
        <v>0</v>
      </c>
      <c r="M792" s="6" t="n">
        <f aca="false">IF(ABS(H792)&gt;$P$8,1,0)</f>
        <v>0</v>
      </c>
    </row>
    <row r="793" customFormat="false" ht="15" hidden="false" customHeight="false" outlineLevel="0" collapsed="false">
      <c r="A793" s="0" t="n">
        <f aca="false">ROW()-1</f>
        <v>792</v>
      </c>
      <c r="B793" s="22" t="n">
        <f aca="false">SUMPRODUCT(MMULT('Analysis Data'!N793:U793,'Final Model'!$B$59:$I$66),'Analysis Data'!N793:U793)</f>
        <v>0.0155048093975746</v>
      </c>
      <c r="C793" s="15" t="n">
        <f aca="false">'Residual Diagnostics'!F793</f>
        <v>-5.86309578971435</v>
      </c>
      <c r="D793" s="13" t="n">
        <f aca="false">C793/('Final Model'!$B$21*SQRT(1-B793))</f>
        <v>-0.120514804055605</v>
      </c>
      <c r="E793" s="13" t="n">
        <f aca="false">D793*SQRT(('Final Model'!$B$24-1)/('Final Model'!$B$24-D793^2))</f>
        <v>-0.120471702835585</v>
      </c>
      <c r="F793" s="23" t="n">
        <f aca="false">D793^2/($P$3+1)*B793/(1-B793)</f>
        <v>2.85919413207016E-005</v>
      </c>
      <c r="G793" s="13" t="n">
        <f aca="false">($P$2-1)*(B793-1/$P$2)</f>
        <v>20.4748825163624</v>
      </c>
      <c r="H793" s="13" t="n">
        <f aca="false">E793*SQRT(B793/(1-B793))</f>
        <v>-0.0151185961224181</v>
      </c>
      <c r="I793" s="13" t="n">
        <f aca="false">ABS(D793)</f>
        <v>0.120514804055605</v>
      </c>
      <c r="J793" s="6" t="n">
        <f aca="false">IF(B793&gt;$P$4,1,0)</f>
        <v>1</v>
      </c>
      <c r="K793" s="6" t="n">
        <f aca="false">IF(F793&gt;$P$6,1,0)</f>
        <v>0</v>
      </c>
      <c r="L793" s="6" t="n">
        <f aca="false">IF(G793&gt;$P$9,1,0)</f>
        <v>1</v>
      </c>
      <c r="M793" s="6" t="n">
        <f aca="false">IF(ABS(H793)&gt;$P$8,1,0)</f>
        <v>0</v>
      </c>
    </row>
    <row r="794" customFormat="false" ht="15" hidden="false" customHeight="false" outlineLevel="0" collapsed="false">
      <c r="A794" s="0" t="n">
        <f aca="false">ROW()-1</f>
        <v>793</v>
      </c>
      <c r="B794" s="22" t="n">
        <f aca="false">SUMPRODUCT(MMULT('Analysis Data'!N794:U794,'Final Model'!$B$59:$I$66),'Analysis Data'!N794:U794)</f>
        <v>0.00202584688551941</v>
      </c>
      <c r="C794" s="15" t="n">
        <f aca="false">'Residual Diagnostics'!F794</f>
        <v>-13.4105554931277</v>
      </c>
      <c r="D794" s="13" t="n">
        <f aca="false">C794/('Final Model'!$B$21*SQRT(1-B794))</f>
        <v>-0.273783536893682</v>
      </c>
      <c r="E794" s="13" t="n">
        <f aca="false">D794*SQRT(('Final Model'!$B$24-1)/('Final Model'!$B$24-D794^2))</f>
        <v>-0.273691621898347</v>
      </c>
      <c r="F794" s="23" t="n">
        <f aca="false">D794^2/($P$3+1)*B794/(1-B794)</f>
        <v>1.90200650060482E-005</v>
      </c>
      <c r="G794" s="13" t="n">
        <f aca="false">($P$2-1)*(B794-1/$P$2)</f>
        <v>1.80651943716588</v>
      </c>
      <c r="H794" s="13" t="n">
        <f aca="false">E794*SQRT(B794/(1-B794))</f>
        <v>-0.0123311949992377</v>
      </c>
      <c r="I794" s="13" t="n">
        <f aca="false">ABS(D794)</f>
        <v>0.273783536893682</v>
      </c>
      <c r="J794" s="6" t="n">
        <f aca="false">IF(B794&gt;$P$4,1,0)</f>
        <v>0</v>
      </c>
      <c r="K794" s="6" t="n">
        <f aca="false">IF(F794&gt;$P$6,1,0)</f>
        <v>0</v>
      </c>
      <c r="L794" s="6" t="n">
        <f aca="false">IF(G794&gt;$P$9,1,0)</f>
        <v>0</v>
      </c>
      <c r="M794" s="6" t="n">
        <f aca="false">IF(ABS(H794)&gt;$P$8,1,0)</f>
        <v>0</v>
      </c>
    </row>
    <row r="795" customFormat="false" ht="15" hidden="false" customHeight="false" outlineLevel="0" collapsed="false">
      <c r="A795" s="0" t="n">
        <f aca="false">ROW()-1</f>
        <v>794</v>
      </c>
      <c r="B795" s="22" t="n">
        <f aca="false">SUMPRODUCT(MMULT('Analysis Data'!N795:U795,'Final Model'!$B$59:$I$66),'Analysis Data'!N795:U795)</f>
        <v>0.00199954068793692</v>
      </c>
      <c r="C795" s="15" t="n">
        <f aca="false">'Residual Diagnostics'!F795</f>
        <v>26.1275440858509</v>
      </c>
      <c r="D795" s="13" t="n">
        <f aca="false">C795/('Final Model'!$B$21*SQRT(1-B795))</f>
        <v>0.533400511019534</v>
      </c>
      <c r="E795" s="13" t="n">
        <f aca="false">D795*SQRT(('Final Model'!$B$24-1)/('Final Model'!$B$24-D795^2))</f>
        <v>0.533261988573745</v>
      </c>
      <c r="F795" s="23" t="n">
        <f aca="false">D795^2/($P$3+1)*B795/(1-B795)</f>
        <v>7.12551686880877E-005</v>
      </c>
      <c r="G795" s="13" t="n">
        <f aca="false">($P$2-1)*(B795-1/$P$2)</f>
        <v>1.77008535351413</v>
      </c>
      <c r="H795" s="13" t="n">
        <f aca="false">E795*SQRT(B795/(1-B795))</f>
        <v>0.0238693383242104</v>
      </c>
      <c r="I795" s="13" t="n">
        <f aca="false">ABS(D795)</f>
        <v>0.533400511019534</v>
      </c>
      <c r="J795" s="6" t="n">
        <f aca="false">IF(B795&gt;$P$4,1,0)</f>
        <v>0</v>
      </c>
      <c r="K795" s="6" t="n">
        <f aca="false">IF(F795&gt;$P$6,1,0)</f>
        <v>0</v>
      </c>
      <c r="L795" s="6" t="n">
        <f aca="false">IF(G795&gt;$P$9,1,0)</f>
        <v>0</v>
      </c>
      <c r="M795" s="6" t="n">
        <f aca="false">IF(ABS(H795)&gt;$P$8,1,0)</f>
        <v>0</v>
      </c>
    </row>
    <row r="796" customFormat="false" ht="15" hidden="false" customHeight="false" outlineLevel="0" collapsed="false">
      <c r="A796" s="0" t="n">
        <f aca="false">ROW()-1</f>
        <v>795</v>
      </c>
      <c r="B796" s="22" t="n">
        <f aca="false">SUMPRODUCT(MMULT('Analysis Data'!N796:U796,'Final Model'!$B$59:$I$66),'Analysis Data'!N796:U796)</f>
        <v>0.00169383621303627</v>
      </c>
      <c r="C796" s="15" t="n">
        <f aca="false">'Residual Diagnostics'!F796</f>
        <v>7.93118388109915</v>
      </c>
      <c r="D796" s="13" t="n">
        <f aca="false">C796/('Final Model'!$B$21*SQRT(1-B796))</f>
        <v>0.16189235901766</v>
      </c>
      <c r="E796" s="13" t="n">
        <f aca="false">D796*SQRT(('Final Model'!$B$24-1)/('Final Model'!$B$24-D796^2))</f>
        <v>0.161835145606529</v>
      </c>
      <c r="F796" s="23" t="n">
        <f aca="false">D796^2/($P$3+1)*B796/(1-B796)</f>
        <v>5.55866340460489E-006</v>
      </c>
      <c r="G796" s="13" t="n">
        <f aca="false">($P$2-1)*(B796-1/$P$2)</f>
        <v>1.34668465577673</v>
      </c>
      <c r="H796" s="13" t="n">
        <f aca="false">E796*SQRT(B796/(1-B796))</f>
        <v>0.00666617442965327</v>
      </c>
      <c r="I796" s="13" t="n">
        <f aca="false">ABS(D796)</f>
        <v>0.16189235901766</v>
      </c>
      <c r="J796" s="6" t="n">
        <f aca="false">IF(B796&gt;$P$4,1,0)</f>
        <v>0</v>
      </c>
      <c r="K796" s="6" t="n">
        <f aca="false">IF(F796&gt;$P$6,1,0)</f>
        <v>0</v>
      </c>
      <c r="L796" s="6" t="n">
        <f aca="false">IF(G796&gt;$P$9,1,0)</f>
        <v>0</v>
      </c>
      <c r="M796" s="6" t="n">
        <f aca="false">IF(ABS(H796)&gt;$P$8,1,0)</f>
        <v>0</v>
      </c>
    </row>
    <row r="797" customFormat="false" ht="15" hidden="false" customHeight="false" outlineLevel="0" collapsed="false">
      <c r="A797" s="0" t="n">
        <f aca="false">ROW()-1</f>
        <v>796</v>
      </c>
      <c r="B797" s="22" t="n">
        <f aca="false">SUMPRODUCT(MMULT('Analysis Data'!N797:U797,'Final Model'!$B$59:$I$66),'Analysis Data'!N797:U797)</f>
        <v>0.00224044484591693</v>
      </c>
      <c r="C797" s="15" t="n">
        <f aca="false">'Residual Diagnostics'!F797</f>
        <v>110.500371601626</v>
      </c>
      <c r="D797" s="13" t="n">
        <f aca="false">C797/('Final Model'!$B$21*SQRT(1-B797))</f>
        <v>2.2561657367961</v>
      </c>
      <c r="E797" s="13" t="n">
        <f aca="false">D797*SQRT(('Final Model'!$B$24-1)/('Final Model'!$B$24-D797^2))</f>
        <v>2.2595241131258</v>
      </c>
      <c r="F797" s="23" t="n">
        <f aca="false">D797^2/($P$3+1)*B797/(1-B797)</f>
        <v>0.00142876358794393</v>
      </c>
      <c r="G797" s="13" t="n">
        <f aca="false">($P$2-1)*(B797-1/$P$2)</f>
        <v>2.10373761231645</v>
      </c>
      <c r="H797" s="13" t="n">
        <f aca="false">E797*SQRT(B797/(1-B797))</f>
        <v>0.107070828002954</v>
      </c>
      <c r="I797" s="13" t="n">
        <f aca="false">ABS(D797)</f>
        <v>2.2561657367961</v>
      </c>
      <c r="J797" s="6" t="n">
        <f aca="false">IF(B797&gt;$P$4,1,0)</f>
        <v>0</v>
      </c>
      <c r="K797" s="6" t="n">
        <f aca="false">IF(F797&gt;$P$6,1,0)</f>
        <v>0</v>
      </c>
      <c r="L797" s="6" t="n">
        <f aca="false">IF(G797&gt;$P$9,1,0)</f>
        <v>0</v>
      </c>
      <c r="M797" s="6" t="n">
        <f aca="false">IF(ABS(H797)&gt;$P$8,1,0)</f>
        <v>0</v>
      </c>
    </row>
    <row r="798" customFormat="false" ht="15" hidden="false" customHeight="false" outlineLevel="0" collapsed="false">
      <c r="A798" s="0" t="n">
        <f aca="false">ROW()-1</f>
        <v>797</v>
      </c>
      <c r="B798" s="22" t="n">
        <f aca="false">SUMPRODUCT(MMULT('Analysis Data'!N798:U798,'Final Model'!$B$59:$I$66),'Analysis Data'!N798:U798)</f>
        <v>0.00224044484591693</v>
      </c>
      <c r="C798" s="15" t="n">
        <f aca="false">'Residual Diagnostics'!F798</f>
        <v>-49.8706412059641</v>
      </c>
      <c r="D798" s="13" t="n">
        <f aca="false">C798/('Final Model'!$B$21*SQRT(1-B798))</f>
        <v>-1.01824482877388</v>
      </c>
      <c r="E798" s="13" t="n">
        <f aca="false">D798*SQRT(('Final Model'!$B$24-1)/('Final Model'!$B$24-D798^2))</f>
        <v>-1.01825844355388</v>
      </c>
      <c r="F798" s="23" t="n">
        <f aca="false">D798^2/($P$3+1)*B798/(1-B798)</f>
        <v>0.000291019976260507</v>
      </c>
      <c r="G798" s="13" t="n">
        <f aca="false">($P$2-1)*(B798-1/$P$2)</f>
        <v>2.10373761231645</v>
      </c>
      <c r="H798" s="13" t="n">
        <f aca="false">E798*SQRT(B798/(1-B798))</f>
        <v>-0.0482516535402173</v>
      </c>
      <c r="I798" s="13" t="n">
        <f aca="false">ABS(D798)</f>
        <v>1.01824482877388</v>
      </c>
      <c r="J798" s="6" t="n">
        <f aca="false">IF(B798&gt;$P$4,1,0)</f>
        <v>0</v>
      </c>
      <c r="K798" s="6" t="n">
        <f aca="false">IF(F798&gt;$P$6,1,0)</f>
        <v>0</v>
      </c>
      <c r="L798" s="6" t="n">
        <f aca="false">IF(G798&gt;$P$9,1,0)</f>
        <v>0</v>
      </c>
      <c r="M798" s="6" t="n">
        <f aca="false">IF(ABS(H798)&gt;$P$8,1,0)</f>
        <v>0</v>
      </c>
    </row>
    <row r="799" customFormat="false" ht="15" hidden="false" customHeight="false" outlineLevel="0" collapsed="false">
      <c r="A799" s="0" t="n">
        <f aca="false">ROW()-1</f>
        <v>798</v>
      </c>
      <c r="B799" s="22" t="n">
        <f aca="false">SUMPRODUCT(MMULT('Analysis Data'!N799:U799,'Final Model'!$B$59:$I$66),'Analysis Data'!N799:U799)</f>
        <v>0.00193719961181869</v>
      </c>
      <c r="C799" s="15" t="n">
        <f aca="false">'Residual Diagnostics'!F799</f>
        <v>-76.0661248383395</v>
      </c>
      <c r="D799" s="13" t="n">
        <f aca="false">C799/('Final Model'!$B$21*SQRT(1-B799))</f>
        <v>-1.55286094046329</v>
      </c>
      <c r="E799" s="13" t="n">
        <f aca="false">D799*SQRT(('Final Model'!$B$24-1)/('Final Model'!$B$24-D799^2))</f>
        <v>-1.5536573669712</v>
      </c>
      <c r="F799" s="23" t="n">
        <f aca="false">D799^2/($P$3+1)*B799/(1-B799)</f>
        <v>0.000585048203011191</v>
      </c>
      <c r="G799" s="13" t="n">
        <f aca="false">($P$2-1)*(B799-1/$P$2)</f>
        <v>1.68374296309038</v>
      </c>
      <c r="H799" s="13" t="n">
        <f aca="false">E799*SQRT(B799/(1-B799))</f>
        <v>-0.0684484315275825</v>
      </c>
      <c r="I799" s="13" t="n">
        <f aca="false">ABS(D799)</f>
        <v>1.55286094046329</v>
      </c>
      <c r="J799" s="6" t="n">
        <f aca="false">IF(B799&gt;$P$4,1,0)</f>
        <v>0</v>
      </c>
      <c r="K799" s="6" t="n">
        <f aca="false">IF(F799&gt;$P$6,1,0)</f>
        <v>0</v>
      </c>
      <c r="L799" s="6" t="n">
        <f aca="false">IF(G799&gt;$P$9,1,0)</f>
        <v>0</v>
      </c>
      <c r="M799" s="6" t="n">
        <f aca="false">IF(ABS(H799)&gt;$P$8,1,0)</f>
        <v>0</v>
      </c>
    </row>
    <row r="800" customFormat="false" ht="15" hidden="false" customHeight="false" outlineLevel="0" collapsed="false">
      <c r="A800" s="0" t="n">
        <f aca="false">ROW()-1</f>
        <v>799</v>
      </c>
      <c r="B800" s="22" t="n">
        <f aca="false">SUMPRODUCT(MMULT('Analysis Data'!N800:U800,'Final Model'!$B$59:$I$66),'Analysis Data'!N800:U800)</f>
        <v>0.013033617866484</v>
      </c>
      <c r="C800" s="15" t="n">
        <f aca="false">'Residual Diagnostics'!F800</f>
        <v>-49.3534123558404</v>
      </c>
      <c r="D800" s="13" t="n">
        <f aca="false">C800/('Final Model'!$B$21*SQRT(1-B800))</f>
        <v>-1.01317908120064</v>
      </c>
      <c r="E800" s="13" t="n">
        <f aca="false">D800*SQRT(('Final Model'!$B$24-1)/('Final Model'!$B$24-D800^2))</f>
        <v>-1.01318884224075</v>
      </c>
      <c r="F800" s="23" t="n">
        <f aca="false">D800^2/($P$3+1)*B800/(1-B800)</f>
        <v>0.0016945136266123</v>
      </c>
      <c r="G800" s="13" t="n">
        <f aca="false">($P$2-1)*(B800-1/$P$2)</f>
        <v>17.0522822458018</v>
      </c>
      <c r="H800" s="13" t="n">
        <f aca="false">E800*SQRT(B800/(1-B800))</f>
        <v>-0.116431826470318</v>
      </c>
      <c r="I800" s="13" t="n">
        <f aca="false">ABS(D800)</f>
        <v>1.01317908120064</v>
      </c>
      <c r="J800" s="6" t="n">
        <f aca="false">IF(B800&gt;$P$4,1,0)</f>
        <v>1</v>
      </c>
      <c r="K800" s="6" t="n">
        <f aca="false">IF(F800&gt;$P$6,1,0)</f>
        <v>0</v>
      </c>
      <c r="L800" s="6" t="n">
        <f aca="false">IF(G800&gt;$P$9,1,0)</f>
        <v>1</v>
      </c>
      <c r="M800" s="6" t="n">
        <f aca="false">IF(ABS(H800)&gt;$P$8,1,0)</f>
        <v>0</v>
      </c>
    </row>
    <row r="801" customFormat="false" ht="15" hidden="false" customHeight="false" outlineLevel="0" collapsed="false">
      <c r="A801" s="0" t="n">
        <f aca="false">ROW()-1</f>
        <v>800</v>
      </c>
      <c r="B801" s="22" t="n">
        <f aca="false">SUMPRODUCT(MMULT('Analysis Data'!N801:U801,'Final Model'!$B$59:$I$66),'Analysis Data'!N801:U801)</f>
        <v>0.00507984300765141</v>
      </c>
      <c r="C801" s="15" t="n">
        <f aca="false">'Residual Diagnostics'!F801</f>
        <v>29.0119828693597</v>
      </c>
      <c r="D801" s="13" t="n">
        <f aca="false">C801/('Final Model'!$B$21*SQRT(1-B801))</f>
        <v>0.593203228888771</v>
      </c>
      <c r="E801" s="13" t="n">
        <f aca="false">D801*SQRT(('Final Model'!$B$24-1)/('Final Model'!$B$24-D801^2))</f>
        <v>0.593063677239968</v>
      </c>
      <c r="F801" s="23" t="n">
        <f aca="false">D801^2/($P$3+1)*B801/(1-B801)</f>
        <v>0.000224584141610488</v>
      </c>
      <c r="G801" s="13" t="n">
        <f aca="false">($P$2-1)*(B801-1/$P$2)</f>
        <v>6.0363040663187</v>
      </c>
      <c r="H801" s="13" t="n">
        <f aca="false">E801*SQRT(B801/(1-B801))</f>
        <v>0.0423772096065689</v>
      </c>
      <c r="I801" s="13" t="n">
        <f aca="false">ABS(D801)</f>
        <v>0.593203228888771</v>
      </c>
      <c r="J801" s="6" t="n">
        <f aca="false">IF(B801&gt;$P$4,1,0)</f>
        <v>0</v>
      </c>
      <c r="K801" s="6" t="n">
        <f aca="false">IF(F801&gt;$P$6,1,0)</f>
        <v>0</v>
      </c>
      <c r="L801" s="6" t="n">
        <f aca="false">IF(G801&gt;$P$9,1,0)</f>
        <v>0</v>
      </c>
      <c r="M801" s="6" t="n">
        <f aca="false">IF(ABS(H801)&gt;$P$8,1,0)</f>
        <v>0</v>
      </c>
    </row>
    <row r="802" customFormat="false" ht="15" hidden="false" customHeight="false" outlineLevel="0" collapsed="false">
      <c r="A802" s="0" t="n">
        <f aca="false">ROW()-1</f>
        <v>801</v>
      </c>
      <c r="B802" s="22" t="n">
        <f aca="false">SUMPRODUCT(MMULT('Analysis Data'!N802:U802,'Final Model'!$B$59:$I$66),'Analysis Data'!N802:U802)</f>
        <v>0.00507984300765141</v>
      </c>
      <c r="C802" s="15" t="n">
        <f aca="false">'Residual Diagnostics'!F802</f>
        <v>24.4232465009143</v>
      </c>
      <c r="D802" s="13" t="n">
        <f aca="false">C802/('Final Model'!$B$21*SQRT(1-B802))</f>
        <v>0.499378093166801</v>
      </c>
      <c r="E802" s="13" t="n">
        <f aca="false">D802*SQRT(('Final Model'!$B$24-1)/('Final Model'!$B$24-D802^2))</f>
        <v>0.499242039875754</v>
      </c>
      <c r="F802" s="23" t="n">
        <f aca="false">D802^2/($P$3+1)*B802/(1-B802)</f>
        <v>0.000159158943390197</v>
      </c>
      <c r="G802" s="13" t="n">
        <f aca="false">($P$2-1)*(B802-1/$P$2)</f>
        <v>6.0363040663187</v>
      </c>
      <c r="H802" s="13" t="n">
        <f aca="false">E802*SQRT(B802/(1-B802))</f>
        <v>0.0356732091007243</v>
      </c>
      <c r="I802" s="13" t="n">
        <f aca="false">ABS(D802)</f>
        <v>0.499378093166801</v>
      </c>
      <c r="J802" s="6" t="n">
        <f aca="false">IF(B802&gt;$P$4,1,0)</f>
        <v>0</v>
      </c>
      <c r="K802" s="6" t="n">
        <f aca="false">IF(F802&gt;$P$6,1,0)</f>
        <v>0</v>
      </c>
      <c r="L802" s="6" t="n">
        <f aca="false">IF(G802&gt;$P$9,1,0)</f>
        <v>0</v>
      </c>
      <c r="M802" s="6" t="n">
        <f aca="false">IF(ABS(H802)&gt;$P$8,1,0)</f>
        <v>0</v>
      </c>
    </row>
    <row r="803" customFormat="false" ht="15" hidden="false" customHeight="false" outlineLevel="0" collapsed="false">
      <c r="A803" s="0" t="n">
        <f aca="false">ROW()-1</f>
        <v>802</v>
      </c>
      <c r="B803" s="22" t="n">
        <f aca="false">SUMPRODUCT(MMULT('Analysis Data'!N803:U803,'Final Model'!$B$59:$I$66),'Analysis Data'!N803:U803)</f>
        <v>0.00571816798659665</v>
      </c>
      <c r="C803" s="15" t="n">
        <f aca="false">'Residual Diagnostics'!F803</f>
        <v>-64.4853835209109</v>
      </c>
      <c r="D803" s="13" t="n">
        <f aca="false">C803/('Final Model'!$B$21*SQRT(1-B803))</f>
        <v>-1.31894517654221</v>
      </c>
      <c r="E803" s="13" t="n">
        <f aca="false">D803*SQRT(('Final Model'!$B$24-1)/('Final Model'!$B$24-D803^2))</f>
        <v>-1.31929953624016</v>
      </c>
      <c r="F803" s="23" t="n">
        <f aca="false">D803^2/($P$3+1)*B803/(1-B803)</f>
        <v>0.00125057835282416</v>
      </c>
      <c r="G803" s="13" t="n">
        <f aca="false">($P$2-1)*(B803-1/$P$2)</f>
        <v>6.92038416215787</v>
      </c>
      <c r="H803" s="13" t="n">
        <f aca="false">E803*SQRT(B803/(1-B803))</f>
        <v>-0.100050004553587</v>
      </c>
      <c r="I803" s="13" t="n">
        <f aca="false">ABS(D803)</f>
        <v>1.31894517654221</v>
      </c>
      <c r="J803" s="6" t="n">
        <f aca="false">IF(B803&gt;$P$4,1,0)</f>
        <v>0</v>
      </c>
      <c r="K803" s="6" t="n">
        <f aca="false">IF(F803&gt;$P$6,1,0)</f>
        <v>0</v>
      </c>
      <c r="L803" s="6" t="n">
        <f aca="false">IF(G803&gt;$P$9,1,0)</f>
        <v>0</v>
      </c>
      <c r="M803" s="6" t="n">
        <f aca="false">IF(ABS(H803)&gt;$P$8,1,0)</f>
        <v>0</v>
      </c>
    </row>
    <row r="804" customFormat="false" ht="15" hidden="false" customHeight="false" outlineLevel="0" collapsed="false">
      <c r="A804" s="0" t="n">
        <f aca="false">ROW()-1</f>
        <v>803</v>
      </c>
      <c r="B804" s="22" t="n">
        <f aca="false">SUMPRODUCT(MMULT('Analysis Data'!N804:U804,'Final Model'!$B$59:$I$66),'Analysis Data'!N804:U804)</f>
        <v>0.0113630228553414</v>
      </c>
      <c r="C804" s="15" t="n">
        <f aca="false">'Residual Diagnostics'!F804</f>
        <v>-92.0802461603255</v>
      </c>
      <c r="D804" s="13" t="n">
        <f aca="false">C804/('Final Model'!$B$21*SQRT(1-B804))</f>
        <v>-1.88872294108479</v>
      </c>
      <c r="E804" s="13" t="n">
        <f aca="false">D804*SQRT(('Final Model'!$B$24-1)/('Final Model'!$B$24-D804^2))</f>
        <v>-1.8904860713215</v>
      </c>
      <c r="F804" s="23" t="n">
        <f aca="false">D804^2/($P$3+1)*B804/(1-B804)</f>
        <v>0.00512511428445581</v>
      </c>
      <c r="G804" s="13" t="n">
        <f aca="false">($P$2-1)*(B804-1/$P$2)</f>
        <v>14.7385081553694</v>
      </c>
      <c r="H804" s="13" t="n">
        <f aca="false">E804*SQRT(B804/(1-B804))</f>
        <v>-0.202675847184707</v>
      </c>
      <c r="I804" s="13" t="n">
        <f aca="false">ABS(D804)</f>
        <v>1.88872294108479</v>
      </c>
      <c r="J804" s="6" t="n">
        <f aca="false">IF(B804&gt;$P$4,1,0)</f>
        <v>0</v>
      </c>
      <c r="K804" s="6" t="n">
        <f aca="false">IF(F804&gt;$P$6,1,0)</f>
        <v>1</v>
      </c>
      <c r="L804" s="6" t="n">
        <f aca="false">IF(G804&gt;$P$9,1,0)</f>
        <v>1</v>
      </c>
      <c r="M804" s="6" t="n">
        <f aca="false">IF(ABS(H804)&gt;$P$8,1,0)</f>
        <v>1</v>
      </c>
    </row>
    <row r="805" customFormat="false" ht="15" hidden="false" customHeight="false" outlineLevel="0" collapsed="false">
      <c r="A805" s="0" t="n">
        <f aca="false">ROW()-1</f>
        <v>804</v>
      </c>
      <c r="B805" s="22" t="n">
        <f aca="false">SUMPRODUCT(MMULT('Analysis Data'!N805:U805,'Final Model'!$B$59:$I$66),'Analysis Data'!N805:U805)</f>
        <v>0.00194862918316512</v>
      </c>
      <c r="C805" s="15" t="n">
        <f aca="false">'Residual Diagnostics'!F805</f>
        <v>19.9973007152308</v>
      </c>
      <c r="D805" s="13" t="n">
        <f aca="false">C805/('Final Model'!$B$21*SQRT(1-B805))</f>
        <v>0.408239608219088</v>
      </c>
      <c r="E805" s="13" t="n">
        <f aca="false">D805*SQRT(('Final Model'!$B$24-1)/('Final Model'!$B$24-D805^2))</f>
        <v>0.408116133915859</v>
      </c>
      <c r="F805" s="23" t="n">
        <f aca="false">D805^2/($P$3+1)*B805/(1-B805)</f>
        <v>4.06739730905813E-005</v>
      </c>
      <c r="G805" s="13" t="n">
        <f aca="false">($P$2-1)*(B805-1/$P$2)</f>
        <v>1.69957291940519</v>
      </c>
      <c r="H805" s="13" t="n">
        <f aca="false">E805*SQRT(B805/(1-B805))</f>
        <v>0.0180331633786161</v>
      </c>
      <c r="I805" s="13" t="n">
        <f aca="false">ABS(D805)</f>
        <v>0.408239608219088</v>
      </c>
      <c r="J805" s="6" t="n">
        <f aca="false">IF(B805&gt;$P$4,1,0)</f>
        <v>0</v>
      </c>
      <c r="K805" s="6" t="n">
        <f aca="false">IF(F805&gt;$P$6,1,0)</f>
        <v>0</v>
      </c>
      <c r="L805" s="6" t="n">
        <f aca="false">IF(G805&gt;$P$9,1,0)</f>
        <v>0</v>
      </c>
      <c r="M805" s="6" t="n">
        <f aca="false">IF(ABS(H805)&gt;$P$8,1,0)</f>
        <v>0</v>
      </c>
    </row>
    <row r="806" customFormat="false" ht="15" hidden="false" customHeight="false" outlineLevel="0" collapsed="false">
      <c r="A806" s="0" t="n">
        <f aca="false">ROW()-1</f>
        <v>805</v>
      </c>
      <c r="B806" s="22" t="n">
        <f aca="false">SUMPRODUCT(MMULT('Analysis Data'!N806:U806,'Final Model'!$B$59:$I$66),'Analysis Data'!N806:U806)</f>
        <v>0.00467941774046394</v>
      </c>
      <c r="C806" s="15" t="n">
        <f aca="false">'Residual Diagnostics'!F806</f>
        <v>49.1513743066473</v>
      </c>
      <c r="D806" s="13" t="n">
        <f aca="false">C806/('Final Model'!$B$21*SQRT(1-B806))</f>
        <v>1.00478786607005</v>
      </c>
      <c r="E806" s="13" t="n">
        <f aca="false">D806*SQRT(('Final Model'!$B$24-1)/('Final Model'!$B$24-D806^2))</f>
        <v>1.00479136812644</v>
      </c>
      <c r="F806" s="23" t="n">
        <f aca="false">D806^2/($P$3+1)*B806/(1-B806)</f>
        <v>0.000593318115905632</v>
      </c>
      <c r="G806" s="13" t="n">
        <f aca="false">($P$2-1)*(B806-1/$P$2)</f>
        <v>5.48171507126405</v>
      </c>
      <c r="H806" s="13" t="n">
        <f aca="false">E806*SQRT(B806/(1-B806))</f>
        <v>0.0688954135935258</v>
      </c>
      <c r="I806" s="13" t="n">
        <f aca="false">ABS(D806)</f>
        <v>1.00478786607005</v>
      </c>
      <c r="J806" s="6" t="n">
        <f aca="false">IF(B806&gt;$P$4,1,0)</f>
        <v>0</v>
      </c>
      <c r="K806" s="6" t="n">
        <f aca="false">IF(F806&gt;$P$6,1,0)</f>
        <v>0</v>
      </c>
      <c r="L806" s="6" t="n">
        <f aca="false">IF(G806&gt;$P$9,1,0)</f>
        <v>0</v>
      </c>
      <c r="M806" s="6" t="n">
        <f aca="false">IF(ABS(H806)&gt;$P$8,1,0)</f>
        <v>0</v>
      </c>
    </row>
    <row r="807" customFormat="false" ht="15" hidden="false" customHeight="false" outlineLevel="0" collapsed="false">
      <c r="A807" s="0" t="n">
        <f aca="false">ROW()-1</f>
        <v>806</v>
      </c>
      <c r="B807" s="22" t="n">
        <f aca="false">SUMPRODUCT(MMULT('Analysis Data'!N807:U807,'Final Model'!$B$59:$I$66),'Analysis Data'!N807:U807)</f>
        <v>0.00180539340303426</v>
      </c>
      <c r="C807" s="15" t="n">
        <f aca="false">'Residual Diagnostics'!F807</f>
        <v>108.422307613321</v>
      </c>
      <c r="D807" s="13" t="n">
        <f aca="false">C807/('Final Model'!$B$21*SQRT(1-B807))</f>
        <v>2.21325393832294</v>
      </c>
      <c r="E807" s="13" t="n">
        <f aca="false">D807*SQRT(('Final Model'!$B$24-1)/('Final Model'!$B$24-D807^2))</f>
        <v>2.21639363310537</v>
      </c>
      <c r="F807" s="23" t="n">
        <f aca="false">D807^2/($P$3+1)*B807/(1-B807)</f>
        <v>0.00110746277334621</v>
      </c>
      <c r="G807" s="13" t="n">
        <f aca="false">($P$2-1)*(B807-1/$P$2)</f>
        <v>1.50119136392395</v>
      </c>
      <c r="H807" s="13" t="n">
        <f aca="false">E807*SQRT(B807/(1-B807))</f>
        <v>0.0942595169985433</v>
      </c>
      <c r="I807" s="13" t="n">
        <f aca="false">ABS(D807)</f>
        <v>2.21325393832294</v>
      </c>
      <c r="J807" s="6" t="n">
        <f aca="false">IF(B807&gt;$P$4,1,0)</f>
        <v>0</v>
      </c>
      <c r="K807" s="6" t="n">
        <f aca="false">IF(F807&gt;$P$6,1,0)</f>
        <v>0</v>
      </c>
      <c r="L807" s="6" t="n">
        <f aca="false">IF(G807&gt;$P$9,1,0)</f>
        <v>0</v>
      </c>
      <c r="M807" s="6" t="n">
        <f aca="false">IF(ABS(H807)&gt;$P$8,1,0)</f>
        <v>0</v>
      </c>
    </row>
    <row r="808" customFormat="false" ht="15" hidden="false" customHeight="false" outlineLevel="0" collapsed="false">
      <c r="A808" s="0" t="n">
        <f aca="false">ROW()-1</f>
        <v>807</v>
      </c>
      <c r="B808" s="22" t="n">
        <f aca="false">SUMPRODUCT(MMULT('Analysis Data'!N808:U808,'Final Model'!$B$59:$I$66),'Analysis Data'!N808:U808)</f>
        <v>0.00241405166817641</v>
      </c>
      <c r="C808" s="15" t="n">
        <f aca="false">'Residual Diagnostics'!F808</f>
        <v>88.2891621839608</v>
      </c>
      <c r="D808" s="13" t="n">
        <f aca="false">C808/('Final Model'!$B$21*SQRT(1-B808))</f>
        <v>1.80282031321975</v>
      </c>
      <c r="E808" s="13" t="n">
        <f aca="false">D808*SQRT(('Final Model'!$B$24-1)/('Final Model'!$B$24-D808^2))</f>
        <v>1.80429511881519</v>
      </c>
      <c r="F808" s="23" t="n">
        <f aca="false">D808^2/($P$3+1)*B808/(1-B808)</f>
        <v>0.000983130425300647</v>
      </c>
      <c r="G808" s="13" t="n">
        <f aca="false">($P$2-1)*(B808-1/$P$2)</f>
        <v>2.34418306114582</v>
      </c>
      <c r="H808" s="13" t="n">
        <f aca="false">E808*SQRT(B808/(1-B808))</f>
        <v>0.0887576291759443</v>
      </c>
      <c r="I808" s="13" t="n">
        <f aca="false">ABS(D808)</f>
        <v>1.80282031321975</v>
      </c>
      <c r="J808" s="6" t="n">
        <f aca="false">IF(B808&gt;$P$4,1,0)</f>
        <v>0</v>
      </c>
      <c r="K808" s="6" t="n">
        <f aca="false">IF(F808&gt;$P$6,1,0)</f>
        <v>0</v>
      </c>
      <c r="L808" s="6" t="n">
        <f aca="false">IF(G808&gt;$P$9,1,0)</f>
        <v>0</v>
      </c>
      <c r="M808" s="6" t="n">
        <f aca="false">IF(ABS(H808)&gt;$P$8,1,0)</f>
        <v>0</v>
      </c>
    </row>
    <row r="809" customFormat="false" ht="15" hidden="false" customHeight="false" outlineLevel="0" collapsed="false">
      <c r="A809" s="0" t="n">
        <f aca="false">ROW()-1</f>
        <v>808</v>
      </c>
      <c r="B809" s="22" t="n">
        <f aca="false">SUMPRODUCT(MMULT('Analysis Data'!N809:U809,'Final Model'!$B$59:$I$66),'Analysis Data'!N809:U809)</f>
        <v>0.00241405166817641</v>
      </c>
      <c r="C809" s="15" t="n">
        <f aca="false">'Residual Diagnostics'!F809</f>
        <v>-50.5911283276044</v>
      </c>
      <c r="D809" s="13" t="n">
        <f aca="false">C809/('Final Model'!$B$21*SQRT(1-B809))</f>
        <v>-1.0330454108022</v>
      </c>
      <c r="E809" s="13" t="n">
        <f aca="false">D809*SQRT(('Final Model'!$B$24-1)/('Final Model'!$B$24-D809^2))</f>
        <v>-1.03307061248862</v>
      </c>
      <c r="F809" s="23" t="n">
        <f aca="false">D809^2/($P$3+1)*B809/(1-B809)</f>
        <v>0.000322808585197591</v>
      </c>
      <c r="G809" s="13" t="n">
        <f aca="false">($P$2-1)*(B809-1/$P$2)</f>
        <v>2.34418306114582</v>
      </c>
      <c r="H809" s="13" t="n">
        <f aca="false">E809*SQRT(B809/(1-B809))</f>
        <v>-0.0508192353787674</v>
      </c>
      <c r="I809" s="13" t="n">
        <f aca="false">ABS(D809)</f>
        <v>1.0330454108022</v>
      </c>
      <c r="J809" s="6" t="n">
        <f aca="false">IF(B809&gt;$P$4,1,0)</f>
        <v>0</v>
      </c>
      <c r="K809" s="6" t="n">
        <f aca="false">IF(F809&gt;$P$6,1,0)</f>
        <v>0</v>
      </c>
      <c r="L809" s="6" t="n">
        <f aca="false">IF(G809&gt;$P$9,1,0)</f>
        <v>0</v>
      </c>
      <c r="M809" s="6" t="n">
        <f aca="false">IF(ABS(H809)&gt;$P$8,1,0)</f>
        <v>0</v>
      </c>
    </row>
    <row r="810" customFormat="false" ht="15" hidden="false" customHeight="false" outlineLevel="0" collapsed="false">
      <c r="A810" s="0" t="n">
        <f aca="false">ROW()-1</f>
        <v>809</v>
      </c>
      <c r="B810" s="22" t="n">
        <f aca="false">SUMPRODUCT(MMULT('Analysis Data'!N810:U810,'Final Model'!$B$59:$I$66),'Analysis Data'!N810:U810)</f>
        <v>0.00195258481203924</v>
      </c>
      <c r="C810" s="15" t="n">
        <f aca="false">'Residual Diagnostics'!F810</f>
        <v>-19.036765580812</v>
      </c>
      <c r="D810" s="13" t="n">
        <f aca="false">C810/('Final Model'!$B$21*SQRT(1-B810))</f>
        <v>-0.388631307490076</v>
      </c>
      <c r="E810" s="13" t="n">
        <f aca="false">D810*SQRT(('Final Model'!$B$24-1)/('Final Model'!$B$24-D810^2))</f>
        <v>-0.388511560878114</v>
      </c>
      <c r="F810" s="23" t="n">
        <f aca="false">D810^2/($P$3+1)*B810/(1-B810)</f>
        <v>3.69355281167406E-005</v>
      </c>
      <c r="G810" s="13" t="n">
        <f aca="false">($P$2-1)*(B810-1/$P$2)</f>
        <v>1.70505146539585</v>
      </c>
      <c r="H810" s="13" t="n">
        <f aca="false">E810*SQRT(B810/(1-B810))</f>
        <v>-0.0171843580461021</v>
      </c>
      <c r="I810" s="13" t="n">
        <f aca="false">ABS(D810)</f>
        <v>0.388631307490076</v>
      </c>
      <c r="J810" s="6" t="n">
        <f aca="false">IF(B810&gt;$P$4,1,0)</f>
        <v>0</v>
      </c>
      <c r="K810" s="6" t="n">
        <f aca="false">IF(F810&gt;$P$6,1,0)</f>
        <v>0</v>
      </c>
      <c r="L810" s="6" t="n">
        <f aca="false">IF(G810&gt;$P$9,1,0)</f>
        <v>0</v>
      </c>
      <c r="M810" s="6" t="n">
        <f aca="false">IF(ABS(H810)&gt;$P$8,1,0)</f>
        <v>0</v>
      </c>
    </row>
    <row r="811" customFormat="false" ht="15" hidden="false" customHeight="false" outlineLevel="0" collapsed="false">
      <c r="A811" s="0" t="n">
        <f aca="false">ROW()-1</f>
        <v>810</v>
      </c>
      <c r="B811" s="22" t="n">
        <f aca="false">SUMPRODUCT(MMULT('Analysis Data'!N811:U811,'Final Model'!$B$59:$I$66),'Analysis Data'!N811:U811)</f>
        <v>0.00195258481203924</v>
      </c>
      <c r="C811" s="15" t="n">
        <f aca="false">'Residual Diagnostics'!F811</f>
        <v>15.5958825353488</v>
      </c>
      <c r="D811" s="13" t="n">
        <f aca="false">C811/('Final Model'!$B$21*SQRT(1-B811))</f>
        <v>0.31838645044216</v>
      </c>
      <c r="E811" s="13" t="n">
        <f aca="false">D811*SQRT(('Final Model'!$B$24-1)/('Final Model'!$B$24-D811^2))</f>
        <v>0.318282611779684</v>
      </c>
      <c r="F811" s="23" t="n">
        <f aca="false">D811^2/($P$3+1)*B811/(1-B811)</f>
        <v>2.47900783904615E-005</v>
      </c>
      <c r="G811" s="13" t="n">
        <f aca="false">($P$2-1)*(B811-1/$P$2)</f>
        <v>1.70505146539585</v>
      </c>
      <c r="H811" s="13" t="n">
        <f aca="false">E811*SQRT(B811/(1-B811))</f>
        <v>0.0140780427442325</v>
      </c>
      <c r="I811" s="13" t="n">
        <f aca="false">ABS(D811)</f>
        <v>0.31838645044216</v>
      </c>
      <c r="J811" s="6" t="n">
        <f aca="false">IF(B811&gt;$P$4,1,0)</f>
        <v>0</v>
      </c>
      <c r="K811" s="6" t="n">
        <f aca="false">IF(F811&gt;$P$6,1,0)</f>
        <v>0</v>
      </c>
      <c r="L811" s="6" t="n">
        <f aca="false">IF(G811&gt;$P$9,1,0)</f>
        <v>0</v>
      </c>
      <c r="M811" s="6" t="n">
        <f aca="false">IF(ABS(H811)&gt;$P$8,1,0)</f>
        <v>0</v>
      </c>
    </row>
    <row r="812" customFormat="false" ht="15" hidden="false" customHeight="false" outlineLevel="0" collapsed="false">
      <c r="A812" s="0" t="n">
        <f aca="false">ROW()-1</f>
        <v>811</v>
      </c>
      <c r="B812" s="22" t="n">
        <f aca="false">SUMPRODUCT(MMULT('Analysis Data'!N812:U812,'Final Model'!$B$59:$I$66),'Analysis Data'!N812:U812)</f>
        <v>0.00280853434035282</v>
      </c>
      <c r="C812" s="15" t="n">
        <f aca="false">'Residual Diagnostics'!F812</f>
        <v>7.24313382638482</v>
      </c>
      <c r="D812" s="13" t="n">
        <f aca="false">C812/('Final Model'!$B$21*SQRT(1-B812))</f>
        <v>0.147930403461273</v>
      </c>
      <c r="E812" s="13" t="n">
        <f aca="false">D812*SQRT(('Final Model'!$B$24-1)/('Final Model'!$B$24-D812^2))</f>
        <v>0.147877892152659</v>
      </c>
      <c r="F812" s="23" t="n">
        <f aca="false">D812^2/($P$3+1)*B812/(1-B812)</f>
        <v>7.70417398358516E-006</v>
      </c>
      <c r="G812" s="13" t="n">
        <f aca="false">($P$2-1)*(B812-1/$P$2)</f>
        <v>2.89054156211015</v>
      </c>
      <c r="H812" s="13" t="n">
        <f aca="false">E812*SQRT(B812/(1-B812))</f>
        <v>0.00784790693413892</v>
      </c>
      <c r="I812" s="13" t="n">
        <f aca="false">ABS(D812)</f>
        <v>0.147930403461273</v>
      </c>
      <c r="J812" s="6" t="n">
        <f aca="false">IF(B812&gt;$P$4,1,0)</f>
        <v>0</v>
      </c>
      <c r="K812" s="6" t="n">
        <f aca="false">IF(F812&gt;$P$6,1,0)</f>
        <v>0</v>
      </c>
      <c r="L812" s="6" t="n">
        <f aca="false">IF(G812&gt;$P$9,1,0)</f>
        <v>0</v>
      </c>
      <c r="M812" s="6" t="n">
        <f aca="false">IF(ABS(H812)&gt;$P$8,1,0)</f>
        <v>0</v>
      </c>
    </row>
    <row r="813" customFormat="false" ht="15" hidden="false" customHeight="false" outlineLevel="0" collapsed="false">
      <c r="A813" s="0" t="n">
        <f aca="false">ROW()-1</f>
        <v>812</v>
      </c>
      <c r="B813" s="22" t="n">
        <f aca="false">SUMPRODUCT(MMULT('Analysis Data'!N813:U813,'Final Model'!$B$59:$I$66),'Analysis Data'!N813:U813)</f>
        <v>0.00238858129017411</v>
      </c>
      <c r="C813" s="15" t="n">
        <f aca="false">'Residual Diagnostics'!F813</f>
        <v>-43.0571514272059</v>
      </c>
      <c r="D813" s="13" t="n">
        <f aca="false">C813/('Final Model'!$B$21*SQRT(1-B813))</f>
        <v>-0.879194165725003</v>
      </c>
      <c r="E813" s="13" t="n">
        <f aca="false">D813*SQRT(('Final Model'!$B$24-1)/('Final Model'!$B$24-D813^2))</f>
        <v>-0.879121700986338</v>
      </c>
      <c r="F813" s="23" t="n">
        <f aca="false">D813^2/($P$3+1)*B813/(1-B813)</f>
        <v>0.000231343990552182</v>
      </c>
      <c r="G813" s="13" t="n">
        <f aca="false">($P$2-1)*(B813-1/$P$2)</f>
        <v>2.30890658761264</v>
      </c>
      <c r="H813" s="13" t="n">
        <f aca="false">E813*SQRT(B813/(1-B813))</f>
        <v>-0.043016820576306</v>
      </c>
      <c r="I813" s="13" t="n">
        <f aca="false">ABS(D813)</f>
        <v>0.879194165725003</v>
      </c>
      <c r="J813" s="6" t="n">
        <f aca="false">IF(B813&gt;$P$4,1,0)</f>
        <v>0</v>
      </c>
      <c r="K813" s="6" t="n">
        <f aca="false">IF(F813&gt;$P$6,1,0)</f>
        <v>0</v>
      </c>
      <c r="L813" s="6" t="n">
        <f aca="false">IF(G813&gt;$P$9,1,0)</f>
        <v>0</v>
      </c>
      <c r="M813" s="6" t="n">
        <f aca="false">IF(ABS(H813)&gt;$P$8,1,0)</f>
        <v>0</v>
      </c>
    </row>
    <row r="814" customFormat="false" ht="15" hidden="false" customHeight="false" outlineLevel="0" collapsed="false">
      <c r="A814" s="0" t="n">
        <f aca="false">ROW()-1</f>
        <v>813</v>
      </c>
      <c r="B814" s="22" t="n">
        <f aca="false">SUMPRODUCT(MMULT('Analysis Data'!N814:U814,'Final Model'!$B$59:$I$66),'Analysis Data'!N814:U814)</f>
        <v>0.00553629971967216</v>
      </c>
      <c r="C814" s="15" t="n">
        <f aca="false">'Residual Diagnostics'!F814</f>
        <v>41.4972463749867</v>
      </c>
      <c r="D814" s="13" t="n">
        <f aca="false">C814/('Final Model'!$B$21*SQRT(1-B814))</f>
        <v>0.848682057239742</v>
      </c>
      <c r="E814" s="13" t="n">
        <f aca="false">D814*SQRT(('Final Model'!$B$24-1)/('Final Model'!$B$24-D814^2))</f>
        <v>0.84859586511742</v>
      </c>
      <c r="F814" s="23" t="n">
        <f aca="false">D814^2/($P$3+1)*B814/(1-B814)</f>
        <v>0.000501222677649623</v>
      </c>
      <c r="G814" s="13" t="n">
        <f aca="false">($P$2-1)*(B814-1/$P$2)</f>
        <v>6.66849661246744</v>
      </c>
      <c r="H814" s="13" t="n">
        <f aca="false">E814*SQRT(B814/(1-B814))</f>
        <v>0.0633164038461781</v>
      </c>
      <c r="I814" s="13" t="n">
        <f aca="false">ABS(D814)</f>
        <v>0.848682057239742</v>
      </c>
      <c r="J814" s="6" t="n">
        <f aca="false">IF(B814&gt;$P$4,1,0)</f>
        <v>0</v>
      </c>
      <c r="K814" s="6" t="n">
        <f aca="false">IF(F814&gt;$P$6,1,0)</f>
        <v>0</v>
      </c>
      <c r="L814" s="6" t="n">
        <f aca="false">IF(G814&gt;$P$9,1,0)</f>
        <v>0</v>
      </c>
      <c r="M814" s="6" t="n">
        <f aca="false">IF(ABS(H814)&gt;$P$8,1,0)</f>
        <v>0</v>
      </c>
    </row>
    <row r="815" customFormat="false" ht="15" hidden="false" customHeight="false" outlineLevel="0" collapsed="false">
      <c r="A815" s="0" t="n">
        <f aca="false">ROW()-1</f>
        <v>814</v>
      </c>
      <c r="B815" s="22" t="n">
        <f aca="false">SUMPRODUCT(MMULT('Analysis Data'!N815:U815,'Final Model'!$B$59:$I$66),'Analysis Data'!N815:U815)</f>
        <v>0.00686378573012235</v>
      </c>
      <c r="C815" s="15" t="n">
        <f aca="false">'Residual Diagnostics'!F815</f>
        <v>64.5893651663951</v>
      </c>
      <c r="D815" s="13" t="n">
        <f aca="false">C815/('Final Model'!$B$21*SQRT(1-B815))</f>
        <v>1.32183368646149</v>
      </c>
      <c r="E815" s="13" t="n">
        <f aca="false">D815*SQRT(('Final Model'!$B$24-1)/('Final Model'!$B$24-D815^2))</f>
        <v>1.32219248634008</v>
      </c>
      <c r="F815" s="23" t="n">
        <f aca="false">D815^2/($P$3+1)*B815/(1-B815)</f>
        <v>0.0015094493439618</v>
      </c>
      <c r="G815" s="13" t="n">
        <f aca="false">($P$2-1)*(B815-1/$P$2)</f>
        <v>8.50706473694095</v>
      </c>
      <c r="H815" s="13" t="n">
        <f aca="false">E815*SQRT(B815/(1-B815))</f>
        <v>0.10991883944456</v>
      </c>
      <c r="I815" s="13" t="n">
        <f aca="false">ABS(D815)</f>
        <v>1.32183368646149</v>
      </c>
      <c r="J815" s="6" t="n">
        <f aca="false">IF(B815&gt;$P$4,1,0)</f>
        <v>0</v>
      </c>
      <c r="K815" s="6" t="n">
        <f aca="false">IF(F815&gt;$P$6,1,0)</f>
        <v>0</v>
      </c>
      <c r="L815" s="6" t="n">
        <f aca="false">IF(G815&gt;$P$9,1,0)</f>
        <v>0</v>
      </c>
      <c r="M815" s="6" t="n">
        <f aca="false">IF(ABS(H815)&gt;$P$8,1,0)</f>
        <v>0</v>
      </c>
    </row>
    <row r="816" customFormat="false" ht="15" hidden="false" customHeight="false" outlineLevel="0" collapsed="false">
      <c r="A816" s="0" t="n">
        <f aca="false">ROW()-1</f>
        <v>815</v>
      </c>
      <c r="B816" s="22" t="n">
        <f aca="false">SUMPRODUCT(MMULT('Analysis Data'!N816:U816,'Final Model'!$B$59:$I$66),'Analysis Data'!N816:U816)</f>
        <v>0.00730017637244365</v>
      </c>
      <c r="C816" s="15" t="n">
        <f aca="false">'Residual Diagnostics'!F816</f>
        <v>22.5493205352373</v>
      </c>
      <c r="D816" s="13" t="n">
        <f aca="false">C816/('Final Model'!$B$21*SQRT(1-B816))</f>
        <v>0.461577570063998</v>
      </c>
      <c r="E816" s="13" t="n">
        <f aca="false">D816*SQRT(('Final Model'!$B$24-1)/('Final Model'!$B$24-D816^2))</f>
        <v>0.46144573234655</v>
      </c>
      <c r="F816" s="23" t="n">
        <f aca="false">D816^2/($P$3+1)*B816/(1-B816)</f>
        <v>0.00019584604883432</v>
      </c>
      <c r="G816" s="13" t="n">
        <f aca="false">($P$2-1)*(B816-1/$P$2)</f>
        <v>9.11146577655595</v>
      </c>
      <c r="H816" s="13" t="n">
        <f aca="false">E816*SQRT(B816/(1-B816))</f>
        <v>0.0395711195773227</v>
      </c>
      <c r="I816" s="13" t="n">
        <f aca="false">ABS(D816)</f>
        <v>0.461577570063998</v>
      </c>
      <c r="J816" s="6" t="n">
        <f aca="false">IF(B816&gt;$P$4,1,0)</f>
        <v>0</v>
      </c>
      <c r="K816" s="6" t="n">
        <f aca="false">IF(F816&gt;$P$6,1,0)</f>
        <v>0</v>
      </c>
      <c r="L816" s="6" t="n">
        <f aca="false">IF(G816&gt;$P$9,1,0)</f>
        <v>0</v>
      </c>
      <c r="M816" s="6" t="n">
        <f aca="false">IF(ABS(H816)&gt;$P$8,1,0)</f>
        <v>0</v>
      </c>
    </row>
    <row r="817" customFormat="false" ht="15" hidden="false" customHeight="false" outlineLevel="0" collapsed="false">
      <c r="A817" s="0" t="n">
        <f aca="false">ROW()-1</f>
        <v>816</v>
      </c>
      <c r="B817" s="22" t="n">
        <f aca="false">SUMPRODUCT(MMULT('Analysis Data'!N817:U817,'Final Model'!$B$59:$I$66),'Analysis Data'!N817:U817)</f>
        <v>0.0115927079638718</v>
      </c>
      <c r="C817" s="15" t="n">
        <f aca="false">'Residual Diagnostics'!F817</f>
        <v>81.0577492889673</v>
      </c>
      <c r="D817" s="13" t="n">
        <f aca="false">C817/('Final Model'!$B$21*SQRT(1-B817))</f>
        <v>1.66282589471455</v>
      </c>
      <c r="E817" s="13" t="n">
        <f aca="false">D817*SQRT(('Final Model'!$B$24-1)/('Final Model'!$B$24-D817^2))</f>
        <v>1.66389259601463</v>
      </c>
      <c r="F817" s="23" t="n">
        <f aca="false">D817^2/($P$3+1)*B817/(1-B817)</f>
        <v>0.00405370859547943</v>
      </c>
      <c r="G817" s="13" t="n">
        <f aca="false">($P$2-1)*(B817-1/$P$2)</f>
        <v>15.056622030684</v>
      </c>
      <c r="H817" s="13" t="n">
        <f aca="false">E817*SQRT(B817/(1-B817))</f>
        <v>0.180197917067318</v>
      </c>
      <c r="I817" s="13" t="n">
        <f aca="false">ABS(D817)</f>
        <v>1.66282589471455</v>
      </c>
      <c r="J817" s="6" t="n">
        <f aca="false">IF(B817&gt;$P$4,1,0)</f>
        <v>1</v>
      </c>
      <c r="K817" s="6" t="n">
        <f aca="false">IF(F817&gt;$P$6,1,0)</f>
        <v>1</v>
      </c>
      <c r="L817" s="6" t="n">
        <f aca="false">IF(G817&gt;$P$9,1,0)</f>
        <v>1</v>
      </c>
      <c r="M817" s="6" t="n">
        <f aca="false">IF(ABS(H817)&gt;$P$8,1,0)</f>
        <v>1</v>
      </c>
    </row>
    <row r="818" customFormat="false" ht="15" hidden="false" customHeight="false" outlineLevel="0" collapsed="false">
      <c r="A818" s="0" t="n">
        <f aca="false">ROW()-1</f>
        <v>817</v>
      </c>
      <c r="B818" s="22" t="n">
        <f aca="false">SUMPRODUCT(MMULT('Analysis Data'!N818:U818,'Final Model'!$B$59:$I$66),'Analysis Data'!N818:U818)</f>
        <v>0.0115171028951217</v>
      </c>
      <c r="C818" s="15" t="n">
        <f aca="false">'Residual Diagnostics'!F818</f>
        <v>29.1187814620329</v>
      </c>
      <c r="D818" s="13" t="n">
        <f aca="false">C818/('Final Model'!$B$21*SQRT(1-B818))</f>
        <v>0.597322433970709</v>
      </c>
      <c r="E818" s="13" t="n">
        <f aca="false">D818*SQRT(('Final Model'!$B$24-1)/('Final Model'!$B$24-D818^2))</f>
        <v>0.597182976173052</v>
      </c>
      <c r="F818" s="23" t="n">
        <f aca="false">D818^2/($P$3+1)*B818/(1-B818)</f>
        <v>0.000519639017070092</v>
      </c>
      <c r="G818" s="13" t="n">
        <f aca="false">($P$2-1)*(B818-1/$P$2)</f>
        <v>14.9519090104651</v>
      </c>
      <c r="H818" s="13" t="n">
        <f aca="false">E818*SQRT(B818/(1-B818))</f>
        <v>0.0644606176536396</v>
      </c>
      <c r="I818" s="13" t="n">
        <f aca="false">ABS(D818)</f>
        <v>0.597322433970709</v>
      </c>
      <c r="J818" s="6" t="n">
        <f aca="false">IF(B818&gt;$P$4,1,0)</f>
        <v>0</v>
      </c>
      <c r="K818" s="6" t="n">
        <f aca="false">IF(F818&gt;$P$6,1,0)</f>
        <v>0</v>
      </c>
      <c r="L818" s="6" t="n">
        <f aca="false">IF(G818&gt;$P$9,1,0)</f>
        <v>1</v>
      </c>
      <c r="M818" s="6" t="n">
        <f aca="false">IF(ABS(H818)&gt;$P$8,1,0)</f>
        <v>0</v>
      </c>
    </row>
    <row r="819" customFormat="false" ht="15" hidden="false" customHeight="false" outlineLevel="0" collapsed="false">
      <c r="A819" s="0" t="n">
        <f aca="false">ROW()-1</f>
        <v>818</v>
      </c>
      <c r="B819" s="22" t="n">
        <f aca="false">SUMPRODUCT(MMULT('Analysis Data'!N819:U819,'Final Model'!$B$59:$I$66),'Analysis Data'!N819:U819)</f>
        <v>0.00193806846100148</v>
      </c>
      <c r="C819" s="15" t="n">
        <f aca="false">'Residual Diagnostics'!F819</f>
        <v>5.11124171943538</v>
      </c>
      <c r="D819" s="13" t="n">
        <f aca="false">C819/('Final Model'!$B$21*SQRT(1-B819))</f>
        <v>0.104344096600023</v>
      </c>
      <c r="E819" s="13" t="n">
        <f aca="false">D819*SQRT(('Final Model'!$B$24-1)/('Final Model'!$B$24-D819^2))</f>
        <v>0.104306641094524</v>
      </c>
      <c r="F819" s="23" t="n">
        <f aca="false">D819^2/($P$3+1)*B819/(1-B819)</f>
        <v>2.64275804126456E-006</v>
      </c>
      <c r="G819" s="13" t="n">
        <f aca="false">($P$2-1)*(B819-1/$P$2)</f>
        <v>1.68494631920855</v>
      </c>
      <c r="H819" s="13" t="n">
        <f aca="false">E819*SQRT(B819/(1-B819))</f>
        <v>0.00459639953477784</v>
      </c>
      <c r="I819" s="13" t="n">
        <f aca="false">ABS(D819)</f>
        <v>0.104344096600023</v>
      </c>
      <c r="J819" s="6" t="n">
        <f aca="false">IF(B819&gt;$P$4,1,0)</f>
        <v>0</v>
      </c>
      <c r="K819" s="6" t="n">
        <f aca="false">IF(F819&gt;$P$6,1,0)</f>
        <v>0</v>
      </c>
      <c r="L819" s="6" t="n">
        <f aca="false">IF(G819&gt;$P$9,1,0)</f>
        <v>0</v>
      </c>
      <c r="M819" s="6" t="n">
        <f aca="false">IF(ABS(H819)&gt;$P$8,1,0)</f>
        <v>0</v>
      </c>
    </row>
    <row r="820" customFormat="false" ht="15" hidden="false" customHeight="false" outlineLevel="0" collapsed="false">
      <c r="A820" s="0" t="n">
        <f aca="false">ROW()-1</f>
        <v>819</v>
      </c>
      <c r="B820" s="22" t="n">
        <f aca="false">SUMPRODUCT(MMULT('Analysis Data'!N820:U820,'Final Model'!$B$59:$I$66),'Analysis Data'!N820:U820)</f>
        <v>0.0020541306720394</v>
      </c>
      <c r="C820" s="15" t="n">
        <f aca="false">'Residual Diagnostics'!F820</f>
        <v>-1.4722399805103</v>
      </c>
      <c r="D820" s="13" t="n">
        <f aca="false">C820/('Final Model'!$B$21*SQRT(1-B820))</f>
        <v>-0.0300569787108546</v>
      </c>
      <c r="E820" s="13" t="n">
        <f aca="false">D820*SQRT(('Final Model'!$B$24-1)/('Final Model'!$B$24-D820^2))</f>
        <v>-0.0300460805652072</v>
      </c>
      <c r="F820" s="23" t="n">
        <f aca="false">D820^2/($P$3+1)*B820/(1-B820)</f>
        <v>2.32445821188244E-007</v>
      </c>
      <c r="G820" s="13" t="n">
        <f aca="false">($P$2-1)*(B820-1/$P$2)</f>
        <v>1.84569248149607</v>
      </c>
      <c r="H820" s="13" t="n">
        <f aca="false">E820*SQRT(B820/(1-B820))</f>
        <v>-0.00136316481762243</v>
      </c>
      <c r="I820" s="13" t="n">
        <f aca="false">ABS(D820)</f>
        <v>0.0300569787108546</v>
      </c>
      <c r="J820" s="6" t="n">
        <f aca="false">IF(B820&gt;$P$4,1,0)</f>
        <v>0</v>
      </c>
      <c r="K820" s="6" t="n">
        <f aca="false">IF(F820&gt;$P$6,1,0)</f>
        <v>0</v>
      </c>
      <c r="L820" s="6" t="n">
        <f aca="false">IF(G820&gt;$P$9,1,0)</f>
        <v>0</v>
      </c>
      <c r="M820" s="6" t="n">
        <f aca="false">IF(ABS(H820)&gt;$P$8,1,0)</f>
        <v>0</v>
      </c>
    </row>
    <row r="821" customFormat="false" ht="15" hidden="false" customHeight="false" outlineLevel="0" collapsed="false">
      <c r="A821" s="0" t="n">
        <f aca="false">ROW()-1</f>
        <v>820</v>
      </c>
      <c r="B821" s="22" t="n">
        <f aca="false">SUMPRODUCT(MMULT('Analysis Data'!N821:U821,'Final Model'!$B$59:$I$66),'Analysis Data'!N821:U821)</f>
        <v>0.00272934190705766</v>
      </c>
      <c r="C821" s="15" t="n">
        <f aca="false">'Residual Diagnostics'!F821</f>
        <v>40.6372779559909</v>
      </c>
      <c r="D821" s="13" t="n">
        <f aca="false">C821/('Final Model'!$B$21*SQRT(1-B821))</f>
        <v>0.829923949947539</v>
      </c>
      <c r="E821" s="13" t="n">
        <f aca="false">D821*SQRT(('Final Model'!$B$24-1)/('Final Model'!$B$24-D821^2))</f>
        <v>0.829830177132661</v>
      </c>
      <c r="F821" s="23" t="n">
        <f aca="false">D821^2/($P$3+1)*B821/(1-B821)</f>
        <v>0.000235630503082821</v>
      </c>
      <c r="G821" s="13" t="n">
        <f aca="false">($P$2-1)*(B821-1/$P$2)</f>
        <v>2.78086004199636</v>
      </c>
      <c r="H821" s="13" t="n">
        <f aca="false">E821*SQRT(B821/(1-B821))</f>
        <v>0.0434121880099021</v>
      </c>
      <c r="I821" s="13" t="n">
        <f aca="false">ABS(D821)</f>
        <v>0.829923949947539</v>
      </c>
      <c r="J821" s="6" t="n">
        <f aca="false">IF(B821&gt;$P$4,1,0)</f>
        <v>0</v>
      </c>
      <c r="K821" s="6" t="n">
        <f aca="false">IF(F821&gt;$P$6,1,0)</f>
        <v>0</v>
      </c>
      <c r="L821" s="6" t="n">
        <f aca="false">IF(G821&gt;$P$9,1,0)</f>
        <v>0</v>
      </c>
      <c r="M821" s="6" t="n">
        <f aca="false">IF(ABS(H821)&gt;$P$8,1,0)</f>
        <v>0</v>
      </c>
    </row>
    <row r="822" customFormat="false" ht="15" hidden="false" customHeight="false" outlineLevel="0" collapsed="false">
      <c r="A822" s="0" t="n">
        <f aca="false">ROW()-1</f>
        <v>821</v>
      </c>
      <c r="B822" s="22" t="n">
        <f aca="false">SUMPRODUCT(MMULT('Analysis Data'!N822:U822,'Final Model'!$B$59:$I$66),'Analysis Data'!N822:U822)</f>
        <v>0.00198403064646928</v>
      </c>
      <c r="C822" s="15" t="n">
        <f aca="false">'Residual Diagnostics'!F822</f>
        <v>-60.5325014575842</v>
      </c>
      <c r="D822" s="13" t="n">
        <f aca="false">C822/('Final Model'!$B$21*SQRT(1-B822))</f>
        <v>-1.23577693377111</v>
      </c>
      <c r="E822" s="13" t="n">
        <f aca="false">D822*SQRT(('Final Model'!$B$24-1)/('Final Model'!$B$24-D822^2))</f>
        <v>-1.23601354243888</v>
      </c>
      <c r="F822" s="23" t="n">
        <f aca="false">D822^2/($P$3+1)*B822/(1-B822)</f>
        <v>0.000379490639507808</v>
      </c>
      <c r="G822" s="13" t="n">
        <f aca="false">($P$2-1)*(B822-1/$P$2)</f>
        <v>1.74860394608145</v>
      </c>
      <c r="H822" s="13" t="n">
        <f aca="false">E822*SQRT(B822/(1-B822))</f>
        <v>-0.0551097793253772</v>
      </c>
      <c r="I822" s="13" t="n">
        <f aca="false">ABS(D822)</f>
        <v>1.23577693377111</v>
      </c>
      <c r="J822" s="6" t="n">
        <f aca="false">IF(B822&gt;$P$4,1,0)</f>
        <v>0</v>
      </c>
      <c r="K822" s="6" t="n">
        <f aca="false">IF(F822&gt;$P$6,1,0)</f>
        <v>0</v>
      </c>
      <c r="L822" s="6" t="n">
        <f aca="false">IF(G822&gt;$P$9,1,0)</f>
        <v>0</v>
      </c>
      <c r="M822" s="6" t="n">
        <f aca="false">IF(ABS(H822)&gt;$P$8,1,0)</f>
        <v>0</v>
      </c>
    </row>
    <row r="823" customFormat="false" ht="15" hidden="false" customHeight="false" outlineLevel="0" collapsed="false">
      <c r="A823" s="0" t="n">
        <f aca="false">ROW()-1</f>
        <v>822</v>
      </c>
      <c r="B823" s="22" t="n">
        <f aca="false">SUMPRODUCT(MMULT('Analysis Data'!N823:U823,'Final Model'!$B$59:$I$66),'Analysis Data'!N823:U823)</f>
        <v>0.0019614929876262</v>
      </c>
      <c r="C823" s="15" t="n">
        <f aca="false">'Residual Diagnostics'!F823</f>
        <v>8.92941709679988</v>
      </c>
      <c r="D823" s="13" t="n">
        <f aca="false">C823/('Final Model'!$B$21*SQRT(1-B823))</f>
        <v>0.182292864503078</v>
      </c>
      <c r="E823" s="13" t="n">
        <f aca="false">D823*SQRT(('Final Model'!$B$24-1)/('Final Model'!$B$24-D823^2))</f>
        <v>0.182228905751261</v>
      </c>
      <c r="F823" s="23" t="n">
        <f aca="false">D823^2/($P$3+1)*B823/(1-B823)</f>
        <v>8.16373340159374E-006</v>
      </c>
      <c r="G823" s="13" t="n">
        <f aca="false">($P$2-1)*(B823-1/$P$2)</f>
        <v>1.71738928858379</v>
      </c>
      <c r="H823" s="13" t="n">
        <f aca="false">E823*SQRT(B823/(1-B823))</f>
        <v>0.00807861661343702</v>
      </c>
      <c r="I823" s="13" t="n">
        <f aca="false">ABS(D823)</f>
        <v>0.182292864503078</v>
      </c>
      <c r="J823" s="6" t="n">
        <f aca="false">IF(B823&gt;$P$4,1,0)</f>
        <v>0</v>
      </c>
      <c r="K823" s="6" t="n">
        <f aca="false">IF(F823&gt;$P$6,1,0)</f>
        <v>0</v>
      </c>
      <c r="L823" s="6" t="n">
        <f aca="false">IF(G823&gt;$P$9,1,0)</f>
        <v>0</v>
      </c>
      <c r="M823" s="6" t="n">
        <f aca="false">IF(ABS(H823)&gt;$P$8,1,0)</f>
        <v>0</v>
      </c>
    </row>
    <row r="824" customFormat="false" ht="15" hidden="false" customHeight="false" outlineLevel="0" collapsed="false">
      <c r="A824" s="0" t="n">
        <f aca="false">ROW()-1</f>
        <v>823</v>
      </c>
      <c r="B824" s="22" t="n">
        <f aca="false">SUMPRODUCT(MMULT('Analysis Data'!N824:U824,'Final Model'!$B$59:$I$66),'Analysis Data'!N824:U824)</f>
        <v>0.00198403064646928</v>
      </c>
      <c r="C824" s="15" t="n">
        <f aca="false">'Residual Diagnostics'!F824</f>
        <v>45.6528221553404</v>
      </c>
      <c r="D824" s="13" t="n">
        <f aca="false">C824/('Final Model'!$B$21*SQRT(1-B824))</f>
        <v>0.932006826459277</v>
      </c>
      <c r="E824" s="13" t="n">
        <f aca="false">D824*SQRT(('Final Model'!$B$24-1)/('Final Model'!$B$24-D824^2))</f>
        <v>0.931962373768521</v>
      </c>
      <c r="F824" s="23" t="n">
        <f aca="false">D824^2/($P$3+1)*B824/(1-B824)</f>
        <v>0.000215853495223297</v>
      </c>
      <c r="G824" s="13" t="n">
        <f aca="false">($P$2-1)*(B824-1/$P$2)</f>
        <v>1.74860394608145</v>
      </c>
      <c r="H824" s="13" t="n">
        <f aca="false">E824*SQRT(B824/(1-B824))</f>
        <v>0.0415531375623886</v>
      </c>
      <c r="I824" s="13" t="n">
        <f aca="false">ABS(D824)</f>
        <v>0.932006826459277</v>
      </c>
      <c r="J824" s="6" t="n">
        <f aca="false">IF(B824&gt;$P$4,1,0)</f>
        <v>0</v>
      </c>
      <c r="K824" s="6" t="n">
        <f aca="false">IF(F824&gt;$P$6,1,0)</f>
        <v>0</v>
      </c>
      <c r="L824" s="6" t="n">
        <f aca="false">IF(G824&gt;$P$9,1,0)</f>
        <v>0</v>
      </c>
      <c r="M824" s="6" t="n">
        <f aca="false">IF(ABS(H824)&gt;$P$8,1,0)</f>
        <v>0</v>
      </c>
    </row>
    <row r="825" customFormat="false" ht="15" hidden="false" customHeight="false" outlineLevel="0" collapsed="false">
      <c r="A825" s="0" t="n">
        <f aca="false">ROW()-1</f>
        <v>824</v>
      </c>
      <c r="B825" s="22" t="n">
        <f aca="false">SUMPRODUCT(MMULT('Analysis Data'!N825:U825,'Final Model'!$B$59:$I$66),'Analysis Data'!N825:U825)</f>
        <v>0.00288789010477216</v>
      </c>
      <c r="C825" s="15" t="n">
        <f aca="false">'Residual Diagnostics'!F825</f>
        <v>-51.710581786122</v>
      </c>
      <c r="D825" s="13" t="n">
        <f aca="false">C825/('Final Model'!$B$21*SQRT(1-B825))</f>
        <v>-1.05615494644184</v>
      </c>
      <c r="E825" s="13" t="n">
        <f aca="false">D825*SQRT(('Final Model'!$B$24-1)/('Final Model'!$B$24-D825^2))</f>
        <v>-1.05619922922117</v>
      </c>
      <c r="F825" s="23" t="n">
        <f aca="false">D825^2/($P$3+1)*B825/(1-B825)</f>
        <v>0.000403833143520438</v>
      </c>
      <c r="G825" s="13" t="n">
        <f aca="false">($P$2-1)*(B825-1/$P$2)</f>
        <v>3.00044929583094</v>
      </c>
      <c r="H825" s="13" t="n">
        <f aca="false">E825*SQRT(B825/(1-B825))</f>
        <v>-0.0568413235808698</v>
      </c>
      <c r="I825" s="13" t="n">
        <f aca="false">ABS(D825)</f>
        <v>1.05615494644184</v>
      </c>
      <c r="J825" s="6" t="n">
        <f aca="false">IF(B825&gt;$P$4,1,0)</f>
        <v>0</v>
      </c>
      <c r="K825" s="6" t="n">
        <f aca="false">IF(F825&gt;$P$6,1,0)</f>
        <v>0</v>
      </c>
      <c r="L825" s="6" t="n">
        <f aca="false">IF(G825&gt;$P$9,1,0)</f>
        <v>0</v>
      </c>
      <c r="M825" s="6" t="n">
        <f aca="false">IF(ABS(H825)&gt;$P$8,1,0)</f>
        <v>0</v>
      </c>
    </row>
    <row r="826" customFormat="false" ht="15" hidden="false" customHeight="false" outlineLevel="0" collapsed="false">
      <c r="A826" s="0" t="n">
        <f aca="false">ROW()-1</f>
        <v>825</v>
      </c>
      <c r="B826" s="22" t="n">
        <f aca="false">SUMPRODUCT(MMULT('Analysis Data'!N826:U826,'Final Model'!$B$59:$I$66),'Analysis Data'!N826:U826)</f>
        <v>0.00288789010477216</v>
      </c>
      <c r="C826" s="15" t="n">
        <f aca="false">'Residual Diagnostics'!F826</f>
        <v>-117.457069950505</v>
      </c>
      <c r="D826" s="13" t="n">
        <f aca="false">C826/('Final Model'!$B$21*SQRT(1-B826))</f>
        <v>-2.39898413705497</v>
      </c>
      <c r="E826" s="13" t="n">
        <f aca="false">D826*SQRT(('Final Model'!$B$24-1)/('Final Model'!$B$24-D826^2))</f>
        <v>-2.4031370415898</v>
      </c>
      <c r="F826" s="23" t="n">
        <f aca="false">D826^2/($P$3+1)*B826/(1-B826)</f>
        <v>0.0020835380565741</v>
      </c>
      <c r="G826" s="13" t="n">
        <f aca="false">($P$2-1)*(B826-1/$P$2)</f>
        <v>3.00044929583094</v>
      </c>
      <c r="H826" s="13" t="n">
        <f aca="false">E826*SQRT(B826/(1-B826))</f>
        <v>-0.129329284107607</v>
      </c>
      <c r="I826" s="13" t="n">
        <f aca="false">ABS(D826)</f>
        <v>2.39898413705497</v>
      </c>
      <c r="J826" s="6" t="n">
        <f aca="false">IF(B826&gt;$P$4,1,0)</f>
        <v>0</v>
      </c>
      <c r="K826" s="6" t="n">
        <f aca="false">IF(F826&gt;$P$6,1,0)</f>
        <v>0</v>
      </c>
      <c r="L826" s="6" t="n">
        <f aca="false">IF(G826&gt;$P$9,1,0)</f>
        <v>0</v>
      </c>
      <c r="M826" s="6" t="n">
        <f aca="false">IF(ABS(H826)&gt;$P$8,1,0)</f>
        <v>0</v>
      </c>
    </row>
    <row r="827" customFormat="false" ht="15" hidden="false" customHeight="false" outlineLevel="0" collapsed="false">
      <c r="A827" s="0" t="n">
        <f aca="false">ROW()-1</f>
        <v>826</v>
      </c>
      <c r="B827" s="22" t="n">
        <f aca="false">SUMPRODUCT(MMULT('Analysis Data'!N827:U827,'Final Model'!$B$59:$I$66),'Analysis Data'!N827:U827)</f>
        <v>0.00491030712027874</v>
      </c>
      <c r="C827" s="15" t="n">
        <f aca="false">'Residual Diagnostics'!F827</f>
        <v>-79.5812429743906</v>
      </c>
      <c r="D827" s="13" t="n">
        <f aca="false">C827/('Final Model'!$B$21*SQRT(1-B827))</f>
        <v>-1.62704593042307</v>
      </c>
      <c r="E827" s="13" t="n">
        <f aca="false">D827*SQRT(('Final Model'!$B$24-1)/('Final Model'!$B$24-D827^2))</f>
        <v>-1.62802000624565</v>
      </c>
      <c r="F827" s="23" t="n">
        <f aca="false">D827^2/($P$3+1)*B827/(1-B827)</f>
        <v>0.00163288675923752</v>
      </c>
      <c r="G827" s="13" t="n">
        <f aca="false">($P$2-1)*(B827-1/$P$2)</f>
        <v>5.80149686230756</v>
      </c>
      <c r="H827" s="13" t="n">
        <f aca="false">E827*SQRT(B827/(1-B827))</f>
        <v>-0.114362318608159</v>
      </c>
      <c r="I827" s="13" t="n">
        <f aca="false">ABS(D827)</f>
        <v>1.62704593042307</v>
      </c>
      <c r="J827" s="6" t="n">
        <f aca="false">IF(B827&gt;$P$4,1,0)</f>
        <v>0</v>
      </c>
      <c r="K827" s="6" t="n">
        <f aca="false">IF(F827&gt;$P$6,1,0)</f>
        <v>0</v>
      </c>
      <c r="L827" s="6" t="n">
        <f aca="false">IF(G827&gt;$P$9,1,0)</f>
        <v>0</v>
      </c>
      <c r="M827" s="6" t="n">
        <f aca="false">IF(ABS(H827)&gt;$P$8,1,0)</f>
        <v>0</v>
      </c>
    </row>
    <row r="828" customFormat="false" ht="15" hidden="false" customHeight="false" outlineLevel="0" collapsed="false">
      <c r="A828" s="0" t="n">
        <f aca="false">ROW()-1</f>
        <v>827</v>
      </c>
      <c r="B828" s="22" t="n">
        <f aca="false">SUMPRODUCT(MMULT('Analysis Data'!N828:U828,'Final Model'!$B$59:$I$66),'Analysis Data'!N828:U828)</f>
        <v>0.00491030712027874</v>
      </c>
      <c r="C828" s="15" t="n">
        <f aca="false">'Residual Diagnostics'!F828</f>
        <v>2.16728186617999</v>
      </c>
      <c r="D828" s="13" t="n">
        <f aca="false">C828/('Final Model'!$B$21*SQRT(1-B828))</f>
        <v>0.0443102797675908</v>
      </c>
      <c r="E828" s="13" t="n">
        <f aca="false">D828*SQRT(('Final Model'!$B$24-1)/('Final Model'!$B$24-D828^2))</f>
        <v>0.0442942306550371</v>
      </c>
      <c r="F828" s="23" t="n">
        <f aca="false">D828^2/($P$3+1)*B828/(1-B828)</f>
        <v>1.21105934649003E-006</v>
      </c>
      <c r="G828" s="13" t="n">
        <f aca="false">($P$2-1)*(B828-1/$P$2)</f>
        <v>5.80149686230756</v>
      </c>
      <c r="H828" s="13" t="n">
        <f aca="false">E828*SQRT(B828/(1-B828))</f>
        <v>0.00311150409653521</v>
      </c>
      <c r="I828" s="13" t="n">
        <f aca="false">ABS(D828)</f>
        <v>0.0443102797675908</v>
      </c>
      <c r="J828" s="6" t="n">
        <f aca="false">IF(B828&gt;$P$4,1,0)</f>
        <v>0</v>
      </c>
      <c r="K828" s="6" t="n">
        <f aca="false">IF(F828&gt;$P$6,1,0)</f>
        <v>0</v>
      </c>
      <c r="L828" s="6" t="n">
        <f aca="false">IF(G828&gt;$P$9,1,0)</f>
        <v>0</v>
      </c>
      <c r="M828" s="6" t="n">
        <f aca="false">IF(ABS(H828)&gt;$P$8,1,0)</f>
        <v>0</v>
      </c>
    </row>
    <row r="829" customFormat="false" ht="15" hidden="false" customHeight="false" outlineLevel="0" collapsed="false">
      <c r="A829" s="0" t="n">
        <f aca="false">ROW()-1</f>
        <v>828</v>
      </c>
      <c r="B829" s="22" t="n">
        <f aca="false">SUMPRODUCT(MMULT('Analysis Data'!N829:U829,'Final Model'!$B$59:$I$66),'Analysis Data'!N829:U829)</f>
        <v>0.00232547931508323</v>
      </c>
      <c r="C829" s="15" t="n">
        <f aca="false">'Residual Diagnostics'!F829</f>
        <v>16.9660786172086</v>
      </c>
      <c r="D829" s="13" t="n">
        <f aca="false">C829/('Final Model'!$B$21*SQRT(1-B829))</f>
        <v>0.346423418805555</v>
      </c>
      <c r="E829" s="13" t="n">
        <f aca="false">D829*SQRT(('Final Model'!$B$24-1)/('Final Model'!$B$24-D829^2))</f>
        <v>0.346312778503914</v>
      </c>
      <c r="F829" s="23" t="n">
        <f aca="false">D829^2/($P$3+1)*B829/(1-B829)</f>
        <v>3.49661728069529E-005</v>
      </c>
      <c r="G829" s="13" t="n">
        <f aca="false">($P$2-1)*(B829-1/$P$2)</f>
        <v>2.22151035211177</v>
      </c>
      <c r="H829" s="13" t="n">
        <f aca="false">E829*SQRT(B829/(1-B829))</f>
        <v>0.0167197706835464</v>
      </c>
      <c r="I829" s="13" t="n">
        <f aca="false">ABS(D829)</f>
        <v>0.346423418805555</v>
      </c>
      <c r="J829" s="6" t="n">
        <f aca="false">IF(B829&gt;$P$4,1,0)</f>
        <v>0</v>
      </c>
      <c r="K829" s="6" t="n">
        <f aca="false">IF(F829&gt;$P$6,1,0)</f>
        <v>0</v>
      </c>
      <c r="L829" s="6" t="n">
        <f aca="false">IF(G829&gt;$P$9,1,0)</f>
        <v>0</v>
      </c>
      <c r="M829" s="6" t="n">
        <f aca="false">IF(ABS(H829)&gt;$P$8,1,0)</f>
        <v>0</v>
      </c>
    </row>
    <row r="830" customFormat="false" ht="15" hidden="false" customHeight="false" outlineLevel="0" collapsed="false">
      <c r="A830" s="0" t="n">
        <f aca="false">ROW()-1</f>
        <v>829</v>
      </c>
      <c r="B830" s="22" t="n">
        <f aca="false">SUMPRODUCT(MMULT('Analysis Data'!N830:U830,'Final Model'!$B$59:$I$66),'Analysis Data'!N830:U830)</f>
        <v>0.00195161510373372</v>
      </c>
      <c r="C830" s="15" t="n">
        <f aca="false">'Residual Diagnostics'!F830</f>
        <v>28.847852131853</v>
      </c>
      <c r="D830" s="13" t="n">
        <f aca="false">C830/('Final Model'!$B$21*SQRT(1-B830))</f>
        <v>0.588922156879714</v>
      </c>
      <c r="E830" s="13" t="n">
        <f aca="false">D830*SQRT(('Final Model'!$B$24-1)/('Final Model'!$B$24-D830^2))</f>
        <v>0.588782530917681</v>
      </c>
      <c r="F830" s="23" t="n">
        <f aca="false">D830^2/($P$3+1)*B830/(1-B830)</f>
        <v>8.47751126017989E-005</v>
      </c>
      <c r="G830" s="13" t="n">
        <f aca="false">($P$2-1)*(B830-1/$P$2)</f>
        <v>1.70370841939271</v>
      </c>
      <c r="H830" s="13" t="n">
        <f aca="false">E830*SQRT(B830/(1-B830))</f>
        <v>0.0260361163252162</v>
      </c>
      <c r="I830" s="13" t="n">
        <f aca="false">ABS(D830)</f>
        <v>0.588922156879714</v>
      </c>
      <c r="J830" s="6" t="n">
        <f aca="false">IF(B830&gt;$P$4,1,0)</f>
        <v>0</v>
      </c>
      <c r="K830" s="6" t="n">
        <f aca="false">IF(F830&gt;$P$6,1,0)</f>
        <v>0</v>
      </c>
      <c r="L830" s="6" t="n">
        <f aca="false">IF(G830&gt;$P$9,1,0)</f>
        <v>0</v>
      </c>
      <c r="M830" s="6" t="n">
        <f aca="false">IF(ABS(H830)&gt;$P$8,1,0)</f>
        <v>0</v>
      </c>
    </row>
    <row r="831" customFormat="false" ht="15" hidden="false" customHeight="false" outlineLevel="0" collapsed="false">
      <c r="A831" s="0" t="n">
        <f aca="false">ROW()-1</f>
        <v>830</v>
      </c>
      <c r="B831" s="22" t="n">
        <f aca="false">SUMPRODUCT(MMULT('Analysis Data'!N831:U831,'Final Model'!$B$59:$I$66),'Analysis Data'!N831:U831)</f>
        <v>0.00199984028877377</v>
      </c>
      <c r="C831" s="15" t="n">
        <f aca="false">'Residual Diagnostics'!F831</f>
        <v>-71.3619711724655</v>
      </c>
      <c r="D831" s="13" t="n">
        <f aca="false">C831/('Final Model'!$B$21*SQRT(1-B831))</f>
        <v>-1.45687315574652</v>
      </c>
      <c r="E831" s="13" t="n">
        <f aca="false">D831*SQRT(('Final Model'!$B$24-1)/('Final Model'!$B$24-D831^2))</f>
        <v>-1.45746731353765</v>
      </c>
      <c r="F831" s="23" t="n">
        <f aca="false">D831^2/($P$3+1)*B831/(1-B831)</f>
        <v>0.000531640671444318</v>
      </c>
      <c r="G831" s="13" t="n">
        <f aca="false">($P$2-1)*(B831-1/$P$2)</f>
        <v>1.77050030067318</v>
      </c>
      <c r="H831" s="13" t="n">
        <f aca="false">E831*SQRT(B831/(1-B831))</f>
        <v>-0.0652425872438935</v>
      </c>
      <c r="I831" s="13" t="n">
        <f aca="false">ABS(D831)</f>
        <v>1.45687315574652</v>
      </c>
      <c r="J831" s="6" t="n">
        <f aca="false">IF(B831&gt;$P$4,1,0)</f>
        <v>0</v>
      </c>
      <c r="K831" s="6" t="n">
        <f aca="false">IF(F831&gt;$P$6,1,0)</f>
        <v>0</v>
      </c>
      <c r="L831" s="6" t="n">
        <f aca="false">IF(G831&gt;$P$9,1,0)</f>
        <v>0</v>
      </c>
      <c r="M831" s="6" t="n">
        <f aca="false">IF(ABS(H831)&gt;$P$8,1,0)</f>
        <v>0</v>
      </c>
    </row>
    <row r="832" customFormat="false" ht="15" hidden="false" customHeight="false" outlineLevel="0" collapsed="false">
      <c r="A832" s="0" t="n">
        <f aca="false">ROW()-1</f>
        <v>831</v>
      </c>
      <c r="B832" s="22" t="n">
        <f aca="false">SUMPRODUCT(MMULT('Analysis Data'!N832:U832,'Final Model'!$B$59:$I$66),'Analysis Data'!N832:U832)</f>
        <v>0.00243688472834053</v>
      </c>
      <c r="C832" s="15" t="n">
        <f aca="false">'Residual Diagnostics'!F832</f>
        <v>66.2865230566485</v>
      </c>
      <c r="D832" s="13" t="n">
        <f aca="false">C832/('Final Model'!$B$21*SQRT(1-B832))</f>
        <v>1.35355297223508</v>
      </c>
      <c r="E832" s="13" t="n">
        <f aca="false">D832*SQRT(('Final Model'!$B$24-1)/('Final Model'!$B$24-D832^2))</f>
        <v>1.35396212611618</v>
      </c>
      <c r="F832" s="23" t="n">
        <f aca="false">D832^2/($P$3+1)*B832/(1-B832)</f>
        <v>0.000559442080348605</v>
      </c>
      <c r="G832" s="13" t="n">
        <f aca="false">($P$2-1)*(B832-1/$P$2)</f>
        <v>2.37580684947313</v>
      </c>
      <c r="H832" s="13" t="n">
        <f aca="false">E832*SQRT(B832/(1-B832))</f>
        <v>0.0669196741971983</v>
      </c>
      <c r="I832" s="13" t="n">
        <f aca="false">ABS(D832)</f>
        <v>1.35355297223508</v>
      </c>
      <c r="J832" s="6" t="n">
        <f aca="false">IF(B832&gt;$P$4,1,0)</f>
        <v>0</v>
      </c>
      <c r="K832" s="6" t="n">
        <f aca="false">IF(F832&gt;$P$6,1,0)</f>
        <v>0</v>
      </c>
      <c r="L832" s="6" t="n">
        <f aca="false">IF(G832&gt;$P$9,1,0)</f>
        <v>0</v>
      </c>
      <c r="M832" s="6" t="n">
        <f aca="false">IF(ABS(H832)&gt;$P$8,1,0)</f>
        <v>0</v>
      </c>
    </row>
    <row r="833" customFormat="false" ht="15" hidden="false" customHeight="false" outlineLevel="0" collapsed="false">
      <c r="A833" s="0" t="n">
        <f aca="false">ROW()-1</f>
        <v>832</v>
      </c>
      <c r="B833" s="22" t="n">
        <f aca="false">SUMPRODUCT(MMULT('Analysis Data'!N833:U833,'Final Model'!$B$59:$I$66),'Analysis Data'!N833:U833)</f>
        <v>0.0019614929876262</v>
      </c>
      <c r="C833" s="15" t="n">
        <f aca="false">'Residual Diagnostics'!F833</f>
        <v>0.905377785985507</v>
      </c>
      <c r="D833" s="13" t="n">
        <f aca="false">C833/('Final Model'!$B$21*SQRT(1-B833))</f>
        <v>0.0184831672969897</v>
      </c>
      <c r="E833" s="13" t="n">
        <f aca="false">D833*SQRT(('Final Model'!$B$24-1)/('Final Model'!$B$24-D833^2))</f>
        <v>0.0184764618507972</v>
      </c>
      <c r="F833" s="23" t="n">
        <f aca="false">D833^2/($P$3+1)*B833/(1-B833)</f>
        <v>8.3927109100263E-008</v>
      </c>
      <c r="G833" s="13" t="n">
        <f aca="false">($P$2-1)*(B833-1/$P$2)</f>
        <v>1.71738928858379</v>
      </c>
      <c r="H833" s="13" t="n">
        <f aca="false">E833*SQRT(B833/(1-B833))</f>
        <v>0.000819103045425343</v>
      </c>
      <c r="I833" s="13" t="n">
        <f aca="false">ABS(D833)</f>
        <v>0.0184831672969897</v>
      </c>
      <c r="J833" s="6" t="n">
        <f aca="false">IF(B833&gt;$P$4,1,0)</f>
        <v>0</v>
      </c>
      <c r="K833" s="6" t="n">
        <f aca="false">IF(F833&gt;$P$6,1,0)</f>
        <v>0</v>
      </c>
      <c r="L833" s="6" t="n">
        <f aca="false">IF(G833&gt;$P$9,1,0)</f>
        <v>0</v>
      </c>
      <c r="M833" s="6" t="n">
        <f aca="false">IF(ABS(H833)&gt;$P$8,1,0)</f>
        <v>0</v>
      </c>
    </row>
    <row r="834" customFormat="false" ht="15" hidden="false" customHeight="false" outlineLevel="0" collapsed="false">
      <c r="A834" s="0" t="n">
        <f aca="false">ROW()-1</f>
        <v>833</v>
      </c>
      <c r="B834" s="22" t="n">
        <f aca="false">SUMPRODUCT(MMULT('Analysis Data'!N834:U834,'Final Model'!$B$59:$I$66),'Analysis Data'!N834:U834)</f>
        <v>0.0130660340240669</v>
      </c>
      <c r="C834" s="15" t="n">
        <f aca="false">'Residual Diagnostics'!F834</f>
        <v>90.640083519118</v>
      </c>
      <c r="D834" s="13" t="n">
        <f aca="false">C834/('Final Model'!$B$21*SQRT(1-B834))</f>
        <v>1.86078612020041</v>
      </c>
      <c r="E834" s="13" t="n">
        <f aca="false">D834*SQRT(('Final Model'!$B$24-1)/('Final Model'!$B$24-D834^2))</f>
        <v>1.8624522013117</v>
      </c>
      <c r="F834" s="23" t="n">
        <f aca="false">D834^2/($P$3+1)*B834/(1-B834)</f>
        <v>0.00573005272193664</v>
      </c>
      <c r="G834" s="13" t="n">
        <f aca="false">($P$2-1)*(B834-1/$P$2)</f>
        <v>17.0971786240542</v>
      </c>
      <c r="H834" s="13" t="n">
        <f aca="false">E834*SQRT(B834/(1-B834))</f>
        <v>0.214295464865059</v>
      </c>
      <c r="I834" s="13" t="n">
        <f aca="false">ABS(D834)</f>
        <v>1.86078612020041</v>
      </c>
      <c r="J834" s="6" t="n">
        <f aca="false">IF(B834&gt;$P$4,1,0)</f>
        <v>1</v>
      </c>
      <c r="K834" s="6" t="n">
        <f aca="false">IF(F834&gt;$P$6,1,0)</f>
        <v>1</v>
      </c>
      <c r="L834" s="6" t="n">
        <f aca="false">IF(G834&gt;$P$9,1,0)</f>
        <v>1</v>
      </c>
      <c r="M834" s="6" t="n">
        <f aca="false">IF(ABS(H834)&gt;$P$8,1,0)</f>
        <v>1</v>
      </c>
    </row>
    <row r="835" customFormat="false" ht="15" hidden="false" customHeight="false" outlineLevel="0" collapsed="false">
      <c r="A835" s="0" t="n">
        <f aca="false">ROW()-1</f>
        <v>834</v>
      </c>
      <c r="B835" s="22" t="n">
        <f aca="false">SUMPRODUCT(MMULT('Analysis Data'!N835:U835,'Final Model'!$B$59:$I$66),'Analysis Data'!N835:U835)</f>
        <v>0.00524114619128546</v>
      </c>
      <c r="C835" s="15" t="n">
        <f aca="false">'Residual Diagnostics'!F835</f>
        <v>-52.5288205684917</v>
      </c>
      <c r="D835" s="13" t="n">
        <f aca="false">C835/('Final Model'!$B$21*SQRT(1-B835))</f>
        <v>-1.07413520733737</v>
      </c>
      <c r="E835" s="13" t="n">
        <f aca="false">D835*SQRT(('Final Model'!$B$24-1)/('Final Model'!$B$24-D835^2))</f>
        <v>-1.07419518547277</v>
      </c>
      <c r="F835" s="23" t="n">
        <f aca="false">D835^2/($P$3+1)*B835/(1-B835)</f>
        <v>0.000759864888180288</v>
      </c>
      <c r="G835" s="13" t="n">
        <f aca="false">($P$2-1)*(B835-1/$P$2)</f>
        <v>6.25970897565186</v>
      </c>
      <c r="H835" s="13" t="n">
        <f aca="false">E835*SQRT(B835/(1-B835))</f>
        <v>-0.0779717769469152</v>
      </c>
      <c r="I835" s="13" t="n">
        <f aca="false">ABS(D835)</f>
        <v>1.07413520733737</v>
      </c>
      <c r="J835" s="6" t="n">
        <f aca="false">IF(B835&gt;$P$4,1,0)</f>
        <v>0</v>
      </c>
      <c r="K835" s="6" t="n">
        <f aca="false">IF(F835&gt;$P$6,1,0)</f>
        <v>0</v>
      </c>
      <c r="L835" s="6" t="n">
        <f aca="false">IF(G835&gt;$P$9,1,0)</f>
        <v>0</v>
      </c>
      <c r="M835" s="6" t="n">
        <f aca="false">IF(ABS(H835)&gt;$P$8,1,0)</f>
        <v>0</v>
      </c>
    </row>
    <row r="836" customFormat="false" ht="15" hidden="false" customHeight="false" outlineLevel="0" collapsed="false">
      <c r="A836" s="0" t="n">
        <f aca="false">ROW()-1</f>
        <v>835</v>
      </c>
      <c r="B836" s="22" t="n">
        <f aca="false">SUMPRODUCT(MMULT('Analysis Data'!N836:U836,'Final Model'!$B$59:$I$66),'Analysis Data'!N836:U836)</f>
        <v>0.00505642857542947</v>
      </c>
      <c r="C836" s="15" t="n">
        <f aca="false">'Residual Diagnostics'!F836</f>
        <v>17.7734536330319</v>
      </c>
      <c r="D836" s="13" t="n">
        <f aca="false">C836/('Final Model'!$B$21*SQRT(1-B836))</f>
        <v>0.363406598946543</v>
      </c>
      <c r="E836" s="13" t="n">
        <f aca="false">D836*SQRT(('Final Model'!$B$24-1)/('Final Model'!$B$24-D836^2))</f>
        <v>0.363292123814848</v>
      </c>
      <c r="F836" s="23" t="n">
        <f aca="false">D836^2/($P$3+1)*B836/(1-B836)</f>
        <v>8.38959619735445E-005</v>
      </c>
      <c r="G836" s="13" t="n">
        <f aca="false">($P$2-1)*(B836-1/$P$2)</f>
        <v>6.00387507769132</v>
      </c>
      <c r="H836" s="13" t="n">
        <f aca="false">E836*SQRT(B836/(1-B836))</f>
        <v>0.0258987435825685</v>
      </c>
      <c r="I836" s="13" t="n">
        <f aca="false">ABS(D836)</f>
        <v>0.363406598946543</v>
      </c>
      <c r="J836" s="6" t="n">
        <f aca="false">IF(B836&gt;$P$4,1,0)</f>
        <v>0</v>
      </c>
      <c r="K836" s="6" t="n">
        <f aca="false">IF(F836&gt;$P$6,1,0)</f>
        <v>0</v>
      </c>
      <c r="L836" s="6" t="n">
        <f aca="false">IF(G836&gt;$P$9,1,0)</f>
        <v>0</v>
      </c>
      <c r="M836" s="6" t="n">
        <f aca="false">IF(ABS(H836)&gt;$P$8,1,0)</f>
        <v>0</v>
      </c>
    </row>
    <row r="837" customFormat="false" ht="15" hidden="false" customHeight="false" outlineLevel="0" collapsed="false">
      <c r="A837" s="0" t="n">
        <f aca="false">ROW()-1</f>
        <v>836</v>
      </c>
      <c r="B837" s="22" t="n">
        <f aca="false">SUMPRODUCT(MMULT('Analysis Data'!N837:U837,'Final Model'!$B$59:$I$66),'Analysis Data'!N837:U837)</f>
        <v>0.00505642857542947</v>
      </c>
      <c r="C837" s="15" t="n">
        <f aca="false">'Residual Diagnostics'!F837</f>
        <v>40.5586961762647</v>
      </c>
      <c r="D837" s="13" t="n">
        <f aca="false">C837/('Final Model'!$B$21*SQRT(1-B837))</f>
        <v>0.829287213360131</v>
      </c>
      <c r="E837" s="13" t="n">
        <f aca="false">D837*SQRT(('Final Model'!$B$24-1)/('Final Model'!$B$24-D837^2))</f>
        <v>0.829193194469459</v>
      </c>
      <c r="F837" s="23" t="n">
        <f aca="false">D837^2/($P$3+1)*B837/(1-B837)</f>
        <v>0.000436883233584954</v>
      </c>
      <c r="G837" s="13" t="n">
        <f aca="false">($P$2-1)*(B837-1/$P$2)</f>
        <v>6.00387507769132</v>
      </c>
      <c r="H837" s="13" t="n">
        <f aca="false">E837*SQRT(B837/(1-B837))</f>
        <v>0.0591123795871781</v>
      </c>
      <c r="I837" s="13" t="n">
        <f aca="false">ABS(D837)</f>
        <v>0.829287213360131</v>
      </c>
      <c r="J837" s="6" t="n">
        <f aca="false">IF(B837&gt;$P$4,1,0)</f>
        <v>0</v>
      </c>
      <c r="K837" s="6" t="n">
        <f aca="false">IF(F837&gt;$P$6,1,0)</f>
        <v>0</v>
      </c>
      <c r="L837" s="6" t="n">
        <f aca="false">IF(G837&gt;$P$9,1,0)</f>
        <v>0</v>
      </c>
      <c r="M837" s="6" t="n">
        <f aca="false">IF(ABS(H837)&gt;$P$8,1,0)</f>
        <v>0</v>
      </c>
    </row>
    <row r="838" customFormat="false" ht="15" hidden="false" customHeight="false" outlineLevel="0" collapsed="false">
      <c r="A838" s="0" t="n">
        <f aca="false">ROW()-1</f>
        <v>837</v>
      </c>
      <c r="B838" s="22" t="n">
        <f aca="false">SUMPRODUCT(MMULT('Analysis Data'!N838:U838,'Final Model'!$B$59:$I$66),'Analysis Data'!N838:U838)</f>
        <v>0.0151522057284182</v>
      </c>
      <c r="C838" s="15" t="n">
        <f aca="false">'Residual Diagnostics'!F838</f>
        <v>-2.7093424359538</v>
      </c>
      <c r="D838" s="13" t="n">
        <f aca="false">C838/('Final Model'!$B$21*SQRT(1-B838))</f>
        <v>-0.0556800414414832</v>
      </c>
      <c r="E838" s="13" t="n">
        <f aca="false">D838*SQRT(('Final Model'!$B$24-1)/('Final Model'!$B$24-D838^2))</f>
        <v>-0.0556598971794832</v>
      </c>
      <c r="F838" s="23" t="n">
        <f aca="false">D838^2/($P$3+1)*B838/(1-B838)</f>
        <v>5.96232787142523E-006</v>
      </c>
      <c r="G838" s="13" t="n">
        <f aca="false">($P$2-1)*(B838-1/$P$2)</f>
        <v>19.9865264345807</v>
      </c>
      <c r="H838" s="13" t="n">
        <f aca="false">E838*SQRT(B838/(1-B838))</f>
        <v>-0.00690392032270676</v>
      </c>
      <c r="I838" s="13" t="n">
        <f aca="false">ABS(D838)</f>
        <v>0.0556800414414832</v>
      </c>
      <c r="J838" s="6" t="n">
        <f aca="false">IF(B838&gt;$P$4,1,0)</f>
        <v>1</v>
      </c>
      <c r="K838" s="6" t="n">
        <f aca="false">IF(F838&gt;$P$6,1,0)</f>
        <v>0</v>
      </c>
      <c r="L838" s="6" t="n">
        <f aca="false">IF(G838&gt;$P$9,1,0)</f>
        <v>1</v>
      </c>
      <c r="M838" s="6" t="n">
        <f aca="false">IF(ABS(H838)&gt;$P$8,1,0)</f>
        <v>0</v>
      </c>
    </row>
    <row r="839" customFormat="false" ht="15" hidden="false" customHeight="false" outlineLevel="0" collapsed="false">
      <c r="A839" s="0" t="n">
        <f aca="false">ROW()-1</f>
        <v>838</v>
      </c>
      <c r="B839" s="22" t="n">
        <f aca="false">SUMPRODUCT(MMULT('Analysis Data'!N839:U839,'Final Model'!$B$59:$I$66),'Analysis Data'!N839:U839)</f>
        <v>0.0120647381336081</v>
      </c>
      <c r="C839" s="15" t="n">
        <f aca="false">'Residual Diagnostics'!F839</f>
        <v>109.531179174522</v>
      </c>
      <c r="D839" s="13" t="n">
        <f aca="false">C839/('Final Model'!$B$21*SQRT(1-B839))</f>
        <v>2.24746909563401</v>
      </c>
      <c r="E839" s="13" t="n">
        <f aca="false">D839*SQRT(('Final Model'!$B$24-1)/('Final Model'!$B$24-D839^2))</f>
        <v>2.25078242169336</v>
      </c>
      <c r="F839" s="23" t="n">
        <f aca="false">D839^2/($P$3+1)*B839/(1-B839)</f>
        <v>0.00771057708576329</v>
      </c>
      <c r="G839" s="13" t="n">
        <f aca="false">($P$2-1)*(B839-1/$P$2)</f>
        <v>15.7103838157688</v>
      </c>
      <c r="H839" s="13" t="n">
        <f aca="false">E839*SQRT(B839/(1-B839))</f>
        <v>0.248730029461016</v>
      </c>
      <c r="I839" s="13" t="n">
        <f aca="false">ABS(D839)</f>
        <v>2.24746909563401</v>
      </c>
      <c r="J839" s="6" t="n">
        <f aca="false">IF(B839&gt;$P$4,1,0)</f>
        <v>1</v>
      </c>
      <c r="K839" s="6" t="n">
        <f aca="false">IF(F839&gt;$P$6,1,0)</f>
        <v>1</v>
      </c>
      <c r="L839" s="6" t="n">
        <f aca="false">IF(G839&gt;$P$9,1,0)</f>
        <v>1</v>
      </c>
      <c r="M839" s="6" t="n">
        <f aca="false">IF(ABS(H839)&gt;$P$8,1,0)</f>
        <v>1</v>
      </c>
    </row>
    <row r="840" customFormat="false" ht="15" hidden="false" customHeight="false" outlineLevel="0" collapsed="false">
      <c r="A840" s="0" t="n">
        <f aca="false">ROW()-1</f>
        <v>839</v>
      </c>
      <c r="B840" s="22" t="n">
        <f aca="false">SUMPRODUCT(MMULT('Analysis Data'!N840:U840,'Final Model'!$B$59:$I$66),'Analysis Data'!N840:U840)</f>
        <v>0.0138602326253526</v>
      </c>
      <c r="C840" s="15" t="n">
        <f aca="false">'Residual Diagnostics'!F840</f>
        <v>22.9810144378931</v>
      </c>
      <c r="D840" s="13" t="n">
        <f aca="false">C840/('Final Model'!$B$21*SQRT(1-B840))</f>
        <v>0.471976274692389</v>
      </c>
      <c r="E840" s="13" t="n">
        <f aca="false">D840*SQRT(('Final Model'!$B$24-1)/('Final Model'!$B$24-D840^2))</f>
        <v>0.471843129136364</v>
      </c>
      <c r="F840" s="23" t="n">
        <f aca="false">D840^2/($P$3+1)*B840/(1-B840)</f>
        <v>0.000391365371296371</v>
      </c>
      <c r="G840" s="13" t="n">
        <f aca="false">($P$2-1)*(B840-1/$P$2)</f>
        <v>18.1971436868348</v>
      </c>
      <c r="H840" s="13" t="n">
        <f aca="false">E840*SQRT(B840/(1-B840))</f>
        <v>0.0559388660850273</v>
      </c>
      <c r="I840" s="13" t="n">
        <f aca="false">ABS(D840)</f>
        <v>0.471976274692389</v>
      </c>
      <c r="J840" s="6" t="n">
        <f aca="false">IF(B840&gt;$P$4,1,0)</f>
        <v>1</v>
      </c>
      <c r="K840" s="6" t="n">
        <f aca="false">IF(F840&gt;$P$6,1,0)</f>
        <v>0</v>
      </c>
      <c r="L840" s="6" t="n">
        <f aca="false">IF(G840&gt;$P$9,1,0)</f>
        <v>1</v>
      </c>
      <c r="M840" s="6" t="n">
        <f aca="false">IF(ABS(H840)&gt;$P$8,1,0)</f>
        <v>0</v>
      </c>
    </row>
    <row r="841" customFormat="false" ht="15" hidden="false" customHeight="false" outlineLevel="0" collapsed="false">
      <c r="A841" s="0" t="n">
        <f aca="false">ROW()-1</f>
        <v>840</v>
      </c>
      <c r="B841" s="22" t="n">
        <f aca="false">SUMPRODUCT(MMULT('Analysis Data'!N841:U841,'Final Model'!$B$59:$I$66),'Analysis Data'!N841:U841)</f>
        <v>0.00197999150489315</v>
      </c>
      <c r="C841" s="15" t="n">
        <f aca="false">'Residual Diagnostics'!F841</f>
        <v>-27.9252455129884</v>
      </c>
      <c r="D841" s="13" t="n">
        <f aca="false">C841/('Final Model'!$B$21*SQRT(1-B841))</f>
        <v>-0.570095462956624</v>
      </c>
      <c r="E841" s="13" t="n">
        <f aca="false">D841*SQRT(('Final Model'!$B$24-1)/('Final Model'!$B$24-D841^2))</f>
        <v>-0.569955786854517</v>
      </c>
      <c r="F841" s="23" t="n">
        <f aca="false">D841^2/($P$3+1)*B841/(1-B841)</f>
        <v>8.05989271967762E-005</v>
      </c>
      <c r="G841" s="13" t="n">
        <f aca="false">($P$2-1)*(B841-1/$P$2)</f>
        <v>1.74300973499852</v>
      </c>
      <c r="H841" s="13" t="n">
        <f aca="false">E841*SQRT(B841/(1-B841))</f>
        <v>-0.025386522060854</v>
      </c>
      <c r="I841" s="13" t="n">
        <f aca="false">ABS(D841)</f>
        <v>0.570095462956624</v>
      </c>
      <c r="J841" s="6" t="n">
        <f aca="false">IF(B841&gt;$P$4,1,0)</f>
        <v>0</v>
      </c>
      <c r="K841" s="6" t="n">
        <f aca="false">IF(F841&gt;$P$6,1,0)</f>
        <v>0</v>
      </c>
      <c r="L841" s="6" t="n">
        <f aca="false">IF(G841&gt;$P$9,1,0)</f>
        <v>0</v>
      </c>
      <c r="M841" s="6" t="n">
        <f aca="false">IF(ABS(H841)&gt;$P$8,1,0)</f>
        <v>0</v>
      </c>
    </row>
    <row r="842" customFormat="false" ht="15" hidden="false" customHeight="false" outlineLevel="0" collapsed="false">
      <c r="A842" s="0" t="n">
        <f aca="false">ROW()-1</f>
        <v>841</v>
      </c>
      <c r="B842" s="22" t="n">
        <f aca="false">SUMPRODUCT(MMULT('Analysis Data'!N842:U842,'Final Model'!$B$59:$I$66),'Analysis Data'!N842:U842)</f>
        <v>0.00294236470340294</v>
      </c>
      <c r="C842" s="15" t="n">
        <f aca="false">'Residual Diagnostics'!F842</f>
        <v>-7.2542781723827</v>
      </c>
      <c r="D842" s="13" t="n">
        <f aca="false">C842/('Final Model'!$B$21*SQRT(1-B842))</f>
        <v>-0.148167953354698</v>
      </c>
      <c r="E842" s="13" t="n">
        <f aca="false">D842*SQRT(('Final Model'!$B$24-1)/('Final Model'!$B$24-D842^2))</f>
        <v>-0.148115361502503</v>
      </c>
      <c r="F842" s="23" t="n">
        <f aca="false">D842^2/($P$3+1)*B842/(1-B842)</f>
        <v>8.0983177981016E-006</v>
      </c>
      <c r="G842" s="13" t="n">
        <f aca="false">($P$2-1)*(B842-1/$P$2)</f>
        <v>3.07589661493458</v>
      </c>
      <c r="H842" s="13" t="n">
        <f aca="false">E842*SQRT(B842/(1-B842))</f>
        <v>-0.00804615180679542</v>
      </c>
      <c r="I842" s="13" t="n">
        <f aca="false">ABS(D842)</f>
        <v>0.148167953354698</v>
      </c>
      <c r="J842" s="6" t="n">
        <f aca="false">IF(B842&gt;$P$4,1,0)</f>
        <v>0</v>
      </c>
      <c r="K842" s="6" t="n">
        <f aca="false">IF(F842&gt;$P$6,1,0)</f>
        <v>0</v>
      </c>
      <c r="L842" s="6" t="n">
        <f aca="false">IF(G842&gt;$P$9,1,0)</f>
        <v>0</v>
      </c>
      <c r="M842" s="6" t="n">
        <f aca="false">IF(ABS(H842)&gt;$P$8,1,0)</f>
        <v>0</v>
      </c>
    </row>
    <row r="843" customFormat="false" ht="15" hidden="false" customHeight="false" outlineLevel="0" collapsed="false">
      <c r="A843" s="0" t="n">
        <f aca="false">ROW()-1</f>
        <v>842</v>
      </c>
      <c r="B843" s="22" t="n">
        <f aca="false">SUMPRODUCT(MMULT('Analysis Data'!N843:U843,'Final Model'!$B$59:$I$66),'Analysis Data'!N843:U843)</f>
        <v>0.00588041150899502</v>
      </c>
      <c r="C843" s="15" t="n">
        <f aca="false">'Residual Diagnostics'!F843</f>
        <v>132.666491973134</v>
      </c>
      <c r="D843" s="13" t="n">
        <f aca="false">C843/('Final Model'!$B$21*SQRT(1-B843))</f>
        <v>2.71370189918583</v>
      </c>
      <c r="E843" s="13" t="n">
        <f aca="false">D843*SQRT(('Final Model'!$B$24-1)/('Final Model'!$B$24-D843^2))</f>
        <v>2.71999477448632</v>
      </c>
      <c r="F843" s="23" t="n">
        <f aca="false">D843^2/($P$3+1)*B843/(1-B843)</f>
        <v>0.00544506887714723</v>
      </c>
      <c r="G843" s="13" t="n">
        <f aca="false">($P$2-1)*(B843-1/$P$2)</f>
        <v>7.1450914406796</v>
      </c>
      <c r="H843" s="13" t="n">
        <f aca="false">E843*SQRT(B843/(1-B843))</f>
        <v>0.209195632589437</v>
      </c>
      <c r="I843" s="13" t="n">
        <f aca="false">ABS(D843)</f>
        <v>2.71370189918583</v>
      </c>
      <c r="J843" s="6" t="n">
        <f aca="false">IF(B843&gt;$P$4,1,0)</f>
        <v>0</v>
      </c>
      <c r="K843" s="6" t="n">
        <f aca="false">IF(F843&gt;$P$6,1,0)</f>
        <v>1</v>
      </c>
      <c r="L843" s="6" t="n">
        <f aca="false">IF(G843&gt;$P$9,1,0)</f>
        <v>0</v>
      </c>
      <c r="M843" s="6" t="n">
        <f aca="false">IF(ABS(H843)&gt;$P$8,1,0)</f>
        <v>1</v>
      </c>
    </row>
    <row r="844" customFormat="false" ht="15" hidden="false" customHeight="false" outlineLevel="0" collapsed="false">
      <c r="A844" s="0" t="n">
        <f aca="false">ROW()-1</f>
        <v>843</v>
      </c>
      <c r="B844" s="22" t="n">
        <f aca="false">SUMPRODUCT(MMULT('Analysis Data'!N844:U844,'Final Model'!$B$59:$I$66),'Analysis Data'!N844:U844)</f>
        <v>0.0112188822827381</v>
      </c>
      <c r="C844" s="15" t="n">
        <f aca="false">'Residual Diagnostics'!F844</f>
        <v>-38.8233781481316</v>
      </c>
      <c r="D844" s="13" t="n">
        <f aca="false">C844/('Final Model'!$B$21*SQRT(1-B844))</f>
        <v>-0.796275674655986</v>
      </c>
      <c r="E844" s="13" t="n">
        <f aca="false">D844*SQRT(('Final Model'!$B$24-1)/('Final Model'!$B$24-D844^2))</f>
        <v>-0.796169888499507</v>
      </c>
      <c r="F844" s="23" t="n">
        <f aca="false">D844^2/($P$3+1)*B844/(1-B844)</f>
        <v>0.000899262197407198</v>
      </c>
      <c r="G844" s="13" t="n">
        <f aca="false">($P$2-1)*(B844-1/$P$2)</f>
        <v>14.5388734623137</v>
      </c>
      <c r="H844" s="13" t="n">
        <f aca="false">E844*SQRT(B844/(1-B844))</f>
        <v>-0.084806758089447</v>
      </c>
      <c r="I844" s="13" t="n">
        <f aca="false">ABS(D844)</f>
        <v>0.796275674655986</v>
      </c>
      <c r="J844" s="6" t="n">
        <f aca="false">IF(B844&gt;$P$4,1,0)</f>
        <v>0</v>
      </c>
      <c r="K844" s="6" t="n">
        <f aca="false">IF(F844&gt;$P$6,1,0)</f>
        <v>0</v>
      </c>
      <c r="L844" s="6" t="n">
        <f aca="false">IF(G844&gt;$P$9,1,0)</f>
        <v>1</v>
      </c>
      <c r="M844" s="6" t="n">
        <f aca="false">IF(ABS(H844)&gt;$P$8,1,0)</f>
        <v>0</v>
      </c>
    </row>
    <row r="845" customFormat="false" ht="15" hidden="false" customHeight="false" outlineLevel="0" collapsed="false">
      <c r="A845" s="0" t="n">
        <f aca="false">ROW()-1</f>
        <v>844</v>
      </c>
      <c r="B845" s="22" t="n">
        <f aca="false">SUMPRODUCT(MMULT('Analysis Data'!N845:U845,'Final Model'!$B$59:$I$66),'Analysis Data'!N845:U845)</f>
        <v>0.0160271206199343</v>
      </c>
      <c r="C845" s="15" t="n">
        <f aca="false">'Residual Diagnostics'!F845</f>
        <v>42.5103937366283</v>
      </c>
      <c r="D845" s="13" t="n">
        <f aca="false">C845/('Final Model'!$B$21*SQRT(1-B845))</f>
        <v>0.874024832957958</v>
      </c>
      <c r="E845" s="13" t="n">
        <f aca="false">D845*SQRT(('Final Model'!$B$24-1)/('Final Model'!$B$24-D845^2))</f>
        <v>0.873949918734601</v>
      </c>
      <c r="F845" s="23" t="n">
        <f aca="false">D845^2/($P$3+1)*B845/(1-B845)</f>
        <v>0.00155535644865671</v>
      </c>
      <c r="G845" s="13" t="n">
        <f aca="false">($P$2-1)*(B845-1/$P$2)</f>
        <v>21.1982835593304</v>
      </c>
      <c r="H845" s="13" t="n">
        <f aca="false">E845*SQRT(B845/(1-B845))</f>
        <v>0.111537969690922</v>
      </c>
      <c r="I845" s="13" t="n">
        <f aca="false">ABS(D845)</f>
        <v>0.874024832957958</v>
      </c>
      <c r="J845" s="6" t="n">
        <f aca="false">IF(B845&gt;$P$4,1,0)</f>
        <v>1</v>
      </c>
      <c r="K845" s="6" t="n">
        <f aca="false">IF(F845&gt;$P$6,1,0)</f>
        <v>0</v>
      </c>
      <c r="L845" s="6" t="n">
        <f aca="false">IF(G845&gt;$P$9,1,0)</f>
        <v>1</v>
      </c>
      <c r="M845" s="6" t="n">
        <f aca="false">IF(ABS(H845)&gt;$P$8,1,0)</f>
        <v>0</v>
      </c>
    </row>
    <row r="846" customFormat="false" ht="15" hidden="false" customHeight="false" outlineLevel="0" collapsed="false">
      <c r="A846" s="0" t="n">
        <f aca="false">ROW()-1</f>
        <v>845</v>
      </c>
      <c r="B846" s="22" t="n">
        <f aca="false">SUMPRODUCT(MMULT('Analysis Data'!N846:U846,'Final Model'!$B$59:$I$66),'Analysis Data'!N846:U846)</f>
        <v>0.00856861575632617</v>
      </c>
      <c r="C846" s="15" t="n">
        <f aca="false">'Residual Diagnostics'!F846</f>
        <v>-27.8262616679822</v>
      </c>
      <c r="D846" s="13" t="n">
        <f aca="false">C846/('Final Model'!$B$21*SQRT(1-B846))</f>
        <v>-0.569959165934758</v>
      </c>
      <c r="E846" s="13" t="n">
        <f aca="false">D846*SQRT(('Final Model'!$B$24-1)/('Final Model'!$B$24-D846^2))</f>
        <v>-0.569819491091497</v>
      </c>
      <c r="F846" s="23" t="n">
        <f aca="false">D846^2/($P$3+1)*B846/(1-B846)</f>
        <v>0.000350950207137686</v>
      </c>
      <c r="G846" s="13" t="n">
        <f aca="false">($P$2-1)*(B846-1/$P$2)</f>
        <v>10.8682543232332</v>
      </c>
      <c r="H846" s="13" t="n">
        <f aca="false">E846*SQRT(B846/(1-B846))</f>
        <v>-0.0529738214364736</v>
      </c>
      <c r="I846" s="13" t="n">
        <f aca="false">ABS(D846)</f>
        <v>0.569959165934758</v>
      </c>
      <c r="J846" s="6" t="n">
        <f aca="false">IF(B846&gt;$P$4,1,0)</f>
        <v>0</v>
      </c>
      <c r="K846" s="6" t="n">
        <f aca="false">IF(F846&gt;$P$6,1,0)</f>
        <v>0</v>
      </c>
      <c r="L846" s="6" t="n">
        <f aca="false">IF(G846&gt;$P$9,1,0)</f>
        <v>1</v>
      </c>
      <c r="M846" s="6" t="n">
        <f aca="false">IF(ABS(H846)&gt;$P$8,1,0)</f>
        <v>0</v>
      </c>
    </row>
    <row r="847" customFormat="false" ht="15" hidden="false" customHeight="false" outlineLevel="0" collapsed="false">
      <c r="A847" s="0" t="n">
        <f aca="false">ROW()-1</f>
        <v>846</v>
      </c>
      <c r="B847" s="22" t="n">
        <f aca="false">SUMPRODUCT(MMULT('Analysis Data'!N847:U847,'Final Model'!$B$59:$I$66),'Analysis Data'!N847:U847)</f>
        <v>0.00238921418491931</v>
      </c>
      <c r="C847" s="15" t="n">
        <f aca="false">'Residual Diagnostics'!F847</f>
        <v>-33.9565227018144</v>
      </c>
      <c r="D847" s="13" t="n">
        <f aca="false">C847/('Final Model'!$B$21*SQRT(1-B847))</f>
        <v>-0.693366493790936</v>
      </c>
      <c r="E847" s="13" t="n">
        <f aca="false">D847*SQRT(('Final Model'!$B$24-1)/('Final Model'!$B$24-D847^2))</f>
        <v>-0.693235802489169</v>
      </c>
      <c r="F847" s="23" t="n">
        <f aca="false">D847^2/($P$3+1)*B847/(1-B847)</f>
        <v>0.000143922821219285</v>
      </c>
      <c r="G847" s="13" t="n">
        <f aca="false">($P$2-1)*(B847-1/$P$2)</f>
        <v>2.30978314683474</v>
      </c>
      <c r="H847" s="13" t="n">
        <f aca="false">E847*SQRT(B847/(1-B847))</f>
        <v>-0.0339256328892801</v>
      </c>
      <c r="I847" s="13" t="n">
        <f aca="false">ABS(D847)</f>
        <v>0.693366493790936</v>
      </c>
      <c r="J847" s="6" t="n">
        <f aca="false">IF(B847&gt;$P$4,1,0)</f>
        <v>0</v>
      </c>
      <c r="K847" s="6" t="n">
        <f aca="false">IF(F847&gt;$P$6,1,0)</f>
        <v>0</v>
      </c>
      <c r="L847" s="6" t="n">
        <f aca="false">IF(G847&gt;$P$9,1,0)</f>
        <v>0</v>
      </c>
      <c r="M847" s="6" t="n">
        <f aca="false">IF(ABS(H847)&gt;$P$8,1,0)</f>
        <v>0</v>
      </c>
    </row>
    <row r="848" customFormat="false" ht="15" hidden="false" customHeight="false" outlineLevel="0" collapsed="false">
      <c r="A848" s="0" t="n">
        <f aca="false">ROW()-1</f>
        <v>847</v>
      </c>
      <c r="B848" s="22" t="n">
        <f aca="false">SUMPRODUCT(MMULT('Analysis Data'!N848:U848,'Final Model'!$B$59:$I$66),'Analysis Data'!N848:U848)</f>
        <v>0.00238921418491931</v>
      </c>
      <c r="C848" s="15" t="n">
        <f aca="false">'Residual Diagnostics'!F848</f>
        <v>-52.2822547711195</v>
      </c>
      <c r="D848" s="13" t="n">
        <f aca="false">C848/('Final Model'!$B$21*SQRT(1-B848))</f>
        <v>-1.06756407293137</v>
      </c>
      <c r="E848" s="13" t="n">
        <f aca="false">D848*SQRT(('Final Model'!$B$24-1)/('Final Model'!$B$24-D848^2))</f>
        <v>-1.06761822784383</v>
      </c>
      <c r="F848" s="23" t="n">
        <f aca="false">D848^2/($P$3+1)*B848/(1-B848)</f>
        <v>0.000341186517801675</v>
      </c>
      <c r="G848" s="13" t="n">
        <f aca="false">($P$2-1)*(B848-1/$P$2)</f>
        <v>2.30978314683474</v>
      </c>
      <c r="H848" s="13" t="n">
        <f aca="false">E848*SQRT(B848/(1-B848))</f>
        <v>-0.0522471919852978</v>
      </c>
      <c r="I848" s="13" t="n">
        <f aca="false">ABS(D848)</f>
        <v>1.06756407293137</v>
      </c>
      <c r="J848" s="6" t="n">
        <f aca="false">IF(B848&gt;$P$4,1,0)</f>
        <v>0</v>
      </c>
      <c r="K848" s="6" t="n">
        <f aca="false">IF(F848&gt;$P$6,1,0)</f>
        <v>0</v>
      </c>
      <c r="L848" s="6" t="n">
        <f aca="false">IF(G848&gt;$P$9,1,0)</f>
        <v>0</v>
      </c>
      <c r="M848" s="6" t="n">
        <f aca="false">IF(ABS(H848)&gt;$P$8,1,0)</f>
        <v>0</v>
      </c>
    </row>
    <row r="849" customFormat="false" ht="15" hidden="false" customHeight="false" outlineLevel="0" collapsed="false">
      <c r="A849" s="0" t="n">
        <f aca="false">ROW()-1</f>
        <v>848</v>
      </c>
      <c r="B849" s="22" t="n">
        <f aca="false">SUMPRODUCT(MMULT('Analysis Data'!N849:U849,'Final Model'!$B$59:$I$66),'Analysis Data'!N849:U849)</f>
        <v>0.00409590922643828</v>
      </c>
      <c r="C849" s="15" t="n">
        <f aca="false">'Residual Diagnostics'!F849</f>
        <v>-17.4353544108363</v>
      </c>
      <c r="D849" s="13" t="n">
        <f aca="false">C849/('Final Model'!$B$21*SQRT(1-B849))</f>
        <v>-0.356321666131649</v>
      </c>
      <c r="E849" s="13" t="n">
        <f aca="false">D849*SQRT(('Final Model'!$B$24-1)/('Final Model'!$B$24-D849^2))</f>
        <v>-0.356208763664082</v>
      </c>
      <c r="F849" s="23" t="n">
        <f aca="false">D849^2/($P$3+1)*B849/(1-B849)</f>
        <v>6.52720542089076E-005</v>
      </c>
      <c r="G849" s="13" t="n">
        <f aca="false">($P$2-1)*(B849-1/$P$2)</f>
        <v>4.67355577933852</v>
      </c>
      <c r="H849" s="13" t="n">
        <f aca="false">E849*SQRT(B849/(1-B849))</f>
        <v>-0.0228439396160549</v>
      </c>
      <c r="I849" s="13" t="n">
        <f aca="false">ABS(D849)</f>
        <v>0.356321666131649</v>
      </c>
      <c r="J849" s="6" t="n">
        <f aca="false">IF(B849&gt;$P$4,1,0)</f>
        <v>0</v>
      </c>
      <c r="K849" s="6" t="n">
        <f aca="false">IF(F849&gt;$P$6,1,0)</f>
        <v>0</v>
      </c>
      <c r="L849" s="6" t="n">
        <f aca="false">IF(G849&gt;$P$9,1,0)</f>
        <v>0</v>
      </c>
      <c r="M849" s="6" t="n">
        <f aca="false">IF(ABS(H849)&gt;$P$8,1,0)</f>
        <v>0</v>
      </c>
    </row>
    <row r="850" customFormat="false" ht="15" hidden="false" customHeight="false" outlineLevel="0" collapsed="false">
      <c r="A850" s="0" t="n">
        <f aca="false">ROW()-1</f>
        <v>849</v>
      </c>
      <c r="B850" s="22" t="n">
        <f aca="false">SUMPRODUCT(MMULT('Analysis Data'!N850:U850,'Final Model'!$B$59:$I$66),'Analysis Data'!N850:U850)</f>
        <v>0.00171292666408352</v>
      </c>
      <c r="C850" s="15" t="n">
        <f aca="false">'Residual Diagnostics'!F850</f>
        <v>-67.5644412365841</v>
      </c>
      <c r="D850" s="13" t="n">
        <f aca="false">C850/('Final Model'!$B$21*SQRT(1-B850))</f>
        <v>-1.37914736657226</v>
      </c>
      <c r="E850" s="13" t="n">
        <f aca="false">D850*SQRT(('Final Model'!$B$24-1)/('Final Model'!$B$24-D850^2))</f>
        <v>-1.37959931571168</v>
      </c>
      <c r="F850" s="23" t="n">
        <f aca="false">D850^2/($P$3+1)*B850/(1-B850)</f>
        <v>0.000407957276947398</v>
      </c>
      <c r="G850" s="13" t="n">
        <f aca="false">($P$2-1)*(B850-1/$P$2)</f>
        <v>1.37312493047717</v>
      </c>
      <c r="H850" s="13" t="n">
        <f aca="false">E850*SQRT(B850/(1-B850))</f>
        <v>-0.0571471572320927</v>
      </c>
      <c r="I850" s="13" t="n">
        <f aca="false">ABS(D850)</f>
        <v>1.37914736657226</v>
      </c>
      <c r="J850" s="6" t="n">
        <f aca="false">IF(B850&gt;$P$4,1,0)</f>
        <v>0</v>
      </c>
      <c r="K850" s="6" t="n">
        <f aca="false">IF(F850&gt;$P$6,1,0)</f>
        <v>0</v>
      </c>
      <c r="L850" s="6" t="n">
        <f aca="false">IF(G850&gt;$P$9,1,0)</f>
        <v>0</v>
      </c>
      <c r="M850" s="6" t="n">
        <f aca="false">IF(ABS(H850)&gt;$P$8,1,0)</f>
        <v>0</v>
      </c>
    </row>
    <row r="851" customFormat="false" ht="15" hidden="false" customHeight="false" outlineLevel="0" collapsed="false">
      <c r="A851" s="0" t="n">
        <f aca="false">ROW()-1</f>
        <v>850</v>
      </c>
      <c r="B851" s="22" t="n">
        <f aca="false">SUMPRODUCT(MMULT('Analysis Data'!N851:U851,'Final Model'!$B$59:$I$66),'Analysis Data'!N851:U851)</f>
        <v>0.00197536046407774</v>
      </c>
      <c r="C851" s="15" t="n">
        <f aca="false">'Residual Diagnostics'!F851</f>
        <v>89.1589774327969</v>
      </c>
      <c r="D851" s="13" t="n">
        <f aca="false">C851/('Final Model'!$B$21*SQRT(1-B851))</f>
        <v>1.82018133246761</v>
      </c>
      <c r="E851" s="13" t="n">
        <f aca="false">D851*SQRT(('Final Model'!$B$24-1)/('Final Model'!$B$24-D851^2))</f>
        <v>1.82171201524538</v>
      </c>
      <c r="F851" s="23" t="n">
        <f aca="false">D851^2/($P$3+1)*B851/(1-B851)</f>
        <v>0.000819680151664522</v>
      </c>
      <c r="G851" s="13" t="n">
        <f aca="false">($P$2-1)*(B851-1/$P$2)</f>
        <v>1.73659574346917</v>
      </c>
      <c r="H851" s="13" t="n">
        <f aca="false">E851*SQRT(B851/(1-B851))</f>
        <v>0.0810461277321153</v>
      </c>
      <c r="I851" s="13" t="n">
        <f aca="false">ABS(D851)</f>
        <v>1.82018133246761</v>
      </c>
      <c r="J851" s="6" t="n">
        <f aca="false">IF(B851&gt;$P$4,1,0)</f>
        <v>0</v>
      </c>
      <c r="K851" s="6" t="n">
        <f aca="false">IF(F851&gt;$P$6,1,0)</f>
        <v>0</v>
      </c>
      <c r="L851" s="6" t="n">
        <f aca="false">IF(G851&gt;$P$9,1,0)</f>
        <v>0</v>
      </c>
      <c r="M851" s="6" t="n">
        <f aca="false">IF(ABS(H851)&gt;$P$8,1,0)</f>
        <v>0</v>
      </c>
    </row>
    <row r="852" customFormat="false" ht="15" hidden="false" customHeight="false" outlineLevel="0" collapsed="false">
      <c r="A852" s="0" t="n">
        <f aca="false">ROW()-1</f>
        <v>851</v>
      </c>
      <c r="B852" s="22" t="n">
        <f aca="false">SUMPRODUCT(MMULT('Analysis Data'!N852:U852,'Final Model'!$B$59:$I$66),'Analysis Data'!N852:U852)</f>
        <v>0.00337408416368668</v>
      </c>
      <c r="C852" s="15" t="n">
        <f aca="false">'Residual Diagnostics'!F852</f>
        <v>-6.95727164073421</v>
      </c>
      <c r="D852" s="13" t="n">
        <f aca="false">C852/('Final Model'!$B$21*SQRT(1-B852))</f>
        <v>-0.14213239725024</v>
      </c>
      <c r="E852" s="13" t="n">
        <f aca="false">D852*SQRT(('Final Model'!$B$24-1)/('Final Model'!$B$24-D852^2))</f>
        <v>-0.142081857374105</v>
      </c>
      <c r="F852" s="23" t="n">
        <f aca="false">D852^2/($P$3+1)*B852/(1-B852)</f>
        <v>8.54909041924327E-006</v>
      </c>
      <c r="G852" s="13" t="n">
        <f aca="false">($P$2-1)*(B852-1/$P$2)</f>
        <v>3.67382806742756</v>
      </c>
      <c r="H852" s="13" t="n">
        <f aca="false">E852*SQRT(B852/(1-B852))</f>
        <v>-0.00826704865175624</v>
      </c>
      <c r="I852" s="13" t="n">
        <f aca="false">ABS(D852)</f>
        <v>0.14213239725024</v>
      </c>
      <c r="J852" s="6" t="n">
        <f aca="false">IF(B852&gt;$P$4,1,0)</f>
        <v>0</v>
      </c>
      <c r="K852" s="6" t="n">
        <f aca="false">IF(F852&gt;$P$6,1,0)</f>
        <v>0</v>
      </c>
      <c r="L852" s="6" t="n">
        <f aca="false">IF(G852&gt;$P$9,1,0)</f>
        <v>0</v>
      </c>
      <c r="M852" s="6" t="n">
        <f aca="false">IF(ABS(H852)&gt;$P$8,1,0)</f>
        <v>0</v>
      </c>
    </row>
    <row r="853" customFormat="false" ht="15" hidden="false" customHeight="false" outlineLevel="0" collapsed="false">
      <c r="A853" s="0" t="n">
        <f aca="false">ROW()-1</f>
        <v>852</v>
      </c>
      <c r="B853" s="22" t="n">
        <f aca="false">SUMPRODUCT(MMULT('Analysis Data'!N853:U853,'Final Model'!$B$59:$I$66),'Analysis Data'!N853:U853)</f>
        <v>0.00283488084309153</v>
      </c>
      <c r="C853" s="15" t="n">
        <f aca="false">'Residual Diagnostics'!F853</f>
        <v>25.8314504488795</v>
      </c>
      <c r="D853" s="13" t="n">
        <f aca="false">C853/('Final Model'!$B$21*SQRT(1-B853))</f>
        <v>0.527576524145627</v>
      </c>
      <c r="E853" s="13" t="n">
        <f aca="false">D853*SQRT(('Final Model'!$B$24-1)/('Final Model'!$B$24-D853^2))</f>
        <v>0.527438331379956</v>
      </c>
      <c r="F853" s="23" t="n">
        <f aca="false">D853^2/($P$3+1)*B853/(1-B853)</f>
        <v>9.89119282250736E-005</v>
      </c>
      <c r="G853" s="13" t="n">
        <f aca="false">($P$2-1)*(B853-1/$P$2)</f>
        <v>2.92703146840327</v>
      </c>
      <c r="H853" s="13" t="n">
        <f aca="false">E853*SQRT(B853/(1-B853))</f>
        <v>0.0281226054648615</v>
      </c>
      <c r="I853" s="13" t="n">
        <f aca="false">ABS(D853)</f>
        <v>0.527576524145627</v>
      </c>
      <c r="J853" s="6" t="n">
        <f aca="false">IF(B853&gt;$P$4,1,0)</f>
        <v>0</v>
      </c>
      <c r="K853" s="6" t="n">
        <f aca="false">IF(F853&gt;$P$6,1,0)</f>
        <v>0</v>
      </c>
      <c r="L853" s="6" t="n">
        <f aca="false">IF(G853&gt;$P$9,1,0)</f>
        <v>0</v>
      </c>
      <c r="M853" s="6" t="n">
        <f aca="false">IF(ABS(H853)&gt;$P$8,1,0)</f>
        <v>0</v>
      </c>
    </row>
    <row r="854" customFormat="false" ht="15" hidden="false" customHeight="false" outlineLevel="0" collapsed="false">
      <c r="A854" s="0" t="n">
        <f aca="false">ROW()-1</f>
        <v>853</v>
      </c>
      <c r="B854" s="22" t="n">
        <f aca="false">SUMPRODUCT(MMULT('Analysis Data'!N854:U854,'Final Model'!$B$59:$I$66),'Analysis Data'!N854:U854)</f>
        <v>0.00216878445316684</v>
      </c>
      <c r="C854" s="15" t="n">
        <f aca="false">'Residual Diagnostics'!F854</f>
        <v>28.5534102639219</v>
      </c>
      <c r="D854" s="13" t="n">
        <f aca="false">C854/('Final Model'!$B$21*SQRT(1-B854))</f>
        <v>0.582974624327533</v>
      </c>
      <c r="E854" s="13" t="n">
        <f aca="false">D854*SQRT(('Final Model'!$B$24-1)/('Final Model'!$B$24-D854^2))</f>
        <v>0.58283493409744</v>
      </c>
      <c r="F854" s="23" t="n">
        <f aca="false">D854^2/($P$3+1)*B854/(1-B854)</f>
        <v>9.23354820492704E-005</v>
      </c>
      <c r="G854" s="13" t="n">
        <f aca="false">($P$2-1)*(B854-1/$P$2)</f>
        <v>2.00448796835757</v>
      </c>
      <c r="H854" s="13" t="n">
        <f aca="false">E854*SQRT(B854/(1-B854))</f>
        <v>0.0271722265816042</v>
      </c>
      <c r="I854" s="13" t="n">
        <f aca="false">ABS(D854)</f>
        <v>0.582974624327533</v>
      </c>
      <c r="J854" s="6" t="n">
        <f aca="false">IF(B854&gt;$P$4,1,0)</f>
        <v>0</v>
      </c>
      <c r="K854" s="6" t="n">
        <f aca="false">IF(F854&gt;$P$6,1,0)</f>
        <v>0</v>
      </c>
      <c r="L854" s="6" t="n">
        <f aca="false">IF(G854&gt;$P$9,1,0)</f>
        <v>0</v>
      </c>
      <c r="M854" s="6" t="n">
        <f aca="false">IF(ABS(H854)&gt;$P$8,1,0)</f>
        <v>0</v>
      </c>
    </row>
    <row r="855" customFormat="false" ht="15" hidden="false" customHeight="false" outlineLevel="0" collapsed="false">
      <c r="A855" s="0" t="n">
        <f aca="false">ROW()-1</f>
        <v>854</v>
      </c>
      <c r="B855" s="22" t="n">
        <f aca="false">SUMPRODUCT(MMULT('Analysis Data'!N855:U855,'Final Model'!$B$59:$I$66),'Analysis Data'!N855:U855)</f>
        <v>0.0147462137290552</v>
      </c>
      <c r="C855" s="15" t="n">
        <f aca="false">'Residual Diagnostics'!F855</f>
        <v>-37.6473625134265</v>
      </c>
      <c r="D855" s="13" t="n">
        <f aca="false">C855/('Final Model'!$B$21*SQRT(1-B855))</f>
        <v>-0.773536317253475</v>
      </c>
      <c r="E855" s="13" t="n">
        <f aca="false">D855*SQRT(('Final Model'!$B$24-1)/('Final Model'!$B$24-D855^2))</f>
        <v>-0.773423529893544</v>
      </c>
      <c r="F855" s="23" t="n">
        <f aca="false">D855^2/($P$3+1)*B855/(1-B855)</f>
        <v>0.00111944778580422</v>
      </c>
      <c r="G855" s="13" t="n">
        <f aca="false">($P$2-1)*(B855-1/$P$2)</f>
        <v>19.4242275154629</v>
      </c>
      <c r="H855" s="13" t="n">
        <f aca="false">E855*SQRT(B855/(1-B855))</f>
        <v>-0.0946201400101895</v>
      </c>
      <c r="I855" s="13" t="n">
        <f aca="false">ABS(D855)</f>
        <v>0.773536317253475</v>
      </c>
      <c r="J855" s="6" t="n">
        <f aca="false">IF(B855&gt;$P$4,1,0)</f>
        <v>1</v>
      </c>
      <c r="K855" s="6" t="n">
        <f aca="false">IF(F855&gt;$P$6,1,0)</f>
        <v>0</v>
      </c>
      <c r="L855" s="6" t="n">
        <f aca="false">IF(G855&gt;$P$9,1,0)</f>
        <v>1</v>
      </c>
      <c r="M855" s="6" t="n">
        <f aca="false">IF(ABS(H855)&gt;$P$8,1,0)</f>
        <v>0</v>
      </c>
    </row>
    <row r="856" customFormat="false" ht="15" hidden="false" customHeight="false" outlineLevel="0" collapsed="false">
      <c r="A856" s="0" t="n">
        <f aca="false">ROW()-1</f>
        <v>855</v>
      </c>
      <c r="B856" s="22" t="n">
        <f aca="false">SUMPRODUCT(MMULT('Analysis Data'!N856:U856,'Final Model'!$B$59:$I$66),'Analysis Data'!N856:U856)</f>
        <v>0.00511988186328214</v>
      </c>
      <c r="C856" s="15" t="n">
        <f aca="false">'Residual Diagnostics'!F856</f>
        <v>16.4668217640984</v>
      </c>
      <c r="D856" s="13" t="n">
        <f aca="false">C856/('Final Model'!$B$21*SQRT(1-B856))</f>
        <v>0.336701163846023</v>
      </c>
      <c r="E856" s="13" t="n">
        <f aca="false">D856*SQRT(('Final Model'!$B$24-1)/('Final Model'!$B$24-D856^2))</f>
        <v>0.336592817423102</v>
      </c>
      <c r="F856" s="23" t="n">
        <f aca="false">D856^2/($P$3+1)*B856/(1-B856)</f>
        <v>7.29270147802763E-005</v>
      </c>
      <c r="G856" s="13" t="n">
        <f aca="false">($P$2-1)*(B856-1/$P$2)</f>
        <v>6.09175788136726</v>
      </c>
      <c r="H856" s="13" t="n">
        <f aca="false">E856*SQRT(B856/(1-B856))</f>
        <v>0.0241462358545174</v>
      </c>
      <c r="I856" s="13" t="n">
        <f aca="false">ABS(D856)</f>
        <v>0.336701163846023</v>
      </c>
      <c r="J856" s="6" t="n">
        <f aca="false">IF(B856&gt;$P$4,1,0)</f>
        <v>0</v>
      </c>
      <c r="K856" s="6" t="n">
        <f aca="false">IF(F856&gt;$P$6,1,0)</f>
        <v>0</v>
      </c>
      <c r="L856" s="6" t="n">
        <f aca="false">IF(G856&gt;$P$9,1,0)</f>
        <v>0</v>
      </c>
      <c r="M856" s="6" t="n">
        <f aca="false">IF(ABS(H856)&gt;$P$8,1,0)</f>
        <v>0</v>
      </c>
    </row>
    <row r="857" customFormat="false" ht="15" hidden="false" customHeight="false" outlineLevel="0" collapsed="false">
      <c r="A857" s="0" t="n">
        <f aca="false">ROW()-1</f>
        <v>856</v>
      </c>
      <c r="B857" s="22" t="n">
        <f aca="false">SUMPRODUCT(MMULT('Analysis Data'!N857:U857,'Final Model'!$B$59:$I$66),'Analysis Data'!N857:U857)</f>
        <v>0.00506562247413068</v>
      </c>
      <c r="C857" s="15" t="n">
        <f aca="false">'Residual Diagnostics'!F857</f>
        <v>-11.6129465174837</v>
      </c>
      <c r="D857" s="13" t="n">
        <f aca="false">C857/('Final Model'!$B$21*SQRT(1-B857))</f>
        <v>-0.237446305241243</v>
      </c>
      <c r="E857" s="13" t="n">
        <f aca="false">D857*SQRT(('Final Model'!$B$24-1)/('Final Model'!$B$24-D857^2))</f>
        <v>-0.237364989404367</v>
      </c>
      <c r="F857" s="23" t="n">
        <f aca="false">D857^2/($P$3+1)*B857/(1-B857)</f>
        <v>3.58822136896296E-005</v>
      </c>
      <c r="G857" s="13" t="n">
        <f aca="false">($P$2-1)*(B857-1/$P$2)</f>
        <v>6.01660862739249</v>
      </c>
      <c r="H857" s="13" t="n">
        <f aca="false">E857*SQRT(B857/(1-B857))</f>
        <v>-0.0169369752812128</v>
      </c>
      <c r="I857" s="13" t="n">
        <f aca="false">ABS(D857)</f>
        <v>0.237446305241243</v>
      </c>
      <c r="J857" s="6" t="n">
        <f aca="false">IF(B857&gt;$P$4,1,0)</f>
        <v>0</v>
      </c>
      <c r="K857" s="6" t="n">
        <f aca="false">IF(F857&gt;$P$6,1,0)</f>
        <v>0</v>
      </c>
      <c r="L857" s="6" t="n">
        <f aca="false">IF(G857&gt;$P$9,1,0)</f>
        <v>0</v>
      </c>
      <c r="M857" s="6" t="n">
        <f aca="false">IF(ABS(H857)&gt;$P$8,1,0)</f>
        <v>0</v>
      </c>
    </row>
    <row r="858" customFormat="false" ht="15" hidden="false" customHeight="false" outlineLevel="0" collapsed="false">
      <c r="A858" s="0" t="n">
        <f aca="false">ROW()-1</f>
        <v>857</v>
      </c>
      <c r="B858" s="22" t="n">
        <f aca="false">SUMPRODUCT(MMULT('Analysis Data'!N858:U858,'Final Model'!$B$59:$I$66),'Analysis Data'!N858:U858)</f>
        <v>0.00513027109029148</v>
      </c>
      <c r="C858" s="15" t="n">
        <f aca="false">'Residual Diagnostics'!F858</f>
        <v>-63.1713764714091</v>
      </c>
      <c r="D858" s="13" t="n">
        <f aca="false">C858/('Final Model'!$B$21*SQRT(1-B858))</f>
        <v>-1.29168745144906</v>
      </c>
      <c r="E858" s="13" t="n">
        <f aca="false">D858*SQRT(('Final Model'!$B$24-1)/('Final Model'!$B$24-D858^2))</f>
        <v>-1.29200108664404</v>
      </c>
      <c r="F858" s="23" t="n">
        <f aca="false">D858^2/($P$3+1)*B858/(1-B858)</f>
        <v>0.00107547171204477</v>
      </c>
      <c r="G858" s="13" t="n">
        <f aca="false">($P$2-1)*(B858-1/$P$2)</f>
        <v>6.1061469607752</v>
      </c>
      <c r="H858" s="13" t="n">
        <f aca="false">E858*SQRT(B858/(1-B858))</f>
        <v>-0.0927790513840154</v>
      </c>
      <c r="I858" s="13" t="n">
        <f aca="false">ABS(D858)</f>
        <v>1.29168745144906</v>
      </c>
      <c r="J858" s="6" t="n">
        <f aca="false">IF(B858&gt;$P$4,1,0)</f>
        <v>0</v>
      </c>
      <c r="K858" s="6" t="n">
        <f aca="false">IF(F858&gt;$P$6,1,0)</f>
        <v>0</v>
      </c>
      <c r="L858" s="6" t="n">
        <f aca="false">IF(G858&gt;$P$9,1,0)</f>
        <v>0</v>
      </c>
      <c r="M858" s="6" t="n">
        <f aca="false">IF(ABS(H858)&gt;$P$8,1,0)</f>
        <v>0</v>
      </c>
    </row>
    <row r="859" customFormat="false" ht="15" hidden="false" customHeight="false" outlineLevel="0" collapsed="false">
      <c r="A859" s="0" t="n">
        <f aca="false">ROW()-1</f>
        <v>858</v>
      </c>
      <c r="B859" s="22" t="n">
        <f aca="false">SUMPRODUCT(MMULT('Analysis Data'!N859:U859,'Final Model'!$B$59:$I$66),'Analysis Data'!N859:U859)</f>
        <v>0.0103934485031103</v>
      </c>
      <c r="C859" s="15" t="n">
        <f aca="false">'Residual Diagnostics'!F859</f>
        <v>-41.4671611733059</v>
      </c>
      <c r="D859" s="13" t="n">
        <f aca="false">C859/('Final Model'!$B$21*SQRT(1-B859))</f>
        <v>-0.850145445760477</v>
      </c>
      <c r="E859" s="13" t="n">
        <f aca="false">D859*SQRT(('Final Model'!$B$24-1)/('Final Model'!$B$24-D859^2))</f>
        <v>-0.850059872212737</v>
      </c>
      <c r="F859" s="23" t="n">
        <f aca="false">D859^2/($P$3+1)*B859/(1-B859)</f>
        <v>0.000948841311370056</v>
      </c>
      <c r="G859" s="13" t="n">
        <f aca="false">($P$2-1)*(B859-1/$P$2)</f>
        <v>13.3956476775293</v>
      </c>
      <c r="H859" s="13" t="n">
        <f aca="false">E859*SQRT(B859/(1-B859))</f>
        <v>-0.0871160286019715</v>
      </c>
      <c r="I859" s="13" t="n">
        <f aca="false">ABS(D859)</f>
        <v>0.850145445760477</v>
      </c>
      <c r="J859" s="6" t="n">
        <f aca="false">IF(B859&gt;$P$4,1,0)</f>
        <v>0</v>
      </c>
      <c r="K859" s="6" t="n">
        <f aca="false">IF(F859&gt;$P$6,1,0)</f>
        <v>0</v>
      </c>
      <c r="L859" s="6" t="n">
        <f aca="false">IF(G859&gt;$P$9,1,0)</f>
        <v>1</v>
      </c>
      <c r="M859" s="6" t="n">
        <f aca="false">IF(ABS(H859)&gt;$P$8,1,0)</f>
        <v>0</v>
      </c>
    </row>
    <row r="860" customFormat="false" ht="15" hidden="false" customHeight="false" outlineLevel="0" collapsed="false">
      <c r="A860" s="0" t="n">
        <f aca="false">ROW()-1</f>
        <v>859</v>
      </c>
      <c r="B860" s="22" t="n">
        <f aca="false">SUMPRODUCT(MMULT('Analysis Data'!N860:U860,'Final Model'!$B$59:$I$66),'Analysis Data'!N860:U860)</f>
        <v>0.00194862918316512</v>
      </c>
      <c r="C860" s="15" t="n">
        <f aca="false">'Residual Diagnostics'!F860</f>
        <v>50.5679259834591</v>
      </c>
      <c r="D860" s="13" t="n">
        <f aca="false">C860/('Final Model'!$B$21*SQRT(1-B860))</f>
        <v>1.03233084234294</v>
      </c>
      <c r="E860" s="13" t="n">
        <f aca="false">D860*SQRT(('Final Model'!$B$24-1)/('Final Model'!$B$24-D860^2))</f>
        <v>1.03235547333688</v>
      </c>
      <c r="F860" s="23" t="n">
        <f aca="false">D860^2/($P$3+1)*B860/(1-B860)</f>
        <v>0.000260090281844644</v>
      </c>
      <c r="G860" s="13" t="n">
        <f aca="false">($P$2-1)*(B860-1/$P$2)</f>
        <v>1.69957291940519</v>
      </c>
      <c r="H860" s="13" t="n">
        <f aca="false">E860*SQRT(B860/(1-B860))</f>
        <v>0.0456160229120732</v>
      </c>
      <c r="I860" s="13" t="n">
        <f aca="false">ABS(D860)</f>
        <v>1.03233084234294</v>
      </c>
      <c r="J860" s="6" t="n">
        <f aca="false">IF(B860&gt;$P$4,1,0)</f>
        <v>0</v>
      </c>
      <c r="K860" s="6" t="n">
        <f aca="false">IF(F860&gt;$P$6,1,0)</f>
        <v>0</v>
      </c>
      <c r="L860" s="6" t="n">
        <f aca="false">IF(G860&gt;$P$9,1,0)</f>
        <v>0</v>
      </c>
      <c r="M860" s="6" t="n">
        <f aca="false">IF(ABS(H860)&gt;$P$8,1,0)</f>
        <v>0</v>
      </c>
    </row>
    <row r="861" customFormat="false" ht="15" hidden="false" customHeight="false" outlineLevel="0" collapsed="false">
      <c r="A861" s="0" t="n">
        <f aca="false">ROW()-1</f>
        <v>860</v>
      </c>
      <c r="B861" s="22" t="n">
        <f aca="false">SUMPRODUCT(MMULT('Analysis Data'!N861:U861,'Final Model'!$B$59:$I$66),'Analysis Data'!N861:U861)</f>
        <v>0.00190481206672953</v>
      </c>
      <c r="C861" s="15" t="n">
        <f aca="false">'Residual Diagnostics'!F861</f>
        <v>56.0588839680708</v>
      </c>
      <c r="D861" s="13" t="n">
        <f aca="false">C861/('Final Model'!$B$21*SQRT(1-B861))</f>
        <v>1.14440217729718</v>
      </c>
      <c r="E861" s="13" t="n">
        <f aca="false">D861*SQRT(('Final Model'!$B$24-1)/('Final Model'!$B$24-D861^2))</f>
        <v>1.14453087416443</v>
      </c>
      <c r="F861" s="23" t="n">
        <f aca="false">D861^2/($P$3+1)*B861/(1-B861)</f>
        <v>0.000312426264090551</v>
      </c>
      <c r="G861" s="13" t="n">
        <f aca="false">($P$2-1)*(B861-1/$P$2)</f>
        <v>1.6388862131419</v>
      </c>
      <c r="H861" s="13" t="n">
        <f aca="false">E861*SQRT(B861/(1-B861))</f>
        <v>0.0499997230021566</v>
      </c>
      <c r="I861" s="13" t="n">
        <f aca="false">ABS(D861)</f>
        <v>1.14440217729718</v>
      </c>
      <c r="J861" s="6" t="n">
        <f aca="false">IF(B861&gt;$P$4,1,0)</f>
        <v>0</v>
      </c>
      <c r="K861" s="6" t="n">
        <f aca="false">IF(F861&gt;$P$6,1,0)</f>
        <v>0</v>
      </c>
      <c r="L861" s="6" t="n">
        <f aca="false">IF(G861&gt;$P$9,1,0)</f>
        <v>0</v>
      </c>
      <c r="M861" s="6" t="n">
        <f aca="false">IF(ABS(H861)&gt;$P$8,1,0)</f>
        <v>0</v>
      </c>
    </row>
    <row r="862" customFormat="false" ht="15" hidden="false" customHeight="false" outlineLevel="0" collapsed="false">
      <c r="A862" s="0" t="n">
        <f aca="false">ROW()-1</f>
        <v>861</v>
      </c>
      <c r="B862" s="22" t="n">
        <f aca="false">SUMPRODUCT(MMULT('Analysis Data'!N862:U862,'Final Model'!$B$59:$I$66),'Analysis Data'!N862:U862)</f>
        <v>0.00168408928892356</v>
      </c>
      <c r="C862" s="15" t="n">
        <f aca="false">'Residual Diagnostics'!F862</f>
        <v>22.8470565310597</v>
      </c>
      <c r="D862" s="13" t="n">
        <f aca="false">C862/('Final Model'!$B$21*SQRT(1-B862))</f>
        <v>0.466354818856219</v>
      </c>
      <c r="E862" s="13" t="n">
        <f aca="false">D862*SQRT(('Final Model'!$B$24-1)/('Final Model'!$B$24-D862^2))</f>
        <v>0.46622236666571</v>
      </c>
      <c r="F862" s="23" t="n">
        <f aca="false">D862^2/($P$3+1)*B862/(1-B862)</f>
        <v>4.58606357943202E-005</v>
      </c>
      <c r="G862" s="13" t="n">
        <f aca="false">($P$2-1)*(B862-1/$P$2)</f>
        <v>1.33318516588063</v>
      </c>
      <c r="H862" s="13" t="n">
        <f aca="false">E862*SQRT(B862/(1-B862))</f>
        <v>0.0191488044938187</v>
      </c>
      <c r="I862" s="13" t="n">
        <f aca="false">ABS(D862)</f>
        <v>0.466354818856219</v>
      </c>
      <c r="J862" s="6" t="n">
        <f aca="false">IF(B862&gt;$P$4,1,0)</f>
        <v>0</v>
      </c>
      <c r="K862" s="6" t="n">
        <f aca="false">IF(F862&gt;$P$6,1,0)</f>
        <v>0</v>
      </c>
      <c r="L862" s="6" t="n">
        <f aca="false">IF(G862&gt;$P$9,1,0)</f>
        <v>0</v>
      </c>
      <c r="M862" s="6" t="n">
        <f aca="false">IF(ABS(H862)&gt;$P$8,1,0)</f>
        <v>0</v>
      </c>
    </row>
    <row r="863" customFormat="false" ht="15" hidden="false" customHeight="false" outlineLevel="0" collapsed="false">
      <c r="A863" s="0" t="n">
        <f aca="false">ROW()-1</f>
        <v>862</v>
      </c>
      <c r="B863" s="22" t="n">
        <f aca="false">SUMPRODUCT(MMULT('Analysis Data'!N863:U863,'Final Model'!$B$59:$I$66),'Analysis Data'!N863:U863)</f>
        <v>0.00252932890017947</v>
      </c>
      <c r="C863" s="15" t="n">
        <f aca="false">'Residual Diagnostics'!F863</f>
        <v>-36.729905399415</v>
      </c>
      <c r="D863" s="13" t="n">
        <f aca="false">C863/('Final Model'!$B$21*SQRT(1-B863))</f>
        <v>-0.75004954364293</v>
      </c>
      <c r="E863" s="13" t="n">
        <f aca="false">D863*SQRT(('Final Model'!$B$24-1)/('Final Model'!$B$24-D863^2))</f>
        <v>-0.749930439508406</v>
      </c>
      <c r="F863" s="23" t="n">
        <f aca="false">D863^2/($P$3+1)*B863/(1-B863)</f>
        <v>0.000178317959870722</v>
      </c>
      <c r="G863" s="13" t="n">
        <f aca="false">($P$2-1)*(B863-1/$P$2)</f>
        <v>2.50384202747007</v>
      </c>
      <c r="H863" s="13" t="n">
        <f aca="false">E863*SQRT(B863/(1-B863))</f>
        <v>-0.0377636155428041</v>
      </c>
      <c r="I863" s="13" t="n">
        <f aca="false">ABS(D863)</f>
        <v>0.75004954364293</v>
      </c>
      <c r="J863" s="6" t="n">
        <f aca="false">IF(B863&gt;$P$4,1,0)</f>
        <v>0</v>
      </c>
      <c r="K863" s="6" t="n">
        <f aca="false">IF(F863&gt;$P$6,1,0)</f>
        <v>0</v>
      </c>
      <c r="L863" s="6" t="n">
        <f aca="false">IF(G863&gt;$P$9,1,0)</f>
        <v>0</v>
      </c>
      <c r="M863" s="6" t="n">
        <f aca="false">IF(ABS(H863)&gt;$P$8,1,0)</f>
        <v>0</v>
      </c>
    </row>
    <row r="864" customFormat="false" ht="15" hidden="false" customHeight="false" outlineLevel="0" collapsed="false">
      <c r="A864" s="0" t="n">
        <f aca="false">ROW()-1</f>
        <v>863</v>
      </c>
      <c r="B864" s="22" t="n">
        <f aca="false">SUMPRODUCT(MMULT('Analysis Data'!N864:U864,'Final Model'!$B$59:$I$66),'Analysis Data'!N864:U864)</f>
        <v>0.00448646081166825</v>
      </c>
      <c r="C864" s="15" t="n">
        <f aca="false">'Residual Diagnostics'!F864</f>
        <v>-56.8149351180677</v>
      </c>
      <c r="D864" s="13" t="n">
        <f aca="false">C864/('Final Model'!$B$21*SQRT(1-B864))</f>
        <v>-1.16133934141293</v>
      </c>
      <c r="E864" s="13" t="n">
        <f aca="false">D864*SQRT(('Final Model'!$B$24-1)/('Final Model'!$B$24-D864^2))</f>
        <v>-1.16148641711682</v>
      </c>
      <c r="F864" s="23" t="n">
        <f aca="false">D864^2/($P$3+1)*B864/(1-B864)</f>
        <v>0.000759774997070318</v>
      </c>
      <c r="G864" s="13" t="n">
        <f aca="false">($P$2-1)*(B864-1/$P$2)</f>
        <v>5.21446972488203</v>
      </c>
      <c r="H864" s="13" t="n">
        <f aca="false">E864*SQRT(B864/(1-B864))</f>
        <v>-0.0779726849554377</v>
      </c>
      <c r="I864" s="13" t="n">
        <f aca="false">ABS(D864)</f>
        <v>1.16133934141293</v>
      </c>
      <c r="J864" s="6" t="n">
        <f aca="false">IF(B864&gt;$P$4,1,0)</f>
        <v>0</v>
      </c>
      <c r="K864" s="6" t="n">
        <f aca="false">IF(F864&gt;$P$6,1,0)</f>
        <v>0</v>
      </c>
      <c r="L864" s="6" t="n">
        <f aca="false">IF(G864&gt;$P$9,1,0)</f>
        <v>0</v>
      </c>
      <c r="M864" s="6" t="n">
        <f aca="false">IF(ABS(H864)&gt;$P$8,1,0)</f>
        <v>0</v>
      </c>
    </row>
    <row r="865" customFormat="false" ht="15" hidden="false" customHeight="false" outlineLevel="0" collapsed="false">
      <c r="A865" s="0" t="n">
        <f aca="false">ROW()-1</f>
        <v>864</v>
      </c>
      <c r="B865" s="22" t="n">
        <f aca="false">SUMPRODUCT(MMULT('Analysis Data'!N865:U865,'Final Model'!$B$59:$I$66),'Analysis Data'!N865:U865)</f>
        <v>0.00340425540787825</v>
      </c>
      <c r="C865" s="15" t="n">
        <f aca="false">'Residual Diagnostics'!F865</f>
        <v>-82.3794173303112</v>
      </c>
      <c r="D865" s="13" t="n">
        <f aca="false">C865/('Final Model'!$B$21*SQRT(1-B865))</f>
        <v>-1.68298176500579</v>
      </c>
      <c r="E865" s="13" t="n">
        <f aca="false">D865*SQRT(('Final Model'!$B$24-1)/('Final Model'!$B$24-D865^2))</f>
        <v>-1.68410268861922</v>
      </c>
      <c r="F865" s="23" t="n">
        <f aca="false">D865^2/($P$3+1)*B865/(1-B865)</f>
        <v>0.0012094055061568</v>
      </c>
      <c r="G865" s="13" t="n">
        <f aca="false">($P$2-1)*(B865-1/$P$2)</f>
        <v>3.71561524063288</v>
      </c>
      <c r="H865" s="13" t="n">
        <f aca="false">E865*SQRT(B865/(1-B865))</f>
        <v>-0.0984283314415553</v>
      </c>
      <c r="I865" s="13" t="n">
        <f aca="false">ABS(D865)</f>
        <v>1.68298176500579</v>
      </c>
      <c r="J865" s="6" t="n">
        <f aca="false">IF(B865&gt;$P$4,1,0)</f>
        <v>0</v>
      </c>
      <c r="K865" s="6" t="n">
        <f aca="false">IF(F865&gt;$P$6,1,0)</f>
        <v>0</v>
      </c>
      <c r="L865" s="6" t="n">
        <f aca="false">IF(G865&gt;$P$9,1,0)</f>
        <v>0</v>
      </c>
      <c r="M865" s="6" t="n">
        <f aca="false">IF(ABS(H865)&gt;$P$8,1,0)</f>
        <v>0</v>
      </c>
    </row>
    <row r="866" customFormat="false" ht="15" hidden="false" customHeight="false" outlineLevel="0" collapsed="false">
      <c r="A866" s="0" t="n">
        <f aca="false">ROW()-1</f>
        <v>865</v>
      </c>
      <c r="B866" s="22" t="n">
        <f aca="false">SUMPRODUCT(MMULT('Analysis Data'!N866:U866,'Final Model'!$B$59:$I$66),'Analysis Data'!N866:U866)</f>
        <v>0.003584182746472</v>
      </c>
      <c r="C866" s="15" t="n">
        <f aca="false">'Residual Diagnostics'!F866</f>
        <v>14.2842205275333</v>
      </c>
      <c r="D866" s="13" t="n">
        <f aca="false">C866/('Final Model'!$B$21*SQRT(1-B866))</f>
        <v>0.291847816722812</v>
      </c>
      <c r="E866" s="13" t="n">
        <f aca="false">D866*SQRT(('Final Model'!$B$24-1)/('Final Model'!$B$24-D866^2))</f>
        <v>0.291750918873784</v>
      </c>
      <c r="F866" s="23" t="n">
        <f aca="false">D866^2/($P$3+1)*B866/(1-B866)</f>
        <v>3.82976779190457E-005</v>
      </c>
      <c r="G866" s="13" t="n">
        <f aca="false">($P$2-1)*(B866-1/$P$2)</f>
        <v>3.96481460458521</v>
      </c>
      <c r="H866" s="13" t="n">
        <f aca="false">E866*SQRT(B866/(1-B866))</f>
        <v>0.0174979430413268</v>
      </c>
      <c r="I866" s="13" t="n">
        <f aca="false">ABS(D866)</f>
        <v>0.291847816722812</v>
      </c>
      <c r="J866" s="6" t="n">
        <f aca="false">IF(B866&gt;$P$4,1,0)</f>
        <v>0</v>
      </c>
      <c r="K866" s="6" t="n">
        <f aca="false">IF(F866&gt;$P$6,1,0)</f>
        <v>0</v>
      </c>
      <c r="L866" s="6" t="n">
        <f aca="false">IF(G866&gt;$P$9,1,0)</f>
        <v>0</v>
      </c>
      <c r="M866" s="6" t="n">
        <f aca="false">IF(ABS(H866)&gt;$P$8,1,0)</f>
        <v>0</v>
      </c>
    </row>
    <row r="867" customFormat="false" ht="15" hidden="false" customHeight="false" outlineLevel="0" collapsed="false">
      <c r="A867" s="0" t="n">
        <f aca="false">ROW()-1</f>
        <v>866</v>
      </c>
      <c r="B867" s="22" t="n">
        <f aca="false">SUMPRODUCT(MMULT('Analysis Data'!N867:U867,'Final Model'!$B$59:$I$66),'Analysis Data'!N867:U867)</f>
        <v>0.0023215517870076</v>
      </c>
      <c r="C867" s="15" t="n">
        <f aca="false">'Residual Diagnostics'!F867</f>
        <v>31.5842669462932</v>
      </c>
      <c r="D867" s="13" t="n">
        <f aca="false">C867/('Final Model'!$B$21*SQRT(1-B867))</f>
        <v>0.644904956900423</v>
      </c>
      <c r="E867" s="13" t="n">
        <f aca="false">D867*SQRT(('Final Model'!$B$24-1)/('Final Model'!$B$24-D867^2))</f>
        <v>0.64476822210018</v>
      </c>
      <c r="F867" s="23" t="n">
        <f aca="false">D867^2/($P$3+1)*B867/(1-B867)</f>
        <v>0.000120973216576457</v>
      </c>
      <c r="G867" s="13" t="n">
        <f aca="false">($P$2-1)*(B867-1/$P$2)</f>
        <v>2.21607072572702</v>
      </c>
      <c r="H867" s="13" t="n">
        <f aca="false">E867*SQRT(B867/(1-B867))</f>
        <v>0.0311026588911415</v>
      </c>
      <c r="I867" s="13" t="n">
        <f aca="false">ABS(D867)</f>
        <v>0.644904956900423</v>
      </c>
      <c r="J867" s="6" t="n">
        <f aca="false">IF(B867&gt;$P$4,1,0)</f>
        <v>0</v>
      </c>
      <c r="K867" s="6" t="n">
        <f aca="false">IF(F867&gt;$P$6,1,0)</f>
        <v>0</v>
      </c>
      <c r="L867" s="6" t="n">
        <f aca="false">IF(G867&gt;$P$9,1,0)</f>
        <v>0</v>
      </c>
      <c r="M867" s="6" t="n">
        <f aca="false">IF(ABS(H867)&gt;$P$8,1,0)</f>
        <v>0</v>
      </c>
    </row>
    <row r="868" customFormat="false" ht="15" hidden="false" customHeight="false" outlineLevel="0" collapsed="false">
      <c r="A868" s="0" t="n">
        <f aca="false">ROW()-1</f>
        <v>867</v>
      </c>
      <c r="B868" s="22" t="n">
        <f aca="false">SUMPRODUCT(MMULT('Analysis Data'!N868:U868,'Final Model'!$B$59:$I$66),'Analysis Data'!N868:U868)</f>
        <v>0.0147513771167402</v>
      </c>
      <c r="C868" s="15" t="n">
        <f aca="false">'Residual Diagnostics'!F868</f>
        <v>-12.1581708116078</v>
      </c>
      <c r="D868" s="13" t="n">
        <f aca="false">C868/('Final Model'!$B$21*SQRT(1-B868))</f>
        <v>-0.249813285447908</v>
      </c>
      <c r="E868" s="13" t="n">
        <f aca="false">D868*SQRT(('Final Model'!$B$24-1)/('Final Model'!$B$24-D868^2))</f>
        <v>-0.249728280464281</v>
      </c>
      <c r="F868" s="23" t="n">
        <f aca="false">D868^2/($P$3+1)*B868/(1-B868)</f>
        <v>0.000116795955647213</v>
      </c>
      <c r="G868" s="13" t="n">
        <f aca="false">($P$2-1)*(B868-1/$P$2)</f>
        <v>19.4313788074067</v>
      </c>
      <c r="H868" s="13" t="n">
        <f aca="false">E868*SQRT(B868/(1-B868))</f>
        <v>-0.0305570265438238</v>
      </c>
      <c r="I868" s="13" t="n">
        <f aca="false">ABS(D868)</f>
        <v>0.249813285447908</v>
      </c>
      <c r="J868" s="6" t="n">
        <f aca="false">IF(B868&gt;$P$4,1,0)</f>
        <v>1</v>
      </c>
      <c r="K868" s="6" t="n">
        <f aca="false">IF(F868&gt;$P$6,1,0)</f>
        <v>0</v>
      </c>
      <c r="L868" s="6" t="n">
        <f aca="false">IF(G868&gt;$P$9,1,0)</f>
        <v>1</v>
      </c>
      <c r="M868" s="6" t="n">
        <f aca="false">IF(ABS(H868)&gt;$P$8,1,0)</f>
        <v>0</v>
      </c>
    </row>
    <row r="869" customFormat="false" ht="15" hidden="false" customHeight="false" outlineLevel="0" collapsed="false">
      <c r="A869" s="0" t="n">
        <f aca="false">ROW()-1</f>
        <v>868</v>
      </c>
      <c r="B869" s="22" t="n">
        <f aca="false">SUMPRODUCT(MMULT('Analysis Data'!N869:U869,'Final Model'!$B$59:$I$66),'Analysis Data'!N869:U869)</f>
        <v>0.0101961869092244</v>
      </c>
      <c r="C869" s="15" t="n">
        <f aca="false">'Residual Diagnostics'!F869</f>
        <v>8.20741529238404</v>
      </c>
      <c r="D869" s="13" t="n">
        <f aca="false">C869/('Final Model'!$B$21*SQRT(1-B869))</f>
        <v>0.168248831482803</v>
      </c>
      <c r="E869" s="13" t="n">
        <f aca="false">D869*SQRT(('Final Model'!$B$24-1)/('Final Model'!$B$24-D869^2))</f>
        <v>0.168189499737711</v>
      </c>
      <c r="F869" s="23" t="n">
        <f aca="false">D869^2/($P$3+1)*B869/(1-B869)</f>
        <v>3.64504414009078E-005</v>
      </c>
      <c r="G869" s="13" t="n">
        <f aca="false">($P$2-1)*(B869-1/$P$2)</f>
        <v>13.1224403699973</v>
      </c>
      <c r="H869" s="13" t="n">
        <f aca="false">E869*SQRT(B869/(1-B869))</f>
        <v>0.017070380888478</v>
      </c>
      <c r="I869" s="13" t="n">
        <f aca="false">ABS(D869)</f>
        <v>0.168248831482803</v>
      </c>
      <c r="J869" s="6" t="n">
        <f aca="false">IF(B869&gt;$P$4,1,0)</f>
        <v>0</v>
      </c>
      <c r="K869" s="6" t="n">
        <f aca="false">IF(F869&gt;$P$6,1,0)</f>
        <v>0</v>
      </c>
      <c r="L869" s="6" t="n">
        <f aca="false">IF(G869&gt;$P$9,1,0)</f>
        <v>1</v>
      </c>
      <c r="M869" s="6" t="n">
        <f aca="false">IF(ABS(H869)&gt;$P$8,1,0)</f>
        <v>0</v>
      </c>
    </row>
    <row r="870" customFormat="false" ht="15" hidden="false" customHeight="false" outlineLevel="0" collapsed="false">
      <c r="A870" s="0" t="n">
        <f aca="false">ROW()-1</f>
        <v>869</v>
      </c>
      <c r="B870" s="22" t="n">
        <f aca="false">SUMPRODUCT(MMULT('Analysis Data'!N870:U870,'Final Model'!$B$59:$I$66),'Analysis Data'!N870:U870)</f>
        <v>0.00904862222800348</v>
      </c>
      <c r="C870" s="15" t="n">
        <f aca="false">'Residual Diagnostics'!F870</f>
        <v>-26.7853849938815</v>
      </c>
      <c r="D870" s="13" t="n">
        <f aca="false">C870/('Final Model'!$B$21*SQRT(1-B870))</f>
        <v>-0.548771980570621</v>
      </c>
      <c r="E870" s="13" t="n">
        <f aca="false">D870*SQRT(('Final Model'!$B$24-1)/('Final Model'!$B$24-D870^2))</f>
        <v>-0.548632778317217</v>
      </c>
      <c r="F870" s="23" t="n">
        <f aca="false">D870^2/($P$3+1)*B870/(1-B870)</f>
        <v>0.000343735179445878</v>
      </c>
      <c r="G870" s="13" t="n">
        <f aca="false">($P$2-1)*(B870-1/$P$2)</f>
        <v>11.5330632865063</v>
      </c>
      <c r="H870" s="13" t="n">
        <f aca="false">E870*SQRT(B870/(1-B870))</f>
        <v>-0.0524260101010091</v>
      </c>
      <c r="I870" s="13" t="n">
        <f aca="false">ABS(D870)</f>
        <v>0.548771980570621</v>
      </c>
      <c r="J870" s="6" t="n">
        <f aca="false">IF(B870&gt;$P$4,1,0)</f>
        <v>0</v>
      </c>
      <c r="K870" s="6" t="n">
        <f aca="false">IF(F870&gt;$P$6,1,0)</f>
        <v>0</v>
      </c>
      <c r="L870" s="6" t="n">
        <f aca="false">IF(G870&gt;$P$9,1,0)</f>
        <v>1</v>
      </c>
      <c r="M870" s="6" t="n">
        <f aca="false">IF(ABS(H870)&gt;$P$8,1,0)</f>
        <v>0</v>
      </c>
    </row>
    <row r="871" customFormat="false" ht="15" hidden="false" customHeight="false" outlineLevel="0" collapsed="false">
      <c r="A871" s="0" t="n">
        <f aca="false">ROW()-1</f>
        <v>870</v>
      </c>
      <c r="B871" s="22" t="n">
        <f aca="false">SUMPRODUCT(MMULT('Analysis Data'!N871:U871,'Final Model'!$B$59:$I$66),'Analysis Data'!N871:U871)</f>
        <v>0.00409590922643828</v>
      </c>
      <c r="C871" s="15" t="n">
        <f aca="false">'Residual Diagnostics'!F871</f>
        <v>34.7182466032527</v>
      </c>
      <c r="D871" s="13" t="n">
        <f aca="false">C871/('Final Model'!$B$21*SQRT(1-B871))</f>
        <v>0.709527502759096</v>
      </c>
      <c r="E871" s="13" t="n">
        <f aca="false">D871*SQRT(('Final Model'!$B$24-1)/('Final Model'!$B$24-D871^2))</f>
        <v>0.709399603223502</v>
      </c>
      <c r="F871" s="23" t="n">
        <f aca="false">D871^2/($P$3+1)*B871/(1-B871)</f>
        <v>0.000258810140495619</v>
      </c>
      <c r="G871" s="13" t="n">
        <f aca="false">($P$2-1)*(B871-1/$P$2)</f>
        <v>4.67355577933852</v>
      </c>
      <c r="H871" s="13" t="n">
        <f aca="false">E871*SQRT(B871/(1-B871))</f>
        <v>0.0454943374581692</v>
      </c>
      <c r="I871" s="13" t="n">
        <f aca="false">ABS(D871)</f>
        <v>0.709527502759096</v>
      </c>
      <c r="J871" s="6" t="n">
        <f aca="false">IF(B871&gt;$P$4,1,0)</f>
        <v>0</v>
      </c>
      <c r="K871" s="6" t="n">
        <f aca="false">IF(F871&gt;$P$6,1,0)</f>
        <v>0</v>
      </c>
      <c r="L871" s="6" t="n">
        <f aca="false">IF(G871&gt;$P$9,1,0)</f>
        <v>0</v>
      </c>
      <c r="M871" s="6" t="n">
        <f aca="false">IF(ABS(H871)&gt;$P$8,1,0)</f>
        <v>0</v>
      </c>
    </row>
    <row r="872" customFormat="false" ht="15" hidden="false" customHeight="false" outlineLevel="0" collapsed="false">
      <c r="A872" s="0" t="n">
        <f aca="false">ROW()-1</f>
        <v>871</v>
      </c>
      <c r="B872" s="22" t="n">
        <f aca="false">SUMPRODUCT(MMULT('Analysis Data'!N872:U872,'Final Model'!$B$59:$I$66),'Analysis Data'!N872:U872)</f>
        <v>0.00186895153502392</v>
      </c>
      <c r="C872" s="15" t="n">
        <f aca="false">'Residual Diagnostics'!F872</f>
        <v>-42.0012861235367</v>
      </c>
      <c r="D872" s="13" t="n">
        <f aca="false">C872/('Final Model'!$B$21*SQRT(1-B872))</f>
        <v>-0.857410929768908</v>
      </c>
      <c r="E872" s="13" t="n">
        <f aca="false">D872*SQRT(('Final Model'!$B$24-1)/('Final Model'!$B$24-D872^2))</f>
        <v>-0.857328486221386</v>
      </c>
      <c r="F872" s="23" t="n">
        <f aca="false">D872^2/($P$3+1)*B872/(1-B872)</f>
        <v>0.000172067368942266</v>
      </c>
      <c r="G872" s="13" t="n">
        <f aca="false">($P$2-1)*(B872-1/$P$2)</f>
        <v>1.58921937672963</v>
      </c>
      <c r="H872" s="13" t="n">
        <f aca="false">E872*SQRT(B872/(1-B872))</f>
        <v>-0.03709817036768</v>
      </c>
      <c r="I872" s="13" t="n">
        <f aca="false">ABS(D872)</f>
        <v>0.857410929768908</v>
      </c>
      <c r="J872" s="6" t="n">
        <f aca="false">IF(B872&gt;$P$4,1,0)</f>
        <v>0</v>
      </c>
      <c r="K872" s="6" t="n">
        <f aca="false">IF(F872&gt;$P$6,1,0)</f>
        <v>0</v>
      </c>
      <c r="L872" s="6" t="n">
        <f aca="false">IF(G872&gt;$P$9,1,0)</f>
        <v>0</v>
      </c>
      <c r="M872" s="6" t="n">
        <f aca="false">IF(ABS(H872)&gt;$P$8,1,0)</f>
        <v>0</v>
      </c>
    </row>
    <row r="873" customFormat="false" ht="15" hidden="false" customHeight="false" outlineLevel="0" collapsed="false">
      <c r="A873" s="0" t="n">
        <f aca="false">ROW()-1</f>
        <v>872</v>
      </c>
      <c r="B873" s="22" t="n">
        <f aca="false">SUMPRODUCT(MMULT('Analysis Data'!N873:U873,'Final Model'!$B$59:$I$66),'Analysis Data'!N873:U873)</f>
        <v>0.00169694925748839</v>
      </c>
      <c r="C873" s="15" t="n">
        <f aca="false">'Residual Diagnostics'!F873</f>
        <v>36.9853355626887</v>
      </c>
      <c r="D873" s="13" t="n">
        <f aca="false">C873/('Final Model'!$B$21*SQRT(1-B873))</f>
        <v>0.754950666735569</v>
      </c>
      <c r="E873" s="13" t="n">
        <f aca="false">D873*SQRT(('Final Model'!$B$24-1)/('Final Model'!$B$24-D873^2))</f>
        <v>0.754832805398433</v>
      </c>
      <c r="F873" s="23" t="n">
        <f aca="false">D873^2/($P$3+1)*B873/(1-B873)</f>
        <v>0.000121102641712894</v>
      </c>
      <c r="G873" s="13" t="n">
        <f aca="false">($P$2-1)*(B873-1/$P$2)</f>
        <v>1.35099622234293</v>
      </c>
      <c r="H873" s="13" t="n">
        <f aca="false">E873*SQRT(B873/(1-B873))</f>
        <v>0.0311210323834473</v>
      </c>
      <c r="I873" s="13" t="n">
        <f aca="false">ABS(D873)</f>
        <v>0.754950666735569</v>
      </c>
      <c r="J873" s="6" t="n">
        <f aca="false">IF(B873&gt;$P$4,1,0)</f>
        <v>0</v>
      </c>
      <c r="K873" s="6" t="n">
        <f aca="false">IF(F873&gt;$P$6,1,0)</f>
        <v>0</v>
      </c>
      <c r="L873" s="6" t="n">
        <f aca="false">IF(G873&gt;$P$9,1,0)</f>
        <v>0</v>
      </c>
      <c r="M873" s="6" t="n">
        <f aca="false">IF(ABS(H873)&gt;$P$8,1,0)</f>
        <v>0</v>
      </c>
    </row>
    <row r="874" customFormat="false" ht="15" hidden="false" customHeight="false" outlineLevel="0" collapsed="false">
      <c r="A874" s="0" t="n">
        <f aca="false">ROW()-1</f>
        <v>873</v>
      </c>
      <c r="B874" s="22" t="n">
        <f aca="false">SUMPRODUCT(MMULT('Analysis Data'!N874:U874,'Final Model'!$B$59:$I$66),'Analysis Data'!N874:U874)</f>
        <v>0.00199984028877377</v>
      </c>
      <c r="C874" s="15" t="n">
        <f aca="false">'Residual Diagnostics'!F874</f>
        <v>-20.6575888516646</v>
      </c>
      <c r="D874" s="13" t="n">
        <f aca="false">C874/('Final Model'!$B$21*SQRT(1-B874))</f>
        <v>-0.421730035843668</v>
      </c>
      <c r="E874" s="13" t="n">
        <f aca="false">D874*SQRT(('Final Model'!$B$24-1)/('Final Model'!$B$24-D874^2))</f>
        <v>-0.421604194324978</v>
      </c>
      <c r="F874" s="23" t="n">
        <f aca="false">D874^2/($P$3+1)*B874/(1-B874)</f>
        <v>4.45495971579845E-005</v>
      </c>
      <c r="G874" s="13" t="n">
        <f aca="false">($P$2-1)*(B874-1/$P$2)</f>
        <v>1.77050030067318</v>
      </c>
      <c r="H874" s="13" t="n">
        <f aca="false">E874*SQRT(B874/(1-B874))</f>
        <v>-0.0188728406977946</v>
      </c>
      <c r="I874" s="13" t="n">
        <f aca="false">ABS(D874)</f>
        <v>0.421730035843668</v>
      </c>
      <c r="J874" s="6" t="n">
        <f aca="false">IF(B874&gt;$P$4,1,0)</f>
        <v>0</v>
      </c>
      <c r="K874" s="6" t="n">
        <f aca="false">IF(F874&gt;$P$6,1,0)</f>
        <v>0</v>
      </c>
      <c r="L874" s="6" t="n">
        <f aca="false">IF(G874&gt;$P$9,1,0)</f>
        <v>0</v>
      </c>
      <c r="M874" s="6" t="n">
        <f aca="false">IF(ABS(H874)&gt;$P$8,1,0)</f>
        <v>0</v>
      </c>
    </row>
    <row r="875" customFormat="false" ht="15" hidden="false" customHeight="false" outlineLevel="0" collapsed="false">
      <c r="A875" s="0" t="n">
        <f aca="false">ROW()-1</f>
        <v>874</v>
      </c>
      <c r="B875" s="22" t="n">
        <f aca="false">SUMPRODUCT(MMULT('Analysis Data'!N875:U875,'Final Model'!$B$59:$I$66),'Analysis Data'!N875:U875)</f>
        <v>0.00253803511931248</v>
      </c>
      <c r="C875" s="15" t="n">
        <f aca="false">'Residual Diagnostics'!F875</f>
        <v>-29.5212373743958</v>
      </c>
      <c r="D875" s="13" t="n">
        <f aca="false">C875/('Final Model'!$B$21*SQRT(1-B875))</f>
        <v>-0.602846291406284</v>
      </c>
      <c r="E875" s="13" t="n">
        <f aca="false">D875*SQRT(('Final Model'!$B$24-1)/('Final Model'!$B$24-D875^2))</f>
        <v>-0.602706994134587</v>
      </c>
      <c r="F875" s="23" t="n">
        <f aca="false">D875^2/($P$3+1)*B875/(1-B875)</f>
        <v>0.000115591123027839</v>
      </c>
      <c r="G875" s="13" t="n">
        <f aca="false">($P$2-1)*(B875-1/$P$2)</f>
        <v>2.51590014096928</v>
      </c>
      <c r="H875" s="13" t="n">
        <f aca="false">E875*SQRT(B875/(1-B875))</f>
        <v>-0.0304023302851853</v>
      </c>
      <c r="I875" s="13" t="n">
        <f aca="false">ABS(D875)</f>
        <v>0.602846291406284</v>
      </c>
      <c r="J875" s="6" t="n">
        <f aca="false">IF(B875&gt;$P$4,1,0)</f>
        <v>0</v>
      </c>
      <c r="K875" s="6" t="n">
        <f aca="false">IF(F875&gt;$P$6,1,0)</f>
        <v>0</v>
      </c>
      <c r="L875" s="6" t="n">
        <f aca="false">IF(G875&gt;$P$9,1,0)</f>
        <v>0</v>
      </c>
      <c r="M875" s="6" t="n">
        <f aca="false">IF(ABS(H875)&gt;$P$8,1,0)</f>
        <v>0</v>
      </c>
    </row>
    <row r="876" customFormat="false" ht="15" hidden="false" customHeight="false" outlineLevel="0" collapsed="false">
      <c r="A876" s="0" t="n">
        <f aca="false">ROW()-1</f>
        <v>875</v>
      </c>
      <c r="B876" s="22" t="n">
        <f aca="false">SUMPRODUCT(MMULT('Analysis Data'!N876:U876,'Final Model'!$B$59:$I$66),'Analysis Data'!N876:U876)</f>
        <v>0.0019614929876262</v>
      </c>
      <c r="C876" s="15" t="n">
        <f aca="false">'Residual Diagnostics'!F876</f>
        <v>-14.3577406903996</v>
      </c>
      <c r="D876" s="13" t="n">
        <f aca="false">C876/('Final Model'!$B$21*SQRT(1-B876))</f>
        <v>-0.293111369966504</v>
      </c>
      <c r="E876" s="13" t="n">
        <f aca="false">D876*SQRT(('Final Model'!$B$24-1)/('Final Model'!$B$24-D876^2))</f>
        <v>-0.293014131186706</v>
      </c>
      <c r="F876" s="23" t="n">
        <f aca="false">D876^2/($P$3+1)*B876/(1-B876)</f>
        <v>2.11064311603309E-005</v>
      </c>
      <c r="G876" s="13" t="n">
        <f aca="false">($P$2-1)*(B876-1/$P$2)</f>
        <v>1.71738928858379</v>
      </c>
      <c r="H876" s="13" t="n">
        <f aca="false">E876*SQRT(B876/(1-B876))</f>
        <v>-0.0129899744413098</v>
      </c>
      <c r="I876" s="13" t="n">
        <f aca="false">ABS(D876)</f>
        <v>0.293111369966504</v>
      </c>
      <c r="J876" s="6" t="n">
        <f aca="false">IF(B876&gt;$P$4,1,0)</f>
        <v>0</v>
      </c>
      <c r="K876" s="6" t="n">
        <f aca="false">IF(F876&gt;$P$6,1,0)</f>
        <v>0</v>
      </c>
      <c r="L876" s="6" t="n">
        <f aca="false">IF(G876&gt;$P$9,1,0)</f>
        <v>0</v>
      </c>
      <c r="M876" s="6" t="n">
        <f aca="false">IF(ABS(H876)&gt;$P$8,1,0)</f>
        <v>0</v>
      </c>
    </row>
    <row r="877" customFormat="false" ht="15" hidden="false" customHeight="false" outlineLevel="0" collapsed="false">
      <c r="A877" s="0" t="n">
        <f aca="false">ROW()-1</f>
        <v>876</v>
      </c>
      <c r="B877" s="22" t="n">
        <f aca="false">SUMPRODUCT(MMULT('Analysis Data'!N877:U877,'Final Model'!$B$59:$I$66),'Analysis Data'!N877:U877)</f>
        <v>0.00198403064646928</v>
      </c>
      <c r="C877" s="15" t="n">
        <f aca="false">'Residual Diagnostics'!F877</f>
        <v>-19.3191721133557</v>
      </c>
      <c r="D877" s="13" t="n">
        <f aca="false">C877/('Final Model'!$B$21*SQRT(1-B877))</f>
        <v>-0.394402786971691</v>
      </c>
      <c r="E877" s="13" t="n">
        <f aca="false">D877*SQRT(('Final Model'!$B$24-1)/('Final Model'!$B$24-D877^2))</f>
        <v>-0.394281908640197</v>
      </c>
      <c r="F877" s="23" t="n">
        <f aca="false">D877^2/($P$3+1)*B877/(1-B877)</f>
        <v>3.86545702238858E-005</v>
      </c>
      <c r="G877" s="13" t="n">
        <f aca="false">($P$2-1)*(B877-1/$P$2)</f>
        <v>1.74860394608145</v>
      </c>
      <c r="H877" s="13" t="n">
        <f aca="false">E877*SQRT(B877/(1-B877))</f>
        <v>-0.0175797337416506</v>
      </c>
      <c r="I877" s="13" t="n">
        <f aca="false">ABS(D877)</f>
        <v>0.394402786971691</v>
      </c>
      <c r="J877" s="6" t="n">
        <f aca="false">IF(B877&gt;$P$4,1,0)</f>
        <v>0</v>
      </c>
      <c r="K877" s="6" t="n">
        <f aca="false">IF(F877&gt;$P$6,1,0)</f>
        <v>0</v>
      </c>
      <c r="L877" s="6" t="n">
        <f aca="false">IF(G877&gt;$P$9,1,0)</f>
        <v>0</v>
      </c>
      <c r="M877" s="6" t="n">
        <f aca="false">IF(ABS(H877)&gt;$P$8,1,0)</f>
        <v>0</v>
      </c>
    </row>
    <row r="878" customFormat="false" ht="15" hidden="false" customHeight="false" outlineLevel="0" collapsed="false">
      <c r="A878" s="0" t="n">
        <f aca="false">ROW()-1</f>
        <v>877</v>
      </c>
      <c r="B878" s="22" t="n">
        <f aca="false">SUMPRODUCT(MMULT('Analysis Data'!N878:U878,'Final Model'!$B$59:$I$66),'Analysis Data'!N878:U878)</f>
        <v>0.00198403064646928</v>
      </c>
      <c r="C878" s="15" t="n">
        <f aca="false">'Residual Diagnostics'!F878</f>
        <v>-2.63796733845101</v>
      </c>
      <c r="D878" s="13" t="n">
        <f aca="false">C878/('Final Model'!$B$21*SQRT(1-B878))</f>
        <v>-0.0538543610523614</v>
      </c>
      <c r="E878" s="13" t="n">
        <f aca="false">D878*SQRT(('Final Model'!$B$24-1)/('Final Model'!$B$24-D878^2))</f>
        <v>-0.0538348733897931</v>
      </c>
      <c r="F878" s="23" t="n">
        <f aca="false">D878^2/($P$3+1)*B878/(1-B878)</f>
        <v>7.2071349480632E-007</v>
      </c>
      <c r="G878" s="13" t="n">
        <f aca="false">($P$2-1)*(B878-1/$P$2)</f>
        <v>1.74860394608145</v>
      </c>
      <c r="H878" s="13" t="n">
        <f aca="false">E878*SQRT(B878/(1-B878))</f>
        <v>-0.00240031997276262</v>
      </c>
      <c r="I878" s="13" t="n">
        <f aca="false">ABS(D878)</f>
        <v>0.0538543610523614</v>
      </c>
      <c r="J878" s="6" t="n">
        <f aca="false">IF(B878&gt;$P$4,1,0)</f>
        <v>0</v>
      </c>
      <c r="K878" s="6" t="n">
        <f aca="false">IF(F878&gt;$P$6,1,0)</f>
        <v>0</v>
      </c>
      <c r="L878" s="6" t="n">
        <f aca="false">IF(G878&gt;$P$9,1,0)</f>
        <v>0</v>
      </c>
      <c r="M878" s="6" t="n">
        <f aca="false">IF(ABS(H878)&gt;$P$8,1,0)</f>
        <v>0</v>
      </c>
    </row>
    <row r="879" customFormat="false" ht="15" hidden="false" customHeight="false" outlineLevel="0" collapsed="false">
      <c r="A879" s="0" t="n">
        <f aca="false">ROW()-1</f>
        <v>878</v>
      </c>
      <c r="B879" s="22" t="n">
        <f aca="false">SUMPRODUCT(MMULT('Analysis Data'!N879:U879,'Final Model'!$B$59:$I$66),'Analysis Data'!N879:U879)</f>
        <v>0.00198403064646928</v>
      </c>
      <c r="C879" s="15" t="n">
        <f aca="false">'Residual Diagnostics'!F879</f>
        <v>-14.1072279867988</v>
      </c>
      <c r="D879" s="13" t="n">
        <f aca="false">C879/('Final Model'!$B$21*SQRT(1-B879))</f>
        <v>-0.288000438206771</v>
      </c>
      <c r="E879" s="13" t="n">
        <f aca="false">D879*SQRT(('Final Model'!$B$24-1)/('Final Model'!$B$24-D879^2))</f>
        <v>-0.287904584681012</v>
      </c>
      <c r="F879" s="23" t="n">
        <f aca="false">D879^2/($P$3+1)*B879/(1-B879)</f>
        <v>2.06113859619836E-005</v>
      </c>
      <c r="G879" s="13" t="n">
        <f aca="false">($P$2-1)*(B879-1/$P$2)</f>
        <v>1.74860394608145</v>
      </c>
      <c r="H879" s="13" t="n">
        <f aca="false">E879*SQRT(B879/(1-B879))</f>
        <v>-0.0128367186796576</v>
      </c>
      <c r="I879" s="13" t="n">
        <f aca="false">ABS(D879)</f>
        <v>0.288000438206771</v>
      </c>
      <c r="J879" s="6" t="n">
        <f aca="false">IF(B879&gt;$P$4,1,0)</f>
        <v>0</v>
      </c>
      <c r="K879" s="6" t="n">
        <f aca="false">IF(F879&gt;$P$6,1,0)</f>
        <v>0</v>
      </c>
      <c r="L879" s="6" t="n">
        <f aca="false">IF(G879&gt;$P$9,1,0)</f>
        <v>0</v>
      </c>
      <c r="M879" s="6" t="n">
        <f aca="false">IF(ABS(H879)&gt;$P$8,1,0)</f>
        <v>0</v>
      </c>
    </row>
    <row r="880" customFormat="false" ht="15" hidden="false" customHeight="false" outlineLevel="0" collapsed="false">
      <c r="A880" s="0" t="n">
        <f aca="false">ROW()-1</f>
        <v>879</v>
      </c>
      <c r="B880" s="22" t="n">
        <f aca="false">SUMPRODUCT(MMULT('Analysis Data'!N880:U880,'Final Model'!$B$59:$I$66),'Analysis Data'!N880:U880)</f>
        <v>0.00302702584281215</v>
      </c>
      <c r="C880" s="15" t="n">
        <f aca="false">'Residual Diagnostics'!F880</f>
        <v>54.8498171296692</v>
      </c>
      <c r="D880" s="13" t="n">
        <f aca="false">C880/('Final Model'!$B$21*SQRT(1-B880))</f>
        <v>1.12034995211908</v>
      </c>
      <c r="E880" s="13" t="n">
        <f aca="false">D880*SQRT(('Final Model'!$B$24-1)/('Final Model'!$B$24-D880^2))</f>
        <v>1.12045377751549</v>
      </c>
      <c r="F880" s="23" t="n">
        <f aca="false">D880^2/($P$3+1)*B880/(1-B880)</f>
        <v>0.00047637630984269</v>
      </c>
      <c r="G880" s="13" t="n">
        <f aca="false">($P$2-1)*(B880-1/$P$2)</f>
        <v>3.19315229301633</v>
      </c>
      <c r="H880" s="13" t="n">
        <f aca="false">E880*SQRT(B880/(1-B880))</f>
        <v>0.0617391031811501</v>
      </c>
      <c r="I880" s="13" t="n">
        <f aca="false">ABS(D880)</f>
        <v>1.12034995211908</v>
      </c>
      <c r="J880" s="6" t="n">
        <f aca="false">IF(B880&gt;$P$4,1,0)</f>
        <v>0</v>
      </c>
      <c r="K880" s="6" t="n">
        <f aca="false">IF(F880&gt;$P$6,1,0)</f>
        <v>0</v>
      </c>
      <c r="L880" s="6" t="n">
        <f aca="false">IF(G880&gt;$P$9,1,0)</f>
        <v>0</v>
      </c>
      <c r="M880" s="6" t="n">
        <f aca="false">IF(ABS(H880)&gt;$P$8,1,0)</f>
        <v>0</v>
      </c>
    </row>
    <row r="881" customFormat="false" ht="15" hidden="false" customHeight="false" outlineLevel="0" collapsed="false">
      <c r="A881" s="0" t="n">
        <f aca="false">ROW()-1</f>
        <v>880</v>
      </c>
      <c r="B881" s="22" t="n">
        <f aca="false">SUMPRODUCT(MMULT('Analysis Data'!N881:U881,'Final Model'!$B$59:$I$66),'Analysis Data'!N881:U881)</f>
        <v>0.00302702584281215</v>
      </c>
      <c r="C881" s="15" t="n">
        <f aca="false">'Residual Diagnostics'!F881</f>
        <v>73.2561776185132</v>
      </c>
      <c r="D881" s="13" t="n">
        <f aca="false">C881/('Final Model'!$B$21*SQRT(1-B881))</f>
        <v>1.49631410608539</v>
      </c>
      <c r="E881" s="13" t="n">
        <f aca="false">D881*SQRT(('Final Model'!$B$24-1)/('Final Model'!$B$24-D881^2))</f>
        <v>1.49698771507149</v>
      </c>
      <c r="F881" s="23" t="n">
        <f aca="false">D881^2/($P$3+1)*B881/(1-B881)</f>
        <v>0.000849744370987899</v>
      </c>
      <c r="G881" s="13" t="n">
        <f aca="false">($P$2-1)*(B881-1/$P$2)</f>
        <v>3.19315229301633</v>
      </c>
      <c r="H881" s="13" t="n">
        <f aca="false">E881*SQRT(B881/(1-B881))</f>
        <v>0.0824868288691501</v>
      </c>
      <c r="I881" s="13" t="n">
        <f aca="false">ABS(D881)</f>
        <v>1.49631410608539</v>
      </c>
      <c r="J881" s="6" t="n">
        <f aca="false">IF(B881&gt;$P$4,1,0)</f>
        <v>0</v>
      </c>
      <c r="K881" s="6" t="n">
        <f aca="false">IF(F881&gt;$P$6,1,0)</f>
        <v>0</v>
      </c>
      <c r="L881" s="6" t="n">
        <f aca="false">IF(G881&gt;$P$9,1,0)</f>
        <v>0</v>
      </c>
      <c r="M881" s="6" t="n">
        <f aca="false">IF(ABS(H881)&gt;$P$8,1,0)</f>
        <v>0</v>
      </c>
    </row>
    <row r="882" customFormat="false" ht="15" hidden="false" customHeight="false" outlineLevel="0" collapsed="false">
      <c r="A882" s="0" t="n">
        <f aca="false">ROW()-1</f>
        <v>881</v>
      </c>
      <c r="B882" s="22" t="n">
        <f aca="false">SUMPRODUCT(MMULT('Analysis Data'!N882:U882,'Final Model'!$B$59:$I$66),'Analysis Data'!N882:U882)</f>
        <v>0.0115927079638718</v>
      </c>
      <c r="C882" s="15" t="n">
        <f aca="false">'Residual Diagnostics'!F882</f>
        <v>-138.778919579692</v>
      </c>
      <c r="D882" s="13" t="n">
        <f aca="false">C882/('Final Model'!$B$21*SQRT(1-B882))</f>
        <v>-2.8469231275464</v>
      </c>
      <c r="E882" s="13" t="n">
        <f aca="false">D882*SQRT(('Final Model'!$B$24-1)/('Final Model'!$B$24-D882^2))</f>
        <v>-2.85429637410808</v>
      </c>
      <c r="F882" s="23" t="n">
        <f aca="false">D882^2/($P$3+1)*B882/(1-B882)</f>
        <v>0.0118825718438384</v>
      </c>
      <c r="G882" s="13" t="n">
        <f aca="false">($P$2-1)*(B882-1/$P$2)</f>
        <v>15.056622030684</v>
      </c>
      <c r="H882" s="13" t="n">
        <f aca="false">E882*SQRT(B882/(1-B882))</f>
        <v>-0.309117464996852</v>
      </c>
      <c r="I882" s="13" t="n">
        <f aca="false">ABS(D882)</f>
        <v>2.8469231275464</v>
      </c>
      <c r="J882" s="6" t="n">
        <f aca="false">IF(B882&gt;$P$4,1,0)</f>
        <v>1</v>
      </c>
      <c r="K882" s="6" t="n">
        <f aca="false">IF(F882&gt;$P$6,1,0)</f>
        <v>1</v>
      </c>
      <c r="L882" s="6" t="n">
        <f aca="false">IF(G882&gt;$P$9,1,0)</f>
        <v>1</v>
      </c>
      <c r="M882" s="6" t="n">
        <f aca="false">IF(ABS(H882)&gt;$P$8,1,0)</f>
        <v>1</v>
      </c>
    </row>
    <row r="883" customFormat="false" ht="15" hidden="false" customHeight="false" outlineLevel="0" collapsed="false">
      <c r="A883" s="0" t="n">
        <f aca="false">ROW()-1</f>
        <v>882</v>
      </c>
      <c r="B883" s="22" t="n">
        <f aca="false">SUMPRODUCT(MMULT('Analysis Data'!N883:U883,'Final Model'!$B$59:$I$66),'Analysis Data'!N883:U883)</f>
        <v>0.0115579735962691</v>
      </c>
      <c r="C883" s="15" t="n">
        <f aca="false">'Residual Diagnostics'!F883</f>
        <v>-60.7069587356535</v>
      </c>
      <c r="D883" s="13" t="n">
        <f aca="false">C883/('Final Model'!$B$21*SQRT(1-B883))</f>
        <v>-1.2453260818756</v>
      </c>
      <c r="E883" s="13" t="n">
        <f aca="false">D883*SQRT(('Final Model'!$B$24-1)/('Final Model'!$B$24-D883^2))</f>
        <v>-1.24557523860017</v>
      </c>
      <c r="F883" s="23" t="n">
        <f aca="false">D883^2/($P$3+1)*B883/(1-B883)</f>
        <v>0.00226676593056477</v>
      </c>
      <c r="G883" s="13" t="n">
        <f aca="false">($P$2-1)*(B883-1/$P$2)</f>
        <v>15.0085149315542</v>
      </c>
      <c r="H883" s="13" t="n">
        <f aca="false">E883*SQRT(B883/(1-B883))</f>
        <v>-0.134689956887784</v>
      </c>
      <c r="I883" s="13" t="n">
        <f aca="false">ABS(D883)</f>
        <v>1.2453260818756</v>
      </c>
      <c r="J883" s="6" t="n">
        <f aca="false">IF(B883&gt;$P$4,1,0)</f>
        <v>1</v>
      </c>
      <c r="K883" s="6" t="n">
        <f aca="false">IF(F883&gt;$P$6,1,0)</f>
        <v>0</v>
      </c>
      <c r="L883" s="6" t="n">
        <f aca="false">IF(G883&gt;$P$9,1,0)</f>
        <v>1</v>
      </c>
      <c r="M883" s="6" t="n">
        <f aca="false">IF(ABS(H883)&gt;$P$8,1,0)</f>
        <v>0</v>
      </c>
    </row>
    <row r="884" customFormat="false" ht="15" hidden="false" customHeight="false" outlineLevel="0" collapsed="false">
      <c r="A884" s="0" t="n">
        <f aca="false">ROW()-1</f>
        <v>883</v>
      </c>
      <c r="B884" s="22" t="n">
        <f aca="false">SUMPRODUCT(MMULT('Analysis Data'!N884:U884,'Final Model'!$B$59:$I$66),'Analysis Data'!N884:U884)</f>
        <v>0.00169694925748839</v>
      </c>
      <c r="C884" s="15" t="n">
        <f aca="false">'Residual Diagnostics'!F884</f>
        <v>74.2832802797442</v>
      </c>
      <c r="D884" s="13" t="n">
        <f aca="false">C884/('Final Model'!$B$21*SQRT(1-B884))</f>
        <v>1.51628236222014</v>
      </c>
      <c r="E884" s="13" t="n">
        <f aca="false">D884*SQRT(('Final Model'!$B$24-1)/('Final Model'!$B$24-D884^2))</f>
        <v>1.5169981268592</v>
      </c>
      <c r="F884" s="23" t="n">
        <f aca="false">D884^2/($P$3+1)*B884/(1-B884)</f>
        <v>0.00048851357575368</v>
      </c>
      <c r="G884" s="13" t="n">
        <f aca="false">($P$2-1)*(B884-1/$P$2)</f>
        <v>1.35099622234293</v>
      </c>
      <c r="H884" s="13" t="n">
        <f aca="false">E884*SQRT(B884/(1-B884))</f>
        <v>0.0625443773693623</v>
      </c>
      <c r="I884" s="13" t="n">
        <f aca="false">ABS(D884)</f>
        <v>1.51628236222014</v>
      </c>
      <c r="J884" s="6" t="n">
        <f aca="false">IF(B884&gt;$P$4,1,0)</f>
        <v>0</v>
      </c>
      <c r="K884" s="6" t="n">
        <f aca="false">IF(F884&gt;$P$6,1,0)</f>
        <v>0</v>
      </c>
      <c r="L884" s="6" t="n">
        <f aca="false">IF(G884&gt;$P$9,1,0)</f>
        <v>0</v>
      </c>
      <c r="M884" s="6" t="n">
        <f aca="false">IF(ABS(H884)&gt;$P$8,1,0)</f>
        <v>0</v>
      </c>
    </row>
    <row r="885" customFormat="false" ht="15" hidden="false" customHeight="false" outlineLevel="0" collapsed="false">
      <c r="A885" s="0" t="n">
        <f aca="false">ROW()-1</f>
        <v>884</v>
      </c>
      <c r="B885" s="22" t="n">
        <f aca="false">SUMPRODUCT(MMULT('Analysis Data'!N885:U885,'Final Model'!$B$59:$I$66),'Analysis Data'!N885:U885)</f>
        <v>0.00253803511931248</v>
      </c>
      <c r="C885" s="15" t="n">
        <f aca="false">'Residual Diagnostics'!F885</f>
        <v>42.2338003564269</v>
      </c>
      <c r="D885" s="13" t="n">
        <f aca="false">C885/('Final Model'!$B$21*SQRT(1-B885))</f>
        <v>0.862446570039358</v>
      </c>
      <c r="E885" s="13" t="n">
        <f aca="false">D885*SQRT(('Final Model'!$B$24-1)/('Final Model'!$B$24-D885^2))</f>
        <v>0.862366353685799</v>
      </c>
      <c r="F885" s="23" t="n">
        <f aca="false">D885^2/($P$3+1)*B885/(1-B885)</f>
        <v>0.000236578729241486</v>
      </c>
      <c r="G885" s="13" t="n">
        <f aca="false">($P$2-1)*(B885-1/$P$2)</f>
        <v>2.51590014096928</v>
      </c>
      <c r="H885" s="13" t="n">
        <f aca="false">E885*SQRT(B885/(1-B885))</f>
        <v>0.0435003193371471</v>
      </c>
      <c r="I885" s="13" t="n">
        <f aca="false">ABS(D885)</f>
        <v>0.862446570039358</v>
      </c>
      <c r="J885" s="6" t="n">
        <f aca="false">IF(B885&gt;$P$4,1,0)</f>
        <v>0</v>
      </c>
      <c r="K885" s="6" t="n">
        <f aca="false">IF(F885&gt;$P$6,1,0)</f>
        <v>0</v>
      </c>
      <c r="L885" s="6" t="n">
        <f aca="false">IF(G885&gt;$P$9,1,0)</f>
        <v>0</v>
      </c>
      <c r="M885" s="6" t="n">
        <f aca="false">IF(ABS(H885)&gt;$P$8,1,0)</f>
        <v>0</v>
      </c>
    </row>
    <row r="886" customFormat="false" ht="15" hidden="false" customHeight="false" outlineLevel="0" collapsed="false">
      <c r="A886" s="0" t="n">
        <f aca="false">ROW()-1</f>
        <v>885</v>
      </c>
      <c r="B886" s="22" t="n">
        <f aca="false">SUMPRODUCT(MMULT('Analysis Data'!N886:U886,'Final Model'!$B$59:$I$66),'Analysis Data'!N886:U886)</f>
        <v>0.00253803511931248</v>
      </c>
      <c r="C886" s="15" t="n">
        <f aca="false">'Residual Diagnostics'!F886</f>
        <v>46.0429875753001</v>
      </c>
      <c r="D886" s="13" t="n">
        <f aca="false">C886/('Final Model'!$B$21*SQRT(1-B886))</f>
        <v>0.940233092299485</v>
      </c>
      <c r="E886" s="13" t="n">
        <f aca="false">D886*SQRT(('Final Model'!$B$24-1)/('Final Model'!$B$24-D886^2))</f>
        <v>0.940193504727921</v>
      </c>
      <c r="F886" s="23" t="n">
        <f aca="false">D886^2/($P$3+1)*B886/(1-B886)</f>
        <v>0.000281178662649643</v>
      </c>
      <c r="G886" s="13" t="n">
        <f aca="false">($P$2-1)*(B886-1/$P$2)</f>
        <v>2.51590014096928</v>
      </c>
      <c r="H886" s="13" t="n">
        <f aca="false">E886*SQRT(B886/(1-B886))</f>
        <v>0.0474261519127837</v>
      </c>
      <c r="I886" s="13" t="n">
        <f aca="false">ABS(D886)</f>
        <v>0.940233092299485</v>
      </c>
      <c r="J886" s="6" t="n">
        <f aca="false">IF(B886&gt;$P$4,1,0)</f>
        <v>0</v>
      </c>
      <c r="K886" s="6" t="n">
        <f aca="false">IF(F886&gt;$P$6,1,0)</f>
        <v>0</v>
      </c>
      <c r="L886" s="6" t="n">
        <f aca="false">IF(G886&gt;$P$9,1,0)</f>
        <v>0</v>
      </c>
      <c r="M886" s="6" t="n">
        <f aca="false">IF(ABS(H886)&gt;$P$8,1,0)</f>
        <v>0</v>
      </c>
    </row>
    <row r="887" customFormat="false" ht="15" hidden="false" customHeight="false" outlineLevel="0" collapsed="false">
      <c r="A887" s="0" t="n">
        <f aca="false">ROW()-1</f>
        <v>886</v>
      </c>
      <c r="B887" s="22" t="n">
        <f aca="false">SUMPRODUCT(MMULT('Analysis Data'!N887:U887,'Final Model'!$B$59:$I$66),'Analysis Data'!N887:U887)</f>
        <v>0.0131360397823317</v>
      </c>
      <c r="C887" s="15" t="n">
        <f aca="false">'Residual Diagnostics'!F887</f>
        <v>-2.45199196611276</v>
      </c>
      <c r="D887" s="13" t="n">
        <f aca="false">C887/('Final Model'!$B$21*SQRT(1-B887))</f>
        <v>-0.0503396981607043</v>
      </c>
      <c r="E887" s="13" t="n">
        <f aca="false">D887*SQRT(('Final Model'!$B$24-1)/('Final Model'!$B$24-D887^2))</f>
        <v>-0.0503214756225125</v>
      </c>
      <c r="F887" s="23" t="n">
        <f aca="false">D887^2/($P$3+1)*B887/(1-B887)</f>
        <v>4.21636688087698E-006</v>
      </c>
      <c r="G887" s="13" t="n">
        <f aca="false">($P$2-1)*(B887-1/$P$2)</f>
        <v>17.1941365992509</v>
      </c>
      <c r="H887" s="13" t="n">
        <f aca="false">E887*SQRT(B887/(1-B887))</f>
        <v>-0.00580573155164211</v>
      </c>
      <c r="I887" s="13" t="n">
        <f aca="false">ABS(D887)</f>
        <v>0.0503396981607043</v>
      </c>
      <c r="J887" s="6" t="n">
        <f aca="false">IF(B887&gt;$P$4,1,0)</f>
        <v>1</v>
      </c>
      <c r="K887" s="6" t="n">
        <f aca="false">IF(F887&gt;$P$6,1,0)</f>
        <v>0</v>
      </c>
      <c r="L887" s="6" t="n">
        <f aca="false">IF(G887&gt;$P$9,1,0)</f>
        <v>1</v>
      </c>
      <c r="M887" s="6" t="n">
        <f aca="false">IF(ABS(H887)&gt;$P$8,1,0)</f>
        <v>0</v>
      </c>
    </row>
    <row r="888" customFormat="false" ht="15" hidden="false" customHeight="false" outlineLevel="0" collapsed="false">
      <c r="A888" s="0" t="n">
        <f aca="false">ROW()-1</f>
        <v>887</v>
      </c>
      <c r="B888" s="22" t="n">
        <f aca="false">SUMPRODUCT(MMULT('Analysis Data'!N888:U888,'Final Model'!$B$59:$I$66),'Analysis Data'!N888:U888)</f>
        <v>0.00505500717650661</v>
      </c>
      <c r="C888" s="15" t="n">
        <f aca="false">'Residual Diagnostics'!F888</f>
        <v>-33.4538867351226</v>
      </c>
      <c r="D888" s="13" t="n">
        <f aca="false">C888/('Final Model'!$B$21*SQRT(1-B888))</f>
        <v>-0.684017567256961</v>
      </c>
      <c r="E888" s="13" t="n">
        <f aca="false">D888*SQRT(('Final Model'!$B$24-1)/('Final Model'!$B$24-D888^2))</f>
        <v>-0.683885441639982</v>
      </c>
      <c r="F888" s="23" t="n">
        <f aca="false">D888^2/($P$3+1)*B888/(1-B888)</f>
        <v>0.00029714418110572</v>
      </c>
      <c r="G888" s="13" t="n">
        <f aca="false">($P$2-1)*(B888-1/$P$2)</f>
        <v>6.00190644018315</v>
      </c>
      <c r="H888" s="13" t="n">
        <f aca="false">E888*SQRT(B888/(1-B888))</f>
        <v>-0.0487466428605381</v>
      </c>
      <c r="I888" s="13" t="n">
        <f aca="false">ABS(D888)</f>
        <v>0.684017567256961</v>
      </c>
      <c r="J888" s="6" t="n">
        <f aca="false">IF(B888&gt;$P$4,1,0)</f>
        <v>0</v>
      </c>
      <c r="K888" s="6" t="n">
        <f aca="false">IF(F888&gt;$P$6,1,0)</f>
        <v>0</v>
      </c>
      <c r="L888" s="6" t="n">
        <f aca="false">IF(G888&gt;$P$9,1,0)</f>
        <v>0</v>
      </c>
      <c r="M888" s="6" t="n">
        <f aca="false">IF(ABS(H888)&gt;$P$8,1,0)</f>
        <v>0</v>
      </c>
    </row>
    <row r="889" customFormat="false" ht="15" hidden="false" customHeight="false" outlineLevel="0" collapsed="false">
      <c r="A889" s="0" t="n">
        <f aca="false">ROW()-1</f>
        <v>888</v>
      </c>
      <c r="B889" s="22" t="n">
        <f aca="false">SUMPRODUCT(MMULT('Analysis Data'!N889:U889,'Final Model'!$B$59:$I$66),'Analysis Data'!N889:U889)</f>
        <v>0.00505500717650661</v>
      </c>
      <c r="C889" s="15" t="n">
        <f aca="false">'Residual Diagnostics'!F889</f>
        <v>-15.5506770523544</v>
      </c>
      <c r="D889" s="13" t="n">
        <f aca="false">C889/('Final Model'!$B$21*SQRT(1-B889))</f>
        <v>-0.317958160460398</v>
      </c>
      <c r="E889" s="13" t="n">
        <f aca="false">D889*SQRT(('Final Model'!$B$24-1)/('Final Model'!$B$24-D889^2))</f>
        <v>-0.317854430045717</v>
      </c>
      <c r="F889" s="23" t="n">
        <f aca="false">D889^2/($P$3+1)*B889/(1-B889)</f>
        <v>6.42055647269773E-005</v>
      </c>
      <c r="G889" s="13" t="n">
        <f aca="false">($P$2-1)*(B889-1/$P$2)</f>
        <v>6.00190644018315</v>
      </c>
      <c r="H889" s="13" t="n">
        <f aca="false">E889*SQRT(B889/(1-B889))</f>
        <v>-0.0226563331219955</v>
      </c>
      <c r="I889" s="13" t="n">
        <f aca="false">ABS(D889)</f>
        <v>0.317958160460398</v>
      </c>
      <c r="J889" s="6" t="n">
        <f aca="false">IF(B889&gt;$P$4,1,0)</f>
        <v>0</v>
      </c>
      <c r="K889" s="6" t="n">
        <f aca="false">IF(F889&gt;$P$6,1,0)</f>
        <v>0</v>
      </c>
      <c r="L889" s="6" t="n">
        <f aca="false">IF(G889&gt;$P$9,1,0)</f>
        <v>0</v>
      </c>
      <c r="M889" s="6" t="n">
        <f aca="false">IF(ABS(H889)&gt;$P$8,1,0)</f>
        <v>0</v>
      </c>
    </row>
    <row r="890" customFormat="false" ht="15" hidden="false" customHeight="false" outlineLevel="0" collapsed="false">
      <c r="A890" s="0" t="n">
        <f aca="false">ROW()-1</f>
        <v>889</v>
      </c>
      <c r="B890" s="22" t="n">
        <f aca="false">SUMPRODUCT(MMULT('Analysis Data'!N890:U890,'Final Model'!$B$59:$I$66),'Analysis Data'!N890:U890)</f>
        <v>0.00505500717650661</v>
      </c>
      <c r="C890" s="15" t="n">
        <f aca="false">'Residual Diagnostics'!F890</f>
        <v>-54.9204655305275</v>
      </c>
      <c r="D890" s="13" t="n">
        <f aca="false">C890/('Final Model'!$B$21*SQRT(1-B890))</f>
        <v>-1.12293568523895</v>
      </c>
      <c r="E890" s="13" t="n">
        <f aca="false">D890*SQRT(('Final Model'!$B$24-1)/('Final Model'!$B$24-D890^2))</f>
        <v>-1.12304211607916</v>
      </c>
      <c r="F890" s="23" t="n">
        <f aca="false">D890^2/($P$3+1)*B890/(1-B890)</f>
        <v>0.000800833967176822</v>
      </c>
      <c r="G890" s="13" t="n">
        <f aca="false">($P$2-1)*(B890-1/$P$2)</f>
        <v>6.00190644018315</v>
      </c>
      <c r="H890" s="13" t="n">
        <f aca="false">E890*SQRT(B890/(1-B890))</f>
        <v>-0.0800492737768688</v>
      </c>
      <c r="I890" s="13" t="n">
        <f aca="false">ABS(D890)</f>
        <v>1.12293568523895</v>
      </c>
      <c r="J890" s="6" t="n">
        <f aca="false">IF(B890&gt;$P$4,1,0)</f>
        <v>0</v>
      </c>
      <c r="K890" s="6" t="n">
        <f aca="false">IF(F890&gt;$P$6,1,0)</f>
        <v>0</v>
      </c>
      <c r="L890" s="6" t="n">
        <f aca="false">IF(G890&gt;$P$9,1,0)</f>
        <v>0</v>
      </c>
      <c r="M890" s="6" t="n">
        <f aca="false">IF(ABS(H890)&gt;$P$8,1,0)</f>
        <v>0</v>
      </c>
    </row>
    <row r="891" customFormat="false" ht="15" hidden="false" customHeight="false" outlineLevel="0" collapsed="false">
      <c r="A891" s="0" t="n">
        <f aca="false">ROW()-1</f>
        <v>890</v>
      </c>
      <c r="B891" s="22" t="n">
        <f aca="false">SUMPRODUCT(MMULT('Analysis Data'!N891:U891,'Final Model'!$B$59:$I$66),'Analysis Data'!N891:U891)</f>
        <v>0.0110114110578449</v>
      </c>
      <c r="C891" s="15" t="n">
        <f aca="false">'Residual Diagnostics'!F891</f>
        <v>50.9928296072144</v>
      </c>
      <c r="D891" s="13" t="n">
        <f aca="false">C891/('Final Model'!$B$21*SQRT(1-B891))</f>
        <v>1.04576398284934</v>
      </c>
      <c r="E891" s="13" t="n">
        <f aca="false">D891*SQRT(('Final Model'!$B$24-1)/('Final Model'!$B$24-D891^2))</f>
        <v>1.04579953543841</v>
      </c>
      <c r="F891" s="23" t="n">
        <f aca="false">D891^2/($P$3+1)*B891/(1-B891)</f>
        <v>0.00152205052061948</v>
      </c>
      <c r="G891" s="13" t="n">
        <f aca="false">($P$2-1)*(B891-1/$P$2)</f>
        <v>14.2515258158367</v>
      </c>
      <c r="H891" s="13" t="n">
        <f aca="false">E891*SQRT(B891/(1-B891))</f>
        <v>0.110350496580914</v>
      </c>
      <c r="I891" s="13" t="n">
        <f aca="false">ABS(D891)</f>
        <v>1.04576398284934</v>
      </c>
      <c r="J891" s="6" t="n">
        <f aca="false">IF(B891&gt;$P$4,1,0)</f>
        <v>0</v>
      </c>
      <c r="K891" s="6" t="n">
        <f aca="false">IF(F891&gt;$P$6,1,0)</f>
        <v>0</v>
      </c>
      <c r="L891" s="6" t="n">
        <f aca="false">IF(G891&gt;$P$9,1,0)</f>
        <v>1</v>
      </c>
      <c r="M891" s="6" t="n">
        <f aca="false">IF(ABS(H891)&gt;$P$8,1,0)</f>
        <v>0</v>
      </c>
    </row>
    <row r="892" customFormat="false" ht="15" hidden="false" customHeight="false" outlineLevel="0" collapsed="false">
      <c r="A892" s="0" t="n">
        <f aca="false">ROW()-1</f>
        <v>891</v>
      </c>
      <c r="B892" s="22" t="n">
        <f aca="false">SUMPRODUCT(MMULT('Analysis Data'!N892:U892,'Final Model'!$B$59:$I$66),'Analysis Data'!N892:U892)</f>
        <v>0.0126068819112474</v>
      </c>
      <c r="C892" s="15" t="n">
        <f aca="false">'Residual Diagnostics'!F892</f>
        <v>-5.07849316702522</v>
      </c>
      <c r="D892" s="13" t="n">
        <f aca="false">C892/('Final Model'!$B$21*SQRT(1-B892))</f>
        <v>-0.104234150977767</v>
      </c>
      <c r="E892" s="13" t="n">
        <f aca="false">D892*SQRT(('Final Model'!$B$24-1)/('Final Model'!$B$24-D892^2))</f>
        <v>-0.104196734071493</v>
      </c>
      <c r="F892" s="23" t="n">
        <f aca="false">D892^2/($P$3+1)*B892/(1-B892)</f>
        <v>1.73399431152732E-005</v>
      </c>
      <c r="G892" s="13" t="n">
        <f aca="false">($P$2-1)*(B892-1/$P$2)</f>
        <v>16.4612529477992</v>
      </c>
      <c r="H892" s="13" t="n">
        <f aca="false">E892*SQRT(B892/(1-B892))</f>
        <v>-0.0117736982532682</v>
      </c>
      <c r="I892" s="13" t="n">
        <f aca="false">ABS(D892)</f>
        <v>0.104234150977767</v>
      </c>
      <c r="J892" s="6" t="n">
        <f aca="false">IF(B892&gt;$P$4,1,0)</f>
        <v>1</v>
      </c>
      <c r="K892" s="6" t="n">
        <f aca="false">IF(F892&gt;$P$6,1,0)</f>
        <v>0</v>
      </c>
      <c r="L892" s="6" t="n">
        <f aca="false">IF(G892&gt;$P$9,1,0)</f>
        <v>1</v>
      </c>
      <c r="M892" s="6" t="n">
        <f aca="false">IF(ABS(H892)&gt;$P$8,1,0)</f>
        <v>0</v>
      </c>
    </row>
    <row r="893" customFormat="false" ht="15" hidden="false" customHeight="false" outlineLevel="0" collapsed="false">
      <c r="A893" s="0" t="n">
        <f aca="false">ROW()-1</f>
        <v>892</v>
      </c>
      <c r="B893" s="22" t="n">
        <f aca="false">SUMPRODUCT(MMULT('Analysis Data'!N893:U893,'Final Model'!$B$59:$I$66),'Analysis Data'!N893:U893)</f>
        <v>0.00313280394385671</v>
      </c>
      <c r="C893" s="15" t="n">
        <f aca="false">'Residual Diagnostics'!F893</f>
        <v>-51.0222782875096</v>
      </c>
      <c r="D893" s="13" t="n">
        <f aca="false">C893/('Final Model'!$B$21*SQRT(1-B893))</f>
        <v>-1.04222480101517</v>
      </c>
      <c r="E893" s="13" t="n">
        <f aca="false">D893*SQRT(('Final Model'!$B$24-1)/('Final Model'!$B$24-D893^2))</f>
        <v>-1.04225743642145</v>
      </c>
      <c r="F893" s="23" t="n">
        <f aca="false">D893^2/($P$3+1)*B893/(1-B893)</f>
        <v>0.000426705982718005</v>
      </c>
      <c r="G893" s="13" t="n">
        <f aca="false">($P$2-1)*(B893-1/$P$2)</f>
        <v>3.33965496296304</v>
      </c>
      <c r="H893" s="13" t="n">
        <f aca="false">E893*SQRT(B893/(1-B893))</f>
        <v>-0.0584282607104681</v>
      </c>
      <c r="I893" s="13" t="n">
        <f aca="false">ABS(D893)</f>
        <v>1.04222480101517</v>
      </c>
      <c r="J893" s="6" t="n">
        <f aca="false">IF(B893&gt;$P$4,1,0)</f>
        <v>0</v>
      </c>
      <c r="K893" s="6" t="n">
        <f aca="false">IF(F893&gt;$P$6,1,0)</f>
        <v>0</v>
      </c>
      <c r="L893" s="6" t="n">
        <f aca="false">IF(G893&gt;$P$9,1,0)</f>
        <v>0</v>
      </c>
      <c r="M893" s="6" t="n">
        <f aca="false">IF(ABS(H893)&gt;$P$8,1,0)</f>
        <v>0</v>
      </c>
    </row>
    <row r="894" customFormat="false" ht="15" hidden="false" customHeight="false" outlineLevel="0" collapsed="false">
      <c r="A894" s="0" t="n">
        <f aca="false">ROW()-1</f>
        <v>893</v>
      </c>
      <c r="B894" s="22" t="n">
        <f aca="false">SUMPRODUCT(MMULT('Analysis Data'!N894:U894,'Final Model'!$B$59:$I$66),'Analysis Data'!N894:U894)</f>
        <v>0.00194613739698309</v>
      </c>
      <c r="C894" s="15" t="n">
        <f aca="false">'Residual Diagnostics'!F894</f>
        <v>-44.4824659778806</v>
      </c>
      <c r="D894" s="13" t="n">
        <f aca="false">C894/('Final Model'!$B$21*SQRT(1-B894))</f>
        <v>-0.908096651297828</v>
      </c>
      <c r="E894" s="13" t="n">
        <f aca="false">D894*SQRT(('Final Model'!$B$24-1)/('Final Model'!$B$24-D894^2))</f>
        <v>-0.908038833923412</v>
      </c>
      <c r="F894" s="23" t="n">
        <f aca="false">D894^2/($P$3+1)*B894/(1-B894)</f>
        <v>0.000200998899558013</v>
      </c>
      <c r="G894" s="13" t="n">
        <f aca="false">($P$2-1)*(B894-1/$P$2)</f>
        <v>1.69612179554308</v>
      </c>
      <c r="H894" s="13" t="n">
        <f aca="false">E894*SQRT(B894/(1-B894))</f>
        <v>-0.0400972124395015</v>
      </c>
      <c r="I894" s="13" t="n">
        <f aca="false">ABS(D894)</f>
        <v>0.908096651297828</v>
      </c>
      <c r="J894" s="6" t="n">
        <f aca="false">IF(B894&gt;$P$4,1,0)</f>
        <v>0</v>
      </c>
      <c r="K894" s="6" t="n">
        <f aca="false">IF(F894&gt;$P$6,1,0)</f>
        <v>0</v>
      </c>
      <c r="L894" s="6" t="n">
        <f aca="false">IF(G894&gt;$P$9,1,0)</f>
        <v>0</v>
      </c>
      <c r="M894" s="6" t="n">
        <f aca="false">IF(ABS(H894)&gt;$P$8,1,0)</f>
        <v>0</v>
      </c>
    </row>
    <row r="895" customFormat="false" ht="15" hidden="false" customHeight="false" outlineLevel="0" collapsed="false">
      <c r="A895" s="0" t="n">
        <f aca="false">ROW()-1</f>
        <v>894</v>
      </c>
      <c r="B895" s="22" t="n">
        <f aca="false">SUMPRODUCT(MMULT('Analysis Data'!N895:U895,'Final Model'!$B$59:$I$66),'Analysis Data'!N895:U895)</f>
        <v>0.00204208751184944</v>
      </c>
      <c r="C895" s="15" t="n">
        <f aca="false">'Residual Diagnostics'!F895</f>
        <v>84.0842163811498</v>
      </c>
      <c r="D895" s="13" t="n">
        <f aca="false">C895/('Final Model'!$B$21*SQRT(1-B895))</f>
        <v>1.71663742699024</v>
      </c>
      <c r="E895" s="13" t="n">
        <f aca="false">D895*SQRT(('Final Model'!$B$24-1)/('Final Model'!$B$24-D895^2))</f>
        <v>1.71785223212572</v>
      </c>
      <c r="F895" s="23" t="n">
        <f aca="false">D895^2/($P$3+1)*B895/(1-B895)</f>
        <v>0.000753753411128117</v>
      </c>
      <c r="G895" s="13" t="n">
        <f aca="false">($P$2-1)*(B895-1/$P$2)</f>
        <v>1.82901270463297</v>
      </c>
      <c r="H895" s="13" t="n">
        <f aca="false">E895*SQRT(B895/(1-B895))</f>
        <v>0.0777082028728395</v>
      </c>
      <c r="I895" s="13" t="n">
        <f aca="false">ABS(D895)</f>
        <v>1.71663742699024</v>
      </c>
      <c r="J895" s="6" t="n">
        <f aca="false">IF(B895&gt;$P$4,1,0)</f>
        <v>0</v>
      </c>
      <c r="K895" s="6" t="n">
        <f aca="false">IF(F895&gt;$P$6,1,0)</f>
        <v>0</v>
      </c>
      <c r="L895" s="6" t="n">
        <f aca="false">IF(G895&gt;$P$9,1,0)</f>
        <v>0</v>
      </c>
      <c r="M895" s="6" t="n">
        <f aca="false">IF(ABS(H895)&gt;$P$8,1,0)</f>
        <v>0</v>
      </c>
    </row>
    <row r="896" customFormat="false" ht="15" hidden="false" customHeight="false" outlineLevel="0" collapsed="false">
      <c r="A896" s="0" t="n">
        <f aca="false">ROW()-1</f>
        <v>895</v>
      </c>
      <c r="B896" s="22" t="n">
        <f aca="false">SUMPRODUCT(MMULT('Analysis Data'!N896:U896,'Final Model'!$B$59:$I$66),'Analysis Data'!N896:U896)</f>
        <v>0.00204208751184944</v>
      </c>
      <c r="C896" s="15" t="n">
        <f aca="false">'Residual Diagnostics'!F896</f>
        <v>-3.85642774838252</v>
      </c>
      <c r="D896" s="13" t="n">
        <f aca="false">C896/('Final Model'!$B$21*SQRT(1-B896))</f>
        <v>-0.0787316394476293</v>
      </c>
      <c r="E896" s="13" t="n">
        <f aca="false">D896*SQRT(('Final Model'!$B$24-1)/('Final Model'!$B$24-D896^2))</f>
        <v>-0.0787032439206904</v>
      </c>
      <c r="F896" s="23" t="n">
        <f aca="false">D896^2/($P$3+1)*B896/(1-B896)</f>
        <v>1.585516355837E-006</v>
      </c>
      <c r="G896" s="13" t="n">
        <f aca="false">($P$2-1)*(B896-1/$P$2)</f>
        <v>1.82901270463297</v>
      </c>
      <c r="H896" s="13" t="n">
        <f aca="false">E896*SQRT(B896/(1-B896))</f>
        <v>-0.00356019425359515</v>
      </c>
      <c r="I896" s="13" t="n">
        <f aca="false">ABS(D896)</f>
        <v>0.0787316394476293</v>
      </c>
      <c r="J896" s="6" t="n">
        <f aca="false">IF(B896&gt;$P$4,1,0)</f>
        <v>0</v>
      </c>
      <c r="K896" s="6" t="n">
        <f aca="false">IF(F896&gt;$P$6,1,0)</f>
        <v>0</v>
      </c>
      <c r="L896" s="6" t="n">
        <f aca="false">IF(G896&gt;$P$9,1,0)</f>
        <v>0</v>
      </c>
      <c r="M896" s="6" t="n">
        <f aca="false">IF(ABS(H896)&gt;$P$8,1,0)</f>
        <v>0</v>
      </c>
    </row>
    <row r="897" customFormat="false" ht="15" hidden="false" customHeight="false" outlineLevel="0" collapsed="false">
      <c r="A897" s="0" t="n">
        <f aca="false">ROW()-1</f>
        <v>896</v>
      </c>
      <c r="B897" s="22" t="n">
        <f aca="false">SUMPRODUCT(MMULT('Analysis Data'!N897:U897,'Final Model'!$B$59:$I$66),'Analysis Data'!N897:U897)</f>
        <v>0.00204208751184944</v>
      </c>
      <c r="C897" s="15" t="n">
        <f aca="false">'Residual Diagnostics'!F897</f>
        <v>-64.5433445849469</v>
      </c>
      <c r="D897" s="13" t="n">
        <f aca="false">C897/('Final Model'!$B$21*SQRT(1-B897))</f>
        <v>-1.31769701551844</v>
      </c>
      <c r="E897" s="13" t="n">
        <f aca="false">D897*SQRT(('Final Model'!$B$24-1)/('Final Model'!$B$24-D897^2))</f>
        <v>-1.31804946399596</v>
      </c>
      <c r="F897" s="23" t="n">
        <f aca="false">D897^2/($P$3+1)*B897/(1-B897)</f>
        <v>0.000444122996311895</v>
      </c>
      <c r="G897" s="13" t="n">
        <f aca="false">($P$2-1)*(B897-1/$P$2)</f>
        <v>1.82901270463297</v>
      </c>
      <c r="H897" s="13" t="n">
        <f aca="false">E897*SQRT(B897/(1-B897))</f>
        <v>-0.0596228553476304</v>
      </c>
      <c r="I897" s="13" t="n">
        <f aca="false">ABS(D897)</f>
        <v>1.31769701551844</v>
      </c>
      <c r="J897" s="6" t="n">
        <f aca="false">IF(B897&gt;$P$4,1,0)</f>
        <v>0</v>
      </c>
      <c r="K897" s="6" t="n">
        <f aca="false">IF(F897&gt;$P$6,1,0)</f>
        <v>0</v>
      </c>
      <c r="L897" s="6" t="n">
        <f aca="false">IF(G897&gt;$P$9,1,0)</f>
        <v>0</v>
      </c>
      <c r="M897" s="6" t="n">
        <f aca="false">IF(ABS(H897)&gt;$P$8,1,0)</f>
        <v>0</v>
      </c>
    </row>
    <row r="898" customFormat="false" ht="15" hidden="false" customHeight="false" outlineLevel="0" collapsed="false">
      <c r="A898" s="0" t="n">
        <f aca="false">ROW()-1</f>
        <v>897</v>
      </c>
      <c r="B898" s="22" t="n">
        <f aca="false">SUMPRODUCT(MMULT('Analysis Data'!N898:U898,'Final Model'!$B$59:$I$66),'Analysis Data'!N898:U898)</f>
        <v>0.00224553238481864</v>
      </c>
      <c r="C898" s="15" t="n">
        <f aca="false">'Residual Diagnostics'!F898</f>
        <v>-9.24327083327745</v>
      </c>
      <c r="D898" s="13" t="n">
        <f aca="false">C898/('Final Model'!$B$21*SQRT(1-B898))</f>
        <v>-0.188727004404428</v>
      </c>
      <c r="E898" s="13" t="n">
        <f aca="false">D898*SQRT(('Final Model'!$B$24-1)/('Final Model'!$B$24-D898^2))</f>
        <v>-0.1886609516072</v>
      </c>
      <c r="F898" s="23" t="n">
        <f aca="false">D898^2/($P$3+1)*B898/(1-B898)</f>
        <v>1.00201390391627E-005</v>
      </c>
      <c r="G898" s="13" t="n">
        <f aca="false">($P$2-1)*(B898-1/$P$2)</f>
        <v>2.11078385369532</v>
      </c>
      <c r="H898" s="13" t="n">
        <f aca="false">E898*SQRT(B898/(1-B898))</f>
        <v>-0.008950140264781</v>
      </c>
      <c r="I898" s="13" t="n">
        <f aca="false">ABS(D898)</f>
        <v>0.188727004404428</v>
      </c>
      <c r="J898" s="6" t="n">
        <f aca="false">IF(B898&gt;$P$4,1,0)</f>
        <v>0</v>
      </c>
      <c r="K898" s="6" t="n">
        <f aca="false">IF(F898&gt;$P$6,1,0)</f>
        <v>0</v>
      </c>
      <c r="L898" s="6" t="n">
        <f aca="false">IF(G898&gt;$P$9,1,0)</f>
        <v>0</v>
      </c>
      <c r="M898" s="6" t="n">
        <f aca="false">IF(ABS(H898)&gt;$P$8,1,0)</f>
        <v>0</v>
      </c>
    </row>
    <row r="899" customFormat="false" ht="15" hidden="false" customHeight="false" outlineLevel="0" collapsed="false">
      <c r="A899" s="0" t="n">
        <f aca="false">ROW()-1</f>
        <v>898</v>
      </c>
      <c r="B899" s="22" t="n">
        <f aca="false">SUMPRODUCT(MMULT('Analysis Data'!N899:U899,'Final Model'!$B$59:$I$66),'Analysis Data'!N899:U899)</f>
        <v>0.00193797508952462</v>
      </c>
      <c r="C899" s="15" t="n">
        <f aca="false">'Residual Diagnostics'!F899</f>
        <v>16.2898276123777</v>
      </c>
      <c r="D899" s="13" t="n">
        <f aca="false">C899/('Final Model'!$B$21*SQRT(1-B899))</f>
        <v>0.332550749852498</v>
      </c>
      <c r="E899" s="13" t="n">
        <f aca="false">D899*SQRT(('Final Model'!$B$24-1)/('Final Model'!$B$24-D899^2))</f>
        <v>0.332443403898295</v>
      </c>
      <c r="F899" s="23" t="n">
        <f aca="false">D899^2/($P$3+1)*B899/(1-B899)</f>
        <v>2.68421027676783E-005</v>
      </c>
      <c r="G899" s="13" t="n">
        <f aca="false">($P$2-1)*(B899-1/$P$2)</f>
        <v>1.6848169997131</v>
      </c>
      <c r="H899" s="13" t="n">
        <f aca="false">E899*SQRT(B899/(1-B899))</f>
        <v>0.0146491710437144</v>
      </c>
      <c r="I899" s="13" t="n">
        <f aca="false">ABS(D899)</f>
        <v>0.332550749852498</v>
      </c>
      <c r="J899" s="6" t="n">
        <f aca="false">IF(B899&gt;$P$4,1,0)</f>
        <v>0</v>
      </c>
      <c r="K899" s="6" t="n">
        <f aca="false">IF(F899&gt;$P$6,1,0)</f>
        <v>0</v>
      </c>
      <c r="L899" s="6" t="n">
        <f aca="false">IF(G899&gt;$P$9,1,0)</f>
        <v>0</v>
      </c>
      <c r="M899" s="6" t="n">
        <f aca="false">IF(ABS(H899)&gt;$P$8,1,0)</f>
        <v>0</v>
      </c>
    </row>
    <row r="900" customFormat="false" ht="15" hidden="false" customHeight="false" outlineLevel="0" collapsed="false">
      <c r="A900" s="0" t="n">
        <f aca="false">ROW()-1</f>
        <v>899</v>
      </c>
      <c r="B900" s="22" t="n">
        <f aca="false">SUMPRODUCT(MMULT('Analysis Data'!N900:U900,'Final Model'!$B$59:$I$66),'Analysis Data'!N900:U900)</f>
        <v>0.0374172227360185</v>
      </c>
      <c r="C900" s="15" t="n">
        <f aca="false">'Residual Diagnostics'!F900</f>
        <v>-55.4008966745199</v>
      </c>
      <c r="D900" s="13" t="n">
        <f aca="false">C900/('Final Model'!$B$21*SQRT(1-B900))</f>
        <v>-1.15164323092854</v>
      </c>
      <c r="E900" s="13" t="n">
        <f aca="false">D900*SQRT(('Final Model'!$B$24-1)/('Final Model'!$B$24-D900^2))</f>
        <v>-1.15177969694121</v>
      </c>
      <c r="F900" s="23" t="n">
        <f aca="false">D900^2/($P$3+1)*B900/(1-B900)</f>
        <v>0.00644435407159696</v>
      </c>
      <c r="G900" s="13" t="n">
        <f aca="false">($P$2-1)*(B900-1/$P$2)</f>
        <v>50.8235749901071</v>
      </c>
      <c r="H900" s="13" t="n">
        <f aca="false">E900*SQRT(B900/(1-B900))</f>
        <v>-0.227083798320836</v>
      </c>
      <c r="I900" s="13" t="n">
        <f aca="false">ABS(D900)</f>
        <v>1.15164323092854</v>
      </c>
      <c r="J900" s="6" t="n">
        <f aca="false">IF(B900&gt;$P$4,1,0)</f>
        <v>1</v>
      </c>
      <c r="K900" s="6" t="n">
        <f aca="false">IF(F900&gt;$P$6,1,0)</f>
        <v>1</v>
      </c>
      <c r="L900" s="6" t="n">
        <f aca="false">IF(G900&gt;$P$9,1,0)</f>
        <v>1</v>
      </c>
      <c r="M900" s="6" t="n">
        <f aca="false">IF(ABS(H900)&gt;$P$8,1,0)</f>
        <v>1</v>
      </c>
    </row>
    <row r="901" customFormat="false" ht="15" hidden="false" customHeight="false" outlineLevel="0" collapsed="false">
      <c r="A901" s="0" t="n">
        <f aca="false">ROW()-1</f>
        <v>900</v>
      </c>
      <c r="B901" s="22" t="n">
        <f aca="false">SUMPRODUCT(MMULT('Analysis Data'!N901:U901,'Final Model'!$B$59:$I$66),'Analysis Data'!N901:U901)</f>
        <v>0.0313296859334585</v>
      </c>
      <c r="C901" s="15" t="n">
        <f aca="false">'Residual Diagnostics'!F901</f>
        <v>0.15633780000644</v>
      </c>
      <c r="D901" s="13" t="n">
        <f aca="false">C901/('Final Model'!$B$21*SQRT(1-B901))</f>
        <v>0.00323963595097195</v>
      </c>
      <c r="E901" s="13" t="n">
        <f aca="false">D901*SQRT(('Final Model'!$B$24-1)/('Final Model'!$B$24-D901^2))</f>
        <v>0.00323846026522512</v>
      </c>
      <c r="F901" s="23" t="n">
        <f aca="false">D901^2/($P$3+1)*B901/(1-B901)</f>
        <v>4.24309234166283E-008</v>
      </c>
      <c r="G901" s="13" t="n">
        <f aca="false">($P$2-1)*(B901-1/$P$2)</f>
        <v>42.3923365185616</v>
      </c>
      <c r="H901" s="13" t="n">
        <f aca="false">E901*SQRT(B901/(1-B901))</f>
        <v>0.000582409698188447</v>
      </c>
      <c r="I901" s="13" t="n">
        <f aca="false">ABS(D901)</f>
        <v>0.00323963595097195</v>
      </c>
      <c r="J901" s="6" t="n">
        <f aca="false">IF(B901&gt;$P$4,1,0)</f>
        <v>1</v>
      </c>
      <c r="K901" s="6" t="n">
        <f aca="false">IF(F901&gt;$P$6,1,0)</f>
        <v>0</v>
      </c>
      <c r="L901" s="6" t="n">
        <f aca="false">IF(G901&gt;$P$9,1,0)</f>
        <v>1</v>
      </c>
      <c r="M901" s="6" t="n">
        <f aca="false">IF(ABS(H901)&gt;$P$8,1,0)</f>
        <v>0</v>
      </c>
    </row>
    <row r="902" customFormat="false" ht="15" hidden="false" customHeight="false" outlineLevel="0" collapsed="false">
      <c r="A902" s="0" t="n">
        <f aca="false">ROW()-1</f>
        <v>901</v>
      </c>
      <c r="B902" s="22" t="n">
        <f aca="false">SUMPRODUCT(MMULT('Analysis Data'!N902:U902,'Final Model'!$B$59:$I$66),'Analysis Data'!N902:U902)</f>
        <v>0.0309186303024537</v>
      </c>
      <c r="C902" s="15" t="n">
        <f aca="false">'Residual Diagnostics'!F902</f>
        <v>45.1414299938509</v>
      </c>
      <c r="D902" s="13" t="n">
        <f aca="false">C902/('Final Model'!$B$21*SQRT(1-B902))</f>
        <v>0.935223474229863</v>
      </c>
      <c r="E902" s="13" t="n">
        <f aca="false">D902*SQRT(('Final Model'!$B$24-1)/('Final Model'!$B$24-D902^2))</f>
        <v>0.935180907470657</v>
      </c>
      <c r="F902" s="23" t="n">
        <f aca="false">D902^2/($P$3+1)*B902/(1-B902)</f>
        <v>0.00348819546567976</v>
      </c>
      <c r="G902" s="13" t="n">
        <f aca="false">($P$2-1)*(B902-1/$P$2)</f>
        <v>41.8230244696198</v>
      </c>
      <c r="H902" s="13" t="n">
        <f aca="false">E902*SQRT(B902/(1-B902))</f>
        <v>0.167041981358087</v>
      </c>
      <c r="I902" s="13" t="n">
        <f aca="false">ABS(D902)</f>
        <v>0.935223474229863</v>
      </c>
      <c r="J902" s="6" t="n">
        <f aca="false">IF(B902&gt;$P$4,1,0)</f>
        <v>1</v>
      </c>
      <c r="K902" s="6" t="n">
        <f aca="false">IF(F902&gt;$P$6,1,0)</f>
        <v>1</v>
      </c>
      <c r="L902" s="6" t="n">
        <f aca="false">IF(G902&gt;$P$9,1,0)</f>
        <v>1</v>
      </c>
      <c r="M902" s="6" t="n">
        <f aca="false">IF(ABS(H902)&gt;$P$8,1,0)</f>
        <v>1</v>
      </c>
    </row>
    <row r="903" customFormat="false" ht="15" hidden="false" customHeight="false" outlineLevel="0" collapsed="false">
      <c r="A903" s="0" t="n">
        <f aca="false">ROW()-1</f>
        <v>902</v>
      </c>
      <c r="B903" s="22" t="n">
        <f aca="false">SUMPRODUCT(MMULT('Analysis Data'!N903:U903,'Final Model'!$B$59:$I$66),'Analysis Data'!N903:U903)</f>
        <v>0.0341318223074439</v>
      </c>
      <c r="C903" s="15" t="n">
        <f aca="false">'Residual Diagnostics'!F903</f>
        <v>-74.3426652572219</v>
      </c>
      <c r="D903" s="13" t="n">
        <f aca="false">C903/('Final Model'!$B$21*SQRT(1-B903))</f>
        <v>-1.5427636828442</v>
      </c>
      <c r="E903" s="13" t="n">
        <f aca="false">D903*SQRT(('Final Model'!$B$24-1)/('Final Model'!$B$24-D903^2))</f>
        <v>-1.54353739400295</v>
      </c>
      <c r="F903" s="23" t="n">
        <f aca="false">D903^2/($P$3+1)*B903/(1-B903)</f>
        <v>0.0105135756766927</v>
      </c>
      <c r="G903" s="13" t="n">
        <f aca="false">($P$2-1)*(B903-1/$P$2)</f>
        <v>46.2732953965313</v>
      </c>
      <c r="H903" s="13" t="n">
        <f aca="false">E903*SQRT(B903/(1-B903))</f>
        <v>-0.290160281832959</v>
      </c>
      <c r="I903" s="13" t="n">
        <f aca="false">ABS(D903)</f>
        <v>1.5427636828442</v>
      </c>
      <c r="J903" s="6" t="n">
        <f aca="false">IF(B903&gt;$P$4,1,0)</f>
        <v>1</v>
      </c>
      <c r="K903" s="6" t="n">
        <f aca="false">IF(F903&gt;$P$6,1,0)</f>
        <v>1</v>
      </c>
      <c r="L903" s="6" t="n">
        <f aca="false">IF(G903&gt;$P$9,1,0)</f>
        <v>1</v>
      </c>
      <c r="M903" s="6" t="n">
        <f aca="false">IF(ABS(H903)&gt;$P$8,1,0)</f>
        <v>1</v>
      </c>
    </row>
    <row r="904" customFormat="false" ht="15" hidden="false" customHeight="false" outlineLevel="0" collapsed="false">
      <c r="A904" s="0" t="n">
        <f aca="false">ROW()-1</f>
        <v>903</v>
      </c>
      <c r="B904" s="22" t="n">
        <f aca="false">SUMPRODUCT(MMULT('Analysis Data'!N904:U904,'Final Model'!$B$59:$I$66),'Analysis Data'!N904:U904)</f>
        <v>0.00254698834422375</v>
      </c>
      <c r="C904" s="15" t="n">
        <f aca="false">'Residual Diagnostics'!F904</f>
        <v>-10.2972559616169</v>
      </c>
      <c r="D904" s="13" t="n">
        <f aca="false">C904/('Final Model'!$B$21*SQRT(1-B904))</f>
        <v>-0.210278801988932</v>
      </c>
      <c r="E904" s="13" t="n">
        <f aca="false">D904*SQRT(('Final Model'!$B$24-1)/('Final Model'!$B$24-D904^2))</f>
        <v>-0.210205862155388</v>
      </c>
      <c r="F904" s="23" t="n">
        <f aca="false">D904^2/($P$3+1)*B904/(1-B904)</f>
        <v>1.41135255142125E-005</v>
      </c>
      <c r="G904" s="13" t="n">
        <f aca="false">($P$2-1)*(B904-1/$P$2)</f>
        <v>2.52830035747139</v>
      </c>
      <c r="H904" s="13" t="n">
        <f aca="false">E904*SQRT(B904/(1-B904))</f>
        <v>-0.0106221414180182</v>
      </c>
      <c r="I904" s="13" t="n">
        <f aca="false">ABS(D904)</f>
        <v>0.210278801988932</v>
      </c>
      <c r="J904" s="6" t="n">
        <f aca="false">IF(B904&gt;$P$4,1,0)</f>
        <v>0</v>
      </c>
      <c r="K904" s="6" t="n">
        <f aca="false">IF(F904&gt;$P$6,1,0)</f>
        <v>0</v>
      </c>
      <c r="L904" s="6" t="n">
        <f aca="false">IF(G904&gt;$P$9,1,0)</f>
        <v>0</v>
      </c>
      <c r="M904" s="6" t="n">
        <f aca="false">IF(ABS(H904)&gt;$P$8,1,0)</f>
        <v>0</v>
      </c>
    </row>
    <row r="905" customFormat="false" ht="15" hidden="false" customHeight="false" outlineLevel="0" collapsed="false">
      <c r="A905" s="0" t="n">
        <f aca="false">ROW()-1</f>
        <v>904</v>
      </c>
      <c r="B905" s="22" t="n">
        <f aca="false">SUMPRODUCT(MMULT('Analysis Data'!N905:U905,'Final Model'!$B$59:$I$66),'Analysis Data'!N905:U905)</f>
        <v>0.00195258481203924</v>
      </c>
      <c r="C905" s="15" t="n">
        <f aca="false">'Residual Diagnostics'!F905</f>
        <v>-1.22920156675383</v>
      </c>
      <c r="D905" s="13" t="n">
        <f aca="false">C905/('Final Model'!$B$21*SQRT(1-B905))</f>
        <v>-0.0250938747986628</v>
      </c>
      <c r="E905" s="13" t="n">
        <f aca="false">D905*SQRT(('Final Model'!$B$24-1)/('Final Model'!$B$24-D905^2))</f>
        <v>-0.025084773698121</v>
      </c>
      <c r="F905" s="23" t="n">
        <f aca="false">D905^2/($P$3+1)*B905/(1-B905)</f>
        <v>1.53994141614559E-007</v>
      </c>
      <c r="G905" s="13" t="n">
        <f aca="false">($P$2-1)*(B905-1/$P$2)</f>
        <v>1.70505146539585</v>
      </c>
      <c r="H905" s="13" t="n">
        <f aca="false">E905*SQRT(B905/(1-B905))</f>
        <v>-0.00110953128848897</v>
      </c>
      <c r="I905" s="13" t="n">
        <f aca="false">ABS(D905)</f>
        <v>0.0250938747986628</v>
      </c>
      <c r="J905" s="6" t="n">
        <f aca="false">IF(B905&gt;$P$4,1,0)</f>
        <v>0</v>
      </c>
      <c r="K905" s="6" t="n">
        <f aca="false">IF(F905&gt;$P$6,1,0)</f>
        <v>0</v>
      </c>
      <c r="L905" s="6" t="n">
        <f aca="false">IF(G905&gt;$P$9,1,0)</f>
        <v>0</v>
      </c>
      <c r="M905" s="6" t="n">
        <f aca="false">IF(ABS(H905)&gt;$P$8,1,0)</f>
        <v>0</v>
      </c>
    </row>
    <row r="906" customFormat="false" ht="15" hidden="false" customHeight="false" outlineLevel="0" collapsed="false">
      <c r="A906" s="0" t="n">
        <f aca="false">ROW()-1</f>
        <v>905</v>
      </c>
      <c r="B906" s="22" t="n">
        <f aca="false">SUMPRODUCT(MMULT('Analysis Data'!N906:U906,'Final Model'!$B$59:$I$66),'Analysis Data'!N906:U906)</f>
        <v>0.00195361226835405</v>
      </c>
      <c r="C906" s="15" t="n">
        <f aca="false">'Residual Diagnostics'!F906</f>
        <v>-20.7291712993386</v>
      </c>
      <c r="D906" s="13" t="n">
        <f aca="false">C906/('Final Model'!$B$21*SQRT(1-B906))</f>
        <v>-0.423181609173371</v>
      </c>
      <c r="E906" s="13" t="n">
        <f aca="false">D906*SQRT(('Final Model'!$B$24-1)/('Final Model'!$B$24-D906^2))</f>
        <v>-0.423055522803417</v>
      </c>
      <c r="F906" s="23" t="n">
        <f aca="false">D906^2/($P$3+1)*B906/(1-B906)</f>
        <v>4.38178668278687E-005</v>
      </c>
      <c r="G906" s="13" t="n">
        <f aca="false">($P$2-1)*(B906-1/$P$2)</f>
        <v>1.70647449239186</v>
      </c>
      <c r="H906" s="13" t="n">
        <f aca="false">E906*SQRT(B906/(1-B906))</f>
        <v>-0.0187172134193466</v>
      </c>
      <c r="I906" s="13" t="n">
        <f aca="false">ABS(D906)</f>
        <v>0.423181609173371</v>
      </c>
      <c r="J906" s="6" t="n">
        <f aca="false">IF(B906&gt;$P$4,1,0)</f>
        <v>0</v>
      </c>
      <c r="K906" s="6" t="n">
        <f aca="false">IF(F906&gt;$P$6,1,0)</f>
        <v>0</v>
      </c>
      <c r="L906" s="6" t="n">
        <f aca="false">IF(G906&gt;$P$9,1,0)</f>
        <v>0</v>
      </c>
      <c r="M906" s="6" t="n">
        <f aca="false">IF(ABS(H906)&gt;$P$8,1,0)</f>
        <v>0</v>
      </c>
    </row>
    <row r="907" customFormat="false" ht="15" hidden="false" customHeight="false" outlineLevel="0" collapsed="false">
      <c r="A907" s="0" t="n">
        <f aca="false">ROW()-1</f>
        <v>906</v>
      </c>
      <c r="B907" s="22" t="n">
        <f aca="false">SUMPRODUCT(MMULT('Analysis Data'!N907:U907,'Final Model'!$B$59:$I$66),'Analysis Data'!N907:U907)</f>
        <v>0.00381617616902179</v>
      </c>
      <c r="C907" s="15" t="n">
        <f aca="false">'Residual Diagnostics'!F907</f>
        <v>-16.757434653465</v>
      </c>
      <c r="D907" s="13" t="n">
        <f aca="false">C907/('Final Model'!$B$21*SQRT(1-B907))</f>
        <v>-0.342419115136447</v>
      </c>
      <c r="E907" s="13" t="n">
        <f aca="false">D907*SQRT(('Final Model'!$B$24-1)/('Final Model'!$B$24-D907^2))</f>
        <v>-0.342309411095515</v>
      </c>
      <c r="F907" s="23" t="n">
        <f aca="false">D907^2/($P$3+1)*B907/(1-B907)</f>
        <v>5.61454987562686E-005</v>
      </c>
      <c r="G907" s="13" t="n">
        <f aca="false">($P$2-1)*(B907-1/$P$2)</f>
        <v>4.28612549481668</v>
      </c>
      <c r="H907" s="13" t="n">
        <f aca="false">E907*SQRT(B907/(1-B907))</f>
        <v>-0.0211866993736036</v>
      </c>
      <c r="I907" s="13" t="n">
        <f aca="false">ABS(D907)</f>
        <v>0.342419115136447</v>
      </c>
      <c r="J907" s="6" t="n">
        <f aca="false">IF(B907&gt;$P$4,1,0)</f>
        <v>0</v>
      </c>
      <c r="K907" s="6" t="n">
        <f aca="false">IF(F907&gt;$P$6,1,0)</f>
        <v>0</v>
      </c>
      <c r="L907" s="6" t="n">
        <f aca="false">IF(G907&gt;$P$9,1,0)</f>
        <v>0</v>
      </c>
      <c r="M907" s="6" t="n">
        <f aca="false">IF(ABS(H907)&gt;$P$8,1,0)</f>
        <v>0</v>
      </c>
    </row>
    <row r="908" customFormat="false" ht="15" hidden="false" customHeight="false" outlineLevel="0" collapsed="false">
      <c r="A908" s="0" t="n">
        <f aca="false">ROW()-1</f>
        <v>907</v>
      </c>
      <c r="B908" s="22" t="n">
        <f aca="false">SUMPRODUCT(MMULT('Analysis Data'!N908:U908,'Final Model'!$B$59:$I$66),'Analysis Data'!N908:U908)</f>
        <v>0.00213996761431895</v>
      </c>
      <c r="C908" s="15" t="n">
        <f aca="false">'Residual Diagnostics'!F908</f>
        <v>50.5580029597348</v>
      </c>
      <c r="D908" s="13" t="n">
        <f aca="false">C908/('Final Model'!$B$21*SQRT(1-B908))</f>
        <v>1.0322272163548</v>
      </c>
      <c r="E908" s="13" t="n">
        <f aca="false">D908*SQRT(('Final Model'!$B$24-1)/('Final Model'!$B$24-D908^2))</f>
        <v>1.03225176468295</v>
      </c>
      <c r="F908" s="23" t="n">
        <f aca="false">D908^2/($P$3+1)*B908/(1-B908)</f>
        <v>0.00028562630220095</v>
      </c>
      <c r="G908" s="13" t="n">
        <f aca="false">($P$2-1)*(B908-1/$P$2)</f>
        <v>1.96457664655325</v>
      </c>
      <c r="H908" s="13" t="n">
        <f aca="false">E908*SQRT(B908/(1-B908))</f>
        <v>0.0478029193951051</v>
      </c>
      <c r="I908" s="13" t="n">
        <f aca="false">ABS(D908)</f>
        <v>1.0322272163548</v>
      </c>
      <c r="J908" s="6" t="n">
        <f aca="false">IF(B908&gt;$P$4,1,0)</f>
        <v>0</v>
      </c>
      <c r="K908" s="6" t="n">
        <f aca="false">IF(F908&gt;$P$6,1,0)</f>
        <v>0</v>
      </c>
      <c r="L908" s="6" t="n">
        <f aca="false">IF(G908&gt;$P$9,1,0)</f>
        <v>0</v>
      </c>
      <c r="M908" s="6" t="n">
        <f aca="false">IF(ABS(H908)&gt;$P$8,1,0)</f>
        <v>0</v>
      </c>
    </row>
    <row r="909" customFormat="false" ht="15" hidden="false" customHeight="false" outlineLevel="0" collapsed="false">
      <c r="A909" s="0" t="n">
        <f aca="false">ROW()-1</f>
        <v>908</v>
      </c>
      <c r="B909" s="22" t="n">
        <f aca="false">SUMPRODUCT(MMULT('Analysis Data'!N909:U909,'Final Model'!$B$59:$I$66),'Analysis Data'!N909:U909)</f>
        <v>0.00207048826846403</v>
      </c>
      <c r="C909" s="15" t="n">
        <f aca="false">'Residual Diagnostics'!F909</f>
        <v>-22.6358216959609</v>
      </c>
      <c r="D909" s="13" t="n">
        <f aca="false">C909/('Final Model'!$B$21*SQRT(1-B909))</f>
        <v>-0.462132529961601</v>
      </c>
      <c r="E909" s="13" t="n">
        <f aca="false">D909*SQRT(('Final Model'!$B$24-1)/('Final Model'!$B$24-D909^2))</f>
        <v>-0.462000619680612</v>
      </c>
      <c r="F909" s="23" t="n">
        <f aca="false">D909^2/($P$3+1)*B909/(1-B909)</f>
        <v>5.53880404804865E-005</v>
      </c>
      <c r="G909" s="13" t="n">
        <f aca="false">($P$2-1)*(B909-1/$P$2)</f>
        <v>1.86834775254418</v>
      </c>
      <c r="H909" s="13" t="n">
        <f aca="false">E909*SQRT(B909/(1-B909))</f>
        <v>-0.0210440348350291</v>
      </c>
      <c r="I909" s="13" t="n">
        <f aca="false">ABS(D909)</f>
        <v>0.462132529961601</v>
      </c>
      <c r="J909" s="6" t="n">
        <f aca="false">IF(B909&gt;$P$4,1,0)</f>
        <v>0</v>
      </c>
      <c r="K909" s="6" t="n">
        <f aca="false">IF(F909&gt;$P$6,1,0)</f>
        <v>0</v>
      </c>
      <c r="L909" s="6" t="n">
        <f aca="false">IF(G909&gt;$P$9,1,0)</f>
        <v>0</v>
      </c>
      <c r="M909" s="6" t="n">
        <f aca="false">IF(ABS(H909)&gt;$P$8,1,0)</f>
        <v>0</v>
      </c>
    </row>
    <row r="910" customFormat="false" ht="15" hidden="false" customHeight="false" outlineLevel="0" collapsed="false">
      <c r="A910" s="0" t="n">
        <f aca="false">ROW()-1</f>
        <v>909</v>
      </c>
      <c r="B910" s="22" t="n">
        <f aca="false">SUMPRODUCT(MMULT('Analysis Data'!N910:U910,'Final Model'!$B$59:$I$66),'Analysis Data'!N910:U910)</f>
        <v>0.00321484752581272</v>
      </c>
      <c r="C910" s="15" t="n">
        <f aca="false">'Residual Diagnostics'!F910</f>
        <v>-29.560139495028</v>
      </c>
      <c r="D910" s="13" t="n">
        <f aca="false">C910/('Final Model'!$B$21*SQRT(1-B910))</f>
        <v>-0.603845602339185</v>
      </c>
      <c r="E910" s="13" t="n">
        <f aca="false">D910*SQRT(('Final Model'!$B$24-1)/('Final Model'!$B$24-D910^2))</f>
        <v>-0.603706338376171</v>
      </c>
      <c r="F910" s="23" t="n">
        <f aca="false">D910^2/($P$3+1)*B910/(1-B910)</f>
        <v>0.000147001121538061</v>
      </c>
      <c r="G910" s="13" t="n">
        <f aca="false">($P$2-1)*(B910-1/$P$2)</f>
        <v>3.45328532397212</v>
      </c>
      <c r="H910" s="13" t="n">
        <f aca="false">E910*SQRT(B910/(1-B910))</f>
        <v>-0.0342850782797812</v>
      </c>
      <c r="I910" s="13" t="n">
        <f aca="false">ABS(D910)</f>
        <v>0.603845602339185</v>
      </c>
      <c r="J910" s="6" t="n">
        <f aca="false">IF(B910&gt;$P$4,1,0)</f>
        <v>0</v>
      </c>
      <c r="K910" s="6" t="n">
        <f aca="false">IF(F910&gt;$P$6,1,0)</f>
        <v>0</v>
      </c>
      <c r="L910" s="6" t="n">
        <f aca="false">IF(G910&gt;$P$9,1,0)</f>
        <v>0</v>
      </c>
      <c r="M910" s="6" t="n">
        <f aca="false">IF(ABS(H910)&gt;$P$8,1,0)</f>
        <v>0</v>
      </c>
    </row>
    <row r="911" customFormat="false" ht="15" hidden="false" customHeight="false" outlineLevel="0" collapsed="false">
      <c r="A911" s="0" t="n">
        <f aca="false">ROW()-1</f>
        <v>910</v>
      </c>
      <c r="B911" s="22" t="n">
        <f aca="false">SUMPRODUCT(MMULT('Analysis Data'!N911:U911,'Final Model'!$B$59:$I$66),'Analysis Data'!N911:U911)</f>
        <v>0.0025121053142107</v>
      </c>
      <c r="C911" s="15" t="n">
        <f aca="false">'Residual Diagnostics'!F911</f>
        <v>-8.10548478210868</v>
      </c>
      <c r="D911" s="13" t="n">
        <f aca="false">C911/('Final Model'!$B$21*SQRT(1-B911))</f>
        <v>-0.165518059687563</v>
      </c>
      <c r="E911" s="13" t="n">
        <f aca="false">D911*SQRT(('Final Model'!$B$24-1)/('Final Model'!$B$24-D911^2))</f>
        <v>-0.165459636209043</v>
      </c>
      <c r="F911" s="23" t="n">
        <f aca="false">D911^2/($P$3+1)*B911/(1-B911)</f>
        <v>8.62444177551244E-006</v>
      </c>
      <c r="G911" s="13" t="n">
        <f aca="false">($P$2-1)*(B911-1/$P$2)</f>
        <v>2.47998736090332</v>
      </c>
      <c r="H911" s="13" t="n">
        <f aca="false">E911*SQRT(B911/(1-B911))</f>
        <v>-0.00830342312654787</v>
      </c>
      <c r="I911" s="13" t="n">
        <f aca="false">ABS(D911)</f>
        <v>0.165518059687563</v>
      </c>
      <c r="J911" s="6" t="n">
        <f aca="false">IF(B911&gt;$P$4,1,0)</f>
        <v>0</v>
      </c>
      <c r="K911" s="6" t="n">
        <f aca="false">IF(F911&gt;$P$6,1,0)</f>
        <v>0</v>
      </c>
      <c r="L911" s="6" t="n">
        <f aca="false">IF(G911&gt;$P$9,1,0)</f>
        <v>0</v>
      </c>
      <c r="M911" s="6" t="n">
        <f aca="false">IF(ABS(H911)&gt;$P$8,1,0)</f>
        <v>0</v>
      </c>
    </row>
    <row r="912" customFormat="false" ht="15" hidden="false" customHeight="false" outlineLevel="0" collapsed="false">
      <c r="A912" s="0" t="n">
        <f aca="false">ROW()-1</f>
        <v>911</v>
      </c>
      <c r="B912" s="22" t="n">
        <f aca="false">SUMPRODUCT(MMULT('Analysis Data'!N912:U912,'Final Model'!$B$59:$I$66),'Analysis Data'!N912:U912)</f>
        <v>0.00297351515022199</v>
      </c>
      <c r="C912" s="15" t="n">
        <f aca="false">'Residual Diagnostics'!F912</f>
        <v>-31.4661275531448</v>
      </c>
      <c r="D912" s="13" t="n">
        <f aca="false">C912/('Final Model'!$B$21*SQRT(1-B912))</f>
        <v>-0.642702752869379</v>
      </c>
      <c r="E912" s="13" t="n">
        <f aca="false">D912*SQRT(('Final Model'!$B$24-1)/('Final Model'!$B$24-D912^2))</f>
        <v>-0.642565823669346</v>
      </c>
      <c r="F912" s="23" t="n">
        <f aca="false">D912^2/($P$3+1)*B912/(1-B912)</f>
        <v>0.000153990452034027</v>
      </c>
      <c r="G912" s="13" t="n">
        <f aca="false">($P$2-1)*(B912-1/$P$2)</f>
        <v>3.11903998377896</v>
      </c>
      <c r="H912" s="13" t="n">
        <f aca="false">E912*SQRT(B912/(1-B912))</f>
        <v>-0.0350912915728835</v>
      </c>
      <c r="I912" s="13" t="n">
        <f aca="false">ABS(D912)</f>
        <v>0.642702752869379</v>
      </c>
      <c r="J912" s="6" t="n">
        <f aca="false">IF(B912&gt;$P$4,1,0)</f>
        <v>0</v>
      </c>
      <c r="K912" s="6" t="n">
        <f aca="false">IF(F912&gt;$P$6,1,0)</f>
        <v>0</v>
      </c>
      <c r="L912" s="6" t="n">
        <f aca="false">IF(G912&gt;$P$9,1,0)</f>
        <v>0</v>
      </c>
      <c r="M912" s="6" t="n">
        <f aca="false">IF(ABS(H912)&gt;$P$8,1,0)</f>
        <v>0</v>
      </c>
    </row>
    <row r="913" customFormat="false" ht="15" hidden="false" customHeight="false" outlineLevel="0" collapsed="false">
      <c r="A913" s="0" t="n">
        <f aca="false">ROW()-1</f>
        <v>912</v>
      </c>
      <c r="B913" s="22" t="n">
        <f aca="false">SUMPRODUCT(MMULT('Analysis Data'!N913:U913,'Final Model'!$B$59:$I$66),'Analysis Data'!N913:U913)</f>
        <v>0.00827476458990288</v>
      </c>
      <c r="C913" s="15" t="n">
        <f aca="false">'Residual Diagnostics'!F913</f>
        <v>0.0571327073137127</v>
      </c>
      <c r="D913" s="13" t="n">
        <f aca="false">C913/('Final Model'!$B$21*SQRT(1-B913))</f>
        <v>0.00117006322789117</v>
      </c>
      <c r="E913" s="13" t="n">
        <f aca="false">D913*SQRT(('Final Model'!$B$24-1)/('Final Model'!$B$24-D913^2))</f>
        <v>0.00116963860017735</v>
      </c>
      <c r="F913" s="23" t="n">
        <f aca="false">D913^2/($P$3+1)*B913/(1-B913)</f>
        <v>1.42788409961594E-009</v>
      </c>
      <c r="G913" s="13" t="n">
        <f aca="false">($P$2-1)*(B913-1/$P$2)</f>
        <v>10.461270457737</v>
      </c>
      <c r="H913" s="13" t="n">
        <f aca="false">E913*SQRT(B913/(1-B913))</f>
        <v>0.000106839988793371</v>
      </c>
      <c r="I913" s="13" t="n">
        <f aca="false">ABS(D913)</f>
        <v>0.00117006322789117</v>
      </c>
      <c r="J913" s="6" t="n">
        <f aca="false">IF(B913&gt;$P$4,1,0)</f>
        <v>0</v>
      </c>
      <c r="K913" s="6" t="n">
        <f aca="false">IF(F913&gt;$P$6,1,0)</f>
        <v>0</v>
      </c>
      <c r="L913" s="6" t="n">
        <f aca="false">IF(G913&gt;$P$9,1,0)</f>
        <v>1</v>
      </c>
      <c r="M913" s="6" t="n">
        <f aca="false">IF(ABS(H913)&gt;$P$8,1,0)</f>
        <v>0</v>
      </c>
    </row>
    <row r="914" customFormat="false" ht="15" hidden="false" customHeight="false" outlineLevel="0" collapsed="false">
      <c r="A914" s="0" t="n">
        <f aca="false">ROW()-1</f>
        <v>913</v>
      </c>
      <c r="B914" s="22" t="n">
        <f aca="false">SUMPRODUCT(MMULT('Analysis Data'!N914:U914,'Final Model'!$B$59:$I$66),'Analysis Data'!N914:U914)</f>
        <v>0.00827476458990288</v>
      </c>
      <c r="C914" s="15" t="n">
        <f aca="false">'Residual Diagnostics'!F914</f>
        <v>50.6470803207815</v>
      </c>
      <c r="D914" s="13" t="n">
        <f aca="false">C914/('Final Model'!$B$21*SQRT(1-B914))</f>
        <v>1.03723924647929</v>
      </c>
      <c r="E914" s="13" t="n">
        <f aca="false">D914*SQRT(('Final Model'!$B$24-1)/('Final Model'!$B$24-D914^2))</f>
        <v>1.03726782079703</v>
      </c>
      <c r="F914" s="23" t="n">
        <f aca="false">D914^2/($P$3+1)*B914/(1-B914)</f>
        <v>0.00112210159037147</v>
      </c>
      <c r="G914" s="13" t="n">
        <f aca="false">($P$2-1)*(B914-1/$P$2)</f>
        <v>10.461270457737</v>
      </c>
      <c r="H914" s="13" t="n">
        <f aca="false">E914*SQRT(B914/(1-B914))</f>
        <v>0.0947486534155719</v>
      </c>
      <c r="I914" s="13" t="n">
        <f aca="false">ABS(D914)</f>
        <v>1.03723924647929</v>
      </c>
      <c r="J914" s="6" t="n">
        <f aca="false">IF(B914&gt;$P$4,1,0)</f>
        <v>0</v>
      </c>
      <c r="K914" s="6" t="n">
        <f aca="false">IF(F914&gt;$P$6,1,0)</f>
        <v>0</v>
      </c>
      <c r="L914" s="6" t="n">
        <f aca="false">IF(G914&gt;$P$9,1,0)</f>
        <v>1</v>
      </c>
      <c r="M914" s="6" t="n">
        <f aca="false">IF(ABS(H914)&gt;$P$8,1,0)</f>
        <v>0</v>
      </c>
    </row>
    <row r="915" customFormat="false" ht="15" hidden="false" customHeight="false" outlineLevel="0" collapsed="false">
      <c r="A915" s="0" t="n">
        <f aca="false">ROW()-1</f>
        <v>914</v>
      </c>
      <c r="B915" s="22" t="n">
        <f aca="false">SUMPRODUCT(MMULT('Analysis Data'!N915:U915,'Final Model'!$B$59:$I$66),'Analysis Data'!N915:U915)</f>
        <v>0.00226792089668185</v>
      </c>
      <c r="C915" s="15" t="n">
        <f aca="false">'Residual Diagnostics'!F915</f>
        <v>13.5628845651339</v>
      </c>
      <c r="D915" s="13" t="n">
        <f aca="false">C915/('Final Model'!$B$21*SQRT(1-B915))</f>
        <v>0.276927003432402</v>
      </c>
      <c r="E915" s="13" t="n">
        <f aca="false">D915*SQRT(('Final Model'!$B$24-1)/('Final Model'!$B$24-D915^2))</f>
        <v>0.276834207006823</v>
      </c>
      <c r="F915" s="23" t="n">
        <f aca="false">D915^2/($P$3+1)*B915/(1-B915)</f>
        <v>2.17898676488991E-005</v>
      </c>
      <c r="G915" s="13" t="n">
        <f aca="false">($P$2-1)*(B915-1/$P$2)</f>
        <v>2.14179194262586</v>
      </c>
      <c r="H915" s="13" t="n">
        <f aca="false">E915*SQRT(B915/(1-B915))</f>
        <v>0.0131985656225776</v>
      </c>
      <c r="I915" s="13" t="n">
        <f aca="false">ABS(D915)</f>
        <v>0.276927003432402</v>
      </c>
      <c r="J915" s="6" t="n">
        <f aca="false">IF(B915&gt;$P$4,1,0)</f>
        <v>0</v>
      </c>
      <c r="K915" s="6" t="n">
        <f aca="false">IF(F915&gt;$P$6,1,0)</f>
        <v>0</v>
      </c>
      <c r="L915" s="6" t="n">
        <f aca="false">IF(G915&gt;$P$9,1,0)</f>
        <v>0</v>
      </c>
      <c r="M915" s="6" t="n">
        <f aca="false">IF(ABS(H915)&gt;$P$8,1,0)</f>
        <v>0</v>
      </c>
    </row>
    <row r="916" customFormat="false" ht="15" hidden="false" customHeight="false" outlineLevel="0" collapsed="false">
      <c r="A916" s="0" t="n">
        <f aca="false">ROW()-1</f>
        <v>915</v>
      </c>
      <c r="B916" s="22" t="n">
        <f aca="false">SUMPRODUCT(MMULT('Analysis Data'!N916:U916,'Final Model'!$B$59:$I$66),'Analysis Data'!N916:U916)</f>
        <v>0.00193253028231465</v>
      </c>
      <c r="C916" s="15" t="n">
        <f aca="false">'Residual Diagnostics'!F916</f>
        <v>-1.46935724959459</v>
      </c>
      <c r="D916" s="13" t="n">
        <f aca="false">C916/('Final Model'!$B$21*SQRT(1-B916))</f>
        <v>-0.0299962979314169</v>
      </c>
      <c r="E916" s="13" t="n">
        <f aca="false">D916*SQRT(('Final Model'!$B$24-1)/('Final Model'!$B$24-D916^2))</f>
        <v>-0.0299854217479329</v>
      </c>
      <c r="F916" s="23" t="n">
        <f aca="false">D916^2/($P$3+1)*B916/(1-B916)</f>
        <v>2.17776862755872E-007</v>
      </c>
      <c r="G916" s="13" t="n">
        <f aca="false">($P$2-1)*(B916-1/$P$2)</f>
        <v>1.6772759417273</v>
      </c>
      <c r="H916" s="13" t="n">
        <f aca="false">E916*SQRT(B916/(1-B916))</f>
        <v>-0.00131945129956434</v>
      </c>
      <c r="I916" s="13" t="n">
        <f aca="false">ABS(D916)</f>
        <v>0.0299962979314169</v>
      </c>
      <c r="J916" s="6" t="n">
        <f aca="false">IF(B916&gt;$P$4,1,0)</f>
        <v>0</v>
      </c>
      <c r="K916" s="6" t="n">
        <f aca="false">IF(F916&gt;$P$6,1,0)</f>
        <v>0</v>
      </c>
      <c r="L916" s="6" t="n">
        <f aca="false">IF(G916&gt;$P$9,1,0)</f>
        <v>0</v>
      </c>
      <c r="M916" s="6" t="n">
        <f aca="false">IF(ABS(H916)&gt;$P$8,1,0)</f>
        <v>0</v>
      </c>
    </row>
    <row r="917" customFormat="false" ht="15" hidden="false" customHeight="false" outlineLevel="0" collapsed="false">
      <c r="A917" s="0" t="n">
        <f aca="false">ROW()-1</f>
        <v>916</v>
      </c>
      <c r="B917" s="22" t="n">
        <f aca="false">SUMPRODUCT(MMULT('Analysis Data'!N917:U917,'Final Model'!$B$59:$I$66),'Analysis Data'!N917:U917)</f>
        <v>0.00197510677787413</v>
      </c>
      <c r="C917" s="15" t="n">
        <f aca="false">'Residual Diagnostics'!F917</f>
        <v>34.5761834356413</v>
      </c>
      <c r="D917" s="13" t="n">
        <f aca="false">C917/('Final Model'!$B$21*SQRT(1-B917))</f>
        <v>0.705873008540361</v>
      </c>
      <c r="E917" s="13" t="n">
        <f aca="false">D917*SQRT(('Final Model'!$B$24-1)/('Final Model'!$B$24-D917^2))</f>
        <v>0.70574444271171</v>
      </c>
      <c r="F917" s="23" t="n">
        <f aca="false">D917^2/($P$3+1)*B917/(1-B917)</f>
        <v>0.000123257220366197</v>
      </c>
      <c r="G917" s="13" t="n">
        <f aca="false">($P$2-1)*(B917-1/$P$2)</f>
        <v>1.73624438807717</v>
      </c>
      <c r="H917" s="13" t="n">
        <f aca="false">E917*SQRT(B917/(1-B917))</f>
        <v>0.0313958373001071</v>
      </c>
      <c r="I917" s="13" t="n">
        <f aca="false">ABS(D917)</f>
        <v>0.705873008540361</v>
      </c>
      <c r="J917" s="6" t="n">
        <f aca="false">IF(B917&gt;$P$4,1,0)</f>
        <v>0</v>
      </c>
      <c r="K917" s="6" t="n">
        <f aca="false">IF(F917&gt;$P$6,1,0)</f>
        <v>0</v>
      </c>
      <c r="L917" s="6" t="n">
        <f aca="false">IF(G917&gt;$P$9,1,0)</f>
        <v>0</v>
      </c>
      <c r="M917" s="6" t="n">
        <f aca="false">IF(ABS(H917)&gt;$P$8,1,0)</f>
        <v>0</v>
      </c>
    </row>
    <row r="918" customFormat="false" ht="15" hidden="false" customHeight="false" outlineLevel="0" collapsed="false">
      <c r="A918" s="0" t="n">
        <f aca="false">ROW()-1</f>
        <v>917</v>
      </c>
      <c r="B918" s="22" t="n">
        <f aca="false">SUMPRODUCT(MMULT('Analysis Data'!N918:U918,'Final Model'!$B$59:$I$66),'Analysis Data'!N918:U918)</f>
        <v>0.00195610529532953</v>
      </c>
      <c r="C918" s="15" t="n">
        <f aca="false">'Residual Diagnostics'!F918</f>
        <v>-38.7409513115221</v>
      </c>
      <c r="D918" s="13" t="n">
        <f aca="false">C918/('Final Model'!$B$21*SQRT(1-B918))</f>
        <v>-0.790889242803146</v>
      </c>
      <c r="E918" s="13" t="n">
        <f aca="false">D918*SQRT(('Final Model'!$B$24-1)/('Final Model'!$B$24-D918^2))</f>
        <v>-0.790781718097622</v>
      </c>
      <c r="F918" s="23" t="n">
        <f aca="false">D918^2/($P$3+1)*B918/(1-B918)</f>
        <v>0.000153244161296567</v>
      </c>
      <c r="G918" s="13" t="n">
        <f aca="false">($P$2-1)*(B918-1/$P$2)</f>
        <v>1.7099273347529</v>
      </c>
      <c r="H918" s="13" t="n">
        <f aca="false">E918*SQRT(B918/(1-B918))</f>
        <v>-0.0350088555377353</v>
      </c>
      <c r="I918" s="13" t="n">
        <f aca="false">ABS(D918)</f>
        <v>0.790889242803146</v>
      </c>
      <c r="J918" s="6" t="n">
        <f aca="false">IF(B918&gt;$P$4,1,0)</f>
        <v>0</v>
      </c>
      <c r="K918" s="6" t="n">
        <f aca="false">IF(F918&gt;$P$6,1,0)</f>
        <v>0</v>
      </c>
      <c r="L918" s="6" t="n">
        <f aca="false">IF(G918&gt;$P$9,1,0)</f>
        <v>0</v>
      </c>
      <c r="M918" s="6" t="n">
        <f aca="false">IF(ABS(H918)&gt;$P$8,1,0)</f>
        <v>0</v>
      </c>
    </row>
    <row r="919" customFormat="false" ht="15" hidden="false" customHeight="false" outlineLevel="0" collapsed="false">
      <c r="A919" s="0" t="n">
        <f aca="false">ROW()-1</f>
        <v>918</v>
      </c>
      <c r="B919" s="22" t="n">
        <f aca="false">SUMPRODUCT(MMULT('Analysis Data'!N919:U919,'Final Model'!$B$59:$I$66),'Analysis Data'!N919:U919)</f>
        <v>0.00197510677787413</v>
      </c>
      <c r="C919" s="15" t="n">
        <f aca="false">'Residual Diagnostics'!F919</f>
        <v>22.305906320537</v>
      </c>
      <c r="D919" s="13" t="n">
        <f aca="false">C919/('Final Model'!$B$21*SQRT(1-B919))</f>
        <v>0.455375221849</v>
      </c>
      <c r="E919" s="13" t="n">
        <f aca="false">D919*SQRT(('Final Model'!$B$24-1)/('Final Model'!$B$24-D919^2))</f>
        <v>0.455244216089427</v>
      </c>
      <c r="F919" s="23" t="n">
        <f aca="false">D919^2/($P$3+1)*B919/(1-B919)</f>
        <v>5.12977137991056E-005</v>
      </c>
      <c r="G919" s="13" t="n">
        <f aca="false">($P$2-1)*(B919-1/$P$2)</f>
        <v>1.73624438807717</v>
      </c>
      <c r="H919" s="13" t="n">
        <f aca="false">E919*SQRT(B919/(1-B919))</f>
        <v>0.0202520522658893</v>
      </c>
      <c r="I919" s="13" t="n">
        <f aca="false">ABS(D919)</f>
        <v>0.455375221849</v>
      </c>
      <c r="J919" s="6" t="n">
        <f aca="false">IF(B919&gt;$P$4,1,0)</f>
        <v>0</v>
      </c>
      <c r="K919" s="6" t="n">
        <f aca="false">IF(F919&gt;$P$6,1,0)</f>
        <v>0</v>
      </c>
      <c r="L919" s="6" t="n">
        <f aca="false">IF(G919&gt;$P$9,1,0)</f>
        <v>0</v>
      </c>
      <c r="M919" s="6" t="n">
        <f aca="false">IF(ABS(H919)&gt;$P$8,1,0)</f>
        <v>0</v>
      </c>
    </row>
    <row r="920" customFormat="false" ht="15" hidden="false" customHeight="false" outlineLevel="0" collapsed="false">
      <c r="A920" s="0" t="n">
        <f aca="false">ROW()-1</f>
        <v>919</v>
      </c>
      <c r="B920" s="22" t="n">
        <f aca="false">SUMPRODUCT(MMULT('Analysis Data'!N920:U920,'Final Model'!$B$59:$I$66),'Analysis Data'!N920:U920)</f>
        <v>0.00195684217871729</v>
      </c>
      <c r="C920" s="15" t="n">
        <f aca="false">'Residual Diagnostics'!F920</f>
        <v>-68.2542672637204</v>
      </c>
      <c r="D920" s="13" t="n">
        <f aca="false">C920/('Final Model'!$B$21*SQRT(1-B920))</f>
        <v>-1.39339855772423</v>
      </c>
      <c r="E920" s="13" t="n">
        <f aca="false">D920*SQRT(('Final Model'!$B$24-1)/('Final Model'!$B$24-D920^2))</f>
        <v>-1.39387518840999</v>
      </c>
      <c r="F920" s="23" t="n">
        <f aca="false">D920^2/($P$3+1)*B920/(1-B920)</f>
        <v>0.000475846857409941</v>
      </c>
      <c r="G920" s="13" t="n">
        <f aca="false">($P$2-1)*(B920-1/$P$2)</f>
        <v>1.71094791824494</v>
      </c>
      <c r="H920" s="13" t="n">
        <f aca="false">E920*SQRT(B920/(1-B920))</f>
        <v>-0.0617201719181689</v>
      </c>
      <c r="I920" s="13" t="n">
        <f aca="false">ABS(D920)</f>
        <v>1.39339855772423</v>
      </c>
      <c r="J920" s="6" t="n">
        <f aca="false">IF(B920&gt;$P$4,1,0)</f>
        <v>0</v>
      </c>
      <c r="K920" s="6" t="n">
        <f aca="false">IF(F920&gt;$P$6,1,0)</f>
        <v>0</v>
      </c>
      <c r="L920" s="6" t="n">
        <f aca="false">IF(G920&gt;$P$9,1,0)</f>
        <v>0</v>
      </c>
      <c r="M920" s="6" t="n">
        <f aca="false">IF(ABS(H920)&gt;$P$8,1,0)</f>
        <v>0</v>
      </c>
    </row>
    <row r="921" customFormat="false" ht="15" hidden="false" customHeight="false" outlineLevel="0" collapsed="false">
      <c r="A921" s="0" t="n">
        <f aca="false">ROW()-1</f>
        <v>920</v>
      </c>
      <c r="B921" s="22" t="n">
        <f aca="false">SUMPRODUCT(MMULT('Analysis Data'!N921:U921,'Final Model'!$B$59:$I$66),'Analysis Data'!N921:U921)</f>
        <v>0.00235371863064212</v>
      </c>
      <c r="C921" s="15" t="n">
        <f aca="false">'Residual Diagnostics'!F921</f>
        <v>31.7761864944713</v>
      </c>
      <c r="D921" s="13" t="n">
        <f aca="false">C921/('Final Model'!$B$21*SQRT(1-B921))</f>
        <v>0.648834135771173</v>
      </c>
      <c r="E921" s="13" t="n">
        <f aca="false">D921*SQRT(('Final Model'!$B$24-1)/('Final Model'!$B$24-D921^2))</f>
        <v>0.648697764753471</v>
      </c>
      <c r="F921" s="23" t="n">
        <f aca="false">D921^2/($P$3+1)*B921/(1-B921)</f>
        <v>0.00012415246615392</v>
      </c>
      <c r="G921" s="13" t="n">
        <f aca="false">($P$2-1)*(B921-1/$P$2)</f>
        <v>2.26062180416084</v>
      </c>
      <c r="H921" s="13" t="n">
        <f aca="false">E921*SQRT(B921/(1-B921))</f>
        <v>0.0315087649098194</v>
      </c>
      <c r="I921" s="13" t="n">
        <f aca="false">ABS(D921)</f>
        <v>0.648834135771173</v>
      </c>
      <c r="J921" s="6" t="n">
        <f aca="false">IF(B921&gt;$P$4,1,0)</f>
        <v>0</v>
      </c>
      <c r="K921" s="6" t="n">
        <f aca="false">IF(F921&gt;$P$6,1,0)</f>
        <v>0</v>
      </c>
      <c r="L921" s="6" t="n">
        <f aca="false">IF(G921&gt;$P$9,1,0)</f>
        <v>0</v>
      </c>
      <c r="M921" s="6" t="n">
        <f aca="false">IF(ABS(H921)&gt;$P$8,1,0)</f>
        <v>0</v>
      </c>
    </row>
    <row r="922" customFormat="false" ht="15" hidden="false" customHeight="false" outlineLevel="0" collapsed="false">
      <c r="A922" s="0" t="n">
        <f aca="false">ROW()-1</f>
        <v>921</v>
      </c>
      <c r="B922" s="22" t="n">
        <f aca="false">SUMPRODUCT(MMULT('Analysis Data'!N922:U922,'Final Model'!$B$59:$I$66),'Analysis Data'!N922:U922)</f>
        <v>0.0316832776350361</v>
      </c>
      <c r="C922" s="15" t="n">
        <f aca="false">'Residual Diagnostics'!F922</f>
        <v>-7.51247196582403</v>
      </c>
      <c r="D922" s="13" t="n">
        <f aca="false">C922/('Final Model'!$B$21*SQRT(1-B922))</f>
        <v>-0.155702059526248</v>
      </c>
      <c r="E922" s="13" t="n">
        <f aca="false">D922*SQRT(('Final Model'!$B$24-1)/('Final Model'!$B$24-D922^2))</f>
        <v>-0.155646922758386</v>
      </c>
      <c r="F922" s="23" t="n">
        <f aca="false">D922^2/($P$3+1)*B922/(1-B922)</f>
        <v>9.91542647242726E-005</v>
      </c>
      <c r="G922" s="13" t="n">
        <f aca="false">($P$2-1)*(B922-1/$P$2)</f>
        <v>42.8820610252465</v>
      </c>
      <c r="H922" s="13" t="n">
        <f aca="false">E922*SQRT(B922/(1-B922))</f>
        <v>-0.0281544387561206</v>
      </c>
      <c r="I922" s="13" t="n">
        <f aca="false">ABS(D922)</f>
        <v>0.155702059526248</v>
      </c>
      <c r="J922" s="6" t="n">
        <f aca="false">IF(B922&gt;$P$4,1,0)</f>
        <v>1</v>
      </c>
      <c r="K922" s="6" t="n">
        <f aca="false">IF(F922&gt;$P$6,1,0)</f>
        <v>0</v>
      </c>
      <c r="L922" s="6" t="n">
        <f aca="false">IF(G922&gt;$P$9,1,0)</f>
        <v>1</v>
      </c>
      <c r="M922" s="6" t="n">
        <f aca="false">IF(ABS(H922)&gt;$P$8,1,0)</f>
        <v>0</v>
      </c>
    </row>
    <row r="923" customFormat="false" ht="15" hidden="false" customHeight="false" outlineLevel="0" collapsed="false">
      <c r="A923" s="0" t="n">
        <f aca="false">ROW()-1</f>
        <v>922</v>
      </c>
      <c r="B923" s="22" t="n">
        <f aca="false">SUMPRODUCT(MMULT('Analysis Data'!N923:U923,'Final Model'!$B$59:$I$66),'Analysis Data'!N923:U923)</f>
        <v>0.0298166538856684</v>
      </c>
      <c r="C923" s="15" t="n">
        <f aca="false">'Residual Diagnostics'!F923</f>
        <v>-62.8574866273061</v>
      </c>
      <c r="D923" s="13" t="n">
        <f aca="false">C923/('Final Model'!$B$21*SQRT(1-B923))</f>
        <v>-1.30151840151119</v>
      </c>
      <c r="E923" s="13" t="n">
        <f aca="false">D923*SQRT(('Final Model'!$B$24-1)/('Final Model'!$B$24-D923^2))</f>
        <v>-1.30184648081752</v>
      </c>
      <c r="F923" s="23" t="n">
        <f aca="false">D923^2/($P$3+1)*B923/(1-B923)</f>
        <v>0.0065075232311344</v>
      </c>
      <c r="G923" s="13" t="n">
        <f aca="false">($P$2-1)*(B923-1/$P$2)</f>
        <v>40.2967871323722</v>
      </c>
      <c r="H923" s="13" t="n">
        <f aca="false">E923*SQRT(B923/(1-B923))</f>
        <v>-0.228224528094972</v>
      </c>
      <c r="I923" s="13" t="n">
        <f aca="false">ABS(D923)</f>
        <v>1.30151840151119</v>
      </c>
      <c r="J923" s="6" t="n">
        <f aca="false">IF(B923&gt;$P$4,1,0)</f>
        <v>1</v>
      </c>
      <c r="K923" s="6" t="n">
        <f aca="false">IF(F923&gt;$P$6,1,0)</f>
        <v>1</v>
      </c>
      <c r="L923" s="6" t="n">
        <f aca="false">IF(G923&gt;$P$9,1,0)</f>
        <v>1</v>
      </c>
      <c r="M923" s="6" t="n">
        <f aca="false">IF(ABS(H923)&gt;$P$8,1,0)</f>
        <v>1</v>
      </c>
    </row>
    <row r="924" customFormat="false" ht="15" hidden="false" customHeight="false" outlineLevel="0" collapsed="false">
      <c r="A924" s="0" t="n">
        <f aca="false">ROW()-1</f>
        <v>923</v>
      </c>
      <c r="B924" s="22" t="n">
        <f aca="false">SUMPRODUCT(MMULT('Analysis Data'!N924:U924,'Final Model'!$B$59:$I$66),'Analysis Data'!N924:U924)</f>
        <v>0.0309350472150753</v>
      </c>
      <c r="C924" s="15" t="n">
        <f aca="false">'Residual Diagnostics'!F924</f>
        <v>58.984923739353</v>
      </c>
      <c r="D924" s="13" t="n">
        <f aca="false">C924/('Final Model'!$B$21*SQRT(1-B924))</f>
        <v>1.22203821587275</v>
      </c>
      <c r="E924" s="13" t="n">
        <f aca="false">D924*SQRT(('Final Model'!$B$24-1)/('Final Model'!$B$24-D924^2))</f>
        <v>1.22225720211388</v>
      </c>
      <c r="F924" s="23" t="n">
        <f aca="false">D924^2/($P$3+1)*B924/(1-B924)</f>
        <v>0.00595905623750387</v>
      </c>
      <c r="G924" s="13" t="n">
        <f aca="false">($P$2-1)*(B924-1/$P$2)</f>
        <v>41.8457618936008</v>
      </c>
      <c r="H924" s="13" t="n">
        <f aca="false">E924*SQRT(B924/(1-B924))</f>
        <v>0.218379341976981</v>
      </c>
      <c r="I924" s="13" t="n">
        <f aca="false">ABS(D924)</f>
        <v>1.22203821587275</v>
      </c>
      <c r="J924" s="6" t="n">
        <f aca="false">IF(B924&gt;$P$4,1,0)</f>
        <v>1</v>
      </c>
      <c r="K924" s="6" t="n">
        <f aca="false">IF(F924&gt;$P$6,1,0)</f>
        <v>1</v>
      </c>
      <c r="L924" s="6" t="n">
        <f aca="false">IF(G924&gt;$P$9,1,0)</f>
        <v>1</v>
      </c>
      <c r="M924" s="6" t="n">
        <f aca="false">IF(ABS(H924)&gt;$P$8,1,0)</f>
        <v>1</v>
      </c>
    </row>
    <row r="925" customFormat="false" ht="15" hidden="false" customHeight="false" outlineLevel="0" collapsed="false">
      <c r="A925" s="0" t="n">
        <f aca="false">ROW()-1</f>
        <v>924</v>
      </c>
      <c r="B925" s="22" t="n">
        <f aca="false">SUMPRODUCT(MMULT('Analysis Data'!N925:U925,'Final Model'!$B$59:$I$66),'Analysis Data'!N925:U925)</f>
        <v>0.032704254378361</v>
      </c>
      <c r="C925" s="15" t="n">
        <f aca="false">'Residual Diagnostics'!F925</f>
        <v>13.6270324998846</v>
      </c>
      <c r="D925" s="13" t="n">
        <f aca="false">C925/('Final Model'!$B$21*SQRT(1-B925))</f>
        <v>0.282580286858692</v>
      </c>
      <c r="E925" s="13" t="n">
        <f aca="false">D925*SQRT(('Final Model'!$B$24-1)/('Final Model'!$B$24-D925^2))</f>
        <v>0.282485920281364</v>
      </c>
      <c r="F925" s="23" t="n">
        <f aca="false">D925^2/($P$3+1)*B925/(1-B925)</f>
        <v>0.000337472750249838</v>
      </c>
      <c r="G925" s="13" t="n">
        <f aca="false">($P$2-1)*(B925-1/$P$2)</f>
        <v>44.2961138147514</v>
      </c>
      <c r="H925" s="13" t="n">
        <f aca="false">E925*SQRT(B925/(1-B925))</f>
        <v>0.0519420748515017</v>
      </c>
      <c r="I925" s="13" t="n">
        <f aca="false">ABS(D925)</f>
        <v>0.282580286858692</v>
      </c>
      <c r="J925" s="6" t="n">
        <f aca="false">IF(B925&gt;$P$4,1,0)</f>
        <v>1</v>
      </c>
      <c r="K925" s="6" t="n">
        <f aca="false">IF(F925&gt;$P$6,1,0)</f>
        <v>0</v>
      </c>
      <c r="L925" s="6" t="n">
        <f aca="false">IF(G925&gt;$P$9,1,0)</f>
        <v>1</v>
      </c>
      <c r="M925" s="6" t="n">
        <f aca="false">IF(ABS(H925)&gt;$P$8,1,0)</f>
        <v>0</v>
      </c>
    </row>
    <row r="926" customFormat="false" ht="15" hidden="false" customHeight="false" outlineLevel="0" collapsed="false">
      <c r="A926" s="0" t="n">
        <f aca="false">ROW()-1</f>
        <v>925</v>
      </c>
      <c r="B926" s="22" t="n">
        <f aca="false">SUMPRODUCT(MMULT('Analysis Data'!N926:U926,'Final Model'!$B$59:$I$66),'Analysis Data'!N926:U926)</f>
        <v>0.00230694874348541</v>
      </c>
      <c r="C926" s="15" t="n">
        <f aca="false">'Residual Diagnostics'!F926</f>
        <v>-36.0387011915212</v>
      </c>
      <c r="D926" s="13" t="n">
        <f aca="false">C926/('Final Model'!$B$21*SQRT(1-B926))</f>
        <v>-0.735852663181433</v>
      </c>
      <c r="E926" s="13" t="n">
        <f aca="false">D926*SQRT(('Final Model'!$B$24-1)/('Final Model'!$B$24-D926^2))</f>
        <v>-0.735730179682876</v>
      </c>
      <c r="F926" s="23" t="n">
        <f aca="false">D926^2/($P$3+1)*B926/(1-B926)</f>
        <v>0.00015650663103276</v>
      </c>
      <c r="G926" s="13" t="n">
        <f aca="false">($P$2-1)*(B926-1/$P$2)</f>
        <v>2.19584551044879</v>
      </c>
      <c r="H926" s="13" t="n">
        <f aca="false">E926*SQRT(B926/(1-B926))</f>
        <v>-0.0353784718676737</v>
      </c>
      <c r="I926" s="13" t="n">
        <f aca="false">ABS(D926)</f>
        <v>0.735852663181433</v>
      </c>
      <c r="J926" s="6" t="n">
        <f aca="false">IF(B926&gt;$P$4,1,0)</f>
        <v>0</v>
      </c>
      <c r="K926" s="6" t="n">
        <f aca="false">IF(F926&gt;$P$6,1,0)</f>
        <v>0</v>
      </c>
      <c r="L926" s="6" t="n">
        <f aca="false">IF(G926&gt;$P$9,1,0)</f>
        <v>0</v>
      </c>
      <c r="M926" s="6" t="n">
        <f aca="false">IF(ABS(H926)&gt;$P$8,1,0)</f>
        <v>0</v>
      </c>
    </row>
    <row r="927" customFormat="false" ht="15" hidden="false" customHeight="false" outlineLevel="0" collapsed="false">
      <c r="A927" s="0" t="n">
        <f aca="false">ROW()-1</f>
        <v>926</v>
      </c>
      <c r="B927" s="22" t="n">
        <f aca="false">SUMPRODUCT(MMULT('Analysis Data'!N927:U927,'Final Model'!$B$59:$I$66),'Analysis Data'!N927:U927)</f>
        <v>0.00254698834422375</v>
      </c>
      <c r="C927" s="15" t="n">
        <f aca="false">'Residual Diagnostics'!F927</f>
        <v>22.0297973040794</v>
      </c>
      <c r="D927" s="13" t="n">
        <f aca="false">C927/('Final Model'!$B$21*SQRT(1-B927))</f>
        <v>0.449867362958452</v>
      </c>
      <c r="E927" s="13" t="n">
        <f aca="false">D927*SQRT(('Final Model'!$B$24-1)/('Final Model'!$B$24-D927^2))</f>
        <v>0.449737127988651</v>
      </c>
      <c r="F927" s="23" t="n">
        <f aca="false">D927^2/($P$3+1)*B927/(1-B927)</f>
        <v>6.45971709933983E-005</v>
      </c>
      <c r="G927" s="13" t="n">
        <f aca="false">($P$2-1)*(B927-1/$P$2)</f>
        <v>2.52830035747139</v>
      </c>
      <c r="H927" s="13" t="n">
        <f aca="false">E927*SQRT(B927/(1-B927))</f>
        <v>0.0227261567562632</v>
      </c>
      <c r="I927" s="13" t="n">
        <f aca="false">ABS(D927)</f>
        <v>0.449867362958452</v>
      </c>
      <c r="J927" s="6" t="n">
        <f aca="false">IF(B927&gt;$P$4,1,0)</f>
        <v>0</v>
      </c>
      <c r="K927" s="6" t="n">
        <f aca="false">IF(F927&gt;$P$6,1,0)</f>
        <v>0</v>
      </c>
      <c r="L927" s="6" t="n">
        <f aca="false">IF(G927&gt;$P$9,1,0)</f>
        <v>0</v>
      </c>
      <c r="M927" s="6" t="n">
        <f aca="false">IF(ABS(H927)&gt;$P$8,1,0)</f>
        <v>0</v>
      </c>
    </row>
    <row r="928" customFormat="false" ht="15" hidden="false" customHeight="false" outlineLevel="0" collapsed="false">
      <c r="A928" s="0" t="n">
        <f aca="false">ROW()-1</f>
        <v>927</v>
      </c>
      <c r="B928" s="22" t="n">
        <f aca="false">SUMPRODUCT(MMULT('Analysis Data'!N928:U928,'Final Model'!$B$59:$I$66),'Analysis Data'!N928:U928)</f>
        <v>0.00195361226835405</v>
      </c>
      <c r="C928" s="15" t="n">
        <f aca="false">'Residual Diagnostics'!F928</f>
        <v>100.27105775784</v>
      </c>
      <c r="D928" s="13" t="n">
        <f aca="false">C928/('Final Model'!$B$21*SQRT(1-B928))</f>
        <v>2.04701224968085</v>
      </c>
      <c r="E928" s="13" t="n">
        <f aca="false">D928*SQRT(('Final Model'!$B$24-1)/('Final Model'!$B$24-D928^2))</f>
        <v>2.04938765599901</v>
      </c>
      <c r="F928" s="23" t="n">
        <f aca="false">D928^2/($P$3+1)*B928/(1-B928)</f>
        <v>0.00102527069186373</v>
      </c>
      <c r="G928" s="13" t="n">
        <f aca="false">($P$2-1)*(B928-1/$P$2)</f>
        <v>1.70647449239186</v>
      </c>
      <c r="H928" s="13" t="n">
        <f aca="false">E928*SQRT(B928/(1-B928))</f>
        <v>0.0906709026799118</v>
      </c>
      <c r="I928" s="13" t="n">
        <f aca="false">ABS(D928)</f>
        <v>2.04701224968085</v>
      </c>
      <c r="J928" s="6" t="n">
        <f aca="false">IF(B928&gt;$P$4,1,0)</f>
        <v>0</v>
      </c>
      <c r="K928" s="6" t="n">
        <f aca="false">IF(F928&gt;$P$6,1,0)</f>
        <v>0</v>
      </c>
      <c r="L928" s="6" t="n">
        <f aca="false">IF(G928&gt;$P$9,1,0)</f>
        <v>0</v>
      </c>
      <c r="M928" s="6" t="n">
        <f aca="false">IF(ABS(H928)&gt;$P$8,1,0)</f>
        <v>0</v>
      </c>
    </row>
    <row r="929" customFormat="false" ht="15" hidden="false" customHeight="false" outlineLevel="0" collapsed="false">
      <c r="A929" s="0" t="n">
        <f aca="false">ROW()-1</f>
        <v>928</v>
      </c>
      <c r="B929" s="22" t="n">
        <f aca="false">SUMPRODUCT(MMULT('Analysis Data'!N929:U929,'Final Model'!$B$59:$I$66),'Analysis Data'!N929:U929)</f>
        <v>0.00214314543186907</v>
      </c>
      <c r="C929" s="15" t="n">
        <f aca="false">'Residual Diagnostics'!F929</f>
        <v>54.9530080536482</v>
      </c>
      <c r="D929" s="13" t="n">
        <f aca="false">C929/('Final Model'!$B$21*SQRT(1-B929))</f>
        <v>1.12196047184588</v>
      </c>
      <c r="E929" s="13" t="n">
        <f aca="false">D929*SQRT(('Final Model'!$B$24-1)/('Final Model'!$B$24-D929^2))</f>
        <v>1.12206591811729</v>
      </c>
      <c r="F929" s="23" t="n">
        <f aca="false">D929^2/($P$3+1)*B929/(1-B929)</f>
        <v>0.000337946944159285</v>
      </c>
      <c r="G929" s="13" t="n">
        <f aca="false">($P$2-1)*(B929-1/$P$2)</f>
        <v>1.96897792386016</v>
      </c>
      <c r="H929" s="13" t="n">
        <f aca="false">E929*SQRT(B929/(1-B929))</f>
        <v>0.0520008054028759</v>
      </c>
      <c r="I929" s="13" t="n">
        <f aca="false">ABS(D929)</f>
        <v>1.12196047184588</v>
      </c>
      <c r="J929" s="6" t="n">
        <f aca="false">IF(B929&gt;$P$4,1,0)</f>
        <v>0</v>
      </c>
      <c r="K929" s="6" t="n">
        <f aca="false">IF(F929&gt;$P$6,1,0)</f>
        <v>0</v>
      </c>
      <c r="L929" s="6" t="n">
        <f aca="false">IF(G929&gt;$P$9,1,0)</f>
        <v>0</v>
      </c>
      <c r="M929" s="6" t="n">
        <f aca="false">IF(ABS(H929)&gt;$P$8,1,0)</f>
        <v>0</v>
      </c>
    </row>
    <row r="930" customFormat="false" ht="15" hidden="false" customHeight="false" outlineLevel="0" collapsed="false">
      <c r="A930" s="0" t="n">
        <f aca="false">ROW()-1</f>
        <v>929</v>
      </c>
      <c r="B930" s="22" t="n">
        <f aca="false">SUMPRODUCT(MMULT('Analysis Data'!N930:U930,'Final Model'!$B$59:$I$66),'Analysis Data'!N930:U930)</f>
        <v>0.00195361226835405</v>
      </c>
      <c r="C930" s="15" t="n">
        <f aca="false">'Residual Diagnostics'!F930</f>
        <v>25.7757420905151</v>
      </c>
      <c r="D930" s="13" t="n">
        <f aca="false">C930/('Final Model'!$B$21*SQRT(1-B930))</f>
        <v>0.526206275108065</v>
      </c>
      <c r="E930" s="13" t="n">
        <f aca="false">D930*SQRT(('Final Model'!$B$24-1)/('Final Model'!$B$24-D930^2))</f>
        <v>0.526068165586474</v>
      </c>
      <c r="F930" s="23" t="n">
        <f aca="false">D930^2/($P$3+1)*B930/(1-B930)</f>
        <v>6.77500633184078E-005</v>
      </c>
      <c r="G930" s="13" t="n">
        <f aca="false">($P$2-1)*(B930-1/$P$2)</f>
        <v>1.70647449239186</v>
      </c>
      <c r="H930" s="13" t="n">
        <f aca="false">E930*SQRT(B930/(1-B930))</f>
        <v>0.0232747939635848</v>
      </c>
      <c r="I930" s="13" t="n">
        <f aca="false">ABS(D930)</f>
        <v>0.526206275108065</v>
      </c>
      <c r="J930" s="6" t="n">
        <f aca="false">IF(B930&gt;$P$4,1,0)</f>
        <v>0</v>
      </c>
      <c r="K930" s="6" t="n">
        <f aca="false">IF(F930&gt;$P$6,1,0)</f>
        <v>0</v>
      </c>
      <c r="L930" s="6" t="n">
        <f aca="false">IF(G930&gt;$P$9,1,0)</f>
        <v>0</v>
      </c>
      <c r="M930" s="6" t="n">
        <f aca="false">IF(ABS(H930)&gt;$P$8,1,0)</f>
        <v>0</v>
      </c>
    </row>
    <row r="931" customFormat="false" ht="15" hidden="false" customHeight="false" outlineLevel="0" collapsed="false">
      <c r="A931" s="0" t="n">
        <f aca="false">ROW()-1</f>
        <v>930</v>
      </c>
      <c r="B931" s="22" t="n">
        <f aca="false">SUMPRODUCT(MMULT('Analysis Data'!N931:U931,'Final Model'!$B$59:$I$66),'Analysis Data'!N931:U931)</f>
        <v>0.00254698834422375</v>
      </c>
      <c r="C931" s="15" t="n">
        <f aca="false">'Residual Diagnostics'!F931</f>
        <v>-13.5731705875615</v>
      </c>
      <c r="D931" s="13" t="n">
        <f aca="false">C931/('Final Model'!$B$21*SQRT(1-B931))</f>
        <v>-0.277175789451356</v>
      </c>
      <c r="E931" s="13" t="n">
        <f aca="false">D931*SQRT(('Final Model'!$B$24-1)/('Final Model'!$B$24-D931^2))</f>
        <v>-0.27708292351946</v>
      </c>
      <c r="F931" s="23" t="n">
        <f aca="false">D931^2/($P$3+1)*B931/(1-B931)</f>
        <v>2.45219561153458E-005</v>
      </c>
      <c r="G931" s="13" t="n">
        <f aca="false">($P$2-1)*(B931-1/$P$2)</f>
        <v>2.52830035747139</v>
      </c>
      <c r="H931" s="13" t="n">
        <f aca="false">E931*SQRT(B931/(1-B931))</f>
        <v>-0.0140015790614153</v>
      </c>
      <c r="I931" s="13" t="n">
        <f aca="false">ABS(D931)</f>
        <v>0.277175789451356</v>
      </c>
      <c r="J931" s="6" t="n">
        <f aca="false">IF(B931&gt;$P$4,1,0)</f>
        <v>0</v>
      </c>
      <c r="K931" s="6" t="n">
        <f aca="false">IF(F931&gt;$P$6,1,0)</f>
        <v>0</v>
      </c>
      <c r="L931" s="6" t="n">
        <f aca="false">IF(G931&gt;$P$9,1,0)</f>
        <v>0</v>
      </c>
      <c r="M931" s="6" t="n">
        <f aca="false">IF(ABS(H931)&gt;$P$8,1,0)</f>
        <v>0</v>
      </c>
    </row>
    <row r="932" customFormat="false" ht="15" hidden="false" customHeight="false" outlineLevel="0" collapsed="false">
      <c r="A932" s="0" t="n">
        <f aca="false">ROW()-1</f>
        <v>931</v>
      </c>
      <c r="B932" s="22" t="n">
        <f aca="false">SUMPRODUCT(MMULT('Analysis Data'!N932:U932,'Final Model'!$B$59:$I$66),'Analysis Data'!N932:U932)</f>
        <v>0.00198286964009053</v>
      </c>
      <c r="C932" s="15" t="n">
        <f aca="false">'Residual Diagnostics'!F932</f>
        <v>81.4343751690069</v>
      </c>
      <c r="D932" s="13" t="n">
        <f aca="false">C932/('Final Model'!$B$21*SQRT(1-B932))</f>
        <v>1.66248976156349</v>
      </c>
      <c r="E932" s="13" t="n">
        <f aca="false">D932*SQRT(('Final Model'!$B$24-1)/('Final Model'!$B$24-D932^2))</f>
        <v>1.66355557119113</v>
      </c>
      <c r="F932" s="23" t="n">
        <f aca="false">D932^2/($P$3+1)*B932/(1-B932)</f>
        <v>0.000686410849352806</v>
      </c>
      <c r="G932" s="13" t="n">
        <f aca="false">($P$2-1)*(B932-1/$P$2)</f>
        <v>1.74699595224689</v>
      </c>
      <c r="H932" s="13" t="n">
        <f aca="false">E932*SQRT(B932/(1-B932))</f>
        <v>0.0741507241819279</v>
      </c>
      <c r="I932" s="13" t="n">
        <f aca="false">ABS(D932)</f>
        <v>1.66248976156349</v>
      </c>
      <c r="J932" s="6" t="n">
        <f aca="false">IF(B932&gt;$P$4,1,0)</f>
        <v>0</v>
      </c>
      <c r="K932" s="6" t="n">
        <f aca="false">IF(F932&gt;$P$6,1,0)</f>
        <v>0</v>
      </c>
      <c r="L932" s="6" t="n">
        <f aca="false">IF(G932&gt;$P$9,1,0)</f>
        <v>0</v>
      </c>
      <c r="M932" s="6" t="n">
        <f aca="false">IF(ABS(H932)&gt;$P$8,1,0)</f>
        <v>0</v>
      </c>
    </row>
    <row r="933" customFormat="false" ht="15" hidden="false" customHeight="false" outlineLevel="0" collapsed="false">
      <c r="A933" s="0" t="n">
        <f aca="false">ROW()-1</f>
        <v>932</v>
      </c>
      <c r="B933" s="22" t="n">
        <f aca="false">SUMPRODUCT(MMULT('Analysis Data'!N933:U933,'Final Model'!$B$59:$I$66),'Analysis Data'!N933:U933)</f>
        <v>0.00251740167680329</v>
      </c>
      <c r="C933" s="15" t="n">
        <f aca="false">'Residual Diagnostics'!F933</f>
        <v>63.1084263757705</v>
      </c>
      <c r="D933" s="13" t="n">
        <f aca="false">C933/('Final Model'!$B$21*SQRT(1-B933))</f>
        <v>1.28870910204969</v>
      </c>
      <c r="E933" s="13" t="n">
        <f aca="false">D933*SQRT(('Final Model'!$B$24-1)/('Final Model'!$B$24-D933^2))</f>
        <v>1.28901841518878</v>
      </c>
      <c r="F933" s="23" t="n">
        <f aca="false">D933^2/($P$3+1)*B933/(1-B933)</f>
        <v>0.000523922432842914</v>
      </c>
      <c r="G933" s="13" t="n">
        <f aca="false">($P$2-1)*(B933-1/$P$2)</f>
        <v>2.48732282309406</v>
      </c>
      <c r="H933" s="13" t="n">
        <f aca="false">E933*SQRT(B933/(1-B933))</f>
        <v>0.0647564028931438</v>
      </c>
      <c r="I933" s="13" t="n">
        <f aca="false">ABS(D933)</f>
        <v>1.28870910204969</v>
      </c>
      <c r="J933" s="6" t="n">
        <f aca="false">IF(B933&gt;$P$4,1,0)</f>
        <v>0</v>
      </c>
      <c r="K933" s="6" t="n">
        <f aca="false">IF(F933&gt;$P$6,1,0)</f>
        <v>0</v>
      </c>
      <c r="L933" s="6" t="n">
        <f aca="false">IF(G933&gt;$P$9,1,0)</f>
        <v>0</v>
      </c>
      <c r="M933" s="6" t="n">
        <f aca="false">IF(ABS(H933)&gt;$P$8,1,0)</f>
        <v>0</v>
      </c>
    </row>
    <row r="934" customFormat="false" ht="15" hidden="false" customHeight="false" outlineLevel="0" collapsed="false">
      <c r="A934" s="0" t="n">
        <f aca="false">ROW()-1</f>
        <v>933</v>
      </c>
      <c r="B934" s="22" t="n">
        <f aca="false">SUMPRODUCT(MMULT('Analysis Data'!N934:U934,'Final Model'!$B$59:$I$66),'Analysis Data'!N934:U934)</f>
        <v>0.00288789010477216</v>
      </c>
      <c r="C934" s="15" t="n">
        <f aca="false">'Residual Diagnostics'!F934</f>
        <v>7.41332831761969</v>
      </c>
      <c r="D934" s="13" t="n">
        <f aca="false">C934/('Final Model'!$B$21*SQRT(1-B934))</f>
        <v>0.151412401520353</v>
      </c>
      <c r="E934" s="13" t="n">
        <f aca="false">D934*SQRT(('Final Model'!$B$24-1)/('Final Model'!$B$24-D934^2))</f>
        <v>0.151358711440556</v>
      </c>
      <c r="F934" s="23" t="n">
        <f aca="false">D934^2/($P$3+1)*B934/(1-B934)</f>
        <v>8.29983732537639E-006</v>
      </c>
      <c r="G934" s="13" t="n">
        <f aca="false">($P$2-1)*(B934-1/$P$2)</f>
        <v>3.00044929583094</v>
      </c>
      <c r="H934" s="13" t="n">
        <f aca="false">E934*SQRT(B934/(1-B934))</f>
        <v>0.00814565022937972</v>
      </c>
      <c r="I934" s="13" t="n">
        <f aca="false">ABS(D934)</f>
        <v>0.151412401520353</v>
      </c>
      <c r="J934" s="6" t="n">
        <f aca="false">IF(B934&gt;$P$4,1,0)</f>
        <v>0</v>
      </c>
      <c r="K934" s="6" t="n">
        <f aca="false">IF(F934&gt;$P$6,1,0)</f>
        <v>0</v>
      </c>
      <c r="L934" s="6" t="n">
        <f aca="false">IF(G934&gt;$P$9,1,0)</f>
        <v>0</v>
      </c>
      <c r="M934" s="6" t="n">
        <f aca="false">IF(ABS(H934)&gt;$P$8,1,0)</f>
        <v>0</v>
      </c>
    </row>
    <row r="935" customFormat="false" ht="15" hidden="false" customHeight="false" outlineLevel="0" collapsed="false">
      <c r="A935" s="0" t="n">
        <f aca="false">ROW()-1</f>
        <v>934</v>
      </c>
      <c r="B935" s="22" t="n">
        <f aca="false">SUMPRODUCT(MMULT('Analysis Data'!N935:U935,'Final Model'!$B$59:$I$66),'Analysis Data'!N935:U935)</f>
        <v>0.0024490866492658</v>
      </c>
      <c r="C935" s="15" t="n">
        <f aca="false">'Residual Diagnostics'!F935</f>
        <v>-90.2445696462513</v>
      </c>
      <c r="D935" s="13" t="n">
        <f aca="false">C935/('Final Model'!$B$21*SQRT(1-B935))</f>
        <v>-1.84278111001463</v>
      </c>
      <c r="E935" s="13" t="n">
        <f aca="false">D935*SQRT(('Final Model'!$B$24-1)/('Final Model'!$B$24-D935^2))</f>
        <v>-1.84438633238609</v>
      </c>
      <c r="F935" s="23" t="n">
        <f aca="false">D935^2/($P$3+1)*B935/(1-B935)</f>
        <v>0.0010421412746087</v>
      </c>
      <c r="G935" s="13" t="n">
        <f aca="false">($P$2-1)*(B935-1/$P$2)</f>
        <v>2.39270650995463</v>
      </c>
      <c r="H935" s="13" t="n">
        <f aca="false">E935*SQRT(B935/(1-B935))</f>
        <v>-0.0913874239257945</v>
      </c>
      <c r="I935" s="13" t="n">
        <f aca="false">ABS(D935)</f>
        <v>1.84278111001463</v>
      </c>
      <c r="J935" s="6" t="n">
        <f aca="false">IF(B935&gt;$P$4,1,0)</f>
        <v>0</v>
      </c>
      <c r="K935" s="6" t="n">
        <f aca="false">IF(F935&gt;$P$6,1,0)</f>
        <v>0</v>
      </c>
      <c r="L935" s="6" t="n">
        <f aca="false">IF(G935&gt;$P$9,1,0)</f>
        <v>0</v>
      </c>
      <c r="M935" s="6" t="n">
        <f aca="false">IF(ABS(H935)&gt;$P$8,1,0)</f>
        <v>0</v>
      </c>
    </row>
    <row r="936" customFormat="false" ht="15" hidden="false" customHeight="false" outlineLevel="0" collapsed="false">
      <c r="A936" s="0" t="n">
        <f aca="false">ROW()-1</f>
        <v>935</v>
      </c>
      <c r="B936" s="22" t="n">
        <f aca="false">SUMPRODUCT(MMULT('Analysis Data'!N936:U936,'Final Model'!$B$59:$I$66),'Analysis Data'!N936:U936)</f>
        <v>0.00402649530175766</v>
      </c>
      <c r="C936" s="15" t="n">
        <f aca="false">'Residual Diagnostics'!F936</f>
        <v>25.5928404786773</v>
      </c>
      <c r="D936" s="13" t="n">
        <f aca="false">C936/('Final Model'!$B$21*SQRT(1-B936))</f>
        <v>0.523015796399275</v>
      </c>
      <c r="E936" s="13" t="n">
        <f aca="false">D936*SQRT(('Final Model'!$B$24-1)/('Final Model'!$B$24-D936^2))</f>
        <v>0.522877889028849</v>
      </c>
      <c r="F936" s="23" t="n">
        <f aca="false">D936^2/($P$3+1)*B936/(1-B936)</f>
        <v>0.000138235324423894</v>
      </c>
      <c r="G936" s="13" t="n">
        <f aca="false">($P$2-1)*(B936-1/$P$2)</f>
        <v>4.57741749365585</v>
      </c>
      <c r="H936" s="13" t="n">
        <f aca="false">E936*SQRT(B936/(1-B936))</f>
        <v>0.0332460445782705</v>
      </c>
      <c r="I936" s="13" t="n">
        <f aca="false">ABS(D936)</f>
        <v>0.523015796399275</v>
      </c>
      <c r="J936" s="6" t="n">
        <f aca="false">IF(B936&gt;$P$4,1,0)</f>
        <v>0</v>
      </c>
      <c r="K936" s="6" t="n">
        <f aca="false">IF(F936&gt;$P$6,1,0)</f>
        <v>0</v>
      </c>
      <c r="L936" s="6" t="n">
        <f aca="false">IF(G936&gt;$P$9,1,0)</f>
        <v>0</v>
      </c>
      <c r="M936" s="6" t="n">
        <f aca="false">IF(ABS(H936)&gt;$P$8,1,0)</f>
        <v>0</v>
      </c>
    </row>
    <row r="937" customFormat="false" ht="15" hidden="false" customHeight="false" outlineLevel="0" collapsed="false">
      <c r="A937" s="0" t="n">
        <f aca="false">ROW()-1</f>
        <v>936</v>
      </c>
      <c r="B937" s="22" t="n">
        <f aca="false">SUMPRODUCT(MMULT('Analysis Data'!N937:U937,'Final Model'!$B$59:$I$66),'Analysis Data'!N937:U937)</f>
        <v>0.00576883544884717</v>
      </c>
      <c r="C937" s="15" t="n">
        <f aca="false">'Residual Diagnostics'!F937</f>
        <v>32.6039401210144</v>
      </c>
      <c r="D937" s="13" t="n">
        <f aca="false">C937/('Final Model'!$B$21*SQRT(1-B937))</f>
        <v>0.666878336448953</v>
      </c>
      <c r="E937" s="13" t="n">
        <f aca="false">D937*SQRT(('Final Model'!$B$24-1)/('Final Model'!$B$24-D937^2))</f>
        <v>0.66674391823194</v>
      </c>
      <c r="F937" s="23" t="n">
        <f aca="false">D937^2/($P$3+1)*B937/(1-B937)</f>
        <v>0.000322555172984425</v>
      </c>
      <c r="G937" s="13" t="n">
        <f aca="false">($P$2-1)*(B937-1/$P$2)</f>
        <v>6.99055859737483</v>
      </c>
      <c r="H937" s="13" t="n">
        <f aca="false">E937*SQRT(B937/(1-B937))</f>
        <v>0.0507878060562353</v>
      </c>
      <c r="I937" s="13" t="n">
        <f aca="false">ABS(D937)</f>
        <v>0.666878336448953</v>
      </c>
      <c r="J937" s="6" t="n">
        <f aca="false">IF(B937&gt;$P$4,1,0)</f>
        <v>0</v>
      </c>
      <c r="K937" s="6" t="n">
        <f aca="false">IF(F937&gt;$P$6,1,0)</f>
        <v>0</v>
      </c>
      <c r="L937" s="6" t="n">
        <f aca="false">IF(G937&gt;$P$9,1,0)</f>
        <v>0</v>
      </c>
      <c r="M937" s="6" t="n">
        <f aca="false">IF(ABS(H937)&gt;$P$8,1,0)</f>
        <v>0</v>
      </c>
    </row>
    <row r="938" customFormat="false" ht="15" hidden="false" customHeight="false" outlineLevel="0" collapsed="false">
      <c r="A938" s="0" t="n">
        <f aca="false">ROW()-1</f>
        <v>937</v>
      </c>
      <c r="B938" s="22" t="n">
        <f aca="false">SUMPRODUCT(MMULT('Analysis Data'!N938:U938,'Final Model'!$B$59:$I$66),'Analysis Data'!N938:U938)</f>
        <v>0.0111662873624969</v>
      </c>
      <c r="C938" s="15" t="n">
        <f aca="false">'Residual Diagnostics'!F938</f>
        <v>-25.5998029881531</v>
      </c>
      <c r="D938" s="13" t="n">
        <f aca="false">C938/('Final Model'!$B$21*SQRT(1-B938))</f>
        <v>-0.525043395154353</v>
      </c>
      <c r="E938" s="13" t="n">
        <f aca="false">D938*SQRT(('Final Model'!$B$24-1)/('Final Model'!$B$24-D938^2))</f>
        <v>-0.5249053579667</v>
      </c>
      <c r="F938" s="23" t="n">
        <f aca="false">D938^2/($P$3+1)*B938/(1-B938)</f>
        <v>0.000389122145472674</v>
      </c>
      <c r="G938" s="13" t="n">
        <f aca="false">($P$2-1)*(B938-1/$P$2)</f>
        <v>14.4660294977797</v>
      </c>
      <c r="H938" s="13" t="n">
        <f aca="false">E938*SQRT(B938/(1-B938))</f>
        <v>-0.0557793916843273</v>
      </c>
      <c r="I938" s="13" t="n">
        <f aca="false">ABS(D938)</f>
        <v>0.525043395154353</v>
      </c>
      <c r="J938" s="6" t="n">
        <f aca="false">IF(B938&gt;$P$4,1,0)</f>
        <v>0</v>
      </c>
      <c r="K938" s="6" t="n">
        <f aca="false">IF(F938&gt;$P$6,1,0)</f>
        <v>0</v>
      </c>
      <c r="L938" s="6" t="n">
        <f aca="false">IF(G938&gt;$P$9,1,0)</f>
        <v>1</v>
      </c>
      <c r="M938" s="6" t="n">
        <f aca="false">IF(ABS(H938)&gt;$P$8,1,0)</f>
        <v>0</v>
      </c>
    </row>
    <row r="939" customFormat="false" ht="15" hidden="false" customHeight="false" outlineLevel="0" collapsed="false">
      <c r="A939" s="0" t="n">
        <f aca="false">ROW()-1</f>
        <v>938</v>
      </c>
      <c r="B939" s="22" t="n">
        <f aca="false">SUMPRODUCT(MMULT('Analysis Data'!N939:U939,'Final Model'!$B$59:$I$66),'Analysis Data'!N939:U939)</f>
        <v>0.00999052104559151</v>
      </c>
      <c r="C939" s="15" t="n">
        <f aca="false">'Residual Diagnostics'!F939</f>
        <v>156.151170502618</v>
      </c>
      <c r="D939" s="13" t="n">
        <f aca="false">C939/('Final Model'!$B$21*SQRT(1-B939))</f>
        <v>3.20070594434081</v>
      </c>
      <c r="E939" s="13" t="n">
        <f aca="false">D939*SQRT(('Final Model'!$B$24-1)/('Final Model'!$B$24-D939^2))</f>
        <v>3.21150434978557</v>
      </c>
      <c r="F939" s="23" t="n">
        <f aca="false">D939^2/($P$3+1)*B939/(1-B939)</f>
        <v>0.0129226134033184</v>
      </c>
      <c r="G939" s="13" t="n">
        <f aca="false">($P$2-1)*(B939-1/$P$2)</f>
        <v>12.8375931488657</v>
      </c>
      <c r="H939" s="13" t="n">
        <f aca="false">E939*SQRT(B939/(1-B939))</f>
        <v>0.322613775495503</v>
      </c>
      <c r="I939" s="13" t="n">
        <f aca="false">ABS(D939)</f>
        <v>3.20070594434081</v>
      </c>
      <c r="J939" s="6" t="n">
        <f aca="false">IF(B939&gt;$P$4,1,0)</f>
        <v>0</v>
      </c>
      <c r="K939" s="6" t="n">
        <f aca="false">IF(F939&gt;$P$6,1,0)</f>
        <v>1</v>
      </c>
      <c r="L939" s="6" t="n">
        <f aca="false">IF(G939&gt;$P$9,1,0)</f>
        <v>1</v>
      </c>
      <c r="M939" s="6" t="n">
        <f aca="false">IF(ABS(H939)&gt;$P$8,1,0)</f>
        <v>1</v>
      </c>
    </row>
    <row r="940" customFormat="false" ht="15" hidden="false" customHeight="false" outlineLevel="0" collapsed="false">
      <c r="A940" s="0" t="n">
        <f aca="false">ROW()-1</f>
        <v>939</v>
      </c>
      <c r="B940" s="22" t="n">
        <f aca="false">SUMPRODUCT(MMULT('Analysis Data'!N940:U940,'Final Model'!$B$59:$I$66),'Analysis Data'!N940:U940)</f>
        <v>0.00212461238593253</v>
      </c>
      <c r="C940" s="15" t="n">
        <f aca="false">'Residual Diagnostics'!F940</f>
        <v>-38.7200421817286</v>
      </c>
      <c r="D940" s="13" t="n">
        <f aca="false">C940/('Final Model'!$B$21*SQRT(1-B940))</f>
        <v>-0.790529125086652</v>
      </c>
      <c r="E940" s="13" t="n">
        <f aca="false">D940*SQRT(('Final Model'!$B$24-1)/('Final Model'!$B$24-D940^2))</f>
        <v>-0.790421485934666</v>
      </c>
      <c r="F940" s="23" t="n">
        <f aca="false">D940^2/($P$3+1)*B940/(1-B940)</f>
        <v>0.000166321794134067</v>
      </c>
      <c r="G940" s="13" t="n">
        <f aca="false">($P$2-1)*(B940-1/$P$2)</f>
        <v>1.94330965523805</v>
      </c>
      <c r="H940" s="13" t="n">
        <f aca="false">E940*SQRT(B940/(1-B940))</f>
        <v>-0.0364720719641155</v>
      </c>
      <c r="I940" s="13" t="n">
        <f aca="false">ABS(D940)</f>
        <v>0.790529125086652</v>
      </c>
      <c r="J940" s="6" t="n">
        <f aca="false">IF(B940&gt;$P$4,1,0)</f>
        <v>0</v>
      </c>
      <c r="K940" s="6" t="n">
        <f aca="false">IF(F940&gt;$P$6,1,0)</f>
        <v>0</v>
      </c>
      <c r="L940" s="6" t="n">
        <f aca="false">IF(G940&gt;$P$9,1,0)</f>
        <v>0</v>
      </c>
      <c r="M940" s="6" t="n">
        <f aca="false">IF(ABS(H940)&gt;$P$8,1,0)</f>
        <v>0</v>
      </c>
    </row>
    <row r="941" customFormat="false" ht="15" hidden="false" customHeight="false" outlineLevel="0" collapsed="false">
      <c r="A941" s="0" t="n">
        <f aca="false">ROW()-1</f>
        <v>940</v>
      </c>
      <c r="B941" s="22" t="n">
        <f aca="false">SUMPRODUCT(MMULT('Analysis Data'!N941:U941,'Final Model'!$B$59:$I$66),'Analysis Data'!N941:U941)</f>
        <v>0.00212461238593253</v>
      </c>
      <c r="C941" s="15" t="n">
        <f aca="false">'Residual Diagnostics'!F941</f>
        <v>0.763491122130318</v>
      </c>
      <c r="D941" s="13" t="n">
        <f aca="false">C941/('Final Model'!$B$21*SQRT(1-B941))</f>
        <v>0.0155878437827198</v>
      </c>
      <c r="E941" s="13" t="n">
        <f aca="false">D941*SQRT(('Final Model'!$B$24-1)/('Final Model'!$B$24-D941^2))</f>
        <v>0.0155821881634822</v>
      </c>
      <c r="F941" s="23" t="n">
        <f aca="false">D941^2/($P$3+1)*B941/(1-B941)</f>
        <v>6.46674149418083E-008</v>
      </c>
      <c r="G941" s="13" t="n">
        <f aca="false">($P$2-1)*(B941-1/$P$2)</f>
        <v>1.94330965523805</v>
      </c>
      <c r="H941" s="13" t="n">
        <f aca="false">E941*SQRT(B941/(1-B941))</f>
        <v>0.000719002074424743</v>
      </c>
      <c r="I941" s="13" t="n">
        <f aca="false">ABS(D941)</f>
        <v>0.0155878437827198</v>
      </c>
      <c r="J941" s="6" t="n">
        <f aca="false">IF(B941&gt;$P$4,1,0)</f>
        <v>0</v>
      </c>
      <c r="K941" s="6" t="n">
        <f aca="false">IF(F941&gt;$P$6,1,0)</f>
        <v>0</v>
      </c>
      <c r="L941" s="6" t="n">
        <f aca="false">IF(G941&gt;$P$9,1,0)</f>
        <v>0</v>
      </c>
      <c r="M941" s="6" t="n">
        <f aca="false">IF(ABS(H941)&gt;$P$8,1,0)</f>
        <v>0</v>
      </c>
    </row>
    <row r="942" customFormat="false" ht="15" hidden="false" customHeight="false" outlineLevel="0" collapsed="false">
      <c r="A942" s="0" t="n">
        <f aca="false">ROW()-1</f>
        <v>941</v>
      </c>
      <c r="B942" s="22" t="n">
        <f aca="false">SUMPRODUCT(MMULT('Analysis Data'!N942:U942,'Final Model'!$B$59:$I$66),'Analysis Data'!N942:U942)</f>
        <v>0.00204193247886324</v>
      </c>
      <c r="C942" s="15" t="n">
        <f aca="false">'Residual Diagnostics'!F942</f>
        <v>-4.5511494137767</v>
      </c>
      <c r="D942" s="13" t="n">
        <f aca="false">C942/('Final Model'!$B$21*SQRT(1-B942))</f>
        <v>-0.0929148554735776</v>
      </c>
      <c r="E942" s="13" t="n">
        <f aca="false">D942*SQRT(('Final Model'!$B$24-1)/('Final Model'!$B$24-D942^2))</f>
        <v>-0.0928814266433932</v>
      </c>
      <c r="F942" s="23" t="n">
        <f aca="false">D942^2/($P$3+1)*B942/(1-B942)</f>
        <v>2.20805256541297E-006</v>
      </c>
      <c r="G942" s="13" t="n">
        <f aca="false">($P$2-1)*(B942-1/$P$2)</f>
        <v>1.82879798394708</v>
      </c>
      <c r="H942" s="13" t="n">
        <f aca="false">E942*SQRT(B942/(1-B942))</f>
        <v>-0.00420139408154811</v>
      </c>
      <c r="I942" s="13" t="n">
        <f aca="false">ABS(D942)</f>
        <v>0.0929148554735776</v>
      </c>
      <c r="J942" s="6" t="n">
        <f aca="false">IF(B942&gt;$P$4,1,0)</f>
        <v>0</v>
      </c>
      <c r="K942" s="6" t="n">
        <f aca="false">IF(F942&gt;$P$6,1,0)</f>
        <v>0</v>
      </c>
      <c r="L942" s="6" t="n">
        <f aca="false">IF(G942&gt;$P$9,1,0)</f>
        <v>0</v>
      </c>
      <c r="M942" s="6" t="n">
        <f aca="false">IF(ABS(H942)&gt;$P$8,1,0)</f>
        <v>0</v>
      </c>
    </row>
    <row r="943" customFormat="false" ht="15" hidden="false" customHeight="false" outlineLevel="0" collapsed="false">
      <c r="A943" s="0" t="n">
        <f aca="false">ROW()-1</f>
        <v>942</v>
      </c>
      <c r="B943" s="22" t="n">
        <f aca="false">SUMPRODUCT(MMULT('Analysis Data'!N943:U943,'Final Model'!$B$59:$I$66),'Analysis Data'!N943:U943)</f>
        <v>0.00197284642119414</v>
      </c>
      <c r="C943" s="15" t="n">
        <f aca="false">'Residual Diagnostics'!F943</f>
        <v>3.08736898691996</v>
      </c>
      <c r="D943" s="13" t="n">
        <f aca="false">C943/('Final Model'!$B$21*SQRT(1-B943))</f>
        <v>0.0630285864682228</v>
      </c>
      <c r="E943" s="13" t="n">
        <f aca="false">D943*SQRT(('Final Model'!$B$24-1)/('Final Model'!$B$24-D943^2))</f>
        <v>0.0630058035479735</v>
      </c>
      <c r="F943" s="23" t="n">
        <f aca="false">D943^2/($P$3+1)*B943/(1-B943)</f>
        <v>9.81603433264705E-007</v>
      </c>
      <c r="G943" s="13" t="n">
        <f aca="false">($P$2-1)*(B943-1/$P$2)</f>
        <v>1.73311379407538</v>
      </c>
      <c r="H943" s="13" t="n">
        <f aca="false">E943*SQRT(B943/(1-B943))</f>
        <v>0.00280127674012917</v>
      </c>
      <c r="I943" s="13" t="n">
        <f aca="false">ABS(D943)</f>
        <v>0.0630285864682228</v>
      </c>
      <c r="J943" s="6" t="n">
        <f aca="false">IF(B943&gt;$P$4,1,0)</f>
        <v>0</v>
      </c>
      <c r="K943" s="6" t="n">
        <f aca="false">IF(F943&gt;$P$6,1,0)</f>
        <v>0</v>
      </c>
      <c r="L943" s="6" t="n">
        <f aca="false">IF(G943&gt;$P$9,1,0)</f>
        <v>0</v>
      </c>
      <c r="M943" s="6" t="n">
        <f aca="false">IF(ABS(H943)&gt;$P$8,1,0)</f>
        <v>0</v>
      </c>
    </row>
    <row r="944" customFormat="false" ht="15" hidden="false" customHeight="false" outlineLevel="0" collapsed="false">
      <c r="A944" s="0" t="n">
        <f aca="false">ROW()-1</f>
        <v>943</v>
      </c>
      <c r="B944" s="22" t="n">
        <f aca="false">SUMPRODUCT(MMULT('Analysis Data'!N944:U944,'Final Model'!$B$59:$I$66),'Analysis Data'!N944:U944)</f>
        <v>0.0131046992090534</v>
      </c>
      <c r="C944" s="15" t="n">
        <f aca="false">'Residual Diagnostics'!F944</f>
        <v>80.0487094141015</v>
      </c>
      <c r="D944" s="13" t="n">
        <f aca="false">C944/('Final Model'!$B$21*SQRT(1-B944))</f>
        <v>1.64338380440386</v>
      </c>
      <c r="E944" s="13" t="n">
        <f aca="false">D944*SQRT(('Final Model'!$B$24-1)/('Final Model'!$B$24-D944^2))</f>
        <v>1.64439960376753</v>
      </c>
      <c r="F944" s="23" t="n">
        <f aca="false">D944^2/($P$3+1)*B944/(1-B944)</f>
        <v>0.0044827445827358</v>
      </c>
      <c r="G944" s="13" t="n">
        <f aca="false">($P$2-1)*(B944-1/$P$2)</f>
        <v>17.1507299052605</v>
      </c>
      <c r="H944" s="13" t="n">
        <f aca="false">E944*SQRT(B944/(1-B944))</f>
        <v>0.189489587984536</v>
      </c>
      <c r="I944" s="13" t="n">
        <f aca="false">ABS(D944)</f>
        <v>1.64338380440386</v>
      </c>
      <c r="J944" s="6" t="n">
        <f aca="false">IF(B944&gt;$P$4,1,0)</f>
        <v>1</v>
      </c>
      <c r="K944" s="6" t="n">
        <f aca="false">IF(F944&gt;$P$6,1,0)</f>
        <v>1</v>
      </c>
      <c r="L944" s="6" t="n">
        <f aca="false">IF(G944&gt;$P$9,1,0)</f>
        <v>1</v>
      </c>
      <c r="M944" s="6" t="n">
        <f aca="false">IF(ABS(H944)&gt;$P$8,1,0)</f>
        <v>1</v>
      </c>
    </row>
    <row r="945" customFormat="false" ht="15" hidden="false" customHeight="false" outlineLevel="0" collapsed="false">
      <c r="A945" s="0" t="n">
        <f aca="false">ROW()-1</f>
        <v>944</v>
      </c>
      <c r="B945" s="22" t="n">
        <f aca="false">SUMPRODUCT(MMULT('Analysis Data'!N945:U945,'Final Model'!$B$59:$I$66),'Analysis Data'!N945:U945)</f>
        <v>0.00506039455692635</v>
      </c>
      <c r="C945" s="15" t="n">
        <f aca="false">'Residual Diagnostics'!F945</f>
        <v>-6.20655283851767</v>
      </c>
      <c r="D945" s="13" t="n">
        <f aca="false">C945/('Final Model'!$B$21*SQRT(1-B945))</f>
        <v>-0.126903121935736</v>
      </c>
      <c r="E945" s="13" t="n">
        <f aca="false">D945*SQRT(('Final Model'!$B$24-1)/('Final Model'!$B$24-D945^2))</f>
        <v>-0.126857808736101</v>
      </c>
      <c r="F945" s="23" t="n">
        <f aca="false">D945^2/($P$3+1)*B945/(1-B945)</f>
        <v>1.02386403134749E-005</v>
      </c>
      <c r="G945" s="13" t="n">
        <f aca="false">($P$2-1)*(B945-1/$P$2)</f>
        <v>6.0093679620645</v>
      </c>
      <c r="H945" s="13" t="n">
        <f aca="false">E945*SQRT(B945/(1-B945))</f>
        <v>-0.00904713426986644</v>
      </c>
      <c r="I945" s="13" t="n">
        <f aca="false">ABS(D945)</f>
        <v>0.126903121935736</v>
      </c>
      <c r="J945" s="6" t="n">
        <f aca="false">IF(B945&gt;$P$4,1,0)</f>
        <v>0</v>
      </c>
      <c r="K945" s="6" t="n">
        <f aca="false">IF(F945&gt;$P$6,1,0)</f>
        <v>0</v>
      </c>
      <c r="L945" s="6" t="n">
        <f aca="false">IF(G945&gt;$P$9,1,0)</f>
        <v>0</v>
      </c>
      <c r="M945" s="6" t="n">
        <f aca="false">IF(ABS(H945)&gt;$P$8,1,0)</f>
        <v>0</v>
      </c>
    </row>
    <row r="946" customFormat="false" ht="15" hidden="false" customHeight="false" outlineLevel="0" collapsed="false">
      <c r="A946" s="0" t="n">
        <f aca="false">ROW()-1</f>
        <v>945</v>
      </c>
      <c r="B946" s="22" t="n">
        <f aca="false">SUMPRODUCT(MMULT('Analysis Data'!N946:U946,'Final Model'!$B$59:$I$66),'Analysis Data'!N946:U946)</f>
        <v>0.00788450654772387</v>
      </c>
      <c r="C946" s="15" t="n">
        <f aca="false">'Residual Diagnostics'!F946</f>
        <v>10.5986737977718</v>
      </c>
      <c r="D946" s="13" t="n">
        <f aca="false">C946/('Final Model'!$B$21*SQRT(1-B946))</f>
        <v>0.217015432480702</v>
      </c>
      <c r="E946" s="13" t="n">
        <f aca="false">D946*SQRT(('Final Model'!$B$24-1)/('Final Model'!$B$24-D946^2))</f>
        <v>0.216940382490789</v>
      </c>
      <c r="F946" s="23" t="n">
        <f aca="false">D946^2/($P$3+1)*B946/(1-B946)</f>
        <v>4.67846663502274E-005</v>
      </c>
      <c r="G946" s="13" t="n">
        <f aca="false">($P$2-1)*(B946-1/$P$2)</f>
        <v>9.92076306931907</v>
      </c>
      <c r="H946" s="13" t="n">
        <f aca="false">E946*SQRT(B946/(1-B946))</f>
        <v>0.0193395580218966</v>
      </c>
      <c r="I946" s="13" t="n">
        <f aca="false">ABS(D946)</f>
        <v>0.217015432480702</v>
      </c>
      <c r="J946" s="6" t="n">
        <f aca="false">IF(B946&gt;$P$4,1,0)</f>
        <v>0</v>
      </c>
      <c r="K946" s="6" t="n">
        <f aca="false">IF(F946&gt;$P$6,1,0)</f>
        <v>0</v>
      </c>
      <c r="L946" s="6" t="n">
        <f aca="false">IF(G946&gt;$P$9,1,0)</f>
        <v>0</v>
      </c>
      <c r="M946" s="6" t="n">
        <f aca="false">IF(ABS(H946)&gt;$P$8,1,0)</f>
        <v>0</v>
      </c>
    </row>
    <row r="947" customFormat="false" ht="15" hidden="false" customHeight="false" outlineLevel="0" collapsed="false">
      <c r="A947" s="0" t="n">
        <f aca="false">ROW()-1</f>
        <v>946</v>
      </c>
      <c r="B947" s="22" t="n">
        <f aca="false">SUMPRODUCT(MMULT('Analysis Data'!N947:U947,'Final Model'!$B$59:$I$66),'Analysis Data'!N947:U947)</f>
        <v>0.00610508742628554</v>
      </c>
      <c r="C947" s="15" t="n">
        <f aca="false">'Residual Diagnostics'!F947</f>
        <v>2.2003044059399</v>
      </c>
      <c r="D947" s="13" t="n">
        <f aca="false">C947/('Final Model'!$B$21*SQRT(1-B947))</f>
        <v>0.0450124594770383</v>
      </c>
      <c r="E947" s="13" t="n">
        <f aca="false">D947*SQRT(('Final Model'!$B$24-1)/('Final Model'!$B$24-D947^2))</f>
        <v>0.0449961570601324</v>
      </c>
      <c r="F947" s="23" t="n">
        <f aca="false">D947^2/($P$3+1)*B947/(1-B947)</f>
        <v>1.55570382582453E-006</v>
      </c>
      <c r="G947" s="13" t="n">
        <f aca="false">($P$2-1)*(B947-1/$P$2)</f>
        <v>7.45626758612698</v>
      </c>
      <c r="H947" s="13" t="n">
        <f aca="false">E947*SQRT(B947/(1-B947))</f>
        <v>0.00352655883692868</v>
      </c>
      <c r="I947" s="13" t="n">
        <f aca="false">ABS(D947)</f>
        <v>0.0450124594770383</v>
      </c>
      <c r="J947" s="6" t="n">
        <f aca="false">IF(B947&gt;$P$4,1,0)</f>
        <v>0</v>
      </c>
      <c r="K947" s="6" t="n">
        <f aca="false">IF(F947&gt;$P$6,1,0)</f>
        <v>0</v>
      </c>
      <c r="L947" s="6" t="n">
        <f aca="false">IF(G947&gt;$P$9,1,0)</f>
        <v>0</v>
      </c>
      <c r="M947" s="6" t="n">
        <f aca="false">IF(ABS(H947)&gt;$P$8,1,0)</f>
        <v>0</v>
      </c>
    </row>
    <row r="948" customFormat="false" ht="15" hidden="false" customHeight="false" outlineLevel="0" collapsed="false">
      <c r="A948" s="0" t="n">
        <f aca="false">ROW()-1</f>
        <v>947</v>
      </c>
      <c r="B948" s="22" t="n">
        <f aca="false">SUMPRODUCT(MMULT('Analysis Data'!N948:U948,'Final Model'!$B$59:$I$66),'Analysis Data'!N948:U948)</f>
        <v>0.00194613739698309</v>
      </c>
      <c r="C948" s="15" t="n">
        <f aca="false">'Residual Diagnostics'!F948</f>
        <v>-23.5046016076222</v>
      </c>
      <c r="D948" s="13" t="n">
        <f aca="false">C948/('Final Model'!$B$21*SQRT(1-B948))</f>
        <v>-0.479839629857414</v>
      </c>
      <c r="E948" s="13" t="n">
        <f aca="false">D948*SQRT(('Final Model'!$B$24-1)/('Final Model'!$B$24-D948^2))</f>
        <v>-0.479705568979765</v>
      </c>
      <c r="F948" s="23" t="n">
        <f aca="false">D948^2/($P$3+1)*B948/(1-B948)</f>
        <v>5.61205292705304E-005</v>
      </c>
      <c r="G948" s="13" t="n">
        <f aca="false">($P$2-1)*(B948-1/$P$2)</f>
        <v>1.69612179554308</v>
      </c>
      <c r="H948" s="13" t="n">
        <f aca="false">E948*SQRT(B948/(1-B948))</f>
        <v>-0.0211828562713386</v>
      </c>
      <c r="I948" s="13" t="n">
        <f aca="false">ABS(D948)</f>
        <v>0.479839629857414</v>
      </c>
      <c r="J948" s="6" t="n">
        <f aca="false">IF(B948&gt;$P$4,1,0)</f>
        <v>0</v>
      </c>
      <c r="K948" s="6" t="n">
        <f aca="false">IF(F948&gt;$P$6,1,0)</f>
        <v>0</v>
      </c>
      <c r="L948" s="6" t="n">
        <f aca="false">IF(G948&gt;$P$9,1,0)</f>
        <v>0</v>
      </c>
      <c r="M948" s="6" t="n">
        <f aca="false">IF(ABS(H948)&gt;$P$8,1,0)</f>
        <v>0</v>
      </c>
    </row>
    <row r="949" customFormat="false" ht="15" hidden="false" customHeight="false" outlineLevel="0" collapsed="false">
      <c r="A949" s="0" t="n">
        <f aca="false">ROW()-1</f>
        <v>948</v>
      </c>
      <c r="B949" s="22" t="n">
        <f aca="false">SUMPRODUCT(MMULT('Analysis Data'!N949:U949,'Final Model'!$B$59:$I$66),'Analysis Data'!N949:U949)</f>
        <v>0.00194613739698309</v>
      </c>
      <c r="C949" s="15" t="n">
        <f aca="false">'Residual Diagnostics'!F949</f>
        <v>-24.4343745865534</v>
      </c>
      <c r="D949" s="13" t="n">
        <f aca="false">C949/('Final Model'!$B$21*SQRT(1-B949))</f>
        <v>-0.498820675761085</v>
      </c>
      <c r="E949" s="13" t="n">
        <f aca="false">D949*SQRT(('Final Model'!$B$24-1)/('Final Model'!$B$24-D949^2))</f>
        <v>-0.498684673637394</v>
      </c>
      <c r="F949" s="23" t="n">
        <f aca="false">D949^2/($P$3+1)*B949/(1-B949)</f>
        <v>6.06482709857477E-005</v>
      </c>
      <c r="G949" s="13" t="n">
        <f aca="false">($P$2-1)*(B949-1/$P$2)</f>
        <v>1.69612179554308</v>
      </c>
      <c r="H949" s="13" t="n">
        <f aca="false">E949*SQRT(B949/(1-B949))</f>
        <v>-0.0220209362773229</v>
      </c>
      <c r="I949" s="13" t="n">
        <f aca="false">ABS(D949)</f>
        <v>0.498820675761085</v>
      </c>
      <c r="J949" s="6" t="n">
        <f aca="false">IF(B949&gt;$P$4,1,0)</f>
        <v>0</v>
      </c>
      <c r="K949" s="6" t="n">
        <f aca="false">IF(F949&gt;$P$6,1,0)</f>
        <v>0</v>
      </c>
      <c r="L949" s="6" t="n">
        <f aca="false">IF(G949&gt;$P$9,1,0)</f>
        <v>0</v>
      </c>
      <c r="M949" s="6" t="n">
        <f aca="false">IF(ABS(H949)&gt;$P$8,1,0)</f>
        <v>0</v>
      </c>
    </row>
    <row r="950" customFormat="false" ht="15" hidden="false" customHeight="false" outlineLevel="0" collapsed="false">
      <c r="A950" s="0" t="n">
        <f aca="false">ROW()-1</f>
        <v>949</v>
      </c>
      <c r="B950" s="22" t="n">
        <f aca="false">SUMPRODUCT(MMULT('Analysis Data'!N950:U950,'Final Model'!$B$59:$I$66),'Analysis Data'!N950:U950)</f>
        <v>0.0020679157494897</v>
      </c>
      <c r="C950" s="15" t="n">
        <f aca="false">'Residual Diagnostics'!F950</f>
        <v>-30.8604540459172</v>
      </c>
      <c r="D950" s="13" t="n">
        <f aca="false">C950/('Final Model'!$B$21*SQRT(1-B950))</f>
        <v>-0.630045664495583</v>
      </c>
      <c r="E950" s="13" t="n">
        <f aca="false">D950*SQRT(('Final Model'!$B$24-1)/('Final Model'!$B$24-D950^2))</f>
        <v>-0.629907748904096</v>
      </c>
      <c r="F950" s="23" t="n">
        <f aca="false">D950^2/($P$3+1)*B950/(1-B950)</f>
        <v>0.000102821970609903</v>
      </c>
      <c r="G950" s="13" t="n">
        <f aca="false">($P$2-1)*(B950-1/$P$2)</f>
        <v>1.86478481376474</v>
      </c>
      <c r="H950" s="13" t="n">
        <f aca="false">E950*SQRT(B950/(1-B950))</f>
        <v>-0.028674303553729</v>
      </c>
      <c r="I950" s="13" t="n">
        <f aca="false">ABS(D950)</f>
        <v>0.630045664495583</v>
      </c>
      <c r="J950" s="6" t="n">
        <f aca="false">IF(B950&gt;$P$4,1,0)</f>
        <v>0</v>
      </c>
      <c r="K950" s="6" t="n">
        <f aca="false">IF(F950&gt;$P$6,1,0)</f>
        <v>0</v>
      </c>
      <c r="L950" s="6" t="n">
        <f aca="false">IF(G950&gt;$P$9,1,0)</f>
        <v>0</v>
      </c>
      <c r="M950" s="6" t="n">
        <f aca="false">IF(ABS(H950)&gt;$P$8,1,0)</f>
        <v>0</v>
      </c>
    </row>
    <row r="951" customFormat="false" ht="15" hidden="false" customHeight="false" outlineLevel="0" collapsed="false">
      <c r="A951" s="0" t="n">
        <f aca="false">ROW()-1</f>
        <v>950</v>
      </c>
      <c r="B951" s="22" t="n">
        <f aca="false">SUMPRODUCT(MMULT('Analysis Data'!N951:U951,'Final Model'!$B$59:$I$66),'Analysis Data'!N951:U951)</f>
        <v>0.00284987211706819</v>
      </c>
      <c r="C951" s="15" t="n">
        <f aca="false">'Residual Diagnostics'!F951</f>
        <v>-31.077675223856</v>
      </c>
      <c r="D951" s="13" t="n">
        <f aca="false">C951/('Final Model'!$B$21*SQRT(1-B951))</f>
        <v>-0.634729170694829</v>
      </c>
      <c r="E951" s="13" t="n">
        <f aca="false">D951*SQRT(('Final Model'!$B$24-1)/('Final Model'!$B$24-D951^2))</f>
        <v>-0.634591594241804</v>
      </c>
      <c r="F951" s="23" t="n">
        <f aca="false">D951^2/($P$3+1)*B951/(1-B951)</f>
        <v>0.000143930141340911</v>
      </c>
      <c r="G951" s="13" t="n">
        <f aca="false">($P$2-1)*(B951-1/$P$2)</f>
        <v>2.94779438286094</v>
      </c>
      <c r="H951" s="13" t="n">
        <f aca="false">E951*SQRT(B951/(1-B951))</f>
        <v>-0.033925536680551</v>
      </c>
      <c r="I951" s="13" t="n">
        <f aca="false">ABS(D951)</f>
        <v>0.634729170694829</v>
      </c>
      <c r="J951" s="6" t="n">
        <f aca="false">IF(B951&gt;$P$4,1,0)</f>
        <v>0</v>
      </c>
      <c r="K951" s="6" t="n">
        <f aca="false">IF(F951&gt;$P$6,1,0)</f>
        <v>0</v>
      </c>
      <c r="L951" s="6" t="n">
        <f aca="false">IF(G951&gt;$P$9,1,0)</f>
        <v>0</v>
      </c>
      <c r="M951" s="6" t="n">
        <f aca="false">IF(ABS(H951)&gt;$P$8,1,0)</f>
        <v>0</v>
      </c>
    </row>
    <row r="952" customFormat="false" ht="15" hidden="false" customHeight="false" outlineLevel="0" collapsed="false">
      <c r="A952" s="0" t="n">
        <f aca="false">ROW()-1</f>
        <v>951</v>
      </c>
      <c r="B952" s="22" t="n">
        <f aca="false">SUMPRODUCT(MMULT('Analysis Data'!N952:U952,'Final Model'!$B$59:$I$66),'Analysis Data'!N952:U952)</f>
        <v>0.00323256183463774</v>
      </c>
      <c r="C952" s="15" t="n">
        <f aca="false">'Residual Diagnostics'!F952</f>
        <v>-58.7710255579741</v>
      </c>
      <c r="D952" s="13" t="n">
        <f aca="false">C952/('Final Model'!$B$21*SQRT(1-B952))</f>
        <v>-1.20056742899775</v>
      </c>
      <c r="E952" s="13" t="n">
        <f aca="false">D952*SQRT(('Final Model'!$B$24-1)/('Final Model'!$B$24-D952^2))</f>
        <v>-1.20075988086355</v>
      </c>
      <c r="F952" s="23" t="n">
        <f aca="false">D952^2/($P$3+1)*B952/(1-B952)</f>
        <v>0.000584300322053207</v>
      </c>
      <c r="G952" s="13" t="n">
        <f aca="false">($P$2-1)*(B952-1/$P$2)</f>
        <v>3.47781964169476</v>
      </c>
      <c r="H952" s="13" t="n">
        <f aca="false">E952*SQRT(B952/(1-B952))</f>
        <v>-0.0683805624214145</v>
      </c>
      <c r="I952" s="13" t="n">
        <f aca="false">ABS(D952)</f>
        <v>1.20056742899775</v>
      </c>
      <c r="J952" s="6" t="n">
        <f aca="false">IF(B952&gt;$P$4,1,0)</f>
        <v>0</v>
      </c>
      <c r="K952" s="6" t="n">
        <f aca="false">IF(F952&gt;$P$6,1,0)</f>
        <v>0</v>
      </c>
      <c r="L952" s="6" t="n">
        <f aca="false">IF(G952&gt;$P$9,1,0)</f>
        <v>0</v>
      </c>
      <c r="M952" s="6" t="n">
        <f aca="false">IF(ABS(H952)&gt;$P$8,1,0)</f>
        <v>0</v>
      </c>
    </row>
    <row r="953" customFormat="false" ht="15" hidden="false" customHeight="false" outlineLevel="0" collapsed="false">
      <c r="A953" s="0" t="n">
        <f aca="false">ROW()-1</f>
        <v>952</v>
      </c>
      <c r="B953" s="22" t="n">
        <f aca="false">SUMPRODUCT(MMULT('Analysis Data'!N953:U953,'Final Model'!$B$59:$I$66),'Analysis Data'!N953:U953)</f>
        <v>0.00194613739698309</v>
      </c>
      <c r="C953" s="15" t="n">
        <f aca="false">'Residual Diagnostics'!F953</f>
        <v>-24.3118752211617</v>
      </c>
      <c r="D953" s="13" t="n">
        <f aca="false">C953/('Final Model'!$B$21*SQRT(1-B953))</f>
        <v>-0.496319886718643</v>
      </c>
      <c r="E953" s="13" t="n">
        <f aca="false">D953*SQRT(('Final Model'!$B$24-1)/('Final Model'!$B$24-D953^2))</f>
        <v>-0.496184118299075</v>
      </c>
      <c r="F953" s="23" t="n">
        <f aca="false">D953^2/($P$3+1)*B953/(1-B953)</f>
        <v>6.00416868919249E-005</v>
      </c>
      <c r="G953" s="13" t="n">
        <f aca="false">($P$2-1)*(B953-1/$P$2)</f>
        <v>1.69612179554308</v>
      </c>
      <c r="H953" s="13" t="n">
        <f aca="false">E953*SQRT(B953/(1-B953))</f>
        <v>-0.0219105166621352</v>
      </c>
      <c r="I953" s="13" t="n">
        <f aca="false">ABS(D953)</f>
        <v>0.496319886718643</v>
      </c>
      <c r="J953" s="6" t="n">
        <f aca="false">IF(B953&gt;$P$4,1,0)</f>
        <v>0</v>
      </c>
      <c r="K953" s="6" t="n">
        <f aca="false">IF(F953&gt;$P$6,1,0)</f>
        <v>0</v>
      </c>
      <c r="L953" s="6" t="n">
        <f aca="false">IF(G953&gt;$P$9,1,0)</f>
        <v>0</v>
      </c>
      <c r="M953" s="6" t="n">
        <f aca="false">IF(ABS(H953)&gt;$P$8,1,0)</f>
        <v>0</v>
      </c>
    </row>
    <row r="954" customFormat="false" ht="15" hidden="false" customHeight="false" outlineLevel="0" collapsed="false">
      <c r="A954" s="0" t="n">
        <f aca="false">ROW()-1</f>
        <v>953</v>
      </c>
      <c r="B954" s="22" t="n">
        <f aca="false">SUMPRODUCT(MMULT('Analysis Data'!N954:U954,'Final Model'!$B$59:$I$66),'Analysis Data'!N954:U954)</f>
        <v>0.0294725945045155</v>
      </c>
      <c r="C954" s="15" t="n">
        <f aca="false">'Residual Diagnostics'!F954</f>
        <v>-55.4097152632947</v>
      </c>
      <c r="D954" s="13" t="n">
        <f aca="false">C954/('Final Model'!$B$21*SQRT(1-B954))</f>
        <v>-1.14710249807033</v>
      </c>
      <c r="E954" s="13" t="n">
        <f aca="false">D954*SQRT(('Final Model'!$B$24-1)/('Final Model'!$B$24-D954^2))</f>
        <v>-1.14723407684376</v>
      </c>
      <c r="F954" s="23" t="n">
        <f aca="false">D954^2/($P$3+1)*B954/(1-B954)</f>
        <v>0.00499487966305427</v>
      </c>
      <c r="G954" s="13" t="n">
        <f aca="false">($P$2-1)*(B954-1/$P$2)</f>
        <v>39.8202648894755</v>
      </c>
      <c r="H954" s="13" t="n">
        <f aca="false">E954*SQRT(B954/(1-B954))</f>
        <v>-0.199920496346689</v>
      </c>
      <c r="I954" s="13" t="n">
        <f aca="false">ABS(D954)</f>
        <v>1.14710249807033</v>
      </c>
      <c r="J954" s="6" t="n">
        <f aca="false">IF(B954&gt;$P$4,1,0)</f>
        <v>1</v>
      </c>
      <c r="K954" s="6" t="n">
        <f aca="false">IF(F954&gt;$P$6,1,0)</f>
        <v>1</v>
      </c>
      <c r="L954" s="6" t="n">
        <f aca="false">IF(G954&gt;$P$9,1,0)</f>
        <v>1</v>
      </c>
      <c r="M954" s="6" t="n">
        <f aca="false">IF(ABS(H954)&gt;$P$8,1,0)</f>
        <v>1</v>
      </c>
    </row>
    <row r="955" customFormat="false" ht="15" hidden="false" customHeight="false" outlineLevel="0" collapsed="false">
      <c r="A955" s="0" t="n">
        <f aca="false">ROW()-1</f>
        <v>954</v>
      </c>
      <c r="B955" s="22" t="n">
        <f aca="false">SUMPRODUCT(MMULT('Analysis Data'!N955:U955,'Final Model'!$B$59:$I$66),'Analysis Data'!N955:U955)</f>
        <v>0.0380355559797235</v>
      </c>
      <c r="C955" s="15" t="n">
        <f aca="false">'Residual Diagnostics'!F955</f>
        <v>73.1777751537494</v>
      </c>
      <c r="D955" s="13" t="n">
        <f aca="false">C955/('Final Model'!$B$21*SQRT(1-B955))</f>
        <v>1.52166797358927</v>
      </c>
      <c r="E955" s="13" t="n">
        <f aca="false">D955*SQRT(('Final Model'!$B$24-1)/('Final Model'!$B$24-D955^2))</f>
        <v>1.52239533347466</v>
      </c>
      <c r="F955" s="23" t="n">
        <f aca="false">D955^2/($P$3+1)*B955/(1-B955)</f>
        <v>0.0114440714913755</v>
      </c>
      <c r="G955" s="13" t="n">
        <f aca="false">($P$2-1)*(B955-1/$P$2)</f>
        <v>51.6799665326385</v>
      </c>
      <c r="H955" s="13" t="n">
        <f aca="false">E955*SQRT(B955/(1-B955))</f>
        <v>0.302721187597364</v>
      </c>
      <c r="I955" s="13" t="n">
        <f aca="false">ABS(D955)</f>
        <v>1.52166797358927</v>
      </c>
      <c r="J955" s="6" t="n">
        <f aca="false">IF(B955&gt;$P$4,1,0)</f>
        <v>1</v>
      </c>
      <c r="K955" s="6" t="n">
        <f aca="false">IF(F955&gt;$P$6,1,0)</f>
        <v>1</v>
      </c>
      <c r="L955" s="6" t="n">
        <f aca="false">IF(G955&gt;$P$9,1,0)</f>
        <v>1</v>
      </c>
      <c r="M955" s="6" t="n">
        <f aca="false">IF(ABS(H955)&gt;$P$8,1,0)</f>
        <v>1</v>
      </c>
    </row>
    <row r="956" customFormat="false" ht="15" hidden="false" customHeight="false" outlineLevel="0" collapsed="false">
      <c r="A956" s="0" t="n">
        <f aca="false">ROW()-1</f>
        <v>955</v>
      </c>
      <c r="B956" s="22" t="n">
        <f aca="false">SUMPRODUCT(MMULT('Analysis Data'!N956:U956,'Final Model'!$B$59:$I$66),'Analysis Data'!N956:U956)</f>
        <v>0.040229175077062</v>
      </c>
      <c r="C956" s="15" t="n">
        <f aca="false">'Residual Diagnostics'!F956</f>
        <v>27.6365843563839</v>
      </c>
      <c r="D956" s="13" t="n">
        <f aca="false">C956/('Final Model'!$B$21*SQRT(1-B956))</f>
        <v>0.575335011847337</v>
      </c>
      <c r="E956" s="13" t="n">
        <f aca="false">D956*SQRT(('Final Model'!$B$24-1)/('Final Model'!$B$24-D956^2))</f>
        <v>0.575195304888279</v>
      </c>
      <c r="F956" s="23" t="n">
        <f aca="false">D956^2/($P$3+1)*B956/(1-B956)</f>
        <v>0.00173430391100913</v>
      </c>
      <c r="G956" s="13" t="n">
        <f aca="false">($P$2-1)*(B956-1/$P$2)</f>
        <v>54.7181289824524</v>
      </c>
      <c r="H956" s="13" t="n">
        <f aca="false">E956*SQRT(B956/(1-B956))</f>
        <v>0.117761173266355</v>
      </c>
      <c r="I956" s="13" t="n">
        <f aca="false">ABS(D956)</f>
        <v>0.575335011847337</v>
      </c>
      <c r="J956" s="6" t="n">
        <f aca="false">IF(B956&gt;$P$4,1,0)</f>
        <v>1</v>
      </c>
      <c r="K956" s="6" t="n">
        <f aca="false">IF(F956&gt;$P$6,1,0)</f>
        <v>0</v>
      </c>
      <c r="L956" s="6" t="n">
        <f aca="false">IF(G956&gt;$P$9,1,0)</f>
        <v>1</v>
      </c>
      <c r="M956" s="6" t="n">
        <f aca="false">IF(ABS(H956)&gt;$P$8,1,0)</f>
        <v>0</v>
      </c>
    </row>
    <row r="957" customFormat="false" ht="15" hidden="false" customHeight="false" outlineLevel="0" collapsed="false">
      <c r="A957" s="0" t="n">
        <f aca="false">ROW()-1</f>
        <v>956</v>
      </c>
      <c r="B957" s="22" t="n">
        <f aca="false">SUMPRODUCT(MMULT('Analysis Data'!N957:U957,'Final Model'!$B$59:$I$66),'Analysis Data'!N957:U957)</f>
        <v>0.0314387761149589</v>
      </c>
      <c r="C957" s="15" t="n">
        <f aca="false">'Residual Diagnostics'!F957</f>
        <v>-2.24941525910992</v>
      </c>
      <c r="D957" s="13" t="n">
        <f aca="false">C957/('Final Model'!$B$21*SQRT(1-B957))</f>
        <v>-0.046615066337239</v>
      </c>
      <c r="E957" s="13" t="n">
        <f aca="false">D957*SQRT(('Final Model'!$B$24-1)/('Final Model'!$B$24-D957^2))</f>
        <v>-0.0465981859779566</v>
      </c>
      <c r="F957" s="23" t="n">
        <f aca="false">D957^2/($P$3+1)*B957/(1-B957)</f>
        <v>8.81660083731692E-006</v>
      </c>
      <c r="G957" s="13" t="n">
        <f aca="false">($P$2-1)*(B957-1/$P$2)</f>
        <v>42.5434264199396</v>
      </c>
      <c r="H957" s="13" t="n">
        <f aca="false">E957*SQRT(B957/(1-B957))</f>
        <v>-0.00839533995323982</v>
      </c>
      <c r="I957" s="13" t="n">
        <f aca="false">ABS(D957)</f>
        <v>0.046615066337239</v>
      </c>
      <c r="J957" s="6" t="n">
        <f aca="false">IF(B957&gt;$P$4,1,0)</f>
        <v>1</v>
      </c>
      <c r="K957" s="6" t="n">
        <f aca="false">IF(F957&gt;$P$6,1,0)</f>
        <v>0</v>
      </c>
      <c r="L957" s="6" t="n">
        <f aca="false">IF(G957&gt;$P$9,1,0)</f>
        <v>1</v>
      </c>
      <c r="M957" s="6" t="n">
        <f aca="false">IF(ABS(H957)&gt;$P$8,1,0)</f>
        <v>0</v>
      </c>
    </row>
    <row r="958" customFormat="false" ht="15" hidden="false" customHeight="false" outlineLevel="0" collapsed="false">
      <c r="A958" s="0" t="n">
        <f aca="false">ROW()-1</f>
        <v>957</v>
      </c>
      <c r="B958" s="22" t="n">
        <f aca="false">SUMPRODUCT(MMULT('Analysis Data'!N958:U958,'Final Model'!$B$59:$I$66),'Analysis Data'!N958:U958)</f>
        <v>0.0314387761149589</v>
      </c>
      <c r="C958" s="15" t="n">
        <f aca="false">'Residual Diagnostics'!F958</f>
        <v>-4.79069281206012</v>
      </c>
      <c r="D958" s="13" t="n">
        <f aca="false">C958/('Final Model'!$B$21*SQRT(1-B958))</f>
        <v>-0.0992784512913289</v>
      </c>
      <c r="E958" s="13" t="n">
        <f aca="false">D958*SQRT(('Final Model'!$B$24-1)/('Final Model'!$B$24-D958^2))</f>
        <v>-0.0992427770135093</v>
      </c>
      <c r="F958" s="23" t="n">
        <f aca="false">D958^2/($P$3+1)*B958/(1-B958)</f>
        <v>3.9990658295057E-005</v>
      </c>
      <c r="G958" s="13" t="n">
        <f aca="false">($P$2-1)*(B958-1/$P$2)</f>
        <v>42.5434264199396</v>
      </c>
      <c r="H958" s="13" t="n">
        <f aca="false">E958*SQRT(B958/(1-B958))</f>
        <v>-0.0178800275900466</v>
      </c>
      <c r="I958" s="13" t="n">
        <f aca="false">ABS(D958)</f>
        <v>0.0992784512913289</v>
      </c>
      <c r="J958" s="6" t="n">
        <f aca="false">IF(B958&gt;$P$4,1,0)</f>
        <v>1</v>
      </c>
      <c r="K958" s="6" t="n">
        <f aca="false">IF(F958&gt;$P$6,1,0)</f>
        <v>0</v>
      </c>
      <c r="L958" s="6" t="n">
        <f aca="false">IF(G958&gt;$P$9,1,0)</f>
        <v>1</v>
      </c>
      <c r="M958" s="6" t="n">
        <f aca="false">IF(ABS(H958)&gt;$P$8,1,0)</f>
        <v>0</v>
      </c>
    </row>
    <row r="959" customFormat="false" ht="15" hidden="false" customHeight="false" outlineLevel="0" collapsed="false">
      <c r="A959" s="0" t="n">
        <f aca="false">ROW()-1</f>
        <v>958</v>
      </c>
      <c r="B959" s="22" t="n">
        <f aca="false">SUMPRODUCT(MMULT('Analysis Data'!N959:U959,'Final Model'!$B$59:$I$66),'Analysis Data'!N959:U959)</f>
        <v>0.0101026760938813</v>
      </c>
      <c r="C959" s="15" t="n">
        <f aca="false">'Residual Diagnostics'!F959</f>
        <v>-6.30217572330213</v>
      </c>
      <c r="D959" s="13" t="n">
        <f aca="false">C959/('Final Model'!$B$21*SQRT(1-B959))</f>
        <v>-0.129186056753606</v>
      </c>
      <c r="E959" s="13" t="n">
        <f aca="false">D959*SQRT(('Final Model'!$B$24-1)/('Final Model'!$B$24-D959^2))</f>
        <v>-0.129139955783199</v>
      </c>
      <c r="F959" s="23" t="n">
        <f aca="false">D959^2/($P$3+1)*B959/(1-B959)</f>
        <v>2.12905840939391E-005</v>
      </c>
      <c r="G959" s="13" t="n">
        <f aca="false">($P$2-1)*(B959-1/$P$2)</f>
        <v>12.9929278907471</v>
      </c>
      <c r="H959" s="13" t="n">
        <f aca="false">E959*SQRT(B959/(1-B959))</f>
        <v>-0.0130461922138611</v>
      </c>
      <c r="I959" s="13" t="n">
        <f aca="false">ABS(D959)</f>
        <v>0.129186056753606</v>
      </c>
      <c r="J959" s="6" t="n">
        <f aca="false">IF(B959&gt;$P$4,1,0)</f>
        <v>0</v>
      </c>
      <c r="K959" s="6" t="n">
        <f aca="false">IF(F959&gt;$P$6,1,0)</f>
        <v>0</v>
      </c>
      <c r="L959" s="6" t="n">
        <f aca="false">IF(G959&gt;$P$9,1,0)</f>
        <v>1</v>
      </c>
      <c r="M959" s="6" t="n">
        <f aca="false">IF(ABS(H959)&gt;$P$8,1,0)</f>
        <v>0</v>
      </c>
    </row>
    <row r="960" customFormat="false" ht="15" hidden="false" customHeight="false" outlineLevel="0" collapsed="false">
      <c r="A960" s="0" t="n">
        <f aca="false">ROW()-1</f>
        <v>959</v>
      </c>
      <c r="B960" s="22" t="n">
        <f aca="false">SUMPRODUCT(MMULT('Analysis Data'!N960:U960,'Final Model'!$B$59:$I$66),'Analysis Data'!N960:U960)</f>
        <v>0.0100609016729448</v>
      </c>
      <c r="C960" s="15" t="n">
        <f aca="false">'Residual Diagnostics'!F960</f>
        <v>-10.782180855042</v>
      </c>
      <c r="D960" s="13" t="n">
        <f aca="false">C960/('Final Model'!$B$21*SQRT(1-B960))</f>
        <v>-0.221015423732164</v>
      </c>
      <c r="E960" s="13" t="n">
        <f aca="false">D960*SQRT(('Final Model'!$B$24-1)/('Final Model'!$B$24-D960^2))</f>
        <v>-0.220939130900005</v>
      </c>
      <c r="F960" s="23" t="n">
        <f aca="false">D960^2/($P$3+1)*B960/(1-B960)</f>
        <v>6.20559751999816E-005</v>
      </c>
      <c r="G960" s="13" t="n">
        <f aca="false">($P$2-1)*(B960-1/$P$2)</f>
        <v>12.93507031775</v>
      </c>
      <c r="H960" s="13" t="n">
        <f aca="false">E960*SQRT(B960/(1-B960))</f>
        <v>-0.0222734173578041</v>
      </c>
      <c r="I960" s="13" t="n">
        <f aca="false">ABS(D960)</f>
        <v>0.221015423732164</v>
      </c>
      <c r="J960" s="6" t="n">
        <f aca="false">IF(B960&gt;$P$4,1,0)</f>
        <v>0</v>
      </c>
      <c r="K960" s="6" t="n">
        <f aca="false">IF(F960&gt;$P$6,1,0)</f>
        <v>0</v>
      </c>
      <c r="L960" s="6" t="n">
        <f aca="false">IF(G960&gt;$P$9,1,0)</f>
        <v>1</v>
      </c>
      <c r="M960" s="6" t="n">
        <f aca="false">IF(ABS(H960)&gt;$P$8,1,0)</f>
        <v>0</v>
      </c>
    </row>
    <row r="961" customFormat="false" ht="15" hidden="false" customHeight="false" outlineLevel="0" collapsed="false">
      <c r="A961" s="0" t="n">
        <f aca="false">ROW()-1</f>
        <v>960</v>
      </c>
      <c r="B961" s="22" t="n">
        <f aca="false">SUMPRODUCT(MMULT('Analysis Data'!N961:U961,'Final Model'!$B$59:$I$66),'Analysis Data'!N961:U961)</f>
        <v>0.0020019749940504</v>
      </c>
      <c r="C961" s="15" t="n">
        <f aca="false">'Residual Diagnostics'!F961</f>
        <v>-16.1224529035064</v>
      </c>
      <c r="D961" s="13" t="n">
        <f aca="false">C961/('Final Model'!$B$21*SQRT(1-B961))</f>
        <v>-0.329144410876627</v>
      </c>
      <c r="E961" s="13" t="n">
        <f aca="false">D961*SQRT(('Final Model'!$B$24-1)/('Final Model'!$B$24-D961^2))</f>
        <v>-0.329037895353256</v>
      </c>
      <c r="F961" s="23" t="n">
        <f aca="false">D961^2/($P$3+1)*B961/(1-B961)</f>
        <v>2.7165140114147E-005</v>
      </c>
      <c r="G961" s="13" t="n">
        <f aca="false">($P$2-1)*(B961-1/$P$2)</f>
        <v>1.7734568674813</v>
      </c>
      <c r="H961" s="13" t="n">
        <f aca="false">E961*SQRT(B961/(1-B961))</f>
        <v>-0.014737044739128</v>
      </c>
      <c r="I961" s="13" t="n">
        <f aca="false">ABS(D961)</f>
        <v>0.329144410876627</v>
      </c>
      <c r="J961" s="6" t="n">
        <f aca="false">IF(B961&gt;$P$4,1,0)</f>
        <v>0</v>
      </c>
      <c r="K961" s="6" t="n">
        <f aca="false">IF(F961&gt;$P$6,1,0)</f>
        <v>0</v>
      </c>
      <c r="L961" s="6" t="n">
        <f aca="false">IF(G961&gt;$P$9,1,0)</f>
        <v>0</v>
      </c>
      <c r="M961" s="6" t="n">
        <f aca="false">IF(ABS(H961)&gt;$P$8,1,0)</f>
        <v>0</v>
      </c>
    </row>
    <row r="962" customFormat="false" ht="15" hidden="false" customHeight="false" outlineLevel="0" collapsed="false">
      <c r="A962" s="0" t="n">
        <f aca="false">ROW()-1</f>
        <v>961</v>
      </c>
      <c r="B962" s="22" t="n">
        <f aca="false">SUMPRODUCT(MMULT('Analysis Data'!N962:U962,'Final Model'!$B$59:$I$66),'Analysis Data'!N962:U962)</f>
        <v>0.0020019749940504</v>
      </c>
      <c r="C962" s="15" t="n">
        <f aca="false">'Residual Diagnostics'!F962</f>
        <v>-49.2531222286706</v>
      </c>
      <c r="D962" s="13" t="n">
        <f aca="false">C962/('Final Model'!$B$21*SQRT(1-B962))</f>
        <v>-1.00551634399654</v>
      </c>
      <c r="E962" s="13" t="n">
        <f aca="false">D962*SQRT(('Final Model'!$B$24-1)/('Final Model'!$B$24-D962^2))</f>
        <v>-1.00552038328959</v>
      </c>
      <c r="F962" s="23" t="n">
        <f aca="false">D962^2/($P$3+1)*B962/(1-B962)</f>
        <v>0.000253522931535736</v>
      </c>
      <c r="G962" s="13" t="n">
        <f aca="false">($P$2-1)*(B962-1/$P$2)</f>
        <v>1.7734568674813</v>
      </c>
      <c r="H962" s="13" t="n">
        <f aca="false">E962*SQRT(B962/(1-B962))</f>
        <v>-0.045035538714271</v>
      </c>
      <c r="I962" s="13" t="n">
        <f aca="false">ABS(D962)</f>
        <v>1.00551634399654</v>
      </c>
      <c r="J962" s="6" t="n">
        <f aca="false">IF(B962&gt;$P$4,1,0)</f>
        <v>0</v>
      </c>
      <c r="K962" s="6" t="n">
        <f aca="false">IF(F962&gt;$P$6,1,0)</f>
        <v>0</v>
      </c>
      <c r="L962" s="6" t="n">
        <f aca="false">IF(G962&gt;$P$9,1,0)</f>
        <v>0</v>
      </c>
      <c r="M962" s="6" t="n">
        <f aca="false">IF(ABS(H962)&gt;$P$8,1,0)</f>
        <v>0</v>
      </c>
    </row>
    <row r="963" customFormat="false" ht="15" hidden="false" customHeight="false" outlineLevel="0" collapsed="false">
      <c r="A963" s="0" t="n">
        <f aca="false">ROW()-1</f>
        <v>962</v>
      </c>
      <c r="B963" s="22" t="n">
        <f aca="false">SUMPRODUCT(MMULT('Analysis Data'!N963:U963,'Final Model'!$B$59:$I$66),'Analysis Data'!N963:U963)</f>
        <v>0.00195713999192687</v>
      </c>
      <c r="C963" s="15" t="n">
        <f aca="false">'Residual Diagnostics'!F963</f>
        <v>-36.2455776733106</v>
      </c>
      <c r="D963" s="13" t="n">
        <f aca="false">C963/('Final Model'!$B$21*SQRT(1-B963))</f>
        <v>-0.739947042342995</v>
      </c>
      <c r="E963" s="13" t="n">
        <f aca="false">D963*SQRT(('Final Model'!$B$24-1)/('Final Model'!$B$24-D963^2))</f>
        <v>-0.7398255000248</v>
      </c>
      <c r="F963" s="23" t="n">
        <f aca="false">D963^2/($P$3+1)*B963/(1-B963)</f>
        <v>0.000134209725928964</v>
      </c>
      <c r="G963" s="13" t="n">
        <f aca="false">($P$2-1)*(B963-1/$P$2)</f>
        <v>1.71136038954021</v>
      </c>
      <c r="H963" s="13" t="n">
        <f aca="false">E963*SQRT(B963/(1-B963))</f>
        <v>-0.0327616409201446</v>
      </c>
      <c r="I963" s="13" t="n">
        <f aca="false">ABS(D963)</f>
        <v>0.739947042342995</v>
      </c>
      <c r="J963" s="6" t="n">
        <f aca="false">IF(B963&gt;$P$4,1,0)</f>
        <v>0</v>
      </c>
      <c r="K963" s="6" t="n">
        <f aca="false">IF(F963&gt;$P$6,1,0)</f>
        <v>0</v>
      </c>
      <c r="L963" s="6" t="n">
        <f aca="false">IF(G963&gt;$P$9,1,0)</f>
        <v>0</v>
      </c>
      <c r="M963" s="6" t="n">
        <f aca="false">IF(ABS(H963)&gt;$P$8,1,0)</f>
        <v>0</v>
      </c>
    </row>
    <row r="964" customFormat="false" ht="15" hidden="false" customHeight="false" outlineLevel="0" collapsed="false">
      <c r="A964" s="0" t="n">
        <f aca="false">ROW()-1</f>
        <v>963</v>
      </c>
      <c r="B964" s="22" t="n">
        <f aca="false">SUMPRODUCT(MMULT('Analysis Data'!N964:U964,'Final Model'!$B$59:$I$66),'Analysis Data'!N964:U964)</f>
        <v>0.00204903042774835</v>
      </c>
      <c r="C964" s="15" t="n">
        <f aca="false">'Residual Diagnostics'!F964</f>
        <v>35.3992428544076</v>
      </c>
      <c r="D964" s="13" t="n">
        <f aca="false">C964/('Final Model'!$B$21*SQRT(1-B964))</f>
        <v>0.72270253766411</v>
      </c>
      <c r="E964" s="13" t="n">
        <f aca="false">D964*SQRT(('Final Model'!$B$24-1)/('Final Model'!$B$24-D964^2))</f>
        <v>0.72257721233518</v>
      </c>
      <c r="F964" s="23" t="n">
        <f aca="false">D964^2/($P$3+1)*B964/(1-B964)</f>
        <v>0.000134050480665351</v>
      </c>
      <c r="G964" s="13" t="n">
        <f aca="false">($P$2-1)*(B964-1/$P$2)</f>
        <v>1.83862864315297</v>
      </c>
      <c r="H964" s="13" t="n">
        <f aca="false">E964*SQRT(B964/(1-B964))</f>
        <v>0.0327418988770104</v>
      </c>
      <c r="I964" s="13" t="n">
        <f aca="false">ABS(D964)</f>
        <v>0.72270253766411</v>
      </c>
      <c r="J964" s="6" t="n">
        <f aca="false">IF(B964&gt;$P$4,1,0)</f>
        <v>0</v>
      </c>
      <c r="K964" s="6" t="n">
        <f aca="false">IF(F964&gt;$P$6,1,0)</f>
        <v>0</v>
      </c>
      <c r="L964" s="6" t="n">
        <f aca="false">IF(G964&gt;$P$9,1,0)</f>
        <v>0</v>
      </c>
      <c r="M964" s="6" t="n">
        <f aca="false">IF(ABS(H964)&gt;$P$8,1,0)</f>
        <v>0</v>
      </c>
    </row>
    <row r="965" customFormat="false" ht="15" hidden="false" customHeight="false" outlineLevel="0" collapsed="false">
      <c r="A965" s="0" t="n">
        <f aca="false">ROW()-1</f>
        <v>964</v>
      </c>
      <c r="B965" s="22" t="n">
        <f aca="false">SUMPRODUCT(MMULT('Analysis Data'!N965:U965,'Final Model'!$B$59:$I$66),'Analysis Data'!N965:U965)</f>
        <v>0.00204903042774835</v>
      </c>
      <c r="C965" s="15" t="n">
        <f aca="false">'Residual Diagnostics'!F965</f>
        <v>-106.874744057957</v>
      </c>
      <c r="D965" s="13" t="n">
        <f aca="false">C965/('Final Model'!$B$21*SQRT(1-B965))</f>
        <v>-2.1819294005965</v>
      </c>
      <c r="E965" s="13" t="n">
        <f aca="false">D965*SQRT(('Final Model'!$B$24-1)/('Final Model'!$B$24-D965^2))</f>
        <v>-2.1849151238261</v>
      </c>
      <c r="F965" s="23" t="n">
        <f aca="false">D965^2/($P$3+1)*B965/(1-B965)</f>
        <v>0.00122188576346274</v>
      </c>
      <c r="G965" s="13" t="n">
        <f aca="false">($P$2-1)*(B965-1/$P$2)</f>
        <v>1.83862864315297</v>
      </c>
      <c r="H965" s="13" t="n">
        <f aca="false">E965*SQRT(B965/(1-B965))</f>
        <v>-0.0990043262061529</v>
      </c>
      <c r="I965" s="13" t="n">
        <f aca="false">ABS(D965)</f>
        <v>2.1819294005965</v>
      </c>
      <c r="J965" s="6" t="n">
        <f aca="false">IF(B965&gt;$P$4,1,0)</f>
        <v>0</v>
      </c>
      <c r="K965" s="6" t="n">
        <f aca="false">IF(F965&gt;$P$6,1,0)</f>
        <v>0</v>
      </c>
      <c r="L965" s="6" t="n">
        <f aca="false">IF(G965&gt;$P$9,1,0)</f>
        <v>0</v>
      </c>
      <c r="M965" s="6" t="n">
        <f aca="false">IF(ABS(H965)&gt;$P$8,1,0)</f>
        <v>0</v>
      </c>
    </row>
    <row r="966" customFormat="false" ht="15" hidden="false" customHeight="false" outlineLevel="0" collapsed="false">
      <c r="A966" s="0" t="n">
        <f aca="false">ROW()-1</f>
        <v>965</v>
      </c>
      <c r="B966" s="22" t="n">
        <f aca="false">SUMPRODUCT(MMULT('Analysis Data'!N966:U966,'Final Model'!$B$59:$I$66),'Analysis Data'!N966:U966)</f>
        <v>0.0378484687546958</v>
      </c>
      <c r="C966" s="15" t="n">
        <f aca="false">'Residual Diagnostics'!F966</f>
        <v>23.2622575958834</v>
      </c>
      <c r="D966" s="13" t="n">
        <f aca="false">C966/('Final Model'!$B$21*SQRT(1-B966))</f>
        <v>0.483671315201445</v>
      </c>
      <c r="E966" s="13" t="n">
        <f aca="false">D966*SQRT(('Final Model'!$B$24-1)/('Final Model'!$B$24-D966^2))</f>
        <v>0.483536831644232</v>
      </c>
      <c r="F966" s="23" t="n">
        <f aca="false">D966^2/($P$3+1)*B966/(1-B966)</f>
        <v>0.00115031164122407</v>
      </c>
      <c r="G966" s="13" t="n">
        <f aca="false">($P$2-1)*(B966-1/$P$2)</f>
        <v>51.4208507259752</v>
      </c>
      <c r="H966" s="13" t="n">
        <f aca="false">E966*SQRT(B966/(1-B966))</f>
        <v>0.0959029529391679</v>
      </c>
      <c r="I966" s="13" t="n">
        <f aca="false">ABS(D966)</f>
        <v>0.483671315201445</v>
      </c>
      <c r="J966" s="6" t="n">
        <f aca="false">IF(B966&gt;$P$4,1,0)</f>
        <v>1</v>
      </c>
      <c r="K966" s="6" t="n">
        <f aca="false">IF(F966&gt;$P$6,1,0)</f>
        <v>0</v>
      </c>
      <c r="L966" s="6" t="n">
        <f aca="false">IF(G966&gt;$P$9,1,0)</f>
        <v>1</v>
      </c>
      <c r="M966" s="6" t="n">
        <f aca="false">IF(ABS(H966)&gt;$P$8,1,0)</f>
        <v>0</v>
      </c>
    </row>
    <row r="967" customFormat="false" ht="15" hidden="false" customHeight="false" outlineLevel="0" collapsed="false">
      <c r="A967" s="0" t="n">
        <f aca="false">ROW()-1</f>
        <v>966</v>
      </c>
      <c r="B967" s="22" t="n">
        <f aca="false">SUMPRODUCT(MMULT('Analysis Data'!N967:U967,'Final Model'!$B$59:$I$66),'Analysis Data'!N967:U967)</f>
        <v>0.0388679610300862</v>
      </c>
      <c r="C967" s="15" t="n">
        <f aca="false">'Residual Diagnostics'!F967</f>
        <v>-2.5223960228434</v>
      </c>
      <c r="D967" s="13" t="n">
        <f aca="false">C967/('Final Model'!$B$21*SQRT(1-B967))</f>
        <v>-0.0524737321954353</v>
      </c>
      <c r="E967" s="13" t="n">
        <f aca="false">D967*SQRT(('Final Model'!$B$24-1)/('Final Model'!$B$24-D967^2))</f>
        <v>-0.0524547413312312</v>
      </c>
      <c r="F967" s="23" t="n">
        <f aca="false">D967^2/($P$3+1)*B967/(1-B967)</f>
        <v>1.39188266528703E-005</v>
      </c>
      <c r="G967" s="13" t="n">
        <f aca="false">($P$2-1)*(B967-1/$P$2)</f>
        <v>52.8328475273909</v>
      </c>
      <c r="H967" s="13" t="n">
        <f aca="false">E967*SQRT(B967/(1-B967))</f>
        <v>-0.0105484610062465</v>
      </c>
      <c r="I967" s="13" t="n">
        <f aca="false">ABS(D967)</f>
        <v>0.0524737321954353</v>
      </c>
      <c r="J967" s="6" t="n">
        <f aca="false">IF(B967&gt;$P$4,1,0)</f>
        <v>1</v>
      </c>
      <c r="K967" s="6" t="n">
        <f aca="false">IF(F967&gt;$P$6,1,0)</f>
        <v>0</v>
      </c>
      <c r="L967" s="6" t="n">
        <f aca="false">IF(G967&gt;$P$9,1,0)</f>
        <v>1</v>
      </c>
      <c r="M967" s="6" t="n">
        <f aca="false">IF(ABS(H967)&gt;$P$8,1,0)</f>
        <v>0</v>
      </c>
    </row>
    <row r="968" customFormat="false" ht="15" hidden="false" customHeight="false" outlineLevel="0" collapsed="false">
      <c r="A968" s="0" t="n">
        <f aca="false">ROW()-1</f>
        <v>967</v>
      </c>
      <c r="B968" s="22" t="n">
        <f aca="false">SUMPRODUCT(MMULT('Analysis Data'!N968:U968,'Final Model'!$B$59:$I$66),'Analysis Data'!N968:U968)</f>
        <v>0.0305716297532353</v>
      </c>
      <c r="C968" s="15" t="n">
        <f aca="false">'Residual Diagnostics'!F968</f>
        <v>-78.8913338270082</v>
      </c>
      <c r="D968" s="13" t="n">
        <f aca="false">C968/('Final Model'!$B$21*SQRT(1-B968))</f>
        <v>-1.63414897175981</v>
      </c>
      <c r="E968" s="13" t="n">
        <f aca="false">D968*SQRT(('Final Model'!$B$24-1)/('Final Model'!$B$24-D968^2))</f>
        <v>-1.63514107001754</v>
      </c>
      <c r="F968" s="23" t="n">
        <f aca="false">D968^2/($P$3+1)*B968/(1-B968)</f>
        <v>0.0105267950883399</v>
      </c>
      <c r="G968" s="13" t="n">
        <f aca="false">($P$2-1)*(B968-1/$P$2)</f>
        <v>41.3424287089523</v>
      </c>
      <c r="H968" s="13" t="n">
        <f aca="false">E968*SQRT(B968/(1-B968))</f>
        <v>-0.290373286450731</v>
      </c>
      <c r="I968" s="13" t="n">
        <f aca="false">ABS(D968)</f>
        <v>1.63414897175981</v>
      </c>
      <c r="J968" s="6" t="n">
        <f aca="false">IF(B968&gt;$P$4,1,0)</f>
        <v>1</v>
      </c>
      <c r="K968" s="6" t="n">
        <f aca="false">IF(F968&gt;$P$6,1,0)</f>
        <v>1</v>
      </c>
      <c r="L968" s="6" t="n">
        <f aca="false">IF(G968&gt;$P$9,1,0)</f>
        <v>1</v>
      </c>
      <c r="M968" s="6" t="n">
        <f aca="false">IF(ABS(H968)&gt;$P$8,1,0)</f>
        <v>1</v>
      </c>
    </row>
    <row r="969" customFormat="false" ht="15" hidden="false" customHeight="false" outlineLevel="0" collapsed="false">
      <c r="A969" s="0" t="n">
        <f aca="false">ROW()-1</f>
        <v>968</v>
      </c>
      <c r="B969" s="22" t="n">
        <f aca="false">SUMPRODUCT(MMULT('Analysis Data'!N969:U969,'Final Model'!$B$59:$I$66),'Analysis Data'!N969:U969)</f>
        <v>0.0305716297532353</v>
      </c>
      <c r="C969" s="15" t="n">
        <f aca="false">'Residual Diagnostics'!F969</f>
        <v>-9.68581548695613</v>
      </c>
      <c r="D969" s="13" t="n">
        <f aca="false">C969/('Final Model'!$B$21*SQRT(1-B969))</f>
        <v>-0.200631230971099</v>
      </c>
      <c r="E969" s="13" t="n">
        <f aca="false">D969*SQRT(('Final Model'!$B$24-1)/('Final Model'!$B$24-D969^2))</f>
        <v>-0.200561349109661</v>
      </c>
      <c r="F969" s="23" t="n">
        <f aca="false">D969^2/($P$3+1)*B969/(1-B969)</f>
        <v>0.000158675528932394</v>
      </c>
      <c r="G969" s="13" t="n">
        <f aca="false">($P$2-1)*(B969-1/$P$2)</f>
        <v>41.3424287089523</v>
      </c>
      <c r="H969" s="13" t="n">
        <f aca="false">E969*SQRT(B969/(1-B969))</f>
        <v>-0.0356162897158103</v>
      </c>
      <c r="I969" s="13" t="n">
        <f aca="false">ABS(D969)</f>
        <v>0.200631230971099</v>
      </c>
      <c r="J969" s="6" t="n">
        <f aca="false">IF(B969&gt;$P$4,1,0)</f>
        <v>1</v>
      </c>
      <c r="K969" s="6" t="n">
        <f aca="false">IF(F969&gt;$P$6,1,0)</f>
        <v>0</v>
      </c>
      <c r="L969" s="6" t="n">
        <f aca="false">IF(G969&gt;$P$9,1,0)</f>
        <v>1</v>
      </c>
      <c r="M969" s="6" t="n">
        <f aca="false">IF(ABS(H969)&gt;$P$8,1,0)</f>
        <v>0</v>
      </c>
    </row>
    <row r="970" customFormat="false" ht="15" hidden="false" customHeight="false" outlineLevel="0" collapsed="false">
      <c r="A970" s="0" t="n">
        <f aca="false">ROW()-1</f>
        <v>969</v>
      </c>
      <c r="B970" s="22" t="n">
        <f aca="false">SUMPRODUCT(MMULT('Analysis Data'!N970:U970,'Final Model'!$B$59:$I$66),'Analysis Data'!N970:U970)</f>
        <v>0.00226792089668185</v>
      </c>
      <c r="C970" s="15" t="n">
        <f aca="false">'Residual Diagnostics'!F970</f>
        <v>7.67804282911084</v>
      </c>
      <c r="D970" s="13" t="n">
        <f aca="false">C970/('Final Model'!$B$21*SQRT(1-B970))</f>
        <v>0.156770293419534</v>
      </c>
      <c r="E970" s="13" t="n">
        <f aca="false">D970*SQRT(('Final Model'!$B$24-1)/('Final Model'!$B$24-D970^2))</f>
        <v>0.156714797352625</v>
      </c>
      <c r="F970" s="23" t="n">
        <f aca="false">D970^2/($P$3+1)*B970/(1-B970)</f>
        <v>6.98315243160873E-006</v>
      </c>
      <c r="G970" s="13" t="n">
        <f aca="false">($P$2-1)*(B970-1/$P$2)</f>
        <v>2.14179194262586</v>
      </c>
      <c r="H970" s="13" t="n">
        <f aca="false">E970*SQRT(B970/(1-B970))</f>
        <v>0.00747165807019145</v>
      </c>
      <c r="I970" s="13" t="n">
        <f aca="false">ABS(D970)</f>
        <v>0.156770293419534</v>
      </c>
      <c r="J970" s="6" t="n">
        <f aca="false">IF(B970&gt;$P$4,1,0)</f>
        <v>0</v>
      </c>
      <c r="K970" s="6" t="n">
        <f aca="false">IF(F970&gt;$P$6,1,0)</f>
        <v>0</v>
      </c>
      <c r="L970" s="6" t="n">
        <f aca="false">IF(G970&gt;$P$9,1,0)</f>
        <v>0</v>
      </c>
      <c r="M970" s="6" t="n">
        <f aca="false">IF(ABS(H970)&gt;$P$8,1,0)</f>
        <v>0</v>
      </c>
    </row>
    <row r="971" customFormat="false" ht="15" hidden="false" customHeight="false" outlineLevel="0" collapsed="false">
      <c r="A971" s="0" t="n">
        <f aca="false">ROW()-1</f>
        <v>970</v>
      </c>
      <c r="B971" s="22" t="n">
        <f aca="false">SUMPRODUCT(MMULT('Analysis Data'!N971:U971,'Final Model'!$B$59:$I$66),'Analysis Data'!N971:U971)</f>
        <v>0.00194613739698309</v>
      </c>
      <c r="C971" s="15" t="n">
        <f aca="false">'Residual Diagnostics'!F971</f>
        <v>-66.8524800362206</v>
      </c>
      <c r="D971" s="13" t="n">
        <f aca="false">C971/('Final Model'!$B$21*SQRT(1-B971))</f>
        <v>-1.36477400515598</v>
      </c>
      <c r="E971" s="13" t="n">
        <f aca="false">D971*SQRT(('Final Model'!$B$24-1)/('Final Model'!$B$24-D971^2))</f>
        <v>-1.36520168071689</v>
      </c>
      <c r="F971" s="23" t="n">
        <f aca="false">D971^2/($P$3+1)*B971/(1-B971)</f>
        <v>0.000453994942840367</v>
      </c>
      <c r="G971" s="13" t="n">
        <f aca="false">($P$2-1)*(B971-1/$P$2)</f>
        <v>1.69612179554308</v>
      </c>
      <c r="H971" s="13" t="n">
        <f aca="false">E971*SQRT(B971/(1-B971))</f>
        <v>-0.0602846263501179</v>
      </c>
      <c r="I971" s="13" t="n">
        <f aca="false">ABS(D971)</f>
        <v>1.36477400515598</v>
      </c>
      <c r="J971" s="6" t="n">
        <f aca="false">IF(B971&gt;$P$4,1,0)</f>
        <v>0</v>
      </c>
      <c r="K971" s="6" t="n">
        <f aca="false">IF(F971&gt;$P$6,1,0)</f>
        <v>0</v>
      </c>
      <c r="L971" s="6" t="n">
        <f aca="false">IF(G971&gt;$P$9,1,0)</f>
        <v>0</v>
      </c>
      <c r="M971" s="6" t="n">
        <f aca="false">IF(ABS(H971)&gt;$P$8,1,0)</f>
        <v>0</v>
      </c>
    </row>
    <row r="972" customFormat="false" ht="15" hidden="false" customHeight="false" outlineLevel="0" collapsed="false">
      <c r="A972" s="0" t="n">
        <f aca="false">ROW()-1</f>
        <v>971</v>
      </c>
      <c r="B972" s="22" t="n">
        <f aca="false">SUMPRODUCT(MMULT('Analysis Data'!N972:U972,'Final Model'!$B$59:$I$66),'Analysis Data'!N972:U972)</f>
        <v>0.00195713999192687</v>
      </c>
      <c r="C972" s="15" t="n">
        <f aca="false">'Residual Diagnostics'!F972</f>
        <v>-43.2596229435715</v>
      </c>
      <c r="D972" s="13" t="n">
        <f aca="false">C972/('Final Model'!$B$21*SQRT(1-B972))</f>
        <v>-0.883137533038666</v>
      </c>
      <c r="E972" s="13" t="n">
        <f aca="false">D972*SQRT(('Final Model'!$B$24-1)/('Final Model'!$B$24-D972^2))</f>
        <v>-0.883066971272269</v>
      </c>
      <c r="F972" s="23" t="n">
        <f aca="false">D972^2/($P$3+1)*B972/(1-B972)</f>
        <v>0.000191178652999365</v>
      </c>
      <c r="G972" s="13" t="n">
        <f aca="false">($P$2-1)*(B972-1/$P$2)</f>
        <v>1.71136038954021</v>
      </c>
      <c r="H972" s="13" t="n">
        <f aca="false">E972*SQRT(B972/(1-B972))</f>
        <v>-0.0391047929819828</v>
      </c>
      <c r="I972" s="13" t="n">
        <f aca="false">ABS(D972)</f>
        <v>0.883137533038666</v>
      </c>
      <c r="J972" s="6" t="n">
        <f aca="false">IF(B972&gt;$P$4,1,0)</f>
        <v>0</v>
      </c>
      <c r="K972" s="6" t="n">
        <f aca="false">IF(F972&gt;$P$6,1,0)</f>
        <v>0</v>
      </c>
      <c r="L972" s="6" t="n">
        <f aca="false">IF(G972&gt;$P$9,1,0)</f>
        <v>0</v>
      </c>
      <c r="M972" s="6" t="n">
        <f aca="false">IF(ABS(H972)&gt;$P$8,1,0)</f>
        <v>0</v>
      </c>
    </row>
    <row r="973" customFormat="false" ht="15" hidden="false" customHeight="false" outlineLevel="0" collapsed="false">
      <c r="A973" s="0" t="n">
        <f aca="false">ROW()-1</f>
        <v>972</v>
      </c>
      <c r="B973" s="22" t="n">
        <f aca="false">SUMPRODUCT(MMULT('Analysis Data'!N973:U973,'Final Model'!$B$59:$I$66),'Analysis Data'!N973:U973)</f>
        <v>0.00207775245608168</v>
      </c>
      <c r="C973" s="15" t="n">
        <f aca="false">'Residual Diagnostics'!F973</f>
        <v>-31.8010955715029</v>
      </c>
      <c r="D973" s="13" t="n">
        <f aca="false">C973/('Final Model'!$B$21*SQRT(1-B973))</f>
        <v>-0.649252960147149</v>
      </c>
      <c r="E973" s="13" t="n">
        <f aca="false">D973*SQRT(('Final Model'!$B$24-1)/('Final Model'!$B$24-D973^2))</f>
        <v>-0.649116629190609</v>
      </c>
      <c r="F973" s="23" t="n">
        <f aca="false">D973^2/($P$3+1)*B973/(1-B973)</f>
        <v>0.000109707164225798</v>
      </c>
      <c r="G973" s="13" t="n">
        <f aca="false">($P$2-1)*(B973-1/$P$2)</f>
        <v>1.87840865239462</v>
      </c>
      <c r="H973" s="13" t="n">
        <f aca="false">E973*SQRT(B973/(1-B973))</f>
        <v>-0.02961906091222</v>
      </c>
      <c r="I973" s="13" t="n">
        <f aca="false">ABS(D973)</f>
        <v>0.649252960147149</v>
      </c>
      <c r="J973" s="6" t="n">
        <f aca="false">IF(B973&gt;$P$4,1,0)</f>
        <v>0</v>
      </c>
      <c r="K973" s="6" t="n">
        <f aca="false">IF(F973&gt;$P$6,1,0)</f>
        <v>0</v>
      </c>
      <c r="L973" s="6" t="n">
        <f aca="false">IF(G973&gt;$P$9,1,0)</f>
        <v>0</v>
      </c>
      <c r="M973" s="6" t="n">
        <f aca="false">IF(ABS(H973)&gt;$P$8,1,0)</f>
        <v>0</v>
      </c>
    </row>
    <row r="974" customFormat="false" ht="15" hidden="false" customHeight="false" outlineLevel="0" collapsed="false">
      <c r="A974" s="0" t="n">
        <f aca="false">ROW()-1</f>
        <v>973</v>
      </c>
      <c r="B974" s="22" t="n">
        <f aca="false">SUMPRODUCT(MMULT('Analysis Data'!N974:U974,'Final Model'!$B$59:$I$66),'Analysis Data'!N974:U974)</f>
        <v>0.00199329882098969</v>
      </c>
      <c r="C974" s="15" t="n">
        <f aca="false">'Residual Diagnostics'!F974</f>
        <v>54.3479678719291</v>
      </c>
      <c r="D974" s="13" t="n">
        <f aca="false">C974/('Final Model'!$B$21*SQRT(1-B974))</f>
        <v>1.10952422800221</v>
      </c>
      <c r="E974" s="13" t="n">
        <f aca="false">D974*SQRT(('Final Model'!$B$24-1)/('Final Model'!$B$24-D974^2))</f>
        <v>1.10961732211744</v>
      </c>
      <c r="F974" s="23" t="n">
        <f aca="false">D974^2/($P$3+1)*B974/(1-B974)</f>
        <v>0.000307342447682392</v>
      </c>
      <c r="G974" s="13" t="n">
        <f aca="false">($P$2-1)*(B974-1/$P$2)</f>
        <v>1.76144036779222</v>
      </c>
      <c r="H974" s="13" t="n">
        <f aca="false">E974*SQRT(B974/(1-B974))</f>
        <v>0.0495898396607077</v>
      </c>
      <c r="I974" s="13" t="n">
        <f aca="false">ABS(D974)</f>
        <v>1.10952422800221</v>
      </c>
      <c r="J974" s="6" t="n">
        <f aca="false">IF(B974&gt;$P$4,1,0)</f>
        <v>0</v>
      </c>
      <c r="K974" s="6" t="n">
        <f aca="false">IF(F974&gt;$P$6,1,0)</f>
        <v>0</v>
      </c>
      <c r="L974" s="6" t="n">
        <f aca="false">IF(G974&gt;$P$9,1,0)</f>
        <v>0</v>
      </c>
      <c r="M974" s="6" t="n">
        <f aca="false">IF(ABS(H974)&gt;$P$8,1,0)</f>
        <v>0</v>
      </c>
    </row>
    <row r="975" customFormat="false" ht="15" hidden="false" customHeight="false" outlineLevel="0" collapsed="false">
      <c r="A975" s="0" t="n">
        <f aca="false">ROW()-1</f>
        <v>974</v>
      </c>
      <c r="B975" s="22" t="n">
        <f aca="false">SUMPRODUCT(MMULT('Analysis Data'!N975:U975,'Final Model'!$B$59:$I$66),'Analysis Data'!N975:U975)</f>
        <v>0.00193797508952462</v>
      </c>
      <c r="C975" s="15" t="n">
        <f aca="false">'Residual Diagnostics'!F975</f>
        <v>-9.40969956095208</v>
      </c>
      <c r="D975" s="13" t="n">
        <f aca="false">C975/('Final Model'!$B$21*SQRT(1-B975))</f>
        <v>-0.192095503975968</v>
      </c>
      <c r="E975" s="13" t="n">
        <f aca="false">D975*SQRT(('Final Model'!$B$24-1)/('Final Model'!$B$24-D975^2))</f>
        <v>-0.192028361616761</v>
      </c>
      <c r="F975" s="23" t="n">
        <f aca="false">D975^2/($P$3+1)*B975/(1-B975)</f>
        <v>8.95643281341509E-006</v>
      </c>
      <c r="G975" s="13" t="n">
        <f aca="false">($P$2-1)*(B975-1/$P$2)</f>
        <v>1.6848169997131</v>
      </c>
      <c r="H975" s="13" t="n">
        <f aca="false">E975*SQRT(B975/(1-B975))</f>
        <v>-0.0084617600517313</v>
      </c>
      <c r="I975" s="13" t="n">
        <f aca="false">ABS(D975)</f>
        <v>0.192095503975968</v>
      </c>
      <c r="J975" s="6" t="n">
        <f aca="false">IF(B975&gt;$P$4,1,0)</f>
        <v>0</v>
      </c>
      <c r="K975" s="6" t="n">
        <f aca="false">IF(F975&gt;$P$6,1,0)</f>
        <v>0</v>
      </c>
      <c r="L975" s="6" t="n">
        <f aca="false">IF(G975&gt;$P$9,1,0)</f>
        <v>0</v>
      </c>
      <c r="M975" s="6" t="n">
        <f aca="false">IF(ABS(H975)&gt;$P$8,1,0)</f>
        <v>0</v>
      </c>
    </row>
    <row r="976" customFormat="false" ht="15" hidden="false" customHeight="false" outlineLevel="0" collapsed="false">
      <c r="A976" s="0" t="n">
        <f aca="false">ROW()-1</f>
        <v>975</v>
      </c>
      <c r="B976" s="22" t="n">
        <f aca="false">SUMPRODUCT(MMULT('Analysis Data'!N976:U976,'Final Model'!$B$59:$I$66),'Analysis Data'!N976:U976)</f>
        <v>0.00197284642119414</v>
      </c>
      <c r="C976" s="15" t="n">
        <f aca="false">'Residual Diagnostics'!F976</f>
        <v>-23.6310241626616</v>
      </c>
      <c r="D976" s="13" t="n">
        <f aca="false">C976/('Final Model'!$B$21*SQRT(1-B976))</f>
        <v>-0.482426964862037</v>
      </c>
      <c r="E976" s="13" t="n">
        <f aca="false">D976*SQRT(('Final Model'!$B$24-1)/('Final Model'!$B$24-D976^2))</f>
        <v>-0.482292616881933</v>
      </c>
      <c r="F976" s="23" t="n">
        <f aca="false">D976^2/($P$3+1)*B976/(1-B976)</f>
        <v>5.75074463103789E-005</v>
      </c>
      <c r="G976" s="13" t="n">
        <f aca="false">($P$2-1)*(B976-1/$P$2)</f>
        <v>1.73311379407538</v>
      </c>
      <c r="H976" s="13" t="n">
        <f aca="false">E976*SQRT(B976/(1-B976))</f>
        <v>-0.021443026094869</v>
      </c>
      <c r="I976" s="13" t="n">
        <f aca="false">ABS(D976)</f>
        <v>0.482426964862037</v>
      </c>
      <c r="J976" s="6" t="n">
        <f aca="false">IF(B976&gt;$P$4,1,0)</f>
        <v>0</v>
      </c>
      <c r="K976" s="6" t="n">
        <f aca="false">IF(F976&gt;$P$6,1,0)</f>
        <v>0</v>
      </c>
      <c r="L976" s="6" t="n">
        <f aca="false">IF(G976&gt;$P$9,1,0)</f>
        <v>0</v>
      </c>
      <c r="M976" s="6" t="n">
        <f aca="false">IF(ABS(H976)&gt;$P$8,1,0)</f>
        <v>0</v>
      </c>
    </row>
    <row r="977" customFormat="false" ht="15" hidden="false" customHeight="false" outlineLevel="0" collapsed="false">
      <c r="A977" s="0" t="n">
        <f aca="false">ROW()-1</f>
        <v>976</v>
      </c>
      <c r="B977" s="22" t="n">
        <f aca="false">SUMPRODUCT(MMULT('Analysis Data'!N977:U977,'Final Model'!$B$59:$I$66),'Analysis Data'!N977:U977)</f>
        <v>0.00193797508952462</v>
      </c>
      <c r="C977" s="15" t="n">
        <f aca="false">'Residual Diagnostics'!F977</f>
        <v>-67.3604226442759</v>
      </c>
      <c r="D977" s="13" t="n">
        <f aca="false">C977/('Final Model'!$B$21*SQRT(1-B977))</f>
        <v>-1.37513788320965</v>
      </c>
      <c r="E977" s="13" t="n">
        <f aca="false">D977*SQRT(('Final Model'!$B$24-1)/('Final Model'!$B$24-D977^2))</f>
        <v>-1.37558299888087</v>
      </c>
      <c r="F977" s="23" t="n">
        <f aca="false">D977^2/($P$3+1)*B977/(1-B977)</f>
        <v>0.000458979369283921</v>
      </c>
      <c r="G977" s="13" t="n">
        <f aca="false">($P$2-1)*(B977-1/$P$2)</f>
        <v>1.6848169997131</v>
      </c>
      <c r="H977" s="13" t="n">
        <f aca="false">E977*SQRT(B977/(1-B977))</f>
        <v>-0.0606152818769604</v>
      </c>
      <c r="I977" s="13" t="n">
        <f aca="false">ABS(D977)</f>
        <v>1.37513788320965</v>
      </c>
      <c r="J977" s="6" t="n">
        <f aca="false">IF(B977&gt;$P$4,1,0)</f>
        <v>0</v>
      </c>
      <c r="K977" s="6" t="n">
        <f aca="false">IF(F977&gt;$P$6,1,0)</f>
        <v>0</v>
      </c>
      <c r="L977" s="6" t="n">
        <f aca="false">IF(G977&gt;$P$9,1,0)</f>
        <v>0</v>
      </c>
      <c r="M977" s="6" t="n">
        <f aca="false">IF(ABS(H977)&gt;$P$8,1,0)</f>
        <v>0</v>
      </c>
    </row>
    <row r="978" customFormat="false" ht="15" hidden="false" customHeight="false" outlineLevel="0" collapsed="false">
      <c r="A978" s="0" t="n">
        <f aca="false">ROW()-1</f>
        <v>977</v>
      </c>
      <c r="B978" s="22" t="n">
        <f aca="false">SUMPRODUCT(MMULT('Analysis Data'!N978:U978,'Final Model'!$B$59:$I$66),'Analysis Data'!N978:U978)</f>
        <v>0.00195684217871729</v>
      </c>
      <c r="C978" s="15" t="n">
        <f aca="false">'Residual Diagnostics'!F978</f>
        <v>-3.11857382718077</v>
      </c>
      <c r="D978" s="13" t="n">
        <f aca="false">C978/('Final Model'!$B$21*SQRT(1-B978))</f>
        <v>-0.0636651223015905</v>
      </c>
      <c r="E978" s="13" t="n">
        <f aca="false">D978*SQRT(('Final Model'!$B$24-1)/('Final Model'!$B$24-D978^2))</f>
        <v>-0.0636421111552429</v>
      </c>
      <c r="F978" s="23" t="n">
        <f aca="false">D978^2/($P$3+1)*B978/(1-B978)</f>
        <v>9.9338968825266E-007</v>
      </c>
      <c r="G978" s="13" t="n">
        <f aca="false">($P$2-1)*(B978-1/$P$2)</f>
        <v>1.71094791824494</v>
      </c>
      <c r="H978" s="13" t="n">
        <f aca="false">E978*SQRT(B978/(1-B978))</f>
        <v>-0.00281804430869992</v>
      </c>
      <c r="I978" s="13" t="n">
        <f aca="false">ABS(D978)</f>
        <v>0.0636651223015905</v>
      </c>
      <c r="J978" s="6" t="n">
        <f aca="false">IF(B978&gt;$P$4,1,0)</f>
        <v>0</v>
      </c>
      <c r="K978" s="6" t="n">
        <f aca="false">IF(F978&gt;$P$6,1,0)</f>
        <v>0</v>
      </c>
      <c r="L978" s="6" t="n">
        <f aca="false">IF(G978&gt;$P$9,1,0)</f>
        <v>0</v>
      </c>
      <c r="M978" s="6" t="n">
        <f aca="false">IF(ABS(H978)&gt;$P$8,1,0)</f>
        <v>0</v>
      </c>
    </row>
    <row r="979" customFormat="false" ht="15" hidden="false" customHeight="false" outlineLevel="0" collapsed="false">
      <c r="A979" s="0" t="n">
        <f aca="false">ROW()-1</f>
        <v>978</v>
      </c>
      <c r="B979" s="22" t="n">
        <f aca="false">SUMPRODUCT(MMULT('Analysis Data'!N979:U979,'Final Model'!$B$59:$I$66),'Analysis Data'!N979:U979)</f>
        <v>0.0055964529343929</v>
      </c>
      <c r="C979" s="15" t="n">
        <f aca="false">'Residual Diagnostics'!F979</f>
        <v>-68.4488870808146</v>
      </c>
      <c r="D979" s="13" t="n">
        <f aca="false">C979/('Final Model'!$B$21*SQRT(1-B979))</f>
        <v>-1.3999266065894</v>
      </c>
      <c r="E979" s="13" t="n">
        <f aca="false">D979*SQRT(('Final Model'!$B$24-1)/('Final Model'!$B$24-D979^2))</f>
        <v>-1.40041474917417</v>
      </c>
      <c r="F979" s="23" t="n">
        <f aca="false">D979^2/($P$3+1)*B979/(1-B979)</f>
        <v>0.00137870305950869</v>
      </c>
      <c r="G979" s="13" t="n">
        <f aca="false">($P$2-1)*(B979-1/$P$2)</f>
        <v>6.75180881485567</v>
      </c>
      <c r="H979" s="13" t="n">
        <f aca="false">E979*SQRT(B979/(1-B979))</f>
        <v>-0.105058639296945</v>
      </c>
      <c r="I979" s="13" t="n">
        <f aca="false">ABS(D979)</f>
        <v>1.3999266065894</v>
      </c>
      <c r="J979" s="6" t="n">
        <f aca="false">IF(B979&gt;$P$4,1,0)</f>
        <v>0</v>
      </c>
      <c r="K979" s="6" t="n">
        <f aca="false">IF(F979&gt;$P$6,1,0)</f>
        <v>0</v>
      </c>
      <c r="L979" s="6" t="n">
        <f aca="false">IF(G979&gt;$P$9,1,0)</f>
        <v>0</v>
      </c>
      <c r="M979" s="6" t="n">
        <f aca="false">IF(ABS(H979)&gt;$P$8,1,0)</f>
        <v>0</v>
      </c>
    </row>
    <row r="980" customFormat="false" ht="15" hidden="false" customHeight="false" outlineLevel="0" collapsed="false">
      <c r="A980" s="0" t="n">
        <f aca="false">ROW()-1</f>
        <v>979</v>
      </c>
      <c r="B980" s="22" t="n">
        <f aca="false">SUMPRODUCT(MMULT('Analysis Data'!N980:U980,'Final Model'!$B$59:$I$66),'Analysis Data'!N980:U980)</f>
        <v>0.00345975796604033</v>
      </c>
      <c r="C980" s="15" t="n">
        <f aca="false">'Residual Diagnostics'!F980</f>
        <v>40.2695974419152</v>
      </c>
      <c r="D980" s="13" t="n">
        <f aca="false">C980/('Final Model'!$B$21*SQRT(1-B980))</f>
        <v>0.822716252020616</v>
      </c>
      <c r="E980" s="13" t="n">
        <f aca="false">D980*SQRT(('Final Model'!$B$24-1)/('Final Model'!$B$24-D980^2))</f>
        <v>0.822619736378795</v>
      </c>
      <c r="F980" s="23" t="n">
        <f aca="false">D980^2/($P$3+1)*B980/(1-B980)</f>
        <v>0.000293738615117941</v>
      </c>
      <c r="G980" s="13" t="n">
        <f aca="false">($P$2-1)*(B980-1/$P$2)</f>
        <v>3.79248628368735</v>
      </c>
      <c r="H980" s="13" t="n">
        <f aca="false">E980*SQRT(B980/(1-B980))</f>
        <v>0.0484701722884035</v>
      </c>
      <c r="I980" s="13" t="n">
        <f aca="false">ABS(D980)</f>
        <v>0.822716252020616</v>
      </c>
      <c r="J980" s="6" t="n">
        <f aca="false">IF(B980&gt;$P$4,1,0)</f>
        <v>0</v>
      </c>
      <c r="K980" s="6" t="n">
        <f aca="false">IF(F980&gt;$P$6,1,0)</f>
        <v>0</v>
      </c>
      <c r="L980" s="6" t="n">
        <f aca="false">IF(G980&gt;$P$9,1,0)</f>
        <v>0</v>
      </c>
      <c r="M980" s="6" t="n">
        <f aca="false">IF(ABS(H980)&gt;$P$8,1,0)</f>
        <v>0</v>
      </c>
    </row>
    <row r="981" customFormat="false" ht="15" hidden="false" customHeight="false" outlineLevel="0" collapsed="false">
      <c r="A981" s="0" t="n">
        <f aca="false">ROW()-1</f>
        <v>980</v>
      </c>
      <c r="B981" s="22" t="n">
        <f aca="false">SUMPRODUCT(MMULT('Analysis Data'!N981:U981,'Final Model'!$B$59:$I$66),'Analysis Data'!N981:U981)</f>
        <v>0.00194613739698309</v>
      </c>
      <c r="C981" s="15" t="n">
        <f aca="false">'Residual Diagnostics'!F981</f>
        <v>30.2852398303605</v>
      </c>
      <c r="D981" s="13" t="n">
        <f aca="false">C981/('Final Model'!$B$21*SQRT(1-B981))</f>
        <v>0.618264394050853</v>
      </c>
      <c r="E981" s="13" t="n">
        <f aca="false">D981*SQRT(('Final Model'!$B$24-1)/('Final Model'!$B$24-D981^2))</f>
        <v>0.618125757943944</v>
      </c>
      <c r="F981" s="23" t="n">
        <f aca="false">D981^2/($P$3+1)*B981/(1-B981)</f>
        <v>9.31704093586773E-005</v>
      </c>
      <c r="G981" s="13" t="n">
        <f aca="false">($P$2-1)*(B981-1/$P$2)</f>
        <v>1.69612179554308</v>
      </c>
      <c r="H981" s="13" t="n">
        <f aca="false">E981*SQRT(B981/(1-B981))</f>
        <v>0.0272952200992503</v>
      </c>
      <c r="I981" s="13" t="n">
        <f aca="false">ABS(D981)</f>
        <v>0.618264394050853</v>
      </c>
      <c r="J981" s="6" t="n">
        <f aca="false">IF(B981&gt;$P$4,1,0)</f>
        <v>0</v>
      </c>
      <c r="K981" s="6" t="n">
        <f aca="false">IF(F981&gt;$P$6,1,0)</f>
        <v>0</v>
      </c>
      <c r="L981" s="6" t="n">
        <f aca="false">IF(G981&gt;$P$9,1,0)</f>
        <v>0</v>
      </c>
      <c r="M981" s="6" t="n">
        <f aca="false">IF(ABS(H981)&gt;$P$8,1,0)</f>
        <v>0</v>
      </c>
    </row>
    <row r="982" customFormat="false" ht="15" hidden="false" customHeight="false" outlineLevel="0" collapsed="false">
      <c r="A982" s="0" t="n">
        <f aca="false">ROW()-1</f>
        <v>981</v>
      </c>
      <c r="B982" s="22" t="n">
        <f aca="false">SUMPRODUCT(MMULT('Analysis Data'!N982:U982,'Final Model'!$B$59:$I$66),'Analysis Data'!N982:U982)</f>
        <v>0.00204569051073166</v>
      </c>
      <c r="C982" s="15" t="n">
        <f aca="false">'Residual Diagnostics'!F982</f>
        <v>-9.60799260492863</v>
      </c>
      <c r="D982" s="13" t="n">
        <f aca="false">C982/('Final Model'!$B$21*SQRT(1-B982))</f>
        <v>-0.196154167660972</v>
      </c>
      <c r="E982" s="13" t="n">
        <f aca="false">D982*SQRT(('Final Model'!$B$24-1)/('Final Model'!$B$24-D982^2))</f>
        <v>-0.196085718810886</v>
      </c>
      <c r="F982" s="23" t="n">
        <f aca="false">D982^2/($P$3+1)*B982/(1-B982)</f>
        <v>9.85903402928819E-006</v>
      </c>
      <c r="G982" s="13" t="n">
        <f aca="false">($P$2-1)*(B982-1/$P$2)</f>
        <v>1.83400285808486</v>
      </c>
      <c r="H982" s="13" t="n">
        <f aca="false">E982*SQRT(B982/(1-B982))</f>
        <v>-0.00887790719671728</v>
      </c>
      <c r="I982" s="13" t="n">
        <f aca="false">ABS(D982)</f>
        <v>0.196154167660972</v>
      </c>
      <c r="J982" s="6" t="n">
        <f aca="false">IF(B982&gt;$P$4,1,0)</f>
        <v>0</v>
      </c>
      <c r="K982" s="6" t="n">
        <f aca="false">IF(F982&gt;$P$6,1,0)</f>
        <v>0</v>
      </c>
      <c r="L982" s="6" t="n">
        <f aca="false">IF(G982&gt;$P$9,1,0)</f>
        <v>0</v>
      </c>
      <c r="M982" s="6" t="n">
        <f aca="false">IF(ABS(H982)&gt;$P$8,1,0)</f>
        <v>0</v>
      </c>
    </row>
    <row r="983" customFormat="false" ht="15" hidden="false" customHeight="false" outlineLevel="0" collapsed="false">
      <c r="A983" s="0" t="n">
        <f aca="false">ROW()-1</f>
        <v>982</v>
      </c>
      <c r="B983" s="22" t="n">
        <f aca="false">SUMPRODUCT(MMULT('Analysis Data'!N983:U983,'Final Model'!$B$59:$I$66),'Analysis Data'!N983:U983)</f>
        <v>0.00204208751184944</v>
      </c>
      <c r="C983" s="15" t="n">
        <f aca="false">'Residual Diagnostics'!F983</f>
        <v>21.0329877593582</v>
      </c>
      <c r="D983" s="13" t="n">
        <f aca="false">C983/('Final Model'!$B$21*SQRT(1-B983))</f>
        <v>0.42940299075245</v>
      </c>
      <c r="E983" s="13" t="n">
        <f aca="false">D983*SQRT(('Final Model'!$B$24-1)/('Final Model'!$B$24-D983^2))</f>
        <v>0.429275877031873</v>
      </c>
      <c r="F983" s="23" t="n">
        <f aca="false">D983^2/($P$3+1)*B983/(1-B983)</f>
        <v>4.71630916568726E-005</v>
      </c>
      <c r="G983" s="13" t="n">
        <f aca="false">($P$2-1)*(B983-1/$P$2)</f>
        <v>1.82901270463297</v>
      </c>
      <c r="H983" s="13" t="n">
        <f aca="false">E983*SQRT(B983/(1-B983))</f>
        <v>0.019418583459609</v>
      </c>
      <c r="I983" s="13" t="n">
        <f aca="false">ABS(D983)</f>
        <v>0.42940299075245</v>
      </c>
      <c r="J983" s="6" t="n">
        <f aca="false">IF(B983&gt;$P$4,1,0)</f>
        <v>0</v>
      </c>
      <c r="K983" s="6" t="n">
        <f aca="false">IF(F983&gt;$P$6,1,0)</f>
        <v>0</v>
      </c>
      <c r="L983" s="6" t="n">
        <f aca="false">IF(G983&gt;$P$9,1,0)</f>
        <v>0</v>
      </c>
      <c r="M983" s="6" t="n">
        <f aca="false">IF(ABS(H983)&gt;$P$8,1,0)</f>
        <v>0</v>
      </c>
    </row>
    <row r="984" customFormat="false" ht="15" hidden="false" customHeight="false" outlineLevel="0" collapsed="false">
      <c r="A984" s="0" t="n">
        <f aca="false">ROW()-1</f>
        <v>983</v>
      </c>
      <c r="B984" s="22" t="n">
        <f aca="false">SUMPRODUCT(MMULT('Analysis Data'!N984:U984,'Final Model'!$B$59:$I$66),'Analysis Data'!N984:U984)</f>
        <v>0.00207775245608168</v>
      </c>
      <c r="C984" s="15" t="n">
        <f aca="false">'Residual Diagnostics'!F984</f>
        <v>42.4842848075738</v>
      </c>
      <c r="D984" s="13" t="n">
        <f aca="false">C984/('Final Model'!$B$21*SQRT(1-B984))</f>
        <v>0.867361553913542</v>
      </c>
      <c r="E984" s="13" t="n">
        <f aca="false">D984*SQRT(('Final Model'!$B$24-1)/('Final Model'!$B$24-D984^2))</f>
        <v>0.867283557346639</v>
      </c>
      <c r="F984" s="23" t="n">
        <f aca="false">D984^2/($P$3+1)*B984/(1-B984)</f>
        <v>0.000195797638052634</v>
      </c>
      <c r="G984" s="13" t="n">
        <f aca="false">($P$2-1)*(B984-1/$P$2)</f>
        <v>1.87840865239462</v>
      </c>
      <c r="H984" s="13" t="n">
        <f aca="false">E984*SQRT(B984/(1-B984))</f>
        <v>0.0395739738562048</v>
      </c>
      <c r="I984" s="13" t="n">
        <f aca="false">ABS(D984)</f>
        <v>0.867361553913542</v>
      </c>
      <c r="J984" s="6" t="n">
        <f aca="false">IF(B984&gt;$P$4,1,0)</f>
        <v>0</v>
      </c>
      <c r="K984" s="6" t="n">
        <f aca="false">IF(F984&gt;$P$6,1,0)</f>
        <v>0</v>
      </c>
      <c r="L984" s="6" t="n">
        <f aca="false">IF(G984&gt;$P$9,1,0)</f>
        <v>0</v>
      </c>
      <c r="M984" s="6" t="n">
        <f aca="false">IF(ABS(H984)&gt;$P$8,1,0)</f>
        <v>0</v>
      </c>
    </row>
    <row r="985" customFormat="false" ht="15" hidden="false" customHeight="false" outlineLevel="0" collapsed="false">
      <c r="A985" s="0" t="n">
        <f aca="false">ROW()-1</f>
        <v>984</v>
      </c>
      <c r="B985" s="22" t="n">
        <f aca="false">SUMPRODUCT(MMULT('Analysis Data'!N985:U985,'Final Model'!$B$59:$I$66),'Analysis Data'!N985:U985)</f>
        <v>0.00207775245608168</v>
      </c>
      <c r="C985" s="15" t="n">
        <f aca="false">'Residual Diagnostics'!F985</f>
        <v>40.705434733656</v>
      </c>
      <c r="D985" s="13" t="n">
        <f aca="false">C985/('Final Model'!$B$21*SQRT(1-B985))</f>
        <v>0.831044450512109</v>
      </c>
      <c r="E985" s="13" t="n">
        <f aca="false">D985*SQRT(('Final Model'!$B$24-1)/('Final Model'!$B$24-D985^2))</f>
        <v>0.830951112511113</v>
      </c>
      <c r="F985" s="23" t="n">
        <f aca="false">D985^2/($P$3+1)*B985/(1-B985)</f>
        <v>0.000179744504026037</v>
      </c>
      <c r="G985" s="13" t="n">
        <f aca="false">($P$2-1)*(B985-1/$P$2)</f>
        <v>1.87840865239462</v>
      </c>
      <c r="H985" s="13" t="n">
        <f aca="false">E985*SQRT(B985/(1-B985))</f>
        <v>0.037916131723867</v>
      </c>
      <c r="I985" s="13" t="n">
        <f aca="false">ABS(D985)</f>
        <v>0.831044450512109</v>
      </c>
      <c r="J985" s="6" t="n">
        <f aca="false">IF(B985&gt;$P$4,1,0)</f>
        <v>0</v>
      </c>
      <c r="K985" s="6" t="n">
        <f aca="false">IF(F985&gt;$P$6,1,0)</f>
        <v>0</v>
      </c>
      <c r="L985" s="6" t="n">
        <f aca="false">IF(G985&gt;$P$9,1,0)</f>
        <v>0</v>
      </c>
      <c r="M985" s="6" t="n">
        <f aca="false">IF(ABS(H985)&gt;$P$8,1,0)</f>
        <v>0</v>
      </c>
    </row>
    <row r="986" customFormat="false" ht="15" hidden="false" customHeight="false" outlineLevel="0" collapsed="false">
      <c r="A986" s="0" t="n">
        <f aca="false">ROW()-1</f>
        <v>985</v>
      </c>
      <c r="B986" s="22" t="n">
        <f aca="false">SUMPRODUCT(MMULT('Analysis Data'!N986:U986,'Final Model'!$B$59:$I$66),'Analysis Data'!N986:U986)</f>
        <v>0.00204903042774835</v>
      </c>
      <c r="C986" s="15" t="n">
        <f aca="false">'Residual Diagnostics'!F986</f>
        <v>20.5204978089014</v>
      </c>
      <c r="D986" s="13" t="n">
        <f aca="false">C986/('Final Model'!$B$21*SQRT(1-B986))</f>
        <v>0.418941611311251</v>
      </c>
      <c r="E986" s="13" t="n">
        <f aca="false">D986*SQRT(('Final Model'!$B$24-1)/('Final Model'!$B$24-D986^2))</f>
        <v>0.418816245565328</v>
      </c>
      <c r="F986" s="23" t="n">
        <f aca="false">D986^2/($P$3+1)*B986/(1-B986)</f>
        <v>4.50459980486577E-005</v>
      </c>
      <c r="G986" s="13" t="n">
        <f aca="false">($P$2-1)*(B986-1/$P$2)</f>
        <v>1.83862864315297</v>
      </c>
      <c r="H986" s="13" t="n">
        <f aca="false">E986*SQRT(B986/(1-B986))</f>
        <v>0.0189776800683111</v>
      </c>
      <c r="I986" s="13" t="n">
        <f aca="false">ABS(D986)</f>
        <v>0.418941611311251</v>
      </c>
      <c r="J986" s="6" t="n">
        <f aca="false">IF(B986&gt;$P$4,1,0)</f>
        <v>0</v>
      </c>
      <c r="K986" s="6" t="n">
        <f aca="false">IF(F986&gt;$P$6,1,0)</f>
        <v>0</v>
      </c>
      <c r="L986" s="6" t="n">
        <f aca="false">IF(G986&gt;$P$9,1,0)</f>
        <v>0</v>
      </c>
      <c r="M986" s="6" t="n">
        <f aca="false">IF(ABS(H986)&gt;$P$8,1,0)</f>
        <v>0</v>
      </c>
    </row>
    <row r="987" customFormat="false" ht="15" hidden="false" customHeight="false" outlineLevel="0" collapsed="false">
      <c r="A987" s="0" t="n">
        <f aca="false">ROW()-1</f>
        <v>986</v>
      </c>
      <c r="B987" s="22" t="n">
        <f aca="false">SUMPRODUCT(MMULT('Analysis Data'!N987:U987,'Final Model'!$B$59:$I$66),'Analysis Data'!N987:U987)</f>
        <v>0.00195684217871729</v>
      </c>
      <c r="C987" s="15" t="n">
        <f aca="false">'Residual Diagnostics'!F987</f>
        <v>-43.0557486775153</v>
      </c>
      <c r="D987" s="13" t="n">
        <f aca="false">C987/('Final Model'!$B$21*SQRT(1-B987))</f>
        <v>-0.87897534489943</v>
      </c>
      <c r="E987" s="13" t="n">
        <f aca="false">D987*SQRT(('Final Model'!$B$24-1)/('Final Model'!$B$24-D987^2))</f>
        <v>-0.878902775436989</v>
      </c>
      <c r="F987" s="23" t="n">
        <f aca="false">D987^2/($P$3+1)*B987/(1-B987)</f>
        <v>0.000189351992250114</v>
      </c>
      <c r="G987" s="13" t="n">
        <f aca="false">($P$2-1)*(B987-1/$P$2)</f>
        <v>1.71094791824494</v>
      </c>
      <c r="H987" s="13" t="n">
        <f aca="false">E987*SQRT(B987/(1-B987))</f>
        <v>-0.0389174230593815</v>
      </c>
      <c r="I987" s="13" t="n">
        <f aca="false">ABS(D987)</f>
        <v>0.87897534489943</v>
      </c>
      <c r="J987" s="6" t="n">
        <f aca="false">IF(B987&gt;$P$4,1,0)</f>
        <v>0</v>
      </c>
      <c r="K987" s="6" t="n">
        <f aca="false">IF(F987&gt;$P$6,1,0)</f>
        <v>0</v>
      </c>
      <c r="L987" s="6" t="n">
        <f aca="false">IF(G987&gt;$P$9,1,0)</f>
        <v>0</v>
      </c>
      <c r="M987" s="6" t="n">
        <f aca="false">IF(ABS(H987)&gt;$P$8,1,0)</f>
        <v>0</v>
      </c>
    </row>
    <row r="988" customFormat="false" ht="15" hidden="false" customHeight="false" outlineLevel="0" collapsed="false">
      <c r="A988" s="0" t="n">
        <f aca="false">ROW()-1</f>
        <v>987</v>
      </c>
      <c r="B988" s="22" t="n">
        <f aca="false">SUMPRODUCT(MMULT('Analysis Data'!N988:U988,'Final Model'!$B$59:$I$66),'Analysis Data'!N988:U988)</f>
        <v>0.0131109268598679</v>
      </c>
      <c r="C988" s="15" t="n">
        <f aca="false">'Residual Diagnostics'!F988</f>
        <v>-97.2240059634288</v>
      </c>
      <c r="D988" s="13" t="n">
        <f aca="false">C988/('Final Model'!$B$21*SQRT(1-B988))</f>
        <v>-1.99599546442969</v>
      </c>
      <c r="E988" s="13" t="n">
        <f aca="false">D988*SQRT(('Final Model'!$B$24-1)/('Final Model'!$B$24-D988^2))</f>
        <v>-1.99816167502045</v>
      </c>
      <c r="F988" s="23" t="n">
        <f aca="false">D988^2/($P$3+1)*B988/(1-B988)</f>
        <v>0.00661597975142923</v>
      </c>
      <c r="G988" s="13" t="n">
        <f aca="false">($P$2-1)*(B988-1/$P$2)</f>
        <v>17.1593552016386</v>
      </c>
      <c r="H988" s="13" t="n">
        <f aca="false">E988*SQRT(B988/(1-B988))</f>
        <v>-0.230310189138241</v>
      </c>
      <c r="I988" s="13" t="n">
        <f aca="false">ABS(D988)</f>
        <v>1.99599546442969</v>
      </c>
      <c r="J988" s="6" t="n">
        <f aca="false">IF(B988&gt;$P$4,1,0)</f>
        <v>1</v>
      </c>
      <c r="K988" s="6" t="n">
        <f aca="false">IF(F988&gt;$P$6,1,0)</f>
        <v>1</v>
      </c>
      <c r="L988" s="6" t="n">
        <f aca="false">IF(G988&gt;$P$9,1,0)</f>
        <v>1</v>
      </c>
      <c r="M988" s="6" t="n">
        <f aca="false">IF(ABS(H988)&gt;$P$8,1,0)</f>
        <v>1</v>
      </c>
    </row>
    <row r="989" customFormat="false" ht="15" hidden="false" customHeight="false" outlineLevel="0" collapsed="false">
      <c r="A989" s="0" t="n">
        <f aca="false">ROW()-1</f>
        <v>988</v>
      </c>
      <c r="B989" s="22" t="n">
        <f aca="false">SUMPRODUCT(MMULT('Analysis Data'!N989:U989,'Final Model'!$B$59:$I$66),'Analysis Data'!N989:U989)</f>
        <v>0.0164760491363061</v>
      </c>
      <c r="C989" s="15" t="n">
        <f aca="false">'Residual Diagnostics'!F989</f>
        <v>-63.2839830600869</v>
      </c>
      <c r="D989" s="13" t="n">
        <f aca="false">C989/('Final Model'!$B$21*SQRT(1-B989))</f>
        <v>-1.30143218919738</v>
      </c>
      <c r="E989" s="13" t="n">
        <f aca="false">D989*SQRT(('Final Model'!$B$24-1)/('Final Model'!$B$24-D989^2))</f>
        <v>-1.30176014064596</v>
      </c>
      <c r="F989" s="23" t="n">
        <f aca="false">D989^2/($P$3+1)*B989/(1-B989)</f>
        <v>0.00354667374163737</v>
      </c>
      <c r="G989" s="13" t="n">
        <f aca="false">($P$2-1)*(B989-1/$P$2)</f>
        <v>21.8200495545055</v>
      </c>
      <c r="H989" s="13" t="n">
        <f aca="false">E989*SQRT(B989/(1-B989))</f>
        <v>-0.168486472782602</v>
      </c>
      <c r="I989" s="13" t="n">
        <f aca="false">ABS(D989)</f>
        <v>1.30143218919738</v>
      </c>
      <c r="J989" s="6" t="n">
        <f aca="false">IF(B989&gt;$P$4,1,0)</f>
        <v>1</v>
      </c>
      <c r="K989" s="6" t="n">
        <f aca="false">IF(F989&gt;$P$6,1,0)</f>
        <v>1</v>
      </c>
      <c r="L989" s="6" t="n">
        <f aca="false">IF(G989&gt;$P$9,1,0)</f>
        <v>1</v>
      </c>
      <c r="M989" s="6" t="n">
        <f aca="false">IF(ABS(H989)&gt;$P$8,1,0)</f>
        <v>1</v>
      </c>
    </row>
    <row r="990" customFormat="false" ht="15" hidden="false" customHeight="false" outlineLevel="0" collapsed="false">
      <c r="A990" s="0" t="n">
        <f aca="false">ROW()-1</f>
        <v>989</v>
      </c>
      <c r="B990" s="22" t="n">
        <f aca="false">SUMPRODUCT(MMULT('Analysis Data'!N990:U990,'Final Model'!$B$59:$I$66),'Analysis Data'!N990:U990)</f>
        <v>0.00610508742628554</v>
      </c>
      <c r="C990" s="15" t="n">
        <f aca="false">'Residual Diagnostics'!F990</f>
        <v>-14.9728793876716</v>
      </c>
      <c r="D990" s="13" t="n">
        <f aca="false">C990/('Final Model'!$B$21*SQRT(1-B990))</f>
        <v>-0.306305856986298</v>
      </c>
      <c r="E990" s="13" t="n">
        <f aca="false">D990*SQRT(('Final Model'!$B$24-1)/('Final Model'!$B$24-D990^2))</f>
        <v>-0.306205119761781</v>
      </c>
      <c r="F990" s="23" t="n">
        <f aca="false">D990^2/($P$3+1)*B990/(1-B990)</f>
        <v>7.20397231779027E-005</v>
      </c>
      <c r="G990" s="13" t="n">
        <f aca="false">($P$2-1)*(B990-1/$P$2)</f>
        <v>7.45626758612698</v>
      </c>
      <c r="H990" s="13" t="n">
        <f aca="false">E990*SQRT(B990/(1-B990))</f>
        <v>-0.023998724370297</v>
      </c>
      <c r="I990" s="13" t="n">
        <f aca="false">ABS(D990)</f>
        <v>0.306305856986298</v>
      </c>
      <c r="J990" s="6" t="n">
        <f aca="false">IF(B990&gt;$P$4,1,0)</f>
        <v>0</v>
      </c>
      <c r="K990" s="6" t="n">
        <f aca="false">IF(F990&gt;$P$6,1,0)</f>
        <v>0</v>
      </c>
      <c r="L990" s="6" t="n">
        <f aca="false">IF(G990&gt;$P$9,1,0)</f>
        <v>0</v>
      </c>
      <c r="M990" s="6" t="n">
        <f aca="false">IF(ABS(H990)&gt;$P$8,1,0)</f>
        <v>0</v>
      </c>
    </row>
    <row r="991" customFormat="false" ht="15" hidden="false" customHeight="false" outlineLevel="0" collapsed="false">
      <c r="A991" s="0" t="n">
        <f aca="false">ROW()-1</f>
        <v>990</v>
      </c>
      <c r="B991" s="22" t="n">
        <f aca="false">SUMPRODUCT(MMULT('Analysis Data'!N991:U991,'Final Model'!$B$59:$I$66),'Analysis Data'!N991:U991)</f>
        <v>0.00520402516348494</v>
      </c>
      <c r="C991" s="15" t="n">
        <f aca="false">'Residual Diagnostics'!F991</f>
        <v>17.238468569819</v>
      </c>
      <c r="D991" s="13" t="n">
        <f aca="false">C991/('Final Model'!$B$21*SQRT(1-B991))</f>
        <v>0.352494122944448</v>
      </c>
      <c r="E991" s="13" t="n">
        <f aca="false">D991*SQRT(('Final Model'!$B$24-1)/('Final Model'!$B$24-D991^2))</f>
        <v>0.352382086336014</v>
      </c>
      <c r="F991" s="23" t="n">
        <f aca="false">D991^2/($P$3+1)*B991/(1-B991)</f>
        <v>8.12492091711414E-005</v>
      </c>
      <c r="G991" s="13" t="n">
        <f aca="false">($P$2-1)*(B991-1/$P$2)</f>
        <v>6.20829635214815</v>
      </c>
      <c r="H991" s="13" t="n">
        <f aca="false">E991*SQRT(B991/(1-B991))</f>
        <v>0.0254868701787877</v>
      </c>
      <c r="I991" s="13" t="n">
        <f aca="false">ABS(D991)</f>
        <v>0.352494122944448</v>
      </c>
      <c r="J991" s="6" t="n">
        <f aca="false">IF(B991&gt;$P$4,1,0)</f>
        <v>0</v>
      </c>
      <c r="K991" s="6" t="n">
        <f aca="false">IF(F991&gt;$P$6,1,0)</f>
        <v>0</v>
      </c>
      <c r="L991" s="6" t="n">
        <f aca="false">IF(G991&gt;$P$9,1,0)</f>
        <v>0</v>
      </c>
      <c r="M991" s="6" t="n">
        <f aca="false">IF(ABS(H991)&gt;$P$8,1,0)</f>
        <v>0</v>
      </c>
    </row>
    <row r="992" customFormat="false" ht="15" hidden="false" customHeight="false" outlineLevel="0" collapsed="false">
      <c r="A992" s="0" t="n">
        <f aca="false">ROW()-1</f>
        <v>991</v>
      </c>
      <c r="B992" s="22" t="n">
        <f aca="false">SUMPRODUCT(MMULT('Analysis Data'!N992:U992,'Final Model'!$B$59:$I$66),'Analysis Data'!N992:U992)</f>
        <v>0.00193218490609401</v>
      </c>
      <c r="C992" s="15" t="n">
        <f aca="false">'Residual Diagnostics'!F992</f>
        <v>29.3782931162506</v>
      </c>
      <c r="D992" s="13" t="n">
        <f aca="false">C992/('Final Model'!$B$21*SQRT(1-B992))</f>
        <v>0.599745147614979</v>
      </c>
      <c r="E992" s="13" t="n">
        <f aca="false">D992*SQRT(('Final Model'!$B$24-1)/('Final Model'!$B$24-D992^2))</f>
        <v>0.599605755314345</v>
      </c>
      <c r="F992" s="23" t="n">
        <f aca="false">D992^2/($P$3+1)*B992/(1-B992)</f>
        <v>8.70426556768353E-005</v>
      </c>
      <c r="G992" s="13" t="n">
        <f aca="false">($P$2-1)*(B992-1/$P$2)</f>
        <v>1.6767975956617</v>
      </c>
      <c r="H992" s="13" t="n">
        <f aca="false">E992*SQRT(B992/(1-B992))</f>
        <v>0.0263821454178589</v>
      </c>
      <c r="I992" s="13" t="n">
        <f aca="false">ABS(D992)</f>
        <v>0.599745147614979</v>
      </c>
      <c r="J992" s="6" t="n">
        <f aca="false">IF(B992&gt;$P$4,1,0)</f>
        <v>0</v>
      </c>
      <c r="K992" s="6" t="n">
        <f aca="false">IF(F992&gt;$P$6,1,0)</f>
        <v>0</v>
      </c>
      <c r="L992" s="6" t="n">
        <f aca="false">IF(G992&gt;$P$9,1,0)</f>
        <v>0</v>
      </c>
      <c r="M992" s="6" t="n">
        <f aca="false">IF(ABS(H992)&gt;$P$8,1,0)</f>
        <v>0</v>
      </c>
    </row>
    <row r="993" customFormat="false" ht="15" hidden="false" customHeight="false" outlineLevel="0" collapsed="false">
      <c r="A993" s="0" t="n">
        <f aca="false">ROW()-1</f>
        <v>992</v>
      </c>
      <c r="B993" s="22" t="n">
        <f aca="false">SUMPRODUCT(MMULT('Analysis Data'!N993:U993,'Final Model'!$B$59:$I$66),'Analysis Data'!N993:U993)</f>
        <v>0.0130204803789838</v>
      </c>
      <c r="C993" s="15" t="n">
        <f aca="false">'Residual Diagnostics'!F993</f>
        <v>-33.6174789008625</v>
      </c>
      <c r="D993" s="13" t="n">
        <f aca="false">C993/('Final Model'!$B$21*SQRT(1-B993))</f>
        <v>-0.690130592233239</v>
      </c>
      <c r="E993" s="13" t="n">
        <f aca="false">D993*SQRT(('Final Model'!$B$24-1)/('Final Model'!$B$24-D993^2))</f>
        <v>-0.68999938963149</v>
      </c>
      <c r="F993" s="23" t="n">
        <f aca="false">D993^2/($P$3+1)*B993/(1-B993)</f>
        <v>0.00078540097879305</v>
      </c>
      <c r="G993" s="13" t="n">
        <f aca="false">($P$2-1)*(B993-1/$P$2)</f>
        <v>17.0340868256141</v>
      </c>
      <c r="H993" s="13" t="n">
        <f aca="false">E993*SQRT(B993/(1-B993))</f>
        <v>-0.0792516184189151</v>
      </c>
      <c r="I993" s="13" t="n">
        <f aca="false">ABS(D993)</f>
        <v>0.690130592233239</v>
      </c>
      <c r="J993" s="6" t="n">
        <f aca="false">IF(B993&gt;$P$4,1,0)</f>
        <v>1</v>
      </c>
      <c r="K993" s="6" t="n">
        <f aca="false">IF(F993&gt;$P$6,1,0)</f>
        <v>0</v>
      </c>
      <c r="L993" s="6" t="n">
        <f aca="false">IF(G993&gt;$P$9,1,0)</f>
        <v>1</v>
      </c>
      <c r="M993" s="6" t="n">
        <f aca="false">IF(ABS(H993)&gt;$P$8,1,0)</f>
        <v>0</v>
      </c>
    </row>
    <row r="994" customFormat="false" ht="15" hidden="false" customHeight="false" outlineLevel="0" collapsed="false">
      <c r="A994" s="0" t="n">
        <f aca="false">ROW()-1</f>
        <v>993</v>
      </c>
      <c r="B994" s="22" t="n">
        <f aca="false">SUMPRODUCT(MMULT('Analysis Data'!N994:U994,'Final Model'!$B$59:$I$66),'Analysis Data'!N994:U994)</f>
        <v>0.00507604784610722</v>
      </c>
      <c r="C994" s="15" t="n">
        <f aca="false">'Residual Diagnostics'!F994</f>
        <v>71.3613665870813</v>
      </c>
      <c r="D994" s="13" t="n">
        <f aca="false">C994/('Final Model'!$B$21*SQRT(1-B994))</f>
        <v>1.45911131031919</v>
      </c>
      <c r="E994" s="13" t="n">
        <f aca="false">D994*SQRT(('Final Model'!$B$24-1)/('Final Model'!$B$24-D994^2))</f>
        <v>1.45970984294261</v>
      </c>
      <c r="F994" s="23" t="n">
        <f aca="false">D994^2/($P$3+1)*B994/(1-B994)</f>
        <v>0.0013577589727788</v>
      </c>
      <c r="G994" s="13" t="n">
        <f aca="false">($P$2-1)*(B994-1/$P$2)</f>
        <v>6.03104776758</v>
      </c>
      <c r="H994" s="13" t="n">
        <f aca="false">E994*SQRT(B994/(1-B994))</f>
        <v>0.104264015511258</v>
      </c>
      <c r="I994" s="13" t="n">
        <f aca="false">ABS(D994)</f>
        <v>1.45911131031919</v>
      </c>
      <c r="J994" s="6" t="n">
        <f aca="false">IF(B994&gt;$P$4,1,0)</f>
        <v>0</v>
      </c>
      <c r="K994" s="6" t="n">
        <f aca="false">IF(F994&gt;$P$6,1,0)</f>
        <v>0</v>
      </c>
      <c r="L994" s="6" t="n">
        <f aca="false">IF(G994&gt;$P$9,1,0)</f>
        <v>0</v>
      </c>
      <c r="M994" s="6" t="n">
        <f aca="false">IF(ABS(H994)&gt;$P$8,1,0)</f>
        <v>0</v>
      </c>
    </row>
    <row r="995" customFormat="false" ht="15" hidden="false" customHeight="false" outlineLevel="0" collapsed="false">
      <c r="A995" s="0" t="n">
        <f aca="false">ROW()-1</f>
        <v>994</v>
      </c>
      <c r="B995" s="22" t="n">
        <f aca="false">SUMPRODUCT(MMULT('Analysis Data'!N995:U995,'Final Model'!$B$59:$I$66),'Analysis Data'!N995:U995)</f>
        <v>0.00507604784610722</v>
      </c>
      <c r="C995" s="15" t="n">
        <f aca="false">'Residual Diagnostics'!F995</f>
        <v>-69.3832327484103</v>
      </c>
      <c r="D995" s="13" t="n">
        <f aca="false">C995/('Final Model'!$B$21*SQRT(1-B995))</f>
        <v>-1.41866481110861</v>
      </c>
      <c r="E995" s="13" t="n">
        <f aca="false">D995*SQRT(('Final Model'!$B$24-1)/('Final Model'!$B$24-D995^2))</f>
        <v>-1.41918672350707</v>
      </c>
      <c r="F995" s="23" t="n">
        <f aca="false">D995^2/($P$3+1)*B995/(1-B995)</f>
        <v>0.00128352823514</v>
      </c>
      <c r="G995" s="13" t="n">
        <f aca="false">($P$2-1)*(B995-1/$P$2)</f>
        <v>6.03104776758</v>
      </c>
      <c r="H995" s="13" t="n">
        <f aca="false">E995*SQRT(B995/(1-B995))</f>
        <v>-0.101369533999183</v>
      </c>
      <c r="I995" s="13" t="n">
        <f aca="false">ABS(D995)</f>
        <v>1.41866481110861</v>
      </c>
      <c r="J995" s="6" t="n">
        <f aca="false">IF(B995&gt;$P$4,1,0)</f>
        <v>0</v>
      </c>
      <c r="K995" s="6" t="n">
        <f aca="false">IF(F995&gt;$P$6,1,0)</f>
        <v>0</v>
      </c>
      <c r="L995" s="6" t="n">
        <f aca="false">IF(G995&gt;$P$9,1,0)</f>
        <v>0</v>
      </c>
      <c r="M995" s="6" t="n">
        <f aca="false">IF(ABS(H995)&gt;$P$8,1,0)</f>
        <v>0</v>
      </c>
    </row>
    <row r="996" customFormat="false" ht="15" hidden="false" customHeight="false" outlineLevel="0" collapsed="false">
      <c r="A996" s="0" t="n">
        <f aca="false">ROW()-1</f>
        <v>995</v>
      </c>
      <c r="B996" s="22" t="n">
        <f aca="false">SUMPRODUCT(MMULT('Analysis Data'!N996:U996,'Final Model'!$B$59:$I$66),'Analysis Data'!N996:U996)</f>
        <v>0.00660190240554582</v>
      </c>
      <c r="C996" s="15" t="n">
        <f aca="false">'Residual Diagnostics'!F996</f>
        <v>-81.6043717360215</v>
      </c>
      <c r="D996" s="13" t="n">
        <f aca="false">C996/('Final Model'!$B$21*SQRT(1-B996))</f>
        <v>-1.6698288968054</v>
      </c>
      <c r="E996" s="13" t="n">
        <f aca="false">D996*SQRT(('Final Model'!$B$24-1)/('Final Model'!$B$24-D996^2))</f>
        <v>-1.67091426880928</v>
      </c>
      <c r="F996" s="23" t="n">
        <f aca="false">D996^2/($P$3+1)*B996/(1-B996)</f>
        <v>0.00231632627577315</v>
      </c>
      <c r="G996" s="13" t="n">
        <f aca="false">($P$2-1)*(B996-1/$P$2)</f>
        <v>8.14435633240246</v>
      </c>
      <c r="H996" s="13" t="n">
        <f aca="false">E996*SQRT(B996/(1-B996))</f>
        <v>-0.136215665237113</v>
      </c>
      <c r="I996" s="13" t="n">
        <f aca="false">ABS(D996)</f>
        <v>1.6698288968054</v>
      </c>
      <c r="J996" s="6" t="n">
        <f aca="false">IF(B996&gt;$P$4,1,0)</f>
        <v>0</v>
      </c>
      <c r="K996" s="6" t="n">
        <f aca="false">IF(F996&gt;$P$6,1,0)</f>
        <v>0</v>
      </c>
      <c r="L996" s="6" t="n">
        <f aca="false">IF(G996&gt;$P$9,1,0)</f>
        <v>0</v>
      </c>
      <c r="M996" s="6" t="n">
        <f aca="false">IF(ABS(H996)&gt;$P$8,1,0)</f>
        <v>0</v>
      </c>
    </row>
    <row r="997" customFormat="false" ht="15" hidden="false" customHeight="false" outlineLevel="0" collapsed="false">
      <c r="A997" s="0" t="n">
        <f aca="false">ROW()-1</f>
        <v>996</v>
      </c>
      <c r="B997" s="22" t="n">
        <f aca="false">SUMPRODUCT(MMULT('Analysis Data'!N997:U997,'Final Model'!$B$59:$I$66),'Analysis Data'!N997:U997)</f>
        <v>0.0101285329099075</v>
      </c>
      <c r="C997" s="15" t="n">
        <f aca="false">'Residual Diagnostics'!F997</f>
        <v>-42.7167095545149</v>
      </c>
      <c r="D997" s="13" t="n">
        <f aca="false">C997/('Final Model'!$B$21*SQRT(1-B997))</f>
        <v>-0.875646059524556</v>
      </c>
      <c r="E997" s="13" t="n">
        <f aca="false">D997*SQRT(('Final Model'!$B$24-1)/('Final Model'!$B$24-D997^2))</f>
        <v>-0.875571908025679</v>
      </c>
      <c r="F997" s="23" t="n">
        <f aca="false">D997^2/($P$3+1)*B997/(1-B997)</f>
        <v>0.000980697223887946</v>
      </c>
      <c r="G997" s="13" t="n">
        <f aca="false">($P$2-1)*(B997-1/$P$2)</f>
        <v>13.0287395809434</v>
      </c>
      <c r="H997" s="13" t="n">
        <f aca="false">E997*SQRT(B997/(1-B997))</f>
        <v>-0.0885677655144578</v>
      </c>
      <c r="I997" s="13" t="n">
        <f aca="false">ABS(D997)</f>
        <v>0.875646059524556</v>
      </c>
      <c r="J997" s="6" t="n">
        <f aca="false">IF(B997&gt;$P$4,1,0)</f>
        <v>0</v>
      </c>
      <c r="K997" s="6" t="n">
        <f aca="false">IF(F997&gt;$P$6,1,0)</f>
        <v>0</v>
      </c>
      <c r="L997" s="6" t="n">
        <f aca="false">IF(G997&gt;$P$9,1,0)</f>
        <v>1</v>
      </c>
      <c r="M997" s="6" t="n">
        <f aca="false">IF(ABS(H997)&gt;$P$8,1,0)</f>
        <v>0</v>
      </c>
    </row>
    <row r="998" customFormat="false" ht="15" hidden="false" customHeight="false" outlineLevel="0" collapsed="false">
      <c r="A998" s="0" t="n">
        <f aca="false">ROW()-1</f>
        <v>997</v>
      </c>
      <c r="B998" s="22" t="n">
        <f aca="false">SUMPRODUCT(MMULT('Analysis Data'!N998:U998,'Final Model'!$B$59:$I$66),'Analysis Data'!N998:U998)</f>
        <v>0.0101285329099075</v>
      </c>
      <c r="C998" s="15" t="n">
        <f aca="false">'Residual Diagnostics'!F998</f>
        <v>-24.2117252573589</v>
      </c>
      <c r="D998" s="13" t="n">
        <f aca="false">C998/('Final Model'!$B$21*SQRT(1-B998))</f>
        <v>-0.496314019431693</v>
      </c>
      <c r="E998" s="13" t="n">
        <f aca="false">D998*SQRT(('Final Model'!$B$24-1)/('Final Model'!$B$24-D998^2))</f>
        <v>-0.496178251568396</v>
      </c>
      <c r="F998" s="23" t="n">
        <f aca="false">D998^2/($P$3+1)*B998/(1-B998)</f>
        <v>0.000315058235559818</v>
      </c>
      <c r="G998" s="13" t="n">
        <f aca="false">($P$2-1)*(B998-1/$P$2)</f>
        <v>13.0287395809434</v>
      </c>
      <c r="H998" s="13" t="n">
        <f aca="false">E998*SQRT(B998/(1-B998))</f>
        <v>-0.0501905082100858</v>
      </c>
      <c r="I998" s="13" t="n">
        <f aca="false">ABS(D998)</f>
        <v>0.496314019431693</v>
      </c>
      <c r="J998" s="6" t="n">
        <f aca="false">IF(B998&gt;$P$4,1,0)</f>
        <v>0</v>
      </c>
      <c r="K998" s="6" t="n">
        <f aca="false">IF(F998&gt;$P$6,1,0)</f>
        <v>0</v>
      </c>
      <c r="L998" s="6" t="n">
        <f aca="false">IF(G998&gt;$P$9,1,0)</f>
        <v>1</v>
      </c>
      <c r="M998" s="6" t="n">
        <f aca="false">IF(ABS(H998)&gt;$P$8,1,0)</f>
        <v>0</v>
      </c>
    </row>
    <row r="999" customFormat="false" ht="15" hidden="false" customHeight="false" outlineLevel="0" collapsed="false">
      <c r="A999" s="0" t="n">
        <f aca="false">ROW()-1</f>
        <v>998</v>
      </c>
      <c r="B999" s="22" t="n">
        <f aca="false">SUMPRODUCT(MMULT('Analysis Data'!N999:U999,'Final Model'!$B$59:$I$66),'Analysis Data'!N999:U999)</f>
        <v>0.0132593617901399</v>
      </c>
      <c r="C999" s="15" t="n">
        <f aca="false">'Residual Diagnostics'!F999</f>
        <v>30.0365794619555</v>
      </c>
      <c r="D999" s="13" t="n">
        <f aca="false">C999/('Final Model'!$B$21*SQRT(1-B999))</f>
        <v>0.616693222531161</v>
      </c>
      <c r="E999" s="13" t="n">
        <f aca="false">D999*SQRT(('Final Model'!$B$24-1)/('Final Model'!$B$24-D999^2))</f>
        <v>0.616554504536428</v>
      </c>
      <c r="F999" s="23" t="n">
        <f aca="false">D999^2/($P$3+1)*B999/(1-B999)</f>
        <v>0.000638804504964725</v>
      </c>
      <c r="G999" s="13" t="n">
        <f aca="false">($P$2-1)*(B999-1/$P$2)</f>
        <v>17.3649375800653</v>
      </c>
      <c r="H999" s="13" t="n">
        <f aca="false">E999*SQRT(B999/(1-B999))</f>
        <v>0.0714712335946976</v>
      </c>
      <c r="I999" s="13" t="n">
        <f aca="false">ABS(D999)</f>
        <v>0.616693222531161</v>
      </c>
      <c r="J999" s="6" t="n">
        <f aca="false">IF(B999&gt;$P$4,1,0)</f>
        <v>1</v>
      </c>
      <c r="K999" s="6" t="n">
        <f aca="false">IF(F999&gt;$P$6,1,0)</f>
        <v>0</v>
      </c>
      <c r="L999" s="6" t="n">
        <f aca="false">IF(G999&gt;$P$9,1,0)</f>
        <v>1</v>
      </c>
      <c r="M999" s="6" t="n">
        <f aca="false">IF(ABS(H999)&gt;$P$8,1,0)</f>
        <v>0</v>
      </c>
    </row>
    <row r="1000" customFormat="false" ht="15" hidden="false" customHeight="false" outlineLevel="0" collapsed="false">
      <c r="A1000" s="0" t="n">
        <f aca="false">ROW()-1</f>
        <v>999</v>
      </c>
      <c r="B1000" s="22" t="n">
        <f aca="false">SUMPRODUCT(MMULT('Analysis Data'!N1000:U1000,'Final Model'!$B$59:$I$66),'Analysis Data'!N1000:U1000)</f>
        <v>0.00510141684967341</v>
      </c>
      <c r="C1000" s="15" t="n">
        <f aca="false">'Residual Diagnostics'!F1000</f>
        <v>-19.7420789214822</v>
      </c>
      <c r="D1000" s="13" t="n">
        <f aca="false">C1000/('Final Model'!$B$21*SQRT(1-B1000))</f>
        <v>-0.403667408302544</v>
      </c>
      <c r="E1000" s="13" t="n">
        <f aca="false">D1000*SQRT(('Final Model'!$B$24-1)/('Final Model'!$B$24-D1000^2))</f>
        <v>-0.403544773265159</v>
      </c>
      <c r="F1000" s="23" t="n">
        <f aca="false">D1000^2/($P$3+1)*B1000/(1-B1000)</f>
        <v>0.000104440606597568</v>
      </c>
      <c r="G1000" s="13" t="n">
        <f aca="false">($P$2-1)*(B1000-1/$P$2)</f>
        <v>6.06618383751917</v>
      </c>
      <c r="H1000" s="13" t="n">
        <f aca="false">E1000*SQRT(B1000/(1-B1000))</f>
        <v>-0.0288966652290137</v>
      </c>
      <c r="I1000" s="13" t="n">
        <f aca="false">ABS(D1000)</f>
        <v>0.403667408302544</v>
      </c>
      <c r="J1000" s="6" t="n">
        <f aca="false">IF(B1000&gt;$P$4,1,0)</f>
        <v>0</v>
      </c>
      <c r="K1000" s="6" t="n">
        <f aca="false">IF(F1000&gt;$P$6,1,0)</f>
        <v>0</v>
      </c>
      <c r="L1000" s="6" t="n">
        <f aca="false">IF(G1000&gt;$P$9,1,0)</f>
        <v>0</v>
      </c>
      <c r="M1000" s="6" t="n">
        <f aca="false">IF(ABS(H1000)&gt;$P$8,1,0)</f>
        <v>0</v>
      </c>
    </row>
    <row r="1001" customFormat="false" ht="15" hidden="false" customHeight="false" outlineLevel="0" collapsed="false">
      <c r="A1001" s="0" t="n">
        <f aca="false">ROW()-1</f>
        <v>1000</v>
      </c>
      <c r="B1001" s="22" t="n">
        <f aca="false">SUMPRODUCT(MMULT('Analysis Data'!N1001:U1001,'Final Model'!$B$59:$I$66),'Analysis Data'!N1001:U1001)</f>
        <v>0.00574036856450206</v>
      </c>
      <c r="C1001" s="15" t="n">
        <f aca="false">'Residual Diagnostics'!F1001</f>
        <v>-11.5686133158754</v>
      </c>
      <c r="D1001" s="13" t="n">
        <f aca="false">C1001/('Final Model'!$B$21*SQRT(1-B1001))</f>
        <v>-0.236620087349086</v>
      </c>
      <c r="E1001" s="13" t="n">
        <f aca="false">D1001*SQRT(('Final Model'!$B$24-1)/('Final Model'!$B$24-D1001^2))</f>
        <v>-0.236539020840454</v>
      </c>
      <c r="F1001" s="23" t="n">
        <f aca="false">D1001^2/($P$3+1)*B1001/(1-B1001)</f>
        <v>4.04066833691362E-005</v>
      </c>
      <c r="G1001" s="13" t="n">
        <f aca="false">($P$2-1)*(B1001-1/$P$2)</f>
        <v>6.95113196255685</v>
      </c>
      <c r="H1001" s="13" t="n">
        <f aca="false">E1001*SQRT(B1001/(1-B1001))</f>
        <v>-0.0179730912851575</v>
      </c>
      <c r="I1001" s="13" t="n">
        <f aca="false">ABS(D1001)</f>
        <v>0.236620087349086</v>
      </c>
      <c r="J1001" s="6" t="n">
        <f aca="false">IF(B1001&gt;$P$4,1,0)</f>
        <v>0</v>
      </c>
      <c r="K1001" s="6" t="n">
        <f aca="false">IF(F1001&gt;$P$6,1,0)</f>
        <v>0</v>
      </c>
      <c r="L1001" s="6" t="n">
        <f aca="false">IF(G1001&gt;$P$9,1,0)</f>
        <v>0</v>
      </c>
      <c r="M1001" s="6" t="n">
        <f aca="false">IF(ABS(H1001)&gt;$P$8,1,0)</f>
        <v>0</v>
      </c>
    </row>
    <row r="1002" customFormat="false" ht="15" hidden="false" customHeight="false" outlineLevel="0" collapsed="false">
      <c r="A1002" s="0" t="n">
        <f aca="false">ROW()-1</f>
        <v>1001</v>
      </c>
      <c r="B1002" s="22" t="n">
        <f aca="false">SUMPRODUCT(MMULT('Analysis Data'!N1002:U1002,'Final Model'!$B$59:$I$66),'Analysis Data'!N1002:U1002)</f>
        <v>0.00645605174715528</v>
      </c>
      <c r="C1002" s="15" t="n">
        <f aca="false">'Residual Diagnostics'!F1002</f>
        <v>98.8810334890303</v>
      </c>
      <c r="D1002" s="13" t="n">
        <f aca="false">C1002/('Final Model'!$B$21*SQRT(1-B1002))</f>
        <v>2.02320395150091</v>
      </c>
      <c r="E1002" s="13" t="n">
        <f aca="false">D1002*SQRT(('Final Model'!$B$24-1)/('Final Model'!$B$24-D1002^2))</f>
        <v>2.02548029528678</v>
      </c>
      <c r="F1002" s="23" t="n">
        <f aca="false">D1002^2/($P$3+1)*B1002/(1-B1002)</f>
        <v>0.00332482860606147</v>
      </c>
      <c r="G1002" s="13" t="n">
        <f aca="false">($P$2-1)*(B1002-1/$P$2)</f>
        <v>7.94235317053157</v>
      </c>
      <c r="H1002" s="13" t="n">
        <f aca="false">E1002*SQRT(B1002/(1-B1002))</f>
        <v>0.163274357225761</v>
      </c>
      <c r="I1002" s="13" t="n">
        <f aca="false">ABS(D1002)</f>
        <v>2.02320395150091</v>
      </c>
      <c r="J1002" s="6" t="n">
        <f aca="false">IF(B1002&gt;$P$4,1,0)</f>
        <v>0</v>
      </c>
      <c r="K1002" s="6" t="n">
        <f aca="false">IF(F1002&gt;$P$6,1,0)</f>
        <v>1</v>
      </c>
      <c r="L1002" s="6" t="n">
        <f aca="false">IF(G1002&gt;$P$9,1,0)</f>
        <v>0</v>
      </c>
      <c r="M1002" s="6" t="n">
        <f aca="false">IF(ABS(H1002)&gt;$P$8,1,0)</f>
        <v>1</v>
      </c>
    </row>
    <row r="1003" customFormat="false" ht="15" hidden="false" customHeight="false" outlineLevel="0" collapsed="false">
      <c r="A1003" s="0" t="n">
        <f aca="false">ROW()-1</f>
        <v>1002</v>
      </c>
      <c r="B1003" s="22" t="n">
        <f aca="false">SUMPRODUCT(MMULT('Analysis Data'!N1003:U1003,'Final Model'!$B$59:$I$66),'Analysis Data'!N1003:U1003)</f>
        <v>0.00193218490609401</v>
      </c>
      <c r="C1003" s="15" t="n">
        <f aca="false">'Residual Diagnostics'!F1003</f>
        <v>55.8464781697348</v>
      </c>
      <c r="D1003" s="13" t="n">
        <f aca="false">C1003/('Final Model'!$B$21*SQRT(1-B1003))</f>
        <v>1.14008169777424</v>
      </c>
      <c r="E1003" s="13" t="n">
        <f aca="false">D1003*SQRT(('Final Model'!$B$24-1)/('Final Model'!$B$24-D1003^2))</f>
        <v>1.14020582147258</v>
      </c>
      <c r="F1003" s="23" t="n">
        <f aca="false">D1003^2/($P$3+1)*B1003/(1-B1003)</f>
        <v>0.000314536170381637</v>
      </c>
      <c r="G1003" s="13" t="n">
        <f aca="false">($P$2-1)*(B1003-1/$P$2)</f>
        <v>1.6767975956617</v>
      </c>
      <c r="H1003" s="13" t="n">
        <f aca="false">E1003*SQRT(B1003/(1-B1003))</f>
        <v>0.0501680904857371</v>
      </c>
      <c r="I1003" s="13" t="n">
        <f aca="false">ABS(D1003)</f>
        <v>1.14008169777424</v>
      </c>
      <c r="J1003" s="6" t="n">
        <f aca="false">IF(B1003&gt;$P$4,1,0)</f>
        <v>0</v>
      </c>
      <c r="K1003" s="6" t="n">
        <f aca="false">IF(F1003&gt;$P$6,1,0)</f>
        <v>0</v>
      </c>
      <c r="L1003" s="6" t="n">
        <f aca="false">IF(G1003&gt;$P$9,1,0)</f>
        <v>0</v>
      </c>
      <c r="M1003" s="6" t="n">
        <f aca="false">IF(ABS(H1003)&gt;$P$8,1,0)</f>
        <v>0</v>
      </c>
    </row>
    <row r="1004" customFormat="false" ht="15" hidden="false" customHeight="false" outlineLevel="0" collapsed="false">
      <c r="A1004" s="0" t="n">
        <f aca="false">ROW()-1</f>
        <v>1003</v>
      </c>
      <c r="B1004" s="22" t="n">
        <f aca="false">SUMPRODUCT(MMULT('Analysis Data'!N1004:U1004,'Final Model'!$B$59:$I$66),'Analysis Data'!N1004:U1004)</f>
        <v>0.00193218490609401</v>
      </c>
      <c r="C1004" s="15" t="n">
        <f aca="false">'Residual Diagnostics'!F1004</f>
        <v>27.0349598409292</v>
      </c>
      <c r="D1004" s="13" t="n">
        <f aca="false">C1004/('Final Model'!$B$21*SQRT(1-B1004))</f>
        <v>0.551907012310197</v>
      </c>
      <c r="E1004" s="13" t="n">
        <f aca="false">D1004*SQRT(('Final Model'!$B$24-1)/('Final Model'!$B$24-D1004^2))</f>
        <v>0.5517677058153</v>
      </c>
      <c r="F1004" s="23" t="n">
        <f aca="false">D1004^2/($P$3+1)*B1004/(1-B1004)</f>
        <v>7.37106890938987E-005</v>
      </c>
      <c r="G1004" s="13" t="n">
        <f aca="false">($P$2-1)*(B1004-1/$P$2)</f>
        <v>1.6767975956617</v>
      </c>
      <c r="H1004" s="13" t="n">
        <f aca="false">E1004*SQRT(B1004/(1-B1004))</f>
        <v>0.0242773117547316</v>
      </c>
      <c r="I1004" s="13" t="n">
        <f aca="false">ABS(D1004)</f>
        <v>0.551907012310197</v>
      </c>
      <c r="J1004" s="6" t="n">
        <f aca="false">IF(B1004&gt;$P$4,1,0)</f>
        <v>0</v>
      </c>
      <c r="K1004" s="6" t="n">
        <f aca="false">IF(F1004&gt;$P$6,1,0)</f>
        <v>0</v>
      </c>
      <c r="L1004" s="6" t="n">
        <f aca="false">IF(G1004&gt;$P$9,1,0)</f>
        <v>0</v>
      </c>
      <c r="M1004" s="6" t="n">
        <f aca="false">IF(ABS(H1004)&gt;$P$8,1,0)</f>
        <v>0</v>
      </c>
    </row>
    <row r="1005" customFormat="false" ht="15" hidden="false" customHeight="false" outlineLevel="0" collapsed="false">
      <c r="A1005" s="0" t="n">
        <f aca="false">ROW()-1</f>
        <v>1004</v>
      </c>
      <c r="B1005" s="22" t="n">
        <f aca="false">SUMPRODUCT(MMULT('Analysis Data'!N1005:U1005,'Final Model'!$B$59:$I$66),'Analysis Data'!N1005:U1005)</f>
        <v>0.0020740235273949</v>
      </c>
      <c r="C1005" s="15" t="n">
        <f aca="false">'Residual Diagnostics'!F1005</f>
        <v>-39.8478318116782</v>
      </c>
      <c r="D1005" s="13" t="n">
        <f aca="false">C1005/('Final Model'!$B$21*SQRT(1-B1005))</f>
        <v>-0.813534060943056</v>
      </c>
      <c r="E1005" s="13" t="n">
        <f aca="false">D1005*SQRT(('Final Model'!$B$24-1)/('Final Model'!$B$24-D1005^2))</f>
        <v>-0.813434185883137</v>
      </c>
      <c r="F1005" s="23" t="n">
        <f aca="false">D1005^2/($P$3+1)*B1005/(1-B1005)</f>
        <v>0.000171939969467031</v>
      </c>
      <c r="G1005" s="13" t="n">
        <f aca="false">($P$2-1)*(B1005-1/$P$2)</f>
        <v>1.87324408616344</v>
      </c>
      <c r="H1005" s="13" t="n">
        <f aca="false">E1005*SQRT(B1005/(1-B1005))</f>
        <v>-0.0370834469791774</v>
      </c>
      <c r="I1005" s="13" t="n">
        <f aca="false">ABS(D1005)</f>
        <v>0.813534060943056</v>
      </c>
      <c r="J1005" s="6" t="n">
        <f aca="false">IF(B1005&gt;$P$4,1,0)</f>
        <v>0</v>
      </c>
      <c r="K1005" s="6" t="n">
        <f aca="false">IF(F1005&gt;$P$6,1,0)</f>
        <v>0</v>
      </c>
      <c r="L1005" s="6" t="n">
        <f aca="false">IF(G1005&gt;$P$9,1,0)</f>
        <v>0</v>
      </c>
      <c r="M1005" s="6" t="n">
        <f aca="false">IF(ABS(H1005)&gt;$P$8,1,0)</f>
        <v>0</v>
      </c>
    </row>
    <row r="1006" customFormat="false" ht="15" hidden="false" customHeight="false" outlineLevel="0" collapsed="false">
      <c r="A1006" s="0" t="n">
        <f aca="false">ROW()-1</f>
        <v>1005</v>
      </c>
      <c r="B1006" s="22" t="n">
        <f aca="false">SUMPRODUCT(MMULT('Analysis Data'!N1006:U1006,'Final Model'!$B$59:$I$66),'Analysis Data'!N1006:U1006)</f>
        <v>0.0020740235273949</v>
      </c>
      <c r="C1006" s="15" t="n">
        <f aca="false">'Residual Diagnostics'!F1006</f>
        <v>-43.9084787769027</v>
      </c>
      <c r="D1006" s="13" t="n">
        <f aca="false">C1006/('Final Model'!$B$21*SQRT(1-B1006))</f>
        <v>-0.896436303436135</v>
      </c>
      <c r="E1006" s="13" t="n">
        <f aca="false">D1006*SQRT(('Final Model'!$B$24-1)/('Final Model'!$B$24-D1006^2))</f>
        <v>-0.896372380774571</v>
      </c>
      <c r="F1006" s="23" t="n">
        <f aca="false">D1006^2/($P$3+1)*B1006/(1-B1006)</f>
        <v>0.000208768146825512</v>
      </c>
      <c r="G1006" s="13" t="n">
        <f aca="false">($P$2-1)*(B1006-1/$P$2)</f>
        <v>1.87324408616344</v>
      </c>
      <c r="H1006" s="13" t="n">
        <f aca="false">E1006*SQRT(B1006/(1-B1006))</f>
        <v>-0.0408644955337891</v>
      </c>
      <c r="I1006" s="13" t="n">
        <f aca="false">ABS(D1006)</f>
        <v>0.896436303436135</v>
      </c>
      <c r="J1006" s="6" t="n">
        <f aca="false">IF(B1006&gt;$P$4,1,0)</f>
        <v>0</v>
      </c>
      <c r="K1006" s="6" t="n">
        <f aca="false">IF(F1006&gt;$P$6,1,0)</f>
        <v>0</v>
      </c>
      <c r="L1006" s="6" t="n">
        <f aca="false">IF(G1006&gt;$P$9,1,0)</f>
        <v>0</v>
      </c>
      <c r="M1006" s="6" t="n">
        <f aca="false">IF(ABS(H1006)&gt;$P$8,1,0)</f>
        <v>0</v>
      </c>
    </row>
    <row r="1007" customFormat="false" ht="15" hidden="false" customHeight="false" outlineLevel="0" collapsed="false">
      <c r="A1007" s="0" t="n">
        <f aca="false">ROW()-1</f>
        <v>1006</v>
      </c>
      <c r="B1007" s="22" t="n">
        <f aca="false">SUMPRODUCT(MMULT('Analysis Data'!N1007:U1007,'Final Model'!$B$59:$I$66),'Analysis Data'!N1007:U1007)</f>
        <v>0.00267134938059803</v>
      </c>
      <c r="C1007" s="15" t="n">
        <f aca="false">'Residual Diagnostics'!F1007</f>
        <v>-11.5734904602146</v>
      </c>
      <c r="D1007" s="13" t="n">
        <f aca="false">C1007/('Final Model'!$B$21*SQRT(1-B1007))</f>
        <v>-0.236355340169882</v>
      </c>
      <c r="E1007" s="13" t="n">
        <f aca="false">D1007*SQRT(('Final Model'!$B$24-1)/('Final Model'!$B$24-D1007^2))</f>
        <v>-0.23627435362859</v>
      </c>
      <c r="F1007" s="23" t="n">
        <f aca="false">D1007^2/($P$3+1)*B1007/(1-B1007)</f>
        <v>1.87039463528357E-005</v>
      </c>
      <c r="G1007" s="13" t="n">
        <f aca="false">($P$2-1)*(B1007-1/$P$2)</f>
        <v>2.70054039284977</v>
      </c>
      <c r="H1007" s="13" t="n">
        <f aca="false">E1007*SQRT(B1007/(1-B1007))</f>
        <v>-0.012228207009002</v>
      </c>
      <c r="I1007" s="13" t="n">
        <f aca="false">ABS(D1007)</f>
        <v>0.236355340169882</v>
      </c>
      <c r="J1007" s="6" t="n">
        <f aca="false">IF(B1007&gt;$P$4,1,0)</f>
        <v>0</v>
      </c>
      <c r="K1007" s="6" t="n">
        <f aca="false">IF(F1007&gt;$P$6,1,0)</f>
        <v>0</v>
      </c>
      <c r="L1007" s="6" t="n">
        <f aca="false">IF(G1007&gt;$P$9,1,0)</f>
        <v>0</v>
      </c>
      <c r="M1007" s="6" t="n">
        <f aca="false">IF(ABS(H1007)&gt;$P$8,1,0)</f>
        <v>0</v>
      </c>
    </row>
    <row r="1008" customFormat="false" ht="15" hidden="false" customHeight="false" outlineLevel="0" collapsed="false">
      <c r="A1008" s="0" t="n">
        <f aca="false">ROW()-1</f>
        <v>1007</v>
      </c>
      <c r="B1008" s="22" t="n">
        <f aca="false">SUMPRODUCT(MMULT('Analysis Data'!N1008:U1008,'Final Model'!$B$59:$I$66),'Analysis Data'!N1008:U1008)</f>
        <v>0.00193298937946298</v>
      </c>
      <c r="C1008" s="15" t="n">
        <f aca="false">'Residual Diagnostics'!F1008</f>
        <v>-70.6567529507176</v>
      </c>
      <c r="D1008" s="13" t="n">
        <f aca="false">C1008/('Final Model'!$B$21*SQRT(1-B1008))</f>
        <v>-1.44242763318306</v>
      </c>
      <c r="E1008" s="13" t="n">
        <f aca="false">D1008*SQRT(('Final Model'!$B$24-1)/('Final Model'!$B$24-D1008^2))</f>
        <v>-1.44299393733754</v>
      </c>
      <c r="F1008" s="23" t="n">
        <f aca="false">D1008^2/($P$3+1)*B1008/(1-B1008)</f>
        <v>0.000503695240791013</v>
      </c>
      <c r="G1008" s="13" t="n">
        <f aca="false">($P$2-1)*(B1008-1/$P$2)</f>
        <v>1.67791179127772</v>
      </c>
      <c r="H1008" s="13" t="n">
        <f aca="false">E1008*SQRT(B1008/(1-B1008))</f>
        <v>-0.0635037526366838</v>
      </c>
      <c r="I1008" s="13" t="n">
        <f aca="false">ABS(D1008)</f>
        <v>1.44242763318306</v>
      </c>
      <c r="J1008" s="6" t="n">
        <f aca="false">IF(B1008&gt;$P$4,1,0)</f>
        <v>0</v>
      </c>
      <c r="K1008" s="6" t="n">
        <f aca="false">IF(F1008&gt;$P$6,1,0)</f>
        <v>0</v>
      </c>
      <c r="L1008" s="6" t="n">
        <f aca="false">IF(G1008&gt;$P$9,1,0)</f>
        <v>0</v>
      </c>
      <c r="M1008" s="6" t="n">
        <f aca="false">IF(ABS(H1008)&gt;$P$8,1,0)</f>
        <v>0</v>
      </c>
    </row>
    <row r="1009" customFormat="false" ht="15" hidden="false" customHeight="false" outlineLevel="0" collapsed="false">
      <c r="A1009" s="0" t="n">
        <f aca="false">ROW()-1</f>
        <v>1008</v>
      </c>
      <c r="B1009" s="22" t="n">
        <f aca="false">SUMPRODUCT(MMULT('Analysis Data'!N1009:U1009,'Final Model'!$B$59:$I$66),'Analysis Data'!N1009:U1009)</f>
        <v>0.0038862393846458</v>
      </c>
      <c r="C1009" s="15" t="n">
        <f aca="false">'Residual Diagnostics'!F1009</f>
        <v>-53.1785663180451</v>
      </c>
      <c r="D1009" s="13" t="n">
        <f aca="false">C1009/('Final Model'!$B$21*SQRT(1-B1009))</f>
        <v>-1.08668172545221</v>
      </c>
      <c r="E1009" s="13" t="n">
        <f aca="false">D1009*SQRT(('Final Model'!$B$24-1)/('Final Model'!$B$24-D1009^2))</f>
        <v>-1.08675310355099</v>
      </c>
      <c r="F1009" s="23" t="n">
        <f aca="false">D1009^2/($P$3+1)*B1009/(1-B1009)</f>
        <v>0.000575884446809899</v>
      </c>
      <c r="G1009" s="13" t="n">
        <f aca="false">($P$2-1)*(B1009-1/$P$2)</f>
        <v>4.38316304845594</v>
      </c>
      <c r="H1009" s="13" t="n">
        <f aca="false">E1009*SQRT(B1009/(1-B1009))</f>
        <v>-0.0678798999768613</v>
      </c>
      <c r="I1009" s="13" t="n">
        <f aca="false">ABS(D1009)</f>
        <v>1.08668172545221</v>
      </c>
      <c r="J1009" s="6" t="n">
        <f aca="false">IF(B1009&gt;$P$4,1,0)</f>
        <v>0</v>
      </c>
      <c r="K1009" s="6" t="n">
        <f aca="false">IF(F1009&gt;$P$6,1,0)</f>
        <v>0</v>
      </c>
      <c r="L1009" s="6" t="n">
        <f aca="false">IF(G1009&gt;$P$9,1,0)</f>
        <v>0</v>
      </c>
      <c r="M1009" s="6" t="n">
        <f aca="false">IF(ABS(H1009)&gt;$P$8,1,0)</f>
        <v>0</v>
      </c>
    </row>
    <row r="1010" customFormat="false" ht="15" hidden="false" customHeight="false" outlineLevel="0" collapsed="false">
      <c r="A1010" s="0" t="n">
        <f aca="false">ROW()-1</f>
        <v>1009</v>
      </c>
      <c r="B1010" s="22" t="n">
        <f aca="false">SUMPRODUCT(MMULT('Analysis Data'!N1010:U1010,'Final Model'!$B$59:$I$66),'Analysis Data'!N1010:U1010)</f>
        <v>0.0141052879760491</v>
      </c>
      <c r="C1010" s="15" t="n">
        <f aca="false">'Residual Diagnostics'!F1010</f>
        <v>19.5747979535468</v>
      </c>
      <c r="D1010" s="13" t="n">
        <f aca="false">C1010/('Final Model'!$B$21*SQRT(1-B1010))</f>
        <v>0.402070516906059</v>
      </c>
      <c r="E1010" s="13" t="n">
        <f aca="false">D1010*SQRT(('Final Model'!$B$24-1)/('Final Model'!$B$24-D1010^2))</f>
        <v>0.401948179330652</v>
      </c>
      <c r="F1010" s="23" t="n">
        <f aca="false">D1010^2/($P$3+1)*B1010/(1-B1010)</f>
        <v>0.000289111847856385</v>
      </c>
      <c r="G1010" s="13" t="n">
        <f aca="false">($P$2-1)*(B1010-1/$P$2)</f>
        <v>18.5365453475496</v>
      </c>
      <c r="H1010" s="13" t="n">
        <f aca="false">E1010*SQRT(B1010/(1-B1010))</f>
        <v>0.0480779316612906</v>
      </c>
      <c r="I1010" s="13" t="n">
        <f aca="false">ABS(D1010)</f>
        <v>0.402070516906059</v>
      </c>
      <c r="J1010" s="6" t="n">
        <f aca="false">IF(B1010&gt;$P$4,1,0)</f>
        <v>1</v>
      </c>
      <c r="K1010" s="6" t="n">
        <f aca="false">IF(F1010&gt;$P$6,1,0)</f>
        <v>0</v>
      </c>
      <c r="L1010" s="6" t="n">
        <f aca="false">IF(G1010&gt;$P$9,1,0)</f>
        <v>1</v>
      </c>
      <c r="M1010" s="6" t="n">
        <f aca="false">IF(ABS(H1010)&gt;$P$8,1,0)</f>
        <v>0</v>
      </c>
    </row>
    <row r="1011" customFormat="false" ht="15" hidden="false" customHeight="false" outlineLevel="0" collapsed="false">
      <c r="A1011" s="0" t="n">
        <f aca="false">ROW()-1</f>
        <v>1010</v>
      </c>
      <c r="B1011" s="22" t="n">
        <f aca="false">SUMPRODUCT(MMULT('Analysis Data'!N1011:U1011,'Final Model'!$B$59:$I$66),'Analysis Data'!N1011:U1011)</f>
        <v>0.00619091596549526</v>
      </c>
      <c r="C1011" s="15" t="n">
        <f aca="false">'Residual Diagnostics'!F1011</f>
        <v>40.5113511337057</v>
      </c>
      <c r="D1011" s="13" t="n">
        <f aca="false">C1011/('Final Model'!$B$21*SQRT(1-B1011))</f>
        <v>0.8287918194265</v>
      </c>
      <c r="E1011" s="13" t="n">
        <f aca="false">D1011*SQRT(('Final Model'!$B$24-1)/('Final Model'!$B$24-D1011^2))</f>
        <v>0.828697609590648</v>
      </c>
      <c r="F1011" s="23" t="n">
        <f aca="false">D1011^2/($P$3+1)*B1011/(1-B1011)</f>
        <v>0.000534875704262672</v>
      </c>
      <c r="G1011" s="13" t="n">
        <f aca="false">($P$2-1)*(B1011-1/$P$2)</f>
        <v>7.57514011293244</v>
      </c>
      <c r="H1011" s="13" t="n">
        <f aca="false">E1011*SQRT(B1011/(1-B1011))</f>
        <v>0.0654066731244164</v>
      </c>
      <c r="I1011" s="13" t="n">
        <f aca="false">ABS(D1011)</f>
        <v>0.8287918194265</v>
      </c>
      <c r="J1011" s="6" t="n">
        <f aca="false">IF(B1011&gt;$P$4,1,0)</f>
        <v>0</v>
      </c>
      <c r="K1011" s="6" t="n">
        <f aca="false">IF(F1011&gt;$P$6,1,0)</f>
        <v>0</v>
      </c>
      <c r="L1011" s="6" t="n">
        <f aca="false">IF(G1011&gt;$P$9,1,0)</f>
        <v>0</v>
      </c>
      <c r="M1011" s="6" t="n">
        <f aca="false">IF(ABS(H1011)&gt;$P$8,1,0)</f>
        <v>0</v>
      </c>
    </row>
    <row r="1012" customFormat="false" ht="15" hidden="false" customHeight="false" outlineLevel="0" collapsed="false">
      <c r="A1012" s="0" t="n">
        <f aca="false">ROW()-1</f>
        <v>1011</v>
      </c>
      <c r="B1012" s="22" t="n">
        <f aca="false">SUMPRODUCT(MMULT('Analysis Data'!N1012:U1012,'Final Model'!$B$59:$I$66),'Analysis Data'!N1012:U1012)</f>
        <v>0.0063159448846742</v>
      </c>
      <c r="C1012" s="15" t="n">
        <f aca="false">'Residual Diagnostics'!F1012</f>
        <v>41.2511713190567</v>
      </c>
      <c r="D1012" s="13" t="n">
        <f aca="false">C1012/('Final Model'!$B$21*SQRT(1-B1012))</f>
        <v>0.843980345637003</v>
      </c>
      <c r="E1012" s="13" t="n">
        <f aca="false">D1012*SQRT(('Final Model'!$B$24-1)/('Final Model'!$B$24-D1012^2))</f>
        <v>0.843892192869792</v>
      </c>
      <c r="F1012" s="23" t="n">
        <f aca="false">D1012^2/($P$3+1)*B1012/(1-B1012)</f>
        <v>0.000565932570983616</v>
      </c>
      <c r="G1012" s="13" t="n">
        <f aca="false">($P$2-1)*(B1012-1/$P$2)</f>
        <v>7.74830516599527</v>
      </c>
      <c r="H1012" s="13" t="n">
        <f aca="false">E1012*SQRT(B1012/(1-B1012))</f>
        <v>0.0672793790195925</v>
      </c>
      <c r="I1012" s="13" t="n">
        <f aca="false">ABS(D1012)</f>
        <v>0.843980345637003</v>
      </c>
      <c r="J1012" s="6" t="n">
        <f aca="false">IF(B1012&gt;$P$4,1,0)</f>
        <v>0</v>
      </c>
      <c r="K1012" s="6" t="n">
        <f aca="false">IF(F1012&gt;$P$6,1,0)</f>
        <v>0</v>
      </c>
      <c r="L1012" s="6" t="n">
        <f aca="false">IF(G1012&gt;$P$9,1,0)</f>
        <v>0</v>
      </c>
      <c r="M1012" s="6" t="n">
        <f aca="false">IF(ABS(H1012)&gt;$P$8,1,0)</f>
        <v>0</v>
      </c>
    </row>
    <row r="1013" customFormat="false" ht="15" hidden="false" customHeight="false" outlineLevel="0" collapsed="false">
      <c r="A1013" s="0" t="n">
        <f aca="false">ROW()-1</f>
        <v>1012</v>
      </c>
      <c r="B1013" s="22" t="n">
        <f aca="false">SUMPRODUCT(MMULT('Analysis Data'!N1013:U1013,'Final Model'!$B$59:$I$66),'Analysis Data'!N1013:U1013)</f>
        <v>0.00543691195174122</v>
      </c>
      <c r="C1013" s="15" t="n">
        <f aca="false">'Residual Diagnostics'!F1013</f>
        <v>-21.952840384419</v>
      </c>
      <c r="D1013" s="13" t="n">
        <f aca="false">C1013/('Final Model'!$B$21*SQRT(1-B1013))</f>
        <v>-0.448946675665967</v>
      </c>
      <c r="E1013" s="13" t="n">
        <f aca="false">D1013*SQRT(('Final Model'!$B$24-1)/('Final Model'!$B$24-D1013^2))</f>
        <v>-0.448816572448713</v>
      </c>
      <c r="F1013" s="23" t="n">
        <f aca="false">D1013^2/($P$3+1)*B1013/(1-B1013)</f>
        <v>0.000137727129519571</v>
      </c>
      <c r="G1013" s="13" t="n">
        <f aca="false">($P$2-1)*(B1013-1/$P$2)</f>
        <v>6.5308445538831</v>
      </c>
      <c r="H1013" s="13" t="n">
        <f aca="false">E1013*SQRT(B1013/(1-B1013))</f>
        <v>-0.0331840100506561</v>
      </c>
      <c r="I1013" s="13" t="n">
        <f aca="false">ABS(D1013)</f>
        <v>0.448946675665967</v>
      </c>
      <c r="J1013" s="6" t="n">
        <f aca="false">IF(B1013&gt;$P$4,1,0)</f>
        <v>0</v>
      </c>
      <c r="K1013" s="6" t="n">
        <f aca="false">IF(F1013&gt;$P$6,1,0)</f>
        <v>0</v>
      </c>
      <c r="L1013" s="6" t="n">
        <f aca="false">IF(G1013&gt;$P$9,1,0)</f>
        <v>0</v>
      </c>
      <c r="M1013" s="6" t="n">
        <f aca="false">IF(ABS(H1013)&gt;$P$8,1,0)</f>
        <v>0</v>
      </c>
    </row>
    <row r="1014" customFormat="false" ht="15" hidden="false" customHeight="false" outlineLevel="0" collapsed="false">
      <c r="A1014" s="0" t="n">
        <f aca="false">ROW()-1</f>
        <v>1013</v>
      </c>
      <c r="B1014" s="22" t="n">
        <f aca="false">SUMPRODUCT(MMULT('Analysis Data'!N1014:U1014,'Final Model'!$B$59:$I$66),'Analysis Data'!N1014:U1014)</f>
        <v>0.00669936491110741</v>
      </c>
      <c r="C1014" s="15" t="n">
        <f aca="false">'Residual Diagnostics'!F1014</f>
        <v>-71.3142594420319</v>
      </c>
      <c r="D1014" s="13" t="n">
        <f aca="false">C1014/('Final Model'!$B$21*SQRT(1-B1014))</f>
        <v>-1.45933913438195</v>
      </c>
      <c r="E1014" s="13" t="n">
        <f aca="false">D1014*SQRT(('Final Model'!$B$24-1)/('Final Model'!$B$24-D1014^2))</f>
        <v>-1.4599381132191</v>
      </c>
      <c r="F1014" s="23" t="n">
        <f aca="false">D1014^2/($P$3+1)*B1014/(1-B1014)</f>
        <v>0.00179545858486992</v>
      </c>
      <c r="G1014" s="13" t="n">
        <f aca="false">($P$2-1)*(B1014-1/$P$2)</f>
        <v>8.27934190260526</v>
      </c>
      <c r="H1014" s="13" t="n">
        <f aca="false">E1014*SQRT(B1014/(1-B1014))</f>
        <v>-0.119897715150549</v>
      </c>
      <c r="I1014" s="13" t="n">
        <f aca="false">ABS(D1014)</f>
        <v>1.45933913438195</v>
      </c>
      <c r="J1014" s="6" t="n">
        <f aca="false">IF(B1014&gt;$P$4,1,0)</f>
        <v>0</v>
      </c>
      <c r="K1014" s="6" t="n">
        <f aca="false">IF(F1014&gt;$P$6,1,0)</f>
        <v>0</v>
      </c>
      <c r="L1014" s="6" t="n">
        <f aca="false">IF(G1014&gt;$P$9,1,0)</f>
        <v>0</v>
      </c>
      <c r="M1014" s="6" t="n">
        <f aca="false">IF(ABS(H1014)&gt;$P$8,1,0)</f>
        <v>0</v>
      </c>
    </row>
    <row r="1015" customFormat="false" ht="15" hidden="false" customHeight="false" outlineLevel="0" collapsed="false">
      <c r="A1015" s="0" t="n">
        <f aca="false">ROW()-1</f>
        <v>1014</v>
      </c>
      <c r="B1015" s="22" t="n">
        <f aca="false">SUMPRODUCT(MMULT('Analysis Data'!N1015:U1015,'Final Model'!$B$59:$I$66),'Analysis Data'!N1015:U1015)</f>
        <v>0.00404625893105251</v>
      </c>
      <c r="C1015" s="15" t="n">
        <f aca="false">'Residual Diagnostics'!F1015</f>
        <v>83.7590688333322</v>
      </c>
      <c r="D1015" s="13" t="n">
        <f aca="false">C1015/('Final Model'!$B$21*SQRT(1-B1015))</f>
        <v>1.71171897782786</v>
      </c>
      <c r="E1015" s="13" t="n">
        <f aca="false">D1015*SQRT(('Final Model'!$B$24-1)/('Final Model'!$B$24-D1015^2))</f>
        <v>1.71291979966078</v>
      </c>
      <c r="F1015" s="23" t="n">
        <f aca="false">D1015^2/($P$3+1)*B1015/(1-B1015)</f>
        <v>0.00148795380449887</v>
      </c>
      <c r="G1015" s="13" t="n">
        <f aca="false">($P$2-1)*(B1015-1/$P$2)</f>
        <v>4.60479012022922</v>
      </c>
      <c r="H1015" s="13" t="n">
        <f aca="false">E1015*SQRT(B1015/(1-B1015))</f>
        <v>0.109180299489898</v>
      </c>
      <c r="I1015" s="13" t="n">
        <f aca="false">ABS(D1015)</f>
        <v>1.71171897782786</v>
      </c>
      <c r="J1015" s="6" t="n">
        <f aca="false">IF(B1015&gt;$P$4,1,0)</f>
        <v>0</v>
      </c>
      <c r="K1015" s="6" t="n">
        <f aca="false">IF(F1015&gt;$P$6,1,0)</f>
        <v>0</v>
      </c>
      <c r="L1015" s="6" t="n">
        <f aca="false">IF(G1015&gt;$P$9,1,0)</f>
        <v>0</v>
      </c>
      <c r="M1015" s="6" t="n">
        <f aca="false">IF(ABS(H1015)&gt;$P$8,1,0)</f>
        <v>0</v>
      </c>
    </row>
    <row r="1016" customFormat="false" ht="15" hidden="false" customHeight="false" outlineLevel="0" collapsed="false">
      <c r="A1016" s="0" t="n">
        <f aca="false">ROW()-1</f>
        <v>1015</v>
      </c>
      <c r="B1016" s="22" t="n">
        <f aca="false">SUMPRODUCT(MMULT('Analysis Data'!N1016:U1016,'Final Model'!$B$59:$I$66),'Analysis Data'!N1016:U1016)</f>
        <v>0.00531680296637817</v>
      </c>
      <c r="C1016" s="15" t="n">
        <f aca="false">'Residual Diagnostics'!F1016</f>
        <v>-66.3613508975127</v>
      </c>
      <c r="D1016" s="13" t="n">
        <f aca="false">C1016/('Final Model'!$B$21*SQRT(1-B1016))</f>
        <v>-1.35704120982119</v>
      </c>
      <c r="E1016" s="13" t="n">
        <f aca="false">D1016*SQRT(('Final Model'!$B$24-1)/('Final Model'!$B$24-D1016^2))</f>
        <v>-1.35745608145653</v>
      </c>
      <c r="F1016" s="23" t="n">
        <f aca="false">D1016^2/($P$3+1)*B1016/(1-B1016)</f>
        <v>0.00123044404910464</v>
      </c>
      <c r="G1016" s="13" t="n">
        <f aca="false">($P$2-1)*(B1016-1/$P$2)</f>
        <v>6.36449360915527</v>
      </c>
      <c r="H1016" s="13" t="n">
        <f aca="false">E1016*SQRT(B1016/(1-B1016))</f>
        <v>-0.0992450100053058</v>
      </c>
      <c r="I1016" s="13" t="n">
        <f aca="false">ABS(D1016)</f>
        <v>1.35704120982119</v>
      </c>
      <c r="J1016" s="6" t="n">
        <f aca="false">IF(B1016&gt;$P$4,1,0)</f>
        <v>0</v>
      </c>
      <c r="K1016" s="6" t="n">
        <f aca="false">IF(F1016&gt;$P$6,1,0)</f>
        <v>0</v>
      </c>
      <c r="L1016" s="6" t="n">
        <f aca="false">IF(G1016&gt;$P$9,1,0)</f>
        <v>0</v>
      </c>
      <c r="M1016" s="6" t="n">
        <f aca="false">IF(ABS(H1016)&gt;$P$8,1,0)</f>
        <v>0</v>
      </c>
    </row>
    <row r="1017" customFormat="false" ht="15" hidden="false" customHeight="false" outlineLevel="0" collapsed="false">
      <c r="A1017" s="0" t="n">
        <f aca="false">ROW()-1</f>
        <v>1016</v>
      </c>
      <c r="B1017" s="22" t="n">
        <f aca="false">SUMPRODUCT(MMULT('Analysis Data'!N1017:U1017,'Final Model'!$B$59:$I$66),'Analysis Data'!N1017:U1017)</f>
        <v>0.00333668435299867</v>
      </c>
      <c r="C1017" s="15" t="n">
        <f aca="false">'Residual Diagnostics'!F1017</f>
        <v>19.4109633780109</v>
      </c>
      <c r="D1017" s="13" t="n">
        <f aca="false">C1017/('Final Model'!$B$21*SQRT(1-B1017))</f>
        <v>0.396545533284061</v>
      </c>
      <c r="E1017" s="13" t="n">
        <f aca="false">D1017*SQRT(('Final Model'!$B$24-1)/('Final Model'!$B$24-D1017^2))</f>
        <v>0.396424242042684</v>
      </c>
      <c r="F1017" s="23" t="n">
        <f aca="false">D1017^2/($P$3+1)*B1017/(1-B1017)</f>
        <v>6.58055902631702E-005</v>
      </c>
      <c r="G1017" s="13" t="n">
        <f aca="false">($P$2-1)*(B1017-1/$P$2)</f>
        <v>3.62202932962466</v>
      </c>
      <c r="H1017" s="13" t="n">
        <f aca="false">E1017*SQRT(B1017/(1-B1017))</f>
        <v>0.0229373652461945</v>
      </c>
      <c r="I1017" s="13" t="n">
        <f aca="false">ABS(D1017)</f>
        <v>0.396545533284061</v>
      </c>
      <c r="J1017" s="6" t="n">
        <f aca="false">IF(B1017&gt;$P$4,1,0)</f>
        <v>0</v>
      </c>
      <c r="K1017" s="6" t="n">
        <f aca="false">IF(F1017&gt;$P$6,1,0)</f>
        <v>0</v>
      </c>
      <c r="L1017" s="6" t="n">
        <f aca="false">IF(G1017&gt;$P$9,1,0)</f>
        <v>0</v>
      </c>
      <c r="M1017" s="6" t="n">
        <f aca="false">IF(ABS(H1017)&gt;$P$8,1,0)</f>
        <v>0</v>
      </c>
    </row>
    <row r="1018" customFormat="false" ht="15" hidden="false" customHeight="false" outlineLevel="0" collapsed="false">
      <c r="A1018" s="0" t="n">
        <f aca="false">ROW()-1</f>
        <v>1017</v>
      </c>
      <c r="B1018" s="22" t="n">
        <f aca="false">SUMPRODUCT(MMULT('Analysis Data'!N1018:U1018,'Final Model'!$B$59:$I$66),'Analysis Data'!N1018:U1018)</f>
        <v>0.00230537453973294</v>
      </c>
      <c r="C1018" s="15" t="n">
        <f aca="false">'Residual Diagnostics'!F1018</f>
        <v>-20.5130305563455</v>
      </c>
      <c r="D1018" s="13" t="n">
        <f aca="false">C1018/('Final Model'!$B$21*SQRT(1-B1018))</f>
        <v>-0.418842959300077</v>
      </c>
      <c r="E1018" s="13" t="n">
        <f aca="false">D1018*SQRT(('Final Model'!$B$24-1)/('Final Model'!$B$24-D1018^2))</f>
        <v>-0.418717610516733</v>
      </c>
      <c r="F1018" s="23" t="n">
        <f aca="false">D1018^2/($P$3+1)*B1018/(1-B1018)</f>
        <v>5.06706308935822E-005</v>
      </c>
      <c r="G1018" s="13" t="n">
        <f aca="false">($P$2-1)*(B1018-1/$P$2)</f>
        <v>2.19366523825162</v>
      </c>
      <c r="H1018" s="13" t="n">
        <f aca="false">E1018*SQRT(B1018/(1-B1018))</f>
        <v>-0.0201276539384061</v>
      </c>
      <c r="I1018" s="13" t="n">
        <f aca="false">ABS(D1018)</f>
        <v>0.418842959300077</v>
      </c>
      <c r="J1018" s="6" t="n">
        <f aca="false">IF(B1018&gt;$P$4,1,0)</f>
        <v>0</v>
      </c>
      <c r="K1018" s="6" t="n">
        <f aca="false">IF(F1018&gt;$P$6,1,0)</f>
        <v>0</v>
      </c>
      <c r="L1018" s="6" t="n">
        <f aca="false">IF(G1018&gt;$P$9,1,0)</f>
        <v>0</v>
      </c>
      <c r="M1018" s="6" t="n">
        <f aca="false">IF(ABS(H1018)&gt;$P$8,1,0)</f>
        <v>0</v>
      </c>
    </row>
    <row r="1019" customFormat="false" ht="15" hidden="false" customHeight="false" outlineLevel="0" collapsed="false">
      <c r="A1019" s="0" t="n">
        <f aca="false">ROW()-1</f>
        <v>1018</v>
      </c>
      <c r="B1019" s="22" t="n">
        <f aca="false">SUMPRODUCT(MMULT('Analysis Data'!N1019:U1019,'Final Model'!$B$59:$I$66),'Analysis Data'!N1019:U1019)</f>
        <v>0.00223459712693349</v>
      </c>
      <c r="C1019" s="15" t="n">
        <f aca="false">'Residual Diagnostics'!F1019</f>
        <v>-21.2242743048536</v>
      </c>
      <c r="D1019" s="13" t="n">
        <f aca="false">C1019/('Final Model'!$B$21*SQRT(1-B1019))</f>
        <v>-0.433350037259768</v>
      </c>
      <c r="E1019" s="13" t="n">
        <f aca="false">D1019*SQRT(('Final Model'!$B$24-1)/('Final Model'!$B$24-D1019^2))</f>
        <v>-0.433222290480933</v>
      </c>
      <c r="F1019" s="23" t="n">
        <f aca="false">D1019^2/($P$3+1)*B1019/(1-B1019)</f>
        <v>5.25724824458411E-005</v>
      </c>
      <c r="G1019" s="13" t="n">
        <f aca="false">($P$2-1)*(B1019-1/$P$2)</f>
        <v>2.09563852152439</v>
      </c>
      <c r="H1019" s="13" t="n">
        <f aca="false">E1019*SQRT(B1019/(1-B1019))</f>
        <v>-0.0205019982336067</v>
      </c>
      <c r="I1019" s="13" t="n">
        <f aca="false">ABS(D1019)</f>
        <v>0.433350037259768</v>
      </c>
      <c r="J1019" s="6" t="n">
        <f aca="false">IF(B1019&gt;$P$4,1,0)</f>
        <v>0</v>
      </c>
      <c r="K1019" s="6" t="n">
        <f aca="false">IF(F1019&gt;$P$6,1,0)</f>
        <v>0</v>
      </c>
      <c r="L1019" s="6" t="n">
        <f aca="false">IF(G1019&gt;$P$9,1,0)</f>
        <v>0</v>
      </c>
      <c r="M1019" s="6" t="n">
        <f aca="false">IF(ABS(H1019)&gt;$P$8,1,0)</f>
        <v>0</v>
      </c>
    </row>
    <row r="1020" customFormat="false" ht="15" hidden="false" customHeight="false" outlineLevel="0" collapsed="false">
      <c r="A1020" s="0" t="n">
        <f aca="false">ROW()-1</f>
        <v>1019</v>
      </c>
      <c r="B1020" s="22" t="n">
        <f aca="false">SUMPRODUCT(MMULT('Analysis Data'!N1020:U1020,'Final Model'!$B$59:$I$66),'Analysis Data'!N1020:U1020)</f>
        <v>0.00340363914057751</v>
      </c>
      <c r="C1020" s="15" t="n">
        <f aca="false">'Residual Diagnostics'!F1020</f>
        <v>5.31421690946277</v>
      </c>
      <c r="D1020" s="13" t="n">
        <f aca="false">C1020/('Final Model'!$B$21*SQRT(1-B1020))</f>
        <v>0.108567499971183</v>
      </c>
      <c r="E1020" s="13" t="n">
        <f aca="false">D1020*SQRT(('Final Model'!$B$24-1)/('Final Model'!$B$24-D1020^2))</f>
        <v>0.108528563837146</v>
      </c>
      <c r="F1020" s="23" t="n">
        <f aca="false">D1020^2/($P$3+1)*B1020/(1-B1020)</f>
        <v>5.03192199208315E-006</v>
      </c>
      <c r="G1020" s="13" t="n">
        <f aca="false">($P$2-1)*(B1020-1/$P$2)</f>
        <v>3.71476171042135</v>
      </c>
      <c r="H1020" s="13" t="n">
        <f aca="false">E1020*SQRT(B1020/(1-B1020))</f>
        <v>0.00634243700161947</v>
      </c>
      <c r="I1020" s="13" t="n">
        <f aca="false">ABS(D1020)</f>
        <v>0.108567499971183</v>
      </c>
      <c r="J1020" s="6" t="n">
        <f aca="false">IF(B1020&gt;$P$4,1,0)</f>
        <v>0</v>
      </c>
      <c r="K1020" s="6" t="n">
        <f aca="false">IF(F1020&gt;$P$6,1,0)</f>
        <v>0</v>
      </c>
      <c r="L1020" s="6" t="n">
        <f aca="false">IF(G1020&gt;$P$9,1,0)</f>
        <v>0</v>
      </c>
      <c r="M1020" s="6" t="n">
        <f aca="false">IF(ABS(H1020)&gt;$P$8,1,0)</f>
        <v>0</v>
      </c>
    </row>
    <row r="1021" customFormat="false" ht="15" hidden="false" customHeight="false" outlineLevel="0" collapsed="false">
      <c r="A1021" s="0" t="n">
        <f aca="false">ROW()-1</f>
        <v>1020</v>
      </c>
      <c r="B1021" s="22" t="n">
        <f aca="false">SUMPRODUCT(MMULT('Analysis Data'!N1021:U1021,'Final Model'!$B$59:$I$66),'Analysis Data'!N1021:U1021)</f>
        <v>0.00355814333255254</v>
      </c>
      <c r="C1021" s="15" t="n">
        <f aca="false">'Residual Diagnostics'!F1021</f>
        <v>-12.0960815943598</v>
      </c>
      <c r="D1021" s="13" t="n">
        <f aca="false">C1021/('Final Model'!$B$21*SQRT(1-B1021))</f>
        <v>-0.247137662893086</v>
      </c>
      <c r="E1021" s="13" t="n">
        <f aca="false">D1021*SQRT(('Final Model'!$B$24-1)/('Final Model'!$B$24-D1021^2))</f>
        <v>-0.247053449156252</v>
      </c>
      <c r="F1021" s="23" t="n">
        <f aca="false">D1021^2/($P$3+1)*B1021/(1-B1021)</f>
        <v>2.72621033729835E-005</v>
      </c>
      <c r="G1021" s="13" t="n">
        <f aca="false">($P$2-1)*(B1021-1/$P$2)</f>
        <v>3.92875001630677</v>
      </c>
      <c r="H1021" s="13" t="n">
        <f aca="false">E1021*SQRT(B1021/(1-B1021))</f>
        <v>-0.0147630693466864</v>
      </c>
      <c r="I1021" s="13" t="n">
        <f aca="false">ABS(D1021)</f>
        <v>0.247137662893086</v>
      </c>
      <c r="J1021" s="6" t="n">
        <f aca="false">IF(B1021&gt;$P$4,1,0)</f>
        <v>0</v>
      </c>
      <c r="K1021" s="6" t="n">
        <f aca="false">IF(F1021&gt;$P$6,1,0)</f>
        <v>0</v>
      </c>
      <c r="L1021" s="6" t="n">
        <f aca="false">IF(G1021&gt;$P$9,1,0)</f>
        <v>0</v>
      </c>
      <c r="M1021" s="6" t="n">
        <f aca="false">IF(ABS(H1021)&gt;$P$8,1,0)</f>
        <v>0</v>
      </c>
    </row>
    <row r="1022" customFormat="false" ht="15" hidden="false" customHeight="false" outlineLevel="0" collapsed="false">
      <c r="A1022" s="0" t="n">
        <f aca="false">ROW()-1</f>
        <v>1021</v>
      </c>
      <c r="B1022" s="22" t="n">
        <f aca="false">SUMPRODUCT(MMULT('Analysis Data'!N1022:U1022,'Final Model'!$B$59:$I$66),'Analysis Data'!N1022:U1022)</f>
        <v>0.00193739323046298</v>
      </c>
      <c r="C1022" s="15" t="n">
        <f aca="false">'Residual Diagnostics'!F1022</f>
        <v>-7.36762965353972</v>
      </c>
      <c r="D1022" s="13" t="n">
        <f aca="false">C1022/('Final Model'!$B$21*SQRT(1-B1022))</f>
        <v>-0.150407365260581</v>
      </c>
      <c r="E1022" s="13" t="n">
        <f aca="false">D1022*SQRT(('Final Model'!$B$24-1)/('Final Model'!$B$24-D1022^2))</f>
        <v>-0.150354015012585</v>
      </c>
      <c r="F1022" s="23" t="n">
        <f aca="false">D1022^2/($P$3+1)*B1022/(1-B1022)</f>
        <v>5.48918936812366E-006</v>
      </c>
      <c r="G1022" s="13" t="n">
        <f aca="false">($P$2-1)*(B1022-1/$P$2)</f>
        <v>1.68401112491273</v>
      </c>
      <c r="H1022" s="13" t="n">
        <f aca="false">E1022*SQRT(B1022/(1-B1022))</f>
        <v>-0.00662437678437117</v>
      </c>
      <c r="I1022" s="13" t="n">
        <f aca="false">ABS(D1022)</f>
        <v>0.150407365260581</v>
      </c>
      <c r="J1022" s="6" t="n">
        <f aca="false">IF(B1022&gt;$P$4,1,0)</f>
        <v>0</v>
      </c>
      <c r="K1022" s="6" t="n">
        <f aca="false">IF(F1022&gt;$P$6,1,0)</f>
        <v>0</v>
      </c>
      <c r="L1022" s="6" t="n">
        <f aca="false">IF(G1022&gt;$P$9,1,0)</f>
        <v>0</v>
      </c>
      <c r="M1022" s="6" t="n">
        <f aca="false">IF(ABS(H1022)&gt;$P$8,1,0)</f>
        <v>0</v>
      </c>
    </row>
    <row r="1023" customFormat="false" ht="15" hidden="false" customHeight="false" outlineLevel="0" collapsed="false">
      <c r="A1023" s="0" t="n">
        <f aca="false">ROW()-1</f>
        <v>1022</v>
      </c>
      <c r="B1023" s="22" t="n">
        <f aca="false">SUMPRODUCT(MMULT('Analysis Data'!N1023:U1023,'Final Model'!$B$59:$I$66),'Analysis Data'!N1023:U1023)</f>
        <v>0.00202627412523111</v>
      </c>
      <c r="C1023" s="15" t="n">
        <f aca="false">'Residual Diagnostics'!F1023</f>
        <v>52.0252274808353</v>
      </c>
      <c r="D1023" s="13" t="n">
        <f aca="false">C1023/('Final Model'!$B$21*SQRT(1-B1023))</f>
        <v>1.06212258273753</v>
      </c>
      <c r="E1023" s="13" t="n">
        <f aca="false">D1023*SQRT(('Final Model'!$B$24-1)/('Final Model'!$B$24-D1023^2))</f>
        <v>1.06217199161555</v>
      </c>
      <c r="F1023" s="23" t="n">
        <f aca="false">D1023^2/($P$3+1)*B1023/(1-B1023)</f>
        <v>0.000286311234708646</v>
      </c>
      <c r="G1023" s="13" t="n">
        <f aca="false">($P$2-1)*(B1023-1/$P$2)</f>
        <v>1.80711116416658</v>
      </c>
      <c r="H1023" s="13" t="n">
        <f aca="false">E1023*SQRT(B1023/(1-B1023))</f>
        <v>0.0478612890049222</v>
      </c>
      <c r="I1023" s="13" t="n">
        <f aca="false">ABS(D1023)</f>
        <v>1.06212258273753</v>
      </c>
      <c r="J1023" s="6" t="n">
        <f aca="false">IF(B1023&gt;$P$4,1,0)</f>
        <v>0</v>
      </c>
      <c r="K1023" s="6" t="n">
        <f aca="false">IF(F1023&gt;$P$6,1,0)</f>
        <v>0</v>
      </c>
      <c r="L1023" s="6" t="n">
        <f aca="false">IF(G1023&gt;$P$9,1,0)</f>
        <v>0</v>
      </c>
      <c r="M1023" s="6" t="n">
        <f aca="false">IF(ABS(H1023)&gt;$P$8,1,0)</f>
        <v>0</v>
      </c>
    </row>
    <row r="1024" customFormat="false" ht="15" hidden="false" customHeight="false" outlineLevel="0" collapsed="false">
      <c r="A1024" s="0" t="n">
        <f aca="false">ROW()-1</f>
        <v>1023</v>
      </c>
      <c r="B1024" s="22" t="n">
        <f aca="false">SUMPRODUCT(MMULT('Analysis Data'!N1024:U1024,'Final Model'!$B$59:$I$66),'Analysis Data'!N1024:U1024)</f>
        <v>0.00255678251679173</v>
      </c>
      <c r="C1024" s="15" t="n">
        <f aca="false">'Residual Diagnostics'!F1024</f>
        <v>25.7122899578578</v>
      </c>
      <c r="D1024" s="13" t="n">
        <f aca="false">C1024/('Final Model'!$B$21*SQRT(1-B1024))</f>
        <v>0.525069600484658</v>
      </c>
      <c r="E1024" s="13" t="n">
        <f aca="false">D1024*SQRT(('Final Model'!$B$24-1)/('Final Model'!$B$24-D1024^2))</f>
        <v>0.524931561649931</v>
      </c>
      <c r="F1024" s="23" t="n">
        <f aca="false">D1024^2/($P$3+1)*B1024/(1-B1024)</f>
        <v>8.83383675617194E-005</v>
      </c>
      <c r="G1024" s="13" t="n">
        <f aca="false">($P$2-1)*(B1024-1/$P$2)</f>
        <v>2.54186528647805</v>
      </c>
      <c r="H1024" s="13" t="n">
        <f aca="false">E1024*SQRT(B1024/(1-B1024))</f>
        <v>0.0265769713871402</v>
      </c>
      <c r="I1024" s="13" t="n">
        <f aca="false">ABS(D1024)</f>
        <v>0.525069600484658</v>
      </c>
      <c r="J1024" s="6" t="n">
        <f aca="false">IF(B1024&gt;$P$4,1,0)</f>
        <v>0</v>
      </c>
      <c r="K1024" s="6" t="n">
        <f aca="false">IF(F1024&gt;$P$6,1,0)</f>
        <v>0</v>
      </c>
      <c r="L1024" s="6" t="n">
        <f aca="false">IF(G1024&gt;$P$9,1,0)</f>
        <v>0</v>
      </c>
      <c r="M1024" s="6" t="n">
        <f aca="false">IF(ABS(H1024)&gt;$P$8,1,0)</f>
        <v>0</v>
      </c>
    </row>
    <row r="1025" customFormat="false" ht="15" hidden="false" customHeight="false" outlineLevel="0" collapsed="false">
      <c r="A1025" s="0" t="n">
        <f aca="false">ROW()-1</f>
        <v>1024</v>
      </c>
      <c r="B1025" s="22" t="n">
        <f aca="false">SUMPRODUCT(MMULT('Analysis Data'!N1025:U1025,'Final Model'!$B$59:$I$66),'Analysis Data'!N1025:U1025)</f>
        <v>0.00998166860646138</v>
      </c>
      <c r="C1025" s="15" t="n">
        <f aca="false">'Residual Diagnostics'!F1025</f>
        <v>20.9005711262893</v>
      </c>
      <c r="D1025" s="13" t="n">
        <f aca="false">C1025/('Final Model'!$B$21*SQRT(1-B1025))</f>
        <v>0.42840718352425</v>
      </c>
      <c r="E1025" s="13" t="n">
        <f aca="false">D1025*SQRT(('Final Model'!$B$24-1)/('Final Model'!$B$24-D1025^2))</f>
        <v>0.428280231824952</v>
      </c>
      <c r="F1025" s="23" t="n">
        <f aca="false">D1025^2/($P$3+1)*B1025/(1-B1025)</f>
        <v>0.000231304143624947</v>
      </c>
      <c r="G1025" s="13" t="n">
        <f aca="false">($P$2-1)*(B1025-1/$P$2)</f>
        <v>12.8253325206705</v>
      </c>
      <c r="H1025" s="13" t="n">
        <f aca="false">E1025*SQRT(B1025/(1-B1025))</f>
        <v>0.0430039139875175</v>
      </c>
      <c r="I1025" s="13" t="n">
        <f aca="false">ABS(D1025)</f>
        <v>0.42840718352425</v>
      </c>
      <c r="J1025" s="6" t="n">
        <f aca="false">IF(B1025&gt;$P$4,1,0)</f>
        <v>0</v>
      </c>
      <c r="K1025" s="6" t="n">
        <f aca="false">IF(F1025&gt;$P$6,1,0)</f>
        <v>0</v>
      </c>
      <c r="L1025" s="6" t="n">
        <f aca="false">IF(G1025&gt;$P$9,1,0)</f>
        <v>1</v>
      </c>
      <c r="M1025" s="6" t="n">
        <f aca="false">IF(ABS(H1025)&gt;$P$8,1,0)</f>
        <v>0</v>
      </c>
    </row>
    <row r="1026" customFormat="false" ht="15" hidden="false" customHeight="false" outlineLevel="0" collapsed="false">
      <c r="A1026" s="0" t="n">
        <f aca="false">ROW()-1</f>
        <v>1025</v>
      </c>
      <c r="B1026" s="22" t="n">
        <f aca="false">SUMPRODUCT(MMULT('Analysis Data'!N1026:U1026,'Final Model'!$B$59:$I$66),'Analysis Data'!N1026:U1026)</f>
        <v>0.0101026760938813</v>
      </c>
      <c r="C1026" s="15" t="n">
        <f aca="false">'Residual Diagnostics'!F1026</f>
        <v>53.4007837011615</v>
      </c>
      <c r="D1026" s="13" t="n">
        <f aca="false">C1026/('Final Model'!$B$21*SQRT(1-B1026))</f>
        <v>1.09464365590406</v>
      </c>
      <c r="E1026" s="13" t="n">
        <f aca="false">D1026*SQRT(('Final Model'!$B$24-1)/('Final Model'!$B$24-D1026^2))</f>
        <v>1.09472246155919</v>
      </c>
      <c r="F1026" s="23" t="n">
        <f aca="false">D1026^2/($P$3+1)*B1026/(1-B1026)</f>
        <v>0.00152862803677994</v>
      </c>
      <c r="G1026" s="13" t="n">
        <f aca="false">($P$2-1)*(B1026-1/$P$2)</f>
        <v>12.9929278907471</v>
      </c>
      <c r="H1026" s="13" t="n">
        <f aca="false">E1026*SQRT(B1026/(1-B1026))</f>
        <v>0.110592880164131</v>
      </c>
      <c r="I1026" s="13" t="n">
        <f aca="false">ABS(D1026)</f>
        <v>1.09464365590406</v>
      </c>
      <c r="J1026" s="6" t="n">
        <f aca="false">IF(B1026&gt;$P$4,1,0)</f>
        <v>0</v>
      </c>
      <c r="K1026" s="6" t="n">
        <f aca="false">IF(F1026&gt;$P$6,1,0)</f>
        <v>0</v>
      </c>
      <c r="L1026" s="6" t="n">
        <f aca="false">IF(G1026&gt;$P$9,1,0)</f>
        <v>1</v>
      </c>
      <c r="M1026" s="6" t="n">
        <f aca="false">IF(ABS(H1026)&gt;$P$8,1,0)</f>
        <v>0</v>
      </c>
    </row>
    <row r="1027" customFormat="false" ht="15" hidden="false" customHeight="false" outlineLevel="0" collapsed="false">
      <c r="A1027" s="0" t="n">
        <f aca="false">ROW()-1</f>
        <v>1026</v>
      </c>
      <c r="B1027" s="22" t="n">
        <f aca="false">SUMPRODUCT(MMULT('Analysis Data'!N1027:U1027,'Final Model'!$B$59:$I$66),'Analysis Data'!N1027:U1027)</f>
        <v>0.0146384540674348</v>
      </c>
      <c r="C1027" s="15" t="n">
        <f aca="false">'Residual Diagnostics'!F1027</f>
        <v>-42.4326089346092</v>
      </c>
      <c r="D1027" s="13" t="n">
        <f aca="false">C1027/('Final Model'!$B$21*SQRT(1-B1027))</f>
        <v>-0.87181058717292</v>
      </c>
      <c r="E1027" s="13" t="n">
        <f aca="false">D1027*SQRT(('Final Model'!$B$24-1)/('Final Model'!$B$24-D1027^2))</f>
        <v>-0.871734639318867</v>
      </c>
      <c r="F1027" s="23" t="n">
        <f aca="false">D1027^2/($P$3+1)*B1027/(1-B1027)</f>
        <v>0.00141141229084847</v>
      </c>
      <c r="G1027" s="13" t="n">
        <f aca="false">($P$2-1)*(B1027-1/$P$2)</f>
        <v>19.2749803841187</v>
      </c>
      <c r="H1027" s="13" t="n">
        <f aca="false">E1027*SQRT(B1027/(1-B1027))</f>
        <v>-0.106251264122523</v>
      </c>
      <c r="I1027" s="13" t="n">
        <f aca="false">ABS(D1027)</f>
        <v>0.87181058717292</v>
      </c>
      <c r="J1027" s="6" t="n">
        <f aca="false">IF(B1027&gt;$P$4,1,0)</f>
        <v>1</v>
      </c>
      <c r="K1027" s="6" t="n">
        <f aca="false">IF(F1027&gt;$P$6,1,0)</f>
        <v>0</v>
      </c>
      <c r="L1027" s="6" t="n">
        <f aca="false">IF(G1027&gt;$P$9,1,0)</f>
        <v>1</v>
      </c>
      <c r="M1027" s="6" t="n">
        <f aca="false">IF(ABS(H1027)&gt;$P$8,1,0)</f>
        <v>0</v>
      </c>
    </row>
    <row r="1028" customFormat="false" ht="15" hidden="false" customHeight="false" outlineLevel="0" collapsed="false">
      <c r="A1028" s="0" t="n">
        <f aca="false">ROW()-1</f>
        <v>1027</v>
      </c>
      <c r="B1028" s="22" t="n">
        <f aca="false">SUMPRODUCT(MMULT('Analysis Data'!N1028:U1028,'Final Model'!$B$59:$I$66),'Analysis Data'!N1028:U1028)</f>
        <v>0.00615498320683786</v>
      </c>
      <c r="C1028" s="15" t="n">
        <f aca="false">'Residual Diagnostics'!F1028</f>
        <v>-26.1993454432385</v>
      </c>
      <c r="D1028" s="13" t="n">
        <f aca="false">C1028/('Final Model'!$B$21*SQRT(1-B1028))</f>
        <v>-0.535983373351465</v>
      </c>
      <c r="E1028" s="13" t="n">
        <f aca="false">D1028*SQRT(('Final Model'!$B$24-1)/('Final Model'!$B$24-D1028^2))</f>
        <v>-0.535844717280732</v>
      </c>
      <c r="F1028" s="23" t="n">
        <f aca="false">D1028^2/($P$3+1)*B1028/(1-B1028)</f>
        <v>0.000222392868383373</v>
      </c>
      <c r="G1028" s="13" t="n">
        <f aca="false">($P$2-1)*(B1028-1/$P$2)</f>
        <v>7.52537324219194</v>
      </c>
      <c r="H1028" s="13" t="n">
        <f aca="false">E1028*SQRT(B1028/(1-B1028))</f>
        <v>-0.0421689762307066</v>
      </c>
      <c r="I1028" s="13" t="n">
        <f aca="false">ABS(D1028)</f>
        <v>0.535983373351465</v>
      </c>
      <c r="J1028" s="6" t="n">
        <f aca="false">IF(B1028&gt;$P$4,1,0)</f>
        <v>0</v>
      </c>
      <c r="K1028" s="6" t="n">
        <f aca="false">IF(F1028&gt;$P$6,1,0)</f>
        <v>0</v>
      </c>
      <c r="L1028" s="6" t="n">
        <f aca="false">IF(G1028&gt;$P$9,1,0)</f>
        <v>0</v>
      </c>
      <c r="M1028" s="6" t="n">
        <f aca="false">IF(ABS(H1028)&gt;$P$8,1,0)</f>
        <v>0</v>
      </c>
    </row>
    <row r="1029" customFormat="false" ht="15" hidden="false" customHeight="false" outlineLevel="0" collapsed="false">
      <c r="A1029" s="0" t="n">
        <f aca="false">ROW()-1</f>
        <v>1028</v>
      </c>
      <c r="B1029" s="22" t="n">
        <f aca="false">SUMPRODUCT(MMULT('Analysis Data'!N1029:U1029,'Final Model'!$B$59:$I$66),'Analysis Data'!N1029:U1029)</f>
        <v>0.00685811763382019</v>
      </c>
      <c r="C1029" s="15" t="n">
        <f aca="false">'Residual Diagnostics'!F1029</f>
        <v>26.0395476622292</v>
      </c>
      <c r="D1029" s="13" t="n">
        <f aca="false">C1029/('Final Model'!$B$21*SQRT(1-B1029))</f>
        <v>0.532902792432287</v>
      </c>
      <c r="E1029" s="13" t="n">
        <f aca="false">D1029*SQRT(('Final Model'!$B$24-1)/('Final Model'!$B$24-D1029^2))</f>
        <v>0.532764296627625</v>
      </c>
      <c r="F1029" s="23" t="n">
        <f aca="false">D1029^2/($P$3+1)*B1029/(1-B1029)</f>
        <v>0.000245131790747095</v>
      </c>
      <c r="G1029" s="13" t="n">
        <f aca="false">($P$2-1)*(B1029-1/$P$2)</f>
        <v>8.49921442356247</v>
      </c>
      <c r="H1029" s="13" t="n">
        <f aca="false">E1029*SQRT(B1029/(1-B1029))</f>
        <v>0.0442722841497579</v>
      </c>
      <c r="I1029" s="13" t="n">
        <f aca="false">ABS(D1029)</f>
        <v>0.532902792432287</v>
      </c>
      <c r="J1029" s="6" t="n">
        <f aca="false">IF(B1029&gt;$P$4,1,0)</f>
        <v>0</v>
      </c>
      <c r="K1029" s="6" t="n">
        <f aca="false">IF(F1029&gt;$P$6,1,0)</f>
        <v>0</v>
      </c>
      <c r="L1029" s="6" t="n">
        <f aca="false">IF(G1029&gt;$P$9,1,0)</f>
        <v>0</v>
      </c>
      <c r="M1029" s="6" t="n">
        <f aca="false">IF(ABS(H1029)&gt;$P$8,1,0)</f>
        <v>0</v>
      </c>
    </row>
    <row r="1030" customFormat="false" ht="15" hidden="false" customHeight="false" outlineLevel="0" collapsed="false">
      <c r="A1030" s="0" t="n">
        <f aca="false">ROW()-1</f>
        <v>1029</v>
      </c>
      <c r="B1030" s="22" t="n">
        <f aca="false">SUMPRODUCT(MMULT('Analysis Data'!N1030:U1030,'Final Model'!$B$59:$I$66),'Analysis Data'!N1030:U1030)</f>
        <v>0.00619091596549526</v>
      </c>
      <c r="C1030" s="15" t="n">
        <f aca="false">'Residual Diagnostics'!F1030</f>
        <v>23.7642990403733</v>
      </c>
      <c r="D1030" s="13" t="n">
        <f aca="false">C1030/('Final Model'!$B$21*SQRT(1-B1030))</f>
        <v>0.486176246604609</v>
      </c>
      <c r="E1030" s="13" t="n">
        <f aca="false">D1030*SQRT(('Final Model'!$B$24-1)/('Final Model'!$B$24-D1030^2))</f>
        <v>0.486041495074033</v>
      </c>
      <c r="F1030" s="23" t="n">
        <f aca="false">D1030^2/($P$3+1)*B1030/(1-B1030)</f>
        <v>0.000184055768298291</v>
      </c>
      <c r="G1030" s="13" t="n">
        <f aca="false">($P$2-1)*(B1030-1/$P$2)</f>
        <v>7.57514011293244</v>
      </c>
      <c r="H1030" s="13" t="n">
        <f aca="false">E1030*SQRT(B1030/(1-B1030))</f>
        <v>0.0383618304497263</v>
      </c>
      <c r="I1030" s="13" t="n">
        <f aca="false">ABS(D1030)</f>
        <v>0.486176246604609</v>
      </c>
      <c r="J1030" s="6" t="n">
        <f aca="false">IF(B1030&gt;$P$4,1,0)</f>
        <v>0</v>
      </c>
      <c r="K1030" s="6" t="n">
        <f aca="false">IF(F1030&gt;$P$6,1,0)</f>
        <v>0</v>
      </c>
      <c r="L1030" s="6" t="n">
        <f aca="false">IF(G1030&gt;$P$9,1,0)</f>
        <v>0</v>
      </c>
      <c r="M1030" s="6" t="n">
        <f aca="false">IF(ABS(H1030)&gt;$P$8,1,0)</f>
        <v>0</v>
      </c>
    </row>
    <row r="1031" customFormat="false" ht="15" hidden="false" customHeight="false" outlineLevel="0" collapsed="false">
      <c r="A1031" s="0" t="n">
        <f aca="false">ROW()-1</f>
        <v>1030</v>
      </c>
      <c r="B1031" s="22" t="n">
        <f aca="false">SUMPRODUCT(MMULT('Analysis Data'!N1031:U1031,'Final Model'!$B$59:$I$66),'Analysis Data'!N1031:U1031)</f>
        <v>0.0111525963632313</v>
      </c>
      <c r="C1031" s="15" t="n">
        <f aca="false">'Residual Diagnostics'!F1031</f>
        <v>-91.1800230622318</v>
      </c>
      <c r="D1031" s="13" t="n">
        <f aca="false">C1031/('Final Model'!$B$21*SQRT(1-B1031))</f>
        <v>-1.87005882373056</v>
      </c>
      <c r="E1031" s="13" t="n">
        <f aca="false">D1031*SQRT(('Final Model'!$B$24-1)/('Final Model'!$B$24-D1031^2))</f>
        <v>-1.87175676207242</v>
      </c>
      <c r="F1031" s="23" t="n">
        <f aca="false">D1031^2/($P$3+1)*B1031/(1-B1031)</f>
        <v>0.00493023085479662</v>
      </c>
      <c r="G1031" s="13" t="n">
        <f aca="false">($P$2-1)*(B1031-1/$P$2)</f>
        <v>14.4470674637968</v>
      </c>
      <c r="H1031" s="13" t="n">
        <f aca="false">E1031*SQRT(B1031/(1-B1031))</f>
        <v>-0.19878003567033</v>
      </c>
      <c r="I1031" s="13" t="n">
        <f aca="false">ABS(D1031)</f>
        <v>1.87005882373056</v>
      </c>
      <c r="J1031" s="6" t="n">
        <f aca="false">IF(B1031&gt;$P$4,1,0)</f>
        <v>0</v>
      </c>
      <c r="K1031" s="6" t="n">
        <f aca="false">IF(F1031&gt;$P$6,1,0)</f>
        <v>1</v>
      </c>
      <c r="L1031" s="6" t="n">
        <f aca="false">IF(G1031&gt;$P$9,1,0)</f>
        <v>1</v>
      </c>
      <c r="M1031" s="6" t="n">
        <f aca="false">IF(ABS(H1031)&gt;$P$8,1,0)</f>
        <v>1</v>
      </c>
    </row>
    <row r="1032" customFormat="false" ht="15" hidden="false" customHeight="false" outlineLevel="0" collapsed="false">
      <c r="A1032" s="0" t="n">
        <f aca="false">ROW()-1</f>
        <v>1031</v>
      </c>
      <c r="B1032" s="22" t="n">
        <f aca="false">SUMPRODUCT(MMULT('Analysis Data'!N1032:U1032,'Final Model'!$B$59:$I$66),'Analysis Data'!N1032:U1032)</f>
        <v>0.0223084448522374</v>
      </c>
      <c r="C1032" s="15" t="n">
        <f aca="false">'Residual Diagnostics'!F1032</f>
        <v>-0.156928021029785</v>
      </c>
      <c r="D1032" s="13" t="n">
        <f aca="false">C1032/('Final Model'!$B$21*SQRT(1-B1032))</f>
        <v>-0.00323682913705042</v>
      </c>
      <c r="E1032" s="13" t="n">
        <f aca="false">D1032*SQRT(('Final Model'!$B$24-1)/('Final Model'!$B$24-D1032^2))</f>
        <v>-0.00323565446989395</v>
      </c>
      <c r="F1032" s="23" t="n">
        <f aca="false">D1032^2/($P$3+1)*B1032/(1-B1032)</f>
        <v>2.98825045907829E-008</v>
      </c>
      <c r="G1032" s="13" t="n">
        <f aca="false">($P$2-1)*(B1032-1/$P$2)</f>
        <v>29.8979176210703</v>
      </c>
      <c r="H1032" s="13" t="n">
        <f aca="false">E1032*SQRT(B1032/(1-B1032))</f>
        <v>-0.00048876022261099</v>
      </c>
      <c r="I1032" s="13" t="n">
        <f aca="false">ABS(D1032)</f>
        <v>0.00323682913705042</v>
      </c>
      <c r="J1032" s="6" t="n">
        <f aca="false">IF(B1032&gt;$P$4,1,0)</f>
        <v>1</v>
      </c>
      <c r="K1032" s="6" t="n">
        <f aca="false">IF(F1032&gt;$P$6,1,0)</f>
        <v>0</v>
      </c>
      <c r="L1032" s="6" t="n">
        <f aca="false">IF(G1032&gt;$P$9,1,0)</f>
        <v>1</v>
      </c>
      <c r="M1032" s="6" t="n">
        <f aca="false">IF(ABS(H1032)&gt;$P$8,1,0)</f>
        <v>0</v>
      </c>
    </row>
    <row r="1033" customFormat="false" ht="15" hidden="false" customHeight="false" outlineLevel="0" collapsed="false">
      <c r="A1033" s="0" t="n">
        <f aca="false">ROW()-1</f>
        <v>1032</v>
      </c>
      <c r="B1033" s="22" t="n">
        <f aca="false">SUMPRODUCT(MMULT('Analysis Data'!N1033:U1033,'Final Model'!$B$59:$I$66),'Analysis Data'!N1033:U1033)</f>
        <v>0.0179241903470501</v>
      </c>
      <c r="C1033" s="15" t="n">
        <f aca="false">'Residual Diagnostics'!F1033</f>
        <v>3.36162770601561</v>
      </c>
      <c r="D1033" s="13" t="n">
        <f aca="false">C1033/('Final Model'!$B$21*SQRT(1-B1033))</f>
        <v>0.0691826695979062</v>
      </c>
      <c r="E1033" s="13" t="n">
        <f aca="false">D1033*SQRT(('Final Model'!$B$24-1)/('Final Model'!$B$24-D1033^2))</f>
        <v>0.0691576825805767</v>
      </c>
      <c r="F1033" s="23" t="n">
        <f aca="false">D1033^2/($P$3+1)*B1033/(1-B1033)</f>
        <v>1.09194101587571E-005</v>
      </c>
      <c r="G1033" s="13" t="n">
        <f aca="false">($P$2-1)*(B1033-1/$P$2)</f>
        <v>23.8257251313858</v>
      </c>
      <c r="H1033" s="13" t="n">
        <f aca="false">E1033*SQRT(B1033/(1-B1033))</f>
        <v>0.00934302904106163</v>
      </c>
      <c r="I1033" s="13" t="n">
        <f aca="false">ABS(D1033)</f>
        <v>0.0691826695979062</v>
      </c>
      <c r="J1033" s="6" t="n">
        <f aca="false">IF(B1033&gt;$P$4,1,0)</f>
        <v>1</v>
      </c>
      <c r="K1033" s="6" t="n">
        <f aca="false">IF(F1033&gt;$P$6,1,0)</f>
        <v>0</v>
      </c>
      <c r="L1033" s="6" t="n">
        <f aca="false">IF(G1033&gt;$P$9,1,0)</f>
        <v>1</v>
      </c>
      <c r="M1033" s="6" t="n">
        <f aca="false">IF(ABS(H1033)&gt;$P$8,1,0)</f>
        <v>0</v>
      </c>
    </row>
    <row r="1034" customFormat="false" ht="15" hidden="false" customHeight="false" outlineLevel="0" collapsed="false">
      <c r="A1034" s="0" t="n">
        <f aca="false">ROW()-1</f>
        <v>1033</v>
      </c>
      <c r="B1034" s="22" t="n">
        <f aca="false">SUMPRODUCT(MMULT('Analysis Data'!N1034:U1034,'Final Model'!$B$59:$I$66),'Analysis Data'!N1034:U1034)</f>
        <v>0.0050845900083587</v>
      </c>
      <c r="C1034" s="15" t="n">
        <f aca="false">'Residual Diagnostics'!F1034</f>
        <v>12.5391862179778</v>
      </c>
      <c r="D1034" s="13" t="n">
        <f aca="false">C1034/('Final Model'!$B$21*SQRT(1-B1034))</f>
        <v>0.256387284199611</v>
      </c>
      <c r="E1034" s="13" t="n">
        <f aca="false">D1034*SQRT(('Final Model'!$B$24-1)/('Final Model'!$B$24-D1034^2))</f>
        <v>0.256300351741491</v>
      </c>
      <c r="F1034" s="23" t="n">
        <f aca="false">D1034^2/($P$3+1)*B1034/(1-B1034)</f>
        <v>4.19925994368914E-005</v>
      </c>
      <c r="G1034" s="13" t="n">
        <f aca="false">($P$2-1)*(B1034-1/$P$2)</f>
        <v>6.04287866229831</v>
      </c>
      <c r="H1034" s="13" t="n">
        <f aca="false">E1034*SQRT(B1034/(1-B1034))</f>
        <v>0.018322473120888</v>
      </c>
      <c r="I1034" s="13" t="n">
        <f aca="false">ABS(D1034)</f>
        <v>0.256387284199611</v>
      </c>
      <c r="J1034" s="6" t="n">
        <f aca="false">IF(B1034&gt;$P$4,1,0)</f>
        <v>0</v>
      </c>
      <c r="K1034" s="6" t="n">
        <f aca="false">IF(F1034&gt;$P$6,1,0)</f>
        <v>0</v>
      </c>
      <c r="L1034" s="6" t="n">
        <f aca="false">IF(G1034&gt;$P$9,1,0)</f>
        <v>0</v>
      </c>
      <c r="M1034" s="6" t="n">
        <f aca="false">IF(ABS(H1034)&gt;$P$8,1,0)</f>
        <v>0</v>
      </c>
    </row>
    <row r="1035" customFormat="false" ht="15" hidden="false" customHeight="false" outlineLevel="0" collapsed="false">
      <c r="A1035" s="0" t="n">
        <f aca="false">ROW()-1</f>
        <v>1034</v>
      </c>
      <c r="B1035" s="22" t="n">
        <f aca="false">SUMPRODUCT(MMULT('Analysis Data'!N1035:U1035,'Final Model'!$B$59:$I$66),'Analysis Data'!N1035:U1035)</f>
        <v>0.00562547536275374</v>
      </c>
      <c r="C1035" s="15" t="n">
        <f aca="false">'Residual Diagnostics'!F1035</f>
        <v>-39.2932816418259</v>
      </c>
      <c r="D1035" s="13" t="n">
        <f aca="false">C1035/('Final Model'!$B$21*SQRT(1-B1035))</f>
        <v>-0.803643645867995</v>
      </c>
      <c r="E1035" s="13" t="n">
        <f aca="false">D1035*SQRT(('Final Model'!$B$24-1)/('Final Model'!$B$24-D1035^2))</f>
        <v>-0.803540319417317</v>
      </c>
      <c r="F1035" s="23" t="n">
        <f aca="false">D1035^2/($P$3+1)*B1035/(1-B1035)</f>
        <v>0.000456716057547515</v>
      </c>
      <c r="G1035" s="13" t="n">
        <f aca="false">($P$2-1)*(B1035-1/$P$2)</f>
        <v>6.79200487813543</v>
      </c>
      <c r="H1035" s="13" t="n">
        <f aca="false">E1035*SQRT(B1035/(1-B1035))</f>
        <v>-0.0604383072477579</v>
      </c>
      <c r="I1035" s="13" t="n">
        <f aca="false">ABS(D1035)</f>
        <v>0.803643645867995</v>
      </c>
      <c r="J1035" s="6" t="n">
        <f aca="false">IF(B1035&gt;$P$4,1,0)</f>
        <v>0</v>
      </c>
      <c r="K1035" s="6" t="n">
        <f aca="false">IF(F1035&gt;$P$6,1,0)</f>
        <v>0</v>
      </c>
      <c r="L1035" s="6" t="n">
        <f aca="false">IF(G1035&gt;$P$9,1,0)</f>
        <v>0</v>
      </c>
      <c r="M1035" s="6" t="n">
        <f aca="false">IF(ABS(H1035)&gt;$P$8,1,0)</f>
        <v>0</v>
      </c>
    </row>
    <row r="1036" customFormat="false" ht="15" hidden="false" customHeight="false" outlineLevel="0" collapsed="false">
      <c r="A1036" s="0" t="n">
        <f aca="false">ROW()-1</f>
        <v>1035</v>
      </c>
      <c r="B1036" s="22" t="n">
        <f aca="false">SUMPRODUCT(MMULT('Analysis Data'!N1036:U1036,'Final Model'!$B$59:$I$66),'Analysis Data'!N1036:U1036)</f>
        <v>0.00211032367819772</v>
      </c>
      <c r="C1036" s="15" t="n">
        <f aca="false">'Residual Diagnostics'!F1036</f>
        <v>39.7526051550286</v>
      </c>
      <c r="D1036" s="13" t="n">
        <f aca="false">C1036/('Final Model'!$B$21*SQRT(1-B1036))</f>
        <v>0.81160467321986</v>
      </c>
      <c r="E1036" s="13" t="n">
        <f aca="false">D1036*SQRT(('Final Model'!$B$24-1)/('Final Model'!$B$24-D1036^2))</f>
        <v>0.811504111327222</v>
      </c>
      <c r="F1036" s="23" t="n">
        <f aca="false">D1036^2/($P$3+1)*B1036/(1-B1036)</f>
        <v>0.000174126805761596</v>
      </c>
      <c r="G1036" s="13" t="n">
        <f aca="false">($P$2-1)*(B1036-1/$P$2)</f>
        <v>1.92351979502534</v>
      </c>
      <c r="H1036" s="13" t="n">
        <f aca="false">E1036*SQRT(B1036/(1-B1036))</f>
        <v>0.0373184842204974</v>
      </c>
      <c r="I1036" s="13" t="n">
        <f aca="false">ABS(D1036)</f>
        <v>0.81160467321986</v>
      </c>
      <c r="J1036" s="6" t="n">
        <f aca="false">IF(B1036&gt;$P$4,1,0)</f>
        <v>0</v>
      </c>
      <c r="K1036" s="6" t="n">
        <f aca="false">IF(F1036&gt;$P$6,1,0)</f>
        <v>0</v>
      </c>
      <c r="L1036" s="6" t="n">
        <f aca="false">IF(G1036&gt;$P$9,1,0)</f>
        <v>0</v>
      </c>
      <c r="M1036" s="6" t="n">
        <f aca="false">IF(ABS(H1036)&gt;$P$8,1,0)</f>
        <v>0</v>
      </c>
    </row>
    <row r="1037" customFormat="false" ht="15" hidden="false" customHeight="false" outlineLevel="0" collapsed="false">
      <c r="A1037" s="0" t="n">
        <f aca="false">ROW()-1</f>
        <v>1036</v>
      </c>
      <c r="B1037" s="22" t="n">
        <f aca="false">SUMPRODUCT(MMULT('Analysis Data'!N1037:U1037,'Final Model'!$B$59:$I$66),'Analysis Data'!N1037:U1037)</f>
        <v>0.00269628619102737</v>
      </c>
      <c r="C1037" s="15" t="n">
        <f aca="false">'Residual Diagnostics'!F1037</f>
        <v>-131.708760407368</v>
      </c>
      <c r="D1037" s="13" t="n">
        <f aca="false">C1037/('Final Model'!$B$21*SQRT(1-B1037))</f>
        <v>-2.68980720774812</v>
      </c>
      <c r="E1037" s="13" t="n">
        <f aca="false">D1037*SQRT(('Final Model'!$B$24-1)/('Final Model'!$B$24-D1037^2))</f>
        <v>-2.69591769701462</v>
      </c>
      <c r="F1037" s="23" t="n">
        <f aca="false">D1037^2/($P$3+1)*B1037/(1-B1037)</f>
        <v>0.00244506759686075</v>
      </c>
      <c r="G1037" s="13" t="n">
        <f aca="false">($P$2-1)*(B1037-1/$P$2)</f>
        <v>2.7350778752944</v>
      </c>
      <c r="H1037" s="13" t="n">
        <f aca="false">E1037*SQRT(B1037/(1-B1037))</f>
        <v>-0.140176723713105</v>
      </c>
      <c r="I1037" s="13" t="n">
        <f aca="false">ABS(D1037)</f>
        <v>2.68980720774812</v>
      </c>
      <c r="J1037" s="6" t="n">
        <f aca="false">IF(B1037&gt;$P$4,1,0)</f>
        <v>0</v>
      </c>
      <c r="K1037" s="6" t="n">
        <f aca="false">IF(F1037&gt;$P$6,1,0)</f>
        <v>0</v>
      </c>
      <c r="L1037" s="6" t="n">
        <f aca="false">IF(G1037&gt;$P$9,1,0)</f>
        <v>0</v>
      </c>
      <c r="M1037" s="6" t="n">
        <f aca="false">IF(ABS(H1037)&gt;$P$8,1,0)</f>
        <v>0</v>
      </c>
    </row>
    <row r="1038" customFormat="false" ht="15" hidden="false" customHeight="false" outlineLevel="0" collapsed="false">
      <c r="A1038" s="0" t="n">
        <f aca="false">ROW()-1</f>
        <v>1037</v>
      </c>
      <c r="B1038" s="22" t="n">
        <f aca="false">SUMPRODUCT(MMULT('Analysis Data'!N1038:U1038,'Final Model'!$B$59:$I$66),'Analysis Data'!N1038:U1038)</f>
        <v>0.00206140540813491</v>
      </c>
      <c r="C1038" s="15" t="n">
        <f aca="false">'Residual Diagnostics'!F1038</f>
        <v>-43.4717977517508</v>
      </c>
      <c r="D1038" s="13" t="n">
        <f aca="false">C1038/('Final Model'!$B$21*SQRT(1-B1038))</f>
        <v>-0.887515404655929</v>
      </c>
      <c r="E1038" s="13" t="n">
        <f aca="false">D1038*SQRT(('Final Model'!$B$24-1)/('Final Model'!$B$24-D1038^2))</f>
        <v>-0.887446990605976</v>
      </c>
      <c r="F1038" s="23" t="n">
        <f aca="false">D1038^2/($P$3+1)*B1038/(1-B1038)</f>
        <v>0.000203386163780869</v>
      </c>
      <c r="G1038" s="13" t="n">
        <f aca="false">($P$2-1)*(B1038-1/$P$2)</f>
        <v>1.85576799098835</v>
      </c>
      <c r="H1038" s="13" t="n">
        <f aca="false">E1038*SQRT(B1038/(1-B1038))</f>
        <v>-0.0403340857319382</v>
      </c>
      <c r="I1038" s="13" t="n">
        <f aca="false">ABS(D1038)</f>
        <v>0.887515404655929</v>
      </c>
      <c r="J1038" s="6" t="n">
        <f aca="false">IF(B1038&gt;$P$4,1,0)</f>
        <v>0</v>
      </c>
      <c r="K1038" s="6" t="n">
        <f aca="false">IF(F1038&gt;$P$6,1,0)</f>
        <v>0</v>
      </c>
      <c r="L1038" s="6" t="n">
        <f aca="false">IF(G1038&gt;$P$9,1,0)</f>
        <v>0</v>
      </c>
      <c r="M1038" s="6" t="n">
        <f aca="false">IF(ABS(H1038)&gt;$P$8,1,0)</f>
        <v>0</v>
      </c>
    </row>
    <row r="1039" customFormat="false" ht="15" hidden="false" customHeight="false" outlineLevel="0" collapsed="false">
      <c r="A1039" s="0" t="n">
        <f aca="false">ROW()-1</f>
        <v>1038</v>
      </c>
      <c r="B1039" s="22" t="n">
        <f aca="false">SUMPRODUCT(MMULT('Analysis Data'!N1039:U1039,'Final Model'!$B$59:$I$66),'Analysis Data'!N1039:U1039)</f>
        <v>0.0132439049576031</v>
      </c>
      <c r="C1039" s="15" t="n">
        <f aca="false">'Residual Diagnostics'!F1039</f>
        <v>-76.1868412409777</v>
      </c>
      <c r="D1039" s="13" t="n">
        <f aca="false">C1039/('Final Model'!$B$21*SQRT(1-B1039))</f>
        <v>-1.56421075551156</v>
      </c>
      <c r="E1039" s="13" t="n">
        <f aca="false">D1039*SQRT(('Final Model'!$B$24-1)/('Final Model'!$B$24-D1039^2))</f>
        <v>-1.56503312842239</v>
      </c>
      <c r="F1039" s="23" t="n">
        <f aca="false">D1039^2/($P$3+1)*B1039/(1-B1039)</f>
        <v>0.00410493974233618</v>
      </c>
      <c r="G1039" s="13" t="n">
        <f aca="false">($P$2-1)*(B1039-1/$P$2)</f>
        <v>17.3435298670018</v>
      </c>
      <c r="H1039" s="13" t="n">
        <f aca="false">E1039*SQRT(B1039/(1-B1039))</f>
        <v>-0.181312044032972</v>
      </c>
      <c r="I1039" s="13" t="n">
        <f aca="false">ABS(D1039)</f>
        <v>1.56421075551156</v>
      </c>
      <c r="J1039" s="6" t="n">
        <f aca="false">IF(B1039&gt;$P$4,1,0)</f>
        <v>1</v>
      </c>
      <c r="K1039" s="6" t="n">
        <f aca="false">IF(F1039&gt;$P$6,1,0)</f>
        <v>1</v>
      </c>
      <c r="L1039" s="6" t="n">
        <f aca="false">IF(G1039&gt;$P$9,1,0)</f>
        <v>1</v>
      </c>
      <c r="M1039" s="6" t="n">
        <f aca="false">IF(ABS(H1039)&gt;$P$8,1,0)</f>
        <v>1</v>
      </c>
    </row>
    <row r="1040" customFormat="false" ht="15" hidden="false" customHeight="false" outlineLevel="0" collapsed="false">
      <c r="A1040" s="0" t="n">
        <f aca="false">ROW()-1</f>
        <v>1039</v>
      </c>
      <c r="B1040" s="22" t="n">
        <f aca="false">SUMPRODUCT(MMULT('Analysis Data'!N1040:U1040,'Final Model'!$B$59:$I$66),'Analysis Data'!N1040:U1040)</f>
        <v>0.0167133583035831</v>
      </c>
      <c r="C1040" s="15" t="n">
        <f aca="false">'Residual Diagnostics'!F1040</f>
        <v>1.4672988659035</v>
      </c>
      <c r="D1040" s="13" t="n">
        <f aca="false">C1040/('Final Model'!$B$21*SQRT(1-B1040))</f>
        <v>0.030178574449966</v>
      </c>
      <c r="E1040" s="13" t="n">
        <f aca="false">D1040*SQRT(('Final Model'!$B$24-1)/('Final Model'!$B$24-D1040^2))</f>
        <v>0.0301676322959603</v>
      </c>
      <c r="F1040" s="23" t="n">
        <f aca="false">D1040^2/($P$3+1)*B1040/(1-B1040)</f>
        <v>1.93504486932265E-006</v>
      </c>
      <c r="G1040" s="13" t="n">
        <f aca="false">($P$2-1)*(B1040-1/$P$2)</f>
        <v>22.1487227511842</v>
      </c>
      <c r="H1040" s="13" t="n">
        <f aca="false">E1040*SQRT(B1040/(1-B1040))</f>
        <v>0.00393308215601306</v>
      </c>
      <c r="I1040" s="13" t="n">
        <f aca="false">ABS(D1040)</f>
        <v>0.030178574449966</v>
      </c>
      <c r="J1040" s="6" t="n">
        <f aca="false">IF(B1040&gt;$P$4,1,0)</f>
        <v>1</v>
      </c>
      <c r="K1040" s="6" t="n">
        <f aca="false">IF(F1040&gt;$P$6,1,0)</f>
        <v>0</v>
      </c>
      <c r="L1040" s="6" t="n">
        <f aca="false">IF(G1040&gt;$P$9,1,0)</f>
        <v>1</v>
      </c>
      <c r="M1040" s="6" t="n">
        <f aca="false">IF(ABS(H1040)&gt;$P$8,1,0)</f>
        <v>0</v>
      </c>
    </row>
    <row r="1041" customFormat="false" ht="15" hidden="false" customHeight="false" outlineLevel="0" collapsed="false">
      <c r="A1041" s="0" t="n">
        <f aca="false">ROW()-1</f>
        <v>1040</v>
      </c>
      <c r="B1041" s="22" t="n">
        <f aca="false">SUMPRODUCT(MMULT('Analysis Data'!N1041:U1041,'Final Model'!$B$59:$I$66),'Analysis Data'!N1041:U1041)</f>
        <v>0.0200150912666984</v>
      </c>
      <c r="C1041" s="15" t="n">
        <f aca="false">'Residual Diagnostics'!F1041</f>
        <v>25.6500234376983</v>
      </c>
      <c r="D1041" s="13" t="n">
        <f aca="false">C1041/('Final Model'!$B$21*SQRT(1-B1041))</f>
        <v>0.528443160318674</v>
      </c>
      <c r="E1041" s="13" t="n">
        <f aca="false">D1041*SQRT(('Final Model'!$B$24-1)/('Final Model'!$B$24-D1041^2))</f>
        <v>0.52830491601703</v>
      </c>
      <c r="F1041" s="23" t="n">
        <f aca="false">D1041^2/($P$3+1)*B1041/(1-B1041)</f>
        <v>0.000712926506950688</v>
      </c>
      <c r="G1041" s="13" t="n">
        <f aca="false">($P$2-1)*(B1041-1/$P$2)</f>
        <v>26.7216229050988</v>
      </c>
      <c r="H1041" s="13" t="n">
        <f aca="false">E1041*SQRT(B1041/(1-B1041))</f>
        <v>0.075501181074657</v>
      </c>
      <c r="I1041" s="13" t="n">
        <f aca="false">ABS(D1041)</f>
        <v>0.528443160318674</v>
      </c>
      <c r="J1041" s="6" t="n">
        <f aca="false">IF(B1041&gt;$P$4,1,0)</f>
        <v>1</v>
      </c>
      <c r="K1041" s="6" t="n">
        <f aca="false">IF(F1041&gt;$P$6,1,0)</f>
        <v>0</v>
      </c>
      <c r="L1041" s="6" t="n">
        <f aca="false">IF(G1041&gt;$P$9,1,0)</f>
        <v>1</v>
      </c>
      <c r="M1041" s="6" t="n">
        <f aca="false">IF(ABS(H1041)&gt;$P$8,1,0)</f>
        <v>0</v>
      </c>
    </row>
    <row r="1042" customFormat="false" ht="15" hidden="false" customHeight="false" outlineLevel="0" collapsed="false">
      <c r="A1042" s="0" t="n">
        <f aca="false">ROW()-1</f>
        <v>1041</v>
      </c>
      <c r="B1042" s="22" t="n">
        <f aca="false">SUMPRODUCT(MMULT('Analysis Data'!N1042:U1042,'Final Model'!$B$59:$I$66),'Analysis Data'!N1042:U1042)</f>
        <v>0.00510141684967341</v>
      </c>
      <c r="C1042" s="15" t="n">
        <f aca="false">'Residual Diagnostics'!F1042</f>
        <v>-78.9895795664251</v>
      </c>
      <c r="D1042" s="13" t="n">
        <f aca="false">C1042/('Final Model'!$B$21*SQRT(1-B1042))</f>
        <v>-1.61510441698166</v>
      </c>
      <c r="E1042" s="13" t="n">
        <f aca="false">D1042*SQRT(('Final Model'!$B$24-1)/('Final Model'!$B$24-D1042^2))</f>
        <v>-1.61604859796298</v>
      </c>
      <c r="F1042" s="23" t="n">
        <f aca="false">D1042^2/($P$3+1)*B1042/(1-B1042)</f>
        <v>0.00167194975730812</v>
      </c>
      <c r="G1042" s="13" t="n">
        <f aca="false">($P$2-1)*(B1042-1/$P$2)</f>
        <v>6.06618383751917</v>
      </c>
      <c r="H1042" s="13" t="n">
        <f aca="false">E1042*SQRT(B1042/(1-B1042))</f>
        <v>-0.11572053071412</v>
      </c>
      <c r="I1042" s="13" t="n">
        <f aca="false">ABS(D1042)</f>
        <v>1.61510441698166</v>
      </c>
      <c r="J1042" s="6" t="n">
        <f aca="false">IF(B1042&gt;$P$4,1,0)</f>
        <v>0</v>
      </c>
      <c r="K1042" s="6" t="n">
        <f aca="false">IF(F1042&gt;$P$6,1,0)</f>
        <v>0</v>
      </c>
      <c r="L1042" s="6" t="n">
        <f aca="false">IF(G1042&gt;$P$9,1,0)</f>
        <v>0</v>
      </c>
      <c r="M1042" s="6" t="n">
        <f aca="false">IF(ABS(H1042)&gt;$P$8,1,0)</f>
        <v>0</v>
      </c>
    </row>
    <row r="1043" customFormat="false" ht="15" hidden="false" customHeight="false" outlineLevel="0" collapsed="false">
      <c r="A1043" s="0" t="n">
        <f aca="false">ROW()-1</f>
        <v>1042</v>
      </c>
      <c r="B1043" s="22" t="n">
        <f aca="false">SUMPRODUCT(MMULT('Analysis Data'!N1043:U1043,'Final Model'!$B$59:$I$66),'Analysis Data'!N1043:U1043)</f>
        <v>0.0260570328755828</v>
      </c>
      <c r="C1043" s="15" t="n">
        <f aca="false">'Residual Diagnostics'!F1043</f>
        <v>50.8297359019365</v>
      </c>
      <c r="D1043" s="13" t="n">
        <f aca="false">C1043/('Final Model'!$B$21*SQRT(1-B1043))</f>
        <v>1.05044011625426</v>
      </c>
      <c r="E1043" s="13" t="n">
        <f aca="false">D1043*SQRT(('Final Model'!$B$24-1)/('Final Model'!$B$24-D1043^2))</f>
        <v>1.05047956698004</v>
      </c>
      <c r="F1043" s="23" t="n">
        <f aca="false">D1043^2/($P$3+1)*B1043/(1-B1043)</f>
        <v>0.00369015022220853</v>
      </c>
      <c r="G1043" s="13" t="n">
        <f aca="false">($P$2-1)*(B1043-1/$P$2)</f>
        <v>35.0897120334037</v>
      </c>
      <c r="H1043" s="13" t="n">
        <f aca="false">E1043*SQRT(B1043/(1-B1043))</f>
        <v>0.171823802885738</v>
      </c>
      <c r="I1043" s="13" t="n">
        <f aca="false">ABS(D1043)</f>
        <v>1.05044011625426</v>
      </c>
      <c r="J1043" s="6" t="n">
        <f aca="false">IF(B1043&gt;$P$4,1,0)</f>
        <v>1</v>
      </c>
      <c r="K1043" s="6" t="n">
        <f aca="false">IF(F1043&gt;$P$6,1,0)</f>
        <v>1</v>
      </c>
      <c r="L1043" s="6" t="n">
        <f aca="false">IF(G1043&gt;$P$9,1,0)</f>
        <v>1</v>
      </c>
      <c r="M1043" s="6" t="n">
        <f aca="false">IF(ABS(H1043)&gt;$P$8,1,0)</f>
        <v>1</v>
      </c>
    </row>
    <row r="1044" customFormat="false" ht="15" hidden="false" customHeight="false" outlineLevel="0" collapsed="false">
      <c r="A1044" s="0" t="n">
        <f aca="false">ROW()-1</f>
        <v>1043</v>
      </c>
      <c r="B1044" s="22" t="n">
        <f aca="false">SUMPRODUCT(MMULT('Analysis Data'!N1044:U1044,'Final Model'!$B$59:$I$66),'Analysis Data'!N1044:U1044)</f>
        <v>0.0139873401441888</v>
      </c>
      <c r="C1044" s="15" t="n">
        <f aca="false">'Residual Diagnostics'!F1044</f>
        <v>-88.9679430661552</v>
      </c>
      <c r="D1044" s="13" t="n">
        <f aca="false">C1044/('Final Model'!$B$21*SQRT(1-B1044))</f>
        <v>-1.82731118721299</v>
      </c>
      <c r="E1044" s="13" t="n">
        <f aca="false">D1044*SQRT(('Final Model'!$B$24-1)/('Final Model'!$B$24-D1044^2))</f>
        <v>-1.82886516500778</v>
      </c>
      <c r="F1044" s="23" t="n">
        <f aca="false">D1044^2/($P$3+1)*B1044/(1-B1044)</f>
        <v>0.00592089942832273</v>
      </c>
      <c r="G1044" s="13" t="n">
        <f aca="false">($P$2-1)*(B1044-1/$P$2)</f>
        <v>18.373187600423</v>
      </c>
      <c r="H1044" s="13" t="n">
        <f aca="false">E1044*SQRT(B1044/(1-B1044))</f>
        <v>-0.217825144294056</v>
      </c>
      <c r="I1044" s="13" t="n">
        <f aca="false">ABS(D1044)</f>
        <v>1.82731118721299</v>
      </c>
      <c r="J1044" s="6" t="n">
        <f aca="false">IF(B1044&gt;$P$4,1,0)</f>
        <v>1</v>
      </c>
      <c r="K1044" s="6" t="n">
        <f aca="false">IF(F1044&gt;$P$6,1,0)</f>
        <v>1</v>
      </c>
      <c r="L1044" s="6" t="n">
        <f aca="false">IF(G1044&gt;$P$9,1,0)</f>
        <v>1</v>
      </c>
      <c r="M1044" s="6" t="n">
        <f aca="false">IF(ABS(H1044)&gt;$P$8,1,0)</f>
        <v>1</v>
      </c>
    </row>
    <row r="1045" customFormat="false" ht="15" hidden="false" customHeight="false" outlineLevel="0" collapsed="false">
      <c r="A1045" s="0" t="n">
        <f aca="false">ROW()-1</f>
        <v>1044</v>
      </c>
      <c r="B1045" s="22" t="n">
        <f aca="false">SUMPRODUCT(MMULT('Analysis Data'!N1045:U1045,'Final Model'!$B$59:$I$66),'Analysis Data'!N1045:U1045)</f>
        <v>0.0136309994157697</v>
      </c>
      <c r="C1045" s="15" t="n">
        <f aca="false">'Residual Diagnostics'!F1045</f>
        <v>23.8478377813556</v>
      </c>
      <c r="D1045" s="13" t="n">
        <f aca="false">C1045/('Final Model'!$B$21*SQRT(1-B1045))</f>
        <v>0.489721882452658</v>
      </c>
      <c r="E1045" s="13" t="n">
        <f aca="false">D1045*SQRT(('Final Model'!$B$24-1)/('Final Model'!$B$24-D1045^2))</f>
        <v>0.48958676297816</v>
      </c>
      <c r="F1045" s="23" t="n">
        <f aca="false">D1045^2/($P$3+1)*B1045/(1-B1045)</f>
        <v>0.000414283195793918</v>
      </c>
      <c r="G1045" s="13" t="n">
        <f aca="false">($P$2-1)*(B1045-1/$P$2)</f>
        <v>17.8796556915626</v>
      </c>
      <c r="H1045" s="13" t="n">
        <f aca="false">E1045*SQRT(B1045/(1-B1045))</f>
        <v>0.0575537743022629</v>
      </c>
      <c r="I1045" s="13" t="n">
        <f aca="false">ABS(D1045)</f>
        <v>0.489721882452658</v>
      </c>
      <c r="J1045" s="6" t="n">
        <f aca="false">IF(B1045&gt;$P$4,1,0)</f>
        <v>1</v>
      </c>
      <c r="K1045" s="6" t="n">
        <f aca="false">IF(F1045&gt;$P$6,1,0)</f>
        <v>0</v>
      </c>
      <c r="L1045" s="6" t="n">
        <f aca="false">IF(G1045&gt;$P$9,1,0)</f>
        <v>1</v>
      </c>
      <c r="M1045" s="6" t="n">
        <f aca="false">IF(ABS(H1045)&gt;$P$8,1,0)</f>
        <v>0</v>
      </c>
    </row>
    <row r="1046" customFormat="false" ht="15" hidden="false" customHeight="false" outlineLevel="0" collapsed="false">
      <c r="A1046" s="0" t="n">
        <f aca="false">ROW()-1</f>
        <v>1045</v>
      </c>
      <c r="B1046" s="22" t="n">
        <f aca="false">SUMPRODUCT(MMULT('Analysis Data'!N1046:U1046,'Final Model'!$B$59:$I$66),'Analysis Data'!N1046:U1046)</f>
        <v>0.0134774616244378</v>
      </c>
      <c r="C1046" s="15" t="n">
        <f aca="false">'Residual Diagnostics'!F1046</f>
        <v>-41.3898017056728</v>
      </c>
      <c r="D1046" s="13" t="n">
        <f aca="false">C1046/('Final Model'!$B$21*SQRT(1-B1046))</f>
        <v>-0.849884773842776</v>
      </c>
      <c r="E1046" s="13" t="n">
        <f aca="false">D1046*SQRT(('Final Model'!$B$24-1)/('Final Model'!$B$24-D1046^2))</f>
        <v>-0.849799089818762</v>
      </c>
      <c r="F1046" s="23" t="n">
        <f aca="false">D1046^2/($P$3+1)*B1046/(1-B1046)</f>
        <v>0.00123347741669903</v>
      </c>
      <c r="G1046" s="13" t="n">
        <f aca="false">($P$2-1)*(B1046-1/$P$2)</f>
        <v>17.6670058505678</v>
      </c>
      <c r="H1046" s="13" t="n">
        <f aca="false">E1046*SQRT(B1046/(1-B1046))</f>
        <v>-0.0993268831603871</v>
      </c>
      <c r="I1046" s="13" t="n">
        <f aca="false">ABS(D1046)</f>
        <v>0.849884773842776</v>
      </c>
      <c r="J1046" s="6" t="n">
        <f aca="false">IF(B1046&gt;$P$4,1,0)</f>
        <v>1</v>
      </c>
      <c r="K1046" s="6" t="n">
        <f aca="false">IF(F1046&gt;$P$6,1,0)</f>
        <v>0</v>
      </c>
      <c r="L1046" s="6" t="n">
        <f aca="false">IF(G1046&gt;$P$9,1,0)</f>
        <v>1</v>
      </c>
      <c r="M1046" s="6" t="n">
        <f aca="false">IF(ABS(H1046)&gt;$P$8,1,0)</f>
        <v>0</v>
      </c>
    </row>
    <row r="1047" customFormat="false" ht="15" hidden="false" customHeight="false" outlineLevel="0" collapsed="false">
      <c r="A1047" s="0" t="n">
        <f aca="false">ROW()-1</f>
        <v>1046</v>
      </c>
      <c r="B1047" s="22" t="n">
        <f aca="false">SUMPRODUCT(MMULT('Analysis Data'!N1047:U1047,'Final Model'!$B$59:$I$66),'Analysis Data'!N1047:U1047)</f>
        <v>0.00197999150489315</v>
      </c>
      <c r="C1047" s="15" t="n">
        <f aca="false">'Residual Diagnostics'!F1047</f>
        <v>65.8854727260215</v>
      </c>
      <c r="D1047" s="13" t="n">
        <f aca="false">C1047/('Final Model'!$B$21*SQRT(1-B1047))</f>
        <v>1.34505564358914</v>
      </c>
      <c r="E1047" s="13" t="n">
        <f aca="false">D1047*SQRT(('Final Model'!$B$24-1)/('Final Model'!$B$24-D1047^2))</f>
        <v>1.34545101936671</v>
      </c>
      <c r="F1047" s="23" t="n">
        <f aca="false">D1047^2/($P$3+1)*B1047/(1-B1047)</f>
        <v>0.0004486571505821</v>
      </c>
      <c r="G1047" s="13" t="n">
        <f aca="false">($P$2-1)*(B1047-1/$P$2)</f>
        <v>1.74300973499852</v>
      </c>
      <c r="H1047" s="13" t="n">
        <f aca="false">E1047*SQRT(B1047/(1-B1047))</f>
        <v>0.0599280203354969</v>
      </c>
      <c r="I1047" s="13" t="n">
        <f aca="false">ABS(D1047)</f>
        <v>1.34505564358914</v>
      </c>
      <c r="J1047" s="6" t="n">
        <f aca="false">IF(B1047&gt;$P$4,1,0)</f>
        <v>0</v>
      </c>
      <c r="K1047" s="6" t="n">
        <f aca="false">IF(F1047&gt;$P$6,1,0)</f>
        <v>0</v>
      </c>
      <c r="L1047" s="6" t="n">
        <f aca="false">IF(G1047&gt;$P$9,1,0)</f>
        <v>0</v>
      </c>
      <c r="M1047" s="6" t="n">
        <f aca="false">IF(ABS(H1047)&gt;$P$8,1,0)</f>
        <v>0</v>
      </c>
    </row>
    <row r="1048" customFormat="false" ht="15" hidden="false" customHeight="false" outlineLevel="0" collapsed="false">
      <c r="A1048" s="0" t="n">
        <f aca="false">ROW()-1</f>
        <v>1047</v>
      </c>
      <c r="B1048" s="22" t="n">
        <f aca="false">SUMPRODUCT(MMULT('Analysis Data'!N1048:U1048,'Final Model'!$B$59:$I$66),'Analysis Data'!N1048:U1048)</f>
        <v>0.00194644887045216</v>
      </c>
      <c r="C1048" s="15" t="n">
        <f aca="false">'Residual Diagnostics'!F1048</f>
        <v>-20.6119371302591</v>
      </c>
      <c r="D1048" s="13" t="n">
        <f aca="false">C1048/('Final Model'!$B$21*SQRT(1-B1048))</f>
        <v>-0.420786788546406</v>
      </c>
      <c r="E1048" s="13" t="n">
        <f aca="false">D1048*SQRT(('Final Model'!$B$24-1)/('Final Model'!$B$24-D1048^2))</f>
        <v>-0.420661107171955</v>
      </c>
      <c r="F1048" s="23" t="n">
        <f aca="false">D1048^2/($P$3+1)*B1048/(1-B1048)</f>
        <v>4.31641666382912E-005</v>
      </c>
      <c r="G1048" s="13" t="n">
        <f aca="false">($P$2-1)*(B1048-1/$P$2)</f>
        <v>1.69655318629774</v>
      </c>
      <c r="H1048" s="13" t="n">
        <f aca="false">E1048*SQRT(B1048/(1-B1048))</f>
        <v>-0.0185770580627018</v>
      </c>
      <c r="I1048" s="13" t="n">
        <f aca="false">ABS(D1048)</f>
        <v>0.420786788546406</v>
      </c>
      <c r="J1048" s="6" t="n">
        <f aca="false">IF(B1048&gt;$P$4,1,0)</f>
        <v>0</v>
      </c>
      <c r="K1048" s="6" t="n">
        <f aca="false">IF(F1048&gt;$P$6,1,0)</f>
        <v>0</v>
      </c>
      <c r="L1048" s="6" t="n">
        <f aca="false">IF(G1048&gt;$P$9,1,0)</f>
        <v>0</v>
      </c>
      <c r="M1048" s="6" t="n">
        <f aca="false">IF(ABS(H1048)&gt;$P$8,1,0)</f>
        <v>0</v>
      </c>
    </row>
    <row r="1049" customFormat="false" ht="15" hidden="false" customHeight="false" outlineLevel="0" collapsed="false">
      <c r="A1049" s="0" t="n">
        <f aca="false">ROW()-1</f>
        <v>1048</v>
      </c>
      <c r="B1049" s="22" t="n">
        <f aca="false">SUMPRODUCT(MMULT('Analysis Data'!N1049:U1049,'Final Model'!$B$59:$I$66),'Analysis Data'!N1049:U1049)</f>
        <v>0.00206076313773866</v>
      </c>
      <c r="C1049" s="15" t="n">
        <f aca="false">'Residual Diagnostics'!F1049</f>
        <v>-6.62037810295846</v>
      </c>
      <c r="D1049" s="13" t="n">
        <f aca="false">C1049/('Final Model'!$B$21*SQRT(1-B1049))</f>
        <v>-0.135160862078655</v>
      </c>
      <c r="E1049" s="13" t="n">
        <f aca="false">D1049*SQRT(('Final Model'!$B$24-1)/('Final Model'!$B$24-D1049^2))</f>
        <v>-0.135112706388121</v>
      </c>
      <c r="F1049" s="23" t="n">
        <f aca="false">D1049^2/($P$3+1)*B1049/(1-B1049)</f>
        <v>4.71558847893197E-006</v>
      </c>
      <c r="G1049" s="13" t="n">
        <f aca="false">($P$2-1)*(B1049-1/$P$2)</f>
        <v>1.85487844648954</v>
      </c>
      <c r="H1049" s="13" t="n">
        <f aca="false">E1049*SQRT(B1049/(1-B1049))</f>
        <v>-0.00613985595754322</v>
      </c>
      <c r="I1049" s="13" t="n">
        <f aca="false">ABS(D1049)</f>
        <v>0.135160862078655</v>
      </c>
      <c r="J1049" s="6" t="n">
        <f aca="false">IF(B1049&gt;$P$4,1,0)</f>
        <v>0</v>
      </c>
      <c r="K1049" s="6" t="n">
        <f aca="false">IF(F1049&gt;$P$6,1,0)</f>
        <v>0</v>
      </c>
      <c r="L1049" s="6" t="n">
        <f aca="false">IF(G1049&gt;$P$9,1,0)</f>
        <v>0</v>
      </c>
      <c r="M1049" s="6" t="n">
        <f aca="false">IF(ABS(H1049)&gt;$P$8,1,0)</f>
        <v>0</v>
      </c>
    </row>
    <row r="1050" customFormat="false" ht="15" hidden="false" customHeight="false" outlineLevel="0" collapsed="false">
      <c r="A1050" s="0" t="n">
        <f aca="false">ROW()-1</f>
        <v>1049</v>
      </c>
      <c r="B1050" s="22" t="n">
        <f aca="false">SUMPRODUCT(MMULT('Analysis Data'!N1050:U1050,'Final Model'!$B$59:$I$66),'Analysis Data'!N1050:U1050)</f>
        <v>0.00276177522553617</v>
      </c>
      <c r="C1050" s="15" t="n">
        <f aca="false">'Residual Diagnostics'!F1050</f>
        <v>-2.73371465886279</v>
      </c>
      <c r="D1050" s="13" t="n">
        <f aca="false">C1050/('Final Model'!$B$21*SQRT(1-B1050))</f>
        <v>-0.0558308104129886</v>
      </c>
      <c r="E1050" s="13" t="n">
        <f aca="false">D1050*SQRT(('Final Model'!$B$24-1)/('Final Model'!$B$24-D1050^2))</f>
        <v>-0.0558106119453398</v>
      </c>
      <c r="F1050" s="23" t="n">
        <f aca="false">D1050^2/($P$3+1)*B1050/(1-B1050)</f>
        <v>1.07906421269914E-006</v>
      </c>
      <c r="G1050" s="13" t="n">
        <f aca="false">($P$2-1)*(B1050-1/$P$2)</f>
        <v>2.8257801880891</v>
      </c>
      <c r="H1050" s="13" t="n">
        <f aca="false">E1050*SQRT(B1050/(1-B1050))</f>
        <v>-0.00293705101943316</v>
      </c>
      <c r="I1050" s="13" t="n">
        <f aca="false">ABS(D1050)</f>
        <v>0.0558308104129886</v>
      </c>
      <c r="J1050" s="6" t="n">
        <f aca="false">IF(B1050&gt;$P$4,1,0)</f>
        <v>0</v>
      </c>
      <c r="K1050" s="6" t="n">
        <f aca="false">IF(F1050&gt;$P$6,1,0)</f>
        <v>0</v>
      </c>
      <c r="L1050" s="6" t="n">
        <f aca="false">IF(G1050&gt;$P$9,1,0)</f>
        <v>0</v>
      </c>
      <c r="M1050" s="6" t="n">
        <f aca="false">IF(ABS(H1050)&gt;$P$8,1,0)</f>
        <v>0</v>
      </c>
    </row>
    <row r="1051" customFormat="false" ht="15" hidden="false" customHeight="false" outlineLevel="0" collapsed="false">
      <c r="A1051" s="0" t="n">
        <f aca="false">ROW()-1</f>
        <v>1050</v>
      </c>
      <c r="B1051" s="22" t="n">
        <f aca="false">SUMPRODUCT(MMULT('Analysis Data'!N1051:U1051,'Final Model'!$B$59:$I$66),'Analysis Data'!N1051:U1051)</f>
        <v>0.00276177522553617</v>
      </c>
      <c r="C1051" s="15" t="n">
        <f aca="false">'Residual Diagnostics'!F1051</f>
        <v>11.6011214715893</v>
      </c>
      <c r="D1051" s="13" t="n">
        <f aca="false">C1051/('Final Model'!$B$21*SQRT(1-B1051))</f>
        <v>0.236930365558998</v>
      </c>
      <c r="E1051" s="13" t="n">
        <f aca="false">D1051*SQRT(('Final Model'!$B$24-1)/('Final Model'!$B$24-D1051^2))</f>
        <v>0.236849205376245</v>
      </c>
      <c r="F1051" s="23" t="n">
        <f aca="false">D1051^2/($P$3+1)*B1051/(1-B1051)</f>
        <v>1.94330458144105E-005</v>
      </c>
      <c r="G1051" s="13" t="n">
        <f aca="false">($P$2-1)*(B1051-1/$P$2)</f>
        <v>2.8257801880891</v>
      </c>
      <c r="H1051" s="13" t="n">
        <f aca="false">E1051*SQRT(B1051/(1-B1051))</f>
        <v>0.0124642639787489</v>
      </c>
      <c r="I1051" s="13" t="n">
        <f aca="false">ABS(D1051)</f>
        <v>0.236930365558998</v>
      </c>
      <c r="J1051" s="6" t="n">
        <f aca="false">IF(B1051&gt;$P$4,1,0)</f>
        <v>0</v>
      </c>
      <c r="K1051" s="6" t="n">
        <f aca="false">IF(F1051&gt;$P$6,1,0)</f>
        <v>0</v>
      </c>
      <c r="L1051" s="6" t="n">
        <f aca="false">IF(G1051&gt;$P$9,1,0)</f>
        <v>0</v>
      </c>
      <c r="M1051" s="6" t="n">
        <f aca="false">IF(ABS(H1051)&gt;$P$8,1,0)</f>
        <v>0</v>
      </c>
    </row>
    <row r="1052" customFormat="false" ht="15" hidden="false" customHeight="false" outlineLevel="0" collapsed="false">
      <c r="A1052" s="0" t="n">
        <f aca="false">ROW()-1</f>
        <v>1051</v>
      </c>
      <c r="B1052" s="22" t="n">
        <f aca="false">SUMPRODUCT(MMULT('Analysis Data'!N1052:U1052,'Final Model'!$B$59:$I$66),'Analysis Data'!N1052:U1052)</f>
        <v>0.0308791144303149</v>
      </c>
      <c r="C1052" s="15" t="n">
        <f aca="false">'Residual Diagnostics'!F1052</f>
        <v>-50.3369006116733</v>
      </c>
      <c r="D1052" s="13" t="n">
        <f aca="false">C1052/('Final Model'!$B$21*SQRT(1-B1052))</f>
        <v>-1.04284005407779</v>
      </c>
      <c r="E1052" s="13" t="n">
        <f aca="false">D1052*SQRT(('Final Model'!$B$24-1)/('Final Model'!$B$24-D1052^2))</f>
        <v>-1.0428731945616</v>
      </c>
      <c r="F1052" s="23" t="n">
        <f aca="false">D1052^2/($P$3+1)*B1052/(1-B1052)</f>
        <v>0.00433144000841803</v>
      </c>
      <c r="G1052" s="13" t="n">
        <f aca="false">($P$2-1)*(B1052-1/$P$2)</f>
        <v>41.7682949867077</v>
      </c>
      <c r="H1052" s="13" t="n">
        <f aca="false">E1052*SQRT(B1052/(1-B1052))</f>
        <v>-0.186155103309809</v>
      </c>
      <c r="I1052" s="13" t="n">
        <f aca="false">ABS(D1052)</f>
        <v>1.04284005407779</v>
      </c>
      <c r="J1052" s="6" t="n">
        <f aca="false">IF(B1052&gt;$P$4,1,0)</f>
        <v>1</v>
      </c>
      <c r="K1052" s="6" t="n">
        <f aca="false">IF(F1052&gt;$P$6,1,0)</f>
        <v>1</v>
      </c>
      <c r="L1052" s="6" t="n">
        <f aca="false">IF(G1052&gt;$P$9,1,0)</f>
        <v>1</v>
      </c>
      <c r="M1052" s="6" t="n">
        <f aca="false">IF(ABS(H1052)&gt;$P$8,1,0)</f>
        <v>1</v>
      </c>
    </row>
    <row r="1053" customFormat="false" ht="15" hidden="false" customHeight="false" outlineLevel="0" collapsed="false">
      <c r="A1053" s="0" t="n">
        <f aca="false">ROW()-1</f>
        <v>1052</v>
      </c>
      <c r="B1053" s="22" t="n">
        <f aca="false">SUMPRODUCT(MMULT('Analysis Data'!N1053:U1053,'Final Model'!$B$59:$I$66),'Analysis Data'!N1053:U1053)</f>
        <v>0.0315836942016324</v>
      </c>
      <c r="C1053" s="15" t="n">
        <f aca="false">'Residual Diagnostics'!F1053</f>
        <v>-8.011094301968</v>
      </c>
      <c r="D1053" s="13" t="n">
        <f aca="false">C1053/('Final Model'!$B$21*SQRT(1-B1053))</f>
        <v>-0.166027873774722</v>
      </c>
      <c r="E1053" s="13" t="n">
        <f aca="false">D1053*SQRT(('Final Model'!$B$24-1)/('Final Model'!$B$24-D1053^2))</f>
        <v>-0.165969280524548</v>
      </c>
      <c r="F1053" s="23" t="n">
        <f aca="false">D1053^2/($P$3+1)*B1053/(1-B1053)</f>
        <v>0.000112375815958006</v>
      </c>
      <c r="G1053" s="13" t="n">
        <f aca="false">($P$2-1)*(B1053-1/$P$2)</f>
        <v>42.7441379699823</v>
      </c>
      <c r="H1053" s="13" t="n">
        <f aca="false">E1053*SQRT(B1053/(1-B1053))</f>
        <v>-0.0299728560370844</v>
      </c>
      <c r="I1053" s="13" t="n">
        <f aca="false">ABS(D1053)</f>
        <v>0.166027873774722</v>
      </c>
      <c r="J1053" s="6" t="n">
        <f aca="false">IF(B1053&gt;$P$4,1,0)</f>
        <v>1</v>
      </c>
      <c r="K1053" s="6" t="n">
        <f aca="false">IF(F1053&gt;$P$6,1,0)</f>
        <v>0</v>
      </c>
      <c r="L1053" s="6" t="n">
        <f aca="false">IF(G1053&gt;$P$9,1,0)</f>
        <v>1</v>
      </c>
      <c r="M1053" s="6" t="n">
        <f aca="false">IF(ABS(H1053)&gt;$P$8,1,0)</f>
        <v>0</v>
      </c>
    </row>
    <row r="1054" customFormat="false" ht="15" hidden="false" customHeight="false" outlineLevel="0" collapsed="false">
      <c r="A1054" s="0" t="n">
        <f aca="false">ROW()-1</f>
        <v>1053</v>
      </c>
      <c r="B1054" s="22" t="n">
        <f aca="false">SUMPRODUCT(MMULT('Analysis Data'!N1054:U1054,'Final Model'!$B$59:$I$66),'Analysis Data'!N1054:U1054)</f>
        <v>0.00196193915232717</v>
      </c>
      <c r="C1054" s="15" t="n">
        <f aca="false">'Residual Diagnostics'!F1054</f>
        <v>88.478950779443</v>
      </c>
      <c r="D1054" s="13" t="n">
        <f aca="false">C1054/('Final Model'!$B$21*SQRT(1-B1054))</f>
        <v>1.80628643685801</v>
      </c>
      <c r="E1054" s="13" t="n">
        <f aca="false">D1054*SQRT(('Final Model'!$B$24-1)/('Final Model'!$B$24-D1054^2))</f>
        <v>1.80777230291156</v>
      </c>
      <c r="F1054" s="23" t="n">
        <f aca="false">D1054^2/($P$3+1)*B1054/(1-B1054)</f>
        <v>0.000801718093584485</v>
      </c>
      <c r="G1054" s="13" t="n">
        <f aca="false">($P$2-1)*(B1054-1/$P$2)</f>
        <v>1.71800722669463</v>
      </c>
      <c r="H1054" s="13" t="n">
        <f aca="false">E1054*SQRT(B1054/(1-B1054))</f>
        <v>0.0801517378909354</v>
      </c>
      <c r="I1054" s="13" t="n">
        <f aca="false">ABS(D1054)</f>
        <v>1.80628643685801</v>
      </c>
      <c r="J1054" s="6" t="n">
        <f aca="false">IF(B1054&gt;$P$4,1,0)</f>
        <v>0</v>
      </c>
      <c r="K1054" s="6" t="n">
        <f aca="false">IF(F1054&gt;$P$6,1,0)</f>
        <v>0</v>
      </c>
      <c r="L1054" s="6" t="n">
        <f aca="false">IF(G1054&gt;$P$9,1,0)</f>
        <v>0</v>
      </c>
      <c r="M1054" s="6" t="n">
        <f aca="false">IF(ABS(H1054)&gt;$P$8,1,0)</f>
        <v>0</v>
      </c>
    </row>
    <row r="1055" customFormat="false" ht="15" hidden="false" customHeight="false" outlineLevel="0" collapsed="false">
      <c r="A1055" s="0" t="n">
        <f aca="false">ROW()-1</f>
        <v>1054</v>
      </c>
      <c r="B1055" s="22" t="n">
        <f aca="false">SUMPRODUCT(MMULT('Analysis Data'!N1055:U1055,'Final Model'!$B$59:$I$66),'Analysis Data'!N1055:U1055)</f>
        <v>0.00227614057781969</v>
      </c>
      <c r="C1055" s="15" t="n">
        <f aca="false">'Residual Diagnostics'!F1055</f>
        <v>-103.636015725777</v>
      </c>
      <c r="D1055" s="13" t="n">
        <f aca="false">C1055/('Final Model'!$B$21*SQRT(1-B1055))</f>
        <v>-2.11604908708429</v>
      </c>
      <c r="E1055" s="13" t="n">
        <f aca="false">D1055*SQRT(('Final Model'!$B$24-1)/('Final Model'!$B$24-D1055^2))</f>
        <v>-2.11872623867194</v>
      </c>
      <c r="F1055" s="23" t="n">
        <f aca="false">D1055^2/($P$3+1)*B1055/(1-B1055)</f>
        <v>0.00127688037549275</v>
      </c>
      <c r="G1055" s="13" t="n">
        <f aca="false">($P$2-1)*(B1055-1/$P$2)</f>
        <v>2.15317620100177</v>
      </c>
      <c r="H1055" s="13" t="n">
        <f aca="false">E1055*SQRT(B1055/(1-B1055))</f>
        <v>-0.101197365517424</v>
      </c>
      <c r="I1055" s="13" t="n">
        <f aca="false">ABS(D1055)</f>
        <v>2.11604908708429</v>
      </c>
      <c r="J1055" s="6" t="n">
        <f aca="false">IF(B1055&gt;$P$4,1,0)</f>
        <v>0</v>
      </c>
      <c r="K1055" s="6" t="n">
        <f aca="false">IF(F1055&gt;$P$6,1,0)</f>
        <v>0</v>
      </c>
      <c r="L1055" s="6" t="n">
        <f aca="false">IF(G1055&gt;$P$9,1,0)</f>
        <v>0</v>
      </c>
      <c r="M1055" s="6" t="n">
        <f aca="false">IF(ABS(H1055)&gt;$P$8,1,0)</f>
        <v>0</v>
      </c>
    </row>
    <row r="1056" customFormat="false" ht="15" hidden="false" customHeight="false" outlineLevel="0" collapsed="false">
      <c r="A1056" s="0" t="n">
        <f aca="false">ROW()-1</f>
        <v>1055</v>
      </c>
      <c r="B1056" s="22" t="n">
        <f aca="false">SUMPRODUCT(MMULT('Analysis Data'!N1056:U1056,'Final Model'!$B$59:$I$66),'Analysis Data'!N1056:U1056)</f>
        <v>0.00370482337500758</v>
      </c>
      <c r="C1056" s="15" t="n">
        <f aca="false">'Residual Diagnostics'!F1056</f>
        <v>39.4585452607232</v>
      </c>
      <c r="D1056" s="13" t="n">
        <f aca="false">C1056/('Final Model'!$B$21*SQRT(1-B1056))</f>
        <v>0.806245427765119</v>
      </c>
      <c r="E1056" s="13" t="n">
        <f aca="false">D1056*SQRT(('Final Model'!$B$24-1)/('Final Model'!$B$24-D1056^2))</f>
        <v>0.806142992551797</v>
      </c>
      <c r="F1056" s="23" t="n">
        <f aca="false">D1056^2/($P$3+1)*B1056/(1-B1056)</f>
        <v>0.000302150990908609</v>
      </c>
      <c r="G1056" s="13" t="n">
        <f aca="false">($P$2-1)*(B1056-1/$P$2)</f>
        <v>4.131901875107</v>
      </c>
      <c r="H1056" s="13" t="n">
        <f aca="false">E1056*SQRT(B1056/(1-B1056))</f>
        <v>0.0491588623075223</v>
      </c>
      <c r="I1056" s="13" t="n">
        <f aca="false">ABS(D1056)</f>
        <v>0.806245427765119</v>
      </c>
      <c r="J1056" s="6" t="n">
        <f aca="false">IF(B1056&gt;$P$4,1,0)</f>
        <v>0</v>
      </c>
      <c r="K1056" s="6" t="n">
        <f aca="false">IF(F1056&gt;$P$6,1,0)</f>
        <v>0</v>
      </c>
      <c r="L1056" s="6" t="n">
        <f aca="false">IF(G1056&gt;$P$9,1,0)</f>
        <v>0</v>
      </c>
      <c r="M1056" s="6" t="n">
        <f aca="false">IF(ABS(H1056)&gt;$P$8,1,0)</f>
        <v>0</v>
      </c>
    </row>
    <row r="1057" customFormat="false" ht="15" hidden="false" customHeight="false" outlineLevel="0" collapsed="false">
      <c r="A1057" s="0" t="n">
        <f aca="false">ROW()-1</f>
        <v>1056</v>
      </c>
      <c r="B1057" s="22" t="n">
        <f aca="false">SUMPRODUCT(MMULT('Analysis Data'!N1057:U1057,'Final Model'!$B$59:$I$66),'Analysis Data'!N1057:U1057)</f>
        <v>0.00276307688542765</v>
      </c>
      <c r="C1057" s="15" t="n">
        <f aca="false">'Residual Diagnostics'!F1057</f>
        <v>25.3052534166403</v>
      </c>
      <c r="D1057" s="13" t="n">
        <f aca="false">C1057/('Final Model'!$B$21*SQRT(1-B1057))</f>
        <v>0.516810971263939</v>
      </c>
      <c r="E1057" s="13" t="n">
        <f aca="false">D1057*SQRT(('Final Model'!$B$24-1)/('Final Model'!$B$24-D1057^2))</f>
        <v>0.516673490165795</v>
      </c>
      <c r="F1057" s="23" t="n">
        <f aca="false">D1057^2/($P$3+1)*B1057/(1-B1057)</f>
        <v>9.25056122685316E-005</v>
      </c>
      <c r="G1057" s="13" t="n">
        <f aca="false">($P$2-1)*(B1057-1/$P$2)</f>
        <v>2.8275829870388</v>
      </c>
      <c r="H1057" s="13" t="n">
        <f aca="false">E1057*SQRT(B1057/(1-B1057))</f>
        <v>0.027196529553778</v>
      </c>
      <c r="I1057" s="13" t="n">
        <f aca="false">ABS(D1057)</f>
        <v>0.516810971263939</v>
      </c>
      <c r="J1057" s="6" t="n">
        <f aca="false">IF(B1057&gt;$P$4,1,0)</f>
        <v>0</v>
      </c>
      <c r="K1057" s="6" t="n">
        <f aca="false">IF(F1057&gt;$P$6,1,0)</f>
        <v>0</v>
      </c>
      <c r="L1057" s="6" t="n">
        <f aca="false">IF(G1057&gt;$P$9,1,0)</f>
        <v>0</v>
      </c>
      <c r="M1057" s="6" t="n">
        <f aca="false">IF(ABS(H1057)&gt;$P$8,1,0)</f>
        <v>0</v>
      </c>
    </row>
    <row r="1058" customFormat="false" ht="15" hidden="false" customHeight="false" outlineLevel="0" collapsed="false">
      <c r="A1058" s="0" t="n">
        <f aca="false">ROW()-1</f>
        <v>1057</v>
      </c>
      <c r="B1058" s="22" t="n">
        <f aca="false">SUMPRODUCT(MMULT('Analysis Data'!N1058:U1058,'Final Model'!$B$59:$I$66),'Analysis Data'!N1058:U1058)</f>
        <v>0.00404625893105251</v>
      </c>
      <c r="C1058" s="15" t="n">
        <f aca="false">'Residual Diagnostics'!F1058</f>
        <v>-71.3158939646072</v>
      </c>
      <c r="D1058" s="13" t="n">
        <f aca="false">C1058/('Final Model'!$B$21*SQRT(1-B1058))</f>
        <v>-1.45742748600613</v>
      </c>
      <c r="E1058" s="13" t="n">
        <f aca="false">D1058*SQRT(('Final Model'!$B$24-1)/('Final Model'!$B$24-D1058^2))</f>
        <v>-1.45802272583835</v>
      </c>
      <c r="F1058" s="23" t="n">
        <f aca="false">D1058^2/($P$3+1)*B1058/(1-B1058)</f>
        <v>0.00107869441018197</v>
      </c>
      <c r="G1058" s="13" t="n">
        <f aca="false">($P$2-1)*(B1058-1/$P$2)</f>
        <v>4.60479012022922</v>
      </c>
      <c r="H1058" s="13" t="n">
        <f aca="false">E1058*SQRT(B1058/(1-B1058))</f>
        <v>-0.0929333398455859</v>
      </c>
      <c r="I1058" s="13" t="n">
        <f aca="false">ABS(D1058)</f>
        <v>1.45742748600613</v>
      </c>
      <c r="J1058" s="6" t="n">
        <f aca="false">IF(B1058&gt;$P$4,1,0)</f>
        <v>0</v>
      </c>
      <c r="K1058" s="6" t="n">
        <f aca="false">IF(F1058&gt;$P$6,1,0)</f>
        <v>0</v>
      </c>
      <c r="L1058" s="6" t="n">
        <f aca="false">IF(G1058&gt;$P$9,1,0)</f>
        <v>0</v>
      </c>
      <c r="M1058" s="6" t="n">
        <f aca="false">IF(ABS(H1058)&gt;$P$8,1,0)</f>
        <v>0</v>
      </c>
    </row>
    <row r="1059" customFormat="false" ht="15" hidden="false" customHeight="false" outlineLevel="0" collapsed="false">
      <c r="A1059" s="0" t="n">
        <f aca="false">ROW()-1</f>
        <v>1058</v>
      </c>
      <c r="B1059" s="22" t="n">
        <f aca="false">SUMPRODUCT(MMULT('Analysis Data'!N1059:U1059,'Final Model'!$B$59:$I$66),'Analysis Data'!N1059:U1059)</f>
        <v>0.00404625893105251</v>
      </c>
      <c r="C1059" s="15" t="n">
        <f aca="false">'Residual Diagnostics'!F1059</f>
        <v>7.6211684557687</v>
      </c>
      <c r="D1059" s="13" t="n">
        <f aca="false">C1059/('Final Model'!$B$21*SQRT(1-B1059))</f>
        <v>0.155747895250848</v>
      </c>
      <c r="E1059" s="13" t="n">
        <f aca="false">D1059*SQRT(('Final Model'!$B$24-1)/('Final Model'!$B$24-D1059^2))</f>
        <v>0.155692743058242</v>
      </c>
      <c r="F1059" s="23" t="n">
        <f aca="false">D1059^2/($P$3+1)*B1059/(1-B1059)</f>
        <v>1.23188137617563E-005</v>
      </c>
      <c r="G1059" s="13" t="n">
        <f aca="false">($P$2-1)*(B1059-1/$P$2)</f>
        <v>4.60479012022922</v>
      </c>
      <c r="H1059" s="13" t="n">
        <f aca="false">E1059*SQRT(B1059/(1-B1059))</f>
        <v>0.00992374559443406</v>
      </c>
      <c r="I1059" s="13" t="n">
        <f aca="false">ABS(D1059)</f>
        <v>0.155747895250848</v>
      </c>
      <c r="J1059" s="6" t="n">
        <f aca="false">IF(B1059&gt;$P$4,1,0)</f>
        <v>0</v>
      </c>
      <c r="K1059" s="6" t="n">
        <f aca="false">IF(F1059&gt;$P$6,1,0)</f>
        <v>0</v>
      </c>
      <c r="L1059" s="6" t="n">
        <f aca="false">IF(G1059&gt;$P$9,1,0)</f>
        <v>0</v>
      </c>
      <c r="M1059" s="6" t="n">
        <f aca="false">IF(ABS(H1059)&gt;$P$8,1,0)</f>
        <v>0</v>
      </c>
    </row>
    <row r="1060" customFormat="false" ht="15" hidden="false" customHeight="false" outlineLevel="0" collapsed="false">
      <c r="A1060" s="0" t="n">
        <f aca="false">ROW()-1</f>
        <v>1059</v>
      </c>
      <c r="B1060" s="22" t="n">
        <f aca="false">SUMPRODUCT(MMULT('Analysis Data'!N1060:U1060,'Final Model'!$B$59:$I$66),'Analysis Data'!N1060:U1060)</f>
        <v>0.0131244453563171</v>
      </c>
      <c r="C1060" s="15" t="n">
        <f aca="false">'Residual Diagnostics'!F1060</f>
        <v>-36.0173902844311</v>
      </c>
      <c r="D1060" s="13" t="n">
        <f aca="false">C1060/('Final Model'!$B$21*SQRT(1-B1060))</f>
        <v>-0.739437131011196</v>
      </c>
      <c r="E1060" s="13" t="n">
        <f aca="false">D1060*SQRT(('Final Model'!$B$24-1)/('Final Model'!$B$24-D1060^2))</f>
        <v>-0.739315470008957</v>
      </c>
      <c r="F1060" s="23" t="n">
        <f aca="false">D1060^2/($P$3+1)*B1060/(1-B1060)</f>
        <v>0.000908931365940164</v>
      </c>
      <c r="G1060" s="13" t="n">
        <f aca="false">($P$2-1)*(B1060-1/$P$2)</f>
        <v>17.1780783192207</v>
      </c>
      <c r="H1060" s="13" t="n">
        <f aca="false">E1060*SQRT(B1060/(1-B1060))</f>
        <v>-0.0852587728798062</v>
      </c>
      <c r="I1060" s="13" t="n">
        <f aca="false">ABS(D1060)</f>
        <v>0.739437131011196</v>
      </c>
      <c r="J1060" s="6" t="n">
        <f aca="false">IF(B1060&gt;$P$4,1,0)</f>
        <v>1</v>
      </c>
      <c r="K1060" s="6" t="n">
        <f aca="false">IF(F1060&gt;$P$6,1,0)</f>
        <v>0</v>
      </c>
      <c r="L1060" s="6" t="n">
        <f aca="false">IF(G1060&gt;$P$9,1,0)</f>
        <v>1</v>
      </c>
      <c r="M1060" s="6" t="n">
        <f aca="false">IF(ABS(H1060)&gt;$P$8,1,0)</f>
        <v>0</v>
      </c>
    </row>
    <row r="1061" customFormat="false" ht="15" hidden="false" customHeight="false" outlineLevel="0" collapsed="false">
      <c r="A1061" s="0" t="n">
        <f aca="false">ROW()-1</f>
        <v>1060</v>
      </c>
      <c r="B1061" s="22" t="n">
        <f aca="false">SUMPRODUCT(MMULT('Analysis Data'!N1061:U1061,'Final Model'!$B$59:$I$66),'Analysis Data'!N1061:U1061)</f>
        <v>0.00784642907577479</v>
      </c>
      <c r="C1061" s="15" t="n">
        <f aca="false">'Residual Diagnostics'!F1061</f>
        <v>-26.6339450426956</v>
      </c>
      <c r="D1061" s="13" t="n">
        <f aca="false">C1061/('Final Model'!$B$21*SQRT(1-B1061))</f>
        <v>-0.545338624208252</v>
      </c>
      <c r="E1061" s="13" t="n">
        <f aca="false">D1061*SQRT(('Final Model'!$B$24-1)/('Final Model'!$B$24-D1061^2))</f>
        <v>-0.545199549587191</v>
      </c>
      <c r="F1061" s="23" t="n">
        <f aca="false">D1061^2/($P$3+1)*B1061/(1-B1061)</f>
        <v>0.000293992115276583</v>
      </c>
      <c r="G1061" s="13" t="n">
        <f aca="false">($P$2-1)*(B1061-1/$P$2)</f>
        <v>9.86802577066959</v>
      </c>
      <c r="H1061" s="13" t="n">
        <f aca="false">E1061*SQRT(B1061/(1-B1061))</f>
        <v>-0.0484844044293441</v>
      </c>
      <c r="I1061" s="13" t="n">
        <f aca="false">ABS(D1061)</f>
        <v>0.545338624208252</v>
      </c>
      <c r="J1061" s="6" t="n">
        <f aca="false">IF(B1061&gt;$P$4,1,0)</f>
        <v>0</v>
      </c>
      <c r="K1061" s="6" t="n">
        <f aca="false">IF(F1061&gt;$P$6,1,0)</f>
        <v>0</v>
      </c>
      <c r="L1061" s="6" t="n">
        <f aca="false">IF(G1061&gt;$P$9,1,0)</f>
        <v>0</v>
      </c>
      <c r="M1061" s="6" t="n">
        <f aca="false">IF(ABS(H1061)&gt;$P$8,1,0)</f>
        <v>0</v>
      </c>
    </row>
    <row r="1062" customFormat="false" ht="15" hidden="false" customHeight="false" outlineLevel="0" collapsed="false">
      <c r="A1062" s="0" t="n">
        <f aca="false">ROW()-1</f>
        <v>1061</v>
      </c>
      <c r="B1062" s="22" t="n">
        <f aca="false">SUMPRODUCT(MMULT('Analysis Data'!N1062:U1062,'Final Model'!$B$59:$I$66),'Analysis Data'!N1062:U1062)</f>
        <v>0.00706460714993867</v>
      </c>
      <c r="C1062" s="15" t="n">
        <f aca="false">'Residual Diagnostics'!F1062</f>
        <v>54.1867712375076</v>
      </c>
      <c r="D1062" s="13" t="n">
        <f aca="false">C1062/('Final Model'!$B$21*SQRT(1-B1062))</f>
        <v>1.10905475242266</v>
      </c>
      <c r="E1062" s="13" t="n">
        <f aca="false">D1062*SQRT(('Final Model'!$B$24-1)/('Final Model'!$B$24-D1062^2))</f>
        <v>1.10914738759454</v>
      </c>
      <c r="F1062" s="23" t="n">
        <f aca="false">D1062^2/($P$3+1)*B1062/(1-B1062)</f>
        <v>0.00109391357710511</v>
      </c>
      <c r="G1062" s="13" t="n">
        <f aca="false">($P$2-1)*(B1062-1/$P$2)</f>
        <v>8.78520240338656</v>
      </c>
      <c r="H1062" s="13" t="n">
        <f aca="false">E1062*SQRT(B1062/(1-B1062))</f>
        <v>0.0935562430075029</v>
      </c>
      <c r="I1062" s="13" t="n">
        <f aca="false">ABS(D1062)</f>
        <v>1.10905475242266</v>
      </c>
      <c r="J1062" s="6" t="n">
        <f aca="false">IF(B1062&gt;$P$4,1,0)</f>
        <v>0</v>
      </c>
      <c r="K1062" s="6" t="n">
        <f aca="false">IF(F1062&gt;$P$6,1,0)</f>
        <v>0</v>
      </c>
      <c r="L1062" s="6" t="n">
        <f aca="false">IF(G1062&gt;$P$9,1,0)</f>
        <v>0</v>
      </c>
      <c r="M1062" s="6" t="n">
        <f aca="false">IF(ABS(H1062)&gt;$P$8,1,0)</f>
        <v>0</v>
      </c>
    </row>
    <row r="1063" customFormat="false" ht="15" hidden="false" customHeight="false" outlineLevel="0" collapsed="false">
      <c r="A1063" s="0" t="n">
        <f aca="false">ROW()-1</f>
        <v>1062</v>
      </c>
      <c r="B1063" s="22" t="n">
        <f aca="false">SUMPRODUCT(MMULT('Analysis Data'!N1063:U1063,'Final Model'!$B$59:$I$66),'Analysis Data'!N1063:U1063)</f>
        <v>0.00680249507653258</v>
      </c>
      <c r="C1063" s="15" t="n">
        <f aca="false">'Residual Diagnostics'!F1063</f>
        <v>34.416094830845</v>
      </c>
      <c r="D1063" s="13" t="n">
        <f aca="false">C1063/('Final Model'!$B$21*SQRT(1-B1063))</f>
        <v>0.704310217145991</v>
      </c>
      <c r="E1063" s="13" t="n">
        <f aca="false">D1063*SQRT(('Final Model'!$B$24-1)/('Final Model'!$B$24-D1063^2))</f>
        <v>0.704181372661283</v>
      </c>
      <c r="F1063" s="23" t="n">
        <f aca="false">D1063^2/($P$3+1)*B1063/(1-B1063)</f>
        <v>0.000424688603049192</v>
      </c>
      <c r="G1063" s="13" t="n">
        <f aca="false">($P$2-1)*(B1063-1/$P$2)</f>
        <v>8.42217718171912</v>
      </c>
      <c r="H1063" s="13" t="n">
        <f aca="false">E1063*SQRT(B1063/(1-B1063))</f>
        <v>0.0582774903124375</v>
      </c>
      <c r="I1063" s="13" t="n">
        <f aca="false">ABS(D1063)</f>
        <v>0.704310217145991</v>
      </c>
      <c r="J1063" s="6" t="n">
        <f aca="false">IF(B1063&gt;$P$4,1,0)</f>
        <v>0</v>
      </c>
      <c r="K1063" s="6" t="n">
        <f aca="false">IF(F1063&gt;$P$6,1,0)</f>
        <v>0</v>
      </c>
      <c r="L1063" s="6" t="n">
        <f aca="false">IF(G1063&gt;$P$9,1,0)</f>
        <v>0</v>
      </c>
      <c r="M1063" s="6" t="n">
        <f aca="false">IF(ABS(H1063)&gt;$P$8,1,0)</f>
        <v>0</v>
      </c>
    </row>
    <row r="1064" customFormat="false" ht="15" hidden="false" customHeight="false" outlineLevel="0" collapsed="false">
      <c r="A1064" s="0" t="n">
        <f aca="false">ROW()-1</f>
        <v>1063</v>
      </c>
      <c r="B1064" s="22" t="n">
        <f aca="false">SUMPRODUCT(MMULT('Analysis Data'!N1064:U1064,'Final Model'!$B$59:$I$66),'Analysis Data'!N1064:U1064)</f>
        <v>0.0247512310889588</v>
      </c>
      <c r="C1064" s="15" t="n">
        <f aca="false">'Residual Diagnostics'!F1064</f>
        <v>-40.5590855645867</v>
      </c>
      <c r="D1064" s="13" t="n">
        <f aca="false">C1064/('Final Model'!$B$21*SQRT(1-B1064))</f>
        <v>-0.837626981569663</v>
      </c>
      <c r="E1064" s="13" t="n">
        <f aca="false">D1064*SQRT(('Final Model'!$B$24-1)/('Final Model'!$B$24-D1064^2))</f>
        <v>-0.837536243952076</v>
      </c>
      <c r="F1064" s="23" t="n">
        <f aca="false">D1064^2/($P$3+1)*B1064/(1-B1064)</f>
        <v>0.00222583375329715</v>
      </c>
      <c r="G1064" s="13" t="n">
        <f aca="false">($P$2-1)*(B1064-1/$P$2)</f>
        <v>33.2811765589294</v>
      </c>
      <c r="H1064" s="13" t="n">
        <f aca="false">E1064*SQRT(B1064/(1-B1064))</f>
        <v>-0.133427179948708</v>
      </c>
      <c r="I1064" s="13" t="n">
        <f aca="false">ABS(D1064)</f>
        <v>0.837626981569663</v>
      </c>
      <c r="J1064" s="6" t="n">
        <f aca="false">IF(B1064&gt;$P$4,1,0)</f>
        <v>1</v>
      </c>
      <c r="K1064" s="6" t="n">
        <f aca="false">IF(F1064&gt;$P$6,1,0)</f>
        <v>0</v>
      </c>
      <c r="L1064" s="6" t="n">
        <f aca="false">IF(G1064&gt;$P$9,1,0)</f>
        <v>1</v>
      </c>
      <c r="M1064" s="6" t="n">
        <f aca="false">IF(ABS(H1064)&gt;$P$8,1,0)</f>
        <v>0</v>
      </c>
    </row>
    <row r="1065" customFormat="false" ht="15" hidden="false" customHeight="false" outlineLevel="0" collapsed="false">
      <c r="A1065" s="0" t="n">
        <f aca="false">ROW()-1</f>
        <v>1064</v>
      </c>
      <c r="B1065" s="22" t="n">
        <f aca="false">SUMPRODUCT(MMULT('Analysis Data'!N1065:U1065,'Final Model'!$B$59:$I$66),'Analysis Data'!N1065:U1065)</f>
        <v>0.0490733150413808</v>
      </c>
      <c r="C1065" s="15" t="n">
        <f aca="false">'Residual Diagnostics'!F1065</f>
        <v>86.1754620397094</v>
      </c>
      <c r="D1065" s="13" t="n">
        <f aca="false">C1065/('Final Model'!$B$21*SQRT(1-B1065))</f>
        <v>1.80231340155112</v>
      </c>
      <c r="E1065" s="13" t="n">
        <f aca="false">D1065*SQRT(('Final Model'!$B$24-1)/('Final Model'!$B$24-D1065^2))</f>
        <v>1.80378659355947</v>
      </c>
      <c r="F1065" s="23" t="n">
        <f aca="false">D1065^2/($P$3+1)*B1065/(1-B1065)</f>
        <v>0.0209540993678416</v>
      </c>
      <c r="G1065" s="13" t="n">
        <f aca="false">($P$2-1)*(B1065-1/$P$2)</f>
        <v>66.9672628330338</v>
      </c>
      <c r="H1065" s="13" t="n">
        <f aca="false">E1065*SQRT(B1065/(1-B1065))</f>
        <v>0.409764504938625</v>
      </c>
      <c r="I1065" s="13" t="n">
        <f aca="false">ABS(D1065)</f>
        <v>1.80231340155112</v>
      </c>
      <c r="J1065" s="6" t="n">
        <f aca="false">IF(B1065&gt;$P$4,1,0)</f>
        <v>1</v>
      </c>
      <c r="K1065" s="6" t="n">
        <f aca="false">IF(F1065&gt;$P$6,1,0)</f>
        <v>1</v>
      </c>
      <c r="L1065" s="6" t="n">
        <f aca="false">IF(G1065&gt;$P$9,1,0)</f>
        <v>1</v>
      </c>
      <c r="M1065" s="6" t="n">
        <f aca="false">IF(ABS(H1065)&gt;$P$8,1,0)</f>
        <v>1</v>
      </c>
    </row>
    <row r="1066" customFormat="false" ht="15" hidden="false" customHeight="false" outlineLevel="0" collapsed="false">
      <c r="A1066" s="0" t="n">
        <f aca="false">ROW()-1</f>
        <v>1065</v>
      </c>
      <c r="B1066" s="22" t="n">
        <f aca="false">SUMPRODUCT(MMULT('Analysis Data'!N1066:U1066,'Final Model'!$B$59:$I$66),'Analysis Data'!N1066:U1066)</f>
        <v>0.0306765361184984</v>
      </c>
      <c r="C1066" s="15" t="n">
        <f aca="false">'Residual Diagnostics'!F1066</f>
        <v>-20.3321468692047</v>
      </c>
      <c r="D1066" s="13" t="n">
        <f aca="false">C1066/('Final Model'!$B$21*SQRT(1-B1066))</f>
        <v>-0.421181303333267</v>
      </c>
      <c r="E1066" s="13" t="n">
        <f aca="false">D1066*SQRT(('Final Model'!$B$24-1)/('Final Model'!$B$24-D1066^2))</f>
        <v>-0.421055554878956</v>
      </c>
      <c r="F1066" s="23" t="n">
        <f aca="false">D1066^2/($P$3+1)*B1066/(1-B1066)</f>
        <v>0.000701755418825931</v>
      </c>
      <c r="G1066" s="13" t="n">
        <f aca="false">($P$2-1)*(B1066-1/$P$2)</f>
        <v>41.4877240248417</v>
      </c>
      <c r="H1066" s="13" t="n">
        <f aca="false">E1066*SQRT(B1066/(1-B1066))</f>
        <v>-0.0749045497845469</v>
      </c>
      <c r="I1066" s="13" t="n">
        <f aca="false">ABS(D1066)</f>
        <v>0.421181303333267</v>
      </c>
      <c r="J1066" s="6" t="n">
        <f aca="false">IF(B1066&gt;$P$4,1,0)</f>
        <v>1</v>
      </c>
      <c r="K1066" s="6" t="n">
        <f aca="false">IF(F1066&gt;$P$6,1,0)</f>
        <v>0</v>
      </c>
      <c r="L1066" s="6" t="n">
        <f aca="false">IF(G1066&gt;$P$9,1,0)</f>
        <v>1</v>
      </c>
      <c r="M1066" s="6" t="n">
        <f aca="false">IF(ABS(H1066)&gt;$P$8,1,0)</f>
        <v>0</v>
      </c>
    </row>
    <row r="1067" customFormat="false" ht="15" hidden="false" customHeight="false" outlineLevel="0" collapsed="false">
      <c r="A1067" s="0" t="n">
        <f aca="false">ROW()-1</f>
        <v>1066</v>
      </c>
      <c r="B1067" s="22" t="n">
        <f aca="false">SUMPRODUCT(MMULT('Analysis Data'!N1067:U1067,'Final Model'!$B$59:$I$66),'Analysis Data'!N1067:U1067)</f>
        <v>0.00638507675741042</v>
      </c>
      <c r="C1067" s="15" t="n">
        <f aca="false">'Residual Diagnostics'!F1067</f>
        <v>-112.577180765073</v>
      </c>
      <c r="D1067" s="13" t="n">
        <f aca="false">C1067/('Final Model'!$B$21*SQRT(1-B1067))</f>
        <v>-2.30335842965687</v>
      </c>
      <c r="E1067" s="13" t="n">
        <f aca="false">D1067*SQRT(('Final Model'!$B$24-1)/('Final Model'!$B$24-D1067^2))</f>
        <v>-2.30696784653989</v>
      </c>
      <c r="F1067" s="23" t="n">
        <f aca="false">D1067^2/($P$3+1)*B1067/(1-B1067)</f>
        <v>0.00426168238005733</v>
      </c>
      <c r="G1067" s="13" t="n">
        <f aca="false">($P$2-1)*(B1067-1/$P$2)</f>
        <v>7.84405280973493</v>
      </c>
      <c r="H1067" s="13" t="n">
        <f aca="false">E1067*SQRT(B1067/(1-B1067))</f>
        <v>-0.184933483352583</v>
      </c>
      <c r="I1067" s="13" t="n">
        <f aca="false">ABS(D1067)</f>
        <v>2.30335842965687</v>
      </c>
      <c r="J1067" s="6" t="n">
        <f aca="false">IF(B1067&gt;$P$4,1,0)</f>
        <v>0</v>
      </c>
      <c r="K1067" s="6" t="n">
        <f aca="false">IF(F1067&gt;$P$6,1,0)</f>
        <v>1</v>
      </c>
      <c r="L1067" s="6" t="n">
        <f aca="false">IF(G1067&gt;$P$9,1,0)</f>
        <v>0</v>
      </c>
      <c r="M1067" s="6" t="n">
        <f aca="false">IF(ABS(H1067)&gt;$P$8,1,0)</f>
        <v>1</v>
      </c>
    </row>
    <row r="1068" customFormat="false" ht="15" hidden="false" customHeight="false" outlineLevel="0" collapsed="false">
      <c r="A1068" s="0" t="n">
        <f aca="false">ROW()-1</f>
        <v>1067</v>
      </c>
      <c r="B1068" s="22" t="n">
        <f aca="false">SUMPRODUCT(MMULT('Analysis Data'!N1068:U1068,'Final Model'!$B$59:$I$66),'Analysis Data'!N1068:U1068)</f>
        <v>0.0134704395933812</v>
      </c>
      <c r="C1068" s="15" t="n">
        <f aca="false">'Residual Diagnostics'!F1068</f>
        <v>-1.7829084436575</v>
      </c>
      <c r="D1068" s="13" t="n">
        <f aca="false">C1068/('Final Model'!$B$21*SQRT(1-B1068))</f>
        <v>-0.036609533851305</v>
      </c>
      <c r="E1068" s="13" t="n">
        <f aca="false">D1068*SQRT(('Final Model'!$B$24-1)/('Final Model'!$B$24-D1068^2))</f>
        <v>-0.0365962656620447</v>
      </c>
      <c r="F1068" s="23" t="n">
        <f aca="false">D1068^2/($P$3+1)*B1068/(1-B1068)</f>
        <v>2.28754726834535E-006</v>
      </c>
      <c r="G1068" s="13" t="n">
        <f aca="false">($P$2-1)*(B1068-1/$P$2)</f>
        <v>17.6572803375545</v>
      </c>
      <c r="H1068" s="13" t="n">
        <f aca="false">E1068*SQRT(B1068/(1-B1068))</f>
        <v>-0.00427634371192088</v>
      </c>
      <c r="I1068" s="13" t="n">
        <f aca="false">ABS(D1068)</f>
        <v>0.036609533851305</v>
      </c>
      <c r="J1068" s="6" t="n">
        <f aca="false">IF(B1068&gt;$P$4,1,0)</f>
        <v>1</v>
      </c>
      <c r="K1068" s="6" t="n">
        <f aca="false">IF(F1068&gt;$P$6,1,0)</f>
        <v>0</v>
      </c>
      <c r="L1068" s="6" t="n">
        <f aca="false">IF(G1068&gt;$P$9,1,0)</f>
        <v>1</v>
      </c>
      <c r="M1068" s="6" t="n">
        <f aca="false">IF(ABS(H1068)&gt;$P$8,1,0)</f>
        <v>0</v>
      </c>
    </row>
    <row r="1069" customFormat="false" ht="15" hidden="false" customHeight="false" outlineLevel="0" collapsed="false">
      <c r="A1069" s="0" t="n">
        <f aca="false">ROW()-1</f>
        <v>1068</v>
      </c>
      <c r="B1069" s="22" t="n">
        <f aca="false">SUMPRODUCT(MMULT('Analysis Data'!N1069:U1069,'Final Model'!$B$59:$I$66),'Analysis Data'!N1069:U1069)</f>
        <v>0.00212009313223574</v>
      </c>
      <c r="C1069" s="15" t="n">
        <f aca="false">'Residual Diagnostics'!F1069</f>
        <v>19.5348156793671</v>
      </c>
      <c r="D1069" s="13" t="n">
        <f aca="false">C1069/('Final Model'!$B$21*SQRT(1-B1069))</f>
        <v>0.398832359376695</v>
      </c>
      <c r="E1069" s="13" t="n">
        <f aca="false">D1069*SQRT(('Final Model'!$B$24-1)/('Final Model'!$B$24-D1069^2))</f>
        <v>0.398710631833775</v>
      </c>
      <c r="F1069" s="23" t="n">
        <f aca="false">D1069^2/($P$3+1)*B1069/(1-B1069)</f>
        <v>4.22442349833383E-005</v>
      </c>
      <c r="G1069" s="13" t="n">
        <f aca="false">($P$2-1)*(B1069-1/$P$2)</f>
        <v>1.937050488868</v>
      </c>
      <c r="H1069" s="13" t="n">
        <f aca="false">E1069*SQRT(B1069/(1-B1069))</f>
        <v>0.0183779111348074</v>
      </c>
      <c r="I1069" s="13" t="n">
        <f aca="false">ABS(D1069)</f>
        <v>0.398832359376695</v>
      </c>
      <c r="J1069" s="6" t="n">
        <f aca="false">IF(B1069&gt;$P$4,1,0)</f>
        <v>0</v>
      </c>
      <c r="K1069" s="6" t="n">
        <f aca="false">IF(F1069&gt;$P$6,1,0)</f>
        <v>0</v>
      </c>
      <c r="L1069" s="6" t="n">
        <f aca="false">IF(G1069&gt;$P$9,1,0)</f>
        <v>0</v>
      </c>
      <c r="M1069" s="6" t="n">
        <f aca="false">IF(ABS(H1069)&gt;$P$8,1,0)</f>
        <v>0</v>
      </c>
    </row>
    <row r="1070" customFormat="false" ht="15" hidden="false" customHeight="false" outlineLevel="0" collapsed="false">
      <c r="A1070" s="0" t="n">
        <f aca="false">ROW()-1</f>
        <v>1069</v>
      </c>
      <c r="B1070" s="22" t="n">
        <f aca="false">SUMPRODUCT(MMULT('Analysis Data'!N1070:U1070,'Final Model'!$B$59:$I$66),'Analysis Data'!N1070:U1070)</f>
        <v>0.00753329599490184</v>
      </c>
      <c r="C1070" s="15" t="n">
        <f aca="false">'Residual Diagnostics'!F1070</f>
        <v>-30.3587774076119</v>
      </c>
      <c r="D1070" s="13" t="n">
        <f aca="false">C1070/('Final Model'!$B$21*SQRT(1-B1070))</f>
        <v>-0.62150770041214</v>
      </c>
      <c r="E1070" s="13" t="n">
        <f aca="false">D1070*SQRT(('Final Model'!$B$24-1)/('Final Model'!$B$24-D1070^2))</f>
        <v>-0.621369243864755</v>
      </c>
      <c r="F1070" s="23" t="n">
        <f aca="false">D1070^2/($P$3+1)*B1070/(1-B1070)</f>
        <v>0.000366498437101101</v>
      </c>
      <c r="G1070" s="13" t="n">
        <f aca="false">($P$2-1)*(B1070-1/$P$2)</f>
        <v>9.43433645366056</v>
      </c>
      <c r="H1070" s="13" t="n">
        <f aca="false">E1070*SQRT(B1070/(1-B1070))</f>
        <v>-0.054135767231029</v>
      </c>
      <c r="I1070" s="13" t="n">
        <f aca="false">ABS(D1070)</f>
        <v>0.62150770041214</v>
      </c>
      <c r="J1070" s="6" t="n">
        <f aca="false">IF(B1070&gt;$P$4,1,0)</f>
        <v>0</v>
      </c>
      <c r="K1070" s="6" t="n">
        <f aca="false">IF(F1070&gt;$P$6,1,0)</f>
        <v>0</v>
      </c>
      <c r="L1070" s="6" t="n">
        <f aca="false">IF(G1070&gt;$P$9,1,0)</f>
        <v>0</v>
      </c>
      <c r="M1070" s="6" t="n">
        <f aca="false">IF(ABS(H1070)&gt;$P$8,1,0)</f>
        <v>0</v>
      </c>
    </row>
    <row r="1071" customFormat="false" ht="15" hidden="false" customHeight="false" outlineLevel="0" collapsed="false">
      <c r="A1071" s="0" t="n">
        <f aca="false">ROW()-1</f>
        <v>1070</v>
      </c>
      <c r="B1071" s="22" t="n">
        <f aca="false">SUMPRODUCT(MMULT('Analysis Data'!N1071:U1071,'Final Model'!$B$59:$I$66),'Analysis Data'!N1071:U1071)</f>
        <v>0.00193259768431491</v>
      </c>
      <c r="C1071" s="15" t="n">
        <f aca="false">'Residual Diagnostics'!F1071</f>
        <v>18.6671312817738</v>
      </c>
      <c r="D1071" s="13" t="n">
        <f aca="false">C1071/('Final Model'!$B$21*SQRT(1-B1071))</f>
        <v>0.381081490233019</v>
      </c>
      <c r="E1071" s="13" t="n">
        <f aca="false">D1071*SQRT(('Final Model'!$B$24-1)/('Final Model'!$B$24-D1071^2))</f>
        <v>0.380963266529485</v>
      </c>
      <c r="F1071" s="23" t="n">
        <f aca="false">D1071^2/($P$3+1)*B1071/(1-B1071)</f>
        <v>3.51501599949727E-005</v>
      </c>
      <c r="G1071" s="13" t="n">
        <f aca="false">($P$2-1)*(B1071-1/$P$2)</f>
        <v>1.67736929349765</v>
      </c>
      <c r="H1071" s="13" t="n">
        <f aca="false">E1071*SQRT(B1071/(1-B1071))</f>
        <v>0.0167638549178728</v>
      </c>
      <c r="I1071" s="13" t="n">
        <f aca="false">ABS(D1071)</f>
        <v>0.381081490233019</v>
      </c>
      <c r="J1071" s="6" t="n">
        <f aca="false">IF(B1071&gt;$P$4,1,0)</f>
        <v>0</v>
      </c>
      <c r="K1071" s="6" t="n">
        <f aca="false">IF(F1071&gt;$P$6,1,0)</f>
        <v>0</v>
      </c>
      <c r="L1071" s="6" t="n">
        <f aca="false">IF(G1071&gt;$P$9,1,0)</f>
        <v>0</v>
      </c>
      <c r="M1071" s="6" t="n">
        <f aca="false">IF(ABS(H1071)&gt;$P$8,1,0)</f>
        <v>0</v>
      </c>
    </row>
    <row r="1072" customFormat="false" ht="15" hidden="false" customHeight="false" outlineLevel="0" collapsed="false">
      <c r="A1072" s="0" t="n">
        <f aca="false">ROW()-1</f>
        <v>1071</v>
      </c>
      <c r="B1072" s="22" t="n">
        <f aca="false">SUMPRODUCT(MMULT('Analysis Data'!N1072:U1072,'Final Model'!$B$59:$I$66),'Analysis Data'!N1072:U1072)</f>
        <v>0.00211794931463389</v>
      </c>
      <c r="C1072" s="15" t="n">
        <f aca="false">'Residual Diagnostics'!F1072</f>
        <v>79.355930718501</v>
      </c>
      <c r="D1072" s="13" t="n">
        <f aca="false">C1072/('Final Model'!$B$21*SQRT(1-B1072))</f>
        <v>1.62016778662481</v>
      </c>
      <c r="E1072" s="13" t="n">
        <f aca="false">D1072*SQRT(('Final Model'!$B$24-1)/('Final Model'!$B$24-D1072^2))</f>
        <v>1.62112458172449</v>
      </c>
      <c r="F1072" s="23" t="n">
        <f aca="false">D1072^2/($P$3+1)*B1072/(1-B1072)</f>
        <v>0.000696412168037445</v>
      </c>
      <c r="G1072" s="13" t="n">
        <f aca="false">($P$2-1)*(B1072-1/$P$2)</f>
        <v>1.93408130148944</v>
      </c>
      <c r="H1072" s="13" t="n">
        <f aca="false">E1072*SQRT(B1072/(1-B1072))</f>
        <v>0.0746852032271312</v>
      </c>
      <c r="I1072" s="13" t="n">
        <f aca="false">ABS(D1072)</f>
        <v>1.62016778662481</v>
      </c>
      <c r="J1072" s="6" t="n">
        <f aca="false">IF(B1072&gt;$P$4,1,0)</f>
        <v>0</v>
      </c>
      <c r="K1072" s="6" t="n">
        <f aca="false">IF(F1072&gt;$P$6,1,0)</f>
        <v>0</v>
      </c>
      <c r="L1072" s="6" t="n">
        <f aca="false">IF(G1072&gt;$P$9,1,0)</f>
        <v>0</v>
      </c>
      <c r="M1072" s="6" t="n">
        <f aca="false">IF(ABS(H1072)&gt;$P$8,1,0)</f>
        <v>0</v>
      </c>
    </row>
    <row r="1073" customFormat="false" ht="15" hidden="false" customHeight="false" outlineLevel="0" collapsed="false">
      <c r="A1073" s="0" t="n">
        <f aca="false">ROW()-1</f>
        <v>1072</v>
      </c>
      <c r="B1073" s="22" t="n">
        <f aca="false">SUMPRODUCT(MMULT('Analysis Data'!N1073:U1073,'Final Model'!$B$59:$I$66),'Analysis Data'!N1073:U1073)</f>
        <v>0.00217844329202865</v>
      </c>
      <c r="C1073" s="15" t="n">
        <f aca="false">'Residual Diagnostics'!F1073</f>
        <v>44.554499394709</v>
      </c>
      <c r="D1073" s="13" t="n">
        <f aca="false">C1073/('Final Model'!$B$21*SQRT(1-B1073))</f>
        <v>0.909673066027287</v>
      </c>
      <c r="E1073" s="13" t="n">
        <f aca="false">D1073*SQRT(('Final Model'!$B$24-1)/('Final Model'!$B$24-D1073^2))</f>
        <v>0.909616094627297</v>
      </c>
      <c r="F1073" s="23" t="n">
        <f aca="false">D1073^2/($P$3+1)*B1073/(1-B1073)</f>
        <v>0.000225826062523019</v>
      </c>
      <c r="G1073" s="13" t="n">
        <f aca="false">($P$2-1)*(B1073-1/$P$2)</f>
        <v>2.01786546018119</v>
      </c>
      <c r="H1073" s="13" t="n">
        <f aca="false">E1073*SQRT(B1073/(1-B1073))</f>
        <v>0.042501555467373</v>
      </c>
      <c r="I1073" s="13" t="n">
        <f aca="false">ABS(D1073)</f>
        <v>0.909673066027287</v>
      </c>
      <c r="J1073" s="6" t="n">
        <f aca="false">IF(B1073&gt;$P$4,1,0)</f>
        <v>0</v>
      </c>
      <c r="K1073" s="6" t="n">
        <f aca="false">IF(F1073&gt;$P$6,1,0)</f>
        <v>0</v>
      </c>
      <c r="L1073" s="6" t="n">
        <f aca="false">IF(G1073&gt;$P$9,1,0)</f>
        <v>0</v>
      </c>
      <c r="M1073" s="6" t="n">
        <f aca="false">IF(ABS(H1073)&gt;$P$8,1,0)</f>
        <v>0</v>
      </c>
    </row>
    <row r="1074" customFormat="false" ht="15" hidden="false" customHeight="false" outlineLevel="0" collapsed="false">
      <c r="A1074" s="0" t="n">
        <f aca="false">ROW()-1</f>
        <v>1073</v>
      </c>
      <c r="B1074" s="22" t="n">
        <f aca="false">SUMPRODUCT(MMULT('Analysis Data'!N1074:U1074,'Final Model'!$B$59:$I$66),'Analysis Data'!N1074:U1074)</f>
        <v>0.0169490626447286</v>
      </c>
      <c r="C1074" s="15" t="n">
        <f aca="false">'Residual Diagnostics'!F1074</f>
        <v>-71.3676647911694</v>
      </c>
      <c r="D1074" s="13" t="n">
        <f aca="false">C1074/('Final Model'!$B$21*SQRT(1-B1074))</f>
        <v>-1.46802578744497</v>
      </c>
      <c r="E1074" s="13" t="n">
        <f aca="false">D1074*SQRT(('Final Model'!$B$24-1)/('Final Model'!$B$24-D1074^2))</f>
        <v>-1.46864190354996</v>
      </c>
      <c r="F1074" s="23" t="n">
        <f aca="false">D1074^2/($P$3+1)*B1074/(1-B1074)</f>
        <v>0.00464458639000202</v>
      </c>
      <c r="G1074" s="13" t="n">
        <f aca="false">($P$2-1)*(B1074-1/$P$2)</f>
        <v>22.4751732636707</v>
      </c>
      <c r="H1074" s="13" t="n">
        <f aca="false">E1074*SQRT(B1074/(1-B1074))</f>
        <v>-0.19284160927176</v>
      </c>
      <c r="I1074" s="13" t="n">
        <f aca="false">ABS(D1074)</f>
        <v>1.46802578744497</v>
      </c>
      <c r="J1074" s="6" t="n">
        <f aca="false">IF(B1074&gt;$P$4,1,0)</f>
        <v>1</v>
      </c>
      <c r="K1074" s="6" t="n">
        <f aca="false">IF(F1074&gt;$P$6,1,0)</f>
        <v>1</v>
      </c>
      <c r="L1074" s="6" t="n">
        <f aca="false">IF(G1074&gt;$P$9,1,0)</f>
        <v>1</v>
      </c>
      <c r="M1074" s="6" t="n">
        <f aca="false">IF(ABS(H1074)&gt;$P$8,1,0)</f>
        <v>1</v>
      </c>
    </row>
    <row r="1075" customFormat="false" ht="15" hidden="false" customHeight="false" outlineLevel="0" collapsed="false">
      <c r="A1075" s="0" t="n">
        <f aca="false">ROW()-1</f>
        <v>1074</v>
      </c>
      <c r="B1075" s="22" t="n">
        <f aca="false">SUMPRODUCT(MMULT('Analysis Data'!N1075:U1075,'Final Model'!$B$59:$I$66),'Analysis Data'!N1075:U1075)</f>
        <v>0.00942221422724362</v>
      </c>
      <c r="C1075" s="15" t="n">
        <f aca="false">'Residual Diagnostics'!F1075</f>
        <v>-4.17738766318939</v>
      </c>
      <c r="D1075" s="13" t="n">
        <f aca="false">C1075/('Final Model'!$B$21*SQRT(1-B1075))</f>
        <v>-0.0856013662605899</v>
      </c>
      <c r="E1075" s="13" t="n">
        <f aca="false">D1075*SQRT(('Final Model'!$B$24-1)/('Final Model'!$B$24-D1075^2))</f>
        <v>-0.0855705281346882</v>
      </c>
      <c r="F1075" s="23" t="n">
        <f aca="false">D1075^2/($P$3+1)*B1075/(1-B1075)</f>
        <v>8.71235966286311E-006</v>
      </c>
      <c r="G1075" s="13" t="n">
        <f aca="false">($P$2-1)*(B1075-1/$P$2)</f>
        <v>12.0504882054539</v>
      </c>
      <c r="H1075" s="13" t="n">
        <f aca="false">E1075*SQRT(B1075/(1-B1075))</f>
        <v>-0.0083455777467405</v>
      </c>
      <c r="I1075" s="13" t="n">
        <f aca="false">ABS(D1075)</f>
        <v>0.0856013662605899</v>
      </c>
      <c r="J1075" s="6" t="n">
        <f aca="false">IF(B1075&gt;$P$4,1,0)</f>
        <v>0</v>
      </c>
      <c r="K1075" s="6" t="n">
        <f aca="false">IF(F1075&gt;$P$6,1,0)</f>
        <v>0</v>
      </c>
      <c r="L1075" s="6" t="n">
        <f aca="false">IF(G1075&gt;$P$9,1,0)</f>
        <v>1</v>
      </c>
      <c r="M1075" s="6" t="n">
        <f aca="false">IF(ABS(H1075)&gt;$P$8,1,0)</f>
        <v>0</v>
      </c>
    </row>
    <row r="1076" customFormat="false" ht="15" hidden="false" customHeight="false" outlineLevel="0" collapsed="false">
      <c r="A1076" s="0" t="n">
        <f aca="false">ROW()-1</f>
        <v>1075</v>
      </c>
      <c r="B1076" s="22" t="n">
        <f aca="false">SUMPRODUCT(MMULT('Analysis Data'!N1076:U1076,'Final Model'!$B$59:$I$66),'Analysis Data'!N1076:U1076)</f>
        <v>0.00936969236897761</v>
      </c>
      <c r="C1076" s="15" t="n">
        <f aca="false">'Residual Diagnostics'!F1076</f>
        <v>-9.0020460140862</v>
      </c>
      <c r="D1076" s="13" t="n">
        <f aca="false">C1076/('Final Model'!$B$21*SQRT(1-B1076))</f>
        <v>-0.184461455833288</v>
      </c>
      <c r="E1076" s="13" t="n">
        <f aca="false">D1076*SQRT(('Final Model'!$B$24-1)/('Final Model'!$B$24-D1076^2))</f>
        <v>-0.184396789431172</v>
      </c>
      <c r="F1076" s="23" t="n">
        <f aca="false">D1076^2/($P$3+1)*B1076/(1-B1076)</f>
        <v>4.0228607343471E-005</v>
      </c>
      <c r="G1076" s="13" t="n">
        <f aca="false">($P$2-1)*(B1076-1/$P$2)</f>
        <v>11.9777454317555</v>
      </c>
      <c r="H1076" s="13" t="n">
        <f aca="false">E1076*SQRT(B1076/(1-B1076))</f>
        <v>-0.0179333000891616</v>
      </c>
      <c r="I1076" s="13" t="n">
        <f aca="false">ABS(D1076)</f>
        <v>0.184461455833288</v>
      </c>
      <c r="J1076" s="6" t="n">
        <f aca="false">IF(B1076&gt;$P$4,1,0)</f>
        <v>0</v>
      </c>
      <c r="K1076" s="6" t="n">
        <f aca="false">IF(F1076&gt;$P$6,1,0)</f>
        <v>0</v>
      </c>
      <c r="L1076" s="6" t="n">
        <f aca="false">IF(G1076&gt;$P$9,1,0)</f>
        <v>1</v>
      </c>
      <c r="M1076" s="6" t="n">
        <f aca="false">IF(ABS(H1076)&gt;$P$8,1,0)</f>
        <v>0</v>
      </c>
    </row>
    <row r="1077" customFormat="false" ht="15" hidden="false" customHeight="false" outlineLevel="0" collapsed="false">
      <c r="A1077" s="0" t="n">
        <f aca="false">ROW()-1</f>
        <v>1076</v>
      </c>
      <c r="B1077" s="22" t="n">
        <f aca="false">SUMPRODUCT(MMULT('Analysis Data'!N1077:U1077,'Final Model'!$B$59:$I$66),'Analysis Data'!N1077:U1077)</f>
        <v>0.00263288962381184</v>
      </c>
      <c r="C1077" s="15" t="n">
        <f aca="false">'Residual Diagnostics'!F1077</f>
        <v>52.1519224099672</v>
      </c>
      <c r="D1077" s="13" t="n">
        <f aca="false">C1077/('Final Model'!$B$21*SQRT(1-B1077))</f>
        <v>1.06503286464675</v>
      </c>
      <c r="E1077" s="13" t="n">
        <f aca="false">D1077*SQRT(('Final Model'!$B$24-1)/('Final Model'!$B$24-D1077^2))</f>
        <v>1.06508480330116</v>
      </c>
      <c r="F1077" s="23" t="n">
        <f aca="false">D1077^2/($P$3+1)*B1077/(1-B1077)</f>
        <v>0.000374294669445797</v>
      </c>
      <c r="G1077" s="13" t="n">
        <f aca="false">($P$2-1)*(B1077-1/$P$2)</f>
        <v>2.6472736297009</v>
      </c>
      <c r="H1077" s="13" t="n">
        <f aca="false">E1077*SQRT(B1077/(1-B1077))</f>
        <v>0.0547233900214895</v>
      </c>
      <c r="I1077" s="13" t="n">
        <f aca="false">ABS(D1077)</f>
        <v>1.06503286464675</v>
      </c>
      <c r="J1077" s="6" t="n">
        <f aca="false">IF(B1077&gt;$P$4,1,0)</f>
        <v>0</v>
      </c>
      <c r="K1077" s="6" t="n">
        <f aca="false">IF(F1077&gt;$P$6,1,0)</f>
        <v>0</v>
      </c>
      <c r="L1077" s="6" t="n">
        <f aca="false">IF(G1077&gt;$P$9,1,0)</f>
        <v>0</v>
      </c>
      <c r="M1077" s="6" t="n">
        <f aca="false">IF(ABS(H1077)&gt;$P$8,1,0)</f>
        <v>0</v>
      </c>
    </row>
    <row r="1078" customFormat="false" ht="15" hidden="false" customHeight="false" outlineLevel="0" collapsed="false">
      <c r="A1078" s="0" t="n">
        <f aca="false">ROW()-1</f>
        <v>1077</v>
      </c>
      <c r="B1078" s="22" t="n">
        <f aca="false">SUMPRODUCT(MMULT('Analysis Data'!N1078:U1078,'Final Model'!$B$59:$I$66),'Analysis Data'!N1078:U1078)</f>
        <v>0.00200707401561638</v>
      </c>
      <c r="C1078" s="15" t="n">
        <f aca="false">'Residual Diagnostics'!F1078</f>
        <v>97.7360942747341</v>
      </c>
      <c r="D1078" s="13" t="n">
        <f aca="false">C1078/('Final Model'!$B$21*SQRT(1-B1078))</f>
        <v>1.99531495267889</v>
      </c>
      <c r="E1078" s="13" t="n">
        <f aca="false">D1078*SQRT(('Final Model'!$B$24-1)/('Final Model'!$B$24-D1078^2))</f>
        <v>1.99747845043369</v>
      </c>
      <c r="F1078" s="23" t="n">
        <f aca="false">D1078^2/($P$3+1)*B1078/(1-B1078)</f>
        <v>0.00100084967564178</v>
      </c>
      <c r="G1078" s="13" t="n">
        <f aca="false">($P$2-1)*(B1078-1/$P$2)</f>
        <v>1.78051901235018</v>
      </c>
      <c r="H1078" s="13" t="n">
        <f aca="false">E1078*SQRT(B1078/(1-B1078))</f>
        <v>0.0895777326174334</v>
      </c>
      <c r="I1078" s="13" t="n">
        <f aca="false">ABS(D1078)</f>
        <v>1.99531495267889</v>
      </c>
      <c r="J1078" s="6" t="n">
        <f aca="false">IF(B1078&gt;$P$4,1,0)</f>
        <v>0</v>
      </c>
      <c r="K1078" s="6" t="n">
        <f aca="false">IF(F1078&gt;$P$6,1,0)</f>
        <v>0</v>
      </c>
      <c r="L1078" s="6" t="n">
        <f aca="false">IF(G1078&gt;$P$9,1,0)</f>
        <v>0</v>
      </c>
      <c r="M1078" s="6" t="n">
        <f aca="false">IF(ABS(H1078)&gt;$P$8,1,0)</f>
        <v>0</v>
      </c>
    </row>
    <row r="1079" customFormat="false" ht="15" hidden="false" customHeight="false" outlineLevel="0" collapsed="false">
      <c r="A1079" s="0" t="n">
        <f aca="false">ROW()-1</f>
        <v>1078</v>
      </c>
      <c r="B1079" s="22" t="n">
        <f aca="false">SUMPRODUCT(MMULT('Analysis Data'!N1079:U1079,'Final Model'!$B$59:$I$66),'Analysis Data'!N1079:U1079)</f>
        <v>0.00200707401561638</v>
      </c>
      <c r="C1079" s="15" t="n">
        <f aca="false">'Residual Diagnostics'!F1079</f>
        <v>-54.7976473648173</v>
      </c>
      <c r="D1079" s="13" t="n">
        <f aca="false">C1079/('Final Model'!$B$21*SQRT(1-B1079))</f>
        <v>-1.11871224208425</v>
      </c>
      <c r="E1079" s="13" t="n">
        <f aca="false">D1079*SQRT(('Final Model'!$B$24-1)/('Final Model'!$B$24-D1079^2))</f>
        <v>-1.11881442574043</v>
      </c>
      <c r="F1079" s="23" t="n">
        <f aca="false">D1079^2/($P$3+1)*B1079/(1-B1079)</f>
        <v>0.000314617386951032</v>
      </c>
      <c r="G1079" s="13" t="n">
        <f aca="false">($P$2-1)*(B1079-1/$P$2)</f>
        <v>1.78051901235018</v>
      </c>
      <c r="H1079" s="13" t="n">
        <f aca="false">E1079*SQRT(B1079/(1-B1079))</f>
        <v>-0.0501736874586778</v>
      </c>
      <c r="I1079" s="13" t="n">
        <f aca="false">ABS(D1079)</f>
        <v>1.11871224208425</v>
      </c>
      <c r="J1079" s="6" t="n">
        <f aca="false">IF(B1079&gt;$P$4,1,0)</f>
        <v>0</v>
      </c>
      <c r="K1079" s="6" t="n">
        <f aca="false">IF(F1079&gt;$P$6,1,0)</f>
        <v>0</v>
      </c>
      <c r="L1079" s="6" t="n">
        <f aca="false">IF(G1079&gt;$P$9,1,0)</f>
        <v>0</v>
      </c>
      <c r="M1079" s="6" t="n">
        <f aca="false">IF(ABS(H1079)&gt;$P$8,1,0)</f>
        <v>0</v>
      </c>
    </row>
    <row r="1080" customFormat="false" ht="15" hidden="false" customHeight="false" outlineLevel="0" collapsed="false">
      <c r="A1080" s="0" t="n">
        <f aca="false">ROW()-1</f>
        <v>1079</v>
      </c>
      <c r="B1080" s="22" t="n">
        <f aca="false">SUMPRODUCT(MMULT('Analysis Data'!N1080:U1080,'Final Model'!$B$59:$I$66),'Analysis Data'!N1080:U1080)</f>
        <v>0.00210491278402361</v>
      </c>
      <c r="C1080" s="15" t="n">
        <f aca="false">'Residual Diagnostics'!F1080</f>
        <v>-44.8104003753867</v>
      </c>
      <c r="D1080" s="13" t="n">
        <f aca="false">C1080/('Final Model'!$B$21*SQRT(1-B1080))</f>
        <v>-0.914864110450495</v>
      </c>
      <c r="E1080" s="13" t="n">
        <f aca="false">D1080*SQRT(('Final Model'!$B$24-1)/('Final Model'!$B$24-D1080^2))</f>
        <v>-0.914809959668545</v>
      </c>
      <c r="F1080" s="23" t="n">
        <f aca="false">D1080^2/($P$3+1)*B1080/(1-B1080)</f>
        <v>0.000220684797155019</v>
      </c>
      <c r="G1080" s="13" t="n">
        <f aca="false">($P$2-1)*(B1080-1/$P$2)</f>
        <v>1.9160257065942</v>
      </c>
      <c r="H1080" s="13" t="n">
        <f aca="false">E1080*SQRT(B1080/(1-B1080))</f>
        <v>-0.0420151090227151</v>
      </c>
      <c r="I1080" s="13" t="n">
        <f aca="false">ABS(D1080)</f>
        <v>0.914864110450495</v>
      </c>
      <c r="J1080" s="6" t="n">
        <f aca="false">IF(B1080&gt;$P$4,1,0)</f>
        <v>0</v>
      </c>
      <c r="K1080" s="6" t="n">
        <f aca="false">IF(F1080&gt;$P$6,1,0)</f>
        <v>0</v>
      </c>
      <c r="L1080" s="6" t="n">
        <f aca="false">IF(G1080&gt;$P$9,1,0)</f>
        <v>0</v>
      </c>
      <c r="M1080" s="6" t="n">
        <f aca="false">IF(ABS(H1080)&gt;$P$8,1,0)</f>
        <v>0</v>
      </c>
    </row>
    <row r="1081" customFormat="false" ht="15" hidden="false" customHeight="false" outlineLevel="0" collapsed="false">
      <c r="A1081" s="0" t="n">
        <f aca="false">ROW()-1</f>
        <v>1080</v>
      </c>
      <c r="B1081" s="22" t="n">
        <f aca="false">SUMPRODUCT(MMULT('Analysis Data'!N1081:U1081,'Final Model'!$B$59:$I$66),'Analysis Data'!N1081:U1081)</f>
        <v>0.00210491278402361</v>
      </c>
      <c r="C1081" s="15" t="n">
        <f aca="false">'Residual Diagnostics'!F1081</f>
        <v>-70.5142123336958</v>
      </c>
      <c r="D1081" s="13" t="n">
        <f aca="false">C1081/('Final Model'!$B$21*SQRT(1-B1081))</f>
        <v>-1.43964172603596</v>
      </c>
      <c r="E1081" s="13" t="n">
        <f aca="false">D1081*SQRT(('Final Model'!$B$24-1)/('Final Model'!$B$24-D1081^2))</f>
        <v>-1.44020273428427</v>
      </c>
      <c r="F1081" s="23" t="n">
        <f aca="false">D1081^2/($P$3+1)*B1081/(1-B1081)</f>
        <v>0.000546472214982783</v>
      </c>
      <c r="G1081" s="13" t="n">
        <f aca="false">($P$2-1)*(B1081-1/$P$2)</f>
        <v>1.9160257065942</v>
      </c>
      <c r="H1081" s="13" t="n">
        <f aca="false">E1081*SQRT(B1081/(1-B1081))</f>
        <v>-0.0661451859550046</v>
      </c>
      <c r="I1081" s="13" t="n">
        <f aca="false">ABS(D1081)</f>
        <v>1.43964172603596</v>
      </c>
      <c r="J1081" s="6" t="n">
        <f aca="false">IF(B1081&gt;$P$4,1,0)</f>
        <v>0</v>
      </c>
      <c r="K1081" s="6" t="n">
        <f aca="false">IF(F1081&gt;$P$6,1,0)</f>
        <v>0</v>
      </c>
      <c r="L1081" s="6" t="n">
        <f aca="false">IF(G1081&gt;$P$9,1,0)</f>
        <v>0</v>
      </c>
      <c r="M1081" s="6" t="n">
        <f aca="false">IF(ABS(H1081)&gt;$P$8,1,0)</f>
        <v>0</v>
      </c>
    </row>
    <row r="1082" customFormat="false" ht="15" hidden="false" customHeight="false" outlineLevel="0" collapsed="false">
      <c r="A1082" s="0" t="n">
        <f aca="false">ROW()-1</f>
        <v>1081</v>
      </c>
      <c r="B1082" s="22" t="n">
        <f aca="false">SUMPRODUCT(MMULT('Analysis Data'!N1082:U1082,'Final Model'!$B$59:$I$66),'Analysis Data'!N1082:U1082)</f>
        <v>0.00198255928416941</v>
      </c>
      <c r="C1082" s="15" t="n">
        <f aca="false">'Residual Diagnostics'!F1082</f>
        <v>-8.38942493374321</v>
      </c>
      <c r="D1082" s="13" t="n">
        <f aca="false">C1082/('Final Model'!$B$21*SQRT(1-B1082))</f>
        <v>-0.171270803763021</v>
      </c>
      <c r="E1082" s="13" t="n">
        <f aca="false">D1082*SQRT(('Final Model'!$B$24-1)/('Final Model'!$B$24-D1082^2))</f>
        <v>-0.171210470081557</v>
      </c>
      <c r="F1082" s="23" t="n">
        <f aca="false">D1082^2/($P$3+1)*B1082/(1-B1082)</f>
        <v>7.28391277924636E-006</v>
      </c>
      <c r="G1082" s="13" t="n">
        <f aca="false">($P$2-1)*(B1082-1/$P$2)</f>
        <v>1.74656610929614</v>
      </c>
      <c r="H1082" s="13" t="n">
        <f aca="false">E1082*SQRT(B1082/(1-B1082))</f>
        <v>-0.00763087510861695</v>
      </c>
      <c r="I1082" s="13" t="n">
        <f aca="false">ABS(D1082)</f>
        <v>0.171270803763021</v>
      </c>
      <c r="J1082" s="6" t="n">
        <f aca="false">IF(B1082&gt;$P$4,1,0)</f>
        <v>0</v>
      </c>
      <c r="K1082" s="6" t="n">
        <f aca="false">IF(F1082&gt;$P$6,1,0)</f>
        <v>0</v>
      </c>
      <c r="L1082" s="6" t="n">
        <f aca="false">IF(G1082&gt;$P$9,1,0)</f>
        <v>0</v>
      </c>
      <c r="M1082" s="6" t="n">
        <f aca="false">IF(ABS(H1082)&gt;$P$8,1,0)</f>
        <v>0</v>
      </c>
    </row>
    <row r="1083" customFormat="false" ht="15" hidden="false" customHeight="false" outlineLevel="0" collapsed="false">
      <c r="A1083" s="0" t="n">
        <f aca="false">ROW()-1</f>
        <v>1082</v>
      </c>
      <c r="B1083" s="22" t="n">
        <f aca="false">SUMPRODUCT(MMULT('Analysis Data'!N1083:U1083,'Final Model'!$B$59:$I$66),'Analysis Data'!N1083:U1083)</f>
        <v>0.00211850009907469</v>
      </c>
      <c r="C1083" s="15" t="n">
        <f aca="false">'Residual Diagnostics'!F1083</f>
        <v>38.1818618371021</v>
      </c>
      <c r="D1083" s="13" t="n">
        <f aca="false">C1083/('Final Model'!$B$21*SQRT(1-B1083))</f>
        <v>0.779538959393987</v>
      </c>
      <c r="E1083" s="13" t="n">
        <f aca="false">D1083*SQRT(('Final Model'!$B$24-1)/('Final Model'!$B$24-D1083^2))</f>
        <v>0.779427934477795</v>
      </c>
      <c r="F1083" s="23" t="n">
        <f aca="false">D1083^2/($P$3+1)*B1083/(1-B1083)</f>
        <v>0.000161263165513827</v>
      </c>
      <c r="G1083" s="13" t="n">
        <f aca="false">($P$2-1)*(B1083-1/$P$2)</f>
        <v>1.93484413793994</v>
      </c>
      <c r="H1083" s="13" t="n">
        <f aca="false">E1083*SQRT(B1083/(1-B1083))</f>
        <v>0.035912920611163</v>
      </c>
      <c r="I1083" s="13" t="n">
        <f aca="false">ABS(D1083)</f>
        <v>0.779538959393987</v>
      </c>
      <c r="J1083" s="6" t="n">
        <f aca="false">IF(B1083&gt;$P$4,1,0)</f>
        <v>0</v>
      </c>
      <c r="K1083" s="6" t="n">
        <f aca="false">IF(F1083&gt;$P$6,1,0)</f>
        <v>0</v>
      </c>
      <c r="L1083" s="6" t="n">
        <f aca="false">IF(G1083&gt;$P$9,1,0)</f>
        <v>0</v>
      </c>
      <c r="M1083" s="6" t="n">
        <f aca="false">IF(ABS(H1083)&gt;$P$8,1,0)</f>
        <v>0</v>
      </c>
    </row>
    <row r="1084" customFormat="false" ht="15" hidden="false" customHeight="false" outlineLevel="0" collapsed="false">
      <c r="A1084" s="0" t="n">
        <f aca="false">ROW()-1</f>
        <v>1083</v>
      </c>
      <c r="B1084" s="22" t="n">
        <f aca="false">SUMPRODUCT(MMULT('Analysis Data'!N1084:U1084,'Final Model'!$B$59:$I$66),'Analysis Data'!N1084:U1084)</f>
        <v>0.00230537453973294</v>
      </c>
      <c r="C1084" s="15" t="n">
        <f aca="false">'Residual Diagnostics'!F1084</f>
        <v>-34.4303451680499</v>
      </c>
      <c r="D1084" s="13" t="n">
        <f aca="false">C1084/('Final Model'!$B$21*SQRT(1-B1084))</f>
        <v>-0.703012049843031</v>
      </c>
      <c r="E1084" s="13" t="n">
        <f aca="false">D1084*SQRT(('Final Model'!$B$24-1)/('Final Model'!$B$24-D1084^2))</f>
        <v>-0.70288297673578</v>
      </c>
      <c r="F1084" s="23" t="n">
        <f aca="false">D1084^2/($P$3+1)*B1084/(1-B1084)</f>
        <v>0.000142751082721611</v>
      </c>
      <c r="G1084" s="13" t="n">
        <f aca="false">($P$2-1)*(B1084-1/$P$2)</f>
        <v>2.19366523825162</v>
      </c>
      <c r="H1084" s="13" t="n">
        <f aca="false">E1084*SQRT(B1084/(1-B1084))</f>
        <v>-0.0337874141416586</v>
      </c>
      <c r="I1084" s="13" t="n">
        <f aca="false">ABS(D1084)</f>
        <v>0.703012049843031</v>
      </c>
      <c r="J1084" s="6" t="n">
        <f aca="false">IF(B1084&gt;$P$4,1,0)</f>
        <v>0</v>
      </c>
      <c r="K1084" s="6" t="n">
        <f aca="false">IF(F1084&gt;$P$6,1,0)</f>
        <v>0</v>
      </c>
      <c r="L1084" s="6" t="n">
        <f aca="false">IF(G1084&gt;$P$9,1,0)</f>
        <v>0</v>
      </c>
      <c r="M1084" s="6" t="n">
        <f aca="false">IF(ABS(H1084)&gt;$P$8,1,0)</f>
        <v>0</v>
      </c>
    </row>
    <row r="1085" customFormat="false" ht="15" hidden="false" customHeight="false" outlineLevel="0" collapsed="false">
      <c r="A1085" s="0" t="n">
        <f aca="false">ROW()-1</f>
        <v>1084</v>
      </c>
      <c r="B1085" s="22" t="n">
        <f aca="false">SUMPRODUCT(MMULT('Analysis Data'!N1085:U1085,'Final Model'!$B$59:$I$66),'Analysis Data'!N1085:U1085)</f>
        <v>0.00717228081317352</v>
      </c>
      <c r="C1085" s="15" t="n">
        <f aca="false">'Residual Diagnostics'!F1085</f>
        <v>-32.1368009244108</v>
      </c>
      <c r="D1085" s="13" t="n">
        <f aca="false">C1085/('Final Model'!$B$21*SQRT(1-B1085))</f>
        <v>-0.657787936283028</v>
      </c>
      <c r="E1085" s="13" t="n">
        <f aca="false">D1085*SQRT(('Final Model'!$B$24-1)/('Final Model'!$B$24-D1085^2))</f>
        <v>-0.657652475965551</v>
      </c>
      <c r="F1085" s="23" t="n">
        <f aca="false">D1085^2/($P$3+1)*B1085/(1-B1085)</f>
        <v>0.000390719613558186</v>
      </c>
      <c r="G1085" s="13" t="n">
        <f aca="false">($P$2-1)*(B1085-1/$P$2)</f>
        <v>8.93433042696682</v>
      </c>
      <c r="H1085" s="13" t="n">
        <f aca="false">E1085*SQRT(B1085/(1-B1085))</f>
        <v>-0.055896955617655</v>
      </c>
      <c r="I1085" s="13" t="n">
        <f aca="false">ABS(D1085)</f>
        <v>0.657787936283028</v>
      </c>
      <c r="J1085" s="6" t="n">
        <f aca="false">IF(B1085&gt;$P$4,1,0)</f>
        <v>0</v>
      </c>
      <c r="K1085" s="6" t="n">
        <f aca="false">IF(F1085&gt;$P$6,1,0)</f>
        <v>0</v>
      </c>
      <c r="L1085" s="6" t="n">
        <f aca="false">IF(G1085&gt;$P$9,1,0)</f>
        <v>0</v>
      </c>
      <c r="M1085" s="6" t="n">
        <f aca="false">IF(ABS(H1085)&gt;$P$8,1,0)</f>
        <v>0</v>
      </c>
    </row>
    <row r="1086" customFormat="false" ht="15" hidden="false" customHeight="false" outlineLevel="0" collapsed="false">
      <c r="A1086" s="0" t="n">
        <f aca="false">ROW()-1</f>
        <v>1085</v>
      </c>
      <c r="B1086" s="22" t="n">
        <f aca="false">SUMPRODUCT(MMULT('Analysis Data'!N1086:U1086,'Final Model'!$B$59:$I$66),'Analysis Data'!N1086:U1086)</f>
        <v>0.00193218490609401</v>
      </c>
      <c r="C1086" s="15" t="n">
        <f aca="false">'Residual Diagnostics'!F1086</f>
        <v>47.9158143763634</v>
      </c>
      <c r="D1086" s="13" t="n">
        <f aca="false">C1086/('Final Model'!$B$21*SQRT(1-B1086))</f>
        <v>0.978180626509847</v>
      </c>
      <c r="E1086" s="13" t="n">
        <f aca="false">D1086*SQRT(('Final Model'!$B$24-1)/('Final Model'!$B$24-D1086^2))</f>
        <v>0.978165296122362</v>
      </c>
      <c r="F1086" s="23" t="n">
        <f aca="false">D1086^2/($P$3+1)*B1086/(1-B1086)</f>
        <v>0.000231545721926952</v>
      </c>
      <c r="G1086" s="13" t="n">
        <f aca="false">($P$2-1)*(B1086-1/$P$2)</f>
        <v>1.6767975956617</v>
      </c>
      <c r="H1086" s="13" t="n">
        <f aca="false">E1086*SQRT(B1086/(1-B1086))</f>
        <v>0.0430384446051127</v>
      </c>
      <c r="I1086" s="13" t="n">
        <f aca="false">ABS(D1086)</f>
        <v>0.978180626509847</v>
      </c>
      <c r="J1086" s="6" t="n">
        <f aca="false">IF(B1086&gt;$P$4,1,0)</f>
        <v>0</v>
      </c>
      <c r="K1086" s="6" t="n">
        <f aca="false">IF(F1086&gt;$P$6,1,0)</f>
        <v>0</v>
      </c>
      <c r="L1086" s="6" t="n">
        <f aca="false">IF(G1086&gt;$P$9,1,0)</f>
        <v>0</v>
      </c>
      <c r="M1086" s="6" t="n">
        <f aca="false">IF(ABS(H1086)&gt;$P$8,1,0)</f>
        <v>0</v>
      </c>
    </row>
    <row r="1087" customFormat="false" ht="15" hidden="false" customHeight="false" outlineLevel="0" collapsed="false">
      <c r="A1087" s="0" t="n">
        <f aca="false">ROW()-1</f>
        <v>1086</v>
      </c>
      <c r="B1087" s="22" t="n">
        <f aca="false">SUMPRODUCT(MMULT('Analysis Data'!N1087:U1087,'Final Model'!$B$59:$I$66),'Analysis Data'!N1087:U1087)</f>
        <v>0.0130201937245365</v>
      </c>
      <c r="C1087" s="15" t="n">
        <f aca="false">'Residual Diagnostics'!F1087</f>
        <v>49.1631928267743</v>
      </c>
      <c r="D1087" s="13" t="n">
        <f aca="false">C1087/('Final Model'!$B$21*SQRT(1-B1087))</f>
        <v>1.00926718968338</v>
      </c>
      <c r="E1087" s="13" t="n">
        <f aca="false">D1087*SQRT(('Final Model'!$B$24-1)/('Final Model'!$B$24-D1087^2))</f>
        <v>1.00927401357889</v>
      </c>
      <c r="F1087" s="23" t="n">
        <f aca="false">D1087^2/($P$3+1)*B1087/(1-B1087)</f>
        <v>0.0016796991482047</v>
      </c>
      <c r="G1087" s="13" t="n">
        <f aca="false">($P$2-1)*(B1087-1/$P$2)</f>
        <v>17.0336898092046</v>
      </c>
      <c r="H1087" s="13" t="n">
        <f aca="false">E1087*SQRT(B1087/(1-B1087))</f>
        <v>0.1159214168986</v>
      </c>
      <c r="I1087" s="13" t="n">
        <f aca="false">ABS(D1087)</f>
        <v>1.00926718968338</v>
      </c>
      <c r="J1087" s="6" t="n">
        <f aca="false">IF(B1087&gt;$P$4,1,0)</f>
        <v>1</v>
      </c>
      <c r="K1087" s="6" t="n">
        <f aca="false">IF(F1087&gt;$P$6,1,0)</f>
        <v>0</v>
      </c>
      <c r="L1087" s="6" t="n">
        <f aca="false">IF(G1087&gt;$P$9,1,0)</f>
        <v>1</v>
      </c>
      <c r="M1087" s="6" t="n">
        <f aca="false">IF(ABS(H1087)&gt;$P$8,1,0)</f>
        <v>0</v>
      </c>
    </row>
    <row r="1088" customFormat="false" ht="15" hidden="false" customHeight="false" outlineLevel="0" collapsed="false">
      <c r="A1088" s="0" t="n">
        <f aca="false">ROW()-1</f>
        <v>1087</v>
      </c>
      <c r="B1088" s="22" t="n">
        <f aca="false">SUMPRODUCT(MMULT('Analysis Data'!N1088:U1088,'Final Model'!$B$59:$I$66),'Analysis Data'!N1088:U1088)</f>
        <v>0.00528381576690036</v>
      </c>
      <c r="C1088" s="15" t="n">
        <f aca="false">'Residual Diagnostics'!F1088</f>
        <v>-12.1928153033951</v>
      </c>
      <c r="D1088" s="13" t="n">
        <f aca="false">C1088/('Final Model'!$B$21*SQRT(1-B1088))</f>
        <v>-0.249330043001377</v>
      </c>
      <c r="E1088" s="13" t="n">
        <f aca="false">D1088*SQRT(('Final Model'!$B$24-1)/('Final Model'!$B$24-D1088^2))</f>
        <v>-0.249245180637507</v>
      </c>
      <c r="F1088" s="23" t="n">
        <f aca="false">D1088^2/($P$3+1)*B1088/(1-B1088)</f>
        <v>4.1276961403911E-005</v>
      </c>
      <c r="G1088" s="13" t="n">
        <f aca="false">($P$2-1)*(B1088-1/$P$2)</f>
        <v>6.31880633787849</v>
      </c>
      <c r="H1088" s="13" t="n">
        <f aca="false">E1088*SQRT(B1088/(1-B1088))</f>
        <v>-0.0181656528653921</v>
      </c>
      <c r="I1088" s="13" t="n">
        <f aca="false">ABS(D1088)</f>
        <v>0.249330043001377</v>
      </c>
      <c r="J1088" s="6" t="n">
        <f aca="false">IF(B1088&gt;$P$4,1,0)</f>
        <v>0</v>
      </c>
      <c r="K1088" s="6" t="n">
        <f aca="false">IF(F1088&gt;$P$6,1,0)</f>
        <v>0</v>
      </c>
      <c r="L1088" s="6" t="n">
        <f aca="false">IF(G1088&gt;$P$9,1,0)</f>
        <v>0</v>
      </c>
      <c r="M1088" s="6" t="n">
        <f aca="false">IF(ABS(H1088)&gt;$P$8,1,0)</f>
        <v>0</v>
      </c>
    </row>
    <row r="1089" customFormat="false" ht="15" hidden="false" customHeight="false" outlineLevel="0" collapsed="false">
      <c r="A1089" s="0" t="n">
        <f aca="false">ROW()-1</f>
        <v>1088</v>
      </c>
      <c r="B1089" s="22" t="n">
        <f aca="false">SUMPRODUCT(MMULT('Analysis Data'!N1089:U1089,'Final Model'!$B$59:$I$66),'Analysis Data'!N1089:U1089)</f>
        <v>0.0053538214240363</v>
      </c>
      <c r="C1089" s="15" t="n">
        <f aca="false">'Residual Diagnostics'!F1089</f>
        <v>-67.5737952465346</v>
      </c>
      <c r="D1089" s="13" t="n">
        <f aca="false">C1089/('Final Model'!$B$21*SQRT(1-B1089))</f>
        <v>-1.38186052630899</v>
      </c>
      <c r="E1089" s="13" t="n">
        <f aca="false">D1089*SQRT(('Final Model'!$B$24-1)/('Final Model'!$B$24-D1089^2))</f>
        <v>-1.38231712701636</v>
      </c>
      <c r="F1089" s="23" t="n">
        <f aca="false">D1089^2/($P$3+1)*B1089/(1-B1089)</f>
        <v>0.00128479458668254</v>
      </c>
      <c r="G1089" s="13" t="n">
        <f aca="false">($P$2-1)*(B1089-1/$P$2)</f>
        <v>6.41576417301177</v>
      </c>
      <c r="H1089" s="13" t="n">
        <f aca="false">E1089*SQRT(B1089/(1-B1089))</f>
        <v>-0.101415729842021</v>
      </c>
      <c r="I1089" s="13" t="n">
        <f aca="false">ABS(D1089)</f>
        <v>1.38186052630899</v>
      </c>
      <c r="J1089" s="6" t="n">
        <f aca="false">IF(B1089&gt;$P$4,1,0)</f>
        <v>0</v>
      </c>
      <c r="K1089" s="6" t="n">
        <f aca="false">IF(F1089&gt;$P$6,1,0)</f>
        <v>0</v>
      </c>
      <c r="L1089" s="6" t="n">
        <f aca="false">IF(G1089&gt;$P$9,1,0)</f>
        <v>0</v>
      </c>
      <c r="M1089" s="6" t="n">
        <f aca="false">IF(ABS(H1089)&gt;$P$8,1,0)</f>
        <v>0</v>
      </c>
    </row>
    <row r="1090" customFormat="false" ht="15" hidden="false" customHeight="false" outlineLevel="0" collapsed="false">
      <c r="A1090" s="0" t="n">
        <f aca="false">ROW()-1</f>
        <v>1089</v>
      </c>
      <c r="B1090" s="22" t="n">
        <f aca="false">SUMPRODUCT(MMULT('Analysis Data'!N1090:U1090,'Final Model'!$B$59:$I$66),'Analysis Data'!N1090:U1090)</f>
        <v>0.00505679480528261</v>
      </c>
      <c r="C1090" s="15" t="n">
        <f aca="false">'Residual Diagnostics'!F1090</f>
        <v>0.486562701356377</v>
      </c>
      <c r="D1090" s="13" t="n">
        <f aca="false">C1090/('Final Model'!$B$21*SQRT(1-B1090))</f>
        <v>0.00994855207479221</v>
      </c>
      <c r="E1090" s="13" t="n">
        <f aca="false">D1090*SQRT(('Final Model'!$B$24-1)/('Final Model'!$B$24-D1090^2))</f>
        <v>0.00994494199738579</v>
      </c>
      <c r="F1090" s="23" t="n">
        <f aca="false">D1090^2/($P$3+1)*B1090/(1-B1090)</f>
        <v>6.28791712269435E-008</v>
      </c>
      <c r="G1090" s="13" t="n">
        <f aca="false">($P$2-1)*(B1090-1/$P$2)</f>
        <v>6.00438230603791</v>
      </c>
      <c r="H1090" s="13" t="n">
        <f aca="false">E1090*SQRT(B1090/(1-B1090))</f>
        <v>0.000708991085933015</v>
      </c>
      <c r="I1090" s="13" t="n">
        <f aca="false">ABS(D1090)</f>
        <v>0.00994855207479221</v>
      </c>
      <c r="J1090" s="6" t="n">
        <f aca="false">IF(B1090&gt;$P$4,1,0)</f>
        <v>0</v>
      </c>
      <c r="K1090" s="6" t="n">
        <f aca="false">IF(F1090&gt;$P$6,1,0)</f>
        <v>0</v>
      </c>
      <c r="L1090" s="6" t="n">
        <f aca="false">IF(G1090&gt;$P$9,1,0)</f>
        <v>0</v>
      </c>
      <c r="M1090" s="6" t="n">
        <f aca="false">IF(ABS(H1090)&gt;$P$8,1,0)</f>
        <v>0</v>
      </c>
    </row>
    <row r="1091" customFormat="false" ht="15" hidden="false" customHeight="false" outlineLevel="0" collapsed="false">
      <c r="A1091" s="0" t="n">
        <f aca="false">ROW()-1</f>
        <v>1090</v>
      </c>
      <c r="B1091" s="22" t="n">
        <f aca="false">SUMPRODUCT(MMULT('Analysis Data'!N1091:U1091,'Final Model'!$B$59:$I$66),'Analysis Data'!N1091:U1091)</f>
        <v>0.00211032367819772</v>
      </c>
      <c r="C1091" s="15" t="n">
        <f aca="false">'Residual Diagnostics'!F1091</f>
        <v>35.3794673428754</v>
      </c>
      <c r="D1091" s="13" t="n">
        <f aca="false">C1091/('Final Model'!$B$21*SQRT(1-B1091))</f>
        <v>0.722320988008879</v>
      </c>
      <c r="E1091" s="13" t="n">
        <f aca="false">D1091*SQRT(('Final Model'!$B$24-1)/('Final Model'!$B$24-D1091^2))</f>
        <v>0.722195584312531</v>
      </c>
      <c r="F1091" s="23" t="n">
        <f aca="false">D1091^2/($P$3+1)*B1091/(1-B1091)</f>
        <v>0.000137923104246564</v>
      </c>
      <c r="G1091" s="13" t="n">
        <f aca="false">($P$2-1)*(B1091-1/$P$2)</f>
        <v>1.92351979502534</v>
      </c>
      <c r="H1091" s="13" t="n">
        <f aca="false">E1091*SQRT(B1091/(1-B1091))</f>
        <v>0.0332114700851005</v>
      </c>
      <c r="I1091" s="13" t="n">
        <f aca="false">ABS(D1091)</f>
        <v>0.722320988008879</v>
      </c>
      <c r="J1091" s="6" t="n">
        <f aca="false">IF(B1091&gt;$P$4,1,0)</f>
        <v>0</v>
      </c>
      <c r="K1091" s="6" t="n">
        <f aca="false">IF(F1091&gt;$P$6,1,0)</f>
        <v>0</v>
      </c>
      <c r="L1091" s="6" t="n">
        <f aca="false">IF(G1091&gt;$P$9,1,0)</f>
        <v>0</v>
      </c>
      <c r="M1091" s="6" t="n">
        <f aca="false">IF(ABS(H1091)&gt;$P$8,1,0)</f>
        <v>0</v>
      </c>
    </row>
    <row r="1092" customFormat="false" ht="15" hidden="false" customHeight="false" outlineLevel="0" collapsed="false">
      <c r="A1092" s="0" t="n">
        <f aca="false">ROW()-1</f>
        <v>1091</v>
      </c>
      <c r="B1092" s="22" t="n">
        <f aca="false">SUMPRODUCT(MMULT('Analysis Data'!N1092:U1092,'Final Model'!$B$59:$I$66),'Analysis Data'!N1092:U1092)</f>
        <v>0.0137924156445038</v>
      </c>
      <c r="C1092" s="15" t="n">
        <f aca="false">'Residual Diagnostics'!F1092</f>
        <v>-9.33180300886863</v>
      </c>
      <c r="D1092" s="13" t="n">
        <f aca="false">C1092/('Final Model'!$B$21*SQRT(1-B1092))</f>
        <v>-0.191646813274167</v>
      </c>
      <c r="E1092" s="13" t="n">
        <f aca="false">D1092*SQRT(('Final Model'!$B$24-1)/('Final Model'!$B$24-D1092^2))</f>
        <v>-0.191579815774689</v>
      </c>
      <c r="F1092" s="23" t="n">
        <f aca="false">D1092^2/($P$3+1)*B1092/(1-B1092)</f>
        <v>6.42074194563104E-005</v>
      </c>
      <c r="G1092" s="13" t="n">
        <f aca="false">($P$2-1)*(B1092-1/$P$2)</f>
        <v>18.1032171683592</v>
      </c>
      <c r="H1092" s="13" t="n">
        <f aca="false">E1092*SQRT(B1092/(1-B1092))</f>
        <v>-0.0226561311732424</v>
      </c>
      <c r="I1092" s="13" t="n">
        <f aca="false">ABS(D1092)</f>
        <v>0.191646813274167</v>
      </c>
      <c r="J1092" s="6" t="n">
        <f aca="false">IF(B1092&gt;$P$4,1,0)</f>
        <v>1</v>
      </c>
      <c r="K1092" s="6" t="n">
        <f aca="false">IF(F1092&gt;$P$6,1,0)</f>
        <v>0</v>
      </c>
      <c r="L1092" s="6" t="n">
        <f aca="false">IF(G1092&gt;$P$9,1,0)</f>
        <v>1</v>
      </c>
      <c r="M1092" s="6" t="n">
        <f aca="false">IF(ABS(H1092)&gt;$P$8,1,0)</f>
        <v>0</v>
      </c>
    </row>
    <row r="1093" customFormat="false" ht="15" hidden="false" customHeight="false" outlineLevel="0" collapsed="false">
      <c r="A1093" s="0" t="n">
        <f aca="false">ROW()-1</f>
        <v>1092</v>
      </c>
      <c r="B1093" s="22" t="n">
        <f aca="false">SUMPRODUCT(MMULT('Analysis Data'!N1093:U1093,'Final Model'!$B$59:$I$66),'Analysis Data'!N1093:U1093)</f>
        <v>0.00629087115141085</v>
      </c>
      <c r="C1093" s="15" t="n">
        <f aca="false">'Residual Diagnostics'!F1093</f>
        <v>48.611111162899</v>
      </c>
      <c r="D1093" s="13" t="n">
        <f aca="false">C1093/('Final Model'!$B$21*SQRT(1-B1093))</f>
        <v>0.994548845086093</v>
      </c>
      <c r="E1093" s="13" t="n">
        <f aca="false">D1093*SQRT(('Final Model'!$B$24-1)/('Final Model'!$B$24-D1093^2))</f>
        <v>0.994544918701741</v>
      </c>
      <c r="F1093" s="23" t="n">
        <f aca="false">D1093^2/($P$3+1)*B1093/(1-B1093)</f>
        <v>0.000782733206099641</v>
      </c>
      <c r="G1093" s="13" t="n">
        <f aca="false">($P$2-1)*(B1093-1/$P$2)</f>
        <v>7.71357804542553</v>
      </c>
      <c r="H1093" s="13" t="n">
        <f aca="false">E1093*SQRT(B1093/(1-B1093))</f>
        <v>0.0791316384665034</v>
      </c>
      <c r="I1093" s="13" t="n">
        <f aca="false">ABS(D1093)</f>
        <v>0.994548845086093</v>
      </c>
      <c r="J1093" s="6" t="n">
        <f aca="false">IF(B1093&gt;$P$4,1,0)</f>
        <v>0</v>
      </c>
      <c r="K1093" s="6" t="n">
        <f aca="false">IF(F1093&gt;$P$6,1,0)</f>
        <v>0</v>
      </c>
      <c r="L1093" s="6" t="n">
        <f aca="false">IF(G1093&gt;$P$9,1,0)</f>
        <v>0</v>
      </c>
      <c r="M1093" s="6" t="n">
        <f aca="false">IF(ABS(H1093)&gt;$P$8,1,0)</f>
        <v>0</v>
      </c>
    </row>
    <row r="1094" customFormat="false" ht="15" hidden="false" customHeight="false" outlineLevel="0" collapsed="false">
      <c r="A1094" s="0" t="n">
        <f aca="false">ROW()-1</f>
        <v>1093</v>
      </c>
      <c r="B1094" s="22" t="n">
        <f aca="false">SUMPRODUCT(MMULT('Analysis Data'!N1094:U1094,'Final Model'!$B$59:$I$66),'Analysis Data'!N1094:U1094)</f>
        <v>0.00595598911861614</v>
      </c>
      <c r="C1094" s="15" t="n">
        <f aca="false">'Residual Diagnostics'!F1094</f>
        <v>53.3559376851965</v>
      </c>
      <c r="D1094" s="13" t="n">
        <f aca="false">C1094/('Final Model'!$B$21*SQRT(1-B1094))</f>
        <v>1.09144073590338</v>
      </c>
      <c r="E1094" s="13" t="n">
        <f aca="false">D1094*SQRT(('Final Model'!$B$24-1)/('Final Model'!$B$24-D1094^2))</f>
        <v>1.09151653547277</v>
      </c>
      <c r="F1094" s="23" t="n">
        <f aca="false">D1094^2/($P$3+1)*B1094/(1-B1094)</f>
        <v>0.000892192593232659</v>
      </c>
      <c r="G1094" s="13" t="n">
        <f aca="false">($P$2-1)*(B1094-1/$P$2)</f>
        <v>7.24976643000486</v>
      </c>
      <c r="H1094" s="13" t="n">
        <f aca="false">E1094*SQRT(B1094/(1-B1094))</f>
        <v>0.0844898347243733</v>
      </c>
      <c r="I1094" s="13" t="n">
        <f aca="false">ABS(D1094)</f>
        <v>1.09144073590338</v>
      </c>
      <c r="J1094" s="6" t="n">
        <f aca="false">IF(B1094&gt;$P$4,1,0)</f>
        <v>0</v>
      </c>
      <c r="K1094" s="6" t="n">
        <f aca="false">IF(F1094&gt;$P$6,1,0)</f>
        <v>0</v>
      </c>
      <c r="L1094" s="6" t="n">
        <f aca="false">IF(G1094&gt;$P$9,1,0)</f>
        <v>0</v>
      </c>
      <c r="M1094" s="6" t="n">
        <f aca="false">IF(ABS(H1094)&gt;$P$8,1,0)</f>
        <v>0</v>
      </c>
    </row>
    <row r="1095" customFormat="false" ht="15" hidden="false" customHeight="false" outlineLevel="0" collapsed="false">
      <c r="A1095" s="0" t="n">
        <f aca="false">ROW()-1</f>
        <v>1094</v>
      </c>
      <c r="B1095" s="22" t="n">
        <f aca="false">SUMPRODUCT(MMULT('Analysis Data'!N1095:U1095,'Final Model'!$B$59:$I$66),'Analysis Data'!N1095:U1095)</f>
        <v>0.00650674135364302</v>
      </c>
      <c r="C1095" s="15" t="n">
        <f aca="false">'Residual Diagnostics'!F1095</f>
        <v>38.6883593481406</v>
      </c>
      <c r="D1095" s="13" t="n">
        <f aca="false">C1095/('Final Model'!$B$21*SQRT(1-B1095))</f>
        <v>0.791622372522239</v>
      </c>
      <c r="E1095" s="13" t="n">
        <f aca="false">D1095*SQRT(('Final Model'!$B$24-1)/('Final Model'!$B$24-D1095^2))</f>
        <v>0.791515081498132</v>
      </c>
      <c r="F1095" s="23" t="n">
        <f aca="false">D1095^2/($P$3+1)*B1095/(1-B1095)</f>
        <v>0.00051303235023366</v>
      </c>
      <c r="G1095" s="13" t="n">
        <f aca="false">($P$2-1)*(B1095-1/$P$2)</f>
        <v>8.01255827551708</v>
      </c>
      <c r="H1095" s="13" t="n">
        <f aca="false">E1095*SQRT(B1095/(1-B1095))</f>
        <v>0.0640558065403011</v>
      </c>
      <c r="I1095" s="13" t="n">
        <f aca="false">ABS(D1095)</f>
        <v>0.791622372522239</v>
      </c>
      <c r="J1095" s="6" t="n">
        <f aca="false">IF(B1095&gt;$P$4,1,0)</f>
        <v>0</v>
      </c>
      <c r="K1095" s="6" t="n">
        <f aca="false">IF(F1095&gt;$P$6,1,0)</f>
        <v>0</v>
      </c>
      <c r="L1095" s="6" t="n">
        <f aca="false">IF(G1095&gt;$P$9,1,0)</f>
        <v>0</v>
      </c>
      <c r="M1095" s="6" t="n">
        <f aca="false">IF(ABS(H1095)&gt;$P$8,1,0)</f>
        <v>0</v>
      </c>
    </row>
    <row r="1096" customFormat="false" ht="15" hidden="false" customHeight="false" outlineLevel="0" collapsed="false">
      <c r="A1096" s="0" t="n">
        <f aca="false">ROW()-1</f>
        <v>1095</v>
      </c>
      <c r="B1096" s="22" t="n">
        <f aca="false">SUMPRODUCT(MMULT('Analysis Data'!N1096:U1096,'Final Model'!$B$59:$I$66),'Analysis Data'!N1096:U1096)</f>
        <v>0.0147306841681346</v>
      </c>
      <c r="C1096" s="15" t="n">
        <f aca="false">'Residual Diagnostics'!F1096</f>
        <v>70.3636170113139</v>
      </c>
      <c r="D1096" s="13" t="n">
        <f aca="false">C1096/('Final Model'!$B$21*SQRT(1-B1096))</f>
        <v>1.44574229347419</v>
      </c>
      <c r="E1096" s="13" t="n">
        <f aca="false">D1096*SQRT(('Final Model'!$B$24-1)/('Final Model'!$B$24-D1096^2))</f>
        <v>1.44631493053759</v>
      </c>
      <c r="F1096" s="23" t="n">
        <f aca="false">D1096^2/($P$3+1)*B1096/(1-B1096)</f>
        <v>0.00390624739731438</v>
      </c>
      <c r="G1096" s="13" t="n">
        <f aca="false">($P$2-1)*(B1096-1/$P$2)</f>
        <v>19.4027190735879</v>
      </c>
      <c r="H1096" s="13" t="n">
        <f aca="false">E1096*SQRT(B1096/(1-B1096))</f>
        <v>0.176846655006372</v>
      </c>
      <c r="I1096" s="13" t="n">
        <f aca="false">ABS(D1096)</f>
        <v>1.44574229347419</v>
      </c>
      <c r="J1096" s="6" t="n">
        <f aca="false">IF(B1096&gt;$P$4,1,0)</f>
        <v>1</v>
      </c>
      <c r="K1096" s="6" t="n">
        <f aca="false">IF(F1096&gt;$P$6,1,0)</f>
        <v>1</v>
      </c>
      <c r="L1096" s="6" t="n">
        <f aca="false">IF(G1096&gt;$P$9,1,0)</f>
        <v>1</v>
      </c>
      <c r="M1096" s="6" t="n">
        <f aca="false">IF(ABS(H1096)&gt;$P$8,1,0)</f>
        <v>1</v>
      </c>
    </row>
    <row r="1097" customFormat="false" ht="15" hidden="false" customHeight="false" outlineLevel="0" collapsed="false">
      <c r="A1097" s="0" t="n">
        <f aca="false">ROW()-1</f>
        <v>1096</v>
      </c>
      <c r="B1097" s="22" t="n">
        <f aca="false">SUMPRODUCT(MMULT('Analysis Data'!N1097:U1097,'Final Model'!$B$59:$I$66),'Analysis Data'!N1097:U1097)</f>
        <v>0.0100535749840453</v>
      </c>
      <c r="C1097" s="15" t="n">
        <f aca="false">'Residual Diagnostics'!F1097</f>
        <v>-27.9626459006783</v>
      </c>
      <c r="D1097" s="13" t="n">
        <f aca="false">C1097/('Final Model'!$B$21*SQRT(1-B1097))</f>
        <v>-0.573182109020122</v>
      </c>
      <c r="E1097" s="13" t="n">
        <f aca="false">D1097*SQRT(('Final Model'!$B$24-1)/('Final Model'!$B$24-D1097^2))</f>
        <v>-0.57304241059515</v>
      </c>
      <c r="F1097" s="23" t="n">
        <f aca="false">D1097^2/($P$3+1)*B1097/(1-B1097)</f>
        <v>0.000417065335707781</v>
      </c>
      <c r="G1097" s="13" t="n">
        <f aca="false">($P$2-1)*(B1097-1/$P$2)</f>
        <v>12.9249228536242</v>
      </c>
      <c r="H1097" s="13" t="n">
        <f aca="false">E1097*SQRT(B1097/(1-B1097))</f>
        <v>-0.0577485627557145</v>
      </c>
      <c r="I1097" s="13" t="n">
        <f aca="false">ABS(D1097)</f>
        <v>0.573182109020122</v>
      </c>
      <c r="J1097" s="6" t="n">
        <f aca="false">IF(B1097&gt;$P$4,1,0)</f>
        <v>0</v>
      </c>
      <c r="K1097" s="6" t="n">
        <f aca="false">IF(F1097&gt;$P$6,1,0)</f>
        <v>0</v>
      </c>
      <c r="L1097" s="6" t="n">
        <f aca="false">IF(G1097&gt;$P$9,1,0)</f>
        <v>1</v>
      </c>
      <c r="M1097" s="6" t="n">
        <f aca="false">IF(ABS(H1097)&gt;$P$8,1,0)</f>
        <v>0</v>
      </c>
    </row>
    <row r="1098" customFormat="false" ht="15" hidden="false" customHeight="false" outlineLevel="0" collapsed="false">
      <c r="A1098" s="0" t="n">
        <f aca="false">ROW()-1</f>
        <v>1097</v>
      </c>
      <c r="B1098" s="22" t="n">
        <f aca="false">SUMPRODUCT(MMULT('Analysis Data'!N1098:U1098,'Final Model'!$B$59:$I$66),'Analysis Data'!N1098:U1098)</f>
        <v>0.00282453120614165</v>
      </c>
      <c r="C1098" s="15" t="n">
        <f aca="false">'Residual Diagnostics'!F1098</f>
        <v>17.0200452607004</v>
      </c>
      <c r="D1098" s="13" t="n">
        <f aca="false">C1098/('Final Model'!$B$21*SQRT(1-B1098))</f>
        <v>0.347612292961639</v>
      </c>
      <c r="E1098" s="13" t="n">
        <f aca="false">D1098*SQRT(('Final Model'!$B$24-1)/('Final Model'!$B$24-D1098^2))</f>
        <v>0.347501377006579</v>
      </c>
      <c r="F1098" s="23" t="n">
        <f aca="false">D1098^2/($P$3+1)*B1098/(1-B1098)</f>
        <v>4.27833765678892E-005</v>
      </c>
      <c r="G1098" s="13" t="n">
        <f aca="false">($P$2-1)*(B1098-1/$P$2)</f>
        <v>2.91269722122768</v>
      </c>
      <c r="H1098" s="13" t="n">
        <f aca="false">E1098*SQRT(B1098/(1-B1098))</f>
        <v>0.018494556675372</v>
      </c>
      <c r="I1098" s="13" t="n">
        <f aca="false">ABS(D1098)</f>
        <v>0.347612292961639</v>
      </c>
      <c r="J1098" s="6" t="n">
        <f aca="false">IF(B1098&gt;$P$4,1,0)</f>
        <v>0</v>
      </c>
      <c r="K1098" s="6" t="n">
        <f aca="false">IF(F1098&gt;$P$6,1,0)</f>
        <v>0</v>
      </c>
      <c r="L1098" s="6" t="n">
        <f aca="false">IF(G1098&gt;$P$9,1,0)</f>
        <v>0</v>
      </c>
      <c r="M1098" s="6" t="n">
        <f aca="false">IF(ABS(H1098)&gt;$P$8,1,0)</f>
        <v>0</v>
      </c>
    </row>
    <row r="1099" customFormat="false" ht="15" hidden="false" customHeight="false" outlineLevel="0" collapsed="false">
      <c r="A1099" s="0" t="n">
        <f aca="false">ROW()-1</f>
        <v>1098</v>
      </c>
      <c r="B1099" s="22" t="n">
        <f aca="false">SUMPRODUCT(MMULT('Analysis Data'!N1099:U1099,'Final Model'!$B$59:$I$66),'Analysis Data'!N1099:U1099)</f>
        <v>0.0141052879760491</v>
      </c>
      <c r="C1099" s="15" t="n">
        <f aca="false">'Residual Diagnostics'!F1099</f>
        <v>19.3382461029251</v>
      </c>
      <c r="D1099" s="13" t="n">
        <f aca="false">C1099/('Final Model'!$B$21*SQRT(1-B1099))</f>
        <v>0.397211691538858</v>
      </c>
      <c r="E1099" s="13" t="n">
        <f aca="false">D1099*SQRT(('Final Model'!$B$24-1)/('Final Model'!$B$24-D1099^2))</f>
        <v>0.397090272734589</v>
      </c>
      <c r="F1099" s="23" t="n">
        <f aca="false">D1099^2/($P$3+1)*B1099/(1-B1099)</f>
        <v>0.000282166518119675</v>
      </c>
      <c r="G1099" s="13" t="n">
        <f aca="false">($P$2-1)*(B1099-1/$P$2)</f>
        <v>18.5365453475496</v>
      </c>
      <c r="H1099" s="13" t="n">
        <f aca="false">E1099*SQRT(B1099/(1-B1099))</f>
        <v>0.0474968664559914</v>
      </c>
      <c r="I1099" s="13" t="n">
        <f aca="false">ABS(D1099)</f>
        <v>0.397211691538858</v>
      </c>
      <c r="J1099" s="6" t="n">
        <f aca="false">IF(B1099&gt;$P$4,1,0)</f>
        <v>1</v>
      </c>
      <c r="K1099" s="6" t="n">
        <f aca="false">IF(F1099&gt;$P$6,1,0)</f>
        <v>0</v>
      </c>
      <c r="L1099" s="6" t="n">
        <f aca="false">IF(G1099&gt;$P$9,1,0)</f>
        <v>1</v>
      </c>
      <c r="M1099" s="6" t="n">
        <f aca="false">IF(ABS(H1099)&gt;$P$8,1,0)</f>
        <v>0</v>
      </c>
    </row>
    <row r="1100" customFormat="false" ht="15" hidden="false" customHeight="false" outlineLevel="0" collapsed="false">
      <c r="A1100" s="0" t="n">
        <f aca="false">ROW()-1</f>
        <v>1099</v>
      </c>
      <c r="B1100" s="22" t="n">
        <f aca="false">SUMPRODUCT(MMULT('Analysis Data'!N1100:U1100,'Final Model'!$B$59:$I$66),'Analysis Data'!N1100:U1100)</f>
        <v>0.00746684937491179</v>
      </c>
      <c r="C1100" s="15" t="n">
        <f aca="false">'Residual Diagnostics'!F1100</f>
        <v>-29.9559430163101</v>
      </c>
      <c r="D1100" s="13" t="n">
        <f aca="false">C1100/('Final Model'!$B$21*SQRT(1-B1100))</f>
        <v>-0.61324030929942</v>
      </c>
      <c r="E1100" s="13" t="n">
        <f aca="false">D1100*SQRT(('Final Model'!$B$24-1)/('Final Model'!$B$24-D1100^2))</f>
        <v>-0.613101422979773</v>
      </c>
      <c r="F1100" s="23" t="n">
        <f aca="false">D1100^2/($P$3+1)*B1100/(1-B1100)</f>
        <v>0.000353641945031011</v>
      </c>
      <c r="G1100" s="13" t="n">
        <f aca="false">($P$2-1)*(B1100-1/$P$2)</f>
        <v>9.34230788497433</v>
      </c>
      <c r="H1100" s="13" t="n">
        <f aca="false">E1100*SQRT(B1100/(1-B1100))</f>
        <v>-0.0531775725593808</v>
      </c>
      <c r="I1100" s="13" t="n">
        <f aca="false">ABS(D1100)</f>
        <v>0.61324030929942</v>
      </c>
      <c r="J1100" s="6" t="n">
        <f aca="false">IF(B1100&gt;$P$4,1,0)</f>
        <v>0</v>
      </c>
      <c r="K1100" s="6" t="n">
        <f aca="false">IF(F1100&gt;$P$6,1,0)</f>
        <v>0</v>
      </c>
      <c r="L1100" s="6" t="n">
        <f aca="false">IF(G1100&gt;$P$9,1,0)</f>
        <v>0</v>
      </c>
      <c r="M1100" s="6" t="n">
        <f aca="false">IF(ABS(H1100)&gt;$P$8,1,0)</f>
        <v>0</v>
      </c>
    </row>
    <row r="1101" customFormat="false" ht="15" hidden="false" customHeight="false" outlineLevel="0" collapsed="false">
      <c r="A1101" s="0" t="n">
        <f aca="false">ROW()-1</f>
        <v>1100</v>
      </c>
      <c r="B1101" s="22" t="n">
        <f aca="false">SUMPRODUCT(MMULT('Analysis Data'!N1101:U1101,'Final Model'!$B$59:$I$66),'Analysis Data'!N1101:U1101)</f>
        <v>0.00546714025778211</v>
      </c>
      <c r="C1101" s="15" t="n">
        <f aca="false">'Residual Diagnostics'!F1101</f>
        <v>-4.90011447161521</v>
      </c>
      <c r="D1101" s="13" t="n">
        <f aca="false">C1101/('Final Model'!$B$21*SQRT(1-B1101))</f>
        <v>-0.100211339211311</v>
      </c>
      <c r="E1101" s="13" t="n">
        <f aca="false">D1101*SQRT(('Final Model'!$B$24-1)/('Final Model'!$B$24-D1101^2))</f>
        <v>-0.100175336478176</v>
      </c>
      <c r="F1101" s="23" t="n">
        <f aca="false">D1101^2/($P$3+1)*B1101/(1-B1101)</f>
        <v>6.90056774492588E-006</v>
      </c>
      <c r="G1101" s="13" t="n">
        <f aca="false">($P$2-1)*(B1101-1/$P$2)</f>
        <v>6.57271075774973</v>
      </c>
      <c r="H1101" s="13" t="n">
        <f aca="false">E1101*SQRT(B1101/(1-B1101))</f>
        <v>-0.00742730655270063</v>
      </c>
      <c r="I1101" s="13" t="n">
        <f aca="false">ABS(D1101)</f>
        <v>0.100211339211311</v>
      </c>
      <c r="J1101" s="6" t="n">
        <f aca="false">IF(B1101&gt;$P$4,1,0)</f>
        <v>0</v>
      </c>
      <c r="K1101" s="6" t="n">
        <f aca="false">IF(F1101&gt;$P$6,1,0)</f>
        <v>0</v>
      </c>
      <c r="L1101" s="6" t="n">
        <f aca="false">IF(G1101&gt;$P$9,1,0)</f>
        <v>0</v>
      </c>
      <c r="M1101" s="6" t="n">
        <f aca="false">IF(ABS(H1101)&gt;$P$8,1,0)</f>
        <v>0</v>
      </c>
    </row>
    <row r="1102" customFormat="false" ht="15" hidden="false" customHeight="false" outlineLevel="0" collapsed="false">
      <c r="A1102" s="0" t="n">
        <f aca="false">ROW()-1</f>
        <v>1101</v>
      </c>
      <c r="B1102" s="22" t="n">
        <f aca="false">SUMPRODUCT(MMULT('Analysis Data'!N1102:U1102,'Final Model'!$B$59:$I$66),'Analysis Data'!N1102:U1102)</f>
        <v>0.00172572364305029</v>
      </c>
      <c r="C1102" s="15" t="n">
        <f aca="false">'Residual Diagnostics'!F1102</f>
        <v>7.67561833478635</v>
      </c>
      <c r="D1102" s="13" t="n">
        <f aca="false">C1102/('Final Model'!$B$21*SQRT(1-B1102))</f>
        <v>0.156678224070951</v>
      </c>
      <c r="E1102" s="13" t="n">
        <f aca="false">D1102*SQRT(('Final Model'!$B$24-1)/('Final Model'!$B$24-D1102^2))</f>
        <v>0.15662275895615</v>
      </c>
      <c r="F1102" s="23" t="n">
        <f aca="false">D1102^2/($P$3+1)*B1102/(1-B1102)</f>
        <v>5.30455140369586E-006</v>
      </c>
      <c r="G1102" s="13" t="n">
        <f aca="false">($P$2-1)*(B1102-1/$P$2)</f>
        <v>1.39084874634615</v>
      </c>
      <c r="H1102" s="13" t="n">
        <f aca="false">E1102*SQRT(B1102/(1-B1102))</f>
        <v>0.00651201743042459</v>
      </c>
      <c r="I1102" s="13" t="n">
        <f aca="false">ABS(D1102)</f>
        <v>0.156678224070951</v>
      </c>
      <c r="J1102" s="6" t="n">
        <f aca="false">IF(B1102&gt;$P$4,1,0)</f>
        <v>0</v>
      </c>
      <c r="K1102" s="6" t="n">
        <f aca="false">IF(F1102&gt;$P$6,1,0)</f>
        <v>0</v>
      </c>
      <c r="L1102" s="6" t="n">
        <f aca="false">IF(G1102&gt;$P$9,1,0)</f>
        <v>0</v>
      </c>
      <c r="M1102" s="6" t="n">
        <f aca="false">IF(ABS(H1102)&gt;$P$8,1,0)</f>
        <v>0</v>
      </c>
    </row>
    <row r="1103" customFormat="false" ht="15" hidden="false" customHeight="false" outlineLevel="0" collapsed="false">
      <c r="A1103" s="0" t="n">
        <f aca="false">ROW()-1</f>
        <v>1102</v>
      </c>
      <c r="B1103" s="22" t="n">
        <f aca="false">SUMPRODUCT(MMULT('Analysis Data'!N1103:U1103,'Final Model'!$B$59:$I$66),'Analysis Data'!N1103:U1103)</f>
        <v>0.00203403086986482</v>
      </c>
      <c r="C1103" s="15" t="n">
        <f aca="false">'Residual Diagnostics'!F1103</f>
        <v>-65.6566841560371</v>
      </c>
      <c r="D1103" s="13" t="n">
        <f aca="false">C1103/('Final Model'!$B$21*SQRT(1-B1103))</f>
        <v>-1.34042120212212</v>
      </c>
      <c r="E1103" s="13" t="n">
        <f aca="false">D1103*SQRT(('Final Model'!$B$24-1)/('Final Model'!$B$24-D1103^2))</f>
        <v>-1.34080915277658</v>
      </c>
      <c r="F1103" s="23" t="n">
        <f aca="false">D1103^2/($P$3+1)*B1103/(1-B1103)</f>
        <v>0.000457756371709393</v>
      </c>
      <c r="G1103" s="13" t="n">
        <f aca="false">($P$2-1)*(B1103-1/$P$2)</f>
        <v>1.81785425548428</v>
      </c>
      <c r="H1103" s="13" t="n">
        <f aca="false">E1103*SQRT(B1103/(1-B1103))</f>
        <v>-0.0605323967353826</v>
      </c>
      <c r="I1103" s="13" t="n">
        <f aca="false">ABS(D1103)</f>
        <v>1.34042120212212</v>
      </c>
      <c r="J1103" s="6" t="n">
        <f aca="false">IF(B1103&gt;$P$4,1,0)</f>
        <v>0</v>
      </c>
      <c r="K1103" s="6" t="n">
        <f aca="false">IF(F1103&gt;$P$6,1,0)</f>
        <v>0</v>
      </c>
      <c r="L1103" s="6" t="n">
        <f aca="false">IF(G1103&gt;$P$9,1,0)</f>
        <v>0</v>
      </c>
      <c r="M1103" s="6" t="n">
        <f aca="false">IF(ABS(H1103)&gt;$P$8,1,0)</f>
        <v>0</v>
      </c>
    </row>
    <row r="1104" customFormat="false" ht="15" hidden="false" customHeight="false" outlineLevel="0" collapsed="false">
      <c r="A1104" s="0" t="n">
        <f aca="false">ROW()-1</f>
        <v>1103</v>
      </c>
      <c r="B1104" s="22" t="n">
        <f aca="false">SUMPRODUCT(MMULT('Analysis Data'!N1104:U1104,'Final Model'!$B$59:$I$66),'Analysis Data'!N1104:U1104)</f>
        <v>0.00180339166589257</v>
      </c>
      <c r="C1104" s="15" t="n">
        <f aca="false">'Residual Diagnostics'!F1104</f>
        <v>38.5286407884223</v>
      </c>
      <c r="D1104" s="13" t="n">
        <f aca="false">C1104/('Final Model'!$B$21*SQRT(1-B1104))</f>
        <v>0.786494793722323</v>
      </c>
      <c r="E1104" s="13" t="n">
        <f aca="false">D1104*SQRT(('Final Model'!$B$24-1)/('Final Model'!$B$24-D1104^2))</f>
        <v>0.786385887691958</v>
      </c>
      <c r="F1104" s="23" t="n">
        <f aca="false">D1104^2/($P$3+1)*B1104/(1-B1104)</f>
        <v>0.000139693334988271</v>
      </c>
      <c r="G1104" s="13" t="n">
        <f aca="false">($P$2-1)*(B1104-1/$P$2)</f>
        <v>1.49841895798271</v>
      </c>
      <c r="H1104" s="13" t="n">
        <f aca="false">E1104*SQRT(B1104/(1-B1104))</f>
        <v>0.0334250984693065</v>
      </c>
      <c r="I1104" s="13" t="n">
        <f aca="false">ABS(D1104)</f>
        <v>0.786494793722323</v>
      </c>
      <c r="J1104" s="6" t="n">
        <f aca="false">IF(B1104&gt;$P$4,1,0)</f>
        <v>0</v>
      </c>
      <c r="K1104" s="6" t="n">
        <f aca="false">IF(F1104&gt;$P$6,1,0)</f>
        <v>0</v>
      </c>
      <c r="L1104" s="6" t="n">
        <f aca="false">IF(G1104&gt;$P$9,1,0)</f>
        <v>0</v>
      </c>
      <c r="M1104" s="6" t="n">
        <f aca="false">IF(ABS(H1104)&gt;$P$8,1,0)</f>
        <v>0</v>
      </c>
    </row>
    <row r="1105" customFormat="false" ht="15" hidden="false" customHeight="false" outlineLevel="0" collapsed="false">
      <c r="A1105" s="0" t="n">
        <f aca="false">ROW()-1</f>
        <v>1104</v>
      </c>
      <c r="B1105" s="22" t="n">
        <f aca="false">SUMPRODUCT(MMULT('Analysis Data'!N1105:U1105,'Final Model'!$B$59:$I$66),'Analysis Data'!N1105:U1105)</f>
        <v>0.0022746995499454</v>
      </c>
      <c r="C1105" s="15" t="n">
        <f aca="false">'Residual Diagnostics'!F1105</f>
        <v>14.7173711545458</v>
      </c>
      <c r="D1105" s="13" t="n">
        <f aca="false">C1105/('Final Model'!$B$21*SQRT(1-B1105))</f>
        <v>0.300500333671267</v>
      </c>
      <c r="E1105" s="13" t="n">
        <f aca="false">D1105*SQRT(('Final Model'!$B$24-1)/('Final Model'!$B$24-D1105^2))</f>
        <v>0.300401121744601</v>
      </c>
      <c r="F1105" s="23" t="n">
        <f aca="false">D1105^2/($P$3+1)*B1105/(1-B1105)</f>
        <v>2.57343371595726E-005</v>
      </c>
      <c r="G1105" s="13" t="n">
        <f aca="false">($P$2-1)*(B1105-1/$P$2)</f>
        <v>2.15118037739588</v>
      </c>
      <c r="H1105" s="13" t="n">
        <f aca="false">E1105*SQRT(B1105/(1-B1105))</f>
        <v>0.014343597117483</v>
      </c>
      <c r="I1105" s="13" t="n">
        <f aca="false">ABS(D1105)</f>
        <v>0.300500333671267</v>
      </c>
      <c r="J1105" s="6" t="n">
        <f aca="false">IF(B1105&gt;$P$4,1,0)</f>
        <v>0</v>
      </c>
      <c r="K1105" s="6" t="n">
        <f aca="false">IF(F1105&gt;$P$6,1,0)</f>
        <v>0</v>
      </c>
      <c r="L1105" s="6" t="n">
        <f aca="false">IF(G1105&gt;$P$9,1,0)</f>
        <v>0</v>
      </c>
      <c r="M1105" s="6" t="n">
        <f aca="false">IF(ABS(H1105)&gt;$P$8,1,0)</f>
        <v>0</v>
      </c>
    </row>
    <row r="1106" customFormat="false" ht="15" hidden="false" customHeight="false" outlineLevel="0" collapsed="false">
      <c r="A1106" s="0" t="n">
        <f aca="false">ROW()-1</f>
        <v>1105</v>
      </c>
      <c r="B1106" s="22" t="n">
        <f aca="false">SUMPRODUCT(MMULT('Analysis Data'!N1106:U1106,'Final Model'!$B$59:$I$66),'Analysis Data'!N1106:U1106)</f>
        <v>0.00232262762720972</v>
      </c>
      <c r="C1106" s="15" t="n">
        <f aca="false">'Residual Diagnostics'!F1106</f>
        <v>-36.2406716955223</v>
      </c>
      <c r="D1106" s="13" t="n">
        <f aca="false">C1106/('Final Model'!$B$21*SQRT(1-B1106))</f>
        <v>-0.73998239246791</v>
      </c>
      <c r="E1106" s="13" t="n">
        <f aca="false">D1106*SQRT(('Final Model'!$B$24-1)/('Final Model'!$B$24-D1106^2))</f>
        <v>-0.73986085839314</v>
      </c>
      <c r="F1106" s="23" t="n">
        <f aca="false">D1106^2/($P$3+1)*B1106/(1-B1106)</f>
        <v>0.000159346397806367</v>
      </c>
      <c r="G1106" s="13" t="n">
        <f aca="false">($P$2-1)*(B1106-1/$P$2)</f>
        <v>2.21756076440696</v>
      </c>
      <c r="H1106" s="13" t="n">
        <f aca="false">E1106*SQRT(B1106/(1-B1106))</f>
        <v>-0.035698073928175</v>
      </c>
      <c r="I1106" s="13" t="n">
        <f aca="false">ABS(D1106)</f>
        <v>0.73998239246791</v>
      </c>
      <c r="J1106" s="6" t="n">
        <f aca="false">IF(B1106&gt;$P$4,1,0)</f>
        <v>0</v>
      </c>
      <c r="K1106" s="6" t="n">
        <f aca="false">IF(F1106&gt;$P$6,1,0)</f>
        <v>0</v>
      </c>
      <c r="L1106" s="6" t="n">
        <f aca="false">IF(G1106&gt;$P$9,1,0)</f>
        <v>0</v>
      </c>
      <c r="M1106" s="6" t="n">
        <f aca="false">IF(ABS(H1106)&gt;$P$8,1,0)</f>
        <v>0</v>
      </c>
    </row>
    <row r="1107" customFormat="false" ht="15" hidden="false" customHeight="false" outlineLevel="0" collapsed="false">
      <c r="A1107" s="0" t="n">
        <f aca="false">ROW()-1</f>
        <v>1106</v>
      </c>
      <c r="B1107" s="22" t="n">
        <f aca="false">SUMPRODUCT(MMULT('Analysis Data'!N1107:U1107,'Final Model'!$B$59:$I$66),'Analysis Data'!N1107:U1107)</f>
        <v>0.00170779778462098</v>
      </c>
      <c r="C1107" s="15" t="n">
        <f aca="false">'Residual Diagnostics'!F1107</f>
        <v>4.82006166241999</v>
      </c>
      <c r="D1107" s="13" t="n">
        <f aca="false">C1107/('Final Model'!$B$21*SQRT(1-B1107))</f>
        <v>0.0983884148271703</v>
      </c>
      <c r="E1107" s="13" t="n">
        <f aca="false">D1107*SQRT(('Final Model'!$B$24-1)/('Final Model'!$B$24-D1107^2))</f>
        <v>0.0983530540926373</v>
      </c>
      <c r="F1107" s="23" t="n">
        <f aca="false">D1107^2/($P$3+1)*B1107/(1-B1107)</f>
        <v>2.07003032227338E-006</v>
      </c>
      <c r="G1107" s="13" t="n">
        <f aca="false">($P$2-1)*(B1107-1/$P$2)</f>
        <v>1.36602143242155</v>
      </c>
      <c r="H1107" s="13" t="n">
        <f aca="false">E1107*SQRT(B1107/(1-B1107))</f>
        <v>0.00406796524513947</v>
      </c>
      <c r="I1107" s="13" t="n">
        <f aca="false">ABS(D1107)</f>
        <v>0.0983884148271703</v>
      </c>
      <c r="J1107" s="6" t="n">
        <f aca="false">IF(B1107&gt;$P$4,1,0)</f>
        <v>0</v>
      </c>
      <c r="K1107" s="6" t="n">
        <f aca="false">IF(F1107&gt;$P$6,1,0)</f>
        <v>0</v>
      </c>
      <c r="L1107" s="6" t="n">
        <f aca="false">IF(G1107&gt;$P$9,1,0)</f>
        <v>0</v>
      </c>
      <c r="M1107" s="6" t="n">
        <f aca="false">IF(ABS(H1107)&gt;$P$8,1,0)</f>
        <v>0</v>
      </c>
    </row>
    <row r="1108" customFormat="false" ht="15" hidden="false" customHeight="false" outlineLevel="0" collapsed="false">
      <c r="A1108" s="0" t="n">
        <f aca="false">ROW()-1</f>
        <v>1107</v>
      </c>
      <c r="B1108" s="22" t="n">
        <f aca="false">SUMPRODUCT(MMULT('Analysis Data'!N1108:U1108,'Final Model'!$B$59:$I$66),'Analysis Data'!N1108:U1108)</f>
        <v>0.00203403086986482</v>
      </c>
      <c r="C1108" s="15" t="n">
        <f aca="false">'Residual Diagnostics'!F1108</f>
        <v>-6.28175316032377</v>
      </c>
      <c r="D1108" s="13" t="n">
        <f aca="false">C1108/('Final Model'!$B$21*SQRT(1-B1108))</f>
        <v>-0.128245817327364</v>
      </c>
      <c r="E1108" s="13" t="n">
        <f aca="false">D1108*SQRT(('Final Model'!$B$24-1)/('Final Model'!$B$24-D1108^2))</f>
        <v>-0.128200040628745</v>
      </c>
      <c r="F1108" s="23" t="n">
        <f aca="false">D1108^2/($P$3+1)*B1108/(1-B1108)</f>
        <v>4.19023365069519E-006</v>
      </c>
      <c r="G1108" s="13" t="n">
        <f aca="false">($P$2-1)*(B1108-1/$P$2)</f>
        <v>1.81785425548428</v>
      </c>
      <c r="H1108" s="13" t="n">
        <f aca="false">E1108*SQRT(B1108/(1-B1108))</f>
        <v>-0.00578774071221186</v>
      </c>
      <c r="I1108" s="13" t="n">
        <f aca="false">ABS(D1108)</f>
        <v>0.128245817327364</v>
      </c>
      <c r="J1108" s="6" t="n">
        <f aca="false">IF(B1108&gt;$P$4,1,0)</f>
        <v>0</v>
      </c>
      <c r="K1108" s="6" t="n">
        <f aca="false">IF(F1108&gt;$P$6,1,0)</f>
        <v>0</v>
      </c>
      <c r="L1108" s="6" t="n">
        <f aca="false">IF(G1108&gt;$P$9,1,0)</f>
        <v>0</v>
      </c>
      <c r="M1108" s="6" t="n">
        <f aca="false">IF(ABS(H1108)&gt;$P$8,1,0)</f>
        <v>0</v>
      </c>
    </row>
    <row r="1109" customFormat="false" ht="15" hidden="false" customHeight="false" outlineLevel="0" collapsed="false">
      <c r="A1109" s="0" t="n">
        <f aca="false">ROW()-1</f>
        <v>1108</v>
      </c>
      <c r="B1109" s="22" t="n">
        <f aca="false">SUMPRODUCT(MMULT('Analysis Data'!N1109:U1109,'Final Model'!$B$59:$I$66),'Analysis Data'!N1109:U1109)</f>
        <v>0.00171860323102415</v>
      </c>
      <c r="C1109" s="15" t="n">
        <f aca="false">'Residual Diagnostics'!F1109</f>
        <v>26.6571391536834</v>
      </c>
      <c r="D1109" s="13" t="n">
        <f aca="false">C1109/('Final Model'!$B$21*SQRT(1-B1109))</f>
        <v>0.544135748298628</v>
      </c>
      <c r="E1109" s="13" t="n">
        <f aca="false">D1109*SQRT(('Final Model'!$B$24-1)/('Final Model'!$B$24-D1109^2))</f>
        <v>0.543996721709149</v>
      </c>
      <c r="F1109" s="23" t="n">
        <f aca="false">D1109^2/($P$3+1)*B1109/(1-B1109)</f>
        <v>6.37158053248503E-005</v>
      </c>
      <c r="G1109" s="13" t="n">
        <f aca="false">($P$2-1)*(B1109-1/$P$2)</f>
        <v>1.38098697568995</v>
      </c>
      <c r="H1109" s="13" t="n">
        <f aca="false">E1109*SQRT(B1109/(1-B1109))</f>
        <v>0.0225713536554227</v>
      </c>
      <c r="I1109" s="13" t="n">
        <f aca="false">ABS(D1109)</f>
        <v>0.544135748298628</v>
      </c>
      <c r="J1109" s="6" t="n">
        <f aca="false">IF(B1109&gt;$P$4,1,0)</f>
        <v>0</v>
      </c>
      <c r="K1109" s="6" t="n">
        <f aca="false">IF(F1109&gt;$P$6,1,0)</f>
        <v>0</v>
      </c>
      <c r="L1109" s="6" t="n">
        <f aca="false">IF(G1109&gt;$P$9,1,0)</f>
        <v>0</v>
      </c>
      <c r="M1109" s="6" t="n">
        <f aca="false">IF(ABS(H1109)&gt;$P$8,1,0)</f>
        <v>0</v>
      </c>
    </row>
    <row r="1110" customFormat="false" ht="15" hidden="false" customHeight="false" outlineLevel="0" collapsed="false">
      <c r="A1110" s="0" t="n">
        <f aca="false">ROW()-1</f>
        <v>1109</v>
      </c>
      <c r="B1110" s="22" t="n">
        <f aca="false">SUMPRODUCT(MMULT('Analysis Data'!N1110:U1110,'Final Model'!$B$59:$I$66),'Analysis Data'!N1110:U1110)</f>
        <v>0.00171124978204844</v>
      </c>
      <c r="C1110" s="15" t="n">
        <f aca="false">'Residual Diagnostics'!F1110</f>
        <v>-71.4473701091856</v>
      </c>
      <c r="D1110" s="13" t="n">
        <f aca="false">C1110/('Final Model'!$B$21*SQRT(1-B1110))</f>
        <v>-1.4584057497183</v>
      </c>
      <c r="E1110" s="13" t="n">
        <f aca="false">D1110*SQRT(('Final Model'!$B$24-1)/('Final Model'!$B$24-D1110^2))</f>
        <v>-1.45900290148796</v>
      </c>
      <c r="F1110" s="23" t="n">
        <f aca="false">D1110^2/($P$3+1)*B1110/(1-B1110)</f>
        <v>0.00045574716677475</v>
      </c>
      <c r="G1110" s="13" t="n">
        <f aca="false">($P$2-1)*(B1110-1/$P$2)</f>
        <v>1.3708024488586</v>
      </c>
      <c r="H1110" s="13" t="n">
        <f aca="false">E1110*SQRT(B1110/(1-B1110))</f>
        <v>-0.0604066525638921</v>
      </c>
      <c r="I1110" s="13" t="n">
        <f aca="false">ABS(D1110)</f>
        <v>1.4584057497183</v>
      </c>
      <c r="J1110" s="6" t="n">
        <f aca="false">IF(B1110&gt;$P$4,1,0)</f>
        <v>0</v>
      </c>
      <c r="K1110" s="6" t="n">
        <f aca="false">IF(F1110&gt;$P$6,1,0)</f>
        <v>0</v>
      </c>
      <c r="L1110" s="6" t="n">
        <f aca="false">IF(G1110&gt;$P$9,1,0)</f>
        <v>0</v>
      </c>
      <c r="M1110" s="6" t="n">
        <f aca="false">IF(ABS(H1110)&gt;$P$8,1,0)</f>
        <v>0</v>
      </c>
    </row>
    <row r="1111" customFormat="false" ht="15" hidden="false" customHeight="false" outlineLevel="0" collapsed="false">
      <c r="A1111" s="0" t="n">
        <f aca="false">ROW()-1</f>
        <v>1110</v>
      </c>
      <c r="B1111" s="22" t="n">
        <f aca="false">SUMPRODUCT(MMULT('Analysis Data'!N1111:U1111,'Final Model'!$B$59:$I$66),'Analysis Data'!N1111:U1111)</f>
        <v>0.0020684487200648</v>
      </c>
      <c r="C1111" s="15" t="n">
        <f aca="false">'Residual Diagnostics'!F1111</f>
        <v>47.843750260255</v>
      </c>
      <c r="D1111" s="13" t="n">
        <f aca="false">C1111/('Final Model'!$B$21*SQRT(1-B1111))</f>
        <v>0.976776149480706</v>
      </c>
      <c r="E1111" s="13" t="n">
        <f aca="false">D1111*SQRT(('Final Model'!$B$24-1)/('Final Model'!$B$24-D1111^2))</f>
        <v>0.976759867322452</v>
      </c>
      <c r="F1111" s="23" t="n">
        <f aca="false">D1111^2/($P$3+1)*B1111/(1-B1111)</f>
        <v>0.000247197520945206</v>
      </c>
      <c r="G1111" s="13" t="n">
        <f aca="false">($P$2-1)*(B1111-1/$P$2)</f>
        <v>1.86552297801125</v>
      </c>
      <c r="H1111" s="13" t="n">
        <f aca="false">E1111*SQRT(B1111/(1-B1111))</f>
        <v>0.0444692504819166</v>
      </c>
      <c r="I1111" s="13" t="n">
        <f aca="false">ABS(D1111)</f>
        <v>0.976776149480706</v>
      </c>
      <c r="J1111" s="6" t="n">
        <f aca="false">IF(B1111&gt;$P$4,1,0)</f>
        <v>0</v>
      </c>
      <c r="K1111" s="6" t="n">
        <f aca="false">IF(F1111&gt;$P$6,1,0)</f>
        <v>0</v>
      </c>
      <c r="L1111" s="6" t="n">
        <f aca="false">IF(G1111&gt;$P$9,1,0)</f>
        <v>0</v>
      </c>
      <c r="M1111" s="6" t="n">
        <f aca="false">IF(ABS(H1111)&gt;$P$8,1,0)</f>
        <v>0</v>
      </c>
    </row>
    <row r="1112" customFormat="false" ht="15" hidden="false" customHeight="false" outlineLevel="0" collapsed="false">
      <c r="A1112" s="0" t="n">
        <f aca="false">ROW()-1</f>
        <v>1111</v>
      </c>
      <c r="B1112" s="22" t="n">
        <f aca="false">SUMPRODUCT(MMULT('Analysis Data'!N1112:U1112,'Final Model'!$B$59:$I$66),'Analysis Data'!N1112:U1112)</f>
        <v>0.00177467282644505</v>
      </c>
      <c r="C1112" s="15" t="n">
        <f aca="false">'Residual Diagnostics'!F1112</f>
        <v>66.8012655238004</v>
      </c>
      <c r="D1112" s="13" t="n">
        <f aca="false">C1112/('Final Model'!$B$21*SQRT(1-B1112))</f>
        <v>1.36361134728317</v>
      </c>
      <c r="E1112" s="13" t="n">
        <f aca="false">D1112*SQRT(('Final Model'!$B$24-1)/('Final Model'!$B$24-D1112^2))</f>
        <v>1.36403708636306</v>
      </c>
      <c r="F1112" s="23" t="n">
        <f aca="false">D1112^2/($P$3+1)*B1112/(1-B1112)</f>
        <v>0.000413219626601966</v>
      </c>
      <c r="G1112" s="13" t="n">
        <f aca="false">($P$2-1)*(B1112-1/$P$2)</f>
        <v>1.45864336534789</v>
      </c>
      <c r="H1112" s="13" t="n">
        <f aca="false">E1112*SQRT(B1112/(1-B1112))</f>
        <v>0.0575136639838525</v>
      </c>
      <c r="I1112" s="13" t="n">
        <f aca="false">ABS(D1112)</f>
        <v>1.36361134728317</v>
      </c>
      <c r="J1112" s="6" t="n">
        <f aca="false">IF(B1112&gt;$P$4,1,0)</f>
        <v>0</v>
      </c>
      <c r="K1112" s="6" t="n">
        <f aca="false">IF(F1112&gt;$P$6,1,0)</f>
        <v>0</v>
      </c>
      <c r="L1112" s="6" t="n">
        <f aca="false">IF(G1112&gt;$P$9,1,0)</f>
        <v>0</v>
      </c>
      <c r="M1112" s="6" t="n">
        <f aca="false">IF(ABS(H1112)&gt;$P$8,1,0)</f>
        <v>0</v>
      </c>
    </row>
    <row r="1113" customFormat="false" ht="15" hidden="false" customHeight="false" outlineLevel="0" collapsed="false">
      <c r="A1113" s="0" t="n">
        <f aca="false">ROW()-1</f>
        <v>1112</v>
      </c>
      <c r="B1113" s="22" t="n">
        <f aca="false">SUMPRODUCT(MMULT('Analysis Data'!N1113:U1113,'Final Model'!$B$59:$I$66),'Analysis Data'!N1113:U1113)</f>
        <v>0.00172572364305029</v>
      </c>
      <c r="C1113" s="15" t="n">
        <f aca="false">'Residual Diagnostics'!F1113</f>
        <v>-99.4942330197006</v>
      </c>
      <c r="D1113" s="13" t="n">
        <f aca="false">C1113/('Final Model'!$B$21*SQRT(1-B1113))</f>
        <v>-2.03092168668414</v>
      </c>
      <c r="E1113" s="13" t="n">
        <f aca="false">D1113*SQRT(('Final Model'!$B$24-1)/('Final Model'!$B$24-D1113^2))</f>
        <v>-2.03322986585083</v>
      </c>
      <c r="F1113" s="23" t="n">
        <f aca="false">D1113^2/($P$3+1)*B1113/(1-B1113)</f>
        <v>0.000891287336536727</v>
      </c>
      <c r="G1113" s="13" t="n">
        <f aca="false">($P$2-1)*(B1113-1/$P$2)</f>
        <v>1.39084874634615</v>
      </c>
      <c r="H1113" s="13" t="n">
        <f aca="false">E1113*SQRT(B1113/(1-B1113))</f>
        <v>-0.0845370648220251</v>
      </c>
      <c r="I1113" s="13" t="n">
        <f aca="false">ABS(D1113)</f>
        <v>2.03092168668414</v>
      </c>
      <c r="J1113" s="6" t="n">
        <f aca="false">IF(B1113&gt;$P$4,1,0)</f>
        <v>0</v>
      </c>
      <c r="K1113" s="6" t="n">
        <f aca="false">IF(F1113&gt;$P$6,1,0)</f>
        <v>0</v>
      </c>
      <c r="L1113" s="6" t="n">
        <f aca="false">IF(G1113&gt;$P$9,1,0)</f>
        <v>0</v>
      </c>
      <c r="M1113" s="6" t="n">
        <f aca="false">IF(ABS(H1113)&gt;$P$8,1,0)</f>
        <v>0</v>
      </c>
    </row>
    <row r="1114" customFormat="false" ht="15" hidden="false" customHeight="false" outlineLevel="0" collapsed="false">
      <c r="A1114" s="0" t="n">
        <f aca="false">ROW()-1</f>
        <v>1113</v>
      </c>
      <c r="B1114" s="22" t="n">
        <f aca="false">SUMPRODUCT(MMULT('Analysis Data'!N1114:U1114,'Final Model'!$B$59:$I$66),'Analysis Data'!N1114:U1114)</f>
        <v>0.00188118834491935</v>
      </c>
      <c r="C1114" s="15" t="n">
        <f aca="false">'Residual Diagnostics'!F1114</f>
        <v>51.3365258264705</v>
      </c>
      <c r="D1114" s="13" t="n">
        <f aca="false">C1114/('Final Model'!$B$21*SQRT(1-B1114))</f>
        <v>1.04798619804232</v>
      </c>
      <c r="E1114" s="13" t="n">
        <f aca="false">D1114*SQRT(('Final Model'!$B$24-1)/('Final Model'!$B$24-D1114^2))</f>
        <v>1.04802359689178</v>
      </c>
      <c r="F1114" s="23" t="n">
        <f aca="false">D1114^2/($P$3+1)*B1114/(1-B1114)</f>
        <v>0.000258744530147043</v>
      </c>
      <c r="G1114" s="13" t="n">
        <f aca="false">($P$2-1)*(B1114-1/$P$2)</f>
        <v>1.6061673584348</v>
      </c>
      <c r="H1114" s="13" t="n">
        <f aca="false">E1114*SQRT(B1114/(1-B1114))</f>
        <v>0.0454983953823072</v>
      </c>
      <c r="I1114" s="13" t="n">
        <f aca="false">ABS(D1114)</f>
        <v>1.04798619804232</v>
      </c>
      <c r="J1114" s="6" t="n">
        <f aca="false">IF(B1114&gt;$P$4,1,0)</f>
        <v>0</v>
      </c>
      <c r="K1114" s="6" t="n">
        <f aca="false">IF(F1114&gt;$P$6,1,0)</f>
        <v>0</v>
      </c>
      <c r="L1114" s="6" t="n">
        <f aca="false">IF(G1114&gt;$P$9,1,0)</f>
        <v>0</v>
      </c>
      <c r="M1114" s="6" t="n">
        <f aca="false">IF(ABS(H1114)&gt;$P$8,1,0)</f>
        <v>0</v>
      </c>
    </row>
    <row r="1115" customFormat="false" ht="15" hidden="false" customHeight="false" outlineLevel="0" collapsed="false">
      <c r="A1115" s="0" t="n">
        <f aca="false">ROW()-1</f>
        <v>1114</v>
      </c>
      <c r="B1115" s="22" t="n">
        <f aca="false">SUMPRODUCT(MMULT('Analysis Data'!N1115:U1115,'Final Model'!$B$59:$I$66),'Analysis Data'!N1115:U1115)</f>
        <v>0.0022746995499454</v>
      </c>
      <c r="C1115" s="15" t="n">
        <f aca="false">'Residual Diagnostics'!F1115</f>
        <v>12.4454354074456</v>
      </c>
      <c r="D1115" s="13" t="n">
        <f aca="false">C1115/('Final Model'!$B$21*SQRT(1-B1115))</f>
        <v>0.254111787584189</v>
      </c>
      <c r="E1115" s="13" t="n">
        <f aca="false">D1115*SQRT(('Final Model'!$B$24-1)/('Final Model'!$B$24-D1115^2))</f>
        <v>0.254025519596348</v>
      </c>
      <c r="F1115" s="23" t="n">
        <f aca="false">D1115^2/($P$3+1)*B1115/(1-B1115)</f>
        <v>1.84023248148542E-005</v>
      </c>
      <c r="G1115" s="13" t="n">
        <f aca="false">($P$2-1)*(B1115-1/$P$2)</f>
        <v>2.15118037739588</v>
      </c>
      <c r="H1115" s="13" t="n">
        <f aca="false">E1115*SQRT(B1115/(1-B1115))</f>
        <v>0.0121292480184115</v>
      </c>
      <c r="I1115" s="13" t="n">
        <f aca="false">ABS(D1115)</f>
        <v>0.254111787584189</v>
      </c>
      <c r="J1115" s="6" t="n">
        <f aca="false">IF(B1115&gt;$P$4,1,0)</f>
        <v>0</v>
      </c>
      <c r="K1115" s="6" t="n">
        <f aca="false">IF(F1115&gt;$P$6,1,0)</f>
        <v>0</v>
      </c>
      <c r="L1115" s="6" t="n">
        <f aca="false">IF(G1115&gt;$P$9,1,0)</f>
        <v>0</v>
      </c>
      <c r="M1115" s="6" t="n">
        <f aca="false">IF(ABS(H1115)&gt;$P$8,1,0)</f>
        <v>0</v>
      </c>
    </row>
    <row r="1116" customFormat="false" ht="15" hidden="false" customHeight="false" outlineLevel="0" collapsed="false">
      <c r="A1116" s="0" t="n">
        <f aca="false">ROW()-1</f>
        <v>1115</v>
      </c>
      <c r="B1116" s="22" t="n">
        <f aca="false">SUMPRODUCT(MMULT('Analysis Data'!N1116:U1116,'Final Model'!$B$59:$I$66),'Analysis Data'!N1116:U1116)</f>
        <v>0.00259025777676918</v>
      </c>
      <c r="C1116" s="15" t="n">
        <f aca="false">'Residual Diagnostics'!F1116</f>
        <v>-21.8090052048402</v>
      </c>
      <c r="D1116" s="13" t="n">
        <f aca="false">C1116/('Final Model'!$B$21*SQRT(1-B1116))</f>
        <v>-0.445368258972569</v>
      </c>
      <c r="E1116" s="13" t="n">
        <f aca="false">D1116*SQRT(('Final Model'!$B$24-1)/('Final Model'!$B$24-D1116^2))</f>
        <v>-0.445238675687571</v>
      </c>
      <c r="F1116" s="23" t="n">
        <f aca="false">D1116^2/($P$3+1)*B1116/(1-B1116)</f>
        <v>6.43899247239873E-005</v>
      </c>
      <c r="G1116" s="13" t="n">
        <f aca="false">($P$2-1)*(B1116-1/$P$2)</f>
        <v>2.58822852154682</v>
      </c>
      <c r="H1116" s="13" t="n">
        <f aca="false">E1116*SQRT(B1116/(1-B1116))</f>
        <v>-0.0226896382866823</v>
      </c>
      <c r="I1116" s="13" t="n">
        <f aca="false">ABS(D1116)</f>
        <v>0.445368258972569</v>
      </c>
      <c r="J1116" s="6" t="n">
        <f aca="false">IF(B1116&gt;$P$4,1,0)</f>
        <v>0</v>
      </c>
      <c r="K1116" s="6" t="n">
        <f aca="false">IF(F1116&gt;$P$6,1,0)</f>
        <v>0</v>
      </c>
      <c r="L1116" s="6" t="n">
        <f aca="false">IF(G1116&gt;$P$9,1,0)</f>
        <v>0</v>
      </c>
      <c r="M1116" s="6" t="n">
        <f aca="false">IF(ABS(H1116)&gt;$P$8,1,0)</f>
        <v>0</v>
      </c>
    </row>
    <row r="1117" customFormat="false" ht="15" hidden="false" customHeight="false" outlineLevel="0" collapsed="false">
      <c r="A1117" s="0" t="n">
        <f aca="false">ROW()-1</f>
        <v>1116</v>
      </c>
      <c r="B1117" s="22" t="n">
        <f aca="false">SUMPRODUCT(MMULT('Analysis Data'!N1117:U1117,'Final Model'!$B$59:$I$66),'Analysis Data'!N1117:U1117)</f>
        <v>0.00202122164863121</v>
      </c>
      <c r="C1117" s="15" t="n">
        <f aca="false">'Residual Diagnostics'!F1117</f>
        <v>-28.5243574512988</v>
      </c>
      <c r="D1117" s="13" t="n">
        <f aca="false">C1117/('Final Model'!$B$21*SQRT(1-B1117))</f>
        <v>-0.582338395873818</v>
      </c>
      <c r="E1117" s="13" t="n">
        <f aca="false">D1117*SQRT(('Final Model'!$B$24-1)/('Final Model'!$B$24-D1117^2))</f>
        <v>-0.58219870143565</v>
      </c>
      <c r="F1117" s="23" t="n">
        <f aca="false">D1117^2/($P$3+1)*B1117/(1-B1117)</f>
        <v>8.58526093793448E-005</v>
      </c>
      <c r="G1117" s="13" t="n">
        <f aca="false">($P$2-1)*(B1117-1/$P$2)</f>
        <v>1.80011348407572</v>
      </c>
      <c r="H1117" s="13" t="n">
        <f aca="false">E1117*SQRT(B1117/(1-B1117))</f>
        <v>-0.0262009808605243</v>
      </c>
      <c r="I1117" s="13" t="n">
        <f aca="false">ABS(D1117)</f>
        <v>0.582338395873818</v>
      </c>
      <c r="J1117" s="6" t="n">
        <f aca="false">IF(B1117&gt;$P$4,1,0)</f>
        <v>0</v>
      </c>
      <c r="K1117" s="6" t="n">
        <f aca="false">IF(F1117&gt;$P$6,1,0)</f>
        <v>0</v>
      </c>
      <c r="L1117" s="6" t="n">
        <f aca="false">IF(G1117&gt;$P$9,1,0)</f>
        <v>0</v>
      </c>
      <c r="M1117" s="6" t="n">
        <f aca="false">IF(ABS(H1117)&gt;$P$8,1,0)</f>
        <v>0</v>
      </c>
    </row>
    <row r="1118" customFormat="false" ht="15" hidden="false" customHeight="false" outlineLevel="0" collapsed="false">
      <c r="A1118" s="0" t="n">
        <f aca="false">ROW()-1</f>
        <v>1117</v>
      </c>
      <c r="B1118" s="22" t="n">
        <f aca="false">SUMPRODUCT(MMULT('Analysis Data'!N1118:U1118,'Final Model'!$B$59:$I$66),'Analysis Data'!N1118:U1118)</f>
        <v>0.00203403086986482</v>
      </c>
      <c r="C1118" s="15" t="n">
        <f aca="false">'Residual Diagnostics'!F1118</f>
        <v>2.10551374529422</v>
      </c>
      <c r="D1118" s="13" t="n">
        <f aca="false">C1118/('Final Model'!$B$21*SQRT(1-B1118))</f>
        <v>0.0429853456937394</v>
      </c>
      <c r="E1118" s="13" t="n">
        <f aca="false">D1118*SQRT(('Final Model'!$B$24-1)/('Final Model'!$B$24-D1118^2))</f>
        <v>0.0429697746668775</v>
      </c>
      <c r="F1118" s="23" t="n">
        <f aca="false">D1118^2/($P$3+1)*B1118/(1-B1118)</f>
        <v>4.70752535991877E-007</v>
      </c>
      <c r="G1118" s="13" t="n">
        <f aca="false">($P$2-1)*(B1118-1/$P$2)</f>
        <v>1.81785425548428</v>
      </c>
      <c r="H1118" s="13" t="n">
        <f aca="false">E1118*SQRT(B1118/(1-B1118))</f>
        <v>0.00193992071308513</v>
      </c>
      <c r="I1118" s="13" t="n">
        <f aca="false">ABS(D1118)</f>
        <v>0.0429853456937394</v>
      </c>
      <c r="J1118" s="6" t="n">
        <f aca="false">IF(B1118&gt;$P$4,1,0)</f>
        <v>0</v>
      </c>
      <c r="K1118" s="6" t="n">
        <f aca="false">IF(F1118&gt;$P$6,1,0)</f>
        <v>0</v>
      </c>
      <c r="L1118" s="6" t="n">
        <f aca="false">IF(G1118&gt;$P$9,1,0)</f>
        <v>0</v>
      </c>
      <c r="M1118" s="6" t="n">
        <f aca="false">IF(ABS(H1118)&gt;$P$8,1,0)</f>
        <v>0</v>
      </c>
    </row>
    <row r="1119" customFormat="false" ht="15" hidden="false" customHeight="false" outlineLevel="0" collapsed="false">
      <c r="A1119" s="0" t="n">
        <f aca="false">ROW()-1</f>
        <v>1118</v>
      </c>
      <c r="B1119" s="22" t="n">
        <f aca="false">SUMPRODUCT(MMULT('Analysis Data'!N1119:U1119,'Final Model'!$B$59:$I$66),'Analysis Data'!N1119:U1119)</f>
        <v>0.00168294048025544</v>
      </c>
      <c r="C1119" s="15" t="n">
        <f aca="false">'Residual Diagnostics'!F1119</f>
        <v>48.5618469907015</v>
      </c>
      <c r="D1119" s="13" t="n">
        <f aca="false">C1119/('Final Model'!$B$21*SQRT(1-B1119))</f>
        <v>0.991245340308348</v>
      </c>
      <c r="E1119" s="13" t="n">
        <f aca="false">D1119*SQRT(('Final Model'!$B$24-1)/('Final Model'!$B$24-D1119^2))</f>
        <v>0.991239065836995</v>
      </c>
      <c r="F1119" s="23" t="n">
        <f aca="false">D1119^2/($P$3+1)*B1119/(1-B1119)</f>
        <v>0.000207048741368902</v>
      </c>
      <c r="G1119" s="13" t="n">
        <f aca="false">($P$2-1)*(B1119-1/$P$2)</f>
        <v>1.33159406587529</v>
      </c>
      <c r="H1119" s="13" t="n">
        <f aca="false">E1119*SQRT(B1119/(1-B1119))</f>
        <v>0.0406985130133056</v>
      </c>
      <c r="I1119" s="13" t="n">
        <f aca="false">ABS(D1119)</f>
        <v>0.991245340308348</v>
      </c>
      <c r="J1119" s="6" t="n">
        <f aca="false">IF(B1119&gt;$P$4,1,0)</f>
        <v>0</v>
      </c>
      <c r="K1119" s="6" t="n">
        <f aca="false">IF(F1119&gt;$P$6,1,0)</f>
        <v>0</v>
      </c>
      <c r="L1119" s="6" t="n">
        <f aca="false">IF(G1119&gt;$P$9,1,0)</f>
        <v>0</v>
      </c>
      <c r="M1119" s="6" t="n">
        <f aca="false">IF(ABS(H1119)&gt;$P$8,1,0)</f>
        <v>0</v>
      </c>
    </row>
    <row r="1120" customFormat="false" ht="15" hidden="false" customHeight="false" outlineLevel="0" collapsed="false">
      <c r="A1120" s="0" t="n">
        <f aca="false">ROW()-1</f>
        <v>1119</v>
      </c>
      <c r="B1120" s="22" t="n">
        <f aca="false">SUMPRODUCT(MMULT('Analysis Data'!N1120:U1120,'Final Model'!$B$59:$I$66),'Analysis Data'!N1120:U1120)</f>
        <v>0.00168783344314035</v>
      </c>
      <c r="C1120" s="15" t="n">
        <f aca="false">'Residual Diagnostics'!F1120</f>
        <v>-13.4903876095212</v>
      </c>
      <c r="D1120" s="13" t="n">
        <f aca="false">C1120/('Final Model'!$B$21*SQRT(1-B1120))</f>
        <v>-0.275366722146438</v>
      </c>
      <c r="E1120" s="13" t="n">
        <f aca="false">D1120*SQRT(('Final Model'!$B$24-1)/('Final Model'!$B$24-D1120^2))</f>
        <v>-0.275274362484588</v>
      </c>
      <c r="F1120" s="23" t="n">
        <f aca="false">D1120^2/($P$3+1)*B1120/(1-B1120)</f>
        <v>1.60249302097192E-005</v>
      </c>
      <c r="G1120" s="13" t="n">
        <f aca="false">($P$2-1)*(B1120-1/$P$2)</f>
        <v>1.33837081947089</v>
      </c>
      <c r="H1120" s="13" t="n">
        <f aca="false">E1120*SQRT(B1120/(1-B1120))</f>
        <v>-0.0113187215870734</v>
      </c>
      <c r="I1120" s="13" t="n">
        <f aca="false">ABS(D1120)</f>
        <v>0.275366722146438</v>
      </c>
      <c r="J1120" s="6" t="n">
        <f aca="false">IF(B1120&gt;$P$4,1,0)</f>
        <v>0</v>
      </c>
      <c r="K1120" s="6" t="n">
        <f aca="false">IF(F1120&gt;$P$6,1,0)</f>
        <v>0</v>
      </c>
      <c r="L1120" s="6" t="n">
        <f aca="false">IF(G1120&gt;$P$9,1,0)</f>
        <v>0</v>
      </c>
      <c r="M1120" s="6" t="n">
        <f aca="false">IF(ABS(H1120)&gt;$P$8,1,0)</f>
        <v>0</v>
      </c>
    </row>
    <row r="1121" customFormat="false" ht="15" hidden="false" customHeight="false" outlineLevel="0" collapsed="false">
      <c r="A1121" s="0" t="n">
        <f aca="false">ROW()-1</f>
        <v>1120</v>
      </c>
      <c r="B1121" s="22" t="n">
        <f aca="false">SUMPRODUCT(MMULT('Analysis Data'!N1121:U1121,'Final Model'!$B$59:$I$66),'Analysis Data'!N1121:U1121)</f>
        <v>0.0031805439327292</v>
      </c>
      <c r="C1121" s="15" t="n">
        <f aca="false">'Residual Diagnostics'!F1121</f>
        <v>15.5665881376836</v>
      </c>
      <c r="D1121" s="13" t="n">
        <f aca="false">C1121/('Final Model'!$B$21*SQRT(1-B1121))</f>
        <v>0.317984089771019</v>
      </c>
      <c r="E1121" s="13" t="n">
        <f aca="false">D1121*SQRT(('Final Model'!$B$24-1)/('Final Model'!$B$24-D1121^2))</f>
        <v>0.317880352799244</v>
      </c>
      <c r="F1121" s="23" t="n">
        <f aca="false">D1121^2/($P$3+1)*B1121/(1-B1121)</f>
        <v>4.0327907410547E-005</v>
      </c>
      <c r="G1121" s="13" t="n">
        <f aca="false">($P$2-1)*(B1121-1/$P$2)</f>
        <v>3.40577484755144</v>
      </c>
      <c r="H1121" s="13" t="n">
        <f aca="false">E1121*SQRT(B1121/(1-B1121))</f>
        <v>0.0179558567819707</v>
      </c>
      <c r="I1121" s="13" t="n">
        <f aca="false">ABS(D1121)</f>
        <v>0.317984089771019</v>
      </c>
      <c r="J1121" s="6" t="n">
        <f aca="false">IF(B1121&gt;$P$4,1,0)</f>
        <v>0</v>
      </c>
      <c r="K1121" s="6" t="n">
        <f aca="false">IF(F1121&gt;$P$6,1,0)</f>
        <v>0</v>
      </c>
      <c r="L1121" s="6" t="n">
        <f aca="false">IF(G1121&gt;$P$9,1,0)</f>
        <v>0</v>
      </c>
      <c r="M1121" s="6" t="n">
        <f aca="false">IF(ABS(H1121)&gt;$P$8,1,0)</f>
        <v>0</v>
      </c>
    </row>
    <row r="1122" customFormat="false" ht="15" hidden="false" customHeight="false" outlineLevel="0" collapsed="false">
      <c r="A1122" s="0" t="n">
        <f aca="false">ROW()-1</f>
        <v>1121</v>
      </c>
      <c r="B1122" s="22" t="n">
        <f aca="false">SUMPRODUCT(MMULT('Analysis Data'!N1122:U1122,'Final Model'!$B$59:$I$66),'Analysis Data'!N1122:U1122)</f>
        <v>0.0020684487200648</v>
      </c>
      <c r="C1122" s="15" t="n">
        <f aca="false">'Residual Diagnostics'!F1122</f>
        <v>-51.2893932251205</v>
      </c>
      <c r="D1122" s="13" t="n">
        <f aca="false">C1122/('Final Model'!$B$21*SQRT(1-B1122))</f>
        <v>-1.04712226259681</v>
      </c>
      <c r="E1122" s="13" t="n">
        <f aca="false">D1122*SQRT(('Final Model'!$B$24-1)/('Final Model'!$B$24-D1122^2))</f>
        <v>-1.04715894233208</v>
      </c>
      <c r="F1122" s="23" t="n">
        <f aca="false">D1122^2/($P$3+1)*B1122/(1-B1122)</f>
        <v>0.000284085327650426</v>
      </c>
      <c r="G1122" s="13" t="n">
        <f aca="false">($P$2-1)*(B1122-1/$P$2)</f>
        <v>1.86552297801125</v>
      </c>
      <c r="H1122" s="13" t="n">
        <f aca="false">E1122*SQRT(B1122/(1-B1122))</f>
        <v>-0.04767433108057</v>
      </c>
      <c r="I1122" s="13" t="n">
        <f aca="false">ABS(D1122)</f>
        <v>1.04712226259681</v>
      </c>
      <c r="J1122" s="6" t="n">
        <f aca="false">IF(B1122&gt;$P$4,1,0)</f>
        <v>0</v>
      </c>
      <c r="K1122" s="6" t="n">
        <f aca="false">IF(F1122&gt;$P$6,1,0)</f>
        <v>0</v>
      </c>
      <c r="L1122" s="6" t="n">
        <f aca="false">IF(G1122&gt;$P$9,1,0)</f>
        <v>0</v>
      </c>
      <c r="M1122" s="6" t="n">
        <f aca="false">IF(ABS(H1122)&gt;$P$8,1,0)</f>
        <v>0</v>
      </c>
    </row>
    <row r="1123" customFormat="false" ht="15" hidden="false" customHeight="false" outlineLevel="0" collapsed="false">
      <c r="A1123" s="0" t="n">
        <f aca="false">ROW()-1</f>
        <v>1122</v>
      </c>
      <c r="B1123" s="22" t="n">
        <f aca="false">SUMPRODUCT(MMULT('Analysis Data'!N1123:U1123,'Final Model'!$B$59:$I$66),'Analysis Data'!N1123:U1123)</f>
        <v>0.00265367630729723</v>
      </c>
      <c r="C1123" s="15" t="n">
        <f aca="false">'Residual Diagnostics'!F1123</f>
        <v>74.8968737006707</v>
      </c>
      <c r="D1123" s="13" t="n">
        <f aca="false">C1123/('Final Model'!$B$21*SQRT(1-B1123))</f>
        <v>1.52954022628864</v>
      </c>
      <c r="E1123" s="13" t="n">
        <f aca="false">D1123*SQRT(('Final Model'!$B$24-1)/('Final Model'!$B$24-D1123^2))</f>
        <v>1.5302847088073</v>
      </c>
      <c r="F1123" s="23" t="n">
        <f aca="false">D1123^2/($P$3+1)*B1123/(1-B1123)</f>
        <v>0.0007780970616708</v>
      </c>
      <c r="G1123" s="13" t="n">
        <f aca="false">($P$2-1)*(B1123-1/$P$2)</f>
        <v>2.67606318632817</v>
      </c>
      <c r="H1123" s="13" t="n">
        <f aca="false">E1123*SQRT(B1123/(1-B1123))</f>
        <v>0.0789356549067783</v>
      </c>
      <c r="I1123" s="13" t="n">
        <f aca="false">ABS(D1123)</f>
        <v>1.52954022628864</v>
      </c>
      <c r="J1123" s="6" t="n">
        <f aca="false">IF(B1123&gt;$P$4,1,0)</f>
        <v>0</v>
      </c>
      <c r="K1123" s="6" t="n">
        <f aca="false">IF(F1123&gt;$P$6,1,0)</f>
        <v>0</v>
      </c>
      <c r="L1123" s="6" t="n">
        <f aca="false">IF(G1123&gt;$P$9,1,0)</f>
        <v>0</v>
      </c>
      <c r="M1123" s="6" t="n">
        <f aca="false">IF(ABS(H1123)&gt;$P$8,1,0)</f>
        <v>0</v>
      </c>
    </row>
    <row r="1124" customFormat="false" ht="15" hidden="false" customHeight="false" outlineLevel="0" collapsed="false">
      <c r="A1124" s="0" t="n">
        <f aca="false">ROW()-1</f>
        <v>1123</v>
      </c>
      <c r="B1124" s="22" t="n">
        <f aca="false">SUMPRODUCT(MMULT('Analysis Data'!N1124:U1124,'Final Model'!$B$59:$I$66),'Analysis Data'!N1124:U1124)</f>
        <v>0.00175579028132949</v>
      </c>
      <c r="C1124" s="15" t="n">
        <f aca="false">'Residual Diagnostics'!F1124</f>
        <v>37.4844401889899</v>
      </c>
      <c r="D1124" s="13" t="n">
        <f aca="false">C1124/('Final Model'!$B$21*SQRT(1-B1124))</f>
        <v>0.765161021325146</v>
      </c>
      <c r="E1124" s="13" t="n">
        <f aca="false">D1124*SQRT(('Final Model'!$B$24-1)/('Final Model'!$B$24-D1124^2))</f>
        <v>0.765045876248492</v>
      </c>
      <c r="F1124" s="23" t="n">
        <f aca="false">D1124^2/($P$3+1)*B1124/(1-B1124)</f>
        <v>0.000128721629939588</v>
      </c>
      <c r="G1124" s="13" t="n">
        <f aca="false">($P$2-1)*(B1124-1/$P$2)</f>
        <v>1.43249104036285</v>
      </c>
      <c r="H1124" s="13" t="n">
        <f aca="false">E1124*SQRT(B1124/(1-B1124))</f>
        <v>0.0320852478956985</v>
      </c>
      <c r="I1124" s="13" t="n">
        <f aca="false">ABS(D1124)</f>
        <v>0.765161021325146</v>
      </c>
      <c r="J1124" s="6" t="n">
        <f aca="false">IF(B1124&gt;$P$4,1,0)</f>
        <v>0</v>
      </c>
      <c r="K1124" s="6" t="n">
        <f aca="false">IF(F1124&gt;$P$6,1,0)</f>
        <v>0</v>
      </c>
      <c r="L1124" s="6" t="n">
        <f aca="false">IF(G1124&gt;$P$9,1,0)</f>
        <v>0</v>
      </c>
      <c r="M1124" s="6" t="n">
        <f aca="false">IF(ABS(H1124)&gt;$P$8,1,0)</f>
        <v>0</v>
      </c>
    </row>
    <row r="1125" customFormat="false" ht="15" hidden="false" customHeight="false" outlineLevel="0" collapsed="false">
      <c r="A1125" s="0" t="n">
        <f aca="false">ROW()-1</f>
        <v>1124</v>
      </c>
      <c r="B1125" s="22" t="n">
        <f aca="false">SUMPRODUCT(MMULT('Analysis Data'!N1125:U1125,'Final Model'!$B$59:$I$66),'Analysis Data'!N1125:U1125)</f>
        <v>0.00268151141350615</v>
      </c>
      <c r="C1125" s="15" t="n">
        <f aca="false">'Residual Diagnostics'!F1125</f>
        <v>-32.094062414827</v>
      </c>
      <c r="D1125" s="13" t="n">
        <f aca="false">C1125/('Final Model'!$B$21*SQRT(1-B1125))</f>
        <v>-0.655432491319032</v>
      </c>
      <c r="E1125" s="13" t="n">
        <f aca="false">D1125*SQRT(('Final Model'!$B$24-1)/('Final Model'!$B$24-D1125^2))</f>
        <v>-0.655296780357539</v>
      </c>
      <c r="F1125" s="23" t="n">
        <f aca="false">D1125^2/($P$3+1)*B1125/(1-B1125)</f>
        <v>0.00014438155862079</v>
      </c>
      <c r="G1125" s="13" t="n">
        <f aca="false">($P$2-1)*(B1125-1/$P$2)</f>
        <v>2.71461480842751</v>
      </c>
      <c r="H1125" s="13" t="n">
        <f aca="false">E1125*SQRT(B1125/(1-B1125))</f>
        <v>-0.0339790258592534</v>
      </c>
      <c r="I1125" s="13" t="n">
        <f aca="false">ABS(D1125)</f>
        <v>0.655432491319032</v>
      </c>
      <c r="J1125" s="6" t="n">
        <f aca="false">IF(B1125&gt;$P$4,1,0)</f>
        <v>0</v>
      </c>
      <c r="K1125" s="6" t="n">
        <f aca="false">IF(F1125&gt;$P$6,1,0)</f>
        <v>0</v>
      </c>
      <c r="L1125" s="6" t="n">
        <f aca="false">IF(G1125&gt;$P$9,1,0)</f>
        <v>0</v>
      </c>
      <c r="M1125" s="6" t="n">
        <f aca="false">IF(ABS(H1125)&gt;$P$8,1,0)</f>
        <v>0</v>
      </c>
    </row>
    <row r="1126" customFormat="false" ht="15" hidden="false" customHeight="false" outlineLevel="0" collapsed="false">
      <c r="A1126" s="0" t="n">
        <f aca="false">ROW()-1</f>
        <v>1125</v>
      </c>
      <c r="B1126" s="22" t="n">
        <f aca="false">SUMPRODUCT(MMULT('Analysis Data'!N1126:U1126,'Final Model'!$B$59:$I$66),'Analysis Data'!N1126:U1126)</f>
        <v>0.00259025777676918</v>
      </c>
      <c r="C1126" s="15" t="n">
        <f aca="false">'Residual Diagnostics'!F1126</f>
        <v>44.8534063870396</v>
      </c>
      <c r="D1126" s="13" t="n">
        <f aca="false">C1126/('Final Model'!$B$21*SQRT(1-B1126))</f>
        <v>0.91596491100619</v>
      </c>
      <c r="E1126" s="13" t="n">
        <f aca="false">D1126*SQRT(('Final Model'!$B$24-1)/('Final Model'!$B$24-D1126^2))</f>
        <v>0.915911365252858</v>
      </c>
      <c r="F1126" s="23" t="n">
        <f aca="false">D1126^2/($P$3+1)*B1126/(1-B1126)</f>
        <v>0.000272356075279348</v>
      </c>
      <c r="G1126" s="13" t="n">
        <f aca="false">($P$2-1)*(B1126-1/$P$2)</f>
        <v>2.58822852154682</v>
      </c>
      <c r="H1126" s="13" t="n">
        <f aca="false">E1126*SQRT(B1126/(1-B1126))</f>
        <v>0.0466754096511406</v>
      </c>
      <c r="I1126" s="13" t="n">
        <f aca="false">ABS(D1126)</f>
        <v>0.91596491100619</v>
      </c>
      <c r="J1126" s="6" t="n">
        <f aca="false">IF(B1126&gt;$P$4,1,0)</f>
        <v>0</v>
      </c>
      <c r="K1126" s="6" t="n">
        <f aca="false">IF(F1126&gt;$P$6,1,0)</f>
        <v>0</v>
      </c>
      <c r="L1126" s="6" t="n">
        <f aca="false">IF(G1126&gt;$P$9,1,0)</f>
        <v>0</v>
      </c>
      <c r="M1126" s="6" t="n">
        <f aca="false">IF(ABS(H1126)&gt;$P$8,1,0)</f>
        <v>0</v>
      </c>
    </row>
    <row r="1127" customFormat="false" ht="15" hidden="false" customHeight="false" outlineLevel="0" collapsed="false">
      <c r="A1127" s="0" t="n">
        <f aca="false">ROW()-1</f>
        <v>1126</v>
      </c>
      <c r="B1127" s="22" t="n">
        <f aca="false">SUMPRODUCT(MMULT('Analysis Data'!N1127:U1127,'Final Model'!$B$59:$I$66),'Analysis Data'!N1127:U1127)</f>
        <v>0.00259025777676918</v>
      </c>
      <c r="C1127" s="15" t="n">
        <f aca="false">'Residual Diagnostics'!F1127</f>
        <v>28.4609041215071</v>
      </c>
      <c r="D1127" s="13" t="n">
        <f aca="false">C1127/('Final Model'!$B$21*SQRT(1-B1127))</f>
        <v>0.581208688719452</v>
      </c>
      <c r="E1127" s="13" t="n">
        <f aca="false">D1127*SQRT(('Final Model'!$B$24-1)/('Final Model'!$B$24-D1127^2))</f>
        <v>0.58106898807387</v>
      </c>
      <c r="F1127" s="23" t="n">
        <f aca="false">D1127^2/($P$3+1)*B1127/(1-B1127)</f>
        <v>0.000109658825387558</v>
      </c>
      <c r="G1127" s="13" t="n">
        <f aca="false">($P$2-1)*(B1127-1/$P$2)</f>
        <v>2.58822852154682</v>
      </c>
      <c r="H1127" s="13" t="n">
        <f aca="false">E1127*SQRT(B1127/(1-B1127))</f>
        <v>0.0296116350149603</v>
      </c>
      <c r="I1127" s="13" t="n">
        <f aca="false">ABS(D1127)</f>
        <v>0.581208688719452</v>
      </c>
      <c r="J1127" s="6" t="n">
        <f aca="false">IF(B1127&gt;$P$4,1,0)</f>
        <v>0</v>
      </c>
      <c r="K1127" s="6" t="n">
        <f aca="false">IF(F1127&gt;$P$6,1,0)</f>
        <v>0</v>
      </c>
      <c r="L1127" s="6" t="n">
        <f aca="false">IF(G1127&gt;$P$9,1,0)</f>
        <v>0</v>
      </c>
      <c r="M1127" s="6" t="n">
        <f aca="false">IF(ABS(H1127)&gt;$P$8,1,0)</f>
        <v>0</v>
      </c>
    </row>
    <row r="1128" customFormat="false" ht="15" hidden="false" customHeight="false" outlineLevel="0" collapsed="false">
      <c r="A1128" s="0" t="n">
        <f aca="false">ROW()-1</f>
        <v>1127</v>
      </c>
      <c r="B1128" s="22" t="n">
        <f aca="false">SUMPRODUCT(MMULT('Analysis Data'!N1128:U1128,'Final Model'!$B$59:$I$66),'Analysis Data'!N1128:U1128)</f>
        <v>0.00259025777676918</v>
      </c>
      <c r="C1128" s="15" t="n">
        <f aca="false">'Residual Diagnostics'!F1128</f>
        <v>-121.053887576212</v>
      </c>
      <c r="D1128" s="13" t="n">
        <f aca="false">C1128/('Final Model'!$B$21*SQRT(1-B1128))</f>
        <v>-2.47207787082894</v>
      </c>
      <c r="E1128" s="13" t="n">
        <f aca="false">D1128*SQRT(('Final Model'!$B$24-1)/('Final Model'!$B$24-D1128^2))</f>
        <v>-2.47667863030506</v>
      </c>
      <c r="F1128" s="23" t="n">
        <f aca="false">D1128^2/($P$3+1)*B1128/(1-B1128)</f>
        <v>0.00198382650026454</v>
      </c>
      <c r="G1128" s="13" t="n">
        <f aca="false">($P$2-1)*(B1128-1/$P$2)</f>
        <v>2.58822852154682</v>
      </c>
      <c r="H1128" s="13" t="n">
        <f aca="false">E1128*SQRT(B1128/(1-B1128))</f>
        <v>-0.126213074790048</v>
      </c>
      <c r="I1128" s="13" t="n">
        <f aca="false">ABS(D1128)</f>
        <v>2.47207787082894</v>
      </c>
      <c r="J1128" s="6" t="n">
        <f aca="false">IF(B1128&gt;$P$4,1,0)</f>
        <v>0</v>
      </c>
      <c r="K1128" s="6" t="n">
        <f aca="false">IF(F1128&gt;$P$6,1,0)</f>
        <v>0</v>
      </c>
      <c r="L1128" s="6" t="n">
        <f aca="false">IF(G1128&gt;$P$9,1,0)</f>
        <v>0</v>
      </c>
      <c r="M1128" s="6" t="n">
        <f aca="false">IF(ABS(H1128)&gt;$P$8,1,0)</f>
        <v>0</v>
      </c>
    </row>
    <row r="1129" customFormat="false" ht="15" hidden="false" customHeight="false" outlineLevel="0" collapsed="false">
      <c r="A1129" s="0" t="n">
        <f aca="false">ROW()-1</f>
        <v>1128</v>
      </c>
      <c r="B1129" s="22" t="n">
        <f aca="false">SUMPRODUCT(MMULT('Analysis Data'!N1129:U1129,'Final Model'!$B$59:$I$66),'Analysis Data'!N1129:U1129)</f>
        <v>0.00225473016486626</v>
      </c>
      <c r="C1129" s="15" t="n">
        <f aca="false">'Residual Diagnostics'!F1129</f>
        <v>-20.9543455785228</v>
      </c>
      <c r="D1129" s="13" t="n">
        <f aca="false">C1129/('Final Model'!$B$21*SQRT(1-B1129))</f>
        <v>-0.427843040594909</v>
      </c>
      <c r="E1129" s="13" t="n">
        <f aca="false">D1129*SQRT(('Final Model'!$B$24-1)/('Final Model'!$B$24-D1129^2))</f>
        <v>-0.427716181094133</v>
      </c>
      <c r="F1129" s="23" t="n">
        <f aca="false">D1129^2/($P$3+1)*B1129/(1-B1129)</f>
        <v>5.1707537384644E-005</v>
      </c>
      <c r="G1129" s="13" t="n">
        <f aca="false">($P$2-1)*(B1129-1/$P$2)</f>
        <v>2.12352277906127</v>
      </c>
      <c r="H1129" s="13" t="n">
        <f aca="false">E1129*SQRT(B1129/(1-B1129))</f>
        <v>-0.0203326099425834</v>
      </c>
      <c r="I1129" s="13" t="n">
        <f aca="false">ABS(D1129)</f>
        <v>0.427843040594909</v>
      </c>
      <c r="J1129" s="6" t="n">
        <f aca="false">IF(B1129&gt;$P$4,1,0)</f>
        <v>0</v>
      </c>
      <c r="K1129" s="6" t="n">
        <f aca="false">IF(F1129&gt;$P$6,1,0)</f>
        <v>0</v>
      </c>
      <c r="L1129" s="6" t="n">
        <f aca="false">IF(G1129&gt;$P$9,1,0)</f>
        <v>0</v>
      </c>
      <c r="M1129" s="6" t="n">
        <f aca="false">IF(ABS(H1129)&gt;$P$8,1,0)</f>
        <v>0</v>
      </c>
    </row>
    <row r="1130" customFormat="false" ht="15" hidden="false" customHeight="false" outlineLevel="0" collapsed="false">
      <c r="A1130" s="0" t="n">
        <f aca="false">ROW()-1</f>
        <v>1129</v>
      </c>
      <c r="B1130" s="22" t="n">
        <f aca="false">SUMPRODUCT(MMULT('Analysis Data'!N1130:U1130,'Final Model'!$B$59:$I$66),'Analysis Data'!N1130:U1130)</f>
        <v>0.00225473016486626</v>
      </c>
      <c r="C1130" s="15" t="n">
        <f aca="false">'Residual Diagnostics'!F1130</f>
        <v>13.9363080615589</v>
      </c>
      <c r="D1130" s="13" t="n">
        <f aca="false">C1130/('Final Model'!$B$21*SQRT(1-B1130))</f>
        <v>0.284549684139791</v>
      </c>
      <c r="E1130" s="13" t="n">
        <f aca="false">D1130*SQRT(('Final Model'!$B$24-1)/('Final Model'!$B$24-D1130^2))</f>
        <v>0.28445477517561</v>
      </c>
      <c r="F1130" s="23" t="n">
        <f aca="false">D1130^2/($P$3+1)*B1130/(1-B1130)</f>
        <v>2.28718411596487E-005</v>
      </c>
      <c r="G1130" s="13" t="n">
        <f aca="false">($P$2-1)*(B1130-1/$P$2)</f>
        <v>2.12352277906127</v>
      </c>
      <c r="H1130" s="13" t="n">
        <f aca="false">E1130*SQRT(B1130/(1-B1130))</f>
        <v>0.0135223034470095</v>
      </c>
      <c r="I1130" s="13" t="n">
        <f aca="false">ABS(D1130)</f>
        <v>0.284549684139791</v>
      </c>
      <c r="J1130" s="6" t="n">
        <f aca="false">IF(B1130&gt;$P$4,1,0)</f>
        <v>0</v>
      </c>
      <c r="K1130" s="6" t="n">
        <f aca="false">IF(F1130&gt;$P$6,1,0)</f>
        <v>0</v>
      </c>
      <c r="L1130" s="6" t="n">
        <f aca="false">IF(G1130&gt;$P$9,1,0)</f>
        <v>0</v>
      </c>
      <c r="M1130" s="6" t="n">
        <f aca="false">IF(ABS(H1130)&gt;$P$8,1,0)</f>
        <v>0</v>
      </c>
    </row>
    <row r="1131" customFormat="false" ht="15" hidden="false" customHeight="false" outlineLevel="0" collapsed="false">
      <c r="A1131" s="0" t="n">
        <f aca="false">ROW()-1</f>
        <v>1130</v>
      </c>
      <c r="B1131" s="22" t="n">
        <f aca="false">SUMPRODUCT(MMULT('Analysis Data'!N1131:U1131,'Final Model'!$B$59:$I$66),'Analysis Data'!N1131:U1131)</f>
        <v>0.00197945060373359</v>
      </c>
      <c r="C1131" s="15" t="n">
        <f aca="false">'Residual Diagnostics'!F1131</f>
        <v>-6.62654589489165</v>
      </c>
      <c r="D1131" s="13" t="n">
        <f aca="false">C1131/('Final Model'!$B$21*SQRT(1-B1131))</f>
        <v>-0.13528127171772</v>
      </c>
      <c r="E1131" s="13" t="n">
        <f aca="false">D1131*SQRT(('Final Model'!$B$24-1)/('Final Model'!$B$24-D1131^2))</f>
        <v>-0.135233074725007</v>
      </c>
      <c r="F1131" s="23" t="n">
        <f aca="false">D1131^2/($P$3+1)*B1131/(1-B1131)</f>
        <v>4.53722746666757E-006</v>
      </c>
      <c r="G1131" s="13" t="n">
        <f aca="false">($P$2-1)*(B1131-1/$P$2)</f>
        <v>1.74226058689252</v>
      </c>
      <c r="H1131" s="13" t="n">
        <f aca="false">E1131*SQRT(B1131/(1-B1131))</f>
        <v>-0.0060226207346054</v>
      </c>
      <c r="I1131" s="13" t="n">
        <f aca="false">ABS(D1131)</f>
        <v>0.13528127171772</v>
      </c>
      <c r="J1131" s="6" t="n">
        <f aca="false">IF(B1131&gt;$P$4,1,0)</f>
        <v>0</v>
      </c>
      <c r="K1131" s="6" t="n">
        <f aca="false">IF(F1131&gt;$P$6,1,0)</f>
        <v>0</v>
      </c>
      <c r="L1131" s="6" t="n">
        <f aca="false">IF(G1131&gt;$P$9,1,0)</f>
        <v>0</v>
      </c>
      <c r="M1131" s="6" t="n">
        <f aca="false">IF(ABS(H1131)&gt;$P$8,1,0)</f>
        <v>0</v>
      </c>
    </row>
    <row r="1132" customFormat="false" ht="15" hidden="false" customHeight="false" outlineLevel="0" collapsed="false">
      <c r="A1132" s="0" t="n">
        <f aca="false">ROW()-1</f>
        <v>1131</v>
      </c>
      <c r="B1132" s="22" t="n">
        <f aca="false">SUMPRODUCT(MMULT('Analysis Data'!N1132:U1132,'Final Model'!$B$59:$I$66),'Analysis Data'!N1132:U1132)</f>
        <v>0.0019273161857138</v>
      </c>
      <c r="C1132" s="15" t="n">
        <f aca="false">'Residual Diagnostics'!F1132</f>
        <v>-54.5723930357525</v>
      </c>
      <c r="D1132" s="13" t="n">
        <f aca="false">C1132/('Final Model'!$B$21*SQRT(1-B1132))</f>
        <v>-1.11406908352386</v>
      </c>
      <c r="E1132" s="13" t="n">
        <f aca="false">D1132*SQRT(('Final Model'!$B$24-1)/('Final Model'!$B$24-D1132^2))</f>
        <v>-1.11416664814463</v>
      </c>
      <c r="F1132" s="23" t="n">
        <f aca="false">D1132^2/($P$3+1)*B1132/(1-B1132)</f>
        <v>0.000299588443560404</v>
      </c>
      <c r="G1132" s="13" t="n">
        <f aca="false">($P$2-1)*(B1132-1/$P$2)</f>
        <v>1.67005441793512</v>
      </c>
      <c r="H1132" s="13" t="n">
        <f aca="false">E1132*SQRT(B1132/(1-B1132))</f>
        <v>-0.0489604672187783</v>
      </c>
      <c r="I1132" s="13" t="n">
        <f aca="false">ABS(D1132)</f>
        <v>1.11406908352386</v>
      </c>
      <c r="J1132" s="6" t="n">
        <f aca="false">IF(B1132&gt;$P$4,1,0)</f>
        <v>0</v>
      </c>
      <c r="K1132" s="6" t="n">
        <f aca="false">IF(F1132&gt;$P$6,1,0)</f>
        <v>0</v>
      </c>
      <c r="L1132" s="6" t="n">
        <f aca="false">IF(G1132&gt;$P$9,1,0)</f>
        <v>0</v>
      </c>
      <c r="M1132" s="6" t="n">
        <f aca="false">IF(ABS(H1132)&gt;$P$8,1,0)</f>
        <v>0</v>
      </c>
    </row>
    <row r="1133" customFormat="false" ht="15" hidden="false" customHeight="false" outlineLevel="0" collapsed="false">
      <c r="A1133" s="0" t="n">
        <f aca="false">ROW()-1</f>
        <v>1132</v>
      </c>
      <c r="B1133" s="22" t="n">
        <f aca="false">SUMPRODUCT(MMULT('Analysis Data'!N1133:U1133,'Final Model'!$B$59:$I$66),'Analysis Data'!N1133:U1133)</f>
        <v>0.00265367630729723</v>
      </c>
      <c r="C1133" s="15" t="n">
        <f aca="false">'Residual Diagnostics'!F1133</f>
        <v>-32.8906329668035</v>
      </c>
      <c r="D1133" s="13" t="n">
        <f aca="false">C1133/('Final Model'!$B$21*SQRT(1-B1133))</f>
        <v>-0.671690869125966</v>
      </c>
      <c r="E1133" s="13" t="n">
        <f aca="false">D1133*SQRT(('Final Model'!$B$24-1)/('Final Model'!$B$24-D1133^2))</f>
        <v>-0.671557051093094</v>
      </c>
      <c r="F1133" s="23" t="n">
        <f aca="false">D1133^2/($P$3+1)*B1133/(1-B1133)</f>
        <v>0.000150055133655663</v>
      </c>
      <c r="G1133" s="13" t="n">
        <f aca="false">($P$2-1)*(B1133-1/$P$2)</f>
        <v>2.67606318632817</v>
      </c>
      <c r="H1133" s="13" t="n">
        <f aca="false">E1133*SQRT(B1133/(1-B1133))</f>
        <v>-0.0346404792063915</v>
      </c>
      <c r="I1133" s="13" t="n">
        <f aca="false">ABS(D1133)</f>
        <v>0.671690869125966</v>
      </c>
      <c r="J1133" s="6" t="n">
        <f aca="false">IF(B1133&gt;$P$4,1,0)</f>
        <v>0</v>
      </c>
      <c r="K1133" s="6" t="n">
        <f aca="false">IF(F1133&gt;$P$6,1,0)</f>
        <v>0</v>
      </c>
      <c r="L1133" s="6" t="n">
        <f aca="false">IF(G1133&gt;$P$9,1,0)</f>
        <v>0</v>
      </c>
      <c r="M1133" s="6" t="n">
        <f aca="false">IF(ABS(H1133)&gt;$P$8,1,0)</f>
        <v>0</v>
      </c>
    </row>
    <row r="1134" customFormat="false" ht="15" hidden="false" customHeight="false" outlineLevel="0" collapsed="false">
      <c r="A1134" s="0" t="n">
        <f aca="false">ROW()-1</f>
        <v>1133</v>
      </c>
      <c r="B1134" s="22" t="n">
        <f aca="false">SUMPRODUCT(MMULT('Analysis Data'!N1134:U1134,'Final Model'!$B$59:$I$66),'Analysis Data'!N1134:U1134)</f>
        <v>0.00219102957052209</v>
      </c>
      <c r="C1134" s="15" t="n">
        <f aca="false">'Residual Diagnostics'!F1134</f>
        <v>51.485216958039</v>
      </c>
      <c r="D1134" s="13" t="n">
        <f aca="false">C1134/('Final Model'!$B$21*SQRT(1-B1134))</f>
        <v>1.05118475541687</v>
      </c>
      <c r="E1134" s="13" t="n">
        <f aca="false">D1134*SQRT(('Final Model'!$B$24-1)/('Final Model'!$B$24-D1134^2))</f>
        <v>1.05122483150898</v>
      </c>
      <c r="F1134" s="23" t="n">
        <f aca="false">D1134^2/($P$3+1)*B1134/(1-B1134)</f>
        <v>0.000303297587564122</v>
      </c>
      <c r="G1134" s="13" t="n">
        <f aca="false">($P$2-1)*(B1134-1/$P$2)</f>
        <v>2.03529745589459</v>
      </c>
      <c r="H1134" s="13" t="n">
        <f aca="false">E1134*SQRT(B1134/(1-B1134))</f>
        <v>0.0492601838614102</v>
      </c>
      <c r="I1134" s="13" t="n">
        <f aca="false">ABS(D1134)</f>
        <v>1.05118475541687</v>
      </c>
      <c r="J1134" s="6" t="n">
        <f aca="false">IF(B1134&gt;$P$4,1,0)</f>
        <v>0</v>
      </c>
      <c r="K1134" s="6" t="n">
        <f aca="false">IF(F1134&gt;$P$6,1,0)</f>
        <v>0</v>
      </c>
      <c r="L1134" s="6" t="n">
        <f aca="false">IF(G1134&gt;$P$9,1,0)</f>
        <v>0</v>
      </c>
      <c r="M1134" s="6" t="n">
        <f aca="false">IF(ABS(H1134)&gt;$P$8,1,0)</f>
        <v>0</v>
      </c>
    </row>
    <row r="1135" customFormat="false" ht="15" hidden="false" customHeight="false" outlineLevel="0" collapsed="false">
      <c r="A1135" s="0" t="n">
        <f aca="false">ROW()-1</f>
        <v>1134</v>
      </c>
      <c r="B1135" s="22" t="n">
        <f aca="false">SUMPRODUCT(MMULT('Analysis Data'!N1135:U1135,'Final Model'!$B$59:$I$66),'Analysis Data'!N1135:U1135)</f>
        <v>0.00174631152447294</v>
      </c>
      <c r="C1135" s="15" t="n">
        <f aca="false">'Residual Diagnostics'!F1135</f>
        <v>-2.58225006347251</v>
      </c>
      <c r="D1135" s="13" t="n">
        <f aca="false">C1135/('Final Model'!$B$21*SQRT(1-B1135))</f>
        <v>-0.0527106101966126</v>
      </c>
      <c r="E1135" s="13" t="n">
        <f aca="false">D1135*SQRT(('Final Model'!$B$24-1)/('Final Model'!$B$24-D1135^2))</f>
        <v>-0.0526915340798221</v>
      </c>
      <c r="F1135" s="23" t="n">
        <f aca="false">D1135^2/($P$3+1)*B1135/(1-B1135)</f>
        <v>6.07556815504363E-007</v>
      </c>
      <c r="G1135" s="13" t="n">
        <f aca="false">($P$2-1)*(B1135-1/$P$2)</f>
        <v>1.41936296211652</v>
      </c>
      <c r="H1135" s="13" t="n">
        <f aca="false">E1135*SQRT(B1135/(1-B1135))</f>
        <v>-0.00220384598748172</v>
      </c>
      <c r="I1135" s="13" t="n">
        <f aca="false">ABS(D1135)</f>
        <v>0.0527106101966126</v>
      </c>
      <c r="J1135" s="6" t="n">
        <f aca="false">IF(B1135&gt;$P$4,1,0)</f>
        <v>0</v>
      </c>
      <c r="K1135" s="6" t="n">
        <f aca="false">IF(F1135&gt;$P$6,1,0)</f>
        <v>0</v>
      </c>
      <c r="L1135" s="6" t="n">
        <f aca="false">IF(G1135&gt;$P$9,1,0)</f>
        <v>0</v>
      </c>
      <c r="M1135" s="6" t="n">
        <f aca="false">IF(ABS(H1135)&gt;$P$8,1,0)</f>
        <v>0</v>
      </c>
    </row>
    <row r="1136" customFormat="false" ht="15" hidden="false" customHeight="false" outlineLevel="0" collapsed="false">
      <c r="A1136" s="0" t="n">
        <f aca="false">ROW()-1</f>
        <v>1135</v>
      </c>
      <c r="B1136" s="22" t="n">
        <f aca="false">SUMPRODUCT(MMULT('Analysis Data'!N1136:U1136,'Final Model'!$B$59:$I$66),'Analysis Data'!N1136:U1136)</f>
        <v>0.00168294048025544</v>
      </c>
      <c r="C1136" s="15" t="n">
        <f aca="false">'Residual Diagnostics'!F1136</f>
        <v>-36.6833852290055</v>
      </c>
      <c r="D1136" s="13" t="n">
        <f aca="false">C1136/('Final Model'!$B$21*SQRT(1-B1136))</f>
        <v>-0.748781953906125</v>
      </c>
      <c r="E1136" s="13" t="n">
        <f aca="false">D1136*SQRT(('Final Model'!$B$24-1)/('Final Model'!$B$24-D1136^2))</f>
        <v>-0.74866253474252</v>
      </c>
      <c r="F1136" s="23" t="n">
        <f aca="false">D1136^2/($P$3+1)*B1136/(1-B1136)</f>
        <v>0.000118146542148127</v>
      </c>
      <c r="G1136" s="13" t="n">
        <f aca="false">($P$2-1)*(B1136-1/$P$2)</f>
        <v>1.33159406587529</v>
      </c>
      <c r="H1136" s="13" t="n">
        <f aca="false">E1136*SQRT(B1136/(1-B1136))</f>
        <v>-0.0307387520961602</v>
      </c>
      <c r="I1136" s="13" t="n">
        <f aca="false">ABS(D1136)</f>
        <v>0.748781953906125</v>
      </c>
      <c r="J1136" s="6" t="n">
        <f aca="false">IF(B1136&gt;$P$4,1,0)</f>
        <v>0</v>
      </c>
      <c r="K1136" s="6" t="n">
        <f aca="false">IF(F1136&gt;$P$6,1,0)</f>
        <v>0</v>
      </c>
      <c r="L1136" s="6" t="n">
        <f aca="false">IF(G1136&gt;$P$9,1,0)</f>
        <v>0</v>
      </c>
      <c r="M1136" s="6" t="n">
        <f aca="false">IF(ABS(H1136)&gt;$P$8,1,0)</f>
        <v>0</v>
      </c>
    </row>
    <row r="1137" customFormat="false" ht="15" hidden="false" customHeight="false" outlineLevel="0" collapsed="false">
      <c r="A1137" s="0" t="n">
        <f aca="false">ROW()-1</f>
        <v>1136</v>
      </c>
      <c r="B1137" s="22" t="n">
        <f aca="false">SUMPRODUCT(MMULT('Analysis Data'!N1137:U1137,'Final Model'!$B$59:$I$66),'Analysis Data'!N1137:U1137)</f>
        <v>0.00171657202349441</v>
      </c>
      <c r="C1137" s="15" t="n">
        <f aca="false">'Residual Diagnostics'!F1137</f>
        <v>-11.3111629068562</v>
      </c>
      <c r="D1137" s="13" t="n">
        <f aca="false">C1137/('Final Model'!$B$21*SQRT(1-B1137))</f>
        <v>-0.23088756056561</v>
      </c>
      <c r="E1137" s="13" t="n">
        <f aca="false">D1137*SQRT(('Final Model'!$B$24-1)/('Final Model'!$B$24-D1137^2))</f>
        <v>-0.23080823357952</v>
      </c>
      <c r="F1137" s="23" t="n">
        <f aca="false">D1137^2/($P$3+1)*B1137/(1-B1137)</f>
        <v>1.14582752858782E-005</v>
      </c>
      <c r="G1137" s="13" t="n">
        <f aca="false">($P$2-1)*(B1137-1/$P$2)</f>
        <v>1.37817375326126</v>
      </c>
      <c r="H1137" s="13" t="n">
        <f aca="false">E1137*SQRT(B1137/(1-B1137))</f>
        <v>-0.00957095736284931</v>
      </c>
      <c r="I1137" s="13" t="n">
        <f aca="false">ABS(D1137)</f>
        <v>0.23088756056561</v>
      </c>
      <c r="J1137" s="6" t="n">
        <f aca="false">IF(B1137&gt;$P$4,1,0)</f>
        <v>0</v>
      </c>
      <c r="K1137" s="6" t="n">
        <f aca="false">IF(F1137&gt;$P$6,1,0)</f>
        <v>0</v>
      </c>
      <c r="L1137" s="6" t="n">
        <f aca="false">IF(G1137&gt;$P$9,1,0)</f>
        <v>0</v>
      </c>
      <c r="M1137" s="6" t="n">
        <f aca="false">IF(ABS(H1137)&gt;$P$8,1,0)</f>
        <v>0</v>
      </c>
    </row>
    <row r="1138" customFormat="false" ht="15" hidden="false" customHeight="false" outlineLevel="0" collapsed="false">
      <c r="A1138" s="0" t="n">
        <f aca="false">ROW()-1</f>
        <v>1137</v>
      </c>
      <c r="B1138" s="22" t="n">
        <f aca="false">SUMPRODUCT(MMULT('Analysis Data'!N1138:U1138,'Final Model'!$B$59:$I$66),'Analysis Data'!N1138:U1138)</f>
        <v>0.00171657202349441</v>
      </c>
      <c r="C1138" s="15" t="n">
        <f aca="false">'Residual Diagnostics'!F1138</f>
        <v>-14.5789787531764</v>
      </c>
      <c r="D1138" s="13" t="n">
        <f aca="false">C1138/('Final Model'!$B$21*SQRT(1-B1138))</f>
        <v>-0.297591403074781</v>
      </c>
      <c r="E1138" s="13" t="n">
        <f aca="false">D1138*SQRT(('Final Model'!$B$24-1)/('Final Model'!$B$24-D1138^2))</f>
        <v>-0.297492963734839</v>
      </c>
      <c r="F1138" s="23" t="n">
        <f aca="false">D1138^2/($P$3+1)*B1138/(1-B1138)</f>
        <v>1.9035265713628E-005</v>
      </c>
      <c r="G1138" s="13" t="n">
        <f aca="false">($P$2-1)*(B1138-1/$P$2)</f>
        <v>1.37817375326126</v>
      </c>
      <c r="H1138" s="13" t="n">
        <f aca="false">E1138*SQRT(B1138/(1-B1138))</f>
        <v>-0.0123361824121099</v>
      </c>
      <c r="I1138" s="13" t="n">
        <f aca="false">ABS(D1138)</f>
        <v>0.297591403074781</v>
      </c>
      <c r="J1138" s="6" t="n">
        <f aca="false">IF(B1138&gt;$P$4,1,0)</f>
        <v>0</v>
      </c>
      <c r="K1138" s="6" t="n">
        <f aca="false">IF(F1138&gt;$P$6,1,0)</f>
        <v>0</v>
      </c>
      <c r="L1138" s="6" t="n">
        <f aca="false">IF(G1138&gt;$P$9,1,0)</f>
        <v>0</v>
      </c>
      <c r="M1138" s="6" t="n">
        <f aca="false">IF(ABS(H1138)&gt;$P$8,1,0)</f>
        <v>0</v>
      </c>
    </row>
    <row r="1139" customFormat="false" ht="15" hidden="false" customHeight="false" outlineLevel="0" collapsed="false">
      <c r="A1139" s="0" t="n">
        <f aca="false">ROW()-1</f>
        <v>1138</v>
      </c>
      <c r="B1139" s="22" t="n">
        <f aca="false">SUMPRODUCT(MMULT('Analysis Data'!N1139:U1139,'Final Model'!$B$59:$I$66),'Analysis Data'!N1139:U1139)</f>
        <v>0.00168345379192387</v>
      </c>
      <c r="C1139" s="15" t="n">
        <f aca="false">'Residual Diagnostics'!F1139</f>
        <v>-7.58878800944689</v>
      </c>
      <c r="D1139" s="13" t="n">
        <f aca="false">C1139/('Final Model'!$B$21*SQRT(1-B1139))</f>
        <v>-0.154902524368627</v>
      </c>
      <c r="E1139" s="13" t="n">
        <f aca="false">D1139*SQRT(('Final Model'!$B$24-1)/('Final Model'!$B$24-D1139^2))</f>
        <v>-0.154847656776519</v>
      </c>
      <c r="F1139" s="23" t="n">
        <f aca="false">D1139^2/($P$3+1)*B1139/(1-B1139)</f>
        <v>5.05777999800589E-006</v>
      </c>
      <c r="G1139" s="13" t="n">
        <f aca="false">($P$2-1)*(B1139-1/$P$2)</f>
        <v>1.33230500253607</v>
      </c>
      <c r="H1139" s="13" t="n">
        <f aca="false">E1139*SQRT(B1139/(1-B1139))</f>
        <v>-0.00635874052196586</v>
      </c>
      <c r="I1139" s="13" t="n">
        <f aca="false">ABS(D1139)</f>
        <v>0.154902524368627</v>
      </c>
      <c r="J1139" s="6" t="n">
        <f aca="false">IF(B1139&gt;$P$4,1,0)</f>
        <v>0</v>
      </c>
      <c r="K1139" s="6" t="n">
        <f aca="false">IF(F1139&gt;$P$6,1,0)</f>
        <v>0</v>
      </c>
      <c r="L1139" s="6" t="n">
        <f aca="false">IF(G1139&gt;$P$9,1,0)</f>
        <v>0</v>
      </c>
      <c r="M1139" s="6" t="n">
        <f aca="false">IF(ABS(H1139)&gt;$P$8,1,0)</f>
        <v>0</v>
      </c>
    </row>
    <row r="1140" customFormat="false" ht="15" hidden="false" customHeight="false" outlineLevel="0" collapsed="false">
      <c r="A1140" s="0" t="n">
        <f aca="false">ROW()-1</f>
        <v>1139</v>
      </c>
      <c r="B1140" s="22" t="n">
        <f aca="false">SUMPRODUCT(MMULT('Analysis Data'!N1140:U1140,'Final Model'!$B$59:$I$66),'Analysis Data'!N1140:U1140)</f>
        <v>0.00168307690904174</v>
      </c>
      <c r="C1140" s="15" t="n">
        <f aca="false">'Residual Diagnostics'!F1140</f>
        <v>-51.0292536600644</v>
      </c>
      <c r="D1140" s="13" t="n">
        <f aca="false">C1140/('Final Model'!$B$21*SQRT(1-B1140))</f>
        <v>-1.04161016313711</v>
      </c>
      <c r="E1140" s="13" t="n">
        <f aca="false">D1140*SQRT(('Final Model'!$B$24-1)/('Final Model'!$B$24-D1140^2))</f>
        <v>-1.04164229482987</v>
      </c>
      <c r="F1140" s="23" t="n">
        <f aca="false">D1140^2/($P$3+1)*B1140/(1-B1140)</f>
        <v>0.000228641972958968</v>
      </c>
      <c r="G1140" s="13" t="n">
        <f aca="false">($P$2-1)*(B1140-1/$P$2)</f>
        <v>1.33178301974431</v>
      </c>
      <c r="H1140" s="13" t="n">
        <f aca="false">E1140*SQRT(B1140/(1-B1140))</f>
        <v>-0.042769716343851</v>
      </c>
      <c r="I1140" s="13" t="n">
        <f aca="false">ABS(D1140)</f>
        <v>1.04161016313711</v>
      </c>
      <c r="J1140" s="6" t="n">
        <f aca="false">IF(B1140&gt;$P$4,1,0)</f>
        <v>0</v>
      </c>
      <c r="K1140" s="6" t="n">
        <f aca="false">IF(F1140&gt;$P$6,1,0)</f>
        <v>0</v>
      </c>
      <c r="L1140" s="6" t="n">
        <f aca="false">IF(G1140&gt;$P$9,1,0)</f>
        <v>0</v>
      </c>
      <c r="M1140" s="6" t="n">
        <f aca="false">IF(ABS(H1140)&gt;$P$8,1,0)</f>
        <v>0</v>
      </c>
    </row>
    <row r="1141" customFormat="false" ht="15" hidden="false" customHeight="false" outlineLevel="0" collapsed="false">
      <c r="A1141" s="0" t="n">
        <f aca="false">ROW()-1</f>
        <v>1140</v>
      </c>
      <c r="B1141" s="22" t="n">
        <f aca="false">SUMPRODUCT(MMULT('Analysis Data'!N1141:U1141,'Final Model'!$B$59:$I$66),'Analysis Data'!N1141:U1141)</f>
        <v>0.00168307690904174</v>
      </c>
      <c r="C1141" s="15" t="n">
        <f aca="false">'Residual Diagnostics'!F1141</f>
        <v>25.5574083651282</v>
      </c>
      <c r="D1141" s="13" t="n">
        <f aca="false">C1141/('Final Model'!$B$21*SQRT(1-B1141))</f>
        <v>0.521678339132684</v>
      </c>
      <c r="E1141" s="13" t="n">
        <f aca="false">D1141*SQRT(('Final Model'!$B$24-1)/('Final Model'!$B$24-D1141^2))</f>
        <v>0.521540519956867</v>
      </c>
      <c r="F1141" s="23" t="n">
        <f aca="false">D1141^2/($P$3+1)*B1141/(1-B1141)</f>
        <v>5.73523411418947E-005</v>
      </c>
      <c r="G1141" s="13" t="n">
        <f aca="false">($P$2-1)*(B1141-1/$P$2)</f>
        <v>1.33178301974431</v>
      </c>
      <c r="H1141" s="13" t="n">
        <f aca="false">E1141*SQRT(B1141/(1-B1141))</f>
        <v>0.0214143955281915</v>
      </c>
      <c r="I1141" s="13" t="n">
        <f aca="false">ABS(D1141)</f>
        <v>0.521678339132684</v>
      </c>
      <c r="J1141" s="6" t="n">
        <f aca="false">IF(B1141&gt;$P$4,1,0)</f>
        <v>0</v>
      </c>
      <c r="K1141" s="6" t="n">
        <f aca="false">IF(F1141&gt;$P$6,1,0)</f>
        <v>0</v>
      </c>
      <c r="L1141" s="6" t="n">
        <f aca="false">IF(G1141&gt;$P$9,1,0)</f>
        <v>0</v>
      </c>
      <c r="M1141" s="6" t="n">
        <f aca="false">IF(ABS(H1141)&gt;$P$8,1,0)</f>
        <v>0</v>
      </c>
    </row>
    <row r="1142" customFormat="false" ht="15" hidden="false" customHeight="false" outlineLevel="0" collapsed="false">
      <c r="A1142" s="0" t="n">
        <f aca="false">ROW()-1</f>
        <v>1141</v>
      </c>
      <c r="B1142" s="22" t="n">
        <f aca="false">SUMPRODUCT(MMULT('Analysis Data'!N1142:U1142,'Final Model'!$B$59:$I$66),'Analysis Data'!N1142:U1142)</f>
        <v>0.0017050242206602</v>
      </c>
      <c r="C1142" s="15" t="n">
        <f aca="false">'Residual Diagnostics'!F1142</f>
        <v>65.1652918187975</v>
      </c>
      <c r="D1142" s="13" t="n">
        <f aca="false">C1142/('Final Model'!$B$21*SQRT(1-B1142))</f>
        <v>1.33016988293552</v>
      </c>
      <c r="E1142" s="13" t="n">
        <f aca="false">D1142*SQRT(('Final Model'!$B$24-1)/('Final Model'!$B$24-D1142^2))</f>
        <v>1.33054163231065</v>
      </c>
      <c r="F1142" s="23" t="n">
        <f aca="false">D1142^2/($P$3+1)*B1142/(1-B1142)</f>
        <v>0.000377742544456934</v>
      </c>
      <c r="G1142" s="13" t="n">
        <f aca="false">($P$2-1)*(B1142-1/$P$2)</f>
        <v>1.36218004633588</v>
      </c>
      <c r="H1142" s="13" t="n">
        <f aca="false">E1142*SQRT(B1142/(1-B1142))</f>
        <v>0.054987541370008</v>
      </c>
      <c r="I1142" s="13" t="n">
        <f aca="false">ABS(D1142)</f>
        <v>1.33016988293552</v>
      </c>
      <c r="J1142" s="6" t="n">
        <f aca="false">IF(B1142&gt;$P$4,1,0)</f>
        <v>0</v>
      </c>
      <c r="K1142" s="6" t="n">
        <f aca="false">IF(F1142&gt;$P$6,1,0)</f>
        <v>0</v>
      </c>
      <c r="L1142" s="6" t="n">
        <f aca="false">IF(G1142&gt;$P$9,1,0)</f>
        <v>0</v>
      </c>
      <c r="M1142" s="6" t="n">
        <f aca="false">IF(ABS(H1142)&gt;$P$8,1,0)</f>
        <v>0</v>
      </c>
    </row>
    <row r="1143" customFormat="false" ht="15" hidden="false" customHeight="false" outlineLevel="0" collapsed="false">
      <c r="A1143" s="0" t="n">
        <f aca="false">ROW()-1</f>
        <v>1142</v>
      </c>
      <c r="B1143" s="22" t="n">
        <f aca="false">SUMPRODUCT(MMULT('Analysis Data'!N1143:U1143,'Final Model'!$B$59:$I$66),'Analysis Data'!N1143:U1143)</f>
        <v>0.00178268112124113</v>
      </c>
      <c r="C1143" s="15" t="n">
        <f aca="false">'Residual Diagnostics'!F1143</f>
        <v>-14.284057455968</v>
      </c>
      <c r="D1143" s="13" t="n">
        <f aca="false">C1143/('Final Model'!$B$21*SQRT(1-B1143))</f>
        <v>-0.291581017380337</v>
      </c>
      <c r="E1143" s="13" t="n">
        <f aca="false">D1143*SQRT(('Final Model'!$B$24-1)/('Final Model'!$B$24-D1143^2))</f>
        <v>-0.291484191648693</v>
      </c>
      <c r="F1143" s="23" t="n">
        <f aca="false">D1143^2/($P$3+1)*B1143/(1-B1143)</f>
        <v>1.89791636992736E-005</v>
      </c>
      <c r="G1143" s="13" t="n">
        <f aca="false">($P$2-1)*(B1143-1/$P$2)</f>
        <v>1.46973485364047</v>
      </c>
      <c r="H1143" s="13" t="n">
        <f aca="false">E1143*SQRT(B1143/(1-B1143))</f>
        <v>-0.0123179741565766</v>
      </c>
      <c r="I1143" s="13" t="n">
        <f aca="false">ABS(D1143)</f>
        <v>0.291581017380337</v>
      </c>
      <c r="J1143" s="6" t="n">
        <f aca="false">IF(B1143&gt;$P$4,1,0)</f>
        <v>0</v>
      </c>
      <c r="K1143" s="6" t="n">
        <f aca="false">IF(F1143&gt;$P$6,1,0)</f>
        <v>0</v>
      </c>
      <c r="L1143" s="6" t="n">
        <f aca="false">IF(G1143&gt;$P$9,1,0)</f>
        <v>0</v>
      </c>
      <c r="M1143" s="6" t="n">
        <f aca="false">IF(ABS(H1143)&gt;$P$8,1,0)</f>
        <v>0</v>
      </c>
    </row>
    <row r="1144" customFormat="false" ht="15" hidden="false" customHeight="false" outlineLevel="0" collapsed="false">
      <c r="A1144" s="0" t="n">
        <f aca="false">ROW()-1</f>
        <v>1143</v>
      </c>
      <c r="B1144" s="22" t="n">
        <f aca="false">SUMPRODUCT(MMULT('Analysis Data'!N1144:U1144,'Final Model'!$B$59:$I$66),'Analysis Data'!N1144:U1144)</f>
        <v>0.0017325248080247</v>
      </c>
      <c r="C1144" s="15" t="n">
        <f aca="false">'Residual Diagnostics'!F1144</f>
        <v>-17.1079821204598</v>
      </c>
      <c r="D1144" s="13" t="n">
        <f aca="false">C1144/('Final Model'!$B$21*SQRT(1-B1144))</f>
        <v>-0.349217127539105</v>
      </c>
      <c r="E1144" s="13" t="n">
        <f aca="false">D1144*SQRT(('Final Model'!$B$24-1)/('Final Model'!$B$24-D1144^2))</f>
        <v>-0.349105841182584</v>
      </c>
      <c r="F1144" s="23" t="n">
        <f aca="false">D1144^2/($P$3+1)*B1144/(1-B1144)</f>
        <v>2.64565752550787E-005</v>
      </c>
      <c r="G1144" s="13" t="n">
        <f aca="false">($P$2-1)*(B1144-1/$P$2)</f>
        <v>1.40026835983571</v>
      </c>
      <c r="H1144" s="13" t="n">
        <f aca="false">E1144*SQRT(B1144/(1-B1144))</f>
        <v>-0.0145436490348054</v>
      </c>
      <c r="I1144" s="13" t="n">
        <f aca="false">ABS(D1144)</f>
        <v>0.349217127539105</v>
      </c>
      <c r="J1144" s="6" t="n">
        <f aca="false">IF(B1144&gt;$P$4,1,0)</f>
        <v>0</v>
      </c>
      <c r="K1144" s="6" t="n">
        <f aca="false">IF(F1144&gt;$P$6,1,0)</f>
        <v>0</v>
      </c>
      <c r="L1144" s="6" t="n">
        <f aca="false">IF(G1144&gt;$P$9,1,0)</f>
        <v>0</v>
      </c>
      <c r="M1144" s="6" t="n">
        <f aca="false">IF(ABS(H1144)&gt;$P$8,1,0)</f>
        <v>0</v>
      </c>
    </row>
    <row r="1145" customFormat="false" ht="15" hidden="false" customHeight="false" outlineLevel="0" collapsed="false">
      <c r="A1145" s="0" t="n">
        <f aca="false">ROW()-1</f>
        <v>1144</v>
      </c>
      <c r="B1145" s="22" t="n">
        <f aca="false">SUMPRODUCT(MMULT('Analysis Data'!N1145:U1145,'Final Model'!$B$59:$I$66),'Analysis Data'!N1145:U1145)</f>
        <v>0.00230248286452124</v>
      </c>
      <c r="C1145" s="15" t="n">
        <f aca="false">'Residual Diagnostics'!F1145</f>
        <v>-29.9796370389616</v>
      </c>
      <c r="D1145" s="13" t="n">
        <f aca="false">C1145/('Final Model'!$B$21*SQRT(1-B1145))</f>
        <v>-0.612134889805916</v>
      </c>
      <c r="E1145" s="13" t="n">
        <f aca="false">D1145*SQRT(('Final Model'!$B$24-1)/('Final Model'!$B$24-D1145^2))</f>
        <v>-0.611995952967528</v>
      </c>
      <c r="F1145" s="23" t="n">
        <f aca="false">D1145^2/($P$3+1)*B1145/(1-B1145)</f>
        <v>0.000108094051654038</v>
      </c>
      <c r="G1145" s="13" t="n">
        <f aca="false">($P$2-1)*(B1145-1/$P$2)</f>
        <v>2.18966026808342</v>
      </c>
      <c r="H1145" s="13" t="n">
        <f aca="false">E1145*SQRT(B1145/(1-B1145))</f>
        <v>-0.0293999984766094</v>
      </c>
      <c r="I1145" s="13" t="n">
        <f aca="false">ABS(D1145)</f>
        <v>0.612134889805916</v>
      </c>
      <c r="J1145" s="6" t="n">
        <f aca="false">IF(B1145&gt;$P$4,1,0)</f>
        <v>0</v>
      </c>
      <c r="K1145" s="6" t="n">
        <f aca="false">IF(F1145&gt;$P$6,1,0)</f>
        <v>0</v>
      </c>
      <c r="L1145" s="6" t="n">
        <f aca="false">IF(G1145&gt;$P$9,1,0)</f>
        <v>0</v>
      </c>
      <c r="M1145" s="6" t="n">
        <f aca="false">IF(ABS(H1145)&gt;$P$8,1,0)</f>
        <v>0</v>
      </c>
    </row>
    <row r="1146" customFormat="false" ht="15" hidden="false" customHeight="false" outlineLevel="0" collapsed="false">
      <c r="A1146" s="0" t="n">
        <f aca="false">ROW()-1</f>
        <v>1145</v>
      </c>
      <c r="B1146" s="22" t="n">
        <f aca="false">SUMPRODUCT(MMULT('Analysis Data'!N1146:U1146,'Final Model'!$B$59:$I$66),'Analysis Data'!N1146:U1146)</f>
        <v>0.00169188015254712</v>
      </c>
      <c r="C1146" s="15" t="n">
        <f aca="false">'Residual Diagnostics'!F1146</f>
        <v>45.1882451526751</v>
      </c>
      <c r="D1146" s="13" t="n">
        <f aca="false">C1146/('Final Model'!$B$21*SQRT(1-B1146))</f>
        <v>0.922387445590637</v>
      </c>
      <c r="E1146" s="13" t="n">
        <f aca="false">D1146*SQRT(('Final Model'!$B$24-1)/('Final Model'!$B$24-D1146^2))</f>
        <v>0.922337478155739</v>
      </c>
      <c r="F1146" s="23" t="n">
        <f aca="false">D1146^2/($P$3+1)*B1146/(1-B1146)</f>
        <v>0.000180236095972061</v>
      </c>
      <c r="G1146" s="13" t="n">
        <f aca="false">($P$2-1)*(B1146-1/$P$2)</f>
        <v>1.34397551199926</v>
      </c>
      <c r="H1146" s="13" t="n">
        <f aca="false">E1146*SQRT(B1146/(1-B1146))</f>
        <v>0.0379701534424345</v>
      </c>
      <c r="I1146" s="13" t="n">
        <f aca="false">ABS(D1146)</f>
        <v>0.922387445590637</v>
      </c>
      <c r="J1146" s="6" t="n">
        <f aca="false">IF(B1146&gt;$P$4,1,0)</f>
        <v>0</v>
      </c>
      <c r="K1146" s="6" t="n">
        <f aca="false">IF(F1146&gt;$P$6,1,0)</f>
        <v>0</v>
      </c>
      <c r="L1146" s="6" t="n">
        <f aca="false">IF(G1146&gt;$P$9,1,0)</f>
        <v>0</v>
      </c>
      <c r="M1146" s="6" t="n">
        <f aca="false">IF(ABS(H1146)&gt;$P$8,1,0)</f>
        <v>0</v>
      </c>
    </row>
    <row r="1147" customFormat="false" ht="15" hidden="false" customHeight="false" outlineLevel="0" collapsed="false">
      <c r="A1147" s="0" t="n">
        <f aca="false">ROW()-1</f>
        <v>1146</v>
      </c>
      <c r="B1147" s="22" t="n">
        <f aca="false">SUMPRODUCT(MMULT('Analysis Data'!N1147:U1147,'Final Model'!$B$59:$I$66),'Analysis Data'!N1147:U1147)</f>
        <v>0.00172011615897591</v>
      </c>
      <c r="C1147" s="15" t="n">
        <f aca="false">'Residual Diagnostics'!F1147</f>
        <v>-37.8051730355571</v>
      </c>
      <c r="D1147" s="13" t="n">
        <f aca="false">C1147/('Final Model'!$B$21*SQRT(1-B1147))</f>
        <v>-0.771694276298888</v>
      </c>
      <c r="E1147" s="13" t="n">
        <f aca="false">D1147*SQRT(('Final Model'!$B$24-1)/('Final Model'!$B$24-D1147^2))</f>
        <v>-0.77158096029293</v>
      </c>
      <c r="F1147" s="23" t="n">
        <f aca="false">D1147^2/($P$3+1)*B1147/(1-B1147)</f>
        <v>0.000128264368427154</v>
      </c>
      <c r="G1147" s="13" t="n">
        <f aca="false">($P$2-1)*(B1147-1/$P$2)</f>
        <v>1.38308238090313</v>
      </c>
      <c r="H1147" s="13" t="n">
        <f aca="false">E1147*SQRT(B1147/(1-B1147))</f>
        <v>-0.0320283252604934</v>
      </c>
      <c r="I1147" s="13" t="n">
        <f aca="false">ABS(D1147)</f>
        <v>0.771694276298888</v>
      </c>
      <c r="J1147" s="6" t="n">
        <f aca="false">IF(B1147&gt;$P$4,1,0)</f>
        <v>0</v>
      </c>
      <c r="K1147" s="6" t="n">
        <f aca="false">IF(F1147&gt;$P$6,1,0)</f>
        <v>0</v>
      </c>
      <c r="L1147" s="6" t="n">
        <f aca="false">IF(G1147&gt;$P$9,1,0)</f>
        <v>0</v>
      </c>
      <c r="M1147" s="6" t="n">
        <f aca="false">IF(ABS(H1147)&gt;$P$8,1,0)</f>
        <v>0</v>
      </c>
    </row>
    <row r="1148" customFormat="false" ht="15" hidden="false" customHeight="false" outlineLevel="0" collapsed="false">
      <c r="A1148" s="0" t="n">
        <f aca="false">ROW()-1</f>
        <v>1147</v>
      </c>
      <c r="B1148" s="22" t="n">
        <f aca="false">SUMPRODUCT(MMULT('Analysis Data'!N1148:U1148,'Final Model'!$B$59:$I$66),'Analysis Data'!N1148:U1148)</f>
        <v>0.00171657202349441</v>
      </c>
      <c r="C1148" s="15" t="n">
        <f aca="false">'Residual Diagnostics'!F1148</f>
        <v>-26.7625070241029</v>
      </c>
      <c r="D1148" s="13" t="n">
        <f aca="false">C1148/('Final Model'!$B$21*SQRT(1-B1148))</f>
        <v>-0.546286001916714</v>
      </c>
      <c r="E1148" s="13" t="n">
        <f aca="false">D1148*SQRT(('Final Model'!$B$24-1)/('Final Model'!$B$24-D1148^2))</f>
        <v>-0.54614689067556</v>
      </c>
      <c r="F1148" s="23" t="n">
        <f aca="false">D1148^2/($P$3+1)*B1148/(1-B1148)</f>
        <v>6.41443378009023E-005</v>
      </c>
      <c r="G1148" s="13" t="n">
        <f aca="false">($P$2-1)*(B1148-1/$P$2)</f>
        <v>1.37817375326126</v>
      </c>
      <c r="H1148" s="13" t="n">
        <f aca="false">E1148*SQRT(B1148/(1-B1148))</f>
        <v>-0.0226471496421189</v>
      </c>
      <c r="I1148" s="13" t="n">
        <f aca="false">ABS(D1148)</f>
        <v>0.546286001916714</v>
      </c>
      <c r="J1148" s="6" t="n">
        <f aca="false">IF(B1148&gt;$P$4,1,0)</f>
        <v>0</v>
      </c>
      <c r="K1148" s="6" t="n">
        <f aca="false">IF(F1148&gt;$P$6,1,0)</f>
        <v>0</v>
      </c>
      <c r="L1148" s="6" t="n">
        <f aca="false">IF(G1148&gt;$P$9,1,0)</f>
        <v>0</v>
      </c>
      <c r="M1148" s="6" t="n">
        <f aca="false">IF(ABS(H1148)&gt;$P$8,1,0)</f>
        <v>0</v>
      </c>
    </row>
    <row r="1149" customFormat="false" ht="15" hidden="false" customHeight="false" outlineLevel="0" collapsed="false">
      <c r="A1149" s="0" t="n">
        <f aca="false">ROW()-1</f>
        <v>1148</v>
      </c>
      <c r="B1149" s="22" t="n">
        <f aca="false">SUMPRODUCT(MMULT('Analysis Data'!N1149:U1149,'Final Model'!$B$59:$I$66),'Analysis Data'!N1149:U1149)</f>
        <v>0.00171657202349441</v>
      </c>
      <c r="C1149" s="15" t="n">
        <f aca="false">'Residual Diagnostics'!F1149</f>
        <v>20.9399423215856</v>
      </c>
      <c r="D1149" s="13" t="n">
        <f aca="false">C1149/('Final Model'!$B$21*SQRT(1-B1149))</f>
        <v>0.427433698977572</v>
      </c>
      <c r="E1149" s="13" t="n">
        <f aca="false">D1149*SQRT(('Final Model'!$B$24-1)/('Final Model'!$B$24-D1149^2))</f>
        <v>0.427306906561564</v>
      </c>
      <c r="F1149" s="23" t="n">
        <f aca="false">D1149^2/($P$3+1)*B1149/(1-B1149)</f>
        <v>3.92695296577244E-005</v>
      </c>
      <c r="G1149" s="13" t="n">
        <f aca="false">($P$2-1)*(B1149-1/$P$2)</f>
        <v>1.37817375326126</v>
      </c>
      <c r="H1149" s="13" t="n">
        <f aca="false">E1149*SQRT(B1149/(1-B1149))</f>
        <v>0.017719195368924</v>
      </c>
      <c r="I1149" s="13" t="n">
        <f aca="false">ABS(D1149)</f>
        <v>0.427433698977572</v>
      </c>
      <c r="J1149" s="6" t="n">
        <f aca="false">IF(B1149&gt;$P$4,1,0)</f>
        <v>0</v>
      </c>
      <c r="K1149" s="6" t="n">
        <f aca="false">IF(F1149&gt;$P$6,1,0)</f>
        <v>0</v>
      </c>
      <c r="L1149" s="6" t="n">
        <f aca="false">IF(G1149&gt;$P$9,1,0)</f>
        <v>0</v>
      </c>
      <c r="M1149" s="6" t="n">
        <f aca="false">IF(ABS(H1149)&gt;$P$8,1,0)</f>
        <v>0</v>
      </c>
    </row>
    <row r="1150" customFormat="false" ht="15" hidden="false" customHeight="false" outlineLevel="0" collapsed="false">
      <c r="A1150" s="0" t="n">
        <f aca="false">ROW()-1</f>
        <v>1149</v>
      </c>
      <c r="B1150" s="22" t="n">
        <f aca="false">SUMPRODUCT(MMULT('Analysis Data'!N1150:U1150,'Final Model'!$B$59:$I$66),'Analysis Data'!N1150:U1150)</f>
        <v>0.00181501898205437</v>
      </c>
      <c r="C1150" s="15" t="n">
        <f aca="false">'Residual Diagnostics'!F1150</f>
        <v>30.3221536731358</v>
      </c>
      <c r="D1150" s="13" t="n">
        <f aca="false">C1150/('Final Model'!$B$21*SQRT(1-B1150))</f>
        <v>0.618977321997992</v>
      </c>
      <c r="E1150" s="13" t="n">
        <f aca="false">D1150*SQRT(('Final Model'!$B$24-1)/('Final Model'!$B$24-D1150^2))</f>
        <v>0.618838724143915</v>
      </c>
      <c r="F1150" s="23" t="n">
        <f aca="false">D1150^2/($P$3+1)*B1150/(1-B1150)</f>
        <v>8.70822474062027E-005</v>
      </c>
      <c r="G1150" s="13" t="n">
        <f aca="false">($P$2-1)*(B1150-1/$P$2)</f>
        <v>1.51452279086681</v>
      </c>
      <c r="H1150" s="13" t="n">
        <f aca="false">E1150*SQRT(B1150/(1-B1150))</f>
        <v>0.0263883692344788</v>
      </c>
      <c r="I1150" s="13" t="n">
        <f aca="false">ABS(D1150)</f>
        <v>0.618977321997992</v>
      </c>
      <c r="J1150" s="6" t="n">
        <f aca="false">IF(B1150&gt;$P$4,1,0)</f>
        <v>0</v>
      </c>
      <c r="K1150" s="6" t="n">
        <f aca="false">IF(F1150&gt;$P$6,1,0)</f>
        <v>0</v>
      </c>
      <c r="L1150" s="6" t="n">
        <f aca="false">IF(G1150&gt;$P$9,1,0)</f>
        <v>0</v>
      </c>
      <c r="M1150" s="6" t="n">
        <f aca="false">IF(ABS(H1150)&gt;$P$8,1,0)</f>
        <v>0</v>
      </c>
    </row>
    <row r="1151" customFormat="false" ht="15" hidden="false" customHeight="false" outlineLevel="0" collapsed="false">
      <c r="A1151" s="0" t="n">
        <f aca="false">ROW()-1</f>
        <v>1150</v>
      </c>
      <c r="B1151" s="22" t="n">
        <f aca="false">SUMPRODUCT(MMULT('Analysis Data'!N1151:U1151,'Final Model'!$B$59:$I$66),'Analysis Data'!N1151:U1151)</f>
        <v>0.00197826369402896</v>
      </c>
      <c r="C1151" s="15" t="n">
        <f aca="false">'Residual Diagnostics'!F1151</f>
        <v>70.0607514321234</v>
      </c>
      <c r="D1151" s="13" t="n">
        <f aca="false">C1151/('Final Model'!$B$21*SQRT(1-B1151))</f>
        <v>1.43029295589457</v>
      </c>
      <c r="E1151" s="13" t="n">
        <f aca="false">D1151*SQRT(('Final Model'!$B$24-1)/('Final Model'!$B$24-D1151^2))</f>
        <v>1.43083637058841</v>
      </c>
      <c r="F1151" s="23" t="n">
        <f aca="false">D1151^2/($P$3+1)*B1151/(1-B1151)</f>
        <v>0.000506878876775415</v>
      </c>
      <c r="G1151" s="13" t="n">
        <f aca="false">($P$2-1)*(B1151-1/$P$2)</f>
        <v>1.7406167169516</v>
      </c>
      <c r="H1151" s="13" t="n">
        <f aca="false">E1151*SQRT(B1151/(1-B1151))</f>
        <v>0.0637033191851367</v>
      </c>
      <c r="I1151" s="13" t="n">
        <f aca="false">ABS(D1151)</f>
        <v>1.43029295589457</v>
      </c>
      <c r="J1151" s="6" t="n">
        <f aca="false">IF(B1151&gt;$P$4,1,0)</f>
        <v>0</v>
      </c>
      <c r="K1151" s="6" t="n">
        <f aca="false">IF(F1151&gt;$P$6,1,0)</f>
        <v>0</v>
      </c>
      <c r="L1151" s="6" t="n">
        <f aca="false">IF(G1151&gt;$P$9,1,0)</f>
        <v>0</v>
      </c>
      <c r="M1151" s="6" t="n">
        <f aca="false">IF(ABS(H1151)&gt;$P$8,1,0)</f>
        <v>0</v>
      </c>
    </row>
    <row r="1152" customFormat="false" ht="15" hidden="false" customHeight="false" outlineLevel="0" collapsed="false">
      <c r="A1152" s="0" t="n">
        <f aca="false">ROW()-1</f>
        <v>1151</v>
      </c>
      <c r="B1152" s="22" t="n">
        <f aca="false">SUMPRODUCT(MMULT('Analysis Data'!N1152:U1152,'Final Model'!$B$59:$I$66),'Analysis Data'!N1152:U1152)</f>
        <v>0.00213328325964528</v>
      </c>
      <c r="C1152" s="15" t="n">
        <f aca="false">'Residual Diagnostics'!F1152</f>
        <v>-39.8794022591375</v>
      </c>
      <c r="D1152" s="13" t="n">
        <f aca="false">C1152/('Final Model'!$B$21*SQRT(1-B1152))</f>
        <v>-0.814202778991581</v>
      </c>
      <c r="E1152" s="13" t="n">
        <f aca="false">D1152*SQRT(('Final Model'!$B$24-1)/('Final Model'!$B$24-D1152^2))</f>
        <v>-0.814103143524192</v>
      </c>
      <c r="F1152" s="23" t="n">
        <f aca="false">D1152^2/($P$3+1)*B1152/(1-B1152)</f>
        <v>0.000177154081192399</v>
      </c>
      <c r="G1152" s="13" t="n">
        <f aca="false">($P$2-1)*(B1152-1/$P$2)</f>
        <v>1.95531881533021</v>
      </c>
      <c r="H1152" s="13" t="n">
        <f aca="false">E1152*SQRT(B1152/(1-B1152))</f>
        <v>-0.0376415436999382</v>
      </c>
      <c r="I1152" s="13" t="n">
        <f aca="false">ABS(D1152)</f>
        <v>0.814202778991581</v>
      </c>
      <c r="J1152" s="6" t="n">
        <f aca="false">IF(B1152&gt;$P$4,1,0)</f>
        <v>0</v>
      </c>
      <c r="K1152" s="6" t="n">
        <f aca="false">IF(F1152&gt;$P$6,1,0)</f>
        <v>0</v>
      </c>
      <c r="L1152" s="6" t="n">
        <f aca="false">IF(G1152&gt;$P$9,1,0)</f>
        <v>0</v>
      </c>
      <c r="M1152" s="6" t="n">
        <f aca="false">IF(ABS(H1152)&gt;$P$8,1,0)</f>
        <v>0</v>
      </c>
    </row>
    <row r="1153" customFormat="false" ht="15" hidden="false" customHeight="false" outlineLevel="0" collapsed="false">
      <c r="A1153" s="0" t="n">
        <f aca="false">ROW()-1</f>
        <v>1152</v>
      </c>
      <c r="B1153" s="22" t="n">
        <f aca="false">SUMPRODUCT(MMULT('Analysis Data'!N1153:U1153,'Final Model'!$B$59:$I$66),'Analysis Data'!N1153:U1153)</f>
        <v>0.00187583362539436</v>
      </c>
      <c r="C1153" s="15" t="n">
        <f aca="false">'Residual Diagnostics'!F1153</f>
        <v>-5.96994708657144</v>
      </c>
      <c r="D1153" s="13" t="n">
        <f aca="false">C1153/('Final Model'!$B$21*SQRT(1-B1153))</f>
        <v>-0.121870447344294</v>
      </c>
      <c r="E1153" s="13" t="n">
        <f aca="false">D1153*SQRT(('Final Model'!$B$24-1)/('Final Model'!$B$24-D1153^2))</f>
        <v>-0.121826875813704</v>
      </c>
      <c r="F1153" s="23" t="n">
        <f aca="false">D1153^2/($P$3+1)*B1153/(1-B1153)</f>
        <v>3.48912532768347E-006</v>
      </c>
      <c r="G1153" s="13" t="n">
        <f aca="false">($P$2-1)*(B1153-1/$P$2)</f>
        <v>1.59875107189269</v>
      </c>
      <c r="H1153" s="13" t="n">
        <f aca="false">E1153*SQRT(B1153/(1-B1153))</f>
        <v>-0.00528138685280519</v>
      </c>
      <c r="I1153" s="13" t="n">
        <f aca="false">ABS(D1153)</f>
        <v>0.121870447344294</v>
      </c>
      <c r="J1153" s="6" t="n">
        <f aca="false">IF(B1153&gt;$P$4,1,0)</f>
        <v>0</v>
      </c>
      <c r="K1153" s="6" t="n">
        <f aca="false">IF(F1153&gt;$P$6,1,0)</f>
        <v>0</v>
      </c>
      <c r="L1153" s="6" t="n">
        <f aca="false">IF(G1153&gt;$P$9,1,0)</f>
        <v>0</v>
      </c>
      <c r="M1153" s="6" t="n">
        <f aca="false">IF(ABS(H1153)&gt;$P$8,1,0)</f>
        <v>0</v>
      </c>
    </row>
    <row r="1154" customFormat="false" ht="15" hidden="false" customHeight="false" outlineLevel="0" collapsed="false">
      <c r="A1154" s="0" t="n">
        <f aca="false">ROW()-1</f>
        <v>1153</v>
      </c>
      <c r="B1154" s="22" t="n">
        <f aca="false">SUMPRODUCT(MMULT('Analysis Data'!N1154:U1154,'Final Model'!$B$59:$I$66),'Analysis Data'!N1154:U1154)</f>
        <v>0.00682564677380087</v>
      </c>
      <c r="C1154" s="15" t="n">
        <f aca="false">'Residual Diagnostics'!F1154</f>
        <v>113.510202257819</v>
      </c>
      <c r="D1154" s="13" t="n">
        <f aca="false">C1154/('Final Model'!$B$21*SQRT(1-B1154))</f>
        <v>2.32296335175618</v>
      </c>
      <c r="E1154" s="13" t="n">
        <f aca="false">D1154*SQRT(('Final Model'!$B$24-1)/('Final Model'!$B$24-D1154^2))</f>
        <v>2.32668035719446</v>
      </c>
      <c r="F1154" s="23" t="n">
        <f aca="false">D1154^2/($P$3+1)*B1154/(1-B1154)</f>
        <v>0.00463567566602042</v>
      </c>
      <c r="G1154" s="13" t="n">
        <f aca="false">($P$2-1)*(B1154-1/$P$2)</f>
        <v>8.4542422824357</v>
      </c>
      <c r="H1154" s="13" t="n">
        <f aca="false">E1154*SQRT(B1154/(1-B1154))</f>
        <v>0.192883856268771</v>
      </c>
      <c r="I1154" s="13" t="n">
        <f aca="false">ABS(D1154)</f>
        <v>2.32296335175618</v>
      </c>
      <c r="J1154" s="6" t="n">
        <f aca="false">IF(B1154&gt;$P$4,1,0)</f>
        <v>0</v>
      </c>
      <c r="K1154" s="6" t="n">
        <f aca="false">IF(F1154&gt;$P$6,1,0)</f>
        <v>1</v>
      </c>
      <c r="L1154" s="6" t="n">
        <f aca="false">IF(G1154&gt;$P$9,1,0)</f>
        <v>0</v>
      </c>
      <c r="M1154" s="6" t="n">
        <f aca="false">IF(ABS(H1154)&gt;$P$8,1,0)</f>
        <v>1</v>
      </c>
    </row>
    <row r="1155" customFormat="false" ht="15" hidden="false" customHeight="false" outlineLevel="0" collapsed="false">
      <c r="A1155" s="0" t="n">
        <f aca="false">ROW()-1</f>
        <v>1154</v>
      </c>
      <c r="B1155" s="22" t="n">
        <f aca="false">SUMPRODUCT(MMULT('Analysis Data'!N1155:U1155,'Final Model'!$B$59:$I$66),'Analysis Data'!N1155:U1155)</f>
        <v>0.0024635255055234</v>
      </c>
      <c r="C1155" s="15" t="n">
        <f aca="false">'Residual Diagnostics'!F1155</f>
        <v>126.132365936175</v>
      </c>
      <c r="D1155" s="13" t="n">
        <f aca="false">C1155/('Final Model'!$B$21*SQRT(1-B1155))</f>
        <v>2.5756233798976</v>
      </c>
      <c r="E1155" s="13" t="n">
        <f aca="false">D1155*SQRT(('Final Model'!$B$24-1)/('Final Model'!$B$24-D1155^2))</f>
        <v>2.58090853530722</v>
      </c>
      <c r="F1155" s="23" t="n">
        <f aca="false">D1155^2/($P$3+1)*B1155/(1-B1155)</f>
        <v>0.0020478729473155</v>
      </c>
      <c r="G1155" s="13" t="n">
        <f aca="false">($P$2-1)*(B1155-1/$P$2)</f>
        <v>2.41270432587141</v>
      </c>
      <c r="H1155" s="13" t="n">
        <f aca="false">E1155*SQRT(B1155/(1-B1155))</f>
        <v>0.128258676213598</v>
      </c>
      <c r="I1155" s="13" t="n">
        <f aca="false">ABS(D1155)</f>
        <v>2.5756233798976</v>
      </c>
      <c r="J1155" s="6" t="n">
        <f aca="false">IF(B1155&gt;$P$4,1,0)</f>
        <v>0</v>
      </c>
      <c r="K1155" s="6" t="n">
        <f aca="false">IF(F1155&gt;$P$6,1,0)</f>
        <v>0</v>
      </c>
      <c r="L1155" s="6" t="n">
        <f aca="false">IF(G1155&gt;$P$9,1,0)</f>
        <v>0</v>
      </c>
      <c r="M1155" s="6" t="n">
        <f aca="false">IF(ABS(H1155)&gt;$P$8,1,0)</f>
        <v>0</v>
      </c>
    </row>
    <row r="1156" customFormat="false" ht="15" hidden="false" customHeight="false" outlineLevel="0" collapsed="false">
      <c r="A1156" s="0" t="n">
        <f aca="false">ROW()-1</f>
        <v>1155</v>
      </c>
      <c r="B1156" s="22" t="n">
        <f aca="false">SUMPRODUCT(MMULT('Analysis Data'!N1156:U1156,'Final Model'!$B$59:$I$66),'Analysis Data'!N1156:U1156)</f>
        <v>0.00244908294570657</v>
      </c>
      <c r="C1156" s="15" t="n">
        <f aca="false">'Residual Diagnostics'!F1156</f>
        <v>31.5857668115803</v>
      </c>
      <c r="D1156" s="13" t="n">
        <f aca="false">C1156/('Final Model'!$B$21*SQRT(1-B1156))</f>
        <v>0.644976806314423</v>
      </c>
      <c r="E1156" s="13" t="n">
        <f aca="false">D1156*SQRT(('Final Model'!$B$24-1)/('Final Model'!$B$24-D1156^2))</f>
        <v>0.644840077971312</v>
      </c>
      <c r="F1156" s="23" t="n">
        <f aca="false">D1156^2/($P$3+1)*B1156/(1-B1156)</f>
        <v>0.000127663465616421</v>
      </c>
      <c r="G1156" s="13" t="n">
        <f aca="false">($P$2-1)*(B1156-1/$P$2)</f>
        <v>2.3927013805251</v>
      </c>
      <c r="H1156" s="13" t="n">
        <f aca="false">E1156*SQRT(B1156/(1-B1156))</f>
        <v>0.031951130773384</v>
      </c>
      <c r="I1156" s="13" t="n">
        <f aca="false">ABS(D1156)</f>
        <v>0.644976806314423</v>
      </c>
      <c r="J1156" s="6" t="n">
        <f aca="false">IF(B1156&gt;$P$4,1,0)</f>
        <v>0</v>
      </c>
      <c r="K1156" s="6" t="n">
        <f aca="false">IF(F1156&gt;$P$6,1,0)</f>
        <v>0</v>
      </c>
      <c r="L1156" s="6" t="n">
        <f aca="false">IF(G1156&gt;$P$9,1,0)</f>
        <v>0</v>
      </c>
      <c r="M1156" s="6" t="n">
        <f aca="false">IF(ABS(H1156)&gt;$P$8,1,0)</f>
        <v>0</v>
      </c>
    </row>
    <row r="1157" customFormat="false" ht="15" hidden="false" customHeight="false" outlineLevel="0" collapsed="false">
      <c r="A1157" s="0" t="n">
        <f aca="false">ROW()-1</f>
        <v>1156</v>
      </c>
      <c r="B1157" s="22" t="n">
        <f aca="false">SUMPRODUCT(MMULT('Analysis Data'!N1157:U1157,'Final Model'!$B$59:$I$66),'Analysis Data'!N1157:U1157)</f>
        <v>0.00172572364305029</v>
      </c>
      <c r="C1157" s="15" t="n">
        <f aca="false">'Residual Diagnostics'!F1157</f>
        <v>9.51796267525583</v>
      </c>
      <c r="D1157" s="13" t="n">
        <f aca="false">C1157/('Final Model'!$B$21*SQRT(1-B1157))</f>
        <v>0.194284997467137</v>
      </c>
      <c r="E1157" s="13" t="n">
        <f aca="false">D1157*SQRT(('Final Model'!$B$24-1)/('Final Model'!$B$24-D1157^2))</f>
        <v>0.194217149441395</v>
      </c>
      <c r="F1157" s="23" t="n">
        <f aca="false">D1157^2/($P$3+1)*B1157/(1-B1157)</f>
        <v>8.15661406470676E-006</v>
      </c>
      <c r="G1157" s="13" t="n">
        <f aca="false">($P$2-1)*(B1157-1/$P$2)</f>
        <v>1.39084874634615</v>
      </c>
      <c r="H1157" s="13" t="n">
        <f aca="false">E1157*SQRT(B1157/(1-B1157))</f>
        <v>0.00807510652269784</v>
      </c>
      <c r="I1157" s="13" t="n">
        <f aca="false">ABS(D1157)</f>
        <v>0.194284997467137</v>
      </c>
      <c r="J1157" s="6" t="n">
        <f aca="false">IF(B1157&gt;$P$4,1,0)</f>
        <v>0</v>
      </c>
      <c r="K1157" s="6" t="n">
        <f aca="false">IF(F1157&gt;$P$6,1,0)</f>
        <v>0</v>
      </c>
      <c r="L1157" s="6" t="n">
        <f aca="false">IF(G1157&gt;$P$9,1,0)</f>
        <v>0</v>
      </c>
      <c r="M1157" s="6" t="n">
        <f aca="false">IF(ABS(H1157)&gt;$P$8,1,0)</f>
        <v>0</v>
      </c>
    </row>
    <row r="1158" customFormat="false" ht="15" hidden="false" customHeight="false" outlineLevel="0" collapsed="false">
      <c r="A1158" s="0" t="n">
        <f aca="false">ROW()-1</f>
        <v>1157</v>
      </c>
      <c r="B1158" s="22" t="n">
        <f aca="false">SUMPRODUCT(MMULT('Analysis Data'!N1158:U1158,'Final Model'!$B$59:$I$66),'Analysis Data'!N1158:U1158)</f>
        <v>0.00183524707251015</v>
      </c>
      <c r="C1158" s="15" t="n">
        <f aca="false">'Residual Diagnostics'!F1158</f>
        <v>-47.7689588974664</v>
      </c>
      <c r="D1158" s="13" t="n">
        <f aca="false">C1158/('Final Model'!$B$21*SQRT(1-B1158))</f>
        <v>-0.975135281324252</v>
      </c>
      <c r="E1158" s="13" t="n">
        <f aca="false">D1158*SQRT(('Final Model'!$B$24-1)/('Final Model'!$B$24-D1158^2))</f>
        <v>-0.975117892520188</v>
      </c>
      <c r="F1158" s="23" t="n">
        <f aca="false">D1158^2/($P$3+1)*B1158/(1-B1158)</f>
        <v>0.000218540565616743</v>
      </c>
      <c r="G1158" s="13" t="n">
        <f aca="false">($P$2-1)*(B1158-1/$P$2)</f>
        <v>1.54253869614805</v>
      </c>
      <c r="H1158" s="13" t="n">
        <f aca="false">E1158*SQRT(B1158/(1-B1158))</f>
        <v>-0.0418122251567235</v>
      </c>
      <c r="I1158" s="13" t="n">
        <f aca="false">ABS(D1158)</f>
        <v>0.975135281324252</v>
      </c>
      <c r="J1158" s="6" t="n">
        <f aca="false">IF(B1158&gt;$P$4,1,0)</f>
        <v>0</v>
      </c>
      <c r="K1158" s="6" t="n">
        <f aca="false">IF(F1158&gt;$P$6,1,0)</f>
        <v>0</v>
      </c>
      <c r="L1158" s="6" t="n">
        <f aca="false">IF(G1158&gt;$P$9,1,0)</f>
        <v>0</v>
      </c>
      <c r="M1158" s="6" t="n">
        <f aca="false">IF(ABS(H1158)&gt;$P$8,1,0)</f>
        <v>0</v>
      </c>
    </row>
    <row r="1159" customFormat="false" ht="15" hidden="false" customHeight="false" outlineLevel="0" collapsed="false">
      <c r="A1159" s="0" t="n">
        <f aca="false">ROW()-1</f>
        <v>1158</v>
      </c>
      <c r="B1159" s="22" t="n">
        <f aca="false">SUMPRODUCT(MMULT('Analysis Data'!N1159:U1159,'Final Model'!$B$59:$I$66),'Analysis Data'!N1159:U1159)</f>
        <v>0.00202939213203319</v>
      </c>
      <c r="C1159" s="15" t="n">
        <f aca="false">'Residual Diagnostics'!F1159</f>
        <v>-56.6608798801404</v>
      </c>
      <c r="D1159" s="13" t="n">
        <f aca="false">C1159/('Final Model'!$B$21*SQRT(1-B1159))</f>
        <v>-1.15676368956641</v>
      </c>
      <c r="E1159" s="13" t="n">
        <f aca="false">D1159*SQRT(('Final Model'!$B$24-1)/('Final Model'!$B$24-D1159^2))</f>
        <v>-1.15690572893616</v>
      </c>
      <c r="F1159" s="23" t="n">
        <f aca="false">D1159^2/($P$3+1)*B1159/(1-B1159)</f>
        <v>0.000340132029329114</v>
      </c>
      <c r="G1159" s="13" t="n">
        <f aca="false">($P$2-1)*(B1159-1/$P$2)</f>
        <v>1.81142960358747</v>
      </c>
      <c r="H1159" s="13" t="n">
        <f aca="false">E1159*SQRT(B1159/(1-B1159))</f>
        <v>-0.052170149648299</v>
      </c>
      <c r="I1159" s="13" t="n">
        <f aca="false">ABS(D1159)</f>
        <v>1.15676368956641</v>
      </c>
      <c r="J1159" s="6" t="n">
        <f aca="false">IF(B1159&gt;$P$4,1,0)</f>
        <v>0</v>
      </c>
      <c r="K1159" s="6" t="n">
        <f aca="false">IF(F1159&gt;$P$6,1,0)</f>
        <v>0</v>
      </c>
      <c r="L1159" s="6" t="n">
        <f aca="false">IF(G1159&gt;$P$9,1,0)</f>
        <v>0</v>
      </c>
      <c r="M1159" s="6" t="n">
        <f aca="false">IF(ABS(H1159)&gt;$P$8,1,0)</f>
        <v>0</v>
      </c>
    </row>
    <row r="1160" customFormat="false" ht="15" hidden="false" customHeight="false" outlineLevel="0" collapsed="false">
      <c r="A1160" s="0" t="n">
        <f aca="false">ROW()-1</f>
        <v>1159</v>
      </c>
      <c r="B1160" s="22" t="n">
        <f aca="false">SUMPRODUCT(MMULT('Analysis Data'!N1160:U1160,'Final Model'!$B$59:$I$66),'Analysis Data'!N1160:U1160)</f>
        <v>0.0022746995499454</v>
      </c>
      <c r="C1160" s="15" t="n">
        <f aca="false">'Residual Diagnostics'!F1160</f>
        <v>-125.610269519246</v>
      </c>
      <c r="D1160" s="13" t="n">
        <f aca="false">C1160/('Final Model'!$B$21*SQRT(1-B1160))</f>
        <v>-2.56471943981738</v>
      </c>
      <c r="E1160" s="13" t="n">
        <f aca="false">D1160*SQRT(('Final Model'!$B$24-1)/('Final Model'!$B$24-D1160^2))</f>
        <v>-2.56992970235282</v>
      </c>
      <c r="F1160" s="23" t="n">
        <f aca="false">D1160^2/($P$3+1)*B1160/(1-B1160)</f>
        <v>0.0018745748959495</v>
      </c>
      <c r="G1160" s="13" t="n">
        <f aca="false">($P$2-1)*(B1160-1/$P$2)</f>
        <v>2.15118037739588</v>
      </c>
      <c r="H1160" s="13" t="n">
        <f aca="false">E1160*SQRT(B1160/(1-B1160))</f>
        <v>-0.122709382896851</v>
      </c>
      <c r="I1160" s="13" t="n">
        <f aca="false">ABS(D1160)</f>
        <v>2.56471943981738</v>
      </c>
      <c r="J1160" s="6" t="n">
        <f aca="false">IF(B1160&gt;$P$4,1,0)</f>
        <v>0</v>
      </c>
      <c r="K1160" s="6" t="n">
        <f aca="false">IF(F1160&gt;$P$6,1,0)</f>
        <v>0</v>
      </c>
      <c r="L1160" s="6" t="n">
        <f aca="false">IF(G1160&gt;$P$9,1,0)</f>
        <v>0</v>
      </c>
      <c r="M1160" s="6" t="n">
        <f aca="false">IF(ABS(H1160)&gt;$P$8,1,0)</f>
        <v>0</v>
      </c>
    </row>
    <row r="1161" customFormat="false" ht="15" hidden="false" customHeight="false" outlineLevel="0" collapsed="false">
      <c r="A1161" s="0" t="n">
        <f aca="false">ROW()-1</f>
        <v>1160</v>
      </c>
      <c r="B1161" s="22" t="n">
        <f aca="false">SUMPRODUCT(MMULT('Analysis Data'!N1161:U1161,'Final Model'!$B$59:$I$66),'Analysis Data'!N1161:U1161)</f>
        <v>0.0022746995499454</v>
      </c>
      <c r="C1161" s="15" t="n">
        <f aca="false">'Residual Diagnostics'!F1161</f>
        <v>36.6194806618132</v>
      </c>
      <c r="D1161" s="13" t="n">
        <f aca="false">C1161/('Final Model'!$B$21*SQRT(1-B1161))</f>
        <v>0.747699167343787</v>
      </c>
      <c r="E1161" s="13" t="n">
        <f aca="false">D1161*SQRT(('Final Model'!$B$24-1)/('Final Model'!$B$24-D1161^2))</f>
        <v>0.747579481155365</v>
      </c>
      <c r="F1161" s="23" t="n">
        <f aca="false">D1161^2/($P$3+1)*B1161/(1-B1161)</f>
        <v>0.000159322408637185</v>
      </c>
      <c r="G1161" s="13" t="n">
        <f aca="false">($P$2-1)*(B1161-1/$P$2)</f>
        <v>2.15118037739588</v>
      </c>
      <c r="H1161" s="13" t="n">
        <f aca="false">E1161*SQRT(B1161/(1-B1161))</f>
        <v>0.0356955354517821</v>
      </c>
      <c r="I1161" s="13" t="n">
        <f aca="false">ABS(D1161)</f>
        <v>0.747699167343787</v>
      </c>
      <c r="J1161" s="6" t="n">
        <f aca="false">IF(B1161&gt;$P$4,1,0)</f>
        <v>0</v>
      </c>
      <c r="K1161" s="6" t="n">
        <f aca="false">IF(F1161&gt;$P$6,1,0)</f>
        <v>0</v>
      </c>
      <c r="L1161" s="6" t="n">
        <f aca="false">IF(G1161&gt;$P$9,1,0)</f>
        <v>0</v>
      </c>
      <c r="M1161" s="6" t="n">
        <f aca="false">IF(ABS(H1161)&gt;$P$8,1,0)</f>
        <v>0</v>
      </c>
    </row>
    <row r="1162" customFormat="false" ht="15" hidden="false" customHeight="false" outlineLevel="0" collapsed="false">
      <c r="A1162" s="0" t="n">
        <f aca="false">ROW()-1</f>
        <v>1161</v>
      </c>
      <c r="B1162" s="22" t="n">
        <f aca="false">SUMPRODUCT(MMULT('Analysis Data'!N1162:U1162,'Final Model'!$B$59:$I$66),'Analysis Data'!N1162:U1162)</f>
        <v>0.00183135509966202</v>
      </c>
      <c r="C1162" s="15" t="n">
        <f aca="false">'Residual Diagnostics'!F1162</f>
        <v>42.3651469704328</v>
      </c>
      <c r="D1162" s="13" t="n">
        <f aca="false">C1162/('Final Model'!$B$21*SQRT(1-B1162))</f>
        <v>0.864822468882999</v>
      </c>
      <c r="E1162" s="13" t="n">
        <f aca="false">D1162*SQRT(('Final Model'!$B$24-1)/('Final Model'!$B$24-D1162^2))</f>
        <v>0.864743319887302</v>
      </c>
      <c r="F1162" s="23" t="n">
        <f aca="false">D1162^2/($P$3+1)*B1162/(1-B1162)</f>
        <v>0.000171527035061701</v>
      </c>
      <c r="G1162" s="13" t="n">
        <f aca="false">($P$2-1)*(B1162-1/$P$2)</f>
        <v>1.5371483137534</v>
      </c>
      <c r="H1162" s="13" t="n">
        <f aca="false">E1162*SQRT(B1162/(1-B1162))</f>
        <v>0.0370400475176855</v>
      </c>
      <c r="I1162" s="13" t="n">
        <f aca="false">ABS(D1162)</f>
        <v>0.864822468882999</v>
      </c>
      <c r="J1162" s="6" t="n">
        <f aca="false">IF(B1162&gt;$P$4,1,0)</f>
        <v>0</v>
      </c>
      <c r="K1162" s="6" t="n">
        <f aca="false">IF(F1162&gt;$P$6,1,0)</f>
        <v>0</v>
      </c>
      <c r="L1162" s="6" t="n">
        <f aca="false">IF(G1162&gt;$P$9,1,0)</f>
        <v>0</v>
      </c>
      <c r="M1162" s="6" t="n">
        <f aca="false">IF(ABS(H1162)&gt;$P$8,1,0)</f>
        <v>0</v>
      </c>
    </row>
    <row r="1163" customFormat="false" ht="15" hidden="false" customHeight="false" outlineLevel="0" collapsed="false">
      <c r="A1163" s="0" t="n">
        <f aca="false">ROW()-1</f>
        <v>1162</v>
      </c>
      <c r="B1163" s="22" t="n">
        <f aca="false">SUMPRODUCT(MMULT('Analysis Data'!N1163:U1163,'Final Model'!$B$59:$I$66),'Analysis Data'!N1163:U1163)</f>
        <v>0.00183135509966202</v>
      </c>
      <c r="C1163" s="15" t="n">
        <f aca="false">'Residual Diagnostics'!F1163</f>
        <v>-52.1440498274806</v>
      </c>
      <c r="D1163" s="13" t="n">
        <f aca="false">C1163/('Final Model'!$B$21*SQRT(1-B1163))</f>
        <v>-1.06444445810214</v>
      </c>
      <c r="E1163" s="13" t="n">
        <f aca="false">D1163*SQRT(('Final Model'!$B$24-1)/('Final Model'!$B$24-D1163^2))</f>
        <v>-1.06449588369655</v>
      </c>
      <c r="F1163" s="23" t="n">
        <f aca="false">D1163^2/($P$3+1)*B1163/(1-B1163)</f>
        <v>0.000259851161357076</v>
      </c>
      <c r="G1163" s="13" t="n">
        <f aca="false">($P$2-1)*(B1163-1/$P$2)</f>
        <v>1.5371483137534</v>
      </c>
      <c r="H1163" s="13" t="n">
        <f aca="false">E1163*SQRT(B1163/(1-B1163))</f>
        <v>-0.0455961638647169</v>
      </c>
      <c r="I1163" s="13" t="n">
        <f aca="false">ABS(D1163)</f>
        <v>1.06444445810214</v>
      </c>
      <c r="J1163" s="6" t="n">
        <f aca="false">IF(B1163&gt;$P$4,1,0)</f>
        <v>0</v>
      </c>
      <c r="K1163" s="6" t="n">
        <f aca="false">IF(F1163&gt;$P$6,1,0)</f>
        <v>0</v>
      </c>
      <c r="L1163" s="6" t="n">
        <f aca="false">IF(G1163&gt;$P$9,1,0)</f>
        <v>0</v>
      </c>
      <c r="M1163" s="6" t="n">
        <f aca="false">IF(ABS(H1163)&gt;$P$8,1,0)</f>
        <v>0</v>
      </c>
    </row>
    <row r="1164" customFormat="false" ht="15" hidden="false" customHeight="false" outlineLevel="0" collapsed="false">
      <c r="A1164" s="0" t="n">
        <f aca="false">ROW()-1</f>
        <v>1163</v>
      </c>
      <c r="B1164" s="22" t="n">
        <f aca="false">SUMPRODUCT(MMULT('Analysis Data'!N1164:U1164,'Final Model'!$B$59:$I$66),'Analysis Data'!N1164:U1164)</f>
        <v>0.00171697350454765</v>
      </c>
      <c r="C1164" s="15" t="n">
        <f aca="false">'Residual Diagnostics'!F1164</f>
        <v>40.9146007742497</v>
      </c>
      <c r="D1164" s="13" t="n">
        <f aca="false">C1164/('Final Model'!$B$21*SQRT(1-B1164))</f>
        <v>0.835163841389605</v>
      </c>
      <c r="E1164" s="13" t="n">
        <f aca="false">D1164*SQRT(('Final Model'!$B$24-1)/('Final Model'!$B$24-D1164^2))</f>
        <v>0.835072121498945</v>
      </c>
      <c r="F1164" s="23" t="n">
        <f aca="false">D1164^2/($P$3+1)*B1164/(1-B1164)</f>
        <v>0.000149955806109851</v>
      </c>
      <c r="G1164" s="13" t="n">
        <f aca="false">($P$2-1)*(B1164-1/$P$2)</f>
        <v>1.37872980451999</v>
      </c>
      <c r="H1164" s="13" t="n">
        <f aca="false">E1164*SQRT(B1164/(1-B1164))</f>
        <v>0.034632108897501</v>
      </c>
      <c r="I1164" s="13" t="n">
        <f aca="false">ABS(D1164)</f>
        <v>0.835163841389605</v>
      </c>
      <c r="J1164" s="6" t="n">
        <f aca="false">IF(B1164&gt;$P$4,1,0)</f>
        <v>0</v>
      </c>
      <c r="K1164" s="6" t="n">
        <f aca="false">IF(F1164&gt;$P$6,1,0)</f>
        <v>0</v>
      </c>
      <c r="L1164" s="6" t="n">
        <f aca="false">IF(G1164&gt;$P$9,1,0)</f>
        <v>0</v>
      </c>
      <c r="M1164" s="6" t="n">
        <f aca="false">IF(ABS(H1164)&gt;$P$8,1,0)</f>
        <v>0</v>
      </c>
    </row>
    <row r="1165" customFormat="false" ht="15" hidden="false" customHeight="false" outlineLevel="0" collapsed="false">
      <c r="A1165" s="0" t="n">
        <f aca="false">ROW()-1</f>
        <v>1164</v>
      </c>
      <c r="B1165" s="22" t="n">
        <f aca="false">SUMPRODUCT(MMULT('Analysis Data'!N1165:U1165,'Final Model'!$B$59:$I$66),'Analysis Data'!N1165:U1165)</f>
        <v>0.0016845738956854</v>
      </c>
      <c r="C1165" s="15" t="n">
        <f aca="false">'Residual Diagnostics'!F1165</f>
        <v>-21.2965147379522</v>
      </c>
      <c r="D1165" s="13" t="n">
        <f aca="false">C1165/('Final Model'!$B$21*SQRT(1-B1165))</f>
        <v>-0.434705217713165</v>
      </c>
      <c r="E1165" s="13" t="n">
        <f aca="false">D1165*SQRT(('Final Model'!$B$24-1)/('Final Model'!$B$24-D1165^2))</f>
        <v>-0.434577256962534</v>
      </c>
      <c r="F1165" s="23" t="n">
        <f aca="false">D1165^2/($P$3+1)*B1165/(1-B1165)</f>
        <v>3.98585966239395E-005</v>
      </c>
      <c r="G1165" s="13" t="n">
        <f aca="false">($P$2-1)*(B1165-1/$P$2)</f>
        <v>1.33385634624578</v>
      </c>
      <c r="H1165" s="13" t="n">
        <f aca="false">E1165*SQRT(B1165/(1-B1165))</f>
        <v>-0.017851640676516</v>
      </c>
      <c r="I1165" s="13" t="n">
        <f aca="false">ABS(D1165)</f>
        <v>0.434705217713165</v>
      </c>
      <c r="J1165" s="6" t="n">
        <f aca="false">IF(B1165&gt;$P$4,1,0)</f>
        <v>0</v>
      </c>
      <c r="K1165" s="6" t="n">
        <f aca="false">IF(F1165&gt;$P$6,1,0)</f>
        <v>0</v>
      </c>
      <c r="L1165" s="6" t="n">
        <f aca="false">IF(G1165&gt;$P$9,1,0)</f>
        <v>0</v>
      </c>
      <c r="M1165" s="6" t="n">
        <f aca="false">IF(ABS(H1165)&gt;$P$8,1,0)</f>
        <v>0</v>
      </c>
    </row>
    <row r="1166" customFormat="false" ht="15" hidden="false" customHeight="false" outlineLevel="0" collapsed="false">
      <c r="A1166" s="0" t="n">
        <f aca="false">ROW()-1</f>
        <v>1165</v>
      </c>
      <c r="B1166" s="22" t="n">
        <f aca="false">SUMPRODUCT(MMULT('Analysis Data'!N1166:U1166,'Final Model'!$B$59:$I$66),'Analysis Data'!N1166:U1166)</f>
        <v>0.00244908294570657</v>
      </c>
      <c r="C1166" s="15" t="n">
        <f aca="false">'Residual Diagnostics'!F1166</f>
        <v>33.0828030295987</v>
      </c>
      <c r="D1166" s="13" t="n">
        <f aca="false">C1166/('Final Model'!$B$21*SQRT(1-B1166))</f>
        <v>0.675546070141209</v>
      </c>
      <c r="E1166" s="13" t="n">
        <f aca="false">D1166*SQRT(('Final Model'!$B$24-1)/('Final Model'!$B$24-D1166^2))</f>
        <v>0.675412757332811</v>
      </c>
      <c r="F1166" s="23" t="n">
        <f aca="false">D1166^2/($P$3+1)*B1166/(1-B1166)</f>
        <v>0.000140051698022702</v>
      </c>
      <c r="G1166" s="13" t="n">
        <f aca="false">($P$2-1)*(B1166-1/$P$2)</f>
        <v>2.3927013805251</v>
      </c>
      <c r="H1166" s="13" t="n">
        <f aca="false">E1166*SQRT(B1166/(1-B1166))</f>
        <v>0.0334659740806504</v>
      </c>
      <c r="I1166" s="13" t="n">
        <f aca="false">ABS(D1166)</f>
        <v>0.675546070141209</v>
      </c>
      <c r="J1166" s="6" t="n">
        <f aca="false">IF(B1166&gt;$P$4,1,0)</f>
        <v>0</v>
      </c>
      <c r="K1166" s="6" t="n">
        <f aca="false">IF(F1166&gt;$P$6,1,0)</f>
        <v>0</v>
      </c>
      <c r="L1166" s="6" t="n">
        <f aca="false">IF(G1166&gt;$P$9,1,0)</f>
        <v>0</v>
      </c>
      <c r="M1166" s="6" t="n">
        <f aca="false">IF(ABS(H1166)&gt;$P$8,1,0)</f>
        <v>0</v>
      </c>
    </row>
    <row r="1167" customFormat="false" ht="15" hidden="false" customHeight="false" outlineLevel="0" collapsed="false">
      <c r="A1167" s="0" t="n">
        <f aca="false">ROW()-1</f>
        <v>1166</v>
      </c>
      <c r="B1167" s="22" t="n">
        <f aca="false">SUMPRODUCT(MMULT('Analysis Data'!N1167:U1167,'Final Model'!$B$59:$I$66),'Analysis Data'!N1167:U1167)</f>
        <v>0.00244908294570657</v>
      </c>
      <c r="C1167" s="15" t="n">
        <f aca="false">'Residual Diagnostics'!F1167</f>
        <v>48.1817714732884</v>
      </c>
      <c r="D1167" s="13" t="n">
        <f aca="false">C1167/('Final Model'!$B$21*SQRT(1-B1167))</f>
        <v>0.983864829775779</v>
      </c>
      <c r="E1167" s="13" t="n">
        <f aca="false">D1167*SQRT(('Final Model'!$B$24-1)/('Final Model'!$B$24-D1167^2))</f>
        <v>0.983853394423231</v>
      </c>
      <c r="F1167" s="23" t="n">
        <f aca="false">D1167^2/($P$3+1)*B1167/(1-B1167)</f>
        <v>0.000297063509252092</v>
      </c>
      <c r="G1167" s="13" t="n">
        <f aca="false">($P$2-1)*(B1167-1/$P$2)</f>
        <v>2.3927013805251</v>
      </c>
      <c r="H1167" s="13" t="n">
        <f aca="false">E1167*SQRT(B1167/(1-B1167))</f>
        <v>0.0487488751721988</v>
      </c>
      <c r="I1167" s="13" t="n">
        <f aca="false">ABS(D1167)</f>
        <v>0.983864829775779</v>
      </c>
      <c r="J1167" s="6" t="n">
        <f aca="false">IF(B1167&gt;$P$4,1,0)</f>
        <v>0</v>
      </c>
      <c r="K1167" s="6" t="n">
        <f aca="false">IF(F1167&gt;$P$6,1,0)</f>
        <v>0</v>
      </c>
      <c r="L1167" s="6" t="n">
        <f aca="false">IF(G1167&gt;$P$9,1,0)</f>
        <v>0</v>
      </c>
      <c r="M1167" s="6" t="n">
        <f aca="false">IF(ABS(H1167)&gt;$P$8,1,0)</f>
        <v>0</v>
      </c>
    </row>
    <row r="1168" customFormat="false" ht="15" hidden="false" customHeight="false" outlineLevel="0" collapsed="false">
      <c r="A1168" s="0" t="n">
        <f aca="false">ROW()-1</f>
        <v>1167</v>
      </c>
      <c r="B1168" s="22" t="n">
        <f aca="false">SUMPRODUCT(MMULT('Analysis Data'!N1168:U1168,'Final Model'!$B$59:$I$66),'Analysis Data'!N1168:U1168)</f>
        <v>0.0023826634634078</v>
      </c>
      <c r="C1168" s="15" t="n">
        <f aca="false">'Residual Diagnostics'!F1168</f>
        <v>-56.6838639819375</v>
      </c>
      <c r="D1168" s="13" t="n">
        <f aca="false">C1168/('Final Model'!$B$21*SQRT(1-B1168))</f>
        <v>-1.15743780158671</v>
      </c>
      <c r="E1168" s="13" t="n">
        <f aca="false">D1168*SQRT(('Final Model'!$B$24-1)/('Final Model'!$B$24-D1168^2))</f>
        <v>-1.15758057961529</v>
      </c>
      <c r="F1168" s="23" t="n">
        <f aca="false">D1168^2/($P$3+1)*B1168/(1-B1168)</f>
        <v>0.00039994848401888</v>
      </c>
      <c r="G1168" s="13" t="n">
        <f aca="false">($P$2-1)*(B1168-1/$P$2)</f>
        <v>2.3007103975413</v>
      </c>
      <c r="H1168" s="13" t="n">
        <f aca="false">E1168*SQRT(B1168/(1-B1168))</f>
        <v>-0.0565718773227106</v>
      </c>
      <c r="I1168" s="13" t="n">
        <f aca="false">ABS(D1168)</f>
        <v>1.15743780158671</v>
      </c>
      <c r="J1168" s="6" t="n">
        <f aca="false">IF(B1168&gt;$P$4,1,0)</f>
        <v>0</v>
      </c>
      <c r="K1168" s="6" t="n">
        <f aca="false">IF(F1168&gt;$P$6,1,0)</f>
        <v>0</v>
      </c>
      <c r="L1168" s="6" t="n">
        <f aca="false">IF(G1168&gt;$P$9,1,0)</f>
        <v>0</v>
      </c>
      <c r="M1168" s="6" t="n">
        <f aca="false">IF(ABS(H1168)&gt;$P$8,1,0)</f>
        <v>0</v>
      </c>
    </row>
    <row r="1169" customFormat="false" ht="15" hidden="false" customHeight="false" outlineLevel="0" collapsed="false">
      <c r="A1169" s="0" t="n">
        <f aca="false">ROW()-1</f>
        <v>1168</v>
      </c>
      <c r="B1169" s="22" t="n">
        <f aca="false">SUMPRODUCT(MMULT('Analysis Data'!N1169:U1169,'Final Model'!$B$59:$I$66),'Analysis Data'!N1169:U1169)</f>
        <v>0.0023826634634078</v>
      </c>
      <c r="C1169" s="15" t="n">
        <f aca="false">'Residual Diagnostics'!F1169</f>
        <v>23.5519512840131</v>
      </c>
      <c r="D1169" s="13" t="n">
        <f aca="false">C1169/('Final Model'!$B$21*SQRT(1-B1169))</f>
        <v>0.480911441145438</v>
      </c>
      <c r="E1169" s="13" t="n">
        <f aca="false">D1169*SQRT(('Final Model'!$B$24-1)/('Final Model'!$B$24-D1169^2))</f>
        <v>0.480777260484094</v>
      </c>
      <c r="F1169" s="23" t="n">
        <f aca="false">D1169^2/($P$3+1)*B1169/(1-B1169)</f>
        <v>6.90460676079315E-005</v>
      </c>
      <c r="G1169" s="13" t="n">
        <f aca="false">($P$2-1)*(B1169-1/$P$2)</f>
        <v>2.3007103975413</v>
      </c>
      <c r="H1169" s="13" t="n">
        <f aca="false">E1169*SQRT(B1169/(1-B1169))</f>
        <v>0.0234959644957883</v>
      </c>
      <c r="I1169" s="13" t="n">
        <f aca="false">ABS(D1169)</f>
        <v>0.480911441145438</v>
      </c>
      <c r="J1169" s="6" t="n">
        <f aca="false">IF(B1169&gt;$P$4,1,0)</f>
        <v>0</v>
      </c>
      <c r="K1169" s="6" t="n">
        <f aca="false">IF(F1169&gt;$P$6,1,0)</f>
        <v>0</v>
      </c>
      <c r="L1169" s="6" t="n">
        <f aca="false">IF(G1169&gt;$P$9,1,0)</f>
        <v>0</v>
      </c>
      <c r="M1169" s="6" t="n">
        <f aca="false">IF(ABS(H1169)&gt;$P$8,1,0)</f>
        <v>0</v>
      </c>
    </row>
    <row r="1170" customFormat="false" ht="15" hidden="false" customHeight="false" outlineLevel="0" collapsed="false">
      <c r="A1170" s="0" t="n">
        <f aca="false">ROW()-1</f>
        <v>1169</v>
      </c>
      <c r="B1170" s="22" t="n">
        <f aca="false">SUMPRODUCT(MMULT('Analysis Data'!N1170:U1170,'Final Model'!$B$59:$I$66),'Analysis Data'!N1170:U1170)</f>
        <v>0.00171657202349441</v>
      </c>
      <c r="C1170" s="15" t="n">
        <f aca="false">'Residual Diagnostics'!F1170</f>
        <v>34.5537835157287</v>
      </c>
      <c r="D1170" s="13" t="n">
        <f aca="false">C1170/('Final Model'!$B$21*SQRT(1-B1170))</f>
        <v>0.7053243640778</v>
      </c>
      <c r="E1170" s="13" t="n">
        <f aca="false">D1170*SQRT(('Final Model'!$B$24-1)/('Final Model'!$B$24-D1170^2))</f>
        <v>0.705195699994879</v>
      </c>
      <c r="F1170" s="23" t="n">
        <f aca="false">D1170^2/($P$3+1)*B1170/(1-B1170)</f>
        <v>0.000106929110337593</v>
      </c>
      <c r="G1170" s="13" t="n">
        <f aca="false">($P$2-1)*(B1170-1/$P$2)</f>
        <v>1.37817375326126</v>
      </c>
      <c r="H1170" s="13" t="n">
        <f aca="false">E1170*SQRT(B1170/(1-B1170))</f>
        <v>0.0292424489041909</v>
      </c>
      <c r="I1170" s="13" t="n">
        <f aca="false">ABS(D1170)</f>
        <v>0.7053243640778</v>
      </c>
      <c r="J1170" s="6" t="n">
        <f aca="false">IF(B1170&gt;$P$4,1,0)</f>
        <v>0</v>
      </c>
      <c r="K1170" s="6" t="n">
        <f aca="false">IF(F1170&gt;$P$6,1,0)</f>
        <v>0</v>
      </c>
      <c r="L1170" s="6" t="n">
        <f aca="false">IF(G1170&gt;$P$9,1,0)</f>
        <v>0</v>
      </c>
      <c r="M1170" s="6" t="n">
        <f aca="false">IF(ABS(H1170)&gt;$P$8,1,0)</f>
        <v>0</v>
      </c>
    </row>
    <row r="1171" customFormat="false" ht="15" hidden="false" customHeight="false" outlineLevel="0" collapsed="false">
      <c r="A1171" s="0" t="n">
        <f aca="false">ROW()-1</f>
        <v>1170</v>
      </c>
      <c r="B1171" s="22" t="n">
        <f aca="false">SUMPRODUCT(MMULT('Analysis Data'!N1171:U1171,'Final Model'!$B$59:$I$66),'Analysis Data'!N1171:U1171)</f>
        <v>0.00171657202349441</v>
      </c>
      <c r="C1171" s="15" t="n">
        <f aca="false">'Residual Diagnostics'!F1171</f>
        <v>4.96141715203325</v>
      </c>
      <c r="D1171" s="13" t="n">
        <f aca="false">C1171/('Final Model'!$B$21*SQRT(1-B1171))</f>
        <v>0.101274246743186</v>
      </c>
      <c r="E1171" s="13" t="n">
        <f aca="false">D1171*SQRT(('Final Model'!$B$24-1)/('Final Model'!$B$24-D1171^2))</f>
        <v>0.101237870008278</v>
      </c>
      <c r="F1171" s="23" t="n">
        <f aca="false">D1171^2/($P$3+1)*B1171/(1-B1171)</f>
        <v>2.20453107426579E-006</v>
      </c>
      <c r="G1171" s="13" t="n">
        <f aca="false">($P$2-1)*(B1171-1/$P$2)</f>
        <v>1.37817375326126</v>
      </c>
      <c r="H1171" s="13" t="n">
        <f aca="false">E1171*SQRT(B1171/(1-B1171))</f>
        <v>0.00419804494115276</v>
      </c>
      <c r="I1171" s="13" t="n">
        <f aca="false">ABS(D1171)</f>
        <v>0.101274246743186</v>
      </c>
      <c r="J1171" s="6" t="n">
        <f aca="false">IF(B1171&gt;$P$4,1,0)</f>
        <v>0</v>
      </c>
      <c r="K1171" s="6" t="n">
        <f aca="false">IF(F1171&gt;$P$6,1,0)</f>
        <v>0</v>
      </c>
      <c r="L1171" s="6" t="n">
        <f aca="false">IF(G1171&gt;$P$9,1,0)</f>
        <v>0</v>
      </c>
      <c r="M1171" s="6" t="n">
        <f aca="false">IF(ABS(H1171)&gt;$P$8,1,0)</f>
        <v>0</v>
      </c>
    </row>
    <row r="1172" customFormat="false" ht="15" hidden="false" customHeight="false" outlineLevel="0" collapsed="false">
      <c r="A1172" s="0" t="n">
        <f aca="false">ROW()-1</f>
        <v>1171</v>
      </c>
      <c r="B1172" s="22" t="n">
        <f aca="false">SUMPRODUCT(MMULT('Analysis Data'!N1172:U1172,'Final Model'!$B$59:$I$66),'Analysis Data'!N1172:U1172)</f>
        <v>0.00171657202349441</v>
      </c>
      <c r="C1172" s="15" t="n">
        <f aca="false">'Residual Diagnostics'!F1172</f>
        <v>-35.4993949434046</v>
      </c>
      <c r="D1172" s="13" t="n">
        <f aca="false">C1172/('Final Model'!$B$21*SQRT(1-B1172))</f>
        <v>-0.72462652757566</v>
      </c>
      <c r="E1172" s="13" t="n">
        <f aca="false">D1172*SQRT(('Final Model'!$B$24-1)/('Final Model'!$B$24-D1172^2))</f>
        <v>-0.724501600913873</v>
      </c>
      <c r="F1172" s="23" t="n">
        <f aca="false">D1172^2/($P$3+1)*B1172/(1-B1172)</f>
        <v>0.00011286171343763</v>
      </c>
      <c r="G1172" s="13" t="n">
        <f aca="false">($P$2-1)*(B1172-1/$P$2)</f>
        <v>1.37817375326126</v>
      </c>
      <c r="H1172" s="13" t="n">
        <f aca="false">E1172*SQRT(B1172/(1-B1172))</f>
        <v>-0.0300430094027548</v>
      </c>
      <c r="I1172" s="13" t="n">
        <f aca="false">ABS(D1172)</f>
        <v>0.72462652757566</v>
      </c>
      <c r="J1172" s="6" t="n">
        <f aca="false">IF(B1172&gt;$P$4,1,0)</f>
        <v>0</v>
      </c>
      <c r="K1172" s="6" t="n">
        <f aca="false">IF(F1172&gt;$P$6,1,0)</f>
        <v>0</v>
      </c>
      <c r="L1172" s="6" t="n">
        <f aca="false">IF(G1172&gt;$P$9,1,0)</f>
        <v>0</v>
      </c>
      <c r="M1172" s="6" t="n">
        <f aca="false">IF(ABS(H1172)&gt;$P$8,1,0)</f>
        <v>0</v>
      </c>
    </row>
    <row r="1173" customFormat="false" ht="15" hidden="false" customHeight="false" outlineLevel="0" collapsed="false">
      <c r="A1173" s="0" t="n">
        <f aca="false">ROW()-1</f>
        <v>1172</v>
      </c>
      <c r="B1173" s="22" t="n">
        <f aca="false">SUMPRODUCT(MMULT('Analysis Data'!N1173:U1173,'Final Model'!$B$59:$I$66),'Analysis Data'!N1173:U1173)</f>
        <v>0.00168307690904174</v>
      </c>
      <c r="C1173" s="15" t="n">
        <f aca="false">'Residual Diagnostics'!F1173</f>
        <v>-16.6230527590316</v>
      </c>
      <c r="D1173" s="13" t="n">
        <f aca="false">C1173/('Final Model'!$B$21*SQRT(1-B1173))</f>
        <v>-0.33931009086504</v>
      </c>
      <c r="E1173" s="13" t="n">
        <f aca="false">D1173*SQRT(('Final Model'!$B$24-1)/('Final Model'!$B$24-D1173^2))</f>
        <v>-0.339201122005477</v>
      </c>
      <c r="F1173" s="23" t="n">
        <f aca="false">D1173^2/($P$3+1)*B1173/(1-B1173)</f>
        <v>2.42626979987182E-005</v>
      </c>
      <c r="G1173" s="13" t="n">
        <f aca="false">($P$2-1)*(B1173-1/$P$2)</f>
        <v>1.33178301974431</v>
      </c>
      <c r="H1173" s="13" t="n">
        <f aca="false">E1173*SQRT(B1173/(1-B1173))</f>
        <v>-0.013927560203438</v>
      </c>
      <c r="I1173" s="13" t="n">
        <f aca="false">ABS(D1173)</f>
        <v>0.33931009086504</v>
      </c>
      <c r="J1173" s="6" t="n">
        <f aca="false">IF(B1173&gt;$P$4,1,0)</f>
        <v>0</v>
      </c>
      <c r="K1173" s="6" t="n">
        <f aca="false">IF(F1173&gt;$P$6,1,0)</f>
        <v>0</v>
      </c>
      <c r="L1173" s="6" t="n">
        <f aca="false">IF(G1173&gt;$P$9,1,0)</f>
        <v>0</v>
      </c>
      <c r="M1173" s="6" t="n">
        <f aca="false">IF(ABS(H1173)&gt;$P$8,1,0)</f>
        <v>0</v>
      </c>
    </row>
    <row r="1174" customFormat="false" ht="15" hidden="false" customHeight="false" outlineLevel="0" collapsed="false">
      <c r="A1174" s="0" t="n">
        <f aca="false">ROW()-1</f>
        <v>1173</v>
      </c>
      <c r="B1174" s="22" t="n">
        <f aca="false">SUMPRODUCT(MMULT('Analysis Data'!N1174:U1174,'Final Model'!$B$59:$I$66),'Analysis Data'!N1174:U1174)</f>
        <v>0.00168307690904174</v>
      </c>
      <c r="C1174" s="15" t="n">
        <f aca="false">'Residual Diagnostics'!F1174</f>
        <v>6.0230332626891</v>
      </c>
      <c r="D1174" s="13" t="n">
        <f aca="false">C1174/('Final Model'!$B$21*SQRT(1-B1174))</f>
        <v>0.122942277406647</v>
      </c>
      <c r="E1174" s="13" t="n">
        <f aca="false">D1174*SQRT(('Final Model'!$B$24-1)/('Final Model'!$B$24-D1174^2))</f>
        <v>0.12289833437301</v>
      </c>
      <c r="F1174" s="23" t="n">
        <f aca="false">D1174^2/($P$3+1)*B1174/(1-B1174)</f>
        <v>3.18528318657861E-006</v>
      </c>
      <c r="G1174" s="13" t="n">
        <f aca="false">($P$2-1)*(B1174-1/$P$2)</f>
        <v>1.33178301974431</v>
      </c>
      <c r="H1174" s="13" t="n">
        <f aca="false">E1174*SQRT(B1174/(1-B1174))</f>
        <v>0.00504619188982139</v>
      </c>
      <c r="I1174" s="13" t="n">
        <f aca="false">ABS(D1174)</f>
        <v>0.122942277406647</v>
      </c>
      <c r="J1174" s="6" t="n">
        <f aca="false">IF(B1174&gt;$P$4,1,0)</f>
        <v>0</v>
      </c>
      <c r="K1174" s="6" t="n">
        <f aca="false">IF(F1174&gt;$P$6,1,0)</f>
        <v>0</v>
      </c>
      <c r="L1174" s="6" t="n">
        <f aca="false">IF(G1174&gt;$P$9,1,0)</f>
        <v>0</v>
      </c>
      <c r="M1174" s="6" t="n">
        <f aca="false">IF(ABS(H1174)&gt;$P$8,1,0)</f>
        <v>0</v>
      </c>
    </row>
    <row r="1175" customFormat="false" ht="15" hidden="false" customHeight="false" outlineLevel="0" collapsed="false">
      <c r="A1175" s="0" t="n">
        <f aca="false">ROW()-1</f>
        <v>1174</v>
      </c>
      <c r="B1175" s="22" t="n">
        <f aca="false">SUMPRODUCT(MMULT('Analysis Data'!N1175:U1175,'Final Model'!$B$59:$I$66),'Analysis Data'!N1175:U1175)</f>
        <v>0.00170856208216967</v>
      </c>
      <c r="C1175" s="15" t="n">
        <f aca="false">'Residual Diagnostics'!F1175</f>
        <v>2.52625074386168</v>
      </c>
      <c r="D1175" s="13" t="n">
        <f aca="false">C1175/('Final Model'!$B$21*SQRT(1-B1175))</f>
        <v>0.0515665397456345</v>
      </c>
      <c r="E1175" s="13" t="n">
        <f aca="false">D1175*SQRT(('Final Model'!$B$24-1)/('Final Model'!$B$24-D1175^2))</f>
        <v>0.0515478754397458</v>
      </c>
      <c r="F1175" s="23" t="n">
        <f aca="false">D1175^2/($P$3+1)*B1175/(1-B1175)</f>
        <v>5.688783561952E-007</v>
      </c>
      <c r="G1175" s="13" t="n">
        <f aca="false">($P$2-1)*(B1175-1/$P$2)</f>
        <v>1.36707998452649</v>
      </c>
      <c r="H1175" s="13" t="n">
        <f aca="false">E1175*SQRT(B1175/(1-B1175))</f>
        <v>0.00213254143999462</v>
      </c>
      <c r="I1175" s="13" t="n">
        <f aca="false">ABS(D1175)</f>
        <v>0.0515665397456345</v>
      </c>
      <c r="J1175" s="6" t="n">
        <f aca="false">IF(B1175&gt;$P$4,1,0)</f>
        <v>0</v>
      </c>
      <c r="K1175" s="6" t="n">
        <f aca="false">IF(F1175&gt;$P$6,1,0)</f>
        <v>0</v>
      </c>
      <c r="L1175" s="6" t="n">
        <f aca="false">IF(G1175&gt;$P$9,1,0)</f>
        <v>0</v>
      </c>
      <c r="M1175" s="6" t="n">
        <f aca="false">IF(ABS(H1175)&gt;$P$8,1,0)</f>
        <v>0</v>
      </c>
    </row>
    <row r="1176" customFormat="false" ht="15" hidden="false" customHeight="false" outlineLevel="0" collapsed="false">
      <c r="A1176" s="0" t="n">
        <f aca="false">ROW()-1</f>
        <v>1175</v>
      </c>
      <c r="B1176" s="22" t="n">
        <f aca="false">SUMPRODUCT(MMULT('Analysis Data'!N1176:U1176,'Final Model'!$B$59:$I$66),'Analysis Data'!N1176:U1176)</f>
        <v>0.00188696669399951</v>
      </c>
      <c r="C1176" s="15" t="n">
        <f aca="false">'Residual Diagnostics'!F1176</f>
        <v>-126.376105452698</v>
      </c>
      <c r="D1176" s="13" t="n">
        <f aca="false">C1176/('Final Model'!$B$21*SQRT(1-B1176))</f>
        <v>-2.57985509363777</v>
      </c>
      <c r="E1176" s="13" t="n">
        <f aca="false">D1176*SQRT(('Final Model'!$B$24-1)/('Final Model'!$B$24-D1176^2))</f>
        <v>-2.58516949577417</v>
      </c>
      <c r="F1176" s="23" t="n">
        <f aca="false">D1176^2/($P$3+1)*B1176/(1-B1176)</f>
        <v>0.00157284217890747</v>
      </c>
      <c r="G1176" s="13" t="n">
        <f aca="false">($P$2-1)*(B1176-1/$P$2)</f>
        <v>1.61417037191083</v>
      </c>
      <c r="H1176" s="13" t="n">
        <f aca="false">E1176*SQRT(B1176/(1-B1176))</f>
        <v>-0.112403873306932</v>
      </c>
      <c r="I1176" s="13" t="n">
        <f aca="false">ABS(D1176)</f>
        <v>2.57985509363777</v>
      </c>
      <c r="J1176" s="6" t="n">
        <f aca="false">IF(B1176&gt;$P$4,1,0)</f>
        <v>0</v>
      </c>
      <c r="K1176" s="6" t="n">
        <f aca="false">IF(F1176&gt;$P$6,1,0)</f>
        <v>0</v>
      </c>
      <c r="L1176" s="6" t="n">
        <f aca="false">IF(G1176&gt;$P$9,1,0)</f>
        <v>0</v>
      </c>
      <c r="M1176" s="6" t="n">
        <f aca="false">IF(ABS(H1176)&gt;$P$8,1,0)</f>
        <v>0</v>
      </c>
    </row>
    <row r="1177" customFormat="false" ht="15" hidden="false" customHeight="false" outlineLevel="0" collapsed="false">
      <c r="A1177" s="0" t="n">
        <f aca="false">ROW()-1</f>
        <v>1176</v>
      </c>
      <c r="B1177" s="22" t="n">
        <f aca="false">SUMPRODUCT(MMULT('Analysis Data'!N1177:U1177,'Final Model'!$B$59:$I$66),'Analysis Data'!N1177:U1177)</f>
        <v>0.0017325248080247</v>
      </c>
      <c r="C1177" s="15" t="n">
        <f aca="false">'Residual Diagnostics'!F1177</f>
        <v>9.26504046545705</v>
      </c>
      <c r="D1177" s="13" t="n">
        <f aca="false">C1177/('Final Model'!$B$21*SQRT(1-B1177))</f>
        <v>0.189122878145347</v>
      </c>
      <c r="E1177" s="13" t="n">
        <f aca="false">D1177*SQRT(('Final Model'!$B$24-1)/('Final Model'!$B$24-D1177^2))</f>
        <v>0.189056697057025</v>
      </c>
      <c r="F1177" s="23" t="n">
        <f aca="false">D1177^2/($P$3+1)*B1177/(1-B1177)</f>
        <v>7.75944556110693E-006</v>
      </c>
      <c r="G1177" s="13" t="n">
        <f aca="false">($P$2-1)*(B1177-1/$P$2)</f>
        <v>1.40026835983571</v>
      </c>
      <c r="H1177" s="13" t="n">
        <f aca="false">E1177*SQRT(B1177/(1-B1177))</f>
        <v>0.00787604767758345</v>
      </c>
      <c r="I1177" s="13" t="n">
        <f aca="false">ABS(D1177)</f>
        <v>0.189122878145347</v>
      </c>
      <c r="J1177" s="6" t="n">
        <f aca="false">IF(B1177&gt;$P$4,1,0)</f>
        <v>0</v>
      </c>
      <c r="K1177" s="6" t="n">
        <f aca="false">IF(F1177&gt;$P$6,1,0)</f>
        <v>0</v>
      </c>
      <c r="L1177" s="6" t="n">
        <f aca="false">IF(G1177&gt;$P$9,1,0)</f>
        <v>0</v>
      </c>
      <c r="M1177" s="6" t="n">
        <f aca="false">IF(ABS(H1177)&gt;$P$8,1,0)</f>
        <v>0</v>
      </c>
    </row>
    <row r="1178" customFormat="false" ht="15" hidden="false" customHeight="false" outlineLevel="0" collapsed="false">
      <c r="A1178" s="0" t="n">
        <f aca="false">ROW()-1</f>
        <v>1177</v>
      </c>
      <c r="B1178" s="22" t="n">
        <f aca="false">SUMPRODUCT(MMULT('Analysis Data'!N1178:U1178,'Final Model'!$B$59:$I$66),'Analysis Data'!N1178:U1178)</f>
        <v>0.0017325248080247</v>
      </c>
      <c r="C1178" s="15" t="n">
        <f aca="false">'Residual Diagnostics'!F1178</f>
        <v>44.6252395940352</v>
      </c>
      <c r="D1178" s="13" t="n">
        <f aca="false">C1178/('Final Model'!$B$21*SQRT(1-B1178))</f>
        <v>0.91091385746401</v>
      </c>
      <c r="E1178" s="13" t="n">
        <f aca="false">D1178*SQRT(('Final Model'!$B$24-1)/('Final Model'!$B$24-D1178^2))</f>
        <v>0.910857555392886</v>
      </c>
      <c r="F1178" s="23" t="n">
        <f aca="false">D1178^2/($P$3+1)*B1178/(1-B1178)</f>
        <v>0.000180010223595831</v>
      </c>
      <c r="G1178" s="13" t="n">
        <f aca="false">($P$2-1)*(B1178-1/$P$2)</f>
        <v>1.40026835983571</v>
      </c>
      <c r="H1178" s="13" t="n">
        <f aca="false">E1178*SQRT(B1178/(1-B1178))</f>
        <v>0.0379460640402365</v>
      </c>
      <c r="I1178" s="13" t="n">
        <f aca="false">ABS(D1178)</f>
        <v>0.91091385746401</v>
      </c>
      <c r="J1178" s="6" t="n">
        <f aca="false">IF(B1178&gt;$P$4,1,0)</f>
        <v>0</v>
      </c>
      <c r="K1178" s="6" t="n">
        <f aca="false">IF(F1178&gt;$P$6,1,0)</f>
        <v>0</v>
      </c>
      <c r="L1178" s="6" t="n">
        <f aca="false">IF(G1178&gt;$P$9,1,0)</f>
        <v>0</v>
      </c>
      <c r="M1178" s="6" t="n">
        <f aca="false">IF(ABS(H1178)&gt;$P$8,1,0)</f>
        <v>0</v>
      </c>
    </row>
    <row r="1179" customFormat="false" ht="15" hidden="false" customHeight="false" outlineLevel="0" collapsed="false">
      <c r="A1179" s="0" t="n">
        <f aca="false">ROW()-1</f>
        <v>1178</v>
      </c>
      <c r="B1179" s="22" t="n">
        <f aca="false">SUMPRODUCT(MMULT('Analysis Data'!N1179:U1179,'Final Model'!$B$59:$I$66),'Analysis Data'!N1179:U1179)</f>
        <v>0.0090045549515777</v>
      </c>
      <c r="C1179" s="15" t="n">
        <f aca="false">'Residual Diagnostics'!F1179</f>
        <v>-4.26975061070999</v>
      </c>
      <c r="D1179" s="13" t="n">
        <f aca="false">C1179/('Final Model'!$B$21*SQRT(1-B1179))</f>
        <v>-0.087475591729758</v>
      </c>
      <c r="E1179" s="13" t="n">
        <f aca="false">D1179*SQRT(('Final Model'!$B$24-1)/('Final Model'!$B$24-D1179^2))</f>
        <v>-0.0874440887013668</v>
      </c>
      <c r="F1179" s="23" t="n">
        <f aca="false">D1179^2/($P$3+1)*B1179/(1-B1179)</f>
        <v>8.69109276372226E-006</v>
      </c>
      <c r="G1179" s="13" t="n">
        <f aca="false">($P$2-1)*(B1179-1/$P$2)</f>
        <v>11.4720301086566</v>
      </c>
      <c r="H1179" s="13" t="n">
        <f aca="false">E1179*SQRT(B1179/(1-B1179))</f>
        <v>-0.00833538671271997</v>
      </c>
      <c r="I1179" s="13" t="n">
        <f aca="false">ABS(D1179)</f>
        <v>0.087475591729758</v>
      </c>
      <c r="J1179" s="6" t="n">
        <f aca="false">IF(B1179&gt;$P$4,1,0)</f>
        <v>0</v>
      </c>
      <c r="K1179" s="6" t="n">
        <f aca="false">IF(F1179&gt;$P$6,1,0)</f>
        <v>0</v>
      </c>
      <c r="L1179" s="6" t="n">
        <f aca="false">IF(G1179&gt;$P$9,1,0)</f>
        <v>1</v>
      </c>
      <c r="M1179" s="6" t="n">
        <f aca="false">IF(ABS(H1179)&gt;$P$8,1,0)</f>
        <v>0</v>
      </c>
    </row>
    <row r="1180" customFormat="false" ht="15" hidden="false" customHeight="false" outlineLevel="0" collapsed="false">
      <c r="A1180" s="0" t="n">
        <f aca="false">ROW()-1</f>
        <v>1179</v>
      </c>
      <c r="B1180" s="22" t="n">
        <f aca="false">SUMPRODUCT(MMULT('Analysis Data'!N1180:U1180,'Final Model'!$B$59:$I$66),'Analysis Data'!N1180:U1180)</f>
        <v>0.0107952334786756</v>
      </c>
      <c r="C1180" s="15" t="n">
        <f aca="false">'Residual Diagnostics'!F1180</f>
        <v>87.4297080370078</v>
      </c>
      <c r="D1180" s="13" t="n">
        <f aca="false">C1180/('Final Model'!$B$21*SQRT(1-B1180))</f>
        <v>1.79281772272472</v>
      </c>
      <c r="E1180" s="13" t="n">
        <f aca="false">D1180*SQRT(('Final Model'!$B$24-1)/('Final Model'!$B$24-D1180^2))</f>
        <v>1.79426087541428</v>
      </c>
      <c r="F1180" s="23" t="n">
        <f aca="false">D1180^2/($P$3+1)*B1180/(1-B1180)</f>
        <v>0.00438458128465389</v>
      </c>
      <c r="G1180" s="13" t="n">
        <f aca="false">($P$2-1)*(B1180-1/$P$2)</f>
        <v>13.9521198686872</v>
      </c>
      <c r="H1180" s="13" t="n">
        <f aca="false">E1180*SQRT(B1180/(1-B1180))</f>
        <v>0.18743837346341</v>
      </c>
      <c r="I1180" s="13" t="n">
        <f aca="false">ABS(D1180)</f>
        <v>1.79281772272472</v>
      </c>
      <c r="J1180" s="6" t="n">
        <f aca="false">IF(B1180&gt;$P$4,1,0)</f>
        <v>0</v>
      </c>
      <c r="K1180" s="6" t="n">
        <f aca="false">IF(F1180&gt;$P$6,1,0)</f>
        <v>1</v>
      </c>
      <c r="L1180" s="6" t="n">
        <f aca="false">IF(G1180&gt;$P$9,1,0)</f>
        <v>1</v>
      </c>
      <c r="M1180" s="6" t="n">
        <f aca="false">IF(ABS(H1180)&gt;$P$8,1,0)</f>
        <v>1</v>
      </c>
    </row>
    <row r="1181" customFormat="false" ht="15" hidden="false" customHeight="false" outlineLevel="0" collapsed="false">
      <c r="A1181" s="0" t="n">
        <f aca="false">ROW()-1</f>
        <v>1180</v>
      </c>
      <c r="B1181" s="22" t="n">
        <f aca="false">SUMPRODUCT(MMULT('Analysis Data'!N1181:U1181,'Final Model'!$B$59:$I$66),'Analysis Data'!N1181:U1181)</f>
        <v>0.0104258236842053</v>
      </c>
      <c r="C1181" s="15" t="n">
        <f aca="false">'Residual Diagnostics'!F1181</f>
        <v>-74.9730892351571</v>
      </c>
      <c r="D1181" s="13" t="n">
        <f aca="false">C1181/('Final Model'!$B$21*SQRT(1-B1181))</f>
        <v>-1.53709757772948</v>
      </c>
      <c r="E1181" s="13" t="n">
        <f aca="false">D1181*SQRT(('Final Model'!$B$24-1)/('Final Model'!$B$24-D1181^2))</f>
        <v>-1.53785869283959</v>
      </c>
      <c r="F1181" s="23" t="n">
        <f aca="false">D1181^2/($P$3+1)*B1181/(1-B1181)</f>
        <v>0.00311153658648731</v>
      </c>
      <c r="G1181" s="13" t="n">
        <f aca="false">($P$2-1)*(B1181-1/$P$2)</f>
        <v>13.4404873033458</v>
      </c>
      <c r="H1181" s="13" t="n">
        <f aca="false">E1181*SQRT(B1181/(1-B1181))</f>
        <v>-0.157851038389694</v>
      </c>
      <c r="I1181" s="13" t="n">
        <f aca="false">ABS(D1181)</f>
        <v>1.53709757772948</v>
      </c>
      <c r="J1181" s="6" t="n">
        <f aca="false">IF(B1181&gt;$P$4,1,0)</f>
        <v>0</v>
      </c>
      <c r="K1181" s="6" t="n">
        <f aca="false">IF(F1181&gt;$P$6,1,0)</f>
        <v>1</v>
      </c>
      <c r="L1181" s="6" t="n">
        <f aca="false">IF(G1181&gt;$P$9,1,0)</f>
        <v>1</v>
      </c>
      <c r="M1181" s="6" t="n">
        <f aca="false">IF(ABS(H1181)&gt;$P$8,1,0)</f>
        <v>1</v>
      </c>
    </row>
    <row r="1182" customFormat="false" ht="15" hidden="false" customHeight="false" outlineLevel="0" collapsed="false">
      <c r="A1182" s="0" t="n">
        <f aca="false">ROW()-1</f>
        <v>1181</v>
      </c>
      <c r="B1182" s="22" t="n">
        <f aca="false">SUMPRODUCT(MMULT('Analysis Data'!N1182:U1182,'Final Model'!$B$59:$I$66),'Analysis Data'!N1182:U1182)</f>
        <v>0.00195577740097214</v>
      </c>
      <c r="C1182" s="15" t="n">
        <f aca="false">'Residual Diagnostics'!F1182</f>
        <v>38.5983511647005</v>
      </c>
      <c r="D1182" s="13" t="n">
        <f aca="false">C1182/('Final Model'!$B$21*SQRT(1-B1182))</f>
        <v>0.787977958155972</v>
      </c>
      <c r="E1182" s="13" t="n">
        <f aca="false">D1182*SQRT(('Final Model'!$B$24-1)/('Final Model'!$B$24-D1182^2))</f>
        <v>0.787869514625918</v>
      </c>
      <c r="F1182" s="23" t="n">
        <f aca="false">D1182^2/($P$3+1)*B1182/(1-B1182)</f>
        <v>0.000152092497034725</v>
      </c>
      <c r="G1182" s="13" t="n">
        <f aca="false">($P$2-1)*(B1182-1/$P$2)</f>
        <v>1.70947320106792</v>
      </c>
      <c r="H1182" s="13" t="n">
        <f aca="false">E1182*SQRT(B1182/(1-B1182))</f>
        <v>0.0348769995501987</v>
      </c>
      <c r="I1182" s="13" t="n">
        <f aca="false">ABS(D1182)</f>
        <v>0.787977958155972</v>
      </c>
      <c r="J1182" s="6" t="n">
        <f aca="false">IF(B1182&gt;$P$4,1,0)</f>
        <v>0</v>
      </c>
      <c r="K1182" s="6" t="n">
        <f aca="false">IF(F1182&gt;$P$6,1,0)</f>
        <v>0</v>
      </c>
      <c r="L1182" s="6" t="n">
        <f aca="false">IF(G1182&gt;$P$9,1,0)</f>
        <v>0</v>
      </c>
      <c r="M1182" s="6" t="n">
        <f aca="false">IF(ABS(H1182)&gt;$P$8,1,0)</f>
        <v>0</v>
      </c>
    </row>
    <row r="1183" customFormat="false" ht="15" hidden="false" customHeight="false" outlineLevel="0" collapsed="false">
      <c r="A1183" s="0" t="n">
        <f aca="false">ROW()-1</f>
        <v>1182</v>
      </c>
      <c r="B1183" s="22" t="n">
        <f aca="false">SUMPRODUCT(MMULT('Analysis Data'!N1183:U1183,'Final Model'!$B$59:$I$66),'Analysis Data'!N1183:U1183)</f>
        <v>0.00195927364860965</v>
      </c>
      <c r="C1183" s="15" t="n">
        <f aca="false">'Residual Diagnostics'!F1183</f>
        <v>-3.33441207571497</v>
      </c>
      <c r="D1183" s="13" t="n">
        <f aca="false">C1183/('Final Model'!$B$21*SQRT(1-B1183))</f>
        <v>-0.0680715041419756</v>
      </c>
      <c r="E1183" s="13" t="n">
        <f aca="false">D1183*SQRT(('Final Model'!$B$24-1)/('Final Model'!$B$24-D1183^2))</f>
        <v>-0.0680469146836866</v>
      </c>
      <c r="F1183" s="23" t="n">
        <f aca="false">D1183^2/($P$3+1)*B1183/(1-B1183)</f>
        <v>1.13707088918768E-006</v>
      </c>
      <c r="G1183" s="13" t="n">
        <f aca="false">($P$2-1)*(B1183-1/$P$2)</f>
        <v>1.71431550404586</v>
      </c>
      <c r="H1183" s="13" t="n">
        <f aca="false">E1183*SQRT(B1183/(1-B1183))</f>
        <v>-0.00301496208891405</v>
      </c>
      <c r="I1183" s="13" t="n">
        <f aca="false">ABS(D1183)</f>
        <v>0.0680715041419756</v>
      </c>
      <c r="J1183" s="6" t="n">
        <f aca="false">IF(B1183&gt;$P$4,1,0)</f>
        <v>0</v>
      </c>
      <c r="K1183" s="6" t="n">
        <f aca="false">IF(F1183&gt;$P$6,1,0)</f>
        <v>0</v>
      </c>
      <c r="L1183" s="6" t="n">
        <f aca="false">IF(G1183&gt;$P$9,1,0)</f>
        <v>0</v>
      </c>
      <c r="M1183" s="6" t="n">
        <f aca="false">IF(ABS(H1183)&gt;$P$8,1,0)</f>
        <v>0</v>
      </c>
    </row>
    <row r="1184" customFormat="false" ht="15" hidden="false" customHeight="false" outlineLevel="0" collapsed="false">
      <c r="A1184" s="0" t="n">
        <f aca="false">ROW()-1</f>
        <v>1183</v>
      </c>
      <c r="B1184" s="22" t="n">
        <f aca="false">SUMPRODUCT(MMULT('Analysis Data'!N1184:U1184,'Final Model'!$B$59:$I$66),'Analysis Data'!N1184:U1184)</f>
        <v>0.00363709674144663</v>
      </c>
      <c r="C1184" s="15" t="n">
        <f aca="false">'Residual Diagnostics'!F1184</f>
        <v>2.2616092975255</v>
      </c>
      <c r="D1184" s="13" t="n">
        <f aca="false">C1184/('Final Model'!$B$21*SQRT(1-B1184))</f>
        <v>0.04620926012953</v>
      </c>
      <c r="E1184" s="13" t="n">
        <f aca="false">D1184*SQRT(('Final Model'!$B$24-1)/('Final Model'!$B$24-D1184^2))</f>
        <v>0.0461925260904067</v>
      </c>
      <c r="F1184" s="23" t="n">
        <f aca="false">D1184^2/($P$3+1)*B1184/(1-B1184)</f>
        <v>9.74328365459051E-007</v>
      </c>
      <c r="G1184" s="13" t="n">
        <f aca="false">($P$2-1)*(B1184-1/$P$2)</f>
        <v>4.03810048762508</v>
      </c>
      <c r="H1184" s="13" t="n">
        <f aca="false">E1184*SQRT(B1184/(1-B1184))</f>
        <v>0.0027908748655226</v>
      </c>
      <c r="I1184" s="13" t="n">
        <f aca="false">ABS(D1184)</f>
        <v>0.04620926012953</v>
      </c>
      <c r="J1184" s="6" t="n">
        <f aca="false">IF(B1184&gt;$P$4,1,0)</f>
        <v>0</v>
      </c>
      <c r="K1184" s="6" t="n">
        <f aca="false">IF(F1184&gt;$P$6,1,0)</f>
        <v>0</v>
      </c>
      <c r="L1184" s="6" t="n">
        <f aca="false">IF(G1184&gt;$P$9,1,0)</f>
        <v>0</v>
      </c>
      <c r="M1184" s="6" t="n">
        <f aca="false">IF(ABS(H1184)&gt;$P$8,1,0)</f>
        <v>0</v>
      </c>
    </row>
    <row r="1185" customFormat="false" ht="15" hidden="false" customHeight="false" outlineLevel="0" collapsed="false">
      <c r="A1185" s="0" t="n">
        <f aca="false">ROW()-1</f>
        <v>1184</v>
      </c>
      <c r="B1185" s="22" t="n">
        <f aca="false">SUMPRODUCT(MMULT('Analysis Data'!N1185:U1185,'Final Model'!$B$59:$I$66),'Analysis Data'!N1185:U1185)</f>
        <v>0.0142189536867601</v>
      </c>
      <c r="C1185" s="15" t="n">
        <f aca="false">'Residual Diagnostics'!F1185</f>
        <v>-109.027312740682</v>
      </c>
      <c r="D1185" s="13" t="n">
        <f aca="false">C1185/('Final Model'!$B$21*SQRT(1-B1185))</f>
        <v>-2.23957331872666</v>
      </c>
      <c r="E1185" s="13" t="n">
        <f aca="false">D1185*SQRT(('Final Model'!$B$24-1)/('Final Model'!$B$24-D1185^2))</f>
        <v>-2.24284606653308</v>
      </c>
      <c r="F1185" s="23" t="n">
        <f aca="false">D1185^2/($P$3+1)*B1185/(1-B1185)</f>
        <v>0.00904331708440798</v>
      </c>
      <c r="G1185" s="13" t="n">
        <f aca="false">($P$2-1)*(B1185-1/$P$2)</f>
        <v>18.6939723568843</v>
      </c>
      <c r="H1185" s="13" t="n">
        <f aca="false">E1185*SQRT(B1185/(1-B1185))</f>
        <v>-0.269366172690294</v>
      </c>
      <c r="I1185" s="13" t="n">
        <f aca="false">ABS(D1185)</f>
        <v>2.23957331872666</v>
      </c>
      <c r="J1185" s="6" t="n">
        <f aca="false">IF(B1185&gt;$P$4,1,0)</f>
        <v>1</v>
      </c>
      <c r="K1185" s="6" t="n">
        <f aca="false">IF(F1185&gt;$P$6,1,0)</f>
        <v>1</v>
      </c>
      <c r="L1185" s="6" t="n">
        <f aca="false">IF(G1185&gt;$P$9,1,0)</f>
        <v>1</v>
      </c>
      <c r="M1185" s="6" t="n">
        <f aca="false">IF(ABS(H1185)&gt;$P$8,1,0)</f>
        <v>1</v>
      </c>
    </row>
    <row r="1186" customFormat="false" ht="15" hidden="false" customHeight="false" outlineLevel="0" collapsed="false">
      <c r="A1186" s="0" t="n">
        <f aca="false">ROW()-1</f>
        <v>1185</v>
      </c>
      <c r="B1186" s="22" t="n">
        <f aca="false">SUMPRODUCT(MMULT('Analysis Data'!N1186:U1186,'Final Model'!$B$59:$I$66),'Analysis Data'!N1186:U1186)</f>
        <v>0.00692783611078185</v>
      </c>
      <c r="C1186" s="15" t="n">
        <f aca="false">'Residual Diagnostics'!F1186</f>
        <v>-2.10160057286709</v>
      </c>
      <c r="D1186" s="13" t="n">
        <f aca="false">C1186/('Final Model'!$B$21*SQRT(1-B1186))</f>
        <v>-0.0430110438404039</v>
      </c>
      <c r="E1186" s="13" t="n">
        <f aca="false">D1186*SQRT(('Final Model'!$B$24-1)/('Final Model'!$B$24-D1186^2))</f>
        <v>-0.042995463539113</v>
      </c>
      <c r="F1186" s="23" t="n">
        <f aca="false">D1186^2/($P$3+1)*B1186/(1-B1186)</f>
        <v>1.61319465652082E-006</v>
      </c>
      <c r="G1186" s="13" t="n">
        <f aca="false">($P$2-1)*(B1186-1/$P$2)</f>
        <v>8.59577451415437</v>
      </c>
      <c r="H1186" s="13" t="n">
        <f aca="false">E1186*SQRT(B1186/(1-B1186))</f>
        <v>-0.00359112922895059</v>
      </c>
      <c r="I1186" s="13" t="n">
        <f aca="false">ABS(D1186)</f>
        <v>0.0430110438404039</v>
      </c>
      <c r="J1186" s="6" t="n">
        <f aca="false">IF(B1186&gt;$P$4,1,0)</f>
        <v>0</v>
      </c>
      <c r="K1186" s="6" t="n">
        <f aca="false">IF(F1186&gt;$P$6,1,0)</f>
        <v>0</v>
      </c>
      <c r="L1186" s="6" t="n">
        <f aca="false">IF(G1186&gt;$P$9,1,0)</f>
        <v>0</v>
      </c>
      <c r="M1186" s="6" t="n">
        <f aca="false">IF(ABS(H1186)&gt;$P$8,1,0)</f>
        <v>0</v>
      </c>
    </row>
    <row r="1187" customFormat="false" ht="15" hidden="false" customHeight="false" outlineLevel="0" collapsed="false">
      <c r="A1187" s="0" t="n">
        <f aca="false">ROW()-1</f>
        <v>1186</v>
      </c>
      <c r="B1187" s="22" t="n">
        <f aca="false">SUMPRODUCT(MMULT('Analysis Data'!N1187:U1187,'Final Model'!$B$59:$I$66),'Analysis Data'!N1187:U1187)</f>
        <v>0.0176965583270903</v>
      </c>
      <c r="C1187" s="15" t="n">
        <f aca="false">'Residual Diagnostics'!F1187</f>
        <v>46.8767981735987</v>
      </c>
      <c r="D1187" s="13" t="n">
        <f aca="false">C1187/('Final Model'!$B$21*SQRT(1-B1187))</f>
        <v>0.964617899299321</v>
      </c>
      <c r="E1187" s="13" t="n">
        <f aca="false">D1187*SQRT(('Final Model'!$B$24-1)/('Final Model'!$B$24-D1187^2))</f>
        <v>0.964593552793041</v>
      </c>
      <c r="F1187" s="23" t="n">
        <f aca="false">D1187^2/($P$3+1)*B1187/(1-B1187)</f>
        <v>0.00209538481304929</v>
      </c>
      <c r="G1187" s="13" t="n">
        <f aca="false">($P$2-1)*(B1187-1/$P$2)</f>
        <v>23.5104547837416</v>
      </c>
      <c r="H1187" s="13" t="n">
        <f aca="false">E1187*SQRT(B1187/(1-B1187))</f>
        <v>0.129469040046232</v>
      </c>
      <c r="I1187" s="13" t="n">
        <f aca="false">ABS(D1187)</f>
        <v>0.964617899299321</v>
      </c>
      <c r="J1187" s="6" t="n">
        <f aca="false">IF(B1187&gt;$P$4,1,0)</f>
        <v>1</v>
      </c>
      <c r="K1187" s="6" t="n">
        <f aca="false">IF(F1187&gt;$P$6,1,0)</f>
        <v>0</v>
      </c>
      <c r="L1187" s="6" t="n">
        <f aca="false">IF(G1187&gt;$P$9,1,0)</f>
        <v>1</v>
      </c>
      <c r="M1187" s="6" t="n">
        <f aca="false">IF(ABS(H1187)&gt;$P$8,1,0)</f>
        <v>0</v>
      </c>
    </row>
    <row r="1188" customFormat="false" ht="15" hidden="false" customHeight="false" outlineLevel="0" collapsed="false">
      <c r="A1188" s="0" t="n">
        <f aca="false">ROW()-1</f>
        <v>1187</v>
      </c>
      <c r="B1188" s="22" t="n">
        <f aca="false">SUMPRODUCT(MMULT('Analysis Data'!N1188:U1188,'Final Model'!$B$59:$I$66),'Analysis Data'!N1188:U1188)</f>
        <v>0.00529370078868207</v>
      </c>
      <c r="C1188" s="15" t="n">
        <f aca="false">'Residual Diagnostics'!F1188</f>
        <v>45.8809026258207</v>
      </c>
      <c r="D1188" s="13" t="n">
        <f aca="false">C1188/('Final Model'!$B$21*SQRT(1-B1188))</f>
        <v>0.938220089498125</v>
      </c>
      <c r="E1188" s="13" t="n">
        <f aca="false">D1188*SQRT(('Final Model'!$B$24-1)/('Final Model'!$B$24-D1188^2))</f>
        <v>0.938179298640708</v>
      </c>
      <c r="F1188" s="23" t="n">
        <f aca="false">D1188^2/($P$3+1)*B1188/(1-B1188)</f>
        <v>0.000585576974056226</v>
      </c>
      <c r="G1188" s="13" t="n">
        <f aca="false">($P$2-1)*(B1188-1/$P$2)</f>
        <v>6.33249709304617</v>
      </c>
      <c r="H1188" s="13" t="n">
        <f aca="false">E1188*SQRT(B1188/(1-B1188))</f>
        <v>0.0684412774325222</v>
      </c>
      <c r="I1188" s="13" t="n">
        <f aca="false">ABS(D1188)</f>
        <v>0.938220089498125</v>
      </c>
      <c r="J1188" s="6" t="n">
        <f aca="false">IF(B1188&gt;$P$4,1,0)</f>
        <v>0</v>
      </c>
      <c r="K1188" s="6" t="n">
        <f aca="false">IF(F1188&gt;$P$6,1,0)</f>
        <v>0</v>
      </c>
      <c r="L1188" s="6" t="n">
        <f aca="false">IF(G1188&gt;$P$9,1,0)</f>
        <v>0</v>
      </c>
      <c r="M1188" s="6" t="n">
        <f aca="false">IF(ABS(H1188)&gt;$P$8,1,0)</f>
        <v>0</v>
      </c>
    </row>
    <row r="1189" customFormat="false" ht="15" hidden="false" customHeight="false" outlineLevel="0" collapsed="false">
      <c r="A1189" s="0" t="n">
        <f aca="false">ROW()-1</f>
        <v>1188</v>
      </c>
      <c r="B1189" s="22" t="n">
        <f aca="false">SUMPRODUCT(MMULT('Analysis Data'!N1189:U1189,'Final Model'!$B$59:$I$66),'Analysis Data'!N1189:U1189)</f>
        <v>0.0134728734499566</v>
      </c>
      <c r="C1189" s="15" t="n">
        <f aca="false">'Residual Diagnostics'!F1189</f>
        <v>20.2095679095681</v>
      </c>
      <c r="D1189" s="13" t="n">
        <f aca="false">C1189/('Final Model'!$B$21*SQRT(1-B1189))</f>
        <v>0.414975752564943</v>
      </c>
      <c r="E1189" s="13" t="n">
        <f aca="false">D1189*SQRT(('Final Model'!$B$24-1)/('Final Model'!$B$24-D1189^2))</f>
        <v>0.414851075694111</v>
      </c>
      <c r="F1189" s="23" t="n">
        <f aca="false">D1189^2/($P$3+1)*B1189/(1-B1189)</f>
        <v>0.000293972465229568</v>
      </c>
      <c r="G1189" s="13" t="n">
        <f aca="false">($P$2-1)*(B1189-1/$P$2)</f>
        <v>17.6606512289114</v>
      </c>
      <c r="H1189" s="13" t="n">
        <f aca="false">E1189*SQRT(B1189/(1-B1189))</f>
        <v>0.0484805814640314</v>
      </c>
      <c r="I1189" s="13" t="n">
        <f aca="false">ABS(D1189)</f>
        <v>0.414975752564943</v>
      </c>
      <c r="J1189" s="6" t="n">
        <f aca="false">IF(B1189&gt;$P$4,1,0)</f>
        <v>1</v>
      </c>
      <c r="K1189" s="6" t="n">
        <f aca="false">IF(F1189&gt;$P$6,1,0)</f>
        <v>0</v>
      </c>
      <c r="L1189" s="6" t="n">
        <f aca="false">IF(G1189&gt;$P$9,1,0)</f>
        <v>1</v>
      </c>
      <c r="M1189" s="6" t="n">
        <f aca="false">IF(ABS(H1189)&gt;$P$8,1,0)</f>
        <v>0</v>
      </c>
    </row>
    <row r="1190" customFormat="false" ht="15" hidden="false" customHeight="false" outlineLevel="0" collapsed="false">
      <c r="A1190" s="0" t="n">
        <f aca="false">ROW()-1</f>
        <v>1189</v>
      </c>
      <c r="B1190" s="22" t="n">
        <f aca="false">SUMPRODUCT(MMULT('Analysis Data'!N1190:U1190,'Final Model'!$B$59:$I$66),'Analysis Data'!N1190:U1190)</f>
        <v>0.00307825640433851</v>
      </c>
      <c r="C1190" s="15" t="n">
        <f aca="false">'Residual Diagnostics'!F1190</f>
        <v>-36.5307703260343</v>
      </c>
      <c r="D1190" s="13" t="n">
        <f aca="false">C1190/('Final Model'!$B$21*SQRT(1-B1190))</f>
        <v>-0.746188419833559</v>
      </c>
      <c r="E1190" s="13" t="n">
        <f aca="false">D1190*SQRT(('Final Model'!$B$24-1)/('Final Model'!$B$24-D1190^2))</f>
        <v>-0.746068364271792</v>
      </c>
      <c r="F1190" s="23" t="n">
        <f aca="false">D1190^2/($P$3+1)*B1190/(1-B1190)</f>
        <v>0.000214907091280544</v>
      </c>
      <c r="G1190" s="13" t="n">
        <f aca="false">($P$2-1)*(B1190-1/$P$2)</f>
        <v>3.26410662073033</v>
      </c>
      <c r="H1190" s="13" t="n">
        <f aca="false">E1190*SQRT(B1190/(1-B1190))</f>
        <v>-0.0414572496229104</v>
      </c>
      <c r="I1190" s="13" t="n">
        <f aca="false">ABS(D1190)</f>
        <v>0.746188419833559</v>
      </c>
      <c r="J1190" s="6" t="n">
        <f aca="false">IF(B1190&gt;$P$4,1,0)</f>
        <v>0</v>
      </c>
      <c r="K1190" s="6" t="n">
        <f aca="false">IF(F1190&gt;$P$6,1,0)</f>
        <v>0</v>
      </c>
      <c r="L1190" s="6" t="n">
        <f aca="false">IF(G1190&gt;$P$9,1,0)</f>
        <v>0</v>
      </c>
      <c r="M1190" s="6" t="n">
        <f aca="false">IF(ABS(H1190)&gt;$P$8,1,0)</f>
        <v>0</v>
      </c>
    </row>
    <row r="1191" customFormat="false" ht="15" hidden="false" customHeight="false" outlineLevel="0" collapsed="false">
      <c r="A1191" s="0" t="n">
        <f aca="false">ROW()-1</f>
        <v>1190</v>
      </c>
      <c r="B1191" s="22" t="n">
        <f aca="false">SUMPRODUCT(MMULT('Analysis Data'!N1191:U1191,'Final Model'!$B$59:$I$66),'Analysis Data'!N1191:U1191)</f>
        <v>0.00307825640433851</v>
      </c>
      <c r="C1191" s="15" t="n">
        <f aca="false">'Residual Diagnostics'!F1191</f>
        <v>34.0382822765376</v>
      </c>
      <c r="D1191" s="13" t="n">
        <f aca="false">C1191/('Final Model'!$B$21*SQRT(1-B1191))</f>
        <v>0.695276114877799</v>
      </c>
      <c r="E1191" s="13" t="n">
        <f aca="false">D1191*SQRT(('Final Model'!$B$24-1)/('Final Model'!$B$24-D1191^2))</f>
        <v>0.695145732727655</v>
      </c>
      <c r="F1191" s="23" t="n">
        <f aca="false">D1191^2/($P$3+1)*B1191/(1-B1191)</f>
        <v>0.000186581403928258</v>
      </c>
      <c r="G1191" s="13" t="n">
        <f aca="false">($P$2-1)*(B1191-1/$P$2)</f>
        <v>3.26410662073033</v>
      </c>
      <c r="H1191" s="13" t="n">
        <f aca="false">E1191*SQRT(B1191/(1-B1191))</f>
        <v>0.0386275997563846</v>
      </c>
      <c r="I1191" s="13" t="n">
        <f aca="false">ABS(D1191)</f>
        <v>0.695276114877799</v>
      </c>
      <c r="J1191" s="6" t="n">
        <f aca="false">IF(B1191&gt;$P$4,1,0)</f>
        <v>0</v>
      </c>
      <c r="K1191" s="6" t="n">
        <f aca="false">IF(F1191&gt;$P$6,1,0)</f>
        <v>0</v>
      </c>
      <c r="L1191" s="6" t="n">
        <f aca="false">IF(G1191&gt;$P$9,1,0)</f>
        <v>0</v>
      </c>
      <c r="M1191" s="6" t="n">
        <f aca="false">IF(ABS(H1191)&gt;$P$8,1,0)</f>
        <v>0</v>
      </c>
    </row>
    <row r="1192" customFormat="false" ht="15" hidden="false" customHeight="false" outlineLevel="0" collapsed="false">
      <c r="A1192" s="0" t="n">
        <f aca="false">ROW()-1</f>
        <v>1191</v>
      </c>
      <c r="B1192" s="22" t="n">
        <f aca="false">SUMPRODUCT(MMULT('Analysis Data'!N1192:U1192,'Final Model'!$B$59:$I$66),'Analysis Data'!N1192:U1192)</f>
        <v>0.00208252713684453</v>
      </c>
      <c r="C1192" s="15" t="n">
        <f aca="false">'Residual Diagnostics'!F1192</f>
        <v>-60.9958235175469</v>
      </c>
      <c r="D1192" s="13" t="n">
        <f aca="false">C1192/('Final Model'!$B$21*SQRT(1-B1192))</f>
        <v>-1.24529715104646</v>
      </c>
      <c r="E1192" s="13" t="n">
        <f aca="false">D1192*SQRT(('Final Model'!$B$24-1)/('Final Model'!$B$24-D1192^2))</f>
        <v>-1.24554626938116</v>
      </c>
      <c r="F1192" s="23" t="n">
        <f aca="false">D1192^2/($P$3+1)*B1192/(1-B1192)</f>
        <v>0.000404531220208257</v>
      </c>
      <c r="G1192" s="13" t="n">
        <f aca="false">($P$2-1)*(B1192-1/$P$2)</f>
        <v>1.88502158525117</v>
      </c>
      <c r="H1192" s="13" t="n">
        <f aca="false">E1192*SQRT(B1192/(1-B1192))</f>
        <v>-0.0568994261591561</v>
      </c>
      <c r="I1192" s="13" t="n">
        <f aca="false">ABS(D1192)</f>
        <v>1.24529715104646</v>
      </c>
      <c r="J1192" s="6" t="n">
        <f aca="false">IF(B1192&gt;$P$4,1,0)</f>
        <v>0</v>
      </c>
      <c r="K1192" s="6" t="n">
        <f aca="false">IF(F1192&gt;$P$6,1,0)</f>
        <v>0</v>
      </c>
      <c r="L1192" s="6" t="n">
        <f aca="false">IF(G1192&gt;$P$9,1,0)</f>
        <v>0</v>
      </c>
      <c r="M1192" s="6" t="n">
        <f aca="false">IF(ABS(H1192)&gt;$P$8,1,0)</f>
        <v>0</v>
      </c>
    </row>
    <row r="1193" customFormat="false" ht="15" hidden="false" customHeight="false" outlineLevel="0" collapsed="false">
      <c r="A1193" s="0" t="n">
        <f aca="false">ROW()-1</f>
        <v>1192</v>
      </c>
      <c r="B1193" s="22" t="n">
        <f aca="false">SUMPRODUCT(MMULT('Analysis Data'!N1193:U1193,'Final Model'!$B$59:$I$66),'Analysis Data'!N1193:U1193)</f>
        <v>0.0019546643148014</v>
      </c>
      <c r="C1193" s="15" t="n">
        <f aca="false">'Residual Diagnostics'!F1193</f>
        <v>-20.2867246561807</v>
      </c>
      <c r="D1193" s="13" t="n">
        <f aca="false">C1193/('Final Model'!$B$21*SQRT(1-B1193))</f>
        <v>-0.414149373635098</v>
      </c>
      <c r="E1193" s="13" t="n">
        <f aca="false">D1193*SQRT(('Final Model'!$B$24-1)/('Final Model'!$B$24-D1193^2))</f>
        <v>-0.414024842100725</v>
      </c>
      <c r="F1193" s="23" t="n">
        <f aca="false">D1193^2/($P$3+1)*B1193/(1-B1193)</f>
        <v>4.19900068771696E-005</v>
      </c>
      <c r="G1193" s="13" t="n">
        <f aca="false">($P$2-1)*(B1193-1/$P$2)</f>
        <v>1.70793157672144</v>
      </c>
      <c r="H1193" s="13" t="n">
        <f aca="false">E1193*SQRT(B1193/(1-B1193))</f>
        <v>-0.0183226108464684</v>
      </c>
      <c r="I1193" s="13" t="n">
        <f aca="false">ABS(D1193)</f>
        <v>0.414149373635098</v>
      </c>
      <c r="J1193" s="6" t="n">
        <f aca="false">IF(B1193&gt;$P$4,1,0)</f>
        <v>0</v>
      </c>
      <c r="K1193" s="6" t="n">
        <f aca="false">IF(F1193&gt;$P$6,1,0)</f>
        <v>0</v>
      </c>
      <c r="L1193" s="6" t="n">
        <f aca="false">IF(G1193&gt;$P$9,1,0)</f>
        <v>0</v>
      </c>
      <c r="M1193" s="6" t="n">
        <f aca="false">IF(ABS(H1193)&gt;$P$8,1,0)</f>
        <v>0</v>
      </c>
    </row>
    <row r="1194" customFormat="false" ht="15" hidden="false" customHeight="false" outlineLevel="0" collapsed="false">
      <c r="A1194" s="0" t="n">
        <f aca="false">ROW()-1</f>
        <v>1193</v>
      </c>
      <c r="B1194" s="22" t="n">
        <f aca="false">SUMPRODUCT(MMULT('Analysis Data'!N1194:U1194,'Final Model'!$B$59:$I$66),'Analysis Data'!N1194:U1194)</f>
        <v>0.00194798048031713</v>
      </c>
      <c r="C1194" s="15" t="n">
        <f aca="false">'Residual Diagnostics'!F1194</f>
        <v>-75.5587866836323</v>
      </c>
      <c r="D1194" s="13" t="n">
        <f aca="false">C1194/('Final Model'!$B$21*SQRT(1-B1194))</f>
        <v>-1.54251215641518</v>
      </c>
      <c r="E1194" s="13" t="n">
        <f aca="false">D1194*SQRT(('Final Model'!$B$24-1)/('Final Model'!$B$24-D1194^2))</f>
        <v>-1.54328530612427</v>
      </c>
      <c r="F1194" s="23" t="n">
        <f aca="false">D1194^2/($P$3+1)*B1194/(1-B1194)</f>
        <v>0.000580495191577353</v>
      </c>
      <c r="G1194" s="13" t="n">
        <f aca="false">($P$2-1)*(B1194-1/$P$2)</f>
        <v>1.69867446596072</v>
      </c>
      <c r="H1194" s="13" t="n">
        <f aca="false">E1194*SQRT(B1194/(1-B1194))</f>
        <v>-0.0681807748779881</v>
      </c>
      <c r="I1194" s="13" t="n">
        <f aca="false">ABS(D1194)</f>
        <v>1.54251215641518</v>
      </c>
      <c r="J1194" s="6" t="n">
        <f aca="false">IF(B1194&gt;$P$4,1,0)</f>
        <v>0</v>
      </c>
      <c r="K1194" s="6" t="n">
        <f aca="false">IF(F1194&gt;$P$6,1,0)</f>
        <v>0</v>
      </c>
      <c r="L1194" s="6" t="n">
        <f aca="false">IF(G1194&gt;$P$9,1,0)</f>
        <v>0</v>
      </c>
      <c r="M1194" s="6" t="n">
        <f aca="false">IF(ABS(H1194)&gt;$P$8,1,0)</f>
        <v>0</v>
      </c>
    </row>
    <row r="1195" customFormat="false" ht="15" hidden="false" customHeight="false" outlineLevel="0" collapsed="false">
      <c r="A1195" s="0" t="n">
        <f aca="false">ROW()-1</f>
        <v>1194</v>
      </c>
      <c r="B1195" s="22" t="n">
        <f aca="false">SUMPRODUCT(MMULT('Analysis Data'!N1195:U1195,'Final Model'!$B$59:$I$66),'Analysis Data'!N1195:U1195)</f>
        <v>0.00222613084917274</v>
      </c>
      <c r="C1195" s="15" t="n">
        <f aca="false">'Residual Diagnostics'!F1195</f>
        <v>13.4040654925407</v>
      </c>
      <c r="D1195" s="13" t="n">
        <f aca="false">C1195/('Final Model'!$B$21*SQRT(1-B1195))</f>
        <v>0.273678503841819</v>
      </c>
      <c r="E1195" s="13" t="n">
        <f aca="false">D1195*SQRT(('Final Model'!$B$24-1)/('Final Model'!$B$24-D1195^2))</f>
        <v>0.273586618399865</v>
      </c>
      <c r="F1195" s="23" t="n">
        <f aca="false">D1195^2/($P$3+1)*B1195/(1-B1195)</f>
        <v>2.08886296010429E-005</v>
      </c>
      <c r="G1195" s="13" t="n">
        <f aca="false">($P$2-1)*(B1195-1/$P$2)</f>
        <v>2.08391272682574</v>
      </c>
      <c r="H1195" s="13" t="n">
        <f aca="false">E1195*SQRT(B1195/(1-B1195))</f>
        <v>0.0129227258932029</v>
      </c>
      <c r="I1195" s="13" t="n">
        <f aca="false">ABS(D1195)</f>
        <v>0.273678503841819</v>
      </c>
      <c r="J1195" s="6" t="n">
        <f aca="false">IF(B1195&gt;$P$4,1,0)</f>
        <v>0</v>
      </c>
      <c r="K1195" s="6" t="n">
        <f aca="false">IF(F1195&gt;$P$6,1,0)</f>
        <v>0</v>
      </c>
      <c r="L1195" s="6" t="n">
        <f aca="false">IF(G1195&gt;$P$9,1,0)</f>
        <v>0</v>
      </c>
      <c r="M1195" s="6" t="n">
        <f aca="false">IF(ABS(H1195)&gt;$P$8,1,0)</f>
        <v>0</v>
      </c>
    </row>
    <row r="1196" customFormat="false" ht="15" hidden="false" customHeight="false" outlineLevel="0" collapsed="false">
      <c r="A1196" s="0" t="n">
        <f aca="false">ROW()-1</f>
        <v>1195</v>
      </c>
      <c r="B1196" s="22" t="n">
        <f aca="false">SUMPRODUCT(MMULT('Analysis Data'!N1196:U1196,'Final Model'!$B$59:$I$66),'Analysis Data'!N1196:U1196)</f>
        <v>0.0134203815584969</v>
      </c>
      <c r="C1196" s="15" t="n">
        <f aca="false">'Residual Diagnostics'!F1196</f>
        <v>32.4182424233251</v>
      </c>
      <c r="D1196" s="13" t="n">
        <f aca="false">C1196/('Final Model'!$B$21*SQRT(1-B1196))</f>
        <v>0.665646426380533</v>
      </c>
      <c r="E1196" s="13" t="n">
        <f aca="false">D1196*SQRT(('Final Model'!$B$24-1)/('Final Model'!$B$24-D1196^2))</f>
        <v>0.665511859946085</v>
      </c>
      <c r="F1196" s="23" t="n">
        <f aca="false">D1196^2/($P$3+1)*B1196/(1-B1196)</f>
        <v>0.000753407513371123</v>
      </c>
      <c r="G1196" s="13" t="n">
        <f aca="false">($P$2-1)*(B1196-1/$P$2)</f>
        <v>17.5879499592398</v>
      </c>
      <c r="H1196" s="13" t="n">
        <f aca="false">E1196*SQRT(B1196/(1-B1196))</f>
        <v>0.0776197360418409</v>
      </c>
      <c r="I1196" s="13" t="n">
        <f aca="false">ABS(D1196)</f>
        <v>0.665646426380533</v>
      </c>
      <c r="J1196" s="6" t="n">
        <f aca="false">IF(B1196&gt;$P$4,1,0)</f>
        <v>1</v>
      </c>
      <c r="K1196" s="6" t="n">
        <f aca="false">IF(F1196&gt;$P$6,1,0)</f>
        <v>0</v>
      </c>
      <c r="L1196" s="6" t="n">
        <f aca="false">IF(G1196&gt;$P$9,1,0)</f>
        <v>1</v>
      </c>
      <c r="M1196" s="6" t="n">
        <f aca="false">IF(ABS(H1196)&gt;$P$8,1,0)</f>
        <v>0</v>
      </c>
    </row>
    <row r="1197" customFormat="false" ht="15" hidden="false" customHeight="false" outlineLevel="0" collapsed="false">
      <c r="A1197" s="0" t="n">
        <f aca="false">ROW()-1</f>
        <v>1196</v>
      </c>
      <c r="B1197" s="22" t="n">
        <f aca="false">SUMPRODUCT(MMULT('Analysis Data'!N1197:U1197,'Final Model'!$B$59:$I$66),'Analysis Data'!N1197:U1197)</f>
        <v>0.00587629008715352</v>
      </c>
      <c r="C1197" s="15" t="n">
        <f aca="false">'Residual Diagnostics'!F1197</f>
        <v>30.7293846279329</v>
      </c>
      <c r="D1197" s="13" t="n">
        <f aca="false">C1197/('Final Model'!$B$21*SQRT(1-B1197))</f>
        <v>0.628570299296705</v>
      </c>
      <c r="E1197" s="13" t="n">
        <f aca="false">D1197*SQRT(('Final Model'!$B$24-1)/('Final Model'!$B$24-D1197^2))</f>
        <v>0.628432283116845</v>
      </c>
      <c r="F1197" s="23" t="n">
        <f aca="false">D1197^2/($P$3+1)*B1197/(1-B1197)</f>
        <v>0.0002919312053907</v>
      </c>
      <c r="G1197" s="13" t="n">
        <f aca="false">($P$2-1)*(B1197-1/$P$2)</f>
        <v>7.13938327142913</v>
      </c>
      <c r="H1197" s="13" t="n">
        <f aca="false">E1197*SQRT(B1197/(1-B1197))</f>
        <v>0.0483158789523683</v>
      </c>
      <c r="I1197" s="13" t="n">
        <f aca="false">ABS(D1197)</f>
        <v>0.628570299296705</v>
      </c>
      <c r="J1197" s="6" t="n">
        <f aca="false">IF(B1197&gt;$P$4,1,0)</f>
        <v>0</v>
      </c>
      <c r="K1197" s="6" t="n">
        <f aca="false">IF(F1197&gt;$P$6,1,0)</f>
        <v>0</v>
      </c>
      <c r="L1197" s="6" t="n">
        <f aca="false">IF(G1197&gt;$P$9,1,0)</f>
        <v>0</v>
      </c>
      <c r="M1197" s="6" t="n">
        <f aca="false">IF(ABS(H1197)&gt;$P$8,1,0)</f>
        <v>0</v>
      </c>
    </row>
    <row r="1198" customFormat="false" ht="15" hidden="false" customHeight="false" outlineLevel="0" collapsed="false">
      <c r="A1198" s="0" t="n">
        <f aca="false">ROW()-1</f>
        <v>1197</v>
      </c>
      <c r="B1198" s="22" t="n">
        <f aca="false">SUMPRODUCT(MMULT('Analysis Data'!N1198:U1198,'Final Model'!$B$59:$I$66),'Analysis Data'!N1198:U1198)</f>
        <v>0.00587629008715352</v>
      </c>
      <c r="C1198" s="15" t="n">
        <f aca="false">'Residual Diagnostics'!F1198</f>
        <v>107.683531835258</v>
      </c>
      <c r="D1198" s="13" t="n">
        <f aca="false">C1198/('Final Model'!$B$21*SQRT(1-B1198))</f>
        <v>2.20266922538656</v>
      </c>
      <c r="E1198" s="13" t="n">
        <f aca="false">D1198*SQRT(('Final Model'!$B$24-1)/('Final Model'!$B$24-D1198^2))</f>
        <v>2.20575636244588</v>
      </c>
      <c r="F1198" s="23" t="n">
        <f aca="false">D1198^2/($P$3+1)*B1198/(1-B1198)</f>
        <v>0.00358485320193361</v>
      </c>
      <c r="G1198" s="13" t="n">
        <f aca="false">($P$2-1)*(B1198-1/$P$2)</f>
        <v>7.13938327142913</v>
      </c>
      <c r="H1198" s="13" t="n">
        <f aca="false">E1198*SQRT(B1198/(1-B1198))</f>
        <v>0.169585586656655</v>
      </c>
      <c r="I1198" s="13" t="n">
        <f aca="false">ABS(D1198)</f>
        <v>2.20266922538656</v>
      </c>
      <c r="J1198" s="6" t="n">
        <f aca="false">IF(B1198&gt;$P$4,1,0)</f>
        <v>0</v>
      </c>
      <c r="K1198" s="6" t="n">
        <f aca="false">IF(F1198&gt;$P$6,1,0)</f>
        <v>1</v>
      </c>
      <c r="L1198" s="6" t="n">
        <f aca="false">IF(G1198&gt;$P$9,1,0)</f>
        <v>0</v>
      </c>
      <c r="M1198" s="6" t="n">
        <f aca="false">IF(ABS(H1198)&gt;$P$8,1,0)</f>
        <v>1</v>
      </c>
    </row>
    <row r="1199" customFormat="false" ht="15" hidden="false" customHeight="false" outlineLevel="0" collapsed="false">
      <c r="A1199" s="0" t="n">
        <f aca="false">ROW()-1</f>
        <v>1198</v>
      </c>
      <c r="B1199" s="22" t="n">
        <f aca="false">SUMPRODUCT(MMULT('Analysis Data'!N1199:U1199,'Final Model'!$B$59:$I$66),'Analysis Data'!N1199:U1199)</f>
        <v>0.00511733271663028</v>
      </c>
      <c r="C1199" s="15" t="n">
        <f aca="false">'Residual Diagnostics'!F1199</f>
        <v>-12.2799640047869</v>
      </c>
      <c r="D1199" s="13" t="n">
        <f aca="false">C1199/('Final Model'!$B$21*SQRT(1-B1199))</f>
        <v>-0.251091129458442</v>
      </c>
      <c r="E1199" s="13" t="n">
        <f aca="false">D1199*SQRT(('Final Model'!$B$24-1)/('Final Model'!$B$24-D1199^2))</f>
        <v>-0.251005747956063</v>
      </c>
      <c r="F1199" s="23" t="n">
        <f aca="false">D1199^2/($P$3+1)*B1199/(1-B1199)</f>
        <v>4.05363408855258E-005</v>
      </c>
      <c r="G1199" s="13" t="n">
        <f aca="false">($P$2-1)*(B1199-1/$P$2)</f>
        <v>6.08822731325444</v>
      </c>
      <c r="H1199" s="13" t="n">
        <f aca="false">E1199*SQRT(B1199/(1-B1199))</f>
        <v>-0.018001950442037</v>
      </c>
      <c r="I1199" s="13" t="n">
        <f aca="false">ABS(D1199)</f>
        <v>0.251091129458442</v>
      </c>
      <c r="J1199" s="6" t="n">
        <f aca="false">IF(B1199&gt;$P$4,1,0)</f>
        <v>0</v>
      </c>
      <c r="K1199" s="6" t="n">
        <f aca="false">IF(F1199&gt;$P$6,1,0)</f>
        <v>0</v>
      </c>
      <c r="L1199" s="6" t="n">
        <f aca="false">IF(G1199&gt;$P$9,1,0)</f>
        <v>0</v>
      </c>
      <c r="M1199" s="6" t="n">
        <f aca="false">IF(ABS(H1199)&gt;$P$8,1,0)</f>
        <v>0</v>
      </c>
    </row>
    <row r="1200" customFormat="false" ht="15" hidden="false" customHeight="false" outlineLevel="0" collapsed="false">
      <c r="A1200" s="0" t="n">
        <f aca="false">ROW()-1</f>
        <v>1199</v>
      </c>
      <c r="B1200" s="22" t="n">
        <f aca="false">SUMPRODUCT(MMULT('Analysis Data'!N1200:U1200,'Final Model'!$B$59:$I$66),'Analysis Data'!N1200:U1200)</f>
        <v>0.0100144368784743</v>
      </c>
      <c r="C1200" s="15" t="n">
        <f aca="false">'Residual Diagnostics'!F1200</f>
        <v>-29.4601521221761</v>
      </c>
      <c r="D1200" s="13" t="n">
        <f aca="false">C1200/('Final Model'!$B$21*SQRT(1-B1200))</f>
        <v>-0.603866257713389</v>
      </c>
      <c r="E1200" s="13" t="n">
        <f aca="false">D1200*SQRT(('Final Model'!$B$24-1)/('Final Model'!$B$24-D1200^2))</f>
        <v>-0.603726994452697</v>
      </c>
      <c r="F1200" s="23" t="n">
        <f aca="false">D1200^2/($P$3+1)*B1200/(1-B1200)</f>
        <v>0.000461093724515663</v>
      </c>
      <c r="G1200" s="13" t="n">
        <f aca="false">($P$2-1)*(B1200-1/$P$2)</f>
        <v>12.8707165774085</v>
      </c>
      <c r="H1200" s="13" t="n">
        <f aca="false">E1200*SQRT(B1200/(1-B1200))</f>
        <v>-0.0607210721080096</v>
      </c>
      <c r="I1200" s="13" t="n">
        <f aca="false">ABS(D1200)</f>
        <v>0.603866257713389</v>
      </c>
      <c r="J1200" s="6" t="n">
        <f aca="false">IF(B1200&gt;$P$4,1,0)</f>
        <v>0</v>
      </c>
      <c r="K1200" s="6" t="n">
        <f aca="false">IF(F1200&gt;$P$6,1,0)</f>
        <v>0</v>
      </c>
      <c r="L1200" s="6" t="n">
        <f aca="false">IF(G1200&gt;$P$9,1,0)</f>
        <v>1</v>
      </c>
      <c r="M1200" s="6" t="n">
        <f aca="false">IF(ABS(H1200)&gt;$P$8,1,0)</f>
        <v>0</v>
      </c>
    </row>
    <row r="1201" customFormat="false" ht="15" hidden="false" customHeight="false" outlineLevel="0" collapsed="false">
      <c r="A1201" s="0" t="n">
        <f aca="false">ROW()-1</f>
        <v>1200</v>
      </c>
      <c r="B1201" s="22" t="n">
        <f aca="false">SUMPRODUCT(MMULT('Analysis Data'!N1201:U1201,'Final Model'!$B$59:$I$66),'Analysis Data'!N1201:U1201)</f>
        <v>0.0103616614737833</v>
      </c>
      <c r="C1201" s="15" t="n">
        <f aca="false">'Residual Diagnostics'!F1201</f>
        <v>40.1422206359758</v>
      </c>
      <c r="D1201" s="13" t="n">
        <f aca="false">C1201/('Final Model'!$B$21*SQRT(1-B1201))</f>
        <v>0.822968754402966</v>
      </c>
      <c r="E1201" s="13" t="n">
        <f aca="false">D1201*SQRT(('Final Model'!$B$24-1)/('Final Model'!$B$24-D1201^2))</f>
        <v>0.82287233326983</v>
      </c>
      <c r="F1201" s="23" t="n">
        <f aca="false">D1201^2/($P$3+1)*B1201/(1-B1201)</f>
        <v>0.000886399687444761</v>
      </c>
      <c r="G1201" s="13" t="n">
        <f aca="false">($P$2-1)*(B1201-1/$P$2)</f>
        <v>13.3516226419113</v>
      </c>
      <c r="H1201" s="13" t="n">
        <f aca="false">E1201*SQRT(B1201/(1-B1201))</f>
        <v>0.0841993821299929</v>
      </c>
      <c r="I1201" s="13" t="n">
        <f aca="false">ABS(D1201)</f>
        <v>0.822968754402966</v>
      </c>
      <c r="J1201" s="6" t="n">
        <f aca="false">IF(B1201&gt;$P$4,1,0)</f>
        <v>0</v>
      </c>
      <c r="K1201" s="6" t="n">
        <f aca="false">IF(F1201&gt;$P$6,1,0)</f>
        <v>0</v>
      </c>
      <c r="L1201" s="6" t="n">
        <f aca="false">IF(G1201&gt;$P$9,1,0)</f>
        <v>1</v>
      </c>
      <c r="M1201" s="6" t="n">
        <f aca="false">IF(ABS(H1201)&gt;$P$8,1,0)</f>
        <v>0</v>
      </c>
    </row>
    <row r="1202" customFormat="false" ht="15" hidden="false" customHeight="false" outlineLevel="0" collapsed="false">
      <c r="A1202" s="0" t="n">
        <f aca="false">ROW()-1</f>
        <v>1201</v>
      </c>
      <c r="B1202" s="22" t="n">
        <f aca="false">SUMPRODUCT(MMULT('Analysis Data'!N1202:U1202,'Final Model'!$B$59:$I$66),'Analysis Data'!N1202:U1202)</f>
        <v>0.00998951663754137</v>
      </c>
      <c r="C1202" s="15" t="n">
        <f aca="false">'Residual Diagnostics'!F1202</f>
        <v>-109.772037124392</v>
      </c>
      <c r="D1202" s="13" t="n">
        <f aca="false">C1202/('Final Model'!$B$21*SQRT(1-B1202))</f>
        <v>-2.25004931046418</v>
      </c>
      <c r="E1202" s="13" t="n">
        <f aca="false">D1202*SQRT(('Final Model'!$B$24-1)/('Final Model'!$B$24-D1202^2))</f>
        <v>-2.25337596351419</v>
      </c>
      <c r="F1202" s="23" t="n">
        <f aca="false">D1202^2/($P$3+1)*B1202/(1-B1202)</f>
        <v>0.00638555670576512</v>
      </c>
      <c r="G1202" s="13" t="n">
        <f aca="false">($P$2-1)*(B1202-1/$P$2)</f>
        <v>12.8362020437163</v>
      </c>
      <c r="H1202" s="13" t="n">
        <f aca="false">E1202*SQRT(B1202/(1-B1202))</f>
        <v>-0.226352866128212</v>
      </c>
      <c r="I1202" s="13" t="n">
        <f aca="false">ABS(D1202)</f>
        <v>2.25004931046418</v>
      </c>
      <c r="J1202" s="6" t="n">
        <f aca="false">IF(B1202&gt;$P$4,1,0)</f>
        <v>0</v>
      </c>
      <c r="K1202" s="6" t="n">
        <f aca="false">IF(F1202&gt;$P$6,1,0)</f>
        <v>1</v>
      </c>
      <c r="L1202" s="6" t="n">
        <f aca="false">IF(G1202&gt;$P$9,1,0)</f>
        <v>1</v>
      </c>
      <c r="M1202" s="6" t="n">
        <f aca="false">IF(ABS(H1202)&gt;$P$8,1,0)</f>
        <v>1</v>
      </c>
    </row>
    <row r="1203" customFormat="false" ht="15" hidden="false" customHeight="false" outlineLevel="0" collapsed="false">
      <c r="A1203" s="0" t="n">
        <f aca="false">ROW()-1</f>
        <v>1202</v>
      </c>
      <c r="B1203" s="22" t="n">
        <f aca="false">SUMPRODUCT(MMULT('Analysis Data'!N1203:U1203,'Final Model'!$B$59:$I$66),'Analysis Data'!N1203:U1203)</f>
        <v>0.00199180756421723</v>
      </c>
      <c r="C1203" s="15" t="n">
        <f aca="false">'Residual Diagnostics'!F1203</f>
        <v>-2.92968818751683</v>
      </c>
      <c r="D1203" s="13" t="n">
        <f aca="false">C1203/('Final Model'!$B$21*SQRT(1-B1203))</f>
        <v>-0.0598101037310871</v>
      </c>
      <c r="E1203" s="13" t="n">
        <f aca="false">D1203*SQRT(('Final Model'!$B$24-1)/('Final Model'!$B$24-D1203^2))</f>
        <v>-0.0597884756178122</v>
      </c>
      <c r="F1203" s="23" t="n">
        <f aca="false">D1203^2/($P$3+1)*B1203/(1-B1203)</f>
        <v>8.92426371342367E-007</v>
      </c>
      <c r="G1203" s="13" t="n">
        <f aca="false">($P$2-1)*(B1203-1/$P$2)</f>
        <v>1.75937497716237</v>
      </c>
      <c r="H1203" s="13" t="n">
        <f aca="false">E1203*SQRT(B1203/(1-B1203))</f>
        <v>-0.00267100140324647</v>
      </c>
      <c r="I1203" s="13" t="n">
        <f aca="false">ABS(D1203)</f>
        <v>0.0598101037310871</v>
      </c>
      <c r="J1203" s="6" t="n">
        <f aca="false">IF(B1203&gt;$P$4,1,0)</f>
        <v>0</v>
      </c>
      <c r="K1203" s="6" t="n">
        <f aca="false">IF(F1203&gt;$P$6,1,0)</f>
        <v>0</v>
      </c>
      <c r="L1203" s="6" t="n">
        <f aca="false">IF(G1203&gt;$P$9,1,0)</f>
        <v>0</v>
      </c>
      <c r="M1203" s="6" t="n">
        <f aca="false">IF(ABS(H1203)&gt;$P$8,1,0)</f>
        <v>0</v>
      </c>
    </row>
    <row r="1204" customFormat="false" ht="15" hidden="false" customHeight="false" outlineLevel="0" collapsed="false">
      <c r="A1204" s="0" t="n">
        <f aca="false">ROW()-1</f>
        <v>1203</v>
      </c>
      <c r="B1204" s="22" t="n">
        <f aca="false">SUMPRODUCT(MMULT('Analysis Data'!N1204:U1204,'Final Model'!$B$59:$I$66),'Analysis Data'!N1204:U1204)</f>
        <v>0.00205380331268844</v>
      </c>
      <c r="C1204" s="15" t="n">
        <f aca="false">'Residual Diagnostics'!F1204</f>
        <v>-12.4439090003053</v>
      </c>
      <c r="D1204" s="13" t="n">
        <f aca="false">C1204/('Final Model'!$B$21*SQRT(1-B1204))</f>
        <v>-0.254052499257521</v>
      </c>
      <c r="E1204" s="13" t="n">
        <f aca="false">D1204*SQRT(('Final Model'!$B$24-1)/('Final Model'!$B$24-D1204^2))</f>
        <v>-0.253966248620922</v>
      </c>
      <c r="F1204" s="23" t="n">
        <f aca="false">D1204^2/($P$3+1)*B1204/(1-B1204)</f>
        <v>1.66038453252499E-005</v>
      </c>
      <c r="G1204" s="13" t="n">
        <f aca="false">($P$2-1)*(B1204-1/$P$2)</f>
        <v>1.84523908879499</v>
      </c>
      <c r="H1204" s="13" t="n">
        <f aca="false">E1204*SQRT(B1204/(1-B1204))</f>
        <v>-0.0115213100826109</v>
      </c>
      <c r="I1204" s="13" t="n">
        <f aca="false">ABS(D1204)</f>
        <v>0.254052499257521</v>
      </c>
      <c r="J1204" s="6" t="n">
        <f aca="false">IF(B1204&gt;$P$4,1,0)</f>
        <v>0</v>
      </c>
      <c r="K1204" s="6" t="n">
        <f aca="false">IF(F1204&gt;$P$6,1,0)</f>
        <v>0</v>
      </c>
      <c r="L1204" s="6" t="n">
        <f aca="false">IF(G1204&gt;$P$9,1,0)</f>
        <v>0</v>
      </c>
      <c r="M1204" s="6" t="n">
        <f aca="false">IF(ABS(H1204)&gt;$P$8,1,0)</f>
        <v>0</v>
      </c>
    </row>
    <row r="1205" customFormat="false" ht="15" hidden="false" customHeight="false" outlineLevel="0" collapsed="false">
      <c r="A1205" s="0" t="n">
        <f aca="false">ROW()-1</f>
        <v>1204</v>
      </c>
      <c r="B1205" s="22" t="n">
        <f aca="false">SUMPRODUCT(MMULT('Analysis Data'!N1205:U1205,'Final Model'!$B$59:$I$66),'Analysis Data'!N1205:U1205)</f>
        <v>0.00200205585840842</v>
      </c>
      <c r="C1205" s="15" t="n">
        <f aca="false">'Residual Diagnostics'!F1205</f>
        <v>-37.7756279117822</v>
      </c>
      <c r="D1205" s="13" t="n">
        <f aca="false">C1205/('Final Model'!$B$21*SQRT(1-B1205))</f>
        <v>-0.77120010042278</v>
      </c>
      <c r="E1205" s="13" t="n">
        <f aca="false">D1205*SQRT(('Final Model'!$B$24-1)/('Final Model'!$B$24-D1205^2))</f>
        <v>-0.771086643564701</v>
      </c>
      <c r="F1205" s="23" t="n">
        <f aca="false">D1205^2/($P$3+1)*B1205/(1-B1205)</f>
        <v>0.00014913882309697</v>
      </c>
      <c r="G1205" s="13" t="n">
        <f aca="false">($P$2-1)*(B1205-1/$P$2)</f>
        <v>1.77356886461717</v>
      </c>
      <c r="H1205" s="13" t="n">
        <f aca="false">E1205*SQRT(B1205/(1-B1205))</f>
        <v>-0.034536351229397</v>
      </c>
      <c r="I1205" s="13" t="n">
        <f aca="false">ABS(D1205)</f>
        <v>0.77120010042278</v>
      </c>
      <c r="J1205" s="6" t="n">
        <f aca="false">IF(B1205&gt;$P$4,1,0)</f>
        <v>0</v>
      </c>
      <c r="K1205" s="6" t="n">
        <f aca="false">IF(F1205&gt;$P$6,1,0)</f>
        <v>0</v>
      </c>
      <c r="L1205" s="6" t="n">
        <f aca="false">IF(G1205&gt;$P$9,1,0)</f>
        <v>0</v>
      </c>
      <c r="M1205" s="6" t="n">
        <f aca="false">IF(ABS(H1205)&gt;$P$8,1,0)</f>
        <v>0</v>
      </c>
    </row>
    <row r="1206" customFormat="false" ht="15" hidden="false" customHeight="false" outlineLevel="0" collapsed="false">
      <c r="A1206" s="0" t="n">
        <f aca="false">ROW()-1</f>
        <v>1205</v>
      </c>
      <c r="B1206" s="22" t="n">
        <f aca="false">SUMPRODUCT(MMULT('Analysis Data'!N1206:U1206,'Final Model'!$B$59:$I$66),'Analysis Data'!N1206:U1206)</f>
        <v>0.00194176935728097</v>
      </c>
      <c r="C1206" s="15" t="n">
        <f aca="false">'Residual Diagnostics'!F1206</f>
        <v>27.504845038996</v>
      </c>
      <c r="D1206" s="13" t="n">
        <f aca="false">C1206/('Final Model'!$B$21*SQRT(1-B1206))</f>
        <v>0.561502211460536</v>
      </c>
      <c r="E1206" s="13" t="n">
        <f aca="false">D1206*SQRT(('Final Model'!$B$24-1)/('Final Model'!$B$24-D1206^2))</f>
        <v>0.561362659604188</v>
      </c>
      <c r="F1206" s="23" t="n">
        <f aca="false">D1206^2/($P$3+1)*B1206/(1-B1206)</f>
        <v>7.66751647704647E-005</v>
      </c>
      <c r="G1206" s="13" t="n">
        <f aca="false">($P$2-1)*(B1206-1/$P$2)</f>
        <v>1.69007206055564</v>
      </c>
      <c r="H1206" s="13" t="n">
        <f aca="false">E1206*SQRT(B1206/(1-B1206))</f>
        <v>0.0247607846211222</v>
      </c>
      <c r="I1206" s="13" t="n">
        <f aca="false">ABS(D1206)</f>
        <v>0.561502211460536</v>
      </c>
      <c r="J1206" s="6" t="n">
        <f aca="false">IF(B1206&gt;$P$4,1,0)</f>
        <v>0</v>
      </c>
      <c r="K1206" s="6" t="n">
        <f aca="false">IF(F1206&gt;$P$6,1,0)</f>
        <v>0</v>
      </c>
      <c r="L1206" s="6" t="n">
        <f aca="false">IF(G1206&gt;$P$9,1,0)</f>
        <v>0</v>
      </c>
      <c r="M1206" s="6" t="n">
        <f aca="false">IF(ABS(H1206)&gt;$P$8,1,0)</f>
        <v>0</v>
      </c>
    </row>
    <row r="1207" customFormat="false" ht="15" hidden="false" customHeight="false" outlineLevel="0" collapsed="false">
      <c r="A1207" s="0" t="n">
        <f aca="false">ROW()-1</f>
        <v>1206</v>
      </c>
      <c r="B1207" s="22" t="n">
        <f aca="false">SUMPRODUCT(MMULT('Analysis Data'!N1207:U1207,'Final Model'!$B$59:$I$66),'Analysis Data'!N1207:U1207)</f>
        <v>0.00194273274666353</v>
      </c>
      <c r="C1207" s="15" t="n">
        <f aca="false">'Residual Diagnostics'!F1207</f>
        <v>100.311092548976</v>
      </c>
      <c r="D1207" s="13" t="n">
        <f aca="false">C1207/('Final Model'!$B$21*SQRT(1-B1207))</f>
        <v>2.04781838998281</v>
      </c>
      <c r="E1207" s="13" t="n">
        <f aca="false">D1207*SQRT(('Final Model'!$B$24-1)/('Final Model'!$B$24-D1207^2))</f>
        <v>2.05019719488896</v>
      </c>
      <c r="F1207" s="23" t="n">
        <f aca="false">D1207^2/($P$3+1)*B1207/(1-B1207)</f>
        <v>0.00102035310397995</v>
      </c>
      <c r="G1207" s="13" t="n">
        <f aca="false">($P$2-1)*(B1207-1/$P$2)</f>
        <v>1.69140635485049</v>
      </c>
      <c r="H1207" s="13" t="n">
        <f aca="false">E1207*SQRT(B1207/(1-B1207))</f>
        <v>0.0904533039315204</v>
      </c>
      <c r="I1207" s="13" t="n">
        <f aca="false">ABS(D1207)</f>
        <v>2.04781838998281</v>
      </c>
      <c r="J1207" s="6" t="n">
        <f aca="false">IF(B1207&gt;$P$4,1,0)</f>
        <v>0</v>
      </c>
      <c r="K1207" s="6" t="n">
        <f aca="false">IF(F1207&gt;$P$6,1,0)</f>
        <v>0</v>
      </c>
      <c r="L1207" s="6" t="n">
        <f aca="false">IF(G1207&gt;$P$9,1,0)</f>
        <v>0</v>
      </c>
      <c r="M1207" s="6" t="n">
        <f aca="false">IF(ABS(H1207)&gt;$P$8,1,0)</f>
        <v>0</v>
      </c>
    </row>
    <row r="1208" customFormat="false" ht="15" hidden="false" customHeight="false" outlineLevel="0" collapsed="false">
      <c r="A1208" s="0" t="n">
        <f aca="false">ROW()-1</f>
        <v>1207</v>
      </c>
      <c r="B1208" s="22" t="n">
        <f aca="false">SUMPRODUCT(MMULT('Analysis Data'!N1208:U1208,'Final Model'!$B$59:$I$66),'Analysis Data'!N1208:U1208)</f>
        <v>0.00193452046864673</v>
      </c>
      <c r="C1208" s="15" t="n">
        <f aca="false">'Residual Diagnostics'!F1208</f>
        <v>58.3202570141683</v>
      </c>
      <c r="D1208" s="13" t="n">
        <f aca="false">C1208/('Final Model'!$B$21*SQRT(1-B1208))</f>
        <v>1.19058421598803</v>
      </c>
      <c r="E1208" s="13" t="n">
        <f aca="false">D1208*SQRT(('Final Model'!$B$24-1)/('Final Model'!$B$24-D1208^2))</f>
        <v>1.19076474285178</v>
      </c>
      <c r="F1208" s="23" t="n">
        <f aca="false">D1208^2/($P$3+1)*B1208/(1-B1208)</f>
        <v>0.000343434996912619</v>
      </c>
      <c r="G1208" s="13" t="n">
        <f aca="false">($P$2-1)*(B1208-1/$P$2)</f>
        <v>1.68003234979722</v>
      </c>
      <c r="H1208" s="13" t="n">
        <f aca="false">E1208*SQRT(B1208/(1-B1208))</f>
        <v>0.0524243572463063</v>
      </c>
      <c r="I1208" s="13" t="n">
        <f aca="false">ABS(D1208)</f>
        <v>1.19058421598803</v>
      </c>
      <c r="J1208" s="6" t="n">
        <f aca="false">IF(B1208&gt;$P$4,1,0)</f>
        <v>0</v>
      </c>
      <c r="K1208" s="6" t="n">
        <f aca="false">IF(F1208&gt;$P$6,1,0)</f>
        <v>0</v>
      </c>
      <c r="L1208" s="6" t="n">
        <f aca="false">IF(G1208&gt;$P$9,1,0)</f>
        <v>0</v>
      </c>
      <c r="M1208" s="6" t="n">
        <f aca="false">IF(ABS(H1208)&gt;$P$8,1,0)</f>
        <v>0</v>
      </c>
    </row>
    <row r="1209" customFormat="false" ht="15" hidden="false" customHeight="false" outlineLevel="0" collapsed="false">
      <c r="A1209" s="0" t="n">
        <f aca="false">ROW()-1</f>
        <v>1208</v>
      </c>
      <c r="B1209" s="22" t="n">
        <f aca="false">SUMPRODUCT(MMULT('Analysis Data'!N1209:U1209,'Final Model'!$B$59:$I$66),'Analysis Data'!N1209:U1209)</f>
        <v>0.0130967399369804</v>
      </c>
      <c r="C1209" s="15" t="n">
        <f aca="false">'Residual Diagnostics'!F1209</f>
        <v>54.1606396618032</v>
      </c>
      <c r="D1209" s="13" t="n">
        <f aca="false">C1209/('Final Model'!$B$21*SQRT(1-B1209))</f>
        <v>1.11190248777452</v>
      </c>
      <c r="E1209" s="13" t="n">
        <f aca="false">D1209*SQRT(('Final Model'!$B$24-1)/('Final Model'!$B$24-D1209^2))</f>
        <v>1.11199791499529</v>
      </c>
      <c r="F1209" s="23" t="n">
        <f aca="false">D1209^2/($P$3+1)*B1209/(1-B1209)</f>
        <v>0.00205084121656339</v>
      </c>
      <c r="G1209" s="13" t="n">
        <f aca="false">($P$2-1)*(B1209-1/$P$2)</f>
        <v>17.1397063134394</v>
      </c>
      <c r="H1209" s="13" t="n">
        <f aca="false">E1209*SQRT(B1209/(1-B1209))</f>
        <v>0.128099750253816</v>
      </c>
      <c r="I1209" s="13" t="n">
        <f aca="false">ABS(D1209)</f>
        <v>1.11190248777452</v>
      </c>
      <c r="J1209" s="6" t="n">
        <f aca="false">IF(B1209&gt;$P$4,1,0)</f>
        <v>1</v>
      </c>
      <c r="K1209" s="6" t="n">
        <f aca="false">IF(F1209&gt;$P$6,1,0)</f>
        <v>0</v>
      </c>
      <c r="L1209" s="6" t="n">
        <f aca="false">IF(G1209&gt;$P$9,1,0)</f>
        <v>1</v>
      </c>
      <c r="M1209" s="6" t="n">
        <f aca="false">IF(ABS(H1209)&gt;$P$8,1,0)</f>
        <v>0</v>
      </c>
    </row>
    <row r="1210" customFormat="false" ht="15" hidden="false" customHeight="false" outlineLevel="0" collapsed="false">
      <c r="A1210" s="0" t="n">
        <f aca="false">ROW()-1</f>
        <v>1209</v>
      </c>
      <c r="B1210" s="22" t="n">
        <f aca="false">SUMPRODUCT(MMULT('Analysis Data'!N1210:U1210,'Final Model'!$B$59:$I$66),'Analysis Data'!N1210:U1210)</f>
        <v>0.0053566906827701</v>
      </c>
      <c r="C1210" s="15" t="n">
        <f aca="false">'Residual Diagnostics'!F1210</f>
        <v>-5.88442754128079</v>
      </c>
      <c r="D1210" s="13" t="n">
        <f aca="false">C1210/('Final Model'!$B$21*SQRT(1-B1210))</f>
        <v>-0.120334662837874</v>
      </c>
      <c r="E1210" s="13" t="n">
        <f aca="false">D1210*SQRT(('Final Model'!$B$24-1)/('Final Model'!$B$24-D1210^2))</f>
        <v>-0.120291624150279</v>
      </c>
      <c r="F1210" s="23" t="n">
        <f aca="false">D1210^2/($P$3+1)*B1210/(1-B1210)</f>
        <v>9.74811642572771E-006</v>
      </c>
      <c r="G1210" s="13" t="n">
        <f aca="false">($P$2-1)*(B1210-1/$P$2)</f>
        <v>6.41973809635809</v>
      </c>
      <c r="H1210" s="13" t="n">
        <f aca="false">E1210*SQRT(B1210/(1-B1210))</f>
        <v>-0.00882774928676409</v>
      </c>
      <c r="I1210" s="13" t="n">
        <f aca="false">ABS(D1210)</f>
        <v>0.120334662837874</v>
      </c>
      <c r="J1210" s="6" t="n">
        <f aca="false">IF(B1210&gt;$P$4,1,0)</f>
        <v>0</v>
      </c>
      <c r="K1210" s="6" t="n">
        <f aca="false">IF(F1210&gt;$P$6,1,0)</f>
        <v>0</v>
      </c>
      <c r="L1210" s="6" t="n">
        <f aca="false">IF(G1210&gt;$P$9,1,0)</f>
        <v>0</v>
      </c>
      <c r="M1210" s="6" t="n">
        <f aca="false">IF(ABS(H1210)&gt;$P$8,1,0)</f>
        <v>0</v>
      </c>
    </row>
    <row r="1211" customFormat="false" ht="15" hidden="false" customHeight="false" outlineLevel="0" collapsed="false">
      <c r="A1211" s="0" t="n">
        <f aca="false">ROW()-1</f>
        <v>1210</v>
      </c>
      <c r="B1211" s="22" t="n">
        <f aca="false">SUMPRODUCT(MMULT('Analysis Data'!N1211:U1211,'Final Model'!$B$59:$I$66),'Analysis Data'!N1211:U1211)</f>
        <v>0.00543411671593282</v>
      </c>
      <c r="C1211" s="15" t="n">
        <f aca="false">'Residual Diagnostics'!F1211</f>
        <v>18.8865777271583</v>
      </c>
      <c r="D1211" s="13" t="n">
        <f aca="false">C1211/('Final Model'!$B$21*SQRT(1-B1211))</f>
        <v>0.386239512590843</v>
      </c>
      <c r="E1211" s="13" t="n">
        <f aca="false">D1211*SQRT(('Final Model'!$B$24-1)/('Final Model'!$B$24-D1211^2))</f>
        <v>0.386120243264842</v>
      </c>
      <c r="F1211" s="23" t="n">
        <f aca="false">D1211^2/($P$3+1)*B1211/(1-B1211)</f>
        <v>0.000101887010197576</v>
      </c>
      <c r="G1211" s="13" t="n">
        <f aca="false">($P$2-1)*(B1211-1/$P$2)</f>
        <v>6.52697315228846</v>
      </c>
      <c r="H1211" s="13" t="n">
        <f aca="false">E1211*SQRT(B1211/(1-B1211))</f>
        <v>0.0285410714939532</v>
      </c>
      <c r="I1211" s="13" t="n">
        <f aca="false">ABS(D1211)</f>
        <v>0.386239512590843</v>
      </c>
      <c r="J1211" s="6" t="n">
        <f aca="false">IF(B1211&gt;$P$4,1,0)</f>
        <v>0</v>
      </c>
      <c r="K1211" s="6" t="n">
        <f aca="false">IF(F1211&gt;$P$6,1,0)</f>
        <v>0</v>
      </c>
      <c r="L1211" s="6" t="n">
        <f aca="false">IF(G1211&gt;$P$9,1,0)</f>
        <v>0</v>
      </c>
      <c r="M1211" s="6" t="n">
        <f aca="false">IF(ABS(H1211)&gt;$P$8,1,0)</f>
        <v>0</v>
      </c>
    </row>
    <row r="1212" customFormat="false" ht="15" hidden="false" customHeight="false" outlineLevel="0" collapsed="false">
      <c r="A1212" s="0" t="n">
        <f aca="false">ROW()-1</f>
        <v>1211</v>
      </c>
      <c r="B1212" s="22" t="n">
        <f aca="false">SUMPRODUCT(MMULT('Analysis Data'!N1212:U1212,'Final Model'!$B$59:$I$66),'Analysis Data'!N1212:U1212)</f>
        <v>0.0119931151968329</v>
      </c>
      <c r="C1212" s="15" t="n">
        <f aca="false">'Residual Diagnostics'!F1212</f>
        <v>-17.975100368089</v>
      </c>
      <c r="D1212" s="13" t="n">
        <f aca="false">C1212/('Final Model'!$B$21*SQRT(1-B1212))</f>
        <v>-0.368817523519123</v>
      </c>
      <c r="E1212" s="13" t="n">
        <f aca="false">D1212*SQRT(('Final Model'!$B$24-1)/('Final Model'!$B$24-D1212^2))</f>
        <v>-0.368701874010463</v>
      </c>
      <c r="F1212" s="23" t="n">
        <f aca="false">D1212^2/($P$3+1)*B1212/(1-B1212)</f>
        <v>0.00020639783717566</v>
      </c>
      <c r="G1212" s="13" t="n">
        <f aca="false">($P$2-1)*(B1212-1/$P$2)</f>
        <v>15.6111860483351</v>
      </c>
      <c r="H1212" s="13" t="n">
        <f aca="false">E1212*SQRT(B1212/(1-B1212))</f>
        <v>-0.0406220056426702</v>
      </c>
      <c r="I1212" s="13" t="n">
        <f aca="false">ABS(D1212)</f>
        <v>0.368817523519123</v>
      </c>
      <c r="J1212" s="6" t="n">
        <f aca="false">IF(B1212&gt;$P$4,1,0)</f>
        <v>1</v>
      </c>
      <c r="K1212" s="6" t="n">
        <f aca="false">IF(F1212&gt;$P$6,1,0)</f>
        <v>0</v>
      </c>
      <c r="L1212" s="6" t="n">
        <f aca="false">IF(G1212&gt;$P$9,1,0)</f>
        <v>1</v>
      </c>
      <c r="M1212" s="6" t="n">
        <f aca="false">IF(ABS(H1212)&gt;$P$8,1,0)</f>
        <v>0</v>
      </c>
    </row>
    <row r="1213" customFormat="false" ht="15" hidden="false" customHeight="false" outlineLevel="0" collapsed="false">
      <c r="A1213" s="0" t="n">
        <f aca="false">ROW()-1</f>
        <v>1212</v>
      </c>
      <c r="B1213" s="22" t="n">
        <f aca="false">SUMPRODUCT(MMULT('Analysis Data'!N1213:U1213,'Final Model'!$B$59:$I$66),'Analysis Data'!N1213:U1213)</f>
        <v>0.0102749406638933</v>
      </c>
      <c r="C1213" s="15" t="n">
        <f aca="false">'Residual Diagnostics'!F1213</f>
        <v>27.0282638149994</v>
      </c>
      <c r="D1213" s="13" t="n">
        <f aca="false">C1213/('Final Model'!$B$21*SQRT(1-B1213))</f>
        <v>0.554090972928859</v>
      </c>
      <c r="E1213" s="13" t="n">
        <f aca="false">D1213*SQRT(('Final Model'!$B$24-1)/('Final Model'!$B$24-D1213^2))</f>
        <v>0.553951600792228</v>
      </c>
      <c r="F1213" s="23" t="n">
        <f aca="false">D1213^2/($P$3+1)*B1213/(1-B1213)</f>
        <v>0.000398416135572274</v>
      </c>
      <c r="G1213" s="13" t="n">
        <f aca="false">($P$2-1)*(B1213-1/$P$2)</f>
        <v>13.2315143202137</v>
      </c>
      <c r="H1213" s="13" t="n">
        <f aca="false">E1213*SQRT(B1213/(1-B1213))</f>
        <v>0.0564422346267965</v>
      </c>
      <c r="I1213" s="13" t="n">
        <f aca="false">ABS(D1213)</f>
        <v>0.554090972928859</v>
      </c>
      <c r="J1213" s="6" t="n">
        <f aca="false">IF(B1213&gt;$P$4,1,0)</f>
        <v>0</v>
      </c>
      <c r="K1213" s="6" t="n">
        <f aca="false">IF(F1213&gt;$P$6,1,0)</f>
        <v>0</v>
      </c>
      <c r="L1213" s="6" t="n">
        <f aca="false">IF(G1213&gt;$P$9,1,0)</f>
        <v>1</v>
      </c>
      <c r="M1213" s="6" t="n">
        <f aca="false">IF(ABS(H1213)&gt;$P$8,1,0)</f>
        <v>0</v>
      </c>
    </row>
    <row r="1214" customFormat="false" ht="15" hidden="false" customHeight="false" outlineLevel="0" collapsed="false">
      <c r="A1214" s="0" t="n">
        <f aca="false">ROW()-1</f>
        <v>1213</v>
      </c>
      <c r="B1214" s="22" t="n">
        <f aca="false">SUMPRODUCT(MMULT('Analysis Data'!N1214:U1214,'Final Model'!$B$59:$I$66),'Analysis Data'!N1214:U1214)</f>
        <v>0.00201533370151939</v>
      </c>
      <c r="C1214" s="15" t="n">
        <f aca="false">'Residual Diagnostics'!F1214</f>
        <v>8.93459660930844</v>
      </c>
      <c r="D1214" s="13" t="n">
        <f aca="false">C1214/('Final Model'!$B$21*SQRT(1-B1214))</f>
        <v>0.182403523648177</v>
      </c>
      <c r="E1214" s="13" t="n">
        <f aca="false">D1214*SQRT(('Final Model'!$B$24-1)/('Final Model'!$B$24-D1214^2))</f>
        <v>0.18233952874093</v>
      </c>
      <c r="F1214" s="23" t="n">
        <f aca="false">D1214^2/($P$3+1)*B1214/(1-B1214)</f>
        <v>8.39845809044871E-006</v>
      </c>
      <c r="G1214" s="13" t="n">
        <f aca="false">($P$2-1)*(B1214-1/$P$2)</f>
        <v>1.79195867732586</v>
      </c>
      <c r="H1214" s="13" t="n">
        <f aca="false">E1214*SQRT(B1214/(1-B1214))</f>
        <v>0.0081939324147789</v>
      </c>
      <c r="I1214" s="13" t="n">
        <f aca="false">ABS(D1214)</f>
        <v>0.182403523648177</v>
      </c>
      <c r="J1214" s="6" t="n">
        <f aca="false">IF(B1214&gt;$P$4,1,0)</f>
        <v>0</v>
      </c>
      <c r="K1214" s="6" t="n">
        <f aca="false">IF(F1214&gt;$P$6,1,0)</f>
        <v>0</v>
      </c>
      <c r="L1214" s="6" t="n">
        <f aca="false">IF(G1214&gt;$P$9,1,0)</f>
        <v>0</v>
      </c>
      <c r="M1214" s="6" t="n">
        <f aca="false">IF(ABS(H1214)&gt;$P$8,1,0)</f>
        <v>0</v>
      </c>
    </row>
    <row r="1215" customFormat="false" ht="15" hidden="false" customHeight="false" outlineLevel="0" collapsed="false">
      <c r="A1215" s="0" t="n">
        <f aca="false">ROW()-1</f>
        <v>1214</v>
      </c>
      <c r="B1215" s="22" t="n">
        <f aca="false">SUMPRODUCT(MMULT('Analysis Data'!N1215:U1215,'Final Model'!$B$59:$I$66),'Analysis Data'!N1215:U1215)</f>
        <v>0.00205380331268844</v>
      </c>
      <c r="C1215" s="15" t="n">
        <f aca="false">'Residual Diagnostics'!F1215</f>
        <v>50.2437689151176</v>
      </c>
      <c r="D1215" s="13" t="n">
        <f aca="false">C1215/('Final Model'!$B$21*SQRT(1-B1215))</f>
        <v>1.0257673103114</v>
      </c>
      <c r="E1215" s="13" t="n">
        <f aca="false">D1215*SQRT(('Final Model'!$B$24-1)/('Final Model'!$B$24-D1215^2))</f>
        <v>1.02578675298174</v>
      </c>
      <c r="F1215" s="23" t="n">
        <f aca="false">D1215^2/($P$3+1)*B1215/(1-B1215)</f>
        <v>0.000270682042518464</v>
      </c>
      <c r="G1215" s="13" t="n">
        <f aca="false">($P$2-1)*(B1215-1/$P$2)</f>
        <v>1.84523908879499</v>
      </c>
      <c r="H1215" s="13" t="n">
        <f aca="false">E1215*SQRT(B1215/(1-B1215))</f>
        <v>0.0465353460308725</v>
      </c>
      <c r="I1215" s="13" t="n">
        <f aca="false">ABS(D1215)</f>
        <v>1.0257673103114</v>
      </c>
      <c r="J1215" s="6" t="n">
        <f aca="false">IF(B1215&gt;$P$4,1,0)</f>
        <v>0</v>
      </c>
      <c r="K1215" s="6" t="n">
        <f aca="false">IF(F1215&gt;$P$6,1,0)</f>
        <v>0</v>
      </c>
      <c r="L1215" s="6" t="n">
        <f aca="false">IF(G1215&gt;$P$9,1,0)</f>
        <v>0</v>
      </c>
      <c r="M1215" s="6" t="n">
        <f aca="false">IF(ABS(H1215)&gt;$P$8,1,0)</f>
        <v>0</v>
      </c>
    </row>
    <row r="1216" customFormat="false" ht="15" hidden="false" customHeight="false" outlineLevel="0" collapsed="false">
      <c r="A1216" s="0" t="n">
        <f aca="false">ROW()-1</f>
        <v>1215</v>
      </c>
      <c r="B1216" s="22" t="n">
        <f aca="false">SUMPRODUCT(MMULT('Analysis Data'!N1216:U1216,'Final Model'!$B$59:$I$66),'Analysis Data'!N1216:U1216)</f>
        <v>0.00200205585840842</v>
      </c>
      <c r="C1216" s="15" t="n">
        <f aca="false">'Residual Diagnostics'!F1216</f>
        <v>7.54224465979056</v>
      </c>
      <c r="D1216" s="13" t="n">
        <f aca="false">C1216/('Final Model'!$B$21*SQRT(1-B1216))</f>
        <v>0.153977052416632</v>
      </c>
      <c r="E1216" s="13" t="n">
        <f aca="false">D1216*SQRT(('Final Model'!$B$24-1)/('Final Model'!$B$24-D1216^2))</f>
        <v>0.153922496667855</v>
      </c>
      <c r="F1216" s="23" t="n">
        <f aca="false">D1216^2/($P$3+1)*B1216/(1-B1216)</f>
        <v>5.94522862359726E-006</v>
      </c>
      <c r="G1216" s="13" t="n">
        <f aca="false">($P$2-1)*(B1216-1/$P$2)</f>
        <v>1.77356886461717</v>
      </c>
      <c r="H1216" s="13" t="n">
        <f aca="false">E1216*SQRT(B1216/(1-B1216))</f>
        <v>0.00689406495546524</v>
      </c>
      <c r="I1216" s="13" t="n">
        <f aca="false">ABS(D1216)</f>
        <v>0.153977052416632</v>
      </c>
      <c r="J1216" s="6" t="n">
        <f aca="false">IF(B1216&gt;$P$4,1,0)</f>
        <v>0</v>
      </c>
      <c r="K1216" s="6" t="n">
        <f aca="false">IF(F1216&gt;$P$6,1,0)</f>
        <v>0</v>
      </c>
      <c r="L1216" s="6" t="n">
        <f aca="false">IF(G1216&gt;$P$9,1,0)</f>
        <v>0</v>
      </c>
      <c r="M1216" s="6" t="n">
        <f aca="false">IF(ABS(H1216)&gt;$P$8,1,0)</f>
        <v>0</v>
      </c>
    </row>
    <row r="1217" customFormat="false" ht="15" hidden="false" customHeight="false" outlineLevel="0" collapsed="false">
      <c r="A1217" s="0" t="n">
        <f aca="false">ROW()-1</f>
        <v>1216</v>
      </c>
      <c r="B1217" s="22" t="n">
        <f aca="false">SUMPRODUCT(MMULT('Analysis Data'!N1217:U1217,'Final Model'!$B$59:$I$66),'Analysis Data'!N1217:U1217)</f>
        <v>0.00193681238992613</v>
      </c>
      <c r="C1217" s="15" t="n">
        <f aca="false">'Residual Diagnostics'!F1217</f>
        <v>-56.7396464793033</v>
      </c>
      <c r="D1217" s="13" t="n">
        <f aca="false">C1217/('Final Model'!$B$21*SQRT(1-B1217))</f>
        <v>-1.1583180277519</v>
      </c>
      <c r="E1217" s="13" t="n">
        <f aca="false">D1217*SQRT(('Final Model'!$B$24-1)/('Final Model'!$B$24-D1217^2))</f>
        <v>-1.15846177201651</v>
      </c>
      <c r="F1217" s="23" t="n">
        <f aca="false">D1217^2/($P$3+1)*B1217/(1-B1217)</f>
        <v>0.000325458157530191</v>
      </c>
      <c r="G1217" s="13" t="n">
        <f aca="false">($P$2-1)*(B1217-1/$P$2)</f>
        <v>1.68320666076919</v>
      </c>
      <c r="H1217" s="13" t="n">
        <f aca="false">E1217*SQRT(B1217/(1-B1217))</f>
        <v>-0.0510324555215342</v>
      </c>
      <c r="I1217" s="13" t="n">
        <f aca="false">ABS(D1217)</f>
        <v>1.1583180277519</v>
      </c>
      <c r="J1217" s="6" t="n">
        <f aca="false">IF(B1217&gt;$P$4,1,0)</f>
        <v>0</v>
      </c>
      <c r="K1217" s="6" t="n">
        <f aca="false">IF(F1217&gt;$P$6,1,0)</f>
        <v>0</v>
      </c>
      <c r="L1217" s="6" t="n">
        <f aca="false">IF(G1217&gt;$P$9,1,0)</f>
        <v>0</v>
      </c>
      <c r="M1217" s="6" t="n">
        <f aca="false">IF(ABS(H1217)&gt;$P$8,1,0)</f>
        <v>0</v>
      </c>
    </row>
    <row r="1218" customFormat="false" ht="15" hidden="false" customHeight="false" outlineLevel="0" collapsed="false">
      <c r="A1218" s="0" t="n">
        <f aca="false">ROW()-1</f>
        <v>1217</v>
      </c>
      <c r="B1218" s="22" t="n">
        <f aca="false">SUMPRODUCT(MMULT('Analysis Data'!N1218:U1218,'Final Model'!$B$59:$I$66),'Analysis Data'!N1218:U1218)</f>
        <v>0.00198592046708543</v>
      </c>
      <c r="C1218" s="15" t="n">
        <f aca="false">'Residual Diagnostics'!F1218</f>
        <v>89.5939665916578</v>
      </c>
      <c r="D1218" s="13" t="n">
        <f aca="false">C1218/('Final Model'!$B$21*SQRT(1-B1218))</f>
        <v>1.82907131672839</v>
      </c>
      <c r="E1218" s="13" t="n">
        <f aca="false">D1218*SQRT(('Final Model'!$B$24-1)/('Final Model'!$B$24-D1218^2))</f>
        <v>1.83063107657742</v>
      </c>
      <c r="F1218" s="23" t="n">
        <f aca="false">D1218^2/($P$3+1)*B1218/(1-B1218)</f>
        <v>0.000832140146585867</v>
      </c>
      <c r="G1218" s="13" t="n">
        <f aca="false">($P$2-1)*(B1218-1/$P$2)</f>
        <v>1.75122134763482</v>
      </c>
      <c r="H1218" s="13" t="n">
        <f aca="false">E1218*SQRT(B1218/(1-B1218))</f>
        <v>0.0816607609215073</v>
      </c>
      <c r="I1218" s="13" t="n">
        <f aca="false">ABS(D1218)</f>
        <v>1.82907131672839</v>
      </c>
      <c r="J1218" s="6" t="n">
        <f aca="false">IF(B1218&gt;$P$4,1,0)</f>
        <v>0</v>
      </c>
      <c r="K1218" s="6" t="n">
        <f aca="false">IF(F1218&gt;$P$6,1,0)</f>
        <v>0</v>
      </c>
      <c r="L1218" s="6" t="n">
        <f aca="false">IF(G1218&gt;$P$9,1,0)</f>
        <v>0</v>
      </c>
      <c r="M1218" s="6" t="n">
        <f aca="false">IF(ABS(H1218)&gt;$P$8,1,0)</f>
        <v>0</v>
      </c>
    </row>
    <row r="1219" customFormat="false" ht="15" hidden="false" customHeight="false" outlineLevel="0" collapsed="false">
      <c r="A1219" s="0" t="n">
        <f aca="false">ROW()-1</f>
        <v>1218</v>
      </c>
      <c r="B1219" s="22" t="n">
        <f aca="false">SUMPRODUCT(MMULT('Analysis Data'!N1219:U1219,'Final Model'!$B$59:$I$66),'Analysis Data'!N1219:U1219)</f>
        <v>0.0134203815584969</v>
      </c>
      <c r="C1219" s="15" t="n">
        <f aca="false">'Residual Diagnostics'!F1219</f>
        <v>19.5626443022362</v>
      </c>
      <c r="D1219" s="13" t="n">
        <f aca="false">C1219/('Final Model'!$B$21*SQRT(1-B1219))</f>
        <v>0.401681377426179</v>
      </c>
      <c r="E1219" s="13" t="n">
        <f aca="false">D1219*SQRT(('Final Model'!$B$24-1)/('Final Model'!$B$24-D1219^2))</f>
        <v>0.401559112676543</v>
      </c>
      <c r="F1219" s="23" t="n">
        <f aca="false">D1219^2/($P$3+1)*B1219/(1-B1219)</f>
        <v>0.000274350737891355</v>
      </c>
      <c r="G1219" s="13" t="n">
        <f aca="false">($P$2-1)*(B1219-1/$P$2)</f>
        <v>17.5879499592398</v>
      </c>
      <c r="H1219" s="13" t="n">
        <f aca="false">E1219*SQRT(B1219/(1-B1219))</f>
        <v>0.0468344956822771</v>
      </c>
      <c r="I1219" s="13" t="n">
        <f aca="false">ABS(D1219)</f>
        <v>0.401681377426179</v>
      </c>
      <c r="J1219" s="6" t="n">
        <f aca="false">IF(B1219&gt;$P$4,1,0)</f>
        <v>1</v>
      </c>
      <c r="K1219" s="6" t="n">
        <f aca="false">IF(F1219&gt;$P$6,1,0)</f>
        <v>0</v>
      </c>
      <c r="L1219" s="6" t="n">
        <f aca="false">IF(G1219&gt;$P$9,1,0)</f>
        <v>1</v>
      </c>
      <c r="M1219" s="6" t="n">
        <f aca="false">IF(ABS(H1219)&gt;$P$8,1,0)</f>
        <v>0</v>
      </c>
    </row>
    <row r="1220" customFormat="false" ht="15" hidden="false" customHeight="false" outlineLevel="0" collapsed="false">
      <c r="A1220" s="0" t="n">
        <f aca="false">ROW()-1</f>
        <v>1219</v>
      </c>
      <c r="B1220" s="22" t="n">
        <f aca="false">SUMPRODUCT(MMULT('Analysis Data'!N1220:U1220,'Final Model'!$B$59:$I$66),'Analysis Data'!N1220:U1220)</f>
        <v>0.00715169023161148</v>
      </c>
      <c r="C1220" s="15" t="n">
        <f aca="false">'Residual Diagnostics'!F1220</f>
        <v>-10.7547890946304</v>
      </c>
      <c r="D1220" s="13" t="n">
        <f aca="false">C1220/('Final Model'!$B$21*SQRT(1-B1220))</f>
        <v>-0.220130721245241</v>
      </c>
      <c r="E1220" s="13" t="n">
        <f aca="false">D1220*SQRT(('Final Model'!$B$24-1)/('Final Model'!$B$24-D1220^2))</f>
        <v>-0.220054702642084</v>
      </c>
      <c r="F1220" s="23" t="n">
        <f aca="false">D1220^2/($P$3+1)*B1220/(1-B1220)</f>
        <v>4.36311962592759E-005</v>
      </c>
      <c r="G1220" s="13" t="n">
        <f aca="false">($P$2-1)*(B1220-1/$P$2)</f>
        <v>8.90581247150341</v>
      </c>
      <c r="H1220" s="13" t="n">
        <f aca="false">E1220*SQRT(B1220/(1-B1220))</f>
        <v>-0.0186764165297613</v>
      </c>
      <c r="I1220" s="13" t="n">
        <f aca="false">ABS(D1220)</f>
        <v>0.220130721245241</v>
      </c>
      <c r="J1220" s="6" t="n">
        <f aca="false">IF(B1220&gt;$P$4,1,0)</f>
        <v>0</v>
      </c>
      <c r="K1220" s="6" t="n">
        <f aca="false">IF(F1220&gt;$P$6,1,0)</f>
        <v>0</v>
      </c>
      <c r="L1220" s="6" t="n">
        <f aca="false">IF(G1220&gt;$P$9,1,0)</f>
        <v>0</v>
      </c>
      <c r="M1220" s="6" t="n">
        <f aca="false">IF(ABS(H1220)&gt;$P$8,1,0)</f>
        <v>0</v>
      </c>
    </row>
    <row r="1221" customFormat="false" ht="15" hidden="false" customHeight="false" outlineLevel="0" collapsed="false">
      <c r="A1221" s="0" t="n">
        <f aca="false">ROW()-1</f>
        <v>1220</v>
      </c>
      <c r="B1221" s="22" t="n">
        <f aca="false">SUMPRODUCT(MMULT('Analysis Data'!N1221:U1221,'Final Model'!$B$59:$I$66),'Analysis Data'!N1221:U1221)</f>
        <v>0.00510403452180756</v>
      </c>
      <c r="C1221" s="15" t="n">
        <f aca="false">'Residual Diagnostics'!F1221</f>
        <v>2.38064879203245</v>
      </c>
      <c r="D1221" s="13" t="n">
        <f aca="false">C1221/('Final Model'!$B$21*SQRT(1-B1221))</f>
        <v>0.0486773250178468</v>
      </c>
      <c r="E1221" s="13" t="n">
        <f aca="false">D1221*SQRT(('Final Model'!$B$24-1)/('Final Model'!$B$24-D1221^2))</f>
        <v>0.0486597013382228</v>
      </c>
      <c r="F1221" s="23" t="n">
        <f aca="false">D1221^2/($P$3+1)*B1221/(1-B1221)</f>
        <v>1.51949527863776E-006</v>
      </c>
      <c r="G1221" s="13" t="n">
        <f aca="false">($P$2-1)*(B1221-1/$P$2)</f>
        <v>6.06980931342497</v>
      </c>
      <c r="H1221" s="13" t="n">
        <f aca="false">E1221*SQRT(B1221/(1-B1221))</f>
        <v>0.003485277845918</v>
      </c>
      <c r="I1221" s="13" t="n">
        <f aca="false">ABS(D1221)</f>
        <v>0.0486773250178468</v>
      </c>
      <c r="J1221" s="6" t="n">
        <f aca="false">IF(B1221&gt;$P$4,1,0)</f>
        <v>0</v>
      </c>
      <c r="K1221" s="6" t="n">
        <f aca="false">IF(F1221&gt;$P$6,1,0)</f>
        <v>0</v>
      </c>
      <c r="L1221" s="6" t="n">
        <f aca="false">IF(G1221&gt;$P$9,1,0)</f>
        <v>0</v>
      </c>
      <c r="M1221" s="6" t="n">
        <f aca="false">IF(ABS(H1221)&gt;$P$8,1,0)</f>
        <v>0</v>
      </c>
    </row>
    <row r="1222" customFormat="false" ht="15" hidden="false" customHeight="false" outlineLevel="0" collapsed="false">
      <c r="A1222" s="0" t="n">
        <f aca="false">ROW()-1</f>
        <v>1221</v>
      </c>
      <c r="B1222" s="22" t="n">
        <f aca="false">SUMPRODUCT(MMULT('Analysis Data'!N1222:U1222,'Final Model'!$B$59:$I$66),'Analysis Data'!N1222:U1222)</f>
        <v>0.00506210610824001</v>
      </c>
      <c r="C1222" s="15" t="n">
        <f aca="false">'Residual Diagnostics'!F1222</f>
        <v>-12.3154293668599</v>
      </c>
      <c r="D1222" s="13" t="n">
        <f aca="false">C1222/('Final Model'!$B$21*SQRT(1-B1222))</f>
        <v>-0.251809308574922</v>
      </c>
      <c r="E1222" s="13" t="n">
        <f aca="false">D1222*SQRT(('Final Model'!$B$24-1)/('Final Model'!$B$24-D1222^2))</f>
        <v>-0.251723715851353</v>
      </c>
      <c r="F1222" s="23" t="n">
        <f aca="false">D1222^2/($P$3+1)*B1222/(1-B1222)</f>
        <v>4.0326343612499E-005</v>
      </c>
      <c r="G1222" s="13" t="n">
        <f aca="false">($P$2-1)*(B1222-1/$P$2)</f>
        <v>6.01173846063392</v>
      </c>
      <c r="H1222" s="13" t="n">
        <f aca="false">E1222*SQRT(B1222/(1-B1222))</f>
        <v>-0.0179552629712681</v>
      </c>
      <c r="I1222" s="13" t="n">
        <f aca="false">ABS(D1222)</f>
        <v>0.251809308574922</v>
      </c>
      <c r="J1222" s="6" t="n">
        <f aca="false">IF(B1222&gt;$P$4,1,0)</f>
        <v>0</v>
      </c>
      <c r="K1222" s="6" t="n">
        <f aca="false">IF(F1222&gt;$P$6,1,0)</f>
        <v>0</v>
      </c>
      <c r="L1222" s="6" t="n">
        <f aca="false">IF(G1222&gt;$P$9,1,0)</f>
        <v>0</v>
      </c>
      <c r="M1222" s="6" t="n">
        <f aca="false">IF(ABS(H1222)&gt;$P$8,1,0)</f>
        <v>0</v>
      </c>
    </row>
    <row r="1223" customFormat="false" ht="15" hidden="false" customHeight="false" outlineLevel="0" collapsed="false">
      <c r="A1223" s="0" t="n">
        <f aca="false">ROW()-1</f>
        <v>1222</v>
      </c>
      <c r="B1223" s="22" t="n">
        <f aca="false">SUMPRODUCT(MMULT('Analysis Data'!N1223:U1223,'Final Model'!$B$59:$I$66),'Analysis Data'!N1223:U1223)</f>
        <v>0.0103616614737833</v>
      </c>
      <c r="C1223" s="15" t="n">
        <f aca="false">'Residual Diagnostics'!F1223</f>
        <v>93.7272337977128</v>
      </c>
      <c r="D1223" s="13" t="n">
        <f aca="false">C1223/('Final Model'!$B$21*SQRT(1-B1223))</f>
        <v>1.92153258165819</v>
      </c>
      <c r="E1223" s="13" t="n">
        <f aca="false">D1223*SQRT(('Final Model'!$B$24-1)/('Final Model'!$B$24-D1223^2))</f>
        <v>1.92341381497282</v>
      </c>
      <c r="F1223" s="23" t="n">
        <f aca="false">D1223^2/($P$3+1)*B1223/(1-B1223)</f>
        <v>0.00483235027126024</v>
      </c>
      <c r="G1223" s="13" t="n">
        <f aca="false">($P$2-1)*(B1223-1/$P$2)</f>
        <v>13.3516226419113</v>
      </c>
      <c r="H1223" s="13" t="n">
        <f aca="false">E1223*SQRT(B1223/(1-B1223))</f>
        <v>0.19681091252329</v>
      </c>
      <c r="I1223" s="13" t="n">
        <f aca="false">ABS(D1223)</f>
        <v>1.92153258165819</v>
      </c>
      <c r="J1223" s="6" t="n">
        <f aca="false">IF(B1223&gt;$P$4,1,0)</f>
        <v>0</v>
      </c>
      <c r="K1223" s="6" t="n">
        <f aca="false">IF(F1223&gt;$P$6,1,0)</f>
        <v>1</v>
      </c>
      <c r="L1223" s="6" t="n">
        <f aca="false">IF(G1223&gt;$P$9,1,0)</f>
        <v>1</v>
      </c>
      <c r="M1223" s="6" t="n">
        <f aca="false">IF(ABS(H1223)&gt;$P$8,1,0)</f>
        <v>1</v>
      </c>
    </row>
    <row r="1224" customFormat="false" ht="15" hidden="false" customHeight="false" outlineLevel="0" collapsed="false">
      <c r="A1224" s="0" t="n">
        <f aca="false">ROW()-1</f>
        <v>1223</v>
      </c>
      <c r="B1224" s="22" t="n">
        <f aca="false">SUMPRODUCT(MMULT('Analysis Data'!N1224:U1224,'Final Model'!$B$59:$I$66),'Analysis Data'!N1224:U1224)</f>
        <v>0.0100524782212149</v>
      </c>
      <c r="C1224" s="15" t="n">
        <f aca="false">'Residual Diagnostics'!F1224</f>
        <v>64.236023427228</v>
      </c>
      <c r="D1224" s="13" t="n">
        <f aca="false">C1224/('Final Model'!$B$21*SQRT(1-B1224))</f>
        <v>1.31671799292551</v>
      </c>
      <c r="E1224" s="13" t="n">
        <f aca="false">D1224*SQRT(('Final Model'!$B$24-1)/('Final Model'!$B$24-D1224^2))</f>
        <v>1.3170689454317</v>
      </c>
      <c r="F1224" s="23" t="n">
        <f aca="false">D1224^2/($P$3+1)*B1224/(1-B1224)</f>
        <v>0.00220067809984274</v>
      </c>
      <c r="G1224" s="13" t="n">
        <f aca="false">($P$2-1)*(B1224-1/$P$2)</f>
        <v>12.9234038371042</v>
      </c>
      <c r="H1224" s="13" t="n">
        <f aca="false">E1224*SQRT(B1224/(1-B1224))</f>
        <v>0.132720800939509</v>
      </c>
      <c r="I1224" s="13" t="n">
        <f aca="false">ABS(D1224)</f>
        <v>1.31671799292551</v>
      </c>
      <c r="J1224" s="6" t="n">
        <f aca="false">IF(B1224&gt;$P$4,1,0)</f>
        <v>0</v>
      </c>
      <c r="K1224" s="6" t="n">
        <f aca="false">IF(F1224&gt;$P$6,1,0)</f>
        <v>0</v>
      </c>
      <c r="L1224" s="6" t="n">
        <f aca="false">IF(G1224&gt;$P$9,1,0)</f>
        <v>1</v>
      </c>
      <c r="M1224" s="6" t="n">
        <f aca="false">IF(ABS(H1224)&gt;$P$8,1,0)</f>
        <v>0</v>
      </c>
    </row>
    <row r="1225" customFormat="false" ht="15" hidden="false" customHeight="false" outlineLevel="0" collapsed="false">
      <c r="A1225" s="0" t="n">
        <f aca="false">ROW()-1</f>
        <v>1224</v>
      </c>
      <c r="B1225" s="22" t="n">
        <f aca="false">SUMPRODUCT(MMULT('Analysis Data'!N1225:U1225,'Final Model'!$B$59:$I$66),'Analysis Data'!N1225:U1225)</f>
        <v>0.00203116851707333</v>
      </c>
      <c r="C1225" s="15" t="n">
        <f aca="false">'Residual Diagnostics'!F1225</f>
        <v>-7.87825987118603</v>
      </c>
      <c r="D1225" s="13" t="n">
        <f aca="false">C1225/('Final Model'!$B$21*SQRT(1-B1225))</f>
        <v>-0.160839243690827</v>
      </c>
      <c r="E1225" s="13" t="n">
        <f aca="false">D1225*SQRT(('Final Model'!$B$24-1)/('Final Model'!$B$24-D1225^2))</f>
        <v>-0.160782382626616</v>
      </c>
      <c r="F1225" s="23" t="n">
        <f aca="false">D1225^2/($P$3+1)*B1225/(1-B1225)</f>
        <v>6.58147197443174E-006</v>
      </c>
      <c r="G1225" s="13" t="n">
        <f aca="false">($P$2-1)*(B1225-1/$P$2)</f>
        <v>1.81388989686806</v>
      </c>
      <c r="H1225" s="13" t="n">
        <f aca="false">E1225*SQRT(B1225/(1-B1225))</f>
        <v>-0.00725358909059865</v>
      </c>
      <c r="I1225" s="13" t="n">
        <f aca="false">ABS(D1225)</f>
        <v>0.160839243690827</v>
      </c>
      <c r="J1225" s="6" t="n">
        <f aca="false">IF(B1225&gt;$P$4,1,0)</f>
        <v>0</v>
      </c>
      <c r="K1225" s="6" t="n">
        <f aca="false">IF(F1225&gt;$P$6,1,0)</f>
        <v>0</v>
      </c>
      <c r="L1225" s="6" t="n">
        <f aca="false">IF(G1225&gt;$P$9,1,0)</f>
        <v>0</v>
      </c>
      <c r="M1225" s="6" t="n">
        <f aca="false">IF(ABS(H1225)&gt;$P$8,1,0)</f>
        <v>0</v>
      </c>
    </row>
    <row r="1226" customFormat="false" ht="15" hidden="false" customHeight="false" outlineLevel="0" collapsed="false">
      <c r="A1226" s="0" t="n">
        <f aca="false">ROW()-1</f>
        <v>1225</v>
      </c>
      <c r="B1226" s="22" t="n">
        <f aca="false">SUMPRODUCT(MMULT('Analysis Data'!N1226:U1226,'Final Model'!$B$59:$I$66),'Analysis Data'!N1226:U1226)</f>
        <v>0.00205380331268844</v>
      </c>
      <c r="C1226" s="15" t="n">
        <f aca="false">'Residual Diagnostics'!F1226</f>
        <v>-55.5719972323446</v>
      </c>
      <c r="D1226" s="13" t="n">
        <f aca="false">C1226/('Final Model'!$B$21*SQRT(1-B1226))</f>
        <v>-1.13454741474426</v>
      </c>
      <c r="E1226" s="13" t="n">
        <f aca="false">D1226*SQRT(('Final Model'!$B$24-1)/('Final Model'!$B$24-D1226^2))</f>
        <v>-1.13466574827414</v>
      </c>
      <c r="F1226" s="23" t="n">
        <f aca="false">D1226^2/($P$3+1)*B1226/(1-B1226)</f>
        <v>0.000331136486748969</v>
      </c>
      <c r="G1226" s="13" t="n">
        <f aca="false">($P$2-1)*(B1226-1/$P$2)</f>
        <v>1.84523908879499</v>
      </c>
      <c r="H1226" s="13" t="n">
        <f aca="false">E1226*SQRT(B1226/(1-B1226))</f>
        <v>-0.0514746979056143</v>
      </c>
      <c r="I1226" s="13" t="n">
        <f aca="false">ABS(D1226)</f>
        <v>1.13454741474426</v>
      </c>
      <c r="J1226" s="6" t="n">
        <f aca="false">IF(B1226&gt;$P$4,1,0)</f>
        <v>0</v>
      </c>
      <c r="K1226" s="6" t="n">
        <f aca="false">IF(F1226&gt;$P$6,1,0)</f>
        <v>0</v>
      </c>
      <c r="L1226" s="6" t="n">
        <f aca="false">IF(G1226&gt;$P$9,1,0)</f>
        <v>0</v>
      </c>
      <c r="M1226" s="6" t="n">
        <f aca="false">IF(ABS(H1226)&gt;$P$8,1,0)</f>
        <v>0</v>
      </c>
    </row>
    <row r="1227" customFormat="false" ht="15" hidden="false" customHeight="false" outlineLevel="0" collapsed="false">
      <c r="A1227" s="0" t="n">
        <f aca="false">ROW()-1</f>
        <v>1226</v>
      </c>
      <c r="B1227" s="22" t="n">
        <f aca="false">SUMPRODUCT(MMULT('Analysis Data'!N1227:U1227,'Final Model'!$B$59:$I$66),'Analysis Data'!N1227:U1227)</f>
        <v>0.00200506503351653</v>
      </c>
      <c r="C1227" s="15" t="n">
        <f aca="false">'Residual Diagnostics'!F1227</f>
        <v>-25.9066494588541</v>
      </c>
      <c r="D1227" s="13" t="n">
        <f aca="false">C1227/('Final Model'!$B$21*SQRT(1-B1227))</f>
        <v>-0.528892354398108</v>
      </c>
      <c r="E1227" s="13" t="n">
        <f aca="false">D1227*SQRT(('Final Model'!$B$24-1)/('Final Model'!$B$24-D1227^2))</f>
        <v>-0.528754083724341</v>
      </c>
      <c r="F1227" s="23" t="n">
        <f aca="false">D1227^2/($P$3+1)*B1227/(1-B1227)</f>
        <v>7.02497393375467E-005</v>
      </c>
      <c r="G1227" s="13" t="n">
        <f aca="false">($P$2-1)*(B1227-1/$P$2)</f>
        <v>1.77773657214189</v>
      </c>
      <c r="H1227" s="13" t="n">
        <f aca="false">E1227*SQRT(B1227/(1-B1227))</f>
        <v>-0.0237002975065158</v>
      </c>
      <c r="I1227" s="13" t="n">
        <f aca="false">ABS(D1227)</f>
        <v>0.528892354398108</v>
      </c>
      <c r="J1227" s="6" t="n">
        <f aca="false">IF(B1227&gt;$P$4,1,0)</f>
        <v>0</v>
      </c>
      <c r="K1227" s="6" t="n">
        <f aca="false">IF(F1227&gt;$P$6,1,0)</f>
        <v>0</v>
      </c>
      <c r="L1227" s="6" t="n">
        <f aca="false">IF(G1227&gt;$P$9,1,0)</f>
        <v>0</v>
      </c>
      <c r="M1227" s="6" t="n">
        <f aca="false">IF(ABS(H1227)&gt;$P$8,1,0)</f>
        <v>0</v>
      </c>
    </row>
    <row r="1228" customFormat="false" ht="15" hidden="false" customHeight="false" outlineLevel="0" collapsed="false">
      <c r="A1228" s="0" t="n">
        <f aca="false">ROW()-1</f>
        <v>1227</v>
      </c>
      <c r="B1228" s="22" t="n">
        <f aca="false">SUMPRODUCT(MMULT('Analysis Data'!N1228:U1228,'Final Model'!$B$59:$I$66),'Analysis Data'!N1228:U1228)</f>
        <v>0.0019546643148014</v>
      </c>
      <c r="C1228" s="15" t="n">
        <f aca="false">'Residual Diagnostics'!F1228</f>
        <v>12.6129587727212</v>
      </c>
      <c r="D1228" s="13" t="n">
        <f aca="false">C1228/('Final Model'!$B$21*SQRT(1-B1228))</f>
        <v>0.257490997878573</v>
      </c>
      <c r="E1228" s="13" t="n">
        <f aca="false">D1228*SQRT(('Final Model'!$B$24-1)/('Final Model'!$B$24-D1228^2))</f>
        <v>0.257403744162867</v>
      </c>
      <c r="F1228" s="23" t="n">
        <f aca="false">D1228^2/($P$3+1)*B1228/(1-B1228)</f>
        <v>1.62314018015137E-005</v>
      </c>
      <c r="G1228" s="13" t="n">
        <f aca="false">($P$2-1)*(B1228-1/$P$2)</f>
        <v>1.70793157672144</v>
      </c>
      <c r="H1228" s="13" t="n">
        <f aca="false">E1228*SQRT(B1228/(1-B1228))</f>
        <v>0.0113913663025387</v>
      </c>
      <c r="I1228" s="13" t="n">
        <f aca="false">ABS(D1228)</f>
        <v>0.257490997878573</v>
      </c>
      <c r="J1228" s="6" t="n">
        <f aca="false">IF(B1228&gt;$P$4,1,0)</f>
        <v>0</v>
      </c>
      <c r="K1228" s="6" t="n">
        <f aca="false">IF(F1228&gt;$P$6,1,0)</f>
        <v>0</v>
      </c>
      <c r="L1228" s="6" t="n">
        <f aca="false">IF(G1228&gt;$P$9,1,0)</f>
        <v>0</v>
      </c>
      <c r="M1228" s="6" t="n">
        <f aca="false">IF(ABS(H1228)&gt;$P$8,1,0)</f>
        <v>0</v>
      </c>
    </row>
    <row r="1229" customFormat="false" ht="15" hidden="false" customHeight="false" outlineLevel="0" collapsed="false">
      <c r="A1229" s="0" t="n">
        <f aca="false">ROW()-1</f>
        <v>1228</v>
      </c>
      <c r="B1229" s="22" t="n">
        <f aca="false">SUMPRODUCT(MMULT('Analysis Data'!N1229:U1229,'Final Model'!$B$59:$I$66),'Analysis Data'!N1229:U1229)</f>
        <v>0.00193746992792095</v>
      </c>
      <c r="C1229" s="15" t="n">
        <f aca="false">'Residual Diagnostics'!F1229</f>
        <v>-52.6797555845811</v>
      </c>
      <c r="D1229" s="13" t="n">
        <f aca="false">C1229/('Final Model'!$B$21*SQRT(1-B1229))</f>
        <v>-1.075437273192</v>
      </c>
      <c r="E1229" s="13" t="n">
        <f aca="false">D1229*SQRT(('Final Model'!$B$24-1)/('Final Model'!$B$24-D1229^2))</f>
        <v>-1.07549841718245</v>
      </c>
      <c r="F1229" s="23" t="n">
        <f aca="false">D1229^2/($P$3+1)*B1229/(1-B1229)</f>
        <v>0.000280645059335586</v>
      </c>
      <c r="G1229" s="13" t="n">
        <f aca="false">($P$2-1)*(B1229-1/$P$2)</f>
        <v>1.68411735089202</v>
      </c>
      <c r="H1229" s="13" t="n">
        <f aca="false">E1229*SQRT(B1229/(1-B1229))</f>
        <v>-0.0473858183337339</v>
      </c>
      <c r="I1229" s="13" t="n">
        <f aca="false">ABS(D1229)</f>
        <v>1.075437273192</v>
      </c>
      <c r="J1229" s="6" t="n">
        <f aca="false">IF(B1229&gt;$P$4,1,0)</f>
        <v>0</v>
      </c>
      <c r="K1229" s="6" t="n">
        <f aca="false">IF(F1229&gt;$P$6,1,0)</f>
        <v>0</v>
      </c>
      <c r="L1229" s="6" t="n">
        <f aca="false">IF(G1229&gt;$P$9,1,0)</f>
        <v>0</v>
      </c>
      <c r="M1229" s="6" t="n">
        <f aca="false">IF(ABS(H1229)&gt;$P$8,1,0)</f>
        <v>0</v>
      </c>
    </row>
    <row r="1230" customFormat="false" ht="15" hidden="false" customHeight="false" outlineLevel="0" collapsed="false">
      <c r="A1230" s="0" t="n">
        <f aca="false">ROW()-1</f>
        <v>1229</v>
      </c>
      <c r="B1230" s="22" t="n">
        <f aca="false">SUMPRODUCT(MMULT('Analysis Data'!N1230:U1230,'Final Model'!$B$59:$I$66),'Analysis Data'!N1230:U1230)</f>
        <v>0.00200205585840842</v>
      </c>
      <c r="C1230" s="15" t="n">
        <f aca="false">'Residual Diagnostics'!F1230</f>
        <v>45.5016644395226</v>
      </c>
      <c r="D1230" s="13" t="n">
        <f aca="false">C1230/('Final Model'!$B$21*SQRT(1-B1230))</f>
        <v>0.928929315671777</v>
      </c>
      <c r="E1230" s="13" t="n">
        <f aca="false">D1230*SQRT(('Final Model'!$B$24-1)/('Final Model'!$B$24-D1230^2))</f>
        <v>0.928883078302422</v>
      </c>
      <c r="F1230" s="23" t="n">
        <f aca="false">D1230^2/($P$3+1)*B1230/(1-B1230)</f>
        <v>0.000216382380504655</v>
      </c>
      <c r="G1230" s="13" t="n">
        <f aca="false">($P$2-1)*(B1230-1/$P$2)</f>
        <v>1.77356886461717</v>
      </c>
      <c r="H1230" s="13" t="n">
        <f aca="false">E1230*SQRT(B1230/(1-B1230))</f>
        <v>0.0416039267584644</v>
      </c>
      <c r="I1230" s="13" t="n">
        <f aca="false">ABS(D1230)</f>
        <v>0.928929315671777</v>
      </c>
      <c r="J1230" s="6" t="n">
        <f aca="false">IF(B1230&gt;$P$4,1,0)</f>
        <v>0</v>
      </c>
      <c r="K1230" s="6" t="n">
        <f aca="false">IF(F1230&gt;$P$6,1,0)</f>
        <v>0</v>
      </c>
      <c r="L1230" s="6" t="n">
        <f aca="false">IF(G1230&gt;$P$9,1,0)</f>
        <v>0</v>
      </c>
      <c r="M1230" s="6" t="n">
        <f aca="false">IF(ABS(H1230)&gt;$P$8,1,0)</f>
        <v>0</v>
      </c>
    </row>
    <row r="1231" customFormat="false" ht="15" hidden="false" customHeight="false" outlineLevel="0" collapsed="false">
      <c r="A1231" s="0" t="n">
        <f aca="false">ROW()-1</f>
        <v>1230</v>
      </c>
      <c r="B1231" s="22" t="n">
        <f aca="false">SUMPRODUCT(MMULT('Analysis Data'!N1231:U1231,'Final Model'!$B$59:$I$66),'Analysis Data'!N1231:U1231)</f>
        <v>0.0132239645248865</v>
      </c>
      <c r="C1231" s="15" t="n">
        <f aca="false">'Residual Diagnostics'!F1231</f>
        <v>4.72501923315144</v>
      </c>
      <c r="D1231" s="13" t="n">
        <f aca="false">C1231/('Final Model'!$B$21*SQRT(1-B1231))</f>
        <v>0.0970095505612093</v>
      </c>
      <c r="E1231" s="13" t="n">
        <f aca="false">D1231*SQRT(('Final Model'!$B$24-1)/('Final Model'!$B$24-D1231^2))</f>
        <v>0.0969746759092925</v>
      </c>
      <c r="F1231" s="23" t="n">
        <f aca="false">D1231^2/($P$3+1)*B1231/(1-B1231)</f>
        <v>1.57645682031291E-005</v>
      </c>
      <c r="G1231" s="13" t="n">
        <f aca="false">($P$2-1)*(B1231-1/$P$2)</f>
        <v>17.3159123676893</v>
      </c>
      <c r="H1231" s="13" t="n">
        <f aca="false">E1231*SQRT(B1231/(1-B1231))</f>
        <v>0.0112261251044049</v>
      </c>
      <c r="I1231" s="13" t="n">
        <f aca="false">ABS(D1231)</f>
        <v>0.0970095505612093</v>
      </c>
      <c r="J1231" s="6" t="n">
        <f aca="false">IF(B1231&gt;$P$4,1,0)</f>
        <v>1</v>
      </c>
      <c r="K1231" s="6" t="n">
        <f aca="false">IF(F1231&gt;$P$6,1,0)</f>
        <v>0</v>
      </c>
      <c r="L1231" s="6" t="n">
        <f aca="false">IF(G1231&gt;$P$9,1,0)</f>
        <v>1</v>
      </c>
      <c r="M1231" s="6" t="n">
        <f aca="false">IF(ABS(H1231)&gt;$P$8,1,0)</f>
        <v>0</v>
      </c>
    </row>
    <row r="1232" customFormat="false" ht="15" hidden="false" customHeight="false" outlineLevel="0" collapsed="false">
      <c r="A1232" s="0" t="n">
        <f aca="false">ROW()-1</f>
        <v>1231</v>
      </c>
      <c r="B1232" s="22" t="n">
        <f aca="false">SUMPRODUCT(MMULT('Analysis Data'!N1232:U1232,'Final Model'!$B$59:$I$66),'Analysis Data'!N1232:U1232)</f>
        <v>0.00517322495937969</v>
      </c>
      <c r="C1232" s="15" t="n">
        <f aca="false">'Residual Diagnostics'!F1232</f>
        <v>46.3088376392241</v>
      </c>
      <c r="D1232" s="13" t="n">
        <f aca="false">C1232/('Final Model'!$B$21*SQRT(1-B1232))</f>
        <v>0.946913604762117</v>
      </c>
      <c r="E1232" s="13" t="n">
        <f aca="false">D1232*SQRT(('Final Model'!$B$24-1)/('Final Model'!$B$24-D1232^2))</f>
        <v>0.946878070124619</v>
      </c>
      <c r="F1232" s="23" t="n">
        <f aca="false">D1232^2/($P$3+1)*B1232/(1-B1232)</f>
        <v>0.000582833658763196</v>
      </c>
      <c r="G1232" s="13" t="n">
        <f aca="false">($P$2-1)*(B1232-1/$P$2)</f>
        <v>6.16563806946237</v>
      </c>
      <c r="H1232" s="13" t="n">
        <f aca="false">E1232*SQRT(B1232/(1-B1232))</f>
        <v>0.0682811784209759</v>
      </c>
      <c r="I1232" s="13" t="n">
        <f aca="false">ABS(D1232)</f>
        <v>0.946913604762117</v>
      </c>
      <c r="J1232" s="6" t="n">
        <f aca="false">IF(B1232&gt;$P$4,1,0)</f>
        <v>0</v>
      </c>
      <c r="K1232" s="6" t="n">
        <f aca="false">IF(F1232&gt;$P$6,1,0)</f>
        <v>0</v>
      </c>
      <c r="L1232" s="6" t="n">
        <f aca="false">IF(G1232&gt;$P$9,1,0)</f>
        <v>0</v>
      </c>
      <c r="M1232" s="6" t="n">
        <f aca="false">IF(ABS(H1232)&gt;$P$8,1,0)</f>
        <v>0</v>
      </c>
    </row>
    <row r="1233" customFormat="false" ht="15" hidden="false" customHeight="false" outlineLevel="0" collapsed="false">
      <c r="A1233" s="0" t="n">
        <f aca="false">ROW()-1</f>
        <v>1232</v>
      </c>
      <c r="B1233" s="22" t="n">
        <f aca="false">SUMPRODUCT(MMULT('Analysis Data'!N1233:U1233,'Final Model'!$B$59:$I$66),'Analysis Data'!N1233:U1233)</f>
        <v>0.00508818350266886</v>
      </c>
      <c r="C1233" s="15" t="n">
        <f aca="false">'Residual Diagnostics'!F1233</f>
        <v>72.6788093084471</v>
      </c>
      <c r="D1233" s="13" t="n">
        <f aca="false">C1233/('Final Model'!$B$21*SQRT(1-B1233))</f>
        <v>1.48605785616142</v>
      </c>
      <c r="E1233" s="13" t="n">
        <f aca="false">D1233*SQRT(('Final Model'!$B$24-1)/('Final Model'!$B$24-D1233^2))</f>
        <v>1.48671032072221</v>
      </c>
      <c r="F1233" s="23" t="n">
        <f aca="false">D1233^2/($P$3+1)*B1233/(1-B1233)</f>
        <v>0.00141175594587258</v>
      </c>
      <c r="G1233" s="13" t="n">
        <f aca="false">($P$2-1)*(B1233-1/$P$2)</f>
        <v>6.04785565191787</v>
      </c>
      <c r="H1233" s="13" t="n">
        <f aca="false">E1233*SQRT(B1233/(1-B1233))</f>
        <v>0.106320116687178</v>
      </c>
      <c r="I1233" s="13" t="n">
        <f aca="false">ABS(D1233)</f>
        <v>1.48605785616142</v>
      </c>
      <c r="J1233" s="6" t="n">
        <f aca="false">IF(B1233&gt;$P$4,1,0)</f>
        <v>0</v>
      </c>
      <c r="K1233" s="6" t="n">
        <f aca="false">IF(F1233&gt;$P$6,1,0)</f>
        <v>0</v>
      </c>
      <c r="L1233" s="6" t="n">
        <f aca="false">IF(G1233&gt;$P$9,1,0)</f>
        <v>0</v>
      </c>
      <c r="M1233" s="6" t="n">
        <f aca="false">IF(ABS(H1233)&gt;$P$8,1,0)</f>
        <v>0</v>
      </c>
    </row>
    <row r="1234" customFormat="false" ht="15" hidden="false" customHeight="false" outlineLevel="0" collapsed="false">
      <c r="A1234" s="0" t="n">
        <f aca="false">ROW()-1</f>
        <v>1233</v>
      </c>
      <c r="B1234" s="22" t="n">
        <f aca="false">SUMPRODUCT(MMULT('Analysis Data'!N1234:U1234,'Final Model'!$B$59:$I$66),'Analysis Data'!N1234:U1234)</f>
        <v>0.0111662873624969</v>
      </c>
      <c r="C1234" s="15" t="n">
        <f aca="false">'Residual Diagnostics'!F1234</f>
        <v>-45.9298678620449</v>
      </c>
      <c r="D1234" s="13" t="n">
        <f aca="false">C1234/('Final Model'!$B$21*SQRT(1-B1234))</f>
        <v>-0.942006224518162</v>
      </c>
      <c r="E1234" s="13" t="n">
        <f aca="false">D1234*SQRT(('Final Model'!$B$24-1)/('Final Model'!$B$24-D1234^2))</f>
        <v>-0.941967703727077</v>
      </c>
      <c r="F1234" s="23" t="n">
        <f aca="false">D1234^2/($P$3+1)*B1234/(1-B1234)</f>
        <v>0.00125257313741142</v>
      </c>
      <c r="G1234" s="13" t="n">
        <f aca="false">($P$2-1)*(B1234-1/$P$2)</f>
        <v>14.4660294977797</v>
      </c>
      <c r="H1234" s="13" t="n">
        <f aca="false">E1234*SQRT(B1234/(1-B1234))</f>
        <v>-0.100098779146987</v>
      </c>
      <c r="I1234" s="13" t="n">
        <f aca="false">ABS(D1234)</f>
        <v>0.942006224518162</v>
      </c>
      <c r="J1234" s="6" t="n">
        <f aca="false">IF(B1234&gt;$P$4,1,0)</f>
        <v>0</v>
      </c>
      <c r="K1234" s="6" t="n">
        <f aca="false">IF(F1234&gt;$P$6,1,0)</f>
        <v>0</v>
      </c>
      <c r="L1234" s="6" t="n">
        <f aca="false">IF(G1234&gt;$P$9,1,0)</f>
        <v>1</v>
      </c>
      <c r="M1234" s="6" t="n">
        <f aca="false">IF(ABS(H1234)&gt;$P$8,1,0)</f>
        <v>0</v>
      </c>
    </row>
    <row r="1235" customFormat="false" ht="15" hidden="false" customHeight="false" outlineLevel="0" collapsed="false">
      <c r="A1235" s="0" t="n">
        <f aca="false">ROW()-1</f>
        <v>1234</v>
      </c>
      <c r="B1235" s="22" t="n">
        <f aca="false">SUMPRODUCT(MMULT('Analysis Data'!N1235:U1235,'Final Model'!$B$59:$I$66),'Analysis Data'!N1235:U1235)</f>
        <v>0.00998951663754137</v>
      </c>
      <c r="C1235" s="15" t="n">
        <f aca="false">'Residual Diagnostics'!F1235</f>
        <v>12.1499361683286</v>
      </c>
      <c r="D1235" s="13" t="n">
        <f aca="false">C1235/('Final Model'!$B$21*SQRT(1-B1235))</f>
        <v>0.249042982292044</v>
      </c>
      <c r="E1235" s="13" t="n">
        <f aca="false">D1235*SQRT(('Final Model'!$B$24-1)/('Final Model'!$B$24-D1235^2))</f>
        <v>0.248958204708662</v>
      </c>
      <c r="F1235" s="23" t="n">
        <f aca="false">D1235^2/($P$3+1)*B1235/(1-B1235)</f>
        <v>7.82281952221605E-005</v>
      </c>
      <c r="G1235" s="13" t="n">
        <f aca="false">($P$2-1)*(B1235-1/$P$2)</f>
        <v>12.8362020437163</v>
      </c>
      <c r="H1235" s="13" t="n">
        <f aca="false">E1235*SQRT(B1235/(1-B1235))</f>
        <v>0.0250079898314246</v>
      </c>
      <c r="I1235" s="13" t="n">
        <f aca="false">ABS(D1235)</f>
        <v>0.249042982292044</v>
      </c>
      <c r="J1235" s="6" t="n">
        <f aca="false">IF(B1235&gt;$P$4,1,0)</f>
        <v>0</v>
      </c>
      <c r="K1235" s="6" t="n">
        <f aca="false">IF(F1235&gt;$P$6,1,0)</f>
        <v>0</v>
      </c>
      <c r="L1235" s="6" t="n">
        <f aca="false">IF(G1235&gt;$P$9,1,0)</f>
        <v>1</v>
      </c>
      <c r="M1235" s="6" t="n">
        <f aca="false">IF(ABS(H1235)&gt;$P$8,1,0)</f>
        <v>0</v>
      </c>
    </row>
    <row r="1236" customFormat="false" ht="15" hidden="false" customHeight="false" outlineLevel="0" collapsed="false">
      <c r="A1236" s="0" t="n">
        <f aca="false">ROW()-1</f>
        <v>1235</v>
      </c>
      <c r="B1236" s="22" t="n">
        <f aca="false">SUMPRODUCT(MMULT('Analysis Data'!N1236:U1236,'Final Model'!$B$59:$I$66),'Analysis Data'!N1236:U1236)</f>
        <v>0.00199746805078955</v>
      </c>
      <c r="C1236" s="15" t="n">
        <f aca="false">'Residual Diagnostics'!F1236</f>
        <v>2.61906697912499</v>
      </c>
      <c r="D1236" s="13" t="n">
        <f aca="false">C1236/('Final Model'!$B$21*SQRT(1-B1236))</f>
        <v>0.0534688683261542</v>
      </c>
      <c r="E1236" s="13" t="n">
        <f aca="false">D1236*SQRT(('Final Model'!$B$24-1)/('Final Model'!$B$24-D1236^2))</f>
        <v>0.0534495193550647</v>
      </c>
      <c r="F1236" s="23" t="n">
        <f aca="false">D1236^2/($P$3+1)*B1236/(1-B1236)</f>
        <v>7.15253836715308E-007</v>
      </c>
      <c r="G1236" s="13" t="n">
        <f aca="false">($P$2-1)*(B1236-1/$P$2)</f>
        <v>1.76721475106502</v>
      </c>
      <c r="H1236" s="13" t="n">
        <f aca="false">E1236*SQRT(B1236/(1-B1236))</f>
        <v>0.00239121101944404</v>
      </c>
      <c r="I1236" s="13" t="n">
        <f aca="false">ABS(D1236)</f>
        <v>0.0534688683261542</v>
      </c>
      <c r="J1236" s="6" t="n">
        <f aca="false">IF(B1236&gt;$P$4,1,0)</f>
        <v>0</v>
      </c>
      <c r="K1236" s="6" t="n">
        <f aca="false">IF(F1236&gt;$P$6,1,0)</f>
        <v>0</v>
      </c>
      <c r="L1236" s="6" t="n">
        <f aca="false">IF(G1236&gt;$P$9,1,0)</f>
        <v>0</v>
      </c>
      <c r="M1236" s="6" t="n">
        <f aca="false">IF(ABS(H1236)&gt;$P$8,1,0)</f>
        <v>0</v>
      </c>
    </row>
    <row r="1237" customFormat="false" ht="15" hidden="false" customHeight="false" outlineLevel="0" collapsed="false">
      <c r="A1237" s="0" t="n">
        <f aca="false">ROW()-1</f>
        <v>1236</v>
      </c>
      <c r="B1237" s="22" t="n">
        <f aca="false">SUMPRODUCT(MMULT('Analysis Data'!N1237:U1237,'Final Model'!$B$59:$I$66),'Analysis Data'!N1237:U1237)</f>
        <v>0.00205380331268844</v>
      </c>
      <c r="C1237" s="15" t="n">
        <f aca="false">'Residual Diagnostics'!F1237</f>
        <v>10.9738868110863</v>
      </c>
      <c r="D1237" s="13" t="n">
        <f aca="false">C1237/('Final Model'!$B$21*SQRT(1-B1237))</f>
        <v>0.224040803485242</v>
      </c>
      <c r="E1237" s="13" t="n">
        <f aca="false">D1237*SQRT(('Final Model'!$B$24-1)/('Final Model'!$B$24-D1237^2))</f>
        <v>0.223963575738115</v>
      </c>
      <c r="F1237" s="23" t="n">
        <f aca="false">D1237^2/($P$3+1)*B1237/(1-B1237)</f>
        <v>1.29126678152017E-005</v>
      </c>
      <c r="G1237" s="13" t="n">
        <f aca="false">($P$2-1)*(B1237-1/$P$2)</f>
        <v>1.84523908879499</v>
      </c>
      <c r="H1237" s="13" t="n">
        <f aca="false">E1237*SQRT(B1237/(1-B1237))</f>
        <v>0.0101602233261344</v>
      </c>
      <c r="I1237" s="13" t="n">
        <f aca="false">ABS(D1237)</f>
        <v>0.224040803485242</v>
      </c>
      <c r="J1237" s="6" t="n">
        <f aca="false">IF(B1237&gt;$P$4,1,0)</f>
        <v>0</v>
      </c>
      <c r="K1237" s="6" t="n">
        <f aca="false">IF(F1237&gt;$P$6,1,0)</f>
        <v>0</v>
      </c>
      <c r="L1237" s="6" t="n">
        <f aca="false">IF(G1237&gt;$P$9,1,0)</f>
        <v>0</v>
      </c>
      <c r="M1237" s="6" t="n">
        <f aca="false">IF(ABS(H1237)&gt;$P$8,1,0)</f>
        <v>0</v>
      </c>
    </row>
    <row r="1238" customFormat="false" ht="15" hidden="false" customHeight="false" outlineLevel="0" collapsed="false">
      <c r="A1238" s="0" t="n">
        <f aca="false">ROW()-1</f>
        <v>1237</v>
      </c>
      <c r="B1238" s="22" t="n">
        <f aca="false">SUMPRODUCT(MMULT('Analysis Data'!N1238:U1238,'Final Model'!$B$59:$I$66),'Analysis Data'!N1238:U1238)</f>
        <v>0.00205380331268844</v>
      </c>
      <c r="C1238" s="15" t="n">
        <f aca="false">'Residual Diagnostics'!F1238</f>
        <v>8.47318305671655</v>
      </c>
      <c r="D1238" s="13" t="n">
        <f aca="false">C1238/('Final Model'!$B$21*SQRT(1-B1238))</f>
        <v>0.172986907263024</v>
      </c>
      <c r="E1238" s="13" t="n">
        <f aca="false">D1238*SQRT(('Final Model'!$B$24-1)/('Final Model'!$B$24-D1238^2))</f>
        <v>0.172926006118193</v>
      </c>
      <c r="F1238" s="23" t="n">
        <f aca="false">D1238^2/($P$3+1)*B1238/(1-B1238)</f>
        <v>7.69818252650469E-006</v>
      </c>
      <c r="G1238" s="13" t="n">
        <f aca="false">($P$2-1)*(B1238-1/$P$2)</f>
        <v>1.84523908879499</v>
      </c>
      <c r="H1238" s="13" t="n">
        <f aca="false">E1238*SQRT(B1238/(1-B1238))</f>
        <v>0.007844877611312</v>
      </c>
      <c r="I1238" s="13" t="n">
        <f aca="false">ABS(D1238)</f>
        <v>0.172986907263024</v>
      </c>
      <c r="J1238" s="6" t="n">
        <f aca="false">IF(B1238&gt;$P$4,1,0)</f>
        <v>0</v>
      </c>
      <c r="K1238" s="6" t="n">
        <f aca="false">IF(F1238&gt;$P$6,1,0)</f>
        <v>0</v>
      </c>
      <c r="L1238" s="6" t="n">
        <f aca="false">IF(G1238&gt;$P$9,1,0)</f>
        <v>0</v>
      </c>
      <c r="M1238" s="6" t="n">
        <f aca="false">IF(ABS(H1238)&gt;$P$8,1,0)</f>
        <v>0</v>
      </c>
    </row>
    <row r="1239" customFormat="false" ht="15" hidden="false" customHeight="false" outlineLevel="0" collapsed="false">
      <c r="A1239" s="0" t="n">
        <f aca="false">ROW()-1</f>
        <v>1238</v>
      </c>
      <c r="B1239" s="22" t="n">
        <f aca="false">SUMPRODUCT(MMULT('Analysis Data'!N1239:U1239,'Final Model'!$B$59:$I$66),'Analysis Data'!N1239:U1239)</f>
        <v>0.00205241854144025</v>
      </c>
      <c r="C1239" s="15" t="n">
        <f aca="false">'Residual Diagnostics'!F1239</f>
        <v>97.4106784353439</v>
      </c>
      <c r="D1239" s="13" t="n">
        <f aca="false">C1239/('Final Model'!$B$21*SQRT(1-B1239))</f>
        <v>1.98871665971316</v>
      </c>
      <c r="E1239" s="13" t="n">
        <f aca="false">D1239*SQRT(('Final Model'!$B$24-1)/('Final Model'!$B$24-D1239^2))</f>
        <v>1.99085395853544</v>
      </c>
      <c r="F1239" s="23" t="n">
        <f aca="false">D1239^2/($P$3+1)*B1239/(1-B1239)</f>
        <v>0.00101674966081119</v>
      </c>
      <c r="G1239" s="13" t="n">
        <f aca="false">($P$2-1)*(B1239-1/$P$2)</f>
        <v>1.84332118061625</v>
      </c>
      <c r="H1239" s="13" t="n">
        <f aca="false">E1239*SQRT(B1239/(1-B1239))</f>
        <v>0.0902856029487286</v>
      </c>
      <c r="I1239" s="13" t="n">
        <f aca="false">ABS(D1239)</f>
        <v>1.98871665971316</v>
      </c>
      <c r="J1239" s="6" t="n">
        <f aca="false">IF(B1239&gt;$P$4,1,0)</f>
        <v>0</v>
      </c>
      <c r="K1239" s="6" t="n">
        <f aca="false">IF(F1239&gt;$P$6,1,0)</f>
        <v>0</v>
      </c>
      <c r="L1239" s="6" t="n">
        <f aca="false">IF(G1239&gt;$P$9,1,0)</f>
        <v>0</v>
      </c>
      <c r="M1239" s="6" t="n">
        <f aca="false">IF(ABS(H1239)&gt;$P$8,1,0)</f>
        <v>0</v>
      </c>
    </row>
    <row r="1240" customFormat="false" ht="15" hidden="false" customHeight="false" outlineLevel="0" collapsed="false">
      <c r="A1240" s="0" t="n">
        <f aca="false">ROW()-1</f>
        <v>1239</v>
      </c>
      <c r="B1240" s="22" t="n">
        <f aca="false">SUMPRODUCT(MMULT('Analysis Data'!N1240:U1240,'Final Model'!$B$59:$I$66),'Analysis Data'!N1240:U1240)</f>
        <v>0.00198592046708543</v>
      </c>
      <c r="C1240" s="15" t="n">
        <f aca="false">'Residual Diagnostics'!F1240</f>
        <v>15.0781476023908</v>
      </c>
      <c r="D1240" s="13" t="n">
        <f aca="false">C1240/('Final Model'!$B$21*SQRT(1-B1240))</f>
        <v>0.307822148500544</v>
      </c>
      <c r="E1240" s="13" t="n">
        <f aca="false">D1240*SQRT(('Final Model'!$B$24-1)/('Final Model'!$B$24-D1240^2))</f>
        <v>0.307721016581122</v>
      </c>
      <c r="F1240" s="23" t="n">
        <f aca="false">D1240^2/($P$3+1)*B1240/(1-B1240)</f>
        <v>2.35686619210788E-005</v>
      </c>
      <c r="G1240" s="13" t="n">
        <f aca="false">($P$2-1)*(B1240-1/$P$2)</f>
        <v>1.75122134763482</v>
      </c>
      <c r="H1240" s="13" t="n">
        <f aca="false">E1240*SQRT(B1240/(1-B1240))</f>
        <v>0.0137268140408363</v>
      </c>
      <c r="I1240" s="13" t="n">
        <f aca="false">ABS(D1240)</f>
        <v>0.307822148500544</v>
      </c>
      <c r="J1240" s="6" t="n">
        <f aca="false">IF(B1240&gt;$P$4,1,0)</f>
        <v>0</v>
      </c>
      <c r="K1240" s="6" t="n">
        <f aca="false">IF(F1240&gt;$P$6,1,0)</f>
        <v>0</v>
      </c>
      <c r="L1240" s="6" t="n">
        <f aca="false">IF(G1240&gt;$P$9,1,0)</f>
        <v>0</v>
      </c>
      <c r="M1240" s="6" t="n">
        <f aca="false">IF(ABS(H1240)&gt;$P$8,1,0)</f>
        <v>0</v>
      </c>
    </row>
    <row r="1241" customFormat="false" ht="15" hidden="false" customHeight="false" outlineLevel="0" collapsed="false">
      <c r="A1241" s="0" t="n">
        <f aca="false">ROW()-1</f>
        <v>1240</v>
      </c>
      <c r="B1241" s="22" t="n">
        <f aca="false">SUMPRODUCT(MMULT('Analysis Data'!N1241:U1241,'Final Model'!$B$59:$I$66),'Analysis Data'!N1241:U1241)</f>
        <v>0.0130284144908729</v>
      </c>
      <c r="C1241" s="15" t="n">
        <f aca="false">'Residual Diagnostics'!F1241</f>
        <v>-19.8792255596926</v>
      </c>
      <c r="D1241" s="13" t="n">
        <f aca="false">C1241/('Final Model'!$B$21*SQRT(1-B1241))</f>
        <v>-0.408100705365422</v>
      </c>
      <c r="E1241" s="13" t="n">
        <f aca="false">D1241*SQRT(('Final Model'!$B$24-1)/('Final Model'!$B$24-D1241^2))</f>
        <v>-0.407977256286403</v>
      </c>
      <c r="F1241" s="23" t="n">
        <f aca="false">D1241^2/($P$3+1)*B1241/(1-B1241)</f>
        <v>0.00027480942350427</v>
      </c>
      <c r="G1241" s="13" t="n">
        <f aca="false">($P$2-1)*(B1241-1/$P$2)</f>
        <v>17.0450755705805</v>
      </c>
      <c r="H1241" s="13" t="n">
        <f aca="false">E1241*SQRT(B1241/(1-B1241))</f>
        <v>-0.0468737189319281</v>
      </c>
      <c r="I1241" s="13" t="n">
        <f aca="false">ABS(D1241)</f>
        <v>0.408100705365422</v>
      </c>
      <c r="J1241" s="6" t="n">
        <f aca="false">IF(B1241&gt;$P$4,1,0)</f>
        <v>1</v>
      </c>
      <c r="K1241" s="6" t="n">
        <f aca="false">IF(F1241&gt;$P$6,1,0)</f>
        <v>0</v>
      </c>
      <c r="L1241" s="6" t="n">
        <f aca="false">IF(G1241&gt;$P$9,1,0)</f>
        <v>1</v>
      </c>
      <c r="M1241" s="6" t="n">
        <f aca="false">IF(ABS(H1241)&gt;$P$8,1,0)</f>
        <v>0</v>
      </c>
    </row>
    <row r="1242" customFormat="false" ht="15" hidden="false" customHeight="false" outlineLevel="0" collapsed="false">
      <c r="A1242" s="0" t="n">
        <f aca="false">ROW()-1</f>
        <v>1241</v>
      </c>
      <c r="B1242" s="22" t="n">
        <f aca="false">SUMPRODUCT(MMULT('Analysis Data'!N1242:U1242,'Final Model'!$B$59:$I$66),'Analysis Data'!N1242:U1242)</f>
        <v>0.00527146324939233</v>
      </c>
      <c r="C1242" s="15" t="n">
        <f aca="false">'Residual Diagnostics'!F1242</f>
        <v>-11.1319588841259</v>
      </c>
      <c r="D1242" s="13" t="n">
        <f aca="false">C1242/('Final Model'!$B$21*SQRT(1-B1242))</f>
        <v>-0.227635249522349</v>
      </c>
      <c r="E1242" s="13" t="n">
        <f aca="false">D1242*SQRT(('Final Model'!$B$24-1)/('Final Model'!$B$24-D1242^2))</f>
        <v>-0.227556916811381</v>
      </c>
      <c r="F1242" s="23" t="n">
        <f aca="false">D1242^2/($P$3+1)*B1242/(1-B1242)</f>
        <v>3.43254031440239E-005</v>
      </c>
      <c r="G1242" s="13" t="n">
        <f aca="false">($P$2-1)*(B1242-1/$P$2)</f>
        <v>6.30169810112988</v>
      </c>
      <c r="H1242" s="13" t="n">
        <f aca="false">E1242*SQRT(B1242/(1-B1242))</f>
        <v>-0.0165654540376849</v>
      </c>
      <c r="I1242" s="13" t="n">
        <f aca="false">ABS(D1242)</f>
        <v>0.227635249522349</v>
      </c>
      <c r="J1242" s="6" t="n">
        <f aca="false">IF(B1242&gt;$P$4,1,0)</f>
        <v>0</v>
      </c>
      <c r="K1242" s="6" t="n">
        <f aca="false">IF(F1242&gt;$P$6,1,0)</f>
        <v>0</v>
      </c>
      <c r="L1242" s="6" t="n">
        <f aca="false">IF(G1242&gt;$P$9,1,0)</f>
        <v>0</v>
      </c>
      <c r="M1242" s="6" t="n">
        <f aca="false">IF(ABS(H1242)&gt;$P$8,1,0)</f>
        <v>0</v>
      </c>
    </row>
    <row r="1243" customFormat="false" ht="15" hidden="false" customHeight="false" outlineLevel="0" collapsed="false">
      <c r="A1243" s="0" t="n">
        <f aca="false">ROW()-1</f>
        <v>1242</v>
      </c>
      <c r="B1243" s="22" t="n">
        <f aca="false">SUMPRODUCT(MMULT('Analysis Data'!N1243:U1243,'Final Model'!$B$59:$I$66),'Analysis Data'!N1243:U1243)</f>
        <v>0.00511733271663028</v>
      </c>
      <c r="C1243" s="15" t="n">
        <f aca="false">'Residual Diagnostics'!F1243</f>
        <v>18.7374043869851</v>
      </c>
      <c r="D1243" s="13" t="n">
        <f aca="false">C1243/('Final Model'!$B$21*SQRT(1-B1243))</f>
        <v>0.383127835620173</v>
      </c>
      <c r="E1243" s="13" t="n">
        <f aca="false">D1243*SQRT(('Final Model'!$B$24-1)/('Final Model'!$B$24-D1243^2))</f>
        <v>0.383009194428409</v>
      </c>
      <c r="F1243" s="23" t="n">
        <f aca="false">D1243^2/($P$3+1)*B1243/(1-B1243)</f>
        <v>9.43776621967879E-005</v>
      </c>
      <c r="G1243" s="13" t="n">
        <f aca="false">($P$2-1)*(B1243-1/$P$2)</f>
        <v>6.08822731325444</v>
      </c>
      <c r="H1243" s="13" t="n">
        <f aca="false">E1243*SQRT(B1243/(1-B1243))</f>
        <v>0.0274691420140373</v>
      </c>
      <c r="I1243" s="13" t="n">
        <f aca="false">ABS(D1243)</f>
        <v>0.383127835620173</v>
      </c>
      <c r="J1243" s="6" t="n">
        <f aca="false">IF(B1243&gt;$P$4,1,0)</f>
        <v>0</v>
      </c>
      <c r="K1243" s="6" t="n">
        <f aca="false">IF(F1243&gt;$P$6,1,0)</f>
        <v>0</v>
      </c>
      <c r="L1243" s="6" t="n">
        <f aca="false">IF(G1243&gt;$P$9,1,0)</f>
        <v>0</v>
      </c>
      <c r="M1243" s="6" t="n">
        <f aca="false">IF(ABS(H1243)&gt;$P$8,1,0)</f>
        <v>0</v>
      </c>
    </row>
    <row r="1244" customFormat="false" ht="15" hidden="false" customHeight="false" outlineLevel="0" collapsed="false">
      <c r="A1244" s="0" t="n">
        <f aca="false">ROW()-1</f>
        <v>1243</v>
      </c>
      <c r="B1244" s="22" t="n">
        <f aca="false">SUMPRODUCT(MMULT('Analysis Data'!N1244:U1244,'Final Model'!$B$59:$I$66),'Analysis Data'!N1244:U1244)</f>
        <v>0.00508512727011762</v>
      </c>
      <c r="C1244" s="15" t="n">
        <f aca="false">'Residual Diagnostics'!F1244</f>
        <v>-6.39125119629199</v>
      </c>
      <c r="D1244" s="13" t="n">
        <f aca="false">C1244/('Final Model'!$B$21*SQRT(1-B1244))</f>
        <v>-0.130681206164986</v>
      </c>
      <c r="E1244" s="13" t="n">
        <f aca="false">D1244*SQRT(('Final Model'!$B$24-1)/('Final Model'!$B$24-D1244^2))</f>
        <v>-0.13063459005686</v>
      </c>
      <c r="F1244" s="23" t="n">
        <f aca="false">D1244^2/($P$3+1)*B1244/(1-B1244)</f>
        <v>1.09106892168721E-005</v>
      </c>
      <c r="G1244" s="13" t="n">
        <f aca="false">($P$2-1)*(B1244-1/$P$2)</f>
        <v>6.04362276983441</v>
      </c>
      <c r="H1244" s="13" t="n">
        <f aca="false">E1244*SQRT(B1244/(1-B1244))</f>
        <v>-0.00933933897670065</v>
      </c>
      <c r="I1244" s="13" t="n">
        <f aca="false">ABS(D1244)</f>
        <v>0.130681206164986</v>
      </c>
      <c r="J1244" s="6" t="n">
        <f aca="false">IF(B1244&gt;$P$4,1,0)</f>
        <v>0</v>
      </c>
      <c r="K1244" s="6" t="n">
        <f aca="false">IF(F1244&gt;$P$6,1,0)</f>
        <v>0</v>
      </c>
      <c r="L1244" s="6" t="n">
        <f aca="false">IF(G1244&gt;$P$9,1,0)</f>
        <v>0</v>
      </c>
      <c r="M1244" s="6" t="n">
        <f aca="false">IF(ABS(H1244)&gt;$P$8,1,0)</f>
        <v>0</v>
      </c>
    </row>
    <row r="1245" customFormat="false" ht="15" hidden="false" customHeight="false" outlineLevel="0" collapsed="false">
      <c r="A1245" s="0" t="n">
        <f aca="false">ROW()-1</f>
        <v>1244</v>
      </c>
      <c r="B1245" s="22" t="n">
        <f aca="false">SUMPRODUCT(MMULT('Analysis Data'!N1245:U1245,'Final Model'!$B$59:$I$66),'Analysis Data'!N1245:U1245)</f>
        <v>0.010439990301252</v>
      </c>
      <c r="C1245" s="15" t="n">
        <f aca="false">'Residual Diagnostics'!F1245</f>
        <v>-35.0083911752059</v>
      </c>
      <c r="D1245" s="13" t="n">
        <f aca="false">C1245/('Final Model'!$B$21*SQRT(1-B1245))</f>
        <v>-0.717746847657547</v>
      </c>
      <c r="E1245" s="13" t="n">
        <f aca="false">D1245*SQRT(('Final Model'!$B$24-1)/('Final Model'!$B$24-D1245^2))</f>
        <v>-0.717620522266353</v>
      </c>
      <c r="F1245" s="23" t="n">
        <f aca="false">D1245^2/($P$3+1)*B1245/(1-B1245)</f>
        <v>0.000679376561365691</v>
      </c>
      <c r="G1245" s="13" t="n">
        <f aca="false">($P$2-1)*(B1245-1/$P$2)</f>
        <v>13.4601080679556</v>
      </c>
      <c r="H1245" s="13" t="n">
        <f aca="false">E1245*SQRT(B1245/(1-B1245))</f>
        <v>-0.0737095618316732</v>
      </c>
      <c r="I1245" s="13" t="n">
        <f aca="false">ABS(D1245)</f>
        <v>0.717746847657547</v>
      </c>
      <c r="J1245" s="6" t="n">
        <f aca="false">IF(B1245&gt;$P$4,1,0)</f>
        <v>0</v>
      </c>
      <c r="K1245" s="6" t="n">
        <f aca="false">IF(F1245&gt;$P$6,1,0)</f>
        <v>0</v>
      </c>
      <c r="L1245" s="6" t="n">
        <f aca="false">IF(G1245&gt;$P$9,1,0)</f>
        <v>1</v>
      </c>
      <c r="M1245" s="6" t="n">
        <f aca="false">IF(ABS(H1245)&gt;$P$8,1,0)</f>
        <v>0</v>
      </c>
    </row>
    <row r="1246" customFormat="false" ht="15" hidden="false" customHeight="false" outlineLevel="0" collapsed="false">
      <c r="A1246" s="0" t="n">
        <f aca="false">ROW()-1</f>
        <v>1245</v>
      </c>
      <c r="B1246" s="22" t="n">
        <f aca="false">SUMPRODUCT(MMULT('Analysis Data'!N1246:U1246,'Final Model'!$B$59:$I$66),'Analysis Data'!N1246:U1246)</f>
        <v>0.0101395812288308</v>
      </c>
      <c r="C1246" s="15" t="n">
        <f aca="false">'Residual Diagnostics'!F1246</f>
        <v>-22.2711536309346</v>
      </c>
      <c r="D1246" s="13" t="n">
        <f aca="false">C1246/('Final Model'!$B$21*SQRT(1-B1246))</f>
        <v>-0.456536960707227</v>
      </c>
      <c r="E1246" s="13" t="n">
        <f aca="false">D1246*SQRT(('Final Model'!$B$24-1)/('Final Model'!$B$24-D1246^2))</f>
        <v>-0.456405796198305</v>
      </c>
      <c r="F1246" s="23" t="n">
        <f aca="false">D1246^2/($P$3+1)*B1246/(1-B1246)</f>
        <v>0.000266875041363417</v>
      </c>
      <c r="G1246" s="13" t="n">
        <f aca="false">($P$2-1)*(B1246-1/$P$2)</f>
        <v>13.0440415026521</v>
      </c>
      <c r="H1246" s="13" t="n">
        <f aca="false">E1246*SQRT(B1246/(1-B1246))</f>
        <v>-0.0461927886414899</v>
      </c>
      <c r="I1246" s="13" t="n">
        <f aca="false">ABS(D1246)</f>
        <v>0.456536960707227</v>
      </c>
      <c r="J1246" s="6" t="n">
        <f aca="false">IF(B1246&gt;$P$4,1,0)</f>
        <v>0</v>
      </c>
      <c r="K1246" s="6" t="n">
        <f aca="false">IF(F1246&gt;$P$6,1,0)</f>
        <v>0</v>
      </c>
      <c r="L1246" s="6" t="n">
        <f aca="false">IF(G1246&gt;$P$9,1,0)</f>
        <v>1</v>
      </c>
      <c r="M1246" s="6" t="n">
        <f aca="false">IF(ABS(H1246)&gt;$P$8,1,0)</f>
        <v>0</v>
      </c>
    </row>
    <row r="1247" customFormat="false" ht="15" hidden="false" customHeight="false" outlineLevel="0" collapsed="false">
      <c r="A1247" s="0" t="n">
        <f aca="false">ROW()-1</f>
        <v>1246</v>
      </c>
      <c r="B1247" s="22" t="n">
        <f aca="false">SUMPRODUCT(MMULT('Analysis Data'!N1247:U1247,'Final Model'!$B$59:$I$66),'Analysis Data'!N1247:U1247)</f>
        <v>0.00240593839032671</v>
      </c>
      <c r="C1247" s="15" t="n">
        <f aca="false">'Residual Diagnostics'!F1247</f>
        <v>56.1106914127716</v>
      </c>
      <c r="D1247" s="13" t="n">
        <f aca="false">C1247/('Final Model'!$B$21*SQRT(1-B1247))</f>
        <v>1.14574745546946</v>
      </c>
      <c r="E1247" s="13" t="n">
        <f aca="false">D1247*SQRT(('Final Model'!$B$24-1)/('Final Model'!$B$24-D1247^2))</f>
        <v>1.14587758580117</v>
      </c>
      <c r="F1247" s="23" t="n">
        <f aca="false">D1247^2/($P$3+1)*B1247/(1-B1247)</f>
        <v>0.000395747757496862</v>
      </c>
      <c r="G1247" s="13" t="n">
        <f aca="false">($P$2-1)*(B1247-1/$P$2)</f>
        <v>2.33294617132399</v>
      </c>
      <c r="H1247" s="13" t="n">
        <f aca="false">E1247*SQRT(B1247/(1-B1247))</f>
        <v>0.05627345080097</v>
      </c>
      <c r="I1247" s="13" t="n">
        <f aca="false">ABS(D1247)</f>
        <v>1.14574745546946</v>
      </c>
      <c r="J1247" s="6" t="n">
        <f aca="false">IF(B1247&gt;$P$4,1,0)</f>
        <v>0</v>
      </c>
      <c r="K1247" s="6" t="n">
        <f aca="false">IF(F1247&gt;$P$6,1,0)</f>
        <v>0</v>
      </c>
      <c r="L1247" s="6" t="n">
        <f aca="false">IF(G1247&gt;$P$9,1,0)</f>
        <v>0</v>
      </c>
      <c r="M1247" s="6" t="n">
        <f aca="false">IF(ABS(H1247)&gt;$P$8,1,0)</f>
        <v>0</v>
      </c>
    </row>
    <row r="1248" customFormat="false" ht="15" hidden="false" customHeight="false" outlineLevel="0" collapsed="false">
      <c r="A1248" s="0" t="n">
        <f aca="false">ROW()-1</f>
        <v>1247</v>
      </c>
      <c r="B1248" s="22" t="n">
        <f aca="false">SUMPRODUCT(MMULT('Analysis Data'!N1248:U1248,'Final Model'!$B$59:$I$66),'Analysis Data'!N1248:U1248)</f>
        <v>0.0024985845466702</v>
      </c>
      <c r="C1248" s="15" t="n">
        <f aca="false">'Residual Diagnostics'!F1248</f>
        <v>45.1051989024031</v>
      </c>
      <c r="D1248" s="13" t="n">
        <f aca="false">C1248/('Final Model'!$B$21*SQRT(1-B1248))</f>
        <v>0.921064514594666</v>
      </c>
      <c r="E1248" s="13" t="n">
        <f aca="false">D1248*SQRT(('Final Model'!$B$24-1)/('Final Model'!$B$24-D1248^2))</f>
        <v>0.921013803325375</v>
      </c>
      <c r="F1248" s="23" t="n">
        <f aca="false">D1248^2/($P$3+1)*B1248/(1-B1248)</f>
        <v>0.00026562603740642</v>
      </c>
      <c r="G1248" s="13" t="n">
        <f aca="false">($P$2-1)*(B1248-1/$P$2)</f>
        <v>2.46126109785972</v>
      </c>
      <c r="H1248" s="13" t="n">
        <f aca="false">E1248*SQRT(B1248/(1-B1248))</f>
        <v>0.0460952742861181</v>
      </c>
      <c r="I1248" s="13" t="n">
        <f aca="false">ABS(D1248)</f>
        <v>0.921064514594666</v>
      </c>
      <c r="J1248" s="6" t="n">
        <f aca="false">IF(B1248&gt;$P$4,1,0)</f>
        <v>0</v>
      </c>
      <c r="K1248" s="6" t="n">
        <f aca="false">IF(F1248&gt;$P$6,1,0)</f>
        <v>0</v>
      </c>
      <c r="L1248" s="6" t="n">
        <f aca="false">IF(G1248&gt;$P$9,1,0)</f>
        <v>0</v>
      </c>
      <c r="M1248" s="6" t="n">
        <f aca="false">IF(ABS(H1248)&gt;$P$8,1,0)</f>
        <v>0</v>
      </c>
    </row>
    <row r="1249" customFormat="false" ht="15" hidden="false" customHeight="false" outlineLevel="0" collapsed="false">
      <c r="A1249" s="0" t="n">
        <f aca="false">ROW()-1</f>
        <v>1248</v>
      </c>
      <c r="B1249" s="22" t="n">
        <f aca="false">SUMPRODUCT(MMULT('Analysis Data'!N1249:U1249,'Final Model'!$B$59:$I$66),'Analysis Data'!N1249:U1249)</f>
        <v>0.0024985845466702</v>
      </c>
      <c r="C1249" s="15" t="n">
        <f aca="false">'Residual Diagnostics'!F1249</f>
        <v>-25.227778839969</v>
      </c>
      <c r="D1249" s="13" t="n">
        <f aca="false">C1249/('Final Model'!$B$21*SQRT(1-B1249))</f>
        <v>-0.515160390309234</v>
      </c>
      <c r="E1249" s="13" t="n">
        <f aca="false">D1249*SQRT(('Final Model'!$B$24-1)/('Final Model'!$B$24-D1249^2))</f>
        <v>-0.515023029922777</v>
      </c>
      <c r="F1249" s="23" t="n">
        <f aca="false">D1249^2/($P$3+1)*B1249/(1-B1249)</f>
        <v>8.30951103934015E-005</v>
      </c>
      <c r="G1249" s="13" t="n">
        <f aca="false">($P$2-1)*(B1249-1/$P$2)</f>
        <v>2.46126109785972</v>
      </c>
      <c r="H1249" s="13" t="n">
        <f aca="false">E1249*SQRT(B1249/(1-B1249))</f>
        <v>-0.0257760825540756</v>
      </c>
      <c r="I1249" s="13" t="n">
        <f aca="false">ABS(D1249)</f>
        <v>0.515160390309234</v>
      </c>
      <c r="J1249" s="6" t="n">
        <f aca="false">IF(B1249&gt;$P$4,1,0)</f>
        <v>0</v>
      </c>
      <c r="K1249" s="6" t="n">
        <f aca="false">IF(F1249&gt;$P$6,1,0)</f>
        <v>0</v>
      </c>
      <c r="L1249" s="6" t="n">
        <f aca="false">IF(G1249&gt;$P$9,1,0)</f>
        <v>0</v>
      </c>
      <c r="M1249" s="6" t="n">
        <f aca="false">IF(ABS(H1249)&gt;$P$8,1,0)</f>
        <v>0</v>
      </c>
    </row>
    <row r="1250" customFormat="false" ht="15" hidden="false" customHeight="false" outlineLevel="0" collapsed="false">
      <c r="A1250" s="0" t="n">
        <f aca="false">ROW()-1</f>
        <v>1249</v>
      </c>
      <c r="B1250" s="22" t="n">
        <f aca="false">SUMPRODUCT(MMULT('Analysis Data'!N1250:U1250,'Final Model'!$B$59:$I$66),'Analysis Data'!N1250:U1250)</f>
        <v>0.00207729789673231</v>
      </c>
      <c r="C1250" s="15" t="n">
        <f aca="false">'Residual Diagnostics'!F1250</f>
        <v>-33.0146398342753</v>
      </c>
      <c r="D1250" s="13" t="n">
        <f aca="false">C1250/('Final Model'!$B$21*SQRT(1-B1250))</f>
        <v>-0.674028594724111</v>
      </c>
      <c r="E1250" s="13" t="n">
        <f aca="false">D1250*SQRT(('Final Model'!$B$24-1)/('Final Model'!$B$24-D1250^2))</f>
        <v>-0.673895080447499</v>
      </c>
      <c r="F1250" s="23" t="n">
        <f aca="false">D1250^2/($P$3+1)*B1250/(1-B1250)</f>
        <v>0.000118213896968451</v>
      </c>
      <c r="G1250" s="13" t="n">
        <f aca="false">($P$2-1)*(B1250-1/$P$2)</f>
        <v>1.87777908769575</v>
      </c>
      <c r="H1250" s="13" t="n">
        <f aca="false">E1250*SQRT(B1250/(1-B1250))</f>
        <v>-0.0307463258351238</v>
      </c>
      <c r="I1250" s="13" t="n">
        <f aca="false">ABS(D1250)</f>
        <v>0.674028594724111</v>
      </c>
      <c r="J1250" s="6" t="n">
        <f aca="false">IF(B1250&gt;$P$4,1,0)</f>
        <v>0</v>
      </c>
      <c r="K1250" s="6" t="n">
        <f aca="false">IF(F1250&gt;$P$6,1,0)</f>
        <v>0</v>
      </c>
      <c r="L1250" s="6" t="n">
        <f aca="false">IF(G1250&gt;$P$9,1,0)</f>
        <v>0</v>
      </c>
      <c r="M1250" s="6" t="n">
        <f aca="false">IF(ABS(H1250)&gt;$P$8,1,0)</f>
        <v>0</v>
      </c>
    </row>
    <row r="1251" customFormat="false" ht="15" hidden="false" customHeight="false" outlineLevel="0" collapsed="false">
      <c r="A1251" s="0" t="n">
        <f aca="false">ROW()-1</f>
        <v>1250</v>
      </c>
      <c r="B1251" s="22" t="n">
        <f aca="false">SUMPRODUCT(MMULT('Analysis Data'!N1251:U1251,'Final Model'!$B$59:$I$66),'Analysis Data'!N1251:U1251)</f>
        <v>0.0020911329797351</v>
      </c>
      <c r="C1251" s="15" t="n">
        <f aca="false">'Residual Diagnostics'!F1251</f>
        <v>28.6772586738678</v>
      </c>
      <c r="D1251" s="13" t="n">
        <f aca="false">C1251/('Final Model'!$B$21*SQRT(1-B1251))</f>
        <v>0.585480455108007</v>
      </c>
      <c r="E1251" s="13" t="n">
        <f aca="false">D1251*SQRT(('Final Model'!$B$24-1)/('Final Model'!$B$24-D1251^2))</f>
        <v>0.585340786454739</v>
      </c>
      <c r="F1251" s="23" t="n">
        <f aca="false">D1251^2/($P$3+1)*B1251/(1-B1251)</f>
        <v>8.9789506856679E-005</v>
      </c>
      <c r="G1251" s="13" t="n">
        <f aca="false">($P$2-1)*(B1251-1/$P$2)</f>
        <v>1.89694067765462</v>
      </c>
      <c r="H1251" s="13" t="n">
        <f aca="false">E1251*SQRT(B1251/(1-B1251))</f>
        <v>0.0267950253129331</v>
      </c>
      <c r="I1251" s="13" t="n">
        <f aca="false">ABS(D1251)</f>
        <v>0.585480455108007</v>
      </c>
      <c r="J1251" s="6" t="n">
        <f aca="false">IF(B1251&gt;$P$4,1,0)</f>
        <v>0</v>
      </c>
      <c r="K1251" s="6" t="n">
        <f aca="false">IF(F1251&gt;$P$6,1,0)</f>
        <v>0</v>
      </c>
      <c r="L1251" s="6" t="n">
        <f aca="false">IF(G1251&gt;$P$9,1,0)</f>
        <v>0</v>
      </c>
      <c r="M1251" s="6" t="n">
        <f aca="false">IF(ABS(H1251)&gt;$P$8,1,0)</f>
        <v>0</v>
      </c>
    </row>
    <row r="1252" customFormat="false" ht="15" hidden="false" customHeight="false" outlineLevel="0" collapsed="false">
      <c r="A1252" s="0" t="n">
        <f aca="false">ROW()-1</f>
        <v>1251</v>
      </c>
      <c r="B1252" s="22" t="n">
        <f aca="false">SUMPRODUCT(MMULT('Analysis Data'!N1252:U1252,'Final Model'!$B$59:$I$66),'Analysis Data'!N1252:U1252)</f>
        <v>0.0131177288517327</v>
      </c>
      <c r="C1252" s="15" t="n">
        <f aca="false">'Residual Diagnostics'!F1252</f>
        <v>62.152746572837</v>
      </c>
      <c r="D1252" s="13" t="n">
        <f aca="false">C1252/('Final Model'!$B$21*SQRT(1-B1252))</f>
        <v>1.27599173224046</v>
      </c>
      <c r="E1252" s="13" t="n">
        <f aca="false">D1252*SQRT(('Final Model'!$B$24-1)/('Final Model'!$B$24-D1252^2))</f>
        <v>1.27628287050852</v>
      </c>
      <c r="F1252" s="23" t="n">
        <f aca="false">D1252^2/($P$3+1)*B1252/(1-B1252)</f>
        <v>0.00270519786668115</v>
      </c>
      <c r="G1252" s="13" t="n">
        <f aca="false">($P$2-1)*(B1252-1/$P$2)</f>
        <v>17.1687759603713</v>
      </c>
      <c r="H1252" s="13" t="n">
        <f aca="false">E1252*SQRT(B1252/(1-B1252))</f>
        <v>0.147144350276902</v>
      </c>
      <c r="I1252" s="13" t="n">
        <f aca="false">ABS(D1252)</f>
        <v>1.27599173224046</v>
      </c>
      <c r="J1252" s="6" t="n">
        <f aca="false">IF(B1252&gt;$P$4,1,0)</f>
        <v>1</v>
      </c>
      <c r="K1252" s="6" t="n">
        <f aca="false">IF(F1252&gt;$P$6,1,0)</f>
        <v>0</v>
      </c>
      <c r="L1252" s="6" t="n">
        <f aca="false">IF(G1252&gt;$P$9,1,0)</f>
        <v>1</v>
      </c>
      <c r="M1252" s="6" t="n">
        <f aca="false">IF(ABS(H1252)&gt;$P$8,1,0)</f>
        <v>0</v>
      </c>
    </row>
    <row r="1253" customFormat="false" ht="15" hidden="false" customHeight="false" outlineLevel="0" collapsed="false">
      <c r="A1253" s="0" t="n">
        <f aca="false">ROW()-1</f>
        <v>1252</v>
      </c>
      <c r="B1253" s="22" t="n">
        <f aca="false">SUMPRODUCT(MMULT('Analysis Data'!N1253:U1253,'Final Model'!$B$59:$I$66),'Analysis Data'!N1253:U1253)</f>
        <v>0.00508292514174558</v>
      </c>
      <c r="C1253" s="15" t="n">
        <f aca="false">'Residual Diagnostics'!F1253</f>
        <v>-39.9533170210977</v>
      </c>
      <c r="D1253" s="13" t="n">
        <f aca="false">C1253/('Final Model'!$B$21*SQRT(1-B1253))</f>
        <v>-0.816920149132346</v>
      </c>
      <c r="E1253" s="13" t="n">
        <f aca="false">D1253*SQRT(('Final Model'!$B$24-1)/('Final Model'!$B$24-D1253^2))</f>
        <v>-0.816821495430184</v>
      </c>
      <c r="F1253" s="23" t="n">
        <f aca="false">D1253^2/($P$3+1)*B1253/(1-B1253)</f>
        <v>0.000426182937341231</v>
      </c>
      <c r="G1253" s="13" t="n">
        <f aca="false">($P$2-1)*(B1253-1/$P$2)</f>
        <v>6.04057282203913</v>
      </c>
      <c r="H1253" s="13" t="n">
        <f aca="false">E1253*SQRT(B1253/(1-B1253))</f>
        <v>-0.0583835599684264</v>
      </c>
      <c r="I1253" s="13" t="n">
        <f aca="false">ABS(D1253)</f>
        <v>0.816920149132346</v>
      </c>
      <c r="J1253" s="6" t="n">
        <f aca="false">IF(B1253&gt;$P$4,1,0)</f>
        <v>0</v>
      </c>
      <c r="K1253" s="6" t="n">
        <f aca="false">IF(F1253&gt;$P$6,1,0)</f>
        <v>0</v>
      </c>
      <c r="L1253" s="6" t="n">
        <f aca="false">IF(G1253&gt;$P$9,1,0)</f>
        <v>0</v>
      </c>
      <c r="M1253" s="6" t="n">
        <f aca="false">IF(ABS(H1253)&gt;$P$8,1,0)</f>
        <v>0</v>
      </c>
    </row>
    <row r="1254" customFormat="false" ht="15" hidden="false" customHeight="false" outlineLevel="0" collapsed="false">
      <c r="A1254" s="0" t="n">
        <f aca="false">ROW()-1</f>
        <v>1253</v>
      </c>
      <c r="B1254" s="22" t="n">
        <f aca="false">SUMPRODUCT(MMULT('Analysis Data'!N1254:U1254,'Final Model'!$B$59:$I$66),'Analysis Data'!N1254:U1254)</f>
        <v>0.00576464249514762</v>
      </c>
      <c r="C1254" s="15" t="n">
        <f aca="false">'Residual Diagnostics'!F1254</f>
        <v>-76.4730798917644</v>
      </c>
      <c r="D1254" s="13" t="n">
        <f aca="false">C1254/('Final Model'!$B$21*SQRT(1-B1254))</f>
        <v>-1.5641708509894</v>
      </c>
      <c r="E1254" s="13" t="n">
        <f aca="false">D1254*SQRT(('Final Model'!$B$24-1)/('Final Model'!$B$24-D1254^2))</f>
        <v>-1.56499313190623</v>
      </c>
      <c r="F1254" s="23" t="n">
        <f aca="false">D1254^2/($P$3+1)*B1254/(1-B1254)</f>
        <v>0.00177321568803911</v>
      </c>
      <c r="G1254" s="13" t="n">
        <f aca="false">($P$2-1)*(B1254-1/$P$2)</f>
        <v>6.98475135650096</v>
      </c>
      <c r="H1254" s="13" t="n">
        <f aca="false">E1254*SQRT(B1254/(1-B1254))</f>
        <v>-0.119166455973749</v>
      </c>
      <c r="I1254" s="13" t="n">
        <f aca="false">ABS(D1254)</f>
        <v>1.5641708509894</v>
      </c>
      <c r="J1254" s="6" t="n">
        <f aca="false">IF(B1254&gt;$P$4,1,0)</f>
        <v>0</v>
      </c>
      <c r="K1254" s="6" t="n">
        <f aca="false">IF(F1254&gt;$P$6,1,0)</f>
        <v>0</v>
      </c>
      <c r="L1254" s="6" t="n">
        <f aca="false">IF(G1254&gt;$P$9,1,0)</f>
        <v>0</v>
      </c>
      <c r="M1254" s="6" t="n">
        <f aca="false">IF(ABS(H1254)&gt;$P$8,1,0)</f>
        <v>0</v>
      </c>
    </row>
    <row r="1255" customFormat="false" ht="15" hidden="false" customHeight="false" outlineLevel="0" collapsed="false">
      <c r="A1255" s="0" t="n">
        <f aca="false">ROW()-1</f>
        <v>1254</v>
      </c>
      <c r="B1255" s="22" t="n">
        <f aca="false">SUMPRODUCT(MMULT('Analysis Data'!N1255:U1255,'Final Model'!$B$59:$I$66),'Analysis Data'!N1255:U1255)</f>
        <v>0.00619747222614934</v>
      </c>
      <c r="C1255" s="15" t="n">
        <f aca="false">'Residual Diagnostics'!F1255</f>
        <v>-56.346551762725</v>
      </c>
      <c r="D1255" s="13" t="n">
        <f aca="false">C1255/('Final Model'!$B$21*SQRT(1-B1255))</f>
        <v>-1.1527562988796</v>
      </c>
      <c r="E1255" s="13" t="n">
        <f aca="false">D1255*SQRT(('Final Model'!$B$24-1)/('Final Model'!$B$24-D1255^2))</f>
        <v>-1.15289397079645</v>
      </c>
      <c r="F1255" s="23" t="n">
        <f aca="false">D1255^2/($P$3+1)*B1255/(1-B1255)</f>
        <v>0.00103585630312501</v>
      </c>
      <c r="G1255" s="13" t="n">
        <f aca="false">($P$2-1)*(B1255-1/$P$2)</f>
        <v>7.58422053393833</v>
      </c>
      <c r="H1255" s="13" t="n">
        <f aca="false">E1255*SQRT(B1255/(1-B1255))</f>
        <v>-0.0910430113455777</v>
      </c>
      <c r="I1255" s="13" t="n">
        <f aca="false">ABS(D1255)</f>
        <v>1.1527562988796</v>
      </c>
      <c r="J1255" s="6" t="n">
        <f aca="false">IF(B1255&gt;$P$4,1,0)</f>
        <v>0</v>
      </c>
      <c r="K1255" s="6" t="n">
        <f aca="false">IF(F1255&gt;$P$6,1,0)</f>
        <v>0</v>
      </c>
      <c r="L1255" s="6" t="n">
        <f aca="false">IF(G1255&gt;$P$9,1,0)</f>
        <v>0</v>
      </c>
      <c r="M1255" s="6" t="n">
        <f aca="false">IF(ABS(H1255)&gt;$P$8,1,0)</f>
        <v>0</v>
      </c>
    </row>
    <row r="1256" customFormat="false" ht="15" hidden="false" customHeight="false" outlineLevel="0" collapsed="false">
      <c r="A1256" s="0" t="n">
        <f aca="false">ROW()-1</f>
        <v>1255</v>
      </c>
      <c r="B1256" s="22" t="n">
        <f aca="false">SUMPRODUCT(MMULT('Analysis Data'!N1256:U1256,'Final Model'!$B$59:$I$66),'Analysis Data'!N1256:U1256)</f>
        <v>0.00555150350966354</v>
      </c>
      <c r="C1256" s="15" t="n">
        <f aca="false">'Residual Diagnostics'!F1256</f>
        <v>-35.207238715509</v>
      </c>
      <c r="D1256" s="13" t="n">
        <f aca="false">C1256/('Final Model'!$B$21*SQRT(1-B1256))</f>
        <v>-0.720047299589144</v>
      </c>
      <c r="E1256" s="13" t="n">
        <f aca="false">D1256*SQRT(('Final Model'!$B$24-1)/('Final Model'!$B$24-D1256^2))</f>
        <v>-0.71992143363984</v>
      </c>
      <c r="F1256" s="23" t="n">
        <f aca="false">D1256^2/($P$3+1)*B1256/(1-B1256)</f>
        <v>0.000361793190234394</v>
      </c>
      <c r="G1256" s="13" t="n">
        <f aca="false">($P$2-1)*(B1256-1/$P$2)</f>
        <v>6.68955386160551</v>
      </c>
      <c r="H1256" s="13" t="n">
        <f aca="false">E1256*SQRT(B1256/(1-B1256))</f>
        <v>-0.0537897177312088</v>
      </c>
      <c r="I1256" s="13" t="n">
        <f aca="false">ABS(D1256)</f>
        <v>0.720047299589144</v>
      </c>
      <c r="J1256" s="6" t="n">
        <f aca="false">IF(B1256&gt;$P$4,1,0)</f>
        <v>0</v>
      </c>
      <c r="K1256" s="6" t="n">
        <f aca="false">IF(F1256&gt;$P$6,1,0)</f>
        <v>0</v>
      </c>
      <c r="L1256" s="6" t="n">
        <f aca="false">IF(G1256&gt;$P$9,1,0)</f>
        <v>0</v>
      </c>
      <c r="M1256" s="6" t="n">
        <f aca="false">IF(ABS(H1256)&gt;$P$8,1,0)</f>
        <v>0</v>
      </c>
    </row>
    <row r="1257" customFormat="false" ht="15" hidden="false" customHeight="false" outlineLevel="0" collapsed="false">
      <c r="A1257" s="0" t="n">
        <f aca="false">ROW()-1</f>
        <v>1256</v>
      </c>
      <c r="B1257" s="22" t="n">
        <f aca="false">SUMPRODUCT(MMULT('Analysis Data'!N1257:U1257,'Final Model'!$B$59:$I$66),'Analysis Data'!N1257:U1257)</f>
        <v>0.0102749406638933</v>
      </c>
      <c r="C1257" s="15" t="n">
        <f aca="false">'Residual Diagnostics'!F1257</f>
        <v>-93.4374778357709</v>
      </c>
      <c r="D1257" s="13" t="n">
        <f aca="false">C1257/('Final Model'!$B$21*SQRT(1-B1257))</f>
        <v>-1.91550827520447</v>
      </c>
      <c r="E1257" s="13" t="n">
        <f aca="false">D1257*SQRT(('Final Model'!$B$24-1)/('Final Model'!$B$24-D1257^2))</f>
        <v>-1.9173674858056</v>
      </c>
      <c r="F1257" s="23" t="n">
        <f aca="false">D1257^2/($P$3+1)*B1257/(1-B1257)</f>
        <v>0.00476148953447514</v>
      </c>
      <c r="G1257" s="13" t="n">
        <f aca="false">($P$2-1)*(B1257-1/$P$2)</f>
        <v>13.2315143202137</v>
      </c>
      <c r="H1257" s="13" t="n">
        <f aca="false">E1257*SQRT(B1257/(1-B1257))</f>
        <v>-0.195360940098125</v>
      </c>
      <c r="I1257" s="13" t="n">
        <f aca="false">ABS(D1257)</f>
        <v>1.91550827520447</v>
      </c>
      <c r="J1257" s="6" t="n">
        <f aca="false">IF(B1257&gt;$P$4,1,0)</f>
        <v>0</v>
      </c>
      <c r="K1257" s="6" t="n">
        <f aca="false">IF(F1257&gt;$P$6,1,0)</f>
        <v>1</v>
      </c>
      <c r="L1257" s="6" t="n">
        <f aca="false">IF(G1257&gt;$P$9,1,0)</f>
        <v>1</v>
      </c>
      <c r="M1257" s="6" t="n">
        <f aca="false">IF(ABS(H1257)&gt;$P$8,1,0)</f>
        <v>1</v>
      </c>
    </row>
    <row r="1258" customFormat="false" ht="15" hidden="false" customHeight="false" outlineLevel="0" collapsed="false">
      <c r="A1258" s="0" t="n">
        <f aca="false">ROW()-1</f>
        <v>1257</v>
      </c>
      <c r="B1258" s="22" t="n">
        <f aca="false">SUMPRODUCT(MMULT('Analysis Data'!N1258:U1258,'Final Model'!$B$59:$I$66),'Analysis Data'!N1258:U1258)</f>
        <v>0.00998184656465487</v>
      </c>
      <c r="C1258" s="15" t="n">
        <f aca="false">'Residual Diagnostics'!F1258</f>
        <v>45.125363777478</v>
      </c>
      <c r="D1258" s="13" t="n">
        <f aca="false">C1258/('Final Model'!$B$21*SQRT(1-B1258))</f>
        <v>0.92495231934548</v>
      </c>
      <c r="E1258" s="13" t="n">
        <f aca="false">D1258*SQRT(('Final Model'!$B$24-1)/('Final Model'!$B$24-D1258^2))</f>
        <v>0.924903804071188</v>
      </c>
      <c r="F1258" s="23" t="n">
        <f aca="false">D1258^2/($P$3+1)*B1258/(1-B1258)</f>
        <v>0.00107824247579887</v>
      </c>
      <c r="G1258" s="13" t="n">
        <f aca="false">($P$2-1)*(B1258-1/$P$2)</f>
        <v>12.8255789927685</v>
      </c>
      <c r="H1258" s="13" t="n">
        <f aca="false">E1258*SQRT(B1258/(1-B1258))</f>
        <v>0.0928710662186577</v>
      </c>
      <c r="I1258" s="13" t="n">
        <f aca="false">ABS(D1258)</f>
        <v>0.92495231934548</v>
      </c>
      <c r="J1258" s="6" t="n">
        <f aca="false">IF(B1258&gt;$P$4,1,0)</f>
        <v>0</v>
      </c>
      <c r="K1258" s="6" t="n">
        <f aca="false">IF(F1258&gt;$P$6,1,0)</f>
        <v>0</v>
      </c>
      <c r="L1258" s="6" t="n">
        <f aca="false">IF(G1258&gt;$P$9,1,0)</f>
        <v>1</v>
      </c>
      <c r="M1258" s="6" t="n">
        <f aca="false">IF(ABS(H1258)&gt;$P$8,1,0)</f>
        <v>0</v>
      </c>
    </row>
    <row r="1259" customFormat="false" ht="15" hidden="false" customHeight="false" outlineLevel="0" collapsed="false">
      <c r="A1259" s="0" t="n">
        <f aca="false">ROW()-1</f>
        <v>1258</v>
      </c>
      <c r="B1259" s="22" t="n">
        <f aca="false">SUMPRODUCT(MMULT('Analysis Data'!N1259:U1259,'Final Model'!$B$59:$I$66),'Analysis Data'!N1259:U1259)</f>
        <v>0.00194798048031713</v>
      </c>
      <c r="C1259" s="15" t="n">
        <f aca="false">'Residual Diagnostics'!F1259</f>
        <v>-55.8711768477869</v>
      </c>
      <c r="D1259" s="13" t="n">
        <f aca="false">C1259/('Final Model'!$B$21*SQRT(1-B1259))</f>
        <v>-1.14059493625515</v>
      </c>
      <c r="E1259" s="13" t="n">
        <f aca="false">D1259*SQRT(('Final Model'!$B$24-1)/('Final Model'!$B$24-D1259^2))</f>
        <v>-1.14071960077618</v>
      </c>
      <c r="F1259" s="23" t="n">
        <f aca="false">D1259^2/($P$3+1)*B1259/(1-B1259)</f>
        <v>0.000317398093905126</v>
      </c>
      <c r="G1259" s="13" t="n">
        <f aca="false">($P$2-1)*(B1259-1/$P$2)</f>
        <v>1.69867446596072</v>
      </c>
      <c r="H1259" s="13" t="n">
        <f aca="false">E1259*SQRT(B1259/(1-B1259))</f>
        <v>-0.0503958315360038</v>
      </c>
      <c r="I1259" s="13" t="n">
        <f aca="false">ABS(D1259)</f>
        <v>1.14059493625515</v>
      </c>
      <c r="J1259" s="6" t="n">
        <f aca="false">IF(B1259&gt;$P$4,1,0)</f>
        <v>0</v>
      </c>
      <c r="K1259" s="6" t="n">
        <f aca="false">IF(F1259&gt;$P$6,1,0)</f>
        <v>0</v>
      </c>
      <c r="L1259" s="6" t="n">
        <f aca="false">IF(G1259&gt;$P$9,1,0)</f>
        <v>0</v>
      </c>
      <c r="M1259" s="6" t="n">
        <f aca="false">IF(ABS(H1259)&gt;$P$8,1,0)</f>
        <v>0</v>
      </c>
    </row>
    <row r="1260" customFormat="false" ht="15" hidden="false" customHeight="false" outlineLevel="0" collapsed="false">
      <c r="A1260" s="0" t="n">
        <f aca="false">ROW()-1</f>
        <v>1259</v>
      </c>
      <c r="B1260" s="22" t="n">
        <f aca="false">SUMPRODUCT(MMULT('Analysis Data'!N1260:U1260,'Final Model'!$B$59:$I$66),'Analysis Data'!N1260:U1260)</f>
        <v>0.00205380331268844</v>
      </c>
      <c r="C1260" s="15" t="n">
        <f aca="false">'Residual Diagnostics'!F1260</f>
        <v>-12.9412938463571</v>
      </c>
      <c r="D1260" s="13" t="n">
        <f aca="false">C1260/('Final Model'!$B$21*SQRT(1-B1260))</f>
        <v>-0.264207014468873</v>
      </c>
      <c r="E1260" s="13" t="n">
        <f aca="false">D1260*SQRT(('Final Model'!$B$24-1)/('Final Model'!$B$24-D1260^2))</f>
        <v>-0.264117820747741</v>
      </c>
      <c r="F1260" s="23" t="n">
        <f aca="false">D1260^2/($P$3+1)*B1260/(1-B1260)</f>
        <v>1.7957688043427E-005</v>
      </c>
      <c r="G1260" s="13" t="n">
        <f aca="false">($P$2-1)*(B1260-1/$P$2)</f>
        <v>1.84523908879499</v>
      </c>
      <c r="H1260" s="13" t="n">
        <f aca="false">E1260*SQRT(B1260/(1-B1260))</f>
        <v>-0.0119818413970441</v>
      </c>
      <c r="I1260" s="13" t="n">
        <f aca="false">ABS(D1260)</f>
        <v>0.264207014468873</v>
      </c>
      <c r="J1260" s="6" t="n">
        <f aca="false">IF(B1260&gt;$P$4,1,0)</f>
        <v>0</v>
      </c>
      <c r="K1260" s="6" t="n">
        <f aca="false">IF(F1260&gt;$P$6,1,0)</f>
        <v>0</v>
      </c>
      <c r="L1260" s="6" t="n">
        <f aca="false">IF(G1260&gt;$P$9,1,0)</f>
        <v>0</v>
      </c>
      <c r="M1260" s="6" t="n">
        <f aca="false">IF(ABS(H1260)&gt;$P$8,1,0)</f>
        <v>0</v>
      </c>
    </row>
    <row r="1261" customFormat="false" ht="15" hidden="false" customHeight="false" outlineLevel="0" collapsed="false">
      <c r="A1261" s="0" t="n">
        <f aca="false">ROW()-1</f>
        <v>1260</v>
      </c>
      <c r="B1261" s="22" t="n">
        <f aca="false">SUMPRODUCT(MMULT('Analysis Data'!N1261:U1261,'Final Model'!$B$59:$I$66),'Analysis Data'!N1261:U1261)</f>
        <v>0.00221688059806092</v>
      </c>
      <c r="C1261" s="15" t="n">
        <f aca="false">'Residual Diagnostics'!F1261</f>
        <v>-11.9265250992407</v>
      </c>
      <c r="D1261" s="13" t="n">
        <f aca="false">C1261/('Final Model'!$B$21*SQRT(1-B1261))</f>
        <v>-0.243509584227773</v>
      </c>
      <c r="E1261" s="13" t="n">
        <f aca="false">D1261*SQRT(('Final Model'!$B$24-1)/('Final Model'!$B$24-D1261^2))</f>
        <v>-0.243426449545285</v>
      </c>
      <c r="F1261" s="23" t="n">
        <f aca="false">D1261^2/($P$3+1)*B1261/(1-B1261)</f>
        <v>1.64682814857293E-005</v>
      </c>
      <c r="G1261" s="13" t="n">
        <f aca="false">($P$2-1)*(B1261-1/$P$2)</f>
        <v>2.07110112903587</v>
      </c>
      <c r="H1261" s="13" t="n">
        <f aca="false">E1261*SQRT(B1261/(1-B1261))</f>
        <v>-0.0114741583721187</v>
      </c>
      <c r="I1261" s="13" t="n">
        <f aca="false">ABS(D1261)</f>
        <v>0.243509584227773</v>
      </c>
      <c r="J1261" s="6" t="n">
        <f aca="false">IF(B1261&gt;$P$4,1,0)</f>
        <v>0</v>
      </c>
      <c r="K1261" s="6" t="n">
        <f aca="false">IF(F1261&gt;$P$6,1,0)</f>
        <v>0</v>
      </c>
      <c r="L1261" s="6" t="n">
        <f aca="false">IF(G1261&gt;$P$9,1,0)</f>
        <v>0</v>
      </c>
      <c r="M1261" s="6" t="n">
        <f aca="false">IF(ABS(H1261)&gt;$P$8,1,0)</f>
        <v>0</v>
      </c>
    </row>
    <row r="1262" customFormat="false" ht="15" hidden="false" customHeight="false" outlineLevel="0" collapsed="false">
      <c r="A1262" s="0" t="n">
        <f aca="false">ROW()-1</f>
        <v>1261</v>
      </c>
      <c r="B1262" s="22" t="n">
        <f aca="false">SUMPRODUCT(MMULT('Analysis Data'!N1262:U1262,'Final Model'!$B$59:$I$66),'Analysis Data'!N1262:U1262)</f>
        <v>0.00238589951486953</v>
      </c>
      <c r="C1262" s="15" t="n">
        <f aca="false">'Residual Diagnostics'!F1262</f>
        <v>-14.9918275654267</v>
      </c>
      <c r="D1262" s="13" t="n">
        <f aca="false">C1262/('Final Model'!$B$21*SQRT(1-B1262))</f>
        <v>-0.306121263855711</v>
      </c>
      <c r="E1262" s="13" t="n">
        <f aca="false">D1262*SQRT(('Final Model'!$B$24-1)/('Final Model'!$B$24-D1262^2))</f>
        <v>-0.306020574786117</v>
      </c>
      <c r="F1262" s="23" t="n">
        <f aca="false">D1262^2/($P$3+1)*B1262/(1-B1262)</f>
        <v>2.80147388473241E-005</v>
      </c>
      <c r="G1262" s="13" t="n">
        <f aca="false">($P$2-1)*(B1262-1/$P$2)</f>
        <v>2.30519232881579</v>
      </c>
      <c r="H1262" s="13" t="n">
        <f aca="false">E1262*SQRT(B1262/(1-B1262))</f>
        <v>-0.0149656440486767</v>
      </c>
      <c r="I1262" s="13" t="n">
        <f aca="false">ABS(D1262)</f>
        <v>0.306121263855711</v>
      </c>
      <c r="J1262" s="6" t="n">
        <f aca="false">IF(B1262&gt;$P$4,1,0)</f>
        <v>0</v>
      </c>
      <c r="K1262" s="6" t="n">
        <f aca="false">IF(F1262&gt;$P$6,1,0)</f>
        <v>0</v>
      </c>
      <c r="L1262" s="6" t="n">
        <f aca="false">IF(G1262&gt;$P$9,1,0)</f>
        <v>0</v>
      </c>
      <c r="M1262" s="6" t="n">
        <f aca="false">IF(ABS(H1262)&gt;$P$8,1,0)</f>
        <v>0</v>
      </c>
    </row>
    <row r="1263" customFormat="false" ht="15" hidden="false" customHeight="false" outlineLevel="0" collapsed="false">
      <c r="A1263" s="0" t="n">
        <f aca="false">ROW()-1</f>
        <v>1262</v>
      </c>
      <c r="B1263" s="22" t="n">
        <f aca="false">SUMPRODUCT(MMULT('Analysis Data'!N1263:U1263,'Final Model'!$B$59:$I$66),'Analysis Data'!N1263:U1263)</f>
        <v>0.0134203815584969</v>
      </c>
      <c r="C1263" s="15" t="n">
        <f aca="false">'Residual Diagnostics'!F1263</f>
        <v>26.9966016244045</v>
      </c>
      <c r="D1263" s="13" t="n">
        <f aca="false">C1263/('Final Model'!$B$21*SQRT(1-B1263))</f>
        <v>0.554323431882725</v>
      </c>
      <c r="E1263" s="13" t="n">
        <f aca="false">D1263*SQRT(('Final Model'!$B$24-1)/('Final Model'!$B$24-D1263^2))</f>
        <v>0.554184053097708</v>
      </c>
      <c r="F1263" s="23" t="n">
        <f aca="false">D1263^2/($P$3+1)*B1263/(1-B1263)</f>
        <v>0.000522479447558376</v>
      </c>
      <c r="G1263" s="13" t="n">
        <f aca="false">($P$2-1)*(B1263-1/$P$2)</f>
        <v>17.5879499592398</v>
      </c>
      <c r="H1263" s="13" t="n">
        <f aca="false">E1263*SQRT(B1263/(1-B1263))</f>
        <v>0.0646353919575926</v>
      </c>
      <c r="I1263" s="13" t="n">
        <f aca="false">ABS(D1263)</f>
        <v>0.554323431882725</v>
      </c>
      <c r="J1263" s="6" t="n">
        <f aca="false">IF(B1263&gt;$P$4,1,0)</f>
        <v>1</v>
      </c>
      <c r="K1263" s="6" t="n">
        <f aca="false">IF(F1263&gt;$P$6,1,0)</f>
        <v>0</v>
      </c>
      <c r="L1263" s="6" t="n">
        <f aca="false">IF(G1263&gt;$P$9,1,0)</f>
        <v>1</v>
      </c>
      <c r="M1263" s="6" t="n">
        <f aca="false">IF(ABS(H1263)&gt;$P$8,1,0)</f>
        <v>0</v>
      </c>
    </row>
    <row r="1264" customFormat="false" ht="15" hidden="false" customHeight="false" outlineLevel="0" collapsed="false">
      <c r="A1264" s="0" t="n">
        <f aca="false">ROW()-1</f>
        <v>1263</v>
      </c>
      <c r="B1264" s="22" t="n">
        <f aca="false">SUMPRODUCT(MMULT('Analysis Data'!N1264:U1264,'Final Model'!$B$59:$I$66),'Analysis Data'!N1264:U1264)</f>
        <v>0.00587629008715352</v>
      </c>
      <c r="C1264" s="15" t="n">
        <f aca="false">'Residual Diagnostics'!F1264</f>
        <v>57.4517703722092</v>
      </c>
      <c r="D1264" s="13" t="n">
        <f aca="false">C1264/('Final Model'!$B$21*SQRT(1-B1264))</f>
        <v>1.17517734036103</v>
      </c>
      <c r="E1264" s="13" t="n">
        <f aca="false">D1264*SQRT(('Final Model'!$B$24-1)/('Final Model'!$B$24-D1264^2))</f>
        <v>1.17533997094302</v>
      </c>
      <c r="F1264" s="23" t="n">
        <f aca="false">D1264^2/($P$3+1)*B1264/(1-B1264)</f>
        <v>0.00102042155926673</v>
      </c>
      <c r="G1264" s="13" t="n">
        <f aca="false">($P$2-1)*(B1264-1/$P$2)</f>
        <v>7.13938327142913</v>
      </c>
      <c r="H1264" s="13" t="n">
        <f aca="false">E1264*SQRT(B1264/(1-B1264))</f>
        <v>0.0903638869128637</v>
      </c>
      <c r="I1264" s="13" t="n">
        <f aca="false">ABS(D1264)</f>
        <v>1.17517734036103</v>
      </c>
      <c r="J1264" s="6" t="n">
        <f aca="false">IF(B1264&gt;$P$4,1,0)</f>
        <v>0</v>
      </c>
      <c r="K1264" s="6" t="n">
        <f aca="false">IF(F1264&gt;$P$6,1,0)</f>
        <v>0</v>
      </c>
      <c r="L1264" s="6" t="n">
        <f aca="false">IF(G1264&gt;$P$9,1,0)</f>
        <v>0</v>
      </c>
      <c r="M1264" s="6" t="n">
        <f aca="false">IF(ABS(H1264)&gt;$P$8,1,0)</f>
        <v>0</v>
      </c>
    </row>
    <row r="1265" customFormat="false" ht="15" hidden="false" customHeight="false" outlineLevel="0" collapsed="false">
      <c r="A1265" s="0" t="n">
        <f aca="false">ROW()-1</f>
        <v>1264</v>
      </c>
      <c r="B1265" s="22" t="n">
        <f aca="false">SUMPRODUCT(MMULT('Analysis Data'!N1265:U1265,'Final Model'!$B$59:$I$66),'Analysis Data'!N1265:U1265)</f>
        <v>0.0051113550938013</v>
      </c>
      <c r="C1265" s="15" t="n">
        <f aca="false">'Residual Diagnostics'!F1265</f>
        <v>-13.456217554093</v>
      </c>
      <c r="D1265" s="13" t="n">
        <f aca="false">C1265/('Final Model'!$B$21*SQRT(1-B1265))</f>
        <v>-0.275141418352234</v>
      </c>
      <c r="E1265" s="13" t="n">
        <f aca="false">D1265*SQRT(('Final Model'!$B$24-1)/('Final Model'!$B$24-D1265^2))</f>
        <v>-0.27504912187959</v>
      </c>
      <c r="F1265" s="23" t="n">
        <f aca="false">D1265^2/($P$3+1)*B1265/(1-B1265)</f>
        <v>4.86164827152892E-005</v>
      </c>
      <c r="G1265" s="13" t="n">
        <f aca="false">($P$2-1)*(B1265-1/$P$2)</f>
        <v>6.0799483056363</v>
      </c>
      <c r="H1265" s="13" t="n">
        <f aca="false">E1265*SQRT(B1265/(1-B1265))</f>
        <v>-0.019714739924718</v>
      </c>
      <c r="I1265" s="13" t="n">
        <f aca="false">ABS(D1265)</f>
        <v>0.275141418352234</v>
      </c>
      <c r="J1265" s="6" t="n">
        <f aca="false">IF(B1265&gt;$P$4,1,0)</f>
        <v>0</v>
      </c>
      <c r="K1265" s="6" t="n">
        <f aca="false">IF(F1265&gt;$P$6,1,0)</f>
        <v>0</v>
      </c>
      <c r="L1265" s="6" t="n">
        <f aca="false">IF(G1265&gt;$P$9,1,0)</f>
        <v>0</v>
      </c>
      <c r="M1265" s="6" t="n">
        <f aca="false">IF(ABS(H1265)&gt;$P$8,1,0)</f>
        <v>0</v>
      </c>
    </row>
    <row r="1266" customFormat="false" ht="15" hidden="false" customHeight="false" outlineLevel="0" collapsed="false">
      <c r="A1266" s="0" t="n">
        <f aca="false">ROW()-1</f>
        <v>1265</v>
      </c>
      <c r="B1266" s="22" t="n">
        <f aca="false">SUMPRODUCT(MMULT('Analysis Data'!N1266:U1266,'Final Model'!$B$59:$I$66),'Analysis Data'!N1266:U1266)</f>
        <v>0.00509799995258559</v>
      </c>
      <c r="C1266" s="15" t="n">
        <f aca="false">'Residual Diagnostics'!F1266</f>
        <v>115.35087020594</v>
      </c>
      <c r="D1266" s="13" t="n">
        <f aca="false">C1266/('Final Model'!$B$21*SQRT(1-B1266))</f>
        <v>2.35858174044469</v>
      </c>
      <c r="E1266" s="13" t="n">
        <f aca="false">D1266*SQRT(('Final Model'!$B$24-1)/('Final Model'!$B$24-D1266^2))</f>
        <v>2.36249924637302</v>
      </c>
      <c r="F1266" s="23" t="n">
        <f aca="false">D1266^2/($P$3+1)*B1266/(1-B1266)</f>
        <v>0.0035631278047568</v>
      </c>
      <c r="G1266" s="13" t="n">
        <f aca="false">($P$2-1)*(B1266-1/$P$2)</f>
        <v>6.06145143505254</v>
      </c>
      <c r="H1266" s="13" t="n">
        <f aca="false">E1266*SQRT(B1266/(1-B1266))</f>
        <v>0.169114731424204</v>
      </c>
      <c r="I1266" s="13" t="n">
        <f aca="false">ABS(D1266)</f>
        <v>2.35858174044469</v>
      </c>
      <c r="J1266" s="6" t="n">
        <f aca="false">IF(B1266&gt;$P$4,1,0)</f>
        <v>0</v>
      </c>
      <c r="K1266" s="6" t="n">
        <f aca="false">IF(F1266&gt;$P$6,1,0)</f>
        <v>1</v>
      </c>
      <c r="L1266" s="6" t="n">
        <f aca="false">IF(G1266&gt;$P$9,1,0)</f>
        <v>0</v>
      </c>
      <c r="M1266" s="6" t="n">
        <f aca="false">IF(ABS(H1266)&gt;$P$8,1,0)</f>
        <v>1</v>
      </c>
    </row>
    <row r="1267" customFormat="false" ht="15" hidden="false" customHeight="false" outlineLevel="0" collapsed="false">
      <c r="A1267" s="0" t="n">
        <f aca="false">ROW()-1</f>
        <v>1266</v>
      </c>
      <c r="B1267" s="22" t="n">
        <f aca="false">SUMPRODUCT(MMULT('Analysis Data'!N1267:U1267,'Final Model'!$B$59:$I$66),'Analysis Data'!N1267:U1267)</f>
        <v>0.0111277023854735</v>
      </c>
      <c r="C1267" s="15" t="n">
        <f aca="false">'Residual Diagnostics'!F1267</f>
        <v>-3.48184991139289</v>
      </c>
      <c r="D1267" s="13" t="n">
        <f aca="false">C1267/('Final Model'!$B$21*SQRT(1-B1267))</f>
        <v>-0.0714101836442106</v>
      </c>
      <c r="E1267" s="13" t="n">
        <f aca="false">D1267*SQRT(('Final Model'!$B$24-1)/('Final Model'!$B$24-D1267^2))</f>
        <v>-0.071384400217222</v>
      </c>
      <c r="F1267" s="23" t="n">
        <f aca="false">D1267^2/($P$3+1)*B1267/(1-B1267)</f>
        <v>7.17291367148734E-006</v>
      </c>
      <c r="G1267" s="13" t="n">
        <f aca="false">($P$2-1)*(B1267-1/$P$2)</f>
        <v>14.4125893046023</v>
      </c>
      <c r="H1267" s="13" t="n">
        <f aca="false">E1267*SQRT(B1267/(1-B1267))</f>
        <v>-0.00757244208370763</v>
      </c>
      <c r="I1267" s="13" t="n">
        <f aca="false">ABS(D1267)</f>
        <v>0.0714101836442106</v>
      </c>
      <c r="J1267" s="6" t="n">
        <f aca="false">IF(B1267&gt;$P$4,1,0)</f>
        <v>0</v>
      </c>
      <c r="K1267" s="6" t="n">
        <f aca="false">IF(F1267&gt;$P$6,1,0)</f>
        <v>0</v>
      </c>
      <c r="L1267" s="6" t="n">
        <f aca="false">IF(G1267&gt;$P$9,1,0)</f>
        <v>1</v>
      </c>
      <c r="M1267" s="6" t="n">
        <f aca="false">IF(ABS(H1267)&gt;$P$8,1,0)</f>
        <v>0</v>
      </c>
    </row>
    <row r="1268" customFormat="false" ht="15" hidden="false" customHeight="false" outlineLevel="0" collapsed="false">
      <c r="A1268" s="0" t="n">
        <f aca="false">ROW()-1</f>
        <v>1267</v>
      </c>
      <c r="B1268" s="22" t="n">
        <f aca="false">SUMPRODUCT(MMULT('Analysis Data'!N1268:U1268,'Final Model'!$B$59:$I$66),'Analysis Data'!N1268:U1268)</f>
        <v>0.0101692728248528</v>
      </c>
      <c r="C1268" s="15" t="n">
        <f aca="false">'Residual Diagnostics'!F1268</f>
        <v>-41.4591684346248</v>
      </c>
      <c r="D1268" s="13" t="n">
        <f aca="false">C1268/('Final Model'!$B$21*SQRT(1-B1268))</f>
        <v>-0.849885324531015</v>
      </c>
      <c r="E1268" s="13" t="n">
        <f aca="false">D1268*SQRT(('Final Model'!$B$24-1)/('Final Model'!$B$24-D1268^2))</f>
        <v>-0.849799640740258</v>
      </c>
      <c r="F1268" s="23" t="n">
        <f aca="false">D1268^2/($P$3+1)*B1268/(1-B1268)</f>
        <v>0.000927597652003048</v>
      </c>
      <c r="G1268" s="13" t="n">
        <f aca="false">($P$2-1)*(B1268-1/$P$2)</f>
        <v>13.0851643631427</v>
      </c>
      <c r="H1268" s="13" t="n">
        <f aca="false">E1268*SQRT(B1268/(1-B1268))</f>
        <v>-0.0861352714856117</v>
      </c>
      <c r="I1268" s="13" t="n">
        <f aca="false">ABS(D1268)</f>
        <v>0.849885324531015</v>
      </c>
      <c r="J1268" s="6" t="n">
        <f aca="false">IF(B1268&gt;$P$4,1,0)</f>
        <v>0</v>
      </c>
      <c r="K1268" s="6" t="n">
        <f aca="false">IF(F1268&gt;$P$6,1,0)</f>
        <v>0</v>
      </c>
      <c r="L1268" s="6" t="n">
        <f aca="false">IF(G1268&gt;$P$9,1,0)</f>
        <v>1</v>
      </c>
      <c r="M1268" s="6" t="n">
        <f aca="false">IF(ABS(H1268)&gt;$P$8,1,0)</f>
        <v>0</v>
      </c>
    </row>
    <row r="1269" customFormat="false" ht="15" hidden="false" customHeight="false" outlineLevel="0" collapsed="false">
      <c r="A1269" s="0" t="n">
        <f aca="false">ROW()-1</f>
        <v>1268</v>
      </c>
      <c r="B1269" s="22" t="n">
        <f aca="false">SUMPRODUCT(MMULT('Analysis Data'!N1269:U1269,'Final Model'!$B$59:$I$66),'Analysis Data'!N1269:U1269)</f>
        <v>0.00279060481371343</v>
      </c>
      <c r="C1269" s="15" t="n">
        <f aca="false">'Residual Diagnostics'!F1269</f>
        <v>-32.2708280766027</v>
      </c>
      <c r="D1269" s="13" t="n">
        <f aca="false">C1269/('Final Model'!$B$21*SQRT(1-B1269))</f>
        <v>-0.659078489443539</v>
      </c>
      <c r="E1269" s="13" t="n">
        <f aca="false">D1269*SQRT(('Final Model'!$B$24-1)/('Final Model'!$B$24-D1269^2))</f>
        <v>-0.658943169823187</v>
      </c>
      <c r="F1269" s="23" t="n">
        <f aca="false">D1269^2/($P$3+1)*B1269/(1-B1269)</f>
        <v>0.000151948447044641</v>
      </c>
      <c r="G1269" s="13" t="n">
        <f aca="false">($P$2-1)*(B1269-1/$P$2)</f>
        <v>2.8657091677146</v>
      </c>
      <c r="H1269" s="13" t="n">
        <f aca="false">E1269*SQRT(B1269/(1-B1269))</f>
        <v>-0.0348581191041456</v>
      </c>
      <c r="I1269" s="13" t="n">
        <f aca="false">ABS(D1269)</f>
        <v>0.659078489443539</v>
      </c>
      <c r="J1269" s="6" t="n">
        <f aca="false">IF(B1269&gt;$P$4,1,0)</f>
        <v>0</v>
      </c>
      <c r="K1269" s="6" t="n">
        <f aca="false">IF(F1269&gt;$P$6,1,0)</f>
        <v>0</v>
      </c>
      <c r="L1269" s="6" t="n">
        <f aca="false">IF(G1269&gt;$P$9,1,0)</f>
        <v>0</v>
      </c>
      <c r="M1269" s="6" t="n">
        <f aca="false">IF(ABS(H1269)&gt;$P$8,1,0)</f>
        <v>0</v>
      </c>
    </row>
    <row r="1270" customFormat="false" ht="15" hidden="false" customHeight="false" outlineLevel="0" collapsed="false">
      <c r="A1270" s="0" t="n">
        <f aca="false">ROW()-1</f>
        <v>1269</v>
      </c>
      <c r="B1270" s="22" t="n">
        <f aca="false">SUMPRODUCT(MMULT('Analysis Data'!N1270:U1270,'Final Model'!$B$59:$I$66),'Analysis Data'!N1270:U1270)</f>
        <v>0.00193170603976037</v>
      </c>
      <c r="C1270" s="15" t="n">
        <f aca="false">'Residual Diagnostics'!F1270</f>
        <v>-41.9935607720248</v>
      </c>
      <c r="D1270" s="13" t="n">
        <f aca="false">C1270/('Final Model'!$B$21*SQRT(1-B1270))</f>
        <v>-0.857280174941991</v>
      </c>
      <c r="E1270" s="13" t="n">
        <f aca="false">D1270*SQRT(('Final Model'!$B$24-1)/('Final Model'!$B$24-D1270^2))</f>
        <v>-0.857197674195726</v>
      </c>
      <c r="F1270" s="23" t="n">
        <f aca="false">D1270^2/($P$3+1)*B1270/(1-B1270)</f>
        <v>0.000177801881520511</v>
      </c>
      <c r="G1270" s="13" t="n">
        <f aca="false">($P$2-1)*(B1270-1/$P$2)</f>
        <v>1.67613436578961</v>
      </c>
      <c r="H1270" s="13" t="n">
        <f aca="false">E1270*SQRT(B1270/(1-B1270))</f>
        <v>-0.0377112886523746</v>
      </c>
      <c r="I1270" s="13" t="n">
        <f aca="false">ABS(D1270)</f>
        <v>0.857280174941991</v>
      </c>
      <c r="J1270" s="6" t="n">
        <f aca="false">IF(B1270&gt;$P$4,1,0)</f>
        <v>0</v>
      </c>
      <c r="K1270" s="6" t="n">
        <f aca="false">IF(F1270&gt;$P$6,1,0)</f>
        <v>0</v>
      </c>
      <c r="L1270" s="6" t="n">
        <f aca="false">IF(G1270&gt;$P$9,1,0)</f>
        <v>0</v>
      </c>
      <c r="M1270" s="6" t="n">
        <f aca="false">IF(ABS(H1270)&gt;$P$8,1,0)</f>
        <v>0</v>
      </c>
    </row>
    <row r="1271" customFormat="false" ht="15" hidden="false" customHeight="false" outlineLevel="0" collapsed="false">
      <c r="A1271" s="0" t="n">
        <f aca="false">ROW()-1</f>
        <v>1270</v>
      </c>
      <c r="B1271" s="22" t="n">
        <f aca="false">SUMPRODUCT(MMULT('Analysis Data'!N1271:U1271,'Final Model'!$B$59:$I$66),'Analysis Data'!N1271:U1271)</f>
        <v>0.00216010029880202</v>
      </c>
      <c r="C1271" s="15" t="n">
        <f aca="false">'Residual Diagnostics'!F1271</f>
        <v>49.0379305701131</v>
      </c>
      <c r="D1271" s="13" t="n">
        <f aca="false">C1271/('Final Model'!$B$21*SQRT(1-B1271))</f>
        <v>1.00120246541313</v>
      </c>
      <c r="E1271" s="13" t="n">
        <f aca="false">D1271*SQRT(('Final Model'!$B$24-1)/('Final Model'!$B$24-D1271^2))</f>
        <v>1.0012033402401</v>
      </c>
      <c r="F1271" s="23" t="n">
        <f aca="false">D1271^2/($P$3+1)*B1271/(1-B1271)</f>
        <v>0.000271248212587217</v>
      </c>
      <c r="G1271" s="13" t="n">
        <f aca="false">($P$2-1)*(B1271-1/$P$2)</f>
        <v>1.9924604145623</v>
      </c>
      <c r="H1271" s="13" t="n">
        <f aca="false">E1271*SQRT(B1271/(1-B1271))</f>
        <v>0.04658314601724</v>
      </c>
      <c r="I1271" s="13" t="n">
        <f aca="false">ABS(D1271)</f>
        <v>1.00120246541313</v>
      </c>
      <c r="J1271" s="6" t="n">
        <f aca="false">IF(B1271&gt;$P$4,1,0)</f>
        <v>0</v>
      </c>
      <c r="K1271" s="6" t="n">
        <f aca="false">IF(F1271&gt;$P$6,1,0)</f>
        <v>0</v>
      </c>
      <c r="L1271" s="6" t="n">
        <f aca="false">IF(G1271&gt;$P$9,1,0)</f>
        <v>0</v>
      </c>
      <c r="M1271" s="6" t="n">
        <f aca="false">IF(ABS(H1271)&gt;$P$8,1,0)</f>
        <v>0</v>
      </c>
    </row>
    <row r="1272" customFormat="false" ht="15" hidden="false" customHeight="false" outlineLevel="0" collapsed="false">
      <c r="A1272" s="0" t="n">
        <f aca="false">ROW()-1</f>
        <v>1271</v>
      </c>
      <c r="B1272" s="22" t="n">
        <f aca="false">SUMPRODUCT(MMULT('Analysis Data'!N1272:U1272,'Final Model'!$B$59:$I$66),'Analysis Data'!N1272:U1272)</f>
        <v>0.00193541710559226</v>
      </c>
      <c r="C1272" s="15" t="n">
        <f aca="false">'Residual Diagnostics'!F1272</f>
        <v>-42.3900132750413</v>
      </c>
      <c r="D1272" s="13" t="n">
        <f aca="false">C1272/('Final Model'!$B$21*SQRT(1-B1272))</f>
        <v>-0.865375188221972</v>
      </c>
      <c r="E1272" s="13" t="n">
        <f aca="false">D1272*SQRT(('Final Model'!$B$24-1)/('Final Model'!$B$24-D1272^2))</f>
        <v>-0.86529628905629</v>
      </c>
      <c r="F1272" s="23" t="n">
        <f aca="false">D1272^2/($P$3+1)*B1272/(1-B1272)</f>
        <v>0.000181524321318888</v>
      </c>
      <c r="G1272" s="13" t="n">
        <f aca="false">($P$2-1)*(B1272-1/$P$2)</f>
        <v>1.68127419196677</v>
      </c>
      <c r="H1272" s="13" t="n">
        <f aca="false">E1272*SQRT(B1272/(1-B1272))</f>
        <v>-0.0381041963528791</v>
      </c>
      <c r="I1272" s="13" t="n">
        <f aca="false">ABS(D1272)</f>
        <v>0.865375188221972</v>
      </c>
      <c r="J1272" s="6" t="n">
        <f aca="false">IF(B1272&gt;$P$4,1,0)</f>
        <v>0</v>
      </c>
      <c r="K1272" s="6" t="n">
        <f aca="false">IF(F1272&gt;$P$6,1,0)</f>
        <v>0</v>
      </c>
      <c r="L1272" s="6" t="n">
        <f aca="false">IF(G1272&gt;$P$9,1,0)</f>
        <v>0</v>
      </c>
      <c r="M1272" s="6" t="n">
        <f aca="false">IF(ABS(H1272)&gt;$P$8,1,0)</f>
        <v>0</v>
      </c>
    </row>
    <row r="1273" customFormat="false" ht="15" hidden="false" customHeight="false" outlineLevel="0" collapsed="false">
      <c r="A1273" s="0" t="n">
        <f aca="false">ROW()-1</f>
        <v>1272</v>
      </c>
      <c r="B1273" s="22" t="n">
        <f aca="false">SUMPRODUCT(MMULT('Analysis Data'!N1273:U1273,'Final Model'!$B$59:$I$66),'Analysis Data'!N1273:U1273)</f>
        <v>0.00294236470340294</v>
      </c>
      <c r="C1273" s="15" t="n">
        <f aca="false">'Residual Diagnostics'!F1273</f>
        <v>-67.5155312085226</v>
      </c>
      <c r="D1273" s="13" t="n">
        <f aca="false">C1273/('Final Model'!$B$21*SQRT(1-B1273))</f>
        <v>-1.37899841184837</v>
      </c>
      <c r="E1273" s="13" t="n">
        <f aca="false">D1273*SQRT(('Final Model'!$B$24-1)/('Final Model'!$B$24-D1273^2))</f>
        <v>-1.37945010625525</v>
      </c>
      <c r="F1273" s="23" t="n">
        <f aca="false">D1273^2/($P$3+1)*B1273/(1-B1273)</f>
        <v>0.00070147756144632</v>
      </c>
      <c r="G1273" s="13" t="n">
        <f aca="false">($P$2-1)*(B1273-1/$P$2)</f>
        <v>3.07589661493458</v>
      </c>
      <c r="H1273" s="13" t="n">
        <f aca="false">E1273*SQRT(B1273/(1-B1273))</f>
        <v>-0.0749366227259434</v>
      </c>
      <c r="I1273" s="13" t="n">
        <f aca="false">ABS(D1273)</f>
        <v>1.37899841184837</v>
      </c>
      <c r="J1273" s="6" t="n">
        <f aca="false">IF(B1273&gt;$P$4,1,0)</f>
        <v>0</v>
      </c>
      <c r="K1273" s="6" t="n">
        <f aca="false">IF(F1273&gt;$P$6,1,0)</f>
        <v>0</v>
      </c>
      <c r="L1273" s="6" t="n">
        <f aca="false">IF(G1273&gt;$P$9,1,0)</f>
        <v>0</v>
      </c>
      <c r="M1273" s="6" t="n">
        <f aca="false">IF(ABS(H1273)&gt;$P$8,1,0)</f>
        <v>0</v>
      </c>
    </row>
    <row r="1274" customFormat="false" ht="15" hidden="false" customHeight="false" outlineLevel="0" collapsed="false">
      <c r="A1274" s="0" t="n">
        <f aca="false">ROW()-1</f>
        <v>1273</v>
      </c>
      <c r="B1274" s="22" t="n">
        <f aca="false">SUMPRODUCT(MMULT('Analysis Data'!N1274:U1274,'Final Model'!$B$59:$I$66),'Analysis Data'!N1274:U1274)</f>
        <v>0.00236452362344616</v>
      </c>
      <c r="C1274" s="15" t="n">
        <f aca="false">'Residual Diagnostics'!F1274</f>
        <v>55.3804356028767</v>
      </c>
      <c r="D1274" s="13" t="n">
        <f aca="false">C1274/('Final Model'!$B$21*SQRT(1-B1274))</f>
        <v>1.13081258713117</v>
      </c>
      <c r="E1274" s="13" t="n">
        <f aca="false">D1274*SQRT(('Final Model'!$B$24-1)/('Final Model'!$B$24-D1274^2))</f>
        <v>1.13092705600925</v>
      </c>
      <c r="F1274" s="23" t="n">
        <f aca="false">D1274^2/($P$3+1)*B1274/(1-B1274)</f>
        <v>0.000378846303307001</v>
      </c>
      <c r="G1274" s="13" t="n">
        <f aca="false">($P$2-1)*(B1274-1/$P$2)</f>
        <v>2.27558671919444</v>
      </c>
      <c r="H1274" s="13" t="n">
        <f aca="false">E1274*SQRT(B1274/(1-B1274))</f>
        <v>0.055058006227161</v>
      </c>
      <c r="I1274" s="13" t="n">
        <f aca="false">ABS(D1274)</f>
        <v>1.13081258713117</v>
      </c>
      <c r="J1274" s="6" t="n">
        <f aca="false">IF(B1274&gt;$P$4,1,0)</f>
        <v>0</v>
      </c>
      <c r="K1274" s="6" t="n">
        <f aca="false">IF(F1274&gt;$P$6,1,0)</f>
        <v>0</v>
      </c>
      <c r="L1274" s="6" t="n">
        <f aca="false">IF(G1274&gt;$P$9,1,0)</f>
        <v>0</v>
      </c>
      <c r="M1274" s="6" t="n">
        <f aca="false">IF(ABS(H1274)&gt;$P$8,1,0)</f>
        <v>0</v>
      </c>
    </row>
    <row r="1275" customFormat="false" ht="15" hidden="false" customHeight="false" outlineLevel="0" collapsed="false">
      <c r="A1275" s="0" t="n">
        <f aca="false">ROW()-1</f>
        <v>1274</v>
      </c>
      <c r="B1275" s="22" t="n">
        <f aca="false">SUMPRODUCT(MMULT('Analysis Data'!N1275:U1275,'Final Model'!$B$59:$I$66),'Analysis Data'!N1275:U1275)</f>
        <v>0.0133311605606631</v>
      </c>
      <c r="C1275" s="15" t="n">
        <f aca="false">'Residual Diagnostics'!F1275</f>
        <v>5.45421373516456</v>
      </c>
      <c r="D1275" s="13" t="n">
        <f aca="false">C1275/('Final Model'!$B$21*SQRT(1-B1275))</f>
        <v>0.111986753637248</v>
      </c>
      <c r="E1275" s="13" t="n">
        <f aca="false">D1275*SQRT(('Final Model'!$B$24-1)/('Final Model'!$B$24-D1275^2))</f>
        <v>0.11194662187076</v>
      </c>
      <c r="F1275" s="23" t="n">
        <f aca="false">D1275^2/($P$3+1)*B1275/(1-B1275)</f>
        <v>2.11806785755061E-005</v>
      </c>
      <c r="G1275" s="13" t="n">
        <f aca="false">($P$2-1)*(B1275-1/$P$2)</f>
        <v>17.4643788772399</v>
      </c>
      <c r="H1275" s="13" t="n">
        <f aca="false">E1275*SQRT(B1275/(1-B1275))</f>
        <v>0.0130124557579169</v>
      </c>
      <c r="I1275" s="13" t="n">
        <f aca="false">ABS(D1275)</f>
        <v>0.111986753637248</v>
      </c>
      <c r="J1275" s="6" t="n">
        <f aca="false">IF(B1275&gt;$P$4,1,0)</f>
        <v>1</v>
      </c>
      <c r="K1275" s="6" t="n">
        <f aca="false">IF(F1275&gt;$P$6,1,0)</f>
        <v>0</v>
      </c>
      <c r="L1275" s="6" t="n">
        <f aca="false">IF(G1275&gt;$P$9,1,0)</f>
        <v>1</v>
      </c>
      <c r="M1275" s="6" t="n">
        <f aca="false">IF(ABS(H1275)&gt;$P$8,1,0)</f>
        <v>0</v>
      </c>
    </row>
    <row r="1276" customFormat="false" ht="15" hidden="false" customHeight="false" outlineLevel="0" collapsed="false">
      <c r="A1276" s="0" t="n">
        <f aca="false">ROW()-1</f>
        <v>1275</v>
      </c>
      <c r="B1276" s="22" t="n">
        <f aca="false">SUMPRODUCT(MMULT('Analysis Data'!N1276:U1276,'Final Model'!$B$59:$I$66),'Analysis Data'!N1276:U1276)</f>
        <v>0.00506074353496189</v>
      </c>
      <c r="C1276" s="15" t="n">
        <f aca="false">'Residual Diagnostics'!F1276</f>
        <v>-17.5942814845541</v>
      </c>
      <c r="D1276" s="13" t="n">
        <f aca="false">C1276/('Final Model'!$B$21*SQRT(1-B1276))</f>
        <v>-0.359743918769992</v>
      </c>
      <c r="E1276" s="13" t="n">
        <f aca="false">D1276*SQRT(('Final Model'!$B$24-1)/('Final Model'!$B$24-D1276^2))</f>
        <v>-0.359630251745638</v>
      </c>
      <c r="F1276" s="23" t="n">
        <f aca="false">D1276^2/($P$3+1)*B1276/(1-B1276)</f>
        <v>8.2283867773547E-005</v>
      </c>
      <c r="G1276" s="13" t="n">
        <f aca="false">($P$2-1)*(B1276-1/$P$2)</f>
        <v>6.00985129664372</v>
      </c>
      <c r="H1276" s="13" t="n">
        <f aca="false">E1276*SQRT(B1276/(1-B1276))</f>
        <v>-0.025648684659935</v>
      </c>
      <c r="I1276" s="13" t="n">
        <f aca="false">ABS(D1276)</f>
        <v>0.359743918769992</v>
      </c>
      <c r="J1276" s="6" t="n">
        <f aca="false">IF(B1276&gt;$P$4,1,0)</f>
        <v>0</v>
      </c>
      <c r="K1276" s="6" t="n">
        <f aca="false">IF(F1276&gt;$P$6,1,0)</f>
        <v>0</v>
      </c>
      <c r="L1276" s="6" t="n">
        <f aca="false">IF(G1276&gt;$P$9,1,0)</f>
        <v>0</v>
      </c>
      <c r="M1276" s="6" t="n">
        <f aca="false">IF(ABS(H1276)&gt;$P$8,1,0)</f>
        <v>0</v>
      </c>
    </row>
    <row r="1277" customFormat="false" ht="15" hidden="false" customHeight="false" outlineLevel="0" collapsed="false">
      <c r="A1277" s="0" t="n">
        <f aca="false">ROW()-1</f>
        <v>1276</v>
      </c>
      <c r="B1277" s="22" t="n">
        <f aca="false">SUMPRODUCT(MMULT('Analysis Data'!N1277:U1277,'Final Model'!$B$59:$I$66),'Analysis Data'!N1277:U1277)</f>
        <v>0.00509799995258559</v>
      </c>
      <c r="C1277" s="15" t="n">
        <f aca="false">'Residual Diagnostics'!F1277</f>
        <v>3.46454511916721</v>
      </c>
      <c r="D1277" s="13" t="n">
        <f aca="false">C1277/('Final Model'!$B$21*SQRT(1-B1277))</f>
        <v>0.0708396290589389</v>
      </c>
      <c r="E1277" s="13" t="n">
        <f aca="false">D1277*SQRT(('Final Model'!$B$24-1)/('Final Model'!$B$24-D1277^2))</f>
        <v>0.0708140495515103</v>
      </c>
      <c r="F1277" s="23" t="n">
        <f aca="false">D1277^2/($P$3+1)*B1277/(1-B1277)</f>
        <v>3.21426806174301E-006</v>
      </c>
      <c r="G1277" s="13" t="n">
        <f aca="false">($P$2-1)*(B1277-1/$P$2)</f>
        <v>6.06145143505254</v>
      </c>
      <c r="H1277" s="13" t="n">
        <f aca="false">E1277*SQRT(B1277/(1-B1277))</f>
        <v>0.00506908054652267</v>
      </c>
      <c r="I1277" s="13" t="n">
        <f aca="false">ABS(D1277)</f>
        <v>0.0708396290589389</v>
      </c>
      <c r="J1277" s="6" t="n">
        <f aca="false">IF(B1277&gt;$P$4,1,0)</f>
        <v>0</v>
      </c>
      <c r="K1277" s="6" t="n">
        <f aca="false">IF(F1277&gt;$P$6,1,0)</f>
        <v>0</v>
      </c>
      <c r="L1277" s="6" t="n">
        <f aca="false">IF(G1277&gt;$P$9,1,0)</f>
        <v>0</v>
      </c>
      <c r="M1277" s="6" t="n">
        <f aca="false">IF(ABS(H1277)&gt;$P$8,1,0)</f>
        <v>0</v>
      </c>
    </row>
    <row r="1278" customFormat="false" ht="15" hidden="false" customHeight="false" outlineLevel="0" collapsed="false">
      <c r="A1278" s="0" t="n">
        <f aca="false">ROW()-1</f>
        <v>1277</v>
      </c>
      <c r="B1278" s="22" t="n">
        <f aca="false">SUMPRODUCT(MMULT('Analysis Data'!N1278:U1278,'Final Model'!$B$59:$I$66),'Analysis Data'!N1278:U1278)</f>
        <v>0.0110814084537219</v>
      </c>
      <c r="C1278" s="15" t="n">
        <f aca="false">'Residual Diagnostics'!F1278</f>
        <v>30.2047136307118</v>
      </c>
      <c r="D1278" s="13" t="n">
        <f aca="false">C1278/('Final Model'!$B$21*SQRT(1-B1278))</f>
        <v>0.619461985980293</v>
      </c>
      <c r="E1278" s="13" t="n">
        <f aca="false">D1278*SQRT(('Final Model'!$B$24-1)/('Final Model'!$B$24-D1278^2))</f>
        <v>0.619323414522488</v>
      </c>
      <c r="F1278" s="23" t="n">
        <f aca="false">D1278^2/($P$3+1)*B1278/(1-B1278)</f>
        <v>0.00053749416682576</v>
      </c>
      <c r="G1278" s="13" t="n">
        <f aca="false">($P$2-1)*(B1278-1/$P$2)</f>
        <v>14.3484722091264</v>
      </c>
      <c r="H1278" s="13" t="n">
        <f aca="false">E1278*SQRT(B1278/(1-B1278))</f>
        <v>0.0655593607430426</v>
      </c>
      <c r="I1278" s="13" t="n">
        <f aca="false">ABS(D1278)</f>
        <v>0.619461985980293</v>
      </c>
      <c r="J1278" s="6" t="n">
        <f aca="false">IF(B1278&gt;$P$4,1,0)</f>
        <v>0</v>
      </c>
      <c r="K1278" s="6" t="n">
        <f aca="false">IF(F1278&gt;$P$6,1,0)</f>
        <v>0</v>
      </c>
      <c r="L1278" s="6" t="n">
        <f aca="false">IF(G1278&gt;$P$9,1,0)</f>
        <v>1</v>
      </c>
      <c r="M1278" s="6" t="n">
        <f aca="false">IF(ABS(H1278)&gt;$P$8,1,0)</f>
        <v>0</v>
      </c>
    </row>
    <row r="1279" customFormat="false" ht="15" hidden="false" customHeight="false" outlineLevel="0" collapsed="false">
      <c r="A1279" s="0" t="n">
        <f aca="false">ROW()-1</f>
        <v>1278</v>
      </c>
      <c r="B1279" s="22" t="n">
        <f aca="false">SUMPRODUCT(MMULT('Analysis Data'!N1279:U1279,'Final Model'!$B$59:$I$66),'Analysis Data'!N1279:U1279)</f>
        <v>0.00998624826908</v>
      </c>
      <c r="C1279" s="15" t="n">
        <f aca="false">'Residual Diagnostics'!F1279</f>
        <v>24.574407440634</v>
      </c>
      <c r="D1279" s="13" t="n">
        <f aca="false">C1279/('Final Model'!$B$21*SQRT(1-B1279))</f>
        <v>0.50371240885961</v>
      </c>
      <c r="E1279" s="13" t="n">
        <f aca="false">D1279*SQRT(('Final Model'!$B$24-1)/('Final Model'!$B$24-D1279^2))</f>
        <v>0.503575969261561</v>
      </c>
      <c r="F1279" s="23" t="n">
        <f aca="false">D1279^2/($P$3+1)*B1279/(1-B1279)</f>
        <v>0.000319916355916489</v>
      </c>
      <c r="G1279" s="13" t="n">
        <f aca="false">($P$2-1)*(B1279-1/$P$2)</f>
        <v>12.8316753533973</v>
      </c>
      <c r="H1279" s="13" t="n">
        <f aca="false">E1279*SQRT(B1279/(1-B1279))</f>
        <v>0.0505761263166315</v>
      </c>
      <c r="I1279" s="13" t="n">
        <f aca="false">ABS(D1279)</f>
        <v>0.50371240885961</v>
      </c>
      <c r="J1279" s="6" t="n">
        <f aca="false">IF(B1279&gt;$P$4,1,0)</f>
        <v>0</v>
      </c>
      <c r="K1279" s="6" t="n">
        <f aca="false">IF(F1279&gt;$P$6,1,0)</f>
        <v>0</v>
      </c>
      <c r="L1279" s="6" t="n">
        <f aca="false">IF(G1279&gt;$P$9,1,0)</f>
        <v>1</v>
      </c>
      <c r="M1279" s="6" t="n">
        <f aca="false">IF(ABS(H1279)&gt;$P$8,1,0)</f>
        <v>0</v>
      </c>
    </row>
    <row r="1280" customFormat="false" ht="15" hidden="false" customHeight="false" outlineLevel="0" collapsed="false">
      <c r="A1280" s="0" t="n">
        <f aca="false">ROW()-1</f>
        <v>1279</v>
      </c>
      <c r="B1280" s="22" t="n">
        <f aca="false">SUMPRODUCT(MMULT('Analysis Data'!N1280:U1280,'Final Model'!$B$59:$I$66),'Analysis Data'!N1280:U1280)</f>
        <v>0.00221600684736508</v>
      </c>
      <c r="C1280" s="15" t="n">
        <f aca="false">'Residual Diagnostics'!F1280</f>
        <v>18.172002281637</v>
      </c>
      <c r="D1280" s="13" t="n">
        <f aca="false">C1280/('Final Model'!$B$21*SQRT(1-B1280))</f>
        <v>0.371026325427947</v>
      </c>
      <c r="E1280" s="13" t="n">
        <f aca="false">D1280*SQRT(('Final Model'!$B$24-1)/('Final Model'!$B$24-D1280^2))</f>
        <v>0.370910203261634</v>
      </c>
      <c r="F1280" s="23" t="n">
        <f aca="false">D1280^2/($P$3+1)*B1280/(1-B1280)</f>
        <v>3.82167744227734E-005</v>
      </c>
      <c r="G1280" s="13" t="n">
        <f aca="false">($P$2-1)*(B1280-1/$P$2)</f>
        <v>2.06989098432214</v>
      </c>
      <c r="H1280" s="13" t="n">
        <f aca="false">E1280*SQRT(B1280/(1-B1280))</f>
        <v>0.017479784056941</v>
      </c>
      <c r="I1280" s="13" t="n">
        <f aca="false">ABS(D1280)</f>
        <v>0.371026325427947</v>
      </c>
      <c r="J1280" s="6" t="n">
        <f aca="false">IF(B1280&gt;$P$4,1,0)</f>
        <v>0</v>
      </c>
      <c r="K1280" s="6" t="n">
        <f aca="false">IF(F1280&gt;$P$6,1,0)</f>
        <v>0</v>
      </c>
      <c r="L1280" s="6" t="n">
        <f aca="false">IF(G1280&gt;$P$9,1,0)</f>
        <v>0</v>
      </c>
      <c r="M1280" s="6" t="n">
        <f aca="false">IF(ABS(H1280)&gt;$P$8,1,0)</f>
        <v>0</v>
      </c>
    </row>
    <row r="1281" customFormat="false" ht="15" hidden="false" customHeight="false" outlineLevel="0" collapsed="false">
      <c r="A1281" s="0" t="n">
        <f aca="false">ROW()-1</f>
        <v>1280</v>
      </c>
      <c r="B1281" s="22" t="n">
        <f aca="false">SUMPRODUCT(MMULT('Analysis Data'!N1281:U1281,'Final Model'!$B$59:$I$66),'Analysis Data'!N1281:U1281)</f>
        <v>0.00194530081744286</v>
      </c>
      <c r="C1281" s="15" t="n">
        <f aca="false">'Residual Diagnostics'!F1281</f>
        <v>63.0685668922268</v>
      </c>
      <c r="D1281" s="13" t="n">
        <f aca="false">C1281/('Final Model'!$B$21*SQRT(1-B1281))</f>
        <v>1.2875259753433</v>
      </c>
      <c r="E1281" s="13" t="n">
        <f aca="false">D1281*SQRT(('Final Model'!$B$24-1)/('Final Model'!$B$24-D1281^2))</f>
        <v>1.28783357850683</v>
      </c>
      <c r="F1281" s="23" t="n">
        <f aca="false">D1281^2/($P$3+1)*B1281/(1-B1281)</f>
        <v>0.000403881943607229</v>
      </c>
      <c r="G1281" s="13" t="n">
        <f aca="false">($P$2-1)*(B1281-1/$P$2)</f>
        <v>1.69496313287986</v>
      </c>
      <c r="H1281" s="13" t="n">
        <f aca="false">E1281*SQRT(B1281/(1-B1281))</f>
        <v>0.0568559548148905</v>
      </c>
      <c r="I1281" s="13" t="n">
        <f aca="false">ABS(D1281)</f>
        <v>1.2875259753433</v>
      </c>
      <c r="J1281" s="6" t="n">
        <f aca="false">IF(B1281&gt;$P$4,1,0)</f>
        <v>0</v>
      </c>
      <c r="K1281" s="6" t="n">
        <f aca="false">IF(F1281&gt;$P$6,1,0)</f>
        <v>0</v>
      </c>
      <c r="L1281" s="6" t="n">
        <f aca="false">IF(G1281&gt;$P$9,1,0)</f>
        <v>0</v>
      </c>
      <c r="M1281" s="6" t="n">
        <f aca="false">IF(ABS(H1281)&gt;$P$8,1,0)</f>
        <v>0</v>
      </c>
    </row>
    <row r="1282" customFormat="false" ht="15" hidden="false" customHeight="false" outlineLevel="0" collapsed="false">
      <c r="A1282" s="0" t="n">
        <f aca="false">ROW()-1</f>
        <v>1281</v>
      </c>
      <c r="B1282" s="22" t="n">
        <f aca="false">SUMPRODUCT(MMULT('Analysis Data'!N1282:U1282,'Final Model'!$B$59:$I$66),'Analysis Data'!N1282:U1282)</f>
        <v>0.00208634351773056</v>
      </c>
      <c r="C1282" s="15" t="n">
        <f aca="false">'Residual Diagnostics'!F1282</f>
        <v>7.14180696584236</v>
      </c>
      <c r="D1282" s="13" t="n">
        <f aca="false">C1282/('Final Model'!$B$21*SQRT(1-B1282))</f>
        <v>0.14580816130162</v>
      </c>
      <c r="E1282" s="13" t="n">
        <f aca="false">D1282*SQRT(('Final Model'!$B$24-1)/('Final Model'!$B$24-D1282^2))</f>
        <v>0.145756370362405</v>
      </c>
      <c r="F1282" s="23" t="n">
        <f aca="false">D1282^2/($P$3+1)*B1282/(1-B1282)</f>
        <v>5.55605492789456E-006</v>
      </c>
      <c r="G1282" s="13" t="n">
        <f aca="false">($P$2-1)*(B1282-1/$P$2)</f>
        <v>1.89030727277832</v>
      </c>
      <c r="H1282" s="13" t="n">
        <f aca="false">E1282*SQRT(B1282/(1-B1282))</f>
        <v>0.00666459818238571</v>
      </c>
      <c r="I1282" s="13" t="n">
        <f aca="false">ABS(D1282)</f>
        <v>0.14580816130162</v>
      </c>
      <c r="J1282" s="6" t="n">
        <f aca="false">IF(B1282&gt;$P$4,1,0)</f>
        <v>0</v>
      </c>
      <c r="K1282" s="6" t="n">
        <f aca="false">IF(F1282&gt;$P$6,1,0)</f>
        <v>0</v>
      </c>
      <c r="L1282" s="6" t="n">
        <f aca="false">IF(G1282&gt;$P$9,1,0)</f>
        <v>0</v>
      </c>
      <c r="M1282" s="6" t="n">
        <f aca="false">IF(ABS(H1282)&gt;$P$8,1,0)</f>
        <v>0</v>
      </c>
    </row>
    <row r="1283" customFormat="false" ht="15" hidden="false" customHeight="false" outlineLevel="0" collapsed="false">
      <c r="A1283" s="0" t="n">
        <f aca="false">ROW()-1</f>
        <v>1282</v>
      </c>
      <c r="B1283" s="22" t="n">
        <f aca="false">SUMPRODUCT(MMULT('Analysis Data'!N1283:U1283,'Final Model'!$B$59:$I$66),'Analysis Data'!N1283:U1283)</f>
        <v>0.00195658884745507</v>
      </c>
      <c r="C1283" s="15" t="n">
        <f aca="false">'Residual Diagnostics'!F1283</f>
        <v>-31.4730713677899</v>
      </c>
      <c r="D1283" s="13" t="n">
        <f aca="false">C1283/('Final Model'!$B$21*SQRT(1-B1283))</f>
        <v>-0.642516994810494</v>
      </c>
      <c r="E1283" s="13" t="n">
        <f aca="false">D1283*SQRT(('Final Model'!$B$24-1)/('Final Model'!$B$24-D1283^2))</f>
        <v>-0.642380049523427</v>
      </c>
      <c r="F1283" s="23" t="n">
        <f aca="false">D1283^2/($P$3+1)*B1283/(1-B1283)</f>
        <v>0.000101164792167947</v>
      </c>
      <c r="G1283" s="13" t="n">
        <f aca="false">($P$2-1)*(B1283-1/$P$2)</f>
        <v>1.71059705444678</v>
      </c>
      <c r="H1283" s="13" t="n">
        <f aca="false">E1283*SQRT(B1283/(1-B1283))</f>
        <v>-0.0284424573457826</v>
      </c>
      <c r="I1283" s="13" t="n">
        <f aca="false">ABS(D1283)</f>
        <v>0.642516994810494</v>
      </c>
      <c r="J1283" s="6" t="n">
        <f aca="false">IF(B1283&gt;$P$4,1,0)</f>
        <v>0</v>
      </c>
      <c r="K1283" s="6" t="n">
        <f aca="false">IF(F1283&gt;$P$6,1,0)</f>
        <v>0</v>
      </c>
      <c r="L1283" s="6" t="n">
        <f aca="false">IF(G1283&gt;$P$9,1,0)</f>
        <v>0</v>
      </c>
      <c r="M1283" s="6" t="n">
        <f aca="false">IF(ABS(H1283)&gt;$P$8,1,0)</f>
        <v>0</v>
      </c>
    </row>
    <row r="1284" customFormat="false" ht="15" hidden="false" customHeight="false" outlineLevel="0" collapsed="false">
      <c r="A1284" s="0" t="n">
        <f aca="false">ROW()-1</f>
        <v>1283</v>
      </c>
      <c r="B1284" s="22" t="n">
        <f aca="false">SUMPRODUCT(MMULT('Analysis Data'!N1284:U1284,'Final Model'!$B$59:$I$66),'Analysis Data'!N1284:U1284)</f>
        <v>0.00216368980539901</v>
      </c>
      <c r="C1284" s="15" t="n">
        <f aca="false">'Residual Diagnostics'!F1284</f>
        <v>37.085844617588</v>
      </c>
      <c r="D1284" s="13" t="n">
        <f aca="false">C1284/('Final Model'!$B$21*SQRT(1-B1284))</f>
        <v>0.757179298061687</v>
      </c>
      <c r="E1284" s="13" t="n">
        <f aca="false">D1284*SQRT(('Final Model'!$B$24-1)/('Final Model'!$B$24-D1284^2))</f>
        <v>0.757062014898732</v>
      </c>
      <c r="F1284" s="23" t="n">
        <f aca="false">D1284^2/($P$3+1)*B1284/(1-B1284)</f>
        <v>0.00015539719359478</v>
      </c>
      <c r="G1284" s="13" t="n">
        <f aca="false">($P$2-1)*(B1284-1/$P$2)</f>
        <v>1.99743188119913</v>
      </c>
      <c r="H1284" s="13" t="n">
        <f aca="false">E1284*SQRT(B1284/(1-B1284))</f>
        <v>0.0352532616224483</v>
      </c>
      <c r="I1284" s="13" t="n">
        <f aca="false">ABS(D1284)</f>
        <v>0.757179298061687</v>
      </c>
      <c r="J1284" s="6" t="n">
        <f aca="false">IF(B1284&gt;$P$4,1,0)</f>
        <v>0</v>
      </c>
      <c r="K1284" s="6" t="n">
        <f aca="false">IF(F1284&gt;$P$6,1,0)</f>
        <v>0</v>
      </c>
      <c r="L1284" s="6" t="n">
        <f aca="false">IF(G1284&gt;$P$9,1,0)</f>
        <v>0</v>
      </c>
      <c r="M1284" s="6" t="n">
        <f aca="false">IF(ABS(H1284)&gt;$P$8,1,0)</f>
        <v>0</v>
      </c>
    </row>
    <row r="1285" customFormat="false" ht="15" hidden="false" customHeight="false" outlineLevel="0" collapsed="false">
      <c r="A1285" s="0" t="n">
        <f aca="false">ROW()-1</f>
        <v>1284</v>
      </c>
      <c r="B1285" s="22" t="n">
        <f aca="false">SUMPRODUCT(MMULT('Analysis Data'!N1285:U1285,'Final Model'!$B$59:$I$66),'Analysis Data'!N1285:U1285)</f>
        <v>0.0130468758427907</v>
      </c>
      <c r="C1285" s="15" t="n">
        <f aca="false">'Residual Diagnostics'!F1285</f>
        <v>-19.5750046592408</v>
      </c>
      <c r="D1285" s="13" t="n">
        <f aca="false">C1285/('Final Model'!$B$21*SQRT(1-B1285))</f>
        <v>-0.401859111631618</v>
      </c>
      <c r="E1285" s="13" t="n">
        <f aca="false">D1285*SQRT(('Final Model'!$B$24-1)/('Final Model'!$B$24-D1285^2))</f>
        <v>-0.401736813603358</v>
      </c>
      <c r="F1285" s="23" t="n">
        <f aca="false">D1285^2/($P$3+1)*B1285/(1-B1285)</f>
        <v>0.000266850275870466</v>
      </c>
      <c r="G1285" s="13" t="n">
        <f aca="false">($P$2-1)*(B1285-1/$P$2)</f>
        <v>17.0706445429866</v>
      </c>
      <c r="H1285" s="13" t="n">
        <f aca="false">E1285*SQRT(B1285/(1-B1285))</f>
        <v>-0.0461898585554294</v>
      </c>
      <c r="I1285" s="13" t="n">
        <f aca="false">ABS(D1285)</f>
        <v>0.401859111631618</v>
      </c>
      <c r="J1285" s="6" t="n">
        <f aca="false">IF(B1285&gt;$P$4,1,0)</f>
        <v>1</v>
      </c>
      <c r="K1285" s="6" t="n">
        <f aca="false">IF(F1285&gt;$P$6,1,0)</f>
        <v>0</v>
      </c>
      <c r="L1285" s="6" t="n">
        <f aca="false">IF(G1285&gt;$P$9,1,0)</f>
        <v>1</v>
      </c>
      <c r="M1285" s="6" t="n">
        <f aca="false">IF(ABS(H1285)&gt;$P$8,1,0)</f>
        <v>0</v>
      </c>
    </row>
    <row r="1286" customFormat="false" ht="15" hidden="false" customHeight="false" outlineLevel="0" collapsed="false">
      <c r="A1286" s="0" t="n">
        <f aca="false">ROW()-1</f>
        <v>1285</v>
      </c>
      <c r="B1286" s="22" t="n">
        <f aca="false">SUMPRODUCT(MMULT('Analysis Data'!N1286:U1286,'Final Model'!$B$59:$I$66),'Analysis Data'!N1286:U1286)</f>
        <v>0.00556476826102263</v>
      </c>
      <c r="C1286" s="15" t="n">
        <f aca="false">'Residual Diagnostics'!F1286</f>
        <v>48.3885472011659</v>
      </c>
      <c r="D1286" s="13" t="n">
        <f aca="false">C1286/('Final Model'!$B$21*SQRT(1-B1286))</f>
        <v>0.989633847819153</v>
      </c>
      <c r="E1286" s="13" t="n">
        <f aca="false">D1286*SQRT(('Final Model'!$B$24-1)/('Final Model'!$B$24-D1286^2))</f>
        <v>0.989626436483765</v>
      </c>
      <c r="F1286" s="23" t="n">
        <f aca="false">D1286^2/($P$3+1)*B1286/(1-B1286)</f>
        <v>0.000685061680201545</v>
      </c>
      <c r="G1286" s="13" t="n">
        <f aca="false">($P$2-1)*(B1286-1/$P$2)</f>
        <v>6.70792554223784</v>
      </c>
      <c r="H1286" s="13" t="n">
        <f aca="false">E1286*SQRT(B1286/(1-B1286))</f>
        <v>0.0740298004552822</v>
      </c>
      <c r="I1286" s="13" t="n">
        <f aca="false">ABS(D1286)</f>
        <v>0.989633847819153</v>
      </c>
      <c r="J1286" s="6" t="n">
        <f aca="false">IF(B1286&gt;$P$4,1,0)</f>
        <v>0</v>
      </c>
      <c r="K1286" s="6" t="n">
        <f aca="false">IF(F1286&gt;$P$6,1,0)</f>
        <v>0</v>
      </c>
      <c r="L1286" s="6" t="n">
        <f aca="false">IF(G1286&gt;$P$9,1,0)</f>
        <v>0</v>
      </c>
      <c r="M1286" s="6" t="n">
        <f aca="false">IF(ABS(H1286)&gt;$P$8,1,0)</f>
        <v>0</v>
      </c>
    </row>
    <row r="1287" customFormat="false" ht="15" hidden="false" customHeight="false" outlineLevel="0" collapsed="false">
      <c r="A1287" s="0" t="n">
        <f aca="false">ROW()-1</f>
        <v>1286</v>
      </c>
      <c r="B1287" s="22" t="n">
        <f aca="false">SUMPRODUCT(MMULT('Analysis Data'!N1287:U1287,'Final Model'!$B$59:$I$66),'Analysis Data'!N1287:U1287)</f>
        <v>0.00572733698743701</v>
      </c>
      <c r="C1287" s="15" t="n">
        <f aca="false">'Residual Diagnostics'!F1287</f>
        <v>37.4672612675573</v>
      </c>
      <c r="D1287" s="13" t="n">
        <f aca="false">C1287/('Final Model'!$B$21*SQRT(1-B1287))</f>
        <v>0.766336318198821</v>
      </c>
      <c r="E1287" s="13" t="n">
        <f aca="false">D1287*SQRT(('Final Model'!$B$24-1)/('Final Model'!$B$24-D1287^2))</f>
        <v>0.766221496895704</v>
      </c>
      <c r="F1287" s="23" t="n">
        <f aca="false">D1287^2/($P$3+1)*B1287/(1-B1287)</f>
        <v>0.000422859476137403</v>
      </c>
      <c r="G1287" s="13" t="n">
        <f aca="false">($P$2-1)*(B1287-1/$P$2)</f>
        <v>6.93308322832175</v>
      </c>
      <c r="H1287" s="13" t="n">
        <f aca="false">E1287*SQRT(B1287/(1-B1287))</f>
        <v>0.0581537802939672</v>
      </c>
      <c r="I1287" s="13" t="n">
        <f aca="false">ABS(D1287)</f>
        <v>0.766336318198821</v>
      </c>
      <c r="J1287" s="6" t="n">
        <f aca="false">IF(B1287&gt;$P$4,1,0)</f>
        <v>0</v>
      </c>
      <c r="K1287" s="6" t="n">
        <f aca="false">IF(F1287&gt;$P$6,1,0)</f>
        <v>0</v>
      </c>
      <c r="L1287" s="6" t="n">
        <f aca="false">IF(G1287&gt;$P$9,1,0)</f>
        <v>0</v>
      </c>
      <c r="M1287" s="6" t="n">
        <f aca="false">IF(ABS(H1287)&gt;$P$8,1,0)</f>
        <v>0</v>
      </c>
    </row>
    <row r="1288" customFormat="false" ht="15" hidden="false" customHeight="false" outlineLevel="0" collapsed="false">
      <c r="A1288" s="0" t="n">
        <f aca="false">ROW()-1</f>
        <v>1287</v>
      </c>
      <c r="B1288" s="22" t="n">
        <f aca="false">SUMPRODUCT(MMULT('Analysis Data'!N1288:U1288,'Final Model'!$B$59:$I$66),'Analysis Data'!N1288:U1288)</f>
        <v>0.00526228954166474</v>
      </c>
      <c r="C1288" s="15" t="n">
        <f aca="false">'Residual Diagnostics'!F1288</f>
        <v>-46.956134700663</v>
      </c>
      <c r="D1288" s="13" t="n">
        <f aca="false">C1288/('Final Model'!$B$21*SQRT(1-B1288))</f>
        <v>-0.960192385067266</v>
      </c>
      <c r="E1288" s="13" t="n">
        <f aca="false">D1288*SQRT(('Final Model'!$B$24-1)/('Final Model'!$B$24-D1288^2))</f>
        <v>-0.960165180569055</v>
      </c>
      <c r="F1288" s="23" t="n">
        <f aca="false">D1288^2/($P$3+1)*B1288/(1-B1288)</f>
        <v>0.000609666996427556</v>
      </c>
      <c r="G1288" s="13" t="n">
        <f aca="false">($P$2-1)*(B1288-1/$P$2)</f>
        <v>6.28899251592717</v>
      </c>
      <c r="H1288" s="13" t="n">
        <f aca="false">E1288*SQRT(B1288/(1-B1288))</f>
        <v>-0.0698359477822305</v>
      </c>
      <c r="I1288" s="13" t="n">
        <f aca="false">ABS(D1288)</f>
        <v>0.960192385067266</v>
      </c>
      <c r="J1288" s="6" t="n">
        <f aca="false">IF(B1288&gt;$P$4,1,0)</f>
        <v>0</v>
      </c>
      <c r="K1288" s="6" t="n">
        <f aca="false">IF(F1288&gt;$P$6,1,0)</f>
        <v>0</v>
      </c>
      <c r="L1288" s="6" t="n">
        <f aca="false">IF(G1288&gt;$P$9,1,0)</f>
        <v>0</v>
      </c>
      <c r="M1288" s="6" t="n">
        <f aca="false">IF(ABS(H1288)&gt;$P$8,1,0)</f>
        <v>0</v>
      </c>
    </row>
    <row r="1289" customFormat="false" ht="15" hidden="false" customHeight="false" outlineLevel="0" collapsed="false">
      <c r="A1289" s="0" t="n">
        <f aca="false">ROW()-1</f>
        <v>1288</v>
      </c>
      <c r="B1289" s="22" t="n">
        <f aca="false">SUMPRODUCT(MMULT('Analysis Data'!N1289:U1289,'Final Model'!$B$59:$I$66),'Analysis Data'!N1289:U1289)</f>
        <v>0.00667632078523526</v>
      </c>
      <c r="C1289" s="15" t="n">
        <f aca="false">'Residual Diagnostics'!F1289</f>
        <v>-79.7060332549852</v>
      </c>
      <c r="D1289" s="13" t="n">
        <f aca="false">C1289/('Final Model'!$B$21*SQRT(1-B1289))</f>
        <v>-1.6310452530087</v>
      </c>
      <c r="E1289" s="13" t="n">
        <f aca="false">D1289*SQRT(('Final Model'!$B$24-1)/('Final Model'!$B$24-D1289^2))</f>
        <v>-1.63202945411679</v>
      </c>
      <c r="F1289" s="23" t="n">
        <f aca="false">D1289^2/($P$3+1)*B1289/(1-B1289)</f>
        <v>0.0022350561665957</v>
      </c>
      <c r="G1289" s="13" t="n">
        <f aca="false">($P$2-1)*(B1289-1/$P$2)</f>
        <v>8.24742578827233</v>
      </c>
      <c r="H1289" s="13" t="n">
        <f aca="false">E1289*SQRT(B1289/(1-B1289))</f>
        <v>-0.133798485014757</v>
      </c>
      <c r="I1289" s="13" t="n">
        <f aca="false">ABS(D1289)</f>
        <v>1.6310452530087</v>
      </c>
      <c r="J1289" s="6" t="n">
        <f aca="false">IF(B1289&gt;$P$4,1,0)</f>
        <v>0</v>
      </c>
      <c r="K1289" s="6" t="n">
        <f aca="false">IF(F1289&gt;$P$6,1,0)</f>
        <v>0</v>
      </c>
      <c r="L1289" s="6" t="n">
        <f aca="false">IF(G1289&gt;$P$9,1,0)</f>
        <v>0</v>
      </c>
      <c r="M1289" s="6" t="n">
        <f aca="false">IF(ABS(H1289)&gt;$P$8,1,0)</f>
        <v>0</v>
      </c>
    </row>
    <row r="1290" customFormat="false" ht="15" hidden="false" customHeight="false" outlineLevel="0" collapsed="false">
      <c r="A1290" s="0" t="n">
        <f aca="false">ROW()-1</f>
        <v>1289</v>
      </c>
      <c r="B1290" s="22" t="n">
        <f aca="false">SUMPRODUCT(MMULT('Analysis Data'!N1290:U1290,'Final Model'!$B$59:$I$66),'Analysis Data'!N1290:U1290)</f>
        <v>0.010809116601457</v>
      </c>
      <c r="C1290" s="15" t="n">
        <f aca="false">'Residual Diagnostics'!F1290</f>
        <v>12.546397698088</v>
      </c>
      <c r="D1290" s="13" t="n">
        <f aca="false">C1290/('Final Model'!$B$21*SQRT(1-B1290))</f>
        <v>0.257275959161686</v>
      </c>
      <c r="E1290" s="13" t="n">
        <f aca="false">D1290*SQRT(('Final Model'!$B$24-1)/('Final Model'!$B$24-D1290^2))</f>
        <v>0.257188767983772</v>
      </c>
      <c r="F1290" s="23" t="n">
        <f aca="false">D1290^2/($P$3+1)*B1290/(1-B1290)</f>
        <v>9.04104272483377E-005</v>
      </c>
      <c r="G1290" s="13" t="n">
        <f aca="false">($P$2-1)*(B1290-1/$P$2)</f>
        <v>13.9713479937394</v>
      </c>
      <c r="H1290" s="13" t="n">
        <f aca="false">E1290*SQRT(B1290/(1-B1290))</f>
        <v>0.0268848146275935</v>
      </c>
      <c r="I1290" s="13" t="n">
        <f aca="false">ABS(D1290)</f>
        <v>0.257275959161686</v>
      </c>
      <c r="J1290" s="6" t="n">
        <f aca="false">IF(B1290&gt;$P$4,1,0)</f>
        <v>0</v>
      </c>
      <c r="K1290" s="6" t="n">
        <f aca="false">IF(F1290&gt;$P$6,1,0)</f>
        <v>0</v>
      </c>
      <c r="L1290" s="6" t="n">
        <f aca="false">IF(G1290&gt;$P$9,1,0)</f>
        <v>1</v>
      </c>
      <c r="M1290" s="6" t="n">
        <f aca="false">IF(ABS(H1290)&gt;$P$8,1,0)</f>
        <v>0</v>
      </c>
    </row>
    <row r="1291" customFormat="false" ht="15" hidden="false" customHeight="false" outlineLevel="0" collapsed="false">
      <c r="A1291" s="0" t="n">
        <f aca="false">ROW()-1</f>
        <v>1290</v>
      </c>
      <c r="B1291" s="22" t="n">
        <f aca="false">SUMPRODUCT(MMULT('Analysis Data'!N1291:U1291,'Final Model'!$B$59:$I$66),'Analysis Data'!N1291:U1291)</f>
        <v>0.0101555107042608</v>
      </c>
      <c r="C1291" s="15" t="n">
        <f aca="false">'Residual Diagnostics'!F1291</f>
        <v>21.327163440044</v>
      </c>
      <c r="D1291" s="13" t="n">
        <f aca="false">C1291/('Final Model'!$B$21*SQRT(1-B1291))</f>
        <v>0.437189598880636</v>
      </c>
      <c r="E1291" s="13" t="n">
        <f aca="false">D1291*SQRT(('Final Model'!$B$24-1)/('Final Model'!$B$24-D1291^2))</f>
        <v>0.43706125038431</v>
      </c>
      <c r="F1291" s="23" t="n">
        <f aca="false">D1291^2/($P$3+1)*B1291/(1-B1291)</f>
        <v>0.00024512322055966</v>
      </c>
      <c r="G1291" s="13" t="n">
        <f aca="false">($P$2-1)*(B1291-1/$P$2)</f>
        <v>13.0661038261227</v>
      </c>
      <c r="H1291" s="13" t="n">
        <f aca="false">E1291*SQRT(B1291/(1-B1291))</f>
        <v>0.0442700184738498</v>
      </c>
      <c r="I1291" s="13" t="n">
        <f aca="false">ABS(D1291)</f>
        <v>0.437189598880636</v>
      </c>
      <c r="J1291" s="6" t="n">
        <f aca="false">IF(B1291&gt;$P$4,1,0)</f>
        <v>0</v>
      </c>
      <c r="K1291" s="6" t="n">
        <f aca="false">IF(F1291&gt;$P$6,1,0)</f>
        <v>0</v>
      </c>
      <c r="L1291" s="6" t="n">
        <f aca="false">IF(G1291&gt;$P$9,1,0)</f>
        <v>1</v>
      </c>
      <c r="M1291" s="6" t="n">
        <f aca="false">IF(ABS(H1291)&gt;$P$8,1,0)</f>
        <v>0</v>
      </c>
    </row>
    <row r="1292" customFormat="false" ht="15" hidden="false" customHeight="false" outlineLevel="0" collapsed="false">
      <c r="A1292" s="0" t="n">
        <f aca="false">ROW()-1</f>
        <v>1291</v>
      </c>
      <c r="B1292" s="22" t="n">
        <f aca="false">SUMPRODUCT(MMULT('Analysis Data'!N1292:U1292,'Final Model'!$B$59:$I$66),'Analysis Data'!N1292:U1292)</f>
        <v>0.00228161351181749</v>
      </c>
      <c r="C1292" s="15" t="n">
        <f aca="false">'Residual Diagnostics'!F1292</f>
        <v>18.2166502294315</v>
      </c>
      <c r="D1292" s="13" t="n">
        <f aca="false">C1292/('Final Model'!$B$21*SQRT(1-B1292))</f>
        <v>0.371950152100436</v>
      </c>
      <c r="E1292" s="13" t="n">
        <f aca="false">D1292*SQRT(('Final Model'!$B$24-1)/('Final Model'!$B$24-D1292^2))</f>
        <v>0.371833833413404</v>
      </c>
      <c r="F1292" s="23" t="n">
        <f aca="false">D1292^2/($P$3+1)*B1292/(1-B1292)</f>
        <v>3.95470049883955E-005</v>
      </c>
      <c r="G1292" s="13" t="n">
        <f aca="false">($P$2-1)*(B1292-1/$P$2)</f>
        <v>2.16075621458873</v>
      </c>
      <c r="H1292" s="13" t="n">
        <f aca="false">E1292*SQRT(B1292/(1-B1292))</f>
        <v>0.0177814001831836</v>
      </c>
      <c r="I1292" s="13" t="n">
        <f aca="false">ABS(D1292)</f>
        <v>0.371950152100436</v>
      </c>
      <c r="J1292" s="6" t="n">
        <f aca="false">IF(B1292&gt;$P$4,1,0)</f>
        <v>0</v>
      </c>
      <c r="K1292" s="6" t="n">
        <f aca="false">IF(F1292&gt;$P$6,1,0)</f>
        <v>0</v>
      </c>
      <c r="L1292" s="6" t="n">
        <f aca="false">IF(G1292&gt;$P$9,1,0)</f>
        <v>0</v>
      </c>
      <c r="M1292" s="6" t="n">
        <f aca="false">IF(ABS(H1292)&gt;$P$8,1,0)</f>
        <v>0</v>
      </c>
    </row>
    <row r="1293" customFormat="false" ht="15" hidden="false" customHeight="false" outlineLevel="0" collapsed="false">
      <c r="A1293" s="0" t="n">
        <f aca="false">ROW()-1</f>
        <v>1292</v>
      </c>
      <c r="B1293" s="22" t="n">
        <f aca="false">SUMPRODUCT(MMULT('Analysis Data'!N1293:U1293,'Final Model'!$B$59:$I$66),'Analysis Data'!N1293:U1293)</f>
        <v>0.00228161351181749</v>
      </c>
      <c r="C1293" s="15" t="n">
        <f aca="false">'Residual Diagnostics'!F1293</f>
        <v>46.9815264066733</v>
      </c>
      <c r="D1293" s="13" t="n">
        <f aca="false">C1293/('Final Model'!$B$21*SQRT(1-B1293))</f>
        <v>0.95927548000235</v>
      </c>
      <c r="E1293" s="13" t="n">
        <f aca="false">D1293*SQRT(('Final Model'!$B$24-1)/('Final Model'!$B$24-D1293^2))</f>
        <v>0.959247688500809</v>
      </c>
      <c r="F1293" s="23" t="n">
        <f aca="false">D1293^2/($P$3+1)*B1293/(1-B1293)</f>
        <v>0.000263045456431801</v>
      </c>
      <c r="G1293" s="13" t="n">
        <f aca="false">($P$2-1)*(B1293-1/$P$2)</f>
        <v>2.16075621458873</v>
      </c>
      <c r="H1293" s="13" t="n">
        <f aca="false">E1293*SQRT(B1293/(1-B1293))</f>
        <v>0.0458720145701831</v>
      </c>
      <c r="I1293" s="13" t="n">
        <f aca="false">ABS(D1293)</f>
        <v>0.95927548000235</v>
      </c>
      <c r="J1293" s="6" t="n">
        <f aca="false">IF(B1293&gt;$P$4,1,0)</f>
        <v>0</v>
      </c>
      <c r="K1293" s="6" t="n">
        <f aca="false">IF(F1293&gt;$P$6,1,0)</f>
        <v>0</v>
      </c>
      <c r="L1293" s="6" t="n">
        <f aca="false">IF(G1293&gt;$P$9,1,0)</f>
        <v>0</v>
      </c>
      <c r="M1293" s="6" t="n">
        <f aca="false">IF(ABS(H1293)&gt;$P$8,1,0)</f>
        <v>0</v>
      </c>
    </row>
    <row r="1294" customFormat="false" ht="15" hidden="false" customHeight="false" outlineLevel="0" collapsed="false">
      <c r="A1294" s="0" t="n">
        <f aca="false">ROW()-1</f>
        <v>1293</v>
      </c>
      <c r="B1294" s="22" t="n">
        <f aca="false">SUMPRODUCT(MMULT('Analysis Data'!N1294:U1294,'Final Model'!$B$59:$I$66),'Analysis Data'!N1294:U1294)</f>
        <v>0.00338301440651112</v>
      </c>
      <c r="C1294" s="15" t="n">
        <f aca="false">'Residual Diagnostics'!F1294</f>
        <v>8.10860351482671</v>
      </c>
      <c r="D1294" s="13" t="n">
        <f aca="false">C1294/('Final Model'!$B$21*SQRT(1-B1294))</f>
        <v>0.165654078051822</v>
      </c>
      <c r="E1294" s="13" t="n">
        <f aca="false">D1294*SQRT(('Final Model'!$B$24-1)/('Final Model'!$B$24-D1294^2))</f>
        <v>0.165595609269066</v>
      </c>
      <c r="F1294" s="23" t="n">
        <f aca="false">D1294^2/($P$3+1)*B1294/(1-B1294)</f>
        <v>1.16436686786233E-005</v>
      </c>
      <c r="G1294" s="13" t="n">
        <f aca="false">($P$2-1)*(B1294-1/$P$2)</f>
        <v>3.6861964537394</v>
      </c>
      <c r="H1294" s="13" t="n">
        <f aca="false">E1294*SQRT(B1294/(1-B1294))</f>
        <v>0.00964798453487548</v>
      </c>
      <c r="I1294" s="13" t="n">
        <f aca="false">ABS(D1294)</f>
        <v>0.165654078051822</v>
      </c>
      <c r="J1294" s="6" t="n">
        <f aca="false">IF(B1294&gt;$P$4,1,0)</f>
        <v>0</v>
      </c>
      <c r="K1294" s="6" t="n">
        <f aca="false">IF(F1294&gt;$P$6,1,0)</f>
        <v>0</v>
      </c>
      <c r="L1294" s="6" t="n">
        <f aca="false">IF(G1294&gt;$P$9,1,0)</f>
        <v>0</v>
      </c>
      <c r="M1294" s="6" t="n">
        <f aca="false">IF(ABS(H1294)&gt;$P$8,1,0)</f>
        <v>0</v>
      </c>
    </row>
    <row r="1295" customFormat="false" ht="15" hidden="false" customHeight="false" outlineLevel="0" collapsed="false">
      <c r="A1295" s="0" t="n">
        <f aca="false">ROW()-1</f>
        <v>1294</v>
      </c>
      <c r="B1295" s="22" t="n">
        <f aca="false">SUMPRODUCT(MMULT('Analysis Data'!N1295:U1295,'Final Model'!$B$59:$I$66),'Analysis Data'!N1295:U1295)</f>
        <v>0.00266146995864104</v>
      </c>
      <c r="C1295" s="15" t="n">
        <f aca="false">'Residual Diagnostics'!F1295</f>
        <v>-22.7767096318854</v>
      </c>
      <c r="D1295" s="13" t="n">
        <f aca="false">C1295/('Final Model'!$B$21*SQRT(1-B1295))</f>
        <v>-0.465146647681274</v>
      </c>
      <c r="E1295" s="13" t="n">
        <f aca="false">D1295*SQRT(('Final Model'!$B$24-1)/('Final Model'!$B$24-D1295^2))</f>
        <v>-0.465014348711957</v>
      </c>
      <c r="F1295" s="23" t="n">
        <f aca="false">D1295^2/($P$3+1)*B1295/(1-B1295)</f>
        <v>7.21720056942419E-005</v>
      </c>
      <c r="G1295" s="13" t="n">
        <f aca="false">($P$2-1)*(B1295-1/$P$2)</f>
        <v>2.68685739343934</v>
      </c>
      <c r="H1295" s="13" t="n">
        <f aca="false">E1295*SQRT(B1295/(1-B1295))</f>
        <v>-0.0240218161846056</v>
      </c>
      <c r="I1295" s="13" t="n">
        <f aca="false">ABS(D1295)</f>
        <v>0.465146647681274</v>
      </c>
      <c r="J1295" s="6" t="n">
        <f aca="false">IF(B1295&gt;$P$4,1,0)</f>
        <v>0</v>
      </c>
      <c r="K1295" s="6" t="n">
        <f aca="false">IF(F1295&gt;$P$6,1,0)</f>
        <v>0</v>
      </c>
      <c r="L1295" s="6" t="n">
        <f aca="false">IF(G1295&gt;$P$9,1,0)</f>
        <v>0</v>
      </c>
      <c r="M1295" s="6" t="n">
        <f aca="false">IF(ABS(H1295)&gt;$P$8,1,0)</f>
        <v>0</v>
      </c>
    </row>
    <row r="1296" customFormat="false" ht="15" hidden="false" customHeight="false" outlineLevel="0" collapsed="false">
      <c r="A1296" s="0" t="n">
        <f aca="false">ROW()-1</f>
        <v>1295</v>
      </c>
      <c r="B1296" s="22" t="n">
        <f aca="false">SUMPRODUCT(MMULT('Analysis Data'!N1296:U1296,'Final Model'!$B$59:$I$66),'Analysis Data'!N1296:U1296)</f>
        <v>0.00333668435299867</v>
      </c>
      <c r="C1296" s="15" t="n">
        <f aca="false">'Residual Diagnostics'!F1296</f>
        <v>29.9446644368432</v>
      </c>
      <c r="D1296" s="13" t="n">
        <f aca="false">C1296/('Final Model'!$B$21*SQRT(1-B1296))</f>
        <v>0.611737949161854</v>
      </c>
      <c r="E1296" s="13" t="n">
        <f aca="false">D1296*SQRT(('Final Model'!$B$24-1)/('Final Model'!$B$24-D1296^2))</f>
        <v>0.611598994580539</v>
      </c>
      <c r="F1296" s="23" t="n">
        <f aca="false">D1296^2/($P$3+1)*B1296/(1-B1296)</f>
        <v>0.000156605680120178</v>
      </c>
      <c r="G1296" s="13" t="n">
        <f aca="false">($P$2-1)*(B1296-1/$P$2)</f>
        <v>3.62202932962466</v>
      </c>
      <c r="H1296" s="13" t="n">
        <f aca="false">E1296*SQRT(B1296/(1-B1296))</f>
        <v>0.0353875167941638</v>
      </c>
      <c r="I1296" s="13" t="n">
        <f aca="false">ABS(D1296)</f>
        <v>0.611737949161854</v>
      </c>
      <c r="J1296" s="6" t="n">
        <f aca="false">IF(B1296&gt;$P$4,1,0)</f>
        <v>0</v>
      </c>
      <c r="K1296" s="6" t="n">
        <f aca="false">IF(F1296&gt;$P$6,1,0)</f>
        <v>0</v>
      </c>
      <c r="L1296" s="6" t="n">
        <f aca="false">IF(G1296&gt;$P$9,1,0)</f>
        <v>0</v>
      </c>
      <c r="M1296" s="6" t="n">
        <f aca="false">IF(ABS(H1296)&gt;$P$8,1,0)</f>
        <v>0</v>
      </c>
    </row>
    <row r="1297" customFormat="false" ht="15" hidden="false" customHeight="false" outlineLevel="0" collapsed="false">
      <c r="A1297" s="0" t="n">
        <f aca="false">ROW()-1</f>
        <v>1296</v>
      </c>
      <c r="B1297" s="22" t="n">
        <f aca="false">SUMPRODUCT(MMULT('Analysis Data'!N1297:U1297,'Final Model'!$B$59:$I$66),'Analysis Data'!N1297:U1297)</f>
        <v>0.0153770509903411</v>
      </c>
      <c r="C1297" s="15" t="n">
        <f aca="false">'Residual Diagnostics'!F1297</f>
        <v>-42.1407715534106</v>
      </c>
      <c r="D1297" s="13" t="n">
        <f aca="false">C1297/('Final Model'!$B$21*SQRT(1-B1297))</f>
        <v>-0.866139240327528</v>
      </c>
      <c r="E1297" s="13" t="n">
        <f aca="false">D1297*SQRT(('Final Model'!$B$24-1)/('Final Model'!$B$24-D1297^2))</f>
        <v>-0.866060687463348</v>
      </c>
      <c r="F1297" s="23" t="n">
        <f aca="false">D1297^2/($P$3+1)*B1297/(1-B1297)</f>
        <v>0.00146449719117998</v>
      </c>
      <c r="G1297" s="13" t="n">
        <f aca="false">($P$2-1)*(B1297-1/$P$2)</f>
        <v>20.2979371223439</v>
      </c>
      <c r="H1297" s="13" t="n">
        <f aca="false">E1297*SQRT(B1297/(1-B1297))</f>
        <v>-0.108230552566517</v>
      </c>
      <c r="I1297" s="13" t="n">
        <f aca="false">ABS(D1297)</f>
        <v>0.866139240327528</v>
      </c>
      <c r="J1297" s="6" t="n">
        <f aca="false">IF(B1297&gt;$P$4,1,0)</f>
        <v>1</v>
      </c>
      <c r="K1297" s="6" t="n">
        <f aca="false">IF(F1297&gt;$P$6,1,0)</f>
        <v>0</v>
      </c>
      <c r="L1297" s="6" t="n">
        <f aca="false">IF(G1297&gt;$P$9,1,0)</f>
        <v>1</v>
      </c>
      <c r="M1297" s="6" t="n">
        <f aca="false">IF(ABS(H1297)&gt;$P$8,1,0)</f>
        <v>0</v>
      </c>
    </row>
    <row r="1298" customFormat="false" ht="15" hidden="false" customHeight="false" outlineLevel="0" collapsed="false">
      <c r="A1298" s="0" t="n">
        <f aca="false">ROW()-1</f>
        <v>1297</v>
      </c>
      <c r="B1298" s="22" t="n">
        <f aca="false">SUMPRODUCT(MMULT('Analysis Data'!N1298:U1298,'Final Model'!$B$59:$I$66),'Analysis Data'!N1298:U1298)</f>
        <v>0.00529866855663924</v>
      </c>
      <c r="C1298" s="15" t="n">
        <f aca="false">'Residual Diagnostics'!F1298</f>
        <v>-61.7602375574861</v>
      </c>
      <c r="D1298" s="13" t="n">
        <f aca="false">C1298/('Final Model'!$B$21*SQRT(1-B1298))</f>
        <v>-1.26294028641034</v>
      </c>
      <c r="E1298" s="13" t="n">
        <f aca="false">D1298*SQRT(('Final Model'!$B$24-1)/('Final Model'!$B$24-D1298^2))</f>
        <v>-1.26321324067403</v>
      </c>
      <c r="F1298" s="23" t="n">
        <f aca="false">D1298^2/($P$3+1)*B1298/(1-B1298)</f>
        <v>0.00106206158846324</v>
      </c>
      <c r="G1298" s="13" t="n">
        <f aca="false">($P$2-1)*(B1298-1/$P$2)</f>
        <v>6.33937745166685</v>
      </c>
      <c r="H1298" s="13" t="n">
        <f aca="false">E1298*SQRT(B1298/(1-B1298))</f>
        <v>-0.0921963433709203</v>
      </c>
      <c r="I1298" s="13" t="n">
        <f aca="false">ABS(D1298)</f>
        <v>1.26294028641034</v>
      </c>
      <c r="J1298" s="6" t="n">
        <f aca="false">IF(B1298&gt;$P$4,1,0)</f>
        <v>0</v>
      </c>
      <c r="K1298" s="6" t="n">
        <f aca="false">IF(F1298&gt;$P$6,1,0)</f>
        <v>0</v>
      </c>
      <c r="L1298" s="6" t="n">
        <f aca="false">IF(G1298&gt;$P$9,1,0)</f>
        <v>0</v>
      </c>
      <c r="M1298" s="6" t="n">
        <f aca="false">IF(ABS(H1298)&gt;$P$8,1,0)</f>
        <v>0</v>
      </c>
    </row>
    <row r="1299" customFormat="false" ht="15" hidden="false" customHeight="false" outlineLevel="0" collapsed="false">
      <c r="A1299" s="0" t="n">
        <f aca="false">ROW()-1</f>
        <v>1298</v>
      </c>
      <c r="B1299" s="22" t="n">
        <f aca="false">SUMPRODUCT(MMULT('Analysis Data'!N1299:U1299,'Final Model'!$B$59:$I$66),'Analysis Data'!N1299:U1299)</f>
        <v>0.00505618782323901</v>
      </c>
      <c r="C1299" s="15" t="n">
        <f aca="false">'Residual Diagnostics'!F1299</f>
        <v>-5.67028465520838</v>
      </c>
      <c r="D1299" s="13" t="n">
        <f aca="false">C1299/('Final Model'!$B$21*SQRT(1-B1299))</f>
        <v>-0.115937996905034</v>
      </c>
      <c r="E1299" s="13" t="n">
        <f aca="false">D1299*SQRT(('Final Model'!$B$24-1)/('Final Model'!$B$24-D1299^2))</f>
        <v>-0.115896487036367</v>
      </c>
      <c r="F1299" s="23" t="n">
        <f aca="false">D1299^2/($P$3+1)*B1299/(1-B1299)</f>
        <v>8.53859159174333E-006</v>
      </c>
      <c r="G1299" s="13" t="n">
        <f aca="false">($P$2-1)*(B1299-1/$P$2)</f>
        <v>6.00354163590752</v>
      </c>
      <c r="H1299" s="13" t="n">
        <f aca="false">E1299*SQRT(B1299/(1-B1299))</f>
        <v>-0.00826195059575947</v>
      </c>
      <c r="I1299" s="13" t="n">
        <f aca="false">ABS(D1299)</f>
        <v>0.115937996905034</v>
      </c>
      <c r="J1299" s="6" t="n">
        <f aca="false">IF(B1299&gt;$P$4,1,0)</f>
        <v>0</v>
      </c>
      <c r="K1299" s="6" t="n">
        <f aca="false">IF(F1299&gt;$P$6,1,0)</f>
        <v>0</v>
      </c>
      <c r="L1299" s="6" t="n">
        <f aca="false">IF(G1299&gt;$P$9,1,0)</f>
        <v>0</v>
      </c>
      <c r="M1299" s="6" t="n">
        <f aca="false">IF(ABS(H1299)&gt;$P$8,1,0)</f>
        <v>0</v>
      </c>
    </row>
    <row r="1300" customFormat="false" ht="15" hidden="false" customHeight="false" outlineLevel="0" collapsed="false">
      <c r="A1300" s="0" t="n">
        <f aca="false">ROW()-1</f>
        <v>1299</v>
      </c>
      <c r="B1300" s="22" t="n">
        <f aca="false">SUMPRODUCT(MMULT('Analysis Data'!N1300:U1300,'Final Model'!$B$59:$I$66),'Analysis Data'!N1300:U1300)</f>
        <v>0.00632855710515018</v>
      </c>
      <c r="C1300" s="15" t="n">
        <f aca="false">'Residual Diagnostics'!F1300</f>
        <v>-58.0906815126135</v>
      </c>
      <c r="D1300" s="13" t="n">
        <f aca="false">C1300/('Final Model'!$B$21*SQRT(1-B1300))</f>
        <v>-1.18851666592291</v>
      </c>
      <c r="E1300" s="13" t="n">
        <f aca="false">D1300*SQRT(('Final Model'!$B$24-1)/('Final Model'!$B$24-D1300^2))</f>
        <v>-1.18869475552079</v>
      </c>
      <c r="F1300" s="23" t="n">
        <f aca="false">D1300^2/($P$3+1)*B1300/(1-B1300)</f>
        <v>0.0011245595535903</v>
      </c>
      <c r="G1300" s="13" t="n">
        <f aca="false">($P$2-1)*(B1300-1/$P$2)</f>
        <v>7.76577309135451</v>
      </c>
      <c r="H1300" s="13" t="n">
        <f aca="false">E1300*SQRT(B1300/(1-B1300))</f>
        <v>-0.0948639696038323</v>
      </c>
      <c r="I1300" s="13" t="n">
        <f aca="false">ABS(D1300)</f>
        <v>1.18851666592291</v>
      </c>
      <c r="J1300" s="6" t="n">
        <f aca="false">IF(B1300&gt;$P$4,1,0)</f>
        <v>0</v>
      </c>
      <c r="K1300" s="6" t="n">
        <f aca="false">IF(F1300&gt;$P$6,1,0)</f>
        <v>0</v>
      </c>
      <c r="L1300" s="6" t="n">
        <f aca="false">IF(G1300&gt;$P$9,1,0)</f>
        <v>0</v>
      </c>
      <c r="M1300" s="6" t="n">
        <f aca="false">IF(ABS(H1300)&gt;$P$8,1,0)</f>
        <v>0</v>
      </c>
    </row>
    <row r="1301" customFormat="false" ht="15" hidden="false" customHeight="false" outlineLevel="0" collapsed="false">
      <c r="A1301" s="0" t="n">
        <f aca="false">ROW()-1</f>
        <v>1300</v>
      </c>
      <c r="B1301" s="22" t="n">
        <f aca="false">SUMPRODUCT(MMULT('Analysis Data'!N1301:U1301,'Final Model'!$B$59:$I$66),'Analysis Data'!N1301:U1301)</f>
        <v>0.00998639911775068</v>
      </c>
      <c r="C1301" s="15" t="n">
        <f aca="false">'Residual Diagnostics'!F1301</f>
        <v>76.6947959373435</v>
      </c>
      <c r="D1301" s="13" t="n">
        <f aca="false">C1301/('Final Model'!$B$21*SQRT(1-B1301))</f>
        <v>1.57204699422013</v>
      </c>
      <c r="E1301" s="13" t="n">
        <f aca="false">D1301*SQRT(('Final Model'!$B$24-1)/('Final Model'!$B$24-D1301^2))</f>
        <v>1.57288753812062</v>
      </c>
      <c r="F1301" s="23" t="n">
        <f aca="false">D1301^2/($P$3+1)*B1301/(1-B1301)</f>
        <v>0.00311608158794657</v>
      </c>
      <c r="G1301" s="13" t="n">
        <f aca="false">($P$2-1)*(B1301-1/$P$2)</f>
        <v>12.8318842788062</v>
      </c>
      <c r="H1301" s="13" t="n">
        <f aca="false">E1301*SQRT(B1301/(1-B1301))</f>
        <v>0.157972521635403</v>
      </c>
      <c r="I1301" s="13" t="n">
        <f aca="false">ABS(D1301)</f>
        <v>1.57204699422013</v>
      </c>
      <c r="J1301" s="6" t="n">
        <f aca="false">IF(B1301&gt;$P$4,1,0)</f>
        <v>0</v>
      </c>
      <c r="K1301" s="6" t="n">
        <f aca="false">IF(F1301&gt;$P$6,1,0)</f>
        <v>1</v>
      </c>
      <c r="L1301" s="6" t="n">
        <f aca="false">IF(G1301&gt;$P$9,1,0)</f>
        <v>1</v>
      </c>
      <c r="M1301" s="6" t="n">
        <f aca="false">IF(ABS(H1301)&gt;$P$8,1,0)</f>
        <v>1</v>
      </c>
    </row>
    <row r="1302" customFormat="false" ht="15" hidden="false" customHeight="false" outlineLevel="0" collapsed="false">
      <c r="A1302" s="0" t="n">
        <f aca="false">ROW()-1</f>
        <v>1301</v>
      </c>
      <c r="B1302" s="22" t="n">
        <f aca="false">SUMPRODUCT(MMULT('Analysis Data'!N1302:U1302,'Final Model'!$B$59:$I$66),'Analysis Data'!N1302:U1302)</f>
        <v>0.0105688075457565</v>
      </c>
      <c r="C1302" s="15" t="n">
        <f aca="false">'Residual Diagnostics'!F1302</f>
        <v>-11.1099851850483</v>
      </c>
      <c r="D1302" s="13" t="n">
        <f aca="false">C1302/('Final Model'!$B$21*SQRT(1-B1302))</f>
        <v>-0.227793270416519</v>
      </c>
      <c r="E1302" s="13" t="n">
        <f aca="false">D1302*SQRT(('Final Model'!$B$24-1)/('Final Model'!$B$24-D1302^2))</f>
        <v>-0.227714889274712</v>
      </c>
      <c r="F1302" s="23" t="n">
        <f aca="false">D1302^2/($P$3+1)*B1302/(1-B1302)</f>
        <v>6.92838774033116E-005</v>
      </c>
      <c r="G1302" s="13" t="n">
        <f aca="false">($P$2-1)*(B1302-1/$P$2)</f>
        <v>13.6385199515943</v>
      </c>
      <c r="H1302" s="13" t="n">
        <f aca="false">E1302*SQRT(B1302/(1-B1302))</f>
        <v>-0.0235348602675052</v>
      </c>
      <c r="I1302" s="13" t="n">
        <f aca="false">ABS(D1302)</f>
        <v>0.227793270416519</v>
      </c>
      <c r="J1302" s="6" t="n">
        <f aca="false">IF(B1302&gt;$P$4,1,0)</f>
        <v>0</v>
      </c>
      <c r="K1302" s="6" t="n">
        <f aca="false">IF(F1302&gt;$P$6,1,0)</f>
        <v>0</v>
      </c>
      <c r="L1302" s="6" t="n">
        <f aca="false">IF(G1302&gt;$P$9,1,0)</f>
        <v>1</v>
      </c>
      <c r="M1302" s="6" t="n">
        <f aca="false">IF(ABS(H1302)&gt;$P$8,1,0)</f>
        <v>0</v>
      </c>
    </row>
    <row r="1303" customFormat="false" ht="15" hidden="false" customHeight="false" outlineLevel="0" collapsed="false">
      <c r="A1303" s="0" t="n">
        <f aca="false">ROW()-1</f>
        <v>1302</v>
      </c>
      <c r="B1303" s="22" t="n">
        <f aca="false">SUMPRODUCT(MMULT('Analysis Data'!N1303:U1303,'Final Model'!$B$59:$I$66),'Analysis Data'!N1303:U1303)</f>
        <v>0.00206312592138583</v>
      </c>
      <c r="C1303" s="15" t="n">
        <f aca="false">'Residual Diagnostics'!F1303</f>
        <v>-74.6058864274563</v>
      </c>
      <c r="D1303" s="13" t="n">
        <f aca="false">C1303/('Final Model'!$B$21*SQRT(1-B1303))</f>
        <v>-1.52314682128302</v>
      </c>
      <c r="E1303" s="13" t="n">
        <f aca="false">D1303*SQRT(('Final Model'!$B$24-1)/('Final Model'!$B$24-D1303^2))</f>
        <v>-1.52387738199931</v>
      </c>
      <c r="F1303" s="23" t="n">
        <f aca="false">D1303^2/($P$3+1)*B1303/(1-B1303)</f>
        <v>0.000599537310473686</v>
      </c>
      <c r="G1303" s="13" t="n">
        <f aca="false">($P$2-1)*(B1303-1/$P$2)</f>
        <v>1.85815090184088</v>
      </c>
      <c r="H1303" s="13" t="n">
        <f aca="false">E1303*SQRT(B1303/(1-B1303))</f>
        <v>-0.069288531312404</v>
      </c>
      <c r="I1303" s="13" t="n">
        <f aca="false">ABS(D1303)</f>
        <v>1.52314682128302</v>
      </c>
      <c r="J1303" s="6" t="n">
        <f aca="false">IF(B1303&gt;$P$4,1,0)</f>
        <v>0</v>
      </c>
      <c r="K1303" s="6" t="n">
        <f aca="false">IF(F1303&gt;$P$6,1,0)</f>
        <v>0</v>
      </c>
      <c r="L1303" s="6" t="n">
        <f aca="false">IF(G1303&gt;$P$9,1,0)</f>
        <v>0</v>
      </c>
      <c r="M1303" s="6" t="n">
        <f aca="false">IF(ABS(H1303)&gt;$P$8,1,0)</f>
        <v>0</v>
      </c>
    </row>
    <row r="1304" customFormat="false" ht="15" hidden="false" customHeight="false" outlineLevel="0" collapsed="false">
      <c r="A1304" s="0" t="n">
        <f aca="false">ROW()-1</f>
        <v>1303</v>
      </c>
      <c r="B1304" s="22" t="n">
        <f aca="false">SUMPRODUCT(MMULT('Analysis Data'!N1304:U1304,'Final Model'!$B$59:$I$66),'Analysis Data'!N1304:U1304)</f>
        <v>0.00193196054352624</v>
      </c>
      <c r="C1304" s="15" t="n">
        <f aca="false">'Residual Diagnostics'!F1304</f>
        <v>8.34245245730659</v>
      </c>
      <c r="D1304" s="13" t="n">
        <f aca="false">C1304/('Final Model'!$B$21*SQRT(1-B1304))</f>
        <v>0.170307539594343</v>
      </c>
      <c r="E1304" s="13" t="n">
        <f aca="false">D1304*SQRT(('Final Model'!$B$24-1)/('Final Model'!$B$24-D1304^2))</f>
        <v>0.170247524916848</v>
      </c>
      <c r="F1304" s="23" t="n">
        <f aca="false">D1304^2/($P$3+1)*B1304/(1-B1304)</f>
        <v>7.01804044184231E-006</v>
      </c>
      <c r="G1304" s="13" t="n">
        <f aca="false">($P$2-1)*(B1304-1/$P$2)</f>
        <v>1.67648685350535</v>
      </c>
      <c r="H1304" s="13" t="n">
        <f aca="false">E1304*SQRT(B1304/(1-B1304))</f>
        <v>0.00749031114894054</v>
      </c>
      <c r="I1304" s="13" t="n">
        <f aca="false">ABS(D1304)</f>
        <v>0.170307539594343</v>
      </c>
      <c r="J1304" s="6" t="n">
        <f aca="false">IF(B1304&gt;$P$4,1,0)</f>
        <v>0</v>
      </c>
      <c r="K1304" s="6" t="n">
        <f aca="false">IF(F1304&gt;$P$6,1,0)</f>
        <v>0</v>
      </c>
      <c r="L1304" s="6" t="n">
        <f aca="false">IF(G1304&gt;$P$9,1,0)</f>
        <v>0</v>
      </c>
      <c r="M1304" s="6" t="n">
        <f aca="false">IF(ABS(H1304)&gt;$P$8,1,0)</f>
        <v>0</v>
      </c>
    </row>
    <row r="1305" customFormat="false" ht="15" hidden="false" customHeight="false" outlineLevel="0" collapsed="false">
      <c r="A1305" s="0" t="n">
        <f aca="false">ROW()-1</f>
        <v>1304</v>
      </c>
      <c r="B1305" s="22" t="n">
        <f aca="false">SUMPRODUCT(MMULT('Analysis Data'!N1305:U1305,'Final Model'!$B$59:$I$66),'Analysis Data'!N1305:U1305)</f>
        <v>0.00198901347219129</v>
      </c>
      <c r="C1305" s="15" t="n">
        <f aca="false">'Residual Diagnostics'!F1305</f>
        <v>-75.6098253860928</v>
      </c>
      <c r="D1305" s="13" t="n">
        <f aca="false">C1305/('Final Model'!$B$21*SQRT(1-B1305))</f>
        <v>-1.54358582880573</v>
      </c>
      <c r="E1305" s="13" t="n">
        <f aca="false">D1305*SQRT(('Final Model'!$B$24-1)/('Final Model'!$B$24-D1305^2))</f>
        <v>-1.54436137662223</v>
      </c>
      <c r="F1305" s="23" t="n">
        <f aca="false">D1305^2/($P$3+1)*B1305/(1-B1305)</f>
        <v>0.000593572785776842</v>
      </c>
      <c r="G1305" s="13" t="n">
        <f aca="false">($P$2-1)*(B1305-1/$P$2)</f>
        <v>1.75550515970643</v>
      </c>
      <c r="H1305" s="13" t="n">
        <f aca="false">E1305*SQRT(B1305/(1-B1305))</f>
        <v>-0.0689445804242508</v>
      </c>
      <c r="I1305" s="13" t="n">
        <f aca="false">ABS(D1305)</f>
        <v>1.54358582880573</v>
      </c>
      <c r="J1305" s="6" t="n">
        <f aca="false">IF(B1305&gt;$P$4,1,0)</f>
        <v>0</v>
      </c>
      <c r="K1305" s="6" t="n">
        <f aca="false">IF(F1305&gt;$P$6,1,0)</f>
        <v>0</v>
      </c>
      <c r="L1305" s="6" t="n">
        <f aca="false">IF(G1305&gt;$P$9,1,0)</f>
        <v>0</v>
      </c>
      <c r="M1305" s="6" t="n">
        <f aca="false">IF(ABS(H1305)&gt;$P$8,1,0)</f>
        <v>0</v>
      </c>
    </row>
    <row r="1306" customFormat="false" ht="15" hidden="false" customHeight="false" outlineLevel="0" collapsed="false">
      <c r="A1306" s="0" t="n">
        <f aca="false">ROW()-1</f>
        <v>1305</v>
      </c>
      <c r="B1306" s="22" t="n">
        <f aca="false">SUMPRODUCT(MMULT('Analysis Data'!N1306:U1306,'Final Model'!$B$59:$I$66),'Analysis Data'!N1306:U1306)</f>
        <v>0.00285653040146991</v>
      </c>
      <c r="C1306" s="15" t="n">
        <f aca="false">'Residual Diagnostics'!F1306</f>
        <v>101.684603851854</v>
      </c>
      <c r="D1306" s="13" t="n">
        <f aca="false">C1306/('Final Model'!$B$21*SQRT(1-B1306))</f>
        <v>2.07680913374968</v>
      </c>
      <c r="E1306" s="13" t="n">
        <f aca="false">D1306*SQRT(('Final Model'!$B$24-1)/('Final Model'!$B$24-D1306^2))</f>
        <v>2.07931210870185</v>
      </c>
      <c r="F1306" s="23" t="n">
        <f aca="false">D1306^2/($P$3+1)*B1306/(1-B1306)</f>
        <v>0.00154448745263957</v>
      </c>
      <c r="G1306" s="13" t="n">
        <f aca="false">($P$2-1)*(B1306-1/$P$2)</f>
        <v>2.95701610675732</v>
      </c>
      <c r="H1306" s="13" t="n">
        <f aca="false">E1306*SQRT(B1306/(1-B1306))</f>
        <v>0.111291061110976</v>
      </c>
      <c r="I1306" s="13" t="n">
        <f aca="false">ABS(D1306)</f>
        <v>2.07680913374968</v>
      </c>
      <c r="J1306" s="6" t="n">
        <f aca="false">IF(B1306&gt;$P$4,1,0)</f>
        <v>0</v>
      </c>
      <c r="K1306" s="6" t="n">
        <f aca="false">IF(F1306&gt;$P$6,1,0)</f>
        <v>0</v>
      </c>
      <c r="L1306" s="6" t="n">
        <f aca="false">IF(G1306&gt;$P$9,1,0)</f>
        <v>0</v>
      </c>
      <c r="M1306" s="6" t="n">
        <f aca="false">IF(ABS(H1306)&gt;$P$8,1,0)</f>
        <v>0</v>
      </c>
    </row>
    <row r="1307" customFormat="false" ht="15" hidden="false" customHeight="false" outlineLevel="0" collapsed="false">
      <c r="A1307" s="0" t="n">
        <f aca="false">ROW()-1</f>
        <v>1306</v>
      </c>
      <c r="B1307" s="22" t="n">
        <f aca="false">SUMPRODUCT(MMULT('Analysis Data'!N1307:U1307,'Final Model'!$B$59:$I$66),'Analysis Data'!N1307:U1307)</f>
        <v>0.0038862393846458</v>
      </c>
      <c r="C1307" s="15" t="n">
        <f aca="false">'Residual Diagnostics'!F1307</f>
        <v>5.85130736811991</v>
      </c>
      <c r="D1307" s="13" t="n">
        <f aca="false">C1307/('Final Model'!$B$21*SQRT(1-B1307))</f>
        <v>0.119569014871733</v>
      </c>
      <c r="E1307" s="13" t="n">
        <f aca="false">D1307*SQRT(('Final Model'!$B$24-1)/('Final Model'!$B$24-D1307^2))</f>
        <v>0.119526242058204</v>
      </c>
      <c r="F1307" s="23" t="n">
        <f aca="false">D1307^2/($P$3+1)*B1307/(1-B1307)</f>
        <v>6.97216930264976E-006</v>
      </c>
      <c r="G1307" s="13" t="n">
        <f aca="false">($P$2-1)*(B1307-1/$P$2)</f>
        <v>4.38316304845594</v>
      </c>
      <c r="H1307" s="13" t="n">
        <f aca="false">E1307*SQRT(B1307/(1-B1307))</f>
        <v>0.00746575218327894</v>
      </c>
      <c r="I1307" s="13" t="n">
        <f aca="false">ABS(D1307)</f>
        <v>0.119569014871733</v>
      </c>
      <c r="J1307" s="6" t="n">
        <f aca="false">IF(B1307&gt;$P$4,1,0)</f>
        <v>0</v>
      </c>
      <c r="K1307" s="6" t="n">
        <f aca="false">IF(F1307&gt;$P$6,1,0)</f>
        <v>0</v>
      </c>
      <c r="L1307" s="6" t="n">
        <f aca="false">IF(G1307&gt;$P$9,1,0)</f>
        <v>0</v>
      </c>
      <c r="M1307" s="6" t="n">
        <f aca="false">IF(ABS(H1307)&gt;$P$8,1,0)</f>
        <v>0</v>
      </c>
    </row>
    <row r="1308" customFormat="false" ht="15" hidden="false" customHeight="false" outlineLevel="0" collapsed="false">
      <c r="A1308" s="0" t="n">
        <f aca="false">ROW()-1</f>
        <v>1307</v>
      </c>
      <c r="B1308" s="22" t="n">
        <f aca="false">SUMPRODUCT(MMULT('Analysis Data'!N1308:U1308,'Final Model'!$B$59:$I$66),'Analysis Data'!N1308:U1308)</f>
        <v>0.0158559303999024</v>
      </c>
      <c r="C1308" s="15" t="n">
        <f aca="false">'Residual Diagnostics'!F1308</f>
        <v>-12.5913733652655</v>
      </c>
      <c r="D1308" s="13" t="n">
        <f aca="false">C1308/('Final Model'!$B$21*SQRT(1-B1308))</f>
        <v>-0.25885941831281</v>
      </c>
      <c r="E1308" s="13" t="n">
        <f aca="false">D1308*SQRT(('Final Model'!$B$24-1)/('Final Model'!$B$24-D1308^2))</f>
        <v>-0.258771767239693</v>
      </c>
      <c r="F1308" s="23" t="n">
        <f aca="false">D1308^2/($P$3+1)*B1308/(1-B1308)</f>
        <v>0.000134949414884174</v>
      </c>
      <c r="G1308" s="13" t="n">
        <f aca="false">($P$2-1)*(B1308-1/$P$2)</f>
        <v>20.9611851045864</v>
      </c>
      <c r="H1308" s="13" t="n">
        <f aca="false">E1308*SQRT(B1308/(1-B1308))</f>
        <v>-0.0328460702409768</v>
      </c>
      <c r="I1308" s="13" t="n">
        <f aca="false">ABS(D1308)</f>
        <v>0.25885941831281</v>
      </c>
      <c r="J1308" s="6" t="n">
        <f aca="false">IF(B1308&gt;$P$4,1,0)</f>
        <v>1</v>
      </c>
      <c r="K1308" s="6" t="n">
        <f aca="false">IF(F1308&gt;$P$6,1,0)</f>
        <v>0</v>
      </c>
      <c r="L1308" s="6" t="n">
        <f aca="false">IF(G1308&gt;$P$9,1,0)</f>
        <v>1</v>
      </c>
      <c r="M1308" s="6" t="n">
        <f aca="false">IF(ABS(H1308)&gt;$P$8,1,0)</f>
        <v>0</v>
      </c>
    </row>
    <row r="1309" customFormat="false" ht="15" hidden="false" customHeight="false" outlineLevel="0" collapsed="false">
      <c r="A1309" s="0" t="n">
        <f aca="false">ROW()-1</f>
        <v>1308</v>
      </c>
      <c r="B1309" s="22" t="n">
        <f aca="false">SUMPRODUCT(MMULT('Analysis Data'!N1309:U1309,'Final Model'!$B$59:$I$66),'Analysis Data'!N1309:U1309)</f>
        <v>0.00746303900299714</v>
      </c>
      <c r="C1309" s="15" t="n">
        <f aca="false">'Residual Diagnostics'!F1309</f>
        <v>-38.6136813403829</v>
      </c>
      <c r="D1309" s="13" t="n">
        <f aca="false">C1309/('Final Model'!$B$21*SQRT(1-B1309))</f>
        <v>-0.790474879139202</v>
      </c>
      <c r="E1309" s="13" t="n">
        <f aca="false">D1309*SQRT(('Final Model'!$B$24-1)/('Final Model'!$B$24-D1309^2))</f>
        <v>-0.790367222767056</v>
      </c>
      <c r="F1309" s="23" t="n">
        <f aca="false">D1309^2/($P$3+1)*B1309/(1-B1309)</f>
        <v>0.00058729348296851</v>
      </c>
      <c r="G1309" s="13" t="n">
        <f aca="false">($P$2-1)*(B1309-1/$P$2)</f>
        <v>9.33703051987254</v>
      </c>
      <c r="H1309" s="13" t="n">
        <f aca="false">E1309*SQRT(B1309/(1-B1309))</f>
        <v>-0.0685351602894664</v>
      </c>
      <c r="I1309" s="13" t="n">
        <f aca="false">ABS(D1309)</f>
        <v>0.790474879139202</v>
      </c>
      <c r="J1309" s="6" t="n">
        <f aca="false">IF(B1309&gt;$P$4,1,0)</f>
        <v>0</v>
      </c>
      <c r="K1309" s="6" t="n">
        <f aca="false">IF(F1309&gt;$P$6,1,0)</f>
        <v>0</v>
      </c>
      <c r="L1309" s="6" t="n">
        <f aca="false">IF(G1309&gt;$P$9,1,0)</f>
        <v>0</v>
      </c>
      <c r="M1309" s="6" t="n">
        <f aca="false">IF(ABS(H1309)&gt;$P$8,1,0)</f>
        <v>0</v>
      </c>
    </row>
    <row r="1310" customFormat="false" ht="15" hidden="false" customHeight="false" outlineLevel="0" collapsed="false">
      <c r="A1310" s="0" t="n">
        <f aca="false">ROW()-1</f>
        <v>1309</v>
      </c>
      <c r="B1310" s="22" t="n">
        <f aca="false">SUMPRODUCT(MMULT('Analysis Data'!N1310:U1310,'Final Model'!$B$59:$I$66),'Analysis Data'!N1310:U1310)</f>
        <v>0.00746303900299714</v>
      </c>
      <c r="C1310" s="15" t="n">
        <f aca="false">'Residual Diagnostics'!F1310</f>
        <v>24.2044400324126</v>
      </c>
      <c r="D1310" s="13" t="n">
        <f aca="false">C1310/('Final Model'!$B$21*SQRT(1-B1310))</f>
        <v>0.495497998250785</v>
      </c>
      <c r="E1310" s="13" t="n">
        <f aca="false">D1310*SQRT(('Final Model'!$B$24-1)/('Final Model'!$B$24-D1310^2))</f>
        <v>0.495362308115638</v>
      </c>
      <c r="F1310" s="23" t="n">
        <f aca="false">D1310^2/($P$3+1)*B1310/(1-B1310)</f>
        <v>0.000230761229698273</v>
      </c>
      <c r="G1310" s="13" t="n">
        <f aca="false">($P$2-1)*(B1310-1/$P$2)</f>
        <v>9.33703051987254</v>
      </c>
      <c r="H1310" s="13" t="n">
        <f aca="false">E1310*SQRT(B1310/(1-B1310))</f>
        <v>0.04295438146993</v>
      </c>
      <c r="I1310" s="13" t="n">
        <f aca="false">ABS(D1310)</f>
        <v>0.495497998250785</v>
      </c>
      <c r="J1310" s="6" t="n">
        <f aca="false">IF(B1310&gt;$P$4,1,0)</f>
        <v>0</v>
      </c>
      <c r="K1310" s="6" t="n">
        <f aca="false">IF(F1310&gt;$P$6,1,0)</f>
        <v>0</v>
      </c>
      <c r="L1310" s="6" t="n">
        <f aca="false">IF(G1310&gt;$P$9,1,0)</f>
        <v>0</v>
      </c>
      <c r="M1310" s="6" t="n">
        <f aca="false">IF(ABS(H1310)&gt;$P$8,1,0)</f>
        <v>0</v>
      </c>
    </row>
    <row r="1311" customFormat="false" ht="15" hidden="false" customHeight="false" outlineLevel="0" collapsed="false">
      <c r="A1311" s="0" t="n">
        <f aca="false">ROW()-1</f>
        <v>1310</v>
      </c>
      <c r="B1311" s="22" t="n">
        <f aca="false">SUMPRODUCT(MMULT('Analysis Data'!N1311:U1311,'Final Model'!$B$59:$I$66),'Analysis Data'!N1311:U1311)</f>
        <v>0.00245757096629676</v>
      </c>
      <c r="C1311" s="15" t="n">
        <f aca="false">'Residual Diagnostics'!F1311</f>
        <v>7.24413309427624</v>
      </c>
      <c r="D1311" s="13" t="n">
        <f aca="false">C1311/('Final Model'!$B$21*SQRT(1-B1311))</f>
        <v>0.147924783134903</v>
      </c>
      <c r="E1311" s="13" t="n">
        <f aca="false">D1311*SQRT(('Final Model'!$B$24-1)/('Final Model'!$B$24-D1311^2))</f>
        <v>0.147872273732134</v>
      </c>
      <c r="F1311" s="23" t="n">
        <f aca="false">D1311^2/($P$3+1)*B1311/(1-B1311)</f>
        <v>6.7385520345405E-006</v>
      </c>
      <c r="G1311" s="13" t="n">
        <f aca="false">($P$2-1)*(B1311-1/$P$2)</f>
        <v>2.40445728904251</v>
      </c>
      <c r="H1311" s="13" t="n">
        <f aca="false">E1311*SQRT(B1311/(1-B1311))</f>
        <v>0.00733962880074094</v>
      </c>
      <c r="I1311" s="13" t="n">
        <f aca="false">ABS(D1311)</f>
        <v>0.147924783134903</v>
      </c>
      <c r="J1311" s="6" t="n">
        <f aca="false">IF(B1311&gt;$P$4,1,0)</f>
        <v>0</v>
      </c>
      <c r="K1311" s="6" t="n">
        <f aca="false">IF(F1311&gt;$P$6,1,0)</f>
        <v>0</v>
      </c>
      <c r="L1311" s="6" t="n">
        <f aca="false">IF(G1311&gt;$P$9,1,0)</f>
        <v>0</v>
      </c>
      <c r="M1311" s="6" t="n">
        <f aca="false">IF(ABS(H1311)&gt;$P$8,1,0)</f>
        <v>0</v>
      </c>
    </row>
    <row r="1312" customFormat="false" ht="15" hidden="false" customHeight="false" outlineLevel="0" collapsed="false">
      <c r="A1312" s="0" t="n">
        <f aca="false">ROW()-1</f>
        <v>1311</v>
      </c>
      <c r="B1312" s="22" t="n">
        <f aca="false">SUMPRODUCT(MMULT('Analysis Data'!N1312:U1312,'Final Model'!$B$59:$I$66),'Analysis Data'!N1312:U1312)</f>
        <v>0.00245757096629676</v>
      </c>
      <c r="C1312" s="15" t="n">
        <f aca="false">'Residual Diagnostics'!F1312</f>
        <v>0.148034765535328</v>
      </c>
      <c r="D1312" s="13" t="n">
        <f aca="false">C1312/('Final Model'!$B$21*SQRT(1-B1312))</f>
        <v>0.00302286143880235</v>
      </c>
      <c r="E1312" s="13" t="n">
        <f aca="false">D1312*SQRT(('Final Model'!$B$24-1)/('Final Model'!$B$24-D1312^2))</f>
        <v>0.00302176442050026</v>
      </c>
      <c r="F1312" s="23" t="n">
        <f aca="false">D1312^2/($P$3+1)*B1312/(1-B1312)</f>
        <v>2.81398115642512E-009</v>
      </c>
      <c r="G1312" s="13" t="n">
        <f aca="false">($P$2-1)*(B1312-1/$P$2)</f>
        <v>2.40445728904251</v>
      </c>
      <c r="H1312" s="13" t="n">
        <f aca="false">E1312*SQRT(B1312/(1-B1312))</f>
        <v>0.000149985041887797</v>
      </c>
      <c r="I1312" s="13" t="n">
        <f aca="false">ABS(D1312)</f>
        <v>0.00302286143880235</v>
      </c>
      <c r="J1312" s="6" t="n">
        <f aca="false">IF(B1312&gt;$P$4,1,0)</f>
        <v>0</v>
      </c>
      <c r="K1312" s="6" t="n">
        <f aca="false">IF(F1312&gt;$P$6,1,0)</f>
        <v>0</v>
      </c>
      <c r="L1312" s="6" t="n">
        <f aca="false">IF(G1312&gt;$P$9,1,0)</f>
        <v>0</v>
      </c>
      <c r="M1312" s="6" t="n">
        <f aca="false">IF(ABS(H1312)&gt;$P$8,1,0)</f>
        <v>0</v>
      </c>
    </row>
    <row r="1313" customFormat="false" ht="15" hidden="false" customHeight="false" outlineLevel="0" collapsed="false">
      <c r="A1313" s="0" t="n">
        <f aca="false">ROW()-1</f>
        <v>1312</v>
      </c>
      <c r="B1313" s="22" t="n">
        <f aca="false">SUMPRODUCT(MMULT('Analysis Data'!N1313:U1313,'Final Model'!$B$59:$I$66),'Analysis Data'!N1313:U1313)</f>
        <v>0.00172284415375771</v>
      </c>
      <c r="C1313" s="15" t="n">
        <f aca="false">'Residual Diagnostics'!F1313</f>
        <v>-57.9856573118345</v>
      </c>
      <c r="D1313" s="13" t="n">
        <f aca="false">C1313/('Final Model'!$B$21*SQRT(1-B1313))</f>
        <v>-1.18362799062558</v>
      </c>
      <c r="E1313" s="13" t="n">
        <f aca="false">D1313*SQRT(('Final Model'!$B$24-1)/('Final Model'!$B$24-D1313^2))</f>
        <v>-1.18380036142126</v>
      </c>
      <c r="F1313" s="23" t="n">
        <f aca="false">D1313^2/($P$3+1)*B1313/(1-B1313)</f>
        <v>0.000302228438456773</v>
      </c>
      <c r="G1313" s="13" t="n">
        <f aca="false">($P$2-1)*(B1313-1/$P$2)</f>
        <v>1.38686065367594</v>
      </c>
      <c r="H1313" s="13" t="n">
        <f aca="false">E1313*SQRT(B1313/(1-B1313))</f>
        <v>-0.0491785702465575</v>
      </c>
      <c r="I1313" s="13" t="n">
        <f aca="false">ABS(D1313)</f>
        <v>1.18362799062558</v>
      </c>
      <c r="J1313" s="6" t="n">
        <f aca="false">IF(B1313&gt;$P$4,1,0)</f>
        <v>0</v>
      </c>
      <c r="K1313" s="6" t="n">
        <f aca="false">IF(F1313&gt;$P$6,1,0)</f>
        <v>0</v>
      </c>
      <c r="L1313" s="6" t="n">
        <f aca="false">IF(G1313&gt;$P$9,1,0)</f>
        <v>0</v>
      </c>
      <c r="M1313" s="6" t="n">
        <f aca="false">IF(ABS(H1313)&gt;$P$8,1,0)</f>
        <v>0</v>
      </c>
    </row>
    <row r="1314" customFormat="false" ht="15" hidden="false" customHeight="false" outlineLevel="0" collapsed="false">
      <c r="A1314" s="0" t="n">
        <f aca="false">ROW()-1</f>
        <v>1313</v>
      </c>
      <c r="B1314" s="22" t="n">
        <f aca="false">SUMPRODUCT(MMULT('Analysis Data'!N1314:U1314,'Final Model'!$B$59:$I$66),'Analysis Data'!N1314:U1314)</f>
        <v>0.00182244042856221</v>
      </c>
      <c r="C1314" s="15" t="n">
        <f aca="false">'Residual Diagnostics'!F1314</f>
        <v>8.62806153143794</v>
      </c>
      <c r="D1314" s="13" t="n">
        <f aca="false">C1314/('Final Model'!$B$21*SQRT(1-B1314))</f>
        <v>0.176128461450073</v>
      </c>
      <c r="E1314" s="13" t="n">
        <f aca="false">D1314*SQRT(('Final Model'!$B$24-1)/('Final Model'!$B$24-D1314^2))</f>
        <v>0.176066524369183</v>
      </c>
      <c r="F1314" s="23" t="n">
        <f aca="false">D1314^2/($P$3+1)*B1314/(1-B1314)</f>
        <v>7.07969641063646E-006</v>
      </c>
      <c r="G1314" s="13" t="n">
        <f aca="false">($P$2-1)*(B1314-1/$P$2)</f>
        <v>1.52480149428016</v>
      </c>
      <c r="H1314" s="13" t="n">
        <f aca="false">E1314*SQRT(B1314/(1-B1314))</f>
        <v>0.00752314722145851</v>
      </c>
      <c r="I1314" s="13" t="n">
        <f aca="false">ABS(D1314)</f>
        <v>0.176128461450073</v>
      </c>
      <c r="J1314" s="6" t="n">
        <f aca="false">IF(B1314&gt;$P$4,1,0)</f>
        <v>0</v>
      </c>
      <c r="K1314" s="6" t="n">
        <f aca="false">IF(F1314&gt;$P$6,1,0)</f>
        <v>0</v>
      </c>
      <c r="L1314" s="6" t="n">
        <f aca="false">IF(G1314&gt;$P$9,1,0)</f>
        <v>0</v>
      </c>
      <c r="M1314" s="6" t="n">
        <f aca="false">IF(ABS(H1314)&gt;$P$8,1,0)</f>
        <v>0</v>
      </c>
    </row>
    <row r="1315" customFormat="false" ht="15" hidden="false" customHeight="false" outlineLevel="0" collapsed="false">
      <c r="A1315" s="0" t="n">
        <f aca="false">ROW()-1</f>
        <v>1314</v>
      </c>
      <c r="B1315" s="22" t="n">
        <f aca="false">SUMPRODUCT(MMULT('Analysis Data'!N1315:U1315,'Final Model'!$B$59:$I$66),'Analysis Data'!N1315:U1315)</f>
        <v>0.0019558388836521</v>
      </c>
      <c r="C1315" s="15" t="n">
        <f aca="false">'Residual Diagnostics'!F1315</f>
        <v>39.7701217214146</v>
      </c>
      <c r="D1315" s="13" t="n">
        <f aca="false">C1315/('Final Model'!$B$21*SQRT(1-B1315))</f>
        <v>0.811899455010239</v>
      </c>
      <c r="E1315" s="13" t="n">
        <f aca="false">D1315*SQRT(('Final Model'!$B$24-1)/('Final Model'!$B$24-D1315^2))</f>
        <v>0.811798997628999</v>
      </c>
      <c r="F1315" s="23" t="n">
        <f aca="false">D1315^2/($P$3+1)*B1315/(1-B1315)</f>
        <v>0.000161472225331784</v>
      </c>
      <c r="G1315" s="13" t="n">
        <f aca="false">($P$2-1)*(B1315-1/$P$2)</f>
        <v>1.70955835457966</v>
      </c>
      <c r="H1315" s="13" t="n">
        <f aca="false">E1315*SQRT(B1315/(1-B1315))</f>
        <v>0.0359368634652116</v>
      </c>
      <c r="I1315" s="13" t="n">
        <f aca="false">ABS(D1315)</f>
        <v>0.811899455010239</v>
      </c>
      <c r="J1315" s="6" t="n">
        <f aca="false">IF(B1315&gt;$P$4,1,0)</f>
        <v>0</v>
      </c>
      <c r="K1315" s="6" t="n">
        <f aca="false">IF(F1315&gt;$P$6,1,0)</f>
        <v>0</v>
      </c>
      <c r="L1315" s="6" t="n">
        <f aca="false">IF(G1315&gt;$P$9,1,0)</f>
        <v>0</v>
      </c>
      <c r="M1315" s="6" t="n">
        <f aca="false">IF(ABS(H1315)&gt;$P$8,1,0)</f>
        <v>0</v>
      </c>
    </row>
    <row r="1316" customFormat="false" ht="15" hidden="false" customHeight="false" outlineLevel="0" collapsed="false">
      <c r="A1316" s="0" t="n">
        <f aca="false">ROW()-1</f>
        <v>1315</v>
      </c>
      <c r="B1316" s="22" t="n">
        <f aca="false">SUMPRODUCT(MMULT('Analysis Data'!N1316:U1316,'Final Model'!$B$59:$I$66),'Analysis Data'!N1316:U1316)</f>
        <v>0.00455132794585831</v>
      </c>
      <c r="C1316" s="15" t="n">
        <f aca="false">'Residual Diagnostics'!F1316</f>
        <v>-24.9223799025949</v>
      </c>
      <c r="D1316" s="13" t="n">
        <f aca="false">C1316/('Final Model'!$B$21*SQRT(1-B1316))</f>
        <v>-0.509448496505501</v>
      </c>
      <c r="E1316" s="13" t="n">
        <f aca="false">D1316*SQRT(('Final Model'!$B$24-1)/('Final Model'!$B$24-D1316^2))</f>
        <v>-0.509311577369287</v>
      </c>
      <c r="F1316" s="23" t="n">
        <f aca="false">D1316^2/($P$3+1)*B1316/(1-B1316)</f>
        <v>0.000148330288323945</v>
      </c>
      <c r="G1316" s="13" t="n">
        <f aca="false">($P$2-1)*(B1316-1/$P$2)</f>
        <v>5.30431070573526</v>
      </c>
      <c r="H1316" s="13" t="n">
        <f aca="false">E1316*SQRT(B1316/(1-B1316))</f>
        <v>-0.0344384167675882</v>
      </c>
      <c r="I1316" s="13" t="n">
        <f aca="false">ABS(D1316)</f>
        <v>0.509448496505501</v>
      </c>
      <c r="J1316" s="6" t="n">
        <f aca="false">IF(B1316&gt;$P$4,1,0)</f>
        <v>0</v>
      </c>
      <c r="K1316" s="6" t="n">
        <f aca="false">IF(F1316&gt;$P$6,1,0)</f>
        <v>0</v>
      </c>
      <c r="L1316" s="6" t="n">
        <f aca="false">IF(G1316&gt;$P$9,1,0)</f>
        <v>0</v>
      </c>
      <c r="M1316" s="6" t="n">
        <f aca="false">IF(ABS(H1316)&gt;$P$8,1,0)</f>
        <v>0</v>
      </c>
    </row>
    <row r="1317" customFormat="false" ht="15" hidden="false" customHeight="false" outlineLevel="0" collapsed="false">
      <c r="A1317" s="0" t="n">
        <f aca="false">ROW()-1</f>
        <v>1316</v>
      </c>
      <c r="B1317" s="22" t="n">
        <f aca="false">SUMPRODUCT(MMULT('Analysis Data'!N1317:U1317,'Final Model'!$B$59:$I$66),'Analysis Data'!N1317:U1317)</f>
        <v>0.00207338518784664</v>
      </c>
      <c r="C1317" s="15" t="n">
        <f aca="false">'Residual Diagnostics'!F1317</f>
        <v>-3.30622285957</v>
      </c>
      <c r="D1317" s="13" t="n">
        <f aca="false">C1317/('Final Model'!$B$21*SQRT(1-B1317))</f>
        <v>-0.0674998846054601</v>
      </c>
      <c r="E1317" s="13" t="n">
        <f aca="false">D1317*SQRT(('Final Model'!$B$24-1)/('Final Model'!$B$24-D1317^2))</f>
        <v>-0.0674754997358701</v>
      </c>
      <c r="F1317" s="23" t="n">
        <f aca="false">D1317^2/($P$3+1)*B1317/(1-B1317)</f>
        <v>1.18330707165684E-006</v>
      </c>
      <c r="G1317" s="13" t="n">
        <f aca="false">($P$2-1)*(B1317-1/$P$2)</f>
        <v>1.8723599858891</v>
      </c>
      <c r="H1317" s="13" t="n">
        <f aca="false">E1317*SQRT(B1317/(1-B1317))</f>
        <v>-0.00307564922307521</v>
      </c>
      <c r="I1317" s="13" t="n">
        <f aca="false">ABS(D1317)</f>
        <v>0.0674998846054601</v>
      </c>
      <c r="J1317" s="6" t="n">
        <f aca="false">IF(B1317&gt;$P$4,1,0)</f>
        <v>0</v>
      </c>
      <c r="K1317" s="6" t="n">
        <f aca="false">IF(F1317&gt;$P$6,1,0)</f>
        <v>0</v>
      </c>
      <c r="L1317" s="6" t="n">
        <f aca="false">IF(G1317&gt;$P$9,1,0)</f>
        <v>0</v>
      </c>
      <c r="M1317" s="6" t="n">
        <f aca="false">IF(ABS(H1317)&gt;$P$8,1,0)</f>
        <v>0</v>
      </c>
    </row>
    <row r="1318" customFormat="false" ht="15" hidden="false" customHeight="false" outlineLevel="0" collapsed="false">
      <c r="A1318" s="0" t="n">
        <f aca="false">ROW()-1</f>
        <v>1317</v>
      </c>
      <c r="B1318" s="22" t="n">
        <f aca="false">SUMPRODUCT(MMULT('Analysis Data'!N1318:U1318,'Final Model'!$B$59:$I$66),'Analysis Data'!N1318:U1318)</f>
        <v>0.00351547538888797</v>
      </c>
      <c r="C1318" s="15" t="n">
        <f aca="false">'Residual Diagnostics'!F1318</f>
        <v>46.4160651968753</v>
      </c>
      <c r="D1318" s="13" t="n">
        <f aca="false">C1318/('Final Model'!$B$21*SQRT(1-B1318))</f>
        <v>0.948316377714297</v>
      </c>
      <c r="E1318" s="13" t="n">
        <f aca="false">D1318*SQRT(('Final Model'!$B$24-1)/('Final Model'!$B$24-D1318^2))</f>
        <v>0.948281705791891</v>
      </c>
      <c r="F1318" s="23" t="n">
        <f aca="false">D1318^2/($P$3+1)*B1318/(1-B1318)</f>
        <v>0.000396579278597841</v>
      </c>
      <c r="G1318" s="13" t="n">
        <f aca="false">($P$2-1)*(B1318-1/$P$2)</f>
        <v>3.86965491433134</v>
      </c>
      <c r="H1318" s="13" t="n">
        <f aca="false">E1318*SQRT(B1318/(1-B1318))</f>
        <v>0.0563240822396186</v>
      </c>
      <c r="I1318" s="13" t="n">
        <f aca="false">ABS(D1318)</f>
        <v>0.948316377714297</v>
      </c>
      <c r="J1318" s="6" t="n">
        <f aca="false">IF(B1318&gt;$P$4,1,0)</f>
        <v>0</v>
      </c>
      <c r="K1318" s="6" t="n">
        <f aca="false">IF(F1318&gt;$P$6,1,0)</f>
        <v>0</v>
      </c>
      <c r="L1318" s="6" t="n">
        <f aca="false">IF(G1318&gt;$P$9,1,0)</f>
        <v>0</v>
      </c>
      <c r="M1318" s="6" t="n">
        <f aca="false">IF(ABS(H1318)&gt;$P$8,1,0)</f>
        <v>0</v>
      </c>
    </row>
    <row r="1319" customFormat="false" ht="15" hidden="false" customHeight="false" outlineLevel="0" collapsed="false">
      <c r="A1319" s="0" t="n">
        <f aca="false">ROW()-1</f>
        <v>1318</v>
      </c>
      <c r="B1319" s="22" t="n">
        <f aca="false">SUMPRODUCT(MMULT('Analysis Data'!N1319:U1319,'Final Model'!$B$59:$I$66),'Analysis Data'!N1319:U1319)</f>
        <v>0.00351547538888797</v>
      </c>
      <c r="C1319" s="15" t="n">
        <f aca="false">'Residual Diagnostics'!F1319</f>
        <v>24.6443214515917</v>
      </c>
      <c r="D1319" s="13" t="n">
        <f aca="false">C1319/('Final Model'!$B$21*SQRT(1-B1319))</f>
        <v>0.503502689232121</v>
      </c>
      <c r="E1319" s="13" t="n">
        <f aca="false">D1319*SQRT(('Final Model'!$B$24-1)/('Final Model'!$B$24-D1319^2))</f>
        <v>0.503366267852961</v>
      </c>
      <c r="F1319" s="23" t="n">
        <f aca="false">D1319^2/($P$3+1)*B1319/(1-B1319)</f>
        <v>0.000111796216320656</v>
      </c>
      <c r="G1319" s="13" t="n">
        <f aca="false">($P$2-1)*(B1319-1/$P$2)</f>
        <v>3.86965491433134</v>
      </c>
      <c r="H1319" s="13" t="n">
        <f aca="false">E1319*SQRT(B1319/(1-B1319))</f>
        <v>0.0298979120803814</v>
      </c>
      <c r="I1319" s="13" t="n">
        <f aca="false">ABS(D1319)</f>
        <v>0.503502689232121</v>
      </c>
      <c r="J1319" s="6" t="n">
        <f aca="false">IF(B1319&gt;$P$4,1,0)</f>
        <v>0</v>
      </c>
      <c r="K1319" s="6" t="n">
        <f aca="false">IF(F1319&gt;$P$6,1,0)</f>
        <v>0</v>
      </c>
      <c r="L1319" s="6" t="n">
        <f aca="false">IF(G1319&gt;$P$9,1,0)</f>
        <v>0</v>
      </c>
      <c r="M1319" s="6" t="n">
        <f aca="false">IF(ABS(H1319)&gt;$P$8,1,0)</f>
        <v>0</v>
      </c>
    </row>
    <row r="1320" customFormat="false" ht="15" hidden="false" customHeight="false" outlineLevel="0" collapsed="false">
      <c r="A1320" s="0" t="n">
        <f aca="false">ROW()-1</f>
        <v>1319</v>
      </c>
      <c r="B1320" s="22" t="n">
        <f aca="false">SUMPRODUCT(MMULT('Analysis Data'!N1320:U1320,'Final Model'!$B$59:$I$66),'Analysis Data'!N1320:U1320)</f>
        <v>0.00256908074865178</v>
      </c>
      <c r="C1320" s="15" t="n">
        <f aca="false">'Residual Diagnostics'!F1320</f>
        <v>-65.8774769055627</v>
      </c>
      <c r="D1320" s="13" t="n">
        <f aca="false">C1320/('Final Model'!$B$21*SQRT(1-B1320))</f>
        <v>-1.34528950097983</v>
      </c>
      <c r="E1320" s="13" t="n">
        <f aca="false">D1320*SQRT(('Final Model'!$B$24-1)/('Final Model'!$B$24-D1320^2))</f>
        <v>-1.34568525310463</v>
      </c>
      <c r="F1320" s="23" t="n">
        <f aca="false">D1320^2/($P$3+1)*B1320/(1-B1320)</f>
        <v>0.00058268849979433</v>
      </c>
      <c r="G1320" s="13" t="n">
        <f aca="false">($P$2-1)*(B1320-1/$P$2)</f>
        <v>2.55889833760421</v>
      </c>
      <c r="H1320" s="13" t="n">
        <f aca="false">E1320*SQRT(B1320/(1-B1320))</f>
        <v>-0.068295322028531</v>
      </c>
      <c r="I1320" s="13" t="n">
        <f aca="false">ABS(D1320)</f>
        <v>1.34528950097983</v>
      </c>
      <c r="J1320" s="6" t="n">
        <f aca="false">IF(B1320&gt;$P$4,1,0)</f>
        <v>0</v>
      </c>
      <c r="K1320" s="6" t="n">
        <f aca="false">IF(F1320&gt;$P$6,1,0)</f>
        <v>0</v>
      </c>
      <c r="L1320" s="6" t="n">
        <f aca="false">IF(G1320&gt;$P$9,1,0)</f>
        <v>0</v>
      </c>
      <c r="M1320" s="6" t="n">
        <f aca="false">IF(ABS(H1320)&gt;$P$8,1,0)</f>
        <v>0</v>
      </c>
    </row>
    <row r="1321" customFormat="false" ht="15" hidden="false" customHeight="false" outlineLevel="0" collapsed="false">
      <c r="A1321" s="0" t="n">
        <f aca="false">ROW()-1</f>
        <v>1320</v>
      </c>
      <c r="B1321" s="22" t="n">
        <f aca="false">SUMPRODUCT(MMULT('Analysis Data'!N1321:U1321,'Final Model'!$B$59:$I$66),'Analysis Data'!N1321:U1321)</f>
        <v>0.00174943933709545</v>
      </c>
      <c r="C1321" s="15" t="n">
        <f aca="false">'Residual Diagnostics'!F1321</f>
        <v>-27.9987570599838</v>
      </c>
      <c r="D1321" s="13" t="n">
        <f aca="false">C1321/('Final Model'!$B$21*SQRT(1-B1321))</f>
        <v>-0.571530194678049</v>
      </c>
      <c r="E1321" s="13" t="n">
        <f aca="false">D1321*SQRT(('Final Model'!$B$24-1)/('Final Model'!$B$24-D1321^2))</f>
        <v>-0.571390506724843</v>
      </c>
      <c r="F1321" s="23" t="n">
        <f aca="false">D1321^2/($P$3+1)*B1321/(1-B1321)</f>
        <v>7.15562705140942E-005</v>
      </c>
      <c r="G1321" s="13" t="n">
        <f aca="false">($P$2-1)*(B1321-1/$P$2)</f>
        <v>1.4236949825987</v>
      </c>
      <c r="H1321" s="13" t="n">
        <f aca="false">E1321*SQRT(B1321/(1-B1321))</f>
        <v>-0.0239200830412898</v>
      </c>
      <c r="I1321" s="13" t="n">
        <f aca="false">ABS(D1321)</f>
        <v>0.571530194678049</v>
      </c>
      <c r="J1321" s="6" t="n">
        <f aca="false">IF(B1321&gt;$P$4,1,0)</f>
        <v>0</v>
      </c>
      <c r="K1321" s="6" t="n">
        <f aca="false">IF(F1321&gt;$P$6,1,0)</f>
        <v>0</v>
      </c>
      <c r="L1321" s="6" t="n">
        <f aca="false">IF(G1321&gt;$P$9,1,0)</f>
        <v>0</v>
      </c>
      <c r="M1321" s="6" t="n">
        <f aca="false">IF(ABS(H1321)&gt;$P$8,1,0)</f>
        <v>0</v>
      </c>
    </row>
    <row r="1322" customFormat="false" ht="15" hidden="false" customHeight="false" outlineLevel="0" collapsed="false">
      <c r="A1322" s="0" t="n">
        <f aca="false">ROW()-1</f>
        <v>1321</v>
      </c>
      <c r="B1322" s="22" t="n">
        <f aca="false">SUMPRODUCT(MMULT('Analysis Data'!N1322:U1322,'Final Model'!$B$59:$I$66),'Analysis Data'!N1322:U1322)</f>
        <v>0.00316342872686638</v>
      </c>
      <c r="C1322" s="15" t="n">
        <f aca="false">'Residual Diagnostics'!F1322</f>
        <v>26.2264085589567</v>
      </c>
      <c r="D1322" s="13" t="n">
        <f aca="false">C1322/('Final Model'!$B$21*SQRT(1-B1322))</f>
        <v>0.535731336000789</v>
      </c>
      <c r="E1322" s="13" t="n">
        <f aca="false">D1322*SQRT(('Final Model'!$B$24-1)/('Final Model'!$B$24-D1322^2))</f>
        <v>0.535592692627072</v>
      </c>
      <c r="F1322" s="23" t="n">
        <f aca="false">D1322^2/($P$3+1)*B1322/(1-B1322)</f>
        <v>0.000113851355107397</v>
      </c>
      <c r="G1322" s="13" t="n">
        <f aca="false">($P$2-1)*(B1322-1/$P$2)</f>
        <v>3.38207028743143</v>
      </c>
      <c r="H1322" s="13" t="n">
        <f aca="false">E1322*SQRT(B1322/(1-B1322))</f>
        <v>0.0301718325498439</v>
      </c>
      <c r="I1322" s="13" t="n">
        <f aca="false">ABS(D1322)</f>
        <v>0.535731336000789</v>
      </c>
      <c r="J1322" s="6" t="n">
        <f aca="false">IF(B1322&gt;$P$4,1,0)</f>
        <v>0</v>
      </c>
      <c r="K1322" s="6" t="n">
        <f aca="false">IF(F1322&gt;$P$6,1,0)</f>
        <v>0</v>
      </c>
      <c r="L1322" s="6" t="n">
        <f aca="false">IF(G1322&gt;$P$9,1,0)</f>
        <v>0</v>
      </c>
      <c r="M1322" s="6" t="n">
        <f aca="false">IF(ABS(H1322)&gt;$P$8,1,0)</f>
        <v>0</v>
      </c>
    </row>
    <row r="1323" customFormat="false" ht="15" hidden="false" customHeight="false" outlineLevel="0" collapsed="false">
      <c r="A1323" s="0" t="n">
        <f aca="false">ROW()-1</f>
        <v>1322</v>
      </c>
      <c r="B1323" s="22" t="n">
        <f aca="false">SUMPRODUCT(MMULT('Analysis Data'!N1323:U1323,'Final Model'!$B$59:$I$66),'Analysis Data'!N1323:U1323)</f>
        <v>0.00316342872686638</v>
      </c>
      <c r="C1323" s="15" t="n">
        <f aca="false">'Residual Diagnostics'!F1323</f>
        <v>-123.706262336953</v>
      </c>
      <c r="D1323" s="13" t="n">
        <f aca="false">C1323/('Final Model'!$B$21*SQRT(1-B1323))</f>
        <v>-2.5269689917496</v>
      </c>
      <c r="E1323" s="13" t="n">
        <f aca="false">D1323*SQRT(('Final Model'!$B$24-1)/('Final Model'!$B$24-D1323^2))</f>
        <v>-2.53192513726972</v>
      </c>
      <c r="F1323" s="23" t="n">
        <f aca="false">D1323^2/($P$3+1)*B1323/(1-B1323)</f>
        <v>0.00253305097681241</v>
      </c>
      <c r="G1323" s="13" t="n">
        <f aca="false">($P$2-1)*(B1323-1/$P$2)</f>
        <v>3.38207028743143</v>
      </c>
      <c r="H1323" s="13" t="n">
        <f aca="false">E1323*SQRT(B1323/(1-B1323))</f>
        <v>-0.142632306829537</v>
      </c>
      <c r="I1323" s="13" t="n">
        <f aca="false">ABS(D1323)</f>
        <v>2.5269689917496</v>
      </c>
      <c r="J1323" s="6" t="n">
        <f aca="false">IF(B1323&gt;$P$4,1,0)</f>
        <v>0</v>
      </c>
      <c r="K1323" s="6" t="n">
        <f aca="false">IF(F1323&gt;$P$6,1,0)</f>
        <v>0</v>
      </c>
      <c r="L1323" s="6" t="n">
        <f aca="false">IF(G1323&gt;$P$9,1,0)</f>
        <v>0</v>
      </c>
      <c r="M1323" s="6" t="n">
        <f aca="false">IF(ABS(H1323)&gt;$P$8,1,0)</f>
        <v>0</v>
      </c>
    </row>
    <row r="1324" customFormat="false" ht="15" hidden="false" customHeight="false" outlineLevel="0" collapsed="false">
      <c r="A1324" s="0" t="n">
        <f aca="false">ROW()-1</f>
        <v>1323</v>
      </c>
      <c r="B1324" s="22" t="n">
        <f aca="false">SUMPRODUCT(MMULT('Analysis Data'!N1324:U1324,'Final Model'!$B$59:$I$66),'Analysis Data'!N1324:U1324)</f>
        <v>0.00168498559138933</v>
      </c>
      <c r="C1324" s="15" t="n">
        <f aca="false">'Residual Diagnostics'!F1324</f>
        <v>16.9538906461717</v>
      </c>
      <c r="D1324" s="13" t="n">
        <f aca="false">C1324/('Final Model'!$B$21*SQRT(1-B1324))</f>
        <v>0.346063491362891</v>
      </c>
      <c r="E1324" s="13" t="n">
        <f aca="false">D1324*SQRT(('Final Model'!$B$24-1)/('Final Model'!$B$24-D1324^2))</f>
        <v>0.345952934724698</v>
      </c>
      <c r="F1324" s="23" t="n">
        <f aca="false">D1324^2/($P$3+1)*B1324/(1-B1324)</f>
        <v>2.52667958641092E-005</v>
      </c>
      <c r="G1324" s="13" t="n">
        <f aca="false">($P$2-1)*(B1324-1/$P$2)</f>
        <v>1.33442654479572</v>
      </c>
      <c r="H1324" s="13" t="n">
        <f aca="false">E1324*SQRT(B1324/(1-B1324))</f>
        <v>0.0142128546084332</v>
      </c>
      <c r="I1324" s="13" t="n">
        <f aca="false">ABS(D1324)</f>
        <v>0.346063491362891</v>
      </c>
      <c r="J1324" s="6" t="n">
        <f aca="false">IF(B1324&gt;$P$4,1,0)</f>
        <v>0</v>
      </c>
      <c r="K1324" s="6" t="n">
        <f aca="false">IF(F1324&gt;$P$6,1,0)</f>
        <v>0</v>
      </c>
      <c r="L1324" s="6" t="n">
        <f aca="false">IF(G1324&gt;$P$9,1,0)</f>
        <v>0</v>
      </c>
      <c r="M1324" s="6" t="n">
        <f aca="false">IF(ABS(H1324)&gt;$P$8,1,0)</f>
        <v>0</v>
      </c>
    </row>
    <row r="1325" customFormat="false" ht="15" hidden="false" customHeight="false" outlineLevel="0" collapsed="false">
      <c r="A1325" s="0" t="n">
        <f aca="false">ROW()-1</f>
        <v>1324</v>
      </c>
      <c r="B1325" s="22" t="n">
        <f aca="false">SUMPRODUCT(MMULT('Analysis Data'!N1325:U1325,'Final Model'!$B$59:$I$66),'Analysis Data'!N1325:U1325)</f>
        <v>0.00168766163081518</v>
      </c>
      <c r="C1325" s="15" t="n">
        <f aca="false">'Residual Diagnostics'!F1325</f>
        <v>-37.4913755832372</v>
      </c>
      <c r="D1325" s="13" t="n">
        <f aca="false">C1325/('Final Model'!$B$21*SQRT(1-B1325))</f>
        <v>-0.765276477856479</v>
      </c>
      <c r="E1325" s="13" t="n">
        <f aca="false">D1325*SQRT(('Final Model'!$B$24-1)/('Final Model'!$B$24-D1325^2))</f>
        <v>-0.765161364484014</v>
      </c>
      <c r="F1325" s="23" t="n">
        <f aca="false">D1325^2/($P$3+1)*B1325/(1-B1325)</f>
        <v>0.000123755833789277</v>
      </c>
      <c r="G1325" s="13" t="n">
        <f aca="false">($P$2-1)*(B1325-1/$P$2)</f>
        <v>1.33813285940053</v>
      </c>
      <c r="H1325" s="13" t="n">
        <f aca="false">E1325*SQRT(B1325/(1-B1325))</f>
        <v>-0.0314602740900495</v>
      </c>
      <c r="I1325" s="13" t="n">
        <f aca="false">ABS(D1325)</f>
        <v>0.765276477856479</v>
      </c>
      <c r="J1325" s="6" t="n">
        <f aca="false">IF(B1325&gt;$P$4,1,0)</f>
        <v>0</v>
      </c>
      <c r="K1325" s="6" t="n">
        <f aca="false">IF(F1325&gt;$P$6,1,0)</f>
        <v>0</v>
      </c>
      <c r="L1325" s="6" t="n">
        <f aca="false">IF(G1325&gt;$P$9,1,0)</f>
        <v>0</v>
      </c>
      <c r="M1325" s="6" t="n">
        <f aca="false">IF(ABS(H1325)&gt;$P$8,1,0)</f>
        <v>0</v>
      </c>
    </row>
    <row r="1326" customFormat="false" ht="15" hidden="false" customHeight="false" outlineLevel="0" collapsed="false">
      <c r="A1326" s="0" t="n">
        <f aca="false">ROW()-1</f>
        <v>1325</v>
      </c>
      <c r="B1326" s="22" t="n">
        <f aca="false">SUMPRODUCT(MMULT('Analysis Data'!N1326:U1326,'Final Model'!$B$59:$I$66),'Analysis Data'!N1326:U1326)</f>
        <v>0.00168766163081518</v>
      </c>
      <c r="C1326" s="15" t="n">
        <f aca="false">'Residual Diagnostics'!F1326</f>
        <v>5.67954855717301</v>
      </c>
      <c r="D1326" s="13" t="n">
        <f aca="false">C1326/('Final Model'!$B$21*SQRT(1-B1326))</f>
        <v>0.115931326819375</v>
      </c>
      <c r="E1326" s="13" t="n">
        <f aca="false">D1326*SQRT(('Final Model'!$B$24-1)/('Final Model'!$B$24-D1326^2))</f>
        <v>0.115889819273797</v>
      </c>
      <c r="F1326" s="23" t="n">
        <f aca="false">D1326^2/($P$3+1)*B1326/(1-B1326)</f>
        <v>2.84007993617742E-006</v>
      </c>
      <c r="G1326" s="13" t="n">
        <f aca="false">($P$2-1)*(B1326-1/$P$2)</f>
        <v>1.33813285940053</v>
      </c>
      <c r="H1326" s="13" t="n">
        <f aca="false">E1326*SQRT(B1326/(1-B1326))</f>
        <v>0.00476491057681485</v>
      </c>
      <c r="I1326" s="13" t="n">
        <f aca="false">ABS(D1326)</f>
        <v>0.115931326819375</v>
      </c>
      <c r="J1326" s="6" t="n">
        <f aca="false">IF(B1326&gt;$P$4,1,0)</f>
        <v>0</v>
      </c>
      <c r="K1326" s="6" t="n">
        <f aca="false">IF(F1326&gt;$P$6,1,0)</f>
        <v>0</v>
      </c>
      <c r="L1326" s="6" t="n">
        <f aca="false">IF(G1326&gt;$P$9,1,0)</f>
        <v>0</v>
      </c>
      <c r="M1326" s="6" t="n">
        <f aca="false">IF(ABS(H1326)&gt;$P$8,1,0)</f>
        <v>0</v>
      </c>
    </row>
    <row r="1327" customFormat="false" ht="15" hidden="false" customHeight="false" outlineLevel="0" collapsed="false">
      <c r="A1327" s="0" t="n">
        <f aca="false">ROW()-1</f>
        <v>1326</v>
      </c>
      <c r="B1327" s="22" t="n">
        <f aca="false">SUMPRODUCT(MMULT('Analysis Data'!N1327:U1327,'Final Model'!$B$59:$I$66),'Analysis Data'!N1327:U1327)</f>
        <v>0.00284178037056248</v>
      </c>
      <c r="C1327" s="15" t="n">
        <f aca="false">'Residual Diagnostics'!F1327</f>
        <v>-58.3578894784996</v>
      </c>
      <c r="D1327" s="13" t="n">
        <f aca="false">C1327/('Final Model'!$B$21*SQRT(1-B1327))</f>
        <v>-1.19189431747846</v>
      </c>
      <c r="E1327" s="13" t="n">
        <f aca="false">D1327*SQRT(('Final Model'!$B$24-1)/('Final Model'!$B$24-D1327^2))</f>
        <v>-1.19207639446016</v>
      </c>
      <c r="F1327" s="23" t="n">
        <f aca="false">D1327^2/($P$3+1)*B1327/(1-B1327)</f>
        <v>0.000506071579000037</v>
      </c>
      <c r="G1327" s="13" t="n">
        <f aca="false">($P$2-1)*(B1327-1/$P$2)</f>
        <v>2.93658731395053</v>
      </c>
      <c r="H1327" s="13" t="n">
        <f aca="false">E1327*SQRT(B1327/(1-B1327))</f>
        <v>-0.063638114901122</v>
      </c>
      <c r="I1327" s="13" t="n">
        <f aca="false">ABS(D1327)</f>
        <v>1.19189431747846</v>
      </c>
      <c r="J1327" s="6" t="n">
        <f aca="false">IF(B1327&gt;$P$4,1,0)</f>
        <v>0</v>
      </c>
      <c r="K1327" s="6" t="n">
        <f aca="false">IF(F1327&gt;$P$6,1,0)</f>
        <v>0</v>
      </c>
      <c r="L1327" s="6" t="n">
        <f aca="false">IF(G1327&gt;$P$9,1,0)</f>
        <v>0</v>
      </c>
      <c r="M1327" s="6" t="n">
        <f aca="false">IF(ABS(H1327)&gt;$P$8,1,0)</f>
        <v>0</v>
      </c>
    </row>
    <row r="1328" customFormat="false" ht="15" hidden="false" customHeight="false" outlineLevel="0" collapsed="false">
      <c r="A1328" s="0" t="n">
        <f aca="false">ROW()-1</f>
        <v>1327</v>
      </c>
      <c r="B1328" s="22" t="n">
        <f aca="false">SUMPRODUCT(MMULT('Analysis Data'!N1328:U1328,'Final Model'!$B$59:$I$66),'Analysis Data'!N1328:U1328)</f>
        <v>0.00316342872686638</v>
      </c>
      <c r="C1328" s="15" t="n">
        <f aca="false">'Residual Diagnostics'!F1328</f>
        <v>19.5581224525326</v>
      </c>
      <c r="D1328" s="13" t="n">
        <f aca="false">C1328/('Final Model'!$B$21*SQRT(1-B1328))</f>
        <v>0.399517114499612</v>
      </c>
      <c r="E1328" s="13" t="n">
        <f aca="false">D1328*SQRT(('Final Model'!$B$24-1)/('Final Model'!$B$24-D1328^2))</f>
        <v>0.39939525719501</v>
      </c>
      <c r="F1328" s="23" t="n">
        <f aca="false">D1328^2/($P$3+1)*B1328/(1-B1328)</f>
        <v>6.33162056602265E-005</v>
      </c>
      <c r="G1328" s="13" t="n">
        <f aca="false">($P$2-1)*(B1328-1/$P$2)</f>
        <v>3.38207028743143</v>
      </c>
      <c r="H1328" s="13" t="n">
        <f aca="false">E1328*SQRT(B1328/(1-B1328))</f>
        <v>0.0224993488282714</v>
      </c>
      <c r="I1328" s="13" t="n">
        <f aca="false">ABS(D1328)</f>
        <v>0.399517114499612</v>
      </c>
      <c r="J1328" s="6" t="n">
        <f aca="false">IF(B1328&gt;$P$4,1,0)</f>
        <v>0</v>
      </c>
      <c r="K1328" s="6" t="n">
        <f aca="false">IF(F1328&gt;$P$6,1,0)</f>
        <v>0</v>
      </c>
      <c r="L1328" s="6" t="n">
        <f aca="false">IF(G1328&gt;$P$9,1,0)</f>
        <v>0</v>
      </c>
      <c r="M1328" s="6" t="n">
        <f aca="false">IF(ABS(H1328)&gt;$P$8,1,0)</f>
        <v>0</v>
      </c>
    </row>
    <row r="1329" customFormat="false" ht="15" hidden="false" customHeight="false" outlineLevel="0" collapsed="false">
      <c r="A1329" s="0" t="n">
        <f aca="false">ROW()-1</f>
        <v>1328</v>
      </c>
      <c r="B1329" s="22" t="n">
        <f aca="false">SUMPRODUCT(MMULT('Analysis Data'!N1329:U1329,'Final Model'!$B$59:$I$66),'Analysis Data'!N1329:U1329)</f>
        <v>0.00261881036893231</v>
      </c>
      <c r="C1329" s="15" t="n">
        <f aca="false">'Residual Diagnostics'!F1329</f>
        <v>46.5297981830773</v>
      </c>
      <c r="D1329" s="13" t="n">
        <f aca="false">C1329/('Final Model'!$B$21*SQRT(1-B1329))</f>
        <v>0.950212613246893</v>
      </c>
      <c r="E1329" s="13" t="n">
        <f aca="false">D1329*SQRT(('Final Model'!$B$24-1)/('Final Model'!$B$24-D1329^2))</f>
        <v>0.950179113989412</v>
      </c>
      <c r="F1329" s="23" t="n">
        <f aca="false">D1329^2/($P$3+1)*B1329/(1-B1329)</f>
        <v>0.000296342863829137</v>
      </c>
      <c r="G1329" s="13" t="n">
        <f aca="false">($P$2-1)*(B1329-1/$P$2)</f>
        <v>2.62777386169274</v>
      </c>
      <c r="H1329" s="13" t="n">
        <f aca="false">E1329*SQRT(B1329/(1-B1329))</f>
        <v>0.0486885587682886</v>
      </c>
      <c r="I1329" s="13" t="n">
        <f aca="false">ABS(D1329)</f>
        <v>0.950212613246893</v>
      </c>
      <c r="J1329" s="6" t="n">
        <f aca="false">IF(B1329&gt;$P$4,1,0)</f>
        <v>0</v>
      </c>
      <c r="K1329" s="6" t="n">
        <f aca="false">IF(F1329&gt;$P$6,1,0)</f>
        <v>0</v>
      </c>
      <c r="L1329" s="6" t="n">
        <f aca="false">IF(G1329&gt;$P$9,1,0)</f>
        <v>0</v>
      </c>
      <c r="M1329" s="6" t="n">
        <f aca="false">IF(ABS(H1329)&gt;$P$8,1,0)</f>
        <v>0</v>
      </c>
    </row>
    <row r="1330" customFormat="false" ht="15" hidden="false" customHeight="false" outlineLevel="0" collapsed="false">
      <c r="A1330" s="0" t="n">
        <f aca="false">ROW()-1</f>
        <v>1329</v>
      </c>
      <c r="B1330" s="22" t="n">
        <f aca="false">SUMPRODUCT(MMULT('Analysis Data'!N1330:U1330,'Final Model'!$B$59:$I$66),'Analysis Data'!N1330:U1330)</f>
        <v>0.00284178037056248</v>
      </c>
      <c r="C1330" s="15" t="n">
        <f aca="false">'Residual Diagnostics'!F1330</f>
        <v>-62.5516142943018</v>
      </c>
      <c r="D1330" s="13" t="n">
        <f aca="false">C1330/('Final Model'!$B$21*SQRT(1-B1330))</f>
        <v>-1.27754643447054</v>
      </c>
      <c r="E1330" s="13" t="n">
        <f aca="false">D1330*SQRT(('Final Model'!$B$24-1)/('Final Model'!$B$24-D1330^2))</f>
        <v>-1.27783977036387</v>
      </c>
      <c r="F1330" s="23" t="n">
        <f aca="false">D1330^2/($P$3+1)*B1330/(1-B1330)</f>
        <v>0.000581419827583211</v>
      </c>
      <c r="G1330" s="13" t="n">
        <f aca="false">($P$2-1)*(B1330-1/$P$2)</f>
        <v>2.93658731395053</v>
      </c>
      <c r="H1330" s="13" t="n">
        <f aca="false">E1330*SQRT(B1330/(1-B1330))</f>
        <v>-0.0682165291667113</v>
      </c>
      <c r="I1330" s="13" t="n">
        <f aca="false">ABS(D1330)</f>
        <v>1.27754643447054</v>
      </c>
      <c r="J1330" s="6" t="n">
        <f aca="false">IF(B1330&gt;$P$4,1,0)</f>
        <v>0</v>
      </c>
      <c r="K1330" s="6" t="n">
        <f aca="false">IF(F1330&gt;$P$6,1,0)</f>
        <v>0</v>
      </c>
      <c r="L1330" s="6" t="n">
        <f aca="false">IF(G1330&gt;$P$9,1,0)</f>
        <v>0</v>
      </c>
      <c r="M1330" s="6" t="n">
        <f aca="false">IF(ABS(H1330)&gt;$P$8,1,0)</f>
        <v>0</v>
      </c>
    </row>
    <row r="1331" customFormat="false" ht="15" hidden="false" customHeight="false" outlineLevel="0" collapsed="false">
      <c r="A1331" s="0" t="n">
        <f aca="false">ROW()-1</f>
        <v>1330</v>
      </c>
      <c r="B1331" s="22" t="n">
        <f aca="false">SUMPRODUCT(MMULT('Analysis Data'!N1331:U1331,'Final Model'!$B$59:$I$66),'Analysis Data'!N1331:U1331)</f>
        <v>0.00231651632738874</v>
      </c>
      <c r="C1331" s="15" t="n">
        <f aca="false">'Residual Diagnostics'!F1331</f>
        <v>-10.3677065930624</v>
      </c>
      <c r="D1331" s="13" t="n">
        <f aca="false">C1331/('Final Model'!$B$21*SQRT(1-B1331))</f>
        <v>-0.211693008794796</v>
      </c>
      <c r="E1331" s="13" t="n">
        <f aca="false">D1331*SQRT(('Final Model'!$B$24-1)/('Final Model'!$B$24-D1331^2))</f>
        <v>-0.21161962423585</v>
      </c>
      <c r="F1331" s="23" t="n">
        <f aca="false">D1331^2/($P$3+1)*B1331/(1-B1331)</f>
        <v>1.30066551886052E-005</v>
      </c>
      <c r="G1331" s="13" t="n">
        <f aca="false">($P$2-1)*(B1331-1/$P$2)</f>
        <v>2.20909661415491</v>
      </c>
      <c r="H1331" s="13" t="n">
        <f aca="false">E1331*SQRT(B1331/(1-B1331))</f>
        <v>-0.0101971129611813</v>
      </c>
      <c r="I1331" s="13" t="n">
        <f aca="false">ABS(D1331)</f>
        <v>0.211693008794796</v>
      </c>
      <c r="J1331" s="6" t="n">
        <f aca="false">IF(B1331&gt;$P$4,1,0)</f>
        <v>0</v>
      </c>
      <c r="K1331" s="6" t="n">
        <f aca="false">IF(F1331&gt;$P$6,1,0)</f>
        <v>0</v>
      </c>
      <c r="L1331" s="6" t="n">
        <f aca="false">IF(G1331&gt;$P$9,1,0)</f>
        <v>0</v>
      </c>
      <c r="M1331" s="6" t="n">
        <f aca="false">IF(ABS(H1331)&gt;$P$8,1,0)</f>
        <v>0</v>
      </c>
    </row>
    <row r="1332" customFormat="false" ht="15" hidden="false" customHeight="false" outlineLevel="0" collapsed="false">
      <c r="A1332" s="0" t="n">
        <f aca="false">ROW()-1</f>
        <v>1331</v>
      </c>
      <c r="B1332" s="22" t="n">
        <f aca="false">SUMPRODUCT(MMULT('Analysis Data'!N1332:U1332,'Final Model'!$B$59:$I$66),'Analysis Data'!N1332:U1332)</f>
        <v>0.00231651632738874</v>
      </c>
      <c r="C1332" s="15" t="n">
        <f aca="false">'Residual Diagnostics'!F1332</f>
        <v>42.4586474487962</v>
      </c>
      <c r="D1332" s="13" t="n">
        <f aca="false">C1332/('Final Model'!$B$21*SQRT(1-B1332))</f>
        <v>0.866941859042156</v>
      </c>
      <c r="E1332" s="13" t="n">
        <f aca="false">D1332*SQRT(('Final Model'!$B$24-1)/('Final Model'!$B$24-D1332^2))</f>
        <v>0.866863671146278</v>
      </c>
      <c r="F1332" s="23" t="n">
        <f aca="false">D1332^2/($P$3+1)*B1332/(1-B1332)</f>
        <v>0.000218138609972148</v>
      </c>
      <c r="G1332" s="13" t="n">
        <f aca="false">($P$2-1)*(B1332-1/$P$2)</f>
        <v>2.20909661415491</v>
      </c>
      <c r="H1332" s="13" t="n">
        <f aca="false">E1332*SQRT(B1332/(1-B1332))</f>
        <v>0.0417707327878593</v>
      </c>
      <c r="I1332" s="13" t="n">
        <f aca="false">ABS(D1332)</f>
        <v>0.866941859042156</v>
      </c>
      <c r="J1332" s="6" t="n">
        <f aca="false">IF(B1332&gt;$P$4,1,0)</f>
        <v>0</v>
      </c>
      <c r="K1332" s="6" t="n">
        <f aca="false">IF(F1332&gt;$P$6,1,0)</f>
        <v>0</v>
      </c>
      <c r="L1332" s="6" t="n">
        <f aca="false">IF(G1332&gt;$P$9,1,0)</f>
        <v>0</v>
      </c>
      <c r="M1332" s="6" t="n">
        <f aca="false">IF(ABS(H1332)&gt;$P$8,1,0)</f>
        <v>0</v>
      </c>
    </row>
    <row r="1333" customFormat="false" ht="15" hidden="false" customHeight="false" outlineLevel="0" collapsed="false">
      <c r="A1333" s="0" t="n">
        <f aca="false">ROW()-1</f>
        <v>1332</v>
      </c>
      <c r="B1333" s="22" t="n">
        <f aca="false">SUMPRODUCT(MMULT('Analysis Data'!N1333:U1333,'Final Model'!$B$59:$I$66),'Analysis Data'!N1333:U1333)</f>
        <v>0.00365349533580148</v>
      </c>
      <c r="C1333" s="15" t="n">
        <f aca="false">'Residual Diagnostics'!F1333</f>
        <v>63.5776276353586</v>
      </c>
      <c r="D1333" s="13" t="n">
        <f aca="false">C1333/('Final Model'!$B$21*SQRT(1-B1333))</f>
        <v>1.29903043544123</v>
      </c>
      <c r="E1333" s="13" t="n">
        <f aca="false">D1333*SQRT(('Final Model'!$B$24-1)/('Final Model'!$B$24-D1333^2))</f>
        <v>1.29935483343585</v>
      </c>
      <c r="F1333" s="23" t="n">
        <f aca="false">D1333^2/($P$3+1)*B1333/(1-B1333)</f>
        <v>0.000773475962452451</v>
      </c>
      <c r="G1333" s="13" t="n">
        <f aca="false">($P$2-1)*(B1333-1/$P$2)</f>
        <v>4.06081254080654</v>
      </c>
      <c r="H1333" s="13" t="n">
        <f aca="false">E1333*SQRT(B1333/(1-B1333))</f>
        <v>0.0786822633340903</v>
      </c>
      <c r="I1333" s="13" t="n">
        <f aca="false">ABS(D1333)</f>
        <v>1.29903043544123</v>
      </c>
      <c r="J1333" s="6" t="n">
        <f aca="false">IF(B1333&gt;$P$4,1,0)</f>
        <v>0</v>
      </c>
      <c r="K1333" s="6" t="n">
        <f aca="false">IF(F1333&gt;$P$6,1,0)</f>
        <v>0</v>
      </c>
      <c r="L1333" s="6" t="n">
        <f aca="false">IF(G1333&gt;$P$9,1,0)</f>
        <v>0</v>
      </c>
      <c r="M1333" s="6" t="n">
        <f aca="false">IF(ABS(H1333)&gt;$P$8,1,0)</f>
        <v>0</v>
      </c>
    </row>
    <row r="1334" customFormat="false" ht="15" hidden="false" customHeight="false" outlineLevel="0" collapsed="false">
      <c r="A1334" s="0" t="n">
        <f aca="false">ROW()-1</f>
        <v>1333</v>
      </c>
      <c r="B1334" s="22" t="n">
        <f aca="false">SUMPRODUCT(MMULT('Analysis Data'!N1334:U1334,'Final Model'!$B$59:$I$66),'Analysis Data'!N1334:U1334)</f>
        <v>0.00365349533580148</v>
      </c>
      <c r="C1334" s="15" t="n">
        <f aca="false">'Residual Diagnostics'!F1334</f>
        <v>-46.2303648391858</v>
      </c>
      <c r="D1334" s="13" t="n">
        <f aca="false">C1334/('Final Model'!$B$21*SQRT(1-B1334))</f>
        <v>-0.944587792927571</v>
      </c>
      <c r="E1334" s="13" t="n">
        <f aca="false">D1334*SQRT(('Final Model'!$B$24-1)/('Final Model'!$B$24-D1334^2))</f>
        <v>-0.944550836846689</v>
      </c>
      <c r="F1334" s="23" t="n">
        <f aca="false">D1334^2/($P$3+1)*B1334/(1-B1334)</f>
        <v>0.000408971294646389</v>
      </c>
      <c r="G1334" s="13" t="n">
        <f aca="false">($P$2-1)*(B1334-1/$P$2)</f>
        <v>4.06081254080654</v>
      </c>
      <c r="H1334" s="13" t="n">
        <f aca="false">E1334*SQRT(B1334/(1-B1334))</f>
        <v>-0.0571971533600914</v>
      </c>
      <c r="I1334" s="13" t="n">
        <f aca="false">ABS(D1334)</f>
        <v>0.944587792927571</v>
      </c>
      <c r="J1334" s="6" t="n">
        <f aca="false">IF(B1334&gt;$P$4,1,0)</f>
        <v>0</v>
      </c>
      <c r="K1334" s="6" t="n">
        <f aca="false">IF(F1334&gt;$P$6,1,0)</f>
        <v>0</v>
      </c>
      <c r="L1334" s="6" t="n">
        <f aca="false">IF(G1334&gt;$P$9,1,0)</f>
        <v>0</v>
      </c>
      <c r="M1334" s="6" t="n">
        <f aca="false">IF(ABS(H1334)&gt;$P$8,1,0)</f>
        <v>0</v>
      </c>
    </row>
    <row r="1335" customFormat="false" ht="15" hidden="false" customHeight="false" outlineLevel="0" collapsed="false">
      <c r="A1335" s="0" t="n">
        <f aca="false">ROW()-1</f>
        <v>1334</v>
      </c>
      <c r="B1335" s="22" t="n">
        <f aca="false">SUMPRODUCT(MMULT('Analysis Data'!N1335:U1335,'Final Model'!$B$59:$I$66),'Analysis Data'!N1335:U1335)</f>
        <v>0.00174965053519183</v>
      </c>
      <c r="C1335" s="15" t="n">
        <f aca="false">'Residual Diagnostics'!F1335</f>
        <v>38.4391666882527</v>
      </c>
      <c r="D1335" s="13" t="n">
        <f aca="false">C1335/('Final Model'!$B$21*SQRT(1-B1335))</f>
        <v>0.784647214785988</v>
      </c>
      <c r="E1335" s="13" t="n">
        <f aca="false">D1335*SQRT(('Final Model'!$B$24-1)/('Final Model'!$B$24-D1335^2))</f>
        <v>0.784537737890298</v>
      </c>
      <c r="F1335" s="23" t="n">
        <f aca="false">D1335^2/($P$3+1)*B1335/(1-B1335)</f>
        <v>0.000134887197330638</v>
      </c>
      <c r="G1335" s="13" t="n">
        <f aca="false">($P$2-1)*(B1335-1/$P$2)</f>
        <v>1.42398749196219</v>
      </c>
      <c r="H1335" s="13" t="n">
        <f aca="false">E1335*SQRT(B1335/(1-B1335))</f>
        <v>0.0328450373761713</v>
      </c>
      <c r="I1335" s="13" t="n">
        <f aca="false">ABS(D1335)</f>
        <v>0.784647214785988</v>
      </c>
      <c r="J1335" s="6" t="n">
        <f aca="false">IF(B1335&gt;$P$4,1,0)</f>
        <v>0</v>
      </c>
      <c r="K1335" s="6" t="n">
        <f aca="false">IF(F1335&gt;$P$6,1,0)</f>
        <v>0</v>
      </c>
      <c r="L1335" s="6" t="n">
        <f aca="false">IF(G1335&gt;$P$9,1,0)</f>
        <v>0</v>
      </c>
      <c r="M1335" s="6" t="n">
        <f aca="false">IF(ABS(H1335)&gt;$P$8,1,0)</f>
        <v>0</v>
      </c>
    </row>
    <row r="1336" customFormat="false" ht="15" hidden="false" customHeight="false" outlineLevel="0" collapsed="false">
      <c r="A1336" s="0" t="n">
        <f aca="false">ROW()-1</f>
        <v>1335</v>
      </c>
      <c r="B1336" s="22" t="n">
        <f aca="false">SUMPRODUCT(MMULT('Analysis Data'!N1336:U1336,'Final Model'!$B$59:$I$66),'Analysis Data'!N1336:U1336)</f>
        <v>0.00174965053519183</v>
      </c>
      <c r="C1336" s="15" t="n">
        <f aca="false">'Residual Diagnostics'!F1336</f>
        <v>-6.51457103920237</v>
      </c>
      <c r="D1336" s="13" t="n">
        <f aca="false">C1336/('Final Model'!$B$21*SQRT(1-B1336))</f>
        <v>-0.132979990510506</v>
      </c>
      <c r="E1336" s="13" t="n">
        <f aca="false">D1336*SQRT(('Final Model'!$B$24-1)/('Final Model'!$B$24-D1336^2))</f>
        <v>-0.132932583623611</v>
      </c>
      <c r="F1336" s="23" t="n">
        <f aca="false">D1336^2/($P$3+1)*B1336/(1-B1336)</f>
        <v>3.8743107473987E-006</v>
      </c>
      <c r="G1336" s="13" t="n">
        <f aca="false">($P$2-1)*(B1336-1/$P$2)</f>
        <v>1.42398749196219</v>
      </c>
      <c r="H1336" s="13" t="n">
        <f aca="false">E1336*SQRT(B1336/(1-B1336))</f>
        <v>-0.00556528445574793</v>
      </c>
      <c r="I1336" s="13" t="n">
        <f aca="false">ABS(D1336)</f>
        <v>0.132979990510506</v>
      </c>
      <c r="J1336" s="6" t="n">
        <f aca="false">IF(B1336&gt;$P$4,1,0)</f>
        <v>0</v>
      </c>
      <c r="K1336" s="6" t="n">
        <f aca="false">IF(F1336&gt;$P$6,1,0)</f>
        <v>0</v>
      </c>
      <c r="L1336" s="6" t="n">
        <f aca="false">IF(G1336&gt;$P$9,1,0)</f>
        <v>0</v>
      </c>
      <c r="M1336" s="6" t="n">
        <f aca="false">IF(ABS(H1336)&gt;$P$8,1,0)</f>
        <v>0</v>
      </c>
    </row>
    <row r="1337" customFormat="false" ht="15" hidden="false" customHeight="false" outlineLevel="0" collapsed="false">
      <c r="A1337" s="0" t="n">
        <f aca="false">ROW()-1</f>
        <v>1336</v>
      </c>
      <c r="B1337" s="22" t="n">
        <f aca="false">SUMPRODUCT(MMULT('Analysis Data'!N1337:U1337,'Final Model'!$B$59:$I$66),'Analysis Data'!N1337:U1337)</f>
        <v>0.00169188015254712</v>
      </c>
      <c r="C1337" s="15" t="n">
        <f aca="false">'Residual Diagnostics'!F1337</f>
        <v>55.0176274143022</v>
      </c>
      <c r="D1337" s="13" t="n">
        <f aca="false">C1337/('Final Model'!$B$21*SQRT(1-B1337))</f>
        <v>1.12302588077226</v>
      </c>
      <c r="E1337" s="13" t="n">
        <f aca="false">D1337*SQRT(('Final Model'!$B$24-1)/('Final Model'!$B$24-D1337^2))</f>
        <v>1.12313240279092</v>
      </c>
      <c r="F1337" s="23" t="n">
        <f aca="false">D1337^2/($P$3+1)*B1337/(1-B1337)</f>
        <v>0.000267174210745337</v>
      </c>
      <c r="G1337" s="13" t="n">
        <f aca="false">($P$2-1)*(B1337-1/$P$2)</f>
        <v>1.34397551199926</v>
      </c>
      <c r="H1337" s="13" t="n">
        <f aca="false">E1337*SQRT(B1337/(1-B1337))</f>
        <v>0.0462363404720506</v>
      </c>
      <c r="I1337" s="13" t="n">
        <f aca="false">ABS(D1337)</f>
        <v>1.12302588077226</v>
      </c>
      <c r="J1337" s="6" t="n">
        <f aca="false">IF(B1337&gt;$P$4,1,0)</f>
        <v>0</v>
      </c>
      <c r="K1337" s="6" t="n">
        <f aca="false">IF(F1337&gt;$P$6,1,0)</f>
        <v>0</v>
      </c>
      <c r="L1337" s="6" t="n">
        <f aca="false">IF(G1337&gt;$P$9,1,0)</f>
        <v>0</v>
      </c>
      <c r="M1337" s="6" t="n">
        <f aca="false">IF(ABS(H1337)&gt;$P$8,1,0)</f>
        <v>0</v>
      </c>
    </row>
    <row r="1338" customFormat="false" ht="15" hidden="false" customHeight="false" outlineLevel="0" collapsed="false">
      <c r="A1338" s="0" t="n">
        <f aca="false">ROW()-1</f>
        <v>1337</v>
      </c>
      <c r="B1338" s="22" t="n">
        <f aca="false">SUMPRODUCT(MMULT('Analysis Data'!N1338:U1338,'Final Model'!$B$59:$I$66),'Analysis Data'!N1338:U1338)</f>
        <v>0.00316342872686638</v>
      </c>
      <c r="C1338" s="15" t="n">
        <f aca="false">'Residual Diagnostics'!F1338</f>
        <v>61.6850710904301</v>
      </c>
      <c r="D1338" s="13" t="n">
        <f aca="false">C1338/('Final Model'!$B$21*SQRT(1-B1338))</f>
        <v>1.26005150389888</v>
      </c>
      <c r="E1338" s="13" t="n">
        <f aca="false">D1338*SQRT(('Final Model'!$B$24-1)/('Final Model'!$B$24-D1338^2))</f>
        <v>1.26032049698537</v>
      </c>
      <c r="F1338" s="23" t="n">
        <f aca="false">D1338^2/($P$3+1)*B1338/(1-B1338)</f>
        <v>0.000629826164685539</v>
      </c>
      <c r="G1338" s="13" t="n">
        <f aca="false">($P$2-1)*(B1338-1/$P$2)</f>
        <v>3.38207028743143</v>
      </c>
      <c r="H1338" s="13" t="n">
        <f aca="false">E1338*SQRT(B1338/(1-B1338))</f>
        <v>0.070998315543965</v>
      </c>
      <c r="I1338" s="13" t="n">
        <f aca="false">ABS(D1338)</f>
        <v>1.26005150389888</v>
      </c>
      <c r="J1338" s="6" t="n">
        <f aca="false">IF(B1338&gt;$P$4,1,0)</f>
        <v>0</v>
      </c>
      <c r="K1338" s="6" t="n">
        <f aca="false">IF(F1338&gt;$P$6,1,0)</f>
        <v>0</v>
      </c>
      <c r="L1338" s="6" t="n">
        <f aca="false">IF(G1338&gt;$P$9,1,0)</f>
        <v>0</v>
      </c>
      <c r="M1338" s="6" t="n">
        <f aca="false">IF(ABS(H1338)&gt;$P$8,1,0)</f>
        <v>0</v>
      </c>
    </row>
    <row r="1339" customFormat="false" ht="15" hidden="false" customHeight="false" outlineLevel="0" collapsed="false">
      <c r="A1339" s="0" t="n">
        <f aca="false">ROW()-1</f>
        <v>1338</v>
      </c>
      <c r="B1339" s="22" t="n">
        <f aca="false">SUMPRODUCT(MMULT('Analysis Data'!N1339:U1339,'Final Model'!$B$59:$I$66),'Analysis Data'!N1339:U1339)</f>
        <v>0.00169188015254712</v>
      </c>
      <c r="C1339" s="15" t="n">
        <f aca="false">'Residual Diagnostics'!F1339</f>
        <v>2.59497078070831</v>
      </c>
      <c r="D1339" s="13" t="n">
        <f aca="false">C1339/('Final Model'!$B$21*SQRT(1-B1339))</f>
        <v>0.0529688298740714</v>
      </c>
      <c r="E1339" s="13" t="n">
        <f aca="false">D1339*SQRT(('Final Model'!$B$24-1)/('Final Model'!$B$24-D1339^2))</f>
        <v>0.0529496608311413</v>
      </c>
      <c r="F1339" s="23" t="n">
        <f aca="false">D1339^2/($P$3+1)*B1339/(1-B1339)</f>
        <v>5.94368470700215E-007</v>
      </c>
      <c r="G1339" s="13" t="n">
        <f aca="false">($P$2-1)*(B1339-1/$P$2)</f>
        <v>1.34397551199926</v>
      </c>
      <c r="H1339" s="13" t="n">
        <f aca="false">E1339*SQRT(B1339/(1-B1339))</f>
        <v>0.00217979513366779</v>
      </c>
      <c r="I1339" s="13" t="n">
        <f aca="false">ABS(D1339)</f>
        <v>0.0529688298740714</v>
      </c>
      <c r="J1339" s="6" t="n">
        <f aca="false">IF(B1339&gt;$P$4,1,0)</f>
        <v>0</v>
      </c>
      <c r="K1339" s="6" t="n">
        <f aca="false">IF(F1339&gt;$P$6,1,0)</f>
        <v>0</v>
      </c>
      <c r="L1339" s="6" t="n">
        <f aca="false">IF(G1339&gt;$P$9,1,0)</f>
        <v>0</v>
      </c>
      <c r="M1339" s="6" t="n">
        <f aca="false">IF(ABS(H1339)&gt;$P$8,1,0)</f>
        <v>0</v>
      </c>
    </row>
    <row r="1340" customFormat="false" ht="15" hidden="false" customHeight="false" outlineLevel="0" collapsed="false">
      <c r="A1340" s="0" t="n">
        <f aca="false">ROW()-1</f>
        <v>1339</v>
      </c>
      <c r="B1340" s="22" t="n">
        <f aca="false">SUMPRODUCT(MMULT('Analysis Data'!N1340:U1340,'Final Model'!$B$59:$I$66),'Analysis Data'!N1340:U1340)</f>
        <v>0.00169188015254712</v>
      </c>
      <c r="C1340" s="15" t="n">
        <f aca="false">'Residual Diagnostics'!F1340</f>
        <v>65.7916836340216</v>
      </c>
      <c r="D1340" s="13" t="n">
        <f aca="false">C1340/('Final Model'!$B$21*SQRT(1-B1340))</f>
        <v>1.34294710501056</v>
      </c>
      <c r="E1340" s="13" t="n">
        <f aca="false">D1340*SQRT(('Final Model'!$B$24-1)/('Final Model'!$B$24-D1340^2))</f>
        <v>1.34333909476146</v>
      </c>
      <c r="F1340" s="23" t="n">
        <f aca="false">D1340^2/($P$3+1)*B1340/(1-B1340)</f>
        <v>0.000382061098405618</v>
      </c>
      <c r="G1340" s="13" t="n">
        <f aca="false">($P$2-1)*(B1340-1/$P$2)</f>
        <v>1.34397551199926</v>
      </c>
      <c r="H1340" s="13" t="n">
        <f aca="false">E1340*SQRT(B1340/(1-B1340))</f>
        <v>0.0553016577568813</v>
      </c>
      <c r="I1340" s="13" t="n">
        <f aca="false">ABS(D1340)</f>
        <v>1.34294710501056</v>
      </c>
      <c r="J1340" s="6" t="n">
        <f aca="false">IF(B1340&gt;$P$4,1,0)</f>
        <v>0</v>
      </c>
      <c r="K1340" s="6" t="n">
        <f aca="false">IF(F1340&gt;$P$6,1,0)</f>
        <v>0</v>
      </c>
      <c r="L1340" s="6" t="n">
        <f aca="false">IF(G1340&gt;$P$9,1,0)</f>
        <v>0</v>
      </c>
      <c r="M1340" s="6" t="n">
        <f aca="false">IF(ABS(H1340)&gt;$P$8,1,0)</f>
        <v>0</v>
      </c>
    </row>
    <row r="1341" customFormat="false" ht="15" hidden="false" customHeight="false" outlineLevel="0" collapsed="false">
      <c r="A1341" s="0" t="n">
        <f aca="false">ROW()-1</f>
        <v>1340</v>
      </c>
      <c r="B1341" s="22" t="n">
        <f aca="false">SUMPRODUCT(MMULT('Analysis Data'!N1341:U1341,'Final Model'!$B$59:$I$66),'Analysis Data'!N1341:U1341)</f>
        <v>0.00169188015254712</v>
      </c>
      <c r="C1341" s="15" t="n">
        <f aca="false">'Residual Diagnostics'!F1341</f>
        <v>29.328615357856</v>
      </c>
      <c r="D1341" s="13" t="n">
        <f aca="false">C1341/('Final Model'!$B$21*SQRT(1-B1341))</f>
        <v>0.598658932455616</v>
      </c>
      <c r="E1341" s="13" t="n">
        <f aca="false">D1341*SQRT(('Final Model'!$B$24-1)/('Final Model'!$B$24-D1341^2))</f>
        <v>0.59851950984345</v>
      </c>
      <c r="F1341" s="23" t="n">
        <f aca="false">D1341^2/($P$3+1)*B1341/(1-B1341)</f>
        <v>7.59231011661718E-005</v>
      </c>
      <c r="G1341" s="13" t="n">
        <f aca="false">($P$2-1)*(B1341-1/$P$2)</f>
        <v>1.34397551199926</v>
      </c>
      <c r="H1341" s="13" t="n">
        <f aca="false">E1341*SQRT(B1341/(1-B1341))</f>
        <v>0.0246394385626485</v>
      </c>
      <c r="I1341" s="13" t="n">
        <f aca="false">ABS(D1341)</f>
        <v>0.598658932455616</v>
      </c>
      <c r="J1341" s="6" t="n">
        <f aca="false">IF(B1341&gt;$P$4,1,0)</f>
        <v>0</v>
      </c>
      <c r="K1341" s="6" t="n">
        <f aca="false">IF(F1341&gt;$P$6,1,0)</f>
        <v>0</v>
      </c>
      <c r="L1341" s="6" t="n">
        <f aca="false">IF(G1341&gt;$P$9,1,0)</f>
        <v>0</v>
      </c>
      <c r="M1341" s="6" t="n">
        <f aca="false">IF(ABS(H1341)&gt;$P$8,1,0)</f>
        <v>0</v>
      </c>
    </row>
    <row r="1342" customFormat="false" ht="15" hidden="false" customHeight="false" outlineLevel="0" collapsed="false">
      <c r="A1342" s="0" t="n">
        <f aca="false">ROW()-1</f>
        <v>1341</v>
      </c>
      <c r="B1342" s="22" t="n">
        <f aca="false">SUMPRODUCT(MMULT('Analysis Data'!N1342:U1342,'Final Model'!$B$59:$I$66),'Analysis Data'!N1342:U1342)</f>
        <v>0.00245757096629676</v>
      </c>
      <c r="C1342" s="15" t="n">
        <f aca="false">'Residual Diagnostics'!F1342</f>
        <v>21.2490564979933</v>
      </c>
      <c r="D1342" s="13" t="n">
        <f aca="false">C1342/('Final Model'!$B$21*SQRT(1-B1342))</f>
        <v>0.433904517404646</v>
      </c>
      <c r="E1342" s="13" t="n">
        <f aca="false">D1342*SQRT(('Final Model'!$B$24-1)/('Final Model'!$B$24-D1342^2))</f>
        <v>0.433776682868246</v>
      </c>
      <c r="F1342" s="23" t="n">
        <f aca="false">D1342^2/($P$3+1)*B1342/(1-B1342)</f>
        <v>5.79793105919444E-005</v>
      </c>
      <c r="G1342" s="13" t="n">
        <f aca="false">($P$2-1)*(B1342-1/$P$2)</f>
        <v>2.40445728904251</v>
      </c>
      <c r="H1342" s="13" t="n">
        <f aca="false">E1342*SQRT(B1342/(1-B1342))</f>
        <v>0.0215304719019667</v>
      </c>
      <c r="I1342" s="13" t="n">
        <f aca="false">ABS(D1342)</f>
        <v>0.433904517404646</v>
      </c>
      <c r="J1342" s="6" t="n">
        <f aca="false">IF(B1342&gt;$P$4,1,0)</f>
        <v>0</v>
      </c>
      <c r="K1342" s="6" t="n">
        <f aca="false">IF(F1342&gt;$P$6,1,0)</f>
        <v>0</v>
      </c>
      <c r="L1342" s="6" t="n">
        <f aca="false">IF(G1342&gt;$P$9,1,0)</f>
        <v>0</v>
      </c>
      <c r="M1342" s="6" t="n">
        <f aca="false">IF(ABS(H1342)&gt;$P$8,1,0)</f>
        <v>0</v>
      </c>
    </row>
    <row r="1343" customFormat="false" ht="15" hidden="false" customHeight="false" outlineLevel="0" collapsed="false">
      <c r="A1343" s="0" t="n">
        <f aca="false">ROW()-1</f>
        <v>1342</v>
      </c>
      <c r="B1343" s="22" t="n">
        <f aca="false">SUMPRODUCT(MMULT('Analysis Data'!N1343:U1343,'Final Model'!$B$59:$I$66),'Analysis Data'!N1343:U1343)</f>
        <v>0.00245757096629676</v>
      </c>
      <c r="C1343" s="15" t="n">
        <f aca="false">'Residual Diagnostics'!F1343</f>
        <v>-58.8516907755497</v>
      </c>
      <c r="D1343" s="13" t="n">
        <f aca="false">C1343/('Final Model'!$B$21*SQRT(1-B1343))</f>
        <v>-1.20174815699812</v>
      </c>
      <c r="E1343" s="13" t="n">
        <f aca="false">D1343*SQRT(('Final Model'!$B$24-1)/('Final Model'!$B$24-D1343^2))</f>
        <v>-1.20194203647282</v>
      </c>
      <c r="F1343" s="23" t="n">
        <f aca="false">D1343^2/($P$3+1)*B1343/(1-B1343)</f>
        <v>0.0004447455725131</v>
      </c>
      <c r="G1343" s="13" t="n">
        <f aca="false">($P$2-1)*(B1343-1/$P$2)</f>
        <v>2.40445728904251</v>
      </c>
      <c r="H1343" s="13" t="n">
        <f aca="false">E1343*SQRT(B1343/(1-B1343))</f>
        <v>-0.0596582994571217</v>
      </c>
      <c r="I1343" s="13" t="n">
        <f aca="false">ABS(D1343)</f>
        <v>1.20174815699812</v>
      </c>
      <c r="J1343" s="6" t="n">
        <f aca="false">IF(B1343&gt;$P$4,1,0)</f>
        <v>0</v>
      </c>
      <c r="K1343" s="6" t="n">
        <f aca="false">IF(F1343&gt;$P$6,1,0)</f>
        <v>0</v>
      </c>
      <c r="L1343" s="6" t="n">
        <f aca="false">IF(G1343&gt;$P$9,1,0)</f>
        <v>0</v>
      </c>
      <c r="M1343" s="6" t="n">
        <f aca="false">IF(ABS(H1343)&gt;$P$8,1,0)</f>
        <v>0</v>
      </c>
    </row>
    <row r="1344" customFormat="false" ht="15" hidden="false" customHeight="false" outlineLevel="0" collapsed="false">
      <c r="A1344" s="0" t="n">
        <f aca="false">ROW()-1</f>
        <v>1343</v>
      </c>
      <c r="B1344" s="22" t="n">
        <f aca="false">SUMPRODUCT(MMULT('Analysis Data'!N1344:U1344,'Final Model'!$B$59:$I$66),'Analysis Data'!N1344:U1344)</f>
        <v>0.00245757096629676</v>
      </c>
      <c r="C1344" s="15" t="n">
        <f aca="false">'Residual Diagnostics'!F1344</f>
        <v>93.7916157798302</v>
      </c>
      <c r="D1344" s="13" t="n">
        <f aca="false">C1344/('Final Model'!$B$21*SQRT(1-B1344))</f>
        <v>1.91521942564332</v>
      </c>
      <c r="E1344" s="13" t="n">
        <f aca="false">D1344*SQRT(('Final Model'!$B$24-1)/('Final Model'!$B$24-D1344^2))</f>
        <v>1.91707758414377</v>
      </c>
      <c r="F1344" s="23" t="n">
        <f aca="false">D1344^2/($P$3+1)*B1344/(1-B1344)</f>
        <v>0.00112959244714806</v>
      </c>
      <c r="G1344" s="13" t="n">
        <f aca="false">($P$2-1)*(B1344-1/$P$2)</f>
        <v>2.40445728904251</v>
      </c>
      <c r="H1344" s="13" t="n">
        <f aca="false">E1344*SQRT(B1344/(1-B1344))</f>
        <v>0.0951539967210147</v>
      </c>
      <c r="I1344" s="13" t="n">
        <f aca="false">ABS(D1344)</f>
        <v>1.91521942564332</v>
      </c>
      <c r="J1344" s="6" t="n">
        <f aca="false">IF(B1344&gt;$P$4,1,0)</f>
        <v>0</v>
      </c>
      <c r="K1344" s="6" t="n">
        <f aca="false">IF(F1344&gt;$P$6,1,0)</f>
        <v>0</v>
      </c>
      <c r="L1344" s="6" t="n">
        <f aca="false">IF(G1344&gt;$P$9,1,0)</f>
        <v>0</v>
      </c>
      <c r="M1344" s="6" t="n">
        <f aca="false">IF(ABS(H1344)&gt;$P$8,1,0)</f>
        <v>0</v>
      </c>
    </row>
    <row r="1345" customFormat="false" ht="15" hidden="false" customHeight="false" outlineLevel="0" collapsed="false">
      <c r="A1345" s="0" t="n">
        <f aca="false">ROW()-1</f>
        <v>1344</v>
      </c>
      <c r="B1345" s="22" t="n">
        <f aca="false">SUMPRODUCT(MMULT('Analysis Data'!N1345:U1345,'Final Model'!$B$59:$I$66),'Analysis Data'!N1345:U1345)</f>
        <v>0.00245757096629676</v>
      </c>
      <c r="C1345" s="15" t="n">
        <f aca="false">'Residual Diagnostics'!F1345</f>
        <v>-87.6136305209608</v>
      </c>
      <c r="D1345" s="13" t="n">
        <f aca="false">C1345/('Final Model'!$B$21*SQRT(1-B1345))</f>
        <v>-1.7890653202817</v>
      </c>
      <c r="E1345" s="13" t="n">
        <f aca="false">D1345*SQRT(('Final Model'!$B$24-1)/('Final Model'!$B$24-D1345^2))</f>
        <v>-1.79049670000275</v>
      </c>
      <c r="F1345" s="23" t="n">
        <f aca="false">D1345^2/($P$3+1)*B1345/(1-B1345)</f>
        <v>0.000985682618821755</v>
      </c>
      <c r="G1345" s="13" t="n">
        <f aca="false">($P$2-1)*(B1345-1/$P$2)</f>
        <v>2.40445728904251</v>
      </c>
      <c r="H1345" s="13" t="n">
        <f aca="false">E1345*SQRT(B1345/(1-B1345))</f>
        <v>-0.088871164385944</v>
      </c>
      <c r="I1345" s="13" t="n">
        <f aca="false">ABS(D1345)</f>
        <v>1.7890653202817</v>
      </c>
      <c r="J1345" s="6" t="n">
        <f aca="false">IF(B1345&gt;$P$4,1,0)</f>
        <v>0</v>
      </c>
      <c r="K1345" s="6" t="n">
        <f aca="false">IF(F1345&gt;$P$6,1,0)</f>
        <v>0</v>
      </c>
      <c r="L1345" s="6" t="n">
        <f aca="false">IF(G1345&gt;$P$9,1,0)</f>
        <v>0</v>
      </c>
      <c r="M1345" s="6" t="n">
        <f aca="false">IF(ABS(H1345)&gt;$P$8,1,0)</f>
        <v>0</v>
      </c>
    </row>
    <row r="1346" customFormat="false" ht="15" hidden="false" customHeight="false" outlineLevel="0" collapsed="false">
      <c r="A1346" s="0" t="n">
        <f aca="false">ROW()-1</f>
        <v>1345</v>
      </c>
      <c r="B1346" s="22" t="n">
        <f aca="false">SUMPRODUCT(MMULT('Analysis Data'!N1346:U1346,'Final Model'!$B$59:$I$66),'Analysis Data'!N1346:U1346)</f>
        <v>0.00172284415375771</v>
      </c>
      <c r="C1346" s="15" t="n">
        <f aca="false">'Residual Diagnostics'!F1346</f>
        <v>21.9121832048573</v>
      </c>
      <c r="D1346" s="13" t="n">
        <f aca="false">C1346/('Final Model'!$B$21*SQRT(1-B1346))</f>
        <v>0.447280837699352</v>
      </c>
      <c r="E1346" s="13" t="n">
        <f aca="false">D1346*SQRT(('Final Model'!$B$24-1)/('Final Model'!$B$24-D1346^2))</f>
        <v>0.447150974971974</v>
      </c>
      <c r="F1346" s="23" t="n">
        <f aca="false">D1346^2/($P$3+1)*B1346/(1-B1346)</f>
        <v>4.3158412217008E-005</v>
      </c>
      <c r="G1346" s="13" t="n">
        <f aca="false">($P$2-1)*(B1346-1/$P$2)</f>
        <v>1.38686065367594</v>
      </c>
      <c r="H1346" s="13" t="n">
        <f aca="false">E1346*SQRT(B1346/(1-B1346))</f>
        <v>0.0185759747590164</v>
      </c>
      <c r="I1346" s="13" t="n">
        <f aca="false">ABS(D1346)</f>
        <v>0.447280837699352</v>
      </c>
      <c r="J1346" s="6" t="n">
        <f aca="false">IF(B1346&gt;$P$4,1,0)</f>
        <v>0</v>
      </c>
      <c r="K1346" s="6" t="n">
        <f aca="false">IF(F1346&gt;$P$6,1,0)</f>
        <v>0</v>
      </c>
      <c r="L1346" s="6" t="n">
        <f aca="false">IF(G1346&gt;$P$9,1,0)</f>
        <v>0</v>
      </c>
      <c r="M1346" s="6" t="n">
        <f aca="false">IF(ABS(H1346)&gt;$P$8,1,0)</f>
        <v>0</v>
      </c>
    </row>
    <row r="1347" customFormat="false" ht="15" hidden="false" customHeight="false" outlineLevel="0" collapsed="false">
      <c r="A1347" s="0" t="n">
        <f aca="false">ROW()-1</f>
        <v>1346</v>
      </c>
      <c r="B1347" s="22" t="n">
        <f aca="false">SUMPRODUCT(MMULT('Analysis Data'!N1347:U1347,'Final Model'!$B$59:$I$66),'Analysis Data'!N1347:U1347)</f>
        <v>0.00172284415375771</v>
      </c>
      <c r="C1347" s="15" t="n">
        <f aca="false">'Residual Diagnostics'!F1347</f>
        <v>-59.2952166932262</v>
      </c>
      <c r="D1347" s="13" t="n">
        <f aca="false">C1347/('Final Model'!$B$21*SQRT(1-B1347))</f>
        <v>-1.21035927575814</v>
      </c>
      <c r="E1347" s="13" t="n">
        <f aca="false">D1347*SQRT(('Final Model'!$B$24-1)/('Final Model'!$B$24-D1347^2))</f>
        <v>-1.21056367764803</v>
      </c>
      <c r="F1347" s="23" t="n">
        <f aca="false">D1347^2/($P$3+1)*B1347/(1-B1347)</f>
        <v>0.000316033760686663</v>
      </c>
      <c r="G1347" s="13" t="n">
        <f aca="false">($P$2-1)*(B1347-1/$P$2)</f>
        <v>1.38686065367594</v>
      </c>
      <c r="H1347" s="13" t="n">
        <f aca="false">E1347*SQRT(B1347/(1-B1347))</f>
        <v>-0.0502903976035865</v>
      </c>
      <c r="I1347" s="13" t="n">
        <f aca="false">ABS(D1347)</f>
        <v>1.21035927575814</v>
      </c>
      <c r="J1347" s="6" t="n">
        <f aca="false">IF(B1347&gt;$P$4,1,0)</f>
        <v>0</v>
      </c>
      <c r="K1347" s="6" t="n">
        <f aca="false">IF(F1347&gt;$P$6,1,0)</f>
        <v>0</v>
      </c>
      <c r="L1347" s="6" t="n">
        <f aca="false">IF(G1347&gt;$P$9,1,0)</f>
        <v>0</v>
      </c>
      <c r="M1347" s="6" t="n">
        <f aca="false">IF(ABS(H1347)&gt;$P$8,1,0)</f>
        <v>0</v>
      </c>
    </row>
    <row r="1348" customFormat="false" ht="15" hidden="false" customHeight="false" outlineLevel="0" collapsed="false">
      <c r="A1348" s="0" t="n">
        <f aca="false">ROW()-1</f>
        <v>1347</v>
      </c>
      <c r="B1348" s="22" t="n">
        <f aca="false">SUMPRODUCT(MMULT('Analysis Data'!N1348:U1348,'Final Model'!$B$59:$I$66),'Analysis Data'!N1348:U1348)</f>
        <v>0.00168294048025544</v>
      </c>
      <c r="C1348" s="15" t="n">
        <f aca="false">'Residual Diagnostics'!F1348</f>
        <v>28.4945102472766</v>
      </c>
      <c r="D1348" s="13" t="n">
        <f aca="false">C1348/('Final Model'!$B$21*SQRT(1-B1348))</f>
        <v>0.581630482720101</v>
      </c>
      <c r="E1348" s="13" t="n">
        <f aca="false">D1348*SQRT(('Final Model'!$B$24-1)/('Final Model'!$B$24-D1348^2))</f>
        <v>0.58149078420303</v>
      </c>
      <c r="F1348" s="23" t="n">
        <f aca="false">D1348^2/($P$3+1)*B1348/(1-B1348)</f>
        <v>7.12860574220648E-005</v>
      </c>
      <c r="G1348" s="13" t="n">
        <f aca="false">($P$2-1)*(B1348-1/$P$2)</f>
        <v>1.33159406587529</v>
      </c>
      <c r="H1348" s="13" t="n">
        <f aca="false">E1348*SQRT(B1348/(1-B1348))</f>
        <v>0.0238749773527348</v>
      </c>
      <c r="I1348" s="13" t="n">
        <f aca="false">ABS(D1348)</f>
        <v>0.581630482720101</v>
      </c>
      <c r="J1348" s="6" t="n">
        <f aca="false">IF(B1348&gt;$P$4,1,0)</f>
        <v>0</v>
      </c>
      <c r="K1348" s="6" t="n">
        <f aca="false">IF(F1348&gt;$P$6,1,0)</f>
        <v>0</v>
      </c>
      <c r="L1348" s="6" t="n">
        <f aca="false">IF(G1348&gt;$P$9,1,0)</f>
        <v>0</v>
      </c>
      <c r="M1348" s="6" t="n">
        <f aca="false">IF(ABS(H1348)&gt;$P$8,1,0)</f>
        <v>0</v>
      </c>
    </row>
    <row r="1349" customFormat="false" ht="15" hidden="false" customHeight="false" outlineLevel="0" collapsed="false">
      <c r="A1349" s="0" t="n">
        <f aca="false">ROW()-1</f>
        <v>1348</v>
      </c>
      <c r="B1349" s="22" t="n">
        <f aca="false">SUMPRODUCT(MMULT('Analysis Data'!N1349:U1349,'Final Model'!$B$59:$I$66),'Analysis Data'!N1349:U1349)</f>
        <v>0.0040017736939081</v>
      </c>
      <c r="C1349" s="15" t="n">
        <f aca="false">'Residual Diagnostics'!F1349</f>
        <v>54.5531040022046</v>
      </c>
      <c r="D1349" s="13" t="n">
        <f aca="false">C1349/('Final Model'!$B$21*SQRT(1-B1349))</f>
        <v>1.1148344811587</v>
      </c>
      <c r="E1349" s="13" t="n">
        <f aca="false">D1349*SQRT(('Final Model'!$B$24-1)/('Final Model'!$B$24-D1349^2))</f>
        <v>1.11493280358855</v>
      </c>
      <c r="F1349" s="23" t="n">
        <f aca="false">D1349^2/($P$3+1)*B1349/(1-B1349)</f>
        <v>0.000624201428794471</v>
      </c>
      <c r="G1349" s="13" t="n">
        <f aca="false">($P$2-1)*(B1349-1/$P$2)</f>
        <v>4.54317806678422</v>
      </c>
      <c r="H1349" s="13" t="n">
        <f aca="false">E1349*SQRT(B1349/(1-B1349))</f>
        <v>0.0706717219880715</v>
      </c>
      <c r="I1349" s="13" t="n">
        <f aca="false">ABS(D1349)</f>
        <v>1.1148344811587</v>
      </c>
      <c r="J1349" s="6" t="n">
        <f aca="false">IF(B1349&gt;$P$4,1,0)</f>
        <v>0</v>
      </c>
      <c r="K1349" s="6" t="n">
        <f aca="false">IF(F1349&gt;$P$6,1,0)</f>
        <v>0</v>
      </c>
      <c r="L1349" s="6" t="n">
        <f aca="false">IF(G1349&gt;$P$9,1,0)</f>
        <v>0</v>
      </c>
      <c r="M1349" s="6" t="n">
        <f aca="false">IF(ABS(H1349)&gt;$P$8,1,0)</f>
        <v>0</v>
      </c>
    </row>
    <row r="1350" customFormat="false" ht="15" hidden="false" customHeight="false" outlineLevel="0" collapsed="false">
      <c r="A1350" s="0" t="n">
        <f aca="false">ROW()-1</f>
        <v>1349</v>
      </c>
      <c r="B1350" s="22" t="n">
        <f aca="false">SUMPRODUCT(MMULT('Analysis Data'!N1350:U1350,'Final Model'!$B$59:$I$66),'Analysis Data'!N1350:U1350)</f>
        <v>0.0040017736939081</v>
      </c>
      <c r="C1350" s="15" t="n">
        <f aca="false">'Residual Diagnostics'!F1350</f>
        <v>-86.9662465264832</v>
      </c>
      <c r="D1350" s="13" t="n">
        <f aca="false">C1350/('Final Model'!$B$21*SQRT(1-B1350))</f>
        <v>-1.77722188495</v>
      </c>
      <c r="E1350" s="13" t="n">
        <f aca="false">D1350*SQRT(('Final Model'!$B$24-1)/('Final Model'!$B$24-D1350^2))</f>
        <v>-1.7786164676317</v>
      </c>
      <c r="F1350" s="23" t="n">
        <f aca="false">D1350^2/($P$3+1)*B1350/(1-B1350)</f>
        <v>0.00158630713677754</v>
      </c>
      <c r="G1350" s="13" t="n">
        <f aca="false">($P$2-1)*(B1350-1/$P$2)</f>
        <v>4.54317806678422</v>
      </c>
      <c r="H1350" s="13" t="n">
        <f aca="false">E1350*SQRT(B1350/(1-B1350))</f>
        <v>-0.112740326698882</v>
      </c>
      <c r="I1350" s="13" t="n">
        <f aca="false">ABS(D1350)</f>
        <v>1.77722188495</v>
      </c>
      <c r="J1350" s="6" t="n">
        <f aca="false">IF(B1350&gt;$P$4,1,0)</f>
        <v>0</v>
      </c>
      <c r="K1350" s="6" t="n">
        <f aca="false">IF(F1350&gt;$P$6,1,0)</f>
        <v>0</v>
      </c>
      <c r="L1350" s="6" t="n">
        <f aca="false">IF(G1350&gt;$P$9,1,0)</f>
        <v>0</v>
      </c>
      <c r="M1350" s="6" t="n">
        <f aca="false">IF(ABS(H1350)&gt;$P$8,1,0)</f>
        <v>0</v>
      </c>
    </row>
    <row r="1351" customFormat="false" ht="15" hidden="false" customHeight="false" outlineLevel="0" collapsed="false">
      <c r="A1351" s="0" t="n">
        <f aca="false">ROW()-1</f>
        <v>1350</v>
      </c>
      <c r="B1351" s="22" t="n">
        <f aca="false">SUMPRODUCT(MMULT('Analysis Data'!N1351:U1351,'Final Model'!$B$59:$I$66),'Analysis Data'!N1351:U1351)</f>
        <v>0.0040017736939081</v>
      </c>
      <c r="C1351" s="15" t="n">
        <f aca="false">'Residual Diagnostics'!F1351</f>
        <v>-46.2246549158368</v>
      </c>
      <c r="D1351" s="13" t="n">
        <f aca="false">C1351/('Final Model'!$B$21*SQRT(1-B1351))</f>
        <v>-0.944636242472184</v>
      </c>
      <c r="E1351" s="13" t="n">
        <f aca="false">D1351*SQRT(('Final Model'!$B$24-1)/('Final Model'!$B$24-D1351^2))</f>
        <v>-0.944599315888043</v>
      </c>
      <c r="F1351" s="23" t="n">
        <f aca="false">D1351^2/($P$3+1)*B1351/(1-B1351)</f>
        <v>0.000448160092291394</v>
      </c>
      <c r="G1351" s="13" t="n">
        <f aca="false">($P$2-1)*(B1351-1/$P$2)</f>
        <v>4.54317806678422</v>
      </c>
      <c r="H1351" s="13" t="n">
        <f aca="false">E1351*SQRT(B1351/(1-B1351))</f>
        <v>-0.0598748732010562</v>
      </c>
      <c r="I1351" s="13" t="n">
        <f aca="false">ABS(D1351)</f>
        <v>0.944636242472184</v>
      </c>
      <c r="J1351" s="6" t="n">
        <f aca="false">IF(B1351&gt;$P$4,1,0)</f>
        <v>0</v>
      </c>
      <c r="K1351" s="6" t="n">
        <f aca="false">IF(F1351&gt;$P$6,1,0)</f>
        <v>0</v>
      </c>
      <c r="L1351" s="6" t="n">
        <f aca="false">IF(G1351&gt;$P$9,1,0)</f>
        <v>0</v>
      </c>
      <c r="M1351" s="6" t="n">
        <f aca="false">IF(ABS(H1351)&gt;$P$8,1,0)</f>
        <v>0</v>
      </c>
    </row>
    <row r="1352" customFormat="false" ht="15" hidden="false" customHeight="false" outlineLevel="0" collapsed="false">
      <c r="A1352" s="0" t="n">
        <f aca="false">ROW()-1</f>
        <v>1351</v>
      </c>
      <c r="B1352" s="22" t="n">
        <f aca="false">SUMPRODUCT(MMULT('Analysis Data'!N1352:U1352,'Final Model'!$B$59:$I$66),'Analysis Data'!N1352:U1352)</f>
        <v>0.0040017736939081</v>
      </c>
      <c r="C1352" s="15" t="n">
        <f aca="false">'Residual Diagnostics'!F1352</f>
        <v>28.9381637617734</v>
      </c>
      <c r="D1352" s="13" t="n">
        <f aca="false">C1352/('Final Model'!$B$21*SQRT(1-B1352))</f>
        <v>0.591373550105205</v>
      </c>
      <c r="E1352" s="13" t="n">
        <f aca="false">D1352*SQRT(('Final Model'!$B$24-1)/('Final Model'!$B$24-D1352^2))</f>
        <v>0.59123396380875</v>
      </c>
      <c r="F1352" s="23" t="n">
        <f aca="false">D1352^2/($P$3+1)*B1352/(1-B1352)</f>
        <v>0.000175641754055388</v>
      </c>
      <c r="G1352" s="13" t="n">
        <f aca="false">($P$2-1)*(B1352-1/$P$2)</f>
        <v>4.54317806678422</v>
      </c>
      <c r="H1352" s="13" t="n">
        <f aca="false">E1352*SQRT(B1352/(1-B1352))</f>
        <v>0.0374762695883664</v>
      </c>
      <c r="I1352" s="13" t="n">
        <f aca="false">ABS(D1352)</f>
        <v>0.591373550105205</v>
      </c>
      <c r="J1352" s="6" t="n">
        <f aca="false">IF(B1352&gt;$P$4,1,0)</f>
        <v>0</v>
      </c>
      <c r="K1352" s="6" t="n">
        <f aca="false">IF(F1352&gt;$P$6,1,0)</f>
        <v>0</v>
      </c>
      <c r="L1352" s="6" t="n">
        <f aca="false">IF(G1352&gt;$P$9,1,0)</f>
        <v>0</v>
      </c>
      <c r="M1352" s="6" t="n">
        <f aca="false">IF(ABS(H1352)&gt;$P$8,1,0)</f>
        <v>0</v>
      </c>
    </row>
    <row r="1353" customFormat="false" ht="15" hidden="false" customHeight="false" outlineLevel="0" collapsed="false">
      <c r="A1353" s="0" t="n">
        <f aca="false">ROW()-1</f>
        <v>1352</v>
      </c>
      <c r="B1353" s="22" t="n">
        <f aca="false">SUMPRODUCT(MMULT('Analysis Data'!N1353:U1353,'Final Model'!$B$59:$I$66),'Analysis Data'!N1353:U1353)</f>
        <v>0.00304191346309195</v>
      </c>
      <c r="C1353" s="15" t="n">
        <f aca="false">'Residual Diagnostics'!F1353</f>
        <v>-67.6086871725492</v>
      </c>
      <c r="D1353" s="13" t="n">
        <f aca="false">C1353/('Final Model'!$B$21*SQRT(1-B1353))</f>
        <v>-1.3809700551979</v>
      </c>
      <c r="E1353" s="13" t="n">
        <f aca="false">D1353*SQRT(('Final Model'!$B$24-1)/('Final Model'!$B$24-D1353^2))</f>
        <v>-1.38142512679311</v>
      </c>
      <c r="F1353" s="23" t="n">
        <f aca="false">D1353^2/($P$3+1)*B1353/(1-B1353)</f>
        <v>0.000727358453437233</v>
      </c>
      <c r="G1353" s="13" t="n">
        <f aca="false">($P$2-1)*(B1353-1/$P$2)</f>
        <v>3.21377164710385</v>
      </c>
      <c r="H1353" s="13" t="n">
        <f aca="false">E1353*SQRT(B1353/(1-B1353))</f>
        <v>-0.0763066395981363</v>
      </c>
      <c r="I1353" s="13" t="n">
        <f aca="false">ABS(D1353)</f>
        <v>1.3809700551979</v>
      </c>
      <c r="J1353" s="6" t="n">
        <f aca="false">IF(B1353&gt;$P$4,1,0)</f>
        <v>0</v>
      </c>
      <c r="K1353" s="6" t="n">
        <f aca="false">IF(F1353&gt;$P$6,1,0)</f>
        <v>0</v>
      </c>
      <c r="L1353" s="6" t="n">
        <f aca="false">IF(G1353&gt;$P$9,1,0)</f>
        <v>0</v>
      </c>
      <c r="M1353" s="6" t="n">
        <f aca="false">IF(ABS(H1353)&gt;$P$8,1,0)</f>
        <v>0</v>
      </c>
    </row>
    <row r="1354" customFormat="false" ht="15" hidden="false" customHeight="false" outlineLevel="0" collapsed="false">
      <c r="A1354" s="0" t="n">
        <f aca="false">ROW()-1</f>
        <v>1353</v>
      </c>
      <c r="B1354" s="22" t="n">
        <f aca="false">SUMPRODUCT(MMULT('Analysis Data'!N1354:U1354,'Final Model'!$B$59:$I$66),'Analysis Data'!N1354:U1354)</f>
        <v>0.00304191346309195</v>
      </c>
      <c r="C1354" s="15" t="n">
        <f aca="false">'Residual Diagnostics'!F1354</f>
        <v>30.4120690324276</v>
      </c>
      <c r="D1354" s="13" t="n">
        <f aca="false">C1354/('Final Model'!$B$21*SQRT(1-B1354))</f>
        <v>0.621194677885216</v>
      </c>
      <c r="E1354" s="13" t="n">
        <f aca="false">D1354*SQRT(('Final Model'!$B$24-1)/('Final Model'!$B$24-D1354^2))</f>
        <v>0.621056203388361</v>
      </c>
      <c r="F1354" s="23" t="n">
        <f aca="false">D1354^2/($P$3+1)*B1354/(1-B1354)</f>
        <v>0.000147175466177119</v>
      </c>
      <c r="G1354" s="13" t="n">
        <f aca="false">($P$2-1)*(B1354-1/$P$2)</f>
        <v>3.21377164710385</v>
      </c>
      <c r="H1354" s="13" t="n">
        <f aca="false">E1354*SQRT(B1354/(1-B1354))</f>
        <v>0.034305668083624</v>
      </c>
      <c r="I1354" s="13" t="n">
        <f aca="false">ABS(D1354)</f>
        <v>0.621194677885216</v>
      </c>
      <c r="J1354" s="6" t="n">
        <f aca="false">IF(B1354&gt;$P$4,1,0)</f>
        <v>0</v>
      </c>
      <c r="K1354" s="6" t="n">
        <f aca="false">IF(F1354&gt;$P$6,1,0)</f>
        <v>0</v>
      </c>
      <c r="L1354" s="6" t="n">
        <f aca="false">IF(G1354&gt;$P$9,1,0)</f>
        <v>0</v>
      </c>
      <c r="M1354" s="6" t="n">
        <f aca="false">IF(ABS(H1354)&gt;$P$8,1,0)</f>
        <v>0</v>
      </c>
    </row>
    <row r="1355" customFormat="false" ht="15" hidden="false" customHeight="false" outlineLevel="0" collapsed="false">
      <c r="A1355" s="0" t="n">
        <f aca="false">ROW()-1</f>
        <v>1354</v>
      </c>
      <c r="B1355" s="22" t="n">
        <f aca="false">SUMPRODUCT(MMULT('Analysis Data'!N1355:U1355,'Final Model'!$B$59:$I$66),'Analysis Data'!N1355:U1355)</f>
        <v>0.00169188015254712</v>
      </c>
      <c r="C1355" s="15" t="n">
        <f aca="false">'Residual Diagnostics'!F1355</f>
        <v>-56.8589988087508</v>
      </c>
      <c r="D1355" s="13" t="n">
        <f aca="false">C1355/('Final Model'!$B$21*SQRT(1-B1355))</f>
        <v>-1.16061215683079</v>
      </c>
      <c r="E1355" s="13" t="n">
        <f aca="false">D1355*SQRT(('Final Model'!$B$24-1)/('Final Model'!$B$24-D1355^2))</f>
        <v>-1.16075842859649</v>
      </c>
      <c r="F1355" s="23" t="n">
        <f aca="false">D1355^2/($P$3+1)*B1355/(1-B1355)</f>
        <v>0.000285357463375894</v>
      </c>
      <c r="G1355" s="13" t="n">
        <f aca="false">($P$2-1)*(B1355-1/$P$2)</f>
        <v>1.34397551199926</v>
      </c>
      <c r="H1355" s="13" t="n">
        <f aca="false">E1355*SQRT(B1355/(1-B1355))</f>
        <v>-0.0477853027630803</v>
      </c>
      <c r="I1355" s="13" t="n">
        <f aca="false">ABS(D1355)</f>
        <v>1.16061215683079</v>
      </c>
      <c r="J1355" s="6" t="n">
        <f aca="false">IF(B1355&gt;$P$4,1,0)</f>
        <v>0</v>
      </c>
      <c r="K1355" s="6" t="n">
        <f aca="false">IF(F1355&gt;$P$6,1,0)</f>
        <v>0</v>
      </c>
      <c r="L1355" s="6" t="n">
        <f aca="false">IF(G1355&gt;$P$9,1,0)</f>
        <v>0</v>
      </c>
      <c r="M1355" s="6" t="n">
        <f aca="false">IF(ABS(H1355)&gt;$P$8,1,0)</f>
        <v>0</v>
      </c>
    </row>
    <row r="1356" customFormat="false" ht="15" hidden="false" customHeight="false" outlineLevel="0" collapsed="false">
      <c r="A1356" s="0" t="n">
        <f aca="false">ROW()-1</f>
        <v>1355</v>
      </c>
      <c r="B1356" s="22" t="n">
        <f aca="false">SUMPRODUCT(MMULT('Analysis Data'!N1356:U1356,'Final Model'!$B$59:$I$66),'Analysis Data'!N1356:U1356)</f>
        <v>0.00169188015254712</v>
      </c>
      <c r="C1356" s="15" t="n">
        <f aca="false">'Residual Diagnostics'!F1356</f>
        <v>-48.2466188060816</v>
      </c>
      <c r="D1356" s="13" t="n">
        <f aca="false">C1356/('Final Model'!$B$21*SQRT(1-B1356))</f>
        <v>-0.984815306028592</v>
      </c>
      <c r="E1356" s="13" t="n">
        <f aca="false">D1356*SQRT(('Final Model'!$B$24-1)/('Final Model'!$B$24-D1356^2))</f>
        <v>-0.984804528731157</v>
      </c>
      <c r="F1356" s="23" t="n">
        <f aca="false">D1356^2/($P$3+1)*B1356/(1-B1356)</f>
        <v>0.00020545872315977</v>
      </c>
      <c r="G1356" s="13" t="n">
        <f aca="false">($P$2-1)*(B1356-1/$P$2)</f>
        <v>1.34397551199926</v>
      </c>
      <c r="H1356" s="13" t="n">
        <f aca="false">E1356*SQRT(B1356/(1-B1356))</f>
        <v>-0.0405417539158183</v>
      </c>
      <c r="I1356" s="13" t="n">
        <f aca="false">ABS(D1356)</f>
        <v>0.984815306028592</v>
      </c>
      <c r="J1356" s="6" t="n">
        <f aca="false">IF(B1356&gt;$P$4,1,0)</f>
        <v>0</v>
      </c>
      <c r="K1356" s="6" t="n">
        <f aca="false">IF(F1356&gt;$P$6,1,0)</f>
        <v>0</v>
      </c>
      <c r="L1356" s="6" t="n">
        <f aca="false">IF(G1356&gt;$P$9,1,0)</f>
        <v>0</v>
      </c>
      <c r="M1356" s="6" t="n">
        <f aca="false">IF(ABS(H1356)&gt;$P$8,1,0)</f>
        <v>0</v>
      </c>
    </row>
    <row r="1357" customFormat="false" ht="15" hidden="false" customHeight="false" outlineLevel="0" collapsed="false">
      <c r="A1357" s="0" t="n">
        <f aca="false">ROW()-1</f>
        <v>1356</v>
      </c>
      <c r="B1357" s="22" t="n">
        <f aca="false">SUMPRODUCT(MMULT('Analysis Data'!N1357:U1357,'Final Model'!$B$59:$I$66),'Analysis Data'!N1357:U1357)</f>
        <v>0.00183988017164561</v>
      </c>
      <c r="C1357" s="15" t="n">
        <f aca="false">'Residual Diagnostics'!F1357</f>
        <v>-6.64263969385206</v>
      </c>
      <c r="D1357" s="13" t="n">
        <f aca="false">C1357/('Final Model'!$B$21*SQRT(1-B1357))</f>
        <v>-0.135600346106159</v>
      </c>
      <c r="E1357" s="13" t="n">
        <f aca="false">D1357*SQRT(('Final Model'!$B$24-1)/('Final Model'!$B$24-D1357^2))</f>
        <v>-0.135552039687154</v>
      </c>
      <c r="F1357" s="23" t="n">
        <f aca="false">D1357^2/($P$3+1)*B1357/(1-B1357)</f>
        <v>4.23663387010522E-006</v>
      </c>
      <c r="G1357" s="13" t="n">
        <f aca="false">($P$2-1)*(B1357-1/$P$2)</f>
        <v>1.54895553845066</v>
      </c>
      <c r="H1357" s="13" t="n">
        <f aca="false">E1357*SQRT(B1357/(1-B1357))</f>
        <v>-0.00581970162904403</v>
      </c>
      <c r="I1357" s="13" t="n">
        <f aca="false">ABS(D1357)</f>
        <v>0.135600346106159</v>
      </c>
      <c r="J1357" s="6" t="n">
        <f aca="false">IF(B1357&gt;$P$4,1,0)</f>
        <v>0</v>
      </c>
      <c r="K1357" s="6" t="n">
        <f aca="false">IF(F1357&gt;$P$6,1,0)</f>
        <v>0</v>
      </c>
      <c r="L1357" s="6" t="n">
        <f aca="false">IF(G1357&gt;$P$9,1,0)</f>
        <v>0</v>
      </c>
      <c r="M1357" s="6" t="n">
        <f aca="false">IF(ABS(H1357)&gt;$P$8,1,0)</f>
        <v>0</v>
      </c>
    </row>
    <row r="1358" customFormat="false" ht="15" hidden="false" customHeight="false" outlineLevel="0" collapsed="false">
      <c r="A1358" s="0" t="n">
        <f aca="false">ROW()-1</f>
        <v>1357</v>
      </c>
      <c r="B1358" s="22" t="n">
        <f aca="false">SUMPRODUCT(MMULT('Analysis Data'!N1358:U1358,'Final Model'!$B$59:$I$66),'Analysis Data'!N1358:U1358)</f>
        <v>0.00183988017164561</v>
      </c>
      <c r="C1358" s="15" t="n">
        <f aca="false">'Residual Diagnostics'!F1358</f>
        <v>-3.93768199296906</v>
      </c>
      <c r="D1358" s="13" t="n">
        <f aca="false">C1358/('Final Model'!$B$21*SQRT(1-B1358))</f>
        <v>-0.0803823578745031</v>
      </c>
      <c r="E1358" s="13" t="n">
        <f aca="false">D1358*SQRT(('Final Model'!$B$24-1)/('Final Model'!$B$24-D1358^2))</f>
        <v>-0.0803533746536861</v>
      </c>
      <c r="F1358" s="23" t="n">
        <f aca="false">D1358^2/($P$3+1)*B1358/(1-B1358)</f>
        <v>1.4887467295856E-006</v>
      </c>
      <c r="G1358" s="13" t="n">
        <f aca="false">($P$2-1)*(B1358-1/$P$2)</f>
        <v>1.54895553845066</v>
      </c>
      <c r="H1358" s="13" t="n">
        <f aca="false">E1358*SQRT(B1358/(1-B1358))</f>
        <v>-0.00344983864831921</v>
      </c>
      <c r="I1358" s="13" t="n">
        <f aca="false">ABS(D1358)</f>
        <v>0.0803823578745031</v>
      </c>
      <c r="J1358" s="6" t="n">
        <f aca="false">IF(B1358&gt;$P$4,1,0)</f>
        <v>0</v>
      </c>
      <c r="K1358" s="6" t="n">
        <f aca="false">IF(F1358&gt;$P$6,1,0)</f>
        <v>0</v>
      </c>
      <c r="L1358" s="6" t="n">
        <f aca="false">IF(G1358&gt;$P$9,1,0)</f>
        <v>0</v>
      </c>
      <c r="M1358" s="6" t="n">
        <f aca="false">IF(ABS(H1358)&gt;$P$8,1,0)</f>
        <v>0</v>
      </c>
    </row>
    <row r="1359" customFormat="false" ht="15" hidden="false" customHeight="false" outlineLevel="0" collapsed="false">
      <c r="A1359" s="0" t="n">
        <f aca="false">ROW()-1</f>
        <v>1358</v>
      </c>
      <c r="B1359" s="22" t="n">
        <f aca="false">SUMPRODUCT(MMULT('Analysis Data'!N1359:U1359,'Final Model'!$B$59:$I$66),'Analysis Data'!N1359:U1359)</f>
        <v>0.00183988017164561</v>
      </c>
      <c r="C1359" s="15" t="n">
        <f aca="false">'Residual Diagnostics'!F1359</f>
        <v>-45.3762449310248</v>
      </c>
      <c r="D1359" s="13" t="n">
        <f aca="false">C1359/('Final Model'!$B$21*SQRT(1-B1359))</f>
        <v>-0.926293582254599</v>
      </c>
      <c r="E1359" s="13" t="n">
        <f aca="false">D1359*SQRT(('Final Model'!$B$24-1)/('Final Model'!$B$24-D1359^2))</f>
        <v>-0.926245831645228</v>
      </c>
      <c r="F1359" s="23" t="n">
        <f aca="false">D1359^2/($P$3+1)*B1359/(1-B1359)</f>
        <v>0.000197695438150078</v>
      </c>
      <c r="G1359" s="13" t="n">
        <f aca="false">($P$2-1)*(B1359-1/$P$2)</f>
        <v>1.54895553845066</v>
      </c>
      <c r="H1359" s="13" t="n">
        <f aca="false">E1359*SQRT(B1359/(1-B1359))</f>
        <v>-0.0397668259936323</v>
      </c>
      <c r="I1359" s="13" t="n">
        <f aca="false">ABS(D1359)</f>
        <v>0.926293582254599</v>
      </c>
      <c r="J1359" s="6" t="n">
        <f aca="false">IF(B1359&gt;$P$4,1,0)</f>
        <v>0</v>
      </c>
      <c r="K1359" s="6" t="n">
        <f aca="false">IF(F1359&gt;$P$6,1,0)</f>
        <v>0</v>
      </c>
      <c r="L1359" s="6" t="n">
        <f aca="false">IF(G1359&gt;$P$9,1,0)</f>
        <v>0</v>
      </c>
      <c r="M1359" s="6" t="n">
        <f aca="false">IF(ABS(H1359)&gt;$P$8,1,0)</f>
        <v>0</v>
      </c>
    </row>
    <row r="1360" customFormat="false" ht="15" hidden="false" customHeight="false" outlineLevel="0" collapsed="false">
      <c r="A1360" s="0" t="n">
        <f aca="false">ROW()-1</f>
        <v>1359</v>
      </c>
      <c r="B1360" s="22" t="n">
        <f aca="false">SUMPRODUCT(MMULT('Analysis Data'!N1360:U1360,'Final Model'!$B$59:$I$66),'Analysis Data'!N1360:U1360)</f>
        <v>0.00261881036893231</v>
      </c>
      <c r="C1360" s="15" t="n">
        <f aca="false">'Residual Diagnostics'!F1360</f>
        <v>-4.70759256154753</v>
      </c>
      <c r="D1360" s="13" t="n">
        <f aca="false">C1360/('Final Model'!$B$21*SQRT(1-B1360))</f>
        <v>-0.0961365405542766</v>
      </c>
      <c r="E1360" s="13" t="n">
        <f aca="false">D1360*SQRT(('Final Model'!$B$24-1)/('Final Model'!$B$24-D1360^2))</f>
        <v>-0.0961019738671423</v>
      </c>
      <c r="F1360" s="23" t="n">
        <f aca="false">D1360^2/($P$3+1)*B1360/(1-B1360)</f>
        <v>3.03340132242592E-006</v>
      </c>
      <c r="G1360" s="13" t="n">
        <f aca="false">($P$2-1)*(B1360-1/$P$2)</f>
        <v>2.62777386169274</v>
      </c>
      <c r="H1360" s="13" t="n">
        <f aca="false">E1360*SQRT(B1360/(1-B1360))</f>
        <v>-0.0049244048132498</v>
      </c>
      <c r="I1360" s="13" t="n">
        <f aca="false">ABS(D1360)</f>
        <v>0.0961365405542766</v>
      </c>
      <c r="J1360" s="6" t="n">
        <f aca="false">IF(B1360&gt;$P$4,1,0)</f>
        <v>0</v>
      </c>
      <c r="K1360" s="6" t="n">
        <f aca="false">IF(F1360&gt;$P$6,1,0)</f>
        <v>0</v>
      </c>
      <c r="L1360" s="6" t="n">
        <f aca="false">IF(G1360&gt;$P$9,1,0)</f>
        <v>0</v>
      </c>
      <c r="M1360" s="6" t="n">
        <f aca="false">IF(ABS(H1360)&gt;$P$8,1,0)</f>
        <v>0</v>
      </c>
    </row>
    <row r="1361" customFormat="false" ht="15" hidden="false" customHeight="false" outlineLevel="0" collapsed="false">
      <c r="A1361" s="0" t="n">
        <f aca="false">ROW()-1</f>
        <v>1360</v>
      </c>
      <c r="B1361" s="22" t="n">
        <f aca="false">SUMPRODUCT(MMULT('Analysis Data'!N1361:U1361,'Final Model'!$B$59:$I$66),'Analysis Data'!N1361:U1361)</f>
        <v>0.00169188015254712</v>
      </c>
      <c r="C1361" s="15" t="n">
        <f aca="false">'Residual Diagnostics'!F1361</f>
        <v>41.6390575797365</v>
      </c>
      <c r="D1361" s="13" t="n">
        <f aca="false">C1361/('Final Model'!$B$21*SQRT(1-B1361))</f>
        <v>0.849941037276614</v>
      </c>
      <c r="E1361" s="13" t="n">
        <f aca="false">D1361*SQRT(('Final Model'!$B$24-1)/('Final Model'!$B$24-D1361^2))</f>
        <v>0.849855377087152</v>
      </c>
      <c r="F1361" s="23" t="n">
        <f aca="false">D1361^2/($P$3+1)*B1361/(1-B1361)</f>
        <v>0.000153035646439449</v>
      </c>
      <c r="G1361" s="13" t="n">
        <f aca="false">($P$2-1)*(B1361-1/$P$2)</f>
        <v>1.34397551199926</v>
      </c>
      <c r="H1361" s="13" t="n">
        <f aca="false">E1361*SQRT(B1361/(1-B1361))</f>
        <v>0.0349862602747109</v>
      </c>
      <c r="I1361" s="13" t="n">
        <f aca="false">ABS(D1361)</f>
        <v>0.849941037276614</v>
      </c>
      <c r="J1361" s="6" t="n">
        <f aca="false">IF(B1361&gt;$P$4,1,0)</f>
        <v>0</v>
      </c>
      <c r="K1361" s="6" t="n">
        <f aca="false">IF(F1361&gt;$P$6,1,0)</f>
        <v>0</v>
      </c>
      <c r="L1361" s="6" t="n">
        <f aca="false">IF(G1361&gt;$P$9,1,0)</f>
        <v>0</v>
      </c>
      <c r="M1361" s="6" t="n">
        <f aca="false">IF(ABS(H1361)&gt;$P$8,1,0)</f>
        <v>0</v>
      </c>
    </row>
    <row r="1362" customFormat="false" ht="15" hidden="false" customHeight="false" outlineLevel="0" collapsed="false">
      <c r="A1362" s="0" t="n">
        <f aca="false">ROW()-1</f>
        <v>1361</v>
      </c>
      <c r="B1362" s="22" t="n">
        <f aca="false">SUMPRODUCT(MMULT('Analysis Data'!N1362:U1362,'Final Model'!$B$59:$I$66),'Analysis Data'!N1362:U1362)</f>
        <v>0.00169188015254712</v>
      </c>
      <c r="C1362" s="15" t="n">
        <f aca="false">'Residual Diagnostics'!F1362</f>
        <v>-84.9320538887961</v>
      </c>
      <c r="D1362" s="13" t="n">
        <f aca="false">C1362/('Final Model'!$B$21*SQRT(1-B1362))</f>
        <v>-1.73364245437213</v>
      </c>
      <c r="E1362" s="13" t="n">
        <f aca="false">D1362*SQRT(('Final Model'!$B$24-1)/('Final Model'!$B$24-D1362^2))</f>
        <v>-1.73490630710801</v>
      </c>
      <c r="F1362" s="23" t="n">
        <f aca="false">D1362^2/($P$3+1)*B1362/(1-B1362)</f>
        <v>0.000636698860488866</v>
      </c>
      <c r="G1362" s="13" t="n">
        <f aca="false">($P$2-1)*(B1362-1/$P$2)</f>
        <v>1.34397551199926</v>
      </c>
      <c r="H1362" s="13" t="n">
        <f aca="false">E1362*SQRT(B1362/(1-B1362))</f>
        <v>-0.0714214268088274</v>
      </c>
      <c r="I1362" s="13" t="n">
        <f aca="false">ABS(D1362)</f>
        <v>1.73364245437213</v>
      </c>
      <c r="J1362" s="6" t="n">
        <f aca="false">IF(B1362&gt;$P$4,1,0)</f>
        <v>0</v>
      </c>
      <c r="K1362" s="6" t="n">
        <f aca="false">IF(F1362&gt;$P$6,1,0)</f>
        <v>0</v>
      </c>
      <c r="L1362" s="6" t="n">
        <f aca="false">IF(G1362&gt;$P$9,1,0)</f>
        <v>0</v>
      </c>
      <c r="M1362" s="6" t="n">
        <f aca="false">IF(ABS(H1362)&gt;$P$8,1,0)</f>
        <v>0</v>
      </c>
    </row>
    <row r="1363" customFormat="false" ht="15" hidden="false" customHeight="false" outlineLevel="0" collapsed="false">
      <c r="A1363" s="0" t="n">
        <f aca="false">ROW()-1</f>
        <v>1362</v>
      </c>
      <c r="B1363" s="22" t="n">
        <f aca="false">SUMPRODUCT(MMULT('Analysis Data'!N1363:U1363,'Final Model'!$B$59:$I$66),'Analysis Data'!N1363:U1363)</f>
        <v>0.00169188015254712</v>
      </c>
      <c r="C1363" s="15" t="n">
        <f aca="false">'Residual Diagnostics'!F1363</f>
        <v>-7.27747617645349</v>
      </c>
      <c r="D1363" s="13" t="n">
        <f aca="false">C1363/('Final Model'!$B$21*SQRT(1-B1363))</f>
        <v>-0.148548646624049</v>
      </c>
      <c r="E1363" s="13" t="n">
        <f aca="false">D1363*SQRT(('Final Model'!$B$24-1)/('Final Model'!$B$24-D1363^2))</f>
        <v>-0.148495925732095</v>
      </c>
      <c r="F1363" s="23" t="n">
        <f aca="false">D1363^2/($P$3+1)*B1363/(1-B1363)</f>
        <v>4.67468556552441E-006</v>
      </c>
      <c r="G1363" s="13" t="n">
        <f aca="false">($P$2-1)*(B1363-1/$P$2)</f>
        <v>1.34397551199926</v>
      </c>
      <c r="H1363" s="13" t="n">
        <f aca="false">E1363*SQRT(B1363/(1-B1363))</f>
        <v>-0.00611317789763708</v>
      </c>
      <c r="I1363" s="13" t="n">
        <f aca="false">ABS(D1363)</f>
        <v>0.148548646624049</v>
      </c>
      <c r="J1363" s="6" t="n">
        <f aca="false">IF(B1363&gt;$P$4,1,0)</f>
        <v>0</v>
      </c>
      <c r="K1363" s="6" t="n">
        <f aca="false">IF(F1363&gt;$P$6,1,0)</f>
        <v>0</v>
      </c>
      <c r="L1363" s="6" t="n">
        <f aca="false">IF(G1363&gt;$P$9,1,0)</f>
        <v>0</v>
      </c>
      <c r="M1363" s="6" t="n">
        <f aca="false">IF(ABS(H1363)&gt;$P$8,1,0)</f>
        <v>0</v>
      </c>
    </row>
    <row r="1364" customFormat="false" ht="15" hidden="false" customHeight="false" outlineLevel="0" collapsed="false">
      <c r="A1364" s="0" t="n">
        <f aca="false">ROW()-1</f>
        <v>1363</v>
      </c>
      <c r="B1364" s="22" t="n">
        <f aca="false">SUMPRODUCT(MMULT('Analysis Data'!N1364:U1364,'Final Model'!$B$59:$I$66),'Analysis Data'!N1364:U1364)</f>
        <v>0.00330310445515953</v>
      </c>
      <c r="C1364" s="15" t="n">
        <f aca="false">'Residual Diagnostics'!F1364</f>
        <v>-40.8631141630899</v>
      </c>
      <c r="D1364" s="13" t="n">
        <f aca="false">C1364/('Final Model'!$B$21*SQRT(1-B1364))</f>
        <v>-0.834776312344228</v>
      </c>
      <c r="E1364" s="13" t="n">
        <f aca="false">D1364*SQRT(('Final Model'!$B$24-1)/('Final Model'!$B$24-D1364^2))</f>
        <v>-0.834684438917314</v>
      </c>
      <c r="F1364" s="23" t="n">
        <f aca="false">D1364^2/($P$3+1)*B1364/(1-B1364)</f>
        <v>0.00028867518261392</v>
      </c>
      <c r="G1364" s="13" t="n">
        <f aca="false">($P$2-1)*(B1364-1/$P$2)</f>
        <v>3.57552117111745</v>
      </c>
      <c r="H1364" s="13" t="n">
        <f aca="false">E1364*SQRT(B1364/(1-B1364))</f>
        <v>-0.048050943328926</v>
      </c>
      <c r="I1364" s="13" t="n">
        <f aca="false">ABS(D1364)</f>
        <v>0.834776312344228</v>
      </c>
      <c r="J1364" s="6" t="n">
        <f aca="false">IF(B1364&gt;$P$4,1,0)</f>
        <v>0</v>
      </c>
      <c r="K1364" s="6" t="n">
        <f aca="false">IF(F1364&gt;$P$6,1,0)</f>
        <v>0</v>
      </c>
      <c r="L1364" s="6" t="n">
        <f aca="false">IF(G1364&gt;$P$9,1,0)</f>
        <v>0</v>
      </c>
      <c r="M1364" s="6" t="n">
        <f aca="false">IF(ABS(H1364)&gt;$P$8,1,0)</f>
        <v>0</v>
      </c>
    </row>
    <row r="1365" customFormat="false" ht="15" hidden="false" customHeight="false" outlineLevel="0" collapsed="false">
      <c r="A1365" s="0" t="n">
        <f aca="false">ROW()-1</f>
        <v>1364</v>
      </c>
      <c r="B1365" s="22" t="n">
        <f aca="false">SUMPRODUCT(MMULT('Analysis Data'!N1365:U1365,'Final Model'!$B$59:$I$66),'Analysis Data'!N1365:U1365)</f>
        <v>0.00330310445515953</v>
      </c>
      <c r="C1365" s="15" t="n">
        <f aca="false">'Residual Diagnostics'!F1365</f>
        <v>-31.8968803280382</v>
      </c>
      <c r="D1365" s="13" t="n">
        <f aca="false">C1365/('Final Model'!$B$21*SQRT(1-B1365))</f>
        <v>-0.651608686240946</v>
      </c>
      <c r="E1365" s="13" t="n">
        <f aca="false">D1365*SQRT(('Final Model'!$B$24-1)/('Final Model'!$B$24-D1365^2))</f>
        <v>-0.651472585238774</v>
      </c>
      <c r="F1365" s="23" t="n">
        <f aca="false">D1365^2/($P$3+1)*B1365/(1-B1365)</f>
        <v>0.000175890727522046</v>
      </c>
      <c r="G1365" s="13" t="n">
        <f aca="false">($P$2-1)*(B1365-1/$P$2)</f>
        <v>3.57552117111745</v>
      </c>
      <c r="H1365" s="13" t="n">
        <f aca="false">E1365*SQRT(B1365/(1-B1365))</f>
        <v>-0.037503840749999</v>
      </c>
      <c r="I1365" s="13" t="n">
        <f aca="false">ABS(D1365)</f>
        <v>0.651608686240946</v>
      </c>
      <c r="J1365" s="6" t="n">
        <f aca="false">IF(B1365&gt;$P$4,1,0)</f>
        <v>0</v>
      </c>
      <c r="K1365" s="6" t="n">
        <f aca="false">IF(F1365&gt;$P$6,1,0)</f>
        <v>0</v>
      </c>
      <c r="L1365" s="6" t="n">
        <f aca="false">IF(G1365&gt;$P$9,1,0)</f>
        <v>0</v>
      </c>
      <c r="M1365" s="6" t="n">
        <f aca="false">IF(ABS(H1365)&gt;$P$8,1,0)</f>
        <v>0</v>
      </c>
    </row>
    <row r="1366" customFormat="false" ht="15" hidden="false" customHeight="false" outlineLevel="0" collapsed="false">
      <c r="A1366" s="0" t="n">
        <f aca="false">ROW()-1</f>
        <v>1365</v>
      </c>
      <c r="B1366" s="22" t="n">
        <f aca="false">SUMPRODUCT(MMULT('Analysis Data'!N1366:U1366,'Final Model'!$B$59:$I$66),'Analysis Data'!N1366:U1366)</f>
        <v>0.00169188015254712</v>
      </c>
      <c r="C1366" s="15" t="n">
        <f aca="false">'Residual Diagnostics'!F1366</f>
        <v>-52.0200792289891</v>
      </c>
      <c r="D1366" s="13" t="n">
        <f aca="false">C1366/('Final Model'!$B$21*SQRT(1-B1366))</f>
        <v>-1.06183959649978</v>
      </c>
      <c r="E1366" s="13" t="n">
        <f aca="false">D1366*SQRT(('Final Model'!$B$24-1)/('Final Model'!$B$24-D1366^2))</f>
        <v>-1.06188876043806</v>
      </c>
      <c r="F1366" s="23" t="n">
        <f aca="false">D1366^2/($P$3+1)*B1366/(1-B1366)</f>
        <v>0.000238854175607761</v>
      </c>
      <c r="G1366" s="13" t="n">
        <f aca="false">($P$2-1)*(B1366-1/$P$2)</f>
        <v>1.34397551199926</v>
      </c>
      <c r="H1366" s="13" t="n">
        <f aca="false">E1366*SQRT(B1366/(1-B1366))</f>
        <v>-0.0437151044249571</v>
      </c>
      <c r="I1366" s="13" t="n">
        <f aca="false">ABS(D1366)</f>
        <v>1.06183959649978</v>
      </c>
      <c r="J1366" s="6" t="n">
        <f aca="false">IF(B1366&gt;$P$4,1,0)</f>
        <v>0</v>
      </c>
      <c r="K1366" s="6" t="n">
        <f aca="false">IF(F1366&gt;$P$6,1,0)</f>
        <v>0</v>
      </c>
      <c r="L1366" s="6" t="n">
        <f aca="false">IF(G1366&gt;$P$9,1,0)</f>
        <v>0</v>
      </c>
      <c r="M1366" s="6" t="n">
        <f aca="false">IF(ABS(H1366)&gt;$P$8,1,0)</f>
        <v>0</v>
      </c>
    </row>
    <row r="1367" customFormat="false" ht="15" hidden="false" customHeight="false" outlineLevel="0" collapsed="false">
      <c r="A1367" s="0" t="n">
        <f aca="false">ROW()-1</f>
        <v>1366</v>
      </c>
      <c r="B1367" s="22" t="n">
        <f aca="false">SUMPRODUCT(MMULT('Analysis Data'!N1367:U1367,'Final Model'!$B$59:$I$66),'Analysis Data'!N1367:U1367)</f>
        <v>0.00169188015254712</v>
      </c>
      <c r="C1367" s="15" t="n">
        <f aca="false">'Residual Diagnostics'!F1367</f>
        <v>33.0529824013877</v>
      </c>
      <c r="D1367" s="13" t="n">
        <f aca="false">C1367/('Final Model'!$B$21*SQRT(1-B1367))</f>
        <v>0.674681123450607</v>
      </c>
      <c r="E1367" s="13" t="n">
        <f aca="false">D1367*SQRT(('Final Model'!$B$24-1)/('Final Model'!$B$24-D1367^2))</f>
        <v>0.674547695392485</v>
      </c>
      <c r="F1367" s="23" t="n">
        <f aca="false">D1367^2/($P$3+1)*B1367/(1-B1367)</f>
        <v>9.64299905266668E-005</v>
      </c>
      <c r="G1367" s="13" t="n">
        <f aca="false">($P$2-1)*(B1367-1/$P$2)</f>
        <v>1.34397551199926</v>
      </c>
      <c r="H1367" s="13" t="n">
        <f aca="false">E1367*SQRT(B1367/(1-B1367))</f>
        <v>0.027769314491597</v>
      </c>
      <c r="I1367" s="13" t="n">
        <f aca="false">ABS(D1367)</f>
        <v>0.674681123450607</v>
      </c>
      <c r="J1367" s="6" t="n">
        <f aca="false">IF(B1367&gt;$P$4,1,0)</f>
        <v>0</v>
      </c>
      <c r="K1367" s="6" t="n">
        <f aca="false">IF(F1367&gt;$P$6,1,0)</f>
        <v>0</v>
      </c>
      <c r="L1367" s="6" t="n">
        <f aca="false">IF(G1367&gt;$P$9,1,0)</f>
        <v>0</v>
      </c>
      <c r="M1367" s="6" t="n">
        <f aca="false">IF(ABS(H1367)&gt;$P$8,1,0)</f>
        <v>0</v>
      </c>
    </row>
    <row r="1368" customFormat="false" ht="15" hidden="false" customHeight="false" outlineLevel="0" collapsed="false">
      <c r="A1368" s="0" t="n">
        <f aca="false">ROW()-1</f>
        <v>1367</v>
      </c>
      <c r="B1368" s="22" t="n">
        <f aca="false">SUMPRODUCT(MMULT('Analysis Data'!N1368:U1368,'Final Model'!$B$59:$I$66),'Analysis Data'!N1368:U1368)</f>
        <v>0.0017892291429144</v>
      </c>
      <c r="C1368" s="15" t="n">
        <f aca="false">'Residual Diagnostics'!F1368</f>
        <v>37.9941958532518</v>
      </c>
      <c r="D1368" s="13" t="n">
        <f aca="false">C1368/('Final Model'!$B$21*SQRT(1-B1368))</f>
        <v>0.775579533427351</v>
      </c>
      <c r="E1368" s="13" t="n">
        <f aca="false">D1368*SQRT(('Final Model'!$B$24-1)/('Final Model'!$B$24-D1368^2))</f>
        <v>0.77546733913831</v>
      </c>
      <c r="F1368" s="23" t="n">
        <f aca="false">D1368^2/($P$3+1)*B1368/(1-B1368)</f>
        <v>0.000134774088970546</v>
      </c>
      <c r="G1368" s="13" t="n">
        <f aca="false">($P$2-1)*(B1368-1/$P$2)</f>
        <v>1.47880386365795</v>
      </c>
      <c r="H1368" s="13" t="n">
        <f aca="false">E1368*SQRT(B1368/(1-B1368))</f>
        <v>0.0328310949333156</v>
      </c>
      <c r="I1368" s="13" t="n">
        <f aca="false">ABS(D1368)</f>
        <v>0.775579533427351</v>
      </c>
      <c r="J1368" s="6" t="n">
        <f aca="false">IF(B1368&gt;$P$4,1,0)</f>
        <v>0</v>
      </c>
      <c r="K1368" s="6" t="n">
        <f aca="false">IF(F1368&gt;$P$6,1,0)</f>
        <v>0</v>
      </c>
      <c r="L1368" s="6" t="n">
        <f aca="false">IF(G1368&gt;$P$9,1,0)</f>
        <v>0</v>
      </c>
      <c r="M1368" s="6" t="n">
        <f aca="false">IF(ABS(H1368)&gt;$P$8,1,0)</f>
        <v>0</v>
      </c>
    </row>
    <row r="1369" customFormat="false" ht="15" hidden="false" customHeight="false" outlineLevel="0" collapsed="false">
      <c r="A1369" s="0" t="n">
        <f aca="false">ROW()-1</f>
        <v>1368</v>
      </c>
      <c r="B1369" s="22" t="n">
        <f aca="false">SUMPRODUCT(MMULT('Analysis Data'!N1369:U1369,'Final Model'!$B$59:$I$66),'Analysis Data'!N1369:U1369)</f>
        <v>0.0017892291429144</v>
      </c>
      <c r="C1369" s="15" t="n">
        <f aca="false">'Residual Diagnostics'!F1369</f>
        <v>-57.2459195928541</v>
      </c>
      <c r="D1369" s="13" t="n">
        <f aca="false">C1369/('Final Model'!$B$21*SQRT(1-B1369))</f>
        <v>-1.16856700375843</v>
      </c>
      <c r="E1369" s="13" t="n">
        <f aca="false">D1369*SQRT(('Final Model'!$B$24-1)/('Final Model'!$B$24-D1369^2))</f>
        <v>-1.16872214296818</v>
      </c>
      <c r="F1369" s="23" t="n">
        <f aca="false">D1369^2/($P$3+1)*B1369/(1-B1369)</f>
        <v>0.000305957400981801</v>
      </c>
      <c r="G1369" s="13" t="n">
        <f aca="false">($P$2-1)*(B1369-1/$P$2)</f>
        <v>1.47880386365795</v>
      </c>
      <c r="H1369" s="13" t="n">
        <f aca="false">E1369*SQRT(B1369/(1-B1369))</f>
        <v>-0.0494803916166131</v>
      </c>
      <c r="I1369" s="13" t="n">
        <f aca="false">ABS(D1369)</f>
        <v>1.16856700375843</v>
      </c>
      <c r="J1369" s="6" t="n">
        <f aca="false">IF(B1369&gt;$P$4,1,0)</f>
        <v>0</v>
      </c>
      <c r="K1369" s="6" t="n">
        <f aca="false">IF(F1369&gt;$P$6,1,0)</f>
        <v>0</v>
      </c>
      <c r="L1369" s="6" t="n">
        <f aca="false">IF(G1369&gt;$P$9,1,0)</f>
        <v>0</v>
      </c>
      <c r="M1369" s="6" t="n">
        <f aca="false">IF(ABS(H1369)&gt;$P$8,1,0)</f>
        <v>0</v>
      </c>
    </row>
    <row r="1370" customFormat="false" ht="15" hidden="false" customHeight="false" outlineLevel="0" collapsed="false">
      <c r="A1370" s="0" t="n">
        <f aca="false">ROW()-1</f>
        <v>1369</v>
      </c>
      <c r="B1370" s="22" t="n">
        <f aca="false">SUMPRODUCT(MMULT('Analysis Data'!N1370:U1370,'Final Model'!$B$59:$I$66),'Analysis Data'!N1370:U1370)</f>
        <v>0.0019003672566989</v>
      </c>
      <c r="C1370" s="15" t="n">
        <f aca="false">'Residual Diagnostics'!F1370</f>
        <v>18.9865943905928</v>
      </c>
      <c r="D1370" s="13" t="n">
        <f aca="false">C1370/('Final Model'!$B$21*SQRT(1-B1370))</f>
        <v>0.387596934526026</v>
      </c>
      <c r="E1370" s="13" t="n">
        <f aca="false">D1370*SQRT(('Final Model'!$B$24-1)/('Final Model'!$B$24-D1370^2))</f>
        <v>0.38747739373243</v>
      </c>
      <c r="F1370" s="23" t="n">
        <f aca="false">D1370^2/($P$3+1)*B1370/(1-B1370)</f>
        <v>3.57547975496056E-005</v>
      </c>
      <c r="G1370" s="13" t="n">
        <f aca="false">($P$2-1)*(B1370-1/$P$2)</f>
        <v>1.63273015124947</v>
      </c>
      <c r="H1370" s="13" t="n">
        <f aca="false">E1370*SQRT(B1370/(1-B1370))</f>
        <v>0.0169074531028512</v>
      </c>
      <c r="I1370" s="13" t="n">
        <f aca="false">ABS(D1370)</f>
        <v>0.387596934526026</v>
      </c>
      <c r="J1370" s="6" t="n">
        <f aca="false">IF(B1370&gt;$P$4,1,0)</f>
        <v>0</v>
      </c>
      <c r="K1370" s="6" t="n">
        <f aca="false">IF(F1370&gt;$P$6,1,0)</f>
        <v>0</v>
      </c>
      <c r="L1370" s="6" t="n">
        <f aca="false">IF(G1370&gt;$P$9,1,0)</f>
        <v>0</v>
      </c>
      <c r="M1370" s="6" t="n">
        <f aca="false">IF(ABS(H1370)&gt;$P$8,1,0)</f>
        <v>0</v>
      </c>
    </row>
    <row r="1371" customFormat="false" ht="15" hidden="false" customHeight="false" outlineLevel="0" collapsed="false">
      <c r="A1371" s="0" t="n">
        <f aca="false">ROW()-1</f>
        <v>1370</v>
      </c>
      <c r="B1371" s="22" t="n">
        <f aca="false">SUMPRODUCT(MMULT('Analysis Data'!N1371:U1371,'Final Model'!$B$59:$I$66),'Analysis Data'!N1371:U1371)</f>
        <v>0.00169188015254712</v>
      </c>
      <c r="C1371" s="15" t="n">
        <f aca="false">'Residual Diagnostics'!F1371</f>
        <v>-32.8101793752618</v>
      </c>
      <c r="D1371" s="13" t="n">
        <f aca="false">C1371/('Final Model'!$B$21*SQRT(1-B1371))</f>
        <v>-0.669725001293323</v>
      </c>
      <c r="E1371" s="13" t="n">
        <f aca="false">D1371*SQRT(('Final Model'!$B$24-1)/('Final Model'!$B$24-D1371^2))</f>
        <v>-0.669590934011929</v>
      </c>
      <c r="F1371" s="23" t="n">
        <f aca="false">D1371^2/($P$3+1)*B1371/(1-B1371)</f>
        <v>9.50184690521068E-005</v>
      </c>
      <c r="G1371" s="13" t="n">
        <f aca="false">($P$2-1)*(B1371-1/$P$2)</f>
        <v>1.34397551199926</v>
      </c>
      <c r="H1371" s="13" t="n">
        <f aca="false">E1371*SQRT(B1371/(1-B1371))</f>
        <v>-0.0275652579562673</v>
      </c>
      <c r="I1371" s="13" t="n">
        <f aca="false">ABS(D1371)</f>
        <v>0.669725001293323</v>
      </c>
      <c r="J1371" s="6" t="n">
        <f aca="false">IF(B1371&gt;$P$4,1,0)</f>
        <v>0</v>
      </c>
      <c r="K1371" s="6" t="n">
        <f aca="false">IF(F1371&gt;$P$6,1,0)</f>
        <v>0</v>
      </c>
      <c r="L1371" s="6" t="n">
        <f aca="false">IF(G1371&gt;$P$9,1,0)</f>
        <v>0</v>
      </c>
      <c r="M1371" s="6" t="n">
        <f aca="false">IF(ABS(H1371)&gt;$P$8,1,0)</f>
        <v>0</v>
      </c>
    </row>
    <row r="1372" customFormat="false" ht="15" hidden="false" customHeight="false" outlineLevel="0" collapsed="false">
      <c r="A1372" s="0" t="n">
        <f aca="false">ROW()-1</f>
        <v>1371</v>
      </c>
      <c r="B1372" s="22" t="n">
        <f aca="false">SUMPRODUCT(MMULT('Analysis Data'!N1372:U1372,'Final Model'!$B$59:$I$66),'Analysis Data'!N1372:U1372)</f>
        <v>0.00169188015254712</v>
      </c>
      <c r="C1372" s="15" t="n">
        <f aca="false">'Residual Diagnostics'!F1372</f>
        <v>8.05004188339353</v>
      </c>
      <c r="D1372" s="13" t="n">
        <f aca="false">C1372/('Final Model'!$B$21*SQRT(1-B1372))</f>
        <v>0.164318343069833</v>
      </c>
      <c r="E1372" s="13" t="n">
        <f aca="false">D1372*SQRT(('Final Model'!$B$24-1)/('Final Model'!$B$24-D1372^2))</f>
        <v>0.164260319474226</v>
      </c>
      <c r="F1372" s="23" t="n">
        <f aca="false">D1372^2/($P$3+1)*B1372/(1-B1372)</f>
        <v>5.71988239192122E-006</v>
      </c>
      <c r="G1372" s="13" t="n">
        <f aca="false">($P$2-1)*(B1372-1/$P$2)</f>
        <v>1.34397551199926</v>
      </c>
      <c r="H1372" s="13" t="n">
        <f aca="false">E1372*SQRT(B1372/(1-B1372))</f>
        <v>0.0067621555912602</v>
      </c>
      <c r="I1372" s="13" t="n">
        <f aca="false">ABS(D1372)</f>
        <v>0.164318343069833</v>
      </c>
      <c r="J1372" s="6" t="n">
        <f aca="false">IF(B1372&gt;$P$4,1,0)</f>
        <v>0</v>
      </c>
      <c r="K1372" s="6" t="n">
        <f aca="false">IF(F1372&gt;$P$6,1,0)</f>
        <v>0</v>
      </c>
      <c r="L1372" s="6" t="n">
        <f aca="false">IF(G1372&gt;$P$9,1,0)</f>
        <v>0</v>
      </c>
      <c r="M1372" s="6" t="n">
        <f aca="false">IF(ABS(H1372)&gt;$P$8,1,0)</f>
        <v>0</v>
      </c>
    </row>
    <row r="1373" customFormat="false" ht="15" hidden="false" customHeight="false" outlineLevel="0" collapsed="false">
      <c r="A1373" s="0" t="n">
        <f aca="false">ROW()-1</f>
        <v>1372</v>
      </c>
      <c r="B1373" s="22" t="n">
        <f aca="false">SUMPRODUCT(MMULT('Analysis Data'!N1373:U1373,'Final Model'!$B$59:$I$66),'Analysis Data'!N1373:U1373)</f>
        <v>0.00169188015254712</v>
      </c>
      <c r="C1373" s="15" t="n">
        <f aca="false">'Residual Diagnostics'!F1373</f>
        <v>-40.6346245898952</v>
      </c>
      <c r="D1373" s="13" t="n">
        <f aca="false">C1373/('Final Model'!$B$21*SQRT(1-B1373))</f>
        <v>-0.829438440270767</v>
      </c>
      <c r="E1373" s="13" t="n">
        <f aca="false">D1373*SQRT(('Final Model'!$B$24-1)/('Final Model'!$B$24-D1373^2))</f>
        <v>-0.8293444797575</v>
      </c>
      <c r="F1373" s="23" t="n">
        <f aca="false">D1373^2/($P$3+1)*B1373/(1-B1373)</f>
        <v>0.000145741529488742</v>
      </c>
      <c r="G1373" s="13" t="n">
        <f aca="false">($P$2-1)*(B1373-1/$P$2)</f>
        <v>1.34397551199926</v>
      </c>
      <c r="H1373" s="13" t="n">
        <f aca="false">E1373*SQRT(B1373/(1-B1373))</f>
        <v>-0.0341418817936303</v>
      </c>
      <c r="I1373" s="13" t="n">
        <f aca="false">ABS(D1373)</f>
        <v>0.829438440270767</v>
      </c>
      <c r="J1373" s="6" t="n">
        <f aca="false">IF(B1373&gt;$P$4,1,0)</f>
        <v>0</v>
      </c>
      <c r="K1373" s="6" t="n">
        <f aca="false">IF(F1373&gt;$P$6,1,0)</f>
        <v>0</v>
      </c>
      <c r="L1373" s="6" t="n">
        <f aca="false">IF(G1373&gt;$P$9,1,0)</f>
        <v>0</v>
      </c>
      <c r="M1373" s="6" t="n">
        <f aca="false">IF(ABS(H1373)&gt;$P$8,1,0)</f>
        <v>0</v>
      </c>
    </row>
    <row r="1374" customFormat="false" ht="15" hidden="false" customHeight="false" outlineLevel="0" collapsed="false">
      <c r="A1374" s="0" t="n">
        <f aca="false">ROW()-1</f>
        <v>1373</v>
      </c>
      <c r="B1374" s="22" t="n">
        <f aca="false">SUMPRODUCT(MMULT('Analysis Data'!N1374:U1374,'Final Model'!$B$59:$I$66),'Analysis Data'!N1374:U1374)</f>
        <v>0.00169188015254712</v>
      </c>
      <c r="C1374" s="15" t="n">
        <f aca="false">'Residual Diagnostics'!F1374</f>
        <v>29.6916482302871</v>
      </c>
      <c r="D1374" s="13" t="n">
        <f aca="false">C1374/('Final Model'!$B$21*SQRT(1-B1374))</f>
        <v>0.606069199500415</v>
      </c>
      <c r="E1374" s="13" t="n">
        <f aca="false">D1374*SQRT(('Final Model'!$B$24-1)/('Final Model'!$B$24-D1374^2))</f>
        <v>0.605930014368712</v>
      </c>
      <c r="F1374" s="23" t="n">
        <f aca="false">D1374^2/($P$3+1)*B1374/(1-B1374)</f>
        <v>7.78143031554928E-005</v>
      </c>
      <c r="G1374" s="13" t="n">
        <f aca="false">($P$2-1)*(B1374-1/$P$2)</f>
        <v>1.34397551199926</v>
      </c>
      <c r="H1374" s="13" t="n">
        <f aca="false">E1374*SQRT(B1374/(1-B1374))</f>
        <v>0.0249445091041521</v>
      </c>
      <c r="I1374" s="13" t="n">
        <f aca="false">ABS(D1374)</f>
        <v>0.606069199500415</v>
      </c>
      <c r="J1374" s="6" t="n">
        <f aca="false">IF(B1374&gt;$P$4,1,0)</f>
        <v>0</v>
      </c>
      <c r="K1374" s="6" t="n">
        <f aca="false">IF(F1374&gt;$P$6,1,0)</f>
        <v>0</v>
      </c>
      <c r="L1374" s="6" t="n">
        <f aca="false">IF(G1374&gt;$P$9,1,0)</f>
        <v>0</v>
      </c>
      <c r="M1374" s="6" t="n">
        <f aca="false">IF(ABS(H1374)&gt;$P$8,1,0)</f>
        <v>0</v>
      </c>
    </row>
    <row r="1375" customFormat="false" ht="15" hidden="false" customHeight="false" outlineLevel="0" collapsed="false">
      <c r="A1375" s="0" t="n">
        <f aca="false">ROW()-1</f>
        <v>1374</v>
      </c>
      <c r="B1375" s="22" t="n">
        <f aca="false">SUMPRODUCT(MMULT('Analysis Data'!N1375:U1375,'Final Model'!$B$59:$I$66),'Analysis Data'!N1375:U1375)</f>
        <v>0.0017892291429144</v>
      </c>
      <c r="C1375" s="15" t="n">
        <f aca="false">'Residual Diagnostics'!F1375</f>
        <v>-10.8430370315003</v>
      </c>
      <c r="D1375" s="13" t="n">
        <f aca="false">C1375/('Final Model'!$B$21*SQRT(1-B1375))</f>
        <v>-0.221340060316259</v>
      </c>
      <c r="E1375" s="13" t="n">
        <f aca="false">D1375*SQRT(('Final Model'!$B$24-1)/('Final Model'!$B$24-D1375^2))</f>
        <v>-0.221263666951662</v>
      </c>
      <c r="F1375" s="23" t="n">
        <f aca="false">D1375^2/($P$3+1)*B1375/(1-B1375)</f>
        <v>1.09767499876508E-005</v>
      </c>
      <c r="G1375" s="13" t="n">
        <f aca="false">($P$2-1)*(B1375-1/$P$2)</f>
        <v>1.47880386365795</v>
      </c>
      <c r="H1375" s="13" t="n">
        <f aca="false">E1375*SQRT(B1375/(1-B1375))</f>
        <v>-0.00936767815786487</v>
      </c>
      <c r="I1375" s="13" t="n">
        <f aca="false">ABS(D1375)</f>
        <v>0.221340060316259</v>
      </c>
      <c r="J1375" s="6" t="n">
        <f aca="false">IF(B1375&gt;$P$4,1,0)</f>
        <v>0</v>
      </c>
      <c r="K1375" s="6" t="n">
        <f aca="false">IF(F1375&gt;$P$6,1,0)</f>
        <v>0</v>
      </c>
      <c r="L1375" s="6" t="n">
        <f aca="false">IF(G1375&gt;$P$9,1,0)</f>
        <v>0</v>
      </c>
      <c r="M1375" s="6" t="n">
        <f aca="false">IF(ABS(H1375)&gt;$P$8,1,0)</f>
        <v>0</v>
      </c>
    </row>
    <row r="1376" customFormat="false" ht="15" hidden="false" customHeight="false" outlineLevel="0" collapsed="false">
      <c r="A1376" s="0" t="n">
        <f aca="false">ROW()-1</f>
        <v>1375</v>
      </c>
      <c r="B1376" s="22" t="n">
        <f aca="false">SUMPRODUCT(MMULT('Analysis Data'!N1376:U1376,'Final Model'!$B$59:$I$66),'Analysis Data'!N1376:U1376)</f>
        <v>0.0017892291429144</v>
      </c>
      <c r="C1376" s="15" t="n">
        <f aca="false">'Residual Diagnostics'!F1376</f>
        <v>-78.4314276857904</v>
      </c>
      <c r="D1376" s="13" t="n">
        <f aca="false">C1376/('Final Model'!$B$21*SQRT(1-B1376))</f>
        <v>-1.60102901836729</v>
      </c>
      <c r="E1376" s="13" t="n">
        <f aca="false">D1376*SQRT(('Final Model'!$B$24-1)/('Final Model'!$B$24-D1376^2))</f>
        <v>-1.60193860880451</v>
      </c>
      <c r="F1376" s="23" t="n">
        <f aca="false">D1376^2/($P$3+1)*B1376/(1-B1376)</f>
        <v>0.000574317608217163</v>
      </c>
      <c r="G1376" s="13" t="n">
        <f aca="false">($P$2-1)*(B1376-1/$P$2)</f>
        <v>1.47880386365795</v>
      </c>
      <c r="H1376" s="13" t="n">
        <f aca="false">E1376*SQRT(B1376/(1-B1376))</f>
        <v>-0.0678215520997257</v>
      </c>
      <c r="I1376" s="13" t="n">
        <f aca="false">ABS(D1376)</f>
        <v>1.60102901836729</v>
      </c>
      <c r="J1376" s="6" t="n">
        <f aca="false">IF(B1376&gt;$P$4,1,0)</f>
        <v>0</v>
      </c>
      <c r="K1376" s="6" t="n">
        <f aca="false">IF(F1376&gt;$P$6,1,0)</f>
        <v>0</v>
      </c>
      <c r="L1376" s="6" t="n">
        <f aca="false">IF(G1376&gt;$P$9,1,0)</f>
        <v>0</v>
      </c>
      <c r="M1376" s="6" t="n">
        <f aca="false">IF(ABS(H1376)&gt;$P$8,1,0)</f>
        <v>0</v>
      </c>
    </row>
    <row r="1377" customFormat="false" ht="15" hidden="false" customHeight="false" outlineLevel="0" collapsed="false">
      <c r="A1377" s="0" t="n">
        <f aca="false">ROW()-1</f>
        <v>1376</v>
      </c>
      <c r="B1377" s="22" t="n">
        <f aca="false">SUMPRODUCT(MMULT('Analysis Data'!N1377:U1377,'Final Model'!$B$59:$I$66),'Analysis Data'!N1377:U1377)</f>
        <v>0.00245757096629676</v>
      </c>
      <c r="C1377" s="15" t="n">
        <f aca="false">'Residual Diagnostics'!F1377</f>
        <v>-98.3561667877666</v>
      </c>
      <c r="D1377" s="13" t="n">
        <f aca="false">C1377/('Final Model'!$B$21*SQRT(1-B1377))</f>
        <v>-2.00842729595298</v>
      </c>
      <c r="E1377" s="13" t="n">
        <f aca="false">D1377*SQRT(('Final Model'!$B$24-1)/('Final Model'!$B$24-D1377^2))</f>
        <v>-2.01064342292709</v>
      </c>
      <c r="F1377" s="23" t="n">
        <f aca="false">D1377^2/($P$3+1)*B1377/(1-B1377)</f>
        <v>0.00124221547163102</v>
      </c>
      <c r="G1377" s="13" t="n">
        <f aca="false">($P$2-1)*(B1377-1/$P$2)</f>
        <v>2.40445728904251</v>
      </c>
      <c r="H1377" s="13" t="n">
        <f aca="false">E1377*SQRT(B1377/(1-B1377))</f>
        <v>-0.0997981298486592</v>
      </c>
      <c r="I1377" s="13" t="n">
        <f aca="false">ABS(D1377)</f>
        <v>2.00842729595298</v>
      </c>
      <c r="J1377" s="6" t="n">
        <f aca="false">IF(B1377&gt;$P$4,1,0)</f>
        <v>0</v>
      </c>
      <c r="K1377" s="6" t="n">
        <f aca="false">IF(F1377&gt;$P$6,1,0)</f>
        <v>0</v>
      </c>
      <c r="L1377" s="6" t="n">
        <f aca="false">IF(G1377&gt;$P$9,1,0)</f>
        <v>0</v>
      </c>
      <c r="M1377" s="6" t="n">
        <f aca="false">IF(ABS(H1377)&gt;$P$8,1,0)</f>
        <v>0</v>
      </c>
    </row>
    <row r="1378" customFormat="false" ht="15" hidden="false" customHeight="false" outlineLevel="0" collapsed="false">
      <c r="A1378" s="0" t="n">
        <f aca="false">ROW()-1</f>
        <v>1377</v>
      </c>
      <c r="B1378" s="22" t="n">
        <f aca="false">SUMPRODUCT(MMULT('Analysis Data'!N1378:U1378,'Final Model'!$B$59:$I$66),'Analysis Data'!N1378:U1378)</f>
        <v>0.00245757096629676</v>
      </c>
      <c r="C1378" s="15" t="n">
        <f aca="false">'Residual Diagnostics'!F1378</f>
        <v>113.254894571594</v>
      </c>
      <c r="D1378" s="13" t="n">
        <f aca="false">C1378/('Final Model'!$B$21*SQRT(1-B1378))</f>
        <v>2.3126584645037</v>
      </c>
      <c r="E1378" s="13" t="n">
        <f aca="false">D1378*SQRT(('Final Model'!$B$24-1)/('Final Model'!$B$24-D1378^2))</f>
        <v>2.31631867487049</v>
      </c>
      <c r="F1378" s="23" t="n">
        <f aca="false">D1378^2/($P$3+1)*B1378/(1-B1378)</f>
        <v>0.00164705349448593</v>
      </c>
      <c r="G1378" s="13" t="n">
        <f aca="false">($P$2-1)*(B1378-1/$P$2)</f>
        <v>2.40445728904251</v>
      </c>
      <c r="H1378" s="13" t="n">
        <f aca="false">E1378*SQRT(B1378/(1-B1378))</f>
        <v>0.114970297194254</v>
      </c>
      <c r="I1378" s="13" t="n">
        <f aca="false">ABS(D1378)</f>
        <v>2.3126584645037</v>
      </c>
      <c r="J1378" s="6" t="n">
        <f aca="false">IF(B1378&gt;$P$4,1,0)</f>
        <v>0</v>
      </c>
      <c r="K1378" s="6" t="n">
        <f aca="false">IF(F1378&gt;$P$6,1,0)</f>
        <v>0</v>
      </c>
      <c r="L1378" s="6" t="n">
        <f aca="false">IF(G1378&gt;$P$9,1,0)</f>
        <v>0</v>
      </c>
      <c r="M1378" s="6" t="n">
        <f aca="false">IF(ABS(H1378)&gt;$P$8,1,0)</f>
        <v>0</v>
      </c>
    </row>
    <row r="1379" customFormat="false" ht="15" hidden="false" customHeight="false" outlineLevel="0" collapsed="false">
      <c r="A1379" s="0" t="n">
        <f aca="false">ROW()-1</f>
        <v>1378</v>
      </c>
      <c r="B1379" s="22" t="n">
        <f aca="false">SUMPRODUCT(MMULT('Analysis Data'!N1379:U1379,'Final Model'!$B$59:$I$66),'Analysis Data'!N1379:U1379)</f>
        <v>0.00172284415375771</v>
      </c>
      <c r="C1379" s="15" t="n">
        <f aca="false">'Residual Diagnostics'!F1379</f>
        <v>-78.381246760429</v>
      </c>
      <c r="D1379" s="13" t="n">
        <f aca="false">C1379/('Final Model'!$B$21*SQRT(1-B1379))</f>
        <v>-1.59995146915132</v>
      </c>
      <c r="E1379" s="13" t="n">
        <f aca="false">D1379*SQRT(('Final Model'!$B$24-1)/('Final Model'!$B$24-D1379^2))</f>
        <v>-1.60085844014861</v>
      </c>
      <c r="F1379" s="23" t="n">
        <f aca="false">D1379^2/($P$3+1)*B1379/(1-B1379)</f>
        <v>0.000552228088207422</v>
      </c>
      <c r="G1379" s="13" t="n">
        <f aca="false">($P$2-1)*(B1379-1/$P$2)</f>
        <v>1.38686065367594</v>
      </c>
      <c r="H1379" s="13" t="n">
        <f aca="false">E1379*SQRT(B1379/(1-B1379))</f>
        <v>-0.066504397041341</v>
      </c>
      <c r="I1379" s="13" t="n">
        <f aca="false">ABS(D1379)</f>
        <v>1.59995146915132</v>
      </c>
      <c r="J1379" s="6" t="n">
        <f aca="false">IF(B1379&gt;$P$4,1,0)</f>
        <v>0</v>
      </c>
      <c r="K1379" s="6" t="n">
        <f aca="false">IF(F1379&gt;$P$6,1,0)</f>
        <v>0</v>
      </c>
      <c r="L1379" s="6" t="n">
        <f aca="false">IF(G1379&gt;$P$9,1,0)</f>
        <v>0</v>
      </c>
      <c r="M1379" s="6" t="n">
        <f aca="false">IF(ABS(H1379)&gt;$P$8,1,0)</f>
        <v>0</v>
      </c>
    </row>
    <row r="1380" customFormat="false" ht="15" hidden="false" customHeight="false" outlineLevel="0" collapsed="false">
      <c r="A1380" s="0" t="n">
        <f aca="false">ROW()-1</f>
        <v>1379</v>
      </c>
      <c r="B1380" s="22" t="n">
        <f aca="false">SUMPRODUCT(MMULT('Analysis Data'!N1380:U1380,'Final Model'!$B$59:$I$66),'Analysis Data'!N1380:U1380)</f>
        <v>0.00172284415375771</v>
      </c>
      <c r="C1380" s="15" t="n">
        <f aca="false">'Residual Diagnostics'!F1380</f>
        <v>8.9165555629059</v>
      </c>
      <c r="D1380" s="13" t="n">
        <f aca="false">C1380/('Final Model'!$B$21*SQRT(1-B1380))</f>
        <v>0.182008538550613</v>
      </c>
      <c r="E1380" s="13" t="n">
        <f aca="false">D1380*SQRT(('Final Model'!$B$24-1)/('Final Model'!$B$24-D1380^2))</f>
        <v>0.181944672718288</v>
      </c>
      <c r="F1380" s="23" t="n">
        <f aca="false">D1380^2/($P$3+1)*B1380/(1-B1380)</f>
        <v>7.14641773027787E-006</v>
      </c>
      <c r="G1380" s="13" t="n">
        <f aca="false">($P$2-1)*(B1380-1/$P$2)</f>
        <v>1.38686065367594</v>
      </c>
      <c r="H1380" s="13" t="n">
        <f aca="false">E1380*SQRT(B1380/(1-B1380))</f>
        <v>0.00755852013554091</v>
      </c>
      <c r="I1380" s="13" t="n">
        <f aca="false">ABS(D1380)</f>
        <v>0.182008538550613</v>
      </c>
      <c r="J1380" s="6" t="n">
        <f aca="false">IF(B1380&gt;$P$4,1,0)</f>
        <v>0</v>
      </c>
      <c r="K1380" s="6" t="n">
        <f aca="false">IF(F1380&gt;$P$6,1,0)</f>
        <v>0</v>
      </c>
      <c r="L1380" s="6" t="n">
        <f aca="false">IF(G1380&gt;$P$9,1,0)</f>
        <v>0</v>
      </c>
      <c r="M1380" s="6" t="n">
        <f aca="false">IF(ABS(H1380)&gt;$P$8,1,0)</f>
        <v>0</v>
      </c>
    </row>
    <row r="1381" customFormat="false" ht="15" hidden="false" customHeight="false" outlineLevel="0" collapsed="false">
      <c r="A1381" s="0" t="n">
        <f aca="false">ROW()-1</f>
        <v>1380</v>
      </c>
      <c r="B1381" s="22" t="n">
        <f aca="false">SUMPRODUCT(MMULT('Analysis Data'!N1381:U1381,'Final Model'!$B$59:$I$66),'Analysis Data'!N1381:U1381)</f>
        <v>0.00172284415375771</v>
      </c>
      <c r="C1381" s="15" t="n">
        <f aca="false">'Residual Diagnostics'!F1381</f>
        <v>62.5209041329563</v>
      </c>
      <c r="D1381" s="13" t="n">
        <f aca="false">C1381/('Final Model'!$B$21*SQRT(1-B1381))</f>
        <v>1.27620338479603</v>
      </c>
      <c r="E1381" s="13" t="n">
        <f aca="false">D1381*SQRT(('Final Model'!$B$24-1)/('Final Model'!$B$24-D1381^2))</f>
        <v>1.27649482184625</v>
      </c>
      <c r="F1381" s="23" t="n">
        <f aca="false">D1381^2/($P$3+1)*B1381/(1-B1381)</f>
        <v>0.000351353802311421</v>
      </c>
      <c r="G1381" s="13" t="n">
        <f aca="false">($P$2-1)*(B1381-1/$P$2)</f>
        <v>1.38686065367594</v>
      </c>
      <c r="H1381" s="13" t="n">
        <f aca="false">E1381*SQRT(B1381/(1-B1381))</f>
        <v>0.0530293724443231</v>
      </c>
      <c r="I1381" s="13" t="n">
        <f aca="false">ABS(D1381)</f>
        <v>1.27620338479603</v>
      </c>
      <c r="J1381" s="6" t="n">
        <f aca="false">IF(B1381&gt;$P$4,1,0)</f>
        <v>0</v>
      </c>
      <c r="K1381" s="6" t="n">
        <f aca="false">IF(F1381&gt;$P$6,1,0)</f>
        <v>0</v>
      </c>
      <c r="L1381" s="6" t="n">
        <f aca="false">IF(G1381&gt;$P$9,1,0)</f>
        <v>0</v>
      </c>
      <c r="M1381" s="6" t="n">
        <f aca="false">IF(ABS(H1381)&gt;$P$8,1,0)</f>
        <v>0</v>
      </c>
    </row>
    <row r="1382" customFormat="false" ht="15" hidden="false" customHeight="false" outlineLevel="0" collapsed="false">
      <c r="A1382" s="0" t="n">
        <f aca="false">ROW()-1</f>
        <v>1381</v>
      </c>
      <c r="B1382" s="22" t="n">
        <f aca="false">SUMPRODUCT(MMULT('Analysis Data'!N1382:U1382,'Final Model'!$B$59:$I$66),'Analysis Data'!N1382:U1382)</f>
        <v>0.00245757096629676</v>
      </c>
      <c r="C1382" s="15" t="n">
        <f aca="false">'Residual Diagnostics'!F1382</f>
        <v>21.3270466652318</v>
      </c>
      <c r="D1382" s="13" t="n">
        <f aca="false">C1382/('Final Model'!$B$21*SQRT(1-B1382))</f>
        <v>0.435497072155541</v>
      </c>
      <c r="E1382" s="13" t="n">
        <f aca="false">D1382*SQRT(('Final Model'!$B$24-1)/('Final Model'!$B$24-D1382^2))</f>
        <v>0.435368987181765</v>
      </c>
      <c r="F1382" s="23" t="n">
        <f aca="false">D1382^2/($P$3+1)*B1382/(1-B1382)</f>
        <v>5.84056932235389E-005</v>
      </c>
      <c r="G1382" s="13" t="n">
        <f aca="false">($P$2-1)*(B1382-1/$P$2)</f>
        <v>2.40445728904251</v>
      </c>
      <c r="H1382" s="13" t="n">
        <f aca="false">E1382*SQRT(B1382/(1-B1382))</f>
        <v>0.0216095058026709</v>
      </c>
      <c r="I1382" s="13" t="n">
        <f aca="false">ABS(D1382)</f>
        <v>0.435497072155541</v>
      </c>
      <c r="J1382" s="6" t="n">
        <f aca="false">IF(B1382&gt;$P$4,1,0)</f>
        <v>0</v>
      </c>
      <c r="K1382" s="6" t="n">
        <f aca="false">IF(F1382&gt;$P$6,1,0)</f>
        <v>0</v>
      </c>
      <c r="L1382" s="6" t="n">
        <f aca="false">IF(G1382&gt;$P$9,1,0)</f>
        <v>0</v>
      </c>
      <c r="M1382" s="6" t="n">
        <f aca="false">IF(ABS(H1382)&gt;$P$8,1,0)</f>
        <v>0</v>
      </c>
    </row>
    <row r="1383" customFormat="false" ht="15" hidden="false" customHeight="false" outlineLevel="0" collapsed="false">
      <c r="A1383" s="0" t="n">
        <f aca="false">ROW()-1</f>
        <v>1382</v>
      </c>
      <c r="B1383" s="22" t="n">
        <f aca="false">SUMPRODUCT(MMULT('Analysis Data'!N1383:U1383,'Final Model'!$B$59:$I$66),'Analysis Data'!N1383:U1383)</f>
        <v>0.00245757096629676</v>
      </c>
      <c r="C1383" s="15" t="n">
        <f aca="false">'Residual Diagnostics'!F1383</f>
        <v>12.9829458203294</v>
      </c>
      <c r="D1383" s="13" t="n">
        <f aca="false">C1383/('Final Model'!$B$21*SQRT(1-B1383))</f>
        <v>0.265111010514406</v>
      </c>
      <c r="E1383" s="13" t="n">
        <f aca="false">D1383*SQRT(('Final Model'!$B$24-1)/('Final Model'!$B$24-D1383^2))</f>
        <v>0.26502155762882</v>
      </c>
      <c r="F1383" s="23" t="n">
        <f aca="false">D1383^2/($P$3+1)*B1383/(1-B1383)</f>
        <v>2.16441349963516E-005</v>
      </c>
      <c r="G1383" s="13" t="n">
        <f aca="false">($P$2-1)*(B1383-1/$P$2)</f>
        <v>2.40445728904251</v>
      </c>
      <c r="H1383" s="13" t="n">
        <f aca="false">E1383*SQRT(B1383/(1-B1383))</f>
        <v>0.0131543243915577</v>
      </c>
      <c r="I1383" s="13" t="n">
        <f aca="false">ABS(D1383)</f>
        <v>0.265111010514406</v>
      </c>
      <c r="J1383" s="6" t="n">
        <f aca="false">IF(B1383&gt;$P$4,1,0)</f>
        <v>0</v>
      </c>
      <c r="K1383" s="6" t="n">
        <f aca="false">IF(F1383&gt;$P$6,1,0)</f>
        <v>0</v>
      </c>
      <c r="L1383" s="6" t="n">
        <f aca="false">IF(G1383&gt;$P$9,1,0)</f>
        <v>0</v>
      </c>
      <c r="M1383" s="6" t="n">
        <f aca="false">IF(ABS(H1383)&gt;$P$8,1,0)</f>
        <v>0</v>
      </c>
    </row>
    <row r="1384" customFormat="false" ht="15" hidden="false" customHeight="false" outlineLevel="0" collapsed="false">
      <c r="A1384" s="0" t="n">
        <f aca="false">ROW()-1</f>
        <v>1383</v>
      </c>
      <c r="B1384" s="22" t="n">
        <f aca="false">SUMPRODUCT(MMULT('Analysis Data'!N1384:U1384,'Final Model'!$B$59:$I$66),'Analysis Data'!N1384:U1384)</f>
        <v>0.00245757096629676</v>
      </c>
      <c r="C1384" s="15" t="n">
        <f aca="false">'Residual Diagnostics'!F1384</f>
        <v>-5.98132937478457</v>
      </c>
      <c r="D1384" s="13" t="n">
        <f aca="false">C1384/('Final Model'!$B$21*SQRT(1-B1384))</f>
        <v>-0.122138403465077</v>
      </c>
      <c r="E1384" s="13" t="n">
        <f aca="false">D1384*SQRT(('Final Model'!$B$24-1)/('Final Model'!$B$24-D1384^2))</f>
        <v>-0.122094739030539</v>
      </c>
      <c r="F1384" s="23" t="n">
        <f aca="false">D1384^2/($P$3+1)*B1384/(1-B1384)</f>
        <v>4.59398085957225E-006</v>
      </c>
      <c r="G1384" s="13" t="n">
        <f aca="false">($P$2-1)*(B1384-1/$P$2)</f>
        <v>2.40445728904251</v>
      </c>
      <c r="H1384" s="13" t="n">
        <f aca="false">E1384*SQRT(B1384/(1-B1384))</f>
        <v>-0.00606016287157931</v>
      </c>
      <c r="I1384" s="13" t="n">
        <f aca="false">ABS(D1384)</f>
        <v>0.122138403465077</v>
      </c>
      <c r="J1384" s="6" t="n">
        <f aca="false">IF(B1384&gt;$P$4,1,0)</f>
        <v>0</v>
      </c>
      <c r="K1384" s="6" t="n">
        <f aca="false">IF(F1384&gt;$P$6,1,0)</f>
        <v>0</v>
      </c>
      <c r="L1384" s="6" t="n">
        <f aca="false">IF(G1384&gt;$P$9,1,0)</f>
        <v>0</v>
      </c>
      <c r="M1384" s="6" t="n">
        <f aca="false">IF(ABS(H1384)&gt;$P$8,1,0)</f>
        <v>0</v>
      </c>
    </row>
    <row r="1385" customFormat="false" ht="15" hidden="false" customHeight="false" outlineLevel="0" collapsed="false">
      <c r="A1385" s="0" t="n">
        <f aca="false">ROW()-1</f>
        <v>1384</v>
      </c>
      <c r="B1385" s="22" t="n">
        <f aca="false">SUMPRODUCT(MMULT('Analysis Data'!N1385:U1385,'Final Model'!$B$59:$I$66),'Analysis Data'!N1385:U1385)</f>
        <v>0.00245757096629676</v>
      </c>
      <c r="C1385" s="15" t="n">
        <f aca="false">'Residual Diagnostics'!F1385</f>
        <v>98.8806603403695</v>
      </c>
      <c r="D1385" s="13" t="n">
        <f aca="false">C1385/('Final Model'!$B$21*SQRT(1-B1385))</f>
        <v>2.0191374242754</v>
      </c>
      <c r="E1385" s="13" t="n">
        <f aca="false">D1385*SQRT(('Final Model'!$B$24-1)/('Final Model'!$B$24-D1385^2))</f>
        <v>2.02139710013422</v>
      </c>
      <c r="F1385" s="23" t="n">
        <f aca="false">D1385^2/($P$3+1)*B1385/(1-B1385)</f>
        <v>0.00125549925871774</v>
      </c>
      <c r="G1385" s="13" t="n">
        <f aca="false">($P$2-1)*(B1385-1/$P$2)</f>
        <v>2.40445728904251</v>
      </c>
      <c r="H1385" s="13" t="n">
        <f aca="false">E1385*SQRT(B1385/(1-B1385))</f>
        <v>0.100331887780091</v>
      </c>
      <c r="I1385" s="13" t="n">
        <f aca="false">ABS(D1385)</f>
        <v>2.0191374242754</v>
      </c>
      <c r="J1385" s="6" t="n">
        <f aca="false">IF(B1385&gt;$P$4,1,0)</f>
        <v>0</v>
      </c>
      <c r="K1385" s="6" t="n">
        <f aca="false">IF(F1385&gt;$P$6,1,0)</f>
        <v>0</v>
      </c>
      <c r="L1385" s="6" t="n">
        <f aca="false">IF(G1385&gt;$P$9,1,0)</f>
        <v>0</v>
      </c>
      <c r="M1385" s="6" t="n">
        <f aca="false">IF(ABS(H1385)&gt;$P$8,1,0)</f>
        <v>0</v>
      </c>
    </row>
    <row r="1386" customFormat="false" ht="15" hidden="false" customHeight="false" outlineLevel="0" collapsed="false">
      <c r="A1386" s="0" t="n">
        <f aca="false">ROW()-1</f>
        <v>1385</v>
      </c>
      <c r="B1386" s="22" t="n">
        <f aca="false">SUMPRODUCT(MMULT('Analysis Data'!N1386:U1386,'Final Model'!$B$59:$I$66),'Analysis Data'!N1386:U1386)</f>
        <v>0.00192049619875929</v>
      </c>
      <c r="C1386" s="15" t="n">
        <f aca="false">'Residual Diagnostics'!F1386</f>
        <v>-61.885713975882</v>
      </c>
      <c r="D1386" s="13" t="n">
        <f aca="false">C1386/('Final Model'!$B$21*SQRT(1-B1386))</f>
        <v>-1.26336268692693</v>
      </c>
      <c r="E1386" s="13" t="n">
        <f aca="false">D1386*SQRT(('Final Model'!$B$24-1)/('Final Model'!$B$24-D1386^2))</f>
        <v>-1.26363622232411</v>
      </c>
      <c r="F1386" s="23" t="n">
        <f aca="false">D1386^2/($P$3+1)*B1386/(1-B1386)</f>
        <v>0.000383896736056807</v>
      </c>
      <c r="G1386" s="13" t="n">
        <f aca="false">($P$2-1)*(B1386-1/$P$2)</f>
        <v>1.66060873600312</v>
      </c>
      <c r="H1386" s="13" t="n">
        <f aca="false">E1386*SQRT(B1386/(1-B1386))</f>
        <v>-0.0554301717045606</v>
      </c>
      <c r="I1386" s="13" t="n">
        <f aca="false">ABS(D1386)</f>
        <v>1.26336268692693</v>
      </c>
      <c r="J1386" s="6" t="n">
        <f aca="false">IF(B1386&gt;$P$4,1,0)</f>
        <v>0</v>
      </c>
      <c r="K1386" s="6" t="n">
        <f aca="false">IF(F1386&gt;$P$6,1,0)</f>
        <v>0</v>
      </c>
      <c r="L1386" s="6" t="n">
        <f aca="false">IF(G1386&gt;$P$9,1,0)</f>
        <v>0</v>
      </c>
      <c r="M1386" s="6" t="n">
        <f aca="false">IF(ABS(H1386)&gt;$P$8,1,0)</f>
        <v>0</v>
      </c>
    </row>
    <row r="1387" customFormat="false" ht="15" hidden="false" customHeight="false" outlineLevel="0" collapsed="false">
      <c r="A1387" s="0" t="n">
        <f aca="false">ROW()-1</f>
        <v>1386</v>
      </c>
      <c r="B1387" s="22" t="n">
        <f aca="false">SUMPRODUCT(MMULT('Analysis Data'!N1387:U1387,'Final Model'!$B$59:$I$66),'Analysis Data'!N1387:U1387)</f>
        <v>0.00192049619875929</v>
      </c>
      <c r="C1387" s="15" t="n">
        <f aca="false">'Residual Diagnostics'!F1387</f>
        <v>-17.2224557610089</v>
      </c>
      <c r="D1387" s="13" t="n">
        <f aca="false">C1387/('Final Model'!$B$21*SQRT(1-B1387))</f>
        <v>-0.351586926737048</v>
      </c>
      <c r="E1387" s="13" t="n">
        <f aca="false">D1387*SQRT(('Final Model'!$B$24-1)/('Final Model'!$B$24-D1387^2))</f>
        <v>-0.351475097005173</v>
      </c>
      <c r="F1387" s="23" t="n">
        <f aca="false">D1387^2/($P$3+1)*B1387/(1-B1387)</f>
        <v>2.97319753381154E-005</v>
      </c>
      <c r="G1387" s="13" t="n">
        <f aca="false">($P$2-1)*(B1387-1/$P$2)</f>
        <v>1.66060873600312</v>
      </c>
      <c r="H1387" s="13" t="n">
        <f aca="false">E1387*SQRT(B1387/(1-B1387))</f>
        <v>-0.0154176689720413</v>
      </c>
      <c r="I1387" s="13" t="n">
        <f aca="false">ABS(D1387)</f>
        <v>0.351586926737048</v>
      </c>
      <c r="J1387" s="6" t="n">
        <f aca="false">IF(B1387&gt;$P$4,1,0)</f>
        <v>0</v>
      </c>
      <c r="K1387" s="6" t="n">
        <f aca="false">IF(F1387&gt;$P$6,1,0)</f>
        <v>0</v>
      </c>
      <c r="L1387" s="6" t="n">
        <f aca="false">IF(G1387&gt;$P$9,1,0)</f>
        <v>0</v>
      </c>
      <c r="M1387" s="6" t="n">
        <f aca="false">IF(ABS(H1387)&gt;$P$8,1,0)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2" min="2" style="0" width="48.72"/>
    <col collapsed="false" customWidth="true" hidden="false" outlineLevel="0" max="8" min="3" style="0" width="12.72"/>
    <col collapsed="false" customWidth="true" hidden="false" outlineLevel="0" max="9" min="9" style="0" width="70.72"/>
  </cols>
  <sheetData>
    <row r="1" customFormat="false" ht="17.35" hidden="false" customHeight="false" outlineLevel="0" collapsed="false">
      <c r="A1" s="1" t="s">
        <v>492</v>
      </c>
    </row>
    <row r="3" customFormat="false" ht="15" hidden="false" customHeight="false" outlineLevel="0" collapsed="false">
      <c r="A3" s="4" t="s">
        <v>493</v>
      </c>
      <c r="B3" s="4" t="s">
        <v>494</v>
      </c>
      <c r="C3" s="4" t="s">
        <v>281</v>
      </c>
      <c r="D3" s="4" t="s">
        <v>315</v>
      </c>
      <c r="E3" s="4" t="s">
        <v>275</v>
      </c>
      <c r="F3" s="4" t="s">
        <v>495</v>
      </c>
      <c r="G3" s="4" t="s">
        <v>496</v>
      </c>
      <c r="H3" s="4" t="s">
        <v>497</v>
      </c>
      <c r="I3" s="4" t="s">
        <v>498</v>
      </c>
    </row>
    <row r="4" customFormat="false" ht="42" hidden="false" customHeight="true" outlineLevel="0" collapsed="false">
      <c r="A4" s="8" t="s">
        <v>499</v>
      </c>
      <c r="B4" s="9" t="s">
        <v>500</v>
      </c>
      <c r="C4" s="18" t="n">
        <f aca="false">'Baseline Models'!$B$21</f>
        <v>0.000354515711619191</v>
      </c>
      <c r="D4" s="18" t="n">
        <f aca="false">'Baseline Models'!$B$22</f>
        <v>-0.000367771488011259</v>
      </c>
      <c r="E4" s="15" t="n">
        <f aca="false">'Baseline Models'!$B$23</f>
        <v>111.01914035099</v>
      </c>
      <c r="F4" s="15" t="n">
        <f aca="false">'Baseline Models'!$B$27</f>
        <v>0.490823749611834</v>
      </c>
      <c r="G4" s="17" t="n">
        <f aca="false">'Baseline Models'!$B$28</f>
        <v>0.483677837141433</v>
      </c>
      <c r="H4" s="13" t="n">
        <v>0.790451521072269</v>
      </c>
      <c r="I4" s="9" t="s">
        <v>501</v>
      </c>
    </row>
    <row r="5" customFormat="false" ht="42" hidden="false" customHeight="true" outlineLevel="0" collapsed="false">
      <c r="A5" s="8" t="s">
        <v>502</v>
      </c>
      <c r="B5" s="9" t="s">
        <v>503</v>
      </c>
      <c r="C5" s="18" t="n">
        <f aca="false">'Baseline Models'!$B$58</f>
        <v>0.10847672452263</v>
      </c>
      <c r="D5" s="18" t="n">
        <f aca="false">'Baseline Models'!$B$59</f>
        <v>0.107832560306245</v>
      </c>
      <c r="E5" s="15" t="n">
        <f aca="false">'Baseline Models'!$B$60</f>
        <v>104.843424756189</v>
      </c>
      <c r="F5" s="15" t="n">
        <f aca="false">'Baseline Models'!$B$64</f>
        <v>168.399177978759</v>
      </c>
      <c r="G5" s="17" t="n">
        <f aca="false">'Baseline Models'!$B$65</f>
        <v>2.00865715911252E-036</v>
      </c>
      <c r="H5" s="13" t="n">
        <v>0.871450215041293</v>
      </c>
      <c r="I5" s="9" t="s">
        <v>504</v>
      </c>
    </row>
    <row r="6" customFormat="false" ht="42" hidden="false" customHeight="true" outlineLevel="0" collapsed="false">
      <c r="A6" s="8" t="s">
        <v>505</v>
      </c>
      <c r="B6" s="9" t="s">
        <v>506</v>
      </c>
      <c r="C6" s="18" t="n">
        <f aca="false">'Baseline Models'!$B$95</f>
        <v>0.351904935861034</v>
      </c>
      <c r="D6" s="18" t="n">
        <f aca="false">'Baseline Models'!$B$96</f>
        <v>0.351436659080586</v>
      </c>
      <c r="E6" s="15" t="n">
        <f aca="false">'Baseline Models'!$B$97</f>
        <v>89.3910858706832</v>
      </c>
      <c r="F6" s="15" t="n">
        <f aca="false">'Baseline Models'!$B$101</f>
        <v>751.489184505251</v>
      </c>
      <c r="G6" s="17" t="n">
        <f aca="false">'Baseline Models'!$B$102</f>
        <v>1.62740531537551E-132</v>
      </c>
      <c r="H6" s="13" t="n">
        <v>0.879659658835371</v>
      </c>
      <c r="I6" s="9" t="s">
        <v>507</v>
      </c>
    </row>
    <row r="7" customFormat="false" ht="42" hidden="false" customHeight="true" outlineLevel="0" collapsed="false">
      <c r="A7" s="8" t="s">
        <v>508</v>
      </c>
      <c r="B7" s="9" t="s">
        <v>509</v>
      </c>
      <c r="C7" s="18" t="n">
        <f aca="false">'Full MLR'!$B$19</f>
        <v>0.672635265779691</v>
      </c>
      <c r="D7" s="18" t="n">
        <f aca="false">'Full MLR'!$B$20</f>
        <v>0.670733364636799</v>
      </c>
      <c r="E7" s="15" t="n">
        <f aca="false">'Full MLR'!$B$21</f>
        <v>63.6930252457666</v>
      </c>
      <c r="F7" s="15" t="n">
        <f aca="false">'Full MLR'!$B$25</f>
        <v>353.664683516013</v>
      </c>
      <c r="G7" s="17" t="n">
        <f aca="false">'Full MLR'!$B$26</f>
        <v>0</v>
      </c>
      <c r="H7" s="13" t="n">
        <v>1.37868906677526</v>
      </c>
      <c r="I7" s="9" t="s">
        <v>510</v>
      </c>
    </row>
    <row r="8" customFormat="false" ht="42" hidden="false" customHeight="true" outlineLevel="0" collapsed="false">
      <c r="A8" s="8" t="s">
        <v>511</v>
      </c>
      <c r="B8" s="9" t="s">
        <v>512</v>
      </c>
      <c r="C8" s="18" t="n">
        <f aca="false">'Variable Selection'!$B$19</f>
        <v>0.672265016910062</v>
      </c>
      <c r="D8" s="18" t="n">
        <f aca="false">'Variable Selection'!$B$20</f>
        <v>0.670839048890816</v>
      </c>
      <c r="E8" s="15" t="n">
        <f aca="false">'Variable Selection'!$B$21</f>
        <v>63.6828026945559</v>
      </c>
      <c r="F8" s="15" t="n">
        <f aca="false">'Variable Selection'!$B$25</f>
        <v>471.444666245557</v>
      </c>
      <c r="G8" s="17" t="n">
        <f aca="false">'Variable Selection'!$B$26</f>
        <v>0</v>
      </c>
      <c r="H8" s="13" t="n">
        <v>1.37755063571133</v>
      </c>
      <c r="I8" s="9" t="s">
        <v>513</v>
      </c>
    </row>
    <row r="9" customFormat="false" ht="42" hidden="false" customHeight="true" outlineLevel="0" collapsed="false">
      <c r="A9" s="8" t="s">
        <v>514</v>
      </c>
      <c r="B9" s="9" t="s">
        <v>515</v>
      </c>
      <c r="C9" s="18" t="n">
        <f aca="false">'Interaction Analysis'!$B$19</f>
        <v>0.805868396406532</v>
      </c>
      <c r="D9" s="18" t="n">
        <f aca="false">'Interaction Analysis'!$B$20</f>
        <v>0.804598640278377</v>
      </c>
      <c r="E9" s="15" t="n">
        <f aca="false">'Interaction Analysis'!$B$21</f>
        <v>49.0661299836184</v>
      </c>
      <c r="F9" s="15" t="n">
        <f aca="false">'Interaction Analysis'!$B$25</f>
        <v>634.663915800525</v>
      </c>
      <c r="G9" s="17" t="n">
        <f aca="false">'Interaction Analysis'!$B$26</f>
        <v>0</v>
      </c>
      <c r="H9" s="13" t="n">
        <v>2.09194972374535</v>
      </c>
      <c r="I9" s="9" t="s">
        <v>516</v>
      </c>
    </row>
    <row r="10" customFormat="false" ht="42" hidden="false" customHeight="true" outlineLevel="0" collapsed="false">
      <c r="A10" s="2" t="s">
        <v>517</v>
      </c>
      <c r="B10" s="9" t="s">
        <v>518</v>
      </c>
      <c r="C10" s="18" t="n">
        <f aca="false">'Final Model'!$B$19</f>
        <v>0.805856435962964</v>
      </c>
      <c r="D10" s="18" t="n">
        <f aca="false">'Final Model'!$B$20</f>
        <v>0.804870220470759</v>
      </c>
      <c r="E10" s="15" t="n">
        <f aca="false">'Final Model'!$B$21</f>
        <v>49.0320206448701</v>
      </c>
      <c r="F10" s="15" t="n">
        <f aca="false">'Final Model'!$B$25</f>
        <v>817.12003343282</v>
      </c>
      <c r="G10" s="17" t="n">
        <f aca="false">'Final Model'!$B$26</f>
        <v>0</v>
      </c>
      <c r="H10" s="13" t="n">
        <v>2.09161639808465</v>
      </c>
      <c r="I10" s="9" t="s">
        <v>519</v>
      </c>
    </row>
    <row r="11" customFormat="false" ht="42" hidden="false" customHeight="true" outlineLevel="0" collapsed="false">
      <c r="A11" s="8" t="s">
        <v>520</v>
      </c>
      <c r="B11" s="9" t="s">
        <v>521</v>
      </c>
      <c r="C11" s="18" t="n">
        <f aca="false">'Interaction Analysis'!$B$64</f>
        <v>0.805856064185786</v>
      </c>
      <c r="D11" s="18" t="n">
        <f aca="false">'Interaction Analysis'!$B$65</f>
        <v>0.805011348003853</v>
      </c>
      <c r="E11" s="15" t="n">
        <f aca="false">'Interaction Analysis'!$B$66</f>
        <v>49.0142862432696</v>
      </c>
      <c r="F11" s="15" t="n">
        <f aca="false">'Interaction Analysis'!$B$70</f>
        <v>953.996243261182</v>
      </c>
      <c r="G11" s="17" t="n">
        <f aca="false">'Interaction Analysis'!$B$71</f>
        <v>0</v>
      </c>
      <c r="H11" s="13" t="n">
        <v>2.09174467701891</v>
      </c>
      <c r="I11" s="9" t="s">
        <v>522</v>
      </c>
    </row>
    <row r="13" customFormat="false" ht="57.45" hidden="false" customHeight="false" outlineLevel="0" collapsed="false">
      <c r="A13" s="3" t="s">
        <v>523</v>
      </c>
    </row>
    <row r="15" customFormat="false" ht="15" hidden="false" customHeight="false" outlineLevel="0" collapsed="false">
      <c r="A15" s="7" t="s">
        <v>524</v>
      </c>
    </row>
    <row r="16" customFormat="false" ht="15" hidden="false" customHeight="false" outlineLevel="0" collapsed="false">
      <c r="A16" s="4" t="s">
        <v>525</v>
      </c>
      <c r="B16" s="4" t="s">
        <v>171</v>
      </c>
      <c r="C16" s="4" t="s">
        <v>26</v>
      </c>
      <c r="D16" s="4" t="s">
        <v>27</v>
      </c>
      <c r="E16" s="4" t="s">
        <v>28</v>
      </c>
      <c r="F16" s="4" t="s">
        <v>29</v>
      </c>
      <c r="G16" s="4" t="s">
        <v>30</v>
      </c>
      <c r="H16" s="4" t="s">
        <v>237</v>
      </c>
    </row>
    <row r="17" customFormat="false" ht="15" hidden="false" customHeight="false" outlineLevel="0" collapsed="false">
      <c r="A17" s="8" t="s">
        <v>526</v>
      </c>
      <c r="B17" s="15" t="n">
        <v>-22.0663514924396</v>
      </c>
      <c r="C17" s="15" t="n">
        <v>59.4617605004847</v>
      </c>
      <c r="D17" s="15" t="n">
        <v>0.620382769807357</v>
      </c>
      <c r="E17" s="15" t="n">
        <v>106.752696407799</v>
      </c>
      <c r="F17" s="15" t="n">
        <v>73.3697922625987</v>
      </c>
      <c r="G17" s="15" t="n">
        <v>74.55196380536</v>
      </c>
      <c r="H17" s="15" t="n">
        <v>453.803299642175</v>
      </c>
    </row>
    <row r="18" customFormat="false" ht="15" hidden="false" customHeight="false" outlineLevel="0" collapsed="false">
      <c r="A18" s="8" t="s">
        <v>527</v>
      </c>
      <c r="B18" s="15" t="n">
        <v>-23.1327971474474</v>
      </c>
      <c r="C18" s="15" t="n">
        <v>60.1047716459106</v>
      </c>
      <c r="D18" s="15" t="n">
        <v>4.57692184112118</v>
      </c>
      <c r="E18" s="15" t="n">
        <v>107.459031194948</v>
      </c>
      <c r="F18" s="15" t="n">
        <v>73.3648650237196</v>
      </c>
      <c r="G18" s="15" t="n">
        <v>79.2940963967016</v>
      </c>
      <c r="H18" s="15" t="n">
        <v>452.839690312307</v>
      </c>
    </row>
    <row r="19" customFormat="false" ht="15" hidden="false" customHeight="false" outlineLevel="0" collapsed="false">
      <c r="A19" s="8" t="s">
        <v>528</v>
      </c>
      <c r="B19" s="15" t="n">
        <v>-21.5560441111239</v>
      </c>
      <c r="C19" s="15" t="n">
        <v>59.2311202310965</v>
      </c>
      <c r="D19" s="15" t="n">
        <v>0.452858879985527</v>
      </c>
      <c r="E19" s="15" t="n">
        <v>108.636961881036</v>
      </c>
      <c r="F19" s="15" t="n">
        <v>74.1281501201109</v>
      </c>
      <c r="G19" s="15" t="n">
        <v>74.3537131767887</v>
      </c>
      <c r="H19" s="15" t="n">
        <v>453.619252772106</v>
      </c>
    </row>
    <row r="20" customFormat="false" ht="15" hidden="false" customHeight="false" outlineLevel="0" collapsed="false">
      <c r="A20" s="8" t="s">
        <v>529</v>
      </c>
      <c r="B20" s="15" t="n">
        <v>-22.0647870909854</v>
      </c>
      <c r="C20" s="15" t="n">
        <v>59.4419597216005</v>
      </c>
      <c r="D20" s="8" t="s">
        <v>530</v>
      </c>
      <c r="E20" s="15" t="n">
        <v>106.758708100185</v>
      </c>
      <c r="F20" s="15" t="n">
        <v>73.3773523328003</v>
      </c>
      <c r="G20" s="15" t="n">
        <v>74.5613741954938</v>
      </c>
      <c r="H20" s="15" t="n">
        <v>454.422840810248</v>
      </c>
    </row>
    <row r="21" customFormat="false" ht="15" hidden="false" customHeight="false" outlineLevel="0" collapsed="false">
      <c r="A21" s="8" t="s">
        <v>531</v>
      </c>
      <c r="B21" s="15" t="n">
        <v>-21.7311374861619</v>
      </c>
      <c r="C21" s="15" t="n">
        <v>39.4663421422597</v>
      </c>
      <c r="D21" s="15" t="n">
        <v>-1.16113188687289</v>
      </c>
      <c r="E21" s="15" t="n">
        <v>106.417649721883</v>
      </c>
      <c r="F21" s="15" t="n">
        <v>72.6323124585191</v>
      </c>
      <c r="G21" s="15" t="n">
        <v>72.5876178831757</v>
      </c>
      <c r="H21" s="15" t="n">
        <v>457.498162713099</v>
      </c>
    </row>
    <row r="22" customFormat="false" ht="15" hidden="false" customHeight="false" outlineLevel="0" collapsed="false">
      <c r="A22" s="8" t="s">
        <v>532</v>
      </c>
      <c r="B22" s="15" t="n">
        <v>-21.6665267179133</v>
      </c>
      <c r="C22" s="15" t="n">
        <v>59.534017071792</v>
      </c>
      <c r="D22" s="15" t="n">
        <v>0.230739826907898</v>
      </c>
      <c r="E22" s="15" t="n">
        <v>104.053289436454</v>
      </c>
      <c r="F22" s="15" t="n">
        <v>73.1745241217778</v>
      </c>
      <c r="G22" s="15" t="n">
        <v>74.2854872999196</v>
      </c>
      <c r="H22" s="15" t="n">
        <v>453.124713086854</v>
      </c>
    </row>
    <row r="23" customFormat="false" ht="15" hidden="false" customHeight="false" outlineLevel="0" collapsed="false">
      <c r="A23" s="8" t="s">
        <v>533</v>
      </c>
      <c r="B23" s="15" t="n">
        <v>-26.2905742455865</v>
      </c>
      <c r="C23" s="15" t="n">
        <v>38.4249895506336</v>
      </c>
      <c r="D23" s="15" t="n">
        <v>10.1192865129954</v>
      </c>
      <c r="E23" s="15" t="n">
        <v>107.074456010058</v>
      </c>
      <c r="F23" s="15" t="n">
        <v>72.120443820916</v>
      </c>
      <c r="G23" s="15" t="n">
        <v>72.7649146486527</v>
      </c>
      <c r="H23" s="15" t="n">
        <v>449.482581616511</v>
      </c>
    </row>
    <row r="25" customFormat="false" ht="57.45" hidden="false" customHeight="false" outlineLevel="0" collapsed="false">
      <c r="A25" s="3" t="s">
        <v>534</v>
      </c>
    </row>
    <row r="26" customFormat="false" ht="15" hidden="false" customHeight="false" outlineLevel="0" collapsed="false">
      <c r="A26" s="4" t="s">
        <v>214</v>
      </c>
      <c r="B26" s="4" t="s">
        <v>535</v>
      </c>
      <c r="C26" s="4" t="s">
        <v>536</v>
      </c>
      <c r="D26" s="4" t="s">
        <v>253</v>
      </c>
    </row>
    <row r="27" customFormat="false" ht="15" hidden="false" customHeight="false" outlineLevel="0" collapsed="false">
      <c r="A27" s="8" t="s">
        <v>176</v>
      </c>
      <c r="B27" s="13" t="n">
        <v>276.573494277953</v>
      </c>
      <c r="C27" s="13" t="n">
        <v>10.3490962636371</v>
      </c>
      <c r="D27" s="17" t="n">
        <v>2.44989192333935E-157</v>
      </c>
    </row>
    <row r="28" customFormat="false" ht="15" hidden="false" customHeight="false" outlineLevel="0" collapsed="false">
      <c r="A28" s="8" t="s">
        <v>171</v>
      </c>
      <c r="B28" s="13" t="n">
        <v>-22.0663514924396</v>
      </c>
      <c r="C28" s="13" t="n">
        <v>2.6073917044861</v>
      </c>
      <c r="D28" s="17" t="n">
        <v>2.60589572331562E-017</v>
      </c>
    </row>
    <row r="29" customFormat="false" ht="15" hidden="false" customHeight="false" outlineLevel="0" collapsed="false">
      <c r="A29" s="8" t="s">
        <v>172</v>
      </c>
      <c r="B29" s="13" t="n">
        <v>59.4617605004847</v>
      </c>
      <c r="C29" s="13" t="n">
        <v>2.97512376843409</v>
      </c>
      <c r="D29" s="17" t="n">
        <v>7.24531145874358E-089</v>
      </c>
    </row>
    <row r="30" customFormat="false" ht="15" hidden="false" customHeight="false" outlineLevel="0" collapsed="false">
      <c r="A30" s="8" t="s">
        <v>27</v>
      </c>
      <c r="B30" s="13" t="n">
        <v>0.620382769807357</v>
      </c>
      <c r="C30" s="13" t="n">
        <v>6.93975446422149</v>
      </c>
      <c r="D30" s="17" t="n">
        <v>0.92876760540574</v>
      </c>
    </row>
    <row r="31" customFormat="false" ht="15" hidden="false" customHeight="false" outlineLevel="0" collapsed="false">
      <c r="A31" s="8" t="s">
        <v>28</v>
      </c>
      <c r="B31" s="13" t="n">
        <v>106.752696407799</v>
      </c>
      <c r="C31" s="13" t="n">
        <v>6.13812924954511</v>
      </c>
      <c r="D31" s="17" t="n">
        <v>9.53106941905025E-068</v>
      </c>
    </row>
    <row r="32" customFormat="false" ht="15" hidden="false" customHeight="false" outlineLevel="0" collapsed="false">
      <c r="A32" s="8" t="s">
        <v>173</v>
      </c>
      <c r="B32" s="13" t="n">
        <v>73.3697922625987</v>
      </c>
      <c r="C32" s="13" t="n">
        <v>3.15506430990751</v>
      </c>
      <c r="D32" s="17" t="n">
        <v>1.27766111334203E-119</v>
      </c>
    </row>
    <row r="33" customFormat="false" ht="15" hidden="false" customHeight="false" outlineLevel="0" collapsed="false">
      <c r="A33" s="8" t="s">
        <v>174</v>
      </c>
      <c r="B33" s="13" t="n">
        <v>74.55196380536</v>
      </c>
      <c r="C33" s="13" t="n">
        <v>4.71568965844623</v>
      </c>
      <c r="D33" s="17" t="n">
        <v>2.68241974683851E-056</v>
      </c>
    </row>
    <row r="34" customFormat="false" ht="15" hidden="false" customHeight="false" outlineLevel="0" collapsed="false">
      <c r="A34" s="8" t="s">
        <v>175</v>
      </c>
      <c r="B34" s="13" t="n">
        <v>453.803299642175</v>
      </c>
      <c r="C34" s="13" t="n">
        <v>8.72833660293265</v>
      </c>
      <c r="D34" s="17"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72"/>
    <col collapsed="false" customWidth="true" hidden="false" outlineLevel="0" max="7" min="2" style="0" width="26.71"/>
  </cols>
  <sheetData>
    <row r="1" customFormat="false" ht="17.35" hidden="false" customHeight="false" outlineLevel="0" collapsed="false">
      <c r="A1" s="1" t="s">
        <v>537</v>
      </c>
    </row>
    <row r="2" customFormat="false" ht="60" hidden="false" customHeight="true" outlineLevel="0" collapsed="false">
      <c r="A2" s="14" t="s">
        <v>538</v>
      </c>
    </row>
    <row r="4" customFormat="false" ht="23.85" hidden="false" customHeight="false" outlineLevel="0" collapsed="false">
      <c r="A4" s="4" t="s">
        <v>380</v>
      </c>
      <c r="B4" s="4" t="s">
        <v>539</v>
      </c>
      <c r="C4" s="4" t="s">
        <v>540</v>
      </c>
      <c r="D4" s="4" t="s">
        <v>541</v>
      </c>
      <c r="E4" s="4" t="s">
        <v>542</v>
      </c>
      <c r="F4" s="4" t="s">
        <v>543</v>
      </c>
      <c r="G4" s="4" t="s">
        <v>544</v>
      </c>
    </row>
    <row r="5" customFormat="false" ht="15" hidden="false" customHeight="false" outlineLevel="0" collapsed="false">
      <c r="A5" s="8" t="s">
        <v>281</v>
      </c>
      <c r="B5" s="21" t="n">
        <f aca="false">'Final Model'!$B$19</f>
        <v>0.805856435962964</v>
      </c>
      <c r="C5" s="11"/>
      <c r="D5" s="21" t="n">
        <v>0.805856435962964</v>
      </c>
      <c r="E5" s="17" t="n">
        <f aca="false">B5-D5</f>
        <v>0</v>
      </c>
      <c r="F5" s="8" t="str">
        <f aca="false">IF(ABS(E5)&lt;0.000001,"Yes","CHECK")</f>
        <v>Yes</v>
      </c>
      <c r="G5" s="8" t="str">
        <f aca="false">IF(C5="","not run",B5-C5)</f>
        <v>not run</v>
      </c>
    </row>
    <row r="6" customFormat="false" ht="15" hidden="false" customHeight="false" outlineLevel="0" collapsed="false">
      <c r="A6" s="8" t="s">
        <v>282</v>
      </c>
      <c r="B6" s="21" t="n">
        <f aca="false">'Final Model'!$B$20</f>
        <v>0.804870220470759</v>
      </c>
      <c r="C6" s="11"/>
      <c r="D6" s="21" t="n">
        <v>0.804870220470759</v>
      </c>
      <c r="E6" s="17" t="n">
        <f aca="false">B6-D6</f>
        <v>0</v>
      </c>
      <c r="F6" s="8" t="str">
        <f aca="false">IF(ABS(E6)&lt;0.000001,"Yes","CHECK")</f>
        <v>Yes</v>
      </c>
      <c r="G6" s="8" t="str">
        <f aca="false">IF(C6="","not run",B6-C6)</f>
        <v>not run</v>
      </c>
    </row>
    <row r="7" customFormat="false" ht="15" hidden="false" customHeight="false" outlineLevel="0" collapsed="false">
      <c r="A7" s="8" t="s">
        <v>287</v>
      </c>
      <c r="B7" s="21" t="n">
        <f aca="false">'Final Model'!$B$25</f>
        <v>817.12003343282</v>
      </c>
      <c r="C7" s="11"/>
      <c r="D7" s="21" t="n">
        <v>817.12003343282</v>
      </c>
      <c r="E7" s="17" t="n">
        <f aca="false">B7-D7</f>
        <v>0</v>
      </c>
      <c r="F7" s="8" t="str">
        <f aca="false">IF(ABS(E7)&lt;0.000001,"Yes","CHECK")</f>
        <v>Yes</v>
      </c>
      <c r="G7" s="8" t="str">
        <f aca="false">IF(C7="","not run",B7-C7)</f>
        <v>not run</v>
      </c>
    </row>
    <row r="8" customFormat="false" ht="15" hidden="false" customHeight="false" outlineLevel="0" collapsed="false">
      <c r="A8" s="8" t="s">
        <v>496</v>
      </c>
      <c r="B8" s="26" t="n">
        <f aca="false">'Final Model'!$B$26</f>
        <v>0</v>
      </c>
      <c r="C8" s="11"/>
      <c r="D8" s="26" t="n">
        <v>0</v>
      </c>
      <c r="E8" s="17" t="n">
        <f aca="false">B8-D8</f>
        <v>0</v>
      </c>
      <c r="F8" s="8" t="str">
        <f aca="false">IF(ABS(E8)&lt;0.000001,"Yes","CHECK")</f>
        <v>Yes</v>
      </c>
      <c r="G8" s="8" t="str">
        <f aca="false">IF(C8="","not run",B8-C8)</f>
        <v>not run</v>
      </c>
    </row>
    <row r="9" customFormat="false" ht="15" hidden="false" customHeight="false" outlineLevel="0" collapsed="false">
      <c r="A9" s="8" t="s">
        <v>283</v>
      </c>
      <c r="B9" s="21" t="n">
        <f aca="false">'Final Model'!$B$21</f>
        <v>49.0320206448701</v>
      </c>
      <c r="C9" s="11"/>
      <c r="D9" s="21" t="n">
        <v>49.0320206448701</v>
      </c>
      <c r="E9" s="17" t="n">
        <f aca="false">B9-D9</f>
        <v>0</v>
      </c>
      <c r="F9" s="8" t="str">
        <f aca="false">IF(ABS(E9)&lt;0.000001,"Yes","CHECK")</f>
        <v>Yes</v>
      </c>
      <c r="G9" s="8" t="str">
        <f aca="false">IF(C9="","not run",B9-C9)</f>
        <v>not run</v>
      </c>
    </row>
    <row r="10" customFormat="false" ht="15" hidden="false" customHeight="false" outlineLevel="0" collapsed="false">
      <c r="A10" s="8" t="s">
        <v>273</v>
      </c>
      <c r="B10" s="21" t="n">
        <f aca="false">'Final Model'!$B$33</f>
        <v>276.573494277953</v>
      </c>
      <c r="C10" s="11"/>
      <c r="D10" s="21" t="n">
        <v>276.573494277953</v>
      </c>
      <c r="E10" s="17" t="n">
        <f aca="false">B10-D10</f>
        <v>0</v>
      </c>
      <c r="F10" s="8" t="str">
        <f aca="false">IF(ABS(E10)&lt;0.000001,"Yes","CHECK")</f>
        <v>Yes</v>
      </c>
      <c r="G10" s="8" t="str">
        <f aca="false">IF(C10="","not run",B10-C10)</f>
        <v>not run</v>
      </c>
    </row>
    <row r="11" customFormat="false" ht="15" hidden="false" customHeight="false" outlineLevel="0" collapsed="false">
      <c r="A11" s="8" t="s">
        <v>545</v>
      </c>
      <c r="B11" s="21" t="n">
        <f aca="false">'Final Model'!$B$34</f>
        <v>-22.0663514924395</v>
      </c>
      <c r="C11" s="11"/>
      <c r="D11" s="21" t="n">
        <v>-22.0663514924396</v>
      </c>
      <c r="E11" s="17" t="n">
        <f aca="false">B11-D11</f>
        <v>0</v>
      </c>
      <c r="F11" s="8" t="str">
        <f aca="false">IF(ABS(E11)&lt;0.000001,"Yes","CHECK")</f>
        <v>Yes</v>
      </c>
      <c r="G11" s="8" t="str">
        <f aca="false">IF(C11="","not run",B11-C11)</f>
        <v>not run</v>
      </c>
    </row>
    <row r="12" customFormat="false" ht="15" hidden="false" customHeight="false" outlineLevel="0" collapsed="false">
      <c r="A12" s="8" t="s">
        <v>546</v>
      </c>
      <c r="B12" s="21" t="n">
        <f aca="false">'Final Model'!$B$35</f>
        <v>59.4617605004846</v>
      </c>
      <c r="C12" s="11"/>
      <c r="D12" s="21" t="n">
        <v>59.4617605004847</v>
      </c>
      <c r="E12" s="17" t="n">
        <f aca="false">B12-D12</f>
        <v>0</v>
      </c>
      <c r="F12" s="8" t="str">
        <f aca="false">IF(ABS(E12)&lt;0.000001,"Yes","CHECK")</f>
        <v>Yes</v>
      </c>
      <c r="G12" s="8" t="str">
        <f aca="false">IF(C12="","not run",B12-C12)</f>
        <v>not run</v>
      </c>
    </row>
    <row r="13" customFormat="false" ht="15" hidden="false" customHeight="false" outlineLevel="0" collapsed="false">
      <c r="A13" s="8" t="s">
        <v>547</v>
      </c>
      <c r="B13" s="21" t="n">
        <f aca="false">'Final Model'!$B$36</f>
        <v>0.620382769807777</v>
      </c>
      <c r="C13" s="11"/>
      <c r="D13" s="21" t="n">
        <v>0.620382769807357</v>
      </c>
      <c r="E13" s="17" t="n">
        <f aca="false">B13-D13</f>
        <v>4.20885548635397E-013</v>
      </c>
      <c r="F13" s="8" t="str">
        <f aca="false">IF(ABS(E13)&lt;0.000001,"Yes","CHECK")</f>
        <v>Yes</v>
      </c>
      <c r="G13" s="8" t="str">
        <f aca="false">IF(C13="","not run",B13-C13)</f>
        <v>not run</v>
      </c>
    </row>
    <row r="14" customFormat="false" ht="15" hidden="false" customHeight="false" outlineLevel="0" collapsed="false">
      <c r="A14" s="8" t="s">
        <v>548</v>
      </c>
      <c r="B14" s="21" t="n">
        <f aca="false">'Final Model'!$B$37</f>
        <v>106.752696407799</v>
      </c>
      <c r="C14" s="11"/>
      <c r="D14" s="21" t="n">
        <v>106.752696407799</v>
      </c>
      <c r="E14" s="17" t="n">
        <f aca="false">B14-D14</f>
        <v>0</v>
      </c>
      <c r="F14" s="8" t="str">
        <f aca="false">IF(ABS(E14)&lt;0.000001,"Yes","CHECK")</f>
        <v>Yes</v>
      </c>
      <c r="G14" s="8" t="str">
        <f aca="false">IF(C14="","not run",B14-C14)</f>
        <v>not run</v>
      </c>
    </row>
    <row r="15" customFormat="false" ht="15" hidden="false" customHeight="false" outlineLevel="0" collapsed="false">
      <c r="A15" s="8" t="s">
        <v>549</v>
      </c>
      <c r="B15" s="21" t="n">
        <f aca="false">'Final Model'!$B$38</f>
        <v>73.3697922625986</v>
      </c>
      <c r="C15" s="11"/>
      <c r="D15" s="21" t="n">
        <v>73.3697922625987</v>
      </c>
      <c r="E15" s="17" t="n">
        <f aca="false">B15-D15</f>
        <v>0</v>
      </c>
      <c r="F15" s="8" t="str">
        <f aca="false">IF(ABS(E15)&lt;0.000001,"Yes","CHECK")</f>
        <v>Yes</v>
      </c>
      <c r="G15" s="8" t="str">
        <f aca="false">IF(C15="","not run",B15-C15)</f>
        <v>not run</v>
      </c>
    </row>
    <row r="16" customFormat="false" ht="15" hidden="false" customHeight="false" outlineLevel="0" collapsed="false">
      <c r="A16" s="8" t="s">
        <v>550</v>
      </c>
      <c r="B16" s="21" t="n">
        <f aca="false">'Final Model'!$B$39</f>
        <v>74.5519638053599</v>
      </c>
      <c r="C16" s="11"/>
      <c r="D16" s="21" t="n">
        <v>74.55196380536</v>
      </c>
      <c r="E16" s="17" t="n">
        <f aca="false">B16-D16</f>
        <v>0</v>
      </c>
      <c r="F16" s="8" t="str">
        <f aca="false">IF(ABS(E16)&lt;0.000001,"Yes","CHECK")</f>
        <v>Yes</v>
      </c>
      <c r="G16" s="8" t="str">
        <f aca="false">IF(C16="","not run",B16-C16)</f>
        <v>not run</v>
      </c>
    </row>
    <row r="17" customFormat="false" ht="15" hidden="false" customHeight="false" outlineLevel="0" collapsed="false">
      <c r="A17" s="8" t="s">
        <v>551</v>
      </c>
      <c r="B17" s="21" t="n">
        <f aca="false">'Final Model'!$B$40</f>
        <v>453.803299642174</v>
      </c>
      <c r="C17" s="11"/>
      <c r="D17" s="21" t="n">
        <v>453.803299642175</v>
      </c>
      <c r="E17" s="17" t="n">
        <f aca="false">B17-D17</f>
        <v>0</v>
      </c>
      <c r="F17" s="8" t="str">
        <f aca="false">IF(ABS(E17)&lt;0.000001,"Yes","CHECK")</f>
        <v>Yes</v>
      </c>
      <c r="G17" s="8" t="str">
        <f aca="false">IF(C17="","not run",B17-C17)</f>
        <v>not run</v>
      </c>
    </row>
    <row r="18" customFormat="false" ht="15" hidden="false" customHeight="false" outlineLevel="0" collapsed="false">
      <c r="A18" s="8" t="s">
        <v>552</v>
      </c>
      <c r="B18" s="21" t="n">
        <f aca="false">'Final Model'!$C$34</f>
        <v>3.044621603735</v>
      </c>
      <c r="C18" s="11"/>
      <c r="D18" s="21" t="n">
        <v>3.044621603735</v>
      </c>
      <c r="E18" s="17" t="n">
        <f aca="false">B18-D18</f>
        <v>0</v>
      </c>
      <c r="F18" s="8" t="str">
        <f aca="false">IF(ABS(E18)&lt;0.000001,"Yes","CHECK")</f>
        <v>Yes</v>
      </c>
      <c r="G18" s="8" t="str">
        <f aca="false">IF(C18="","not run",B18-C18)</f>
        <v>not run</v>
      </c>
    </row>
    <row r="19" customFormat="false" ht="15" hidden="false" customHeight="false" outlineLevel="0" collapsed="false">
      <c r="A19" s="8" t="s">
        <v>553</v>
      </c>
      <c r="B19" s="21" t="n">
        <f aca="false">'Final Model'!$C$40</f>
        <v>14.737209522401</v>
      </c>
      <c r="C19" s="11"/>
      <c r="D19" s="21" t="n">
        <v>14.737209522401</v>
      </c>
      <c r="E19" s="17" t="n">
        <f aca="false">B19-D19</f>
        <v>0</v>
      </c>
      <c r="F19" s="8" t="str">
        <f aca="false">IF(ABS(E19)&lt;0.000001,"Yes","CHECK")</f>
        <v>Yes</v>
      </c>
      <c r="G19" s="8" t="str">
        <f aca="false">IF(C19="","not run",B19-C19)</f>
        <v>not run</v>
      </c>
    </row>
    <row r="20" customFormat="false" ht="15" hidden="false" customHeight="false" outlineLevel="0" collapsed="false">
      <c r="A20" s="8" t="s">
        <v>554</v>
      </c>
      <c r="B20" s="26" t="n">
        <f aca="false">'Final Model'!$E$40</f>
        <v>7.0499843933658E-159</v>
      </c>
      <c r="C20" s="11"/>
      <c r="D20" s="26" t="n">
        <v>7.04998439336679E-159</v>
      </c>
      <c r="E20" s="17" t="n">
        <f aca="false">B20-D20</f>
        <v>-9.88556192622312E-172</v>
      </c>
      <c r="F20" s="8" t="str">
        <f aca="false">IF(ABS(E20)&lt;0.000001,"Yes","CHECK")</f>
        <v>Yes</v>
      </c>
      <c r="G20" s="8" t="str">
        <f aca="false">IF(C20="","not run",B20-C20)</f>
        <v>not run</v>
      </c>
    </row>
    <row r="21" customFormat="false" ht="15" hidden="false" customHeight="false" outlineLevel="0" collapsed="false">
      <c r="A21" s="8" t="s">
        <v>441</v>
      </c>
      <c r="B21" s="21" t="n">
        <f aca="false">'Residual Diagnostics'!$P$6</f>
        <v>2.09161639808465</v>
      </c>
      <c r="C21" s="11"/>
      <c r="D21" s="21" t="n">
        <v>2.09161639808465</v>
      </c>
      <c r="E21" s="17" t="n">
        <f aca="false">B21-D21</f>
        <v>0</v>
      </c>
      <c r="F21" s="8" t="str">
        <f aca="false">IF(ABS(E21)&lt;0.000001,"Yes","CHECK")</f>
        <v>Yes</v>
      </c>
      <c r="G21" s="8" t="str">
        <f aca="false">IF(C21="","not run",B21-C21)</f>
        <v>not run</v>
      </c>
    </row>
    <row r="22" customFormat="false" ht="15" hidden="false" customHeight="false" outlineLevel="0" collapsed="false">
      <c r="A22" s="8" t="s">
        <v>489</v>
      </c>
      <c r="B22" s="21" t="n">
        <f aca="false">Influence!$P$18</f>
        <v>0.0231021216108048</v>
      </c>
      <c r="C22" s="11"/>
      <c r="D22" s="21" t="n">
        <v>0.0231021216108051</v>
      </c>
      <c r="E22" s="17" t="n">
        <f aca="false">B22-D22</f>
        <v>-3.01841884819964E-016</v>
      </c>
      <c r="F22" s="8" t="str">
        <f aca="false">IF(ABS(E22)&lt;0.000001,"Yes","CHECK")</f>
        <v>Yes</v>
      </c>
      <c r="G22" s="8" t="str">
        <f aca="false">IF(C22="","not run",B22-C22)</f>
        <v>not run</v>
      </c>
    </row>
    <row r="23" customFormat="false" ht="15" hidden="false" customHeight="false" outlineLevel="0" collapsed="false">
      <c r="A23" s="8" t="s">
        <v>490</v>
      </c>
      <c r="B23" s="21" t="n">
        <f aca="false">Influence!$P$19</f>
        <v>0.0719058949430416</v>
      </c>
      <c r="C23" s="11"/>
      <c r="D23" s="21" t="n">
        <v>0.0719058949430417</v>
      </c>
      <c r="E23" s="17" t="n">
        <f aca="false">B23-D23</f>
        <v>0</v>
      </c>
      <c r="F23" s="8" t="str">
        <f aca="false">IF(ABS(E23)&lt;0.000001,"Yes","CHECK")</f>
        <v>Yes</v>
      </c>
      <c r="G23" s="8" t="str">
        <f aca="false">IF(C23="","not run",B23-C23)</f>
        <v>not run</v>
      </c>
    </row>
    <row r="24" customFormat="false" ht="15" hidden="false" customHeight="false" outlineLevel="0" collapsed="false">
      <c r="A24" s="8" t="s">
        <v>555</v>
      </c>
      <c r="B24" s="21" t="n">
        <f aca="false">VIF!$B$25</f>
        <v>3.0923861177831</v>
      </c>
      <c r="C24" s="11"/>
      <c r="D24" s="21" t="n">
        <v>3.0923861177831</v>
      </c>
      <c r="E24" s="17" t="n">
        <f aca="false">B24-D24</f>
        <v>0</v>
      </c>
      <c r="F24" s="8" t="str">
        <f aca="false">IF(ABS(E24)&lt;0.000001,"Yes","CHECK")</f>
        <v>Yes</v>
      </c>
      <c r="G24" s="8" t="str">
        <f aca="false">IF(C24="","not run",B24-C24)</f>
        <v>not run</v>
      </c>
    </row>
    <row r="26" customFormat="false" ht="48" hidden="false" customHeight="true" outlineLevel="0" collapsed="false">
      <c r="A26" s="3" t="s">
        <v>556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71"/>
    <col collapsed="false" customWidth="true" hidden="false" outlineLevel="0" max="7" min="2" style="0" width="16.72"/>
  </cols>
  <sheetData>
    <row r="1" customFormat="false" ht="17.35" hidden="false" customHeight="false" outlineLevel="0" collapsed="false">
      <c r="A1" s="1" t="s">
        <v>557</v>
      </c>
    </row>
    <row r="3" customFormat="false" ht="15" hidden="false" customHeight="false" outlineLevel="0" collapsed="false">
      <c r="A3" s="2" t="s">
        <v>558</v>
      </c>
    </row>
    <row r="5" customFormat="false" ht="15" hidden="false" customHeight="false" outlineLevel="0" collapsed="false">
      <c r="A5" s="4" t="s">
        <v>214</v>
      </c>
      <c r="B5" s="4" t="s">
        <v>274</v>
      </c>
      <c r="C5" s="4" t="s">
        <v>275</v>
      </c>
      <c r="D5" s="4" t="s">
        <v>374</v>
      </c>
      <c r="E5" s="4" t="s">
        <v>253</v>
      </c>
      <c r="F5" s="4" t="s">
        <v>294</v>
      </c>
      <c r="G5" s="4" t="s">
        <v>295</v>
      </c>
    </row>
    <row r="6" customFormat="false" ht="15" hidden="false" customHeight="false" outlineLevel="0" collapsed="false">
      <c r="A6" s="8" t="s">
        <v>273</v>
      </c>
      <c r="B6" s="13" t="n">
        <f aca="false">'Final Model'!$B$33</f>
        <v>276.573494277953</v>
      </c>
      <c r="C6" s="13" t="n">
        <f aca="false">'Final Model'!$C$33</f>
        <v>12.1685914921444</v>
      </c>
      <c r="D6" s="13" t="n">
        <f aca="false">'Final Model'!$D$33</f>
        <v>22.728472268668</v>
      </c>
      <c r="E6" s="17" t="n">
        <f aca="false">'Final Model'!$E$33</f>
        <v>2.23528097071102E-097</v>
      </c>
      <c r="F6" s="13" t="n">
        <f aca="false">'Final Model'!$F$33</f>
        <v>252.702526490666</v>
      </c>
      <c r="G6" s="13" t="n">
        <f aca="false">'Final Model'!$G$33</f>
        <v>300.444462065241</v>
      </c>
    </row>
    <row r="7" customFormat="false" ht="15" hidden="false" customHeight="false" outlineLevel="0" collapsed="false">
      <c r="A7" s="8" t="s">
        <v>171</v>
      </c>
      <c r="B7" s="13" t="n">
        <f aca="false">'Final Model'!$B$34</f>
        <v>-22.0663514924395</v>
      </c>
      <c r="C7" s="13" t="n">
        <f aca="false">'Final Model'!$C$34</f>
        <v>3.044621603735</v>
      </c>
      <c r="D7" s="13" t="n">
        <f aca="false">'Final Model'!$D$34</f>
        <v>-7.24764991004778</v>
      </c>
      <c r="E7" s="17" t="n">
        <f aca="false">'Final Model'!$E$34</f>
        <v>7.0391199982958E-013</v>
      </c>
      <c r="F7" s="13" t="n">
        <f aca="false">'Final Model'!$F$34</f>
        <v>-28.0389461246248</v>
      </c>
      <c r="G7" s="13" t="n">
        <f aca="false">'Final Model'!$G$34</f>
        <v>-16.0937568602542</v>
      </c>
    </row>
    <row r="8" customFormat="false" ht="15" hidden="false" customHeight="false" outlineLevel="0" collapsed="false">
      <c r="A8" s="8" t="s">
        <v>26</v>
      </c>
      <c r="B8" s="13" t="n">
        <f aca="false">'Final Model'!$B$35</f>
        <v>59.4617605004846</v>
      </c>
      <c r="C8" s="13" t="n">
        <f aca="false">'Final Model'!$C$35</f>
        <v>3.01124270165132</v>
      </c>
      <c r="D8" s="13" t="n">
        <f aca="false">'Final Model'!$D$35</f>
        <v>19.7465851782311</v>
      </c>
      <c r="E8" s="17" t="n">
        <f aca="false">'Final Model'!$E$35</f>
        <v>1.25618718824196E-076</v>
      </c>
      <c r="F8" s="13" t="n">
        <f aca="false">'Final Model'!$F$35</f>
        <v>53.554644826725</v>
      </c>
      <c r="G8" s="13" t="n">
        <f aca="false">'Final Model'!$G$35</f>
        <v>65.3688761742441</v>
      </c>
    </row>
    <row r="9" customFormat="false" ht="15" hidden="false" customHeight="false" outlineLevel="0" collapsed="false">
      <c r="A9" s="8" t="s">
        <v>27</v>
      </c>
      <c r="B9" s="13" t="n">
        <f aca="false">'Final Model'!$B$36</f>
        <v>0.620382769807777</v>
      </c>
      <c r="C9" s="13" t="n">
        <f aca="false">'Final Model'!$C$36</f>
        <v>12.076893995872</v>
      </c>
      <c r="D9" s="13" t="n">
        <f aca="false">'Final Model'!$D$36</f>
        <v>0.0513693976298731</v>
      </c>
      <c r="E9" s="17" t="n">
        <f aca="false">'Final Model'!$E$36</f>
        <v>0.959038614763453</v>
      </c>
      <c r="F9" s="13" t="n">
        <f aca="false">'Final Model'!$F$36</f>
        <v>-23.0707032307416</v>
      </c>
      <c r="G9" s="13" t="n">
        <f aca="false">'Final Model'!$G$36</f>
        <v>24.3114687703572</v>
      </c>
    </row>
    <row r="10" customFormat="false" ht="15" hidden="false" customHeight="false" outlineLevel="0" collapsed="false">
      <c r="A10" s="8" t="s">
        <v>28</v>
      </c>
      <c r="B10" s="13" t="n">
        <f aca="false">'Final Model'!$B$37</f>
        <v>106.752696407799</v>
      </c>
      <c r="C10" s="13" t="n">
        <f aca="false">'Final Model'!$C$37</f>
        <v>5.70019009332607</v>
      </c>
      <c r="D10" s="13" t="n">
        <f aca="false">'Final Model'!$D$37</f>
        <v>18.7279186588511</v>
      </c>
      <c r="E10" s="17" t="n">
        <f aca="false">'Final Model'!$E$37</f>
        <v>6.68683536276982E-070</v>
      </c>
      <c r="F10" s="13" t="n">
        <f aca="false">'Final Model'!$F$37</f>
        <v>95.5707075813156</v>
      </c>
      <c r="G10" s="13" t="n">
        <f aca="false">'Final Model'!$G$37</f>
        <v>117.934685234283</v>
      </c>
    </row>
    <row r="11" customFormat="false" ht="15" hidden="false" customHeight="false" outlineLevel="0" collapsed="false">
      <c r="A11" s="8" t="s">
        <v>29</v>
      </c>
      <c r="B11" s="13" t="n">
        <f aca="false">'Final Model'!$B$38</f>
        <v>73.3697922625986</v>
      </c>
      <c r="C11" s="13" t="n">
        <f aca="false">'Final Model'!$C$38</f>
        <v>3.76598837200846</v>
      </c>
      <c r="D11" s="13" t="n">
        <f aca="false">'Final Model'!$D$38</f>
        <v>19.482214233038</v>
      </c>
      <c r="E11" s="17" t="n">
        <f aca="false">'Final Model'!$E$38</f>
        <v>7.31299432468787E-075</v>
      </c>
      <c r="F11" s="13" t="n">
        <f aca="false">'Final Model'!$F$38</f>
        <v>65.9821018159641</v>
      </c>
      <c r="G11" s="13" t="n">
        <f aca="false">'Final Model'!$G$38</f>
        <v>80.7574827092331</v>
      </c>
    </row>
    <row r="12" customFormat="false" ht="15" hidden="false" customHeight="false" outlineLevel="0" collapsed="false">
      <c r="A12" s="8" t="s">
        <v>30</v>
      </c>
      <c r="B12" s="13" t="n">
        <f aca="false">'Final Model'!$B$39</f>
        <v>74.5519638053599</v>
      </c>
      <c r="C12" s="13" t="n">
        <f aca="false">'Final Model'!$C$39</f>
        <v>5.03972482076628</v>
      </c>
      <c r="D12" s="13" t="n">
        <f aca="false">'Final Model'!$D$39</f>
        <v>14.7928639869715</v>
      </c>
      <c r="E12" s="17" t="n">
        <f aca="false">'Final Model'!$E$39</f>
        <v>4.56617208066486E-046</v>
      </c>
      <c r="F12" s="13" t="n">
        <f aca="false">'Final Model'!$F$39</f>
        <v>64.6656011206591</v>
      </c>
      <c r="G12" s="13" t="n">
        <f aca="false">'Final Model'!$G$39</f>
        <v>84.4383264900608</v>
      </c>
    </row>
    <row r="13" customFormat="false" ht="15" hidden="false" customHeight="false" outlineLevel="0" collapsed="false">
      <c r="A13" s="8" t="s">
        <v>559</v>
      </c>
      <c r="B13" s="13" t="n">
        <f aca="false">'Final Model'!$B$40</f>
        <v>453.803299642174</v>
      </c>
      <c r="C13" s="13" t="n">
        <f aca="false">'Final Model'!$C$40</f>
        <v>14.737209522401</v>
      </c>
      <c r="D13" s="13" t="n">
        <f aca="false">'Final Model'!$D$40</f>
        <v>30.7930276048787</v>
      </c>
      <c r="E13" s="17" t="n">
        <f aca="false">'Final Model'!$E$40</f>
        <v>7.0499843933658E-159</v>
      </c>
      <c r="F13" s="13" t="n">
        <f aca="false">'Final Model'!$F$40</f>
        <v>424.893507246658</v>
      </c>
      <c r="G13" s="13" t="n">
        <f aca="false">'Final Model'!$G$40</f>
        <v>482.713092037691</v>
      </c>
    </row>
    <row r="15" customFormat="false" ht="15" hidden="false" customHeight="false" outlineLevel="0" collapsed="false">
      <c r="A15" s="8" t="s">
        <v>281</v>
      </c>
      <c r="B15" s="19" t="n">
        <f aca="false">'Final Model'!$B$19</f>
        <v>0.805856435962964</v>
      </c>
    </row>
    <row r="16" customFormat="false" ht="15" hidden="false" customHeight="false" outlineLevel="0" collapsed="false">
      <c r="A16" s="8" t="s">
        <v>282</v>
      </c>
      <c r="B16" s="19" t="n">
        <f aca="false">'Final Model'!$B$20</f>
        <v>0.804870220470759</v>
      </c>
    </row>
    <row r="17" customFormat="false" ht="15" hidden="false" customHeight="false" outlineLevel="0" collapsed="false">
      <c r="A17" s="8" t="s">
        <v>283</v>
      </c>
      <c r="B17" s="16" t="n">
        <f aca="false">'Final Model'!$B$21</f>
        <v>49.0320206448701</v>
      </c>
    </row>
    <row r="18" customFormat="false" ht="15" hidden="false" customHeight="false" outlineLevel="0" collapsed="false">
      <c r="A18" s="8" t="s">
        <v>287</v>
      </c>
      <c r="B18" s="16" t="n">
        <f aca="false">'Final Model'!$B$25</f>
        <v>817.12003343282</v>
      </c>
    </row>
    <row r="19" customFormat="false" ht="15" hidden="false" customHeight="false" outlineLevel="0" collapsed="false">
      <c r="A19" s="8" t="s">
        <v>496</v>
      </c>
      <c r="B19" s="17" t="n">
        <f aca="false">'Final Model'!$B$26</f>
        <v>0</v>
      </c>
    </row>
    <row r="20" customFormat="false" ht="15" hidden="false" customHeight="false" outlineLevel="0" collapsed="false">
      <c r="A20" s="8" t="s">
        <v>284</v>
      </c>
      <c r="B20" s="25" t="n">
        <f aca="false">'Final Model'!$B$22</f>
        <v>1386</v>
      </c>
    </row>
    <row r="22" customFormat="false" ht="15" hidden="false" customHeight="false" outlineLevel="0" collapsed="false">
      <c r="A22" s="7" t="s">
        <v>560</v>
      </c>
    </row>
    <row r="23" customFormat="false" ht="45" hidden="false" customHeight="true" outlineLevel="0" collapsed="false">
      <c r="A23" s="2" t="s">
        <v>561</v>
      </c>
      <c r="B23" s="9" t="s">
        <v>562</v>
      </c>
      <c r="C23" s="9"/>
      <c r="D23" s="9"/>
      <c r="E23" s="9"/>
      <c r="F23" s="9"/>
      <c r="G23" s="9"/>
    </row>
    <row r="24" customFormat="false" ht="45" hidden="false" customHeight="true" outlineLevel="0" collapsed="false">
      <c r="A24" s="2" t="s">
        <v>563</v>
      </c>
      <c r="B24" s="9" t="s">
        <v>564</v>
      </c>
      <c r="C24" s="9"/>
      <c r="D24" s="9"/>
      <c r="E24" s="9"/>
      <c r="F24" s="9"/>
      <c r="G24" s="9"/>
    </row>
    <row r="25" customFormat="false" ht="45" hidden="false" customHeight="true" outlineLevel="0" collapsed="false">
      <c r="A25" s="2" t="s">
        <v>565</v>
      </c>
      <c r="B25" s="9" t="s">
        <v>566</v>
      </c>
      <c r="C25" s="9"/>
      <c r="D25" s="9"/>
      <c r="E25" s="9"/>
      <c r="F25" s="9"/>
      <c r="G25" s="9"/>
    </row>
    <row r="26" customFormat="false" ht="45" hidden="false" customHeight="true" outlineLevel="0" collapsed="false">
      <c r="A26" s="2" t="s">
        <v>567</v>
      </c>
      <c r="B26" s="9" t="s">
        <v>568</v>
      </c>
      <c r="C26" s="9"/>
      <c r="D26" s="9"/>
      <c r="E26" s="9"/>
      <c r="F26" s="9"/>
      <c r="G26" s="9"/>
    </row>
    <row r="27" customFormat="false" ht="45" hidden="false" customHeight="true" outlineLevel="0" collapsed="false">
      <c r="A27" s="2" t="s">
        <v>569</v>
      </c>
      <c r="B27" s="9" t="s">
        <v>570</v>
      </c>
      <c r="C27" s="9"/>
      <c r="D27" s="9"/>
      <c r="E27" s="9"/>
      <c r="F27" s="9"/>
      <c r="G27" s="9"/>
    </row>
    <row r="28" customFormat="false" ht="45" hidden="false" customHeight="true" outlineLevel="0" collapsed="false">
      <c r="A28" s="2" t="s">
        <v>571</v>
      </c>
      <c r="B28" s="9" t="s">
        <v>572</v>
      </c>
      <c r="C28" s="9"/>
      <c r="D28" s="9"/>
      <c r="E28" s="9"/>
      <c r="F28" s="9"/>
      <c r="G28" s="9"/>
    </row>
  </sheetData>
  <mergeCells count="6">
    <mergeCell ref="B23:G23"/>
    <mergeCell ref="B24:G24"/>
    <mergeCell ref="B25:G25"/>
    <mergeCell ref="B26:G26"/>
    <mergeCell ref="B27:G27"/>
    <mergeCell ref="B28:G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2026-10-04T18:38:58Z</dcterms:created>
  <dc:creator/>
  <dc:description/>
  <dc:language>en-US</dc:language>
  <cp:lastModifiedBy/>
  <dcterms:modified xsi:type="dcterms:W3CDTF">2026-10-04T18:38:58Z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